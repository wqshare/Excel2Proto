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tabRatio="721" activeTab="1"/>
  </bookViews>
  <sheets>
    <sheet name="D_装备基础数据" sheetId="1" r:id="rId1"/>
    <sheet name="D_装备升级表" sheetId="13" r:id="rId2"/>
    <sheet name="D_装备强化数据" sheetId="7" r:id="rId3"/>
    <sheet name="D_装备金币参考表" sheetId="14" r:id="rId4"/>
    <sheet name="D_装备升星数据" sheetId="10" r:id="rId5"/>
    <sheet name="D_装备分解表" sheetId="11" r:id="rId6"/>
    <sheet name="定义数据" sheetId="3" r:id="rId7"/>
    <sheet name="装备属性计算表" sheetId="4" r:id="rId8"/>
    <sheet name="强化辅助表" sheetId="5" r:id="rId9"/>
    <sheet name="升星辅助表" sheetId="6" r:id="rId10"/>
    <sheet name="升星消耗" sheetId="9" r:id="rId11"/>
    <sheet name="价值&amp;消耗" sheetId="12" r:id="rId12"/>
  </sheets>
  <functionGroups builtInGroupCount="18"/>
  <externalReferences>
    <externalReference r:id="rId13"/>
    <externalReference r:id="rId14"/>
    <externalReference r:id="rId15"/>
  </externalReferences>
  <definedNames>
    <definedName name="_xlnm._FilterDatabase" localSheetId="0" hidden="1">D_装备基础数据!$A$1:$AN$212</definedName>
    <definedName name="_xlnm._FilterDatabase" localSheetId="8" hidden="1">强化辅助表!$A$35:$AS$191</definedName>
    <definedName name="_xlnm._FilterDatabase" localSheetId="7" hidden="1">装备属性计算表!$B$31:$D$187</definedName>
    <definedName name="武器部位">定义数据!$E$2:$E$7</definedName>
    <definedName name="武器颜色">定义数据!$B$2:$B$7</definedName>
    <definedName name="游戏属性">定义数据!$B$13:$B$35</definedName>
    <definedName name="游戏职业">定义数据!$H$2:$H$6</definedName>
    <definedName name="装备强化表">强化辅助表!$B$36:$P$191</definedName>
    <definedName name="装备升星属性">升星辅助表!$C$33:$R$188</definedName>
    <definedName name="装备属性表">装备属性计算表!$AJ$32:$BF$195</definedName>
  </definedNames>
  <calcPr calcId="152511"/>
</workbook>
</file>

<file path=xl/calcChain.xml><?xml version="1.0" encoding="utf-8"?>
<calcChain xmlns="http://schemas.openxmlformats.org/spreadsheetml/2006/main">
  <c r="I3" i="13" l="1"/>
  <c r="I4" i="13"/>
  <c r="I2" i="13"/>
  <c r="U32" i="6" l="1"/>
  <c r="AL22" i="1" l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N212" i="1"/>
  <c r="AN211" i="1"/>
  <c r="AN210" i="1"/>
  <c r="AN209" i="1"/>
  <c r="AN208" i="1"/>
  <c r="AN207" i="1"/>
  <c r="AN206" i="1"/>
  <c r="AN205" i="1"/>
  <c r="AN204" i="1"/>
  <c r="AN203" i="1"/>
  <c r="AN202" i="1"/>
  <c r="AN201" i="1"/>
  <c r="AN200" i="1"/>
  <c r="AN199" i="1"/>
  <c r="AN198" i="1"/>
  <c r="AN197" i="1"/>
  <c r="AN196" i="1"/>
  <c r="AN195" i="1"/>
  <c r="AN194" i="1"/>
  <c r="AN193" i="1"/>
  <c r="AN192" i="1"/>
  <c r="AN191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N168" i="1"/>
  <c r="AN167" i="1"/>
  <c r="AN166" i="1"/>
  <c r="AN165" i="1"/>
  <c r="AN164" i="1"/>
  <c r="AN163" i="1"/>
  <c r="AN162" i="1"/>
  <c r="AN161" i="1"/>
  <c r="AN160" i="1"/>
  <c r="AN159" i="1"/>
  <c r="AN158" i="1"/>
  <c r="AN157" i="1"/>
  <c r="AN156" i="1"/>
  <c r="AN155" i="1"/>
  <c r="AN154" i="1"/>
  <c r="AN153" i="1"/>
  <c r="AN152" i="1"/>
  <c r="AN151" i="1"/>
  <c r="AN150" i="1"/>
  <c r="AN149" i="1"/>
  <c r="AN148" i="1"/>
  <c r="AN147" i="1"/>
  <c r="AN146" i="1"/>
  <c r="AN145" i="1"/>
  <c r="AN144" i="1"/>
  <c r="AN143" i="1"/>
  <c r="AN142" i="1"/>
  <c r="AN141" i="1"/>
  <c r="AN140" i="1"/>
  <c r="AN139" i="1"/>
  <c r="AN138" i="1"/>
  <c r="AN137" i="1"/>
  <c r="AN136" i="1"/>
  <c r="AN135" i="1"/>
  <c r="AN134" i="1"/>
  <c r="AN133" i="1"/>
  <c r="AN132" i="1"/>
  <c r="AN131" i="1"/>
  <c r="AN130" i="1"/>
  <c r="AN129" i="1"/>
  <c r="AN128" i="1"/>
  <c r="AN127" i="1"/>
  <c r="AN126" i="1"/>
  <c r="AN125" i="1"/>
  <c r="AN124" i="1"/>
  <c r="AN123" i="1"/>
  <c r="AN122" i="1"/>
  <c r="AN121" i="1"/>
  <c r="AN120" i="1"/>
  <c r="AN119" i="1"/>
  <c r="AN118" i="1"/>
  <c r="AN117" i="1"/>
  <c r="AN116" i="1"/>
  <c r="AN115" i="1"/>
  <c r="AN114" i="1"/>
  <c r="AN113" i="1"/>
  <c r="AN112" i="1"/>
  <c r="AN111" i="1"/>
  <c r="AN11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L182" i="13" s="1"/>
  <c r="J183" i="13"/>
  <c r="L183" i="13" s="1"/>
  <c r="J184" i="13"/>
  <c r="L184" i="13" s="1"/>
  <c r="J185" i="13"/>
  <c r="J186" i="13"/>
  <c r="L186" i="13" s="1"/>
  <c r="J187" i="13"/>
  <c r="L187" i="13" s="1"/>
  <c r="J188" i="13"/>
  <c r="J189" i="13"/>
  <c r="L189" i="13" s="1"/>
  <c r="J190" i="13"/>
  <c r="L190" i="13" s="1"/>
  <c r="J191" i="13"/>
  <c r="L191" i="13" s="1"/>
  <c r="J192" i="13"/>
  <c r="L192" i="13" s="1"/>
  <c r="J193" i="13"/>
  <c r="L193" i="13" s="1"/>
  <c r="J194" i="13"/>
  <c r="L194" i="13" s="1"/>
  <c r="J195" i="13"/>
  <c r="L195" i="13" s="1"/>
  <c r="J196" i="13"/>
  <c r="L196" i="13" s="1"/>
  <c r="J197" i="13"/>
  <c r="L197" i="13" s="1"/>
  <c r="J198" i="13"/>
  <c r="L198" i="13" s="1"/>
  <c r="J199" i="13"/>
  <c r="L199" i="13" s="1"/>
  <c r="J200" i="13"/>
  <c r="L200" i="13" s="1"/>
  <c r="J201" i="13"/>
  <c r="L201" i="13" s="1"/>
  <c r="J202" i="13"/>
  <c r="L202" i="13" s="1"/>
  <c r="J203" i="13"/>
  <c r="L203" i="13" s="1"/>
  <c r="J204" i="13"/>
  <c r="J205" i="13"/>
  <c r="L205" i="13" s="1"/>
  <c r="J206" i="13"/>
  <c r="L206" i="13" s="1"/>
  <c r="J207" i="13"/>
  <c r="L207" i="13" s="1"/>
  <c r="J208" i="13"/>
  <c r="L208" i="13" s="1"/>
  <c r="J209" i="13"/>
  <c r="L209" i="13" s="1"/>
  <c r="J210" i="13"/>
  <c r="L210" i="13" s="1"/>
  <c r="J211" i="13"/>
  <c r="L211" i="13" s="1"/>
  <c r="J212" i="13"/>
  <c r="L212" i="13" s="1"/>
  <c r="L181" i="13"/>
  <c r="L188" i="13"/>
  <c r="L204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185" i="13"/>
  <c r="A37" i="10" l="1"/>
  <c r="A36" i="10"/>
  <c r="A35" i="10"/>
  <c r="A34" i="10"/>
  <c r="A33" i="10"/>
  <c r="A32" i="10"/>
  <c r="M45" i="1" l="1"/>
  <c r="M46" i="1"/>
  <c r="M47" i="1"/>
  <c r="M48" i="1"/>
  <c r="M49" i="1"/>
  <c r="M50" i="1"/>
  <c r="M51" i="1"/>
  <c r="M52" i="1"/>
  <c r="A41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AA39" i="12"/>
  <c r="Z39" i="12"/>
  <c r="Y39" i="12"/>
  <c r="M39" i="12"/>
  <c r="AA38" i="12"/>
  <c r="Z38" i="12"/>
  <c r="Y38" i="12"/>
  <c r="L38" i="12"/>
  <c r="AA37" i="12"/>
  <c r="Z37" i="12"/>
  <c r="Y37" i="12"/>
  <c r="M37" i="12"/>
  <c r="AA36" i="12"/>
  <c r="Z36" i="12"/>
  <c r="Y36" i="12"/>
  <c r="M36" i="12"/>
  <c r="L36" i="12"/>
  <c r="AA35" i="12"/>
  <c r="Z35" i="12"/>
  <c r="Y35" i="12"/>
  <c r="M35" i="12"/>
  <c r="AA34" i="12"/>
  <c r="Z34" i="12"/>
  <c r="Y34" i="12"/>
  <c r="L34" i="12"/>
  <c r="E8" i="9"/>
  <c r="D8" i="9"/>
  <c r="C8" i="9"/>
  <c r="B8" i="9"/>
  <c r="AJ68" i="6"/>
  <c r="AA68" i="6"/>
  <c r="H68" i="6"/>
  <c r="C68" i="6" s="1"/>
  <c r="G68" i="6"/>
  <c r="F68" i="6"/>
  <c r="E68" i="6"/>
  <c r="AA67" i="6"/>
  <c r="H67" i="6"/>
  <c r="C67" i="6" s="1"/>
  <c r="G67" i="6"/>
  <c r="F67" i="6"/>
  <c r="AJ67" i="6" s="1"/>
  <c r="E67" i="6"/>
  <c r="AA66" i="6"/>
  <c r="H66" i="6"/>
  <c r="G66" i="6"/>
  <c r="F66" i="6"/>
  <c r="AJ66" i="6" s="1"/>
  <c r="E66" i="6"/>
  <c r="C66" i="6"/>
  <c r="AA65" i="6"/>
  <c r="H65" i="6"/>
  <c r="G65" i="6"/>
  <c r="F65" i="6"/>
  <c r="C65" i="6" s="1"/>
  <c r="E65" i="6"/>
  <c r="AA64" i="6"/>
  <c r="H64" i="6"/>
  <c r="C64" i="6" s="1"/>
  <c r="G64" i="6"/>
  <c r="F64" i="6"/>
  <c r="AJ64" i="6" s="1"/>
  <c r="E64" i="6"/>
  <c r="AA63" i="6"/>
  <c r="H63" i="6"/>
  <c r="C63" i="6" s="1"/>
  <c r="G63" i="6"/>
  <c r="F63" i="6"/>
  <c r="AJ63" i="6" s="1"/>
  <c r="E63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F71" i="5"/>
  <c r="A71" i="5" s="1"/>
  <c r="B71" i="5" s="1"/>
  <c r="E71" i="5"/>
  <c r="D71" i="5"/>
  <c r="L39" i="12" s="1"/>
  <c r="C71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F70" i="5"/>
  <c r="M38" i="12" s="1"/>
  <c r="E70" i="5"/>
  <c r="D70" i="5"/>
  <c r="C70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F69" i="5"/>
  <c r="E69" i="5"/>
  <c r="D69" i="5"/>
  <c r="L37" i="12" s="1"/>
  <c r="C69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F68" i="5"/>
  <c r="A68" i="5" s="1"/>
  <c r="B68" i="5" s="1"/>
  <c r="E68" i="5"/>
  <c r="D68" i="5"/>
  <c r="C68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F67" i="5"/>
  <c r="E67" i="5"/>
  <c r="D67" i="5"/>
  <c r="L35" i="12" s="1"/>
  <c r="C67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F66" i="5"/>
  <c r="M34" i="12" s="1"/>
  <c r="E66" i="5"/>
  <c r="D66" i="5"/>
  <c r="C66" i="5"/>
  <c r="BK67" i="4"/>
  <c r="BE67" i="4" a="1"/>
  <c r="BE67" i="4" s="1"/>
  <c r="BB67" i="4" a="1"/>
  <c r="BB67" i="4" s="1"/>
  <c r="AL67" i="4"/>
  <c r="AY67" i="4" s="1" a="1"/>
  <c r="AY67" i="4" s="1"/>
  <c r="AJ67" i="4"/>
  <c r="AI67" i="4"/>
  <c r="AH67" i="4"/>
  <c r="AG67" i="4"/>
  <c r="AF67" i="4"/>
  <c r="AE67" i="4"/>
  <c r="AD67" i="4"/>
  <c r="AC67" i="4"/>
  <c r="AB67" i="4"/>
  <c r="AA67" i="4"/>
  <c r="Z67" i="4"/>
  <c r="A67" i="4"/>
  <c r="BK66" i="4"/>
  <c r="BF66" i="4" a="1"/>
  <c r="BF66" i="4" s="1"/>
  <c r="BE66" i="4" a="1"/>
  <c r="BE66" i="4" s="1"/>
  <c r="BB66" i="4" a="1"/>
  <c r="BB66" i="4" s="1"/>
  <c r="AZ66" i="4" a="1"/>
  <c r="AZ66" i="4" s="1"/>
  <c r="AY66" i="4" a="1"/>
  <c r="AY66" i="4" s="1"/>
  <c r="AL66" i="4"/>
  <c r="AJ66" i="4"/>
  <c r="AI66" i="4"/>
  <c r="AH66" i="4"/>
  <c r="AG66" i="4"/>
  <c r="AF66" i="4"/>
  <c r="AE66" i="4"/>
  <c r="AD66" i="4"/>
  <c r="AC66" i="4"/>
  <c r="AB66" i="4"/>
  <c r="AA66" i="4"/>
  <c r="Z66" i="4"/>
  <c r="A66" i="4"/>
  <c r="BK65" i="4"/>
  <c r="BC65" i="4" a="1"/>
  <c r="BC65" i="4" s="1"/>
  <c r="BA65" i="4" a="1"/>
  <c r="BA65" i="4" s="1"/>
  <c r="AY65" i="4" a="1"/>
  <c r="AY65" i="4" s="1"/>
  <c r="AL65" i="4"/>
  <c r="BF65" i="4" s="1" a="1"/>
  <c r="BF65" i="4" s="1"/>
  <c r="AJ65" i="4"/>
  <c r="AI65" i="4"/>
  <c r="AH65" i="4"/>
  <c r="AG65" i="4"/>
  <c r="AF65" i="4"/>
  <c r="AE65" i="4"/>
  <c r="AD65" i="4"/>
  <c r="AC65" i="4"/>
  <c r="AB65" i="4"/>
  <c r="AA65" i="4"/>
  <c r="Z65" i="4"/>
  <c r="A65" i="4"/>
  <c r="BK64" i="4"/>
  <c r="AL64" i="4"/>
  <c r="AY64" i="4" s="1" a="1"/>
  <c r="AY64" i="4" s="1"/>
  <c r="AJ64" i="4"/>
  <c r="AI64" i="4"/>
  <c r="AH64" i="4"/>
  <c r="AG64" i="4"/>
  <c r="AF64" i="4"/>
  <c r="AE64" i="4"/>
  <c r="AD64" i="4"/>
  <c r="AC64" i="4"/>
  <c r="AB64" i="4"/>
  <c r="AA64" i="4"/>
  <c r="Z64" i="4"/>
  <c r="A64" i="4"/>
  <c r="BK63" i="4"/>
  <c r="AL63" i="4"/>
  <c r="BE63" i="4" s="1" a="1"/>
  <c r="BE63" i="4" s="1"/>
  <c r="AJ63" i="4"/>
  <c r="AI63" i="4"/>
  <c r="AH63" i="4"/>
  <c r="AG63" i="4"/>
  <c r="AF63" i="4"/>
  <c r="AE63" i="4"/>
  <c r="AD63" i="4"/>
  <c r="AC63" i="4"/>
  <c r="AB63" i="4"/>
  <c r="AA63" i="4"/>
  <c r="Z63" i="4"/>
  <c r="A63" i="4"/>
  <c r="BK62" i="4"/>
  <c r="BF62" i="4" a="1"/>
  <c r="BF62" i="4" s="1"/>
  <c r="BA62" i="4" a="1"/>
  <c r="BA62" i="4" s="1"/>
  <c r="AL62" i="4"/>
  <c r="BE62" i="4" s="1" a="1"/>
  <c r="BE62" i="4" s="1"/>
  <c r="AJ62" i="4"/>
  <c r="AI62" i="4"/>
  <c r="AH62" i="4"/>
  <c r="AG62" i="4"/>
  <c r="AF62" i="4"/>
  <c r="AE62" i="4"/>
  <c r="AD62" i="4"/>
  <c r="AC62" i="4"/>
  <c r="AB62" i="4"/>
  <c r="AA62" i="4"/>
  <c r="Z62" i="4"/>
  <c r="A62" i="4"/>
  <c r="G52" i="13"/>
  <c r="F52" i="13"/>
  <c r="E52" i="13"/>
  <c r="D52" i="13"/>
  <c r="C52" i="13"/>
  <c r="A52" i="13"/>
  <c r="G51" i="13"/>
  <c r="F51" i="13"/>
  <c r="E51" i="13"/>
  <c r="D51" i="13"/>
  <c r="C51" i="13"/>
  <c r="G50" i="13"/>
  <c r="F50" i="13"/>
  <c r="E50" i="13"/>
  <c r="D50" i="13"/>
  <c r="C50" i="13"/>
  <c r="G49" i="13"/>
  <c r="F49" i="13"/>
  <c r="E49" i="13"/>
  <c r="D49" i="13"/>
  <c r="C49" i="13"/>
  <c r="O48" i="13"/>
  <c r="G48" i="13"/>
  <c r="F48" i="13"/>
  <c r="E48" i="13"/>
  <c r="D48" i="13"/>
  <c r="C48" i="13"/>
  <c r="A48" i="13"/>
  <c r="G47" i="13"/>
  <c r="F47" i="13"/>
  <c r="E47" i="13"/>
  <c r="D47" i="13"/>
  <c r="C47" i="13"/>
  <c r="G46" i="13"/>
  <c r="F46" i="13"/>
  <c r="E46" i="13"/>
  <c r="D46" i="13"/>
  <c r="C46" i="13"/>
  <c r="G45" i="13"/>
  <c r="F45" i="13"/>
  <c r="E45" i="13"/>
  <c r="D45" i="13"/>
  <c r="C45" i="13"/>
  <c r="AT52" i="1"/>
  <c r="K52" i="1"/>
  <c r="J52" i="1"/>
  <c r="H52" i="1"/>
  <c r="E52" i="1"/>
  <c r="AT51" i="1"/>
  <c r="K51" i="1"/>
  <c r="J51" i="1"/>
  <c r="H51" i="1"/>
  <c r="E51" i="1"/>
  <c r="AT50" i="1"/>
  <c r="K50" i="1"/>
  <c r="J50" i="1"/>
  <c r="H50" i="1"/>
  <c r="E50" i="1"/>
  <c r="AT49" i="1"/>
  <c r="K49" i="1"/>
  <c r="J49" i="1"/>
  <c r="H49" i="1"/>
  <c r="E49" i="1"/>
  <c r="AT48" i="1"/>
  <c r="K48" i="1"/>
  <c r="J48" i="1"/>
  <c r="H48" i="1"/>
  <c r="E48" i="1"/>
  <c r="AT47" i="1"/>
  <c r="K47" i="1"/>
  <c r="J47" i="1"/>
  <c r="H47" i="1"/>
  <c r="E47" i="1"/>
  <c r="AT46" i="1"/>
  <c r="K46" i="1"/>
  <c r="J46" i="1"/>
  <c r="H46" i="1"/>
  <c r="E46" i="1"/>
  <c r="AT45" i="1"/>
  <c r="K45" i="1"/>
  <c r="J45" i="1"/>
  <c r="H45" i="1"/>
  <c r="E45" i="1"/>
  <c r="F8" i="9" l="1"/>
  <c r="K39" i="12"/>
  <c r="A37" i="7"/>
  <c r="A34" i="7"/>
  <c r="K36" i="12"/>
  <c r="A69" i="5"/>
  <c r="B69" i="5" s="1"/>
  <c r="A70" i="5"/>
  <c r="B70" i="5" s="1"/>
  <c r="R8" i="6"/>
  <c r="AJ65" i="6"/>
  <c r="A67" i="5"/>
  <c r="B67" i="5" s="1"/>
  <c r="A66" i="5"/>
  <c r="B66" i="5" s="1"/>
  <c r="BB63" i="4" a="1"/>
  <c r="BB63" i="4" s="1"/>
  <c r="AZ65" i="4" a="1"/>
  <c r="AZ65" i="4" s="1"/>
  <c r="BA66" i="4" a="1"/>
  <c r="BA66" i="4" s="1"/>
  <c r="BA67" i="4" a="1"/>
  <c r="BA67" i="4" s="1"/>
  <c r="BB64" i="4" a="1"/>
  <c r="BB64" i="4" s="1"/>
  <c r="BC66" i="4" a="1"/>
  <c r="BC66" i="4" s="1"/>
  <c r="BD65" i="4" a="1"/>
  <c r="BD65" i="4" s="1"/>
  <c r="BD66" i="4" a="1"/>
  <c r="BD66" i="4" s="1"/>
  <c r="BF67" i="4" a="1"/>
  <c r="BF67" i="4" s="1"/>
  <c r="BA63" i="4" a="1"/>
  <c r="BA63" i="4" s="1"/>
  <c r="BE65" i="4" a="1"/>
  <c r="BE65" i="4" s="1"/>
  <c r="AY62" i="4" a="1"/>
  <c r="AY62" i="4" s="1"/>
  <c r="BD62" i="4" a="1"/>
  <c r="BD62" i="4" s="1"/>
  <c r="BC62" i="4" a="1"/>
  <c r="BC62" i="4" s="1"/>
  <c r="BB62" i="4" a="1"/>
  <c r="BB62" i="4" s="1"/>
  <c r="AZ62" i="4" a="1"/>
  <c r="AZ62" i="4" s="1"/>
  <c r="BC64" i="4" a="1"/>
  <c r="BC64" i="4" s="1"/>
  <c r="BF64" i="4" a="1"/>
  <c r="BF64" i="4" s="1"/>
  <c r="BD63" i="4" a="1"/>
  <c r="BD63" i="4" s="1"/>
  <c r="AZ63" i="4" a="1"/>
  <c r="AZ63" i="4" s="1"/>
  <c r="BC63" i="4" a="1"/>
  <c r="BC63" i="4" s="1"/>
  <c r="AY63" i="4" a="1"/>
  <c r="AY63" i="4" s="1"/>
  <c r="BF63" i="4" a="1"/>
  <c r="BF63" i="4" s="1"/>
  <c r="BE64" i="4" a="1"/>
  <c r="BE64" i="4" s="1"/>
  <c r="BA64" i="4" a="1"/>
  <c r="BA64" i="4" s="1"/>
  <c r="AZ64" i="4" a="1"/>
  <c r="AZ64" i="4" s="1"/>
  <c r="BD64" i="4" a="1"/>
  <c r="BD64" i="4" s="1"/>
  <c r="BC67" i="4" a="1"/>
  <c r="BC67" i="4" s="1"/>
  <c r="BB65" i="4" a="1"/>
  <c r="BB65" i="4" s="1"/>
  <c r="AZ67" i="4" a="1"/>
  <c r="AZ67" i="4" s="1"/>
  <c r="BD67" i="4" a="1"/>
  <c r="BD67" i="4" s="1"/>
  <c r="O50" i="13"/>
  <c r="O45" i="13"/>
  <c r="O47" i="13"/>
  <c r="O46" i="13"/>
  <c r="O49" i="13"/>
  <c r="O51" i="13"/>
  <c r="A45" i="13"/>
  <c r="A49" i="13"/>
  <c r="A47" i="13"/>
  <c r="O52" i="13"/>
  <c r="A46" i="13"/>
  <c r="A50" i="13"/>
  <c r="A51" i="13"/>
  <c r="A36" i="7" l="1"/>
  <c r="K38" i="12"/>
  <c r="K35" i="12"/>
  <c r="A33" i="7"/>
  <c r="A32" i="7"/>
  <c r="K34" i="12"/>
  <c r="A35" i="7"/>
  <c r="K37" i="12"/>
  <c r="P7" i="6" l="1"/>
  <c r="O7" i="6"/>
  <c r="N7" i="6"/>
  <c r="M7" i="6"/>
  <c r="L7" i="6"/>
  <c r="K7" i="6"/>
  <c r="J7" i="6"/>
  <c r="I7" i="6"/>
  <c r="H7" i="6"/>
  <c r="G7" i="6"/>
  <c r="F7" i="6"/>
  <c r="E7" i="6"/>
  <c r="D7" i="6"/>
  <c r="C7" i="6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G44" i="13"/>
  <c r="F44" i="13"/>
  <c r="E44" i="13"/>
  <c r="G43" i="13"/>
  <c r="F43" i="13"/>
  <c r="E43" i="13"/>
  <c r="G42" i="13"/>
  <c r="F42" i="13"/>
  <c r="E42" i="13"/>
  <c r="D42" i="13"/>
  <c r="G41" i="13"/>
  <c r="F41" i="13"/>
  <c r="E41" i="13"/>
  <c r="G40" i="13"/>
  <c r="F40" i="13"/>
  <c r="E40" i="13"/>
  <c r="G39" i="13"/>
  <c r="F39" i="13"/>
  <c r="E39" i="13"/>
  <c r="G38" i="13"/>
  <c r="F38" i="13"/>
  <c r="E38" i="13"/>
  <c r="D38" i="13"/>
  <c r="G37" i="13"/>
  <c r="F37" i="13"/>
  <c r="E37" i="13"/>
  <c r="AT44" i="1"/>
  <c r="K44" i="1"/>
  <c r="J44" i="1"/>
  <c r="H44" i="1"/>
  <c r="E44" i="1"/>
  <c r="D44" i="13" s="1"/>
  <c r="AT43" i="1"/>
  <c r="K43" i="1"/>
  <c r="J43" i="1"/>
  <c r="H43" i="1"/>
  <c r="E43" i="1"/>
  <c r="D43" i="13" s="1"/>
  <c r="AT42" i="1"/>
  <c r="K42" i="1"/>
  <c r="J42" i="1"/>
  <c r="H42" i="1"/>
  <c r="E42" i="1"/>
  <c r="AT41" i="1"/>
  <c r="K41" i="1"/>
  <c r="J41" i="1"/>
  <c r="H41" i="1"/>
  <c r="E41" i="1"/>
  <c r="D41" i="13" s="1"/>
  <c r="AT40" i="1"/>
  <c r="K40" i="1"/>
  <c r="J40" i="1"/>
  <c r="H40" i="1"/>
  <c r="E40" i="1"/>
  <c r="D40" i="13" s="1"/>
  <c r="AT39" i="1"/>
  <c r="K39" i="1"/>
  <c r="J39" i="1"/>
  <c r="H39" i="1"/>
  <c r="E39" i="1"/>
  <c r="D39" i="13" s="1"/>
  <c r="AT38" i="1"/>
  <c r="K38" i="1"/>
  <c r="J38" i="1"/>
  <c r="H38" i="1"/>
  <c r="E38" i="1"/>
  <c r="AT37" i="1"/>
  <c r="K37" i="1"/>
  <c r="J37" i="1"/>
  <c r="H37" i="1"/>
  <c r="E37" i="1"/>
  <c r="D37" i="13" s="1"/>
  <c r="E7" i="9"/>
  <c r="D7" i="9"/>
  <c r="C7" i="9"/>
  <c r="B7" i="9"/>
  <c r="AA62" i="6"/>
  <c r="H62" i="6"/>
  <c r="AA33" i="12" s="1"/>
  <c r="G62" i="6"/>
  <c r="F62" i="6"/>
  <c r="AJ62" i="6" s="1"/>
  <c r="AA61" i="6"/>
  <c r="H61" i="6"/>
  <c r="G61" i="6"/>
  <c r="F61" i="6"/>
  <c r="Z32" i="12" s="1"/>
  <c r="AA60" i="6"/>
  <c r="H60" i="6"/>
  <c r="AA31" i="12" s="1"/>
  <c r="G60" i="6"/>
  <c r="F60" i="6"/>
  <c r="AJ60" i="6" s="1"/>
  <c r="AA59" i="6"/>
  <c r="H59" i="6"/>
  <c r="G59" i="6"/>
  <c r="F59" i="6"/>
  <c r="AJ59" i="6" s="1"/>
  <c r="AA58" i="6"/>
  <c r="H58" i="6"/>
  <c r="AA29" i="12" s="1"/>
  <c r="G58" i="6"/>
  <c r="F58" i="6"/>
  <c r="AJ58" i="6" s="1"/>
  <c r="AA57" i="6"/>
  <c r="H57" i="6"/>
  <c r="AA28" i="12" s="1"/>
  <c r="G57" i="6"/>
  <c r="F57" i="6"/>
  <c r="AJ57" i="6" s="1"/>
  <c r="F65" i="5"/>
  <c r="M33" i="12" s="1"/>
  <c r="E65" i="5"/>
  <c r="D65" i="5"/>
  <c r="L33" i="12" s="1"/>
  <c r="F64" i="5"/>
  <c r="E64" i="5"/>
  <c r="D64" i="5"/>
  <c r="L32" i="12" s="1"/>
  <c r="F63" i="5"/>
  <c r="M31" i="12" s="1"/>
  <c r="E63" i="5"/>
  <c r="D63" i="5"/>
  <c r="L31" i="12" s="1"/>
  <c r="F62" i="5"/>
  <c r="M30" i="12" s="1"/>
  <c r="E62" i="5"/>
  <c r="D62" i="5"/>
  <c r="L30" i="12" s="1"/>
  <c r="F61" i="5"/>
  <c r="M29" i="12" s="1"/>
  <c r="E61" i="5"/>
  <c r="D61" i="5"/>
  <c r="F60" i="5"/>
  <c r="M28" i="12" s="1"/>
  <c r="E60" i="5"/>
  <c r="D60" i="5"/>
  <c r="L28" i="12" s="1"/>
  <c r="BK61" i="4"/>
  <c r="BF61" i="4" a="1"/>
  <c r="BF61" i="4" s="1"/>
  <c r="BD61" i="4" a="1"/>
  <c r="BD61" i="4" s="1"/>
  <c r="BB61" i="4" a="1"/>
  <c r="BB61" i="4" s="1"/>
  <c r="BA61" i="4" a="1"/>
  <c r="BA61" i="4" s="1"/>
  <c r="AZ61" i="4" a="1"/>
  <c r="AZ61" i="4" s="1"/>
  <c r="AW61" i="4" a="1"/>
  <c r="AW61" i="4" s="1"/>
  <c r="AL61" i="4"/>
  <c r="BC61" i="4" s="1" a="1"/>
  <c r="BC61" i="4" s="1"/>
  <c r="AJ61" i="4"/>
  <c r="AI61" i="4"/>
  <c r="AH61" i="4"/>
  <c r="AG61" i="4"/>
  <c r="AF61" i="4"/>
  <c r="AE61" i="4"/>
  <c r="AD61" i="4"/>
  <c r="AC61" i="4"/>
  <c r="AB61" i="4"/>
  <c r="AA61" i="4"/>
  <c r="Z61" i="4"/>
  <c r="A61" i="4"/>
  <c r="BK60" i="4"/>
  <c r="BA60" i="4" a="1"/>
  <c r="BA60" i="4" s="1"/>
  <c r="AZ60" i="4" a="1"/>
  <c r="AZ60" i="4" s="1"/>
  <c r="AL60" i="4"/>
  <c r="BF60" i="4" s="1" a="1"/>
  <c r="BF60" i="4" s="1"/>
  <c r="AJ60" i="4"/>
  <c r="AI60" i="4"/>
  <c r="AH60" i="4"/>
  <c r="AG60" i="4"/>
  <c r="AF60" i="4"/>
  <c r="AE60" i="4"/>
  <c r="AD60" i="4"/>
  <c r="AC60" i="4"/>
  <c r="AB60" i="4"/>
  <c r="AA60" i="4"/>
  <c r="Z60" i="4"/>
  <c r="A60" i="4"/>
  <c r="BK59" i="4"/>
  <c r="BA59" i="4" a="1"/>
  <c r="BA59" i="4" s="1"/>
  <c r="AZ59" i="4" a="1"/>
  <c r="AZ59" i="4" s="1"/>
  <c r="AY59" i="4" a="1"/>
  <c r="AY59" i="4" s="1"/>
  <c r="AX59" i="4" a="1"/>
  <c r="AX59" i="4" s="1"/>
  <c r="AL59" i="4"/>
  <c r="BE59" i="4" s="1" a="1"/>
  <c r="BE59" i="4" s="1"/>
  <c r="AJ59" i="4"/>
  <c r="AI59" i="4"/>
  <c r="AH59" i="4"/>
  <c r="AG59" i="4"/>
  <c r="AF59" i="4"/>
  <c r="AE59" i="4"/>
  <c r="AD59" i="4"/>
  <c r="AC59" i="4"/>
  <c r="AB59" i="4"/>
  <c r="AA59" i="4"/>
  <c r="Z59" i="4"/>
  <c r="A59" i="4"/>
  <c r="BK58" i="4"/>
  <c r="AL58" i="4"/>
  <c r="BB58" i="4" s="1" a="1"/>
  <c r="BB58" i="4" s="1"/>
  <c r="AJ58" i="4"/>
  <c r="AI58" i="4"/>
  <c r="AH58" i="4"/>
  <c r="AG58" i="4"/>
  <c r="AF58" i="4"/>
  <c r="AE58" i="4"/>
  <c r="AD58" i="4"/>
  <c r="AC58" i="4"/>
  <c r="AB58" i="4"/>
  <c r="AA58" i="4"/>
  <c r="Z58" i="4"/>
  <c r="A58" i="4"/>
  <c r="BK57" i="4"/>
  <c r="BF57" i="4" a="1"/>
  <c r="BF57" i="4" s="1"/>
  <c r="BD57" i="4" a="1"/>
  <c r="BD57" i="4" s="1"/>
  <c r="BA57" i="4" a="1"/>
  <c r="BA57" i="4" s="1"/>
  <c r="AZ57" i="4" a="1"/>
  <c r="AZ57" i="4" s="1"/>
  <c r="AX57" i="4" a="1"/>
  <c r="AX57" i="4" s="1"/>
  <c r="AW57" i="4" a="1"/>
  <c r="AW57" i="4" s="1"/>
  <c r="AL57" i="4"/>
  <c r="BC57" i="4" s="1" a="1"/>
  <c r="BC57" i="4" s="1"/>
  <c r="AJ57" i="4"/>
  <c r="AI57" i="4"/>
  <c r="AH57" i="4"/>
  <c r="AG57" i="4"/>
  <c r="AF57" i="4"/>
  <c r="AE57" i="4"/>
  <c r="AD57" i="4"/>
  <c r="AC57" i="4"/>
  <c r="AB57" i="4"/>
  <c r="AA57" i="4"/>
  <c r="Z57" i="4"/>
  <c r="A57" i="4"/>
  <c r="BK56" i="4"/>
  <c r="BD56" i="4" a="1"/>
  <c r="BD56" i="4" s="1"/>
  <c r="AZ56" i="4" a="1"/>
  <c r="AZ56" i="4" s="1"/>
  <c r="AY56" i="4" a="1"/>
  <c r="AY56" i="4" s="1"/>
  <c r="AW56" i="4" a="1"/>
  <c r="AW56" i="4" s="1"/>
  <c r="AL56" i="4"/>
  <c r="BF56" i="4" s="1" a="1"/>
  <c r="BF56" i="4" s="1"/>
  <c r="AJ56" i="4"/>
  <c r="AI56" i="4"/>
  <c r="AH56" i="4"/>
  <c r="AG56" i="4"/>
  <c r="AF56" i="4"/>
  <c r="AE56" i="4"/>
  <c r="AD56" i="4"/>
  <c r="AC56" i="4"/>
  <c r="AB56" i="4"/>
  <c r="AA56" i="4"/>
  <c r="Z56" i="4"/>
  <c r="A56" i="4"/>
  <c r="C59" i="6" l="1"/>
  <c r="Y30" i="12" s="1"/>
  <c r="C61" i="6"/>
  <c r="Y32" i="12" s="1"/>
  <c r="Z28" i="12"/>
  <c r="Z30" i="12"/>
  <c r="AA32" i="12"/>
  <c r="AA30" i="12"/>
  <c r="Z33" i="12"/>
  <c r="C57" i="6"/>
  <c r="Y28" i="12" s="1"/>
  <c r="C60" i="6"/>
  <c r="Y31" i="12" s="1"/>
  <c r="Z29" i="12"/>
  <c r="Z31" i="12"/>
  <c r="A61" i="5"/>
  <c r="B61" i="5" s="1"/>
  <c r="L29" i="12"/>
  <c r="A64" i="5"/>
  <c r="B64" i="5" s="1"/>
  <c r="K32" i="12" s="1"/>
  <c r="M32" i="12"/>
  <c r="A62" i="5"/>
  <c r="B62" i="5" s="1"/>
  <c r="K30" i="12" s="1"/>
  <c r="F7" i="9"/>
  <c r="R7" i="6"/>
  <c r="C58" i="6"/>
  <c r="Y29" i="12" s="1"/>
  <c r="A60" i="5"/>
  <c r="B60" i="5" s="1"/>
  <c r="K28" i="12" s="1"/>
  <c r="A63" i="5"/>
  <c r="B63" i="5" s="1"/>
  <c r="K31" i="12" s="1"/>
  <c r="AJ61" i="6"/>
  <c r="C62" i="6"/>
  <c r="Y33" i="12" s="1"/>
  <c r="A65" i="5"/>
  <c r="B65" i="5" s="1"/>
  <c r="K33" i="12" s="1"/>
  <c r="AX61" i="4" a="1"/>
  <c r="AX61" i="4" s="1"/>
  <c r="BE61" i="4" a="1"/>
  <c r="BE61" i="4" s="1"/>
  <c r="AW60" i="4" a="1"/>
  <c r="AW60" i="4" s="1"/>
  <c r="AY60" i="4" a="1"/>
  <c r="AY60" i="4" s="1"/>
  <c r="BC60" i="4" a="1"/>
  <c r="BC60" i="4" s="1"/>
  <c r="BD60" i="4" a="1"/>
  <c r="BD60" i="4" s="1"/>
  <c r="BE60" i="4" a="1"/>
  <c r="BE60" i="4" s="1"/>
  <c r="AW59" i="4" a="1"/>
  <c r="AW59" i="4" s="1"/>
  <c r="BF59" i="4" a="1"/>
  <c r="BF59" i="4" s="1"/>
  <c r="BB59" i="4" a="1"/>
  <c r="BB59" i="4" s="1"/>
  <c r="BC59" i="4" a="1"/>
  <c r="BC59" i="4" s="1"/>
  <c r="BD59" i="4" a="1"/>
  <c r="BD59" i="4" s="1"/>
  <c r="BB57" i="4" a="1"/>
  <c r="BB57" i="4" s="1"/>
  <c r="BE57" i="4" a="1"/>
  <c r="BE57" i="4" s="1"/>
  <c r="BA56" i="4" a="1"/>
  <c r="BA56" i="4" s="1"/>
  <c r="BC56" i="4" a="1"/>
  <c r="BC56" i="4" s="1"/>
  <c r="BE56" i="4" a="1"/>
  <c r="BE56" i="4" s="1"/>
  <c r="AX58" i="4" a="1"/>
  <c r="AX58" i="4" s="1"/>
  <c r="BE58" i="4" a="1"/>
  <c r="BE58" i="4" s="1"/>
  <c r="BA58" i="4" a="1"/>
  <c r="BA58" i="4" s="1"/>
  <c r="AW58" i="4" a="1"/>
  <c r="AW58" i="4" s="1"/>
  <c r="BC58" i="4" a="1"/>
  <c r="BC58" i="4" s="1"/>
  <c r="AY58" i="4" a="1"/>
  <c r="AY58" i="4" s="1"/>
  <c r="BD58" i="4" a="1"/>
  <c r="BD58" i="4" s="1"/>
  <c r="AZ58" i="4" a="1"/>
  <c r="AZ58" i="4" s="1"/>
  <c r="BF58" i="4" a="1"/>
  <c r="BF58" i="4" s="1"/>
  <c r="AX56" i="4" a="1"/>
  <c r="AX56" i="4" s="1"/>
  <c r="BB56" i="4" a="1"/>
  <c r="BB56" i="4" s="1"/>
  <c r="AY57" i="4" a="1"/>
  <c r="AY57" i="4" s="1"/>
  <c r="AX60" i="4" a="1"/>
  <c r="AX60" i="4" s="1"/>
  <c r="BB60" i="4" a="1"/>
  <c r="BB60" i="4" s="1"/>
  <c r="AY61" i="4" a="1"/>
  <c r="AY61" i="4" s="1"/>
  <c r="A28" i="7" l="1"/>
  <c r="A30" i="10"/>
  <c r="A30" i="7"/>
  <c r="A28" i="10"/>
  <c r="A27" i="10"/>
  <c r="A27" i="7"/>
  <c r="K29" i="12"/>
  <c r="A26" i="7"/>
  <c r="A26" i="10"/>
  <c r="A31" i="10"/>
  <c r="A31" i="7"/>
  <c r="A29" i="10"/>
  <c r="A29" i="7"/>
  <c r="Z20" i="6" l="1"/>
  <c r="R31" i="5" l="1"/>
  <c r="H166" i="12" s="1"/>
  <c r="W165" i="12"/>
  <c r="Z171" i="12" s="1"/>
  <c r="M171" i="12"/>
  <c r="AT69" i="1" l="1"/>
  <c r="V4" i="13" l="1"/>
  <c r="V5" i="13"/>
  <c r="V6" i="13"/>
  <c r="V3" i="13"/>
  <c r="N48" i="13" l="1"/>
  <c r="N51" i="13"/>
  <c r="N49" i="13"/>
  <c r="N50" i="13"/>
  <c r="N45" i="13"/>
  <c r="N52" i="13"/>
  <c r="N47" i="13"/>
  <c r="N46" i="13"/>
  <c r="V19" i="6"/>
  <c r="O2" i="1" l="1"/>
  <c r="D5" i="6" l="1"/>
  <c r="D6" i="6"/>
  <c r="A2" i="11" l="1"/>
  <c r="N2" i="11" s="1"/>
  <c r="H171" i="12" l="1"/>
  <c r="H172" i="12"/>
  <c r="AL21" i="1" l="1"/>
  <c r="AL32" i="4" l="1"/>
  <c r="AN3" i="1" l="1"/>
  <c r="AN2" i="1"/>
  <c r="M181" i="1"/>
  <c r="AT3" i="1" l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33" i="1"/>
  <c r="AT134" i="1"/>
  <c r="AT141" i="1"/>
  <c r="AT142" i="1"/>
  <c r="AT149" i="1"/>
  <c r="AT150" i="1"/>
  <c r="AT151" i="1"/>
  <c r="AT152" i="1"/>
  <c r="AT153" i="1"/>
  <c r="AT154" i="1"/>
  <c r="AT155" i="1"/>
  <c r="AT156" i="1"/>
  <c r="AT157" i="1"/>
  <c r="AT158" i="1"/>
  <c r="AT165" i="1"/>
  <c r="AT166" i="1"/>
  <c r="AT173" i="1"/>
  <c r="AT174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205" i="1"/>
  <c r="AT206" i="1"/>
  <c r="AT2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205" i="1"/>
  <c r="M206" i="1"/>
  <c r="M2" i="1"/>
  <c r="U16" i="13" l="1"/>
  <c r="U19" i="13"/>
  <c r="U18" i="13"/>
  <c r="U17" i="13"/>
  <c r="G3" i="13"/>
  <c r="G4" i="13"/>
  <c r="G5" i="13"/>
  <c r="G6" i="13"/>
  <c r="G7" i="13"/>
  <c r="J7" i="13" s="1"/>
  <c r="G8" i="13"/>
  <c r="G9" i="13"/>
  <c r="G10" i="13"/>
  <c r="G11" i="13"/>
  <c r="G12" i="13"/>
  <c r="G13" i="13"/>
  <c r="G14" i="13"/>
  <c r="G15" i="13"/>
  <c r="G16" i="13"/>
  <c r="J16" i="13" s="1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33" i="13"/>
  <c r="G134" i="13"/>
  <c r="G141" i="13"/>
  <c r="G142" i="13"/>
  <c r="G149" i="13"/>
  <c r="G150" i="13"/>
  <c r="G151" i="13"/>
  <c r="G152" i="13"/>
  <c r="G153" i="13"/>
  <c r="G154" i="13"/>
  <c r="G155" i="13"/>
  <c r="G156" i="13"/>
  <c r="G157" i="13"/>
  <c r="G158" i="13"/>
  <c r="G165" i="13"/>
  <c r="G166" i="13"/>
  <c r="G173" i="13"/>
  <c r="G174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205" i="13"/>
  <c r="G206" i="13"/>
  <c r="G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" i="13"/>
  <c r="B3" i="13"/>
  <c r="C3" i="13"/>
  <c r="E3" i="13"/>
  <c r="B4" i="13"/>
  <c r="C4" i="13"/>
  <c r="E4" i="13"/>
  <c r="C5" i="13"/>
  <c r="E5" i="13"/>
  <c r="C6" i="13"/>
  <c r="E6" i="13"/>
  <c r="C7" i="13"/>
  <c r="E7" i="13"/>
  <c r="C8" i="13"/>
  <c r="E8" i="13"/>
  <c r="C9" i="13"/>
  <c r="E9" i="13"/>
  <c r="C10" i="13"/>
  <c r="E10" i="13"/>
  <c r="C11" i="13"/>
  <c r="E11" i="13"/>
  <c r="C12" i="13"/>
  <c r="E12" i="13"/>
  <c r="C13" i="13"/>
  <c r="E13" i="13"/>
  <c r="C14" i="13"/>
  <c r="E14" i="13"/>
  <c r="C15" i="13"/>
  <c r="E15" i="13"/>
  <c r="C16" i="13"/>
  <c r="E16" i="13"/>
  <c r="C17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C2" i="13"/>
  <c r="E2" i="13"/>
  <c r="B2" i="13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33" i="1"/>
  <c r="K134" i="1"/>
  <c r="K141" i="1"/>
  <c r="K142" i="1"/>
  <c r="K149" i="1"/>
  <c r="K150" i="1"/>
  <c r="K151" i="1"/>
  <c r="K152" i="1"/>
  <c r="K153" i="1"/>
  <c r="K154" i="1"/>
  <c r="K155" i="1"/>
  <c r="K156" i="1"/>
  <c r="K157" i="1"/>
  <c r="K158" i="1"/>
  <c r="K165" i="1"/>
  <c r="K166" i="1"/>
  <c r="K173" i="1"/>
  <c r="K174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205" i="1"/>
  <c r="K206" i="1"/>
  <c r="A2" i="13" l="1"/>
  <c r="A17" i="13"/>
  <c r="A16" i="13"/>
  <c r="A4" i="13"/>
  <c r="A15" i="13"/>
  <c r="A3" i="13"/>
  <c r="A14" i="13"/>
  <c r="A13" i="13"/>
  <c r="O7" i="13"/>
  <c r="P7" i="13" s="1"/>
  <c r="J10" i="13"/>
  <c r="J17" i="13"/>
  <c r="J9" i="13"/>
  <c r="J2" i="13"/>
  <c r="J13" i="13"/>
  <c r="J5" i="13"/>
  <c r="J20" i="13"/>
  <c r="J12" i="13"/>
  <c r="J4" i="13"/>
  <c r="J19" i="13"/>
  <c r="J11" i="13"/>
  <c r="J3" i="13"/>
  <c r="J15" i="13"/>
  <c r="J8" i="13"/>
  <c r="J14" i="13"/>
  <c r="J6" i="13"/>
  <c r="O206" i="13"/>
  <c r="O16" i="13"/>
  <c r="J18" i="13"/>
  <c r="O183" i="13" l="1"/>
  <c r="P183" i="13" s="1"/>
  <c r="E183" i="11" s="1"/>
  <c r="N7" i="13"/>
  <c r="O182" i="13"/>
  <c r="N182" i="13" s="1"/>
  <c r="O4" i="13"/>
  <c r="N4" i="13" s="1"/>
  <c r="O198" i="13"/>
  <c r="N198" i="13" s="1"/>
  <c r="O190" i="13"/>
  <c r="N190" i="13" s="1"/>
  <c r="O2" i="13"/>
  <c r="P2" i="13" s="1"/>
  <c r="L2" i="13"/>
  <c r="O5" i="13"/>
  <c r="N5" i="13" s="1"/>
  <c r="O8" i="13"/>
  <c r="N8" i="13" s="1"/>
  <c r="O3" i="13"/>
  <c r="P3" i="13" s="1"/>
  <c r="O6" i="13"/>
  <c r="N6" i="13" s="1"/>
  <c r="O11" i="13"/>
  <c r="N11" i="13" s="1"/>
  <c r="O10" i="13"/>
  <c r="P10" i="13" s="1"/>
  <c r="O197" i="13"/>
  <c r="P197" i="13" s="1"/>
  <c r="E197" i="11" s="1"/>
  <c r="O191" i="13"/>
  <c r="P191" i="13" s="1"/>
  <c r="E191" i="11" s="1"/>
  <c r="O187" i="13"/>
  <c r="N187" i="13" s="1"/>
  <c r="O205" i="13"/>
  <c r="P205" i="13" s="1"/>
  <c r="E205" i="11" s="1"/>
  <c r="O20" i="13"/>
  <c r="P20" i="13" s="1"/>
  <c r="N16" i="13"/>
  <c r="P16" i="13"/>
  <c r="N206" i="13"/>
  <c r="P206" i="13"/>
  <c r="E206" i="11" s="1"/>
  <c r="O14" i="13"/>
  <c r="O196" i="13"/>
  <c r="O9" i="13"/>
  <c r="O15" i="13"/>
  <c r="O17" i="13"/>
  <c r="O195" i="13"/>
  <c r="O19" i="13"/>
  <c r="O12" i="13"/>
  <c r="O194" i="13"/>
  <c r="O181" i="13"/>
  <c r="O13" i="13"/>
  <c r="O188" i="13"/>
  <c r="O189" i="13"/>
  <c r="O186" i="13"/>
  <c r="O192" i="13"/>
  <c r="O193" i="13"/>
  <c r="O185" i="13"/>
  <c r="O184" i="13"/>
  <c r="O18" i="13"/>
  <c r="N183" i="13" l="1"/>
  <c r="P182" i="13"/>
  <c r="E182" i="11" s="1"/>
  <c r="P4" i="13"/>
  <c r="P190" i="13"/>
  <c r="E190" i="11" s="1"/>
  <c r="P6" i="13"/>
  <c r="N197" i="13"/>
  <c r="N10" i="13"/>
  <c r="P8" i="13"/>
  <c r="P198" i="13"/>
  <c r="E198" i="11" s="1"/>
  <c r="P187" i="13"/>
  <c r="E187" i="11" s="1"/>
  <c r="N3" i="13"/>
  <c r="N2" i="13"/>
  <c r="N191" i="13"/>
  <c r="N205" i="13"/>
  <c r="P11" i="13"/>
  <c r="P5" i="13"/>
  <c r="N20" i="13"/>
  <c r="N193" i="13"/>
  <c r="P193" i="13"/>
  <c r="E193" i="11" s="1"/>
  <c r="N195" i="13"/>
  <c r="P195" i="13"/>
  <c r="E195" i="11" s="1"/>
  <c r="N18" i="13"/>
  <c r="P18" i="13"/>
  <c r="N188" i="13"/>
  <c r="P188" i="13"/>
  <c r="E188" i="11" s="1"/>
  <c r="N194" i="13"/>
  <c r="P194" i="13"/>
  <c r="E194" i="11" s="1"/>
  <c r="N14" i="13"/>
  <c r="P14" i="13"/>
  <c r="N184" i="13"/>
  <c r="P184" i="13"/>
  <c r="E184" i="11" s="1"/>
  <c r="N181" i="13"/>
  <c r="P181" i="13"/>
  <c r="E181" i="11" s="1"/>
  <c r="N9" i="13"/>
  <c r="P9" i="13"/>
  <c r="N189" i="13"/>
  <c r="P189" i="13"/>
  <c r="E189" i="11" s="1"/>
  <c r="N19" i="13"/>
  <c r="P19" i="13"/>
  <c r="N196" i="13"/>
  <c r="P196" i="13"/>
  <c r="E196" i="11" s="1"/>
  <c r="N192" i="13"/>
  <c r="P192" i="13"/>
  <c r="E192" i="11" s="1"/>
  <c r="N17" i="13"/>
  <c r="P17" i="13"/>
  <c r="N13" i="13"/>
  <c r="P13" i="13"/>
  <c r="N15" i="13"/>
  <c r="P15" i="13"/>
  <c r="N185" i="13"/>
  <c r="P185" i="13"/>
  <c r="E185" i="11" s="1"/>
  <c r="N186" i="13"/>
  <c r="P186" i="13"/>
  <c r="E186" i="11" s="1"/>
  <c r="N12" i="13"/>
  <c r="P12" i="13"/>
  <c r="AM2" i="1" l="1"/>
  <c r="E109" i="1" l="1"/>
  <c r="D109" i="13" s="1"/>
  <c r="E110" i="1"/>
  <c r="D110" i="13" s="1"/>
  <c r="E111" i="1"/>
  <c r="D111" i="13" s="1"/>
  <c r="E112" i="1"/>
  <c r="D112" i="13" s="1"/>
  <c r="E113" i="1"/>
  <c r="D113" i="13" s="1"/>
  <c r="E114" i="1"/>
  <c r="D114" i="13" s="1"/>
  <c r="E115" i="1"/>
  <c r="D115" i="13" s="1"/>
  <c r="E116" i="1"/>
  <c r="D116" i="13" s="1"/>
  <c r="E117" i="1"/>
  <c r="D117" i="13" s="1"/>
  <c r="E118" i="1"/>
  <c r="D118" i="13" s="1"/>
  <c r="E119" i="1"/>
  <c r="D119" i="13" s="1"/>
  <c r="E120" i="1"/>
  <c r="D120" i="13" s="1"/>
  <c r="E121" i="1"/>
  <c r="D121" i="13" s="1"/>
  <c r="E122" i="1"/>
  <c r="D122" i="13" s="1"/>
  <c r="E123" i="1"/>
  <c r="D123" i="13" s="1"/>
  <c r="E124" i="1"/>
  <c r="D124" i="13" s="1"/>
  <c r="E181" i="1"/>
  <c r="D181" i="13" s="1"/>
  <c r="E182" i="1"/>
  <c r="D182" i="13" s="1"/>
  <c r="E183" i="1"/>
  <c r="D183" i="13" s="1"/>
  <c r="E184" i="1"/>
  <c r="D184" i="13" s="1"/>
  <c r="E185" i="1"/>
  <c r="D185" i="13" s="1"/>
  <c r="E186" i="1"/>
  <c r="D186" i="13" s="1"/>
  <c r="E187" i="1"/>
  <c r="D187" i="13" s="1"/>
  <c r="E188" i="1"/>
  <c r="D188" i="13" s="1"/>
  <c r="E189" i="1"/>
  <c r="D189" i="13" s="1"/>
  <c r="E190" i="1"/>
  <c r="D190" i="13" s="1"/>
  <c r="E191" i="1"/>
  <c r="D191" i="13" s="1"/>
  <c r="E192" i="1"/>
  <c r="D192" i="13" s="1"/>
  <c r="E193" i="1"/>
  <c r="D193" i="13" s="1"/>
  <c r="E194" i="1"/>
  <c r="D194" i="13" s="1"/>
  <c r="E195" i="1"/>
  <c r="D195" i="13" s="1"/>
  <c r="E196" i="1"/>
  <c r="D196" i="13" s="1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E149" i="1"/>
  <c r="D149" i="13" s="1"/>
  <c r="E150" i="1"/>
  <c r="D150" i="13" s="1"/>
  <c r="E151" i="1"/>
  <c r="D151" i="13" s="1"/>
  <c r="E152" i="1"/>
  <c r="D152" i="13" s="1"/>
  <c r="E153" i="1"/>
  <c r="D153" i="13" s="1"/>
  <c r="E154" i="1"/>
  <c r="D154" i="13" s="1"/>
  <c r="E155" i="1"/>
  <c r="D155" i="13" s="1"/>
  <c r="E156" i="1"/>
  <c r="D156" i="13" s="1"/>
  <c r="J149" i="1"/>
  <c r="J150" i="1"/>
  <c r="J151" i="1"/>
  <c r="J152" i="1"/>
  <c r="J153" i="1"/>
  <c r="J154" i="1"/>
  <c r="J155" i="1"/>
  <c r="J156" i="1"/>
  <c r="H149" i="1"/>
  <c r="H150" i="1"/>
  <c r="H151" i="1"/>
  <c r="H152" i="1"/>
  <c r="H153" i="1"/>
  <c r="H154" i="1"/>
  <c r="H155" i="1"/>
  <c r="H156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H118" i="1"/>
  <c r="H119" i="1"/>
  <c r="H120" i="1"/>
  <c r="H121" i="1"/>
  <c r="H122" i="1"/>
  <c r="H123" i="1"/>
  <c r="H124" i="1"/>
  <c r="H117" i="1"/>
  <c r="H109" i="1"/>
  <c r="H110" i="1"/>
  <c r="H111" i="1"/>
  <c r="H112" i="1"/>
  <c r="H113" i="1"/>
  <c r="H114" i="1"/>
  <c r="H115" i="1"/>
  <c r="H116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85" i="1"/>
  <c r="E92" i="1"/>
  <c r="D92" i="13" s="1"/>
  <c r="E91" i="1"/>
  <c r="D91" i="13" s="1"/>
  <c r="E90" i="1"/>
  <c r="D90" i="13" s="1"/>
  <c r="E89" i="1"/>
  <c r="D89" i="13" s="1"/>
  <c r="E88" i="1"/>
  <c r="D88" i="13" s="1"/>
  <c r="E87" i="1"/>
  <c r="D87" i="13" s="1"/>
  <c r="E86" i="1"/>
  <c r="D86" i="13" s="1"/>
  <c r="E85" i="1"/>
  <c r="D85" i="13" s="1"/>
  <c r="E69" i="1"/>
  <c r="D69" i="13" s="1"/>
  <c r="E70" i="1"/>
  <c r="D70" i="13" s="1"/>
  <c r="E71" i="1"/>
  <c r="D71" i="13" s="1"/>
  <c r="E72" i="1"/>
  <c r="D72" i="13" s="1"/>
  <c r="E73" i="1"/>
  <c r="D73" i="13" s="1"/>
  <c r="E74" i="1"/>
  <c r="D74" i="13" s="1"/>
  <c r="E75" i="1"/>
  <c r="D75" i="13" s="1"/>
  <c r="E76" i="1"/>
  <c r="D76" i="13" s="1"/>
  <c r="E77" i="1"/>
  <c r="D77" i="13" s="1"/>
  <c r="E78" i="1"/>
  <c r="D78" i="13" s="1"/>
  <c r="E79" i="1"/>
  <c r="D79" i="13" s="1"/>
  <c r="E80" i="1"/>
  <c r="D80" i="13" s="1"/>
  <c r="E81" i="1"/>
  <c r="D81" i="13" s="1"/>
  <c r="E82" i="1"/>
  <c r="D82" i="13" s="1"/>
  <c r="E83" i="1"/>
  <c r="D83" i="13" s="1"/>
  <c r="E84" i="1"/>
  <c r="D84" i="13" s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E3" i="10"/>
  <c r="E4" i="10"/>
  <c r="E5" i="10"/>
  <c r="E6" i="10"/>
  <c r="E7" i="10"/>
  <c r="D20" i="9"/>
  <c r="D21" i="9"/>
  <c r="D22" i="9"/>
  <c r="D23" i="9"/>
  <c r="D24" i="9"/>
  <c r="D25" i="9"/>
  <c r="D26" i="9"/>
  <c r="D27" i="9"/>
  <c r="D28" i="9"/>
  <c r="B28" i="9"/>
  <c r="C28" i="9"/>
  <c r="C20" i="9"/>
  <c r="C21" i="9"/>
  <c r="C22" i="9"/>
  <c r="C23" i="9"/>
  <c r="C24" i="9"/>
  <c r="C25" i="9"/>
  <c r="C26" i="9"/>
  <c r="C27" i="9"/>
  <c r="B23" i="9"/>
  <c r="B24" i="9"/>
  <c r="B25" i="9"/>
  <c r="B26" i="9"/>
  <c r="B27" i="9"/>
  <c r="B4" i="9"/>
  <c r="B5" i="9"/>
  <c r="B6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H135" i="6"/>
  <c r="AA106" i="12" s="1"/>
  <c r="H136" i="6"/>
  <c r="AA107" i="12" s="1"/>
  <c r="H137" i="6"/>
  <c r="AA108" i="12" s="1"/>
  <c r="H138" i="6"/>
  <c r="H139" i="6"/>
  <c r="AA110" i="12" s="1"/>
  <c r="H140" i="6"/>
  <c r="AA111" i="12" s="1"/>
  <c r="W111" i="12" s="1"/>
  <c r="H141" i="6"/>
  <c r="AA112" i="12" s="1"/>
  <c r="H142" i="6"/>
  <c r="AA113" i="12" s="1"/>
  <c r="H143" i="6"/>
  <c r="AA114" i="12" s="1"/>
  <c r="H144" i="6"/>
  <c r="AA115" i="12" s="1"/>
  <c r="H145" i="6"/>
  <c r="AA116" i="12" s="1"/>
  <c r="H146" i="6"/>
  <c r="AA117" i="12" s="1"/>
  <c r="W117" i="12" s="1"/>
  <c r="H147" i="6"/>
  <c r="AA118" i="12" s="1"/>
  <c r="H148" i="6"/>
  <c r="AA119" i="12" s="1"/>
  <c r="H149" i="6"/>
  <c r="AA120" i="12" s="1"/>
  <c r="H150" i="6"/>
  <c r="AA121" i="12" s="1"/>
  <c r="H151" i="6"/>
  <c r="AA122" i="12" s="1"/>
  <c r="H152" i="6"/>
  <c r="AA123" i="12" s="1"/>
  <c r="W123" i="12" s="1"/>
  <c r="H153" i="6"/>
  <c r="AA124" i="12" s="1"/>
  <c r="H154" i="6"/>
  <c r="H155" i="6"/>
  <c r="AA126" i="12" s="1"/>
  <c r="H156" i="6"/>
  <c r="H157" i="6"/>
  <c r="AA128" i="12" s="1"/>
  <c r="H158" i="6"/>
  <c r="AA129" i="12" s="1"/>
  <c r="W129" i="12" s="1"/>
  <c r="H159" i="6"/>
  <c r="AA130" i="12" s="1"/>
  <c r="H160" i="6"/>
  <c r="AA131" i="12" s="1"/>
  <c r="H161" i="6"/>
  <c r="AA132" i="12" s="1"/>
  <c r="H162" i="6"/>
  <c r="AA133" i="12" s="1"/>
  <c r="H163" i="6"/>
  <c r="AA134" i="12" s="1"/>
  <c r="H164" i="6"/>
  <c r="AA135" i="12" s="1"/>
  <c r="W135" i="12" s="1"/>
  <c r="H165" i="6"/>
  <c r="AA136" i="12" s="1"/>
  <c r="H166" i="6"/>
  <c r="AA137" i="12" s="1"/>
  <c r="H167" i="6"/>
  <c r="AA138" i="12" s="1"/>
  <c r="H168" i="6"/>
  <c r="AA139" i="12" s="1"/>
  <c r="H169" i="6"/>
  <c r="AA140" i="12" s="1"/>
  <c r="H170" i="6"/>
  <c r="AA141" i="12" s="1"/>
  <c r="W141" i="12" s="1"/>
  <c r="H171" i="6"/>
  <c r="H172" i="6"/>
  <c r="AA143" i="12" s="1"/>
  <c r="H173" i="6"/>
  <c r="AA144" i="12" s="1"/>
  <c r="H174" i="6"/>
  <c r="AA145" i="12" s="1"/>
  <c r="H175" i="6"/>
  <c r="AA146" i="12" s="1"/>
  <c r="H176" i="6"/>
  <c r="AA147" i="12" s="1"/>
  <c r="W147" i="12" s="1"/>
  <c r="H177" i="6"/>
  <c r="AA148" i="12" s="1"/>
  <c r="H178" i="6"/>
  <c r="AA149" i="12" s="1"/>
  <c r="H179" i="6"/>
  <c r="H180" i="6"/>
  <c r="AA151" i="12" s="1"/>
  <c r="H181" i="6"/>
  <c r="AA152" i="12" s="1"/>
  <c r="H182" i="6"/>
  <c r="AA153" i="12" s="1"/>
  <c r="W153" i="12" s="1"/>
  <c r="H183" i="6"/>
  <c r="AA154" i="12" s="1"/>
  <c r="H184" i="6"/>
  <c r="AA155" i="12" s="1"/>
  <c r="H185" i="6"/>
  <c r="AA156" i="12" s="1"/>
  <c r="H186" i="6"/>
  <c r="AA157" i="12" s="1"/>
  <c r="H187" i="6"/>
  <c r="H188" i="6"/>
  <c r="AA159" i="12" s="1"/>
  <c r="W159" i="12" s="1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F135" i="6"/>
  <c r="F136" i="6"/>
  <c r="AJ136" i="6" s="1"/>
  <c r="F137" i="6"/>
  <c r="AJ137" i="6" s="1"/>
  <c r="F138" i="6"/>
  <c r="Z109" i="12" s="1"/>
  <c r="F139" i="6"/>
  <c r="F140" i="6"/>
  <c r="F141" i="6"/>
  <c r="AJ141" i="6" s="1"/>
  <c r="F142" i="6"/>
  <c r="F143" i="6"/>
  <c r="F144" i="6"/>
  <c r="AJ144" i="6" s="1"/>
  <c r="F145" i="6"/>
  <c r="AJ145" i="6" s="1"/>
  <c r="F146" i="6"/>
  <c r="AJ146" i="6" s="1"/>
  <c r="F147" i="6"/>
  <c r="F148" i="6"/>
  <c r="F149" i="6"/>
  <c r="Z120" i="12" s="1"/>
  <c r="F150" i="6"/>
  <c r="F151" i="6"/>
  <c r="F152" i="6"/>
  <c r="AJ152" i="6" s="1"/>
  <c r="F153" i="6"/>
  <c r="AJ153" i="6" s="1"/>
  <c r="F154" i="6"/>
  <c r="AJ154" i="6" s="1"/>
  <c r="F155" i="6"/>
  <c r="Z126" i="12" s="1"/>
  <c r="F156" i="6"/>
  <c r="F157" i="6"/>
  <c r="F158" i="6"/>
  <c r="F159" i="6"/>
  <c r="F160" i="6"/>
  <c r="AJ160" i="6" s="1"/>
  <c r="F161" i="6"/>
  <c r="AJ161" i="6" s="1"/>
  <c r="F162" i="6"/>
  <c r="AJ162" i="6" s="1"/>
  <c r="F163" i="6"/>
  <c r="AJ163" i="6" s="1"/>
  <c r="F164" i="6"/>
  <c r="AJ164" i="6" s="1"/>
  <c r="F165" i="6"/>
  <c r="F166" i="6"/>
  <c r="F167" i="6"/>
  <c r="F168" i="6"/>
  <c r="AJ168" i="6" s="1"/>
  <c r="F169" i="6"/>
  <c r="AJ169" i="6" s="1"/>
  <c r="F170" i="6"/>
  <c r="AJ170" i="6" s="1"/>
  <c r="F171" i="6"/>
  <c r="AJ171" i="6" s="1"/>
  <c r="F172" i="6"/>
  <c r="AJ172" i="6" s="1"/>
  <c r="F173" i="6"/>
  <c r="AJ173" i="6" s="1"/>
  <c r="F174" i="6"/>
  <c r="F175" i="6"/>
  <c r="F176" i="6"/>
  <c r="Z147" i="12" s="1"/>
  <c r="F177" i="6"/>
  <c r="AJ177" i="6" s="1"/>
  <c r="F178" i="6"/>
  <c r="AJ178" i="6" s="1"/>
  <c r="F179" i="6"/>
  <c r="F180" i="6"/>
  <c r="AJ180" i="6" s="1"/>
  <c r="F181" i="6"/>
  <c r="AJ181" i="6" s="1"/>
  <c r="F182" i="6"/>
  <c r="F183" i="6"/>
  <c r="F184" i="6"/>
  <c r="AJ184" i="6" s="1"/>
  <c r="F185" i="6"/>
  <c r="AJ185" i="6" s="1"/>
  <c r="F186" i="6"/>
  <c r="AJ186" i="6" s="1"/>
  <c r="F187" i="6"/>
  <c r="AJ187" i="6" s="1"/>
  <c r="F188" i="6"/>
  <c r="Z159" i="12" s="1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C21" i="6"/>
  <c r="C22" i="6"/>
  <c r="C23" i="6"/>
  <c r="C24" i="6"/>
  <c r="C25" i="6"/>
  <c r="C26" i="6"/>
  <c r="C27" i="6"/>
  <c r="C28" i="6"/>
  <c r="E21" i="6"/>
  <c r="E22" i="6"/>
  <c r="E23" i="6"/>
  <c r="E24" i="6"/>
  <c r="E25" i="6"/>
  <c r="E26" i="6"/>
  <c r="E27" i="6"/>
  <c r="E28" i="6"/>
  <c r="D21" i="6"/>
  <c r="D22" i="6"/>
  <c r="D23" i="6"/>
  <c r="D24" i="6"/>
  <c r="D25" i="6"/>
  <c r="D26" i="6"/>
  <c r="D27" i="6"/>
  <c r="D28" i="6"/>
  <c r="H29" i="5"/>
  <c r="H5" i="5"/>
  <c r="H6" i="5"/>
  <c r="H7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F27" i="5"/>
  <c r="F28" i="5"/>
  <c r="F29" i="5"/>
  <c r="G29" i="5"/>
  <c r="G22" i="5"/>
  <c r="G23" i="5"/>
  <c r="G24" i="5"/>
  <c r="G25" i="5"/>
  <c r="G26" i="5"/>
  <c r="G27" i="5"/>
  <c r="G28" i="5"/>
  <c r="F22" i="5"/>
  <c r="F23" i="5"/>
  <c r="F24" i="5"/>
  <c r="F25" i="5"/>
  <c r="F26" i="5"/>
  <c r="F5" i="5"/>
  <c r="F6" i="5"/>
  <c r="F7" i="5"/>
  <c r="F10" i="5"/>
  <c r="F11" i="5"/>
  <c r="F12" i="5"/>
  <c r="F13" i="5"/>
  <c r="F14" i="5"/>
  <c r="F15" i="5"/>
  <c r="F16" i="5"/>
  <c r="F17" i="5"/>
  <c r="F18" i="5"/>
  <c r="F19" i="5"/>
  <c r="F20" i="5"/>
  <c r="F21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F144" i="5"/>
  <c r="M112" i="12" s="1"/>
  <c r="F145" i="5"/>
  <c r="M113" i="12" s="1"/>
  <c r="F146" i="5"/>
  <c r="M114" i="12" s="1"/>
  <c r="F147" i="5"/>
  <c r="F148" i="5"/>
  <c r="M116" i="12" s="1"/>
  <c r="F149" i="5"/>
  <c r="M117" i="12" s="1"/>
  <c r="I117" i="12" s="1"/>
  <c r="F150" i="5"/>
  <c r="M118" i="12" s="1"/>
  <c r="F151" i="5"/>
  <c r="M119" i="12" s="1"/>
  <c r="F152" i="5"/>
  <c r="M120" i="12" s="1"/>
  <c r="F153" i="5"/>
  <c r="M121" i="12" s="1"/>
  <c r="F154" i="5"/>
  <c r="M122" i="12" s="1"/>
  <c r="F155" i="5"/>
  <c r="M123" i="12" s="1"/>
  <c r="I123" i="12" s="1"/>
  <c r="F156" i="5"/>
  <c r="M124" i="12" s="1"/>
  <c r="F157" i="5"/>
  <c r="M125" i="12" s="1"/>
  <c r="F158" i="5"/>
  <c r="M126" i="12" s="1"/>
  <c r="F159" i="5"/>
  <c r="M127" i="12" s="1"/>
  <c r="F160" i="5"/>
  <c r="M128" i="12" s="1"/>
  <c r="F161" i="5"/>
  <c r="M129" i="12" s="1"/>
  <c r="I129" i="12" s="1"/>
  <c r="F162" i="5"/>
  <c r="M130" i="12" s="1"/>
  <c r="F163" i="5"/>
  <c r="F164" i="5"/>
  <c r="M132" i="12" s="1"/>
  <c r="F165" i="5"/>
  <c r="M133" i="12" s="1"/>
  <c r="F166" i="5"/>
  <c r="M134" i="12" s="1"/>
  <c r="F167" i="5"/>
  <c r="M135" i="12" s="1"/>
  <c r="I135" i="12" s="1"/>
  <c r="F168" i="5"/>
  <c r="M136" i="12" s="1"/>
  <c r="F169" i="5"/>
  <c r="M137" i="12" s="1"/>
  <c r="F170" i="5"/>
  <c r="M138" i="12" s="1"/>
  <c r="F171" i="5"/>
  <c r="F172" i="5"/>
  <c r="M140" i="12" s="1"/>
  <c r="F173" i="5"/>
  <c r="M141" i="12" s="1"/>
  <c r="I141" i="12" s="1"/>
  <c r="F174" i="5"/>
  <c r="M142" i="12" s="1"/>
  <c r="F175" i="5"/>
  <c r="M143" i="12" s="1"/>
  <c r="F176" i="5"/>
  <c r="M144" i="12" s="1"/>
  <c r="F177" i="5"/>
  <c r="M145" i="12" s="1"/>
  <c r="F178" i="5"/>
  <c r="M146" i="12" s="1"/>
  <c r="F179" i="5"/>
  <c r="F180" i="5"/>
  <c r="M148" i="12" s="1"/>
  <c r="F181" i="5"/>
  <c r="M149" i="12" s="1"/>
  <c r="F182" i="5"/>
  <c r="M150" i="12" s="1"/>
  <c r="F183" i="5"/>
  <c r="M151" i="12" s="1"/>
  <c r="F184" i="5"/>
  <c r="M152" i="12" s="1"/>
  <c r="F185" i="5"/>
  <c r="M153" i="12" s="1"/>
  <c r="I153" i="12" s="1"/>
  <c r="F186" i="5"/>
  <c r="M154" i="12" s="1"/>
  <c r="F187" i="5"/>
  <c r="F188" i="5"/>
  <c r="M156" i="12" s="1"/>
  <c r="F189" i="5"/>
  <c r="M157" i="12" s="1"/>
  <c r="F190" i="5"/>
  <c r="M158" i="12" s="1"/>
  <c r="F191" i="5"/>
  <c r="M159" i="12" s="1"/>
  <c r="I159" i="12" s="1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M111" i="12" s="1"/>
  <c r="I111" i="12" s="1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D144" i="5"/>
  <c r="L112" i="12" s="1"/>
  <c r="D145" i="5"/>
  <c r="L113" i="12" s="1"/>
  <c r="D146" i="5"/>
  <c r="L114" i="12" s="1"/>
  <c r="D147" i="5"/>
  <c r="L115" i="12" s="1"/>
  <c r="D148" i="5"/>
  <c r="L116" i="12" s="1"/>
  <c r="D149" i="5"/>
  <c r="L117" i="12" s="1"/>
  <c r="D150" i="5"/>
  <c r="L118" i="12" s="1"/>
  <c r="D151" i="5"/>
  <c r="L119" i="12" s="1"/>
  <c r="D152" i="5"/>
  <c r="L120" i="12" s="1"/>
  <c r="D153" i="5"/>
  <c r="L121" i="12" s="1"/>
  <c r="D154" i="5"/>
  <c r="L122" i="12" s="1"/>
  <c r="D155" i="5"/>
  <c r="L123" i="12" s="1"/>
  <c r="D156" i="5"/>
  <c r="L124" i="12" s="1"/>
  <c r="D157" i="5"/>
  <c r="L125" i="12" s="1"/>
  <c r="D158" i="5"/>
  <c r="L126" i="12" s="1"/>
  <c r="D159" i="5"/>
  <c r="L127" i="12" s="1"/>
  <c r="D160" i="5"/>
  <c r="L128" i="12" s="1"/>
  <c r="D161" i="5"/>
  <c r="L129" i="12" s="1"/>
  <c r="D162" i="5"/>
  <c r="L130" i="12" s="1"/>
  <c r="D163" i="5"/>
  <c r="L131" i="12" s="1"/>
  <c r="D164" i="5"/>
  <c r="L132" i="12" s="1"/>
  <c r="D165" i="5"/>
  <c r="L133" i="12" s="1"/>
  <c r="D166" i="5"/>
  <c r="L134" i="12" s="1"/>
  <c r="D167" i="5"/>
  <c r="L135" i="12" s="1"/>
  <c r="D168" i="5"/>
  <c r="L136" i="12" s="1"/>
  <c r="D169" i="5"/>
  <c r="L137" i="12" s="1"/>
  <c r="D170" i="5"/>
  <c r="L138" i="12" s="1"/>
  <c r="D171" i="5"/>
  <c r="L139" i="12" s="1"/>
  <c r="D172" i="5"/>
  <c r="L140" i="12" s="1"/>
  <c r="D173" i="5"/>
  <c r="L141" i="12" s="1"/>
  <c r="D174" i="5"/>
  <c r="L142" i="12" s="1"/>
  <c r="D175" i="5"/>
  <c r="L143" i="12" s="1"/>
  <c r="D176" i="5"/>
  <c r="L144" i="12" s="1"/>
  <c r="D177" i="5"/>
  <c r="L145" i="12" s="1"/>
  <c r="D178" i="5"/>
  <c r="L146" i="12" s="1"/>
  <c r="D179" i="5"/>
  <c r="L147" i="12" s="1"/>
  <c r="D180" i="5"/>
  <c r="L148" i="12" s="1"/>
  <c r="D181" i="5"/>
  <c r="L149" i="12" s="1"/>
  <c r="D182" i="5"/>
  <c r="L150" i="12" s="1"/>
  <c r="D183" i="5"/>
  <c r="L151" i="12" s="1"/>
  <c r="D184" i="5"/>
  <c r="L152" i="12" s="1"/>
  <c r="D185" i="5"/>
  <c r="L153" i="12" s="1"/>
  <c r="D186" i="5"/>
  <c r="L154" i="12" s="1"/>
  <c r="D187" i="5"/>
  <c r="L155" i="12" s="1"/>
  <c r="D188" i="5"/>
  <c r="L156" i="12" s="1"/>
  <c r="D189" i="5"/>
  <c r="L157" i="12" s="1"/>
  <c r="D190" i="5"/>
  <c r="L158" i="12" s="1"/>
  <c r="D191" i="5"/>
  <c r="L159" i="12" s="1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L111" i="12" s="1"/>
  <c r="A140" i="4"/>
  <c r="A141" i="4"/>
  <c r="A142" i="4"/>
  <c r="A143" i="4"/>
  <c r="A144" i="4"/>
  <c r="A145" i="4"/>
  <c r="BK80" i="4"/>
  <c r="BK81" i="4"/>
  <c r="BK82" i="4"/>
  <c r="BK83" i="4"/>
  <c r="BK84" i="4"/>
  <c r="BK85" i="4"/>
  <c r="BK86" i="4"/>
  <c r="BK87" i="4"/>
  <c r="BK88" i="4"/>
  <c r="BK89" i="4"/>
  <c r="BK90" i="4"/>
  <c r="BK91" i="4"/>
  <c r="BK92" i="4"/>
  <c r="BK93" i="4"/>
  <c r="BK94" i="4"/>
  <c r="BK95" i="4"/>
  <c r="BK96" i="4"/>
  <c r="BK97" i="4"/>
  <c r="BK98" i="4"/>
  <c r="BK99" i="4"/>
  <c r="BK100" i="4"/>
  <c r="BK101" i="4"/>
  <c r="BK102" i="4"/>
  <c r="BK103" i="4"/>
  <c r="BK104" i="4"/>
  <c r="BK105" i="4"/>
  <c r="BK106" i="4"/>
  <c r="BK107" i="4"/>
  <c r="BK108" i="4"/>
  <c r="BK109" i="4"/>
  <c r="BK110" i="4"/>
  <c r="BK111" i="4"/>
  <c r="BK112" i="4"/>
  <c r="BK113" i="4"/>
  <c r="BK114" i="4"/>
  <c r="BK115" i="4"/>
  <c r="BK116" i="4"/>
  <c r="BK117" i="4"/>
  <c r="BK118" i="4"/>
  <c r="BK119" i="4"/>
  <c r="BK120" i="4"/>
  <c r="BK121" i="4"/>
  <c r="BK122" i="4"/>
  <c r="BK123" i="4"/>
  <c r="BK124" i="4"/>
  <c r="BK125" i="4"/>
  <c r="BK126" i="4"/>
  <c r="BK127" i="4"/>
  <c r="BK128" i="4"/>
  <c r="BK129" i="4"/>
  <c r="BK130" i="4"/>
  <c r="BK131" i="4"/>
  <c r="BK132" i="4"/>
  <c r="BK133" i="4"/>
  <c r="BK134" i="4"/>
  <c r="BK135" i="4"/>
  <c r="BK136" i="4"/>
  <c r="BK137" i="4"/>
  <c r="BK138" i="4"/>
  <c r="BK139" i="4"/>
  <c r="BK140" i="4"/>
  <c r="BK141" i="4"/>
  <c r="BK142" i="4"/>
  <c r="BK143" i="4"/>
  <c r="BK144" i="4"/>
  <c r="BK145" i="4"/>
  <c r="BK146" i="4"/>
  <c r="BK147" i="4"/>
  <c r="BK148" i="4"/>
  <c r="BK149" i="4"/>
  <c r="BK150" i="4"/>
  <c r="BK151" i="4"/>
  <c r="BK152" i="4"/>
  <c r="BK153" i="4"/>
  <c r="BK154" i="4"/>
  <c r="BK155" i="4"/>
  <c r="BK156" i="4"/>
  <c r="BK157" i="4"/>
  <c r="BK158" i="4"/>
  <c r="BK159" i="4"/>
  <c r="BK160" i="4"/>
  <c r="BK161" i="4"/>
  <c r="BK162" i="4"/>
  <c r="BK163" i="4"/>
  <c r="BK164" i="4"/>
  <c r="BK165" i="4"/>
  <c r="BK166" i="4"/>
  <c r="BK167" i="4"/>
  <c r="BK168" i="4"/>
  <c r="BK169" i="4"/>
  <c r="BK170" i="4"/>
  <c r="BK171" i="4"/>
  <c r="BK172" i="4"/>
  <c r="BK173" i="4"/>
  <c r="BK174" i="4"/>
  <c r="BK175" i="4"/>
  <c r="BK176" i="4"/>
  <c r="BK177" i="4"/>
  <c r="BK178" i="4"/>
  <c r="BK179" i="4"/>
  <c r="BK180" i="4"/>
  <c r="BK181" i="4"/>
  <c r="BK182" i="4"/>
  <c r="BK183" i="4"/>
  <c r="BK184" i="4"/>
  <c r="BK185" i="4"/>
  <c r="BK186" i="4"/>
  <c r="BK187" i="4"/>
  <c r="AL80" i="4"/>
  <c r="AW80" i="4" s="1" a="1"/>
  <c r="AW80" i="4" s="1"/>
  <c r="AL81" i="4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AL82" i="4"/>
  <c r="AW82" i="4" s="1" a="1"/>
  <c r="AW82" i="4" s="1"/>
  <c r="AL83" i="4"/>
  <c r="AZ83" i="4" a="1"/>
  <c r="AZ83" i="4" s="1"/>
  <c r="AL84" i="4"/>
  <c r="AY84" i="4" s="1" a="1"/>
  <c r="AY84" i="4" s="1"/>
  <c r="AW84" i="4" a="1"/>
  <c r="AW84" i="4" s="1"/>
  <c r="AX84" i="4" a="1"/>
  <c r="AX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AL85" i="4"/>
  <c r="BC85" i="4" s="1" a="1"/>
  <c r="BC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AL86" i="4"/>
  <c r="BB86" i="4" s="1" a="1"/>
  <c r="BB86" i="4" s="1"/>
  <c r="AZ86" i="4" a="1"/>
  <c r="AZ86" i="4" s="1"/>
  <c r="BA86" i="4" a="1"/>
  <c r="BA86" i="4" s="1"/>
  <c r="BE86" i="4" a="1"/>
  <c r="BE86" i="4" s="1"/>
  <c r="BF86" i="4" a="1"/>
  <c r="BF86" i="4" s="1"/>
  <c r="AL87" i="4"/>
  <c r="AZ87" i="4" s="1" a="1"/>
  <c r="AZ87" i="4" s="1"/>
  <c r="BD87" i="4" a="1"/>
  <c r="BD87" i="4" s="1"/>
  <c r="BF87" i="4" a="1"/>
  <c r="BF87" i="4" s="1"/>
  <c r="AL88" i="4"/>
  <c r="AY88" i="4" a="1"/>
  <c r="AY88" i="4" s="1"/>
  <c r="AL89" i="4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AL90" i="4"/>
  <c r="BF90" i="4" s="1" a="1"/>
  <c r="BF90" i="4" s="1"/>
  <c r="AZ90" i="4" a="1"/>
  <c r="AZ90" i="4" s="1"/>
  <c r="BA90" i="4" a="1"/>
  <c r="BA90" i="4" s="1"/>
  <c r="BB90" i="4" a="1"/>
  <c r="BB90" i="4" s="1"/>
  <c r="BC90" i="4" a="1"/>
  <c r="BC90" i="4" s="1"/>
  <c r="BE90" i="4" a="1"/>
  <c r="BE90" i="4" s="1"/>
  <c r="AL91" i="4"/>
  <c r="BF91" i="4" s="1" a="1"/>
  <c r="BF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AL92" i="4"/>
  <c r="AX92" i="4" s="1" a="1"/>
  <c r="AX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AL93" i="4"/>
  <c r="AX93" i="4" s="1" a="1"/>
  <c r="AX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AL94" i="4"/>
  <c r="AT94" i="4" s="1" a="1"/>
  <c r="AT94" i="4" s="1"/>
  <c r="AS94" i="4" a="1"/>
  <c r="AS94" i="4" s="1"/>
  <c r="AU94" i="4" a="1"/>
  <c r="AU94" i="4" s="1"/>
  <c r="AV94" i="4" a="1"/>
  <c r="AV94" i="4" s="1"/>
  <c r="AW94" i="4" a="1"/>
  <c r="AW94" i="4" s="1"/>
  <c r="AX94" i="4" a="1"/>
  <c r="AX94" i="4" s="1"/>
  <c r="BB94" i="4" a="1"/>
  <c r="BB94" i="4" s="1"/>
  <c r="BC94" i="4" a="1"/>
  <c r="BC94" i="4" s="1"/>
  <c r="BE94" i="4" a="1"/>
  <c r="BE94" i="4" s="1"/>
  <c r="BF94" i="4" a="1"/>
  <c r="BF94" i="4" s="1"/>
  <c r="AL95" i="4"/>
  <c r="AL96" i="4"/>
  <c r="AZ96" i="4" s="1" a="1"/>
  <c r="AZ96" i="4" s="1"/>
  <c r="AT96" i="4" a="1"/>
  <c r="AT96" i="4" s="1"/>
  <c r="AU96" i="4" a="1"/>
  <c r="AU96" i="4" s="1"/>
  <c r="AY96" i="4" a="1"/>
  <c r="AY96" i="4" s="1"/>
  <c r="BB96" i="4" a="1"/>
  <c r="BB96" i="4" s="1"/>
  <c r="AL97" i="4"/>
  <c r="BB97" i="4" s="1" a="1"/>
  <c r="BB97" i="4" s="1"/>
  <c r="AT97" i="4" a="1"/>
  <c r="AT97" i="4" s="1"/>
  <c r="AU97" i="4" a="1"/>
  <c r="AU97" i="4" s="1"/>
  <c r="BA97" i="4" a="1"/>
  <c r="BA97" i="4" s="1"/>
  <c r="BE97" i="4" a="1"/>
  <c r="BE97" i="4" s="1"/>
  <c r="BF97" i="4" a="1"/>
  <c r="BF97" i="4" s="1"/>
  <c r="AL98" i="4"/>
  <c r="AZ98" i="4" a="1"/>
  <c r="AZ98" i="4" s="1"/>
  <c r="AL99" i="4"/>
  <c r="AW99" i="4" a="1"/>
  <c r="AW99" i="4" s="1"/>
  <c r="AL100" i="4"/>
  <c r="AL101" i="4"/>
  <c r="AL102" i="4"/>
  <c r="AW102" i="4" a="1"/>
  <c r="AW102" i="4" s="1"/>
  <c r="AX102" i="4" a="1"/>
  <c r="AX102" i="4" s="1"/>
  <c r="BD102" i="4" a="1"/>
  <c r="BD102" i="4" s="1"/>
  <c r="BE102" i="4" a="1"/>
  <c r="BE102" i="4" s="1"/>
  <c r="AL103" i="4"/>
  <c r="AY103" i="4" a="1"/>
  <c r="AY103" i="4" s="1"/>
  <c r="AL104" i="4"/>
  <c r="BD104" i="4" s="1" a="1"/>
  <c r="BD104" i="4" s="1"/>
  <c r="AX104" i="4" a="1"/>
  <c r="AX104" i="4" s="1"/>
  <c r="AY104" i="4" a="1"/>
  <c r="AY104" i="4" s="1"/>
  <c r="BB104" i="4" a="1"/>
  <c r="BB104" i="4" s="1"/>
  <c r="BC104" i="4" a="1"/>
  <c r="BC104" i="4" s="1"/>
  <c r="AL105" i="4"/>
  <c r="BB105" i="4" s="1" a="1"/>
  <c r="BB105" i="4" s="1"/>
  <c r="AW105" i="4" a="1"/>
  <c r="AW105" i="4" s="1"/>
  <c r="AX105" i="4" a="1"/>
  <c r="AX105" i="4" s="1"/>
  <c r="AZ105" i="4" a="1"/>
  <c r="AZ105" i="4" s="1"/>
  <c r="BA105" i="4" a="1"/>
  <c r="BA105" i="4" s="1"/>
  <c r="BD105" i="4" a="1"/>
  <c r="BD105" i="4" s="1"/>
  <c r="BE105" i="4" a="1"/>
  <c r="BE105" i="4" s="1"/>
  <c r="BF105" i="4" a="1"/>
  <c r="BF105" i="4" s="1"/>
  <c r="AL106" i="4"/>
  <c r="BE106" i="4" s="1" a="1"/>
  <c r="BE106" i="4" s="1"/>
  <c r="AZ106" i="4" a="1"/>
  <c r="AZ106" i="4" s="1"/>
  <c r="AL107" i="4"/>
  <c r="BC107" i="4" s="1" a="1"/>
  <c r="BC107" i="4" s="1"/>
  <c r="AY107" i="4" a="1"/>
  <c r="AY107" i="4" s="1"/>
  <c r="AZ107" i="4" a="1"/>
  <c r="AZ107" i="4" s="1"/>
  <c r="BD107" i="4" a="1"/>
  <c r="BD107" i="4" s="1"/>
  <c r="AL108" i="4"/>
  <c r="AX108" i="4" a="1"/>
  <c r="AX108" i="4" s="1"/>
  <c r="AY108" i="4" a="1"/>
  <c r="AY108" i="4" s="1"/>
  <c r="BB108" i="4" a="1"/>
  <c r="BB108" i="4" s="1"/>
  <c r="BC108" i="4" a="1"/>
  <c r="BC108" i="4" s="1"/>
  <c r="BF108" i="4" a="1"/>
  <c r="BF108" i="4" s="1"/>
  <c r="AL109" i="4"/>
  <c r="BB109" i="4" s="1" a="1"/>
  <c r="BB109" i="4" s="1"/>
  <c r="BE109" i="4" a="1"/>
  <c r="BE109" i="4" s="1"/>
  <c r="AL110" i="4"/>
  <c r="AL111" i="4"/>
  <c r="AZ111" i="4" a="1"/>
  <c r="AZ111" i="4" s="1"/>
  <c r="AL112" i="4"/>
  <c r="BF112" i="4" s="1" a="1"/>
  <c r="BF112" i="4" s="1"/>
  <c r="AY112" i="4" a="1"/>
  <c r="AY112" i="4" s="1"/>
  <c r="BB112" i="4" a="1"/>
  <c r="BB112" i="4" s="1"/>
  <c r="BC112" i="4" a="1"/>
  <c r="BC112" i="4" s="1"/>
  <c r="AL113" i="4"/>
  <c r="AL114" i="4"/>
  <c r="BF114" i="4" s="1" a="1"/>
  <c r="BF114" i="4" s="1"/>
  <c r="BA114" i="4" a="1"/>
  <c r="BA114" i="4" s="1"/>
  <c r="BB114" i="4" a="1"/>
  <c r="BB114" i="4" s="1"/>
  <c r="BC114" i="4" a="1"/>
  <c r="BC114" i="4" s="1"/>
  <c r="AL115" i="4"/>
  <c r="AL116" i="4"/>
  <c r="AV116" i="4" s="1" a="1"/>
  <c r="AV116" i="4" s="1"/>
  <c r="AS116" i="4" a="1"/>
  <c r="AS116" i="4" s="1"/>
  <c r="AW116" i="4" a="1"/>
  <c r="AW116" i="4" s="1"/>
  <c r="BD116" i="4" a="1"/>
  <c r="BD116" i="4" s="1"/>
  <c r="BF116" i="4" a="1"/>
  <c r="BF116" i="4" s="1"/>
  <c r="AL117" i="4"/>
  <c r="AY117" i="4" a="1"/>
  <c r="AY117" i="4" s="1"/>
  <c r="AZ117" i="4" a="1"/>
  <c r="AZ117" i="4" s="1"/>
  <c r="BA117" i="4" a="1"/>
  <c r="BA117" i="4" s="1"/>
  <c r="BC117" i="4" a="1"/>
  <c r="BC117" i="4" s="1"/>
  <c r="AL118" i="4"/>
  <c r="AT118" i="4" a="1"/>
  <c r="AT118" i="4" s="1"/>
  <c r="AU118" i="4" a="1"/>
  <c r="AU118" i="4" s="1"/>
  <c r="AZ118" i="4" a="1"/>
  <c r="AZ118" i="4" s="1"/>
  <c r="BB118" i="4" a="1"/>
  <c r="BB118" i="4" s="1"/>
  <c r="AL119" i="4"/>
  <c r="BA119" i="4" s="1" a="1"/>
  <c r="BA119" i="4" s="1"/>
  <c r="AL120" i="4"/>
  <c r="AL121" i="4"/>
  <c r="AW121" i="4" a="1"/>
  <c r="AW121" i="4" s="1"/>
  <c r="AL122" i="4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AL123" i="4"/>
  <c r="AW123" i="4" a="1"/>
  <c r="AW123" i="4" s="1"/>
  <c r="AL124" i="4"/>
  <c r="BA124" i="4" a="1"/>
  <c r="BA124" i="4" s="1"/>
  <c r="AL125" i="4"/>
  <c r="AL126" i="4"/>
  <c r="AU126" i="4" a="1"/>
  <c r="AU126" i="4" s="1"/>
  <c r="BE126" i="4" a="1"/>
  <c r="BE126" i="4" s="1"/>
  <c r="BF126" i="4" a="1"/>
  <c r="BF126" i="4" s="1"/>
  <c r="AL127" i="4"/>
  <c r="AU127" i="4" s="1" a="1"/>
  <c r="AU127" i="4" s="1"/>
  <c r="AL128" i="4"/>
  <c r="AX128" i="4" s="1" a="1"/>
  <c r="AX128" i="4" s="1"/>
  <c r="AL129" i="4"/>
  <c r="AY129" i="4" s="1" a="1"/>
  <c r="AY129" i="4" s="1"/>
  <c r="BB129" i="4" a="1"/>
  <c r="BB129" i="4" s="1"/>
  <c r="AL130" i="4"/>
  <c r="AL131" i="4"/>
  <c r="AZ131" i="4" s="1" a="1"/>
  <c r="AZ131" i="4" s="1"/>
  <c r="AL132" i="4"/>
  <c r="AX132" i="4" a="1"/>
  <c r="AX132" i="4" s="1"/>
  <c r="AY132" i="4" a="1"/>
  <c r="AY132" i="4" s="1"/>
  <c r="BA132" i="4" a="1"/>
  <c r="BA132" i="4" s="1"/>
  <c r="BD132" i="4" a="1"/>
  <c r="BD132" i="4" s="1"/>
  <c r="BE132" i="4" a="1"/>
  <c r="BE132" i="4" s="1"/>
  <c r="AL133" i="4"/>
  <c r="AL134" i="4"/>
  <c r="AY134" i="4" a="1"/>
  <c r="AY134" i="4" s="1"/>
  <c r="BF134" i="4" a="1"/>
  <c r="BF134" i="4" s="1"/>
  <c r="AL135" i="4"/>
  <c r="BC135" i="4" s="1" a="1"/>
  <c r="BC135" i="4" s="1"/>
  <c r="BA135" i="4" a="1"/>
  <c r="BA135" i="4" s="1"/>
  <c r="BD135" i="4" a="1"/>
  <c r="BD135" i="4" s="1"/>
  <c r="BF135" i="4" a="1"/>
  <c r="BF135" i="4" s="1"/>
  <c r="AL136" i="4"/>
  <c r="BC136" i="4" s="1" a="1"/>
  <c r="BC136" i="4" s="1"/>
  <c r="BB136" i="4" a="1"/>
  <c r="BB136" i="4" s="1"/>
  <c r="BF136" i="4" a="1"/>
  <c r="BF136" i="4" s="1"/>
  <c r="AL137" i="4"/>
  <c r="BC137" i="4" a="1"/>
  <c r="BC137" i="4" s="1"/>
  <c r="AL138" i="4"/>
  <c r="BA138" i="4" s="1" a="1"/>
  <c r="BA138" i="4" s="1"/>
  <c r="AZ138" i="4" a="1"/>
  <c r="AZ138" i="4" s="1"/>
  <c r="BE138" i="4" a="1"/>
  <c r="BE138" i="4" s="1"/>
  <c r="AL139" i="4"/>
  <c r="BA139" i="4" s="1" a="1"/>
  <c r="BA139" i="4" s="1"/>
  <c r="AL140" i="4"/>
  <c r="AY140" i="4" s="1" a="1"/>
  <c r="AY140" i="4" s="1"/>
  <c r="AV140" i="4" a="1"/>
  <c r="AV140" i="4" s="1"/>
  <c r="AZ140" i="4" a="1"/>
  <c r="AZ140" i="4" s="1"/>
  <c r="BC140" i="4" a="1"/>
  <c r="BC140" i="4" s="1"/>
  <c r="AL141" i="4"/>
  <c r="AY141" i="4" s="1" a="1"/>
  <c r="AY141" i="4" s="1"/>
  <c r="AL142" i="4"/>
  <c r="AX142" i="4" s="1" a="1"/>
  <c r="AX142" i="4" s="1"/>
  <c r="AS142" i="4" a="1"/>
  <c r="AS142" i="4" s="1"/>
  <c r="AT142" i="4" a="1"/>
  <c r="AT142" i="4" s="1"/>
  <c r="AV142" i="4" a="1"/>
  <c r="AV142" i="4" s="1"/>
  <c r="AW142" i="4" a="1"/>
  <c r="AW142" i="4" s="1"/>
  <c r="AZ142" i="4" a="1"/>
  <c r="AZ142" i="4" s="1"/>
  <c r="BA142" i="4" a="1"/>
  <c r="BA142" i="4" s="1"/>
  <c r="BB142" i="4" a="1"/>
  <c r="BB142" i="4" s="1"/>
  <c r="BD142" i="4" a="1"/>
  <c r="BD142" i="4" s="1"/>
  <c r="BE142" i="4" a="1"/>
  <c r="BE142" i="4" s="1"/>
  <c r="AL143" i="4"/>
  <c r="AT143" i="4" a="1"/>
  <c r="AT143" i="4" s="1"/>
  <c r="AV143" i="4" a="1"/>
  <c r="AV143" i="4" s="1"/>
  <c r="AX143" i="4" a="1"/>
  <c r="AX143" i="4" s="1"/>
  <c r="AL144" i="4"/>
  <c r="BD144" i="4" s="1" a="1"/>
  <c r="BD144" i="4" s="1"/>
  <c r="AW144" i="4" a="1"/>
  <c r="AW144" i="4" s="1"/>
  <c r="AY144" i="4" a="1"/>
  <c r="AY144" i="4" s="1"/>
  <c r="BE144" i="4" a="1"/>
  <c r="BE144" i="4" s="1"/>
  <c r="AL145" i="4"/>
  <c r="AX145" i="4" s="1" a="1"/>
  <c r="AX145" i="4" s="1"/>
  <c r="BF145" i="4" a="1"/>
  <c r="BF145" i="4" s="1"/>
  <c r="AL146" i="4"/>
  <c r="AU146" i="4" a="1"/>
  <c r="AU146" i="4" s="1"/>
  <c r="AV146" i="4" a="1"/>
  <c r="AV146" i="4" s="1"/>
  <c r="AW146" i="4" a="1"/>
  <c r="AW146" i="4" s="1"/>
  <c r="BD146" i="4" a="1"/>
  <c r="BD146" i="4" s="1"/>
  <c r="BE146" i="4" a="1"/>
  <c r="BE146" i="4" s="1"/>
  <c r="AL147" i="4"/>
  <c r="BA147" i="4" s="1" a="1"/>
  <c r="BA147" i="4" s="1"/>
  <c r="AL148" i="4"/>
  <c r="AU148" i="4" s="1" a="1"/>
  <c r="AU148" i="4" s="1"/>
  <c r="AV148" i="4" a="1"/>
  <c r="AV148" i="4" s="1"/>
  <c r="AW148" i="4" a="1"/>
  <c r="AW148" i="4" s="1"/>
  <c r="AX148" i="4" a="1"/>
  <c r="AX148" i="4" s="1"/>
  <c r="BA148" i="4" a="1"/>
  <c r="BA148" i="4" s="1"/>
  <c r="BB148" i="4" a="1"/>
  <c r="BB148" i="4" s="1"/>
  <c r="BE148" i="4" a="1"/>
  <c r="BE148" i="4" s="1"/>
  <c r="BF148" i="4" a="1"/>
  <c r="BF148" i="4" s="1"/>
  <c r="AL149" i="4"/>
  <c r="AV149" i="4" s="1" a="1"/>
  <c r="AV149" i="4" s="1"/>
  <c r="AW149" i="4" a="1"/>
  <c r="AW149" i="4" s="1"/>
  <c r="BD149" i="4" a="1"/>
  <c r="BD149" i="4" s="1"/>
  <c r="AL150" i="4"/>
  <c r="AL151" i="4"/>
  <c r="AY151" i="4" s="1" a="1"/>
  <c r="AY151" i="4" s="1"/>
  <c r="AU151" i="4" a="1"/>
  <c r="AU151" i="4" s="1"/>
  <c r="AW151" i="4" a="1"/>
  <c r="AW151" i="4" s="1"/>
  <c r="BA151" i="4" a="1"/>
  <c r="BA151" i="4" s="1"/>
  <c r="BE151" i="4" a="1"/>
  <c r="BE151" i="4" s="1"/>
  <c r="AL152" i="4"/>
  <c r="BA152" i="4" s="1" a="1"/>
  <c r="BA152" i="4" s="1"/>
  <c r="AW152" i="4" a="1"/>
  <c r="AW152" i="4" s="1"/>
  <c r="AZ152" i="4" a="1"/>
  <c r="AZ152" i="4" s="1"/>
  <c r="BB152" i="4" a="1"/>
  <c r="BB152" i="4" s="1"/>
  <c r="BF152" i="4" a="1"/>
  <c r="BF152" i="4" s="1"/>
  <c r="AL153" i="4"/>
  <c r="AY153" i="4" a="1"/>
  <c r="AY153" i="4" s="1"/>
  <c r="BE153" i="4" a="1"/>
  <c r="BE153" i="4" s="1"/>
  <c r="AL154" i="4"/>
  <c r="AW154" i="4" a="1"/>
  <c r="AW154" i="4" s="1"/>
  <c r="AX154" i="4" a="1"/>
  <c r="AX154" i="4" s="1"/>
  <c r="AZ154" i="4" a="1"/>
  <c r="AZ154" i="4" s="1"/>
  <c r="BE154" i="4" a="1"/>
  <c r="BE154" i="4" s="1"/>
  <c r="BF154" i="4" a="1"/>
  <c r="BF154" i="4" s="1"/>
  <c r="AL155" i="4"/>
  <c r="AL156" i="4"/>
  <c r="BF156" i="4" s="1" a="1"/>
  <c r="BF156" i="4" s="1"/>
  <c r="AZ156" i="4" a="1"/>
  <c r="AZ156" i="4" s="1"/>
  <c r="BA156" i="4" a="1"/>
  <c r="BA156" i="4" s="1"/>
  <c r="AL157" i="4"/>
  <c r="AY157" i="4" s="1" a="1"/>
  <c r="AY157" i="4" s="1"/>
  <c r="AW157" i="4" a="1"/>
  <c r="AW157" i="4" s="1"/>
  <c r="AX157" i="4" a="1"/>
  <c r="AX157" i="4" s="1"/>
  <c r="AZ157" i="4" a="1"/>
  <c r="AZ157" i="4" s="1"/>
  <c r="BA157" i="4" a="1"/>
  <c r="BA157" i="4" s="1"/>
  <c r="BB157" i="4" a="1"/>
  <c r="BB157" i="4" s="1"/>
  <c r="BE157" i="4" a="1"/>
  <c r="BE157" i="4" s="1"/>
  <c r="BF157" i="4" a="1"/>
  <c r="BF157" i="4" s="1"/>
  <c r="AL158" i="4"/>
  <c r="AY158" i="4" s="1" a="1"/>
  <c r="AY158" i="4" s="1"/>
  <c r="AZ158" i="4" a="1"/>
  <c r="AZ158" i="4" s="1"/>
  <c r="AL159" i="4"/>
  <c r="BA159" i="4" s="1" a="1"/>
  <c r="BA159" i="4" s="1"/>
  <c r="AY159" i="4" a="1"/>
  <c r="AY159" i="4" s="1"/>
  <c r="BC159" i="4" a="1"/>
  <c r="BC159" i="4" s="1"/>
  <c r="AL160" i="4"/>
  <c r="AL161" i="4"/>
  <c r="AY161" i="4" s="1" a="1"/>
  <c r="AY161" i="4" s="1"/>
  <c r="AL162" i="4"/>
  <c r="AY162" i="4" a="1"/>
  <c r="AY162" i="4" s="1"/>
  <c r="AZ162" i="4" a="1"/>
  <c r="AZ162" i="4" s="1"/>
  <c r="BB162" i="4" a="1"/>
  <c r="BB162" i="4" s="1"/>
  <c r="AL163" i="4"/>
  <c r="BA163" i="4" s="1" a="1"/>
  <c r="BA163" i="4" s="1"/>
  <c r="AY163" i="4" a="1"/>
  <c r="AY163" i="4" s="1"/>
  <c r="BC163" i="4" a="1"/>
  <c r="BC163" i="4" s="1"/>
  <c r="AL164" i="4"/>
  <c r="AL165" i="4"/>
  <c r="AU165" i="4" s="1" a="1"/>
  <c r="AU165" i="4" s="1"/>
  <c r="AS165" i="4" a="1"/>
  <c r="AS165" i="4" s="1"/>
  <c r="AT165" i="4" a="1"/>
  <c r="AT165" i="4" s="1"/>
  <c r="AV165" i="4" a="1"/>
  <c r="AV165" i="4" s="1"/>
  <c r="AX165" i="4" a="1"/>
  <c r="AX165" i="4" s="1"/>
  <c r="AY165" i="4" a="1"/>
  <c r="AY165" i="4" s="1"/>
  <c r="BB165" i="4" a="1"/>
  <c r="BB165" i="4" s="1"/>
  <c r="BC165" i="4" a="1"/>
  <c r="BC165" i="4" s="1"/>
  <c r="BF165" i="4" a="1"/>
  <c r="BF165" i="4" s="1"/>
  <c r="AL166" i="4"/>
  <c r="AT166" i="4" a="1"/>
  <c r="AT166" i="4" s="1"/>
  <c r="AL167" i="4"/>
  <c r="AL168" i="4"/>
  <c r="BB168" i="4" a="1"/>
  <c r="BB168" i="4" s="1"/>
  <c r="AL169" i="4"/>
  <c r="AY169" i="4" a="1"/>
  <c r="AY169" i="4" s="1"/>
  <c r="AZ169" i="4" a="1"/>
  <c r="AZ169" i="4" s="1"/>
  <c r="BA169" i="4" a="1"/>
  <c r="BA169" i="4" s="1"/>
  <c r="BC169" i="4" a="1"/>
  <c r="BC169" i="4" s="1"/>
  <c r="AL170" i="4"/>
  <c r="AU170" i="4" s="1" a="1"/>
  <c r="AU170" i="4" s="1"/>
  <c r="BB170" i="4" a="1"/>
  <c r="BB170" i="4" s="1"/>
  <c r="AL171" i="4"/>
  <c r="AU171" i="4" a="1"/>
  <c r="AU171" i="4" s="1"/>
  <c r="AL172" i="4"/>
  <c r="BF172" i="4" s="1" a="1"/>
  <c r="BF172" i="4" s="1"/>
  <c r="AL173" i="4"/>
  <c r="AU173" i="4" s="1" a="1"/>
  <c r="AU173" i="4" s="1"/>
  <c r="AL174" i="4"/>
  <c r="AU174" i="4" a="1"/>
  <c r="AU174" i="4" s="1"/>
  <c r="AW174" i="4" a="1"/>
  <c r="AW174" i="4" s="1"/>
  <c r="BE174" i="4" a="1"/>
  <c r="BE174" i="4" s="1"/>
  <c r="AL175" i="4"/>
  <c r="AU175" i="4" s="1" a="1"/>
  <c r="AU175" i="4" s="1"/>
  <c r="AL176" i="4"/>
  <c r="AZ176" i="4" a="1"/>
  <c r="AZ176" i="4" s="1"/>
  <c r="BA176" i="4" a="1"/>
  <c r="BA176" i="4" s="1"/>
  <c r="BF176" i="4" a="1"/>
  <c r="BF176" i="4" s="1"/>
  <c r="AL177" i="4"/>
  <c r="AL178" i="4"/>
  <c r="AW178" i="4" a="1"/>
  <c r="AW178" i="4" s="1"/>
  <c r="AZ178" i="4" a="1"/>
  <c r="AZ178" i="4" s="1"/>
  <c r="BB178" i="4" a="1"/>
  <c r="BB178" i="4" s="1"/>
  <c r="AL179" i="4"/>
  <c r="AY179" i="4" s="1" a="1"/>
  <c r="AY179" i="4" s="1"/>
  <c r="BA179" i="4" a="1"/>
  <c r="BA179" i="4" s="1"/>
  <c r="AL180" i="4"/>
  <c r="BF180" i="4" s="1" a="1"/>
  <c r="BF180" i="4" s="1"/>
  <c r="AZ180" i="4" a="1"/>
  <c r="AZ180" i="4" s="1"/>
  <c r="AL181" i="4"/>
  <c r="BA181" i="4" s="1" a="1"/>
  <c r="BA181" i="4" s="1"/>
  <c r="AZ181" i="4" a="1"/>
  <c r="AZ181" i="4" s="1"/>
  <c r="AL182" i="4"/>
  <c r="AY182" i="4" a="1"/>
  <c r="AY182" i="4" s="1"/>
  <c r="AZ182" i="4" a="1"/>
  <c r="AZ182" i="4" s="1"/>
  <c r="AL183" i="4"/>
  <c r="AY183" i="4" s="1" a="1"/>
  <c r="AY183" i="4" s="1"/>
  <c r="AL184" i="4"/>
  <c r="AL185" i="4"/>
  <c r="AZ185" i="4" s="1" a="1"/>
  <c r="AZ185" i="4" s="1"/>
  <c r="AY185" i="4" a="1"/>
  <c r="AY185" i="4" s="1"/>
  <c r="BA185" i="4" a="1"/>
  <c r="BA185" i="4" s="1"/>
  <c r="BD185" i="4" a="1"/>
  <c r="BD185" i="4" s="1"/>
  <c r="BE185" i="4" a="1"/>
  <c r="BE185" i="4" s="1"/>
  <c r="AL186" i="4"/>
  <c r="BE186" i="4" s="1" a="1"/>
  <c r="BE186" i="4" s="1"/>
  <c r="AY186" i="4" a="1"/>
  <c r="AY186" i="4" s="1"/>
  <c r="BA186" i="4" a="1"/>
  <c r="BA186" i="4" s="1"/>
  <c r="BC186" i="4" a="1"/>
  <c r="BC186" i="4" s="1"/>
  <c r="BD186" i="4" a="1"/>
  <c r="BD186" i="4" s="1"/>
  <c r="BF186" i="4" a="1"/>
  <c r="BF186" i="4" s="1"/>
  <c r="AL187" i="4"/>
  <c r="AY187" i="4" a="1"/>
  <c r="AY187" i="4" s="1"/>
  <c r="BA187" i="4" a="1"/>
  <c r="BA187" i="4" s="1"/>
  <c r="BB187" i="4" a="1"/>
  <c r="BB187" i="4" s="1"/>
  <c r="BC187" i="4" a="1"/>
  <c r="BC187" i="4" s="1"/>
  <c r="BF187" i="4" a="1"/>
  <c r="BF187" i="4" s="1"/>
  <c r="A44" i="4"/>
  <c r="AJ44" i="4"/>
  <c r="AL44" i="4"/>
  <c r="BA44" i="4" s="1" a="1"/>
  <c r="BA44" i="4" s="1"/>
  <c r="AW44" i="4" a="1"/>
  <c r="AW44" i="4" s="1"/>
  <c r="BK44" i="4"/>
  <c r="A45" i="4"/>
  <c r="AJ45" i="4"/>
  <c r="AL45" i="4"/>
  <c r="AU45" i="4" s="1" a="1"/>
  <c r="AU45" i="4" s="1"/>
  <c r="BK45" i="4"/>
  <c r="A46" i="4"/>
  <c r="AJ46" i="4"/>
  <c r="AL46" i="4"/>
  <c r="AS46" i="4" s="1" a="1"/>
  <c r="AS46" i="4" s="1"/>
  <c r="BK46" i="4"/>
  <c r="A47" i="4"/>
  <c r="AJ47" i="4"/>
  <c r="AL47" i="4"/>
  <c r="AU47" i="4" s="1" a="1"/>
  <c r="AU47" i="4" s="1"/>
  <c r="BK47" i="4"/>
  <c r="A48" i="4"/>
  <c r="AJ48" i="4"/>
  <c r="AL48" i="4"/>
  <c r="AS48" i="4" s="1" a="1"/>
  <c r="AS48" i="4" s="1"/>
  <c r="BK48" i="4"/>
  <c r="A49" i="4"/>
  <c r="AJ49" i="4"/>
  <c r="AL49" i="4"/>
  <c r="AU49" i="4" a="1"/>
  <c r="AU49" i="4" s="1"/>
  <c r="BK49" i="4"/>
  <c r="C167" i="6" l="1"/>
  <c r="Y138" i="12" s="1"/>
  <c r="Z131" i="12"/>
  <c r="Z123" i="12"/>
  <c r="BC47" i="4" a="1"/>
  <c r="BC47" i="4" s="1"/>
  <c r="C186" i="6"/>
  <c r="Y157" i="12" s="1"/>
  <c r="A179" i="5"/>
  <c r="B179" i="5" s="1"/>
  <c r="A145" i="7" s="1"/>
  <c r="A171" i="5"/>
  <c r="B171" i="5" s="1"/>
  <c r="A137" i="7" s="1"/>
  <c r="A163" i="5"/>
  <c r="B163" i="5" s="1"/>
  <c r="A129" i="7" s="1"/>
  <c r="A155" i="5"/>
  <c r="B155" i="5" s="1"/>
  <c r="A121" i="7" s="1"/>
  <c r="A147" i="5"/>
  <c r="B147" i="5" s="1"/>
  <c r="A113" i="7" s="1"/>
  <c r="AJ149" i="6"/>
  <c r="M147" i="12"/>
  <c r="I147" i="12" s="1"/>
  <c r="BD168" i="4" a="1"/>
  <c r="BD168" i="4" s="1"/>
  <c r="AT168" i="4" a="1"/>
  <c r="AT168" i="4" s="1"/>
  <c r="AX168" i="4" a="1"/>
  <c r="AX168" i="4" s="1"/>
  <c r="AV168" i="4" a="1"/>
  <c r="AV168" i="4" s="1"/>
  <c r="AZ168" i="4" a="1"/>
  <c r="AZ168" i="4" s="1"/>
  <c r="BE162" i="4" a="1"/>
  <c r="BE162" i="4" s="1"/>
  <c r="BC162" i="4" a="1"/>
  <c r="BC162" i="4" s="1"/>
  <c r="BF162" i="4" a="1"/>
  <c r="BF162" i="4" s="1"/>
  <c r="BD162" i="4" a="1"/>
  <c r="BD162" i="4" s="1"/>
  <c r="BA174" i="4" a="1"/>
  <c r="BA174" i="4" s="1"/>
  <c r="AY174" i="4" a="1"/>
  <c r="AY174" i="4" s="1"/>
  <c r="AZ174" i="4" a="1"/>
  <c r="AZ174" i="4" s="1"/>
  <c r="BB174" i="4" a="1"/>
  <c r="BB174" i="4" s="1"/>
  <c r="BC174" i="4" a="1"/>
  <c r="BC174" i="4" s="1"/>
  <c r="Z129" i="12"/>
  <c r="AJ158" i="6"/>
  <c r="AZ184" i="4" a="1"/>
  <c r="AZ184" i="4" s="1"/>
  <c r="BF184" i="4" a="1"/>
  <c r="BF184" i="4" s="1"/>
  <c r="AZ177" i="4" a="1"/>
  <c r="AZ177" i="4" s="1"/>
  <c r="BA177" i="4" a="1"/>
  <c r="BA177" i="4" s="1"/>
  <c r="BC177" i="4" a="1"/>
  <c r="BC177" i="4" s="1"/>
  <c r="BE177" i="4" a="1"/>
  <c r="BE177" i="4" s="1"/>
  <c r="AY150" i="4" a="1"/>
  <c r="AY150" i="4" s="1"/>
  <c r="AZ150" i="4" a="1"/>
  <c r="AZ150" i="4" s="1"/>
  <c r="BD150" i="4" a="1"/>
  <c r="BD150" i="4" s="1"/>
  <c r="AX101" i="4" a="1"/>
  <c r="AX101" i="4" s="1"/>
  <c r="BA101" i="4" a="1"/>
  <c r="BA101" i="4" s="1"/>
  <c r="BB101" i="4" a="1"/>
  <c r="BB101" i="4" s="1"/>
  <c r="AY101" i="4" a="1"/>
  <c r="AY101" i="4" s="1"/>
  <c r="BB100" i="4" a="1"/>
  <c r="BB100" i="4" s="1"/>
  <c r="AY100" i="4" a="1"/>
  <c r="AY100" i="4" s="1"/>
  <c r="BC100" i="4" a="1"/>
  <c r="BC100" i="4" s="1"/>
  <c r="AZ100" i="4" a="1"/>
  <c r="AZ100" i="4" s="1"/>
  <c r="BD100" i="4" a="1"/>
  <c r="BD100" i="4" s="1"/>
  <c r="AS143" i="4" a="1"/>
  <c r="AS143" i="4" s="1"/>
  <c r="AZ143" i="4" a="1"/>
  <c r="AZ143" i="4" s="1"/>
  <c r="BF143" i="4" a="1"/>
  <c r="BF143" i="4" s="1"/>
  <c r="BF101" i="4" a="1"/>
  <c r="BF101" i="4" s="1"/>
  <c r="AX178" i="4" a="1"/>
  <c r="AX178" i="4" s="1"/>
  <c r="BD178" i="4" a="1"/>
  <c r="BD178" i="4" s="1"/>
  <c r="BE178" i="4" a="1"/>
  <c r="BE178" i="4" s="1"/>
  <c r="BE101" i="4" a="1"/>
  <c r="BE101" i="4" s="1"/>
  <c r="AS169" i="4" a="1"/>
  <c r="AS169" i="4" s="1"/>
  <c r="BD169" i="4" a="1"/>
  <c r="BD169" i="4" s="1"/>
  <c r="AW169" i="4" a="1"/>
  <c r="AW169" i="4" s="1"/>
  <c r="AU169" i="4" a="1"/>
  <c r="AU169" i="4" s="1"/>
  <c r="BE169" i="4" a="1"/>
  <c r="BE169" i="4" s="1"/>
  <c r="AV169" i="4" a="1"/>
  <c r="AV169" i="4" s="1"/>
  <c r="AY154" i="4" a="1"/>
  <c r="AY154" i="4" s="1"/>
  <c r="BA154" i="4" a="1"/>
  <c r="BA154" i="4" s="1"/>
  <c r="BC154" i="4" a="1"/>
  <c r="BC154" i="4" s="1"/>
  <c r="BD154" i="4" a="1"/>
  <c r="BD154" i="4" s="1"/>
  <c r="BB154" i="4" a="1"/>
  <c r="BB154" i="4" s="1"/>
  <c r="BC133" i="4" a="1"/>
  <c r="BC133" i="4" s="1"/>
  <c r="AZ133" i="4" a="1"/>
  <c r="AZ133" i="4" s="1"/>
  <c r="BD133" i="4" a="1"/>
  <c r="BD133" i="4" s="1"/>
  <c r="BA133" i="4" a="1"/>
  <c r="BA133" i="4" s="1"/>
  <c r="AW126" i="4" a="1"/>
  <c r="AW126" i="4" s="1"/>
  <c r="BB126" i="4" a="1"/>
  <c r="BB126" i="4" s="1"/>
  <c r="AX126" i="4" a="1"/>
  <c r="AX126" i="4" s="1"/>
  <c r="BC126" i="4" a="1"/>
  <c r="BC126" i="4" s="1"/>
  <c r="Z136" i="12"/>
  <c r="AJ165" i="6"/>
  <c r="AJ157" i="6"/>
  <c r="Z128" i="12"/>
  <c r="BA182" i="4" a="1"/>
  <c r="BA182" i="4" s="1"/>
  <c r="BB182" i="4" a="1"/>
  <c r="BB182" i="4" s="1"/>
  <c r="BF182" i="4" a="1"/>
  <c r="BF182" i="4" s="1"/>
  <c r="BC182" i="4" a="1"/>
  <c r="BC182" i="4" s="1"/>
  <c r="BE182" i="4" a="1"/>
  <c r="BE182" i="4" s="1"/>
  <c r="AY177" i="4" a="1"/>
  <c r="AY177" i="4" s="1"/>
  <c r="AY166" i="4" a="1"/>
  <c r="AY166" i="4" s="1"/>
  <c r="AX166" i="4" a="1"/>
  <c r="AX166" i="4" s="1"/>
  <c r="BD166" i="4" a="1"/>
  <c r="BD166" i="4" s="1"/>
  <c r="BF166" i="4" a="1"/>
  <c r="BF166" i="4" s="1"/>
  <c r="BB166" i="4" a="1"/>
  <c r="BB166" i="4" s="1"/>
  <c r="BE155" i="4" a="1"/>
  <c r="BE155" i="4" s="1"/>
  <c r="AW155" i="4" a="1"/>
  <c r="AW155" i="4" s="1"/>
  <c r="AY155" i="4" a="1"/>
  <c r="AY155" i="4" s="1"/>
  <c r="BB155" i="4" a="1"/>
  <c r="BB155" i="4" s="1"/>
  <c r="BF155" i="4" a="1"/>
  <c r="BF155" i="4" s="1"/>
  <c r="BA146" i="4" a="1"/>
  <c r="BA146" i="4" s="1"/>
  <c r="AY146" i="4" a="1"/>
  <c r="AY146" i="4" s="1"/>
  <c r="AZ146" i="4" a="1"/>
  <c r="AZ146" i="4" s="1"/>
  <c r="BB146" i="4" a="1"/>
  <c r="BB146" i="4" s="1"/>
  <c r="BC146" i="4" a="1"/>
  <c r="BC146" i="4" s="1"/>
  <c r="BE131" i="4" a="1"/>
  <c r="BE131" i="4" s="1"/>
  <c r="AS117" i="4" a="1"/>
  <c r="AS117" i="4" s="1"/>
  <c r="BD117" i="4" a="1"/>
  <c r="BD117" i="4" s="1"/>
  <c r="AV117" i="4" a="1"/>
  <c r="AV117" i="4" s="1"/>
  <c r="AW117" i="4" a="1"/>
  <c r="AW117" i="4" s="1"/>
  <c r="AU117" i="4" a="1"/>
  <c r="AU117" i="4" s="1"/>
  <c r="BE117" i="4" a="1"/>
  <c r="BE117" i="4" s="1"/>
  <c r="AW101" i="4" a="1"/>
  <c r="AW101" i="4" s="1"/>
  <c r="AW130" i="4" a="1"/>
  <c r="AW130" i="4" s="1"/>
  <c r="BE130" i="4" a="1"/>
  <c r="BE130" i="4" s="1"/>
  <c r="AY130" i="4" a="1"/>
  <c r="AY130" i="4" s="1"/>
  <c r="BD130" i="4" a="1"/>
  <c r="BD130" i="4" s="1"/>
  <c r="AY49" i="4" a="1"/>
  <c r="AY49" i="4" s="1"/>
  <c r="BC49" i="4" a="1"/>
  <c r="BC49" i="4" s="1"/>
  <c r="AZ103" i="4" a="1"/>
  <c r="AZ103" i="4" s="1"/>
  <c r="BC103" i="4" a="1"/>
  <c r="BC103" i="4" s="1"/>
  <c r="AY171" i="4" a="1"/>
  <c r="AY171" i="4" s="1"/>
  <c r="AW171" i="4" a="1"/>
  <c r="AW171" i="4" s="1"/>
  <c r="BC171" i="4" a="1"/>
  <c r="BC171" i="4" s="1"/>
  <c r="BE171" i="4" a="1"/>
  <c r="BE171" i="4" s="1"/>
  <c r="BB113" i="4" a="1"/>
  <c r="BB113" i="4" s="1"/>
  <c r="BE113" i="4" a="1"/>
  <c r="BE113" i="4" s="1"/>
  <c r="AY111" i="4" a="1"/>
  <c r="AY111" i="4" s="1"/>
  <c r="BC111" i="4" a="1"/>
  <c r="BC111" i="4" s="1"/>
  <c r="BC101" i="4" a="1"/>
  <c r="BC101" i="4" s="1"/>
  <c r="AW177" i="4" a="1"/>
  <c r="AW177" i="4" s="1"/>
  <c r="AV173" i="4" a="1"/>
  <c r="AV173" i="4" s="1"/>
  <c r="AY173" i="4" a="1"/>
  <c r="AY173" i="4" s="1"/>
  <c r="BD173" i="4" a="1"/>
  <c r="BD173" i="4" s="1"/>
  <c r="BE173" i="4" a="1"/>
  <c r="BE173" i="4" s="1"/>
  <c r="BA173" i="4" a="1"/>
  <c r="BA173" i="4" s="1"/>
  <c r="BF168" i="4" a="1"/>
  <c r="BF168" i="4" s="1"/>
  <c r="AY160" i="4" a="1"/>
  <c r="AY160" i="4" s="1"/>
  <c r="BC160" i="4" a="1"/>
  <c r="BC160" i="4" s="1"/>
  <c r="BC158" i="4" a="1"/>
  <c r="BC158" i="4" s="1"/>
  <c r="BD158" i="4" a="1"/>
  <c r="BD158" i="4" s="1"/>
  <c r="AX150" i="4" a="1"/>
  <c r="AX150" i="4" s="1"/>
  <c r="AU101" i="4" a="1"/>
  <c r="AU101" i="4" s="1"/>
  <c r="BB95" i="4" a="1"/>
  <c r="BB95" i="4" s="1"/>
  <c r="AW95" i="4" a="1"/>
  <c r="AW95" i="4" s="1"/>
  <c r="BA95" i="4" a="1"/>
  <c r="BA95" i="4" s="1"/>
  <c r="Z150" i="12"/>
  <c r="AJ179" i="6"/>
  <c r="Z112" i="12"/>
  <c r="AJ138" i="6"/>
  <c r="AZ92" i="4" a="1"/>
  <c r="AZ92" i="4" s="1"/>
  <c r="BA165" i="4" a="1"/>
  <c r="BA165" i="4" s="1"/>
  <c r="BD157" i="4" a="1"/>
  <c r="BD157" i="4" s="1"/>
  <c r="BA94" i="4" a="1"/>
  <c r="BA94" i="4" s="1"/>
  <c r="AY93" i="4" a="1"/>
  <c r="AY93" i="4" s="1"/>
  <c r="AY92" i="4" a="1"/>
  <c r="AY92" i="4" s="1"/>
  <c r="BF85" i="4" a="1"/>
  <c r="BF85" i="4" s="1"/>
  <c r="Z116" i="12"/>
  <c r="Z107" i="12"/>
  <c r="C146" i="6"/>
  <c r="Y117" i="12" s="1"/>
  <c r="Z108" i="12"/>
  <c r="AZ165" i="4" a="1"/>
  <c r="AZ165" i="4" s="1"/>
  <c r="BC157" i="4" a="1"/>
  <c r="BC157" i="4" s="1"/>
  <c r="BF151" i="4" a="1"/>
  <c r="BF151" i="4" s="1"/>
  <c r="BC96" i="4" a="1"/>
  <c r="BC96" i="4" s="1"/>
  <c r="AZ94" i="4" a="1"/>
  <c r="AZ94" i="4" s="1"/>
  <c r="BF93" i="4" a="1"/>
  <c r="BF93" i="4" s="1"/>
  <c r="BF92" i="4" a="1"/>
  <c r="BF92" i="4" s="1"/>
  <c r="BD85" i="4" a="1"/>
  <c r="BD85" i="4" s="1"/>
  <c r="Z155" i="12"/>
  <c r="Z139" i="12"/>
  <c r="Z124" i="12"/>
  <c r="Z115" i="12"/>
  <c r="M131" i="12"/>
  <c r="M115" i="12"/>
  <c r="M139" i="12"/>
  <c r="AZ164" i="4" a="1"/>
  <c r="AZ164" i="4" s="1"/>
  <c r="BD164" i="4" a="1"/>
  <c r="BD164" i="4" s="1"/>
  <c r="AY181" i="4" a="1"/>
  <c r="AY181" i="4" s="1"/>
  <c r="BF179" i="4" a="1"/>
  <c r="BF179" i="4" s="1"/>
  <c r="BF175" i="4" a="1"/>
  <c r="BF175" i="4" s="1"/>
  <c r="BA170" i="4" a="1"/>
  <c r="BA170" i="4" s="1"/>
  <c r="BE164" i="4" a="1"/>
  <c r="BE164" i="4" s="1"/>
  <c r="BF161" i="4" a="1"/>
  <c r="BF161" i="4" s="1"/>
  <c r="BA153" i="4" a="1"/>
  <c r="BA153" i="4" s="1"/>
  <c r="BC153" i="4" a="1"/>
  <c r="BC153" i="4" s="1"/>
  <c r="AW153" i="4" a="1"/>
  <c r="AW153" i="4" s="1"/>
  <c r="BC149" i="4" a="1"/>
  <c r="BC149" i="4" s="1"/>
  <c r="AT145" i="4" a="1"/>
  <c r="AT145" i="4" s="1"/>
  <c r="AV145" i="4" a="1"/>
  <c r="AV145" i="4" s="1"/>
  <c r="AW145" i="4" a="1"/>
  <c r="AW145" i="4" s="1"/>
  <c r="BC145" i="4" a="1"/>
  <c r="BC145" i="4" s="1"/>
  <c r="BC134" i="4" a="1"/>
  <c r="BC134" i="4" s="1"/>
  <c r="BD134" i="4" a="1"/>
  <c r="BD134" i="4" s="1"/>
  <c r="BE134" i="4" a="1"/>
  <c r="BE134" i="4" s="1"/>
  <c r="AZ134" i="4" a="1"/>
  <c r="AZ134" i="4" s="1"/>
  <c r="BB131" i="4" a="1"/>
  <c r="BB131" i="4" s="1"/>
  <c r="AZ124" i="4" a="1"/>
  <c r="AZ124" i="4" s="1"/>
  <c r="BF124" i="4" a="1"/>
  <c r="BF124" i="4" s="1"/>
  <c r="BC113" i="4" a="1"/>
  <c r="BC113" i="4" s="1"/>
  <c r="AY99" i="4" a="1"/>
  <c r="AY99" i="4" s="1"/>
  <c r="AZ99" i="4" a="1"/>
  <c r="AZ99" i="4" s="1"/>
  <c r="BA99" i="4" a="1"/>
  <c r="BA99" i="4" s="1"/>
  <c r="AU99" i="4" a="1"/>
  <c r="AU99" i="4" s="1"/>
  <c r="BE99" i="4" a="1"/>
  <c r="BE99" i="4" s="1"/>
  <c r="BD99" i="4" a="1"/>
  <c r="BD99" i="4" s="1"/>
  <c r="AV99" i="4" a="1"/>
  <c r="AV99" i="4" s="1"/>
  <c r="AZ88" i="4" a="1"/>
  <c r="AZ88" i="4" s="1"/>
  <c r="BA88" i="4" a="1"/>
  <c r="BA88" i="4" s="1"/>
  <c r="BB88" i="4" a="1"/>
  <c r="BB88" i="4" s="1"/>
  <c r="BE88" i="4" a="1"/>
  <c r="BE88" i="4" s="1"/>
  <c r="BC88" i="4" a="1"/>
  <c r="BC88" i="4" s="1"/>
  <c r="BD88" i="4" a="1"/>
  <c r="BD88" i="4" s="1"/>
  <c r="BF88" i="4" a="1"/>
  <c r="BF88" i="4" s="1"/>
  <c r="BA83" i="4" a="1"/>
  <c r="BA83" i="4" s="1"/>
  <c r="BD83" i="4" a="1"/>
  <c r="BD83" i="4" s="1"/>
  <c r="BE83" i="4" a="1"/>
  <c r="BE83" i="4" s="1"/>
  <c r="AW83" i="4" a="1"/>
  <c r="AW83" i="4" s="1"/>
  <c r="AX83" i="4" a="1"/>
  <c r="AX83" i="4" s="1"/>
  <c r="BE80" i="4" a="1"/>
  <c r="BE80" i="4" s="1"/>
  <c r="Z143" i="12"/>
  <c r="BB186" i="4" a="1"/>
  <c r="BB186" i="4" s="1"/>
  <c r="BC185" i="4" a="1"/>
  <c r="BC185" i="4" s="1"/>
  <c r="AW181" i="4" a="1"/>
  <c r="AW181" i="4" s="1"/>
  <c r="BB179" i="4" a="1"/>
  <c r="BB179" i="4" s="1"/>
  <c r="BC178" i="4" a="1"/>
  <c r="BC178" i="4" s="1"/>
  <c r="BC175" i="4" a="1"/>
  <c r="BC175" i="4" s="1"/>
  <c r="BF174" i="4" a="1"/>
  <c r="BF174" i="4" s="1"/>
  <c r="AX174" i="4" a="1"/>
  <c r="AX174" i="4" s="1"/>
  <c r="BC173" i="4" a="1"/>
  <c r="BC173" i="4" s="1"/>
  <c r="AZ170" i="4" a="1"/>
  <c r="AZ170" i="4" s="1"/>
  <c r="BC166" i="4" a="1"/>
  <c r="BC166" i="4" s="1"/>
  <c r="BC164" i="4" a="1"/>
  <c r="BC164" i="4" s="1"/>
  <c r="BD163" i="4" a="1"/>
  <c r="BD163" i="4" s="1"/>
  <c r="BE161" i="4" a="1"/>
  <c r="BE161" i="4" s="1"/>
  <c r="BD160" i="4" a="1"/>
  <c r="BD160" i="4" s="1"/>
  <c r="BE158" i="4" a="1"/>
  <c r="BE158" i="4" s="1"/>
  <c r="BB158" i="4" a="1"/>
  <c r="BB158" i="4" s="1"/>
  <c r="BC150" i="4" a="1"/>
  <c r="BC150" i="4" s="1"/>
  <c r="BA149" i="4" a="1"/>
  <c r="BA149" i="4" s="1"/>
  <c r="BF138" i="4" a="1"/>
  <c r="BF138" i="4" s="1"/>
  <c r="BA130" i="4" a="1"/>
  <c r="BA130" i="4" s="1"/>
  <c r="BB130" i="4" a="1"/>
  <c r="BB130" i="4" s="1"/>
  <c r="BC130" i="4" a="1"/>
  <c r="BC130" i="4" s="1"/>
  <c r="AX130" i="4" a="1"/>
  <c r="AX130" i="4" s="1"/>
  <c r="BF130" i="4" a="1"/>
  <c r="BF130" i="4" s="1"/>
  <c r="AV118" i="4" a="1"/>
  <c r="AV118" i="4" s="1"/>
  <c r="BD118" i="4" a="1"/>
  <c r="BD118" i="4" s="1"/>
  <c r="AW118" i="4" a="1"/>
  <c r="AW118" i="4" s="1"/>
  <c r="BE118" i="4" a="1"/>
  <c r="BE118" i="4" s="1"/>
  <c r="AX118" i="4" a="1"/>
  <c r="AX118" i="4" s="1"/>
  <c r="BF118" i="4" a="1"/>
  <c r="BF118" i="4" s="1"/>
  <c r="AS118" i="4" a="1"/>
  <c r="AS118" i="4" s="1"/>
  <c r="BA118" i="4" a="1"/>
  <c r="BA118" i="4" s="1"/>
  <c r="BB116" i="4" a="1"/>
  <c r="BB116" i="4" s="1"/>
  <c r="AW109" i="4" a="1"/>
  <c r="AW109" i="4" s="1"/>
  <c r="AX109" i="4" a="1"/>
  <c r="AX109" i="4" s="1"/>
  <c r="BA109" i="4" a="1"/>
  <c r="BA109" i="4" s="1"/>
  <c r="BF109" i="4" a="1"/>
  <c r="BF109" i="4" s="1"/>
  <c r="BD103" i="4" a="1"/>
  <c r="BD103" i="4" s="1"/>
  <c r="AJ183" i="6"/>
  <c r="C183" i="6"/>
  <c r="Y154" i="12" s="1"/>
  <c r="Z154" i="12"/>
  <c r="AJ175" i="6"/>
  <c r="Z146" i="12"/>
  <c r="AJ167" i="6"/>
  <c r="Z138" i="12"/>
  <c r="AJ159" i="6"/>
  <c r="C159" i="6"/>
  <c r="Y130" i="12" s="1"/>
  <c r="Z130" i="12"/>
  <c r="AJ151" i="6"/>
  <c r="Z122" i="12"/>
  <c r="AJ143" i="6"/>
  <c r="Z114" i="12"/>
  <c r="AJ135" i="6"/>
  <c r="Z106" i="12"/>
  <c r="AY164" i="4" a="1"/>
  <c r="AY164" i="4" s="1"/>
  <c r="BD161" i="4" a="1"/>
  <c r="BD161" i="4" s="1"/>
  <c r="BD141" i="4" a="1"/>
  <c r="BD141" i="4" s="1"/>
  <c r="AY113" i="4" a="1"/>
  <c r="AY113" i="4" s="1"/>
  <c r="AZ113" i="4" a="1"/>
  <c r="AZ113" i="4" s="1"/>
  <c r="BA113" i="4" a="1"/>
  <c r="BA113" i="4" s="1"/>
  <c r="BD113" i="4" a="1"/>
  <c r="BD113" i="4" s="1"/>
  <c r="AX80" i="4" a="1"/>
  <c r="AX80" i="4" s="1"/>
  <c r="BF80" i="4" a="1"/>
  <c r="BF80" i="4" s="1"/>
  <c r="AY80" i="4" a="1"/>
  <c r="AY80" i="4" s="1"/>
  <c r="AZ80" i="4" a="1"/>
  <c r="AZ80" i="4" s="1"/>
  <c r="BC80" i="4" a="1"/>
  <c r="BC80" i="4" s="1"/>
  <c r="BA80" i="4" a="1"/>
  <c r="BA80" i="4" s="1"/>
  <c r="BB80" i="4" a="1"/>
  <c r="BB80" i="4" s="1"/>
  <c r="BD80" i="4" a="1"/>
  <c r="BD80" i="4" s="1"/>
  <c r="C168" i="6"/>
  <c r="Y139" i="12" s="1"/>
  <c r="Z151" i="12"/>
  <c r="AZ186" i="4" a="1"/>
  <c r="AZ186" i="4" s="1"/>
  <c r="BF183" i="4" a="1"/>
  <c r="BF183" i="4" s="1"/>
  <c r="BD182" i="4" a="1"/>
  <c r="BD182" i="4" s="1"/>
  <c r="BE181" i="4" a="1"/>
  <c r="BE181" i="4" s="1"/>
  <c r="BA178" i="4" a="1"/>
  <c r="BA178" i="4" s="1"/>
  <c r="BD177" i="4" a="1"/>
  <c r="BD177" i="4" s="1"/>
  <c r="BA175" i="4" a="1"/>
  <c r="BA175" i="4" s="1"/>
  <c r="BD174" i="4" a="1"/>
  <c r="BD174" i="4" s="1"/>
  <c r="AV174" i="4" a="1"/>
  <c r="AV174" i="4" s="1"/>
  <c r="AZ173" i="4" a="1"/>
  <c r="AZ173" i="4" s="1"/>
  <c r="BF170" i="4" a="1"/>
  <c r="BF170" i="4" s="1"/>
  <c r="AX170" i="4" a="1"/>
  <c r="AX170" i="4" s="1"/>
  <c r="AZ166" i="4" a="1"/>
  <c r="AZ166" i="4" s="1"/>
  <c r="BD165" i="4" a="1"/>
  <c r="BD165" i="4" s="1"/>
  <c r="AX164" i="4" a="1"/>
  <c r="AX164" i="4" s="1"/>
  <c r="BA162" i="4" a="1"/>
  <c r="BA162" i="4" s="1"/>
  <c r="BC161" i="4" a="1"/>
  <c r="BC161" i="4" s="1"/>
  <c r="BF158" i="4" a="1"/>
  <c r="BF158" i="4" s="1"/>
  <c r="BC141" i="4" a="1"/>
  <c r="BC141" i="4" s="1"/>
  <c r="BE136" i="4" a="1"/>
  <c r="BE136" i="4" s="1"/>
  <c r="AY126" i="4" a="1"/>
  <c r="AY126" i="4" s="1"/>
  <c r="AZ126" i="4" a="1"/>
  <c r="AZ126" i="4" s="1"/>
  <c r="BA126" i="4" a="1"/>
  <c r="BA126" i="4" s="1"/>
  <c r="AV126" i="4" a="1"/>
  <c r="AV126" i="4" s="1"/>
  <c r="BD126" i="4" a="1"/>
  <c r="BD126" i="4" s="1"/>
  <c r="AY123" i="4" a="1"/>
  <c r="AY123" i="4" s="1"/>
  <c r="BE123" i="4" a="1"/>
  <c r="BE123" i="4" s="1"/>
  <c r="BC118" i="4" a="1"/>
  <c r="BC118" i="4" s="1"/>
  <c r="AZ102" i="4" a="1"/>
  <c r="AZ102" i="4" s="1"/>
  <c r="BA102" i="4" a="1"/>
  <c r="BA102" i="4" s="1"/>
  <c r="BB102" i="4" a="1"/>
  <c r="BB102" i="4" s="1"/>
  <c r="AV102" i="4" a="1"/>
  <c r="AV102" i="4" s="1"/>
  <c r="BF102" i="4" a="1"/>
  <c r="BF102" i="4" s="1"/>
  <c r="BA120" i="4" a="1"/>
  <c r="BA120" i="4" s="1"/>
  <c r="AT120" i="4" a="1"/>
  <c r="AT120" i="4" s="1"/>
  <c r="AV120" i="4" a="1"/>
  <c r="AV120" i="4" s="1"/>
  <c r="BB120" i="4" a="1"/>
  <c r="BB120" i="4" s="1"/>
  <c r="AW131" i="4" a="1"/>
  <c r="AW131" i="4" s="1"/>
  <c r="AX131" i="4" a="1"/>
  <c r="AX131" i="4" s="1"/>
  <c r="AY131" i="4" a="1"/>
  <c r="AY131" i="4" s="1"/>
  <c r="BC131" i="4" a="1"/>
  <c r="BC131" i="4" s="1"/>
  <c r="BD181" i="4" a="1"/>
  <c r="BD181" i="4" s="1"/>
  <c r="BE170" i="4" a="1"/>
  <c r="BE170" i="4" s="1"/>
  <c r="BB161" i="4" a="1"/>
  <c r="BB161" i="4" s="1"/>
  <c r="AZ141" i="4" a="1"/>
  <c r="AZ141" i="4" s="1"/>
  <c r="AJ156" i="6"/>
  <c r="Z127" i="12"/>
  <c r="AJ140" i="6"/>
  <c r="Z111" i="12"/>
  <c r="BA183" i="4" a="1"/>
  <c r="BA183" i="4" s="1"/>
  <c r="AY178" i="4" a="1"/>
  <c r="AY178" i="4" s="1"/>
  <c r="AW175" i="4" a="1"/>
  <c r="AW175" i="4" s="1"/>
  <c r="AW173" i="4" a="1"/>
  <c r="AW173" i="4" s="1"/>
  <c r="BD170" i="4" a="1"/>
  <c r="BD170" i="4" s="1"/>
  <c r="AV166" i="4" a="1"/>
  <c r="AV166" i="4" s="1"/>
  <c r="AT164" i="4" a="1"/>
  <c r="AT164" i="4" s="1"/>
  <c r="BA161" i="4" a="1"/>
  <c r="BA161" i="4" s="1"/>
  <c r="BD153" i="4" a="1"/>
  <c r="BD153" i="4" s="1"/>
  <c r="AU150" i="4" a="1"/>
  <c r="AU150" i="4" s="1"/>
  <c r="BF150" i="4" a="1"/>
  <c r="BF150" i="4" s="1"/>
  <c r="AV150" i="4" a="1"/>
  <c r="AV150" i="4" s="1"/>
  <c r="BB150" i="4" a="1"/>
  <c r="BB150" i="4" s="1"/>
  <c r="BE145" i="4" a="1"/>
  <c r="BE145" i="4" s="1"/>
  <c r="BB138" i="4" a="1"/>
  <c r="BB138" i="4" s="1"/>
  <c r="BC138" i="4" a="1"/>
  <c r="BC138" i="4" s="1"/>
  <c r="BD138" i="4" a="1"/>
  <c r="BD138" i="4" s="1"/>
  <c r="AY138" i="4" a="1"/>
  <c r="AY138" i="4" s="1"/>
  <c r="BB134" i="4" a="1"/>
  <c r="BB134" i="4" s="1"/>
  <c r="AU125" i="4" a="1"/>
  <c r="AU125" i="4" s="1"/>
  <c r="AW125" i="4" a="1"/>
  <c r="AW125" i="4" s="1"/>
  <c r="AX116" i="4" a="1"/>
  <c r="AX116" i="4" s="1"/>
  <c r="AZ116" i="4" a="1"/>
  <c r="AZ116" i="4" s="1"/>
  <c r="BA116" i="4" a="1"/>
  <c r="BA116" i="4" s="1"/>
  <c r="AT116" i="4" a="1"/>
  <c r="AT116" i="4" s="1"/>
  <c r="BE116" i="4" a="1"/>
  <c r="BE116" i="4" s="1"/>
  <c r="BE110" i="4" a="1"/>
  <c r="BE110" i="4" s="1"/>
  <c r="AZ110" i="4" a="1"/>
  <c r="AZ110" i="4" s="1"/>
  <c r="BA110" i="4" a="1"/>
  <c r="BA110" i="4" s="1"/>
  <c r="BD110" i="4" a="1"/>
  <c r="BD110" i="4" s="1"/>
  <c r="AU103" i="4" a="1"/>
  <c r="AU103" i="4" s="1"/>
  <c r="BE103" i="4" a="1"/>
  <c r="BE103" i="4" s="1"/>
  <c r="AV103" i="4" a="1"/>
  <c r="AV103" i="4" s="1"/>
  <c r="AW103" i="4" a="1"/>
  <c r="AW103" i="4" s="1"/>
  <c r="BA103" i="4" a="1"/>
  <c r="BA103" i="4" s="1"/>
  <c r="AU141" i="4" a="1"/>
  <c r="AU141" i="4" s="1"/>
  <c r="BF141" i="4" a="1"/>
  <c r="BF141" i="4" s="1"/>
  <c r="AV141" i="4" a="1"/>
  <c r="AV141" i="4" s="1"/>
  <c r="AX141" i="4" a="1"/>
  <c r="AX141" i="4" s="1"/>
  <c r="BB141" i="4" a="1"/>
  <c r="BB141" i="4" s="1"/>
  <c r="BB115" i="4" a="1"/>
  <c r="BB115" i="4" s="1"/>
  <c r="BE115" i="4" a="1"/>
  <c r="BE115" i="4" s="1"/>
  <c r="BB175" i="4" a="1"/>
  <c r="BB175" i="4" s="1"/>
  <c r="AY170" i="4" a="1"/>
  <c r="AY170" i="4" s="1"/>
  <c r="BB183" i="4" a="1"/>
  <c r="BB183" i="4" s="1"/>
  <c r="AY175" i="4" a="1"/>
  <c r="AY175" i="4" s="1"/>
  <c r="AW170" i="4" a="1"/>
  <c r="AW170" i="4" s="1"/>
  <c r="AV164" i="4" a="1"/>
  <c r="AV164" i="4" s="1"/>
  <c r="AZ160" i="4" a="1"/>
  <c r="AZ160" i="4" s="1"/>
  <c r="BE160" i="4" a="1"/>
  <c r="BE160" i="4" s="1"/>
  <c r="AY149" i="4" a="1"/>
  <c r="AY149" i="4" s="1"/>
  <c r="AZ149" i="4" a="1"/>
  <c r="AZ149" i="4" s="1"/>
  <c r="AU149" i="4" a="1"/>
  <c r="AU149" i="4" s="1"/>
  <c r="BE149" i="4" a="1"/>
  <c r="BE149" i="4" s="1"/>
  <c r="AJ148" i="6"/>
  <c r="Z119" i="12"/>
  <c r="BC181" i="4" a="1"/>
  <c r="BC181" i="4" s="1"/>
  <c r="AV170" i="4" a="1"/>
  <c r="AV170" i="4" s="1"/>
  <c r="AY167" i="4" a="1"/>
  <c r="AY167" i="4" s="1"/>
  <c r="AU167" i="4" a="1"/>
  <c r="AU167" i="4" s="1"/>
  <c r="BF178" i="4" a="1"/>
  <c r="BF178" i="4" s="1"/>
  <c r="BC170" i="4" a="1"/>
  <c r="BC170" i="4" s="1"/>
  <c r="AU166" i="4" a="1"/>
  <c r="AU166" i="4" s="1"/>
  <c r="AW165" i="4" a="1"/>
  <c r="AW165" i="4" s="1"/>
  <c r="BE165" i="4" a="1"/>
  <c r="BE165" i="4" s="1"/>
  <c r="AS164" i="4" a="1"/>
  <c r="AS164" i="4" s="1"/>
  <c r="AZ161" i="4" a="1"/>
  <c r="AZ161" i="4" s="1"/>
  <c r="BD159" i="4" a="1"/>
  <c r="BD159" i="4" s="1"/>
  <c r="BA158" i="4" a="1"/>
  <c r="BA158" i="4" s="1"/>
  <c r="AZ153" i="4" a="1"/>
  <c r="AZ153" i="4" s="1"/>
  <c r="BB151" i="4" a="1"/>
  <c r="BB151" i="4" s="1"/>
  <c r="BC151" i="4" a="1"/>
  <c r="BC151" i="4" s="1"/>
  <c r="AX151" i="4" a="1"/>
  <c r="AX151" i="4" s="1"/>
  <c r="BB145" i="4" a="1"/>
  <c r="BB145" i="4" s="1"/>
  <c r="AS144" i="4" a="1"/>
  <c r="AS144" i="4" s="1"/>
  <c r="AZ144" i="4" a="1"/>
  <c r="AZ144" i="4" s="1"/>
  <c r="BA144" i="4" a="1"/>
  <c r="BA144" i="4" s="1"/>
  <c r="BC144" i="4" a="1"/>
  <c r="BC144" i="4" s="1"/>
  <c r="AU144" i="4" a="1"/>
  <c r="AU144" i="4" s="1"/>
  <c r="BF144" i="4" a="1"/>
  <c r="BF144" i="4" s="1"/>
  <c r="AT141" i="4" a="1"/>
  <c r="AT141" i="4" s="1"/>
  <c r="BA134" i="4" a="1"/>
  <c r="BA134" i="4" s="1"/>
  <c r="AW133" i="4" a="1"/>
  <c r="AW133" i="4" s="1"/>
  <c r="BE133" i="4" a="1"/>
  <c r="BE133" i="4" s="1"/>
  <c r="AX133" i="4" a="1"/>
  <c r="AX133" i="4" s="1"/>
  <c r="BF133" i="4" a="1"/>
  <c r="BF133" i="4" s="1"/>
  <c r="AY133" i="4" a="1"/>
  <c r="AY133" i="4" s="1"/>
  <c r="BB133" i="4" a="1"/>
  <c r="BB133" i="4" s="1"/>
  <c r="AZ130" i="4" a="1"/>
  <c r="AZ130" i="4" s="1"/>
  <c r="AZ128" i="4" a="1"/>
  <c r="AZ128" i="4" s="1"/>
  <c r="BF120" i="4" a="1"/>
  <c r="BF120" i="4" s="1"/>
  <c r="AY118" i="4" a="1"/>
  <c r="AY118" i="4" s="1"/>
  <c r="BF113" i="4" a="1"/>
  <c r="BF113" i="4" s="1"/>
  <c r="BC99" i="4" a="1"/>
  <c r="BC99" i="4" s="1"/>
  <c r="AS95" i="4" a="1"/>
  <c r="AS95" i="4" s="1"/>
  <c r="BC95" i="4" a="1"/>
  <c r="BC95" i="4" s="1"/>
  <c r="AU95" i="4" a="1"/>
  <c r="AU95" i="4" s="1"/>
  <c r="BD95" i="4" a="1"/>
  <c r="BD95" i="4" s="1"/>
  <c r="AV95" i="4" a="1"/>
  <c r="AV95" i="4" s="1"/>
  <c r="BF95" i="4" a="1"/>
  <c r="BF95" i="4" s="1"/>
  <c r="AZ95" i="4" a="1"/>
  <c r="AZ95" i="4" s="1"/>
  <c r="AX95" i="4" a="1"/>
  <c r="AX95" i="4" s="1"/>
  <c r="BF83" i="4" a="1"/>
  <c r="BF83" i="4" s="1"/>
  <c r="Z135" i="12"/>
  <c r="BC155" i="4" a="1"/>
  <c r="BC155" i="4" s="1"/>
  <c r="AZ148" i="4" a="1"/>
  <c r="AZ148" i="4" s="1"/>
  <c r="BF146" i="4" a="1"/>
  <c r="BF146" i="4" s="1"/>
  <c r="AX146" i="4" a="1"/>
  <c r="AX146" i="4" s="1"/>
  <c r="AW143" i="4" a="1"/>
  <c r="AW143" i="4" s="1"/>
  <c r="BC142" i="4" a="1"/>
  <c r="BC142" i="4" s="1"/>
  <c r="AU142" i="4" a="1"/>
  <c r="AU142" i="4" s="1"/>
  <c r="AY105" i="4" a="1"/>
  <c r="AY105" i="4" s="1"/>
  <c r="AZ104" i="4" a="1"/>
  <c r="AZ104" i="4" s="1"/>
  <c r="A187" i="5"/>
  <c r="B187" i="5" s="1"/>
  <c r="A153" i="7" s="1"/>
  <c r="M155" i="12"/>
  <c r="Z153" i="12"/>
  <c r="AJ182" i="6"/>
  <c r="AJ174" i="6"/>
  <c r="Z145" i="12"/>
  <c r="AJ166" i="6"/>
  <c r="Z137" i="12"/>
  <c r="AJ150" i="6"/>
  <c r="Z121" i="12"/>
  <c r="AJ142" i="6"/>
  <c r="Z113" i="12"/>
  <c r="Z158" i="12"/>
  <c r="Z142" i="12"/>
  <c r="Z134" i="12"/>
  <c r="AU100" i="4" a="1"/>
  <c r="AU100" i="4" s="1"/>
  <c r="BF100" i="4" a="1"/>
  <c r="BF100" i="4" s="1"/>
  <c r="AV100" i="4" a="1"/>
  <c r="AV100" i="4" s="1"/>
  <c r="AX100" i="4" a="1"/>
  <c r="AX100" i="4" s="1"/>
  <c r="AJ147" i="6"/>
  <c r="Z118" i="12"/>
  <c r="AJ139" i="6"/>
  <c r="Z110" i="12"/>
  <c r="C156" i="6"/>
  <c r="Y127" i="12" s="1"/>
  <c r="AA127" i="12"/>
  <c r="BE143" i="4" a="1"/>
  <c r="BE143" i="4" s="1"/>
  <c r="AY142" i="4" a="1"/>
  <c r="AY142" i="4" s="1"/>
  <c r="BC105" i="4" a="1"/>
  <c r="BC105" i="4" s="1"/>
  <c r="AW97" i="4" a="1"/>
  <c r="AW97" i="4" s="1"/>
  <c r="AX97" i="4" a="1"/>
  <c r="AX97" i="4" s="1"/>
  <c r="AY97" i="4" a="1"/>
  <c r="AY97" i="4" s="1"/>
  <c r="AS97" i="4" a="1"/>
  <c r="AS97" i="4" s="1"/>
  <c r="BC97" i="4" a="1"/>
  <c r="BC97" i="4" s="1"/>
  <c r="AV96" i="4" a="1"/>
  <c r="AV96" i="4" s="1"/>
  <c r="BD96" i="4" a="1"/>
  <c r="BD96" i="4" s="1"/>
  <c r="AW96" i="4" a="1"/>
  <c r="AW96" i="4" s="1"/>
  <c r="BE96" i="4" a="1"/>
  <c r="BE96" i="4" s="1"/>
  <c r="AX96" i="4" a="1"/>
  <c r="AX96" i="4" s="1"/>
  <c r="BF96" i="4" a="1"/>
  <c r="BF96" i="4" s="1"/>
  <c r="AS96" i="4" a="1"/>
  <c r="AS96" i="4" s="1"/>
  <c r="BA96" i="4" a="1"/>
  <c r="BA96" i="4" s="1"/>
  <c r="BA87" i="4" a="1"/>
  <c r="BA87" i="4" s="1"/>
  <c r="BB87" i="4" a="1"/>
  <c r="BB87" i="4" s="1"/>
  <c r="BC87" i="4" a="1"/>
  <c r="BC87" i="4" s="1"/>
  <c r="AY82" i="4" a="1"/>
  <c r="AY82" i="4" s="1"/>
  <c r="BA82" i="4" a="1"/>
  <c r="BA82" i="4" s="1"/>
  <c r="BC82" i="4" a="1"/>
  <c r="BC82" i="4" s="1"/>
  <c r="BE82" i="4" a="1"/>
  <c r="BE82" i="4" s="1"/>
  <c r="C187" i="6"/>
  <c r="Y158" i="12" s="1"/>
  <c r="AA158" i="12"/>
  <c r="C179" i="6"/>
  <c r="Y150" i="12" s="1"/>
  <c r="AA150" i="12"/>
  <c r="C171" i="6"/>
  <c r="Y142" i="12" s="1"/>
  <c r="AA142" i="12"/>
  <c r="BD148" i="4" a="1"/>
  <c r="BD148" i="4" s="1"/>
  <c r="BA143" i="4" a="1"/>
  <c r="BA143" i="4" s="1"/>
  <c r="BF142" i="4" a="1"/>
  <c r="BF142" i="4" s="1"/>
  <c r="BE135" i="4" a="1"/>
  <c r="BE135" i="4" s="1"/>
  <c r="BF104" i="4" a="1"/>
  <c r="BF104" i="4" s="1"/>
  <c r="AJ155" i="6"/>
  <c r="C178" i="6"/>
  <c r="Y149" i="12" s="1"/>
  <c r="C170" i="6"/>
  <c r="Y141" i="12" s="1"/>
  <c r="C154" i="6"/>
  <c r="Y125" i="12" s="1"/>
  <c r="C138" i="6"/>
  <c r="Y109" i="12" s="1"/>
  <c r="BD86" i="4" a="1"/>
  <c r="BD86" i="4" s="1"/>
  <c r="BE85" i="4" a="1"/>
  <c r="BE85" i="4" s="1"/>
  <c r="AW85" i="4" a="1"/>
  <c r="AW85" i="4" s="1"/>
  <c r="BA84" i="4" a="1"/>
  <c r="BA84" i="4" s="1"/>
  <c r="C162" i="6"/>
  <c r="Y133" i="12" s="1"/>
  <c r="C151" i="6"/>
  <c r="Y122" i="12" s="1"/>
  <c r="C135" i="6"/>
  <c r="Y106" i="12" s="1"/>
  <c r="Z157" i="12"/>
  <c r="Z149" i="12"/>
  <c r="Z141" i="12"/>
  <c r="Z133" i="12"/>
  <c r="BC86" i="4" a="1"/>
  <c r="BC86" i="4" s="1"/>
  <c r="AZ84" i="4" a="1"/>
  <c r="AZ84" i="4" s="1"/>
  <c r="A189" i="5"/>
  <c r="B189" i="5" s="1"/>
  <c r="K157" i="12" s="1"/>
  <c r="A181" i="5"/>
  <c r="B181" i="5" s="1"/>
  <c r="A147" i="7" s="1"/>
  <c r="A173" i="5"/>
  <c r="B173" i="5" s="1"/>
  <c r="A139" i="7" s="1"/>
  <c r="A165" i="5"/>
  <c r="B165" i="5" s="1"/>
  <c r="A131" i="7" s="1"/>
  <c r="AA125" i="12"/>
  <c r="AA109" i="12"/>
  <c r="A188" i="5"/>
  <c r="B188" i="5" s="1"/>
  <c r="K156" i="12" s="1"/>
  <c r="A180" i="5"/>
  <c r="B180" i="5" s="1"/>
  <c r="A146" i="7" s="1"/>
  <c r="A172" i="5"/>
  <c r="B172" i="5" s="1"/>
  <c r="A138" i="7" s="1"/>
  <c r="A164" i="5"/>
  <c r="B164" i="5" s="1"/>
  <c r="A130" i="7" s="1"/>
  <c r="C157" i="6"/>
  <c r="Y128" i="12" s="1"/>
  <c r="Z156" i="12"/>
  <c r="Z152" i="12"/>
  <c r="Z148" i="12"/>
  <c r="Z144" i="12"/>
  <c r="Z140" i="12"/>
  <c r="Z132" i="12"/>
  <c r="Z125" i="12"/>
  <c r="Z117" i="12"/>
  <c r="K123" i="12"/>
  <c r="C144" i="6"/>
  <c r="Y115" i="12" s="1"/>
  <c r="AJ188" i="6"/>
  <c r="C188" i="6"/>
  <c r="Y159" i="12" s="1"/>
  <c r="C180" i="6"/>
  <c r="Y151" i="12" s="1"/>
  <c r="C185" i="6"/>
  <c r="Y156" i="12" s="1"/>
  <c r="C177" i="6"/>
  <c r="Y148" i="12" s="1"/>
  <c r="C169" i="6"/>
  <c r="Y140" i="12" s="1"/>
  <c r="C161" i="6"/>
  <c r="Y132" i="12" s="1"/>
  <c r="C153" i="6"/>
  <c r="Y124" i="12" s="1"/>
  <c r="C145" i="6"/>
  <c r="Y116" i="12" s="1"/>
  <c r="C137" i="6"/>
  <c r="Y108" i="12" s="1"/>
  <c r="C184" i="6"/>
  <c r="Y155" i="12" s="1"/>
  <c r="C176" i="6"/>
  <c r="Y147" i="12" s="1"/>
  <c r="C160" i="6"/>
  <c r="Y131" i="12" s="1"/>
  <c r="C152" i="6"/>
  <c r="Y123" i="12" s="1"/>
  <c r="C136" i="6"/>
  <c r="Y107" i="12" s="1"/>
  <c r="C155" i="6"/>
  <c r="Y126" i="12" s="1"/>
  <c r="C148" i="6"/>
  <c r="Y119" i="12" s="1"/>
  <c r="C175" i="6"/>
  <c r="Y146" i="12" s="1"/>
  <c r="C143" i="6"/>
  <c r="Y114" i="12" s="1"/>
  <c r="AJ176" i="6"/>
  <c r="C147" i="6"/>
  <c r="Y118" i="12" s="1"/>
  <c r="C181" i="6"/>
  <c r="Y152" i="12" s="1"/>
  <c r="C173" i="6"/>
  <c r="Y144" i="12" s="1"/>
  <c r="C165" i="6"/>
  <c r="Y136" i="12" s="1"/>
  <c r="C149" i="6"/>
  <c r="Y120" i="12" s="1"/>
  <c r="C141" i="6"/>
  <c r="Y112" i="12" s="1"/>
  <c r="C172" i="6"/>
  <c r="Y143" i="12" s="1"/>
  <c r="C164" i="6"/>
  <c r="Y135" i="12" s="1"/>
  <c r="C140" i="6"/>
  <c r="Y111" i="12" s="1"/>
  <c r="C163" i="6"/>
  <c r="Y134" i="12" s="1"/>
  <c r="C139" i="6"/>
  <c r="Y110" i="12" s="1"/>
  <c r="C166" i="6"/>
  <c r="Y137" i="12" s="1"/>
  <c r="C158" i="6"/>
  <c r="Y129" i="12" s="1"/>
  <c r="C182" i="6"/>
  <c r="Y153" i="12" s="1"/>
  <c r="C174" i="6"/>
  <c r="Y145" i="12" s="1"/>
  <c r="C150" i="6"/>
  <c r="Y121" i="12" s="1"/>
  <c r="C142" i="6"/>
  <c r="Y113" i="12" s="1"/>
  <c r="A184" i="5"/>
  <c r="B184" i="5" s="1"/>
  <c r="A176" i="5"/>
  <c r="B176" i="5" s="1"/>
  <c r="A168" i="5"/>
  <c r="B168" i="5" s="1"/>
  <c r="A160" i="5"/>
  <c r="B160" i="5" s="1"/>
  <c r="A152" i="5"/>
  <c r="B152" i="5" s="1"/>
  <c r="A144" i="5"/>
  <c r="B144" i="5" s="1"/>
  <c r="A157" i="5"/>
  <c r="B157" i="5" s="1"/>
  <c r="A149" i="5"/>
  <c r="B149" i="5" s="1"/>
  <c r="A148" i="5"/>
  <c r="B148" i="5" s="1"/>
  <c r="A191" i="5"/>
  <c r="B191" i="5" s="1"/>
  <c r="A183" i="5"/>
  <c r="B183" i="5" s="1"/>
  <c r="A175" i="5"/>
  <c r="B175" i="5" s="1"/>
  <c r="A167" i="5"/>
  <c r="B167" i="5" s="1"/>
  <c r="A159" i="5"/>
  <c r="B159" i="5" s="1"/>
  <c r="A151" i="5"/>
  <c r="B151" i="5" s="1"/>
  <c r="A190" i="5"/>
  <c r="B190" i="5" s="1"/>
  <c r="A182" i="5"/>
  <c r="B182" i="5" s="1"/>
  <c r="A174" i="5"/>
  <c r="B174" i="5" s="1"/>
  <c r="A166" i="5"/>
  <c r="B166" i="5" s="1"/>
  <c r="A158" i="5"/>
  <c r="B158" i="5" s="1"/>
  <c r="A150" i="5"/>
  <c r="B150" i="5" s="1"/>
  <c r="A156" i="5"/>
  <c r="B156" i="5" s="1"/>
  <c r="A186" i="5"/>
  <c r="B186" i="5" s="1"/>
  <c r="A178" i="5"/>
  <c r="B178" i="5" s="1"/>
  <c r="A170" i="5"/>
  <c r="B170" i="5" s="1"/>
  <c r="A162" i="5"/>
  <c r="B162" i="5" s="1"/>
  <c r="A154" i="5"/>
  <c r="B154" i="5" s="1"/>
  <c r="A146" i="5"/>
  <c r="B146" i="5" s="1"/>
  <c r="A185" i="5"/>
  <c r="B185" i="5" s="1"/>
  <c r="A177" i="5"/>
  <c r="B177" i="5" s="1"/>
  <c r="A169" i="5"/>
  <c r="B169" i="5" s="1"/>
  <c r="A161" i="5"/>
  <c r="B161" i="5" s="1"/>
  <c r="A153" i="5"/>
  <c r="B153" i="5" s="1"/>
  <c r="A145" i="5"/>
  <c r="B145" i="5" s="1"/>
  <c r="AY184" i="4" a="1"/>
  <c r="AY184" i="4" s="1"/>
  <c r="BC184" i="4" a="1"/>
  <c r="BC184" i="4" s="1"/>
  <c r="AT121" i="4" a="1"/>
  <c r="AT121" i="4" s="1"/>
  <c r="AX121" i="4" a="1"/>
  <c r="AX121" i="4" s="1"/>
  <c r="BB121" i="4" a="1"/>
  <c r="BB121" i="4" s="1"/>
  <c r="BF121" i="4" a="1"/>
  <c r="BF121" i="4" s="1"/>
  <c r="BC121" i="4" a="1"/>
  <c r="BC121" i="4" s="1"/>
  <c r="AS121" i="4" a="1"/>
  <c r="AS121" i="4" s="1"/>
  <c r="BD121" i="4" a="1"/>
  <c r="BD121" i="4" s="1"/>
  <c r="AZ121" i="4" a="1"/>
  <c r="AZ121" i="4" s="1"/>
  <c r="BE121" i="4" a="1"/>
  <c r="BE121" i="4" s="1"/>
  <c r="AU121" i="4" a="1"/>
  <c r="AU121" i="4" s="1"/>
  <c r="BA121" i="4" a="1"/>
  <c r="BA121" i="4" s="1"/>
  <c r="AV121" i="4" a="1"/>
  <c r="AV121" i="4" s="1"/>
  <c r="BE180" i="4" a="1"/>
  <c r="BE180" i="4" s="1"/>
  <c r="AW127" i="4" a="1"/>
  <c r="AW127" i="4" s="1"/>
  <c r="BB127" i="4" a="1"/>
  <c r="BB127" i="4" s="1"/>
  <c r="AX127" i="4" a="1"/>
  <c r="AX127" i="4" s="1"/>
  <c r="AY127" i="4" a="1"/>
  <c r="AY127" i="4" s="1"/>
  <c r="AV127" i="4" a="1"/>
  <c r="AV127" i="4" s="1"/>
  <c r="BD127" i="4" a="1"/>
  <c r="BD127" i="4" s="1"/>
  <c r="BF127" i="4" a="1"/>
  <c r="BF127" i="4" s="1"/>
  <c r="AZ127" i="4" a="1"/>
  <c r="AZ127" i="4" s="1"/>
  <c r="BA127" i="4" a="1"/>
  <c r="BA127" i="4" s="1"/>
  <c r="BC127" i="4" a="1"/>
  <c r="BC127" i="4" s="1"/>
  <c r="BE127" i="4" a="1"/>
  <c r="BE127" i="4" s="1"/>
  <c r="BD184" i="4" a="1"/>
  <c r="BD184" i="4" s="1"/>
  <c r="AZ183" i="4" a="1"/>
  <c r="AZ183" i="4" s="1"/>
  <c r="BD183" i="4" a="1"/>
  <c r="BD183" i="4" s="1"/>
  <c r="BD180" i="4" a="1"/>
  <c r="BD180" i="4" s="1"/>
  <c r="AZ179" i="4" a="1"/>
  <c r="AZ179" i="4" s="1"/>
  <c r="BD179" i="4" a="1"/>
  <c r="BD179" i="4" s="1"/>
  <c r="AZ172" i="4" a="1"/>
  <c r="AZ172" i="4" s="1"/>
  <c r="BA167" i="4" a="1"/>
  <c r="BA167" i="4" s="1"/>
  <c r="BE183" i="4" a="1"/>
  <c r="BE183" i="4" s="1"/>
  <c r="AW180" i="4" a="1"/>
  <c r="AW180" i="4" s="1"/>
  <c r="BE179" i="4" a="1"/>
  <c r="BE179" i="4" s="1"/>
  <c r="BE176" i="4" a="1"/>
  <c r="BE176" i="4" s="1"/>
  <c r="AX176" i="4" a="1"/>
  <c r="AX176" i="4" s="1"/>
  <c r="AU168" i="4" a="1"/>
  <c r="AU168" i="4" s="1"/>
  <c r="AY168" i="4" a="1"/>
  <c r="AY168" i="4" s="1"/>
  <c r="BC168" i="4" a="1"/>
  <c r="BC168" i="4" s="1"/>
  <c r="AS168" i="4" a="1"/>
  <c r="AS168" i="4" s="1"/>
  <c r="AW168" i="4" a="1"/>
  <c r="AW168" i="4" s="1"/>
  <c r="BA168" i="4" a="1"/>
  <c r="BA168" i="4" s="1"/>
  <c r="BE168" i="4" a="1"/>
  <c r="BE168" i="4" s="1"/>
  <c r="AY156" i="4" a="1"/>
  <c r="AY156" i="4" s="1"/>
  <c r="BC156" i="4" a="1"/>
  <c r="BC156" i="4" s="1"/>
  <c r="BB156" i="4" a="1"/>
  <c r="BB156" i="4" s="1"/>
  <c r="AW156" i="4" a="1"/>
  <c r="AW156" i="4" s="1"/>
  <c r="BD156" i="4" a="1"/>
  <c r="BD156" i="4" s="1"/>
  <c r="AX156" i="4" a="1"/>
  <c r="AX156" i="4" s="1"/>
  <c r="BE156" i="4" a="1"/>
  <c r="BE156" i="4" s="1"/>
  <c r="AZ147" i="4" a="1"/>
  <c r="AZ147" i="4" s="1"/>
  <c r="AX125" i="4" a="1"/>
  <c r="AX125" i="4" s="1"/>
  <c r="BB125" i="4" a="1"/>
  <c r="BB125" i="4" s="1"/>
  <c r="BF125" i="4" a="1"/>
  <c r="BF125" i="4" s="1"/>
  <c r="AV125" i="4" a="1"/>
  <c r="AV125" i="4" s="1"/>
  <c r="BA125" i="4" a="1"/>
  <c r="BA125" i="4" s="1"/>
  <c r="BC125" i="4" a="1"/>
  <c r="BC125" i="4" s="1"/>
  <c r="AY125" i="4" a="1"/>
  <c r="AY125" i="4" s="1"/>
  <c r="AZ125" i="4" a="1"/>
  <c r="AZ125" i="4" s="1"/>
  <c r="BD125" i="4" a="1"/>
  <c r="BD125" i="4" s="1"/>
  <c r="BE125" i="4" a="1"/>
  <c r="BE125" i="4" s="1"/>
  <c r="AY128" i="4" a="1"/>
  <c r="AY128" i="4" s="1"/>
  <c r="BD128" i="4" a="1"/>
  <c r="BD128" i="4" s="1"/>
  <c r="BA128" i="4" a="1"/>
  <c r="BA128" i="4" s="1"/>
  <c r="AW128" i="4" a="1"/>
  <c r="AW128" i="4" s="1"/>
  <c r="BC128" i="4" a="1"/>
  <c r="BC128" i="4" s="1"/>
  <c r="BE128" i="4" a="1"/>
  <c r="BE128" i="4" s="1"/>
  <c r="BB128" i="4" a="1"/>
  <c r="BB128" i="4" s="1"/>
  <c r="BF128" i="4" a="1"/>
  <c r="BF128" i="4" s="1"/>
  <c r="AU172" i="4" a="1"/>
  <c r="AU172" i="4" s="1"/>
  <c r="AY172" i="4" a="1"/>
  <c r="AY172" i="4" s="1"/>
  <c r="BC172" i="4" a="1"/>
  <c r="BC172" i="4" s="1"/>
  <c r="AW172" i="4" a="1"/>
  <c r="AW172" i="4" s="1"/>
  <c r="BA172" i="4" a="1"/>
  <c r="BA172" i="4" s="1"/>
  <c r="BB172" i="4" a="1"/>
  <c r="BB172" i="4" s="1"/>
  <c r="BC167" i="4" a="1"/>
  <c r="BC167" i="4" s="1"/>
  <c r="AZ187" i="4" a="1"/>
  <c r="AZ187" i="4" s="1"/>
  <c r="BD187" i="4" a="1"/>
  <c r="BD187" i="4" s="1"/>
  <c r="BB184" i="4" a="1"/>
  <c r="BB184" i="4" s="1"/>
  <c r="BB180" i="4" a="1"/>
  <c r="BB180" i="4" s="1"/>
  <c r="AX179" i="4" a="1"/>
  <c r="AX179" i="4" s="1"/>
  <c r="BD176" i="4" a="1"/>
  <c r="BD176" i="4" s="1"/>
  <c r="AV175" i="4" a="1"/>
  <c r="AV175" i="4" s="1"/>
  <c r="AZ175" i="4" a="1"/>
  <c r="AZ175" i="4" s="1"/>
  <c r="BD175" i="4" a="1"/>
  <c r="BD175" i="4" s="1"/>
  <c r="AX172" i="4" a="1"/>
  <c r="AX172" i="4" s="1"/>
  <c r="BE187" i="4" a="1"/>
  <c r="BE187" i="4" s="1"/>
  <c r="BC183" i="4" a="1"/>
  <c r="BC183" i="4" s="1"/>
  <c r="BC179" i="4" a="1"/>
  <c r="BC179" i="4" s="1"/>
  <c r="AW179" i="4" a="1"/>
  <c r="AW179" i="4" s="1"/>
  <c r="AW176" i="4" a="1"/>
  <c r="AW176" i="4" s="1"/>
  <c r="BE175" i="4" a="1"/>
  <c r="BE175" i="4" s="1"/>
  <c r="BE172" i="4" a="1"/>
  <c r="BE172" i="4" s="1"/>
  <c r="AV171" i="4" a="1"/>
  <c r="AV171" i="4" s="1"/>
  <c r="AZ171" i="4" a="1"/>
  <c r="AZ171" i="4" s="1"/>
  <c r="BD171" i="4" a="1"/>
  <c r="BD171" i="4" s="1"/>
  <c r="AX171" i="4" a="1"/>
  <c r="AX171" i="4" s="1"/>
  <c r="BB171" i="4" a="1"/>
  <c r="BB171" i="4" s="1"/>
  <c r="BF171" i="4" a="1"/>
  <c r="BF171" i="4" s="1"/>
  <c r="AY180" i="4" a="1"/>
  <c r="AY180" i="4" s="1"/>
  <c r="BC180" i="4" a="1"/>
  <c r="BC180" i="4" s="1"/>
  <c r="AV167" i="4" a="1"/>
  <c r="AV167" i="4" s="1"/>
  <c r="AZ167" i="4" a="1"/>
  <c r="AZ167" i="4" s="1"/>
  <c r="BD167" i="4" a="1"/>
  <c r="BD167" i="4" s="1"/>
  <c r="AW167" i="4" a="1"/>
  <c r="AW167" i="4" s="1"/>
  <c r="AT167" i="4" a="1"/>
  <c r="AT167" i="4" s="1"/>
  <c r="AX167" i="4" a="1"/>
  <c r="AX167" i="4" s="1"/>
  <c r="BB167" i="4" a="1"/>
  <c r="BB167" i="4" s="1"/>
  <c r="BF167" i="4" a="1"/>
  <c r="BF167" i="4" s="1"/>
  <c r="AX147" i="4" a="1"/>
  <c r="AX147" i="4" s="1"/>
  <c r="BC147" i="4" a="1"/>
  <c r="BC147" i="4" s="1"/>
  <c r="AU147" i="4" a="1"/>
  <c r="AU147" i="4" s="1"/>
  <c r="BD147" i="4" a="1"/>
  <c r="BD147" i="4" s="1"/>
  <c r="BB147" i="4" a="1"/>
  <c r="BB147" i="4" s="1"/>
  <c r="AV147" i="4" a="1"/>
  <c r="AV147" i="4" s="1"/>
  <c r="AW147" i="4" a="1"/>
  <c r="AW147" i="4" s="1"/>
  <c r="BE147" i="4" a="1"/>
  <c r="BE147" i="4" s="1"/>
  <c r="AY147" i="4" a="1"/>
  <c r="AY147" i="4" s="1"/>
  <c r="BF147" i="4" a="1"/>
  <c r="BF147" i="4" s="1"/>
  <c r="BE184" i="4" a="1"/>
  <c r="BE184" i="4" s="1"/>
  <c r="AX180" i="4" a="1"/>
  <c r="AX180" i="4" s="1"/>
  <c r="AY176" i="4" a="1"/>
  <c r="AY176" i="4" s="1"/>
  <c r="BC176" i="4" a="1"/>
  <c r="BC176" i="4" s="1"/>
  <c r="AS167" i="4" a="1"/>
  <c r="AS167" i="4" s="1"/>
  <c r="BA184" i="4" a="1"/>
  <c r="BA184" i="4" s="1"/>
  <c r="BA180" i="4" a="1"/>
  <c r="BA180" i="4" s="1"/>
  <c r="BB176" i="4" a="1"/>
  <c r="BB176" i="4" s="1"/>
  <c r="AX175" i="4" a="1"/>
  <c r="AX175" i="4" s="1"/>
  <c r="BD172" i="4" a="1"/>
  <c r="BD172" i="4" s="1"/>
  <c r="AV172" i="4" a="1"/>
  <c r="AV172" i="4" s="1"/>
  <c r="BA171" i="4" a="1"/>
  <c r="BA171" i="4" s="1"/>
  <c r="BE167" i="4" a="1"/>
  <c r="BE167" i="4" s="1"/>
  <c r="BA129" i="4" a="1"/>
  <c r="BA129" i="4" s="1"/>
  <c r="AW129" i="4" a="1"/>
  <c r="AW129" i="4" s="1"/>
  <c r="BF129" i="4" a="1"/>
  <c r="BF129" i="4" s="1"/>
  <c r="AX129" i="4" a="1"/>
  <c r="AX129" i="4" s="1"/>
  <c r="BE129" i="4" a="1"/>
  <c r="BE129" i="4" s="1"/>
  <c r="AZ129" i="4" a="1"/>
  <c r="AZ129" i="4" s="1"/>
  <c r="BC129" i="4" a="1"/>
  <c r="BC129" i="4" s="1"/>
  <c r="BD129" i="4" a="1"/>
  <c r="BD129" i="4" s="1"/>
  <c r="AY121" i="4" a="1"/>
  <c r="AY121" i="4" s="1"/>
  <c r="AV119" i="4" a="1"/>
  <c r="AV119" i="4" s="1"/>
  <c r="AZ119" i="4" a="1"/>
  <c r="AZ119" i="4" s="1"/>
  <c r="BD119" i="4" a="1"/>
  <c r="BD119" i="4" s="1"/>
  <c r="AX119" i="4" a="1"/>
  <c r="AX119" i="4" s="1"/>
  <c r="BC119" i="4" a="1"/>
  <c r="BC119" i="4" s="1"/>
  <c r="AS119" i="4" a="1"/>
  <c r="AS119" i="4" s="1"/>
  <c r="BE119" i="4" a="1"/>
  <c r="BE119" i="4" s="1"/>
  <c r="AT119" i="4" a="1"/>
  <c r="AT119" i="4" s="1"/>
  <c r="BB119" i="4" a="1"/>
  <c r="BB119" i="4" s="1"/>
  <c r="AU119" i="4" a="1"/>
  <c r="AU119" i="4" s="1"/>
  <c r="BF119" i="4" a="1"/>
  <c r="BF119" i="4" s="1"/>
  <c r="AW119" i="4" a="1"/>
  <c r="AW119" i="4" s="1"/>
  <c r="AY119" i="4" a="1"/>
  <c r="AY119" i="4" s="1"/>
  <c r="BA155" i="4" a="1"/>
  <c r="BA155" i="4" s="1"/>
  <c r="BD124" i="4" a="1"/>
  <c r="BD124" i="4" s="1"/>
  <c r="AV123" i="4" a="1"/>
  <c r="AV123" i="4" s="1"/>
  <c r="AZ123" i="4" a="1"/>
  <c r="AZ123" i="4" s="1"/>
  <c r="BD123" i="4" a="1"/>
  <c r="BD123" i="4" s="1"/>
  <c r="BA123" i="4" a="1"/>
  <c r="BA123" i="4" s="1"/>
  <c r="BB123" i="4" a="1"/>
  <c r="BB123" i="4" s="1"/>
  <c r="AX123" i="4" a="1"/>
  <c r="AX123" i="4" s="1"/>
  <c r="BC123" i="4" a="1"/>
  <c r="BC123" i="4" s="1"/>
  <c r="AU123" i="4" a="1"/>
  <c r="AU123" i="4" s="1"/>
  <c r="BE120" i="4" a="1"/>
  <c r="BE120" i="4" s="1"/>
  <c r="BB164" i="4" a="1"/>
  <c r="BB164" i="4" s="1"/>
  <c r="AW164" i="4" a="1"/>
  <c r="AW164" i="4" s="1"/>
  <c r="BB163" i="4" a="1"/>
  <c r="BB163" i="4" s="1"/>
  <c r="BB160" i="4" a="1"/>
  <c r="BB160" i="4" s="1"/>
  <c r="BB159" i="4" a="1"/>
  <c r="BB159" i="4" s="1"/>
  <c r="AY152" i="4" a="1"/>
  <c r="AY152" i="4" s="1"/>
  <c r="BC152" i="4" a="1"/>
  <c r="BC152" i="4" s="1"/>
  <c r="BF164" i="4" a="1"/>
  <c r="BF164" i="4" s="1"/>
  <c r="BA164" i="4" a="1"/>
  <c r="BA164" i="4" s="1"/>
  <c r="AU164" i="4" a="1"/>
  <c r="AU164" i="4" s="1"/>
  <c r="BF163" i="4" a="1"/>
  <c r="BF163" i="4" s="1"/>
  <c r="AZ163" i="4" a="1"/>
  <c r="AZ163" i="4" s="1"/>
  <c r="BF160" i="4" a="1"/>
  <c r="BF160" i="4" s="1"/>
  <c r="BA160" i="4" a="1"/>
  <c r="BA160" i="4" s="1"/>
  <c r="BF159" i="4" a="1"/>
  <c r="BF159" i="4" s="1"/>
  <c r="AZ159" i="4" a="1"/>
  <c r="AZ159" i="4" s="1"/>
  <c r="BE152" i="4" a="1"/>
  <c r="BE152" i="4" s="1"/>
  <c r="AX152" i="4" a="1"/>
  <c r="AX152" i="4" s="1"/>
  <c r="AY145" i="4" a="1"/>
  <c r="AY145" i="4" s="1"/>
  <c r="BD145" i="4" a="1"/>
  <c r="BD145" i="4" s="1"/>
  <c r="AU145" i="4" a="1"/>
  <c r="AU145" i="4" s="1"/>
  <c r="AZ145" i="4" a="1"/>
  <c r="AZ145" i="4" s="1"/>
  <c r="BA145" i="4" a="1"/>
  <c r="BA145" i="4" s="1"/>
  <c r="BB139" i="4" a="1"/>
  <c r="BB139" i="4" s="1"/>
  <c r="BF139" i="4" a="1"/>
  <c r="BF139" i="4" s="1"/>
  <c r="AY139" i="4" a="1"/>
  <c r="AY139" i="4" s="1"/>
  <c r="BC139" i="4" a="1"/>
  <c r="BC139" i="4" s="1"/>
  <c r="BD139" i="4" a="1"/>
  <c r="BD139" i="4" s="1"/>
  <c r="AZ139" i="4" a="1"/>
  <c r="AZ139" i="4" s="1"/>
  <c r="AW132" i="4" a="1"/>
  <c r="AW132" i="4" s="1"/>
  <c r="BF132" i="4" a="1"/>
  <c r="BF132" i="4" s="1"/>
  <c r="BB132" i="4" a="1"/>
  <c r="BB132" i="4" s="1"/>
  <c r="BC132" i="4" a="1"/>
  <c r="BC132" i="4" s="1"/>
  <c r="AZ132" i="4" a="1"/>
  <c r="AZ132" i="4" s="1"/>
  <c r="AZ155" i="4" a="1"/>
  <c r="AZ155" i="4" s="1"/>
  <c r="BD155" i="4" a="1"/>
  <c r="BD155" i="4" s="1"/>
  <c r="AS140" i="4" a="1"/>
  <c r="AS140" i="4" s="1"/>
  <c r="AW140" i="4" a="1"/>
  <c r="AW140" i="4" s="1"/>
  <c r="BA140" i="4" a="1"/>
  <c r="BA140" i="4" s="1"/>
  <c r="BE140" i="4" a="1"/>
  <c r="BE140" i="4" s="1"/>
  <c r="AT140" i="4" a="1"/>
  <c r="AT140" i="4" s="1"/>
  <c r="AX140" i="4" a="1"/>
  <c r="AX140" i="4" s="1"/>
  <c r="BB140" i="4" a="1"/>
  <c r="BB140" i="4" s="1"/>
  <c r="BF140" i="4" a="1"/>
  <c r="BF140" i="4" s="1"/>
  <c r="AU140" i="4" a="1"/>
  <c r="AU140" i="4" s="1"/>
  <c r="AU124" i="4" a="1"/>
  <c r="AU124" i="4" s="1"/>
  <c r="AY124" i="4" a="1"/>
  <c r="AY124" i="4" s="1"/>
  <c r="BC124" i="4" a="1"/>
  <c r="BC124" i="4" s="1"/>
  <c r="AV124" i="4" a="1"/>
  <c r="AV124" i="4" s="1"/>
  <c r="AW124" i="4" a="1"/>
  <c r="AW124" i="4" s="1"/>
  <c r="BB124" i="4" a="1"/>
  <c r="BB124" i="4" s="1"/>
  <c r="AX124" i="4" a="1"/>
  <c r="AX124" i="4" s="1"/>
  <c r="BE124" i="4" a="1"/>
  <c r="BE124" i="4" s="1"/>
  <c r="AU120" i="4" a="1"/>
  <c r="AU120" i="4" s="1"/>
  <c r="AY120" i="4" a="1"/>
  <c r="AY120" i="4" s="1"/>
  <c r="BC120" i="4" a="1"/>
  <c r="BC120" i="4" s="1"/>
  <c r="AS120" i="4" a="1"/>
  <c r="AS120" i="4" s="1"/>
  <c r="AX120" i="4" a="1"/>
  <c r="AX120" i="4" s="1"/>
  <c r="BD120" i="4" a="1"/>
  <c r="BD120" i="4" s="1"/>
  <c r="AZ120" i="4" a="1"/>
  <c r="AZ120" i="4" s="1"/>
  <c r="BF185" i="4" a="1"/>
  <c r="BF185" i="4" s="1"/>
  <c r="BB185" i="4" a="1"/>
  <c r="BB185" i="4" s="1"/>
  <c r="BF181" i="4" a="1"/>
  <c r="BF181" i="4" s="1"/>
  <c r="BB181" i="4" a="1"/>
  <c r="BB181" i="4" s="1"/>
  <c r="AX181" i="4" a="1"/>
  <c r="AX181" i="4" s="1"/>
  <c r="BF177" i="4" a="1"/>
  <c r="BF177" i="4" s="1"/>
  <c r="BB177" i="4" a="1"/>
  <c r="BB177" i="4" s="1"/>
  <c r="AX177" i="4" a="1"/>
  <c r="AX177" i="4" s="1"/>
  <c r="BF173" i="4" a="1"/>
  <c r="BF173" i="4" s="1"/>
  <c r="BB173" i="4" a="1"/>
  <c r="BB173" i="4" s="1"/>
  <c r="AX173" i="4" a="1"/>
  <c r="AX173" i="4" s="1"/>
  <c r="BF169" i="4" a="1"/>
  <c r="BF169" i="4" s="1"/>
  <c r="BB169" i="4" a="1"/>
  <c r="BB169" i="4" s="1"/>
  <c r="AX169" i="4" a="1"/>
  <c r="AX169" i="4" s="1"/>
  <c r="AT169" i="4" a="1"/>
  <c r="AT169" i="4" s="1"/>
  <c r="BE166" i="4" a="1"/>
  <c r="BE166" i="4" s="1"/>
  <c r="BA166" i="4" a="1"/>
  <c r="BA166" i="4" s="1"/>
  <c r="AW166" i="4" a="1"/>
  <c r="AW166" i="4" s="1"/>
  <c r="AS166" i="4" a="1"/>
  <c r="AS166" i="4" s="1"/>
  <c r="BE163" i="4" a="1"/>
  <c r="BE163" i="4" s="1"/>
  <c r="BE159" i="4" a="1"/>
  <c r="BE159" i="4" s="1"/>
  <c r="AX155" i="4" a="1"/>
  <c r="AX155" i="4" s="1"/>
  <c r="BD152" i="4" a="1"/>
  <c r="BD152" i="4" s="1"/>
  <c r="AV151" i="4" a="1"/>
  <c r="AV151" i="4" s="1"/>
  <c r="AZ151" i="4" a="1"/>
  <c r="AZ151" i="4" s="1"/>
  <c r="BD151" i="4" a="1"/>
  <c r="BD151" i="4" s="1"/>
  <c r="AS145" i="4" a="1"/>
  <c r="AS145" i="4" s="1"/>
  <c r="BD140" i="4" a="1"/>
  <c r="BD140" i="4" s="1"/>
  <c r="BE139" i="4" a="1"/>
  <c r="BE139" i="4" s="1"/>
  <c r="BF123" i="4" a="1"/>
  <c r="BF123" i="4" s="1"/>
  <c r="AW120" i="4" a="1"/>
  <c r="AW120" i="4" s="1"/>
  <c r="AZ115" i="4" a="1"/>
  <c r="AZ115" i="4" s="1"/>
  <c r="BD115" i="4" a="1"/>
  <c r="BD115" i="4" s="1"/>
  <c r="BF115" i="4" a="1"/>
  <c r="BF115" i="4" s="1"/>
  <c r="BA115" i="4" a="1"/>
  <c r="BA115" i="4" s="1"/>
  <c r="AY115" i="4" a="1"/>
  <c r="AY115" i="4" s="1"/>
  <c r="BC115" i="4" a="1"/>
  <c r="BC115" i="4" s="1"/>
  <c r="BD143" i="4" a="1"/>
  <c r="BD143" i="4" s="1"/>
  <c r="BB137" i="4" a="1"/>
  <c r="BB137" i="4" s="1"/>
  <c r="BA111" i="4" a="1"/>
  <c r="BA111" i="4" s="1"/>
  <c r="BE111" i="4" a="1"/>
  <c r="BE111" i="4" s="1"/>
  <c r="BB111" i="4" a="1"/>
  <c r="BB111" i="4" s="1"/>
  <c r="BF111" i="4" a="1"/>
  <c r="BF111" i="4" s="1"/>
  <c r="BD111" i="4" a="1"/>
  <c r="BD111" i="4" s="1"/>
  <c r="AU98" i="4" a="1"/>
  <c r="AU98" i="4" s="1"/>
  <c r="AY98" i="4" a="1"/>
  <c r="AY98" i="4" s="1"/>
  <c r="BC98" i="4" a="1"/>
  <c r="BC98" i="4" s="1"/>
  <c r="BB98" i="4" a="1"/>
  <c r="BB98" i="4" s="1"/>
  <c r="AW98" i="4" a="1"/>
  <c r="AW98" i="4" s="1"/>
  <c r="BD98" i="4" a="1"/>
  <c r="BD98" i="4" s="1"/>
  <c r="AX98" i="4" a="1"/>
  <c r="AX98" i="4" s="1"/>
  <c r="BF98" i="4" a="1"/>
  <c r="BF98" i="4" s="1"/>
  <c r="BE98" i="4" a="1"/>
  <c r="BE98" i="4" s="1"/>
  <c r="AV98" i="4" a="1"/>
  <c r="AV98" i="4" s="1"/>
  <c r="AT144" i="4" a="1"/>
  <c r="AT144" i="4" s="1"/>
  <c r="AX144" i="4" a="1"/>
  <c r="AX144" i="4" s="1"/>
  <c r="BB144" i="4" a="1"/>
  <c r="BB144" i="4" s="1"/>
  <c r="AU143" i="4" a="1"/>
  <c r="AU143" i="4" s="1"/>
  <c r="AY143" i="4" a="1"/>
  <c r="AY143" i="4" s="1"/>
  <c r="BC143" i="4" a="1"/>
  <c r="BC143" i="4" s="1"/>
  <c r="AZ137" i="4" a="1"/>
  <c r="AZ137" i="4" s="1"/>
  <c r="BD137" i="4" a="1"/>
  <c r="BD137" i="4" s="1"/>
  <c r="BA137" i="4" a="1"/>
  <c r="BA137" i="4" s="1"/>
  <c r="BE137" i="4" a="1"/>
  <c r="BE137" i="4" s="1"/>
  <c r="AY136" i="4" a="1"/>
  <c r="AY136" i="4" s="1"/>
  <c r="BD136" i="4" a="1"/>
  <c r="BD136" i="4" s="1"/>
  <c r="BA136" i="4" a="1"/>
  <c r="BA136" i="4" s="1"/>
  <c r="BB135" i="4" a="1"/>
  <c r="BB135" i="4" s="1"/>
  <c r="AY135" i="4" a="1"/>
  <c r="AY135" i="4" s="1"/>
  <c r="BF153" i="4" a="1"/>
  <c r="BF153" i="4" s="1"/>
  <c r="BB153" i="4" a="1"/>
  <c r="BB153" i="4" s="1"/>
  <c r="AX153" i="4" a="1"/>
  <c r="AX153" i="4" s="1"/>
  <c r="BE150" i="4" a="1"/>
  <c r="BE150" i="4" s="1"/>
  <c r="BA150" i="4" a="1"/>
  <c r="BA150" i="4" s="1"/>
  <c r="AW150" i="4" a="1"/>
  <c r="AW150" i="4" s="1"/>
  <c r="BF149" i="4" a="1"/>
  <c r="BF149" i="4" s="1"/>
  <c r="BB149" i="4" a="1"/>
  <c r="BB149" i="4" s="1"/>
  <c r="AX149" i="4" a="1"/>
  <c r="AX149" i="4" s="1"/>
  <c r="BC148" i="4" a="1"/>
  <c r="BC148" i="4" s="1"/>
  <c r="AY148" i="4" a="1"/>
  <c r="AY148" i="4" s="1"/>
  <c r="AV144" i="4" a="1"/>
  <c r="AV144" i="4" s="1"/>
  <c r="BB143" i="4" a="1"/>
  <c r="BB143" i="4" s="1"/>
  <c r="AS141" i="4" a="1"/>
  <c r="AS141" i="4" s="1"/>
  <c r="AW141" i="4" a="1"/>
  <c r="AW141" i="4" s="1"/>
  <c r="BA141" i="4" a="1"/>
  <c r="BA141" i="4" s="1"/>
  <c r="BE141" i="4" a="1"/>
  <c r="BE141" i="4" s="1"/>
  <c r="BF137" i="4" a="1"/>
  <c r="BF137" i="4" s="1"/>
  <c r="AY137" i="4" a="1"/>
  <c r="AY137" i="4" s="1"/>
  <c r="AZ136" i="4" a="1"/>
  <c r="AZ136" i="4" s="1"/>
  <c r="AZ135" i="4" a="1"/>
  <c r="AZ135" i="4" s="1"/>
  <c r="BA98" i="4" a="1"/>
  <c r="BA98" i="4" s="1"/>
  <c r="BF131" i="4" a="1"/>
  <c r="BF131" i="4" s="1"/>
  <c r="BA131" i="4" a="1"/>
  <c r="BA131" i="4" s="1"/>
  <c r="AT117" i="4" a="1"/>
  <c r="AT117" i="4" s="1"/>
  <c r="AX117" i="4" a="1"/>
  <c r="AX117" i="4" s="1"/>
  <c r="BB117" i="4" a="1"/>
  <c r="BB117" i="4" s="1"/>
  <c r="BF117" i="4" a="1"/>
  <c r="BF117" i="4" s="1"/>
  <c r="AU116" i="4" a="1"/>
  <c r="AU116" i="4" s="1"/>
  <c r="AY116" i="4" a="1"/>
  <c r="AY116" i="4" s="1"/>
  <c r="BC116" i="4" a="1"/>
  <c r="BC116" i="4" s="1"/>
  <c r="AZ114" i="4" a="1"/>
  <c r="AZ114" i="4" s="1"/>
  <c r="AZ112" i="4" a="1"/>
  <c r="AZ112" i="4" s="1"/>
  <c r="BD112" i="4" a="1"/>
  <c r="BD112" i="4" s="1"/>
  <c r="BA112" i="4" a="1"/>
  <c r="BA112" i="4" s="1"/>
  <c r="BE112" i="4" a="1"/>
  <c r="BE112" i="4" s="1"/>
  <c r="AY114" i="4" a="1"/>
  <c r="AY114" i="4" s="1"/>
  <c r="BE114" i="4" a="1"/>
  <c r="BE114" i="4" s="1"/>
  <c r="BB110" i="4" a="1"/>
  <c r="BB110" i="4" s="1"/>
  <c r="BF110" i="4" a="1"/>
  <c r="BF110" i="4" s="1"/>
  <c r="AY110" i="4" a="1"/>
  <c r="AY110" i="4" s="1"/>
  <c r="BC110" i="4" a="1"/>
  <c r="BC110" i="4" s="1"/>
  <c r="BD131" i="4" a="1"/>
  <c r="BD131" i="4" s="1"/>
  <c r="BD114" i="4" a="1"/>
  <c r="BD114" i="4" s="1"/>
  <c r="AX106" i="4" a="1"/>
  <c r="AX106" i="4" s="1"/>
  <c r="BB106" i="4" a="1"/>
  <c r="BB106" i="4" s="1"/>
  <c r="BF106" i="4" a="1"/>
  <c r="BF106" i="4" s="1"/>
  <c r="AY106" i="4" a="1"/>
  <c r="AY106" i="4" s="1"/>
  <c r="BC106" i="4" a="1"/>
  <c r="BC106" i="4" s="1"/>
  <c r="BA106" i="4" a="1"/>
  <c r="BA106" i="4" s="1"/>
  <c r="AW106" i="4" a="1"/>
  <c r="AW106" i="4" s="1"/>
  <c r="BD106" i="4" a="1"/>
  <c r="BD106" i="4" s="1"/>
  <c r="AZ108" i="4" a="1"/>
  <c r="AZ108" i="4" s="1"/>
  <c r="BD108" i="4" a="1"/>
  <c r="BD108" i="4" s="1"/>
  <c r="AW108" i="4" a="1"/>
  <c r="AW108" i="4" s="1"/>
  <c r="BA108" i="4" a="1"/>
  <c r="BA108" i="4" s="1"/>
  <c r="BE108" i="4" a="1"/>
  <c r="BE108" i="4" s="1"/>
  <c r="AW107" i="4" a="1"/>
  <c r="AW107" i="4" s="1"/>
  <c r="BA107" i="4" a="1"/>
  <c r="BA107" i="4" s="1"/>
  <c r="BE107" i="4" a="1"/>
  <c r="BE107" i="4" s="1"/>
  <c r="AX107" i="4" a="1"/>
  <c r="AX107" i="4" s="1"/>
  <c r="BB107" i="4" a="1"/>
  <c r="BB107" i="4" s="1"/>
  <c r="BF107" i="4" a="1"/>
  <c r="BF107" i="4" s="1"/>
  <c r="BD109" i="4" a="1"/>
  <c r="BD109" i="4" s="1"/>
  <c r="AZ109" i="4" a="1"/>
  <c r="AZ109" i="4" s="1"/>
  <c r="BC109" i="4" a="1"/>
  <c r="BC109" i="4" s="1"/>
  <c r="AY109" i="4" a="1"/>
  <c r="AY109" i="4" s="1"/>
  <c r="AW104" i="4" a="1"/>
  <c r="AW104" i="4" s="1"/>
  <c r="BA104" i="4" a="1"/>
  <c r="BA104" i="4" s="1"/>
  <c r="BE104" i="4" a="1"/>
  <c r="BE104" i="4" s="1"/>
  <c r="AX103" i="4" a="1"/>
  <c r="AX103" i="4" s="1"/>
  <c r="BB103" i="4" a="1"/>
  <c r="BB103" i="4" s="1"/>
  <c r="BF103" i="4" a="1"/>
  <c r="BF103" i="4" s="1"/>
  <c r="AU102" i="4" a="1"/>
  <c r="AU102" i="4" s="1"/>
  <c r="AY102" i="4" a="1"/>
  <c r="AY102" i="4" s="1"/>
  <c r="BC102" i="4" a="1"/>
  <c r="BC102" i="4" s="1"/>
  <c r="AW100" i="4" a="1"/>
  <c r="AW100" i="4" s="1"/>
  <c r="BA100" i="4" a="1"/>
  <c r="BA100" i="4" s="1"/>
  <c r="BE100" i="4" a="1"/>
  <c r="BE100" i="4" s="1"/>
  <c r="AX99" i="4" a="1"/>
  <c r="AX99" i="4" s="1"/>
  <c r="BB99" i="4" a="1"/>
  <c r="BB99" i="4" s="1"/>
  <c r="BF99" i="4" a="1"/>
  <c r="BF99" i="4" s="1"/>
  <c r="AZ82" i="4" a="1"/>
  <c r="AZ82" i="4" s="1"/>
  <c r="BD82" i="4" a="1"/>
  <c r="BD82" i="4" s="1"/>
  <c r="BB82" i="4" a="1"/>
  <c r="BB82" i="4" s="1"/>
  <c r="AX82" i="4" a="1"/>
  <c r="AX82" i="4" s="1"/>
  <c r="BF82" i="4" a="1"/>
  <c r="BF82" i="4" s="1"/>
  <c r="BD101" i="4" a="1"/>
  <c r="BD101" i="4" s="1"/>
  <c r="AZ101" i="4" a="1"/>
  <c r="AZ101" i="4" s="1"/>
  <c r="AV101" i="4" a="1"/>
  <c r="AV101" i="4" s="1"/>
  <c r="BD97" i="4" a="1"/>
  <c r="BD97" i="4" s="1"/>
  <c r="AZ97" i="4" a="1"/>
  <c r="AZ97" i="4" s="1"/>
  <c r="AV97" i="4" a="1"/>
  <c r="AV97" i="4" s="1"/>
  <c r="BE95" i="4" a="1"/>
  <c r="BE95" i="4" s="1"/>
  <c r="AY95" i="4" a="1"/>
  <c r="AY95" i="4" s="1"/>
  <c r="AT95" i="4" a="1"/>
  <c r="AT95" i="4" s="1"/>
  <c r="BD94" i="4" a="1"/>
  <c r="BD94" i="4" s="1"/>
  <c r="AY94" i="4" a="1"/>
  <c r="AY94" i="4" s="1"/>
  <c r="BE91" i="4" a="1"/>
  <c r="BE91" i="4" s="1"/>
  <c r="AY91" i="4" a="1"/>
  <c r="AY91" i="4" s="1"/>
  <c r="BD90" i="4" a="1"/>
  <c r="BD90" i="4" s="1"/>
  <c r="AY90" i="4" a="1"/>
  <c r="AY90" i="4" s="1"/>
  <c r="BE87" i="4" a="1"/>
  <c r="BE87" i="4" s="1"/>
  <c r="AY87" i="4" a="1"/>
  <c r="AY87" i="4" s="1"/>
  <c r="AY86" i="4" a="1"/>
  <c r="AY86" i="4" s="1"/>
  <c r="BB83" i="4" a="1"/>
  <c r="BB83" i="4" s="1"/>
  <c r="AY83" i="4" a="1"/>
  <c r="AY83" i="4" s="1"/>
  <c r="BC83" i="4" a="1"/>
  <c r="BC83" i="4" s="1"/>
  <c r="AS44" i="4" a="1"/>
  <c r="AS44" i="4" s="1"/>
  <c r="BE48" i="4" a="1"/>
  <c r="BE48" i="4" s="1"/>
  <c r="BE46" i="4" a="1"/>
  <c r="BE46" i="4" s="1"/>
  <c r="BA48" i="4" a="1"/>
  <c r="BA48" i="4" s="1"/>
  <c r="AY47" i="4" a="1"/>
  <c r="AY47" i="4" s="1"/>
  <c r="AW46" i="4" a="1"/>
  <c r="AW46" i="4" s="1"/>
  <c r="AW48" i="4" a="1"/>
  <c r="AW48" i="4" s="1"/>
  <c r="AY45" i="4" a="1"/>
  <c r="AY45" i="4" s="1"/>
  <c r="BD44" i="4" a="1"/>
  <c r="BD44" i="4" s="1"/>
  <c r="BA46" i="4" a="1"/>
  <c r="BA46" i="4" s="1"/>
  <c r="BC45" i="4" a="1"/>
  <c r="BC45" i="4" s="1"/>
  <c r="BE44" i="4" a="1"/>
  <c r="BE44" i="4" s="1"/>
  <c r="AV45" i="4" a="1"/>
  <c r="AV45" i="4" s="1"/>
  <c r="AZ45" i="4" a="1"/>
  <c r="AZ45" i="4" s="1"/>
  <c r="BD45" i="4" a="1"/>
  <c r="BD45" i="4" s="1"/>
  <c r="AS45" i="4" a="1"/>
  <c r="AS45" i="4" s="1"/>
  <c r="AW45" i="4" a="1"/>
  <c r="AW45" i="4" s="1"/>
  <c r="BA45" i="4" a="1"/>
  <c r="BA45" i="4" s="1"/>
  <c r="BE45" i="4" a="1"/>
  <c r="BE45" i="4" s="1"/>
  <c r="AT45" i="4" a="1"/>
  <c r="AT45" i="4" s="1"/>
  <c r="BF45" i="4" a="1"/>
  <c r="BF45" i="4" s="1"/>
  <c r="AX45" i="4" a="1"/>
  <c r="AX45" i="4" s="1"/>
  <c r="BB45" i="4" a="1"/>
  <c r="BB45" i="4" s="1"/>
  <c r="AV47" i="4" a="1"/>
  <c r="AV47" i="4" s="1"/>
  <c r="AZ47" i="4" a="1"/>
  <c r="AZ47" i="4" s="1"/>
  <c r="BD47" i="4" a="1"/>
  <c r="BD47" i="4" s="1"/>
  <c r="AS47" i="4" a="1"/>
  <c r="AS47" i="4" s="1"/>
  <c r="AW47" i="4" a="1"/>
  <c r="AW47" i="4" s="1"/>
  <c r="BA47" i="4" a="1"/>
  <c r="BA47" i="4" s="1"/>
  <c r="BE47" i="4" a="1"/>
  <c r="BE47" i="4" s="1"/>
  <c r="AX47" i="4" a="1"/>
  <c r="AX47" i="4" s="1"/>
  <c r="BB47" i="4" a="1"/>
  <c r="BB47" i="4" s="1"/>
  <c r="AT47" i="4" a="1"/>
  <c r="AT47" i="4" s="1"/>
  <c r="BF47" i="4" a="1"/>
  <c r="BF47" i="4" s="1"/>
  <c r="AV49" i="4" a="1"/>
  <c r="AV49" i="4" s="1"/>
  <c r="AZ49" i="4" a="1"/>
  <c r="AZ49" i="4" s="1"/>
  <c r="BD49" i="4" a="1"/>
  <c r="BD49" i="4" s="1"/>
  <c r="AS49" i="4" a="1"/>
  <c r="AS49" i="4" s="1"/>
  <c r="AW49" i="4" a="1"/>
  <c r="AW49" i="4" s="1"/>
  <c r="BA49" i="4" a="1"/>
  <c r="BA49" i="4" s="1"/>
  <c r="BE49" i="4" a="1"/>
  <c r="BE49" i="4" s="1"/>
  <c r="AX49" i="4" a="1"/>
  <c r="AX49" i="4" s="1"/>
  <c r="BF49" i="4" a="1"/>
  <c r="BF49" i="4" s="1"/>
  <c r="AT49" i="4" a="1"/>
  <c r="AT49" i="4" s="1"/>
  <c r="BB49" i="4" a="1"/>
  <c r="BB49" i="4" s="1"/>
  <c r="AZ48" i="4" a="1"/>
  <c r="AZ48" i="4" s="1"/>
  <c r="AZ46" i="4" a="1"/>
  <c r="AZ46" i="4" s="1"/>
  <c r="BD48" i="4" a="1"/>
  <c r="BD48" i="4" s="1"/>
  <c r="AV48" i="4" a="1"/>
  <c r="AV48" i="4" s="1"/>
  <c r="BD46" i="4" a="1"/>
  <c r="BD46" i="4" s="1"/>
  <c r="AV46" i="4" a="1"/>
  <c r="AV46" i="4" s="1"/>
  <c r="AZ44" i="4" a="1"/>
  <c r="AZ44" i="4" s="1"/>
  <c r="AV44" i="4" a="1"/>
  <c r="AV44" i="4" s="1"/>
  <c r="BC48" i="4" a="1"/>
  <c r="BC48" i="4" s="1"/>
  <c r="AY48" i="4" a="1"/>
  <c r="AY48" i="4" s="1"/>
  <c r="AU48" i="4" a="1"/>
  <c r="AU48" i="4" s="1"/>
  <c r="BC46" i="4" a="1"/>
  <c r="BC46" i="4" s="1"/>
  <c r="AY46" i="4" a="1"/>
  <c r="AY46" i="4" s="1"/>
  <c r="AU46" i="4" a="1"/>
  <c r="AU46" i="4" s="1"/>
  <c r="BC44" i="4" a="1"/>
  <c r="BC44" i="4" s="1"/>
  <c r="AY44" i="4" a="1"/>
  <c r="AY44" i="4" s="1"/>
  <c r="AU44" i="4" a="1"/>
  <c r="AU44" i="4" s="1"/>
  <c r="BF48" i="4" a="1"/>
  <c r="BF48" i="4" s="1"/>
  <c r="BB48" i="4" a="1"/>
  <c r="BB48" i="4" s="1"/>
  <c r="AX48" i="4" a="1"/>
  <c r="AX48" i="4" s="1"/>
  <c r="AT48" i="4" a="1"/>
  <c r="AT48" i="4" s="1"/>
  <c r="BF46" i="4" a="1"/>
  <c r="BF46" i="4" s="1"/>
  <c r="BB46" i="4" a="1"/>
  <c r="BB46" i="4" s="1"/>
  <c r="AX46" i="4" a="1"/>
  <c r="AX46" i="4" s="1"/>
  <c r="AT46" i="4" a="1"/>
  <c r="AT46" i="4" s="1"/>
  <c r="BF44" i="4" a="1"/>
  <c r="BF44" i="4" s="1"/>
  <c r="BB44" i="4" a="1"/>
  <c r="BB44" i="4" s="1"/>
  <c r="AX44" i="4" a="1"/>
  <c r="AX44" i="4" s="1"/>
  <c r="AT44" i="4" a="1"/>
  <c r="AT44" i="4" s="1"/>
  <c r="AJ140" i="4"/>
  <c r="AJ141" i="4"/>
  <c r="AJ142" i="4"/>
  <c r="AJ143" i="4"/>
  <c r="AJ144" i="4"/>
  <c r="AJ145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38" i="4"/>
  <c r="A39" i="4"/>
  <c r="A40" i="4"/>
  <c r="A41" i="4"/>
  <c r="A42" i="4"/>
  <c r="A43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33" i="4"/>
  <c r="A34" i="4"/>
  <c r="A35" i="4"/>
  <c r="A36" i="4"/>
  <c r="A37" i="4"/>
  <c r="A50" i="4"/>
  <c r="A51" i="4"/>
  <c r="A52" i="4"/>
  <c r="A53" i="4"/>
  <c r="A54" i="4"/>
  <c r="A55" i="4"/>
  <c r="A68" i="4"/>
  <c r="A69" i="4"/>
  <c r="A70" i="4"/>
  <c r="A71" i="4"/>
  <c r="A72" i="4"/>
  <c r="A73" i="4"/>
  <c r="A74" i="4"/>
  <c r="A75" i="4"/>
  <c r="A76" i="4"/>
  <c r="A77" i="4"/>
  <c r="A78" i="4"/>
  <c r="A79" i="4"/>
  <c r="K131" i="12" l="1"/>
  <c r="A129" i="10"/>
  <c r="A121" i="10"/>
  <c r="A113" i="10"/>
  <c r="K115" i="12"/>
  <c r="A137" i="10"/>
  <c r="K139" i="12"/>
  <c r="A145" i="10"/>
  <c r="K147" i="12"/>
  <c r="A138" i="10"/>
  <c r="K148" i="12"/>
  <c r="A153" i="10"/>
  <c r="A139" i="10"/>
  <c r="A146" i="10"/>
  <c r="A130" i="10"/>
  <c r="K141" i="12"/>
  <c r="K132" i="12"/>
  <c r="K140" i="12"/>
  <c r="A147" i="10"/>
  <c r="K149" i="12"/>
  <c r="K133" i="12"/>
  <c r="A155" i="7"/>
  <c r="A155" i="10"/>
  <c r="A154" i="7"/>
  <c r="A154" i="10"/>
  <c r="A131" i="10"/>
  <c r="K155" i="12"/>
  <c r="A115" i="7"/>
  <c r="K117" i="12"/>
  <c r="A115" i="10"/>
  <c r="A114" i="7"/>
  <c r="A114" i="10"/>
  <c r="K116" i="12"/>
  <c r="A144" i="7"/>
  <c r="A144" i="10"/>
  <c r="K146" i="12"/>
  <c r="A119" i="7"/>
  <c r="K121" i="12"/>
  <c r="A119" i="10"/>
  <c r="A148" i="7"/>
  <c r="A148" i="10"/>
  <c r="K150" i="12"/>
  <c r="A127" i="7"/>
  <c r="K129" i="12"/>
  <c r="A127" i="10"/>
  <c r="A136" i="7"/>
  <c r="A136" i="10"/>
  <c r="K138" i="12"/>
  <c r="A150" i="7"/>
  <c r="K152" i="12"/>
  <c r="A150" i="10"/>
  <c r="A156" i="7"/>
  <c r="A156" i="10"/>
  <c r="K158" i="12"/>
  <c r="A117" i="7"/>
  <c r="A117" i="10"/>
  <c r="K119" i="12"/>
  <c r="A122" i="7"/>
  <c r="A122" i="10"/>
  <c r="K124" i="12"/>
  <c r="A151" i="7"/>
  <c r="K153" i="12"/>
  <c r="A151" i="10"/>
  <c r="A118" i="7"/>
  <c r="A118" i="10"/>
  <c r="K120" i="12"/>
  <c r="A112" i="7"/>
  <c r="A112" i="10"/>
  <c r="K114" i="12"/>
  <c r="A124" i="7"/>
  <c r="K126" i="12"/>
  <c r="A124" i="10"/>
  <c r="A141" i="7"/>
  <c r="A141" i="10"/>
  <c r="K143" i="12"/>
  <c r="A126" i="7"/>
  <c r="K128" i="12"/>
  <c r="A126" i="10"/>
  <c r="A152" i="7"/>
  <c r="K154" i="12"/>
  <c r="A152" i="10"/>
  <c r="A125" i="7"/>
  <c r="K127" i="12"/>
  <c r="A125" i="10"/>
  <c r="A133" i="7"/>
  <c r="K135" i="12"/>
  <c r="A133" i="10"/>
  <c r="A120" i="7"/>
  <c r="A120" i="10"/>
  <c r="K122" i="12"/>
  <c r="A132" i="7"/>
  <c r="K134" i="12"/>
  <c r="A132" i="10"/>
  <c r="A149" i="7"/>
  <c r="K151" i="12"/>
  <c r="A149" i="10"/>
  <c r="A134" i="7"/>
  <c r="A134" i="10"/>
  <c r="K136" i="12"/>
  <c r="A135" i="7"/>
  <c r="A135" i="10"/>
  <c r="K137" i="12"/>
  <c r="A123" i="7"/>
  <c r="A123" i="10"/>
  <c r="K125" i="12"/>
  <c r="A143" i="7"/>
  <c r="A143" i="10"/>
  <c r="K145" i="12"/>
  <c r="A110" i="7"/>
  <c r="K112" i="12"/>
  <c r="A110" i="10"/>
  <c r="A116" i="7"/>
  <c r="K118" i="12"/>
  <c r="A116" i="10"/>
  <c r="A111" i="7"/>
  <c r="K113" i="12"/>
  <c r="A111" i="10"/>
  <c r="A128" i="7"/>
  <c r="A128" i="10"/>
  <c r="K130" i="12"/>
  <c r="A140" i="7"/>
  <c r="A140" i="10"/>
  <c r="K142" i="12"/>
  <c r="A157" i="7"/>
  <c r="A157" i="10"/>
  <c r="K159" i="12"/>
  <c r="A142" i="7"/>
  <c r="A142" i="10"/>
  <c r="K144" i="12"/>
  <c r="AQ2" i="1"/>
  <c r="AQ3" i="1"/>
  <c r="AQ4" i="1"/>
  <c r="BK38" i="4" l="1"/>
  <c r="BK39" i="4"/>
  <c r="BK40" i="4"/>
  <c r="BK41" i="4"/>
  <c r="BK42" i="4"/>
  <c r="BK43" i="4"/>
  <c r="AL35" i="4" l="1"/>
  <c r="A3" i="1" l="1"/>
  <c r="A4" i="1"/>
  <c r="A2" i="1"/>
  <c r="O4" i="1" l="1"/>
  <c r="A4" i="11"/>
  <c r="N4" i="11" s="1"/>
  <c r="O3" i="1"/>
  <c r="A3" i="11"/>
  <c r="N3" i="11" s="1"/>
  <c r="E13" i="1"/>
  <c r="D13" i="13" s="1"/>
  <c r="E14" i="1"/>
  <c r="D14" i="13" s="1"/>
  <c r="J13" i="1"/>
  <c r="J14" i="1"/>
  <c r="H16" i="1"/>
  <c r="H15" i="1"/>
  <c r="AA47" i="6"/>
  <c r="C20" i="6"/>
  <c r="D20" i="6"/>
  <c r="E20" i="6"/>
  <c r="G21" i="5"/>
  <c r="L106" i="12"/>
  <c r="M106" i="12"/>
  <c r="L107" i="12"/>
  <c r="M107" i="12"/>
  <c r="L108" i="12"/>
  <c r="M108" i="12"/>
  <c r="L109" i="12"/>
  <c r="M109" i="12"/>
  <c r="L110" i="12"/>
  <c r="M110" i="12"/>
  <c r="AL38" i="4"/>
  <c r="AW38" i="4" s="1" a="1"/>
  <c r="AW38" i="4" s="1"/>
  <c r="AL39" i="4"/>
  <c r="BA39" i="4" s="1" a="1"/>
  <c r="BA39" i="4" s="1"/>
  <c r="AL40" i="4"/>
  <c r="AW40" i="4" s="1" a="1"/>
  <c r="AW40" i="4" s="1"/>
  <c r="AL41" i="4"/>
  <c r="BA41" i="4" s="1" a="1"/>
  <c r="BA41" i="4" s="1"/>
  <c r="AL42" i="4"/>
  <c r="AW42" i="4" s="1" a="1"/>
  <c r="AW42" i="4" s="1"/>
  <c r="AL43" i="4"/>
  <c r="BA43" i="4" s="1" a="1"/>
  <c r="BA43" i="4" s="1"/>
  <c r="AJ38" i="4"/>
  <c r="AJ39" i="4"/>
  <c r="AJ40" i="4"/>
  <c r="AJ41" i="4"/>
  <c r="AJ42" i="4"/>
  <c r="AJ43" i="4"/>
  <c r="AX43" i="4" l="1" a="1"/>
  <c r="AX43" i="4" s="1"/>
  <c r="BD38" i="4" a="1"/>
  <c r="BD38" i="4" s="1"/>
  <c r="E16" i="1"/>
  <c r="D16" i="13" s="1"/>
  <c r="E19" i="1"/>
  <c r="D19" i="13" s="1"/>
  <c r="AV38" i="4" a="1"/>
  <c r="AV38" i="4" s="1"/>
  <c r="BF43" i="4" a="1"/>
  <c r="BF43" i="4" s="1"/>
  <c r="AU43" i="4" a="1"/>
  <c r="AU43" i="4" s="1"/>
  <c r="BB42" i="4" a="1"/>
  <c r="BB42" i="4" s="1"/>
  <c r="BD42" i="4" a="1"/>
  <c r="BD42" i="4" s="1"/>
  <c r="AU42" i="4" a="1"/>
  <c r="AU42" i="4" s="1"/>
  <c r="BF41" i="4" a="1"/>
  <c r="BF41" i="4" s="1"/>
  <c r="BE41" i="4" a="1"/>
  <c r="BE41" i="4" s="1"/>
  <c r="AW43" i="4" a="1"/>
  <c r="AW43" i="4" s="1"/>
  <c r="AY41" i="4" a="1"/>
  <c r="AY41" i="4" s="1"/>
  <c r="BC41" i="4" a="1"/>
  <c r="BC41" i="4" s="1"/>
  <c r="AU41" i="4" a="1"/>
  <c r="AU41" i="4" s="1"/>
  <c r="BC40" i="4" a="1"/>
  <c r="BC40" i="4" s="1"/>
  <c r="BE43" i="4" a="1"/>
  <c r="BE43" i="4" s="1"/>
  <c r="BC42" i="4" a="1"/>
  <c r="BC42" i="4" s="1"/>
  <c r="AZ41" i="4" a="1"/>
  <c r="AZ41" i="4" s="1"/>
  <c r="BA40" i="4" a="1"/>
  <c r="BA40" i="4" s="1"/>
  <c r="BD40" i="4" a="1"/>
  <c r="BD40" i="4" s="1"/>
  <c r="AY40" i="4" a="1"/>
  <c r="AY40" i="4" s="1"/>
  <c r="BC43" i="4" a="1"/>
  <c r="BC43" i="4" s="1"/>
  <c r="AZ43" i="4" a="1"/>
  <c r="AZ43" i="4" s="1"/>
  <c r="BA42" i="4" a="1"/>
  <c r="BA42" i="4" s="1"/>
  <c r="AX41" i="4" a="1"/>
  <c r="AX41" i="4" s="1"/>
  <c r="AV40" i="4" a="1"/>
  <c r="AV40" i="4" s="1"/>
  <c r="BB40" i="4" a="1"/>
  <c r="BB40" i="4" s="1"/>
  <c r="AY43" i="4" a="1"/>
  <c r="AY43" i="4" s="1"/>
  <c r="AV42" i="4" a="1"/>
  <c r="AV42" i="4" s="1"/>
  <c r="AW41" i="4" a="1"/>
  <c r="AW41" i="4" s="1"/>
  <c r="AU40" i="4" a="1"/>
  <c r="AU40" i="4" s="1"/>
  <c r="BF39" i="4" a="1"/>
  <c r="BF39" i="4" s="1"/>
  <c r="BB38" i="4" a="1"/>
  <c r="BB38" i="4" s="1"/>
  <c r="BE39" i="4" a="1"/>
  <c r="BE39" i="4" s="1"/>
  <c r="AW39" i="4" a="1"/>
  <c r="AW39" i="4" s="1"/>
  <c r="BA38" i="4" a="1"/>
  <c r="BA38" i="4" s="1"/>
  <c r="BD43" i="4" a="1"/>
  <c r="BD43" i="4" s="1"/>
  <c r="AV43" i="4" a="1"/>
  <c r="AV43" i="4" s="1"/>
  <c r="AZ42" i="4" a="1"/>
  <c r="AZ42" i="4" s="1"/>
  <c r="BD41" i="4" a="1"/>
  <c r="BD41" i="4" s="1"/>
  <c r="AV41" i="4" a="1"/>
  <c r="AV41" i="4" s="1"/>
  <c r="AZ40" i="4" a="1"/>
  <c r="AZ40" i="4" s="1"/>
  <c r="BD39" i="4" a="1"/>
  <c r="BD39" i="4" s="1"/>
  <c r="AV39" i="4" a="1"/>
  <c r="AV39" i="4" s="1"/>
  <c r="AZ38" i="4" a="1"/>
  <c r="AZ38" i="4" s="1"/>
  <c r="AZ39" i="4" a="1"/>
  <c r="AZ39" i="4" s="1"/>
  <c r="AY39" i="4" a="1"/>
  <c r="AY39" i="4" s="1"/>
  <c r="BC38" i="4" a="1"/>
  <c r="BC38" i="4" s="1"/>
  <c r="AU38" i="4" a="1"/>
  <c r="AU38" i="4" s="1"/>
  <c r="BB43" i="4" a="1"/>
  <c r="BB43" i="4" s="1"/>
  <c r="BF42" i="4" a="1"/>
  <c r="BF42" i="4" s="1"/>
  <c r="AX42" i="4" a="1"/>
  <c r="AX42" i="4" s="1"/>
  <c r="BB41" i="4" a="1"/>
  <c r="BB41" i="4" s="1"/>
  <c r="BF40" i="4" a="1"/>
  <c r="BF40" i="4" s="1"/>
  <c r="AX40" i="4" a="1"/>
  <c r="AX40" i="4" s="1"/>
  <c r="BB39" i="4" a="1"/>
  <c r="BB39" i="4" s="1"/>
  <c r="BF38" i="4" a="1"/>
  <c r="BF38" i="4" s="1"/>
  <c r="AX38" i="4" a="1"/>
  <c r="AX38" i="4" s="1"/>
  <c r="AX39" i="4" a="1"/>
  <c r="AX39" i="4" s="1"/>
  <c r="AY42" i="4" a="1"/>
  <c r="AY42" i="4" s="1"/>
  <c r="BC39" i="4" a="1"/>
  <c r="BC39" i="4" s="1"/>
  <c r="AU39" i="4" a="1"/>
  <c r="AU39" i="4" s="1"/>
  <c r="AY38" i="4" a="1"/>
  <c r="AY38" i="4" s="1"/>
  <c r="BE42" i="4" a="1"/>
  <c r="BE42" i="4" s="1"/>
  <c r="BE40" i="4" a="1"/>
  <c r="BE40" i="4" s="1"/>
  <c r="BE38" i="4" a="1"/>
  <c r="BE38" i="4" s="1"/>
  <c r="E15" i="1"/>
  <c r="D15" i="13" s="1"/>
  <c r="J16" i="1"/>
  <c r="A143" i="5"/>
  <c r="B143" i="5" s="1"/>
  <c r="J19" i="1"/>
  <c r="H17" i="1"/>
  <c r="J15" i="1"/>
  <c r="A140" i="5"/>
  <c r="B140" i="5" s="1"/>
  <c r="A106" i="10" s="1"/>
  <c r="A139" i="5"/>
  <c r="B139" i="5" s="1"/>
  <c r="A105" i="10" s="1"/>
  <c r="A138" i="5"/>
  <c r="B138" i="5" s="1"/>
  <c r="A104" i="10" s="1"/>
  <c r="A142" i="5"/>
  <c r="B142" i="5" s="1"/>
  <c r="A108" i="10" s="1"/>
  <c r="A141" i="5"/>
  <c r="B141" i="5" s="1"/>
  <c r="A107" i="10" s="1"/>
  <c r="H18" i="1"/>
  <c r="J18" i="1"/>
  <c r="E20" i="1"/>
  <c r="D20" i="13" s="1"/>
  <c r="H19" i="1"/>
  <c r="J17" i="1"/>
  <c r="H20" i="1"/>
  <c r="E18" i="1"/>
  <c r="D18" i="13" s="1"/>
  <c r="J20" i="1"/>
  <c r="E17" i="1"/>
  <c r="D17" i="13" s="1"/>
  <c r="AL33" i="4"/>
  <c r="AL34" i="4"/>
  <c r="AL36" i="4"/>
  <c r="AL37" i="4"/>
  <c r="AL50" i="4"/>
  <c r="AL51" i="4"/>
  <c r="AL52" i="4"/>
  <c r="AL53" i="4"/>
  <c r="AL54" i="4"/>
  <c r="AL55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109" i="7" l="1"/>
  <c r="K111" i="12"/>
  <c r="A109" i="10"/>
  <c r="K109" i="12"/>
  <c r="A107" i="7"/>
  <c r="K110" i="12"/>
  <c r="A108" i="7"/>
  <c r="K107" i="12"/>
  <c r="A105" i="7"/>
  <c r="K108" i="12"/>
  <c r="A106" i="7"/>
  <c r="K106" i="12"/>
  <c r="A104" i="7"/>
  <c r="J6" i="1"/>
  <c r="J5" i="1"/>
  <c r="E5" i="1"/>
  <c r="D5" i="13" s="1"/>
  <c r="E3" i="1"/>
  <c r="D3" i="13" s="1"/>
  <c r="E4" i="1"/>
  <c r="D4" i="13" s="1"/>
  <c r="D22" i="1" l="1"/>
  <c r="D23" i="1"/>
  <c r="D24" i="1"/>
  <c r="D25" i="1"/>
  <c r="D26" i="1"/>
  <c r="D27" i="1"/>
  <c r="D28" i="1"/>
  <c r="D21" i="1"/>
  <c r="D35" i="1" l="1"/>
  <c r="D43" i="1" s="1"/>
  <c r="C27" i="13"/>
  <c r="D33" i="1"/>
  <c r="D41" i="1" s="1"/>
  <c r="C25" i="13"/>
  <c r="D29" i="1"/>
  <c r="D37" i="1" s="1"/>
  <c r="C21" i="13"/>
  <c r="D36" i="1"/>
  <c r="C28" i="13"/>
  <c r="D34" i="1"/>
  <c r="C26" i="13"/>
  <c r="D32" i="1"/>
  <c r="D40" i="1" s="1"/>
  <c r="C24" i="13"/>
  <c r="D31" i="1"/>
  <c r="D39" i="1" s="1"/>
  <c r="C23" i="13"/>
  <c r="D30" i="1"/>
  <c r="D38" i="1" s="1"/>
  <c r="C22" i="13"/>
  <c r="D59" i="1"/>
  <c r="D49" i="1" l="1"/>
  <c r="C41" i="13"/>
  <c r="D47" i="1"/>
  <c r="C39" i="13"/>
  <c r="D48" i="1"/>
  <c r="C40" i="13"/>
  <c r="D45" i="1"/>
  <c r="C37" i="13"/>
  <c r="D46" i="1"/>
  <c r="C38" i="13"/>
  <c r="D51" i="1"/>
  <c r="C43" i="13"/>
  <c r="D58" i="1"/>
  <c r="D66" i="1" s="1"/>
  <c r="D42" i="1"/>
  <c r="D60" i="1"/>
  <c r="C60" i="13" s="1"/>
  <c r="D44" i="1"/>
  <c r="D53" i="1"/>
  <c r="C29" i="13"/>
  <c r="D54" i="1"/>
  <c r="C30" i="13"/>
  <c r="O26" i="13"/>
  <c r="N26" i="13" s="1"/>
  <c r="A26" i="13"/>
  <c r="C34" i="13"/>
  <c r="A25" i="13"/>
  <c r="O25" i="13"/>
  <c r="N25" i="13" s="1"/>
  <c r="O23" i="13"/>
  <c r="N23" i="13" s="1"/>
  <c r="A23" i="13"/>
  <c r="D57" i="1"/>
  <c r="C33" i="13"/>
  <c r="D56" i="1"/>
  <c r="C32" i="13"/>
  <c r="A22" i="13"/>
  <c r="O22" i="13"/>
  <c r="N22" i="13" s="1"/>
  <c r="C36" i="13"/>
  <c r="A27" i="13"/>
  <c r="O27" i="13"/>
  <c r="N27" i="13" s="1"/>
  <c r="C59" i="13"/>
  <c r="A21" i="13"/>
  <c r="O21" i="13"/>
  <c r="N21" i="13" s="1"/>
  <c r="D55" i="1"/>
  <c r="C31" i="13"/>
  <c r="A28" i="13"/>
  <c r="O28" i="13"/>
  <c r="N28" i="13" s="1"/>
  <c r="A24" i="13"/>
  <c r="O24" i="13"/>
  <c r="N24" i="13" s="1"/>
  <c r="C35" i="13"/>
  <c r="D67" i="1"/>
  <c r="D68" i="1"/>
  <c r="D50" i="1" l="1"/>
  <c r="C42" i="13"/>
  <c r="D52" i="1"/>
  <c r="C44" i="13"/>
  <c r="O37" i="13"/>
  <c r="N37" i="13" s="1"/>
  <c r="A37" i="13"/>
  <c r="M37" i="1" s="1"/>
  <c r="A39" i="13"/>
  <c r="M39" i="1" s="1"/>
  <c r="O39" i="13"/>
  <c r="N39" i="13" s="1"/>
  <c r="A40" i="13"/>
  <c r="M40" i="1" s="1"/>
  <c r="O40" i="13"/>
  <c r="N40" i="13" s="1"/>
  <c r="O43" i="13"/>
  <c r="N43" i="13" s="1"/>
  <c r="A43" i="13"/>
  <c r="M43" i="1" s="1"/>
  <c r="A38" i="13"/>
  <c r="M38" i="1" s="1"/>
  <c r="O38" i="13"/>
  <c r="N38" i="13" s="1"/>
  <c r="A41" i="13"/>
  <c r="M41" i="1" s="1"/>
  <c r="O41" i="13"/>
  <c r="N41" i="13" s="1"/>
  <c r="C58" i="13"/>
  <c r="M24" i="1"/>
  <c r="M26" i="1"/>
  <c r="D75" i="1"/>
  <c r="D83" i="1" s="1"/>
  <c r="C67" i="13"/>
  <c r="A60" i="13"/>
  <c r="O60" i="13"/>
  <c r="N60" i="13" s="1"/>
  <c r="C57" i="13"/>
  <c r="D65" i="1"/>
  <c r="M28" i="1"/>
  <c r="M23" i="1"/>
  <c r="A36" i="13"/>
  <c r="O36" i="13"/>
  <c r="N36" i="13" s="1"/>
  <c r="M21" i="1"/>
  <c r="M22" i="1"/>
  <c r="O30" i="13"/>
  <c r="N30" i="13" s="1"/>
  <c r="A30" i="13"/>
  <c r="A31" i="13"/>
  <c r="O31" i="13"/>
  <c r="N31" i="13" s="1"/>
  <c r="D62" i="1"/>
  <c r="C54" i="13"/>
  <c r="O33" i="13"/>
  <c r="N33" i="13" s="1"/>
  <c r="A33" i="13"/>
  <c r="D74" i="1"/>
  <c r="C66" i="13"/>
  <c r="D63" i="1"/>
  <c r="C55" i="13"/>
  <c r="O59" i="13"/>
  <c r="N59" i="13" s="1"/>
  <c r="A59" i="13"/>
  <c r="A32" i="13"/>
  <c r="O32" i="13"/>
  <c r="N32" i="13" s="1"/>
  <c r="M25" i="1"/>
  <c r="A35" i="13"/>
  <c r="O35" i="13"/>
  <c r="N35" i="13" s="1"/>
  <c r="D64" i="1"/>
  <c r="C56" i="13"/>
  <c r="A29" i="13"/>
  <c r="O29" i="13"/>
  <c r="N29" i="13" s="1"/>
  <c r="D76" i="1"/>
  <c r="D84" i="1" s="1"/>
  <c r="C68" i="13"/>
  <c r="O58" i="13"/>
  <c r="N58" i="13" s="1"/>
  <c r="A58" i="13"/>
  <c r="M27" i="1"/>
  <c r="O34" i="13"/>
  <c r="N34" i="13" s="1"/>
  <c r="A34" i="13"/>
  <c r="C53" i="13"/>
  <c r="D61" i="1"/>
  <c r="D100" i="1"/>
  <c r="D98" i="1"/>
  <c r="D99" i="1"/>
  <c r="AE5" i="12"/>
  <c r="AE6" i="12"/>
  <c r="AE7" i="12"/>
  <c r="AE8" i="12"/>
  <c r="AE9" i="12"/>
  <c r="AE4" i="12"/>
  <c r="A42" i="13" l="1"/>
  <c r="M42" i="1" s="1"/>
  <c r="O42" i="13"/>
  <c r="N42" i="13" s="1"/>
  <c r="O44" i="13"/>
  <c r="N44" i="13" s="1"/>
  <c r="A44" i="13"/>
  <c r="M44" i="1" s="1"/>
  <c r="C74" i="13"/>
  <c r="M60" i="1"/>
  <c r="M59" i="1"/>
  <c r="D69" i="1"/>
  <c r="C61" i="13"/>
  <c r="D93" i="1"/>
  <c r="C75" i="13"/>
  <c r="A53" i="13"/>
  <c r="O53" i="13"/>
  <c r="N53" i="13" s="1"/>
  <c r="A68" i="13"/>
  <c r="O68" i="13"/>
  <c r="N68" i="13" s="1"/>
  <c r="M35" i="1"/>
  <c r="A55" i="13"/>
  <c r="O55" i="13"/>
  <c r="N55" i="13" s="1"/>
  <c r="O54" i="13"/>
  <c r="N54" i="13" s="1"/>
  <c r="A54" i="13"/>
  <c r="D73" i="1"/>
  <c r="C65" i="13"/>
  <c r="D97" i="1"/>
  <c r="M30" i="1"/>
  <c r="M34" i="1"/>
  <c r="O57" i="13"/>
  <c r="N57" i="13" s="1"/>
  <c r="A57" i="13"/>
  <c r="M32" i="1"/>
  <c r="C100" i="13"/>
  <c r="M58" i="1"/>
  <c r="A56" i="13"/>
  <c r="O56" i="13"/>
  <c r="N56" i="13" s="1"/>
  <c r="M33" i="1"/>
  <c r="C64" i="13"/>
  <c r="D96" i="1"/>
  <c r="D72" i="1"/>
  <c r="O67" i="13"/>
  <c r="N67" i="13" s="1"/>
  <c r="A67" i="13"/>
  <c r="C83" i="13"/>
  <c r="C99" i="13"/>
  <c r="C84" i="13"/>
  <c r="C76" i="13"/>
  <c r="C63" i="13"/>
  <c r="D95" i="1"/>
  <c r="D71" i="1"/>
  <c r="C62" i="13"/>
  <c r="D94" i="1"/>
  <c r="D70" i="1"/>
  <c r="C98" i="13"/>
  <c r="D82" i="1"/>
  <c r="D90" i="1" s="1"/>
  <c r="M29" i="1"/>
  <c r="A66" i="13"/>
  <c r="O66" i="13"/>
  <c r="N66" i="13" s="1"/>
  <c r="M31" i="1"/>
  <c r="M36" i="1"/>
  <c r="D91" i="1"/>
  <c r="D92" i="1"/>
  <c r="D106" i="1"/>
  <c r="D107" i="1"/>
  <c r="D108" i="1"/>
  <c r="AH34" i="6"/>
  <c r="D3" i="10" s="1"/>
  <c r="AH35" i="6"/>
  <c r="D4" i="10" s="1"/>
  <c r="AH36" i="6"/>
  <c r="D5" i="10" s="1"/>
  <c r="AH37" i="6"/>
  <c r="D6" i="10" s="1"/>
  <c r="AH38" i="6"/>
  <c r="D7" i="10" s="1"/>
  <c r="AH33" i="6"/>
  <c r="D2" i="10" s="1"/>
  <c r="E2" i="10"/>
  <c r="D102" i="1" l="1"/>
  <c r="C94" i="13"/>
  <c r="M56" i="1"/>
  <c r="M68" i="1"/>
  <c r="C69" i="13"/>
  <c r="D77" i="1"/>
  <c r="C92" i="13"/>
  <c r="M66" i="1"/>
  <c r="C72" i="13"/>
  <c r="D80" i="1"/>
  <c r="M54" i="1"/>
  <c r="C90" i="13"/>
  <c r="O84" i="13"/>
  <c r="N84" i="13" s="1"/>
  <c r="A84" i="13"/>
  <c r="M53" i="1"/>
  <c r="C70" i="13"/>
  <c r="D78" i="1"/>
  <c r="C91" i="13"/>
  <c r="C71" i="13"/>
  <c r="D79" i="1"/>
  <c r="C108" i="13"/>
  <c r="D116" i="1"/>
  <c r="C82" i="13"/>
  <c r="D103" i="1"/>
  <c r="C95" i="13"/>
  <c r="A99" i="13"/>
  <c r="O99" i="13"/>
  <c r="N99" i="13" s="1"/>
  <c r="O64" i="13"/>
  <c r="N64" i="13" s="1"/>
  <c r="A64" i="13"/>
  <c r="A100" i="13"/>
  <c r="O100" i="13"/>
  <c r="N100" i="13" s="1"/>
  <c r="M55" i="1"/>
  <c r="O75" i="13"/>
  <c r="N75" i="13" s="1"/>
  <c r="A75" i="13"/>
  <c r="M67" i="1"/>
  <c r="C107" i="13"/>
  <c r="D115" i="1"/>
  <c r="C97" i="13"/>
  <c r="D105" i="1"/>
  <c r="C93" i="13"/>
  <c r="D101" i="1"/>
  <c r="M57" i="1"/>
  <c r="O65" i="13"/>
  <c r="N65" i="13" s="1"/>
  <c r="A65" i="13"/>
  <c r="A61" i="13"/>
  <c r="O61" i="13"/>
  <c r="N61" i="13" s="1"/>
  <c r="C106" i="13"/>
  <c r="D114" i="1"/>
  <c r="A76" i="13"/>
  <c r="O76" i="13"/>
  <c r="N76" i="13" s="1"/>
  <c r="C73" i="13"/>
  <c r="D81" i="1"/>
  <c r="O62" i="13"/>
  <c r="N62" i="13" s="1"/>
  <c r="A62" i="13"/>
  <c r="D104" i="1"/>
  <c r="C96" i="13"/>
  <c r="O98" i="13"/>
  <c r="N98" i="13" s="1"/>
  <c r="A98" i="13"/>
  <c r="A63" i="13"/>
  <c r="O63" i="13"/>
  <c r="N63" i="13" s="1"/>
  <c r="A83" i="13"/>
  <c r="O83" i="13"/>
  <c r="N83" i="13" s="1"/>
  <c r="O74" i="13"/>
  <c r="N74" i="13" s="1"/>
  <c r="A74" i="13"/>
  <c r="D131" i="1"/>
  <c r="C131" i="13" s="1"/>
  <c r="D132" i="1"/>
  <c r="C132" i="13" s="1"/>
  <c r="D130" i="1"/>
  <c r="C130" i="13" s="1"/>
  <c r="AA40" i="6"/>
  <c r="AA41" i="6"/>
  <c r="AA42" i="6"/>
  <c r="AA43" i="6"/>
  <c r="AA44" i="6"/>
  <c r="AA45" i="6"/>
  <c r="AA46" i="6"/>
  <c r="AA48" i="6"/>
  <c r="AA49" i="6"/>
  <c r="AA50" i="6"/>
  <c r="AA51" i="6"/>
  <c r="AA52" i="6"/>
  <c r="AA53" i="6"/>
  <c r="AA54" i="6"/>
  <c r="AA55" i="6"/>
  <c r="AA56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39" i="6"/>
  <c r="AA20" i="6"/>
  <c r="Y20" i="6"/>
  <c r="AA35" i="5"/>
  <c r="AB35" i="5"/>
  <c r="Z35" i="5"/>
  <c r="Y31" i="5"/>
  <c r="X31" i="5"/>
  <c r="W31" i="5"/>
  <c r="M76" i="1" l="1"/>
  <c r="C114" i="13"/>
  <c r="D122" i="1"/>
  <c r="D127" i="1"/>
  <c r="C103" i="13"/>
  <c r="D111" i="1"/>
  <c r="A71" i="13"/>
  <c r="O71" i="13"/>
  <c r="N71" i="13" s="1"/>
  <c r="M84" i="1"/>
  <c r="A72" i="13"/>
  <c r="O72" i="13"/>
  <c r="N72" i="13" s="1"/>
  <c r="M83" i="1"/>
  <c r="M62" i="1"/>
  <c r="C101" i="13"/>
  <c r="D109" i="1"/>
  <c r="D125" i="1"/>
  <c r="O107" i="13"/>
  <c r="N107" i="13" s="1"/>
  <c r="A107" i="13"/>
  <c r="M100" i="1"/>
  <c r="D128" i="1"/>
  <c r="C104" i="13"/>
  <c r="D112" i="1"/>
  <c r="M63" i="1"/>
  <c r="C81" i="13"/>
  <c r="D89" i="1"/>
  <c r="A93" i="13"/>
  <c r="O93" i="13"/>
  <c r="N93" i="13" s="1"/>
  <c r="C116" i="13"/>
  <c r="D124" i="1"/>
  <c r="C78" i="13"/>
  <c r="D86" i="1"/>
  <c r="O90" i="13"/>
  <c r="N90" i="13" s="1"/>
  <c r="A90" i="13"/>
  <c r="O96" i="13"/>
  <c r="N96" i="13" s="1"/>
  <c r="A96" i="13"/>
  <c r="M98" i="1"/>
  <c r="M61" i="1"/>
  <c r="C105" i="13"/>
  <c r="D113" i="1"/>
  <c r="D129" i="1"/>
  <c r="M75" i="1"/>
  <c r="A92" i="13"/>
  <c r="O92" i="13"/>
  <c r="N92" i="13" s="1"/>
  <c r="O106" i="13"/>
  <c r="N106" i="13" s="1"/>
  <c r="A106" i="13"/>
  <c r="M64" i="1"/>
  <c r="O73" i="13"/>
  <c r="N73" i="13" s="1"/>
  <c r="A73" i="13"/>
  <c r="M65" i="1"/>
  <c r="M99" i="1"/>
  <c r="A108" i="13"/>
  <c r="O108" i="13"/>
  <c r="N108" i="13" s="1"/>
  <c r="O70" i="13"/>
  <c r="N70" i="13" s="1"/>
  <c r="A70" i="13"/>
  <c r="C77" i="13"/>
  <c r="D85" i="1"/>
  <c r="A94" i="13"/>
  <c r="O94" i="13"/>
  <c r="N94" i="13" s="1"/>
  <c r="C115" i="13"/>
  <c r="D123" i="1"/>
  <c r="O95" i="13"/>
  <c r="N95" i="13" s="1"/>
  <c r="A95" i="13"/>
  <c r="A69" i="13"/>
  <c r="O69" i="13"/>
  <c r="N69" i="13" s="1"/>
  <c r="O82" i="13"/>
  <c r="N82" i="13" s="1"/>
  <c r="A82" i="13"/>
  <c r="O91" i="13"/>
  <c r="N91" i="13" s="1"/>
  <c r="A91" i="13"/>
  <c r="M74" i="1"/>
  <c r="A97" i="13"/>
  <c r="O97" i="13"/>
  <c r="N97" i="13" s="1"/>
  <c r="C79" i="13"/>
  <c r="D87" i="1"/>
  <c r="C80" i="13"/>
  <c r="D88" i="1"/>
  <c r="D126" i="1"/>
  <c r="C102" i="13"/>
  <c r="D110" i="1"/>
  <c r="D140" i="1"/>
  <c r="C140" i="13" s="1"/>
  <c r="D139" i="1"/>
  <c r="C139" i="13" s="1"/>
  <c r="D138" i="1"/>
  <c r="C138" i="13" s="1"/>
  <c r="C129" i="13" l="1"/>
  <c r="D137" i="1"/>
  <c r="O79" i="13"/>
  <c r="N79" i="13" s="1"/>
  <c r="A79" i="13"/>
  <c r="A102" i="13"/>
  <c r="O102" i="13"/>
  <c r="N102" i="13" s="1"/>
  <c r="C109" i="13"/>
  <c r="D117" i="1"/>
  <c r="M72" i="1"/>
  <c r="D135" i="1"/>
  <c r="C127" i="13"/>
  <c r="D134" i="1"/>
  <c r="C126" i="13"/>
  <c r="M97" i="1"/>
  <c r="M69" i="1"/>
  <c r="C85" i="13"/>
  <c r="A105" i="13"/>
  <c r="O105" i="13"/>
  <c r="N105" i="13" s="1"/>
  <c r="M93" i="1"/>
  <c r="A104" i="13"/>
  <c r="O104" i="13"/>
  <c r="N104" i="13" s="1"/>
  <c r="C122" i="13"/>
  <c r="C110" i="13"/>
  <c r="D118" i="1"/>
  <c r="A115" i="13"/>
  <c r="O115" i="13"/>
  <c r="N115" i="13" s="1"/>
  <c r="M96" i="1"/>
  <c r="M94" i="1"/>
  <c r="M106" i="1"/>
  <c r="C86" i="13"/>
  <c r="C89" i="13"/>
  <c r="D136" i="1"/>
  <c r="C128" i="13"/>
  <c r="A101" i="13"/>
  <c r="O101" i="13"/>
  <c r="N101" i="13" s="1"/>
  <c r="O77" i="13"/>
  <c r="N77" i="13" s="1"/>
  <c r="A77" i="13"/>
  <c r="M92" i="1"/>
  <c r="O114" i="13"/>
  <c r="N114" i="13" s="1"/>
  <c r="A114" i="13"/>
  <c r="M82" i="1"/>
  <c r="M108" i="1"/>
  <c r="D121" i="1"/>
  <c r="C113" i="13"/>
  <c r="M90" i="1"/>
  <c r="M95" i="1"/>
  <c r="A80" i="13"/>
  <c r="O80" i="13"/>
  <c r="N80" i="13" s="1"/>
  <c r="M91" i="1"/>
  <c r="C123" i="13"/>
  <c r="M70" i="1"/>
  <c r="M73" i="1"/>
  <c r="A78" i="13"/>
  <c r="O78" i="13"/>
  <c r="N78" i="13" s="1"/>
  <c r="A81" i="13"/>
  <c r="O81" i="13"/>
  <c r="N81" i="13" s="1"/>
  <c r="M71" i="1"/>
  <c r="O116" i="13"/>
  <c r="N116" i="13" s="1"/>
  <c r="A116" i="13"/>
  <c r="D120" i="1"/>
  <c r="C112" i="13"/>
  <c r="C125" i="13"/>
  <c r="D133" i="1"/>
  <c r="O103" i="13"/>
  <c r="N103" i="13" s="1"/>
  <c r="A103" i="13"/>
  <c r="C88" i="13"/>
  <c r="C87" i="13"/>
  <c r="C124" i="13"/>
  <c r="M107" i="1"/>
  <c r="C111" i="13"/>
  <c r="D119" i="1"/>
  <c r="D146" i="1"/>
  <c r="D147" i="1"/>
  <c r="D148" i="1"/>
  <c r="C5" i="12"/>
  <c r="C13" i="12"/>
  <c r="C49" i="12"/>
  <c r="C56" i="12"/>
  <c r="C57" i="12"/>
  <c r="C64" i="12"/>
  <c r="C65" i="12"/>
  <c r="C73" i="12"/>
  <c r="C80" i="12"/>
  <c r="C81" i="12"/>
  <c r="C88" i="12"/>
  <c r="C89" i="12"/>
  <c r="C96" i="12"/>
  <c r="C97" i="12"/>
  <c r="C105" i="12"/>
  <c r="C112" i="12"/>
  <c r="C113" i="12"/>
  <c r="BK33" i="4"/>
  <c r="BK34" i="4"/>
  <c r="BK35" i="4"/>
  <c r="BK36" i="4"/>
  <c r="BK37" i="4"/>
  <c r="BK50" i="4"/>
  <c r="BK51" i="4"/>
  <c r="BK52" i="4"/>
  <c r="BK53" i="4"/>
  <c r="BK54" i="4"/>
  <c r="BK55" i="4"/>
  <c r="BK68" i="4"/>
  <c r="BK69" i="4"/>
  <c r="BK70" i="4"/>
  <c r="BK71" i="4"/>
  <c r="BK72" i="4"/>
  <c r="BK73" i="4"/>
  <c r="BK74" i="4"/>
  <c r="BK75" i="4"/>
  <c r="BK76" i="4"/>
  <c r="BK77" i="4"/>
  <c r="BK78" i="4"/>
  <c r="BK79" i="4"/>
  <c r="BK32" i="4"/>
  <c r="A32" i="4"/>
  <c r="C119" i="13" l="1"/>
  <c r="M114" i="1"/>
  <c r="D155" i="1"/>
  <c r="C147" i="13"/>
  <c r="M77" i="1"/>
  <c r="D154" i="1"/>
  <c r="C146" i="13"/>
  <c r="A125" i="13"/>
  <c r="O125" i="13"/>
  <c r="N125" i="13" s="1"/>
  <c r="M101" i="1"/>
  <c r="M81" i="1"/>
  <c r="O126" i="13"/>
  <c r="N126" i="13" s="1"/>
  <c r="A126" i="13"/>
  <c r="O109" i="13"/>
  <c r="N109" i="13" s="1"/>
  <c r="A109" i="13"/>
  <c r="A112" i="13"/>
  <c r="O112" i="13"/>
  <c r="N112" i="13" s="1"/>
  <c r="D144" i="1"/>
  <c r="C136" i="13"/>
  <c r="D142" i="1"/>
  <c r="C134" i="13"/>
  <c r="O111" i="13"/>
  <c r="N111" i="13" s="1"/>
  <c r="A111" i="13"/>
  <c r="A88" i="13"/>
  <c r="O88" i="13"/>
  <c r="N88" i="13" s="1"/>
  <c r="C120" i="13"/>
  <c r="M78" i="1"/>
  <c r="O113" i="13"/>
  <c r="N113" i="13" s="1"/>
  <c r="A113" i="13"/>
  <c r="A122" i="13"/>
  <c r="O122" i="13"/>
  <c r="N122" i="13" s="1"/>
  <c r="O85" i="13"/>
  <c r="N85" i="13" s="1"/>
  <c r="A85" i="13"/>
  <c r="M102" i="1"/>
  <c r="D156" i="1"/>
  <c r="C148" i="13"/>
  <c r="M103" i="1"/>
  <c r="M116" i="1"/>
  <c r="C121" i="13"/>
  <c r="O89" i="13"/>
  <c r="N89" i="13" s="1"/>
  <c r="A89" i="13"/>
  <c r="D143" i="1"/>
  <c r="C135" i="13"/>
  <c r="M79" i="1"/>
  <c r="O87" i="13"/>
  <c r="N87" i="13" s="1"/>
  <c r="A87" i="13"/>
  <c r="O123" i="13"/>
  <c r="N123" i="13" s="1"/>
  <c r="A123" i="13"/>
  <c r="M105" i="1"/>
  <c r="M80" i="1"/>
  <c r="C133" i="13"/>
  <c r="D141" i="1"/>
  <c r="O86" i="13"/>
  <c r="N86" i="13" s="1"/>
  <c r="A86" i="13"/>
  <c r="M115" i="1"/>
  <c r="C137" i="13"/>
  <c r="D145" i="1"/>
  <c r="O110" i="13"/>
  <c r="N110" i="13" s="1"/>
  <c r="A110" i="13"/>
  <c r="M104" i="1"/>
  <c r="O124" i="13"/>
  <c r="N124" i="13" s="1"/>
  <c r="A124" i="13"/>
  <c r="C118" i="13"/>
  <c r="C117" i="13"/>
  <c r="D163" i="1"/>
  <c r="C163" i="13" s="1"/>
  <c r="D162" i="1"/>
  <c r="C162" i="13" s="1"/>
  <c r="D164" i="1"/>
  <c r="C164" i="13" s="1"/>
  <c r="E2" i="1"/>
  <c r="D2" i="13" s="1"/>
  <c r="E6" i="1"/>
  <c r="D6" i="13" s="1"/>
  <c r="E21" i="1"/>
  <c r="D21" i="13" s="1"/>
  <c r="E22" i="1"/>
  <c r="D22" i="13" s="1"/>
  <c r="E29" i="1"/>
  <c r="D29" i="13" s="1"/>
  <c r="E30" i="1"/>
  <c r="D30" i="13" s="1"/>
  <c r="E53" i="1"/>
  <c r="D53" i="13" s="1"/>
  <c r="E54" i="1"/>
  <c r="D54" i="13" s="1"/>
  <c r="E61" i="1"/>
  <c r="D61" i="13" s="1"/>
  <c r="E62" i="1"/>
  <c r="D62" i="13" s="1"/>
  <c r="E93" i="1"/>
  <c r="D93" i="13" s="1"/>
  <c r="E94" i="1"/>
  <c r="D94" i="13" s="1"/>
  <c r="E101" i="1"/>
  <c r="D101" i="13" s="1"/>
  <c r="E102" i="1"/>
  <c r="D102" i="13" s="1"/>
  <c r="E125" i="1"/>
  <c r="D125" i="13" s="1"/>
  <c r="E126" i="1"/>
  <c r="D126" i="13" s="1"/>
  <c r="E133" i="1"/>
  <c r="D133" i="13" s="1"/>
  <c r="E134" i="1"/>
  <c r="D134" i="13" s="1"/>
  <c r="E141" i="1"/>
  <c r="D141" i="13" s="1"/>
  <c r="E142" i="1"/>
  <c r="D142" i="13" s="1"/>
  <c r="E157" i="1"/>
  <c r="D157" i="13" s="1"/>
  <c r="E158" i="1"/>
  <c r="D158" i="13" s="1"/>
  <c r="E165" i="1"/>
  <c r="D165" i="13" s="1"/>
  <c r="E166" i="1"/>
  <c r="D166" i="13" s="1"/>
  <c r="E173" i="1"/>
  <c r="D173" i="13" s="1"/>
  <c r="E174" i="1"/>
  <c r="D174" i="13" s="1"/>
  <c r="E197" i="1"/>
  <c r="D197" i="13" s="1"/>
  <c r="E198" i="1"/>
  <c r="D198" i="13" s="1"/>
  <c r="E205" i="1"/>
  <c r="D205" i="13" s="1"/>
  <c r="E206" i="1"/>
  <c r="D206" i="13" s="1"/>
  <c r="C144" i="13" l="1"/>
  <c r="D152" i="1"/>
  <c r="D160" i="1"/>
  <c r="M86" i="1"/>
  <c r="C143" i="13"/>
  <c r="D159" i="1"/>
  <c r="D151" i="1"/>
  <c r="M122" i="1"/>
  <c r="M88" i="1"/>
  <c r="M124" i="1"/>
  <c r="M123" i="1"/>
  <c r="M89" i="1"/>
  <c r="M113" i="1"/>
  <c r="M111" i="1"/>
  <c r="M112" i="1"/>
  <c r="C155" i="13"/>
  <c r="A120" i="13"/>
  <c r="O120" i="13"/>
  <c r="N120" i="13" s="1"/>
  <c r="M110" i="1"/>
  <c r="D149" i="1"/>
  <c r="C141" i="13"/>
  <c r="D157" i="1"/>
  <c r="M109" i="1"/>
  <c r="O117" i="13"/>
  <c r="N117" i="13" s="1"/>
  <c r="A117" i="13"/>
  <c r="M87" i="1"/>
  <c r="M125" i="1"/>
  <c r="C156" i="13"/>
  <c r="D153" i="1"/>
  <c r="C145" i="13"/>
  <c r="D161" i="1"/>
  <c r="A133" i="13"/>
  <c r="O133" i="13"/>
  <c r="N133" i="13" s="1"/>
  <c r="O121" i="13"/>
  <c r="N121" i="13" s="1"/>
  <c r="A121" i="13"/>
  <c r="O134" i="13"/>
  <c r="N134" i="13" s="1"/>
  <c r="A134" i="13"/>
  <c r="M126" i="1"/>
  <c r="O118" i="13"/>
  <c r="N118" i="13" s="1"/>
  <c r="A118" i="13"/>
  <c r="M85" i="1"/>
  <c r="C142" i="13"/>
  <c r="D158" i="1"/>
  <c r="D150" i="1"/>
  <c r="C154" i="13"/>
  <c r="A119" i="13"/>
  <c r="O119" i="13"/>
  <c r="N119" i="13" s="1"/>
  <c r="D170" i="1"/>
  <c r="C170" i="13" s="1"/>
  <c r="D172" i="1"/>
  <c r="C172" i="13" s="1"/>
  <c r="D171" i="1"/>
  <c r="C171" i="13" s="1"/>
  <c r="J21" i="1"/>
  <c r="J22" i="1"/>
  <c r="J29" i="1"/>
  <c r="J30" i="1"/>
  <c r="J53" i="1"/>
  <c r="J54" i="1"/>
  <c r="J61" i="1"/>
  <c r="J62" i="1"/>
  <c r="J93" i="1"/>
  <c r="J94" i="1"/>
  <c r="J101" i="1"/>
  <c r="J102" i="1"/>
  <c r="J125" i="1"/>
  <c r="J126" i="1"/>
  <c r="J133" i="1"/>
  <c r="J134" i="1"/>
  <c r="J141" i="1"/>
  <c r="J142" i="1"/>
  <c r="J157" i="1"/>
  <c r="J158" i="1"/>
  <c r="J165" i="1"/>
  <c r="J166" i="1"/>
  <c r="J173" i="1"/>
  <c r="J174" i="1"/>
  <c r="J197" i="1"/>
  <c r="J198" i="1"/>
  <c r="J205" i="1"/>
  <c r="J206" i="1"/>
  <c r="A154" i="13" l="1"/>
  <c r="O154" i="13"/>
  <c r="N154" i="13" s="1"/>
  <c r="M133" i="1"/>
  <c r="C151" i="13"/>
  <c r="C150" i="13"/>
  <c r="C161" i="13"/>
  <c r="D169" i="1"/>
  <c r="C153" i="13"/>
  <c r="O142" i="13"/>
  <c r="N142" i="13" s="1"/>
  <c r="A142" i="13"/>
  <c r="A141" i="13"/>
  <c r="O141" i="13"/>
  <c r="N141" i="13" s="1"/>
  <c r="C149" i="13"/>
  <c r="D167" i="1"/>
  <c r="C159" i="13"/>
  <c r="D166" i="1"/>
  <c r="C158" i="13"/>
  <c r="M121" i="1"/>
  <c r="A156" i="13"/>
  <c r="O156" i="13"/>
  <c r="N156" i="13" s="1"/>
  <c r="M120" i="1"/>
  <c r="M119" i="1"/>
  <c r="C157" i="13"/>
  <c r="D165" i="1"/>
  <c r="C152" i="13"/>
  <c r="M117" i="1"/>
  <c r="M134" i="1"/>
  <c r="D168" i="1"/>
  <c r="C160" i="13"/>
  <c r="M118" i="1"/>
  <c r="A155" i="13"/>
  <c r="O155" i="13"/>
  <c r="N155" i="13" s="1"/>
  <c r="E7" i="1"/>
  <c r="D7" i="13" s="1"/>
  <c r="D180" i="1"/>
  <c r="D179" i="1"/>
  <c r="D178" i="1"/>
  <c r="P15" i="4"/>
  <c r="P16" i="4"/>
  <c r="P17" i="4"/>
  <c r="P18" i="4"/>
  <c r="P19" i="4"/>
  <c r="P14" i="4"/>
  <c r="M141" i="1" l="1"/>
  <c r="A158" i="13"/>
  <c r="O158" i="13"/>
  <c r="N158" i="13" s="1"/>
  <c r="M142" i="1"/>
  <c r="D174" i="1"/>
  <c r="C166" i="13"/>
  <c r="A151" i="13"/>
  <c r="O151" i="13"/>
  <c r="N151" i="13" s="1"/>
  <c r="O150" i="13"/>
  <c r="N150" i="13" s="1"/>
  <c r="A150" i="13"/>
  <c r="M155" i="1"/>
  <c r="C178" i="13"/>
  <c r="D186" i="1"/>
  <c r="C180" i="13"/>
  <c r="D188" i="1"/>
  <c r="O153" i="13"/>
  <c r="N153" i="13" s="1"/>
  <c r="A153" i="13"/>
  <c r="M156" i="1"/>
  <c r="O157" i="13"/>
  <c r="N157" i="13" s="1"/>
  <c r="A157" i="13"/>
  <c r="C179" i="13"/>
  <c r="D187" i="1"/>
  <c r="O152" i="13"/>
  <c r="N152" i="13" s="1"/>
  <c r="A152" i="13"/>
  <c r="D175" i="1"/>
  <c r="C167" i="13"/>
  <c r="C165" i="13"/>
  <c r="D173" i="1"/>
  <c r="C169" i="13"/>
  <c r="D177" i="1"/>
  <c r="D176" i="1"/>
  <c r="C168" i="13"/>
  <c r="A149" i="13"/>
  <c r="O149" i="13"/>
  <c r="N149" i="13" s="1"/>
  <c r="M154" i="1"/>
  <c r="D203" i="1"/>
  <c r="C203" i="13" s="1"/>
  <c r="D204" i="1"/>
  <c r="C204" i="13" s="1"/>
  <c r="D202" i="1"/>
  <c r="C202" i="13" s="1"/>
  <c r="I14" i="3"/>
  <c r="H14" i="3"/>
  <c r="P13" i="3"/>
  <c r="O13" i="3"/>
  <c r="N13" i="3"/>
  <c r="M13" i="3"/>
  <c r="L13" i="3"/>
  <c r="K13" i="3"/>
  <c r="J13" i="3"/>
  <c r="I13" i="3"/>
  <c r="H13" i="3"/>
  <c r="G13" i="3"/>
  <c r="A166" i="13" l="1"/>
  <c r="O166" i="13"/>
  <c r="N166" i="13" s="1"/>
  <c r="D199" i="1"/>
  <c r="C175" i="13"/>
  <c r="D183" i="1"/>
  <c r="D200" i="1"/>
  <c r="C176" i="13"/>
  <c r="D184" i="1"/>
  <c r="M152" i="1"/>
  <c r="M153" i="1"/>
  <c r="M150" i="1"/>
  <c r="O165" i="13"/>
  <c r="N165" i="13" s="1"/>
  <c r="A165" i="13"/>
  <c r="M149" i="1"/>
  <c r="D198" i="1"/>
  <c r="C174" i="13"/>
  <c r="D182" i="1"/>
  <c r="M158" i="1"/>
  <c r="C173" i="13"/>
  <c r="D181" i="1"/>
  <c r="D197" i="1"/>
  <c r="M151" i="1"/>
  <c r="C177" i="13"/>
  <c r="D185" i="1"/>
  <c r="D201" i="1"/>
  <c r="C187" i="13"/>
  <c r="A187" i="13" s="1"/>
  <c r="D195" i="1"/>
  <c r="C188" i="13"/>
  <c r="A188" i="13" s="1"/>
  <c r="D196" i="1"/>
  <c r="M157" i="1"/>
  <c r="C186" i="13"/>
  <c r="A186" i="13" s="1"/>
  <c r="D194" i="1"/>
  <c r="D212" i="1"/>
  <c r="C212" i="13" s="1"/>
  <c r="D210" i="1"/>
  <c r="C210" i="13" s="1"/>
  <c r="D211" i="1"/>
  <c r="C211" i="13" s="1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E33" i="5"/>
  <c r="AR32" i="5"/>
  <c r="AS32" i="5"/>
  <c r="AO32" i="5"/>
  <c r="AP32" i="5"/>
  <c r="AQ32" i="5"/>
  <c r="AL32" i="5"/>
  <c r="AM32" i="5"/>
  <c r="AH32" i="5"/>
  <c r="AG32" i="5"/>
  <c r="AJ32" i="5"/>
  <c r="AF32" i="5"/>
  <c r="AI32" i="5"/>
  <c r="AK32" i="5"/>
  <c r="AN32" i="5"/>
  <c r="AE32" i="5"/>
  <c r="AG61" i="5" l="1"/>
  <c r="AG64" i="5"/>
  <c r="AG65" i="5"/>
  <c r="AG63" i="5"/>
  <c r="AG60" i="5"/>
  <c r="AG62" i="5"/>
  <c r="AH110" i="5"/>
  <c r="AH64" i="5"/>
  <c r="AH63" i="5"/>
  <c r="AH61" i="5"/>
  <c r="AH60" i="5"/>
  <c r="AH62" i="5"/>
  <c r="AH65" i="5"/>
  <c r="AN62" i="5"/>
  <c r="AN60" i="5"/>
  <c r="AN65" i="5"/>
  <c r="AN64" i="5"/>
  <c r="AN61" i="5"/>
  <c r="AN63" i="5"/>
  <c r="AL60" i="5"/>
  <c r="AL62" i="5"/>
  <c r="AL64" i="5"/>
  <c r="AL65" i="5"/>
  <c r="AL61" i="5"/>
  <c r="AL63" i="5"/>
  <c r="AI97" i="5"/>
  <c r="AI61" i="5"/>
  <c r="AI64" i="5"/>
  <c r="AI63" i="5"/>
  <c r="AI60" i="5"/>
  <c r="AI62" i="5"/>
  <c r="AI65" i="5"/>
  <c r="AP54" i="5"/>
  <c r="AP64" i="5"/>
  <c r="AP62" i="5"/>
  <c r="AP61" i="5"/>
  <c r="AP63" i="5"/>
  <c r="AP65" i="5"/>
  <c r="AP60" i="5"/>
  <c r="AS63" i="5"/>
  <c r="AS65" i="5"/>
  <c r="AS62" i="5"/>
  <c r="AS60" i="5"/>
  <c r="AS64" i="5"/>
  <c r="AS61" i="5"/>
  <c r="AR65" i="5"/>
  <c r="AR62" i="5"/>
  <c r="AR63" i="5"/>
  <c r="AR60" i="5"/>
  <c r="AR61" i="5"/>
  <c r="AR64" i="5"/>
  <c r="AE65" i="5"/>
  <c r="AE64" i="5"/>
  <c r="AE62" i="5"/>
  <c r="AE61" i="5"/>
  <c r="AE63" i="5"/>
  <c r="AE60" i="5"/>
  <c r="AF62" i="5"/>
  <c r="AF64" i="5"/>
  <c r="AF61" i="5"/>
  <c r="AF63" i="5"/>
  <c r="AF60" i="5"/>
  <c r="AF65" i="5"/>
  <c r="AO61" i="5"/>
  <c r="AO63" i="5"/>
  <c r="AO65" i="5"/>
  <c r="AO64" i="5"/>
  <c r="AO60" i="5"/>
  <c r="AO62" i="5"/>
  <c r="AM65" i="5"/>
  <c r="AM64" i="5"/>
  <c r="AM63" i="5"/>
  <c r="AM60" i="5"/>
  <c r="AM62" i="5"/>
  <c r="AM61" i="5"/>
  <c r="AK63" i="5"/>
  <c r="AK61" i="5"/>
  <c r="AK60" i="5"/>
  <c r="AK65" i="5"/>
  <c r="AK62" i="5"/>
  <c r="AK64" i="5"/>
  <c r="AQ125" i="5"/>
  <c r="AQ61" i="5"/>
  <c r="AQ65" i="5"/>
  <c r="AQ63" i="5"/>
  <c r="AQ60" i="5"/>
  <c r="AQ64" i="5"/>
  <c r="AQ62" i="5"/>
  <c r="AJ60" i="5"/>
  <c r="AJ64" i="5"/>
  <c r="AJ63" i="5"/>
  <c r="AJ65" i="5"/>
  <c r="AJ62" i="5"/>
  <c r="AJ61" i="5"/>
  <c r="AP49" i="5"/>
  <c r="AO113" i="5"/>
  <c r="AH87" i="5"/>
  <c r="C181" i="13"/>
  <c r="A181" i="13" s="1"/>
  <c r="D189" i="1"/>
  <c r="D206" i="1"/>
  <c r="C198" i="13"/>
  <c r="A198" i="13" s="1"/>
  <c r="D207" i="1"/>
  <c r="C207" i="13" s="1"/>
  <c r="C199" i="13"/>
  <c r="C185" i="13"/>
  <c r="A185" i="13" s="1"/>
  <c r="D193" i="1"/>
  <c r="M165" i="1"/>
  <c r="C184" i="13"/>
  <c r="A184" i="13" s="1"/>
  <c r="D192" i="1"/>
  <c r="C182" i="13"/>
  <c r="A182" i="13" s="1"/>
  <c r="D190" i="1"/>
  <c r="D208" i="1"/>
  <c r="C200" i="13"/>
  <c r="C196" i="13"/>
  <c r="A196" i="13" s="1"/>
  <c r="C183" i="13"/>
  <c r="A183" i="13" s="1"/>
  <c r="D191" i="1"/>
  <c r="C194" i="13"/>
  <c r="A194" i="13" s="1"/>
  <c r="C195" i="13"/>
  <c r="A195" i="13" s="1"/>
  <c r="C197" i="13"/>
  <c r="A197" i="13" s="1"/>
  <c r="D205" i="1"/>
  <c r="O174" i="13"/>
  <c r="N174" i="13" s="1"/>
  <c r="A174" i="13"/>
  <c r="C201" i="13"/>
  <c r="D209" i="1"/>
  <c r="A173" i="13"/>
  <c r="O173" i="13"/>
  <c r="N173" i="13" s="1"/>
  <c r="M166" i="1"/>
  <c r="AO121" i="5"/>
  <c r="AO101" i="5"/>
  <c r="AG90" i="5"/>
  <c r="AO80" i="5"/>
  <c r="AG98" i="5"/>
  <c r="AO52" i="5"/>
  <c r="AO75" i="5"/>
  <c r="AG74" i="5"/>
  <c r="AO135" i="5"/>
  <c r="AO45" i="5"/>
  <c r="AO133" i="5"/>
  <c r="AO43" i="5"/>
  <c r="AO77" i="5"/>
  <c r="AG135" i="5"/>
  <c r="AQ50" i="5"/>
  <c r="AP42" i="5"/>
  <c r="AH93" i="5"/>
  <c r="AO115" i="5"/>
  <c r="AO50" i="5"/>
  <c r="AG76" i="5"/>
  <c r="AM106" i="5"/>
  <c r="AO96" i="5"/>
  <c r="AP137" i="5"/>
  <c r="AG54" i="5"/>
  <c r="AO141" i="5"/>
  <c r="AO94" i="5"/>
  <c r="AP107" i="5"/>
  <c r="AI45" i="5"/>
  <c r="AP83" i="5"/>
  <c r="AR51" i="5"/>
  <c r="D20" i="1"/>
  <c r="AP139" i="5"/>
  <c r="AP117" i="5"/>
  <c r="AP91" i="5"/>
  <c r="AP53" i="5"/>
  <c r="AQ93" i="5"/>
  <c r="AO137" i="5"/>
  <c r="AO117" i="5"/>
  <c r="AO98" i="5"/>
  <c r="AO79" i="5"/>
  <c r="AO47" i="5"/>
  <c r="AP138" i="5"/>
  <c r="AP116" i="5"/>
  <c r="AP88" i="5"/>
  <c r="AP52" i="5"/>
  <c r="AQ72" i="5"/>
  <c r="AQ38" i="5"/>
  <c r="AI145" i="5"/>
  <c r="AP136" i="5"/>
  <c r="AP106" i="5"/>
  <c r="AP82" i="5"/>
  <c r="AP48" i="5"/>
  <c r="AO40" i="5"/>
  <c r="AG36" i="5"/>
  <c r="AG38" i="5"/>
  <c r="AO130" i="5"/>
  <c r="AO112" i="5"/>
  <c r="AO91" i="5"/>
  <c r="AO59" i="5"/>
  <c r="AO39" i="5"/>
  <c r="AP125" i="5"/>
  <c r="AP105" i="5"/>
  <c r="AP81" i="5"/>
  <c r="AP39" i="5"/>
  <c r="AO128" i="5"/>
  <c r="AO88" i="5"/>
  <c r="AO38" i="5"/>
  <c r="AP104" i="5"/>
  <c r="AP38" i="5"/>
  <c r="AG130" i="5"/>
  <c r="AH133" i="5"/>
  <c r="AO144" i="5"/>
  <c r="AO125" i="5"/>
  <c r="AO105" i="5"/>
  <c r="AO87" i="5"/>
  <c r="AO55" i="5"/>
  <c r="AO36" i="5"/>
  <c r="AP123" i="5"/>
  <c r="AP97" i="5"/>
  <c r="AP57" i="5"/>
  <c r="AP37" i="5"/>
  <c r="AL50" i="5"/>
  <c r="AO107" i="5"/>
  <c r="AO57" i="5"/>
  <c r="AP124" i="5"/>
  <c r="AP76" i="5"/>
  <c r="AG111" i="5"/>
  <c r="AO142" i="5"/>
  <c r="AO123" i="5"/>
  <c r="AO104" i="5"/>
  <c r="AO85" i="5"/>
  <c r="AP146" i="5"/>
  <c r="AP120" i="5"/>
  <c r="AP96" i="5"/>
  <c r="AS81" i="5"/>
  <c r="AE37" i="5"/>
  <c r="AG127" i="5"/>
  <c r="AG40" i="5"/>
  <c r="AO139" i="5"/>
  <c r="AO126" i="5"/>
  <c r="AO114" i="5"/>
  <c r="AO103" i="5"/>
  <c r="AO89" i="5"/>
  <c r="AO78" i="5"/>
  <c r="AO54" i="5"/>
  <c r="AO41" i="5"/>
  <c r="AQ79" i="5"/>
  <c r="AG92" i="5"/>
  <c r="AO146" i="5"/>
  <c r="AO134" i="5"/>
  <c r="AO122" i="5"/>
  <c r="AO110" i="5"/>
  <c r="AO97" i="5"/>
  <c r="AO86" i="5"/>
  <c r="AO73" i="5"/>
  <c r="AO49" i="5"/>
  <c r="AO37" i="5"/>
  <c r="AQ49" i="5"/>
  <c r="AG138" i="5"/>
  <c r="AG87" i="5"/>
  <c r="AO143" i="5"/>
  <c r="AO131" i="5"/>
  <c r="AO119" i="5"/>
  <c r="AO106" i="5"/>
  <c r="AO95" i="5"/>
  <c r="AO82" i="5"/>
  <c r="AO58" i="5"/>
  <c r="AO46" i="5"/>
  <c r="AQ129" i="5"/>
  <c r="AQ42" i="5"/>
  <c r="AH127" i="5"/>
  <c r="AP133" i="5"/>
  <c r="AP113" i="5"/>
  <c r="AP93" i="5"/>
  <c r="AP75" i="5"/>
  <c r="AP41" i="5"/>
  <c r="AQ117" i="5"/>
  <c r="AQ118" i="5"/>
  <c r="AH111" i="5"/>
  <c r="AP130" i="5"/>
  <c r="AP108" i="5"/>
  <c r="AP92" i="5"/>
  <c r="AP74" i="5"/>
  <c r="AP40" i="5"/>
  <c r="AQ101" i="5"/>
  <c r="AG114" i="5"/>
  <c r="AG59" i="5"/>
  <c r="AO35" i="5"/>
  <c r="AO138" i="5"/>
  <c r="AO129" i="5"/>
  <c r="AO120" i="5"/>
  <c r="AO111" i="5"/>
  <c r="AO102" i="5"/>
  <c r="AO93" i="5"/>
  <c r="AO83" i="5"/>
  <c r="AO74" i="5"/>
  <c r="AO53" i="5"/>
  <c r="AO44" i="5"/>
  <c r="AQ97" i="5"/>
  <c r="AQ41" i="5"/>
  <c r="AG35" i="5"/>
  <c r="AG110" i="5"/>
  <c r="AG41" i="5"/>
  <c r="AO145" i="5"/>
  <c r="AO136" i="5"/>
  <c r="AO127" i="5"/>
  <c r="AO118" i="5"/>
  <c r="AO109" i="5"/>
  <c r="AO99" i="5"/>
  <c r="AO90" i="5"/>
  <c r="AO81" i="5"/>
  <c r="AO72" i="5"/>
  <c r="AO51" i="5"/>
  <c r="AO42" i="5"/>
  <c r="AQ136" i="5"/>
  <c r="AQ89" i="5"/>
  <c r="AN51" i="5"/>
  <c r="AE121" i="5"/>
  <c r="AE120" i="5"/>
  <c r="AQ113" i="5"/>
  <c r="AH86" i="5"/>
  <c r="AP145" i="5"/>
  <c r="AP129" i="5"/>
  <c r="AP115" i="5"/>
  <c r="AP101" i="5"/>
  <c r="AP85" i="5"/>
  <c r="AP73" i="5"/>
  <c r="AP47" i="5"/>
  <c r="AQ141" i="5"/>
  <c r="AQ112" i="5"/>
  <c r="AQ77" i="5"/>
  <c r="AQ142" i="5"/>
  <c r="AQ78" i="5"/>
  <c r="AQ37" i="5"/>
  <c r="AH51" i="5"/>
  <c r="AP140" i="5"/>
  <c r="AP128" i="5"/>
  <c r="AP114" i="5"/>
  <c r="AP98" i="5"/>
  <c r="AP84" i="5"/>
  <c r="AP72" i="5"/>
  <c r="AP44" i="5"/>
  <c r="AQ137" i="5"/>
  <c r="AQ102" i="5"/>
  <c r="AQ73" i="5"/>
  <c r="AE97" i="5"/>
  <c r="AE96" i="5"/>
  <c r="AL86" i="5"/>
  <c r="AE73" i="5"/>
  <c r="AL59" i="5"/>
  <c r="AE54" i="5"/>
  <c r="AQ128" i="5"/>
  <c r="AQ111" i="5"/>
  <c r="AQ88" i="5"/>
  <c r="AQ53" i="5"/>
  <c r="AQ36" i="5"/>
  <c r="AE144" i="5"/>
  <c r="AE36" i="5"/>
  <c r="AH36" i="5"/>
  <c r="AH58" i="5"/>
  <c r="AP144" i="5"/>
  <c r="AP132" i="5"/>
  <c r="AP122" i="5"/>
  <c r="AP112" i="5"/>
  <c r="AP100" i="5"/>
  <c r="AP90" i="5"/>
  <c r="AP80" i="5"/>
  <c r="AP56" i="5"/>
  <c r="AP46" i="5"/>
  <c r="AP36" i="5"/>
  <c r="AQ127" i="5"/>
  <c r="AQ104" i="5"/>
  <c r="AQ87" i="5"/>
  <c r="AQ52" i="5"/>
  <c r="AE138" i="5"/>
  <c r="AG116" i="5"/>
  <c r="AH134" i="5"/>
  <c r="AH57" i="5"/>
  <c r="AO140" i="5"/>
  <c r="AO132" i="5"/>
  <c r="AO124" i="5"/>
  <c r="AO116" i="5"/>
  <c r="AO108" i="5"/>
  <c r="AO100" i="5"/>
  <c r="AO92" i="5"/>
  <c r="AO84" i="5"/>
  <c r="AO76" i="5"/>
  <c r="AO56" i="5"/>
  <c r="AO48" i="5"/>
  <c r="AP141" i="5"/>
  <c r="AP131" i="5"/>
  <c r="AP121" i="5"/>
  <c r="AP109" i="5"/>
  <c r="AP99" i="5"/>
  <c r="AP89" i="5"/>
  <c r="AP77" i="5"/>
  <c r="AP55" i="5"/>
  <c r="AP45" i="5"/>
  <c r="AQ143" i="5"/>
  <c r="AQ126" i="5"/>
  <c r="AQ103" i="5"/>
  <c r="AQ86" i="5"/>
  <c r="AQ51" i="5"/>
  <c r="AE53" i="5"/>
  <c r="AE136" i="5"/>
  <c r="AE114" i="5"/>
  <c r="AM90" i="5"/>
  <c r="AE88" i="5"/>
  <c r="AE52" i="5"/>
  <c r="AE106" i="5"/>
  <c r="AE46" i="5"/>
  <c r="AE105" i="5"/>
  <c r="AE81" i="5"/>
  <c r="AQ135" i="5"/>
  <c r="AQ121" i="5"/>
  <c r="AQ110" i="5"/>
  <c r="AQ85" i="5"/>
  <c r="AQ59" i="5"/>
  <c r="AQ45" i="5"/>
  <c r="AE146" i="5"/>
  <c r="AE128" i="5"/>
  <c r="AE104" i="5"/>
  <c r="AE80" i="5"/>
  <c r="AE44" i="5"/>
  <c r="AH109" i="5"/>
  <c r="AP35" i="5"/>
  <c r="AP143" i="5"/>
  <c r="AP135" i="5"/>
  <c r="AP127" i="5"/>
  <c r="AP119" i="5"/>
  <c r="AP111" i="5"/>
  <c r="AP103" i="5"/>
  <c r="AP95" i="5"/>
  <c r="AP87" i="5"/>
  <c r="AP79" i="5"/>
  <c r="AP59" i="5"/>
  <c r="AP51" i="5"/>
  <c r="AP43" i="5"/>
  <c r="AQ145" i="5"/>
  <c r="AQ134" i="5"/>
  <c r="AQ120" i="5"/>
  <c r="AQ109" i="5"/>
  <c r="AQ95" i="5"/>
  <c r="AQ81" i="5"/>
  <c r="AQ58" i="5"/>
  <c r="AQ44" i="5"/>
  <c r="AR126" i="5"/>
  <c r="AE137" i="5"/>
  <c r="AE89" i="5"/>
  <c r="AE112" i="5"/>
  <c r="AE130" i="5"/>
  <c r="AE82" i="5"/>
  <c r="AE129" i="5"/>
  <c r="AE45" i="5"/>
  <c r="AQ96" i="5"/>
  <c r="AE145" i="5"/>
  <c r="AE122" i="5"/>
  <c r="AE98" i="5"/>
  <c r="AE74" i="5"/>
  <c r="AE38" i="5"/>
  <c r="AL135" i="5"/>
  <c r="AP142" i="5"/>
  <c r="AP134" i="5"/>
  <c r="AP126" i="5"/>
  <c r="AP118" i="5"/>
  <c r="AP110" i="5"/>
  <c r="AP102" i="5"/>
  <c r="AP94" i="5"/>
  <c r="AP86" i="5"/>
  <c r="AP78" i="5"/>
  <c r="AP58" i="5"/>
  <c r="AP50" i="5"/>
  <c r="AQ144" i="5"/>
  <c r="AQ133" i="5"/>
  <c r="AQ119" i="5"/>
  <c r="AQ105" i="5"/>
  <c r="AQ94" i="5"/>
  <c r="AQ80" i="5"/>
  <c r="AQ57" i="5"/>
  <c r="AQ43" i="5"/>
  <c r="AR93" i="5"/>
  <c r="AS129" i="5"/>
  <c r="AR136" i="5"/>
  <c r="AR104" i="5"/>
  <c r="AR49" i="5"/>
  <c r="AR125" i="5"/>
  <c r="AR135" i="5"/>
  <c r="AR94" i="5"/>
  <c r="AR44" i="5"/>
  <c r="AR120" i="5"/>
  <c r="AR78" i="5"/>
  <c r="AS80" i="5"/>
  <c r="AR119" i="5"/>
  <c r="AR77" i="5"/>
  <c r="AS53" i="5"/>
  <c r="AR142" i="5"/>
  <c r="AR110" i="5"/>
  <c r="AR72" i="5"/>
  <c r="AE39" i="5"/>
  <c r="AS144" i="5"/>
  <c r="AR88" i="5"/>
  <c r="AR141" i="5"/>
  <c r="AR109" i="5"/>
  <c r="AR50" i="5"/>
  <c r="AM74" i="5"/>
  <c r="AL43" i="5"/>
  <c r="AR103" i="5"/>
  <c r="AR59" i="5"/>
  <c r="AS113" i="5"/>
  <c r="AL118" i="5"/>
  <c r="AL42" i="5"/>
  <c r="AR134" i="5"/>
  <c r="AR118" i="5"/>
  <c r="AR102" i="5"/>
  <c r="AR86" i="5"/>
  <c r="AR58" i="5"/>
  <c r="AR42" i="5"/>
  <c r="AS112" i="5"/>
  <c r="AR37" i="5"/>
  <c r="AL134" i="5"/>
  <c r="AL58" i="5"/>
  <c r="AS128" i="5"/>
  <c r="AL103" i="5"/>
  <c r="AM138" i="5"/>
  <c r="AR133" i="5"/>
  <c r="AR117" i="5"/>
  <c r="AR101" i="5"/>
  <c r="AR85" i="5"/>
  <c r="AR57" i="5"/>
  <c r="AR41" i="5"/>
  <c r="AS97" i="5"/>
  <c r="AR87" i="5"/>
  <c r="AR43" i="5"/>
  <c r="AL102" i="5"/>
  <c r="AM122" i="5"/>
  <c r="AR144" i="5"/>
  <c r="AR128" i="5"/>
  <c r="AR112" i="5"/>
  <c r="AR96" i="5"/>
  <c r="AR80" i="5"/>
  <c r="AR52" i="5"/>
  <c r="AR36" i="5"/>
  <c r="AS96" i="5"/>
  <c r="AM37" i="5"/>
  <c r="AM46" i="5"/>
  <c r="AS52" i="5"/>
  <c r="AL119" i="5"/>
  <c r="AL87" i="5"/>
  <c r="AR143" i="5"/>
  <c r="AR127" i="5"/>
  <c r="AR111" i="5"/>
  <c r="AR95" i="5"/>
  <c r="AR79" i="5"/>
  <c r="AS145" i="5"/>
  <c r="AE113" i="5"/>
  <c r="AE90" i="5"/>
  <c r="AE72" i="5"/>
  <c r="AM137" i="5"/>
  <c r="AM89" i="5"/>
  <c r="AL117" i="5"/>
  <c r="AL57" i="5"/>
  <c r="AM120" i="5"/>
  <c r="AM44" i="5"/>
  <c r="AS40" i="5"/>
  <c r="AS48" i="5"/>
  <c r="AS56" i="5"/>
  <c r="AS76" i="5"/>
  <c r="AS84" i="5"/>
  <c r="AS92" i="5"/>
  <c r="AS100" i="5"/>
  <c r="AS108" i="5"/>
  <c r="AS116" i="5"/>
  <c r="AS124" i="5"/>
  <c r="AS132" i="5"/>
  <c r="AS140" i="5"/>
  <c r="AS43" i="5"/>
  <c r="AS59" i="5"/>
  <c r="AS87" i="5"/>
  <c r="AS111" i="5"/>
  <c r="AS127" i="5"/>
  <c r="AS41" i="5"/>
  <c r="AS49" i="5"/>
  <c r="AS57" i="5"/>
  <c r="AS77" i="5"/>
  <c r="AS85" i="5"/>
  <c r="AS93" i="5"/>
  <c r="AS101" i="5"/>
  <c r="AS109" i="5"/>
  <c r="AS117" i="5"/>
  <c r="AS125" i="5"/>
  <c r="AS133" i="5"/>
  <c r="AS141" i="5"/>
  <c r="AS95" i="5"/>
  <c r="AS135" i="5"/>
  <c r="AS42" i="5"/>
  <c r="AS50" i="5"/>
  <c r="AS58" i="5"/>
  <c r="AS78" i="5"/>
  <c r="AS86" i="5"/>
  <c r="AS94" i="5"/>
  <c r="AS102" i="5"/>
  <c r="AS110" i="5"/>
  <c r="AS118" i="5"/>
  <c r="AS126" i="5"/>
  <c r="AS134" i="5"/>
  <c r="AS142" i="5"/>
  <c r="AS51" i="5"/>
  <c r="AS79" i="5"/>
  <c r="AS103" i="5"/>
  <c r="AS119" i="5"/>
  <c r="AS143" i="5"/>
  <c r="AS35" i="5"/>
  <c r="AS36" i="5"/>
  <c r="AS44" i="5"/>
  <c r="AK39" i="5"/>
  <c r="AM35" i="5"/>
  <c r="AL116" i="5"/>
  <c r="AL56" i="5"/>
  <c r="AM119" i="5"/>
  <c r="AM87" i="5"/>
  <c r="AS138" i="5"/>
  <c r="AS106" i="5"/>
  <c r="AL111" i="5"/>
  <c r="AL51" i="5"/>
  <c r="AM114" i="5"/>
  <c r="AM54" i="5"/>
  <c r="AS121" i="5"/>
  <c r="AS105" i="5"/>
  <c r="AS73" i="5"/>
  <c r="AS45" i="5"/>
  <c r="AL142" i="5"/>
  <c r="AL126" i="5"/>
  <c r="AL110" i="5"/>
  <c r="AL94" i="5"/>
  <c r="AL78" i="5"/>
  <c r="AM145" i="5"/>
  <c r="AM129" i="5"/>
  <c r="AM113" i="5"/>
  <c r="AM97" i="5"/>
  <c r="AM81" i="5"/>
  <c r="AM53" i="5"/>
  <c r="AS136" i="5"/>
  <c r="AS120" i="5"/>
  <c r="AS104" i="5"/>
  <c r="AS88" i="5"/>
  <c r="AS72" i="5"/>
  <c r="AS39" i="5"/>
  <c r="AM39" i="5"/>
  <c r="AM47" i="5"/>
  <c r="AM55" i="5"/>
  <c r="AM75" i="5"/>
  <c r="AM83" i="5"/>
  <c r="AM91" i="5"/>
  <c r="AM99" i="5"/>
  <c r="AM107" i="5"/>
  <c r="AM115" i="5"/>
  <c r="AM123" i="5"/>
  <c r="AM131" i="5"/>
  <c r="AM139" i="5"/>
  <c r="AM50" i="5"/>
  <c r="AM86" i="5"/>
  <c r="AM110" i="5"/>
  <c r="AM134" i="5"/>
  <c r="AM40" i="5"/>
  <c r="AM48" i="5"/>
  <c r="AM56" i="5"/>
  <c r="AM76" i="5"/>
  <c r="AM84" i="5"/>
  <c r="AM92" i="5"/>
  <c r="AM100" i="5"/>
  <c r="AM108" i="5"/>
  <c r="AM116" i="5"/>
  <c r="AM124" i="5"/>
  <c r="AM132" i="5"/>
  <c r="AM140" i="5"/>
  <c r="AM78" i="5"/>
  <c r="AM102" i="5"/>
  <c r="AM126" i="5"/>
  <c r="AM41" i="5"/>
  <c r="AM49" i="5"/>
  <c r="AM57" i="5"/>
  <c r="AM77" i="5"/>
  <c r="AM85" i="5"/>
  <c r="AM93" i="5"/>
  <c r="AM101" i="5"/>
  <c r="AM109" i="5"/>
  <c r="AM117" i="5"/>
  <c r="AM125" i="5"/>
  <c r="AM133" i="5"/>
  <c r="AM141" i="5"/>
  <c r="AM42" i="5"/>
  <c r="AM58" i="5"/>
  <c r="AM94" i="5"/>
  <c r="AM118" i="5"/>
  <c r="AM142" i="5"/>
  <c r="AM121" i="5"/>
  <c r="AM73" i="5"/>
  <c r="AL36" i="5"/>
  <c r="AL44" i="5"/>
  <c r="AL52" i="5"/>
  <c r="AL72" i="5"/>
  <c r="AL80" i="5"/>
  <c r="AL88" i="5"/>
  <c r="AL96" i="5"/>
  <c r="AL104" i="5"/>
  <c r="AL112" i="5"/>
  <c r="AL120" i="5"/>
  <c r="AL128" i="5"/>
  <c r="AL136" i="5"/>
  <c r="AL144" i="5"/>
  <c r="AL47" i="5"/>
  <c r="AL83" i="5"/>
  <c r="AL107" i="5"/>
  <c r="AL131" i="5"/>
  <c r="AL37" i="5"/>
  <c r="AL45" i="5"/>
  <c r="AL53" i="5"/>
  <c r="AL73" i="5"/>
  <c r="AL81" i="5"/>
  <c r="AL89" i="5"/>
  <c r="AL97" i="5"/>
  <c r="AL105" i="5"/>
  <c r="AL113" i="5"/>
  <c r="AL121" i="5"/>
  <c r="AL129" i="5"/>
  <c r="AL137" i="5"/>
  <c r="AL145" i="5"/>
  <c r="AL39" i="5"/>
  <c r="AL75" i="5"/>
  <c r="AL99" i="5"/>
  <c r="AL123" i="5"/>
  <c r="AL35" i="5"/>
  <c r="AL38" i="5"/>
  <c r="AL46" i="5"/>
  <c r="AL54" i="5"/>
  <c r="AL74" i="5"/>
  <c r="AL82" i="5"/>
  <c r="AL90" i="5"/>
  <c r="AL98" i="5"/>
  <c r="AL106" i="5"/>
  <c r="AL114" i="5"/>
  <c r="AL122" i="5"/>
  <c r="AL130" i="5"/>
  <c r="AL138" i="5"/>
  <c r="AL146" i="5"/>
  <c r="AL55" i="5"/>
  <c r="AL91" i="5"/>
  <c r="AL115" i="5"/>
  <c r="AL139" i="5"/>
  <c r="AL133" i="5"/>
  <c r="AL85" i="5"/>
  <c r="AM136" i="5"/>
  <c r="AM104" i="5"/>
  <c r="AM72" i="5"/>
  <c r="AS139" i="5"/>
  <c r="AS123" i="5"/>
  <c r="AS107" i="5"/>
  <c r="AS91" i="5"/>
  <c r="AS75" i="5"/>
  <c r="AS47" i="5"/>
  <c r="AL100" i="5"/>
  <c r="AL40" i="5"/>
  <c r="AM103" i="5"/>
  <c r="AM43" i="5"/>
  <c r="AS122" i="5"/>
  <c r="AS90" i="5"/>
  <c r="AS74" i="5"/>
  <c r="AL127" i="5"/>
  <c r="AL79" i="5"/>
  <c r="AM130" i="5"/>
  <c r="AM98" i="5"/>
  <c r="AM38" i="5"/>
  <c r="AS137" i="5"/>
  <c r="AS89" i="5"/>
  <c r="AL141" i="5"/>
  <c r="AL125" i="5"/>
  <c r="AL109" i="5"/>
  <c r="AL93" i="5"/>
  <c r="AL77" i="5"/>
  <c r="AL49" i="5"/>
  <c r="AM144" i="5"/>
  <c r="AM128" i="5"/>
  <c r="AM112" i="5"/>
  <c r="AM96" i="5"/>
  <c r="AM80" i="5"/>
  <c r="AM52" i="5"/>
  <c r="AM36" i="5"/>
  <c r="AS131" i="5"/>
  <c r="AS115" i="5"/>
  <c r="AS99" i="5"/>
  <c r="AS83" i="5"/>
  <c r="AS55" i="5"/>
  <c r="AS38" i="5"/>
  <c r="AM105" i="5"/>
  <c r="AM45" i="5"/>
  <c r="AL101" i="5"/>
  <c r="AL41" i="5"/>
  <c r="AM88" i="5"/>
  <c r="AL132" i="5"/>
  <c r="AL84" i="5"/>
  <c r="AM135" i="5"/>
  <c r="AM59" i="5"/>
  <c r="AS46" i="5"/>
  <c r="AL143" i="5"/>
  <c r="AL95" i="5"/>
  <c r="AM146" i="5"/>
  <c r="AM82" i="5"/>
  <c r="AL140" i="5"/>
  <c r="AL124" i="5"/>
  <c r="AL108" i="5"/>
  <c r="AL92" i="5"/>
  <c r="AL76" i="5"/>
  <c r="AL48" i="5"/>
  <c r="AM143" i="5"/>
  <c r="AM127" i="5"/>
  <c r="AM111" i="5"/>
  <c r="AM95" i="5"/>
  <c r="AM79" i="5"/>
  <c r="AM51" i="5"/>
  <c r="AS146" i="5"/>
  <c r="AS130" i="5"/>
  <c r="AS114" i="5"/>
  <c r="AS98" i="5"/>
  <c r="AS82" i="5"/>
  <c r="AS54" i="5"/>
  <c r="AS37" i="5"/>
  <c r="AR116" i="5"/>
  <c r="AR92" i="5"/>
  <c r="AR56" i="5"/>
  <c r="AQ140" i="5"/>
  <c r="AQ132" i="5"/>
  <c r="AQ124" i="5"/>
  <c r="AQ116" i="5"/>
  <c r="AQ108" i="5"/>
  <c r="AQ100" i="5"/>
  <c r="AQ92" i="5"/>
  <c r="AQ84" i="5"/>
  <c r="AQ76" i="5"/>
  <c r="AQ56" i="5"/>
  <c r="AQ48" i="5"/>
  <c r="AQ40" i="5"/>
  <c r="AR35" i="5"/>
  <c r="AR139" i="5"/>
  <c r="AR131" i="5"/>
  <c r="AR123" i="5"/>
  <c r="AR115" i="5"/>
  <c r="AR107" i="5"/>
  <c r="AR99" i="5"/>
  <c r="AR91" i="5"/>
  <c r="AR83" i="5"/>
  <c r="AR75" i="5"/>
  <c r="AR55" i="5"/>
  <c r="AR47" i="5"/>
  <c r="AR39" i="5"/>
  <c r="AR132" i="5"/>
  <c r="AR108" i="5"/>
  <c r="AR84" i="5"/>
  <c r="AR48" i="5"/>
  <c r="AJ36" i="5"/>
  <c r="AQ35" i="5"/>
  <c r="AQ139" i="5"/>
  <c r="AQ131" i="5"/>
  <c r="AQ123" i="5"/>
  <c r="AQ115" i="5"/>
  <c r="AQ107" i="5"/>
  <c r="AQ99" i="5"/>
  <c r="AQ91" i="5"/>
  <c r="AQ83" i="5"/>
  <c r="AQ75" i="5"/>
  <c r="AQ55" i="5"/>
  <c r="AQ47" i="5"/>
  <c r="AQ39" i="5"/>
  <c r="AR146" i="5"/>
  <c r="AR138" i="5"/>
  <c r="AR130" i="5"/>
  <c r="AR122" i="5"/>
  <c r="AR114" i="5"/>
  <c r="AR106" i="5"/>
  <c r="AR98" i="5"/>
  <c r="AR90" i="5"/>
  <c r="AR82" i="5"/>
  <c r="AR74" i="5"/>
  <c r="AR54" i="5"/>
  <c r="AR46" i="5"/>
  <c r="AR38" i="5"/>
  <c r="AR140" i="5"/>
  <c r="AR124" i="5"/>
  <c r="AR100" i="5"/>
  <c r="AR76" i="5"/>
  <c r="AR40" i="5"/>
  <c r="AQ146" i="5"/>
  <c r="AQ138" i="5"/>
  <c r="AQ130" i="5"/>
  <c r="AQ122" i="5"/>
  <c r="AQ114" i="5"/>
  <c r="AQ106" i="5"/>
  <c r="AQ98" i="5"/>
  <c r="AQ90" i="5"/>
  <c r="AQ82" i="5"/>
  <c r="AQ74" i="5"/>
  <c r="AQ54" i="5"/>
  <c r="AQ46" i="5"/>
  <c r="AR145" i="5"/>
  <c r="AR137" i="5"/>
  <c r="AR129" i="5"/>
  <c r="AR121" i="5"/>
  <c r="AR113" i="5"/>
  <c r="AR105" i="5"/>
  <c r="AR97" i="5"/>
  <c r="AR89" i="5"/>
  <c r="AR81" i="5"/>
  <c r="AR73" i="5"/>
  <c r="AR53" i="5"/>
  <c r="AR45" i="5"/>
  <c r="AE135" i="5"/>
  <c r="AE119" i="5"/>
  <c r="AE103" i="5"/>
  <c r="AE87" i="5"/>
  <c r="AE59" i="5"/>
  <c r="AE51" i="5"/>
  <c r="AE142" i="5"/>
  <c r="AE118" i="5"/>
  <c r="AE102" i="5"/>
  <c r="AE86" i="5"/>
  <c r="AE58" i="5"/>
  <c r="AE42" i="5"/>
  <c r="AE141" i="5"/>
  <c r="AE125" i="5"/>
  <c r="AE101" i="5"/>
  <c r="AE85" i="5"/>
  <c r="AE57" i="5"/>
  <c r="AE41" i="5"/>
  <c r="AE140" i="5"/>
  <c r="AE132" i="5"/>
  <c r="AE124" i="5"/>
  <c r="AE116" i="5"/>
  <c r="AE108" i="5"/>
  <c r="AE100" i="5"/>
  <c r="AE92" i="5"/>
  <c r="AE84" i="5"/>
  <c r="AE76" i="5"/>
  <c r="AE56" i="5"/>
  <c r="AE48" i="5"/>
  <c r="AE40" i="5"/>
  <c r="AE143" i="5"/>
  <c r="AE127" i="5"/>
  <c r="AE111" i="5"/>
  <c r="AE95" i="5"/>
  <c r="AE79" i="5"/>
  <c r="AE43" i="5"/>
  <c r="AE134" i="5"/>
  <c r="AE126" i="5"/>
  <c r="AE110" i="5"/>
  <c r="AE94" i="5"/>
  <c r="AE78" i="5"/>
  <c r="AE50" i="5"/>
  <c r="AE133" i="5"/>
  <c r="AE117" i="5"/>
  <c r="AE109" i="5"/>
  <c r="AE93" i="5"/>
  <c r="AE77" i="5"/>
  <c r="AE49" i="5"/>
  <c r="AE35" i="5"/>
  <c r="AE139" i="5"/>
  <c r="AE131" i="5"/>
  <c r="AE123" i="5"/>
  <c r="AE115" i="5"/>
  <c r="AE107" i="5"/>
  <c r="AE99" i="5"/>
  <c r="AE91" i="5"/>
  <c r="AE83" i="5"/>
  <c r="AE75" i="5"/>
  <c r="AE55" i="5"/>
  <c r="AE47" i="5"/>
  <c r="AH126" i="5"/>
  <c r="AH103" i="5"/>
  <c r="AH50" i="5"/>
  <c r="AG103" i="5"/>
  <c r="AH143" i="5"/>
  <c r="AH79" i="5"/>
  <c r="AG142" i="5"/>
  <c r="AG102" i="5"/>
  <c r="AG85" i="5"/>
  <c r="AG50" i="5"/>
  <c r="AH142" i="5"/>
  <c r="AH119" i="5"/>
  <c r="AH101" i="5"/>
  <c r="AH43" i="5"/>
  <c r="AG141" i="5"/>
  <c r="AG124" i="5"/>
  <c r="AG101" i="5"/>
  <c r="AG78" i="5"/>
  <c r="AG49" i="5"/>
  <c r="AH141" i="5"/>
  <c r="AH118" i="5"/>
  <c r="AH95" i="5"/>
  <c r="AH77" i="5"/>
  <c r="AH42" i="5"/>
  <c r="AH85" i="5"/>
  <c r="AG126" i="5"/>
  <c r="AG86" i="5"/>
  <c r="AG51" i="5"/>
  <c r="AH125" i="5"/>
  <c r="AH102" i="5"/>
  <c r="AH49" i="5"/>
  <c r="AG125" i="5"/>
  <c r="AH78" i="5"/>
  <c r="AG140" i="5"/>
  <c r="AG117" i="5"/>
  <c r="AG100" i="5"/>
  <c r="AG77" i="5"/>
  <c r="AG48" i="5"/>
  <c r="AH135" i="5"/>
  <c r="AH117" i="5"/>
  <c r="AH94" i="5"/>
  <c r="AH59" i="5"/>
  <c r="AH41" i="5"/>
  <c r="AJ110" i="5"/>
  <c r="AJ95" i="5"/>
  <c r="AI95" i="5"/>
  <c r="AJ41" i="5"/>
  <c r="AH132" i="5"/>
  <c r="AH108" i="5"/>
  <c r="AH84" i="5"/>
  <c r="AH56" i="5"/>
  <c r="AJ87" i="5"/>
  <c r="AH35" i="5"/>
  <c r="AH123" i="5"/>
  <c r="AH107" i="5"/>
  <c r="AH91" i="5"/>
  <c r="AH83" i="5"/>
  <c r="AH75" i="5"/>
  <c r="AH47" i="5"/>
  <c r="AK91" i="5"/>
  <c r="AJ118" i="5"/>
  <c r="AJ77" i="5"/>
  <c r="AG134" i="5"/>
  <c r="AG122" i="5"/>
  <c r="AG109" i="5"/>
  <c r="AG95" i="5"/>
  <c r="AG84" i="5"/>
  <c r="AG58" i="5"/>
  <c r="AG46" i="5"/>
  <c r="AH146" i="5"/>
  <c r="AH138" i="5"/>
  <c r="AH130" i="5"/>
  <c r="AH122" i="5"/>
  <c r="AH114" i="5"/>
  <c r="AH106" i="5"/>
  <c r="AH98" i="5"/>
  <c r="AH90" i="5"/>
  <c r="AH82" i="5"/>
  <c r="AH74" i="5"/>
  <c r="AH54" i="5"/>
  <c r="AH46" i="5"/>
  <c r="AH38" i="5"/>
  <c r="AJ58" i="5"/>
  <c r="AJ135" i="5"/>
  <c r="AJ93" i="5"/>
  <c r="AH124" i="5"/>
  <c r="AH100" i="5"/>
  <c r="AH76" i="5"/>
  <c r="AH48" i="5"/>
  <c r="AK99" i="5"/>
  <c r="AJ133" i="5"/>
  <c r="AH131" i="5"/>
  <c r="AH99" i="5"/>
  <c r="AH55" i="5"/>
  <c r="AK46" i="5"/>
  <c r="AJ117" i="5"/>
  <c r="AJ76" i="5"/>
  <c r="AG146" i="5"/>
  <c r="AG133" i="5"/>
  <c r="AG119" i="5"/>
  <c r="AG108" i="5"/>
  <c r="AG94" i="5"/>
  <c r="AG82" i="5"/>
  <c r="AG57" i="5"/>
  <c r="AG43" i="5"/>
  <c r="AH145" i="5"/>
  <c r="AH137" i="5"/>
  <c r="AH129" i="5"/>
  <c r="AH121" i="5"/>
  <c r="AH113" i="5"/>
  <c r="AH105" i="5"/>
  <c r="AH97" i="5"/>
  <c r="AH89" i="5"/>
  <c r="AH81" i="5"/>
  <c r="AH73" i="5"/>
  <c r="AH53" i="5"/>
  <c r="AH45" i="5"/>
  <c r="AH37" i="5"/>
  <c r="AJ141" i="5"/>
  <c r="AJ43" i="5"/>
  <c r="AI96" i="5"/>
  <c r="AJ94" i="5"/>
  <c r="AJ42" i="5"/>
  <c r="AJ134" i="5"/>
  <c r="AH140" i="5"/>
  <c r="AH116" i="5"/>
  <c r="AH92" i="5"/>
  <c r="AH40" i="5"/>
  <c r="AH139" i="5"/>
  <c r="AH115" i="5"/>
  <c r="AH39" i="5"/>
  <c r="AK38" i="5"/>
  <c r="AJ111" i="5"/>
  <c r="AJ59" i="5"/>
  <c r="AG143" i="5"/>
  <c r="AG132" i="5"/>
  <c r="AG118" i="5"/>
  <c r="AG106" i="5"/>
  <c r="AG93" i="5"/>
  <c r="AG79" i="5"/>
  <c r="AG56" i="5"/>
  <c r="AG42" i="5"/>
  <c r="AH144" i="5"/>
  <c r="AH136" i="5"/>
  <c r="AH128" i="5"/>
  <c r="AH120" i="5"/>
  <c r="AH112" i="5"/>
  <c r="AH104" i="5"/>
  <c r="AH96" i="5"/>
  <c r="AH88" i="5"/>
  <c r="AH80" i="5"/>
  <c r="AH72" i="5"/>
  <c r="AH52" i="5"/>
  <c r="AH44" i="5"/>
  <c r="AI72" i="5"/>
  <c r="AI144" i="5"/>
  <c r="AI53" i="5"/>
  <c r="AN59" i="5"/>
  <c r="AJ127" i="5"/>
  <c r="AJ109" i="5"/>
  <c r="AJ86" i="5"/>
  <c r="AJ57" i="5"/>
  <c r="AG139" i="5"/>
  <c r="AG131" i="5"/>
  <c r="AG123" i="5"/>
  <c r="AG115" i="5"/>
  <c r="AG107" i="5"/>
  <c r="AG99" i="5"/>
  <c r="AG91" i="5"/>
  <c r="AG83" i="5"/>
  <c r="AG75" i="5"/>
  <c r="AG55" i="5"/>
  <c r="AG47" i="5"/>
  <c r="AG39" i="5"/>
  <c r="AI128" i="5"/>
  <c r="AI52" i="5"/>
  <c r="AJ103" i="5"/>
  <c r="AI127" i="5"/>
  <c r="AK140" i="5"/>
  <c r="AJ143" i="5"/>
  <c r="AJ125" i="5"/>
  <c r="AJ102" i="5"/>
  <c r="AJ79" i="5"/>
  <c r="AJ50" i="5"/>
  <c r="AG145" i="5"/>
  <c r="AG137" i="5"/>
  <c r="AG129" i="5"/>
  <c r="AG121" i="5"/>
  <c r="AG113" i="5"/>
  <c r="AG105" i="5"/>
  <c r="AG97" i="5"/>
  <c r="AG89" i="5"/>
  <c r="AG81" i="5"/>
  <c r="AG73" i="5"/>
  <c r="AG53" i="5"/>
  <c r="AG45" i="5"/>
  <c r="AG37" i="5"/>
  <c r="AJ126" i="5"/>
  <c r="AJ85" i="5"/>
  <c r="AJ51" i="5"/>
  <c r="AI120" i="5"/>
  <c r="AK132" i="5"/>
  <c r="AJ142" i="5"/>
  <c r="AJ119" i="5"/>
  <c r="AJ101" i="5"/>
  <c r="AJ78" i="5"/>
  <c r="AJ49" i="5"/>
  <c r="AG144" i="5"/>
  <c r="AG136" i="5"/>
  <c r="AG128" i="5"/>
  <c r="AG120" i="5"/>
  <c r="AG112" i="5"/>
  <c r="AG104" i="5"/>
  <c r="AG96" i="5"/>
  <c r="AG88" i="5"/>
  <c r="AG80" i="5"/>
  <c r="AG72" i="5"/>
  <c r="AG52" i="5"/>
  <c r="AG44" i="5"/>
  <c r="AN135" i="5"/>
  <c r="AI119" i="5"/>
  <c r="AI51" i="5"/>
  <c r="AK123" i="5"/>
  <c r="AK82" i="5"/>
  <c r="AN126" i="5"/>
  <c r="AJ140" i="5"/>
  <c r="AJ132" i="5"/>
  <c r="AJ124" i="5"/>
  <c r="AJ116" i="5"/>
  <c r="AJ108" i="5"/>
  <c r="AJ100" i="5"/>
  <c r="AJ92" i="5"/>
  <c r="AJ84" i="5"/>
  <c r="AJ56" i="5"/>
  <c r="AJ40" i="5"/>
  <c r="AI137" i="5"/>
  <c r="AI113" i="5"/>
  <c r="AI87" i="5"/>
  <c r="AI44" i="5"/>
  <c r="AK122" i="5"/>
  <c r="AK76" i="5"/>
  <c r="AN117" i="5"/>
  <c r="AJ35" i="5"/>
  <c r="AJ139" i="5"/>
  <c r="AJ131" i="5"/>
  <c r="AJ123" i="5"/>
  <c r="AJ115" i="5"/>
  <c r="AJ107" i="5"/>
  <c r="AJ99" i="5"/>
  <c r="AJ91" i="5"/>
  <c r="AJ83" i="5"/>
  <c r="AJ75" i="5"/>
  <c r="AJ55" i="5"/>
  <c r="AJ47" i="5"/>
  <c r="AJ39" i="5"/>
  <c r="AK131" i="5"/>
  <c r="AN41" i="5"/>
  <c r="AI136" i="5"/>
  <c r="AI111" i="5"/>
  <c r="AI81" i="5"/>
  <c r="AI43" i="5"/>
  <c r="AK114" i="5"/>
  <c r="AK56" i="5"/>
  <c r="AN103" i="5"/>
  <c r="AJ146" i="5"/>
  <c r="AJ138" i="5"/>
  <c r="AJ130" i="5"/>
  <c r="AJ122" i="5"/>
  <c r="AJ114" i="5"/>
  <c r="AJ106" i="5"/>
  <c r="AJ98" i="5"/>
  <c r="AJ90" i="5"/>
  <c r="AJ82" i="5"/>
  <c r="AJ74" i="5"/>
  <c r="AJ54" i="5"/>
  <c r="AJ46" i="5"/>
  <c r="AJ38" i="5"/>
  <c r="AN50" i="5"/>
  <c r="AI88" i="5"/>
  <c r="AJ48" i="5"/>
  <c r="AI135" i="5"/>
  <c r="AI105" i="5"/>
  <c r="AI79" i="5"/>
  <c r="AI37" i="5"/>
  <c r="AK108" i="5"/>
  <c r="AK55" i="5"/>
  <c r="AN94" i="5"/>
  <c r="AJ145" i="5"/>
  <c r="AJ137" i="5"/>
  <c r="AJ129" i="5"/>
  <c r="AJ121" i="5"/>
  <c r="AJ113" i="5"/>
  <c r="AJ105" i="5"/>
  <c r="AJ97" i="5"/>
  <c r="AJ89" i="5"/>
  <c r="AJ81" i="5"/>
  <c r="AJ73" i="5"/>
  <c r="AJ53" i="5"/>
  <c r="AJ45" i="5"/>
  <c r="AJ37" i="5"/>
  <c r="AK90" i="5"/>
  <c r="AI143" i="5"/>
  <c r="AI129" i="5"/>
  <c r="AI104" i="5"/>
  <c r="AI73" i="5"/>
  <c r="AK146" i="5"/>
  <c r="AK100" i="5"/>
  <c r="AK47" i="5"/>
  <c r="AN85" i="5"/>
  <c r="AJ144" i="5"/>
  <c r="AJ136" i="5"/>
  <c r="AJ128" i="5"/>
  <c r="AJ120" i="5"/>
  <c r="AJ112" i="5"/>
  <c r="AJ104" i="5"/>
  <c r="AJ96" i="5"/>
  <c r="AJ88" i="5"/>
  <c r="AJ80" i="5"/>
  <c r="AJ72" i="5"/>
  <c r="AJ52" i="5"/>
  <c r="AJ44" i="5"/>
  <c r="AF43" i="5"/>
  <c r="AF51" i="5"/>
  <c r="AF59" i="5"/>
  <c r="AF79" i="5"/>
  <c r="AF87" i="5"/>
  <c r="AF95" i="5"/>
  <c r="AF103" i="5"/>
  <c r="AF111" i="5"/>
  <c r="AF119" i="5"/>
  <c r="AF127" i="5"/>
  <c r="AF135" i="5"/>
  <c r="AF143" i="5"/>
  <c r="AF45" i="5"/>
  <c r="AF73" i="5"/>
  <c r="AF89" i="5"/>
  <c r="AF105" i="5"/>
  <c r="AF121" i="5"/>
  <c r="AF129" i="5"/>
  <c r="AF137" i="5"/>
  <c r="AF36" i="5"/>
  <c r="AF44" i="5"/>
  <c r="AF52" i="5"/>
  <c r="AF72" i="5"/>
  <c r="AF80" i="5"/>
  <c r="AF88" i="5"/>
  <c r="AF96" i="5"/>
  <c r="AF104" i="5"/>
  <c r="AF112" i="5"/>
  <c r="AF120" i="5"/>
  <c r="AF128" i="5"/>
  <c r="AF136" i="5"/>
  <c r="AF144" i="5"/>
  <c r="AF37" i="5"/>
  <c r="AF53" i="5"/>
  <c r="AF81" i="5"/>
  <c r="AF97" i="5"/>
  <c r="AF113" i="5"/>
  <c r="AF38" i="5"/>
  <c r="AF46" i="5"/>
  <c r="AF54" i="5"/>
  <c r="AF74" i="5"/>
  <c r="AF82" i="5"/>
  <c r="AF90" i="5"/>
  <c r="AF98" i="5"/>
  <c r="AF106" i="5"/>
  <c r="AF114" i="5"/>
  <c r="AF122" i="5"/>
  <c r="AF130" i="5"/>
  <c r="AF138" i="5"/>
  <c r="AF146" i="5"/>
  <c r="AF142" i="5"/>
  <c r="AF126" i="5"/>
  <c r="AF110" i="5"/>
  <c r="AF94" i="5"/>
  <c r="AF78" i="5"/>
  <c r="AF50" i="5"/>
  <c r="AF141" i="5"/>
  <c r="AF125" i="5"/>
  <c r="AF109" i="5"/>
  <c r="AF93" i="5"/>
  <c r="AF77" i="5"/>
  <c r="AF49" i="5"/>
  <c r="AN134" i="5"/>
  <c r="AN111" i="5"/>
  <c r="AN93" i="5"/>
  <c r="AN58" i="5"/>
  <c r="AN35" i="5"/>
  <c r="AF140" i="5"/>
  <c r="AF124" i="5"/>
  <c r="AF108" i="5"/>
  <c r="AF92" i="5"/>
  <c r="AF76" i="5"/>
  <c r="AF48" i="5"/>
  <c r="AK139" i="5"/>
  <c r="AK116" i="5"/>
  <c r="AK98" i="5"/>
  <c r="AK75" i="5"/>
  <c r="AK40" i="5"/>
  <c r="AN133" i="5"/>
  <c r="AN110" i="5"/>
  <c r="AN87" i="5"/>
  <c r="AN57" i="5"/>
  <c r="AF35" i="5"/>
  <c r="AF139" i="5"/>
  <c r="AF123" i="5"/>
  <c r="AF107" i="5"/>
  <c r="AF91" i="5"/>
  <c r="AF75" i="5"/>
  <c r="AF47" i="5"/>
  <c r="AI142" i="5"/>
  <c r="AI121" i="5"/>
  <c r="AI103" i="5"/>
  <c r="AI80" i="5"/>
  <c r="AK138" i="5"/>
  <c r="AK115" i="5"/>
  <c r="AK92" i="5"/>
  <c r="AK74" i="5"/>
  <c r="AN127" i="5"/>
  <c r="AN109" i="5"/>
  <c r="AN86" i="5"/>
  <c r="AF134" i="5"/>
  <c r="AF118" i="5"/>
  <c r="AF102" i="5"/>
  <c r="AF86" i="5"/>
  <c r="AF58" i="5"/>
  <c r="AF42" i="5"/>
  <c r="AN36" i="5"/>
  <c r="AN44" i="5"/>
  <c r="AN52" i="5"/>
  <c r="AN72" i="5"/>
  <c r="AN80" i="5"/>
  <c r="AN88" i="5"/>
  <c r="AN96" i="5"/>
  <c r="AN104" i="5"/>
  <c r="AN112" i="5"/>
  <c r="AN120" i="5"/>
  <c r="AN128" i="5"/>
  <c r="AN136" i="5"/>
  <c r="AN144" i="5"/>
  <c r="AN46" i="5"/>
  <c r="AN54" i="5"/>
  <c r="AN74" i="5"/>
  <c r="AN82" i="5"/>
  <c r="AN90" i="5"/>
  <c r="AN98" i="5"/>
  <c r="AN106" i="5"/>
  <c r="AN114" i="5"/>
  <c r="AN122" i="5"/>
  <c r="AN138" i="5"/>
  <c r="AN146" i="5"/>
  <c r="AN37" i="5"/>
  <c r="AN45" i="5"/>
  <c r="AN53" i="5"/>
  <c r="AN73" i="5"/>
  <c r="AN81" i="5"/>
  <c r="AN89" i="5"/>
  <c r="AN97" i="5"/>
  <c r="AN105" i="5"/>
  <c r="AN113" i="5"/>
  <c r="AN121" i="5"/>
  <c r="AN129" i="5"/>
  <c r="AN137" i="5"/>
  <c r="AN145" i="5"/>
  <c r="AN38" i="5"/>
  <c r="AN130" i="5"/>
  <c r="AN39" i="5"/>
  <c r="AN47" i="5"/>
  <c r="AN55" i="5"/>
  <c r="AN75" i="5"/>
  <c r="AN83" i="5"/>
  <c r="AN91" i="5"/>
  <c r="AN99" i="5"/>
  <c r="AN107" i="5"/>
  <c r="AN115" i="5"/>
  <c r="AN123" i="5"/>
  <c r="AN131" i="5"/>
  <c r="AN139" i="5"/>
  <c r="AN40" i="5"/>
  <c r="AN48" i="5"/>
  <c r="AN56" i="5"/>
  <c r="AN76" i="5"/>
  <c r="AN84" i="5"/>
  <c r="AN92" i="5"/>
  <c r="AN100" i="5"/>
  <c r="AN108" i="5"/>
  <c r="AN116" i="5"/>
  <c r="AN124" i="5"/>
  <c r="AN132" i="5"/>
  <c r="AN140" i="5"/>
  <c r="AF133" i="5"/>
  <c r="AF117" i="5"/>
  <c r="AF101" i="5"/>
  <c r="AF85" i="5"/>
  <c r="AF57" i="5"/>
  <c r="AF41" i="5"/>
  <c r="AN143" i="5"/>
  <c r="AN125" i="5"/>
  <c r="AN102" i="5"/>
  <c r="AN79" i="5"/>
  <c r="AN49" i="5"/>
  <c r="AK41" i="5"/>
  <c r="AK49" i="5"/>
  <c r="AK57" i="5"/>
  <c r="AK77" i="5"/>
  <c r="AK85" i="5"/>
  <c r="AK93" i="5"/>
  <c r="AK101" i="5"/>
  <c r="AK109" i="5"/>
  <c r="AK117" i="5"/>
  <c r="AK125" i="5"/>
  <c r="AK133" i="5"/>
  <c r="AK141" i="5"/>
  <c r="AK51" i="5"/>
  <c r="AK79" i="5"/>
  <c r="AK95" i="5"/>
  <c r="AK111" i="5"/>
  <c r="AK127" i="5"/>
  <c r="AK143" i="5"/>
  <c r="AK42" i="5"/>
  <c r="AK50" i="5"/>
  <c r="AK58" i="5"/>
  <c r="AK78" i="5"/>
  <c r="AK86" i="5"/>
  <c r="AK94" i="5"/>
  <c r="AK102" i="5"/>
  <c r="AK110" i="5"/>
  <c r="AK118" i="5"/>
  <c r="AK126" i="5"/>
  <c r="AK134" i="5"/>
  <c r="AK142" i="5"/>
  <c r="AK35" i="5"/>
  <c r="AK43" i="5"/>
  <c r="AK59" i="5"/>
  <c r="AK87" i="5"/>
  <c r="AK103" i="5"/>
  <c r="AK119" i="5"/>
  <c r="AK135" i="5"/>
  <c r="AK36" i="5"/>
  <c r="AK44" i="5"/>
  <c r="AK52" i="5"/>
  <c r="AK72" i="5"/>
  <c r="AK80" i="5"/>
  <c r="AK88" i="5"/>
  <c r="AK96" i="5"/>
  <c r="AK104" i="5"/>
  <c r="AK112" i="5"/>
  <c r="AK120" i="5"/>
  <c r="AK128" i="5"/>
  <c r="AK136" i="5"/>
  <c r="AK144" i="5"/>
  <c r="AK37" i="5"/>
  <c r="AK45" i="5"/>
  <c r="AK53" i="5"/>
  <c r="AK73" i="5"/>
  <c r="AK81" i="5"/>
  <c r="AK89" i="5"/>
  <c r="AK97" i="5"/>
  <c r="AK105" i="5"/>
  <c r="AK113" i="5"/>
  <c r="AK121" i="5"/>
  <c r="AK129" i="5"/>
  <c r="AK137" i="5"/>
  <c r="AK145" i="5"/>
  <c r="AF132" i="5"/>
  <c r="AF116" i="5"/>
  <c r="AF100" i="5"/>
  <c r="AF84" i="5"/>
  <c r="AF56" i="5"/>
  <c r="AF40" i="5"/>
  <c r="AK130" i="5"/>
  <c r="AK107" i="5"/>
  <c r="AK84" i="5"/>
  <c r="AK54" i="5"/>
  <c r="AN142" i="5"/>
  <c r="AN119" i="5"/>
  <c r="AN101" i="5"/>
  <c r="AN78" i="5"/>
  <c r="AN43" i="5"/>
  <c r="AI38" i="5"/>
  <c r="AI46" i="5"/>
  <c r="AI54" i="5"/>
  <c r="AI74" i="5"/>
  <c r="AI82" i="5"/>
  <c r="AI90" i="5"/>
  <c r="AI98" i="5"/>
  <c r="AI106" i="5"/>
  <c r="AI114" i="5"/>
  <c r="AI122" i="5"/>
  <c r="AI130" i="5"/>
  <c r="AI138" i="5"/>
  <c r="AI146" i="5"/>
  <c r="AI35" i="5"/>
  <c r="AI40" i="5"/>
  <c r="AI76" i="5"/>
  <c r="AI92" i="5"/>
  <c r="AI108" i="5"/>
  <c r="AI124" i="5"/>
  <c r="AI140" i="5"/>
  <c r="AI39" i="5"/>
  <c r="AI47" i="5"/>
  <c r="AI55" i="5"/>
  <c r="AI75" i="5"/>
  <c r="AI83" i="5"/>
  <c r="AI91" i="5"/>
  <c r="AI99" i="5"/>
  <c r="AI107" i="5"/>
  <c r="AI115" i="5"/>
  <c r="AI123" i="5"/>
  <c r="AI131" i="5"/>
  <c r="AI139" i="5"/>
  <c r="AI48" i="5"/>
  <c r="AI56" i="5"/>
  <c r="AI84" i="5"/>
  <c r="AI100" i="5"/>
  <c r="AI116" i="5"/>
  <c r="AI132" i="5"/>
  <c r="AI41" i="5"/>
  <c r="AI49" i="5"/>
  <c r="AI57" i="5"/>
  <c r="AI77" i="5"/>
  <c r="AI85" i="5"/>
  <c r="AI93" i="5"/>
  <c r="AI101" i="5"/>
  <c r="AI109" i="5"/>
  <c r="AI117" i="5"/>
  <c r="AI125" i="5"/>
  <c r="AI133" i="5"/>
  <c r="AI141" i="5"/>
  <c r="AI42" i="5"/>
  <c r="AI50" i="5"/>
  <c r="AI58" i="5"/>
  <c r="AI78" i="5"/>
  <c r="AI86" i="5"/>
  <c r="AI94" i="5"/>
  <c r="AI102" i="5"/>
  <c r="AI110" i="5"/>
  <c r="AI118" i="5"/>
  <c r="AI126" i="5"/>
  <c r="AF145" i="5"/>
  <c r="AF131" i="5"/>
  <c r="AF115" i="5"/>
  <c r="AF99" i="5"/>
  <c r="AF83" i="5"/>
  <c r="AF55" i="5"/>
  <c r="AF39" i="5"/>
  <c r="AI134" i="5"/>
  <c r="AI112" i="5"/>
  <c r="AI89" i="5"/>
  <c r="AI59" i="5"/>
  <c r="AI36" i="5"/>
  <c r="AK124" i="5"/>
  <c r="AK106" i="5"/>
  <c r="AK83" i="5"/>
  <c r="AK48" i="5"/>
  <c r="AN141" i="5"/>
  <c r="AN118" i="5"/>
  <c r="AN95" i="5"/>
  <c r="AN77" i="5"/>
  <c r="AN42" i="5"/>
  <c r="C209" i="13" l="1"/>
  <c r="D19" i="1"/>
  <c r="C192" i="13"/>
  <c r="A192" i="13" s="1"/>
  <c r="M173" i="1"/>
  <c r="D18" i="1"/>
  <c r="C208" i="13"/>
  <c r="C206" i="13"/>
  <c r="A206" i="13" s="1"/>
  <c r="C20" i="13"/>
  <c r="A20" i="13" s="1"/>
  <c r="C190" i="13"/>
  <c r="A190" i="13" s="1"/>
  <c r="C193" i="13"/>
  <c r="A193" i="13" s="1"/>
  <c r="C191" i="13"/>
  <c r="A191" i="13" s="1"/>
  <c r="M174" i="1"/>
  <c r="C189" i="13"/>
  <c r="A189" i="13" s="1"/>
  <c r="C205" i="13"/>
  <c r="A205" i="13" s="1"/>
  <c r="AO147" i="5"/>
  <c r="AP147" i="5"/>
  <c r="AG147" i="5"/>
  <c r="AS147" i="5"/>
  <c r="AN147" i="5"/>
  <c r="AQ147" i="5"/>
  <c r="AH147" i="5"/>
  <c r="AL147" i="5"/>
  <c r="AK147" i="5"/>
  <c r="AR147" i="5"/>
  <c r="AJ147" i="5"/>
  <c r="AI147" i="5"/>
  <c r="AM147" i="5"/>
  <c r="C18" i="13" l="1"/>
  <c r="A18" i="13" s="1"/>
  <c r="C19" i="13"/>
  <c r="A19" i="13" s="1"/>
  <c r="G4" i="5"/>
  <c r="G5" i="5"/>
  <c r="G6" i="5"/>
  <c r="G7" i="5"/>
  <c r="H35" i="5" l="1"/>
  <c r="K3" i="5" s="1"/>
  <c r="I35" i="5"/>
  <c r="L3" i="5" s="1"/>
  <c r="J35" i="5"/>
  <c r="M3" i="5" s="1"/>
  <c r="K35" i="5"/>
  <c r="N3" i="5" s="1"/>
  <c r="L35" i="5"/>
  <c r="O3" i="5" s="1"/>
  <c r="M35" i="5"/>
  <c r="P3" i="5" s="1"/>
  <c r="N35" i="5"/>
  <c r="Q3" i="5" s="1"/>
  <c r="O35" i="5"/>
  <c r="R3" i="5" s="1"/>
  <c r="P35" i="5"/>
  <c r="S3" i="5" s="1"/>
  <c r="G35" i="5"/>
  <c r="J3" i="5" s="1"/>
  <c r="H6" i="1" l="1"/>
  <c r="H21" i="1"/>
  <c r="H22" i="1"/>
  <c r="H29" i="1"/>
  <c r="H30" i="1"/>
  <c r="H53" i="1"/>
  <c r="H125" i="1"/>
  <c r="H126" i="1"/>
  <c r="H133" i="1"/>
  <c r="H134" i="1"/>
  <c r="H141" i="1"/>
  <c r="H142" i="1"/>
  <c r="H157" i="1"/>
  <c r="H158" i="1"/>
  <c r="H165" i="1"/>
  <c r="H166" i="1"/>
  <c r="H173" i="1"/>
  <c r="H174" i="1"/>
  <c r="H197" i="1"/>
  <c r="H198" i="1"/>
  <c r="H205" i="1"/>
  <c r="H206" i="1"/>
  <c r="D19" i="9" l="1"/>
  <c r="C19" i="9"/>
  <c r="D18" i="9"/>
  <c r="C18" i="9"/>
  <c r="D17" i="9"/>
  <c r="C17" i="9"/>
  <c r="L14" i="9"/>
  <c r="D16" i="9"/>
  <c r="C16" i="9"/>
  <c r="L13" i="9"/>
  <c r="D15" i="9"/>
  <c r="C15" i="9"/>
  <c r="L12" i="9"/>
  <c r="D14" i="9"/>
  <c r="C14" i="9"/>
  <c r="L11" i="9"/>
  <c r="D13" i="9"/>
  <c r="C13" i="9"/>
  <c r="L10" i="9"/>
  <c r="D12" i="9"/>
  <c r="C12" i="9"/>
  <c r="L9" i="9"/>
  <c r="D11" i="9"/>
  <c r="C11" i="9"/>
  <c r="L8" i="9"/>
  <c r="D10" i="9"/>
  <c r="C10" i="9"/>
  <c r="L7" i="9"/>
  <c r="D9" i="9"/>
  <c r="C9" i="9"/>
  <c r="L6" i="9"/>
  <c r="D6" i="9"/>
  <c r="C6" i="9"/>
  <c r="L5" i="9"/>
  <c r="G8" i="9" s="1"/>
  <c r="H8" i="9" s="1"/>
  <c r="D5" i="9"/>
  <c r="C5" i="9"/>
  <c r="D4" i="9"/>
  <c r="C4" i="9"/>
  <c r="E3" i="9"/>
  <c r="D3" i="9"/>
  <c r="C3" i="9"/>
  <c r="E2" i="9"/>
  <c r="D2" i="9"/>
  <c r="C2" i="9"/>
  <c r="H1" i="9"/>
  <c r="G7" i="9" l="1"/>
  <c r="H7" i="9" s="1"/>
  <c r="G21" i="4"/>
  <c r="H21" i="4"/>
  <c r="I21" i="4"/>
  <c r="J21" i="4"/>
  <c r="K21" i="4"/>
  <c r="L21" i="4"/>
  <c r="M21" i="4"/>
  <c r="N21" i="4"/>
  <c r="O21" i="4"/>
  <c r="F21" i="4"/>
  <c r="Z191" i="6" l="1"/>
  <c r="AA191" i="6" s="1"/>
  <c r="Z192" i="6"/>
  <c r="AA192" i="6" s="1"/>
  <c r="Z193" i="6"/>
  <c r="AA193" i="6" s="1"/>
  <c r="Z194" i="6"/>
  <c r="AA194" i="6" s="1"/>
  <c r="Z195" i="6"/>
  <c r="AA195" i="6" s="1"/>
  <c r="Z196" i="6"/>
  <c r="AA196" i="6" s="1"/>
  <c r="G33" i="6"/>
  <c r="H33" i="6"/>
  <c r="F33" i="6"/>
  <c r="D16" i="6"/>
  <c r="E16" i="6"/>
  <c r="D17" i="6"/>
  <c r="E17" i="6"/>
  <c r="D18" i="6"/>
  <c r="E18" i="6"/>
  <c r="D19" i="6"/>
  <c r="E19" i="6"/>
  <c r="D3" i="6"/>
  <c r="E3" i="6"/>
  <c r="F3" i="6"/>
  <c r="G3" i="6"/>
  <c r="H3" i="6"/>
  <c r="I3" i="6"/>
  <c r="J3" i="6"/>
  <c r="K3" i="6"/>
  <c r="L3" i="6"/>
  <c r="M3" i="6"/>
  <c r="N3" i="6"/>
  <c r="O3" i="6"/>
  <c r="P3" i="6"/>
  <c r="D4" i="6"/>
  <c r="E4" i="6"/>
  <c r="E5" i="6"/>
  <c r="E6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2" i="6"/>
  <c r="E2" i="6"/>
  <c r="F2" i="6"/>
  <c r="C2" i="6"/>
  <c r="Z102" i="12" l="1"/>
  <c r="AJ131" i="6"/>
  <c r="Z94" i="12"/>
  <c r="AJ123" i="6"/>
  <c r="Z86" i="12"/>
  <c r="AJ115" i="6"/>
  <c r="Z78" i="12"/>
  <c r="AJ107" i="6"/>
  <c r="Z70" i="12"/>
  <c r="AJ99" i="6"/>
  <c r="Z62" i="12"/>
  <c r="AJ91" i="6"/>
  <c r="Z54" i="12"/>
  <c r="AJ83" i="6"/>
  <c r="Z46" i="12"/>
  <c r="AJ75" i="6"/>
  <c r="Z26" i="12"/>
  <c r="AJ55" i="6"/>
  <c r="Z18" i="12"/>
  <c r="AJ47" i="6"/>
  <c r="Z10" i="12"/>
  <c r="AJ39" i="6"/>
  <c r="Z99" i="12"/>
  <c r="AJ128" i="6"/>
  <c r="Z91" i="12"/>
  <c r="AJ120" i="6"/>
  <c r="Z83" i="12"/>
  <c r="AJ112" i="6"/>
  <c r="Z75" i="12"/>
  <c r="AJ104" i="6"/>
  <c r="Z67" i="12"/>
  <c r="AJ96" i="6"/>
  <c r="Z59" i="12"/>
  <c r="AJ88" i="6"/>
  <c r="Z51" i="12"/>
  <c r="AJ80" i="6"/>
  <c r="Z43" i="12"/>
  <c r="AJ72" i="6"/>
  <c r="Z23" i="12"/>
  <c r="AJ52" i="6"/>
  <c r="Z15" i="12"/>
  <c r="AJ44" i="6"/>
  <c r="Z7" i="12"/>
  <c r="AJ36" i="6"/>
  <c r="Z4" i="12"/>
  <c r="AJ33" i="6"/>
  <c r="Z104" i="12"/>
  <c r="AJ133" i="6"/>
  <c r="Z96" i="12"/>
  <c r="AJ125" i="6"/>
  <c r="Z88" i="12"/>
  <c r="AJ117" i="6"/>
  <c r="Z80" i="12"/>
  <c r="AJ109" i="6"/>
  <c r="Z72" i="12"/>
  <c r="AJ101" i="6"/>
  <c r="Z64" i="12"/>
  <c r="AJ93" i="6"/>
  <c r="Z56" i="12"/>
  <c r="AJ85" i="6"/>
  <c r="Z48" i="12"/>
  <c r="AJ77" i="6"/>
  <c r="Z40" i="12"/>
  <c r="AJ69" i="6"/>
  <c r="Z20" i="12"/>
  <c r="AJ49" i="6"/>
  <c r="Z12" i="12"/>
  <c r="AJ41" i="6"/>
  <c r="Z85" i="12"/>
  <c r="AJ114" i="6"/>
  <c r="Z61" i="12"/>
  <c r="AJ90" i="6"/>
  <c r="Z98" i="12"/>
  <c r="AJ127" i="6"/>
  <c r="Z90" i="12"/>
  <c r="AJ119" i="6"/>
  <c r="Z82" i="12"/>
  <c r="AJ111" i="6"/>
  <c r="Z74" i="12"/>
  <c r="AJ103" i="6"/>
  <c r="Z66" i="12"/>
  <c r="AJ95" i="6"/>
  <c r="Z50" i="12"/>
  <c r="AJ79" i="6"/>
  <c r="Z22" i="12"/>
  <c r="AJ51" i="6"/>
  <c r="Z95" i="12"/>
  <c r="AJ124" i="6"/>
  <c r="Z79" i="12"/>
  <c r="AJ108" i="6"/>
  <c r="Z71" i="12"/>
  <c r="AJ100" i="6"/>
  <c r="Z63" i="12"/>
  <c r="AJ92" i="6"/>
  <c r="Z55" i="12"/>
  <c r="AJ84" i="6"/>
  <c r="Z47" i="12"/>
  <c r="AJ76" i="6"/>
  <c r="Z27" i="12"/>
  <c r="AJ56" i="6"/>
  <c r="Z100" i="12"/>
  <c r="AJ129" i="6"/>
  <c r="Z92" i="12"/>
  <c r="AJ121" i="6"/>
  <c r="Z84" i="12"/>
  <c r="AJ113" i="6"/>
  <c r="Z76" i="12"/>
  <c r="AJ105" i="6"/>
  <c r="Z68" i="12"/>
  <c r="AJ97" i="6"/>
  <c r="Z60" i="12"/>
  <c r="AJ89" i="6"/>
  <c r="Z52" i="12"/>
  <c r="AJ81" i="6"/>
  <c r="Z44" i="12"/>
  <c r="AJ73" i="6"/>
  <c r="Z24" i="12"/>
  <c r="AJ53" i="6"/>
  <c r="Z16" i="12"/>
  <c r="AJ45" i="6"/>
  <c r="Z8" i="12"/>
  <c r="AJ37" i="6"/>
  <c r="Z101" i="12"/>
  <c r="AJ130" i="6"/>
  <c r="Z93" i="12"/>
  <c r="AJ122" i="6"/>
  <c r="Z77" i="12"/>
  <c r="AJ106" i="6"/>
  <c r="Z69" i="12"/>
  <c r="AJ98" i="6"/>
  <c r="Z53" i="12"/>
  <c r="AJ82" i="6"/>
  <c r="Z45" i="12"/>
  <c r="AJ74" i="6"/>
  <c r="Z25" i="12"/>
  <c r="AJ54" i="6"/>
  <c r="Z17" i="12"/>
  <c r="AJ46" i="6"/>
  <c r="Z9" i="12"/>
  <c r="AJ38" i="6"/>
  <c r="Z58" i="12"/>
  <c r="AJ87" i="6"/>
  <c r="Z42" i="12"/>
  <c r="AJ71" i="6"/>
  <c r="Z14" i="12"/>
  <c r="AJ43" i="6"/>
  <c r="Z6" i="12"/>
  <c r="AJ35" i="6"/>
  <c r="Z103" i="12"/>
  <c r="AJ132" i="6"/>
  <c r="Z87" i="12"/>
  <c r="AJ116" i="6"/>
  <c r="Z19" i="12"/>
  <c r="AJ48" i="6"/>
  <c r="Z11" i="12"/>
  <c r="AJ40" i="6"/>
  <c r="Z105" i="12"/>
  <c r="AJ134" i="6"/>
  <c r="Z97" i="12"/>
  <c r="AJ126" i="6"/>
  <c r="Z89" i="12"/>
  <c r="AJ118" i="6"/>
  <c r="Z81" i="12"/>
  <c r="AJ110" i="6"/>
  <c r="Z73" i="12"/>
  <c r="AJ102" i="6"/>
  <c r="Z65" i="12"/>
  <c r="AJ94" i="6"/>
  <c r="Z57" i="12"/>
  <c r="AJ86" i="6"/>
  <c r="Z49" i="12"/>
  <c r="AJ78" i="6"/>
  <c r="Z41" i="12"/>
  <c r="AJ70" i="6"/>
  <c r="Z21" i="12"/>
  <c r="AJ50" i="6"/>
  <c r="Z13" i="12"/>
  <c r="AJ42" i="6"/>
  <c r="Z5" i="12"/>
  <c r="AJ34" i="6"/>
  <c r="AA103" i="12"/>
  <c r="C132" i="6"/>
  <c r="Y103" i="12" s="1"/>
  <c r="AA79" i="12"/>
  <c r="C108" i="6"/>
  <c r="Y79" i="12" s="1"/>
  <c r="C100" i="6"/>
  <c r="Y71" i="12" s="1"/>
  <c r="AA71" i="12"/>
  <c r="AA11" i="12"/>
  <c r="C40" i="6"/>
  <c r="Y11" i="12" s="1"/>
  <c r="AA84" i="12"/>
  <c r="C113" i="6"/>
  <c r="Y84" i="12" s="1"/>
  <c r="AA60" i="12"/>
  <c r="C89" i="6"/>
  <c r="Y60" i="12" s="1"/>
  <c r="AA16" i="12"/>
  <c r="C45" i="6"/>
  <c r="Y16" i="12" s="1"/>
  <c r="C130" i="6"/>
  <c r="Y101" i="12" s="1"/>
  <c r="AA101" i="12"/>
  <c r="C122" i="6"/>
  <c r="Y93" i="12" s="1"/>
  <c r="AA93" i="12"/>
  <c r="W93" i="12" s="1"/>
  <c r="C114" i="6"/>
  <c r="Y85" i="12" s="1"/>
  <c r="AA85" i="12"/>
  <c r="C106" i="6"/>
  <c r="Y77" i="12" s="1"/>
  <c r="AA77" i="12"/>
  <c r="C98" i="6"/>
  <c r="Y69" i="12" s="1"/>
  <c r="AA69" i="12"/>
  <c r="W69" i="12" s="1"/>
  <c r="C90" i="6"/>
  <c r="Y61" i="12" s="1"/>
  <c r="AA61" i="12"/>
  <c r="C82" i="6"/>
  <c r="Y53" i="12" s="1"/>
  <c r="AA53" i="12"/>
  <c r="C74" i="6"/>
  <c r="Y45" i="12" s="1"/>
  <c r="AA45" i="12"/>
  <c r="W45" i="12" s="1"/>
  <c r="C54" i="6"/>
  <c r="Y25" i="12" s="1"/>
  <c r="AA25" i="12"/>
  <c r="C46" i="6"/>
  <c r="Y17" i="12" s="1"/>
  <c r="AA17" i="12"/>
  <c r="C38" i="6"/>
  <c r="Y9" i="12" s="1"/>
  <c r="AA9" i="12"/>
  <c r="W9" i="12" s="1"/>
  <c r="AA98" i="12"/>
  <c r="C127" i="6"/>
  <c r="Y98" i="12" s="1"/>
  <c r="AA90" i="12"/>
  <c r="C119" i="6"/>
  <c r="Y90" i="12" s="1"/>
  <c r="C111" i="6"/>
  <c r="Y82" i="12" s="1"/>
  <c r="AA82" i="12"/>
  <c r="AA74" i="12"/>
  <c r="C103" i="6"/>
  <c r="Y74" i="12" s="1"/>
  <c r="AA66" i="12"/>
  <c r="C95" i="6"/>
  <c r="Y66" i="12" s="1"/>
  <c r="C87" i="6"/>
  <c r="Y58" i="12" s="1"/>
  <c r="AA58" i="12"/>
  <c r="AA50" i="12"/>
  <c r="C79" i="6"/>
  <c r="Y50" i="12" s="1"/>
  <c r="AA42" i="12"/>
  <c r="C71" i="6"/>
  <c r="Y42" i="12" s="1"/>
  <c r="C51" i="6"/>
  <c r="Y22" i="12" s="1"/>
  <c r="AA22" i="12"/>
  <c r="AA14" i="12"/>
  <c r="C43" i="6"/>
  <c r="Y14" i="12" s="1"/>
  <c r="AA6" i="12"/>
  <c r="C35" i="6"/>
  <c r="Y6" i="12" s="1"/>
  <c r="AA87" i="12"/>
  <c r="W87" i="12" s="1"/>
  <c r="C116" i="6"/>
  <c r="Y87" i="12" s="1"/>
  <c r="C56" i="6"/>
  <c r="Y27" i="12" s="1"/>
  <c r="AA27" i="12"/>
  <c r="AA19" i="12"/>
  <c r="C48" i="6"/>
  <c r="Y19" i="12" s="1"/>
  <c r="AA92" i="12"/>
  <c r="C121" i="6"/>
  <c r="Y92" i="12" s="1"/>
  <c r="AA76" i="12"/>
  <c r="C105" i="6"/>
  <c r="Y76" i="12" s="1"/>
  <c r="AA24" i="12"/>
  <c r="C53" i="6"/>
  <c r="Y24" i="12" s="1"/>
  <c r="AA105" i="12"/>
  <c r="W105" i="12" s="1"/>
  <c r="C134" i="6"/>
  <c r="Y105" i="12" s="1"/>
  <c r="AA97" i="12"/>
  <c r="C126" i="6"/>
  <c r="Y97" i="12" s="1"/>
  <c r="AA89" i="12"/>
  <c r="C118" i="6"/>
  <c r="Y89" i="12" s="1"/>
  <c r="AA81" i="12"/>
  <c r="W81" i="12" s="1"/>
  <c r="C110" i="6"/>
  <c r="Y81" i="12" s="1"/>
  <c r="AA65" i="12"/>
  <c r="C94" i="6"/>
  <c r="Y65" i="12" s="1"/>
  <c r="AA57" i="12"/>
  <c r="W57" i="12" s="1"/>
  <c r="C86" i="6"/>
  <c r="Y57" i="12" s="1"/>
  <c r="AA21" i="12"/>
  <c r="W21" i="12" s="1"/>
  <c r="C50" i="6"/>
  <c r="Y21" i="12" s="1"/>
  <c r="AA13" i="12"/>
  <c r="C42" i="6"/>
  <c r="Y13" i="12" s="1"/>
  <c r="C131" i="6"/>
  <c r="Y102" i="12" s="1"/>
  <c r="AA102" i="12"/>
  <c r="C123" i="6"/>
  <c r="Y94" i="12" s="1"/>
  <c r="AA94" i="12"/>
  <c r="C115" i="6"/>
  <c r="Y86" i="12" s="1"/>
  <c r="AA86" i="12"/>
  <c r="C99" i="6"/>
  <c r="Y70" i="12" s="1"/>
  <c r="AA70" i="12"/>
  <c r="C91" i="6"/>
  <c r="Y62" i="12" s="1"/>
  <c r="AA62" i="12"/>
  <c r="AA54" i="12"/>
  <c r="C83" i="6"/>
  <c r="Y54" i="12" s="1"/>
  <c r="C75" i="6"/>
  <c r="Y46" i="12" s="1"/>
  <c r="AA46" i="12"/>
  <c r="C47" i="6"/>
  <c r="Y18" i="12" s="1"/>
  <c r="AA18" i="12"/>
  <c r="C128" i="6"/>
  <c r="Y99" i="12" s="1"/>
  <c r="AA99" i="12"/>
  <c r="W99" i="12" s="1"/>
  <c r="C120" i="6"/>
  <c r="Y91" i="12" s="1"/>
  <c r="AA91" i="12"/>
  <c r="AA83" i="12"/>
  <c r="C112" i="6"/>
  <c r="Y83" i="12" s="1"/>
  <c r="C104" i="6"/>
  <c r="Y75" i="12" s="1"/>
  <c r="AA75" i="12"/>
  <c r="W75" i="12" s="1"/>
  <c r="C96" i="6"/>
  <c r="Y67" i="12" s="1"/>
  <c r="AA67" i="12"/>
  <c r="AA59" i="12"/>
  <c r="C88" i="6"/>
  <c r="Y59" i="12" s="1"/>
  <c r="C80" i="6"/>
  <c r="Y51" i="12" s="1"/>
  <c r="AA51" i="12"/>
  <c r="W51" i="12" s="1"/>
  <c r="AA43" i="12"/>
  <c r="C72" i="6"/>
  <c r="Y43" i="12" s="1"/>
  <c r="C52" i="6"/>
  <c r="Y23" i="12" s="1"/>
  <c r="AA23" i="12"/>
  <c r="C44" i="6"/>
  <c r="Y15" i="12" s="1"/>
  <c r="AA15" i="12"/>
  <c r="AA7" i="12"/>
  <c r="C36" i="6"/>
  <c r="Y7" i="12" s="1"/>
  <c r="AA4" i="12"/>
  <c r="C33" i="6"/>
  <c r="Y4" i="12" s="1"/>
  <c r="C124" i="6"/>
  <c r="Y95" i="12" s="1"/>
  <c r="AA95" i="12"/>
  <c r="AA63" i="12"/>
  <c r="W63" i="12" s="1"/>
  <c r="C92" i="6"/>
  <c r="Y63" i="12" s="1"/>
  <c r="AA55" i="12"/>
  <c r="C84" i="6"/>
  <c r="Y55" i="12" s="1"/>
  <c r="AA47" i="12"/>
  <c r="C76" i="6"/>
  <c r="Y47" i="12" s="1"/>
  <c r="AA100" i="12"/>
  <c r="C129" i="6"/>
  <c r="Y100" i="12" s="1"/>
  <c r="AA68" i="12"/>
  <c r="C97" i="6"/>
  <c r="Y68" i="12" s="1"/>
  <c r="AA52" i="12"/>
  <c r="C81" i="6"/>
  <c r="Y52" i="12" s="1"/>
  <c r="AA44" i="12"/>
  <c r="C73" i="6"/>
  <c r="Y44" i="12" s="1"/>
  <c r="AA8" i="12"/>
  <c r="C37" i="6"/>
  <c r="Y8" i="12" s="1"/>
  <c r="AA73" i="12"/>
  <c r="C102" i="6"/>
  <c r="Y73" i="12" s="1"/>
  <c r="AA49" i="12"/>
  <c r="C78" i="6"/>
  <c r="Y49" i="12" s="1"/>
  <c r="AA41" i="12"/>
  <c r="C70" i="6"/>
  <c r="Y41" i="12" s="1"/>
  <c r="AA5" i="12"/>
  <c r="C34" i="6"/>
  <c r="Y5" i="12" s="1"/>
  <c r="AA78" i="12"/>
  <c r="C107" i="6"/>
  <c r="Y78" i="12" s="1"/>
  <c r="AA26" i="12"/>
  <c r="C55" i="6"/>
  <c r="Y26" i="12" s="1"/>
  <c r="C39" i="6"/>
  <c r="Y10" i="12" s="1"/>
  <c r="AA10" i="12"/>
  <c r="C133" i="6"/>
  <c r="Y104" i="12" s="1"/>
  <c r="AA104" i="12"/>
  <c r="C125" i="6"/>
  <c r="Y96" i="12" s="1"/>
  <c r="AA96" i="12"/>
  <c r="C117" i="6"/>
  <c r="Y88" i="12" s="1"/>
  <c r="AA88" i="12"/>
  <c r="C109" i="6"/>
  <c r="Y80" i="12" s="1"/>
  <c r="AA80" i="12"/>
  <c r="C101" i="6"/>
  <c r="Y72" i="12" s="1"/>
  <c r="AA72" i="12"/>
  <c r="C93" i="6"/>
  <c r="Y64" i="12" s="1"/>
  <c r="AA64" i="12"/>
  <c r="C85" i="6"/>
  <c r="Y56" i="12" s="1"/>
  <c r="AA56" i="12"/>
  <c r="AA48" i="12"/>
  <c r="C77" i="6"/>
  <c r="Y48" i="12" s="1"/>
  <c r="C69" i="6"/>
  <c r="Y40" i="12" s="1"/>
  <c r="AA40" i="12"/>
  <c r="C49" i="6"/>
  <c r="Y20" i="12" s="1"/>
  <c r="AA20" i="12"/>
  <c r="AA12" i="12"/>
  <c r="C41" i="6"/>
  <c r="Y12" i="12" s="1"/>
  <c r="H4" i="5"/>
  <c r="G10" i="5"/>
  <c r="G11" i="5"/>
  <c r="G12" i="5"/>
  <c r="G13" i="5"/>
  <c r="G14" i="5"/>
  <c r="G15" i="5"/>
  <c r="G16" i="5"/>
  <c r="G17" i="5"/>
  <c r="G18" i="5"/>
  <c r="G19" i="5"/>
  <c r="G20" i="5"/>
  <c r="G3" i="5"/>
  <c r="H3" i="5"/>
  <c r="I3" i="5"/>
  <c r="F3" i="5"/>
  <c r="D36" i="5"/>
  <c r="L4" i="12" s="1"/>
  <c r="E36" i="5"/>
  <c r="F36" i="5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M98" i="12" l="1"/>
  <c r="A130" i="5"/>
  <c r="M90" i="12"/>
  <c r="A122" i="5"/>
  <c r="M78" i="12"/>
  <c r="A110" i="5"/>
  <c r="M66" i="12"/>
  <c r="A98" i="5"/>
  <c r="M58" i="12"/>
  <c r="A90" i="5"/>
  <c r="M46" i="12"/>
  <c r="A78" i="5"/>
  <c r="M22" i="12"/>
  <c r="A54" i="5"/>
  <c r="M105" i="12"/>
  <c r="I105" i="12" s="1"/>
  <c r="A137" i="5"/>
  <c r="M93" i="12"/>
  <c r="I93" i="12" s="1"/>
  <c r="A125" i="5"/>
  <c r="M81" i="12"/>
  <c r="I81" i="12" s="1"/>
  <c r="A113" i="5"/>
  <c r="M69" i="12"/>
  <c r="I69" i="12" s="1"/>
  <c r="A101" i="5"/>
  <c r="M57" i="12"/>
  <c r="I57" i="12" s="1"/>
  <c r="A89" i="5"/>
  <c r="M41" i="12"/>
  <c r="A73" i="5"/>
  <c r="M25" i="12"/>
  <c r="A57" i="5"/>
  <c r="M13" i="12"/>
  <c r="A45" i="5"/>
  <c r="M5" i="12"/>
  <c r="A37" i="5"/>
  <c r="M103" i="12"/>
  <c r="A135" i="5"/>
  <c r="M99" i="12"/>
  <c r="I99" i="12" s="1"/>
  <c r="A131" i="5"/>
  <c r="M95" i="12"/>
  <c r="A127" i="5"/>
  <c r="M91" i="12"/>
  <c r="A123" i="5"/>
  <c r="M87" i="12"/>
  <c r="I87" i="12" s="1"/>
  <c r="A119" i="5"/>
  <c r="M83" i="12"/>
  <c r="A115" i="5"/>
  <c r="M79" i="12"/>
  <c r="A111" i="5"/>
  <c r="M75" i="12"/>
  <c r="I75" i="12" s="1"/>
  <c r="A107" i="5"/>
  <c r="M71" i="12"/>
  <c r="A103" i="5"/>
  <c r="M67" i="12"/>
  <c r="A99" i="5"/>
  <c r="M63" i="12"/>
  <c r="I63" i="12" s="1"/>
  <c r="A95" i="5"/>
  <c r="M59" i="12"/>
  <c r="A91" i="5"/>
  <c r="M55" i="12"/>
  <c r="A87" i="5"/>
  <c r="M51" i="12"/>
  <c r="A83" i="5"/>
  <c r="M47" i="12"/>
  <c r="A79" i="5"/>
  <c r="M43" i="12"/>
  <c r="A75" i="5"/>
  <c r="M27" i="12"/>
  <c r="A59" i="5"/>
  <c r="M23" i="12"/>
  <c r="A55" i="5"/>
  <c r="M19" i="12"/>
  <c r="A51" i="5"/>
  <c r="M15" i="12"/>
  <c r="I15" i="12" s="1"/>
  <c r="A47" i="5"/>
  <c r="M11" i="12"/>
  <c r="A43" i="5"/>
  <c r="M6" i="12"/>
  <c r="A38" i="5"/>
  <c r="M102" i="12"/>
  <c r="A134" i="5"/>
  <c r="M86" i="12"/>
  <c r="A118" i="5"/>
  <c r="M70" i="12"/>
  <c r="A102" i="5"/>
  <c r="M54" i="12"/>
  <c r="A86" i="5"/>
  <c r="M42" i="12"/>
  <c r="A74" i="5"/>
  <c r="M18" i="12"/>
  <c r="A50" i="5"/>
  <c r="M10" i="12"/>
  <c r="A42" i="5"/>
  <c r="M8" i="12"/>
  <c r="A40" i="5"/>
  <c r="B40" i="5" s="1"/>
  <c r="M101" i="12"/>
  <c r="A133" i="5"/>
  <c r="M89" i="12"/>
  <c r="A121" i="5"/>
  <c r="M77" i="12"/>
  <c r="A109" i="5"/>
  <c r="M65" i="12"/>
  <c r="A97" i="5"/>
  <c r="M53" i="12"/>
  <c r="A85" i="5"/>
  <c r="M45" i="12"/>
  <c r="I45" i="12" s="1"/>
  <c r="A77" i="5"/>
  <c r="M21" i="12"/>
  <c r="I21" i="12" s="1"/>
  <c r="A53" i="5"/>
  <c r="M9" i="12"/>
  <c r="I9" i="12" s="1"/>
  <c r="M104" i="12"/>
  <c r="A136" i="5"/>
  <c r="M100" i="12"/>
  <c r="A132" i="5"/>
  <c r="M96" i="12"/>
  <c r="A128" i="5"/>
  <c r="M92" i="12"/>
  <c r="A124" i="5"/>
  <c r="M88" i="12"/>
  <c r="A120" i="5"/>
  <c r="M84" i="12"/>
  <c r="A116" i="5"/>
  <c r="M80" i="12"/>
  <c r="A112" i="5"/>
  <c r="M76" i="12"/>
  <c r="A108" i="5"/>
  <c r="M72" i="12"/>
  <c r="A104" i="5"/>
  <c r="M68" i="12"/>
  <c r="A100" i="5"/>
  <c r="M64" i="12"/>
  <c r="A96" i="5"/>
  <c r="M60" i="12"/>
  <c r="A92" i="5"/>
  <c r="M56" i="12"/>
  <c r="A88" i="5"/>
  <c r="M52" i="12"/>
  <c r="A84" i="5"/>
  <c r="M48" i="12"/>
  <c r="A80" i="5"/>
  <c r="M44" i="12"/>
  <c r="A76" i="5"/>
  <c r="M40" i="12"/>
  <c r="A72" i="5"/>
  <c r="M24" i="12"/>
  <c r="A56" i="5"/>
  <c r="M20" i="12"/>
  <c r="A52" i="5"/>
  <c r="M16" i="12"/>
  <c r="A48" i="5"/>
  <c r="M12" i="12"/>
  <c r="A44" i="5"/>
  <c r="M7" i="12"/>
  <c r="A39" i="5"/>
  <c r="M94" i="12"/>
  <c r="A126" i="5"/>
  <c r="M82" i="12"/>
  <c r="A114" i="5"/>
  <c r="M74" i="12"/>
  <c r="A106" i="5"/>
  <c r="M62" i="12"/>
  <c r="A94" i="5"/>
  <c r="M50" i="12"/>
  <c r="A82" i="5"/>
  <c r="M26" i="12"/>
  <c r="A58" i="5"/>
  <c r="M14" i="12"/>
  <c r="A46" i="5"/>
  <c r="M97" i="12"/>
  <c r="A129" i="5"/>
  <c r="M85" i="12"/>
  <c r="A117" i="5"/>
  <c r="M73" i="12"/>
  <c r="A105" i="5"/>
  <c r="M61" i="12"/>
  <c r="A93" i="5"/>
  <c r="M49" i="12"/>
  <c r="A81" i="5"/>
  <c r="M17" i="12"/>
  <c r="A49" i="5"/>
  <c r="M4" i="12"/>
  <c r="A36" i="5"/>
  <c r="BB33" i="4" a="1"/>
  <c r="BB33" i="4" s="1"/>
  <c r="BB34" i="4" a="1"/>
  <c r="BB34" i="4" s="1"/>
  <c r="AU35" i="4" a="1"/>
  <c r="AU35" i="4" s="1"/>
  <c r="AW36" i="4" a="1"/>
  <c r="AW36" i="4" s="1"/>
  <c r="BC37" i="4" a="1"/>
  <c r="BC37" i="4" s="1"/>
  <c r="AW50" i="4" a="1"/>
  <c r="AW50" i="4" s="1"/>
  <c r="BF51" i="4" a="1"/>
  <c r="BF51" i="4" s="1"/>
  <c r="AW52" i="4" a="1"/>
  <c r="AW52" i="4" s="1"/>
  <c r="BA53" i="4" a="1"/>
  <c r="BA53" i="4" s="1"/>
  <c r="BF54" i="4" a="1"/>
  <c r="BF54" i="4" s="1"/>
  <c r="AT69" i="4" a="1"/>
  <c r="AT69" i="4" s="1"/>
  <c r="AV70" i="4" a="1"/>
  <c r="AV70" i="4" s="1"/>
  <c r="AX71" i="4" a="1"/>
  <c r="AX71" i="4" s="1"/>
  <c r="AZ72" i="4" a="1"/>
  <c r="AZ72" i="4" s="1"/>
  <c r="BB73" i="4" a="1"/>
  <c r="BB73" i="4" s="1"/>
  <c r="AW75" i="4" a="1"/>
  <c r="AW75" i="4" s="1"/>
  <c r="AX76" i="4" a="1"/>
  <c r="AX76" i="4" s="1"/>
  <c r="BB77" i="4" a="1"/>
  <c r="BB77" i="4" s="1"/>
  <c r="BF78" i="4" a="1"/>
  <c r="BF78" i="4" s="1"/>
  <c r="AX79" i="4" a="1"/>
  <c r="AX79" i="4" s="1"/>
  <c r="AR32" i="4" a="1"/>
  <c r="AR32" i="4" s="1"/>
  <c r="K8" i="12" l="1"/>
  <c r="A6" i="10"/>
  <c r="A6" i="7"/>
  <c r="B136" i="5"/>
  <c r="B79" i="5"/>
  <c r="B119" i="5"/>
  <c r="B116" i="5"/>
  <c r="B78" i="5"/>
  <c r="B110" i="5"/>
  <c r="B41" i="5"/>
  <c r="B85" i="5"/>
  <c r="B117" i="5"/>
  <c r="B56" i="5"/>
  <c r="B44" i="5"/>
  <c r="B38" i="5"/>
  <c r="B83" i="5"/>
  <c r="B131" i="5"/>
  <c r="B128" i="5"/>
  <c r="B82" i="5"/>
  <c r="B114" i="5"/>
  <c r="B45" i="5"/>
  <c r="B89" i="5"/>
  <c r="B121" i="5"/>
  <c r="B84" i="5"/>
  <c r="B72" i="5"/>
  <c r="B43" i="5"/>
  <c r="B87" i="5"/>
  <c r="B36" i="5"/>
  <c r="B42" i="5"/>
  <c r="B86" i="5"/>
  <c r="B118" i="5"/>
  <c r="B49" i="5"/>
  <c r="B93" i="5"/>
  <c r="B125" i="5"/>
  <c r="B39" i="5"/>
  <c r="B88" i="5"/>
  <c r="B47" i="5"/>
  <c r="B48" i="5"/>
  <c r="B90" i="5"/>
  <c r="B53" i="5"/>
  <c r="B97" i="5"/>
  <c r="B104" i="5"/>
  <c r="B92" i="5"/>
  <c r="B51" i="5"/>
  <c r="B95" i="5"/>
  <c r="B52" i="5"/>
  <c r="B50" i="5"/>
  <c r="B94" i="5"/>
  <c r="B126" i="5"/>
  <c r="B57" i="5"/>
  <c r="B101" i="5"/>
  <c r="B133" i="5"/>
  <c r="B111" i="5"/>
  <c r="B120" i="5"/>
  <c r="B108" i="5"/>
  <c r="B55" i="5"/>
  <c r="B99" i="5"/>
  <c r="B76" i="5"/>
  <c r="B54" i="5"/>
  <c r="B98" i="5"/>
  <c r="B130" i="5"/>
  <c r="B73" i="5"/>
  <c r="B105" i="5"/>
  <c r="B137" i="5"/>
  <c r="B127" i="5"/>
  <c r="B80" i="5"/>
  <c r="B91" i="5"/>
  <c r="B46" i="5"/>
  <c r="B122" i="5"/>
  <c r="B129" i="5"/>
  <c r="B123" i="5"/>
  <c r="B124" i="5"/>
  <c r="B112" i="5"/>
  <c r="B59" i="5"/>
  <c r="B103" i="5"/>
  <c r="B96" i="5"/>
  <c r="B58" i="5"/>
  <c r="B102" i="5"/>
  <c r="B134" i="5"/>
  <c r="B77" i="5"/>
  <c r="B109" i="5"/>
  <c r="B135" i="5"/>
  <c r="B115" i="5"/>
  <c r="B132" i="5"/>
  <c r="B75" i="5"/>
  <c r="B107" i="5"/>
  <c r="B100" i="5"/>
  <c r="B74" i="5"/>
  <c r="B106" i="5"/>
  <c r="B37" i="5"/>
  <c r="B81" i="5"/>
  <c r="B113" i="5"/>
  <c r="BF73" i="4" a="1"/>
  <c r="BF73" i="4" s="1"/>
  <c r="BB50" i="4" a="1"/>
  <c r="BB50" i="4" s="1"/>
  <c r="BE54" i="4" a="1"/>
  <c r="BE54" i="4" s="1"/>
  <c r="BB54" i="4" a="1"/>
  <c r="BB54" i="4" s="1"/>
  <c r="BF36" i="4" a="1"/>
  <c r="BF36" i="4" s="1"/>
  <c r="AX52" i="4" a="1"/>
  <c r="AX52" i="4" s="1"/>
  <c r="BF35" i="4" a="1"/>
  <c r="BF35" i="4" s="1"/>
  <c r="BB71" i="4" a="1"/>
  <c r="BB71" i="4" s="1"/>
  <c r="AX50" i="4" a="1"/>
  <c r="AX50" i="4" s="1"/>
  <c r="BE36" i="4" a="1"/>
  <c r="BE36" i="4" s="1"/>
  <c r="BA71" i="4" a="1"/>
  <c r="BA71" i="4" s="1"/>
  <c r="AX54" i="4" a="1"/>
  <c r="AX54" i="4" s="1"/>
  <c r="BB36" i="4" a="1"/>
  <c r="BB36" i="4" s="1"/>
  <c r="AT71" i="4" a="1"/>
  <c r="AT71" i="4" s="1"/>
  <c r="AX36" i="4" a="1"/>
  <c r="AX36" i="4" s="1"/>
  <c r="AZ70" i="4" a="1"/>
  <c r="AZ70" i="4" s="1"/>
  <c r="BF37" i="4" a="1"/>
  <c r="BF37" i="4" s="1"/>
  <c r="AW79" i="4" a="1"/>
  <c r="AW79" i="4" s="1"/>
  <c r="AX69" i="4" a="1"/>
  <c r="AX69" i="4" s="1"/>
  <c r="BB51" i="4" a="1"/>
  <c r="BB51" i="4" s="1"/>
  <c r="BE37" i="4" a="1"/>
  <c r="BE37" i="4" s="1"/>
  <c r="BE35" i="4" a="1"/>
  <c r="BE35" i="4" s="1"/>
  <c r="BB78" i="4" a="1"/>
  <c r="BB78" i="4" s="1"/>
  <c r="AW69" i="4" a="1"/>
  <c r="AW69" i="4" s="1"/>
  <c r="BF50" i="4" a="1"/>
  <c r="BF50" i="4" s="1"/>
  <c r="BB37" i="4" a="1"/>
  <c r="BB37" i="4" s="1"/>
  <c r="BB35" i="4" a="1"/>
  <c r="BB35" i="4" s="1"/>
  <c r="BF77" i="4" a="1"/>
  <c r="BF77" i="4" s="1"/>
  <c r="BE50" i="4" a="1"/>
  <c r="BE50" i="4" s="1"/>
  <c r="AX37" i="4" a="1"/>
  <c r="AX37" i="4" s="1"/>
  <c r="AX35" i="4" a="1"/>
  <c r="AX35" i="4" s="1"/>
  <c r="AW68" i="4" a="1"/>
  <c r="AW68" i="4" s="1"/>
  <c r="BE68" i="4" a="1"/>
  <c r="BE68" i="4" s="1"/>
  <c r="AX68" i="4" a="1"/>
  <c r="AX68" i="4" s="1"/>
  <c r="BF68" i="4" a="1"/>
  <c r="BF68" i="4" s="1"/>
  <c r="AY68" i="4" a="1"/>
  <c r="AY68" i="4" s="1"/>
  <c r="AT68" i="4" a="1"/>
  <c r="AT68" i="4" s="1"/>
  <c r="BB68" i="4" a="1"/>
  <c r="BB68" i="4" s="1"/>
  <c r="AZ68" i="4" a="1"/>
  <c r="AZ68" i="4" s="1"/>
  <c r="BA68" i="4" a="1"/>
  <c r="BA68" i="4" s="1"/>
  <c r="BC68" i="4" a="1"/>
  <c r="BC68" i="4" s="1"/>
  <c r="AS68" i="4" a="1"/>
  <c r="AS68" i="4" s="1"/>
  <c r="BB76" i="4" a="1"/>
  <c r="BB76" i="4" s="1"/>
  <c r="BA76" i="4" a="1"/>
  <c r="BA76" i="4" s="1"/>
  <c r="BE73" i="4" a="1"/>
  <c r="BE73" i="4" s="1"/>
  <c r="BE34" i="4" a="1"/>
  <c r="BE34" i="4" s="1"/>
  <c r="AU74" i="4" a="1"/>
  <c r="AU74" i="4" s="1"/>
  <c r="BC74" i="4" a="1"/>
  <c r="BC74" i="4" s="1"/>
  <c r="AV74" i="4" a="1"/>
  <c r="AV74" i="4" s="1"/>
  <c r="BD74" i="4" a="1"/>
  <c r="BD74" i="4" s="1"/>
  <c r="AW74" i="4" a="1"/>
  <c r="AW74" i="4" s="1"/>
  <c r="BE74" i="4" a="1"/>
  <c r="BE74" i="4" s="1"/>
  <c r="AZ74" i="4" a="1"/>
  <c r="AZ74" i="4" s="1"/>
  <c r="AX74" i="4" a="1"/>
  <c r="AX74" i="4" s="1"/>
  <c r="AY74" i="4" a="1"/>
  <c r="AY74" i="4" s="1"/>
  <c r="BA74" i="4" a="1"/>
  <c r="BA74" i="4" s="1"/>
  <c r="BD32" i="4" a="1"/>
  <c r="BD32" i="4" s="1"/>
  <c r="AV32" i="4" a="1"/>
  <c r="AV32" i="4" s="1"/>
  <c r="BC32" i="4" a="1"/>
  <c r="BC32" i="4" s="1"/>
  <c r="AU32" i="4" a="1"/>
  <c r="AU32" i="4" s="1"/>
  <c r="BB32" i="4" a="1"/>
  <c r="BB32" i="4" s="1"/>
  <c r="AT32" i="4" a="1"/>
  <c r="AT32" i="4" s="1"/>
  <c r="AY32" i="4" a="1"/>
  <c r="AY32" i="4" s="1"/>
  <c r="AQ32" i="4" a="1"/>
  <c r="AQ32" i="4" s="1"/>
  <c r="AQ34" i="4" a="1"/>
  <c r="AQ34" i="4" s="1"/>
  <c r="AY34" i="4" a="1"/>
  <c r="AY34" i="4" s="1"/>
  <c r="AR34" i="4" a="1"/>
  <c r="AR34" i="4" s="1"/>
  <c r="AZ34" i="4" a="1"/>
  <c r="AZ34" i="4" s="1"/>
  <c r="AS34" i="4" a="1"/>
  <c r="AS34" i="4" s="1"/>
  <c r="BA34" i="4" a="1"/>
  <c r="BA34" i="4" s="1"/>
  <c r="AV34" i="4" a="1"/>
  <c r="AV34" i="4" s="1"/>
  <c r="BD34" i="4" a="1"/>
  <c r="BD34" i="4" s="1"/>
  <c r="AT34" i="4" a="1"/>
  <c r="AT34" i="4" s="1"/>
  <c r="AU34" i="4" a="1"/>
  <c r="AU34" i="4" s="1"/>
  <c r="AW34" i="4" a="1"/>
  <c r="AW34" i="4" s="1"/>
  <c r="BC34" i="4" a="1"/>
  <c r="BC34" i="4" s="1"/>
  <c r="AX34" i="4" a="1"/>
  <c r="AX34" i="4" s="1"/>
  <c r="BD72" i="4" a="1"/>
  <c r="BD72" i="4" s="1"/>
  <c r="AY79" i="4" a="1"/>
  <c r="AY79" i="4" s="1"/>
  <c r="AZ79" i="4" a="1"/>
  <c r="AZ79" i="4" s="1"/>
  <c r="BA79" i="4" a="1"/>
  <c r="BA79" i="4" s="1"/>
  <c r="AV79" i="4" a="1"/>
  <c r="AV79" i="4" s="1"/>
  <c r="BD79" i="4" a="1"/>
  <c r="BD79" i="4" s="1"/>
  <c r="BB79" i="4" a="1"/>
  <c r="BB79" i="4" s="1"/>
  <c r="BC79" i="4" a="1"/>
  <c r="BC79" i="4" s="1"/>
  <c r="BE79" i="4" a="1"/>
  <c r="BE79" i="4" s="1"/>
  <c r="AU79" i="4" a="1"/>
  <c r="AU79" i="4" s="1"/>
  <c r="AU71" i="4" a="1"/>
  <c r="AU71" i="4" s="1"/>
  <c r="BC71" i="4" a="1"/>
  <c r="BC71" i="4" s="1"/>
  <c r="AV71" i="4" a="1"/>
  <c r="AV71" i="4" s="1"/>
  <c r="BD71" i="4" a="1"/>
  <c r="BD71" i="4" s="1"/>
  <c r="AW71" i="4" a="1"/>
  <c r="AW71" i="4" s="1"/>
  <c r="BE71" i="4" a="1"/>
  <c r="BE71" i="4" s="1"/>
  <c r="AZ71" i="4" a="1"/>
  <c r="AZ71" i="4" s="1"/>
  <c r="BF71" i="4" a="1"/>
  <c r="BF71" i="4" s="1"/>
  <c r="AS71" i="4" a="1"/>
  <c r="AS71" i="4" s="1"/>
  <c r="AY71" i="4" a="1"/>
  <c r="AY71" i="4" s="1"/>
  <c r="AX32" i="4" a="1"/>
  <c r="AX32" i="4" s="1"/>
  <c r="BE77" i="4" a="1"/>
  <c r="BE77" i="4" s="1"/>
  <c r="BC72" i="4" a="1"/>
  <c r="BC72" i="4" s="1"/>
  <c r="AY70" i="4" a="1"/>
  <c r="AY70" i="4" s="1"/>
  <c r="AU68" i="4" a="1"/>
  <c r="AU68" i="4" s="1"/>
  <c r="BE33" i="4" a="1"/>
  <c r="BE33" i="4" s="1"/>
  <c r="AU76" i="4" a="1"/>
  <c r="AU76" i="4" s="1"/>
  <c r="BC76" i="4" a="1"/>
  <c r="BC76" i="4" s="1"/>
  <c r="AV76" i="4" a="1"/>
  <c r="AV76" i="4" s="1"/>
  <c r="BD76" i="4" a="1"/>
  <c r="BD76" i="4" s="1"/>
  <c r="AW76" i="4" a="1"/>
  <c r="AW76" i="4" s="1"/>
  <c r="BE76" i="4" a="1"/>
  <c r="BE76" i="4" s="1"/>
  <c r="AZ76" i="4" a="1"/>
  <c r="AZ76" i="4" s="1"/>
  <c r="BF76" i="4" a="1"/>
  <c r="BF76" i="4" s="1"/>
  <c r="AY76" i="4" a="1"/>
  <c r="AY76" i="4" s="1"/>
  <c r="AU55" i="4" a="1"/>
  <c r="AU55" i="4" s="1"/>
  <c r="BC55" i="4" a="1"/>
  <c r="BC55" i="4" s="1"/>
  <c r="AV55" i="4" a="1"/>
  <c r="AV55" i="4" s="1"/>
  <c r="BD55" i="4" a="1"/>
  <c r="BD55" i="4" s="1"/>
  <c r="AW55" i="4" a="1"/>
  <c r="AW55" i="4" s="1"/>
  <c r="BE55" i="4" a="1"/>
  <c r="BE55" i="4" s="1"/>
  <c r="AZ55" i="4" a="1"/>
  <c r="AZ55" i="4" s="1"/>
  <c r="AX55" i="4" a="1"/>
  <c r="AX55" i="4" s="1"/>
  <c r="AY55" i="4" a="1"/>
  <c r="AY55" i="4" s="1"/>
  <c r="BA55" i="4" a="1"/>
  <c r="BA55" i="4" s="1"/>
  <c r="BF32" i="4" a="1"/>
  <c r="BF32" i="4" s="1"/>
  <c r="AU53" i="4" a="1"/>
  <c r="AU53" i="4" s="1"/>
  <c r="BC53" i="4" a="1"/>
  <c r="BC53" i="4" s="1"/>
  <c r="AV53" i="4" a="1"/>
  <c r="AV53" i="4" s="1"/>
  <c r="BD53" i="4" a="1"/>
  <c r="BD53" i="4" s="1"/>
  <c r="AW53" i="4" a="1"/>
  <c r="AW53" i="4" s="1"/>
  <c r="BE53" i="4" a="1"/>
  <c r="BE53" i="4" s="1"/>
  <c r="AZ53" i="4" a="1"/>
  <c r="AZ53" i="4" s="1"/>
  <c r="BF53" i="4" a="1"/>
  <c r="BF53" i="4" s="1"/>
  <c r="AY53" i="4" a="1"/>
  <c r="AY53" i="4" s="1"/>
  <c r="AY52" i="4" a="1"/>
  <c r="AY52" i="4" s="1"/>
  <c r="AZ52" i="4" a="1"/>
  <c r="AZ52" i="4" s="1"/>
  <c r="BA52" i="4" a="1"/>
  <c r="BA52" i="4" s="1"/>
  <c r="AV52" i="4" a="1"/>
  <c r="AV52" i="4" s="1"/>
  <c r="BD52" i="4" a="1"/>
  <c r="BD52" i="4" s="1"/>
  <c r="BB52" i="4" a="1"/>
  <c r="BB52" i="4" s="1"/>
  <c r="BC52" i="4" a="1"/>
  <c r="BC52" i="4" s="1"/>
  <c r="BE52" i="4" a="1"/>
  <c r="BE52" i="4" s="1"/>
  <c r="AU52" i="4" a="1"/>
  <c r="AU52" i="4" s="1"/>
  <c r="BB53" i="4" a="1"/>
  <c r="BB53" i="4" s="1"/>
  <c r="BF33" i="4" a="1"/>
  <c r="BF33" i="4" s="1"/>
  <c r="AU78" i="4" a="1"/>
  <c r="AU78" i="4" s="1"/>
  <c r="BC78" i="4" a="1"/>
  <c r="BC78" i="4" s="1"/>
  <c r="AV78" i="4" a="1"/>
  <c r="AV78" i="4" s="1"/>
  <c r="BD78" i="4" a="1"/>
  <c r="BD78" i="4" s="1"/>
  <c r="AW78" i="4" a="1"/>
  <c r="AW78" i="4" s="1"/>
  <c r="BE78" i="4" a="1"/>
  <c r="BE78" i="4" s="1"/>
  <c r="AZ78" i="4" a="1"/>
  <c r="AZ78" i="4" s="1"/>
  <c r="AX78" i="4" a="1"/>
  <c r="AX78" i="4" s="1"/>
  <c r="AY78" i="4" a="1"/>
  <c r="AY78" i="4" s="1"/>
  <c r="BA78" i="4" a="1"/>
  <c r="BA78" i="4" s="1"/>
  <c r="BF74" i="4" a="1"/>
  <c r="BF74" i="4" s="1"/>
  <c r="BF55" i="4" a="1"/>
  <c r="BF55" i="4" s="1"/>
  <c r="AX53" i="4" a="1"/>
  <c r="AX53" i="4" s="1"/>
  <c r="BE32" i="4" a="1"/>
  <c r="BE32" i="4" s="1"/>
  <c r="BF34" i="4" a="1"/>
  <c r="BF34" i="4" s="1"/>
  <c r="AY75" i="4" a="1"/>
  <c r="AY75" i="4" s="1"/>
  <c r="AZ75" i="4" a="1"/>
  <c r="AZ75" i="4" s="1"/>
  <c r="BA75" i="4" a="1"/>
  <c r="BA75" i="4" s="1"/>
  <c r="AV75" i="4" a="1"/>
  <c r="AV75" i="4" s="1"/>
  <c r="BD75" i="4" a="1"/>
  <c r="BD75" i="4" s="1"/>
  <c r="BB75" i="4" a="1"/>
  <c r="BB75" i="4" s="1"/>
  <c r="BC75" i="4" a="1"/>
  <c r="BC75" i="4" s="1"/>
  <c r="BE75" i="4" a="1"/>
  <c r="BE75" i="4" s="1"/>
  <c r="AU75" i="4" a="1"/>
  <c r="AU75" i="4" s="1"/>
  <c r="AQ33" i="4" a="1"/>
  <c r="AQ33" i="4" s="1"/>
  <c r="AY33" i="4" a="1"/>
  <c r="AY33" i="4" s="1"/>
  <c r="AR33" i="4" a="1"/>
  <c r="AR33" i="4" s="1"/>
  <c r="AZ33" i="4" a="1"/>
  <c r="AZ33" i="4" s="1"/>
  <c r="AS33" i="4" a="1"/>
  <c r="AS33" i="4" s="1"/>
  <c r="BA33" i="4" a="1"/>
  <c r="BA33" i="4" s="1"/>
  <c r="AV33" i="4" a="1"/>
  <c r="AV33" i="4" s="1"/>
  <c r="BD33" i="4" a="1"/>
  <c r="BD33" i="4" s="1"/>
  <c r="AT33" i="4" a="1"/>
  <c r="AT33" i="4" s="1"/>
  <c r="AU33" i="4" a="1"/>
  <c r="AU33" i="4" s="1"/>
  <c r="AW33" i="4" a="1"/>
  <c r="AW33" i="4" s="1"/>
  <c r="BC33" i="4" a="1"/>
  <c r="BC33" i="4" s="1"/>
  <c r="AY73" i="4" a="1"/>
  <c r="AY73" i="4" s="1"/>
  <c r="AZ73" i="4" a="1"/>
  <c r="AZ73" i="4" s="1"/>
  <c r="AS73" i="4" a="1"/>
  <c r="AS73" i="4" s="1"/>
  <c r="BA73" i="4" a="1"/>
  <c r="BA73" i="4" s="1"/>
  <c r="AV73" i="4" a="1"/>
  <c r="AV73" i="4" s="1"/>
  <c r="BD73" i="4" a="1"/>
  <c r="BD73" i="4" s="1"/>
  <c r="AT73" i="4" a="1"/>
  <c r="AT73" i="4" s="1"/>
  <c r="AU73" i="4" a="1"/>
  <c r="AU73" i="4" s="1"/>
  <c r="AW73" i="4" a="1"/>
  <c r="AW73" i="4" s="1"/>
  <c r="BC73" i="4" a="1"/>
  <c r="BC73" i="4" s="1"/>
  <c r="AS32" i="4" a="1"/>
  <c r="AS32" i="4" s="1"/>
  <c r="BF75" i="4" a="1"/>
  <c r="BF75" i="4" s="1"/>
  <c r="AX73" i="4" a="1"/>
  <c r="AX73" i="4" s="1"/>
  <c r="BD68" i="4" a="1"/>
  <c r="BD68" i="4" s="1"/>
  <c r="AW72" i="4" a="1"/>
  <c r="AW72" i="4" s="1"/>
  <c r="BE72" i="4" a="1"/>
  <c r="BE72" i="4" s="1"/>
  <c r="AX72" i="4" a="1"/>
  <c r="AX72" i="4" s="1"/>
  <c r="BF72" i="4" a="1"/>
  <c r="BF72" i="4" s="1"/>
  <c r="AY72" i="4" a="1"/>
  <c r="AY72" i="4" s="1"/>
  <c r="AT72" i="4" a="1"/>
  <c r="AT72" i="4" s="1"/>
  <c r="BB72" i="4" a="1"/>
  <c r="BB72" i="4" s="1"/>
  <c r="AS72" i="4" a="1"/>
  <c r="AS72" i="4" s="1"/>
  <c r="AU72" i="4" a="1"/>
  <c r="AU72" i="4" s="1"/>
  <c r="BA72" i="4" a="1"/>
  <c r="BA72" i="4" s="1"/>
  <c r="AW32" i="4" a="1"/>
  <c r="AW32" i="4" s="1"/>
  <c r="AX75" i="4" a="1"/>
  <c r="AX75" i="4" s="1"/>
  <c r="AV68" i="4" a="1"/>
  <c r="AV68" i="4" s="1"/>
  <c r="AS70" i="4" a="1"/>
  <c r="AS70" i="4" s="1"/>
  <c r="BA70" i="4" a="1"/>
  <c r="BA70" i="4" s="1"/>
  <c r="AT70" i="4" a="1"/>
  <c r="AT70" i="4" s="1"/>
  <c r="BB70" i="4" a="1"/>
  <c r="BB70" i="4" s="1"/>
  <c r="AU70" i="4" a="1"/>
  <c r="AU70" i="4" s="1"/>
  <c r="BC70" i="4" a="1"/>
  <c r="BC70" i="4" s="1"/>
  <c r="AX70" i="4" a="1"/>
  <c r="AX70" i="4" s="1"/>
  <c r="BF70" i="4" a="1"/>
  <c r="BF70" i="4" s="1"/>
  <c r="BD70" i="4" a="1"/>
  <c r="BD70" i="4" s="1"/>
  <c r="BE70" i="4" a="1"/>
  <c r="BE70" i="4" s="1"/>
  <c r="AW70" i="4" a="1"/>
  <c r="AW70" i="4" s="1"/>
  <c r="AZ32" i="4" a="1"/>
  <c r="AZ32" i="4" s="1"/>
  <c r="AY77" i="4" a="1"/>
  <c r="AY77" i="4" s="1"/>
  <c r="AZ77" i="4" a="1"/>
  <c r="AZ77" i="4" s="1"/>
  <c r="BA77" i="4" a="1"/>
  <c r="BA77" i="4" s="1"/>
  <c r="AV77" i="4" a="1"/>
  <c r="AV77" i="4" s="1"/>
  <c r="BD77" i="4" a="1"/>
  <c r="BD77" i="4" s="1"/>
  <c r="AU77" i="4" a="1"/>
  <c r="AU77" i="4" s="1"/>
  <c r="AW77" i="4" a="1"/>
  <c r="AW77" i="4" s="1"/>
  <c r="BC77" i="4" a="1"/>
  <c r="BC77" i="4" s="1"/>
  <c r="AY69" i="4" a="1"/>
  <c r="AY69" i="4" s="1"/>
  <c r="AZ69" i="4" a="1"/>
  <c r="AZ69" i="4" s="1"/>
  <c r="AS69" i="4" a="1"/>
  <c r="AS69" i="4" s="1"/>
  <c r="BA69" i="4" a="1"/>
  <c r="BA69" i="4" s="1"/>
  <c r="AV69" i="4" a="1"/>
  <c r="AV69" i="4" s="1"/>
  <c r="BD69" i="4" a="1"/>
  <c r="BD69" i="4" s="1"/>
  <c r="BB69" i="4" a="1"/>
  <c r="BB69" i="4" s="1"/>
  <c r="BC69" i="4" a="1"/>
  <c r="BC69" i="4" s="1"/>
  <c r="BE69" i="4" a="1"/>
  <c r="BE69" i="4" s="1"/>
  <c r="AU69" i="4" a="1"/>
  <c r="AU69" i="4" s="1"/>
  <c r="BA32" i="4" a="1"/>
  <c r="BA32" i="4" s="1"/>
  <c r="BF79" i="4" a="1"/>
  <c r="BF79" i="4" s="1"/>
  <c r="AX77" i="4" a="1"/>
  <c r="AX77" i="4" s="1"/>
  <c r="BB74" i="4" a="1"/>
  <c r="BB74" i="4" s="1"/>
  <c r="AV72" i="4" a="1"/>
  <c r="AV72" i="4" s="1"/>
  <c r="BF69" i="4" a="1"/>
  <c r="BF69" i="4" s="1"/>
  <c r="BB55" i="4" a="1"/>
  <c r="BB55" i="4" s="1"/>
  <c r="BF52" i="4" a="1"/>
  <c r="BF52" i="4" s="1"/>
  <c r="AX33" i="4" a="1"/>
  <c r="AX33" i="4" s="1"/>
  <c r="AY54" i="4" a="1"/>
  <c r="AY54" i="4" s="1"/>
  <c r="AZ54" i="4" a="1"/>
  <c r="AZ54" i="4" s="1"/>
  <c r="BA54" i="4" a="1"/>
  <c r="BA54" i="4" s="1"/>
  <c r="AV54" i="4" a="1"/>
  <c r="AV54" i="4" s="1"/>
  <c r="BD54" i="4" a="1"/>
  <c r="BD54" i="4" s="1"/>
  <c r="BC54" i="4" a="1"/>
  <c r="BC54" i="4" s="1"/>
  <c r="BC50" i="4" a="1"/>
  <c r="BC50" i="4" s="1"/>
  <c r="BC36" i="4" a="1"/>
  <c r="BC36" i="4" s="1"/>
  <c r="BC35" i="4" a="1"/>
  <c r="BC35" i="4" s="1"/>
  <c r="AU51" i="4" a="1"/>
  <c r="AU51" i="4" s="1"/>
  <c r="BC51" i="4" a="1"/>
  <c r="BC51" i="4" s="1"/>
  <c r="AV51" i="4" a="1"/>
  <c r="AV51" i="4" s="1"/>
  <c r="BD51" i="4" a="1"/>
  <c r="BD51" i="4" s="1"/>
  <c r="AW51" i="4" a="1"/>
  <c r="AW51" i="4" s="1"/>
  <c r="BE51" i="4" a="1"/>
  <c r="BE51" i="4" s="1"/>
  <c r="AZ51" i="4" a="1"/>
  <c r="AZ51" i="4" s="1"/>
  <c r="AQ37" i="4" a="1"/>
  <c r="AQ37" i="4" s="1"/>
  <c r="AY37" i="4" a="1"/>
  <c r="AY37" i="4" s="1"/>
  <c r="AR37" i="4" a="1"/>
  <c r="AR37" i="4" s="1"/>
  <c r="AZ37" i="4" a="1"/>
  <c r="AZ37" i="4" s="1"/>
  <c r="AS37" i="4" a="1"/>
  <c r="AS37" i="4" s="1"/>
  <c r="BA37" i="4" a="1"/>
  <c r="BA37" i="4" s="1"/>
  <c r="AV37" i="4" a="1"/>
  <c r="AV37" i="4" s="1"/>
  <c r="BD37" i="4" a="1"/>
  <c r="BD37" i="4" s="1"/>
  <c r="AW54" i="4" a="1"/>
  <c r="AW54" i="4" s="1"/>
  <c r="BA51" i="4" a="1"/>
  <c r="BA51" i="4" s="1"/>
  <c r="AW37" i="4" a="1"/>
  <c r="AW37" i="4" s="1"/>
  <c r="AW35" i="4" a="1"/>
  <c r="AW35" i="4" s="1"/>
  <c r="AY50" i="4" a="1"/>
  <c r="AY50" i="4" s="1"/>
  <c r="AZ50" i="4" a="1"/>
  <c r="AZ50" i="4" s="1"/>
  <c r="BA50" i="4" a="1"/>
  <c r="BA50" i="4" s="1"/>
  <c r="AV50" i="4" a="1"/>
  <c r="AV50" i="4" s="1"/>
  <c r="BD50" i="4" a="1"/>
  <c r="BD50" i="4" s="1"/>
  <c r="AQ36" i="4" a="1"/>
  <c r="AQ36" i="4" s="1"/>
  <c r="AY36" i="4" a="1"/>
  <c r="AY36" i="4" s="1"/>
  <c r="AR36" i="4" a="1"/>
  <c r="AR36" i="4" s="1"/>
  <c r="AZ36" i="4" a="1"/>
  <c r="AZ36" i="4" s="1"/>
  <c r="AS36" i="4" a="1"/>
  <c r="AS36" i="4" s="1"/>
  <c r="BA36" i="4" a="1"/>
  <c r="BA36" i="4" s="1"/>
  <c r="AV36" i="4" a="1"/>
  <c r="AV36" i="4" s="1"/>
  <c r="BD36" i="4" a="1"/>
  <c r="BD36" i="4" s="1"/>
  <c r="AU54" i="4" a="1"/>
  <c r="AU54" i="4" s="1"/>
  <c r="AY51" i="4" a="1"/>
  <c r="AY51" i="4" s="1"/>
  <c r="AU50" i="4" a="1"/>
  <c r="AU50" i="4" s="1"/>
  <c r="AU37" i="4" a="1"/>
  <c r="AU37" i="4" s="1"/>
  <c r="AU36" i="4" a="1"/>
  <c r="AU36" i="4" s="1"/>
  <c r="AQ35" i="4" a="1"/>
  <c r="AQ35" i="4" s="1"/>
  <c r="AY35" i="4" a="1"/>
  <c r="AY35" i="4" s="1"/>
  <c r="AR35" i="4" a="1"/>
  <c r="AR35" i="4" s="1"/>
  <c r="AZ35" i="4" a="1"/>
  <c r="AZ35" i="4" s="1"/>
  <c r="AS35" i="4" a="1"/>
  <c r="AS35" i="4" s="1"/>
  <c r="BA35" i="4" a="1"/>
  <c r="BA35" i="4" s="1"/>
  <c r="AV35" i="4" a="1"/>
  <c r="AV35" i="4" s="1"/>
  <c r="BD35" i="4" a="1"/>
  <c r="BD35" i="4" s="1"/>
  <c r="AX51" i="4" a="1"/>
  <c r="AX51" i="4" s="1"/>
  <c r="AT37" i="4" a="1"/>
  <c r="AT37" i="4" s="1"/>
  <c r="AT36" i="4" a="1"/>
  <c r="AT36" i="4" s="1"/>
  <c r="AT35" i="4" a="1"/>
  <c r="AT35" i="4" s="1"/>
  <c r="Q25" i="4"/>
  <c r="K54" i="12" l="1"/>
  <c r="A52" i="10"/>
  <c r="K42" i="12"/>
  <c r="A40" i="10"/>
  <c r="K45" i="12"/>
  <c r="A43" i="10"/>
  <c r="K92" i="12"/>
  <c r="A90" i="10"/>
  <c r="K105" i="12"/>
  <c r="A103" i="10"/>
  <c r="K23" i="12"/>
  <c r="A21" i="10"/>
  <c r="K62" i="12"/>
  <c r="A60" i="10"/>
  <c r="K21" i="12"/>
  <c r="A19" i="10"/>
  <c r="K17" i="12"/>
  <c r="A15" i="10"/>
  <c r="K52" i="12"/>
  <c r="A50" i="10"/>
  <c r="K51" i="12"/>
  <c r="A49" i="10"/>
  <c r="K46" i="12"/>
  <c r="A44" i="10"/>
  <c r="K68" i="12"/>
  <c r="A66" i="10"/>
  <c r="K102" i="12"/>
  <c r="A100" i="10"/>
  <c r="K91" i="12"/>
  <c r="A89" i="10"/>
  <c r="K73" i="12"/>
  <c r="A71" i="10"/>
  <c r="K76" i="12"/>
  <c r="A74" i="10"/>
  <c r="K18" i="12"/>
  <c r="A16" i="10"/>
  <c r="K58" i="12"/>
  <c r="A56" i="10"/>
  <c r="K86" i="12"/>
  <c r="A84" i="10"/>
  <c r="K89" i="12"/>
  <c r="A87" i="10"/>
  <c r="K6" i="12"/>
  <c r="A4" i="10"/>
  <c r="K84" i="12"/>
  <c r="A82" i="10"/>
  <c r="K75" i="12"/>
  <c r="A73" i="10"/>
  <c r="K41" i="12"/>
  <c r="A39" i="10"/>
  <c r="K16" i="12"/>
  <c r="A14" i="10"/>
  <c r="K57" i="12"/>
  <c r="A55" i="10"/>
  <c r="K26" i="12"/>
  <c r="A24" i="10"/>
  <c r="K98" i="12"/>
  <c r="A96" i="10"/>
  <c r="K79" i="12"/>
  <c r="A77" i="10"/>
  <c r="K24" i="12"/>
  <c r="A22" i="10"/>
  <c r="K100" i="12"/>
  <c r="A98" i="10"/>
  <c r="K66" i="12"/>
  <c r="A64" i="10"/>
  <c r="K101" i="12"/>
  <c r="A99" i="10"/>
  <c r="K4" i="12"/>
  <c r="K82" i="12"/>
  <c r="A80" i="10"/>
  <c r="K49" i="12"/>
  <c r="A47" i="10"/>
  <c r="K83" i="12"/>
  <c r="A81" i="10"/>
  <c r="K71" i="12"/>
  <c r="A69" i="10"/>
  <c r="K59" i="12"/>
  <c r="A57" i="10"/>
  <c r="K22" i="12"/>
  <c r="A20" i="10"/>
  <c r="K69" i="12"/>
  <c r="A67" i="10"/>
  <c r="K60" i="12"/>
  <c r="A58" i="10"/>
  <c r="K7" i="12"/>
  <c r="A5" i="10"/>
  <c r="K55" i="12"/>
  <c r="A53" i="10"/>
  <c r="K50" i="12"/>
  <c r="A48" i="10"/>
  <c r="K53" i="12"/>
  <c r="A51" i="10"/>
  <c r="K70" i="12"/>
  <c r="A68" i="10"/>
  <c r="K88" i="12"/>
  <c r="A86" i="10"/>
  <c r="K87" i="12"/>
  <c r="A85" i="10"/>
  <c r="K43" i="12"/>
  <c r="A41" i="10"/>
  <c r="K90" i="12"/>
  <c r="A88" i="10"/>
  <c r="K15" i="12"/>
  <c r="A13" i="10"/>
  <c r="K47" i="12"/>
  <c r="A45" i="10"/>
  <c r="K81" i="12"/>
  <c r="A79" i="10"/>
  <c r="K64" i="12"/>
  <c r="A62" i="10"/>
  <c r="K56" i="12"/>
  <c r="A54" i="10"/>
  <c r="K85" i="12"/>
  <c r="A83" i="10"/>
  <c r="K5" i="12"/>
  <c r="A3" i="10"/>
  <c r="K103" i="12"/>
  <c r="A101" i="10"/>
  <c r="K27" i="12"/>
  <c r="A25" i="10"/>
  <c r="K48" i="12"/>
  <c r="A46" i="10"/>
  <c r="K44" i="12"/>
  <c r="A42" i="10"/>
  <c r="K25" i="12"/>
  <c r="A23" i="10"/>
  <c r="K72" i="12"/>
  <c r="A70" i="10"/>
  <c r="K93" i="12"/>
  <c r="A91" i="10"/>
  <c r="K11" i="12"/>
  <c r="A9" i="10"/>
  <c r="K96" i="12"/>
  <c r="A94" i="10"/>
  <c r="K9" i="12"/>
  <c r="A7" i="10"/>
  <c r="K97" i="12"/>
  <c r="A95" i="10"/>
  <c r="K20" i="12"/>
  <c r="A18" i="10"/>
  <c r="K12" i="12"/>
  <c r="A10" i="10"/>
  <c r="K63" i="12"/>
  <c r="A61" i="10"/>
  <c r="K10" i="12"/>
  <c r="A8" i="10"/>
  <c r="K13" i="12"/>
  <c r="A11" i="10"/>
  <c r="K14" i="12"/>
  <c r="A12" i="10"/>
  <c r="K19" i="12"/>
  <c r="A17" i="10"/>
  <c r="K104" i="12"/>
  <c r="A102" i="10"/>
  <c r="K74" i="12"/>
  <c r="A72" i="10"/>
  <c r="K77" i="12"/>
  <c r="A75" i="10"/>
  <c r="K80" i="12"/>
  <c r="A78" i="10"/>
  <c r="K95" i="12"/>
  <c r="A93" i="10"/>
  <c r="K67" i="12"/>
  <c r="A65" i="10"/>
  <c r="K94" i="12"/>
  <c r="A92" i="10"/>
  <c r="K65" i="12"/>
  <c r="A63" i="10"/>
  <c r="K61" i="12"/>
  <c r="A59" i="10"/>
  <c r="K40" i="12"/>
  <c r="A38" i="10"/>
  <c r="K99" i="12"/>
  <c r="A97" i="10"/>
  <c r="K78" i="12"/>
  <c r="A76" i="10"/>
  <c r="A72" i="7"/>
  <c r="A75" i="7"/>
  <c r="A78" i="7"/>
  <c r="A93" i="7"/>
  <c r="A65" i="7"/>
  <c r="A92" i="7"/>
  <c r="A63" i="7"/>
  <c r="A76" i="7"/>
  <c r="A40" i="7"/>
  <c r="A43" i="7"/>
  <c r="A90" i="7"/>
  <c r="A103" i="7"/>
  <c r="A21" i="7"/>
  <c r="A60" i="7"/>
  <c r="A19" i="7"/>
  <c r="A15" i="7"/>
  <c r="A50" i="7"/>
  <c r="A49" i="7"/>
  <c r="A44" i="7"/>
  <c r="A66" i="7"/>
  <c r="A100" i="7"/>
  <c r="A89" i="7"/>
  <c r="A71" i="7"/>
  <c r="A74" i="7"/>
  <c r="A16" i="7"/>
  <c r="A56" i="7"/>
  <c r="A84" i="7"/>
  <c r="A87" i="7"/>
  <c r="A4" i="7"/>
  <c r="A82" i="7"/>
  <c r="A38" i="7"/>
  <c r="A68" i="7"/>
  <c r="A86" i="7"/>
  <c r="A52" i="7"/>
  <c r="A10" i="7"/>
  <c r="A24" i="7"/>
  <c r="A77" i="7"/>
  <c r="A45" i="7"/>
  <c r="A79" i="7"/>
  <c r="A98" i="7"/>
  <c r="A62" i="7"/>
  <c r="A12" i="7"/>
  <c r="A64" i="7"/>
  <c r="A99" i="7"/>
  <c r="A17" i="7"/>
  <c r="A54" i="7"/>
  <c r="A2" i="7"/>
  <c r="A2" i="10"/>
  <c r="A80" i="7"/>
  <c r="A83" i="7"/>
  <c r="A102" i="7"/>
  <c r="A59" i="7"/>
  <c r="A95" i="7"/>
  <c r="A18" i="7"/>
  <c r="A85" i="7"/>
  <c r="A41" i="7"/>
  <c r="A96" i="7"/>
  <c r="A13" i="7"/>
  <c r="A22" i="7"/>
  <c r="A47" i="7"/>
  <c r="A81" i="7"/>
  <c r="A69" i="7"/>
  <c r="A57" i="7"/>
  <c r="A20" i="7"/>
  <c r="A67" i="7"/>
  <c r="A58" i="7"/>
  <c r="A5" i="7"/>
  <c r="A53" i="7"/>
  <c r="A48" i="7"/>
  <c r="A51" i="7"/>
  <c r="A97" i="7"/>
  <c r="A73" i="7"/>
  <c r="A39" i="7"/>
  <c r="A14" i="7"/>
  <c r="A55" i="7"/>
  <c r="A88" i="7"/>
  <c r="A61" i="7"/>
  <c r="A8" i="7"/>
  <c r="A11" i="7"/>
  <c r="A3" i="7"/>
  <c r="A101" i="7"/>
  <c r="A25" i="7"/>
  <c r="A46" i="7"/>
  <c r="A42" i="7"/>
  <c r="A23" i="7"/>
  <c r="A70" i="7"/>
  <c r="A91" i="7"/>
  <c r="A9" i="7"/>
  <c r="A94" i="7"/>
  <c r="A7" i="7"/>
  <c r="N20" i="4"/>
  <c r="O20" i="4"/>
  <c r="M20" i="4"/>
  <c r="L20" i="4"/>
  <c r="K20" i="4"/>
  <c r="J20" i="4"/>
  <c r="I20" i="4"/>
  <c r="H20" i="4"/>
  <c r="G20" i="4"/>
  <c r="F20" i="4"/>
  <c r="B30" i="4" l="1"/>
  <c r="AK62" i="4" l="1"/>
  <c r="AK65" i="4"/>
  <c r="AK66" i="4"/>
  <c r="AK67" i="4"/>
  <c r="AK63" i="4"/>
  <c r="AK64" i="4"/>
  <c r="AK59" i="4"/>
  <c r="AK60" i="4"/>
  <c r="AK56" i="4"/>
  <c r="AK61" i="4"/>
  <c r="AK57" i="4"/>
  <c r="AK58" i="4"/>
  <c r="AK82" i="4"/>
  <c r="AK96" i="4"/>
  <c r="AK99" i="4"/>
  <c r="AK104" i="4"/>
  <c r="AK118" i="4"/>
  <c r="AK120" i="4"/>
  <c r="AK127" i="4"/>
  <c r="AK135" i="4"/>
  <c r="AK139" i="4"/>
  <c r="AK147" i="4"/>
  <c r="AK155" i="4"/>
  <c r="AK161" i="4"/>
  <c r="AK171" i="4"/>
  <c r="AK181" i="4"/>
  <c r="AK187" i="4"/>
  <c r="AK113" i="4"/>
  <c r="AK126" i="4"/>
  <c r="AK164" i="4"/>
  <c r="AK177" i="4"/>
  <c r="AK182" i="4"/>
  <c r="AK129" i="4"/>
  <c r="AK138" i="4"/>
  <c r="AK143" i="4"/>
  <c r="AK168" i="4"/>
  <c r="AK175" i="4"/>
  <c r="AK122" i="4"/>
  <c r="AK170" i="4"/>
  <c r="AK178" i="4"/>
  <c r="AK176" i="4"/>
  <c r="AK110" i="4"/>
  <c r="AK125" i="4"/>
  <c r="AK131" i="4"/>
  <c r="AK137" i="4"/>
  <c r="AK142" i="4"/>
  <c r="AK144" i="4"/>
  <c r="AK146" i="4"/>
  <c r="AK151" i="4"/>
  <c r="AK154" i="4"/>
  <c r="AK184" i="4"/>
  <c r="AK186" i="4"/>
  <c r="AK91" i="4"/>
  <c r="AK185" i="4"/>
  <c r="AK81" i="4"/>
  <c r="AK116" i="4"/>
  <c r="AK84" i="4"/>
  <c r="AK86" i="4"/>
  <c r="AK101" i="4"/>
  <c r="AK136" i="4"/>
  <c r="AK173" i="4"/>
  <c r="AK112" i="4"/>
  <c r="AK119" i="4"/>
  <c r="AK124" i="4"/>
  <c r="AK145" i="4"/>
  <c r="AK80" i="4"/>
  <c r="AK83" i="4"/>
  <c r="AK89" i="4"/>
  <c r="AK92" i="4"/>
  <c r="AK107" i="4"/>
  <c r="AK115" i="4"/>
  <c r="AK117" i="4"/>
  <c r="AK121" i="4"/>
  <c r="AK128" i="4"/>
  <c r="AK133" i="4"/>
  <c r="AK140" i="4"/>
  <c r="AK148" i="4"/>
  <c r="AK156" i="4"/>
  <c r="AK159" i="4"/>
  <c r="AK162" i="4"/>
  <c r="AK167" i="4"/>
  <c r="AK179" i="4"/>
  <c r="AK87" i="4"/>
  <c r="AK94" i="4"/>
  <c r="AK100" i="4"/>
  <c r="AK123" i="4"/>
  <c r="AK132" i="4"/>
  <c r="AK134" i="4"/>
  <c r="AK98" i="4"/>
  <c r="AK103" i="4"/>
  <c r="AK114" i="4"/>
  <c r="AK153" i="4"/>
  <c r="AK180" i="4"/>
  <c r="AK93" i="4"/>
  <c r="AK97" i="4"/>
  <c r="AK105" i="4"/>
  <c r="AK109" i="4"/>
  <c r="AK157" i="4"/>
  <c r="AK88" i="4"/>
  <c r="AK102" i="4"/>
  <c r="AK106" i="4"/>
  <c r="AK108" i="4"/>
  <c r="AK130" i="4"/>
  <c r="AK141" i="4"/>
  <c r="AK150" i="4"/>
  <c r="AK152" i="4"/>
  <c r="AK158" i="4"/>
  <c r="AK163" i="4"/>
  <c r="AK166" i="4"/>
  <c r="AK169" i="4"/>
  <c r="AK174" i="4"/>
  <c r="AK183" i="4"/>
  <c r="AK111" i="4"/>
  <c r="AK149" i="4"/>
  <c r="AK172" i="4"/>
  <c r="AK90" i="4"/>
  <c r="AK165" i="4"/>
  <c r="AK85" i="4"/>
  <c r="AK95" i="4"/>
  <c r="AK160" i="4"/>
  <c r="AK44" i="4"/>
  <c r="AK46" i="4"/>
  <c r="AK48" i="4"/>
  <c r="AK45" i="4"/>
  <c r="AK47" i="4"/>
  <c r="AK49" i="4"/>
  <c r="AK42" i="4"/>
  <c r="AK53" i="4"/>
  <c r="AK73" i="4"/>
  <c r="AK38" i="4"/>
  <c r="AK35" i="4"/>
  <c r="E36" i="6" s="1"/>
  <c r="AK69" i="4"/>
  <c r="AK77" i="4"/>
  <c r="AK52" i="4"/>
  <c r="AK43" i="4"/>
  <c r="AK54" i="4"/>
  <c r="AK74" i="4"/>
  <c r="AK33" i="4"/>
  <c r="E34" i="6" s="1"/>
  <c r="AK55" i="4"/>
  <c r="AK75" i="4"/>
  <c r="AK34" i="4"/>
  <c r="E35" i="6" s="1"/>
  <c r="AK68" i="4"/>
  <c r="AK76" i="4"/>
  <c r="AK39" i="4"/>
  <c r="AK36" i="4"/>
  <c r="E37" i="6" s="1"/>
  <c r="AK50" i="4"/>
  <c r="AK70" i="4"/>
  <c r="AK78" i="4"/>
  <c r="AK40" i="4"/>
  <c r="AK37" i="4"/>
  <c r="E38" i="6" s="1"/>
  <c r="AK51" i="4"/>
  <c r="AK71" i="4"/>
  <c r="AK79" i="4"/>
  <c r="AK41" i="4"/>
  <c r="AK72" i="4"/>
  <c r="AK32" i="4"/>
  <c r="E33" i="6" s="1"/>
  <c r="G127" i="1"/>
  <c r="G128" i="1"/>
  <c r="G129" i="1"/>
  <c r="G130" i="1"/>
  <c r="G131" i="1"/>
  <c r="G132" i="1"/>
  <c r="G135" i="1"/>
  <c r="G136" i="1"/>
  <c r="G137" i="1"/>
  <c r="G138" i="1"/>
  <c r="G139" i="1"/>
  <c r="G140" i="1"/>
  <c r="G143" i="1"/>
  <c r="G144" i="1"/>
  <c r="G145" i="1"/>
  <c r="G146" i="1"/>
  <c r="G147" i="1"/>
  <c r="G148" i="1"/>
  <c r="G159" i="1"/>
  <c r="G160" i="1"/>
  <c r="G161" i="1"/>
  <c r="G162" i="1"/>
  <c r="G163" i="1"/>
  <c r="G164" i="1"/>
  <c r="G167" i="1"/>
  <c r="G168" i="1"/>
  <c r="G169" i="1"/>
  <c r="G170" i="1"/>
  <c r="G171" i="1"/>
  <c r="G172" i="1"/>
  <c r="G175" i="1"/>
  <c r="G176" i="1"/>
  <c r="G177" i="1"/>
  <c r="G178" i="1"/>
  <c r="G179" i="1"/>
  <c r="G180" i="1"/>
  <c r="G199" i="1"/>
  <c r="G200" i="1"/>
  <c r="G201" i="1"/>
  <c r="G202" i="1"/>
  <c r="G203" i="1"/>
  <c r="G204" i="1"/>
  <c r="G207" i="1"/>
  <c r="G208" i="1"/>
  <c r="G209" i="1"/>
  <c r="G210" i="1"/>
  <c r="G211" i="1"/>
  <c r="G212" i="1"/>
  <c r="E212" i="1"/>
  <c r="D212" i="13" s="1"/>
  <c r="E60" i="6" l="1"/>
  <c r="C63" i="5"/>
  <c r="E58" i="6"/>
  <c r="C61" i="5"/>
  <c r="C62" i="5"/>
  <c r="E59" i="6"/>
  <c r="E62" i="6"/>
  <c r="C65" i="5"/>
  <c r="C64" i="5"/>
  <c r="E61" i="6"/>
  <c r="C60" i="5"/>
  <c r="E57" i="6"/>
  <c r="C169" i="5"/>
  <c r="E166" i="6"/>
  <c r="C184" i="5"/>
  <c r="E181" i="6"/>
  <c r="C177" i="5"/>
  <c r="E174" i="6"/>
  <c r="C130" i="5"/>
  <c r="E127" i="6"/>
  <c r="C94" i="5"/>
  <c r="E91" i="6"/>
  <c r="C157" i="5"/>
  <c r="E154" i="6"/>
  <c r="C172" i="5"/>
  <c r="E169" i="6"/>
  <c r="E159" i="6"/>
  <c r="C162" i="5"/>
  <c r="E144" i="6"/>
  <c r="C147" i="5"/>
  <c r="C156" i="5"/>
  <c r="E153" i="6"/>
  <c r="E129" i="6"/>
  <c r="C132" i="5"/>
  <c r="E155" i="6"/>
  <c r="C158" i="5"/>
  <c r="C114" i="5"/>
  <c r="E111" i="6"/>
  <c r="C124" i="5"/>
  <c r="E121" i="6"/>
  <c r="E86" i="6"/>
  <c r="C89" i="5"/>
  <c r="E170" i="6"/>
  <c r="C173" i="5"/>
  <c r="C112" i="5"/>
  <c r="E109" i="6"/>
  <c r="E94" i="6"/>
  <c r="C97" i="5"/>
  <c r="C127" i="5"/>
  <c r="E124" i="6"/>
  <c r="E157" i="6"/>
  <c r="C160" i="5"/>
  <c r="C111" i="5"/>
  <c r="E108" i="6"/>
  <c r="E113" i="6"/>
  <c r="C116" i="5"/>
  <c r="E186" i="6"/>
  <c r="C189" i="5"/>
  <c r="E143" i="6"/>
  <c r="C146" i="5"/>
  <c r="E123" i="6"/>
  <c r="C126" i="5"/>
  <c r="E165" i="6"/>
  <c r="C168" i="5"/>
  <c r="C151" i="5"/>
  <c r="E148" i="6"/>
  <c r="E97" i="6"/>
  <c r="C100" i="5"/>
  <c r="C110" i="5"/>
  <c r="E107" i="6"/>
  <c r="C96" i="5"/>
  <c r="E93" i="6"/>
  <c r="C141" i="5"/>
  <c r="E138" i="6"/>
  <c r="C143" i="5"/>
  <c r="E140" i="6"/>
  <c r="C98" i="5"/>
  <c r="E95" i="6"/>
  <c r="C117" i="5"/>
  <c r="E114" i="6"/>
  <c r="C118" i="5"/>
  <c r="E115" i="6"/>
  <c r="C87" i="5"/>
  <c r="E84" i="6"/>
  <c r="E185" i="6"/>
  <c r="C188" i="5"/>
  <c r="E150" i="6"/>
  <c r="C153" i="5"/>
  <c r="E158" i="6"/>
  <c r="C161" i="5"/>
  <c r="E81" i="6"/>
  <c r="C84" i="5"/>
  <c r="C142" i="5"/>
  <c r="E139" i="6"/>
  <c r="C115" i="5"/>
  <c r="E112" i="6"/>
  <c r="E151" i="6"/>
  <c r="C154" i="5"/>
  <c r="E110" i="6"/>
  <c r="C113" i="5"/>
  <c r="C102" i="5"/>
  <c r="E99" i="6"/>
  <c r="E168" i="6"/>
  <c r="C171" i="5"/>
  <c r="E122" i="6"/>
  <c r="C125" i="5"/>
  <c r="E146" i="6"/>
  <c r="C149" i="5"/>
  <c r="C88" i="5"/>
  <c r="E85" i="6"/>
  <c r="E152" i="6"/>
  <c r="C155" i="5"/>
  <c r="C180" i="5"/>
  <c r="E177" i="6"/>
  <c r="E130" i="6"/>
  <c r="C133" i="5"/>
  <c r="C175" i="5"/>
  <c r="E172" i="6"/>
  <c r="C122" i="5"/>
  <c r="E119" i="6"/>
  <c r="C170" i="5"/>
  <c r="E167" i="6"/>
  <c r="C152" i="5"/>
  <c r="E149" i="6"/>
  <c r="C95" i="5"/>
  <c r="E92" i="6"/>
  <c r="C86" i="5"/>
  <c r="E83" i="6"/>
  <c r="C167" i="5"/>
  <c r="E164" i="6"/>
  <c r="C144" i="5"/>
  <c r="E141" i="6"/>
  <c r="E187" i="6"/>
  <c r="C190" i="5"/>
  <c r="C176" i="5"/>
  <c r="E173" i="6"/>
  <c r="E88" i="6"/>
  <c r="C91" i="5"/>
  <c r="E102" i="6"/>
  <c r="C105" i="5"/>
  <c r="E126" i="6"/>
  <c r="C129" i="5"/>
  <c r="E128" i="6"/>
  <c r="C131" i="5"/>
  <c r="E104" i="6"/>
  <c r="C107" i="5"/>
  <c r="C90" i="5"/>
  <c r="E87" i="6"/>
  <c r="C185" i="5"/>
  <c r="E182" i="6"/>
  <c r="E161" i="6"/>
  <c r="C164" i="5"/>
  <c r="E184" i="6"/>
  <c r="C187" i="5"/>
  <c r="C145" i="5"/>
  <c r="E142" i="6"/>
  <c r="E106" i="6"/>
  <c r="C109" i="5"/>
  <c r="E135" i="6"/>
  <c r="C138" i="5"/>
  <c r="C166" i="5"/>
  <c r="E163" i="6"/>
  <c r="E118" i="6"/>
  <c r="C121" i="5"/>
  <c r="E125" i="6"/>
  <c r="C128" i="5"/>
  <c r="C120" i="5"/>
  <c r="E117" i="6"/>
  <c r="E147" i="6"/>
  <c r="C150" i="5"/>
  <c r="E179" i="6"/>
  <c r="C182" i="5"/>
  <c r="E183" i="6"/>
  <c r="C186" i="5"/>
  <c r="C165" i="5"/>
  <c r="E162" i="6"/>
  <c r="E105" i="6"/>
  <c r="C108" i="5"/>
  <c r="E101" i="6"/>
  <c r="C104" i="5"/>
  <c r="E176" i="6"/>
  <c r="C179" i="5"/>
  <c r="C106" i="5"/>
  <c r="E103" i="6"/>
  <c r="C93" i="5"/>
  <c r="E90" i="6"/>
  <c r="E137" i="6"/>
  <c r="C140" i="5"/>
  <c r="E132" i="6"/>
  <c r="C135" i="5"/>
  <c r="C139" i="5"/>
  <c r="E136" i="6"/>
  <c r="E89" i="6"/>
  <c r="C92" i="5"/>
  <c r="E134" i="6"/>
  <c r="C137" i="5"/>
  <c r="C191" i="5"/>
  <c r="E188" i="6"/>
  <c r="E180" i="6"/>
  <c r="C183" i="5"/>
  <c r="E96" i="6"/>
  <c r="C99" i="5"/>
  <c r="C178" i="5"/>
  <c r="E175" i="6"/>
  <c r="E131" i="6"/>
  <c r="C134" i="5"/>
  <c r="C101" i="5"/>
  <c r="E98" i="6"/>
  <c r="E133" i="6"/>
  <c r="C136" i="5"/>
  <c r="C163" i="5"/>
  <c r="E160" i="6"/>
  <c r="E116" i="6"/>
  <c r="C119" i="5"/>
  <c r="C123" i="5"/>
  <c r="E120" i="6"/>
  <c r="C85" i="5"/>
  <c r="E82" i="6"/>
  <c r="E145" i="6"/>
  <c r="C148" i="5"/>
  <c r="E171" i="6"/>
  <c r="C174" i="5"/>
  <c r="E178" i="6"/>
  <c r="C181" i="5"/>
  <c r="C159" i="5"/>
  <c r="E156" i="6"/>
  <c r="C103" i="5"/>
  <c r="E100" i="6"/>
  <c r="C75" i="5"/>
  <c r="E72" i="6"/>
  <c r="C58" i="5"/>
  <c r="E55" i="6"/>
  <c r="E78" i="6"/>
  <c r="C81" i="5"/>
  <c r="C82" i="5"/>
  <c r="E79" i="6"/>
  <c r="C79" i="5"/>
  <c r="E76" i="6"/>
  <c r="E70" i="6"/>
  <c r="C73" i="5"/>
  <c r="C49" i="5"/>
  <c r="E46" i="6"/>
  <c r="E77" i="6"/>
  <c r="C80" i="5"/>
  <c r="C72" i="5"/>
  <c r="E69" i="6"/>
  <c r="E53" i="6"/>
  <c r="C56" i="5"/>
  <c r="C51" i="5"/>
  <c r="E48" i="6"/>
  <c r="E73" i="6"/>
  <c r="C76" i="5"/>
  <c r="C74" i="5"/>
  <c r="E71" i="6"/>
  <c r="C59" i="5"/>
  <c r="E56" i="6"/>
  <c r="C52" i="5"/>
  <c r="E49" i="6"/>
  <c r="C43" i="5"/>
  <c r="E40" i="6"/>
  <c r="C57" i="5"/>
  <c r="E54" i="6"/>
  <c r="E52" i="6"/>
  <c r="C55" i="5"/>
  <c r="C46" i="5"/>
  <c r="E43" i="6"/>
  <c r="C44" i="5"/>
  <c r="E41" i="6"/>
  <c r="E42" i="6"/>
  <c r="C45" i="5"/>
  <c r="C54" i="5"/>
  <c r="E51" i="6"/>
  <c r="C42" i="5"/>
  <c r="E39" i="6"/>
  <c r="C50" i="5"/>
  <c r="E47" i="6"/>
  <c r="C47" i="5"/>
  <c r="E44" i="6"/>
  <c r="E50" i="6"/>
  <c r="C53" i="5"/>
  <c r="E80" i="6"/>
  <c r="C83" i="5"/>
  <c r="C78" i="5"/>
  <c r="E75" i="6"/>
  <c r="C77" i="5"/>
  <c r="E74" i="6"/>
  <c r="E45" i="6"/>
  <c r="C48" i="5"/>
  <c r="AT170" i="1"/>
  <c r="G170" i="13"/>
  <c r="K170" i="1"/>
  <c r="AT130" i="1"/>
  <c r="G130" i="13"/>
  <c r="K130" i="1"/>
  <c r="AT169" i="1"/>
  <c r="G169" i="13"/>
  <c r="K169" i="1"/>
  <c r="AT129" i="1"/>
  <c r="G129" i="13"/>
  <c r="K129" i="1"/>
  <c r="AT168" i="1"/>
  <c r="G168" i="13"/>
  <c r="K168" i="1"/>
  <c r="AT128" i="1"/>
  <c r="G128" i="13"/>
  <c r="K128" i="1"/>
  <c r="AT167" i="1"/>
  <c r="G167" i="13"/>
  <c r="K167" i="1"/>
  <c r="AT212" i="1"/>
  <c r="M212" i="1"/>
  <c r="K212" i="1"/>
  <c r="G212" i="13"/>
  <c r="AT202" i="1"/>
  <c r="M202" i="1"/>
  <c r="G202" i="13"/>
  <c r="K202" i="1"/>
  <c r="AT176" i="1"/>
  <c r="G176" i="13"/>
  <c r="K176" i="1"/>
  <c r="AT164" i="1"/>
  <c r="G164" i="13"/>
  <c r="K164" i="1"/>
  <c r="AT146" i="1"/>
  <c r="G146" i="13"/>
  <c r="K146" i="1"/>
  <c r="AT136" i="1"/>
  <c r="G136" i="13"/>
  <c r="K136" i="1"/>
  <c r="AT147" i="1"/>
  <c r="G147" i="13"/>
  <c r="K147" i="1"/>
  <c r="AT211" i="1"/>
  <c r="M211" i="1"/>
  <c r="G211" i="13"/>
  <c r="K211" i="1"/>
  <c r="AT201" i="1"/>
  <c r="M201" i="1"/>
  <c r="G201" i="13"/>
  <c r="K201" i="1"/>
  <c r="AT175" i="1"/>
  <c r="G175" i="13"/>
  <c r="K175" i="1"/>
  <c r="AT163" i="1"/>
  <c r="G163" i="13"/>
  <c r="K163" i="1"/>
  <c r="AT145" i="1"/>
  <c r="G145" i="13"/>
  <c r="K145" i="1"/>
  <c r="AT135" i="1"/>
  <c r="G135" i="13"/>
  <c r="K135" i="1"/>
  <c r="AT180" i="1"/>
  <c r="K180" i="1"/>
  <c r="G180" i="13"/>
  <c r="AT160" i="1"/>
  <c r="G160" i="13"/>
  <c r="K160" i="1"/>
  <c r="AT179" i="1"/>
  <c r="G179" i="13"/>
  <c r="K179" i="1"/>
  <c r="AT139" i="1"/>
  <c r="G139" i="13"/>
  <c r="K139" i="1"/>
  <c r="AT204" i="1"/>
  <c r="M204" i="1"/>
  <c r="G204" i="13"/>
  <c r="K204" i="1"/>
  <c r="AT148" i="1"/>
  <c r="G148" i="13"/>
  <c r="K148" i="1"/>
  <c r="AT177" i="1"/>
  <c r="G177" i="13"/>
  <c r="K177" i="1"/>
  <c r="AT127" i="1"/>
  <c r="G127" i="13"/>
  <c r="K127" i="1"/>
  <c r="AT210" i="1"/>
  <c r="M210" i="1"/>
  <c r="G210" i="13"/>
  <c r="K210" i="1"/>
  <c r="AT200" i="1"/>
  <c r="M200" i="1"/>
  <c r="G200" i="13"/>
  <c r="K200" i="1"/>
  <c r="AT172" i="1"/>
  <c r="G172" i="13"/>
  <c r="K172" i="1"/>
  <c r="AT162" i="1"/>
  <c r="G162" i="13"/>
  <c r="K162" i="1"/>
  <c r="AT144" i="1"/>
  <c r="G144" i="13"/>
  <c r="K144" i="1"/>
  <c r="AT132" i="1"/>
  <c r="G132" i="13"/>
  <c r="K132" i="1"/>
  <c r="AT208" i="1"/>
  <c r="M208" i="1"/>
  <c r="G208" i="13"/>
  <c r="K208" i="1"/>
  <c r="AT140" i="1"/>
  <c r="G140" i="13"/>
  <c r="K140" i="1"/>
  <c r="AT207" i="1"/>
  <c r="M207" i="1"/>
  <c r="G207" i="13"/>
  <c r="K207" i="1"/>
  <c r="AT159" i="1"/>
  <c r="G159" i="13"/>
  <c r="K159" i="1"/>
  <c r="AT178" i="1"/>
  <c r="G178" i="13"/>
  <c r="K178" i="1"/>
  <c r="AT138" i="1"/>
  <c r="G138" i="13"/>
  <c r="K138" i="1"/>
  <c r="AT203" i="1"/>
  <c r="M203" i="1"/>
  <c r="G203" i="13"/>
  <c r="K203" i="1"/>
  <c r="AT137" i="1"/>
  <c r="G137" i="13"/>
  <c r="K137" i="1"/>
  <c r="AT209" i="1"/>
  <c r="M209" i="1"/>
  <c r="G209" i="13"/>
  <c r="K209" i="1"/>
  <c r="AT199" i="1"/>
  <c r="M199" i="1"/>
  <c r="G199" i="13"/>
  <c r="K199" i="1"/>
  <c r="AT171" i="1"/>
  <c r="G171" i="13"/>
  <c r="K171" i="1"/>
  <c r="AT161" i="1"/>
  <c r="G161" i="13"/>
  <c r="K161" i="1"/>
  <c r="AT143" i="1"/>
  <c r="G143" i="13"/>
  <c r="K143" i="1"/>
  <c r="AT131" i="1"/>
  <c r="G131" i="13"/>
  <c r="K131" i="1"/>
  <c r="E97" i="1"/>
  <c r="D97" i="13" s="1"/>
  <c r="E104" i="1"/>
  <c r="D104" i="13" s="1"/>
  <c r="E203" i="1"/>
  <c r="D203" i="13" s="1"/>
  <c r="E27" i="1"/>
  <c r="D27" i="13" s="1"/>
  <c r="E129" i="1"/>
  <c r="D129" i="13" s="1"/>
  <c r="E32" i="1"/>
  <c r="D32" i="13" s="1"/>
  <c r="E99" i="1"/>
  <c r="D99" i="13" s="1"/>
  <c r="E65" i="1"/>
  <c r="D65" i="13" s="1"/>
  <c r="E55" i="1"/>
  <c r="D55" i="13" s="1"/>
  <c r="E106" i="1"/>
  <c r="D106" i="13" s="1"/>
  <c r="E143" i="1"/>
  <c r="D143" i="13" s="1"/>
  <c r="E169" i="1"/>
  <c r="D169" i="13" s="1"/>
  <c r="E159" i="1"/>
  <c r="D159" i="13" s="1"/>
  <c r="E207" i="1"/>
  <c r="D207" i="13" s="1"/>
  <c r="E179" i="1"/>
  <c r="D179" i="13" s="1"/>
  <c r="E31" i="1"/>
  <c r="D31" i="13" s="1"/>
  <c r="E98" i="1"/>
  <c r="D98" i="13" s="1"/>
  <c r="E64" i="1"/>
  <c r="D64" i="13" s="1"/>
  <c r="E131" i="1"/>
  <c r="D131" i="13" s="1"/>
  <c r="E105" i="1"/>
  <c r="D105" i="13" s="1"/>
  <c r="E140" i="1"/>
  <c r="D140" i="13" s="1"/>
  <c r="E168" i="1"/>
  <c r="D168" i="13" s="1"/>
  <c r="E148" i="1"/>
  <c r="D148" i="13" s="1"/>
  <c r="E204" i="1"/>
  <c r="D204" i="13" s="1"/>
  <c r="E178" i="1"/>
  <c r="D178" i="13" s="1"/>
  <c r="E130" i="1"/>
  <c r="D130" i="13" s="1"/>
  <c r="E167" i="1"/>
  <c r="D167" i="13" s="1"/>
  <c r="E59" i="1"/>
  <c r="D59" i="13" s="1"/>
  <c r="E137" i="1"/>
  <c r="D137" i="13" s="1"/>
  <c r="E201" i="1"/>
  <c r="D201" i="13" s="1"/>
  <c r="E35" i="1"/>
  <c r="D35" i="13" s="1"/>
  <c r="E25" i="1"/>
  <c r="D25" i="13" s="1"/>
  <c r="E68" i="1"/>
  <c r="D68" i="13" s="1"/>
  <c r="E58" i="1"/>
  <c r="D58" i="13" s="1"/>
  <c r="E127" i="1"/>
  <c r="D127" i="13" s="1"/>
  <c r="E146" i="1"/>
  <c r="D146" i="13" s="1"/>
  <c r="E136" i="1"/>
  <c r="D136" i="13" s="1"/>
  <c r="E162" i="1"/>
  <c r="D162" i="13" s="1"/>
  <c r="E210" i="1"/>
  <c r="D210" i="13" s="1"/>
  <c r="E200" i="1"/>
  <c r="D200" i="13" s="1"/>
  <c r="E172" i="1"/>
  <c r="D172" i="13" s="1"/>
  <c r="E28" i="1"/>
  <c r="D28" i="13" s="1"/>
  <c r="E139" i="1"/>
  <c r="D139" i="13" s="1"/>
  <c r="E177" i="1"/>
  <c r="D177" i="13" s="1"/>
  <c r="E96" i="1"/>
  <c r="D96" i="13" s="1"/>
  <c r="E138" i="1"/>
  <c r="D138" i="13" s="1"/>
  <c r="E202" i="1"/>
  <c r="D202" i="13" s="1"/>
  <c r="E36" i="1"/>
  <c r="D36" i="13" s="1"/>
  <c r="E95" i="1"/>
  <c r="D95" i="13" s="1"/>
  <c r="E100" i="1"/>
  <c r="D100" i="13" s="1"/>
  <c r="E211" i="1"/>
  <c r="D211" i="13" s="1"/>
  <c r="E67" i="1"/>
  <c r="D67" i="13" s="1"/>
  <c r="E108" i="1"/>
  <c r="D108" i="13" s="1"/>
  <c r="E145" i="1"/>
  <c r="D145" i="13" s="1"/>
  <c r="E135" i="1"/>
  <c r="D135" i="13" s="1"/>
  <c r="E161" i="1"/>
  <c r="D161" i="13" s="1"/>
  <c r="E209" i="1"/>
  <c r="D209" i="13" s="1"/>
  <c r="E199" i="1"/>
  <c r="D199" i="13" s="1"/>
  <c r="E171" i="1"/>
  <c r="D171" i="13" s="1"/>
  <c r="E63" i="1"/>
  <c r="D63" i="13" s="1"/>
  <c r="E147" i="1"/>
  <c r="D147" i="13" s="1"/>
  <c r="E60" i="1"/>
  <c r="D60" i="13" s="1"/>
  <c r="E103" i="1"/>
  <c r="D103" i="13" s="1"/>
  <c r="E164" i="1"/>
  <c r="D164" i="13" s="1"/>
  <c r="E176" i="1"/>
  <c r="D176" i="13" s="1"/>
  <c r="E26" i="1"/>
  <c r="D26" i="13" s="1"/>
  <c r="E128" i="1"/>
  <c r="D128" i="13" s="1"/>
  <c r="E163" i="1"/>
  <c r="D163" i="13" s="1"/>
  <c r="E175" i="1"/>
  <c r="D175" i="13" s="1"/>
  <c r="E34" i="1"/>
  <c r="D34" i="13" s="1"/>
  <c r="E24" i="1"/>
  <c r="D24" i="13" s="1"/>
  <c r="E57" i="1"/>
  <c r="D57" i="13" s="1"/>
  <c r="E33" i="1"/>
  <c r="D33" i="13" s="1"/>
  <c r="E23" i="1"/>
  <c r="D23" i="13" s="1"/>
  <c r="E66" i="1"/>
  <c r="D66" i="13" s="1"/>
  <c r="E56" i="1"/>
  <c r="D56" i="13" s="1"/>
  <c r="E107" i="1"/>
  <c r="D107" i="13" s="1"/>
  <c r="E144" i="1"/>
  <c r="D144" i="13" s="1"/>
  <c r="E132" i="1"/>
  <c r="D132" i="13" s="1"/>
  <c r="E160" i="1"/>
  <c r="D160" i="13" s="1"/>
  <c r="E208" i="1"/>
  <c r="D208" i="13" s="1"/>
  <c r="E180" i="1"/>
  <c r="D180" i="13" s="1"/>
  <c r="E170" i="1"/>
  <c r="D170" i="13" s="1"/>
  <c r="C37" i="5"/>
  <c r="C38" i="5"/>
  <c r="C36" i="5"/>
  <c r="C40" i="5"/>
  <c r="C41" i="5"/>
  <c r="C39" i="5"/>
  <c r="J106" i="1"/>
  <c r="H199" i="1"/>
  <c r="J199" i="1"/>
  <c r="H143" i="1"/>
  <c r="J143" i="1"/>
  <c r="H33" i="1"/>
  <c r="J33" i="1"/>
  <c r="H168" i="1"/>
  <c r="J168" i="1"/>
  <c r="H138" i="1"/>
  <c r="J138" i="1"/>
  <c r="J66" i="1"/>
  <c r="H203" i="1"/>
  <c r="J203" i="1"/>
  <c r="H177" i="1"/>
  <c r="J177" i="1"/>
  <c r="H167" i="1"/>
  <c r="J167" i="1"/>
  <c r="H147" i="1"/>
  <c r="J147" i="1"/>
  <c r="H137" i="1"/>
  <c r="J137" i="1"/>
  <c r="H127" i="1"/>
  <c r="J127" i="1"/>
  <c r="J99" i="1"/>
  <c r="J65" i="1"/>
  <c r="J55" i="1"/>
  <c r="H27" i="1"/>
  <c r="J27" i="1"/>
  <c r="H200" i="1"/>
  <c r="J200" i="1"/>
  <c r="H132" i="1"/>
  <c r="J132" i="1"/>
  <c r="H34" i="1"/>
  <c r="J34" i="1"/>
  <c r="H209" i="1"/>
  <c r="J209" i="1"/>
  <c r="H131" i="1"/>
  <c r="J131" i="1"/>
  <c r="H178" i="1"/>
  <c r="J178" i="1"/>
  <c r="H128" i="1"/>
  <c r="J128" i="1"/>
  <c r="H28" i="1"/>
  <c r="J28" i="1"/>
  <c r="H212" i="1"/>
  <c r="J212" i="1"/>
  <c r="H202" i="1"/>
  <c r="J202" i="1"/>
  <c r="H176" i="1"/>
  <c r="J176" i="1"/>
  <c r="H164" i="1"/>
  <c r="J164" i="1"/>
  <c r="H146" i="1"/>
  <c r="J146" i="1"/>
  <c r="H136" i="1"/>
  <c r="J136" i="1"/>
  <c r="J108" i="1"/>
  <c r="J98" i="1"/>
  <c r="J64" i="1"/>
  <c r="H36" i="1"/>
  <c r="J36" i="1"/>
  <c r="H26" i="1"/>
  <c r="J26" i="1"/>
  <c r="H210" i="1"/>
  <c r="J210" i="1"/>
  <c r="H144" i="1"/>
  <c r="J144" i="1"/>
  <c r="J60" i="1"/>
  <c r="H171" i="1"/>
  <c r="J171" i="1"/>
  <c r="H161" i="1"/>
  <c r="J161" i="1"/>
  <c r="J95" i="1"/>
  <c r="H23" i="1"/>
  <c r="J23" i="1"/>
  <c r="H204" i="1"/>
  <c r="J204" i="1"/>
  <c r="H148" i="1"/>
  <c r="J148" i="1"/>
  <c r="J100" i="1"/>
  <c r="J56" i="1"/>
  <c r="H211" i="1"/>
  <c r="J211" i="1"/>
  <c r="H201" i="1"/>
  <c r="J201" i="1"/>
  <c r="H175" i="1"/>
  <c r="J175" i="1"/>
  <c r="H163" i="1"/>
  <c r="J163" i="1"/>
  <c r="H145" i="1"/>
  <c r="J145" i="1"/>
  <c r="H135" i="1"/>
  <c r="J135" i="1"/>
  <c r="J107" i="1"/>
  <c r="J97" i="1"/>
  <c r="J63" i="1"/>
  <c r="H35" i="1"/>
  <c r="J35" i="1"/>
  <c r="H25" i="1"/>
  <c r="J25" i="1"/>
  <c r="H172" i="1"/>
  <c r="J172" i="1"/>
  <c r="J96" i="1"/>
  <c r="J59" i="1"/>
  <c r="H208" i="1"/>
  <c r="J208" i="1"/>
  <c r="H180" i="1"/>
  <c r="J180" i="1"/>
  <c r="H170" i="1"/>
  <c r="J170" i="1"/>
  <c r="H160" i="1"/>
  <c r="J160" i="1"/>
  <c r="H140" i="1"/>
  <c r="J140" i="1"/>
  <c r="H130" i="1"/>
  <c r="J130" i="1"/>
  <c r="J104" i="1"/>
  <c r="J68" i="1"/>
  <c r="J58" i="1"/>
  <c r="H32" i="1"/>
  <c r="J32" i="1"/>
  <c r="H162" i="1"/>
  <c r="J162" i="1"/>
  <c r="H24" i="1"/>
  <c r="J24" i="1"/>
  <c r="J105" i="1"/>
  <c r="H207" i="1"/>
  <c r="J207" i="1"/>
  <c r="H179" i="1"/>
  <c r="J179" i="1"/>
  <c r="H169" i="1"/>
  <c r="J169" i="1"/>
  <c r="H159" i="1"/>
  <c r="J159" i="1"/>
  <c r="H139" i="1"/>
  <c r="J139" i="1"/>
  <c r="H129" i="1"/>
  <c r="J129" i="1"/>
  <c r="J103" i="1"/>
  <c r="J67" i="1"/>
  <c r="J57" i="1"/>
  <c r="H31" i="1"/>
  <c r="J31" i="1"/>
  <c r="AJ33" i="4"/>
  <c r="AJ34" i="4"/>
  <c r="AJ35" i="4"/>
  <c r="AJ36" i="4"/>
  <c r="AJ37" i="4"/>
  <c r="AJ50" i="4"/>
  <c r="AJ51" i="4"/>
  <c r="AJ52" i="4"/>
  <c r="AJ53" i="4"/>
  <c r="AJ54" i="4"/>
  <c r="AJ55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32" i="4"/>
  <c r="AI51" i="1" l="1"/>
  <c r="AG48" i="1"/>
  <c r="C48" i="1"/>
  <c r="Q47" i="1"/>
  <c r="AK46" i="1"/>
  <c r="AE45" i="1"/>
  <c r="AK47" i="1"/>
  <c r="AG51" i="1"/>
  <c r="C51" i="1"/>
  <c r="Q50" i="1"/>
  <c r="AK49" i="1"/>
  <c r="AE48" i="1"/>
  <c r="AI46" i="1"/>
  <c r="AI52" i="1"/>
  <c r="AG49" i="1"/>
  <c r="Q48" i="1"/>
  <c r="AE46" i="1"/>
  <c r="AK52" i="1"/>
  <c r="AE51" i="1"/>
  <c r="AI49" i="1"/>
  <c r="AG46" i="1"/>
  <c r="C46" i="1"/>
  <c r="Q45" i="1"/>
  <c r="C49" i="1"/>
  <c r="AG52" i="1"/>
  <c r="C52" i="1"/>
  <c r="Q49" i="1"/>
  <c r="AI48" i="1"/>
  <c r="AG47" i="1"/>
  <c r="AE49" i="1"/>
  <c r="AK48" i="1"/>
  <c r="AE52" i="1"/>
  <c r="AE47" i="1"/>
  <c r="C45" i="1"/>
  <c r="AK45" i="1"/>
  <c r="AI50" i="1"/>
  <c r="AI47" i="1"/>
  <c r="C47" i="1"/>
  <c r="Q52" i="1"/>
  <c r="AK51" i="1"/>
  <c r="AK50" i="1"/>
  <c r="C50" i="1"/>
  <c r="Q46" i="1"/>
  <c r="AI45" i="1"/>
  <c r="Q51" i="1"/>
  <c r="AG45" i="1"/>
  <c r="AG50" i="1"/>
  <c r="AE50" i="1"/>
  <c r="Q41" i="1"/>
  <c r="Q37" i="1"/>
  <c r="C44" i="1"/>
  <c r="C43" i="1"/>
  <c r="C42" i="1"/>
  <c r="C41" i="1"/>
  <c r="C40" i="1"/>
  <c r="C39" i="1"/>
  <c r="C38" i="1"/>
  <c r="C37" i="1"/>
  <c r="Q43" i="1"/>
  <c r="Q40" i="1"/>
  <c r="Q38" i="1"/>
  <c r="Q44" i="1"/>
  <c r="Q42" i="1"/>
  <c r="Q39" i="1"/>
  <c r="AE42" i="1"/>
  <c r="AI44" i="1"/>
  <c r="AI39" i="1"/>
  <c r="AK38" i="1"/>
  <c r="AE37" i="1"/>
  <c r="AE44" i="1"/>
  <c r="AC40" i="1"/>
  <c r="AK44" i="1"/>
  <c r="AK39" i="1"/>
  <c r="AK37" i="1"/>
  <c r="AG41" i="1"/>
  <c r="AI38" i="1"/>
  <c r="AK40" i="1"/>
  <c r="AK43" i="1"/>
  <c r="AE39" i="1"/>
  <c r="AG44" i="1"/>
  <c r="AI40" i="1"/>
  <c r="AE40" i="1"/>
  <c r="AI37" i="1"/>
  <c r="AE43" i="1"/>
  <c r="AC42" i="1"/>
  <c r="AE38" i="1"/>
  <c r="AI41" i="1"/>
  <c r="AG42" i="1"/>
  <c r="AC37" i="1"/>
  <c r="AE41" i="1"/>
  <c r="AG38" i="1"/>
  <c r="AG40" i="1"/>
  <c r="AC43" i="1"/>
  <c r="AI43" i="1"/>
  <c r="AI42" i="1"/>
  <c r="AG39" i="1"/>
  <c r="AK41" i="1"/>
  <c r="AC38" i="1"/>
  <c r="AC41" i="1"/>
  <c r="AC39" i="1"/>
  <c r="AG37" i="1"/>
  <c r="AK42" i="1"/>
  <c r="AC44" i="1"/>
  <c r="AG43" i="1"/>
  <c r="A171" i="13"/>
  <c r="O171" i="13"/>
  <c r="N171" i="13" s="1"/>
  <c r="A201" i="13"/>
  <c r="A131" i="13"/>
  <c r="O131" i="13"/>
  <c r="N131" i="13" s="1"/>
  <c r="A209" i="13"/>
  <c r="A204" i="13"/>
  <c r="A147" i="13"/>
  <c r="O147" i="13"/>
  <c r="N147" i="13" s="1"/>
  <c r="A199" i="13"/>
  <c r="A144" i="13"/>
  <c r="O144" i="13"/>
  <c r="N144" i="13" s="1"/>
  <c r="A175" i="13"/>
  <c r="O175" i="13"/>
  <c r="N175" i="13" s="1"/>
  <c r="A128" i="13"/>
  <c r="O128" i="13"/>
  <c r="N128" i="13" s="1"/>
  <c r="A138" i="13"/>
  <c r="O138" i="13"/>
  <c r="N138" i="13" s="1"/>
  <c r="A208" i="13"/>
  <c r="A200" i="13"/>
  <c r="A145" i="13"/>
  <c r="O145" i="13"/>
  <c r="N145" i="13" s="1"/>
  <c r="A161" i="13"/>
  <c r="O161" i="13"/>
  <c r="N161" i="13" s="1"/>
  <c r="A159" i="13"/>
  <c r="O159" i="13"/>
  <c r="N159" i="13" s="1"/>
  <c r="A202" i="13"/>
  <c r="A140" i="13"/>
  <c r="O140" i="13"/>
  <c r="N140" i="13" s="1"/>
  <c r="A127" i="13"/>
  <c r="O127" i="13"/>
  <c r="N127" i="13" s="1"/>
  <c r="A135" i="13"/>
  <c r="O135" i="13"/>
  <c r="N135" i="13" s="1"/>
  <c r="A211" i="13"/>
  <c r="A146" i="13"/>
  <c r="O146" i="13"/>
  <c r="N146" i="13" s="1"/>
  <c r="A170" i="13"/>
  <c r="O170" i="13"/>
  <c r="N170" i="13" s="1"/>
  <c r="A136" i="13"/>
  <c r="O136" i="13"/>
  <c r="N136" i="13" s="1"/>
  <c r="A130" i="13"/>
  <c r="O130" i="13"/>
  <c r="N130" i="13" s="1"/>
  <c r="A177" i="13"/>
  <c r="O177" i="13"/>
  <c r="N177" i="13" s="1"/>
  <c r="A164" i="13"/>
  <c r="O164" i="13"/>
  <c r="N164" i="13" s="1"/>
  <c r="A203" i="13"/>
  <c r="A160" i="13"/>
  <c r="O160" i="13"/>
  <c r="N160" i="13" s="1"/>
  <c r="A169" i="13"/>
  <c r="O169" i="13"/>
  <c r="N169" i="13" s="1"/>
  <c r="A143" i="13"/>
  <c r="O143" i="13"/>
  <c r="N143" i="13" s="1"/>
  <c r="A178" i="13"/>
  <c r="O178" i="13"/>
  <c r="N178" i="13" s="1"/>
  <c r="A172" i="13"/>
  <c r="O172" i="13"/>
  <c r="N172" i="13" s="1"/>
  <c r="A179" i="13"/>
  <c r="O179" i="13"/>
  <c r="N179" i="13" s="1"/>
  <c r="A129" i="13"/>
  <c r="O129" i="13"/>
  <c r="N129" i="13" s="1"/>
  <c r="A162" i="13"/>
  <c r="O162" i="13"/>
  <c r="N162" i="13" s="1"/>
  <c r="A139" i="13"/>
  <c r="O139" i="13"/>
  <c r="N139" i="13" s="1"/>
  <c r="A168" i="13"/>
  <c r="O168" i="13"/>
  <c r="N168" i="13" s="1"/>
  <c r="A137" i="13"/>
  <c r="O137" i="13"/>
  <c r="N137" i="13" s="1"/>
  <c r="A207" i="13"/>
  <c r="A132" i="13"/>
  <c r="O132" i="13"/>
  <c r="N132" i="13" s="1"/>
  <c r="A210" i="13"/>
  <c r="A148" i="13"/>
  <c r="O148" i="13"/>
  <c r="N148" i="13" s="1"/>
  <c r="A180" i="13"/>
  <c r="O180" i="13"/>
  <c r="N180" i="13" s="1"/>
  <c r="A163" i="13"/>
  <c r="O163" i="13"/>
  <c r="N163" i="13" s="1"/>
  <c r="A176" i="13"/>
  <c r="O176" i="13"/>
  <c r="N176" i="13" s="1"/>
  <c r="A212" i="13"/>
  <c r="A167" i="13"/>
  <c r="O167" i="13"/>
  <c r="N167" i="13" s="1"/>
  <c r="C27" i="1"/>
  <c r="B27" i="13" s="1"/>
  <c r="C23" i="1"/>
  <c r="B23" i="13" s="1"/>
  <c r="C199" i="1"/>
  <c r="C100" i="1"/>
  <c r="C58" i="1"/>
  <c r="C179" i="1"/>
  <c r="C33" i="1"/>
  <c r="C209" i="1"/>
  <c r="C96" i="1"/>
  <c r="B96" i="13" s="1"/>
  <c r="C136" i="1"/>
  <c r="C178" i="1"/>
  <c r="C98" i="1"/>
  <c r="C32" i="1"/>
  <c r="C170" i="1"/>
  <c r="C132" i="1"/>
  <c r="C66" i="1"/>
  <c r="C24" i="1"/>
  <c r="B24" i="13" s="1"/>
  <c r="C128" i="1"/>
  <c r="C103" i="1"/>
  <c r="C171" i="1"/>
  <c r="C135" i="1"/>
  <c r="C211" i="1"/>
  <c r="C202" i="1"/>
  <c r="C139" i="1"/>
  <c r="C210" i="1"/>
  <c r="B210" i="13" s="1"/>
  <c r="C127" i="1"/>
  <c r="C35" i="1"/>
  <c r="C167" i="1"/>
  <c r="C148" i="1"/>
  <c r="C131" i="1"/>
  <c r="C212" i="1"/>
  <c r="C169" i="1"/>
  <c r="C65" i="1"/>
  <c r="B65" i="13" s="1"/>
  <c r="C109" i="1"/>
  <c r="C117" i="1"/>
  <c r="C151" i="1"/>
  <c r="Q149" i="1"/>
  <c r="Q109" i="1"/>
  <c r="Q117" i="1"/>
  <c r="Q70" i="1"/>
  <c r="Q78" i="1"/>
  <c r="Q86" i="1"/>
  <c r="C91" i="1"/>
  <c r="C74" i="1"/>
  <c r="C82" i="1"/>
  <c r="C54" i="1"/>
  <c r="C126" i="1"/>
  <c r="C166" i="1"/>
  <c r="Q150" i="1"/>
  <c r="Q118" i="1"/>
  <c r="Q79" i="1"/>
  <c r="C21" i="1"/>
  <c r="C197" i="1"/>
  <c r="C70" i="1"/>
  <c r="C13" i="1"/>
  <c r="Q156" i="1"/>
  <c r="Q124" i="1"/>
  <c r="Q85" i="1"/>
  <c r="C71" i="1"/>
  <c r="C14" i="1"/>
  <c r="Q119" i="1"/>
  <c r="Q80" i="1"/>
  <c r="C30" i="1"/>
  <c r="Q154" i="1"/>
  <c r="Q122" i="1"/>
  <c r="Q91" i="1"/>
  <c r="C53" i="1"/>
  <c r="C165" i="1"/>
  <c r="C110" i="1"/>
  <c r="C118" i="1"/>
  <c r="C181" i="1"/>
  <c r="Q182" i="1"/>
  <c r="C152" i="1"/>
  <c r="Q152" i="1"/>
  <c r="Q112" i="1"/>
  <c r="Q120" i="1"/>
  <c r="Q73" i="1"/>
  <c r="Q81" i="1"/>
  <c r="Q89" i="1"/>
  <c r="C92" i="1"/>
  <c r="C75" i="1"/>
  <c r="C83" i="1"/>
  <c r="C61" i="1"/>
  <c r="C133" i="1"/>
  <c r="C173" i="1"/>
  <c r="C120" i="1"/>
  <c r="Q183" i="1"/>
  <c r="C154" i="1"/>
  <c r="Q110" i="1"/>
  <c r="Q71" i="1"/>
  <c r="C86" i="1"/>
  <c r="C77" i="1"/>
  <c r="C141" i="1"/>
  <c r="C113" i="1"/>
  <c r="C184" i="1"/>
  <c r="Q153" i="1"/>
  <c r="Q121" i="1"/>
  <c r="Q82" i="1"/>
  <c r="C22" i="1"/>
  <c r="C94" i="1"/>
  <c r="C114" i="1"/>
  <c r="C187" i="1"/>
  <c r="Q196" i="1"/>
  <c r="C88" i="1"/>
  <c r="C79" i="1"/>
  <c r="C157" i="1"/>
  <c r="C115" i="1"/>
  <c r="C149" i="1"/>
  <c r="Q151" i="1"/>
  <c r="Q111" i="1"/>
  <c r="Q72" i="1"/>
  <c r="C89" i="1"/>
  <c r="C80" i="1"/>
  <c r="C158" i="1"/>
  <c r="C124" i="1"/>
  <c r="Q185" i="1"/>
  <c r="Q83" i="1"/>
  <c r="C81" i="1"/>
  <c r="C111" i="1"/>
  <c r="C119" i="1"/>
  <c r="C182" i="1"/>
  <c r="C153" i="1"/>
  <c r="Q155" i="1"/>
  <c r="Q115" i="1"/>
  <c r="Q123" i="1"/>
  <c r="Q76" i="1"/>
  <c r="Q84" i="1"/>
  <c r="Q92" i="1"/>
  <c r="C85" i="1"/>
  <c r="C76" i="1"/>
  <c r="C84" i="1"/>
  <c r="C6" i="1"/>
  <c r="C62" i="1"/>
  <c r="C134" i="1"/>
  <c r="C174" i="1"/>
  <c r="C112" i="1"/>
  <c r="C183" i="1"/>
  <c r="Q188" i="1"/>
  <c r="Q87" i="1"/>
  <c r="C69" i="1"/>
  <c r="C93" i="1"/>
  <c r="C121" i="1"/>
  <c r="C155" i="1"/>
  <c r="Q113" i="1"/>
  <c r="Q74" i="1"/>
  <c r="Q90" i="1"/>
  <c r="C87" i="1"/>
  <c r="C78" i="1"/>
  <c r="C142" i="1"/>
  <c r="C122" i="1"/>
  <c r="Q184" i="1"/>
  <c r="Q189" i="1"/>
  <c r="C156" i="1"/>
  <c r="Q116" i="1"/>
  <c r="Q69" i="1"/>
  <c r="Q77" i="1"/>
  <c r="C29" i="1"/>
  <c r="C101" i="1"/>
  <c r="C123" i="1"/>
  <c r="Q88" i="1"/>
  <c r="C72" i="1"/>
  <c r="C102" i="1"/>
  <c r="C116" i="1"/>
  <c r="Q181" i="1"/>
  <c r="C150" i="1"/>
  <c r="Q114" i="1"/>
  <c r="Q75" i="1"/>
  <c r="C90" i="1"/>
  <c r="C73" i="1"/>
  <c r="C125" i="1"/>
  <c r="B125" i="13" s="1"/>
  <c r="AI114" i="1"/>
  <c r="AG185" i="1"/>
  <c r="AI80" i="1"/>
  <c r="AC121" i="1"/>
  <c r="AI120" i="1"/>
  <c r="AA156" i="1"/>
  <c r="AE155" i="1"/>
  <c r="AK90" i="1"/>
  <c r="AG152" i="1"/>
  <c r="AK184" i="1"/>
  <c r="AK82" i="1"/>
  <c r="AA152" i="1"/>
  <c r="AG88" i="1"/>
  <c r="AE82" i="1"/>
  <c r="AG114" i="1"/>
  <c r="AE80" i="1"/>
  <c r="AI152" i="1"/>
  <c r="AE72" i="1"/>
  <c r="AK78" i="1"/>
  <c r="AA181" i="1"/>
  <c r="AC117" i="1"/>
  <c r="AE71" i="1"/>
  <c r="AE86" i="1"/>
  <c r="AE150" i="1"/>
  <c r="AK86" i="1"/>
  <c r="AC71" i="1"/>
  <c r="AI86" i="1"/>
  <c r="AG77" i="1"/>
  <c r="AE118" i="1"/>
  <c r="AK195" i="1"/>
  <c r="AI194" i="1"/>
  <c r="AK191" i="1"/>
  <c r="AA195" i="1"/>
  <c r="AA187" i="1"/>
  <c r="Q195" i="1"/>
  <c r="AC189" i="1"/>
  <c r="C194" i="1"/>
  <c r="AK123" i="1"/>
  <c r="AI155" i="1"/>
  <c r="AI88" i="1"/>
  <c r="AI84" i="1"/>
  <c r="AE75" i="1"/>
  <c r="AG83" i="1"/>
  <c r="AA123" i="1"/>
  <c r="AA91" i="1"/>
  <c r="AE77" i="1"/>
  <c r="AC191" i="1"/>
  <c r="AA151" i="1"/>
  <c r="AI182" i="1"/>
  <c r="C195" i="1"/>
  <c r="AA191" i="1"/>
  <c r="AI192" i="1"/>
  <c r="AI153" i="1"/>
  <c r="Y154" i="1"/>
  <c r="AG72" i="1"/>
  <c r="AG91" i="1"/>
  <c r="AC92" i="1"/>
  <c r="AE184" i="1"/>
  <c r="AE188" i="1"/>
  <c r="Y85" i="1"/>
  <c r="AC190" i="1"/>
  <c r="AK76" i="1"/>
  <c r="AE114" i="1"/>
  <c r="AK88" i="1"/>
  <c r="AI90" i="1"/>
  <c r="AK121" i="1"/>
  <c r="Y185" i="1"/>
  <c r="Y117" i="1"/>
  <c r="AA119" i="1"/>
  <c r="AE110" i="1"/>
  <c r="AG71" i="1"/>
  <c r="AC195" i="1"/>
  <c r="C196" i="1"/>
  <c r="Y152" i="1"/>
  <c r="AI76" i="1"/>
  <c r="AK156" i="1"/>
  <c r="C185" i="1"/>
  <c r="AC153" i="1"/>
  <c r="AC184" i="1"/>
  <c r="AK70" i="1"/>
  <c r="AI119" i="1"/>
  <c r="AI77" i="1"/>
  <c r="AG90" i="1"/>
  <c r="Y184" i="1"/>
  <c r="AK74" i="1"/>
  <c r="Y91" i="1"/>
  <c r="AG113" i="1"/>
  <c r="AE153" i="1"/>
  <c r="AK153" i="1"/>
  <c r="AI82" i="1"/>
  <c r="AG123" i="1"/>
  <c r="AG153" i="1"/>
  <c r="AI74" i="1"/>
  <c r="Y121" i="1"/>
  <c r="Y88" i="1"/>
  <c r="AC156" i="1"/>
  <c r="AG92" i="1"/>
  <c r="AG76" i="1"/>
  <c r="AE121" i="1"/>
  <c r="AC181" i="1"/>
  <c r="AK77" i="1"/>
  <c r="AA182" i="1"/>
  <c r="AC118" i="1"/>
  <c r="AK118" i="1"/>
  <c r="AE85" i="1"/>
  <c r="AE149" i="1"/>
  <c r="AK85" i="1"/>
  <c r="AI87" i="1"/>
  <c r="AI183" i="1"/>
  <c r="AE117" i="1"/>
  <c r="AG189" i="1"/>
  <c r="AI193" i="1"/>
  <c r="AK190" i="1"/>
  <c r="Q194" i="1"/>
  <c r="AG186" i="1"/>
  <c r="AE194" i="1"/>
  <c r="AI188" i="1"/>
  <c r="C186" i="1"/>
  <c r="AE89" i="1"/>
  <c r="AG121" i="1"/>
  <c r="AI185" i="1"/>
  <c r="AC182" i="1"/>
  <c r="AI111" i="1"/>
  <c r="AI190" i="1"/>
  <c r="Y182" i="1"/>
  <c r="AA194" i="1"/>
  <c r="AG187" i="1"/>
  <c r="AK115" i="1"/>
  <c r="AK75" i="1"/>
  <c r="AE187" i="1"/>
  <c r="AE76" i="1"/>
  <c r="Y187" i="1"/>
  <c r="AA153" i="1"/>
  <c r="AI184" i="1"/>
  <c r="AE154" i="1"/>
  <c r="AG80" i="1"/>
  <c r="Y87" i="1"/>
  <c r="AI109" i="1"/>
  <c r="AC87" i="1"/>
  <c r="AE182" i="1"/>
  <c r="AA190" i="1"/>
  <c r="Q190" i="1"/>
  <c r="AE88" i="1"/>
  <c r="AI72" i="1"/>
  <c r="AG81" i="1"/>
  <c r="AA90" i="1"/>
  <c r="AK154" i="1"/>
  <c r="AI81" i="1"/>
  <c r="Y86" i="1"/>
  <c r="AE69" i="1"/>
  <c r="AE109" i="1"/>
  <c r="AE84" i="1"/>
  <c r="AK155" i="1"/>
  <c r="AE112" i="1"/>
  <c r="AC72" i="1"/>
  <c r="AE91" i="1"/>
  <c r="AA89" i="1"/>
  <c r="AC152" i="1"/>
  <c r="AK81" i="1"/>
  <c r="AA120" i="1"/>
  <c r="AG115" i="1"/>
  <c r="AC75" i="1"/>
  <c r="AE120" i="1"/>
  <c r="AG84" i="1"/>
  <c r="Y153" i="1"/>
  <c r="AC90" i="1"/>
  <c r="C190" i="1"/>
  <c r="AI91" i="1"/>
  <c r="AE78" i="1"/>
  <c r="AC183" i="1"/>
  <c r="AI71" i="1"/>
  <c r="AA183" i="1"/>
  <c r="AC119" i="1"/>
  <c r="AK119" i="1"/>
  <c r="AI189" i="1"/>
  <c r="AA149" i="1"/>
  <c r="AK87" i="1"/>
  <c r="Y181" i="1"/>
  <c r="AI85" i="1"/>
  <c r="AI181" i="1"/>
  <c r="AG87" i="1"/>
  <c r="C191" i="1"/>
  <c r="Q193" i="1"/>
  <c r="C198" i="1"/>
  <c r="AI191" i="1"/>
  <c r="Y186" i="1"/>
  <c r="AK193" i="1"/>
  <c r="AA188" i="1"/>
  <c r="C206" i="1"/>
  <c r="AC76" i="1"/>
  <c r="AE74" i="1"/>
  <c r="AK113" i="1"/>
  <c r="AK114" i="1"/>
  <c r="AK83" i="1"/>
  <c r="AI70" i="1"/>
  <c r="AK117" i="1"/>
  <c r="AC85" i="1"/>
  <c r="AA85" i="1"/>
  <c r="AG85" i="1"/>
  <c r="Q192" i="1"/>
  <c r="Q186" i="1"/>
  <c r="C193" i="1"/>
  <c r="AG75" i="1"/>
  <c r="AK84" i="1"/>
  <c r="AG116" i="1"/>
  <c r="AA184" i="1"/>
  <c r="AE90" i="1"/>
  <c r="Y89" i="1"/>
  <c r="AE79" i="1"/>
  <c r="AI69" i="1"/>
  <c r="AI110" i="1"/>
  <c r="AA117" i="1"/>
  <c r="AI79" i="1"/>
  <c r="AA150" i="1"/>
  <c r="AC86" i="1"/>
  <c r="Y183" i="1"/>
  <c r="AA87" i="1"/>
  <c r="AE183" i="1"/>
  <c r="AG86" i="1"/>
  <c r="AE195" i="1"/>
  <c r="C192" i="1"/>
  <c r="AE191" i="1"/>
  <c r="AG190" i="1"/>
  <c r="AE185" i="1"/>
  <c r="AG191" i="1"/>
  <c r="AK92" i="1"/>
  <c r="AC88" i="1"/>
  <c r="AE81" i="1"/>
  <c r="AE152" i="1"/>
  <c r="AI75" i="1"/>
  <c r="AC187" i="1"/>
  <c r="AG82" i="1"/>
  <c r="AK71" i="1"/>
  <c r="AI118" i="1"/>
  <c r="AI78" i="1"/>
  <c r="AG119" i="1"/>
  <c r="AA86" i="1"/>
  <c r="C189" i="1"/>
  <c r="Q191" i="1"/>
  <c r="Q187" i="1"/>
  <c r="AC74" i="1"/>
  <c r="AK91" i="1"/>
  <c r="AA121" i="1"/>
  <c r="Y92" i="1"/>
  <c r="AG184" i="1"/>
  <c r="Y119" i="1"/>
  <c r="AA118" i="1"/>
  <c r="AC69" i="1"/>
  <c r="AK187" i="1"/>
  <c r="AK152" i="1"/>
  <c r="AC154" i="1"/>
  <c r="Y118" i="1"/>
  <c r="AG117" i="1"/>
  <c r="C205" i="1"/>
  <c r="AE190" i="1"/>
  <c r="AI121" i="1"/>
  <c r="AA88" i="1"/>
  <c r="AE83" i="1"/>
  <c r="AG89" i="1"/>
  <c r="AK80" i="1"/>
  <c r="AI117" i="1"/>
  <c r="AG118" i="1"/>
  <c r="AG193" i="1"/>
  <c r="AK189" i="1"/>
  <c r="AG156" i="1"/>
  <c r="AE70" i="1"/>
  <c r="AG79" i="1"/>
  <c r="AK196" i="1"/>
  <c r="AK185" i="1"/>
  <c r="AK72" i="1"/>
  <c r="AC70" i="1"/>
  <c r="C188" i="1"/>
  <c r="AG69" i="1"/>
  <c r="Y123" i="1"/>
  <c r="AE87" i="1"/>
  <c r="AG78" i="1"/>
  <c r="AI195" i="1"/>
  <c r="AC185" i="1"/>
  <c r="AE119" i="1"/>
  <c r="AG70" i="1"/>
  <c r="AK79" i="1"/>
  <c r="AG195" i="1"/>
  <c r="AA185" i="1"/>
  <c r="AE151" i="1"/>
  <c r="AE181" i="1"/>
  <c r="AE189" i="1"/>
  <c r="Y156" i="1"/>
  <c r="AA154" i="1"/>
  <c r="AC89" i="1"/>
  <c r="AE111" i="1"/>
  <c r="AG196" i="1"/>
  <c r="AI187" i="1"/>
  <c r="AC91" i="1"/>
  <c r="AK69" i="1"/>
  <c r="AA189" i="1"/>
  <c r="AK89" i="1"/>
  <c r="AE196" i="1"/>
  <c r="AC194" i="1"/>
  <c r="AI83" i="1"/>
  <c r="AC123" i="1"/>
  <c r="AC155" i="1"/>
  <c r="Y124" i="1"/>
  <c r="AG122" i="1"/>
  <c r="AK122" i="1"/>
  <c r="AK186" i="1"/>
  <c r="AG181" i="1"/>
  <c r="AI150" i="1"/>
  <c r="AK110" i="1"/>
  <c r="AA192" i="1"/>
  <c r="AK182" i="1"/>
  <c r="AC196" i="1"/>
  <c r="AG74" i="1"/>
  <c r="AC151" i="1"/>
  <c r="AG192" i="1"/>
  <c r="Y120" i="1"/>
  <c r="Y188" i="1"/>
  <c r="AE73" i="1"/>
  <c r="AK181" i="1"/>
  <c r="AE156" i="1"/>
  <c r="AI122" i="1"/>
  <c r="AE115" i="1"/>
  <c r="AI156" i="1"/>
  <c r="AG110" i="1"/>
  <c r="AG120" i="1"/>
  <c r="AG188" i="1"/>
  <c r="AC122" i="1"/>
  <c r="AK109" i="1"/>
  <c r="AA92" i="1"/>
  <c r="AG112" i="1"/>
  <c r="AE122" i="1"/>
  <c r="AE92" i="1"/>
  <c r="AA122" i="1"/>
  <c r="AI196" i="1"/>
  <c r="AG151" i="1"/>
  <c r="AG183" i="1"/>
  <c r="AI151" i="1"/>
  <c r="AK150" i="1"/>
  <c r="AG73" i="1"/>
  <c r="AA124" i="1"/>
  <c r="AI115" i="1"/>
  <c r="AE116" i="1"/>
  <c r="AI89" i="1"/>
  <c r="AK194" i="1"/>
  <c r="Y151" i="1"/>
  <c r="AE123" i="1"/>
  <c r="AE124" i="1"/>
  <c r="AK120" i="1"/>
  <c r="AK183" i="1"/>
  <c r="AC192" i="1"/>
  <c r="AE193" i="1"/>
  <c r="AI116" i="1"/>
  <c r="AC149" i="1"/>
  <c r="AC186" i="1"/>
  <c r="AG124" i="1"/>
  <c r="AI154" i="1"/>
  <c r="AA193" i="1"/>
  <c r="AK188" i="1"/>
  <c r="AC150" i="1"/>
  <c r="AC73" i="1"/>
  <c r="AK112" i="1"/>
  <c r="Y122" i="1"/>
  <c r="AG182" i="1"/>
  <c r="AG194" i="1"/>
  <c r="AK192" i="1"/>
  <c r="AI92" i="1"/>
  <c r="AI113" i="1"/>
  <c r="AE186" i="1"/>
  <c r="AA155" i="1"/>
  <c r="AA186" i="1"/>
  <c r="AG149" i="1"/>
  <c r="Y149" i="1"/>
  <c r="AI149" i="1"/>
  <c r="AK151" i="1"/>
  <c r="AK124" i="1"/>
  <c r="AI123" i="1"/>
  <c r="AE192" i="1"/>
  <c r="AI73" i="1"/>
  <c r="AG150" i="1"/>
  <c r="AK149" i="1"/>
  <c r="AG154" i="1"/>
  <c r="AG155" i="1"/>
  <c r="AE113" i="1"/>
  <c r="AC193" i="1"/>
  <c r="AK73" i="1"/>
  <c r="Y150" i="1"/>
  <c r="AK116" i="1"/>
  <c r="Y90" i="1"/>
  <c r="AI112" i="1"/>
  <c r="AG111" i="1"/>
  <c r="AC124" i="1"/>
  <c r="AI124" i="1"/>
  <c r="AC120" i="1"/>
  <c r="AK111" i="1"/>
  <c r="AA196" i="1"/>
  <c r="AC188" i="1"/>
  <c r="AI186" i="1"/>
  <c r="Y155" i="1"/>
  <c r="AG109" i="1"/>
  <c r="C18" i="1"/>
  <c r="C16" i="1"/>
  <c r="C15" i="1"/>
  <c r="C19" i="1"/>
  <c r="C20" i="1"/>
  <c r="C17" i="1"/>
  <c r="C144" i="1"/>
  <c r="C60" i="1"/>
  <c r="C28" i="1"/>
  <c r="C130" i="1"/>
  <c r="C143" i="1"/>
  <c r="C12" i="1"/>
  <c r="C7" i="1"/>
  <c r="C208" i="1"/>
  <c r="C147" i="1"/>
  <c r="C207" i="1"/>
  <c r="C34" i="1"/>
  <c r="C145" i="1"/>
  <c r="C162" i="1"/>
  <c r="C168" i="1"/>
  <c r="C99" i="1"/>
  <c r="C107" i="1"/>
  <c r="C176" i="1"/>
  <c r="C108" i="1"/>
  <c r="C172" i="1"/>
  <c r="C137" i="1"/>
  <c r="C140" i="1"/>
  <c r="C104" i="1"/>
  <c r="C160" i="1"/>
  <c r="C56" i="1"/>
  <c r="C57" i="1"/>
  <c r="C163" i="1"/>
  <c r="C164" i="1"/>
  <c r="C63" i="1"/>
  <c r="C161" i="1"/>
  <c r="C67" i="1"/>
  <c r="C36" i="1"/>
  <c r="C177" i="1"/>
  <c r="C200" i="1"/>
  <c r="C146" i="1"/>
  <c r="C25" i="1"/>
  <c r="C59" i="1"/>
  <c r="C204" i="1"/>
  <c r="C105" i="1"/>
  <c r="C31" i="1"/>
  <c r="C159" i="1"/>
  <c r="C55" i="1"/>
  <c r="C129" i="1"/>
  <c r="C97" i="1"/>
  <c r="C10" i="1"/>
  <c r="C180" i="1"/>
  <c r="C26" i="1"/>
  <c r="C138" i="1"/>
  <c r="C201" i="1"/>
  <c r="C64" i="1"/>
  <c r="C203" i="1"/>
  <c r="C175" i="1"/>
  <c r="C95" i="1"/>
  <c r="C68" i="1"/>
  <c r="C106" i="1"/>
  <c r="C9" i="1"/>
  <c r="C8" i="1"/>
  <c r="C11" i="1"/>
  <c r="Q13" i="1"/>
  <c r="Q14" i="1"/>
  <c r="AK16" i="1"/>
  <c r="AI13" i="1"/>
  <c r="AE18" i="1"/>
  <c r="AA19" i="1"/>
  <c r="AC20" i="1"/>
  <c r="AI18" i="1"/>
  <c r="AA17" i="1"/>
  <c r="AG15" i="1"/>
  <c r="Q16" i="1"/>
  <c r="Q18" i="1"/>
  <c r="Q20" i="1"/>
  <c r="AE14" i="1"/>
  <c r="AE16" i="1"/>
  <c r="AG19" i="1"/>
  <c r="AE13" i="1"/>
  <c r="AI19" i="1"/>
  <c r="AI15" i="1"/>
  <c r="AE15" i="1"/>
  <c r="AG20" i="1"/>
  <c r="AK20" i="1"/>
  <c r="AC19" i="1"/>
  <c r="AC18" i="1"/>
  <c r="AK14" i="1"/>
  <c r="AK13" i="1"/>
  <c r="AI17" i="1"/>
  <c r="AK19" i="1"/>
  <c r="Q19" i="1"/>
  <c r="AA14" i="1"/>
  <c r="AC13" i="1"/>
  <c r="Q15" i="1"/>
  <c r="AE19" i="1"/>
  <c r="Q17" i="1"/>
  <c r="AE20" i="1"/>
  <c r="AC14" i="1"/>
  <c r="AG14" i="1"/>
  <c r="AA13" i="1"/>
  <c r="AG16" i="1"/>
  <c r="AA20" i="1"/>
  <c r="AG17" i="1"/>
  <c r="AC17" i="1"/>
  <c r="AG13" i="1"/>
  <c r="AI16" i="1"/>
  <c r="AK15" i="1"/>
  <c r="AG18" i="1"/>
  <c r="AI20" i="1"/>
  <c r="AK17" i="1"/>
  <c r="AI14" i="1"/>
  <c r="AK18" i="1"/>
  <c r="AE17" i="1"/>
  <c r="AA18" i="1"/>
  <c r="C5" i="1"/>
  <c r="E8" i="1"/>
  <c r="D8" i="13" s="1"/>
  <c r="E11" i="1"/>
  <c r="D11" i="13" s="1"/>
  <c r="E12" i="1"/>
  <c r="D12" i="13" s="1"/>
  <c r="E10" i="1"/>
  <c r="D10" i="13" s="1"/>
  <c r="E9" i="1"/>
  <c r="D9" i="13" s="1"/>
  <c r="Q5" i="1"/>
  <c r="Q198" i="1"/>
  <c r="Q142" i="1"/>
  <c r="Q94" i="1"/>
  <c r="Q134" i="1"/>
  <c r="Q165" i="1"/>
  <c r="Q126" i="1"/>
  <c r="Q101" i="1"/>
  <c r="Q173" i="1"/>
  <c r="Q133" i="1"/>
  <c r="Q61" i="1"/>
  <c r="Q53" i="1"/>
  <c r="Q54" i="1"/>
  <c r="Q157" i="1"/>
  <c r="Q206" i="1"/>
  <c r="Q158" i="1"/>
  <c r="Q102" i="1"/>
  <c r="Q197" i="1"/>
  <c r="Q141" i="1"/>
  <c r="Q93" i="1"/>
  <c r="Q174" i="1"/>
  <c r="Q62" i="1"/>
  <c r="Q125" i="1"/>
  <c r="Q166" i="1"/>
  <c r="Q205" i="1"/>
  <c r="W5" i="1"/>
  <c r="AE5" i="1"/>
  <c r="AG5" i="1"/>
  <c r="AA5" i="1"/>
  <c r="AI5" i="1"/>
  <c r="AK5" i="1"/>
  <c r="AC5" i="1"/>
  <c r="Y5" i="1"/>
  <c r="H11" i="1"/>
  <c r="J11" i="1"/>
  <c r="H8" i="1"/>
  <c r="J8" i="1"/>
  <c r="H10" i="1"/>
  <c r="J10" i="1"/>
  <c r="H9" i="1"/>
  <c r="J9" i="1"/>
  <c r="H7" i="1"/>
  <c r="J7" i="1"/>
  <c r="H12" i="1"/>
  <c r="J12" i="1"/>
  <c r="AG8" i="1"/>
  <c r="AA96" i="1"/>
  <c r="AE179" i="1"/>
  <c r="AA25" i="1"/>
  <c r="AI163" i="1"/>
  <c r="AE203" i="1"/>
  <c r="Y8" i="1"/>
  <c r="Y26" i="1"/>
  <c r="AC132" i="1"/>
  <c r="AI32" i="1"/>
  <c r="AE63" i="1"/>
  <c r="AC98" i="1"/>
  <c r="AI24" i="1"/>
  <c r="AG128" i="1"/>
  <c r="AC23" i="1"/>
  <c r="AA164" i="1"/>
  <c r="AG24" i="1"/>
  <c r="AE24" i="1"/>
  <c r="AK103" i="1"/>
  <c r="AC104" i="1"/>
  <c r="AA97" i="1"/>
  <c r="AK68" i="1"/>
  <c r="W10" i="1"/>
  <c r="AK34" i="1"/>
  <c r="AE139" i="1"/>
  <c r="AI104" i="1"/>
  <c r="AE25" i="1"/>
  <c r="AA163" i="1"/>
  <c r="AK55" i="1"/>
  <c r="AE161" i="1"/>
  <c r="AC106" i="1"/>
  <c r="AK12" i="1"/>
  <c r="AI35" i="1"/>
  <c r="AA10" i="1"/>
  <c r="AE23" i="1"/>
  <c r="Y10" i="1"/>
  <c r="AG132" i="1"/>
  <c r="AG32" i="1"/>
  <c r="AE97" i="1"/>
  <c r="AI66" i="1"/>
  <c r="AI172" i="1"/>
  <c r="AE178" i="1"/>
  <c r="Y58" i="1"/>
  <c r="AI95" i="1"/>
  <c r="AC97" i="1"/>
  <c r="AE176" i="1"/>
  <c r="AI168" i="1"/>
  <c r="AG172" i="1"/>
  <c r="AK143" i="1"/>
  <c r="AG27" i="1"/>
  <c r="AC34" i="1"/>
  <c r="AG139" i="1"/>
  <c r="AG130" i="1"/>
  <c r="AC25" i="1"/>
  <c r="AK163" i="1"/>
  <c r="AE55" i="1"/>
  <c r="AI67" i="1"/>
  <c r="AE168" i="1"/>
  <c r="AE66" i="1"/>
  <c r="AE167" i="1"/>
  <c r="AE99" i="1"/>
  <c r="AC171" i="1"/>
  <c r="AG31" i="1"/>
  <c r="AG137" i="1"/>
  <c r="AG60" i="1"/>
  <c r="AC200" i="1"/>
  <c r="AA159" i="1"/>
  <c r="AE32" i="1"/>
  <c r="AE130" i="1"/>
  <c r="AG180" i="1"/>
  <c r="AK211" i="1"/>
  <c r="AC203" i="1"/>
  <c r="AE60" i="1"/>
  <c r="AG106" i="1"/>
  <c r="AI200" i="1"/>
  <c r="AI128" i="1"/>
  <c r="AG159" i="1"/>
  <c r="AA58" i="1"/>
  <c r="AK180" i="1"/>
  <c r="AA67" i="1"/>
  <c r="AC60" i="1"/>
  <c r="AE106" i="1"/>
  <c r="AG200" i="1"/>
  <c r="AK128" i="1"/>
  <c r="AK159" i="1"/>
  <c r="AC58" i="1"/>
  <c r="AG140" i="1"/>
  <c r="AI180" i="1"/>
  <c r="AK95" i="1"/>
  <c r="AK35" i="1"/>
  <c r="AE136" i="1"/>
  <c r="AG99" i="1"/>
  <c r="AC169" i="1"/>
  <c r="AG66" i="1"/>
  <c r="AG168" i="1"/>
  <c r="AK67" i="1"/>
  <c r="AK169" i="1"/>
  <c r="AI68" i="1"/>
  <c r="AC96" i="1"/>
  <c r="AK144" i="1"/>
  <c r="AC172" i="1"/>
  <c r="AG103" i="1"/>
  <c r="AI159" i="1"/>
  <c r="AC63" i="1"/>
  <c r="AI211" i="1"/>
  <c r="AK64" i="1"/>
  <c r="AK176" i="1"/>
  <c r="AC27" i="1"/>
  <c r="AK129" i="1"/>
  <c r="AE105" i="1"/>
  <c r="Y24" i="1"/>
  <c r="AI34" i="1"/>
  <c r="Y60" i="1"/>
  <c r="AK132" i="1"/>
  <c r="AG162" i="1"/>
  <c r="AG11" i="1"/>
  <c r="AI103" i="1"/>
  <c r="AK160" i="1"/>
  <c r="AK33" i="1"/>
  <c r="AA63" i="1"/>
  <c r="AK145" i="1"/>
  <c r="AE175" i="1"/>
  <c r="AK108" i="1"/>
  <c r="AG176" i="1"/>
  <c r="AE56" i="1"/>
  <c r="AG148" i="1"/>
  <c r="AI31" i="1"/>
  <c r="AI207" i="1"/>
  <c r="AG96" i="1"/>
  <c r="AG144" i="1"/>
  <c r="AK178" i="1"/>
  <c r="AK57" i="1"/>
  <c r="AI160" i="1"/>
  <c r="AG208" i="1"/>
  <c r="AG199" i="1"/>
  <c r="AI202" i="1"/>
  <c r="AK177" i="1"/>
  <c r="AA100" i="1"/>
  <c r="AK148" i="1"/>
  <c r="AA129" i="1"/>
  <c r="AE59" i="1"/>
  <c r="AK24" i="1"/>
  <c r="AE34" i="1"/>
  <c r="AK60" i="1"/>
  <c r="AI96" i="1"/>
  <c r="AK106" i="1"/>
  <c r="AA132" i="1"/>
  <c r="AE144" i="1"/>
  <c r="AE210" i="1"/>
  <c r="AG178" i="1"/>
  <c r="AI57" i="1"/>
  <c r="AI179" i="1"/>
  <c r="AK140" i="1"/>
  <c r="AA160" i="1"/>
  <c r="AI208" i="1"/>
  <c r="AC199" i="1"/>
  <c r="AC35" i="1"/>
  <c r="AK36" i="1"/>
  <c r="AK202" i="1"/>
  <c r="AG147" i="1"/>
  <c r="AI177" i="1"/>
  <c r="AA28" i="1"/>
  <c r="AE148" i="1"/>
  <c r="AE67" i="1"/>
  <c r="AC59" i="1"/>
  <c r="AG161" i="1"/>
  <c r="AI209" i="1"/>
  <c r="Q21" i="1"/>
  <c r="Q29" i="1"/>
  <c r="Q22" i="1"/>
  <c r="Q30" i="1"/>
  <c r="W6" i="1"/>
  <c r="AA126" i="1"/>
  <c r="AI174" i="1"/>
  <c r="AI22" i="1"/>
  <c r="AK198" i="1"/>
  <c r="AI102" i="1"/>
  <c r="AI173" i="1"/>
  <c r="AI142" i="1"/>
  <c r="AI21" i="1"/>
  <c r="AK197" i="1"/>
  <c r="AI101" i="1"/>
  <c r="AI141" i="1"/>
  <c r="AC133" i="1"/>
  <c r="AC134" i="1"/>
  <c r="AA125" i="1"/>
  <c r="AA6" i="1"/>
  <c r="AK21" i="1"/>
  <c r="AG166" i="1"/>
  <c r="Y22" i="1"/>
  <c r="AG157" i="1"/>
  <c r="AI125" i="1"/>
  <c r="AI61" i="1"/>
  <c r="AK133" i="1"/>
  <c r="AG29" i="1"/>
  <c r="AK158" i="1"/>
  <c r="AE142" i="1"/>
  <c r="AA62" i="1"/>
  <c r="AK30" i="1"/>
  <c r="AE206" i="1"/>
  <c r="AA94" i="1"/>
  <c r="AA53" i="1"/>
  <c r="AG134" i="1"/>
  <c r="AC21" i="1"/>
  <c r="AG174" i="1"/>
  <c r="AE198" i="1"/>
  <c r="AI93" i="1"/>
  <c r="AG93" i="1"/>
  <c r="AG102" i="1"/>
  <c r="AE157" i="1"/>
  <c r="AE134" i="1"/>
  <c r="AK101" i="1"/>
  <c r="AI53" i="1"/>
  <c r="AK93" i="1"/>
  <c r="Y6" i="1"/>
  <c r="AA29" i="1"/>
  <c r="AK126" i="1"/>
  <c r="AG22" i="1"/>
  <c r="AE173" i="1"/>
  <c r="AK166" i="1"/>
  <c r="AE22" i="1"/>
  <c r="AE30" i="1"/>
  <c r="AK54" i="1"/>
  <c r="AG6" i="1"/>
  <c r="AG61" i="1"/>
  <c r="AK62" i="1"/>
  <c r="AE174" i="1"/>
  <c r="AK173" i="1"/>
  <c r="AE29" i="1"/>
  <c r="AI165" i="1"/>
  <c r="AI6" i="1"/>
  <c r="AE197" i="1"/>
  <c r="AG54" i="1"/>
  <c r="AI94" i="1"/>
  <c r="AG94" i="1"/>
  <c r="AC125" i="1"/>
  <c r="AG101" i="1"/>
  <c r="AC157" i="1"/>
  <c r="AE158" i="1"/>
  <c r="AK205" i="1"/>
  <c r="AI198" i="1"/>
  <c r="AE133" i="1"/>
  <c r="AC29" i="1"/>
  <c r="AK102" i="1"/>
  <c r="AK141" i="1"/>
  <c r="AI54" i="1"/>
  <c r="AE62" i="1"/>
  <c r="AK94" i="1"/>
  <c r="AC6" i="1"/>
  <c r="AG53" i="1"/>
  <c r="AC126" i="1"/>
  <c r="AC158" i="1"/>
  <c r="AK206" i="1"/>
  <c r="AI197" i="1"/>
  <c r="AC30" i="1"/>
  <c r="AK142" i="1"/>
  <c r="AE61" i="1"/>
  <c r="AC54" i="1"/>
  <c r="AG62" i="1"/>
  <c r="AK61" i="1"/>
  <c r="Y53" i="1"/>
  <c r="AG126" i="1"/>
  <c r="AK174" i="1"/>
  <c r="AG197" i="1"/>
  <c r="AE126" i="1"/>
  <c r="AI166" i="1"/>
  <c r="AC53" i="1"/>
  <c r="AK125" i="1"/>
  <c r="Y54" i="1"/>
  <c r="AK165" i="1"/>
  <c r="AG198" i="1"/>
  <c r="AK53" i="1"/>
  <c r="AE6" i="1"/>
  <c r="AI29" i="1"/>
  <c r="AG206" i="1"/>
  <c r="AC198" i="1"/>
  <c r="AI206" i="1"/>
  <c r="AE93" i="1"/>
  <c r="AG142" i="1"/>
  <c r="AA158" i="1"/>
  <c r="AE102" i="1"/>
  <c r="AC94" i="1"/>
  <c r="AE166" i="1"/>
  <c r="AE53" i="1"/>
  <c r="AC62" i="1"/>
  <c r="AC166" i="1"/>
  <c r="AC102" i="1"/>
  <c r="AA21" i="1"/>
  <c r="AI157" i="1"/>
  <c r="AI133" i="1"/>
  <c r="AK22" i="1"/>
  <c r="AG165" i="1"/>
  <c r="Y21" i="1"/>
  <c r="AG158" i="1"/>
  <c r="AI126" i="1"/>
  <c r="AI62" i="1"/>
  <c r="AK134" i="1"/>
  <c r="AG30" i="1"/>
  <c r="AK157" i="1"/>
  <c r="AE141" i="1"/>
  <c r="AA61" i="1"/>
  <c r="AK29" i="1"/>
  <c r="AE205" i="1"/>
  <c r="AA93" i="1"/>
  <c r="AA54" i="1"/>
  <c r="AG133" i="1"/>
  <c r="AC22" i="1"/>
  <c r="AG173" i="1"/>
  <c r="AA30" i="1"/>
  <c r="AG21" i="1"/>
  <c r="AG125" i="1"/>
  <c r="AE21" i="1"/>
  <c r="AE125" i="1"/>
  <c r="AK6" i="1"/>
  <c r="AE101" i="1"/>
  <c r="AI158" i="1"/>
  <c r="AE54" i="1"/>
  <c r="AC61" i="1"/>
  <c r="AE94" i="1"/>
  <c r="AC101" i="1"/>
  <c r="AA157" i="1"/>
  <c r="AI30" i="1"/>
  <c r="AC93" i="1"/>
  <c r="AI134" i="1"/>
  <c r="AA22" i="1"/>
  <c r="AG205" i="1"/>
  <c r="AE165" i="1"/>
  <c r="AC197" i="1"/>
  <c r="AI205" i="1"/>
  <c r="AC165" i="1"/>
  <c r="AG141" i="1"/>
  <c r="AI161" i="1"/>
  <c r="AG105" i="1"/>
  <c r="AA68" i="1"/>
  <c r="AK207" i="1"/>
  <c r="AE169" i="1"/>
  <c r="AC129" i="1"/>
  <c r="AG67" i="1"/>
  <c r="AK31" i="1"/>
  <c r="AI148" i="1"/>
  <c r="AI138" i="1"/>
  <c r="AG100" i="1"/>
  <c r="AK66" i="1"/>
  <c r="AG56" i="1"/>
  <c r="AC28" i="1"/>
  <c r="AG203" i="1"/>
  <c r="AC137" i="1"/>
  <c r="AA127" i="1"/>
  <c r="AE65" i="1"/>
  <c r="AA55" i="1"/>
  <c r="AK27" i="1"/>
  <c r="AK164" i="1"/>
  <c r="AK146" i="1"/>
  <c r="AG136" i="1"/>
  <c r="AA98" i="1"/>
  <c r="AC64" i="1"/>
  <c r="AC36" i="1"/>
  <c r="AK26" i="1"/>
  <c r="AE163" i="1"/>
  <c r="AE145" i="1"/>
  <c r="AC135" i="1"/>
  <c r="AG97" i="1"/>
  <c r="AI63" i="1"/>
  <c r="AG35" i="1"/>
  <c r="AG25" i="1"/>
  <c r="AI199" i="1"/>
  <c r="AE143" i="1"/>
  <c r="AI131" i="1"/>
  <c r="AE95" i="1"/>
  <c r="AA33" i="1"/>
  <c r="AA23" i="1"/>
  <c r="AE209" i="1"/>
  <c r="AG171" i="1"/>
  <c r="AI105" i="1"/>
  <c r="AK59" i="1"/>
  <c r="AC68" i="1"/>
  <c r="AI169" i="1"/>
  <c r="AE129" i="1"/>
  <c r="AA31" i="1"/>
  <c r="AG204" i="1"/>
  <c r="AK138" i="1"/>
  <c r="AK100" i="1"/>
  <c r="AI56" i="1"/>
  <c r="AG28" i="1"/>
  <c r="AI203" i="1"/>
  <c r="AC127" i="1"/>
  <c r="AK65" i="1"/>
  <c r="Y27" i="1"/>
  <c r="AE212" i="1"/>
  <c r="AC202" i="1"/>
  <c r="AE146" i="1"/>
  <c r="AI136" i="1"/>
  <c r="AE108" i="1"/>
  <c r="AE64" i="1"/>
  <c r="AA26" i="1"/>
  <c r="AG163" i="1"/>
  <c r="AG145" i="1"/>
  <c r="AG135" i="1"/>
  <c r="AI97" i="1"/>
  <c r="AK63" i="1"/>
  <c r="AE35" i="1"/>
  <c r="AI25" i="1"/>
  <c r="AE199" i="1"/>
  <c r="AG143" i="1"/>
  <c r="AK131" i="1"/>
  <c r="AG95" i="1"/>
  <c r="AC33" i="1"/>
  <c r="AG209" i="1"/>
  <c r="AI171" i="1"/>
  <c r="AC105" i="1"/>
  <c r="Y59" i="1"/>
  <c r="AE68" i="1"/>
  <c r="AG129" i="1"/>
  <c r="AC31" i="1"/>
  <c r="AI204" i="1"/>
  <c r="AI100" i="1"/>
  <c r="Y56" i="1"/>
  <c r="AI28" i="1"/>
  <c r="W7" i="1"/>
  <c r="AK203" i="1"/>
  <c r="AE177" i="1"/>
  <c r="AC167" i="1"/>
  <c r="AG127" i="1"/>
  <c r="AI99" i="1"/>
  <c r="AG65" i="1"/>
  <c r="AC55" i="1"/>
  <c r="AI27" i="1"/>
  <c r="AI212" i="1"/>
  <c r="AE202" i="1"/>
  <c r="AG146" i="1"/>
  <c r="AC136" i="1"/>
  <c r="AI108" i="1"/>
  <c r="AG64" i="1"/>
  <c r="AE26" i="1"/>
  <c r="AE211" i="1"/>
  <c r="AK201" i="1"/>
  <c r="AI145" i="1"/>
  <c r="AI135" i="1"/>
  <c r="AG107" i="1"/>
  <c r="AG63" i="1"/>
  <c r="AK25" i="1"/>
  <c r="AK199" i="1"/>
  <c r="AI143" i="1"/>
  <c r="AC131" i="1"/>
  <c r="AE33" i="1"/>
  <c r="AK209" i="1"/>
  <c r="AG59" i="1"/>
  <c r="AG169" i="1"/>
  <c r="AC204" i="1"/>
  <c r="AK168" i="1"/>
  <c r="AC138" i="1"/>
  <c r="AC100" i="1"/>
  <c r="AA66" i="1"/>
  <c r="AA56" i="1"/>
  <c r="AE28" i="1"/>
  <c r="AK10" i="1"/>
  <c r="Y7" i="1"/>
  <c r="AG167" i="1"/>
  <c r="AK147" i="1"/>
  <c r="AK99" i="1"/>
  <c r="AA65" i="1"/>
  <c r="AG55" i="1"/>
  <c r="AG212" i="1"/>
  <c r="AC164" i="1"/>
  <c r="AI146" i="1"/>
  <c r="AE98" i="1"/>
  <c r="AE36" i="1"/>
  <c r="AI26" i="1"/>
  <c r="AI201" i="1"/>
  <c r="AI175" i="1"/>
  <c r="AE107" i="1"/>
  <c r="AA131" i="1"/>
  <c r="AA95" i="1"/>
  <c r="AG33" i="1"/>
  <c r="Y23" i="1"/>
  <c r="AK208" i="1"/>
  <c r="AE180" i="1"/>
  <c r="AI170" i="1"/>
  <c r="AE160" i="1"/>
  <c r="AK130" i="1"/>
  <c r="AE58" i="1"/>
  <c r="AE159" i="1"/>
  <c r="AI139" i="1"/>
  <c r="AC57" i="1"/>
  <c r="AE128" i="1"/>
  <c r="AK172" i="1"/>
  <c r="AI162" i="1"/>
  <c r="AA161" i="1"/>
  <c r="AI59" i="1"/>
  <c r="AE207" i="1"/>
  <c r="AE204" i="1"/>
  <c r="AE138" i="1"/>
  <c r="AE100" i="1"/>
  <c r="AC66" i="1"/>
  <c r="AK56" i="1"/>
  <c r="AK28" i="1"/>
  <c r="AA7" i="1"/>
  <c r="AI167" i="1"/>
  <c r="AI127" i="1"/>
  <c r="AA99" i="1"/>
  <c r="AC65" i="1"/>
  <c r="Y55" i="1"/>
  <c r="AA27" i="1"/>
  <c r="AK212" i="1"/>
  <c r="AG164" i="1"/>
  <c r="AG98" i="1"/>
  <c r="AA64" i="1"/>
  <c r="AG36" i="1"/>
  <c r="AC26" i="1"/>
  <c r="AG201" i="1"/>
  <c r="AK175" i="1"/>
  <c r="AK135" i="1"/>
  <c r="AC107" i="1"/>
  <c r="AE131" i="1"/>
  <c r="AC95" i="1"/>
  <c r="AI33" i="1"/>
  <c r="AK23" i="1"/>
  <c r="AG170" i="1"/>
  <c r="AC160" i="1"/>
  <c r="AA130" i="1"/>
  <c r="AE104" i="1"/>
  <c r="AG58" i="1"/>
  <c r="AA32" i="1"/>
  <c r="AK139" i="1"/>
  <c r="AC103" i="1"/>
  <c r="AE57" i="1"/>
  <c r="AA11" i="1"/>
  <c r="AC162" i="1"/>
  <c r="AC161" i="1"/>
  <c r="AK105" i="1"/>
  <c r="AA59" i="1"/>
  <c r="AG68" i="1"/>
  <c r="AG207" i="1"/>
  <c r="AG138" i="1"/>
  <c r="AG177" i="1"/>
  <c r="AK167" i="1"/>
  <c r="AK137" i="1"/>
  <c r="AK127" i="1"/>
  <c r="AC99" i="1"/>
  <c r="AI65" i="1"/>
  <c r="AI55" i="1"/>
  <c r="AE27" i="1"/>
  <c r="AI176" i="1"/>
  <c r="AE164" i="1"/>
  <c r="AI98" i="1"/>
  <c r="AI64" i="1"/>
  <c r="AI36" i="1"/>
  <c r="AG26" i="1"/>
  <c r="AC201" i="1"/>
  <c r="AE135" i="1"/>
  <c r="AG131" i="1"/>
  <c r="AI23" i="1"/>
  <c r="AG160" i="1"/>
  <c r="AC130" i="1"/>
  <c r="AG104" i="1"/>
  <c r="AC32" i="1"/>
  <c r="AC139" i="1"/>
  <c r="AE103" i="1"/>
  <c r="AC11" i="1"/>
  <c r="AI210" i="1"/>
  <c r="AE200" i="1"/>
  <c r="AA162" i="1"/>
  <c r="AA34" i="1"/>
  <c r="AA60" i="1"/>
  <c r="AE132" i="1"/>
  <c r="AK162" i="1"/>
  <c r="AA128" i="1"/>
  <c r="AA57" i="1"/>
  <c r="AI12" i="1"/>
  <c r="AK58" i="1"/>
  <c r="AK170" i="1"/>
  <c r="Y25" i="1"/>
  <c r="AG175" i="1"/>
  <c r="AC108" i="1"/>
  <c r="AE137" i="1"/>
  <c r="AC56" i="1"/>
  <c r="AE31" i="1"/>
  <c r="AE171" i="1"/>
  <c r="AK96" i="1"/>
  <c r="AI144" i="1"/>
  <c r="AE172" i="1"/>
  <c r="Y57" i="1"/>
  <c r="AI58" i="1"/>
  <c r="AE140" i="1"/>
  <c r="AE170" i="1"/>
  <c r="AK107" i="1"/>
  <c r="AG211" i="1"/>
  <c r="AI137" i="1"/>
  <c r="AK204" i="1"/>
  <c r="AI129" i="1"/>
  <c r="AK171" i="1"/>
  <c r="AG7" i="1"/>
  <c r="AC24" i="1"/>
  <c r="AG34" i="1"/>
  <c r="AI132" i="1"/>
  <c r="AE162" i="1"/>
  <c r="AG210" i="1"/>
  <c r="AE11" i="1"/>
  <c r="AK179" i="1"/>
  <c r="AC140" i="1"/>
  <c r="AC170" i="1"/>
  <c r="AI107" i="1"/>
  <c r="AG108" i="1"/>
  <c r="AI147" i="1"/>
  <c r="AE7" i="1"/>
  <c r="AA24" i="1"/>
  <c r="AI60" i="1"/>
  <c r="AE96" i="1"/>
  <c r="AI106" i="1"/>
  <c r="AK200" i="1"/>
  <c r="AK210" i="1"/>
  <c r="AC128" i="1"/>
  <c r="AI178" i="1"/>
  <c r="AG57" i="1"/>
  <c r="AC159" i="1"/>
  <c r="AG179" i="1"/>
  <c r="AK32" i="1"/>
  <c r="AK104" i="1"/>
  <c r="AI130" i="1"/>
  <c r="AI140" i="1"/>
  <c r="AE208" i="1"/>
  <c r="AG23" i="1"/>
  <c r="AA35" i="1"/>
  <c r="AK97" i="1"/>
  <c r="AC163" i="1"/>
  <c r="AE201" i="1"/>
  <c r="AA36" i="1"/>
  <c r="AK98" i="1"/>
  <c r="AK136" i="1"/>
  <c r="AI164" i="1"/>
  <c r="AG202" i="1"/>
  <c r="AE127" i="1"/>
  <c r="AE147" i="1"/>
  <c r="Y28" i="1"/>
  <c r="AC168" i="1"/>
  <c r="AC67" i="1"/>
  <c r="AK161" i="1"/>
  <c r="AG12" i="1"/>
  <c r="AC8" i="1"/>
  <c r="AA9" i="1"/>
  <c r="AA12" i="1"/>
  <c r="AK11" i="1"/>
  <c r="AE12" i="1"/>
  <c r="AK8" i="1"/>
  <c r="AK9" i="1"/>
  <c r="AK7" i="1"/>
  <c r="AI10" i="1"/>
  <c r="AI11" i="1"/>
  <c r="AC12" i="1"/>
  <c r="AI8" i="1"/>
  <c r="AI9" i="1"/>
  <c r="AI7" i="1"/>
  <c r="AC10" i="1"/>
  <c r="AA8" i="1"/>
  <c r="Y12" i="1"/>
  <c r="AG10" i="1"/>
  <c r="AG9" i="1"/>
  <c r="AE8" i="1"/>
  <c r="AE9" i="1"/>
  <c r="Y9" i="1"/>
  <c r="Y11" i="1"/>
  <c r="W9" i="1"/>
  <c r="W11" i="1"/>
  <c r="W12" i="1"/>
  <c r="W8" i="1"/>
  <c r="AC9" i="1"/>
  <c r="AC7" i="1"/>
  <c r="AE10" i="1"/>
  <c r="Q6" i="1"/>
  <c r="Q10" i="1"/>
  <c r="Q57" i="1"/>
  <c r="Q67" i="1"/>
  <c r="Q103" i="1"/>
  <c r="Q105" i="1"/>
  <c r="Q23" i="1"/>
  <c r="Q11" i="1"/>
  <c r="Q170" i="1"/>
  <c r="Q168" i="1"/>
  <c r="Q162" i="1"/>
  <c r="Q65" i="1"/>
  <c r="Q159" i="1"/>
  <c r="Q56" i="1"/>
  <c r="Q131" i="1"/>
  <c r="Q28" i="1"/>
  <c r="Q104" i="1"/>
  <c r="Q147" i="1"/>
  <c r="Q127" i="1"/>
  <c r="Q209" i="1"/>
  <c r="Q178" i="1"/>
  <c r="Q130" i="1"/>
  <c r="Q203" i="1"/>
  <c r="Q25" i="1"/>
  <c r="Q135" i="1"/>
  <c r="Q58" i="1"/>
  <c r="Q34" i="1"/>
  <c r="Q108" i="1"/>
  <c r="Q32" i="1"/>
  <c r="Q106" i="1"/>
  <c r="Q24" i="1"/>
  <c r="Q171" i="1"/>
  <c r="Q63" i="1"/>
  <c r="Q139" i="1"/>
  <c r="Q177" i="1"/>
  <c r="Q210" i="1"/>
  <c r="Q212" i="1"/>
  <c r="Q200" i="1"/>
  <c r="Q55" i="1"/>
  <c r="Q140" i="1"/>
  <c r="Q204" i="1"/>
  <c r="Q97" i="1"/>
  <c r="Q27" i="1"/>
  <c r="Q136" i="1"/>
  <c r="Q100" i="1"/>
  <c r="Q160" i="1"/>
  <c r="Q172" i="1"/>
  <c r="Q107" i="1"/>
  <c r="Q99" i="1"/>
  <c r="Q207" i="1"/>
  <c r="Q35" i="1"/>
  <c r="Q148" i="1"/>
  <c r="Q167" i="1"/>
  <c r="Q199" i="1"/>
  <c r="Q60" i="1"/>
  <c r="Q164" i="1"/>
  <c r="Q95" i="1"/>
  <c r="Q59" i="1"/>
  <c r="Q201" i="1"/>
  <c r="Q132" i="1"/>
  <c r="Q180" i="1"/>
  <c r="Q64" i="1"/>
  <c r="Q68" i="1"/>
  <c r="Q129" i="1"/>
  <c r="Q211" i="1"/>
  <c r="Q143" i="1"/>
  <c r="Q202" i="1"/>
  <c r="Q36" i="1"/>
  <c r="Q26" i="1"/>
  <c r="Q128" i="1"/>
  <c r="Q137" i="1"/>
  <c r="Q66" i="1"/>
  <c r="Q179" i="1"/>
  <c r="Q31" i="1"/>
  <c r="Q161" i="1"/>
  <c r="Q33" i="1"/>
  <c r="Q144" i="1"/>
  <c r="Q208" i="1"/>
  <c r="Q169" i="1"/>
  <c r="Q146" i="1"/>
  <c r="Q145" i="1"/>
  <c r="Q176" i="1"/>
  <c r="Q96" i="1"/>
  <c r="Q138" i="1"/>
  <c r="Q163" i="1"/>
  <c r="Q8" i="1"/>
  <c r="Q175" i="1"/>
  <c r="Q98" i="1"/>
  <c r="Q9" i="1"/>
  <c r="Q12" i="1"/>
  <c r="Q7" i="1"/>
  <c r="N10" i="4"/>
  <c r="O10" i="4"/>
  <c r="F10" i="4"/>
  <c r="G10" i="4"/>
  <c r="H10" i="4"/>
  <c r="I10" i="4"/>
  <c r="J10" i="4"/>
  <c r="K10" i="4"/>
  <c r="L10" i="4"/>
  <c r="M10" i="4"/>
  <c r="C12" i="3"/>
  <c r="C13" i="3"/>
  <c r="AH52" i="1" s="1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B29" i="3"/>
  <c r="B23" i="3"/>
  <c r="B24" i="3"/>
  <c r="B25" i="3"/>
  <c r="B26" i="3"/>
  <c r="B27" i="3"/>
  <c r="B28" i="3"/>
  <c r="B14" i="3"/>
  <c r="B15" i="3"/>
  <c r="B16" i="3"/>
  <c r="B17" i="3"/>
  <c r="B18" i="3"/>
  <c r="B19" i="3"/>
  <c r="B20" i="3"/>
  <c r="B21" i="3"/>
  <c r="B22" i="3"/>
  <c r="B12" i="3"/>
  <c r="AJ49" i="1" l="1"/>
  <c r="AJ52" i="1"/>
  <c r="AJ46" i="1"/>
  <c r="AD51" i="1"/>
  <c r="AD50" i="1"/>
  <c r="AF46" i="1"/>
  <c r="AD47" i="1"/>
  <c r="AD52" i="1"/>
  <c r="AF48" i="1"/>
  <c r="AJ50" i="1"/>
  <c r="AD45" i="1"/>
  <c r="AH50" i="1"/>
  <c r="AF52" i="1"/>
  <c r="AJ47" i="1"/>
  <c r="AF45" i="1"/>
  <c r="AH45" i="1"/>
  <c r="AH47" i="1"/>
  <c r="AD49" i="1"/>
  <c r="AH49" i="1"/>
  <c r="AJ48" i="1"/>
  <c r="AJ45" i="1"/>
  <c r="AJ51" i="1"/>
  <c r="AF51" i="1"/>
  <c r="AH46" i="1"/>
  <c r="AD48" i="1"/>
  <c r="AH51" i="1"/>
  <c r="AH48" i="1"/>
  <c r="AD46" i="1"/>
  <c r="AF49" i="1"/>
  <c r="AF47" i="1"/>
  <c r="AF50" i="1"/>
  <c r="B39" i="13"/>
  <c r="A39" i="1"/>
  <c r="B40" i="13"/>
  <c r="A40" i="1"/>
  <c r="B52" i="13"/>
  <c r="A52" i="1"/>
  <c r="B42" i="13"/>
  <c r="A42" i="1"/>
  <c r="B43" i="13"/>
  <c r="A43" i="1"/>
  <c r="B48" i="13"/>
  <c r="A48" i="1"/>
  <c r="B44" i="13"/>
  <c r="A44" i="1"/>
  <c r="B51" i="13"/>
  <c r="A51" i="1"/>
  <c r="B47" i="13"/>
  <c r="A47" i="1"/>
  <c r="B49" i="13"/>
  <c r="A49" i="1"/>
  <c r="B37" i="13"/>
  <c r="A37" i="1"/>
  <c r="B46" i="13"/>
  <c r="A46" i="1"/>
  <c r="B41" i="13"/>
  <c r="A41" i="1"/>
  <c r="B45" i="13"/>
  <c r="A45" i="1"/>
  <c r="B38" i="13"/>
  <c r="A38" i="1"/>
  <c r="B50" i="13"/>
  <c r="A50" i="1"/>
  <c r="AF42" i="1"/>
  <c r="AB41" i="1"/>
  <c r="AB37" i="1"/>
  <c r="AB38" i="1"/>
  <c r="AB39" i="1"/>
  <c r="AF40" i="1"/>
  <c r="AB40" i="1"/>
  <c r="AD41" i="1"/>
  <c r="AJ38" i="1"/>
  <c r="AD38" i="1"/>
  <c r="AD40" i="1"/>
  <c r="AF39" i="1"/>
  <c r="AH40" i="1"/>
  <c r="AH44" i="1"/>
  <c r="AJ41" i="1"/>
  <c r="AH37" i="1"/>
  <c r="AJ37" i="1"/>
  <c r="AF41" i="1"/>
  <c r="AH43" i="1"/>
  <c r="AJ40" i="1"/>
  <c r="AJ39" i="1"/>
  <c r="AD39" i="1"/>
  <c r="AJ43" i="1"/>
  <c r="AB44" i="1"/>
  <c r="AH42" i="1"/>
  <c r="AH38" i="1"/>
  <c r="AB42" i="1"/>
  <c r="AD44" i="1"/>
  <c r="AB43" i="1"/>
  <c r="AH41" i="1"/>
  <c r="AF44" i="1"/>
  <c r="AF38" i="1"/>
  <c r="AD37" i="1"/>
  <c r="AD43" i="1"/>
  <c r="AJ44" i="1"/>
  <c r="AF37" i="1"/>
  <c r="AF43" i="1"/>
  <c r="AJ42" i="1"/>
  <c r="AD42" i="1"/>
  <c r="AH39" i="1"/>
  <c r="A23" i="1"/>
  <c r="M168" i="1"/>
  <c r="M145" i="1"/>
  <c r="M147" i="1"/>
  <c r="M148" i="1"/>
  <c r="M129" i="1"/>
  <c r="M164" i="1"/>
  <c r="O211" i="13"/>
  <c r="M127" i="1"/>
  <c r="M138" i="1"/>
  <c r="O204" i="13"/>
  <c r="M131" i="1"/>
  <c r="M167" i="1"/>
  <c r="O207" i="13"/>
  <c r="M178" i="1"/>
  <c r="M136" i="1"/>
  <c r="M159" i="1"/>
  <c r="O200" i="13"/>
  <c r="M144" i="1"/>
  <c r="M146" i="1"/>
  <c r="M139" i="1"/>
  <c r="M160" i="1"/>
  <c r="M137" i="1"/>
  <c r="M143" i="1"/>
  <c r="M170" i="1"/>
  <c r="M161" i="1"/>
  <c r="O199" i="13"/>
  <c r="O209" i="13"/>
  <c r="M177" i="1"/>
  <c r="M180" i="1"/>
  <c r="M162" i="1"/>
  <c r="M135" i="1"/>
  <c r="M176" i="1"/>
  <c r="M169" i="1"/>
  <c r="O212" i="13"/>
  <c r="M163" i="1"/>
  <c r="O210" i="13"/>
  <c r="O201" i="13"/>
  <c r="M179" i="1"/>
  <c r="O203" i="13"/>
  <c r="M140" i="1"/>
  <c r="O208" i="13"/>
  <c r="M128" i="1"/>
  <c r="M132" i="1"/>
  <c r="M172" i="1"/>
  <c r="M130" i="1"/>
  <c r="O202" i="13"/>
  <c r="M175" i="1"/>
  <c r="M171" i="1"/>
  <c r="A24" i="1"/>
  <c r="A27" i="1"/>
  <c r="A125" i="1"/>
  <c r="A65" i="1"/>
  <c r="A96" i="1"/>
  <c r="A210" i="1"/>
  <c r="A207" i="1"/>
  <c r="B207" i="13"/>
  <c r="A189" i="1"/>
  <c r="B189" i="13"/>
  <c r="A119" i="1"/>
  <c r="B119" i="13"/>
  <c r="A88" i="1"/>
  <c r="B88" i="13"/>
  <c r="A166" i="1"/>
  <c r="B166" i="13"/>
  <c r="A139" i="1"/>
  <c r="B139" i="13"/>
  <c r="A11" i="1"/>
  <c r="B11" i="13"/>
  <c r="A11" i="13" s="1"/>
  <c r="A64" i="1"/>
  <c r="B64" i="13"/>
  <c r="A55" i="1"/>
  <c r="B55" i="13"/>
  <c r="A57" i="1"/>
  <c r="B57" i="13"/>
  <c r="A144" i="1"/>
  <c r="B144" i="13"/>
  <c r="A206" i="1"/>
  <c r="B206" i="13"/>
  <c r="A194" i="1"/>
  <c r="B194" i="13"/>
  <c r="A181" i="1"/>
  <c r="B181" i="13"/>
  <c r="A212" i="1"/>
  <c r="B212" i="13"/>
  <c r="A33" i="1"/>
  <c r="B33" i="13"/>
  <c r="A8" i="1"/>
  <c r="B8" i="13"/>
  <c r="A8" i="13" s="1"/>
  <c r="A201" i="1"/>
  <c r="B201" i="13"/>
  <c r="A159" i="1"/>
  <c r="B159" i="13"/>
  <c r="A177" i="1"/>
  <c r="B177" i="13"/>
  <c r="A56" i="1"/>
  <c r="B56" i="13"/>
  <c r="A107" i="1"/>
  <c r="B107" i="13"/>
  <c r="A208" i="1"/>
  <c r="B208" i="13"/>
  <c r="A17" i="1"/>
  <c r="B17" i="13"/>
  <c r="A101" i="1"/>
  <c r="B101" i="13"/>
  <c r="A122" i="1"/>
  <c r="B122" i="13"/>
  <c r="A121" i="1"/>
  <c r="B121" i="13"/>
  <c r="A134" i="1"/>
  <c r="B134" i="13"/>
  <c r="A81" i="1"/>
  <c r="B81" i="13"/>
  <c r="A187" i="1"/>
  <c r="B187" i="13"/>
  <c r="A113" i="1"/>
  <c r="B113" i="13"/>
  <c r="A120" i="1"/>
  <c r="B120" i="13"/>
  <c r="A118" i="1"/>
  <c r="B118" i="13"/>
  <c r="A70" i="1"/>
  <c r="B70" i="13"/>
  <c r="A54" i="1"/>
  <c r="B54" i="13"/>
  <c r="A131" i="1"/>
  <c r="B131" i="13"/>
  <c r="A211" i="1"/>
  <c r="B211" i="13"/>
  <c r="A170" i="1"/>
  <c r="B170" i="13"/>
  <c r="A179" i="1"/>
  <c r="B179" i="13"/>
  <c r="A5" i="1"/>
  <c r="B5" i="13"/>
  <c r="A5" i="13" s="1"/>
  <c r="A9" i="1"/>
  <c r="B9" i="13"/>
  <c r="A9" i="13" s="1"/>
  <c r="A138" i="1"/>
  <c r="B138" i="13"/>
  <c r="A31" i="1"/>
  <c r="B31" i="13"/>
  <c r="A36" i="1"/>
  <c r="B36" i="13"/>
  <c r="A160" i="1"/>
  <c r="B160" i="13"/>
  <c r="A99" i="1"/>
  <c r="B99" i="13"/>
  <c r="A7" i="1"/>
  <c r="B7" i="13"/>
  <c r="A7" i="13" s="1"/>
  <c r="A20" i="1"/>
  <c r="B20" i="13"/>
  <c r="A150" i="1"/>
  <c r="B150" i="13"/>
  <c r="A29" i="1"/>
  <c r="B29" i="13"/>
  <c r="A142" i="1"/>
  <c r="B142" i="13"/>
  <c r="A93" i="1"/>
  <c r="B93" i="13"/>
  <c r="A62" i="1"/>
  <c r="B62" i="13"/>
  <c r="A114" i="1"/>
  <c r="B114" i="13"/>
  <c r="A141" i="1"/>
  <c r="B141" i="13"/>
  <c r="A173" i="1"/>
  <c r="B173" i="13"/>
  <c r="A110" i="1"/>
  <c r="B110" i="13"/>
  <c r="A197" i="1"/>
  <c r="B197" i="13"/>
  <c r="A82" i="1"/>
  <c r="B82" i="13"/>
  <c r="A148" i="1"/>
  <c r="B148" i="13"/>
  <c r="A135" i="1"/>
  <c r="B135" i="13"/>
  <c r="A32" i="1"/>
  <c r="B32" i="13"/>
  <c r="A58" i="1"/>
  <c r="B58" i="13"/>
  <c r="A203" i="1"/>
  <c r="B203" i="13"/>
  <c r="A146" i="1"/>
  <c r="B146" i="13"/>
  <c r="A108" i="1"/>
  <c r="B108" i="13"/>
  <c r="A60" i="1"/>
  <c r="B60" i="13"/>
  <c r="A186" i="1"/>
  <c r="B186" i="13"/>
  <c r="A112" i="1"/>
  <c r="B112" i="13"/>
  <c r="A89" i="1"/>
  <c r="B89" i="13"/>
  <c r="A154" i="1"/>
  <c r="B154" i="13"/>
  <c r="A209" i="1"/>
  <c r="B209" i="13"/>
  <c r="A176" i="1"/>
  <c r="B176" i="13"/>
  <c r="A192" i="1"/>
  <c r="B192" i="13"/>
  <c r="A185" i="1"/>
  <c r="B185" i="13"/>
  <c r="A174" i="1"/>
  <c r="B174" i="13"/>
  <c r="A111" i="1"/>
  <c r="B111" i="13"/>
  <c r="A184" i="1"/>
  <c r="B184" i="13"/>
  <c r="A30" i="1"/>
  <c r="B30" i="13"/>
  <c r="A13" i="1"/>
  <c r="B13" i="13"/>
  <c r="A132" i="1"/>
  <c r="B132" i="13"/>
  <c r="A106" i="1"/>
  <c r="B106" i="13"/>
  <c r="A26" i="1"/>
  <c r="B26" i="13"/>
  <c r="A104" i="1"/>
  <c r="B104" i="13"/>
  <c r="A193" i="1"/>
  <c r="B193" i="13"/>
  <c r="A195" i="1"/>
  <c r="B195" i="13"/>
  <c r="A78" i="1"/>
  <c r="B78" i="13"/>
  <c r="A149" i="1"/>
  <c r="B149" i="13"/>
  <c r="A133" i="1"/>
  <c r="B133" i="13"/>
  <c r="A14" i="1"/>
  <c r="B14" i="13"/>
  <c r="A74" i="1"/>
  <c r="B74" i="13"/>
  <c r="A167" i="1"/>
  <c r="B167" i="13"/>
  <c r="A98" i="1"/>
  <c r="B98" i="13"/>
  <c r="A204" i="1"/>
  <c r="B204" i="13"/>
  <c r="A140" i="1"/>
  <c r="B140" i="13"/>
  <c r="A143" i="1"/>
  <c r="B143" i="13"/>
  <c r="A15" i="1"/>
  <c r="B15" i="13"/>
  <c r="A84" i="1"/>
  <c r="B84" i="13"/>
  <c r="A124" i="1"/>
  <c r="B124" i="13"/>
  <c r="A86" i="1"/>
  <c r="B86" i="13"/>
  <c r="A61" i="1"/>
  <c r="B61" i="13"/>
  <c r="A53" i="1"/>
  <c r="B53" i="13"/>
  <c r="A71" i="1"/>
  <c r="B71" i="13"/>
  <c r="A91" i="1"/>
  <c r="B91" i="13"/>
  <c r="A103" i="1"/>
  <c r="B103" i="13"/>
  <c r="A178" i="1"/>
  <c r="B178" i="13"/>
  <c r="A95" i="1"/>
  <c r="B95" i="13"/>
  <c r="A10" i="1"/>
  <c r="B10" i="13"/>
  <c r="A10" i="13" s="1"/>
  <c r="A59" i="1"/>
  <c r="B59" i="13"/>
  <c r="A63" i="1"/>
  <c r="B63" i="13"/>
  <c r="A137" i="1"/>
  <c r="B137" i="13"/>
  <c r="A145" i="1"/>
  <c r="B145" i="13"/>
  <c r="A130" i="1"/>
  <c r="B130" i="13"/>
  <c r="A16" i="1"/>
  <c r="B16" i="13"/>
  <c r="A188" i="1"/>
  <c r="B188" i="13"/>
  <c r="A198" i="1"/>
  <c r="B198" i="13"/>
  <c r="A102" i="1"/>
  <c r="B102" i="13"/>
  <c r="A76" i="1"/>
  <c r="B76" i="13"/>
  <c r="A153" i="1"/>
  <c r="B153" i="13"/>
  <c r="A158" i="1"/>
  <c r="B158" i="13"/>
  <c r="A157" i="1"/>
  <c r="B157" i="13"/>
  <c r="A83" i="1"/>
  <c r="B83" i="13"/>
  <c r="A109" i="1"/>
  <c r="B109" i="13"/>
  <c r="A127" i="1"/>
  <c r="B127" i="13"/>
  <c r="A128" i="1"/>
  <c r="B128" i="13"/>
  <c r="A136" i="1"/>
  <c r="B136" i="13"/>
  <c r="A129" i="1"/>
  <c r="B129" i="13"/>
  <c r="A163" i="1"/>
  <c r="B163" i="13"/>
  <c r="A205" i="1"/>
  <c r="B205" i="13"/>
  <c r="A191" i="1"/>
  <c r="B191" i="13"/>
  <c r="A90" i="1"/>
  <c r="B90" i="13"/>
  <c r="A92" i="1"/>
  <c r="B92" i="13"/>
  <c r="A169" i="1"/>
  <c r="B169" i="13"/>
  <c r="A66" i="1"/>
  <c r="B66" i="13"/>
  <c r="A200" i="1"/>
  <c r="B200" i="13"/>
  <c r="A147" i="1"/>
  <c r="B147" i="13"/>
  <c r="A123" i="1"/>
  <c r="B123" i="13"/>
  <c r="A155" i="1"/>
  <c r="B155" i="13"/>
  <c r="A126" i="1"/>
  <c r="B126" i="13"/>
  <c r="A202" i="1"/>
  <c r="B202" i="13"/>
  <c r="A105" i="1"/>
  <c r="B105" i="13"/>
  <c r="A67" i="1"/>
  <c r="B67" i="13"/>
  <c r="A168" i="1"/>
  <c r="B168" i="13"/>
  <c r="A12" i="1"/>
  <c r="B12" i="13"/>
  <c r="A12" i="13" s="1"/>
  <c r="A19" i="1"/>
  <c r="B19" i="13"/>
  <c r="A69" i="1"/>
  <c r="B69" i="13"/>
  <c r="A6" i="1"/>
  <c r="B6" i="13"/>
  <c r="A6" i="13" s="1"/>
  <c r="A94" i="1"/>
  <c r="B94" i="13"/>
  <c r="A77" i="1"/>
  <c r="B77" i="13"/>
  <c r="A165" i="1"/>
  <c r="B165" i="13"/>
  <c r="A21" i="1"/>
  <c r="B21" i="13"/>
  <c r="A151" i="1"/>
  <c r="B151" i="13"/>
  <c r="A171" i="1"/>
  <c r="B171" i="13"/>
  <c r="A100" i="1"/>
  <c r="B100" i="13"/>
  <c r="A68" i="1"/>
  <c r="B68" i="13"/>
  <c r="A180" i="1"/>
  <c r="B180" i="13"/>
  <c r="A161" i="1"/>
  <c r="B161" i="13"/>
  <c r="A162" i="1"/>
  <c r="B162" i="13"/>
  <c r="A196" i="1"/>
  <c r="B196" i="13"/>
  <c r="A116" i="1"/>
  <c r="B116" i="13"/>
  <c r="A87" i="1"/>
  <c r="B87" i="13"/>
  <c r="A115" i="1"/>
  <c r="B115" i="13"/>
  <c r="A22" i="1"/>
  <c r="B22" i="13"/>
  <c r="A117" i="1"/>
  <c r="B117" i="13"/>
  <c r="A35" i="1"/>
  <c r="B35" i="13"/>
  <c r="A199" i="1"/>
  <c r="B199" i="13"/>
  <c r="A175" i="1"/>
  <c r="B175" i="13"/>
  <c r="A97" i="1"/>
  <c r="B97" i="13"/>
  <c r="A25" i="1"/>
  <c r="B25" i="13"/>
  <c r="A164" i="1"/>
  <c r="B164" i="13"/>
  <c r="A172" i="1"/>
  <c r="B172" i="13"/>
  <c r="A34" i="1"/>
  <c r="B34" i="13"/>
  <c r="A28" i="1"/>
  <c r="B28" i="13"/>
  <c r="A18" i="1"/>
  <c r="B18" i="13"/>
  <c r="A190" i="1"/>
  <c r="B190" i="13"/>
  <c r="A73" i="1"/>
  <c r="B73" i="13"/>
  <c r="A72" i="1"/>
  <c r="B72" i="13"/>
  <c r="A156" i="1"/>
  <c r="B156" i="13"/>
  <c r="A183" i="1"/>
  <c r="B183" i="13"/>
  <c r="A85" i="1"/>
  <c r="B85" i="13"/>
  <c r="A182" i="1"/>
  <c r="B182" i="13"/>
  <c r="A80" i="1"/>
  <c r="B80" i="13"/>
  <c r="A79" i="1"/>
  <c r="B79" i="13"/>
  <c r="A75" i="1"/>
  <c r="B75" i="13"/>
  <c r="A152" i="1"/>
  <c r="B152" i="13"/>
  <c r="AF122" i="1"/>
  <c r="AJ153" i="1"/>
  <c r="AH90" i="1"/>
  <c r="AD191" i="1"/>
  <c r="AJ184" i="1"/>
  <c r="AF120" i="1"/>
  <c r="AF74" i="1"/>
  <c r="AD120" i="1"/>
  <c r="AJ81" i="1"/>
  <c r="AJ92" i="1"/>
  <c r="AJ76" i="1"/>
  <c r="AH75" i="1"/>
  <c r="AF188" i="1"/>
  <c r="AB121" i="1"/>
  <c r="AD91" i="1"/>
  <c r="AJ83" i="1"/>
  <c r="AB184" i="1"/>
  <c r="AH114" i="1"/>
  <c r="AH87" i="1"/>
  <c r="AJ72" i="1"/>
  <c r="AJ73" i="1"/>
  <c r="AJ194" i="1"/>
  <c r="AB195" i="1"/>
  <c r="AF189" i="1"/>
  <c r="AB188" i="1"/>
  <c r="AF73" i="1"/>
  <c r="AD151" i="1"/>
  <c r="AF121" i="1"/>
  <c r="Z90" i="1"/>
  <c r="AF84" i="1"/>
  <c r="AB71" i="1"/>
  <c r="Z186" i="1"/>
  <c r="AH153" i="1"/>
  <c r="AH73" i="1"/>
  <c r="AB73" i="1"/>
  <c r="X86" i="1"/>
  <c r="AF90" i="1"/>
  <c r="Z185" i="1"/>
  <c r="AJ116" i="1"/>
  <c r="AD73" i="1"/>
  <c r="AJ120" i="1"/>
  <c r="AJ89" i="1"/>
  <c r="AJ82" i="1"/>
  <c r="AF155" i="1"/>
  <c r="AD112" i="1"/>
  <c r="AH84" i="1"/>
  <c r="AH71" i="1"/>
  <c r="AB72" i="1"/>
  <c r="Z189" i="1"/>
  <c r="AH194" i="1"/>
  <c r="AD188" i="1"/>
  <c r="Z195" i="1"/>
  <c r="AH196" i="1"/>
  <c r="AJ189" i="1"/>
  <c r="AH149" i="1"/>
  <c r="X119" i="1"/>
  <c r="AH69" i="1"/>
  <c r="AB70" i="1"/>
  <c r="AF70" i="1"/>
  <c r="AJ70" i="1"/>
  <c r="AB118" i="1"/>
  <c r="AF89" i="1"/>
  <c r="AF83" i="1"/>
  <c r="AD185" i="1"/>
  <c r="AH72" i="1"/>
  <c r="Z92" i="1"/>
  <c r="AF82" i="1"/>
  <c r="AD88" i="1"/>
  <c r="AH151" i="1"/>
  <c r="AF114" i="1"/>
  <c r="AF72" i="1"/>
  <c r="AD82" i="1"/>
  <c r="AJ154" i="1"/>
  <c r="AD92" i="1"/>
  <c r="AH83" i="1"/>
  <c r="AH185" i="1"/>
  <c r="AF154" i="1"/>
  <c r="AB190" i="1"/>
  <c r="AJ181" i="1"/>
  <c r="Z194" i="1"/>
  <c r="AH182" i="1"/>
  <c r="AF194" i="1"/>
  <c r="Z196" i="1"/>
  <c r="AB189" i="1"/>
  <c r="AH150" i="1"/>
  <c r="AJ110" i="1"/>
  <c r="AH77" i="1"/>
  <c r="AD85" i="1"/>
  <c r="AF69" i="1"/>
  <c r="AJ85" i="1"/>
  <c r="AH188" i="1"/>
  <c r="AF117" i="1"/>
  <c r="AF71" i="1"/>
  <c r="AB85" i="1"/>
  <c r="AJ156" i="1"/>
  <c r="AF88" i="1"/>
  <c r="AH156" i="1"/>
  <c r="AF184" i="1"/>
  <c r="AH91" i="1"/>
  <c r="AB74" i="1"/>
  <c r="AD87" i="1"/>
  <c r="Z184" i="1"/>
  <c r="AB89" i="1"/>
  <c r="X184" i="1"/>
  <c r="AD121" i="1"/>
  <c r="AH92" i="1"/>
  <c r="AF81" i="1"/>
  <c r="X154" i="1"/>
  <c r="AB90" i="1"/>
  <c r="AF80" i="1"/>
  <c r="AH184" i="1"/>
  <c r="X153" i="1"/>
  <c r="AF115" i="1"/>
  <c r="Z87" i="1"/>
  <c r="AJ183" i="1"/>
  <c r="AB194" i="1"/>
  <c r="AD192" i="1"/>
  <c r="AJ192" i="1"/>
  <c r="AF195" i="1"/>
  <c r="AB117" i="1"/>
  <c r="X87" i="1"/>
  <c r="AD86" i="1"/>
  <c r="X88" i="1"/>
  <c r="AD153" i="1"/>
  <c r="AJ87" i="1"/>
  <c r="AH152" i="1"/>
  <c r="AD72" i="1"/>
  <c r="Z88" i="1"/>
  <c r="AD181" i="1"/>
  <c r="AD196" i="1"/>
  <c r="AD194" i="1"/>
  <c r="AD149" i="1"/>
  <c r="AF109" i="1"/>
  <c r="Z86" i="1"/>
  <c r="AJ71" i="1"/>
  <c r="X91" i="1"/>
  <c r="AB124" i="1"/>
  <c r="Z191" i="1"/>
  <c r="AF79" i="1"/>
  <c r="AB69" i="1"/>
  <c r="Z190" i="1"/>
  <c r="AD189" i="1"/>
  <c r="AF85" i="1"/>
  <c r="AH155" i="1"/>
  <c r="AF119" i="1"/>
  <c r="Z153" i="1"/>
  <c r="AJ77" i="1"/>
  <c r="AF110" i="1"/>
  <c r="AB75" i="1"/>
  <c r="AF87" i="1"/>
  <c r="Z121" i="1"/>
  <c r="AB87" i="1"/>
  <c r="X92" i="1"/>
  <c r="AH189" i="1"/>
  <c r="AF153" i="1"/>
  <c r="AD81" i="1"/>
  <c r="AD183" i="1"/>
  <c r="X183" i="1"/>
  <c r="AJ195" i="1"/>
  <c r="AH192" i="1"/>
  <c r="AD150" i="1"/>
  <c r="AJ117" i="1"/>
  <c r="AD69" i="1"/>
  <c r="AJ69" i="1"/>
  <c r="AD184" i="1"/>
  <c r="AD152" i="1"/>
  <c r="AJ119" i="1"/>
  <c r="AJ91" i="1"/>
  <c r="AB191" i="1"/>
  <c r="AF191" i="1"/>
  <c r="AH86" i="1"/>
  <c r="X89" i="1"/>
  <c r="Z188" i="1"/>
  <c r="X90" i="1"/>
  <c r="AB153" i="1"/>
  <c r="AD186" i="1"/>
  <c r="Z155" i="1"/>
  <c r="AB88" i="1"/>
  <c r="AH88" i="1"/>
  <c r="AH181" i="1"/>
  <c r="AJ182" i="1"/>
  <c r="X117" i="1"/>
  <c r="AJ75" i="1"/>
  <c r="AD71" i="1"/>
  <c r="AH183" i="1"/>
  <c r="AB120" i="1"/>
  <c r="AF91" i="1"/>
  <c r="AF123" i="1"/>
  <c r="AH113" i="1"/>
  <c r="AF78" i="1"/>
  <c r="X182" i="1"/>
  <c r="AJ191" i="1"/>
  <c r="AB196" i="1"/>
  <c r="Z192" i="1"/>
  <c r="AF111" i="1"/>
  <c r="AH70" i="1"/>
  <c r="Z85" i="1"/>
  <c r="AJ78" i="1"/>
  <c r="AJ155" i="1"/>
  <c r="AH81" i="1"/>
  <c r="Z120" i="1"/>
  <c r="AH76" i="1"/>
  <c r="X181" i="1"/>
  <c r="AH195" i="1"/>
  <c r="AB119" i="1"/>
  <c r="AH191" i="1"/>
  <c r="AH85" i="1"/>
  <c r="X85" i="1"/>
  <c r="AJ111" i="1"/>
  <c r="AH80" i="1"/>
  <c r="AF92" i="1"/>
  <c r="Z89" i="1"/>
  <c r="AD70" i="1"/>
  <c r="AF77" i="1"/>
  <c r="AB92" i="1"/>
  <c r="AD155" i="1"/>
  <c r="AB155" i="1"/>
  <c r="Z152" i="1"/>
  <c r="AH82" i="1"/>
  <c r="X188" i="1"/>
  <c r="X155" i="1"/>
  <c r="AJ114" i="1"/>
  <c r="AJ88" i="1"/>
  <c r="AD76" i="1"/>
  <c r="X118" i="1"/>
  <c r="AF118" i="1"/>
  <c r="AJ74" i="1"/>
  <c r="AH121" i="1"/>
  <c r="AB91" i="1"/>
  <c r="AD75" i="1"/>
  <c r="AD195" i="1"/>
  <c r="AH190" i="1"/>
  <c r="AB192" i="1"/>
  <c r="AF190" i="1"/>
  <c r="AD190" i="1"/>
  <c r="AJ109" i="1"/>
  <c r="AB86" i="1"/>
  <c r="AF86" i="1"/>
  <c r="AH78" i="1"/>
  <c r="AF76" i="1"/>
  <c r="AH112" i="1"/>
  <c r="AD113" i="1"/>
  <c r="X121" i="1"/>
  <c r="Z91" i="1"/>
  <c r="AJ121" i="1"/>
  <c r="AB154" i="1"/>
  <c r="AD114" i="1"/>
  <c r="AB156" i="1"/>
  <c r="AH115" i="1"/>
  <c r="AH79" i="1"/>
  <c r="AH89" i="1"/>
  <c r="AH120" i="1"/>
  <c r="AJ118" i="1"/>
  <c r="AD182" i="1"/>
  <c r="AB76" i="1"/>
  <c r="X120" i="1"/>
  <c r="AJ190" i="1"/>
  <c r="AJ188" i="1"/>
  <c r="AJ79" i="1"/>
  <c r="AF75" i="1"/>
  <c r="AF196" i="1"/>
  <c r="AJ86" i="1"/>
  <c r="AJ113" i="1"/>
  <c r="AB185" i="1"/>
  <c r="AH122" i="1"/>
  <c r="AB186" i="1"/>
  <c r="Z154" i="1"/>
  <c r="AB152" i="1"/>
  <c r="AJ186" i="1"/>
  <c r="AH193" i="1"/>
  <c r="AJ150" i="1"/>
  <c r="AF150" i="1"/>
  <c r="AB149" i="1"/>
  <c r="AH111" i="1"/>
  <c r="AH118" i="1"/>
  <c r="Z119" i="1"/>
  <c r="AH187" i="1"/>
  <c r="Z181" i="1"/>
  <c r="AD119" i="1"/>
  <c r="AH124" i="1"/>
  <c r="AJ84" i="1"/>
  <c r="AD156" i="1"/>
  <c r="Z124" i="1"/>
  <c r="Z149" i="1"/>
  <c r="AD118" i="1"/>
  <c r="AF112" i="1"/>
  <c r="AF113" i="1"/>
  <c r="AF192" i="1"/>
  <c r="AB183" i="1"/>
  <c r="AJ122" i="1"/>
  <c r="AD123" i="1"/>
  <c r="AD77" i="1"/>
  <c r="X156" i="1"/>
  <c r="AF156" i="1"/>
  <c r="AJ80" i="1"/>
  <c r="AJ196" i="1"/>
  <c r="X186" i="1"/>
  <c r="AF186" i="1"/>
  <c r="AD116" i="1"/>
  <c r="AF124" i="1"/>
  <c r="AD187" i="1"/>
  <c r="AF183" i="1"/>
  <c r="AJ149" i="1"/>
  <c r="AF149" i="1"/>
  <c r="X150" i="1"/>
  <c r="AH109" i="1"/>
  <c r="AH117" i="1"/>
  <c r="Z118" i="1"/>
  <c r="AF187" i="1"/>
  <c r="X122" i="1"/>
  <c r="AD90" i="1"/>
  <c r="AF185" i="1"/>
  <c r="Z187" i="1"/>
  <c r="AD111" i="1"/>
  <c r="AD122" i="1"/>
  <c r="AD78" i="1"/>
  <c r="AD89" i="1"/>
  <c r="AJ112" i="1"/>
  <c r="AB150" i="1"/>
  <c r="AB122" i="1"/>
  <c r="AD80" i="1"/>
  <c r="Z122" i="1"/>
  <c r="AB187" i="1"/>
  <c r="AB193" i="1"/>
  <c r="AD84" i="1"/>
  <c r="AJ187" i="1"/>
  <c r="AD74" i="1"/>
  <c r="Z123" i="1"/>
  <c r="AJ124" i="1"/>
  <c r="Z183" i="1"/>
  <c r="AF182" i="1"/>
  <c r="AF151" i="1"/>
  <c r="X149" i="1"/>
  <c r="AH119" i="1"/>
  <c r="Z117" i="1"/>
  <c r="AB123" i="1"/>
  <c r="AF116" i="1"/>
  <c r="AH123" i="1"/>
  <c r="Z150" i="1"/>
  <c r="Z156" i="1"/>
  <c r="AD115" i="1"/>
  <c r="X123" i="1"/>
  <c r="AJ185" i="1"/>
  <c r="AB151" i="1"/>
  <c r="Z193" i="1"/>
  <c r="AJ151" i="1"/>
  <c r="AH110" i="1"/>
  <c r="AD193" i="1"/>
  <c r="AJ115" i="1"/>
  <c r="AJ193" i="1"/>
  <c r="AJ152" i="1"/>
  <c r="X187" i="1"/>
  <c r="AH154" i="1"/>
  <c r="AH74" i="1"/>
  <c r="AD83" i="1"/>
  <c r="AJ123" i="1"/>
  <c r="Z182" i="1"/>
  <c r="AF181" i="1"/>
  <c r="Z151" i="1"/>
  <c r="X151" i="1"/>
  <c r="X185" i="1"/>
  <c r="X152" i="1"/>
  <c r="AF193" i="1"/>
  <c r="X124" i="1"/>
  <c r="AF152" i="1"/>
  <c r="AB181" i="1"/>
  <c r="AD79" i="1"/>
  <c r="AD154" i="1"/>
  <c r="AH116" i="1"/>
  <c r="AJ90" i="1"/>
  <c r="AD110" i="1"/>
  <c r="AD117" i="1"/>
  <c r="AD124" i="1"/>
  <c r="AH186" i="1"/>
  <c r="AB182" i="1"/>
  <c r="AD109" i="1"/>
  <c r="Z20" i="1"/>
  <c r="AJ17" i="1"/>
  <c r="AB19" i="1"/>
  <c r="AB18" i="1"/>
  <c r="AJ20" i="1"/>
  <c r="AD19" i="1"/>
  <c r="AJ13" i="1"/>
  <c r="AD14" i="1"/>
  <c r="AJ19" i="1"/>
  <c r="AD13" i="1"/>
  <c r="Z14" i="1"/>
  <c r="AH20" i="1"/>
  <c r="AJ18" i="1"/>
  <c r="AF19" i="1"/>
  <c r="Z13" i="1"/>
  <c r="AH14" i="1"/>
  <c r="Z18" i="1"/>
  <c r="AD20" i="1"/>
  <c r="AB20" i="1"/>
  <c r="AJ14" i="1"/>
  <c r="AH13" i="1"/>
  <c r="AB13" i="1"/>
  <c r="AH18" i="1"/>
  <c r="Z19" i="1"/>
  <c r="Z17" i="1"/>
  <c r="AD17" i="1"/>
  <c r="AB17" i="1"/>
  <c r="AH17" i="1"/>
  <c r="AF13" i="1"/>
  <c r="AD18" i="1"/>
  <c r="AF20" i="1"/>
  <c r="AB14" i="1"/>
  <c r="AF18" i="1"/>
  <c r="AH19" i="1"/>
  <c r="AF17" i="1"/>
  <c r="AF14" i="1"/>
  <c r="AJ16" i="1"/>
  <c r="AJ15" i="1"/>
  <c r="AF15" i="1"/>
  <c r="AF16" i="1"/>
  <c r="AH15" i="1"/>
  <c r="AD15" i="1"/>
  <c r="AH16" i="1"/>
  <c r="AD16" i="1"/>
  <c r="AJ167" i="1"/>
  <c r="AF5" i="1"/>
  <c r="AJ5" i="1"/>
  <c r="X5" i="1"/>
  <c r="V5" i="1"/>
  <c r="AD5" i="1"/>
  <c r="AB5" i="1"/>
  <c r="AH5" i="1"/>
  <c r="Z5" i="1"/>
  <c r="B4" i="12"/>
  <c r="AJ180" i="1"/>
  <c r="AJ138" i="1"/>
  <c r="AD11" i="1"/>
  <c r="AD139" i="1"/>
  <c r="AF203" i="1"/>
  <c r="AB132" i="1"/>
  <c r="AJ168" i="1"/>
  <c r="AF7" i="1"/>
  <c r="AF170" i="1"/>
  <c r="AJ23" i="1"/>
  <c r="AB171" i="1"/>
  <c r="AF204" i="1"/>
  <c r="AJ65" i="1"/>
  <c r="Z9" i="1"/>
  <c r="AH100" i="1"/>
  <c r="AB35" i="1"/>
  <c r="AJ107" i="1"/>
  <c r="AB129" i="1"/>
  <c r="AD28" i="1"/>
  <c r="AD175" i="1"/>
  <c r="AB198" i="1"/>
  <c r="AB29" i="1"/>
  <c r="AH107" i="1"/>
  <c r="AJ32" i="1"/>
  <c r="AJ133" i="1"/>
  <c r="Z53" i="1"/>
  <c r="X10" i="1"/>
  <c r="AD10" i="1"/>
  <c r="AF106" i="1"/>
  <c r="AD178" i="1"/>
  <c r="AD55" i="1"/>
  <c r="AJ21" i="1"/>
  <c r="AJ94" i="1"/>
  <c r="AJ141" i="1"/>
  <c r="AD34" i="1"/>
  <c r="AF25" i="1"/>
  <c r="Z10" i="1"/>
  <c r="AH105" i="1"/>
  <c r="AF212" i="1"/>
  <c r="AJ178" i="1"/>
  <c r="AF160" i="1"/>
  <c r="AD99" i="1"/>
  <c r="AB167" i="1"/>
  <c r="Z68" i="1"/>
  <c r="AF101" i="1"/>
  <c r="X60" i="1"/>
  <c r="AJ25" i="1"/>
  <c r="AF66" i="1"/>
  <c r="AB164" i="1"/>
  <c r="AD103" i="1"/>
  <c r="AD208" i="1"/>
  <c r="AH11" i="1"/>
  <c r="AH204" i="1"/>
  <c r="AH101" i="1"/>
  <c r="AJ139" i="1"/>
  <c r="AD159" i="1"/>
  <c r="AD168" i="1"/>
  <c r="AB201" i="1"/>
  <c r="AH147" i="1"/>
  <c r="AD64" i="1"/>
  <c r="AH6" i="1"/>
  <c r="AB157" i="1"/>
  <c r="AD127" i="1"/>
  <c r="AF55" i="1"/>
  <c r="AH68" i="1"/>
  <c r="AB96" i="1"/>
  <c r="AH32" i="1"/>
  <c r="AF96" i="1"/>
  <c r="AB36" i="1"/>
  <c r="AF63" i="1"/>
  <c r="AH169" i="1"/>
  <c r="AB162" i="1"/>
  <c r="AH57" i="1"/>
  <c r="AF31" i="1"/>
  <c r="AJ100" i="1"/>
  <c r="AJ164" i="1"/>
  <c r="Z161" i="1"/>
  <c r="AJ33" i="1"/>
  <c r="AB63" i="1"/>
  <c r="AH176" i="1"/>
  <c r="Z56" i="1"/>
  <c r="Z31" i="1"/>
  <c r="X21" i="1"/>
  <c r="AH142" i="1"/>
  <c r="V6" i="1"/>
  <c r="AD96" i="1"/>
  <c r="V11" i="1"/>
  <c r="X9" i="1"/>
  <c r="AF27" i="1"/>
  <c r="AF135" i="1"/>
  <c r="Z32" i="1"/>
  <c r="AH180" i="1"/>
  <c r="AH200" i="1"/>
  <c r="AB140" i="1"/>
  <c r="AH55" i="1"/>
  <c r="AF67" i="1"/>
  <c r="AB97" i="1"/>
  <c r="AF59" i="1"/>
  <c r="Z33" i="1"/>
  <c r="AJ26" i="1"/>
  <c r="AJ137" i="1"/>
  <c r="AD56" i="1"/>
  <c r="AD171" i="1"/>
  <c r="AJ202" i="1"/>
  <c r="AF134" i="1"/>
  <c r="Z6" i="1"/>
  <c r="Z66" i="1"/>
  <c r="AB163" i="1"/>
  <c r="Z98" i="1"/>
  <c r="AJ140" i="1"/>
  <c r="AH98" i="1"/>
  <c r="AJ7" i="1"/>
  <c r="AD167" i="1"/>
  <c r="AJ64" i="1"/>
  <c r="AJ143" i="1"/>
  <c r="AB23" i="1"/>
  <c r="AJ170" i="1"/>
  <c r="AB139" i="1"/>
  <c r="AF11" i="1"/>
  <c r="AB172" i="1"/>
  <c r="AH96" i="1"/>
  <c r="AJ60" i="1"/>
  <c r="AJ24" i="1"/>
  <c r="AF105" i="1"/>
  <c r="X56" i="1"/>
  <c r="AH137" i="1"/>
  <c r="Z27" i="1"/>
  <c r="AD146" i="1"/>
  <c r="Z64" i="1"/>
  <c r="AH143" i="1"/>
  <c r="AJ160" i="1"/>
  <c r="AF12" i="1"/>
  <c r="AD162" i="1"/>
  <c r="AJ132" i="1"/>
  <c r="Z96" i="1"/>
  <c r="AB24" i="1"/>
  <c r="AD27" i="1"/>
  <c r="AF146" i="1"/>
  <c r="AJ96" i="1"/>
  <c r="X26" i="1"/>
  <c r="AD211" i="1"/>
  <c r="AD170" i="1"/>
  <c r="AD57" i="1"/>
  <c r="AH144" i="1"/>
  <c r="AB106" i="1"/>
  <c r="Z60" i="1"/>
  <c r="AB138" i="1"/>
  <c r="AH167" i="1"/>
  <c r="AD176" i="1"/>
  <c r="AB64" i="1"/>
  <c r="AJ211" i="1"/>
  <c r="AH170" i="1"/>
  <c r="AH130" i="1"/>
  <c r="Z11" i="1"/>
  <c r="AD60" i="1"/>
  <c r="AF24" i="1"/>
  <c r="AD137" i="1"/>
  <c r="AF36" i="1"/>
  <c r="AD160" i="1"/>
  <c r="AJ103" i="1"/>
  <c r="AF162" i="1"/>
  <c r="AF144" i="1"/>
  <c r="AD33" i="1"/>
  <c r="AD140" i="1"/>
  <c r="AH103" i="1"/>
  <c r="AB31" i="1"/>
  <c r="AB60" i="1"/>
  <c r="AD177" i="1"/>
  <c r="AF199" i="1"/>
  <c r="AF127" i="1"/>
  <c r="AJ34" i="1"/>
  <c r="AH97" i="1"/>
  <c r="AD161" i="1"/>
  <c r="AD32" i="1"/>
  <c r="Z23" i="1"/>
  <c r="AJ201" i="1"/>
  <c r="AB55" i="1"/>
  <c r="AH138" i="1"/>
  <c r="AH166" i="1"/>
  <c r="AH198" i="1"/>
  <c r="AD125" i="1"/>
  <c r="AJ29" i="1"/>
  <c r="AF141" i="1"/>
  <c r="AJ125" i="1"/>
  <c r="AD158" i="1"/>
  <c r="AF21" i="1"/>
  <c r="AD197" i="1"/>
  <c r="AF22" i="1"/>
  <c r="AD166" i="1"/>
  <c r="Z61" i="1"/>
  <c r="AF30" i="1"/>
  <c r="AF125" i="1"/>
  <c r="AH94" i="1"/>
  <c r="AJ198" i="1"/>
  <c r="Z62" i="1"/>
  <c r="AH141" i="1"/>
  <c r="AB54" i="1"/>
  <c r="AH209" i="1"/>
  <c r="AB105" i="1"/>
  <c r="AF207" i="1"/>
  <c r="AB135" i="1"/>
  <c r="AJ145" i="1"/>
  <c r="AB28" i="1"/>
  <c r="AF60" i="1"/>
  <c r="AJ159" i="1"/>
  <c r="AJ163" i="1"/>
  <c r="X28" i="1"/>
  <c r="AD128" i="1"/>
  <c r="AH58" i="1"/>
  <c r="AB95" i="1"/>
  <c r="AH26" i="1"/>
  <c r="AH99" i="1"/>
  <c r="AD134" i="1"/>
  <c r="AJ62" i="1"/>
  <c r="AF205" i="1"/>
  <c r="Z54" i="1"/>
  <c r="Z22" i="1"/>
  <c r="AH173" i="1"/>
  <c r="AB102" i="1"/>
  <c r="AH133" i="1"/>
  <c r="X6" i="1"/>
  <c r="AF198" i="1"/>
  <c r="Z126" i="1"/>
  <c r="AB93" i="1"/>
  <c r="AJ101" i="1"/>
  <c r="AJ30" i="1"/>
  <c r="AD93" i="1"/>
  <c r="AD29" i="1"/>
  <c r="AF197" i="1"/>
  <c r="AF62" i="1"/>
  <c r="AF166" i="1"/>
  <c r="AH171" i="1"/>
  <c r="AF168" i="1"/>
  <c r="AD147" i="1"/>
  <c r="X25" i="1"/>
  <c r="AJ129" i="1"/>
  <c r="AB107" i="1"/>
  <c r="AJ31" i="1"/>
  <c r="AH66" i="1"/>
  <c r="AB202" i="1"/>
  <c r="AH175" i="1"/>
  <c r="Z63" i="1"/>
  <c r="AD95" i="1"/>
  <c r="AB203" i="1"/>
  <c r="AJ27" i="1"/>
  <c r="AD97" i="1"/>
  <c r="AJ162" i="1"/>
  <c r="AJ147" i="1"/>
  <c r="AF202" i="1"/>
  <c r="AJ35" i="1"/>
  <c r="AJ208" i="1"/>
  <c r="AH104" i="1"/>
  <c r="Z129" i="1"/>
  <c r="AB56" i="1"/>
  <c r="AH146" i="1"/>
  <c r="AF175" i="1"/>
  <c r="AJ199" i="1"/>
  <c r="AB170" i="1"/>
  <c r="AB57" i="1"/>
  <c r="AH140" i="1"/>
  <c r="AH207" i="1"/>
  <c r="AJ59" i="1"/>
  <c r="AJ104" i="1"/>
  <c r="AD36" i="1"/>
  <c r="AF209" i="1"/>
  <c r="Z55" i="1"/>
  <c r="AF138" i="1"/>
  <c r="AJ12" i="1"/>
  <c r="AB10" i="1"/>
  <c r="Z8" i="1"/>
  <c r="AB12" i="1"/>
  <c r="X8" i="1"/>
  <c r="AF8" i="1"/>
  <c r="AF98" i="1"/>
  <c r="AJ130" i="1"/>
  <c r="AJ98" i="1"/>
  <c r="AD142" i="1"/>
  <c r="AD165" i="1"/>
  <c r="AD126" i="1"/>
  <c r="AF126" i="1"/>
  <c r="AD101" i="1"/>
  <c r="AF206" i="1"/>
  <c r="Z30" i="1"/>
  <c r="AH126" i="1"/>
  <c r="AF129" i="1"/>
  <c r="AH10" i="1"/>
  <c r="AH136" i="1"/>
  <c r="AD107" i="1"/>
  <c r="AH59" i="1"/>
  <c r="AB98" i="1"/>
  <c r="AF201" i="1"/>
  <c r="AD204" i="1"/>
  <c r="AJ55" i="1"/>
  <c r="AD164" i="1"/>
  <c r="AF33" i="1"/>
  <c r="AH202" i="1"/>
  <c r="AH35" i="1"/>
  <c r="AF104" i="1"/>
  <c r="AF139" i="1"/>
  <c r="AH210" i="1"/>
  <c r="AF10" i="1"/>
  <c r="AH160" i="1"/>
  <c r="AD172" i="1"/>
  <c r="AH23" i="1"/>
  <c r="AB65" i="1"/>
  <c r="AH24" i="1"/>
  <c r="AD132" i="1"/>
  <c r="AD8" i="1"/>
  <c r="AJ9" i="1"/>
  <c r="AB9" i="1"/>
  <c r="AH203" i="1"/>
  <c r="V8" i="1"/>
  <c r="AF9" i="1"/>
  <c r="AD7" i="1"/>
  <c r="Z7" i="1"/>
  <c r="AF208" i="1"/>
  <c r="AJ161" i="1"/>
  <c r="X55" i="1"/>
  <c r="AB68" i="1"/>
  <c r="Z159" i="1"/>
  <c r="AD180" i="1"/>
  <c r="AH102" i="1"/>
  <c r="AJ174" i="1"/>
  <c r="AD141" i="1"/>
  <c r="AB59" i="1"/>
  <c r="AJ144" i="1"/>
  <c r="AH95" i="1"/>
  <c r="AF34" i="1"/>
  <c r="AH132" i="1"/>
  <c r="AJ58" i="1"/>
  <c r="Z100" i="1"/>
  <c r="AF179" i="1"/>
  <c r="X58" i="1"/>
  <c r="AD26" i="1"/>
  <c r="AD24" i="1"/>
  <c r="Z132" i="1"/>
  <c r="AB104" i="1"/>
  <c r="AF143" i="1"/>
  <c r="AH127" i="1"/>
  <c r="AH165" i="1"/>
  <c r="AJ206" i="1"/>
  <c r="AD102" i="1"/>
  <c r="AH22" i="1"/>
  <c r="AJ93" i="1"/>
  <c r="AB101" i="1"/>
  <c r="AF54" i="1"/>
  <c r="AF93" i="1"/>
  <c r="AJ142" i="1"/>
  <c r="AB62" i="1"/>
  <c r="AB134" i="1"/>
  <c r="AF102" i="1"/>
  <c r="AF165" i="1"/>
  <c r="AD53" i="1"/>
  <c r="AH30" i="1"/>
  <c r="AH62" i="1"/>
  <c r="Z94" i="1"/>
  <c r="AB133" i="1"/>
  <c r="AH158" i="1"/>
  <c r="Z125" i="1"/>
  <c r="X53" i="1"/>
  <c r="AH53" i="1"/>
  <c r="AD6" i="1"/>
  <c r="AB53" i="1"/>
  <c r="AH28" i="1"/>
  <c r="AB27" i="1"/>
  <c r="AB26" i="1"/>
  <c r="AH135" i="1"/>
  <c r="AB67" i="1"/>
  <c r="AB127" i="1"/>
  <c r="AB108" i="1"/>
  <c r="AH211" i="1"/>
  <c r="AJ68" i="1"/>
  <c r="AF176" i="1"/>
  <c r="AF64" i="1"/>
  <c r="Z163" i="1"/>
  <c r="Z35" i="1"/>
  <c r="Z59" i="1"/>
  <c r="AJ63" i="1"/>
  <c r="AD23" i="1"/>
  <c r="Z130" i="1"/>
  <c r="AB169" i="1"/>
  <c r="AH25" i="1"/>
  <c r="AF180" i="1"/>
  <c r="AF103" i="1"/>
  <c r="AD209" i="1"/>
  <c r="AJ67" i="1"/>
  <c r="AF28" i="1"/>
  <c r="AB136" i="1"/>
  <c r="AD163" i="1"/>
  <c r="AF32" i="1"/>
  <c r="AB200" i="1"/>
  <c r="X23" i="1"/>
  <c r="Z65" i="1"/>
  <c r="AB58" i="1"/>
  <c r="Z95" i="1"/>
  <c r="Z26" i="1"/>
  <c r="AB99" i="1"/>
  <c r="AJ11" i="1"/>
  <c r="X7" i="1"/>
  <c r="AD9" i="1"/>
  <c r="AJ8" i="1"/>
  <c r="AH9" i="1"/>
  <c r="AJ148" i="1"/>
  <c r="Z57" i="1"/>
  <c r="AF108" i="1"/>
  <c r="AF145" i="1"/>
  <c r="AF130" i="1"/>
  <c r="AJ204" i="1"/>
  <c r="AD106" i="1"/>
  <c r="Z58" i="1"/>
  <c r="AF132" i="1"/>
  <c r="AB130" i="1"/>
  <c r="X57" i="1"/>
  <c r="AD174" i="1"/>
  <c r="AB6" i="1"/>
  <c r="AJ22" i="1"/>
  <c r="AH197" i="1"/>
  <c r="AF53" i="1"/>
  <c r="AB125" i="1"/>
  <c r="AH93" i="1"/>
  <c r="AJ197" i="1"/>
  <c r="AJ134" i="1"/>
  <c r="AF61" i="1"/>
  <c r="X54" i="1"/>
  <c r="AD30" i="1"/>
  <c r="AD206" i="1"/>
  <c r="AD100" i="1"/>
  <c r="AJ99" i="1"/>
  <c r="AF131" i="1"/>
  <c r="AD207" i="1"/>
  <c r="AF56" i="1"/>
  <c r="AF167" i="1"/>
  <c r="Z36" i="1"/>
  <c r="AH129" i="1"/>
  <c r="AJ146" i="1"/>
  <c r="AH199" i="1"/>
  <c r="AF95" i="1"/>
  <c r="AF178" i="1"/>
  <c r="AD131" i="1"/>
  <c r="AD143" i="1"/>
  <c r="AD12" i="1"/>
  <c r="AJ56" i="1"/>
  <c r="AH212" i="1"/>
  <c r="AJ108" i="1"/>
  <c r="AH56" i="1"/>
  <c r="AJ105" i="1"/>
  <c r="AB160" i="1"/>
  <c r="Z164" i="1"/>
  <c r="AD130" i="1"/>
  <c r="AH36" i="1"/>
  <c r="AF164" i="1"/>
  <c r="AH67" i="1"/>
  <c r="Z34" i="1"/>
  <c r="AJ136" i="1"/>
  <c r="AF169" i="1"/>
  <c r="AJ166" i="1"/>
  <c r="AB158" i="1"/>
  <c r="AJ157" i="1"/>
  <c r="AH157" i="1"/>
  <c r="AH125" i="1"/>
  <c r="AD133" i="1"/>
  <c r="AJ61" i="1"/>
  <c r="AD157" i="1"/>
  <c r="AD198" i="1"/>
  <c r="AH134" i="1"/>
  <c r="AB94" i="1"/>
  <c r="AJ102" i="1"/>
  <c r="AJ53" i="1"/>
  <c r="AD22" i="1"/>
  <c r="AF133" i="1"/>
  <c r="AH54" i="1"/>
  <c r="AD62" i="1"/>
  <c r="AH29" i="1"/>
  <c r="AJ54" i="1"/>
  <c r="X22" i="1"/>
  <c r="AD105" i="1"/>
  <c r="AJ127" i="1"/>
  <c r="AH108" i="1"/>
  <c r="AF211" i="1"/>
  <c r="AD31" i="1"/>
  <c r="AJ66" i="1"/>
  <c r="AJ203" i="1"/>
  <c r="AD202" i="1"/>
  <c r="AJ175" i="1"/>
  <c r="AD63" i="1"/>
  <c r="AF171" i="1"/>
  <c r="AD169" i="1"/>
  <c r="AB168" i="1"/>
  <c r="AF147" i="1"/>
  <c r="AD25" i="1"/>
  <c r="AF137" i="1"/>
  <c r="Z25" i="1"/>
  <c r="AB103" i="1"/>
  <c r="AJ209" i="1"/>
  <c r="AD67" i="1"/>
  <c r="AD136" i="1"/>
  <c r="AH163" i="1"/>
  <c r="AB32" i="1"/>
  <c r="AD200" i="1"/>
  <c r="AB204" i="1"/>
  <c r="AB7" i="1"/>
  <c r="AF107" i="1"/>
  <c r="AB33" i="1"/>
  <c r="AF140" i="1"/>
  <c r="AJ179" i="1"/>
  <c r="AH178" i="1"/>
  <c r="AJ131" i="1"/>
  <c r="AH34" i="1"/>
  <c r="AD35" i="1"/>
  <c r="AF177" i="1"/>
  <c r="Z24" i="1"/>
  <c r="Z128" i="1"/>
  <c r="AF23" i="1"/>
  <c r="AH65" i="1"/>
  <c r="AD144" i="1"/>
  <c r="AJ57" i="1"/>
  <c r="AB25" i="1"/>
  <c r="Z12" i="1"/>
  <c r="AJ10" i="1"/>
  <c r="V12" i="1"/>
  <c r="AF65" i="1"/>
  <c r="AF57" i="1"/>
  <c r="AD212" i="1"/>
  <c r="AH162" i="1"/>
  <c r="AJ171" i="1"/>
  <c r="AF210" i="1"/>
  <c r="AH208" i="1"/>
  <c r="X59" i="1"/>
  <c r="AF200" i="1"/>
  <c r="AJ172" i="1"/>
  <c r="AH139" i="1"/>
  <c r="Z97" i="1"/>
  <c r="AH164" i="1"/>
  <c r="AF68" i="1"/>
  <c r="AF157" i="1"/>
  <c r="AF158" i="1"/>
  <c r="AB21" i="1"/>
  <c r="AF174" i="1"/>
  <c r="Z157" i="1"/>
  <c r="AB166" i="1"/>
  <c r="AJ126" i="1"/>
  <c r="AJ158" i="1"/>
  <c r="AH21" i="1"/>
  <c r="AB165" i="1"/>
  <c r="AB61" i="1"/>
  <c r="AF142" i="1"/>
  <c r="AH206" i="1"/>
  <c r="AH61" i="1"/>
  <c r="Z93" i="1"/>
  <c r="AJ165" i="1"/>
  <c r="AF29" i="1"/>
  <c r="AB197" i="1"/>
  <c r="AD94" i="1"/>
  <c r="AH205" i="1"/>
  <c r="AD59" i="1"/>
  <c r="AB100" i="1"/>
  <c r="AF99" i="1"/>
  <c r="AJ212" i="1"/>
  <c r="AD201" i="1"/>
  <c r="AH131" i="1"/>
  <c r="AD68" i="1"/>
  <c r="AH177" i="1"/>
  <c r="AD65" i="1"/>
  <c r="AJ176" i="1"/>
  <c r="AH64" i="1"/>
  <c r="AB161" i="1"/>
  <c r="AH148" i="1"/>
  <c r="Z28" i="1"/>
  <c r="AB137" i="1"/>
  <c r="X27" i="1"/>
  <c r="AF26" i="1"/>
  <c r="AD129" i="1"/>
  <c r="AD199" i="1"/>
  <c r="AF58" i="1"/>
  <c r="AJ210" i="1"/>
  <c r="AH31" i="1"/>
  <c r="V10" i="1"/>
  <c r="Z160" i="1"/>
  <c r="AF172" i="1"/>
  <c r="AH168" i="1"/>
  <c r="AF97" i="1"/>
  <c r="AH159" i="1"/>
  <c r="AF128" i="1"/>
  <c r="X24" i="1"/>
  <c r="V7" i="1"/>
  <c r="AH60" i="1"/>
  <c r="AB159" i="1"/>
  <c r="AJ28" i="1"/>
  <c r="AB131" i="1"/>
  <c r="AB34" i="1"/>
  <c r="Z162" i="1"/>
  <c r="AJ169" i="1"/>
  <c r="AH8" i="1"/>
  <c r="AB11" i="1"/>
  <c r="Z99" i="1"/>
  <c r="AD138" i="1"/>
  <c r="AJ128" i="1"/>
  <c r="AH33" i="1"/>
  <c r="AD210" i="1"/>
  <c r="AJ95" i="1"/>
  <c r="AJ200" i="1"/>
  <c r="AJ135" i="1"/>
  <c r="AJ205" i="1"/>
  <c r="Z21" i="1"/>
  <c r="AH174" i="1"/>
  <c r="AB126" i="1"/>
  <c r="AD173" i="1"/>
  <c r="AJ173" i="1"/>
  <c r="Z29" i="1"/>
  <c r="AD205" i="1"/>
  <c r="AF148" i="1"/>
  <c r="AH63" i="1"/>
  <c r="AF173" i="1"/>
  <c r="AD21" i="1"/>
  <c r="AB199" i="1"/>
  <c r="AH12" i="1"/>
  <c r="AB8" i="1"/>
  <c r="AB66" i="1"/>
  <c r="AD58" i="1"/>
  <c r="AD66" i="1"/>
  <c r="AF159" i="1"/>
  <c r="AJ97" i="1"/>
  <c r="AD179" i="1"/>
  <c r="AH145" i="1"/>
  <c r="AD108" i="1"/>
  <c r="AD135" i="1"/>
  <c r="AH27" i="1"/>
  <c r="AJ207" i="1"/>
  <c r="AD203" i="1"/>
  <c r="AD54" i="1"/>
  <c r="AF6" i="1"/>
  <c r="AH128" i="1"/>
  <c r="AH7" i="1"/>
  <c r="AH201" i="1"/>
  <c r="AH161" i="1"/>
  <c r="AD98" i="1"/>
  <c r="Z131" i="1"/>
  <c r="AJ36" i="1"/>
  <c r="AJ177" i="1"/>
  <c r="Z158" i="1"/>
  <c r="AF94" i="1"/>
  <c r="AH106" i="1"/>
  <c r="V9" i="1"/>
  <c r="X11" i="1"/>
  <c r="AH172" i="1"/>
  <c r="AF35" i="1"/>
  <c r="AJ106" i="1"/>
  <c r="AD104" i="1"/>
  <c r="AF100" i="1"/>
  <c r="AB128" i="1"/>
  <c r="AH179" i="1"/>
  <c r="X12" i="1"/>
  <c r="AF163" i="1"/>
  <c r="AF136" i="1"/>
  <c r="AF161" i="1"/>
  <c r="Z67" i="1"/>
  <c r="AD148" i="1"/>
  <c r="AJ6" i="1"/>
  <c r="AB22" i="1"/>
  <c r="AD61" i="1"/>
  <c r="AB30" i="1"/>
  <c r="Z127" i="1"/>
  <c r="AD145" i="1"/>
  <c r="H2" i="3"/>
  <c r="I3" i="3"/>
  <c r="H3" i="3"/>
  <c r="I4" i="3"/>
  <c r="H4" i="3"/>
  <c r="I5" i="3"/>
  <c r="H5" i="3"/>
  <c r="I6" i="3"/>
  <c r="H6" i="3"/>
  <c r="H1" i="3"/>
  <c r="I1" i="3"/>
  <c r="A38" i="11" l="1"/>
  <c r="A41" i="11"/>
  <c r="A37" i="11"/>
  <c r="A42" i="11"/>
  <c r="N42" i="11" s="1"/>
  <c r="A40" i="11"/>
  <c r="A39" i="11"/>
  <c r="L53" i="13"/>
  <c r="K53" i="13" s="1"/>
  <c r="K208" i="13"/>
  <c r="K204" i="13"/>
  <c r="K181" i="13"/>
  <c r="K186" i="13"/>
  <c r="K187" i="13"/>
  <c r="L22" i="13"/>
  <c r="K22" i="13" s="1"/>
  <c r="L21" i="13"/>
  <c r="K21" i="13" s="1"/>
  <c r="L143" i="13"/>
  <c r="K143" i="13" s="1"/>
  <c r="L157" i="13"/>
  <c r="K157" i="13" s="1"/>
  <c r="L117" i="13"/>
  <c r="K117" i="13" s="1"/>
  <c r="L77" i="13"/>
  <c r="K77" i="13" s="1"/>
  <c r="L78" i="13"/>
  <c r="K78" i="13" s="1"/>
  <c r="L88" i="13"/>
  <c r="K88" i="13" s="1"/>
  <c r="L123" i="13"/>
  <c r="K123" i="13" s="1"/>
  <c r="L59" i="13"/>
  <c r="K59" i="13" s="1"/>
  <c r="L76" i="13"/>
  <c r="K76" i="13" s="1"/>
  <c r="L73" i="13"/>
  <c r="K73" i="13" s="1"/>
  <c r="L111" i="13"/>
  <c r="K111" i="13" s="1"/>
  <c r="L172" i="13"/>
  <c r="K172" i="13" s="1"/>
  <c r="L112" i="13"/>
  <c r="K112" i="13" s="1"/>
  <c r="L159" i="13"/>
  <c r="K159" i="13" s="1"/>
  <c r="L56" i="13"/>
  <c r="K56" i="13" s="1"/>
  <c r="L52" i="13"/>
  <c r="K52" i="13" s="1"/>
  <c r="L110" i="13"/>
  <c r="K110" i="13" s="1"/>
  <c r="L94" i="13"/>
  <c r="K94" i="13" s="1"/>
  <c r="L169" i="13"/>
  <c r="K169" i="13" s="1"/>
  <c r="L34" i="13"/>
  <c r="K34" i="13" s="1"/>
  <c r="L57" i="13"/>
  <c r="K57" i="13" s="1"/>
  <c r="L63" i="13"/>
  <c r="K63" i="13" s="1"/>
  <c r="L121" i="13"/>
  <c r="K121" i="13" s="1"/>
  <c r="L158" i="13"/>
  <c r="K158" i="13" s="1"/>
  <c r="L154" i="13"/>
  <c r="K154" i="13" s="1"/>
  <c r="L92" i="13"/>
  <c r="K92" i="13" s="1"/>
  <c r="L176" i="13"/>
  <c r="K176" i="13" s="1"/>
  <c r="L106" i="13"/>
  <c r="K106" i="13" s="1"/>
  <c r="K200" i="13"/>
  <c r="K206" i="13"/>
  <c r="L23" i="13"/>
  <c r="K23" i="13" s="1"/>
  <c r="L90" i="13"/>
  <c r="K90" i="13" s="1"/>
  <c r="L83" i="13"/>
  <c r="K83" i="13" s="1"/>
  <c r="L47" i="13"/>
  <c r="K47" i="13" s="1"/>
  <c r="L148" i="13"/>
  <c r="K148" i="13" s="1"/>
  <c r="K184" i="13"/>
  <c r="K19" i="13"/>
  <c r="K197" i="13"/>
  <c r="K188" i="13"/>
  <c r="K210" i="13"/>
  <c r="L29" i="13"/>
  <c r="K29" i="13" s="1"/>
  <c r="L35" i="13"/>
  <c r="K35" i="13" s="1"/>
  <c r="L41" i="13"/>
  <c r="K41" i="13" s="1"/>
  <c r="L133" i="13"/>
  <c r="K133" i="13" s="1"/>
  <c r="L93" i="13"/>
  <c r="K93" i="13" s="1"/>
  <c r="L64" i="13"/>
  <c r="K64" i="13" s="1"/>
  <c r="L50" i="13"/>
  <c r="K50" i="13" s="1"/>
  <c r="L179" i="13"/>
  <c r="K179" i="13" s="1"/>
  <c r="L115" i="13"/>
  <c r="K115" i="13" s="1"/>
  <c r="L51" i="13"/>
  <c r="K51" i="13" s="1"/>
  <c r="L152" i="13"/>
  <c r="K152" i="13" s="1"/>
  <c r="L62" i="13"/>
  <c r="K62" i="13" s="1"/>
  <c r="L97" i="13"/>
  <c r="K97" i="13" s="1"/>
  <c r="L132" i="13"/>
  <c r="K132" i="13" s="1"/>
  <c r="L160" i="13"/>
  <c r="K160" i="13" s="1"/>
  <c r="L145" i="13"/>
  <c r="K145" i="13" s="1"/>
  <c r="L42" i="13"/>
  <c r="K42" i="13" s="1"/>
  <c r="L177" i="13"/>
  <c r="K177" i="13" s="1"/>
  <c r="L82" i="13"/>
  <c r="K82" i="13" s="1"/>
  <c r="L80" i="13"/>
  <c r="K80" i="13" s="1"/>
  <c r="K198" i="13"/>
  <c r="K190" i="13"/>
  <c r="K212" i="13"/>
  <c r="K201" i="13"/>
  <c r="K202" i="13"/>
  <c r="L36" i="13"/>
  <c r="K36" i="13" s="1"/>
  <c r="L33" i="13"/>
  <c r="K33" i="13" s="1"/>
  <c r="L38" i="13"/>
  <c r="K38" i="13" s="1"/>
  <c r="L109" i="13"/>
  <c r="K109" i="13" s="1"/>
  <c r="L69" i="13"/>
  <c r="K69" i="13" s="1"/>
  <c r="L129" i="13"/>
  <c r="K129" i="13" s="1"/>
  <c r="L156" i="13"/>
  <c r="K156" i="13" s="1"/>
  <c r="L171" i="13"/>
  <c r="K171" i="13" s="1"/>
  <c r="L107" i="13"/>
  <c r="K107" i="13" s="1"/>
  <c r="L43" i="13"/>
  <c r="K43" i="13" s="1"/>
  <c r="L102" i="13"/>
  <c r="K102" i="13" s="1"/>
  <c r="L48" i="13"/>
  <c r="K48" i="13" s="1"/>
  <c r="L86" i="13"/>
  <c r="K86" i="13" s="1"/>
  <c r="L100" i="13"/>
  <c r="K100" i="13" s="1"/>
  <c r="L146" i="13"/>
  <c r="K146" i="13" s="1"/>
  <c r="L134" i="13"/>
  <c r="K134" i="13" s="1"/>
  <c r="L167" i="13"/>
  <c r="K167" i="13" s="1"/>
  <c r="L127" i="13"/>
  <c r="K127" i="13" s="1"/>
  <c r="L66" i="13"/>
  <c r="K66" i="13" s="1"/>
  <c r="K192" i="13"/>
  <c r="K207" i="13"/>
  <c r="K196" i="13"/>
  <c r="K16" i="13"/>
  <c r="K194" i="13"/>
  <c r="L31" i="13"/>
  <c r="K31" i="13" s="1"/>
  <c r="L85" i="13"/>
  <c r="K85" i="13" s="1"/>
  <c r="L124" i="13"/>
  <c r="K124" i="13" s="1"/>
  <c r="L99" i="13"/>
  <c r="K99" i="13" s="1"/>
  <c r="L175" i="13"/>
  <c r="K175" i="13" s="1"/>
  <c r="L68" i="13"/>
  <c r="K68" i="13" s="1"/>
  <c r="L114" i="13"/>
  <c r="K114" i="13" s="1"/>
  <c r="L55" i="13"/>
  <c r="K55" i="13" s="1"/>
  <c r="K195" i="13"/>
  <c r="K205" i="13"/>
  <c r="K20" i="13"/>
  <c r="L30" i="13"/>
  <c r="K30" i="13" s="1"/>
  <c r="L61" i="13"/>
  <c r="K61" i="13" s="1"/>
  <c r="L168" i="13"/>
  <c r="K168" i="13" s="1"/>
  <c r="L91" i="13"/>
  <c r="K91" i="13" s="1"/>
  <c r="L161" i="13"/>
  <c r="K161" i="13" s="1"/>
  <c r="L166" i="13"/>
  <c r="K166" i="13" s="1"/>
  <c r="L180" i="13"/>
  <c r="K180" i="13" s="1"/>
  <c r="L144" i="13"/>
  <c r="K144" i="13" s="1"/>
  <c r="L54" i="13"/>
  <c r="K54" i="13" s="1"/>
  <c r="L149" i="13"/>
  <c r="K149" i="13" s="1"/>
  <c r="L60" i="13"/>
  <c r="K60" i="13" s="1"/>
  <c r="L164" i="13"/>
  <c r="K164" i="13" s="1"/>
  <c r="L150" i="13"/>
  <c r="K150" i="13" s="1"/>
  <c r="L71" i="13"/>
  <c r="K71" i="13" s="1"/>
  <c r="L126" i="13"/>
  <c r="K126" i="13" s="1"/>
  <c r="K199" i="13"/>
  <c r="K17" i="13"/>
  <c r="K191" i="13"/>
  <c r="K211" i="13"/>
  <c r="K193" i="13"/>
  <c r="L39" i="13"/>
  <c r="K39" i="13" s="1"/>
  <c r="L27" i="13"/>
  <c r="K27" i="13" s="1"/>
  <c r="L45" i="13"/>
  <c r="K45" i="13" s="1"/>
  <c r="L165" i="13"/>
  <c r="K165" i="13" s="1"/>
  <c r="L125" i="13"/>
  <c r="K125" i="13" s="1"/>
  <c r="L178" i="13"/>
  <c r="K178" i="13" s="1"/>
  <c r="L44" i="13"/>
  <c r="K44" i="13" s="1"/>
  <c r="L139" i="13"/>
  <c r="K139" i="13" s="1"/>
  <c r="L75" i="13"/>
  <c r="K75" i="13" s="1"/>
  <c r="L140" i="13"/>
  <c r="K140" i="13" s="1"/>
  <c r="L98" i="13"/>
  <c r="K98" i="13" s="1"/>
  <c r="L136" i="13"/>
  <c r="K136" i="13" s="1"/>
  <c r="L142" i="13"/>
  <c r="K142" i="13" s="1"/>
  <c r="L49" i="13"/>
  <c r="K49" i="13" s="1"/>
  <c r="L46" i="13"/>
  <c r="K46" i="13" s="1"/>
  <c r="L81" i="13"/>
  <c r="K81" i="13" s="1"/>
  <c r="L116" i="13"/>
  <c r="K116" i="13" s="1"/>
  <c r="L174" i="13"/>
  <c r="K174" i="13" s="1"/>
  <c r="L119" i="13"/>
  <c r="K119" i="13" s="1"/>
  <c r="K182" i="13"/>
  <c r="K185" i="13"/>
  <c r="K18" i="13"/>
  <c r="K203" i="13"/>
  <c r="L32" i="13"/>
  <c r="K32" i="13" s="1"/>
  <c r="L28" i="13"/>
  <c r="K28" i="13" s="1"/>
  <c r="L25" i="13"/>
  <c r="K25" i="13" s="1"/>
  <c r="L37" i="13"/>
  <c r="K37" i="13" s="1"/>
  <c r="L141" i="13"/>
  <c r="K141" i="13" s="1"/>
  <c r="L101" i="13"/>
  <c r="K101" i="13" s="1"/>
  <c r="L128" i="13"/>
  <c r="K128" i="13" s="1"/>
  <c r="L138" i="13"/>
  <c r="K138" i="13" s="1"/>
  <c r="L131" i="13"/>
  <c r="K131" i="13" s="1"/>
  <c r="L67" i="13"/>
  <c r="K67" i="13" s="1"/>
  <c r="L108" i="13"/>
  <c r="K108" i="13" s="1"/>
  <c r="L87" i="13"/>
  <c r="K87" i="13" s="1"/>
  <c r="L122" i="13"/>
  <c r="K122" i="13" s="1"/>
  <c r="L89" i="13"/>
  <c r="K89" i="13" s="1"/>
  <c r="L151" i="13"/>
  <c r="K151" i="13" s="1"/>
  <c r="L170" i="13"/>
  <c r="K170" i="13" s="1"/>
  <c r="L70" i="13"/>
  <c r="K70" i="13" s="1"/>
  <c r="L84" i="13"/>
  <c r="K84" i="13" s="1"/>
  <c r="L135" i="13"/>
  <c r="K135" i="13" s="1"/>
  <c r="L105" i="13"/>
  <c r="K105" i="13" s="1"/>
  <c r="L118" i="13"/>
  <c r="K118" i="13" s="1"/>
  <c r="L79" i="13"/>
  <c r="K79" i="13" s="1"/>
  <c r="L163" i="13"/>
  <c r="K163" i="13" s="1"/>
  <c r="L153" i="13"/>
  <c r="K153" i="13" s="1"/>
  <c r="L72" i="13"/>
  <c r="K72" i="13" s="1"/>
  <c r="L120" i="13"/>
  <c r="K120" i="13" s="1"/>
  <c r="L74" i="13"/>
  <c r="K74" i="13" s="1"/>
  <c r="K183" i="13"/>
  <c r="L40" i="13"/>
  <c r="K40" i="13" s="1"/>
  <c r="L26" i="13"/>
  <c r="K26" i="13" s="1"/>
  <c r="L173" i="13"/>
  <c r="K173" i="13" s="1"/>
  <c r="L155" i="13"/>
  <c r="K155" i="13" s="1"/>
  <c r="L103" i="13"/>
  <c r="K103" i="13" s="1"/>
  <c r="L58" i="13"/>
  <c r="K58" i="13" s="1"/>
  <c r="L96" i="13"/>
  <c r="K96" i="13" s="1"/>
  <c r="L162" i="13"/>
  <c r="K162" i="13" s="1"/>
  <c r="K189" i="13"/>
  <c r="K209" i="13"/>
  <c r="L24" i="13"/>
  <c r="K24" i="13" s="1"/>
  <c r="L104" i="13"/>
  <c r="K104" i="13" s="1"/>
  <c r="L65" i="13"/>
  <c r="K65" i="13" s="1"/>
  <c r="L147" i="13"/>
  <c r="K147" i="13" s="1"/>
  <c r="L137" i="13"/>
  <c r="K137" i="13" s="1"/>
  <c r="L113" i="13"/>
  <c r="K113" i="13" s="1"/>
  <c r="L95" i="13"/>
  <c r="K95" i="13" s="1"/>
  <c r="L130" i="13"/>
  <c r="K130" i="13" s="1"/>
  <c r="D41" i="11"/>
  <c r="C41" i="11" s="1"/>
  <c r="N41" i="11"/>
  <c r="O47" i="1"/>
  <c r="A47" i="11"/>
  <c r="B38" i="12"/>
  <c r="O43" i="1"/>
  <c r="B34" i="12"/>
  <c r="A43" i="11"/>
  <c r="N39" i="11"/>
  <c r="D39" i="11"/>
  <c r="C39" i="11" s="1"/>
  <c r="D38" i="11"/>
  <c r="C38" i="11" s="1"/>
  <c r="N38" i="11"/>
  <c r="N37" i="11"/>
  <c r="D37" i="11"/>
  <c r="C37" i="11" s="1"/>
  <c r="O44" i="1"/>
  <c r="A44" i="11"/>
  <c r="B35" i="12"/>
  <c r="O52" i="1"/>
  <c r="A52" i="11"/>
  <c r="O50" i="1"/>
  <c r="A50" i="11"/>
  <c r="O46" i="1"/>
  <c r="A46" i="11"/>
  <c r="B37" i="12"/>
  <c r="O51" i="1"/>
  <c r="A51" i="11"/>
  <c r="O45" i="1"/>
  <c r="A45" i="11"/>
  <c r="B36" i="12"/>
  <c r="O49" i="1"/>
  <c r="A49" i="11"/>
  <c r="O48" i="1"/>
  <c r="B39" i="12"/>
  <c r="A48" i="11"/>
  <c r="N40" i="11"/>
  <c r="D40" i="11"/>
  <c r="C40" i="11" s="1"/>
  <c r="O42" i="1"/>
  <c r="B33" i="12"/>
  <c r="B29" i="12"/>
  <c r="O38" i="1"/>
  <c r="O37" i="1"/>
  <c r="B28" i="12"/>
  <c r="B31" i="12"/>
  <c r="O40" i="1"/>
  <c r="O41" i="1"/>
  <c r="B32" i="12"/>
  <c r="O39" i="1"/>
  <c r="B30" i="12"/>
  <c r="O152" i="1"/>
  <c r="O182" i="1"/>
  <c r="O72" i="1"/>
  <c r="O28" i="1"/>
  <c r="O25" i="1"/>
  <c r="O35" i="1"/>
  <c r="O87" i="1"/>
  <c r="O161" i="1"/>
  <c r="O171" i="1"/>
  <c r="O77" i="1"/>
  <c r="O19" i="1"/>
  <c r="O105" i="1"/>
  <c r="O123" i="1"/>
  <c r="O169" i="1"/>
  <c r="O205" i="1"/>
  <c r="O128" i="1"/>
  <c r="O157" i="1"/>
  <c r="O102" i="1"/>
  <c r="O130" i="1"/>
  <c r="O59" i="1"/>
  <c r="O103" i="1"/>
  <c r="O61" i="1"/>
  <c r="O15" i="1"/>
  <c r="O98" i="1"/>
  <c r="O133" i="1"/>
  <c r="O193" i="1"/>
  <c r="O132" i="1"/>
  <c r="O111" i="1"/>
  <c r="O176" i="1"/>
  <c r="O112" i="1"/>
  <c r="O146" i="1"/>
  <c r="O135" i="1"/>
  <c r="O110" i="1"/>
  <c r="O62" i="1"/>
  <c r="O150" i="1"/>
  <c r="O160" i="1"/>
  <c r="O9" i="1"/>
  <c r="O211" i="1"/>
  <c r="O118" i="1"/>
  <c r="O81" i="1"/>
  <c r="O101" i="1"/>
  <c r="O56" i="1"/>
  <c r="O8" i="1"/>
  <c r="O194" i="1"/>
  <c r="O55" i="1"/>
  <c r="O166" i="1"/>
  <c r="O207" i="1"/>
  <c r="O75" i="1"/>
  <c r="O85" i="1"/>
  <c r="O73" i="1"/>
  <c r="O34" i="1"/>
  <c r="O97" i="1"/>
  <c r="O117" i="1"/>
  <c r="O116" i="1"/>
  <c r="O180" i="1"/>
  <c r="O151" i="1"/>
  <c r="O94" i="1"/>
  <c r="O12" i="1"/>
  <c r="O202" i="1"/>
  <c r="O147" i="1"/>
  <c r="O92" i="1"/>
  <c r="O163" i="1"/>
  <c r="O127" i="1"/>
  <c r="O158" i="1"/>
  <c r="O198" i="1"/>
  <c r="O145" i="1"/>
  <c r="O10" i="1"/>
  <c r="O91" i="1"/>
  <c r="O86" i="1"/>
  <c r="O143" i="1"/>
  <c r="O167" i="1"/>
  <c r="O149" i="1"/>
  <c r="O104" i="1"/>
  <c r="O13" i="1"/>
  <c r="O174" i="1"/>
  <c r="O209" i="1"/>
  <c r="O186" i="1"/>
  <c r="O203" i="1"/>
  <c r="O148" i="1"/>
  <c r="O173" i="1"/>
  <c r="O93" i="1"/>
  <c r="O20" i="1"/>
  <c r="O36" i="1"/>
  <c r="O5" i="1"/>
  <c r="O131" i="1"/>
  <c r="O120" i="1"/>
  <c r="O134" i="1"/>
  <c r="O17" i="1"/>
  <c r="O177" i="1"/>
  <c r="O33" i="1"/>
  <c r="O206" i="1"/>
  <c r="O64" i="1"/>
  <c r="O88" i="1"/>
  <c r="O96" i="1"/>
  <c r="O65" i="1"/>
  <c r="O79" i="1"/>
  <c r="O183" i="1"/>
  <c r="O190" i="1"/>
  <c r="O172" i="1"/>
  <c r="O175" i="1"/>
  <c r="O22" i="1"/>
  <c r="O196" i="1"/>
  <c r="O68" i="1"/>
  <c r="O21" i="1"/>
  <c r="O6" i="1"/>
  <c r="O168" i="1"/>
  <c r="O126" i="1"/>
  <c r="O200" i="1"/>
  <c r="O90" i="1"/>
  <c r="O129" i="1"/>
  <c r="O109" i="1"/>
  <c r="O153" i="1"/>
  <c r="O188" i="1"/>
  <c r="O137" i="1"/>
  <c r="O95" i="1"/>
  <c r="O71" i="1"/>
  <c r="O124" i="1"/>
  <c r="O140" i="1"/>
  <c r="O74" i="1"/>
  <c r="O78" i="1"/>
  <c r="O26" i="1"/>
  <c r="O30" i="1"/>
  <c r="O185" i="1"/>
  <c r="O154" i="1"/>
  <c r="O60" i="1"/>
  <c r="O58" i="1"/>
  <c r="O82" i="1"/>
  <c r="O141" i="1"/>
  <c r="O142" i="1"/>
  <c r="O7" i="1"/>
  <c r="O31" i="1"/>
  <c r="O179" i="1"/>
  <c r="O54" i="1"/>
  <c r="O113" i="1"/>
  <c r="O121" i="1"/>
  <c r="O208" i="1"/>
  <c r="O159" i="1"/>
  <c r="O212" i="1"/>
  <c r="O144" i="1"/>
  <c r="O11" i="1"/>
  <c r="O119" i="1"/>
  <c r="O125" i="1"/>
  <c r="O210" i="1"/>
  <c r="O27" i="1"/>
  <c r="O80" i="1"/>
  <c r="O156" i="1"/>
  <c r="O18" i="1"/>
  <c r="O164" i="1"/>
  <c r="O199" i="1"/>
  <c r="O115" i="1"/>
  <c r="O162" i="1"/>
  <c r="O100" i="1"/>
  <c r="O165" i="1"/>
  <c r="O69" i="1"/>
  <c r="O67" i="1"/>
  <c r="O155" i="1"/>
  <c r="O66" i="1"/>
  <c r="O191" i="1"/>
  <c r="O136" i="1"/>
  <c r="O83" i="1"/>
  <c r="O76" i="1"/>
  <c r="O16" i="1"/>
  <c r="O63" i="1"/>
  <c r="O178" i="1"/>
  <c r="O53" i="1"/>
  <c r="O84" i="1"/>
  <c r="O204" i="1"/>
  <c r="O14" i="1"/>
  <c r="O195" i="1"/>
  <c r="O106" i="1"/>
  <c r="O184" i="1"/>
  <c r="O192" i="1"/>
  <c r="O89" i="1"/>
  <c r="O108" i="1"/>
  <c r="O32" i="1"/>
  <c r="O197" i="1"/>
  <c r="O114" i="1"/>
  <c r="O29" i="1"/>
  <c r="O99" i="1"/>
  <c r="O138" i="1"/>
  <c r="O170" i="1"/>
  <c r="O70" i="1"/>
  <c r="O187" i="1"/>
  <c r="O122" i="1"/>
  <c r="O107" i="1"/>
  <c r="O201" i="1"/>
  <c r="O181" i="1"/>
  <c r="O57" i="1"/>
  <c r="O139" i="1"/>
  <c r="O189" i="1"/>
  <c r="O24" i="1"/>
  <c r="O23" i="1"/>
  <c r="A210" i="11"/>
  <c r="N210" i="11" s="1"/>
  <c r="A73" i="11"/>
  <c r="N73" i="11" s="1"/>
  <c r="A116" i="11"/>
  <c r="N116" i="11" s="1"/>
  <c r="A12" i="11"/>
  <c r="N12" i="11" s="1"/>
  <c r="A92" i="11"/>
  <c r="N92" i="11" s="1"/>
  <c r="A158" i="11"/>
  <c r="N158" i="11" s="1"/>
  <c r="A10" i="11"/>
  <c r="N10" i="11" s="1"/>
  <c r="A143" i="11"/>
  <c r="N143" i="11" s="1"/>
  <c r="A104" i="11"/>
  <c r="N104" i="11" s="1"/>
  <c r="A186" i="11"/>
  <c r="N186" i="11" s="1"/>
  <c r="A173" i="11"/>
  <c r="N173" i="11" s="1"/>
  <c r="A20" i="11"/>
  <c r="N20" i="11" s="1"/>
  <c r="A36" i="11"/>
  <c r="N36" i="11" s="1"/>
  <c r="A120" i="11"/>
  <c r="N120" i="11" s="1"/>
  <c r="A17" i="11"/>
  <c r="N17" i="11" s="1"/>
  <c r="A33" i="11"/>
  <c r="N33" i="11" s="1"/>
  <c r="A206" i="11"/>
  <c r="N206" i="11" s="1"/>
  <c r="A64" i="11"/>
  <c r="N64" i="11" s="1"/>
  <c r="A88" i="11"/>
  <c r="N88" i="11" s="1"/>
  <c r="A96" i="11"/>
  <c r="N96" i="11" s="1"/>
  <c r="A65" i="11"/>
  <c r="N65" i="11" s="1"/>
  <c r="A75" i="11"/>
  <c r="N75" i="11" s="1"/>
  <c r="A34" i="11"/>
  <c r="N34" i="11" s="1"/>
  <c r="A117" i="11"/>
  <c r="N117" i="11" s="1"/>
  <c r="A151" i="11"/>
  <c r="N151" i="11" s="1"/>
  <c r="A202" i="11"/>
  <c r="N202" i="11" s="1"/>
  <c r="A127" i="11"/>
  <c r="N127" i="11" s="1"/>
  <c r="A145" i="11"/>
  <c r="N145" i="11" s="1"/>
  <c r="A86" i="11"/>
  <c r="N86" i="11" s="1"/>
  <c r="A149" i="11"/>
  <c r="N149" i="11" s="1"/>
  <c r="A174" i="11"/>
  <c r="N174" i="11" s="1"/>
  <c r="A148" i="11"/>
  <c r="N148" i="11" s="1"/>
  <c r="A131" i="11"/>
  <c r="N131" i="11" s="1"/>
  <c r="A79" i="11"/>
  <c r="N79" i="11" s="1"/>
  <c r="A183" i="11"/>
  <c r="N183" i="11" s="1"/>
  <c r="A190" i="11"/>
  <c r="N190" i="11" s="1"/>
  <c r="A172" i="11"/>
  <c r="N172" i="11" s="1"/>
  <c r="A22" i="11"/>
  <c r="N22" i="11" s="1"/>
  <c r="A196" i="11"/>
  <c r="N196" i="11" s="1"/>
  <c r="A68" i="11"/>
  <c r="N68" i="11" s="1"/>
  <c r="A21" i="11"/>
  <c r="A6" i="11"/>
  <c r="N6" i="11" s="1"/>
  <c r="A168" i="11"/>
  <c r="N168" i="11" s="1"/>
  <c r="A126" i="11"/>
  <c r="N126" i="11" s="1"/>
  <c r="A200" i="11"/>
  <c r="N200" i="11" s="1"/>
  <c r="A90" i="11"/>
  <c r="N90" i="11" s="1"/>
  <c r="A129" i="11"/>
  <c r="N129" i="11" s="1"/>
  <c r="A109" i="11"/>
  <c r="N109" i="11" s="1"/>
  <c r="A153" i="11"/>
  <c r="N153" i="11" s="1"/>
  <c r="A188" i="11"/>
  <c r="N188" i="11" s="1"/>
  <c r="A137" i="11"/>
  <c r="N137" i="11" s="1"/>
  <c r="A95" i="11"/>
  <c r="N95" i="11" s="1"/>
  <c r="A71" i="11"/>
  <c r="N71" i="11" s="1"/>
  <c r="A124" i="11"/>
  <c r="N124" i="11" s="1"/>
  <c r="A140" i="11"/>
  <c r="N140" i="11" s="1"/>
  <c r="A74" i="11"/>
  <c r="N74" i="11" s="1"/>
  <c r="A78" i="11"/>
  <c r="N78" i="11" s="1"/>
  <c r="A26" i="11"/>
  <c r="N26" i="11" s="1"/>
  <c r="A30" i="11"/>
  <c r="N30" i="11" s="1"/>
  <c r="A185" i="11"/>
  <c r="N185" i="11" s="1"/>
  <c r="A154" i="11"/>
  <c r="N154" i="11" s="1"/>
  <c r="A60" i="11"/>
  <c r="N60" i="11" s="1"/>
  <c r="A58" i="11"/>
  <c r="N58" i="11" s="1"/>
  <c r="A82" i="11"/>
  <c r="N82" i="11" s="1"/>
  <c r="A141" i="11"/>
  <c r="N141" i="11" s="1"/>
  <c r="A142" i="11"/>
  <c r="N142" i="11" s="1"/>
  <c r="A7" i="11"/>
  <c r="N7" i="11" s="1"/>
  <c r="A31" i="11"/>
  <c r="N31" i="11" s="1"/>
  <c r="A179" i="11"/>
  <c r="N179" i="11" s="1"/>
  <c r="A54" i="11"/>
  <c r="N54" i="11" s="1"/>
  <c r="A113" i="11"/>
  <c r="N113" i="11" s="1"/>
  <c r="A121" i="11"/>
  <c r="N121" i="11" s="1"/>
  <c r="A208" i="11"/>
  <c r="N208" i="11" s="1"/>
  <c r="A159" i="11"/>
  <c r="N159" i="11" s="1"/>
  <c r="A212" i="11"/>
  <c r="N212" i="11" s="1"/>
  <c r="A144" i="11"/>
  <c r="N144" i="11" s="1"/>
  <c r="A11" i="11"/>
  <c r="N11" i="11" s="1"/>
  <c r="A119" i="11"/>
  <c r="N119" i="11" s="1"/>
  <c r="A125" i="11"/>
  <c r="N125" i="11" s="1"/>
  <c r="A27" i="11"/>
  <c r="N27" i="11" s="1"/>
  <c r="A85" i="11"/>
  <c r="N85" i="11" s="1"/>
  <c r="A97" i="11"/>
  <c r="N97" i="11" s="1"/>
  <c r="A180" i="11"/>
  <c r="N180" i="11" s="1"/>
  <c r="A94" i="11"/>
  <c r="N94" i="11" s="1"/>
  <c r="A147" i="11"/>
  <c r="N147" i="11" s="1"/>
  <c r="A163" i="11"/>
  <c r="N163" i="11" s="1"/>
  <c r="A198" i="11"/>
  <c r="N198" i="11" s="1"/>
  <c r="A91" i="11"/>
  <c r="N91" i="11" s="1"/>
  <c r="A167" i="11"/>
  <c r="N167" i="11" s="1"/>
  <c r="A13" i="11"/>
  <c r="N13" i="11" s="1"/>
  <c r="A209" i="11"/>
  <c r="N209" i="11" s="1"/>
  <c r="A203" i="11"/>
  <c r="N203" i="11" s="1"/>
  <c r="A93" i="11"/>
  <c r="N93" i="11" s="1"/>
  <c r="A5" i="11"/>
  <c r="N5" i="11" s="1"/>
  <c r="A134" i="11"/>
  <c r="N134" i="11" s="1"/>
  <c r="A177" i="11"/>
  <c r="N177" i="11" s="1"/>
  <c r="A175" i="11"/>
  <c r="N175" i="11" s="1"/>
  <c r="A80" i="11"/>
  <c r="N80" i="11" s="1"/>
  <c r="A156" i="11"/>
  <c r="N156" i="11" s="1"/>
  <c r="A18" i="11"/>
  <c r="N18" i="11" s="1"/>
  <c r="A164" i="11"/>
  <c r="N164" i="11" s="1"/>
  <c r="A199" i="11"/>
  <c r="N199" i="11" s="1"/>
  <c r="A115" i="11"/>
  <c r="N115" i="11" s="1"/>
  <c r="A162" i="11"/>
  <c r="N162" i="11" s="1"/>
  <c r="A100" i="11"/>
  <c r="N100" i="11" s="1"/>
  <c r="A165" i="11"/>
  <c r="N165" i="11" s="1"/>
  <c r="A69" i="11"/>
  <c r="N69" i="11" s="1"/>
  <c r="A67" i="11"/>
  <c r="N67" i="11" s="1"/>
  <c r="A155" i="11"/>
  <c r="N155" i="11" s="1"/>
  <c r="A66" i="11"/>
  <c r="N66" i="11" s="1"/>
  <c r="A191" i="11"/>
  <c r="N191" i="11" s="1"/>
  <c r="A136" i="11"/>
  <c r="N136" i="11" s="1"/>
  <c r="A83" i="11"/>
  <c r="N83" i="11" s="1"/>
  <c r="A76" i="11"/>
  <c r="N76" i="11" s="1"/>
  <c r="A16" i="11"/>
  <c r="N16" i="11" s="1"/>
  <c r="A63" i="11"/>
  <c r="N63" i="11" s="1"/>
  <c r="A178" i="11"/>
  <c r="N178" i="11" s="1"/>
  <c r="A53" i="11"/>
  <c r="N53" i="11" s="1"/>
  <c r="A84" i="11"/>
  <c r="N84" i="11" s="1"/>
  <c r="A204" i="11"/>
  <c r="N204" i="11" s="1"/>
  <c r="A14" i="11"/>
  <c r="N14" i="11" s="1"/>
  <c r="A195" i="11"/>
  <c r="N195" i="11" s="1"/>
  <c r="A106" i="11"/>
  <c r="N106" i="11" s="1"/>
  <c r="A184" i="11"/>
  <c r="N184" i="11" s="1"/>
  <c r="A192" i="11"/>
  <c r="N192" i="11" s="1"/>
  <c r="A89" i="11"/>
  <c r="N89" i="11" s="1"/>
  <c r="A108" i="11"/>
  <c r="N108" i="11" s="1"/>
  <c r="A32" i="11"/>
  <c r="N32" i="11" s="1"/>
  <c r="A197" i="11"/>
  <c r="N197" i="11" s="1"/>
  <c r="A114" i="11"/>
  <c r="N114" i="11" s="1"/>
  <c r="A29" i="11"/>
  <c r="N29" i="11" s="1"/>
  <c r="A99" i="11"/>
  <c r="N99" i="11" s="1"/>
  <c r="A138" i="11"/>
  <c r="N138" i="11" s="1"/>
  <c r="A170" i="11"/>
  <c r="N170" i="11" s="1"/>
  <c r="A70" i="11"/>
  <c r="N70" i="11" s="1"/>
  <c r="A187" i="11"/>
  <c r="N187" i="11" s="1"/>
  <c r="A122" i="11"/>
  <c r="N122" i="11" s="1"/>
  <c r="A107" i="11"/>
  <c r="N107" i="11" s="1"/>
  <c r="A201" i="11"/>
  <c r="N201" i="11" s="1"/>
  <c r="A181" i="11"/>
  <c r="N181" i="11" s="1"/>
  <c r="A57" i="11"/>
  <c r="N57" i="11" s="1"/>
  <c r="A139" i="11"/>
  <c r="N139" i="11" s="1"/>
  <c r="A189" i="11"/>
  <c r="N189" i="11" s="1"/>
  <c r="A152" i="11"/>
  <c r="N152" i="11" s="1"/>
  <c r="A182" i="11"/>
  <c r="N182" i="11" s="1"/>
  <c r="A72" i="11"/>
  <c r="N72" i="11" s="1"/>
  <c r="A28" i="11"/>
  <c r="N28" i="11" s="1"/>
  <c r="A25" i="11"/>
  <c r="N25" i="11" s="1"/>
  <c r="A35" i="11"/>
  <c r="N35" i="11" s="1"/>
  <c r="A87" i="11"/>
  <c r="N87" i="11" s="1"/>
  <c r="A161" i="11"/>
  <c r="N161" i="11" s="1"/>
  <c r="A171" i="11"/>
  <c r="N171" i="11" s="1"/>
  <c r="A77" i="11"/>
  <c r="N77" i="11" s="1"/>
  <c r="A19" i="11"/>
  <c r="N19" i="11" s="1"/>
  <c r="A105" i="11"/>
  <c r="N105" i="11" s="1"/>
  <c r="A123" i="11"/>
  <c r="N123" i="11" s="1"/>
  <c r="A169" i="11"/>
  <c r="N169" i="11" s="1"/>
  <c r="A205" i="11"/>
  <c r="N205" i="11" s="1"/>
  <c r="A128" i="11"/>
  <c r="N128" i="11" s="1"/>
  <c r="A157" i="11"/>
  <c r="N157" i="11" s="1"/>
  <c r="A102" i="11"/>
  <c r="N102" i="11" s="1"/>
  <c r="A130" i="11"/>
  <c r="N130" i="11" s="1"/>
  <c r="A59" i="11"/>
  <c r="N59" i="11" s="1"/>
  <c r="A103" i="11"/>
  <c r="N103" i="11" s="1"/>
  <c r="A61" i="11"/>
  <c r="N61" i="11" s="1"/>
  <c r="A15" i="11"/>
  <c r="N15" i="11" s="1"/>
  <c r="A98" i="11"/>
  <c r="N98" i="11" s="1"/>
  <c r="A133" i="11"/>
  <c r="N133" i="11" s="1"/>
  <c r="A193" i="11"/>
  <c r="N193" i="11" s="1"/>
  <c r="A132" i="11"/>
  <c r="N132" i="11" s="1"/>
  <c r="A111" i="11"/>
  <c r="N111" i="11" s="1"/>
  <c r="A176" i="11"/>
  <c r="N176" i="11" s="1"/>
  <c r="A112" i="11"/>
  <c r="N112" i="11" s="1"/>
  <c r="A146" i="11"/>
  <c r="N146" i="11" s="1"/>
  <c r="A135" i="11"/>
  <c r="N135" i="11" s="1"/>
  <c r="A110" i="11"/>
  <c r="N110" i="11" s="1"/>
  <c r="A62" i="11"/>
  <c r="N62" i="11" s="1"/>
  <c r="A150" i="11"/>
  <c r="N150" i="11" s="1"/>
  <c r="A160" i="11"/>
  <c r="N160" i="11" s="1"/>
  <c r="A9" i="11"/>
  <c r="N9" i="11" s="1"/>
  <c r="A211" i="11"/>
  <c r="N211" i="11" s="1"/>
  <c r="A118" i="11"/>
  <c r="N118" i="11" s="1"/>
  <c r="A81" i="11"/>
  <c r="N81" i="11" s="1"/>
  <c r="A101" i="11"/>
  <c r="N101" i="11" s="1"/>
  <c r="A56" i="11"/>
  <c r="N56" i="11" s="1"/>
  <c r="A8" i="11"/>
  <c r="N8" i="11" s="1"/>
  <c r="A194" i="11"/>
  <c r="N194" i="11" s="1"/>
  <c r="A55" i="11"/>
  <c r="N55" i="11" s="1"/>
  <c r="A166" i="11"/>
  <c r="N166" i="11" s="1"/>
  <c r="A207" i="11"/>
  <c r="N207" i="11" s="1"/>
  <c r="A23" i="11"/>
  <c r="N23" i="11" s="1"/>
  <c r="B15" i="12"/>
  <c r="A24" i="11"/>
  <c r="N24" i="11" s="1"/>
  <c r="B14" i="12"/>
  <c r="B13" i="12"/>
  <c r="B58" i="12"/>
  <c r="B131" i="12"/>
  <c r="B98" i="12"/>
  <c r="B5" i="12"/>
  <c r="B10" i="12"/>
  <c r="B6" i="12"/>
  <c r="N210" i="13"/>
  <c r="P210" i="13"/>
  <c r="E210" i="11" s="1"/>
  <c r="N209" i="13"/>
  <c r="P209" i="13"/>
  <c r="E209" i="11" s="1"/>
  <c r="P211" i="13"/>
  <c r="E211" i="11" s="1"/>
  <c r="N211" i="13"/>
  <c r="P212" i="13"/>
  <c r="E212" i="11" s="1"/>
  <c r="N212" i="13"/>
  <c r="P199" i="13"/>
  <c r="E199" i="11" s="1"/>
  <c r="N199" i="13"/>
  <c r="P204" i="13"/>
  <c r="E204" i="11" s="1"/>
  <c r="N204" i="13"/>
  <c r="N202" i="13"/>
  <c r="P202" i="13"/>
  <c r="E202" i="11" s="1"/>
  <c r="N203" i="13"/>
  <c r="P203" i="13"/>
  <c r="E203" i="11" s="1"/>
  <c r="N208" i="13"/>
  <c r="P208" i="13"/>
  <c r="E208" i="11" s="1"/>
  <c r="N201" i="13"/>
  <c r="P201" i="13"/>
  <c r="E201" i="11" s="1"/>
  <c r="N200" i="13"/>
  <c r="P200" i="13"/>
  <c r="E200" i="11" s="1"/>
  <c r="P207" i="13"/>
  <c r="E207" i="11" s="1"/>
  <c r="N207" i="13"/>
  <c r="B59" i="12"/>
  <c r="B19" i="12"/>
  <c r="B16" i="12"/>
  <c r="B26" i="12"/>
  <c r="B100" i="12"/>
  <c r="B108" i="12"/>
  <c r="B128" i="12"/>
  <c r="B75" i="12"/>
  <c r="B65" i="12"/>
  <c r="B77" i="12"/>
  <c r="B46" i="12"/>
  <c r="B66" i="12"/>
  <c r="B48" i="12"/>
  <c r="B61" i="12"/>
  <c r="B79" i="12"/>
  <c r="B115" i="12"/>
  <c r="B93" i="12"/>
  <c r="B99" i="12"/>
  <c r="B134" i="12"/>
  <c r="B64" i="12"/>
  <c r="B43" i="12"/>
  <c r="B7" i="12"/>
  <c r="B105" i="12"/>
  <c r="B130" i="12"/>
  <c r="B45" i="12"/>
  <c r="B111" i="12"/>
  <c r="B114" i="12"/>
  <c r="B55" i="12"/>
  <c r="B12" i="12"/>
  <c r="B107" i="12"/>
  <c r="B73" i="12"/>
  <c r="B123" i="12"/>
  <c r="B76" i="12"/>
  <c r="B17" i="12"/>
  <c r="B118" i="12"/>
  <c r="B135" i="12"/>
  <c r="B72" i="12"/>
  <c r="B87" i="12"/>
  <c r="B18" i="12"/>
  <c r="B54" i="12"/>
  <c r="B20" i="12"/>
  <c r="B62" i="12"/>
  <c r="B91" i="12"/>
  <c r="B89" i="12"/>
  <c r="B22" i="12"/>
  <c r="B88" i="12"/>
  <c r="B21" i="12"/>
  <c r="B84" i="12"/>
  <c r="B47" i="12"/>
  <c r="B41" i="12"/>
  <c r="B52" i="12"/>
  <c r="B110" i="12"/>
  <c r="B133" i="12"/>
  <c r="B96" i="12"/>
  <c r="B49" i="12"/>
  <c r="B42" i="12"/>
  <c r="B68" i="12"/>
  <c r="B80" i="12"/>
  <c r="B8" i="12"/>
  <c r="B82" i="12"/>
  <c r="B104" i="12"/>
  <c r="B117" i="12"/>
  <c r="B71" i="12"/>
  <c r="B86" i="12"/>
  <c r="B109" i="12"/>
  <c r="B119" i="12"/>
  <c r="B125" i="12"/>
  <c r="B74" i="12"/>
  <c r="B95" i="12"/>
  <c r="B27" i="12"/>
  <c r="B78" i="12"/>
  <c r="B70" i="12"/>
  <c r="B44" i="12"/>
  <c r="B11" i="12"/>
  <c r="B94" i="12"/>
  <c r="B102" i="12"/>
  <c r="B126" i="12"/>
  <c r="B56" i="12"/>
  <c r="B24" i="12"/>
  <c r="B40" i="12"/>
  <c r="B63" i="12"/>
  <c r="B103" i="12"/>
  <c r="B127" i="12"/>
  <c r="B83" i="12"/>
  <c r="B85" i="12"/>
  <c r="B53" i="12"/>
  <c r="B120" i="12"/>
  <c r="B69" i="12"/>
  <c r="B101" i="12"/>
  <c r="B23" i="12"/>
  <c r="B50" i="12"/>
  <c r="B124" i="12"/>
  <c r="B122" i="12"/>
  <c r="B113" i="12"/>
  <c r="B121" i="12"/>
  <c r="B9" i="12"/>
  <c r="B57" i="12"/>
  <c r="B129" i="12"/>
  <c r="B81" i="12"/>
  <c r="B132" i="12"/>
  <c r="B51" i="12"/>
  <c r="B25" i="12"/>
  <c r="B97" i="12"/>
  <c r="B116" i="12"/>
  <c r="B90" i="12"/>
  <c r="K7" i="13"/>
  <c r="K11" i="13"/>
  <c r="K8" i="13"/>
  <c r="K6" i="13"/>
  <c r="K9" i="13"/>
  <c r="K12" i="13"/>
  <c r="K14" i="13"/>
  <c r="K4" i="13"/>
  <c r="K5" i="13"/>
  <c r="K10" i="13"/>
  <c r="K2" i="13"/>
  <c r="K15" i="13"/>
  <c r="K13" i="13"/>
  <c r="K3" i="13"/>
  <c r="B112" i="12"/>
  <c r="B106" i="12"/>
  <c r="B92" i="12"/>
  <c r="B67" i="12"/>
  <c r="B60" i="12"/>
  <c r="AF147" i="5"/>
  <c r="D42" i="11" l="1"/>
  <c r="C42" i="11" s="1"/>
  <c r="N43" i="11"/>
  <c r="D43" i="11"/>
  <c r="C43" i="11" s="1"/>
  <c r="N52" i="11"/>
  <c r="D52" i="11"/>
  <c r="C52" i="11" s="1"/>
  <c r="N50" i="11"/>
  <c r="D50" i="11"/>
  <c r="C50" i="11" s="1"/>
  <c r="N48" i="11"/>
  <c r="D48" i="11"/>
  <c r="C48" i="11" s="1"/>
  <c r="N51" i="11"/>
  <c r="D51" i="11"/>
  <c r="C51" i="11" s="1"/>
  <c r="N47" i="11"/>
  <c r="D47" i="11"/>
  <c r="C47" i="11" s="1"/>
  <c r="N45" i="11"/>
  <c r="D45" i="11"/>
  <c r="C45" i="11" s="1"/>
  <c r="N44" i="11"/>
  <c r="D44" i="11"/>
  <c r="C44" i="11" s="1"/>
  <c r="D49" i="11"/>
  <c r="C49" i="11" s="1"/>
  <c r="N49" i="11"/>
  <c r="D46" i="11"/>
  <c r="C46" i="11" s="1"/>
  <c r="N46" i="11"/>
  <c r="N21" i="11"/>
  <c r="D21" i="11"/>
  <c r="AE147" i="5"/>
  <c r="M14" i="3" l="1"/>
  <c r="P14" i="3"/>
  <c r="L14" i="3" l="1"/>
  <c r="O14" i="3"/>
  <c r="N14" i="3" l="1"/>
  <c r="D4" i="12" l="1"/>
  <c r="R24" i="4" l="1"/>
  <c r="S24" i="4"/>
  <c r="T24" i="4"/>
  <c r="U24" i="4"/>
  <c r="Q24" i="4"/>
  <c r="V67" i="4" l="1"/>
  <c r="R65" i="4"/>
  <c r="X64" i="4"/>
  <c r="T62" i="4"/>
  <c r="S66" i="4"/>
  <c r="T66" i="4"/>
  <c r="P64" i="4"/>
  <c r="V63" i="4"/>
  <c r="U67" i="4"/>
  <c r="O65" i="4"/>
  <c r="P62" i="4"/>
  <c r="R67" i="4"/>
  <c r="R66" i="4"/>
  <c r="U63" i="4"/>
  <c r="Q66" i="4"/>
  <c r="T63" i="4"/>
  <c r="W65" i="4"/>
  <c r="V64" i="4"/>
  <c r="T67" i="4"/>
  <c r="Q65" i="4"/>
  <c r="T64" i="4"/>
  <c r="R62" i="4"/>
  <c r="O64" i="4"/>
  <c r="Q62" i="4"/>
  <c r="X65" i="4"/>
  <c r="W64" i="4"/>
  <c r="X62" i="4"/>
  <c r="V65" i="4"/>
  <c r="U64" i="4"/>
  <c r="S62" i="4"/>
  <c r="S67" i="4"/>
  <c r="P65" i="4"/>
  <c r="S63" i="4"/>
  <c r="W62" i="4"/>
  <c r="P67" i="4"/>
  <c r="Q63" i="4"/>
  <c r="V62" i="4"/>
  <c r="O63" i="4"/>
  <c r="W63" i="4"/>
  <c r="W66" i="4"/>
  <c r="X67" i="4"/>
  <c r="U66" i="4"/>
  <c r="P66" i="4"/>
  <c r="R63" i="4"/>
  <c r="X66" i="4"/>
  <c r="S64" i="4"/>
  <c r="O67" i="4"/>
  <c r="R64" i="4"/>
  <c r="Q67" i="4"/>
  <c r="V66" i="4"/>
  <c r="W67" i="4"/>
  <c r="X63" i="4"/>
  <c r="S65" i="4"/>
  <c r="O62" i="4"/>
  <c r="O66" i="4"/>
  <c r="P63" i="4"/>
  <c r="T65" i="4"/>
  <c r="U65" i="4"/>
  <c r="U62" i="4"/>
  <c r="Q64" i="4"/>
  <c r="X59" i="4"/>
  <c r="S59" i="4"/>
  <c r="Q58" i="4"/>
  <c r="W57" i="4"/>
  <c r="O57" i="4"/>
  <c r="U56" i="4"/>
  <c r="S60" i="4"/>
  <c r="O58" i="4"/>
  <c r="U57" i="4"/>
  <c r="T61" i="4"/>
  <c r="U61" i="4"/>
  <c r="Q59" i="4"/>
  <c r="W58" i="4"/>
  <c r="S56" i="4"/>
  <c r="R60" i="4"/>
  <c r="P59" i="4"/>
  <c r="V58" i="4"/>
  <c r="X60" i="4"/>
  <c r="V59" i="4"/>
  <c r="Q60" i="4"/>
  <c r="O59" i="4"/>
  <c r="T58" i="4"/>
  <c r="P60" i="4"/>
  <c r="S61" i="4"/>
  <c r="S57" i="4"/>
  <c r="R61" i="4"/>
  <c r="R57" i="4"/>
  <c r="T57" i="4"/>
  <c r="R56" i="4"/>
  <c r="Q56" i="4"/>
  <c r="U58" i="4"/>
  <c r="P56" i="4"/>
  <c r="W59" i="4"/>
  <c r="X56" i="4"/>
  <c r="W61" i="4"/>
  <c r="P58" i="4"/>
  <c r="V56" i="4"/>
  <c r="O56" i="4"/>
  <c r="T60" i="4"/>
  <c r="P61" i="4"/>
  <c r="T59" i="4"/>
  <c r="S58" i="4"/>
  <c r="U59" i="4"/>
  <c r="X61" i="4"/>
  <c r="O60" i="4"/>
  <c r="R59" i="4"/>
  <c r="Q57" i="4"/>
  <c r="X58" i="4"/>
  <c r="P57" i="4"/>
  <c r="T56" i="4"/>
  <c r="O61" i="4"/>
  <c r="V57" i="4"/>
  <c r="X57" i="4"/>
  <c r="W60" i="4"/>
  <c r="V60" i="4"/>
  <c r="R58" i="4"/>
  <c r="W56" i="4"/>
  <c r="V61" i="4"/>
  <c r="Q61" i="4"/>
  <c r="U60" i="4"/>
  <c r="O2" i="6"/>
  <c r="P2" i="6"/>
  <c r="C12" i="6" l="1"/>
  <c r="C13" i="6"/>
  <c r="C15" i="6"/>
  <c r="C3" i="6"/>
  <c r="B3" i="9"/>
  <c r="C6" i="6"/>
  <c r="C16" i="6"/>
  <c r="C5" i="6"/>
  <c r="C9" i="6"/>
  <c r="C17" i="6"/>
  <c r="C4" i="6"/>
  <c r="C10" i="6"/>
  <c r="C18" i="6"/>
  <c r="C14" i="6"/>
  <c r="C11" i="6"/>
  <c r="C19" i="6"/>
  <c r="F4" i="5"/>
  <c r="N67" i="6" l="1"/>
  <c r="M63" i="6"/>
  <c r="R63" i="6"/>
  <c r="Q67" i="6"/>
  <c r="M65" i="6"/>
  <c r="M67" i="6"/>
  <c r="K66" i="6"/>
  <c r="I63" i="6"/>
  <c r="K63" i="6"/>
  <c r="R67" i="6"/>
  <c r="J67" i="6"/>
  <c r="L66" i="6"/>
  <c r="J63" i="6"/>
  <c r="I67" i="6"/>
  <c r="Q63" i="6"/>
  <c r="P63" i="6"/>
  <c r="N64" i="6"/>
  <c r="I64" i="6"/>
  <c r="R68" i="6"/>
  <c r="M68" i="6"/>
  <c r="Q65" i="6"/>
  <c r="M66" i="6"/>
  <c r="P65" i="6"/>
  <c r="K65" i="6"/>
  <c r="I68" i="6"/>
  <c r="N68" i="6"/>
  <c r="P67" i="6"/>
  <c r="Q64" i="6"/>
  <c r="L63" i="6"/>
  <c r="O66" i="6"/>
  <c r="R64" i="6"/>
  <c r="M64" i="6"/>
  <c r="P64" i="6"/>
  <c r="L64" i="6"/>
  <c r="J66" i="6"/>
  <c r="N66" i="6"/>
  <c r="O65" i="6"/>
  <c r="J64" i="6"/>
  <c r="O63" i="6"/>
  <c r="O68" i="6"/>
  <c r="K68" i="6"/>
  <c r="O64" i="6"/>
  <c r="N63" i="6"/>
  <c r="L68" i="6"/>
  <c r="K67" i="6"/>
  <c r="N65" i="6"/>
  <c r="P68" i="6"/>
  <c r="I66" i="6"/>
  <c r="R66" i="6"/>
  <c r="Q68" i="6"/>
  <c r="L67" i="6"/>
  <c r="R65" i="6"/>
  <c r="Q66" i="6"/>
  <c r="K64" i="6"/>
  <c r="L65" i="6"/>
  <c r="J68" i="6"/>
  <c r="P66" i="6"/>
  <c r="O67" i="6"/>
  <c r="I65" i="6"/>
  <c r="J65" i="6"/>
  <c r="G71" i="5"/>
  <c r="I71" i="5"/>
  <c r="G37" i="7" s="1"/>
  <c r="P71" i="5"/>
  <c r="M37" i="7" s="1"/>
  <c r="K70" i="5"/>
  <c r="I36" i="7" s="1"/>
  <c r="I68" i="5"/>
  <c r="G34" i="7" s="1"/>
  <c r="O71" i="5"/>
  <c r="L37" i="7" s="1"/>
  <c r="P68" i="5"/>
  <c r="M34" i="7" s="1"/>
  <c r="K67" i="5"/>
  <c r="I33" i="7" s="1"/>
  <c r="J68" i="5"/>
  <c r="H34" i="7" s="1"/>
  <c r="H71" i="5"/>
  <c r="F37" i="7" s="1"/>
  <c r="J70" i="5"/>
  <c r="H36" i="7" s="1"/>
  <c r="H68" i="5"/>
  <c r="F34" i="7" s="1"/>
  <c r="L71" i="5"/>
  <c r="J37" i="7" s="1"/>
  <c r="M68" i="5"/>
  <c r="M69" i="5"/>
  <c r="H69" i="5"/>
  <c r="F35" i="7" s="1"/>
  <c r="N70" i="5"/>
  <c r="K36" i="7" s="1"/>
  <c r="K69" i="5"/>
  <c r="I35" i="7" s="1"/>
  <c r="H66" i="5"/>
  <c r="F32" i="7" s="1"/>
  <c r="G67" i="5"/>
  <c r="O69" i="5"/>
  <c r="L35" i="7" s="1"/>
  <c r="L69" i="5"/>
  <c r="J35" i="7" s="1"/>
  <c r="O67" i="5"/>
  <c r="L33" i="7" s="1"/>
  <c r="L67" i="5"/>
  <c r="J33" i="7" s="1"/>
  <c r="N66" i="5"/>
  <c r="K32" i="7" s="1"/>
  <c r="I67" i="5"/>
  <c r="G33" i="7" s="1"/>
  <c r="J67" i="5"/>
  <c r="H33" i="7" s="1"/>
  <c r="G66" i="5"/>
  <c r="J71" i="5"/>
  <c r="H37" i="7" s="1"/>
  <c r="K71" i="5"/>
  <c r="I37" i="7" s="1"/>
  <c r="J69" i="5"/>
  <c r="H35" i="7" s="1"/>
  <c r="N69" i="5"/>
  <c r="K35" i="7" s="1"/>
  <c r="N68" i="5"/>
  <c r="K34" i="7" s="1"/>
  <c r="G68" i="5"/>
  <c r="O66" i="5"/>
  <c r="L32" i="7" s="1"/>
  <c r="J66" i="5"/>
  <c r="H32" i="7" s="1"/>
  <c r="K68" i="5"/>
  <c r="I34" i="7" s="1"/>
  <c r="G69" i="5"/>
  <c r="O68" i="5"/>
  <c r="L34" i="7" s="1"/>
  <c r="P69" i="5"/>
  <c r="M35" i="7" s="1"/>
  <c r="P67" i="5"/>
  <c r="M33" i="7" s="1"/>
  <c r="H70" i="5"/>
  <c r="F36" i="7" s="1"/>
  <c r="P66" i="5"/>
  <c r="M32" i="7" s="1"/>
  <c r="K66" i="5"/>
  <c r="I32" i="7" s="1"/>
  <c r="L70" i="5"/>
  <c r="J36" i="7" s="1"/>
  <c r="P70" i="5"/>
  <c r="M36" i="7" s="1"/>
  <c r="M67" i="5"/>
  <c r="L68" i="5"/>
  <c r="J34" i="7" s="1"/>
  <c r="H67" i="5"/>
  <c r="F33" i="7" s="1"/>
  <c r="L66" i="5"/>
  <c r="J32" i="7" s="1"/>
  <c r="M71" i="5"/>
  <c r="I70" i="5"/>
  <c r="G36" i="7" s="1"/>
  <c r="G70" i="5"/>
  <c r="I66" i="5"/>
  <c r="G32" i="7" s="1"/>
  <c r="O70" i="5"/>
  <c r="L36" i="7" s="1"/>
  <c r="M66" i="5"/>
  <c r="N71" i="5"/>
  <c r="K37" i="7" s="1"/>
  <c r="N67" i="5"/>
  <c r="K33" i="7" s="1"/>
  <c r="I69" i="5"/>
  <c r="G35" i="7" s="1"/>
  <c r="M70" i="5"/>
  <c r="G60" i="5"/>
  <c r="E26" i="7" s="1"/>
  <c r="N57" i="6"/>
  <c r="L61" i="6"/>
  <c r="L57" i="6"/>
  <c r="K61" i="6"/>
  <c r="L60" i="6"/>
  <c r="M61" i="6"/>
  <c r="K57" i="6"/>
  <c r="R61" i="6"/>
  <c r="R57" i="6"/>
  <c r="M57" i="6"/>
  <c r="M60" i="6"/>
  <c r="J61" i="6"/>
  <c r="J57" i="6"/>
  <c r="N58" i="6"/>
  <c r="I59" i="6"/>
  <c r="Q57" i="6"/>
  <c r="I58" i="6"/>
  <c r="O57" i="6"/>
  <c r="R58" i="6"/>
  <c r="R60" i="6"/>
  <c r="K59" i="6"/>
  <c r="R59" i="6"/>
  <c r="I60" i="6"/>
  <c r="Q61" i="6"/>
  <c r="N60" i="6"/>
  <c r="O62" i="6"/>
  <c r="J60" i="6"/>
  <c r="L62" i="6"/>
  <c r="P61" i="6"/>
  <c r="N62" i="6"/>
  <c r="Q59" i="6"/>
  <c r="O58" i="6"/>
  <c r="Q58" i="6"/>
  <c r="M58" i="6"/>
  <c r="P59" i="6"/>
  <c r="O60" i="6"/>
  <c r="J62" i="6"/>
  <c r="J58" i="6"/>
  <c r="J59" i="6"/>
  <c r="N61" i="6"/>
  <c r="Q60" i="6"/>
  <c r="L59" i="6"/>
  <c r="K62" i="6"/>
  <c r="P58" i="6"/>
  <c r="L58" i="6"/>
  <c r="R62" i="6"/>
  <c r="K58" i="6"/>
  <c r="I57" i="6"/>
  <c r="N59" i="6"/>
  <c r="Q62" i="6"/>
  <c r="M59" i="6"/>
  <c r="O59" i="6"/>
  <c r="K60" i="6"/>
  <c r="P57" i="6"/>
  <c r="I61" i="6"/>
  <c r="P60" i="6"/>
  <c r="P62" i="6"/>
  <c r="O61" i="6"/>
  <c r="I62" i="6"/>
  <c r="M62" i="6"/>
  <c r="I62" i="5"/>
  <c r="G28" i="7" s="1"/>
  <c r="H62" i="5"/>
  <c r="F28" i="7" s="1"/>
  <c r="K61" i="5"/>
  <c r="I27" i="7" s="1"/>
  <c r="J62" i="5"/>
  <c r="H28" i="7" s="1"/>
  <c r="P62" i="5"/>
  <c r="M28" i="7" s="1"/>
  <c r="O62" i="5"/>
  <c r="L28" i="7" s="1"/>
  <c r="K64" i="5"/>
  <c r="I30" i="7" s="1"/>
  <c r="J64" i="5"/>
  <c r="H30" i="7" s="1"/>
  <c r="I64" i="5"/>
  <c r="G30" i="7" s="1"/>
  <c r="G62" i="5"/>
  <c r="J61" i="5"/>
  <c r="H27" i="7" s="1"/>
  <c r="P61" i="5"/>
  <c r="M27" i="7" s="1"/>
  <c r="M62" i="5"/>
  <c r="P65" i="5"/>
  <c r="M31" i="7" s="1"/>
  <c r="I61" i="5"/>
  <c r="G27" i="7" s="1"/>
  <c r="G63" i="5"/>
  <c r="N63" i="5"/>
  <c r="K29" i="7" s="1"/>
  <c r="P60" i="5"/>
  <c r="M26" i="7" s="1"/>
  <c r="N62" i="5"/>
  <c r="K28" i="7" s="1"/>
  <c r="M64" i="5"/>
  <c r="L63" i="5"/>
  <c r="J29" i="7" s="1"/>
  <c r="K63" i="5"/>
  <c r="I29" i="7" s="1"/>
  <c r="H60" i="5"/>
  <c r="F26" i="7" s="1"/>
  <c r="G65" i="5"/>
  <c r="N61" i="5"/>
  <c r="K27" i="7" s="1"/>
  <c r="I63" i="5"/>
  <c r="G29" i="7" s="1"/>
  <c r="L60" i="5"/>
  <c r="J26" i="7" s="1"/>
  <c r="O65" i="5"/>
  <c r="L31" i="7" s="1"/>
  <c r="J63" i="5"/>
  <c r="H29" i="7" s="1"/>
  <c r="L65" i="5"/>
  <c r="J31" i="7" s="1"/>
  <c r="J60" i="5"/>
  <c r="H26" i="7" s="1"/>
  <c r="H64" i="5"/>
  <c r="F30" i="7" s="1"/>
  <c r="I65" i="5"/>
  <c r="G31" i="7" s="1"/>
  <c r="J65" i="5"/>
  <c r="H31" i="7" s="1"/>
  <c r="G61" i="5"/>
  <c r="N60" i="5"/>
  <c r="K26" i="7" s="1"/>
  <c r="N64" i="5"/>
  <c r="K30" i="7" s="1"/>
  <c r="P64" i="5"/>
  <c r="M30" i="7" s="1"/>
  <c r="I60" i="5"/>
  <c r="G26" i="7" s="1"/>
  <c r="M60" i="5"/>
  <c r="O61" i="5"/>
  <c r="L27" i="7" s="1"/>
  <c r="L64" i="5"/>
  <c r="J30" i="7" s="1"/>
  <c r="M65" i="5"/>
  <c r="K62" i="5"/>
  <c r="I28" i="7" s="1"/>
  <c r="O64" i="5"/>
  <c r="L30" i="7" s="1"/>
  <c r="L61" i="5"/>
  <c r="J27" i="7" s="1"/>
  <c r="N65" i="5"/>
  <c r="K31" i="7" s="1"/>
  <c r="H63" i="5"/>
  <c r="F29" i="7" s="1"/>
  <c r="O60" i="5"/>
  <c r="L26" i="7" s="1"/>
  <c r="P63" i="5"/>
  <c r="M29" i="7" s="1"/>
  <c r="G64" i="5"/>
  <c r="O63" i="5"/>
  <c r="L29" i="7" s="1"/>
  <c r="H65" i="5"/>
  <c r="F31" i="7" s="1"/>
  <c r="K60" i="5"/>
  <c r="I26" i="7" s="1"/>
  <c r="M61" i="5"/>
  <c r="K65" i="5"/>
  <c r="I31" i="7" s="1"/>
  <c r="M63" i="5"/>
  <c r="L62" i="5"/>
  <c r="J28" i="7" s="1"/>
  <c r="H61" i="5"/>
  <c r="F27" i="7" s="1"/>
  <c r="O33" i="6"/>
  <c r="K33" i="6"/>
  <c r="J36" i="6"/>
  <c r="O36" i="6"/>
  <c r="N34" i="6"/>
  <c r="R38" i="6"/>
  <c r="O37" i="6"/>
  <c r="N35" i="6"/>
  <c r="O34" i="6"/>
  <c r="P38" i="6"/>
  <c r="R35" i="6"/>
  <c r="R33" i="6"/>
  <c r="P33" i="6"/>
  <c r="M33" i="6"/>
  <c r="L36" i="6"/>
  <c r="M36" i="6"/>
  <c r="L34" i="6"/>
  <c r="N38" i="6"/>
  <c r="K37" i="6"/>
  <c r="I35" i="6"/>
  <c r="R36" i="6"/>
  <c r="O35" i="6"/>
  <c r="L33" i="6"/>
  <c r="I36" i="6"/>
  <c r="M34" i="6"/>
  <c r="Q34" i="6"/>
  <c r="K38" i="6"/>
  <c r="N37" i="6"/>
  <c r="P35" i="6"/>
  <c r="J35" i="6"/>
  <c r="Q33" i="6"/>
  <c r="I34" i="6"/>
  <c r="R37" i="6"/>
  <c r="J33" i="6"/>
  <c r="L38" i="6"/>
  <c r="N33" i="6"/>
  <c r="J38" i="6"/>
  <c r="K36" i="6"/>
  <c r="J34" i="6"/>
  <c r="Q38" i="6"/>
  <c r="I37" i="6"/>
  <c r="L35" i="6"/>
  <c r="P36" i="6"/>
  <c r="K34" i="6"/>
  <c r="P34" i="6"/>
  <c r="M37" i="6"/>
  <c r="K35" i="6"/>
  <c r="N36" i="6"/>
  <c r="M38" i="6"/>
  <c r="Q35" i="6"/>
  <c r="I33" i="6"/>
  <c r="R34" i="6"/>
  <c r="J37" i="6"/>
  <c r="O38" i="6"/>
  <c r="M35" i="6"/>
  <c r="I38" i="6"/>
  <c r="Q37" i="6"/>
  <c r="Q36" i="6"/>
  <c r="P37" i="6"/>
  <c r="L37" i="6"/>
  <c r="Q23" i="4"/>
  <c r="R23" i="4"/>
  <c r="E32" i="7" l="1"/>
  <c r="E33" i="7"/>
  <c r="E37" i="7"/>
  <c r="E35" i="7"/>
  <c r="E34" i="7"/>
  <c r="E36" i="7"/>
  <c r="AL66" i="6"/>
  <c r="G35" i="10" s="1"/>
  <c r="AQ66" i="6"/>
  <c r="L35" i="10" s="1"/>
  <c r="AP66" i="6"/>
  <c r="K35" i="10" s="1"/>
  <c r="AS66" i="6"/>
  <c r="N35" i="10" s="1"/>
  <c r="AK66" i="6"/>
  <c r="F35" i="10" s="1"/>
  <c r="AO66" i="6"/>
  <c r="J35" i="10" s="1"/>
  <c r="AN66" i="6"/>
  <c r="I35" i="10" s="1"/>
  <c r="AR66" i="6"/>
  <c r="M35" i="10" s="1"/>
  <c r="AM66" i="6"/>
  <c r="H35" i="10" s="1"/>
  <c r="AT66" i="6"/>
  <c r="AO63" i="6"/>
  <c r="J32" i="10" s="1"/>
  <c r="AK63" i="6"/>
  <c r="F32" i="10" s="1"/>
  <c r="AT63" i="6"/>
  <c r="AN63" i="6"/>
  <c r="I32" i="10" s="1"/>
  <c r="AL63" i="6"/>
  <c r="G32" i="10" s="1"/>
  <c r="AM63" i="6"/>
  <c r="H32" i="10" s="1"/>
  <c r="AS63" i="6"/>
  <c r="N32" i="10" s="1"/>
  <c r="AR63" i="6"/>
  <c r="M32" i="10" s="1"/>
  <c r="AQ63" i="6"/>
  <c r="L32" i="10" s="1"/>
  <c r="AP63" i="6"/>
  <c r="K32" i="10" s="1"/>
  <c r="AM65" i="6"/>
  <c r="H34" i="10" s="1"/>
  <c r="AR65" i="6"/>
  <c r="M34" i="10" s="1"/>
  <c r="AO65" i="6"/>
  <c r="J34" i="10" s="1"/>
  <c r="AT65" i="6"/>
  <c r="AL65" i="6"/>
  <c r="G34" i="10" s="1"/>
  <c r="AS65" i="6"/>
  <c r="N34" i="10" s="1"/>
  <c r="AK65" i="6"/>
  <c r="F34" i="10" s="1"/>
  <c r="AN65" i="6"/>
  <c r="I34" i="10" s="1"/>
  <c r="AP65" i="6"/>
  <c r="K34" i="10" s="1"/>
  <c r="AQ65" i="6"/>
  <c r="L34" i="10" s="1"/>
  <c r="AR67" i="6"/>
  <c r="M36" i="10" s="1"/>
  <c r="AQ67" i="6"/>
  <c r="L36" i="10" s="1"/>
  <c r="AM67" i="6"/>
  <c r="H36" i="10" s="1"/>
  <c r="AP67" i="6"/>
  <c r="K36" i="10" s="1"/>
  <c r="AS67" i="6"/>
  <c r="N36" i="10" s="1"/>
  <c r="AK67" i="6"/>
  <c r="F36" i="10" s="1"/>
  <c r="AT67" i="6"/>
  <c r="AO67" i="6"/>
  <c r="J36" i="10" s="1"/>
  <c r="AL67" i="6"/>
  <c r="G36" i="10" s="1"/>
  <c r="AN67" i="6"/>
  <c r="I36" i="10" s="1"/>
  <c r="AN64" i="6"/>
  <c r="I33" i="10" s="1"/>
  <c r="AS64" i="6"/>
  <c r="N33" i="10" s="1"/>
  <c r="AT64" i="6"/>
  <c r="AM64" i="6"/>
  <c r="H33" i="10" s="1"/>
  <c r="AK64" i="6"/>
  <c r="F33" i="10" s="1"/>
  <c r="AL64" i="6"/>
  <c r="G33" i="10" s="1"/>
  <c r="AR64" i="6"/>
  <c r="M33" i="10" s="1"/>
  <c r="AO64" i="6"/>
  <c r="J33" i="10" s="1"/>
  <c r="AQ64" i="6"/>
  <c r="L33" i="10" s="1"/>
  <c r="AP64" i="6"/>
  <c r="K33" i="10" s="1"/>
  <c r="AT68" i="6"/>
  <c r="AO68" i="6"/>
  <c r="J37" i="10" s="1"/>
  <c r="AR68" i="6"/>
  <c r="M37" i="10" s="1"/>
  <c r="AM68" i="6"/>
  <c r="H37" i="10" s="1"/>
  <c r="AP68" i="6"/>
  <c r="K37" i="10" s="1"/>
  <c r="AQ68" i="6"/>
  <c r="L37" i="10" s="1"/>
  <c r="AN68" i="6"/>
  <c r="I37" i="10" s="1"/>
  <c r="AK68" i="6"/>
  <c r="F37" i="10" s="1"/>
  <c r="AS68" i="6"/>
  <c r="N37" i="10" s="1"/>
  <c r="AL68" i="6"/>
  <c r="G37" i="10" s="1"/>
  <c r="E28" i="7"/>
  <c r="E27" i="7"/>
  <c r="E31" i="7"/>
  <c r="E30" i="7"/>
  <c r="E29" i="7"/>
  <c r="AL60" i="6"/>
  <c r="G29" i="10" s="1"/>
  <c r="AN60" i="6"/>
  <c r="I29" i="10" s="1"/>
  <c r="AQ60" i="6"/>
  <c r="L29" i="10" s="1"/>
  <c r="AM60" i="6"/>
  <c r="H29" i="10" s="1"/>
  <c r="AR60" i="6"/>
  <c r="M29" i="10" s="1"/>
  <c r="AS60" i="6"/>
  <c r="N29" i="10" s="1"/>
  <c r="AK60" i="6"/>
  <c r="AP60" i="6"/>
  <c r="K29" i="10" s="1"/>
  <c r="AO60" i="6"/>
  <c r="J29" i="10" s="1"/>
  <c r="AT60" i="6"/>
  <c r="AT57" i="6"/>
  <c r="AR57" i="6"/>
  <c r="M26" i="10" s="1"/>
  <c r="AO57" i="6"/>
  <c r="J26" i="10" s="1"/>
  <c r="AP57" i="6"/>
  <c r="K26" i="10" s="1"/>
  <c r="AL57" i="6"/>
  <c r="G26" i="10" s="1"/>
  <c r="AQ57" i="6"/>
  <c r="L26" i="10" s="1"/>
  <c r="AM57" i="6"/>
  <c r="H26" i="10" s="1"/>
  <c r="AS57" i="6"/>
  <c r="N26" i="10" s="1"/>
  <c r="AK57" i="6"/>
  <c r="AN57" i="6"/>
  <c r="I26" i="10" s="1"/>
  <c r="AS59" i="6"/>
  <c r="N28" i="10" s="1"/>
  <c r="AQ59" i="6"/>
  <c r="L28" i="10" s="1"/>
  <c r="AN59" i="6"/>
  <c r="I28" i="10" s="1"/>
  <c r="AK59" i="6"/>
  <c r="AR59" i="6"/>
  <c r="M28" i="10" s="1"/>
  <c r="AP59" i="6"/>
  <c r="K28" i="10" s="1"/>
  <c r="AM59" i="6"/>
  <c r="H28" i="10" s="1"/>
  <c r="AT59" i="6"/>
  <c r="AL59" i="6"/>
  <c r="G28" i="10" s="1"/>
  <c r="AO59" i="6"/>
  <c r="J28" i="10" s="1"/>
  <c r="AL62" i="6"/>
  <c r="G31" i="10" s="1"/>
  <c r="AS62" i="6"/>
  <c r="N31" i="10" s="1"/>
  <c r="AN62" i="6"/>
  <c r="I31" i="10" s="1"/>
  <c r="AK62" i="6"/>
  <c r="AO62" i="6"/>
  <c r="J31" i="10" s="1"/>
  <c r="AM62" i="6"/>
  <c r="H31" i="10" s="1"/>
  <c r="AQ62" i="6"/>
  <c r="L31" i="10" s="1"/>
  <c r="AT62" i="6"/>
  <c r="AP62" i="6"/>
  <c r="K31" i="10" s="1"/>
  <c r="AR62" i="6"/>
  <c r="M31" i="10" s="1"/>
  <c r="AL61" i="6"/>
  <c r="G30" i="10" s="1"/>
  <c r="AN61" i="6"/>
  <c r="I30" i="10" s="1"/>
  <c r="AS61" i="6"/>
  <c r="N30" i="10" s="1"/>
  <c r="AK61" i="6"/>
  <c r="AR61" i="6"/>
  <c r="M30" i="10" s="1"/>
  <c r="AM61" i="6"/>
  <c r="H30" i="10" s="1"/>
  <c r="AP61" i="6"/>
  <c r="K30" i="10" s="1"/>
  <c r="AT61" i="6"/>
  <c r="AO61" i="6"/>
  <c r="J30" i="10" s="1"/>
  <c r="AQ61" i="6"/>
  <c r="L30" i="10" s="1"/>
  <c r="AM58" i="6"/>
  <c r="H27" i="10" s="1"/>
  <c r="AP58" i="6"/>
  <c r="K27" i="10" s="1"/>
  <c r="AQ58" i="6"/>
  <c r="L27" i="10" s="1"/>
  <c r="AT58" i="6"/>
  <c r="AR58" i="6"/>
  <c r="M27" i="10" s="1"/>
  <c r="AO58" i="6"/>
  <c r="J27" i="10" s="1"/>
  <c r="AN58" i="6"/>
  <c r="I27" i="10" s="1"/>
  <c r="AL58" i="6"/>
  <c r="G27" i="10" s="1"/>
  <c r="AS58" i="6"/>
  <c r="N27" i="10" s="1"/>
  <c r="AK58" i="6"/>
  <c r="AR37" i="6"/>
  <c r="M6" i="10" s="1"/>
  <c r="AK37" i="6"/>
  <c r="F6" i="10" s="1"/>
  <c r="AS37" i="6"/>
  <c r="N6" i="10" s="1"/>
  <c r="AN37" i="6"/>
  <c r="I6" i="10" s="1"/>
  <c r="AL37" i="6"/>
  <c r="G6" i="10" s="1"/>
  <c r="AT37" i="6"/>
  <c r="AM37" i="6"/>
  <c r="H6" i="10" s="1"/>
  <c r="AO37" i="6"/>
  <c r="J6" i="10" s="1"/>
  <c r="AP37" i="6"/>
  <c r="K6" i="10" s="1"/>
  <c r="AQ37" i="6"/>
  <c r="L6" i="10" s="1"/>
  <c r="AP38" i="6"/>
  <c r="K7" i="10" s="1"/>
  <c r="AQ38" i="6"/>
  <c r="L7" i="10" s="1"/>
  <c r="AL38" i="6"/>
  <c r="G7" i="10" s="1"/>
  <c r="AT38" i="6"/>
  <c r="AM38" i="6"/>
  <c r="H7" i="10" s="1"/>
  <c r="AN38" i="6"/>
  <c r="I7" i="10" s="1"/>
  <c r="AR38" i="6"/>
  <c r="M7" i="10" s="1"/>
  <c r="AS38" i="6"/>
  <c r="N7" i="10" s="1"/>
  <c r="AK38" i="6"/>
  <c r="F7" i="10" s="1"/>
  <c r="AO38" i="6"/>
  <c r="J7" i="10" s="1"/>
  <c r="AN35" i="6"/>
  <c r="I4" i="10" s="1"/>
  <c r="AO35" i="6"/>
  <c r="J4" i="10" s="1"/>
  <c r="AR35" i="6"/>
  <c r="M4" i="10" s="1"/>
  <c r="AQ35" i="6"/>
  <c r="L4" i="10" s="1"/>
  <c r="AS35" i="6"/>
  <c r="N4" i="10" s="1"/>
  <c r="AM35" i="6"/>
  <c r="H4" i="10" s="1"/>
  <c r="AK35" i="6"/>
  <c r="F4" i="10" s="1"/>
  <c r="AP35" i="6"/>
  <c r="K4" i="10" s="1"/>
  <c r="AT35" i="6"/>
  <c r="AL35" i="6"/>
  <c r="G4" i="10" s="1"/>
  <c r="AP34" i="6"/>
  <c r="K3" i="10" s="1"/>
  <c r="AQ34" i="6"/>
  <c r="L3" i="10" s="1"/>
  <c r="AL34" i="6"/>
  <c r="G3" i="10" s="1"/>
  <c r="AT34" i="6"/>
  <c r="AN34" i="6"/>
  <c r="I3" i="10" s="1"/>
  <c r="AO34" i="6"/>
  <c r="J3" i="10" s="1"/>
  <c r="AK34" i="6"/>
  <c r="F3" i="10" s="1"/>
  <c r="AR34" i="6"/>
  <c r="M3" i="10" s="1"/>
  <c r="AS34" i="6"/>
  <c r="N3" i="10" s="1"/>
  <c r="AM34" i="6"/>
  <c r="H3" i="10" s="1"/>
  <c r="AR33" i="6"/>
  <c r="M2" i="10" s="1"/>
  <c r="AK33" i="6"/>
  <c r="AS33" i="6"/>
  <c r="N2" i="10" s="1"/>
  <c r="AN33" i="6"/>
  <c r="I2" i="10" s="1"/>
  <c r="AL33" i="6"/>
  <c r="G2" i="10" s="1"/>
  <c r="AM33" i="6"/>
  <c r="H2" i="10" s="1"/>
  <c r="AT33" i="6"/>
  <c r="AQ33" i="6"/>
  <c r="L2" i="10" s="1"/>
  <c r="AO33" i="6"/>
  <c r="J2" i="10" s="1"/>
  <c r="AP33" i="6"/>
  <c r="K2" i="10" s="1"/>
  <c r="AL36" i="6"/>
  <c r="G5" i="10" s="1"/>
  <c r="AT36" i="6"/>
  <c r="AM36" i="6"/>
  <c r="H5" i="10" s="1"/>
  <c r="AP36" i="6"/>
  <c r="K5" i="10" s="1"/>
  <c r="AS36" i="6"/>
  <c r="N5" i="10" s="1"/>
  <c r="AQ36" i="6"/>
  <c r="L5" i="10" s="1"/>
  <c r="AO36" i="6"/>
  <c r="J5" i="10" s="1"/>
  <c r="AR36" i="6"/>
  <c r="M5" i="10" s="1"/>
  <c r="AK36" i="6"/>
  <c r="F5" i="10" s="1"/>
  <c r="AN36" i="6"/>
  <c r="I5" i="10" s="1"/>
  <c r="N1" i="5"/>
  <c r="F31" i="10" l="1"/>
  <c r="F26" i="10"/>
  <c r="F28" i="10"/>
  <c r="F27" i="10"/>
  <c r="F30" i="10"/>
  <c r="F29" i="10"/>
  <c r="F2" i="10"/>
  <c r="J1" i="5"/>
  <c r="K1" i="5"/>
  <c r="L1" i="5"/>
  <c r="M1" i="5"/>
  <c r="S23" i="4" l="1"/>
  <c r="T23" i="4" l="1"/>
  <c r="U23" i="4"/>
  <c r="I59" i="4" l="1"/>
  <c r="M67" i="4"/>
  <c r="E67" i="4"/>
  <c r="K66" i="4"/>
  <c r="L67" i="4"/>
  <c r="N64" i="4"/>
  <c r="J63" i="4"/>
  <c r="K67" i="4"/>
  <c r="N65" i="4"/>
  <c r="M64" i="4"/>
  <c r="E63" i="4"/>
  <c r="K62" i="4"/>
  <c r="I65" i="4"/>
  <c r="L64" i="4"/>
  <c r="J62" i="4"/>
  <c r="F64" i="4"/>
  <c r="H62" i="4"/>
  <c r="I66" i="4"/>
  <c r="F65" i="4"/>
  <c r="H66" i="4"/>
  <c r="J67" i="4"/>
  <c r="G65" i="4"/>
  <c r="L63" i="4"/>
  <c r="K63" i="4"/>
  <c r="H65" i="4"/>
  <c r="G64" i="4"/>
  <c r="I62" i="4"/>
  <c r="J66" i="4"/>
  <c r="E64" i="4"/>
  <c r="M63" i="4"/>
  <c r="G66" i="4"/>
  <c r="F66" i="4"/>
  <c r="G63" i="4"/>
  <c r="L62" i="4"/>
  <c r="M66" i="4"/>
  <c r="E65" i="4"/>
  <c r="K64" i="4"/>
  <c r="M62" i="4"/>
  <c r="F67" i="4"/>
  <c r="I63" i="4"/>
  <c r="N62" i="4"/>
  <c r="J64" i="4"/>
  <c r="M65" i="4"/>
  <c r="N63" i="4"/>
  <c r="I64" i="4"/>
  <c r="H64" i="4"/>
  <c r="G67" i="4"/>
  <c r="G62" i="4"/>
  <c r="L66" i="4"/>
  <c r="F62" i="4"/>
  <c r="N67" i="4"/>
  <c r="H67" i="4"/>
  <c r="I67" i="4"/>
  <c r="E62" i="4"/>
  <c r="L65" i="4"/>
  <c r="E66" i="4"/>
  <c r="F63" i="4"/>
  <c r="J65" i="4"/>
  <c r="N66" i="4"/>
  <c r="K65" i="4"/>
  <c r="H63" i="4"/>
  <c r="I60" i="4"/>
  <c r="H60" i="4"/>
  <c r="J58" i="4"/>
  <c r="H61" i="4"/>
  <c r="N56" i="4"/>
  <c r="F59" i="4"/>
  <c r="K57" i="4"/>
  <c r="M58" i="4"/>
  <c r="G61" i="4"/>
  <c r="N60" i="4"/>
  <c r="G58" i="4"/>
  <c r="L59" i="4"/>
  <c r="F61" i="4"/>
  <c r="F58" i="4"/>
  <c r="F60" i="4"/>
  <c r="I58" i="4"/>
  <c r="M60" i="4"/>
  <c r="I61" i="4"/>
  <c r="N57" i="4"/>
  <c r="H59" i="4"/>
  <c r="N61" i="4"/>
  <c r="G57" i="4"/>
  <c r="E58" i="4"/>
  <c r="J60" i="4"/>
  <c r="M59" i="4"/>
  <c r="E59" i="4"/>
  <c r="J57" i="4"/>
  <c r="E61" i="4"/>
  <c r="G60" i="4"/>
  <c r="G56" i="4"/>
  <c r="I56" i="4"/>
  <c r="N58" i="4"/>
  <c r="E60" i="4"/>
  <c r="K59" i="4"/>
  <c r="L60" i="4"/>
  <c r="G59" i="4"/>
  <c r="L58" i="4"/>
  <c r="K60" i="4"/>
  <c r="M61" i="4"/>
  <c r="F57" i="4"/>
  <c r="H58" i="4"/>
  <c r="H57" i="4"/>
  <c r="I57" i="4"/>
  <c r="N59" i="4"/>
  <c r="J61" i="4"/>
  <c r="K56" i="4"/>
  <c r="J59" i="4"/>
  <c r="E56" i="4"/>
  <c r="F56" i="4"/>
  <c r="L57" i="4"/>
  <c r="J56" i="4"/>
  <c r="L61" i="4"/>
  <c r="M57" i="4"/>
  <c r="M56" i="4"/>
  <c r="L56" i="4"/>
  <c r="K58" i="4"/>
  <c r="K61" i="4"/>
  <c r="H56" i="4"/>
  <c r="E57" i="4"/>
  <c r="AB15" i="1"/>
  <c r="AB16" i="1"/>
  <c r="Z15" i="1"/>
  <c r="Z16" i="1"/>
  <c r="AC15" i="1"/>
  <c r="AC16" i="1"/>
  <c r="AA16" i="1"/>
  <c r="AA15" i="1"/>
  <c r="AX66" i="4" l="1" a="1"/>
  <c r="AX66" i="4" s="1"/>
  <c r="AC51" i="1" s="1"/>
  <c r="AW66" i="4" a="1"/>
  <c r="AW66" i="4" s="1"/>
  <c r="AB51" i="1" s="1"/>
  <c r="AX64" i="4" a="1"/>
  <c r="AX64" i="4" s="1"/>
  <c r="AC49" i="1" s="1"/>
  <c r="AW64" i="4" a="1"/>
  <c r="AW64" i="4" s="1"/>
  <c r="AB49" i="1" s="1"/>
  <c r="AW65" i="4" a="1"/>
  <c r="AW65" i="4" s="1"/>
  <c r="AB50" i="1" s="1"/>
  <c r="AX65" i="4" a="1"/>
  <c r="AX65" i="4" s="1"/>
  <c r="AC50" i="1" s="1"/>
  <c r="AW63" i="4" a="1"/>
  <c r="AW63" i="4" s="1"/>
  <c r="AB48" i="1" s="1"/>
  <c r="AX63" i="4" a="1"/>
  <c r="AX63" i="4" s="1"/>
  <c r="AC48" i="1" s="1"/>
  <c r="AX67" i="4" a="1"/>
  <c r="AX67" i="4" s="1"/>
  <c r="AC52" i="1" s="1"/>
  <c r="AW67" i="4" a="1"/>
  <c r="AW67" i="4" s="1"/>
  <c r="AB52" i="1" s="1"/>
  <c r="AW62" i="4" a="1"/>
  <c r="AW62" i="4" s="1"/>
  <c r="AX62" i="4" a="1"/>
  <c r="AX62" i="4" s="1"/>
  <c r="AU66" i="4" a="1"/>
  <c r="AU66" i="4" s="1"/>
  <c r="AQ66" i="4" a="1"/>
  <c r="AQ66" i="4" s="1"/>
  <c r="AT66" i="4" a="1"/>
  <c r="AT66" i="4" s="1"/>
  <c r="AP66" i="4" a="1"/>
  <c r="AP66" i="4" s="1"/>
  <c r="AR66" i="4" a="1"/>
  <c r="AR66" i="4" s="1"/>
  <c r="AO66" i="4" a="1"/>
  <c r="AO66" i="4" s="1"/>
  <c r="AV66" i="4" a="1"/>
  <c r="AV66" i="4" s="1"/>
  <c r="AS66" i="4" a="1"/>
  <c r="AS66" i="4" s="1"/>
  <c r="AU62" i="4" a="1"/>
  <c r="AU62" i="4" s="1"/>
  <c r="AQ62" i="4" a="1"/>
  <c r="AQ62" i="4" s="1"/>
  <c r="AP62" i="4" a="1"/>
  <c r="AP62" i="4" s="1"/>
  <c r="AT62" i="4" a="1"/>
  <c r="AT62" i="4" s="1"/>
  <c r="AS62" i="4" a="1"/>
  <c r="AS62" i="4" s="1"/>
  <c r="AO62" i="4" a="1"/>
  <c r="AO62" i="4" s="1"/>
  <c r="AV62" i="4" a="1"/>
  <c r="AV62" i="4" s="1"/>
  <c r="AR62" i="4" a="1"/>
  <c r="AR62" i="4" s="1"/>
  <c r="AT64" i="4" a="1"/>
  <c r="AT64" i="4" s="1"/>
  <c r="AQ64" i="4" a="1"/>
  <c r="AQ64" i="4" s="1"/>
  <c r="AS64" i="4" a="1"/>
  <c r="AS64" i="4" s="1"/>
  <c r="AP64" i="4" a="1"/>
  <c r="AP64" i="4" s="1"/>
  <c r="AR64" i="4" a="1"/>
  <c r="AR64" i="4" s="1"/>
  <c r="AU64" i="4" a="1"/>
  <c r="AU64" i="4" s="1"/>
  <c r="AO64" i="4" a="1"/>
  <c r="AO64" i="4" s="1"/>
  <c r="AV64" i="4" a="1"/>
  <c r="AV64" i="4" s="1"/>
  <c r="AS65" i="4" a="1"/>
  <c r="AS65" i="4" s="1"/>
  <c r="AO65" i="4" a="1"/>
  <c r="AO65" i="4" s="1"/>
  <c r="AR65" i="4" a="1"/>
  <c r="AR65" i="4" s="1"/>
  <c r="AU65" i="4" a="1"/>
  <c r="AU65" i="4" s="1"/>
  <c r="AQ65" i="4" a="1"/>
  <c r="AQ65" i="4" s="1"/>
  <c r="AV65" i="4" a="1"/>
  <c r="AV65" i="4" s="1"/>
  <c r="AP65" i="4" a="1"/>
  <c r="AP65" i="4" s="1"/>
  <c r="AT65" i="4" a="1"/>
  <c r="AT65" i="4" s="1"/>
  <c r="AT63" i="4" a="1"/>
  <c r="AT63" i="4" s="1"/>
  <c r="AS63" i="4" a="1"/>
  <c r="AS63" i="4" s="1"/>
  <c r="AU63" i="4" a="1"/>
  <c r="AU63" i="4" s="1"/>
  <c r="AQ63" i="4" a="1"/>
  <c r="AQ63" i="4" s="1"/>
  <c r="AO63" i="4" a="1"/>
  <c r="AO63" i="4" s="1"/>
  <c r="AV63" i="4" a="1"/>
  <c r="AV63" i="4" s="1"/>
  <c r="AR63" i="4" a="1"/>
  <c r="AR63" i="4" s="1"/>
  <c r="AP63" i="4" a="1"/>
  <c r="AP63" i="4" s="1"/>
  <c r="AO67" i="4" a="1"/>
  <c r="AO67" i="4" s="1"/>
  <c r="AT67" i="4" a="1"/>
  <c r="AT67" i="4" s="1"/>
  <c r="AS67" i="4" a="1"/>
  <c r="AS67" i="4" s="1"/>
  <c r="AP67" i="4" a="1"/>
  <c r="AP67" i="4" s="1"/>
  <c r="AQ67" i="4" a="1"/>
  <c r="AQ67" i="4" s="1"/>
  <c r="AU67" i="4" a="1"/>
  <c r="AU67" i="4" s="1"/>
  <c r="AR67" i="4" a="1"/>
  <c r="AR67" i="4" s="1"/>
  <c r="AV67" i="4" a="1"/>
  <c r="AV67" i="4" s="1"/>
  <c r="AR57" i="4" a="1"/>
  <c r="AR57" i="4" s="1"/>
  <c r="AV60" i="4" a="1"/>
  <c r="AV60" i="4" s="1"/>
  <c r="AR58" i="4" a="1"/>
  <c r="AR58" i="4" s="1"/>
  <c r="AP61" i="4" a="1"/>
  <c r="AP61" i="4" s="1"/>
  <c r="AQ61" i="4" a="1"/>
  <c r="AQ61" i="4" s="1"/>
  <c r="V52" i="1" s="1"/>
  <c r="AU56" i="4" a="1"/>
  <c r="AU56" i="4" s="1"/>
  <c r="AU59" i="4" a="1"/>
  <c r="AU59" i="4" s="1"/>
  <c r="AP57" i="4" a="1"/>
  <c r="AP57" i="4" s="1"/>
  <c r="AS58" i="4" a="1"/>
  <c r="AS58" i="4" s="1"/>
  <c r="AV58" i="4" a="1"/>
  <c r="AV58" i="4" s="1"/>
  <c r="AP58" i="4" a="1"/>
  <c r="AP58" i="4" s="1"/>
  <c r="AT59" i="4" a="1"/>
  <c r="AT59" i="4" s="1"/>
  <c r="AP59" i="4" a="1"/>
  <c r="AP59" i="4" s="1"/>
  <c r="AO56" i="4" a="1"/>
  <c r="AO56" i="4" s="1"/>
  <c r="AQ59" i="4" a="1"/>
  <c r="AQ59" i="4" s="1"/>
  <c r="AU58" i="4" a="1"/>
  <c r="AU58" i="4" s="1"/>
  <c r="AQ56" i="4" a="1"/>
  <c r="AQ56" i="4" s="1"/>
  <c r="AO59" i="4" a="1"/>
  <c r="AO59" i="4" s="1"/>
  <c r="AS57" i="4" a="1"/>
  <c r="AS57" i="4" s="1"/>
  <c r="AO57" i="4" a="1"/>
  <c r="AO57" i="4" s="1"/>
  <c r="AS60" i="4" a="1"/>
  <c r="AS60" i="4" s="1"/>
  <c r="AO58" i="4" a="1"/>
  <c r="AO58" i="4" s="1"/>
  <c r="AP56" i="4" a="1"/>
  <c r="AP56" i="4" s="1"/>
  <c r="AU57" i="4" a="1"/>
  <c r="AU57" i="4" s="1"/>
  <c r="AU61" i="4" a="1"/>
  <c r="AU61" i="4" s="1"/>
  <c r="AQ60" i="4" a="1"/>
  <c r="AQ60" i="4" s="1"/>
  <c r="AR61" i="4" a="1"/>
  <c r="AR61" i="4" s="1"/>
  <c r="AQ57" i="4" a="1"/>
  <c r="AQ57" i="4" s="1"/>
  <c r="AQ58" i="4" a="1"/>
  <c r="AQ58" i="4" s="1"/>
  <c r="AR56" i="4" a="1"/>
  <c r="AR56" i="4" s="1"/>
  <c r="AV57" i="4" a="1"/>
  <c r="AV57" i="4" s="1"/>
  <c r="AV61" i="4" a="1"/>
  <c r="AV61" i="4" s="1"/>
  <c r="AP60" i="4" a="1"/>
  <c r="AP60" i="4" s="1"/>
  <c r="AO61" i="4" a="1"/>
  <c r="AO61" i="4" s="1"/>
  <c r="AS59" i="4" a="1"/>
  <c r="AS59" i="4" s="1"/>
  <c r="AT57" i="4" a="1"/>
  <c r="AT57" i="4" s="1"/>
  <c r="AT58" i="4" a="1"/>
  <c r="AT58" i="4" s="1"/>
  <c r="AV59" i="4" a="1"/>
  <c r="AV59" i="4" s="1"/>
  <c r="AR60" i="4" a="1"/>
  <c r="AR60" i="4" s="1"/>
  <c r="AT61" i="4" a="1"/>
  <c r="AT61" i="4" s="1"/>
  <c r="AR59" i="4" a="1"/>
  <c r="AR59" i="4" s="1"/>
  <c r="AV56" i="4" a="1"/>
  <c r="AV56" i="4" s="1"/>
  <c r="AU60" i="4" a="1"/>
  <c r="AU60" i="4" s="1"/>
  <c r="AS56" i="4" a="1"/>
  <c r="AS56" i="4" s="1"/>
  <c r="AT60" i="4" a="1"/>
  <c r="AT60" i="4" s="1"/>
  <c r="AS61" i="4" a="1"/>
  <c r="AS61" i="4" s="1"/>
  <c r="AO60" i="4" a="1"/>
  <c r="AO60" i="4" s="1"/>
  <c r="AT56" i="4" a="1"/>
  <c r="AT56" i="4" s="1"/>
  <c r="G14" i="3"/>
  <c r="T49" i="1" l="1"/>
  <c r="U50" i="1"/>
  <c r="W52" i="1"/>
  <c r="U52" i="1"/>
  <c r="T48" i="1"/>
  <c r="Y49" i="1"/>
  <c r="U48" i="1"/>
  <c r="T50" i="1"/>
  <c r="W50" i="1"/>
  <c r="U51" i="1"/>
  <c r="X49" i="1"/>
  <c r="X52" i="1"/>
  <c r="V49" i="1"/>
  <c r="X51" i="1"/>
  <c r="W51" i="1"/>
  <c r="Y48" i="1"/>
  <c r="T52" i="1"/>
  <c r="V48" i="1"/>
  <c r="Y50" i="1"/>
  <c r="X50" i="1"/>
  <c r="X48" i="1"/>
  <c r="U49" i="1"/>
  <c r="W49" i="1"/>
  <c r="Y52" i="1"/>
  <c r="Y51" i="1"/>
  <c r="V51" i="1"/>
  <c r="W48" i="1"/>
  <c r="T51" i="1"/>
  <c r="V50" i="1"/>
  <c r="AC45" i="1"/>
  <c r="AC46" i="1"/>
  <c r="AC47" i="1"/>
  <c r="AB46" i="1"/>
  <c r="AB47" i="1"/>
  <c r="AB45" i="1"/>
  <c r="AA40" i="1"/>
  <c r="AA48" i="1"/>
  <c r="Z42" i="1"/>
  <c r="Z50" i="1"/>
  <c r="AA42" i="1"/>
  <c r="AA50" i="1"/>
  <c r="W45" i="1"/>
  <c r="W47" i="1"/>
  <c r="W46" i="1"/>
  <c r="T45" i="1"/>
  <c r="T46" i="1"/>
  <c r="T47" i="1"/>
  <c r="U45" i="1"/>
  <c r="U46" i="1"/>
  <c r="U47" i="1"/>
  <c r="Z38" i="1"/>
  <c r="Z46" i="1"/>
  <c r="Z47" i="1"/>
  <c r="Z45" i="1"/>
  <c r="X46" i="1"/>
  <c r="X45" i="1"/>
  <c r="X47" i="1"/>
  <c r="AA44" i="1"/>
  <c r="AA52" i="1"/>
  <c r="Z41" i="1"/>
  <c r="Z49" i="1"/>
  <c r="Z43" i="1"/>
  <c r="Z51" i="1"/>
  <c r="AA37" i="1"/>
  <c r="AA47" i="1"/>
  <c r="AA45" i="1"/>
  <c r="AA46" i="1"/>
  <c r="AA41" i="1"/>
  <c r="AA49" i="1"/>
  <c r="AA43" i="1"/>
  <c r="AA51" i="1"/>
  <c r="Y47" i="1"/>
  <c r="Y45" i="1"/>
  <c r="Y46" i="1"/>
  <c r="Z40" i="1"/>
  <c r="Z48" i="1"/>
  <c r="Z44" i="1"/>
  <c r="Z52" i="1"/>
  <c r="V45" i="1"/>
  <c r="V46" i="1"/>
  <c r="V47" i="1"/>
  <c r="Z39" i="1"/>
  <c r="Z37" i="1"/>
  <c r="AA39" i="1"/>
  <c r="AA38" i="1"/>
  <c r="R3" i="6"/>
  <c r="J14" i="3"/>
  <c r="K14" i="3" l="1"/>
  <c r="AU58" i="6" s="1"/>
  <c r="BH65" i="4" l="1"/>
  <c r="AU67" i="6"/>
  <c r="AW67" i="6" s="1"/>
  <c r="C36" i="10" s="1"/>
  <c r="BI67" i="4"/>
  <c r="Q66" i="5"/>
  <c r="N34" i="12" s="1"/>
  <c r="AU66" i="6"/>
  <c r="AW66" i="6" s="1"/>
  <c r="C35" i="10" s="1"/>
  <c r="Q67" i="5"/>
  <c r="N35" i="12" s="1"/>
  <c r="BI65" i="4"/>
  <c r="AU63" i="6"/>
  <c r="Q69" i="5"/>
  <c r="BH66" i="4"/>
  <c r="BI62" i="4"/>
  <c r="BH64" i="4"/>
  <c r="Q68" i="5"/>
  <c r="Q70" i="5"/>
  <c r="BI63" i="4"/>
  <c r="AU68" i="6"/>
  <c r="AU65" i="6"/>
  <c r="AU64" i="6"/>
  <c r="Q71" i="5"/>
  <c r="BI64" i="4"/>
  <c r="BH62" i="4"/>
  <c r="BH67" i="4"/>
  <c r="BI66" i="4"/>
  <c r="BH63" i="4"/>
  <c r="T9" i="5"/>
  <c r="AW58" i="6"/>
  <c r="C27" i="10" s="1"/>
  <c r="AB29" i="12"/>
  <c r="AV58" i="6"/>
  <c r="BI58" i="4"/>
  <c r="Q64" i="5"/>
  <c r="AU57" i="6"/>
  <c r="Q65" i="5"/>
  <c r="BH56" i="4"/>
  <c r="BH59" i="4"/>
  <c r="BH58" i="4"/>
  <c r="BI59" i="4"/>
  <c r="Q62" i="5"/>
  <c r="Q60" i="5"/>
  <c r="AU61" i="6"/>
  <c r="BH57" i="4"/>
  <c r="BI60" i="4"/>
  <c r="BH61" i="4"/>
  <c r="AU60" i="6"/>
  <c r="BI61" i="4"/>
  <c r="BH60" i="4"/>
  <c r="AU59" i="6"/>
  <c r="Q63" i="5"/>
  <c r="T8" i="5"/>
  <c r="AU62" i="6"/>
  <c r="Q61" i="5"/>
  <c r="BI57" i="4"/>
  <c r="BI56" i="4"/>
  <c r="AU33" i="6"/>
  <c r="AU37" i="6"/>
  <c r="AU34" i="6"/>
  <c r="AU36" i="6"/>
  <c r="AU38" i="6"/>
  <c r="AU35" i="6"/>
  <c r="AB38" i="12" l="1"/>
  <c r="AF29" i="12"/>
  <c r="AV67" i="6"/>
  <c r="B36" i="10" s="1"/>
  <c r="S66" i="5"/>
  <c r="C32" i="7" s="1"/>
  <c r="R66" i="5"/>
  <c r="R34" i="12" s="1"/>
  <c r="BJ67" i="4"/>
  <c r="O32" i="7"/>
  <c r="D32" i="7" s="1"/>
  <c r="AB37" i="12"/>
  <c r="O33" i="7"/>
  <c r="D33" i="7" s="1"/>
  <c r="R67" i="5"/>
  <c r="R35" i="12" s="1"/>
  <c r="S67" i="5"/>
  <c r="C33" i="7" s="1"/>
  <c r="AV66" i="6"/>
  <c r="B35" i="10" s="1"/>
  <c r="BJ65" i="4"/>
  <c r="AY67" i="6"/>
  <c r="AD38" i="12" s="1"/>
  <c r="Z67" i="6"/>
  <c r="AB34" i="12"/>
  <c r="AW63" i="6"/>
  <c r="C32" i="10" s="1"/>
  <c r="AV63" i="6"/>
  <c r="B32" i="10" s="1"/>
  <c r="BJ66" i="4"/>
  <c r="S69" i="5"/>
  <c r="C35" i="7" s="1"/>
  <c r="R69" i="5"/>
  <c r="O35" i="7"/>
  <c r="D35" i="7" s="1"/>
  <c r="N37" i="12"/>
  <c r="N39" i="12"/>
  <c r="O37" i="7"/>
  <c r="D37" i="7" s="1"/>
  <c r="S71" i="5"/>
  <c r="C37" i="7" s="1"/>
  <c r="R71" i="5"/>
  <c r="Z66" i="6"/>
  <c r="AY66" i="6"/>
  <c r="AD37" i="12" s="1"/>
  <c r="AB35" i="12"/>
  <c r="AW64" i="6"/>
  <c r="C33" i="10" s="1"/>
  <c r="AV64" i="6"/>
  <c r="B33" i="10" s="1"/>
  <c r="AF38" i="12"/>
  <c r="AF37" i="12"/>
  <c r="BJ62" i="4"/>
  <c r="AB36" i="12"/>
  <c r="AW65" i="6"/>
  <c r="C34" i="10" s="1"/>
  <c r="AV65" i="6"/>
  <c r="R70" i="5"/>
  <c r="R38" i="12" s="1"/>
  <c r="N38" i="12"/>
  <c r="S70" i="5"/>
  <c r="C36" i="7" s="1"/>
  <c r="O36" i="7"/>
  <c r="D36" i="7" s="1"/>
  <c r="S68" i="5"/>
  <c r="C34" i="7" s="1"/>
  <c r="R68" i="5"/>
  <c r="N36" i="12"/>
  <c r="O34" i="7"/>
  <c r="D34" i="7" s="1"/>
  <c r="BJ63" i="4"/>
  <c r="AB39" i="12"/>
  <c r="AW68" i="6"/>
  <c r="C37" i="10" s="1"/>
  <c r="AV68" i="6"/>
  <c r="B37" i="10" s="1"/>
  <c r="BJ64" i="4"/>
  <c r="BJ57" i="4"/>
  <c r="BJ60" i="4"/>
  <c r="BJ61" i="4"/>
  <c r="BJ59" i="4"/>
  <c r="O28" i="7"/>
  <c r="D28" i="7" s="1"/>
  <c r="N30" i="12"/>
  <c r="R62" i="5"/>
  <c r="R30" i="12" s="1"/>
  <c r="S62" i="5"/>
  <c r="C28" i="7" s="1"/>
  <c r="O29" i="7"/>
  <c r="D29" i="7" s="1"/>
  <c r="N31" i="12"/>
  <c r="R63" i="5"/>
  <c r="S63" i="5"/>
  <c r="C29" i="7" s="1"/>
  <c r="AV61" i="6"/>
  <c r="AG32" i="12" s="1"/>
  <c r="AB32" i="12"/>
  <c r="AW61" i="6"/>
  <c r="C30" i="10" s="1"/>
  <c r="AW57" i="6"/>
  <c r="C26" i="10" s="1"/>
  <c r="AB28" i="12"/>
  <c r="AV57" i="6"/>
  <c r="AB30" i="12"/>
  <c r="AW59" i="6"/>
  <c r="C28" i="10" s="1"/>
  <c r="AV59" i="6"/>
  <c r="O26" i="7"/>
  <c r="D26" i="7" s="1"/>
  <c r="N28" i="12"/>
  <c r="S60" i="5"/>
  <c r="C26" i="7" s="1"/>
  <c r="R60" i="5"/>
  <c r="R28" i="12" s="1"/>
  <c r="O30" i="7"/>
  <c r="D30" i="7" s="1"/>
  <c r="N32" i="12"/>
  <c r="R64" i="5"/>
  <c r="R32" i="12" s="1"/>
  <c r="S64" i="5"/>
  <c r="C30" i="7" s="1"/>
  <c r="B27" i="10"/>
  <c r="AX58" i="6"/>
  <c r="AC29" i="12" s="1"/>
  <c r="AG58" i="6"/>
  <c r="Y58" i="6"/>
  <c r="AB58" i="6" s="1"/>
  <c r="AV60" i="6"/>
  <c r="AB31" i="12"/>
  <c r="AW60" i="6"/>
  <c r="C29" i="10" s="1"/>
  <c r="BJ58" i="4"/>
  <c r="O27" i="7"/>
  <c r="D27" i="7" s="1"/>
  <c r="N29" i="12"/>
  <c r="S61" i="5"/>
  <c r="C27" i="7" s="1"/>
  <c r="R61" i="5"/>
  <c r="AV62" i="6"/>
  <c r="AG33" i="12" s="1"/>
  <c r="AB33" i="12"/>
  <c r="AW62" i="6"/>
  <c r="C31" i="10" s="1"/>
  <c r="BJ56" i="4"/>
  <c r="AG29" i="12"/>
  <c r="O31" i="7"/>
  <c r="D31" i="7" s="1"/>
  <c r="N33" i="12"/>
  <c r="R65" i="5"/>
  <c r="R33" i="12" s="1"/>
  <c r="S65" i="5"/>
  <c r="C31" i="7" s="1"/>
  <c r="AY58" i="6"/>
  <c r="AD29" i="12" s="1"/>
  <c r="Z58" i="6"/>
  <c r="AV35" i="6"/>
  <c r="AW35" i="6"/>
  <c r="AV38" i="6"/>
  <c r="AW38" i="6"/>
  <c r="AV36" i="6"/>
  <c r="AW36" i="6"/>
  <c r="AV34" i="6"/>
  <c r="AW34" i="6"/>
  <c r="AV37" i="6"/>
  <c r="AW37" i="6"/>
  <c r="AV33" i="6"/>
  <c r="AW33" i="6"/>
  <c r="AB9" i="12"/>
  <c r="AB6" i="12"/>
  <c r="AB7" i="12"/>
  <c r="AB8" i="12"/>
  <c r="AB5" i="12"/>
  <c r="AB4" i="12"/>
  <c r="AX67" i="6" l="1"/>
  <c r="AC38" i="12" s="1"/>
  <c r="C6" i="10"/>
  <c r="C4" i="10"/>
  <c r="C3" i="10"/>
  <c r="C5" i="10"/>
  <c r="C2" i="10"/>
  <c r="C7" i="10"/>
  <c r="AG67" i="6"/>
  <c r="E36" i="10" s="1"/>
  <c r="AF28" i="12"/>
  <c r="AG38" i="12"/>
  <c r="Y67" i="6"/>
  <c r="AB67" i="6" s="1"/>
  <c r="T38" i="12" s="1"/>
  <c r="AF33" i="12"/>
  <c r="AF30" i="12"/>
  <c r="T66" i="5"/>
  <c r="O34" i="12" s="1"/>
  <c r="Q34" i="12"/>
  <c r="W66" i="5"/>
  <c r="Z66" i="5" s="1"/>
  <c r="F34" i="12" s="1"/>
  <c r="B32" i="7"/>
  <c r="X66" i="5"/>
  <c r="Q37" i="12"/>
  <c r="X67" i="5"/>
  <c r="Y67" i="5" s="1"/>
  <c r="AB67" i="5" s="1"/>
  <c r="H35" i="12" s="1"/>
  <c r="W67" i="5"/>
  <c r="Z67" i="5" s="1"/>
  <c r="F35" i="12" s="1"/>
  <c r="T67" i="5"/>
  <c r="O35" i="12" s="1"/>
  <c r="Q35" i="12"/>
  <c r="Y66" i="6"/>
  <c r="AB66" i="6" s="1"/>
  <c r="T37" i="12" s="1"/>
  <c r="B33" i="7"/>
  <c r="AX66" i="6"/>
  <c r="AC37" i="12" s="1"/>
  <c r="Q38" i="12"/>
  <c r="AG37" i="12"/>
  <c r="AG39" i="12"/>
  <c r="AF39" i="12"/>
  <c r="AG36" i="12"/>
  <c r="B34" i="10"/>
  <c r="AG35" i="12"/>
  <c r="AG66" i="6"/>
  <c r="E35" i="10" s="1"/>
  <c r="AF34" i="12"/>
  <c r="B34" i="7"/>
  <c r="X68" i="5"/>
  <c r="W68" i="5"/>
  <c r="Z68" i="5" s="1"/>
  <c r="T68" i="5"/>
  <c r="O36" i="12" s="1"/>
  <c r="AY65" i="6"/>
  <c r="AD36" i="12" s="1"/>
  <c r="Z65" i="6"/>
  <c r="AY64" i="6"/>
  <c r="AD35" i="12" s="1"/>
  <c r="Z64" i="6"/>
  <c r="B37" i="7"/>
  <c r="X71" i="5"/>
  <c r="T71" i="5"/>
  <c r="O39" i="12" s="1"/>
  <c r="W71" i="5"/>
  <c r="Z71" i="5" s="1"/>
  <c r="AF35" i="12"/>
  <c r="B35" i="7"/>
  <c r="T69" i="5"/>
  <c r="O37" i="12" s="1"/>
  <c r="W69" i="5"/>
  <c r="Z69" i="5" s="1"/>
  <c r="X69" i="5"/>
  <c r="AF36" i="12"/>
  <c r="AD66" i="6"/>
  <c r="V37" i="12" s="1"/>
  <c r="R37" i="12"/>
  <c r="B36" i="7"/>
  <c r="T70" i="5"/>
  <c r="O38" i="12" s="1"/>
  <c r="X70" i="5"/>
  <c r="W70" i="5"/>
  <c r="Z70" i="5" s="1"/>
  <c r="AX63" i="6"/>
  <c r="AC34" i="12" s="1"/>
  <c r="AG63" i="6"/>
  <c r="E32" i="10" s="1"/>
  <c r="Y63" i="6"/>
  <c r="AB63" i="6" s="1"/>
  <c r="AG34" i="12"/>
  <c r="AG68" i="6"/>
  <c r="E37" i="10" s="1"/>
  <c r="AX68" i="6"/>
  <c r="AC39" i="12" s="1"/>
  <c r="Y68" i="6"/>
  <c r="AB68" i="6" s="1"/>
  <c r="Q36" i="12"/>
  <c r="Q39" i="12"/>
  <c r="AD67" i="6"/>
  <c r="V38" i="12" s="1"/>
  <c r="Z63" i="6"/>
  <c r="AY63" i="6"/>
  <c r="AY68" i="6"/>
  <c r="AD39" i="12" s="1"/>
  <c r="Z68" i="6"/>
  <c r="R36" i="12"/>
  <c r="Y65" i="6"/>
  <c r="AB65" i="6" s="1"/>
  <c r="AX65" i="6"/>
  <c r="AC36" i="12" s="1"/>
  <c r="AG65" i="6"/>
  <c r="E34" i="10" s="1"/>
  <c r="AG64" i="6"/>
  <c r="E33" i="10" s="1"/>
  <c r="AX64" i="6"/>
  <c r="AC35" i="12" s="1"/>
  <c r="Y64" i="6"/>
  <c r="AB64" i="6" s="1"/>
  <c r="R39" i="12"/>
  <c r="Q32" i="12"/>
  <c r="Q30" i="12"/>
  <c r="Q29" i="12"/>
  <c r="Q33" i="12"/>
  <c r="Q28" i="12"/>
  <c r="B29" i="10"/>
  <c r="AG60" i="6"/>
  <c r="AX60" i="6"/>
  <c r="AC31" i="12" s="1"/>
  <c r="Y60" i="6"/>
  <c r="AB60" i="6" s="1"/>
  <c r="B26" i="10"/>
  <c r="AG57" i="6"/>
  <c r="AX57" i="6"/>
  <c r="AC28" i="12" s="1"/>
  <c r="Y57" i="6"/>
  <c r="AB57" i="6" s="1"/>
  <c r="T29" i="12"/>
  <c r="AG28" i="12"/>
  <c r="B30" i="10"/>
  <c r="AG61" i="6"/>
  <c r="Y61" i="6"/>
  <c r="AB61" i="6" s="1"/>
  <c r="AX61" i="6"/>
  <c r="AC32" i="12" s="1"/>
  <c r="E27" i="10"/>
  <c r="AH58" i="6"/>
  <c r="D27" i="10" s="1"/>
  <c r="AI58" i="6"/>
  <c r="AE29" i="12" s="1"/>
  <c r="B29" i="7"/>
  <c r="W63" i="5"/>
  <c r="Z63" i="5" s="1"/>
  <c r="T63" i="5"/>
  <c r="O31" i="12" s="1"/>
  <c r="X63" i="5"/>
  <c r="B27" i="7"/>
  <c r="W61" i="5"/>
  <c r="Z61" i="5" s="1"/>
  <c r="T61" i="5"/>
  <c r="O29" i="12" s="1"/>
  <c r="X61" i="5"/>
  <c r="AY60" i="6"/>
  <c r="AD31" i="12" s="1"/>
  <c r="Z60" i="6"/>
  <c r="B26" i="7"/>
  <c r="W60" i="5"/>
  <c r="Z60" i="5" s="1"/>
  <c r="T60" i="5"/>
  <c r="O28" i="12" s="1"/>
  <c r="X60" i="5"/>
  <c r="Z59" i="6"/>
  <c r="AY59" i="6"/>
  <c r="AD30" i="12" s="1"/>
  <c r="AY57" i="6"/>
  <c r="Z57" i="6"/>
  <c r="Q31" i="12"/>
  <c r="AD58" i="6"/>
  <c r="V29" i="12" s="1"/>
  <c r="AC58" i="6"/>
  <c r="U29" i="12" s="1"/>
  <c r="B31" i="10"/>
  <c r="AX62" i="6"/>
  <c r="AC33" i="12" s="1"/>
  <c r="AG62" i="6"/>
  <c r="Y62" i="6"/>
  <c r="AB62" i="6" s="1"/>
  <c r="B28" i="10"/>
  <c r="Y59" i="6"/>
  <c r="AB59" i="6" s="1"/>
  <c r="AX59" i="6"/>
  <c r="AC30" i="12" s="1"/>
  <c r="AG59" i="6"/>
  <c r="AG30" i="12"/>
  <c r="AY61" i="6"/>
  <c r="AD32" i="12" s="1"/>
  <c r="Z61" i="6"/>
  <c r="R31" i="12"/>
  <c r="R29" i="12"/>
  <c r="AF31" i="12"/>
  <c r="B30" i="7"/>
  <c r="W64" i="5"/>
  <c r="Z64" i="5" s="1"/>
  <c r="X64" i="5"/>
  <c r="T64" i="5"/>
  <c r="O32" i="12" s="1"/>
  <c r="AF32" i="12"/>
  <c r="B28" i="7"/>
  <c r="T62" i="5"/>
  <c r="O30" i="12" s="1"/>
  <c r="W62" i="5"/>
  <c r="Z62" i="5" s="1"/>
  <c r="X62" i="5"/>
  <c r="B31" i="7"/>
  <c r="T65" i="5"/>
  <c r="O33" i="12" s="1"/>
  <c r="X65" i="5"/>
  <c r="W65" i="5"/>
  <c r="Z65" i="5" s="1"/>
  <c r="Z62" i="6"/>
  <c r="AY62" i="6"/>
  <c r="AD33" i="12" s="1"/>
  <c r="AG31" i="12"/>
  <c r="B4" i="10"/>
  <c r="B7" i="10"/>
  <c r="B3" i="10"/>
  <c r="B6" i="10"/>
  <c r="B5" i="10"/>
  <c r="AX35" i="6"/>
  <c r="AX33" i="6"/>
  <c r="B2" i="10"/>
  <c r="AX36" i="6"/>
  <c r="AX37" i="6"/>
  <c r="AX34" i="6"/>
  <c r="AX38" i="6"/>
  <c r="AH67" i="6" l="1"/>
  <c r="D36" i="10" s="1"/>
  <c r="AI67" i="6"/>
  <c r="AE38" i="12" s="1"/>
  <c r="AC67" i="6"/>
  <c r="U38" i="12" s="1"/>
  <c r="AA66" i="5"/>
  <c r="G34" i="12" s="1"/>
  <c r="Y66" i="5"/>
  <c r="AB66" i="5" s="1"/>
  <c r="H34" i="12" s="1"/>
  <c r="AA67" i="5"/>
  <c r="G35" i="12" s="1"/>
  <c r="AC66" i="6"/>
  <c r="U37" i="12" s="1"/>
  <c r="AH66" i="6"/>
  <c r="D35" i="10" s="1"/>
  <c r="AI66" i="6"/>
  <c r="AE37" i="12" s="1"/>
  <c r="AD65" i="6"/>
  <c r="V36" i="12" s="1"/>
  <c r="AC65" i="6"/>
  <c r="U36" i="12" s="1"/>
  <c r="AI64" i="6"/>
  <c r="AE35" i="12" s="1"/>
  <c r="AH64" i="6"/>
  <c r="D33" i="10" s="1"/>
  <c r="AC63" i="6"/>
  <c r="U34" i="12" s="1"/>
  <c r="AD63" i="6"/>
  <c r="V34" i="12" s="1"/>
  <c r="AI63" i="6"/>
  <c r="AE34" i="12" s="1"/>
  <c r="AH63" i="6"/>
  <c r="D32" i="10" s="1"/>
  <c r="AD68" i="6"/>
  <c r="V39" i="12" s="1"/>
  <c r="AC68" i="6"/>
  <c r="U39" i="12" s="1"/>
  <c r="AC64" i="6"/>
  <c r="U35" i="12" s="1"/>
  <c r="AD64" i="6"/>
  <c r="V35" i="12" s="1"/>
  <c r="T35" i="12"/>
  <c r="T34" i="12"/>
  <c r="F39" i="12"/>
  <c r="F38" i="12"/>
  <c r="F36" i="12"/>
  <c r="AA69" i="5"/>
  <c r="G37" i="12" s="1"/>
  <c r="Y69" i="5"/>
  <c r="AB69" i="5" s="1"/>
  <c r="H37" i="12" s="1"/>
  <c r="F37" i="12"/>
  <c r="T36" i="12"/>
  <c r="T39" i="12"/>
  <c r="Y70" i="5"/>
  <c r="AB70" i="5" s="1"/>
  <c r="H38" i="12" s="1"/>
  <c r="AA70" i="5"/>
  <c r="G38" i="12" s="1"/>
  <c r="AA71" i="5"/>
  <c r="G39" i="12" s="1"/>
  <c r="Y71" i="5"/>
  <c r="AB71" i="5" s="1"/>
  <c r="H39" i="12" s="1"/>
  <c r="AA68" i="5"/>
  <c r="G36" i="12" s="1"/>
  <c r="Y68" i="5"/>
  <c r="AB68" i="5" s="1"/>
  <c r="H36" i="12" s="1"/>
  <c r="AI68" i="6"/>
  <c r="AE39" i="12" s="1"/>
  <c r="AH68" i="6"/>
  <c r="D37" i="10" s="1"/>
  <c r="AD34" i="12"/>
  <c r="X68" i="6"/>
  <c r="AI65" i="6"/>
  <c r="AE36" i="12" s="1"/>
  <c r="AH65" i="6"/>
  <c r="D34" i="10" s="1"/>
  <c r="AD62" i="6"/>
  <c r="V33" i="12" s="1"/>
  <c r="AC62" i="6"/>
  <c r="U33" i="12" s="1"/>
  <c r="T28" i="12"/>
  <c r="AD57" i="6"/>
  <c r="V28" i="12" s="1"/>
  <c r="AC57" i="6"/>
  <c r="U28" i="12" s="1"/>
  <c r="F33" i="12"/>
  <c r="AD61" i="6"/>
  <c r="V32" i="12" s="1"/>
  <c r="AC61" i="6"/>
  <c r="U32" i="12" s="1"/>
  <c r="AD28" i="12"/>
  <c r="X62" i="6"/>
  <c r="T32" i="12"/>
  <c r="AA65" i="5"/>
  <c r="G33" i="12" s="1"/>
  <c r="Y65" i="5"/>
  <c r="AB65" i="5" s="1"/>
  <c r="H33" i="12" s="1"/>
  <c r="AC60" i="6"/>
  <c r="U31" i="12" s="1"/>
  <c r="AD60" i="6"/>
  <c r="V31" i="12" s="1"/>
  <c r="E30" i="10"/>
  <c r="AH61" i="6"/>
  <c r="D30" i="10" s="1"/>
  <c r="AI61" i="6"/>
  <c r="AE32" i="12" s="1"/>
  <c r="Y64" i="5"/>
  <c r="AB64" i="5" s="1"/>
  <c r="H32" i="12" s="1"/>
  <c r="AA64" i="5"/>
  <c r="G32" i="12" s="1"/>
  <c r="F31" i="12"/>
  <c r="T31" i="12"/>
  <c r="F32" i="12"/>
  <c r="AD59" i="6"/>
  <c r="V30" i="12" s="1"/>
  <c r="AC59" i="6"/>
  <c r="U30" i="12" s="1"/>
  <c r="Y62" i="5"/>
  <c r="AB62" i="5" s="1"/>
  <c r="H30" i="12" s="1"/>
  <c r="AA62" i="5"/>
  <c r="G30" i="12" s="1"/>
  <c r="E28" i="10"/>
  <c r="AI59" i="6"/>
  <c r="AE30" i="12" s="1"/>
  <c r="AH59" i="6"/>
  <c r="D28" i="10" s="1"/>
  <c r="AA61" i="5"/>
  <c r="G29" i="12" s="1"/>
  <c r="Y61" i="5"/>
  <c r="AB61" i="5" s="1"/>
  <c r="H29" i="12" s="1"/>
  <c r="AE58" i="6"/>
  <c r="AF58" i="6" s="1"/>
  <c r="E29" i="10"/>
  <c r="AH60" i="6"/>
  <c r="D29" i="10" s="1"/>
  <c r="AI60" i="6"/>
  <c r="AE31" i="12" s="1"/>
  <c r="T30" i="12"/>
  <c r="F29" i="12"/>
  <c r="F28" i="12"/>
  <c r="T33" i="12"/>
  <c r="AA63" i="5"/>
  <c r="G31" i="12" s="1"/>
  <c r="Y63" i="5"/>
  <c r="AB63" i="5" s="1"/>
  <c r="H31" i="12" s="1"/>
  <c r="E26" i="10"/>
  <c r="AH57" i="6"/>
  <c r="D26" i="10" s="1"/>
  <c r="AI57" i="6"/>
  <c r="AE28" i="12" s="1"/>
  <c r="E31" i="10"/>
  <c r="AH62" i="6"/>
  <c r="D31" i="10" s="1"/>
  <c r="AI62" i="6"/>
  <c r="AE33" i="12" s="1"/>
  <c r="F30" i="12"/>
  <c r="Y60" i="5"/>
  <c r="AB60" i="5" s="1"/>
  <c r="H28" i="12" s="1"/>
  <c r="AA60" i="5"/>
  <c r="G28" i="12" s="1"/>
  <c r="AY33" i="6"/>
  <c r="AC4" i="12"/>
  <c r="AY35" i="6"/>
  <c r="AD6" i="12" s="1"/>
  <c r="AC6" i="12"/>
  <c r="AC7" i="12"/>
  <c r="AY36" i="6"/>
  <c r="AD7" i="12" s="1"/>
  <c r="AC9" i="12"/>
  <c r="AY38" i="6"/>
  <c r="AD9" i="12" s="1"/>
  <c r="AC5" i="12"/>
  <c r="AY34" i="6"/>
  <c r="AD5" i="12" s="1"/>
  <c r="AY37" i="6"/>
  <c r="AD8" i="12" s="1"/>
  <c r="AC8" i="12"/>
  <c r="AE67" i="6" l="1"/>
  <c r="AF67" i="6" s="1"/>
  <c r="AC67" i="5"/>
  <c r="AC66" i="5"/>
  <c r="AE66" i="6"/>
  <c r="AF66" i="6" s="1"/>
  <c r="AC68" i="5"/>
  <c r="AE68" i="6"/>
  <c r="AF68" i="6" s="1"/>
  <c r="AE65" i="6"/>
  <c r="AF65" i="6" s="1"/>
  <c r="AE63" i="6"/>
  <c r="AF63" i="6" s="1"/>
  <c r="AE64" i="6"/>
  <c r="AF64" i="6" s="1"/>
  <c r="AC70" i="5"/>
  <c r="AC69" i="5"/>
  <c r="AC71" i="5"/>
  <c r="AE61" i="6"/>
  <c r="AF61" i="6" s="1"/>
  <c r="AE62" i="6"/>
  <c r="AF62" i="6" s="1"/>
  <c r="AC60" i="5"/>
  <c r="AC62" i="5"/>
  <c r="AE59" i="6"/>
  <c r="AF59" i="6" s="1"/>
  <c r="AE57" i="6"/>
  <c r="AF57" i="6" s="1"/>
  <c r="AE60" i="6"/>
  <c r="AF60" i="6" s="1"/>
  <c r="AC61" i="5"/>
  <c r="AC64" i="5"/>
  <c r="AC65" i="5"/>
  <c r="AC63" i="5"/>
  <c r="AD4" i="12"/>
  <c r="X9" i="12" s="1"/>
  <c r="X38" i="6"/>
  <c r="I22" i="5" l="1"/>
  <c r="I23" i="5"/>
  <c r="I24" i="5"/>
  <c r="I25" i="5"/>
  <c r="I26" i="5"/>
  <c r="I27" i="5"/>
  <c r="I28" i="5"/>
  <c r="I29" i="5"/>
  <c r="F27" i="6" l="1"/>
  <c r="R27" i="6" s="1"/>
  <c r="E27" i="9"/>
  <c r="F27" i="9" s="1"/>
  <c r="G27" i="9" s="1"/>
  <c r="H27" i="9" s="1"/>
  <c r="E25" i="9"/>
  <c r="F25" i="9" s="1"/>
  <c r="G25" i="9" s="1"/>
  <c r="H25" i="9" s="1"/>
  <c r="F25" i="6"/>
  <c r="R25" i="6" s="1"/>
  <c r="E24" i="9"/>
  <c r="F24" i="9" s="1"/>
  <c r="G24" i="9" s="1"/>
  <c r="H24" i="9" s="1"/>
  <c r="F24" i="6"/>
  <c r="R24" i="6" s="1"/>
  <c r="E23" i="9"/>
  <c r="F23" i="9" s="1"/>
  <c r="G23" i="9" s="1"/>
  <c r="H23" i="9" s="1"/>
  <c r="F23" i="6"/>
  <c r="R23" i="6" s="1"/>
  <c r="F22" i="6"/>
  <c r="R22" i="6" s="1"/>
  <c r="E22" i="9"/>
  <c r="F22" i="9" s="1"/>
  <c r="G22" i="9" s="1"/>
  <c r="H22" i="9" s="1"/>
  <c r="F28" i="6"/>
  <c r="R28" i="6" s="1"/>
  <c r="E28" i="9"/>
  <c r="F28" i="9" s="1"/>
  <c r="G28" i="9" s="1"/>
  <c r="H28" i="9" s="1"/>
  <c r="F26" i="6"/>
  <c r="R26" i="6" s="1"/>
  <c r="E26" i="9"/>
  <c r="F26" i="9" s="1"/>
  <c r="G26" i="9" s="1"/>
  <c r="H26" i="9" s="1"/>
  <c r="E21" i="9"/>
  <c r="F21" i="9" s="1"/>
  <c r="G21" i="9" s="1"/>
  <c r="H21" i="9" s="1"/>
  <c r="F21" i="6"/>
  <c r="R21" i="6" s="1"/>
  <c r="N28" i="6" l="1"/>
  <c r="Q24" i="5"/>
  <c r="Q23" i="5"/>
  <c r="Q28" i="5"/>
  <c r="N25" i="6"/>
  <c r="N24" i="6"/>
  <c r="Q29" i="5"/>
  <c r="Q27" i="5"/>
  <c r="Q22" i="5"/>
  <c r="N26" i="6"/>
  <c r="N22" i="6"/>
  <c r="Q25" i="5"/>
  <c r="N27" i="6"/>
  <c r="N23" i="6"/>
  <c r="Q26" i="5"/>
  <c r="N21" i="6"/>
  <c r="N22" i="5"/>
  <c r="N28" i="5"/>
  <c r="K21" i="6"/>
  <c r="K25" i="6"/>
  <c r="N25" i="5"/>
  <c r="N27" i="5"/>
  <c r="N24" i="5"/>
  <c r="N26" i="5"/>
  <c r="N23" i="5"/>
  <c r="K27" i="6"/>
  <c r="K28" i="6"/>
  <c r="K24" i="6"/>
  <c r="K22" i="6"/>
  <c r="N29" i="5"/>
  <c r="K23" i="6"/>
  <c r="K26" i="6"/>
  <c r="J22" i="6"/>
  <c r="M27" i="5"/>
  <c r="M24" i="5"/>
  <c r="M23" i="5"/>
  <c r="M28" i="5"/>
  <c r="J21" i="6"/>
  <c r="J26" i="6"/>
  <c r="M29" i="5"/>
  <c r="J28" i="6"/>
  <c r="J24" i="6"/>
  <c r="M22" i="5"/>
  <c r="J25" i="6"/>
  <c r="J23" i="6"/>
  <c r="J27" i="6"/>
  <c r="M25" i="5"/>
  <c r="M26" i="5"/>
  <c r="P25" i="6"/>
  <c r="P26" i="6"/>
  <c r="P23" i="6"/>
  <c r="P27" i="6"/>
  <c r="S22" i="5"/>
  <c r="S27" i="5"/>
  <c r="P22" i="6"/>
  <c r="S26" i="5"/>
  <c r="S24" i="5"/>
  <c r="S29" i="5"/>
  <c r="P28" i="6"/>
  <c r="P24" i="6"/>
  <c r="S25" i="5"/>
  <c r="S28" i="5"/>
  <c r="S23" i="5"/>
  <c r="P21" i="6"/>
  <c r="O22" i="6"/>
  <c r="O24" i="6"/>
  <c r="R29" i="5"/>
  <c r="R24" i="5"/>
  <c r="R28" i="5"/>
  <c r="R26" i="5"/>
  <c r="O25" i="6"/>
  <c r="O28" i="6"/>
  <c r="R25" i="5"/>
  <c r="O21" i="6"/>
  <c r="O23" i="6"/>
  <c r="O27" i="6"/>
  <c r="R22" i="5"/>
  <c r="O26" i="6"/>
  <c r="R23" i="5"/>
  <c r="R27" i="5"/>
  <c r="L23" i="6"/>
  <c r="L24" i="6"/>
  <c r="O28" i="5"/>
  <c r="L21" i="6"/>
  <c r="O27" i="5"/>
  <c r="O29" i="5"/>
  <c r="L28" i="6"/>
  <c r="O22" i="5"/>
  <c r="L26" i="6"/>
  <c r="O23" i="5"/>
  <c r="L27" i="6"/>
  <c r="L22" i="6"/>
  <c r="O26" i="5"/>
  <c r="O24" i="5"/>
  <c r="L25" i="6"/>
  <c r="O25" i="5"/>
  <c r="K168" i="5" l="1"/>
  <c r="I134" i="7" s="1"/>
  <c r="K173" i="5"/>
  <c r="I139" i="7" s="1"/>
  <c r="K171" i="5"/>
  <c r="I137" i="7" s="1"/>
  <c r="K169" i="5"/>
  <c r="I135" i="7" s="1"/>
  <c r="K172" i="5"/>
  <c r="I138" i="7" s="1"/>
  <c r="K170" i="5"/>
  <c r="I136" i="7" s="1"/>
  <c r="O175" i="5"/>
  <c r="L141" i="7" s="1"/>
  <c r="O179" i="5"/>
  <c r="L145" i="7" s="1"/>
  <c r="O178" i="5"/>
  <c r="L144" i="7" s="1"/>
  <c r="O177" i="5"/>
  <c r="L143" i="7" s="1"/>
  <c r="O174" i="5"/>
  <c r="L140" i="7" s="1"/>
  <c r="O176" i="5"/>
  <c r="L142" i="7" s="1"/>
  <c r="P170" i="5"/>
  <c r="M136" i="7" s="1"/>
  <c r="P173" i="5"/>
  <c r="M139" i="7" s="1"/>
  <c r="P169" i="5"/>
  <c r="M135" i="7" s="1"/>
  <c r="P172" i="5"/>
  <c r="M138" i="7" s="1"/>
  <c r="P168" i="5"/>
  <c r="P171" i="5"/>
  <c r="J186" i="5"/>
  <c r="H152" i="7" s="1"/>
  <c r="J187" i="5"/>
  <c r="H153" i="7" s="1"/>
  <c r="J188" i="5"/>
  <c r="H154" i="7" s="1"/>
  <c r="J191" i="5"/>
  <c r="H157" i="7" s="1"/>
  <c r="J189" i="5"/>
  <c r="H155" i="7" s="1"/>
  <c r="J190" i="5"/>
  <c r="H156" i="7" s="1"/>
  <c r="N175" i="5"/>
  <c r="K141" i="7" s="1"/>
  <c r="N178" i="5"/>
  <c r="K144" i="7" s="1"/>
  <c r="N174" i="5"/>
  <c r="N179" i="5"/>
  <c r="K145" i="7" s="1"/>
  <c r="N176" i="5"/>
  <c r="K142" i="7" s="1"/>
  <c r="N177" i="5"/>
  <c r="K143" i="7" s="1"/>
  <c r="O154" i="5"/>
  <c r="L120" i="7" s="1"/>
  <c r="O155" i="5"/>
  <c r="L121" i="7" s="1"/>
  <c r="O150" i="5"/>
  <c r="L116" i="7" s="1"/>
  <c r="O152" i="5"/>
  <c r="L118" i="7" s="1"/>
  <c r="O151" i="5"/>
  <c r="L117" i="7" s="1"/>
  <c r="O153" i="5"/>
  <c r="L119" i="7" s="1"/>
  <c r="P151" i="5"/>
  <c r="M117" i="7" s="1"/>
  <c r="P153" i="5"/>
  <c r="M119" i="7" s="1"/>
  <c r="P154" i="5"/>
  <c r="M120" i="7" s="1"/>
  <c r="P152" i="5"/>
  <c r="M118" i="7" s="1"/>
  <c r="P150" i="5"/>
  <c r="M116" i="7" s="1"/>
  <c r="P155" i="5"/>
  <c r="M121" i="7" s="1"/>
  <c r="J165" i="5"/>
  <c r="H131" i="7" s="1"/>
  <c r="J166" i="5"/>
  <c r="H132" i="7" s="1"/>
  <c r="J163" i="5"/>
  <c r="H129" i="7" s="1"/>
  <c r="J167" i="5"/>
  <c r="H133" i="7" s="1"/>
  <c r="J162" i="5"/>
  <c r="H128" i="7" s="1"/>
  <c r="J164" i="5"/>
  <c r="H130" i="7" s="1"/>
  <c r="K160" i="5"/>
  <c r="I126" i="7" s="1"/>
  <c r="K159" i="5"/>
  <c r="I125" i="7" s="1"/>
  <c r="K157" i="5"/>
  <c r="I123" i="7" s="1"/>
  <c r="K156" i="5"/>
  <c r="I122" i="7" s="1"/>
  <c r="K158" i="5"/>
  <c r="I124" i="7" s="1"/>
  <c r="K161" i="5"/>
  <c r="I127" i="7" s="1"/>
  <c r="N170" i="5"/>
  <c r="K136" i="7" s="1"/>
  <c r="N169" i="5"/>
  <c r="K135" i="7" s="1"/>
  <c r="N168" i="5"/>
  <c r="K134" i="7" s="1"/>
  <c r="N173" i="5"/>
  <c r="K139" i="7" s="1"/>
  <c r="N172" i="5"/>
  <c r="K138" i="7" s="1"/>
  <c r="N171" i="5"/>
  <c r="K137" i="7" s="1"/>
  <c r="N191" i="5"/>
  <c r="K157" i="7" s="1"/>
  <c r="N188" i="5"/>
  <c r="K154" i="7" s="1"/>
  <c r="N189" i="5"/>
  <c r="K155" i="7" s="1"/>
  <c r="N186" i="5"/>
  <c r="K152" i="7" s="1"/>
  <c r="N187" i="5"/>
  <c r="K153" i="7" s="1"/>
  <c r="N190" i="5"/>
  <c r="K156" i="7" s="1"/>
  <c r="L161" i="5"/>
  <c r="J127" i="7" s="1"/>
  <c r="L159" i="5"/>
  <c r="J125" i="7" s="1"/>
  <c r="L156" i="5"/>
  <c r="J122" i="7" s="1"/>
  <c r="L157" i="5"/>
  <c r="J123" i="7" s="1"/>
  <c r="L160" i="5"/>
  <c r="J126" i="7" s="1"/>
  <c r="L158" i="5"/>
  <c r="J124" i="7" s="1"/>
  <c r="L186" i="5"/>
  <c r="J152" i="7" s="1"/>
  <c r="L187" i="5"/>
  <c r="J153" i="7" s="1"/>
  <c r="L189" i="5"/>
  <c r="J155" i="7" s="1"/>
  <c r="L190" i="5"/>
  <c r="J156" i="7" s="1"/>
  <c r="L188" i="5"/>
  <c r="J154" i="7" s="1"/>
  <c r="L191" i="5"/>
  <c r="J157" i="7" s="1"/>
  <c r="O169" i="5"/>
  <c r="L135" i="7" s="1"/>
  <c r="O172" i="5"/>
  <c r="L138" i="7" s="1"/>
  <c r="O170" i="5"/>
  <c r="L136" i="7" s="1"/>
  <c r="O168" i="5"/>
  <c r="L134" i="7" s="1"/>
  <c r="O171" i="5"/>
  <c r="L137" i="7" s="1"/>
  <c r="O173" i="5"/>
  <c r="L139" i="7" s="1"/>
  <c r="P183" i="5"/>
  <c r="M149" i="7" s="1"/>
  <c r="P185" i="5"/>
  <c r="M151" i="7" s="1"/>
  <c r="P181" i="5"/>
  <c r="M147" i="7" s="1"/>
  <c r="P184" i="5"/>
  <c r="M150" i="7" s="1"/>
  <c r="P180" i="5"/>
  <c r="M146" i="7" s="1"/>
  <c r="P182" i="5"/>
  <c r="M148" i="7" s="1"/>
  <c r="P178" i="5"/>
  <c r="M144" i="7" s="1"/>
  <c r="P174" i="5"/>
  <c r="M140" i="7" s="1"/>
  <c r="P176" i="5"/>
  <c r="M142" i="7" s="1"/>
  <c r="P179" i="5"/>
  <c r="M145" i="7" s="1"/>
  <c r="P175" i="5"/>
  <c r="M141" i="7" s="1"/>
  <c r="P177" i="5"/>
  <c r="M143" i="7" s="1"/>
  <c r="K189" i="5"/>
  <c r="I155" i="7" s="1"/>
  <c r="K187" i="5"/>
  <c r="I153" i="7" s="1"/>
  <c r="K190" i="5"/>
  <c r="I156" i="7" s="1"/>
  <c r="K186" i="5"/>
  <c r="I152" i="7" s="1"/>
  <c r="K188" i="5"/>
  <c r="I154" i="7" s="1"/>
  <c r="K191" i="5"/>
  <c r="I157" i="7" s="1"/>
  <c r="K176" i="5"/>
  <c r="I142" i="7" s="1"/>
  <c r="K177" i="5"/>
  <c r="I143" i="7" s="1"/>
  <c r="K175" i="5"/>
  <c r="I141" i="7" s="1"/>
  <c r="K179" i="5"/>
  <c r="I145" i="7" s="1"/>
  <c r="K178" i="5"/>
  <c r="I144" i="7" s="1"/>
  <c r="K174" i="5"/>
  <c r="I140" i="7" s="1"/>
  <c r="L169" i="5"/>
  <c r="J135" i="7" s="1"/>
  <c r="L172" i="5"/>
  <c r="J138" i="7" s="1"/>
  <c r="L170" i="5"/>
  <c r="J136" i="7" s="1"/>
  <c r="L173" i="5"/>
  <c r="J139" i="7" s="1"/>
  <c r="L171" i="5"/>
  <c r="J137" i="7" s="1"/>
  <c r="L168" i="5"/>
  <c r="J134" i="7" s="1"/>
  <c r="L174" i="5"/>
  <c r="J140" i="7" s="1"/>
  <c r="L178" i="5"/>
  <c r="J144" i="7" s="1"/>
  <c r="L179" i="5"/>
  <c r="J145" i="7" s="1"/>
  <c r="L176" i="5"/>
  <c r="J142" i="7" s="1"/>
  <c r="L177" i="5"/>
  <c r="J143" i="7" s="1"/>
  <c r="L175" i="5"/>
  <c r="J141" i="7" s="1"/>
  <c r="O146" i="5"/>
  <c r="L112" i="7" s="1"/>
  <c r="O148" i="5"/>
  <c r="L114" i="7" s="1"/>
  <c r="O147" i="5"/>
  <c r="L113" i="7" s="1"/>
  <c r="O149" i="5"/>
  <c r="L115" i="7" s="1"/>
  <c r="O144" i="5"/>
  <c r="L110" i="7" s="1"/>
  <c r="O145" i="5"/>
  <c r="L111" i="7" s="1"/>
  <c r="O181" i="5"/>
  <c r="L147" i="7" s="1"/>
  <c r="O183" i="5"/>
  <c r="L149" i="7" s="1"/>
  <c r="O180" i="5"/>
  <c r="L146" i="7" s="1"/>
  <c r="O184" i="5"/>
  <c r="L150" i="7" s="1"/>
  <c r="O182" i="5"/>
  <c r="L148" i="7" s="1"/>
  <c r="O185" i="5"/>
  <c r="L151" i="7" s="1"/>
  <c r="P167" i="5"/>
  <c r="M133" i="7" s="1"/>
  <c r="P162" i="5"/>
  <c r="M128" i="7" s="1"/>
  <c r="P165" i="5"/>
  <c r="M131" i="7" s="1"/>
  <c r="P164" i="5"/>
  <c r="M130" i="7" s="1"/>
  <c r="P166" i="5"/>
  <c r="M132" i="7" s="1"/>
  <c r="P163" i="5"/>
  <c r="M129" i="7" s="1"/>
  <c r="P145" i="5"/>
  <c r="M111" i="7" s="1"/>
  <c r="P146" i="5"/>
  <c r="M112" i="7" s="1"/>
  <c r="P149" i="5"/>
  <c r="M115" i="7" s="1"/>
  <c r="P147" i="5"/>
  <c r="M113" i="7" s="1"/>
  <c r="P148" i="5"/>
  <c r="M114" i="7" s="1"/>
  <c r="P144" i="5"/>
  <c r="M110" i="7" s="1"/>
  <c r="J180" i="5"/>
  <c r="H146" i="7" s="1"/>
  <c r="J185" i="5"/>
  <c r="H151" i="7" s="1"/>
  <c r="J181" i="5"/>
  <c r="H147" i="7" s="1"/>
  <c r="J184" i="5"/>
  <c r="H150" i="7" s="1"/>
  <c r="J183" i="5"/>
  <c r="H149" i="7" s="1"/>
  <c r="J182" i="5"/>
  <c r="H148" i="7" s="1"/>
  <c r="K163" i="5"/>
  <c r="I129" i="7" s="1"/>
  <c r="K162" i="5"/>
  <c r="I128" i="7" s="1"/>
  <c r="K166" i="5"/>
  <c r="I132" i="7" s="1"/>
  <c r="K164" i="5"/>
  <c r="I130" i="7" s="1"/>
  <c r="K167" i="5"/>
  <c r="I133" i="7" s="1"/>
  <c r="K165" i="5"/>
  <c r="I131" i="7" s="1"/>
  <c r="L163" i="5"/>
  <c r="J129" i="7" s="1"/>
  <c r="L164" i="5"/>
  <c r="J130" i="7" s="1"/>
  <c r="L165" i="5"/>
  <c r="J131" i="7" s="1"/>
  <c r="L166" i="5"/>
  <c r="J132" i="7" s="1"/>
  <c r="L162" i="5"/>
  <c r="J128" i="7" s="1"/>
  <c r="L167" i="5"/>
  <c r="J133" i="7" s="1"/>
  <c r="N166" i="5"/>
  <c r="K132" i="7" s="1"/>
  <c r="N164" i="5"/>
  <c r="K130" i="7" s="1"/>
  <c r="N167" i="5"/>
  <c r="K133" i="7" s="1"/>
  <c r="N163" i="5"/>
  <c r="K129" i="7" s="1"/>
  <c r="N165" i="5"/>
  <c r="K131" i="7" s="1"/>
  <c r="N162" i="5"/>
  <c r="K128" i="7" s="1"/>
  <c r="L183" i="5"/>
  <c r="J149" i="7" s="1"/>
  <c r="L184" i="5"/>
  <c r="J150" i="7" s="1"/>
  <c r="L180" i="5"/>
  <c r="J146" i="7" s="1"/>
  <c r="L182" i="5"/>
  <c r="J148" i="7" s="1"/>
  <c r="L181" i="5"/>
  <c r="J147" i="7" s="1"/>
  <c r="L185" i="5"/>
  <c r="J151" i="7" s="1"/>
  <c r="O191" i="5"/>
  <c r="L157" i="7" s="1"/>
  <c r="O189" i="5"/>
  <c r="L155" i="7" s="1"/>
  <c r="O187" i="5"/>
  <c r="L153" i="7" s="1"/>
  <c r="O190" i="5"/>
  <c r="L156" i="7" s="1"/>
  <c r="O188" i="5"/>
  <c r="L154" i="7" s="1"/>
  <c r="O186" i="5"/>
  <c r="L152" i="7" s="1"/>
  <c r="J144" i="5"/>
  <c r="H110" i="7" s="1"/>
  <c r="J148" i="5"/>
  <c r="H114" i="7" s="1"/>
  <c r="J147" i="5"/>
  <c r="H113" i="7" s="1"/>
  <c r="J145" i="5"/>
  <c r="H111" i="7" s="1"/>
  <c r="J146" i="5"/>
  <c r="H112" i="7" s="1"/>
  <c r="J149" i="5"/>
  <c r="H115" i="7" s="1"/>
  <c r="J156" i="5"/>
  <c r="H122" i="7" s="1"/>
  <c r="J159" i="5"/>
  <c r="H125" i="7" s="1"/>
  <c r="J161" i="5"/>
  <c r="H127" i="7" s="1"/>
  <c r="J158" i="5"/>
  <c r="H124" i="7" s="1"/>
  <c r="J157" i="5"/>
  <c r="H123" i="7" s="1"/>
  <c r="J160" i="5"/>
  <c r="H126" i="7" s="1"/>
  <c r="N151" i="5"/>
  <c r="K117" i="7" s="1"/>
  <c r="N153" i="5"/>
  <c r="K119" i="7" s="1"/>
  <c r="N150" i="5"/>
  <c r="K116" i="7" s="1"/>
  <c r="N155" i="5"/>
  <c r="K121" i="7" s="1"/>
  <c r="N154" i="5"/>
  <c r="K120" i="7" s="1"/>
  <c r="N152" i="5"/>
  <c r="K118" i="7" s="1"/>
  <c r="L155" i="5"/>
  <c r="J121" i="7" s="1"/>
  <c r="L150" i="5"/>
  <c r="J116" i="7" s="1"/>
  <c r="L151" i="5"/>
  <c r="J117" i="7" s="1"/>
  <c r="L154" i="5"/>
  <c r="J120" i="7" s="1"/>
  <c r="L152" i="5"/>
  <c r="J118" i="7" s="1"/>
  <c r="L153" i="5"/>
  <c r="J119" i="7" s="1"/>
  <c r="P187" i="5"/>
  <c r="M153" i="7" s="1"/>
  <c r="P191" i="5"/>
  <c r="M157" i="7" s="1"/>
  <c r="P189" i="5"/>
  <c r="M155" i="7" s="1"/>
  <c r="P190" i="5"/>
  <c r="M156" i="7" s="1"/>
  <c r="P186" i="5"/>
  <c r="M152" i="7" s="1"/>
  <c r="P188" i="5"/>
  <c r="M154" i="7" s="1"/>
  <c r="J177" i="5"/>
  <c r="H143" i="7" s="1"/>
  <c r="J178" i="5"/>
  <c r="H144" i="7" s="1"/>
  <c r="J176" i="5"/>
  <c r="H142" i="7" s="1"/>
  <c r="J179" i="5"/>
  <c r="H145" i="7" s="1"/>
  <c r="J175" i="5"/>
  <c r="H141" i="7" s="1"/>
  <c r="J174" i="5"/>
  <c r="H140" i="7" s="1"/>
  <c r="K185" i="5"/>
  <c r="I151" i="7" s="1"/>
  <c r="K181" i="5"/>
  <c r="I147" i="7" s="1"/>
  <c r="K180" i="5"/>
  <c r="I146" i="7" s="1"/>
  <c r="K183" i="5"/>
  <c r="I149" i="7" s="1"/>
  <c r="K184" i="5"/>
  <c r="I150" i="7" s="1"/>
  <c r="K182" i="5"/>
  <c r="I148" i="7" s="1"/>
  <c r="N159" i="5"/>
  <c r="K125" i="7" s="1"/>
  <c r="N156" i="5"/>
  <c r="K122" i="7" s="1"/>
  <c r="N160" i="5"/>
  <c r="K126" i="7" s="1"/>
  <c r="N158" i="5"/>
  <c r="K124" i="7" s="1"/>
  <c r="N157" i="5"/>
  <c r="K123" i="7" s="1"/>
  <c r="N161" i="5"/>
  <c r="K127" i="7" s="1"/>
  <c r="L146" i="5"/>
  <c r="J112" i="7" s="1"/>
  <c r="L145" i="5"/>
  <c r="J111" i="7" s="1"/>
  <c r="L147" i="5"/>
  <c r="J113" i="7" s="1"/>
  <c r="L144" i="5"/>
  <c r="J110" i="7" s="1"/>
  <c r="L149" i="5"/>
  <c r="J115" i="7" s="1"/>
  <c r="L148" i="5"/>
  <c r="J168" i="5"/>
  <c r="H134" i="7" s="1"/>
  <c r="J169" i="5"/>
  <c r="H135" i="7" s="1"/>
  <c r="J171" i="5"/>
  <c r="H137" i="7" s="1"/>
  <c r="J172" i="5"/>
  <c r="H138" i="7" s="1"/>
  <c r="J170" i="5"/>
  <c r="H136" i="7" s="1"/>
  <c r="J173" i="5"/>
  <c r="H139" i="7" s="1"/>
  <c r="O161" i="5"/>
  <c r="L127" i="7" s="1"/>
  <c r="O156" i="5"/>
  <c r="L122" i="7" s="1"/>
  <c r="O158" i="5"/>
  <c r="L124" i="7" s="1"/>
  <c r="O157" i="5"/>
  <c r="L123" i="7" s="1"/>
  <c r="O160" i="5"/>
  <c r="L126" i="7" s="1"/>
  <c r="O159" i="5"/>
  <c r="L125" i="7" s="1"/>
  <c r="J152" i="5"/>
  <c r="H118" i="7" s="1"/>
  <c r="J153" i="5"/>
  <c r="H119" i="7" s="1"/>
  <c r="J150" i="5"/>
  <c r="H116" i="7" s="1"/>
  <c r="J155" i="5"/>
  <c r="H121" i="7" s="1"/>
  <c r="J151" i="5"/>
  <c r="H117" i="7" s="1"/>
  <c r="J154" i="5"/>
  <c r="H120" i="7" s="1"/>
  <c r="N184" i="5"/>
  <c r="K150" i="7" s="1"/>
  <c r="N182" i="5"/>
  <c r="K148" i="7" s="1"/>
  <c r="N181" i="5"/>
  <c r="K147" i="7" s="1"/>
  <c r="N183" i="5"/>
  <c r="K149" i="7" s="1"/>
  <c r="N185" i="5"/>
  <c r="K151" i="7" s="1"/>
  <c r="N180" i="5"/>
  <c r="K146" i="7" s="1"/>
  <c r="O166" i="5"/>
  <c r="L132" i="7" s="1"/>
  <c r="O164" i="5"/>
  <c r="L130" i="7" s="1"/>
  <c r="O162" i="5"/>
  <c r="L128" i="7" s="1"/>
  <c r="O167" i="5"/>
  <c r="L133" i="7" s="1"/>
  <c r="O165" i="5"/>
  <c r="L131" i="7" s="1"/>
  <c r="O163" i="5"/>
  <c r="L129" i="7" s="1"/>
  <c r="P157" i="5"/>
  <c r="M123" i="7" s="1"/>
  <c r="P156" i="5"/>
  <c r="M122" i="7" s="1"/>
  <c r="P158" i="5"/>
  <c r="M124" i="7" s="1"/>
  <c r="P161" i="5"/>
  <c r="M127" i="7" s="1"/>
  <c r="P160" i="5"/>
  <c r="M126" i="7" s="1"/>
  <c r="P159" i="5"/>
  <c r="M125" i="7" s="1"/>
  <c r="K153" i="5"/>
  <c r="I119" i="7" s="1"/>
  <c r="K154" i="5"/>
  <c r="I120" i="7" s="1"/>
  <c r="K155" i="5"/>
  <c r="I121" i="7" s="1"/>
  <c r="K152" i="5"/>
  <c r="I118" i="7" s="1"/>
  <c r="K151" i="5"/>
  <c r="I117" i="7" s="1"/>
  <c r="K150" i="5"/>
  <c r="I116" i="7" s="1"/>
  <c r="K148" i="5"/>
  <c r="I114" i="7" s="1"/>
  <c r="K144" i="5"/>
  <c r="I110" i="7" s="1"/>
  <c r="K149" i="5"/>
  <c r="I115" i="7" s="1"/>
  <c r="K146" i="5"/>
  <c r="I112" i="7" s="1"/>
  <c r="K145" i="5"/>
  <c r="I111" i="7" s="1"/>
  <c r="K147" i="5"/>
  <c r="I113" i="7" s="1"/>
  <c r="N146" i="5"/>
  <c r="K112" i="7" s="1"/>
  <c r="N144" i="5"/>
  <c r="K110" i="7" s="1"/>
  <c r="N148" i="5"/>
  <c r="K114" i="7" s="1"/>
  <c r="N149" i="5"/>
  <c r="K115" i="7" s="1"/>
  <c r="N147" i="5"/>
  <c r="K113" i="7" s="1"/>
  <c r="N145" i="5"/>
  <c r="K111" i="7" s="1"/>
  <c r="M134" i="7"/>
  <c r="M137" i="7"/>
  <c r="K140" i="7"/>
  <c r="R150" i="6"/>
  <c r="R152" i="6"/>
  <c r="R149" i="6"/>
  <c r="R151" i="6"/>
  <c r="R147" i="6"/>
  <c r="R148" i="6"/>
  <c r="P159" i="6"/>
  <c r="P161" i="6"/>
  <c r="P163" i="6"/>
  <c r="P164" i="6"/>
  <c r="P162" i="6"/>
  <c r="P160" i="6"/>
  <c r="N146" i="6"/>
  <c r="N144" i="6"/>
  <c r="N141" i="6"/>
  <c r="N142" i="6"/>
  <c r="N143" i="6"/>
  <c r="N145" i="6"/>
  <c r="Q177" i="6"/>
  <c r="Q182" i="6"/>
  <c r="Q179" i="6"/>
  <c r="Q181" i="6"/>
  <c r="Q178" i="6"/>
  <c r="Q180" i="6"/>
  <c r="R159" i="6"/>
  <c r="R164" i="6"/>
  <c r="R163" i="6"/>
  <c r="R162" i="6"/>
  <c r="R161" i="6"/>
  <c r="R160" i="6"/>
  <c r="R181" i="6"/>
  <c r="R180" i="6"/>
  <c r="R179" i="6"/>
  <c r="R178" i="6"/>
  <c r="R177" i="6"/>
  <c r="R182" i="6"/>
  <c r="L165" i="6"/>
  <c r="L169" i="6"/>
  <c r="L170" i="6"/>
  <c r="L167" i="6"/>
  <c r="L168" i="6"/>
  <c r="L166" i="6"/>
  <c r="M160" i="6"/>
  <c r="M162" i="6"/>
  <c r="M159" i="6"/>
  <c r="M161" i="6"/>
  <c r="M163" i="6"/>
  <c r="M164" i="6"/>
  <c r="M165" i="6"/>
  <c r="M166" i="6"/>
  <c r="M170" i="6"/>
  <c r="M167" i="6"/>
  <c r="M169" i="6"/>
  <c r="M168" i="6"/>
  <c r="J114" i="7"/>
  <c r="N184" i="6"/>
  <c r="N188" i="6"/>
  <c r="N187" i="6"/>
  <c r="N186" i="6"/>
  <c r="N183" i="6"/>
  <c r="N185" i="6"/>
  <c r="P153" i="6"/>
  <c r="P156" i="6"/>
  <c r="P158" i="6"/>
  <c r="P157" i="6"/>
  <c r="P154" i="6"/>
  <c r="P155" i="6"/>
  <c r="P180" i="6"/>
  <c r="P177" i="6"/>
  <c r="P178" i="6"/>
  <c r="P181" i="6"/>
  <c r="P182" i="6"/>
  <c r="P179" i="6"/>
  <c r="Q156" i="6"/>
  <c r="Q158" i="6"/>
  <c r="Q154" i="6"/>
  <c r="Q153" i="6"/>
  <c r="Q157" i="6"/>
  <c r="Q155" i="6"/>
  <c r="R183" i="6"/>
  <c r="R185" i="6"/>
  <c r="R186" i="6"/>
  <c r="R188" i="6"/>
  <c r="R187" i="6"/>
  <c r="R184" i="6"/>
  <c r="R158" i="6"/>
  <c r="R155" i="6"/>
  <c r="R157" i="6"/>
  <c r="R156" i="6"/>
  <c r="R154" i="6"/>
  <c r="R153" i="6"/>
  <c r="M187" i="6"/>
  <c r="M186" i="6"/>
  <c r="M183" i="6"/>
  <c r="M185" i="6"/>
  <c r="M188" i="6"/>
  <c r="M184" i="6"/>
  <c r="M142" i="6"/>
  <c r="M144" i="6"/>
  <c r="M145" i="6"/>
  <c r="M141" i="6"/>
  <c r="M146" i="6"/>
  <c r="M143" i="6"/>
  <c r="P147" i="6"/>
  <c r="P151" i="6"/>
  <c r="P152" i="6"/>
  <c r="P148" i="6"/>
  <c r="P149" i="6"/>
  <c r="P150" i="6"/>
  <c r="R145" i="6"/>
  <c r="R146" i="6"/>
  <c r="R143" i="6"/>
  <c r="R142" i="6"/>
  <c r="R144" i="6"/>
  <c r="R141" i="6"/>
  <c r="M172" i="6"/>
  <c r="M173" i="6"/>
  <c r="M171" i="6"/>
  <c r="M176" i="6"/>
  <c r="M175" i="6"/>
  <c r="M174" i="6"/>
  <c r="P145" i="6"/>
  <c r="P143" i="6"/>
  <c r="P144" i="6"/>
  <c r="P146" i="6"/>
  <c r="P141" i="6"/>
  <c r="P142" i="6"/>
  <c r="M156" i="6"/>
  <c r="M158" i="6"/>
  <c r="M154" i="6"/>
  <c r="M157" i="6"/>
  <c r="M153" i="6"/>
  <c r="M155" i="6"/>
  <c r="Q172" i="6"/>
  <c r="Q174" i="6"/>
  <c r="Q171" i="6"/>
  <c r="Q173" i="6"/>
  <c r="Q175" i="6"/>
  <c r="Q176" i="6"/>
  <c r="L182" i="6"/>
  <c r="L179" i="6"/>
  <c r="L180" i="6"/>
  <c r="L177" i="6"/>
  <c r="L181" i="6"/>
  <c r="L178" i="6"/>
  <c r="L158" i="6"/>
  <c r="L153" i="6"/>
  <c r="L155" i="6"/>
  <c r="L157" i="6"/>
  <c r="L156" i="6"/>
  <c r="L154" i="6"/>
  <c r="M147" i="6"/>
  <c r="M149" i="6"/>
  <c r="M148" i="6"/>
  <c r="M150" i="6"/>
  <c r="M151" i="6"/>
  <c r="M152" i="6"/>
  <c r="N178" i="6"/>
  <c r="N182" i="6"/>
  <c r="N177" i="6"/>
  <c r="N179" i="6"/>
  <c r="N180" i="6"/>
  <c r="N181" i="6"/>
  <c r="N159" i="6"/>
  <c r="N162" i="6"/>
  <c r="N161" i="6"/>
  <c r="N163" i="6"/>
  <c r="N160" i="6"/>
  <c r="N164" i="6"/>
  <c r="Q146" i="6"/>
  <c r="Q141" i="6"/>
  <c r="Q144" i="6"/>
  <c r="Q142" i="6"/>
  <c r="Q143" i="6"/>
  <c r="Q145" i="6"/>
  <c r="Q161" i="6"/>
  <c r="Q162" i="6"/>
  <c r="Q160" i="6"/>
  <c r="Q159" i="6"/>
  <c r="Q163" i="6"/>
  <c r="Q164" i="6"/>
  <c r="R174" i="6"/>
  <c r="R172" i="6"/>
  <c r="R175" i="6"/>
  <c r="R176" i="6"/>
  <c r="R171" i="6"/>
  <c r="R173" i="6"/>
  <c r="L164" i="6"/>
  <c r="L161" i="6"/>
  <c r="L160" i="6"/>
  <c r="L159" i="6"/>
  <c r="L163" i="6"/>
  <c r="L162" i="6"/>
  <c r="M181" i="6"/>
  <c r="M182" i="6"/>
  <c r="M177" i="6"/>
  <c r="M179" i="6"/>
  <c r="M180" i="6"/>
  <c r="M178" i="6"/>
  <c r="P176" i="6"/>
  <c r="P173" i="6"/>
  <c r="P175" i="6"/>
  <c r="P174" i="6"/>
  <c r="P172" i="6"/>
  <c r="P171" i="6"/>
  <c r="Q187" i="6"/>
  <c r="Q185" i="6"/>
  <c r="Q188" i="6"/>
  <c r="Q186" i="6"/>
  <c r="Q184" i="6"/>
  <c r="Q183" i="6"/>
  <c r="N170" i="6"/>
  <c r="N168" i="6"/>
  <c r="N169" i="6"/>
  <c r="N166" i="6"/>
  <c r="N167" i="6"/>
  <c r="N165" i="6"/>
  <c r="Q169" i="6"/>
  <c r="Q168" i="6"/>
  <c r="Q170" i="6"/>
  <c r="Q166" i="6"/>
  <c r="Q165" i="6"/>
  <c r="Q167" i="6"/>
  <c r="L175" i="6"/>
  <c r="L172" i="6"/>
  <c r="L173" i="6"/>
  <c r="L171" i="6"/>
  <c r="L176" i="6"/>
  <c r="L174" i="6"/>
  <c r="L143" i="6"/>
  <c r="L144" i="6"/>
  <c r="L145" i="6"/>
  <c r="L142" i="6"/>
  <c r="L146" i="6"/>
  <c r="L141" i="6"/>
  <c r="P168" i="6"/>
  <c r="P169" i="6"/>
  <c r="P166" i="6"/>
  <c r="P170" i="6"/>
  <c r="P165" i="6"/>
  <c r="P167" i="6"/>
  <c r="N150" i="6"/>
  <c r="N152" i="6"/>
  <c r="N149" i="6"/>
  <c r="N147" i="6"/>
  <c r="N148" i="6"/>
  <c r="N151" i="6"/>
  <c r="N172" i="6"/>
  <c r="N174" i="6"/>
  <c r="N175" i="6"/>
  <c r="N173" i="6"/>
  <c r="N171" i="6"/>
  <c r="N176" i="6"/>
  <c r="N157" i="6"/>
  <c r="N154" i="6"/>
  <c r="N155" i="6"/>
  <c r="N158" i="6"/>
  <c r="N156" i="6"/>
  <c r="N153" i="6"/>
  <c r="Q147" i="6"/>
  <c r="Q149" i="6"/>
  <c r="Q151" i="6"/>
  <c r="Q148" i="6"/>
  <c r="Q152" i="6"/>
  <c r="Q150" i="6"/>
  <c r="R166" i="6"/>
  <c r="R165" i="6"/>
  <c r="R170" i="6"/>
  <c r="R168" i="6"/>
  <c r="R169" i="6"/>
  <c r="R167" i="6"/>
  <c r="L186" i="6"/>
  <c r="L184" i="6"/>
  <c r="L183" i="6"/>
  <c r="L187" i="6"/>
  <c r="L188" i="6"/>
  <c r="L185" i="6"/>
  <c r="L148" i="6"/>
  <c r="L152" i="6"/>
  <c r="L150" i="6"/>
  <c r="L149" i="6"/>
  <c r="L147" i="6"/>
  <c r="L151" i="6"/>
  <c r="P186" i="6"/>
  <c r="P183" i="6"/>
  <c r="P185" i="6"/>
  <c r="P188" i="6"/>
  <c r="P187" i="6"/>
  <c r="P184" i="6"/>
  <c r="I20" i="5" l="1"/>
  <c r="I15" i="5"/>
  <c r="I18" i="5"/>
  <c r="I21" i="5"/>
  <c r="E14" i="9" l="1"/>
  <c r="F14" i="9" s="1"/>
  <c r="G14" i="9" s="1"/>
  <c r="H14" i="9" s="1"/>
  <c r="F14" i="6"/>
  <c r="R14" i="6" s="1"/>
  <c r="E17" i="9"/>
  <c r="F17" i="9" s="1"/>
  <c r="G17" i="9" s="1"/>
  <c r="H17" i="9" s="1"/>
  <c r="F17" i="6"/>
  <c r="R17" i="6" s="1"/>
  <c r="E20" i="9"/>
  <c r="F20" i="9" s="1"/>
  <c r="G20" i="9" s="1"/>
  <c r="H20" i="9" s="1"/>
  <c r="F20" i="6"/>
  <c r="R20" i="6" s="1"/>
  <c r="F19" i="6"/>
  <c r="R19" i="6" s="1"/>
  <c r="E19" i="9"/>
  <c r="F19" i="9" s="1"/>
  <c r="G19" i="9" s="1"/>
  <c r="H19" i="9" s="1"/>
  <c r="S21" i="5"/>
  <c r="M21" i="5"/>
  <c r="R21" i="5"/>
  <c r="O21" i="5"/>
  <c r="N21" i="5"/>
  <c r="Q21" i="5"/>
  <c r="N20" i="6"/>
  <c r="L20" i="6"/>
  <c r="K20" i="6"/>
  <c r="P20" i="6"/>
  <c r="J20" i="6"/>
  <c r="O20" i="6"/>
  <c r="I4" i="5"/>
  <c r="I10" i="5"/>
  <c r="I13" i="5"/>
  <c r="I6" i="5"/>
  <c r="I16" i="5"/>
  <c r="I11" i="5"/>
  <c r="I5" i="5"/>
  <c r="I7" i="5"/>
  <c r="I12" i="5"/>
  <c r="I14" i="5"/>
  <c r="I19" i="5"/>
  <c r="I17" i="5"/>
  <c r="O14" i="6"/>
  <c r="P14" i="6"/>
  <c r="K14" i="6"/>
  <c r="N14" i="6"/>
  <c r="J14" i="6"/>
  <c r="L14" i="6"/>
  <c r="N19" i="6"/>
  <c r="O19" i="6"/>
  <c r="J19" i="6"/>
  <c r="P19" i="6"/>
  <c r="K19" i="6"/>
  <c r="L19" i="6"/>
  <c r="P17" i="6"/>
  <c r="N17" i="6"/>
  <c r="J17" i="6"/>
  <c r="K17" i="6"/>
  <c r="L17" i="6"/>
  <c r="O17" i="6"/>
  <c r="S18" i="5"/>
  <c r="N18" i="5"/>
  <c r="O18" i="5"/>
  <c r="R18" i="5"/>
  <c r="M18" i="5"/>
  <c r="Q18" i="5"/>
  <c r="Q20" i="5"/>
  <c r="R20" i="5"/>
  <c r="M20" i="5"/>
  <c r="S20" i="5"/>
  <c r="N20" i="5"/>
  <c r="O20" i="5"/>
  <c r="R15" i="5"/>
  <c r="S15" i="5"/>
  <c r="M15" i="5"/>
  <c r="N15" i="5"/>
  <c r="Q15" i="5"/>
  <c r="O15" i="5"/>
  <c r="N121" i="5" l="1"/>
  <c r="K87" i="7" s="1"/>
  <c r="N125" i="5"/>
  <c r="K91" i="7" s="1"/>
  <c r="N124" i="5"/>
  <c r="K90" i="7" s="1"/>
  <c r="N122" i="5"/>
  <c r="K88" i="7" s="1"/>
  <c r="N123" i="5"/>
  <c r="K89" i="7" s="1"/>
  <c r="N120" i="5"/>
  <c r="K86" i="7" s="1"/>
  <c r="O104" i="5"/>
  <c r="L70" i="7" s="1"/>
  <c r="O102" i="5"/>
  <c r="L68" i="7" s="1"/>
  <c r="O103" i="5"/>
  <c r="L69" i="7" s="1"/>
  <c r="O107" i="5"/>
  <c r="L73" i="7" s="1"/>
  <c r="O105" i="5"/>
  <c r="L71" i="7" s="1"/>
  <c r="O106" i="5"/>
  <c r="L72" i="7" s="1"/>
  <c r="L135" i="5"/>
  <c r="J101" i="7" s="1"/>
  <c r="L133" i="5"/>
  <c r="J99" i="7" s="1"/>
  <c r="L137" i="5"/>
  <c r="J103" i="7" s="1"/>
  <c r="L136" i="5"/>
  <c r="J102" i="7" s="1"/>
  <c r="L134" i="5"/>
  <c r="J100" i="7" s="1"/>
  <c r="L132" i="5"/>
  <c r="J98" i="7" s="1"/>
  <c r="O124" i="5"/>
  <c r="O122" i="5"/>
  <c r="L88" i="7" s="1"/>
  <c r="O123" i="5"/>
  <c r="L89" i="7" s="1"/>
  <c r="O125" i="5"/>
  <c r="L91" i="7" s="1"/>
  <c r="O120" i="5"/>
  <c r="L86" i="7" s="1"/>
  <c r="O121" i="5"/>
  <c r="L87" i="7" s="1"/>
  <c r="N138" i="5"/>
  <c r="K104" i="7" s="1"/>
  <c r="N143" i="5"/>
  <c r="K109" i="7" s="1"/>
  <c r="N141" i="5"/>
  <c r="K107" i="7" s="1"/>
  <c r="N139" i="5"/>
  <c r="K105" i="7" s="1"/>
  <c r="N142" i="5"/>
  <c r="K108" i="7" s="1"/>
  <c r="N140" i="5"/>
  <c r="K106" i="7" s="1"/>
  <c r="K136" i="5"/>
  <c r="I102" i="7" s="1"/>
  <c r="K135" i="5"/>
  <c r="I101" i="7" s="1"/>
  <c r="K133" i="5"/>
  <c r="I99" i="7" s="1"/>
  <c r="K137" i="5"/>
  <c r="I103" i="7" s="1"/>
  <c r="K134" i="5"/>
  <c r="I100" i="7" s="1"/>
  <c r="K132" i="5"/>
  <c r="I98" i="7" s="1"/>
  <c r="L124" i="5"/>
  <c r="J90" i="7" s="1"/>
  <c r="L122" i="5"/>
  <c r="J88" i="7" s="1"/>
  <c r="L123" i="5"/>
  <c r="J89" i="7" s="1"/>
  <c r="L121" i="5"/>
  <c r="J87" i="7" s="1"/>
  <c r="L125" i="5"/>
  <c r="J91" i="7" s="1"/>
  <c r="L120" i="5"/>
  <c r="J86" i="7" s="1"/>
  <c r="K140" i="5"/>
  <c r="I106" i="7" s="1"/>
  <c r="K138" i="5"/>
  <c r="I104" i="7" s="1"/>
  <c r="K142" i="5"/>
  <c r="I108" i="7" s="1"/>
  <c r="K143" i="5"/>
  <c r="I109" i="7" s="1"/>
  <c r="K139" i="5"/>
  <c r="I105" i="7" s="1"/>
  <c r="K141" i="5"/>
  <c r="I107" i="7" s="1"/>
  <c r="P107" i="5"/>
  <c r="M73" i="7" s="1"/>
  <c r="P104" i="5"/>
  <c r="M70" i="7" s="1"/>
  <c r="P105" i="5"/>
  <c r="M71" i="7" s="1"/>
  <c r="P106" i="5"/>
  <c r="M72" i="7" s="1"/>
  <c r="P102" i="5"/>
  <c r="M68" i="7" s="1"/>
  <c r="P103" i="5"/>
  <c r="M69" i="7" s="1"/>
  <c r="J123" i="5"/>
  <c r="H89" i="7" s="1"/>
  <c r="J124" i="5"/>
  <c r="H90" i="7" s="1"/>
  <c r="J125" i="5"/>
  <c r="H91" i="7" s="1"/>
  <c r="J120" i="5"/>
  <c r="H86" i="7" s="1"/>
  <c r="J121" i="5"/>
  <c r="H87" i="7" s="1"/>
  <c r="J122" i="5"/>
  <c r="H88" i="7" s="1"/>
  <c r="L103" i="5"/>
  <c r="J69" i="7" s="1"/>
  <c r="L107" i="5"/>
  <c r="J73" i="7" s="1"/>
  <c r="L104" i="5"/>
  <c r="J70" i="7" s="1"/>
  <c r="L105" i="5"/>
  <c r="J71" i="7" s="1"/>
  <c r="L102" i="5"/>
  <c r="J68" i="7" s="1"/>
  <c r="L106" i="5"/>
  <c r="J72" i="7" s="1"/>
  <c r="P137" i="5"/>
  <c r="M103" i="7" s="1"/>
  <c r="P135" i="5"/>
  <c r="M101" i="7" s="1"/>
  <c r="P132" i="5"/>
  <c r="M98" i="7" s="1"/>
  <c r="P133" i="5"/>
  <c r="M99" i="7" s="1"/>
  <c r="P134" i="5"/>
  <c r="M100" i="7" s="1"/>
  <c r="P136" i="5"/>
  <c r="M102" i="7" s="1"/>
  <c r="K123" i="5"/>
  <c r="I89" i="7" s="1"/>
  <c r="K124" i="5"/>
  <c r="I90" i="7" s="1"/>
  <c r="K122" i="5"/>
  <c r="I88" i="7" s="1"/>
  <c r="K121" i="5"/>
  <c r="I87" i="7" s="1"/>
  <c r="K120" i="5"/>
  <c r="I86" i="7" s="1"/>
  <c r="K125" i="5"/>
  <c r="I91" i="7" s="1"/>
  <c r="L141" i="5"/>
  <c r="J107" i="7" s="1"/>
  <c r="L139" i="5"/>
  <c r="J105" i="7" s="1"/>
  <c r="L143" i="5"/>
  <c r="J109" i="7" s="1"/>
  <c r="L140" i="5"/>
  <c r="J106" i="7" s="1"/>
  <c r="L142" i="5"/>
  <c r="J108" i="7" s="1"/>
  <c r="L138" i="5"/>
  <c r="J104" i="7" s="1"/>
  <c r="P125" i="5"/>
  <c r="M91" i="7" s="1"/>
  <c r="P120" i="5"/>
  <c r="M86" i="7" s="1"/>
  <c r="P122" i="5"/>
  <c r="M88" i="7" s="1"/>
  <c r="P124" i="5"/>
  <c r="M90" i="7" s="1"/>
  <c r="P121" i="5"/>
  <c r="M87" i="7" s="1"/>
  <c r="P123" i="5"/>
  <c r="N103" i="5"/>
  <c r="K69" i="7" s="1"/>
  <c r="N105" i="5"/>
  <c r="K71" i="7" s="1"/>
  <c r="N102" i="5"/>
  <c r="K68" i="7" s="1"/>
  <c r="N106" i="5"/>
  <c r="K72" i="7" s="1"/>
  <c r="N107" i="5"/>
  <c r="K73" i="7" s="1"/>
  <c r="N104" i="5"/>
  <c r="K70" i="7" s="1"/>
  <c r="J132" i="5"/>
  <c r="H98" i="7" s="1"/>
  <c r="J133" i="5"/>
  <c r="H99" i="7" s="1"/>
  <c r="J136" i="5"/>
  <c r="H102" i="7" s="1"/>
  <c r="J135" i="5"/>
  <c r="H101" i="7" s="1"/>
  <c r="J137" i="5"/>
  <c r="H103" i="7" s="1"/>
  <c r="J134" i="5"/>
  <c r="H100" i="7" s="1"/>
  <c r="O138" i="5"/>
  <c r="L104" i="7" s="1"/>
  <c r="O139" i="5"/>
  <c r="L105" i="7" s="1"/>
  <c r="O143" i="5"/>
  <c r="L109" i="7" s="1"/>
  <c r="O142" i="5"/>
  <c r="L108" i="7" s="1"/>
  <c r="O141" i="5"/>
  <c r="L107" i="7" s="1"/>
  <c r="O140" i="5"/>
  <c r="L106" i="7" s="1"/>
  <c r="K104" i="5"/>
  <c r="I70" i="7" s="1"/>
  <c r="K106" i="5"/>
  <c r="I72" i="7" s="1"/>
  <c r="K102" i="5"/>
  <c r="I68" i="7" s="1"/>
  <c r="K105" i="5"/>
  <c r="I71" i="7" s="1"/>
  <c r="K107" i="5"/>
  <c r="I73" i="7" s="1"/>
  <c r="K103" i="5"/>
  <c r="I69" i="7" s="1"/>
  <c r="O134" i="5"/>
  <c r="L100" i="7" s="1"/>
  <c r="O133" i="5"/>
  <c r="L99" i="7" s="1"/>
  <c r="O135" i="5"/>
  <c r="L101" i="7" s="1"/>
  <c r="O136" i="5"/>
  <c r="L102" i="7" s="1"/>
  <c r="O137" i="5"/>
  <c r="L103" i="7" s="1"/>
  <c r="O132" i="5"/>
  <c r="L98" i="7" s="1"/>
  <c r="J143" i="5"/>
  <c r="H109" i="7" s="1"/>
  <c r="J142" i="5"/>
  <c r="H108" i="7" s="1"/>
  <c r="J138" i="5"/>
  <c r="H104" i="7" s="1"/>
  <c r="J140" i="5"/>
  <c r="H106" i="7" s="1"/>
  <c r="J139" i="5"/>
  <c r="H105" i="7" s="1"/>
  <c r="J141" i="5"/>
  <c r="H107" i="7" s="1"/>
  <c r="J105" i="5"/>
  <c r="H71" i="7" s="1"/>
  <c r="J102" i="5"/>
  <c r="H68" i="7" s="1"/>
  <c r="J106" i="5"/>
  <c r="H72" i="7" s="1"/>
  <c r="J107" i="5"/>
  <c r="H73" i="7" s="1"/>
  <c r="J104" i="5"/>
  <c r="H70" i="7" s="1"/>
  <c r="J103" i="5"/>
  <c r="H69" i="7" s="1"/>
  <c r="N137" i="5"/>
  <c r="K103" i="7" s="1"/>
  <c r="N135" i="5"/>
  <c r="K101" i="7" s="1"/>
  <c r="N132" i="5"/>
  <c r="K98" i="7" s="1"/>
  <c r="N136" i="5"/>
  <c r="K102" i="7" s="1"/>
  <c r="N134" i="5"/>
  <c r="K100" i="7" s="1"/>
  <c r="N133" i="5"/>
  <c r="K99" i="7" s="1"/>
  <c r="P140" i="5"/>
  <c r="M106" i="7" s="1"/>
  <c r="P139" i="5"/>
  <c r="M105" i="7" s="1"/>
  <c r="P138" i="5"/>
  <c r="M104" i="7" s="1"/>
  <c r="P143" i="5"/>
  <c r="M109" i="7" s="1"/>
  <c r="P141" i="5"/>
  <c r="M107" i="7" s="1"/>
  <c r="P142" i="5"/>
  <c r="M108" i="7" s="1"/>
  <c r="E10" i="9"/>
  <c r="F10" i="9" s="1"/>
  <c r="G10" i="9" s="1"/>
  <c r="H10" i="9" s="1"/>
  <c r="F10" i="6"/>
  <c r="R10" i="6" s="1"/>
  <c r="L90" i="7"/>
  <c r="AC163" i="4"/>
  <c r="AC159" i="4"/>
  <c r="AC162" i="4"/>
  <c r="AC160" i="4"/>
  <c r="AC161" i="4"/>
  <c r="AC158" i="4"/>
  <c r="L120" i="6"/>
  <c r="L122" i="6"/>
  <c r="L117" i="6"/>
  <c r="L121" i="6"/>
  <c r="L119" i="6"/>
  <c r="L118" i="6"/>
  <c r="AC91" i="4"/>
  <c r="AC90" i="4"/>
  <c r="AC86" i="4"/>
  <c r="AC89" i="4"/>
  <c r="AC88" i="4"/>
  <c r="AC87" i="4"/>
  <c r="P121" i="6"/>
  <c r="P119" i="6"/>
  <c r="P118" i="6"/>
  <c r="P120" i="6"/>
  <c r="P117" i="6"/>
  <c r="P122" i="6"/>
  <c r="F6" i="6"/>
  <c r="R6" i="6" s="1"/>
  <c r="E6" i="9"/>
  <c r="F6" i="9" s="1"/>
  <c r="G6" i="9" s="1"/>
  <c r="H6" i="9" s="1"/>
  <c r="AI87" i="4"/>
  <c r="AI89" i="4"/>
  <c r="AI86" i="4"/>
  <c r="AI90" i="4"/>
  <c r="AI91" i="4"/>
  <c r="AI88" i="4"/>
  <c r="AH161" i="4"/>
  <c r="AH158" i="4"/>
  <c r="AH160" i="4"/>
  <c r="AH159" i="4"/>
  <c r="AH163" i="4"/>
  <c r="AH162" i="4"/>
  <c r="M89" i="7"/>
  <c r="L132" i="6"/>
  <c r="L134" i="6"/>
  <c r="L133" i="6"/>
  <c r="L130" i="6"/>
  <c r="L129" i="6"/>
  <c r="L131" i="6"/>
  <c r="P101" i="6"/>
  <c r="P100" i="6"/>
  <c r="P99" i="6"/>
  <c r="P103" i="6"/>
  <c r="P102" i="6"/>
  <c r="P104" i="6"/>
  <c r="F9" i="6"/>
  <c r="R9" i="6" s="1"/>
  <c r="E9" i="9"/>
  <c r="F9" i="9" s="1"/>
  <c r="G9" i="9" s="1"/>
  <c r="H9" i="9" s="1"/>
  <c r="F4" i="6"/>
  <c r="R4" i="6" s="1"/>
  <c r="E4" i="9"/>
  <c r="F4" i="9" s="1"/>
  <c r="G4" i="9" s="1"/>
  <c r="H4" i="9" s="1"/>
  <c r="E11" i="9"/>
  <c r="F11" i="9" s="1"/>
  <c r="G11" i="9" s="1"/>
  <c r="H11" i="9" s="1"/>
  <c r="F11" i="6"/>
  <c r="R11" i="6" s="1"/>
  <c r="AE90" i="4"/>
  <c r="AE91" i="4"/>
  <c r="AE87" i="4"/>
  <c r="AE88" i="4"/>
  <c r="AE86" i="4"/>
  <c r="AE89" i="4"/>
  <c r="AI136" i="4"/>
  <c r="AI137" i="4"/>
  <c r="AI139" i="4"/>
  <c r="AI134" i="4"/>
  <c r="AI138" i="4"/>
  <c r="AI135" i="4"/>
  <c r="AC184" i="4"/>
  <c r="AC185" i="4"/>
  <c r="AC183" i="4"/>
  <c r="AC186" i="4"/>
  <c r="AC187" i="4"/>
  <c r="AC182" i="4"/>
  <c r="AI85" i="4"/>
  <c r="AI83" i="4"/>
  <c r="AI82" i="4"/>
  <c r="AI81" i="4"/>
  <c r="AI80" i="4"/>
  <c r="AI84" i="4"/>
  <c r="AH114" i="4"/>
  <c r="AH115" i="4"/>
  <c r="AH113" i="4"/>
  <c r="AH111" i="4"/>
  <c r="AH112" i="4"/>
  <c r="AH110" i="4"/>
  <c r="AH86" i="4"/>
  <c r="AH91" i="4"/>
  <c r="AH89" i="4"/>
  <c r="AH88" i="4"/>
  <c r="AH90" i="4"/>
  <c r="AH87" i="4"/>
  <c r="AC114" i="4"/>
  <c r="AC115" i="4"/>
  <c r="AC113" i="4"/>
  <c r="AC110" i="4"/>
  <c r="AC111" i="4"/>
  <c r="AC112" i="4"/>
  <c r="AG182" i="4"/>
  <c r="AG185" i="4"/>
  <c r="AG183" i="4"/>
  <c r="AG187" i="4"/>
  <c r="AG186" i="4"/>
  <c r="AG184" i="4"/>
  <c r="Q117" i="6"/>
  <c r="Q122" i="6"/>
  <c r="Q119" i="6"/>
  <c r="Q121" i="6"/>
  <c r="Q118" i="6"/>
  <c r="Q120" i="6"/>
  <c r="Q132" i="6"/>
  <c r="Q133" i="6"/>
  <c r="Q129" i="6"/>
  <c r="Q134" i="6"/>
  <c r="Q130" i="6"/>
  <c r="Q131" i="6"/>
  <c r="M103" i="6"/>
  <c r="M100" i="6"/>
  <c r="M102" i="6"/>
  <c r="M99" i="6"/>
  <c r="M104" i="6"/>
  <c r="M101" i="6"/>
  <c r="E15" i="9"/>
  <c r="F15" i="9" s="1"/>
  <c r="G15" i="9" s="1"/>
  <c r="H15" i="9" s="1"/>
  <c r="F15" i="6"/>
  <c r="R15" i="6" s="1"/>
  <c r="E13" i="9"/>
  <c r="F13" i="9" s="1"/>
  <c r="G13" i="9" s="1"/>
  <c r="H13" i="9" s="1"/>
  <c r="F13" i="6"/>
  <c r="R13" i="6" s="1"/>
  <c r="N140" i="6"/>
  <c r="N139" i="6"/>
  <c r="N136" i="6"/>
  <c r="N135" i="6"/>
  <c r="N138" i="6"/>
  <c r="N137" i="6"/>
  <c r="AH135" i="4"/>
  <c r="AH138" i="4"/>
  <c r="AH134" i="4"/>
  <c r="AH139" i="4"/>
  <c r="AH136" i="4"/>
  <c r="AH137" i="4"/>
  <c r="AE184" i="4"/>
  <c r="AE182" i="4"/>
  <c r="AE185" i="4"/>
  <c r="AE183" i="4"/>
  <c r="AE187" i="4"/>
  <c r="AE186" i="4"/>
  <c r="AE81" i="4"/>
  <c r="AE85" i="4"/>
  <c r="AE84" i="4"/>
  <c r="AE83" i="4"/>
  <c r="AE80" i="4"/>
  <c r="AE82" i="4"/>
  <c r="AH83" i="4"/>
  <c r="AH81" i="4"/>
  <c r="AH80" i="4"/>
  <c r="AH82" i="4"/>
  <c r="AH84" i="4"/>
  <c r="AH85" i="4"/>
  <c r="AD113" i="4"/>
  <c r="AD115" i="4"/>
  <c r="AD112" i="4"/>
  <c r="AD111" i="4"/>
  <c r="AD110" i="4"/>
  <c r="AD114" i="4"/>
  <c r="M120" i="6"/>
  <c r="M117" i="6"/>
  <c r="M121" i="6"/>
  <c r="M118" i="6"/>
  <c r="M119" i="6"/>
  <c r="M122" i="6"/>
  <c r="AI184" i="4"/>
  <c r="AI187" i="4"/>
  <c r="AI185" i="4"/>
  <c r="AI183" i="4"/>
  <c r="AI182" i="4"/>
  <c r="AI186" i="4"/>
  <c r="AD159" i="4"/>
  <c r="AD163" i="4"/>
  <c r="AD160" i="4"/>
  <c r="AD161" i="4"/>
  <c r="AD158" i="4"/>
  <c r="AD162" i="4"/>
  <c r="AE134" i="4"/>
  <c r="AE135" i="4"/>
  <c r="AE139" i="4"/>
  <c r="AE136" i="4"/>
  <c r="AE137" i="4"/>
  <c r="AE138" i="4"/>
  <c r="AC80" i="4"/>
  <c r="AC82" i="4"/>
  <c r="AC81" i="4"/>
  <c r="AC84" i="4"/>
  <c r="AC85" i="4"/>
  <c r="AC83" i="4"/>
  <c r="L102" i="6"/>
  <c r="L99" i="6"/>
  <c r="L100" i="6"/>
  <c r="L104" i="6"/>
  <c r="L101" i="6"/>
  <c r="L103" i="6"/>
  <c r="R139" i="6"/>
  <c r="R137" i="6"/>
  <c r="R140" i="6"/>
  <c r="R138" i="6"/>
  <c r="R135" i="6"/>
  <c r="R136" i="6"/>
  <c r="AG89" i="4"/>
  <c r="AG91" i="4"/>
  <c r="AG87" i="4"/>
  <c r="AG88" i="4"/>
  <c r="AG90" i="4"/>
  <c r="AG86" i="4"/>
  <c r="AG81" i="4"/>
  <c r="AG80" i="4"/>
  <c r="AG85" i="4"/>
  <c r="AG83" i="4"/>
  <c r="AG82" i="4"/>
  <c r="AG84" i="4"/>
  <c r="F16" i="6"/>
  <c r="R16" i="6" s="1"/>
  <c r="E16" i="9"/>
  <c r="F16" i="9" s="1"/>
  <c r="G16" i="9" s="1"/>
  <c r="H16" i="9" s="1"/>
  <c r="AE114" i="4"/>
  <c r="AE112" i="4"/>
  <c r="AE111" i="4"/>
  <c r="AE110" i="4"/>
  <c r="AE115" i="4"/>
  <c r="AE113" i="4"/>
  <c r="R117" i="6"/>
  <c r="R119" i="6"/>
  <c r="R122" i="6"/>
  <c r="R118" i="6"/>
  <c r="R121" i="6"/>
  <c r="R120" i="6"/>
  <c r="N117" i="6"/>
  <c r="N120" i="6"/>
  <c r="N122" i="6"/>
  <c r="N118" i="6"/>
  <c r="N121" i="6"/>
  <c r="N119" i="6"/>
  <c r="N130" i="6"/>
  <c r="N134" i="6"/>
  <c r="N132" i="6"/>
  <c r="N129" i="6"/>
  <c r="N133" i="6"/>
  <c r="N131" i="6"/>
  <c r="P133" i="6"/>
  <c r="P131" i="6"/>
  <c r="P132" i="6"/>
  <c r="P130" i="6"/>
  <c r="P129" i="6"/>
  <c r="P134" i="6"/>
  <c r="R99" i="6"/>
  <c r="R101" i="6"/>
  <c r="R100" i="6"/>
  <c r="R104" i="6"/>
  <c r="R102" i="6"/>
  <c r="R103" i="6"/>
  <c r="E5" i="9"/>
  <c r="F5" i="9" s="1"/>
  <c r="G5" i="9" s="1"/>
  <c r="H5" i="9" s="1"/>
  <c r="F5" i="6"/>
  <c r="R5" i="6" s="1"/>
  <c r="F18" i="6"/>
  <c r="R18" i="6" s="1"/>
  <c r="E18" i="9"/>
  <c r="F18" i="9" s="1"/>
  <c r="G18" i="9" s="1"/>
  <c r="H18" i="9" s="1"/>
  <c r="Q137" i="6"/>
  <c r="Q135" i="6"/>
  <c r="Q138" i="6"/>
  <c r="Q140" i="6"/>
  <c r="Q136" i="6"/>
  <c r="Q139" i="6"/>
  <c r="P137" i="6"/>
  <c r="P135" i="6"/>
  <c r="P136" i="6"/>
  <c r="P138" i="6"/>
  <c r="P139" i="6"/>
  <c r="P140" i="6"/>
  <c r="AD86" i="4"/>
  <c r="AD87" i="4"/>
  <c r="AD88" i="4"/>
  <c r="AD90" i="4"/>
  <c r="AD91" i="4"/>
  <c r="AD89" i="4"/>
  <c r="AG139" i="4"/>
  <c r="AG138" i="4"/>
  <c r="AG136" i="4"/>
  <c r="AG135" i="4"/>
  <c r="AG137" i="4"/>
  <c r="AG134" i="4"/>
  <c r="AE159" i="4"/>
  <c r="AE161" i="4"/>
  <c r="AE158" i="4"/>
  <c r="AE162" i="4"/>
  <c r="AE163" i="4"/>
  <c r="AE160" i="4"/>
  <c r="AG160" i="4"/>
  <c r="AG161" i="4"/>
  <c r="AG159" i="4"/>
  <c r="AG162" i="4"/>
  <c r="AG158" i="4"/>
  <c r="AG163" i="4"/>
  <c r="AI111" i="4"/>
  <c r="AI110" i="4"/>
  <c r="AI113" i="4"/>
  <c r="AI114" i="4"/>
  <c r="AI115" i="4"/>
  <c r="AI112" i="4"/>
  <c r="L135" i="6"/>
  <c r="L137" i="6"/>
  <c r="L138" i="6"/>
  <c r="L139" i="6"/>
  <c r="L136" i="6"/>
  <c r="L140" i="6"/>
  <c r="AD138" i="4"/>
  <c r="AD134" i="4"/>
  <c r="AD136" i="4"/>
  <c r="AD135" i="4"/>
  <c r="AD139" i="4"/>
  <c r="AD137" i="4"/>
  <c r="AH187" i="4"/>
  <c r="AH186" i="4"/>
  <c r="AH185" i="4"/>
  <c r="AH182" i="4"/>
  <c r="AH184" i="4"/>
  <c r="AH183" i="4"/>
  <c r="R129" i="6"/>
  <c r="R134" i="6"/>
  <c r="R132" i="6"/>
  <c r="R133" i="6"/>
  <c r="R130" i="6"/>
  <c r="R131" i="6"/>
  <c r="AI161" i="4"/>
  <c r="AI162" i="4"/>
  <c r="AI158" i="4"/>
  <c r="AI160" i="4"/>
  <c r="AI163" i="4"/>
  <c r="AI159" i="4"/>
  <c r="M139" i="6"/>
  <c r="M135" i="6"/>
  <c r="M136" i="6"/>
  <c r="M138" i="6"/>
  <c r="M140" i="6"/>
  <c r="M137" i="6"/>
  <c r="AC135" i="4"/>
  <c r="AC139" i="4"/>
  <c r="AC136" i="4"/>
  <c r="AC137" i="4"/>
  <c r="AC134" i="4"/>
  <c r="AC138" i="4"/>
  <c r="M130" i="6"/>
  <c r="M133" i="6"/>
  <c r="M129" i="6"/>
  <c r="M131" i="6"/>
  <c r="M134" i="6"/>
  <c r="M132" i="6"/>
  <c r="N104" i="6"/>
  <c r="N101" i="6"/>
  <c r="N103" i="6"/>
  <c r="N102" i="6"/>
  <c r="N100" i="6"/>
  <c r="N99" i="6"/>
  <c r="Q100" i="6"/>
  <c r="Q104" i="6"/>
  <c r="Q102" i="6"/>
  <c r="Q99" i="6"/>
  <c r="Q101" i="6"/>
  <c r="Q103" i="6"/>
  <c r="E12" i="9"/>
  <c r="F12" i="9" s="1"/>
  <c r="G12" i="9" s="1"/>
  <c r="H12" i="9" s="1"/>
  <c r="F12" i="6"/>
  <c r="R12" i="6" s="1"/>
  <c r="AD186" i="4"/>
  <c r="AD184" i="4"/>
  <c r="AD185" i="4"/>
  <c r="AD187" i="4"/>
  <c r="AD182" i="4"/>
  <c r="AD183" i="4"/>
  <c r="AD84" i="4"/>
  <c r="AD85" i="4"/>
  <c r="AD83" i="4"/>
  <c r="AD80" i="4"/>
  <c r="AD82" i="4"/>
  <c r="AD81" i="4"/>
  <c r="AG114" i="4"/>
  <c r="AG115" i="4"/>
  <c r="AG112" i="4"/>
  <c r="AG110" i="4"/>
  <c r="AG113" i="4"/>
  <c r="AG111" i="4"/>
  <c r="N11" i="6"/>
  <c r="O11" i="6"/>
  <c r="K11" i="6"/>
  <c r="L11" i="6"/>
  <c r="P11" i="6"/>
  <c r="J11" i="6"/>
  <c r="N16" i="6"/>
  <c r="J16" i="6"/>
  <c r="K16" i="6"/>
  <c r="O16" i="6"/>
  <c r="P16" i="6"/>
  <c r="L16" i="6"/>
  <c r="J12" i="6"/>
  <c r="N12" i="6"/>
  <c r="O12" i="6"/>
  <c r="K12" i="6"/>
  <c r="L12" i="6"/>
  <c r="P12" i="6"/>
  <c r="J15" i="6"/>
  <c r="K15" i="6"/>
  <c r="N15" i="6"/>
  <c r="L15" i="6"/>
  <c r="O15" i="6"/>
  <c r="P15" i="6"/>
  <c r="K10" i="6"/>
  <c r="L10" i="6"/>
  <c r="O10" i="6"/>
  <c r="N10" i="6"/>
  <c r="P10" i="6"/>
  <c r="J10" i="6"/>
  <c r="P9" i="6"/>
  <c r="L9" i="6"/>
  <c r="O9" i="6"/>
  <c r="J9" i="6"/>
  <c r="K9" i="6"/>
  <c r="N9" i="6"/>
  <c r="J5" i="6"/>
  <c r="K5" i="6"/>
  <c r="O5" i="6"/>
  <c r="P5" i="6"/>
  <c r="L5" i="6"/>
  <c r="N5" i="6"/>
  <c r="K18" i="6"/>
  <c r="L18" i="6"/>
  <c r="P18" i="6"/>
  <c r="J18" i="6"/>
  <c r="N18" i="6"/>
  <c r="O18" i="6"/>
  <c r="N6" i="6"/>
  <c r="L6" i="6"/>
  <c r="O6" i="6"/>
  <c r="P6" i="6"/>
  <c r="J6" i="6"/>
  <c r="K6" i="6"/>
  <c r="L13" i="6"/>
  <c r="K13" i="6"/>
  <c r="N13" i="6"/>
  <c r="O13" i="6"/>
  <c r="P13" i="6"/>
  <c r="J13" i="6"/>
  <c r="P4" i="6"/>
  <c r="J4" i="6"/>
  <c r="K4" i="6"/>
  <c r="L4" i="6"/>
  <c r="N4" i="6"/>
  <c r="O4" i="6"/>
  <c r="Q17" i="5"/>
  <c r="R17" i="5"/>
  <c r="S17" i="5"/>
  <c r="O17" i="5"/>
  <c r="M17" i="5"/>
  <c r="N17" i="5"/>
  <c r="N19" i="5"/>
  <c r="O19" i="5"/>
  <c r="Q19" i="5"/>
  <c r="M19" i="5"/>
  <c r="R19" i="5"/>
  <c r="S19" i="5"/>
  <c r="O14" i="5"/>
  <c r="S14" i="5"/>
  <c r="Q14" i="5"/>
  <c r="R14" i="5"/>
  <c r="M14" i="5"/>
  <c r="N14" i="5"/>
  <c r="Q12" i="5"/>
  <c r="R12" i="5"/>
  <c r="M12" i="5"/>
  <c r="S12" i="5"/>
  <c r="N12" i="5"/>
  <c r="O12" i="5"/>
  <c r="K85" i="5" l="1"/>
  <c r="I51" i="7" s="1"/>
  <c r="K86" i="5"/>
  <c r="I52" i="7" s="1"/>
  <c r="K89" i="5"/>
  <c r="I55" i="7" s="1"/>
  <c r="K84" i="5"/>
  <c r="I50" i="7" s="1"/>
  <c r="K88" i="5"/>
  <c r="I54" i="7" s="1"/>
  <c r="K87" i="5"/>
  <c r="I53" i="7" s="1"/>
  <c r="N96" i="5"/>
  <c r="K62" i="7" s="1"/>
  <c r="N100" i="5"/>
  <c r="K66" i="7" s="1"/>
  <c r="N98" i="5"/>
  <c r="K64" i="7" s="1"/>
  <c r="N99" i="5"/>
  <c r="K65" i="7" s="1"/>
  <c r="N101" i="5"/>
  <c r="K67" i="7" s="1"/>
  <c r="N97" i="5"/>
  <c r="K63" i="7" s="1"/>
  <c r="K128" i="5"/>
  <c r="I94" i="7" s="1"/>
  <c r="K129" i="5"/>
  <c r="I95" i="7" s="1"/>
  <c r="K127" i="5"/>
  <c r="I93" i="7" s="1"/>
  <c r="K131" i="5"/>
  <c r="I97" i="7" s="1"/>
  <c r="K130" i="5"/>
  <c r="I96" i="7" s="1"/>
  <c r="K126" i="5"/>
  <c r="I92" i="7" s="1"/>
  <c r="P86" i="5"/>
  <c r="M52" i="7" s="1"/>
  <c r="P87" i="5"/>
  <c r="M53" i="7" s="1"/>
  <c r="P89" i="5"/>
  <c r="M55" i="7" s="1"/>
  <c r="P84" i="5"/>
  <c r="M50" i="7" s="1"/>
  <c r="P88" i="5"/>
  <c r="M54" i="7" s="1"/>
  <c r="P85" i="5"/>
  <c r="M51" i="7" s="1"/>
  <c r="P100" i="5"/>
  <c r="P96" i="5"/>
  <c r="P101" i="5"/>
  <c r="M67" i="7" s="1"/>
  <c r="P98" i="5"/>
  <c r="M64" i="7" s="1"/>
  <c r="P99" i="5"/>
  <c r="M65" i="7" s="1"/>
  <c r="P97" i="5"/>
  <c r="M63" i="7" s="1"/>
  <c r="K118" i="5"/>
  <c r="I84" i="7" s="1"/>
  <c r="K116" i="5"/>
  <c r="I82" i="7" s="1"/>
  <c r="K115" i="5"/>
  <c r="I81" i="7" s="1"/>
  <c r="K119" i="5"/>
  <c r="I85" i="7" s="1"/>
  <c r="K114" i="5"/>
  <c r="I80" i="7" s="1"/>
  <c r="K117" i="5"/>
  <c r="I83" i="7" s="1"/>
  <c r="L89" i="5"/>
  <c r="J55" i="7" s="1"/>
  <c r="L86" i="5"/>
  <c r="J52" i="7" s="1"/>
  <c r="L87" i="5"/>
  <c r="J53" i="7" s="1"/>
  <c r="L84" i="5"/>
  <c r="J50" i="7" s="1"/>
  <c r="L88" i="5"/>
  <c r="J54" i="7" s="1"/>
  <c r="L85" i="5"/>
  <c r="J51" i="7" s="1"/>
  <c r="L97" i="5"/>
  <c r="J63" i="7" s="1"/>
  <c r="L99" i="5"/>
  <c r="J65" i="7" s="1"/>
  <c r="L98" i="5"/>
  <c r="J64" i="7" s="1"/>
  <c r="L100" i="5"/>
  <c r="J66" i="7" s="1"/>
  <c r="L101" i="5"/>
  <c r="J67" i="7" s="1"/>
  <c r="L96" i="5"/>
  <c r="J62" i="7" s="1"/>
  <c r="O86" i="5"/>
  <c r="L52" i="7" s="1"/>
  <c r="O84" i="5"/>
  <c r="L50" i="7" s="1"/>
  <c r="O87" i="5"/>
  <c r="L53" i="7" s="1"/>
  <c r="O89" i="5"/>
  <c r="L55" i="7" s="1"/>
  <c r="O85" i="5"/>
  <c r="L51" i="7" s="1"/>
  <c r="O88" i="5"/>
  <c r="L54" i="7" s="1"/>
  <c r="P128" i="5"/>
  <c r="M94" i="7" s="1"/>
  <c r="P126" i="5"/>
  <c r="M92" i="7" s="1"/>
  <c r="P131" i="5"/>
  <c r="M97" i="7" s="1"/>
  <c r="P129" i="5"/>
  <c r="M95" i="7" s="1"/>
  <c r="P127" i="5"/>
  <c r="M93" i="7" s="1"/>
  <c r="P130" i="5"/>
  <c r="M96" i="7" s="1"/>
  <c r="L119" i="5"/>
  <c r="J85" i="7" s="1"/>
  <c r="L118" i="5"/>
  <c r="J84" i="7" s="1"/>
  <c r="L116" i="5"/>
  <c r="J82" i="7" s="1"/>
  <c r="L114" i="5"/>
  <c r="J80" i="7" s="1"/>
  <c r="L115" i="5"/>
  <c r="J81" i="7" s="1"/>
  <c r="L117" i="5"/>
  <c r="J83" i="7" s="1"/>
  <c r="O101" i="5"/>
  <c r="L67" i="7" s="1"/>
  <c r="O96" i="5"/>
  <c r="L62" i="7" s="1"/>
  <c r="O100" i="5"/>
  <c r="L66" i="7" s="1"/>
  <c r="O97" i="5"/>
  <c r="L63" i="7" s="1"/>
  <c r="O99" i="5"/>
  <c r="L65" i="7" s="1"/>
  <c r="O98" i="5"/>
  <c r="L64" i="7" s="1"/>
  <c r="L130" i="5"/>
  <c r="J96" i="7" s="1"/>
  <c r="L131" i="5"/>
  <c r="J97" i="7" s="1"/>
  <c r="L126" i="5"/>
  <c r="J92" i="7" s="1"/>
  <c r="L128" i="5"/>
  <c r="J94" i="7" s="1"/>
  <c r="L129" i="5"/>
  <c r="J95" i="7" s="1"/>
  <c r="L127" i="5"/>
  <c r="J93" i="7" s="1"/>
  <c r="J86" i="5"/>
  <c r="H52" i="7" s="1"/>
  <c r="J87" i="5"/>
  <c r="H53" i="7" s="1"/>
  <c r="J85" i="5"/>
  <c r="H51" i="7" s="1"/>
  <c r="J84" i="5"/>
  <c r="H50" i="7" s="1"/>
  <c r="J89" i="5"/>
  <c r="H55" i="7" s="1"/>
  <c r="J88" i="5"/>
  <c r="H54" i="7" s="1"/>
  <c r="J115" i="5"/>
  <c r="H81" i="7" s="1"/>
  <c r="J119" i="5"/>
  <c r="H85" i="7" s="1"/>
  <c r="J118" i="5"/>
  <c r="H84" i="7" s="1"/>
  <c r="J116" i="5"/>
  <c r="H82" i="7" s="1"/>
  <c r="J117" i="5"/>
  <c r="H83" i="7" s="1"/>
  <c r="J114" i="5"/>
  <c r="H80" i="7" s="1"/>
  <c r="N86" i="5"/>
  <c r="K52" i="7" s="1"/>
  <c r="N87" i="5"/>
  <c r="K53" i="7" s="1"/>
  <c r="N89" i="5"/>
  <c r="K55" i="7" s="1"/>
  <c r="N88" i="5"/>
  <c r="K54" i="7" s="1"/>
  <c r="N85" i="5"/>
  <c r="K51" i="7" s="1"/>
  <c r="N84" i="5"/>
  <c r="K50" i="7" s="1"/>
  <c r="O127" i="5"/>
  <c r="L93" i="7" s="1"/>
  <c r="O129" i="5"/>
  <c r="L95" i="7" s="1"/>
  <c r="O126" i="5"/>
  <c r="L92" i="7" s="1"/>
  <c r="O131" i="5"/>
  <c r="L97" i="7" s="1"/>
  <c r="O130" i="5"/>
  <c r="L96" i="7" s="1"/>
  <c r="O128" i="5"/>
  <c r="L94" i="7" s="1"/>
  <c r="P117" i="5"/>
  <c r="M83" i="7" s="1"/>
  <c r="P116" i="5"/>
  <c r="M82" i="7" s="1"/>
  <c r="P114" i="5"/>
  <c r="M80" i="7" s="1"/>
  <c r="P119" i="5"/>
  <c r="M85" i="7" s="1"/>
  <c r="P115" i="5"/>
  <c r="M81" i="7" s="1"/>
  <c r="P118" i="5"/>
  <c r="M84" i="7" s="1"/>
  <c r="K98" i="5"/>
  <c r="I64" i="7" s="1"/>
  <c r="K96" i="5"/>
  <c r="I62" i="7" s="1"/>
  <c r="K100" i="5"/>
  <c r="I66" i="7" s="1"/>
  <c r="K97" i="5"/>
  <c r="I63" i="7" s="1"/>
  <c r="K99" i="5"/>
  <c r="I65" i="7" s="1"/>
  <c r="K101" i="5"/>
  <c r="I67" i="7" s="1"/>
  <c r="J131" i="5"/>
  <c r="H97" i="7" s="1"/>
  <c r="J128" i="5"/>
  <c r="H94" i="7" s="1"/>
  <c r="J127" i="5"/>
  <c r="H93" i="7" s="1"/>
  <c r="J126" i="5"/>
  <c r="H92" i="7" s="1"/>
  <c r="J130" i="5"/>
  <c r="H96" i="7" s="1"/>
  <c r="J129" i="5"/>
  <c r="H95" i="7" s="1"/>
  <c r="O114" i="5"/>
  <c r="L80" i="7" s="1"/>
  <c r="O117" i="5"/>
  <c r="L83" i="7" s="1"/>
  <c r="O118" i="5"/>
  <c r="L84" i="7" s="1"/>
  <c r="O116" i="5"/>
  <c r="L82" i="7" s="1"/>
  <c r="O115" i="5"/>
  <c r="L81" i="7" s="1"/>
  <c r="O119" i="5"/>
  <c r="L85" i="7" s="1"/>
  <c r="J100" i="5"/>
  <c r="H66" i="7" s="1"/>
  <c r="J97" i="5"/>
  <c r="H63" i="7" s="1"/>
  <c r="J98" i="5"/>
  <c r="H64" i="7" s="1"/>
  <c r="J101" i="5"/>
  <c r="H67" i="7" s="1"/>
  <c r="J96" i="5"/>
  <c r="H62" i="7" s="1"/>
  <c r="J99" i="5"/>
  <c r="H65" i="7" s="1"/>
  <c r="N129" i="5"/>
  <c r="K95" i="7" s="1"/>
  <c r="N127" i="5"/>
  <c r="K93" i="7" s="1"/>
  <c r="N126" i="5"/>
  <c r="K92" i="7" s="1"/>
  <c r="N130" i="5"/>
  <c r="K96" i="7" s="1"/>
  <c r="N128" i="5"/>
  <c r="K94" i="7" s="1"/>
  <c r="N131" i="5"/>
  <c r="K97" i="7" s="1"/>
  <c r="N119" i="5"/>
  <c r="K85" i="7" s="1"/>
  <c r="N117" i="5"/>
  <c r="K83" i="7" s="1"/>
  <c r="N114" i="5"/>
  <c r="K80" i="7" s="1"/>
  <c r="N115" i="5"/>
  <c r="K81" i="7" s="1"/>
  <c r="N118" i="5"/>
  <c r="K84" i="7" s="1"/>
  <c r="N116" i="5"/>
  <c r="K82" i="7" s="1"/>
  <c r="M66" i="7"/>
  <c r="M62" i="7"/>
  <c r="P127" i="6"/>
  <c r="P126" i="6"/>
  <c r="P125" i="6"/>
  <c r="P124" i="6"/>
  <c r="P128" i="6"/>
  <c r="P123" i="6"/>
  <c r="Q92" i="6"/>
  <c r="Q88" i="6"/>
  <c r="Q87" i="6"/>
  <c r="Q91" i="6"/>
  <c r="Q90" i="6"/>
  <c r="Q89" i="6"/>
  <c r="AE40" i="4"/>
  <c r="AE41" i="4"/>
  <c r="AE38" i="4"/>
  <c r="AE39" i="4"/>
  <c r="AE43" i="4"/>
  <c r="AE42" i="4"/>
  <c r="AD153" i="4"/>
  <c r="AD152" i="4"/>
  <c r="AD154" i="4"/>
  <c r="AD156" i="4"/>
  <c r="AD157" i="4"/>
  <c r="AD155" i="4"/>
  <c r="I81" i="4"/>
  <c r="S81" i="4"/>
  <c r="V163" i="4"/>
  <c r="L163" i="4"/>
  <c r="V138" i="4"/>
  <c r="L138" i="4"/>
  <c r="T183" i="4"/>
  <c r="J183" i="4"/>
  <c r="P95" i="6"/>
  <c r="P96" i="6"/>
  <c r="P98" i="6"/>
  <c r="P94" i="6"/>
  <c r="P97" i="6"/>
  <c r="P93" i="6"/>
  <c r="R74" i="6"/>
  <c r="R69" i="6"/>
  <c r="R73" i="6"/>
  <c r="R71" i="6"/>
  <c r="R70" i="6"/>
  <c r="R72" i="6"/>
  <c r="R85" i="6"/>
  <c r="R86" i="6"/>
  <c r="R83" i="6"/>
  <c r="R82" i="6"/>
  <c r="R81" i="6"/>
  <c r="R84" i="6"/>
  <c r="AH131" i="4"/>
  <c r="AH128" i="4"/>
  <c r="AH133" i="4"/>
  <c r="AH129" i="4"/>
  <c r="AH130" i="4"/>
  <c r="AH132" i="4"/>
  <c r="S136" i="4"/>
  <c r="I136" i="4"/>
  <c r="T114" i="4"/>
  <c r="J114" i="4"/>
  <c r="V90" i="4"/>
  <c r="L90" i="4"/>
  <c r="R88" i="4"/>
  <c r="H88" i="4"/>
  <c r="M98" i="6"/>
  <c r="M97" i="6"/>
  <c r="M96" i="6"/>
  <c r="M95" i="6"/>
  <c r="M94" i="6"/>
  <c r="M93" i="6"/>
  <c r="N48" i="6"/>
  <c r="N49" i="6"/>
  <c r="N46" i="6"/>
  <c r="N45" i="6"/>
  <c r="N50" i="6"/>
  <c r="N47" i="6"/>
  <c r="M111" i="6"/>
  <c r="M115" i="6"/>
  <c r="M112" i="6"/>
  <c r="M114" i="6"/>
  <c r="M113" i="6"/>
  <c r="M116" i="6"/>
  <c r="AC181" i="4"/>
  <c r="AC179" i="4"/>
  <c r="AC177" i="4"/>
  <c r="AC178" i="4"/>
  <c r="AC180" i="4"/>
  <c r="AC176" i="4"/>
  <c r="S184" i="4"/>
  <c r="I184" i="4"/>
  <c r="R137" i="4"/>
  <c r="H137" i="4"/>
  <c r="S162" i="4"/>
  <c r="I162" i="4"/>
  <c r="W85" i="4"/>
  <c r="M85" i="4"/>
  <c r="L109" i="6"/>
  <c r="L107" i="6"/>
  <c r="L110" i="6"/>
  <c r="L106" i="6"/>
  <c r="L108" i="6"/>
  <c r="L105" i="6"/>
  <c r="AC77" i="4"/>
  <c r="AC74" i="4"/>
  <c r="AC78" i="4"/>
  <c r="AC79" i="4"/>
  <c r="AC75" i="4"/>
  <c r="AC76" i="4"/>
  <c r="S186" i="4"/>
  <c r="I186" i="4"/>
  <c r="W184" i="4"/>
  <c r="M184" i="4"/>
  <c r="T159" i="4"/>
  <c r="J159" i="4"/>
  <c r="H80" i="4"/>
  <c r="R80" i="4"/>
  <c r="W90" i="4"/>
  <c r="M90" i="4"/>
  <c r="X85" i="4"/>
  <c r="N85" i="4"/>
  <c r="R86" i="4"/>
  <c r="H86" i="4"/>
  <c r="Q109" i="6"/>
  <c r="Q105" i="6"/>
  <c r="Q106" i="6"/>
  <c r="Q110" i="6"/>
  <c r="Q107" i="6"/>
  <c r="Q108" i="6"/>
  <c r="L110" i="4"/>
  <c r="V110" i="4"/>
  <c r="S85" i="4"/>
  <c r="I85" i="4"/>
  <c r="X162" i="4"/>
  <c r="N162" i="4"/>
  <c r="W182" i="4"/>
  <c r="M182" i="4"/>
  <c r="N114" i="4"/>
  <c r="X114" i="4"/>
  <c r="V161" i="4"/>
  <c r="L161" i="4"/>
  <c r="L134" i="4"/>
  <c r="V134" i="4"/>
  <c r="S90" i="4"/>
  <c r="I90" i="4"/>
  <c r="T113" i="4"/>
  <c r="J113" i="4"/>
  <c r="L83" i="4"/>
  <c r="V83" i="4"/>
  <c r="V91" i="4"/>
  <c r="L91" i="4"/>
  <c r="T138" i="4"/>
  <c r="J138" i="4"/>
  <c r="I161" i="4"/>
  <c r="S161" i="4"/>
  <c r="X187" i="4"/>
  <c r="N187" i="4"/>
  <c r="I114" i="4"/>
  <c r="S114" i="4"/>
  <c r="W82" i="4"/>
  <c r="M82" i="4"/>
  <c r="J85" i="4"/>
  <c r="T85" i="4"/>
  <c r="W137" i="4"/>
  <c r="M137" i="4"/>
  <c r="L185" i="4"/>
  <c r="V185" i="4"/>
  <c r="R112" i="4"/>
  <c r="H112" i="4"/>
  <c r="W88" i="4"/>
  <c r="M88" i="4"/>
  <c r="W115" i="4"/>
  <c r="M115" i="4"/>
  <c r="H182" i="4"/>
  <c r="R182" i="4"/>
  <c r="N134" i="4"/>
  <c r="X134" i="4"/>
  <c r="T91" i="4"/>
  <c r="J91" i="4"/>
  <c r="W162" i="4"/>
  <c r="M162" i="4"/>
  <c r="X90" i="4"/>
  <c r="N90" i="4"/>
  <c r="H90" i="4"/>
  <c r="R90" i="4"/>
  <c r="R158" i="4"/>
  <c r="H158" i="4"/>
  <c r="M43" i="6"/>
  <c r="M44" i="6"/>
  <c r="M39" i="6"/>
  <c r="M41" i="6"/>
  <c r="M40" i="6"/>
  <c r="M42" i="6"/>
  <c r="AG104" i="4"/>
  <c r="AG108" i="4"/>
  <c r="AG109" i="4"/>
  <c r="AG105" i="4"/>
  <c r="AG106" i="4"/>
  <c r="AG107" i="4"/>
  <c r="S187" i="4"/>
  <c r="I187" i="4"/>
  <c r="R138" i="4"/>
  <c r="H138" i="4"/>
  <c r="N159" i="4"/>
  <c r="X159" i="4"/>
  <c r="J135" i="4"/>
  <c r="T135" i="4"/>
  <c r="T82" i="4"/>
  <c r="J82" i="4"/>
  <c r="L184" i="4"/>
  <c r="V184" i="4"/>
  <c r="W110" i="4"/>
  <c r="M110" i="4"/>
  <c r="X81" i="4"/>
  <c r="N81" i="4"/>
  <c r="H87" i="4"/>
  <c r="R87" i="4"/>
  <c r="R134" i="4"/>
  <c r="H134" i="4"/>
  <c r="V139" i="4"/>
  <c r="L139" i="4"/>
  <c r="H81" i="4"/>
  <c r="R81" i="4"/>
  <c r="J80" i="4"/>
  <c r="T80" i="4"/>
  <c r="V186" i="4"/>
  <c r="L186" i="4"/>
  <c r="H114" i="4"/>
  <c r="R114" i="4"/>
  <c r="N82" i="4"/>
  <c r="X82" i="4"/>
  <c r="T86" i="4"/>
  <c r="J86" i="4"/>
  <c r="L39" i="6"/>
  <c r="L40" i="6"/>
  <c r="L41" i="6"/>
  <c r="L44" i="6"/>
  <c r="L42" i="6"/>
  <c r="L43" i="6"/>
  <c r="M79" i="6"/>
  <c r="M77" i="6"/>
  <c r="M80" i="6"/>
  <c r="M75" i="6"/>
  <c r="M76" i="6"/>
  <c r="M78" i="6"/>
  <c r="N81" i="6"/>
  <c r="N85" i="6"/>
  <c r="N83" i="6"/>
  <c r="N82" i="6"/>
  <c r="N84" i="6"/>
  <c r="N86" i="6"/>
  <c r="AC41" i="4"/>
  <c r="AC38" i="4"/>
  <c r="AC39" i="4"/>
  <c r="AC40" i="4"/>
  <c r="AC43" i="4"/>
  <c r="AC42" i="4"/>
  <c r="AD129" i="4"/>
  <c r="AD128" i="4"/>
  <c r="AD130" i="4"/>
  <c r="AD133" i="4"/>
  <c r="AD131" i="4"/>
  <c r="AD132" i="4"/>
  <c r="T161" i="4"/>
  <c r="J161" i="4"/>
  <c r="N183" i="4"/>
  <c r="X183" i="4"/>
  <c r="J83" i="4"/>
  <c r="T83" i="4"/>
  <c r="N54" i="6"/>
  <c r="N51" i="6"/>
  <c r="N55" i="6"/>
  <c r="N53" i="6"/>
  <c r="N56" i="6"/>
  <c r="N52" i="6"/>
  <c r="M82" i="6"/>
  <c r="M83" i="6"/>
  <c r="M85" i="6"/>
  <c r="M86" i="6"/>
  <c r="M84" i="6"/>
  <c r="M81" i="6"/>
  <c r="AE104" i="4"/>
  <c r="AE105" i="4"/>
  <c r="AE109" i="4"/>
  <c r="AE108" i="4"/>
  <c r="AE107" i="4"/>
  <c r="AE106" i="4"/>
  <c r="S83" i="4"/>
  <c r="I83" i="4"/>
  <c r="X158" i="4"/>
  <c r="N158" i="4"/>
  <c r="I138" i="4"/>
  <c r="S138" i="4"/>
  <c r="V87" i="4"/>
  <c r="L87" i="4"/>
  <c r="X185" i="4"/>
  <c r="N185" i="4"/>
  <c r="W84" i="4"/>
  <c r="M84" i="4"/>
  <c r="T84" i="4"/>
  <c r="J84" i="4"/>
  <c r="V183" i="4"/>
  <c r="L183" i="4"/>
  <c r="Q47" i="6"/>
  <c r="Q49" i="6"/>
  <c r="Q48" i="6"/>
  <c r="Q46" i="6"/>
  <c r="Q50" i="6"/>
  <c r="Q45" i="6"/>
  <c r="AC132" i="4"/>
  <c r="AC128" i="4"/>
  <c r="AC133" i="4"/>
  <c r="AC130" i="4"/>
  <c r="AC129" i="4"/>
  <c r="AC131" i="4"/>
  <c r="N93" i="6"/>
  <c r="N98" i="6"/>
  <c r="N95" i="6"/>
  <c r="N96" i="6"/>
  <c r="N94" i="6"/>
  <c r="N97" i="6"/>
  <c r="L71" i="6"/>
  <c r="L70" i="6"/>
  <c r="L72" i="6"/>
  <c r="L73" i="6"/>
  <c r="L74" i="6"/>
  <c r="L69" i="6"/>
  <c r="P113" i="6"/>
  <c r="P115" i="6"/>
  <c r="P114" i="6"/>
  <c r="P112" i="6"/>
  <c r="P116" i="6"/>
  <c r="P111" i="6"/>
  <c r="AE157" i="4"/>
  <c r="AE154" i="4"/>
  <c r="AE153" i="4"/>
  <c r="AE152" i="4"/>
  <c r="AE155" i="4"/>
  <c r="AE156" i="4"/>
  <c r="X161" i="4"/>
  <c r="N161" i="4"/>
  <c r="T115" i="4"/>
  <c r="J115" i="4"/>
  <c r="V85" i="4"/>
  <c r="L85" i="4"/>
  <c r="V89" i="4"/>
  <c r="L89" i="4"/>
  <c r="J137" i="4"/>
  <c r="T137" i="4"/>
  <c r="S160" i="4"/>
  <c r="I160" i="4"/>
  <c r="N184" i="4"/>
  <c r="X184" i="4"/>
  <c r="S110" i="4"/>
  <c r="I110" i="4"/>
  <c r="M80" i="4"/>
  <c r="W80" i="4"/>
  <c r="T81" i="4"/>
  <c r="J81" i="4"/>
  <c r="M136" i="4"/>
  <c r="W136" i="4"/>
  <c r="V182" i="4"/>
  <c r="L182" i="4"/>
  <c r="H111" i="4"/>
  <c r="R111" i="4"/>
  <c r="W89" i="4"/>
  <c r="M89" i="4"/>
  <c r="W114" i="4"/>
  <c r="M114" i="4"/>
  <c r="H187" i="4"/>
  <c r="R187" i="4"/>
  <c r="X139" i="4"/>
  <c r="N139" i="4"/>
  <c r="T90" i="4"/>
  <c r="J90" i="4"/>
  <c r="M163" i="4"/>
  <c r="W163" i="4"/>
  <c r="X86" i="4"/>
  <c r="N86" i="4"/>
  <c r="H91" i="4"/>
  <c r="R91" i="4"/>
  <c r="H161" i="4"/>
  <c r="R161" i="4"/>
  <c r="Q93" i="6"/>
  <c r="Q96" i="6"/>
  <c r="Q98" i="6"/>
  <c r="Q97" i="6"/>
  <c r="Q94" i="6"/>
  <c r="Q95" i="6"/>
  <c r="R84" i="4"/>
  <c r="H84" i="4"/>
  <c r="W138" i="4"/>
  <c r="M138" i="4"/>
  <c r="R52" i="6"/>
  <c r="R51" i="6"/>
  <c r="R55" i="6"/>
  <c r="R54" i="6"/>
  <c r="R56" i="6"/>
  <c r="R53" i="6"/>
  <c r="P47" i="6"/>
  <c r="P48" i="6"/>
  <c r="P46" i="6"/>
  <c r="P50" i="6"/>
  <c r="P49" i="6"/>
  <c r="P45" i="6"/>
  <c r="M107" i="6"/>
  <c r="M106" i="6"/>
  <c r="M108" i="6"/>
  <c r="M110" i="6"/>
  <c r="M105" i="6"/>
  <c r="M109" i="6"/>
  <c r="P87" i="6"/>
  <c r="P89" i="6"/>
  <c r="P91" i="6"/>
  <c r="P92" i="6"/>
  <c r="P88" i="6"/>
  <c r="P90" i="6"/>
  <c r="AD41" i="4"/>
  <c r="AD39" i="4"/>
  <c r="AD40" i="4"/>
  <c r="AD43" i="4"/>
  <c r="AD38" i="4"/>
  <c r="AD42" i="4"/>
  <c r="AH152" i="4"/>
  <c r="AH157" i="4"/>
  <c r="AH154" i="4"/>
  <c r="AH156" i="4"/>
  <c r="AH155" i="4"/>
  <c r="AH153" i="4"/>
  <c r="S82" i="4"/>
  <c r="I82" i="4"/>
  <c r="V158" i="4"/>
  <c r="L158" i="4"/>
  <c r="J158" i="4"/>
  <c r="T158" i="4"/>
  <c r="X182" i="4"/>
  <c r="N182" i="4"/>
  <c r="S113" i="4"/>
  <c r="I113" i="4"/>
  <c r="M161" i="4"/>
  <c r="W161" i="4"/>
  <c r="R163" i="4"/>
  <c r="H163" i="4"/>
  <c r="L124" i="6"/>
  <c r="L128" i="6"/>
  <c r="L127" i="6"/>
  <c r="L126" i="6"/>
  <c r="L123" i="6"/>
  <c r="L125" i="6"/>
  <c r="L76" i="6"/>
  <c r="L77" i="6"/>
  <c r="L78" i="6"/>
  <c r="L75" i="6"/>
  <c r="L80" i="6"/>
  <c r="L79" i="6"/>
  <c r="AI104" i="4"/>
  <c r="AI106" i="4"/>
  <c r="AI107" i="4"/>
  <c r="AI108" i="4"/>
  <c r="AI109" i="4"/>
  <c r="AI105" i="4"/>
  <c r="AG155" i="4"/>
  <c r="AG156" i="4"/>
  <c r="AG152" i="4"/>
  <c r="AG153" i="4"/>
  <c r="AG154" i="4"/>
  <c r="AG157" i="4"/>
  <c r="V111" i="4"/>
  <c r="L111" i="4"/>
  <c r="I80" i="4"/>
  <c r="S80" i="4"/>
  <c r="X160" i="4"/>
  <c r="N160" i="4"/>
  <c r="W183" i="4"/>
  <c r="M183" i="4"/>
  <c r="S134" i="4"/>
  <c r="I134" i="4"/>
  <c r="X112" i="4"/>
  <c r="N112" i="4"/>
  <c r="V162" i="4"/>
  <c r="L162" i="4"/>
  <c r="S89" i="4"/>
  <c r="I89" i="4"/>
  <c r="R82" i="4"/>
  <c r="H82" i="4"/>
  <c r="T182" i="4"/>
  <c r="J182" i="4"/>
  <c r="M87" i="4"/>
  <c r="W87" i="4"/>
  <c r="W111" i="4"/>
  <c r="M111" i="4"/>
  <c r="N83" i="4"/>
  <c r="X83" i="4"/>
  <c r="X135" i="4"/>
  <c r="N135" i="4"/>
  <c r="T88" i="4"/>
  <c r="J88" i="4"/>
  <c r="X88" i="4"/>
  <c r="N88" i="4"/>
  <c r="H89" i="4"/>
  <c r="R89" i="4"/>
  <c r="R46" i="6"/>
  <c r="R47" i="6"/>
  <c r="R45" i="6"/>
  <c r="R49" i="6"/>
  <c r="R50" i="6"/>
  <c r="R48" i="6"/>
  <c r="R105" i="6"/>
  <c r="R109" i="6"/>
  <c r="R110" i="6"/>
  <c r="R108" i="6"/>
  <c r="R106" i="6"/>
  <c r="R107" i="6"/>
  <c r="L114" i="6"/>
  <c r="L112" i="6"/>
  <c r="L113" i="6"/>
  <c r="L115" i="6"/>
  <c r="L111" i="6"/>
  <c r="L116" i="6"/>
  <c r="AC153" i="4"/>
  <c r="AC152" i="4"/>
  <c r="AC155" i="4"/>
  <c r="AC154" i="4"/>
  <c r="AC156" i="4"/>
  <c r="AC157" i="4"/>
  <c r="V113" i="4"/>
  <c r="L113" i="4"/>
  <c r="H136" i="4"/>
  <c r="R136" i="4"/>
  <c r="N115" i="4"/>
  <c r="X115" i="4"/>
  <c r="V159" i="4"/>
  <c r="L159" i="4"/>
  <c r="I91" i="4"/>
  <c r="S91" i="4"/>
  <c r="L82" i="4"/>
  <c r="V82" i="4"/>
  <c r="R40" i="6"/>
  <c r="R43" i="6"/>
  <c r="R42" i="6"/>
  <c r="R41" i="6"/>
  <c r="R44" i="6"/>
  <c r="R39" i="6"/>
  <c r="R123" i="6"/>
  <c r="R126" i="6"/>
  <c r="R125" i="6"/>
  <c r="R128" i="6"/>
  <c r="R124" i="6"/>
  <c r="R127" i="6"/>
  <c r="R79" i="6"/>
  <c r="R77" i="6"/>
  <c r="R80" i="6"/>
  <c r="R75" i="6"/>
  <c r="R78" i="6"/>
  <c r="R76" i="6"/>
  <c r="AI176" i="4"/>
  <c r="AI181" i="4"/>
  <c r="AI179" i="4"/>
  <c r="AI180" i="4"/>
  <c r="AI177" i="4"/>
  <c r="AI178" i="4"/>
  <c r="H139" i="4"/>
  <c r="R139" i="4"/>
  <c r="N124" i="6"/>
  <c r="N123" i="6"/>
  <c r="N128" i="6"/>
  <c r="N126" i="6"/>
  <c r="N127" i="6"/>
  <c r="N125" i="6"/>
  <c r="P76" i="6"/>
  <c r="P80" i="6"/>
  <c r="P77" i="6"/>
  <c r="P79" i="6"/>
  <c r="P75" i="6"/>
  <c r="P78" i="6"/>
  <c r="N90" i="6"/>
  <c r="N92" i="6"/>
  <c r="N91" i="6"/>
  <c r="N89" i="6"/>
  <c r="N88" i="6"/>
  <c r="N87" i="6"/>
  <c r="Q81" i="6"/>
  <c r="Q83" i="6"/>
  <c r="Q86" i="6"/>
  <c r="Q85" i="6"/>
  <c r="Q84" i="6"/>
  <c r="Q82" i="6"/>
  <c r="AH39" i="4"/>
  <c r="AH43" i="4"/>
  <c r="AH42" i="4"/>
  <c r="AH40" i="4"/>
  <c r="AH41" i="4"/>
  <c r="AH38" i="4"/>
  <c r="M38" i="4" s="1"/>
  <c r="AG177" i="4"/>
  <c r="AG176" i="4"/>
  <c r="AG178" i="4"/>
  <c r="AG179" i="4"/>
  <c r="AG180" i="4"/>
  <c r="AG181" i="4"/>
  <c r="AG131" i="4"/>
  <c r="AG130" i="4"/>
  <c r="AG128" i="4"/>
  <c r="AG129" i="4"/>
  <c r="AG133" i="4"/>
  <c r="AG132" i="4"/>
  <c r="V112" i="4"/>
  <c r="L112" i="4"/>
  <c r="I84" i="4"/>
  <c r="S84" i="4"/>
  <c r="R135" i="4"/>
  <c r="H135" i="4"/>
  <c r="M185" i="4"/>
  <c r="W185" i="4"/>
  <c r="X113" i="4"/>
  <c r="N113" i="4"/>
  <c r="V160" i="4"/>
  <c r="L160" i="4"/>
  <c r="V137" i="4"/>
  <c r="L137" i="4"/>
  <c r="S88" i="4"/>
  <c r="I88" i="4"/>
  <c r="N40" i="6"/>
  <c r="N42" i="6"/>
  <c r="N39" i="6"/>
  <c r="N43" i="6"/>
  <c r="N44" i="6"/>
  <c r="N41" i="6"/>
  <c r="L96" i="6"/>
  <c r="L98" i="6"/>
  <c r="L94" i="6"/>
  <c r="L97" i="6"/>
  <c r="L95" i="6"/>
  <c r="L93" i="6"/>
  <c r="M56" i="6"/>
  <c r="M51" i="6"/>
  <c r="M52" i="6"/>
  <c r="M55" i="6"/>
  <c r="M54" i="6"/>
  <c r="M53" i="6"/>
  <c r="P55" i="6"/>
  <c r="P52" i="6"/>
  <c r="P54" i="6"/>
  <c r="P51" i="6"/>
  <c r="P56" i="6"/>
  <c r="P53" i="6"/>
  <c r="M45" i="6"/>
  <c r="M50" i="6"/>
  <c r="M48" i="6"/>
  <c r="M49" i="6"/>
  <c r="M47" i="6"/>
  <c r="M46" i="6"/>
  <c r="Q69" i="6"/>
  <c r="Q73" i="6"/>
  <c r="Q72" i="6"/>
  <c r="Q74" i="6"/>
  <c r="Q71" i="6"/>
  <c r="Q70" i="6"/>
  <c r="P84" i="6"/>
  <c r="P82" i="6"/>
  <c r="P86" i="6"/>
  <c r="P81" i="6"/>
  <c r="P83" i="6"/>
  <c r="P85" i="6"/>
  <c r="AC106" i="4"/>
  <c r="AC107" i="4"/>
  <c r="AC108" i="4"/>
  <c r="AC109" i="4"/>
  <c r="AC105" i="4"/>
  <c r="AC104" i="4"/>
  <c r="AD109" i="4"/>
  <c r="AD105" i="4"/>
  <c r="AD104" i="4"/>
  <c r="AD106" i="4"/>
  <c r="AD107" i="4"/>
  <c r="AD108" i="4"/>
  <c r="AE132" i="4"/>
  <c r="AE129" i="4"/>
  <c r="AE131" i="4"/>
  <c r="AE133" i="4"/>
  <c r="AE128" i="4"/>
  <c r="AE130" i="4"/>
  <c r="V115" i="4"/>
  <c r="L115" i="4"/>
  <c r="I183" i="4"/>
  <c r="S183" i="4"/>
  <c r="W186" i="4"/>
  <c r="M186" i="4"/>
  <c r="S137" i="4"/>
  <c r="I137" i="4"/>
  <c r="N110" i="4"/>
  <c r="X110" i="4"/>
  <c r="T160" i="4"/>
  <c r="J160" i="4"/>
  <c r="V135" i="4"/>
  <c r="L135" i="4"/>
  <c r="S87" i="4"/>
  <c r="I87" i="4"/>
  <c r="J110" i="4"/>
  <c r="T110" i="4"/>
  <c r="V80" i="4"/>
  <c r="L80" i="4"/>
  <c r="R83" i="4"/>
  <c r="H83" i="4"/>
  <c r="T136" i="4"/>
  <c r="J136" i="4"/>
  <c r="S163" i="4"/>
  <c r="I163" i="4"/>
  <c r="I111" i="4"/>
  <c r="S111" i="4"/>
  <c r="W81" i="4"/>
  <c r="M81" i="4"/>
  <c r="T186" i="4"/>
  <c r="J186" i="4"/>
  <c r="M139" i="4"/>
  <c r="W139" i="4"/>
  <c r="R110" i="4"/>
  <c r="H110" i="4"/>
  <c r="W91" i="4"/>
  <c r="M91" i="4"/>
  <c r="X84" i="4"/>
  <c r="N84" i="4"/>
  <c r="H186" i="4"/>
  <c r="R186" i="4"/>
  <c r="X137" i="4"/>
  <c r="N137" i="4"/>
  <c r="M159" i="4"/>
  <c r="W159" i="4"/>
  <c r="X89" i="4"/>
  <c r="N89" i="4"/>
  <c r="R160" i="4"/>
  <c r="H160" i="4"/>
  <c r="L50" i="6"/>
  <c r="L48" i="6"/>
  <c r="L49" i="6"/>
  <c r="L46" i="6"/>
  <c r="L47" i="6"/>
  <c r="L45" i="6"/>
  <c r="N80" i="6"/>
  <c r="N75" i="6"/>
  <c r="N76" i="6"/>
  <c r="N78" i="6"/>
  <c r="N77" i="6"/>
  <c r="N79" i="6"/>
  <c r="R114" i="6"/>
  <c r="R115" i="6"/>
  <c r="R111" i="6"/>
  <c r="R112" i="6"/>
  <c r="R116" i="6"/>
  <c r="R113" i="6"/>
  <c r="AD177" i="4"/>
  <c r="AD176" i="4"/>
  <c r="AD180" i="4"/>
  <c r="AD179" i="4"/>
  <c r="AD178" i="4"/>
  <c r="AD181" i="4"/>
  <c r="AI155" i="4"/>
  <c r="AI157" i="4"/>
  <c r="AI156" i="4"/>
  <c r="AI153" i="4"/>
  <c r="AI154" i="4"/>
  <c r="AI152" i="4"/>
  <c r="AI130" i="4"/>
  <c r="AI132" i="4"/>
  <c r="AI131" i="4"/>
  <c r="AI129" i="4"/>
  <c r="AI133" i="4"/>
  <c r="AI128" i="4"/>
  <c r="S135" i="4"/>
  <c r="I135" i="4"/>
  <c r="T162" i="4"/>
  <c r="J162" i="4"/>
  <c r="T112" i="4"/>
  <c r="J112" i="4"/>
  <c r="V86" i="4"/>
  <c r="L86" i="4"/>
  <c r="X186" i="4"/>
  <c r="N186" i="4"/>
  <c r="I115" i="4"/>
  <c r="S115" i="4"/>
  <c r="R115" i="4"/>
  <c r="H115" i="4"/>
  <c r="R185" i="4"/>
  <c r="H185" i="4"/>
  <c r="T89" i="4"/>
  <c r="J89" i="4"/>
  <c r="M158" i="4"/>
  <c r="W158" i="4"/>
  <c r="R159" i="4"/>
  <c r="H159" i="4"/>
  <c r="P69" i="6"/>
  <c r="P74" i="6"/>
  <c r="P71" i="6"/>
  <c r="P72" i="6"/>
  <c r="P70" i="6"/>
  <c r="P73" i="6"/>
  <c r="Q116" i="6"/>
  <c r="Q115" i="6"/>
  <c r="Q111" i="6"/>
  <c r="Q112" i="6"/>
  <c r="Q114" i="6"/>
  <c r="Q113" i="6"/>
  <c r="I185" i="4"/>
  <c r="S185" i="4"/>
  <c r="X163" i="4"/>
  <c r="N163" i="4"/>
  <c r="T134" i="4"/>
  <c r="J134" i="4"/>
  <c r="T185" i="4"/>
  <c r="J185" i="4"/>
  <c r="W135" i="4"/>
  <c r="M135" i="4"/>
  <c r="W112" i="4"/>
  <c r="M112" i="4"/>
  <c r="H184" i="4"/>
  <c r="R184" i="4"/>
  <c r="Q51" i="6"/>
  <c r="Q54" i="6"/>
  <c r="Q55" i="6"/>
  <c r="Q53" i="6"/>
  <c r="Q52" i="6"/>
  <c r="Q56" i="6"/>
  <c r="V84" i="4"/>
  <c r="L84" i="4"/>
  <c r="L88" i="4"/>
  <c r="V88" i="4"/>
  <c r="L187" i="4"/>
  <c r="V187" i="4"/>
  <c r="M73" i="6"/>
  <c r="M69" i="6"/>
  <c r="M71" i="6"/>
  <c r="M74" i="6"/>
  <c r="M70" i="6"/>
  <c r="M72" i="6"/>
  <c r="L90" i="6"/>
  <c r="L88" i="6"/>
  <c r="L87" i="6"/>
  <c r="L92" i="6"/>
  <c r="L89" i="6"/>
  <c r="L91" i="6"/>
  <c r="I158" i="4"/>
  <c r="S158" i="4"/>
  <c r="T184" i="4"/>
  <c r="J184" i="4"/>
  <c r="W113" i="4"/>
  <c r="M113" i="4"/>
  <c r="X138" i="4"/>
  <c r="N138" i="4"/>
  <c r="T87" i="4"/>
  <c r="J87" i="4"/>
  <c r="X91" i="4"/>
  <c r="N91" i="4"/>
  <c r="Q39" i="6"/>
  <c r="Q42" i="6"/>
  <c r="Q40" i="6"/>
  <c r="Q44" i="6"/>
  <c r="Q41" i="6"/>
  <c r="Q43" i="6"/>
  <c r="R90" i="6"/>
  <c r="R89" i="6"/>
  <c r="R87" i="6"/>
  <c r="R92" i="6"/>
  <c r="R88" i="6"/>
  <c r="R91" i="6"/>
  <c r="AI41" i="4"/>
  <c r="AI40" i="4"/>
  <c r="AI43" i="4"/>
  <c r="AI39" i="4"/>
  <c r="AI42" i="4"/>
  <c r="AI38" i="4"/>
  <c r="P41" i="6"/>
  <c r="P39" i="6"/>
  <c r="P44" i="6"/>
  <c r="P42" i="6"/>
  <c r="P43" i="6"/>
  <c r="P40" i="6"/>
  <c r="N106" i="6"/>
  <c r="N109" i="6"/>
  <c r="N107" i="6"/>
  <c r="N108" i="6"/>
  <c r="N110" i="6"/>
  <c r="N105" i="6"/>
  <c r="N113" i="6"/>
  <c r="N111" i="6"/>
  <c r="N115" i="6"/>
  <c r="N112" i="6"/>
  <c r="N114" i="6"/>
  <c r="N116" i="6"/>
  <c r="R94" i="6"/>
  <c r="R95" i="6"/>
  <c r="R93" i="6"/>
  <c r="R97" i="6"/>
  <c r="R98" i="6"/>
  <c r="R96" i="6"/>
  <c r="L56" i="6"/>
  <c r="L51" i="6"/>
  <c r="L53" i="6"/>
  <c r="L54" i="6"/>
  <c r="L55" i="6"/>
  <c r="L52" i="6"/>
  <c r="Q125" i="6"/>
  <c r="Q123" i="6"/>
  <c r="Q128" i="6"/>
  <c r="Q126" i="6"/>
  <c r="Q124" i="6"/>
  <c r="Q127" i="6"/>
  <c r="M126" i="6"/>
  <c r="M125" i="6"/>
  <c r="M123" i="6"/>
  <c r="M128" i="6"/>
  <c r="M127" i="6"/>
  <c r="M124" i="6"/>
  <c r="N70" i="6"/>
  <c r="N69" i="6"/>
  <c r="N74" i="6"/>
  <c r="N72" i="6"/>
  <c r="N73" i="6"/>
  <c r="N71" i="6"/>
  <c r="Q79" i="6"/>
  <c r="Q76" i="6"/>
  <c r="Q77" i="6"/>
  <c r="Q78" i="6"/>
  <c r="Q75" i="6"/>
  <c r="Q80" i="6"/>
  <c r="P105" i="6"/>
  <c r="P108" i="6"/>
  <c r="P106" i="6"/>
  <c r="P107" i="6"/>
  <c r="P109" i="6"/>
  <c r="P110" i="6"/>
  <c r="M87" i="6"/>
  <c r="M90" i="6"/>
  <c r="M89" i="6"/>
  <c r="M88" i="6"/>
  <c r="M91" i="6"/>
  <c r="M92" i="6"/>
  <c r="L86" i="6"/>
  <c r="L84" i="6"/>
  <c r="L82" i="6"/>
  <c r="L85" i="6"/>
  <c r="L83" i="6"/>
  <c r="L81" i="6"/>
  <c r="AG40" i="4"/>
  <c r="AG41" i="4"/>
  <c r="AG38" i="4"/>
  <c r="AG43" i="4"/>
  <c r="AG39" i="4"/>
  <c r="AG42" i="4"/>
  <c r="AH106" i="4"/>
  <c r="AH109" i="4"/>
  <c r="AH104" i="4"/>
  <c r="AH105" i="4"/>
  <c r="AH108" i="4"/>
  <c r="AH107" i="4"/>
  <c r="AE179" i="4"/>
  <c r="AE176" i="4"/>
  <c r="AE180" i="4"/>
  <c r="AE177" i="4"/>
  <c r="AE178" i="4"/>
  <c r="AE181" i="4"/>
  <c r="AH181" i="4"/>
  <c r="AH180" i="4"/>
  <c r="AH178" i="4"/>
  <c r="AH176" i="4"/>
  <c r="AH179" i="4"/>
  <c r="AH177" i="4"/>
  <c r="V114" i="4"/>
  <c r="L114" i="4"/>
  <c r="S182" i="4"/>
  <c r="I182" i="4"/>
  <c r="W187" i="4"/>
  <c r="M187" i="4"/>
  <c r="S139" i="4"/>
  <c r="I139" i="4"/>
  <c r="X111" i="4"/>
  <c r="N111" i="4"/>
  <c r="T163" i="4"/>
  <c r="J163" i="4"/>
  <c r="V136" i="4"/>
  <c r="L136" i="4"/>
  <c r="S86" i="4"/>
  <c r="I86" i="4"/>
  <c r="J111" i="4"/>
  <c r="T111" i="4"/>
  <c r="V81" i="4"/>
  <c r="L81" i="4"/>
  <c r="R85" i="4"/>
  <c r="H85" i="4"/>
  <c r="T139" i="4"/>
  <c r="J139" i="4"/>
  <c r="I159" i="4"/>
  <c r="S159" i="4"/>
  <c r="I112" i="4"/>
  <c r="S112" i="4"/>
  <c r="M83" i="4"/>
  <c r="W83" i="4"/>
  <c r="T187" i="4"/>
  <c r="J187" i="4"/>
  <c r="W134" i="4"/>
  <c r="M134" i="4"/>
  <c r="R113" i="4"/>
  <c r="H113" i="4"/>
  <c r="W86" i="4"/>
  <c r="M86" i="4"/>
  <c r="N80" i="4"/>
  <c r="X80" i="4"/>
  <c r="H183" i="4"/>
  <c r="R183" i="4"/>
  <c r="X136" i="4"/>
  <c r="N136" i="4"/>
  <c r="W160" i="4"/>
  <c r="M160" i="4"/>
  <c r="X87" i="4"/>
  <c r="N87" i="4"/>
  <c r="H162" i="4"/>
  <c r="R162" i="4"/>
  <c r="N11" i="5"/>
  <c r="O11" i="5"/>
  <c r="Q11" i="5"/>
  <c r="R11" i="5"/>
  <c r="S11" i="5"/>
  <c r="M11" i="5"/>
  <c r="M13" i="5"/>
  <c r="N13" i="5"/>
  <c r="O13" i="5"/>
  <c r="Q13" i="5"/>
  <c r="R13" i="5"/>
  <c r="S13" i="5"/>
  <c r="S10" i="5"/>
  <c r="O10" i="5"/>
  <c r="M10" i="5"/>
  <c r="N10" i="5"/>
  <c r="Q10" i="5"/>
  <c r="R10" i="5"/>
  <c r="M16" i="5"/>
  <c r="N16" i="5"/>
  <c r="Q16" i="5"/>
  <c r="O16" i="5"/>
  <c r="R16" i="5"/>
  <c r="S16" i="5"/>
  <c r="M6" i="5"/>
  <c r="Q6" i="5"/>
  <c r="N6" i="5"/>
  <c r="O6" i="5"/>
  <c r="R6" i="5"/>
  <c r="S6" i="5"/>
  <c r="L51" i="5" l="1"/>
  <c r="J17" i="7" s="1"/>
  <c r="L48" i="5"/>
  <c r="J14" i="7" s="1"/>
  <c r="L52" i="5"/>
  <c r="J18" i="7" s="1"/>
  <c r="L50" i="5"/>
  <c r="J16" i="7" s="1"/>
  <c r="L53" i="5"/>
  <c r="J19" i="7" s="1"/>
  <c r="L49" i="5"/>
  <c r="J15" i="7" s="1"/>
  <c r="P52" i="5"/>
  <c r="M18" i="7" s="1"/>
  <c r="P49" i="5"/>
  <c r="M15" i="7" s="1"/>
  <c r="P51" i="5"/>
  <c r="M17" i="7" s="1"/>
  <c r="P53" i="5"/>
  <c r="M19" i="7" s="1"/>
  <c r="P48" i="5"/>
  <c r="M14" i="7" s="1"/>
  <c r="P50" i="5"/>
  <c r="M16" i="7" s="1"/>
  <c r="O50" i="5"/>
  <c r="L16" i="7" s="1"/>
  <c r="O51" i="5"/>
  <c r="L17" i="7" s="1"/>
  <c r="O52" i="5"/>
  <c r="L18" i="7" s="1"/>
  <c r="O49" i="5"/>
  <c r="L15" i="7" s="1"/>
  <c r="O48" i="5"/>
  <c r="L14" i="7" s="1"/>
  <c r="O53" i="5"/>
  <c r="L19" i="7" s="1"/>
  <c r="J50" i="5"/>
  <c r="H16" i="7" s="1"/>
  <c r="J49" i="5"/>
  <c r="H15" i="7" s="1"/>
  <c r="J51" i="5"/>
  <c r="H17" i="7" s="1"/>
  <c r="J52" i="5"/>
  <c r="H18" i="7" s="1"/>
  <c r="J53" i="5"/>
  <c r="H19" i="7" s="1"/>
  <c r="J48" i="5"/>
  <c r="H14" i="7" s="1"/>
  <c r="K48" i="5"/>
  <c r="I14" i="7" s="1"/>
  <c r="K50" i="5"/>
  <c r="I16" i="7" s="1"/>
  <c r="K49" i="5"/>
  <c r="I15" i="7" s="1"/>
  <c r="K51" i="5"/>
  <c r="I17" i="7" s="1"/>
  <c r="K52" i="5"/>
  <c r="I18" i="7" s="1"/>
  <c r="K53" i="5"/>
  <c r="I19" i="7" s="1"/>
  <c r="N50" i="5"/>
  <c r="K16" i="7" s="1"/>
  <c r="N51" i="5"/>
  <c r="K17" i="7" s="1"/>
  <c r="N48" i="5"/>
  <c r="K14" i="7" s="1"/>
  <c r="N52" i="5"/>
  <c r="K18" i="7" s="1"/>
  <c r="N49" i="5"/>
  <c r="K15" i="7" s="1"/>
  <c r="N53" i="5"/>
  <c r="K19" i="7" s="1"/>
  <c r="O72" i="5"/>
  <c r="L38" i="7" s="1"/>
  <c r="O77" i="5"/>
  <c r="L43" i="7" s="1"/>
  <c r="O73" i="5"/>
  <c r="L39" i="7" s="1"/>
  <c r="O74" i="5"/>
  <c r="O76" i="5"/>
  <c r="O75" i="5"/>
  <c r="L41" i="7" s="1"/>
  <c r="N90" i="5"/>
  <c r="K56" i="7" s="1"/>
  <c r="N92" i="5"/>
  <c r="K58" i="7" s="1"/>
  <c r="N95" i="5"/>
  <c r="K61" i="7" s="1"/>
  <c r="N94" i="5"/>
  <c r="K60" i="7" s="1"/>
  <c r="N93" i="5"/>
  <c r="K59" i="7" s="1"/>
  <c r="N91" i="5"/>
  <c r="K57" i="7" s="1"/>
  <c r="L80" i="5"/>
  <c r="J46" i="7" s="1"/>
  <c r="L81" i="5"/>
  <c r="J47" i="7" s="1"/>
  <c r="L83" i="5"/>
  <c r="J49" i="7" s="1"/>
  <c r="L79" i="5"/>
  <c r="J45" i="7" s="1"/>
  <c r="L78" i="5"/>
  <c r="J44" i="7" s="1"/>
  <c r="L82" i="5"/>
  <c r="J48" i="7" s="1"/>
  <c r="N77" i="5"/>
  <c r="N76" i="5"/>
  <c r="K42" i="7" s="1"/>
  <c r="N72" i="5"/>
  <c r="K38" i="7" s="1"/>
  <c r="N75" i="5"/>
  <c r="K41" i="7" s="1"/>
  <c r="N73" i="5"/>
  <c r="K39" i="7" s="1"/>
  <c r="N74" i="5"/>
  <c r="K40" i="7" s="1"/>
  <c r="L92" i="5"/>
  <c r="J58" i="7" s="1"/>
  <c r="L93" i="5"/>
  <c r="J59" i="7" s="1"/>
  <c r="L95" i="5"/>
  <c r="J61" i="7" s="1"/>
  <c r="L94" i="5"/>
  <c r="J60" i="7" s="1"/>
  <c r="L90" i="5"/>
  <c r="J56" i="7" s="1"/>
  <c r="L91" i="5"/>
  <c r="J57" i="7" s="1"/>
  <c r="K80" i="5"/>
  <c r="I46" i="7" s="1"/>
  <c r="K81" i="5"/>
  <c r="I47" i="7" s="1"/>
  <c r="K82" i="5"/>
  <c r="I48" i="7" s="1"/>
  <c r="K83" i="5"/>
  <c r="I49" i="7" s="1"/>
  <c r="K78" i="5"/>
  <c r="I44" i="7" s="1"/>
  <c r="K79" i="5"/>
  <c r="I45" i="7" s="1"/>
  <c r="P111" i="5"/>
  <c r="M77" i="7" s="1"/>
  <c r="P112" i="5"/>
  <c r="M78" i="7" s="1"/>
  <c r="P113" i="5"/>
  <c r="M79" i="7" s="1"/>
  <c r="P109" i="5"/>
  <c r="M75" i="7" s="1"/>
  <c r="P110" i="5"/>
  <c r="M76" i="7" s="1"/>
  <c r="P108" i="5"/>
  <c r="M74" i="7" s="1"/>
  <c r="K73" i="5"/>
  <c r="K74" i="5"/>
  <c r="I40" i="7" s="1"/>
  <c r="K75" i="5"/>
  <c r="K72" i="5"/>
  <c r="I38" i="7" s="1"/>
  <c r="K76" i="5"/>
  <c r="K77" i="5"/>
  <c r="I43" i="7" s="1"/>
  <c r="K95" i="5"/>
  <c r="I61" i="7" s="1"/>
  <c r="K93" i="5"/>
  <c r="I59" i="7" s="1"/>
  <c r="K94" i="5"/>
  <c r="I60" i="7" s="1"/>
  <c r="K92" i="5"/>
  <c r="I58" i="7" s="1"/>
  <c r="K90" i="5"/>
  <c r="I56" i="7" s="1"/>
  <c r="K91" i="5"/>
  <c r="I57" i="7" s="1"/>
  <c r="L73" i="5"/>
  <c r="J39" i="7" s="1"/>
  <c r="L74" i="5"/>
  <c r="J40" i="7" s="1"/>
  <c r="L77" i="5"/>
  <c r="L72" i="5"/>
  <c r="J38" i="7" s="1"/>
  <c r="L76" i="5"/>
  <c r="L75" i="5"/>
  <c r="J41" i="7" s="1"/>
  <c r="J83" i="5"/>
  <c r="H49" i="7" s="1"/>
  <c r="J82" i="5"/>
  <c r="H48" i="7" s="1"/>
  <c r="J81" i="5"/>
  <c r="H47" i="7" s="1"/>
  <c r="J79" i="5"/>
  <c r="H45" i="7" s="1"/>
  <c r="J80" i="5"/>
  <c r="H46" i="7" s="1"/>
  <c r="J78" i="5"/>
  <c r="H44" i="7" s="1"/>
  <c r="N111" i="5"/>
  <c r="K77" i="7" s="1"/>
  <c r="N112" i="5"/>
  <c r="K78" i="7" s="1"/>
  <c r="N108" i="5"/>
  <c r="K74" i="7" s="1"/>
  <c r="N110" i="5"/>
  <c r="K76" i="7" s="1"/>
  <c r="N113" i="5"/>
  <c r="K79" i="7" s="1"/>
  <c r="N109" i="5"/>
  <c r="K75" i="7" s="1"/>
  <c r="P83" i="5"/>
  <c r="M49" i="7" s="1"/>
  <c r="P80" i="5"/>
  <c r="M46" i="7" s="1"/>
  <c r="P82" i="5"/>
  <c r="M48" i="7" s="1"/>
  <c r="P78" i="5"/>
  <c r="M44" i="7" s="1"/>
  <c r="P79" i="5"/>
  <c r="M45" i="7" s="1"/>
  <c r="P81" i="5"/>
  <c r="M47" i="7" s="1"/>
  <c r="O110" i="5"/>
  <c r="L76" i="7" s="1"/>
  <c r="O112" i="5"/>
  <c r="L78" i="7" s="1"/>
  <c r="O108" i="5"/>
  <c r="L74" i="7" s="1"/>
  <c r="O113" i="5"/>
  <c r="L79" i="7" s="1"/>
  <c r="O109" i="5"/>
  <c r="L75" i="7" s="1"/>
  <c r="O111" i="5"/>
  <c r="L77" i="7" s="1"/>
  <c r="J73" i="5"/>
  <c r="H39" i="7" s="1"/>
  <c r="J72" i="5"/>
  <c r="H38" i="7" s="1"/>
  <c r="J77" i="5"/>
  <c r="H43" i="7" s="1"/>
  <c r="J74" i="5"/>
  <c r="H40" i="7" s="1"/>
  <c r="J76" i="5"/>
  <c r="H42" i="7" s="1"/>
  <c r="J75" i="5"/>
  <c r="J94" i="5"/>
  <c r="H60" i="7" s="1"/>
  <c r="J91" i="5"/>
  <c r="H57" i="7" s="1"/>
  <c r="J93" i="5"/>
  <c r="H59" i="7" s="1"/>
  <c r="J95" i="5"/>
  <c r="H61" i="7" s="1"/>
  <c r="J92" i="5"/>
  <c r="H58" i="7" s="1"/>
  <c r="J90" i="5"/>
  <c r="H56" i="7" s="1"/>
  <c r="L108" i="5"/>
  <c r="J74" i="7" s="1"/>
  <c r="L113" i="5"/>
  <c r="J79" i="7" s="1"/>
  <c r="L110" i="5"/>
  <c r="J76" i="7" s="1"/>
  <c r="L111" i="5"/>
  <c r="J77" i="7" s="1"/>
  <c r="L112" i="5"/>
  <c r="J78" i="7" s="1"/>
  <c r="L109" i="5"/>
  <c r="J75" i="7" s="1"/>
  <c r="P74" i="5"/>
  <c r="P76" i="5"/>
  <c r="M42" i="7" s="1"/>
  <c r="P75" i="5"/>
  <c r="M41" i="7" s="1"/>
  <c r="P73" i="5"/>
  <c r="P72" i="5"/>
  <c r="M38" i="7" s="1"/>
  <c r="P77" i="5"/>
  <c r="M43" i="7" s="1"/>
  <c r="K111" i="5"/>
  <c r="I77" i="7" s="1"/>
  <c r="K109" i="5"/>
  <c r="I75" i="7" s="1"/>
  <c r="K108" i="5"/>
  <c r="I74" i="7" s="1"/>
  <c r="K113" i="5"/>
  <c r="I79" i="7" s="1"/>
  <c r="K110" i="5"/>
  <c r="I76" i="7" s="1"/>
  <c r="K112" i="5"/>
  <c r="I78" i="7" s="1"/>
  <c r="P93" i="5"/>
  <c r="M59" i="7" s="1"/>
  <c r="P92" i="5"/>
  <c r="M58" i="7" s="1"/>
  <c r="P95" i="5"/>
  <c r="M61" i="7" s="1"/>
  <c r="P94" i="5"/>
  <c r="M60" i="7" s="1"/>
  <c r="P90" i="5"/>
  <c r="M56" i="7" s="1"/>
  <c r="P91" i="5"/>
  <c r="M57" i="7" s="1"/>
  <c r="O79" i="5"/>
  <c r="L45" i="7" s="1"/>
  <c r="O80" i="5"/>
  <c r="L46" i="7" s="1"/>
  <c r="O82" i="5"/>
  <c r="L48" i="7" s="1"/>
  <c r="O83" i="5"/>
  <c r="L49" i="7" s="1"/>
  <c r="O81" i="5"/>
  <c r="L47" i="7" s="1"/>
  <c r="O78" i="5"/>
  <c r="L44" i="7" s="1"/>
  <c r="J110" i="5"/>
  <c r="H76" i="7" s="1"/>
  <c r="J109" i="5"/>
  <c r="H75" i="7" s="1"/>
  <c r="J113" i="5"/>
  <c r="H79" i="7" s="1"/>
  <c r="J111" i="5"/>
  <c r="H77" i="7" s="1"/>
  <c r="J108" i="5"/>
  <c r="H74" i="7" s="1"/>
  <c r="J112" i="5"/>
  <c r="H78" i="7" s="1"/>
  <c r="O91" i="5"/>
  <c r="L57" i="7" s="1"/>
  <c r="O92" i="5"/>
  <c r="L58" i="7" s="1"/>
  <c r="O94" i="5"/>
  <c r="L60" i="7" s="1"/>
  <c r="O95" i="5"/>
  <c r="L61" i="7" s="1"/>
  <c r="O93" i="5"/>
  <c r="L59" i="7" s="1"/>
  <c r="O90" i="5"/>
  <c r="L56" i="7" s="1"/>
  <c r="N79" i="5"/>
  <c r="K45" i="7" s="1"/>
  <c r="N81" i="5"/>
  <c r="K47" i="7" s="1"/>
  <c r="N80" i="5"/>
  <c r="K46" i="7" s="1"/>
  <c r="N83" i="5"/>
  <c r="K49" i="7" s="1"/>
  <c r="N78" i="5"/>
  <c r="K44" i="7" s="1"/>
  <c r="N82" i="5"/>
  <c r="K48" i="7" s="1"/>
  <c r="J177" i="4"/>
  <c r="T177" i="4"/>
  <c r="R107" i="4"/>
  <c r="H107" i="4"/>
  <c r="V130" i="4"/>
  <c r="L130" i="4"/>
  <c r="X108" i="4"/>
  <c r="N108" i="4"/>
  <c r="T152" i="4"/>
  <c r="J152" i="4"/>
  <c r="H79" i="4"/>
  <c r="R79" i="4"/>
  <c r="S156" i="4"/>
  <c r="I156" i="4"/>
  <c r="AI170" i="4"/>
  <c r="AI173" i="4"/>
  <c r="AI174" i="4"/>
  <c r="AI175" i="4"/>
  <c r="AI172" i="4"/>
  <c r="AI171" i="4"/>
  <c r="N155" i="4"/>
  <c r="X155" i="4"/>
  <c r="T128" i="4"/>
  <c r="J128" i="4"/>
  <c r="W154" i="4"/>
  <c r="M154" i="4"/>
  <c r="R39" i="4"/>
  <c r="H39" i="4"/>
  <c r="AG50" i="4"/>
  <c r="AG53" i="4"/>
  <c r="AG55" i="4"/>
  <c r="AG52" i="4"/>
  <c r="AG51" i="4"/>
  <c r="AG54" i="4"/>
  <c r="AE148" i="4"/>
  <c r="AE150" i="4"/>
  <c r="AE147" i="4"/>
  <c r="AE146" i="4"/>
  <c r="AE149" i="4"/>
  <c r="AE151" i="4"/>
  <c r="AI101" i="4"/>
  <c r="AI98" i="4"/>
  <c r="AI99" i="4"/>
  <c r="AI100" i="4"/>
  <c r="AI103" i="4"/>
  <c r="AI102" i="4"/>
  <c r="M180" i="4"/>
  <c r="W180" i="4"/>
  <c r="X152" i="4"/>
  <c r="N152" i="4"/>
  <c r="T129" i="4"/>
  <c r="J129" i="4"/>
  <c r="V132" i="4"/>
  <c r="L132" i="4"/>
  <c r="V179" i="4"/>
  <c r="L179" i="4"/>
  <c r="W43" i="4"/>
  <c r="M43" i="4"/>
  <c r="R154" i="4"/>
  <c r="H154" i="4"/>
  <c r="L156" i="4"/>
  <c r="V156" i="4"/>
  <c r="I42" i="4"/>
  <c r="S42" i="4"/>
  <c r="J105" i="4"/>
  <c r="T105" i="4"/>
  <c r="I128" i="4"/>
  <c r="S128" i="4"/>
  <c r="V108" i="4"/>
  <c r="L108" i="4"/>
  <c r="H178" i="4"/>
  <c r="R178" i="4"/>
  <c r="M128" i="4"/>
  <c r="W128" i="4"/>
  <c r="J42" i="4"/>
  <c r="T42" i="4"/>
  <c r="AI123" i="4"/>
  <c r="AI126" i="4"/>
  <c r="AI125" i="4"/>
  <c r="AI124" i="4"/>
  <c r="AI127" i="4"/>
  <c r="AI122" i="4"/>
  <c r="M177" i="4"/>
  <c r="W177" i="4"/>
  <c r="N157" i="4"/>
  <c r="X157" i="4"/>
  <c r="S106" i="4"/>
  <c r="I106" i="4"/>
  <c r="R130" i="4"/>
  <c r="H130" i="4"/>
  <c r="L107" i="4"/>
  <c r="V107" i="4"/>
  <c r="W132" i="4"/>
  <c r="M132" i="4"/>
  <c r="AC54" i="4"/>
  <c r="AC50" i="4"/>
  <c r="AC51" i="4"/>
  <c r="AC53" i="4"/>
  <c r="AC52" i="4"/>
  <c r="AC55" i="4"/>
  <c r="W106" i="4"/>
  <c r="M106" i="4"/>
  <c r="N42" i="4"/>
  <c r="X42" i="4"/>
  <c r="S104" i="4"/>
  <c r="I104" i="4"/>
  <c r="T153" i="4"/>
  <c r="J153" i="4"/>
  <c r="R133" i="4"/>
  <c r="H133" i="4"/>
  <c r="I131" i="4"/>
  <c r="S131" i="4"/>
  <c r="V106" i="4"/>
  <c r="L106" i="4"/>
  <c r="AG75" i="4"/>
  <c r="AG79" i="4"/>
  <c r="AG76" i="4"/>
  <c r="AG74" i="4"/>
  <c r="AG77" i="4"/>
  <c r="AG78" i="4"/>
  <c r="AC172" i="4"/>
  <c r="AC171" i="4"/>
  <c r="AC175" i="4"/>
  <c r="AC174" i="4"/>
  <c r="AC173" i="4"/>
  <c r="AC170" i="4"/>
  <c r="AE101" i="4"/>
  <c r="AE98" i="4"/>
  <c r="AE100" i="4"/>
  <c r="AE103" i="4"/>
  <c r="AE102" i="4"/>
  <c r="AE99" i="4"/>
  <c r="AD126" i="4"/>
  <c r="AD124" i="4"/>
  <c r="AD127" i="4"/>
  <c r="AD125" i="4"/>
  <c r="AD122" i="4"/>
  <c r="AD123" i="4"/>
  <c r="M107" i="4"/>
  <c r="W107" i="4"/>
  <c r="V43" i="4"/>
  <c r="L43" i="4"/>
  <c r="X40" i="4"/>
  <c r="N40" i="4"/>
  <c r="I179" i="4"/>
  <c r="S179" i="4"/>
  <c r="H104" i="4"/>
  <c r="R104" i="4"/>
  <c r="AE50" i="4"/>
  <c r="AE53" i="4"/>
  <c r="AE54" i="4"/>
  <c r="AE51" i="4"/>
  <c r="AE55" i="4"/>
  <c r="AE52" i="4"/>
  <c r="AH71" i="4"/>
  <c r="AH73" i="4"/>
  <c r="AH68" i="4"/>
  <c r="AH70" i="4"/>
  <c r="AH69" i="4"/>
  <c r="AH72" i="4"/>
  <c r="AH79" i="4"/>
  <c r="AH77" i="4"/>
  <c r="AH76" i="4"/>
  <c r="AH75" i="4"/>
  <c r="AH78" i="4"/>
  <c r="AH74" i="4"/>
  <c r="AH171" i="4"/>
  <c r="AH172" i="4"/>
  <c r="AH175" i="4"/>
  <c r="AH170" i="4"/>
  <c r="AH174" i="4"/>
  <c r="AH173" i="4"/>
  <c r="AE124" i="4"/>
  <c r="AE123" i="4"/>
  <c r="AE125" i="4"/>
  <c r="AE127" i="4"/>
  <c r="AE126" i="4"/>
  <c r="AE122" i="4"/>
  <c r="W181" i="4"/>
  <c r="M181" i="4"/>
  <c r="W108" i="4"/>
  <c r="M108" i="4"/>
  <c r="V38" i="4"/>
  <c r="L38" i="4"/>
  <c r="X41" i="4"/>
  <c r="N41" i="4"/>
  <c r="X154" i="4"/>
  <c r="N154" i="4"/>
  <c r="I180" i="4"/>
  <c r="S180" i="4"/>
  <c r="T132" i="4"/>
  <c r="J132" i="4"/>
  <c r="R105" i="4"/>
  <c r="H105" i="4"/>
  <c r="V133" i="4"/>
  <c r="L133" i="4"/>
  <c r="L178" i="4"/>
  <c r="V178" i="4"/>
  <c r="W39" i="4"/>
  <c r="M39" i="4"/>
  <c r="R155" i="4"/>
  <c r="H155" i="4"/>
  <c r="V155" i="4"/>
  <c r="L155" i="4"/>
  <c r="S38" i="4"/>
  <c r="I38" i="4"/>
  <c r="T104" i="4"/>
  <c r="J104" i="4"/>
  <c r="I129" i="4"/>
  <c r="S129" i="4"/>
  <c r="V104" i="4"/>
  <c r="L104" i="4"/>
  <c r="H177" i="4"/>
  <c r="R177" i="4"/>
  <c r="W131" i="4"/>
  <c r="M131" i="4"/>
  <c r="T43" i="4"/>
  <c r="J43" i="4"/>
  <c r="AD146" i="4"/>
  <c r="AD148" i="4"/>
  <c r="AD151" i="4"/>
  <c r="AD150" i="4"/>
  <c r="AD147" i="4"/>
  <c r="AD149" i="4"/>
  <c r="AD103" i="4"/>
  <c r="AD98" i="4"/>
  <c r="AD100" i="4"/>
  <c r="AD101" i="4"/>
  <c r="AD99" i="4"/>
  <c r="AD102" i="4"/>
  <c r="T181" i="4"/>
  <c r="J181" i="4"/>
  <c r="W105" i="4"/>
  <c r="M105" i="4"/>
  <c r="V41" i="4"/>
  <c r="L41" i="4"/>
  <c r="N128" i="4"/>
  <c r="X128" i="4"/>
  <c r="X153" i="4"/>
  <c r="N153" i="4"/>
  <c r="S176" i="4"/>
  <c r="I176" i="4"/>
  <c r="S108" i="4"/>
  <c r="I108" i="4"/>
  <c r="H109" i="4"/>
  <c r="R109" i="4"/>
  <c r="L129" i="4"/>
  <c r="V129" i="4"/>
  <c r="V176" i="4"/>
  <c r="L176" i="4"/>
  <c r="X178" i="4"/>
  <c r="N178" i="4"/>
  <c r="R152" i="4"/>
  <c r="H152" i="4"/>
  <c r="X105" i="4"/>
  <c r="N105" i="4"/>
  <c r="W153" i="4"/>
  <c r="M153" i="4"/>
  <c r="S43" i="4"/>
  <c r="I43" i="4"/>
  <c r="T156" i="4"/>
  <c r="J156" i="4"/>
  <c r="H131" i="4"/>
  <c r="R131" i="4"/>
  <c r="R42" i="4"/>
  <c r="H42" i="4"/>
  <c r="R76" i="4"/>
  <c r="H76" i="4"/>
  <c r="R179" i="4"/>
  <c r="H179" i="4"/>
  <c r="I155" i="4"/>
  <c r="S155" i="4"/>
  <c r="T39" i="4"/>
  <c r="J39" i="4"/>
  <c r="AD54" i="4"/>
  <c r="AD52" i="4"/>
  <c r="AD53" i="4"/>
  <c r="AD50" i="4"/>
  <c r="AD51" i="4"/>
  <c r="AD55" i="4"/>
  <c r="AC146" i="4"/>
  <c r="AC149" i="4"/>
  <c r="AC148" i="4"/>
  <c r="AC150" i="4"/>
  <c r="AC147" i="4"/>
  <c r="AC151" i="4"/>
  <c r="AG100" i="4"/>
  <c r="AG103" i="4"/>
  <c r="AG99" i="4"/>
  <c r="AG98" i="4"/>
  <c r="AG101" i="4"/>
  <c r="AG102" i="4"/>
  <c r="T178" i="4"/>
  <c r="J178" i="4"/>
  <c r="M104" i="4"/>
  <c r="W104" i="4"/>
  <c r="V40" i="4"/>
  <c r="L40" i="4"/>
  <c r="X133" i="4"/>
  <c r="N133" i="4"/>
  <c r="X156" i="4"/>
  <c r="N156" i="4"/>
  <c r="I177" i="4"/>
  <c r="S177" i="4"/>
  <c r="S107" i="4"/>
  <c r="I107" i="4"/>
  <c r="H108" i="4"/>
  <c r="R108" i="4"/>
  <c r="V128" i="4"/>
  <c r="L128" i="4"/>
  <c r="V177" i="4"/>
  <c r="L177" i="4"/>
  <c r="X177" i="4"/>
  <c r="N177" i="4"/>
  <c r="R153" i="4"/>
  <c r="H153" i="4"/>
  <c r="X109" i="4"/>
  <c r="N109" i="4"/>
  <c r="W155" i="4"/>
  <c r="M155" i="4"/>
  <c r="S40" i="4"/>
  <c r="I40" i="4"/>
  <c r="T155" i="4"/>
  <c r="J155" i="4"/>
  <c r="R129" i="4"/>
  <c r="H129" i="4"/>
  <c r="H43" i="4"/>
  <c r="R43" i="4"/>
  <c r="R75" i="4"/>
  <c r="H75" i="4"/>
  <c r="R181" i="4"/>
  <c r="H181" i="4"/>
  <c r="S157" i="4"/>
  <c r="I157" i="4"/>
  <c r="T38" i="4"/>
  <c r="J38" i="4"/>
  <c r="AI74" i="4"/>
  <c r="AI76" i="4"/>
  <c r="AI78" i="4"/>
  <c r="AI79" i="4"/>
  <c r="AI75" i="4"/>
  <c r="AI77" i="4"/>
  <c r="X129" i="4"/>
  <c r="N129" i="4"/>
  <c r="W156" i="4"/>
  <c r="M156" i="4"/>
  <c r="T106" i="4"/>
  <c r="J106" i="4"/>
  <c r="R40" i="4"/>
  <c r="H40" i="4"/>
  <c r="W179" i="4"/>
  <c r="M179" i="4"/>
  <c r="N179" i="4"/>
  <c r="X179" i="4"/>
  <c r="L154" i="4"/>
  <c r="V154" i="4"/>
  <c r="I41" i="4"/>
  <c r="S41" i="4"/>
  <c r="R78" i="4"/>
  <c r="H78" i="4"/>
  <c r="T40" i="4"/>
  <c r="J40" i="4"/>
  <c r="AH149" i="4"/>
  <c r="AH147" i="4"/>
  <c r="AH146" i="4"/>
  <c r="AH148" i="4"/>
  <c r="AH151" i="4"/>
  <c r="AH150" i="4"/>
  <c r="AH100" i="4"/>
  <c r="AH101" i="4"/>
  <c r="AH102" i="4"/>
  <c r="AH98" i="4"/>
  <c r="AH99" i="4"/>
  <c r="AH103" i="4"/>
  <c r="V181" i="4"/>
  <c r="L181" i="4"/>
  <c r="W40" i="4"/>
  <c r="M40" i="4"/>
  <c r="X181" i="4"/>
  <c r="N181" i="4"/>
  <c r="R157" i="4"/>
  <c r="H157" i="4"/>
  <c r="V153" i="4"/>
  <c r="L153" i="4"/>
  <c r="X106" i="4"/>
  <c r="N106" i="4"/>
  <c r="M157" i="4"/>
  <c r="W157" i="4"/>
  <c r="T154" i="4"/>
  <c r="J154" i="4"/>
  <c r="R128" i="4"/>
  <c r="H128" i="4"/>
  <c r="T108" i="4"/>
  <c r="J108" i="4"/>
  <c r="S133" i="4"/>
  <c r="I133" i="4"/>
  <c r="R38" i="4"/>
  <c r="H38" i="4"/>
  <c r="V105" i="4"/>
  <c r="L105" i="4"/>
  <c r="R74" i="4"/>
  <c r="H74" i="4"/>
  <c r="H176" i="4"/>
  <c r="R176" i="4"/>
  <c r="W129" i="4"/>
  <c r="M129" i="4"/>
  <c r="I152" i="4"/>
  <c r="S152" i="4"/>
  <c r="M109" i="4"/>
  <c r="W109" i="4"/>
  <c r="N38" i="4"/>
  <c r="X38" i="4"/>
  <c r="T130" i="4"/>
  <c r="J130" i="4"/>
  <c r="W38" i="4"/>
  <c r="N180" i="4"/>
  <c r="X180" i="4"/>
  <c r="L157" i="4"/>
  <c r="V157" i="4"/>
  <c r="I39" i="4"/>
  <c r="S39" i="4"/>
  <c r="S132" i="4"/>
  <c r="I132" i="4"/>
  <c r="J41" i="4"/>
  <c r="T41" i="4"/>
  <c r="AH127" i="4"/>
  <c r="AH126" i="4"/>
  <c r="AH125" i="4"/>
  <c r="AH123" i="4"/>
  <c r="AH124" i="4"/>
  <c r="AH122" i="4"/>
  <c r="T180" i="4"/>
  <c r="J180" i="4"/>
  <c r="X131" i="4"/>
  <c r="N131" i="4"/>
  <c r="H106" i="4"/>
  <c r="R106" i="4"/>
  <c r="V131" i="4"/>
  <c r="L131" i="4"/>
  <c r="W41" i="4"/>
  <c r="M41" i="4"/>
  <c r="N107" i="4"/>
  <c r="X107" i="4"/>
  <c r="T107" i="4"/>
  <c r="J107" i="4"/>
  <c r="M130" i="4"/>
  <c r="W130" i="4"/>
  <c r="S154" i="4"/>
  <c r="I154" i="4"/>
  <c r="AI50" i="4"/>
  <c r="AI53" i="4"/>
  <c r="AI54" i="4"/>
  <c r="AI51" i="4"/>
  <c r="AI52" i="4"/>
  <c r="AI55" i="4"/>
  <c r="AE75" i="4"/>
  <c r="AE78" i="4"/>
  <c r="AE74" i="4"/>
  <c r="AE77" i="4"/>
  <c r="AE76" i="4"/>
  <c r="AE79" i="4"/>
  <c r="AI147" i="4"/>
  <c r="AI150" i="4"/>
  <c r="AI146" i="4"/>
  <c r="AI151" i="4"/>
  <c r="AI148" i="4"/>
  <c r="AI149" i="4"/>
  <c r="AG170" i="4"/>
  <c r="AG172" i="4"/>
  <c r="AG175" i="4"/>
  <c r="AG174" i="4"/>
  <c r="AG171" i="4"/>
  <c r="AG173" i="4"/>
  <c r="AC124" i="4"/>
  <c r="AC123" i="4"/>
  <c r="AC127" i="4"/>
  <c r="AC126" i="4"/>
  <c r="AC122" i="4"/>
  <c r="AC125" i="4"/>
  <c r="W176" i="4"/>
  <c r="M176" i="4"/>
  <c r="T176" i="4"/>
  <c r="J176" i="4"/>
  <c r="V42" i="4"/>
  <c r="L42" i="4"/>
  <c r="X39" i="4"/>
  <c r="N39" i="4"/>
  <c r="X132" i="4"/>
  <c r="N132" i="4"/>
  <c r="S181" i="4"/>
  <c r="I181" i="4"/>
  <c r="T133" i="4"/>
  <c r="J133" i="4"/>
  <c r="S105" i="4"/>
  <c r="I105" i="4"/>
  <c r="AH54" i="4"/>
  <c r="AH52" i="4"/>
  <c r="AH55" i="4"/>
  <c r="AH50" i="4"/>
  <c r="AH51" i="4"/>
  <c r="AH53" i="4"/>
  <c r="AD77" i="4"/>
  <c r="AD79" i="4"/>
  <c r="AD75" i="4"/>
  <c r="AD76" i="4"/>
  <c r="AD78" i="4"/>
  <c r="AD74" i="4"/>
  <c r="AG146" i="4"/>
  <c r="AG148" i="4"/>
  <c r="AG151" i="4"/>
  <c r="AG149" i="4"/>
  <c r="AG147" i="4"/>
  <c r="AG150" i="4"/>
  <c r="AD171" i="4"/>
  <c r="AD172" i="4"/>
  <c r="AD170" i="4"/>
  <c r="AD175" i="4"/>
  <c r="AD173" i="4"/>
  <c r="AD174" i="4"/>
  <c r="AE175" i="4"/>
  <c r="AE171" i="4"/>
  <c r="AE172" i="4"/>
  <c r="AE173" i="4"/>
  <c r="AE174" i="4"/>
  <c r="AE170" i="4"/>
  <c r="AC101" i="4"/>
  <c r="AC103" i="4"/>
  <c r="AC99" i="4"/>
  <c r="AC102" i="4"/>
  <c r="AC98" i="4"/>
  <c r="AC100" i="4"/>
  <c r="AG124" i="4"/>
  <c r="AG127" i="4"/>
  <c r="AG126" i="4"/>
  <c r="AG125" i="4"/>
  <c r="AG123" i="4"/>
  <c r="AG122" i="4"/>
  <c r="W178" i="4"/>
  <c r="M178" i="4"/>
  <c r="T179" i="4"/>
  <c r="J179" i="4"/>
  <c r="V39" i="4"/>
  <c r="L39" i="4"/>
  <c r="X43" i="4"/>
  <c r="N43" i="4"/>
  <c r="N130" i="4"/>
  <c r="X130" i="4"/>
  <c r="S178" i="4"/>
  <c r="I178" i="4"/>
  <c r="T131" i="4"/>
  <c r="J131" i="4"/>
  <c r="S109" i="4"/>
  <c r="I109" i="4"/>
  <c r="L180" i="4"/>
  <c r="V180" i="4"/>
  <c r="W42" i="4"/>
  <c r="M42" i="4"/>
  <c r="X176" i="4"/>
  <c r="N176" i="4"/>
  <c r="R156" i="4"/>
  <c r="H156" i="4"/>
  <c r="V152" i="4"/>
  <c r="L152" i="4"/>
  <c r="X104" i="4"/>
  <c r="N104" i="4"/>
  <c r="W152" i="4"/>
  <c r="M152" i="4"/>
  <c r="T157" i="4"/>
  <c r="J157" i="4"/>
  <c r="R132" i="4"/>
  <c r="H132" i="4"/>
  <c r="T109" i="4"/>
  <c r="J109" i="4"/>
  <c r="S130" i="4"/>
  <c r="I130" i="4"/>
  <c r="R41" i="4"/>
  <c r="H41" i="4"/>
  <c r="V109" i="4"/>
  <c r="L109" i="4"/>
  <c r="R77" i="4"/>
  <c r="H77" i="4"/>
  <c r="R180" i="4"/>
  <c r="H180" i="4"/>
  <c r="W133" i="4"/>
  <c r="M133" i="4"/>
  <c r="S153" i="4"/>
  <c r="I153" i="4"/>
  <c r="Q7" i="5"/>
  <c r="R7" i="5"/>
  <c r="S7" i="5"/>
  <c r="M7" i="5"/>
  <c r="N7" i="5"/>
  <c r="O7" i="5"/>
  <c r="R5" i="5"/>
  <c r="S5" i="5"/>
  <c r="M5" i="5"/>
  <c r="N5" i="5"/>
  <c r="O5" i="5"/>
  <c r="Q5" i="5"/>
  <c r="I41" i="7" l="1"/>
  <c r="M39" i="7"/>
  <c r="L40" i="7"/>
  <c r="L42" i="7"/>
  <c r="H41" i="7"/>
  <c r="J42" i="7"/>
  <c r="I39" i="7"/>
  <c r="K43" i="7"/>
  <c r="I42" i="7"/>
  <c r="M40" i="7"/>
  <c r="J43" i="7"/>
  <c r="K47" i="5"/>
  <c r="I13" i="7" s="1"/>
  <c r="K43" i="5"/>
  <c r="I9" i="7" s="1"/>
  <c r="K44" i="5"/>
  <c r="I10" i="7" s="1"/>
  <c r="K46" i="5"/>
  <c r="I12" i="7" s="1"/>
  <c r="K45" i="5"/>
  <c r="I11" i="7" s="1"/>
  <c r="K42" i="5"/>
  <c r="I8" i="7" s="1"/>
  <c r="J45" i="5"/>
  <c r="H11" i="7" s="1"/>
  <c r="J44" i="5"/>
  <c r="H10" i="7" s="1"/>
  <c r="J47" i="5"/>
  <c r="H13" i="7" s="1"/>
  <c r="J46" i="5"/>
  <c r="H12" i="7" s="1"/>
  <c r="J43" i="5"/>
  <c r="H9" i="7" s="1"/>
  <c r="J42" i="5"/>
  <c r="H8" i="7" s="1"/>
  <c r="O42" i="5"/>
  <c r="L8" i="7" s="1"/>
  <c r="O45" i="5"/>
  <c r="L11" i="7" s="1"/>
  <c r="O44" i="5"/>
  <c r="L10" i="7" s="1"/>
  <c r="O43" i="5"/>
  <c r="L9" i="7" s="1"/>
  <c r="O46" i="5"/>
  <c r="L12" i="7" s="1"/>
  <c r="O47" i="5"/>
  <c r="L13" i="7" s="1"/>
  <c r="N44" i="5"/>
  <c r="K10" i="7" s="1"/>
  <c r="N47" i="5"/>
  <c r="K13" i="7" s="1"/>
  <c r="N42" i="5"/>
  <c r="K8" i="7" s="1"/>
  <c r="N43" i="5"/>
  <c r="K9" i="7" s="1"/>
  <c r="N46" i="5"/>
  <c r="K12" i="7" s="1"/>
  <c r="N45" i="5"/>
  <c r="K11" i="7" s="1"/>
  <c r="P44" i="5"/>
  <c r="M10" i="7" s="1"/>
  <c r="P43" i="5"/>
  <c r="M9" i="7" s="1"/>
  <c r="P45" i="5"/>
  <c r="M11" i="7" s="1"/>
  <c r="P46" i="5"/>
  <c r="M12" i="7" s="1"/>
  <c r="P42" i="5"/>
  <c r="M8" i="7" s="1"/>
  <c r="P47" i="5"/>
  <c r="M13" i="7" s="1"/>
  <c r="L43" i="5"/>
  <c r="J9" i="7" s="1"/>
  <c r="L45" i="5"/>
  <c r="J11" i="7" s="1"/>
  <c r="L46" i="5"/>
  <c r="J12" i="7" s="1"/>
  <c r="L42" i="5"/>
  <c r="J8" i="7" s="1"/>
  <c r="L47" i="5"/>
  <c r="J13" i="7" s="1"/>
  <c r="L44" i="5"/>
  <c r="J10" i="7" s="1"/>
  <c r="J56" i="5"/>
  <c r="H22" i="7" s="1"/>
  <c r="J57" i="5"/>
  <c r="H23" i="7" s="1"/>
  <c r="J58" i="5"/>
  <c r="H24" i="7" s="1"/>
  <c r="J55" i="5"/>
  <c r="H21" i="7" s="1"/>
  <c r="J54" i="5"/>
  <c r="H20" i="7" s="1"/>
  <c r="J59" i="5"/>
  <c r="H25" i="7" s="1"/>
  <c r="P54" i="5"/>
  <c r="M20" i="7" s="1"/>
  <c r="P56" i="5"/>
  <c r="M22" i="7" s="1"/>
  <c r="P55" i="5"/>
  <c r="M21" i="7" s="1"/>
  <c r="P58" i="5"/>
  <c r="M24" i="7" s="1"/>
  <c r="P59" i="5"/>
  <c r="M25" i="7" s="1"/>
  <c r="P57" i="5"/>
  <c r="M23" i="7" s="1"/>
  <c r="K54" i="5"/>
  <c r="I20" i="7" s="1"/>
  <c r="K56" i="5"/>
  <c r="I22" i="7" s="1"/>
  <c r="K58" i="5"/>
  <c r="I24" i="7" s="1"/>
  <c r="K55" i="5"/>
  <c r="I21" i="7" s="1"/>
  <c r="K57" i="5"/>
  <c r="I23" i="7" s="1"/>
  <c r="K59" i="5"/>
  <c r="I25" i="7" s="1"/>
  <c r="O54" i="5"/>
  <c r="L20" i="7" s="1"/>
  <c r="O55" i="5"/>
  <c r="L21" i="7" s="1"/>
  <c r="O58" i="5"/>
  <c r="L24" i="7" s="1"/>
  <c r="O56" i="5"/>
  <c r="L22" i="7" s="1"/>
  <c r="O59" i="5"/>
  <c r="L25" i="7" s="1"/>
  <c r="O57" i="5"/>
  <c r="L23" i="7" s="1"/>
  <c r="N55" i="5"/>
  <c r="K21" i="7" s="1"/>
  <c r="N56" i="5"/>
  <c r="K22" i="7" s="1"/>
  <c r="N58" i="5"/>
  <c r="K24" i="7" s="1"/>
  <c r="N59" i="5"/>
  <c r="K25" i="7" s="1"/>
  <c r="N54" i="5"/>
  <c r="K20" i="7" s="1"/>
  <c r="N57" i="5"/>
  <c r="K23" i="7" s="1"/>
  <c r="L58" i="5"/>
  <c r="J24" i="7" s="1"/>
  <c r="L57" i="5"/>
  <c r="J23" i="7" s="1"/>
  <c r="L56" i="5"/>
  <c r="J22" i="7" s="1"/>
  <c r="L55" i="5"/>
  <c r="J21" i="7" s="1"/>
  <c r="L59" i="5"/>
  <c r="J25" i="7" s="1"/>
  <c r="L54" i="5"/>
  <c r="J20" i="7" s="1"/>
  <c r="AE145" i="4"/>
  <c r="AE141" i="4"/>
  <c r="AE142" i="4"/>
  <c r="AE143" i="4"/>
  <c r="AE144" i="4"/>
  <c r="AE140" i="4"/>
  <c r="H100" i="4"/>
  <c r="R100" i="4"/>
  <c r="J173" i="4"/>
  <c r="T173" i="4"/>
  <c r="S172" i="4"/>
  <c r="I172" i="4"/>
  <c r="S74" i="4"/>
  <c r="I74" i="4"/>
  <c r="M50" i="4"/>
  <c r="W50" i="4"/>
  <c r="V173" i="4"/>
  <c r="L173" i="4"/>
  <c r="X151" i="4"/>
  <c r="N151" i="4"/>
  <c r="T78" i="4"/>
  <c r="J78" i="4"/>
  <c r="M122" i="4"/>
  <c r="W122" i="4"/>
  <c r="W101" i="4"/>
  <c r="M101" i="4"/>
  <c r="N77" i="4"/>
  <c r="X77" i="4"/>
  <c r="L102" i="4"/>
  <c r="V102" i="4"/>
  <c r="H150" i="4"/>
  <c r="R150" i="4"/>
  <c r="S52" i="4"/>
  <c r="I52" i="4"/>
  <c r="S101" i="4"/>
  <c r="I101" i="4"/>
  <c r="S148" i="4"/>
  <c r="I148" i="4"/>
  <c r="J122" i="4"/>
  <c r="T122" i="4"/>
  <c r="W170" i="4"/>
  <c r="M170" i="4"/>
  <c r="W77" i="4"/>
  <c r="M77" i="4"/>
  <c r="J52" i="4"/>
  <c r="T52" i="4"/>
  <c r="S123" i="4"/>
  <c r="I123" i="4"/>
  <c r="T103" i="4"/>
  <c r="J103" i="4"/>
  <c r="H171" i="4"/>
  <c r="R171" i="4"/>
  <c r="H53" i="4"/>
  <c r="R53" i="4"/>
  <c r="N124" i="4"/>
  <c r="X124" i="4"/>
  <c r="N100" i="4"/>
  <c r="X100" i="4"/>
  <c r="J150" i="4"/>
  <c r="T150" i="4"/>
  <c r="X175" i="4"/>
  <c r="N175" i="4"/>
  <c r="AH166" i="4"/>
  <c r="AH165" i="4"/>
  <c r="AH169" i="4"/>
  <c r="AH168" i="4"/>
  <c r="AH167" i="4"/>
  <c r="AH164" i="4"/>
  <c r="T172" i="4"/>
  <c r="J172" i="4"/>
  <c r="I100" i="4"/>
  <c r="S100" i="4"/>
  <c r="R51" i="4"/>
  <c r="H51" i="4"/>
  <c r="AD48" i="4"/>
  <c r="AD47" i="4"/>
  <c r="AD44" i="4"/>
  <c r="AD49" i="4"/>
  <c r="AD46" i="4"/>
  <c r="AD45" i="4"/>
  <c r="H125" i="4"/>
  <c r="R125" i="4"/>
  <c r="X150" i="4"/>
  <c r="N150" i="4"/>
  <c r="M123" i="4"/>
  <c r="W123" i="4"/>
  <c r="M150" i="4"/>
  <c r="W150" i="4"/>
  <c r="X79" i="4"/>
  <c r="N79" i="4"/>
  <c r="S98" i="4"/>
  <c r="I98" i="4"/>
  <c r="S125" i="4"/>
  <c r="I125" i="4"/>
  <c r="J98" i="4"/>
  <c r="T98" i="4"/>
  <c r="V78" i="4"/>
  <c r="L78" i="4"/>
  <c r="R50" i="4"/>
  <c r="H50" i="4"/>
  <c r="X126" i="4"/>
  <c r="N126" i="4"/>
  <c r="N98" i="4"/>
  <c r="X98" i="4"/>
  <c r="L54" i="4"/>
  <c r="V54" i="4"/>
  <c r="N173" i="4"/>
  <c r="X173" i="4"/>
  <c r="AG141" i="4"/>
  <c r="AG145" i="4"/>
  <c r="AG140" i="4"/>
  <c r="AG144" i="4"/>
  <c r="AG142" i="4"/>
  <c r="AG143" i="4"/>
  <c r="AC164" i="4"/>
  <c r="AC169" i="4"/>
  <c r="AC165" i="4"/>
  <c r="AC168" i="4"/>
  <c r="AC166" i="4"/>
  <c r="AC167" i="4"/>
  <c r="AI94" i="4"/>
  <c r="AI97" i="4"/>
  <c r="AI96" i="4"/>
  <c r="AI92" i="4"/>
  <c r="AI95" i="4"/>
  <c r="AI93" i="4"/>
  <c r="V123" i="4"/>
  <c r="L123" i="4"/>
  <c r="R99" i="4"/>
  <c r="H99" i="4"/>
  <c r="J175" i="4"/>
  <c r="T175" i="4"/>
  <c r="L147" i="4"/>
  <c r="V147" i="4"/>
  <c r="S75" i="4"/>
  <c r="I75" i="4"/>
  <c r="M54" i="4"/>
  <c r="W54" i="4"/>
  <c r="R122" i="4"/>
  <c r="H122" i="4"/>
  <c r="L175" i="4"/>
  <c r="V175" i="4"/>
  <c r="X147" i="4"/>
  <c r="N147" i="4"/>
  <c r="X52" i="4"/>
  <c r="N52" i="4"/>
  <c r="M125" i="4"/>
  <c r="W125" i="4"/>
  <c r="M151" i="4"/>
  <c r="W151" i="4"/>
  <c r="X78" i="4"/>
  <c r="N78" i="4"/>
  <c r="V99" i="4"/>
  <c r="L99" i="4"/>
  <c r="R146" i="4"/>
  <c r="H146" i="4"/>
  <c r="I103" i="4"/>
  <c r="S103" i="4"/>
  <c r="J125" i="4"/>
  <c r="T125" i="4"/>
  <c r="M171" i="4"/>
  <c r="W171" i="4"/>
  <c r="W69" i="4"/>
  <c r="M69" i="4"/>
  <c r="T54" i="4"/>
  <c r="J54" i="4"/>
  <c r="I127" i="4"/>
  <c r="S127" i="4"/>
  <c r="T101" i="4"/>
  <c r="J101" i="4"/>
  <c r="L77" i="4"/>
  <c r="V77" i="4"/>
  <c r="H54" i="4"/>
  <c r="R54" i="4"/>
  <c r="X123" i="4"/>
  <c r="N123" i="4"/>
  <c r="X101" i="4"/>
  <c r="N101" i="4"/>
  <c r="L51" i="4"/>
  <c r="V51" i="4"/>
  <c r="X170" i="4"/>
  <c r="N170" i="4"/>
  <c r="W100" i="4"/>
  <c r="M100" i="4"/>
  <c r="X75" i="4"/>
  <c r="N75" i="4"/>
  <c r="L101" i="4"/>
  <c r="V101" i="4"/>
  <c r="I54" i="4"/>
  <c r="S54" i="4"/>
  <c r="W175" i="4"/>
  <c r="M175" i="4"/>
  <c r="T55" i="4"/>
  <c r="J55" i="4"/>
  <c r="H172" i="4"/>
  <c r="R172" i="4"/>
  <c r="N125" i="4"/>
  <c r="X125" i="4"/>
  <c r="X99" i="4"/>
  <c r="N99" i="4"/>
  <c r="AH118" i="4"/>
  <c r="AH119" i="4"/>
  <c r="AH121" i="4"/>
  <c r="AH117" i="4"/>
  <c r="AH120" i="4"/>
  <c r="AH116" i="4"/>
  <c r="J171" i="4"/>
  <c r="T171" i="4"/>
  <c r="M52" i="4"/>
  <c r="W52" i="4"/>
  <c r="R149" i="4"/>
  <c r="H149" i="4"/>
  <c r="T127" i="4"/>
  <c r="J127" i="4"/>
  <c r="W72" i="4"/>
  <c r="M72" i="4"/>
  <c r="AI169" i="4"/>
  <c r="AI164" i="4"/>
  <c r="AI166" i="4"/>
  <c r="AI168" i="4"/>
  <c r="AI167" i="4"/>
  <c r="AI165" i="4"/>
  <c r="R103" i="4"/>
  <c r="H103" i="4"/>
  <c r="W126" i="4"/>
  <c r="M126" i="4"/>
  <c r="W103" i="4"/>
  <c r="M103" i="4"/>
  <c r="T123" i="4"/>
  <c r="J123" i="4"/>
  <c r="M70" i="4"/>
  <c r="W70" i="4"/>
  <c r="J53" i="4"/>
  <c r="T53" i="4"/>
  <c r="J151" i="4"/>
  <c r="T151" i="4"/>
  <c r="V52" i="4"/>
  <c r="L52" i="4"/>
  <c r="AI121" i="4"/>
  <c r="AI117" i="4"/>
  <c r="AI116" i="4"/>
  <c r="AI120" i="4"/>
  <c r="AI119" i="4"/>
  <c r="AI118" i="4"/>
  <c r="L151" i="4"/>
  <c r="V151" i="4"/>
  <c r="R127" i="4"/>
  <c r="H127" i="4"/>
  <c r="X54" i="4"/>
  <c r="N54" i="4"/>
  <c r="M127" i="4"/>
  <c r="W127" i="4"/>
  <c r="W99" i="4"/>
  <c r="M99" i="4"/>
  <c r="L100" i="4"/>
  <c r="V100" i="4"/>
  <c r="S51" i="4"/>
  <c r="I51" i="4"/>
  <c r="S147" i="4"/>
  <c r="I147" i="4"/>
  <c r="J124" i="4"/>
  <c r="T124" i="4"/>
  <c r="M78" i="4"/>
  <c r="W78" i="4"/>
  <c r="M68" i="4"/>
  <c r="W68" i="4"/>
  <c r="T50" i="4"/>
  <c r="J50" i="4"/>
  <c r="S126" i="4"/>
  <c r="I126" i="4"/>
  <c r="R173" i="4"/>
  <c r="H173" i="4"/>
  <c r="V76" i="4"/>
  <c r="L76" i="4"/>
  <c r="T149" i="4"/>
  <c r="J149" i="4"/>
  <c r="L55" i="4"/>
  <c r="V55" i="4"/>
  <c r="AD92" i="4"/>
  <c r="AD96" i="4"/>
  <c r="AD93" i="4"/>
  <c r="AD95" i="4"/>
  <c r="AD94" i="4"/>
  <c r="AD97" i="4"/>
  <c r="J126" i="4"/>
  <c r="T126" i="4"/>
  <c r="W79" i="4"/>
  <c r="M79" i="4"/>
  <c r="J100" i="4"/>
  <c r="T100" i="4"/>
  <c r="T148" i="4"/>
  <c r="J148" i="4"/>
  <c r="AC144" i="4"/>
  <c r="AC142" i="4"/>
  <c r="AC145" i="4"/>
  <c r="AC143" i="4"/>
  <c r="AC140" i="4"/>
  <c r="AC141" i="4"/>
  <c r="R102" i="4"/>
  <c r="H102" i="4"/>
  <c r="W172" i="4"/>
  <c r="M172" i="4"/>
  <c r="T51" i="4"/>
  <c r="J51" i="4"/>
  <c r="AE118" i="4"/>
  <c r="AE119" i="4"/>
  <c r="AE121" i="4"/>
  <c r="AE117" i="4"/>
  <c r="AE116" i="4"/>
  <c r="AE120" i="4"/>
  <c r="AD142" i="4"/>
  <c r="AD145" i="4"/>
  <c r="AD140" i="4"/>
  <c r="AD141" i="4"/>
  <c r="AD143" i="4"/>
  <c r="AD144" i="4"/>
  <c r="I174" i="4"/>
  <c r="S174" i="4"/>
  <c r="L172" i="4"/>
  <c r="V172" i="4"/>
  <c r="J79" i="4"/>
  <c r="T79" i="4"/>
  <c r="N51" i="4"/>
  <c r="X51" i="4"/>
  <c r="I149" i="4"/>
  <c r="S149" i="4"/>
  <c r="R170" i="4"/>
  <c r="H170" i="4"/>
  <c r="L74" i="4"/>
  <c r="V74" i="4"/>
  <c r="AG44" i="4"/>
  <c r="AG47" i="4"/>
  <c r="AG48" i="4"/>
  <c r="AG49" i="4"/>
  <c r="AG45" i="4"/>
  <c r="AG46" i="4"/>
  <c r="AH145" i="4"/>
  <c r="AH142" i="4"/>
  <c r="AH140" i="4"/>
  <c r="AH144" i="4"/>
  <c r="AH143" i="4"/>
  <c r="AH141" i="4"/>
  <c r="AH93" i="4"/>
  <c r="AH96" i="4"/>
  <c r="AH92" i="4"/>
  <c r="AH97" i="4"/>
  <c r="AH94" i="4"/>
  <c r="AH95" i="4"/>
  <c r="S173" i="4"/>
  <c r="I173" i="4"/>
  <c r="L170" i="4"/>
  <c r="V170" i="4"/>
  <c r="J76" i="4"/>
  <c r="T76" i="4"/>
  <c r="AI69" i="4"/>
  <c r="AI73" i="4"/>
  <c r="AI72" i="4"/>
  <c r="AI71" i="4"/>
  <c r="AI70" i="4"/>
  <c r="AI68" i="4"/>
  <c r="AC48" i="4"/>
  <c r="AC45" i="4"/>
  <c r="AC47" i="4"/>
  <c r="AC49" i="4"/>
  <c r="AC46" i="4"/>
  <c r="AC44" i="4"/>
  <c r="AH48" i="4"/>
  <c r="AH46" i="4"/>
  <c r="AH45" i="4"/>
  <c r="AH44" i="4"/>
  <c r="AH49" i="4"/>
  <c r="AH47" i="4"/>
  <c r="AG119" i="4"/>
  <c r="AG120" i="4"/>
  <c r="AG118" i="4"/>
  <c r="AG116" i="4"/>
  <c r="AG121" i="4"/>
  <c r="AG117" i="4"/>
  <c r="AG168" i="4"/>
  <c r="AG169" i="4"/>
  <c r="AG164" i="4"/>
  <c r="AG167" i="4"/>
  <c r="AG166" i="4"/>
  <c r="AG165" i="4"/>
  <c r="AG92" i="4"/>
  <c r="AG96" i="4"/>
  <c r="AG95" i="4"/>
  <c r="AG94" i="4"/>
  <c r="AG93" i="4"/>
  <c r="AG97" i="4"/>
  <c r="V127" i="4"/>
  <c r="L127" i="4"/>
  <c r="T170" i="4"/>
  <c r="J170" i="4"/>
  <c r="S175" i="4"/>
  <c r="I175" i="4"/>
  <c r="L148" i="4"/>
  <c r="V148" i="4"/>
  <c r="W53" i="4"/>
  <c r="M53" i="4"/>
  <c r="R123" i="4"/>
  <c r="H123" i="4"/>
  <c r="N149" i="4"/>
  <c r="X149" i="4"/>
  <c r="J77" i="4"/>
  <c r="T77" i="4"/>
  <c r="X53" i="4"/>
  <c r="N53" i="4"/>
  <c r="W98" i="4"/>
  <c r="M98" i="4"/>
  <c r="W147" i="4"/>
  <c r="M147" i="4"/>
  <c r="H151" i="4"/>
  <c r="R151" i="4"/>
  <c r="I50" i="4"/>
  <c r="S50" i="4"/>
  <c r="I102" i="4"/>
  <c r="S102" i="4"/>
  <c r="I150" i="4"/>
  <c r="S150" i="4"/>
  <c r="M173" i="4"/>
  <c r="W173" i="4"/>
  <c r="W75" i="4"/>
  <c r="M75" i="4"/>
  <c r="W73" i="4"/>
  <c r="M73" i="4"/>
  <c r="T99" i="4"/>
  <c r="J99" i="4"/>
  <c r="R174" i="4"/>
  <c r="H174" i="4"/>
  <c r="L79" i="4"/>
  <c r="V79" i="4"/>
  <c r="H55" i="4"/>
  <c r="R55" i="4"/>
  <c r="X122" i="4"/>
  <c r="N122" i="4"/>
  <c r="X102" i="4"/>
  <c r="N102" i="4"/>
  <c r="J146" i="4"/>
  <c r="T146" i="4"/>
  <c r="V53" i="4"/>
  <c r="L53" i="4"/>
  <c r="N171" i="4"/>
  <c r="X171" i="4"/>
  <c r="AI49" i="4"/>
  <c r="AI45" i="4"/>
  <c r="AI47" i="4"/>
  <c r="AI44" i="4"/>
  <c r="AI46" i="4"/>
  <c r="AI48" i="4"/>
  <c r="AC121" i="4"/>
  <c r="AC117" i="4"/>
  <c r="AC118" i="4"/>
  <c r="AC120" i="4"/>
  <c r="AC119" i="4"/>
  <c r="AC116" i="4"/>
  <c r="AC94" i="4"/>
  <c r="AC92" i="4"/>
  <c r="AC95" i="4"/>
  <c r="AC96" i="4"/>
  <c r="AC97" i="4"/>
  <c r="AC93" i="4"/>
  <c r="R98" i="4"/>
  <c r="H98" i="4"/>
  <c r="I171" i="4"/>
  <c r="S171" i="4"/>
  <c r="S78" i="4"/>
  <c r="I78" i="4"/>
  <c r="M55" i="4"/>
  <c r="W55" i="4"/>
  <c r="L171" i="4"/>
  <c r="V171" i="4"/>
  <c r="X146" i="4"/>
  <c r="N146" i="4"/>
  <c r="J75" i="4"/>
  <c r="T75" i="4"/>
  <c r="M124" i="4"/>
  <c r="W124" i="4"/>
  <c r="H148" i="4"/>
  <c r="R148" i="4"/>
  <c r="S146" i="4"/>
  <c r="I146" i="4"/>
  <c r="I122" i="4"/>
  <c r="S122" i="4"/>
  <c r="N174" i="4"/>
  <c r="X174" i="4"/>
  <c r="V122" i="4"/>
  <c r="L122" i="4"/>
  <c r="L150" i="4"/>
  <c r="V150" i="4"/>
  <c r="I76" i="4"/>
  <c r="S76" i="4"/>
  <c r="L174" i="4"/>
  <c r="V174" i="4"/>
  <c r="N55" i="4"/>
  <c r="X55" i="4"/>
  <c r="V98" i="4"/>
  <c r="L98" i="4"/>
  <c r="AE69" i="4"/>
  <c r="AE73" i="4"/>
  <c r="AE72" i="4"/>
  <c r="AE70" i="4"/>
  <c r="AE71" i="4"/>
  <c r="AE68" i="4"/>
  <c r="L125" i="4"/>
  <c r="V125" i="4"/>
  <c r="L149" i="4"/>
  <c r="V149" i="4"/>
  <c r="I79" i="4"/>
  <c r="S79" i="4"/>
  <c r="R126" i="4"/>
  <c r="H126" i="4"/>
  <c r="W148" i="4"/>
  <c r="M148" i="4"/>
  <c r="N76" i="4"/>
  <c r="X76" i="4"/>
  <c r="L103" i="4"/>
  <c r="V103" i="4"/>
  <c r="S55" i="4"/>
  <c r="I55" i="4"/>
  <c r="M74" i="4"/>
  <c r="W74" i="4"/>
  <c r="I124" i="4"/>
  <c r="S124" i="4"/>
  <c r="AD71" i="4"/>
  <c r="AD68" i="4"/>
  <c r="AD72" i="4"/>
  <c r="AD70" i="4"/>
  <c r="AD73" i="4"/>
  <c r="AD69" i="4"/>
  <c r="AD169" i="4"/>
  <c r="AD166" i="4"/>
  <c r="AD168" i="4"/>
  <c r="AD164" i="4"/>
  <c r="AD165" i="4"/>
  <c r="AD167" i="4"/>
  <c r="L126" i="4"/>
  <c r="V126" i="4"/>
  <c r="R101" i="4"/>
  <c r="H101" i="4"/>
  <c r="I77" i="4"/>
  <c r="S77" i="4"/>
  <c r="W146" i="4"/>
  <c r="M146" i="4"/>
  <c r="N74" i="4"/>
  <c r="X74" i="4"/>
  <c r="AE45" i="4"/>
  <c r="AE44" i="4"/>
  <c r="AE48" i="4"/>
  <c r="AE49" i="4"/>
  <c r="AE47" i="4"/>
  <c r="AE46" i="4"/>
  <c r="AC71" i="4"/>
  <c r="AC68" i="4"/>
  <c r="AC70" i="4"/>
  <c r="AC72" i="4"/>
  <c r="AC69" i="4"/>
  <c r="AC73" i="4"/>
  <c r="AG70" i="4"/>
  <c r="AG72" i="4"/>
  <c r="AG71" i="4"/>
  <c r="AG73" i="4"/>
  <c r="AG69" i="4"/>
  <c r="AG68" i="4"/>
  <c r="AD116" i="4"/>
  <c r="AD119" i="4"/>
  <c r="AD120" i="4"/>
  <c r="AD118" i="4"/>
  <c r="AD117" i="4"/>
  <c r="AD121" i="4"/>
  <c r="AI141" i="4"/>
  <c r="AI140" i="4"/>
  <c r="AI142" i="4"/>
  <c r="AI145" i="4"/>
  <c r="AI143" i="4"/>
  <c r="AI144" i="4"/>
  <c r="AE164" i="4"/>
  <c r="AE167" i="4"/>
  <c r="AE165" i="4"/>
  <c r="AE169" i="4"/>
  <c r="AE166" i="4"/>
  <c r="AE168" i="4"/>
  <c r="AE97" i="4"/>
  <c r="AE96" i="4"/>
  <c r="AE95" i="4"/>
  <c r="AE92" i="4"/>
  <c r="AE93" i="4"/>
  <c r="AE94" i="4"/>
  <c r="V124" i="4"/>
  <c r="L124" i="4"/>
  <c r="T174" i="4"/>
  <c r="J174" i="4"/>
  <c r="S170" i="4"/>
  <c r="I170" i="4"/>
  <c r="V146" i="4"/>
  <c r="L146" i="4"/>
  <c r="M51" i="4"/>
  <c r="W51" i="4"/>
  <c r="R124" i="4"/>
  <c r="H124" i="4"/>
  <c r="N148" i="4"/>
  <c r="X148" i="4"/>
  <c r="T74" i="4"/>
  <c r="J74" i="4"/>
  <c r="X50" i="4"/>
  <c r="N50" i="4"/>
  <c r="M102" i="4"/>
  <c r="W102" i="4"/>
  <c r="W149" i="4"/>
  <c r="M149" i="4"/>
  <c r="R147" i="4"/>
  <c r="H147" i="4"/>
  <c r="S53" i="4"/>
  <c r="I53" i="4"/>
  <c r="I99" i="4"/>
  <c r="S99" i="4"/>
  <c r="I151" i="4"/>
  <c r="S151" i="4"/>
  <c r="W174" i="4"/>
  <c r="M174" i="4"/>
  <c r="W76" i="4"/>
  <c r="M76" i="4"/>
  <c r="M71" i="4"/>
  <c r="W71" i="4"/>
  <c r="J102" i="4"/>
  <c r="T102" i="4"/>
  <c r="R175" i="4"/>
  <c r="H175" i="4"/>
  <c r="L75" i="4"/>
  <c r="V75" i="4"/>
  <c r="H52" i="4"/>
  <c r="R52" i="4"/>
  <c r="X127" i="4"/>
  <c r="N127" i="4"/>
  <c r="X103" i="4"/>
  <c r="N103" i="4"/>
  <c r="T147" i="4"/>
  <c r="J147" i="4"/>
  <c r="V50" i="4"/>
  <c r="L50" i="4"/>
  <c r="X172" i="4"/>
  <c r="N172" i="4"/>
  <c r="R4" i="5"/>
  <c r="S4" i="5"/>
  <c r="M4" i="5"/>
  <c r="N4" i="5"/>
  <c r="O4" i="5"/>
  <c r="Q4" i="5"/>
  <c r="O37" i="5" l="1"/>
  <c r="L3" i="7" s="1"/>
  <c r="O40" i="5"/>
  <c r="L6" i="7" s="1"/>
  <c r="O41" i="5"/>
  <c r="L7" i="7" s="1"/>
  <c r="O38" i="5"/>
  <c r="L4" i="7" s="1"/>
  <c r="O36" i="5"/>
  <c r="L2" i="7" s="1"/>
  <c r="O39" i="5"/>
  <c r="L5" i="7" s="1"/>
  <c r="K38" i="5"/>
  <c r="I4" i="7" s="1"/>
  <c r="K40" i="5"/>
  <c r="I6" i="7" s="1"/>
  <c r="K39" i="5"/>
  <c r="I5" i="7" s="1"/>
  <c r="K37" i="5"/>
  <c r="I3" i="7" s="1"/>
  <c r="K41" i="5"/>
  <c r="I7" i="7" s="1"/>
  <c r="K36" i="5"/>
  <c r="I2" i="7" s="1"/>
  <c r="N39" i="5"/>
  <c r="K5" i="7" s="1"/>
  <c r="N41" i="5"/>
  <c r="K7" i="7" s="1"/>
  <c r="N37" i="5"/>
  <c r="K3" i="7" s="1"/>
  <c r="N36" i="5"/>
  <c r="K2" i="7" s="1"/>
  <c r="N40" i="5"/>
  <c r="K6" i="7" s="1"/>
  <c r="N38" i="5"/>
  <c r="K4" i="7" s="1"/>
  <c r="J36" i="5"/>
  <c r="H2" i="7" s="1"/>
  <c r="J41" i="5"/>
  <c r="H7" i="7" s="1"/>
  <c r="J38" i="5"/>
  <c r="H4" i="7" s="1"/>
  <c r="J37" i="5"/>
  <c r="H3" i="7" s="1"/>
  <c r="J39" i="5"/>
  <c r="H5" i="7" s="1"/>
  <c r="J40" i="5"/>
  <c r="H6" i="7" s="1"/>
  <c r="L37" i="5"/>
  <c r="J3" i="7" s="1"/>
  <c r="L40" i="5"/>
  <c r="J6" i="7" s="1"/>
  <c r="L38" i="5"/>
  <c r="J4" i="7" s="1"/>
  <c r="L39" i="5"/>
  <c r="J5" i="7" s="1"/>
  <c r="L41" i="5"/>
  <c r="J7" i="7" s="1"/>
  <c r="L36" i="5"/>
  <c r="J2" i="7" s="1"/>
  <c r="P40" i="5"/>
  <c r="M6" i="7" s="1"/>
  <c r="P39" i="5"/>
  <c r="M5" i="7" s="1"/>
  <c r="P41" i="5"/>
  <c r="M7" i="7" s="1"/>
  <c r="P38" i="5"/>
  <c r="M4" i="7" s="1"/>
  <c r="P37" i="5"/>
  <c r="M3" i="7" s="1"/>
  <c r="P36" i="5"/>
  <c r="M2" i="7" s="1"/>
  <c r="J96" i="4"/>
  <c r="T96" i="4"/>
  <c r="S164" i="4"/>
  <c r="I164" i="4"/>
  <c r="V49" i="4"/>
  <c r="L49" i="4"/>
  <c r="T119" i="4"/>
  <c r="J119" i="4"/>
  <c r="H169" i="4"/>
  <c r="R169" i="4"/>
  <c r="S45" i="4"/>
  <c r="I45" i="4"/>
  <c r="W165" i="4"/>
  <c r="M165" i="4"/>
  <c r="AI36" i="4"/>
  <c r="AI33" i="4"/>
  <c r="AI37" i="4"/>
  <c r="AI34" i="4"/>
  <c r="AI35" i="4"/>
  <c r="AI32" i="4"/>
  <c r="T97" i="4"/>
  <c r="J97" i="4"/>
  <c r="N143" i="4"/>
  <c r="X143" i="4"/>
  <c r="S120" i="4"/>
  <c r="I120" i="4"/>
  <c r="V70" i="4"/>
  <c r="L70" i="4"/>
  <c r="T47" i="4"/>
  <c r="J47" i="4"/>
  <c r="S168" i="4"/>
  <c r="I168" i="4"/>
  <c r="S71" i="4"/>
  <c r="I71" i="4"/>
  <c r="J69" i="4"/>
  <c r="T69" i="4"/>
  <c r="R94" i="4"/>
  <c r="H94" i="4"/>
  <c r="N47" i="4"/>
  <c r="X47" i="4"/>
  <c r="V166" i="4"/>
  <c r="L166" i="4"/>
  <c r="L118" i="4"/>
  <c r="V118" i="4"/>
  <c r="W48" i="4"/>
  <c r="M48" i="4"/>
  <c r="X70" i="4"/>
  <c r="N70" i="4"/>
  <c r="W143" i="4"/>
  <c r="M143" i="4"/>
  <c r="L48" i="4"/>
  <c r="V48" i="4"/>
  <c r="S140" i="4"/>
  <c r="I140" i="4"/>
  <c r="J118" i="4"/>
  <c r="T118" i="4"/>
  <c r="R145" i="4"/>
  <c r="H145" i="4"/>
  <c r="X119" i="4"/>
  <c r="N119" i="4"/>
  <c r="X166" i="4"/>
  <c r="N166" i="4"/>
  <c r="W121" i="4"/>
  <c r="M121" i="4"/>
  <c r="N96" i="4"/>
  <c r="X96" i="4"/>
  <c r="R164" i="4"/>
  <c r="H164" i="4"/>
  <c r="I46" i="4"/>
  <c r="S46" i="4"/>
  <c r="W166" i="4"/>
  <c r="M166" i="4"/>
  <c r="L165" i="4"/>
  <c r="V165" i="4"/>
  <c r="N68" i="4"/>
  <c r="X68" i="4"/>
  <c r="I141" i="4"/>
  <c r="S141" i="4"/>
  <c r="W117" i="4"/>
  <c r="M117" i="4"/>
  <c r="X145" i="4"/>
  <c r="N145" i="4"/>
  <c r="R73" i="4"/>
  <c r="H73" i="4"/>
  <c r="N45" i="4"/>
  <c r="X45" i="4"/>
  <c r="V167" i="4"/>
  <c r="L167" i="4"/>
  <c r="X71" i="4"/>
  <c r="N71" i="4"/>
  <c r="W95" i="4"/>
  <c r="M95" i="4"/>
  <c r="V47" i="4"/>
  <c r="L47" i="4"/>
  <c r="V143" i="4"/>
  <c r="L143" i="4"/>
  <c r="T166" i="4"/>
  <c r="J166" i="4"/>
  <c r="H69" i="4"/>
  <c r="R69" i="4"/>
  <c r="S169" i="4"/>
  <c r="I169" i="4"/>
  <c r="V164" i="4"/>
  <c r="L164" i="4"/>
  <c r="H144" i="4"/>
  <c r="R144" i="4"/>
  <c r="S94" i="4"/>
  <c r="I94" i="4"/>
  <c r="W118" i="4"/>
  <c r="M118" i="4"/>
  <c r="V142" i="4"/>
  <c r="L142" i="4"/>
  <c r="J94" i="4"/>
  <c r="T94" i="4"/>
  <c r="R72" i="4"/>
  <c r="H72" i="4"/>
  <c r="H93" i="4"/>
  <c r="R93" i="4"/>
  <c r="V94" i="4"/>
  <c r="L94" i="4"/>
  <c r="R49" i="4"/>
  <c r="H49" i="4"/>
  <c r="W142" i="4"/>
  <c r="M142" i="4"/>
  <c r="S95" i="4"/>
  <c r="I95" i="4"/>
  <c r="L144" i="4"/>
  <c r="V144" i="4"/>
  <c r="I47" i="4"/>
  <c r="S47" i="4"/>
  <c r="X141" i="4"/>
  <c r="N141" i="4"/>
  <c r="J45" i="4"/>
  <c r="T45" i="4"/>
  <c r="S73" i="4"/>
  <c r="I73" i="4"/>
  <c r="H118" i="4"/>
  <c r="R118" i="4"/>
  <c r="V95" i="4"/>
  <c r="L95" i="4"/>
  <c r="V168" i="4"/>
  <c r="L168" i="4"/>
  <c r="W49" i="4"/>
  <c r="M49" i="4"/>
  <c r="H47" i="4"/>
  <c r="R47" i="4"/>
  <c r="N69" i="4"/>
  <c r="X69" i="4"/>
  <c r="M92" i="4"/>
  <c r="W92" i="4"/>
  <c r="M145" i="4"/>
  <c r="W145" i="4"/>
  <c r="T116" i="4"/>
  <c r="J116" i="4"/>
  <c r="S93" i="4"/>
  <c r="I93" i="4"/>
  <c r="X121" i="4"/>
  <c r="N121" i="4"/>
  <c r="R166" i="4"/>
  <c r="H166" i="4"/>
  <c r="V140" i="4"/>
  <c r="L140" i="4"/>
  <c r="I48" i="4"/>
  <c r="S48" i="4"/>
  <c r="W167" i="4"/>
  <c r="M167" i="4"/>
  <c r="J142" i="4"/>
  <c r="T142" i="4"/>
  <c r="AE37" i="4"/>
  <c r="AE32" i="4"/>
  <c r="AE33" i="4"/>
  <c r="AE34" i="4"/>
  <c r="AE35" i="4"/>
  <c r="AE36" i="4"/>
  <c r="X144" i="4"/>
  <c r="N144" i="4"/>
  <c r="T73" i="4"/>
  <c r="J73" i="4"/>
  <c r="X44" i="4"/>
  <c r="N44" i="4"/>
  <c r="W141" i="4"/>
  <c r="M141" i="4"/>
  <c r="H143" i="4"/>
  <c r="R143" i="4"/>
  <c r="X168" i="4"/>
  <c r="N168" i="4"/>
  <c r="V97" i="4"/>
  <c r="L97" i="4"/>
  <c r="R44" i="4"/>
  <c r="H44" i="4"/>
  <c r="M144" i="4"/>
  <c r="W144" i="4"/>
  <c r="S145" i="4"/>
  <c r="I145" i="4"/>
  <c r="N164" i="4"/>
  <c r="X164" i="4"/>
  <c r="N142" i="4"/>
  <c r="X142" i="4"/>
  <c r="J48" i="4"/>
  <c r="T48" i="4"/>
  <c r="H119" i="4"/>
  <c r="R119" i="4"/>
  <c r="X169" i="4"/>
  <c r="N169" i="4"/>
  <c r="N140" i="4"/>
  <c r="X140" i="4"/>
  <c r="S69" i="4"/>
  <c r="I69" i="4"/>
  <c r="H120" i="4"/>
  <c r="R120" i="4"/>
  <c r="J120" i="4"/>
  <c r="T120" i="4"/>
  <c r="N117" i="4"/>
  <c r="X117" i="4"/>
  <c r="T93" i="4"/>
  <c r="J93" i="4"/>
  <c r="R97" i="4"/>
  <c r="H97" i="4"/>
  <c r="J92" i="4"/>
  <c r="T92" i="4"/>
  <c r="T167" i="4"/>
  <c r="J167" i="4"/>
  <c r="I121" i="4"/>
  <c r="S121" i="4"/>
  <c r="L73" i="4"/>
  <c r="V73" i="4"/>
  <c r="H68" i="4"/>
  <c r="R68" i="4"/>
  <c r="S167" i="4"/>
  <c r="I167" i="4"/>
  <c r="S70" i="4"/>
  <c r="I70" i="4"/>
  <c r="T70" i="4"/>
  <c r="J70" i="4"/>
  <c r="R96" i="4"/>
  <c r="H96" i="4"/>
  <c r="R117" i="4"/>
  <c r="H117" i="4"/>
  <c r="N48" i="4"/>
  <c r="X48" i="4"/>
  <c r="V96" i="4"/>
  <c r="L96" i="4"/>
  <c r="L117" i="4"/>
  <c r="V117" i="4"/>
  <c r="W44" i="4"/>
  <c r="M44" i="4"/>
  <c r="R45" i="4"/>
  <c r="H45" i="4"/>
  <c r="W96" i="4"/>
  <c r="M96" i="4"/>
  <c r="L46" i="4"/>
  <c r="V46" i="4"/>
  <c r="S144" i="4"/>
  <c r="I144" i="4"/>
  <c r="T117" i="4"/>
  <c r="J117" i="4"/>
  <c r="R141" i="4"/>
  <c r="H141" i="4"/>
  <c r="S96" i="4"/>
  <c r="I96" i="4"/>
  <c r="N165" i="4"/>
  <c r="X165" i="4"/>
  <c r="W116" i="4"/>
  <c r="M116" i="4"/>
  <c r="X93" i="4"/>
  <c r="N93" i="4"/>
  <c r="R168" i="4"/>
  <c r="H168" i="4"/>
  <c r="V145" i="4"/>
  <c r="L145" i="4"/>
  <c r="W168" i="4"/>
  <c r="M168" i="4"/>
  <c r="T141" i="4"/>
  <c r="J141" i="4"/>
  <c r="I118" i="4"/>
  <c r="S118" i="4"/>
  <c r="V72" i="4"/>
  <c r="L72" i="4"/>
  <c r="T46" i="4"/>
  <c r="J46" i="4"/>
  <c r="S68" i="4"/>
  <c r="I68" i="4"/>
  <c r="R92" i="4"/>
  <c r="H92" i="4"/>
  <c r="L116" i="4"/>
  <c r="V116" i="4"/>
  <c r="M46" i="4"/>
  <c r="W46" i="4"/>
  <c r="N118" i="4"/>
  <c r="X118" i="4"/>
  <c r="X92" i="4"/>
  <c r="N92" i="4"/>
  <c r="AC34" i="4"/>
  <c r="AC33" i="4"/>
  <c r="AC35" i="4"/>
  <c r="AC36" i="4"/>
  <c r="AC32" i="4"/>
  <c r="AC37" i="4"/>
  <c r="J168" i="4"/>
  <c r="T168" i="4"/>
  <c r="S119" i="4"/>
  <c r="I119" i="4"/>
  <c r="J49" i="4"/>
  <c r="T49" i="4"/>
  <c r="S166" i="4"/>
  <c r="I166" i="4"/>
  <c r="H116" i="4"/>
  <c r="R116" i="4"/>
  <c r="V120" i="4"/>
  <c r="L120" i="4"/>
  <c r="R142" i="4"/>
  <c r="H142" i="4"/>
  <c r="I97" i="4"/>
  <c r="S97" i="4"/>
  <c r="X120" i="4"/>
  <c r="N120" i="4"/>
  <c r="W119" i="4"/>
  <c r="M119" i="4"/>
  <c r="X97" i="4"/>
  <c r="N97" i="4"/>
  <c r="S49" i="4"/>
  <c r="I49" i="4"/>
  <c r="T140" i="4"/>
  <c r="J140" i="4"/>
  <c r="I116" i="4"/>
  <c r="S116" i="4"/>
  <c r="N49" i="4"/>
  <c r="X49" i="4"/>
  <c r="V93" i="4"/>
  <c r="L93" i="4"/>
  <c r="V119" i="4"/>
  <c r="L119" i="4"/>
  <c r="R46" i="4"/>
  <c r="H46" i="4"/>
  <c r="X72" i="4"/>
  <c r="N72" i="4"/>
  <c r="M94" i="4"/>
  <c r="W94" i="4"/>
  <c r="W140" i="4"/>
  <c r="M140" i="4"/>
  <c r="V44" i="4"/>
  <c r="L44" i="4"/>
  <c r="S142" i="4"/>
  <c r="I142" i="4"/>
  <c r="X116" i="4"/>
  <c r="N116" i="4"/>
  <c r="X94" i="4"/>
  <c r="N94" i="4"/>
  <c r="S44" i="4"/>
  <c r="I44" i="4"/>
  <c r="T144" i="4"/>
  <c r="J144" i="4"/>
  <c r="AG33" i="4"/>
  <c r="AG37" i="4"/>
  <c r="AG34" i="4"/>
  <c r="AG35" i="4"/>
  <c r="AG32" i="4"/>
  <c r="AG36" i="4"/>
  <c r="T169" i="4"/>
  <c r="J169" i="4"/>
  <c r="V68" i="4"/>
  <c r="L68" i="4"/>
  <c r="T44" i="4"/>
  <c r="J44" i="4"/>
  <c r="T68" i="4"/>
  <c r="J68" i="4"/>
  <c r="V169" i="4"/>
  <c r="L169" i="4"/>
  <c r="M47" i="4"/>
  <c r="W47" i="4"/>
  <c r="X73" i="4"/>
  <c r="N73" i="4"/>
  <c r="M97" i="4"/>
  <c r="W97" i="4"/>
  <c r="R167" i="4"/>
  <c r="H167" i="4"/>
  <c r="W164" i="4"/>
  <c r="M164" i="4"/>
  <c r="T143" i="4"/>
  <c r="J143" i="4"/>
  <c r="AD36" i="4"/>
  <c r="AD32" i="4"/>
  <c r="AD37" i="4"/>
  <c r="AD35" i="4"/>
  <c r="AD33" i="4"/>
  <c r="AD34" i="4"/>
  <c r="T165" i="4"/>
  <c r="J165" i="4"/>
  <c r="V69" i="4"/>
  <c r="L69" i="4"/>
  <c r="R70" i="4"/>
  <c r="H70" i="4"/>
  <c r="J71" i="4"/>
  <c r="T71" i="4"/>
  <c r="AH36" i="4"/>
  <c r="AH34" i="4"/>
  <c r="AH32" i="4"/>
  <c r="AH33" i="4"/>
  <c r="AH35" i="4"/>
  <c r="AH37" i="4"/>
  <c r="T95" i="4"/>
  <c r="J95" i="4"/>
  <c r="T164" i="4"/>
  <c r="J164" i="4"/>
  <c r="S117" i="4"/>
  <c r="I117" i="4"/>
  <c r="V71" i="4"/>
  <c r="L71" i="4"/>
  <c r="R71" i="4"/>
  <c r="H71" i="4"/>
  <c r="I165" i="4"/>
  <c r="S165" i="4"/>
  <c r="S72" i="4"/>
  <c r="I72" i="4"/>
  <c r="T72" i="4"/>
  <c r="J72" i="4"/>
  <c r="H95" i="4"/>
  <c r="R95" i="4"/>
  <c r="R121" i="4"/>
  <c r="H121" i="4"/>
  <c r="X46" i="4"/>
  <c r="N46" i="4"/>
  <c r="L92" i="4"/>
  <c r="V92" i="4"/>
  <c r="V121" i="4"/>
  <c r="L121" i="4"/>
  <c r="W45" i="4"/>
  <c r="M45" i="4"/>
  <c r="R48" i="4"/>
  <c r="H48" i="4"/>
  <c r="W93" i="4"/>
  <c r="M93" i="4"/>
  <c r="V45" i="4"/>
  <c r="L45" i="4"/>
  <c r="I143" i="4"/>
  <c r="S143" i="4"/>
  <c r="T121" i="4"/>
  <c r="J121" i="4"/>
  <c r="R140" i="4"/>
  <c r="H140" i="4"/>
  <c r="I92" i="4"/>
  <c r="S92" i="4"/>
  <c r="X167" i="4"/>
  <c r="N167" i="4"/>
  <c r="M120" i="4"/>
  <c r="W120" i="4"/>
  <c r="X95" i="4"/>
  <c r="N95" i="4"/>
  <c r="R165" i="4"/>
  <c r="H165" i="4"/>
  <c r="L141" i="4"/>
  <c r="V141" i="4"/>
  <c r="M169" i="4"/>
  <c r="W169" i="4"/>
  <c r="T145" i="4"/>
  <c r="J145" i="4"/>
  <c r="X33" i="4" l="1"/>
  <c r="N33" i="4"/>
  <c r="N36" i="4"/>
  <c r="X36" i="4"/>
  <c r="V34" i="4"/>
  <c r="L34" i="4"/>
  <c r="S34" i="4"/>
  <c r="I34" i="4"/>
  <c r="R36" i="4"/>
  <c r="H36" i="4"/>
  <c r="T32" i="4"/>
  <c r="J32" i="4"/>
  <c r="X34" i="4"/>
  <c r="N34" i="4"/>
  <c r="R33" i="4"/>
  <c r="H33" i="4"/>
  <c r="R34" i="4"/>
  <c r="H34" i="4"/>
  <c r="W37" i="4"/>
  <c r="M37" i="4"/>
  <c r="W34" i="4"/>
  <c r="M34" i="4"/>
  <c r="L37" i="4"/>
  <c r="V37" i="4"/>
  <c r="M36" i="4"/>
  <c r="W36" i="4"/>
  <c r="S33" i="4"/>
  <c r="I33" i="4"/>
  <c r="V33" i="4"/>
  <c r="L33" i="4"/>
  <c r="R35" i="4"/>
  <c r="H35" i="4"/>
  <c r="J37" i="4"/>
  <c r="T37" i="4"/>
  <c r="X37" i="4"/>
  <c r="N37" i="4"/>
  <c r="I35" i="4"/>
  <c r="S35" i="4"/>
  <c r="S32" i="4"/>
  <c r="I32" i="4"/>
  <c r="L36" i="4"/>
  <c r="V36" i="4"/>
  <c r="J36" i="4"/>
  <c r="T36" i="4"/>
  <c r="W35" i="4"/>
  <c r="M35" i="4"/>
  <c r="S36" i="4"/>
  <c r="I36" i="4"/>
  <c r="J35" i="4"/>
  <c r="T35" i="4"/>
  <c r="W33" i="4"/>
  <c r="M33" i="4"/>
  <c r="V35" i="4"/>
  <c r="L35" i="4"/>
  <c r="R37" i="4"/>
  <c r="H37" i="4"/>
  <c r="T34" i="4"/>
  <c r="J34" i="4"/>
  <c r="X32" i="4"/>
  <c r="N32" i="4"/>
  <c r="S37" i="4"/>
  <c r="I37" i="4"/>
  <c r="V32" i="4"/>
  <c r="L32" i="4"/>
  <c r="W32" i="4"/>
  <c r="M32" i="4"/>
  <c r="R32" i="4"/>
  <c r="H32" i="4"/>
  <c r="J33" i="4"/>
  <c r="T33" i="4"/>
  <c r="X35" i="4"/>
  <c r="N35" i="4"/>
  <c r="L13" i="5" l="1"/>
  <c r="I20" i="6"/>
  <c r="I13" i="6"/>
  <c r="I95" i="5" l="1"/>
  <c r="G61" i="7" s="1"/>
  <c r="I90" i="5"/>
  <c r="G56" i="7" s="1"/>
  <c r="I92" i="5"/>
  <c r="G58" i="7" s="1"/>
  <c r="I91" i="5"/>
  <c r="G57" i="7" s="1"/>
  <c r="I94" i="5"/>
  <c r="G60" i="7" s="1"/>
  <c r="I93" i="5"/>
  <c r="G59" i="7" s="1"/>
  <c r="AB138" i="4"/>
  <c r="AB136" i="4"/>
  <c r="AB135" i="4"/>
  <c r="AB139" i="4"/>
  <c r="AB134" i="4"/>
  <c r="AB137" i="4"/>
  <c r="AB132" i="4"/>
  <c r="AB129" i="4"/>
  <c r="AB133" i="4"/>
  <c r="AB130" i="4"/>
  <c r="AB128" i="4"/>
  <c r="AB131" i="4"/>
  <c r="K96" i="6"/>
  <c r="K97" i="6"/>
  <c r="K94" i="6"/>
  <c r="K93" i="6"/>
  <c r="K95" i="6"/>
  <c r="K98" i="6"/>
  <c r="K136" i="6"/>
  <c r="K139" i="6"/>
  <c r="K135" i="6"/>
  <c r="K138" i="6"/>
  <c r="K137" i="6"/>
  <c r="K140" i="6"/>
  <c r="AB121" i="4"/>
  <c r="AB117" i="4"/>
  <c r="AB119" i="4"/>
  <c r="AB116" i="4"/>
  <c r="AB118" i="4"/>
  <c r="AB120" i="4"/>
  <c r="AB123" i="4"/>
  <c r="AB127" i="4"/>
  <c r="AB124" i="4"/>
  <c r="AB126" i="4"/>
  <c r="AB122" i="4"/>
  <c r="AB125" i="4"/>
  <c r="L14" i="5"/>
  <c r="L15" i="5"/>
  <c r="I14" i="6"/>
  <c r="L21" i="5"/>
  <c r="I12" i="6"/>
  <c r="I27" i="6"/>
  <c r="I25" i="6"/>
  <c r="I26" i="6"/>
  <c r="L28" i="5"/>
  <c r="I28" i="6"/>
  <c r="L26" i="5"/>
  <c r="L27" i="5"/>
  <c r="L29" i="5"/>
  <c r="I23" i="6"/>
  <c r="L22" i="5"/>
  <c r="L23" i="5"/>
  <c r="I22" i="6"/>
  <c r="L25" i="5"/>
  <c r="L24" i="5"/>
  <c r="I21" i="6"/>
  <c r="I24" i="6"/>
  <c r="I18" i="6"/>
  <c r="L4" i="5"/>
  <c r="L20" i="5"/>
  <c r="I19" i="6"/>
  <c r="L19" i="5"/>
  <c r="L17" i="5"/>
  <c r="I16" i="6"/>
  <c r="I17" i="6"/>
  <c r="I15" i="6"/>
  <c r="L16" i="5"/>
  <c r="L18" i="5"/>
  <c r="L7" i="5"/>
  <c r="I6" i="6"/>
  <c r="I9" i="6"/>
  <c r="L10" i="5"/>
  <c r="I10" i="6"/>
  <c r="L12" i="5"/>
  <c r="I11" i="6"/>
  <c r="L11" i="5"/>
  <c r="I4" i="6"/>
  <c r="I5" i="6"/>
  <c r="L6" i="5"/>
  <c r="L5" i="5"/>
  <c r="I51" i="5" l="1"/>
  <c r="G17" i="7" s="1"/>
  <c r="I52" i="5"/>
  <c r="G18" i="7" s="1"/>
  <c r="I49" i="5"/>
  <c r="G15" i="7" s="1"/>
  <c r="I48" i="5"/>
  <c r="G14" i="7" s="1"/>
  <c r="I50" i="5"/>
  <c r="G16" i="7" s="1"/>
  <c r="I53" i="5"/>
  <c r="G19" i="7" s="1"/>
  <c r="I42" i="5"/>
  <c r="G8" i="7" s="1"/>
  <c r="I43" i="5"/>
  <c r="G9" i="7" s="1"/>
  <c r="I45" i="5"/>
  <c r="G11" i="7" s="1"/>
  <c r="I47" i="5"/>
  <c r="G13" i="7" s="1"/>
  <c r="I46" i="5"/>
  <c r="G12" i="7" s="1"/>
  <c r="I44" i="5"/>
  <c r="G10" i="7" s="1"/>
  <c r="I36" i="5"/>
  <c r="G2" i="7" s="1"/>
  <c r="I40" i="5"/>
  <c r="G6" i="7" s="1"/>
  <c r="I38" i="5"/>
  <c r="G4" i="7" s="1"/>
  <c r="I39" i="5"/>
  <c r="G5" i="7" s="1"/>
  <c r="I41" i="5"/>
  <c r="G7" i="7" s="1"/>
  <c r="I37" i="5"/>
  <c r="G3" i="7" s="1"/>
  <c r="I86" i="5"/>
  <c r="G52" i="7" s="1"/>
  <c r="I87" i="5"/>
  <c r="G53" i="7" s="1"/>
  <c r="I88" i="5"/>
  <c r="G54" i="7" s="1"/>
  <c r="I84" i="5"/>
  <c r="G50" i="7" s="1"/>
  <c r="I85" i="5"/>
  <c r="G51" i="7" s="1"/>
  <c r="I89" i="5"/>
  <c r="G55" i="7" s="1"/>
  <c r="I121" i="5"/>
  <c r="G87" i="7" s="1"/>
  <c r="I124" i="5"/>
  <c r="G90" i="7" s="1"/>
  <c r="I125" i="5"/>
  <c r="G91" i="7" s="1"/>
  <c r="I123" i="5"/>
  <c r="G89" i="7" s="1"/>
  <c r="I122" i="5"/>
  <c r="G88" i="7" s="1"/>
  <c r="I120" i="5"/>
  <c r="G86" i="7" s="1"/>
  <c r="I79" i="5"/>
  <c r="G45" i="7" s="1"/>
  <c r="I81" i="5"/>
  <c r="G47" i="7" s="1"/>
  <c r="I83" i="5"/>
  <c r="G49" i="7" s="1"/>
  <c r="I80" i="5"/>
  <c r="G46" i="7" s="1"/>
  <c r="I82" i="5"/>
  <c r="G48" i="7" s="1"/>
  <c r="I78" i="5"/>
  <c r="G44" i="7" s="1"/>
  <c r="I134" i="5"/>
  <c r="G100" i="7" s="1"/>
  <c r="I132" i="5"/>
  <c r="G98" i="7" s="1"/>
  <c r="I137" i="5"/>
  <c r="G103" i="7" s="1"/>
  <c r="I135" i="5"/>
  <c r="G101" i="7" s="1"/>
  <c r="I136" i="5"/>
  <c r="G102" i="7" s="1"/>
  <c r="I133" i="5"/>
  <c r="G99" i="7" s="1"/>
  <c r="I153" i="5"/>
  <c r="G119" i="7" s="1"/>
  <c r="I154" i="5"/>
  <c r="G120" i="7" s="1"/>
  <c r="I150" i="5"/>
  <c r="G116" i="7" s="1"/>
  <c r="I155" i="5"/>
  <c r="G121" i="7" s="1"/>
  <c r="I152" i="5"/>
  <c r="G118" i="7" s="1"/>
  <c r="I151" i="5"/>
  <c r="G117" i="7" s="1"/>
  <c r="I111" i="5"/>
  <c r="G77" i="7" s="1"/>
  <c r="I108" i="5"/>
  <c r="G74" i="7" s="1"/>
  <c r="I110" i="5"/>
  <c r="G76" i="7" s="1"/>
  <c r="I112" i="5"/>
  <c r="G78" i="7" s="1"/>
  <c r="I113" i="5"/>
  <c r="G79" i="7" s="1"/>
  <c r="I109" i="5"/>
  <c r="G75" i="7" s="1"/>
  <c r="I148" i="5"/>
  <c r="G114" i="7" s="1"/>
  <c r="I147" i="5"/>
  <c r="G113" i="7" s="1"/>
  <c r="I149" i="5"/>
  <c r="G115" i="7" s="1"/>
  <c r="I144" i="5"/>
  <c r="G110" i="7" s="1"/>
  <c r="I146" i="5"/>
  <c r="G112" i="7" s="1"/>
  <c r="I145" i="5"/>
  <c r="G111" i="7" s="1"/>
  <c r="I187" i="5"/>
  <c r="G153" i="7" s="1"/>
  <c r="I189" i="5"/>
  <c r="G155" i="7" s="1"/>
  <c r="I188" i="5"/>
  <c r="G154" i="7" s="1"/>
  <c r="I190" i="5"/>
  <c r="G156" i="7" s="1"/>
  <c r="I191" i="5"/>
  <c r="G157" i="7" s="1"/>
  <c r="I186" i="5"/>
  <c r="G152" i="7" s="1"/>
  <c r="I73" i="5"/>
  <c r="I72" i="5"/>
  <c r="G38" i="7" s="1"/>
  <c r="I74" i="5"/>
  <c r="G40" i="7" s="1"/>
  <c r="I77" i="5"/>
  <c r="G43" i="7" s="1"/>
  <c r="I75" i="5"/>
  <c r="G41" i="7" s="1"/>
  <c r="I76" i="5"/>
  <c r="G42" i="7" s="1"/>
  <c r="I176" i="5"/>
  <c r="G142" i="7" s="1"/>
  <c r="I178" i="5"/>
  <c r="G144" i="7" s="1"/>
  <c r="I179" i="5"/>
  <c r="G145" i="7" s="1"/>
  <c r="I175" i="5"/>
  <c r="G141" i="7" s="1"/>
  <c r="I177" i="5"/>
  <c r="G143" i="7" s="1"/>
  <c r="I174" i="5"/>
  <c r="G140" i="7" s="1"/>
  <c r="I141" i="5"/>
  <c r="G107" i="7" s="1"/>
  <c r="I143" i="5"/>
  <c r="G109" i="7" s="1"/>
  <c r="I139" i="5"/>
  <c r="G105" i="7" s="1"/>
  <c r="I142" i="5"/>
  <c r="G108" i="7" s="1"/>
  <c r="I140" i="5"/>
  <c r="G106" i="7" s="1"/>
  <c r="I138" i="5"/>
  <c r="G104" i="7" s="1"/>
  <c r="I119" i="5"/>
  <c r="G85" i="7" s="1"/>
  <c r="I115" i="5"/>
  <c r="G81" i="7" s="1"/>
  <c r="I118" i="5"/>
  <c r="G84" i="7" s="1"/>
  <c r="I114" i="5"/>
  <c r="G80" i="7" s="1"/>
  <c r="I116" i="5"/>
  <c r="G82" i="7" s="1"/>
  <c r="I117" i="5"/>
  <c r="G83" i="7" s="1"/>
  <c r="I161" i="5"/>
  <c r="G127" i="7" s="1"/>
  <c r="I157" i="5"/>
  <c r="G123" i="7" s="1"/>
  <c r="I158" i="5"/>
  <c r="G124" i="7" s="1"/>
  <c r="I156" i="5"/>
  <c r="G122" i="7" s="1"/>
  <c r="I160" i="5"/>
  <c r="G126" i="7" s="1"/>
  <c r="I159" i="5"/>
  <c r="G125" i="7" s="1"/>
  <c r="I170" i="5"/>
  <c r="G136" i="7" s="1"/>
  <c r="I168" i="5"/>
  <c r="G134" i="7" s="1"/>
  <c r="I173" i="5"/>
  <c r="G139" i="7" s="1"/>
  <c r="I169" i="5"/>
  <c r="G135" i="7" s="1"/>
  <c r="I172" i="5"/>
  <c r="G138" i="7" s="1"/>
  <c r="I171" i="5"/>
  <c r="G137" i="7" s="1"/>
  <c r="I130" i="5"/>
  <c r="G96" i="7" s="1"/>
  <c r="I131" i="5"/>
  <c r="G97" i="7" s="1"/>
  <c r="I129" i="5"/>
  <c r="G95" i="7" s="1"/>
  <c r="I128" i="5"/>
  <c r="G94" i="7" s="1"/>
  <c r="I127" i="5"/>
  <c r="G93" i="7" s="1"/>
  <c r="I126" i="5"/>
  <c r="G92" i="7" s="1"/>
  <c r="I164" i="5"/>
  <c r="G130" i="7" s="1"/>
  <c r="I166" i="5"/>
  <c r="G132" i="7" s="1"/>
  <c r="I165" i="5"/>
  <c r="G131" i="7" s="1"/>
  <c r="I167" i="5"/>
  <c r="G133" i="7" s="1"/>
  <c r="I163" i="5"/>
  <c r="G129" i="7" s="1"/>
  <c r="I162" i="5"/>
  <c r="G128" i="7" s="1"/>
  <c r="I107" i="5"/>
  <c r="G73" i="7" s="1"/>
  <c r="I106" i="5"/>
  <c r="G72" i="7" s="1"/>
  <c r="I102" i="5"/>
  <c r="G68" i="7" s="1"/>
  <c r="I103" i="5"/>
  <c r="G69" i="7" s="1"/>
  <c r="I105" i="5"/>
  <c r="G71" i="7" s="1"/>
  <c r="I104" i="5"/>
  <c r="G70" i="7" s="1"/>
  <c r="I54" i="5"/>
  <c r="G20" i="7" s="1"/>
  <c r="I55" i="5"/>
  <c r="G21" i="7" s="1"/>
  <c r="I58" i="5"/>
  <c r="G24" i="7" s="1"/>
  <c r="I57" i="5"/>
  <c r="G23" i="7" s="1"/>
  <c r="I56" i="5"/>
  <c r="G22" i="7" s="1"/>
  <c r="I59" i="5"/>
  <c r="G25" i="7" s="1"/>
  <c r="I183" i="5"/>
  <c r="G149" i="7" s="1"/>
  <c r="I182" i="5"/>
  <c r="G148" i="7" s="1"/>
  <c r="I180" i="5"/>
  <c r="G146" i="7" s="1"/>
  <c r="I184" i="5"/>
  <c r="G150" i="7" s="1"/>
  <c r="I181" i="5"/>
  <c r="G147" i="7" s="1"/>
  <c r="I185" i="5"/>
  <c r="G151" i="7" s="1"/>
  <c r="I96" i="5"/>
  <c r="G62" i="7" s="1"/>
  <c r="I99" i="5"/>
  <c r="G65" i="7" s="1"/>
  <c r="I101" i="5"/>
  <c r="G67" i="7" s="1"/>
  <c r="I98" i="5"/>
  <c r="G64" i="7" s="1"/>
  <c r="I97" i="5"/>
  <c r="G63" i="7" s="1"/>
  <c r="I100" i="5"/>
  <c r="G66" i="7" s="1"/>
  <c r="K169" i="6"/>
  <c r="K167" i="6"/>
  <c r="K166" i="6"/>
  <c r="K168" i="6"/>
  <c r="K165" i="6"/>
  <c r="K170" i="6"/>
  <c r="Q133" i="4"/>
  <c r="G133" i="4"/>
  <c r="K129" i="6"/>
  <c r="K134" i="6"/>
  <c r="K131" i="6"/>
  <c r="K130" i="6"/>
  <c r="K132" i="6"/>
  <c r="K133" i="6"/>
  <c r="G127" i="4"/>
  <c r="Q127" i="4"/>
  <c r="G137" i="4"/>
  <c r="Q137" i="4"/>
  <c r="K102" i="6"/>
  <c r="K100" i="6"/>
  <c r="K103" i="6"/>
  <c r="K101" i="6"/>
  <c r="K104" i="6"/>
  <c r="K99" i="6"/>
  <c r="K109" i="6"/>
  <c r="K106" i="6"/>
  <c r="K108" i="6"/>
  <c r="K110" i="6"/>
  <c r="K107" i="6"/>
  <c r="K105" i="6"/>
  <c r="G120" i="4"/>
  <c r="Q120" i="4"/>
  <c r="AB51" i="4"/>
  <c r="AB55" i="4"/>
  <c r="AB54" i="4"/>
  <c r="AB53" i="4"/>
  <c r="AB50" i="4"/>
  <c r="AB52" i="4"/>
  <c r="K51" i="6"/>
  <c r="K52" i="6"/>
  <c r="K56" i="6"/>
  <c r="K53" i="6"/>
  <c r="K55" i="6"/>
  <c r="K54" i="6"/>
  <c r="K122" i="6"/>
  <c r="K120" i="6"/>
  <c r="K121" i="6"/>
  <c r="K119" i="6"/>
  <c r="K118" i="6"/>
  <c r="K117" i="6"/>
  <c r="AB144" i="4"/>
  <c r="AB145" i="4"/>
  <c r="AB142" i="4"/>
  <c r="AB141" i="4"/>
  <c r="AB140" i="4"/>
  <c r="AB143" i="4"/>
  <c r="AB87" i="4"/>
  <c r="AB89" i="4"/>
  <c r="AB91" i="4"/>
  <c r="AB88" i="4"/>
  <c r="AB90" i="4"/>
  <c r="AB86" i="4"/>
  <c r="AB103" i="4"/>
  <c r="AB98" i="4"/>
  <c r="AB100" i="4"/>
  <c r="AB99" i="4"/>
  <c r="AB102" i="4"/>
  <c r="AB101" i="4"/>
  <c r="Q118" i="4"/>
  <c r="G118" i="4"/>
  <c r="Q135" i="4"/>
  <c r="G135" i="4"/>
  <c r="K125" i="6"/>
  <c r="K128" i="6"/>
  <c r="K124" i="6"/>
  <c r="K123" i="6"/>
  <c r="K126" i="6"/>
  <c r="K127" i="6"/>
  <c r="AB175" i="4"/>
  <c r="AB174" i="4"/>
  <c r="AB172" i="4"/>
  <c r="AB173" i="4"/>
  <c r="AB170" i="4"/>
  <c r="AB171" i="4"/>
  <c r="AB36" i="4"/>
  <c r="AB34" i="4"/>
  <c r="AB37" i="4"/>
  <c r="AB35" i="4"/>
  <c r="AB33" i="4"/>
  <c r="AB32" i="4"/>
  <c r="G124" i="4"/>
  <c r="Q124" i="4"/>
  <c r="AB72" i="4"/>
  <c r="AB70" i="4"/>
  <c r="AB73" i="4"/>
  <c r="AB71" i="4"/>
  <c r="AB68" i="4"/>
  <c r="AB69" i="4"/>
  <c r="K182" i="6"/>
  <c r="K178" i="6"/>
  <c r="K177" i="6"/>
  <c r="K181" i="6"/>
  <c r="K179" i="6"/>
  <c r="K180" i="6"/>
  <c r="K71" i="6"/>
  <c r="K72" i="6"/>
  <c r="K69" i="6"/>
  <c r="K70" i="6"/>
  <c r="K73" i="6"/>
  <c r="K74" i="6"/>
  <c r="Q132" i="4"/>
  <c r="G132" i="4"/>
  <c r="K84" i="6"/>
  <c r="K82" i="6"/>
  <c r="K83" i="6"/>
  <c r="K86" i="6"/>
  <c r="K81" i="6"/>
  <c r="K85" i="6"/>
  <c r="K111" i="6"/>
  <c r="K112" i="6"/>
  <c r="K115" i="6"/>
  <c r="K113" i="6"/>
  <c r="K116" i="6"/>
  <c r="K114" i="6"/>
  <c r="AB149" i="4"/>
  <c r="AB148" i="4"/>
  <c r="AB150" i="4"/>
  <c r="AB151" i="4"/>
  <c r="AB146" i="4"/>
  <c r="AB147" i="4"/>
  <c r="K151" i="6"/>
  <c r="K147" i="6"/>
  <c r="K148" i="6"/>
  <c r="K150" i="6"/>
  <c r="K152" i="6"/>
  <c r="K149" i="6"/>
  <c r="K186" i="6"/>
  <c r="K184" i="6"/>
  <c r="K185" i="6"/>
  <c r="K188" i="6"/>
  <c r="K187" i="6"/>
  <c r="K183" i="6"/>
  <c r="AB39" i="4"/>
  <c r="AB41" i="4"/>
  <c r="AB40" i="4"/>
  <c r="AB38" i="4"/>
  <c r="AB43" i="4"/>
  <c r="AB42" i="4"/>
  <c r="AB85" i="4"/>
  <c r="AB81" i="4"/>
  <c r="AB82" i="4"/>
  <c r="AB83" i="4"/>
  <c r="AB84" i="4"/>
  <c r="AB80" i="4"/>
  <c r="AB104" i="4"/>
  <c r="AB106" i="4"/>
  <c r="AB105" i="4"/>
  <c r="AB108" i="4"/>
  <c r="AB107" i="4"/>
  <c r="AB109" i="4"/>
  <c r="Q125" i="4"/>
  <c r="G125" i="4"/>
  <c r="Q116" i="4"/>
  <c r="G116" i="4"/>
  <c r="Q131" i="4"/>
  <c r="G131" i="4"/>
  <c r="Q136" i="4"/>
  <c r="G136" i="4"/>
  <c r="K47" i="6"/>
  <c r="K45" i="6"/>
  <c r="K50" i="6"/>
  <c r="K48" i="6"/>
  <c r="K49" i="6"/>
  <c r="K46" i="6"/>
  <c r="AB158" i="4"/>
  <c r="AB159" i="4"/>
  <c r="AB162" i="4"/>
  <c r="AB163" i="4"/>
  <c r="AB160" i="4"/>
  <c r="AB161" i="4"/>
  <c r="K175" i="6"/>
  <c r="K172" i="6"/>
  <c r="K174" i="6"/>
  <c r="K173" i="6"/>
  <c r="K176" i="6"/>
  <c r="K171" i="6"/>
  <c r="G126" i="4"/>
  <c r="Q126" i="4"/>
  <c r="Q117" i="4"/>
  <c r="G117" i="4"/>
  <c r="Q130" i="4"/>
  <c r="G130" i="4"/>
  <c r="K42" i="6"/>
  <c r="K39" i="6"/>
  <c r="K40" i="6"/>
  <c r="K44" i="6"/>
  <c r="K43" i="6"/>
  <c r="K41" i="6"/>
  <c r="K156" i="6"/>
  <c r="K158" i="6"/>
  <c r="K155" i="6"/>
  <c r="K157" i="6"/>
  <c r="K153" i="6"/>
  <c r="K154" i="6"/>
  <c r="AB177" i="4"/>
  <c r="AB178" i="4"/>
  <c r="AB180" i="4"/>
  <c r="AB181" i="4"/>
  <c r="AB176" i="4"/>
  <c r="AB179" i="4"/>
  <c r="Q121" i="4"/>
  <c r="G121" i="4"/>
  <c r="K159" i="6"/>
  <c r="K163" i="6"/>
  <c r="K162" i="6"/>
  <c r="K161" i="6"/>
  <c r="K164" i="6"/>
  <c r="K160" i="6"/>
  <c r="AB185" i="4"/>
  <c r="AB182" i="4"/>
  <c r="AB186" i="4"/>
  <c r="AB187" i="4"/>
  <c r="AB183" i="4"/>
  <c r="AB184" i="4"/>
  <c r="Q129" i="4"/>
  <c r="G129" i="4"/>
  <c r="K143" i="6"/>
  <c r="K144" i="6"/>
  <c r="K146" i="6"/>
  <c r="K142" i="6"/>
  <c r="K141" i="6"/>
  <c r="K145" i="6"/>
  <c r="Q123" i="4"/>
  <c r="G123" i="4"/>
  <c r="G134" i="4"/>
  <c r="Q134" i="4"/>
  <c r="AB77" i="4"/>
  <c r="AB75" i="4"/>
  <c r="AB79" i="4"/>
  <c r="AB74" i="4"/>
  <c r="AB78" i="4"/>
  <c r="AB76" i="4"/>
  <c r="K90" i="6"/>
  <c r="K91" i="6"/>
  <c r="K87" i="6"/>
  <c r="K88" i="6"/>
  <c r="K92" i="6"/>
  <c r="K89" i="6"/>
  <c r="AB93" i="4"/>
  <c r="AB96" i="4"/>
  <c r="AB92" i="4"/>
  <c r="AB94" i="4"/>
  <c r="AB97" i="4"/>
  <c r="AB95" i="4"/>
  <c r="Q139" i="4"/>
  <c r="G139" i="4"/>
  <c r="AB44" i="4"/>
  <c r="AB49" i="4"/>
  <c r="AB47" i="4"/>
  <c r="AB48" i="4"/>
  <c r="AB46" i="4"/>
  <c r="AB45" i="4"/>
  <c r="K79" i="6"/>
  <c r="K76" i="6"/>
  <c r="K80" i="6"/>
  <c r="K75" i="6"/>
  <c r="K77" i="6"/>
  <c r="K78" i="6"/>
  <c r="AA74" i="4"/>
  <c r="AA77" i="4"/>
  <c r="AA75" i="4"/>
  <c r="AA78" i="4"/>
  <c r="AA76" i="4"/>
  <c r="AA79" i="4"/>
  <c r="AB152" i="4"/>
  <c r="AB156" i="4"/>
  <c r="AB155" i="4"/>
  <c r="AB154" i="4"/>
  <c r="AB153" i="4"/>
  <c r="AB157" i="4"/>
  <c r="AB166" i="4"/>
  <c r="AB164" i="4"/>
  <c r="AB169" i="4"/>
  <c r="AB168" i="4"/>
  <c r="AB167" i="4"/>
  <c r="AB165" i="4"/>
  <c r="AB112" i="4"/>
  <c r="AB115" i="4"/>
  <c r="AB113" i="4"/>
  <c r="AB111" i="4"/>
  <c r="AB110" i="4"/>
  <c r="AB114" i="4"/>
  <c r="G122" i="4"/>
  <c r="Q122" i="4"/>
  <c r="G119" i="4"/>
  <c r="Q119" i="4"/>
  <c r="Q128" i="4"/>
  <c r="G128" i="4"/>
  <c r="Q138" i="4"/>
  <c r="G138" i="4"/>
  <c r="G26" i="6"/>
  <c r="G27" i="6"/>
  <c r="G28" i="6"/>
  <c r="J29" i="5"/>
  <c r="G25" i="6"/>
  <c r="H6" i="6"/>
  <c r="G21" i="6"/>
  <c r="G23" i="6"/>
  <c r="G22" i="6"/>
  <c r="J22" i="5"/>
  <c r="J23" i="5"/>
  <c r="G24" i="6"/>
  <c r="J25" i="5"/>
  <c r="J24" i="5"/>
  <c r="H21" i="6"/>
  <c r="H23" i="6"/>
  <c r="H24" i="6"/>
  <c r="K23" i="5"/>
  <c r="K24" i="5"/>
  <c r="H22" i="6"/>
  <c r="K22" i="5"/>
  <c r="K25" i="5"/>
  <c r="K26" i="5"/>
  <c r="H25" i="6"/>
  <c r="K27" i="5"/>
  <c r="K28" i="5"/>
  <c r="H26" i="6"/>
  <c r="H27" i="6"/>
  <c r="H28" i="6"/>
  <c r="K29" i="5"/>
  <c r="J18" i="5"/>
  <c r="K17" i="5"/>
  <c r="H17" i="6"/>
  <c r="G9" i="6"/>
  <c r="K16" i="5"/>
  <c r="H16" i="6"/>
  <c r="K7" i="5"/>
  <c r="J10" i="5"/>
  <c r="H9" i="6"/>
  <c r="K18" i="5"/>
  <c r="H15" i="6"/>
  <c r="K10" i="5"/>
  <c r="K21" i="5"/>
  <c r="H20" i="6"/>
  <c r="K20" i="5"/>
  <c r="H19" i="6"/>
  <c r="K19" i="5"/>
  <c r="H18" i="6"/>
  <c r="H4" i="6"/>
  <c r="H5" i="6"/>
  <c r="K6" i="5"/>
  <c r="K5" i="5"/>
  <c r="H11" i="6"/>
  <c r="H10" i="6"/>
  <c r="K12" i="5"/>
  <c r="K11" i="5"/>
  <c r="K15" i="5"/>
  <c r="H14" i="6"/>
  <c r="K14" i="5"/>
  <c r="H13" i="6"/>
  <c r="H12" i="6"/>
  <c r="K13" i="5"/>
  <c r="K4" i="5"/>
  <c r="G11" i="6"/>
  <c r="J12" i="5"/>
  <c r="G10" i="6"/>
  <c r="J11" i="5"/>
  <c r="J19" i="5"/>
  <c r="G39" i="7" l="1"/>
  <c r="H51" i="5"/>
  <c r="F17" i="7" s="1"/>
  <c r="H48" i="5"/>
  <c r="F14" i="7" s="1"/>
  <c r="H53" i="5"/>
  <c r="F19" i="7" s="1"/>
  <c r="H52" i="5"/>
  <c r="F18" i="7" s="1"/>
  <c r="H50" i="5"/>
  <c r="F16" i="7" s="1"/>
  <c r="H49" i="5"/>
  <c r="F15" i="7" s="1"/>
  <c r="H43" i="5"/>
  <c r="F9" i="7" s="1"/>
  <c r="H46" i="5"/>
  <c r="F12" i="7" s="1"/>
  <c r="H44" i="5"/>
  <c r="F10" i="7" s="1"/>
  <c r="H42" i="5"/>
  <c r="F8" i="7" s="1"/>
  <c r="H47" i="5"/>
  <c r="F13" i="7" s="1"/>
  <c r="H45" i="5"/>
  <c r="F11" i="7" s="1"/>
  <c r="H41" i="5"/>
  <c r="F7" i="7" s="1"/>
  <c r="H37" i="5"/>
  <c r="F3" i="7" s="1"/>
  <c r="H36" i="5"/>
  <c r="F2" i="7" s="1"/>
  <c r="H39" i="5"/>
  <c r="F5" i="7" s="1"/>
  <c r="H40" i="5"/>
  <c r="F6" i="7" s="1"/>
  <c r="H38" i="5"/>
  <c r="F4" i="7" s="1"/>
  <c r="H128" i="5"/>
  <c r="F94" i="7" s="1"/>
  <c r="H126" i="5"/>
  <c r="F92" i="7" s="1"/>
  <c r="H129" i="5"/>
  <c r="F95" i="7" s="1"/>
  <c r="H131" i="5"/>
  <c r="F97" i="7" s="1"/>
  <c r="H127" i="5"/>
  <c r="F93" i="7" s="1"/>
  <c r="H130" i="5"/>
  <c r="F96" i="7" s="1"/>
  <c r="H133" i="5"/>
  <c r="F99" i="7" s="1"/>
  <c r="H134" i="5"/>
  <c r="F100" i="7" s="1"/>
  <c r="H135" i="5"/>
  <c r="F101" i="7" s="1"/>
  <c r="H137" i="5"/>
  <c r="F103" i="7" s="1"/>
  <c r="H132" i="5"/>
  <c r="F98" i="7" s="1"/>
  <c r="H136" i="5"/>
  <c r="F102" i="7" s="1"/>
  <c r="H82" i="5"/>
  <c r="F48" i="7" s="1"/>
  <c r="H81" i="5"/>
  <c r="F47" i="7" s="1"/>
  <c r="H79" i="5"/>
  <c r="F45" i="7" s="1"/>
  <c r="H78" i="5"/>
  <c r="F44" i="7" s="1"/>
  <c r="H83" i="5"/>
  <c r="F49" i="7" s="1"/>
  <c r="H80" i="5"/>
  <c r="F46" i="7" s="1"/>
  <c r="H121" i="5"/>
  <c r="F87" i="7" s="1"/>
  <c r="H125" i="5"/>
  <c r="F91" i="7" s="1"/>
  <c r="H120" i="5"/>
  <c r="F86" i="7" s="1"/>
  <c r="H124" i="5"/>
  <c r="F90" i="7" s="1"/>
  <c r="H123" i="5"/>
  <c r="F89" i="7" s="1"/>
  <c r="H122" i="5"/>
  <c r="F88" i="7" s="1"/>
  <c r="H59" i="5"/>
  <c r="F25" i="7" s="1"/>
  <c r="H58" i="5"/>
  <c r="F24" i="7" s="1"/>
  <c r="H55" i="5"/>
  <c r="F21" i="7" s="1"/>
  <c r="H57" i="5"/>
  <c r="F23" i="7" s="1"/>
  <c r="H56" i="5"/>
  <c r="F22" i="7" s="1"/>
  <c r="H54" i="5"/>
  <c r="F20" i="7" s="1"/>
  <c r="H146" i="5"/>
  <c r="F112" i="7" s="1"/>
  <c r="H145" i="5"/>
  <c r="F111" i="7" s="1"/>
  <c r="H147" i="5"/>
  <c r="F113" i="7" s="1"/>
  <c r="H149" i="5"/>
  <c r="F115" i="7" s="1"/>
  <c r="H148" i="5"/>
  <c r="F114" i="7" s="1"/>
  <c r="H144" i="5"/>
  <c r="F110" i="7" s="1"/>
  <c r="G166" i="5"/>
  <c r="E132" i="7" s="1"/>
  <c r="G167" i="5"/>
  <c r="E133" i="7" s="1"/>
  <c r="G162" i="5"/>
  <c r="E128" i="7" s="1"/>
  <c r="G163" i="5"/>
  <c r="E129" i="7" s="1"/>
  <c r="G164" i="5"/>
  <c r="E130" i="7" s="1"/>
  <c r="G165" i="5"/>
  <c r="E131" i="7" s="1"/>
  <c r="G79" i="5"/>
  <c r="E45" i="7" s="1"/>
  <c r="G80" i="5"/>
  <c r="E46" i="7" s="1"/>
  <c r="G83" i="5"/>
  <c r="E49" i="7" s="1"/>
  <c r="G82" i="5"/>
  <c r="E48" i="7" s="1"/>
  <c r="G78" i="5"/>
  <c r="E44" i="7" s="1"/>
  <c r="G81" i="5"/>
  <c r="E47" i="7" s="1"/>
  <c r="G154" i="5"/>
  <c r="E120" i="7" s="1"/>
  <c r="G150" i="5"/>
  <c r="E116" i="7" s="1"/>
  <c r="G152" i="5"/>
  <c r="E118" i="7" s="1"/>
  <c r="G155" i="5"/>
  <c r="E121" i="7" s="1"/>
  <c r="G151" i="5"/>
  <c r="E117" i="7" s="1"/>
  <c r="G153" i="5"/>
  <c r="E119" i="7" s="1"/>
  <c r="H116" i="5"/>
  <c r="F82" i="7" s="1"/>
  <c r="H114" i="5"/>
  <c r="F80" i="7" s="1"/>
  <c r="H118" i="5"/>
  <c r="F84" i="7" s="1"/>
  <c r="H117" i="5"/>
  <c r="F83" i="7" s="1"/>
  <c r="H119" i="5"/>
  <c r="F85" i="7" s="1"/>
  <c r="H115" i="5"/>
  <c r="F81" i="7" s="1"/>
  <c r="H86" i="5"/>
  <c r="F52" i="7" s="1"/>
  <c r="H84" i="5"/>
  <c r="F50" i="7" s="1"/>
  <c r="H88" i="5"/>
  <c r="F54" i="7" s="1"/>
  <c r="H89" i="5"/>
  <c r="F55" i="7" s="1"/>
  <c r="H87" i="5"/>
  <c r="F53" i="7" s="1"/>
  <c r="H85" i="5"/>
  <c r="F51" i="7" s="1"/>
  <c r="G124" i="5"/>
  <c r="E90" i="7" s="1"/>
  <c r="G122" i="5"/>
  <c r="E88" i="7" s="1"/>
  <c r="G125" i="5"/>
  <c r="E91" i="7" s="1"/>
  <c r="G121" i="5"/>
  <c r="E87" i="7" s="1"/>
  <c r="G120" i="5"/>
  <c r="E86" i="7" s="1"/>
  <c r="G123" i="5"/>
  <c r="E89" i="7" s="1"/>
  <c r="H168" i="5"/>
  <c r="F134" i="7" s="1"/>
  <c r="H172" i="5"/>
  <c r="F138" i="7" s="1"/>
  <c r="H173" i="5"/>
  <c r="F139" i="7" s="1"/>
  <c r="H169" i="5"/>
  <c r="F135" i="7" s="1"/>
  <c r="H170" i="5"/>
  <c r="F136" i="7" s="1"/>
  <c r="H171" i="5"/>
  <c r="F137" i="7" s="1"/>
  <c r="H90" i="5"/>
  <c r="F56" i="7" s="1"/>
  <c r="H91" i="5"/>
  <c r="F57" i="7" s="1"/>
  <c r="H93" i="5"/>
  <c r="F59" i="7" s="1"/>
  <c r="H95" i="5"/>
  <c r="F61" i="7" s="1"/>
  <c r="H92" i="5"/>
  <c r="F58" i="7" s="1"/>
  <c r="H94" i="5"/>
  <c r="F60" i="7" s="1"/>
  <c r="G74" i="5"/>
  <c r="G77" i="5"/>
  <c r="G73" i="5"/>
  <c r="E39" i="7" s="1"/>
  <c r="G72" i="5"/>
  <c r="E38" i="7" s="1"/>
  <c r="G75" i="5"/>
  <c r="E41" i="7" s="1"/>
  <c r="G76" i="5"/>
  <c r="H189" i="5"/>
  <c r="F155" i="7" s="1"/>
  <c r="H190" i="5"/>
  <c r="F156" i="7" s="1"/>
  <c r="H188" i="5"/>
  <c r="F154" i="7" s="1"/>
  <c r="H191" i="5"/>
  <c r="F157" i="7" s="1"/>
  <c r="H187" i="5"/>
  <c r="F153" i="7" s="1"/>
  <c r="H186" i="5"/>
  <c r="F152" i="7" s="1"/>
  <c r="H167" i="5"/>
  <c r="F133" i="7" s="1"/>
  <c r="H165" i="5"/>
  <c r="F131" i="7" s="1"/>
  <c r="H166" i="5"/>
  <c r="F132" i="7" s="1"/>
  <c r="H163" i="5"/>
  <c r="F129" i="7" s="1"/>
  <c r="H162" i="5"/>
  <c r="F128" i="7" s="1"/>
  <c r="H164" i="5"/>
  <c r="F130" i="7" s="1"/>
  <c r="G159" i="5"/>
  <c r="E125" i="7" s="1"/>
  <c r="G157" i="5"/>
  <c r="E123" i="7" s="1"/>
  <c r="G161" i="5"/>
  <c r="E127" i="7" s="1"/>
  <c r="G160" i="5"/>
  <c r="E126" i="7" s="1"/>
  <c r="G158" i="5"/>
  <c r="E124" i="7" s="1"/>
  <c r="G156" i="5"/>
  <c r="E122" i="7" s="1"/>
  <c r="G128" i="5"/>
  <c r="E94" i="7" s="1"/>
  <c r="G126" i="5"/>
  <c r="E92" i="7" s="1"/>
  <c r="G129" i="5"/>
  <c r="E95" i="7" s="1"/>
  <c r="G130" i="5"/>
  <c r="E96" i="7" s="1"/>
  <c r="G131" i="5"/>
  <c r="E97" i="7" s="1"/>
  <c r="G127" i="5"/>
  <c r="E93" i="7" s="1"/>
  <c r="G191" i="5"/>
  <c r="E157" i="7" s="1"/>
  <c r="G187" i="5"/>
  <c r="E153" i="7" s="1"/>
  <c r="G189" i="5"/>
  <c r="E155" i="7" s="1"/>
  <c r="G186" i="5"/>
  <c r="E152" i="7" s="1"/>
  <c r="G190" i="5"/>
  <c r="E156" i="7" s="1"/>
  <c r="G188" i="5"/>
  <c r="E154" i="7" s="1"/>
  <c r="H97" i="5"/>
  <c r="F63" i="7" s="1"/>
  <c r="H98" i="5"/>
  <c r="F64" i="7" s="1"/>
  <c r="H100" i="5"/>
  <c r="F66" i="7" s="1"/>
  <c r="H99" i="5"/>
  <c r="F65" i="7" s="1"/>
  <c r="H101" i="5"/>
  <c r="F67" i="7" s="1"/>
  <c r="H96" i="5"/>
  <c r="F62" i="7" s="1"/>
  <c r="H141" i="5"/>
  <c r="F107" i="7" s="1"/>
  <c r="H139" i="5"/>
  <c r="F105" i="7" s="1"/>
  <c r="H143" i="5"/>
  <c r="F109" i="7" s="1"/>
  <c r="H138" i="5"/>
  <c r="F104" i="7" s="1"/>
  <c r="H140" i="5"/>
  <c r="F106" i="7" s="1"/>
  <c r="H142" i="5"/>
  <c r="F108" i="7" s="1"/>
  <c r="H110" i="5"/>
  <c r="F76" i="7" s="1"/>
  <c r="H109" i="5"/>
  <c r="F75" i="7" s="1"/>
  <c r="H108" i="5"/>
  <c r="F74" i="7" s="1"/>
  <c r="H111" i="5"/>
  <c r="F77" i="7" s="1"/>
  <c r="H112" i="5"/>
  <c r="F78" i="7" s="1"/>
  <c r="H113" i="5"/>
  <c r="F79" i="7" s="1"/>
  <c r="H156" i="5"/>
  <c r="F122" i="7" s="1"/>
  <c r="H160" i="5"/>
  <c r="F126" i="7" s="1"/>
  <c r="H161" i="5"/>
  <c r="F127" i="7" s="1"/>
  <c r="H158" i="5"/>
  <c r="F124" i="7" s="1"/>
  <c r="H159" i="5"/>
  <c r="F125" i="7" s="1"/>
  <c r="H157" i="5"/>
  <c r="F123" i="7" s="1"/>
  <c r="H74" i="5"/>
  <c r="F40" i="7" s="1"/>
  <c r="H75" i="5"/>
  <c r="F41" i="7" s="1"/>
  <c r="H72" i="5"/>
  <c r="F38" i="7" s="1"/>
  <c r="H77" i="5"/>
  <c r="F43" i="7" s="1"/>
  <c r="H76" i="5"/>
  <c r="F42" i="7" s="1"/>
  <c r="H73" i="5"/>
  <c r="H182" i="5"/>
  <c r="F148" i="7" s="1"/>
  <c r="H185" i="5"/>
  <c r="F151" i="7" s="1"/>
  <c r="H184" i="5"/>
  <c r="F150" i="7" s="1"/>
  <c r="H181" i="5"/>
  <c r="F147" i="7" s="1"/>
  <c r="H180" i="5"/>
  <c r="F146" i="7" s="1"/>
  <c r="H183" i="5"/>
  <c r="F149" i="7" s="1"/>
  <c r="H152" i="5"/>
  <c r="F118" i="7" s="1"/>
  <c r="H153" i="5"/>
  <c r="F119" i="7" s="1"/>
  <c r="H155" i="5"/>
  <c r="F121" i="7" s="1"/>
  <c r="H151" i="5"/>
  <c r="F117" i="7" s="1"/>
  <c r="H154" i="5"/>
  <c r="F120" i="7" s="1"/>
  <c r="H150" i="5"/>
  <c r="F116" i="7" s="1"/>
  <c r="G145" i="5"/>
  <c r="E111" i="7" s="1"/>
  <c r="G147" i="5"/>
  <c r="E113" i="7" s="1"/>
  <c r="G148" i="5"/>
  <c r="E114" i="7" s="1"/>
  <c r="G149" i="5"/>
  <c r="E115" i="7" s="1"/>
  <c r="G144" i="5"/>
  <c r="E110" i="7" s="1"/>
  <c r="G146" i="5"/>
  <c r="E112" i="7" s="1"/>
  <c r="G86" i="5"/>
  <c r="E52" i="7" s="1"/>
  <c r="G85" i="5"/>
  <c r="E51" i="7" s="1"/>
  <c r="G87" i="5"/>
  <c r="E53" i="7" s="1"/>
  <c r="G84" i="5"/>
  <c r="E50" i="7" s="1"/>
  <c r="G88" i="5"/>
  <c r="E54" i="7" s="1"/>
  <c r="G89" i="5"/>
  <c r="E55" i="7" s="1"/>
  <c r="H102" i="5"/>
  <c r="F68" i="7" s="1"/>
  <c r="H106" i="5"/>
  <c r="F72" i="7" s="1"/>
  <c r="H107" i="5"/>
  <c r="F73" i="7" s="1"/>
  <c r="H103" i="5"/>
  <c r="F69" i="7" s="1"/>
  <c r="H105" i="5"/>
  <c r="F71" i="7" s="1"/>
  <c r="H104" i="5"/>
  <c r="F70" i="7" s="1"/>
  <c r="H177" i="5"/>
  <c r="F143" i="7" s="1"/>
  <c r="H178" i="5"/>
  <c r="F144" i="7" s="1"/>
  <c r="H179" i="5"/>
  <c r="F145" i="7" s="1"/>
  <c r="H175" i="5"/>
  <c r="F141" i="7" s="1"/>
  <c r="H176" i="5"/>
  <c r="F142" i="7" s="1"/>
  <c r="H174" i="5"/>
  <c r="F140" i="7" s="1"/>
  <c r="J86" i="6"/>
  <c r="J84" i="6"/>
  <c r="J81" i="6"/>
  <c r="J82" i="6"/>
  <c r="J83" i="6"/>
  <c r="J85" i="6"/>
  <c r="J156" i="6"/>
  <c r="J153" i="6"/>
  <c r="J154" i="6"/>
  <c r="J155" i="6"/>
  <c r="J158" i="6"/>
  <c r="J157" i="6"/>
  <c r="I159" i="6"/>
  <c r="I164" i="6"/>
  <c r="I162" i="6"/>
  <c r="I160" i="6"/>
  <c r="I161" i="6"/>
  <c r="I163" i="6"/>
  <c r="AA128" i="4"/>
  <c r="AA131" i="4"/>
  <c r="AA130" i="4"/>
  <c r="AA133" i="4"/>
  <c r="AA132" i="4"/>
  <c r="AA129" i="4"/>
  <c r="G164" i="4"/>
  <c r="Q164" i="4"/>
  <c r="G178" i="4"/>
  <c r="Q178" i="4"/>
  <c r="Q98" i="4"/>
  <c r="G98" i="4"/>
  <c r="G166" i="4"/>
  <c r="Q166" i="4"/>
  <c r="G153" i="4"/>
  <c r="Q153" i="4"/>
  <c r="G47" i="4"/>
  <c r="Q47" i="4"/>
  <c r="Q92" i="4"/>
  <c r="G92" i="4"/>
  <c r="Q77" i="4"/>
  <c r="G77" i="4"/>
  <c r="Q183" i="4"/>
  <c r="G183" i="4"/>
  <c r="G177" i="4"/>
  <c r="Q177" i="4"/>
  <c r="G160" i="4"/>
  <c r="Q160" i="4"/>
  <c r="Q84" i="4"/>
  <c r="G84" i="4"/>
  <c r="G40" i="4"/>
  <c r="Q40" i="4"/>
  <c r="Q146" i="4"/>
  <c r="G146" i="4"/>
  <c r="Q175" i="4"/>
  <c r="G175" i="4"/>
  <c r="G103" i="4"/>
  <c r="Q103" i="4"/>
  <c r="Q144" i="4"/>
  <c r="G144" i="4"/>
  <c r="G51" i="4"/>
  <c r="Q51" i="4"/>
  <c r="I79" i="6"/>
  <c r="I75" i="6"/>
  <c r="I76" i="6"/>
  <c r="I77" i="6"/>
  <c r="I78" i="6"/>
  <c r="I80" i="6"/>
  <c r="AA53" i="4"/>
  <c r="AA51" i="4"/>
  <c r="AA52" i="4"/>
  <c r="AA55" i="4"/>
  <c r="AA50" i="4"/>
  <c r="AA54" i="4"/>
  <c r="AA174" i="4"/>
  <c r="AA171" i="4"/>
  <c r="AA173" i="4"/>
  <c r="AA172" i="4"/>
  <c r="AA175" i="4"/>
  <c r="AA170" i="4"/>
  <c r="Z144" i="4"/>
  <c r="Z145" i="4"/>
  <c r="Z142" i="4"/>
  <c r="Z140" i="4"/>
  <c r="Z143" i="4"/>
  <c r="Z141" i="4"/>
  <c r="I165" i="6"/>
  <c r="I168" i="6"/>
  <c r="I166" i="6"/>
  <c r="I169" i="6"/>
  <c r="I170" i="6"/>
  <c r="I167" i="6"/>
  <c r="G114" i="4"/>
  <c r="Q114" i="4"/>
  <c r="Q154" i="4"/>
  <c r="G154" i="4"/>
  <c r="F79" i="4"/>
  <c r="P79" i="4"/>
  <c r="Q49" i="4"/>
  <c r="G49" i="4"/>
  <c r="G96" i="4"/>
  <c r="Q96" i="4"/>
  <c r="G187" i="4"/>
  <c r="Q187" i="4"/>
  <c r="Q163" i="4"/>
  <c r="G163" i="4"/>
  <c r="G109" i="4"/>
  <c r="Q109" i="4"/>
  <c r="G83" i="4"/>
  <c r="Q83" i="4"/>
  <c r="Q41" i="4"/>
  <c r="G41" i="4"/>
  <c r="G151" i="4"/>
  <c r="Q151" i="4"/>
  <c r="Q69" i="4"/>
  <c r="G69" i="4"/>
  <c r="G32" i="4"/>
  <c r="Q32" i="4"/>
  <c r="G86" i="4"/>
  <c r="Q86" i="4"/>
  <c r="G157" i="4"/>
  <c r="Q157" i="4"/>
  <c r="G94" i="4"/>
  <c r="Q94" i="4"/>
  <c r="Q161" i="4"/>
  <c r="G161" i="4"/>
  <c r="Q80" i="4"/>
  <c r="G80" i="4"/>
  <c r="Q174" i="4"/>
  <c r="G174" i="4"/>
  <c r="G145" i="4"/>
  <c r="Q145" i="4"/>
  <c r="J132" i="6"/>
  <c r="J134" i="6"/>
  <c r="J129" i="6"/>
  <c r="J133" i="6"/>
  <c r="J130" i="6"/>
  <c r="J131" i="6"/>
  <c r="Z79" i="4"/>
  <c r="Z75" i="4"/>
  <c r="Z76" i="4"/>
  <c r="Z74" i="4"/>
  <c r="Z77" i="4"/>
  <c r="Z78" i="4"/>
  <c r="AA168" i="4"/>
  <c r="AA167" i="4"/>
  <c r="AA169" i="4"/>
  <c r="AA165" i="4"/>
  <c r="AA164" i="4"/>
  <c r="AA166" i="4"/>
  <c r="J145" i="6"/>
  <c r="J142" i="6"/>
  <c r="J143" i="6"/>
  <c r="J144" i="6"/>
  <c r="J141" i="6"/>
  <c r="J146" i="6"/>
  <c r="AA113" i="4"/>
  <c r="AA114" i="4"/>
  <c r="AA112" i="4"/>
  <c r="AA115" i="4"/>
  <c r="AA110" i="4"/>
  <c r="AA111" i="4"/>
  <c r="Z150" i="4"/>
  <c r="Z148" i="4"/>
  <c r="Z149" i="4"/>
  <c r="Z151" i="4"/>
  <c r="Z147" i="4"/>
  <c r="Z146" i="4"/>
  <c r="AA83" i="4"/>
  <c r="AA82" i="4"/>
  <c r="AA85" i="4"/>
  <c r="AA84" i="4"/>
  <c r="AA80" i="4"/>
  <c r="AA81" i="4"/>
  <c r="Z38" i="4"/>
  <c r="Z42" i="4"/>
  <c r="Z41" i="4"/>
  <c r="Z43" i="4"/>
  <c r="Z40" i="4"/>
  <c r="Z39" i="4"/>
  <c r="O39" i="4" s="1"/>
  <c r="Q110" i="4"/>
  <c r="G110" i="4"/>
  <c r="Q155" i="4"/>
  <c r="G155" i="4"/>
  <c r="Q150" i="4"/>
  <c r="G150" i="4"/>
  <c r="Q48" i="4"/>
  <c r="G48" i="4"/>
  <c r="J94" i="6"/>
  <c r="J98" i="6"/>
  <c r="J93" i="6"/>
  <c r="J97" i="6"/>
  <c r="J95" i="6"/>
  <c r="J96" i="6"/>
  <c r="J171" i="6"/>
  <c r="J173" i="6"/>
  <c r="J172" i="6"/>
  <c r="J176" i="6"/>
  <c r="J174" i="6"/>
  <c r="J175" i="6"/>
  <c r="AA138" i="4"/>
  <c r="AA139" i="4"/>
  <c r="AA137" i="4"/>
  <c r="AA134" i="4"/>
  <c r="AA136" i="4"/>
  <c r="AA135" i="4"/>
  <c r="J103" i="6"/>
  <c r="J99" i="6"/>
  <c r="J101" i="6"/>
  <c r="J100" i="6"/>
  <c r="J102" i="6"/>
  <c r="J104" i="6"/>
  <c r="G82" i="4"/>
  <c r="Q82" i="4"/>
  <c r="Z91" i="4"/>
  <c r="Z89" i="4"/>
  <c r="Z88" i="4"/>
  <c r="Z87" i="4"/>
  <c r="Z86" i="4"/>
  <c r="Z90" i="4"/>
  <c r="I154" i="6"/>
  <c r="I158" i="6"/>
  <c r="I155" i="6"/>
  <c r="I157" i="6"/>
  <c r="I153" i="6"/>
  <c r="I156" i="6"/>
  <c r="G159" i="4"/>
  <c r="Q159" i="4"/>
  <c r="Q148" i="4"/>
  <c r="G148" i="4"/>
  <c r="Q35" i="4"/>
  <c r="G35" i="4"/>
  <c r="Q171" i="4"/>
  <c r="G171" i="4"/>
  <c r="G88" i="4"/>
  <c r="Q88" i="4"/>
  <c r="Q152" i="4"/>
  <c r="G152" i="4"/>
  <c r="G78" i="4"/>
  <c r="Q78" i="4"/>
  <c r="Q185" i="4"/>
  <c r="G185" i="4"/>
  <c r="Q176" i="4"/>
  <c r="G176" i="4"/>
  <c r="Q158" i="4"/>
  <c r="G158" i="4"/>
  <c r="G105" i="4"/>
  <c r="Q105" i="4"/>
  <c r="G85" i="4"/>
  <c r="Q85" i="4"/>
  <c r="Q149" i="4"/>
  <c r="G149" i="4"/>
  <c r="G73" i="4"/>
  <c r="Q73" i="4"/>
  <c r="G37" i="4"/>
  <c r="Q37" i="4"/>
  <c r="Q170" i="4"/>
  <c r="G170" i="4"/>
  <c r="G102" i="4"/>
  <c r="Q102" i="4"/>
  <c r="Q91" i="4"/>
  <c r="G91" i="4"/>
  <c r="Q140" i="4"/>
  <c r="G140" i="4"/>
  <c r="Q50" i="4"/>
  <c r="G50" i="4"/>
  <c r="J92" i="6"/>
  <c r="J89" i="6"/>
  <c r="J91" i="6"/>
  <c r="J88" i="6"/>
  <c r="J87" i="6"/>
  <c r="J90" i="6"/>
  <c r="J179" i="6"/>
  <c r="J180" i="6"/>
  <c r="J178" i="6"/>
  <c r="J182" i="6"/>
  <c r="J177" i="6"/>
  <c r="J181" i="6"/>
  <c r="AA159" i="4"/>
  <c r="AA158" i="4"/>
  <c r="AA160" i="4"/>
  <c r="AA163" i="4"/>
  <c r="AA162" i="4"/>
  <c r="AA161" i="4"/>
  <c r="AA108" i="4"/>
  <c r="AA105" i="4"/>
  <c r="AA109" i="4"/>
  <c r="AA107" i="4"/>
  <c r="AA106" i="4"/>
  <c r="AA104" i="4"/>
  <c r="Q184" i="4"/>
  <c r="G184" i="4"/>
  <c r="G162" i="4"/>
  <c r="Q162" i="4"/>
  <c r="Q107" i="4"/>
  <c r="G107" i="4"/>
  <c r="Q39" i="4"/>
  <c r="G39" i="4"/>
  <c r="G90" i="4"/>
  <c r="Q90" i="4"/>
  <c r="J135" i="6"/>
  <c r="J138" i="6"/>
  <c r="J139" i="6"/>
  <c r="J137" i="6"/>
  <c r="J136" i="6"/>
  <c r="J140" i="6"/>
  <c r="Q165" i="4"/>
  <c r="G165" i="4"/>
  <c r="G156" i="4"/>
  <c r="Q156" i="4"/>
  <c r="P78" i="4"/>
  <c r="F78" i="4"/>
  <c r="G108" i="4"/>
  <c r="Q108" i="4"/>
  <c r="Q143" i="4"/>
  <c r="G143" i="4"/>
  <c r="G52" i="4"/>
  <c r="Q52" i="4"/>
  <c r="J48" i="6"/>
  <c r="J47" i="6"/>
  <c r="J46" i="6"/>
  <c r="J50" i="6"/>
  <c r="J45" i="6"/>
  <c r="J49" i="6"/>
  <c r="J69" i="6"/>
  <c r="J71" i="6"/>
  <c r="J70" i="6"/>
  <c r="J74" i="6"/>
  <c r="J73" i="6"/>
  <c r="J72" i="6"/>
  <c r="Z85" i="4"/>
  <c r="Z81" i="4"/>
  <c r="Z80" i="4"/>
  <c r="Z82" i="4"/>
  <c r="Z83" i="4"/>
  <c r="Z84" i="4"/>
  <c r="I182" i="6"/>
  <c r="I177" i="6"/>
  <c r="I181" i="6"/>
  <c r="I178" i="6"/>
  <c r="I180" i="6"/>
  <c r="I179" i="6"/>
  <c r="G113" i="4"/>
  <c r="Q113" i="4"/>
  <c r="G167" i="4"/>
  <c r="Q167" i="4"/>
  <c r="Z72" i="4"/>
  <c r="Z73" i="4"/>
  <c r="Z69" i="4"/>
  <c r="Z70" i="4"/>
  <c r="Z71" i="4"/>
  <c r="Z68" i="4"/>
  <c r="AA147" i="4"/>
  <c r="AA150" i="4"/>
  <c r="AA146" i="4"/>
  <c r="AA151" i="4"/>
  <c r="AA148" i="4"/>
  <c r="AA149" i="4"/>
  <c r="AA95" i="4"/>
  <c r="AA94" i="4"/>
  <c r="AA92" i="4"/>
  <c r="AA97" i="4"/>
  <c r="AA93" i="4"/>
  <c r="AA96" i="4"/>
  <c r="AA116" i="4"/>
  <c r="AA119" i="4"/>
  <c r="AA118" i="4"/>
  <c r="AA117" i="4"/>
  <c r="AA120" i="4"/>
  <c r="AA121" i="4"/>
  <c r="I171" i="6"/>
  <c r="I173" i="6"/>
  <c r="I176" i="6"/>
  <c r="I175" i="6"/>
  <c r="I172" i="6"/>
  <c r="I174" i="6"/>
  <c r="G115" i="4"/>
  <c r="Q115" i="4"/>
  <c r="Q168" i="4"/>
  <c r="G168" i="4"/>
  <c r="Q106" i="4"/>
  <c r="G106" i="4"/>
  <c r="G42" i="4"/>
  <c r="Q42" i="4"/>
  <c r="Q70" i="4"/>
  <c r="G70" i="4"/>
  <c r="Q34" i="4"/>
  <c r="G34" i="4"/>
  <c r="Q173" i="4"/>
  <c r="G173" i="4"/>
  <c r="Q99" i="4"/>
  <c r="G99" i="4"/>
  <c r="Q89" i="4"/>
  <c r="G89" i="4"/>
  <c r="Q141" i="4"/>
  <c r="G141" i="4"/>
  <c r="Q53" i="4"/>
  <c r="G53" i="4"/>
  <c r="J114" i="6"/>
  <c r="J111" i="6"/>
  <c r="J116" i="6"/>
  <c r="J113" i="6"/>
  <c r="J112" i="6"/>
  <c r="J115" i="6"/>
  <c r="Q75" i="4"/>
  <c r="G75" i="4"/>
  <c r="G38" i="4"/>
  <c r="Q38" i="4"/>
  <c r="G147" i="4"/>
  <c r="Q147" i="4"/>
  <c r="G55" i="4"/>
  <c r="Q55" i="4"/>
  <c r="J110" i="6"/>
  <c r="J108" i="6"/>
  <c r="J109" i="6"/>
  <c r="J107" i="6"/>
  <c r="J106" i="6"/>
  <c r="J105" i="6"/>
  <c r="J117" i="6"/>
  <c r="J119" i="6"/>
  <c r="J122" i="6"/>
  <c r="J118" i="6"/>
  <c r="J121" i="6"/>
  <c r="J120" i="6"/>
  <c r="AA181" i="4"/>
  <c r="AA180" i="4"/>
  <c r="AA179" i="4"/>
  <c r="AA177" i="4"/>
  <c r="AA176" i="4"/>
  <c r="AA178" i="4"/>
  <c r="I148" i="6"/>
  <c r="I151" i="6"/>
  <c r="I147" i="6"/>
  <c r="I152" i="6"/>
  <c r="I150" i="6"/>
  <c r="I149" i="6"/>
  <c r="F76" i="4"/>
  <c r="P76" i="4"/>
  <c r="G44" i="4"/>
  <c r="Q44" i="4"/>
  <c r="G93" i="4"/>
  <c r="Q93" i="4"/>
  <c r="Q186" i="4"/>
  <c r="G186" i="4"/>
  <c r="G68" i="4"/>
  <c r="Q68" i="4"/>
  <c r="G33" i="4"/>
  <c r="Q33" i="4"/>
  <c r="I82" i="6"/>
  <c r="I83" i="6"/>
  <c r="I81" i="6"/>
  <c r="I85" i="6"/>
  <c r="I86" i="6"/>
  <c r="I84" i="6"/>
  <c r="AA44" i="4"/>
  <c r="AA47" i="4"/>
  <c r="AA49" i="4"/>
  <c r="AA48" i="4"/>
  <c r="AA46" i="4"/>
  <c r="AA45" i="4"/>
  <c r="AA187" i="4"/>
  <c r="AA182" i="4"/>
  <c r="AA185" i="4"/>
  <c r="AA183" i="4"/>
  <c r="AA186" i="4"/>
  <c r="AA184" i="4"/>
  <c r="J170" i="6"/>
  <c r="J169" i="6"/>
  <c r="J167" i="6"/>
  <c r="J168" i="6"/>
  <c r="J165" i="6"/>
  <c r="J166" i="6"/>
  <c r="J150" i="6"/>
  <c r="J152" i="6"/>
  <c r="J147" i="6"/>
  <c r="J151" i="6"/>
  <c r="J149" i="6"/>
  <c r="J148" i="6"/>
  <c r="Z152" i="4"/>
  <c r="Z156" i="4"/>
  <c r="Z153" i="4"/>
  <c r="Z155" i="4"/>
  <c r="Z154" i="4"/>
  <c r="Z157" i="4"/>
  <c r="AA86" i="4"/>
  <c r="AA87" i="4"/>
  <c r="AA91" i="4"/>
  <c r="AA90" i="4"/>
  <c r="AA88" i="4"/>
  <c r="AA89" i="4"/>
  <c r="I188" i="6"/>
  <c r="I185" i="6"/>
  <c r="I183" i="6"/>
  <c r="I184" i="6"/>
  <c r="I187" i="6"/>
  <c r="I186" i="6"/>
  <c r="Q111" i="4"/>
  <c r="G111" i="4"/>
  <c r="G76" i="4"/>
  <c r="Q76" i="4"/>
  <c r="G182" i="4"/>
  <c r="Q182" i="4"/>
  <c r="G179" i="4"/>
  <c r="Q179" i="4"/>
  <c r="Q81" i="4"/>
  <c r="G81" i="4"/>
  <c r="Q71" i="4"/>
  <c r="G71" i="4"/>
  <c r="Q101" i="4"/>
  <c r="G101" i="4"/>
  <c r="I70" i="6"/>
  <c r="I74" i="6"/>
  <c r="I71" i="6"/>
  <c r="I72" i="6"/>
  <c r="I69" i="6"/>
  <c r="I73" i="6"/>
  <c r="AA143" i="4"/>
  <c r="AA141" i="4"/>
  <c r="AA142" i="4"/>
  <c r="AA140" i="4"/>
  <c r="AA145" i="4"/>
  <c r="AA144" i="4"/>
  <c r="Z160" i="4"/>
  <c r="Z161" i="4"/>
  <c r="Z162" i="4"/>
  <c r="Z163" i="4"/>
  <c r="Z159" i="4"/>
  <c r="Z158" i="4"/>
  <c r="I145" i="6"/>
  <c r="I142" i="6"/>
  <c r="I141" i="6"/>
  <c r="I146" i="6"/>
  <c r="I144" i="6"/>
  <c r="I143" i="6"/>
  <c r="P75" i="4"/>
  <c r="F75" i="4"/>
  <c r="AA33" i="4"/>
  <c r="AA36" i="4"/>
  <c r="AA37" i="4"/>
  <c r="AA32" i="4"/>
  <c r="AA35" i="4"/>
  <c r="AA34" i="4"/>
  <c r="J40" i="6"/>
  <c r="J43" i="6"/>
  <c r="J44" i="6"/>
  <c r="J41" i="6"/>
  <c r="J42" i="6"/>
  <c r="J39" i="6"/>
  <c r="J51" i="6"/>
  <c r="J54" i="6"/>
  <c r="J55" i="6"/>
  <c r="J56" i="6"/>
  <c r="J52" i="6"/>
  <c r="J53" i="6"/>
  <c r="F77" i="4"/>
  <c r="P77" i="4"/>
  <c r="G45" i="4"/>
  <c r="Q45" i="4"/>
  <c r="Q95" i="4"/>
  <c r="G95" i="4"/>
  <c r="Q74" i="4"/>
  <c r="G74" i="4"/>
  <c r="G181" i="4"/>
  <c r="Q181" i="4"/>
  <c r="J80" i="6"/>
  <c r="J77" i="6"/>
  <c r="J76" i="6"/>
  <c r="J79" i="6"/>
  <c r="J78" i="6"/>
  <c r="J75" i="6"/>
  <c r="J128" i="6"/>
  <c r="J125" i="6"/>
  <c r="J124" i="6"/>
  <c r="J126" i="6"/>
  <c r="J123" i="6"/>
  <c r="J127" i="6"/>
  <c r="AA72" i="4"/>
  <c r="AA68" i="4"/>
  <c r="AA69" i="4"/>
  <c r="AA71" i="4"/>
  <c r="AA70" i="4"/>
  <c r="AA73" i="4"/>
  <c r="J186" i="6"/>
  <c r="J184" i="6"/>
  <c r="J188" i="6"/>
  <c r="J187" i="6"/>
  <c r="J183" i="6"/>
  <c r="J185" i="6"/>
  <c r="AA43" i="4"/>
  <c r="AA42" i="4"/>
  <c r="AA38" i="4"/>
  <c r="AA39" i="4"/>
  <c r="AA40" i="4"/>
  <c r="AA41" i="4"/>
  <c r="AA154" i="4"/>
  <c r="AA156" i="4"/>
  <c r="AA157" i="4"/>
  <c r="AA155" i="4"/>
  <c r="AA153" i="4"/>
  <c r="AA152" i="4"/>
  <c r="J159" i="6"/>
  <c r="J163" i="6"/>
  <c r="J162" i="6"/>
  <c r="J164" i="6"/>
  <c r="J160" i="6"/>
  <c r="J161" i="6"/>
  <c r="AA103" i="4"/>
  <c r="AA102" i="4"/>
  <c r="AA98" i="4"/>
  <c r="AA101" i="4"/>
  <c r="AA99" i="4"/>
  <c r="AA100" i="4"/>
  <c r="AA126" i="4"/>
  <c r="AA124" i="4"/>
  <c r="AA125" i="4"/>
  <c r="AA123" i="4"/>
  <c r="AA127" i="4"/>
  <c r="AA122" i="4"/>
  <c r="Q112" i="4"/>
  <c r="G112" i="4"/>
  <c r="G169" i="4"/>
  <c r="Q169" i="4"/>
  <c r="P74" i="4"/>
  <c r="F74" i="4"/>
  <c r="Q46" i="4"/>
  <c r="G46" i="4"/>
  <c r="G97" i="4"/>
  <c r="Q97" i="4"/>
  <c r="Q79" i="4"/>
  <c r="G79" i="4"/>
  <c r="G180" i="4"/>
  <c r="Q180" i="4"/>
  <c r="G104" i="4"/>
  <c r="Q104" i="4"/>
  <c r="Q43" i="4"/>
  <c r="G43" i="4"/>
  <c r="Q72" i="4"/>
  <c r="G72" i="4"/>
  <c r="G36" i="4"/>
  <c r="Q36" i="4"/>
  <c r="Q172" i="4"/>
  <c r="G172" i="4"/>
  <c r="Q100" i="4"/>
  <c r="G100" i="4"/>
  <c r="G87" i="4"/>
  <c r="Q87" i="4"/>
  <c r="Q142" i="4"/>
  <c r="G142" i="4"/>
  <c r="Q54" i="4"/>
  <c r="G54" i="4"/>
  <c r="J17" i="5"/>
  <c r="J26" i="5"/>
  <c r="J27" i="5"/>
  <c r="G15" i="6"/>
  <c r="J28" i="5"/>
  <c r="J4" i="5"/>
  <c r="J7" i="5"/>
  <c r="G6" i="6"/>
  <c r="J21" i="5"/>
  <c r="G20" i="6"/>
  <c r="J16" i="5"/>
  <c r="G19" i="6"/>
  <c r="G16" i="6"/>
  <c r="G5" i="6"/>
  <c r="G12" i="6"/>
  <c r="G17" i="6"/>
  <c r="J20" i="5"/>
  <c r="G18" i="6"/>
  <c r="J5" i="5"/>
  <c r="J6" i="5"/>
  <c r="G4" i="6"/>
  <c r="G13" i="6"/>
  <c r="J14" i="5"/>
  <c r="G14" i="6"/>
  <c r="J13" i="5"/>
  <c r="J15" i="5"/>
  <c r="F39" i="7" l="1"/>
  <c r="E43" i="7"/>
  <c r="E40" i="7"/>
  <c r="E42" i="7"/>
  <c r="G49" i="5"/>
  <c r="E15" i="7" s="1"/>
  <c r="G51" i="5"/>
  <c r="E17" i="7" s="1"/>
  <c r="G52" i="5"/>
  <c r="E18" i="7" s="1"/>
  <c r="G50" i="5"/>
  <c r="E16" i="7" s="1"/>
  <c r="G53" i="5"/>
  <c r="E19" i="7" s="1"/>
  <c r="G48" i="5"/>
  <c r="E14" i="7" s="1"/>
  <c r="G42" i="5"/>
  <c r="E8" i="7" s="1"/>
  <c r="G43" i="5"/>
  <c r="E9" i="7" s="1"/>
  <c r="G46" i="5"/>
  <c r="E12" i="7" s="1"/>
  <c r="G47" i="5"/>
  <c r="E13" i="7" s="1"/>
  <c r="G45" i="5"/>
  <c r="E11" i="7" s="1"/>
  <c r="G44" i="5"/>
  <c r="E10" i="7" s="1"/>
  <c r="G38" i="5"/>
  <c r="E4" i="7" s="1"/>
  <c r="G41" i="5"/>
  <c r="E7" i="7" s="1"/>
  <c r="G36" i="5"/>
  <c r="E2" i="7" s="1"/>
  <c r="G39" i="5"/>
  <c r="E5" i="7" s="1"/>
  <c r="G40" i="5"/>
  <c r="E6" i="7" s="1"/>
  <c r="G37" i="5"/>
  <c r="E3" i="7" s="1"/>
  <c r="AP175" i="6"/>
  <c r="K144" i="10" s="1"/>
  <c r="AN175" i="6"/>
  <c r="I144" i="10" s="1"/>
  <c r="AO175" i="6"/>
  <c r="J144" i="10" s="1"/>
  <c r="AK175" i="6"/>
  <c r="AM175" i="6"/>
  <c r="H144" i="10" s="1"/>
  <c r="AL175" i="6"/>
  <c r="G144" i="10" s="1"/>
  <c r="AM75" i="6"/>
  <c r="H44" i="10" s="1"/>
  <c r="AK75" i="6"/>
  <c r="AL75" i="6"/>
  <c r="G44" i="10" s="1"/>
  <c r="AN75" i="6"/>
  <c r="I44" i="10" s="1"/>
  <c r="AO75" i="6"/>
  <c r="J44" i="10" s="1"/>
  <c r="AP75" i="6"/>
  <c r="K44" i="10" s="1"/>
  <c r="G100" i="5"/>
  <c r="E66" i="7" s="1"/>
  <c r="G98" i="5"/>
  <c r="E64" i="7" s="1"/>
  <c r="G96" i="5"/>
  <c r="E62" i="7" s="1"/>
  <c r="G101" i="5"/>
  <c r="E67" i="7" s="1"/>
  <c r="G99" i="5"/>
  <c r="E65" i="7" s="1"/>
  <c r="G97" i="5"/>
  <c r="E63" i="7" s="1"/>
  <c r="G55" i="5"/>
  <c r="E21" i="7" s="1"/>
  <c r="G56" i="5"/>
  <c r="E22" i="7" s="1"/>
  <c r="G58" i="5"/>
  <c r="E24" i="7" s="1"/>
  <c r="G59" i="5"/>
  <c r="E25" i="7" s="1"/>
  <c r="G54" i="5"/>
  <c r="E20" i="7" s="1"/>
  <c r="G57" i="5"/>
  <c r="E23" i="7" s="1"/>
  <c r="AP141" i="6"/>
  <c r="K110" i="10" s="1"/>
  <c r="AL141" i="6"/>
  <c r="G110" i="10" s="1"/>
  <c r="AO141" i="6"/>
  <c r="J110" i="10" s="1"/>
  <c r="AM141" i="6"/>
  <c r="H110" i="10" s="1"/>
  <c r="AK141" i="6"/>
  <c r="AN141" i="6"/>
  <c r="I110" i="10" s="1"/>
  <c r="AP71" i="6"/>
  <c r="K40" i="10" s="1"/>
  <c r="AL71" i="6"/>
  <c r="G40" i="10" s="1"/>
  <c r="AM71" i="6"/>
  <c r="H40" i="10" s="1"/>
  <c r="AN71" i="6"/>
  <c r="I40" i="10" s="1"/>
  <c r="AK71" i="6"/>
  <c r="AO71" i="6"/>
  <c r="J40" i="10" s="1"/>
  <c r="AP188" i="6"/>
  <c r="K157" i="10" s="1"/>
  <c r="AM188" i="6"/>
  <c r="H157" i="10" s="1"/>
  <c r="AN188" i="6"/>
  <c r="I157" i="10" s="1"/>
  <c r="AO188" i="6"/>
  <c r="J157" i="10" s="1"/>
  <c r="AL188" i="6"/>
  <c r="G157" i="10" s="1"/>
  <c r="AK188" i="6"/>
  <c r="AM81" i="6"/>
  <c r="H50" i="10" s="1"/>
  <c r="AO81" i="6"/>
  <c r="J50" i="10" s="1"/>
  <c r="AK81" i="6"/>
  <c r="AL81" i="6"/>
  <c r="G50" i="10" s="1"/>
  <c r="AN81" i="6"/>
  <c r="I50" i="10" s="1"/>
  <c r="AP81" i="6"/>
  <c r="K50" i="10" s="1"/>
  <c r="AP147" i="6"/>
  <c r="K116" i="10" s="1"/>
  <c r="AK147" i="6"/>
  <c r="AL147" i="6"/>
  <c r="G116" i="10" s="1"/>
  <c r="AM147" i="6"/>
  <c r="H116" i="10" s="1"/>
  <c r="AN147" i="6"/>
  <c r="I116" i="10" s="1"/>
  <c r="AO147" i="6"/>
  <c r="J116" i="10" s="1"/>
  <c r="AP176" i="6"/>
  <c r="K145" i="10" s="1"/>
  <c r="AO176" i="6"/>
  <c r="J145" i="10" s="1"/>
  <c r="AK176" i="6"/>
  <c r="AL176" i="6"/>
  <c r="G145" i="10" s="1"/>
  <c r="AN176" i="6"/>
  <c r="I145" i="10" s="1"/>
  <c r="AM176" i="6"/>
  <c r="H145" i="10" s="1"/>
  <c r="AP181" i="6"/>
  <c r="K150" i="10" s="1"/>
  <c r="AN181" i="6"/>
  <c r="I150" i="10" s="1"/>
  <c r="AO181" i="6"/>
  <c r="J150" i="10" s="1"/>
  <c r="AK181" i="6"/>
  <c r="AL181" i="6"/>
  <c r="G150" i="10" s="1"/>
  <c r="AM181" i="6"/>
  <c r="H150" i="10" s="1"/>
  <c r="AP155" i="6"/>
  <c r="K124" i="10" s="1"/>
  <c r="AK155" i="6"/>
  <c r="AL155" i="6"/>
  <c r="G124" i="10" s="1"/>
  <c r="AM155" i="6"/>
  <c r="H124" i="10" s="1"/>
  <c r="AN155" i="6"/>
  <c r="I124" i="10" s="1"/>
  <c r="AO155" i="6"/>
  <c r="J124" i="10" s="1"/>
  <c r="AP165" i="6"/>
  <c r="K134" i="10" s="1"/>
  <c r="AL165" i="6"/>
  <c r="G134" i="10" s="1"/>
  <c r="AK165" i="6"/>
  <c r="AM165" i="6"/>
  <c r="H134" i="10" s="1"/>
  <c r="AN165" i="6"/>
  <c r="I134" i="10" s="1"/>
  <c r="AO165" i="6"/>
  <c r="J134" i="10" s="1"/>
  <c r="AM79" i="6"/>
  <c r="H48" i="10" s="1"/>
  <c r="AL79" i="6"/>
  <c r="G48" i="10" s="1"/>
  <c r="AO79" i="6"/>
  <c r="J48" i="10" s="1"/>
  <c r="AK79" i="6"/>
  <c r="AN79" i="6"/>
  <c r="I48" i="10" s="1"/>
  <c r="AP79" i="6"/>
  <c r="K48" i="10" s="1"/>
  <c r="AP72" i="6"/>
  <c r="K41" i="10" s="1"/>
  <c r="AK72" i="6"/>
  <c r="AM72" i="6"/>
  <c r="H41" i="10" s="1"/>
  <c r="AO72" i="6"/>
  <c r="J41" i="10" s="1"/>
  <c r="AN72" i="6"/>
  <c r="I41" i="10" s="1"/>
  <c r="AL72" i="6"/>
  <c r="G41" i="10" s="1"/>
  <c r="AP157" i="6"/>
  <c r="K126" i="10" s="1"/>
  <c r="AL157" i="6"/>
  <c r="G126" i="10" s="1"/>
  <c r="AM157" i="6"/>
  <c r="H126" i="10" s="1"/>
  <c r="AN157" i="6"/>
  <c r="I126" i="10" s="1"/>
  <c r="AO157" i="6"/>
  <c r="J126" i="10" s="1"/>
  <c r="AK157" i="6"/>
  <c r="AP142" i="6"/>
  <c r="K111" i="10" s="1"/>
  <c r="AM142" i="6"/>
  <c r="H111" i="10" s="1"/>
  <c r="AK142" i="6"/>
  <c r="AL142" i="6"/>
  <c r="G111" i="10" s="1"/>
  <c r="AN142" i="6"/>
  <c r="I111" i="10" s="1"/>
  <c r="AO142" i="6"/>
  <c r="J111" i="10" s="1"/>
  <c r="AP74" i="6"/>
  <c r="K43" i="10" s="1"/>
  <c r="AK74" i="6"/>
  <c r="AL74" i="6"/>
  <c r="G43" i="10" s="1"/>
  <c r="AM74" i="6"/>
  <c r="H43" i="10" s="1"/>
  <c r="AN74" i="6"/>
  <c r="I43" i="10" s="1"/>
  <c r="AO74" i="6"/>
  <c r="J43" i="10" s="1"/>
  <c r="AM83" i="6"/>
  <c r="H52" i="10" s="1"/>
  <c r="AP83" i="6"/>
  <c r="K52" i="10" s="1"/>
  <c r="AK83" i="6"/>
  <c r="AL83" i="6"/>
  <c r="G52" i="10" s="1"/>
  <c r="AN83" i="6"/>
  <c r="I52" i="10" s="1"/>
  <c r="AO83" i="6"/>
  <c r="J52" i="10" s="1"/>
  <c r="AP151" i="6"/>
  <c r="K120" i="10" s="1"/>
  <c r="AN151" i="6"/>
  <c r="I120" i="10" s="1"/>
  <c r="AK151" i="6"/>
  <c r="AL151" i="6"/>
  <c r="G120" i="10" s="1"/>
  <c r="AM151" i="6"/>
  <c r="H120" i="10" s="1"/>
  <c r="AO151" i="6"/>
  <c r="J120" i="10" s="1"/>
  <c r="AP173" i="6"/>
  <c r="K142" i="10" s="1"/>
  <c r="AL173" i="6"/>
  <c r="G142" i="10" s="1"/>
  <c r="AK173" i="6"/>
  <c r="AM173" i="6"/>
  <c r="H142" i="10" s="1"/>
  <c r="AN173" i="6"/>
  <c r="I142" i="10" s="1"/>
  <c r="AO173" i="6"/>
  <c r="J142" i="10" s="1"/>
  <c r="AP177" i="6"/>
  <c r="K146" i="10" s="1"/>
  <c r="AK177" i="6"/>
  <c r="AL177" i="6"/>
  <c r="G146" i="10" s="1"/>
  <c r="AM177" i="6"/>
  <c r="H146" i="10" s="1"/>
  <c r="AN177" i="6"/>
  <c r="I146" i="10" s="1"/>
  <c r="AO177" i="6"/>
  <c r="J146" i="10" s="1"/>
  <c r="AP158" i="6"/>
  <c r="K127" i="10" s="1"/>
  <c r="AM158" i="6"/>
  <c r="H127" i="10" s="1"/>
  <c r="AO158" i="6"/>
  <c r="J127" i="10" s="1"/>
  <c r="AK158" i="6"/>
  <c r="AL158" i="6"/>
  <c r="G127" i="10" s="1"/>
  <c r="AN158" i="6"/>
  <c r="I127" i="10" s="1"/>
  <c r="AP163" i="6"/>
  <c r="K132" i="10" s="1"/>
  <c r="AK163" i="6"/>
  <c r="AL163" i="6"/>
  <c r="G132" i="10" s="1"/>
  <c r="AM163" i="6"/>
  <c r="H132" i="10" s="1"/>
  <c r="AN163" i="6"/>
  <c r="I132" i="10" s="1"/>
  <c r="AO163" i="6"/>
  <c r="J132" i="10" s="1"/>
  <c r="G183" i="5"/>
  <c r="E149" i="7" s="1"/>
  <c r="G181" i="5"/>
  <c r="E147" i="7" s="1"/>
  <c r="G184" i="5"/>
  <c r="E150" i="7" s="1"/>
  <c r="G185" i="5"/>
  <c r="E151" i="7" s="1"/>
  <c r="G182" i="5"/>
  <c r="E148" i="7" s="1"/>
  <c r="G180" i="5"/>
  <c r="E146" i="7" s="1"/>
  <c r="AP145" i="6"/>
  <c r="K114" i="10" s="1"/>
  <c r="AN145" i="6"/>
  <c r="I114" i="10" s="1"/>
  <c r="AO145" i="6"/>
  <c r="J114" i="10" s="1"/>
  <c r="AK145" i="6"/>
  <c r="AL145" i="6"/>
  <c r="G114" i="10" s="1"/>
  <c r="AM145" i="6"/>
  <c r="H114" i="10" s="1"/>
  <c r="AP70" i="6"/>
  <c r="K39" i="10" s="1"/>
  <c r="AO70" i="6"/>
  <c r="J39" i="10" s="1"/>
  <c r="AK70" i="6"/>
  <c r="AL70" i="6"/>
  <c r="G39" i="10" s="1"/>
  <c r="AM70" i="6"/>
  <c r="H39" i="10" s="1"/>
  <c r="AN70" i="6"/>
  <c r="I39" i="10" s="1"/>
  <c r="AM82" i="6"/>
  <c r="H51" i="10" s="1"/>
  <c r="AP82" i="6"/>
  <c r="K51" i="10" s="1"/>
  <c r="AN82" i="6"/>
  <c r="I51" i="10" s="1"/>
  <c r="AO82" i="6"/>
  <c r="J51" i="10" s="1"/>
  <c r="AK82" i="6"/>
  <c r="AL82" i="6"/>
  <c r="G51" i="10" s="1"/>
  <c r="AP148" i="6"/>
  <c r="K117" i="10" s="1"/>
  <c r="AK148" i="6"/>
  <c r="AL148" i="6"/>
  <c r="G117" i="10" s="1"/>
  <c r="AM148" i="6"/>
  <c r="H117" i="10" s="1"/>
  <c r="AN148" i="6"/>
  <c r="I117" i="10" s="1"/>
  <c r="AO148" i="6"/>
  <c r="J117" i="10" s="1"/>
  <c r="AP171" i="6"/>
  <c r="K140" i="10" s="1"/>
  <c r="AO171" i="6"/>
  <c r="J140" i="10" s="1"/>
  <c r="AK171" i="6"/>
  <c r="AL171" i="6"/>
  <c r="G140" i="10" s="1"/>
  <c r="AM171" i="6"/>
  <c r="H140" i="10" s="1"/>
  <c r="AN171" i="6"/>
  <c r="I140" i="10" s="1"/>
  <c r="AP182" i="6"/>
  <c r="K151" i="10" s="1"/>
  <c r="AO182" i="6"/>
  <c r="J151" i="10" s="1"/>
  <c r="AM182" i="6"/>
  <c r="H151" i="10" s="1"/>
  <c r="AK182" i="6"/>
  <c r="AN182" i="6"/>
  <c r="I151" i="10" s="1"/>
  <c r="AL182" i="6"/>
  <c r="G151" i="10" s="1"/>
  <c r="AP154" i="6"/>
  <c r="K123" i="10" s="1"/>
  <c r="AO154" i="6"/>
  <c r="J123" i="10" s="1"/>
  <c r="AK154" i="6"/>
  <c r="AL154" i="6"/>
  <c r="G123" i="10" s="1"/>
  <c r="AM154" i="6"/>
  <c r="H123" i="10" s="1"/>
  <c r="AN154" i="6"/>
  <c r="I123" i="10" s="1"/>
  <c r="AP161" i="6"/>
  <c r="K130" i="10" s="1"/>
  <c r="AL161" i="6"/>
  <c r="G130" i="10" s="1"/>
  <c r="AM161" i="6"/>
  <c r="H130" i="10" s="1"/>
  <c r="AN161" i="6"/>
  <c r="I130" i="10" s="1"/>
  <c r="AO161" i="6"/>
  <c r="J130" i="10" s="1"/>
  <c r="AK161" i="6"/>
  <c r="AP152" i="6"/>
  <c r="K121" i="10" s="1"/>
  <c r="AO152" i="6"/>
  <c r="J121" i="10" s="1"/>
  <c r="AK152" i="6"/>
  <c r="AL152" i="6"/>
  <c r="G121" i="10" s="1"/>
  <c r="AM152" i="6"/>
  <c r="H121" i="10" s="1"/>
  <c r="AN152" i="6"/>
  <c r="I121" i="10" s="1"/>
  <c r="AP178" i="6"/>
  <c r="K147" i="10" s="1"/>
  <c r="AK178" i="6"/>
  <c r="AL178" i="6"/>
  <c r="G147" i="10" s="1"/>
  <c r="AM178" i="6"/>
  <c r="H147" i="10" s="1"/>
  <c r="AN178" i="6"/>
  <c r="I147" i="10" s="1"/>
  <c r="AO178" i="6"/>
  <c r="J147" i="10" s="1"/>
  <c r="AP186" i="6"/>
  <c r="K155" i="10" s="1"/>
  <c r="AK186" i="6"/>
  <c r="AL186" i="6"/>
  <c r="G155" i="10" s="1"/>
  <c r="AN186" i="6"/>
  <c r="I155" i="10" s="1"/>
  <c r="AM186" i="6"/>
  <c r="H155" i="10" s="1"/>
  <c r="AO186" i="6"/>
  <c r="J155" i="10" s="1"/>
  <c r="AP167" i="6"/>
  <c r="K136" i="10" s="1"/>
  <c r="AN167" i="6"/>
  <c r="I136" i="10" s="1"/>
  <c r="AK167" i="6"/>
  <c r="AL167" i="6"/>
  <c r="G136" i="10" s="1"/>
  <c r="AM167" i="6"/>
  <c r="H136" i="10" s="1"/>
  <c r="AO167" i="6"/>
  <c r="J136" i="10" s="1"/>
  <c r="AM80" i="6"/>
  <c r="H49" i="10" s="1"/>
  <c r="AN80" i="6"/>
  <c r="I49" i="10" s="1"/>
  <c r="AK80" i="6"/>
  <c r="AL80" i="6"/>
  <c r="G49" i="10" s="1"/>
  <c r="AO80" i="6"/>
  <c r="J49" i="10" s="1"/>
  <c r="AP80" i="6"/>
  <c r="K49" i="10" s="1"/>
  <c r="AP160" i="6"/>
  <c r="K129" i="10" s="1"/>
  <c r="AO160" i="6"/>
  <c r="J129" i="10" s="1"/>
  <c r="AK160" i="6"/>
  <c r="AL160" i="6"/>
  <c r="G129" i="10" s="1"/>
  <c r="AM160" i="6"/>
  <c r="H129" i="10" s="1"/>
  <c r="AN160" i="6"/>
  <c r="I129" i="10" s="1"/>
  <c r="G112" i="5"/>
  <c r="E78" i="7" s="1"/>
  <c r="G111" i="5"/>
  <c r="E77" i="7" s="1"/>
  <c r="G110" i="5"/>
  <c r="E76" i="7" s="1"/>
  <c r="G113" i="5"/>
  <c r="E79" i="7" s="1"/>
  <c r="G108" i="5"/>
  <c r="E74" i="7" s="1"/>
  <c r="G109" i="5"/>
  <c r="E75" i="7" s="1"/>
  <c r="G178" i="5"/>
  <c r="E144" i="7" s="1"/>
  <c r="G175" i="5"/>
  <c r="E141" i="7" s="1"/>
  <c r="G179" i="5"/>
  <c r="E145" i="7" s="1"/>
  <c r="G177" i="5"/>
  <c r="E143" i="7" s="1"/>
  <c r="G176" i="5"/>
  <c r="E142" i="7" s="1"/>
  <c r="G174" i="5"/>
  <c r="E140" i="7" s="1"/>
  <c r="AP187" i="6"/>
  <c r="K156" i="10" s="1"/>
  <c r="AL187" i="6"/>
  <c r="G156" i="10" s="1"/>
  <c r="AM187" i="6"/>
  <c r="H156" i="10" s="1"/>
  <c r="AN187" i="6"/>
  <c r="I156" i="10" s="1"/>
  <c r="AO187" i="6"/>
  <c r="J156" i="10" s="1"/>
  <c r="AK187" i="6"/>
  <c r="AP170" i="6"/>
  <c r="K139" i="10" s="1"/>
  <c r="AM170" i="6"/>
  <c r="H139" i="10" s="1"/>
  <c r="AN170" i="6"/>
  <c r="I139" i="10" s="1"/>
  <c r="AO170" i="6"/>
  <c r="J139" i="10" s="1"/>
  <c r="AL170" i="6"/>
  <c r="G139" i="10" s="1"/>
  <c r="AK170" i="6"/>
  <c r="AM78" i="6"/>
  <c r="H47" i="10" s="1"/>
  <c r="AK78" i="6"/>
  <c r="AO78" i="6"/>
  <c r="J47" i="10" s="1"/>
  <c r="AP78" i="6"/>
  <c r="K47" i="10" s="1"/>
  <c r="AL78" i="6"/>
  <c r="G47" i="10" s="1"/>
  <c r="AN78" i="6"/>
  <c r="I47" i="10" s="1"/>
  <c r="AP162" i="6"/>
  <c r="K131" i="10" s="1"/>
  <c r="AN162" i="6"/>
  <c r="I131" i="10" s="1"/>
  <c r="AO162" i="6"/>
  <c r="J131" i="10" s="1"/>
  <c r="AK162" i="6"/>
  <c r="AM162" i="6"/>
  <c r="H131" i="10" s="1"/>
  <c r="AL162" i="6"/>
  <c r="G131" i="10" s="1"/>
  <c r="AP146" i="6"/>
  <c r="K115" i="10" s="1"/>
  <c r="AK146" i="6"/>
  <c r="AM146" i="6"/>
  <c r="H115" i="10" s="1"/>
  <c r="AN146" i="6"/>
  <c r="I115" i="10" s="1"/>
  <c r="AO146" i="6"/>
  <c r="J115" i="10" s="1"/>
  <c r="AL146" i="6"/>
  <c r="G115" i="10" s="1"/>
  <c r="AP185" i="6"/>
  <c r="K154" i="10" s="1"/>
  <c r="AM185" i="6"/>
  <c r="H154" i="10" s="1"/>
  <c r="AK185" i="6"/>
  <c r="AL185" i="6"/>
  <c r="G154" i="10" s="1"/>
  <c r="AN185" i="6"/>
  <c r="I154" i="10" s="1"/>
  <c r="AO185" i="6"/>
  <c r="J154" i="10" s="1"/>
  <c r="AM85" i="6"/>
  <c r="H54" i="10" s="1"/>
  <c r="AK85" i="6"/>
  <c r="AL85" i="6"/>
  <c r="G54" i="10" s="1"/>
  <c r="AN85" i="6"/>
  <c r="I54" i="10" s="1"/>
  <c r="AO85" i="6"/>
  <c r="J54" i="10" s="1"/>
  <c r="AP85" i="6"/>
  <c r="K54" i="10" s="1"/>
  <c r="AP168" i="6"/>
  <c r="K137" i="10" s="1"/>
  <c r="AO168" i="6"/>
  <c r="J137" i="10" s="1"/>
  <c r="AK168" i="6"/>
  <c r="AL168" i="6"/>
  <c r="G137" i="10" s="1"/>
  <c r="AM168" i="6"/>
  <c r="H137" i="10" s="1"/>
  <c r="AN168" i="6"/>
  <c r="I137" i="10" s="1"/>
  <c r="G107" i="5"/>
  <c r="E73" i="7" s="1"/>
  <c r="G103" i="5"/>
  <c r="E69" i="7" s="1"/>
  <c r="G106" i="5"/>
  <c r="E72" i="7" s="1"/>
  <c r="G105" i="5"/>
  <c r="E71" i="7" s="1"/>
  <c r="G104" i="5"/>
  <c r="E70" i="7" s="1"/>
  <c r="G102" i="5"/>
  <c r="E68" i="7" s="1"/>
  <c r="G173" i="5"/>
  <c r="E139" i="7" s="1"/>
  <c r="G170" i="5"/>
  <c r="E136" i="7" s="1"/>
  <c r="G168" i="5"/>
  <c r="E134" i="7" s="1"/>
  <c r="G171" i="5"/>
  <c r="E137" i="7" s="1"/>
  <c r="G172" i="5"/>
  <c r="E138" i="7" s="1"/>
  <c r="G169" i="5"/>
  <c r="E135" i="7" s="1"/>
  <c r="AP143" i="6"/>
  <c r="K112" i="10" s="1"/>
  <c r="AN143" i="6"/>
  <c r="I112" i="10" s="1"/>
  <c r="AK143" i="6"/>
  <c r="AL143" i="6"/>
  <c r="G112" i="10" s="1"/>
  <c r="AM143" i="6"/>
  <c r="H112" i="10" s="1"/>
  <c r="AO143" i="6"/>
  <c r="J112" i="10" s="1"/>
  <c r="AP73" i="6"/>
  <c r="K42" i="10" s="1"/>
  <c r="AL73" i="6"/>
  <c r="G42" i="10" s="1"/>
  <c r="AK73" i="6"/>
  <c r="AM73" i="6"/>
  <c r="H42" i="10" s="1"/>
  <c r="AO73" i="6"/>
  <c r="J42" i="10" s="1"/>
  <c r="AN73" i="6"/>
  <c r="I42" i="10" s="1"/>
  <c r="AP184" i="6"/>
  <c r="K153" i="10" s="1"/>
  <c r="AK184" i="6"/>
  <c r="AL184" i="6"/>
  <c r="G153" i="10" s="1"/>
  <c r="AN184" i="6"/>
  <c r="I153" i="10" s="1"/>
  <c r="AO184" i="6"/>
  <c r="J153" i="10" s="1"/>
  <c r="AM184" i="6"/>
  <c r="H153" i="10" s="1"/>
  <c r="AM84" i="6"/>
  <c r="H53" i="10" s="1"/>
  <c r="AK84" i="6"/>
  <c r="AL84" i="6"/>
  <c r="G53" i="10" s="1"/>
  <c r="AN84" i="6"/>
  <c r="I53" i="10" s="1"/>
  <c r="AO84" i="6"/>
  <c r="J53" i="10" s="1"/>
  <c r="AP84" i="6"/>
  <c r="K53" i="10" s="1"/>
  <c r="AP149" i="6"/>
  <c r="K118" i="10" s="1"/>
  <c r="AL149" i="6"/>
  <c r="G118" i="10" s="1"/>
  <c r="AN149" i="6"/>
  <c r="I118" i="10" s="1"/>
  <c r="AO149" i="6"/>
  <c r="J118" i="10" s="1"/>
  <c r="AM149" i="6"/>
  <c r="H118" i="10" s="1"/>
  <c r="AK149" i="6"/>
  <c r="AP174" i="6"/>
  <c r="K143" i="10" s="1"/>
  <c r="AM174" i="6"/>
  <c r="H143" i="10" s="1"/>
  <c r="AL174" i="6"/>
  <c r="G143" i="10" s="1"/>
  <c r="AN174" i="6"/>
  <c r="I143" i="10" s="1"/>
  <c r="AO174" i="6"/>
  <c r="J143" i="10" s="1"/>
  <c r="AK174" i="6"/>
  <c r="AP179" i="6"/>
  <c r="K148" i="10" s="1"/>
  <c r="AL179" i="6"/>
  <c r="G148" i="10" s="1"/>
  <c r="AM179" i="6"/>
  <c r="H148" i="10" s="1"/>
  <c r="AN179" i="6"/>
  <c r="I148" i="10" s="1"/>
  <c r="AO179" i="6"/>
  <c r="J148" i="10" s="1"/>
  <c r="AK179" i="6"/>
  <c r="AP156" i="6"/>
  <c r="K125" i="10" s="1"/>
  <c r="AK156" i="6"/>
  <c r="AL156" i="6"/>
  <c r="G125" i="10" s="1"/>
  <c r="AM156" i="6"/>
  <c r="H125" i="10" s="1"/>
  <c r="AN156" i="6"/>
  <c r="I125" i="10" s="1"/>
  <c r="AO156" i="6"/>
  <c r="J125" i="10" s="1"/>
  <c r="AP169" i="6"/>
  <c r="K138" i="10" s="1"/>
  <c r="AK169" i="6"/>
  <c r="AL169" i="6"/>
  <c r="G138" i="10" s="1"/>
  <c r="AM169" i="6"/>
  <c r="H138" i="10" s="1"/>
  <c r="AN169" i="6"/>
  <c r="I138" i="10" s="1"/>
  <c r="AO169" i="6"/>
  <c r="J138" i="10" s="1"/>
  <c r="AM77" i="6"/>
  <c r="H46" i="10" s="1"/>
  <c r="AL77" i="6"/>
  <c r="G46" i="10" s="1"/>
  <c r="AN77" i="6"/>
  <c r="I46" i="10" s="1"/>
  <c r="AO77" i="6"/>
  <c r="J46" i="10" s="1"/>
  <c r="AP77" i="6"/>
  <c r="K46" i="10" s="1"/>
  <c r="AK77" i="6"/>
  <c r="AP164" i="6"/>
  <c r="K133" i="10" s="1"/>
  <c r="AK164" i="6"/>
  <c r="AL164" i="6"/>
  <c r="G133" i="10" s="1"/>
  <c r="AM164" i="6"/>
  <c r="H133" i="10" s="1"/>
  <c r="AN164" i="6"/>
  <c r="I133" i="10" s="1"/>
  <c r="AO164" i="6"/>
  <c r="J133" i="10" s="1"/>
  <c r="G92" i="5"/>
  <c r="E58" i="7" s="1"/>
  <c r="G93" i="5"/>
  <c r="E59" i="7" s="1"/>
  <c r="G90" i="5"/>
  <c r="E56" i="7" s="1"/>
  <c r="G91" i="5"/>
  <c r="E57" i="7" s="1"/>
  <c r="G94" i="5"/>
  <c r="E60" i="7" s="1"/>
  <c r="G95" i="5"/>
  <c r="E61" i="7" s="1"/>
  <c r="G134" i="5"/>
  <c r="E100" i="7" s="1"/>
  <c r="G136" i="5"/>
  <c r="E102" i="7" s="1"/>
  <c r="G137" i="5"/>
  <c r="E103" i="7" s="1"/>
  <c r="G135" i="5"/>
  <c r="E101" i="7" s="1"/>
  <c r="G132" i="5"/>
  <c r="E98" i="7" s="1"/>
  <c r="G133" i="5"/>
  <c r="E99" i="7" s="1"/>
  <c r="G142" i="5"/>
  <c r="E108" i="7" s="1"/>
  <c r="G139" i="5"/>
  <c r="E105" i="7" s="1"/>
  <c r="G138" i="5"/>
  <c r="E104" i="7" s="1"/>
  <c r="G143" i="5"/>
  <c r="E109" i="7" s="1"/>
  <c r="G140" i="5"/>
  <c r="E106" i="7" s="1"/>
  <c r="G141" i="5"/>
  <c r="E107" i="7" s="1"/>
  <c r="G117" i="5"/>
  <c r="E83" i="7" s="1"/>
  <c r="G115" i="5"/>
  <c r="E81" i="7" s="1"/>
  <c r="G114" i="5"/>
  <c r="E80" i="7" s="1"/>
  <c r="G116" i="5"/>
  <c r="E82" i="7" s="1"/>
  <c r="G118" i="5"/>
  <c r="E84" i="7" s="1"/>
  <c r="G119" i="5"/>
  <c r="E85" i="7" s="1"/>
  <c r="AP144" i="6"/>
  <c r="K113" i="10" s="1"/>
  <c r="AO144" i="6"/>
  <c r="J113" i="10" s="1"/>
  <c r="AL144" i="6"/>
  <c r="G113" i="10" s="1"/>
  <c r="AM144" i="6"/>
  <c r="H113" i="10" s="1"/>
  <c r="AN144" i="6"/>
  <c r="I113" i="10" s="1"/>
  <c r="AK144" i="6"/>
  <c r="AP69" i="6"/>
  <c r="K38" i="10" s="1"/>
  <c r="AN69" i="6"/>
  <c r="I38" i="10" s="1"/>
  <c r="AO69" i="6"/>
  <c r="J38" i="10" s="1"/>
  <c r="AL69" i="6"/>
  <c r="G38" i="10" s="1"/>
  <c r="AM69" i="6"/>
  <c r="H38" i="10" s="1"/>
  <c r="AK69" i="6"/>
  <c r="AP183" i="6"/>
  <c r="K152" i="10" s="1"/>
  <c r="AK183" i="6"/>
  <c r="AL183" i="6"/>
  <c r="G152" i="10" s="1"/>
  <c r="AM183" i="6"/>
  <c r="H152" i="10" s="1"/>
  <c r="AN183" i="6"/>
  <c r="I152" i="10" s="1"/>
  <c r="AO183" i="6"/>
  <c r="J152" i="10" s="1"/>
  <c r="AM86" i="6"/>
  <c r="H55" i="10" s="1"/>
  <c r="AK86" i="6"/>
  <c r="AN86" i="6"/>
  <c r="I55" i="10" s="1"/>
  <c r="AO86" i="6"/>
  <c r="J55" i="10" s="1"/>
  <c r="AP86" i="6"/>
  <c r="K55" i="10" s="1"/>
  <c r="AL86" i="6"/>
  <c r="G55" i="10" s="1"/>
  <c r="AP150" i="6"/>
  <c r="K119" i="10" s="1"/>
  <c r="AM150" i="6"/>
  <c r="H119" i="10" s="1"/>
  <c r="AK150" i="6"/>
  <c r="AL150" i="6"/>
  <c r="G119" i="10" s="1"/>
  <c r="AN150" i="6"/>
  <c r="I119" i="10" s="1"/>
  <c r="AO150" i="6"/>
  <c r="J119" i="10" s="1"/>
  <c r="AP172" i="6"/>
  <c r="K141" i="10" s="1"/>
  <c r="AK172" i="6"/>
  <c r="AL172" i="6"/>
  <c r="G141" i="10" s="1"/>
  <c r="AO172" i="6"/>
  <c r="J141" i="10" s="1"/>
  <c r="AM172" i="6"/>
  <c r="H141" i="10" s="1"/>
  <c r="AN172" i="6"/>
  <c r="I141" i="10" s="1"/>
  <c r="AP180" i="6"/>
  <c r="K149" i="10" s="1"/>
  <c r="AM180" i="6"/>
  <c r="H149" i="10" s="1"/>
  <c r="AN180" i="6"/>
  <c r="I149" i="10" s="1"/>
  <c r="AO180" i="6"/>
  <c r="J149" i="10" s="1"/>
  <c r="AL180" i="6"/>
  <c r="G149" i="10" s="1"/>
  <c r="AK180" i="6"/>
  <c r="AP153" i="6"/>
  <c r="K122" i="10" s="1"/>
  <c r="AM153" i="6"/>
  <c r="H122" i="10" s="1"/>
  <c r="AN153" i="6"/>
  <c r="I122" i="10" s="1"/>
  <c r="AO153" i="6"/>
  <c r="J122" i="10" s="1"/>
  <c r="AK153" i="6"/>
  <c r="AL153" i="6"/>
  <c r="G122" i="10" s="1"/>
  <c r="AP166" i="6"/>
  <c r="K135" i="10" s="1"/>
  <c r="AM166" i="6"/>
  <c r="H135" i="10" s="1"/>
  <c r="AN166" i="6"/>
  <c r="I135" i="10" s="1"/>
  <c r="AO166" i="6"/>
  <c r="J135" i="10" s="1"/>
  <c r="AK166" i="6"/>
  <c r="AL166" i="6"/>
  <c r="G135" i="10" s="1"/>
  <c r="AM76" i="6"/>
  <c r="H45" i="10" s="1"/>
  <c r="AK76" i="6"/>
  <c r="AL76" i="6"/>
  <c r="G45" i="10" s="1"/>
  <c r="AN76" i="6"/>
  <c r="I45" i="10" s="1"/>
  <c r="AO76" i="6"/>
  <c r="J45" i="10" s="1"/>
  <c r="AP76" i="6"/>
  <c r="K45" i="10" s="1"/>
  <c r="AP159" i="6"/>
  <c r="K128" i="10" s="1"/>
  <c r="AN159" i="6"/>
  <c r="I128" i="10" s="1"/>
  <c r="AK159" i="6"/>
  <c r="AL159" i="6"/>
  <c r="G128" i="10" s="1"/>
  <c r="AM159" i="6"/>
  <c r="H128" i="10" s="1"/>
  <c r="AO159" i="6"/>
  <c r="J128" i="10" s="1"/>
  <c r="P145" i="4"/>
  <c r="F145" i="4"/>
  <c r="F88" i="4"/>
  <c r="P88" i="4"/>
  <c r="E149" i="4"/>
  <c r="O149" i="4"/>
  <c r="F129" i="4"/>
  <c r="P129" i="4"/>
  <c r="Z110" i="4"/>
  <c r="Z114" i="4"/>
  <c r="Z111" i="4"/>
  <c r="Z112" i="4"/>
  <c r="Z113" i="4"/>
  <c r="Z115" i="4"/>
  <c r="F99" i="4"/>
  <c r="P99" i="4"/>
  <c r="E158" i="4"/>
  <c r="O158" i="4"/>
  <c r="P140" i="4"/>
  <c r="F140" i="4"/>
  <c r="F90" i="4"/>
  <c r="P90" i="4"/>
  <c r="O156" i="4"/>
  <c r="E156" i="4"/>
  <c r="F183" i="4"/>
  <c r="P183" i="4"/>
  <c r="F47" i="4"/>
  <c r="P47" i="4"/>
  <c r="F116" i="4"/>
  <c r="P116" i="4"/>
  <c r="F148" i="4"/>
  <c r="P148" i="4"/>
  <c r="E69" i="4"/>
  <c r="O69" i="4"/>
  <c r="F162" i="4"/>
  <c r="P162" i="4"/>
  <c r="O87" i="4"/>
  <c r="E87" i="4"/>
  <c r="F135" i="4"/>
  <c r="P135" i="4"/>
  <c r="E39" i="4"/>
  <c r="P84" i="4"/>
  <c r="F84" i="4"/>
  <c r="E148" i="4"/>
  <c r="O148" i="4"/>
  <c r="F111" i="4"/>
  <c r="P111" i="4"/>
  <c r="F167" i="4"/>
  <c r="P167" i="4"/>
  <c r="O144" i="4"/>
  <c r="E144" i="4"/>
  <c r="P173" i="4"/>
  <c r="F173" i="4"/>
  <c r="P53" i="4"/>
  <c r="F53" i="4"/>
  <c r="P132" i="4"/>
  <c r="F132" i="4"/>
  <c r="Z118" i="4"/>
  <c r="Z117" i="4"/>
  <c r="Z121" i="4"/>
  <c r="Z120" i="4"/>
  <c r="Z116" i="4"/>
  <c r="Z119" i="4"/>
  <c r="F149" i="4"/>
  <c r="P149" i="4"/>
  <c r="O70" i="4"/>
  <c r="E70" i="4"/>
  <c r="E86" i="4"/>
  <c r="O86" i="4"/>
  <c r="F80" i="4"/>
  <c r="P80" i="4"/>
  <c r="E79" i="4"/>
  <c r="O79" i="4"/>
  <c r="P41" i="4"/>
  <c r="F41" i="4"/>
  <c r="P68" i="4"/>
  <c r="F68" i="4"/>
  <c r="F101" i="4"/>
  <c r="P101" i="4"/>
  <c r="P185" i="4"/>
  <c r="F185" i="4"/>
  <c r="F44" i="4"/>
  <c r="P44" i="4"/>
  <c r="F178" i="4"/>
  <c r="P178" i="4"/>
  <c r="F96" i="4"/>
  <c r="P96" i="4"/>
  <c r="P151" i="4"/>
  <c r="F151" i="4"/>
  <c r="E73" i="4"/>
  <c r="O73" i="4"/>
  <c r="E84" i="4"/>
  <c r="O84" i="4"/>
  <c r="P104" i="4"/>
  <c r="F104" i="4"/>
  <c r="P163" i="4"/>
  <c r="F163" i="4"/>
  <c r="O88" i="4"/>
  <c r="E88" i="4"/>
  <c r="F136" i="4"/>
  <c r="P136" i="4"/>
  <c r="O40" i="4"/>
  <c r="E40" i="4"/>
  <c r="P85" i="4"/>
  <c r="F85" i="4"/>
  <c r="E150" i="4"/>
  <c r="O150" i="4"/>
  <c r="P110" i="4"/>
  <c r="F110" i="4"/>
  <c r="F168" i="4"/>
  <c r="P168" i="4"/>
  <c r="F171" i="4"/>
  <c r="P171" i="4"/>
  <c r="P133" i="4"/>
  <c r="F133" i="4"/>
  <c r="Z137" i="4"/>
  <c r="Z135" i="4"/>
  <c r="Z136" i="4"/>
  <c r="Z138" i="4"/>
  <c r="Z139" i="4"/>
  <c r="Z134" i="4"/>
  <c r="I49" i="6"/>
  <c r="I47" i="6"/>
  <c r="I45" i="6"/>
  <c r="I48" i="6"/>
  <c r="I46" i="6"/>
  <c r="I50" i="6"/>
  <c r="Z178" i="4"/>
  <c r="Z180" i="4"/>
  <c r="Z177" i="4"/>
  <c r="Z176" i="4"/>
  <c r="Z181" i="4"/>
  <c r="Z179" i="4"/>
  <c r="F127" i="4"/>
  <c r="P127" i="4"/>
  <c r="F98" i="4"/>
  <c r="P98" i="4"/>
  <c r="F152" i="4"/>
  <c r="P152" i="4"/>
  <c r="P39" i="4"/>
  <c r="F39" i="4"/>
  <c r="P34" i="4"/>
  <c r="F34" i="4"/>
  <c r="O163" i="4"/>
  <c r="E163" i="4"/>
  <c r="F141" i="4"/>
  <c r="P141" i="4"/>
  <c r="F87" i="4"/>
  <c r="P87" i="4"/>
  <c r="P182" i="4"/>
  <c r="F182" i="4"/>
  <c r="F176" i="4"/>
  <c r="P176" i="4"/>
  <c r="F93" i="4"/>
  <c r="P93" i="4"/>
  <c r="F146" i="4"/>
  <c r="P146" i="4"/>
  <c r="E72" i="4"/>
  <c r="O72" i="4"/>
  <c r="E83" i="4"/>
  <c r="O83" i="4"/>
  <c r="F106" i="4"/>
  <c r="P106" i="4"/>
  <c r="P160" i="4"/>
  <c r="F160" i="4"/>
  <c r="O89" i="4"/>
  <c r="E89" i="4"/>
  <c r="F134" i="4"/>
  <c r="P134" i="4"/>
  <c r="E43" i="4"/>
  <c r="O43" i="4"/>
  <c r="P82" i="4"/>
  <c r="F82" i="4"/>
  <c r="P115" i="4"/>
  <c r="F115" i="4"/>
  <c r="O78" i="4"/>
  <c r="E78" i="4"/>
  <c r="P174" i="4"/>
  <c r="F174" i="4"/>
  <c r="P130" i="4"/>
  <c r="F130" i="4"/>
  <c r="Z104" i="4"/>
  <c r="Z107" i="4"/>
  <c r="Z106" i="4"/>
  <c r="Z108" i="4"/>
  <c r="Z105" i="4"/>
  <c r="Z109" i="4"/>
  <c r="Z187" i="4"/>
  <c r="Z182" i="4"/>
  <c r="Z184" i="4"/>
  <c r="Z185" i="4"/>
  <c r="Z186" i="4"/>
  <c r="Z183" i="4"/>
  <c r="F91" i="4"/>
  <c r="P91" i="4"/>
  <c r="P123" i="4"/>
  <c r="F123" i="4"/>
  <c r="F35" i="4"/>
  <c r="P35" i="4"/>
  <c r="O162" i="4"/>
  <c r="E162" i="4"/>
  <c r="P143" i="4"/>
  <c r="F143" i="4"/>
  <c r="P86" i="4"/>
  <c r="F86" i="4"/>
  <c r="F187" i="4"/>
  <c r="P187" i="4"/>
  <c r="P177" i="4"/>
  <c r="F177" i="4"/>
  <c r="F121" i="4"/>
  <c r="P121" i="4"/>
  <c r="F97" i="4"/>
  <c r="P97" i="4"/>
  <c r="F150" i="4"/>
  <c r="P150" i="4"/>
  <c r="E82" i="4"/>
  <c r="O82" i="4"/>
  <c r="P107" i="4"/>
  <c r="F107" i="4"/>
  <c r="P158" i="4"/>
  <c r="F158" i="4"/>
  <c r="O91" i="4"/>
  <c r="E91" i="4"/>
  <c r="F137" i="4"/>
  <c r="P137" i="4"/>
  <c r="O41" i="4"/>
  <c r="E41" i="4"/>
  <c r="P83" i="4"/>
  <c r="F83" i="4"/>
  <c r="F112" i="4"/>
  <c r="P112" i="4"/>
  <c r="O77" i="4"/>
  <c r="E77" i="4"/>
  <c r="O141" i="4"/>
  <c r="E141" i="4"/>
  <c r="P54" i="4"/>
  <c r="F54" i="4"/>
  <c r="F131" i="4"/>
  <c r="P131" i="4"/>
  <c r="F69" i="4"/>
  <c r="P69" i="4"/>
  <c r="F119" i="4"/>
  <c r="P119" i="4"/>
  <c r="P161" i="4"/>
  <c r="F161" i="4"/>
  <c r="F169" i="4"/>
  <c r="P169" i="4"/>
  <c r="I94" i="6"/>
  <c r="I98" i="6"/>
  <c r="I96" i="6"/>
  <c r="I95" i="6"/>
  <c r="I97" i="6"/>
  <c r="I93" i="6"/>
  <c r="Z127" i="4"/>
  <c r="Z123" i="4"/>
  <c r="Z122" i="4"/>
  <c r="Z125" i="4"/>
  <c r="Z124" i="4"/>
  <c r="Z126" i="4"/>
  <c r="I110" i="6"/>
  <c r="I108" i="6"/>
  <c r="I106" i="6"/>
  <c r="I105" i="6"/>
  <c r="I107" i="6"/>
  <c r="I109" i="6"/>
  <c r="Z44" i="4"/>
  <c r="Z47" i="4"/>
  <c r="Z49" i="4"/>
  <c r="Z48" i="4"/>
  <c r="Z46" i="4"/>
  <c r="Z45" i="4"/>
  <c r="Z130" i="4"/>
  <c r="Z133" i="4"/>
  <c r="Z132" i="4"/>
  <c r="Z129" i="4"/>
  <c r="Z128" i="4"/>
  <c r="Z131" i="4"/>
  <c r="Z37" i="4"/>
  <c r="Z34" i="4"/>
  <c r="Z33" i="4"/>
  <c r="Z36" i="4"/>
  <c r="Z35" i="4"/>
  <c r="Z32" i="4"/>
  <c r="P122" i="4"/>
  <c r="F122" i="4"/>
  <c r="F72" i="4"/>
  <c r="P72" i="4"/>
  <c r="E159" i="4"/>
  <c r="O159" i="4"/>
  <c r="F142" i="4"/>
  <c r="P142" i="4"/>
  <c r="P125" i="4"/>
  <c r="F125" i="4"/>
  <c r="F155" i="4"/>
  <c r="P155" i="4"/>
  <c r="P42" i="4"/>
  <c r="F42" i="4"/>
  <c r="F73" i="4"/>
  <c r="P73" i="4"/>
  <c r="F120" i="4"/>
  <c r="P120" i="4"/>
  <c r="F109" i="4"/>
  <c r="P109" i="4"/>
  <c r="P159" i="4"/>
  <c r="F159" i="4"/>
  <c r="F139" i="4"/>
  <c r="P139" i="4"/>
  <c r="P166" i="4"/>
  <c r="F166" i="4"/>
  <c r="E74" i="4"/>
  <c r="O74" i="4"/>
  <c r="E143" i="4"/>
  <c r="O143" i="4"/>
  <c r="F128" i="4"/>
  <c r="P128" i="4"/>
  <c r="Z55" i="4"/>
  <c r="Z52" i="4"/>
  <c r="Z53" i="4"/>
  <c r="Z50" i="4"/>
  <c r="Z54" i="4"/>
  <c r="Z51" i="4"/>
  <c r="Z95" i="4"/>
  <c r="Z97" i="4"/>
  <c r="Z93" i="4"/>
  <c r="Z96" i="4"/>
  <c r="Z92" i="4"/>
  <c r="Z94" i="4"/>
  <c r="I112" i="6"/>
  <c r="I116" i="6"/>
  <c r="I113" i="6"/>
  <c r="I115" i="6"/>
  <c r="I114" i="6"/>
  <c r="I111" i="6"/>
  <c r="P124" i="4"/>
  <c r="F124" i="4"/>
  <c r="P157" i="4"/>
  <c r="F157" i="4"/>
  <c r="P43" i="4"/>
  <c r="F43" i="4"/>
  <c r="F70" i="4"/>
  <c r="P70" i="4"/>
  <c r="P37" i="4"/>
  <c r="F37" i="4"/>
  <c r="O160" i="4"/>
  <c r="E160" i="4"/>
  <c r="O154" i="4"/>
  <c r="E154" i="4"/>
  <c r="F46" i="4"/>
  <c r="P46" i="4"/>
  <c r="P180" i="4"/>
  <c r="F180" i="4"/>
  <c r="P117" i="4"/>
  <c r="F117" i="4"/>
  <c r="F94" i="4"/>
  <c r="P94" i="4"/>
  <c r="O68" i="4"/>
  <c r="E68" i="4"/>
  <c r="O81" i="4"/>
  <c r="E81" i="4"/>
  <c r="P105" i="4"/>
  <c r="F105" i="4"/>
  <c r="P138" i="4"/>
  <c r="F138" i="4"/>
  <c r="O38" i="4"/>
  <c r="E38" i="4"/>
  <c r="E147" i="4"/>
  <c r="O147" i="4"/>
  <c r="F113" i="4"/>
  <c r="P113" i="4"/>
  <c r="P164" i="4"/>
  <c r="F164" i="4"/>
  <c r="E76" i="4"/>
  <c r="O76" i="4"/>
  <c r="E140" i="4"/>
  <c r="O140" i="4"/>
  <c r="F170" i="4"/>
  <c r="P170" i="4"/>
  <c r="F55" i="4"/>
  <c r="P55" i="4"/>
  <c r="I102" i="6"/>
  <c r="I101" i="6"/>
  <c r="I100" i="6"/>
  <c r="I104" i="6"/>
  <c r="I103" i="6"/>
  <c r="I99" i="6"/>
  <c r="F100" i="4"/>
  <c r="P100" i="4"/>
  <c r="P154" i="4"/>
  <c r="F154" i="4"/>
  <c r="P33" i="4"/>
  <c r="F33" i="4"/>
  <c r="O153" i="4"/>
  <c r="E153" i="4"/>
  <c r="P186" i="4"/>
  <c r="F186" i="4"/>
  <c r="P49" i="4"/>
  <c r="F49" i="4"/>
  <c r="O145" i="4"/>
  <c r="E145" i="4"/>
  <c r="P172" i="4"/>
  <c r="F172" i="4"/>
  <c r="F51" i="4"/>
  <c r="P51" i="4"/>
  <c r="I139" i="6"/>
  <c r="I140" i="6"/>
  <c r="I136" i="6"/>
  <c r="I138" i="6"/>
  <c r="I137" i="6"/>
  <c r="I135" i="6"/>
  <c r="P40" i="4"/>
  <c r="F40" i="4"/>
  <c r="O152" i="4"/>
  <c r="E152" i="4"/>
  <c r="I42" i="6"/>
  <c r="I40" i="6"/>
  <c r="I43" i="6"/>
  <c r="I41" i="6"/>
  <c r="I39" i="6"/>
  <c r="I44" i="6"/>
  <c r="I89" i="6"/>
  <c r="I87" i="6"/>
  <c r="I88" i="6"/>
  <c r="I91" i="6"/>
  <c r="I90" i="6"/>
  <c r="I92" i="6"/>
  <c r="I52" i="6"/>
  <c r="I53" i="6"/>
  <c r="I56" i="6"/>
  <c r="I51" i="6"/>
  <c r="I55" i="6"/>
  <c r="I54" i="6"/>
  <c r="Z169" i="4"/>
  <c r="Z167" i="4"/>
  <c r="Z165" i="4"/>
  <c r="Z166" i="4"/>
  <c r="Z164" i="4"/>
  <c r="Z168" i="4"/>
  <c r="F102" i="4"/>
  <c r="P102" i="4"/>
  <c r="P153" i="4"/>
  <c r="F153" i="4"/>
  <c r="P38" i="4"/>
  <c r="F38" i="4"/>
  <c r="I123" i="6"/>
  <c r="I125" i="6"/>
  <c r="I128" i="6"/>
  <c r="I127" i="6"/>
  <c r="I124" i="6"/>
  <c r="I126" i="6"/>
  <c r="P103" i="4"/>
  <c r="F103" i="4"/>
  <c r="P32" i="4"/>
  <c r="F32" i="4"/>
  <c r="E161" i="4"/>
  <c r="O161" i="4"/>
  <c r="E157" i="4"/>
  <c r="O157" i="4"/>
  <c r="F45" i="4"/>
  <c r="P45" i="4"/>
  <c r="F179" i="4"/>
  <c r="P179" i="4"/>
  <c r="P92" i="4"/>
  <c r="F92" i="4"/>
  <c r="P147" i="4"/>
  <c r="F147" i="4"/>
  <c r="O80" i="4"/>
  <c r="E80" i="4"/>
  <c r="E42" i="4"/>
  <c r="O42" i="4"/>
  <c r="E146" i="4"/>
  <c r="O146" i="4"/>
  <c r="F114" i="4"/>
  <c r="P114" i="4"/>
  <c r="P50" i="4"/>
  <c r="F50" i="4"/>
  <c r="I118" i="6"/>
  <c r="I117" i="6"/>
  <c r="I122" i="6"/>
  <c r="I119" i="6"/>
  <c r="I121" i="6"/>
  <c r="I120" i="6"/>
  <c r="Z101" i="4"/>
  <c r="Z98" i="4"/>
  <c r="Z99" i="4"/>
  <c r="Z103" i="4"/>
  <c r="Z102" i="4"/>
  <c r="Z100" i="4"/>
  <c r="I129" i="6"/>
  <c r="I133" i="6"/>
  <c r="I131" i="6"/>
  <c r="I130" i="6"/>
  <c r="I132" i="6"/>
  <c r="I134" i="6"/>
  <c r="Z170" i="4"/>
  <c r="Z174" i="4"/>
  <c r="Z171" i="4"/>
  <c r="Z175" i="4"/>
  <c r="Z173" i="4"/>
  <c r="Z172" i="4"/>
  <c r="F126" i="4"/>
  <c r="P126" i="4"/>
  <c r="F156" i="4"/>
  <c r="P156" i="4"/>
  <c r="F71" i="4"/>
  <c r="P71" i="4"/>
  <c r="P36" i="4"/>
  <c r="F36" i="4"/>
  <c r="P144" i="4"/>
  <c r="F144" i="4"/>
  <c r="F89" i="4"/>
  <c r="P89" i="4"/>
  <c r="O155" i="4"/>
  <c r="E155" i="4"/>
  <c r="P184" i="4"/>
  <c r="F184" i="4"/>
  <c r="P48" i="4"/>
  <c r="F48" i="4"/>
  <c r="P181" i="4"/>
  <c r="F181" i="4"/>
  <c r="F118" i="4"/>
  <c r="P118" i="4"/>
  <c r="F95" i="4"/>
  <c r="P95" i="4"/>
  <c r="O71" i="4"/>
  <c r="E71" i="4"/>
  <c r="O85" i="4"/>
  <c r="E85" i="4"/>
  <c r="P108" i="4"/>
  <c r="F108" i="4"/>
  <c r="O90" i="4"/>
  <c r="E90" i="4"/>
  <c r="F81" i="4"/>
  <c r="P81" i="4"/>
  <c r="O151" i="4"/>
  <c r="E151" i="4"/>
  <c r="P165" i="4"/>
  <c r="F165" i="4"/>
  <c r="O75" i="4"/>
  <c r="E75" i="4"/>
  <c r="O142" i="4"/>
  <c r="E142" i="4"/>
  <c r="F175" i="4"/>
  <c r="P175" i="4"/>
  <c r="P52" i="4"/>
  <c r="F52" i="4"/>
  <c r="AM91" i="6" l="1"/>
  <c r="H60" i="10" s="1"/>
  <c r="AO91" i="6"/>
  <c r="J60" i="10" s="1"/>
  <c r="AP91" i="6"/>
  <c r="K60" i="10" s="1"/>
  <c r="AK91" i="6"/>
  <c r="AL91" i="6"/>
  <c r="G60" i="10" s="1"/>
  <c r="AN91" i="6"/>
  <c r="I60" i="10" s="1"/>
  <c r="AK52" i="6"/>
  <c r="AO52" i="6"/>
  <c r="J21" i="10" s="1"/>
  <c r="AP52" i="6"/>
  <c r="K21" i="10" s="1"/>
  <c r="AM52" i="6"/>
  <c r="H21" i="10" s="1"/>
  <c r="AN52" i="6"/>
  <c r="I21" i="10" s="1"/>
  <c r="AL52" i="6"/>
  <c r="G21" i="10" s="1"/>
  <c r="AO39" i="6"/>
  <c r="J8" i="10" s="1"/>
  <c r="AP39" i="6"/>
  <c r="K8" i="10" s="1"/>
  <c r="AK39" i="6"/>
  <c r="AM39" i="6"/>
  <c r="H8" i="10" s="1"/>
  <c r="AL39" i="6"/>
  <c r="G8" i="10" s="1"/>
  <c r="AN39" i="6"/>
  <c r="I8" i="10" s="1"/>
  <c r="AM108" i="6"/>
  <c r="H77" i="10" s="1"/>
  <c r="AO108" i="6"/>
  <c r="J77" i="10" s="1"/>
  <c r="AP108" i="6"/>
  <c r="K77" i="10" s="1"/>
  <c r="AK108" i="6"/>
  <c r="AL108" i="6"/>
  <c r="G77" i="10" s="1"/>
  <c r="AN108" i="6"/>
  <c r="I77" i="10" s="1"/>
  <c r="AL45" i="6"/>
  <c r="G14" i="10" s="1"/>
  <c r="AK45" i="6"/>
  <c r="AN45" i="6"/>
  <c r="I14" i="10" s="1"/>
  <c r="AO45" i="6"/>
  <c r="J14" i="10" s="1"/>
  <c r="AP45" i="6"/>
  <c r="K14" i="10" s="1"/>
  <c r="AM45" i="6"/>
  <c r="H14" i="10" s="1"/>
  <c r="AP134" i="6"/>
  <c r="K103" i="10" s="1"/>
  <c r="AM134" i="6"/>
  <c r="H103" i="10" s="1"/>
  <c r="AK134" i="6"/>
  <c r="AL134" i="6"/>
  <c r="G103" i="10" s="1"/>
  <c r="AN134" i="6"/>
  <c r="I103" i="10" s="1"/>
  <c r="AO134" i="6"/>
  <c r="J103" i="10" s="1"/>
  <c r="AM117" i="6"/>
  <c r="H86" i="10" s="1"/>
  <c r="AP117" i="6"/>
  <c r="K86" i="10" s="1"/>
  <c r="AN117" i="6"/>
  <c r="I86" i="10" s="1"/>
  <c r="AO117" i="6"/>
  <c r="J86" i="10" s="1"/>
  <c r="AK117" i="6"/>
  <c r="AL117" i="6"/>
  <c r="G86" i="10" s="1"/>
  <c r="AP138" i="6"/>
  <c r="K107" i="10" s="1"/>
  <c r="AK138" i="6"/>
  <c r="AL138" i="6"/>
  <c r="G107" i="10" s="1"/>
  <c r="AN138" i="6"/>
  <c r="I107" i="10" s="1"/>
  <c r="AM138" i="6"/>
  <c r="H107" i="10" s="1"/>
  <c r="AO138" i="6"/>
  <c r="J107" i="10" s="1"/>
  <c r="AM103" i="6"/>
  <c r="H72" i="10" s="1"/>
  <c r="AL103" i="6"/>
  <c r="G72" i="10" s="1"/>
  <c r="AN103" i="6"/>
  <c r="I72" i="10" s="1"/>
  <c r="AO103" i="6"/>
  <c r="J72" i="10" s="1"/>
  <c r="AP103" i="6"/>
  <c r="K72" i="10" s="1"/>
  <c r="AK103" i="6"/>
  <c r="AM116" i="6"/>
  <c r="H85" i="10" s="1"/>
  <c r="AN116" i="6"/>
  <c r="I85" i="10" s="1"/>
  <c r="AO116" i="6"/>
  <c r="J85" i="10" s="1"/>
  <c r="AK116" i="6"/>
  <c r="AL116" i="6"/>
  <c r="G85" i="10" s="1"/>
  <c r="AP116" i="6"/>
  <c r="K85" i="10" s="1"/>
  <c r="AM110" i="6"/>
  <c r="H79" i="10" s="1"/>
  <c r="AK110" i="6"/>
  <c r="AL110" i="6"/>
  <c r="G79" i="10" s="1"/>
  <c r="AN110" i="6"/>
  <c r="I79" i="10" s="1"/>
  <c r="AO110" i="6"/>
  <c r="J79" i="10" s="1"/>
  <c r="AP110" i="6"/>
  <c r="K79" i="10" s="1"/>
  <c r="AM97" i="6"/>
  <c r="H66" i="10" s="1"/>
  <c r="AO97" i="6"/>
  <c r="J66" i="10" s="1"/>
  <c r="AK97" i="6"/>
  <c r="AL97" i="6"/>
  <c r="G66" i="10" s="1"/>
  <c r="AN97" i="6"/>
  <c r="I66" i="10" s="1"/>
  <c r="AP97" i="6"/>
  <c r="K66" i="10" s="1"/>
  <c r="AL47" i="6"/>
  <c r="G16" i="10" s="1"/>
  <c r="AM47" i="6"/>
  <c r="H16" i="10" s="1"/>
  <c r="AN47" i="6"/>
  <c r="I16" i="10" s="1"/>
  <c r="AK47" i="6"/>
  <c r="AO47" i="6"/>
  <c r="J16" i="10" s="1"/>
  <c r="AP47" i="6"/>
  <c r="K16" i="10" s="1"/>
  <c r="AP130" i="6"/>
  <c r="K99" i="10" s="1"/>
  <c r="AK130" i="6"/>
  <c r="AL130" i="6"/>
  <c r="G99" i="10" s="1"/>
  <c r="AM130" i="6"/>
  <c r="H99" i="10" s="1"/>
  <c r="AN130" i="6"/>
  <c r="I99" i="10" s="1"/>
  <c r="AO130" i="6"/>
  <c r="J99" i="10" s="1"/>
  <c r="AP127" i="6"/>
  <c r="K96" i="10" s="1"/>
  <c r="AN127" i="6"/>
  <c r="I96" i="10" s="1"/>
  <c r="AL127" i="6"/>
  <c r="G96" i="10" s="1"/>
  <c r="AM127" i="6"/>
  <c r="H96" i="10" s="1"/>
  <c r="AO127" i="6"/>
  <c r="J96" i="10" s="1"/>
  <c r="AK127" i="6"/>
  <c r="AM122" i="6"/>
  <c r="H91" i="10" s="1"/>
  <c r="AP122" i="6"/>
  <c r="K91" i="10" s="1"/>
  <c r="AO122" i="6"/>
  <c r="J91" i="10" s="1"/>
  <c r="AL122" i="6"/>
  <c r="G91" i="10" s="1"/>
  <c r="AN122" i="6"/>
  <c r="I91" i="10" s="1"/>
  <c r="AK122" i="6"/>
  <c r="AP137" i="6"/>
  <c r="K106" i="10" s="1"/>
  <c r="AO137" i="6"/>
  <c r="J106" i="10" s="1"/>
  <c r="AK137" i="6"/>
  <c r="AL137" i="6"/>
  <c r="G106" i="10" s="1"/>
  <c r="AM137" i="6"/>
  <c r="H106" i="10" s="1"/>
  <c r="AN137" i="6"/>
  <c r="I106" i="10" s="1"/>
  <c r="AM99" i="6"/>
  <c r="H68" i="10" s="1"/>
  <c r="AN99" i="6"/>
  <c r="I68" i="10" s="1"/>
  <c r="AO99" i="6"/>
  <c r="J68" i="10" s="1"/>
  <c r="AP99" i="6"/>
  <c r="K68" i="10" s="1"/>
  <c r="AK99" i="6"/>
  <c r="AL99" i="6"/>
  <c r="G68" i="10" s="1"/>
  <c r="AM113" i="6"/>
  <c r="H82" i="10" s="1"/>
  <c r="AO113" i="6"/>
  <c r="J82" i="10" s="1"/>
  <c r="AK113" i="6"/>
  <c r="AL113" i="6"/>
  <c r="G82" i="10" s="1"/>
  <c r="AN113" i="6"/>
  <c r="I82" i="10" s="1"/>
  <c r="AP113" i="6"/>
  <c r="K82" i="10" s="1"/>
  <c r="AM93" i="6"/>
  <c r="H62" i="10" s="1"/>
  <c r="AK93" i="6"/>
  <c r="AL93" i="6"/>
  <c r="G62" i="10" s="1"/>
  <c r="AN93" i="6"/>
  <c r="I62" i="10" s="1"/>
  <c r="AO93" i="6"/>
  <c r="J62" i="10" s="1"/>
  <c r="AP93" i="6"/>
  <c r="K62" i="10" s="1"/>
  <c r="AP126" i="6"/>
  <c r="K95" i="10" s="1"/>
  <c r="AM126" i="6"/>
  <c r="H95" i="10" s="1"/>
  <c r="AN126" i="6"/>
  <c r="I95" i="10" s="1"/>
  <c r="AK126" i="6"/>
  <c r="AL126" i="6"/>
  <c r="G95" i="10" s="1"/>
  <c r="AO126" i="6"/>
  <c r="J95" i="10" s="1"/>
  <c r="AM92" i="6"/>
  <c r="H61" i="10" s="1"/>
  <c r="AK92" i="6"/>
  <c r="AL92" i="6"/>
  <c r="G61" i="10" s="1"/>
  <c r="AN92" i="6"/>
  <c r="I61" i="10" s="1"/>
  <c r="AO92" i="6"/>
  <c r="J61" i="10" s="1"/>
  <c r="AP92" i="6"/>
  <c r="K61" i="10" s="1"/>
  <c r="AP41" i="6"/>
  <c r="K10" i="10" s="1"/>
  <c r="AM41" i="6"/>
  <c r="H10" i="10" s="1"/>
  <c r="AO41" i="6"/>
  <c r="J10" i="10" s="1"/>
  <c r="AN41" i="6"/>
  <c r="I10" i="10" s="1"/>
  <c r="AK41" i="6"/>
  <c r="AL41" i="6"/>
  <c r="G10" i="10" s="1"/>
  <c r="AP132" i="6"/>
  <c r="K101" i="10" s="1"/>
  <c r="AK132" i="6"/>
  <c r="AN132" i="6"/>
  <c r="I101" i="10" s="1"/>
  <c r="AO132" i="6"/>
  <c r="J101" i="10" s="1"/>
  <c r="AL132" i="6"/>
  <c r="G101" i="10" s="1"/>
  <c r="AM132" i="6"/>
  <c r="H101" i="10" s="1"/>
  <c r="AM118" i="6"/>
  <c r="H87" i="10" s="1"/>
  <c r="AK118" i="6"/>
  <c r="AL118" i="6"/>
  <c r="G87" i="10" s="1"/>
  <c r="AN118" i="6"/>
  <c r="I87" i="10" s="1"/>
  <c r="AO118" i="6"/>
  <c r="J87" i="10" s="1"/>
  <c r="AP118" i="6"/>
  <c r="K87" i="10" s="1"/>
  <c r="AP124" i="6"/>
  <c r="K93" i="10" s="1"/>
  <c r="AK124" i="6"/>
  <c r="AL124" i="6"/>
  <c r="G93" i="10" s="1"/>
  <c r="AM124" i="6"/>
  <c r="H93" i="10" s="1"/>
  <c r="AN124" i="6"/>
  <c r="I93" i="10" s="1"/>
  <c r="AO124" i="6"/>
  <c r="J93" i="10" s="1"/>
  <c r="AM90" i="6"/>
  <c r="H59" i="10" s="1"/>
  <c r="AP90" i="6"/>
  <c r="K59" i="10" s="1"/>
  <c r="AL90" i="6"/>
  <c r="G59" i="10" s="1"/>
  <c r="AN90" i="6"/>
  <c r="I59" i="10" s="1"/>
  <c r="AO90" i="6"/>
  <c r="J59" i="10" s="1"/>
  <c r="AK90" i="6"/>
  <c r="AP43" i="6"/>
  <c r="K12" i="10" s="1"/>
  <c r="AN43" i="6"/>
  <c r="I12" i="10" s="1"/>
  <c r="AO43" i="6"/>
  <c r="J12" i="10" s="1"/>
  <c r="AL43" i="6"/>
  <c r="G12" i="10" s="1"/>
  <c r="AM43" i="6"/>
  <c r="H12" i="10" s="1"/>
  <c r="AK43" i="6"/>
  <c r="AP136" i="6"/>
  <c r="K105" i="10" s="1"/>
  <c r="AO136" i="6"/>
  <c r="J105" i="10" s="1"/>
  <c r="AM136" i="6"/>
  <c r="H105" i="10" s="1"/>
  <c r="AN136" i="6"/>
  <c r="I105" i="10" s="1"/>
  <c r="AK136" i="6"/>
  <c r="AL136" i="6"/>
  <c r="G105" i="10" s="1"/>
  <c r="AM104" i="6"/>
  <c r="H73" i="10" s="1"/>
  <c r="AN104" i="6"/>
  <c r="I73" i="10" s="1"/>
  <c r="AP104" i="6"/>
  <c r="K73" i="10" s="1"/>
  <c r="AK104" i="6"/>
  <c r="AL104" i="6"/>
  <c r="G73" i="10" s="1"/>
  <c r="AO104" i="6"/>
  <c r="J73" i="10" s="1"/>
  <c r="AM112" i="6"/>
  <c r="H81" i="10" s="1"/>
  <c r="AN112" i="6"/>
  <c r="I81" i="10" s="1"/>
  <c r="AO112" i="6"/>
  <c r="J81" i="10" s="1"/>
  <c r="AP112" i="6"/>
  <c r="K81" i="10" s="1"/>
  <c r="AK112" i="6"/>
  <c r="AL112" i="6"/>
  <c r="G81" i="10" s="1"/>
  <c r="AM95" i="6"/>
  <c r="H64" i="10" s="1"/>
  <c r="AL95" i="6"/>
  <c r="G64" i="10" s="1"/>
  <c r="AO95" i="6"/>
  <c r="J64" i="10" s="1"/>
  <c r="AP95" i="6"/>
  <c r="K64" i="10" s="1"/>
  <c r="AK95" i="6"/>
  <c r="AN95" i="6"/>
  <c r="I64" i="10" s="1"/>
  <c r="AN49" i="6"/>
  <c r="I18" i="10" s="1"/>
  <c r="AO49" i="6"/>
  <c r="J18" i="10" s="1"/>
  <c r="AP49" i="6"/>
  <c r="K18" i="10" s="1"/>
  <c r="AK49" i="6"/>
  <c r="AL49" i="6"/>
  <c r="G18" i="10" s="1"/>
  <c r="AM49" i="6"/>
  <c r="H18" i="10" s="1"/>
  <c r="AK54" i="6"/>
  <c r="AM54" i="6"/>
  <c r="H23" i="10" s="1"/>
  <c r="AL54" i="6"/>
  <c r="G23" i="10" s="1"/>
  <c r="AO54" i="6"/>
  <c r="J23" i="10" s="1"/>
  <c r="AP54" i="6"/>
  <c r="K23" i="10" s="1"/>
  <c r="AN54" i="6"/>
  <c r="I23" i="10" s="1"/>
  <c r="AP128" i="6"/>
  <c r="K97" i="10" s="1"/>
  <c r="AO128" i="6"/>
  <c r="J97" i="10" s="1"/>
  <c r="AN128" i="6"/>
  <c r="I97" i="10" s="1"/>
  <c r="AL128" i="6"/>
  <c r="G97" i="10" s="1"/>
  <c r="AK128" i="6"/>
  <c r="AM128" i="6"/>
  <c r="H97" i="10" s="1"/>
  <c r="AL55" i="6"/>
  <c r="G24" i="10" s="1"/>
  <c r="AM55" i="6"/>
  <c r="H24" i="10" s="1"/>
  <c r="AN55" i="6"/>
  <c r="I24" i="10" s="1"/>
  <c r="AP55" i="6"/>
  <c r="K24" i="10" s="1"/>
  <c r="AO55" i="6"/>
  <c r="J24" i="10" s="1"/>
  <c r="AK55" i="6"/>
  <c r="AM88" i="6"/>
  <c r="H57" i="10" s="1"/>
  <c r="AN88" i="6"/>
  <c r="I57" i="10" s="1"/>
  <c r="AK88" i="6"/>
  <c r="AL88" i="6"/>
  <c r="G57" i="10" s="1"/>
  <c r="AO88" i="6"/>
  <c r="J57" i="10" s="1"/>
  <c r="AP88" i="6"/>
  <c r="K57" i="10" s="1"/>
  <c r="AP42" i="6"/>
  <c r="K11" i="10" s="1"/>
  <c r="AN42" i="6"/>
  <c r="I11" i="10" s="1"/>
  <c r="AO42" i="6"/>
  <c r="J11" i="10" s="1"/>
  <c r="AK42" i="6"/>
  <c r="AM42" i="6"/>
  <c r="H11" i="10" s="1"/>
  <c r="AL42" i="6"/>
  <c r="G11" i="10" s="1"/>
  <c r="AP139" i="6"/>
  <c r="K108" i="10" s="1"/>
  <c r="AK139" i="6"/>
  <c r="AL139" i="6"/>
  <c r="G108" i="10" s="1"/>
  <c r="AM139" i="6"/>
  <c r="H108" i="10" s="1"/>
  <c r="AN139" i="6"/>
  <c r="I108" i="10" s="1"/>
  <c r="AO139" i="6"/>
  <c r="J108" i="10" s="1"/>
  <c r="AM101" i="6"/>
  <c r="H70" i="10" s="1"/>
  <c r="AK101" i="6"/>
  <c r="AL101" i="6"/>
  <c r="G70" i="10" s="1"/>
  <c r="AN101" i="6"/>
  <c r="I70" i="10" s="1"/>
  <c r="AO101" i="6"/>
  <c r="J70" i="10" s="1"/>
  <c r="AP101" i="6"/>
  <c r="K70" i="10" s="1"/>
  <c r="AM109" i="6"/>
  <c r="H78" i="10" s="1"/>
  <c r="AK109" i="6"/>
  <c r="AL109" i="6"/>
  <c r="G78" i="10" s="1"/>
  <c r="AN109" i="6"/>
  <c r="I78" i="10" s="1"/>
  <c r="AO109" i="6"/>
  <c r="J78" i="10" s="1"/>
  <c r="AP109" i="6"/>
  <c r="K78" i="10" s="1"/>
  <c r="AM98" i="6"/>
  <c r="H67" i="10" s="1"/>
  <c r="AP98" i="6"/>
  <c r="K67" i="10" s="1"/>
  <c r="AK98" i="6"/>
  <c r="AL98" i="6"/>
  <c r="G67" i="10" s="1"/>
  <c r="AN98" i="6"/>
  <c r="I67" i="10" s="1"/>
  <c r="AO98" i="6"/>
  <c r="J67" i="10" s="1"/>
  <c r="AP40" i="6"/>
  <c r="K9" i="10" s="1"/>
  <c r="AL40" i="6"/>
  <c r="G9" i="10" s="1"/>
  <c r="AM40" i="6"/>
  <c r="H9" i="10" s="1"/>
  <c r="AN40" i="6"/>
  <c r="I9" i="10" s="1"/>
  <c r="AK40" i="6"/>
  <c r="AO40" i="6"/>
  <c r="J9" i="10" s="1"/>
  <c r="AM100" i="6"/>
  <c r="H69" i="10" s="1"/>
  <c r="AP100" i="6"/>
  <c r="K69" i="10" s="1"/>
  <c r="AL100" i="6"/>
  <c r="G69" i="10" s="1"/>
  <c r="AN100" i="6"/>
  <c r="I69" i="10" s="1"/>
  <c r="AO100" i="6"/>
  <c r="J69" i="10" s="1"/>
  <c r="AK100" i="6"/>
  <c r="AM96" i="6"/>
  <c r="H65" i="10" s="1"/>
  <c r="AN96" i="6"/>
  <c r="I65" i="10" s="1"/>
  <c r="AK96" i="6"/>
  <c r="AL96" i="6"/>
  <c r="G65" i="10" s="1"/>
  <c r="AO96" i="6"/>
  <c r="J65" i="10" s="1"/>
  <c r="AP96" i="6"/>
  <c r="K65" i="10" s="1"/>
  <c r="AP125" i="6"/>
  <c r="K94" i="10" s="1"/>
  <c r="AL125" i="6"/>
  <c r="G94" i="10" s="1"/>
  <c r="AM125" i="6"/>
  <c r="H94" i="10" s="1"/>
  <c r="AK125" i="6"/>
  <c r="AO125" i="6"/>
  <c r="J94" i="10" s="1"/>
  <c r="AN125" i="6"/>
  <c r="I94" i="10" s="1"/>
  <c r="AP51" i="6"/>
  <c r="K20" i="10" s="1"/>
  <c r="AK51" i="6"/>
  <c r="AO51" i="6"/>
  <c r="J20" i="10" s="1"/>
  <c r="AL51" i="6"/>
  <c r="G20" i="10" s="1"/>
  <c r="AM51" i="6"/>
  <c r="H20" i="10" s="1"/>
  <c r="AN51" i="6"/>
  <c r="I20" i="10" s="1"/>
  <c r="AM87" i="6"/>
  <c r="H56" i="10" s="1"/>
  <c r="AL87" i="6"/>
  <c r="G56" i="10" s="1"/>
  <c r="AP87" i="6"/>
  <c r="K56" i="10" s="1"/>
  <c r="AK87" i="6"/>
  <c r="AN87" i="6"/>
  <c r="I56" i="10" s="1"/>
  <c r="AO87" i="6"/>
  <c r="J56" i="10" s="1"/>
  <c r="AM102" i="6"/>
  <c r="H71" i="10" s="1"/>
  <c r="AK102" i="6"/>
  <c r="AL102" i="6"/>
  <c r="G71" i="10" s="1"/>
  <c r="AN102" i="6"/>
  <c r="I71" i="10" s="1"/>
  <c r="AO102" i="6"/>
  <c r="J71" i="10" s="1"/>
  <c r="AP102" i="6"/>
  <c r="K71" i="10" s="1"/>
  <c r="AM111" i="6"/>
  <c r="H80" i="10" s="1"/>
  <c r="AL111" i="6"/>
  <c r="G80" i="10" s="1"/>
  <c r="AK111" i="6"/>
  <c r="AN111" i="6"/>
  <c r="I80" i="10" s="1"/>
  <c r="AO111" i="6"/>
  <c r="J80" i="10" s="1"/>
  <c r="AP111" i="6"/>
  <c r="K80" i="10" s="1"/>
  <c r="AM107" i="6"/>
  <c r="H76" i="10" s="1"/>
  <c r="AL107" i="6"/>
  <c r="G76" i="10" s="1"/>
  <c r="AN107" i="6"/>
  <c r="I76" i="10" s="1"/>
  <c r="AO107" i="6"/>
  <c r="J76" i="10" s="1"/>
  <c r="AP107" i="6"/>
  <c r="K76" i="10" s="1"/>
  <c r="AK107" i="6"/>
  <c r="AM94" i="6"/>
  <c r="H63" i="10" s="1"/>
  <c r="AK94" i="6"/>
  <c r="AL94" i="6"/>
  <c r="G63" i="10" s="1"/>
  <c r="AN94" i="6"/>
  <c r="I63" i="10" s="1"/>
  <c r="AO94" i="6"/>
  <c r="J63" i="10" s="1"/>
  <c r="AP94" i="6"/>
  <c r="K63" i="10" s="1"/>
  <c r="AO50" i="6"/>
  <c r="J19" i="10" s="1"/>
  <c r="AP50" i="6"/>
  <c r="K19" i="10" s="1"/>
  <c r="AK50" i="6"/>
  <c r="AL50" i="6"/>
  <c r="G19" i="10" s="1"/>
  <c r="AM50" i="6"/>
  <c r="H19" i="10" s="1"/>
  <c r="AN50" i="6"/>
  <c r="I19" i="10" s="1"/>
  <c r="AP131" i="6"/>
  <c r="K100" i="10" s="1"/>
  <c r="AL131" i="6"/>
  <c r="G100" i="10" s="1"/>
  <c r="AM131" i="6"/>
  <c r="H100" i="10" s="1"/>
  <c r="AN131" i="6"/>
  <c r="I100" i="10" s="1"/>
  <c r="AO131" i="6"/>
  <c r="J100" i="10" s="1"/>
  <c r="AK131" i="6"/>
  <c r="AM120" i="6"/>
  <c r="H89" i="10" s="1"/>
  <c r="AN120" i="6"/>
  <c r="I89" i="10" s="1"/>
  <c r="AL120" i="6"/>
  <c r="G89" i="10" s="1"/>
  <c r="AO120" i="6"/>
  <c r="J89" i="10" s="1"/>
  <c r="AK120" i="6"/>
  <c r="AP120" i="6"/>
  <c r="K89" i="10" s="1"/>
  <c r="AP129" i="6"/>
  <c r="K98" i="10" s="1"/>
  <c r="AK129" i="6"/>
  <c r="AL129" i="6"/>
  <c r="G98" i="10" s="1"/>
  <c r="AM129" i="6"/>
  <c r="H98" i="10" s="1"/>
  <c r="AN129" i="6"/>
  <c r="I98" i="10" s="1"/>
  <c r="AO129" i="6"/>
  <c r="J98" i="10" s="1"/>
  <c r="AM121" i="6"/>
  <c r="H90" i="10" s="1"/>
  <c r="AO121" i="6"/>
  <c r="J90" i="10" s="1"/>
  <c r="AP121" i="6"/>
  <c r="K90" i="10" s="1"/>
  <c r="AK121" i="6"/>
  <c r="AL121" i="6"/>
  <c r="G90" i="10" s="1"/>
  <c r="AN121" i="6"/>
  <c r="I90" i="10" s="1"/>
  <c r="AP123" i="6"/>
  <c r="K92" i="10" s="1"/>
  <c r="AK123" i="6"/>
  <c r="AL123" i="6"/>
  <c r="G92" i="10" s="1"/>
  <c r="AM123" i="6"/>
  <c r="H92" i="10" s="1"/>
  <c r="AN123" i="6"/>
  <c r="I92" i="10" s="1"/>
  <c r="AO123" i="6"/>
  <c r="J92" i="10" s="1"/>
  <c r="AM56" i="6"/>
  <c r="H25" i="10" s="1"/>
  <c r="AN56" i="6"/>
  <c r="I25" i="10" s="1"/>
  <c r="AO56" i="6"/>
  <c r="J25" i="10" s="1"/>
  <c r="AL56" i="6"/>
  <c r="G25" i="10" s="1"/>
  <c r="AP56" i="6"/>
  <c r="K25" i="10" s="1"/>
  <c r="AK56" i="6"/>
  <c r="AM89" i="6"/>
  <c r="H58" i="10" s="1"/>
  <c r="AO89" i="6"/>
  <c r="J58" i="10" s="1"/>
  <c r="AK89" i="6"/>
  <c r="AL89" i="6"/>
  <c r="G58" i="10" s="1"/>
  <c r="AN89" i="6"/>
  <c r="I58" i="10" s="1"/>
  <c r="AP89" i="6"/>
  <c r="K58" i="10" s="1"/>
  <c r="AM114" i="6"/>
  <c r="H83" i="10" s="1"/>
  <c r="AP114" i="6"/>
  <c r="K83" i="10" s="1"/>
  <c r="AK114" i="6"/>
  <c r="AL114" i="6"/>
  <c r="G83" i="10" s="1"/>
  <c r="AN114" i="6"/>
  <c r="I83" i="10" s="1"/>
  <c r="AO114" i="6"/>
  <c r="J83" i="10" s="1"/>
  <c r="AM105" i="6"/>
  <c r="H74" i="10" s="1"/>
  <c r="AO105" i="6"/>
  <c r="J74" i="10" s="1"/>
  <c r="AK105" i="6"/>
  <c r="AL105" i="6"/>
  <c r="G74" i="10" s="1"/>
  <c r="AN105" i="6"/>
  <c r="I74" i="10" s="1"/>
  <c r="AP105" i="6"/>
  <c r="K74" i="10" s="1"/>
  <c r="AK46" i="6"/>
  <c r="AL46" i="6"/>
  <c r="G15" i="10" s="1"/>
  <c r="AM46" i="6"/>
  <c r="H15" i="10" s="1"/>
  <c r="AN46" i="6"/>
  <c r="I15" i="10" s="1"/>
  <c r="AO46" i="6"/>
  <c r="J15" i="10" s="1"/>
  <c r="AP46" i="6"/>
  <c r="K15" i="10" s="1"/>
  <c r="AP140" i="6"/>
  <c r="K109" i="10" s="1"/>
  <c r="AK140" i="6"/>
  <c r="AM140" i="6"/>
  <c r="H109" i="10" s="1"/>
  <c r="AN140" i="6"/>
  <c r="I109" i="10" s="1"/>
  <c r="AO140" i="6"/>
  <c r="J109" i="10" s="1"/>
  <c r="AL140" i="6"/>
  <c r="G109" i="10" s="1"/>
  <c r="AP133" i="6"/>
  <c r="K102" i="10" s="1"/>
  <c r="AL133" i="6"/>
  <c r="G102" i="10" s="1"/>
  <c r="AK133" i="6"/>
  <c r="AM133" i="6"/>
  <c r="H102" i="10" s="1"/>
  <c r="AN133" i="6"/>
  <c r="I102" i="10" s="1"/>
  <c r="AO133" i="6"/>
  <c r="J102" i="10" s="1"/>
  <c r="AM119" i="6"/>
  <c r="H88" i="10" s="1"/>
  <c r="AL119" i="6"/>
  <c r="G88" i="10" s="1"/>
  <c r="AK119" i="6"/>
  <c r="AN119" i="6"/>
  <c r="I88" i="10" s="1"/>
  <c r="AO119" i="6"/>
  <c r="J88" i="10" s="1"/>
  <c r="AP119" i="6"/>
  <c r="K88" i="10" s="1"/>
  <c r="AK53" i="6"/>
  <c r="AL53" i="6"/>
  <c r="G22" i="10" s="1"/>
  <c r="AM53" i="6"/>
  <c r="H22" i="10" s="1"/>
  <c r="AN53" i="6"/>
  <c r="I22" i="10" s="1"/>
  <c r="AP53" i="6"/>
  <c r="K22" i="10" s="1"/>
  <c r="AO53" i="6"/>
  <c r="J22" i="10" s="1"/>
  <c r="AK44" i="6"/>
  <c r="AL44" i="6"/>
  <c r="G13" i="10" s="1"/>
  <c r="AO44" i="6"/>
  <c r="J13" i="10" s="1"/>
  <c r="AM44" i="6"/>
  <c r="H13" i="10" s="1"/>
  <c r="AN44" i="6"/>
  <c r="I13" i="10" s="1"/>
  <c r="AP44" i="6"/>
  <c r="K13" i="10" s="1"/>
  <c r="AP135" i="6"/>
  <c r="K104" i="10" s="1"/>
  <c r="AN135" i="6"/>
  <c r="I104" i="10" s="1"/>
  <c r="AK135" i="6"/>
  <c r="AL135" i="6"/>
  <c r="G104" i="10" s="1"/>
  <c r="AM135" i="6"/>
  <c r="H104" i="10" s="1"/>
  <c r="AO135" i="6"/>
  <c r="J104" i="10" s="1"/>
  <c r="AM115" i="6"/>
  <c r="H84" i="10" s="1"/>
  <c r="AK115" i="6"/>
  <c r="AL115" i="6"/>
  <c r="G84" i="10" s="1"/>
  <c r="AP115" i="6"/>
  <c r="K84" i="10" s="1"/>
  <c r="AN115" i="6"/>
  <c r="I84" i="10" s="1"/>
  <c r="AO115" i="6"/>
  <c r="J84" i="10" s="1"/>
  <c r="AM106" i="6"/>
  <c r="H75" i="10" s="1"/>
  <c r="AP106" i="6"/>
  <c r="K75" i="10" s="1"/>
  <c r="AK106" i="6"/>
  <c r="AL106" i="6"/>
  <c r="G75" i="10" s="1"/>
  <c r="AN106" i="6"/>
  <c r="I75" i="10" s="1"/>
  <c r="AO106" i="6"/>
  <c r="J75" i="10" s="1"/>
  <c r="AM48" i="6"/>
  <c r="H17" i="10" s="1"/>
  <c r="AO48" i="6"/>
  <c r="J17" i="10" s="1"/>
  <c r="AN48" i="6"/>
  <c r="I17" i="10" s="1"/>
  <c r="AP48" i="6"/>
  <c r="K17" i="10" s="1"/>
  <c r="AK48" i="6"/>
  <c r="AL48" i="6"/>
  <c r="G17" i="10" s="1"/>
  <c r="F141" i="10"/>
  <c r="F148" i="10"/>
  <c r="F121" i="10"/>
  <c r="F157" i="10"/>
  <c r="O33" i="4"/>
  <c r="E33" i="4"/>
  <c r="O105" i="4"/>
  <c r="E105" i="4"/>
  <c r="O137" i="4"/>
  <c r="E137" i="4"/>
  <c r="F144" i="10"/>
  <c r="O120" i="4"/>
  <c r="E120" i="4"/>
  <c r="F145" i="10"/>
  <c r="F155" i="10"/>
  <c r="E115" i="4"/>
  <c r="O115" i="4"/>
  <c r="F116" i="10"/>
  <c r="E171" i="4"/>
  <c r="O171" i="4"/>
  <c r="F127" i="10"/>
  <c r="O167" i="4"/>
  <c r="E167" i="4"/>
  <c r="F129" i="10"/>
  <c r="O50" i="4"/>
  <c r="E50" i="4"/>
  <c r="O34" i="4"/>
  <c r="E34" i="4"/>
  <c r="O45" i="4"/>
  <c r="E45" i="4"/>
  <c r="E123" i="4"/>
  <c r="O123" i="4"/>
  <c r="F49" i="10"/>
  <c r="O108" i="4"/>
  <c r="E108" i="4"/>
  <c r="F45" i="10"/>
  <c r="O181" i="4"/>
  <c r="E181" i="4"/>
  <c r="F46" i="10"/>
  <c r="F146" i="10"/>
  <c r="O121" i="4"/>
  <c r="E121" i="4"/>
  <c r="F131" i="10"/>
  <c r="F138" i="10"/>
  <c r="O113" i="4"/>
  <c r="E113" i="4"/>
  <c r="F139" i="10"/>
  <c r="O165" i="4"/>
  <c r="E165" i="4"/>
  <c r="O122" i="4"/>
  <c r="E122" i="4"/>
  <c r="E48" i="4"/>
  <c r="O48" i="4"/>
  <c r="F128" i="10"/>
  <c r="O134" i="4"/>
  <c r="E134" i="4"/>
  <c r="F50" i="10"/>
  <c r="O96" i="4"/>
  <c r="E96" i="4"/>
  <c r="O55" i="4"/>
  <c r="E55" i="4"/>
  <c r="E128" i="4"/>
  <c r="O128" i="4"/>
  <c r="E49" i="4"/>
  <c r="O49" i="4"/>
  <c r="O186" i="4"/>
  <c r="E186" i="4"/>
  <c r="E104" i="4"/>
  <c r="O104" i="4"/>
  <c r="E180" i="4"/>
  <c r="O180" i="4"/>
  <c r="O139" i="4"/>
  <c r="E139" i="4"/>
  <c r="F147" i="10"/>
  <c r="F47" i="10"/>
  <c r="O114" i="4"/>
  <c r="E114" i="4"/>
  <c r="O187" i="4"/>
  <c r="E187" i="4"/>
  <c r="F120" i="10"/>
  <c r="O179" i="4"/>
  <c r="E179" i="4"/>
  <c r="O174" i="4"/>
  <c r="E174" i="4"/>
  <c r="F55" i="10"/>
  <c r="F137" i="10"/>
  <c r="F126" i="10"/>
  <c r="F151" i="10"/>
  <c r="F110" i="10"/>
  <c r="F41" i="10"/>
  <c r="E177" i="4"/>
  <c r="O177" i="4"/>
  <c r="F150" i="10"/>
  <c r="F130" i="10"/>
  <c r="O168" i="4"/>
  <c r="E168" i="4"/>
  <c r="O93" i="4"/>
  <c r="E93" i="4"/>
  <c r="O32" i="4"/>
  <c r="E32" i="4"/>
  <c r="O129" i="4"/>
  <c r="E129" i="4"/>
  <c r="E47" i="4"/>
  <c r="O47" i="4"/>
  <c r="E126" i="4"/>
  <c r="O126" i="4"/>
  <c r="F51" i="10"/>
  <c r="F134" i="10"/>
  <c r="E185" i="4"/>
  <c r="O185" i="4"/>
  <c r="F114" i="10"/>
  <c r="O178" i="4"/>
  <c r="E178" i="4"/>
  <c r="O138" i="4"/>
  <c r="E138" i="4"/>
  <c r="F156" i="10"/>
  <c r="O110" i="4"/>
  <c r="E110" i="4"/>
  <c r="F149" i="10"/>
  <c r="O175" i="4"/>
  <c r="E175" i="4"/>
  <c r="O54" i="4"/>
  <c r="E54" i="4"/>
  <c r="E100" i="4"/>
  <c r="O100" i="4"/>
  <c r="O169" i="4"/>
  <c r="E169" i="4"/>
  <c r="F40" i="10"/>
  <c r="O37" i="4"/>
  <c r="E37" i="4"/>
  <c r="E46" i="4"/>
  <c r="O46" i="4"/>
  <c r="O106" i="4"/>
  <c r="E106" i="4"/>
  <c r="F153" i="10"/>
  <c r="F112" i="10"/>
  <c r="O176" i="4"/>
  <c r="E176" i="4"/>
  <c r="F122" i="10"/>
  <c r="O117" i="4"/>
  <c r="E117" i="4"/>
  <c r="E112" i="4"/>
  <c r="O112" i="4"/>
  <c r="O170" i="4"/>
  <c r="E170" i="4"/>
  <c r="O92" i="4"/>
  <c r="E92" i="4"/>
  <c r="O52" i="4"/>
  <c r="E52" i="4"/>
  <c r="O131" i="4"/>
  <c r="E131" i="4"/>
  <c r="F53" i="10"/>
  <c r="E111" i="4"/>
  <c r="O111" i="4"/>
  <c r="E99" i="4"/>
  <c r="O99" i="4"/>
  <c r="F43" i="10"/>
  <c r="O172" i="4"/>
  <c r="E172" i="4"/>
  <c r="O98" i="4"/>
  <c r="E98" i="4"/>
  <c r="E164" i="4"/>
  <c r="O164" i="4"/>
  <c r="F123" i="10"/>
  <c r="E97" i="4"/>
  <c r="O97" i="4"/>
  <c r="E35" i="4"/>
  <c r="O35" i="4"/>
  <c r="E132" i="4"/>
  <c r="O132" i="4"/>
  <c r="O44" i="4"/>
  <c r="E44" i="4"/>
  <c r="E124" i="4"/>
  <c r="O124" i="4"/>
  <c r="F38" i="10"/>
  <c r="E184" i="4"/>
  <c r="O184" i="4"/>
  <c r="O136" i="4"/>
  <c r="E136" i="4"/>
  <c r="F133" i="10"/>
  <c r="E119" i="4"/>
  <c r="O119" i="4"/>
  <c r="F54" i="10"/>
  <c r="E130" i="4"/>
  <c r="O130" i="4"/>
  <c r="E94" i="4"/>
  <c r="O94" i="4"/>
  <c r="E53" i="4"/>
  <c r="O53" i="4"/>
  <c r="F119" i="10"/>
  <c r="E127" i="4"/>
  <c r="O127" i="4"/>
  <c r="F152" i="10"/>
  <c r="F142" i="10"/>
  <c r="F52" i="10"/>
  <c r="F111" i="10"/>
  <c r="E102" i="4"/>
  <c r="O102" i="4"/>
  <c r="F48" i="10"/>
  <c r="O183" i="4"/>
  <c r="E183" i="4"/>
  <c r="O107" i="4"/>
  <c r="E107" i="4"/>
  <c r="F140" i="10"/>
  <c r="O118" i="4"/>
  <c r="E118" i="4"/>
  <c r="F117" i="10"/>
  <c r="E103" i="4"/>
  <c r="O103" i="4"/>
  <c r="F115" i="10"/>
  <c r="F136" i="10"/>
  <c r="E173" i="4"/>
  <c r="O173" i="4"/>
  <c r="E101" i="4"/>
  <c r="O101" i="4"/>
  <c r="E166" i="4"/>
  <c r="O166" i="4"/>
  <c r="F132" i="10"/>
  <c r="F143" i="10"/>
  <c r="E95" i="4"/>
  <c r="O95" i="4"/>
  <c r="O51" i="4"/>
  <c r="E51" i="4"/>
  <c r="F154" i="10"/>
  <c r="E36" i="4"/>
  <c r="O36" i="4"/>
  <c r="O133" i="4"/>
  <c r="E133" i="4"/>
  <c r="O125" i="4"/>
  <c r="E125" i="4"/>
  <c r="F44" i="10"/>
  <c r="F124" i="10"/>
  <c r="F118" i="10"/>
  <c r="F113" i="10"/>
  <c r="E182" i="4"/>
  <c r="O182" i="4"/>
  <c r="F39" i="10"/>
  <c r="O109" i="4"/>
  <c r="E109" i="4"/>
  <c r="F42" i="10"/>
  <c r="E135" i="4"/>
  <c r="O135" i="4"/>
  <c r="F135" i="10"/>
  <c r="O116" i="4"/>
  <c r="E116" i="4"/>
  <c r="F125" i="10"/>
  <c r="F91" i="10" l="1"/>
  <c r="F11" i="10"/>
  <c r="F9" i="10"/>
  <c r="F15" i="10"/>
  <c r="F74" i="10"/>
  <c r="F10" i="10"/>
  <c r="F67" i="10"/>
  <c r="F100" i="10"/>
  <c r="F18" i="10"/>
  <c r="F83" i="10"/>
  <c r="F60" i="10"/>
  <c r="F63" i="10"/>
  <c r="F57" i="10"/>
  <c r="F71" i="10"/>
  <c r="F75" i="10"/>
  <c r="F86" i="10"/>
  <c r="F96" i="10"/>
  <c r="F64" i="10"/>
  <c r="F70" i="10"/>
  <c r="F85" i="10"/>
  <c r="F106" i="10"/>
  <c r="F95" i="10"/>
  <c r="F59" i="10"/>
  <c r="F23" i="10"/>
  <c r="F56" i="10"/>
  <c r="F103" i="10"/>
  <c r="F79" i="10"/>
  <c r="F68" i="10"/>
  <c r="F13" i="10"/>
  <c r="F22" i="10"/>
  <c r="F104" i="10"/>
  <c r="F20" i="10"/>
  <c r="F61" i="10"/>
  <c r="F17" i="10"/>
  <c r="F62" i="10"/>
  <c r="F73" i="10"/>
  <c r="F107" i="10"/>
  <c r="F12" i="10"/>
  <c r="F16" i="10"/>
  <c r="F82" i="10"/>
  <c r="F58" i="10"/>
  <c r="F25" i="10"/>
  <c r="F102" i="10"/>
  <c r="F108" i="10"/>
  <c r="F77" i="10"/>
  <c r="F88" i="10"/>
  <c r="F8" i="10"/>
  <c r="F98" i="10"/>
  <c r="F97" i="10"/>
  <c r="F14" i="10"/>
  <c r="F84" i="10"/>
  <c r="F105" i="10"/>
  <c r="F19" i="10"/>
  <c r="F94" i="10"/>
  <c r="F89" i="10"/>
  <c r="F72" i="10"/>
  <c r="F99" i="10"/>
  <c r="F66" i="10"/>
  <c r="F69" i="10"/>
  <c r="F93" i="10"/>
  <c r="F65" i="10"/>
  <c r="F101" i="10"/>
  <c r="F76" i="10"/>
  <c r="F78" i="10"/>
  <c r="F87" i="10"/>
  <c r="F92" i="10"/>
  <c r="F109" i="10"/>
  <c r="F24" i="10"/>
  <c r="F21" i="10"/>
  <c r="F80" i="10"/>
  <c r="F81" i="10"/>
  <c r="F90" i="10"/>
  <c r="M22" i="6" l="1"/>
  <c r="M25" i="6"/>
  <c r="P26" i="5"/>
  <c r="M9" i="6"/>
  <c r="P15" i="5"/>
  <c r="P24" i="5"/>
  <c r="P28" i="5"/>
  <c r="M17" i="6"/>
  <c r="P22" i="5"/>
  <c r="M5" i="6"/>
  <c r="M12" i="6"/>
  <c r="M10" i="6"/>
  <c r="P17" i="5"/>
  <c r="T17" i="5" s="1"/>
  <c r="M13" i="6"/>
  <c r="P14" i="5"/>
  <c r="M24" i="6"/>
  <c r="P11" i="5"/>
  <c r="P27" i="5"/>
  <c r="P23" i="5"/>
  <c r="M21" i="6"/>
  <c r="P12" i="5"/>
  <c r="P20" i="5"/>
  <c r="P4" i="5"/>
  <c r="P18" i="5"/>
  <c r="T18" i="5" s="1"/>
  <c r="P10" i="5"/>
  <c r="P5" i="5"/>
  <c r="P6" i="5"/>
  <c r="M18" i="6"/>
  <c r="M23" i="6"/>
  <c r="P16" i="5"/>
  <c r="P21" i="5"/>
  <c r="M14" i="6"/>
  <c r="P29" i="5"/>
  <c r="M4" i="6"/>
  <c r="M28" i="6"/>
  <c r="P25" i="5"/>
  <c r="M19" i="6"/>
  <c r="M16" i="6"/>
  <c r="M20" i="6"/>
  <c r="P7" i="5"/>
  <c r="M27" i="6"/>
  <c r="P13" i="5"/>
  <c r="M6" i="6"/>
  <c r="M15" i="6"/>
  <c r="P19" i="5"/>
  <c r="M38" i="5" l="1"/>
  <c r="Q38" i="5" s="1"/>
  <c r="M41" i="5"/>
  <c r="Q41" i="5" s="1"/>
  <c r="M37" i="5"/>
  <c r="Q37" i="5" s="1"/>
  <c r="M39" i="5"/>
  <c r="Q39" i="5" s="1"/>
  <c r="M40" i="5"/>
  <c r="Q40" i="5" s="1"/>
  <c r="M36" i="5"/>
  <c r="Q36" i="5" s="1"/>
  <c r="M48" i="5"/>
  <c r="Q48" i="5" s="1"/>
  <c r="M50" i="5"/>
  <c r="Q50" i="5" s="1"/>
  <c r="M51" i="5"/>
  <c r="Q51" i="5" s="1"/>
  <c r="M53" i="5"/>
  <c r="Q53" i="5" s="1"/>
  <c r="M49" i="5"/>
  <c r="Q49" i="5" s="1"/>
  <c r="M52" i="5"/>
  <c r="Q52" i="5" s="1"/>
  <c r="M45" i="5"/>
  <c r="Q45" i="5" s="1"/>
  <c r="M44" i="5"/>
  <c r="Q44" i="5" s="1"/>
  <c r="M43" i="5"/>
  <c r="Q43" i="5" s="1"/>
  <c r="M42" i="5"/>
  <c r="Q42" i="5" s="1"/>
  <c r="M47" i="5"/>
  <c r="Q47" i="5" s="1"/>
  <c r="M46" i="5"/>
  <c r="Q46" i="5" s="1"/>
  <c r="M185" i="5"/>
  <c r="Q185" i="5" s="1"/>
  <c r="S185" i="5" s="1"/>
  <c r="M184" i="5"/>
  <c r="Q184" i="5" s="1"/>
  <c r="S184" i="5" s="1"/>
  <c r="M183" i="5"/>
  <c r="Q183" i="5" s="1"/>
  <c r="S183" i="5" s="1"/>
  <c r="M181" i="5"/>
  <c r="Q181" i="5" s="1"/>
  <c r="S181" i="5" s="1"/>
  <c r="M180" i="5"/>
  <c r="Q180" i="5" s="1"/>
  <c r="M182" i="5"/>
  <c r="Q182" i="5" s="1"/>
  <c r="S182" i="5" s="1"/>
  <c r="M112" i="5"/>
  <c r="Q112" i="5" s="1"/>
  <c r="M110" i="5"/>
  <c r="Q110" i="5" s="1"/>
  <c r="M109" i="5"/>
  <c r="Q109" i="5" s="1"/>
  <c r="M113" i="5"/>
  <c r="Q113" i="5" s="1"/>
  <c r="M111" i="5"/>
  <c r="Q111" i="5" s="1"/>
  <c r="M108" i="5"/>
  <c r="Q108" i="5" s="1"/>
  <c r="M127" i="5"/>
  <c r="Q127" i="5" s="1"/>
  <c r="M131" i="5"/>
  <c r="Q131" i="5" s="1"/>
  <c r="M126" i="5"/>
  <c r="Q126" i="5" s="1"/>
  <c r="M130" i="5"/>
  <c r="Q130" i="5" s="1"/>
  <c r="M128" i="5"/>
  <c r="Q128" i="5" s="1"/>
  <c r="M129" i="5"/>
  <c r="Q129" i="5" s="1"/>
  <c r="M85" i="5"/>
  <c r="Q85" i="5" s="1"/>
  <c r="M86" i="5"/>
  <c r="Q86" i="5" s="1"/>
  <c r="M87" i="5"/>
  <c r="Q87" i="5" s="1"/>
  <c r="M89" i="5"/>
  <c r="Q89" i="5" s="1"/>
  <c r="M84" i="5"/>
  <c r="Q84" i="5" s="1"/>
  <c r="M88" i="5"/>
  <c r="Q88" i="5" s="1"/>
  <c r="M117" i="5"/>
  <c r="Q117" i="5" s="1"/>
  <c r="M115" i="5"/>
  <c r="Q115" i="5" s="1"/>
  <c r="M118" i="5"/>
  <c r="Q118" i="5" s="1"/>
  <c r="M116" i="5"/>
  <c r="Q116" i="5" s="1"/>
  <c r="M114" i="5"/>
  <c r="Q114" i="5" s="1"/>
  <c r="M119" i="5"/>
  <c r="Q119" i="5" s="1"/>
  <c r="M107" i="5"/>
  <c r="Q107" i="5" s="1"/>
  <c r="M105" i="5"/>
  <c r="Q105" i="5" s="1"/>
  <c r="M104" i="5"/>
  <c r="Q104" i="5" s="1"/>
  <c r="M103" i="5"/>
  <c r="Q103" i="5" s="1"/>
  <c r="M102" i="5"/>
  <c r="Q102" i="5" s="1"/>
  <c r="M106" i="5"/>
  <c r="Q106" i="5" s="1"/>
  <c r="M55" i="5"/>
  <c r="Q55" i="5" s="1"/>
  <c r="M56" i="5"/>
  <c r="Q56" i="5" s="1"/>
  <c r="M57" i="5"/>
  <c r="Q57" i="5" s="1"/>
  <c r="M54" i="5"/>
  <c r="Q54" i="5" s="1"/>
  <c r="M59" i="5"/>
  <c r="Q59" i="5" s="1"/>
  <c r="M58" i="5"/>
  <c r="Q58" i="5" s="1"/>
  <c r="M135" i="5"/>
  <c r="Q135" i="5" s="1"/>
  <c r="M133" i="5"/>
  <c r="Q133" i="5" s="1"/>
  <c r="M132" i="5"/>
  <c r="Q132" i="5" s="1"/>
  <c r="M137" i="5"/>
  <c r="Q137" i="5" s="1"/>
  <c r="M134" i="5"/>
  <c r="Q134" i="5" s="1"/>
  <c r="M136" i="5"/>
  <c r="Q136" i="5" s="1"/>
  <c r="M150" i="5"/>
  <c r="Q150" i="5" s="1"/>
  <c r="M153" i="5"/>
  <c r="Q153" i="5" s="1"/>
  <c r="S153" i="5" s="1"/>
  <c r="M151" i="5"/>
  <c r="Q151" i="5" s="1"/>
  <c r="S151" i="5" s="1"/>
  <c r="M155" i="5"/>
  <c r="Q155" i="5" s="1"/>
  <c r="S155" i="5" s="1"/>
  <c r="M152" i="5"/>
  <c r="Q152" i="5" s="1"/>
  <c r="S152" i="5" s="1"/>
  <c r="M154" i="5"/>
  <c r="Q154" i="5" s="1"/>
  <c r="S154" i="5" s="1"/>
  <c r="M173" i="5"/>
  <c r="Q173" i="5" s="1"/>
  <c r="S173" i="5" s="1"/>
  <c r="M168" i="5"/>
  <c r="Q168" i="5" s="1"/>
  <c r="M170" i="5"/>
  <c r="Q170" i="5" s="1"/>
  <c r="S170" i="5" s="1"/>
  <c r="M172" i="5"/>
  <c r="Q172" i="5" s="1"/>
  <c r="S172" i="5" s="1"/>
  <c r="M169" i="5"/>
  <c r="Q169" i="5" s="1"/>
  <c r="S169" i="5" s="1"/>
  <c r="M171" i="5"/>
  <c r="Q171" i="5" s="1"/>
  <c r="S171" i="5" s="1"/>
  <c r="M125" i="5"/>
  <c r="Q125" i="5" s="1"/>
  <c r="M121" i="5"/>
  <c r="Q121" i="5" s="1"/>
  <c r="M123" i="5"/>
  <c r="Q123" i="5" s="1"/>
  <c r="M120" i="5"/>
  <c r="Q120" i="5" s="1"/>
  <c r="M122" i="5"/>
  <c r="Q122" i="5" s="1"/>
  <c r="M124" i="5"/>
  <c r="Q124" i="5" s="1"/>
  <c r="M138" i="5"/>
  <c r="Q138" i="5" s="1"/>
  <c r="S138" i="5" s="1"/>
  <c r="M139" i="5"/>
  <c r="Q139" i="5" s="1"/>
  <c r="S139" i="5" s="1"/>
  <c r="M141" i="5"/>
  <c r="Q141" i="5" s="1"/>
  <c r="S141" i="5" s="1"/>
  <c r="M142" i="5"/>
  <c r="Q142" i="5" s="1"/>
  <c r="S142" i="5" s="1"/>
  <c r="M143" i="5"/>
  <c r="Q143" i="5" s="1"/>
  <c r="S143" i="5" s="1"/>
  <c r="M140" i="5"/>
  <c r="Q140" i="5" s="1"/>
  <c r="S140" i="5" s="1"/>
  <c r="M167" i="5"/>
  <c r="Q167" i="5" s="1"/>
  <c r="S167" i="5" s="1"/>
  <c r="M163" i="5"/>
  <c r="Q163" i="5" s="1"/>
  <c r="S163" i="5" s="1"/>
  <c r="M162" i="5"/>
  <c r="Q162" i="5" s="1"/>
  <c r="S162" i="5" s="1"/>
  <c r="M166" i="5"/>
  <c r="Q166" i="5" s="1"/>
  <c r="S166" i="5" s="1"/>
  <c r="M165" i="5"/>
  <c r="Q165" i="5" s="1"/>
  <c r="S165" i="5" s="1"/>
  <c r="M164" i="5"/>
  <c r="Q164" i="5" s="1"/>
  <c r="S164" i="5" s="1"/>
  <c r="M93" i="5"/>
  <c r="Q93" i="5" s="1"/>
  <c r="M95" i="5"/>
  <c r="Q95" i="5" s="1"/>
  <c r="M92" i="5"/>
  <c r="Q92" i="5" s="1"/>
  <c r="M90" i="5"/>
  <c r="Q90" i="5" s="1"/>
  <c r="M91" i="5"/>
  <c r="Q91" i="5" s="1"/>
  <c r="M94" i="5"/>
  <c r="Q94" i="5" s="1"/>
  <c r="M176" i="5"/>
  <c r="Q176" i="5" s="1"/>
  <c r="S176" i="5" s="1"/>
  <c r="M179" i="5"/>
  <c r="Q179" i="5" s="1"/>
  <c r="S179" i="5" s="1"/>
  <c r="M175" i="5"/>
  <c r="Q175" i="5" s="1"/>
  <c r="S175" i="5" s="1"/>
  <c r="M177" i="5"/>
  <c r="Q177" i="5" s="1"/>
  <c r="S177" i="5" s="1"/>
  <c r="M174" i="5"/>
  <c r="Q174" i="5" s="1"/>
  <c r="M178" i="5"/>
  <c r="Q178" i="5" s="1"/>
  <c r="S178" i="5" s="1"/>
  <c r="M98" i="5"/>
  <c r="Q98" i="5" s="1"/>
  <c r="M96" i="5"/>
  <c r="Q96" i="5" s="1"/>
  <c r="M97" i="5"/>
  <c r="Q97" i="5" s="1"/>
  <c r="M100" i="5"/>
  <c r="Q100" i="5" s="1"/>
  <c r="M99" i="5"/>
  <c r="Q99" i="5" s="1"/>
  <c r="M101" i="5"/>
  <c r="Q101" i="5" s="1"/>
  <c r="M159" i="5"/>
  <c r="Q159" i="5" s="1"/>
  <c r="S159" i="5" s="1"/>
  <c r="M160" i="5"/>
  <c r="Q160" i="5" s="1"/>
  <c r="S160" i="5" s="1"/>
  <c r="M158" i="5"/>
  <c r="Q158" i="5" s="1"/>
  <c r="S158" i="5" s="1"/>
  <c r="M161" i="5"/>
  <c r="Q161" i="5" s="1"/>
  <c r="S161" i="5" s="1"/>
  <c r="M156" i="5"/>
  <c r="Q156" i="5" s="1"/>
  <c r="S156" i="5" s="1"/>
  <c r="M157" i="5"/>
  <c r="Q157" i="5" s="1"/>
  <c r="S157" i="5" s="1"/>
  <c r="M187" i="5"/>
  <c r="Q187" i="5" s="1"/>
  <c r="S187" i="5" s="1"/>
  <c r="M189" i="5"/>
  <c r="Q189" i="5" s="1"/>
  <c r="S189" i="5" s="1"/>
  <c r="M190" i="5"/>
  <c r="Q190" i="5" s="1"/>
  <c r="S190" i="5" s="1"/>
  <c r="M188" i="5"/>
  <c r="Q188" i="5" s="1"/>
  <c r="S188" i="5" s="1"/>
  <c r="M191" i="5"/>
  <c r="Q191" i="5" s="1"/>
  <c r="S191" i="5" s="1"/>
  <c r="M186" i="5"/>
  <c r="Q186" i="5" s="1"/>
  <c r="S186" i="5" s="1"/>
  <c r="M72" i="5"/>
  <c r="Q72" i="5" s="1"/>
  <c r="M73" i="5"/>
  <c r="Q73" i="5" s="1"/>
  <c r="M76" i="5"/>
  <c r="Q76" i="5" s="1"/>
  <c r="M74" i="5"/>
  <c r="Q74" i="5" s="1"/>
  <c r="M75" i="5"/>
  <c r="Q75" i="5" s="1"/>
  <c r="M77" i="5"/>
  <c r="Q77" i="5" s="1"/>
  <c r="M79" i="5"/>
  <c r="Q79" i="5" s="1"/>
  <c r="M80" i="5"/>
  <c r="Q80" i="5" s="1"/>
  <c r="M83" i="5"/>
  <c r="Q83" i="5" s="1"/>
  <c r="M81" i="5"/>
  <c r="Q81" i="5" s="1"/>
  <c r="M78" i="5"/>
  <c r="Q78" i="5" s="1"/>
  <c r="M82" i="5"/>
  <c r="Q82" i="5" s="1"/>
  <c r="M147" i="5"/>
  <c r="Q147" i="5" s="1"/>
  <c r="S147" i="5" s="1"/>
  <c r="M149" i="5"/>
  <c r="Q149" i="5" s="1"/>
  <c r="S149" i="5" s="1"/>
  <c r="M144" i="5"/>
  <c r="Q144" i="5" s="1"/>
  <c r="M148" i="5"/>
  <c r="Q148" i="5" s="1"/>
  <c r="S148" i="5" s="1"/>
  <c r="M146" i="5"/>
  <c r="Q146" i="5" s="1"/>
  <c r="S146" i="5" s="1"/>
  <c r="M145" i="5"/>
  <c r="Q145" i="5" s="1"/>
  <c r="S145" i="5" s="1"/>
  <c r="O180" i="6"/>
  <c r="O177" i="6"/>
  <c r="O181" i="6"/>
  <c r="O179" i="6"/>
  <c r="O178" i="6"/>
  <c r="O182" i="6"/>
  <c r="AF100" i="4"/>
  <c r="AF101" i="4"/>
  <c r="AF98" i="4"/>
  <c r="AF99" i="4"/>
  <c r="AF102" i="4"/>
  <c r="AF103" i="4"/>
  <c r="O99" i="6"/>
  <c r="O103" i="6"/>
  <c r="O102" i="6"/>
  <c r="O104" i="6"/>
  <c r="O101" i="6"/>
  <c r="O100" i="6"/>
  <c r="AF161" i="4"/>
  <c r="AF163" i="4"/>
  <c r="AF158" i="4"/>
  <c r="AF162" i="4"/>
  <c r="AF159" i="4"/>
  <c r="AF160" i="4"/>
  <c r="T12" i="5"/>
  <c r="O161" i="6"/>
  <c r="O163" i="6"/>
  <c r="O160" i="6"/>
  <c r="O164" i="6"/>
  <c r="O162" i="6"/>
  <c r="O159" i="6"/>
  <c r="AF143" i="4"/>
  <c r="AF145" i="4"/>
  <c r="AF141" i="4"/>
  <c r="AF144" i="4"/>
  <c r="AF140" i="4"/>
  <c r="AF142" i="4"/>
  <c r="AF117" i="4"/>
  <c r="AF116" i="4"/>
  <c r="AF121" i="4"/>
  <c r="AF120" i="4"/>
  <c r="AF119" i="4"/>
  <c r="AF118" i="4"/>
  <c r="O51" i="6"/>
  <c r="O56" i="6"/>
  <c r="O54" i="6"/>
  <c r="O52" i="6"/>
  <c r="O55" i="6"/>
  <c r="O53" i="6"/>
  <c r="AF165" i="4"/>
  <c r="AF167" i="4"/>
  <c r="AF168" i="4"/>
  <c r="AF164" i="4"/>
  <c r="AF169" i="4"/>
  <c r="AF166" i="4"/>
  <c r="O43" i="6"/>
  <c r="O44" i="6"/>
  <c r="O39" i="6"/>
  <c r="O42" i="6"/>
  <c r="O40" i="6"/>
  <c r="O41" i="6"/>
  <c r="T21" i="5"/>
  <c r="AF138" i="4"/>
  <c r="AF139" i="4"/>
  <c r="AF136" i="4"/>
  <c r="AF134" i="4"/>
  <c r="AF135" i="4"/>
  <c r="AF137" i="4"/>
  <c r="AF185" i="4"/>
  <c r="AF183" i="4"/>
  <c r="AF182" i="4"/>
  <c r="AF184" i="4"/>
  <c r="AF186" i="4"/>
  <c r="AF187" i="4"/>
  <c r="T14" i="5"/>
  <c r="T22" i="5"/>
  <c r="T7" i="5"/>
  <c r="O96" i="6"/>
  <c r="O94" i="6"/>
  <c r="O95" i="6"/>
  <c r="O97" i="6"/>
  <c r="O98" i="6"/>
  <c r="O93" i="6"/>
  <c r="AF152" i="4"/>
  <c r="AF153" i="4"/>
  <c r="AF156" i="4"/>
  <c r="AF155" i="4"/>
  <c r="AF154" i="4"/>
  <c r="AF157" i="4"/>
  <c r="AF150" i="4"/>
  <c r="AF146" i="4"/>
  <c r="AF149" i="4"/>
  <c r="AF148" i="4"/>
  <c r="AF151" i="4"/>
  <c r="AF147" i="4"/>
  <c r="T5" i="5"/>
  <c r="O119" i="6"/>
  <c r="O121" i="6"/>
  <c r="O118" i="6"/>
  <c r="O120" i="6"/>
  <c r="O122" i="6"/>
  <c r="O117" i="6"/>
  <c r="AF131" i="4"/>
  <c r="AF129" i="4"/>
  <c r="AF128" i="4"/>
  <c r="AF130" i="4"/>
  <c r="AF132" i="4"/>
  <c r="AF133" i="4"/>
  <c r="O134" i="6"/>
  <c r="O129" i="6"/>
  <c r="O131" i="6"/>
  <c r="O132" i="6"/>
  <c r="O130" i="6"/>
  <c r="O133" i="6"/>
  <c r="AF41" i="4"/>
  <c r="AF40" i="4"/>
  <c r="AF43" i="4"/>
  <c r="AF42" i="4"/>
  <c r="AF39" i="4"/>
  <c r="AF38" i="4"/>
  <c r="T16" i="5"/>
  <c r="T10" i="5"/>
  <c r="T23" i="5"/>
  <c r="T28" i="5"/>
  <c r="O168" i="6"/>
  <c r="O165" i="6"/>
  <c r="O170" i="6"/>
  <c r="O169" i="6"/>
  <c r="O167" i="6"/>
  <c r="O166" i="6"/>
  <c r="AF176" i="4"/>
  <c r="AF180" i="4"/>
  <c r="AF179" i="4"/>
  <c r="AF178" i="4"/>
  <c r="AF177" i="4"/>
  <c r="AF181" i="4"/>
  <c r="AF124" i="4"/>
  <c r="AF125" i="4"/>
  <c r="AF122" i="4"/>
  <c r="AF123" i="4"/>
  <c r="AF126" i="4"/>
  <c r="AF127" i="4"/>
  <c r="AF108" i="4"/>
  <c r="AF107" i="4"/>
  <c r="AF106" i="4"/>
  <c r="AF105" i="4"/>
  <c r="AF109" i="4"/>
  <c r="AF104" i="4"/>
  <c r="AF171" i="4"/>
  <c r="AF173" i="4"/>
  <c r="AF174" i="4"/>
  <c r="AF175" i="4"/>
  <c r="AF172" i="4"/>
  <c r="AF170" i="4"/>
  <c r="AF80" i="4"/>
  <c r="AF84" i="4"/>
  <c r="AF81" i="4"/>
  <c r="AF83" i="4"/>
  <c r="AF82" i="4"/>
  <c r="AF85" i="4"/>
  <c r="T25" i="5"/>
  <c r="AF50" i="4"/>
  <c r="AF52" i="4"/>
  <c r="AF53" i="4"/>
  <c r="AF55" i="4"/>
  <c r="AF54" i="4"/>
  <c r="AF51" i="4"/>
  <c r="O154" i="6"/>
  <c r="O158" i="6"/>
  <c r="O156" i="6"/>
  <c r="O157" i="6"/>
  <c r="O155" i="6"/>
  <c r="O153" i="6"/>
  <c r="O75" i="6"/>
  <c r="O77" i="6"/>
  <c r="O78" i="6"/>
  <c r="O76" i="6"/>
  <c r="O79" i="6"/>
  <c r="O80" i="6"/>
  <c r="T24" i="5"/>
  <c r="O135" i="6"/>
  <c r="O138" i="6"/>
  <c r="O136" i="6"/>
  <c r="O140" i="6"/>
  <c r="O139" i="6"/>
  <c r="O137" i="6"/>
  <c r="AF32" i="4"/>
  <c r="AF35" i="4"/>
  <c r="AF33" i="4"/>
  <c r="AF36" i="4"/>
  <c r="AF34" i="4"/>
  <c r="AF37" i="4"/>
  <c r="AF78" i="4"/>
  <c r="AF75" i="4"/>
  <c r="AF77" i="4"/>
  <c r="AF79" i="4"/>
  <c r="AF76" i="4"/>
  <c r="AF74" i="4"/>
  <c r="O114" i="6"/>
  <c r="O113" i="6"/>
  <c r="O115" i="6"/>
  <c r="O112" i="6"/>
  <c r="O116" i="6"/>
  <c r="O111" i="6"/>
  <c r="O144" i="6"/>
  <c r="O143" i="6"/>
  <c r="O146" i="6"/>
  <c r="O145" i="6"/>
  <c r="O142" i="6"/>
  <c r="O141" i="6"/>
  <c r="T26" i="5"/>
  <c r="T13" i="5"/>
  <c r="AF112" i="4"/>
  <c r="AF114" i="4"/>
  <c r="AF113" i="4"/>
  <c r="AF115" i="4"/>
  <c r="AF111" i="4"/>
  <c r="AF110" i="4"/>
  <c r="AF73" i="4"/>
  <c r="AF68" i="4"/>
  <c r="AF72" i="4"/>
  <c r="AF69" i="4"/>
  <c r="AF71" i="4"/>
  <c r="AF70" i="4"/>
  <c r="O125" i="6"/>
  <c r="O127" i="6"/>
  <c r="O124" i="6"/>
  <c r="O128" i="6"/>
  <c r="O126" i="6"/>
  <c r="O123" i="6"/>
  <c r="T4" i="5"/>
  <c r="T27" i="5"/>
  <c r="O90" i="6"/>
  <c r="O92" i="6"/>
  <c r="O87" i="6"/>
  <c r="O89" i="6"/>
  <c r="O91" i="6"/>
  <c r="O88" i="6"/>
  <c r="T15" i="5"/>
  <c r="AF95" i="4"/>
  <c r="AF92" i="4"/>
  <c r="AF96" i="4"/>
  <c r="AF94" i="4"/>
  <c r="AF93" i="4"/>
  <c r="AF97" i="4"/>
  <c r="O107" i="6"/>
  <c r="O106" i="6"/>
  <c r="O105" i="6"/>
  <c r="O108" i="6"/>
  <c r="O110" i="6"/>
  <c r="O109" i="6"/>
  <c r="T19" i="5"/>
  <c r="AF91" i="4"/>
  <c r="AF88" i="4"/>
  <c r="AF89" i="4"/>
  <c r="AF87" i="4"/>
  <c r="AF90" i="4"/>
  <c r="AF86" i="4"/>
  <c r="O184" i="6"/>
  <c r="O183" i="6"/>
  <c r="O187" i="6"/>
  <c r="O185" i="6"/>
  <c r="O188" i="6"/>
  <c r="O186" i="6"/>
  <c r="T29" i="5"/>
  <c r="T6" i="5"/>
  <c r="T20" i="5"/>
  <c r="T11" i="5"/>
  <c r="O50" i="6"/>
  <c r="O47" i="6"/>
  <c r="O45" i="6"/>
  <c r="O48" i="6"/>
  <c r="O49" i="6"/>
  <c r="O46" i="6"/>
  <c r="O73" i="6"/>
  <c r="O70" i="6"/>
  <c r="O74" i="6"/>
  <c r="O72" i="6"/>
  <c r="O71" i="6"/>
  <c r="O69" i="6"/>
  <c r="O147" i="6"/>
  <c r="O149" i="6"/>
  <c r="O152" i="6"/>
  <c r="O150" i="6"/>
  <c r="O151" i="6"/>
  <c r="O148" i="6"/>
  <c r="M26" i="6"/>
  <c r="M11" i="6"/>
  <c r="S168" i="5" l="1"/>
  <c r="S130" i="5"/>
  <c r="S137" i="5"/>
  <c r="S131" i="5"/>
  <c r="S133" i="5"/>
  <c r="S44" i="5"/>
  <c r="S36" i="5"/>
  <c r="S132" i="5"/>
  <c r="S127" i="5"/>
  <c r="S43" i="5"/>
  <c r="S144" i="5"/>
  <c r="S135" i="5"/>
  <c r="S45" i="5"/>
  <c r="S40" i="5"/>
  <c r="S129" i="5"/>
  <c r="S39" i="5"/>
  <c r="S174" i="5"/>
  <c r="S150" i="5"/>
  <c r="S128" i="5"/>
  <c r="S37" i="5"/>
  <c r="S136" i="5"/>
  <c r="S46" i="5"/>
  <c r="S41" i="5"/>
  <c r="S134" i="5"/>
  <c r="S126" i="5"/>
  <c r="S47" i="5"/>
  <c r="S38" i="5"/>
  <c r="S83" i="5"/>
  <c r="S121" i="5"/>
  <c r="S56" i="5"/>
  <c r="S89" i="5"/>
  <c r="S42" i="5"/>
  <c r="S80" i="5"/>
  <c r="S96" i="5"/>
  <c r="S125" i="5"/>
  <c r="S55" i="5"/>
  <c r="S114" i="5"/>
  <c r="S87" i="5"/>
  <c r="S180" i="5"/>
  <c r="S48" i="5"/>
  <c r="S79" i="5"/>
  <c r="S98" i="5"/>
  <c r="S94" i="5"/>
  <c r="S106" i="5"/>
  <c r="S116" i="5"/>
  <c r="S86" i="5"/>
  <c r="S108" i="5"/>
  <c r="S97" i="5"/>
  <c r="S119" i="5"/>
  <c r="S50" i="5"/>
  <c r="S75" i="5"/>
  <c r="S90" i="5"/>
  <c r="S124" i="5"/>
  <c r="S58" i="5"/>
  <c r="S103" i="5"/>
  <c r="S115" i="5"/>
  <c r="S113" i="5"/>
  <c r="S52" i="5"/>
  <c r="S72" i="5"/>
  <c r="S77" i="5"/>
  <c r="S118" i="5"/>
  <c r="S85" i="5"/>
  <c r="S82" i="5"/>
  <c r="S74" i="5"/>
  <c r="S101" i="5"/>
  <c r="S92" i="5"/>
  <c r="S122" i="5"/>
  <c r="S59" i="5"/>
  <c r="S104" i="5"/>
  <c r="S117" i="5"/>
  <c r="S109" i="5"/>
  <c r="S49" i="5"/>
  <c r="S91" i="5"/>
  <c r="S102" i="5"/>
  <c r="S111" i="5"/>
  <c r="S78" i="5"/>
  <c r="S76" i="5"/>
  <c r="S99" i="5"/>
  <c r="S95" i="5"/>
  <c r="S120" i="5"/>
  <c r="S54" i="5"/>
  <c r="S105" i="5"/>
  <c r="S88" i="5"/>
  <c r="S110" i="5"/>
  <c r="S53" i="5"/>
  <c r="S81" i="5"/>
  <c r="S73" i="5"/>
  <c r="S100" i="5"/>
  <c r="S93" i="5"/>
  <c r="S123" i="5"/>
  <c r="S57" i="5"/>
  <c r="S107" i="5"/>
  <c r="S84" i="5"/>
  <c r="S112" i="5"/>
  <c r="S51" i="5"/>
  <c r="O2" i="7"/>
  <c r="D2" i="7" s="1"/>
  <c r="R36" i="5"/>
  <c r="R81" i="5"/>
  <c r="R171" i="5"/>
  <c r="R139" i="12" s="1"/>
  <c r="R96" i="5"/>
  <c r="R163" i="5"/>
  <c r="R124" i="5"/>
  <c r="R153" i="5"/>
  <c r="R121" i="12" s="1"/>
  <c r="R119" i="5"/>
  <c r="R89" i="5"/>
  <c r="R182" i="5"/>
  <c r="R73" i="5"/>
  <c r="R54" i="5"/>
  <c r="R77" i="5"/>
  <c r="R188" i="5"/>
  <c r="R156" i="12" s="1"/>
  <c r="R178" i="5"/>
  <c r="R146" i="12" s="1"/>
  <c r="R168" i="5"/>
  <c r="R136" i="12" s="1"/>
  <c r="R137" i="5"/>
  <c r="R38" i="5"/>
  <c r="R106" i="5"/>
  <c r="R86" i="5"/>
  <c r="R108" i="5"/>
  <c r="R181" i="5"/>
  <c r="R149" i="12" s="1"/>
  <c r="R145" i="5"/>
  <c r="R113" i="12" s="1"/>
  <c r="R49" i="5"/>
  <c r="R47" i="5"/>
  <c r="R120" i="5"/>
  <c r="R130" i="5"/>
  <c r="R161" i="5"/>
  <c r="R129" i="12" s="1"/>
  <c r="R140" i="5"/>
  <c r="R108" i="12" s="1"/>
  <c r="R94" i="5"/>
  <c r="R166" i="5"/>
  <c r="R134" i="12" s="1"/>
  <c r="R40" i="5"/>
  <c r="R110" i="5"/>
  <c r="R149" i="5"/>
  <c r="R117" i="12" s="1"/>
  <c r="R160" i="5"/>
  <c r="R128" i="12" s="1"/>
  <c r="AQ112" i="6"/>
  <c r="AR112" i="6"/>
  <c r="M81" i="10" s="1"/>
  <c r="AR78" i="6"/>
  <c r="M47" i="10" s="1"/>
  <c r="AQ78" i="6"/>
  <c r="R155" i="5"/>
  <c r="R123" i="12" s="1"/>
  <c r="AR98" i="6"/>
  <c r="M67" i="10" s="1"/>
  <c r="AQ98" i="6"/>
  <c r="R148" i="5"/>
  <c r="R116" i="12" s="1"/>
  <c r="R139" i="5"/>
  <c r="AR148" i="6"/>
  <c r="M117" i="10" s="1"/>
  <c r="AQ148" i="6"/>
  <c r="AR72" i="6"/>
  <c r="M41" i="10" s="1"/>
  <c r="AQ72" i="6"/>
  <c r="AQ47" i="6"/>
  <c r="AR47" i="6"/>
  <c r="M16" i="10" s="1"/>
  <c r="R80" i="5"/>
  <c r="R189" i="5"/>
  <c r="AQ185" i="6"/>
  <c r="AR185" i="6"/>
  <c r="M154" i="10" s="1"/>
  <c r="R128" i="5"/>
  <c r="AR92" i="6"/>
  <c r="M61" i="10" s="1"/>
  <c r="AQ92" i="6"/>
  <c r="R175" i="5"/>
  <c r="R143" i="12" s="1"/>
  <c r="AR126" i="6"/>
  <c r="M95" i="10" s="1"/>
  <c r="AQ126" i="6"/>
  <c r="AQ142" i="6"/>
  <c r="AR142" i="6"/>
  <c r="M111" i="10" s="1"/>
  <c r="AQ115" i="6"/>
  <c r="AR115" i="6"/>
  <c r="M84" i="10" s="1"/>
  <c r="AR139" i="6"/>
  <c r="M108" i="10" s="1"/>
  <c r="AQ139" i="6"/>
  <c r="R158" i="5"/>
  <c r="AQ77" i="6"/>
  <c r="AR77" i="6"/>
  <c r="M46" i="10" s="1"/>
  <c r="R121" i="5"/>
  <c r="R164" i="5"/>
  <c r="R152" i="5"/>
  <c r="R109" i="5"/>
  <c r="AR118" i="6"/>
  <c r="M87" i="10" s="1"/>
  <c r="AQ118" i="6"/>
  <c r="R43" i="5"/>
  <c r="AQ97" i="6"/>
  <c r="AR97" i="6"/>
  <c r="M66" i="10" s="1"/>
  <c r="R57" i="5"/>
  <c r="R144" i="5"/>
  <c r="R112" i="12" s="1"/>
  <c r="R98" i="5"/>
  <c r="R141" i="5"/>
  <c r="AQ44" i="6"/>
  <c r="AR44" i="6"/>
  <c r="M13" i="10" s="1"/>
  <c r="AR53" i="6"/>
  <c r="M22" i="10" s="1"/>
  <c r="AQ53" i="6"/>
  <c r="AR102" i="6"/>
  <c r="M71" i="10" s="1"/>
  <c r="AQ102" i="6"/>
  <c r="AQ188" i="6"/>
  <c r="AR188" i="6"/>
  <c r="M157" i="10" s="1"/>
  <c r="AQ87" i="6"/>
  <c r="AR87" i="6"/>
  <c r="M56" i="10" s="1"/>
  <c r="R174" i="5"/>
  <c r="R95" i="5"/>
  <c r="AQ137" i="6"/>
  <c r="AR137" i="6"/>
  <c r="M106" i="10" s="1"/>
  <c r="R157" i="5"/>
  <c r="R167" i="5"/>
  <c r="R135" i="12" s="1"/>
  <c r="R76" i="5"/>
  <c r="R112" i="5"/>
  <c r="AQ161" i="6"/>
  <c r="AR161" i="6"/>
  <c r="M130" i="10" s="1"/>
  <c r="AQ104" i="6"/>
  <c r="AR104" i="6"/>
  <c r="M73" i="10" s="1"/>
  <c r="AR151" i="6"/>
  <c r="M120" i="10" s="1"/>
  <c r="AQ151" i="6"/>
  <c r="AR74" i="6"/>
  <c r="M43" i="10" s="1"/>
  <c r="AQ74" i="6"/>
  <c r="AR187" i="6"/>
  <c r="M156" i="10" s="1"/>
  <c r="AQ187" i="6"/>
  <c r="AQ109" i="6"/>
  <c r="AR109" i="6"/>
  <c r="M78" i="10" s="1"/>
  <c r="R104" i="5"/>
  <c r="AQ128" i="6"/>
  <c r="AR128" i="6"/>
  <c r="M97" i="10" s="1"/>
  <c r="AQ145" i="6"/>
  <c r="AR145" i="6"/>
  <c r="M114" i="10" s="1"/>
  <c r="AQ113" i="6"/>
  <c r="AR113" i="6"/>
  <c r="M82" i="10" s="1"/>
  <c r="R156" i="5"/>
  <c r="R124" i="12" s="1"/>
  <c r="AR153" i="6"/>
  <c r="M122" i="10" s="1"/>
  <c r="AQ153" i="6"/>
  <c r="R162" i="5"/>
  <c r="R130" i="12" s="1"/>
  <c r="R183" i="5"/>
  <c r="R151" i="12" s="1"/>
  <c r="R114" i="5"/>
  <c r="R154" i="5"/>
  <c r="R111" i="5"/>
  <c r="AQ133" i="6"/>
  <c r="AR133" i="6"/>
  <c r="M102" i="10" s="1"/>
  <c r="AQ121" i="6"/>
  <c r="AR121" i="6"/>
  <c r="M90" i="10" s="1"/>
  <c r="R45" i="5"/>
  <c r="AQ95" i="6"/>
  <c r="AR95" i="6"/>
  <c r="M64" i="10" s="1"/>
  <c r="R56" i="5"/>
  <c r="R146" i="5"/>
  <c r="R114" i="12" s="1"/>
  <c r="AQ43" i="6"/>
  <c r="AR43" i="6"/>
  <c r="M12" i="10" s="1"/>
  <c r="AQ55" i="6"/>
  <c r="AR55" i="6"/>
  <c r="M24" i="10" s="1"/>
  <c r="R85" i="5"/>
  <c r="AQ103" i="6"/>
  <c r="AR103" i="6"/>
  <c r="M72" i="10" s="1"/>
  <c r="AQ182" i="6"/>
  <c r="AR182" i="6"/>
  <c r="M151" i="10" s="1"/>
  <c r="AR141" i="6"/>
  <c r="M110" i="10" s="1"/>
  <c r="AQ141" i="6"/>
  <c r="R122" i="5"/>
  <c r="AQ168" i="6"/>
  <c r="AR168" i="6"/>
  <c r="M137" i="10" s="1"/>
  <c r="AR120" i="6"/>
  <c r="M89" i="10" s="1"/>
  <c r="AQ120" i="6"/>
  <c r="R42" i="5"/>
  <c r="R55" i="5"/>
  <c r="R100" i="5"/>
  <c r="AR39" i="6"/>
  <c r="M8" i="10" s="1"/>
  <c r="AQ39" i="6"/>
  <c r="AQ50" i="6"/>
  <c r="AR50" i="6"/>
  <c r="M19" i="10" s="1"/>
  <c r="R53" i="5"/>
  <c r="R187" i="5"/>
  <c r="R155" i="12" s="1"/>
  <c r="AQ90" i="6"/>
  <c r="AR90" i="6"/>
  <c r="M59" i="10" s="1"/>
  <c r="R172" i="5"/>
  <c r="R140" i="12" s="1"/>
  <c r="AR140" i="6"/>
  <c r="M109" i="10" s="1"/>
  <c r="AQ140" i="6"/>
  <c r="AQ75" i="6"/>
  <c r="AR75" i="6"/>
  <c r="M44" i="10" s="1"/>
  <c r="AR150" i="6"/>
  <c r="M119" i="10" s="1"/>
  <c r="AQ150" i="6"/>
  <c r="AQ70" i="6"/>
  <c r="AR70" i="6"/>
  <c r="M39" i="10" s="1"/>
  <c r="R135" i="5"/>
  <c r="R51" i="5"/>
  <c r="AQ183" i="6"/>
  <c r="AR183" i="6"/>
  <c r="M152" i="10" s="1"/>
  <c r="AR110" i="6"/>
  <c r="M79" i="10" s="1"/>
  <c r="AQ110" i="6"/>
  <c r="R103" i="5"/>
  <c r="R41" i="5"/>
  <c r="AR124" i="6"/>
  <c r="M93" i="10" s="1"/>
  <c r="AQ124" i="6"/>
  <c r="R93" i="5"/>
  <c r="AQ146" i="6"/>
  <c r="AR146" i="6"/>
  <c r="M115" i="10" s="1"/>
  <c r="AQ114" i="6"/>
  <c r="AR114" i="6"/>
  <c r="M83" i="10" s="1"/>
  <c r="AQ136" i="6"/>
  <c r="AR136" i="6"/>
  <c r="M105" i="10" s="1"/>
  <c r="AQ155" i="6"/>
  <c r="AR155" i="6"/>
  <c r="M124" i="10" s="1"/>
  <c r="AR166" i="6"/>
  <c r="M135" i="10" s="1"/>
  <c r="AQ166" i="6"/>
  <c r="R180" i="5"/>
  <c r="R118" i="5"/>
  <c r="R72" i="5"/>
  <c r="AR130" i="6"/>
  <c r="M99" i="10" s="1"/>
  <c r="AQ130" i="6"/>
  <c r="AR119" i="6"/>
  <c r="M88" i="10" s="1"/>
  <c r="AQ119" i="6"/>
  <c r="AR94" i="6"/>
  <c r="M63" i="10" s="1"/>
  <c r="AQ94" i="6"/>
  <c r="R59" i="5"/>
  <c r="R143" i="5"/>
  <c r="R111" i="12" s="1"/>
  <c r="AQ52" i="6"/>
  <c r="AR52" i="6"/>
  <c r="M21" i="10" s="1"/>
  <c r="AQ159" i="6"/>
  <c r="AR159" i="6"/>
  <c r="M128" i="10" s="1"/>
  <c r="AQ99" i="6"/>
  <c r="AR99" i="6"/>
  <c r="M68" i="10" s="1"/>
  <c r="AQ178" i="6"/>
  <c r="AR178" i="6"/>
  <c r="M147" i="10" s="1"/>
  <c r="AQ71" i="6"/>
  <c r="AR71" i="6"/>
  <c r="M40" i="10" s="1"/>
  <c r="R136" i="5"/>
  <c r="R129" i="5"/>
  <c r="R102" i="5"/>
  <c r="AQ73" i="6"/>
  <c r="AR73" i="6"/>
  <c r="M42" i="10" s="1"/>
  <c r="R132" i="5"/>
  <c r="AR108" i="6"/>
  <c r="M77" i="10" s="1"/>
  <c r="AQ108" i="6"/>
  <c r="R105" i="5"/>
  <c r="R179" i="5"/>
  <c r="R92" i="5"/>
  <c r="R170" i="5"/>
  <c r="R159" i="5"/>
  <c r="R127" i="12" s="1"/>
  <c r="R125" i="5"/>
  <c r="AQ167" i="6"/>
  <c r="AR167" i="6"/>
  <c r="M136" i="10" s="1"/>
  <c r="R116" i="5"/>
  <c r="R99" i="5"/>
  <c r="AQ54" i="6"/>
  <c r="AR54" i="6"/>
  <c r="M23" i="10" s="1"/>
  <c r="AQ149" i="6"/>
  <c r="AR149" i="6"/>
  <c r="M118" i="10" s="1"/>
  <c r="AQ46" i="6"/>
  <c r="AR46" i="6"/>
  <c r="M15" i="10" s="1"/>
  <c r="R79" i="5"/>
  <c r="R190" i="5"/>
  <c r="R158" i="12" s="1"/>
  <c r="R126" i="5"/>
  <c r="AR105" i="6"/>
  <c r="M74" i="10" s="1"/>
  <c r="AQ105" i="6"/>
  <c r="AR88" i="6"/>
  <c r="M57" i="10" s="1"/>
  <c r="AQ88" i="6"/>
  <c r="R177" i="5"/>
  <c r="R145" i="12" s="1"/>
  <c r="AQ125" i="6"/>
  <c r="AR125" i="6"/>
  <c r="M94" i="10" s="1"/>
  <c r="R90" i="5"/>
  <c r="AQ144" i="6"/>
  <c r="AR144" i="6"/>
  <c r="M113" i="10" s="1"/>
  <c r="AR135" i="6"/>
  <c r="M104" i="10" s="1"/>
  <c r="AQ135" i="6"/>
  <c r="AQ80" i="6"/>
  <c r="AR80" i="6"/>
  <c r="M49" i="10" s="1"/>
  <c r="AQ156" i="6"/>
  <c r="AR156" i="6"/>
  <c r="M125" i="10" s="1"/>
  <c r="AR169" i="6"/>
  <c r="M138" i="10" s="1"/>
  <c r="AQ169" i="6"/>
  <c r="R115" i="5"/>
  <c r="R150" i="5"/>
  <c r="AQ131" i="6"/>
  <c r="AR131" i="6"/>
  <c r="M100" i="10" s="1"/>
  <c r="R97" i="5"/>
  <c r="AQ41" i="6"/>
  <c r="AR41" i="6"/>
  <c r="M10" i="10" s="1"/>
  <c r="AQ56" i="6"/>
  <c r="AR56" i="6"/>
  <c r="M25" i="10" s="1"/>
  <c r="AQ164" i="6"/>
  <c r="AR164" i="6"/>
  <c r="M133" i="10" s="1"/>
  <c r="R84" i="5"/>
  <c r="AR181" i="6"/>
  <c r="M150" i="10" s="1"/>
  <c r="AQ181" i="6"/>
  <c r="R83" i="5"/>
  <c r="AR152" i="6"/>
  <c r="M121" i="10" s="1"/>
  <c r="AQ152" i="6"/>
  <c r="R78" i="5"/>
  <c r="R50" i="5"/>
  <c r="R186" i="5"/>
  <c r="R127" i="5"/>
  <c r="AQ127" i="6"/>
  <c r="AR127" i="6"/>
  <c r="M96" i="10" s="1"/>
  <c r="AR138" i="6"/>
  <c r="M107" i="10" s="1"/>
  <c r="AQ138" i="6"/>
  <c r="AQ132" i="6"/>
  <c r="AR132" i="6"/>
  <c r="M101" i="10" s="1"/>
  <c r="AQ96" i="6"/>
  <c r="AR96" i="6"/>
  <c r="M65" i="10" s="1"/>
  <c r="AR162" i="6"/>
  <c r="M131" i="10" s="1"/>
  <c r="AQ162" i="6"/>
  <c r="R88" i="5"/>
  <c r="AQ147" i="6"/>
  <c r="AR147" i="6"/>
  <c r="M116" i="10" s="1"/>
  <c r="AQ49" i="6"/>
  <c r="AR49" i="6"/>
  <c r="M18" i="10" s="1"/>
  <c r="R133" i="5"/>
  <c r="R48" i="5"/>
  <c r="R191" i="5"/>
  <c r="R159" i="12" s="1"/>
  <c r="AR106" i="6"/>
  <c r="M75" i="10" s="1"/>
  <c r="AQ106" i="6"/>
  <c r="AQ91" i="6"/>
  <c r="AR91" i="6"/>
  <c r="M60" i="10" s="1"/>
  <c r="R173" i="5"/>
  <c r="R141" i="12" s="1"/>
  <c r="AQ111" i="6"/>
  <c r="AR111" i="6"/>
  <c r="M80" i="10" s="1"/>
  <c r="AQ79" i="6"/>
  <c r="AR79" i="6"/>
  <c r="M48" i="10" s="1"/>
  <c r="AQ158" i="6"/>
  <c r="AR158" i="6"/>
  <c r="M127" i="10" s="1"/>
  <c r="AR170" i="6"/>
  <c r="M139" i="10" s="1"/>
  <c r="AQ170" i="6"/>
  <c r="R117" i="5"/>
  <c r="R113" i="5"/>
  <c r="AQ129" i="6"/>
  <c r="AR129" i="6"/>
  <c r="M98" i="10" s="1"/>
  <c r="AQ117" i="6"/>
  <c r="AR117" i="6"/>
  <c r="M86" i="10" s="1"/>
  <c r="R46" i="5"/>
  <c r="R147" i="5"/>
  <c r="AR40" i="6"/>
  <c r="M9" i="10" s="1"/>
  <c r="AQ40" i="6"/>
  <c r="AQ51" i="6"/>
  <c r="AR51" i="6"/>
  <c r="M20" i="10" s="1"/>
  <c r="AR160" i="6"/>
  <c r="M129" i="10" s="1"/>
  <c r="AQ160" i="6"/>
  <c r="R87" i="5"/>
  <c r="AQ100" i="6"/>
  <c r="AR100" i="6"/>
  <c r="M69" i="10" s="1"/>
  <c r="AR177" i="6"/>
  <c r="M146" i="10" s="1"/>
  <c r="AQ177" i="6"/>
  <c r="AQ45" i="6"/>
  <c r="AR45" i="6"/>
  <c r="M14" i="10" s="1"/>
  <c r="AR123" i="6"/>
  <c r="M92" i="10" s="1"/>
  <c r="AQ123" i="6"/>
  <c r="AQ184" i="6"/>
  <c r="AR184" i="6"/>
  <c r="M153" i="10" s="1"/>
  <c r="R39" i="5"/>
  <c r="AQ143" i="6"/>
  <c r="AR143" i="6"/>
  <c r="M112" i="10" s="1"/>
  <c r="AQ157" i="6"/>
  <c r="AR157" i="6"/>
  <c r="M126" i="10" s="1"/>
  <c r="R165" i="5"/>
  <c r="R184" i="5"/>
  <c r="R152" i="12" s="1"/>
  <c r="R151" i="5"/>
  <c r="R119" i="12" s="1"/>
  <c r="R75" i="5"/>
  <c r="R142" i="5"/>
  <c r="AQ179" i="6"/>
  <c r="AR179" i="6"/>
  <c r="M148" i="10" s="1"/>
  <c r="AR69" i="6"/>
  <c r="M38" i="10" s="1"/>
  <c r="AQ69" i="6"/>
  <c r="AQ48" i="6"/>
  <c r="AR48" i="6"/>
  <c r="M17" i="10" s="1"/>
  <c r="R82" i="5"/>
  <c r="R134" i="5"/>
  <c r="R52" i="5"/>
  <c r="AR186" i="6"/>
  <c r="M155" i="10" s="1"/>
  <c r="AQ186" i="6"/>
  <c r="R131" i="5"/>
  <c r="AQ107" i="6"/>
  <c r="AR107" i="6"/>
  <c r="M76" i="10" s="1"/>
  <c r="R107" i="5"/>
  <c r="AR89" i="6"/>
  <c r="M58" i="10" s="1"/>
  <c r="AQ89" i="6"/>
  <c r="R176" i="5"/>
  <c r="R144" i="12" s="1"/>
  <c r="R37" i="5"/>
  <c r="R91" i="5"/>
  <c r="R169" i="5"/>
  <c r="R137" i="12" s="1"/>
  <c r="AR116" i="6"/>
  <c r="M85" i="10" s="1"/>
  <c r="AQ116" i="6"/>
  <c r="AQ76" i="6"/>
  <c r="AR76" i="6"/>
  <c r="M45" i="10" s="1"/>
  <c r="R123" i="5"/>
  <c r="AR154" i="6"/>
  <c r="M123" i="10" s="1"/>
  <c r="AQ154" i="6"/>
  <c r="AQ165" i="6"/>
  <c r="AR165" i="6"/>
  <c r="M134" i="10" s="1"/>
  <c r="R185" i="5"/>
  <c r="R153" i="12" s="1"/>
  <c r="R74" i="5"/>
  <c r="AR134" i="6"/>
  <c r="M103" i="10" s="1"/>
  <c r="AQ134" i="6"/>
  <c r="AR122" i="6"/>
  <c r="M91" i="10" s="1"/>
  <c r="AQ122" i="6"/>
  <c r="R44" i="5"/>
  <c r="AR93" i="6"/>
  <c r="M62" i="10" s="1"/>
  <c r="AQ93" i="6"/>
  <c r="R58" i="5"/>
  <c r="R101" i="5"/>
  <c r="R138" i="5"/>
  <c r="R106" i="12" s="1"/>
  <c r="AQ42" i="6"/>
  <c r="AR42" i="6"/>
  <c r="M11" i="10" s="1"/>
  <c r="AR163" i="6"/>
  <c r="M132" i="10" s="1"/>
  <c r="AQ163" i="6"/>
  <c r="AR101" i="6"/>
  <c r="M70" i="10" s="1"/>
  <c r="AQ101" i="6"/>
  <c r="AR180" i="6"/>
  <c r="M149" i="10" s="1"/>
  <c r="AQ180" i="6"/>
  <c r="AT72" i="6"/>
  <c r="AS72" i="6"/>
  <c r="N41" i="10" s="1"/>
  <c r="U88" i="4"/>
  <c r="K88" i="4"/>
  <c r="U93" i="4"/>
  <c r="K93" i="4"/>
  <c r="K114" i="4"/>
  <c r="U114" i="4"/>
  <c r="AS137" i="6"/>
  <c r="N106" i="10" s="1"/>
  <c r="AT137" i="6"/>
  <c r="K171" i="4"/>
  <c r="U171" i="4"/>
  <c r="N44" i="12"/>
  <c r="O42" i="7"/>
  <c r="D42" i="7" s="1"/>
  <c r="O78" i="7"/>
  <c r="D78" i="7" s="1"/>
  <c r="N80" i="12"/>
  <c r="K40" i="4"/>
  <c r="U40" i="4"/>
  <c r="K133" i="4"/>
  <c r="U133" i="4"/>
  <c r="AS120" i="6"/>
  <c r="N89" i="10" s="1"/>
  <c r="AT120" i="6"/>
  <c r="N10" i="12"/>
  <c r="O8" i="7"/>
  <c r="D8" i="7" s="1"/>
  <c r="U150" i="4"/>
  <c r="K150" i="4"/>
  <c r="AS98" i="6"/>
  <c r="N67" i="10" s="1"/>
  <c r="AT98" i="6"/>
  <c r="O21" i="7"/>
  <c r="D21" i="7" s="1"/>
  <c r="N23" i="12"/>
  <c r="O114" i="7"/>
  <c r="D114" i="7" s="1"/>
  <c r="N116" i="12"/>
  <c r="O66" i="7"/>
  <c r="D66" i="7" s="1"/>
  <c r="N68" i="12"/>
  <c r="U137" i="4"/>
  <c r="K137" i="4"/>
  <c r="N107" i="12"/>
  <c r="O105" i="7"/>
  <c r="D105" i="7" s="1"/>
  <c r="AS39" i="6"/>
  <c r="N8" i="10" s="1"/>
  <c r="AT39" i="6"/>
  <c r="K165" i="4"/>
  <c r="U165" i="4"/>
  <c r="U119" i="4"/>
  <c r="K119" i="4"/>
  <c r="U141" i="4"/>
  <c r="K141" i="4"/>
  <c r="AS161" i="6"/>
  <c r="N130" i="10" s="1"/>
  <c r="AT161" i="6"/>
  <c r="U160" i="4"/>
  <c r="K160" i="4"/>
  <c r="AS104" i="6"/>
  <c r="N73" i="10" s="1"/>
  <c r="AT104" i="6"/>
  <c r="K101" i="4"/>
  <c r="U101" i="4"/>
  <c r="AS151" i="6"/>
  <c r="N120" i="10" s="1"/>
  <c r="AT151" i="6"/>
  <c r="AS74" i="6"/>
  <c r="N43" i="10" s="1"/>
  <c r="AT74" i="6"/>
  <c r="AT50" i="6"/>
  <c r="AS50" i="6"/>
  <c r="N19" i="10" s="1"/>
  <c r="O19" i="7"/>
  <c r="D19" i="7" s="1"/>
  <c r="N21" i="12"/>
  <c r="O153" i="7"/>
  <c r="D153" i="7" s="1"/>
  <c r="N155" i="12"/>
  <c r="AS187" i="6"/>
  <c r="N156" i="10" s="1"/>
  <c r="AT187" i="6"/>
  <c r="K91" i="4"/>
  <c r="U91" i="4"/>
  <c r="AS109" i="6"/>
  <c r="N78" i="10" s="1"/>
  <c r="AT109" i="6"/>
  <c r="K94" i="4"/>
  <c r="U94" i="4"/>
  <c r="N72" i="12"/>
  <c r="O70" i="7"/>
  <c r="D70" i="7" s="1"/>
  <c r="AT90" i="6"/>
  <c r="AS90" i="6"/>
  <c r="N59" i="10" s="1"/>
  <c r="AS126" i="6"/>
  <c r="N95" i="10" s="1"/>
  <c r="AT126" i="6"/>
  <c r="K72" i="4"/>
  <c r="U72" i="4"/>
  <c r="K112" i="4"/>
  <c r="U112" i="4"/>
  <c r="AT142" i="6"/>
  <c r="AS142" i="6"/>
  <c r="N111" i="10" s="1"/>
  <c r="AT115" i="6"/>
  <c r="AS115" i="6"/>
  <c r="N84" i="10" s="1"/>
  <c r="U78" i="4"/>
  <c r="K78" i="4"/>
  <c r="AS139" i="6"/>
  <c r="N108" i="10" s="1"/>
  <c r="AT139" i="6"/>
  <c r="O124" i="7"/>
  <c r="D124" i="7" s="1"/>
  <c r="N126" i="12"/>
  <c r="AS77" i="6"/>
  <c r="N46" i="10" s="1"/>
  <c r="AT77" i="6"/>
  <c r="N89" i="12"/>
  <c r="O87" i="7"/>
  <c r="D87" i="7" s="1"/>
  <c r="U54" i="4"/>
  <c r="K54" i="4"/>
  <c r="N132" i="12"/>
  <c r="O130" i="7"/>
  <c r="D130" i="7" s="1"/>
  <c r="K84" i="4"/>
  <c r="U84" i="4"/>
  <c r="U104" i="4"/>
  <c r="K104" i="4"/>
  <c r="U123" i="4"/>
  <c r="K123" i="4"/>
  <c r="K180" i="4"/>
  <c r="U180" i="4"/>
  <c r="N87" i="12"/>
  <c r="O85" i="7"/>
  <c r="D85" i="7" s="1"/>
  <c r="O118" i="7"/>
  <c r="D118" i="7" s="1"/>
  <c r="N120" i="12"/>
  <c r="N41" i="12"/>
  <c r="O39" i="7"/>
  <c r="D39" i="7" s="1"/>
  <c r="O75" i="7"/>
  <c r="D75" i="7" s="1"/>
  <c r="N77" i="12"/>
  <c r="K41" i="4"/>
  <c r="U41" i="4"/>
  <c r="K132" i="4"/>
  <c r="U132" i="4"/>
  <c r="AS118" i="6"/>
  <c r="N87" i="10" s="1"/>
  <c r="AT118" i="6"/>
  <c r="N11" i="12"/>
  <c r="O9" i="7"/>
  <c r="D9" i="7" s="1"/>
  <c r="K157" i="4"/>
  <c r="U157" i="4"/>
  <c r="AS97" i="6"/>
  <c r="N66" i="10" s="1"/>
  <c r="AT97" i="6"/>
  <c r="O23" i="7"/>
  <c r="D23" i="7" s="1"/>
  <c r="N25" i="12"/>
  <c r="N112" i="12"/>
  <c r="O110" i="7"/>
  <c r="D110" i="7" s="1"/>
  <c r="N66" i="12"/>
  <c r="O64" i="7"/>
  <c r="D64" i="7" s="1"/>
  <c r="U135" i="4"/>
  <c r="K135" i="4"/>
  <c r="O107" i="7"/>
  <c r="D107" i="7" s="1"/>
  <c r="N109" i="12"/>
  <c r="AS44" i="6"/>
  <c r="N13" i="10" s="1"/>
  <c r="AT44" i="6"/>
  <c r="AS53" i="6"/>
  <c r="N22" i="10" s="1"/>
  <c r="AT53" i="6"/>
  <c r="U120" i="4"/>
  <c r="K120" i="4"/>
  <c r="U145" i="4"/>
  <c r="K145" i="4"/>
  <c r="U159" i="4"/>
  <c r="K159" i="4"/>
  <c r="AT102" i="6"/>
  <c r="AS102" i="6"/>
  <c r="N71" i="10" s="1"/>
  <c r="U100" i="4"/>
  <c r="K100" i="4"/>
  <c r="O46" i="7"/>
  <c r="D46" i="7" s="1"/>
  <c r="N48" i="12"/>
  <c r="O72" i="7"/>
  <c r="D72" i="7" s="1"/>
  <c r="N74" i="12"/>
  <c r="K69" i="4"/>
  <c r="U69" i="4"/>
  <c r="N90" i="12"/>
  <c r="O88" i="7"/>
  <c r="D88" i="7" s="1"/>
  <c r="AS168" i="6"/>
  <c r="N137" i="10" s="1"/>
  <c r="AT168" i="6"/>
  <c r="N103" i="12"/>
  <c r="O101" i="7"/>
  <c r="D101" i="7" s="1"/>
  <c r="AT128" i="6"/>
  <c r="AS128" i="6"/>
  <c r="N97" i="10" s="1"/>
  <c r="O122" i="7"/>
  <c r="D122" i="7" s="1"/>
  <c r="N124" i="12"/>
  <c r="N151" i="12"/>
  <c r="O149" i="7"/>
  <c r="D149" i="7" s="1"/>
  <c r="AT133" i="6"/>
  <c r="AS133" i="6"/>
  <c r="N102" i="10" s="1"/>
  <c r="AS95" i="6"/>
  <c r="N64" i="10" s="1"/>
  <c r="AT95" i="6"/>
  <c r="K134" i="4"/>
  <c r="U134" i="4"/>
  <c r="AS182" i="6"/>
  <c r="N151" i="10" s="1"/>
  <c r="AT182" i="6"/>
  <c r="O98" i="7"/>
  <c r="D98" i="7" s="1"/>
  <c r="N100" i="12"/>
  <c r="O71" i="7"/>
  <c r="D71" i="7" s="1"/>
  <c r="N73" i="12"/>
  <c r="O59" i="7"/>
  <c r="D59" i="7" s="1"/>
  <c r="N61" i="12"/>
  <c r="O132" i="7"/>
  <c r="D132" i="7" s="1"/>
  <c r="N134" i="12"/>
  <c r="N121" i="12"/>
  <c r="O119" i="7"/>
  <c r="D119" i="7" s="1"/>
  <c r="AS119" i="6"/>
  <c r="N88" i="10" s="1"/>
  <c r="AT119" i="6"/>
  <c r="K186" i="4"/>
  <c r="U186" i="4"/>
  <c r="AT52" i="6"/>
  <c r="AS52" i="6"/>
  <c r="N21" i="10" s="1"/>
  <c r="U158" i="4"/>
  <c r="K158" i="4"/>
  <c r="O103" i="7"/>
  <c r="D103" i="7" s="1"/>
  <c r="N105" i="12"/>
  <c r="U86" i="4"/>
  <c r="K86" i="4"/>
  <c r="K95" i="4"/>
  <c r="U95" i="4"/>
  <c r="N7" i="12"/>
  <c r="O5" i="7"/>
  <c r="D5" i="7" s="1"/>
  <c r="AS127" i="6"/>
  <c r="N96" i="10" s="1"/>
  <c r="AT127" i="6"/>
  <c r="K110" i="4"/>
  <c r="U110" i="4"/>
  <c r="O58" i="7"/>
  <c r="D58" i="7" s="1"/>
  <c r="N60" i="12"/>
  <c r="O136" i="7"/>
  <c r="D136" i="7" s="1"/>
  <c r="N138" i="12"/>
  <c r="AS143" i="6"/>
  <c r="N112" i="10" s="1"/>
  <c r="AT143" i="6"/>
  <c r="U74" i="4"/>
  <c r="K74" i="4"/>
  <c r="K36" i="4"/>
  <c r="U36" i="4"/>
  <c r="AT138" i="6"/>
  <c r="AS138" i="6"/>
  <c r="N107" i="10" s="1"/>
  <c r="O125" i="7"/>
  <c r="D125" i="7" s="1"/>
  <c r="N127" i="12"/>
  <c r="N93" i="12"/>
  <c r="O91" i="7"/>
  <c r="D91" i="7" s="1"/>
  <c r="AT157" i="6"/>
  <c r="AS157" i="6"/>
  <c r="N126" i="10" s="1"/>
  <c r="U52" i="4"/>
  <c r="K52" i="4"/>
  <c r="N133" i="12"/>
  <c r="O131" i="7"/>
  <c r="D131" i="7" s="1"/>
  <c r="K172" i="4"/>
  <c r="U172" i="4"/>
  <c r="U106" i="4"/>
  <c r="K106" i="4"/>
  <c r="K124" i="4"/>
  <c r="U124" i="4"/>
  <c r="AT167" i="6"/>
  <c r="AS167" i="6"/>
  <c r="N136" i="10" s="1"/>
  <c r="O150" i="7"/>
  <c r="D150" i="7" s="1"/>
  <c r="N152" i="12"/>
  <c r="O82" i="7"/>
  <c r="D82" i="7" s="1"/>
  <c r="N84" i="12"/>
  <c r="O117" i="7"/>
  <c r="D117" i="7" s="1"/>
  <c r="N119" i="12"/>
  <c r="N43" i="12"/>
  <c r="O41" i="7"/>
  <c r="D41" i="7" s="1"/>
  <c r="K38" i="4"/>
  <c r="U38" i="4"/>
  <c r="AT132" i="6"/>
  <c r="AS132" i="6"/>
  <c r="N101" i="10" s="1"/>
  <c r="U129" i="4"/>
  <c r="K129" i="4"/>
  <c r="U151" i="4"/>
  <c r="K151" i="4"/>
  <c r="K156" i="4"/>
  <c r="U156" i="4"/>
  <c r="AS96" i="6"/>
  <c r="N65" i="10" s="1"/>
  <c r="AT96" i="6"/>
  <c r="O65" i="7"/>
  <c r="D65" i="7" s="1"/>
  <c r="N67" i="12"/>
  <c r="U184" i="4"/>
  <c r="K184" i="4"/>
  <c r="U139" i="4"/>
  <c r="K139" i="4"/>
  <c r="O108" i="7"/>
  <c r="D108" i="7" s="1"/>
  <c r="N110" i="12"/>
  <c r="K169" i="4"/>
  <c r="U169" i="4"/>
  <c r="AS54" i="6"/>
  <c r="N23" i="10" s="1"/>
  <c r="AT54" i="6"/>
  <c r="U117" i="4"/>
  <c r="K117" i="4"/>
  <c r="AT162" i="6"/>
  <c r="AS162" i="6"/>
  <c r="N131" i="10" s="1"/>
  <c r="N56" i="12"/>
  <c r="O54" i="7"/>
  <c r="D54" i="7" s="1"/>
  <c r="K163" i="4"/>
  <c r="U163" i="4"/>
  <c r="K103" i="4"/>
  <c r="U103" i="4"/>
  <c r="AS179" i="6"/>
  <c r="N148" i="10" s="1"/>
  <c r="AT179" i="6"/>
  <c r="AT47" i="6"/>
  <c r="AS47" i="6"/>
  <c r="N16" i="10" s="1"/>
  <c r="O141" i="7"/>
  <c r="D141" i="7" s="1"/>
  <c r="N143" i="12"/>
  <c r="AS141" i="6"/>
  <c r="N110" i="10" s="1"/>
  <c r="AT141" i="6"/>
  <c r="AT78" i="6"/>
  <c r="AS78" i="6"/>
  <c r="N47" i="10" s="1"/>
  <c r="U51" i="4"/>
  <c r="K51" i="4"/>
  <c r="U179" i="4"/>
  <c r="K179" i="4"/>
  <c r="N156" i="12"/>
  <c r="O154" i="7"/>
  <c r="D154" i="7" s="1"/>
  <c r="K96" i="4"/>
  <c r="U96" i="4"/>
  <c r="N4" i="12"/>
  <c r="AS113" i="6"/>
  <c r="N82" i="10" s="1"/>
  <c r="AT113" i="6"/>
  <c r="U37" i="4"/>
  <c r="K37" i="4"/>
  <c r="AS75" i="6"/>
  <c r="N44" i="10" s="1"/>
  <c r="AT75" i="6"/>
  <c r="U55" i="4"/>
  <c r="K55" i="4"/>
  <c r="K176" i="4"/>
  <c r="U176" i="4"/>
  <c r="O43" i="7"/>
  <c r="D43" i="7" s="1"/>
  <c r="N45" i="12"/>
  <c r="O11" i="7"/>
  <c r="D11" i="7" s="1"/>
  <c r="N13" i="12"/>
  <c r="O106" i="7"/>
  <c r="D106" i="7" s="1"/>
  <c r="N108" i="12"/>
  <c r="N53" i="12"/>
  <c r="O51" i="7"/>
  <c r="D51" i="7" s="1"/>
  <c r="AS73" i="6"/>
  <c r="N42" i="10" s="1"/>
  <c r="AT73" i="6"/>
  <c r="AT184" i="6"/>
  <c r="AS184" i="6"/>
  <c r="N153" i="10" s="1"/>
  <c r="K92" i="4"/>
  <c r="U92" i="4"/>
  <c r="N139" i="12"/>
  <c r="O137" i="7"/>
  <c r="D137" i="7" s="1"/>
  <c r="AT136" i="6"/>
  <c r="AS136" i="6"/>
  <c r="N105" i="10" s="1"/>
  <c r="K53" i="4"/>
  <c r="U53" i="4"/>
  <c r="AS166" i="6"/>
  <c r="N135" i="10" s="1"/>
  <c r="AT166" i="6"/>
  <c r="O38" i="7"/>
  <c r="D38" i="7" s="1"/>
  <c r="N40" i="12"/>
  <c r="K128" i="4"/>
  <c r="U128" i="4"/>
  <c r="AS94" i="6"/>
  <c r="N63" i="10" s="1"/>
  <c r="AT94" i="6"/>
  <c r="K136" i="4"/>
  <c r="U136" i="4"/>
  <c r="N57" i="12"/>
  <c r="O55" i="7"/>
  <c r="D55" i="7" s="1"/>
  <c r="AT46" i="6"/>
  <c r="AS46" i="6"/>
  <c r="N15" i="10" s="1"/>
  <c r="N17" i="12"/>
  <c r="O15" i="7"/>
  <c r="D15" i="7" s="1"/>
  <c r="AT105" i="6"/>
  <c r="AS105" i="6"/>
  <c r="N74" i="10" s="1"/>
  <c r="N49" i="12"/>
  <c r="O47" i="7"/>
  <c r="D47" i="7" s="1"/>
  <c r="O96" i="7"/>
  <c r="D96" i="7" s="1"/>
  <c r="N98" i="12"/>
  <c r="N146" i="12"/>
  <c r="O144" i="7"/>
  <c r="D144" i="7" s="1"/>
  <c r="O4" i="7"/>
  <c r="D4" i="7" s="1"/>
  <c r="N6" i="12"/>
  <c r="AT125" i="6"/>
  <c r="AS125" i="6"/>
  <c r="N94" i="10" s="1"/>
  <c r="K111" i="4"/>
  <c r="U111" i="4"/>
  <c r="O56" i="7"/>
  <c r="D56" i="7" s="1"/>
  <c r="N58" i="12"/>
  <c r="N136" i="12"/>
  <c r="O134" i="7"/>
  <c r="D134" i="7" s="1"/>
  <c r="AS144" i="6"/>
  <c r="N113" i="10" s="1"/>
  <c r="AT144" i="6"/>
  <c r="K76" i="4"/>
  <c r="U76" i="4"/>
  <c r="K33" i="4"/>
  <c r="U33" i="4"/>
  <c r="AS135" i="6"/>
  <c r="N104" i="10" s="1"/>
  <c r="AT135" i="6"/>
  <c r="AT80" i="6"/>
  <c r="AS80" i="6"/>
  <c r="N49" i="10" s="1"/>
  <c r="O86" i="7"/>
  <c r="D86" i="7" s="1"/>
  <c r="N88" i="12"/>
  <c r="AS156" i="6"/>
  <c r="N125" i="10" s="1"/>
  <c r="AT156" i="6"/>
  <c r="U50" i="4"/>
  <c r="K50" i="4"/>
  <c r="U85" i="4"/>
  <c r="K85" i="4"/>
  <c r="U175" i="4"/>
  <c r="K175" i="4"/>
  <c r="K107" i="4"/>
  <c r="U107" i="4"/>
  <c r="U181" i="4"/>
  <c r="K181" i="4"/>
  <c r="AS169" i="6"/>
  <c r="N138" i="10" s="1"/>
  <c r="AT169" i="6"/>
  <c r="N150" i="12"/>
  <c r="O148" i="7"/>
  <c r="D148" i="7" s="1"/>
  <c r="N83" i="12"/>
  <c r="O81" i="7"/>
  <c r="D81" i="7" s="1"/>
  <c r="N118" i="12"/>
  <c r="O116" i="7"/>
  <c r="D116" i="7" s="1"/>
  <c r="K39" i="4"/>
  <c r="U39" i="4"/>
  <c r="AT131" i="6"/>
  <c r="AS131" i="6"/>
  <c r="N100" i="10" s="1"/>
  <c r="U131" i="4"/>
  <c r="K131" i="4"/>
  <c r="N15" i="12"/>
  <c r="O13" i="7"/>
  <c r="D13" i="7" s="1"/>
  <c r="U148" i="4"/>
  <c r="K148" i="4"/>
  <c r="K153" i="4"/>
  <c r="U153" i="4"/>
  <c r="N117" i="12"/>
  <c r="O115" i="7"/>
  <c r="D115" i="7" s="1"/>
  <c r="N65" i="12"/>
  <c r="O63" i="7"/>
  <c r="D63" i="7" s="1"/>
  <c r="U182" i="4"/>
  <c r="K182" i="4"/>
  <c r="U138" i="4"/>
  <c r="K138" i="4"/>
  <c r="AT41" i="6"/>
  <c r="AS41" i="6"/>
  <c r="N10" i="10" s="1"/>
  <c r="U164" i="4"/>
  <c r="K164" i="4"/>
  <c r="AT56" i="6"/>
  <c r="AS56" i="6"/>
  <c r="N25" i="10" s="1"/>
  <c r="K142" i="4"/>
  <c r="U142" i="4"/>
  <c r="AT164" i="6"/>
  <c r="AS164" i="6"/>
  <c r="N133" i="10" s="1"/>
  <c r="N52" i="12"/>
  <c r="O50" i="7"/>
  <c r="D50" i="7" s="1"/>
  <c r="U161" i="4"/>
  <c r="K161" i="4"/>
  <c r="U102" i="4"/>
  <c r="K102" i="4"/>
  <c r="AT181" i="6"/>
  <c r="AS181" i="6"/>
  <c r="N150" i="10" s="1"/>
  <c r="AT185" i="6"/>
  <c r="AS185" i="6"/>
  <c r="N154" i="10" s="1"/>
  <c r="AS92" i="6"/>
  <c r="N61" i="10" s="1"/>
  <c r="AT92" i="6"/>
  <c r="N125" i="12"/>
  <c r="O123" i="7"/>
  <c r="D123" i="7" s="1"/>
  <c r="O121" i="7"/>
  <c r="D121" i="7" s="1"/>
  <c r="N123" i="12"/>
  <c r="AS183" i="6"/>
  <c r="N152" i="10" s="1"/>
  <c r="AT183" i="6"/>
  <c r="O138" i="7"/>
  <c r="D138" i="7" s="1"/>
  <c r="N140" i="12"/>
  <c r="N130" i="12"/>
  <c r="O128" i="7"/>
  <c r="D128" i="7" s="1"/>
  <c r="N122" i="12"/>
  <c r="O120" i="7"/>
  <c r="D120" i="7" s="1"/>
  <c r="AS121" i="6"/>
  <c r="N90" i="10" s="1"/>
  <c r="AT121" i="6"/>
  <c r="N114" i="12"/>
  <c r="O112" i="7"/>
  <c r="D112" i="7" s="1"/>
  <c r="AS55" i="6"/>
  <c r="N24" i="10" s="1"/>
  <c r="AT55" i="6"/>
  <c r="K162" i="4"/>
  <c r="U162" i="4"/>
  <c r="O152" i="7"/>
  <c r="D152" i="7" s="1"/>
  <c r="N154" i="12"/>
  <c r="AS108" i="6"/>
  <c r="N77" i="10" s="1"/>
  <c r="AT108" i="6"/>
  <c r="N9" i="12"/>
  <c r="O7" i="7"/>
  <c r="D7" i="7" s="1"/>
  <c r="AT114" i="6"/>
  <c r="AS114" i="6"/>
  <c r="N83" i="10" s="1"/>
  <c r="AT155" i="6"/>
  <c r="AS155" i="6"/>
  <c r="N124" i="10" s="1"/>
  <c r="N148" i="12"/>
  <c r="O146" i="7"/>
  <c r="D146" i="7" s="1"/>
  <c r="AS130" i="6"/>
  <c r="N99" i="10" s="1"/>
  <c r="AT130" i="6"/>
  <c r="O25" i="7"/>
  <c r="D25" i="7" s="1"/>
  <c r="N27" i="12"/>
  <c r="K166" i="4"/>
  <c r="U166" i="4"/>
  <c r="AT178" i="6"/>
  <c r="AS178" i="6"/>
  <c r="N147" i="10" s="1"/>
  <c r="N47" i="12"/>
  <c r="O45" i="7"/>
  <c r="D45" i="7" s="1"/>
  <c r="N145" i="12"/>
  <c r="O143" i="7"/>
  <c r="D143" i="7" s="1"/>
  <c r="AF46" i="4"/>
  <c r="AF45" i="4"/>
  <c r="AF48" i="4"/>
  <c r="AF47" i="4"/>
  <c r="AF44" i="4"/>
  <c r="AF49" i="4"/>
  <c r="AS49" i="6"/>
  <c r="N18" i="10" s="1"/>
  <c r="AT49" i="6"/>
  <c r="O14" i="7"/>
  <c r="D14" i="7" s="1"/>
  <c r="N16" i="12"/>
  <c r="AS106" i="6"/>
  <c r="N75" i="10" s="1"/>
  <c r="AT106" i="6"/>
  <c r="O100" i="7"/>
  <c r="D100" i="7" s="1"/>
  <c r="N102" i="12"/>
  <c r="N99" i="12"/>
  <c r="O97" i="7"/>
  <c r="D97" i="7" s="1"/>
  <c r="N144" i="12"/>
  <c r="O142" i="7"/>
  <c r="D142" i="7" s="1"/>
  <c r="O60" i="7"/>
  <c r="D60" i="7" s="1"/>
  <c r="N62" i="12"/>
  <c r="AT111" i="6"/>
  <c r="AS111" i="6"/>
  <c r="N80" i="10" s="1"/>
  <c r="U79" i="4"/>
  <c r="K79" i="4"/>
  <c r="U35" i="4"/>
  <c r="K35" i="4"/>
  <c r="AT79" i="6"/>
  <c r="AS79" i="6"/>
  <c r="N48" i="10" s="1"/>
  <c r="N92" i="12"/>
  <c r="O90" i="7"/>
  <c r="D90" i="7" s="1"/>
  <c r="AS158" i="6"/>
  <c r="N127" i="10" s="1"/>
  <c r="AT158" i="6"/>
  <c r="U82" i="4"/>
  <c r="K82" i="4"/>
  <c r="K174" i="4"/>
  <c r="U174" i="4"/>
  <c r="U108" i="4"/>
  <c r="K108" i="4"/>
  <c r="K177" i="4"/>
  <c r="U177" i="4"/>
  <c r="AS170" i="6"/>
  <c r="N139" i="10" s="1"/>
  <c r="AT170" i="6"/>
  <c r="O147" i="7"/>
  <c r="D147" i="7" s="1"/>
  <c r="N149" i="12"/>
  <c r="N85" i="12"/>
  <c r="O83" i="7"/>
  <c r="D83" i="7" s="1"/>
  <c r="N81" i="12"/>
  <c r="O79" i="7"/>
  <c r="D79" i="7" s="1"/>
  <c r="U42" i="4"/>
  <c r="K42" i="4"/>
  <c r="AS129" i="6"/>
  <c r="N98" i="10" s="1"/>
  <c r="AT129" i="6"/>
  <c r="AT117" i="6"/>
  <c r="AS117" i="6"/>
  <c r="N86" i="10" s="1"/>
  <c r="N14" i="12"/>
  <c r="O12" i="7"/>
  <c r="D12" i="7" s="1"/>
  <c r="K149" i="4"/>
  <c r="U149" i="4"/>
  <c r="K152" i="4"/>
  <c r="U152" i="4"/>
  <c r="N22" i="12"/>
  <c r="O20" i="7"/>
  <c r="D20" i="7" s="1"/>
  <c r="O113" i="7"/>
  <c r="D113" i="7" s="1"/>
  <c r="N115" i="12"/>
  <c r="N64" i="12"/>
  <c r="O62" i="7"/>
  <c r="D62" i="7" s="1"/>
  <c r="U183" i="4"/>
  <c r="K183" i="4"/>
  <c r="AS40" i="6"/>
  <c r="N9" i="10" s="1"/>
  <c r="AT40" i="6"/>
  <c r="K168" i="4"/>
  <c r="U168" i="4"/>
  <c r="AS51" i="6"/>
  <c r="N20" i="10" s="1"/>
  <c r="AT51" i="6"/>
  <c r="K140" i="4"/>
  <c r="U140" i="4"/>
  <c r="AT160" i="6"/>
  <c r="AS160" i="6"/>
  <c r="N129" i="10" s="1"/>
  <c r="N55" i="12"/>
  <c r="O53" i="7"/>
  <c r="D53" i="7" s="1"/>
  <c r="AT100" i="6"/>
  <c r="AS100" i="6"/>
  <c r="N69" i="10" s="1"/>
  <c r="K99" i="4"/>
  <c r="U99" i="4"/>
  <c r="AT177" i="6"/>
  <c r="AS177" i="6"/>
  <c r="N146" i="10" s="1"/>
  <c r="AS148" i="6"/>
  <c r="N117" i="10" s="1"/>
  <c r="AT148" i="6"/>
  <c r="O155" i="7"/>
  <c r="D155" i="7" s="1"/>
  <c r="N157" i="12"/>
  <c r="O94" i="7"/>
  <c r="D94" i="7" s="1"/>
  <c r="N96" i="12"/>
  <c r="AS123" i="6"/>
  <c r="N92" i="10" s="1"/>
  <c r="AT123" i="6"/>
  <c r="O61" i="7"/>
  <c r="D61" i="7" s="1"/>
  <c r="N63" i="12"/>
  <c r="AT112" i="6"/>
  <c r="AS112" i="6"/>
  <c r="N81" i="10" s="1"/>
  <c r="U75" i="4"/>
  <c r="K75" i="4"/>
  <c r="N135" i="12"/>
  <c r="O133" i="7"/>
  <c r="D133" i="7" s="1"/>
  <c r="U81" i="4"/>
  <c r="K81" i="4"/>
  <c r="U126" i="4"/>
  <c r="K126" i="4"/>
  <c r="AS150" i="6"/>
  <c r="N119" i="10" s="1"/>
  <c r="AT150" i="6"/>
  <c r="AT70" i="6"/>
  <c r="AS70" i="6"/>
  <c r="N39" i="10" s="1"/>
  <c r="N19" i="12"/>
  <c r="O17" i="7"/>
  <c r="D17" i="7" s="1"/>
  <c r="AS110" i="6"/>
  <c r="N79" i="10" s="1"/>
  <c r="AT110" i="6"/>
  <c r="N71" i="12"/>
  <c r="O69" i="7"/>
  <c r="D69" i="7" s="1"/>
  <c r="K68" i="4"/>
  <c r="U68" i="4"/>
  <c r="AT145" i="6"/>
  <c r="AS145" i="6"/>
  <c r="N114" i="10" s="1"/>
  <c r="AS140" i="6"/>
  <c r="N109" i="10" s="1"/>
  <c r="AT140" i="6"/>
  <c r="AT153" i="6"/>
  <c r="AS153" i="6"/>
  <c r="N122" i="10" s="1"/>
  <c r="K80" i="4"/>
  <c r="U80" i="4"/>
  <c r="K109" i="4"/>
  <c r="U109" i="4"/>
  <c r="U122" i="4"/>
  <c r="K122" i="4"/>
  <c r="O80" i="7"/>
  <c r="D80" i="7" s="1"/>
  <c r="N82" i="12"/>
  <c r="N79" i="12"/>
  <c r="O77" i="7"/>
  <c r="D77" i="7" s="1"/>
  <c r="K130" i="4"/>
  <c r="U130" i="4"/>
  <c r="U154" i="4"/>
  <c r="K154" i="4"/>
  <c r="O22" i="7"/>
  <c r="D22" i="7" s="1"/>
  <c r="N24" i="12"/>
  <c r="U187" i="4"/>
  <c r="K187" i="4"/>
  <c r="AT43" i="6"/>
  <c r="AS43" i="6"/>
  <c r="N12" i="10" s="1"/>
  <c r="K121" i="4"/>
  <c r="U121" i="4"/>
  <c r="K143" i="4"/>
  <c r="U143" i="4"/>
  <c r="AT103" i="6"/>
  <c r="AS103" i="6"/>
  <c r="N72" i="10" s="1"/>
  <c r="AS152" i="6"/>
  <c r="N121" i="10" s="1"/>
  <c r="AT152" i="6"/>
  <c r="O44" i="7"/>
  <c r="D44" i="7" s="1"/>
  <c r="N46" i="12"/>
  <c r="O16" i="7"/>
  <c r="D16" i="7" s="1"/>
  <c r="N18" i="12"/>
  <c r="O93" i="7"/>
  <c r="D93" i="7" s="1"/>
  <c r="N95" i="12"/>
  <c r="O145" i="7"/>
  <c r="D145" i="7" s="1"/>
  <c r="N147" i="12"/>
  <c r="AT124" i="6"/>
  <c r="AS124" i="6"/>
  <c r="N93" i="10" s="1"/>
  <c r="U73" i="4"/>
  <c r="K73" i="4"/>
  <c r="AT146" i="6"/>
  <c r="AS146" i="6"/>
  <c r="N115" i="10" s="1"/>
  <c r="U34" i="4"/>
  <c r="K34" i="4"/>
  <c r="O126" i="7"/>
  <c r="D126" i="7" s="1"/>
  <c r="N128" i="12"/>
  <c r="U170" i="4"/>
  <c r="K170" i="4"/>
  <c r="U105" i="4"/>
  <c r="K105" i="4"/>
  <c r="U125" i="4"/>
  <c r="K125" i="4"/>
  <c r="N86" i="12"/>
  <c r="O84" i="7"/>
  <c r="D84" i="7" s="1"/>
  <c r="O74" i="7"/>
  <c r="D74" i="7" s="1"/>
  <c r="N76" i="12"/>
  <c r="K147" i="4"/>
  <c r="U147" i="4"/>
  <c r="K155" i="4"/>
  <c r="U155" i="4"/>
  <c r="N111" i="12"/>
  <c r="O109" i="7"/>
  <c r="D109" i="7" s="1"/>
  <c r="K116" i="4"/>
  <c r="U116" i="4"/>
  <c r="AS159" i="6"/>
  <c r="N128" i="10" s="1"/>
  <c r="AT159" i="6"/>
  <c r="AS99" i="6"/>
  <c r="N68" i="10" s="1"/>
  <c r="AT99" i="6"/>
  <c r="AT149" i="6"/>
  <c r="AS149" i="6"/>
  <c r="N118" i="10" s="1"/>
  <c r="O156" i="7"/>
  <c r="D156" i="7" s="1"/>
  <c r="N158" i="12"/>
  <c r="N94" i="12"/>
  <c r="O92" i="7"/>
  <c r="D92" i="7" s="1"/>
  <c r="AS88" i="6"/>
  <c r="N57" i="10" s="1"/>
  <c r="AT88" i="6"/>
  <c r="AS147" i="6"/>
  <c r="N116" i="10" s="1"/>
  <c r="AT147" i="6"/>
  <c r="O99" i="7"/>
  <c r="D99" i="7" s="1"/>
  <c r="N101" i="12"/>
  <c r="O157" i="7"/>
  <c r="D157" i="7" s="1"/>
  <c r="N159" i="12"/>
  <c r="U90" i="4"/>
  <c r="K90" i="4"/>
  <c r="AT91" i="6"/>
  <c r="AS91" i="6"/>
  <c r="N60" i="10" s="1"/>
  <c r="O82" i="6"/>
  <c r="O81" i="6"/>
  <c r="O84" i="6"/>
  <c r="O86" i="6"/>
  <c r="O83" i="6"/>
  <c r="O85" i="6"/>
  <c r="AS69" i="6"/>
  <c r="N38" i="10" s="1"/>
  <c r="AT69" i="6"/>
  <c r="AT48" i="6"/>
  <c r="AS48" i="6"/>
  <c r="N17" i="10" s="1"/>
  <c r="N50" i="12"/>
  <c r="O48" i="7"/>
  <c r="D48" i="7" s="1"/>
  <c r="N20" i="12"/>
  <c r="O18" i="7"/>
  <c r="D18" i="7" s="1"/>
  <c r="AS186" i="6"/>
  <c r="N155" i="10" s="1"/>
  <c r="AT186" i="6"/>
  <c r="U87" i="4"/>
  <c r="K87" i="4"/>
  <c r="AS107" i="6"/>
  <c r="N76" i="10" s="1"/>
  <c r="AT107" i="6"/>
  <c r="O73" i="7"/>
  <c r="D73" i="7" s="1"/>
  <c r="N75" i="12"/>
  <c r="AT89" i="6"/>
  <c r="AS89" i="6"/>
  <c r="N58" i="10" s="1"/>
  <c r="N8" i="12"/>
  <c r="O6" i="7"/>
  <c r="D6" i="7" s="1"/>
  <c r="U70" i="4"/>
  <c r="K70" i="4"/>
  <c r="K115" i="4"/>
  <c r="U115" i="4"/>
  <c r="O139" i="7"/>
  <c r="D139" i="7" s="1"/>
  <c r="N141" i="12"/>
  <c r="O171" i="6"/>
  <c r="O174" i="6"/>
  <c r="O172" i="6"/>
  <c r="O176" i="6"/>
  <c r="O175" i="6"/>
  <c r="O173" i="6"/>
  <c r="AS71" i="6"/>
  <c r="N40" i="10" s="1"/>
  <c r="AT71" i="6"/>
  <c r="AS45" i="6"/>
  <c r="N14" i="10" s="1"/>
  <c r="AT45" i="6"/>
  <c r="O49" i="7"/>
  <c r="D49" i="7" s="1"/>
  <c r="N51" i="12"/>
  <c r="O102" i="7"/>
  <c r="D102" i="7" s="1"/>
  <c r="N104" i="12"/>
  <c r="AS188" i="6"/>
  <c r="N157" i="10" s="1"/>
  <c r="AT188" i="6"/>
  <c r="K89" i="4"/>
  <c r="U89" i="4"/>
  <c r="O95" i="7"/>
  <c r="D95" i="7" s="1"/>
  <c r="N97" i="12"/>
  <c r="U97" i="4"/>
  <c r="K97" i="4"/>
  <c r="N70" i="12"/>
  <c r="O68" i="7"/>
  <c r="D68" i="7" s="1"/>
  <c r="AT87" i="6"/>
  <c r="AS87" i="6"/>
  <c r="N56" i="10" s="1"/>
  <c r="N142" i="12"/>
  <c r="O140" i="7"/>
  <c r="D140" i="7" s="1"/>
  <c r="N5" i="12"/>
  <c r="O3" i="7"/>
  <c r="D3" i="7" s="1"/>
  <c r="U71" i="4"/>
  <c r="K71" i="4"/>
  <c r="K113" i="4"/>
  <c r="U113" i="4"/>
  <c r="O57" i="7"/>
  <c r="D57" i="7" s="1"/>
  <c r="N59" i="12"/>
  <c r="O135" i="7"/>
  <c r="D135" i="7" s="1"/>
  <c r="N137" i="12"/>
  <c r="AT116" i="6"/>
  <c r="AS116" i="6"/>
  <c r="N85" i="10" s="1"/>
  <c r="K77" i="4"/>
  <c r="U77" i="4"/>
  <c r="U32" i="4"/>
  <c r="K32" i="4"/>
  <c r="N129" i="12"/>
  <c r="O127" i="7"/>
  <c r="D127" i="7" s="1"/>
  <c r="AT76" i="6"/>
  <c r="AS76" i="6"/>
  <c r="N45" i="10" s="1"/>
  <c r="N91" i="12"/>
  <c r="O89" i="7"/>
  <c r="D89" i="7" s="1"/>
  <c r="AT154" i="6"/>
  <c r="AS154" i="6"/>
  <c r="N123" i="10" s="1"/>
  <c r="N131" i="12"/>
  <c r="O129" i="7"/>
  <c r="D129" i="7" s="1"/>
  <c r="K83" i="4"/>
  <c r="U83" i="4"/>
  <c r="K173" i="4"/>
  <c r="U173" i="4"/>
  <c r="K127" i="4"/>
  <c r="U127" i="4"/>
  <c r="U178" i="4"/>
  <c r="K178" i="4"/>
  <c r="AS165" i="6"/>
  <c r="N134" i="10" s="1"/>
  <c r="AT165" i="6"/>
  <c r="O151" i="7"/>
  <c r="D151" i="7" s="1"/>
  <c r="N153" i="12"/>
  <c r="N42" i="12"/>
  <c r="O40" i="7"/>
  <c r="D40" i="7" s="1"/>
  <c r="N78" i="12"/>
  <c r="O76" i="7"/>
  <c r="D76" i="7" s="1"/>
  <c r="K43" i="4"/>
  <c r="U43" i="4"/>
  <c r="AS134" i="6"/>
  <c r="N103" i="10" s="1"/>
  <c r="AT134" i="6"/>
  <c r="AT122" i="6"/>
  <c r="AS122" i="6"/>
  <c r="N91" i="10" s="1"/>
  <c r="N12" i="12"/>
  <c r="O10" i="7"/>
  <c r="D10" i="7" s="1"/>
  <c r="U146" i="4"/>
  <c r="K146" i="4"/>
  <c r="AT93" i="6"/>
  <c r="AS93" i="6"/>
  <c r="N62" i="10" s="1"/>
  <c r="N26" i="12"/>
  <c r="O24" i="7"/>
  <c r="D24" i="7" s="1"/>
  <c r="O111" i="7"/>
  <c r="D111" i="7" s="1"/>
  <c r="N113" i="12"/>
  <c r="O67" i="7"/>
  <c r="D67" i="7" s="1"/>
  <c r="N69" i="12"/>
  <c r="U185" i="4"/>
  <c r="K185" i="4"/>
  <c r="O104" i="7"/>
  <c r="D104" i="7" s="1"/>
  <c r="N106" i="12"/>
  <c r="AS42" i="6"/>
  <c r="N11" i="10" s="1"/>
  <c r="AT42" i="6"/>
  <c r="U167" i="4"/>
  <c r="K167" i="4"/>
  <c r="U118" i="4"/>
  <c r="K118" i="4"/>
  <c r="K144" i="4"/>
  <c r="U144" i="4"/>
  <c r="AS163" i="6"/>
  <c r="N132" i="10" s="1"/>
  <c r="AT163" i="6"/>
  <c r="O52" i="7"/>
  <c r="D52" i="7" s="1"/>
  <c r="N54" i="12"/>
  <c r="AS101" i="6"/>
  <c r="N70" i="10" s="1"/>
  <c r="AT101" i="6"/>
  <c r="K98" i="4"/>
  <c r="U98" i="4"/>
  <c r="AT180" i="6"/>
  <c r="AS180" i="6"/>
  <c r="N149" i="10" s="1"/>
  <c r="AU40" i="6" l="1"/>
  <c r="AQ176" i="6"/>
  <c r="AR176" i="6"/>
  <c r="M145" i="10" s="1"/>
  <c r="AQ81" i="6"/>
  <c r="AR81" i="6"/>
  <c r="M50" i="10" s="1"/>
  <c r="AQ173" i="6"/>
  <c r="AR173" i="6"/>
  <c r="M142" i="10" s="1"/>
  <c r="AQ82" i="6"/>
  <c r="AR82" i="6"/>
  <c r="M51" i="10" s="1"/>
  <c r="AR175" i="6"/>
  <c r="M144" i="10" s="1"/>
  <c r="AQ175" i="6"/>
  <c r="AQ172" i="6"/>
  <c r="AR172" i="6"/>
  <c r="M141" i="10" s="1"/>
  <c r="AQ83" i="6"/>
  <c r="AR83" i="6"/>
  <c r="M52" i="10" s="1"/>
  <c r="AQ86" i="6"/>
  <c r="AR86" i="6"/>
  <c r="M55" i="10" s="1"/>
  <c r="AQ84" i="6"/>
  <c r="AR84" i="6"/>
  <c r="M53" i="10" s="1"/>
  <c r="AQ174" i="6"/>
  <c r="AR174" i="6"/>
  <c r="M143" i="10" s="1"/>
  <c r="AQ171" i="6"/>
  <c r="AR171" i="6"/>
  <c r="M140" i="10" s="1"/>
  <c r="AQ85" i="6"/>
  <c r="AR85" i="6"/>
  <c r="M54" i="10" s="1"/>
  <c r="X36" i="5"/>
  <c r="Y36" i="5" s="1"/>
  <c r="R103" i="12"/>
  <c r="R105" i="12"/>
  <c r="J171" i="12" s="1"/>
  <c r="BI89" i="4"/>
  <c r="BI115" i="4"/>
  <c r="BI174" i="4"/>
  <c r="BI185" i="4"/>
  <c r="BI54" i="4"/>
  <c r="BI141" i="4"/>
  <c r="BI88" i="4"/>
  <c r="BI144" i="4"/>
  <c r="BI103" i="4"/>
  <c r="BI172" i="4"/>
  <c r="BI36" i="4"/>
  <c r="BI110" i="4"/>
  <c r="BI186" i="4"/>
  <c r="BI133" i="4"/>
  <c r="BI146" i="4"/>
  <c r="BI178" i="4"/>
  <c r="BI97" i="4"/>
  <c r="BI70" i="4"/>
  <c r="BI187" i="4"/>
  <c r="BI42" i="4"/>
  <c r="BI82" i="4"/>
  <c r="BI79" i="4"/>
  <c r="BI102" i="4"/>
  <c r="BI138" i="4"/>
  <c r="BI175" i="4"/>
  <c r="BI37" i="4"/>
  <c r="BI179" i="4"/>
  <c r="BI139" i="4"/>
  <c r="BI129" i="4"/>
  <c r="BI159" i="4"/>
  <c r="BI78" i="4"/>
  <c r="BI160" i="4"/>
  <c r="BI119" i="4"/>
  <c r="BI155" i="4"/>
  <c r="BI80" i="4"/>
  <c r="BI162" i="4"/>
  <c r="BI107" i="4"/>
  <c r="BI33" i="4"/>
  <c r="BI111" i="4"/>
  <c r="BI38" i="4"/>
  <c r="BI148" i="4"/>
  <c r="BI52" i="4"/>
  <c r="BI76" i="4"/>
  <c r="BI176" i="4"/>
  <c r="BI69" i="4"/>
  <c r="BI91" i="4"/>
  <c r="BI98" i="4"/>
  <c r="BI121" i="4"/>
  <c r="BI149" i="4"/>
  <c r="BI177" i="4"/>
  <c r="BI39" i="4"/>
  <c r="BI128" i="4"/>
  <c r="BI96" i="4"/>
  <c r="BI163" i="4"/>
  <c r="BI169" i="4"/>
  <c r="BI95" i="4"/>
  <c r="BI180" i="4"/>
  <c r="BI112" i="4"/>
  <c r="BI94" i="4"/>
  <c r="BI101" i="4"/>
  <c r="BI165" i="4"/>
  <c r="BI40" i="4"/>
  <c r="BI114" i="4"/>
  <c r="BI83" i="4"/>
  <c r="BI77" i="4"/>
  <c r="BI71" i="4"/>
  <c r="BI170" i="4"/>
  <c r="BI35" i="4"/>
  <c r="BI151" i="4"/>
  <c r="BI104" i="4"/>
  <c r="BI147" i="4"/>
  <c r="BI143" i="4"/>
  <c r="BI41" i="4"/>
  <c r="BI84" i="4"/>
  <c r="BI127" i="4"/>
  <c r="BI118" i="4"/>
  <c r="BI87" i="4"/>
  <c r="BI90" i="4"/>
  <c r="BI125" i="4"/>
  <c r="BI73" i="4"/>
  <c r="BI122" i="4"/>
  <c r="BI126" i="4"/>
  <c r="BI75" i="4"/>
  <c r="BI183" i="4"/>
  <c r="BI161" i="4"/>
  <c r="BI164" i="4"/>
  <c r="BI182" i="4"/>
  <c r="BI85" i="4"/>
  <c r="BI55" i="4"/>
  <c r="BI51" i="4"/>
  <c r="BI184" i="4"/>
  <c r="BI74" i="4"/>
  <c r="BI158" i="4"/>
  <c r="BI100" i="4"/>
  <c r="BI145" i="4"/>
  <c r="BI135" i="4"/>
  <c r="BI43" i="4"/>
  <c r="BI140" i="4"/>
  <c r="BI92" i="4"/>
  <c r="BI132" i="4"/>
  <c r="BI106" i="4"/>
  <c r="BI150" i="4"/>
  <c r="BI116" i="4"/>
  <c r="BI130" i="4"/>
  <c r="BI99" i="4"/>
  <c r="BI152" i="4"/>
  <c r="BI173" i="4"/>
  <c r="BI113" i="4"/>
  <c r="BI109" i="4"/>
  <c r="BI68" i="4"/>
  <c r="BI168" i="4"/>
  <c r="BI166" i="4"/>
  <c r="BI142" i="4"/>
  <c r="BI153" i="4"/>
  <c r="BI136" i="4"/>
  <c r="BI53" i="4"/>
  <c r="BI156" i="4"/>
  <c r="BI124" i="4"/>
  <c r="BI157" i="4"/>
  <c r="BI72" i="4"/>
  <c r="BI171" i="4"/>
  <c r="BI134" i="4"/>
  <c r="BI154" i="4"/>
  <c r="BI167" i="4"/>
  <c r="BI105" i="4"/>
  <c r="BI34" i="4"/>
  <c r="BI81" i="4"/>
  <c r="BI108" i="4"/>
  <c r="BI131" i="4"/>
  <c r="BI181" i="4"/>
  <c r="BI50" i="4"/>
  <c r="BI117" i="4"/>
  <c r="BI86" i="4"/>
  <c r="BI120" i="4"/>
  <c r="BI123" i="4"/>
  <c r="BI137" i="4"/>
  <c r="BI93" i="4"/>
  <c r="R46" i="12"/>
  <c r="R94" i="12"/>
  <c r="R73" i="12"/>
  <c r="R90" i="12"/>
  <c r="R74" i="12"/>
  <c r="R66" i="12"/>
  <c r="R86" i="12"/>
  <c r="R82" i="12"/>
  <c r="R55" i="12"/>
  <c r="R85" i="12"/>
  <c r="R47" i="12"/>
  <c r="R25" i="12"/>
  <c r="R95" i="12"/>
  <c r="R19" i="12"/>
  <c r="R98" i="12"/>
  <c r="R4" i="12"/>
  <c r="R67" i="12"/>
  <c r="R61" i="12"/>
  <c r="R11" i="12"/>
  <c r="R23" i="12"/>
  <c r="R42" i="12"/>
  <c r="R52" i="12"/>
  <c r="R80" i="12"/>
  <c r="R27" i="12"/>
  <c r="R62" i="12"/>
  <c r="R17" i="12"/>
  <c r="R7" i="12"/>
  <c r="R89" i="12"/>
  <c r="R22" i="12"/>
  <c r="R93" i="12"/>
  <c r="R53" i="12"/>
  <c r="R78" i="12"/>
  <c r="R92" i="12"/>
  <c r="R54" i="12"/>
  <c r="R59" i="12"/>
  <c r="R16" i="12"/>
  <c r="R9" i="12"/>
  <c r="R83" i="12"/>
  <c r="R75" i="12"/>
  <c r="R64" i="12"/>
  <c r="R40" i="12"/>
  <c r="R45" i="12"/>
  <c r="R70" i="12"/>
  <c r="R69" i="12"/>
  <c r="R26" i="12"/>
  <c r="R63" i="12"/>
  <c r="R84" i="12"/>
  <c r="R44" i="12"/>
  <c r="R5" i="12"/>
  <c r="R51" i="12"/>
  <c r="R12" i="12"/>
  <c r="R91" i="12"/>
  <c r="R20" i="12"/>
  <c r="R24" i="12"/>
  <c r="R58" i="12"/>
  <c r="R49" i="12"/>
  <c r="AS175" i="6"/>
  <c r="N144" i="10" s="1"/>
  <c r="AT175" i="6"/>
  <c r="AV81" i="4" a="1"/>
  <c r="AV81" i="4" s="1"/>
  <c r="AA72" i="1" s="1"/>
  <c r="BH81" i="4"/>
  <c r="AT81" i="4" a="1"/>
  <c r="AT81" i="4" s="1"/>
  <c r="Y72" i="1" s="1"/>
  <c r="AU81" i="4" a="1"/>
  <c r="AU81" i="4" s="1"/>
  <c r="Z72" i="1" s="1"/>
  <c r="AQ81" i="4" a="1"/>
  <c r="AQ81" i="4" s="1"/>
  <c r="V72" i="1" s="1"/>
  <c r="AP81" i="4" a="1"/>
  <c r="AP81" i="4" s="1"/>
  <c r="U72" i="1" s="1"/>
  <c r="AO81" i="4" a="1"/>
  <c r="AO81" i="4" s="1"/>
  <c r="T72" i="1" s="1"/>
  <c r="AR81" i="4" a="1"/>
  <c r="AR81" i="4" s="1"/>
  <c r="W72" i="1" s="1"/>
  <c r="AS81" i="4" a="1"/>
  <c r="AS81" i="4" s="1"/>
  <c r="X72" i="1" s="1"/>
  <c r="L80" i="10"/>
  <c r="AU111" i="6"/>
  <c r="W131" i="5"/>
  <c r="Z131" i="5" s="1"/>
  <c r="B97" i="7"/>
  <c r="X131" i="5"/>
  <c r="T131" i="5"/>
  <c r="AR102" i="4" a="1"/>
  <c r="AR102" i="4" s="1"/>
  <c r="W99" i="1" s="1"/>
  <c r="AS102" i="4" a="1"/>
  <c r="AS102" i="4" s="1"/>
  <c r="X99" i="1" s="1"/>
  <c r="AT102" i="4" a="1"/>
  <c r="AT102" i="4" s="1"/>
  <c r="Y99" i="1" s="1"/>
  <c r="AO102" i="4" a="1"/>
  <c r="AO102" i="4" s="1"/>
  <c r="T99" i="1" s="1"/>
  <c r="AP102" i="4" a="1"/>
  <c r="AP102" i="4" s="1"/>
  <c r="U99" i="1" s="1"/>
  <c r="AQ102" i="4" a="1"/>
  <c r="AQ102" i="4" s="1"/>
  <c r="V99" i="1" s="1"/>
  <c r="BH102" i="4"/>
  <c r="L100" i="10"/>
  <c r="AU131" i="6"/>
  <c r="R118" i="12"/>
  <c r="B116" i="7"/>
  <c r="W150" i="5"/>
  <c r="Z150" i="5" s="1"/>
  <c r="T150" i="5"/>
  <c r="O118" i="12" s="1"/>
  <c r="X150" i="5"/>
  <c r="W132" i="5"/>
  <c r="Z132" i="5" s="1"/>
  <c r="B98" i="7"/>
  <c r="X132" i="5"/>
  <c r="T132" i="5"/>
  <c r="L64" i="10"/>
  <c r="AU95" i="6"/>
  <c r="L137" i="10"/>
  <c r="AU168" i="6"/>
  <c r="AQ69" i="4" a="1"/>
  <c r="AQ69" i="4" s="1"/>
  <c r="V56" i="1" s="1"/>
  <c r="AR69" i="4" a="1"/>
  <c r="AR69" i="4" s="1"/>
  <c r="W56" i="1" s="1"/>
  <c r="AP69" i="4" a="1"/>
  <c r="AP69" i="4" s="1"/>
  <c r="U56" i="1" s="1"/>
  <c r="BH69" i="4"/>
  <c r="AO69" i="4" a="1"/>
  <c r="AO69" i="4" s="1"/>
  <c r="T56" i="1" s="1"/>
  <c r="W109" i="5"/>
  <c r="Z109" i="5" s="1"/>
  <c r="T109" i="5"/>
  <c r="X109" i="5"/>
  <c r="B75" i="7"/>
  <c r="W73" i="5"/>
  <c r="Z73" i="5" s="1"/>
  <c r="T73" i="5"/>
  <c r="X73" i="5"/>
  <c r="B39" i="7"/>
  <c r="AV104" i="4" a="1"/>
  <c r="AV104" i="4" s="1"/>
  <c r="AR104" i="4" a="1"/>
  <c r="AR104" i="4" s="1"/>
  <c r="AP104" i="4" a="1"/>
  <c r="AP104" i="4" s="1"/>
  <c r="AS104" i="4" a="1"/>
  <c r="AS104" i="4" s="1"/>
  <c r="AO104" i="4" a="1"/>
  <c r="AO104" i="4" s="1"/>
  <c r="BH104" i="4"/>
  <c r="AQ104" i="4" a="1"/>
  <c r="AQ104" i="4" s="1"/>
  <c r="AT104" i="4" a="1"/>
  <c r="AT104" i="4" s="1"/>
  <c r="AU104" i="4" a="1"/>
  <c r="AU104" i="4" s="1"/>
  <c r="B130" i="7"/>
  <c r="T164" i="5"/>
  <c r="O132" i="12" s="1"/>
  <c r="W164" i="5"/>
  <c r="Z164" i="5" s="1"/>
  <c r="X164" i="5"/>
  <c r="AQ78" i="4" a="1"/>
  <c r="AQ78" i="4" s="1"/>
  <c r="V67" i="1" s="1"/>
  <c r="AT78" i="4" a="1"/>
  <c r="AT78" i="4" s="1"/>
  <c r="Y67" i="1" s="1"/>
  <c r="AS78" i="4" a="1"/>
  <c r="AS78" i="4" s="1"/>
  <c r="X67" i="1" s="1"/>
  <c r="BH78" i="4"/>
  <c r="AP78" i="4" a="1"/>
  <c r="AP78" i="4" s="1"/>
  <c r="U67" i="1" s="1"/>
  <c r="AO78" i="4" a="1"/>
  <c r="AO78" i="4" s="1"/>
  <c r="T67" i="1" s="1"/>
  <c r="AR78" i="4" a="1"/>
  <c r="AR78" i="4" s="1"/>
  <c r="W67" i="1" s="1"/>
  <c r="L95" i="10"/>
  <c r="AU126" i="6"/>
  <c r="L78" i="10"/>
  <c r="AU109" i="6"/>
  <c r="T53" i="5"/>
  <c r="W53" i="5"/>
  <c r="Z53" i="5" s="1"/>
  <c r="B19" i="7"/>
  <c r="X53" i="5"/>
  <c r="W139" i="5"/>
  <c r="Z139" i="5" s="1"/>
  <c r="B105" i="7"/>
  <c r="X139" i="5"/>
  <c r="T139" i="5"/>
  <c r="O107" i="12" s="1"/>
  <c r="L67" i="10"/>
  <c r="AU98" i="6"/>
  <c r="AR93" i="4" a="1"/>
  <c r="AR93" i="4" s="1"/>
  <c r="W88" i="1" s="1"/>
  <c r="BH93" i="4"/>
  <c r="AQ93" i="4" a="1"/>
  <c r="AQ93" i="4" s="1"/>
  <c r="V88" i="1" s="1"/>
  <c r="AO93" i="4" a="1"/>
  <c r="AO93" i="4" s="1"/>
  <c r="T88" i="1" s="1"/>
  <c r="AP93" i="4" a="1"/>
  <c r="AP93" i="4" s="1"/>
  <c r="U88" i="1" s="1"/>
  <c r="L132" i="10"/>
  <c r="AU163" i="6"/>
  <c r="L11" i="10"/>
  <c r="AU42" i="6"/>
  <c r="L134" i="10"/>
  <c r="AU165" i="6"/>
  <c r="AR83" i="4" a="1"/>
  <c r="AR83" i="4" s="1"/>
  <c r="W74" i="1" s="1"/>
  <c r="AO83" i="4" a="1"/>
  <c r="AO83" i="4" s="1"/>
  <c r="T74" i="1" s="1"/>
  <c r="BH83" i="4"/>
  <c r="AQ83" i="4" a="1"/>
  <c r="AQ83" i="4" s="1"/>
  <c r="V74" i="1" s="1"/>
  <c r="AU83" i="4" a="1"/>
  <c r="AU83" i="4" s="1"/>
  <c r="Z74" i="1" s="1"/>
  <c r="AP83" i="4" a="1"/>
  <c r="AP83" i="4" s="1"/>
  <c r="U74" i="1" s="1"/>
  <c r="AS83" i="4" a="1"/>
  <c r="AS83" i="4" s="1"/>
  <c r="X74" i="1" s="1"/>
  <c r="AV83" i="4" a="1"/>
  <c r="AV83" i="4" s="1"/>
  <c r="AA74" i="1" s="1"/>
  <c r="AT83" i="4" a="1"/>
  <c r="AT83" i="4" s="1"/>
  <c r="Y74" i="1" s="1"/>
  <c r="L45" i="10"/>
  <c r="AU76" i="6"/>
  <c r="AO32" i="4" a="1"/>
  <c r="AO32" i="4" s="1"/>
  <c r="BH32" i="4"/>
  <c r="AP32" i="4" a="1"/>
  <c r="AP32" i="4" s="1"/>
  <c r="L157" i="10"/>
  <c r="AU188" i="6"/>
  <c r="L14" i="10"/>
  <c r="AU45" i="6"/>
  <c r="AS176" i="6"/>
  <c r="N145" i="10" s="1"/>
  <c r="AT176" i="6"/>
  <c r="T82" i="5"/>
  <c r="B48" i="7"/>
  <c r="X82" i="5"/>
  <c r="W82" i="5"/>
  <c r="Z82" i="5" s="1"/>
  <c r="L38" i="10"/>
  <c r="AU69" i="6"/>
  <c r="AT82" i="6"/>
  <c r="AS82" i="6"/>
  <c r="N51" i="10" s="1"/>
  <c r="L118" i="10"/>
  <c r="AU149" i="6"/>
  <c r="W111" i="5"/>
  <c r="Z111" i="5" s="1"/>
  <c r="T111" i="5"/>
  <c r="B77" i="7"/>
  <c r="X111" i="5"/>
  <c r="L122" i="10"/>
  <c r="AU153" i="6"/>
  <c r="T128" i="5"/>
  <c r="X128" i="5"/>
  <c r="W128" i="5"/>
  <c r="Z128" i="5" s="1"/>
  <c r="B94" i="7"/>
  <c r="R115" i="12"/>
  <c r="T147" i="5"/>
  <c r="O115" i="12" s="1"/>
  <c r="B113" i="7"/>
  <c r="X147" i="5"/>
  <c r="W147" i="5"/>
  <c r="Z147" i="5" s="1"/>
  <c r="AV82" i="4" a="1"/>
  <c r="AV82" i="4" s="1"/>
  <c r="AA73" i="1" s="1"/>
  <c r="AO82" i="4" a="1"/>
  <c r="AO82" i="4" s="1"/>
  <c r="T73" i="1" s="1"/>
  <c r="AT82" i="4" a="1"/>
  <c r="AT82" i="4" s="1"/>
  <c r="Y73" i="1" s="1"/>
  <c r="BH82" i="4"/>
  <c r="AS82" i="4" a="1"/>
  <c r="AS82" i="4" s="1"/>
  <c r="X73" i="1" s="1"/>
  <c r="AU82" i="4" a="1"/>
  <c r="AU82" i="4" s="1"/>
  <c r="Z73" i="1" s="1"/>
  <c r="AP82" i="4" a="1"/>
  <c r="AP82" i="4" s="1"/>
  <c r="U73" i="1" s="1"/>
  <c r="AQ82" i="4" a="1"/>
  <c r="AQ82" i="4" s="1"/>
  <c r="V73" i="1" s="1"/>
  <c r="AR82" i="4" a="1"/>
  <c r="AR82" i="4" s="1"/>
  <c r="W73" i="1" s="1"/>
  <c r="AO35" i="4" a="1"/>
  <c r="AO35" i="4" s="1"/>
  <c r="T10" i="1" s="1"/>
  <c r="AP35" i="4" a="1"/>
  <c r="AP35" i="4" s="1"/>
  <c r="U10" i="1" s="1"/>
  <c r="BH35" i="4"/>
  <c r="U45" i="4"/>
  <c r="K45" i="4"/>
  <c r="T186" i="5"/>
  <c r="O154" i="12" s="1"/>
  <c r="W186" i="5"/>
  <c r="Z186" i="5" s="1"/>
  <c r="B152" i="7"/>
  <c r="X186" i="5"/>
  <c r="L90" i="10"/>
  <c r="AU121" i="6"/>
  <c r="B120" i="7"/>
  <c r="T154" i="5"/>
  <c r="O122" i="12" s="1"/>
  <c r="W154" i="5"/>
  <c r="Z154" i="5" s="1"/>
  <c r="X154" i="5"/>
  <c r="AW111" i="4" a="1"/>
  <c r="AW111" i="4" s="1"/>
  <c r="AB112" i="1" s="1"/>
  <c r="BH111" i="4"/>
  <c r="AX111" i="4" a="1"/>
  <c r="AX111" i="4" s="1"/>
  <c r="AC112" i="1" s="1"/>
  <c r="AT111" i="4" a="1"/>
  <c r="AT111" i="4" s="1"/>
  <c r="Y112" i="1" s="1"/>
  <c r="AV111" i="4" a="1"/>
  <c r="AV111" i="4" s="1"/>
  <c r="AA112" i="1" s="1"/>
  <c r="AR111" i="4" a="1"/>
  <c r="AR111" i="4" s="1"/>
  <c r="W112" i="1" s="1"/>
  <c r="AQ111" i="4" a="1"/>
  <c r="AQ111" i="4" s="1"/>
  <c r="V112" i="1" s="1"/>
  <c r="AU111" i="4" a="1"/>
  <c r="AU111" i="4" s="1"/>
  <c r="Z112" i="1" s="1"/>
  <c r="AS111" i="4" a="1"/>
  <c r="AS111" i="4" s="1"/>
  <c r="X112" i="1" s="1"/>
  <c r="AP111" i="4" a="1"/>
  <c r="AP111" i="4" s="1"/>
  <c r="U112" i="1" s="1"/>
  <c r="AO111" i="4" a="1"/>
  <c r="AO111" i="4" s="1"/>
  <c r="T112" i="1" s="1"/>
  <c r="L74" i="10"/>
  <c r="AU105" i="6"/>
  <c r="AV128" i="4" a="1"/>
  <c r="AV128" i="4" s="1"/>
  <c r="BH128" i="4"/>
  <c r="AP128" i="4" a="1"/>
  <c r="AP128" i="4" s="1"/>
  <c r="AQ128" i="4" a="1"/>
  <c r="AQ128" i="4" s="1"/>
  <c r="AT128" i="4" a="1"/>
  <c r="AT128" i="4" s="1"/>
  <c r="AU128" i="4" a="1"/>
  <c r="AU128" i="4" s="1"/>
  <c r="AS128" i="4" a="1"/>
  <c r="AS128" i="4" s="1"/>
  <c r="AR128" i="4" a="1"/>
  <c r="AR128" i="4" s="1"/>
  <c r="AO128" i="4" a="1"/>
  <c r="AO128" i="4" s="1"/>
  <c r="AO92" i="4" a="1"/>
  <c r="AO92" i="4" s="1"/>
  <c r="AQ92" i="4" a="1"/>
  <c r="AQ92" i="4" s="1"/>
  <c r="AP92" i="4" a="1"/>
  <c r="AP92" i="4" s="1"/>
  <c r="AR92" i="4" a="1"/>
  <c r="AR92" i="4" s="1"/>
  <c r="BH92" i="4"/>
  <c r="AS51" i="4" a="1"/>
  <c r="AS51" i="4" s="1"/>
  <c r="AR51" i="4" a="1"/>
  <c r="AR51" i="4" s="1"/>
  <c r="AP51" i="4" a="1"/>
  <c r="AP51" i="4" s="1"/>
  <c r="AT51" i="4" a="1"/>
  <c r="AT51" i="4" s="1"/>
  <c r="BH51" i="4"/>
  <c r="AO51" i="4" a="1"/>
  <c r="AO51" i="4" s="1"/>
  <c r="AQ51" i="4" a="1"/>
  <c r="AQ51" i="4" s="1"/>
  <c r="B54" i="7"/>
  <c r="W88" i="5"/>
  <c r="Z88" i="5" s="1"/>
  <c r="T88" i="5"/>
  <c r="X88" i="5"/>
  <c r="L101" i="10"/>
  <c r="AU132" i="6"/>
  <c r="W92" i="5"/>
  <c r="Z92" i="5" s="1"/>
  <c r="B58" i="7"/>
  <c r="X92" i="5"/>
  <c r="T92" i="5"/>
  <c r="AW86" i="4" a="1"/>
  <c r="AW86" i="4" s="1"/>
  <c r="AX86" i="4" a="1"/>
  <c r="AX86" i="4" s="1"/>
  <c r="AS86" i="4" a="1"/>
  <c r="AS86" i="4" s="1"/>
  <c r="AO86" i="4" a="1"/>
  <c r="AO86" i="4" s="1"/>
  <c r="AR86" i="4" a="1"/>
  <c r="AR86" i="4" s="1"/>
  <c r="AT86" i="4" a="1"/>
  <c r="AT86" i="4" s="1"/>
  <c r="AQ86" i="4" a="1"/>
  <c r="AQ86" i="4" s="1"/>
  <c r="AV86" i="4" a="1"/>
  <c r="AV86" i="4" s="1"/>
  <c r="AP86" i="4" a="1"/>
  <c r="AP86" i="4" s="1"/>
  <c r="AU86" i="4" a="1"/>
  <c r="AU86" i="4" s="1"/>
  <c r="BH86" i="4"/>
  <c r="AO158" i="4" a="1"/>
  <c r="AO158" i="4" s="1"/>
  <c r="AS158" i="4" a="1"/>
  <c r="AS158" i="4" s="1"/>
  <c r="AX158" i="4" a="1"/>
  <c r="AX158" i="4" s="1"/>
  <c r="AP158" i="4" a="1"/>
  <c r="AP158" i="4" s="1"/>
  <c r="AW158" i="4" a="1"/>
  <c r="AW158" i="4" s="1"/>
  <c r="AT158" i="4" a="1"/>
  <c r="AT158" i="4" s="1"/>
  <c r="AQ158" i="4" a="1"/>
  <c r="AQ158" i="4" s="1"/>
  <c r="AR158" i="4" a="1"/>
  <c r="AR158" i="4" s="1"/>
  <c r="AV158" i="4" a="1"/>
  <c r="AV158" i="4" s="1"/>
  <c r="AU158" i="4" a="1"/>
  <c r="AU158" i="4" s="1"/>
  <c r="BH158" i="4"/>
  <c r="L71" i="10"/>
  <c r="AU102" i="6"/>
  <c r="W158" i="5"/>
  <c r="Z158" i="5" s="1"/>
  <c r="B124" i="7"/>
  <c r="T158" i="5"/>
  <c r="O126" i="12" s="1"/>
  <c r="X158" i="5"/>
  <c r="X104" i="5"/>
  <c r="B70" i="7"/>
  <c r="W104" i="5"/>
  <c r="Z104" i="5" s="1"/>
  <c r="T104" i="5"/>
  <c r="AT101" i="4" a="1"/>
  <c r="AT101" i="4" s="1"/>
  <c r="Y98" i="1" s="1"/>
  <c r="AP101" i="4" a="1"/>
  <c r="AP101" i="4" s="1"/>
  <c r="U98" i="1" s="1"/>
  <c r="BH101" i="4"/>
  <c r="AO101" i="4" a="1"/>
  <c r="AO101" i="4" s="1"/>
  <c r="T98" i="1" s="1"/>
  <c r="AR101" i="4" a="1"/>
  <c r="AR101" i="4" s="1"/>
  <c r="W98" i="1" s="1"/>
  <c r="AS101" i="4" a="1"/>
  <c r="AS101" i="4" s="1"/>
  <c r="X98" i="1" s="1"/>
  <c r="AQ101" i="4" a="1"/>
  <c r="AQ101" i="4" s="1"/>
  <c r="V98" i="1" s="1"/>
  <c r="L130" i="10"/>
  <c r="AU161" i="6"/>
  <c r="AO165" i="4" a="1"/>
  <c r="AO165" i="4" s="1"/>
  <c r="T184" i="1" s="1"/>
  <c r="BH165" i="4"/>
  <c r="AP165" i="4" a="1"/>
  <c r="AP165" i="4" s="1"/>
  <c r="U184" i="1" s="1"/>
  <c r="AR165" i="4" a="1"/>
  <c r="AR165" i="4" s="1"/>
  <c r="W184" i="1" s="1"/>
  <c r="AQ165" i="4" a="1"/>
  <c r="AQ165" i="4" s="1"/>
  <c r="V184" i="1" s="1"/>
  <c r="W100" i="5"/>
  <c r="Z100" i="5" s="1"/>
  <c r="X100" i="5"/>
  <c r="T100" i="5"/>
  <c r="B66" i="7"/>
  <c r="AU133" i="4" a="1"/>
  <c r="AU133" i="4" s="1"/>
  <c r="Z140" i="1" s="1"/>
  <c r="AV133" i="4" a="1"/>
  <c r="AV133" i="4" s="1"/>
  <c r="AA140" i="1" s="1"/>
  <c r="AP133" i="4" a="1"/>
  <c r="AP133" i="4" s="1"/>
  <c r="U140" i="1" s="1"/>
  <c r="AR133" i="4" a="1"/>
  <c r="AR133" i="4" s="1"/>
  <c r="W140" i="1" s="1"/>
  <c r="AT133" i="4" a="1"/>
  <c r="AT133" i="4" s="1"/>
  <c r="Y140" i="1" s="1"/>
  <c r="AO133" i="4" a="1"/>
  <c r="AO133" i="4" s="1"/>
  <c r="T140" i="1" s="1"/>
  <c r="AQ133" i="4" a="1"/>
  <c r="AQ133" i="4" s="1"/>
  <c r="V140" i="1" s="1"/>
  <c r="BH133" i="4"/>
  <c r="AS133" i="4" a="1"/>
  <c r="AS133" i="4" s="1"/>
  <c r="X140" i="1" s="1"/>
  <c r="AQ171" i="4" a="1"/>
  <c r="AQ171" i="4" s="1"/>
  <c r="V192" i="1" s="1"/>
  <c r="AT171" i="4" a="1"/>
  <c r="AT171" i="4" s="1"/>
  <c r="Y192" i="1" s="1"/>
  <c r="AP171" i="4" a="1"/>
  <c r="AP171" i="4" s="1"/>
  <c r="U192" i="1" s="1"/>
  <c r="BH171" i="4"/>
  <c r="AR171" i="4" a="1"/>
  <c r="AR171" i="4" s="1"/>
  <c r="W192" i="1" s="1"/>
  <c r="AS171" i="4" a="1"/>
  <c r="AS171" i="4" s="1"/>
  <c r="X192" i="1" s="1"/>
  <c r="AO171" i="4" a="1"/>
  <c r="AO171" i="4" s="1"/>
  <c r="T192" i="1" s="1"/>
  <c r="L93" i="10"/>
  <c r="AU124" i="6"/>
  <c r="T89" i="5"/>
  <c r="W89" i="5"/>
  <c r="Z89" i="5" s="1"/>
  <c r="B55" i="7"/>
  <c r="X89" i="5"/>
  <c r="AR96" i="4" a="1"/>
  <c r="AR96" i="4" s="1"/>
  <c r="W91" i="1" s="1"/>
  <c r="AQ96" i="4" a="1"/>
  <c r="AQ96" i="4" s="1"/>
  <c r="V91" i="1" s="1"/>
  <c r="BH96" i="4"/>
  <c r="AP96" i="4" a="1"/>
  <c r="AP96" i="4" s="1"/>
  <c r="U91" i="1" s="1"/>
  <c r="AO96" i="4" a="1"/>
  <c r="AO96" i="4" s="1"/>
  <c r="T91" i="1" s="1"/>
  <c r="AQ186" i="4" a="1"/>
  <c r="AQ186" i="4" s="1"/>
  <c r="V211" i="1" s="1"/>
  <c r="AU186" i="4" a="1"/>
  <c r="AU186" i="4" s="1"/>
  <c r="Z211" i="1" s="1"/>
  <c r="BH186" i="4"/>
  <c r="AR186" i="4" a="1"/>
  <c r="AR186" i="4" s="1"/>
  <c r="W211" i="1" s="1"/>
  <c r="AX186" i="4" a="1"/>
  <c r="AX186" i="4" s="1"/>
  <c r="AC211" i="1" s="1"/>
  <c r="AO186" i="4" a="1"/>
  <c r="AO186" i="4" s="1"/>
  <c r="T211" i="1" s="1"/>
  <c r="AW186" i="4" a="1"/>
  <c r="AW186" i="4" s="1"/>
  <c r="AB211" i="1" s="1"/>
  <c r="AS186" i="4" a="1"/>
  <c r="AS186" i="4" s="1"/>
  <c r="X211" i="1" s="1"/>
  <c r="AV186" i="4" a="1"/>
  <c r="AV186" i="4" s="1"/>
  <c r="AA211" i="1" s="1"/>
  <c r="AP186" i="4" a="1"/>
  <c r="AP186" i="4" s="1"/>
  <c r="U211" i="1" s="1"/>
  <c r="AT186" i="4" a="1"/>
  <c r="AT186" i="4" s="1"/>
  <c r="Y211" i="1" s="1"/>
  <c r="AO146" i="4" a="1"/>
  <c r="AO146" i="4" s="1"/>
  <c r="AR146" i="4" a="1"/>
  <c r="AR146" i="4" s="1"/>
  <c r="AP146" i="4" a="1"/>
  <c r="AP146" i="4" s="1"/>
  <c r="AT146" i="4" a="1"/>
  <c r="AT146" i="4" s="1"/>
  <c r="AS146" i="4" a="1"/>
  <c r="AS146" i="4" s="1"/>
  <c r="BH146" i="4"/>
  <c r="AQ146" i="4" a="1"/>
  <c r="AQ146" i="4" s="1"/>
  <c r="AV178" i="4" a="1"/>
  <c r="AV178" i="4" s="1"/>
  <c r="AA201" i="1" s="1"/>
  <c r="AR178" i="4" a="1"/>
  <c r="AR178" i="4" s="1"/>
  <c r="W201" i="1" s="1"/>
  <c r="AT178" i="4" a="1"/>
  <c r="AT178" i="4" s="1"/>
  <c r="Y201" i="1" s="1"/>
  <c r="AQ178" i="4" a="1"/>
  <c r="AQ178" i="4" s="1"/>
  <c r="V201" i="1" s="1"/>
  <c r="AP178" i="4" a="1"/>
  <c r="AP178" i="4" s="1"/>
  <c r="U201" i="1" s="1"/>
  <c r="BH178" i="4"/>
  <c r="AU178" i="4" a="1"/>
  <c r="AU178" i="4" s="1"/>
  <c r="Z201" i="1" s="1"/>
  <c r="AO178" i="4" a="1"/>
  <c r="AO178" i="4" s="1"/>
  <c r="T201" i="1" s="1"/>
  <c r="AS178" i="4" a="1"/>
  <c r="AS178" i="4" s="1"/>
  <c r="X201" i="1" s="1"/>
  <c r="R142" i="12"/>
  <c r="T174" i="5"/>
  <c r="O142" i="12" s="1"/>
  <c r="B140" i="7"/>
  <c r="X174" i="5"/>
  <c r="W174" i="5"/>
  <c r="Z174" i="5" s="1"/>
  <c r="AO87" i="4" a="1"/>
  <c r="AO87" i="4" s="1"/>
  <c r="T80" i="1" s="1"/>
  <c r="AQ87" i="4" a="1"/>
  <c r="AQ87" i="4" s="1"/>
  <c r="V80" i="1" s="1"/>
  <c r="AR87" i="4" a="1"/>
  <c r="AR87" i="4" s="1"/>
  <c r="W80" i="1" s="1"/>
  <c r="BH87" i="4"/>
  <c r="AX87" i="4" a="1"/>
  <c r="AX87" i="4" s="1"/>
  <c r="AC80" i="1" s="1"/>
  <c r="AS87" i="4" a="1"/>
  <c r="AS87" i="4" s="1"/>
  <c r="X80" i="1" s="1"/>
  <c r="AP87" i="4" a="1"/>
  <c r="AP87" i="4" s="1"/>
  <c r="U80" i="1" s="1"/>
  <c r="AT87" i="4" a="1"/>
  <c r="AT87" i="4" s="1"/>
  <c r="Y80" i="1" s="1"/>
  <c r="AU87" i="4" a="1"/>
  <c r="AU87" i="4" s="1"/>
  <c r="Z80" i="1" s="1"/>
  <c r="AV87" i="4" a="1"/>
  <c r="AV87" i="4" s="1"/>
  <c r="AA80" i="1" s="1"/>
  <c r="AW87" i="4" a="1"/>
  <c r="AW87" i="4" s="1"/>
  <c r="AB80" i="1" s="1"/>
  <c r="L77" i="10"/>
  <c r="AU108" i="6"/>
  <c r="X157" i="5"/>
  <c r="B123" i="7"/>
  <c r="W157" i="5"/>
  <c r="Z157" i="5" s="1"/>
  <c r="T157" i="5"/>
  <c r="O125" i="12" s="1"/>
  <c r="B13" i="7"/>
  <c r="X47" i="5"/>
  <c r="W47" i="5"/>
  <c r="Z47" i="5" s="1"/>
  <c r="T47" i="5"/>
  <c r="R150" i="12"/>
  <c r="X182" i="5"/>
  <c r="T182" i="5"/>
  <c r="O150" i="12" s="1"/>
  <c r="B148" i="7"/>
  <c r="W182" i="5"/>
  <c r="Z182" i="5" s="1"/>
  <c r="W119" i="5"/>
  <c r="Z119" i="5" s="1"/>
  <c r="X119" i="5"/>
  <c r="T119" i="5"/>
  <c r="B85" i="7"/>
  <c r="AQ144" i="4" a="1"/>
  <c r="AQ144" i="4" s="1"/>
  <c r="V155" i="1" s="1"/>
  <c r="BH144" i="4"/>
  <c r="AO144" i="4" a="1"/>
  <c r="AO144" i="4" s="1"/>
  <c r="T155" i="1" s="1"/>
  <c r="AP144" i="4" a="1"/>
  <c r="AP144" i="4" s="1"/>
  <c r="U155" i="1" s="1"/>
  <c r="AR144" i="4" a="1"/>
  <c r="AR144" i="4" s="1"/>
  <c r="W155" i="1" s="1"/>
  <c r="AS43" i="4" a="1"/>
  <c r="AS43" i="4" s="1"/>
  <c r="X20" i="1" s="1"/>
  <c r="AO43" i="4" a="1"/>
  <c r="AO43" i="4" s="1"/>
  <c r="T20" i="1" s="1"/>
  <c r="AQ43" i="4" a="1"/>
  <c r="AQ43" i="4" s="1"/>
  <c r="V20" i="1" s="1"/>
  <c r="AT43" i="4" a="1"/>
  <c r="AT43" i="4" s="1"/>
  <c r="Y20" i="1" s="1"/>
  <c r="AP43" i="4" a="1"/>
  <c r="AP43" i="4" s="1"/>
  <c r="U20" i="1" s="1"/>
  <c r="BH43" i="4"/>
  <c r="AR43" i="4" a="1"/>
  <c r="AR43" i="4" s="1"/>
  <c r="W20" i="1" s="1"/>
  <c r="AS174" i="6"/>
  <c r="N143" i="10" s="1"/>
  <c r="AT174" i="6"/>
  <c r="L133" i="10"/>
  <c r="AU164" i="6"/>
  <c r="AV153" i="4" a="1"/>
  <c r="AV153" i="4" s="1"/>
  <c r="AA168" i="1" s="1"/>
  <c r="AS153" i="4" a="1"/>
  <c r="AS153" i="4" s="1"/>
  <c r="X168" i="1" s="1"/>
  <c r="AT153" i="4" a="1"/>
  <c r="AT153" i="4" s="1"/>
  <c r="Y168" i="1" s="1"/>
  <c r="AQ153" i="4" a="1"/>
  <c r="AQ153" i="4" s="1"/>
  <c r="V168" i="1" s="1"/>
  <c r="BH153" i="4"/>
  <c r="AR153" i="4" a="1"/>
  <c r="AR153" i="4" s="1"/>
  <c r="W168" i="1" s="1"/>
  <c r="AU153" i="4" a="1"/>
  <c r="AU153" i="4" s="1"/>
  <c r="Z168" i="1" s="1"/>
  <c r="AO153" i="4" a="1"/>
  <c r="AO153" i="4" s="1"/>
  <c r="T168" i="1" s="1"/>
  <c r="AP153" i="4" a="1"/>
  <c r="AP153" i="4" s="1"/>
  <c r="U168" i="1" s="1"/>
  <c r="B49" i="7"/>
  <c r="W83" i="5"/>
  <c r="Z83" i="5" s="1"/>
  <c r="T83" i="5"/>
  <c r="X83" i="5"/>
  <c r="AP70" i="4" a="1"/>
  <c r="AP70" i="4" s="1"/>
  <c r="U57" i="1" s="1"/>
  <c r="AQ70" i="4" a="1"/>
  <c r="AQ70" i="4" s="1"/>
  <c r="V57" i="1" s="1"/>
  <c r="BH70" i="4"/>
  <c r="AR70" i="4" a="1"/>
  <c r="AR70" i="4" s="1"/>
  <c r="W57" i="1" s="1"/>
  <c r="AO70" i="4" a="1"/>
  <c r="AO70" i="4" s="1"/>
  <c r="T57" i="1" s="1"/>
  <c r="AS99" i="4" a="1"/>
  <c r="AS99" i="4" s="1"/>
  <c r="X96" i="1" s="1"/>
  <c r="AP99" i="4" a="1"/>
  <c r="AP99" i="4" s="1"/>
  <c r="U96" i="1" s="1"/>
  <c r="AQ99" i="4" a="1"/>
  <c r="AQ99" i="4" s="1"/>
  <c r="V96" i="1" s="1"/>
  <c r="AT99" i="4" a="1"/>
  <c r="AT99" i="4" s="1"/>
  <c r="Y96" i="1" s="1"/>
  <c r="AR99" i="4" a="1"/>
  <c r="AR99" i="4" s="1"/>
  <c r="W96" i="1" s="1"/>
  <c r="BH99" i="4"/>
  <c r="AO99" i="4" a="1"/>
  <c r="AO99" i="4" s="1"/>
  <c r="T96" i="1" s="1"/>
  <c r="AP140" i="4" a="1"/>
  <c r="AP140" i="4" s="1"/>
  <c r="AQ140" i="4" a="1"/>
  <c r="AQ140" i="4" s="1"/>
  <c r="AR140" i="4" a="1"/>
  <c r="AR140" i="4" s="1"/>
  <c r="AO140" i="4" a="1"/>
  <c r="AO140" i="4" s="1"/>
  <c r="BH140" i="4"/>
  <c r="B62" i="7"/>
  <c r="T96" i="5"/>
  <c r="X96" i="5"/>
  <c r="W96" i="5"/>
  <c r="Z96" i="5" s="1"/>
  <c r="AQ42" i="4" a="1"/>
  <c r="AQ42" i="4" s="1"/>
  <c r="V19" i="1" s="1"/>
  <c r="AR42" i="4" a="1"/>
  <c r="AR42" i="4" s="1"/>
  <c r="W19" i="1" s="1"/>
  <c r="AP42" i="4" a="1"/>
  <c r="AP42" i="4" s="1"/>
  <c r="U19" i="1" s="1"/>
  <c r="AO42" i="4" a="1"/>
  <c r="AO42" i="4" s="1"/>
  <c r="T19" i="1" s="1"/>
  <c r="AS42" i="4" a="1"/>
  <c r="AS42" i="4" s="1"/>
  <c r="X19" i="1" s="1"/>
  <c r="BH42" i="4"/>
  <c r="AT42" i="4" a="1"/>
  <c r="AT42" i="4" s="1"/>
  <c r="Y19" i="1" s="1"/>
  <c r="AO177" i="4" a="1"/>
  <c r="AO177" i="4" s="1"/>
  <c r="T200" i="1" s="1"/>
  <c r="AS177" i="4" a="1"/>
  <c r="AS177" i="4" s="1"/>
  <c r="X200" i="1" s="1"/>
  <c r="AQ177" i="4" a="1"/>
  <c r="AQ177" i="4" s="1"/>
  <c r="V200" i="1" s="1"/>
  <c r="AT177" i="4" a="1"/>
  <c r="AT177" i="4" s="1"/>
  <c r="Y200" i="1" s="1"/>
  <c r="AP177" i="4" a="1"/>
  <c r="AP177" i="4" s="1"/>
  <c r="U200" i="1" s="1"/>
  <c r="AR177" i="4" a="1"/>
  <c r="AR177" i="4" s="1"/>
  <c r="W200" i="1" s="1"/>
  <c r="BH177" i="4"/>
  <c r="AU177" i="4" a="1"/>
  <c r="AU177" i="4" s="1"/>
  <c r="Z200" i="1" s="1"/>
  <c r="AV177" i="4" a="1"/>
  <c r="AV177" i="4" s="1"/>
  <c r="AA200" i="1" s="1"/>
  <c r="W124" i="5"/>
  <c r="Z124" i="5" s="1"/>
  <c r="B90" i="7"/>
  <c r="X124" i="5"/>
  <c r="T124" i="5"/>
  <c r="T176" i="5"/>
  <c r="O144" i="12" s="1"/>
  <c r="B142" i="7"/>
  <c r="W176" i="5"/>
  <c r="Z176" i="5" s="1"/>
  <c r="X176" i="5"/>
  <c r="T79" i="5"/>
  <c r="W79" i="5"/>
  <c r="Z79" i="5" s="1"/>
  <c r="B45" i="7"/>
  <c r="X79" i="5"/>
  <c r="L124" i="10"/>
  <c r="AU155" i="6"/>
  <c r="R122" i="12"/>
  <c r="T162" i="5"/>
  <c r="O130" i="12" s="1"/>
  <c r="W162" i="5"/>
  <c r="Z162" i="5" s="1"/>
  <c r="X162" i="5"/>
  <c r="B128" i="7"/>
  <c r="B138" i="7"/>
  <c r="X172" i="5"/>
  <c r="W172" i="5"/>
  <c r="Z172" i="5" s="1"/>
  <c r="T172" i="5"/>
  <c r="O140" i="12" s="1"/>
  <c r="AQ164" i="4" a="1"/>
  <c r="AQ164" i="4" s="1"/>
  <c r="AR164" i="4" a="1"/>
  <c r="AR164" i="4" s="1"/>
  <c r="AO164" i="4" a="1"/>
  <c r="AO164" i="4" s="1"/>
  <c r="BH164" i="4"/>
  <c r="AP164" i="4" a="1"/>
  <c r="AP164" i="4" s="1"/>
  <c r="AW182" i="4" a="1"/>
  <c r="AW182" i="4" s="1"/>
  <c r="AU182" i="4" a="1"/>
  <c r="AU182" i="4" s="1"/>
  <c r="AQ182" i="4" a="1"/>
  <c r="AQ182" i="4" s="1"/>
  <c r="AO182" i="4" a="1"/>
  <c r="AO182" i="4" s="1"/>
  <c r="AP182" i="4" a="1"/>
  <c r="AP182" i="4" s="1"/>
  <c r="BH182" i="4"/>
  <c r="AX182" i="4" a="1"/>
  <c r="AX182" i="4" s="1"/>
  <c r="AR182" i="4" a="1"/>
  <c r="AR182" i="4" s="1"/>
  <c r="AV182" i="4" a="1"/>
  <c r="AV182" i="4" s="1"/>
  <c r="AS182" i="4" a="1"/>
  <c r="AS182" i="4" s="1"/>
  <c r="AT182" i="4" a="1"/>
  <c r="AT182" i="4" s="1"/>
  <c r="AO148" i="4" a="1"/>
  <c r="AO148" i="4" s="1"/>
  <c r="T161" i="1" s="1"/>
  <c r="AR148" i="4" a="1"/>
  <c r="AR148" i="4" s="1"/>
  <c r="W161" i="1" s="1"/>
  <c r="AQ148" i="4" a="1"/>
  <c r="AQ148" i="4" s="1"/>
  <c r="V161" i="1" s="1"/>
  <c r="AS148" i="4" a="1"/>
  <c r="AS148" i="4" s="1"/>
  <c r="X161" i="1" s="1"/>
  <c r="AP148" i="4" a="1"/>
  <c r="AP148" i="4" s="1"/>
  <c r="U161" i="1" s="1"/>
  <c r="BH148" i="4"/>
  <c r="AT148" i="4" a="1"/>
  <c r="AT148" i="4" s="1"/>
  <c r="Y161" i="1" s="1"/>
  <c r="AV131" i="4" a="1"/>
  <c r="AV131" i="4" s="1"/>
  <c r="AA138" i="1" s="1"/>
  <c r="AT131" i="4" a="1"/>
  <c r="AT131" i="4" s="1"/>
  <c r="Y138" i="1" s="1"/>
  <c r="AQ131" i="4" a="1"/>
  <c r="AQ131" i="4" s="1"/>
  <c r="V138" i="1" s="1"/>
  <c r="AO131" i="4" a="1"/>
  <c r="AO131" i="4" s="1"/>
  <c r="T138" i="1" s="1"/>
  <c r="AU131" i="4" a="1"/>
  <c r="AU131" i="4" s="1"/>
  <c r="Z138" i="1" s="1"/>
  <c r="AP131" i="4" a="1"/>
  <c r="AP131" i="4" s="1"/>
  <c r="U138" i="1" s="1"/>
  <c r="AS131" i="4" a="1"/>
  <c r="AS131" i="4" s="1"/>
  <c r="X138" i="1" s="1"/>
  <c r="BH131" i="4"/>
  <c r="AR131" i="4" a="1"/>
  <c r="AR131" i="4" s="1"/>
  <c r="W138" i="1" s="1"/>
  <c r="AT175" i="4" a="1"/>
  <c r="AT175" i="4" s="1"/>
  <c r="Y196" i="1" s="1"/>
  <c r="AR175" i="4" a="1"/>
  <c r="AR175" i="4" s="1"/>
  <c r="W196" i="1" s="1"/>
  <c r="AO175" i="4" a="1"/>
  <c r="AO175" i="4" s="1"/>
  <c r="T196" i="1" s="1"/>
  <c r="AP175" i="4" a="1"/>
  <c r="AP175" i="4" s="1"/>
  <c r="U196" i="1" s="1"/>
  <c r="AQ175" i="4" a="1"/>
  <c r="AQ175" i="4" s="1"/>
  <c r="V196" i="1" s="1"/>
  <c r="AS175" i="4" a="1"/>
  <c r="AS175" i="4" s="1"/>
  <c r="X196" i="1" s="1"/>
  <c r="BH175" i="4"/>
  <c r="L49" i="10"/>
  <c r="AU80" i="6"/>
  <c r="L94" i="10"/>
  <c r="AU125" i="6"/>
  <c r="R57" i="12"/>
  <c r="L153" i="10"/>
  <c r="AU184" i="6"/>
  <c r="T85" i="5"/>
  <c r="W85" i="5"/>
  <c r="Z85" i="5" s="1"/>
  <c r="B51" i="7"/>
  <c r="X85" i="5"/>
  <c r="BH55" i="4"/>
  <c r="AO55" i="4" a="1"/>
  <c r="AO55" i="4" s="1"/>
  <c r="AQ55" i="4" a="1"/>
  <c r="AQ55" i="4" s="1"/>
  <c r="AT55" i="4" a="1"/>
  <c r="AT55" i="4" s="1"/>
  <c r="AR55" i="4" a="1"/>
  <c r="AR55" i="4" s="1"/>
  <c r="AS55" i="4" a="1"/>
  <c r="AS55" i="4" s="1"/>
  <c r="AP55" i="4" a="1"/>
  <c r="AP55" i="4" s="1"/>
  <c r="B2" i="7"/>
  <c r="T36" i="5"/>
  <c r="W36" i="5"/>
  <c r="Z36" i="5" s="1"/>
  <c r="AO163" i="4" a="1"/>
  <c r="AO163" i="4" s="1"/>
  <c r="T180" i="1" s="1"/>
  <c r="AQ163" i="4" a="1"/>
  <c r="AQ163" i="4" s="1"/>
  <c r="V180" i="1" s="1"/>
  <c r="AT163" i="4" a="1"/>
  <c r="AT163" i="4" s="1"/>
  <c r="Y180" i="1" s="1"/>
  <c r="AV163" i="4" a="1"/>
  <c r="AV163" i="4" s="1"/>
  <c r="AA180" i="1" s="1"/>
  <c r="AS163" i="4" a="1"/>
  <c r="AS163" i="4" s="1"/>
  <c r="X180" i="1" s="1"/>
  <c r="AW163" i="4" a="1"/>
  <c r="AW163" i="4" s="1"/>
  <c r="AB180" i="1" s="1"/>
  <c r="BH163" i="4"/>
  <c r="AP163" i="4" a="1"/>
  <c r="AP163" i="4" s="1"/>
  <c r="U180" i="1" s="1"/>
  <c r="AX163" i="4" a="1"/>
  <c r="AX163" i="4" s="1"/>
  <c r="AC180" i="1" s="1"/>
  <c r="AR163" i="4" a="1"/>
  <c r="AR163" i="4" s="1"/>
  <c r="W180" i="1" s="1"/>
  <c r="AU163" i="4" a="1"/>
  <c r="AU163" i="4" s="1"/>
  <c r="Z180" i="1" s="1"/>
  <c r="L131" i="10"/>
  <c r="AU162" i="6"/>
  <c r="AU156" i="4" a="1"/>
  <c r="AU156" i="4" s="1"/>
  <c r="Z171" i="1" s="1"/>
  <c r="AQ156" i="4" a="1"/>
  <c r="AQ156" i="4" s="1"/>
  <c r="V171" i="1" s="1"/>
  <c r="AT156" i="4" a="1"/>
  <c r="AT156" i="4" s="1"/>
  <c r="Y171" i="1" s="1"/>
  <c r="AV156" i="4" a="1"/>
  <c r="AV156" i="4" s="1"/>
  <c r="AA171" i="1" s="1"/>
  <c r="AP156" i="4" a="1"/>
  <c r="AP156" i="4" s="1"/>
  <c r="U171" i="1" s="1"/>
  <c r="AR156" i="4" a="1"/>
  <c r="AR156" i="4" s="1"/>
  <c r="W171" i="1" s="1"/>
  <c r="AS156" i="4" a="1"/>
  <c r="AS156" i="4" s="1"/>
  <c r="X171" i="1" s="1"/>
  <c r="AO156" i="4" a="1"/>
  <c r="AO156" i="4" s="1"/>
  <c r="T171" i="1" s="1"/>
  <c r="BH156" i="4"/>
  <c r="AR106" i="4" a="1"/>
  <c r="AR106" i="4" s="1"/>
  <c r="W105" i="1" s="1"/>
  <c r="AU106" i="4" a="1"/>
  <c r="AU106" i="4" s="1"/>
  <c r="Z105" i="1" s="1"/>
  <c r="AT106" i="4" a="1"/>
  <c r="AT106" i="4" s="1"/>
  <c r="Y105" i="1" s="1"/>
  <c r="BH106" i="4"/>
  <c r="AQ106" i="4" a="1"/>
  <c r="AQ106" i="4" s="1"/>
  <c r="V105" i="1" s="1"/>
  <c r="AO106" i="4" a="1"/>
  <c r="AO106" i="4" s="1"/>
  <c r="T105" i="1" s="1"/>
  <c r="AS106" i="4" a="1"/>
  <c r="AS106" i="4" s="1"/>
  <c r="X105" i="1" s="1"/>
  <c r="AV106" i="4" a="1"/>
  <c r="AV106" i="4" s="1"/>
  <c r="AA105" i="1" s="1"/>
  <c r="AP106" i="4" a="1"/>
  <c r="AP106" i="4" s="1"/>
  <c r="U105" i="1" s="1"/>
  <c r="AT52" i="4" a="1"/>
  <c r="AT52" i="4" s="1"/>
  <c r="AQ52" i="4" a="1"/>
  <c r="AQ52" i="4" s="1"/>
  <c r="AO52" i="4" a="1"/>
  <c r="AO52" i="4" s="1"/>
  <c r="BH52" i="4"/>
  <c r="AP52" i="4" a="1"/>
  <c r="AP52" i="4" s="1"/>
  <c r="AR52" i="4" a="1"/>
  <c r="AR52" i="4" s="1"/>
  <c r="AS52" i="4" a="1"/>
  <c r="AS52" i="4" s="1"/>
  <c r="AU110" i="4" a="1"/>
  <c r="AU110" i="4" s="1"/>
  <c r="AS110" i="4" a="1"/>
  <c r="AS110" i="4" s="1"/>
  <c r="AR110" i="4" a="1"/>
  <c r="AR110" i="4" s="1"/>
  <c r="AX110" i="4" a="1"/>
  <c r="AX110" i="4" s="1"/>
  <c r="AQ110" i="4" a="1"/>
  <c r="AQ110" i="4" s="1"/>
  <c r="AW110" i="4" a="1"/>
  <c r="AW110" i="4" s="1"/>
  <c r="AT110" i="4" a="1"/>
  <c r="AT110" i="4" s="1"/>
  <c r="AV110" i="4" a="1"/>
  <c r="AV110" i="4" s="1"/>
  <c r="AO110" i="4" a="1"/>
  <c r="AO110" i="4" s="1"/>
  <c r="BH110" i="4"/>
  <c r="AP110" i="4" a="1"/>
  <c r="AP110" i="4" s="1"/>
  <c r="L88" i="10"/>
  <c r="AU119" i="6"/>
  <c r="B59" i="7"/>
  <c r="X93" i="5"/>
  <c r="W93" i="5"/>
  <c r="Z93" i="5" s="1"/>
  <c r="T93" i="5"/>
  <c r="T105" i="5"/>
  <c r="W105" i="5"/>
  <c r="Z105" i="5" s="1"/>
  <c r="B71" i="7"/>
  <c r="X105" i="5"/>
  <c r="T122" i="5"/>
  <c r="W122" i="5"/>
  <c r="Z122" i="5" s="1"/>
  <c r="X122" i="5"/>
  <c r="B88" i="7"/>
  <c r="L22" i="10"/>
  <c r="AU53" i="6"/>
  <c r="AP41" i="4" a="1"/>
  <c r="AP41" i="4" s="1"/>
  <c r="U18" i="1" s="1"/>
  <c r="AT41" i="4" a="1"/>
  <c r="AT41" i="4" s="1"/>
  <c r="Y18" i="1" s="1"/>
  <c r="AR41" i="4" a="1"/>
  <c r="AR41" i="4" s="1"/>
  <c r="W18" i="1" s="1"/>
  <c r="BH41" i="4"/>
  <c r="AQ41" i="4" a="1"/>
  <c r="AQ41" i="4" s="1"/>
  <c r="V18" i="1" s="1"/>
  <c r="AO41" i="4" a="1"/>
  <c r="AO41" i="4" s="1"/>
  <c r="T18" i="1" s="1"/>
  <c r="AS41" i="4" a="1"/>
  <c r="AS41" i="4" s="1"/>
  <c r="X18" i="1" s="1"/>
  <c r="R132" i="12"/>
  <c r="L156" i="10"/>
  <c r="AU187" i="6"/>
  <c r="L19" i="10"/>
  <c r="AU50" i="6"/>
  <c r="AQ141" i="4" a="1"/>
  <c r="AQ141" i="4" s="1"/>
  <c r="V152" i="1" s="1"/>
  <c r="AP141" i="4" a="1"/>
  <c r="AP141" i="4" s="1"/>
  <c r="U152" i="1" s="1"/>
  <c r="AR141" i="4" a="1"/>
  <c r="AR141" i="4" s="1"/>
  <c r="W152" i="1" s="1"/>
  <c r="BH141" i="4"/>
  <c r="AO141" i="4" a="1"/>
  <c r="AO141" i="4" s="1"/>
  <c r="T152" i="1" s="1"/>
  <c r="AW137" i="4" a="1"/>
  <c r="AW137" i="4" s="1"/>
  <c r="AB146" i="1" s="1"/>
  <c r="AQ137" i="4" a="1"/>
  <c r="AQ137" i="4" s="1"/>
  <c r="V146" i="1" s="1"/>
  <c r="AU137" i="4" a="1"/>
  <c r="AU137" i="4" s="1"/>
  <c r="Z146" i="1" s="1"/>
  <c r="AS137" i="4" a="1"/>
  <c r="AS137" i="4" s="1"/>
  <c r="X146" i="1" s="1"/>
  <c r="AP137" i="4" a="1"/>
  <c r="AP137" i="4" s="1"/>
  <c r="U146" i="1" s="1"/>
  <c r="AR137" i="4" a="1"/>
  <c r="AR137" i="4" s="1"/>
  <c r="W146" i="1" s="1"/>
  <c r="AX137" i="4" a="1"/>
  <c r="AX137" i="4" s="1"/>
  <c r="AC146" i="1" s="1"/>
  <c r="AT137" i="4" a="1"/>
  <c r="AT137" i="4" s="1"/>
  <c r="Y146" i="1" s="1"/>
  <c r="AO137" i="4" a="1"/>
  <c r="AO137" i="4" s="1"/>
  <c r="T146" i="1" s="1"/>
  <c r="BH137" i="4"/>
  <c r="AV137" i="4" a="1"/>
  <c r="AV137" i="4" s="1"/>
  <c r="AA146" i="1" s="1"/>
  <c r="AS150" i="4" a="1"/>
  <c r="AS150" i="4" s="1"/>
  <c r="X163" i="1" s="1"/>
  <c r="AP150" i="4" a="1"/>
  <c r="AP150" i="4" s="1"/>
  <c r="U163" i="1" s="1"/>
  <c r="AQ150" i="4" a="1"/>
  <c r="AQ150" i="4" s="1"/>
  <c r="V163" i="1" s="1"/>
  <c r="AO150" i="4" a="1"/>
  <c r="AO150" i="4" s="1"/>
  <c r="T163" i="1" s="1"/>
  <c r="AT150" i="4" a="1"/>
  <c r="AT150" i="4" s="1"/>
  <c r="Y163" i="1" s="1"/>
  <c r="BH150" i="4"/>
  <c r="AR150" i="4" a="1"/>
  <c r="AR150" i="4" s="1"/>
  <c r="W163" i="1" s="1"/>
  <c r="X76" i="5"/>
  <c r="B42" i="7"/>
  <c r="T76" i="5"/>
  <c r="W76" i="5"/>
  <c r="Z76" i="5" s="1"/>
  <c r="L106" i="10"/>
  <c r="AU137" i="6"/>
  <c r="L41" i="10"/>
  <c r="AU72" i="6"/>
  <c r="BH50" i="4"/>
  <c r="AQ50" i="4" a="1"/>
  <c r="AQ50" i="4" s="1"/>
  <c r="AO50" i="4" a="1"/>
  <c r="AO50" i="4" s="1"/>
  <c r="AP50" i="4" a="1"/>
  <c r="AP50" i="4" s="1"/>
  <c r="AT50" i="4" a="1"/>
  <c r="AT50" i="4" s="1"/>
  <c r="AR50" i="4" a="1"/>
  <c r="AR50" i="4" s="1"/>
  <c r="AS50" i="4" a="1"/>
  <c r="AS50" i="4" s="1"/>
  <c r="B86" i="7"/>
  <c r="W120" i="5"/>
  <c r="Z120" i="5" s="1"/>
  <c r="X120" i="5"/>
  <c r="T120" i="5"/>
  <c r="X168" i="5"/>
  <c r="B134" i="7"/>
  <c r="W168" i="5"/>
  <c r="Z168" i="5" s="1"/>
  <c r="T168" i="5"/>
  <c r="O136" i="12" s="1"/>
  <c r="W38" i="5"/>
  <c r="Z38" i="5" s="1"/>
  <c r="X38" i="5"/>
  <c r="B4" i="7"/>
  <c r="T38" i="5"/>
  <c r="L135" i="10"/>
  <c r="AU166" i="6"/>
  <c r="W129" i="5"/>
  <c r="Z129" i="5" s="1"/>
  <c r="X129" i="5"/>
  <c r="B95" i="7"/>
  <c r="T129" i="5"/>
  <c r="L121" i="10"/>
  <c r="AU152" i="6"/>
  <c r="AR154" i="4" a="1"/>
  <c r="AR154" i="4" s="1"/>
  <c r="W169" i="1" s="1"/>
  <c r="AO154" i="4" a="1"/>
  <c r="AO154" i="4" s="1"/>
  <c r="T169" i="1" s="1"/>
  <c r="AQ154" i="4" a="1"/>
  <c r="AQ154" i="4" s="1"/>
  <c r="V169" i="1" s="1"/>
  <c r="AP154" i="4" a="1"/>
  <c r="AP154" i="4" s="1"/>
  <c r="U169" i="1" s="1"/>
  <c r="AU154" i="4" a="1"/>
  <c r="AU154" i="4" s="1"/>
  <c r="Z169" i="1" s="1"/>
  <c r="AV154" i="4" a="1"/>
  <c r="AV154" i="4" s="1"/>
  <c r="AA169" i="1" s="1"/>
  <c r="BH154" i="4"/>
  <c r="AS154" i="4" a="1"/>
  <c r="AS154" i="4" s="1"/>
  <c r="X169" i="1" s="1"/>
  <c r="AT154" i="4" a="1"/>
  <c r="AT154" i="4" s="1"/>
  <c r="Y169" i="1" s="1"/>
  <c r="BH168" i="4"/>
  <c r="AR168" i="4" a="1"/>
  <c r="AR168" i="4" s="1"/>
  <c r="W187" i="1" s="1"/>
  <c r="AP168" i="4" a="1"/>
  <c r="AP168" i="4" s="1"/>
  <c r="U187" i="1" s="1"/>
  <c r="AO168" i="4" a="1"/>
  <c r="AO168" i="4" s="1"/>
  <c r="T187" i="1" s="1"/>
  <c r="AQ168" i="4" a="1"/>
  <c r="AQ168" i="4" s="1"/>
  <c r="V187" i="1" s="1"/>
  <c r="W46" i="5"/>
  <c r="Z46" i="5" s="1"/>
  <c r="B12" i="7"/>
  <c r="T46" i="5"/>
  <c r="X46" i="5"/>
  <c r="K46" i="4"/>
  <c r="U46" i="4"/>
  <c r="R133" i="12"/>
  <c r="X165" i="5"/>
  <c r="W165" i="5"/>
  <c r="Z165" i="5" s="1"/>
  <c r="B131" i="7"/>
  <c r="T165" i="5"/>
  <c r="O133" i="12" s="1"/>
  <c r="AP36" i="4" a="1"/>
  <c r="AP36" i="4" s="1"/>
  <c r="U11" i="1" s="1"/>
  <c r="AO36" i="4" a="1"/>
  <c r="AO36" i="4" s="1"/>
  <c r="T11" i="1" s="1"/>
  <c r="BH36" i="4"/>
  <c r="X183" i="5"/>
  <c r="T183" i="5"/>
  <c r="O151" i="12" s="1"/>
  <c r="W183" i="5"/>
  <c r="Z183" i="5" s="1"/>
  <c r="B149" i="7"/>
  <c r="X80" i="5"/>
  <c r="T80" i="5"/>
  <c r="W80" i="5"/>
  <c r="Z80" i="5" s="1"/>
  <c r="B46" i="7"/>
  <c r="X42" i="5"/>
  <c r="B8" i="7"/>
  <c r="W42" i="5"/>
  <c r="Z42" i="5" s="1"/>
  <c r="T42" i="5"/>
  <c r="L60" i="10"/>
  <c r="AU91" i="6"/>
  <c r="AO125" i="4" a="1"/>
  <c r="AO125" i="4" s="1"/>
  <c r="T130" i="1" s="1"/>
  <c r="AP125" i="4" a="1"/>
  <c r="AP125" i="4" s="1"/>
  <c r="U130" i="1" s="1"/>
  <c r="AS125" i="4" a="1"/>
  <c r="AS125" i="4" s="1"/>
  <c r="X130" i="1" s="1"/>
  <c r="AQ125" i="4" a="1"/>
  <c r="AQ125" i="4" s="1"/>
  <c r="V130" i="1" s="1"/>
  <c r="BH125" i="4"/>
  <c r="AT125" i="4" a="1"/>
  <c r="AT125" i="4" s="1"/>
  <c r="Y130" i="1" s="1"/>
  <c r="AR125" i="4" a="1"/>
  <c r="AR125" i="4" s="1"/>
  <c r="W130" i="1" s="1"/>
  <c r="T87" i="5"/>
  <c r="W87" i="5"/>
  <c r="Z87" i="5" s="1"/>
  <c r="X87" i="5"/>
  <c r="B53" i="7"/>
  <c r="AQ152" i="4" a="1"/>
  <c r="AQ152" i="4" s="1"/>
  <c r="AU152" i="4" a="1"/>
  <c r="AU152" i="4" s="1"/>
  <c r="AV152" i="4" a="1"/>
  <c r="AV152" i="4" s="1"/>
  <c r="AO152" i="4" a="1"/>
  <c r="AO152" i="4" s="1"/>
  <c r="AP152" i="4" a="1"/>
  <c r="AP152" i="4" s="1"/>
  <c r="AS152" i="4" a="1"/>
  <c r="AS152" i="4" s="1"/>
  <c r="AT152" i="4" a="1"/>
  <c r="AT152" i="4" s="1"/>
  <c r="BH152" i="4"/>
  <c r="AR152" i="4" a="1"/>
  <c r="AR152" i="4" s="1"/>
  <c r="B147" i="7"/>
  <c r="X181" i="5"/>
  <c r="T181" i="5"/>
  <c r="O149" i="12" s="1"/>
  <c r="W181" i="5"/>
  <c r="Z181" i="5" s="1"/>
  <c r="L127" i="10"/>
  <c r="AU158" i="6"/>
  <c r="BH166" i="4"/>
  <c r="AR166" i="4" a="1"/>
  <c r="AR166" i="4" s="1"/>
  <c r="W185" i="1" s="1"/>
  <c r="AQ166" i="4" a="1"/>
  <c r="AQ166" i="4" s="1"/>
  <c r="V185" i="1" s="1"/>
  <c r="AP166" i="4" a="1"/>
  <c r="AP166" i="4" s="1"/>
  <c r="U185" i="1" s="1"/>
  <c r="AO166" i="4" a="1"/>
  <c r="AO166" i="4" s="1"/>
  <c r="T185" i="1" s="1"/>
  <c r="L83" i="10"/>
  <c r="AU114" i="6"/>
  <c r="AR107" i="4" a="1"/>
  <c r="AR107" i="4" s="1"/>
  <c r="W106" i="1" s="1"/>
  <c r="AV107" i="4" a="1"/>
  <c r="AV107" i="4" s="1"/>
  <c r="AA106" i="1" s="1"/>
  <c r="AS107" i="4" a="1"/>
  <c r="AS107" i="4" s="1"/>
  <c r="X106" i="1" s="1"/>
  <c r="AP107" i="4" a="1"/>
  <c r="AP107" i="4" s="1"/>
  <c r="U106" i="1" s="1"/>
  <c r="AU107" i="4" a="1"/>
  <c r="AU107" i="4" s="1"/>
  <c r="Z106" i="1" s="1"/>
  <c r="AQ107" i="4" a="1"/>
  <c r="AQ107" i="4" s="1"/>
  <c r="V106" i="1" s="1"/>
  <c r="BH107" i="4"/>
  <c r="AT107" i="4" a="1"/>
  <c r="AT107" i="4" s="1"/>
  <c r="Y106" i="1" s="1"/>
  <c r="AO107" i="4" a="1"/>
  <c r="AO107" i="4" s="1"/>
  <c r="T106" i="1" s="1"/>
  <c r="L104" i="10"/>
  <c r="AU135" i="6"/>
  <c r="L15" i="10"/>
  <c r="AU46" i="6"/>
  <c r="AX159" i="4" a="1"/>
  <c r="AX159" i="4" s="1"/>
  <c r="AC176" i="1" s="1"/>
  <c r="AO159" i="4" a="1"/>
  <c r="AO159" i="4" s="1"/>
  <c r="T176" i="1" s="1"/>
  <c r="AR159" i="4" a="1"/>
  <c r="AR159" i="4" s="1"/>
  <c r="W176" i="1" s="1"/>
  <c r="AS159" i="4" a="1"/>
  <c r="AS159" i="4" s="1"/>
  <c r="X176" i="1" s="1"/>
  <c r="AU159" i="4" a="1"/>
  <c r="AU159" i="4" s="1"/>
  <c r="Z176" i="1" s="1"/>
  <c r="AW159" i="4" a="1"/>
  <c r="AW159" i="4" s="1"/>
  <c r="AB176" i="1" s="1"/>
  <c r="AT159" i="4" a="1"/>
  <c r="AT159" i="4" s="1"/>
  <c r="Y176" i="1" s="1"/>
  <c r="AQ159" i="4" a="1"/>
  <c r="AQ159" i="4" s="1"/>
  <c r="V176" i="1" s="1"/>
  <c r="AP159" i="4" a="1"/>
  <c r="AP159" i="4" s="1"/>
  <c r="U176" i="1" s="1"/>
  <c r="BH159" i="4"/>
  <c r="AV159" i="4" a="1"/>
  <c r="AV159" i="4" s="1"/>
  <c r="AA176" i="1" s="1"/>
  <c r="L84" i="10"/>
  <c r="AU115" i="6"/>
  <c r="T187" i="5"/>
  <c r="O155" i="12" s="1"/>
  <c r="B153" i="7"/>
  <c r="X187" i="5"/>
  <c r="W187" i="5"/>
  <c r="Z187" i="5" s="1"/>
  <c r="AO40" i="4" a="1"/>
  <c r="AO40" i="4" s="1"/>
  <c r="T17" i="1" s="1"/>
  <c r="AQ40" i="4" a="1"/>
  <c r="AQ40" i="4" s="1"/>
  <c r="V17" i="1" s="1"/>
  <c r="BH40" i="4"/>
  <c r="AR40" i="4" a="1"/>
  <c r="AR40" i="4" s="1"/>
  <c r="W17" i="1" s="1"/>
  <c r="AS40" i="4" a="1"/>
  <c r="AS40" i="4" s="1"/>
  <c r="X17" i="1" s="1"/>
  <c r="AT40" i="4" a="1"/>
  <c r="AT40" i="4" s="1"/>
  <c r="Y17" i="1" s="1"/>
  <c r="AP40" i="4" a="1"/>
  <c r="AP40" i="4" s="1"/>
  <c r="U17" i="1" s="1"/>
  <c r="AT85" i="6"/>
  <c r="AS85" i="6"/>
  <c r="N54" i="10" s="1"/>
  <c r="X191" i="5"/>
  <c r="B157" i="7"/>
  <c r="T191" i="5"/>
  <c r="O159" i="12" s="1"/>
  <c r="W191" i="5"/>
  <c r="Z191" i="5" s="1"/>
  <c r="AP116" i="4" a="1"/>
  <c r="AP116" i="4" s="1"/>
  <c r="AQ116" i="4" a="1"/>
  <c r="AQ116" i="4" s="1"/>
  <c r="AO116" i="4" a="1"/>
  <c r="AO116" i="4" s="1"/>
  <c r="BH116" i="4"/>
  <c r="AR116" i="4" a="1"/>
  <c r="AR116" i="4" s="1"/>
  <c r="AO73" i="4" a="1"/>
  <c r="AO73" i="4" s="1"/>
  <c r="T60" i="1" s="1"/>
  <c r="AR73" i="4" a="1"/>
  <c r="AR73" i="4" s="1"/>
  <c r="W60" i="1" s="1"/>
  <c r="AP73" i="4" a="1"/>
  <c r="AP73" i="4" s="1"/>
  <c r="U60" i="1" s="1"/>
  <c r="AQ73" i="4" a="1"/>
  <c r="AQ73" i="4" s="1"/>
  <c r="V60" i="1" s="1"/>
  <c r="BH73" i="4"/>
  <c r="L79" i="10"/>
  <c r="AU110" i="6"/>
  <c r="R102" i="12"/>
  <c r="W134" i="5"/>
  <c r="Z134" i="5" s="1"/>
  <c r="X134" i="5"/>
  <c r="B100" i="7"/>
  <c r="T134" i="5"/>
  <c r="AQ162" i="4" a="1"/>
  <c r="AQ162" i="4" s="1"/>
  <c r="V179" i="1" s="1"/>
  <c r="AW162" i="4" a="1"/>
  <c r="AW162" i="4" s="1"/>
  <c r="AB179" i="1" s="1"/>
  <c r="AO162" i="4" a="1"/>
  <c r="AO162" i="4" s="1"/>
  <c r="T179" i="1" s="1"/>
  <c r="AV162" i="4" a="1"/>
  <c r="AV162" i="4" s="1"/>
  <c r="AA179" i="1" s="1"/>
  <c r="BH162" i="4"/>
  <c r="AU162" i="4" a="1"/>
  <c r="AU162" i="4" s="1"/>
  <c r="Z179" i="1" s="1"/>
  <c r="AR162" i="4" a="1"/>
  <c r="AR162" i="4" s="1"/>
  <c r="W179" i="1" s="1"/>
  <c r="AX162" i="4" a="1"/>
  <c r="AX162" i="4" s="1"/>
  <c r="AC179" i="1" s="1"/>
  <c r="AS162" i="4" a="1"/>
  <c r="AS162" i="4" s="1"/>
  <c r="X179" i="1" s="1"/>
  <c r="AT162" i="4" a="1"/>
  <c r="AT162" i="4" s="1"/>
  <c r="Y179" i="1" s="1"/>
  <c r="AP162" i="4" a="1"/>
  <c r="AP162" i="4" s="1"/>
  <c r="U179" i="1" s="1"/>
  <c r="L150" i="10"/>
  <c r="AU181" i="6"/>
  <c r="B81" i="7"/>
  <c r="X115" i="5"/>
  <c r="W115" i="5"/>
  <c r="Z115" i="5" s="1"/>
  <c r="T115" i="5"/>
  <c r="AO33" i="4" a="1"/>
  <c r="AO33" i="4" s="1"/>
  <c r="T8" i="1" s="1"/>
  <c r="AP33" i="4" a="1"/>
  <c r="AP33" i="4" s="1"/>
  <c r="U8" i="1" s="1"/>
  <c r="BH33" i="4"/>
  <c r="X90" i="5"/>
  <c r="T90" i="5"/>
  <c r="W90" i="5"/>
  <c r="Z90" i="5" s="1"/>
  <c r="B56" i="7"/>
  <c r="B47" i="7"/>
  <c r="X81" i="5"/>
  <c r="T81" i="5"/>
  <c r="W81" i="5"/>
  <c r="Z81" i="5" s="1"/>
  <c r="B15" i="7"/>
  <c r="X49" i="5"/>
  <c r="T49" i="5"/>
  <c r="W49" i="5"/>
  <c r="Z49" i="5" s="1"/>
  <c r="T72" i="5"/>
  <c r="W72" i="5"/>
  <c r="Z72" i="5" s="1"/>
  <c r="X72" i="5"/>
  <c r="B38" i="7"/>
  <c r="AS53" i="4" a="1"/>
  <c r="AS53" i="4" s="1"/>
  <c r="BH53" i="4"/>
  <c r="AO53" i="4" a="1"/>
  <c r="AO53" i="4" s="1"/>
  <c r="AP53" i="4" a="1"/>
  <c r="AP53" i="4" s="1"/>
  <c r="AR53" i="4" a="1"/>
  <c r="AR53" i="4" s="1"/>
  <c r="AT53" i="4" a="1"/>
  <c r="AT53" i="4" s="1"/>
  <c r="AQ53" i="4" a="1"/>
  <c r="AQ53" i="4" s="1"/>
  <c r="X188" i="5"/>
  <c r="W188" i="5"/>
  <c r="Z188" i="5" s="1"/>
  <c r="B154" i="7"/>
  <c r="T188" i="5"/>
  <c r="O156" i="12" s="1"/>
  <c r="L47" i="10"/>
  <c r="AU78" i="6"/>
  <c r="AO139" i="4" a="1"/>
  <c r="AO139" i="4" s="1"/>
  <c r="T148" i="1" s="1"/>
  <c r="AQ139" i="4" a="1"/>
  <c r="AQ139" i="4" s="1"/>
  <c r="V148" i="1" s="1"/>
  <c r="AV139" i="4" a="1"/>
  <c r="AV139" i="4" s="1"/>
  <c r="AA148" i="1" s="1"/>
  <c r="AR139" i="4" a="1"/>
  <c r="AR139" i="4" s="1"/>
  <c r="W148" i="1" s="1"/>
  <c r="AW139" i="4" a="1"/>
  <c r="AW139" i="4" s="1"/>
  <c r="AB148" i="1" s="1"/>
  <c r="AS139" i="4" a="1"/>
  <c r="AS139" i="4" s="1"/>
  <c r="X148" i="1" s="1"/>
  <c r="AT139" i="4" a="1"/>
  <c r="AT139" i="4" s="1"/>
  <c r="Y148" i="1" s="1"/>
  <c r="AP139" i="4" a="1"/>
  <c r="AP139" i="4" s="1"/>
  <c r="U148" i="1" s="1"/>
  <c r="BH139" i="4"/>
  <c r="AU139" i="4" a="1"/>
  <c r="AU139" i="4" s="1"/>
  <c r="Z148" i="1" s="1"/>
  <c r="AX139" i="4" a="1"/>
  <c r="AX139" i="4" s="1"/>
  <c r="AC148" i="1" s="1"/>
  <c r="AS151" i="4" a="1"/>
  <c r="AS151" i="4" s="1"/>
  <c r="X164" i="1" s="1"/>
  <c r="AQ151" i="4" a="1"/>
  <c r="AQ151" i="4" s="1"/>
  <c r="V164" i="1" s="1"/>
  <c r="AO151" i="4" a="1"/>
  <c r="AO151" i="4" s="1"/>
  <c r="T164" i="1" s="1"/>
  <c r="BH151" i="4"/>
  <c r="AR151" i="4" a="1"/>
  <c r="AR151" i="4" s="1"/>
  <c r="W164" i="1" s="1"/>
  <c r="AP151" i="4" a="1"/>
  <c r="AP151" i="4" s="1"/>
  <c r="U164" i="1" s="1"/>
  <c r="AT151" i="4" a="1"/>
  <c r="AT151" i="4" s="1"/>
  <c r="Y164" i="1" s="1"/>
  <c r="X116" i="5"/>
  <c r="T116" i="5"/>
  <c r="B82" i="7"/>
  <c r="W116" i="5"/>
  <c r="Z116" i="5" s="1"/>
  <c r="B91" i="7"/>
  <c r="T125" i="5"/>
  <c r="W125" i="5"/>
  <c r="Z125" i="5" s="1"/>
  <c r="X125" i="5"/>
  <c r="L107" i="10"/>
  <c r="AU138" i="6"/>
  <c r="R60" i="12"/>
  <c r="L21" i="10"/>
  <c r="AU52" i="6"/>
  <c r="R100" i="12"/>
  <c r="L151" i="10"/>
  <c r="AU182" i="6"/>
  <c r="L97" i="10"/>
  <c r="AU128" i="6"/>
  <c r="AO100" i="4" a="1"/>
  <c r="AO100" i="4" s="1"/>
  <c r="T97" i="1" s="1"/>
  <c r="AP100" i="4" a="1"/>
  <c r="AP100" i="4" s="1"/>
  <c r="U97" i="1" s="1"/>
  <c r="BH100" i="4"/>
  <c r="AR100" i="4" a="1"/>
  <c r="AR100" i="4" s="1"/>
  <c r="W97" i="1" s="1"/>
  <c r="AT100" i="4" a="1"/>
  <c r="AT100" i="4" s="1"/>
  <c r="Y97" i="1" s="1"/>
  <c r="AS100" i="4" a="1"/>
  <c r="AS100" i="4" s="1"/>
  <c r="X97" i="1" s="1"/>
  <c r="AQ100" i="4" a="1"/>
  <c r="AQ100" i="4" s="1"/>
  <c r="V97" i="1" s="1"/>
  <c r="AR145" i="4" a="1"/>
  <c r="AR145" i="4" s="1"/>
  <c r="W156" i="1" s="1"/>
  <c r="AQ145" i="4" a="1"/>
  <c r="AQ145" i="4" s="1"/>
  <c r="V156" i="1" s="1"/>
  <c r="AP145" i="4" a="1"/>
  <c r="AP145" i="4" s="1"/>
  <c r="U156" i="1" s="1"/>
  <c r="BH145" i="4"/>
  <c r="AO145" i="4" a="1"/>
  <c r="AO145" i="4" s="1"/>
  <c r="T156" i="1" s="1"/>
  <c r="AQ135" i="4" a="1"/>
  <c r="AQ135" i="4" s="1"/>
  <c r="V144" i="1" s="1"/>
  <c r="AO135" i="4" a="1"/>
  <c r="AO135" i="4" s="1"/>
  <c r="T144" i="1" s="1"/>
  <c r="AW135" i="4" a="1"/>
  <c r="AW135" i="4" s="1"/>
  <c r="AB144" i="1" s="1"/>
  <c r="BH135" i="4"/>
  <c r="AX135" i="4" a="1"/>
  <c r="AX135" i="4" s="1"/>
  <c r="AC144" i="1" s="1"/>
  <c r="AV135" i="4" a="1"/>
  <c r="AV135" i="4" s="1"/>
  <c r="AA144" i="1" s="1"/>
  <c r="AR135" i="4" a="1"/>
  <c r="AR135" i="4" s="1"/>
  <c r="W144" i="1" s="1"/>
  <c r="AU135" i="4" a="1"/>
  <c r="AU135" i="4" s="1"/>
  <c r="Z144" i="1" s="1"/>
  <c r="AS135" i="4" a="1"/>
  <c r="AS135" i="4" s="1"/>
  <c r="X144" i="1" s="1"/>
  <c r="AT135" i="4" a="1"/>
  <c r="AT135" i="4" s="1"/>
  <c r="Y144" i="1" s="1"/>
  <c r="AP135" i="4" a="1"/>
  <c r="AP135" i="4" s="1"/>
  <c r="U144" i="1" s="1"/>
  <c r="L87" i="10"/>
  <c r="AU118" i="6"/>
  <c r="AV180" i="4" a="1"/>
  <c r="AV180" i="4" s="1"/>
  <c r="AA203" i="1" s="1"/>
  <c r="AU180" i="4" a="1"/>
  <c r="AU180" i="4" s="1"/>
  <c r="Z203" i="1" s="1"/>
  <c r="AP180" i="4" a="1"/>
  <c r="AP180" i="4" s="1"/>
  <c r="U203" i="1" s="1"/>
  <c r="AQ180" i="4" a="1"/>
  <c r="AQ180" i="4" s="1"/>
  <c r="V203" i="1" s="1"/>
  <c r="AT180" i="4" a="1"/>
  <c r="AT180" i="4" s="1"/>
  <c r="Y203" i="1" s="1"/>
  <c r="AO180" i="4" a="1"/>
  <c r="AO180" i="4" s="1"/>
  <c r="T203" i="1" s="1"/>
  <c r="BH180" i="4"/>
  <c r="AS180" i="4" a="1"/>
  <c r="AS180" i="4" s="1"/>
  <c r="X203" i="1" s="1"/>
  <c r="AR180" i="4" a="1"/>
  <c r="AR180" i="4" s="1"/>
  <c r="W203" i="1" s="1"/>
  <c r="AO72" i="4" a="1"/>
  <c r="AO72" i="4" s="1"/>
  <c r="T59" i="1" s="1"/>
  <c r="BH72" i="4"/>
  <c r="AR72" i="4" a="1"/>
  <c r="AR72" i="4" s="1"/>
  <c r="W59" i="1" s="1"/>
  <c r="AQ72" i="4" a="1"/>
  <c r="AQ72" i="4" s="1"/>
  <c r="V59" i="1" s="1"/>
  <c r="AP72" i="4" a="1"/>
  <c r="AP72" i="4" s="1"/>
  <c r="U59" i="1" s="1"/>
  <c r="L59" i="10"/>
  <c r="AU90" i="6"/>
  <c r="AO94" i="4" a="1"/>
  <c r="AO94" i="4" s="1"/>
  <c r="T89" i="1" s="1"/>
  <c r="BH94" i="4"/>
  <c r="AQ94" i="4" a="1"/>
  <c r="AQ94" i="4" s="1"/>
  <c r="V89" i="1" s="1"/>
  <c r="AR94" i="4" a="1"/>
  <c r="AR94" i="4" s="1"/>
  <c r="W89" i="1" s="1"/>
  <c r="AP94" i="4" a="1"/>
  <c r="AP94" i="4" s="1"/>
  <c r="U89" i="1" s="1"/>
  <c r="L120" i="10"/>
  <c r="AU151" i="6"/>
  <c r="L73" i="10"/>
  <c r="AU104" i="6"/>
  <c r="T55" i="5"/>
  <c r="W55" i="5"/>
  <c r="Z55" i="5" s="1"/>
  <c r="B21" i="7"/>
  <c r="X55" i="5"/>
  <c r="X136" i="5"/>
  <c r="W136" i="5"/>
  <c r="Z136" i="5" s="1"/>
  <c r="T136" i="5"/>
  <c r="B102" i="7"/>
  <c r="AT81" i="6"/>
  <c r="AS81" i="6"/>
  <c r="N50" i="10" s="1"/>
  <c r="W133" i="5"/>
  <c r="Z133" i="5" s="1"/>
  <c r="T133" i="5"/>
  <c r="X133" i="5"/>
  <c r="B99" i="7"/>
  <c r="L48" i="10"/>
  <c r="AU79" i="6"/>
  <c r="K48" i="4"/>
  <c r="U48" i="4"/>
  <c r="T59" i="5"/>
  <c r="B25" i="7"/>
  <c r="W59" i="5"/>
  <c r="Z59" i="5" s="1"/>
  <c r="X59" i="5"/>
  <c r="X180" i="5"/>
  <c r="B146" i="7"/>
  <c r="W180" i="5"/>
  <c r="Z180" i="5" s="1"/>
  <c r="T180" i="5"/>
  <c r="O148" i="12" s="1"/>
  <c r="X58" i="5"/>
  <c r="B24" i="7"/>
  <c r="W58" i="5"/>
  <c r="Z58" i="5" s="1"/>
  <c r="T58" i="5"/>
  <c r="L91" i="10"/>
  <c r="AU122" i="6"/>
  <c r="X40" i="5"/>
  <c r="W40" i="5"/>
  <c r="Z40" i="5" s="1"/>
  <c r="T40" i="5"/>
  <c r="B6" i="7"/>
  <c r="X50" i="5"/>
  <c r="W50" i="5"/>
  <c r="Z50" i="5" s="1"/>
  <c r="B16" i="7"/>
  <c r="T50" i="5"/>
  <c r="AU187" i="4" a="1"/>
  <c r="AU187" i="4" s="1"/>
  <c r="Z212" i="1" s="1"/>
  <c r="AX187" i="4" a="1"/>
  <c r="AX187" i="4" s="1"/>
  <c r="AC212" i="1" s="1"/>
  <c r="AV187" i="4" a="1"/>
  <c r="AV187" i="4" s="1"/>
  <c r="AA212" i="1" s="1"/>
  <c r="AS187" i="4" a="1"/>
  <c r="AS187" i="4" s="1"/>
  <c r="X212" i="1" s="1"/>
  <c r="AQ187" i="4" a="1"/>
  <c r="AQ187" i="4" s="1"/>
  <c r="V212" i="1" s="1"/>
  <c r="AR187" i="4" a="1"/>
  <c r="AR187" i="4" s="1"/>
  <c r="W212" i="1" s="1"/>
  <c r="BH187" i="4"/>
  <c r="AW187" i="4" a="1"/>
  <c r="AW187" i="4" s="1"/>
  <c r="AB212" i="1" s="1"/>
  <c r="AT187" i="4" a="1"/>
  <c r="AT187" i="4" s="1"/>
  <c r="Y212" i="1" s="1"/>
  <c r="AP187" i="4" a="1"/>
  <c r="AP187" i="4" s="1"/>
  <c r="U212" i="1" s="1"/>
  <c r="AO187" i="4" a="1"/>
  <c r="AO187" i="4" s="1"/>
  <c r="T212" i="1" s="1"/>
  <c r="B69" i="7"/>
  <c r="T103" i="5"/>
  <c r="X103" i="5"/>
  <c r="W103" i="5"/>
  <c r="Z103" i="5" s="1"/>
  <c r="L81" i="10"/>
  <c r="AU112" i="6"/>
  <c r="B155" i="7"/>
  <c r="X189" i="5"/>
  <c r="W189" i="5"/>
  <c r="Z189" i="5" s="1"/>
  <c r="T189" i="5"/>
  <c r="O157" i="12" s="1"/>
  <c r="L75" i="10"/>
  <c r="AU106" i="6"/>
  <c r="L18" i="10"/>
  <c r="AU49" i="6"/>
  <c r="AU161" i="4" a="1"/>
  <c r="AU161" i="4" s="1"/>
  <c r="Z178" i="1" s="1"/>
  <c r="AO161" i="4" a="1"/>
  <c r="AO161" i="4" s="1"/>
  <c r="T178" i="1" s="1"/>
  <c r="AV161" i="4" a="1"/>
  <c r="AV161" i="4" s="1"/>
  <c r="AA178" i="1" s="1"/>
  <c r="BH161" i="4"/>
  <c r="AW161" i="4" a="1"/>
  <c r="AW161" i="4" s="1"/>
  <c r="AB178" i="1" s="1"/>
  <c r="AP161" i="4" a="1"/>
  <c r="AP161" i="4" s="1"/>
  <c r="U178" i="1" s="1"/>
  <c r="AQ161" i="4" a="1"/>
  <c r="AQ161" i="4" s="1"/>
  <c r="V178" i="1" s="1"/>
  <c r="AX161" i="4" a="1"/>
  <c r="AX161" i="4" s="1"/>
  <c r="AC178" i="1" s="1"/>
  <c r="AR161" i="4" a="1"/>
  <c r="AR161" i="4" s="1"/>
  <c r="W178" i="1" s="1"/>
  <c r="AT161" i="4" a="1"/>
  <c r="AT161" i="4" s="1"/>
  <c r="Y178" i="1" s="1"/>
  <c r="AS161" i="4" a="1"/>
  <c r="AS161" i="4" s="1"/>
  <c r="X178" i="1" s="1"/>
  <c r="AP138" i="4" a="1"/>
  <c r="AP138" i="4" s="1"/>
  <c r="U147" i="1" s="1"/>
  <c r="AT138" i="4" a="1"/>
  <c r="AT138" i="4" s="1"/>
  <c r="Y147" i="1" s="1"/>
  <c r="AV138" i="4" a="1"/>
  <c r="AV138" i="4" s="1"/>
  <c r="AA147" i="1" s="1"/>
  <c r="BH138" i="4"/>
  <c r="AS138" i="4" a="1"/>
  <c r="AS138" i="4" s="1"/>
  <c r="X147" i="1" s="1"/>
  <c r="AQ138" i="4" a="1"/>
  <c r="AQ138" i="4" s="1"/>
  <c r="V147" i="1" s="1"/>
  <c r="AR138" i="4" a="1"/>
  <c r="AR138" i="4" s="1"/>
  <c r="W147" i="1" s="1"/>
  <c r="AU138" i="4" a="1"/>
  <c r="AU138" i="4" s="1"/>
  <c r="Z147" i="1" s="1"/>
  <c r="AO138" i="4" a="1"/>
  <c r="AO138" i="4" s="1"/>
  <c r="T147" i="1" s="1"/>
  <c r="AX138" i="4" a="1"/>
  <c r="AX138" i="4" s="1"/>
  <c r="AC147" i="1" s="1"/>
  <c r="AW138" i="4" a="1"/>
  <c r="AW138" i="4" s="1"/>
  <c r="AB147" i="1" s="1"/>
  <c r="X97" i="5"/>
  <c r="T97" i="5"/>
  <c r="W97" i="5"/>
  <c r="Z97" i="5" s="1"/>
  <c r="B63" i="7"/>
  <c r="L125" i="10"/>
  <c r="AU156" i="6"/>
  <c r="AS103" i="4" a="1"/>
  <c r="AS103" i="4" s="1"/>
  <c r="X100" i="1" s="1"/>
  <c r="AT103" i="4" a="1"/>
  <c r="AT103" i="4" s="1"/>
  <c r="Y100" i="1" s="1"/>
  <c r="AQ103" i="4" a="1"/>
  <c r="AQ103" i="4" s="1"/>
  <c r="V100" i="1" s="1"/>
  <c r="AP103" i="4" a="1"/>
  <c r="AP103" i="4" s="1"/>
  <c r="U100" i="1" s="1"/>
  <c r="AO103" i="4" a="1"/>
  <c r="AO103" i="4" s="1"/>
  <c r="T100" i="1" s="1"/>
  <c r="BH103" i="4"/>
  <c r="AR103" i="4" a="1"/>
  <c r="AR103" i="4" s="1"/>
  <c r="W100" i="1" s="1"/>
  <c r="L23" i="10"/>
  <c r="AU54" i="6"/>
  <c r="L65" i="10"/>
  <c r="AU96" i="6"/>
  <c r="B41" i="7"/>
  <c r="X75" i="5"/>
  <c r="W75" i="5"/>
  <c r="Z75" i="5" s="1"/>
  <c r="T75" i="5"/>
  <c r="X108" i="5"/>
  <c r="T108" i="5"/>
  <c r="W108" i="5"/>
  <c r="Z108" i="5" s="1"/>
  <c r="B74" i="7"/>
  <c r="L25" i="10"/>
  <c r="AU56" i="6"/>
  <c r="AP39" i="4" a="1"/>
  <c r="AP39" i="4" s="1"/>
  <c r="U16" i="1" s="1"/>
  <c r="AR39" i="4" a="1"/>
  <c r="AR39" i="4" s="1"/>
  <c r="W16" i="1" s="1"/>
  <c r="AO39" i="4" a="1"/>
  <c r="AO39" i="4" s="1"/>
  <c r="T16" i="1" s="1"/>
  <c r="AS39" i="4" a="1"/>
  <c r="AS39" i="4" s="1"/>
  <c r="X16" i="1" s="1"/>
  <c r="AT39" i="4" a="1"/>
  <c r="AT39" i="4" s="1"/>
  <c r="Y16" i="1" s="1"/>
  <c r="BH39" i="4"/>
  <c r="AQ39" i="4" a="1"/>
  <c r="AQ39" i="4" s="1"/>
  <c r="V16" i="1" s="1"/>
  <c r="L113" i="10"/>
  <c r="AU144" i="6"/>
  <c r="BH136" i="4"/>
  <c r="AX136" i="4" a="1"/>
  <c r="AX136" i="4" s="1"/>
  <c r="AC145" i="1" s="1"/>
  <c r="AQ136" i="4" a="1"/>
  <c r="AQ136" i="4" s="1"/>
  <c r="V145" i="1" s="1"/>
  <c r="AU136" i="4" a="1"/>
  <c r="AU136" i="4" s="1"/>
  <c r="Z145" i="1" s="1"/>
  <c r="AR136" i="4" a="1"/>
  <c r="AR136" i="4" s="1"/>
  <c r="W145" i="1" s="1"/>
  <c r="AV136" i="4" a="1"/>
  <c r="AV136" i="4" s="1"/>
  <c r="AA145" i="1" s="1"/>
  <c r="AO136" i="4" a="1"/>
  <c r="AO136" i="4" s="1"/>
  <c r="T145" i="1" s="1"/>
  <c r="AP136" i="4" a="1"/>
  <c r="AP136" i="4" s="1"/>
  <c r="U145" i="1" s="1"/>
  <c r="AT136" i="4" a="1"/>
  <c r="AT136" i="4" s="1"/>
  <c r="Y145" i="1" s="1"/>
  <c r="AS136" i="4" a="1"/>
  <c r="AS136" i="4" s="1"/>
  <c r="X145" i="1" s="1"/>
  <c r="AW136" i="4" a="1"/>
  <c r="AW136" i="4" s="1"/>
  <c r="AB145" i="1" s="1"/>
  <c r="T45" i="5"/>
  <c r="X45" i="5"/>
  <c r="B11" i="7"/>
  <c r="W45" i="5"/>
  <c r="Z45" i="5" s="1"/>
  <c r="AP176" i="4" a="1"/>
  <c r="AP176" i="4" s="1"/>
  <c r="AR176" i="4" a="1"/>
  <c r="AR176" i="4" s="1"/>
  <c r="AT176" i="4" a="1"/>
  <c r="AT176" i="4" s="1"/>
  <c r="AO176" i="4" a="1"/>
  <c r="AO176" i="4" s="1"/>
  <c r="AV176" i="4" a="1"/>
  <c r="AV176" i="4" s="1"/>
  <c r="AU176" i="4" a="1"/>
  <c r="AU176" i="4" s="1"/>
  <c r="BH176" i="4"/>
  <c r="AQ176" i="4" a="1"/>
  <c r="AQ176" i="4" s="1"/>
  <c r="AS176" i="4" a="1"/>
  <c r="AS176" i="4" s="1"/>
  <c r="L16" i="10"/>
  <c r="AU47" i="6"/>
  <c r="X184" i="5"/>
  <c r="B150" i="7"/>
  <c r="W184" i="5"/>
  <c r="Z184" i="5" s="1"/>
  <c r="T184" i="5"/>
  <c r="O152" i="12" s="1"/>
  <c r="AO74" i="4" a="1"/>
  <c r="AO74" i="4" s="1"/>
  <c r="BH74" i="4"/>
  <c r="AS74" i="4" a="1"/>
  <c r="AS74" i="4" s="1"/>
  <c r="AQ74" i="4" a="1"/>
  <c r="AQ74" i="4" s="1"/>
  <c r="AR74" i="4" a="1"/>
  <c r="AR74" i="4" s="1"/>
  <c r="AP74" i="4" a="1"/>
  <c r="AP74" i="4" s="1"/>
  <c r="AT74" i="4" a="1"/>
  <c r="AT74" i="4" s="1"/>
  <c r="R138" i="12"/>
  <c r="X170" i="5"/>
  <c r="T170" i="5"/>
  <c r="O138" i="12" s="1"/>
  <c r="W170" i="5"/>
  <c r="Z170" i="5" s="1"/>
  <c r="B136" i="7"/>
  <c r="W135" i="5"/>
  <c r="Z135" i="5" s="1"/>
  <c r="X135" i="5"/>
  <c r="T135" i="5"/>
  <c r="B101" i="7"/>
  <c r="BH84" i="4"/>
  <c r="AQ84" i="4" a="1"/>
  <c r="AQ84" i="4" s="1"/>
  <c r="V75" i="1" s="1"/>
  <c r="AT84" i="4" a="1"/>
  <c r="AT84" i="4" s="1"/>
  <c r="Y75" i="1" s="1"/>
  <c r="AP84" i="4" a="1"/>
  <c r="AP84" i="4" s="1"/>
  <c r="U75" i="1" s="1"/>
  <c r="AO84" i="4" a="1"/>
  <c r="AO84" i="4" s="1"/>
  <c r="T75" i="1" s="1"/>
  <c r="AS84" i="4" a="1"/>
  <c r="AS84" i="4" s="1"/>
  <c r="X75" i="1" s="1"/>
  <c r="AR84" i="4" a="1"/>
  <c r="AR84" i="4" s="1"/>
  <c r="W75" i="1" s="1"/>
  <c r="AV84" i="4" a="1"/>
  <c r="AV84" i="4" s="1"/>
  <c r="AA75" i="1" s="1"/>
  <c r="AU84" i="4" a="1"/>
  <c r="AU84" i="4" s="1"/>
  <c r="Z75" i="1" s="1"/>
  <c r="AQ91" i="4" a="1"/>
  <c r="AQ91" i="4" s="1"/>
  <c r="V84" i="1" s="1"/>
  <c r="AV91" i="4" a="1"/>
  <c r="AV91" i="4" s="1"/>
  <c r="AA84" i="1" s="1"/>
  <c r="BH91" i="4"/>
  <c r="AP91" i="4" a="1"/>
  <c r="AP91" i="4" s="1"/>
  <c r="U84" i="1" s="1"/>
  <c r="AX91" i="4" a="1"/>
  <c r="AX91" i="4" s="1"/>
  <c r="AC84" i="1" s="1"/>
  <c r="AR91" i="4" a="1"/>
  <c r="AR91" i="4" s="1"/>
  <c r="W84" i="1" s="1"/>
  <c r="AS91" i="4" a="1"/>
  <c r="AS91" i="4" s="1"/>
  <c r="X84" i="1" s="1"/>
  <c r="AU91" i="4" a="1"/>
  <c r="AU91" i="4" s="1"/>
  <c r="Z84" i="1" s="1"/>
  <c r="AO91" i="4" a="1"/>
  <c r="AO91" i="4" s="1"/>
  <c r="T84" i="1" s="1"/>
  <c r="AW91" i="4" a="1"/>
  <c r="AW91" i="4" s="1"/>
  <c r="AB84" i="1" s="1"/>
  <c r="AT91" i="4" a="1"/>
  <c r="AT91" i="4" s="1"/>
  <c r="Y84" i="1" s="1"/>
  <c r="X86" i="5"/>
  <c r="W86" i="5"/>
  <c r="Z86" i="5" s="1"/>
  <c r="B52" i="7"/>
  <c r="T86" i="5"/>
  <c r="AO118" i="4" a="1"/>
  <c r="AO118" i="4" s="1"/>
  <c r="T121" i="1" s="1"/>
  <c r="AQ118" i="4" a="1"/>
  <c r="AQ118" i="4" s="1"/>
  <c r="V121" i="1" s="1"/>
  <c r="AR118" i="4" a="1"/>
  <c r="AR118" i="4" s="1"/>
  <c r="W121" i="1" s="1"/>
  <c r="AP118" i="4" a="1"/>
  <c r="AP118" i="4" s="1"/>
  <c r="U121" i="1" s="1"/>
  <c r="BH118" i="4"/>
  <c r="B40" i="7"/>
  <c r="X74" i="5"/>
  <c r="T74" i="5"/>
  <c r="W74" i="5"/>
  <c r="Z74" i="5" s="1"/>
  <c r="X185" i="5"/>
  <c r="B151" i="7"/>
  <c r="W185" i="5"/>
  <c r="Z185" i="5" s="1"/>
  <c r="T185" i="5"/>
  <c r="O153" i="12" s="1"/>
  <c r="R131" i="12"/>
  <c r="T163" i="5"/>
  <c r="O131" i="12" s="1"/>
  <c r="W163" i="5"/>
  <c r="Z163" i="5" s="1"/>
  <c r="B129" i="7"/>
  <c r="X163" i="5"/>
  <c r="AT77" i="4" a="1"/>
  <c r="AT77" i="4" s="1"/>
  <c r="Y66" i="1" s="1"/>
  <c r="BH77" i="4"/>
  <c r="AO77" i="4" a="1"/>
  <c r="AO77" i="4" s="1"/>
  <c r="T66" i="1" s="1"/>
  <c r="AQ77" i="4" a="1"/>
  <c r="AQ77" i="4" s="1"/>
  <c r="V66" i="1" s="1"/>
  <c r="AP77" i="4" a="1"/>
  <c r="AP77" i="4" s="1"/>
  <c r="U66" i="1" s="1"/>
  <c r="AS77" i="4" a="1"/>
  <c r="AS77" i="4" s="1"/>
  <c r="X66" i="1" s="1"/>
  <c r="AR77" i="4" a="1"/>
  <c r="AR77" i="4" s="1"/>
  <c r="W66" i="1" s="1"/>
  <c r="AV105" i="4" a="1"/>
  <c r="AV105" i="4" s="1"/>
  <c r="AA104" i="1" s="1"/>
  <c r="AS105" i="4" a="1"/>
  <c r="AS105" i="4" s="1"/>
  <c r="X104" i="1" s="1"/>
  <c r="AT105" i="4" a="1"/>
  <c r="AT105" i="4" s="1"/>
  <c r="Y104" i="1" s="1"/>
  <c r="AQ105" i="4" a="1"/>
  <c r="AQ105" i="4" s="1"/>
  <c r="V104" i="1" s="1"/>
  <c r="AU105" i="4" a="1"/>
  <c r="AU105" i="4" s="1"/>
  <c r="Z104" i="1" s="1"/>
  <c r="AO105" i="4" a="1"/>
  <c r="AO105" i="4" s="1"/>
  <c r="T104" i="1" s="1"/>
  <c r="AP105" i="4" a="1"/>
  <c r="AP105" i="4" s="1"/>
  <c r="U104" i="1" s="1"/>
  <c r="BH105" i="4"/>
  <c r="AR105" i="4" a="1"/>
  <c r="AR105" i="4" s="1"/>
  <c r="W104" i="1" s="1"/>
  <c r="W127" i="5"/>
  <c r="Z127" i="5" s="1"/>
  <c r="T127" i="5"/>
  <c r="B93" i="7"/>
  <c r="X127" i="5"/>
  <c r="AP130" i="4" a="1"/>
  <c r="AP130" i="4" s="1"/>
  <c r="U137" i="1" s="1"/>
  <c r="AO130" i="4" a="1"/>
  <c r="AO130" i="4" s="1"/>
  <c r="T137" i="1" s="1"/>
  <c r="AS130" i="4" a="1"/>
  <c r="AS130" i="4" s="1"/>
  <c r="X137" i="1" s="1"/>
  <c r="AV130" i="4" a="1"/>
  <c r="AV130" i="4" s="1"/>
  <c r="AA137" i="1" s="1"/>
  <c r="AU130" i="4" a="1"/>
  <c r="AU130" i="4" s="1"/>
  <c r="Z137" i="1" s="1"/>
  <c r="AT130" i="4" a="1"/>
  <c r="AT130" i="4" s="1"/>
  <c r="Y137" i="1" s="1"/>
  <c r="BH130" i="4"/>
  <c r="AR130" i="4" a="1"/>
  <c r="AR130" i="4" s="1"/>
  <c r="W137" i="1" s="1"/>
  <c r="AQ130" i="4" a="1"/>
  <c r="AQ130" i="4" s="1"/>
  <c r="V137" i="1" s="1"/>
  <c r="L119" i="10"/>
  <c r="AU150" i="6"/>
  <c r="B133" i="7"/>
  <c r="X167" i="5"/>
  <c r="W167" i="5"/>
  <c r="Z167" i="5" s="1"/>
  <c r="T167" i="5"/>
  <c r="O135" i="12" s="1"/>
  <c r="R99" i="12"/>
  <c r="B14" i="7"/>
  <c r="X48" i="5"/>
  <c r="T48" i="5"/>
  <c r="W48" i="5"/>
  <c r="Z48" i="5" s="1"/>
  <c r="L149" i="10"/>
  <c r="AU180" i="6"/>
  <c r="T138" i="5"/>
  <c r="O106" i="12" s="1"/>
  <c r="W138" i="5"/>
  <c r="Z138" i="5" s="1"/>
  <c r="X138" i="5"/>
  <c r="B104" i="7"/>
  <c r="L62" i="10"/>
  <c r="AU93" i="6"/>
  <c r="L103" i="10"/>
  <c r="AU134" i="6"/>
  <c r="L123" i="10"/>
  <c r="AU154" i="6"/>
  <c r="AO71" i="4" a="1"/>
  <c r="AO71" i="4" s="1"/>
  <c r="T58" i="1" s="1"/>
  <c r="AR71" i="4" a="1"/>
  <c r="AR71" i="4" s="1"/>
  <c r="W58" i="1" s="1"/>
  <c r="AP71" i="4" a="1"/>
  <c r="AP71" i="4" s="1"/>
  <c r="U58" i="1" s="1"/>
  <c r="BH71" i="4"/>
  <c r="AQ71" i="4" a="1"/>
  <c r="AQ71" i="4" s="1"/>
  <c r="V58" i="1" s="1"/>
  <c r="L56" i="10"/>
  <c r="AU87" i="6"/>
  <c r="AO89" i="4" a="1"/>
  <c r="AO89" i="4" s="1"/>
  <c r="T82" i="1" s="1"/>
  <c r="AW89" i="4" a="1"/>
  <c r="AW89" i="4" s="1"/>
  <c r="AB82" i="1" s="1"/>
  <c r="AT89" i="4" a="1"/>
  <c r="AT89" i="4" s="1"/>
  <c r="Y82" i="1" s="1"/>
  <c r="AR89" i="4" a="1"/>
  <c r="AR89" i="4" s="1"/>
  <c r="W82" i="1" s="1"/>
  <c r="AS89" i="4" a="1"/>
  <c r="AS89" i="4" s="1"/>
  <c r="X82" i="1" s="1"/>
  <c r="BH89" i="4"/>
  <c r="AV89" i="4" a="1"/>
  <c r="AV89" i="4" s="1"/>
  <c r="AA82" i="1" s="1"/>
  <c r="AX89" i="4" a="1"/>
  <c r="AX89" i="4" s="1"/>
  <c r="AC82" i="1" s="1"/>
  <c r="AU89" i="4" a="1"/>
  <c r="AU89" i="4" s="1"/>
  <c r="Z82" i="1" s="1"/>
  <c r="AQ89" i="4" a="1"/>
  <c r="AQ89" i="4" s="1"/>
  <c r="V82" i="1" s="1"/>
  <c r="AP89" i="4" a="1"/>
  <c r="AP89" i="4" s="1"/>
  <c r="U82" i="1" s="1"/>
  <c r="AT126" i="4" a="1"/>
  <c r="AT126" i="4" s="1"/>
  <c r="Y131" i="1" s="1"/>
  <c r="AQ126" i="4" a="1"/>
  <c r="AQ126" i="4" s="1"/>
  <c r="V131" i="1" s="1"/>
  <c r="AS126" i="4" a="1"/>
  <c r="AS126" i="4" s="1"/>
  <c r="X131" i="1" s="1"/>
  <c r="AR126" i="4" a="1"/>
  <c r="AR126" i="4" s="1"/>
  <c r="W131" i="1" s="1"/>
  <c r="AO126" i="4" a="1"/>
  <c r="AO126" i="4" s="1"/>
  <c r="T131" i="1" s="1"/>
  <c r="AP126" i="4" a="1"/>
  <c r="AP126" i="4" s="1"/>
  <c r="U131" i="1" s="1"/>
  <c r="BH126" i="4"/>
  <c r="R157" i="12"/>
  <c r="L117" i="10"/>
  <c r="AU148" i="6"/>
  <c r="L69" i="10"/>
  <c r="AU100" i="6"/>
  <c r="B20" i="7"/>
  <c r="W54" i="5"/>
  <c r="Z54" i="5" s="1"/>
  <c r="X54" i="5"/>
  <c r="T54" i="5"/>
  <c r="R14" i="12"/>
  <c r="L86" i="10"/>
  <c r="AU117" i="6"/>
  <c r="T117" i="5"/>
  <c r="B83" i="7"/>
  <c r="W117" i="5"/>
  <c r="Z117" i="5" s="1"/>
  <c r="X117" i="5"/>
  <c r="X177" i="5"/>
  <c r="W177" i="5"/>
  <c r="Z177" i="5" s="1"/>
  <c r="B143" i="7"/>
  <c r="T177" i="5"/>
  <c r="O145" i="12" s="1"/>
  <c r="L147" i="10"/>
  <c r="AU178" i="6"/>
  <c r="R148" i="12"/>
  <c r="B7" i="7"/>
  <c r="X41" i="5"/>
  <c r="T41" i="5"/>
  <c r="W41" i="5"/>
  <c r="Z41" i="5" s="1"/>
  <c r="L24" i="10"/>
  <c r="AU55" i="6"/>
  <c r="L138" i="10"/>
  <c r="AU169" i="6"/>
  <c r="AR85" i="4" a="1"/>
  <c r="AR85" i="4" s="1"/>
  <c r="W76" i="1" s="1"/>
  <c r="AQ85" i="4" a="1"/>
  <c r="AQ85" i="4" s="1"/>
  <c r="V76" i="1" s="1"/>
  <c r="AU85" i="4" a="1"/>
  <c r="AU85" i="4" s="1"/>
  <c r="Z76" i="1" s="1"/>
  <c r="BH85" i="4"/>
  <c r="AS85" i="4" a="1"/>
  <c r="AS85" i="4" s="1"/>
  <c r="X76" i="1" s="1"/>
  <c r="AO85" i="4" a="1"/>
  <c r="AO85" i="4" s="1"/>
  <c r="T76" i="1" s="1"/>
  <c r="AP85" i="4" a="1"/>
  <c r="AP85" i="4" s="1"/>
  <c r="U76" i="1" s="1"/>
  <c r="AT85" i="4" a="1"/>
  <c r="AT85" i="4" s="1"/>
  <c r="Y76" i="1" s="1"/>
  <c r="AV85" i="4" a="1"/>
  <c r="AV85" i="4" s="1"/>
  <c r="AA76" i="1" s="1"/>
  <c r="R88" i="12"/>
  <c r="W178" i="5"/>
  <c r="Z178" i="5" s="1"/>
  <c r="B144" i="7"/>
  <c r="T178" i="5"/>
  <c r="O146" i="12" s="1"/>
  <c r="X178" i="5"/>
  <c r="L105" i="10"/>
  <c r="AU136" i="6"/>
  <c r="X171" i="5"/>
  <c r="W171" i="5"/>
  <c r="Z171" i="5" s="1"/>
  <c r="B137" i="7"/>
  <c r="T171" i="5"/>
  <c r="O139" i="12" s="1"/>
  <c r="R13" i="12"/>
  <c r="L44" i="10"/>
  <c r="AU75" i="6"/>
  <c r="L82" i="10"/>
  <c r="AU113" i="6"/>
  <c r="R56" i="12"/>
  <c r="BH169" i="4"/>
  <c r="AQ169" i="4" a="1"/>
  <c r="AQ169" i="4" s="1"/>
  <c r="V188" i="1" s="1"/>
  <c r="AO169" i="4" a="1"/>
  <c r="AO169" i="4" s="1"/>
  <c r="T188" i="1" s="1"/>
  <c r="AP169" i="4" a="1"/>
  <c r="AP169" i="4" s="1"/>
  <c r="U188" i="1" s="1"/>
  <c r="AR169" i="4" a="1"/>
  <c r="AR169" i="4" s="1"/>
  <c r="W188" i="1" s="1"/>
  <c r="W99" i="5"/>
  <c r="Z99" i="5" s="1"/>
  <c r="X99" i="5"/>
  <c r="B65" i="7"/>
  <c r="T99" i="5"/>
  <c r="AT38" i="4" a="1"/>
  <c r="AT38" i="4" s="1"/>
  <c r="AR38" i="4" a="1"/>
  <c r="AR38" i="4" s="1"/>
  <c r="AQ38" i="4" a="1"/>
  <c r="AQ38" i="4" s="1"/>
  <c r="AS38" i="4" a="1"/>
  <c r="AS38" i="4" s="1"/>
  <c r="AO38" i="4" a="1"/>
  <c r="AO38" i="4" s="1"/>
  <c r="BH38" i="4"/>
  <c r="AP38" i="4" a="1"/>
  <c r="AP38" i="4" s="1"/>
  <c r="L126" i="10"/>
  <c r="AU157" i="6"/>
  <c r="L96" i="10"/>
  <c r="AU127" i="6"/>
  <c r="X39" i="5"/>
  <c r="B5" i="7"/>
  <c r="W39" i="5"/>
  <c r="Z39" i="5" s="1"/>
  <c r="T39" i="5"/>
  <c r="B132" i="7"/>
  <c r="X166" i="5"/>
  <c r="T166" i="5"/>
  <c r="O134" i="12" s="1"/>
  <c r="W166" i="5"/>
  <c r="Z166" i="5" s="1"/>
  <c r="T106" i="5"/>
  <c r="B72" i="7"/>
  <c r="X106" i="5"/>
  <c r="W106" i="5"/>
  <c r="Z106" i="5" s="1"/>
  <c r="AT157" i="4" a="1"/>
  <c r="AT157" i="4" s="1"/>
  <c r="Y172" i="1" s="1"/>
  <c r="AP157" i="4" a="1"/>
  <c r="AP157" i="4" s="1"/>
  <c r="U172" i="1" s="1"/>
  <c r="AQ157" i="4" a="1"/>
  <c r="AQ157" i="4" s="1"/>
  <c r="V172" i="1" s="1"/>
  <c r="AS157" i="4" a="1"/>
  <c r="AS157" i="4" s="1"/>
  <c r="X172" i="1" s="1"/>
  <c r="AV157" i="4" a="1"/>
  <c r="AV157" i="4" s="1"/>
  <c r="AA172" i="1" s="1"/>
  <c r="AO157" i="4" a="1"/>
  <c r="AO157" i="4" s="1"/>
  <c r="T172" i="1" s="1"/>
  <c r="BH157" i="4"/>
  <c r="AR157" i="4" a="1"/>
  <c r="AR157" i="4" s="1"/>
  <c r="W172" i="1" s="1"/>
  <c r="AU157" i="4" a="1"/>
  <c r="AU157" i="4" s="1"/>
  <c r="Z172" i="1" s="1"/>
  <c r="R77" i="12"/>
  <c r="AR123" i="4" a="1"/>
  <c r="AR123" i="4" s="1"/>
  <c r="W128" i="1" s="1"/>
  <c r="AS123" i="4" a="1"/>
  <c r="AS123" i="4" s="1"/>
  <c r="X128" i="1" s="1"/>
  <c r="AO123" i="4" a="1"/>
  <c r="AO123" i="4" s="1"/>
  <c r="T128" i="1" s="1"/>
  <c r="BH123" i="4"/>
  <c r="AP123" i="4" a="1"/>
  <c r="AP123" i="4" s="1"/>
  <c r="U128" i="1" s="1"/>
  <c r="AQ123" i="4" a="1"/>
  <c r="AQ123" i="4" s="1"/>
  <c r="V128" i="1" s="1"/>
  <c r="AT123" i="4" a="1"/>
  <c r="AT123" i="4" s="1"/>
  <c r="Y128" i="1" s="1"/>
  <c r="R126" i="12"/>
  <c r="L108" i="10"/>
  <c r="AU139" i="6"/>
  <c r="R72" i="12"/>
  <c r="R21" i="12"/>
  <c r="AR160" i="4" a="1"/>
  <c r="AR160" i="4" s="1"/>
  <c r="W177" i="1" s="1"/>
  <c r="AX160" i="4" a="1"/>
  <c r="AX160" i="4" s="1"/>
  <c r="AC177" i="1" s="1"/>
  <c r="AQ160" i="4" a="1"/>
  <c r="AQ160" i="4" s="1"/>
  <c r="V177" i="1" s="1"/>
  <c r="AW160" i="4" a="1"/>
  <c r="AW160" i="4" s="1"/>
  <c r="AB177" i="1" s="1"/>
  <c r="AS160" i="4" a="1"/>
  <c r="AS160" i="4" s="1"/>
  <c r="X177" i="1" s="1"/>
  <c r="AT160" i="4" a="1"/>
  <c r="AT160" i="4" s="1"/>
  <c r="Y177" i="1" s="1"/>
  <c r="AO160" i="4" a="1"/>
  <c r="AO160" i="4" s="1"/>
  <c r="T177" i="1" s="1"/>
  <c r="AP160" i="4" a="1"/>
  <c r="AP160" i="4" s="1"/>
  <c r="U177" i="1" s="1"/>
  <c r="AV160" i="4" a="1"/>
  <c r="AV160" i="4" s="1"/>
  <c r="AA177" i="1" s="1"/>
  <c r="BH160" i="4"/>
  <c r="AU160" i="4" a="1"/>
  <c r="AU160" i="4" s="1"/>
  <c r="Z177" i="1" s="1"/>
  <c r="BH119" i="4"/>
  <c r="AR119" i="4" a="1"/>
  <c r="AR119" i="4" s="1"/>
  <c r="W122" i="1" s="1"/>
  <c r="AP119" i="4" a="1"/>
  <c r="AP119" i="4" s="1"/>
  <c r="U122" i="1" s="1"/>
  <c r="AQ119" i="4" a="1"/>
  <c r="AQ119" i="4" s="1"/>
  <c r="V122" i="1" s="1"/>
  <c r="AO119" i="4" a="1"/>
  <c r="AO119" i="4" s="1"/>
  <c r="T122" i="1" s="1"/>
  <c r="R10" i="12"/>
  <c r="L129" i="10"/>
  <c r="AU160" i="6"/>
  <c r="L98" i="10"/>
  <c r="AU129" i="6"/>
  <c r="B79" i="7"/>
  <c r="T113" i="5"/>
  <c r="W113" i="5"/>
  <c r="Z113" i="5" s="1"/>
  <c r="X113" i="5"/>
  <c r="AR174" i="4" a="1"/>
  <c r="AR174" i="4" s="1"/>
  <c r="W195" i="1" s="1"/>
  <c r="AS174" i="4" a="1"/>
  <c r="AS174" i="4" s="1"/>
  <c r="X195" i="1" s="1"/>
  <c r="AP174" i="4" a="1"/>
  <c r="AP174" i="4" s="1"/>
  <c r="U195" i="1" s="1"/>
  <c r="AQ174" i="4" a="1"/>
  <c r="AQ174" i="4" s="1"/>
  <c r="V195" i="1" s="1"/>
  <c r="AO174" i="4" a="1"/>
  <c r="AO174" i="4" s="1"/>
  <c r="T195" i="1" s="1"/>
  <c r="BH174" i="4"/>
  <c r="AT174" i="4" a="1"/>
  <c r="AT174" i="4" s="1"/>
  <c r="Y195" i="1" s="1"/>
  <c r="AR181" i="4" a="1"/>
  <c r="AR181" i="4" s="1"/>
  <c r="W204" i="1" s="1"/>
  <c r="AO181" i="4" a="1"/>
  <c r="AO181" i="4" s="1"/>
  <c r="T204" i="1" s="1"/>
  <c r="AT181" i="4" a="1"/>
  <c r="AT181" i="4" s="1"/>
  <c r="Y204" i="1" s="1"/>
  <c r="AP181" i="4" a="1"/>
  <c r="AP181" i="4" s="1"/>
  <c r="U204" i="1" s="1"/>
  <c r="AQ181" i="4" a="1"/>
  <c r="AQ181" i="4" s="1"/>
  <c r="V204" i="1" s="1"/>
  <c r="AS181" i="4" a="1"/>
  <c r="AS181" i="4" s="1"/>
  <c r="X204" i="1" s="1"/>
  <c r="AV181" i="4" a="1"/>
  <c r="AV181" i="4" s="1"/>
  <c r="AA204" i="1" s="1"/>
  <c r="BH181" i="4"/>
  <c r="AU181" i="4" a="1"/>
  <c r="AU181" i="4" s="1"/>
  <c r="Z204" i="1" s="1"/>
  <c r="L148" i="10"/>
  <c r="AU179" i="6"/>
  <c r="B117" i="7"/>
  <c r="W151" i="5"/>
  <c r="Z151" i="5" s="1"/>
  <c r="X151" i="5"/>
  <c r="T151" i="5"/>
  <c r="O119" i="12" s="1"/>
  <c r="AO95" i="4" a="1"/>
  <c r="AO95" i="4" s="1"/>
  <c r="T90" i="1" s="1"/>
  <c r="AP95" i="4" a="1"/>
  <c r="AP95" i="4" s="1"/>
  <c r="U90" i="1" s="1"/>
  <c r="AR95" i="4" a="1"/>
  <c r="AR95" i="4" s="1"/>
  <c r="W90" i="1" s="1"/>
  <c r="BH95" i="4"/>
  <c r="AQ95" i="4" a="1"/>
  <c r="AQ95" i="4" s="1"/>
  <c r="V90" i="1" s="1"/>
  <c r="AX185" i="4" a="1"/>
  <c r="AX185" i="4" s="1"/>
  <c r="AC210" i="1" s="1"/>
  <c r="AO185" i="4" a="1"/>
  <c r="AO185" i="4" s="1"/>
  <c r="T210" i="1" s="1"/>
  <c r="AP185" i="4" a="1"/>
  <c r="AP185" i="4" s="1"/>
  <c r="U210" i="1" s="1"/>
  <c r="BH185" i="4"/>
  <c r="AU185" i="4" a="1"/>
  <c r="AU185" i="4" s="1"/>
  <c r="Z210" i="1" s="1"/>
  <c r="AQ185" i="4" a="1"/>
  <c r="AQ185" i="4" s="1"/>
  <c r="V210" i="1" s="1"/>
  <c r="AW185" i="4" a="1"/>
  <c r="AW185" i="4" s="1"/>
  <c r="AB210" i="1" s="1"/>
  <c r="AV185" i="4" a="1"/>
  <c r="AV185" i="4" s="1"/>
  <c r="AA210" i="1" s="1"/>
  <c r="AS185" i="4" a="1"/>
  <c r="AS185" i="4" s="1"/>
  <c r="X210" i="1" s="1"/>
  <c r="AT185" i="4" a="1"/>
  <c r="AT185" i="4" s="1"/>
  <c r="Y210" i="1" s="1"/>
  <c r="AR185" i="4" a="1"/>
  <c r="AR185" i="4" s="1"/>
  <c r="W210" i="1" s="1"/>
  <c r="AM31" i="4" a="1"/>
  <c r="AM31" i="4" s="1"/>
  <c r="BI32" i="4"/>
  <c r="X91" i="5"/>
  <c r="W91" i="5"/>
  <c r="Z91" i="5" s="1"/>
  <c r="B57" i="7"/>
  <c r="T91" i="5"/>
  <c r="AS172" i="6"/>
  <c r="N141" i="10" s="1"/>
  <c r="AT172" i="6"/>
  <c r="L57" i="10"/>
  <c r="AU88" i="6"/>
  <c r="L115" i="10"/>
  <c r="AU146" i="6"/>
  <c r="AP122" i="4" a="1"/>
  <c r="AP122" i="4" s="1"/>
  <c r="AR122" i="4" a="1"/>
  <c r="AR122" i="4" s="1"/>
  <c r="AT122" i="4" a="1"/>
  <c r="AT122" i="4" s="1"/>
  <c r="AO122" i="4" a="1"/>
  <c r="AO122" i="4" s="1"/>
  <c r="AS122" i="4" a="1"/>
  <c r="AS122" i="4" s="1"/>
  <c r="AQ122" i="4" a="1"/>
  <c r="AQ122" i="4" s="1"/>
  <c r="BH122" i="4"/>
  <c r="L154" i="10"/>
  <c r="AU185" i="6"/>
  <c r="X140" i="5"/>
  <c r="B106" i="7"/>
  <c r="T140" i="5"/>
  <c r="O108" i="12" s="1"/>
  <c r="W140" i="5"/>
  <c r="Z140" i="5" s="1"/>
  <c r="BH37" i="4"/>
  <c r="AO37" i="4" a="1"/>
  <c r="AO37" i="4" s="1"/>
  <c r="T12" i="1" s="1"/>
  <c r="AP37" i="4" a="1"/>
  <c r="AP37" i="4" s="1"/>
  <c r="U12" i="1" s="1"/>
  <c r="R109" i="12"/>
  <c r="B107" i="7"/>
  <c r="X141" i="5"/>
  <c r="W141" i="5"/>
  <c r="Z141" i="5" s="1"/>
  <c r="T141" i="5"/>
  <c r="O109" i="12" s="1"/>
  <c r="B64" i="7"/>
  <c r="T98" i="5"/>
  <c r="X98" i="5"/>
  <c r="W98" i="5"/>
  <c r="Z98" i="5" s="1"/>
  <c r="L66" i="10"/>
  <c r="AU97" i="6"/>
  <c r="W43" i="5"/>
  <c r="Z43" i="5" s="1"/>
  <c r="T43" i="5"/>
  <c r="X43" i="5"/>
  <c r="B9" i="7"/>
  <c r="AV132" i="4" a="1"/>
  <c r="AV132" i="4" s="1"/>
  <c r="AA139" i="1" s="1"/>
  <c r="AO132" i="4" a="1"/>
  <c r="AO132" i="4" s="1"/>
  <c r="T139" i="1" s="1"/>
  <c r="AQ132" i="4" a="1"/>
  <c r="AQ132" i="4" s="1"/>
  <c r="V139" i="1" s="1"/>
  <c r="BH132" i="4"/>
  <c r="AP132" i="4" a="1"/>
  <c r="AP132" i="4" s="1"/>
  <c r="U139" i="1" s="1"/>
  <c r="AR132" i="4" a="1"/>
  <c r="AR132" i="4" s="1"/>
  <c r="W139" i="1" s="1"/>
  <c r="AS132" i="4" a="1"/>
  <c r="AS132" i="4" s="1"/>
  <c r="X139" i="1" s="1"/>
  <c r="AU132" i="4" a="1"/>
  <c r="AU132" i="4" s="1"/>
  <c r="Z139" i="1" s="1"/>
  <c r="AT132" i="4" a="1"/>
  <c r="AT132" i="4" s="1"/>
  <c r="Y139" i="1" s="1"/>
  <c r="AS54" i="4" a="1"/>
  <c r="AS54" i="4" s="1"/>
  <c r="AP54" i="4" a="1"/>
  <c r="AP54" i="4" s="1"/>
  <c r="BH54" i="4"/>
  <c r="AT54" i="4" a="1"/>
  <c r="AT54" i="4" s="1"/>
  <c r="AR54" i="4" a="1"/>
  <c r="AR54" i="4" s="1"/>
  <c r="AO54" i="4" a="1"/>
  <c r="AO54" i="4" s="1"/>
  <c r="AQ54" i="4" a="1"/>
  <c r="AQ54" i="4" s="1"/>
  <c r="AQ88" i="4" a="1"/>
  <c r="AQ88" i="4" s="1"/>
  <c r="V81" i="1" s="1"/>
  <c r="AW88" i="4" a="1"/>
  <c r="AW88" i="4" s="1"/>
  <c r="AB81" i="1" s="1"/>
  <c r="AO88" i="4" a="1"/>
  <c r="AO88" i="4" s="1"/>
  <c r="T81" i="1" s="1"/>
  <c r="AV88" i="4" a="1"/>
  <c r="AV88" i="4" s="1"/>
  <c r="AA81" i="1" s="1"/>
  <c r="AR88" i="4" a="1"/>
  <c r="AR88" i="4" s="1"/>
  <c r="W81" i="1" s="1"/>
  <c r="BH88" i="4"/>
  <c r="AU88" i="4" a="1"/>
  <c r="AU88" i="4" s="1"/>
  <c r="Z81" i="1" s="1"/>
  <c r="AT88" i="4" a="1"/>
  <c r="AT88" i="4" s="1"/>
  <c r="Y81" i="1" s="1"/>
  <c r="AX88" i="4" a="1"/>
  <c r="AX88" i="4" s="1"/>
  <c r="AC81" i="1" s="1"/>
  <c r="AS88" i="4" a="1"/>
  <c r="AS88" i="4" s="1"/>
  <c r="X81" i="1" s="1"/>
  <c r="AP88" i="4" a="1"/>
  <c r="AP88" i="4" s="1"/>
  <c r="U81" i="1" s="1"/>
  <c r="AS98" i="4" a="1"/>
  <c r="AS98" i="4" s="1"/>
  <c r="AO98" i="4" a="1"/>
  <c r="AO98" i="4" s="1"/>
  <c r="AQ98" i="4" a="1"/>
  <c r="AQ98" i="4" s="1"/>
  <c r="BH98" i="4"/>
  <c r="AR98" i="4" a="1"/>
  <c r="AR98" i="4" s="1"/>
  <c r="AT98" i="4" a="1"/>
  <c r="AT98" i="4" s="1"/>
  <c r="AP98" i="4" a="1"/>
  <c r="AP98" i="4" s="1"/>
  <c r="W37" i="5"/>
  <c r="Z37" i="5" s="1"/>
  <c r="B3" i="7"/>
  <c r="T37" i="5"/>
  <c r="X37" i="5"/>
  <c r="W102" i="5"/>
  <c r="Z102" i="5" s="1"/>
  <c r="T102" i="5"/>
  <c r="B68" i="7"/>
  <c r="X102" i="5"/>
  <c r="R104" i="12"/>
  <c r="L40" i="10"/>
  <c r="AU71" i="6"/>
  <c r="AX115" i="4" a="1"/>
  <c r="AX115" i="4" s="1"/>
  <c r="AC116" i="1" s="1"/>
  <c r="AS115" i="4" a="1"/>
  <c r="AS115" i="4" s="1"/>
  <c r="X116" i="1" s="1"/>
  <c r="AR115" i="4" a="1"/>
  <c r="AR115" i="4" s="1"/>
  <c r="W116" i="1" s="1"/>
  <c r="AQ115" i="4" a="1"/>
  <c r="AQ115" i="4" s="1"/>
  <c r="V116" i="1" s="1"/>
  <c r="AW115" i="4" a="1"/>
  <c r="AW115" i="4" s="1"/>
  <c r="AB116" i="1" s="1"/>
  <c r="AP115" i="4" a="1"/>
  <c r="AP115" i="4" s="1"/>
  <c r="U116" i="1" s="1"/>
  <c r="BH115" i="4"/>
  <c r="AV115" i="4" a="1"/>
  <c r="AV115" i="4" s="1"/>
  <c r="AA116" i="1" s="1"/>
  <c r="AO115" i="4" a="1"/>
  <c r="AO115" i="4" s="1"/>
  <c r="T116" i="1" s="1"/>
  <c r="AT115" i="4" a="1"/>
  <c r="AT115" i="4" s="1"/>
  <c r="Y116" i="1" s="1"/>
  <c r="AU115" i="4" a="1"/>
  <c r="AU115" i="4" s="1"/>
  <c r="Z116" i="1" s="1"/>
  <c r="AP143" i="4" a="1"/>
  <c r="AP143" i="4" s="1"/>
  <c r="U154" i="1" s="1"/>
  <c r="AQ143" i="4" a="1"/>
  <c r="AQ143" i="4" s="1"/>
  <c r="V154" i="1" s="1"/>
  <c r="AO143" i="4" a="1"/>
  <c r="AO143" i="4" s="1"/>
  <c r="T154" i="1" s="1"/>
  <c r="AR143" i="4" a="1"/>
  <c r="AR143" i="4" s="1"/>
  <c r="W154" i="1" s="1"/>
  <c r="BH143" i="4"/>
  <c r="L114" i="10"/>
  <c r="AU145" i="6"/>
  <c r="T51" i="5"/>
  <c r="W51" i="5"/>
  <c r="Z51" i="5" s="1"/>
  <c r="X51" i="5"/>
  <c r="B17" i="7"/>
  <c r="AO79" i="4" a="1"/>
  <c r="AO79" i="4" s="1"/>
  <c r="T68" i="1" s="1"/>
  <c r="AT79" i="4" a="1"/>
  <c r="AT79" i="4" s="1"/>
  <c r="Y68" i="1" s="1"/>
  <c r="AS79" i="4" a="1"/>
  <c r="AS79" i="4" s="1"/>
  <c r="X68" i="1" s="1"/>
  <c r="AP79" i="4" a="1"/>
  <c r="AP79" i="4" s="1"/>
  <c r="U68" i="1" s="1"/>
  <c r="AQ79" i="4" a="1"/>
  <c r="AQ79" i="4" s="1"/>
  <c r="V68" i="1" s="1"/>
  <c r="AR79" i="4" a="1"/>
  <c r="AR79" i="4" s="1"/>
  <c r="W68" i="1" s="1"/>
  <c r="BH79" i="4"/>
  <c r="L99" i="10"/>
  <c r="AU130" i="6"/>
  <c r="W155" i="5"/>
  <c r="Z155" i="5" s="1"/>
  <c r="X155" i="5"/>
  <c r="B121" i="7"/>
  <c r="T155" i="5"/>
  <c r="O123" i="12" s="1"/>
  <c r="T142" i="5"/>
  <c r="O110" i="12" s="1"/>
  <c r="X142" i="5"/>
  <c r="B108" i="7"/>
  <c r="W142" i="5"/>
  <c r="Z142" i="5" s="1"/>
  <c r="AQ124" i="4" a="1"/>
  <c r="AQ124" i="4" s="1"/>
  <c r="V129" i="1" s="1"/>
  <c r="AT124" i="4" a="1"/>
  <c r="AT124" i="4" s="1"/>
  <c r="Y129" i="1" s="1"/>
  <c r="AP124" i="4" a="1"/>
  <c r="AP124" i="4" s="1"/>
  <c r="U129" i="1" s="1"/>
  <c r="AS124" i="4" a="1"/>
  <c r="AS124" i="4" s="1"/>
  <c r="X129" i="1" s="1"/>
  <c r="BH124" i="4"/>
  <c r="AR124" i="4" a="1"/>
  <c r="AR124" i="4" s="1"/>
  <c r="W129" i="1" s="1"/>
  <c r="AO124" i="4" a="1"/>
  <c r="AO124" i="4" s="1"/>
  <c r="T129" i="1" s="1"/>
  <c r="W159" i="5"/>
  <c r="Z159" i="5" s="1"/>
  <c r="B125" i="7"/>
  <c r="T159" i="5"/>
  <c r="O127" i="12" s="1"/>
  <c r="X159" i="5"/>
  <c r="R41" i="12"/>
  <c r="R120" i="12"/>
  <c r="T152" i="5"/>
  <c r="O120" i="12" s="1"/>
  <c r="W152" i="5"/>
  <c r="Z152" i="5" s="1"/>
  <c r="B118" i="7"/>
  <c r="X152" i="5"/>
  <c r="L46" i="10"/>
  <c r="AU77" i="6"/>
  <c r="AS112" i="4" a="1"/>
  <c r="AS112" i="4" s="1"/>
  <c r="X113" i="1" s="1"/>
  <c r="AR112" i="4" a="1"/>
  <c r="AR112" i="4" s="1"/>
  <c r="W113" i="1" s="1"/>
  <c r="AO112" i="4" a="1"/>
  <c r="AO112" i="4" s="1"/>
  <c r="T113" i="1" s="1"/>
  <c r="AV112" i="4" a="1"/>
  <c r="AV112" i="4" s="1"/>
  <c r="AA113" i="1" s="1"/>
  <c r="BH112" i="4"/>
  <c r="AW112" i="4" a="1"/>
  <c r="AW112" i="4" s="1"/>
  <c r="AB113" i="1" s="1"/>
  <c r="AX112" i="4" a="1"/>
  <c r="AX112" i="4" s="1"/>
  <c r="AC113" i="1" s="1"/>
  <c r="AT112" i="4" a="1"/>
  <c r="AT112" i="4" s="1"/>
  <c r="Y113" i="1" s="1"/>
  <c r="AQ112" i="4" a="1"/>
  <c r="AQ112" i="4" s="1"/>
  <c r="V113" i="1" s="1"/>
  <c r="AP112" i="4" a="1"/>
  <c r="AP112" i="4" s="1"/>
  <c r="U113" i="1" s="1"/>
  <c r="AU112" i="4" a="1"/>
  <c r="AU112" i="4" s="1"/>
  <c r="Z113" i="1" s="1"/>
  <c r="L43" i="10"/>
  <c r="AU74" i="6"/>
  <c r="L8" i="10"/>
  <c r="AU39" i="6"/>
  <c r="AS171" i="6"/>
  <c r="N140" i="10" s="1"/>
  <c r="AT171" i="6"/>
  <c r="L17" i="10"/>
  <c r="AU48" i="6"/>
  <c r="AT155" i="4" a="1"/>
  <c r="AT155" i="4" s="1"/>
  <c r="Y170" i="1" s="1"/>
  <c r="AR155" i="4" a="1"/>
  <c r="AR155" i="4" s="1"/>
  <c r="W170" i="1" s="1"/>
  <c r="BH155" i="4"/>
  <c r="AQ155" i="4" a="1"/>
  <c r="AQ155" i="4" s="1"/>
  <c r="V170" i="1" s="1"/>
  <c r="AS155" i="4" a="1"/>
  <c r="AS155" i="4" s="1"/>
  <c r="X170" i="1" s="1"/>
  <c r="AO155" i="4" a="1"/>
  <c r="AO155" i="4" s="1"/>
  <c r="T170" i="1" s="1"/>
  <c r="AV155" i="4" a="1"/>
  <c r="AV155" i="4" s="1"/>
  <c r="AA170" i="1" s="1"/>
  <c r="AP155" i="4" a="1"/>
  <c r="AP155" i="4" s="1"/>
  <c r="U170" i="1" s="1"/>
  <c r="AU155" i="4" a="1"/>
  <c r="AU155" i="4" s="1"/>
  <c r="Z170" i="1" s="1"/>
  <c r="AP127" i="4" a="1"/>
  <c r="AP127" i="4" s="1"/>
  <c r="U132" i="1" s="1"/>
  <c r="AT127" i="4" a="1"/>
  <c r="AT127" i="4" s="1"/>
  <c r="Y132" i="1" s="1"/>
  <c r="AO127" i="4" a="1"/>
  <c r="AO127" i="4" s="1"/>
  <c r="T132" i="1" s="1"/>
  <c r="AS127" i="4" a="1"/>
  <c r="AS127" i="4" s="1"/>
  <c r="X132" i="1" s="1"/>
  <c r="AR127" i="4" a="1"/>
  <c r="AR127" i="4" s="1"/>
  <c r="W132" i="1" s="1"/>
  <c r="AQ127" i="4" a="1"/>
  <c r="AQ127" i="4" s="1"/>
  <c r="V132" i="1" s="1"/>
  <c r="BH127" i="4"/>
  <c r="W161" i="5"/>
  <c r="Z161" i="5" s="1"/>
  <c r="X161" i="5"/>
  <c r="B127" i="7"/>
  <c r="T161" i="5"/>
  <c r="O129" i="12" s="1"/>
  <c r="T169" i="5"/>
  <c r="O137" i="12" s="1"/>
  <c r="X169" i="5"/>
  <c r="W169" i="5"/>
  <c r="Z169" i="5" s="1"/>
  <c r="B135" i="7"/>
  <c r="AO113" i="4" a="1"/>
  <c r="AO113" i="4" s="1"/>
  <c r="T114" i="1" s="1"/>
  <c r="BH113" i="4"/>
  <c r="AP113" i="4" a="1"/>
  <c r="AP113" i="4" s="1"/>
  <c r="U114" i="1" s="1"/>
  <c r="AU113" i="4" a="1"/>
  <c r="AU113" i="4" s="1"/>
  <c r="Z114" i="1" s="1"/>
  <c r="AR113" i="4" a="1"/>
  <c r="AR113" i="4" s="1"/>
  <c r="W114" i="1" s="1"/>
  <c r="AW113" i="4" a="1"/>
  <c r="AW113" i="4" s="1"/>
  <c r="AB114" i="1" s="1"/>
  <c r="AX113" i="4" a="1"/>
  <c r="AX113" i="4" s="1"/>
  <c r="AC114" i="1" s="1"/>
  <c r="AT113" i="4" a="1"/>
  <c r="AT113" i="4" s="1"/>
  <c r="Y114" i="1" s="1"/>
  <c r="AS113" i="4" a="1"/>
  <c r="AS113" i="4" s="1"/>
  <c r="X114" i="1" s="1"/>
  <c r="AV113" i="4" a="1"/>
  <c r="AV113" i="4" s="1"/>
  <c r="AA114" i="1" s="1"/>
  <c r="AQ113" i="4" a="1"/>
  <c r="AQ113" i="4" s="1"/>
  <c r="V114" i="1" s="1"/>
  <c r="AP97" i="4" a="1"/>
  <c r="AP97" i="4" s="1"/>
  <c r="U92" i="1" s="1"/>
  <c r="AQ97" i="4" a="1"/>
  <c r="AQ97" i="4" s="1"/>
  <c r="V92" i="1" s="1"/>
  <c r="BH97" i="4"/>
  <c r="AR97" i="4" a="1"/>
  <c r="AR97" i="4" s="1"/>
  <c r="W92" i="1" s="1"/>
  <c r="AO97" i="4" a="1"/>
  <c r="AO97" i="4" s="1"/>
  <c r="T92" i="1" s="1"/>
  <c r="B73" i="7"/>
  <c r="W107" i="5"/>
  <c r="Z107" i="5" s="1"/>
  <c r="T107" i="5"/>
  <c r="X107" i="5"/>
  <c r="X52" i="5"/>
  <c r="B18" i="7"/>
  <c r="T52" i="5"/>
  <c r="W52" i="5"/>
  <c r="Z52" i="5" s="1"/>
  <c r="AT83" i="6"/>
  <c r="AS83" i="6"/>
  <c r="N52" i="10" s="1"/>
  <c r="W160" i="5"/>
  <c r="Z160" i="5" s="1"/>
  <c r="X160" i="5"/>
  <c r="T160" i="5"/>
  <c r="O128" i="12" s="1"/>
  <c r="B126" i="7"/>
  <c r="AO121" i="4" a="1"/>
  <c r="AO121" i="4" s="1"/>
  <c r="T124" i="1" s="1"/>
  <c r="BH121" i="4"/>
  <c r="AP121" i="4" a="1"/>
  <c r="AP121" i="4" s="1"/>
  <c r="U124" i="1" s="1"/>
  <c r="AQ121" i="4" a="1"/>
  <c r="AQ121" i="4" s="1"/>
  <c r="V124" i="1" s="1"/>
  <c r="AR121" i="4" a="1"/>
  <c r="AR121" i="4" s="1"/>
  <c r="W124" i="1" s="1"/>
  <c r="AT109" i="4" a="1"/>
  <c r="AT109" i="4" s="1"/>
  <c r="Y108" i="1" s="1"/>
  <c r="BH109" i="4"/>
  <c r="AU109" i="4" a="1"/>
  <c r="AU109" i="4" s="1"/>
  <c r="Z108" i="1" s="1"/>
  <c r="AO109" i="4" a="1"/>
  <c r="AO109" i="4" s="1"/>
  <c r="T108" i="1" s="1"/>
  <c r="AQ109" i="4" a="1"/>
  <c r="AQ109" i="4" s="1"/>
  <c r="V108" i="1" s="1"/>
  <c r="AV109" i="4" a="1"/>
  <c r="AV109" i="4" s="1"/>
  <c r="AA108" i="1" s="1"/>
  <c r="AP109" i="4" a="1"/>
  <c r="AP109" i="4" s="1"/>
  <c r="U108" i="1" s="1"/>
  <c r="AS109" i="4" a="1"/>
  <c r="AS109" i="4" s="1"/>
  <c r="X108" i="1" s="1"/>
  <c r="AR109" i="4" a="1"/>
  <c r="AR109" i="4" s="1"/>
  <c r="W108" i="1" s="1"/>
  <c r="AP68" i="4" a="1"/>
  <c r="AP68" i="4" s="1"/>
  <c r="AO68" i="4" a="1"/>
  <c r="AO68" i="4" s="1"/>
  <c r="AQ68" i="4" a="1"/>
  <c r="AQ68" i="4" s="1"/>
  <c r="BH68" i="4"/>
  <c r="AR68" i="4" a="1"/>
  <c r="AR68" i="4" s="1"/>
  <c r="L20" i="10"/>
  <c r="AU51" i="6"/>
  <c r="L9" i="10"/>
  <c r="AV40" i="6"/>
  <c r="AO149" i="4" a="1"/>
  <c r="AO149" i="4" s="1"/>
  <c r="T162" i="1" s="1"/>
  <c r="BH149" i="4"/>
  <c r="AT149" i="4" a="1"/>
  <c r="AT149" i="4" s="1"/>
  <c r="Y162" i="1" s="1"/>
  <c r="AR149" i="4" a="1"/>
  <c r="AR149" i="4" s="1"/>
  <c r="W162" i="1" s="1"/>
  <c r="AQ149" i="4" a="1"/>
  <c r="AQ149" i="4" s="1"/>
  <c r="V162" i="1" s="1"/>
  <c r="AS149" i="4" a="1"/>
  <c r="AS149" i="4" s="1"/>
  <c r="X162" i="1" s="1"/>
  <c r="AP149" i="4" a="1"/>
  <c r="AP149" i="4" s="1"/>
  <c r="U162" i="1" s="1"/>
  <c r="AQ108" i="4" a="1"/>
  <c r="AQ108" i="4" s="1"/>
  <c r="V107" i="1" s="1"/>
  <c r="AV108" i="4" a="1"/>
  <c r="AV108" i="4" s="1"/>
  <c r="AA107" i="1" s="1"/>
  <c r="AR108" i="4" a="1"/>
  <c r="AR108" i="4" s="1"/>
  <c r="W107" i="1" s="1"/>
  <c r="AP108" i="4" a="1"/>
  <c r="AP108" i="4" s="1"/>
  <c r="U107" i="1" s="1"/>
  <c r="BH108" i="4"/>
  <c r="AU108" i="4" a="1"/>
  <c r="AU108" i="4" s="1"/>
  <c r="Z107" i="1" s="1"/>
  <c r="AT108" i="4" a="1"/>
  <c r="AT108" i="4" s="1"/>
  <c r="Y107" i="1" s="1"/>
  <c r="AS108" i="4" a="1"/>
  <c r="AS108" i="4" s="1"/>
  <c r="X107" i="1" s="1"/>
  <c r="AO108" i="4" a="1"/>
  <c r="AO108" i="4" s="1"/>
  <c r="T107" i="1" s="1"/>
  <c r="U49" i="4"/>
  <c r="K49" i="4"/>
  <c r="L70" i="10"/>
  <c r="AU101" i="6"/>
  <c r="AO167" i="4" a="1"/>
  <c r="AO167" i="4" s="1"/>
  <c r="T186" i="1" s="1"/>
  <c r="AP167" i="4" a="1"/>
  <c r="AP167" i="4" s="1"/>
  <c r="U186" i="1" s="1"/>
  <c r="BH167" i="4"/>
  <c r="AQ167" i="4" a="1"/>
  <c r="AQ167" i="4" s="1"/>
  <c r="V186" i="1" s="1"/>
  <c r="AR167" i="4" a="1"/>
  <c r="AR167" i="4" s="1"/>
  <c r="W186" i="1" s="1"/>
  <c r="T101" i="5"/>
  <c r="W101" i="5"/>
  <c r="Z101" i="5" s="1"/>
  <c r="B67" i="7"/>
  <c r="X101" i="5"/>
  <c r="R8" i="12"/>
  <c r="L58" i="10"/>
  <c r="AU89" i="6"/>
  <c r="R50" i="12"/>
  <c r="AS86" i="6"/>
  <c r="N55" i="10" s="1"/>
  <c r="AT86" i="6"/>
  <c r="BH90" i="4"/>
  <c r="AO90" i="4" a="1"/>
  <c r="AO90" i="4" s="1"/>
  <c r="T83" i="1" s="1"/>
  <c r="AX90" i="4" a="1"/>
  <c r="AX90" i="4" s="1"/>
  <c r="AC83" i="1" s="1"/>
  <c r="AR90" i="4" a="1"/>
  <c r="AR90" i="4" s="1"/>
  <c r="W83" i="1" s="1"/>
  <c r="AV90" i="4" a="1"/>
  <c r="AV90" i="4" s="1"/>
  <c r="AA83" i="1" s="1"/>
  <c r="AT90" i="4" a="1"/>
  <c r="AT90" i="4" s="1"/>
  <c r="Y83" i="1" s="1"/>
  <c r="AU90" i="4" a="1"/>
  <c r="AU90" i="4" s="1"/>
  <c r="Z83" i="1" s="1"/>
  <c r="AP90" i="4" a="1"/>
  <c r="AP90" i="4" s="1"/>
  <c r="U83" i="1" s="1"/>
  <c r="AW90" i="4" a="1"/>
  <c r="AW90" i="4" s="1"/>
  <c r="AB83" i="1" s="1"/>
  <c r="AS90" i="4" a="1"/>
  <c r="AS90" i="4" s="1"/>
  <c r="X83" i="1" s="1"/>
  <c r="AQ90" i="4" a="1"/>
  <c r="AQ90" i="4" s="1"/>
  <c r="V83" i="1" s="1"/>
  <c r="R101" i="12"/>
  <c r="L116" i="10"/>
  <c r="AU147" i="6"/>
  <c r="B156" i="7"/>
  <c r="T190" i="5"/>
  <c r="O158" i="12" s="1"/>
  <c r="W190" i="5"/>
  <c r="Z190" i="5" s="1"/>
  <c r="X190" i="5"/>
  <c r="L68" i="10"/>
  <c r="AU99" i="6"/>
  <c r="AR147" i="4" a="1"/>
  <c r="AR147" i="4" s="1"/>
  <c r="W160" i="1" s="1"/>
  <c r="AT147" i="4" a="1"/>
  <c r="AT147" i="4" s="1"/>
  <c r="Y160" i="1" s="1"/>
  <c r="AO147" i="4" a="1"/>
  <c r="AO147" i="4" s="1"/>
  <c r="T160" i="1" s="1"/>
  <c r="AP147" i="4" a="1"/>
  <c r="AP147" i="4" s="1"/>
  <c r="U160" i="1" s="1"/>
  <c r="BH147" i="4"/>
  <c r="AQ147" i="4" a="1"/>
  <c r="AQ147" i="4" s="1"/>
  <c r="V160" i="1" s="1"/>
  <c r="AS147" i="4" a="1"/>
  <c r="AS147" i="4" s="1"/>
  <c r="X160" i="1" s="1"/>
  <c r="B44" i="7"/>
  <c r="X78" i="5"/>
  <c r="T78" i="5"/>
  <c r="W78" i="5"/>
  <c r="Z78" i="5" s="1"/>
  <c r="L72" i="10"/>
  <c r="AU103" i="6"/>
  <c r="L12" i="10"/>
  <c r="AU43" i="6"/>
  <c r="R79" i="12"/>
  <c r="B80" i="7"/>
  <c r="T114" i="5"/>
  <c r="W114" i="5"/>
  <c r="Z114" i="5" s="1"/>
  <c r="X114" i="5"/>
  <c r="L92" i="10"/>
  <c r="AU123" i="6"/>
  <c r="X94" i="5"/>
  <c r="W94" i="5"/>
  <c r="Z94" i="5" s="1"/>
  <c r="T94" i="5"/>
  <c r="B60" i="7"/>
  <c r="K44" i="4"/>
  <c r="U44" i="4"/>
  <c r="L61" i="10"/>
  <c r="AU92" i="6"/>
  <c r="R65" i="12"/>
  <c r="W145" i="5"/>
  <c r="Z145" i="5" s="1"/>
  <c r="T145" i="5"/>
  <c r="O113" i="12" s="1"/>
  <c r="X145" i="5"/>
  <c r="B111" i="7"/>
  <c r="X44" i="5"/>
  <c r="B10" i="7"/>
  <c r="W44" i="5"/>
  <c r="Z44" i="5" s="1"/>
  <c r="T44" i="5"/>
  <c r="W110" i="5"/>
  <c r="Z110" i="5" s="1"/>
  <c r="B76" i="7"/>
  <c r="X110" i="5"/>
  <c r="T110" i="5"/>
  <c r="AR173" i="4" a="1"/>
  <c r="AR173" i="4" s="1"/>
  <c r="W194" i="1" s="1"/>
  <c r="AP173" i="4" a="1"/>
  <c r="AP173" i="4" s="1"/>
  <c r="U194" i="1" s="1"/>
  <c r="AS173" i="4" a="1"/>
  <c r="AS173" i="4" s="1"/>
  <c r="X194" i="1" s="1"/>
  <c r="AO173" i="4" a="1"/>
  <c r="AO173" i="4" s="1"/>
  <c r="T194" i="1" s="1"/>
  <c r="AT173" i="4" a="1"/>
  <c r="AT173" i="4" s="1"/>
  <c r="Y194" i="1" s="1"/>
  <c r="AQ173" i="4" a="1"/>
  <c r="AQ173" i="4" s="1"/>
  <c r="V194" i="1" s="1"/>
  <c r="BH173" i="4"/>
  <c r="W123" i="5"/>
  <c r="Z123" i="5" s="1"/>
  <c r="B89" i="7"/>
  <c r="X123" i="5"/>
  <c r="T123" i="5"/>
  <c r="L85" i="10"/>
  <c r="AU116" i="6"/>
  <c r="R97" i="12"/>
  <c r="AS173" i="6"/>
  <c r="N142" i="10" s="1"/>
  <c r="AT173" i="6"/>
  <c r="T173" i="5"/>
  <c r="O141" i="12" s="1"/>
  <c r="B139" i="7"/>
  <c r="X173" i="5"/>
  <c r="W173" i="5"/>
  <c r="Z173" i="5" s="1"/>
  <c r="L76" i="10"/>
  <c r="AU107" i="6"/>
  <c r="L155" i="10"/>
  <c r="AU186" i="6"/>
  <c r="AS84" i="6"/>
  <c r="N53" i="10" s="1"/>
  <c r="AT84" i="6"/>
  <c r="B92" i="7"/>
  <c r="X126" i="5"/>
  <c r="T126" i="5"/>
  <c r="W126" i="5"/>
  <c r="Z126" i="5" s="1"/>
  <c r="L128" i="10"/>
  <c r="AU159" i="6"/>
  <c r="W143" i="5"/>
  <c r="Z143" i="5" s="1"/>
  <c r="F111" i="12" s="1"/>
  <c r="T143" i="5"/>
  <c r="O111" i="12" s="1"/>
  <c r="B109" i="7"/>
  <c r="X143" i="5"/>
  <c r="R76" i="12"/>
  <c r="T118" i="5"/>
  <c r="X118" i="5"/>
  <c r="B84" i="7"/>
  <c r="W118" i="5"/>
  <c r="Z118" i="5" s="1"/>
  <c r="AS170" i="4" a="1"/>
  <c r="AS170" i="4" s="1"/>
  <c r="AQ170" i="4" a="1"/>
  <c r="AQ170" i="4" s="1"/>
  <c r="AP170" i="4" a="1"/>
  <c r="AP170" i="4" s="1"/>
  <c r="AR170" i="4" a="1"/>
  <c r="AR170" i="4" s="1"/>
  <c r="AO170" i="4" a="1"/>
  <c r="AO170" i="4" s="1"/>
  <c r="AT170" i="4" a="1"/>
  <c r="AT170" i="4" s="1"/>
  <c r="BH170" i="4"/>
  <c r="BH34" i="4"/>
  <c r="AP34" i="4" a="1"/>
  <c r="AP34" i="4" s="1"/>
  <c r="U9" i="1" s="1"/>
  <c r="AO34" i="4" a="1"/>
  <c r="AO34" i="4" s="1"/>
  <c r="T9" i="1" s="1"/>
  <c r="R147" i="12"/>
  <c r="B145" i="7"/>
  <c r="T179" i="5"/>
  <c r="O147" i="12" s="1"/>
  <c r="W179" i="5"/>
  <c r="Z179" i="5" s="1"/>
  <c r="X179" i="5"/>
  <c r="R18" i="12"/>
  <c r="T56" i="5"/>
  <c r="X56" i="5"/>
  <c r="B22" i="7"/>
  <c r="W56" i="5"/>
  <c r="Z56" i="5" s="1"/>
  <c r="AT80" i="4" a="1"/>
  <c r="AT80" i="4" s="1"/>
  <c r="BH80" i="4"/>
  <c r="AV80" i="4" a="1"/>
  <c r="AV80" i="4" s="1"/>
  <c r="AS80" i="4" a="1"/>
  <c r="AS80" i="4" s="1"/>
  <c r="AQ80" i="4" a="1"/>
  <c r="AQ80" i="4" s="1"/>
  <c r="AU80" i="4" a="1"/>
  <c r="AU80" i="4" s="1"/>
  <c r="AR80" i="4" a="1"/>
  <c r="AR80" i="4" s="1"/>
  <c r="AP80" i="4" a="1"/>
  <c r="AP80" i="4" s="1"/>
  <c r="AO80" i="4" a="1"/>
  <c r="AO80" i="4" s="1"/>
  <c r="L109" i="10"/>
  <c r="AU140" i="6"/>
  <c r="R71" i="12"/>
  <c r="L39" i="10"/>
  <c r="AU70" i="6"/>
  <c r="BH75" i="4"/>
  <c r="AO75" i="4" a="1"/>
  <c r="AO75" i="4" s="1"/>
  <c r="T64" i="1" s="1"/>
  <c r="AS75" i="4" a="1"/>
  <c r="AS75" i="4" s="1"/>
  <c r="X64" i="1" s="1"/>
  <c r="AT75" i="4" a="1"/>
  <c r="AT75" i="4" s="1"/>
  <c r="Y64" i="1" s="1"/>
  <c r="AP75" i="4" a="1"/>
  <c r="AP75" i="4" s="1"/>
  <c r="U64" i="1" s="1"/>
  <c r="AR75" i="4" a="1"/>
  <c r="AR75" i="4" s="1"/>
  <c r="W64" i="1" s="1"/>
  <c r="AQ75" i="4" a="1"/>
  <c r="AQ75" i="4" s="1"/>
  <c r="V64" i="1" s="1"/>
  <c r="B61" i="7"/>
  <c r="X95" i="5"/>
  <c r="W95" i="5"/>
  <c r="Z95" i="5" s="1"/>
  <c r="T95" i="5"/>
  <c r="R96" i="12"/>
  <c r="L146" i="10"/>
  <c r="AU177" i="6"/>
  <c r="AR183" i="4" a="1"/>
  <c r="AR183" i="4" s="1"/>
  <c r="W208" i="1" s="1"/>
  <c r="AT183" i="4" a="1"/>
  <c r="AT183" i="4" s="1"/>
  <c r="Y208" i="1" s="1"/>
  <c r="BH183" i="4"/>
  <c r="AX183" i="4" a="1"/>
  <c r="AX183" i="4" s="1"/>
  <c r="AC208" i="1" s="1"/>
  <c r="AU183" i="4" a="1"/>
  <c r="AU183" i="4" s="1"/>
  <c r="Z208" i="1" s="1"/>
  <c r="AV183" i="4" a="1"/>
  <c r="AV183" i="4" s="1"/>
  <c r="AA208" i="1" s="1"/>
  <c r="AQ183" i="4" a="1"/>
  <c r="AQ183" i="4" s="1"/>
  <c r="V208" i="1" s="1"/>
  <c r="AP183" i="4" a="1"/>
  <c r="AP183" i="4" s="1"/>
  <c r="U208" i="1" s="1"/>
  <c r="AS183" i="4" a="1"/>
  <c r="AS183" i="4" s="1"/>
  <c r="X208" i="1" s="1"/>
  <c r="AW183" i="4" a="1"/>
  <c r="AW183" i="4" s="1"/>
  <c r="AB208" i="1" s="1"/>
  <c r="AO183" i="4" a="1"/>
  <c r="AO183" i="4" s="1"/>
  <c r="T208" i="1" s="1"/>
  <c r="R81" i="12"/>
  <c r="L139" i="10"/>
  <c r="AU170" i="6"/>
  <c r="K47" i="4"/>
  <c r="U47" i="4"/>
  <c r="R154" i="12"/>
  <c r="W146" i="5"/>
  <c r="Z146" i="5" s="1"/>
  <c r="X146" i="5"/>
  <c r="T146" i="5"/>
  <c r="O114" i="12" s="1"/>
  <c r="B112" i="7"/>
  <c r="L152" i="10"/>
  <c r="AU183" i="6"/>
  <c r="R125" i="12"/>
  <c r="W84" i="5"/>
  <c r="Z84" i="5" s="1"/>
  <c r="X84" i="5"/>
  <c r="B50" i="7"/>
  <c r="T84" i="5"/>
  <c r="BH142" i="4"/>
  <c r="AR142" i="4" a="1"/>
  <c r="AR142" i="4" s="1"/>
  <c r="W153" i="1" s="1"/>
  <c r="AQ142" i="4" a="1"/>
  <c r="AQ142" i="4" s="1"/>
  <c r="V153" i="1" s="1"/>
  <c r="AO142" i="4" a="1"/>
  <c r="AO142" i="4" s="1"/>
  <c r="T153" i="1" s="1"/>
  <c r="AP142" i="4" a="1"/>
  <c r="AP142" i="4" s="1"/>
  <c r="U153" i="1" s="1"/>
  <c r="L10" i="10"/>
  <c r="AU41" i="6"/>
  <c r="W149" i="5"/>
  <c r="Z149" i="5" s="1"/>
  <c r="X149" i="5"/>
  <c r="T149" i="5"/>
  <c r="O117" i="12" s="1"/>
  <c r="B115" i="7"/>
  <c r="R15" i="12"/>
  <c r="BH76" i="4"/>
  <c r="AT76" i="4" a="1"/>
  <c r="AT76" i="4" s="1"/>
  <c r="Y65" i="1" s="1"/>
  <c r="AO76" i="4" a="1"/>
  <c r="AO76" i="4" s="1"/>
  <c r="T65" i="1" s="1"/>
  <c r="AQ76" i="4" a="1"/>
  <c r="AQ76" i="4" s="1"/>
  <c r="V65" i="1" s="1"/>
  <c r="AR76" i="4" a="1"/>
  <c r="AR76" i="4" s="1"/>
  <c r="W65" i="1" s="1"/>
  <c r="AS76" i="4" a="1"/>
  <c r="AS76" i="4" s="1"/>
  <c r="X65" i="1" s="1"/>
  <c r="AP76" i="4" a="1"/>
  <c r="AP76" i="4" s="1"/>
  <c r="U65" i="1" s="1"/>
  <c r="R6" i="12"/>
  <c r="B96" i="7"/>
  <c r="W130" i="5"/>
  <c r="Z130" i="5" s="1"/>
  <c r="T130" i="5"/>
  <c r="X130" i="5"/>
  <c r="L63" i="10"/>
  <c r="AU94" i="6"/>
  <c r="L42" i="10"/>
  <c r="AU73" i="6"/>
  <c r="X77" i="5"/>
  <c r="T77" i="5"/>
  <c r="W77" i="5"/>
  <c r="Z77" i="5" s="1"/>
  <c r="B43" i="7"/>
  <c r="AT179" i="4" a="1"/>
  <c r="AT179" i="4" s="1"/>
  <c r="Y202" i="1" s="1"/>
  <c r="AP179" i="4" a="1"/>
  <c r="AP179" i="4" s="1"/>
  <c r="U202" i="1" s="1"/>
  <c r="AV179" i="4" a="1"/>
  <c r="AV179" i="4" s="1"/>
  <c r="AA202" i="1" s="1"/>
  <c r="AU179" i="4" a="1"/>
  <c r="AU179" i="4" s="1"/>
  <c r="Z202" i="1" s="1"/>
  <c r="AQ179" i="4" a="1"/>
  <c r="AQ179" i="4" s="1"/>
  <c r="V202" i="1" s="1"/>
  <c r="AO179" i="4" a="1"/>
  <c r="AO179" i="4" s="1"/>
  <c r="T202" i="1" s="1"/>
  <c r="AR179" i="4" a="1"/>
  <c r="AR179" i="4" s="1"/>
  <c r="W202" i="1" s="1"/>
  <c r="AS179" i="4" a="1"/>
  <c r="AS179" i="4" s="1"/>
  <c r="X202" i="1" s="1"/>
  <c r="BH179" i="4"/>
  <c r="L110" i="10"/>
  <c r="AU141" i="6"/>
  <c r="X175" i="5"/>
  <c r="W175" i="5"/>
  <c r="Z175" i="5" s="1"/>
  <c r="T175" i="5"/>
  <c r="O143" i="12" s="1"/>
  <c r="B141" i="7"/>
  <c r="BH117" i="4"/>
  <c r="AR117" i="4" a="1"/>
  <c r="AR117" i="4" s="1"/>
  <c r="W120" i="1" s="1"/>
  <c r="AQ117" i="4" a="1"/>
  <c r="AQ117" i="4" s="1"/>
  <c r="V120" i="1" s="1"/>
  <c r="AO117" i="4" a="1"/>
  <c r="AO117" i="4" s="1"/>
  <c r="T120" i="1" s="1"/>
  <c r="AP117" i="4" a="1"/>
  <c r="AP117" i="4" s="1"/>
  <c r="U120" i="1" s="1"/>
  <c r="R110" i="12"/>
  <c r="AV184" i="4" a="1"/>
  <c r="AV184" i="4" s="1"/>
  <c r="AA209" i="1" s="1"/>
  <c r="AT184" i="4" a="1"/>
  <c r="AT184" i="4" s="1"/>
  <c r="Y209" i="1" s="1"/>
  <c r="AR184" i="4" a="1"/>
  <c r="AR184" i="4" s="1"/>
  <c r="W209" i="1" s="1"/>
  <c r="AW184" i="4" a="1"/>
  <c r="AW184" i="4" s="1"/>
  <c r="AB209" i="1" s="1"/>
  <c r="BH184" i="4"/>
  <c r="AO184" i="4" a="1"/>
  <c r="AO184" i="4" s="1"/>
  <c r="T209" i="1" s="1"/>
  <c r="AX184" i="4" a="1"/>
  <c r="AX184" i="4" s="1"/>
  <c r="AC209" i="1" s="1"/>
  <c r="AS184" i="4" a="1"/>
  <c r="AS184" i="4" s="1"/>
  <c r="X209" i="1" s="1"/>
  <c r="AU184" i="4" a="1"/>
  <c r="AU184" i="4" s="1"/>
  <c r="Z209" i="1" s="1"/>
  <c r="AP184" i="4" a="1"/>
  <c r="AP184" i="4" s="1"/>
  <c r="U209" i="1" s="1"/>
  <c r="AQ184" i="4" a="1"/>
  <c r="AQ184" i="4" s="1"/>
  <c r="V209" i="1" s="1"/>
  <c r="AT129" i="4" a="1"/>
  <c r="AT129" i="4" s="1"/>
  <c r="Y136" i="1" s="1"/>
  <c r="AS129" i="4" a="1"/>
  <c r="AS129" i="4" s="1"/>
  <c r="X136" i="1" s="1"/>
  <c r="AR129" i="4" a="1"/>
  <c r="AR129" i="4" s="1"/>
  <c r="W136" i="1" s="1"/>
  <c r="AO129" i="4" a="1"/>
  <c r="AO129" i="4" s="1"/>
  <c r="T136" i="1" s="1"/>
  <c r="AU129" i="4" a="1"/>
  <c r="AU129" i="4" s="1"/>
  <c r="Z136" i="1" s="1"/>
  <c r="AP129" i="4" a="1"/>
  <c r="AP129" i="4" s="1"/>
  <c r="U136" i="1" s="1"/>
  <c r="AQ129" i="4" a="1"/>
  <c r="AQ129" i="4" s="1"/>
  <c r="V136" i="1" s="1"/>
  <c r="AV129" i="4" a="1"/>
  <c r="AV129" i="4" s="1"/>
  <c r="AA136" i="1" s="1"/>
  <c r="BH129" i="4"/>
  <c r="R43" i="12"/>
  <c r="L136" i="10"/>
  <c r="AU167" i="6"/>
  <c r="AR172" i="4" a="1"/>
  <c r="AR172" i="4" s="1"/>
  <c r="W193" i="1" s="1"/>
  <c r="AO172" i="4" a="1"/>
  <c r="AO172" i="4" s="1"/>
  <c r="T193" i="1" s="1"/>
  <c r="AQ172" i="4" a="1"/>
  <c r="AQ172" i="4" s="1"/>
  <c r="V193" i="1" s="1"/>
  <c r="AS172" i="4" a="1"/>
  <c r="AS172" i="4" s="1"/>
  <c r="X193" i="1" s="1"/>
  <c r="AT172" i="4" a="1"/>
  <c r="AT172" i="4" s="1"/>
  <c r="Y193" i="1" s="1"/>
  <c r="BH172" i="4"/>
  <c r="AP172" i="4" a="1"/>
  <c r="AP172" i="4" s="1"/>
  <c r="U193" i="1" s="1"/>
  <c r="L112" i="10"/>
  <c r="AU143" i="6"/>
  <c r="W137" i="5"/>
  <c r="Z137" i="5" s="1"/>
  <c r="B103" i="7"/>
  <c r="X137" i="5"/>
  <c r="T137" i="5"/>
  <c r="W153" i="5"/>
  <c r="Z153" i="5" s="1"/>
  <c r="T153" i="5"/>
  <c r="O121" i="12" s="1"/>
  <c r="B119" i="7"/>
  <c r="X153" i="5"/>
  <c r="AV134" i="4" a="1"/>
  <c r="AV134" i="4" s="1"/>
  <c r="AU134" i="4" a="1"/>
  <c r="AU134" i="4" s="1"/>
  <c r="AT134" i="4" a="1"/>
  <c r="AT134" i="4" s="1"/>
  <c r="AW134" i="4" a="1"/>
  <c r="AW134" i="4" s="1"/>
  <c r="AR134" i="4" a="1"/>
  <c r="AR134" i="4" s="1"/>
  <c r="AO134" i="4" a="1"/>
  <c r="AO134" i="4" s="1"/>
  <c r="BH134" i="4"/>
  <c r="AQ134" i="4" a="1"/>
  <c r="AQ134" i="4" s="1"/>
  <c r="AX134" i="4" a="1"/>
  <c r="AX134" i="4" s="1"/>
  <c r="AP134" i="4" a="1"/>
  <c r="AP134" i="4" s="1"/>
  <c r="AS134" i="4" a="1"/>
  <c r="AS134" i="4" s="1"/>
  <c r="L102" i="10"/>
  <c r="AU133" i="6"/>
  <c r="B122" i="7"/>
  <c r="T156" i="5"/>
  <c r="O124" i="12" s="1"/>
  <c r="W156" i="5"/>
  <c r="Z156" i="5" s="1"/>
  <c r="X156" i="5"/>
  <c r="R48" i="12"/>
  <c r="AO120" i="4" a="1"/>
  <c r="AO120" i="4" s="1"/>
  <c r="T123" i="1" s="1"/>
  <c r="AP120" i="4" a="1"/>
  <c r="AP120" i="4" s="1"/>
  <c r="U123" i="1" s="1"/>
  <c r="BH120" i="4"/>
  <c r="AR120" i="4" a="1"/>
  <c r="AR120" i="4" s="1"/>
  <c r="W123" i="1" s="1"/>
  <c r="AQ120" i="4" a="1"/>
  <c r="AQ120" i="4" s="1"/>
  <c r="V123" i="1" s="1"/>
  <c r="L13" i="10"/>
  <c r="AU44" i="6"/>
  <c r="W144" i="5"/>
  <c r="Z144" i="5" s="1"/>
  <c r="T144" i="5"/>
  <c r="O112" i="12" s="1"/>
  <c r="B110" i="7"/>
  <c r="X144" i="5"/>
  <c r="T57" i="5"/>
  <c r="W57" i="5"/>
  <c r="Z57" i="5" s="1"/>
  <c r="B23" i="7"/>
  <c r="X57" i="5"/>
  <c r="R87" i="12"/>
  <c r="T121" i="5"/>
  <c r="X121" i="5"/>
  <c r="W121" i="5"/>
  <c r="Z121" i="5" s="1"/>
  <c r="B87" i="7"/>
  <c r="L111" i="10"/>
  <c r="AU142" i="6"/>
  <c r="R107" i="12"/>
  <c r="R68" i="12"/>
  <c r="W148" i="5"/>
  <c r="Z148" i="5" s="1"/>
  <c r="T148" i="5"/>
  <c r="O116" i="12" s="1"/>
  <c r="X148" i="5"/>
  <c r="B114" i="7"/>
  <c r="L89" i="10"/>
  <c r="AU120" i="6"/>
  <c r="W112" i="5"/>
  <c r="Z112" i="5" s="1"/>
  <c r="X112" i="5"/>
  <c r="T112" i="5"/>
  <c r="B78" i="7"/>
  <c r="BH114" i="4"/>
  <c r="AS114" i="4" a="1"/>
  <c r="AS114" i="4" s="1"/>
  <c r="X115" i="1" s="1"/>
  <c r="AV114" i="4" a="1"/>
  <c r="AV114" i="4" s="1"/>
  <c r="AA115" i="1" s="1"/>
  <c r="AW114" i="4" a="1"/>
  <c r="AW114" i="4" s="1"/>
  <c r="AB115" i="1" s="1"/>
  <c r="AO114" i="4" a="1"/>
  <c r="AO114" i="4" s="1"/>
  <c r="T115" i="1" s="1"/>
  <c r="AU114" i="4" a="1"/>
  <c r="AU114" i="4" s="1"/>
  <c r="Z115" i="1" s="1"/>
  <c r="AX114" i="4" a="1"/>
  <c r="AX114" i="4" s="1"/>
  <c r="AC115" i="1" s="1"/>
  <c r="AR114" i="4" a="1"/>
  <c r="AR114" i="4" s="1"/>
  <c r="W115" i="1" s="1"/>
  <c r="AP114" i="4" a="1"/>
  <c r="AP114" i="4" s="1"/>
  <c r="U115" i="1" s="1"/>
  <c r="AQ114" i="4" a="1"/>
  <c r="AQ114" i="4" s="1"/>
  <c r="V115" i="1" s="1"/>
  <c r="AT114" i="4" a="1"/>
  <c r="AT114" i="4" s="1"/>
  <c r="Y115" i="1" s="1"/>
  <c r="AW40" i="6" l="1"/>
  <c r="AM67" i="4" a="1"/>
  <c r="AM67" i="4" s="1"/>
  <c r="AN67" i="4" a="1"/>
  <c r="AN67" i="4" s="1"/>
  <c r="AM66" i="4" a="1"/>
  <c r="AM66" i="4" s="1"/>
  <c r="AN63" i="4" a="1"/>
  <c r="AN63" i="4" s="1"/>
  <c r="AM62" i="4" a="1"/>
  <c r="AM62" i="4" s="1"/>
  <c r="AM63" i="4" a="1"/>
  <c r="AM63" i="4" s="1"/>
  <c r="AN64" i="4" a="1"/>
  <c r="AN64" i="4" s="1"/>
  <c r="AN62" i="4" a="1"/>
  <c r="AN62" i="4" s="1"/>
  <c r="AN65" i="4" a="1"/>
  <c r="AN65" i="4" s="1"/>
  <c r="AN66" i="4" a="1"/>
  <c r="AN66" i="4" s="1"/>
  <c r="AM64" i="4" a="1"/>
  <c r="AM64" i="4" s="1"/>
  <c r="AM65" i="4" a="1"/>
  <c r="AM65" i="4" s="1"/>
  <c r="U35" i="1"/>
  <c r="U43" i="1"/>
  <c r="Y39" i="1"/>
  <c r="Y38" i="1"/>
  <c r="Y37" i="1"/>
  <c r="V33" i="1"/>
  <c r="V41" i="1"/>
  <c r="V36" i="1"/>
  <c r="V44" i="1"/>
  <c r="X35" i="1"/>
  <c r="X43" i="1"/>
  <c r="Y34" i="1"/>
  <c r="Y42" i="1"/>
  <c r="Y33" i="1"/>
  <c r="Y41" i="1"/>
  <c r="W34" i="1"/>
  <c r="W42" i="1"/>
  <c r="V35" i="1"/>
  <c r="V43" i="1"/>
  <c r="U34" i="1"/>
  <c r="U42" i="1"/>
  <c r="V38" i="1"/>
  <c r="V39" i="1"/>
  <c r="V37" i="1"/>
  <c r="X33" i="1"/>
  <c r="X41" i="1"/>
  <c r="V32" i="1"/>
  <c r="V40" i="1"/>
  <c r="T37" i="1"/>
  <c r="T38" i="1"/>
  <c r="T39" i="1"/>
  <c r="T35" i="1"/>
  <c r="T43" i="1"/>
  <c r="T34" i="1"/>
  <c r="T42" i="1"/>
  <c r="W33" i="1"/>
  <c r="W41" i="1"/>
  <c r="U36" i="1"/>
  <c r="U44" i="1"/>
  <c r="T32" i="1"/>
  <c r="T40" i="1"/>
  <c r="V34" i="1"/>
  <c r="V42" i="1"/>
  <c r="W32" i="1"/>
  <c r="W40" i="1"/>
  <c r="X32" i="1"/>
  <c r="X40" i="1"/>
  <c r="W35" i="1"/>
  <c r="W43" i="1"/>
  <c r="Y35" i="1"/>
  <c r="Y43" i="1"/>
  <c r="X34" i="1"/>
  <c r="X42" i="1"/>
  <c r="X38" i="1"/>
  <c r="X39" i="1"/>
  <c r="X37" i="1"/>
  <c r="W36" i="1"/>
  <c r="W44" i="1"/>
  <c r="Y32" i="1"/>
  <c r="Y40" i="1"/>
  <c r="U37" i="1"/>
  <c r="U38" i="1"/>
  <c r="U39" i="1"/>
  <c r="T36" i="1"/>
  <c r="T44" i="1"/>
  <c r="U33" i="1"/>
  <c r="U41" i="1"/>
  <c r="X36" i="1"/>
  <c r="X44" i="1"/>
  <c r="W37" i="1"/>
  <c r="W39" i="1"/>
  <c r="W38" i="1"/>
  <c r="T33" i="1"/>
  <c r="T41" i="1"/>
  <c r="Y36" i="1"/>
  <c r="Y44" i="1"/>
  <c r="U32" i="1"/>
  <c r="U40" i="1"/>
  <c r="AN32" i="4" a="1"/>
  <c r="AN32" i="4" s="1"/>
  <c r="AN61" i="4" a="1"/>
  <c r="AN61" i="4" s="1"/>
  <c r="AM60" i="4" a="1"/>
  <c r="AM60" i="4" s="1"/>
  <c r="AN57" i="4" a="1"/>
  <c r="AN57" i="4" s="1"/>
  <c r="AM56" i="4" a="1"/>
  <c r="AM56" i="4" s="1"/>
  <c r="AM61" i="4" a="1"/>
  <c r="AM61" i="4" s="1"/>
  <c r="AN58" i="4" a="1"/>
  <c r="AN58" i="4" s="1"/>
  <c r="AM57" i="4" a="1"/>
  <c r="AM57" i="4" s="1"/>
  <c r="AN59" i="4" a="1"/>
  <c r="AN59" i="4" s="1"/>
  <c r="AM58" i="4" a="1"/>
  <c r="AM58" i="4" s="1"/>
  <c r="AM59" i="4" a="1"/>
  <c r="AM59" i="4" s="1"/>
  <c r="AN60" i="4" a="1"/>
  <c r="AN60" i="4" s="1"/>
  <c r="AN56" i="4" a="1"/>
  <c r="AN56" i="4" s="1"/>
  <c r="AY40" i="6"/>
  <c r="K171" i="12"/>
  <c r="AV142" i="6"/>
  <c r="AW142" i="6"/>
  <c r="C111" i="10" s="1"/>
  <c r="AV70" i="6"/>
  <c r="AW70" i="6"/>
  <c r="AV159" i="6"/>
  <c r="AW159" i="6"/>
  <c r="C128" i="10" s="1"/>
  <c r="AV99" i="6"/>
  <c r="AW99" i="6"/>
  <c r="AV147" i="6"/>
  <c r="AW147" i="6"/>
  <c r="C116" i="10" s="1"/>
  <c r="AV39" i="6"/>
  <c r="AW39" i="6"/>
  <c r="AV130" i="6"/>
  <c r="AW130" i="6"/>
  <c r="AV56" i="6"/>
  <c r="AW56" i="6"/>
  <c r="AV96" i="6"/>
  <c r="AW96" i="6"/>
  <c r="AV115" i="6"/>
  <c r="AW115" i="6"/>
  <c r="AV46" i="6"/>
  <c r="AW46" i="6"/>
  <c r="AV42" i="6"/>
  <c r="AW42" i="6"/>
  <c r="AV143" i="6"/>
  <c r="AG114" i="12" s="1"/>
  <c r="AW143" i="6"/>
  <c r="C112" i="10" s="1"/>
  <c r="AV94" i="6"/>
  <c r="AW94" i="6"/>
  <c r="AV103" i="6"/>
  <c r="AW103" i="6"/>
  <c r="AV89" i="6"/>
  <c r="AW89" i="6"/>
  <c r="AV77" i="6"/>
  <c r="AW77" i="6"/>
  <c r="AV75" i="6"/>
  <c r="AW75" i="6"/>
  <c r="AV150" i="6"/>
  <c r="AG121" i="12" s="1"/>
  <c r="AW150" i="6"/>
  <c r="C119" i="10" s="1"/>
  <c r="AV49" i="6"/>
  <c r="AW49" i="6"/>
  <c r="AV112" i="6"/>
  <c r="AW112" i="6"/>
  <c r="AV128" i="6"/>
  <c r="AW128" i="6"/>
  <c r="AV181" i="6"/>
  <c r="AW181" i="6"/>
  <c r="C150" i="10" s="1"/>
  <c r="AV72" i="6"/>
  <c r="AW72" i="6"/>
  <c r="AV162" i="6"/>
  <c r="AW162" i="6"/>
  <c r="C131" i="10" s="1"/>
  <c r="AV80" i="6"/>
  <c r="AW80" i="6"/>
  <c r="AV132" i="6"/>
  <c r="AW132" i="6"/>
  <c r="AV121" i="6"/>
  <c r="AW121" i="6"/>
  <c r="AV69" i="6"/>
  <c r="AW69" i="6"/>
  <c r="AV76" i="6"/>
  <c r="AW76" i="6"/>
  <c r="AV98" i="6"/>
  <c r="AW98" i="6"/>
  <c r="AV126" i="6"/>
  <c r="AW126" i="6"/>
  <c r="AV177" i="6"/>
  <c r="AG148" i="12" s="1"/>
  <c r="AW177" i="6"/>
  <c r="C146" i="10" s="1"/>
  <c r="AV92" i="6"/>
  <c r="AW92" i="6"/>
  <c r="AV48" i="6"/>
  <c r="AW48" i="6"/>
  <c r="AV74" i="6"/>
  <c r="AW74" i="6"/>
  <c r="AV136" i="6"/>
  <c r="AG107" i="12" s="1"/>
  <c r="AW136" i="6"/>
  <c r="C105" i="10" s="1"/>
  <c r="AV134" i="6"/>
  <c r="AW134" i="6"/>
  <c r="AV180" i="6"/>
  <c r="AG151" i="12" s="1"/>
  <c r="AW180" i="6"/>
  <c r="C149" i="10" s="1"/>
  <c r="AV54" i="6"/>
  <c r="AW54" i="6"/>
  <c r="AV79" i="6"/>
  <c r="AW79" i="6"/>
  <c r="AV166" i="6"/>
  <c r="AG137" i="12" s="1"/>
  <c r="AW166" i="6"/>
  <c r="C135" i="10" s="1"/>
  <c r="AV50" i="6"/>
  <c r="AW50" i="6"/>
  <c r="AV163" i="6"/>
  <c r="AW163" i="6"/>
  <c r="C132" i="10" s="1"/>
  <c r="AV168" i="6"/>
  <c r="AG139" i="12" s="1"/>
  <c r="AW168" i="6"/>
  <c r="C137" i="10" s="1"/>
  <c r="AV120" i="6"/>
  <c r="AW120" i="6"/>
  <c r="AV133" i="6"/>
  <c r="AW133" i="6"/>
  <c r="AV183" i="6"/>
  <c r="AW183" i="6"/>
  <c r="C152" i="10" s="1"/>
  <c r="AV140" i="6"/>
  <c r="AW140" i="6"/>
  <c r="C109" i="10" s="1"/>
  <c r="AV186" i="6"/>
  <c r="AG157" i="12" s="1"/>
  <c r="AW186" i="6"/>
  <c r="C155" i="10" s="1"/>
  <c r="AV116" i="6"/>
  <c r="AW116" i="6"/>
  <c r="AV71" i="6"/>
  <c r="AW71" i="6"/>
  <c r="AV55" i="6"/>
  <c r="AW55" i="6"/>
  <c r="AV178" i="6"/>
  <c r="AW178" i="6"/>
  <c r="C147" i="10" s="1"/>
  <c r="AV156" i="6"/>
  <c r="AW156" i="6"/>
  <c r="C125" i="10" s="1"/>
  <c r="AV106" i="6"/>
  <c r="AW106" i="6"/>
  <c r="AV104" i="6"/>
  <c r="AW104" i="6"/>
  <c r="AV52" i="6"/>
  <c r="AW52" i="6"/>
  <c r="AV78" i="6"/>
  <c r="AW78" i="6"/>
  <c r="AV110" i="6"/>
  <c r="AW110" i="6"/>
  <c r="AV114" i="6"/>
  <c r="AW114" i="6"/>
  <c r="AV137" i="6"/>
  <c r="AW137" i="6"/>
  <c r="C106" i="10" s="1"/>
  <c r="AV153" i="6"/>
  <c r="AW153" i="6"/>
  <c r="C122" i="10" s="1"/>
  <c r="AV167" i="6"/>
  <c r="AG138" i="12" s="1"/>
  <c r="AW167" i="6"/>
  <c r="C136" i="10" s="1"/>
  <c r="AV101" i="6"/>
  <c r="AW101" i="6"/>
  <c r="AV185" i="6"/>
  <c r="AG156" i="12" s="1"/>
  <c r="AW185" i="6"/>
  <c r="C154" i="10" s="1"/>
  <c r="AV179" i="6"/>
  <c r="AW179" i="6"/>
  <c r="C148" i="10" s="1"/>
  <c r="AV129" i="6"/>
  <c r="AW129" i="6"/>
  <c r="AV87" i="6"/>
  <c r="AW87" i="6"/>
  <c r="AV93" i="6"/>
  <c r="AW93" i="6"/>
  <c r="AV47" i="6"/>
  <c r="AW47" i="6"/>
  <c r="AV182" i="6"/>
  <c r="AW182" i="6"/>
  <c r="C151" i="10" s="1"/>
  <c r="AV135" i="6"/>
  <c r="AG106" i="12" s="1"/>
  <c r="AW135" i="6"/>
  <c r="C104" i="10" s="1"/>
  <c r="AV158" i="6"/>
  <c r="AG129" i="12" s="1"/>
  <c r="AW158" i="6"/>
  <c r="C127" i="10" s="1"/>
  <c r="AV187" i="6"/>
  <c r="AW187" i="6"/>
  <c r="C156" i="10" s="1"/>
  <c r="AV119" i="6"/>
  <c r="AW119" i="6"/>
  <c r="AV155" i="6"/>
  <c r="AG126" i="12" s="1"/>
  <c r="AW155" i="6"/>
  <c r="C124" i="10" s="1"/>
  <c r="AV45" i="6"/>
  <c r="AW45" i="6"/>
  <c r="AV165" i="6"/>
  <c r="AW165" i="6"/>
  <c r="C134" i="10" s="1"/>
  <c r="AV95" i="6"/>
  <c r="AW95" i="6"/>
  <c r="AV111" i="6"/>
  <c r="AW111" i="6"/>
  <c r="AV107" i="6"/>
  <c r="AW107" i="6"/>
  <c r="AV123" i="6"/>
  <c r="AW123" i="6"/>
  <c r="AV51" i="6"/>
  <c r="AW51" i="6"/>
  <c r="AV145" i="6"/>
  <c r="AG116" i="12" s="1"/>
  <c r="AW145" i="6"/>
  <c r="C114" i="10" s="1"/>
  <c r="AV146" i="6"/>
  <c r="AW146" i="6"/>
  <c r="C115" i="10" s="1"/>
  <c r="AV139" i="6"/>
  <c r="AG110" i="12" s="1"/>
  <c r="AW139" i="6"/>
  <c r="C108" i="10" s="1"/>
  <c r="AV127" i="6"/>
  <c r="AW127" i="6"/>
  <c r="AV169" i="6"/>
  <c r="AG140" i="12" s="1"/>
  <c r="AW169" i="6"/>
  <c r="C138" i="10" s="1"/>
  <c r="AV100" i="6"/>
  <c r="AW100" i="6"/>
  <c r="AV151" i="6"/>
  <c r="AW151" i="6"/>
  <c r="C120" i="10" s="1"/>
  <c r="AV164" i="6"/>
  <c r="AW164" i="6"/>
  <c r="C133" i="10" s="1"/>
  <c r="AV124" i="6"/>
  <c r="AW124" i="6"/>
  <c r="AV102" i="6"/>
  <c r="AW102" i="6"/>
  <c r="AV149" i="6"/>
  <c r="AG120" i="12" s="1"/>
  <c r="AW149" i="6"/>
  <c r="C118" i="10" s="1"/>
  <c r="AV109" i="6"/>
  <c r="AW109" i="6"/>
  <c r="AV44" i="6"/>
  <c r="AW44" i="6"/>
  <c r="AV170" i="6"/>
  <c r="AG141" i="12" s="1"/>
  <c r="AW170" i="6"/>
  <c r="C139" i="10" s="1"/>
  <c r="AV97" i="6"/>
  <c r="AW97" i="6"/>
  <c r="AV160" i="6"/>
  <c r="AG131" i="12" s="1"/>
  <c r="AW160" i="6"/>
  <c r="C129" i="10" s="1"/>
  <c r="AV117" i="6"/>
  <c r="AW117" i="6"/>
  <c r="AV154" i="6"/>
  <c r="AW154" i="6"/>
  <c r="C123" i="10" s="1"/>
  <c r="AV122" i="6"/>
  <c r="AW122" i="6"/>
  <c r="AV90" i="6"/>
  <c r="AW90" i="6"/>
  <c r="AV138" i="6"/>
  <c r="AG109" i="12" s="1"/>
  <c r="AW138" i="6"/>
  <c r="C107" i="10" s="1"/>
  <c r="AV91" i="6"/>
  <c r="AW91" i="6"/>
  <c r="AV53" i="6"/>
  <c r="AW53" i="6"/>
  <c r="AV184" i="6"/>
  <c r="AW184" i="6"/>
  <c r="C153" i="10" s="1"/>
  <c r="AV161" i="6"/>
  <c r="AW161" i="6"/>
  <c r="C130" i="10" s="1"/>
  <c r="AV105" i="6"/>
  <c r="AW105" i="6"/>
  <c r="AV188" i="6"/>
  <c r="AW188" i="6"/>
  <c r="C157" i="10" s="1"/>
  <c r="AV141" i="6"/>
  <c r="AW141" i="6"/>
  <c r="C110" i="10" s="1"/>
  <c r="AV73" i="6"/>
  <c r="AW73" i="6"/>
  <c r="AV41" i="6"/>
  <c r="AW41" i="6"/>
  <c r="AV43" i="6"/>
  <c r="AW43" i="6"/>
  <c r="AV88" i="6"/>
  <c r="AW88" i="6"/>
  <c r="AV157" i="6"/>
  <c r="AW157" i="6"/>
  <c r="C126" i="10" s="1"/>
  <c r="AV113" i="6"/>
  <c r="AW113" i="6"/>
  <c r="AV148" i="6"/>
  <c r="AW148" i="6"/>
  <c r="C117" i="10" s="1"/>
  <c r="AV144" i="6"/>
  <c r="AW144" i="6"/>
  <c r="C113" i="10" s="1"/>
  <c r="AV118" i="6"/>
  <c r="AW118" i="6"/>
  <c r="AV152" i="6"/>
  <c r="AG123" i="12" s="1"/>
  <c r="AW152" i="6"/>
  <c r="C121" i="10" s="1"/>
  <c r="AV125" i="6"/>
  <c r="AW125" i="6"/>
  <c r="AV108" i="6"/>
  <c r="AW108" i="6"/>
  <c r="AV131" i="6"/>
  <c r="AW131" i="6"/>
  <c r="AA42" i="5"/>
  <c r="G10" i="12" s="1"/>
  <c r="J173" i="12"/>
  <c r="BJ89" i="4"/>
  <c r="BJ103" i="4"/>
  <c r="BJ80" i="4"/>
  <c r="O104" i="12"/>
  <c r="O101" i="12"/>
  <c r="O102" i="12"/>
  <c r="O100" i="12"/>
  <c r="O99" i="12"/>
  <c r="O105" i="12"/>
  <c r="O103" i="12"/>
  <c r="BJ172" i="4"/>
  <c r="BJ113" i="4"/>
  <c r="BJ96" i="4"/>
  <c r="BJ165" i="4"/>
  <c r="BJ108" i="4"/>
  <c r="BJ146" i="4"/>
  <c r="BJ78" i="4"/>
  <c r="BJ111" i="4"/>
  <c r="BJ34" i="4"/>
  <c r="BJ107" i="4"/>
  <c r="BJ186" i="4"/>
  <c r="BJ119" i="4"/>
  <c r="BJ136" i="4"/>
  <c r="BJ149" i="4"/>
  <c r="BJ97" i="4"/>
  <c r="BJ175" i="4"/>
  <c r="BJ69" i="4"/>
  <c r="BJ148" i="4"/>
  <c r="BJ82" i="4"/>
  <c r="BJ129" i="4"/>
  <c r="BJ54" i="4"/>
  <c r="BJ157" i="4"/>
  <c r="BJ166" i="4"/>
  <c r="BJ71" i="4"/>
  <c r="BJ77" i="4"/>
  <c r="BJ161" i="4"/>
  <c r="BJ55" i="4"/>
  <c r="BJ134" i="4"/>
  <c r="BJ122" i="4"/>
  <c r="BJ158" i="4"/>
  <c r="BJ53" i="4"/>
  <c r="BJ142" i="4"/>
  <c r="BJ79" i="4"/>
  <c r="BJ115" i="4"/>
  <c r="BJ91" i="4"/>
  <c r="BJ33" i="4"/>
  <c r="BJ98" i="4"/>
  <c r="BJ68" i="4"/>
  <c r="BJ88" i="4"/>
  <c r="BJ76" i="4"/>
  <c r="BJ174" i="4"/>
  <c r="BJ126" i="4"/>
  <c r="BJ140" i="4"/>
  <c r="BJ179" i="4"/>
  <c r="BJ39" i="4"/>
  <c r="BJ36" i="4"/>
  <c r="BJ187" i="4"/>
  <c r="BJ51" i="4"/>
  <c r="BJ152" i="4"/>
  <c r="BJ150" i="4"/>
  <c r="BJ100" i="4"/>
  <c r="BJ164" i="4"/>
  <c r="BJ90" i="4"/>
  <c r="BJ109" i="4"/>
  <c r="BJ37" i="4"/>
  <c r="BJ163" i="4"/>
  <c r="BJ40" i="4"/>
  <c r="BJ155" i="4"/>
  <c r="BJ112" i="4"/>
  <c r="BJ84" i="4"/>
  <c r="BJ156" i="4"/>
  <c r="BJ171" i="4"/>
  <c r="BJ102" i="4"/>
  <c r="BJ184" i="4"/>
  <c r="BJ167" i="4"/>
  <c r="BJ124" i="4"/>
  <c r="BJ176" i="4"/>
  <c r="BJ139" i="4"/>
  <c r="BJ162" i="4"/>
  <c r="BJ75" i="4"/>
  <c r="BJ38" i="4"/>
  <c r="BJ170" i="4"/>
  <c r="BJ173" i="4"/>
  <c r="BJ153" i="4"/>
  <c r="BJ180" i="4"/>
  <c r="BJ159" i="4"/>
  <c r="BJ141" i="4"/>
  <c r="BJ99" i="4"/>
  <c r="BJ133" i="4"/>
  <c r="BJ72" i="4"/>
  <c r="BJ151" i="4"/>
  <c r="BJ52" i="4"/>
  <c r="BJ177" i="4"/>
  <c r="BJ87" i="4"/>
  <c r="BJ104" i="4"/>
  <c r="BJ41" i="4"/>
  <c r="BJ106" i="4"/>
  <c r="BJ70" i="4"/>
  <c r="BJ43" i="4"/>
  <c r="BJ137" i="4"/>
  <c r="BJ105" i="4"/>
  <c r="BJ118" i="4"/>
  <c r="BJ183" i="4"/>
  <c r="BJ135" i="4"/>
  <c r="BJ101" i="4"/>
  <c r="BJ128" i="4"/>
  <c r="BJ83" i="4"/>
  <c r="BJ50" i="4"/>
  <c r="BJ182" i="4"/>
  <c r="BJ117" i="4"/>
  <c r="BJ123" i="4"/>
  <c r="BJ81" i="4"/>
  <c r="BJ132" i="4"/>
  <c r="BJ130" i="4"/>
  <c r="BJ116" i="4"/>
  <c r="BJ125" i="4"/>
  <c r="BI46" i="4"/>
  <c r="BJ110" i="4"/>
  <c r="BI45" i="4"/>
  <c r="BI47" i="4"/>
  <c r="BJ74" i="4"/>
  <c r="BJ120" i="4"/>
  <c r="BI44" i="4"/>
  <c r="BJ143" i="4"/>
  <c r="BJ94" i="4"/>
  <c r="BJ154" i="4"/>
  <c r="BJ181" i="4"/>
  <c r="BJ73" i="4"/>
  <c r="BJ168" i="4"/>
  <c r="BJ144" i="4"/>
  <c r="BJ86" i="4"/>
  <c r="BJ92" i="4"/>
  <c r="BJ114" i="4"/>
  <c r="BJ95" i="4"/>
  <c r="BJ145" i="4"/>
  <c r="BJ131" i="4"/>
  <c r="BJ42" i="4"/>
  <c r="BJ147" i="4"/>
  <c r="BI49" i="4"/>
  <c r="BJ121" i="4"/>
  <c r="BJ127" i="4"/>
  <c r="BJ185" i="4"/>
  <c r="BJ160" i="4"/>
  <c r="BJ169" i="4"/>
  <c r="BJ85" i="4"/>
  <c r="BJ138" i="4"/>
  <c r="BI48" i="4"/>
  <c r="BJ178" i="4"/>
  <c r="BJ35" i="4"/>
  <c r="BJ93" i="4"/>
  <c r="O8" i="12"/>
  <c r="O27" i="12"/>
  <c r="O63" i="12"/>
  <c r="O70" i="12"/>
  <c r="O57" i="12"/>
  <c r="O78" i="12"/>
  <c r="O55" i="12"/>
  <c r="O48" i="12"/>
  <c r="O60" i="12"/>
  <c r="O46" i="12"/>
  <c r="O75" i="12"/>
  <c r="O19" i="12"/>
  <c r="O18" i="12"/>
  <c r="O49" i="12"/>
  <c r="O77" i="12"/>
  <c r="O80" i="12"/>
  <c r="O25" i="12"/>
  <c r="O98" i="12"/>
  <c r="O5" i="12"/>
  <c r="O59" i="12"/>
  <c r="O85" i="12"/>
  <c r="O13" i="12"/>
  <c r="O23" i="12"/>
  <c r="O93" i="12"/>
  <c r="O10" i="12"/>
  <c r="O61" i="12"/>
  <c r="O84" i="12"/>
  <c r="O58" i="12"/>
  <c r="O88" i="12"/>
  <c r="O87" i="12"/>
  <c r="O43" i="12"/>
  <c r="O40" i="12"/>
  <c r="O68" i="12"/>
  <c r="O56" i="12"/>
  <c r="O24" i="12"/>
  <c r="O65" i="12"/>
  <c r="O72" i="12"/>
  <c r="O67" i="12"/>
  <c r="O53" i="12"/>
  <c r="O11" i="12"/>
  <c r="O4" i="12"/>
  <c r="O45" i="12"/>
  <c r="O86" i="12"/>
  <c r="O12" i="12"/>
  <c r="O95" i="12"/>
  <c r="O42" i="12"/>
  <c r="O71" i="12"/>
  <c r="O83" i="12"/>
  <c r="O47" i="12"/>
  <c r="O15" i="12"/>
  <c r="O79" i="12"/>
  <c r="O21" i="12"/>
  <c r="O76" i="12"/>
  <c r="O14" i="12"/>
  <c r="O64" i="12"/>
  <c r="O62" i="12"/>
  <c r="O82" i="12"/>
  <c r="O66" i="12"/>
  <c r="O7" i="12"/>
  <c r="O22" i="12"/>
  <c r="O26" i="12"/>
  <c r="O89" i="12"/>
  <c r="O52" i="12"/>
  <c r="O81" i="12"/>
  <c r="O6" i="12"/>
  <c r="O44" i="12"/>
  <c r="O51" i="12"/>
  <c r="O73" i="12"/>
  <c r="O94" i="12"/>
  <c r="O91" i="12"/>
  <c r="O69" i="12"/>
  <c r="O20" i="12"/>
  <c r="O74" i="12"/>
  <c r="O9" i="12"/>
  <c r="O16" i="12"/>
  <c r="O54" i="12"/>
  <c r="O17" i="12"/>
  <c r="O97" i="12"/>
  <c r="O90" i="12"/>
  <c r="O92" i="12"/>
  <c r="O96" i="12"/>
  <c r="O50" i="12"/>
  <c r="O41" i="12"/>
  <c r="AB104" i="12"/>
  <c r="AA152" i="5"/>
  <c r="G120" i="12" s="1"/>
  <c r="Y152" i="5"/>
  <c r="AB152" i="5" s="1"/>
  <c r="H120" i="12" s="1"/>
  <c r="AB101" i="12"/>
  <c r="AA102" i="5"/>
  <c r="G70" i="12" s="1"/>
  <c r="Y102" i="5"/>
  <c r="AB102" i="5" s="1"/>
  <c r="H70" i="12" s="1"/>
  <c r="X127" i="1"/>
  <c r="X125" i="1"/>
  <c r="X126" i="1"/>
  <c r="Y91" i="5"/>
  <c r="AB91" i="5" s="1"/>
  <c r="H59" i="12" s="1"/>
  <c r="AA91" i="5"/>
  <c r="G59" i="12" s="1"/>
  <c r="F95" i="12"/>
  <c r="AB142" i="1"/>
  <c r="AB141" i="1"/>
  <c r="AB143" i="1"/>
  <c r="F121" i="12"/>
  <c r="AB138" i="12"/>
  <c r="Y149" i="5"/>
  <c r="AB149" i="5" s="1"/>
  <c r="H117" i="12" s="1"/>
  <c r="AA149" i="5"/>
  <c r="G117" i="12" s="1"/>
  <c r="AA112" i="5"/>
  <c r="G80" i="12" s="1"/>
  <c r="Y112" i="5"/>
  <c r="AB112" i="5" s="1"/>
  <c r="H80" i="12" s="1"/>
  <c r="Y148" i="5"/>
  <c r="AB148" i="5" s="1"/>
  <c r="H116" i="12" s="1"/>
  <c r="AA148" i="5"/>
  <c r="G116" i="12" s="1"/>
  <c r="Y144" i="5"/>
  <c r="AB144" i="5" s="1"/>
  <c r="H112" i="12" s="1"/>
  <c r="AA144" i="5"/>
  <c r="G112" i="12" s="1"/>
  <c r="AA153" i="5"/>
  <c r="G121" i="12" s="1"/>
  <c r="Y153" i="5"/>
  <c r="AB153" i="5" s="1"/>
  <c r="H121" i="12" s="1"/>
  <c r="AB114" i="12"/>
  <c r="F45" i="12"/>
  <c r="AB65" i="12"/>
  <c r="F98" i="12"/>
  <c r="F52" i="12"/>
  <c r="Y146" i="5"/>
  <c r="AB146" i="5" s="1"/>
  <c r="H114" i="12" s="1"/>
  <c r="AA146" i="5"/>
  <c r="G114" i="12" s="1"/>
  <c r="AR47" i="4" a="1"/>
  <c r="AR47" i="4" s="1"/>
  <c r="W26" i="1" s="1"/>
  <c r="AP47" i="4" a="1"/>
  <c r="AP47" i="4" s="1"/>
  <c r="U26" i="1" s="1"/>
  <c r="AO47" i="4" a="1"/>
  <c r="AO47" i="4" s="1"/>
  <c r="T26" i="1" s="1"/>
  <c r="BH47" i="4"/>
  <c r="AQ47" i="4" a="1"/>
  <c r="AQ47" i="4" s="1"/>
  <c r="V26" i="1" s="1"/>
  <c r="V71" i="1"/>
  <c r="V69" i="1"/>
  <c r="V70" i="1"/>
  <c r="F24" i="12"/>
  <c r="F147" i="12"/>
  <c r="Y190" i="1"/>
  <c r="Y191" i="1"/>
  <c r="Y189" i="1"/>
  <c r="Y118" i="5"/>
  <c r="AB118" i="5" s="1"/>
  <c r="H86" i="12" s="1"/>
  <c r="AA118" i="5"/>
  <c r="G86" i="12" s="1"/>
  <c r="F141" i="12"/>
  <c r="F78" i="12"/>
  <c r="F113" i="12"/>
  <c r="AB72" i="12"/>
  <c r="L52" i="10"/>
  <c r="AU83" i="6"/>
  <c r="F129" i="12"/>
  <c r="AB48" i="12"/>
  <c r="AA155" i="5"/>
  <c r="G123" i="12" s="1"/>
  <c r="Y155" i="5"/>
  <c r="AB155" i="5" s="1"/>
  <c r="H123" i="12" s="1"/>
  <c r="W93" i="1"/>
  <c r="W94" i="1"/>
  <c r="W95" i="1"/>
  <c r="AB68" i="12"/>
  <c r="AA141" i="5"/>
  <c r="G109" i="12" s="1"/>
  <c r="Y141" i="5"/>
  <c r="AB141" i="5" s="1"/>
  <c r="H109" i="12" s="1"/>
  <c r="AB110" i="12"/>
  <c r="Y106" i="5"/>
  <c r="AB106" i="5" s="1"/>
  <c r="H74" i="12" s="1"/>
  <c r="AA106" i="5"/>
  <c r="G74" i="12" s="1"/>
  <c r="F134" i="12"/>
  <c r="AB98" i="12"/>
  <c r="X13" i="1"/>
  <c r="X15" i="1"/>
  <c r="X14" i="1"/>
  <c r="AB140" i="12"/>
  <c r="AB71" i="12"/>
  <c r="F42" i="12"/>
  <c r="AA135" i="5"/>
  <c r="G103" i="12" s="1"/>
  <c r="Y135" i="5"/>
  <c r="AB135" i="5" s="1"/>
  <c r="H103" i="12" s="1"/>
  <c r="AA170" i="5"/>
  <c r="G138" i="12" s="1"/>
  <c r="Y170" i="5"/>
  <c r="AB170" i="5" s="1"/>
  <c r="H138" i="12" s="1"/>
  <c r="T63" i="1"/>
  <c r="T61" i="1"/>
  <c r="T62" i="1"/>
  <c r="T199" i="1"/>
  <c r="T198" i="1"/>
  <c r="T197" i="1"/>
  <c r="AA103" i="5"/>
  <c r="G71" i="12" s="1"/>
  <c r="Y103" i="5"/>
  <c r="AB103" i="5" s="1"/>
  <c r="H71" i="12" s="1"/>
  <c r="F18" i="12"/>
  <c r="Y59" i="5"/>
  <c r="AB59" i="5" s="1"/>
  <c r="H27" i="12" s="1"/>
  <c r="AA59" i="5"/>
  <c r="G27" i="12" s="1"/>
  <c r="AB75" i="12"/>
  <c r="AB23" i="12"/>
  <c r="AB49" i="12"/>
  <c r="AB81" i="12"/>
  <c r="Z167" i="1"/>
  <c r="Z166" i="1"/>
  <c r="Z165" i="1"/>
  <c r="F10" i="12"/>
  <c r="F151" i="12"/>
  <c r="F6" i="12"/>
  <c r="AB43" i="12"/>
  <c r="AA122" i="5"/>
  <c r="G90" i="12" s="1"/>
  <c r="Y122" i="5"/>
  <c r="AB122" i="5" s="1"/>
  <c r="H90" i="12" s="1"/>
  <c r="F61" i="12"/>
  <c r="X110" i="1"/>
  <c r="X109" i="1"/>
  <c r="X111" i="1"/>
  <c r="AB133" i="12"/>
  <c r="AB36" i="5"/>
  <c r="H4" i="12" s="1"/>
  <c r="AA36" i="5"/>
  <c r="G4" i="12" s="1"/>
  <c r="U205" i="1"/>
  <c r="U207" i="1"/>
  <c r="U206" i="1"/>
  <c r="W182" i="1"/>
  <c r="W181" i="1"/>
  <c r="W183" i="1"/>
  <c r="F130" i="12"/>
  <c r="F47" i="12"/>
  <c r="V150" i="1"/>
  <c r="V149" i="1"/>
  <c r="V151" i="1"/>
  <c r="Y157" i="5"/>
  <c r="AB157" i="5" s="1"/>
  <c r="H125" i="12" s="1"/>
  <c r="AA157" i="5"/>
  <c r="G125" i="12" s="1"/>
  <c r="T157" i="1"/>
  <c r="T158" i="1"/>
  <c r="T159" i="1"/>
  <c r="AB132" i="12"/>
  <c r="Z173" i="1"/>
  <c r="Z175" i="1"/>
  <c r="Z174" i="1"/>
  <c r="X174" i="1"/>
  <c r="X173" i="1"/>
  <c r="X175" i="1"/>
  <c r="W79" i="1"/>
  <c r="W77" i="1"/>
  <c r="W78" i="1"/>
  <c r="F60" i="12"/>
  <c r="W134" i="1"/>
  <c r="W135" i="1"/>
  <c r="W133" i="1"/>
  <c r="AB76" i="12"/>
  <c r="F122" i="12"/>
  <c r="F115" i="12"/>
  <c r="F96" i="12"/>
  <c r="Y82" i="5"/>
  <c r="AB82" i="5" s="1"/>
  <c r="H50" i="12" s="1"/>
  <c r="AA82" i="5"/>
  <c r="G50" i="12" s="1"/>
  <c r="F21" i="12"/>
  <c r="F99" i="12"/>
  <c r="F80" i="12"/>
  <c r="T141" i="1"/>
  <c r="T142" i="1"/>
  <c r="T143" i="1"/>
  <c r="F114" i="12"/>
  <c r="AB148" i="12"/>
  <c r="X69" i="1"/>
  <c r="X70" i="1"/>
  <c r="X71" i="1"/>
  <c r="T191" i="1"/>
  <c r="T190" i="1"/>
  <c r="T189" i="1"/>
  <c r="F94" i="12"/>
  <c r="L53" i="10"/>
  <c r="AU84" i="6"/>
  <c r="AA173" i="5"/>
  <c r="G141" i="12" s="1"/>
  <c r="Y173" i="5"/>
  <c r="AB173" i="5" s="1"/>
  <c r="H141" i="12" s="1"/>
  <c r="AB14" i="12"/>
  <c r="F69" i="12"/>
  <c r="AB22" i="12"/>
  <c r="F20" i="12"/>
  <c r="AB45" i="12"/>
  <c r="F123" i="12"/>
  <c r="F5" i="12"/>
  <c r="V125" i="1"/>
  <c r="V126" i="1"/>
  <c r="V127" i="1"/>
  <c r="AB59" i="12"/>
  <c r="F59" i="12"/>
  <c r="AB131" i="12"/>
  <c r="V15" i="1"/>
  <c r="V14" i="1"/>
  <c r="V13" i="1"/>
  <c r="Y178" i="5"/>
  <c r="AB178" i="5" s="1"/>
  <c r="H146" i="12" s="1"/>
  <c r="AA178" i="5"/>
  <c r="G146" i="12" s="1"/>
  <c r="F9" i="12"/>
  <c r="AB88" i="12"/>
  <c r="AB125" i="12"/>
  <c r="F16" i="12"/>
  <c r="F135" i="12"/>
  <c r="F131" i="12"/>
  <c r="F103" i="12"/>
  <c r="Y197" i="1"/>
  <c r="Y198" i="1"/>
  <c r="Y199" i="1"/>
  <c r="F43" i="12"/>
  <c r="Y50" i="5"/>
  <c r="AB50" i="5" s="1"/>
  <c r="H18" i="12" s="1"/>
  <c r="AA50" i="5"/>
  <c r="G18" i="12" s="1"/>
  <c r="F27" i="12"/>
  <c r="Y133" i="5"/>
  <c r="AB133" i="5" s="1"/>
  <c r="H101" i="12" s="1"/>
  <c r="AA133" i="5"/>
  <c r="G101" i="12" s="1"/>
  <c r="AB153" i="12"/>
  <c r="F84" i="12"/>
  <c r="F17" i="12"/>
  <c r="T119" i="1"/>
  <c r="T117" i="1"/>
  <c r="T118" i="1"/>
  <c r="W166" i="1"/>
  <c r="W165" i="1"/>
  <c r="W167" i="1"/>
  <c r="V166" i="1"/>
  <c r="V165" i="1"/>
  <c r="V167" i="1"/>
  <c r="AO46" i="4" a="1"/>
  <c r="AO46" i="4" s="1"/>
  <c r="T25" i="1" s="1"/>
  <c r="AP46" i="4" a="1"/>
  <c r="AP46" i="4" s="1"/>
  <c r="U25" i="1" s="1"/>
  <c r="AR46" i="4" a="1"/>
  <c r="AR46" i="4" s="1"/>
  <c r="W25" i="1" s="1"/>
  <c r="BH46" i="4"/>
  <c r="AQ46" i="4" a="1"/>
  <c r="AQ46" i="4" s="1"/>
  <c r="V25" i="1" s="1"/>
  <c r="AB137" i="12"/>
  <c r="X31" i="1"/>
  <c r="X30" i="1"/>
  <c r="X29" i="1"/>
  <c r="AB21" i="12"/>
  <c r="F90" i="12"/>
  <c r="AA93" i="5"/>
  <c r="G61" i="12" s="1"/>
  <c r="Y93" i="5"/>
  <c r="AB93" i="5" s="1"/>
  <c r="H61" i="12" s="1"/>
  <c r="T111" i="1"/>
  <c r="T109" i="1"/>
  <c r="T110" i="1"/>
  <c r="Z110" i="1"/>
  <c r="Z109" i="1"/>
  <c r="Z111" i="1"/>
  <c r="AB51" i="12"/>
  <c r="T206" i="1"/>
  <c r="T205" i="1"/>
  <c r="T207" i="1"/>
  <c r="V182" i="1"/>
  <c r="V181" i="1"/>
  <c r="V183" i="1"/>
  <c r="F64" i="12"/>
  <c r="U151" i="1"/>
  <c r="U150" i="1"/>
  <c r="U149" i="1"/>
  <c r="AB79" i="12"/>
  <c r="AA89" i="5"/>
  <c r="G57" i="12" s="1"/>
  <c r="Y89" i="5"/>
  <c r="AB89" i="5" s="1"/>
  <c r="H57" i="12" s="1"/>
  <c r="Y100" i="5"/>
  <c r="AB100" i="5" s="1"/>
  <c r="H68" i="12" s="1"/>
  <c r="AA100" i="5"/>
  <c r="G68" i="12" s="1"/>
  <c r="AA174" i="1"/>
  <c r="AA173" i="1"/>
  <c r="AA175" i="1"/>
  <c r="T173" i="1"/>
  <c r="T175" i="1"/>
  <c r="T174" i="1"/>
  <c r="T79" i="1"/>
  <c r="T77" i="1"/>
  <c r="T78" i="1"/>
  <c r="F56" i="12"/>
  <c r="X134" i="1"/>
  <c r="X133" i="1"/>
  <c r="X135" i="1"/>
  <c r="Y147" i="5"/>
  <c r="AB147" i="5" s="1"/>
  <c r="H115" i="12" s="1"/>
  <c r="AA147" i="5"/>
  <c r="G115" i="12" s="1"/>
  <c r="Y128" i="5"/>
  <c r="AB128" i="5" s="1"/>
  <c r="H96" i="12" s="1"/>
  <c r="AA128" i="5"/>
  <c r="G96" i="12" s="1"/>
  <c r="L51" i="10"/>
  <c r="AU82" i="6"/>
  <c r="AB16" i="12"/>
  <c r="AB136" i="12"/>
  <c r="Y164" i="5"/>
  <c r="AB164" i="5" s="1"/>
  <c r="H132" i="12" s="1"/>
  <c r="AA164" i="5"/>
  <c r="G132" i="12" s="1"/>
  <c r="T103" i="1"/>
  <c r="T101" i="1"/>
  <c r="T102" i="1"/>
  <c r="Y73" i="5"/>
  <c r="AB73" i="5" s="1"/>
  <c r="H41" i="12" s="1"/>
  <c r="AA73" i="5"/>
  <c r="G41" i="12" s="1"/>
  <c r="AB66" i="12"/>
  <c r="F118" i="12"/>
  <c r="AB82" i="12"/>
  <c r="Y77" i="5"/>
  <c r="AB77" i="5" s="1"/>
  <c r="H45" i="12" s="1"/>
  <c r="AA77" i="5"/>
  <c r="G45" i="12" s="1"/>
  <c r="AB154" i="12"/>
  <c r="AA166" i="5"/>
  <c r="G134" i="12" s="1"/>
  <c r="Y166" i="5"/>
  <c r="AB166" i="5" s="1"/>
  <c r="H134" i="12" s="1"/>
  <c r="AB128" i="12"/>
  <c r="AB84" i="12"/>
  <c r="Y63" i="1"/>
  <c r="Y62" i="1"/>
  <c r="Y61" i="1"/>
  <c r="F152" i="12"/>
  <c r="W197" i="1"/>
  <c r="W198" i="1"/>
  <c r="W199" i="1"/>
  <c r="F76" i="12"/>
  <c r="AA75" i="5"/>
  <c r="G43" i="12" s="1"/>
  <c r="Y75" i="5"/>
  <c r="AB75" i="5" s="1"/>
  <c r="H43" i="12" s="1"/>
  <c r="F65" i="12"/>
  <c r="F157" i="12"/>
  <c r="AB93" i="12"/>
  <c r="F104" i="12"/>
  <c r="AB122" i="12"/>
  <c r="F83" i="12"/>
  <c r="V118" i="1"/>
  <c r="V117" i="1"/>
  <c r="V119" i="1"/>
  <c r="AB85" i="12"/>
  <c r="Y42" i="5"/>
  <c r="AB42" i="5" s="1"/>
  <c r="H10" i="12" s="1"/>
  <c r="AA183" i="5"/>
  <c r="G151" i="12" s="1"/>
  <c r="Y183" i="5"/>
  <c r="AB183" i="5" s="1"/>
  <c r="H151" i="12" s="1"/>
  <c r="AA46" i="5"/>
  <c r="G14" i="12" s="1"/>
  <c r="Y46" i="5"/>
  <c r="AB46" i="5" s="1"/>
  <c r="H14" i="12" s="1"/>
  <c r="F136" i="12"/>
  <c r="W31" i="1"/>
  <c r="W30" i="1"/>
  <c r="W29" i="1"/>
  <c r="AB108" i="12"/>
  <c r="AA110" i="1"/>
  <c r="AA111" i="1"/>
  <c r="AA109" i="1"/>
  <c r="Y85" i="5"/>
  <c r="AB85" i="5" s="1"/>
  <c r="H53" i="12" s="1"/>
  <c r="AA85" i="5"/>
  <c r="G53" i="12" s="1"/>
  <c r="Y205" i="1"/>
  <c r="Y207" i="1"/>
  <c r="Y206" i="1"/>
  <c r="V207" i="1"/>
  <c r="V206" i="1"/>
  <c r="V205" i="1"/>
  <c r="AA96" i="5"/>
  <c r="G64" i="12" s="1"/>
  <c r="Y96" i="5"/>
  <c r="AB96" i="5" s="1"/>
  <c r="H64" i="12" s="1"/>
  <c r="F15" i="12"/>
  <c r="V157" i="1"/>
  <c r="V159" i="1"/>
  <c r="V158" i="1"/>
  <c r="F68" i="12"/>
  <c r="F126" i="12"/>
  <c r="W173" i="1"/>
  <c r="W175" i="1"/>
  <c r="W174" i="1"/>
  <c r="X79" i="1"/>
  <c r="X77" i="1"/>
  <c r="X78" i="1"/>
  <c r="Z135" i="1"/>
  <c r="Z133" i="1"/>
  <c r="Z134" i="1"/>
  <c r="F79" i="12"/>
  <c r="AB80" i="12"/>
  <c r="F132" i="12"/>
  <c r="X102" i="1"/>
  <c r="X101" i="1"/>
  <c r="X103" i="1"/>
  <c r="F116" i="12"/>
  <c r="AA71" i="1"/>
  <c r="AA69" i="1"/>
  <c r="AA70" i="1"/>
  <c r="AA56" i="5"/>
  <c r="G24" i="12" s="1"/>
  <c r="Y56" i="5"/>
  <c r="AB56" i="5" s="1"/>
  <c r="H24" i="12" s="1"/>
  <c r="F137" i="12"/>
  <c r="F89" i="12"/>
  <c r="F82" i="12"/>
  <c r="AB74" i="12"/>
  <c r="Y113" i="5"/>
  <c r="AB113" i="5" s="1"/>
  <c r="H81" i="12" s="1"/>
  <c r="AA113" i="5"/>
  <c r="G81" i="12" s="1"/>
  <c r="Y14" i="1"/>
  <c r="Y15" i="1"/>
  <c r="Y13" i="1"/>
  <c r="F139" i="12"/>
  <c r="X199" i="1"/>
  <c r="X198" i="1"/>
  <c r="X197" i="1"/>
  <c r="Y189" i="5"/>
  <c r="AB189" i="5" s="1"/>
  <c r="H157" i="12" s="1"/>
  <c r="AA189" i="5"/>
  <c r="G157" i="12" s="1"/>
  <c r="AA49" i="5"/>
  <c r="G17" i="12" s="1"/>
  <c r="Y49" i="5"/>
  <c r="AB49" i="5" s="1"/>
  <c r="H17" i="12" s="1"/>
  <c r="F58" i="12"/>
  <c r="AA115" i="5"/>
  <c r="G83" i="12" s="1"/>
  <c r="Y115" i="5"/>
  <c r="AB115" i="5" s="1"/>
  <c r="H83" i="12" s="1"/>
  <c r="U117" i="1"/>
  <c r="U118" i="1"/>
  <c r="U119" i="1"/>
  <c r="F155" i="12"/>
  <c r="AB158" i="12"/>
  <c r="Y47" i="5"/>
  <c r="AB47" i="5" s="1"/>
  <c r="H15" i="12" s="1"/>
  <c r="AA47" i="5"/>
  <c r="G15" i="12" s="1"/>
  <c r="F57" i="12"/>
  <c r="V173" i="1"/>
  <c r="V175" i="1"/>
  <c r="V174" i="1"/>
  <c r="AB92" i="12"/>
  <c r="U6" i="1"/>
  <c r="U7" i="1"/>
  <c r="U5" i="1"/>
  <c r="U4" i="1" s="1"/>
  <c r="U3" i="1" s="1"/>
  <c r="U2" i="1" s="1"/>
  <c r="Y139" i="5"/>
  <c r="AB139" i="5" s="1"/>
  <c r="H107" i="12" s="1"/>
  <c r="AA139" i="5"/>
  <c r="G107" i="12" s="1"/>
  <c r="F41" i="12"/>
  <c r="AB112" i="12"/>
  <c r="T71" i="1"/>
  <c r="T70" i="1"/>
  <c r="T69" i="1"/>
  <c r="Y70" i="1"/>
  <c r="Y69" i="1"/>
  <c r="Y71" i="1"/>
  <c r="V190" i="1"/>
  <c r="V191" i="1"/>
  <c r="V189" i="1"/>
  <c r="AA44" i="5"/>
  <c r="G12" i="12" s="1"/>
  <c r="Y44" i="5"/>
  <c r="AB44" i="5" s="1"/>
  <c r="H12" i="12" s="1"/>
  <c r="AB63" i="12"/>
  <c r="Y190" i="5"/>
  <c r="AB190" i="5" s="1"/>
  <c r="H158" i="12" s="1"/>
  <c r="AA190" i="5"/>
  <c r="G158" i="12" s="1"/>
  <c r="AA52" i="5"/>
  <c r="G20" i="12" s="1"/>
  <c r="Y52" i="5"/>
  <c r="AB52" i="5" s="1"/>
  <c r="H20" i="12" s="1"/>
  <c r="L140" i="10"/>
  <c r="AU171" i="6"/>
  <c r="F120" i="12"/>
  <c r="Y159" i="5"/>
  <c r="AB159" i="5" s="1"/>
  <c r="H127" i="12" s="1"/>
  <c r="AA159" i="5"/>
  <c r="G127" i="12" s="1"/>
  <c r="Y142" i="5"/>
  <c r="AB142" i="5" s="1"/>
  <c r="H110" i="12" s="1"/>
  <c r="AA142" i="5"/>
  <c r="G110" i="12" s="1"/>
  <c r="Y51" i="5"/>
  <c r="AB51" i="5" s="1"/>
  <c r="H19" i="12" s="1"/>
  <c r="AA51" i="5"/>
  <c r="G19" i="12" s="1"/>
  <c r="X95" i="1"/>
  <c r="X93" i="1"/>
  <c r="X94" i="1"/>
  <c r="Y126" i="1"/>
  <c r="Y127" i="1"/>
  <c r="Y125" i="1"/>
  <c r="AM98" i="4" a="1"/>
  <c r="AM98" i="4" s="1"/>
  <c r="AN82" i="4" a="1"/>
  <c r="AN82" i="4" s="1"/>
  <c r="S73" i="1" s="1"/>
  <c r="AN117" i="4" a="1"/>
  <c r="AN117" i="4" s="1"/>
  <c r="S120" i="1" s="1"/>
  <c r="AN73" i="4" a="1"/>
  <c r="AN73" i="4" s="1"/>
  <c r="S60" i="1" s="1"/>
  <c r="AM92" i="4" a="1"/>
  <c r="AM92" i="4" s="1"/>
  <c r="AN49" i="4" a="1"/>
  <c r="AN49" i="4" s="1"/>
  <c r="S28" i="1" s="1"/>
  <c r="AN122" i="4" a="1"/>
  <c r="AN122" i="4" s="1"/>
  <c r="AN179" i="4" a="1"/>
  <c r="AN179" i="4" s="1"/>
  <c r="S202" i="1" s="1"/>
  <c r="AM42" i="4" a="1"/>
  <c r="AM42" i="4" s="1"/>
  <c r="R19" i="1" s="1"/>
  <c r="AM162" i="4" a="1"/>
  <c r="AM162" i="4" s="1"/>
  <c r="R179" i="1" s="1"/>
  <c r="AN177" i="4" a="1"/>
  <c r="AN177" i="4" s="1"/>
  <c r="S200" i="1" s="1"/>
  <c r="AN157" i="4" a="1"/>
  <c r="AN157" i="4" s="1"/>
  <c r="S172" i="1" s="1"/>
  <c r="AN187" i="4" a="1"/>
  <c r="AN187" i="4" s="1"/>
  <c r="S212" i="1" s="1"/>
  <c r="AM185" i="4" a="1"/>
  <c r="AM185" i="4" s="1"/>
  <c r="R210" i="1" s="1"/>
  <c r="AM157" i="4" a="1"/>
  <c r="AM157" i="4" s="1"/>
  <c r="R172" i="1" s="1"/>
  <c r="AN83" i="4" a="1"/>
  <c r="AN83" i="4" s="1"/>
  <c r="S74" i="1" s="1"/>
  <c r="AM122" i="4" a="1"/>
  <c r="AM122" i="4" s="1"/>
  <c r="AM32" i="4" a="1"/>
  <c r="AM32" i="4" s="1"/>
  <c r="AN162" i="4" a="1"/>
  <c r="AN162" i="4" s="1"/>
  <c r="S179" i="1" s="1"/>
  <c r="AN149" i="4" a="1"/>
  <c r="AN149" i="4" s="1"/>
  <c r="S162" i="1" s="1"/>
  <c r="AM138" i="4" a="1"/>
  <c r="AM138" i="4" s="1"/>
  <c r="R147" i="1" s="1"/>
  <c r="AN170" i="4" a="1"/>
  <c r="AN170" i="4" s="1"/>
  <c r="AN47" i="4" a="1"/>
  <c r="AN47" i="4" s="1"/>
  <c r="S26" i="1" s="1"/>
  <c r="AM160" i="4" a="1"/>
  <c r="AM160" i="4" s="1"/>
  <c r="R177" i="1" s="1"/>
  <c r="AN91" i="4" a="1"/>
  <c r="AN91" i="4" s="1"/>
  <c r="S84" i="1" s="1"/>
  <c r="AN169" i="4" a="1"/>
  <c r="AN169" i="4" s="1"/>
  <c r="S188" i="1" s="1"/>
  <c r="AN95" i="4" a="1"/>
  <c r="AN95" i="4" s="1"/>
  <c r="S90" i="1" s="1"/>
  <c r="AM41" i="4" a="1"/>
  <c r="AM41" i="4" s="1"/>
  <c r="R18" i="1" s="1"/>
  <c r="AN159" i="4" a="1"/>
  <c r="AN159" i="4" s="1"/>
  <c r="S176" i="1" s="1"/>
  <c r="AN121" i="4" a="1"/>
  <c r="AN121" i="4" s="1"/>
  <c r="S124" i="1" s="1"/>
  <c r="AN85" i="4" a="1"/>
  <c r="AN85" i="4" s="1"/>
  <c r="S76" i="1" s="1"/>
  <c r="AN120" i="4" a="1"/>
  <c r="AN120" i="4" s="1"/>
  <c r="S123" i="1" s="1"/>
  <c r="AM97" i="4" a="1"/>
  <c r="AM97" i="4" s="1"/>
  <c r="R92" i="1" s="1"/>
  <c r="AM145" i="4" a="1"/>
  <c r="AM145" i="4" s="1"/>
  <c r="R156" i="1" s="1"/>
  <c r="AN130" i="4" a="1"/>
  <c r="AN130" i="4" s="1"/>
  <c r="S137" i="1" s="1"/>
  <c r="AN92" i="4" a="1"/>
  <c r="AN92" i="4" s="1"/>
  <c r="AM139" i="4" a="1"/>
  <c r="AM139" i="4" s="1"/>
  <c r="R148" i="1" s="1"/>
  <c r="AM137" i="4" a="1"/>
  <c r="AM137" i="4" s="1"/>
  <c r="R146" i="1" s="1"/>
  <c r="AM55" i="4" a="1"/>
  <c r="AM55" i="4" s="1"/>
  <c r="AM78" i="4" a="1"/>
  <c r="AM78" i="4" s="1"/>
  <c r="R67" i="1" s="1"/>
  <c r="AM129" i="4" a="1"/>
  <c r="AM129" i="4" s="1"/>
  <c r="R136" i="1" s="1"/>
  <c r="AM43" i="4" a="1"/>
  <c r="AM43" i="4" s="1"/>
  <c r="R20" i="1" s="1"/>
  <c r="AN41" i="4" a="1"/>
  <c r="AN41" i="4" s="1"/>
  <c r="S18" i="1" s="1"/>
  <c r="AM174" i="4" a="1"/>
  <c r="AM174" i="4" s="1"/>
  <c r="R195" i="1" s="1"/>
  <c r="AN94" i="4" a="1"/>
  <c r="AN94" i="4" s="1"/>
  <c r="S89" i="1" s="1"/>
  <c r="AM53" i="4" a="1"/>
  <c r="AM53" i="4" s="1"/>
  <c r="AM166" i="4" a="1"/>
  <c r="AM166" i="4" s="1"/>
  <c r="R185" i="1" s="1"/>
  <c r="AM70" i="4" a="1"/>
  <c r="AM70" i="4" s="1"/>
  <c r="R57" i="1" s="1"/>
  <c r="AM51" i="4" a="1"/>
  <c r="AM51" i="4" s="1"/>
  <c r="AN71" i="4" a="1"/>
  <c r="AN71" i="4" s="1"/>
  <c r="S58" i="1" s="1"/>
  <c r="AN167" i="4" a="1"/>
  <c r="AN167" i="4" s="1"/>
  <c r="S186" i="1" s="1"/>
  <c r="AM104" i="4" a="1"/>
  <c r="AM104" i="4" s="1"/>
  <c r="AN127" i="4" a="1"/>
  <c r="AN127" i="4" s="1"/>
  <c r="S132" i="1" s="1"/>
  <c r="AM96" i="4" a="1"/>
  <c r="AM96" i="4" s="1"/>
  <c r="R91" i="1" s="1"/>
  <c r="AN37" i="4" a="1"/>
  <c r="AN37" i="4" s="1"/>
  <c r="S12" i="1" s="1"/>
  <c r="AM44" i="4" a="1"/>
  <c r="AM44" i="4" s="1"/>
  <c r="AM151" i="4" a="1"/>
  <c r="AM151" i="4" s="1"/>
  <c r="R164" i="1" s="1"/>
  <c r="AN84" i="4" a="1"/>
  <c r="AN84" i="4" s="1"/>
  <c r="S75" i="1" s="1"/>
  <c r="AN53" i="4" a="1"/>
  <c r="AN53" i="4" s="1"/>
  <c r="AN116" i="4" a="1"/>
  <c r="AN116" i="4" s="1"/>
  <c r="AM149" i="4" a="1"/>
  <c r="AM149" i="4" s="1"/>
  <c r="R162" i="1" s="1"/>
  <c r="AM170" i="4" a="1"/>
  <c r="AM170" i="4" s="1"/>
  <c r="AM159" i="4" a="1"/>
  <c r="AM159" i="4" s="1"/>
  <c r="R176" i="1" s="1"/>
  <c r="AM182" i="4" a="1"/>
  <c r="AM182" i="4" s="1"/>
  <c r="AM111" i="4" a="1"/>
  <c r="AM111" i="4" s="1"/>
  <c r="R112" i="1" s="1"/>
  <c r="AN114" i="4" a="1"/>
  <c r="AN114" i="4" s="1"/>
  <c r="S115" i="1" s="1"/>
  <c r="AM152" i="4" a="1"/>
  <c r="AM152" i="4" s="1"/>
  <c r="AM171" i="4" a="1"/>
  <c r="AM171" i="4" s="1"/>
  <c r="R192" i="1" s="1"/>
  <c r="AM39" i="4" a="1"/>
  <c r="AM39" i="4" s="1"/>
  <c r="R16" i="1" s="1"/>
  <c r="AN96" i="4" a="1"/>
  <c r="AN96" i="4" s="1"/>
  <c r="S91" i="1" s="1"/>
  <c r="AN134" i="4" a="1"/>
  <c r="AN134" i="4" s="1"/>
  <c r="AM161" i="4" a="1"/>
  <c r="AM161" i="4" s="1"/>
  <c r="R178" i="1" s="1"/>
  <c r="AN144" i="4" a="1"/>
  <c r="AN144" i="4" s="1"/>
  <c r="S155" i="1" s="1"/>
  <c r="AN139" i="4" a="1"/>
  <c r="AN139" i="4" s="1"/>
  <c r="S148" i="1" s="1"/>
  <c r="AM120" i="4" a="1"/>
  <c r="AM120" i="4" s="1"/>
  <c r="R123" i="1" s="1"/>
  <c r="AN113" i="4" a="1"/>
  <c r="AN113" i="4" s="1"/>
  <c r="S114" i="1" s="1"/>
  <c r="AN115" i="4" a="1"/>
  <c r="AN115" i="4" s="1"/>
  <c r="S116" i="1" s="1"/>
  <c r="AN40" i="4" a="1"/>
  <c r="AN40" i="4" s="1"/>
  <c r="S17" i="1" s="1"/>
  <c r="AN155" i="4" a="1"/>
  <c r="AN155" i="4" s="1"/>
  <c r="S170" i="1" s="1"/>
  <c r="AM76" i="4" a="1"/>
  <c r="AM76" i="4" s="1"/>
  <c r="R65" i="1" s="1"/>
  <c r="AM54" i="4" a="1"/>
  <c r="AM54" i="4" s="1"/>
  <c r="AN107" i="4" a="1"/>
  <c r="AN107" i="4" s="1"/>
  <c r="S106" i="1" s="1"/>
  <c r="AN112" i="4" a="1"/>
  <c r="AN112" i="4" s="1"/>
  <c r="S113" i="1" s="1"/>
  <c r="AN86" i="4" a="1"/>
  <c r="AN86" i="4" s="1"/>
  <c r="AN174" i="4" a="1"/>
  <c r="AN174" i="4" s="1"/>
  <c r="S195" i="1" s="1"/>
  <c r="AN100" i="4" a="1"/>
  <c r="AN100" i="4" s="1"/>
  <c r="S97" i="1" s="1"/>
  <c r="AN80" i="4" a="1"/>
  <c r="AN80" i="4" s="1"/>
  <c r="AM153" i="4" a="1"/>
  <c r="AM153" i="4" s="1"/>
  <c r="R168" i="1" s="1"/>
  <c r="AN106" i="4" a="1"/>
  <c r="AN106" i="4" s="1"/>
  <c r="S105" i="1" s="1"/>
  <c r="AM108" i="4" a="1"/>
  <c r="AM108" i="4" s="1"/>
  <c r="R107" i="1" s="1"/>
  <c r="AN77" i="4" a="1"/>
  <c r="AN77" i="4" s="1"/>
  <c r="S66" i="1" s="1"/>
  <c r="AN42" i="4" a="1"/>
  <c r="AN42" i="4" s="1"/>
  <c r="S19" i="1" s="1"/>
  <c r="AN156" i="4" a="1"/>
  <c r="AN156" i="4" s="1"/>
  <c r="S171" i="1" s="1"/>
  <c r="AM136" i="4" a="1"/>
  <c r="AM136" i="4" s="1"/>
  <c r="R145" i="1" s="1"/>
  <c r="AN135" i="4" a="1"/>
  <c r="AN135" i="4" s="1"/>
  <c r="S144" i="1" s="1"/>
  <c r="AN102" i="4" a="1"/>
  <c r="AN102" i="4" s="1"/>
  <c r="S99" i="1" s="1"/>
  <c r="AN79" i="4" a="1"/>
  <c r="AN79" i="4" s="1"/>
  <c r="S68" i="1" s="1"/>
  <c r="AM94" i="4" a="1"/>
  <c r="AM94" i="4" s="1"/>
  <c r="R89" i="1" s="1"/>
  <c r="AN147" i="4" a="1"/>
  <c r="AN147" i="4" s="1"/>
  <c r="S160" i="1" s="1"/>
  <c r="AM142" i="4" a="1"/>
  <c r="AM142" i="4" s="1"/>
  <c r="R153" i="1" s="1"/>
  <c r="AM126" i="4" a="1"/>
  <c r="AM126" i="4" s="1"/>
  <c r="R131" i="1" s="1"/>
  <c r="AM119" i="4" a="1"/>
  <c r="AM119" i="4" s="1"/>
  <c r="R122" i="1" s="1"/>
  <c r="AN176" i="4" a="1"/>
  <c r="AN176" i="4" s="1"/>
  <c r="AM124" i="4" a="1"/>
  <c r="AM124" i="4" s="1"/>
  <c r="R129" i="1" s="1"/>
  <c r="AN44" i="4" a="1"/>
  <c r="AN44" i="4" s="1"/>
  <c r="AM89" i="4" a="1"/>
  <c r="AM89" i="4" s="1"/>
  <c r="R82" i="1" s="1"/>
  <c r="AM87" i="4" a="1"/>
  <c r="AM87" i="4" s="1"/>
  <c r="R80" i="1" s="1"/>
  <c r="AM117" i="4" a="1"/>
  <c r="AM117" i="4" s="1"/>
  <c r="R120" i="1" s="1"/>
  <c r="AM82" i="4" a="1"/>
  <c r="AM82" i="4" s="1"/>
  <c r="R73" i="1" s="1"/>
  <c r="AM50" i="4" a="1"/>
  <c r="AM50" i="4" s="1"/>
  <c r="AN68" i="4" a="1"/>
  <c r="AN68" i="4" s="1"/>
  <c r="AN166" i="4" a="1"/>
  <c r="AN166" i="4" s="1"/>
  <c r="S185" i="1" s="1"/>
  <c r="AN178" i="4" a="1"/>
  <c r="AN178" i="4" s="1"/>
  <c r="S201" i="1" s="1"/>
  <c r="AN70" i="4" a="1"/>
  <c r="AN70" i="4" s="1"/>
  <c r="S57" i="1" s="1"/>
  <c r="AM156" i="4" a="1"/>
  <c r="AM156" i="4" s="1"/>
  <c r="R171" i="1" s="1"/>
  <c r="AM99" i="4" a="1"/>
  <c r="AM99" i="4" s="1"/>
  <c r="R96" i="1" s="1"/>
  <c r="AN88" i="4" a="1"/>
  <c r="AN88" i="4" s="1"/>
  <c r="S81" i="1" s="1"/>
  <c r="AM181" i="4" a="1"/>
  <c r="AM181" i="4" s="1"/>
  <c r="R204" i="1" s="1"/>
  <c r="AM169" i="4" a="1"/>
  <c r="AM169" i="4" s="1"/>
  <c r="R188" i="1" s="1"/>
  <c r="AN172" i="4" a="1"/>
  <c r="AN172" i="4" s="1"/>
  <c r="S193" i="1" s="1"/>
  <c r="AM140" i="4" a="1"/>
  <c r="AM140" i="4" s="1"/>
  <c r="AN171" i="4" a="1"/>
  <c r="AN171" i="4" s="1"/>
  <c r="S192" i="1" s="1"/>
  <c r="AN160" i="4" a="1"/>
  <c r="AN160" i="4" s="1"/>
  <c r="S177" i="1" s="1"/>
  <c r="AN118" i="4" a="1"/>
  <c r="AN118" i="4" s="1"/>
  <c r="S121" i="1" s="1"/>
  <c r="AM106" i="4" a="1"/>
  <c r="AM106" i="4" s="1"/>
  <c r="R105" i="1" s="1"/>
  <c r="AM85" i="4" a="1"/>
  <c r="AM85" i="4" s="1"/>
  <c r="R76" i="1" s="1"/>
  <c r="AM178" i="4" a="1"/>
  <c r="AM178" i="4" s="1"/>
  <c r="R201" i="1" s="1"/>
  <c r="AN154" i="4" a="1"/>
  <c r="AN154" i="4" s="1"/>
  <c r="S169" i="1" s="1"/>
  <c r="AM93" i="4" a="1"/>
  <c r="AM93" i="4" s="1"/>
  <c r="R88" i="1" s="1"/>
  <c r="AM105" i="4" a="1"/>
  <c r="AM105" i="4" s="1"/>
  <c r="R104" i="1" s="1"/>
  <c r="AM52" i="4" a="1"/>
  <c r="AM52" i="4" s="1"/>
  <c r="AM150" i="4" a="1"/>
  <c r="AM150" i="4" s="1"/>
  <c r="R163" i="1" s="1"/>
  <c r="AM183" i="4" a="1"/>
  <c r="AM183" i="4" s="1"/>
  <c r="R208" i="1" s="1"/>
  <c r="AM143" i="4" a="1"/>
  <c r="AM143" i="4" s="1"/>
  <c r="R154" i="1" s="1"/>
  <c r="AM103" i="4" a="1"/>
  <c r="AM103" i="4" s="1"/>
  <c r="R100" i="1" s="1"/>
  <c r="AM148" i="4" a="1"/>
  <c r="AM148" i="4" s="1"/>
  <c r="R161" i="1" s="1"/>
  <c r="AM127" i="4" a="1"/>
  <c r="AM127" i="4" s="1"/>
  <c r="R132" i="1" s="1"/>
  <c r="AM163" i="4" a="1"/>
  <c r="AM163" i="4" s="1"/>
  <c r="R180" i="1" s="1"/>
  <c r="AM49" i="4" a="1"/>
  <c r="AM49" i="4" s="1"/>
  <c r="R28" i="1" s="1"/>
  <c r="AN99" i="4" a="1"/>
  <c r="AN99" i="4" s="1"/>
  <c r="S96" i="1" s="1"/>
  <c r="AM35" i="4" a="1"/>
  <c r="AM35" i="4" s="1"/>
  <c r="R10" i="1" s="1"/>
  <c r="AM135" i="4" a="1"/>
  <c r="AM135" i="4" s="1"/>
  <c r="R144" i="1" s="1"/>
  <c r="AN164" i="4" a="1"/>
  <c r="AN164" i="4" s="1"/>
  <c r="AM33" i="4" a="1"/>
  <c r="AM33" i="4" s="1"/>
  <c r="R8" i="1" s="1"/>
  <c r="AN165" i="4" a="1"/>
  <c r="AN165" i="4" s="1"/>
  <c r="S184" i="1" s="1"/>
  <c r="AN183" i="4" a="1"/>
  <c r="AN183" i="4" s="1"/>
  <c r="S208" i="1" s="1"/>
  <c r="AN137" i="4" a="1"/>
  <c r="AN137" i="4" s="1"/>
  <c r="S146" i="1" s="1"/>
  <c r="AN138" i="4" a="1"/>
  <c r="AN138" i="4" s="1"/>
  <c r="S147" i="1" s="1"/>
  <c r="AM144" i="4" a="1"/>
  <c r="AM144" i="4" s="1"/>
  <c r="R155" i="1" s="1"/>
  <c r="AN132" i="4" a="1"/>
  <c r="AN132" i="4" s="1"/>
  <c r="S139" i="1" s="1"/>
  <c r="AN54" i="4" a="1"/>
  <c r="AN54" i="4" s="1"/>
  <c r="AM80" i="4" a="1"/>
  <c r="AM80" i="4" s="1"/>
  <c r="AN101" i="4" a="1"/>
  <c r="AN101" i="4" s="1"/>
  <c r="S98" i="1" s="1"/>
  <c r="AN72" i="4" a="1"/>
  <c r="AN72" i="4" s="1"/>
  <c r="S59" i="1" s="1"/>
  <c r="AN76" i="4" a="1"/>
  <c r="AN76" i="4" s="1"/>
  <c r="S65" i="1" s="1"/>
  <c r="AM46" i="4" a="1"/>
  <c r="AM46" i="4" s="1"/>
  <c r="R25" i="1" s="1"/>
  <c r="AM113" i="4" a="1"/>
  <c r="AM113" i="4" s="1"/>
  <c r="R114" i="1" s="1"/>
  <c r="AN39" i="4" a="1"/>
  <c r="AN39" i="4" s="1"/>
  <c r="S16" i="1" s="1"/>
  <c r="AM69" i="4" a="1"/>
  <c r="AM69" i="4" s="1"/>
  <c r="R56" i="1" s="1"/>
  <c r="AN182" i="4" a="1"/>
  <c r="AN182" i="4" s="1"/>
  <c r="AM172" i="4" a="1"/>
  <c r="AM172" i="4" s="1"/>
  <c r="R193" i="1" s="1"/>
  <c r="AN43" i="4" a="1"/>
  <c r="AN43" i="4" s="1"/>
  <c r="S20" i="1" s="1"/>
  <c r="AN141" i="4" a="1"/>
  <c r="AN141" i="4" s="1"/>
  <c r="S152" i="1" s="1"/>
  <c r="AM73" i="4" a="1"/>
  <c r="AM73" i="4" s="1"/>
  <c r="R60" i="1" s="1"/>
  <c r="AM68" i="4" a="1"/>
  <c r="AM68" i="4" s="1"/>
  <c r="AM109" i="4" a="1"/>
  <c r="AM109" i="4" s="1"/>
  <c r="R108" i="1" s="1"/>
  <c r="AM90" i="4" a="1"/>
  <c r="AM90" i="4" s="1"/>
  <c r="R83" i="1" s="1"/>
  <c r="AN168" i="4" a="1"/>
  <c r="AN168" i="4" s="1"/>
  <c r="S187" i="1" s="1"/>
  <c r="AN51" i="4" a="1"/>
  <c r="AN51" i="4" s="1"/>
  <c r="AN97" i="4" a="1"/>
  <c r="AN97" i="4" s="1"/>
  <c r="S92" i="1" s="1"/>
  <c r="AN78" i="4" a="1"/>
  <c r="AN78" i="4" s="1"/>
  <c r="S67" i="1" s="1"/>
  <c r="AM45" i="4" a="1"/>
  <c r="AM45" i="4" s="1"/>
  <c r="R24" i="1" s="1"/>
  <c r="AN163" i="4" a="1"/>
  <c r="AN163" i="4" s="1"/>
  <c r="S180" i="1" s="1"/>
  <c r="AM88" i="4" a="1"/>
  <c r="AM88" i="4" s="1"/>
  <c r="R81" i="1" s="1"/>
  <c r="AM47" i="4" a="1"/>
  <c r="AM47" i="4" s="1"/>
  <c r="R26" i="1" s="1"/>
  <c r="AN185" i="4" a="1"/>
  <c r="AN185" i="4" s="1"/>
  <c r="S210" i="1" s="1"/>
  <c r="AN145" i="4" a="1"/>
  <c r="AN145" i="4" s="1"/>
  <c r="S156" i="1" s="1"/>
  <c r="AN93" i="4" a="1"/>
  <c r="AN93" i="4" s="1"/>
  <c r="S88" i="1" s="1"/>
  <c r="AM38" i="4" a="1"/>
  <c r="AM38" i="4" s="1"/>
  <c r="AN158" i="4" a="1"/>
  <c r="AN158" i="4" s="1"/>
  <c r="AN143" i="4" a="1"/>
  <c r="AN143" i="4" s="1"/>
  <c r="S154" i="1" s="1"/>
  <c r="AN124" i="4" a="1"/>
  <c r="AN124" i="4" s="1"/>
  <c r="S129" i="1" s="1"/>
  <c r="AN108" i="4" a="1"/>
  <c r="AN108" i="4" s="1"/>
  <c r="S107" i="1" s="1"/>
  <c r="AN69" i="4" a="1"/>
  <c r="AN69" i="4" s="1"/>
  <c r="S56" i="1" s="1"/>
  <c r="AN35" i="4" a="1"/>
  <c r="AN35" i="4" s="1"/>
  <c r="S10" i="1" s="1"/>
  <c r="AN152" i="4" a="1"/>
  <c r="AN152" i="4" s="1"/>
  <c r="AM168" i="4" a="1"/>
  <c r="AM168" i="4" s="1"/>
  <c r="R187" i="1" s="1"/>
  <c r="AM177" i="4" a="1"/>
  <c r="AM177" i="4" s="1"/>
  <c r="R200" i="1" s="1"/>
  <c r="AN38" i="4" a="1"/>
  <c r="AN38" i="4" s="1"/>
  <c r="AN104" i="4" a="1"/>
  <c r="AN104" i="4" s="1"/>
  <c r="AM187" i="4" a="1"/>
  <c r="AM187" i="4" s="1"/>
  <c r="R212" i="1" s="1"/>
  <c r="AN110" i="4" a="1"/>
  <c r="AN110" i="4" s="1"/>
  <c r="AM147" i="4" a="1"/>
  <c r="AM147" i="4" s="1"/>
  <c r="R160" i="1" s="1"/>
  <c r="AN45" i="4" a="1"/>
  <c r="AN45" i="4" s="1"/>
  <c r="S24" i="1" s="1"/>
  <c r="AN36" i="4" a="1"/>
  <c r="AN36" i="4" s="1"/>
  <c r="S11" i="1" s="1"/>
  <c r="AN119" i="4" a="1"/>
  <c r="AN119" i="4" s="1"/>
  <c r="S122" i="1" s="1"/>
  <c r="AN136" i="4" a="1"/>
  <c r="AN136" i="4" s="1"/>
  <c r="S145" i="1" s="1"/>
  <c r="AM179" i="4" a="1"/>
  <c r="AM179" i="4" s="1"/>
  <c r="R202" i="1" s="1"/>
  <c r="AM175" i="4" a="1"/>
  <c r="AM175" i="4" s="1"/>
  <c r="R196" i="1" s="1"/>
  <c r="AM146" i="4" a="1"/>
  <c r="AM146" i="4" s="1"/>
  <c r="AN74" i="4" a="1"/>
  <c r="AN74" i="4" s="1"/>
  <c r="AN50" i="4" a="1"/>
  <c r="AN50" i="4" s="1"/>
  <c r="AM72" i="4" a="1"/>
  <c r="AM72" i="4" s="1"/>
  <c r="R59" i="1" s="1"/>
  <c r="AM79" i="4" a="1"/>
  <c r="AM79" i="4" s="1"/>
  <c r="R68" i="1" s="1"/>
  <c r="AM34" i="4" a="1"/>
  <c r="AM34" i="4" s="1"/>
  <c r="R9" i="1" s="1"/>
  <c r="AN161" i="4" a="1"/>
  <c r="AN161" i="4" s="1"/>
  <c r="S178" i="1" s="1"/>
  <c r="AM116" i="4" a="1"/>
  <c r="AM116" i="4" s="1"/>
  <c r="AM37" i="4" a="1"/>
  <c r="AM37" i="4" s="1"/>
  <c r="R12" i="1" s="1"/>
  <c r="AN140" i="4" a="1"/>
  <c r="AN140" i="4" s="1"/>
  <c r="AN105" i="4" a="1"/>
  <c r="AN105" i="4" s="1"/>
  <c r="S104" i="1" s="1"/>
  <c r="AN103" i="4" a="1"/>
  <c r="AN103" i="4" s="1"/>
  <c r="S100" i="1" s="1"/>
  <c r="AM74" i="4" a="1"/>
  <c r="AM74" i="4" s="1"/>
  <c r="AM110" i="4" a="1"/>
  <c r="AM110" i="4" s="1"/>
  <c r="AN184" i="4" a="1"/>
  <c r="AN184" i="4" s="1"/>
  <c r="S209" i="1" s="1"/>
  <c r="AM155" i="4" a="1"/>
  <c r="AM155" i="4" s="1"/>
  <c r="R170" i="1" s="1"/>
  <c r="AN109" i="4" a="1"/>
  <c r="AN109" i="4" s="1"/>
  <c r="S108" i="1" s="1"/>
  <c r="AM84" i="4" a="1"/>
  <c r="AM84" i="4" s="1"/>
  <c r="R75" i="1" s="1"/>
  <c r="AM125" i="4" a="1"/>
  <c r="AM125" i="4" s="1"/>
  <c r="R130" i="1" s="1"/>
  <c r="AM83" i="4" a="1"/>
  <c r="AM83" i="4" s="1"/>
  <c r="R74" i="1" s="1"/>
  <c r="AM154" i="4" a="1"/>
  <c r="AM154" i="4" s="1"/>
  <c r="R169" i="1" s="1"/>
  <c r="AM132" i="4" a="1"/>
  <c r="AM132" i="4" s="1"/>
  <c r="R139" i="1" s="1"/>
  <c r="AM134" i="4" a="1"/>
  <c r="AM134" i="4" s="1"/>
  <c r="AN133" i="4" a="1"/>
  <c r="AN133" i="4" s="1"/>
  <c r="S140" i="1" s="1"/>
  <c r="AM186" i="4" a="1"/>
  <c r="AM186" i="4" s="1"/>
  <c r="R211" i="1" s="1"/>
  <c r="AM158" i="4" a="1"/>
  <c r="AM158" i="4" s="1"/>
  <c r="AM180" i="4" a="1"/>
  <c r="AM180" i="4" s="1"/>
  <c r="R203" i="1" s="1"/>
  <c r="AN175" i="4" a="1"/>
  <c r="AN175" i="4" s="1"/>
  <c r="S196" i="1" s="1"/>
  <c r="AN131" i="4" a="1"/>
  <c r="AN131" i="4" s="1"/>
  <c r="S138" i="1" s="1"/>
  <c r="AM100" i="4" a="1"/>
  <c r="AM100" i="4" s="1"/>
  <c r="R97" i="1" s="1"/>
  <c r="AN87" i="4" a="1"/>
  <c r="AN87" i="4" s="1"/>
  <c r="S80" i="1" s="1"/>
  <c r="AM36" i="4" a="1"/>
  <c r="AM36" i="4" s="1"/>
  <c r="R11" i="1" s="1"/>
  <c r="AN34" i="4" a="1"/>
  <c r="AN34" i="4" s="1"/>
  <c r="S9" i="1" s="1"/>
  <c r="AM81" i="4" a="1"/>
  <c r="AM81" i="4" s="1"/>
  <c r="R72" i="1" s="1"/>
  <c r="AM130" i="4" a="1"/>
  <c r="AM130" i="4" s="1"/>
  <c r="R137" i="1" s="1"/>
  <c r="AM165" i="4" a="1"/>
  <c r="AM165" i="4" s="1"/>
  <c r="R184" i="1" s="1"/>
  <c r="AM40" i="4" a="1"/>
  <c r="AM40" i="4" s="1"/>
  <c r="R17" i="1" s="1"/>
  <c r="AM114" i="4" a="1"/>
  <c r="AM114" i="4" s="1"/>
  <c r="R115" i="1" s="1"/>
  <c r="AN90" i="4" a="1"/>
  <c r="AN90" i="4" s="1"/>
  <c r="S83" i="1" s="1"/>
  <c r="AN153" i="4" a="1"/>
  <c r="AN153" i="4" s="1"/>
  <c r="S168" i="1" s="1"/>
  <c r="AN123" i="4" a="1"/>
  <c r="AN123" i="4" s="1"/>
  <c r="S128" i="1" s="1"/>
  <c r="AN55" i="4" a="1"/>
  <c r="AN55" i="4" s="1"/>
  <c r="AN181" i="4" a="1"/>
  <c r="AN181" i="4" s="1"/>
  <c r="S204" i="1" s="1"/>
  <c r="AM77" i="4" a="1"/>
  <c r="AM77" i="4" s="1"/>
  <c r="R66" i="1" s="1"/>
  <c r="AN75" i="4" a="1"/>
  <c r="AN75" i="4" s="1"/>
  <c r="S64" i="1" s="1"/>
  <c r="AN186" i="4" a="1"/>
  <c r="AN186" i="4" s="1"/>
  <c r="S211" i="1" s="1"/>
  <c r="AM101" i="4" a="1"/>
  <c r="AM101" i="4" s="1"/>
  <c r="R98" i="1" s="1"/>
  <c r="AM184" i="4" a="1"/>
  <c r="AM184" i="4" s="1"/>
  <c r="R209" i="1" s="1"/>
  <c r="AM75" i="4" a="1"/>
  <c r="AM75" i="4" s="1"/>
  <c r="R64" i="1" s="1"/>
  <c r="AM91" i="4" a="1"/>
  <c r="AM91" i="4" s="1"/>
  <c r="R84" i="1" s="1"/>
  <c r="AN180" i="4" a="1"/>
  <c r="AN180" i="4" s="1"/>
  <c r="S203" i="1" s="1"/>
  <c r="AM164" i="4" a="1"/>
  <c r="AM164" i="4" s="1"/>
  <c r="AM115" i="4" a="1"/>
  <c r="AM115" i="4" s="1"/>
  <c r="R116" i="1" s="1"/>
  <c r="AN146" i="4" a="1"/>
  <c r="AN146" i="4" s="1"/>
  <c r="AM173" i="4" a="1"/>
  <c r="AM173" i="4" s="1"/>
  <c r="R194" i="1" s="1"/>
  <c r="AM131" i="4" a="1"/>
  <c r="AM131" i="4" s="1"/>
  <c r="R138" i="1" s="1"/>
  <c r="AN46" i="4" a="1"/>
  <c r="AN46" i="4" s="1"/>
  <c r="S25" i="1" s="1"/>
  <c r="AM95" i="4" a="1"/>
  <c r="AM95" i="4" s="1"/>
  <c r="R90" i="1" s="1"/>
  <c r="AM112" i="4" a="1"/>
  <c r="AM112" i="4" s="1"/>
  <c r="R113" i="1" s="1"/>
  <c r="AN33" i="4" a="1"/>
  <c r="AN33" i="4" s="1"/>
  <c r="S8" i="1" s="1"/>
  <c r="AM102" i="4" a="1"/>
  <c r="AM102" i="4" s="1"/>
  <c r="R99" i="1" s="1"/>
  <c r="AM176" i="4" a="1"/>
  <c r="AM176" i="4" s="1"/>
  <c r="AM71" i="4" a="1"/>
  <c r="AM71" i="4" s="1"/>
  <c r="R58" i="1" s="1"/>
  <c r="AM121" i="4" a="1"/>
  <c r="AM121" i="4" s="1"/>
  <c r="R124" i="1" s="1"/>
  <c r="AN148" i="4" a="1"/>
  <c r="AN148" i="4" s="1"/>
  <c r="S161" i="1" s="1"/>
  <c r="AN81" i="4" a="1"/>
  <c r="AN81" i="4" s="1"/>
  <c r="S72" i="1" s="1"/>
  <c r="AN128" i="4" a="1"/>
  <c r="AN128" i="4" s="1"/>
  <c r="AM141" i="4" a="1"/>
  <c r="AM141" i="4" s="1"/>
  <c r="R152" i="1" s="1"/>
  <c r="AN173" i="4" a="1"/>
  <c r="AN173" i="4" s="1"/>
  <c r="S194" i="1" s="1"/>
  <c r="AN150" i="4" a="1"/>
  <c r="AN150" i="4" s="1"/>
  <c r="S163" i="1" s="1"/>
  <c r="AM48" i="4" a="1"/>
  <c r="AM48" i="4" s="1"/>
  <c r="R27" i="1" s="1"/>
  <c r="AN151" i="4" a="1"/>
  <c r="AN151" i="4" s="1"/>
  <c r="S164" i="1" s="1"/>
  <c r="AM123" i="4" a="1"/>
  <c r="AM123" i="4" s="1"/>
  <c r="R128" i="1" s="1"/>
  <c r="AN89" i="4" a="1"/>
  <c r="AN89" i="4" s="1"/>
  <c r="S82" i="1" s="1"/>
  <c r="AM133" i="4" a="1"/>
  <c r="AM133" i="4" s="1"/>
  <c r="R140" i="1" s="1"/>
  <c r="AN111" i="4" a="1"/>
  <c r="AN111" i="4" s="1"/>
  <c r="S112" i="1" s="1"/>
  <c r="AN125" i="4" a="1"/>
  <c r="AN125" i="4" s="1"/>
  <c r="S130" i="1" s="1"/>
  <c r="AN126" i="4" a="1"/>
  <c r="AN126" i="4" s="1"/>
  <c r="S131" i="1" s="1"/>
  <c r="AM128" i="4" a="1"/>
  <c r="AM128" i="4" s="1"/>
  <c r="AM167" i="4" a="1"/>
  <c r="AM167" i="4" s="1"/>
  <c r="R186" i="1" s="1"/>
  <c r="AM107" i="4" a="1"/>
  <c r="AM107" i="4" s="1"/>
  <c r="R106" i="1" s="1"/>
  <c r="AM118" i="4" a="1"/>
  <c r="AM118" i="4" s="1"/>
  <c r="R121" i="1" s="1"/>
  <c r="AM86" i="4" a="1"/>
  <c r="AM86" i="4" s="1"/>
  <c r="AN98" i="4" a="1"/>
  <c r="AN98" i="4" s="1"/>
  <c r="AN52" i="4" a="1"/>
  <c r="AN52" i="4" s="1"/>
  <c r="AN48" i="4" a="1"/>
  <c r="AN48" i="4" s="1"/>
  <c r="S27" i="1" s="1"/>
  <c r="AN129" i="4" a="1"/>
  <c r="AN129" i="4" s="1"/>
  <c r="S136" i="1" s="1"/>
  <c r="AN142" i="4" a="1"/>
  <c r="AN142" i="4" s="1"/>
  <c r="S153" i="1" s="1"/>
  <c r="AA151" i="5"/>
  <c r="G119" i="12" s="1"/>
  <c r="Y151" i="5"/>
  <c r="AB151" i="5" s="1"/>
  <c r="H119" i="12" s="1"/>
  <c r="F81" i="12"/>
  <c r="AB46" i="12"/>
  <c r="AA171" i="5"/>
  <c r="G139" i="12" s="1"/>
  <c r="Y171" i="5"/>
  <c r="AB171" i="5" s="1"/>
  <c r="H139" i="12" s="1"/>
  <c r="F146" i="12"/>
  <c r="Y117" i="5"/>
  <c r="AB117" i="5" s="1"/>
  <c r="H85" i="12" s="1"/>
  <c r="AA117" i="5"/>
  <c r="G85" i="12" s="1"/>
  <c r="AB121" i="12"/>
  <c r="F54" i="12"/>
  <c r="W61" i="1"/>
  <c r="W62" i="1"/>
  <c r="W63" i="1"/>
  <c r="Y184" i="5"/>
  <c r="AB184" i="5" s="1"/>
  <c r="H152" i="12" s="1"/>
  <c r="AA184" i="5"/>
  <c r="G152" i="12" s="1"/>
  <c r="V199" i="1"/>
  <c r="V198" i="1"/>
  <c r="V197" i="1"/>
  <c r="F13" i="12"/>
  <c r="AB27" i="12"/>
  <c r="AA108" i="5"/>
  <c r="G76" i="12" s="1"/>
  <c r="Y108" i="5"/>
  <c r="AB108" i="5" s="1"/>
  <c r="H76" i="12" s="1"/>
  <c r="AB67" i="12"/>
  <c r="Y97" i="5"/>
  <c r="AB97" i="5" s="1"/>
  <c r="H65" i="12" s="1"/>
  <c r="AA97" i="5"/>
  <c r="G65" i="12" s="1"/>
  <c r="F8" i="12"/>
  <c r="Y55" i="5"/>
  <c r="AB55" i="5" s="1"/>
  <c r="H23" i="12" s="1"/>
  <c r="AA55" i="5"/>
  <c r="G23" i="12" s="1"/>
  <c r="AB89" i="12"/>
  <c r="AA116" i="5"/>
  <c r="G84" i="12" s="1"/>
  <c r="Y116" i="5"/>
  <c r="AB116" i="5" s="1"/>
  <c r="H84" i="12" s="1"/>
  <c r="F156" i="12"/>
  <c r="F159" i="12"/>
  <c r="AA187" i="5"/>
  <c r="G155" i="12" s="1"/>
  <c r="Y187" i="5"/>
  <c r="AB187" i="5" s="1"/>
  <c r="H155" i="12" s="1"/>
  <c r="X167" i="1"/>
  <c r="X165" i="1"/>
  <c r="X166" i="1"/>
  <c r="F55" i="12"/>
  <c r="F48" i="12"/>
  <c r="AA165" i="5"/>
  <c r="G133" i="12" s="1"/>
  <c r="Y165" i="5"/>
  <c r="AB165" i="5" s="1"/>
  <c r="H133" i="12" s="1"/>
  <c r="Y129" i="5"/>
  <c r="AB129" i="5" s="1"/>
  <c r="H97" i="12" s="1"/>
  <c r="AA129" i="5"/>
  <c r="G97" i="12" s="1"/>
  <c r="AA168" i="5"/>
  <c r="G136" i="12" s="1"/>
  <c r="Y168" i="5"/>
  <c r="AB168" i="5" s="1"/>
  <c r="H136" i="12" s="1"/>
  <c r="U31" i="1"/>
  <c r="U29" i="1"/>
  <c r="U30" i="1"/>
  <c r="F44" i="12"/>
  <c r="AB109" i="1"/>
  <c r="AB110" i="1"/>
  <c r="AB111" i="1"/>
  <c r="F53" i="12"/>
  <c r="AA206" i="1"/>
  <c r="AA205" i="1"/>
  <c r="AA207" i="1"/>
  <c r="AB205" i="1"/>
  <c r="AB206" i="1"/>
  <c r="AB207" i="1"/>
  <c r="AA172" i="5"/>
  <c r="G140" i="12" s="1"/>
  <c r="Y172" i="5"/>
  <c r="AB172" i="5" s="1"/>
  <c r="H140" i="12" s="1"/>
  <c r="AB126" i="12"/>
  <c r="AA176" i="5"/>
  <c r="G144" i="12" s="1"/>
  <c r="Y176" i="5"/>
  <c r="AB176" i="5" s="1"/>
  <c r="H144" i="12" s="1"/>
  <c r="Y83" i="5"/>
  <c r="AB83" i="5" s="1"/>
  <c r="H51" i="12" s="1"/>
  <c r="AA83" i="5"/>
  <c r="G51" i="12" s="1"/>
  <c r="F150" i="12"/>
  <c r="F142" i="12"/>
  <c r="X157" i="1"/>
  <c r="X159" i="1"/>
  <c r="X158" i="1"/>
  <c r="F72" i="12"/>
  <c r="Y173" i="1"/>
  <c r="Y174" i="1"/>
  <c r="Y175" i="1"/>
  <c r="U78" i="1"/>
  <c r="U77" i="1"/>
  <c r="U79" i="1"/>
  <c r="AB79" i="1"/>
  <c r="AB78" i="1"/>
  <c r="AB77" i="1"/>
  <c r="U86" i="1"/>
  <c r="U85" i="1"/>
  <c r="U87" i="1"/>
  <c r="V133" i="1"/>
  <c r="V134" i="1"/>
  <c r="V135" i="1"/>
  <c r="BJ32" i="4"/>
  <c r="W102" i="1"/>
  <c r="W103" i="1"/>
  <c r="W101" i="1"/>
  <c r="Y132" i="5"/>
  <c r="AB132" i="5" s="1"/>
  <c r="H100" i="12" s="1"/>
  <c r="AA132" i="5"/>
  <c r="G100" i="12" s="1"/>
  <c r="AB102" i="12"/>
  <c r="F143" i="12"/>
  <c r="AB111" i="12"/>
  <c r="W191" i="1"/>
  <c r="W190" i="1"/>
  <c r="W189" i="1"/>
  <c r="F12" i="12"/>
  <c r="AA114" i="5"/>
  <c r="G82" i="12" s="1"/>
  <c r="Y114" i="5"/>
  <c r="AB114" i="5" s="1"/>
  <c r="H82" i="12" s="1"/>
  <c r="AB70" i="12"/>
  <c r="L55" i="10"/>
  <c r="AU86" i="6"/>
  <c r="AA160" i="5"/>
  <c r="G128" i="12" s="1"/>
  <c r="Y160" i="5"/>
  <c r="AB160" i="5" s="1"/>
  <c r="H128" i="12" s="1"/>
  <c r="V95" i="1"/>
  <c r="V93" i="1"/>
  <c r="V94" i="1"/>
  <c r="F66" i="12"/>
  <c r="F108" i="12"/>
  <c r="AA138" i="5"/>
  <c r="G106" i="12" s="1"/>
  <c r="Y138" i="5"/>
  <c r="AB138" i="5" s="1"/>
  <c r="H106" i="12" s="1"/>
  <c r="AA167" i="5"/>
  <c r="G135" i="12" s="1"/>
  <c r="Y167" i="5"/>
  <c r="AB167" i="5" s="1"/>
  <c r="H135" i="12" s="1"/>
  <c r="Y74" i="5"/>
  <c r="AB74" i="5" s="1"/>
  <c r="H42" i="12" s="1"/>
  <c r="AA74" i="5"/>
  <c r="G42" i="12" s="1"/>
  <c r="Y169" i="5"/>
  <c r="AB169" i="5" s="1"/>
  <c r="H137" i="12" s="1"/>
  <c r="AA169" i="5"/>
  <c r="G137" i="12" s="1"/>
  <c r="T93" i="1"/>
  <c r="T95" i="1"/>
  <c r="T94" i="1"/>
  <c r="AB115" i="12"/>
  <c r="F101" i="12"/>
  <c r="Y136" i="5"/>
  <c r="AB136" i="5" s="1"/>
  <c r="H104" i="12" s="1"/>
  <c r="AA136" i="5"/>
  <c r="G104" i="12" s="1"/>
  <c r="AB61" i="12"/>
  <c r="L54" i="10"/>
  <c r="AU85" i="6"/>
  <c r="Y111" i="1"/>
  <c r="Y110" i="1"/>
  <c r="Y109" i="1"/>
  <c r="Z205" i="1"/>
  <c r="Z207" i="1"/>
  <c r="Z206" i="1"/>
  <c r="F140" i="12"/>
  <c r="Y124" i="5"/>
  <c r="AB124" i="5" s="1"/>
  <c r="H92" i="12" s="1"/>
  <c r="AA124" i="5"/>
  <c r="G92" i="12" s="1"/>
  <c r="Z79" i="1"/>
  <c r="Z78" i="1"/>
  <c r="Z77" i="1"/>
  <c r="AC79" i="1"/>
  <c r="AC77" i="1"/>
  <c r="AC78" i="1"/>
  <c r="AB103" i="12"/>
  <c r="W86" i="1"/>
  <c r="W85" i="1"/>
  <c r="W87" i="1"/>
  <c r="Y135" i="1"/>
  <c r="Y134" i="1"/>
  <c r="Y133" i="1"/>
  <c r="AB159" i="12"/>
  <c r="U102" i="1"/>
  <c r="U103" i="1"/>
  <c r="U101" i="1"/>
  <c r="Y121" i="5"/>
  <c r="AB121" i="5" s="1"/>
  <c r="H89" i="12" s="1"/>
  <c r="AA121" i="5"/>
  <c r="G89" i="12" s="1"/>
  <c r="AA57" i="5"/>
  <c r="G25" i="12" s="1"/>
  <c r="Y57" i="5"/>
  <c r="AB57" i="5" s="1"/>
  <c r="H25" i="12" s="1"/>
  <c r="X143" i="1"/>
  <c r="X142" i="1"/>
  <c r="X141" i="1"/>
  <c r="Y141" i="1"/>
  <c r="Y143" i="1"/>
  <c r="Y142" i="1"/>
  <c r="F117" i="12"/>
  <c r="AB15" i="12"/>
  <c r="U141" i="1"/>
  <c r="U143" i="1"/>
  <c r="U142" i="1"/>
  <c r="Z143" i="1"/>
  <c r="Z142" i="1"/>
  <c r="Z141" i="1"/>
  <c r="AA137" i="5"/>
  <c r="G105" i="12" s="1"/>
  <c r="Y137" i="5"/>
  <c r="AB137" i="5" s="1"/>
  <c r="H105" i="12" s="1"/>
  <c r="AB141" i="12"/>
  <c r="F63" i="12"/>
  <c r="U70" i="1"/>
  <c r="U71" i="1"/>
  <c r="U69" i="1"/>
  <c r="X191" i="1"/>
  <c r="X190" i="1"/>
  <c r="X189" i="1"/>
  <c r="AB78" i="12"/>
  <c r="AB87" i="12"/>
  <c r="F91" i="12"/>
  <c r="F62" i="12"/>
  <c r="F46" i="12"/>
  <c r="F158" i="12"/>
  <c r="AB60" i="12"/>
  <c r="V53" i="1"/>
  <c r="V55" i="1"/>
  <c r="V54" i="1"/>
  <c r="Y107" i="5"/>
  <c r="AB107" i="5" s="1"/>
  <c r="H75" i="12" s="1"/>
  <c r="AA107" i="5"/>
  <c r="G75" i="12" s="1"/>
  <c r="F19" i="12"/>
  <c r="AB42" i="12"/>
  <c r="F70" i="12"/>
  <c r="AA43" i="5"/>
  <c r="G11" i="12" s="1"/>
  <c r="Y43" i="5"/>
  <c r="AB43" i="5" s="1"/>
  <c r="H11" i="12" s="1"/>
  <c r="AA140" i="5"/>
  <c r="G108" i="12" s="1"/>
  <c r="Y140" i="5"/>
  <c r="AB140" i="5" s="1"/>
  <c r="H108" i="12" s="1"/>
  <c r="W126" i="1"/>
  <c r="W127" i="1"/>
  <c r="W125" i="1"/>
  <c r="F119" i="12"/>
  <c r="F7" i="12"/>
  <c r="U13" i="1"/>
  <c r="U14" i="1"/>
  <c r="U15" i="1"/>
  <c r="AB107" i="12"/>
  <c r="F85" i="12"/>
  <c r="AA54" i="5"/>
  <c r="G22" i="12" s="1"/>
  <c r="Y54" i="5"/>
  <c r="AB54" i="5" s="1"/>
  <c r="H22" i="12" s="1"/>
  <c r="AB105" i="12"/>
  <c r="AB151" i="12"/>
  <c r="F153" i="12"/>
  <c r="Y86" i="5"/>
  <c r="AB86" i="5" s="1"/>
  <c r="H54" i="12" s="1"/>
  <c r="AA86" i="5"/>
  <c r="G54" i="12" s="1"/>
  <c r="V63" i="1"/>
  <c r="V61" i="1"/>
  <c r="V62" i="1"/>
  <c r="AB20" i="12"/>
  <c r="AB83" i="12"/>
  <c r="AA40" i="5"/>
  <c r="G8" i="12" s="1"/>
  <c r="Y40" i="5"/>
  <c r="AB40" i="5" s="1"/>
  <c r="H8" i="12" s="1"/>
  <c r="F26" i="12"/>
  <c r="F148" i="12"/>
  <c r="BH48" i="4"/>
  <c r="AQ48" i="4" a="1"/>
  <c r="AQ48" i="4" s="1"/>
  <c r="V27" i="1" s="1"/>
  <c r="AO48" i="4" a="1"/>
  <c r="AO48" i="4" s="1"/>
  <c r="T27" i="1" s="1"/>
  <c r="AP48" i="4" a="1"/>
  <c r="AP48" i="4" s="1"/>
  <c r="U27" i="1" s="1"/>
  <c r="AR48" i="4" a="1"/>
  <c r="AR48" i="4" s="1"/>
  <c r="W27" i="1" s="1"/>
  <c r="Y125" i="5"/>
  <c r="AB125" i="5" s="1"/>
  <c r="H93" i="12" s="1"/>
  <c r="AA125" i="5"/>
  <c r="G93" i="12" s="1"/>
  <c r="Y188" i="5"/>
  <c r="AB188" i="5" s="1"/>
  <c r="H156" i="12" s="1"/>
  <c r="AA188" i="5"/>
  <c r="G156" i="12" s="1"/>
  <c r="F49" i="12"/>
  <c r="AA90" i="5"/>
  <c r="G58" i="12" s="1"/>
  <c r="Y90" i="5"/>
  <c r="AB90" i="5" s="1"/>
  <c r="H58" i="12" s="1"/>
  <c r="AA134" i="5"/>
  <c r="G102" i="12" s="1"/>
  <c r="Y134" i="5"/>
  <c r="AB134" i="5" s="1"/>
  <c r="H102" i="12" s="1"/>
  <c r="F149" i="12"/>
  <c r="U165" i="1"/>
  <c r="U166" i="1"/>
  <c r="U167" i="1"/>
  <c r="AB62" i="12"/>
  <c r="F14" i="12"/>
  <c r="F97" i="12"/>
  <c r="T30" i="1"/>
  <c r="T29" i="1"/>
  <c r="T31" i="1"/>
  <c r="AB24" i="12"/>
  <c r="F73" i="12"/>
  <c r="V109" i="1"/>
  <c r="V110" i="1"/>
  <c r="V111" i="1"/>
  <c r="F4" i="12"/>
  <c r="W206" i="1"/>
  <c r="W205" i="1"/>
  <c r="W207" i="1"/>
  <c r="U182" i="1"/>
  <c r="U183" i="1"/>
  <c r="U181" i="1"/>
  <c r="F144" i="12"/>
  <c r="F92" i="12"/>
  <c r="AB135" i="12"/>
  <c r="AA174" i="5"/>
  <c r="G142" i="12" s="1"/>
  <c r="Y174" i="5"/>
  <c r="AB174" i="5" s="1"/>
  <c r="H142" i="12" s="1"/>
  <c r="Y159" i="1"/>
  <c r="Y157" i="1"/>
  <c r="Y158" i="1"/>
  <c r="AB175" i="1"/>
  <c r="AB174" i="1"/>
  <c r="AB173" i="1"/>
  <c r="AA78" i="1"/>
  <c r="AA77" i="1"/>
  <c r="AA79" i="1"/>
  <c r="V85" i="1"/>
  <c r="V86" i="1"/>
  <c r="V87" i="1"/>
  <c r="U135" i="1"/>
  <c r="U133" i="1"/>
  <c r="U134" i="1"/>
  <c r="AA186" i="5"/>
  <c r="G154" i="12" s="1"/>
  <c r="Y186" i="5"/>
  <c r="AB186" i="5" s="1"/>
  <c r="H154" i="12" s="1"/>
  <c r="AB124" i="12"/>
  <c r="AB40" i="12"/>
  <c r="T5" i="1"/>
  <c r="T6" i="1"/>
  <c r="T7" i="1"/>
  <c r="AB13" i="12"/>
  <c r="F107" i="12"/>
  <c r="Z102" i="1"/>
  <c r="Z101" i="1"/>
  <c r="Z103" i="1"/>
  <c r="AA102" i="1"/>
  <c r="AA101" i="1"/>
  <c r="AA103" i="1"/>
  <c r="AA109" i="5"/>
  <c r="G77" i="12" s="1"/>
  <c r="Y109" i="5"/>
  <c r="AB109" i="5" s="1"/>
  <c r="H77" i="12" s="1"/>
  <c r="L144" i="10"/>
  <c r="AU175" i="6"/>
  <c r="AB91" i="12"/>
  <c r="W141" i="1"/>
  <c r="W142" i="1"/>
  <c r="W143" i="1"/>
  <c r="AR44" i="4" a="1"/>
  <c r="AR44" i="4" s="1"/>
  <c r="AO44" i="4" a="1"/>
  <c r="AO44" i="4" s="1"/>
  <c r="AP44" i="4" a="1"/>
  <c r="AP44" i="4" s="1"/>
  <c r="AQ44" i="4" a="1"/>
  <c r="AQ44" i="4" s="1"/>
  <c r="BH44" i="4"/>
  <c r="AB118" i="12"/>
  <c r="F110" i="12"/>
  <c r="AA175" i="5"/>
  <c r="G143" i="12" s="1"/>
  <c r="Y175" i="5"/>
  <c r="AB175" i="5" s="1"/>
  <c r="H143" i="12" s="1"/>
  <c r="F128" i="12"/>
  <c r="AA98" i="5"/>
  <c r="G66" i="12" s="1"/>
  <c r="Y98" i="5"/>
  <c r="AB98" i="5" s="1"/>
  <c r="H66" i="12" s="1"/>
  <c r="T125" i="1"/>
  <c r="T126" i="1"/>
  <c r="T127" i="1"/>
  <c r="Y41" i="5"/>
  <c r="AB41" i="5" s="1"/>
  <c r="H9" i="12" s="1"/>
  <c r="AA41" i="5"/>
  <c r="G9" i="12" s="1"/>
  <c r="AA177" i="5"/>
  <c r="G145" i="12" s="1"/>
  <c r="Y177" i="5"/>
  <c r="AB177" i="5" s="1"/>
  <c r="H145" i="12" s="1"/>
  <c r="U197" i="1"/>
  <c r="U198" i="1"/>
  <c r="U199" i="1"/>
  <c r="AB109" i="12"/>
  <c r="AB106" i="12"/>
  <c r="AB129" i="12"/>
  <c r="Y105" i="5"/>
  <c r="AB105" i="5" s="1"/>
  <c r="H73" i="12" s="1"/>
  <c r="AA105" i="5"/>
  <c r="G73" i="12" s="1"/>
  <c r="AB90" i="12"/>
  <c r="X205" i="1"/>
  <c r="X206" i="1"/>
  <c r="X207" i="1"/>
  <c r="L143" i="10"/>
  <c r="AU174" i="6"/>
  <c r="F25" i="12"/>
  <c r="AA156" i="5"/>
  <c r="G124" i="12" s="1"/>
  <c r="Y156" i="5"/>
  <c r="AB156" i="5" s="1"/>
  <c r="H124" i="12" s="1"/>
  <c r="AC143" i="1"/>
  <c r="AC142" i="1"/>
  <c r="AC141" i="1"/>
  <c r="AA142" i="1"/>
  <c r="AA141" i="1"/>
  <c r="AA143" i="1"/>
  <c r="AB44" i="12"/>
  <c r="AA130" i="5"/>
  <c r="G98" i="12" s="1"/>
  <c r="Y130" i="5"/>
  <c r="AB130" i="5" s="1"/>
  <c r="H98" i="12" s="1"/>
  <c r="AB12" i="12"/>
  <c r="AA95" i="5"/>
  <c r="G63" i="12" s="1"/>
  <c r="Y95" i="5"/>
  <c r="AB95" i="5" s="1"/>
  <c r="H63" i="12" s="1"/>
  <c r="W70" i="1"/>
  <c r="W69" i="1"/>
  <c r="W71" i="1"/>
  <c r="F86" i="12"/>
  <c r="L142" i="10"/>
  <c r="AU173" i="6"/>
  <c r="Y110" i="5"/>
  <c r="AB110" i="5" s="1"/>
  <c r="H78" i="12" s="1"/>
  <c r="AA110" i="5"/>
  <c r="G78" i="12" s="1"/>
  <c r="AA145" i="5"/>
  <c r="G113" i="12" s="1"/>
  <c r="Y145" i="5"/>
  <c r="AB145" i="5" s="1"/>
  <c r="H113" i="12" s="1"/>
  <c r="Y94" i="5"/>
  <c r="AB94" i="5" s="1"/>
  <c r="H62" i="12" s="1"/>
  <c r="AA94" i="5"/>
  <c r="G62" i="12" s="1"/>
  <c r="T53" i="1"/>
  <c r="T55" i="1"/>
  <c r="T54" i="1"/>
  <c r="Y37" i="5"/>
  <c r="AB37" i="5" s="1"/>
  <c r="H5" i="12" s="1"/>
  <c r="AA37" i="5"/>
  <c r="G5" i="12" s="1"/>
  <c r="U95" i="1"/>
  <c r="U94" i="1"/>
  <c r="U93" i="1"/>
  <c r="AB156" i="12"/>
  <c r="U126" i="1"/>
  <c r="U125" i="1"/>
  <c r="U127" i="1"/>
  <c r="L141" i="10"/>
  <c r="AU172" i="6"/>
  <c r="AA99" i="5"/>
  <c r="G67" i="12" s="1"/>
  <c r="Y99" i="5"/>
  <c r="AB99" i="5" s="1"/>
  <c r="H67" i="12" s="1"/>
  <c r="AB26" i="12"/>
  <c r="AB149" i="12"/>
  <c r="F22" i="12"/>
  <c r="F138" i="12"/>
  <c r="X61" i="1"/>
  <c r="X62" i="1"/>
  <c r="X63" i="1"/>
  <c r="Z199" i="1"/>
  <c r="Z197" i="1"/>
  <c r="Z198" i="1"/>
  <c r="Y45" i="5"/>
  <c r="AB45" i="5" s="1"/>
  <c r="H13" i="12" s="1"/>
  <c r="AA45" i="5"/>
  <c r="G13" i="12" s="1"/>
  <c r="AB25" i="12"/>
  <c r="AB50" i="12"/>
  <c r="F23" i="12"/>
  <c r="AB99" i="12"/>
  <c r="F93" i="12"/>
  <c r="Y72" i="5"/>
  <c r="AB72" i="5" s="1"/>
  <c r="H40" i="12" s="1"/>
  <c r="AA72" i="5"/>
  <c r="G40" i="12" s="1"/>
  <c r="AB152" i="12"/>
  <c r="F102" i="12"/>
  <c r="T165" i="1"/>
  <c r="T167" i="1"/>
  <c r="T166" i="1"/>
  <c r="Y80" i="5"/>
  <c r="AB80" i="5" s="1"/>
  <c r="H48" i="12" s="1"/>
  <c r="AA80" i="5"/>
  <c r="G48" i="12" s="1"/>
  <c r="AB123" i="12"/>
  <c r="AA120" i="5"/>
  <c r="G88" i="12" s="1"/>
  <c r="Y120" i="5"/>
  <c r="AB120" i="5" s="1"/>
  <c r="H88" i="12" s="1"/>
  <c r="V30" i="1"/>
  <c r="V31" i="1"/>
  <c r="V29" i="1"/>
  <c r="AC109" i="1"/>
  <c r="AC111" i="1"/>
  <c r="AC110" i="1"/>
  <c r="AB155" i="12"/>
  <c r="AC205" i="1"/>
  <c r="AC207" i="1"/>
  <c r="AC206" i="1"/>
  <c r="AA79" i="5"/>
  <c r="G47" i="12" s="1"/>
  <c r="Y79" i="5"/>
  <c r="AB79" i="5" s="1"/>
  <c r="H47" i="12" s="1"/>
  <c r="T150" i="1"/>
  <c r="T149" i="1"/>
  <c r="T151" i="1"/>
  <c r="F51" i="12"/>
  <c r="Y119" i="5"/>
  <c r="AB119" i="5" s="1"/>
  <c r="H87" i="12" s="1"/>
  <c r="AA119" i="5"/>
  <c r="G87" i="12" s="1"/>
  <c r="F125" i="12"/>
  <c r="U157" i="1"/>
  <c r="U159" i="1"/>
  <c r="U158" i="1"/>
  <c r="Y104" i="5"/>
  <c r="AB104" i="5" s="1"/>
  <c r="H72" i="12" s="1"/>
  <c r="AA104" i="5"/>
  <c r="G72" i="12" s="1"/>
  <c r="U173" i="1"/>
  <c r="U174" i="1"/>
  <c r="U175" i="1"/>
  <c r="V79" i="1"/>
  <c r="V77" i="1"/>
  <c r="V78" i="1"/>
  <c r="Y92" i="5"/>
  <c r="AB92" i="5" s="1"/>
  <c r="H60" i="12" s="1"/>
  <c r="AA92" i="5"/>
  <c r="G60" i="12" s="1"/>
  <c r="T86" i="1"/>
  <c r="T87" i="1"/>
  <c r="T85" i="1"/>
  <c r="L145" i="10"/>
  <c r="AU176" i="6"/>
  <c r="AB47" i="12"/>
  <c r="AB69" i="12"/>
  <c r="AA53" i="5"/>
  <c r="G21" i="12" s="1"/>
  <c r="Y53" i="5"/>
  <c r="AB53" i="5" s="1"/>
  <c r="H21" i="12" s="1"/>
  <c r="AB97" i="12"/>
  <c r="Y103" i="1"/>
  <c r="Y101" i="1"/>
  <c r="Y102" i="1"/>
  <c r="F100" i="12"/>
  <c r="AA131" i="5"/>
  <c r="G99" i="12" s="1"/>
  <c r="Y131" i="5"/>
  <c r="AB131" i="5" s="1"/>
  <c r="H99" i="12" s="1"/>
  <c r="W14" i="1"/>
  <c r="W15" i="1"/>
  <c r="W13" i="1"/>
  <c r="F145" i="12"/>
  <c r="AB119" i="12"/>
  <c r="F112" i="12"/>
  <c r="U190" i="1"/>
  <c r="U191" i="1"/>
  <c r="U189" i="1"/>
  <c r="AA143" i="5"/>
  <c r="G111" i="12" s="1"/>
  <c r="Y143" i="5"/>
  <c r="AB143" i="5" s="1"/>
  <c r="H111" i="12" s="1"/>
  <c r="AA126" i="5"/>
  <c r="G94" i="12" s="1"/>
  <c r="Y126" i="5"/>
  <c r="AB126" i="5" s="1"/>
  <c r="H94" i="12" s="1"/>
  <c r="AB157" i="12"/>
  <c r="Y123" i="5"/>
  <c r="AB123" i="5" s="1"/>
  <c r="H91" i="12" s="1"/>
  <c r="AA123" i="5"/>
  <c r="G91" i="12" s="1"/>
  <c r="AR49" i="4" a="1"/>
  <c r="AR49" i="4" s="1"/>
  <c r="W28" i="1" s="1"/>
  <c r="AQ49" i="4" a="1"/>
  <c r="AQ49" i="4" s="1"/>
  <c r="V28" i="1" s="1"/>
  <c r="BH49" i="4"/>
  <c r="AP49" i="4" a="1"/>
  <c r="AP49" i="4" s="1"/>
  <c r="U28" i="1" s="1"/>
  <c r="AO49" i="4" a="1"/>
  <c r="AO49" i="4" s="1"/>
  <c r="T28" i="1" s="1"/>
  <c r="W54" i="1"/>
  <c r="W53" i="1"/>
  <c r="W55" i="1"/>
  <c r="F106" i="12"/>
  <c r="Y48" i="5"/>
  <c r="AB48" i="5" s="1"/>
  <c r="H16" i="12" s="1"/>
  <c r="AA48" i="5"/>
  <c r="G16" i="12" s="1"/>
  <c r="U61" i="1"/>
  <c r="U62" i="1"/>
  <c r="U63" i="1"/>
  <c r="Y165" i="1"/>
  <c r="Y167" i="1"/>
  <c r="Y166" i="1"/>
  <c r="AA87" i="5"/>
  <c r="G55" i="12" s="1"/>
  <c r="Y87" i="5"/>
  <c r="AB87" i="5" s="1"/>
  <c r="H55" i="12" s="1"/>
  <c r="F133" i="12"/>
  <c r="Y29" i="1"/>
  <c r="Y30" i="1"/>
  <c r="Y31" i="1"/>
  <c r="AB113" i="12"/>
  <c r="F124" i="12"/>
  <c r="V142" i="1"/>
  <c r="V141" i="1"/>
  <c r="V143" i="1"/>
  <c r="F105" i="12"/>
  <c r="AA84" i="5"/>
  <c r="G52" i="12" s="1"/>
  <c r="Y84" i="5"/>
  <c r="AB84" i="5" s="1"/>
  <c r="H52" i="12" s="1"/>
  <c r="AB41" i="12"/>
  <c r="Z70" i="1"/>
  <c r="Z69" i="1"/>
  <c r="Z71" i="1"/>
  <c r="AA179" i="5"/>
  <c r="G147" i="12" s="1"/>
  <c r="Y179" i="5"/>
  <c r="AB179" i="5" s="1"/>
  <c r="H147" i="12" s="1"/>
  <c r="AB130" i="12"/>
  <c r="AB94" i="12"/>
  <c r="AA78" i="5"/>
  <c r="G46" i="12" s="1"/>
  <c r="Y78" i="5"/>
  <c r="AB78" i="5" s="1"/>
  <c r="H46" i="12" s="1"/>
  <c r="AA101" i="5"/>
  <c r="G69" i="12" s="1"/>
  <c r="Y101" i="5"/>
  <c r="AB101" i="5" s="1"/>
  <c r="H69" i="12" s="1"/>
  <c r="AB11" i="12"/>
  <c r="U54" i="1"/>
  <c r="U55" i="1"/>
  <c r="U53" i="1"/>
  <c r="F75" i="12"/>
  <c r="Y161" i="5"/>
  <c r="AB161" i="5" s="1"/>
  <c r="H129" i="12" s="1"/>
  <c r="AA161" i="5"/>
  <c r="G129" i="12" s="1"/>
  <c r="AB19" i="12"/>
  <c r="AB10" i="12"/>
  <c r="F127" i="12"/>
  <c r="AB116" i="12"/>
  <c r="Y94" i="1"/>
  <c r="Y93" i="1"/>
  <c r="Y95" i="1"/>
  <c r="F11" i="12"/>
  <c r="F109" i="12"/>
  <c r="AB117" i="12"/>
  <c r="AB150" i="12"/>
  <c r="AB100" i="12"/>
  <c r="F74" i="12"/>
  <c r="AA39" i="5"/>
  <c r="G7" i="12" s="1"/>
  <c r="Y39" i="5"/>
  <c r="AB39" i="5" s="1"/>
  <c r="H7" i="12" s="1"/>
  <c r="T13" i="1"/>
  <c r="T14" i="1"/>
  <c r="T15" i="1"/>
  <c r="F67" i="12"/>
  <c r="AB58" i="12"/>
  <c r="AB64" i="12"/>
  <c r="Y127" i="5"/>
  <c r="AB127" i="5" s="1"/>
  <c r="H95" i="12" s="1"/>
  <c r="AA127" i="5"/>
  <c r="G95" i="12" s="1"/>
  <c r="AA163" i="5"/>
  <c r="G131" i="12" s="1"/>
  <c r="Y163" i="5"/>
  <c r="AB163" i="5" s="1"/>
  <c r="H131" i="12" s="1"/>
  <c r="AA185" i="5"/>
  <c r="G153" i="12" s="1"/>
  <c r="Y185" i="5"/>
  <c r="AB185" i="5" s="1"/>
  <c r="H153" i="12" s="1"/>
  <c r="AB18" i="12"/>
  <c r="AA198" i="1"/>
  <c r="AA199" i="1"/>
  <c r="AA197" i="1"/>
  <c r="AB127" i="12"/>
  <c r="AB77" i="12"/>
  <c r="F71" i="12"/>
  <c r="Y58" i="5"/>
  <c r="AB58" i="5" s="1"/>
  <c r="H26" i="12" s="1"/>
  <c r="AA58" i="5"/>
  <c r="G26" i="12" s="1"/>
  <c r="AA180" i="5"/>
  <c r="G148" i="12" s="1"/>
  <c r="Y180" i="5"/>
  <c r="AB180" i="5" s="1"/>
  <c r="H148" i="12" s="1"/>
  <c r="L50" i="10"/>
  <c r="AU81" i="6"/>
  <c r="F40" i="12"/>
  <c r="Y81" i="5"/>
  <c r="AB81" i="5" s="1"/>
  <c r="H49" i="12" s="1"/>
  <c r="AA81" i="5"/>
  <c r="G49" i="12" s="1"/>
  <c r="W118" i="1"/>
  <c r="W119" i="1"/>
  <c r="W117" i="1"/>
  <c r="AA191" i="5"/>
  <c r="G159" i="12" s="1"/>
  <c r="Y191" i="5"/>
  <c r="AB191" i="5" s="1"/>
  <c r="H159" i="12" s="1"/>
  <c r="AB86" i="12"/>
  <c r="AB17" i="12"/>
  <c r="Y181" i="5"/>
  <c r="AB181" i="5" s="1"/>
  <c r="H149" i="12" s="1"/>
  <c r="AA181" i="5"/>
  <c r="G149" i="12" s="1"/>
  <c r="AA167" i="1"/>
  <c r="AA165" i="1"/>
  <c r="AA166" i="1"/>
  <c r="Y38" i="5"/>
  <c r="AB38" i="5" s="1"/>
  <c r="H6" i="12" s="1"/>
  <c r="AA38" i="5"/>
  <c r="G6" i="12" s="1"/>
  <c r="F88" i="12"/>
  <c r="AA76" i="5"/>
  <c r="G44" i="12" s="1"/>
  <c r="Y76" i="5"/>
  <c r="AB76" i="5" s="1"/>
  <c r="H44" i="12" s="1"/>
  <c r="U111" i="1"/>
  <c r="U109" i="1"/>
  <c r="U110" i="1"/>
  <c r="W110" i="1"/>
  <c r="W109" i="1"/>
  <c r="W111" i="1"/>
  <c r="AB96" i="12"/>
  <c r="T181" i="1"/>
  <c r="T182" i="1"/>
  <c r="T183" i="1"/>
  <c r="AA162" i="5"/>
  <c r="G130" i="12" s="1"/>
  <c r="Y162" i="5"/>
  <c r="AB162" i="5" s="1"/>
  <c r="H130" i="12" s="1"/>
  <c r="W150" i="1"/>
  <c r="W151" i="1"/>
  <c r="W149" i="1"/>
  <c r="F87" i="12"/>
  <c r="AA182" i="5"/>
  <c r="G150" i="12" s="1"/>
  <c r="Y182" i="5"/>
  <c r="AB182" i="5" s="1"/>
  <c r="H150" i="12" s="1"/>
  <c r="W158" i="1"/>
  <c r="W159" i="1"/>
  <c r="W157" i="1"/>
  <c r="AB95" i="12"/>
  <c r="Y158" i="5"/>
  <c r="AB158" i="5" s="1"/>
  <c r="H126" i="12" s="1"/>
  <c r="AA158" i="5"/>
  <c r="G126" i="12" s="1"/>
  <c r="AB73" i="12"/>
  <c r="AC173" i="1"/>
  <c r="AC174" i="1"/>
  <c r="AC175" i="1"/>
  <c r="Y77" i="1"/>
  <c r="Y78" i="1"/>
  <c r="Y79" i="1"/>
  <c r="Y88" i="5"/>
  <c r="AB88" i="5" s="1"/>
  <c r="H56" i="12" s="1"/>
  <c r="AA88" i="5"/>
  <c r="G56" i="12" s="1"/>
  <c r="T133" i="1"/>
  <c r="T134" i="1"/>
  <c r="T135" i="1"/>
  <c r="AA134" i="1"/>
  <c r="AA135" i="1"/>
  <c r="AA133" i="1"/>
  <c r="AA154" i="5"/>
  <c r="G122" i="12" s="1"/>
  <c r="Y154" i="5"/>
  <c r="AB154" i="5" s="1"/>
  <c r="H122" i="12" s="1"/>
  <c r="F154" i="12"/>
  <c r="AO45" i="4" a="1"/>
  <c r="AO45" i="4" s="1"/>
  <c r="T24" i="1" s="1"/>
  <c r="BH45" i="4"/>
  <c r="AP45" i="4" a="1"/>
  <c r="AP45" i="4" s="1"/>
  <c r="U24" i="1" s="1"/>
  <c r="AQ45" i="4" a="1"/>
  <c r="AQ45" i="4" s="1"/>
  <c r="V24" i="1" s="1"/>
  <c r="AR45" i="4" a="1"/>
  <c r="AR45" i="4" s="1"/>
  <c r="W24" i="1" s="1"/>
  <c r="AA111" i="5"/>
  <c r="G79" i="12" s="1"/>
  <c r="Y111" i="5"/>
  <c r="AB111" i="5" s="1"/>
  <c r="H79" i="12" s="1"/>
  <c r="AB120" i="12"/>
  <c r="F50" i="12"/>
  <c r="AB134" i="12"/>
  <c r="V103" i="1"/>
  <c r="V102" i="1"/>
  <c r="V101" i="1"/>
  <c r="F77" i="12"/>
  <c r="AB139" i="12"/>
  <c r="Y150" i="5"/>
  <c r="AB150" i="5" s="1"/>
  <c r="H118" i="12" s="1"/>
  <c r="AA150" i="5"/>
  <c r="G118" i="12" s="1"/>
  <c r="AX39" i="6" l="1"/>
  <c r="C82" i="10"/>
  <c r="C74" i="10"/>
  <c r="C61" i="10"/>
  <c r="C97" i="10"/>
  <c r="C63" i="10"/>
  <c r="C8" i="10"/>
  <c r="C100" i="10"/>
  <c r="C87" i="10"/>
  <c r="C42" i="10"/>
  <c r="C86" i="10"/>
  <c r="C13" i="10"/>
  <c r="C93" i="10"/>
  <c r="C80" i="10"/>
  <c r="C56" i="10"/>
  <c r="C70" i="10"/>
  <c r="C83" i="10"/>
  <c r="C73" i="10"/>
  <c r="C24" i="10"/>
  <c r="C48" i="10"/>
  <c r="C38" i="10"/>
  <c r="C81" i="10"/>
  <c r="C46" i="10"/>
  <c r="C65" i="10"/>
  <c r="C10" i="10"/>
  <c r="C71" i="10"/>
  <c r="C69" i="10"/>
  <c r="C76" i="10"/>
  <c r="C14" i="10"/>
  <c r="C62" i="10"/>
  <c r="C21" i="10"/>
  <c r="C89" i="10"/>
  <c r="C103" i="10"/>
  <c r="C45" i="10"/>
  <c r="C49" i="10"/>
  <c r="C44" i="10"/>
  <c r="C84" i="10"/>
  <c r="C39" i="10"/>
  <c r="C60" i="10"/>
  <c r="C77" i="10"/>
  <c r="C57" i="10"/>
  <c r="C59" i="10"/>
  <c r="C78" i="10"/>
  <c r="C96" i="10"/>
  <c r="C20" i="10"/>
  <c r="C64" i="10"/>
  <c r="C88" i="10"/>
  <c r="C98" i="10"/>
  <c r="C79" i="10"/>
  <c r="C75" i="10"/>
  <c r="C40" i="10"/>
  <c r="C23" i="10"/>
  <c r="C43" i="10"/>
  <c r="C95" i="10"/>
  <c r="C90" i="10"/>
  <c r="C41" i="10"/>
  <c r="C18" i="10"/>
  <c r="C58" i="10"/>
  <c r="C11" i="10"/>
  <c r="C25" i="10"/>
  <c r="C68" i="10"/>
  <c r="C94" i="10"/>
  <c r="C12" i="10"/>
  <c r="C22" i="10"/>
  <c r="C91" i="10"/>
  <c r="C66" i="10"/>
  <c r="C92" i="10"/>
  <c r="C16" i="10"/>
  <c r="C47" i="10"/>
  <c r="C85" i="10"/>
  <c r="C102" i="10"/>
  <c r="C19" i="10"/>
  <c r="C17" i="10"/>
  <c r="C67" i="10"/>
  <c r="C101" i="10"/>
  <c r="C72" i="10"/>
  <c r="C15" i="10"/>
  <c r="C99" i="10"/>
  <c r="C9" i="10"/>
  <c r="AY170" i="6"/>
  <c r="AD141" i="12" s="1"/>
  <c r="AY146" i="6"/>
  <c r="AD117" i="12" s="1"/>
  <c r="AY166" i="6"/>
  <c r="AD137" i="12" s="1"/>
  <c r="AY148" i="6"/>
  <c r="AD119" i="12" s="1"/>
  <c r="AY188" i="6"/>
  <c r="AD159" i="12" s="1"/>
  <c r="AY139" i="6"/>
  <c r="AD110" i="12" s="1"/>
  <c r="AY165" i="6"/>
  <c r="AY179" i="6"/>
  <c r="AD150" i="12" s="1"/>
  <c r="AY153" i="6"/>
  <c r="AY181" i="6"/>
  <c r="AD152" i="12" s="1"/>
  <c r="AY150" i="6"/>
  <c r="AD121" i="12" s="1"/>
  <c r="AY159" i="6"/>
  <c r="AY137" i="6"/>
  <c r="AD108" i="12" s="1"/>
  <c r="AY186" i="6"/>
  <c r="AD157" i="12" s="1"/>
  <c r="AY154" i="6"/>
  <c r="AD125" i="12" s="1"/>
  <c r="AY185" i="6"/>
  <c r="AD156" i="12" s="1"/>
  <c r="AY39" i="6"/>
  <c r="AY161" i="6"/>
  <c r="AD132" i="12" s="1"/>
  <c r="AY138" i="6"/>
  <c r="AD109" i="12" s="1"/>
  <c r="AY145" i="6"/>
  <c r="AD116" i="12" s="1"/>
  <c r="AY155" i="6"/>
  <c r="AD126" i="12" s="1"/>
  <c r="AY135" i="6"/>
  <c r="AY140" i="6"/>
  <c r="AD111" i="12" s="1"/>
  <c r="AY168" i="6"/>
  <c r="AD139" i="12" s="1"/>
  <c r="AY136" i="6"/>
  <c r="AD107" i="12" s="1"/>
  <c r="AY177" i="6"/>
  <c r="AY162" i="6"/>
  <c r="AD133" i="12" s="1"/>
  <c r="AY147" i="6"/>
  <c r="AY142" i="6"/>
  <c r="AD113" i="12" s="1"/>
  <c r="AY144" i="6"/>
  <c r="AD115" i="12" s="1"/>
  <c r="AY141" i="6"/>
  <c r="AY184" i="6"/>
  <c r="AD155" i="12" s="1"/>
  <c r="AY164" i="6"/>
  <c r="AD135" i="12" s="1"/>
  <c r="AY182" i="6"/>
  <c r="AD153" i="12" s="1"/>
  <c r="AY163" i="6"/>
  <c r="AD134" i="12" s="1"/>
  <c r="S51" i="1"/>
  <c r="S52" i="1"/>
  <c r="R52" i="1"/>
  <c r="S50" i="1"/>
  <c r="R51" i="1"/>
  <c r="R49" i="1"/>
  <c r="R50" i="1"/>
  <c r="S48" i="1"/>
  <c r="R48" i="1"/>
  <c r="S49" i="1"/>
  <c r="S45" i="1"/>
  <c r="S46" i="1"/>
  <c r="S47" i="1"/>
  <c r="R45" i="1"/>
  <c r="R46" i="1"/>
  <c r="R47" i="1"/>
  <c r="R33" i="1"/>
  <c r="R41" i="1"/>
  <c r="S36" i="1"/>
  <c r="S44" i="1"/>
  <c r="S32" i="1"/>
  <c r="S40" i="1"/>
  <c r="R35" i="1"/>
  <c r="R43" i="1"/>
  <c r="S35" i="1"/>
  <c r="S43" i="1"/>
  <c r="R36" i="1"/>
  <c r="R44" i="1"/>
  <c r="S37" i="1"/>
  <c r="S39" i="1"/>
  <c r="S38" i="1"/>
  <c r="R32" i="1"/>
  <c r="R40" i="1"/>
  <c r="R37" i="1"/>
  <c r="R39" i="1"/>
  <c r="R38" i="1"/>
  <c r="R34" i="1"/>
  <c r="R42" i="1"/>
  <c r="S33" i="1"/>
  <c r="S41" i="1"/>
  <c r="S34" i="1"/>
  <c r="S42" i="1"/>
  <c r="AY113" i="6"/>
  <c r="AD84" i="12" s="1"/>
  <c r="AY41" i="6"/>
  <c r="AD12" i="12" s="1"/>
  <c r="AY105" i="6"/>
  <c r="AY91" i="6"/>
  <c r="AD62" i="12" s="1"/>
  <c r="AY102" i="6"/>
  <c r="AD73" i="12" s="1"/>
  <c r="AY100" i="6"/>
  <c r="AD71" i="12" s="1"/>
  <c r="AY107" i="6"/>
  <c r="AD78" i="12" s="1"/>
  <c r="AY45" i="6"/>
  <c r="AY93" i="6"/>
  <c r="AY52" i="6"/>
  <c r="AD23" i="12" s="1"/>
  <c r="AY120" i="6"/>
  <c r="AD91" i="12" s="1"/>
  <c r="AY134" i="6"/>
  <c r="AD105" i="12" s="1"/>
  <c r="AY92" i="6"/>
  <c r="AD63" i="12" s="1"/>
  <c r="AY76" i="6"/>
  <c r="AD47" i="12" s="1"/>
  <c r="AY80" i="6"/>
  <c r="AD51" i="12" s="1"/>
  <c r="AY128" i="6"/>
  <c r="AD99" i="12" s="1"/>
  <c r="AY75" i="6"/>
  <c r="AY94" i="6"/>
  <c r="AD65" i="12" s="1"/>
  <c r="AY115" i="6"/>
  <c r="AD86" i="12" s="1"/>
  <c r="AY70" i="6"/>
  <c r="AD41" i="12" s="1"/>
  <c r="AY131" i="6"/>
  <c r="AD102" i="12" s="1"/>
  <c r="AY118" i="6"/>
  <c r="AD89" i="12" s="1"/>
  <c r="AY73" i="6"/>
  <c r="AD44" i="12" s="1"/>
  <c r="AY117" i="6"/>
  <c r="AY44" i="6"/>
  <c r="AD15" i="12" s="1"/>
  <c r="AY124" i="6"/>
  <c r="AD95" i="12" s="1"/>
  <c r="AY111" i="6"/>
  <c r="AY87" i="6"/>
  <c r="AY101" i="6"/>
  <c r="AD72" i="12" s="1"/>
  <c r="AY114" i="6"/>
  <c r="AD85" i="12" s="1"/>
  <c r="AY104" i="6"/>
  <c r="AD75" i="12" s="1"/>
  <c r="AY55" i="6"/>
  <c r="AD26" i="12" s="1"/>
  <c r="AY79" i="6"/>
  <c r="AD50" i="12" s="1"/>
  <c r="AY69" i="6"/>
  <c r="AY112" i="6"/>
  <c r="AD83" i="12" s="1"/>
  <c r="AY77" i="6"/>
  <c r="AD48" i="12" s="1"/>
  <c r="AY96" i="6"/>
  <c r="AD67" i="12" s="1"/>
  <c r="AY108" i="6"/>
  <c r="AD79" i="12" s="1"/>
  <c r="AY88" i="6"/>
  <c r="AD59" i="12" s="1"/>
  <c r="AY90" i="6"/>
  <c r="AD61" i="12" s="1"/>
  <c r="AY109" i="6"/>
  <c r="AD80" i="12" s="1"/>
  <c r="AY127" i="6"/>
  <c r="AD98" i="12" s="1"/>
  <c r="AY51" i="6"/>
  <c r="AY95" i="6"/>
  <c r="AD66" i="12" s="1"/>
  <c r="AY119" i="6"/>
  <c r="AD90" i="12" s="1"/>
  <c r="AY129" i="6"/>
  <c r="AY110" i="6"/>
  <c r="AD81" i="12" s="1"/>
  <c r="AY106" i="6"/>
  <c r="AD77" i="12" s="1"/>
  <c r="AY71" i="6"/>
  <c r="AD42" i="12" s="1"/>
  <c r="AY54" i="6"/>
  <c r="AD25" i="12" s="1"/>
  <c r="AY74" i="6"/>
  <c r="AD45" i="12" s="1"/>
  <c r="AY126" i="6"/>
  <c r="AD97" i="12" s="1"/>
  <c r="AY121" i="6"/>
  <c r="AD92" i="12" s="1"/>
  <c r="AY72" i="6"/>
  <c r="AD43" i="12" s="1"/>
  <c r="AY49" i="6"/>
  <c r="AD20" i="12" s="1"/>
  <c r="AY89" i="6"/>
  <c r="AD60" i="12" s="1"/>
  <c r="AY42" i="6"/>
  <c r="AD13" i="12" s="1"/>
  <c r="AY56" i="6"/>
  <c r="AD27" i="12" s="1"/>
  <c r="AY99" i="6"/>
  <c r="AY125" i="6"/>
  <c r="AD96" i="12" s="1"/>
  <c r="AY43" i="6"/>
  <c r="AD14" i="12" s="1"/>
  <c r="AY53" i="6"/>
  <c r="AD24" i="12" s="1"/>
  <c r="AY122" i="6"/>
  <c r="AD93" i="12" s="1"/>
  <c r="AY97" i="6"/>
  <c r="AD68" i="12" s="1"/>
  <c r="AY123" i="6"/>
  <c r="AY47" i="6"/>
  <c r="AD18" i="12" s="1"/>
  <c r="AY78" i="6"/>
  <c r="AD49" i="12" s="1"/>
  <c r="AY116" i="6"/>
  <c r="AD87" i="12" s="1"/>
  <c r="AY133" i="6"/>
  <c r="AD104" i="12" s="1"/>
  <c r="AY50" i="6"/>
  <c r="AD21" i="12" s="1"/>
  <c r="AY48" i="6"/>
  <c r="AD19" i="12" s="1"/>
  <c r="AY98" i="6"/>
  <c r="AD69" i="12" s="1"/>
  <c r="AY132" i="6"/>
  <c r="AD103" i="12" s="1"/>
  <c r="AY103" i="6"/>
  <c r="AD74" i="12" s="1"/>
  <c r="AY46" i="6"/>
  <c r="AD17" i="12" s="1"/>
  <c r="AY130" i="6"/>
  <c r="AD101" i="12" s="1"/>
  <c r="AG39" i="6"/>
  <c r="AF139" i="12"/>
  <c r="AF116" i="12"/>
  <c r="AF106" i="12"/>
  <c r="AF126" i="12"/>
  <c r="AF107" i="12"/>
  <c r="AF113" i="12"/>
  <c r="AF120" i="12"/>
  <c r="AY149" i="6"/>
  <c r="AD120" i="12" s="1"/>
  <c r="AF122" i="12"/>
  <c r="AY151" i="6"/>
  <c r="AD122" i="12" s="1"/>
  <c r="AF158" i="12"/>
  <c r="AY187" i="6"/>
  <c r="AD158" i="12" s="1"/>
  <c r="AF127" i="12"/>
  <c r="AY156" i="6"/>
  <c r="AD127" i="12" s="1"/>
  <c r="AF151" i="12"/>
  <c r="AY180" i="6"/>
  <c r="AD151" i="12" s="1"/>
  <c r="AF129" i="12"/>
  <c r="AY158" i="6"/>
  <c r="AD129" i="12" s="1"/>
  <c r="AF149" i="12"/>
  <c r="AY178" i="6"/>
  <c r="AD149" i="12" s="1"/>
  <c r="AF128" i="12"/>
  <c r="AY157" i="6"/>
  <c r="AD128" i="12" s="1"/>
  <c r="AF140" i="12"/>
  <c r="AY169" i="6"/>
  <c r="AD140" i="12" s="1"/>
  <c r="AF114" i="12"/>
  <c r="AY143" i="6"/>
  <c r="AD114" i="12" s="1"/>
  <c r="AF123" i="12"/>
  <c r="AY152" i="6"/>
  <c r="AD123" i="12" s="1"/>
  <c r="AF131" i="12"/>
  <c r="AY160" i="6"/>
  <c r="AD131" i="12" s="1"/>
  <c r="AF138" i="12"/>
  <c r="AY167" i="6"/>
  <c r="AD138" i="12" s="1"/>
  <c r="AZ183" i="6"/>
  <c r="AY183" i="6"/>
  <c r="AF154" i="12"/>
  <c r="AV82" i="6"/>
  <c r="AW82" i="6"/>
  <c r="AV81" i="6"/>
  <c r="AW81" i="6"/>
  <c r="AV85" i="6"/>
  <c r="AW85" i="6"/>
  <c r="AV171" i="6"/>
  <c r="AW171" i="6"/>
  <c r="C140" i="10" s="1"/>
  <c r="AV173" i="6"/>
  <c r="AW173" i="6"/>
  <c r="C142" i="10" s="1"/>
  <c r="AV84" i="6"/>
  <c r="AW84" i="6"/>
  <c r="AV174" i="6"/>
  <c r="AG145" i="12" s="1"/>
  <c r="AW174" i="6"/>
  <c r="C143" i="10" s="1"/>
  <c r="AV86" i="6"/>
  <c r="AW86" i="6"/>
  <c r="AV176" i="6"/>
  <c r="AG147" i="12" s="1"/>
  <c r="AW176" i="6"/>
  <c r="C145" i="10" s="1"/>
  <c r="AV172" i="6"/>
  <c r="AW172" i="6"/>
  <c r="C141" i="10" s="1"/>
  <c r="AV175" i="6"/>
  <c r="AG146" i="12" s="1"/>
  <c r="AW175" i="6"/>
  <c r="C144" i="10" s="1"/>
  <c r="AV83" i="6"/>
  <c r="AW83" i="6"/>
  <c r="K173" i="12"/>
  <c r="J172" i="12"/>
  <c r="I173" i="12"/>
  <c r="I172" i="12" s="1"/>
  <c r="I171" i="12" s="1"/>
  <c r="AG58" i="12"/>
  <c r="AF100" i="12"/>
  <c r="AG41" i="12"/>
  <c r="AG25" i="12"/>
  <c r="AF12" i="12"/>
  <c r="AF90" i="12"/>
  <c r="AF91" i="12"/>
  <c r="AG83" i="12"/>
  <c r="AF78" i="12"/>
  <c r="AG89" i="12"/>
  <c r="AG80" i="12"/>
  <c r="AG66" i="12"/>
  <c r="AG79" i="12"/>
  <c r="AF21" i="12"/>
  <c r="AG76" i="12"/>
  <c r="AF43" i="12"/>
  <c r="AF81" i="12"/>
  <c r="AG86" i="12"/>
  <c r="AG95" i="12"/>
  <c r="AG73" i="12"/>
  <c r="AG100" i="12"/>
  <c r="AF99" i="12"/>
  <c r="AG91" i="12"/>
  <c r="AG20" i="12"/>
  <c r="AG78" i="12"/>
  <c r="AG70" i="12"/>
  <c r="AF63" i="12"/>
  <c r="AF79" i="12"/>
  <c r="AF68" i="12"/>
  <c r="AF72" i="12"/>
  <c r="AF95" i="12"/>
  <c r="AF47" i="12"/>
  <c r="AF17" i="12"/>
  <c r="AG77" i="12"/>
  <c r="AG10" i="12"/>
  <c r="AG26" i="12"/>
  <c r="AG61" i="12"/>
  <c r="AF46" i="12"/>
  <c r="AF66" i="12"/>
  <c r="AG21" i="12"/>
  <c r="AF59" i="12"/>
  <c r="AF14" i="12"/>
  <c r="AF76" i="12"/>
  <c r="AF49" i="12"/>
  <c r="AF65" i="12"/>
  <c r="AF77" i="12"/>
  <c r="AG18" i="12"/>
  <c r="AG64" i="12"/>
  <c r="AF10" i="12"/>
  <c r="AF69" i="12"/>
  <c r="AG99" i="12"/>
  <c r="AF61" i="12"/>
  <c r="AG63" i="12"/>
  <c r="AG71" i="12"/>
  <c r="AG65" i="12"/>
  <c r="AG101" i="12"/>
  <c r="AF104" i="12"/>
  <c r="AG17" i="12"/>
  <c r="AF40" i="12"/>
  <c r="AF42" i="12"/>
  <c r="AG92" i="12"/>
  <c r="AG51" i="12"/>
  <c r="AG88" i="12"/>
  <c r="AF86" i="12"/>
  <c r="AF64" i="12"/>
  <c r="AF94" i="12"/>
  <c r="AG69" i="12"/>
  <c r="AG50" i="12"/>
  <c r="AG40" i="12"/>
  <c r="AF24" i="12"/>
  <c r="AF87" i="12"/>
  <c r="AG103" i="12"/>
  <c r="AF102" i="12"/>
  <c r="AF92" i="12"/>
  <c r="AG82" i="12"/>
  <c r="AG47" i="12"/>
  <c r="AF44" i="12"/>
  <c r="AG13" i="12"/>
  <c r="AF83" i="12"/>
  <c r="AG105" i="12"/>
  <c r="AF60" i="12"/>
  <c r="AG15" i="12"/>
  <c r="AG16" i="12"/>
  <c r="AF51" i="12"/>
  <c r="AG22" i="12"/>
  <c r="AG43" i="12"/>
  <c r="AF23" i="12"/>
  <c r="AF19" i="12"/>
  <c r="AF11" i="12"/>
  <c r="AG94" i="12"/>
  <c r="AF97" i="12"/>
  <c r="AF50" i="12"/>
  <c r="AG44" i="12"/>
  <c r="AF13" i="12"/>
  <c r="AG24" i="12"/>
  <c r="AF105" i="12"/>
  <c r="AG60" i="12"/>
  <c r="AF103" i="12"/>
  <c r="AF89" i="12"/>
  <c r="AF67" i="12"/>
  <c r="AF80" i="12"/>
  <c r="AF84" i="12"/>
  <c r="AG81" i="12"/>
  <c r="AG23" i="12"/>
  <c r="AG98" i="12"/>
  <c r="BJ45" i="4"/>
  <c r="BJ44" i="4"/>
  <c r="BJ48" i="4"/>
  <c r="BJ46" i="4"/>
  <c r="BJ49" i="4"/>
  <c r="BJ47" i="4"/>
  <c r="AC113" i="5"/>
  <c r="AC149" i="5"/>
  <c r="AC156" i="5"/>
  <c r="AC43" i="5"/>
  <c r="AC83" i="5"/>
  <c r="AC125" i="5"/>
  <c r="AC77" i="5"/>
  <c r="AC186" i="5"/>
  <c r="AC118" i="5"/>
  <c r="AC144" i="5"/>
  <c r="H174" i="12" s="1"/>
  <c r="AC55" i="5"/>
  <c r="AC170" i="5"/>
  <c r="AC139" i="5"/>
  <c r="AC190" i="5"/>
  <c r="AC133" i="5"/>
  <c r="AC159" i="5"/>
  <c r="AC129" i="5"/>
  <c r="AC82" i="5"/>
  <c r="AC103" i="5"/>
  <c r="AC106" i="5"/>
  <c r="AC172" i="5"/>
  <c r="AC44" i="5"/>
  <c r="AC72" i="5"/>
  <c r="AC132" i="5"/>
  <c r="AC46" i="5"/>
  <c r="AC89" i="5"/>
  <c r="AC112" i="5"/>
  <c r="AC54" i="5"/>
  <c r="AC142" i="5"/>
  <c r="AC36" i="5"/>
  <c r="AC85" i="5"/>
  <c r="AC100" i="5"/>
  <c r="AC124" i="5"/>
  <c r="AC107" i="5"/>
  <c r="AC57" i="5"/>
  <c r="AC59" i="5"/>
  <c r="AC155" i="5"/>
  <c r="AC165" i="5"/>
  <c r="AC177" i="5"/>
  <c r="AC157" i="5"/>
  <c r="AC105" i="5"/>
  <c r="AC102" i="5"/>
  <c r="AC178" i="5"/>
  <c r="AC120" i="5"/>
  <c r="AC109" i="5"/>
  <c r="AC119" i="5"/>
  <c r="AC141" i="5"/>
  <c r="AC138" i="5"/>
  <c r="AC73" i="5"/>
  <c r="AC91" i="5"/>
  <c r="AC117" i="5"/>
  <c r="AC148" i="5"/>
  <c r="AC135" i="5"/>
  <c r="AC146" i="5"/>
  <c r="AG134" i="12"/>
  <c r="AX163" i="6"/>
  <c r="AC134" i="12" s="1"/>
  <c r="AG163" i="6"/>
  <c r="Y163" i="6"/>
  <c r="AB163" i="6" s="1"/>
  <c r="B132" i="10"/>
  <c r="AG149" i="6"/>
  <c r="AX149" i="6"/>
  <c r="AC120" i="12" s="1"/>
  <c r="B118" i="10"/>
  <c r="Y149" i="6"/>
  <c r="AB149" i="6" s="1"/>
  <c r="Z102" i="6"/>
  <c r="Z87" i="6"/>
  <c r="B9" i="10"/>
  <c r="Y40" i="6"/>
  <c r="AB40" i="6" s="1"/>
  <c r="AX40" i="6"/>
  <c r="AG40" i="6"/>
  <c r="Z70" i="6"/>
  <c r="Y168" i="6"/>
  <c r="AB168" i="6" s="1"/>
  <c r="B137" i="10"/>
  <c r="AG168" i="6"/>
  <c r="AX168" i="6"/>
  <c r="AC139" i="12" s="1"/>
  <c r="AF134" i="12"/>
  <c r="Z163" i="6"/>
  <c r="Z149" i="6"/>
  <c r="AG125" i="6"/>
  <c r="B94" i="10"/>
  <c r="Y125" i="6"/>
  <c r="AB125" i="6" s="1"/>
  <c r="AX125" i="6"/>
  <c r="AF18" i="12"/>
  <c r="Z47" i="6"/>
  <c r="AG87" i="6"/>
  <c r="AX87" i="6"/>
  <c r="Y87" i="6"/>
  <c r="AB87" i="6" s="1"/>
  <c r="B56" i="10"/>
  <c r="Z145" i="6"/>
  <c r="AG155" i="12"/>
  <c r="AX184" i="6"/>
  <c r="AC155" i="12" s="1"/>
  <c r="Y184" i="6"/>
  <c r="AB184" i="6" s="1"/>
  <c r="AG184" i="6"/>
  <c r="B153" i="10"/>
  <c r="AF25" i="12"/>
  <c r="Z54" i="6"/>
  <c r="Y119" i="6"/>
  <c r="AB119" i="6" s="1"/>
  <c r="B88" i="10"/>
  <c r="AG119" i="6"/>
  <c r="AX119" i="6"/>
  <c r="Z138" i="6"/>
  <c r="AG124" i="12"/>
  <c r="AG153" i="6"/>
  <c r="AX153" i="6"/>
  <c r="AC124" i="12" s="1"/>
  <c r="Y153" i="6"/>
  <c r="AB153" i="6" s="1"/>
  <c r="B122" i="10"/>
  <c r="AC81" i="5"/>
  <c r="AF20" i="12"/>
  <c r="Z49" i="6"/>
  <c r="AX71" i="6"/>
  <c r="B40" i="10"/>
  <c r="Y71" i="6"/>
  <c r="AB71" i="6" s="1"/>
  <c r="AG71" i="6"/>
  <c r="Z44" i="6"/>
  <c r="AF159" i="12"/>
  <c r="Z188" i="6"/>
  <c r="Z99" i="6"/>
  <c r="AF111" i="12"/>
  <c r="Z140" i="6"/>
  <c r="AG102" i="12"/>
  <c r="Y131" i="6"/>
  <c r="AB131" i="6" s="1"/>
  <c r="B100" i="10"/>
  <c r="AX131" i="6"/>
  <c r="AG131" i="6"/>
  <c r="AC188" i="5"/>
  <c r="AX56" i="6"/>
  <c r="Y56" i="6"/>
  <c r="AB56" i="6" s="1"/>
  <c r="B25" i="10"/>
  <c r="AG56" i="6"/>
  <c r="AF121" i="12"/>
  <c r="Z150" i="6"/>
  <c r="S5" i="1"/>
  <c r="S4" i="1" s="1"/>
  <c r="S3" i="1" s="1"/>
  <c r="S2" i="1" s="1"/>
  <c r="S6" i="1"/>
  <c r="S7" i="1"/>
  <c r="S151" i="1"/>
  <c r="S149" i="1"/>
  <c r="S150" i="1"/>
  <c r="S63" i="1"/>
  <c r="S62" i="1"/>
  <c r="S61" i="1"/>
  <c r="R151" i="1"/>
  <c r="R150" i="1"/>
  <c r="R149" i="1"/>
  <c r="S23" i="1"/>
  <c r="S22" i="1"/>
  <c r="S21" i="1"/>
  <c r="R126" i="1"/>
  <c r="R125" i="1"/>
  <c r="R127" i="1"/>
  <c r="R95" i="1"/>
  <c r="R94" i="1"/>
  <c r="R93" i="1"/>
  <c r="AG112" i="12"/>
  <c r="Y141" i="6"/>
  <c r="AB141" i="6" s="1"/>
  <c r="AG141" i="6"/>
  <c r="B110" i="10"/>
  <c r="AX141" i="6"/>
  <c r="AC112" i="12" s="1"/>
  <c r="AC47" i="5"/>
  <c r="B106" i="10"/>
  <c r="Y137" i="6"/>
  <c r="AB137" i="6" s="1"/>
  <c r="AG137" i="6"/>
  <c r="AX137" i="6"/>
  <c r="AC108" i="12" s="1"/>
  <c r="Z114" i="6"/>
  <c r="Z122" i="6"/>
  <c r="AC184" i="5"/>
  <c r="AG113" i="6"/>
  <c r="B82" i="10"/>
  <c r="AX113" i="6"/>
  <c r="Y113" i="6"/>
  <c r="AB113" i="6" s="1"/>
  <c r="AB53" i="12"/>
  <c r="AC167" i="5"/>
  <c r="Z74" i="6"/>
  <c r="Z51" i="6"/>
  <c r="Z177" i="6"/>
  <c r="AF132" i="12"/>
  <c r="Z161" i="6"/>
  <c r="AG133" i="12"/>
  <c r="AX162" i="6"/>
  <c r="AC133" i="12" s="1"/>
  <c r="AG162" i="6"/>
  <c r="Y162" i="6"/>
  <c r="AB162" i="6" s="1"/>
  <c r="B131" i="10"/>
  <c r="AX78" i="6"/>
  <c r="AG78" i="6"/>
  <c r="Y78" i="6"/>
  <c r="AB78" i="6" s="1"/>
  <c r="B47" i="10"/>
  <c r="Y104" i="6"/>
  <c r="AB104" i="6" s="1"/>
  <c r="AG104" i="6"/>
  <c r="B73" i="10"/>
  <c r="AX104" i="6"/>
  <c r="Z127" i="6"/>
  <c r="Z139" i="6"/>
  <c r="Y97" i="6"/>
  <c r="AB97" i="6" s="1"/>
  <c r="B66" i="10"/>
  <c r="AG97" i="6"/>
  <c r="AX97" i="6"/>
  <c r="AG77" i="6"/>
  <c r="B46" i="10"/>
  <c r="AX77" i="6"/>
  <c r="Y77" i="6"/>
  <c r="AB77" i="6" s="1"/>
  <c r="AC110" i="5"/>
  <c r="AF96" i="12"/>
  <c r="Z125" i="6"/>
  <c r="Z156" i="6"/>
  <c r="B62" i="10"/>
  <c r="AG93" i="6"/>
  <c r="AX93" i="6"/>
  <c r="Y93" i="6"/>
  <c r="AB93" i="6" s="1"/>
  <c r="AC99" i="5"/>
  <c r="AF150" i="12"/>
  <c r="Z179" i="6"/>
  <c r="B114" i="10"/>
  <c r="AG145" i="6"/>
  <c r="Y145" i="6"/>
  <c r="AB145" i="6" s="1"/>
  <c r="AX145" i="6"/>
  <c r="AC116" i="12" s="1"/>
  <c r="B92" i="10"/>
  <c r="AG123" i="6"/>
  <c r="AX123" i="6"/>
  <c r="Y123" i="6"/>
  <c r="AB123" i="6" s="1"/>
  <c r="AC137" i="5"/>
  <c r="AG113" i="12"/>
  <c r="AX142" i="6"/>
  <c r="AC113" i="12" s="1"/>
  <c r="Y142" i="6"/>
  <c r="AB142" i="6" s="1"/>
  <c r="B111" i="10"/>
  <c r="AG142" i="6"/>
  <c r="Y186" i="6"/>
  <c r="AB186" i="6" s="1"/>
  <c r="AX186" i="6"/>
  <c r="AC157" i="12" s="1"/>
  <c r="B155" i="10"/>
  <c r="AG186" i="6"/>
  <c r="AX76" i="6"/>
  <c r="AG76" i="6"/>
  <c r="Y76" i="6"/>
  <c r="AB76" i="6" s="1"/>
  <c r="B45" i="10"/>
  <c r="AF155" i="12"/>
  <c r="Z184" i="6"/>
  <c r="AC134" i="5"/>
  <c r="AG138" i="6"/>
  <c r="Y138" i="6"/>
  <c r="AB138" i="6" s="1"/>
  <c r="B107" i="10"/>
  <c r="AX138" i="6"/>
  <c r="AC109" i="12" s="1"/>
  <c r="V22" i="1"/>
  <c r="V23" i="1"/>
  <c r="V21" i="1"/>
  <c r="AC176" i="5"/>
  <c r="Y134" i="6"/>
  <c r="AB134" i="6" s="1"/>
  <c r="AX134" i="6"/>
  <c r="B103" i="10"/>
  <c r="AG134" i="6"/>
  <c r="AX136" i="6"/>
  <c r="AC107" i="12" s="1"/>
  <c r="AG136" i="6"/>
  <c r="Y136" i="6"/>
  <c r="AB136" i="6" s="1"/>
  <c r="B105" i="10"/>
  <c r="AC151" i="5"/>
  <c r="AC51" i="5"/>
  <c r="AC78" i="5"/>
  <c r="Z116" i="6"/>
  <c r="AX44" i="6"/>
  <c r="B13" i="10"/>
  <c r="AG44" i="6"/>
  <c r="Y44" i="6"/>
  <c r="AB44" i="6" s="1"/>
  <c r="AG159" i="12"/>
  <c r="B157" i="10"/>
  <c r="AX188" i="6"/>
  <c r="AC159" i="12" s="1"/>
  <c r="Y188" i="6"/>
  <c r="AB188" i="6" s="1"/>
  <c r="AG188" i="6"/>
  <c r="AG115" i="12"/>
  <c r="AG144" i="6"/>
  <c r="Y144" i="6"/>
  <c r="AB144" i="6" s="1"/>
  <c r="B113" i="10"/>
  <c r="AX144" i="6"/>
  <c r="AC115" i="12" s="1"/>
  <c r="AC140" i="5"/>
  <c r="AG111" i="12"/>
  <c r="B109" i="10"/>
  <c r="Y140" i="6"/>
  <c r="AB140" i="6" s="1"/>
  <c r="AX140" i="6"/>
  <c r="AC111" i="12" s="1"/>
  <c r="AG140" i="6"/>
  <c r="AC182" i="5"/>
  <c r="Z155" i="6"/>
  <c r="AC76" i="5"/>
  <c r="Z96" i="6"/>
  <c r="AG150" i="6"/>
  <c r="B119" i="10"/>
  <c r="AX150" i="6"/>
  <c r="AC121" i="12" s="1"/>
  <c r="Y150" i="6"/>
  <c r="AB150" i="6" s="1"/>
  <c r="R158" i="1"/>
  <c r="R157" i="1"/>
  <c r="R159" i="1"/>
  <c r="S111" i="1"/>
  <c r="S110" i="1"/>
  <c r="S109" i="1"/>
  <c r="S205" i="1"/>
  <c r="S206" i="1"/>
  <c r="S207" i="1"/>
  <c r="R69" i="1"/>
  <c r="R71" i="1"/>
  <c r="R70" i="1"/>
  <c r="R206" i="1"/>
  <c r="R205" i="1"/>
  <c r="R207" i="1"/>
  <c r="R21" i="1"/>
  <c r="R22" i="1"/>
  <c r="R23" i="1"/>
  <c r="AX92" i="6"/>
  <c r="Y92" i="6"/>
  <c r="AB92" i="6" s="1"/>
  <c r="AG92" i="6"/>
  <c r="B61" i="10"/>
  <c r="AF112" i="12"/>
  <c r="Z141" i="6"/>
  <c r="AC121" i="5"/>
  <c r="AC158" i="5"/>
  <c r="AF108" i="12"/>
  <c r="Z137" i="6"/>
  <c r="Z151" i="6"/>
  <c r="AC108" i="5"/>
  <c r="Z183" i="6"/>
  <c r="AX111" i="6"/>
  <c r="AG111" i="6"/>
  <c r="B80" i="10"/>
  <c r="Y111" i="6"/>
  <c r="AB111" i="6" s="1"/>
  <c r="Z95" i="6"/>
  <c r="AG136" i="12"/>
  <c r="AG165" i="6"/>
  <c r="B134" i="10"/>
  <c r="AX165" i="6"/>
  <c r="AC136" i="12" s="1"/>
  <c r="Y165" i="6"/>
  <c r="AB165" i="6" s="1"/>
  <c r="AC88" i="5"/>
  <c r="AC96" i="5"/>
  <c r="AF137" i="12"/>
  <c r="Z166" i="6"/>
  <c r="Y117" i="6"/>
  <c r="AB117" i="6" s="1"/>
  <c r="AG117" i="6"/>
  <c r="AX117" i="6"/>
  <c r="B86" i="10"/>
  <c r="AC37" i="5"/>
  <c r="AG74" i="6"/>
  <c r="AX74" i="6"/>
  <c r="B43" i="10"/>
  <c r="Y74" i="6"/>
  <c r="AB74" i="6" s="1"/>
  <c r="AC101" i="5"/>
  <c r="AC131" i="5"/>
  <c r="AC147" i="5"/>
  <c r="Z105" i="6"/>
  <c r="AG132" i="12"/>
  <c r="B130" i="10"/>
  <c r="Y161" i="6"/>
  <c r="AB161" i="6" s="1"/>
  <c r="AX161" i="6"/>
  <c r="AC132" i="12" s="1"/>
  <c r="AG161" i="6"/>
  <c r="AF133" i="12"/>
  <c r="Z162" i="6"/>
  <c r="AC183" i="5"/>
  <c r="AF75" i="12"/>
  <c r="Z104" i="6"/>
  <c r="Z100" i="6"/>
  <c r="AC166" i="5"/>
  <c r="B70" i="10"/>
  <c r="Y101" i="6"/>
  <c r="AB101" i="6" s="1"/>
  <c r="AG101" i="6"/>
  <c r="AX101" i="6"/>
  <c r="AC179" i="5"/>
  <c r="AC130" i="5"/>
  <c r="Y46" i="6"/>
  <c r="AB46" i="6" s="1"/>
  <c r="AG46" i="6"/>
  <c r="AX46" i="6"/>
  <c r="B15" i="10"/>
  <c r="AF73" i="12"/>
  <c r="Y179" i="6"/>
  <c r="AB179" i="6" s="1"/>
  <c r="AX179" i="6"/>
  <c r="AC150" i="12" s="1"/>
  <c r="AG179" i="6"/>
  <c r="B148" i="10"/>
  <c r="AG19" i="12"/>
  <c r="AG48" i="6"/>
  <c r="AX48" i="6"/>
  <c r="B17" i="10"/>
  <c r="Y48" i="6"/>
  <c r="AB48" i="6" s="1"/>
  <c r="AF41" i="12"/>
  <c r="Z142" i="6"/>
  <c r="Z186" i="6"/>
  <c r="Z76" i="6"/>
  <c r="Z178" i="6"/>
  <c r="Z41" i="6"/>
  <c r="Z73" i="6"/>
  <c r="AG135" i="6"/>
  <c r="B104" i="10"/>
  <c r="AX135" i="6"/>
  <c r="AC106" i="12" s="1"/>
  <c r="Y135" i="6"/>
  <c r="AB135" i="6" s="1"/>
  <c r="U22" i="1"/>
  <c r="U21" i="1"/>
  <c r="U23" i="1"/>
  <c r="Z120" i="6"/>
  <c r="Z53" i="6"/>
  <c r="AC181" i="5"/>
  <c r="Z134" i="6"/>
  <c r="Z136" i="6"/>
  <c r="Y116" i="6"/>
  <c r="AB116" i="6" s="1"/>
  <c r="AG116" i="6"/>
  <c r="B85" i="10"/>
  <c r="AX116" i="6"/>
  <c r="AF141" i="12"/>
  <c r="Z170" i="6"/>
  <c r="AB57" i="12"/>
  <c r="AC104" i="5"/>
  <c r="AG155" i="6"/>
  <c r="Y155" i="6"/>
  <c r="AB155" i="6" s="1"/>
  <c r="AX155" i="6"/>
  <c r="AC126" i="12" s="1"/>
  <c r="B124" i="10"/>
  <c r="Y96" i="6"/>
  <c r="AB96" i="6" s="1"/>
  <c r="AG96" i="6"/>
  <c r="B65" i="10"/>
  <c r="AX96" i="6"/>
  <c r="Z56" i="6"/>
  <c r="R133" i="1"/>
  <c r="R134" i="1"/>
  <c r="R135" i="1"/>
  <c r="R141" i="1"/>
  <c r="R143" i="1"/>
  <c r="R142" i="1"/>
  <c r="R117" i="1"/>
  <c r="R118" i="1"/>
  <c r="R119" i="1"/>
  <c r="S182" i="1"/>
  <c r="S183" i="1"/>
  <c r="S181" i="1"/>
  <c r="S55" i="1"/>
  <c r="S53" i="1"/>
  <c r="S54" i="1"/>
  <c r="S199" i="1"/>
  <c r="S198" i="1"/>
  <c r="S197" i="1"/>
  <c r="S71" i="1"/>
  <c r="S70" i="1"/>
  <c r="S69" i="1"/>
  <c r="S142" i="1"/>
  <c r="S141" i="1"/>
  <c r="S143" i="1"/>
  <c r="S127" i="1"/>
  <c r="S125" i="1"/>
  <c r="S126" i="1"/>
  <c r="Z187" i="6"/>
  <c r="Y114" i="6"/>
  <c r="AB114" i="6" s="1"/>
  <c r="AX114" i="6"/>
  <c r="B83" i="10"/>
  <c r="AG114" i="6"/>
  <c r="Y122" i="6"/>
  <c r="AB122" i="6" s="1"/>
  <c r="AX122" i="6"/>
  <c r="AG122" i="6"/>
  <c r="B91" i="10"/>
  <c r="AG154" i="12"/>
  <c r="AX183" i="6"/>
  <c r="AC154" i="12" s="1"/>
  <c r="AG183" i="6"/>
  <c r="B152" i="10"/>
  <c r="Y183" i="6"/>
  <c r="AB183" i="6" s="1"/>
  <c r="Z111" i="6"/>
  <c r="AF136" i="12"/>
  <c r="Z165" i="6"/>
  <c r="Z50" i="6"/>
  <c r="AC49" i="5"/>
  <c r="AC48" i="5"/>
  <c r="Z117" i="6"/>
  <c r="AC52" i="5"/>
  <c r="AX110" i="6"/>
  <c r="AG110" i="6"/>
  <c r="Y110" i="6"/>
  <c r="AB110" i="6" s="1"/>
  <c r="B79" i="10"/>
  <c r="Z77" i="6"/>
  <c r="AC173" i="5"/>
  <c r="Z48" i="6"/>
  <c r="AG130" i="12"/>
  <c r="AX159" i="6"/>
  <c r="AC130" i="12" s="1"/>
  <c r="B128" i="10"/>
  <c r="AG159" i="6"/>
  <c r="Y159" i="6"/>
  <c r="AB159" i="6" s="1"/>
  <c r="AX79" i="6"/>
  <c r="B48" i="10"/>
  <c r="Y79" i="6"/>
  <c r="AB79" i="6" s="1"/>
  <c r="AG79" i="6"/>
  <c r="AG178" i="6"/>
  <c r="AX178" i="6"/>
  <c r="AC149" i="12" s="1"/>
  <c r="B147" i="10"/>
  <c r="Y178" i="6"/>
  <c r="AB178" i="6" s="1"/>
  <c r="AF156" i="12"/>
  <c r="Z185" i="6"/>
  <c r="AX41" i="6"/>
  <c r="Y41" i="6"/>
  <c r="AB41" i="6" s="1"/>
  <c r="B10" i="10"/>
  <c r="AG41" i="6"/>
  <c r="AX73" i="6"/>
  <c r="B42" i="10"/>
  <c r="AG73" i="6"/>
  <c r="Y73" i="6"/>
  <c r="AB73" i="6" s="1"/>
  <c r="Z135" i="6"/>
  <c r="T23" i="1"/>
  <c r="T22" i="1"/>
  <c r="T21" i="1"/>
  <c r="B89" i="10"/>
  <c r="AX120" i="6"/>
  <c r="Y120" i="6"/>
  <c r="AB120" i="6" s="1"/>
  <c r="AG120" i="6"/>
  <c r="B11" i="10"/>
  <c r="Y42" i="6"/>
  <c r="AB42" i="6" s="1"/>
  <c r="AG42" i="6"/>
  <c r="AX42" i="6"/>
  <c r="Z69" i="6"/>
  <c r="AC180" i="5"/>
  <c r="Z112" i="6"/>
  <c r="B149" i="10"/>
  <c r="AG180" i="6"/>
  <c r="AX180" i="6"/>
  <c r="AC151" i="12" s="1"/>
  <c r="Y180" i="6"/>
  <c r="AB180" i="6" s="1"/>
  <c r="AC94" i="5"/>
  <c r="AX132" i="6"/>
  <c r="Y132" i="6"/>
  <c r="AB132" i="6" s="1"/>
  <c r="B101" i="10"/>
  <c r="AG132" i="6"/>
  <c r="AG90" i="6"/>
  <c r="Y90" i="6"/>
  <c r="AB90" i="6" s="1"/>
  <c r="AX90" i="6"/>
  <c r="B59" i="10"/>
  <c r="AF115" i="12"/>
  <c r="Z144" i="6"/>
  <c r="AC98" i="5"/>
  <c r="AC175" i="5"/>
  <c r="AC40" i="5"/>
  <c r="AC45" i="5"/>
  <c r="Z75" i="6"/>
  <c r="R197" i="1"/>
  <c r="R199" i="1"/>
  <c r="R198" i="1"/>
  <c r="S159" i="1"/>
  <c r="S157" i="1"/>
  <c r="S158" i="1"/>
  <c r="S102" i="1"/>
  <c r="S103" i="1"/>
  <c r="S101" i="1"/>
  <c r="R29" i="1"/>
  <c r="R30" i="1"/>
  <c r="R31" i="1"/>
  <c r="R190" i="1"/>
  <c r="R189" i="1"/>
  <c r="R191" i="1"/>
  <c r="S190" i="1"/>
  <c r="S189" i="1"/>
  <c r="S191" i="1"/>
  <c r="AG158" i="12"/>
  <c r="AG187" i="6"/>
  <c r="AX187" i="6"/>
  <c r="AC158" i="12" s="1"/>
  <c r="Y187" i="6"/>
  <c r="AB187" i="6" s="1"/>
  <c r="B156" i="10"/>
  <c r="AC169" i="5"/>
  <c r="AG122" i="12"/>
  <c r="AG151" i="6"/>
  <c r="B120" i="10"/>
  <c r="Y151" i="6"/>
  <c r="AB151" i="6" s="1"/>
  <c r="AX151" i="6"/>
  <c r="AC122" i="12" s="1"/>
  <c r="AC189" i="5"/>
  <c r="Z157" i="6"/>
  <c r="AC150" i="5"/>
  <c r="AG108" i="6"/>
  <c r="B77" i="10"/>
  <c r="AX108" i="6"/>
  <c r="Y108" i="6"/>
  <c r="AB108" i="6" s="1"/>
  <c r="AG80" i="6"/>
  <c r="B49" i="10"/>
  <c r="AX80" i="6"/>
  <c r="Y80" i="6"/>
  <c r="AB80" i="6" s="1"/>
  <c r="B135" i="10"/>
  <c r="AG166" i="6"/>
  <c r="Y166" i="6"/>
  <c r="AB166" i="6" s="1"/>
  <c r="AX166" i="6"/>
  <c r="AC137" i="12" s="1"/>
  <c r="AB55" i="12"/>
  <c r="AC53" i="5"/>
  <c r="AC154" i="5"/>
  <c r="AC42" i="5"/>
  <c r="Z110" i="6"/>
  <c r="AC74" i="5"/>
  <c r="AC161" i="5"/>
  <c r="Z101" i="6"/>
  <c r="AC56" i="5"/>
  <c r="AC127" i="5"/>
  <c r="AX115" i="6"/>
  <c r="AG115" i="6"/>
  <c r="Y115" i="6"/>
  <c r="AB115" i="6" s="1"/>
  <c r="B84" i="10"/>
  <c r="Y106" i="6"/>
  <c r="AB106" i="6" s="1"/>
  <c r="B75" i="10"/>
  <c r="AX106" i="6"/>
  <c r="AG106" i="6"/>
  <c r="AF58" i="12"/>
  <c r="Z129" i="6"/>
  <c r="AG117" i="12"/>
  <c r="B115" i="10"/>
  <c r="AG146" i="6"/>
  <c r="AX146" i="6"/>
  <c r="AC117" i="12" s="1"/>
  <c r="Y146" i="6"/>
  <c r="AB146" i="6" s="1"/>
  <c r="AF130" i="12"/>
  <c r="Z159" i="6"/>
  <c r="AX70" i="6"/>
  <c r="B39" i="10"/>
  <c r="AG70" i="6"/>
  <c r="Y70" i="6"/>
  <c r="AB70" i="6" s="1"/>
  <c r="Z98" i="6"/>
  <c r="AB147" i="12"/>
  <c r="AG152" i="12"/>
  <c r="B150" i="10"/>
  <c r="AG181" i="6"/>
  <c r="Y181" i="6"/>
  <c r="AB181" i="6" s="1"/>
  <c r="AX181" i="6"/>
  <c r="AC152" i="12" s="1"/>
  <c r="Z128" i="6"/>
  <c r="AB143" i="12"/>
  <c r="B154" i="10"/>
  <c r="AG185" i="6"/>
  <c r="AX185" i="6"/>
  <c r="AC156" i="12" s="1"/>
  <c r="Y185" i="6"/>
  <c r="AB185" i="6" s="1"/>
  <c r="AB144" i="12"/>
  <c r="AG90" i="12"/>
  <c r="W21" i="1"/>
  <c r="W22" i="1"/>
  <c r="W23" i="1"/>
  <c r="Z42" i="6"/>
  <c r="B38" i="10"/>
  <c r="Y69" i="6"/>
  <c r="AB69" i="6" s="1"/>
  <c r="AG69" i="6"/>
  <c r="AX69" i="6"/>
  <c r="AG135" i="12"/>
  <c r="AX164" i="6"/>
  <c r="AC135" i="12" s="1"/>
  <c r="B133" i="10"/>
  <c r="Y164" i="6"/>
  <c r="AB164" i="6" s="1"/>
  <c r="AG164" i="6"/>
  <c r="AX53" i="6"/>
  <c r="B22" i="10"/>
  <c r="Y53" i="6"/>
  <c r="AB53" i="6" s="1"/>
  <c r="AG53" i="6"/>
  <c r="Z89" i="6"/>
  <c r="AX170" i="6"/>
  <c r="AC141" i="12" s="1"/>
  <c r="AG170" i="6"/>
  <c r="Y170" i="6"/>
  <c r="AB170" i="6" s="1"/>
  <c r="B139" i="10"/>
  <c r="Z90" i="6"/>
  <c r="AF70" i="12"/>
  <c r="AG46" i="12"/>
  <c r="AX75" i="6"/>
  <c r="Y75" i="6"/>
  <c r="AB75" i="6" s="1"/>
  <c r="AG75" i="6"/>
  <c r="B44" i="10"/>
  <c r="R109" i="1"/>
  <c r="R110" i="1"/>
  <c r="R111" i="1"/>
  <c r="S15" i="1"/>
  <c r="S13" i="1"/>
  <c r="S14" i="1"/>
  <c r="R53" i="1"/>
  <c r="R55" i="1"/>
  <c r="R54" i="1"/>
  <c r="R85" i="1"/>
  <c r="R87" i="1"/>
  <c r="R86" i="1"/>
  <c r="AC90" i="5"/>
  <c r="Z109" i="6"/>
  <c r="AC136" i="5"/>
  <c r="AG128" i="12"/>
  <c r="Y157" i="6"/>
  <c r="AB157" i="6" s="1"/>
  <c r="AX157" i="6"/>
  <c r="AC128" i="12" s="1"/>
  <c r="AG157" i="6"/>
  <c r="B126" i="10"/>
  <c r="Z108" i="6"/>
  <c r="Y50" i="6"/>
  <c r="AB50" i="6" s="1"/>
  <c r="AG50" i="6"/>
  <c r="AX50" i="6"/>
  <c r="B19" i="10"/>
  <c r="AC116" i="5"/>
  <c r="AG125" i="12"/>
  <c r="B123" i="10"/>
  <c r="Y154" i="6"/>
  <c r="AB154" i="6" s="1"/>
  <c r="AG154" i="6"/>
  <c r="AX154" i="6"/>
  <c r="AC125" i="12" s="1"/>
  <c r="AC41" i="5"/>
  <c r="Z88" i="6"/>
  <c r="AC79" i="5"/>
  <c r="AX72" i="6"/>
  <c r="AG72" i="6"/>
  <c r="B41" i="10"/>
  <c r="Y72" i="6"/>
  <c r="AB72" i="6" s="1"/>
  <c r="Z169" i="6"/>
  <c r="AG68" i="12"/>
  <c r="AX143" i="6"/>
  <c r="AC114" i="12" s="1"/>
  <c r="AG143" i="6"/>
  <c r="Y143" i="6"/>
  <c r="AB143" i="6" s="1"/>
  <c r="B112" i="10"/>
  <c r="Z167" i="6"/>
  <c r="Y124" i="6"/>
  <c r="AB124" i="6" s="1"/>
  <c r="B93" i="10"/>
  <c r="AX124" i="6"/>
  <c r="AG124" i="6"/>
  <c r="Z106" i="6"/>
  <c r="AG129" i="6"/>
  <c r="Y129" i="6"/>
  <c r="AB129" i="6" s="1"/>
  <c r="B98" i="10"/>
  <c r="AX129" i="6"/>
  <c r="AF117" i="12"/>
  <c r="Z146" i="6"/>
  <c r="AG11" i="12"/>
  <c r="AG97" i="12"/>
  <c r="AX126" i="6"/>
  <c r="AG126" i="6"/>
  <c r="Y126" i="6"/>
  <c r="AB126" i="6" s="1"/>
  <c r="B95" i="10"/>
  <c r="AX152" i="6"/>
  <c r="AC123" i="12" s="1"/>
  <c r="Y152" i="6"/>
  <c r="AB152" i="6" s="1"/>
  <c r="B121" i="10"/>
  <c r="AG152" i="6"/>
  <c r="AF152" i="12"/>
  <c r="Z181" i="6"/>
  <c r="Z79" i="6"/>
  <c r="B127" i="10"/>
  <c r="AX158" i="6"/>
  <c r="AC129" i="12" s="1"/>
  <c r="AG158" i="6"/>
  <c r="Y158" i="6"/>
  <c r="AB158" i="6" s="1"/>
  <c r="AF109" i="12"/>
  <c r="AG118" i="12"/>
  <c r="Y147" i="6"/>
  <c r="AB147" i="6" s="1"/>
  <c r="B116" i="10"/>
  <c r="AX147" i="6"/>
  <c r="AC118" i="12" s="1"/>
  <c r="AG147" i="6"/>
  <c r="AB146" i="12"/>
  <c r="AF62" i="12"/>
  <c r="Z91" i="6"/>
  <c r="AC58" i="5"/>
  <c r="AG112" i="6"/>
  <c r="Y112" i="6"/>
  <c r="AB112" i="6" s="1"/>
  <c r="B81" i="10"/>
  <c r="AX112" i="6"/>
  <c r="Z180" i="6"/>
  <c r="AG42" i="12"/>
  <c r="AX89" i="6"/>
  <c r="Y89" i="6"/>
  <c r="AB89" i="6" s="1"/>
  <c r="B58" i="10"/>
  <c r="AG89" i="6"/>
  <c r="AC123" i="5"/>
  <c r="Z132" i="6"/>
  <c r="AC80" i="5"/>
  <c r="AC86" i="5"/>
  <c r="S93" i="1"/>
  <c r="S95" i="1"/>
  <c r="S94" i="1"/>
  <c r="R181" i="1"/>
  <c r="R182" i="1"/>
  <c r="R183" i="1"/>
  <c r="R62" i="1"/>
  <c r="R63" i="1"/>
  <c r="R61" i="1"/>
  <c r="S175" i="1"/>
  <c r="S173" i="1"/>
  <c r="S174" i="1"/>
  <c r="S79" i="1"/>
  <c r="S78" i="1"/>
  <c r="S77" i="1"/>
  <c r="S119" i="1"/>
  <c r="S118" i="1"/>
  <c r="S117" i="1"/>
  <c r="R103" i="1"/>
  <c r="R101" i="1"/>
  <c r="R102" i="1"/>
  <c r="S85" i="1"/>
  <c r="S86" i="1"/>
  <c r="S87" i="1"/>
  <c r="AC152" i="5"/>
  <c r="B90" i="10"/>
  <c r="AG121" i="6"/>
  <c r="AX121" i="6"/>
  <c r="Y121" i="6"/>
  <c r="AB121" i="6" s="1"/>
  <c r="AC187" i="5"/>
  <c r="AC171" i="5"/>
  <c r="AF74" i="12"/>
  <c r="Z103" i="6"/>
  <c r="Y109" i="6"/>
  <c r="AB109" i="6" s="1"/>
  <c r="AX109" i="6"/>
  <c r="B78" i="10"/>
  <c r="AG109" i="6"/>
  <c r="AC97" i="5"/>
  <c r="AF16" i="12"/>
  <c r="Z45" i="6"/>
  <c r="Z80" i="6"/>
  <c r="AG59" i="12"/>
  <c r="Y88" i="6"/>
  <c r="AB88" i="6" s="1"/>
  <c r="AX88" i="6"/>
  <c r="AG88" i="6"/>
  <c r="B57" i="10"/>
  <c r="AF45" i="12"/>
  <c r="AF22" i="12"/>
  <c r="Z43" i="6"/>
  <c r="AC126" i="5"/>
  <c r="AF148" i="12"/>
  <c r="AC92" i="5"/>
  <c r="AG49" i="12"/>
  <c r="Z52" i="6"/>
  <c r="AC50" i="5"/>
  <c r="AF71" i="12"/>
  <c r="AF98" i="12"/>
  <c r="AB54" i="12"/>
  <c r="Z94" i="6"/>
  <c r="Y167" i="6"/>
  <c r="AB167" i="6" s="1"/>
  <c r="B136" i="10"/>
  <c r="AX167" i="6"/>
  <c r="AC138" i="12" s="1"/>
  <c r="AG167" i="6"/>
  <c r="Z115" i="6"/>
  <c r="Z93" i="6"/>
  <c r="AX102" i="6"/>
  <c r="B71" i="10"/>
  <c r="Y102" i="6"/>
  <c r="AB102" i="6" s="1"/>
  <c r="AG102" i="6"/>
  <c r="Z124" i="6"/>
  <c r="Z168" i="6"/>
  <c r="Z46" i="6"/>
  <c r="Y39" i="6"/>
  <c r="AB39" i="6" s="1"/>
  <c r="AA16" i="6"/>
  <c r="B8" i="10"/>
  <c r="AG119" i="12"/>
  <c r="AX148" i="6"/>
  <c r="AC119" i="12" s="1"/>
  <c r="B117" i="10"/>
  <c r="Y148" i="6"/>
  <c r="AB148" i="6" s="1"/>
  <c r="AG148" i="6"/>
  <c r="Z126" i="6"/>
  <c r="AG98" i="6"/>
  <c r="B67" i="10"/>
  <c r="AX98" i="6"/>
  <c r="Y98" i="6"/>
  <c r="AB98" i="6" s="1"/>
  <c r="Z152" i="6"/>
  <c r="AX128" i="6"/>
  <c r="B97" i="10"/>
  <c r="Y128" i="6"/>
  <c r="AB128" i="6" s="1"/>
  <c r="AG128" i="6"/>
  <c r="AF26" i="12"/>
  <c r="Z55" i="6"/>
  <c r="AF118" i="12"/>
  <c r="Z147" i="6"/>
  <c r="AF135" i="12"/>
  <c r="Z164" i="6"/>
  <c r="AG62" i="12"/>
  <c r="Y91" i="6"/>
  <c r="AB91" i="6" s="1"/>
  <c r="AX91" i="6"/>
  <c r="AG91" i="6"/>
  <c r="B60" i="10"/>
  <c r="Z107" i="6"/>
  <c r="AF15" i="12"/>
  <c r="AB56" i="12"/>
  <c r="Z131" i="6"/>
  <c r="AP16" i="1"/>
  <c r="AP8" i="1"/>
  <c r="AP5" i="1"/>
  <c r="AP19" i="1"/>
  <c r="AP12" i="1"/>
  <c r="AP10" i="1"/>
  <c r="AP17" i="1"/>
  <c r="AP6" i="1"/>
  <c r="AP14" i="1"/>
  <c r="AP18" i="1"/>
  <c r="AP20" i="1"/>
  <c r="AP7" i="1"/>
  <c r="AP11" i="1"/>
  <c r="AP9" i="1"/>
  <c r="AP13" i="1"/>
  <c r="AP15" i="1"/>
  <c r="AC191" i="5"/>
  <c r="Z118" i="6"/>
  <c r="AG27" i="12"/>
  <c r="R78" i="1"/>
  <c r="R79" i="1"/>
  <c r="R77" i="1"/>
  <c r="S133" i="1"/>
  <c r="S134" i="1"/>
  <c r="S135" i="1"/>
  <c r="R14" i="1"/>
  <c r="R13" i="1"/>
  <c r="R15" i="1"/>
  <c r="R165" i="1"/>
  <c r="R166" i="1"/>
  <c r="R167" i="1"/>
  <c r="Z121" i="6"/>
  <c r="AG74" i="12"/>
  <c r="B72" i="10"/>
  <c r="AX103" i="6"/>
  <c r="Y103" i="6"/>
  <c r="AB103" i="6" s="1"/>
  <c r="AG103" i="6"/>
  <c r="AC111" i="5"/>
  <c r="AC168" i="5"/>
  <c r="AG85" i="12"/>
  <c r="AC115" i="5"/>
  <c r="AG93" i="12"/>
  <c r="AG84" i="12"/>
  <c r="AF82" i="12"/>
  <c r="Y45" i="6"/>
  <c r="AB45" i="6" s="1"/>
  <c r="AX45" i="6"/>
  <c r="B14" i="10"/>
  <c r="AG45" i="6"/>
  <c r="AC122" i="5"/>
  <c r="AF153" i="12"/>
  <c r="Z182" i="6"/>
  <c r="AC163" i="5"/>
  <c r="AF125" i="12"/>
  <c r="Z154" i="6"/>
  <c r="AX160" i="6"/>
  <c r="AC131" i="12" s="1"/>
  <c r="B129" i="10"/>
  <c r="AG160" i="6"/>
  <c r="Y160" i="6"/>
  <c r="AB160" i="6" s="1"/>
  <c r="AG45" i="12"/>
  <c r="AG14" i="12"/>
  <c r="B12" i="10"/>
  <c r="AG43" i="6"/>
  <c r="Y43" i="6"/>
  <c r="AB43" i="6" s="1"/>
  <c r="AX43" i="6"/>
  <c r="AC162" i="5"/>
  <c r="AC93" i="5"/>
  <c r="Z72" i="6"/>
  <c r="Y52" i="6"/>
  <c r="AB52" i="6" s="1"/>
  <c r="AG52" i="6"/>
  <c r="B21" i="10"/>
  <c r="AX52" i="6"/>
  <c r="AG169" i="6"/>
  <c r="AX169" i="6"/>
  <c r="AC140" i="12" s="1"/>
  <c r="Y169" i="6"/>
  <c r="AB169" i="6" s="1"/>
  <c r="B138" i="10"/>
  <c r="AF110" i="12"/>
  <c r="Z97" i="6"/>
  <c r="AG48" i="12"/>
  <c r="AC145" i="5"/>
  <c r="B63" i="10"/>
  <c r="AX94" i="6"/>
  <c r="AG94" i="6"/>
  <c r="Y94" i="6"/>
  <c r="AB94" i="6" s="1"/>
  <c r="Z143" i="6"/>
  <c r="AC153" i="5"/>
  <c r="B99" i="10"/>
  <c r="AX130" i="6"/>
  <c r="Y130" i="6"/>
  <c r="AB130" i="6" s="1"/>
  <c r="AG130" i="6"/>
  <c r="AG104" i="12"/>
  <c r="AG133" i="6"/>
  <c r="B102" i="10"/>
  <c r="Y133" i="6"/>
  <c r="AB133" i="6" s="1"/>
  <c r="AX133" i="6"/>
  <c r="AG96" i="12"/>
  <c r="AB52" i="12"/>
  <c r="AG127" i="12"/>
  <c r="Y156" i="6"/>
  <c r="AB156" i="6" s="1"/>
  <c r="B125" i="10"/>
  <c r="AG156" i="6"/>
  <c r="AX156" i="6"/>
  <c r="AC127" i="12" s="1"/>
  <c r="AG47" i="6"/>
  <c r="AX47" i="6"/>
  <c r="B16" i="10"/>
  <c r="Y47" i="6"/>
  <c r="AB47" i="6" s="1"/>
  <c r="AG150" i="12"/>
  <c r="Z39" i="6"/>
  <c r="Z40" i="6"/>
  <c r="AD11" i="12"/>
  <c r="Z123" i="6"/>
  <c r="AF157" i="12"/>
  <c r="AF119" i="12"/>
  <c r="Z148" i="6"/>
  <c r="Y54" i="6"/>
  <c r="AB54" i="6" s="1"/>
  <c r="AX54" i="6"/>
  <c r="B23" i="10"/>
  <c r="AG54" i="6"/>
  <c r="AG149" i="12"/>
  <c r="Y55" i="6"/>
  <c r="AB55" i="6" s="1"/>
  <c r="AX55" i="6"/>
  <c r="AG55" i="6"/>
  <c r="B24" i="10"/>
  <c r="AG12" i="12"/>
  <c r="AB145" i="12"/>
  <c r="Z119" i="6"/>
  <c r="Z158" i="6"/>
  <c r="AC160" i="5"/>
  <c r="AF124" i="12"/>
  <c r="Z153" i="6"/>
  <c r="AX49" i="6"/>
  <c r="B18" i="10"/>
  <c r="AG49" i="6"/>
  <c r="Y49" i="6"/>
  <c r="AB49" i="6" s="1"/>
  <c r="AC185" i="5"/>
  <c r="AC39" i="5"/>
  <c r="Z71" i="6"/>
  <c r="AG87" i="12"/>
  <c r="AX107" i="6"/>
  <c r="AG107" i="6"/>
  <c r="B76" i="10"/>
  <c r="Y107" i="6"/>
  <c r="AB107" i="6" s="1"/>
  <c r="AC95" i="5"/>
  <c r="Y99" i="6"/>
  <c r="AB99" i="6" s="1"/>
  <c r="AG99" i="6"/>
  <c r="AX99" i="6"/>
  <c r="B68" i="10"/>
  <c r="AC174" i="5"/>
  <c r="AC87" i="5"/>
  <c r="B87" i="10"/>
  <c r="AG118" i="6"/>
  <c r="AX118" i="6"/>
  <c r="Y118" i="6"/>
  <c r="AB118" i="6" s="1"/>
  <c r="AG67" i="12"/>
  <c r="AF27" i="12"/>
  <c r="R174" i="1"/>
  <c r="R173" i="1"/>
  <c r="R175" i="1"/>
  <c r="S30" i="1"/>
  <c r="S29" i="1"/>
  <c r="S31" i="1"/>
  <c r="S166" i="1"/>
  <c r="S167" i="1"/>
  <c r="S165" i="1"/>
  <c r="R6" i="1"/>
  <c r="R7" i="1"/>
  <c r="R5" i="1"/>
  <c r="AB142" i="12"/>
  <c r="Z92" i="6"/>
  <c r="AC114" i="5"/>
  <c r="AC164" i="5"/>
  <c r="AG108" i="12"/>
  <c r="AF85" i="12"/>
  <c r="AF93" i="12"/>
  <c r="Z113" i="6"/>
  <c r="AG95" i="6"/>
  <c r="B64" i="10"/>
  <c r="Y95" i="6"/>
  <c r="AB95" i="6" s="1"/>
  <c r="AX95" i="6"/>
  <c r="AG153" i="12"/>
  <c r="B151" i="10"/>
  <c r="AG182" i="6"/>
  <c r="AX182" i="6"/>
  <c r="AC153" i="12" s="1"/>
  <c r="Y182" i="6"/>
  <c r="AB182" i="6" s="1"/>
  <c r="AC75" i="5"/>
  <c r="AF88" i="12"/>
  <c r="Z160" i="6"/>
  <c r="B20" i="10"/>
  <c r="Y51" i="6"/>
  <c r="AB51" i="6" s="1"/>
  <c r="AG51" i="6"/>
  <c r="AX51" i="6"/>
  <c r="AG177" i="6"/>
  <c r="Y177" i="6"/>
  <c r="AB177" i="6" s="1"/>
  <c r="AX177" i="6"/>
  <c r="AC148" i="12" s="1"/>
  <c r="B146" i="10"/>
  <c r="AC128" i="5"/>
  <c r="AG105" i="6"/>
  <c r="Y105" i="6"/>
  <c r="AB105" i="6" s="1"/>
  <c r="AX105" i="6"/>
  <c r="B74" i="10"/>
  <c r="AC38" i="5"/>
  <c r="Z78" i="6"/>
  <c r="AG75" i="12"/>
  <c r="AX100" i="6"/>
  <c r="Y100" i="6"/>
  <c r="AB100" i="6" s="1"/>
  <c r="AG100" i="6"/>
  <c r="B69" i="10"/>
  <c r="B96" i="10"/>
  <c r="Y127" i="6"/>
  <c r="AB127" i="6" s="1"/>
  <c r="AG127" i="6"/>
  <c r="AX127" i="6"/>
  <c r="AX139" i="6"/>
  <c r="AC110" i="12" s="1"/>
  <c r="B108" i="10"/>
  <c r="Y139" i="6"/>
  <c r="AB139" i="6" s="1"/>
  <c r="AG139" i="6"/>
  <c r="AF48" i="12"/>
  <c r="AG72" i="12"/>
  <c r="AC84" i="5"/>
  <c r="AF101" i="12"/>
  <c r="Z130" i="6"/>
  <c r="Z133" i="6"/>
  <c r="C53" i="10" l="1"/>
  <c r="C50" i="10"/>
  <c r="C52" i="10"/>
  <c r="C55" i="10"/>
  <c r="C51" i="10"/>
  <c r="C54" i="10"/>
  <c r="AY171" i="6"/>
  <c r="AY175" i="6"/>
  <c r="AY174" i="6"/>
  <c r="AD145" i="12" s="1"/>
  <c r="AY176" i="6"/>
  <c r="AY173" i="6"/>
  <c r="AY172" i="6"/>
  <c r="AD143" i="12" s="1"/>
  <c r="AP50" i="1"/>
  <c r="AP49" i="1"/>
  <c r="AP47" i="1"/>
  <c r="AP52" i="1"/>
  <c r="AP48" i="1"/>
  <c r="AP46" i="1"/>
  <c r="AP45" i="1"/>
  <c r="AP51" i="1"/>
  <c r="AP38" i="1"/>
  <c r="AP41" i="1"/>
  <c r="AP40" i="1"/>
  <c r="AP43" i="1"/>
  <c r="AP44" i="1"/>
  <c r="AP42" i="1"/>
  <c r="AP39" i="1"/>
  <c r="AP37" i="1"/>
  <c r="AZ182" i="6"/>
  <c r="AD154" i="12"/>
  <c r="X159" i="12" s="1"/>
  <c r="AZ188" i="6"/>
  <c r="AZ170" i="6"/>
  <c r="AY85" i="6"/>
  <c r="AD56" i="12" s="1"/>
  <c r="AY84" i="6"/>
  <c r="AD55" i="12" s="1"/>
  <c r="AY81" i="6"/>
  <c r="AY82" i="6"/>
  <c r="AD53" i="12" s="1"/>
  <c r="AY83" i="6"/>
  <c r="AD54" i="12" s="1"/>
  <c r="AY86" i="6"/>
  <c r="AD57" i="12" s="1"/>
  <c r="K172" i="12"/>
  <c r="L173" i="12"/>
  <c r="Z169" i="12"/>
  <c r="Z170" i="12"/>
  <c r="L171" i="12"/>
  <c r="L172" i="12"/>
  <c r="AP21" i="1"/>
  <c r="AC66" i="12"/>
  <c r="AC104" i="12"/>
  <c r="AC69" i="12"/>
  <c r="AC103" i="12"/>
  <c r="AG57" i="12"/>
  <c r="AF56" i="12"/>
  <c r="AC62" i="12"/>
  <c r="AC60" i="12"/>
  <c r="AC100" i="12"/>
  <c r="AC95" i="12"/>
  <c r="AC77" i="12"/>
  <c r="AC79" i="12"/>
  <c r="AC72" i="12"/>
  <c r="AC94" i="12"/>
  <c r="AC102" i="12"/>
  <c r="AQ19" i="1"/>
  <c r="AC76" i="12"/>
  <c r="AC22" i="12"/>
  <c r="AC25" i="12"/>
  <c r="AC16" i="12"/>
  <c r="AQ20" i="1"/>
  <c r="AG56" i="12"/>
  <c r="AC97" i="12"/>
  <c r="AC43" i="12"/>
  <c r="AC41" i="12"/>
  <c r="AC61" i="12"/>
  <c r="AC12" i="12"/>
  <c r="AC85" i="12"/>
  <c r="AC48" i="12"/>
  <c r="AC20" i="12"/>
  <c r="AC23" i="12"/>
  <c r="AQ18" i="1"/>
  <c r="AC99" i="12"/>
  <c r="AF54" i="12"/>
  <c r="AC80" i="12"/>
  <c r="AC91" i="12"/>
  <c r="AC19" i="12"/>
  <c r="AC88" i="12"/>
  <c r="AC105" i="12"/>
  <c r="AG53" i="12"/>
  <c r="AG52" i="12"/>
  <c r="AC14" i="12"/>
  <c r="AQ16" i="1"/>
  <c r="AC73" i="12"/>
  <c r="AC92" i="12"/>
  <c r="AC40" i="12"/>
  <c r="AC17" i="12"/>
  <c r="AC63" i="12"/>
  <c r="AC90" i="12"/>
  <c r="AC96" i="12"/>
  <c r="AC98" i="12"/>
  <c r="AC26" i="12"/>
  <c r="AC18" i="12"/>
  <c r="AC74" i="12"/>
  <c r="AG55" i="12"/>
  <c r="AC51" i="12"/>
  <c r="AC13" i="12"/>
  <c r="AC67" i="12"/>
  <c r="AC47" i="12"/>
  <c r="AC68" i="12"/>
  <c r="AC89" i="12"/>
  <c r="AC78" i="12"/>
  <c r="AF52" i="12"/>
  <c r="AQ17" i="1"/>
  <c r="AC10" i="12"/>
  <c r="AC59" i="12"/>
  <c r="AC83" i="12"/>
  <c r="AC46" i="12"/>
  <c r="AC24" i="12"/>
  <c r="AC44" i="12"/>
  <c r="AC50" i="12"/>
  <c r="AC81" i="12"/>
  <c r="AC93" i="12"/>
  <c r="AC87" i="12"/>
  <c r="AC15" i="12"/>
  <c r="AC64" i="12"/>
  <c r="AC49" i="12"/>
  <c r="AC84" i="12"/>
  <c r="AC27" i="12"/>
  <c r="AC42" i="12"/>
  <c r="AC58" i="12"/>
  <c r="AC71" i="12"/>
  <c r="AC70" i="12"/>
  <c r="AC101" i="12"/>
  <c r="AC65" i="12"/>
  <c r="AC21" i="12"/>
  <c r="AC86" i="12"/>
  <c r="AC45" i="12"/>
  <c r="AC82" i="12"/>
  <c r="AC75" i="12"/>
  <c r="AC11" i="12"/>
  <c r="AP25" i="1"/>
  <c r="AP62" i="1"/>
  <c r="AP139" i="1"/>
  <c r="AP165" i="1"/>
  <c r="AP94" i="1"/>
  <c r="AP24" i="1"/>
  <c r="AP140" i="1"/>
  <c r="AP70" i="1"/>
  <c r="AP26" i="1"/>
  <c r="AP187" i="1"/>
  <c r="AP22" i="1"/>
  <c r="AP23" i="1"/>
  <c r="AP210" i="1"/>
  <c r="AP68" i="1"/>
  <c r="AP53" i="1"/>
  <c r="AP188" i="1"/>
  <c r="AP158" i="1"/>
  <c r="AP177" i="1"/>
  <c r="AP174" i="1"/>
  <c r="AP120" i="1"/>
  <c r="AP93" i="1"/>
  <c r="AP28" i="1"/>
  <c r="AP142" i="1"/>
  <c r="AP180" i="1"/>
  <c r="AP99" i="1"/>
  <c r="AP58" i="1"/>
  <c r="AP135" i="1"/>
  <c r="AP129" i="1"/>
  <c r="AP67" i="1"/>
  <c r="AP141" i="1"/>
  <c r="AP77" i="1"/>
  <c r="AP157" i="1"/>
  <c r="AP33" i="1"/>
  <c r="AP161" i="1"/>
  <c r="AP166" i="1"/>
  <c r="AP61" i="1"/>
  <c r="AP32" i="1"/>
  <c r="AP167" i="1"/>
  <c r="AP110" i="1"/>
  <c r="AP102" i="1"/>
  <c r="AP82" i="1"/>
  <c r="AP197" i="1"/>
  <c r="AP56" i="1"/>
  <c r="AP143" i="1"/>
  <c r="AP211" i="1"/>
  <c r="AP76" i="1"/>
  <c r="AP101" i="1"/>
  <c r="AP144" i="1"/>
  <c r="AP57" i="1"/>
  <c r="AP31" i="1"/>
  <c r="AP71" i="1"/>
  <c r="AP81" i="1"/>
  <c r="AP136" i="1"/>
  <c r="AP118" i="1"/>
  <c r="AP96" i="1"/>
  <c r="AP185" i="1"/>
  <c r="AP162" i="1"/>
  <c r="AP201" i="1"/>
  <c r="AP148" i="1"/>
  <c r="AP131" i="1"/>
  <c r="AP29" i="1"/>
  <c r="AP160" i="1"/>
  <c r="AP64" i="1"/>
  <c r="AP169" i="1"/>
  <c r="AP208" i="1"/>
  <c r="AP92" i="1"/>
  <c r="AP172" i="1"/>
  <c r="AP182" i="1"/>
  <c r="AP198" i="1"/>
  <c r="AP66" i="1"/>
  <c r="AP72" i="1"/>
  <c r="AP122" i="1"/>
  <c r="AP146" i="1"/>
  <c r="AP133" i="1"/>
  <c r="AP27" i="1"/>
  <c r="AP117" i="1"/>
  <c r="AP100" i="1"/>
  <c r="AP204" i="1"/>
  <c r="AP200" i="1"/>
  <c r="AP116" i="1"/>
  <c r="AP36" i="1"/>
  <c r="AP97" i="1"/>
  <c r="AP74" i="1"/>
  <c r="AP128" i="1"/>
  <c r="AP179" i="1"/>
  <c r="AP202" i="1"/>
  <c r="AP83" i="1"/>
  <c r="AP113" i="1"/>
  <c r="AP156" i="1"/>
  <c r="AP109" i="1"/>
  <c r="AP69" i="1"/>
  <c r="AP87" i="1"/>
  <c r="AP168" i="1"/>
  <c r="AP104" i="1"/>
  <c r="AP164" i="1"/>
  <c r="AP125" i="1"/>
  <c r="AP186" i="1"/>
  <c r="AP119" i="1"/>
  <c r="AP203" i="1"/>
  <c r="AP59" i="1"/>
  <c r="AP184" i="1"/>
  <c r="AP54" i="1"/>
  <c r="AP55" i="1"/>
  <c r="AP103" i="1"/>
  <c r="AP199" i="1"/>
  <c r="AP154" i="1"/>
  <c r="AP108" i="1"/>
  <c r="AP75" i="1"/>
  <c r="AP191" i="1"/>
  <c r="AP132" i="1"/>
  <c r="AP34" i="1"/>
  <c r="AP163" i="1"/>
  <c r="AP212" i="1"/>
  <c r="AP127" i="1"/>
  <c r="AP60" i="1"/>
  <c r="AP130" i="1"/>
  <c r="AP205" i="1"/>
  <c r="AP124" i="1"/>
  <c r="AP195" i="1"/>
  <c r="AP196" i="1"/>
  <c r="AP134" i="1"/>
  <c r="AP84" i="1"/>
  <c r="AP112" i="1"/>
  <c r="AP30" i="1"/>
  <c r="AP209" i="1"/>
  <c r="AP86" i="1"/>
  <c r="AP63" i="1"/>
  <c r="AP170" i="1"/>
  <c r="AP89" i="1"/>
  <c r="AP159" i="1"/>
  <c r="AP152" i="1"/>
  <c r="AP111" i="1"/>
  <c r="AP183" i="1"/>
  <c r="AP79" i="1"/>
  <c r="AP73" i="1"/>
  <c r="AP155" i="1"/>
  <c r="AP65" i="1"/>
  <c r="AP150" i="1"/>
  <c r="AP145" i="1"/>
  <c r="AP173" i="1"/>
  <c r="AP95" i="1"/>
  <c r="AP137" i="1"/>
  <c r="AP181" i="1"/>
  <c r="AP88" i="1"/>
  <c r="AP190" i="1"/>
  <c r="AP207" i="1"/>
  <c r="AP90" i="1"/>
  <c r="AP78" i="1"/>
  <c r="AP85" i="1"/>
  <c r="AP178" i="1"/>
  <c r="AP80" i="1"/>
  <c r="AP114" i="1"/>
  <c r="AP138" i="1"/>
  <c r="AP91" i="1"/>
  <c r="AP206" i="1"/>
  <c r="AP151" i="1"/>
  <c r="AP192" i="1"/>
  <c r="AP175" i="1"/>
  <c r="AP189" i="1"/>
  <c r="AP98" i="1"/>
  <c r="AP171" i="1"/>
  <c r="AP35" i="1"/>
  <c r="AP107" i="1"/>
  <c r="AP126" i="1"/>
  <c r="AP149" i="1"/>
  <c r="AP194" i="1"/>
  <c r="AP106" i="1"/>
  <c r="AP176" i="1"/>
  <c r="AP115" i="1"/>
  <c r="AP153" i="1"/>
  <c r="AP121" i="1"/>
  <c r="AP193" i="1"/>
  <c r="AP123" i="1"/>
  <c r="AP147" i="1"/>
  <c r="AP105" i="1"/>
  <c r="AQ11" i="1"/>
  <c r="D10" i="12"/>
  <c r="T138" i="12"/>
  <c r="AX83" i="6"/>
  <c r="AG83" i="6"/>
  <c r="B52" i="10"/>
  <c r="Y83" i="6"/>
  <c r="AB83" i="6" s="1"/>
  <c r="T92" i="12"/>
  <c r="Y173" i="6"/>
  <c r="AB173" i="6" s="1"/>
  <c r="AG173" i="6"/>
  <c r="AX173" i="6"/>
  <c r="AC144" i="12" s="1"/>
  <c r="B142" i="10"/>
  <c r="AI115" i="6"/>
  <c r="AE86" i="12" s="1"/>
  <c r="AH115" i="6"/>
  <c r="D84" i="10" s="1"/>
  <c r="E84" i="10"/>
  <c r="AI180" i="6"/>
  <c r="AE151" i="12" s="1"/>
  <c r="E149" i="10"/>
  <c r="AH180" i="6"/>
  <c r="D149" i="10" s="1"/>
  <c r="AD185" i="6"/>
  <c r="V156" i="12" s="1"/>
  <c r="AC185" i="6"/>
  <c r="U156" i="12" s="1"/>
  <c r="T81" i="12"/>
  <c r="T72" i="12"/>
  <c r="T63" i="12"/>
  <c r="E109" i="10"/>
  <c r="AI140" i="6"/>
  <c r="AE111" i="12" s="1"/>
  <c r="AH140" i="6"/>
  <c r="D109" i="10" s="1"/>
  <c r="E106" i="10"/>
  <c r="AI137" i="6"/>
  <c r="AE108" i="12" s="1"/>
  <c r="AH137" i="6"/>
  <c r="D106" i="10" s="1"/>
  <c r="AC99" i="6"/>
  <c r="U70" i="12" s="1"/>
  <c r="AD99" i="6"/>
  <c r="V70" i="12" s="1"/>
  <c r="T76" i="12"/>
  <c r="T78" i="12"/>
  <c r="AC158" i="6"/>
  <c r="U129" i="12" s="1"/>
  <c r="AD158" i="6"/>
  <c r="V129" i="12" s="1"/>
  <c r="AD94" i="12"/>
  <c r="X99" i="12" s="1"/>
  <c r="X128" i="6"/>
  <c r="T127" i="12"/>
  <c r="T140" i="12"/>
  <c r="AD72" i="6"/>
  <c r="V43" i="12" s="1"/>
  <c r="AC72" i="6"/>
  <c r="U43" i="12" s="1"/>
  <c r="AH45" i="6"/>
  <c r="D14" i="10" s="1"/>
  <c r="AI45" i="6"/>
  <c r="AE16" i="12" s="1"/>
  <c r="AB170" i="12" s="1"/>
  <c r="E14" i="10"/>
  <c r="AD121" i="6"/>
  <c r="V92" i="12" s="1"/>
  <c r="AC121" i="6"/>
  <c r="U92" i="12" s="1"/>
  <c r="D6" i="12"/>
  <c r="AQ7" i="1"/>
  <c r="T69" i="12"/>
  <c r="T119" i="12"/>
  <c r="T10" i="12"/>
  <c r="AC94" i="6"/>
  <c r="U65" i="12" s="1"/>
  <c r="AD94" i="6"/>
  <c r="V65" i="12" s="1"/>
  <c r="AH88" i="6"/>
  <c r="D57" i="10" s="1"/>
  <c r="E57" i="10"/>
  <c r="AI88" i="6"/>
  <c r="AE59" i="12" s="1"/>
  <c r="AD45" i="6"/>
  <c r="V16" i="12" s="1"/>
  <c r="AC45" i="6"/>
  <c r="U16" i="12" s="1"/>
  <c r="T80" i="12"/>
  <c r="AD91" i="6"/>
  <c r="V62" i="12" s="1"/>
  <c r="AC91" i="6"/>
  <c r="U62" i="12" s="1"/>
  <c r="E121" i="10"/>
  <c r="AH152" i="6"/>
  <c r="D121" i="10" s="1"/>
  <c r="AI152" i="6"/>
  <c r="AE123" i="12" s="1"/>
  <c r="T100" i="12"/>
  <c r="T95" i="12"/>
  <c r="AC108" i="6"/>
  <c r="U79" i="12" s="1"/>
  <c r="AD108" i="6"/>
  <c r="V79" i="12" s="1"/>
  <c r="AI53" i="6"/>
  <c r="AE24" i="12" s="1"/>
  <c r="AH53" i="6"/>
  <c r="D22" i="10" s="1"/>
  <c r="E22" i="10"/>
  <c r="Z173" i="6"/>
  <c r="AD144" i="12"/>
  <c r="Y172" i="6"/>
  <c r="AB172" i="6" s="1"/>
  <c r="AG172" i="6"/>
  <c r="B141" i="10"/>
  <c r="AX172" i="6"/>
  <c r="AC143" i="12" s="1"/>
  <c r="T41" i="12"/>
  <c r="T117" i="12"/>
  <c r="AC110" i="6"/>
  <c r="U81" i="12" s="1"/>
  <c r="AD110" i="6"/>
  <c r="V81" i="12" s="1"/>
  <c r="AX84" i="6"/>
  <c r="AG84" i="6"/>
  <c r="Y84" i="6"/>
  <c r="AB84" i="6" s="1"/>
  <c r="B53" i="10"/>
  <c r="AC157" i="6"/>
  <c r="U128" i="12" s="1"/>
  <c r="AD157" i="6"/>
  <c r="V128" i="12" s="1"/>
  <c r="AI132" i="6"/>
  <c r="AH132" i="6"/>
  <c r="D101" i="10" s="1"/>
  <c r="E101" i="10"/>
  <c r="AI110" i="6"/>
  <c r="AE81" i="12" s="1"/>
  <c r="E79" i="10"/>
  <c r="AH110" i="6"/>
  <c r="D79" i="10" s="1"/>
  <c r="AD50" i="6"/>
  <c r="V21" i="12" s="1"/>
  <c r="AC50" i="6"/>
  <c r="U21" i="12" s="1"/>
  <c r="AI122" i="6"/>
  <c r="AE93" i="12" s="1"/>
  <c r="AG174" i="12" s="1"/>
  <c r="AH122" i="6"/>
  <c r="D91" i="10" s="1"/>
  <c r="E91" i="10"/>
  <c r="AI48" i="6"/>
  <c r="AE19" i="12" s="1"/>
  <c r="AE170" i="12" s="1"/>
  <c r="E17" i="10"/>
  <c r="AH48" i="6"/>
  <c r="D17" i="10" s="1"/>
  <c r="T132" i="12"/>
  <c r="E86" i="10"/>
  <c r="AI117" i="6"/>
  <c r="AE88" i="12" s="1"/>
  <c r="AB174" i="12" s="1"/>
  <c r="AH117" i="6"/>
  <c r="D86" i="10" s="1"/>
  <c r="T136" i="12"/>
  <c r="T82" i="12"/>
  <c r="AD96" i="6"/>
  <c r="V67" i="12" s="1"/>
  <c r="AC96" i="6"/>
  <c r="U67" i="12" s="1"/>
  <c r="E113" i="10"/>
  <c r="AI144" i="6"/>
  <c r="AE115" i="12" s="1"/>
  <c r="AH144" i="6"/>
  <c r="D113" i="10" s="1"/>
  <c r="E13" i="10"/>
  <c r="AI44" i="6"/>
  <c r="AE15" i="12" s="1"/>
  <c r="AH44" i="6"/>
  <c r="D13" i="10" s="1"/>
  <c r="T105" i="12"/>
  <c r="E107" i="10"/>
  <c r="AH138" i="6"/>
  <c r="D107" i="10" s="1"/>
  <c r="AI138" i="6"/>
  <c r="AE109" i="12" s="1"/>
  <c r="AH76" i="6"/>
  <c r="D45" i="10" s="1"/>
  <c r="E45" i="10"/>
  <c r="AI76" i="6"/>
  <c r="AE47" i="12" s="1"/>
  <c r="T113" i="12"/>
  <c r="AD125" i="6"/>
  <c r="V96" i="12" s="1"/>
  <c r="AC125" i="6"/>
  <c r="U96" i="12" s="1"/>
  <c r="E46" i="10"/>
  <c r="AI77" i="6"/>
  <c r="AE48" i="12" s="1"/>
  <c r="AH77" i="6"/>
  <c r="D46" i="10" s="1"/>
  <c r="T49" i="12"/>
  <c r="AC51" i="6"/>
  <c r="U22" i="12" s="1"/>
  <c r="AD51" i="6"/>
  <c r="V22" i="12" s="1"/>
  <c r="T108" i="12"/>
  <c r="X104" i="6"/>
  <c r="AD70" i="12"/>
  <c r="X75" i="12" s="1"/>
  <c r="AC138" i="6"/>
  <c r="U109" i="12" s="1"/>
  <c r="AD138" i="6"/>
  <c r="V109" i="12" s="1"/>
  <c r="AD145" i="6"/>
  <c r="V116" i="12" s="1"/>
  <c r="AC145" i="6"/>
  <c r="U116" i="12" s="1"/>
  <c r="T139" i="12"/>
  <c r="AD87" i="6"/>
  <c r="V58" i="12" s="1"/>
  <c r="AC87" i="6"/>
  <c r="U58" i="12" s="1"/>
  <c r="T71" i="12"/>
  <c r="AH118" i="6"/>
  <c r="D87" i="10" s="1"/>
  <c r="AI118" i="6"/>
  <c r="AE89" i="12" s="1"/>
  <c r="AC174" i="12" s="1"/>
  <c r="E87" i="10"/>
  <c r="AD186" i="6"/>
  <c r="V157" i="12" s="1"/>
  <c r="AC186" i="6"/>
  <c r="U157" i="12" s="1"/>
  <c r="T115" i="12"/>
  <c r="AD148" i="12"/>
  <c r="X153" i="12" s="1"/>
  <c r="X182" i="6"/>
  <c r="AD47" i="6"/>
  <c r="V18" i="12" s="1"/>
  <c r="AC47" i="6"/>
  <c r="U18" i="12" s="1"/>
  <c r="AD75" i="6"/>
  <c r="V46" i="12" s="1"/>
  <c r="AC75" i="6"/>
  <c r="U46" i="12" s="1"/>
  <c r="AD82" i="12"/>
  <c r="X87" i="12" s="1"/>
  <c r="X116" i="6"/>
  <c r="E104" i="10"/>
  <c r="AI135" i="6"/>
  <c r="AE106" i="12" s="1"/>
  <c r="AH135" i="6"/>
  <c r="D104" i="10" s="1"/>
  <c r="T88" i="12"/>
  <c r="AH56" i="6"/>
  <c r="D25" i="10" s="1"/>
  <c r="AI56" i="6"/>
  <c r="AE27" i="12" s="1"/>
  <c r="E25" i="10"/>
  <c r="AH71" i="6"/>
  <c r="D40" i="10" s="1"/>
  <c r="AI71" i="6"/>
  <c r="AE42" i="12" s="1"/>
  <c r="AD171" i="12" s="1"/>
  <c r="E40" i="10"/>
  <c r="AD58" i="12"/>
  <c r="X63" i="12" s="1"/>
  <c r="X92" i="6"/>
  <c r="AI127" i="6"/>
  <c r="AE98" i="12" s="1"/>
  <c r="AH127" i="6"/>
  <c r="D96" i="10" s="1"/>
  <c r="E96" i="10"/>
  <c r="AI182" i="6"/>
  <c r="AE153" i="12" s="1"/>
  <c r="E151" i="10"/>
  <c r="AH182" i="6"/>
  <c r="D151" i="10" s="1"/>
  <c r="AD113" i="6"/>
  <c r="V84" i="12" s="1"/>
  <c r="AC113" i="6"/>
  <c r="U84" i="12" s="1"/>
  <c r="AQ8" i="1"/>
  <c r="D7" i="12"/>
  <c r="Z85" i="6"/>
  <c r="T99" i="12"/>
  <c r="AC46" i="6"/>
  <c r="U17" i="12" s="1"/>
  <c r="AD46" i="6"/>
  <c r="V17" i="12" s="1"/>
  <c r="AI102" i="6"/>
  <c r="AE73" i="12" s="1"/>
  <c r="AE173" i="12" s="1"/>
  <c r="E71" i="10"/>
  <c r="AH102" i="6"/>
  <c r="D71" i="10" s="1"/>
  <c r="AD115" i="6"/>
  <c r="V86" i="12" s="1"/>
  <c r="AC115" i="6"/>
  <c r="U86" i="12" s="1"/>
  <c r="T59" i="12"/>
  <c r="X50" i="6"/>
  <c r="AD16" i="12"/>
  <c r="X21" i="12" s="1"/>
  <c r="AD103" i="6"/>
  <c r="V74" i="12" s="1"/>
  <c r="AC103" i="6"/>
  <c r="U74" i="12" s="1"/>
  <c r="E58" i="10"/>
  <c r="AI89" i="6"/>
  <c r="AE60" i="12" s="1"/>
  <c r="AH89" i="6"/>
  <c r="D58" i="10" s="1"/>
  <c r="T118" i="12"/>
  <c r="T123" i="12"/>
  <c r="AC169" i="6"/>
  <c r="U140" i="12" s="1"/>
  <c r="AD169" i="6"/>
  <c r="V140" i="12" s="1"/>
  <c r="T46" i="12"/>
  <c r="T141" i="12"/>
  <c r="AI69" i="6"/>
  <c r="AE40" i="12" s="1"/>
  <c r="AB171" i="12" s="1"/>
  <c r="AH69" i="6"/>
  <c r="D38" i="10" s="1"/>
  <c r="E38" i="10"/>
  <c r="AF147" i="12"/>
  <c r="Z176" i="6"/>
  <c r="AI146" i="6"/>
  <c r="AE117" i="12" s="1"/>
  <c r="E115" i="10"/>
  <c r="AH146" i="6"/>
  <c r="D115" i="10" s="1"/>
  <c r="AI80" i="6"/>
  <c r="AE51" i="12" s="1"/>
  <c r="AH80" i="6"/>
  <c r="D49" i="10" s="1"/>
  <c r="E49" i="10"/>
  <c r="AC144" i="6"/>
  <c r="U115" i="12" s="1"/>
  <c r="AD144" i="6"/>
  <c r="V115" i="12" s="1"/>
  <c r="T103" i="12"/>
  <c r="AD112" i="6"/>
  <c r="V83" i="12" s="1"/>
  <c r="AC112" i="6"/>
  <c r="U83" i="12" s="1"/>
  <c r="T13" i="12"/>
  <c r="AH41" i="6"/>
  <c r="D10" i="10" s="1"/>
  <c r="E10" i="10"/>
  <c r="AI41" i="6"/>
  <c r="AE12" i="12" s="1"/>
  <c r="T149" i="12"/>
  <c r="T130" i="12"/>
  <c r="T154" i="12"/>
  <c r="T93" i="12"/>
  <c r="AI96" i="6"/>
  <c r="AE67" i="12" s="1"/>
  <c r="AH96" i="6"/>
  <c r="D65" i="10" s="1"/>
  <c r="E65" i="10"/>
  <c r="AC134" i="6"/>
  <c r="U105" i="12" s="1"/>
  <c r="AD134" i="6"/>
  <c r="V105" i="12" s="1"/>
  <c r="T17" i="12"/>
  <c r="AI111" i="6"/>
  <c r="AE82" i="12" s="1"/>
  <c r="AH111" i="6"/>
  <c r="D80" i="10" s="1"/>
  <c r="E80" i="10"/>
  <c r="E157" i="10"/>
  <c r="AI188" i="6"/>
  <c r="AE159" i="12" s="1"/>
  <c r="AH188" i="6"/>
  <c r="D157" i="10" s="1"/>
  <c r="T107" i="12"/>
  <c r="E155" i="10"/>
  <c r="AI186" i="6"/>
  <c r="AE157" i="12" s="1"/>
  <c r="AH186" i="6"/>
  <c r="D155" i="10" s="1"/>
  <c r="AI145" i="6"/>
  <c r="AE116" i="12" s="1"/>
  <c r="E114" i="10"/>
  <c r="AH145" i="6"/>
  <c r="D114" i="10" s="1"/>
  <c r="AH97" i="6"/>
  <c r="D66" i="10" s="1"/>
  <c r="E66" i="10"/>
  <c r="AI97" i="6"/>
  <c r="AE68" i="12" s="1"/>
  <c r="AD22" i="12"/>
  <c r="X56" i="6"/>
  <c r="AF53" i="12"/>
  <c r="Z82" i="6"/>
  <c r="AD122" i="6"/>
  <c r="V93" i="12" s="1"/>
  <c r="AC122" i="6"/>
  <c r="U93" i="12" s="1"/>
  <c r="T42" i="12"/>
  <c r="AD70" i="6"/>
  <c r="V41" i="12" s="1"/>
  <c r="AC70" i="6"/>
  <c r="U41" i="12" s="1"/>
  <c r="AD107" i="6"/>
  <c r="V78" i="12" s="1"/>
  <c r="AC107" i="6"/>
  <c r="U78" i="12" s="1"/>
  <c r="AD98" i="6"/>
  <c r="V69" i="12" s="1"/>
  <c r="AC98" i="6"/>
  <c r="U69" i="12" s="1"/>
  <c r="E59" i="10"/>
  <c r="AH90" i="6"/>
  <c r="D59" i="10" s="1"/>
  <c r="AI90" i="6"/>
  <c r="AE61" i="12" s="1"/>
  <c r="AD49" i="6"/>
  <c r="V20" i="12" s="1"/>
  <c r="AC49" i="6"/>
  <c r="U20" i="12" s="1"/>
  <c r="AD54" i="6"/>
  <c r="V25" i="12" s="1"/>
  <c r="AC54" i="6"/>
  <c r="U25" i="12" s="1"/>
  <c r="AH51" i="6"/>
  <c r="D20" i="10" s="1"/>
  <c r="AI51" i="6"/>
  <c r="AE22" i="12" s="1"/>
  <c r="E20" i="10"/>
  <c r="AI105" i="6"/>
  <c r="AE76" i="12" s="1"/>
  <c r="AH105" i="6"/>
  <c r="D74" i="10" s="1"/>
  <c r="E74" i="10"/>
  <c r="AC92" i="6"/>
  <c r="U63" i="12" s="1"/>
  <c r="AD92" i="6"/>
  <c r="V63" i="12" s="1"/>
  <c r="AD118" i="12"/>
  <c r="X123" i="12" s="1"/>
  <c r="X152" i="6"/>
  <c r="AI42" i="6"/>
  <c r="AE13" i="12" s="1"/>
  <c r="E11" i="10"/>
  <c r="AH42" i="6"/>
  <c r="D11" i="10" s="1"/>
  <c r="AD142" i="6"/>
  <c r="V113" i="12" s="1"/>
  <c r="AC142" i="6"/>
  <c r="U113" i="12" s="1"/>
  <c r="T116" i="12"/>
  <c r="AD127" i="6"/>
  <c r="V98" i="12" s="1"/>
  <c r="AC127" i="6"/>
  <c r="U98" i="12" s="1"/>
  <c r="AI169" i="6"/>
  <c r="AE140" i="12" s="1"/>
  <c r="AH169" i="6"/>
  <c r="D138" i="10" s="1"/>
  <c r="E138" i="10"/>
  <c r="T131" i="12"/>
  <c r="AD118" i="6"/>
  <c r="V89" i="12" s="1"/>
  <c r="AC118" i="6"/>
  <c r="U89" i="12" s="1"/>
  <c r="X158" i="6"/>
  <c r="AD124" i="12"/>
  <c r="AI133" i="6"/>
  <c r="E102" i="10"/>
  <c r="AH133" i="6"/>
  <c r="D102" i="10" s="1"/>
  <c r="AC97" i="6"/>
  <c r="U68" i="12" s="1"/>
  <c r="AD97" i="6"/>
  <c r="V68" i="12" s="1"/>
  <c r="AI160" i="6"/>
  <c r="AE131" i="12" s="1"/>
  <c r="AH160" i="6"/>
  <c r="D129" i="10" s="1"/>
  <c r="E129" i="10"/>
  <c r="T16" i="12"/>
  <c r="AI103" i="6"/>
  <c r="AE74" i="12" s="1"/>
  <c r="AF173" i="12" s="1"/>
  <c r="E72" i="10"/>
  <c r="AH103" i="6"/>
  <c r="D72" i="10" s="1"/>
  <c r="AQ14" i="1"/>
  <c r="AG85" i="6"/>
  <c r="B54" i="10"/>
  <c r="AX85" i="6"/>
  <c r="Y85" i="6"/>
  <c r="AB85" i="6" s="1"/>
  <c r="T62" i="12"/>
  <c r="AC147" i="6"/>
  <c r="U118" i="12" s="1"/>
  <c r="AD147" i="6"/>
  <c r="V118" i="12" s="1"/>
  <c r="E67" i="10"/>
  <c r="AH98" i="6"/>
  <c r="D67" i="10" s="1"/>
  <c r="AI98" i="6"/>
  <c r="AE69" i="12" s="1"/>
  <c r="T73" i="12"/>
  <c r="AD43" i="6"/>
  <c r="V14" i="12" s="1"/>
  <c r="AC43" i="6"/>
  <c r="U14" i="12" s="1"/>
  <c r="AD79" i="6"/>
  <c r="V50" i="12" s="1"/>
  <c r="AC79" i="6"/>
  <c r="U50" i="12" s="1"/>
  <c r="AD146" i="6"/>
  <c r="V117" i="12" s="1"/>
  <c r="AC146" i="6"/>
  <c r="U117" i="12" s="1"/>
  <c r="AC106" i="6"/>
  <c r="U77" i="12" s="1"/>
  <c r="AD106" i="6"/>
  <c r="V77" i="12" s="1"/>
  <c r="AD88" i="6"/>
  <c r="V59" i="12" s="1"/>
  <c r="AC88" i="6"/>
  <c r="U59" i="12" s="1"/>
  <c r="AH157" i="6"/>
  <c r="D126" i="10" s="1"/>
  <c r="E126" i="10"/>
  <c r="AI157" i="6"/>
  <c r="AE128" i="12" s="1"/>
  <c r="E139" i="10"/>
  <c r="AI170" i="6"/>
  <c r="AE141" i="12" s="1"/>
  <c r="AH170" i="6"/>
  <c r="D139" i="10" s="1"/>
  <c r="T40" i="12"/>
  <c r="AH185" i="6"/>
  <c r="D154" i="10" s="1"/>
  <c r="AI185" i="6"/>
  <c r="AE156" i="12" s="1"/>
  <c r="E154" i="10"/>
  <c r="AX176" i="6"/>
  <c r="AC147" i="12" s="1"/>
  <c r="Y176" i="6"/>
  <c r="AB176" i="6" s="1"/>
  <c r="AG176" i="6"/>
  <c r="B145" i="10"/>
  <c r="AC101" i="6"/>
  <c r="U72" i="12" s="1"/>
  <c r="AD101" i="6"/>
  <c r="V72" i="12" s="1"/>
  <c r="T79" i="12"/>
  <c r="T158" i="12"/>
  <c r="X80" i="6"/>
  <c r="AD46" i="12"/>
  <c r="X51" i="12" s="1"/>
  <c r="AI159" i="6"/>
  <c r="AE130" i="12" s="1"/>
  <c r="E128" i="10"/>
  <c r="AH159" i="6"/>
  <c r="D128" i="10" s="1"/>
  <c r="AD77" i="6"/>
  <c r="V48" i="12" s="1"/>
  <c r="AC77" i="6"/>
  <c r="U48" i="12" s="1"/>
  <c r="AC117" i="6"/>
  <c r="U88" i="12" s="1"/>
  <c r="AD117" i="6"/>
  <c r="V88" i="12" s="1"/>
  <c r="AD136" i="12"/>
  <c r="X141" i="12" s="1"/>
  <c r="X170" i="6"/>
  <c r="E83" i="10"/>
  <c r="AH114" i="6"/>
  <c r="D83" i="10" s="1"/>
  <c r="AI114" i="6"/>
  <c r="AE85" i="12" s="1"/>
  <c r="T67" i="12"/>
  <c r="AC73" i="6"/>
  <c r="U44" i="12" s="1"/>
  <c r="AD73" i="6"/>
  <c r="V44" i="12" s="1"/>
  <c r="AI179" i="6"/>
  <c r="AE150" i="12" s="1"/>
  <c r="E148" i="10"/>
  <c r="AH179" i="6"/>
  <c r="D148" i="10" s="1"/>
  <c r="AC100" i="6"/>
  <c r="U71" i="12" s="1"/>
  <c r="AD100" i="6"/>
  <c r="V71" i="12" s="1"/>
  <c r="AC162" i="6"/>
  <c r="U133" i="12" s="1"/>
  <c r="AD162" i="6"/>
  <c r="V133" i="12" s="1"/>
  <c r="AD105" i="6"/>
  <c r="V76" i="12" s="1"/>
  <c r="AC105" i="6"/>
  <c r="U76" i="12" s="1"/>
  <c r="AH165" i="6"/>
  <c r="D134" i="10" s="1"/>
  <c r="AI165" i="6"/>
  <c r="AE136" i="12" s="1"/>
  <c r="E134" i="10"/>
  <c r="AD112" i="12"/>
  <c r="X146" i="6"/>
  <c r="T121" i="12"/>
  <c r="AC155" i="6"/>
  <c r="U126" i="12" s="1"/>
  <c r="AD155" i="6"/>
  <c r="V126" i="12" s="1"/>
  <c r="T159" i="12"/>
  <c r="AC116" i="6"/>
  <c r="U87" i="12" s="1"/>
  <c r="AD116" i="6"/>
  <c r="V87" i="12" s="1"/>
  <c r="E105" i="10"/>
  <c r="AH136" i="6"/>
  <c r="D105" i="10" s="1"/>
  <c r="AI136" i="6"/>
  <c r="AE107" i="12" s="1"/>
  <c r="AC184" i="6"/>
  <c r="U155" i="12" s="1"/>
  <c r="AD184" i="6"/>
  <c r="V155" i="12" s="1"/>
  <c r="E62" i="10"/>
  <c r="AI93" i="6"/>
  <c r="AE64" i="12" s="1"/>
  <c r="AH93" i="6"/>
  <c r="D62" i="10" s="1"/>
  <c r="AD161" i="6"/>
  <c r="V132" i="12" s="1"/>
  <c r="AC161" i="6"/>
  <c r="U132" i="12" s="1"/>
  <c r="AC74" i="6"/>
  <c r="U45" i="12" s="1"/>
  <c r="AD74" i="6"/>
  <c r="V45" i="12" s="1"/>
  <c r="T84" i="12"/>
  <c r="T27" i="12"/>
  <c r="T124" i="12"/>
  <c r="AH119" i="6"/>
  <c r="D88" i="10" s="1"/>
  <c r="AI119" i="6"/>
  <c r="AE90" i="12" s="1"/>
  <c r="AD174" i="12" s="1"/>
  <c r="E88" i="10"/>
  <c r="E153" i="10"/>
  <c r="AH184" i="6"/>
  <c r="D153" i="10" s="1"/>
  <c r="AI184" i="6"/>
  <c r="AE155" i="12" s="1"/>
  <c r="T58" i="12"/>
  <c r="T96" i="12"/>
  <c r="AD163" i="6"/>
  <c r="V134" i="12" s="1"/>
  <c r="AC163" i="6"/>
  <c r="U134" i="12" s="1"/>
  <c r="T134" i="12"/>
  <c r="T50" i="12"/>
  <c r="AC48" i="6"/>
  <c r="U19" i="12" s="1"/>
  <c r="AD48" i="6"/>
  <c r="V19" i="12" s="1"/>
  <c r="AD111" i="6"/>
  <c r="V82" i="12" s="1"/>
  <c r="AC111" i="6"/>
  <c r="U82" i="12" s="1"/>
  <c r="AC187" i="6"/>
  <c r="U158" i="12" s="1"/>
  <c r="AD187" i="6"/>
  <c r="V158" i="12" s="1"/>
  <c r="T15" i="12"/>
  <c r="AI128" i="6"/>
  <c r="AE99" i="12" s="1"/>
  <c r="AH128" i="6"/>
  <c r="D97" i="10" s="1"/>
  <c r="E97" i="10"/>
  <c r="AH129" i="6"/>
  <c r="D98" i="10" s="1"/>
  <c r="AI129" i="6"/>
  <c r="E98" i="10"/>
  <c r="AD109" i="6"/>
  <c r="V80" i="12" s="1"/>
  <c r="AC109" i="6"/>
  <c r="U80" i="12" s="1"/>
  <c r="AD178" i="6"/>
  <c r="V149" i="12" s="1"/>
  <c r="AC178" i="6"/>
  <c r="U149" i="12" s="1"/>
  <c r="AH46" i="6"/>
  <c r="D15" i="10" s="1"/>
  <c r="E15" i="10"/>
  <c r="AI46" i="6"/>
  <c r="AE17" i="12" s="1"/>
  <c r="AC170" i="12" s="1"/>
  <c r="T45" i="12"/>
  <c r="AC151" i="6"/>
  <c r="U122" i="12" s="1"/>
  <c r="AD151" i="6"/>
  <c r="V122" i="12" s="1"/>
  <c r="AD141" i="6"/>
  <c r="V112" i="12" s="1"/>
  <c r="AC141" i="6"/>
  <c r="U112" i="12" s="1"/>
  <c r="T98" i="12"/>
  <c r="AD119" i="6"/>
  <c r="V90" i="12" s="1"/>
  <c r="AC119" i="6"/>
  <c r="U90" i="12" s="1"/>
  <c r="AD40" i="6"/>
  <c r="V11" i="12" s="1"/>
  <c r="AC40" i="6"/>
  <c r="U11" i="12" s="1"/>
  <c r="AD143" i="6"/>
  <c r="V114" i="12" s="1"/>
  <c r="AC143" i="6"/>
  <c r="U114" i="12" s="1"/>
  <c r="AD182" i="6"/>
  <c r="V153" i="12" s="1"/>
  <c r="AC182" i="6"/>
  <c r="U153" i="12" s="1"/>
  <c r="T74" i="12"/>
  <c r="AQ15" i="1"/>
  <c r="D5" i="12"/>
  <c r="AQ6" i="1"/>
  <c r="AC126" i="6"/>
  <c r="U97" i="12" s="1"/>
  <c r="AD126" i="6"/>
  <c r="V97" i="12" s="1"/>
  <c r="AH39" i="6"/>
  <c r="D8" i="10" s="1"/>
  <c r="AI39" i="6"/>
  <c r="AE10" i="12" s="1"/>
  <c r="E8" i="10"/>
  <c r="AI167" i="6"/>
  <c r="AE138" i="12" s="1"/>
  <c r="AH167" i="6"/>
  <c r="D136" i="10" s="1"/>
  <c r="E136" i="10"/>
  <c r="AG54" i="12"/>
  <c r="AD52" i="6"/>
  <c r="V23" i="12" s="1"/>
  <c r="AC52" i="6"/>
  <c r="U23" i="12" s="1"/>
  <c r="AD80" i="6"/>
  <c r="V51" i="12" s="1"/>
  <c r="AC80" i="6"/>
  <c r="U51" i="12" s="1"/>
  <c r="T60" i="12"/>
  <c r="T83" i="12"/>
  <c r="AD181" i="6"/>
  <c r="V152" i="12" s="1"/>
  <c r="AC181" i="6"/>
  <c r="U152" i="12" s="1"/>
  <c r="T43" i="12"/>
  <c r="AI164" i="6"/>
  <c r="AE135" i="12" s="1"/>
  <c r="E133" i="10"/>
  <c r="AH164" i="6"/>
  <c r="D133" i="10" s="1"/>
  <c r="AG144" i="12"/>
  <c r="X164" i="6"/>
  <c r="AD130" i="12"/>
  <c r="X135" i="12" s="1"/>
  <c r="T77" i="12"/>
  <c r="T137" i="12"/>
  <c r="E89" i="10"/>
  <c r="AI120" i="6"/>
  <c r="AE91" i="12" s="1"/>
  <c r="AE174" i="12" s="1"/>
  <c r="AH120" i="6"/>
  <c r="D89" i="10" s="1"/>
  <c r="AC135" i="6"/>
  <c r="U106" i="12" s="1"/>
  <c r="AD135" i="6"/>
  <c r="V106" i="12" s="1"/>
  <c r="T12" i="12"/>
  <c r="AI183" i="6"/>
  <c r="AE154" i="12" s="1"/>
  <c r="AH183" i="6"/>
  <c r="D152" i="10" s="1"/>
  <c r="E152" i="10"/>
  <c r="Y86" i="6"/>
  <c r="AB86" i="6" s="1"/>
  <c r="AX86" i="6"/>
  <c r="B55" i="10"/>
  <c r="AG86" i="6"/>
  <c r="AH116" i="6"/>
  <c r="D85" i="10" s="1"/>
  <c r="E85" i="10"/>
  <c r="AI116" i="6"/>
  <c r="AE87" i="12" s="1"/>
  <c r="AD76" i="6"/>
  <c r="V47" i="12" s="1"/>
  <c r="AC76" i="6"/>
  <c r="U47" i="12" s="1"/>
  <c r="AD76" i="12"/>
  <c r="X81" i="12" s="1"/>
  <c r="X110" i="6"/>
  <c r="AH74" i="6"/>
  <c r="D43" i="10" s="1"/>
  <c r="AI74" i="6"/>
  <c r="AE45" i="12" s="1"/>
  <c r="AG171" i="12" s="1"/>
  <c r="E43" i="10"/>
  <c r="AC166" i="6"/>
  <c r="U137" i="12" s="1"/>
  <c r="AD166" i="6"/>
  <c r="V137" i="12" s="1"/>
  <c r="AC183" i="6"/>
  <c r="U154" i="12" s="1"/>
  <c r="AD183" i="6"/>
  <c r="V154" i="12" s="1"/>
  <c r="AC137" i="6"/>
  <c r="U108" i="12" s="1"/>
  <c r="AD137" i="6"/>
  <c r="V108" i="12" s="1"/>
  <c r="T94" i="12"/>
  <c r="AC179" i="6"/>
  <c r="U150" i="12" s="1"/>
  <c r="AD179" i="6"/>
  <c r="V150" i="12" s="1"/>
  <c r="T68" i="12"/>
  <c r="T133" i="12"/>
  <c r="AD114" i="6"/>
  <c r="V85" i="12" s="1"/>
  <c r="AC114" i="6"/>
  <c r="U85" i="12" s="1"/>
  <c r="AC140" i="6"/>
  <c r="U111" i="12" s="1"/>
  <c r="AD140" i="6"/>
  <c r="V111" i="12" s="1"/>
  <c r="AD188" i="6"/>
  <c r="V159" i="12" s="1"/>
  <c r="AC188" i="6"/>
  <c r="U159" i="12" s="1"/>
  <c r="T155" i="12"/>
  <c r="E9" i="10"/>
  <c r="AH40" i="6"/>
  <c r="D9" i="10" s="1"/>
  <c r="AI40" i="6"/>
  <c r="AE11" i="12" s="1"/>
  <c r="AD102" i="6"/>
  <c r="V73" i="12" s="1"/>
  <c r="AC102" i="6"/>
  <c r="U73" i="12" s="1"/>
  <c r="AI163" i="6"/>
  <c r="AE134" i="12" s="1"/>
  <c r="AH163" i="6"/>
  <c r="D132" i="10" s="1"/>
  <c r="E132" i="10"/>
  <c r="AD130" i="6"/>
  <c r="V101" i="12" s="1"/>
  <c r="AC130" i="6"/>
  <c r="U101" i="12" s="1"/>
  <c r="Y174" i="6"/>
  <c r="AB174" i="6" s="1"/>
  <c r="AG174" i="6"/>
  <c r="B143" i="10"/>
  <c r="AX174" i="6"/>
  <c r="AC145" i="12" s="1"/>
  <c r="AQ12" i="1"/>
  <c r="D11" i="12"/>
  <c r="AH148" i="6"/>
  <c r="D117" i="10" s="1"/>
  <c r="AI148" i="6"/>
  <c r="AE119" i="12" s="1"/>
  <c r="E117" i="10"/>
  <c r="AD93" i="6"/>
  <c r="V64" i="12" s="1"/>
  <c r="AC93" i="6"/>
  <c r="U64" i="12" s="1"/>
  <c r="AI155" i="6"/>
  <c r="AE126" i="12" s="1"/>
  <c r="E124" i="10"/>
  <c r="AH155" i="6"/>
  <c r="D124" i="10" s="1"/>
  <c r="T109" i="12"/>
  <c r="AQ5" i="1"/>
  <c r="AI91" i="6"/>
  <c r="AE62" i="12" s="1"/>
  <c r="AH91" i="6"/>
  <c r="D60" i="10" s="1"/>
  <c r="E60" i="10"/>
  <c r="AD124" i="6"/>
  <c r="V95" i="12" s="1"/>
  <c r="AC124" i="6"/>
  <c r="U95" i="12" s="1"/>
  <c r="AH121" i="6"/>
  <c r="D90" i="10" s="1"/>
  <c r="AI121" i="6"/>
  <c r="AE92" i="12" s="1"/>
  <c r="AF174" i="12" s="1"/>
  <c r="E90" i="10"/>
  <c r="AD167" i="6"/>
  <c r="V138" i="12" s="1"/>
  <c r="AC167" i="6"/>
  <c r="U138" i="12" s="1"/>
  <c r="AH75" i="6"/>
  <c r="D44" i="10" s="1"/>
  <c r="E44" i="10"/>
  <c r="AI75" i="6"/>
  <c r="AE46" i="12" s="1"/>
  <c r="T24" i="12"/>
  <c r="T156" i="12"/>
  <c r="AD128" i="6"/>
  <c r="V99" i="12" s="1"/>
  <c r="AC128" i="6"/>
  <c r="U99" i="12" s="1"/>
  <c r="AH70" i="6"/>
  <c r="D39" i="10" s="1"/>
  <c r="E39" i="10"/>
  <c r="AI70" i="6"/>
  <c r="AE41" i="12" s="1"/>
  <c r="AC171" i="12" s="1"/>
  <c r="AI106" i="6"/>
  <c r="AE77" i="12" s="1"/>
  <c r="AH106" i="6"/>
  <c r="D75" i="10" s="1"/>
  <c r="E75" i="10"/>
  <c r="Z84" i="6"/>
  <c r="AD120" i="6"/>
  <c r="V91" i="12" s="1"/>
  <c r="AC120" i="6"/>
  <c r="U91" i="12" s="1"/>
  <c r="T111" i="12"/>
  <c r="T64" i="12"/>
  <c r="AI78" i="6"/>
  <c r="AE49" i="12" s="1"/>
  <c r="AH78" i="6"/>
  <c r="D47" i="10" s="1"/>
  <c r="E47" i="10"/>
  <c r="AX82" i="6"/>
  <c r="AG82" i="6"/>
  <c r="Y82" i="6"/>
  <c r="AB82" i="6" s="1"/>
  <c r="B51" i="10"/>
  <c r="T102" i="12"/>
  <c r="AH149" i="6"/>
  <c r="D118" i="10" s="1"/>
  <c r="E118" i="10"/>
  <c r="AI149" i="6"/>
  <c r="AE120" i="12" s="1"/>
  <c r="AD78" i="6"/>
  <c r="V49" i="12" s="1"/>
  <c r="AC78" i="6"/>
  <c r="U49" i="12" s="1"/>
  <c r="E76" i="10"/>
  <c r="AH107" i="6"/>
  <c r="D76" i="10" s="1"/>
  <c r="AI107" i="6"/>
  <c r="AE78" i="12" s="1"/>
  <c r="AC153" i="6"/>
  <c r="U124" i="12" s="1"/>
  <c r="AD153" i="6"/>
  <c r="V124" i="12" s="1"/>
  <c r="E24" i="10"/>
  <c r="AH55" i="6"/>
  <c r="D24" i="10" s="1"/>
  <c r="AI55" i="6"/>
  <c r="AE26" i="12" s="1"/>
  <c r="AC133" i="6"/>
  <c r="U104" i="12" s="1"/>
  <c r="AD133" i="6"/>
  <c r="V104" i="12" s="1"/>
  <c r="AC160" i="6"/>
  <c r="U131" i="12" s="1"/>
  <c r="AD160" i="6"/>
  <c r="V131" i="12" s="1"/>
  <c r="T26" i="12"/>
  <c r="AC148" i="6"/>
  <c r="U119" i="12" s="1"/>
  <c r="AD148" i="6"/>
  <c r="V119" i="12" s="1"/>
  <c r="AH47" i="6"/>
  <c r="D16" i="10" s="1"/>
  <c r="AI47" i="6"/>
  <c r="AE18" i="12" s="1"/>
  <c r="AD170" i="12" s="1"/>
  <c r="E16" i="10"/>
  <c r="Y81" i="6"/>
  <c r="AB81" i="6" s="1"/>
  <c r="AX81" i="6"/>
  <c r="B50" i="10"/>
  <c r="AG81" i="6"/>
  <c r="E108" i="10"/>
  <c r="AI139" i="6"/>
  <c r="AE110" i="12" s="1"/>
  <c r="AH139" i="6"/>
  <c r="D108" i="10" s="1"/>
  <c r="T148" i="12"/>
  <c r="AF142" i="12"/>
  <c r="Z171" i="6"/>
  <c r="T89" i="12"/>
  <c r="E68" i="10"/>
  <c r="AI99" i="6"/>
  <c r="AE70" i="12" s="1"/>
  <c r="AB173" i="12" s="1"/>
  <c r="AH99" i="6"/>
  <c r="D68" i="10" s="1"/>
  <c r="T20" i="12"/>
  <c r="AF145" i="12"/>
  <c r="Z174" i="6"/>
  <c r="X44" i="6"/>
  <c r="AD10" i="12"/>
  <c r="AI130" i="6"/>
  <c r="E99" i="10"/>
  <c r="AH130" i="6"/>
  <c r="D99" i="10" s="1"/>
  <c r="T65" i="12"/>
  <c r="AI52" i="6"/>
  <c r="AE23" i="12" s="1"/>
  <c r="E21" i="10"/>
  <c r="AH52" i="6"/>
  <c r="D21" i="10" s="1"/>
  <c r="T14" i="12"/>
  <c r="AQ13" i="1"/>
  <c r="AD152" i="6"/>
  <c r="V123" i="12" s="1"/>
  <c r="AC152" i="6"/>
  <c r="U123" i="12" s="1"/>
  <c r="AI109" i="6"/>
  <c r="AE80" i="12" s="1"/>
  <c r="AH109" i="6"/>
  <c r="D78" i="10" s="1"/>
  <c r="E78" i="10"/>
  <c r="AH112" i="6"/>
  <c r="D81" i="10" s="1"/>
  <c r="E81" i="10"/>
  <c r="AI112" i="6"/>
  <c r="AE83" i="12" s="1"/>
  <c r="AX175" i="6"/>
  <c r="AC146" i="12" s="1"/>
  <c r="AG175" i="6"/>
  <c r="Y175" i="6"/>
  <c r="AB175" i="6" s="1"/>
  <c r="B144" i="10"/>
  <c r="T129" i="12"/>
  <c r="T97" i="12"/>
  <c r="AH124" i="6"/>
  <c r="D93" i="10" s="1"/>
  <c r="E93" i="10"/>
  <c r="AI124" i="6"/>
  <c r="AE95" i="12" s="1"/>
  <c r="T114" i="12"/>
  <c r="E19" i="10"/>
  <c r="AH50" i="6"/>
  <c r="D19" i="10" s="1"/>
  <c r="AI50" i="6"/>
  <c r="AE21" i="12" s="1"/>
  <c r="AG170" i="12" s="1"/>
  <c r="T128" i="12"/>
  <c r="T135" i="12"/>
  <c r="AF144" i="12"/>
  <c r="AG143" i="12"/>
  <c r="T152" i="12"/>
  <c r="AC159" i="6"/>
  <c r="U130" i="12" s="1"/>
  <c r="AD159" i="6"/>
  <c r="V130" i="12" s="1"/>
  <c r="X134" i="6"/>
  <c r="AD100" i="12"/>
  <c r="X105" i="12" s="1"/>
  <c r="AH166" i="6"/>
  <c r="D135" i="10" s="1"/>
  <c r="AI166" i="6"/>
  <c r="AE137" i="12" s="1"/>
  <c r="E135" i="10"/>
  <c r="T122" i="12"/>
  <c r="E156" i="10"/>
  <c r="AH187" i="6"/>
  <c r="D156" i="10" s="1"/>
  <c r="AI187" i="6"/>
  <c r="AE158" i="12" s="1"/>
  <c r="T151" i="12"/>
  <c r="AD69" i="6"/>
  <c r="V40" i="12" s="1"/>
  <c r="AC69" i="6"/>
  <c r="U40" i="12" s="1"/>
  <c r="T91" i="12"/>
  <c r="AD106" i="12"/>
  <c r="X111" i="12" s="1"/>
  <c r="X140" i="6"/>
  <c r="E147" i="10"/>
  <c r="AI178" i="6"/>
  <c r="AE149" i="12" s="1"/>
  <c r="AH178" i="6"/>
  <c r="D147" i="10" s="1"/>
  <c r="X122" i="6"/>
  <c r="AD88" i="12"/>
  <c r="X93" i="12" s="1"/>
  <c r="AD165" i="6"/>
  <c r="V136" i="12" s="1"/>
  <c r="AC165" i="6"/>
  <c r="U136" i="12" s="1"/>
  <c r="AF57" i="12"/>
  <c r="Z86" i="6"/>
  <c r="T87" i="12"/>
  <c r="AC53" i="6"/>
  <c r="U24" i="12" s="1"/>
  <c r="AD53" i="6"/>
  <c r="V24" i="12" s="1"/>
  <c r="AC41" i="6"/>
  <c r="U12" i="12" s="1"/>
  <c r="AD41" i="6"/>
  <c r="V12" i="12" s="1"/>
  <c r="T19" i="12"/>
  <c r="T150" i="12"/>
  <c r="AD95" i="6"/>
  <c r="V66" i="12" s="1"/>
  <c r="AC95" i="6"/>
  <c r="U66" i="12" s="1"/>
  <c r="AI134" i="6"/>
  <c r="AH134" i="6"/>
  <c r="D103" i="10" s="1"/>
  <c r="E103" i="10"/>
  <c r="T157" i="12"/>
  <c r="AC156" i="6"/>
  <c r="U127" i="12" s="1"/>
  <c r="AD156" i="6"/>
  <c r="V127" i="12" s="1"/>
  <c r="T48" i="12"/>
  <c r="AC139" i="6"/>
  <c r="U110" i="12" s="1"/>
  <c r="AD139" i="6"/>
  <c r="V110" i="12" s="1"/>
  <c r="AI104" i="6"/>
  <c r="AE75" i="12" s="1"/>
  <c r="AG173" i="12" s="1"/>
  <c r="E73" i="10"/>
  <c r="AH104" i="6"/>
  <c r="D73" i="10" s="1"/>
  <c r="AI162" i="6"/>
  <c r="AE133" i="12" s="1"/>
  <c r="AH162" i="6"/>
  <c r="D131" i="10" s="1"/>
  <c r="E131" i="10"/>
  <c r="AC177" i="6"/>
  <c r="U148" i="12" s="1"/>
  <c r="AD177" i="6"/>
  <c r="V148" i="12" s="1"/>
  <c r="E110" i="10"/>
  <c r="AH141" i="6"/>
  <c r="D110" i="10" s="1"/>
  <c r="AI141" i="6"/>
  <c r="AE112" i="12" s="1"/>
  <c r="E122" i="10"/>
  <c r="AI153" i="6"/>
  <c r="AE124" i="12" s="1"/>
  <c r="AH153" i="6"/>
  <c r="D122" i="10" s="1"/>
  <c r="T90" i="12"/>
  <c r="AH87" i="6"/>
  <c r="D56" i="10" s="1"/>
  <c r="E56" i="10"/>
  <c r="AI87" i="6"/>
  <c r="AE58" i="12" s="1"/>
  <c r="AH125" i="6"/>
  <c r="D94" i="10" s="1"/>
  <c r="AI125" i="6"/>
  <c r="AE96" i="12" s="1"/>
  <c r="E94" i="10"/>
  <c r="AD180" i="6"/>
  <c r="V151" i="12" s="1"/>
  <c r="AC180" i="6"/>
  <c r="U151" i="12" s="1"/>
  <c r="AI147" i="6"/>
  <c r="AE118" i="12" s="1"/>
  <c r="E116" i="10"/>
  <c r="AH147" i="6"/>
  <c r="D116" i="10" s="1"/>
  <c r="T125" i="12"/>
  <c r="AD129" i="6"/>
  <c r="V100" i="12" s="1"/>
  <c r="AC129" i="6"/>
  <c r="U100" i="12" s="1"/>
  <c r="T51" i="12"/>
  <c r="AH151" i="6"/>
  <c r="D120" i="10" s="1"/>
  <c r="AI151" i="6"/>
  <c r="AE122" i="12" s="1"/>
  <c r="E120" i="10"/>
  <c r="AH73" i="6"/>
  <c r="D42" i="10" s="1"/>
  <c r="E42" i="10"/>
  <c r="AI73" i="6"/>
  <c r="AE44" i="12" s="1"/>
  <c r="AF171" i="12" s="1"/>
  <c r="T47" i="12"/>
  <c r="T153" i="12"/>
  <c r="AI95" i="6"/>
  <c r="AE66" i="12" s="1"/>
  <c r="E64" i="10"/>
  <c r="AH95" i="6"/>
  <c r="D64" i="10" s="1"/>
  <c r="T22" i="12"/>
  <c r="T25" i="12"/>
  <c r="AC123" i="6"/>
  <c r="U94" i="12" s="1"/>
  <c r="AD123" i="6"/>
  <c r="V94" i="12" s="1"/>
  <c r="T18" i="12"/>
  <c r="T104" i="12"/>
  <c r="T110" i="12"/>
  <c r="AH100" i="6"/>
  <c r="D69" i="10" s="1"/>
  <c r="E69" i="10"/>
  <c r="AI100" i="6"/>
  <c r="AE71" i="12" s="1"/>
  <c r="AC173" i="12" s="1"/>
  <c r="E146" i="10"/>
  <c r="AH177" i="6"/>
  <c r="D146" i="10" s="1"/>
  <c r="AI177" i="6"/>
  <c r="AE148" i="12" s="1"/>
  <c r="T66" i="12"/>
  <c r="AG142" i="12"/>
  <c r="Y171" i="6"/>
  <c r="AB171" i="6" s="1"/>
  <c r="AG171" i="6"/>
  <c r="B140" i="10"/>
  <c r="AX171" i="6"/>
  <c r="AC142" i="12" s="1"/>
  <c r="T70" i="12"/>
  <c r="AC71" i="6"/>
  <c r="U42" i="12" s="1"/>
  <c r="AD71" i="6"/>
  <c r="V42" i="12" s="1"/>
  <c r="AH49" i="6"/>
  <c r="D18" i="10" s="1"/>
  <c r="AI49" i="6"/>
  <c r="AE20" i="12" s="1"/>
  <c r="AF170" i="12" s="1"/>
  <c r="E18" i="10"/>
  <c r="AI54" i="6"/>
  <c r="AE25" i="12" s="1"/>
  <c r="E23" i="10"/>
  <c r="AH54" i="6"/>
  <c r="D23" i="10" s="1"/>
  <c r="AD39" i="6"/>
  <c r="V10" i="12" s="1"/>
  <c r="AC39" i="6"/>
  <c r="U10" i="12" s="1"/>
  <c r="AH156" i="6"/>
  <c r="D125" i="10" s="1"/>
  <c r="AI156" i="6"/>
  <c r="AE127" i="12" s="1"/>
  <c r="E125" i="10"/>
  <c r="Z81" i="6"/>
  <c r="T101" i="12"/>
  <c r="AI94" i="6"/>
  <c r="AE65" i="12" s="1"/>
  <c r="E63" i="10"/>
  <c r="AH94" i="6"/>
  <c r="D63" i="10" s="1"/>
  <c r="T23" i="12"/>
  <c r="E12" i="10"/>
  <c r="AI43" i="6"/>
  <c r="AE14" i="12" s="1"/>
  <c r="AH43" i="6"/>
  <c r="D12" i="10" s="1"/>
  <c r="AC154" i="6"/>
  <c r="U125" i="12" s="1"/>
  <c r="AD154" i="6"/>
  <c r="V125" i="12" s="1"/>
  <c r="AQ9" i="1"/>
  <c r="D8" i="12"/>
  <c r="AQ10" i="1"/>
  <c r="D9" i="12"/>
  <c r="AD131" i="6"/>
  <c r="V102" i="12" s="1"/>
  <c r="AC131" i="6"/>
  <c r="U102" i="12" s="1"/>
  <c r="AC164" i="6"/>
  <c r="U135" i="12" s="1"/>
  <c r="AD164" i="6"/>
  <c r="V135" i="12" s="1"/>
  <c r="AD55" i="6"/>
  <c r="V26" i="12" s="1"/>
  <c r="AC55" i="6"/>
  <c r="U26" i="12" s="1"/>
  <c r="AC168" i="6"/>
  <c r="U139" i="12" s="1"/>
  <c r="AD168" i="6"/>
  <c r="V139" i="12" s="1"/>
  <c r="AD64" i="12"/>
  <c r="X69" i="12" s="1"/>
  <c r="X98" i="6"/>
  <c r="Z83" i="6"/>
  <c r="AD132" i="6"/>
  <c r="V103" i="12" s="1"/>
  <c r="AC132" i="6"/>
  <c r="U103" i="12" s="1"/>
  <c r="AF146" i="12"/>
  <c r="AD146" i="12"/>
  <c r="Z175" i="6"/>
  <c r="AH158" i="6"/>
  <c r="D127" i="10" s="1"/>
  <c r="AI158" i="6"/>
  <c r="AE129" i="12" s="1"/>
  <c r="E127" i="10"/>
  <c r="AI126" i="6"/>
  <c r="AE97" i="12" s="1"/>
  <c r="AH126" i="6"/>
  <c r="D95" i="10" s="1"/>
  <c r="E95" i="10"/>
  <c r="AH143" i="6"/>
  <c r="D112" i="10" s="1"/>
  <c r="AI143" i="6"/>
  <c r="AE114" i="12" s="1"/>
  <c r="E112" i="10"/>
  <c r="E41" i="10"/>
  <c r="AH72" i="6"/>
  <c r="D41" i="10" s="1"/>
  <c r="AI72" i="6"/>
  <c r="AE43" i="12" s="1"/>
  <c r="AE171" i="12" s="1"/>
  <c r="AI154" i="6"/>
  <c r="AE125" i="12" s="1"/>
  <c r="AH154" i="6"/>
  <c r="D123" i="10" s="1"/>
  <c r="E123" i="10"/>
  <c r="T21" i="12"/>
  <c r="AD90" i="6"/>
  <c r="V61" i="12" s="1"/>
  <c r="AC90" i="6"/>
  <c r="U61" i="12" s="1"/>
  <c r="AD89" i="6"/>
  <c r="V60" i="12" s="1"/>
  <c r="AC89" i="6"/>
  <c r="U60" i="12" s="1"/>
  <c r="AD42" i="6"/>
  <c r="V13" i="12" s="1"/>
  <c r="AC42" i="6"/>
  <c r="U13" i="12" s="1"/>
  <c r="AF143" i="12"/>
  <c r="Z172" i="6"/>
  <c r="AH181" i="6"/>
  <c r="D150" i="10" s="1"/>
  <c r="AI181" i="6"/>
  <c r="AE152" i="12" s="1"/>
  <c r="E150" i="10"/>
  <c r="T86" i="12"/>
  <c r="AF55" i="12"/>
  <c r="AH108" i="6"/>
  <c r="D77" i="10" s="1"/>
  <c r="AI108" i="6"/>
  <c r="AE79" i="12" s="1"/>
  <c r="E77" i="10"/>
  <c r="T61" i="12"/>
  <c r="AD40" i="12"/>
  <c r="X45" i="12" s="1"/>
  <c r="X74" i="6"/>
  <c r="T44" i="12"/>
  <c r="E48" i="10"/>
  <c r="AH79" i="6"/>
  <c r="D48" i="10" s="1"/>
  <c r="AI79" i="6"/>
  <c r="AE50" i="12" s="1"/>
  <c r="T85" i="12"/>
  <c r="AD56" i="6"/>
  <c r="V27" i="12" s="1"/>
  <c r="AC56" i="6"/>
  <c r="U27" i="12" s="1"/>
  <c r="T126" i="12"/>
  <c r="AD170" i="6"/>
  <c r="V141" i="12" s="1"/>
  <c r="AC170" i="6"/>
  <c r="U141" i="12" s="1"/>
  <c r="AD136" i="6"/>
  <c r="V107" i="12" s="1"/>
  <c r="AC136" i="6"/>
  <c r="U107" i="12" s="1"/>
  <c r="T106" i="12"/>
  <c r="AH101" i="6"/>
  <c r="D70" i="10" s="1"/>
  <c r="AI101" i="6"/>
  <c r="AE72" i="12" s="1"/>
  <c r="AD173" i="12" s="1"/>
  <c r="E70" i="10"/>
  <c r="AD104" i="6"/>
  <c r="V75" i="12" s="1"/>
  <c r="AC104" i="6"/>
  <c r="U75" i="12" s="1"/>
  <c r="AI161" i="6"/>
  <c r="AE132" i="12" s="1"/>
  <c r="E130" i="10"/>
  <c r="AH161" i="6"/>
  <c r="D130" i="10" s="1"/>
  <c r="X188" i="6"/>
  <c r="AH92" i="6"/>
  <c r="D61" i="10" s="1"/>
  <c r="AI92" i="6"/>
  <c r="AE63" i="12" s="1"/>
  <c r="E61" i="10"/>
  <c r="AH150" i="6"/>
  <c r="D119" i="10" s="1"/>
  <c r="AI150" i="6"/>
  <c r="AE121" i="12" s="1"/>
  <c r="E119" i="10"/>
  <c r="E111" i="10"/>
  <c r="AI142" i="6"/>
  <c r="AE113" i="12" s="1"/>
  <c r="AH142" i="6"/>
  <c r="D111" i="10" s="1"/>
  <c r="E92" i="10"/>
  <c r="AH123" i="6"/>
  <c r="D92" i="10" s="1"/>
  <c r="AI123" i="6"/>
  <c r="AE94" i="12" s="1"/>
  <c r="T75" i="12"/>
  <c r="AH113" i="6"/>
  <c r="D82" i="10" s="1"/>
  <c r="E82" i="10"/>
  <c r="AI113" i="6"/>
  <c r="AE84" i="12" s="1"/>
  <c r="T112" i="12"/>
  <c r="AD150" i="6"/>
  <c r="V121" i="12" s="1"/>
  <c r="AC150" i="6"/>
  <c r="U121" i="12" s="1"/>
  <c r="AH131" i="6"/>
  <c r="D100" i="10" s="1"/>
  <c r="E100" i="10"/>
  <c r="AI131" i="6"/>
  <c r="AC44" i="6"/>
  <c r="U15" i="12" s="1"/>
  <c r="AD44" i="6"/>
  <c r="V15" i="12" s="1"/>
  <c r="AC149" i="6"/>
  <c r="U120" i="12" s="1"/>
  <c r="AD149" i="6"/>
  <c r="V120" i="12" s="1"/>
  <c r="AH168" i="6"/>
  <c r="D137" i="10" s="1"/>
  <c r="AI168" i="6"/>
  <c r="AE139" i="12" s="1"/>
  <c r="E137" i="10"/>
  <c r="T11" i="12"/>
  <c r="T120" i="12"/>
  <c r="D32" i="12" l="1"/>
  <c r="D37" i="12"/>
  <c r="D38" i="12"/>
  <c r="AV50" i="1"/>
  <c r="D34" i="12"/>
  <c r="D31" i="12"/>
  <c r="D28" i="12"/>
  <c r="D33" i="12"/>
  <c r="D30" i="12"/>
  <c r="D36" i="12"/>
  <c r="D35" i="12"/>
  <c r="D39" i="12"/>
  <c r="AZ176" i="6"/>
  <c r="AD147" i="12"/>
  <c r="AQ50" i="1"/>
  <c r="AV45" i="1"/>
  <c r="AQ45" i="1"/>
  <c r="AU45" i="1"/>
  <c r="AV46" i="1"/>
  <c r="AU46" i="1"/>
  <c r="AQ46" i="1"/>
  <c r="AQ49" i="1"/>
  <c r="AV49" i="1"/>
  <c r="AV52" i="1"/>
  <c r="AQ52" i="1"/>
  <c r="AQ48" i="1"/>
  <c r="AV48" i="1"/>
  <c r="AV47" i="1"/>
  <c r="AQ47" i="1"/>
  <c r="AU47" i="1"/>
  <c r="AU48" i="1" s="1"/>
  <c r="AU49" i="1" s="1"/>
  <c r="AU50" i="1" s="1"/>
  <c r="AU51" i="1" s="1"/>
  <c r="AU52" i="1" s="1"/>
  <c r="AQ51" i="1"/>
  <c r="AV51" i="1"/>
  <c r="AQ38" i="1"/>
  <c r="D29" i="12"/>
  <c r="AU38" i="1"/>
  <c r="AV38" i="1"/>
  <c r="AV44" i="1"/>
  <c r="AQ44" i="1"/>
  <c r="AQ43" i="1"/>
  <c r="AV43" i="1"/>
  <c r="AQ40" i="1"/>
  <c r="AV40" i="1"/>
  <c r="AQ41" i="1"/>
  <c r="AV41" i="1"/>
  <c r="AV37" i="1"/>
  <c r="AQ37" i="1"/>
  <c r="AU37" i="1"/>
  <c r="AQ42" i="1"/>
  <c r="AV42" i="1"/>
  <c r="AV39" i="1"/>
  <c r="AQ39" i="1"/>
  <c r="AU39" i="1"/>
  <c r="AU40" i="1" s="1"/>
  <c r="AU41" i="1" s="1"/>
  <c r="AU42" i="1" s="1"/>
  <c r="AU43" i="1" s="1"/>
  <c r="AU44" i="1" s="1"/>
  <c r="Y171" i="12"/>
  <c r="AV206" i="1"/>
  <c r="AV176" i="1"/>
  <c r="AV170" i="1"/>
  <c r="AV125" i="1"/>
  <c r="AV122" i="1"/>
  <c r="AV157" i="1"/>
  <c r="AV123" i="1"/>
  <c r="AV193" i="1"/>
  <c r="AV126" i="1"/>
  <c r="AV151" i="1"/>
  <c r="AV78" i="1"/>
  <c r="AV173" i="1"/>
  <c r="AV111" i="1"/>
  <c r="AV30" i="1"/>
  <c r="AV130" i="1"/>
  <c r="AV75" i="1"/>
  <c r="AV59" i="1"/>
  <c r="AV87" i="1"/>
  <c r="AV128" i="1"/>
  <c r="AV117" i="1"/>
  <c r="AV182" i="1"/>
  <c r="AV131" i="1"/>
  <c r="AV81" i="1"/>
  <c r="AV143" i="1"/>
  <c r="AV61" i="1"/>
  <c r="AV129" i="1"/>
  <c r="AV120" i="1"/>
  <c r="AV23" i="1"/>
  <c r="AV165" i="1"/>
  <c r="AV107" i="1"/>
  <c r="AV60" i="1"/>
  <c r="AV108" i="1"/>
  <c r="AV27" i="1"/>
  <c r="AV148" i="1"/>
  <c r="AV166" i="1"/>
  <c r="AV135" i="1"/>
  <c r="AV139" i="1"/>
  <c r="AV153" i="1"/>
  <c r="AV35" i="1"/>
  <c r="AV91" i="1"/>
  <c r="AV207" i="1"/>
  <c r="AV150" i="1"/>
  <c r="AV159" i="1"/>
  <c r="AV84" i="1"/>
  <c r="AV127" i="1"/>
  <c r="AV154" i="1"/>
  <c r="AV119" i="1"/>
  <c r="AV109" i="1"/>
  <c r="AV97" i="1"/>
  <c r="AV133" i="1"/>
  <c r="AV92" i="1"/>
  <c r="AV201" i="1"/>
  <c r="AV31" i="1"/>
  <c r="AV197" i="1"/>
  <c r="AV161" i="1"/>
  <c r="AV58" i="1"/>
  <c r="AV177" i="1"/>
  <c r="AV187" i="1"/>
  <c r="AV62" i="1"/>
  <c r="AV145" i="1"/>
  <c r="AV203" i="1"/>
  <c r="AV74" i="1"/>
  <c r="AV172" i="1"/>
  <c r="AV71" i="1"/>
  <c r="AV56" i="1"/>
  <c r="AV174" i="1"/>
  <c r="AQ22" i="1"/>
  <c r="AV115" i="1"/>
  <c r="AV171" i="1"/>
  <c r="AV138" i="1"/>
  <c r="AV190" i="1"/>
  <c r="AV65" i="1"/>
  <c r="AV89" i="1"/>
  <c r="AV134" i="1"/>
  <c r="AV212" i="1"/>
  <c r="AV199" i="1"/>
  <c r="AV186" i="1"/>
  <c r="AV156" i="1"/>
  <c r="AV36" i="1"/>
  <c r="AV146" i="1"/>
  <c r="AV208" i="1"/>
  <c r="AV162" i="1"/>
  <c r="AV57" i="1"/>
  <c r="AV82" i="1"/>
  <c r="AV33" i="1"/>
  <c r="AV99" i="1"/>
  <c r="AV158" i="1"/>
  <c r="AV26" i="1"/>
  <c r="AV25" i="1"/>
  <c r="AV152" i="1"/>
  <c r="AV114" i="1"/>
  <c r="AV196" i="1"/>
  <c r="AV113" i="1"/>
  <c r="AV185" i="1"/>
  <c r="AV180" i="1"/>
  <c r="AV70" i="1"/>
  <c r="AV105" i="1"/>
  <c r="AV106" i="1"/>
  <c r="AV189" i="1"/>
  <c r="AV80" i="1"/>
  <c r="AV181" i="1"/>
  <c r="AV73" i="1"/>
  <c r="AV63" i="1"/>
  <c r="AV195" i="1"/>
  <c r="AV34" i="1"/>
  <c r="AV55" i="1"/>
  <c r="AV164" i="1"/>
  <c r="AV83" i="1"/>
  <c r="AV200" i="1"/>
  <c r="AV72" i="1"/>
  <c r="AV64" i="1"/>
  <c r="AV96" i="1"/>
  <c r="AV101" i="1"/>
  <c r="AV110" i="1"/>
  <c r="AV77" i="1"/>
  <c r="AV142" i="1"/>
  <c r="AV53" i="1"/>
  <c r="AV140" i="1"/>
  <c r="AV121" i="1"/>
  <c r="AV112" i="1"/>
  <c r="AV88" i="1"/>
  <c r="AV163" i="1"/>
  <c r="AV116" i="1"/>
  <c r="AV144" i="1"/>
  <c r="AV188" i="1"/>
  <c r="AV147" i="1"/>
  <c r="AV194" i="1"/>
  <c r="AV175" i="1"/>
  <c r="AV178" i="1"/>
  <c r="AV137" i="1"/>
  <c r="AV79" i="1"/>
  <c r="AV86" i="1"/>
  <c r="AV124" i="1"/>
  <c r="AV132" i="1"/>
  <c r="AV54" i="1"/>
  <c r="AV104" i="1"/>
  <c r="AV202" i="1"/>
  <c r="AV204" i="1"/>
  <c r="AV66" i="1"/>
  <c r="AV160" i="1"/>
  <c r="AV118" i="1"/>
  <c r="AV76" i="1"/>
  <c r="AV167" i="1"/>
  <c r="AV141" i="1"/>
  <c r="AV28" i="1"/>
  <c r="AV68" i="1"/>
  <c r="AV24" i="1"/>
  <c r="AV90" i="1"/>
  <c r="AV98" i="1"/>
  <c r="AV155" i="1"/>
  <c r="AV103" i="1"/>
  <c r="AV169" i="1"/>
  <c r="AV102" i="1"/>
  <c r="AV149" i="1"/>
  <c r="AV192" i="1"/>
  <c r="AV85" i="1"/>
  <c r="AV95" i="1"/>
  <c r="AV183" i="1"/>
  <c r="AV209" i="1"/>
  <c r="AV205" i="1"/>
  <c r="AV191" i="1"/>
  <c r="AV184" i="1"/>
  <c r="AV168" i="1"/>
  <c r="AV179" i="1"/>
  <c r="AV100" i="1"/>
  <c r="AV198" i="1"/>
  <c r="AV29" i="1"/>
  <c r="AV136" i="1"/>
  <c r="AV211" i="1"/>
  <c r="AV32" i="1"/>
  <c r="AV67" i="1"/>
  <c r="AV93" i="1"/>
  <c r="AV210" i="1"/>
  <c r="AV94" i="1"/>
  <c r="AV21" i="1"/>
  <c r="AV22" i="1"/>
  <c r="AV69" i="1"/>
  <c r="AQ139" i="1"/>
  <c r="W167" i="12"/>
  <c r="AQ21" i="1"/>
  <c r="D12" i="12"/>
  <c r="AQ163" i="1"/>
  <c r="AQ122" i="1"/>
  <c r="AQ73" i="1"/>
  <c r="AQ164" i="1"/>
  <c r="D64" i="12"/>
  <c r="AQ115" i="1"/>
  <c r="AQ171" i="1"/>
  <c r="AQ138" i="1"/>
  <c r="AQ65" i="1"/>
  <c r="AQ89" i="1"/>
  <c r="AQ212" i="1"/>
  <c r="D122" i="12"/>
  <c r="AQ186" i="1"/>
  <c r="AQ156" i="1"/>
  <c r="D27" i="12"/>
  <c r="D93" i="12"/>
  <c r="D131" i="12"/>
  <c r="AQ162" i="1"/>
  <c r="D44" i="12"/>
  <c r="AQ82" i="1"/>
  <c r="AQ33" i="1"/>
  <c r="AQ99" i="1"/>
  <c r="AQ26" i="1"/>
  <c r="AQ25" i="1"/>
  <c r="AQ114" i="1"/>
  <c r="AQ155" i="1"/>
  <c r="AQ113" i="1"/>
  <c r="D119" i="12"/>
  <c r="AQ80" i="1"/>
  <c r="AQ96" i="1"/>
  <c r="AQ53" i="1"/>
  <c r="D94" i="12"/>
  <c r="AQ194" i="1"/>
  <c r="D114" i="12"/>
  <c r="D117" i="12"/>
  <c r="D84" i="12"/>
  <c r="AQ124" i="1"/>
  <c r="D79" i="12"/>
  <c r="AQ104" i="1"/>
  <c r="D125" i="12"/>
  <c r="AQ204" i="1"/>
  <c r="D53" i="12"/>
  <c r="D99" i="12"/>
  <c r="AQ76" i="1"/>
  <c r="D19" i="12"/>
  <c r="AQ68" i="1"/>
  <c r="D15" i="12"/>
  <c r="AQ176" i="1"/>
  <c r="AQ88" i="1"/>
  <c r="D72" i="12"/>
  <c r="AQ188" i="1"/>
  <c r="D69" i="12"/>
  <c r="AQ63" i="1"/>
  <c r="AQ83" i="1"/>
  <c r="AQ192" i="1"/>
  <c r="D58" i="12"/>
  <c r="D132" i="12"/>
  <c r="AQ205" i="1"/>
  <c r="AQ191" i="1"/>
  <c r="AQ184" i="1"/>
  <c r="D107" i="12"/>
  <c r="D118" i="12"/>
  <c r="D63" i="12"/>
  <c r="D121" i="12"/>
  <c r="AQ136" i="1"/>
  <c r="AQ211" i="1"/>
  <c r="D23" i="12"/>
  <c r="D54" i="12"/>
  <c r="AQ93" i="1"/>
  <c r="AQ210" i="1"/>
  <c r="AQ196" i="1"/>
  <c r="D108" i="12"/>
  <c r="D65" i="12"/>
  <c r="AQ181" i="1"/>
  <c r="D123" i="12"/>
  <c r="AQ140" i="1"/>
  <c r="AC53" i="12"/>
  <c r="AQ193" i="1"/>
  <c r="D73" i="12"/>
  <c r="AQ151" i="1"/>
  <c r="AQ173" i="1"/>
  <c r="AQ111" i="1"/>
  <c r="AQ30" i="1"/>
  <c r="D77" i="12"/>
  <c r="AQ75" i="1"/>
  <c r="D46" i="12"/>
  <c r="AQ128" i="1"/>
  <c r="AQ131" i="1"/>
  <c r="AQ81" i="1"/>
  <c r="AQ143" i="1"/>
  <c r="D76" i="12"/>
  <c r="AQ120" i="1"/>
  <c r="D14" i="12"/>
  <c r="AQ98" i="1"/>
  <c r="AQ185" i="1"/>
  <c r="AQ189" i="1"/>
  <c r="AQ34" i="1"/>
  <c r="D51" i="12"/>
  <c r="AQ123" i="1"/>
  <c r="AC55" i="12"/>
  <c r="AC54" i="12"/>
  <c r="AQ121" i="1"/>
  <c r="D70" i="12"/>
  <c r="AQ90" i="1"/>
  <c r="D92" i="12"/>
  <c r="AQ152" i="1"/>
  <c r="AQ112" i="1"/>
  <c r="D47" i="12"/>
  <c r="D71" i="12"/>
  <c r="AQ203" i="1"/>
  <c r="AQ74" i="1"/>
  <c r="D18" i="12"/>
  <c r="AQ172" i="1"/>
  <c r="AQ148" i="1"/>
  <c r="AQ71" i="1"/>
  <c r="AQ56" i="1"/>
  <c r="D113" i="12"/>
  <c r="D86" i="12"/>
  <c r="AC56" i="12"/>
  <c r="AQ170" i="1"/>
  <c r="AQ116" i="1"/>
  <c r="D91" i="12"/>
  <c r="D68" i="12"/>
  <c r="AQ195" i="1"/>
  <c r="AQ72" i="1"/>
  <c r="AC52" i="12"/>
  <c r="AC57" i="12"/>
  <c r="AQ153" i="1"/>
  <c r="D26" i="12"/>
  <c r="AQ91" i="1"/>
  <c r="AQ150" i="1"/>
  <c r="AQ84" i="1"/>
  <c r="AQ154" i="1"/>
  <c r="D60" i="12"/>
  <c r="AQ92" i="1"/>
  <c r="D124" i="12"/>
  <c r="D22" i="12"/>
  <c r="AQ197" i="1"/>
  <c r="D100" i="12"/>
  <c r="D45" i="12"/>
  <c r="D116" i="12"/>
  <c r="AQ187" i="1"/>
  <c r="D59" i="12"/>
  <c r="AQ62" i="1"/>
  <c r="D13" i="12"/>
  <c r="AQ24" i="1"/>
  <c r="D49" i="12"/>
  <c r="AQ94" i="1"/>
  <c r="AQ110" i="1"/>
  <c r="AQ64" i="1"/>
  <c r="D89" i="12"/>
  <c r="AQ101" i="1"/>
  <c r="D87" i="12"/>
  <c r="D42" i="12"/>
  <c r="AQ77" i="1"/>
  <c r="D16" i="12"/>
  <c r="AQ129" i="1"/>
  <c r="D21" i="12"/>
  <c r="D57" i="12"/>
  <c r="D133" i="12"/>
  <c r="AQ130" i="1"/>
  <c r="D103" i="12"/>
  <c r="D40" i="12"/>
  <c r="AQ200" i="1"/>
  <c r="D50" i="12"/>
  <c r="D25" i="12"/>
  <c r="AQ55" i="1"/>
  <c r="AQ142" i="1"/>
  <c r="D48" i="12"/>
  <c r="AQ23" i="1"/>
  <c r="D78" i="12"/>
  <c r="AQ59" i="1"/>
  <c r="D90" i="12"/>
  <c r="AQ61" i="1"/>
  <c r="AQ117" i="1"/>
  <c r="D112" i="12"/>
  <c r="D75" i="12"/>
  <c r="AQ78" i="1"/>
  <c r="AQ182" i="1"/>
  <c r="AQ32" i="1"/>
  <c r="D134" i="12"/>
  <c r="D104" i="12"/>
  <c r="AQ67" i="1"/>
  <c r="AQ165" i="1"/>
  <c r="AQ87" i="1"/>
  <c r="AQ126" i="1"/>
  <c r="AQ70" i="1"/>
  <c r="AQ102" i="1"/>
  <c r="AQ144" i="1"/>
  <c r="D17" i="12"/>
  <c r="AQ58" i="1"/>
  <c r="AQ174" i="1"/>
  <c r="D109" i="12"/>
  <c r="AQ28" i="1"/>
  <c r="D96" i="12"/>
  <c r="AQ180" i="1"/>
  <c r="AQ169" i="1"/>
  <c r="D66" i="12"/>
  <c r="AQ157" i="1"/>
  <c r="D55" i="12"/>
  <c r="D128" i="12"/>
  <c r="AQ66" i="1"/>
  <c r="AQ202" i="1"/>
  <c r="D41" i="12"/>
  <c r="D106" i="12"/>
  <c r="AQ141" i="1"/>
  <c r="AQ167" i="1"/>
  <c r="D88" i="12"/>
  <c r="AQ57" i="1"/>
  <c r="D120" i="12"/>
  <c r="AQ161" i="1"/>
  <c r="AQ207" i="1"/>
  <c r="AQ177" i="1"/>
  <c r="AQ105" i="1"/>
  <c r="D85" i="12"/>
  <c r="D101" i="12"/>
  <c r="AQ146" i="1"/>
  <c r="AQ106" i="1"/>
  <c r="D74" i="12"/>
  <c r="AQ125" i="1"/>
  <c r="D56" i="12"/>
  <c r="AQ31" i="1"/>
  <c r="D43" i="12"/>
  <c r="AQ36" i="1"/>
  <c r="D82" i="12"/>
  <c r="D81" i="12"/>
  <c r="D135" i="12"/>
  <c r="D52" i="12"/>
  <c r="D62" i="12"/>
  <c r="AQ135" i="1"/>
  <c r="D97" i="12"/>
  <c r="D105" i="12"/>
  <c r="D24" i="12"/>
  <c r="AQ145" i="1"/>
  <c r="AQ199" i="1"/>
  <c r="AQ158" i="1"/>
  <c r="AQ166" i="1"/>
  <c r="AQ190" i="1"/>
  <c r="AQ208" i="1"/>
  <c r="D98" i="12"/>
  <c r="AQ201" i="1"/>
  <c r="D115" i="12"/>
  <c r="AQ100" i="1"/>
  <c r="D20" i="12"/>
  <c r="AQ35" i="1"/>
  <c r="AQ159" i="1"/>
  <c r="D130" i="12"/>
  <c r="AQ168" i="1"/>
  <c r="AQ133" i="1"/>
  <c r="AQ97" i="1"/>
  <c r="D61" i="12"/>
  <c r="AQ134" i="1"/>
  <c r="D102" i="12"/>
  <c r="AQ103" i="1"/>
  <c r="AQ119" i="1"/>
  <c r="D80" i="12"/>
  <c r="AQ109" i="1"/>
  <c r="AQ29" i="1"/>
  <c r="AQ127" i="1"/>
  <c r="AQ179" i="1"/>
  <c r="AQ107" i="1"/>
  <c r="D129" i="12"/>
  <c r="AQ85" i="1"/>
  <c r="D110" i="12"/>
  <c r="AQ206" i="1"/>
  <c r="AQ27" i="1"/>
  <c r="AQ54" i="1"/>
  <c r="AQ86" i="1"/>
  <c r="AQ132" i="1"/>
  <c r="AQ178" i="1"/>
  <c r="AQ79" i="1"/>
  <c r="AQ209" i="1"/>
  <c r="AQ60" i="1"/>
  <c r="AQ69" i="1"/>
  <c r="D127" i="12"/>
  <c r="AQ95" i="1"/>
  <c r="AQ149" i="1"/>
  <c r="AQ175" i="1"/>
  <c r="AQ137" i="1"/>
  <c r="D126" i="12"/>
  <c r="D83" i="12"/>
  <c r="D95" i="12"/>
  <c r="AQ118" i="1"/>
  <c r="AQ183" i="1"/>
  <c r="AQ108" i="1"/>
  <c r="D67" i="12"/>
  <c r="AQ198" i="1"/>
  <c r="D111" i="12"/>
  <c r="AQ160" i="1"/>
  <c r="AQ147" i="1"/>
  <c r="X117" i="12"/>
  <c r="AE51" i="6"/>
  <c r="AF51" i="6" s="1"/>
  <c r="AE108" i="6"/>
  <c r="AF108" i="6" s="1"/>
  <c r="AE99" i="6"/>
  <c r="AF99" i="6" s="1"/>
  <c r="AE93" i="6"/>
  <c r="AF93" i="6" s="1"/>
  <c r="AE96" i="6"/>
  <c r="AF96" i="6" s="1"/>
  <c r="AE157" i="6"/>
  <c r="AF157" i="6" s="1"/>
  <c r="AE126" i="6"/>
  <c r="AF126" i="6" s="1"/>
  <c r="AE95" i="6"/>
  <c r="AF95" i="6" s="1"/>
  <c r="AE125" i="6"/>
  <c r="AF125" i="6" s="1"/>
  <c r="AE73" i="6"/>
  <c r="AF73" i="6" s="1"/>
  <c r="AE40" i="6"/>
  <c r="AF40" i="6" s="1"/>
  <c r="AE112" i="6"/>
  <c r="AF112" i="6" s="1"/>
  <c r="AE50" i="6"/>
  <c r="AF50" i="6" s="1"/>
  <c r="AE97" i="6"/>
  <c r="AF97" i="6" s="1"/>
  <c r="AE145" i="6"/>
  <c r="AF145" i="6" s="1"/>
  <c r="AE78" i="6"/>
  <c r="AF78" i="6" s="1"/>
  <c r="AE130" i="6"/>
  <c r="AF130" i="6" s="1"/>
  <c r="AE54" i="6"/>
  <c r="AF54" i="6" s="1"/>
  <c r="AE72" i="6"/>
  <c r="AF72" i="6" s="1"/>
  <c r="AE187" i="6"/>
  <c r="AF187" i="6" s="1"/>
  <c r="AE75" i="6"/>
  <c r="AF75" i="6" s="1"/>
  <c r="AE52" i="6"/>
  <c r="AF52" i="6" s="1"/>
  <c r="AE154" i="6"/>
  <c r="AF154" i="6" s="1"/>
  <c r="AE151" i="6"/>
  <c r="AF151" i="6" s="1"/>
  <c r="AE162" i="6"/>
  <c r="AF162" i="6" s="1"/>
  <c r="AE113" i="6"/>
  <c r="AF113" i="6" s="1"/>
  <c r="AE98" i="6"/>
  <c r="AF98" i="6" s="1"/>
  <c r="AE148" i="6"/>
  <c r="AF148" i="6" s="1"/>
  <c r="AE115" i="6"/>
  <c r="AF115" i="6" s="1"/>
  <c r="AE116" i="6"/>
  <c r="AF116" i="6" s="1"/>
  <c r="AE158" i="6"/>
  <c r="AF158" i="6" s="1"/>
  <c r="AE94" i="6"/>
  <c r="AF94" i="6" s="1"/>
  <c r="AE91" i="6"/>
  <c r="AF91" i="6" s="1"/>
  <c r="AE103" i="6"/>
  <c r="AF103" i="6" s="1"/>
  <c r="AE110" i="6"/>
  <c r="AF110" i="6" s="1"/>
  <c r="AE114" i="6"/>
  <c r="AF114" i="6" s="1"/>
  <c r="AE143" i="6"/>
  <c r="AF143" i="6" s="1"/>
  <c r="AE90" i="6"/>
  <c r="AF90" i="6" s="1"/>
  <c r="AE48" i="6"/>
  <c r="AF48" i="6" s="1"/>
  <c r="AE180" i="6"/>
  <c r="AF180" i="6" s="1"/>
  <c r="AE131" i="6"/>
  <c r="AF131" i="6" s="1"/>
  <c r="AE170" i="6"/>
  <c r="AF170" i="6" s="1"/>
  <c r="AE88" i="6"/>
  <c r="AF88" i="6" s="1"/>
  <c r="AE111" i="6"/>
  <c r="AF111" i="6" s="1"/>
  <c r="AE155" i="6"/>
  <c r="AF155" i="6" s="1"/>
  <c r="AD172" i="6"/>
  <c r="V143" i="12" s="1"/>
  <c r="AC172" i="6"/>
  <c r="U143" i="12" s="1"/>
  <c r="AH171" i="6"/>
  <c r="D140" i="10" s="1"/>
  <c r="AI171" i="6"/>
  <c r="AE142" i="12" s="1"/>
  <c r="E140" i="10"/>
  <c r="AE186" i="6"/>
  <c r="AF186" i="6" s="1"/>
  <c r="AE179" i="6"/>
  <c r="AF179" i="6" s="1"/>
  <c r="AE55" i="6"/>
  <c r="AF55" i="6" s="1"/>
  <c r="T53" i="12"/>
  <c r="AE140" i="6"/>
  <c r="AF140" i="6" s="1"/>
  <c r="AE166" i="6"/>
  <c r="AF166" i="6" s="1"/>
  <c r="AE89" i="6"/>
  <c r="AF89" i="6" s="1"/>
  <c r="AE74" i="6"/>
  <c r="AF74" i="6" s="1"/>
  <c r="AE69" i="6"/>
  <c r="AF69" i="6" s="1"/>
  <c r="E54" i="10"/>
  <c r="AI85" i="6"/>
  <c r="AE56" i="12" s="1"/>
  <c r="AF172" i="12" s="1"/>
  <c r="AH85" i="6"/>
  <c r="D54" i="10" s="1"/>
  <c r="AE178" i="6"/>
  <c r="AF178" i="6" s="1"/>
  <c r="AE144" i="6"/>
  <c r="AF144" i="6" s="1"/>
  <c r="AE70" i="6"/>
  <c r="AF70" i="6" s="1"/>
  <c r="AC173" i="6"/>
  <c r="U144" i="12" s="1"/>
  <c r="AD173" i="6"/>
  <c r="V144" i="12" s="1"/>
  <c r="AE129" i="6"/>
  <c r="AF129" i="6" s="1"/>
  <c r="AE109" i="6"/>
  <c r="AF109" i="6" s="1"/>
  <c r="T144" i="12"/>
  <c r="T147" i="12"/>
  <c r="AD83" i="6"/>
  <c r="V54" i="12" s="1"/>
  <c r="AC83" i="6"/>
  <c r="U54" i="12" s="1"/>
  <c r="AE164" i="6"/>
  <c r="AF164" i="6" s="1"/>
  <c r="AE104" i="6"/>
  <c r="AF104" i="6" s="1"/>
  <c r="T142" i="12"/>
  <c r="AE47" i="6"/>
  <c r="AF47" i="6" s="1"/>
  <c r="AE119" i="6"/>
  <c r="AF119" i="6" s="1"/>
  <c r="AE181" i="6"/>
  <c r="AF181" i="6" s="1"/>
  <c r="X176" i="6"/>
  <c r="AD142" i="12"/>
  <c r="AH82" i="6"/>
  <c r="D51" i="10" s="1"/>
  <c r="AI82" i="6"/>
  <c r="AE53" i="12" s="1"/>
  <c r="AC172" i="12" s="1"/>
  <c r="E51" i="10"/>
  <c r="AE53" i="6"/>
  <c r="AF53" i="6" s="1"/>
  <c r="AE138" i="6"/>
  <c r="AF138" i="6" s="1"/>
  <c r="AE184" i="6"/>
  <c r="AF184" i="6" s="1"/>
  <c r="AE41" i="6"/>
  <c r="AF41" i="6" s="1"/>
  <c r="AE163" i="6"/>
  <c r="AF163" i="6" s="1"/>
  <c r="AE56" i="6"/>
  <c r="AF56" i="6" s="1"/>
  <c r="AE136" i="6"/>
  <c r="AF136" i="6" s="1"/>
  <c r="AE132" i="6"/>
  <c r="AF132" i="6" s="1"/>
  <c r="AD85" i="6"/>
  <c r="V56" i="12" s="1"/>
  <c r="AC85" i="6"/>
  <c r="U56" i="12" s="1"/>
  <c r="T55" i="12"/>
  <c r="AE39" i="6"/>
  <c r="AF39" i="6" s="1"/>
  <c r="AE101" i="6"/>
  <c r="AF101" i="6" s="1"/>
  <c r="AE121" i="6"/>
  <c r="AF121" i="6" s="1"/>
  <c r="AE188" i="6"/>
  <c r="AF188" i="6" s="1"/>
  <c r="T57" i="12"/>
  <c r="AE45" i="6"/>
  <c r="AF45" i="6" s="1"/>
  <c r="AE117" i="6"/>
  <c r="AF117" i="6" s="1"/>
  <c r="AE135" i="6"/>
  <c r="AF135" i="6" s="1"/>
  <c r="AE43" i="6"/>
  <c r="AF43" i="6" s="1"/>
  <c r="AE49" i="6"/>
  <c r="AF49" i="6" s="1"/>
  <c r="AD171" i="6"/>
  <c r="V142" i="12" s="1"/>
  <c r="AC171" i="6"/>
  <c r="U142" i="12" s="1"/>
  <c r="T52" i="12"/>
  <c r="AH86" i="6"/>
  <c r="D55" i="10" s="1"/>
  <c r="E55" i="10"/>
  <c r="AI86" i="6"/>
  <c r="AE57" i="12" s="1"/>
  <c r="AG172" i="12" s="1"/>
  <c r="AE106" i="6"/>
  <c r="AF106" i="6" s="1"/>
  <c r="AB191" i="6"/>
  <c r="Y173" i="12" s="1"/>
  <c r="AE100" i="12"/>
  <c r="AB175" i="12" s="1"/>
  <c r="AE44" i="6"/>
  <c r="AF44" i="6" s="1"/>
  <c r="AE79" i="6"/>
  <c r="AF79" i="6" s="1"/>
  <c r="E145" i="10"/>
  <c r="AI176" i="6"/>
  <c r="AE147" i="12" s="1"/>
  <c r="AH176" i="6"/>
  <c r="D145" i="10" s="1"/>
  <c r="AC82" i="6"/>
  <c r="U53" i="12" s="1"/>
  <c r="AD82" i="6"/>
  <c r="V53" i="12" s="1"/>
  <c r="AE46" i="6"/>
  <c r="AF46" i="6" s="1"/>
  <c r="AE122" i="6"/>
  <c r="AF122" i="6" s="1"/>
  <c r="AE152" i="6"/>
  <c r="AF152" i="6" s="1"/>
  <c r="AE142" i="6"/>
  <c r="AF142" i="6" s="1"/>
  <c r="AE134" i="6"/>
  <c r="AF134" i="6" s="1"/>
  <c r="AH84" i="6"/>
  <c r="D53" i="10" s="1"/>
  <c r="AI84" i="6"/>
  <c r="AE55" i="12" s="1"/>
  <c r="AE172" i="12" s="1"/>
  <c r="E53" i="10"/>
  <c r="AE169" i="6"/>
  <c r="AF169" i="6" s="1"/>
  <c r="AE107" i="6"/>
  <c r="AF107" i="6" s="1"/>
  <c r="AE101" i="12"/>
  <c r="AC175" i="12" s="1"/>
  <c r="AB192" i="6"/>
  <c r="Y174" i="12" s="1"/>
  <c r="AE100" i="6"/>
  <c r="AF100" i="6" s="1"/>
  <c r="T54" i="12"/>
  <c r="AE149" i="6"/>
  <c r="AF149" i="6" s="1"/>
  <c r="AE141" i="6"/>
  <c r="AF141" i="6" s="1"/>
  <c r="X86" i="6"/>
  <c r="AD52" i="12"/>
  <c r="X57" i="12" s="1"/>
  <c r="AE182" i="6"/>
  <c r="AF182" i="6" s="1"/>
  <c r="AE77" i="6"/>
  <c r="AF77" i="6" s="1"/>
  <c r="AB196" i="6"/>
  <c r="Y178" i="12" s="1"/>
  <c r="AE105" i="12"/>
  <c r="AG175" i="12" s="1"/>
  <c r="AC86" i="6"/>
  <c r="U57" i="12" s="1"/>
  <c r="AD86" i="6"/>
  <c r="V57" i="12" s="1"/>
  <c r="AD84" i="6"/>
  <c r="V55" i="12" s="1"/>
  <c r="AC84" i="6"/>
  <c r="U55" i="12" s="1"/>
  <c r="AE102" i="6"/>
  <c r="AF102" i="6" s="1"/>
  <c r="AE183" i="6"/>
  <c r="AF183" i="6" s="1"/>
  <c r="AE147" i="6"/>
  <c r="AF147" i="6" s="1"/>
  <c r="AE161" i="6"/>
  <c r="AF161" i="6" s="1"/>
  <c r="AI172" i="6"/>
  <c r="AE143" i="12" s="1"/>
  <c r="E141" i="10"/>
  <c r="AH172" i="6"/>
  <c r="D141" i="10" s="1"/>
  <c r="AE156" i="6"/>
  <c r="AF156" i="6" s="1"/>
  <c r="AE105" i="6"/>
  <c r="AF105" i="6" s="1"/>
  <c r="E143" i="10"/>
  <c r="AH174" i="6"/>
  <c r="D143" i="10" s="1"/>
  <c r="AI174" i="6"/>
  <c r="AE145" i="12" s="1"/>
  <c r="AE42" i="6"/>
  <c r="AF42" i="6" s="1"/>
  <c r="E52" i="10"/>
  <c r="AI83" i="6"/>
  <c r="AE54" i="12" s="1"/>
  <c r="AD172" i="12" s="1"/>
  <c r="AH83" i="6"/>
  <c r="D52" i="10" s="1"/>
  <c r="AD174" i="6"/>
  <c r="V145" i="12" s="1"/>
  <c r="AC174" i="6"/>
  <c r="U145" i="12" s="1"/>
  <c r="T145" i="12"/>
  <c r="AB195" i="6"/>
  <c r="Y177" i="12" s="1"/>
  <c r="AE104" i="12"/>
  <c r="AF175" i="12" s="1"/>
  <c r="AE160" i="6"/>
  <c r="AF160" i="6" s="1"/>
  <c r="AE159" i="6"/>
  <c r="AF159" i="6" s="1"/>
  <c r="AE128" i="6"/>
  <c r="AF128" i="6" s="1"/>
  <c r="AE146" i="6"/>
  <c r="AF146" i="6" s="1"/>
  <c r="AE124" i="6"/>
  <c r="AF124" i="6" s="1"/>
  <c r="AE139" i="6"/>
  <c r="AF139" i="6" s="1"/>
  <c r="AC81" i="6"/>
  <c r="U52" i="12" s="1"/>
  <c r="AD81" i="6"/>
  <c r="V52" i="12" s="1"/>
  <c r="AE177" i="6"/>
  <c r="AF177" i="6" s="1"/>
  <c r="T56" i="12"/>
  <c r="AE71" i="6"/>
  <c r="AF71" i="6" s="1"/>
  <c r="AD176" i="6"/>
  <c r="V147" i="12" s="1"/>
  <c r="AC176" i="6"/>
  <c r="U147" i="12" s="1"/>
  <c r="AB194" i="6"/>
  <c r="Y176" i="12" s="1"/>
  <c r="AE103" i="12"/>
  <c r="AE175" i="12" s="1"/>
  <c r="T143" i="12"/>
  <c r="AD175" i="6"/>
  <c r="V146" i="12" s="1"/>
  <c r="AC175" i="6"/>
  <c r="U146" i="12" s="1"/>
  <c r="T146" i="12"/>
  <c r="AE102" i="12"/>
  <c r="AD175" i="12" s="1"/>
  <c r="AB193" i="6"/>
  <c r="Y175" i="12" s="1"/>
  <c r="AE133" i="6"/>
  <c r="AF133" i="6" s="1"/>
  <c r="AE76" i="6"/>
  <c r="AF76" i="6" s="1"/>
  <c r="AE80" i="6"/>
  <c r="AF80" i="6" s="1"/>
  <c r="AE120" i="6"/>
  <c r="AF120" i="6" s="1"/>
  <c r="E144" i="10"/>
  <c r="AI175" i="6"/>
  <c r="AE146" i="12" s="1"/>
  <c r="AH175" i="6"/>
  <c r="D144" i="10" s="1"/>
  <c r="AE118" i="6"/>
  <c r="AF118" i="6" s="1"/>
  <c r="AI81" i="6"/>
  <c r="AE52" i="12" s="1"/>
  <c r="AB172" i="12" s="1"/>
  <c r="E50" i="10"/>
  <c r="AH81" i="6"/>
  <c r="D50" i="10" s="1"/>
  <c r="AE185" i="6"/>
  <c r="AF185" i="6" s="1"/>
  <c r="AE123" i="6"/>
  <c r="AF123" i="6" s="1"/>
  <c r="AE127" i="6"/>
  <c r="AF127" i="6" s="1"/>
  <c r="AE87" i="6"/>
  <c r="AF87" i="6" s="1"/>
  <c r="AE153" i="6"/>
  <c r="AF153" i="6" s="1"/>
  <c r="AE150" i="6"/>
  <c r="AF150" i="6" s="1"/>
  <c r="X129" i="12"/>
  <c r="AE168" i="6"/>
  <c r="AF168" i="6" s="1"/>
  <c r="AE137" i="6"/>
  <c r="AF137" i="6" s="1"/>
  <c r="AE165" i="6"/>
  <c r="AF165" i="6" s="1"/>
  <c r="AE92" i="6"/>
  <c r="AF92" i="6" s="1"/>
  <c r="E142" i="10"/>
  <c r="AI173" i="6"/>
  <c r="AE144" i="12" s="1"/>
  <c r="AH173" i="6"/>
  <c r="D142" i="10" s="1"/>
  <c r="AE167" i="6"/>
  <c r="AF167" i="6" s="1"/>
  <c r="AR46" i="1" l="1"/>
  <c r="AR47" i="1"/>
  <c r="AR49" i="1"/>
  <c r="AR50" i="1"/>
  <c r="AR52" i="1"/>
  <c r="AR45" i="1"/>
  <c r="AR48" i="1"/>
  <c r="AR51" i="1"/>
  <c r="AR38" i="1"/>
  <c r="AR39" i="1"/>
  <c r="AR41" i="1"/>
  <c r="AR42" i="1"/>
  <c r="AR40" i="1"/>
  <c r="AR43" i="1"/>
  <c r="AR37" i="1"/>
  <c r="AR44" i="1"/>
  <c r="Y170" i="12"/>
  <c r="AE174" i="6"/>
  <c r="AF174" i="6" s="1"/>
  <c r="AE83" i="6"/>
  <c r="AF83" i="6" s="1"/>
  <c r="AE172" i="6"/>
  <c r="AF172" i="6" s="1"/>
  <c r="AE86" i="6"/>
  <c r="AF86" i="6" s="1"/>
  <c r="AE84" i="6"/>
  <c r="AF84" i="6" s="1"/>
  <c r="AE82" i="6"/>
  <c r="AF82" i="6" s="1"/>
  <c r="AE81" i="6"/>
  <c r="AF81" i="6" s="1"/>
  <c r="AE173" i="6"/>
  <c r="AF173" i="6" s="1"/>
  <c r="AE85" i="6"/>
  <c r="AF85" i="6" s="1"/>
  <c r="X147" i="12"/>
  <c r="AE171" i="6"/>
  <c r="AF171" i="6" s="1"/>
  <c r="AE175" i="6"/>
  <c r="AF175" i="6" s="1"/>
  <c r="AE176" i="6"/>
  <c r="AF176" i="6" s="1"/>
  <c r="Q40" i="13" l="1"/>
  <c r="I40" i="13" s="1"/>
  <c r="Q52" i="13"/>
  <c r="I52" i="13" s="1"/>
  <c r="Q48" i="13"/>
  <c r="I48" i="13" s="1"/>
  <c r="Q43" i="13"/>
  <c r="I43" i="13" s="1"/>
  <c r="Q42" i="13"/>
  <c r="I42" i="13" s="1"/>
  <c r="Q50" i="13"/>
  <c r="I50" i="13" s="1"/>
  <c r="Q46" i="13"/>
  <c r="I46" i="13" s="1"/>
  <c r="Q37" i="13"/>
  <c r="I37" i="13" s="1"/>
  <c r="Q49" i="13"/>
  <c r="I49" i="13" s="1"/>
  <c r="Q45" i="13"/>
  <c r="I45" i="13" s="1"/>
  <c r="Q47" i="13"/>
  <c r="I47" i="13" s="1"/>
  <c r="Q44" i="13"/>
  <c r="I44" i="13" s="1"/>
  <c r="Q51" i="13"/>
  <c r="I51" i="13" s="1"/>
  <c r="Q41" i="13"/>
  <c r="I41" i="13" s="1"/>
  <c r="Q39" i="13"/>
  <c r="I39" i="13" s="1"/>
  <c r="Q38" i="13"/>
  <c r="I38" i="13" s="1"/>
  <c r="P49" i="13"/>
  <c r="E49" i="11" s="1"/>
  <c r="Y169" i="12"/>
  <c r="D122" i="11"/>
  <c r="C122" i="11" s="1"/>
  <c r="D204" i="11"/>
  <c r="C204" i="11" s="1"/>
  <c r="D140" i="11"/>
  <c r="C140" i="11" s="1"/>
  <c r="D76" i="11"/>
  <c r="C76" i="11" s="1"/>
  <c r="D90" i="11"/>
  <c r="C90" i="11" s="1"/>
  <c r="D84" i="11"/>
  <c r="C84" i="11" s="1"/>
  <c r="D148" i="11"/>
  <c r="C148" i="11" s="1"/>
  <c r="D212" i="11"/>
  <c r="C212" i="11" s="1"/>
  <c r="D87" i="11"/>
  <c r="C87" i="11" s="1"/>
  <c r="D59" i="11"/>
  <c r="C59" i="11" s="1"/>
  <c r="D142" i="11"/>
  <c r="C142" i="11" s="1"/>
  <c r="D117" i="11"/>
  <c r="C117" i="11" s="1"/>
  <c r="D116" i="11"/>
  <c r="C116" i="11" s="1"/>
  <c r="D186" i="11"/>
  <c r="C186" i="11" s="1"/>
  <c r="D82" i="11"/>
  <c r="C82" i="11" s="1"/>
  <c r="D26" i="11"/>
  <c r="C26" i="11" s="1"/>
  <c r="D66" i="11"/>
  <c r="C66" i="11" s="1"/>
  <c r="D208" i="11"/>
  <c r="C208" i="11" s="1"/>
  <c r="D184" i="11"/>
  <c r="C184" i="11" s="1"/>
  <c r="D144" i="11"/>
  <c r="C144" i="11" s="1"/>
  <c r="D120" i="11"/>
  <c r="C120" i="11" s="1"/>
  <c r="D96" i="11"/>
  <c r="C96" i="11" s="1"/>
  <c r="D80" i="11"/>
  <c r="C80" i="11" s="1"/>
  <c r="D56" i="11"/>
  <c r="C56" i="11" s="1"/>
  <c r="D79" i="11"/>
  <c r="C79" i="11" s="1"/>
  <c r="D22" i="11"/>
  <c r="C22" i="11" s="1"/>
  <c r="D103" i="11"/>
  <c r="C103" i="11" s="1"/>
  <c r="D178" i="11"/>
  <c r="C178" i="11" s="1"/>
  <c r="D161" i="11"/>
  <c r="C161" i="11" s="1"/>
  <c r="D167" i="11"/>
  <c r="C167" i="11" s="1"/>
  <c r="D53" i="11"/>
  <c r="C53" i="11" s="1"/>
  <c r="D111" i="11"/>
  <c r="C111" i="11" s="1"/>
  <c r="D185" i="11"/>
  <c r="C185" i="11" s="1"/>
  <c r="D121" i="11"/>
  <c r="C121" i="11" s="1"/>
  <c r="D107" i="11"/>
  <c r="C107" i="11" s="1"/>
  <c r="D166" i="11"/>
  <c r="C166" i="11" s="1"/>
  <c r="D170" i="11"/>
  <c r="C170" i="11" s="1"/>
  <c r="D157" i="11"/>
  <c r="C157" i="11" s="1"/>
  <c r="D94" i="11"/>
  <c r="C94" i="11" s="1"/>
  <c r="D158" i="11"/>
  <c r="C158" i="11" s="1"/>
  <c r="D197" i="11"/>
  <c r="C197" i="11" s="1"/>
  <c r="D110" i="11"/>
  <c r="C110" i="11" s="1"/>
  <c r="D173" i="11"/>
  <c r="C173" i="11" s="1"/>
  <c r="D65" i="11"/>
  <c r="C65" i="11" s="1"/>
  <c r="D118" i="11"/>
  <c r="C118" i="11" s="1"/>
  <c r="D174" i="11"/>
  <c r="C174" i="11" s="1"/>
  <c r="D190" i="11"/>
  <c r="C190" i="11" s="1"/>
  <c r="D180" i="11"/>
  <c r="C180" i="11" s="1"/>
  <c r="D36" i="11"/>
  <c r="C36" i="11" s="1"/>
  <c r="D106" i="11"/>
  <c r="C106" i="11" s="1"/>
  <c r="D130" i="11"/>
  <c r="C130" i="11" s="1"/>
  <c r="D74" i="11"/>
  <c r="C74" i="11" s="1"/>
  <c r="D160" i="11"/>
  <c r="C160" i="11" s="1"/>
  <c r="D172" i="11"/>
  <c r="C172" i="11" s="1"/>
  <c r="D200" i="11"/>
  <c r="C200" i="11" s="1"/>
  <c r="D72" i="11"/>
  <c r="C72" i="11" s="1"/>
  <c r="D60" i="11"/>
  <c r="C60" i="11" s="1"/>
  <c r="D108" i="11"/>
  <c r="C108" i="11" s="1"/>
  <c r="D209" i="11"/>
  <c r="C209" i="11" s="1"/>
  <c r="D123" i="11"/>
  <c r="C123" i="11" s="1"/>
  <c r="D135" i="11"/>
  <c r="C135" i="11" s="1"/>
  <c r="D69" i="11"/>
  <c r="C69" i="11" s="1"/>
  <c r="D75" i="11"/>
  <c r="C75" i="11" s="1"/>
  <c r="D198" i="11"/>
  <c r="C198" i="11" s="1"/>
  <c r="D99" i="11"/>
  <c r="C99" i="11" s="1"/>
  <c r="D62" i="11"/>
  <c r="C62" i="11" s="1"/>
  <c r="D189" i="11"/>
  <c r="C189" i="11" s="1"/>
  <c r="D152" i="11"/>
  <c r="C152" i="11" s="1"/>
  <c r="D68" i="11"/>
  <c r="C68" i="11" s="1"/>
  <c r="D155" i="11"/>
  <c r="C155" i="11" s="1"/>
  <c r="D85" i="11"/>
  <c r="C85" i="11" s="1"/>
  <c r="D63" i="11"/>
  <c r="C63" i="11" s="1"/>
  <c r="D181" i="11"/>
  <c r="C181" i="11" s="1"/>
  <c r="D93" i="11"/>
  <c r="C93" i="11" s="1"/>
  <c r="D153" i="11"/>
  <c r="C153" i="11" s="1"/>
  <c r="D131" i="11"/>
  <c r="C131" i="11" s="1"/>
  <c r="D34" i="11"/>
  <c r="C34" i="11" s="1"/>
  <c r="D104" i="11"/>
  <c r="C104" i="11" s="1"/>
  <c r="D206" i="11"/>
  <c r="C206" i="11" s="1"/>
  <c r="D191" i="11"/>
  <c r="C191" i="11" s="1"/>
  <c r="D127" i="11"/>
  <c r="C127" i="11" s="1"/>
  <c r="D58" i="11"/>
  <c r="C58" i="11" s="1"/>
  <c r="D112" i="11"/>
  <c r="C112" i="11" s="1"/>
  <c r="D164" i="11"/>
  <c r="C164" i="11" s="1"/>
  <c r="D61" i="11"/>
  <c r="C61" i="11" s="1"/>
  <c r="D67" i="11"/>
  <c r="C67" i="11" s="1"/>
  <c r="D169" i="11"/>
  <c r="C169" i="11" s="1"/>
  <c r="D175" i="11"/>
  <c r="C175" i="11" s="1"/>
  <c r="D101" i="11"/>
  <c r="C101" i="11" s="1"/>
  <c r="D27" i="11"/>
  <c r="C27" i="11" s="1"/>
  <c r="D179" i="11"/>
  <c r="C179" i="11" s="1"/>
  <c r="D202" i="11"/>
  <c r="C202" i="11" s="1"/>
  <c r="D113" i="11"/>
  <c r="C113" i="11" s="1"/>
  <c r="D146" i="11"/>
  <c r="C146" i="11" s="1"/>
  <c r="D30" i="11"/>
  <c r="C30" i="11" s="1"/>
  <c r="D95" i="11"/>
  <c r="C95" i="11" s="1"/>
  <c r="D211" i="11"/>
  <c r="C211" i="11" s="1"/>
  <c r="D129" i="11"/>
  <c r="C129" i="11" s="1"/>
  <c r="D29" i="11"/>
  <c r="C29" i="11" s="1"/>
  <c r="D134" i="11"/>
  <c r="C134" i="11" s="1"/>
  <c r="D199" i="11"/>
  <c r="C199" i="11" s="1"/>
  <c r="D192" i="11"/>
  <c r="C192" i="11" s="1"/>
  <c r="D64" i="11"/>
  <c r="C64" i="11" s="1"/>
  <c r="D124" i="11"/>
  <c r="C124" i="11" s="1"/>
  <c r="D139" i="11"/>
  <c r="C139" i="11" s="1"/>
  <c r="D109" i="11"/>
  <c r="C109" i="11" s="1"/>
  <c r="D151" i="11"/>
  <c r="C151" i="11" s="1"/>
  <c r="D31" i="11"/>
  <c r="C31" i="11" s="1"/>
  <c r="D70" i="11"/>
  <c r="C70" i="11" s="1"/>
  <c r="D28" i="11"/>
  <c r="C28" i="11" s="1"/>
  <c r="D114" i="11"/>
  <c r="C114" i="11" s="1"/>
  <c r="D88" i="11"/>
  <c r="C88" i="11" s="1"/>
  <c r="C21" i="11"/>
  <c r="D33" i="11"/>
  <c r="C33" i="11" s="1"/>
  <c r="D147" i="11"/>
  <c r="C147" i="11" s="1"/>
  <c r="D163" i="11"/>
  <c r="C163" i="11" s="1"/>
  <c r="D23" i="11"/>
  <c r="C23" i="11" s="1"/>
  <c r="D71" i="11"/>
  <c r="C71" i="11" s="1"/>
  <c r="D193" i="11"/>
  <c r="C193" i="11" s="1"/>
  <c r="D149" i="11"/>
  <c r="C149" i="11" s="1"/>
  <c r="D196" i="11"/>
  <c r="C196" i="11" s="1"/>
  <c r="D83" i="11"/>
  <c r="C83" i="11" s="1"/>
  <c r="D143" i="11"/>
  <c r="C143" i="11" s="1"/>
  <c r="D137" i="11"/>
  <c r="C137" i="11" s="1"/>
  <c r="D54" i="11"/>
  <c r="C54" i="11" s="1"/>
  <c r="D162" i="11"/>
  <c r="C162" i="11" s="1"/>
  <c r="D24" i="11"/>
  <c r="C24" i="11" s="1"/>
  <c r="D195" i="11"/>
  <c r="C195" i="11" s="1"/>
  <c r="D154" i="11"/>
  <c r="C154" i="11" s="1"/>
  <c r="D182" i="11"/>
  <c r="C182" i="11" s="1"/>
  <c r="D187" i="11"/>
  <c r="C187" i="11" s="1"/>
  <c r="D97" i="11"/>
  <c r="C97" i="11" s="1"/>
  <c r="D89" i="11"/>
  <c r="C89" i="11" s="1"/>
  <c r="D150" i="11"/>
  <c r="C150" i="11" s="1"/>
  <c r="D168" i="11"/>
  <c r="C168" i="11" s="1"/>
  <c r="D156" i="11"/>
  <c r="C156" i="11" s="1"/>
  <c r="D81" i="11"/>
  <c r="C81" i="11" s="1"/>
  <c r="D205" i="11"/>
  <c r="C205" i="11" s="1"/>
  <c r="D102" i="11"/>
  <c r="C102" i="11" s="1"/>
  <c r="D183" i="11"/>
  <c r="C183" i="11" s="1"/>
  <c r="D159" i="11"/>
  <c r="C159" i="11" s="1"/>
  <c r="D78" i="11"/>
  <c r="C78" i="11" s="1"/>
  <c r="D126" i="11"/>
  <c r="C126" i="11" s="1"/>
  <c r="D136" i="11"/>
  <c r="C136" i="11" s="1"/>
  <c r="D188" i="11"/>
  <c r="C188" i="11" s="1"/>
  <c r="D77" i="11"/>
  <c r="C77" i="11" s="1"/>
  <c r="D91" i="11"/>
  <c r="C91" i="11" s="1"/>
  <c r="D125" i="11"/>
  <c r="C125" i="11" s="1"/>
  <c r="D201" i="11"/>
  <c r="C201" i="11" s="1"/>
  <c r="D177" i="11"/>
  <c r="C177" i="11" s="1"/>
  <c r="D35" i="11"/>
  <c r="C35" i="11" s="1"/>
  <c r="D210" i="11"/>
  <c r="C210" i="11" s="1"/>
  <c r="D86" i="11"/>
  <c r="C86" i="11" s="1"/>
  <c r="D98" i="11"/>
  <c r="C98" i="11" s="1"/>
  <c r="D32" i="11"/>
  <c r="C32" i="11" s="1"/>
  <c r="D92" i="11"/>
  <c r="C92" i="11" s="1"/>
  <c r="D105" i="11"/>
  <c r="C105" i="11" s="1"/>
  <c r="D128" i="11"/>
  <c r="C128" i="11" s="1"/>
  <c r="D165" i="11"/>
  <c r="C165" i="11" s="1"/>
  <c r="D141" i="11"/>
  <c r="C141" i="11" s="1"/>
  <c r="D100" i="11"/>
  <c r="C100" i="11" s="1"/>
  <c r="D73" i="11"/>
  <c r="C73" i="11" s="1"/>
  <c r="D115" i="11"/>
  <c r="C115" i="11" s="1"/>
  <c r="D132" i="11"/>
  <c r="C132" i="11" s="1"/>
  <c r="D145" i="11"/>
  <c r="C145" i="11" s="1"/>
  <c r="D194" i="11"/>
  <c r="C194" i="11" s="1"/>
  <c r="D133" i="11"/>
  <c r="C133" i="11" s="1"/>
  <c r="D119" i="11"/>
  <c r="C119" i="11" s="1"/>
  <c r="D138" i="11"/>
  <c r="C138" i="11" s="1"/>
  <c r="D176" i="11"/>
  <c r="C176" i="11" s="1"/>
  <c r="D203" i="11"/>
  <c r="C203" i="11" s="1"/>
  <c r="D25" i="11"/>
  <c r="C25" i="11" s="1"/>
  <c r="D57" i="11"/>
  <c r="C57" i="11" s="1"/>
  <c r="D207" i="11"/>
  <c r="C207" i="11" s="1"/>
  <c r="D171" i="11"/>
  <c r="C171" i="11" s="1"/>
  <c r="D55" i="11"/>
  <c r="C55" i="11" s="1"/>
  <c r="P40" i="13" l="1"/>
  <c r="E40" i="11" s="1"/>
  <c r="P42" i="13"/>
  <c r="E42" i="11" s="1"/>
  <c r="P50" i="13"/>
  <c r="E50" i="11" s="1"/>
  <c r="P45" i="13"/>
  <c r="E45" i="11" s="1"/>
  <c r="P43" i="13"/>
  <c r="E43" i="11" s="1"/>
  <c r="P48" i="13"/>
  <c r="E48" i="11" s="1"/>
  <c r="P46" i="13"/>
  <c r="E46" i="11" s="1"/>
  <c r="P44" i="13"/>
  <c r="E44" i="11" s="1"/>
  <c r="P52" i="13"/>
  <c r="E52" i="11" s="1"/>
  <c r="P47" i="13"/>
  <c r="E47" i="11" s="1"/>
  <c r="P51" i="13"/>
  <c r="E51" i="11" s="1"/>
  <c r="P37" i="13"/>
  <c r="E37" i="11" s="1"/>
  <c r="P38" i="13"/>
  <c r="E38" i="11" s="1"/>
  <c r="P39" i="13"/>
  <c r="E39" i="11" s="1"/>
  <c r="P41" i="13"/>
  <c r="E41" i="11" s="1"/>
  <c r="AU2" i="1"/>
  <c r="AR2" i="1" s="1"/>
  <c r="AU4" i="1"/>
  <c r="AR4" i="1" s="1"/>
  <c r="AU3" i="1"/>
  <c r="AR3" i="1" s="1"/>
  <c r="AU7" i="1"/>
  <c r="AU5" i="1"/>
  <c r="AR5" i="1" s="1"/>
  <c r="AU6" i="1"/>
  <c r="AR6" i="1" s="1"/>
  <c r="AU14" i="1"/>
  <c r="AR14" i="1" s="1"/>
  <c r="AU13" i="1"/>
  <c r="AR13" i="1" s="1"/>
  <c r="AU15" i="1"/>
  <c r="AU61" i="1"/>
  <c r="AR61" i="1" s="1"/>
  <c r="AU70" i="1"/>
  <c r="AR70" i="1" s="1"/>
  <c r="AU166" i="1"/>
  <c r="AR166" i="1" s="1"/>
  <c r="AU119" i="1"/>
  <c r="AU22" i="1"/>
  <c r="AR22" i="1" s="1"/>
  <c r="AU111" i="1"/>
  <c r="AU63" i="1"/>
  <c r="AU71" i="1"/>
  <c r="AU191" i="1"/>
  <c r="AU69" i="1"/>
  <c r="AR69" i="1" s="1"/>
  <c r="AU87" i="1"/>
  <c r="AU135" i="1"/>
  <c r="AU109" i="1"/>
  <c r="AR109" i="1" s="1"/>
  <c r="AU174" i="1"/>
  <c r="AR174" i="1" s="1"/>
  <c r="AU173" i="1"/>
  <c r="AR173" i="1" s="1"/>
  <c r="AU95" i="1"/>
  <c r="AU190" i="1"/>
  <c r="AR190" i="1" s="1"/>
  <c r="AU158" i="1"/>
  <c r="AR158" i="1" s="1"/>
  <c r="AU55" i="1"/>
  <c r="AU79" i="1"/>
  <c r="AU142" i="1"/>
  <c r="AR142" i="1" s="1"/>
  <c r="AU78" i="1"/>
  <c r="AR78" i="1" s="1"/>
  <c r="AU206" i="1"/>
  <c r="AR206" i="1" s="1"/>
  <c r="AU207" i="1"/>
  <c r="AU151" i="1"/>
  <c r="AU101" i="1"/>
  <c r="AR101" i="1" s="1"/>
  <c r="AU157" i="1"/>
  <c r="AR157" i="1" s="1"/>
  <c r="AU86" i="1"/>
  <c r="AR86" i="1" s="1"/>
  <c r="AU117" i="1"/>
  <c r="AR117" i="1" s="1"/>
  <c r="AU133" i="1"/>
  <c r="AR133" i="1" s="1"/>
  <c r="AU23" i="1"/>
  <c r="AU30" i="1"/>
  <c r="AR30" i="1" s="1"/>
  <c r="AU181" i="1"/>
  <c r="AR181" i="1" s="1"/>
  <c r="AU198" i="1"/>
  <c r="AR198" i="1" s="1"/>
  <c r="AU21" i="1"/>
  <c r="AR21" i="1" s="1"/>
  <c r="AU118" i="1"/>
  <c r="AR118" i="1" s="1"/>
  <c r="AU85" i="1"/>
  <c r="AR85" i="1" s="1"/>
  <c r="AU182" i="1"/>
  <c r="AR182" i="1" s="1"/>
  <c r="AU165" i="1"/>
  <c r="AR165" i="1" s="1"/>
  <c r="AU77" i="1"/>
  <c r="AR77" i="1" s="1"/>
  <c r="AU110" i="1"/>
  <c r="AR110" i="1" s="1"/>
  <c r="AU159" i="1"/>
  <c r="AU62" i="1"/>
  <c r="AR62" i="1" s="1"/>
  <c r="AU143" i="1"/>
  <c r="AU197" i="1"/>
  <c r="AR197" i="1" s="1"/>
  <c r="AU199" i="1"/>
  <c r="AU175" i="1"/>
  <c r="AU134" i="1"/>
  <c r="AR134" i="1" s="1"/>
  <c r="AU53" i="1"/>
  <c r="AR53" i="1" s="1"/>
  <c r="AU126" i="1"/>
  <c r="AR126" i="1" s="1"/>
  <c r="AU31" i="1"/>
  <c r="AU150" i="1"/>
  <c r="AR150" i="1" s="1"/>
  <c r="AU205" i="1"/>
  <c r="AR205" i="1" s="1"/>
  <c r="AU54" i="1"/>
  <c r="AR54" i="1" s="1"/>
  <c r="AU167" i="1"/>
  <c r="AU183" i="1"/>
  <c r="AU94" i="1"/>
  <c r="AR94" i="1" s="1"/>
  <c r="AU149" i="1"/>
  <c r="AR149" i="1" s="1"/>
  <c r="AU103" i="1"/>
  <c r="AU127" i="1"/>
  <c r="AU141" i="1"/>
  <c r="AR141" i="1" s="1"/>
  <c r="AU29" i="1"/>
  <c r="AR29" i="1" s="1"/>
  <c r="AU93" i="1"/>
  <c r="AR93" i="1" s="1"/>
  <c r="AU189" i="1"/>
  <c r="AR189" i="1" s="1"/>
  <c r="AU102" i="1"/>
  <c r="AR102" i="1" s="1"/>
  <c r="AU125" i="1"/>
  <c r="AR125" i="1" s="1"/>
  <c r="Q126" i="13" l="1"/>
  <c r="I126" i="13" s="1"/>
  <c r="Q158" i="13"/>
  <c r="I158" i="13" s="1"/>
  <c r="Q53" i="13"/>
  <c r="I53" i="13" s="1"/>
  <c r="Q190" i="13"/>
  <c r="I190" i="13" s="1"/>
  <c r="Q189" i="13"/>
  <c r="I189" i="13" s="1"/>
  <c r="Q134" i="13"/>
  <c r="I134" i="13" s="1"/>
  <c r="Q77" i="13"/>
  <c r="I77" i="13" s="1"/>
  <c r="Q30" i="13"/>
  <c r="I30" i="13" s="1"/>
  <c r="Q150" i="13"/>
  <c r="I150" i="13" s="1"/>
  <c r="Q125" i="13"/>
  <c r="I125" i="13" s="1"/>
  <c r="Q101" i="13"/>
  <c r="I101" i="13" s="1"/>
  <c r="Q70" i="13"/>
  <c r="I70" i="13" s="1"/>
  <c r="Q94" i="13"/>
  <c r="I94" i="13" s="1"/>
  <c r="Q181" i="13"/>
  <c r="I181" i="13" s="1"/>
  <c r="Q61" i="13"/>
  <c r="I61" i="13" s="1"/>
  <c r="Q93" i="13"/>
  <c r="I93" i="13" s="1"/>
  <c r="Q165" i="13"/>
  <c r="I165" i="13" s="1"/>
  <c r="Q206" i="13"/>
  <c r="I206" i="13" s="1"/>
  <c r="Q173" i="13"/>
  <c r="I173" i="13" s="1"/>
  <c r="Q13" i="13"/>
  <c r="I13" i="13" s="1"/>
  <c r="Q118" i="13"/>
  <c r="I118" i="13" s="1"/>
  <c r="Q149" i="13"/>
  <c r="I149" i="13" s="1"/>
  <c r="Q198" i="13"/>
  <c r="I198" i="13" s="1"/>
  <c r="Q69" i="13"/>
  <c r="I69" i="13" s="1"/>
  <c r="Q102" i="13"/>
  <c r="I102" i="13" s="1"/>
  <c r="Q110" i="13"/>
  <c r="I110" i="13" s="1"/>
  <c r="Q29" i="13"/>
  <c r="I29" i="13" s="1"/>
  <c r="Q54" i="13"/>
  <c r="I54" i="13" s="1"/>
  <c r="Q182" i="13"/>
  <c r="I182" i="13" s="1"/>
  <c r="Q133" i="13"/>
  <c r="I133" i="13" s="1"/>
  <c r="Q78" i="13"/>
  <c r="I78" i="13" s="1"/>
  <c r="Q174" i="13"/>
  <c r="I174" i="13" s="1"/>
  <c r="Q14" i="13"/>
  <c r="I14" i="13" s="1"/>
  <c r="Q3" i="13"/>
  <c r="Q4" i="13"/>
  <c r="Q141" i="13"/>
  <c r="I141" i="13" s="1"/>
  <c r="Q205" i="13"/>
  <c r="I205" i="13" s="1"/>
  <c r="Q197" i="13"/>
  <c r="I197" i="13" s="1"/>
  <c r="Q85" i="13"/>
  <c r="I85" i="13" s="1"/>
  <c r="Q117" i="13"/>
  <c r="I117" i="13" s="1"/>
  <c r="Q142" i="13"/>
  <c r="I142" i="13" s="1"/>
  <c r="Q109" i="13"/>
  <c r="I109" i="13" s="1"/>
  <c r="Q22" i="13"/>
  <c r="I22" i="13" s="1"/>
  <c r="Q6" i="13"/>
  <c r="I6" i="13" s="1"/>
  <c r="Q86" i="13"/>
  <c r="I86" i="13" s="1"/>
  <c r="Q5" i="13"/>
  <c r="I5" i="13" s="1"/>
  <c r="Q62" i="13"/>
  <c r="I62" i="13" s="1"/>
  <c r="Q21" i="13"/>
  <c r="I21" i="13" s="1"/>
  <c r="Q157" i="13"/>
  <c r="I157" i="13" s="1"/>
  <c r="Q166" i="13"/>
  <c r="I166" i="13" s="1"/>
  <c r="P53" i="13"/>
  <c r="E53" i="11" s="1"/>
  <c r="Q2" i="13"/>
  <c r="AU168" i="1"/>
  <c r="AR167" i="1"/>
  <c r="AU176" i="1"/>
  <c r="AR175" i="1"/>
  <c r="AU24" i="1"/>
  <c r="AR23" i="1"/>
  <c r="AU64" i="1"/>
  <c r="AR63" i="1"/>
  <c r="AU200" i="1"/>
  <c r="AR199" i="1"/>
  <c r="AU112" i="1"/>
  <c r="AR111" i="1"/>
  <c r="AU128" i="1"/>
  <c r="AR127" i="1"/>
  <c r="AU144" i="1"/>
  <c r="AR143" i="1"/>
  <c r="AU80" i="1"/>
  <c r="AR79" i="1"/>
  <c r="AU136" i="1"/>
  <c r="AR135" i="1"/>
  <c r="AU120" i="1"/>
  <c r="AR119" i="1"/>
  <c r="AU104" i="1"/>
  <c r="AR103" i="1"/>
  <c r="AU32" i="1"/>
  <c r="AR31" i="1"/>
  <c r="AU56" i="1"/>
  <c r="AR55" i="1"/>
  <c r="AU88" i="1"/>
  <c r="AR87" i="1"/>
  <c r="AU8" i="1"/>
  <c r="AR7" i="1"/>
  <c r="AU160" i="1"/>
  <c r="AR159" i="1"/>
  <c r="AU152" i="1"/>
  <c r="AR151" i="1"/>
  <c r="AU192" i="1"/>
  <c r="AR191" i="1"/>
  <c r="AU184" i="1"/>
  <c r="AR183" i="1"/>
  <c r="AU208" i="1"/>
  <c r="AR207" i="1"/>
  <c r="AU96" i="1"/>
  <c r="AR95" i="1"/>
  <c r="AU72" i="1"/>
  <c r="AR71" i="1"/>
  <c r="AU16" i="1"/>
  <c r="AR15" i="1"/>
  <c r="P110" i="13" l="1"/>
  <c r="E110" i="11" s="1"/>
  <c r="P94" i="13"/>
  <c r="E94" i="11" s="1"/>
  <c r="P133" i="13"/>
  <c r="E133" i="11" s="1"/>
  <c r="P61" i="13"/>
  <c r="E61" i="11" s="1"/>
  <c r="P142" i="13"/>
  <c r="E142" i="11" s="1"/>
  <c r="P141" i="13"/>
  <c r="E141" i="11" s="1"/>
  <c r="Q31" i="13"/>
  <c r="I31" i="13" s="1"/>
  <c r="Q79" i="13"/>
  <c r="I79" i="13" s="1"/>
  <c r="Q167" i="13"/>
  <c r="I167" i="13" s="1"/>
  <c r="Q103" i="13"/>
  <c r="I103" i="13" s="1"/>
  <c r="P21" i="13"/>
  <c r="E21" i="11" s="1"/>
  <c r="Q207" i="13"/>
  <c r="I207" i="13" s="1"/>
  <c r="Q199" i="13"/>
  <c r="I199" i="13" s="1"/>
  <c r="Q15" i="13"/>
  <c r="I15" i="13" s="1"/>
  <c r="Q183" i="13"/>
  <c r="I183" i="13" s="1"/>
  <c r="Q7" i="13"/>
  <c r="I7" i="13" s="1"/>
  <c r="Q143" i="13"/>
  <c r="I143" i="13" s="1"/>
  <c r="Q63" i="13"/>
  <c r="I63" i="13" s="1"/>
  <c r="Q159" i="13"/>
  <c r="I159" i="13" s="1"/>
  <c r="Q71" i="13"/>
  <c r="I71" i="13" s="1"/>
  <c r="Q191" i="13"/>
  <c r="I191" i="13" s="1"/>
  <c r="Q87" i="13"/>
  <c r="I87" i="13" s="1"/>
  <c r="Q119" i="13"/>
  <c r="I119" i="13" s="1"/>
  <c r="Q127" i="13"/>
  <c r="I127" i="13" s="1"/>
  <c r="Q23" i="13"/>
  <c r="I23" i="13" s="1"/>
  <c r="Q95" i="13"/>
  <c r="I95" i="13" s="1"/>
  <c r="Q151" i="13"/>
  <c r="I151" i="13" s="1"/>
  <c r="Q55" i="13"/>
  <c r="I55" i="13" s="1"/>
  <c r="Q135" i="13"/>
  <c r="I135" i="13" s="1"/>
  <c r="Q111" i="13"/>
  <c r="I111" i="13" s="1"/>
  <c r="Q175" i="13"/>
  <c r="I175" i="13" s="1"/>
  <c r="P62" i="13"/>
  <c r="E62" i="11" s="1"/>
  <c r="P149" i="13"/>
  <c r="E149" i="11" s="1"/>
  <c r="P109" i="13"/>
  <c r="E109" i="11" s="1"/>
  <c r="P173" i="13"/>
  <c r="E173" i="11" s="1"/>
  <c r="P30" i="13"/>
  <c r="E30" i="11" s="1"/>
  <c r="P158" i="13"/>
  <c r="E158" i="11" s="1"/>
  <c r="P166" i="13"/>
  <c r="E166" i="11" s="1"/>
  <c r="P93" i="13"/>
  <c r="E93" i="11" s="1"/>
  <c r="P70" i="13"/>
  <c r="E70" i="11" s="1"/>
  <c r="P157" i="13"/>
  <c r="E157" i="11" s="1"/>
  <c r="P165" i="13"/>
  <c r="E165" i="11" s="1"/>
  <c r="P101" i="13"/>
  <c r="E101" i="11" s="1"/>
  <c r="P102" i="13"/>
  <c r="E102" i="11" s="1"/>
  <c r="P126" i="13"/>
  <c r="E126" i="11" s="1"/>
  <c r="P86" i="13"/>
  <c r="E86" i="11" s="1"/>
  <c r="P118" i="13"/>
  <c r="E118" i="11" s="1"/>
  <c r="P85" i="13"/>
  <c r="E85" i="11" s="1"/>
  <c r="P117" i="13"/>
  <c r="E117" i="11" s="1"/>
  <c r="P54" i="13"/>
  <c r="E54" i="11" s="1"/>
  <c r="P78" i="13"/>
  <c r="E78" i="11" s="1"/>
  <c r="P174" i="13"/>
  <c r="E174" i="11" s="1"/>
  <c r="P150" i="13"/>
  <c r="E150" i="11" s="1"/>
  <c r="P125" i="13"/>
  <c r="E125" i="11" s="1"/>
  <c r="P134" i="13"/>
  <c r="E134" i="11" s="1"/>
  <c r="P22" i="13"/>
  <c r="E22" i="11" s="1"/>
  <c r="AU73" i="1"/>
  <c r="AR72" i="1"/>
  <c r="AU153" i="1"/>
  <c r="AR152" i="1"/>
  <c r="AU161" i="1"/>
  <c r="AR160" i="1"/>
  <c r="AU81" i="1"/>
  <c r="AR80" i="1"/>
  <c r="P69" i="13"/>
  <c r="E69" i="11" s="1"/>
  <c r="AU25" i="1"/>
  <c r="AR24" i="1"/>
  <c r="AU97" i="1"/>
  <c r="AR96" i="1"/>
  <c r="AU89" i="1"/>
  <c r="AR88" i="1"/>
  <c r="AU129" i="1"/>
  <c r="AR128" i="1"/>
  <c r="P29" i="13"/>
  <c r="E29" i="11" s="1"/>
  <c r="AU209" i="1"/>
  <c r="AR208" i="1"/>
  <c r="AU185" i="1"/>
  <c r="AR184" i="1"/>
  <c r="AU57" i="1"/>
  <c r="AR56" i="1"/>
  <c r="AU33" i="1"/>
  <c r="AR32" i="1"/>
  <c r="AU121" i="1"/>
  <c r="AR120" i="1"/>
  <c r="AU65" i="1"/>
  <c r="AR64" i="1"/>
  <c r="AU177" i="1"/>
  <c r="AR176" i="1"/>
  <c r="AU17" i="1"/>
  <c r="AR16" i="1"/>
  <c r="AU193" i="1"/>
  <c r="AR192" i="1"/>
  <c r="AU9" i="1"/>
  <c r="AR8" i="1"/>
  <c r="AU105" i="1"/>
  <c r="AR104" i="1"/>
  <c r="AU137" i="1"/>
  <c r="AR136" i="1"/>
  <c r="AU145" i="1"/>
  <c r="AR144" i="1"/>
  <c r="P77" i="13"/>
  <c r="E77" i="11" s="1"/>
  <c r="AU113" i="1"/>
  <c r="AR112" i="1"/>
  <c r="AU201" i="1"/>
  <c r="AR200" i="1"/>
  <c r="AU169" i="1"/>
  <c r="AR168" i="1"/>
  <c r="P151" i="13" l="1"/>
  <c r="E151" i="11" s="1"/>
  <c r="P63" i="13"/>
  <c r="Q128" i="13"/>
  <c r="I128" i="13" s="1"/>
  <c r="Q176" i="13"/>
  <c r="I176" i="13" s="1"/>
  <c r="Q120" i="13"/>
  <c r="I120" i="13" s="1"/>
  <c r="Q136" i="13"/>
  <c r="I136" i="13" s="1"/>
  <c r="Q32" i="13"/>
  <c r="I32" i="13" s="1"/>
  <c r="Q72" i="13"/>
  <c r="I72" i="13" s="1"/>
  <c r="Q200" i="13"/>
  <c r="I200" i="13" s="1"/>
  <c r="Q104" i="13"/>
  <c r="I104" i="13" s="1"/>
  <c r="Q80" i="13"/>
  <c r="I80" i="13" s="1"/>
  <c r="Q112" i="13"/>
  <c r="I112" i="13" s="1"/>
  <c r="Q88" i="13"/>
  <c r="I88" i="13" s="1"/>
  <c r="Q144" i="13"/>
  <c r="I144" i="13" s="1"/>
  <c r="Q8" i="13"/>
  <c r="I8" i="13" s="1"/>
  <c r="Q64" i="13"/>
  <c r="I64" i="13" s="1"/>
  <c r="Q184" i="13"/>
  <c r="I184" i="13" s="1"/>
  <c r="Q160" i="13"/>
  <c r="I160" i="13" s="1"/>
  <c r="P103" i="13"/>
  <c r="E103" i="11" s="1"/>
  <c r="Q192" i="13"/>
  <c r="I192" i="13" s="1"/>
  <c r="Q208" i="13"/>
  <c r="I208" i="13" s="1"/>
  <c r="Q152" i="13"/>
  <c r="I152" i="13" s="1"/>
  <c r="Q16" i="13"/>
  <c r="I16" i="13" s="1"/>
  <c r="Q56" i="13"/>
  <c r="I56" i="13" s="1"/>
  <c r="Q96" i="13"/>
  <c r="I96" i="13" s="1"/>
  <c r="P159" i="13"/>
  <c r="E159" i="11" s="1"/>
  <c r="Q168" i="13"/>
  <c r="I168" i="13" s="1"/>
  <c r="Q24" i="13"/>
  <c r="I24" i="13" s="1"/>
  <c r="P79" i="13"/>
  <c r="E79" i="11" s="1"/>
  <c r="P143" i="13"/>
  <c r="E143" i="11" s="1"/>
  <c r="P71" i="13"/>
  <c r="P55" i="13"/>
  <c r="P31" i="13"/>
  <c r="E31" i="11" s="1"/>
  <c r="P23" i="13"/>
  <c r="E23" i="11" s="1"/>
  <c r="P87" i="13"/>
  <c r="E87" i="11" s="1"/>
  <c r="P167" i="13"/>
  <c r="E167" i="11" s="1"/>
  <c r="P95" i="13"/>
  <c r="E95" i="11" s="1"/>
  <c r="P135" i="13"/>
  <c r="E135" i="11" s="1"/>
  <c r="P119" i="13"/>
  <c r="E119" i="11" s="1"/>
  <c r="P127" i="13"/>
  <c r="E127" i="11" s="1"/>
  <c r="P111" i="13"/>
  <c r="E111" i="11" s="1"/>
  <c r="P175" i="13"/>
  <c r="E175" i="11" s="1"/>
  <c r="AU202" i="1"/>
  <c r="AR201" i="1"/>
  <c r="AU114" i="1"/>
  <c r="AR113" i="1"/>
  <c r="AU146" i="1"/>
  <c r="AR145" i="1"/>
  <c r="AU194" i="1"/>
  <c r="AR193" i="1"/>
  <c r="AU186" i="1"/>
  <c r="AR185" i="1"/>
  <c r="AU130" i="1"/>
  <c r="AR129" i="1"/>
  <c r="AU10" i="1"/>
  <c r="AR10" i="1" s="1"/>
  <c r="AR9" i="1"/>
  <c r="AU82" i="1"/>
  <c r="AR81" i="1"/>
  <c r="AU138" i="1"/>
  <c r="AR137" i="1"/>
  <c r="AU18" i="1"/>
  <c r="AR17" i="1"/>
  <c r="AU122" i="1"/>
  <c r="AR121" i="1"/>
  <c r="AU210" i="1"/>
  <c r="AR209" i="1"/>
  <c r="AU90" i="1"/>
  <c r="AR89" i="1"/>
  <c r="AU162" i="1"/>
  <c r="AR161" i="1"/>
  <c r="AU170" i="1"/>
  <c r="AR169" i="1"/>
  <c r="AU106" i="1"/>
  <c r="AR105" i="1"/>
  <c r="AU178" i="1"/>
  <c r="AR177" i="1"/>
  <c r="AU34" i="1"/>
  <c r="AR33" i="1"/>
  <c r="AU98" i="1"/>
  <c r="AR97" i="1"/>
  <c r="AU154" i="1"/>
  <c r="AR153" i="1"/>
  <c r="AU66" i="1"/>
  <c r="AR65" i="1"/>
  <c r="AU58" i="1"/>
  <c r="AR57" i="1"/>
  <c r="AU26" i="1"/>
  <c r="AR25" i="1"/>
  <c r="AU74" i="1"/>
  <c r="AR73" i="1"/>
  <c r="E63" i="11" l="1"/>
  <c r="P96" i="13"/>
  <c r="E96" i="11" s="1"/>
  <c r="P64" i="13"/>
  <c r="P88" i="13"/>
  <c r="E88" i="11" s="1"/>
  <c r="P168" i="13"/>
  <c r="E168" i="11" s="1"/>
  <c r="Q33" i="13"/>
  <c r="I33" i="13" s="1"/>
  <c r="Q113" i="13"/>
  <c r="I113" i="13" s="1"/>
  <c r="Q73" i="13"/>
  <c r="I73" i="13" s="1"/>
  <c r="Q81" i="13"/>
  <c r="I81" i="13" s="1"/>
  <c r="Q193" i="13"/>
  <c r="I193" i="13" s="1"/>
  <c r="Q57" i="13"/>
  <c r="I57" i="13" s="1"/>
  <c r="Q129" i="13"/>
  <c r="I129" i="13" s="1"/>
  <c r="Q177" i="13"/>
  <c r="I177" i="13" s="1"/>
  <c r="Q137" i="13"/>
  <c r="I137" i="13" s="1"/>
  <c r="Q201" i="13"/>
  <c r="I201" i="13" s="1"/>
  <c r="Q153" i="13"/>
  <c r="I153" i="13" s="1"/>
  <c r="Q17" i="13"/>
  <c r="I17" i="13" s="1"/>
  <c r="Q65" i="13"/>
  <c r="I65" i="13" s="1"/>
  <c r="Q185" i="13"/>
  <c r="I185" i="13" s="1"/>
  <c r="Q105" i="13"/>
  <c r="I105" i="13" s="1"/>
  <c r="Q25" i="13"/>
  <c r="I25" i="13" s="1"/>
  <c r="Q97" i="13"/>
  <c r="I97" i="13" s="1"/>
  <c r="Q169" i="13"/>
  <c r="I169" i="13" s="1"/>
  <c r="Q121" i="13"/>
  <c r="I121" i="13" s="1"/>
  <c r="Q9" i="13"/>
  <c r="I9" i="13" s="1"/>
  <c r="Q145" i="13"/>
  <c r="I145" i="13" s="1"/>
  <c r="P160" i="13"/>
  <c r="E160" i="11" s="1"/>
  <c r="Q161" i="13"/>
  <c r="I161" i="13" s="1"/>
  <c r="Q89" i="13"/>
  <c r="I89" i="13" s="1"/>
  <c r="Q209" i="13"/>
  <c r="I209" i="13" s="1"/>
  <c r="Q10" i="13"/>
  <c r="I10" i="13" s="1"/>
  <c r="E55" i="11"/>
  <c r="E71" i="11"/>
  <c r="P32" i="13"/>
  <c r="E32" i="11" s="1"/>
  <c r="P112" i="13"/>
  <c r="E112" i="11" s="1"/>
  <c r="P120" i="13"/>
  <c r="E120" i="11" s="1"/>
  <c r="P176" i="13"/>
  <c r="E176" i="11" s="1"/>
  <c r="P24" i="13"/>
  <c r="E24" i="11" s="1"/>
  <c r="P136" i="13"/>
  <c r="E136" i="11" s="1"/>
  <c r="P128" i="13"/>
  <c r="E128" i="11" s="1"/>
  <c r="P144" i="13"/>
  <c r="E144" i="11" s="1"/>
  <c r="P104" i="13"/>
  <c r="E104" i="11" s="1"/>
  <c r="P72" i="13"/>
  <c r="P56" i="13"/>
  <c r="P152" i="13"/>
  <c r="E152" i="11" s="1"/>
  <c r="AU35" i="1"/>
  <c r="AR34" i="1"/>
  <c r="AU19" i="1"/>
  <c r="AR18" i="1"/>
  <c r="AU131" i="1"/>
  <c r="AR130" i="1"/>
  <c r="AU115" i="1"/>
  <c r="AR114" i="1"/>
  <c r="AU179" i="1"/>
  <c r="AR178" i="1"/>
  <c r="AU155" i="1"/>
  <c r="AR154" i="1"/>
  <c r="AU91" i="1"/>
  <c r="AR90" i="1"/>
  <c r="AU139" i="1"/>
  <c r="AR138" i="1"/>
  <c r="AU187" i="1"/>
  <c r="AR186" i="1"/>
  <c r="AU59" i="1"/>
  <c r="AR58" i="1"/>
  <c r="AU27" i="1"/>
  <c r="AR26" i="1"/>
  <c r="AU67" i="1"/>
  <c r="AR66" i="1"/>
  <c r="AU107" i="1"/>
  <c r="AR106" i="1"/>
  <c r="AU75" i="1"/>
  <c r="AR74" i="1"/>
  <c r="AU99" i="1"/>
  <c r="AR98" i="1"/>
  <c r="AU211" i="1"/>
  <c r="AR210" i="1"/>
  <c r="AU83" i="1"/>
  <c r="AR82" i="1"/>
  <c r="AU11" i="1"/>
  <c r="AU195" i="1"/>
  <c r="AR194" i="1"/>
  <c r="AU203" i="1"/>
  <c r="AR202" i="1"/>
  <c r="AU171" i="1"/>
  <c r="AR170" i="1"/>
  <c r="AU163" i="1"/>
  <c r="AR162" i="1"/>
  <c r="AU123" i="1"/>
  <c r="AR122" i="1"/>
  <c r="P80" i="13"/>
  <c r="E80" i="11" s="1"/>
  <c r="AU147" i="1"/>
  <c r="AR146" i="1"/>
  <c r="P169" i="13" l="1"/>
  <c r="E169" i="11" s="1"/>
  <c r="E64" i="11"/>
  <c r="P89" i="13"/>
  <c r="E89" i="11" s="1"/>
  <c r="P177" i="13"/>
  <c r="E177" i="11" s="1"/>
  <c r="Q194" i="13"/>
  <c r="I194" i="13" s="1"/>
  <c r="Q170" i="13"/>
  <c r="I170" i="13" s="1"/>
  <c r="Q82" i="13"/>
  <c r="I82" i="13" s="1"/>
  <c r="Q178" i="13"/>
  <c r="I178" i="13" s="1"/>
  <c r="Q146" i="13"/>
  <c r="I146" i="13" s="1"/>
  <c r="Q210" i="13"/>
  <c r="I210" i="13" s="1"/>
  <c r="Q66" i="13"/>
  <c r="I66" i="13" s="1"/>
  <c r="Q138" i="13"/>
  <c r="I138" i="13" s="1"/>
  <c r="Q114" i="13"/>
  <c r="I114" i="13" s="1"/>
  <c r="Q106" i="13"/>
  <c r="I106" i="13" s="1"/>
  <c r="Q202" i="13"/>
  <c r="I202" i="13" s="1"/>
  <c r="Q122" i="13"/>
  <c r="I122" i="13" s="1"/>
  <c r="Q162" i="13"/>
  <c r="I162" i="13" s="1"/>
  <c r="Q186" i="13"/>
  <c r="I186" i="13" s="1"/>
  <c r="Q34" i="13"/>
  <c r="I34" i="13" s="1"/>
  <c r="Q98" i="13"/>
  <c r="I98" i="13" s="1"/>
  <c r="Q26" i="13"/>
  <c r="I26" i="13" s="1"/>
  <c r="Q90" i="13"/>
  <c r="I90" i="13" s="1"/>
  <c r="Q130" i="13"/>
  <c r="I130" i="13" s="1"/>
  <c r="Q74" i="13"/>
  <c r="I74" i="13" s="1"/>
  <c r="Q58" i="13"/>
  <c r="I58" i="13" s="1"/>
  <c r="Q154" i="13"/>
  <c r="I154" i="13" s="1"/>
  <c r="Q18" i="13"/>
  <c r="I18" i="13" s="1"/>
  <c r="E56" i="11"/>
  <c r="E72" i="11"/>
  <c r="P113" i="13"/>
  <c r="E113" i="11" s="1"/>
  <c r="P97" i="13"/>
  <c r="E97" i="11" s="1"/>
  <c r="P137" i="13"/>
  <c r="E137" i="11" s="1"/>
  <c r="P33" i="13"/>
  <c r="E33" i="11" s="1"/>
  <c r="P145" i="13"/>
  <c r="E145" i="11" s="1"/>
  <c r="P105" i="13"/>
  <c r="E105" i="11" s="1"/>
  <c r="P57" i="13"/>
  <c r="P65" i="13"/>
  <c r="P129" i="13"/>
  <c r="E129" i="11" s="1"/>
  <c r="P121" i="13"/>
  <c r="E121" i="11" s="1"/>
  <c r="P161" i="13"/>
  <c r="E161" i="11" s="1"/>
  <c r="P81" i="13"/>
  <c r="E81" i="11" s="1"/>
  <c r="P25" i="13"/>
  <c r="E25" i="11" s="1"/>
  <c r="P153" i="13"/>
  <c r="E153" i="11" s="1"/>
  <c r="AU172" i="1"/>
  <c r="AR172" i="1" s="1"/>
  <c r="AR171" i="1"/>
  <c r="AU84" i="1"/>
  <c r="AR84" i="1" s="1"/>
  <c r="AR83" i="1"/>
  <c r="AU100" i="1"/>
  <c r="AR100" i="1" s="1"/>
  <c r="AR99" i="1"/>
  <c r="P73" i="13"/>
  <c r="AU204" i="1"/>
  <c r="AR204" i="1" s="1"/>
  <c r="AR203" i="1"/>
  <c r="AU212" i="1"/>
  <c r="AR212" i="1" s="1"/>
  <c r="AR211" i="1"/>
  <c r="AU76" i="1"/>
  <c r="AR76" i="1" s="1"/>
  <c r="AR75" i="1"/>
  <c r="AU68" i="1"/>
  <c r="AR68" i="1" s="1"/>
  <c r="AR67" i="1"/>
  <c r="AU188" i="1"/>
  <c r="AR188" i="1" s="1"/>
  <c r="AR187" i="1"/>
  <c r="AU156" i="1"/>
  <c r="AR156" i="1" s="1"/>
  <c r="AR155" i="1"/>
  <c r="AU116" i="1"/>
  <c r="AR116" i="1" s="1"/>
  <c r="AR115" i="1"/>
  <c r="AU148" i="1"/>
  <c r="AR148" i="1" s="1"/>
  <c r="AR147" i="1"/>
  <c r="AU196" i="1"/>
  <c r="AR196" i="1" s="1"/>
  <c r="AR195" i="1"/>
  <c r="AU28" i="1"/>
  <c r="AR28" i="1" s="1"/>
  <c r="AR27" i="1"/>
  <c r="AU140" i="1"/>
  <c r="AR140" i="1" s="1"/>
  <c r="AR139" i="1"/>
  <c r="AU180" i="1"/>
  <c r="AR180" i="1" s="1"/>
  <c r="AR179" i="1"/>
  <c r="AU132" i="1"/>
  <c r="AR132" i="1" s="1"/>
  <c r="AR131" i="1"/>
  <c r="AU124" i="1"/>
  <c r="AR124" i="1" s="1"/>
  <c r="AR123" i="1"/>
  <c r="AU164" i="1"/>
  <c r="AR164" i="1" s="1"/>
  <c r="AR163" i="1"/>
  <c r="AU12" i="1"/>
  <c r="AR12" i="1" s="1"/>
  <c r="AR11" i="1"/>
  <c r="AU108" i="1"/>
  <c r="AR108" i="1" s="1"/>
  <c r="AR107" i="1"/>
  <c r="AU60" i="1"/>
  <c r="AR60" i="1" s="1"/>
  <c r="AR59" i="1"/>
  <c r="AU92" i="1"/>
  <c r="AR92" i="1" s="1"/>
  <c r="AR91" i="1"/>
  <c r="AU20" i="1"/>
  <c r="AR20" i="1" s="1"/>
  <c r="AR19" i="1"/>
  <c r="AU36" i="1"/>
  <c r="AR36" i="1" s="1"/>
  <c r="AR35" i="1"/>
  <c r="P74" i="13" l="1"/>
  <c r="P114" i="13"/>
  <c r="E114" i="11" s="1"/>
  <c r="Q203" i="13"/>
  <c r="I203" i="13" s="1"/>
  <c r="Q91" i="13"/>
  <c r="I91" i="13" s="1"/>
  <c r="Q163" i="13"/>
  <c r="I163" i="13" s="1"/>
  <c r="Q139" i="13"/>
  <c r="I139" i="13" s="1"/>
  <c r="Q115" i="13"/>
  <c r="I115" i="13" s="1"/>
  <c r="Q75" i="13"/>
  <c r="Q100" i="13"/>
  <c r="I100" i="13" s="1"/>
  <c r="Q195" i="13"/>
  <c r="I195" i="13" s="1"/>
  <c r="Q172" i="13"/>
  <c r="I172" i="13" s="1"/>
  <c r="Q11" i="13"/>
  <c r="I11" i="13" s="1"/>
  <c r="Q20" i="13"/>
  <c r="I20" i="13" s="1"/>
  <c r="Q68" i="13"/>
  <c r="I68" i="13" s="1"/>
  <c r="Q140" i="13"/>
  <c r="I140" i="13" s="1"/>
  <c r="Q116" i="13"/>
  <c r="I116" i="13" s="1"/>
  <c r="Q76" i="13"/>
  <c r="I76" i="13" s="1"/>
  <c r="Q83" i="13"/>
  <c r="I83" i="13" s="1"/>
  <c r="Q131" i="13"/>
  <c r="I131" i="13" s="1"/>
  <c r="Q19" i="13"/>
  <c r="I19" i="13" s="1"/>
  <c r="Q180" i="13"/>
  <c r="I180" i="13" s="1"/>
  <c r="Q164" i="13"/>
  <c r="I164" i="13" s="1"/>
  <c r="Q59" i="13"/>
  <c r="I59" i="13" s="1"/>
  <c r="Q123" i="13"/>
  <c r="I123" i="13" s="1"/>
  <c r="Q27" i="13"/>
  <c r="I27" i="13" s="1"/>
  <c r="Q155" i="13"/>
  <c r="I155" i="13" s="1"/>
  <c r="Q211" i="13"/>
  <c r="I211" i="13" s="1"/>
  <c r="Q84" i="13"/>
  <c r="I84" i="13" s="1"/>
  <c r="Q107" i="13"/>
  <c r="I107" i="13" s="1"/>
  <c r="Q179" i="13"/>
  <c r="I179" i="13" s="1"/>
  <c r="Q147" i="13"/>
  <c r="I147" i="13" s="1"/>
  <c r="Q67" i="13"/>
  <c r="I67" i="13" s="1"/>
  <c r="Q12" i="13"/>
  <c r="I12" i="13" s="1"/>
  <c r="Q148" i="13"/>
  <c r="I148" i="13" s="1"/>
  <c r="Q99" i="13"/>
  <c r="I99" i="13" s="1"/>
  <c r="Q92" i="13"/>
  <c r="I92" i="13" s="1"/>
  <c r="Q60" i="13"/>
  <c r="I60" i="13" s="1"/>
  <c r="Q124" i="13"/>
  <c r="I124" i="13" s="1"/>
  <c r="Q28" i="13"/>
  <c r="I28" i="13" s="1"/>
  <c r="Q156" i="13"/>
  <c r="I156" i="13" s="1"/>
  <c r="Q212" i="13"/>
  <c r="I212" i="13" s="1"/>
  <c r="Q171" i="13"/>
  <c r="I171" i="13" s="1"/>
  <c r="Q35" i="13"/>
  <c r="I35" i="13" s="1"/>
  <c r="Q187" i="13"/>
  <c r="I187" i="13" s="1"/>
  <c r="Q36" i="13"/>
  <c r="I36" i="13" s="1"/>
  <c r="Q108" i="13"/>
  <c r="I108" i="13" s="1"/>
  <c r="Q132" i="13"/>
  <c r="I132" i="13" s="1"/>
  <c r="Q196" i="13"/>
  <c r="I196" i="13" s="1"/>
  <c r="Q188" i="13"/>
  <c r="I188" i="13" s="1"/>
  <c r="Q204" i="13"/>
  <c r="I204" i="13" s="1"/>
  <c r="P138" i="13"/>
  <c r="E138" i="11" s="1"/>
  <c r="E74" i="11"/>
  <c r="E65" i="11"/>
  <c r="E73" i="11"/>
  <c r="E57" i="11"/>
  <c r="P106" i="13"/>
  <c r="E106" i="11" s="1"/>
  <c r="P170" i="13"/>
  <c r="E170" i="11" s="1"/>
  <c r="P90" i="13"/>
  <c r="E90" i="11" s="1"/>
  <c r="P98" i="13"/>
  <c r="E98" i="11" s="1"/>
  <c r="P178" i="13"/>
  <c r="E178" i="11" s="1"/>
  <c r="P146" i="13"/>
  <c r="E146" i="11" s="1"/>
  <c r="P154" i="13"/>
  <c r="E154" i="11" s="1"/>
  <c r="P130" i="13"/>
  <c r="E130" i="11" s="1"/>
  <c r="P122" i="13"/>
  <c r="E122" i="11" s="1"/>
  <c r="P34" i="13"/>
  <c r="E34" i="11" s="1"/>
  <c r="P26" i="13"/>
  <c r="E26" i="11" s="1"/>
  <c r="P162" i="13"/>
  <c r="E162" i="11" s="1"/>
  <c r="P58" i="13"/>
  <c r="P66" i="13"/>
  <c r="P27" i="13"/>
  <c r="E27" i="11" s="1"/>
  <c r="AB19" i="13"/>
  <c r="P82" i="13"/>
  <c r="E82" i="11" s="1"/>
  <c r="AB18" i="13"/>
  <c r="AB16" i="13"/>
  <c r="AB17" i="13"/>
  <c r="P169" i="12" l="1"/>
  <c r="I75" i="13"/>
  <c r="P163" i="13"/>
  <c r="E163" i="11" s="1"/>
  <c r="P123" i="13"/>
  <c r="E123" i="11" s="1"/>
  <c r="P60" i="13"/>
  <c r="P148" i="13"/>
  <c r="E148" i="11" s="1"/>
  <c r="P59" i="13"/>
  <c r="P131" i="13"/>
  <c r="E131" i="11" s="1"/>
  <c r="P147" i="13"/>
  <c r="E147" i="11" s="1"/>
  <c r="P99" i="13"/>
  <c r="E99" i="11" s="1"/>
  <c r="P84" i="13"/>
  <c r="E84" i="11" s="1"/>
  <c r="P92" i="13"/>
  <c r="E92" i="11" s="1"/>
  <c r="P36" i="13"/>
  <c r="E36" i="11" s="1"/>
  <c r="P132" i="13"/>
  <c r="E132" i="11" s="1"/>
  <c r="E66" i="11"/>
  <c r="E58" i="11"/>
  <c r="E60" i="11"/>
  <c r="P156" i="13"/>
  <c r="E156" i="11" s="1"/>
  <c r="P172" i="13"/>
  <c r="E172" i="11" s="1"/>
  <c r="P107" i="13"/>
  <c r="E107" i="11" s="1"/>
  <c r="P164" i="13"/>
  <c r="E164" i="11" s="1"/>
  <c r="P171" i="13"/>
  <c r="E171" i="11" s="1"/>
  <c r="P115" i="13"/>
  <c r="E115" i="11" s="1"/>
  <c r="P28" i="13"/>
  <c r="E28" i="11" s="1"/>
  <c r="P140" i="13"/>
  <c r="E140" i="11" s="1"/>
  <c r="P179" i="13"/>
  <c r="E179" i="11" s="1"/>
  <c r="P83" i="13"/>
  <c r="E83" i="11" s="1"/>
  <c r="P155" i="13"/>
  <c r="E155" i="11" s="1"/>
  <c r="P116" i="13"/>
  <c r="E116" i="11" s="1"/>
  <c r="P139" i="13"/>
  <c r="E139" i="11" s="1"/>
  <c r="P180" i="13"/>
  <c r="E180" i="11" s="1"/>
  <c r="P91" i="13"/>
  <c r="E91" i="11" s="1"/>
  <c r="P68" i="13"/>
  <c r="P76" i="13"/>
  <c r="V19" i="13"/>
  <c r="V17" i="13"/>
  <c r="V18" i="13"/>
  <c r="P124" i="13"/>
  <c r="E124" i="11" s="1"/>
  <c r="P100" i="13"/>
  <c r="E100" i="11" s="1"/>
  <c r="P67" i="13"/>
  <c r="P108" i="13"/>
  <c r="E108" i="11" s="1"/>
  <c r="V16" i="13"/>
  <c r="P75" i="13"/>
  <c r="P35" i="13"/>
  <c r="E35" i="11" s="1"/>
  <c r="E59" i="11" l="1"/>
  <c r="E76" i="11"/>
  <c r="E68" i="11"/>
  <c r="E67" i="11"/>
  <c r="E75" i="11"/>
  <c r="Q139" i="12" l="1"/>
  <c r="C137" i="7"/>
  <c r="Q104" i="12"/>
  <c r="C102" i="7"/>
  <c r="C38" i="7"/>
  <c r="Q40" i="12"/>
  <c r="C117" i="7"/>
  <c r="Q119" i="12"/>
  <c r="C53" i="7"/>
  <c r="Q55" i="12"/>
  <c r="Q150" i="12"/>
  <c r="C148" i="7"/>
  <c r="C84" i="7"/>
  <c r="Q86" i="12"/>
  <c r="C8" i="7"/>
  <c r="Q10" i="12"/>
  <c r="Q101" i="12"/>
  <c r="C99" i="7"/>
  <c r="Q25" i="12"/>
  <c r="C23" i="7"/>
  <c r="C114" i="7"/>
  <c r="Q116" i="12"/>
  <c r="C50" i="7"/>
  <c r="Q52" i="12"/>
  <c r="Q107" i="12"/>
  <c r="C105" i="7"/>
  <c r="C41" i="7"/>
  <c r="Q43" i="12"/>
  <c r="C120" i="7"/>
  <c r="Q122" i="12"/>
  <c r="Q58" i="12"/>
  <c r="C56" i="7"/>
  <c r="Q137" i="12"/>
  <c r="C135" i="7"/>
  <c r="Q73" i="12"/>
  <c r="C71" i="7"/>
  <c r="T31" i="5"/>
  <c r="Q4" i="12"/>
  <c r="C2" i="7"/>
  <c r="C94" i="7"/>
  <c r="Q96" i="12"/>
  <c r="C18" i="7"/>
  <c r="Q20" i="12"/>
  <c r="Q111" i="12"/>
  <c r="C109" i="7"/>
  <c r="Q47" i="12"/>
  <c r="C45" i="7"/>
  <c r="Q142" i="12"/>
  <c r="C140" i="7"/>
  <c r="C76" i="7"/>
  <c r="Q78" i="12"/>
  <c r="Q157" i="12"/>
  <c r="C155" i="7"/>
  <c r="C91" i="7"/>
  <c r="Q93" i="12"/>
  <c r="C15" i="7"/>
  <c r="Q17" i="12"/>
  <c r="Q108" i="12"/>
  <c r="C106" i="7"/>
  <c r="Q44" i="12"/>
  <c r="C42" i="7"/>
  <c r="Q99" i="12"/>
  <c r="C97" i="7"/>
  <c r="Q23" i="12"/>
  <c r="C21" i="7"/>
  <c r="C112" i="7"/>
  <c r="Q114" i="12"/>
  <c r="Q50" i="12"/>
  <c r="C48" i="7"/>
  <c r="Q129" i="12"/>
  <c r="C127" i="7"/>
  <c r="Q65" i="12"/>
  <c r="C63" i="7"/>
  <c r="Q152" i="12"/>
  <c r="C150" i="7"/>
  <c r="Q88" i="12"/>
  <c r="C86" i="7"/>
  <c r="Q12" i="12"/>
  <c r="C10" i="7"/>
  <c r="C101" i="7"/>
  <c r="Q103" i="12"/>
  <c r="C25" i="7"/>
  <c r="Q27" i="12"/>
  <c r="Q134" i="12"/>
  <c r="C132" i="7"/>
  <c r="Q70" i="12"/>
  <c r="C68" i="7"/>
  <c r="Q149" i="12"/>
  <c r="C147" i="7"/>
  <c r="C83" i="7"/>
  <c r="Q85" i="12"/>
  <c r="C7" i="7"/>
  <c r="Q9" i="12"/>
  <c r="Q100" i="12"/>
  <c r="C98" i="7"/>
  <c r="C22" i="7"/>
  <c r="Q24" i="12"/>
  <c r="Q91" i="12"/>
  <c r="C89" i="7"/>
  <c r="C13" i="7"/>
  <c r="Q15" i="12"/>
  <c r="Q106" i="12"/>
  <c r="C104" i="7"/>
  <c r="C40" i="7"/>
  <c r="Q42" i="12"/>
  <c r="C119" i="7"/>
  <c r="Q121" i="12"/>
  <c r="C55" i="7"/>
  <c r="Q57" i="12"/>
  <c r="C142" i="7"/>
  <c r="Q144" i="12"/>
  <c r="Q80" i="12"/>
  <c r="C78" i="7"/>
  <c r="Q159" i="12"/>
  <c r="C157" i="7"/>
  <c r="Q95" i="12"/>
  <c r="C93" i="7"/>
  <c r="Q19" i="12"/>
  <c r="C17" i="7"/>
  <c r="C124" i="7"/>
  <c r="Q126" i="12"/>
  <c r="Q62" i="12"/>
  <c r="C60" i="7"/>
  <c r="Q141" i="12"/>
  <c r="C139" i="7"/>
  <c r="C75" i="7"/>
  <c r="Q77" i="12"/>
  <c r="C154" i="7"/>
  <c r="Q156" i="12"/>
  <c r="Q92" i="12"/>
  <c r="C90" i="7"/>
  <c r="C14" i="7"/>
  <c r="Q16" i="12"/>
  <c r="C81" i="7"/>
  <c r="Q83" i="12"/>
  <c r="C5" i="7"/>
  <c r="Q7" i="12"/>
  <c r="Q98" i="12"/>
  <c r="C96" i="7"/>
  <c r="Q22" i="12"/>
  <c r="C20" i="7"/>
  <c r="C111" i="7"/>
  <c r="Q113" i="12"/>
  <c r="Q49" i="12"/>
  <c r="C47" i="7"/>
  <c r="C134" i="7"/>
  <c r="Q136" i="12"/>
  <c r="C70" i="7"/>
  <c r="Q72" i="12"/>
  <c r="Q151" i="12"/>
  <c r="C149" i="7"/>
  <c r="Q87" i="12"/>
  <c r="C85" i="7"/>
  <c r="C9" i="7"/>
  <c r="Q11" i="12"/>
  <c r="C116" i="7"/>
  <c r="Q118" i="12"/>
  <c r="Q54" i="12"/>
  <c r="C52" i="7"/>
  <c r="Q133" i="12"/>
  <c r="C131" i="7"/>
  <c r="C67" i="7"/>
  <c r="Q69" i="12"/>
  <c r="C146" i="7"/>
  <c r="Q148" i="12"/>
  <c r="Q84" i="12"/>
  <c r="C82" i="7"/>
  <c r="Q8" i="12"/>
  <c r="C6" i="7"/>
  <c r="Q75" i="12"/>
  <c r="C73" i="7"/>
  <c r="C152" i="7"/>
  <c r="Q154" i="12"/>
  <c r="C88" i="7"/>
  <c r="Q90" i="12"/>
  <c r="Q14" i="12"/>
  <c r="C12" i="7"/>
  <c r="Q105" i="12"/>
  <c r="C103" i="7"/>
  <c r="Q41" i="12"/>
  <c r="C39" i="7"/>
  <c r="Q128" i="12"/>
  <c r="C126" i="7"/>
  <c r="C62" i="7"/>
  <c r="Q64" i="12"/>
  <c r="C141" i="7"/>
  <c r="Q143" i="12"/>
  <c r="Q79" i="12"/>
  <c r="C77" i="7"/>
  <c r="C153" i="7"/>
  <c r="Q155" i="12"/>
  <c r="Q110" i="12"/>
  <c r="C108" i="7"/>
  <c r="Q46" i="12"/>
  <c r="C44" i="7"/>
  <c r="Q125" i="12"/>
  <c r="C123" i="7"/>
  <c r="Q61" i="12"/>
  <c r="C59" i="7"/>
  <c r="C138" i="7"/>
  <c r="Q140" i="12"/>
  <c r="C74" i="7"/>
  <c r="Q76" i="12"/>
  <c r="Q147" i="12"/>
  <c r="C145" i="7"/>
  <c r="Q67" i="12"/>
  <c r="C65" i="7"/>
  <c r="Q146" i="12"/>
  <c r="C144" i="7"/>
  <c r="C80" i="7"/>
  <c r="Q82" i="12"/>
  <c r="C4" i="7"/>
  <c r="Q6" i="12"/>
  <c r="Q97" i="12"/>
  <c r="C95" i="7"/>
  <c r="Q21" i="12"/>
  <c r="C19" i="7"/>
  <c r="Q120" i="12"/>
  <c r="C118" i="7"/>
  <c r="C54" i="7"/>
  <c r="Q56" i="12"/>
  <c r="Q135" i="12"/>
  <c r="C133" i="7"/>
  <c r="C69" i="7"/>
  <c r="Q71" i="12"/>
  <c r="Q131" i="12"/>
  <c r="C129" i="7"/>
  <c r="Q102" i="12"/>
  <c r="C100" i="7"/>
  <c r="Q26" i="12"/>
  <c r="C24" i="7"/>
  <c r="Q117" i="12"/>
  <c r="C115" i="7"/>
  <c r="Q53" i="12"/>
  <c r="C51" i="7"/>
  <c r="C130" i="7"/>
  <c r="Q132" i="12"/>
  <c r="C66" i="7"/>
  <c r="Q68" i="12"/>
  <c r="Q123" i="12"/>
  <c r="C121" i="7"/>
  <c r="Q59" i="12"/>
  <c r="C57" i="7"/>
  <c r="C136" i="7"/>
  <c r="Q138" i="12"/>
  <c r="C72" i="7"/>
  <c r="Q74" i="12"/>
  <c r="Q153" i="12"/>
  <c r="C151" i="7"/>
  <c r="Q89" i="12"/>
  <c r="C87" i="7"/>
  <c r="Q13" i="12"/>
  <c r="C11" i="7"/>
  <c r="C110" i="7"/>
  <c r="Q112" i="12"/>
  <c r="C46" i="7"/>
  <c r="Q48" i="12"/>
  <c r="C125" i="7"/>
  <c r="Q127" i="12"/>
  <c r="C61" i="7"/>
  <c r="Q63" i="12"/>
  <c r="C156" i="7"/>
  <c r="Q158" i="12"/>
  <c r="C92" i="7"/>
  <c r="Q94" i="12"/>
  <c r="Q18" i="12"/>
  <c r="C16" i="7"/>
  <c r="Q109" i="12"/>
  <c r="C107" i="7"/>
  <c r="Q45" i="12"/>
  <c r="C43" i="7"/>
  <c r="Q124" i="12"/>
  <c r="C122" i="7"/>
  <c r="C58" i="7"/>
  <c r="Q60" i="12"/>
  <c r="C113" i="7"/>
  <c r="Q115" i="12"/>
  <c r="Q51" i="12"/>
  <c r="C49" i="7"/>
  <c r="Q130" i="12"/>
  <c r="C128" i="7"/>
  <c r="C64" i="7"/>
  <c r="Q66" i="12"/>
  <c r="Q145" i="12"/>
  <c r="C143" i="7"/>
  <c r="C79" i="7"/>
  <c r="Q81" i="12"/>
  <c r="Q5" i="12"/>
  <c r="C3" i="7"/>
  <c r="D18" i="14" l="1"/>
  <c r="F18" i="14" s="1"/>
  <c r="D10" i="14"/>
  <c r="F10" i="14" s="1"/>
  <c r="D9" i="14"/>
  <c r="F9" i="14" s="1"/>
  <c r="D16" i="14"/>
  <c r="F16" i="14" s="1"/>
  <c r="D8" i="14"/>
  <c r="F8" i="14" s="1"/>
  <c r="D17" i="14"/>
  <c r="F17" i="14" s="1"/>
  <c r="D15" i="14"/>
  <c r="F15" i="14" s="1"/>
  <c r="D7" i="14"/>
  <c r="F7" i="14" s="1"/>
  <c r="D14" i="14"/>
  <c r="F14" i="14" s="1"/>
  <c r="D6" i="14"/>
  <c r="F6" i="14" s="1"/>
  <c r="D2" i="14"/>
  <c r="D13" i="14"/>
  <c r="F13" i="14" s="1"/>
  <c r="D5" i="14"/>
  <c r="F5" i="14" s="1"/>
  <c r="D20" i="14"/>
  <c r="F20" i="14" s="1"/>
  <c r="D12" i="14"/>
  <c r="F12" i="14" s="1"/>
  <c r="D4" i="14"/>
  <c r="F4" i="14" s="1"/>
  <c r="D19" i="14"/>
  <c r="F19" i="14" s="1"/>
  <c r="D11" i="14"/>
  <c r="F11" i="14" s="1"/>
  <c r="D3" i="14"/>
  <c r="F3" i="14" s="1"/>
  <c r="C3" i="14" l="1"/>
  <c r="C11" i="14"/>
  <c r="C19" i="14"/>
  <c r="C13" i="14"/>
  <c r="C17" i="14"/>
  <c r="F2" i="14"/>
  <c r="C4" i="14"/>
  <c r="C12" i="14"/>
  <c r="C20" i="14"/>
  <c r="C5" i="14"/>
  <c r="C8" i="14"/>
  <c r="C9" i="14"/>
  <c r="C18" i="14"/>
  <c r="C6" i="14"/>
  <c r="U42" i="5" s="1"/>
  <c r="C14" i="14"/>
  <c r="C7" i="14"/>
  <c r="C15" i="14"/>
  <c r="C16" i="14"/>
  <c r="C10" i="14"/>
  <c r="C2" i="14"/>
  <c r="U45" i="5"/>
  <c r="U38" i="5"/>
  <c r="U41" i="5"/>
  <c r="P6" i="12" l="1"/>
  <c r="P9" i="12"/>
  <c r="U36" i="5"/>
  <c r="U40" i="5"/>
  <c r="U39" i="5"/>
  <c r="U66" i="5"/>
  <c r="P34" i="12" s="1"/>
  <c r="U60" i="5"/>
  <c r="P28" i="12" s="1"/>
  <c r="U44" i="5"/>
  <c r="U46" i="5"/>
  <c r="U47" i="5"/>
  <c r="U43" i="5"/>
  <c r="U37" i="5"/>
  <c r="U48" i="5"/>
  <c r="U54" i="5"/>
  <c r="U63" i="5"/>
  <c r="P31" i="12" s="1"/>
  <c r="U69" i="5"/>
  <c r="P13" i="12"/>
  <c r="U57" i="5"/>
  <c r="U51" i="5"/>
  <c r="P10" i="12"/>
  <c r="P4" i="12"/>
  <c r="P8" i="12" l="1"/>
  <c r="P7" i="12"/>
  <c r="P5" i="12"/>
  <c r="P11" i="12"/>
  <c r="U59" i="5"/>
  <c r="P27" i="12" s="1"/>
  <c r="U62" i="5"/>
  <c r="P30" i="12" s="1"/>
  <c r="P22" i="12"/>
  <c r="P16" i="12"/>
  <c r="U68" i="5"/>
  <c r="P36" i="12" s="1"/>
  <c r="U64" i="5"/>
  <c r="P32" i="12" s="1"/>
  <c r="P14" i="12"/>
  <c r="P15" i="12"/>
  <c r="U52" i="5"/>
  <c r="P20" i="12" s="1"/>
  <c r="U71" i="5"/>
  <c r="P39" i="12" s="1"/>
  <c r="U50" i="5"/>
  <c r="U56" i="5"/>
  <c r="V47" i="5"/>
  <c r="U67" i="5"/>
  <c r="P35" i="12" s="1"/>
  <c r="U61" i="5"/>
  <c r="P29" i="12" s="1"/>
  <c r="U65" i="5"/>
  <c r="P33" i="12" s="1"/>
  <c r="J9" i="12"/>
  <c r="U53" i="5"/>
  <c r="V41" i="5"/>
  <c r="U58" i="5"/>
  <c r="U49" i="5"/>
  <c r="U70" i="5"/>
  <c r="P38" i="12" s="1"/>
  <c r="P12" i="12"/>
  <c r="U55" i="5"/>
  <c r="P37" i="12"/>
  <c r="P25" i="12"/>
  <c r="P19" i="12"/>
  <c r="P17" i="12" l="1"/>
  <c r="J21" i="12" s="1"/>
  <c r="P18" i="12"/>
  <c r="P23" i="12"/>
  <c r="P21" i="12"/>
  <c r="P24" i="12"/>
  <c r="J15" i="12"/>
  <c r="V53" i="5"/>
  <c r="V59" i="5"/>
  <c r="P26" i="12"/>
  <c r="V71" i="5"/>
  <c r="V65" i="5"/>
  <c r="D22" i="14" l="1"/>
  <c r="F22" i="14" s="1"/>
  <c r="D21" i="14"/>
  <c r="F21" i="14" l="1"/>
  <c r="C21" i="14"/>
  <c r="C22" i="14"/>
  <c r="D78" i="14"/>
  <c r="F78" i="14" s="1"/>
  <c r="D62" i="14"/>
  <c r="F62" i="14" s="1"/>
  <c r="D54" i="14"/>
  <c r="F54" i="14" s="1"/>
  <c r="D46" i="14"/>
  <c r="F46" i="14" s="1"/>
  <c r="D38" i="14"/>
  <c r="F38" i="14" s="1"/>
  <c r="D30" i="14"/>
  <c r="F30" i="14" s="1"/>
  <c r="D77" i="14"/>
  <c r="F77" i="14" s="1"/>
  <c r="D69" i="14"/>
  <c r="F69" i="14" s="1"/>
  <c r="D61" i="14"/>
  <c r="F61" i="14" s="1"/>
  <c r="D53" i="14"/>
  <c r="F53" i="14" s="1"/>
  <c r="D45" i="14"/>
  <c r="F45" i="14" s="1"/>
  <c r="D37" i="14"/>
  <c r="F37" i="14" s="1"/>
  <c r="D29" i="14"/>
  <c r="F29" i="14" s="1"/>
  <c r="D76" i="14"/>
  <c r="F76" i="14" s="1"/>
  <c r="D68" i="14"/>
  <c r="F68" i="14" s="1"/>
  <c r="D60" i="14"/>
  <c r="F60" i="14" s="1"/>
  <c r="D52" i="14"/>
  <c r="F52" i="14" s="1"/>
  <c r="D44" i="14"/>
  <c r="F44" i="14" s="1"/>
  <c r="D36" i="14"/>
  <c r="F36" i="14" s="1"/>
  <c r="D28" i="14"/>
  <c r="F28" i="14" s="1"/>
  <c r="D70" i="14"/>
  <c r="F70" i="14" s="1"/>
  <c r="D75" i="14"/>
  <c r="F75" i="14" s="1"/>
  <c r="D67" i="14"/>
  <c r="F67" i="14" s="1"/>
  <c r="D59" i="14"/>
  <c r="F59" i="14" s="1"/>
  <c r="D51" i="14"/>
  <c r="F51" i="14" s="1"/>
  <c r="D43" i="14"/>
  <c r="F43" i="14" s="1"/>
  <c r="D35" i="14"/>
  <c r="F35" i="14" s="1"/>
  <c r="D27" i="14"/>
  <c r="F27" i="14" s="1"/>
  <c r="D74" i="14"/>
  <c r="F74" i="14" s="1"/>
  <c r="D66" i="14"/>
  <c r="F66" i="14" s="1"/>
  <c r="D58" i="14"/>
  <c r="F58" i="14" s="1"/>
  <c r="D50" i="14"/>
  <c r="F50" i="14" s="1"/>
  <c r="D42" i="14"/>
  <c r="F42" i="14" s="1"/>
  <c r="D34" i="14"/>
  <c r="F34" i="14" s="1"/>
  <c r="D26" i="14"/>
  <c r="F26" i="14" s="1"/>
  <c r="D81" i="14"/>
  <c r="F81" i="14" s="1"/>
  <c r="D73" i="14"/>
  <c r="F73" i="14" s="1"/>
  <c r="D65" i="14"/>
  <c r="F65" i="14" s="1"/>
  <c r="D57" i="14"/>
  <c r="F57" i="14" s="1"/>
  <c r="D49" i="14"/>
  <c r="F49" i="14" s="1"/>
  <c r="D41" i="14"/>
  <c r="F41" i="14" s="1"/>
  <c r="D33" i="14"/>
  <c r="F33" i="14" s="1"/>
  <c r="D25" i="14"/>
  <c r="F25" i="14" s="1"/>
  <c r="D80" i="14"/>
  <c r="F80" i="14" s="1"/>
  <c r="D72" i="14"/>
  <c r="F72" i="14" s="1"/>
  <c r="D64" i="14"/>
  <c r="F64" i="14" s="1"/>
  <c r="D56" i="14"/>
  <c r="F56" i="14" s="1"/>
  <c r="D48" i="14"/>
  <c r="F48" i="14" s="1"/>
  <c r="D40" i="14"/>
  <c r="F40" i="14" s="1"/>
  <c r="D32" i="14"/>
  <c r="F32" i="14" s="1"/>
  <c r="D24" i="14"/>
  <c r="F24" i="14" s="1"/>
  <c r="D79" i="14"/>
  <c r="F79" i="14" s="1"/>
  <c r="D71" i="14"/>
  <c r="F71" i="14" s="1"/>
  <c r="D63" i="14"/>
  <c r="F63" i="14" s="1"/>
  <c r="D55" i="14"/>
  <c r="F55" i="14" s="1"/>
  <c r="D47" i="14"/>
  <c r="F47" i="14" s="1"/>
  <c r="D39" i="14"/>
  <c r="F39" i="14" s="1"/>
  <c r="D31" i="14"/>
  <c r="F31" i="14" s="1"/>
  <c r="D23" i="14"/>
  <c r="F23" i="14" s="1"/>
  <c r="C25" i="14" l="1"/>
  <c r="C31" i="14"/>
  <c r="U95" i="5" s="1"/>
  <c r="C35" i="14"/>
  <c r="C28" i="14"/>
  <c r="C24" i="14"/>
  <c r="C64" i="14"/>
  <c r="C47" i="14"/>
  <c r="C37" i="14"/>
  <c r="C43" i="14"/>
  <c r="C45" i="14"/>
  <c r="C27" i="14"/>
  <c r="C39" i="14"/>
  <c r="C77" i="14"/>
  <c r="C38" i="14"/>
  <c r="C30" i="14"/>
  <c r="C33" i="14"/>
  <c r="C54" i="14"/>
  <c r="C55" i="14"/>
  <c r="C58" i="14"/>
  <c r="C59" i="14"/>
  <c r="C81" i="14"/>
  <c r="C41" i="14"/>
  <c r="C70" i="14"/>
  <c r="C42" i="14"/>
  <c r="C71" i="14"/>
  <c r="C48" i="14"/>
  <c r="C32" i="14"/>
  <c r="C29" i="14"/>
  <c r="C49" i="14"/>
  <c r="C60" i="14"/>
  <c r="C61" i="14"/>
  <c r="C76" i="14"/>
  <c r="C44" i="14"/>
  <c r="C46" i="14"/>
  <c r="C57" i="14"/>
  <c r="C65" i="14"/>
  <c r="C50" i="14"/>
  <c r="C78" i="14"/>
  <c r="C73" i="14"/>
  <c r="C36" i="14"/>
  <c r="C51" i="14"/>
  <c r="C63" i="14"/>
  <c r="C67" i="14"/>
  <c r="C53" i="14"/>
  <c r="C74" i="14"/>
  <c r="C62" i="14"/>
  <c r="C69" i="14"/>
  <c r="C52" i="14"/>
  <c r="C68" i="14"/>
  <c r="C66" i="14"/>
  <c r="C34" i="14"/>
  <c r="C40" i="14"/>
  <c r="C80" i="14"/>
  <c r="C75" i="14"/>
  <c r="C26" i="14"/>
  <c r="C23" i="14"/>
  <c r="C79" i="14"/>
  <c r="C72" i="14"/>
  <c r="C56" i="14"/>
  <c r="U92" i="5"/>
  <c r="U79" i="5"/>
  <c r="U80" i="5"/>
  <c r="P63" i="12" l="1"/>
  <c r="P60" i="12"/>
  <c r="U84" i="5"/>
  <c r="P48" i="12"/>
  <c r="U74" i="5"/>
  <c r="U98" i="5" s="1"/>
  <c r="U85" i="5"/>
  <c r="U109" i="5" s="1"/>
  <c r="U90" i="5"/>
  <c r="P47" i="12"/>
  <c r="U91" i="5"/>
  <c r="U94" i="5"/>
  <c r="U72" i="5"/>
  <c r="U89" i="5"/>
  <c r="U83" i="5"/>
  <c r="U107" i="5" s="1"/>
  <c r="U86" i="5"/>
  <c r="U78" i="5"/>
  <c r="U102" i="5" s="1"/>
  <c r="U88" i="5"/>
  <c r="U112" i="5" s="1"/>
  <c r="U76" i="5"/>
  <c r="U75" i="5"/>
  <c r="U81" i="5"/>
  <c r="U105" i="5" s="1"/>
  <c r="U73" i="5"/>
  <c r="U97" i="5" s="1"/>
  <c r="U82" i="5"/>
  <c r="U106" i="5" s="1"/>
  <c r="U93" i="5"/>
  <c r="U77" i="5"/>
  <c r="U101" i="5" s="1"/>
  <c r="U87" i="5"/>
  <c r="U111" i="5" s="1"/>
  <c r="U104" i="5"/>
  <c r="U103" i="5"/>
  <c r="U118" i="5"/>
  <c r="U119" i="5"/>
  <c r="U100" i="5"/>
  <c r="U116" i="5"/>
  <c r="U115" i="5"/>
  <c r="U108" i="5"/>
  <c r="P52" i="12"/>
  <c r="U128" i="5"/>
  <c r="U96" i="5"/>
  <c r="P40" i="12"/>
  <c r="P46" i="12" l="1"/>
  <c r="V77" i="5"/>
  <c r="P65" i="12"/>
  <c r="P73" i="12"/>
  <c r="P71" i="12"/>
  <c r="P69" i="12"/>
  <c r="P43" i="12"/>
  <c r="P62" i="12"/>
  <c r="P54" i="12"/>
  <c r="P66" i="12"/>
  <c r="P49" i="12"/>
  <c r="U110" i="5"/>
  <c r="U134" i="5" s="1"/>
  <c r="P75" i="12"/>
  <c r="P79" i="12"/>
  <c r="P44" i="12"/>
  <c r="P59" i="12"/>
  <c r="P87" i="12"/>
  <c r="P57" i="12"/>
  <c r="P86" i="12"/>
  <c r="V95" i="5"/>
  <c r="V83" i="5"/>
  <c r="P58" i="12"/>
  <c r="U114" i="5"/>
  <c r="U138" i="5" s="1"/>
  <c r="P77" i="12"/>
  <c r="U99" i="5"/>
  <c r="U123" i="5" s="1"/>
  <c r="P55" i="12"/>
  <c r="P56" i="12"/>
  <c r="P61" i="12"/>
  <c r="P41" i="12"/>
  <c r="J45" i="12" s="1"/>
  <c r="P42" i="12"/>
  <c r="P72" i="12"/>
  <c r="P74" i="12"/>
  <c r="V89" i="5"/>
  <c r="P83" i="12"/>
  <c r="U117" i="5"/>
  <c r="U141" i="5" s="1"/>
  <c r="P109" i="12" s="1"/>
  <c r="P45" i="12"/>
  <c r="P84" i="12"/>
  <c r="P68" i="12"/>
  <c r="U113" i="5"/>
  <c r="V113" i="5" s="1"/>
  <c r="P50" i="12"/>
  <c r="P51" i="12"/>
  <c r="P53" i="12"/>
  <c r="U129" i="5"/>
  <c r="U135" i="5"/>
  <c r="U125" i="5"/>
  <c r="U137" i="5"/>
  <c r="U122" i="5"/>
  <c r="U130" i="5"/>
  <c r="U127" i="5"/>
  <c r="U131" i="5"/>
  <c r="U124" i="5"/>
  <c r="U142" i="5"/>
  <c r="P110" i="12" s="1"/>
  <c r="U143" i="5"/>
  <c r="P111" i="12" s="1"/>
  <c r="U140" i="5"/>
  <c r="U164" i="5" s="1"/>
  <c r="U139" i="5"/>
  <c r="U163" i="5" s="1"/>
  <c r="U133" i="5"/>
  <c r="U121" i="5"/>
  <c r="U132" i="5"/>
  <c r="P76" i="12"/>
  <c r="P82" i="12"/>
  <c r="U153" i="5"/>
  <c r="U126" i="5"/>
  <c r="P70" i="12"/>
  <c r="V107" i="5"/>
  <c r="U120" i="5"/>
  <c r="P64" i="12"/>
  <c r="P80" i="12"/>
  <c r="U136" i="5"/>
  <c r="P96" i="12"/>
  <c r="U152" i="5"/>
  <c r="V101" i="5" l="1"/>
  <c r="J57" i="12"/>
  <c r="U147" i="5"/>
  <c r="J63" i="12"/>
  <c r="U158" i="5"/>
  <c r="P126" i="12" s="1"/>
  <c r="P90" i="12"/>
  <c r="P105" i="12"/>
  <c r="J75" i="12"/>
  <c r="U148" i="5"/>
  <c r="P116" i="12" s="1"/>
  <c r="U149" i="5"/>
  <c r="P117" i="12" s="1"/>
  <c r="P85" i="12"/>
  <c r="P78" i="12"/>
  <c r="U151" i="5"/>
  <c r="U175" i="5" s="1"/>
  <c r="P143" i="12" s="1"/>
  <c r="J87" i="12"/>
  <c r="P89" i="12"/>
  <c r="P99" i="12"/>
  <c r="P103" i="12"/>
  <c r="P81" i="12"/>
  <c r="P97" i="12"/>
  <c r="P67" i="12"/>
  <c r="J69" i="12" s="1"/>
  <c r="V119" i="5"/>
  <c r="P101" i="12"/>
  <c r="P98" i="12"/>
  <c r="P93" i="12"/>
  <c r="P91" i="12"/>
  <c r="U159" i="5"/>
  <c r="P127" i="12" s="1"/>
  <c r="U165" i="5"/>
  <c r="U189" i="5" s="1"/>
  <c r="P157" i="12" s="1"/>
  <c r="U161" i="5"/>
  <c r="P129" i="12" s="1"/>
  <c r="U167" i="5"/>
  <c r="U191" i="5" s="1"/>
  <c r="P159" i="12" s="1"/>
  <c r="U157" i="5"/>
  <c r="P125" i="12" s="1"/>
  <c r="P95" i="12"/>
  <c r="U146" i="5"/>
  <c r="P114" i="12" s="1"/>
  <c r="U155" i="5"/>
  <c r="P123" i="12" s="1"/>
  <c r="U166" i="5"/>
  <c r="U190" i="5" s="1"/>
  <c r="P158" i="12" s="1"/>
  <c r="U154" i="5"/>
  <c r="P122" i="12" s="1"/>
  <c r="P92" i="12"/>
  <c r="P108" i="12"/>
  <c r="P107" i="12"/>
  <c r="U145" i="5"/>
  <c r="U169" i="5" s="1"/>
  <c r="P137" i="12" s="1"/>
  <c r="P102" i="12"/>
  <c r="P131" i="12"/>
  <c r="U187" i="5"/>
  <c r="P155" i="12" s="1"/>
  <c r="P104" i="12"/>
  <c r="U160" i="5"/>
  <c r="U150" i="5"/>
  <c r="P94" i="12"/>
  <c r="V131" i="5"/>
  <c r="U162" i="5"/>
  <c r="P106" i="12"/>
  <c r="V143" i="5"/>
  <c r="P120" i="12"/>
  <c r="U176" i="5"/>
  <c r="P144" i="12" s="1"/>
  <c r="P115" i="12"/>
  <c r="U171" i="5"/>
  <c r="P139" i="12" s="1"/>
  <c r="P119" i="12"/>
  <c r="P121" i="12"/>
  <c r="U177" i="5"/>
  <c r="P145" i="12" s="1"/>
  <c r="J81" i="12"/>
  <c r="P132" i="12"/>
  <c r="U188" i="5"/>
  <c r="P156" i="12" s="1"/>
  <c r="U144" i="5"/>
  <c r="P88" i="12"/>
  <c r="V125" i="5"/>
  <c r="U156" i="5"/>
  <c r="P100" i="12"/>
  <c r="V137" i="5"/>
  <c r="U182" i="5" l="1"/>
  <c r="P150" i="12" s="1"/>
  <c r="U172" i="5"/>
  <c r="P140" i="12" s="1"/>
  <c r="U173" i="5"/>
  <c r="P141" i="12" s="1"/>
  <c r="U183" i="5"/>
  <c r="P151" i="12" s="1"/>
  <c r="P133" i="12"/>
  <c r="U185" i="5"/>
  <c r="P153" i="12" s="1"/>
  <c r="U170" i="5"/>
  <c r="P138" i="12" s="1"/>
  <c r="P135" i="12"/>
  <c r="U181" i="5"/>
  <c r="P149" i="12" s="1"/>
  <c r="J99" i="12"/>
  <c r="U179" i="5"/>
  <c r="P147" i="12" s="1"/>
  <c r="P134" i="12"/>
  <c r="J93" i="12"/>
  <c r="U178" i="5"/>
  <c r="P146" i="12" s="1"/>
  <c r="J111" i="12"/>
  <c r="P113" i="12"/>
  <c r="P128" i="12"/>
  <c r="U184" i="5"/>
  <c r="P152" i="12" s="1"/>
  <c r="J105" i="12"/>
  <c r="U174" i="5"/>
  <c r="P118" i="12"/>
  <c r="J123" i="12" s="1"/>
  <c r="V155" i="5"/>
  <c r="U180" i="5"/>
  <c r="P124" i="12"/>
  <c r="V161" i="5"/>
  <c r="U168" i="5"/>
  <c r="P112" i="12"/>
  <c r="V149" i="5"/>
  <c r="U186" i="5"/>
  <c r="P130" i="12"/>
  <c r="V167" i="5"/>
  <c r="J135" i="12" l="1"/>
  <c r="J117" i="12"/>
  <c r="J129" i="12"/>
  <c r="P142" i="12"/>
  <c r="J147" i="12" s="1"/>
  <c r="V179" i="5"/>
  <c r="P136" i="12"/>
  <c r="J141" i="12" s="1"/>
  <c r="V173" i="5"/>
  <c r="P148" i="12"/>
  <c r="J153" i="12" s="1"/>
  <c r="V185" i="5"/>
  <c r="P154" i="12"/>
  <c r="J159" i="12" s="1"/>
  <c r="O170" i="12" s="1"/>
  <c r="V191" i="5"/>
</calcChain>
</file>

<file path=xl/comments1.xml><?xml version="1.0" encoding="utf-8"?>
<comments xmlns="http://schemas.openxmlformats.org/spreadsheetml/2006/main">
  <authors>
    <author>作者</author>
    <author>bobuchen</author>
  </authors>
  <commentList>
    <comment ref="D1" authorId="0" shapeId="0">
      <text>
        <r>
          <rPr>
            <sz val="9"/>
            <color indexed="81"/>
            <rFont val="宋体"/>
            <family val="3"/>
            <charset val="134"/>
          </rPr>
          <t>作者:
（1,刀，2,拳，3,枪，4,十字架，0通用。</t>
        </r>
      </text>
    </comment>
    <comment ref="F1" authorId="1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武器 0
衣服 1
裤子 2
项链 3
腰带 4
鞋子 5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作者:
-1:灰色
0：绿色
1：蓝色
2：紫色
3:橙色
4：红色</t>
        </r>
      </text>
    </comment>
    <comment ref="Q1" authorId="0" shapeId="0">
      <text>
        <r>
          <rPr>
            <sz val="9"/>
            <color indexed="81"/>
            <rFont val="宋体"/>
            <family val="3"/>
            <charset val="134"/>
          </rPr>
          <t>作者:
1.2属性表示基础属性，3-9属性表示附加属性
=MAX(SUMPRODUCT((MOD(COLUMN(P2:AI2),2)=1)*(P2:AI2&gt;0))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bobuchen</author>
    <author>Windows User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作者:
（1,刀，2,拳，3,枪，4,十字架，0通用。</t>
        </r>
      </text>
    </comment>
    <comment ref="E1" authorId="1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武器 0
衣服 1
裤子 2
项链 3
腰带 4
鞋子 5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作者:
-1:灰色
0：绿色
1：蓝色
2：紫色
3:橙色
4：红色</t>
        </r>
      </text>
    </comment>
    <comment ref="H1" authorId="2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不消耗鑽石</t>
        </r>
      </text>
    </comment>
  </commentList>
</comments>
</file>

<file path=xl/comments3.xml><?xml version="1.0" encoding="utf-8"?>
<comments xmlns="http://schemas.openxmlformats.org/spreadsheetml/2006/main">
  <authors>
    <author>bobuchen</author>
  </authors>
  <commentList>
    <comment ref="O169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6/8因为武器计算多了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数据模型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<sst xmlns="http://schemas.openxmlformats.org/spreadsheetml/2006/main" count="1041" uniqueCount="668">
  <si>
    <t>装备部位表：</t>
    <phoneticPr fontId="1" type="noConversion"/>
  </si>
  <si>
    <t>部位ID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</si>
  <si>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</si>
  <si>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</si>
  <si>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</si>
  <si>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闪避</t>
    <phoneticPr fontId="1" type="noConversion"/>
  </si>
  <si>
    <t>命中</t>
    <phoneticPr fontId="1" type="noConversion"/>
  </si>
  <si>
    <t>暴击率</t>
    <phoneticPr fontId="1" type="noConversion"/>
  </si>
  <si>
    <t>暴击倍数</t>
    <phoneticPr fontId="1" type="noConversion"/>
  </si>
  <si>
    <t>韧性</t>
    <phoneticPr fontId="1" type="noConversion"/>
  </si>
  <si>
    <t>减伤</t>
    <phoneticPr fontId="1" type="noConversion"/>
  </si>
  <si>
    <t>伤害加深</t>
    <phoneticPr fontId="1" type="noConversion"/>
  </si>
  <si>
    <t>武器</t>
    <phoneticPr fontId="2" type="noConversion"/>
  </si>
  <si>
    <t>衣服</t>
    <phoneticPr fontId="2" type="noConversion"/>
  </si>
  <si>
    <t>裤子</t>
    <phoneticPr fontId="2" type="noConversion"/>
  </si>
  <si>
    <t>鞋子</t>
    <phoneticPr fontId="2" type="noConversion"/>
  </si>
  <si>
    <t>腰带</t>
    <phoneticPr fontId="2" type="noConversion"/>
  </si>
  <si>
    <t>项链</t>
    <phoneticPr fontId="2" type="noConversion"/>
  </si>
  <si>
    <t>15级紫装</t>
  </si>
  <si>
    <t>70级红装</t>
  </si>
  <si>
    <t>80级红装</t>
  </si>
  <si>
    <t>5级绿装</t>
    <phoneticPr fontId="1" type="noConversion"/>
  </si>
  <si>
    <t>15级蓝装</t>
    <phoneticPr fontId="1" type="noConversion"/>
  </si>
  <si>
    <t>30级蓝装</t>
    <phoneticPr fontId="1" type="noConversion"/>
  </si>
  <si>
    <t>30级紫装</t>
    <phoneticPr fontId="1" type="noConversion"/>
  </si>
  <si>
    <t>45级紫装</t>
    <phoneticPr fontId="1" type="noConversion"/>
  </si>
  <si>
    <t>45级橙装</t>
    <phoneticPr fontId="1" type="noConversion"/>
  </si>
  <si>
    <t>60级紫装</t>
    <phoneticPr fontId="1" type="noConversion"/>
  </si>
  <si>
    <t>60级橙装</t>
    <phoneticPr fontId="1" type="noConversion"/>
  </si>
  <si>
    <t>60级红装</t>
    <phoneticPr fontId="1" type="noConversion"/>
  </si>
  <si>
    <t>70级紫装</t>
    <phoneticPr fontId="1" type="noConversion"/>
  </si>
  <si>
    <t>70级橙装</t>
    <phoneticPr fontId="1" type="noConversion"/>
  </si>
  <si>
    <t>80级橙装</t>
    <phoneticPr fontId="1" type="noConversion"/>
  </si>
  <si>
    <t>装备</t>
    <phoneticPr fontId="1" type="noConversion"/>
  </si>
  <si>
    <t>装备ID</t>
  </si>
  <si>
    <t>装备名称</t>
  </si>
  <si>
    <t>职业限制</t>
  </si>
  <si>
    <t>装备部位</t>
  </si>
  <si>
    <t>等级限制</t>
  </si>
  <si>
    <t>强化上限</t>
    <phoneticPr fontId="4" type="noConversion"/>
  </si>
  <si>
    <t>装备颜色</t>
    <phoneticPr fontId="4" type="noConversion"/>
  </si>
  <si>
    <r>
      <rPr>
        <sz val="11"/>
        <color indexed="8"/>
        <rFont val="宋体"/>
        <family val="3"/>
        <charset val="134"/>
      </rPr>
      <t>升星I</t>
    </r>
    <r>
      <rPr>
        <sz val="11"/>
        <color indexed="8"/>
        <rFont val="宋体"/>
        <family val="3"/>
        <charset val="134"/>
      </rPr>
      <t>D</t>
    </r>
  </si>
  <si>
    <t>强化ID</t>
  </si>
  <si>
    <t>合成ID</t>
  </si>
  <si>
    <t>是否可出售</t>
  </si>
  <si>
    <t>出售价格</t>
  </si>
  <si>
    <t>时效</t>
  </si>
  <si>
    <t>属性数目</t>
  </si>
  <si>
    <t>属性1数值</t>
  </si>
  <si>
    <t>属性1类型</t>
  </si>
  <si>
    <t>属性2数值</t>
  </si>
  <si>
    <t>属性2类型</t>
  </si>
  <si>
    <t>属性3数值</t>
  </si>
  <si>
    <t>属性3类型</t>
  </si>
  <si>
    <t>属性4数值</t>
  </si>
  <si>
    <t>属性4类型</t>
  </si>
  <si>
    <t>属性5数值</t>
  </si>
  <si>
    <t>属性5类型</t>
  </si>
  <si>
    <t>属性6数值</t>
  </si>
  <si>
    <t>属性6类型</t>
  </si>
  <si>
    <t>属性7数值</t>
  </si>
  <si>
    <t>属性7类型</t>
  </si>
  <si>
    <t>属性8数值</t>
  </si>
  <si>
    <t>属性8类型</t>
  </si>
  <si>
    <t>属性9数值</t>
  </si>
  <si>
    <t>属性9类型</t>
  </si>
  <si>
    <t>属性10数值</t>
  </si>
  <si>
    <t>属性10类型</t>
  </si>
  <si>
    <t>装备描述</t>
  </si>
  <si>
    <t>ICONid</t>
  </si>
  <si>
    <t>品质定义</t>
    <phoneticPr fontId="1" type="noConversion"/>
  </si>
  <si>
    <t>名称</t>
    <phoneticPr fontId="1" type="noConversion"/>
  </si>
  <si>
    <t>白色</t>
    <phoneticPr fontId="1" type="noConversion"/>
  </si>
  <si>
    <t>绿色</t>
    <phoneticPr fontId="1" type="noConversion"/>
  </si>
  <si>
    <t>蓝色</t>
    <phoneticPr fontId="1" type="noConversion"/>
  </si>
  <si>
    <t>紫色</t>
    <phoneticPr fontId="1" type="noConversion"/>
  </si>
  <si>
    <t>橙色</t>
    <phoneticPr fontId="1" type="noConversion"/>
  </si>
  <si>
    <t>红色</t>
    <phoneticPr fontId="1" type="noConversion"/>
  </si>
  <si>
    <t>装备部位</t>
    <phoneticPr fontId="1" type="noConversion"/>
  </si>
  <si>
    <t>名称</t>
    <phoneticPr fontId="1" type="noConversion"/>
  </si>
  <si>
    <t>武器</t>
    <phoneticPr fontId="1" type="noConversion"/>
  </si>
  <si>
    <t>衣服</t>
    <phoneticPr fontId="1" type="noConversion"/>
  </si>
  <si>
    <t>裤子</t>
    <phoneticPr fontId="1" type="noConversion"/>
  </si>
  <si>
    <t>腰带</t>
    <phoneticPr fontId="1" type="noConversion"/>
  </si>
  <si>
    <t>项链</t>
    <phoneticPr fontId="1" type="noConversion"/>
  </si>
  <si>
    <t>鞋子</t>
    <phoneticPr fontId="1" type="noConversion"/>
  </si>
  <si>
    <t>装备等级</t>
    <phoneticPr fontId="1" type="noConversion"/>
  </si>
  <si>
    <t>品质</t>
    <phoneticPr fontId="1" type="noConversion"/>
  </si>
  <si>
    <t>部位</t>
    <phoneticPr fontId="1" type="noConversion"/>
  </si>
  <si>
    <t>减伤</t>
    <phoneticPr fontId="1" type="noConversion"/>
  </si>
  <si>
    <t>伤害加深</t>
    <phoneticPr fontId="1" type="noConversion"/>
  </si>
  <si>
    <t>搜索值</t>
    <phoneticPr fontId="1" type="noConversion"/>
  </si>
  <si>
    <t>暴击倍数百分比</t>
    <phoneticPr fontId="1" type="noConversion"/>
  </si>
  <si>
    <t>伤害加成</t>
    <phoneticPr fontId="1" type="noConversion"/>
  </si>
  <si>
    <t>参考值</t>
    <phoneticPr fontId="1" type="noConversion"/>
  </si>
  <si>
    <t>附加值</t>
    <phoneticPr fontId="1" type="noConversion"/>
  </si>
  <si>
    <t>最终值</t>
    <phoneticPr fontId="1" type="noConversion"/>
  </si>
  <si>
    <t>套数</t>
    <phoneticPr fontId="1" type="noConversion"/>
  </si>
  <si>
    <t>ID</t>
    <phoneticPr fontId="1" type="noConversion"/>
  </si>
  <si>
    <t>装备基础属性</t>
    <phoneticPr fontId="1" type="noConversion"/>
  </si>
  <si>
    <t>装备附加属性</t>
    <phoneticPr fontId="1" type="noConversion"/>
  </si>
  <si>
    <t>品质&amp;部位&amp;等级</t>
  </si>
  <si>
    <t>附加装备百分比</t>
    <phoneticPr fontId="1" type="noConversion"/>
  </si>
  <si>
    <t>纯品质属性占比</t>
    <phoneticPr fontId="1" type="noConversion"/>
  </si>
  <si>
    <t>附加属性占比</t>
    <phoneticPr fontId="1" type="noConversion"/>
  </si>
  <si>
    <t>附加属性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</si>
  <si>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</si>
  <si>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</si>
  <si>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</si>
  <si>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</si>
  <si>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</si>
  <si>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</si>
  <si>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</si>
  <si>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</si>
  <si>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</si>
  <si>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</si>
  <si>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</si>
  <si>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</si>
  <si>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</si>
  <si>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</si>
  <si>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</si>
  <si>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</si>
  <si>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</si>
  <si>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</si>
  <si>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</si>
  <si>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</si>
  <si>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强化ID</t>
    <phoneticPr fontId="1" type="noConversion"/>
  </si>
  <si>
    <t>等级</t>
    <phoneticPr fontId="1" type="noConversion"/>
  </si>
  <si>
    <t>品质</t>
    <phoneticPr fontId="1" type="noConversion"/>
  </si>
  <si>
    <t>部位</t>
    <phoneticPr fontId="1" type="noConversion"/>
  </si>
  <si>
    <t>套数</t>
    <phoneticPr fontId="1" type="noConversion"/>
  </si>
  <si>
    <t>强化属性占比</t>
    <phoneticPr fontId="1" type="noConversion"/>
  </si>
  <si>
    <t>装备每级升级属性</t>
    <phoneticPr fontId="1" type="noConversion"/>
  </si>
  <si>
    <t>有效属性</t>
    <phoneticPr fontId="1" type="noConversion"/>
  </si>
  <si>
    <t>索引</t>
    <phoneticPr fontId="1" type="noConversion"/>
  </si>
  <si>
    <t>升星ID</t>
    <phoneticPr fontId="1" type="noConversion"/>
  </si>
  <si>
    <t>衣服</t>
    <phoneticPr fontId="1" type="noConversion"/>
  </si>
  <si>
    <t>裤子</t>
    <phoneticPr fontId="1" type="noConversion"/>
  </si>
  <si>
    <t>鞋子</t>
    <phoneticPr fontId="1" type="noConversion"/>
  </si>
  <si>
    <t>腰带</t>
    <phoneticPr fontId="1" type="noConversion"/>
  </si>
  <si>
    <t>项链</t>
    <phoneticPr fontId="1" type="noConversion"/>
  </si>
  <si>
    <t>武器</t>
    <phoneticPr fontId="1" type="noConversion"/>
  </si>
  <si>
    <t>属性价值评估</t>
    <phoneticPr fontId="1" type="noConversion"/>
  </si>
  <si>
    <t>属性价值评估</t>
    <phoneticPr fontId="1" type="noConversion"/>
  </si>
  <si>
    <t>人物等级</t>
    <phoneticPr fontId="1" type="noConversion"/>
  </si>
  <si>
    <t>每级公式</t>
    <phoneticPr fontId="1" type="noConversion"/>
  </si>
  <si>
    <t>ID</t>
    <phoneticPr fontId="1" type="noConversion"/>
  </si>
  <si>
    <t>装备强化材料</t>
    <phoneticPr fontId="1" type="noConversion"/>
  </si>
  <si>
    <t>相当经验</t>
    <phoneticPr fontId="1" type="noConversion"/>
  </si>
  <si>
    <t>消耗&amp;经验系数</t>
    <phoneticPr fontId="1" type="noConversion"/>
  </si>
  <si>
    <t>每件装备升星等级</t>
    <phoneticPr fontId="1" type="noConversion"/>
  </si>
  <si>
    <t>金币系数</t>
    <phoneticPr fontId="1" type="noConversion"/>
  </si>
  <si>
    <t>属性价值评估</t>
    <phoneticPr fontId="1" type="noConversion"/>
  </si>
  <si>
    <t>总消耗经验</t>
    <phoneticPr fontId="1" type="noConversion"/>
  </si>
  <si>
    <t>金币</t>
    <phoneticPr fontId="1" type="noConversion"/>
  </si>
  <si>
    <t>系数</t>
    <phoneticPr fontId="1" type="noConversion"/>
  </si>
  <si>
    <t>每级公式</t>
    <phoneticPr fontId="1" type="noConversion"/>
  </si>
  <si>
    <t xml:space="preserve"> =每级所需经验*EXP(0.1279*升星等级)</t>
    <phoneticPr fontId="1" type="noConversion"/>
  </si>
  <si>
    <t>ID</t>
    <phoneticPr fontId="1" type="noConversion"/>
  </si>
  <si>
    <t>装备品质材料</t>
    <phoneticPr fontId="1" type="noConversion"/>
  </si>
  <si>
    <t>部位材料</t>
    <phoneticPr fontId="1" type="noConversion"/>
  </si>
  <si>
    <t>部位材料(武器)</t>
  </si>
  <si>
    <t>部位材料(衣服)</t>
  </si>
  <si>
    <t>部位材料(鞋子)</t>
  </si>
  <si>
    <t>暴击值</t>
    <phoneticPr fontId="1" type="noConversion"/>
  </si>
  <si>
    <t>韧性值</t>
    <phoneticPr fontId="1" type="noConversion"/>
  </si>
  <si>
    <t>命中值</t>
    <phoneticPr fontId="1" type="noConversion"/>
  </si>
  <si>
    <t>闪避值</t>
    <phoneticPr fontId="1" type="noConversion"/>
  </si>
  <si>
    <t>基础属性估值</t>
    <phoneticPr fontId="1" type="noConversion"/>
  </si>
  <si>
    <t>附加属性估值</t>
    <phoneticPr fontId="1" type="noConversion"/>
  </si>
  <si>
    <t>总估值</t>
    <phoneticPr fontId="1" type="noConversion"/>
  </si>
  <si>
    <t>属性估值</t>
    <phoneticPr fontId="1" type="noConversion"/>
  </si>
  <si>
    <t>经验系数</t>
    <phoneticPr fontId="1" type="noConversion"/>
  </si>
  <si>
    <t>装备等级</t>
    <phoneticPr fontId="1" type="noConversion"/>
  </si>
  <si>
    <t>曲线系数</t>
    <phoneticPr fontId="1" type="noConversion"/>
  </si>
  <si>
    <t>品质</t>
    <phoneticPr fontId="1" type="noConversion"/>
  </si>
  <si>
    <t>幂的参数</t>
    <phoneticPr fontId="1" type="noConversion"/>
  </si>
  <si>
    <t>等级对应</t>
    <phoneticPr fontId="1" type="noConversion"/>
  </si>
  <si>
    <t>每级需要经验</t>
    <phoneticPr fontId="1" type="noConversion"/>
  </si>
  <si>
    <t xml:space="preserve"> =每级所需经验*强化等级</t>
    <phoneticPr fontId="1" type="noConversion"/>
  </si>
  <si>
    <t>每级消耗金币</t>
    <phoneticPr fontId="1" type="noConversion"/>
  </si>
  <si>
    <t>金币系数</t>
    <phoneticPr fontId="1" type="noConversion"/>
  </si>
  <si>
    <t>每级金币消耗</t>
    <phoneticPr fontId="1" type="noConversion"/>
  </si>
  <si>
    <t>总经验</t>
    <phoneticPr fontId="1" type="noConversion"/>
  </si>
  <si>
    <t>总金币</t>
    <phoneticPr fontId="1" type="noConversion"/>
  </si>
  <si>
    <t xml:space="preserve"> =每级所需经验*升星等级</t>
    <phoneticPr fontId="1" type="noConversion"/>
  </si>
  <si>
    <t>每级金币=每级所需金币*升星等级</t>
    <phoneticPr fontId="1" type="noConversion"/>
  </si>
  <si>
    <t>闪避值</t>
    <phoneticPr fontId="1" type="noConversion"/>
  </si>
  <si>
    <t>命中值</t>
    <phoneticPr fontId="1" type="noConversion"/>
  </si>
  <si>
    <t>暴击值</t>
    <phoneticPr fontId="1" type="noConversion"/>
  </si>
  <si>
    <t>韧性值</t>
    <phoneticPr fontId="1" type="noConversion"/>
  </si>
  <si>
    <t>每级强化经验</t>
    <phoneticPr fontId="1" type="noConversion"/>
  </si>
  <si>
    <t>每级金币消耗</t>
    <phoneticPr fontId="1" type="noConversion"/>
  </si>
  <si>
    <t>生命</t>
    <phoneticPr fontId="1" type="noConversion"/>
  </si>
  <si>
    <t>升星ID</t>
    <phoneticPr fontId="1" type="noConversion"/>
  </si>
  <si>
    <t>每级升星经验</t>
    <phoneticPr fontId="1" type="noConversion"/>
  </si>
  <si>
    <t>分解ID</t>
  </si>
  <si>
    <t>所得材料ID1</t>
  </si>
  <si>
    <t>基础数量1</t>
  </si>
  <si>
    <t>所得材料ID2</t>
  </si>
  <si>
    <t>基础数量2</t>
  </si>
  <si>
    <t>所得材料3ID</t>
  </si>
  <si>
    <t>基础数量3</t>
  </si>
  <si>
    <t>所得材料ID4</t>
  </si>
  <si>
    <t>基础数量4</t>
    <phoneticPr fontId="1" type="noConversion"/>
  </si>
  <si>
    <t>辅助列</t>
    <phoneticPr fontId="1" type="noConversion"/>
  </si>
  <si>
    <t>野性之拳</t>
  </si>
  <si>
    <t>部位描述</t>
    <phoneticPr fontId="1" type="noConversion"/>
  </si>
  <si>
    <t>嗜血拳</t>
  </si>
  <si>
    <t>染血之拳</t>
    <phoneticPr fontId="1" type="noConversion"/>
  </si>
  <si>
    <t>暗羽霸刀</t>
  </si>
  <si>
    <t>暗羽之拳</t>
  </si>
  <si>
    <t>霸道之刃</t>
  </si>
  <si>
    <t>霸道之拳</t>
  </si>
  <si>
    <t>幻痛之拳</t>
  </si>
  <si>
    <t>流光之拳</t>
    <phoneticPr fontId="1" type="noConversion"/>
  </si>
  <si>
    <t>玄武霸刀</t>
    <phoneticPr fontId="1" type="noConversion"/>
  </si>
  <si>
    <t>玄武之拳</t>
    <phoneticPr fontId="1" type="noConversion"/>
  </si>
  <si>
    <t>白虎霸刀</t>
    <phoneticPr fontId="1" type="noConversion"/>
  </si>
  <si>
    <t>白虎之拳</t>
    <phoneticPr fontId="1" type="noConversion"/>
  </si>
  <si>
    <t>幻痛霸刀</t>
    <phoneticPr fontId="1" type="noConversion"/>
  </si>
  <si>
    <t>朱雀霸刀</t>
    <phoneticPr fontId="1" type="noConversion"/>
  </si>
  <si>
    <t>朱雀之拳</t>
    <phoneticPr fontId="1" type="noConversion"/>
  </si>
  <si>
    <t>焚天之拳</t>
    <phoneticPr fontId="1" type="noConversion"/>
  </si>
  <si>
    <t>等级+品质+部位</t>
    <phoneticPr fontId="1" type="noConversion"/>
  </si>
  <si>
    <t>属性估值</t>
    <phoneticPr fontId="1" type="noConversion"/>
  </si>
  <si>
    <t>ID</t>
    <phoneticPr fontId="1" type="noConversion"/>
  </si>
  <si>
    <t>装备ID</t>
    <phoneticPr fontId="1" type="noConversion"/>
  </si>
  <si>
    <t>装备名字</t>
    <phoneticPr fontId="1" type="noConversion"/>
  </si>
  <si>
    <t>属性估值</t>
    <phoneticPr fontId="1" type="noConversion"/>
  </si>
  <si>
    <t>每级属性估值</t>
    <phoneticPr fontId="1" type="noConversion"/>
  </si>
  <si>
    <t>强化ID</t>
    <phoneticPr fontId="1" type="noConversion"/>
  </si>
  <si>
    <t>强化总经验</t>
    <phoneticPr fontId="1" type="noConversion"/>
  </si>
  <si>
    <t>装备等级</t>
    <phoneticPr fontId="1" type="noConversion"/>
  </si>
  <si>
    <t>品质</t>
    <phoneticPr fontId="1" type="noConversion"/>
  </si>
  <si>
    <t>金币总消耗</t>
    <phoneticPr fontId="1" type="noConversion"/>
  </si>
  <si>
    <t>升星ID</t>
    <phoneticPr fontId="1" type="noConversion"/>
  </si>
  <si>
    <t>品质</t>
    <phoneticPr fontId="1" type="noConversion"/>
  </si>
  <si>
    <t>装备等级</t>
    <phoneticPr fontId="1" type="noConversion"/>
  </si>
  <si>
    <t>升星总经验</t>
    <phoneticPr fontId="1" type="noConversion"/>
  </si>
  <si>
    <t>金币/属性</t>
    <phoneticPr fontId="1" type="noConversion"/>
  </si>
  <si>
    <t>升星经验/属性</t>
    <phoneticPr fontId="1" type="noConversion"/>
  </si>
  <si>
    <t>强化经验/属性</t>
    <phoneticPr fontId="1" type="noConversion"/>
  </si>
  <si>
    <t>等级</t>
    <phoneticPr fontId="1" type="noConversion"/>
  </si>
  <si>
    <t>总金币</t>
    <phoneticPr fontId="1" type="noConversion"/>
  </si>
  <si>
    <t>需求量</t>
    <phoneticPr fontId="1" type="noConversion"/>
  </si>
  <si>
    <t>ID</t>
    <phoneticPr fontId="1" type="noConversion"/>
  </si>
  <si>
    <t>名字</t>
    <phoneticPr fontId="1" type="noConversion"/>
  </si>
  <si>
    <t>ID</t>
    <phoneticPr fontId="1" type="noConversion"/>
  </si>
  <si>
    <t>名字</t>
    <phoneticPr fontId="1" type="noConversion"/>
  </si>
  <si>
    <t>中级强化石</t>
    <phoneticPr fontId="1" type="noConversion"/>
  </si>
  <si>
    <t>高级强化石</t>
    <phoneticPr fontId="1" type="noConversion"/>
  </si>
  <si>
    <t>初级强化石</t>
    <phoneticPr fontId="1" type="noConversion"/>
  </si>
  <si>
    <t>低级强化石</t>
    <phoneticPr fontId="1" type="noConversion"/>
  </si>
  <si>
    <t>中级强化石</t>
    <phoneticPr fontId="1" type="noConversion"/>
  </si>
  <si>
    <t>高级强化石</t>
    <phoneticPr fontId="1" type="noConversion"/>
  </si>
  <si>
    <t>结束等级</t>
    <phoneticPr fontId="1" type="noConversion"/>
  </si>
  <si>
    <t>每套消耗金币</t>
    <phoneticPr fontId="1" type="noConversion"/>
  </si>
  <si>
    <t>金币总需求量</t>
    <phoneticPr fontId="1" type="noConversion"/>
  </si>
  <si>
    <t>初级升星石</t>
    <phoneticPr fontId="1" type="noConversion"/>
  </si>
  <si>
    <t>中级升星石</t>
    <phoneticPr fontId="1" type="noConversion"/>
  </si>
  <si>
    <t>高级升星石</t>
    <phoneticPr fontId="1" type="noConversion"/>
  </si>
  <si>
    <t>max星级</t>
    <phoneticPr fontId="1" type="noConversion"/>
  </si>
  <si>
    <t>总经验</t>
    <phoneticPr fontId="1" type="noConversion"/>
  </si>
  <si>
    <t>经验验证</t>
    <phoneticPr fontId="1" type="noConversion"/>
  </si>
  <si>
    <t>初级数量</t>
    <phoneticPr fontId="1" type="noConversion"/>
  </si>
  <si>
    <t>中级数量</t>
    <phoneticPr fontId="1" type="noConversion"/>
  </si>
  <si>
    <t>高级数量</t>
    <phoneticPr fontId="1" type="noConversion"/>
  </si>
  <si>
    <t>高级升星石</t>
    <phoneticPr fontId="1" type="noConversion"/>
  </si>
  <si>
    <t>初级升星石</t>
    <phoneticPr fontId="1" type="noConversion"/>
  </si>
  <si>
    <t>中级升星石</t>
    <phoneticPr fontId="1" type="noConversion"/>
  </si>
  <si>
    <t>部位材料每级数量</t>
    <phoneticPr fontId="1" type="noConversion"/>
  </si>
  <si>
    <t>部位材料总数量</t>
    <phoneticPr fontId="1" type="noConversion"/>
  </si>
  <si>
    <t>部位材料消耗</t>
    <phoneticPr fontId="1" type="noConversion"/>
  </si>
  <si>
    <t>部位材料ID</t>
    <phoneticPr fontId="1" type="noConversion"/>
  </si>
  <si>
    <t>材料ID</t>
    <phoneticPr fontId="1" type="noConversion"/>
  </si>
  <si>
    <t>武器</t>
  </si>
  <si>
    <t>衣服</t>
  </si>
  <si>
    <t>裤子</t>
  </si>
  <si>
    <t>鞋子</t>
  </si>
  <si>
    <t>腰带</t>
  </si>
  <si>
    <t>项链</t>
  </si>
  <si>
    <t>部位材料总量</t>
    <phoneticPr fontId="1" type="noConversion"/>
  </si>
  <si>
    <t>强化总经验</t>
    <phoneticPr fontId="1" type="noConversion"/>
  </si>
  <si>
    <t>升星总经验</t>
    <phoneticPr fontId="1" type="noConversion"/>
  </si>
  <si>
    <t>染血之剑</t>
    <phoneticPr fontId="1" type="noConversion"/>
  </si>
  <si>
    <t>新手之拳</t>
    <phoneticPr fontId="1" type="noConversion"/>
  </si>
  <si>
    <t>新手之枪</t>
    <phoneticPr fontId="1" type="noConversion"/>
  </si>
  <si>
    <t>减伤百分比</t>
    <phoneticPr fontId="1" type="noConversion"/>
  </si>
  <si>
    <t>伤害百分比</t>
    <phoneticPr fontId="1" type="noConversion"/>
  </si>
  <si>
    <t>有效条数</t>
    <phoneticPr fontId="1" type="noConversion"/>
  </si>
  <si>
    <t>属性经验价值</t>
    <phoneticPr fontId="1" type="noConversion"/>
  </si>
  <si>
    <t>金币价值</t>
    <phoneticPr fontId="1" type="noConversion"/>
  </si>
  <si>
    <t>钻石价值</t>
    <phoneticPr fontId="1" type="noConversion"/>
  </si>
  <si>
    <t>每经验金币价值</t>
    <phoneticPr fontId="1" type="noConversion"/>
  </si>
  <si>
    <t>金币价格</t>
    <phoneticPr fontId="1" type="noConversion"/>
  </si>
  <si>
    <t>钻石价格</t>
    <phoneticPr fontId="1" type="noConversion"/>
  </si>
  <si>
    <t>稀有度</t>
    <phoneticPr fontId="1" type="noConversion"/>
  </si>
  <si>
    <t>s</t>
    <phoneticPr fontId="1" type="noConversion"/>
  </si>
  <si>
    <t>分解金币</t>
    <phoneticPr fontId="1" type="noConversion"/>
  </si>
  <si>
    <t>装备等级</t>
    <phoneticPr fontId="1" type="noConversion"/>
  </si>
  <si>
    <t>装备套数</t>
    <phoneticPr fontId="1" type="noConversion"/>
  </si>
  <si>
    <t>爵士之刃</t>
    <phoneticPr fontId="1" type="noConversion"/>
  </si>
  <si>
    <t>爵士之拳</t>
    <phoneticPr fontId="1" type="noConversion"/>
  </si>
  <si>
    <t>爵士之枪</t>
    <phoneticPr fontId="1" type="noConversion"/>
  </si>
  <si>
    <t>爵士战衣</t>
    <phoneticPr fontId="1" type="noConversion"/>
  </si>
  <si>
    <t>爵士长裤</t>
    <phoneticPr fontId="1" type="noConversion"/>
  </si>
  <si>
    <t>爵士长靴</t>
    <phoneticPr fontId="1" type="noConversion"/>
  </si>
  <si>
    <t>爵士腰带</t>
    <phoneticPr fontId="1" type="noConversion"/>
  </si>
  <si>
    <t>爵士项链</t>
    <phoneticPr fontId="1" type="noConversion"/>
  </si>
  <si>
    <t>暴血之刃</t>
    <phoneticPr fontId="1" type="noConversion"/>
  </si>
  <si>
    <t>暴血之拳</t>
    <phoneticPr fontId="1" type="noConversion"/>
  </si>
  <si>
    <t>暴血之枪</t>
    <phoneticPr fontId="1" type="noConversion"/>
  </si>
  <si>
    <t>暴血战衣</t>
    <phoneticPr fontId="1" type="noConversion"/>
  </si>
  <si>
    <t>暴血长裤</t>
    <phoneticPr fontId="1" type="noConversion"/>
  </si>
  <si>
    <t>暴血长靴</t>
    <phoneticPr fontId="1" type="noConversion"/>
  </si>
  <si>
    <t>暴血腰带</t>
    <phoneticPr fontId="1" type="noConversion"/>
  </si>
  <si>
    <t>暴血项链</t>
    <phoneticPr fontId="1" type="noConversion"/>
  </si>
  <si>
    <t>勇气之刃</t>
    <phoneticPr fontId="1" type="noConversion"/>
  </si>
  <si>
    <t>勇气之拳</t>
    <phoneticPr fontId="1" type="noConversion"/>
  </si>
  <si>
    <t>勇气之枪</t>
    <phoneticPr fontId="1" type="noConversion"/>
  </si>
  <si>
    <t>勇气战衣</t>
    <phoneticPr fontId="1" type="noConversion"/>
  </si>
  <si>
    <t>勇气长裤</t>
    <phoneticPr fontId="1" type="noConversion"/>
  </si>
  <si>
    <t>勇气长靴</t>
    <phoneticPr fontId="1" type="noConversion"/>
  </si>
  <si>
    <t>勇气腰带</t>
    <phoneticPr fontId="1" type="noConversion"/>
  </si>
  <si>
    <t>勇气项链</t>
    <phoneticPr fontId="1" type="noConversion"/>
  </si>
  <si>
    <t>暗魔之刃</t>
    <phoneticPr fontId="1" type="noConversion"/>
  </si>
  <si>
    <t>暗魔之拳</t>
    <phoneticPr fontId="1" type="noConversion"/>
  </si>
  <si>
    <t>暗魔之枪</t>
    <phoneticPr fontId="1" type="noConversion"/>
  </si>
  <si>
    <t>暗魔战衣</t>
    <phoneticPr fontId="1" type="noConversion"/>
  </si>
  <si>
    <t>暗魔长裤</t>
    <phoneticPr fontId="1" type="noConversion"/>
  </si>
  <si>
    <t>暗魔长靴</t>
    <phoneticPr fontId="1" type="noConversion"/>
  </si>
  <si>
    <t>暗魔腰带</t>
    <phoneticPr fontId="1" type="noConversion"/>
  </si>
  <si>
    <t>暗魔项链</t>
    <phoneticPr fontId="1" type="noConversion"/>
  </si>
  <si>
    <t>战爵之刃</t>
    <phoneticPr fontId="1" type="noConversion"/>
  </si>
  <si>
    <t>战爵之拳</t>
    <phoneticPr fontId="1" type="noConversion"/>
  </si>
  <si>
    <t>战爵之枪</t>
    <phoneticPr fontId="1" type="noConversion"/>
  </si>
  <si>
    <t>战爵之衣</t>
    <phoneticPr fontId="1" type="noConversion"/>
  </si>
  <si>
    <t>战爵长裤</t>
    <phoneticPr fontId="1" type="noConversion"/>
  </si>
  <si>
    <t>战爵长靴</t>
    <phoneticPr fontId="1" type="noConversion"/>
  </si>
  <si>
    <t>战爵腰带</t>
    <phoneticPr fontId="1" type="noConversion"/>
  </si>
  <si>
    <t>战爵项链</t>
    <phoneticPr fontId="1" type="noConversion"/>
  </si>
  <si>
    <t>堕落之刃</t>
    <phoneticPr fontId="1" type="noConversion"/>
  </si>
  <si>
    <t>堕落之拳</t>
    <phoneticPr fontId="1" type="noConversion"/>
  </si>
  <si>
    <t>堕落之枪</t>
    <phoneticPr fontId="1" type="noConversion"/>
  </si>
  <si>
    <t>堕落战衣</t>
    <phoneticPr fontId="1" type="noConversion"/>
  </si>
  <si>
    <t>堕落长裤</t>
    <phoneticPr fontId="1" type="noConversion"/>
  </si>
  <si>
    <t>堕落长靴</t>
    <phoneticPr fontId="1" type="noConversion"/>
  </si>
  <si>
    <t>堕落腰带</t>
    <phoneticPr fontId="1" type="noConversion"/>
  </si>
  <si>
    <t>堕落项链</t>
    <phoneticPr fontId="1" type="noConversion"/>
  </si>
  <si>
    <t>高洁之刃</t>
    <phoneticPr fontId="1" type="noConversion"/>
  </si>
  <si>
    <t>高洁之拳</t>
    <phoneticPr fontId="1" type="noConversion"/>
  </si>
  <si>
    <t>高洁之枪</t>
    <phoneticPr fontId="1" type="noConversion"/>
  </si>
  <si>
    <t>高洁战衣</t>
    <phoneticPr fontId="1" type="noConversion"/>
  </si>
  <si>
    <t>高洁长裤</t>
    <phoneticPr fontId="1" type="noConversion"/>
  </si>
  <si>
    <t>高洁长靴</t>
    <phoneticPr fontId="1" type="noConversion"/>
  </si>
  <si>
    <t>高洁腰带</t>
    <phoneticPr fontId="1" type="noConversion"/>
  </si>
  <si>
    <t>高洁项链</t>
    <phoneticPr fontId="1" type="noConversion"/>
  </si>
  <si>
    <t>星宿之刃</t>
    <phoneticPr fontId="1" type="noConversion"/>
  </si>
  <si>
    <t>星宿之拳</t>
    <phoneticPr fontId="1" type="noConversion"/>
  </si>
  <si>
    <t>星宿之枪</t>
    <phoneticPr fontId="1" type="noConversion"/>
  </si>
  <si>
    <t>星宿战衣</t>
    <phoneticPr fontId="1" type="noConversion"/>
  </si>
  <si>
    <t>星宿长裤</t>
    <phoneticPr fontId="1" type="noConversion"/>
  </si>
  <si>
    <t>星宿长靴</t>
    <phoneticPr fontId="1" type="noConversion"/>
  </si>
  <si>
    <t>星宿腰带</t>
    <phoneticPr fontId="1" type="noConversion"/>
  </si>
  <si>
    <t>星宿项链</t>
    <phoneticPr fontId="1" type="noConversion"/>
  </si>
  <si>
    <t>狂气之拳</t>
    <phoneticPr fontId="1" type="noConversion"/>
  </si>
  <si>
    <t>升级ID</t>
    <phoneticPr fontId="1" type="noConversion"/>
  </si>
  <si>
    <t>钻石消耗</t>
    <phoneticPr fontId="1" type="noConversion"/>
  </si>
  <si>
    <t>金币消耗</t>
    <phoneticPr fontId="1" type="noConversion"/>
  </si>
  <si>
    <t>升级ID</t>
    <phoneticPr fontId="1" type="noConversion"/>
  </si>
  <si>
    <t>升级材料1名称</t>
    <phoneticPr fontId="1" type="noConversion"/>
  </si>
  <si>
    <t>升级材料1ID</t>
    <phoneticPr fontId="1" type="noConversion"/>
  </si>
  <si>
    <t>升级材料1数量</t>
    <phoneticPr fontId="1" type="noConversion"/>
  </si>
  <si>
    <t>升级产物ID</t>
    <phoneticPr fontId="1" type="noConversion"/>
  </si>
  <si>
    <t>升级产物名称</t>
    <phoneticPr fontId="1" type="noConversion"/>
  </si>
  <si>
    <t>紫色</t>
    <phoneticPr fontId="1" type="noConversion"/>
  </si>
  <si>
    <t>橙色</t>
    <phoneticPr fontId="1" type="noConversion"/>
  </si>
  <si>
    <t>装备等级</t>
    <phoneticPr fontId="1" type="noConversion"/>
  </si>
  <si>
    <t>无</t>
    <phoneticPr fontId="1" type="noConversion"/>
  </si>
  <si>
    <t>升级的ID</t>
    <phoneticPr fontId="1" type="noConversion"/>
  </si>
  <si>
    <t>材料数量系数</t>
    <phoneticPr fontId="1" type="noConversion"/>
  </si>
  <si>
    <t>金币系数</t>
    <phoneticPr fontId="1" type="noConversion"/>
  </si>
  <si>
    <t>升级组数</t>
    <phoneticPr fontId="1" type="noConversion"/>
  </si>
  <si>
    <t>升级组数需求</t>
    <phoneticPr fontId="1" type="noConversion"/>
  </si>
  <si>
    <t>金币价值</t>
    <phoneticPr fontId="1" type="noConversion"/>
  </si>
  <si>
    <t>钻石价值</t>
    <phoneticPr fontId="1" type="noConversion"/>
  </si>
  <si>
    <t>总估值</t>
    <phoneticPr fontId="1" type="noConversion"/>
  </si>
  <si>
    <t>稀有度</t>
    <phoneticPr fontId="1" type="noConversion"/>
  </si>
  <si>
    <t>升级材料2ID</t>
  </si>
  <si>
    <t>升级材料2数量</t>
  </si>
  <si>
    <t>品质</t>
    <phoneticPr fontId="1" type="noConversion"/>
  </si>
  <si>
    <t>稀有度评估</t>
    <phoneticPr fontId="1" type="noConversion"/>
  </si>
  <si>
    <t>辅助价格</t>
    <phoneticPr fontId="1" type="noConversion"/>
  </si>
  <si>
    <t>倍数</t>
    <phoneticPr fontId="1" type="noConversion"/>
  </si>
  <si>
    <t>总值</t>
    <phoneticPr fontId="1" type="noConversion"/>
  </si>
  <si>
    <t>钻石价格</t>
    <phoneticPr fontId="1" type="noConversion"/>
  </si>
  <si>
    <t>装备升级</t>
    <phoneticPr fontId="1" type="noConversion"/>
  </si>
  <si>
    <t>新手之剑</t>
  </si>
  <si>
    <t>染血之枪</t>
  </si>
  <si>
    <t>染血战衣</t>
  </si>
  <si>
    <t>染血长裤</t>
  </si>
  <si>
    <t>染血长靴</t>
  </si>
  <si>
    <t>染血腰带</t>
  </si>
  <si>
    <t>染血项链</t>
  </si>
  <si>
    <t>野性之剑</t>
  </si>
  <si>
    <t>野性之枪</t>
  </si>
  <si>
    <t>野性战衣</t>
  </si>
  <si>
    <t>野性长裤</t>
  </si>
  <si>
    <t>野性长靴</t>
  </si>
  <si>
    <t>野性腰带</t>
  </si>
  <si>
    <t>野性项链</t>
  </si>
  <si>
    <t>紫云之剑</t>
  </si>
  <si>
    <t>紫云之拳</t>
  </si>
  <si>
    <t>紫云之枪</t>
  </si>
  <si>
    <t>紫云战衣</t>
  </si>
  <si>
    <t>紫云长裤</t>
  </si>
  <si>
    <t>紫云长靴</t>
  </si>
  <si>
    <t>紫云腰带</t>
  </si>
  <si>
    <t>紫云项链</t>
  </si>
  <si>
    <t>碧蓝之剑</t>
  </si>
  <si>
    <t>碧蓝之拳</t>
  </si>
  <si>
    <t>碧蓝之枪</t>
  </si>
  <si>
    <t>碧蓝战衣</t>
  </si>
  <si>
    <t>碧蓝长裤</t>
  </si>
  <si>
    <t>碧蓝长靴</t>
  </si>
  <si>
    <t>碧蓝腰带</t>
  </si>
  <si>
    <t>碧蓝项链</t>
  </si>
  <si>
    <t>斩魄之刃</t>
  </si>
  <si>
    <t>玫瑰骑士</t>
  </si>
  <si>
    <t>黑鸦战衣</t>
  </si>
  <si>
    <t>黑鸦长裤</t>
  </si>
  <si>
    <t>黑鸦长靴</t>
  </si>
  <si>
    <t>黑鸦腰带</t>
  </si>
  <si>
    <t>黑鸦项链</t>
  </si>
  <si>
    <t>暗羽之枪</t>
  </si>
  <si>
    <t>暗羽战衣</t>
  </si>
  <si>
    <t>暗羽长裤</t>
  </si>
  <si>
    <t>暗羽长靴</t>
  </si>
  <si>
    <t>暗羽腰带</t>
  </si>
  <si>
    <t>暗羽项链</t>
  </si>
  <si>
    <t>玄武之枪</t>
  </si>
  <si>
    <t>玄武战衣</t>
  </si>
  <si>
    <t>玄武长裤</t>
  </si>
  <si>
    <t>玄武长靴</t>
  </si>
  <si>
    <t>玄武腰带</t>
  </si>
  <si>
    <t>玄武项链</t>
  </si>
  <si>
    <t>嗜血之剑</t>
  </si>
  <si>
    <t>嗜血枪</t>
  </si>
  <si>
    <t>嗜血战衣</t>
  </si>
  <si>
    <t>嗜血长裤</t>
  </si>
  <si>
    <t>嗜血长靴</t>
  </si>
  <si>
    <t>嗜血腰带</t>
  </si>
  <si>
    <t>嗜血项链</t>
  </si>
  <si>
    <t>霸道之枪</t>
  </si>
  <si>
    <t>霸道战衣</t>
  </si>
  <si>
    <t>霸道长裤</t>
  </si>
  <si>
    <t>霸道长靴</t>
  </si>
  <si>
    <t>霸道腰带</t>
  </si>
  <si>
    <t>霸道项链</t>
  </si>
  <si>
    <t>白虎之枪</t>
  </si>
  <si>
    <t>白虎战衣</t>
  </si>
  <si>
    <t>白虎长裤</t>
  </si>
  <si>
    <t>白虎长靴</t>
  </si>
  <si>
    <t>白虎腰带</t>
  </si>
  <si>
    <t>白虎项链</t>
  </si>
  <si>
    <t>幻痛之枪</t>
  </si>
  <si>
    <t>幻痛战衣</t>
  </si>
  <si>
    <t>幻痛长裤</t>
  </si>
  <si>
    <t>幻痛长靴</t>
  </si>
  <si>
    <t>幻痛腰带</t>
  </si>
  <si>
    <t>幻痛项链</t>
  </si>
  <si>
    <t>焚天之剑</t>
  </si>
  <si>
    <t>焚天之枪</t>
  </si>
  <si>
    <t>焚天战衣</t>
  </si>
  <si>
    <t>焚天长裤</t>
  </si>
  <si>
    <t>焚天长靴</t>
  </si>
  <si>
    <t>焚天腰带</t>
  </si>
  <si>
    <t>焚天项链</t>
  </si>
  <si>
    <t>朱雀之枪</t>
  </si>
  <si>
    <t>朱雀战衣</t>
  </si>
  <si>
    <t>朱雀长裤</t>
  </si>
  <si>
    <t>朱雀长靴</t>
  </si>
  <si>
    <t>朱雀腰带</t>
  </si>
  <si>
    <t>朱雀项链</t>
  </si>
  <si>
    <t>炼狱之剑</t>
  </si>
  <si>
    <t>炼狱之拳</t>
  </si>
  <si>
    <t>炼狱之枪</t>
  </si>
  <si>
    <t>炼狱战衣</t>
  </si>
  <si>
    <t>炼狱长裤</t>
  </si>
  <si>
    <t>炼狱长靴</t>
  </si>
  <si>
    <t>炼狱腰带</t>
  </si>
  <si>
    <t>炼狱项链</t>
  </si>
  <si>
    <t>青龙霸刀</t>
  </si>
  <si>
    <t>青龙之拳</t>
  </si>
  <si>
    <t>青龙之枪</t>
  </si>
  <si>
    <t>青龙战衣</t>
  </si>
  <si>
    <t>青龙长裤</t>
  </si>
  <si>
    <t>青龙长靴</t>
  </si>
  <si>
    <t>青龙腰带</t>
  </si>
  <si>
    <t>青龙项链</t>
  </si>
  <si>
    <t>部位材料(裤子)</t>
    <phoneticPr fontId="1" type="noConversion"/>
  </si>
  <si>
    <t>部位材料(腰带)</t>
    <phoneticPr fontId="1" type="noConversion"/>
  </si>
  <si>
    <t>部位材料(项链)</t>
    <phoneticPr fontId="1" type="noConversion"/>
  </si>
  <si>
    <t>低阶升星石</t>
    <phoneticPr fontId="4" type="noConversion"/>
  </si>
  <si>
    <t>中阶升星石</t>
    <phoneticPr fontId="1" type="noConversion"/>
  </si>
  <si>
    <t>高阶升星石</t>
    <phoneticPr fontId="1" type="noConversion"/>
  </si>
  <si>
    <t>4阶升星石</t>
    <phoneticPr fontId="1" type="noConversion"/>
  </si>
  <si>
    <t>5阶升星石</t>
    <phoneticPr fontId="1" type="noConversion"/>
  </si>
  <si>
    <t>部位材料(裤子)</t>
    <phoneticPr fontId="1" type="noConversion"/>
  </si>
  <si>
    <t>部位材料(项链)</t>
    <phoneticPr fontId="1" type="noConversion"/>
  </si>
  <si>
    <t>部位材料(腰带)</t>
    <phoneticPr fontId="1" type="noConversion"/>
  </si>
  <si>
    <t>蓝色</t>
    <phoneticPr fontId="1" type="noConversion"/>
  </si>
  <si>
    <t>红色</t>
    <phoneticPr fontId="1" type="noConversion"/>
  </si>
  <si>
    <t>蓝色</t>
    <phoneticPr fontId="1" type="noConversion"/>
  </si>
  <si>
    <t>红色</t>
    <phoneticPr fontId="1" type="noConversion"/>
  </si>
  <si>
    <t>新手之剑</t>
    <phoneticPr fontId="1" type="noConversion"/>
  </si>
  <si>
    <t>染血之枪</t>
    <phoneticPr fontId="1" type="noConversion"/>
  </si>
  <si>
    <t>染血战衣</t>
    <phoneticPr fontId="1" type="noConversion"/>
  </si>
  <si>
    <t>染血长裤</t>
    <phoneticPr fontId="1" type="noConversion"/>
  </si>
  <si>
    <t>染血长靴</t>
    <phoneticPr fontId="1" type="noConversion"/>
  </si>
  <si>
    <t>染血腰带</t>
    <phoneticPr fontId="1" type="noConversion"/>
  </si>
  <si>
    <t>染血项链</t>
    <phoneticPr fontId="1" type="noConversion"/>
  </si>
  <si>
    <t>狂气之剑</t>
    <phoneticPr fontId="1" type="noConversion"/>
  </si>
  <si>
    <t>狂气之枪</t>
    <phoneticPr fontId="1" type="noConversion"/>
  </si>
  <si>
    <t>狂气战衣</t>
    <phoneticPr fontId="1" type="noConversion"/>
  </si>
  <si>
    <t>狂气长裤</t>
    <phoneticPr fontId="1" type="noConversion"/>
  </si>
  <si>
    <t>狂气长靴</t>
    <phoneticPr fontId="1" type="noConversion"/>
  </si>
  <si>
    <t>狂气腰带</t>
    <phoneticPr fontId="1" type="noConversion"/>
  </si>
  <si>
    <t>狂气项链</t>
    <phoneticPr fontId="1" type="noConversion"/>
  </si>
  <si>
    <t>野性之剑</t>
    <phoneticPr fontId="1" type="noConversion"/>
  </si>
  <si>
    <t>野性之枪</t>
    <phoneticPr fontId="1" type="noConversion"/>
  </si>
  <si>
    <t>野性战衣</t>
    <phoneticPr fontId="1" type="noConversion"/>
  </si>
  <si>
    <t>野性长裤</t>
    <phoneticPr fontId="1" type="noConversion"/>
  </si>
  <si>
    <t>野性长靴</t>
    <phoneticPr fontId="1" type="noConversion"/>
  </si>
  <si>
    <t>野性腰带</t>
    <phoneticPr fontId="1" type="noConversion"/>
  </si>
  <si>
    <t>野性项链</t>
    <phoneticPr fontId="1" type="noConversion"/>
  </si>
  <si>
    <t>紫云之剑</t>
    <phoneticPr fontId="1" type="noConversion"/>
  </si>
  <si>
    <t>紫云之拳</t>
    <phoneticPr fontId="1" type="noConversion"/>
  </si>
  <si>
    <t>紫云之枪</t>
    <phoneticPr fontId="1" type="noConversion"/>
  </si>
  <si>
    <t>紫云战衣</t>
    <phoneticPr fontId="1" type="noConversion"/>
  </si>
  <si>
    <t>紫云长裤</t>
    <phoneticPr fontId="1" type="noConversion"/>
  </si>
  <si>
    <t>紫云长靴</t>
    <phoneticPr fontId="1" type="noConversion"/>
  </si>
  <si>
    <t>紫云腰带</t>
    <phoneticPr fontId="1" type="noConversion"/>
  </si>
  <si>
    <t>紫云项链</t>
    <phoneticPr fontId="1" type="noConversion"/>
  </si>
  <si>
    <t>碧蓝之剑</t>
    <phoneticPr fontId="1" type="noConversion"/>
  </si>
  <si>
    <t>碧蓝之拳</t>
    <phoneticPr fontId="1" type="noConversion"/>
  </si>
  <si>
    <t>碧蓝之枪</t>
    <phoneticPr fontId="1" type="noConversion"/>
  </si>
  <si>
    <t>碧蓝战衣</t>
    <phoneticPr fontId="1" type="noConversion"/>
  </si>
  <si>
    <t>碧蓝长裤</t>
    <phoneticPr fontId="1" type="noConversion"/>
  </si>
  <si>
    <t>碧蓝长靴</t>
    <phoneticPr fontId="1" type="noConversion"/>
  </si>
  <si>
    <t>碧蓝腰带</t>
    <phoneticPr fontId="1" type="noConversion"/>
  </si>
  <si>
    <t>碧蓝项链</t>
    <phoneticPr fontId="1" type="noConversion"/>
  </si>
  <si>
    <t>斩魄之刃</t>
    <phoneticPr fontId="1" type="noConversion"/>
  </si>
  <si>
    <t>玫瑰骑士</t>
    <phoneticPr fontId="1" type="noConversion"/>
  </si>
  <si>
    <t>黑鸦战衣</t>
    <phoneticPr fontId="1" type="noConversion"/>
  </si>
  <si>
    <t>黑鸦长裤</t>
    <phoneticPr fontId="1" type="noConversion"/>
  </si>
  <si>
    <t>黑鸦长靴</t>
    <phoneticPr fontId="1" type="noConversion"/>
  </si>
  <si>
    <t>黑鸦腰带</t>
    <phoneticPr fontId="1" type="noConversion"/>
  </si>
  <si>
    <t>黑鸦项链</t>
    <phoneticPr fontId="1" type="noConversion"/>
  </si>
  <si>
    <t>暗羽之枪</t>
    <phoneticPr fontId="1" type="noConversion"/>
  </si>
  <si>
    <t>暗羽战衣</t>
    <phoneticPr fontId="1" type="noConversion"/>
  </si>
  <si>
    <t>暗羽长裤</t>
    <phoneticPr fontId="1" type="noConversion"/>
  </si>
  <si>
    <t>暗羽长靴</t>
    <phoneticPr fontId="1" type="noConversion"/>
  </si>
  <si>
    <t>暗羽腰带</t>
    <phoneticPr fontId="1" type="noConversion"/>
  </si>
  <si>
    <t>暗羽项链</t>
    <phoneticPr fontId="1" type="noConversion"/>
  </si>
  <si>
    <t>玄武之枪</t>
    <phoneticPr fontId="1" type="noConversion"/>
  </si>
  <si>
    <t>玄武战衣</t>
    <phoneticPr fontId="1" type="noConversion"/>
  </si>
  <si>
    <t>玄武长裤</t>
    <phoneticPr fontId="1" type="noConversion"/>
  </si>
  <si>
    <t>玄武长靴</t>
    <phoneticPr fontId="1" type="noConversion"/>
  </si>
  <si>
    <t>玄武腰带</t>
    <phoneticPr fontId="1" type="noConversion"/>
  </si>
  <si>
    <t>玄武项链</t>
    <phoneticPr fontId="1" type="noConversion"/>
  </si>
  <si>
    <t>嗜血之剑</t>
    <phoneticPr fontId="1" type="noConversion"/>
  </si>
  <si>
    <t>嗜血枪</t>
    <phoneticPr fontId="1" type="noConversion"/>
  </si>
  <si>
    <t>嗜血战衣</t>
    <phoneticPr fontId="1" type="noConversion"/>
  </si>
  <si>
    <t>嗜血长裤</t>
    <phoneticPr fontId="1" type="noConversion"/>
  </si>
  <si>
    <t>嗜血长靴</t>
    <phoneticPr fontId="1" type="noConversion"/>
  </si>
  <si>
    <t>嗜血腰带</t>
    <phoneticPr fontId="1" type="noConversion"/>
  </si>
  <si>
    <t>嗜血项链</t>
    <phoneticPr fontId="1" type="noConversion"/>
  </si>
  <si>
    <t>霸道之枪</t>
    <phoneticPr fontId="1" type="noConversion"/>
  </si>
  <si>
    <t>霸道战衣</t>
    <phoneticPr fontId="1" type="noConversion"/>
  </si>
  <si>
    <t>霸道长裤</t>
    <phoneticPr fontId="1" type="noConversion"/>
  </si>
  <si>
    <t>霸道长靴</t>
    <phoneticPr fontId="1" type="noConversion"/>
  </si>
  <si>
    <t>霸道腰带</t>
    <phoneticPr fontId="1" type="noConversion"/>
  </si>
  <si>
    <t>霸道项链</t>
    <phoneticPr fontId="1" type="noConversion"/>
  </si>
  <si>
    <t>白虎之枪</t>
    <phoneticPr fontId="1" type="noConversion"/>
  </si>
  <si>
    <t>白虎战衣</t>
    <phoneticPr fontId="1" type="noConversion"/>
  </si>
  <si>
    <t>白虎长裤</t>
    <phoneticPr fontId="1" type="noConversion"/>
  </si>
  <si>
    <t>白虎长靴</t>
    <phoneticPr fontId="1" type="noConversion"/>
  </si>
  <si>
    <t>白虎腰带</t>
    <phoneticPr fontId="1" type="noConversion"/>
  </si>
  <si>
    <t>白虎项链</t>
    <phoneticPr fontId="1" type="noConversion"/>
  </si>
  <si>
    <t>幻痛之枪</t>
    <phoneticPr fontId="1" type="noConversion"/>
  </si>
  <si>
    <t>幻痛战衣</t>
    <phoneticPr fontId="1" type="noConversion"/>
  </si>
  <si>
    <t>幻痛长裤</t>
    <phoneticPr fontId="1" type="noConversion"/>
  </si>
  <si>
    <t>幻痛长靴</t>
    <phoneticPr fontId="1" type="noConversion"/>
  </si>
  <si>
    <t>幻痛腰带</t>
    <phoneticPr fontId="1" type="noConversion"/>
  </si>
  <si>
    <t>幻痛项链</t>
    <phoneticPr fontId="1" type="noConversion"/>
  </si>
  <si>
    <t>焚天之剑</t>
    <phoneticPr fontId="1" type="noConversion"/>
  </si>
  <si>
    <t>焚天之枪</t>
    <phoneticPr fontId="1" type="noConversion"/>
  </si>
  <si>
    <t>焚天战衣</t>
    <phoneticPr fontId="1" type="noConversion"/>
  </si>
  <si>
    <t>焚天长裤</t>
    <phoneticPr fontId="1" type="noConversion"/>
  </si>
  <si>
    <t>焚天长靴</t>
    <phoneticPr fontId="1" type="noConversion"/>
  </si>
  <si>
    <t>焚天腰带</t>
    <phoneticPr fontId="1" type="noConversion"/>
  </si>
  <si>
    <t>焚天项链</t>
    <phoneticPr fontId="1" type="noConversion"/>
  </si>
  <si>
    <t>朱雀之枪</t>
    <phoneticPr fontId="1" type="noConversion"/>
  </si>
  <si>
    <t>朱雀战衣</t>
    <phoneticPr fontId="1" type="noConversion"/>
  </si>
  <si>
    <t>朱雀长裤</t>
    <phoneticPr fontId="1" type="noConversion"/>
  </si>
  <si>
    <t>朱雀长靴</t>
    <phoneticPr fontId="1" type="noConversion"/>
  </si>
  <si>
    <t>朱雀腰带</t>
    <phoneticPr fontId="1" type="noConversion"/>
  </si>
  <si>
    <t>朱雀项链</t>
    <phoneticPr fontId="1" type="noConversion"/>
  </si>
  <si>
    <t>炼狱之剑</t>
    <phoneticPr fontId="1" type="noConversion"/>
  </si>
  <si>
    <t>炼狱之拳</t>
    <phoneticPr fontId="1" type="noConversion"/>
  </si>
  <si>
    <t>炼狱之枪</t>
    <phoneticPr fontId="1" type="noConversion"/>
  </si>
  <si>
    <t>炼狱战衣</t>
    <phoneticPr fontId="1" type="noConversion"/>
  </si>
  <si>
    <t>炼狱长裤</t>
    <phoneticPr fontId="1" type="noConversion"/>
  </si>
  <si>
    <t>炼狱长靴</t>
    <phoneticPr fontId="1" type="noConversion"/>
  </si>
  <si>
    <t>炼狱腰带</t>
    <phoneticPr fontId="1" type="noConversion"/>
  </si>
  <si>
    <t>炼狱项链</t>
    <phoneticPr fontId="1" type="noConversion"/>
  </si>
  <si>
    <t>青龙霸刀</t>
    <phoneticPr fontId="1" type="noConversion"/>
  </si>
  <si>
    <t>青龙之拳</t>
    <phoneticPr fontId="1" type="noConversion"/>
  </si>
  <si>
    <t>青龙之枪</t>
    <phoneticPr fontId="1" type="noConversion"/>
  </si>
  <si>
    <t>青龙战衣</t>
    <phoneticPr fontId="1" type="noConversion"/>
  </si>
  <si>
    <t>青龙长裤</t>
    <phoneticPr fontId="1" type="noConversion"/>
  </si>
  <si>
    <t>青龙长靴</t>
    <phoneticPr fontId="1" type="noConversion"/>
  </si>
  <si>
    <t>青龙腰带</t>
    <phoneticPr fontId="1" type="noConversion"/>
  </si>
  <si>
    <t>青龙项链</t>
    <phoneticPr fontId="1" type="noConversion"/>
  </si>
  <si>
    <t>装备颜色</t>
    <phoneticPr fontId="4" type="noConversion"/>
  </si>
  <si>
    <t>作者:</t>
  </si>
  <si>
    <t>灰色</t>
    <phoneticPr fontId="1" type="noConversion"/>
  </si>
  <si>
    <t>绿色</t>
    <phoneticPr fontId="1" type="noConversion"/>
  </si>
  <si>
    <t>蓝色</t>
    <phoneticPr fontId="1" type="noConversion"/>
  </si>
  <si>
    <t>紫色</t>
    <phoneticPr fontId="1" type="noConversion"/>
  </si>
  <si>
    <t>橙色</t>
    <phoneticPr fontId="1" type="noConversion"/>
  </si>
  <si>
    <t>红色</t>
    <phoneticPr fontId="1" type="noConversion"/>
  </si>
  <si>
    <t>每天需求</t>
    <phoneticPr fontId="1" type="noConversion"/>
  </si>
  <si>
    <t>品质</t>
    <phoneticPr fontId="1" type="noConversion"/>
  </si>
  <si>
    <t>低级强化石</t>
  </si>
  <si>
    <t>中级强化石</t>
  </si>
  <si>
    <t>高级强化石</t>
  </si>
  <si>
    <t>初级升星石</t>
  </si>
  <si>
    <t>中级升星石</t>
  </si>
  <si>
    <t>高级升星石</t>
  </si>
  <si>
    <t>部位材料(裤子)</t>
  </si>
  <si>
    <t>部位材料(项链)</t>
  </si>
  <si>
    <t>部位材料(腰带)</t>
  </si>
  <si>
    <t>等级</t>
    <phoneticPr fontId="1" type="noConversion"/>
  </si>
  <si>
    <t>参考值</t>
    <phoneticPr fontId="1" type="noConversion"/>
  </si>
  <si>
    <t>占用百分比</t>
    <phoneticPr fontId="1" type="noConversion"/>
  </si>
  <si>
    <t>金币参考</t>
    <phoneticPr fontId="1" type="noConversion"/>
  </si>
  <si>
    <t>金币总消耗参考</t>
    <phoneticPr fontId="1" type="noConversion"/>
  </si>
  <si>
    <t>每级属性估值</t>
    <phoneticPr fontId="1" type="noConversion"/>
  </si>
  <si>
    <t>这列不能拉表</t>
    <phoneticPr fontId="1" type="noConversion"/>
  </si>
  <si>
    <t>鎏金之剑</t>
    <phoneticPr fontId="1" type="noConversion"/>
  </si>
  <si>
    <t>鎏金之拳</t>
    <phoneticPr fontId="1" type="noConversion"/>
  </si>
  <si>
    <t>鎏金之枪</t>
    <phoneticPr fontId="1" type="noConversion"/>
  </si>
  <si>
    <t>鎏金战衣</t>
    <phoneticPr fontId="1" type="noConversion"/>
  </si>
  <si>
    <t>鎏金长裤</t>
    <phoneticPr fontId="1" type="noConversion"/>
  </si>
  <si>
    <t>鎏金长靴</t>
    <phoneticPr fontId="1" type="noConversion"/>
  </si>
  <si>
    <t>鎏金腰带</t>
    <phoneticPr fontId="1" type="noConversion"/>
  </si>
  <si>
    <t>鎏金项链</t>
    <phoneticPr fontId="1" type="noConversion"/>
  </si>
  <si>
    <t>虹光之剑</t>
    <phoneticPr fontId="1" type="noConversion"/>
  </si>
  <si>
    <t>虹光之拳</t>
  </si>
  <si>
    <t>虹光之枪</t>
  </si>
  <si>
    <t>虹光战衣</t>
  </si>
  <si>
    <t>虹光长裤</t>
  </si>
  <si>
    <t>虹光长靴</t>
  </si>
  <si>
    <t>虹光腰带</t>
  </si>
  <si>
    <t>虹光项链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</si>
</sst>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#,##0_ "/>
    <numFmt numFmtId="177" formatCode="0_ "/>
    <numFmt numFmtId="178" formatCode="0_);[Red]\(0\)"/>
    <numFmt numFmtId="179" formatCode="#,##0.00_ "/>
    <numFmt numFmtId="180" formatCode="_ * #,##0_ ;_ * \-#,##0_ ;_ * &quot;-&quot;??_ ;_ @_ 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trike/>
      <sz val="11"/>
      <color theme="1"/>
      <name val="宋体"/>
      <family val="2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1" fillId="0" borderId="0" applyFont="0" applyFill="0" applyBorder="0" applyAlignment="0" applyProtection="0">
      <alignment vertical="center"/>
    </xf>
  </cellStyleXfs>
  <cellXfs count="101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2" borderId="1" xfId="0" applyNumberForma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3" fillId="0" borderId="1" xfId="0" applyFont="1" applyBorder="1" applyAlignment="1">
      <alignment horizontal="center" vertical="center"/>
    </xf>
    <xf numFmtId="176" fontId="0" fillId="0" borderId="1" xfId="0" applyNumberFormat="1" applyBorder="1"/>
    <xf numFmtId="0" fontId="0" fillId="8" borderId="1" xfId="0" applyFill="1" applyBorder="1"/>
    <xf numFmtId="0" fontId="0" fillId="9" borderId="1" xfId="0" applyFill="1" applyBorder="1" applyAlignment="1">
      <alignment vertical="center"/>
    </xf>
    <xf numFmtId="0" fontId="0" fillId="9" borderId="1" xfId="0" applyFill="1" applyBorder="1" applyAlignment="1"/>
    <xf numFmtId="0" fontId="0" fillId="9" borderId="0" xfId="0" applyFill="1"/>
    <xf numFmtId="0" fontId="0" fillId="9" borderId="1" xfId="0" applyFill="1" applyBorder="1"/>
    <xf numFmtId="0" fontId="0" fillId="9" borderId="3" xfId="0" applyFill="1" applyBorder="1" applyAlignment="1">
      <alignment vertical="center"/>
    </xf>
    <xf numFmtId="0" fontId="0" fillId="8" borderId="2" xfId="0" applyFill="1" applyBorder="1"/>
    <xf numFmtId="0" fontId="0" fillId="0" borderId="1" xfId="0" applyBorder="1" applyAlignment="1"/>
    <xf numFmtId="176" fontId="6" fillId="10" borderId="1" xfId="0" applyNumberFormat="1" applyFont="1" applyFill="1" applyBorder="1"/>
    <xf numFmtId="0" fontId="0" fillId="0" borderId="0" xfId="0" applyFill="1"/>
    <xf numFmtId="0" fontId="0" fillId="0" borderId="0" xfId="0" applyAlignment="1"/>
    <xf numFmtId="0" fontId="0" fillId="9" borderId="4" xfId="0" applyFill="1" applyBorder="1" applyAlignment="1">
      <alignment vertical="center"/>
    </xf>
    <xf numFmtId="176" fontId="0" fillId="0" borderId="0" xfId="0" applyNumberFormat="1"/>
    <xf numFmtId="0" fontId="0" fillId="11" borderId="1" xfId="0" applyFill="1" applyBorder="1"/>
    <xf numFmtId="0" fontId="0" fillId="11" borderId="0" xfId="0" applyFill="1"/>
    <xf numFmtId="0" fontId="0" fillId="0" borderId="5" xfId="0" applyBorder="1"/>
    <xf numFmtId="0" fontId="0" fillId="8" borderId="3" xfId="0" applyFill="1" applyBorder="1"/>
    <xf numFmtId="0" fontId="0" fillId="12" borderId="1" xfId="0" applyFill="1" applyBorder="1" applyAlignment="1"/>
    <xf numFmtId="0" fontId="0" fillId="0" borderId="3" xfId="0" applyBorder="1"/>
    <xf numFmtId="0" fontId="0" fillId="0" borderId="6" xfId="0" applyBorder="1" applyAlignment="1"/>
    <xf numFmtId="176" fontId="0" fillId="0" borderId="5" xfId="0" applyNumberFormat="1" applyBorder="1"/>
    <xf numFmtId="0" fontId="0" fillId="13" borderId="1" xfId="0" applyFill="1" applyBorder="1"/>
    <xf numFmtId="0" fontId="0" fillId="0" borderId="7" xfId="0" applyBorder="1"/>
    <xf numFmtId="177" fontId="0" fillId="0" borderId="1" xfId="0" applyNumberFormat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0" xfId="0" applyFill="1" applyBorder="1"/>
    <xf numFmtId="0" fontId="0" fillId="0" borderId="1" xfId="0" applyFont="1" applyBorder="1" applyAlignment="1">
      <alignment horizontal="center" vertical="center"/>
    </xf>
    <xf numFmtId="0" fontId="0" fillId="14" borderId="1" xfId="0" applyFill="1" applyBorder="1"/>
    <xf numFmtId="0" fontId="0" fillId="14" borderId="0" xfId="0" applyFill="1" applyBorder="1"/>
    <xf numFmtId="0" fontId="0" fillId="2" borderId="5" xfId="0" applyFill="1" applyBorder="1"/>
    <xf numFmtId="9" fontId="0" fillId="0" borderId="0" xfId="0" applyNumberFormat="1"/>
    <xf numFmtId="0" fontId="0" fillId="15" borderId="1" xfId="0" applyFill="1" applyBorder="1" applyAlignment="1">
      <alignment horizontal="left" vertical="center"/>
    </xf>
    <xf numFmtId="0" fontId="0" fillId="15" borderId="1" xfId="0" applyNumberFormat="1" applyFill="1" applyBorder="1" applyAlignment="1">
      <alignment horizontal="left" vertical="center"/>
    </xf>
    <xf numFmtId="0" fontId="3" fillId="15" borderId="1" xfId="0" applyNumberFormat="1" applyFont="1" applyFill="1" applyBorder="1" applyAlignment="1">
      <alignment horizontal="left" vertical="center"/>
    </xf>
    <xf numFmtId="0" fontId="3" fillId="15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left" vertical="center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0" xfId="0" applyNumberFormat="1" applyFill="1" applyBorder="1" applyAlignment="1">
      <alignment vertical="center"/>
    </xf>
    <xf numFmtId="0" fontId="0" fillId="8" borderId="10" xfId="0" applyFill="1" applyBorder="1"/>
    <xf numFmtId="0" fontId="0" fillId="8" borderId="11" xfId="0" applyFill="1" applyBorder="1"/>
    <xf numFmtId="176" fontId="0" fillId="9" borderId="12" xfId="0" applyNumberFormat="1" applyFill="1" applyBorder="1" applyAlignment="1">
      <alignment vertical="center"/>
    </xf>
    <xf numFmtId="0" fontId="0" fillId="15" borderId="0" xfId="0" applyFill="1" applyBorder="1" applyAlignment="1">
      <alignment horizontal="left" vertical="center"/>
    </xf>
    <xf numFmtId="0" fontId="0" fillId="17" borderId="1" xfId="0" applyFill="1" applyBorder="1"/>
    <xf numFmtId="0" fontId="0" fillId="17" borderId="0" xfId="0" applyFill="1" applyBorder="1"/>
    <xf numFmtId="0" fontId="0" fillId="17" borderId="2" xfId="0" applyFill="1" applyBorder="1"/>
    <xf numFmtId="0" fontId="0" fillId="0" borderId="13" xfId="0" applyBorder="1" applyAlignment="1"/>
    <xf numFmtId="0" fontId="0" fillId="0" borderId="0" xfId="0" applyNumberFormat="1"/>
    <xf numFmtId="0" fontId="0" fillId="18" borderId="0" xfId="0" applyFill="1"/>
    <xf numFmtId="0" fontId="0" fillId="16" borderId="1" xfId="0" applyFill="1" applyBorder="1"/>
    <xf numFmtId="176" fontId="0" fillId="9" borderId="1" xfId="0" applyNumberFormat="1" applyFill="1" applyBorder="1" applyAlignment="1">
      <alignment vertical="center"/>
    </xf>
    <xf numFmtId="177" fontId="0" fillId="0" borderId="14" xfId="0" applyNumberFormat="1" applyBorder="1" applyAlignment="1">
      <alignment vertical="center"/>
    </xf>
    <xf numFmtId="177" fontId="0" fillId="0" borderId="15" xfId="0" applyNumberFormat="1" applyBorder="1" applyAlignment="1">
      <alignment vertical="center"/>
    </xf>
    <xf numFmtId="0" fontId="0" fillId="19" borderId="1" xfId="0" applyFill="1" applyBorder="1"/>
    <xf numFmtId="0" fontId="0" fillId="0" borderId="0" xfId="0" applyBorder="1"/>
    <xf numFmtId="0" fontId="0" fillId="0" borderId="4" xfId="0" applyBorder="1"/>
    <xf numFmtId="176" fontId="0" fillId="0" borderId="4" xfId="0" applyNumberFormat="1" applyBorder="1"/>
    <xf numFmtId="176" fontId="0" fillId="0" borderId="0" xfId="0" applyNumberFormat="1" applyBorder="1"/>
    <xf numFmtId="176" fontId="0" fillId="0" borderId="3" xfId="0" applyNumberFormat="1" applyBorder="1"/>
    <xf numFmtId="0" fontId="0" fillId="14" borderId="0" xfId="0" applyFill="1"/>
    <xf numFmtId="0" fontId="0" fillId="15" borderId="5" xfId="0" applyFill="1" applyBorder="1" applyAlignment="1">
      <alignment horizontal="left" vertical="center"/>
    </xf>
    <xf numFmtId="0" fontId="0" fillId="9" borderId="5" xfId="0" applyFill="1" applyBorder="1" applyAlignment="1">
      <alignment vertical="center"/>
    </xf>
    <xf numFmtId="0" fontId="0" fillId="15" borderId="8" xfId="0" applyFill="1" applyBorder="1" applyAlignment="1">
      <alignment horizontal="center" vertical="center"/>
    </xf>
    <xf numFmtId="0" fontId="0" fillId="9" borderId="8" xfId="0" applyFill="1" applyBorder="1" applyAlignment="1">
      <alignment vertical="center"/>
    </xf>
    <xf numFmtId="178" fontId="0" fillId="0" borderId="1" xfId="0" applyNumberFormat="1" applyBorder="1"/>
    <xf numFmtId="177" fontId="0" fillId="0" borderId="5" xfId="0" applyNumberFormat="1" applyBorder="1" applyAlignment="1">
      <alignment vertical="center"/>
    </xf>
    <xf numFmtId="177" fontId="0" fillId="0" borderId="16" xfId="0" applyNumberFormat="1" applyBorder="1" applyAlignment="1">
      <alignment vertical="center"/>
    </xf>
    <xf numFmtId="0" fontId="0" fillId="0" borderId="1" xfId="0" applyFill="1" applyBorder="1" applyAlignment="1"/>
    <xf numFmtId="0" fontId="0" fillId="0" borderId="1" xfId="0" applyNumberFormat="1" applyFill="1" applyBorder="1" applyAlignment="1">
      <alignment vertical="center"/>
    </xf>
    <xf numFmtId="0" fontId="0" fillId="20" borderId="0" xfId="0" applyFill="1"/>
    <xf numFmtId="0" fontId="0" fillId="0" borderId="0" xfId="0" applyNumberFormat="1" applyFill="1"/>
    <xf numFmtId="0" fontId="0" fillId="16" borderId="17" xfId="0" applyFill="1" applyBorder="1"/>
    <xf numFmtId="0" fontId="0" fillId="3" borderId="0" xfId="0" applyFill="1"/>
    <xf numFmtId="0" fontId="0" fillId="15" borderId="0" xfId="0" applyFill="1"/>
    <xf numFmtId="179" fontId="0" fillId="0" borderId="5" xfId="0" applyNumberFormat="1" applyBorder="1"/>
    <xf numFmtId="0" fontId="9" fillId="0" borderId="1" xfId="0" applyFont="1" applyBorder="1"/>
    <xf numFmtId="0" fontId="10" fillId="0" borderId="5" xfId="0" applyFont="1" applyBorder="1"/>
    <xf numFmtId="179" fontId="0" fillId="0" borderId="1" xfId="0" applyNumberFormat="1" applyBorder="1"/>
    <xf numFmtId="0" fontId="9" fillId="12" borderId="1" xfId="0" applyFont="1" applyFill="1" applyBorder="1" applyAlignment="1"/>
    <xf numFmtId="176" fontId="10" fillId="0" borderId="1" xfId="0" applyNumberFormat="1" applyFont="1" applyBorder="1"/>
    <xf numFmtId="0" fontId="10" fillId="0" borderId="0" xfId="0" applyFont="1"/>
    <xf numFmtId="180" fontId="0" fillId="0" borderId="0" xfId="1" applyNumberFormat="1" applyFont="1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 vertical="center" textRotation="255"/>
    </xf>
    <xf numFmtId="0" fontId="7" fillId="0" borderId="1" xfId="0" applyFont="1" applyBorder="1" applyAlignment="1">
      <alignment horizontal="center" vertical="center" textRotation="255"/>
    </xf>
  </cellXfs>
  <cellStyles count="2">
    <cellStyle name="常规" xfId="0" builtinId="0"/>
    <cellStyle name="千位分隔" xfId="1" builtinId="3"/>
  </cellStyles>
  <dxfs count="290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7" tint="-0.24994659260841701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color theme="7" tint="-0.24994659260841701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强化辅助表!$AE$35:$AE$146</c:f>
              <c:numCache>
                <c:formatCode>General</c:formatCode>
                <c:ptCount val="112"/>
                <c:pt idx="0">
                  <c:v>1</c:v>
                </c:pt>
                <c:pt idx="1">
                  <c:v>2.4622888266898326</c:v>
                </c:pt>
                <c:pt idx="2">
                  <c:v>4.1711675109477282</c:v>
                </c:pt>
                <c:pt idx="3">
                  <c:v>6.062866266041592</c:v>
                </c:pt>
                <c:pt idx="4">
                  <c:v>8.1032829834638118</c:v>
                </c:pt>
                <c:pt idx="5">
                  <c:v>10.270619156458231</c:v>
                </c:pt>
                <c:pt idx="6">
                  <c:v>12.549529737646981</c:v>
                </c:pt>
                <c:pt idx="7">
                  <c:v>14.928527864588917</c:v>
                </c:pt>
                <c:pt idx="8">
                  <c:v>17.398638404385867</c:v>
                </c:pt>
                <c:pt idx="9">
                  <c:v>19.952623149688804</c:v>
                </c:pt>
                <c:pt idx="10">
                  <c:v>22.584500550247295</c:v>
                </c:pt>
                <c:pt idx="11">
                  <c:v>25.289230792133658</c:v>
                </c:pt>
                <c:pt idx="12">
                  <c:v>28.062499977480542</c:v>
                </c:pt>
                <c:pt idx="13">
                  <c:v>30.900566853219935</c:v>
                </c:pt>
                <c:pt idx="14">
                  <c:v>33.800150712639834</c:v>
                </c:pt>
                <c:pt idx="15">
                  <c:v>36.758347359905123</c:v>
                </c:pt>
                <c:pt idx="16">
                  <c:v>39.77256477258468</c:v>
                </c:pt>
                <c:pt idx="17">
                  <c:v>42.840472942735929</c:v>
                </c:pt>
                <c:pt idx="18">
                  <c:v>45.959964148264163</c:v>
                </c:pt>
                <c:pt idx="19">
                  <c:v>49.129121044631624</c:v>
                </c:pt>
                <c:pt idx="20">
                  <c:v>52.346190719345465</c:v>
                </c:pt>
                <c:pt idx="21">
                  <c:v>55.60956336124427</c:v>
                </c:pt>
                <c:pt idx="22">
                  <c:v>58.917754549353702</c:v>
                </c:pt>
                <c:pt idx="23">
                  <c:v>62.269390415051205</c:v>
                </c:pt>
                <c:pt idx="24">
                  <c:v>65.663195110094165</c:v>
                </c:pt>
                <c:pt idx="25">
                  <c:v>49.129121044631624</c:v>
                </c:pt>
                <c:pt idx="26">
                  <c:v>52.346190719345465</c:v>
                </c:pt>
                <c:pt idx="27">
                  <c:v>55.60956336124427</c:v>
                </c:pt>
                <c:pt idx="28">
                  <c:v>58.917754549353702</c:v>
                </c:pt>
                <c:pt idx="29">
                  <c:v>62.269390415051205</c:v>
                </c:pt>
                <c:pt idx="30">
                  <c:v>65.663195110094165</c:v>
                </c:pt>
                <c:pt idx="31">
                  <c:v>49.129121044631624</c:v>
                </c:pt>
                <c:pt idx="32">
                  <c:v>52.346190719345465</c:v>
                </c:pt>
                <c:pt idx="33">
                  <c:v>55.60956336124427</c:v>
                </c:pt>
                <c:pt idx="34">
                  <c:v>58.917754549353702</c:v>
                </c:pt>
                <c:pt idx="35">
                  <c:v>62.269390415051205</c:v>
                </c:pt>
                <c:pt idx="36">
                  <c:v>65.663195110094165</c:v>
                </c:pt>
                <c:pt idx="37">
                  <c:v>69.097980143534002</c:v>
                </c:pt>
                <c:pt idx="38">
                  <c:v>72.572635247101744</c:v>
                </c:pt>
                <c:pt idx="39">
                  <c:v>76.086120501065693</c:v>
                </c:pt>
                <c:pt idx="40">
                  <c:v>79.63745950751192</c:v>
                </c:pt>
                <c:pt idx="41">
                  <c:v>83.225733440165456</c:v>
                </c:pt>
                <c:pt idx="42">
                  <c:v>86.850075832552719</c:v>
                </c:pt>
                <c:pt idx="43">
                  <c:v>90.509667991878132</c:v>
                </c:pt>
                <c:pt idx="44">
                  <c:v>94.203734946172588</c:v>
                </c:pt>
                <c:pt idx="45">
                  <c:v>97.931541848332913</c:v>
                </c:pt>
                <c:pt idx="46">
                  <c:v>101.69239077354784</c:v>
                </c:pt>
                <c:pt idx="47">
                  <c:v>105.48561785700677</c:v>
                </c:pt>
                <c:pt idx="48">
                  <c:v>109.31059072723752</c:v>
                </c:pt>
                <c:pt idx="49">
                  <c:v>113.16670619733614</c:v>
                </c:pt>
                <c:pt idx="50">
                  <c:v>117.05338818203818</c:v>
                </c:pt>
                <c:pt idx="51">
                  <c:v>120.97008581328878</c:v>
                </c:pt>
                <c:pt idx="52">
                  <c:v>124.9162717308829</c:v>
                </c:pt>
                <c:pt idx="53">
                  <c:v>128.89144052801936</c:v>
                </c:pt>
                <c:pt idx="54">
                  <c:v>132.89510733435822</c:v>
                </c:pt>
                <c:pt idx="55">
                  <c:v>136.92680652149207</c:v>
                </c:pt>
                <c:pt idx="56">
                  <c:v>140.98609051769989</c:v>
                </c:pt>
                <c:pt idx="57">
                  <c:v>145.07252872052769</c:v>
                </c:pt>
                <c:pt idx="58">
                  <c:v>149.18570649715895</c:v>
                </c:pt>
                <c:pt idx="59">
                  <c:v>153.32522426376755</c:v>
                </c:pt>
                <c:pt idx="60">
                  <c:v>157.49069663608589</c:v>
                </c:pt>
                <c:pt idx="61">
                  <c:v>161.68175164433933</c:v>
                </c:pt>
                <c:pt idx="62">
                  <c:v>165.89803000646938</c:v>
                </c:pt>
                <c:pt idx="63">
                  <c:v>170.13918445425969</c:v>
                </c:pt>
                <c:pt idx="64">
                  <c:v>174.40487910756718</c:v>
                </c:pt>
                <c:pt idx="65">
                  <c:v>178.69478889237536</c:v>
                </c:pt>
                <c:pt idx="66">
                  <c:v>183.00859899884807</c:v>
                </c:pt>
                <c:pt idx="67">
                  <c:v>187.34600437595029</c:v>
                </c:pt>
                <c:pt idx="68">
                  <c:v>191.7067092595619</c:v>
                </c:pt>
                <c:pt idx="69">
                  <c:v>196.0904267313104</c:v>
                </c:pt>
                <c:pt idx="70">
                  <c:v>200.49687830562982</c:v>
                </c:pt>
                <c:pt idx="71">
                  <c:v>204.92579354278561</c:v>
                </c:pt>
                <c:pt idx="72">
                  <c:v>209.37690968583479</c:v>
                </c:pt>
                <c:pt idx="73">
                  <c:v>213.84997131965926</c:v>
                </c:pt>
                <c:pt idx="74">
                  <c:v>218.34473005040718</c:v>
                </c:pt>
                <c:pt idx="75">
                  <c:v>222.86094420380775</c:v>
                </c:pt>
                <c:pt idx="76">
                  <c:v>227.39837854097158</c:v>
                </c:pt>
                <c:pt idx="77">
                  <c:v>231.95680399041112</c:v>
                </c:pt>
                <c:pt idx="78">
                  <c:v>236.53599739512057</c:v>
                </c:pt>
                <c:pt idx="79">
                  <c:v>241.13574127365791</c:v>
                </c:pt>
                <c:pt idx="80">
                  <c:v>245.75582359425692</c:v>
                </c:pt>
                <c:pt idx="81">
                  <c:v>250.39603756108335</c:v>
                </c:pt>
                <c:pt idx="82">
                  <c:v>255.05618141181225</c:v>
                </c:pt>
                <c:pt idx="83">
                  <c:v>259.73605822578128</c:v>
                </c:pt>
                <c:pt idx="84">
                  <c:v>264.43547574202307</c:v>
                </c:pt>
                <c:pt idx="85">
                  <c:v>269.15424618654242</c:v>
                </c:pt>
                <c:pt idx="86">
                  <c:v>273.89218610824662</c:v>
                </c:pt>
                <c:pt idx="87">
                  <c:v>278.64911622299184</c:v>
                </c:pt>
                <c:pt idx="88">
                  <c:v>283.42486126523318</c:v>
                </c:pt>
                <c:pt idx="89">
                  <c:v>288.21924984682033</c:v>
                </c:pt>
                <c:pt idx="90">
                  <c:v>293.03211432250754</c:v>
                </c:pt>
                <c:pt idx="91">
                  <c:v>297.86329066177098</c:v>
                </c:pt>
                <c:pt idx="92">
                  <c:v>302.71261832657081</c:v>
                </c:pt>
                <c:pt idx="93">
                  <c:v>307.57994015470427</c:v>
                </c:pt>
                <c:pt idx="94">
                  <c:v>312.46510224843541</c:v>
                </c:pt>
                <c:pt idx="95">
                  <c:v>317.36795386809888</c:v>
                </c:pt>
                <c:pt idx="96">
                  <c:v>322.2883473303977</c:v>
                </c:pt>
                <c:pt idx="97">
                  <c:v>327.22613791113628</c:v>
                </c:pt>
                <c:pt idx="98">
                  <c:v>332.18118375214874</c:v>
                </c:pt>
                <c:pt idx="99">
                  <c:v>337.15334577219045</c:v>
                </c:pt>
                <c:pt idx="100">
                  <c:v>342.14248758158243</c:v>
                </c:pt>
                <c:pt idx="101">
                  <c:v>347.14847540041387</c:v>
                </c:pt>
                <c:pt idx="102">
                  <c:v>352.17117798010963</c:v>
                </c:pt>
                <c:pt idx="103">
                  <c:v>357.21046652819518</c:v>
                </c:pt>
                <c:pt idx="104">
                  <c:v>362.26621463609047</c:v>
                </c:pt>
                <c:pt idx="105">
                  <c:v>367.33829820978326</c:v>
                </c:pt>
                <c:pt idx="106">
                  <c:v>372.42659540323581</c:v>
                </c:pt>
                <c:pt idx="107">
                  <c:v>377.53098655438737</c:v>
                </c:pt>
                <c:pt idx="108">
                  <c:v>382.6513541236298</c:v>
                </c:pt>
                <c:pt idx="109">
                  <c:v>387.78758263463271</c:v>
                </c:pt>
                <c:pt idx="110">
                  <c:v>392.93955861740602</c:v>
                </c:pt>
                <c:pt idx="111">
                  <c:v>398.10717055349761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强化辅助表!$AF$35:$AF$146</c:f>
              <c:numCache>
                <c:formatCode>General</c:formatCode>
                <c:ptCount val="112"/>
                <c:pt idx="0">
                  <c:v>3</c:v>
                </c:pt>
                <c:pt idx="1">
                  <c:v>7.4382461996339195</c:v>
                </c:pt>
                <c:pt idx="2">
                  <c:v>12.651735340387056</c:v>
                </c:pt>
                <c:pt idx="3">
                  <c:v>18.442502175456152</c:v>
                </c:pt>
                <c:pt idx="4">
                  <c:v>24.704266313381964</c:v>
                </c:pt>
                <c:pt idx="5">
                  <c:v>31.368907438136048</c:v>
                </c:pt>
                <c:pt idx="6">
                  <c:v>38.388371335645147</c:v>
                </c:pt>
                <c:pt idx="7">
                  <c:v>45.726623906108983</c:v>
                </c:pt>
                <c:pt idx="8">
                  <c:v>53.355469041066264</c:v>
                </c:pt>
                <c:pt idx="9">
                  <c:v>61.252138340085899</c:v>
                </c:pt>
                <c:pt idx="10">
                  <c:v>69.397795094399186</c:v>
                </c:pt>
                <c:pt idx="11">
                  <c:v>77.776552179461248</c:v>
                </c:pt>
                <c:pt idx="12">
                  <c:v>86.374798302076542</c:v>
                </c:pt>
                <c:pt idx="13">
                  <c:v>95.180719065832733</c:v>
                </c:pt>
                <c:pt idx="14">
                  <c:v>104.18394639178264</c:v>
                </c:pt>
                <c:pt idx="15">
                  <c:v>113.37529549723493</c:v>
                </c:pt>
                <c:pt idx="16">
                  <c:v>122.74656338040762</c:v>
                </c:pt>
                <c:pt idx="17">
                  <c:v>132.29037160813206</c:v>
                </c:pt>
                <c:pt idx="18">
                  <c:v>142.00004171603993</c:v>
                </c:pt>
                <c:pt idx="19">
                  <c:v>151.86949507586496</c:v>
                </c:pt>
                <c:pt idx="20">
                  <c:v>161.89317142902769</c:v>
                </c:pt>
                <c:pt idx="21">
                  <c:v>172.06596187462947</c:v>
                </c:pt>
                <c:pt idx="22">
                  <c:v>182.38315320050842</c:v>
                </c:pt>
                <c:pt idx="23">
                  <c:v>192.840381223169</c:v>
                </c:pt>
                <c:pt idx="24">
                  <c:v>203.43359136083291</c:v>
                </c:pt>
                <c:pt idx="25">
                  <c:v>151.86949507586496</c:v>
                </c:pt>
                <c:pt idx="26">
                  <c:v>161.89317142902769</c:v>
                </c:pt>
                <c:pt idx="27">
                  <c:v>172.06596187462947</c:v>
                </c:pt>
                <c:pt idx="28">
                  <c:v>182.38315320050842</c:v>
                </c:pt>
                <c:pt idx="29">
                  <c:v>192.840381223169</c:v>
                </c:pt>
                <c:pt idx="30">
                  <c:v>203.43359136083291</c:v>
                </c:pt>
                <c:pt idx="31">
                  <c:v>151.86949507586496</c:v>
                </c:pt>
                <c:pt idx="32">
                  <c:v>161.89317142902769</c:v>
                </c:pt>
                <c:pt idx="33">
                  <c:v>172.06596187462947</c:v>
                </c:pt>
                <c:pt idx="34">
                  <c:v>182.38315320050842</c:v>
                </c:pt>
                <c:pt idx="35">
                  <c:v>192.840381223169</c:v>
                </c:pt>
                <c:pt idx="36">
                  <c:v>203.43359136083291</c:v>
                </c:pt>
                <c:pt idx="37">
                  <c:v>214.15900507152242</c:v>
                </c:pt>
                <c:pt idx="38">
                  <c:v>225.01309108992842</c:v>
                </c:pt>
                <c:pt idx="39">
                  <c:v>235.99254062328464</c:v>
                </c:pt>
                <c:pt idx="40">
                  <c:v>247.09424583838367</c:v>
                </c:pt>
                <c:pt idx="41">
                  <c:v>258.31528110384721</c:v>
                </c:pt>
                <c:pt idx="42">
                  <c:v>269.65288655409597</c:v>
                </c:pt>
                <c:pt idx="43">
                  <c:v>281.10445362156014</c:v>
                </c:pt>
                <c:pt idx="44">
                  <c:v>292.66751224691632</c:v>
                </c:pt>
                <c:pt idx="45">
                  <c:v>304.33971952748044</c:v>
                </c:pt>
                <c:pt idx="46">
                  <c:v>316.11884960425857</c:v>
                </c:pt>
                <c:pt idx="47">
                  <c:v>328.00278462078234</c:v>
                </c:pt>
                <c:pt idx="48">
                  <c:v>339.98950661335596</c:v>
                </c:pt>
                <c:pt idx="49">
                  <c:v>352.07709021406419</c:v>
                </c:pt>
                <c:pt idx="50">
                  <c:v>364.26369606572848</c:v>
                </c:pt>
                <c:pt idx="51">
                  <c:v>376.54756486279155</c:v>
                </c:pt>
                <c:pt idx="52">
                  <c:v>388.92701194439712</c:v>
                </c:pt>
                <c:pt idx="53">
                  <c:v>401.40042237621594</c:v>
                </c:pt>
                <c:pt idx="54">
                  <c:v>413.96624646620631</c:v>
                </c:pt>
                <c:pt idx="55">
                  <c:v>426.62299566677223</c:v>
                </c:pt>
                <c:pt idx="56">
                  <c:v>439.36923882196913</c:v>
                </c:pt>
                <c:pt idx="57">
                  <c:v>452.2035987236444</c:v>
                </c:pt>
                <c:pt idx="58">
                  <c:v>465.1247489448952</c:v>
                </c:pt>
                <c:pt idx="59">
                  <c:v>478.13141092306421</c:v>
                </c:pt>
                <c:pt idx="60">
                  <c:v>491.22235126779395</c:v>
                </c:pt>
                <c:pt idx="61">
                  <c:v>504.39637927253199</c:v>
                </c:pt>
                <c:pt idx="62">
                  <c:v>517.6523446103206</c:v>
                </c:pt>
                <c:pt idx="63">
                  <c:v>530.98913519687778</c:v>
                </c:pt>
                <c:pt idx="64">
                  <c:v>544.4056752058176</c:v>
                </c:pt>
                <c:pt idx="65">
                  <c:v>557.90092322251394</c:v>
                </c:pt>
                <c:pt idx="66">
                  <c:v>571.47387052451677</c:v>
                </c:pt>
                <c:pt idx="67">
                  <c:v>585.12353947770032</c:v>
                </c:pt>
                <c:pt idx="68">
                  <c:v>598.84898203841976</c:v>
                </c:pt>
                <c:pt idx="69">
                  <c:v>612.64927835292201</c:v>
                </c:pt>
                <c:pt idx="70">
                  <c:v>626.52353544613425</c:v>
                </c:pt>
                <c:pt idx="71">
                  <c:v>640.47088599268591</c:v>
                </c:pt>
                <c:pt idx="72">
                  <c:v>654.49048716374182</c:v>
                </c:pt>
                <c:pt idx="73">
                  <c:v>668.58151954377388</c:v>
                </c:pt>
                <c:pt idx="74">
                  <c:v>682.74318611198964</c:v>
                </c:pt>
                <c:pt idx="75">
                  <c:v>696.97471128357927</c:v>
                </c:pt>
                <c:pt idx="76">
                  <c:v>711.27534000638309</c:v>
                </c:pt>
                <c:pt idx="77">
                  <c:v>725.64433690897931</c:v>
                </c:pt>
                <c:pt idx="78">
                  <c:v>740.08098549652163</c:v>
                </c:pt>
                <c:pt idx="79">
                  <c:v>754.58458739097773</c:v>
                </c:pt>
                <c:pt idx="80">
                  <c:v>769.15446161269983</c:v>
                </c:pt>
                <c:pt idx="81">
                  <c:v>783.78994390050866</c:v>
                </c:pt>
                <c:pt idx="82">
                  <c:v>798.49038606770318</c:v>
                </c:pt>
                <c:pt idx="83">
                  <c:v>813.25515539162598</c:v>
                </c:pt>
                <c:pt idx="84">
                  <c:v>828.08363403457611</c:v>
                </c:pt>
                <c:pt idx="85">
                  <c:v>842.97521849406917</c:v>
                </c:pt>
                <c:pt idx="86">
                  <c:v>857.92931908056914</c:v>
                </c:pt>
                <c:pt idx="87">
                  <c:v>872.94535942097662</c:v>
                </c:pt>
                <c:pt idx="88">
                  <c:v>888.02277598626961</c:v>
                </c:pt>
                <c:pt idx="89">
                  <c:v>903.16101764183622</c:v>
                </c:pt>
                <c:pt idx="90">
                  <c:v>918.35954521912845</c:v>
                </c:pt>
                <c:pt idx="91">
                  <c:v>933.61783110735473</c:v>
                </c:pt>
                <c:pt idx="92">
                  <c:v>948.93535886406005</c:v>
                </c:pt>
                <c:pt idx="93">
                  <c:v>964.31162284346294</c:v>
                </c:pt>
                <c:pt idx="94">
                  <c:v>979.74612784157557</c:v>
                </c:pt>
                <c:pt idx="95">
                  <c:v>995.23838875711226</c:v>
                </c:pt>
                <c:pt idx="96">
                  <c:v>1010.7879302673365</c:v>
                </c:pt>
                <c:pt idx="97">
                  <c:v>1026.394286517992</c:v>
                </c:pt>
                <c:pt idx="98">
                  <c:v>1042.057000826589</c:v>
                </c:pt>
                <c:pt idx="99">
                  <c:v>1057.7756253982693</c:v>
                </c:pt>
                <c:pt idx="100">
                  <c:v>1073.5497210536321</c:v>
                </c:pt>
                <c:pt idx="101">
                  <c:v>1089.3788569678527</c:v>
                </c:pt>
                <c:pt idx="102">
                  <c:v>1105.2626104205215</c:v>
                </c:pt>
                <c:pt idx="103">
                  <c:v>1121.2005665556437</c:v>
                </c:pt>
                <c:pt idx="104">
                  <c:v>1137.1923181512796</c:v>
                </c:pt>
                <c:pt idx="105">
                  <c:v>1153.2374653983497</c:v>
                </c:pt>
                <c:pt idx="106">
                  <c:v>1169.3356156881334</c:v>
                </c:pt>
                <c:pt idx="107">
                  <c:v>1185.4863834080279</c:v>
                </c:pt>
                <c:pt idx="108">
                  <c:v>1201.6893897451901</c:v>
                </c:pt>
                <c:pt idx="109">
                  <c:v>1217.9442624976361</c:v>
                </c:pt>
                <c:pt idx="110">
                  <c:v>1234.2506358924911</c:v>
                </c:pt>
                <c:pt idx="111">
                  <c:v>1250.608150411007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强化辅助表!$AG$35:$AG$146</c:f>
              <c:numCache>
                <c:formatCode>General</c:formatCode>
                <c:ptCount val="112"/>
                <c:pt idx="0">
                  <c:v>3</c:v>
                </c:pt>
                <c:pt idx="1">
                  <c:v>7.5420802471309702</c:v>
                </c:pt>
                <c:pt idx="2">
                  <c:v>12.932798869663667</c:v>
                </c:pt>
                <c:pt idx="3">
                  <c:v>18.960991484721053</c:v>
                </c:pt>
                <c:pt idx="4">
                  <c:v>25.51240264625887</c:v>
                </c:pt>
                <c:pt idx="5">
                  <c:v>32.513402298336032</c:v>
                </c:pt>
                <c:pt idx="6">
                  <c:v>39.911830627917936</c:v>
                </c:pt>
                <c:pt idx="7">
                  <c:v>47.668439780977728</c:v>
                </c:pt>
                <c:pt idx="8">
                  <c:v>55.752428867724618</c:v>
                </c:pt>
                <c:pt idx="9">
                  <c:v>64.138862685067011</c:v>
                </c:pt>
                <c:pt idx="10">
                  <c:v>72.807065312541255</c:v>
                </c:pt>
                <c:pt idx="11">
                  <c:v>81.739563080434294</c:v>
                </c:pt>
                <c:pt idx="12">
                  <c:v>90.921357910124243</c:v>
                </c:pt>
                <c:pt idx="13">
                  <c:v>100.33940980188552</c:v>
                </c:pt>
                <c:pt idx="14">
                  <c:v>109.98225736864703</c:v>
                </c:pt>
                <c:pt idx="15">
                  <c:v>119.83973269455475</c:v>
                </c:pt>
                <c:pt idx="16">
                  <c:v>129.90274255391455</c:v>
                </c:pt>
                <c:pt idx="17">
                  <c:v>140.16309749761336</c:v>
                </c:pt>
                <c:pt idx="18">
                  <c:v>150.61337622240831</c:v>
                </c:pt>
                <c:pt idx="19">
                  <c:v>161.24681644349641</c:v>
                </c:pt>
                <c:pt idx="20">
                  <c:v>172.05722601031485</c:v>
                </c:pt>
                <c:pt idx="21">
                  <c:v>183.03890971509728</c:v>
                </c:pt>
                <c:pt idx="22">
                  <c:v>194.18660842909708</c:v>
                </c:pt>
                <c:pt idx="23">
                  <c:v>205.49544803935322</c:v>
                </c:pt>
                <c:pt idx="24">
                  <c:v>216.96089626161219</c:v>
                </c:pt>
                <c:pt idx="25">
                  <c:v>161.24681644349641</c:v>
                </c:pt>
                <c:pt idx="26">
                  <c:v>172.05722601031485</c:v>
                </c:pt>
                <c:pt idx="27">
                  <c:v>183.03890971509728</c:v>
                </c:pt>
                <c:pt idx="28">
                  <c:v>194.18660842909708</c:v>
                </c:pt>
                <c:pt idx="29">
                  <c:v>205.49544803935322</c:v>
                </c:pt>
                <c:pt idx="30">
                  <c:v>216.96089626161219</c:v>
                </c:pt>
                <c:pt idx="31">
                  <c:v>161.24681644349641</c:v>
                </c:pt>
                <c:pt idx="32">
                  <c:v>172.05722601031485</c:v>
                </c:pt>
                <c:pt idx="33">
                  <c:v>183.03890971509728</c:v>
                </c:pt>
                <c:pt idx="34">
                  <c:v>194.18660842909708</c:v>
                </c:pt>
                <c:pt idx="35">
                  <c:v>205.49544803935322</c:v>
                </c:pt>
                <c:pt idx="36">
                  <c:v>216.96089626161219</c:v>
                </c:pt>
                <c:pt idx="37">
                  <c:v>228.57872584542443</c:v>
                </c:pt>
                <c:pt idx="38">
                  <c:v>240.34498301383752</c:v>
                </c:pt>
                <c:pt idx="39">
                  <c:v>252.25596022519358</c:v>
                </c:pt>
                <c:pt idx="40">
                  <c:v>264.30817253076009</c:v>
                </c:pt>
                <c:pt idx="41">
                  <c:v>276.49833694498244</c:v>
                </c:pt>
                <c:pt idx="42">
                  <c:v>288.8233543561667</c:v>
                </c:pt>
                <c:pt idx="43">
                  <c:v>301.28029359235234</c:v>
                </c:pt>
                <c:pt idx="44">
                  <c:v>313.86637732585399</c:v>
                </c:pt>
                <c:pt idx="45">
                  <c:v>326.57896955467271</c:v>
                </c:pt>
                <c:pt idx="46">
                  <c:v>339.41556444290961</c:v>
                </c:pt>
                <c:pt idx="47">
                  <c:v>352.37377633781421</c:v>
                </c:pt>
                <c:pt idx="48">
                  <c:v>365.45133080998704</c:v>
                </c:pt>
                <c:pt idx="49">
                  <c:v>378.6460565869105</c:v>
                </c:pt>
                <c:pt idx="50">
                  <c:v>391.95587826944666</c:v>
                </c:pt>
                <c:pt idx="51">
                  <c:v>405.37880973708241</c:v>
                </c:pt>
                <c:pt idx="52">
                  <c:v>418.91294816111122</c:v>
                </c:pt>
                <c:pt idx="53">
                  <c:v>432.55646855618158</c:v>
                </c:pt>
                <c:pt idx="54">
                  <c:v>446.30761881007584</c:v>
                </c:pt>
                <c:pt idx="55">
                  <c:v>460.16471513954139</c:v>
                </c:pt>
                <c:pt idx="56">
                  <c:v>474.12613792676541</c:v>
                </c:pt>
                <c:pt idx="57">
                  <c:v>488.19032789681648</c:v>
                </c:pt>
                <c:pt idx="58">
                  <c:v>502.35578260129449</c:v>
                </c:pt>
                <c:pt idx="59">
                  <c:v>516.62105317764485</c:v>
                </c:pt>
                <c:pt idx="60">
                  <c:v>530.98474135720267</c:v>
                </c:pt>
                <c:pt idx="61">
                  <c:v>545.445496698179</c:v>
                </c:pt>
                <c:pt idx="62">
                  <c:v>560.00201402249172</c:v>
                </c:pt>
                <c:pt idx="63">
                  <c:v>574.65303103771407</c:v>
                </c:pt>
                <c:pt idx="64">
                  <c:v>589.39732612744638</c:v>
                </c:pt>
                <c:pt idx="65">
                  <c:v>604.23371629523092</c:v>
                </c:pt>
                <c:pt idx="66">
                  <c:v>619.16105524867362</c:v>
                </c:pt>
                <c:pt idx="67">
                  <c:v>634.17823161183003</c:v>
                </c:pt>
                <c:pt idx="68">
                  <c:v>649.28416725513034</c:v>
                </c:pt>
                <c:pt idx="69">
                  <c:v>664.47781573317604</c:v>
                </c:pt>
                <c:pt idx="70">
                  <c:v>679.75816082169285</c:v>
                </c:pt>
                <c:pt idx="71">
                  <c:v>695.12421514577125</c:v>
                </c:pt>
                <c:pt idx="72">
                  <c:v>710.57501889227194</c:v>
                </c:pt>
                <c:pt idx="73">
                  <c:v>726.10963859991784</c:v>
                </c:pt>
                <c:pt idx="74">
                  <c:v>741.72716602122171</c:v>
                </c:pt>
                <c:pt idx="75">
                  <c:v>757.42671705089992</c:v>
                </c:pt>
                <c:pt idx="76">
                  <c:v>773.20743071590095</c:v>
                </c:pt>
                <c:pt idx="77">
                  <c:v>789.06846822262651</c:v>
                </c:pt>
                <c:pt idx="78">
                  <c:v>805.00901205726746</c:v>
                </c:pt>
                <c:pt idx="79">
                  <c:v>821.02826513556192</c:v>
                </c:pt>
                <c:pt idx="80">
                  <c:v>837.1254499985489</c:v>
                </c:pt>
                <c:pt idx="81">
                  <c:v>853.29980805122659</c:v>
                </c:pt>
                <c:pt idx="82">
                  <c:v>869.55059884121135</c:v>
                </c:pt>
                <c:pt idx="83">
                  <c:v>885.87709937479167</c:v>
                </c:pt>
                <c:pt idx="84">
                  <c:v>902.27860346791726</c:v>
                </c:pt>
                <c:pt idx="85">
                  <c:v>918.7544211299105</c:v>
                </c:pt>
                <c:pt idx="86">
                  <c:v>935.30387797779781</c:v>
                </c:pt>
                <c:pt idx="87">
                  <c:v>951.92631467939111</c:v>
                </c:pt>
                <c:pt idx="88">
                  <c:v>968.62108642330179</c:v>
                </c:pt>
                <c:pt idx="89">
                  <c:v>985.38756241428928</c:v>
                </c:pt>
                <c:pt idx="90">
                  <c:v>1002.2251253924009</c:v>
                </c:pt>
                <c:pt idx="91">
                  <c:v>1019.1331711745045</c:v>
                </c:pt>
                <c:pt idx="92">
                  <c:v>1036.1111082168977</c:v>
                </c:pt>
                <c:pt idx="93">
                  <c:v>1053.1583571977721</c:v>
                </c:pt>
                <c:pt idx="94">
                  <c:v>1070.274350618422</c:v>
                </c:pt>
                <c:pt idx="95">
                  <c:v>1087.4585324221021</c:v>
                </c:pt>
                <c:pt idx="96">
                  <c:v>1104.7103576295913</c:v>
                </c:pt>
                <c:pt idx="97">
                  <c:v>1122.0292919905096</c:v>
                </c:pt>
                <c:pt idx="98">
                  <c:v>1139.4148116495608</c:v>
                </c:pt>
                <c:pt idx="99">
                  <c:v>1156.8664028268618</c:v>
                </c:pt>
                <c:pt idx="100">
                  <c:v>1174.3835615116527</c:v>
                </c:pt>
                <c:pt idx="101">
                  <c:v>1191.9657931686506</c:v>
                </c:pt>
                <c:pt idx="102">
                  <c:v>1209.612612456395</c:v>
                </c:pt>
                <c:pt idx="103">
                  <c:v>1227.3235429569904</c:v>
                </c:pt>
                <c:pt idx="104">
                  <c:v>1245.0981169166334</c:v>
                </c:pt>
                <c:pt idx="105">
                  <c:v>1262.9358749964144</c:v>
                </c:pt>
                <c:pt idx="106">
                  <c:v>1280.8363660328509</c:v>
                </c:pt>
                <c:pt idx="107">
                  <c:v>1298.7991468077034</c:v>
                </c:pt>
                <c:pt idx="108">
                  <c:v>1316.8237818265964</c:v>
                </c:pt>
                <c:pt idx="109">
                  <c:v>1334.9098431060361</c:v>
                </c:pt>
                <c:pt idx="110">
                  <c:v>1353.056909968411</c:v>
                </c:pt>
                <c:pt idx="111">
                  <c:v>1371.2645688446269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强化辅助表!$AH$35:$AH$146</c:f>
              <c:numCache>
                <c:formatCode>General</c:formatCode>
                <c:ptCount val="112"/>
                <c:pt idx="0">
                  <c:v>6</c:v>
                </c:pt>
                <c:pt idx="1">
                  <c:v>14.876492399267839</c:v>
                </c:pt>
                <c:pt idx="2">
                  <c:v>25.303470680774112</c:v>
                </c:pt>
                <c:pt idx="3">
                  <c:v>36.885004350912304</c:v>
                </c:pt>
                <c:pt idx="4">
                  <c:v>49.408532626763929</c:v>
                </c:pt>
                <c:pt idx="5">
                  <c:v>62.737814876272097</c:v>
                </c:pt>
                <c:pt idx="6">
                  <c:v>76.776742671290293</c:v>
                </c:pt>
                <c:pt idx="7">
                  <c:v>91.453247812217967</c:v>
                </c:pt>
                <c:pt idx="8">
                  <c:v>106.71093808213253</c:v>
                </c:pt>
                <c:pt idx="9">
                  <c:v>122.5042766801718</c:v>
                </c:pt>
                <c:pt idx="10">
                  <c:v>138.79559018879837</c:v>
                </c:pt>
                <c:pt idx="11">
                  <c:v>155.5531043589225</c:v>
                </c:pt>
                <c:pt idx="12">
                  <c:v>172.74959660415308</c:v>
                </c:pt>
                <c:pt idx="13">
                  <c:v>190.36143813166547</c:v>
                </c:pt>
                <c:pt idx="14">
                  <c:v>208.36789278356528</c:v>
                </c:pt>
                <c:pt idx="15">
                  <c:v>226.75059099446986</c:v>
                </c:pt>
                <c:pt idx="16">
                  <c:v>245.49312676081524</c:v>
                </c:pt>
                <c:pt idx="17">
                  <c:v>264.58074321626412</c:v>
                </c:pt>
                <c:pt idx="18">
                  <c:v>284.00008343207986</c:v>
                </c:pt>
                <c:pt idx="19">
                  <c:v>303.73899015172992</c:v>
                </c:pt>
                <c:pt idx="20">
                  <c:v>323.78634285805538</c:v>
                </c:pt>
                <c:pt idx="21">
                  <c:v>344.13192374925893</c:v>
                </c:pt>
                <c:pt idx="22">
                  <c:v>364.76630640101683</c:v>
                </c:pt>
                <c:pt idx="23">
                  <c:v>385.68076244633801</c:v>
                </c:pt>
                <c:pt idx="24">
                  <c:v>406.86718272166581</c:v>
                </c:pt>
                <c:pt idx="25">
                  <c:v>303.73899015172992</c:v>
                </c:pt>
                <c:pt idx="26">
                  <c:v>323.78634285805538</c:v>
                </c:pt>
                <c:pt idx="27">
                  <c:v>344.13192374925893</c:v>
                </c:pt>
                <c:pt idx="28">
                  <c:v>364.76630640101683</c:v>
                </c:pt>
                <c:pt idx="29">
                  <c:v>385.68076244633801</c:v>
                </c:pt>
                <c:pt idx="30">
                  <c:v>406.86718272166581</c:v>
                </c:pt>
                <c:pt idx="31">
                  <c:v>303.73899015172992</c:v>
                </c:pt>
                <c:pt idx="32">
                  <c:v>323.78634285805538</c:v>
                </c:pt>
                <c:pt idx="33">
                  <c:v>344.13192374925893</c:v>
                </c:pt>
                <c:pt idx="34">
                  <c:v>364.76630640101683</c:v>
                </c:pt>
                <c:pt idx="35">
                  <c:v>385.68076244633801</c:v>
                </c:pt>
                <c:pt idx="36">
                  <c:v>406.86718272166581</c:v>
                </c:pt>
                <c:pt idx="37">
                  <c:v>428.31801014304483</c:v>
                </c:pt>
                <c:pt idx="38">
                  <c:v>450.02618217985685</c:v>
                </c:pt>
                <c:pt idx="39">
                  <c:v>471.98508124656928</c:v>
                </c:pt>
                <c:pt idx="40">
                  <c:v>494.18849167676734</c:v>
                </c:pt>
                <c:pt idx="41">
                  <c:v>516.63056220769442</c:v>
                </c:pt>
                <c:pt idx="42">
                  <c:v>539.30577310819194</c:v>
                </c:pt>
                <c:pt idx="43">
                  <c:v>562.20890724312028</c:v>
                </c:pt>
                <c:pt idx="44">
                  <c:v>585.33502449383263</c:v>
                </c:pt>
                <c:pt idx="45">
                  <c:v>608.67943905496088</c:v>
                </c:pt>
                <c:pt idx="46">
                  <c:v>632.23769920851714</c:v>
                </c:pt>
                <c:pt idx="47">
                  <c:v>656.00556924156467</c:v>
                </c:pt>
                <c:pt idx="48">
                  <c:v>679.97901322671191</c:v>
                </c:pt>
                <c:pt idx="49">
                  <c:v>704.15418042812837</c:v>
                </c:pt>
                <c:pt idx="50">
                  <c:v>728.52739213145696</c:v>
                </c:pt>
                <c:pt idx="51">
                  <c:v>753.09512972558309</c:v>
                </c:pt>
                <c:pt idx="52">
                  <c:v>777.85402388879425</c:v>
                </c:pt>
                <c:pt idx="53">
                  <c:v>802.80084475243189</c:v>
                </c:pt>
                <c:pt idx="54">
                  <c:v>827.93249293241263</c:v>
                </c:pt>
                <c:pt idx="55">
                  <c:v>853.24599133354445</c:v>
                </c:pt>
                <c:pt idx="56">
                  <c:v>878.73847764393827</c:v>
                </c:pt>
                <c:pt idx="57">
                  <c:v>904.40719744728881</c:v>
                </c:pt>
                <c:pt idx="58">
                  <c:v>930.2494978897904</c:v>
                </c:pt>
                <c:pt idx="59">
                  <c:v>956.26282184612842</c:v>
                </c:pt>
                <c:pt idx="60">
                  <c:v>982.44470253558791</c:v>
                </c:pt>
                <c:pt idx="61">
                  <c:v>1008.792758545064</c:v>
                </c:pt>
                <c:pt idx="62">
                  <c:v>1035.3046892206412</c:v>
                </c:pt>
                <c:pt idx="63">
                  <c:v>1061.9782703937556</c:v>
                </c:pt>
                <c:pt idx="64">
                  <c:v>1088.8113504116352</c:v>
                </c:pt>
                <c:pt idx="65">
                  <c:v>1115.8018464450279</c:v>
                </c:pt>
                <c:pt idx="66">
                  <c:v>1142.9477410490335</c:v>
                </c:pt>
                <c:pt idx="67">
                  <c:v>1170.2470789554006</c:v>
                </c:pt>
                <c:pt idx="68">
                  <c:v>1197.6979640768395</c:v>
                </c:pt>
                <c:pt idx="69">
                  <c:v>1225.298556705844</c:v>
                </c:pt>
                <c:pt idx="70">
                  <c:v>1253.0470708922685</c:v>
                </c:pt>
                <c:pt idx="71">
                  <c:v>1280.9417719853718</c:v>
                </c:pt>
                <c:pt idx="72">
                  <c:v>1308.9809743274836</c:v>
                </c:pt>
                <c:pt idx="73">
                  <c:v>1337.1630390875478</c:v>
                </c:pt>
                <c:pt idx="74">
                  <c:v>1365.4863722239793</c:v>
                </c:pt>
                <c:pt idx="75">
                  <c:v>1393.9494225671585</c:v>
                </c:pt>
                <c:pt idx="76">
                  <c:v>1422.5506800127662</c:v>
                </c:pt>
                <c:pt idx="77">
                  <c:v>1451.2886738179586</c:v>
                </c:pt>
                <c:pt idx="78">
                  <c:v>1480.1619709930433</c:v>
                </c:pt>
                <c:pt idx="79">
                  <c:v>1509.1691747819555</c:v>
                </c:pt>
                <c:pt idx="80">
                  <c:v>1538.3089232253997</c:v>
                </c:pt>
                <c:pt idx="81">
                  <c:v>1567.5798878010173</c:v>
                </c:pt>
                <c:pt idx="82">
                  <c:v>1596.9807721354064</c:v>
                </c:pt>
                <c:pt idx="83">
                  <c:v>1626.510310783252</c:v>
                </c:pt>
                <c:pt idx="84">
                  <c:v>1656.1672680691522</c:v>
                </c:pt>
                <c:pt idx="85">
                  <c:v>1685.9504369881383</c:v>
                </c:pt>
                <c:pt idx="86">
                  <c:v>1715.8586381611383</c:v>
                </c:pt>
                <c:pt idx="87">
                  <c:v>1745.8907188419532</c:v>
                </c:pt>
                <c:pt idx="88">
                  <c:v>1776.0455519725392</c:v>
                </c:pt>
                <c:pt idx="89">
                  <c:v>1806.3220352836724</c:v>
                </c:pt>
                <c:pt idx="90">
                  <c:v>1836.7190904382569</c:v>
                </c:pt>
                <c:pt idx="91">
                  <c:v>1867.2356622147095</c:v>
                </c:pt>
                <c:pt idx="92">
                  <c:v>1897.8707177281201</c:v>
                </c:pt>
                <c:pt idx="93">
                  <c:v>1928.6232456869259</c:v>
                </c:pt>
                <c:pt idx="94">
                  <c:v>1959.4922556831511</c:v>
                </c:pt>
                <c:pt idx="95">
                  <c:v>1990.4767775142245</c:v>
                </c:pt>
                <c:pt idx="96">
                  <c:v>2021.575860534673</c:v>
                </c:pt>
                <c:pt idx="97">
                  <c:v>2052.788573035984</c:v>
                </c:pt>
                <c:pt idx="98">
                  <c:v>2084.1140016531781</c:v>
                </c:pt>
                <c:pt idx="99">
                  <c:v>2115.5512507965386</c:v>
                </c:pt>
                <c:pt idx="100">
                  <c:v>2147.0994421072642</c:v>
                </c:pt>
                <c:pt idx="101">
                  <c:v>2178.7577139357054</c:v>
                </c:pt>
                <c:pt idx="102">
                  <c:v>2210.5252208410429</c:v>
                </c:pt>
                <c:pt idx="103">
                  <c:v>2242.4011331112874</c:v>
                </c:pt>
                <c:pt idx="104">
                  <c:v>2274.3846363025591</c:v>
                </c:pt>
                <c:pt idx="105">
                  <c:v>2306.4749307966995</c:v>
                </c:pt>
                <c:pt idx="106">
                  <c:v>2338.6712313762669</c:v>
                </c:pt>
                <c:pt idx="107">
                  <c:v>2370.9727668160558</c:v>
                </c:pt>
                <c:pt idx="108">
                  <c:v>2403.3787794903801</c:v>
                </c:pt>
                <c:pt idx="109">
                  <c:v>2435.8885249952723</c:v>
                </c:pt>
                <c:pt idx="110">
                  <c:v>2468.5012717849822</c:v>
                </c:pt>
                <c:pt idx="111">
                  <c:v>2501.2163008220141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强化辅助表!$AI$35:$AI$146</c:f>
              <c:numCache>
                <c:formatCode>General</c:formatCode>
                <c:ptCount val="112"/>
                <c:pt idx="0">
                  <c:v>6</c:v>
                </c:pt>
                <c:pt idx="1">
                  <c:v>15.08416049426194</c:v>
                </c:pt>
                <c:pt idx="2">
                  <c:v>25.865597739327335</c:v>
                </c:pt>
                <c:pt idx="3">
                  <c:v>37.921982969442105</c:v>
                </c:pt>
                <c:pt idx="4">
                  <c:v>51.02480529251774</c:v>
                </c:pt>
                <c:pt idx="5">
                  <c:v>65.026804596672065</c:v>
                </c:pt>
                <c:pt idx="6">
                  <c:v>79.823661255835873</c:v>
                </c:pt>
                <c:pt idx="7">
                  <c:v>95.336879561955456</c:v>
                </c:pt>
                <c:pt idx="8">
                  <c:v>111.50485773544924</c:v>
                </c:pt>
                <c:pt idx="9">
                  <c:v>128.27772537013402</c:v>
                </c:pt>
                <c:pt idx="10">
                  <c:v>145.61413062508251</c:v>
                </c:pt>
                <c:pt idx="11">
                  <c:v>163.47912616086859</c:v>
                </c:pt>
                <c:pt idx="12">
                  <c:v>181.84271582024849</c:v>
                </c:pt>
                <c:pt idx="13">
                  <c:v>200.67881960377105</c:v>
                </c:pt>
                <c:pt idx="14">
                  <c:v>219.96451473729405</c:v>
                </c:pt>
                <c:pt idx="15">
                  <c:v>239.67946538910951</c:v>
                </c:pt>
                <c:pt idx="16">
                  <c:v>259.8054851078291</c:v>
                </c:pt>
                <c:pt idx="17">
                  <c:v>280.32619499522673</c:v>
                </c:pt>
                <c:pt idx="18">
                  <c:v>301.22675244481661</c:v>
                </c:pt>
                <c:pt idx="19">
                  <c:v>322.49363288699283</c:v>
                </c:pt>
                <c:pt idx="20">
                  <c:v>344.1144520206297</c:v>
                </c:pt>
                <c:pt idx="21">
                  <c:v>366.07781943019455</c:v>
                </c:pt>
                <c:pt idx="22">
                  <c:v>388.37321685819416</c:v>
                </c:pt>
                <c:pt idx="23">
                  <c:v>410.99089607870644</c:v>
                </c:pt>
                <c:pt idx="24">
                  <c:v>433.92179252322438</c:v>
                </c:pt>
                <c:pt idx="25">
                  <c:v>322.49363288699283</c:v>
                </c:pt>
                <c:pt idx="26">
                  <c:v>344.1144520206297</c:v>
                </c:pt>
                <c:pt idx="27">
                  <c:v>366.07781943019455</c:v>
                </c:pt>
                <c:pt idx="28">
                  <c:v>388.37321685819416</c:v>
                </c:pt>
                <c:pt idx="29">
                  <c:v>410.99089607870644</c:v>
                </c:pt>
                <c:pt idx="30">
                  <c:v>433.92179252322438</c:v>
                </c:pt>
                <c:pt idx="31">
                  <c:v>322.49363288699283</c:v>
                </c:pt>
                <c:pt idx="32">
                  <c:v>344.1144520206297</c:v>
                </c:pt>
                <c:pt idx="33">
                  <c:v>366.07781943019455</c:v>
                </c:pt>
                <c:pt idx="34">
                  <c:v>388.37321685819416</c:v>
                </c:pt>
                <c:pt idx="35">
                  <c:v>410.99089607870644</c:v>
                </c:pt>
                <c:pt idx="36">
                  <c:v>433.92179252322438</c:v>
                </c:pt>
                <c:pt idx="37">
                  <c:v>457.15745169084886</c:v>
                </c:pt>
                <c:pt idx="38">
                  <c:v>480.68996602767504</c:v>
                </c:pt>
                <c:pt idx="39">
                  <c:v>504.51192045038715</c:v>
                </c:pt>
                <c:pt idx="40">
                  <c:v>528.61634506152018</c:v>
                </c:pt>
                <c:pt idx="41">
                  <c:v>552.99667388996488</c:v>
                </c:pt>
                <c:pt idx="42">
                  <c:v>577.64670871233341</c:v>
                </c:pt>
                <c:pt idx="43">
                  <c:v>602.56058718470467</c:v>
                </c:pt>
                <c:pt idx="44">
                  <c:v>627.73275465170798</c:v>
                </c:pt>
                <c:pt idx="45">
                  <c:v>653.15793910934542</c:v>
                </c:pt>
                <c:pt idx="46">
                  <c:v>678.83112888581923</c:v>
                </c:pt>
                <c:pt idx="47">
                  <c:v>704.74755267562841</c:v>
                </c:pt>
                <c:pt idx="48">
                  <c:v>730.90266161997408</c:v>
                </c:pt>
                <c:pt idx="49">
                  <c:v>757.29211317382101</c:v>
                </c:pt>
                <c:pt idx="50">
                  <c:v>783.91175653889331</c:v>
                </c:pt>
                <c:pt idx="51">
                  <c:v>810.75761947416481</c:v>
                </c:pt>
                <c:pt idx="52">
                  <c:v>837.82589632222243</c:v>
                </c:pt>
                <c:pt idx="53">
                  <c:v>865.11293711236317</c:v>
                </c:pt>
                <c:pt idx="54">
                  <c:v>892.61523762015167</c:v>
                </c:pt>
                <c:pt idx="55">
                  <c:v>920.32943027908277</c:v>
                </c:pt>
                <c:pt idx="56">
                  <c:v>948.25227585353082</c:v>
                </c:pt>
                <c:pt idx="57">
                  <c:v>976.38065579363297</c:v>
                </c:pt>
                <c:pt idx="58">
                  <c:v>1004.711565202589</c:v>
                </c:pt>
                <c:pt idx="59">
                  <c:v>1033.2421063552897</c:v>
                </c:pt>
                <c:pt idx="60">
                  <c:v>1061.9694827144053</c:v>
                </c:pt>
                <c:pt idx="61">
                  <c:v>1090.890993396358</c:v>
                </c:pt>
                <c:pt idx="62">
                  <c:v>1120.0040280449834</c:v>
                </c:pt>
                <c:pt idx="63">
                  <c:v>1149.3060620754281</c:v>
                </c:pt>
                <c:pt idx="64">
                  <c:v>1178.7946522548928</c:v>
                </c:pt>
                <c:pt idx="65">
                  <c:v>1208.4674325904618</c:v>
                </c:pt>
                <c:pt idx="66">
                  <c:v>1238.3221104973472</c:v>
                </c:pt>
                <c:pt idx="67">
                  <c:v>1268.3564632236601</c:v>
                </c:pt>
                <c:pt idx="68">
                  <c:v>1298.5683345102607</c:v>
                </c:pt>
                <c:pt idx="69">
                  <c:v>1328.9556314663521</c:v>
                </c:pt>
                <c:pt idx="70">
                  <c:v>1359.5163216433857</c:v>
                </c:pt>
                <c:pt idx="71">
                  <c:v>1390.2484302915425</c:v>
                </c:pt>
                <c:pt idx="72">
                  <c:v>1421.1500377845439</c:v>
                </c:pt>
                <c:pt idx="73">
                  <c:v>1452.2192771998357</c:v>
                </c:pt>
                <c:pt idx="74">
                  <c:v>1483.4543320424434</c:v>
                </c:pt>
                <c:pt idx="75">
                  <c:v>1514.8534341017998</c:v>
                </c:pt>
                <c:pt idx="76">
                  <c:v>1546.4148614318019</c:v>
                </c:pt>
                <c:pt idx="77">
                  <c:v>1578.136936445253</c:v>
                </c:pt>
                <c:pt idx="78">
                  <c:v>1610.0180241145349</c:v>
                </c:pt>
                <c:pt idx="79">
                  <c:v>1642.0565302711238</c:v>
                </c:pt>
                <c:pt idx="80">
                  <c:v>1674.2508999970978</c:v>
                </c:pt>
                <c:pt idx="81">
                  <c:v>1706.5996161024532</c:v>
                </c:pt>
                <c:pt idx="82">
                  <c:v>1739.1011976824227</c:v>
                </c:pt>
                <c:pt idx="83">
                  <c:v>1771.7541987495833</c:v>
                </c:pt>
                <c:pt idx="84">
                  <c:v>1804.5572069358345</c:v>
                </c:pt>
                <c:pt idx="85">
                  <c:v>1837.508842259821</c:v>
                </c:pt>
                <c:pt idx="86">
                  <c:v>1870.6077559555956</c:v>
                </c:pt>
                <c:pt idx="87">
                  <c:v>1903.8526293587822</c:v>
                </c:pt>
                <c:pt idx="88">
                  <c:v>1937.2421728466036</c:v>
                </c:pt>
                <c:pt idx="89">
                  <c:v>1970.7751248285786</c:v>
                </c:pt>
                <c:pt idx="90">
                  <c:v>2004.4502507848017</c:v>
                </c:pt>
                <c:pt idx="91">
                  <c:v>2038.2663423490089</c:v>
                </c:pt>
                <c:pt idx="92">
                  <c:v>2072.2222164337954</c:v>
                </c:pt>
                <c:pt idx="93">
                  <c:v>2106.3167143955443</c:v>
                </c:pt>
                <c:pt idx="94">
                  <c:v>2140.548701236844</c:v>
                </c:pt>
                <c:pt idx="95">
                  <c:v>2174.9170648442041</c:v>
                </c:pt>
                <c:pt idx="96">
                  <c:v>2209.4207152591825</c:v>
                </c:pt>
                <c:pt idx="97">
                  <c:v>2244.0585839810192</c:v>
                </c:pt>
                <c:pt idx="98">
                  <c:v>2278.8296232991215</c:v>
                </c:pt>
                <c:pt idx="99">
                  <c:v>2313.7328056537235</c:v>
                </c:pt>
                <c:pt idx="100">
                  <c:v>2348.7671230233054</c:v>
                </c:pt>
                <c:pt idx="101">
                  <c:v>2383.9315863373013</c:v>
                </c:pt>
                <c:pt idx="102">
                  <c:v>2419.2252249127901</c:v>
                </c:pt>
                <c:pt idx="103">
                  <c:v>2454.6470859139808</c:v>
                </c:pt>
                <c:pt idx="104">
                  <c:v>2490.1962338332669</c:v>
                </c:pt>
                <c:pt idx="105">
                  <c:v>2525.8717499928289</c:v>
                </c:pt>
                <c:pt idx="106">
                  <c:v>2561.6727320657019</c:v>
                </c:pt>
                <c:pt idx="107">
                  <c:v>2597.5982936154069</c:v>
                </c:pt>
                <c:pt idx="108">
                  <c:v>2633.6475636531927</c:v>
                </c:pt>
                <c:pt idx="109">
                  <c:v>2669.8196862120722</c:v>
                </c:pt>
                <c:pt idx="110">
                  <c:v>2706.113819936822</c:v>
                </c:pt>
                <c:pt idx="111">
                  <c:v>2742.5291376892537</c:v>
                </c:pt>
              </c:numCache>
            </c:numRef>
          </c:val>
          <c:smooth val="0"/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强化辅助表!$AJ$35:$AJ$146</c:f>
              <c:numCache>
                <c:formatCode>General</c:formatCode>
                <c:ptCount val="112"/>
                <c:pt idx="0">
                  <c:v>9</c:v>
                </c:pt>
                <c:pt idx="1">
                  <c:v>22.626240741392913</c:v>
                </c:pt>
                <c:pt idx="2">
                  <c:v>38.798396608990998</c:v>
                </c:pt>
                <c:pt idx="3">
                  <c:v>56.882974454163161</c:v>
                </c:pt>
                <c:pt idx="4">
                  <c:v>76.537207938776618</c:v>
                </c:pt>
                <c:pt idx="5">
                  <c:v>97.540206895008097</c:v>
                </c:pt>
                <c:pt idx="6">
                  <c:v>119.73549188375381</c:v>
                </c:pt>
                <c:pt idx="7">
                  <c:v>143.00531934293318</c:v>
                </c:pt>
                <c:pt idx="8">
                  <c:v>167.25728660317384</c:v>
                </c:pt>
                <c:pt idx="9">
                  <c:v>192.416588055201</c:v>
                </c:pt>
                <c:pt idx="10">
                  <c:v>218.42119593762376</c:v>
                </c:pt>
                <c:pt idx="11">
                  <c:v>245.21868924130285</c:v>
                </c:pt>
                <c:pt idx="12">
                  <c:v>272.76407373037273</c:v>
                </c:pt>
                <c:pt idx="13">
                  <c:v>301.0182294056566</c:v>
                </c:pt>
                <c:pt idx="14">
                  <c:v>329.94677210594108</c:v>
                </c:pt>
                <c:pt idx="15">
                  <c:v>359.51919808366426</c:v>
                </c:pt>
                <c:pt idx="16">
                  <c:v>389.70822766174365</c:v>
                </c:pt>
                <c:pt idx="17">
                  <c:v>420.48929249284009</c:v>
                </c:pt>
                <c:pt idx="18">
                  <c:v>451.84012866722492</c:v>
                </c:pt>
                <c:pt idx="19">
                  <c:v>483.74044933048924</c:v>
                </c:pt>
                <c:pt idx="20">
                  <c:v>516.17167803094458</c:v>
                </c:pt>
                <c:pt idx="21">
                  <c:v>549.11672914529186</c:v>
                </c:pt>
                <c:pt idx="22">
                  <c:v>582.55982528729123</c:v>
                </c:pt>
                <c:pt idx="23">
                  <c:v>616.48634411805961</c:v>
                </c:pt>
                <c:pt idx="24">
                  <c:v>650.88268878483655</c:v>
                </c:pt>
                <c:pt idx="25">
                  <c:v>483.74044933048924</c:v>
                </c:pt>
                <c:pt idx="26">
                  <c:v>516.17167803094458</c:v>
                </c:pt>
                <c:pt idx="27">
                  <c:v>549.11672914529186</c:v>
                </c:pt>
                <c:pt idx="28">
                  <c:v>582.55982528729123</c:v>
                </c:pt>
                <c:pt idx="29">
                  <c:v>616.48634411805961</c:v>
                </c:pt>
                <c:pt idx="30">
                  <c:v>650.88268878483655</c:v>
                </c:pt>
                <c:pt idx="31">
                  <c:v>483.74044933048924</c:v>
                </c:pt>
                <c:pt idx="32">
                  <c:v>516.17167803094458</c:v>
                </c:pt>
                <c:pt idx="33">
                  <c:v>549.11672914529186</c:v>
                </c:pt>
                <c:pt idx="34">
                  <c:v>582.55982528729123</c:v>
                </c:pt>
                <c:pt idx="35">
                  <c:v>616.48634411805961</c:v>
                </c:pt>
                <c:pt idx="36">
                  <c:v>650.88268878483655</c:v>
                </c:pt>
                <c:pt idx="37">
                  <c:v>685.73617753627332</c:v>
                </c:pt>
                <c:pt idx="38">
                  <c:v>721.03494904151262</c:v>
                </c:pt>
                <c:pt idx="39">
                  <c:v>756.76788067558073</c:v>
                </c:pt>
                <c:pt idx="40">
                  <c:v>792.92451759228015</c:v>
                </c:pt>
                <c:pt idx="41">
                  <c:v>829.49501083494738</c:v>
                </c:pt>
                <c:pt idx="42">
                  <c:v>866.47006306850017</c:v>
                </c:pt>
                <c:pt idx="43">
                  <c:v>903.84088077705701</c:v>
                </c:pt>
                <c:pt idx="44">
                  <c:v>941.59913197756191</c:v>
                </c:pt>
                <c:pt idx="45">
                  <c:v>979.73690866401819</c:v>
                </c:pt>
                <c:pt idx="46">
                  <c:v>1018.2466933287288</c:v>
                </c:pt>
                <c:pt idx="47">
                  <c:v>1057.1213290134426</c:v>
                </c:pt>
                <c:pt idx="48">
                  <c:v>1096.3539924299612</c:v>
                </c:pt>
                <c:pt idx="49">
                  <c:v>1135.9381697607316</c:v>
                </c:pt>
                <c:pt idx="50">
                  <c:v>1175.86763480834</c:v>
                </c:pt>
                <c:pt idx="51">
                  <c:v>1216.1364292112473</c:v>
                </c:pt>
                <c:pt idx="52">
                  <c:v>1256.7388444833337</c:v>
                </c:pt>
                <c:pt idx="53">
                  <c:v>1297.6694056685446</c:v>
                </c:pt>
                <c:pt idx="54">
                  <c:v>1338.9228564302275</c:v>
                </c:pt>
                <c:pt idx="55">
                  <c:v>1380.4941454186242</c:v>
                </c:pt>
                <c:pt idx="56">
                  <c:v>1422.3784137802963</c:v>
                </c:pt>
                <c:pt idx="57">
                  <c:v>1464.5709836904493</c:v>
                </c:pt>
                <c:pt idx="58">
                  <c:v>1507.0673478038834</c:v>
                </c:pt>
                <c:pt idx="59">
                  <c:v>1549.8631595329346</c:v>
                </c:pt>
                <c:pt idx="60">
                  <c:v>1592.954224071608</c:v>
                </c:pt>
                <c:pt idx="61">
                  <c:v>1636.3364900945371</c:v>
                </c:pt>
                <c:pt idx="62">
                  <c:v>1680.0060420674749</c:v>
                </c:pt>
                <c:pt idx="63">
                  <c:v>1723.9590931131422</c:v>
                </c:pt>
                <c:pt idx="64">
                  <c:v>1768.1919783823389</c:v>
                </c:pt>
                <c:pt idx="65">
                  <c:v>1812.7011488856929</c:v>
                </c:pt>
                <c:pt idx="66">
                  <c:v>1857.4831657460206</c:v>
                </c:pt>
                <c:pt idx="67">
                  <c:v>1902.5346948354902</c:v>
                </c:pt>
                <c:pt idx="68">
                  <c:v>1947.852501765391</c:v>
                </c:pt>
                <c:pt idx="69">
                  <c:v>1993.4334471995282</c:v>
                </c:pt>
                <c:pt idx="70">
                  <c:v>2039.2744824650786</c:v>
                </c:pt>
                <c:pt idx="71">
                  <c:v>2085.3726454373136</c:v>
                </c:pt>
                <c:pt idx="72">
                  <c:v>2131.7250566768157</c:v>
                </c:pt>
                <c:pt idx="73">
                  <c:v>2178.3289157997538</c:v>
                </c:pt>
                <c:pt idx="74">
                  <c:v>2225.181498063665</c:v>
                </c:pt>
                <c:pt idx="75">
                  <c:v>2272.2801511527</c:v>
                </c:pt>
                <c:pt idx="76">
                  <c:v>2319.6222921477029</c:v>
                </c:pt>
                <c:pt idx="77">
                  <c:v>2367.2054046678795</c:v>
                </c:pt>
                <c:pt idx="78">
                  <c:v>2415.0270361718026</c:v>
                </c:pt>
                <c:pt idx="79">
                  <c:v>2463.0847954066858</c:v>
                </c:pt>
                <c:pt idx="80">
                  <c:v>2511.3763499956467</c:v>
                </c:pt>
                <c:pt idx="81">
                  <c:v>2559.8994241536798</c:v>
                </c:pt>
                <c:pt idx="82">
                  <c:v>2608.6517965236339</c:v>
                </c:pt>
                <c:pt idx="83">
                  <c:v>2657.631298124375</c:v>
                </c:pt>
                <c:pt idx="84">
                  <c:v>2706.8358104037516</c:v>
                </c:pt>
                <c:pt idx="85">
                  <c:v>2756.2632633897315</c:v>
                </c:pt>
                <c:pt idx="86">
                  <c:v>2805.9116339333937</c:v>
                </c:pt>
                <c:pt idx="87">
                  <c:v>2855.7789440381734</c:v>
                </c:pt>
                <c:pt idx="88">
                  <c:v>2905.8632592699055</c:v>
                </c:pt>
                <c:pt idx="89">
                  <c:v>2956.1626872428678</c:v>
                </c:pt>
                <c:pt idx="90">
                  <c:v>3006.6753761772025</c:v>
                </c:pt>
                <c:pt idx="91">
                  <c:v>3057.3995135235132</c:v>
                </c:pt>
                <c:pt idx="92">
                  <c:v>3108.3333246506932</c:v>
                </c:pt>
                <c:pt idx="93">
                  <c:v>3159.4750715933164</c:v>
                </c:pt>
                <c:pt idx="94">
                  <c:v>3210.8230518552659</c:v>
                </c:pt>
                <c:pt idx="95">
                  <c:v>3262.3755972663057</c:v>
                </c:pt>
                <c:pt idx="96">
                  <c:v>3314.1310728887743</c:v>
                </c:pt>
                <c:pt idx="97">
                  <c:v>3366.0878759715288</c:v>
                </c:pt>
                <c:pt idx="98">
                  <c:v>3418.2444349486818</c:v>
                </c:pt>
                <c:pt idx="99">
                  <c:v>3470.5992084805853</c:v>
                </c:pt>
                <c:pt idx="100">
                  <c:v>3523.1506845349586</c:v>
                </c:pt>
                <c:pt idx="101">
                  <c:v>3575.8973795059514</c:v>
                </c:pt>
                <c:pt idx="102">
                  <c:v>3628.8378373691853</c:v>
                </c:pt>
                <c:pt idx="103">
                  <c:v>3681.9706288709713</c:v>
                </c:pt>
                <c:pt idx="104">
                  <c:v>3735.2943507499003</c:v>
                </c:pt>
                <c:pt idx="105">
                  <c:v>3788.8076249892429</c:v>
                </c:pt>
                <c:pt idx="106">
                  <c:v>3842.5090980985528</c:v>
                </c:pt>
                <c:pt idx="107">
                  <c:v>3896.3974404231108</c:v>
                </c:pt>
                <c:pt idx="108">
                  <c:v>3950.4713454797889</c:v>
                </c:pt>
                <c:pt idx="109">
                  <c:v>4004.7295293181087</c:v>
                </c:pt>
                <c:pt idx="110">
                  <c:v>4059.1707299052332</c:v>
                </c:pt>
                <c:pt idx="111">
                  <c:v>4113.7937065338801</c:v>
                </c:pt>
              </c:numCache>
            </c:numRef>
          </c:val>
          <c:smooth val="0"/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强化辅助表!$AK$35:$AK$146</c:f>
              <c:numCache>
                <c:formatCode>General</c:formatCode>
                <c:ptCount val="112"/>
                <c:pt idx="0">
                  <c:v>9</c:v>
                </c:pt>
                <c:pt idx="1">
                  <c:v>22.736290713224381</c:v>
                </c:pt>
                <c:pt idx="2">
                  <c:v>39.097917600956208</c:v>
                </c:pt>
                <c:pt idx="3">
                  <c:v>57.437657266250369</c:v>
                </c:pt>
                <c:pt idx="4">
                  <c:v>77.404356633072425</c:v>
                </c:pt>
                <c:pt idx="5">
                  <c:v>98.771291206336969</c:v>
                </c:pt>
                <c:pt idx="6">
                  <c:v>121.37761201952338</c:v>
                </c:pt>
                <c:pt idx="7">
                  <c:v>145.10214149911255</c:v>
                </c:pt>
                <c:pt idx="8">
                  <c:v>169.84968452568461</c:v>
                </c:pt>
                <c:pt idx="9">
                  <c:v>195.54310609773705</c:v>
                </c:pt>
                <c:pt idx="10">
                  <c:v>222.11839645359157</c:v>
                </c:pt>
                <c:pt idx="11">
                  <c:v>249.52142122086889</c:v>
                </c:pt>
                <c:pt idx="12">
                  <c:v>277.70568567399118</c:v>
                </c:pt>
                <c:pt idx="13">
                  <c:v>306.6307414392046</c:v>
                </c:pt>
                <c:pt idx="14">
                  <c:v>336.26101751054381</c:v>
                </c:pt>
                <c:pt idx="15">
                  <c:v>366.5649413594715</c:v>
                </c:pt>
                <c:pt idx="16">
                  <c:v>397.51426424331419</c:v>
                </c:pt>
                <c:pt idx="17">
                  <c:v>429.08353388060129</c:v>
                </c:pt>
                <c:pt idx="18">
                  <c:v>461.24967579994876</c:v>
                </c:pt>
                <c:pt idx="19">
                  <c:v>493.99165635611405</c:v>
                </c:pt>
                <c:pt idx="20">
                  <c:v>527.29020814890669</c:v>
                </c:pt>
                <c:pt idx="21">
                  <c:v>561.12760383600983</c:v>
                </c:pt>
                <c:pt idx="22">
                  <c:v>595.48746797617832</c:v>
                </c:pt>
                <c:pt idx="23">
                  <c:v>630.35461911717675</c:v>
                </c:pt>
                <c:pt idx="24">
                  <c:v>665.71493619776265</c:v>
                </c:pt>
                <c:pt idx="25">
                  <c:v>493.99165635611405</c:v>
                </c:pt>
                <c:pt idx="26">
                  <c:v>527.29020814890669</c:v>
                </c:pt>
                <c:pt idx="27">
                  <c:v>561.12760383600983</c:v>
                </c:pt>
                <c:pt idx="28">
                  <c:v>595.48746797617832</c:v>
                </c:pt>
                <c:pt idx="29">
                  <c:v>630.35461911717675</c:v>
                </c:pt>
                <c:pt idx="30">
                  <c:v>665.71493619776265</c:v>
                </c:pt>
                <c:pt idx="31">
                  <c:v>493.99165635611405</c:v>
                </c:pt>
                <c:pt idx="32">
                  <c:v>527.29020814890669</c:v>
                </c:pt>
                <c:pt idx="33">
                  <c:v>561.12760383600983</c:v>
                </c:pt>
                <c:pt idx="34">
                  <c:v>595.48746797617832</c:v>
                </c:pt>
                <c:pt idx="35">
                  <c:v>630.35461911717675</c:v>
                </c:pt>
                <c:pt idx="36">
                  <c:v>665.71493619776265</c:v>
                </c:pt>
                <c:pt idx="37">
                  <c:v>701.55524468879753</c:v>
                </c:pt>
                <c:pt idx="38">
                  <c:v>737.86321890373563</c:v>
                </c:pt>
                <c:pt idx="39">
                  <c:v>774.62729766369932</c:v>
                </c:pt>
                <c:pt idx="40">
                  <c:v>811.83661107615592</c:v>
                </c:pt>
                <c:pt idx="41">
                  <c:v>849.4809166271508</c:v>
                </c:pt>
                <c:pt idx="42">
                  <c:v>887.55054312932975</c:v>
                </c:pt>
                <c:pt idx="43">
                  <c:v>926.03634133611024</c:v>
                </c:pt>
                <c:pt idx="44">
                  <c:v>964.92964024433832</c:v>
                </c:pt>
                <c:pt idx="45">
                  <c:v>1004.2222082766101</c:v>
                </c:pt>
                <c:pt idx="46">
                  <c:v>1043.9062186699875</c:v>
                </c:pt>
                <c:pt idx="47">
                  <c:v>1083.9742185074465</c:v>
                </c:pt>
                <c:pt idx="48">
                  <c:v>1124.4191009175493</c:v>
                </c:pt>
                <c:pt idx="49">
                  <c:v>1165.2340800409033</c:v>
                </c:pt>
                <c:pt idx="50">
                  <c:v>1206.412668422083</c:v>
                </c:pt>
                <c:pt idx="51">
                  <c:v>1247.9486565355392</c:v>
                </c:pt>
                <c:pt idx="52">
                  <c:v>1289.8360941954843</c:v>
                </c:pt>
                <c:pt idx="53">
                  <c:v>1332.069273634459</c:v>
                </c:pt>
                <c:pt idx="54">
                  <c:v>1374.642714064433</c:v>
                </c:pt>
                <c:pt idx="55">
                  <c:v>1417.5511475589458</c:v>
                </c:pt>
                <c:pt idx="56">
                  <c:v>1460.7895061156582</c:v>
                </c:pt>
                <c:pt idx="57">
                  <c:v>1504.3529097764754</c:v>
                </c:pt>
                <c:pt idx="58">
                  <c:v>1548.2366556975651</c:v>
                </c:pt>
                <c:pt idx="59">
                  <c:v>1592.4362080746625</c:v>
                </c:pt>
                <c:pt idx="60">
                  <c:v>1636.9471888402168</c:v>
                </c:pt>
                <c:pt idx="61">
                  <c:v>1681.7653690586621</c:v>
                </c:pt>
                <c:pt idx="62">
                  <c:v>1726.886660954425</c:v>
                </c:pt>
                <c:pt idx="63">
                  <c:v>1772.3071105146398</c:v>
                </c:pt>
                <c:pt idx="64">
                  <c:v>1818.0228906147995</c:v>
                </c:pt>
                <c:pt idx="65">
                  <c:v>1864.0302946212066</c:v>
                </c:pt>
                <c:pt idx="66">
                  <c:v>1910.3257304288859</c:v>
                </c:pt>
                <c:pt idx="67">
                  <c:v>1956.9057148979209</c:v>
                </c:pt>
                <c:pt idx="68">
                  <c:v>2003.7668686549071</c:v>
                </c:pt>
                <c:pt idx="69">
                  <c:v>2050.905911229594</c:v>
                </c:pt>
                <c:pt idx="70">
                  <c:v>2098.3196564996324</c:v>
                </c:pt>
                <c:pt idx="71">
                  <c:v>2146.0050084190239</c:v>
                </c:pt>
                <c:pt idx="72">
                  <c:v>2193.958957008168</c:v>
                </c:pt>
                <c:pt idx="73">
                  <c:v>2242.1785745854049</c:v>
                </c:pt>
                <c:pt idx="74">
                  <c:v>2290.6610122218881</c:v>
                </c:pt>
                <c:pt idx="75">
                  <c:v>2339.4034964031639</c:v>
                </c:pt>
                <c:pt idx="76">
                  <c:v>2388.4033258823902</c:v>
                </c:pt>
                <c:pt idx="77">
                  <c:v>2437.6578687113642</c:v>
                </c:pt>
                <c:pt idx="78">
                  <c:v>2487.164559436811</c:v>
                </c:pt>
                <c:pt idx="79">
                  <c:v>2536.9208964503532</c:v>
                </c:pt>
                <c:pt idx="80">
                  <c:v>2586.9244394816292</c:v>
                </c:pt>
                <c:pt idx="81">
                  <c:v>2637.1728072248475</c:v>
                </c:pt>
                <c:pt idx="82">
                  <c:v>2687.6636750898479</c:v>
                </c:pt>
                <c:pt idx="83">
                  <c:v>2738.3947730695027</c:v>
                </c:pt>
                <c:pt idx="84">
                  <c:v>2789.3638837158737</c:v>
                </c:pt>
                <c:pt idx="85">
                  <c:v>2840.5688402181991</c:v>
                </c:pt>
                <c:pt idx="86">
                  <c:v>2892.0075245762146</c:v>
                </c:pt>
                <c:pt idx="87">
                  <c:v>2943.677865862951</c:v>
                </c:pt>
                <c:pt idx="88">
                  <c:v>2995.5778385714161</c:v>
                </c:pt>
                <c:pt idx="89">
                  <c:v>3047.7054610401406</c:v>
                </c:pt>
                <c:pt idx="90">
                  <c:v>3100.0587939528382</c:v>
                </c:pt>
                <c:pt idx="91">
                  <c:v>3152.6359389077561</c:v>
                </c:pt>
                <c:pt idx="92">
                  <c:v>3205.4350370527313</c:v>
                </c:pt>
                <c:pt idx="93">
                  <c:v>3258.4542677820464</c:v>
                </c:pt>
                <c:pt idx="94">
                  <c:v>3311.6918474916915</c:v>
                </c:pt>
                <c:pt idx="95">
                  <c:v>3365.1460283896313</c:v>
                </c:pt>
                <c:pt idx="96">
                  <c:v>3418.8150973580982</c:v>
                </c:pt>
                <c:pt idx="97">
                  <c:v>3472.697374864968</c:v>
                </c:pt>
                <c:pt idx="98">
                  <c:v>3526.7912139216733</c:v>
                </c:pt>
                <c:pt idx="99">
                  <c:v>3581.094999085004</c:v>
                </c:pt>
                <c:pt idx="100">
                  <c:v>3635.6071455006077</c:v>
                </c:pt>
                <c:pt idx="101">
                  <c:v>3690.3260979858978</c:v>
                </c:pt>
                <c:pt idx="102">
                  <c:v>3745.2503301503798</c:v>
                </c:pt>
                <c:pt idx="103">
                  <c:v>3800.3783435514406</c:v>
                </c:pt>
                <c:pt idx="104">
                  <c:v>3855.7086668838315</c:v>
                </c:pt>
                <c:pt idx="105">
                  <c:v>3911.2398552011259</c:v>
                </c:pt>
                <c:pt idx="106">
                  <c:v>3966.9704891675879</c:v>
                </c:pt>
                <c:pt idx="107">
                  <c:v>4022.8991743389092</c:v>
                </c:pt>
                <c:pt idx="108">
                  <c:v>4079.024540470492</c:v>
                </c:pt>
                <c:pt idx="109">
                  <c:v>4135.3452408518478</c:v>
                </c:pt>
                <c:pt idx="110">
                  <c:v>4191.8599516659378</c:v>
                </c:pt>
                <c:pt idx="111">
                  <c:v>4248.5673713723163</c:v>
                </c:pt>
              </c:numCache>
            </c:numRef>
          </c:val>
          <c:smooth val="0"/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强化辅助表!$AL$35:$AL$146</c:f>
              <c:numCache>
                <c:formatCode>General</c:formatCode>
                <c:ptCount val="112"/>
                <c:pt idx="0">
                  <c:v>12</c:v>
                </c:pt>
                <c:pt idx="1">
                  <c:v>30.168320988523881</c:v>
                </c:pt>
                <c:pt idx="2">
                  <c:v>51.731195478654669</c:v>
                </c:pt>
                <c:pt idx="3">
                  <c:v>75.84396593888421</c:v>
                </c:pt>
                <c:pt idx="4">
                  <c:v>102.04961058503548</c:v>
                </c:pt>
                <c:pt idx="5">
                  <c:v>130.05360919334413</c:v>
                </c:pt>
                <c:pt idx="6">
                  <c:v>159.64732251167175</c:v>
                </c:pt>
                <c:pt idx="7">
                  <c:v>190.67375912391091</c:v>
                </c:pt>
                <c:pt idx="8">
                  <c:v>223.00971547089847</c:v>
                </c:pt>
                <c:pt idx="9">
                  <c:v>256.55545074026804</c:v>
                </c:pt>
                <c:pt idx="10">
                  <c:v>291.22826125016502</c:v>
                </c:pt>
                <c:pt idx="11">
                  <c:v>326.95825232173718</c:v>
                </c:pt>
                <c:pt idx="12">
                  <c:v>363.68543164049697</c:v>
                </c:pt>
                <c:pt idx="13">
                  <c:v>401.35763920754209</c:v>
                </c:pt>
                <c:pt idx="14">
                  <c:v>439.92902947458811</c:v>
                </c:pt>
                <c:pt idx="15">
                  <c:v>479.35893077821902</c:v>
                </c:pt>
                <c:pt idx="16">
                  <c:v>519.6109702156582</c:v>
                </c:pt>
                <c:pt idx="17">
                  <c:v>560.65238999045346</c:v>
                </c:pt>
                <c:pt idx="18">
                  <c:v>602.45350488963322</c:v>
                </c:pt>
                <c:pt idx="19">
                  <c:v>644.98726577398565</c:v>
                </c:pt>
                <c:pt idx="20">
                  <c:v>688.2289040412594</c:v>
                </c:pt>
                <c:pt idx="21">
                  <c:v>732.1556388603891</c:v>
                </c:pt>
                <c:pt idx="22">
                  <c:v>776.74643371638831</c:v>
                </c:pt>
                <c:pt idx="23">
                  <c:v>821.98179215741288</c:v>
                </c:pt>
                <c:pt idx="24">
                  <c:v>867.84358504644877</c:v>
                </c:pt>
                <c:pt idx="25">
                  <c:v>644.98726577398565</c:v>
                </c:pt>
                <c:pt idx="26">
                  <c:v>688.2289040412594</c:v>
                </c:pt>
                <c:pt idx="27">
                  <c:v>732.1556388603891</c:v>
                </c:pt>
                <c:pt idx="28">
                  <c:v>776.74643371638831</c:v>
                </c:pt>
                <c:pt idx="29">
                  <c:v>821.98179215741288</c:v>
                </c:pt>
                <c:pt idx="30">
                  <c:v>867.84358504644877</c:v>
                </c:pt>
                <c:pt idx="31">
                  <c:v>644.98726577398565</c:v>
                </c:pt>
                <c:pt idx="32">
                  <c:v>688.2289040412594</c:v>
                </c:pt>
                <c:pt idx="33">
                  <c:v>732.1556388603891</c:v>
                </c:pt>
                <c:pt idx="34">
                  <c:v>776.74643371638831</c:v>
                </c:pt>
                <c:pt idx="35">
                  <c:v>821.98179215741288</c:v>
                </c:pt>
                <c:pt idx="36">
                  <c:v>867.84358504644877</c:v>
                </c:pt>
                <c:pt idx="37">
                  <c:v>914.31490338169772</c:v>
                </c:pt>
                <c:pt idx="38">
                  <c:v>961.37993205535008</c:v>
                </c:pt>
                <c:pt idx="39">
                  <c:v>1009.0238409007743</c:v>
                </c:pt>
                <c:pt idx="40">
                  <c:v>1057.2326901230404</c:v>
                </c:pt>
                <c:pt idx="41">
                  <c:v>1105.9933477799298</c:v>
                </c:pt>
                <c:pt idx="42">
                  <c:v>1155.2934174246668</c:v>
                </c:pt>
                <c:pt idx="43">
                  <c:v>1205.1211743694093</c:v>
                </c:pt>
                <c:pt idx="44">
                  <c:v>1255.465509303416</c:v>
                </c:pt>
                <c:pt idx="45">
                  <c:v>1306.3158782186908</c:v>
                </c:pt>
                <c:pt idx="46">
                  <c:v>1357.6622577716385</c:v>
                </c:pt>
                <c:pt idx="47">
                  <c:v>1409.4951053512568</c:v>
                </c:pt>
                <c:pt idx="48">
                  <c:v>1461.8053232399482</c:v>
                </c:pt>
                <c:pt idx="49">
                  <c:v>1514.584226347642</c:v>
                </c:pt>
                <c:pt idx="50">
                  <c:v>1567.8235130777866</c:v>
                </c:pt>
                <c:pt idx="51">
                  <c:v>1621.5152389483296</c:v>
                </c:pt>
                <c:pt idx="52">
                  <c:v>1675.6517926444449</c:v>
                </c:pt>
                <c:pt idx="53">
                  <c:v>1730.2258742247263</c:v>
                </c:pt>
                <c:pt idx="54">
                  <c:v>1785.2304752403033</c:v>
                </c:pt>
                <c:pt idx="55">
                  <c:v>1840.6588605581655</c:v>
                </c:pt>
                <c:pt idx="56">
                  <c:v>1896.5045517070616</c:v>
                </c:pt>
                <c:pt idx="57">
                  <c:v>1952.7613115872659</c:v>
                </c:pt>
                <c:pt idx="58">
                  <c:v>2009.423130405178</c:v>
                </c:pt>
                <c:pt idx="59">
                  <c:v>2066.4842127105794</c:v>
                </c:pt>
                <c:pt idx="60">
                  <c:v>2123.9389654288107</c:v>
                </c:pt>
                <c:pt idx="61">
                  <c:v>2181.781986792716</c:v>
                </c:pt>
                <c:pt idx="62">
                  <c:v>2240.0080560899669</c:v>
                </c:pt>
                <c:pt idx="63">
                  <c:v>2298.6121241508563</c:v>
                </c:pt>
                <c:pt idx="64">
                  <c:v>2357.5893045097855</c:v>
                </c:pt>
                <c:pt idx="65">
                  <c:v>2416.9348651809237</c:v>
                </c:pt>
                <c:pt idx="66">
                  <c:v>2476.6442209946945</c:v>
                </c:pt>
                <c:pt idx="67">
                  <c:v>2536.7129264473201</c:v>
                </c:pt>
                <c:pt idx="68">
                  <c:v>2597.1366690205214</c:v>
                </c:pt>
                <c:pt idx="69">
                  <c:v>2657.9112629327042</c:v>
                </c:pt>
                <c:pt idx="70">
                  <c:v>2719.0326432867714</c:v>
                </c:pt>
                <c:pt idx="71">
                  <c:v>2780.496860583085</c:v>
                </c:pt>
                <c:pt idx="72">
                  <c:v>2842.3000755690878</c:v>
                </c:pt>
                <c:pt idx="73">
                  <c:v>2904.4385543996714</c:v>
                </c:pt>
                <c:pt idx="74">
                  <c:v>2966.9086640848868</c:v>
                </c:pt>
                <c:pt idx="75">
                  <c:v>3029.7068682035997</c:v>
                </c:pt>
                <c:pt idx="76">
                  <c:v>3092.8297228636038</c:v>
                </c:pt>
                <c:pt idx="77">
                  <c:v>3156.273872890506</c:v>
                </c:pt>
                <c:pt idx="78">
                  <c:v>3220.0360482290698</c:v>
                </c:pt>
                <c:pt idx="79">
                  <c:v>3284.1130605422477</c:v>
                </c:pt>
                <c:pt idx="80">
                  <c:v>3348.5017999941956</c:v>
                </c:pt>
                <c:pt idx="81">
                  <c:v>3413.1992322049064</c:v>
                </c:pt>
                <c:pt idx="82">
                  <c:v>3478.2023953648454</c:v>
                </c:pt>
                <c:pt idx="83">
                  <c:v>3543.5083974991667</c:v>
                </c:pt>
                <c:pt idx="84">
                  <c:v>3609.1144138716691</c:v>
                </c:pt>
                <c:pt idx="85">
                  <c:v>3675.017684519642</c:v>
                </c:pt>
                <c:pt idx="86">
                  <c:v>3741.2155119111912</c:v>
                </c:pt>
                <c:pt idx="87">
                  <c:v>3807.7052587175644</c:v>
                </c:pt>
                <c:pt idx="88">
                  <c:v>3874.4843456932072</c:v>
                </c:pt>
                <c:pt idx="89">
                  <c:v>3941.5502496571571</c:v>
                </c:pt>
                <c:pt idx="90">
                  <c:v>4008.9005015696034</c:v>
                </c:pt>
                <c:pt idx="91">
                  <c:v>4076.5326846980179</c:v>
                </c:pt>
                <c:pt idx="92">
                  <c:v>4144.4444328675909</c:v>
                </c:pt>
                <c:pt idx="93">
                  <c:v>4212.6334287910886</c:v>
                </c:pt>
                <c:pt idx="94">
                  <c:v>4281.0974024736879</c:v>
                </c:pt>
                <c:pt idx="95">
                  <c:v>4349.8341296884082</c:v>
                </c:pt>
                <c:pt idx="96">
                  <c:v>4418.8414305183651</c:v>
                </c:pt>
                <c:pt idx="97">
                  <c:v>4488.1171679620384</c:v>
                </c:pt>
                <c:pt idx="98">
                  <c:v>4557.659246598243</c:v>
                </c:pt>
                <c:pt idx="99">
                  <c:v>4627.465611307447</c:v>
                </c:pt>
                <c:pt idx="100">
                  <c:v>4697.5342460466109</c:v>
                </c:pt>
                <c:pt idx="101">
                  <c:v>4767.8631726746025</c:v>
                </c:pt>
                <c:pt idx="102">
                  <c:v>4838.4504498255801</c:v>
                </c:pt>
                <c:pt idx="103">
                  <c:v>4909.2941718279617</c:v>
                </c:pt>
                <c:pt idx="104">
                  <c:v>4980.3924676665338</c:v>
                </c:pt>
                <c:pt idx="105">
                  <c:v>5051.7434999856578</c:v>
                </c:pt>
                <c:pt idx="106">
                  <c:v>5123.3454641314038</c:v>
                </c:pt>
                <c:pt idx="107">
                  <c:v>5195.1965872308137</c:v>
                </c:pt>
                <c:pt idx="108">
                  <c:v>5267.2951273063854</c:v>
                </c:pt>
                <c:pt idx="109">
                  <c:v>5339.6393724241443</c:v>
                </c:pt>
                <c:pt idx="110">
                  <c:v>5412.227639873644</c:v>
                </c:pt>
                <c:pt idx="111">
                  <c:v>5485.0582753785075</c:v>
                </c:pt>
              </c:numCache>
            </c:numRef>
          </c:val>
          <c:smooth val="0"/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强化辅助表!$AM$35:$AM$146</c:f>
              <c:numCache>
                <c:formatCode>General</c:formatCode>
                <c:ptCount val="112"/>
                <c:pt idx="0">
                  <c:v>12</c:v>
                </c:pt>
                <c:pt idx="1">
                  <c:v>30.315054284299173</c:v>
                </c:pt>
                <c:pt idx="2">
                  <c:v>52.130556801274949</c:v>
                </c:pt>
                <c:pt idx="3">
                  <c:v>76.583543021667154</c:v>
                </c:pt>
                <c:pt idx="4">
                  <c:v>103.20580884409657</c:v>
                </c:pt>
                <c:pt idx="5">
                  <c:v>131.69505494178262</c:v>
                </c:pt>
                <c:pt idx="6">
                  <c:v>161.83681602603119</c:v>
                </c:pt>
                <c:pt idx="7">
                  <c:v>193.46952199881673</c:v>
                </c:pt>
                <c:pt idx="8">
                  <c:v>226.46624603424613</c:v>
                </c:pt>
                <c:pt idx="9">
                  <c:v>260.7241414636494</c:v>
                </c:pt>
                <c:pt idx="10">
                  <c:v>296.1578619381221</c:v>
                </c:pt>
                <c:pt idx="11">
                  <c:v>332.69522829449187</c:v>
                </c:pt>
                <c:pt idx="12">
                  <c:v>370.27424756532162</c:v>
                </c:pt>
                <c:pt idx="13">
                  <c:v>408.84098858560617</c:v>
                </c:pt>
                <c:pt idx="14">
                  <c:v>448.34802334739175</c:v>
                </c:pt>
                <c:pt idx="15">
                  <c:v>488.75325514596199</c:v>
                </c:pt>
                <c:pt idx="16">
                  <c:v>530.01901899108555</c:v>
                </c:pt>
                <c:pt idx="17">
                  <c:v>572.11137850746843</c:v>
                </c:pt>
                <c:pt idx="18">
                  <c:v>614.99956773326494</c:v>
                </c:pt>
                <c:pt idx="19">
                  <c:v>658.65554180815207</c:v>
                </c:pt>
                <c:pt idx="20">
                  <c:v>703.05361086520884</c:v>
                </c:pt>
                <c:pt idx="21">
                  <c:v>748.17013844801306</c:v>
                </c:pt>
                <c:pt idx="22">
                  <c:v>793.98329063490439</c:v>
                </c:pt>
                <c:pt idx="23">
                  <c:v>840.472825489569</c:v>
                </c:pt>
                <c:pt idx="24">
                  <c:v>887.61991493035021</c:v>
                </c:pt>
                <c:pt idx="25">
                  <c:v>658.65554180815207</c:v>
                </c:pt>
                <c:pt idx="26">
                  <c:v>703.05361086520884</c:v>
                </c:pt>
                <c:pt idx="27">
                  <c:v>748.17013844801306</c:v>
                </c:pt>
                <c:pt idx="28">
                  <c:v>793.98329063490439</c:v>
                </c:pt>
                <c:pt idx="29">
                  <c:v>840.472825489569</c:v>
                </c:pt>
                <c:pt idx="30">
                  <c:v>887.61991493035021</c:v>
                </c:pt>
                <c:pt idx="31">
                  <c:v>658.65554180815207</c:v>
                </c:pt>
                <c:pt idx="32">
                  <c:v>703.05361086520884</c:v>
                </c:pt>
                <c:pt idx="33">
                  <c:v>748.17013844801306</c:v>
                </c:pt>
                <c:pt idx="34">
                  <c:v>793.98329063490439</c:v>
                </c:pt>
                <c:pt idx="35">
                  <c:v>840.472825489569</c:v>
                </c:pt>
                <c:pt idx="36">
                  <c:v>887.61991493035021</c:v>
                </c:pt>
                <c:pt idx="37">
                  <c:v>935.40699291839678</c:v>
                </c:pt>
                <c:pt idx="38">
                  <c:v>983.8176252049808</c:v>
                </c:pt>
                <c:pt idx="39">
                  <c:v>1032.8363968849326</c:v>
                </c:pt>
                <c:pt idx="40">
                  <c:v>1082.4488147682077</c:v>
                </c:pt>
                <c:pt idx="41">
                  <c:v>1132.6412221695343</c:v>
                </c:pt>
                <c:pt idx="42">
                  <c:v>1183.4007241724396</c:v>
                </c:pt>
                <c:pt idx="43">
                  <c:v>1234.7151217814803</c:v>
                </c:pt>
                <c:pt idx="44">
                  <c:v>1286.5728536591178</c:v>
                </c:pt>
                <c:pt idx="45">
                  <c:v>1338.9629443688136</c:v>
                </c:pt>
                <c:pt idx="46">
                  <c:v>1391.8749582266501</c:v>
                </c:pt>
                <c:pt idx="47">
                  <c:v>1445.2989580099286</c:v>
                </c:pt>
                <c:pt idx="48">
                  <c:v>1499.2254678900656</c:v>
                </c:pt>
                <c:pt idx="49">
                  <c:v>1553.6454400545379</c:v>
                </c:pt>
                <c:pt idx="50">
                  <c:v>1608.5502245627774</c:v>
                </c:pt>
                <c:pt idx="51">
                  <c:v>1663.9315420473854</c:v>
                </c:pt>
                <c:pt idx="52">
                  <c:v>1719.7814589273125</c:v>
                </c:pt>
                <c:pt idx="53">
                  <c:v>1776.0923648459454</c:v>
                </c:pt>
                <c:pt idx="54">
                  <c:v>1832.8569520859107</c:v>
                </c:pt>
                <c:pt idx="55">
                  <c:v>1890.068196745261</c:v>
                </c:pt>
                <c:pt idx="56">
                  <c:v>1947.7193414875442</c:v>
                </c:pt>
                <c:pt idx="57">
                  <c:v>2005.8038797019672</c:v>
                </c:pt>
                <c:pt idx="58">
                  <c:v>2064.3155409300866</c:v>
                </c:pt>
                <c:pt idx="59">
                  <c:v>2123.2482774328837</c:v>
                </c:pt>
                <c:pt idx="60">
                  <c:v>2182.5962517869557</c:v>
                </c:pt>
                <c:pt idx="61">
                  <c:v>2242.3538254115497</c:v>
                </c:pt>
                <c:pt idx="62">
                  <c:v>2302.5155479392333</c:v>
                </c:pt>
                <c:pt idx="63">
                  <c:v>2363.0761473528528</c:v>
                </c:pt>
                <c:pt idx="64">
                  <c:v>2424.0305208197328</c:v>
                </c:pt>
                <c:pt idx="65">
                  <c:v>2485.3737261616088</c:v>
                </c:pt>
                <c:pt idx="66">
                  <c:v>2547.1009739051815</c:v>
                </c:pt>
                <c:pt idx="67">
                  <c:v>2609.2076198638947</c:v>
                </c:pt>
                <c:pt idx="68">
                  <c:v>2671.6891582065427</c:v>
                </c:pt>
                <c:pt idx="69">
                  <c:v>2734.5412149727922</c:v>
                </c:pt>
                <c:pt idx="70">
                  <c:v>2797.75954199951</c:v>
                </c:pt>
                <c:pt idx="71">
                  <c:v>2861.3400112253653</c:v>
                </c:pt>
                <c:pt idx="72">
                  <c:v>2925.2786093442237</c:v>
                </c:pt>
                <c:pt idx="73">
                  <c:v>2989.5714327805399</c:v>
                </c:pt>
                <c:pt idx="74">
                  <c:v>3054.2146829625171</c:v>
                </c:pt>
                <c:pt idx="75">
                  <c:v>3119.2046618708855</c:v>
                </c:pt>
                <c:pt idx="76">
                  <c:v>3184.5377678431869</c:v>
                </c:pt>
                <c:pt idx="77">
                  <c:v>3250.2104916151525</c:v>
                </c:pt>
                <c:pt idx="78">
                  <c:v>3316.2194125824144</c:v>
                </c:pt>
                <c:pt idx="79">
                  <c:v>3382.5611952671379</c:v>
                </c:pt>
                <c:pt idx="80">
                  <c:v>3449.2325859755056</c:v>
                </c:pt>
                <c:pt idx="81">
                  <c:v>3516.23040963313</c:v>
                </c:pt>
                <c:pt idx="82">
                  <c:v>3583.5515667864638</c:v>
                </c:pt>
                <c:pt idx="83">
                  <c:v>3651.1930307593366</c:v>
                </c:pt>
                <c:pt idx="84">
                  <c:v>3719.1518449544983</c:v>
                </c:pt>
                <c:pt idx="85">
                  <c:v>3787.4251202909322</c:v>
                </c:pt>
                <c:pt idx="86">
                  <c:v>3856.0100327682862</c:v>
                </c:pt>
                <c:pt idx="87">
                  <c:v>3924.9038211506013</c:v>
                </c:pt>
                <c:pt idx="88">
                  <c:v>3994.1037847618882</c:v>
                </c:pt>
                <c:pt idx="89">
                  <c:v>4063.6072813868541</c:v>
                </c:pt>
                <c:pt idx="90">
                  <c:v>4133.4117252704509</c:v>
                </c:pt>
                <c:pt idx="91">
                  <c:v>4203.5145852103415</c:v>
                </c:pt>
                <c:pt idx="92">
                  <c:v>4273.9133827369751</c:v>
                </c:pt>
                <c:pt idx="93">
                  <c:v>4344.6056903760618</c:v>
                </c:pt>
                <c:pt idx="94">
                  <c:v>4415.5891299889227</c:v>
                </c:pt>
                <c:pt idx="95">
                  <c:v>4486.8613711861753</c:v>
                </c:pt>
                <c:pt idx="96">
                  <c:v>4558.4201298107982</c:v>
                </c:pt>
                <c:pt idx="97">
                  <c:v>4630.263166486624</c:v>
                </c:pt>
                <c:pt idx="98">
                  <c:v>4702.388285228898</c:v>
                </c:pt>
                <c:pt idx="99">
                  <c:v>4774.7933321133387</c:v>
                </c:pt>
                <c:pt idx="100">
                  <c:v>4847.4761940008102</c:v>
                </c:pt>
                <c:pt idx="101">
                  <c:v>4920.4347973145304</c:v>
                </c:pt>
                <c:pt idx="102">
                  <c:v>4993.6671068671731</c:v>
                </c:pt>
                <c:pt idx="103">
                  <c:v>5067.1711247352541</c:v>
                </c:pt>
                <c:pt idx="104">
                  <c:v>5140.9448891784423</c:v>
                </c:pt>
                <c:pt idx="105">
                  <c:v>5214.9864736015015</c:v>
                </c:pt>
                <c:pt idx="106">
                  <c:v>5289.2939855567838</c:v>
                </c:pt>
                <c:pt idx="107">
                  <c:v>5363.8655657852123</c:v>
                </c:pt>
                <c:pt idx="108">
                  <c:v>5438.6993872939893</c:v>
                </c:pt>
                <c:pt idx="109">
                  <c:v>5513.7936544691302</c:v>
                </c:pt>
                <c:pt idx="110">
                  <c:v>5589.1466022212499</c:v>
                </c:pt>
                <c:pt idx="111">
                  <c:v>5664.7564951630884</c:v>
                </c:pt>
              </c:numCache>
            </c:numRef>
          </c:val>
          <c:smooth val="0"/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强化辅助表!$AN$35:$AN$146</c:f>
              <c:numCache>
                <c:formatCode>General</c:formatCode>
                <c:ptCount val="112"/>
                <c:pt idx="0">
                  <c:v>12</c:v>
                </c:pt>
                <c:pt idx="1">
                  <c:v>30.378158255286721</c:v>
                </c:pt>
                <c:pt idx="2">
                  <c:v>52.302654058684254</c:v>
                </c:pt>
                <c:pt idx="3">
                  <c:v>76.90270824860373</c:v>
                </c:pt>
                <c:pt idx="4">
                  <c:v>103.70532380576739</c:v>
                </c:pt>
                <c:pt idx="5">
                  <c:v>132.40485851385205</c:v>
                </c:pt>
                <c:pt idx="6">
                  <c:v>162.7843387346098</c:v>
                </c:pt>
                <c:pt idx="7">
                  <c:v>194.6802201196856</c:v>
                </c:pt>
                <c:pt idx="8">
                  <c:v>227.96396846520003</c:v>
                </c:pt>
                <c:pt idx="9">
                  <c:v>262.53139487394645</c:v>
                </c:pt>
                <c:pt idx="10">
                  <c:v>298.29600991133134</c:v>
                </c:pt>
                <c:pt idx="11">
                  <c:v>335.18464547522029</c:v>
                </c:pt>
                <c:pt idx="12">
                  <c:v>373.13444191310975</c:v>
                </c:pt>
                <c:pt idx="13">
                  <c:v>412.09070029684796</c:v>
                </c:pt>
                <c:pt idx="14">
                  <c:v>452.00530625474045</c:v>
                </c:pt>
                <c:pt idx="15">
                  <c:v>492.83554466415535</c:v>
                </c:pt>
                <c:pt idx="16">
                  <c:v>534.54318953631559</c:v>
                </c:pt>
                <c:pt idx="17">
                  <c:v>577.09379254491967</c:v>
                </c:pt>
                <c:pt idx="18">
                  <c:v>620.45611807070588</c:v>
                </c:pt>
                <c:pt idx="19">
                  <c:v>664.60168837182573</c:v>
                </c:pt>
                <c:pt idx="20">
                  <c:v>709.5044129173308</c:v>
                </c:pt>
                <c:pt idx="21">
                  <c:v>755.14028300058317</c:v>
                </c:pt>
                <c:pt idx="22">
                  <c:v>801.48711766091674</c:v>
                </c:pt>
                <c:pt idx="23">
                  <c:v>848.52435041570197</c:v>
                </c:pt>
                <c:pt idx="24">
                  <c:v>896.23284880492201</c:v>
                </c:pt>
                <c:pt idx="25">
                  <c:v>664.60168837182573</c:v>
                </c:pt>
                <c:pt idx="26">
                  <c:v>709.5044129173308</c:v>
                </c:pt>
                <c:pt idx="27">
                  <c:v>755.14028300058317</c:v>
                </c:pt>
                <c:pt idx="28">
                  <c:v>801.48711766091674</c:v>
                </c:pt>
                <c:pt idx="29">
                  <c:v>848.52435041570197</c:v>
                </c:pt>
                <c:pt idx="30">
                  <c:v>896.23284880492201</c:v>
                </c:pt>
                <c:pt idx="31">
                  <c:v>664.60168837182573</c:v>
                </c:pt>
                <c:pt idx="32">
                  <c:v>709.5044129173308</c:v>
                </c:pt>
                <c:pt idx="33">
                  <c:v>755.14028300058317</c:v>
                </c:pt>
                <c:pt idx="34">
                  <c:v>801.48711766091674</c:v>
                </c:pt>
                <c:pt idx="35">
                  <c:v>848.52435041570197</c:v>
                </c:pt>
                <c:pt idx="36">
                  <c:v>896.23284880492201</c:v>
                </c:pt>
                <c:pt idx="37">
                  <c:v>944.59476057787833</c:v>
                </c:pt>
                <c:pt idx="38">
                  <c:v>993.59338170668025</c:v>
                </c:pt>
                <c:pt idx="39">
                  <c:v>1043.2130424291313</c:v>
                </c:pt>
                <c:pt idx="40">
                  <c:v>1093.4390082973316</c:v>
                </c:pt>
                <c:pt idx="41">
                  <c:v>1144.2573938029873</c:v>
                </c:pt>
                <c:pt idx="42">
                  <c:v>1195.6550866120722</c:v>
                </c:pt>
                <c:pt idx="43">
                  <c:v>1247.6196808031787</c:v>
                </c:pt>
                <c:pt idx="44">
                  <c:v>1300.1394177898512</c:v>
                </c:pt>
                <c:pt idx="45">
                  <c:v>1353.2031338349934</c:v>
                </c:pt>
                <c:pt idx="46">
                  <c:v>1406.8002132483703</c:v>
                </c:pt>
                <c:pt idx="47">
                  <c:v>1460.9205465060982</c:v>
                </c:pt>
                <c:pt idx="48">
                  <c:v>1515.5544926513921</c:v>
                </c:pt>
                <c:pt idx="49">
                  <c:v>1570.692845434397</c:v>
                </c:pt>
                <c:pt idx="50">
                  <c:v>1626.3268027301324</c:v>
                </c:pt>
                <c:pt idx="51">
                  <c:v>1682.4479388408395</c:v>
                </c:pt>
                <c:pt idx="52">
                  <c:v>1739.0481793450131</c:v>
                </c:pt>
                <c:pt idx="53">
                  <c:v>1796.1197782022477</c:v>
                </c:pt>
                <c:pt idx="54">
                  <c:v>1853.6552968624464</c:v>
                </c:pt>
                <c:pt idx="55">
                  <c:v>1911.6475851611433</c:v>
                </c:pt>
                <c:pt idx="56">
                  <c:v>1970.0897638109427</c:v>
                </c:pt>
                <c:pt idx="57">
                  <c:v>2028.9752083230787</c:v>
                </c:pt>
                <c:pt idx="58">
                  <c:v>2088.2975342135578</c:v>
                </c:pt>
                <c:pt idx="59">
                  <c:v>2148.050583366045</c:v>
                </c:pt>
                <c:pt idx="60">
                  <c:v>2208.2284114386821</c:v>
                </c:pt>
                <c:pt idx="61">
                  <c:v>2268.8252762151988</c:v>
                </c:pt>
                <c:pt idx="62">
                  <c:v>2329.835626811966</c:v>
                </c:pt>
                <c:pt idx="63">
                  <c:v>2391.2540936624559</c:v>
                </c:pt>
                <c:pt idx="64">
                  <c:v>2453.0754792092166</c:v>
                </c:pt>
                <c:pt idx="65">
                  <c:v>2515.2947492409203</c:v>
                </c:pt>
                <c:pt idx="66">
                  <c:v>2577.9070248185872</c:v>
                </c:pt>
                <c:pt idx="67">
                  <c:v>2640.9075747409438</c:v>
                </c:pt>
                <c:pt idx="68">
                  <c:v>2704.2918085038573</c:v>
                </c:pt>
                <c:pt idx="69">
                  <c:v>2768.0552697133407</c:v>
                </c:pt>
                <c:pt idx="70">
                  <c:v>2832.1936299155554</c:v>
                </c:pt>
                <c:pt idx="71">
                  <c:v>2896.7026828107555</c:v>
                </c:pt>
                <c:pt idx="72">
                  <c:v>2961.5783388213263</c:v>
                </c:pt>
                <c:pt idx="73">
                  <c:v>3026.816619986671</c:v>
                </c:pt>
                <c:pt idx="74">
                  <c:v>3092.413655160417</c:v>
                </c:pt>
                <c:pt idx="75">
                  <c:v>3158.3656754874364</c:v>
                </c:pt>
                <c:pt idx="76">
                  <c:v>3224.669010140281</c:v>
                </c:pt>
                <c:pt idx="77">
                  <c:v>3291.3200822963672</c:v>
                </c:pt>
                <c:pt idx="78">
                  <c:v>3358.3154053388844</c:v>
                </c:pt>
                <c:pt idx="79">
                  <c:v>3425.6515792657819</c:v>
                </c:pt>
                <c:pt idx="80">
                  <c:v>3493.3252872925732</c:v>
                </c:pt>
                <c:pt idx="81">
                  <c:v>3561.3332926358421</c:v>
                </c:pt>
                <c:pt idx="82">
                  <c:v>3629.6724354653161</c:v>
                </c:pt>
                <c:pt idx="83">
                  <c:v>3698.3396300135182</c:v>
                </c:pt>
                <c:pt idx="84">
                  <c:v>3767.3318618326825</c:v>
                </c:pt>
                <c:pt idx="85">
                  <c:v>3836.6461851895647</c:v>
                </c:pt>
                <c:pt idx="86">
                  <c:v>3906.2797205894112</c:v>
                </c:pt>
                <c:pt idx="87">
                  <c:v>3976.2296524210601</c:v>
                </c:pt>
                <c:pt idx="88">
                  <c:v>4046.4932267157255</c:v>
                </c:pt>
                <c:pt idx="89">
                  <c:v>4117.0677490125363</c:v>
                </c:pt>
                <c:pt idx="90">
                  <c:v>4187.9505823245254</c:v>
                </c:pt>
                <c:pt idx="91">
                  <c:v>4259.1391451989957</c:v>
                </c:pt>
                <c:pt idx="92">
                  <c:v>4330.6309098668917</c:v>
                </c:pt>
                <c:pt idx="93">
                  <c:v>4402.4234004759219</c:v>
                </c:pt>
                <c:pt idx="94">
                  <c:v>4474.5141914027663</c:v>
                </c:pt>
                <c:pt idx="95">
                  <c:v>4546.9009056398609</c:v>
                </c:pt>
                <c:pt idx="96">
                  <c:v>4619.5812132526098</c:v>
                </c:pt>
                <c:pt idx="97">
                  <c:v>4692.5528299031585</c:v>
                </c:pt>
                <c:pt idx="98">
                  <c:v>4765.8135154371748</c:v>
                </c:pt>
                <c:pt idx="99">
                  <c:v>4839.3610725301605</c:v>
                </c:pt>
                <c:pt idx="100">
                  <c:v>4913.1933453901838</c:v>
                </c:pt>
                <c:pt idx="101">
                  <c:v>4987.3082185141056</c:v>
                </c:pt>
                <c:pt idx="102">
                  <c:v>5061.7036154944371</c:v>
                </c:pt>
                <c:pt idx="103">
                  <c:v>5136.3774978743158</c:v>
                </c:pt>
                <c:pt idx="104">
                  <c:v>5211.3278640481121</c:v>
                </c:pt>
                <c:pt idx="105">
                  <c:v>5286.5527482053767</c:v>
                </c:pt>
                <c:pt idx="106">
                  <c:v>5362.0502193160046</c:v>
                </c:pt>
                <c:pt idx="107">
                  <c:v>5437.8183801545583</c:v>
                </c:pt>
                <c:pt idx="108">
                  <c:v>5513.8553663618568</c:v>
                </c:pt>
                <c:pt idx="109">
                  <c:v>5590.1593455420589</c:v>
                </c:pt>
                <c:pt idx="110">
                  <c:v>5666.7285163934766</c:v>
                </c:pt>
                <c:pt idx="111">
                  <c:v>5743.5611078716665</c:v>
                </c:pt>
              </c:numCache>
            </c:numRef>
          </c:val>
          <c:smooth val="0"/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强化辅助表!$AO$35:$AO$146</c:f>
              <c:numCache>
                <c:formatCode>General</c:formatCode>
                <c:ptCount val="112"/>
                <c:pt idx="0">
                  <c:v>14</c:v>
                </c:pt>
                <c:pt idx="1">
                  <c:v>35.196374486611191</c:v>
                </c:pt>
                <c:pt idx="2">
                  <c:v>60.353061391763781</c:v>
                </c:pt>
                <c:pt idx="3">
                  <c:v>88.484626928698248</c:v>
                </c:pt>
                <c:pt idx="4">
                  <c:v>119.05787901587473</c:v>
                </c:pt>
                <c:pt idx="5">
                  <c:v>151.72921072556815</c:v>
                </c:pt>
                <c:pt idx="6">
                  <c:v>186.25520959695035</c:v>
                </c:pt>
                <c:pt idx="7">
                  <c:v>222.45271897789607</c:v>
                </c:pt>
                <c:pt idx="8">
                  <c:v>260.17800138271491</c:v>
                </c:pt>
                <c:pt idx="9">
                  <c:v>299.3146925303127</c:v>
                </c:pt>
                <c:pt idx="10">
                  <c:v>339.76630479185923</c:v>
                </c:pt>
                <c:pt idx="11">
                  <c:v>381.45129437536002</c:v>
                </c:pt>
                <c:pt idx="12">
                  <c:v>424.29967024724647</c:v>
                </c:pt>
                <c:pt idx="13">
                  <c:v>468.25057907546579</c:v>
                </c:pt>
                <c:pt idx="14">
                  <c:v>513.25053438701946</c:v>
                </c:pt>
                <c:pt idx="15">
                  <c:v>559.25208590792226</c:v>
                </c:pt>
                <c:pt idx="16">
                  <c:v>606.21279858493449</c:v>
                </c:pt>
                <c:pt idx="17">
                  <c:v>654.09445498886237</c:v>
                </c:pt>
                <c:pt idx="18">
                  <c:v>702.86242237123884</c:v>
                </c:pt>
                <c:pt idx="19">
                  <c:v>752.48514340298334</c:v>
                </c:pt>
                <c:pt idx="20">
                  <c:v>802.93372138146924</c:v>
                </c:pt>
                <c:pt idx="21">
                  <c:v>854.18157867045397</c:v>
                </c:pt>
                <c:pt idx="22">
                  <c:v>906.20417266911966</c:v>
                </c:pt>
                <c:pt idx="23">
                  <c:v>958.97875751698166</c:v>
                </c:pt>
                <c:pt idx="24">
                  <c:v>1012.4841825541903</c:v>
                </c:pt>
                <c:pt idx="25">
                  <c:v>752.48514340298334</c:v>
                </c:pt>
                <c:pt idx="26">
                  <c:v>802.93372138146924</c:v>
                </c:pt>
                <c:pt idx="27">
                  <c:v>854.18157867045397</c:v>
                </c:pt>
                <c:pt idx="28">
                  <c:v>906.20417266911966</c:v>
                </c:pt>
                <c:pt idx="29">
                  <c:v>958.97875751698166</c:v>
                </c:pt>
                <c:pt idx="30">
                  <c:v>1012.4841825541903</c:v>
                </c:pt>
                <c:pt idx="31">
                  <c:v>752.48514340298334</c:v>
                </c:pt>
                <c:pt idx="32">
                  <c:v>802.93372138146924</c:v>
                </c:pt>
                <c:pt idx="33">
                  <c:v>854.18157867045397</c:v>
                </c:pt>
                <c:pt idx="34">
                  <c:v>906.20417266911966</c:v>
                </c:pt>
                <c:pt idx="35">
                  <c:v>958.97875751698166</c:v>
                </c:pt>
                <c:pt idx="36">
                  <c:v>1012.4841825541903</c:v>
                </c:pt>
                <c:pt idx="37">
                  <c:v>1066.7007206119806</c:v>
                </c:pt>
                <c:pt idx="38">
                  <c:v>1121.6099207312418</c:v>
                </c:pt>
                <c:pt idx="39">
                  <c:v>1177.1944810509035</c:v>
                </c:pt>
                <c:pt idx="40">
                  <c:v>1233.4381384768803</c:v>
                </c:pt>
                <c:pt idx="41">
                  <c:v>1290.3255724099181</c:v>
                </c:pt>
                <c:pt idx="42">
                  <c:v>1347.842320328778</c:v>
                </c:pt>
                <c:pt idx="43">
                  <c:v>1405.9747034309776</c:v>
                </c:pt>
                <c:pt idx="44">
                  <c:v>1464.7097608539852</c:v>
                </c:pt>
                <c:pt idx="45">
                  <c:v>1524.0351912551394</c:v>
                </c:pt>
                <c:pt idx="46">
                  <c:v>1583.9393007335782</c:v>
                </c:pt>
                <c:pt idx="47">
                  <c:v>1644.4109562431331</c:v>
                </c:pt>
                <c:pt idx="48">
                  <c:v>1705.4395437799394</c:v>
                </c:pt>
                <c:pt idx="49">
                  <c:v>1767.0149307389158</c:v>
                </c:pt>
                <c:pt idx="50">
                  <c:v>1829.1274319240845</c:v>
                </c:pt>
                <c:pt idx="51">
                  <c:v>1891.7677787730513</c:v>
                </c:pt>
                <c:pt idx="52">
                  <c:v>1954.927091418519</c:v>
                </c:pt>
                <c:pt idx="53">
                  <c:v>2018.5968532621807</c:v>
                </c:pt>
                <c:pt idx="54">
                  <c:v>2082.7688877803539</c:v>
                </c:pt>
                <c:pt idx="55">
                  <c:v>2147.4353373178601</c:v>
                </c:pt>
                <c:pt idx="56">
                  <c:v>2212.5886436582387</c:v>
                </c:pt>
                <c:pt idx="57">
                  <c:v>2278.2215301851438</c:v>
                </c:pt>
                <c:pt idx="58">
                  <c:v>2344.3269854727077</c:v>
                </c:pt>
                <c:pt idx="59">
                  <c:v>2410.898248162343</c:v>
                </c:pt>
                <c:pt idx="60">
                  <c:v>2477.9287930002788</c:v>
                </c:pt>
                <c:pt idx="61">
                  <c:v>2545.4123179248354</c:v>
                </c:pt>
                <c:pt idx="62">
                  <c:v>2613.3427321049612</c:v>
                </c:pt>
                <c:pt idx="63">
                  <c:v>2681.714144842666</c:v>
                </c:pt>
                <c:pt idx="64">
                  <c:v>2750.5208552614163</c:v>
                </c:pt>
                <c:pt idx="65">
                  <c:v>2819.7573427110774</c:v>
                </c:pt>
                <c:pt idx="66">
                  <c:v>2889.4182578271434</c:v>
                </c:pt>
                <c:pt idx="67">
                  <c:v>2959.4984141885402</c:v>
                </c:pt>
                <c:pt idx="68">
                  <c:v>3029.9927805239413</c:v>
                </c:pt>
                <c:pt idx="69">
                  <c:v>3100.8964734214883</c:v>
                </c:pt>
                <c:pt idx="70">
                  <c:v>3172.2047505012333</c:v>
                </c:pt>
                <c:pt idx="71">
                  <c:v>3243.9130040135992</c:v>
                </c:pt>
                <c:pt idx="72">
                  <c:v>3316.0167548306026</c:v>
                </c:pt>
                <c:pt idx="73">
                  <c:v>3388.5116467996168</c:v>
                </c:pt>
                <c:pt idx="74">
                  <c:v>3461.393441432368</c:v>
                </c:pt>
                <c:pt idx="75">
                  <c:v>3534.6580129041999</c:v>
                </c:pt>
                <c:pt idx="76">
                  <c:v>3608.301343340871</c:v>
                </c:pt>
                <c:pt idx="77">
                  <c:v>3682.3195183722569</c:v>
                </c:pt>
                <c:pt idx="78">
                  <c:v>3756.7087229339149</c:v>
                </c:pt>
                <c:pt idx="79">
                  <c:v>3831.4652372992891</c:v>
                </c:pt>
                <c:pt idx="80">
                  <c:v>3906.5854333265615</c:v>
                </c:pt>
                <c:pt idx="81">
                  <c:v>3982.0657709057241</c:v>
                </c:pt>
                <c:pt idx="82">
                  <c:v>4057.9027945923199</c:v>
                </c:pt>
                <c:pt idx="83">
                  <c:v>4134.0931304156938</c:v>
                </c:pt>
                <c:pt idx="84">
                  <c:v>4210.6334828502804</c:v>
                </c:pt>
                <c:pt idx="85">
                  <c:v>4287.5206319395829</c:v>
                </c:pt>
                <c:pt idx="86">
                  <c:v>4364.7514305630566</c:v>
                </c:pt>
                <c:pt idx="87">
                  <c:v>4442.3228018371583</c:v>
                </c:pt>
                <c:pt idx="88">
                  <c:v>4520.2317366420748</c:v>
                </c:pt>
                <c:pt idx="89">
                  <c:v>4598.4752912666827</c:v>
                </c:pt>
                <c:pt idx="90">
                  <c:v>4677.0505851645376</c:v>
                </c:pt>
                <c:pt idx="91">
                  <c:v>4755.954798814354</c:v>
                </c:pt>
                <c:pt idx="92">
                  <c:v>4835.185171678856</c:v>
                </c:pt>
                <c:pt idx="93">
                  <c:v>4914.7390002562706</c:v>
                </c:pt>
                <c:pt idx="94">
                  <c:v>4994.613636219302</c:v>
                </c:pt>
                <c:pt idx="95">
                  <c:v>5074.8064846364759</c:v>
                </c:pt>
                <c:pt idx="96">
                  <c:v>5155.3150022714262</c:v>
                </c:pt>
                <c:pt idx="97">
                  <c:v>5236.1366959557108</c:v>
                </c:pt>
                <c:pt idx="98">
                  <c:v>5317.2691210312832</c:v>
                </c:pt>
                <c:pt idx="99">
                  <c:v>5398.7098798586876</c:v>
                </c:pt>
                <c:pt idx="100">
                  <c:v>5480.456620387713</c:v>
                </c:pt>
                <c:pt idx="101">
                  <c:v>5562.507034787036</c:v>
                </c:pt>
                <c:pt idx="102">
                  <c:v>5644.8588581298436</c:v>
                </c:pt>
                <c:pt idx="103">
                  <c:v>5727.5098671326214</c:v>
                </c:pt>
                <c:pt idx="104">
                  <c:v>5810.4578789442894</c:v>
                </c:pt>
                <c:pt idx="105">
                  <c:v>5893.7007499832671</c:v>
                </c:pt>
                <c:pt idx="106">
                  <c:v>5977.2363748199705</c:v>
                </c:pt>
                <c:pt idx="107">
                  <c:v>6061.0626851026163</c:v>
                </c:pt>
                <c:pt idx="108">
                  <c:v>6145.1776485241162</c:v>
                </c:pt>
                <c:pt idx="109">
                  <c:v>6229.5792678281687</c:v>
                </c:pt>
                <c:pt idx="110">
                  <c:v>6314.2655798525848</c:v>
                </c:pt>
                <c:pt idx="111">
                  <c:v>6399.2346546082581</c:v>
                </c:pt>
              </c:numCache>
            </c:numRef>
          </c:val>
          <c:smooth val="0"/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强化辅助表!$AP$35:$AP$146</c:f>
              <c:numCache>
                <c:formatCode>General</c:formatCode>
                <c:ptCount val="112"/>
                <c:pt idx="0">
                  <c:v>14</c:v>
                </c:pt>
                <c:pt idx="1">
                  <c:v>35.367563331682369</c:v>
                </c:pt>
                <c:pt idx="2">
                  <c:v>60.818982934820774</c:v>
                </c:pt>
                <c:pt idx="3">
                  <c:v>89.347466858611682</c:v>
                </c:pt>
                <c:pt idx="4">
                  <c:v>120.40677698477933</c:v>
                </c:pt>
                <c:pt idx="5">
                  <c:v>153.64423076541306</c:v>
                </c:pt>
                <c:pt idx="6">
                  <c:v>188.8096186970364</c:v>
                </c:pt>
                <c:pt idx="7">
                  <c:v>225.71444233195285</c:v>
                </c:pt>
                <c:pt idx="8">
                  <c:v>264.21062037328716</c:v>
                </c:pt>
                <c:pt idx="9">
                  <c:v>304.17816504092434</c:v>
                </c:pt>
                <c:pt idx="10">
                  <c:v>345.51750559447578</c:v>
                </c:pt>
                <c:pt idx="11">
                  <c:v>388.1444330102405</c:v>
                </c:pt>
                <c:pt idx="12">
                  <c:v>431.98662215954187</c:v>
                </c:pt>
                <c:pt idx="13">
                  <c:v>476.98115334987386</c:v>
                </c:pt>
                <c:pt idx="14">
                  <c:v>523.07269390529029</c:v>
                </c:pt>
                <c:pt idx="15">
                  <c:v>570.21213100362229</c:v>
                </c:pt>
                <c:pt idx="16">
                  <c:v>618.35552215626649</c:v>
                </c:pt>
                <c:pt idx="17">
                  <c:v>667.46327492537989</c:v>
                </c:pt>
                <c:pt idx="18">
                  <c:v>717.49949568880913</c:v>
                </c:pt>
                <c:pt idx="19">
                  <c:v>768.431465442844</c:v>
                </c:pt>
                <c:pt idx="20">
                  <c:v>820.22921267607705</c:v>
                </c:pt>
                <c:pt idx="21">
                  <c:v>872.86516152268189</c:v>
                </c:pt>
                <c:pt idx="22">
                  <c:v>926.31383907405507</c:v>
                </c:pt>
                <c:pt idx="23">
                  <c:v>980.55162973783047</c:v>
                </c:pt>
                <c:pt idx="24">
                  <c:v>1035.5565674187419</c:v>
                </c:pt>
                <c:pt idx="25">
                  <c:v>768.431465442844</c:v>
                </c:pt>
                <c:pt idx="26">
                  <c:v>820.22921267607705</c:v>
                </c:pt>
                <c:pt idx="27">
                  <c:v>872.86516152268189</c:v>
                </c:pt>
                <c:pt idx="28">
                  <c:v>926.31383907405507</c:v>
                </c:pt>
                <c:pt idx="29">
                  <c:v>980.55162973783047</c:v>
                </c:pt>
                <c:pt idx="30">
                  <c:v>1035.5565674187419</c:v>
                </c:pt>
                <c:pt idx="31">
                  <c:v>768.431465442844</c:v>
                </c:pt>
                <c:pt idx="32">
                  <c:v>820.22921267607705</c:v>
                </c:pt>
                <c:pt idx="33">
                  <c:v>872.86516152268189</c:v>
                </c:pt>
                <c:pt idx="34">
                  <c:v>926.31383907405507</c:v>
                </c:pt>
                <c:pt idx="35">
                  <c:v>980.55162973783047</c:v>
                </c:pt>
                <c:pt idx="36">
                  <c:v>1035.5565674187419</c:v>
                </c:pt>
                <c:pt idx="37">
                  <c:v>1091.3081584047964</c:v>
                </c:pt>
                <c:pt idx="38">
                  <c:v>1147.7872294058109</c:v>
                </c:pt>
                <c:pt idx="39">
                  <c:v>1204.9757963657546</c:v>
                </c:pt>
                <c:pt idx="40">
                  <c:v>1262.8569505629091</c:v>
                </c:pt>
                <c:pt idx="41">
                  <c:v>1321.4147591977901</c:v>
                </c:pt>
                <c:pt idx="42">
                  <c:v>1380.6341782011796</c:v>
                </c:pt>
                <c:pt idx="43">
                  <c:v>1440.500975411727</c:v>
                </c:pt>
                <c:pt idx="44">
                  <c:v>1501.0016626023039</c:v>
                </c:pt>
                <c:pt idx="45">
                  <c:v>1562.1234350969492</c:v>
                </c:pt>
                <c:pt idx="46">
                  <c:v>1623.8541179310919</c:v>
                </c:pt>
                <c:pt idx="47">
                  <c:v>1686.1821176782501</c:v>
                </c:pt>
                <c:pt idx="48">
                  <c:v>1749.0963792050766</c:v>
                </c:pt>
                <c:pt idx="49">
                  <c:v>1812.5863467302943</c:v>
                </c:pt>
                <c:pt idx="50">
                  <c:v>1876.6419286565738</c:v>
                </c:pt>
                <c:pt idx="51">
                  <c:v>1941.2534657219496</c:v>
                </c:pt>
                <c:pt idx="52">
                  <c:v>2006.4117020818646</c:v>
                </c:pt>
                <c:pt idx="53">
                  <c:v>2072.1077589869365</c:v>
                </c:pt>
                <c:pt idx="54">
                  <c:v>2138.333110766896</c:v>
                </c:pt>
                <c:pt idx="55">
                  <c:v>2205.0795628694709</c:v>
                </c:pt>
                <c:pt idx="56">
                  <c:v>2272.3392317354683</c:v>
                </c:pt>
                <c:pt idx="57">
                  <c:v>2340.1045263189617</c:v>
                </c:pt>
                <c:pt idx="58">
                  <c:v>2408.3681310851011</c:v>
                </c:pt>
                <c:pt idx="59">
                  <c:v>2477.1229903383642</c:v>
                </c:pt>
                <c:pt idx="60">
                  <c:v>2546.3622937514483</c:v>
                </c:pt>
                <c:pt idx="61">
                  <c:v>2616.0794629801412</c:v>
                </c:pt>
                <c:pt idx="62">
                  <c:v>2686.2681392624386</c:v>
                </c:pt>
                <c:pt idx="63">
                  <c:v>2756.9221719116617</c:v>
                </c:pt>
                <c:pt idx="64">
                  <c:v>2828.0356076230219</c:v>
                </c:pt>
                <c:pt idx="65">
                  <c:v>2899.6026805218767</c:v>
                </c:pt>
                <c:pt idx="66">
                  <c:v>2971.6178028893783</c:v>
                </c:pt>
                <c:pt idx="67">
                  <c:v>3044.0755565078771</c:v>
                </c:pt>
                <c:pt idx="68">
                  <c:v>3116.9706845742999</c:v>
                </c:pt>
                <c:pt idx="69">
                  <c:v>3190.2980841349245</c:v>
                </c:pt>
                <c:pt idx="70">
                  <c:v>3264.0527989994284</c:v>
                </c:pt>
                <c:pt idx="71">
                  <c:v>3338.2300130962594</c:v>
                </c:pt>
                <c:pt idx="72">
                  <c:v>3412.8250442349276</c:v>
                </c:pt>
                <c:pt idx="73">
                  <c:v>3487.8333382439632</c:v>
                </c:pt>
                <c:pt idx="74">
                  <c:v>3563.2504634562702</c:v>
                </c:pt>
                <c:pt idx="75">
                  <c:v>3639.0721055160329</c:v>
                </c:pt>
                <c:pt idx="76">
                  <c:v>3715.2940624837179</c:v>
                </c:pt>
                <c:pt idx="77">
                  <c:v>3791.9122402176781</c:v>
                </c:pt>
                <c:pt idx="78">
                  <c:v>3868.9226480128168</c:v>
                </c:pt>
                <c:pt idx="79">
                  <c:v>3946.3213944783274</c:v>
                </c:pt>
                <c:pt idx="80">
                  <c:v>4024.1046836380897</c:v>
                </c:pt>
                <c:pt idx="81">
                  <c:v>4102.2688112386522</c:v>
                </c:pt>
                <c:pt idx="82">
                  <c:v>4180.8101612508744</c:v>
                </c:pt>
                <c:pt idx="83">
                  <c:v>4259.7252025525595</c:v>
                </c:pt>
                <c:pt idx="84">
                  <c:v>4339.010485780248</c:v>
                </c:pt>
                <c:pt idx="85">
                  <c:v>4418.6626403394212</c:v>
                </c:pt>
                <c:pt idx="86">
                  <c:v>4498.6783715630008</c:v>
                </c:pt>
                <c:pt idx="87">
                  <c:v>4579.0544580090354</c:v>
                </c:pt>
                <c:pt idx="88">
                  <c:v>4659.7877488888689</c:v>
                </c:pt>
                <c:pt idx="89">
                  <c:v>4740.875161617997</c:v>
                </c:pt>
                <c:pt idx="90">
                  <c:v>4822.3136794821921</c:v>
                </c:pt>
                <c:pt idx="91">
                  <c:v>4904.100349412065</c:v>
                </c:pt>
                <c:pt idx="92">
                  <c:v>4986.2322798598043</c:v>
                </c:pt>
                <c:pt idx="93">
                  <c:v>5068.7066387720715</c:v>
                </c:pt>
                <c:pt idx="94">
                  <c:v>5151.5206516537428</c:v>
                </c:pt>
                <c:pt idx="95">
                  <c:v>5234.671599717205</c:v>
                </c:pt>
                <c:pt idx="96">
                  <c:v>5318.1568181125976</c:v>
                </c:pt>
                <c:pt idx="97">
                  <c:v>5401.9736942343952</c:v>
                </c:pt>
                <c:pt idx="98">
                  <c:v>5486.1196661003814</c:v>
                </c:pt>
                <c:pt idx="99">
                  <c:v>5570.5922207988951</c:v>
                </c:pt>
                <c:pt idx="100">
                  <c:v>5655.3888930009452</c:v>
                </c:pt>
                <c:pt idx="101">
                  <c:v>5740.5072635336182</c:v>
                </c:pt>
                <c:pt idx="102">
                  <c:v>5825.9449580117025</c:v>
                </c:pt>
                <c:pt idx="103">
                  <c:v>5911.6996455244625</c:v>
                </c:pt>
                <c:pt idx="104">
                  <c:v>5997.7690373748492</c:v>
                </c:pt>
                <c:pt idx="105">
                  <c:v>6084.1508858684183</c:v>
                </c:pt>
                <c:pt idx="106">
                  <c:v>6170.8429831495805</c:v>
                </c:pt>
                <c:pt idx="107">
                  <c:v>6257.8431600827471</c:v>
                </c:pt>
                <c:pt idx="108">
                  <c:v>6345.1492851763214</c:v>
                </c:pt>
                <c:pt idx="109">
                  <c:v>6432.7592635473184</c:v>
                </c:pt>
                <c:pt idx="110">
                  <c:v>6520.6710359247918</c:v>
                </c:pt>
                <c:pt idx="111">
                  <c:v>6608.8825776902704</c:v>
                </c:pt>
              </c:numCache>
            </c:numRef>
          </c:val>
          <c:smooth val="0"/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强化辅助表!$AQ$35:$AQ$146</c:f>
              <c:numCache>
                <c:formatCode>General</c:formatCode>
                <c:ptCount val="112"/>
                <c:pt idx="0">
                  <c:v>14</c:v>
                </c:pt>
                <c:pt idx="1">
                  <c:v>35.441184631167836</c:v>
                </c:pt>
                <c:pt idx="2">
                  <c:v>61.019763068464961</c:v>
                </c:pt>
                <c:pt idx="3">
                  <c:v>89.719826290037687</c:v>
                </c:pt>
                <c:pt idx="4">
                  <c:v>120.98954444006196</c:v>
                </c:pt>
                <c:pt idx="5">
                  <c:v>154.47233493282738</c:v>
                </c:pt>
                <c:pt idx="6">
                  <c:v>189.91506185704478</c:v>
                </c:pt>
                <c:pt idx="7">
                  <c:v>227.12692347296652</c:v>
                </c:pt>
                <c:pt idx="8">
                  <c:v>265.95796320940002</c:v>
                </c:pt>
                <c:pt idx="9">
                  <c:v>306.28662735293756</c:v>
                </c:pt>
                <c:pt idx="10">
                  <c:v>348.01201156321986</c:v>
                </c:pt>
                <c:pt idx="11">
                  <c:v>391.04875305442368</c:v>
                </c:pt>
                <c:pt idx="12">
                  <c:v>435.32351556529471</c:v>
                </c:pt>
                <c:pt idx="13">
                  <c:v>480.77248367965592</c:v>
                </c:pt>
                <c:pt idx="14">
                  <c:v>527.33952396386383</c:v>
                </c:pt>
                <c:pt idx="15">
                  <c:v>574.97480210818117</c:v>
                </c:pt>
                <c:pt idx="16">
                  <c:v>623.63372112570153</c:v>
                </c:pt>
                <c:pt idx="17">
                  <c:v>673.27609130240626</c:v>
                </c:pt>
                <c:pt idx="18">
                  <c:v>723.86547108249022</c:v>
                </c:pt>
                <c:pt idx="19">
                  <c:v>775.36863643379661</c:v>
                </c:pt>
                <c:pt idx="20">
                  <c:v>827.75514840355254</c:v>
                </c:pt>
                <c:pt idx="21">
                  <c:v>880.99699683401366</c:v>
                </c:pt>
                <c:pt idx="22">
                  <c:v>935.06830393773623</c:v>
                </c:pt>
                <c:pt idx="23">
                  <c:v>989.94507548498564</c:v>
                </c:pt>
                <c:pt idx="24">
                  <c:v>1045.6049902724092</c:v>
                </c:pt>
                <c:pt idx="25">
                  <c:v>775.36863643379661</c:v>
                </c:pt>
                <c:pt idx="26">
                  <c:v>827.75514840355254</c:v>
                </c:pt>
                <c:pt idx="27">
                  <c:v>880.99699683401366</c:v>
                </c:pt>
                <c:pt idx="28">
                  <c:v>935.06830393773623</c:v>
                </c:pt>
                <c:pt idx="29">
                  <c:v>989.94507548498564</c:v>
                </c:pt>
                <c:pt idx="30">
                  <c:v>1045.6049902724092</c:v>
                </c:pt>
                <c:pt idx="31">
                  <c:v>775.36863643379661</c:v>
                </c:pt>
                <c:pt idx="32">
                  <c:v>827.75514840355254</c:v>
                </c:pt>
                <c:pt idx="33">
                  <c:v>880.99699683401366</c:v>
                </c:pt>
                <c:pt idx="34">
                  <c:v>935.06830393773623</c:v>
                </c:pt>
                <c:pt idx="35">
                  <c:v>989.94507548498564</c:v>
                </c:pt>
                <c:pt idx="36">
                  <c:v>1045.6049902724092</c:v>
                </c:pt>
                <c:pt idx="37">
                  <c:v>1102.0272206741915</c:v>
                </c:pt>
                <c:pt idx="38">
                  <c:v>1159.1922786577936</c:v>
                </c:pt>
                <c:pt idx="39">
                  <c:v>1217.0818828339864</c:v>
                </c:pt>
                <c:pt idx="40">
                  <c:v>1275.6788430135534</c:v>
                </c:pt>
                <c:pt idx="41">
                  <c:v>1334.9669594368186</c:v>
                </c:pt>
                <c:pt idx="42">
                  <c:v>1394.9309343807508</c:v>
                </c:pt>
                <c:pt idx="43">
                  <c:v>1455.556294270375</c:v>
                </c:pt>
                <c:pt idx="44">
                  <c:v>1516.8293207548263</c:v>
                </c:pt>
                <c:pt idx="45">
                  <c:v>1578.7369894741591</c:v>
                </c:pt>
                <c:pt idx="46">
                  <c:v>1641.2669154564319</c:v>
                </c:pt>
                <c:pt idx="47">
                  <c:v>1704.4073042571144</c:v>
                </c:pt>
                <c:pt idx="48">
                  <c:v>1768.1469080932909</c:v>
                </c:pt>
                <c:pt idx="49">
                  <c:v>1832.4749863401298</c:v>
                </c:pt>
                <c:pt idx="50">
                  <c:v>1897.3812698518211</c:v>
                </c:pt>
                <c:pt idx="51">
                  <c:v>1962.8559286476461</c:v>
                </c:pt>
                <c:pt idx="52">
                  <c:v>2028.8895425691819</c:v>
                </c:pt>
                <c:pt idx="53">
                  <c:v>2095.4730745692891</c:v>
                </c:pt>
                <c:pt idx="54">
                  <c:v>2162.5978463395209</c:v>
                </c:pt>
                <c:pt idx="55">
                  <c:v>2230.2555160213337</c:v>
                </c:pt>
                <c:pt idx="56">
                  <c:v>2298.4380577794332</c:v>
                </c:pt>
                <c:pt idx="57">
                  <c:v>2367.1377430435919</c:v>
                </c:pt>
                <c:pt idx="58">
                  <c:v>2436.3471232491511</c:v>
                </c:pt>
                <c:pt idx="59">
                  <c:v>2506.0590139270525</c:v>
                </c:pt>
                <c:pt idx="60">
                  <c:v>2576.2664800117959</c:v>
                </c:pt>
                <c:pt idx="61">
                  <c:v>2646.9628222510655</c:v>
                </c:pt>
                <c:pt idx="62">
                  <c:v>2718.1415646139603</c:v>
                </c:pt>
                <c:pt idx="63">
                  <c:v>2789.7964426061985</c:v>
                </c:pt>
                <c:pt idx="64">
                  <c:v>2861.9213924107526</c:v>
                </c:pt>
                <c:pt idx="65">
                  <c:v>2934.5105407810738</c:v>
                </c:pt>
                <c:pt idx="66">
                  <c:v>3007.5581956216847</c:v>
                </c:pt>
                <c:pt idx="67">
                  <c:v>3081.0588371977678</c:v>
                </c:pt>
                <c:pt idx="68">
                  <c:v>3155.0071099211668</c:v>
                </c:pt>
                <c:pt idx="69">
                  <c:v>3229.3978146655645</c:v>
                </c:pt>
                <c:pt idx="70">
                  <c:v>3304.2259015681479</c:v>
                </c:pt>
                <c:pt idx="71">
                  <c:v>3379.4864632792151</c:v>
                </c:pt>
                <c:pt idx="72">
                  <c:v>3455.1747286248806</c:v>
                </c:pt>
                <c:pt idx="73">
                  <c:v>3531.2860566511163</c:v>
                </c:pt>
                <c:pt idx="74">
                  <c:v>3607.8159310204865</c:v>
                </c:pt>
                <c:pt idx="75">
                  <c:v>3684.7599547353425</c:v>
                </c:pt>
                <c:pt idx="76">
                  <c:v>3762.1138451636612</c:v>
                </c:pt>
                <c:pt idx="77">
                  <c:v>3839.8734293457619</c:v>
                </c:pt>
                <c:pt idx="78">
                  <c:v>3918.0346395620318</c:v>
                </c:pt>
                <c:pt idx="79">
                  <c:v>3996.5935091434121</c:v>
                </c:pt>
                <c:pt idx="80">
                  <c:v>4075.5461685080022</c:v>
                </c:pt>
                <c:pt idx="81">
                  <c:v>4154.8888414084822</c:v>
                </c:pt>
                <c:pt idx="82">
                  <c:v>4234.6178413762027</c:v>
                </c:pt>
                <c:pt idx="83">
                  <c:v>4314.7295683491047</c:v>
                </c:pt>
                <c:pt idx="84">
                  <c:v>4395.2205054714632</c:v>
                </c:pt>
                <c:pt idx="85">
                  <c:v>4476.0872160544923</c:v>
                </c:pt>
                <c:pt idx="86">
                  <c:v>4557.3263406876458</c:v>
                </c:pt>
                <c:pt idx="87">
                  <c:v>4638.9345944912366</c:v>
                </c:pt>
                <c:pt idx="88">
                  <c:v>4720.9087645016798</c:v>
                </c:pt>
                <c:pt idx="89">
                  <c:v>4803.2457071812923</c:v>
                </c:pt>
                <c:pt idx="90">
                  <c:v>4885.942346045279</c:v>
                </c:pt>
                <c:pt idx="91">
                  <c:v>4968.9956693988279</c:v>
                </c:pt>
                <c:pt idx="92">
                  <c:v>5052.40272817804</c:v>
                </c:pt>
                <c:pt idx="93">
                  <c:v>5136.1606338885749</c:v>
                </c:pt>
                <c:pt idx="94">
                  <c:v>5220.2665566365613</c:v>
                </c:pt>
                <c:pt idx="95">
                  <c:v>5304.7177232465046</c:v>
                </c:pt>
                <c:pt idx="96">
                  <c:v>5389.5114154613784</c:v>
                </c:pt>
                <c:pt idx="97">
                  <c:v>5474.6449682203511</c:v>
                </c:pt>
                <c:pt idx="98">
                  <c:v>5560.1157680100368</c:v>
                </c:pt>
                <c:pt idx="99">
                  <c:v>5645.9212512851873</c:v>
                </c:pt>
                <c:pt idx="100">
                  <c:v>5732.0589029552148</c:v>
                </c:pt>
                <c:pt idx="101">
                  <c:v>5818.5262549331237</c:v>
                </c:pt>
                <c:pt idx="102">
                  <c:v>5905.3208847435099</c:v>
                </c:pt>
                <c:pt idx="103">
                  <c:v>5992.4404141867017</c:v>
                </c:pt>
                <c:pt idx="104">
                  <c:v>6079.882508056131</c:v>
                </c:pt>
                <c:pt idx="105">
                  <c:v>6167.6448729062722</c:v>
                </c:pt>
                <c:pt idx="106">
                  <c:v>6255.7252558686714</c:v>
                </c:pt>
                <c:pt idx="107">
                  <c:v>6344.1214435136508</c:v>
                </c:pt>
                <c:pt idx="108">
                  <c:v>6432.8312607554999</c:v>
                </c:pt>
                <c:pt idx="109">
                  <c:v>6521.8525697990681</c:v>
                </c:pt>
                <c:pt idx="110">
                  <c:v>6611.1832691257223</c:v>
                </c:pt>
                <c:pt idx="111">
                  <c:v>6700.8212925169437</c:v>
                </c:pt>
              </c:numCache>
            </c:numRef>
          </c:val>
          <c:smooth val="0"/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强化辅助表!$AR$35:$AR$146</c:f>
              <c:numCache>
                <c:formatCode>General</c:formatCode>
                <c:ptCount val="112"/>
                <c:pt idx="0">
                  <c:v>16</c:v>
                </c:pt>
                <c:pt idx="1">
                  <c:v>40.420072379065566</c:v>
                </c:pt>
                <c:pt idx="2">
                  <c:v>69.507409068366599</c:v>
                </c:pt>
                <c:pt idx="3">
                  <c:v>102.11139069555621</c:v>
                </c:pt>
                <c:pt idx="4">
                  <c:v>137.60774512546209</c:v>
                </c:pt>
                <c:pt idx="5">
                  <c:v>175.5934065890435</c:v>
                </c:pt>
                <c:pt idx="6">
                  <c:v>215.78242136804158</c:v>
                </c:pt>
                <c:pt idx="7">
                  <c:v>257.95936266508897</c:v>
                </c:pt>
                <c:pt idx="8">
                  <c:v>301.95499471232819</c:v>
                </c:pt>
                <c:pt idx="9">
                  <c:v>347.63218861819922</c:v>
                </c:pt>
                <c:pt idx="10">
                  <c:v>394.87714925082946</c:v>
                </c:pt>
                <c:pt idx="11">
                  <c:v>443.59363772598914</c:v>
                </c:pt>
                <c:pt idx="12">
                  <c:v>493.69899675376212</c:v>
                </c:pt>
                <c:pt idx="13">
                  <c:v>545.12131811414156</c:v>
                </c:pt>
                <c:pt idx="14">
                  <c:v>597.79736446318896</c:v>
                </c:pt>
                <c:pt idx="15">
                  <c:v>651.67100686128265</c:v>
                </c:pt>
                <c:pt idx="16">
                  <c:v>706.69202532144743</c:v>
                </c:pt>
                <c:pt idx="17">
                  <c:v>762.81517134329124</c:v>
                </c:pt>
                <c:pt idx="18">
                  <c:v>819.99942364435333</c:v>
                </c:pt>
                <c:pt idx="19">
                  <c:v>878.20738907753605</c:v>
                </c:pt>
                <c:pt idx="20">
                  <c:v>937.40481448694516</c:v>
                </c:pt>
                <c:pt idx="21">
                  <c:v>997.56018459735071</c:v>
                </c:pt>
                <c:pt idx="22">
                  <c:v>1058.6443875132059</c:v>
                </c:pt>
                <c:pt idx="23">
                  <c:v>1120.6304339860919</c:v>
                </c:pt>
                <c:pt idx="24">
                  <c:v>1183.4932199071336</c:v>
                </c:pt>
                <c:pt idx="25">
                  <c:v>878.20738907753605</c:v>
                </c:pt>
                <c:pt idx="26">
                  <c:v>937.40481448694516</c:v>
                </c:pt>
                <c:pt idx="27">
                  <c:v>997.56018459735071</c:v>
                </c:pt>
                <c:pt idx="28">
                  <c:v>1058.6443875132059</c:v>
                </c:pt>
                <c:pt idx="29">
                  <c:v>1120.6304339860919</c:v>
                </c:pt>
                <c:pt idx="30">
                  <c:v>1183.4932199071336</c:v>
                </c:pt>
                <c:pt idx="31">
                  <c:v>878.20738907753605</c:v>
                </c:pt>
                <c:pt idx="32">
                  <c:v>937.40481448694516</c:v>
                </c:pt>
                <c:pt idx="33">
                  <c:v>997.56018459735071</c:v>
                </c:pt>
                <c:pt idx="34">
                  <c:v>1058.6443875132059</c:v>
                </c:pt>
                <c:pt idx="35">
                  <c:v>1120.6304339860919</c:v>
                </c:pt>
                <c:pt idx="36">
                  <c:v>1183.4932199071336</c:v>
                </c:pt>
                <c:pt idx="37">
                  <c:v>1247.2093238911957</c:v>
                </c:pt>
                <c:pt idx="38">
                  <c:v>1311.7568336066411</c:v>
                </c:pt>
                <c:pt idx="39">
                  <c:v>1377.1151958465766</c:v>
                </c:pt>
                <c:pt idx="40">
                  <c:v>1443.2650863576105</c:v>
                </c:pt>
                <c:pt idx="41">
                  <c:v>1510.1882962260458</c:v>
                </c:pt>
                <c:pt idx="42">
                  <c:v>1577.8676322299195</c:v>
                </c:pt>
                <c:pt idx="43">
                  <c:v>1646.2868290419738</c:v>
                </c:pt>
                <c:pt idx="44">
                  <c:v>1715.4304715454903</c:v>
                </c:pt>
                <c:pt idx="45">
                  <c:v>1785.2839258250847</c:v>
                </c:pt>
                <c:pt idx="46">
                  <c:v>1855.8332776355335</c:v>
                </c:pt>
                <c:pt idx="47">
                  <c:v>1927.0652773465715</c:v>
                </c:pt>
                <c:pt idx="48">
                  <c:v>1998.9672905200875</c:v>
                </c:pt>
                <c:pt idx="49">
                  <c:v>2071.5272534060505</c:v>
                </c:pt>
                <c:pt idx="50">
                  <c:v>2144.7336327503699</c:v>
                </c:pt>
                <c:pt idx="51">
                  <c:v>2218.5753893965139</c:v>
                </c:pt>
                <c:pt idx="52">
                  <c:v>2293.0419452364167</c:v>
                </c:pt>
                <c:pt idx="53">
                  <c:v>2368.1231531279273</c:v>
                </c:pt>
                <c:pt idx="54">
                  <c:v>2443.809269447881</c:v>
                </c:pt>
                <c:pt idx="55">
                  <c:v>2520.0909289936812</c:v>
                </c:pt>
                <c:pt idx="56">
                  <c:v>2596.9591219833924</c:v>
                </c:pt>
                <c:pt idx="57">
                  <c:v>2674.4051729359562</c:v>
                </c:pt>
                <c:pt idx="58">
                  <c:v>2752.4207212401157</c:v>
                </c:pt>
                <c:pt idx="59">
                  <c:v>2830.9977032438446</c:v>
                </c:pt>
                <c:pt idx="60">
                  <c:v>2910.1283357159409</c:v>
                </c:pt>
                <c:pt idx="61">
                  <c:v>2989.8051005487328</c:v>
                </c:pt>
                <c:pt idx="62">
                  <c:v>3070.0207305856443</c:v>
                </c:pt>
                <c:pt idx="63">
                  <c:v>3150.7681964704707</c:v>
                </c:pt>
                <c:pt idx="64">
                  <c:v>3232.0406944263104</c:v>
                </c:pt>
                <c:pt idx="65">
                  <c:v>3313.831634882145</c:v>
                </c:pt>
                <c:pt idx="66">
                  <c:v>3396.134631873575</c:v>
                </c:pt>
                <c:pt idx="67">
                  <c:v>3478.9434931518595</c:v>
                </c:pt>
                <c:pt idx="68">
                  <c:v>3562.252210942057</c:v>
                </c:pt>
                <c:pt idx="69">
                  <c:v>3646.0549532970563</c:v>
                </c:pt>
                <c:pt idx="70">
                  <c:v>3730.3460559993468</c:v>
                </c:pt>
                <c:pt idx="71">
                  <c:v>3815.1200149671536</c:v>
                </c:pt>
                <c:pt idx="72">
                  <c:v>3900.3714791256316</c:v>
                </c:pt>
                <c:pt idx="73">
                  <c:v>3986.0952437073865</c:v>
                </c:pt>
                <c:pt idx="74">
                  <c:v>4072.2862439500232</c:v>
                </c:pt>
                <c:pt idx="75">
                  <c:v>4158.9395491611804</c:v>
                </c:pt>
                <c:pt idx="76">
                  <c:v>4246.0503571242489</c:v>
                </c:pt>
                <c:pt idx="77">
                  <c:v>4333.6139888202033</c:v>
                </c:pt>
                <c:pt idx="78">
                  <c:v>4421.6258834432192</c:v>
                </c:pt>
                <c:pt idx="79">
                  <c:v>4510.0815936895169</c:v>
                </c:pt>
                <c:pt idx="80">
                  <c:v>4598.9767813006738</c:v>
                </c:pt>
                <c:pt idx="81">
                  <c:v>4688.3072128441736</c:v>
                </c:pt>
                <c:pt idx="82">
                  <c:v>4778.0687557152851</c:v>
                </c:pt>
                <c:pt idx="83">
                  <c:v>4868.2573743457824</c:v>
                </c:pt>
                <c:pt idx="84">
                  <c:v>4958.8691266059977</c:v>
                </c:pt>
                <c:pt idx="85">
                  <c:v>5049.9001603879096</c:v>
                </c:pt>
                <c:pt idx="86">
                  <c:v>5141.346710357715</c:v>
                </c:pt>
                <c:pt idx="87">
                  <c:v>5233.2050948674687</c:v>
                </c:pt>
                <c:pt idx="88">
                  <c:v>5325.4717130158506</c:v>
                </c:pt>
                <c:pt idx="89">
                  <c:v>5418.1430418491391</c:v>
                </c:pt>
                <c:pt idx="90">
                  <c:v>5511.2156336939343</c:v>
                </c:pt>
                <c:pt idx="91">
                  <c:v>5604.6861136137886</c:v>
                </c:pt>
                <c:pt idx="92">
                  <c:v>5698.5511769826335</c:v>
                </c:pt>
                <c:pt idx="93">
                  <c:v>5792.8075871680821</c:v>
                </c:pt>
                <c:pt idx="94">
                  <c:v>5887.4521733185629</c:v>
                </c:pt>
                <c:pt idx="95">
                  <c:v>5982.4818282482338</c:v>
                </c:pt>
                <c:pt idx="96">
                  <c:v>6077.8935064143971</c:v>
                </c:pt>
                <c:pt idx="97">
                  <c:v>6173.6842219821656</c:v>
                </c:pt>
                <c:pt idx="98">
                  <c:v>6269.851046971864</c:v>
                </c:pt>
                <c:pt idx="99">
                  <c:v>6366.3911094844516</c:v>
                </c:pt>
                <c:pt idx="100">
                  <c:v>6463.3015920010803</c:v>
                </c:pt>
                <c:pt idx="101">
                  <c:v>6560.579729752707</c:v>
                </c:pt>
                <c:pt idx="102">
                  <c:v>6658.2228091562311</c:v>
                </c:pt>
                <c:pt idx="103">
                  <c:v>6756.2281663136719</c:v>
                </c:pt>
                <c:pt idx="104">
                  <c:v>6854.5931855712561</c:v>
                </c:pt>
                <c:pt idx="105">
                  <c:v>6953.3152981353351</c:v>
                </c:pt>
                <c:pt idx="106">
                  <c:v>7052.3919807423781</c:v>
                </c:pt>
                <c:pt idx="107">
                  <c:v>7151.8207543802828</c:v>
                </c:pt>
                <c:pt idx="108">
                  <c:v>7251.5991830586527</c:v>
                </c:pt>
                <c:pt idx="109">
                  <c:v>7351.7248726255066</c:v>
                </c:pt>
                <c:pt idx="110">
                  <c:v>7452.1954696283337</c:v>
                </c:pt>
                <c:pt idx="111">
                  <c:v>7553.0086602174515</c:v>
                </c:pt>
              </c:numCache>
            </c:numRef>
          </c:val>
          <c:smooth val="0"/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强化辅助表!$AS$35:$AS$146</c:f>
              <c:numCache>
                <c:formatCode>General</c:formatCode>
                <c:ptCount val="112"/>
                <c:pt idx="0">
                  <c:v>16</c:v>
                </c:pt>
                <c:pt idx="1">
                  <c:v>40.504211007048958</c:v>
                </c:pt>
                <c:pt idx="2">
                  <c:v>69.736872078245668</c:v>
                </c:pt>
                <c:pt idx="3">
                  <c:v>102.53694433147164</c:v>
                </c:pt>
                <c:pt idx="4">
                  <c:v>138.27376507435653</c:v>
                </c:pt>
                <c:pt idx="5">
                  <c:v>176.53981135180271</c:v>
                </c:pt>
                <c:pt idx="6">
                  <c:v>217.04578497947975</c:v>
                </c:pt>
                <c:pt idx="7">
                  <c:v>259.57362682624745</c:v>
                </c:pt>
                <c:pt idx="8">
                  <c:v>303.95195795360002</c:v>
                </c:pt>
                <c:pt idx="9">
                  <c:v>350.0418598319286</c:v>
                </c:pt>
                <c:pt idx="10">
                  <c:v>397.72801321510843</c:v>
                </c:pt>
                <c:pt idx="11">
                  <c:v>446.91286063362708</c:v>
                </c:pt>
                <c:pt idx="12">
                  <c:v>497.51258921747967</c:v>
                </c:pt>
                <c:pt idx="13">
                  <c:v>549.45426706246394</c:v>
                </c:pt>
                <c:pt idx="14">
                  <c:v>602.67374167298726</c:v>
                </c:pt>
                <c:pt idx="15">
                  <c:v>657.1140595522071</c:v>
                </c:pt>
                <c:pt idx="16">
                  <c:v>712.72425271508746</c:v>
                </c:pt>
                <c:pt idx="17">
                  <c:v>769.45839005989285</c:v>
                </c:pt>
                <c:pt idx="18">
                  <c:v>827.27482409427455</c:v>
                </c:pt>
                <c:pt idx="19">
                  <c:v>886.1355844957676</c:v>
                </c:pt>
                <c:pt idx="20">
                  <c:v>946.0058838897744</c:v>
                </c:pt>
                <c:pt idx="21">
                  <c:v>1006.8537106674441</c:v>
                </c:pt>
                <c:pt idx="22">
                  <c:v>1068.6494902145557</c:v>
                </c:pt>
                <c:pt idx="23">
                  <c:v>1131.3658005542693</c:v>
                </c:pt>
                <c:pt idx="24">
                  <c:v>1194.9771317398961</c:v>
                </c:pt>
                <c:pt idx="25">
                  <c:v>886.1355844957676</c:v>
                </c:pt>
                <c:pt idx="26">
                  <c:v>946.0058838897744</c:v>
                </c:pt>
                <c:pt idx="27">
                  <c:v>1006.8537106674441</c:v>
                </c:pt>
                <c:pt idx="28">
                  <c:v>1068.6494902145557</c:v>
                </c:pt>
                <c:pt idx="29">
                  <c:v>1131.3658005542693</c:v>
                </c:pt>
                <c:pt idx="30">
                  <c:v>1194.9771317398961</c:v>
                </c:pt>
                <c:pt idx="31">
                  <c:v>886.1355844957676</c:v>
                </c:pt>
                <c:pt idx="32">
                  <c:v>946.0058838897744</c:v>
                </c:pt>
                <c:pt idx="33">
                  <c:v>1006.8537106674441</c:v>
                </c:pt>
                <c:pt idx="34">
                  <c:v>1068.6494902145557</c:v>
                </c:pt>
                <c:pt idx="35">
                  <c:v>1131.3658005542693</c:v>
                </c:pt>
                <c:pt idx="36">
                  <c:v>1194.9771317398961</c:v>
                </c:pt>
                <c:pt idx="37">
                  <c:v>1259.4596807705045</c:v>
                </c:pt>
                <c:pt idx="38">
                  <c:v>1324.791175608907</c:v>
                </c:pt>
                <c:pt idx="39">
                  <c:v>1390.9507232388416</c:v>
                </c:pt>
                <c:pt idx="40">
                  <c:v>1457.9186777297755</c:v>
                </c:pt>
                <c:pt idx="41">
                  <c:v>1525.6765250706499</c:v>
                </c:pt>
                <c:pt idx="42">
                  <c:v>1594.2067821494295</c:v>
                </c:pt>
                <c:pt idx="43">
                  <c:v>1663.4929077375714</c:v>
                </c:pt>
                <c:pt idx="44">
                  <c:v>1733.5192237198016</c:v>
                </c:pt>
                <c:pt idx="45">
                  <c:v>1804.2708451133246</c:v>
                </c:pt>
                <c:pt idx="46">
                  <c:v>1875.7336176644935</c:v>
                </c:pt>
                <c:pt idx="47">
                  <c:v>1947.8940620081307</c:v>
                </c:pt>
                <c:pt idx="48">
                  <c:v>2020.7393235351897</c:v>
                </c:pt>
                <c:pt idx="49">
                  <c:v>2094.2571272458626</c:v>
                </c:pt>
                <c:pt idx="50">
                  <c:v>2168.4357369735098</c:v>
                </c:pt>
                <c:pt idx="51">
                  <c:v>2243.2639184544528</c:v>
                </c:pt>
                <c:pt idx="52">
                  <c:v>2318.7309057933508</c:v>
                </c:pt>
                <c:pt idx="53">
                  <c:v>2394.8263709363305</c:v>
                </c:pt>
                <c:pt idx="54">
                  <c:v>2471.5403958165953</c:v>
                </c:pt>
                <c:pt idx="55">
                  <c:v>2548.8634468815244</c:v>
                </c:pt>
                <c:pt idx="56">
                  <c:v>2626.7863517479236</c:v>
                </c:pt>
                <c:pt idx="57">
                  <c:v>2705.300277764105</c:v>
                </c:pt>
                <c:pt idx="58">
                  <c:v>2784.3967122847439</c:v>
                </c:pt>
                <c:pt idx="59">
                  <c:v>2864.0674444880601</c:v>
                </c:pt>
                <c:pt idx="60">
                  <c:v>2944.3045485849098</c:v>
                </c:pt>
                <c:pt idx="61">
                  <c:v>3025.1003682869318</c:v>
                </c:pt>
                <c:pt idx="62">
                  <c:v>3106.4475024159547</c:v>
                </c:pt>
                <c:pt idx="63">
                  <c:v>3188.3387915499411</c:v>
                </c:pt>
                <c:pt idx="64">
                  <c:v>3270.7673056122885</c:v>
                </c:pt>
                <c:pt idx="65">
                  <c:v>3353.7263323212273</c:v>
                </c:pt>
                <c:pt idx="66">
                  <c:v>3437.2093664247827</c:v>
                </c:pt>
                <c:pt idx="67">
                  <c:v>3521.2100996545919</c:v>
                </c:pt>
                <c:pt idx="68">
                  <c:v>3605.7224113384764</c:v>
                </c:pt>
                <c:pt idx="69">
                  <c:v>3690.7403596177878</c:v>
                </c:pt>
                <c:pt idx="70">
                  <c:v>3776.2581732207404</c:v>
                </c:pt>
                <c:pt idx="71">
                  <c:v>3862.2702437476742</c:v>
                </c:pt>
                <c:pt idx="72">
                  <c:v>3948.7711184284349</c:v>
                </c:pt>
                <c:pt idx="73">
                  <c:v>4035.7554933155616</c:v>
                </c:pt>
                <c:pt idx="74">
                  <c:v>4123.218206880556</c:v>
                </c:pt>
                <c:pt idx="75">
                  <c:v>4211.1542339832486</c:v>
                </c:pt>
                <c:pt idx="76">
                  <c:v>4299.5586801870413</c:v>
                </c:pt>
                <c:pt idx="77">
                  <c:v>4388.4267763951566</c:v>
                </c:pt>
                <c:pt idx="78">
                  <c:v>4477.7538737851792</c:v>
                </c:pt>
                <c:pt idx="79">
                  <c:v>4567.5354390210423</c:v>
                </c:pt>
                <c:pt idx="80">
                  <c:v>4657.7670497234312</c:v>
                </c:pt>
                <c:pt idx="81">
                  <c:v>4748.4443901811228</c:v>
                </c:pt>
                <c:pt idx="82">
                  <c:v>4839.5632472870884</c:v>
                </c:pt>
                <c:pt idx="83">
                  <c:v>4931.1195066846913</c:v>
                </c:pt>
                <c:pt idx="84">
                  <c:v>5023.1091491102434</c:v>
                </c:pt>
                <c:pt idx="85">
                  <c:v>5115.5282469194199</c:v>
                </c:pt>
                <c:pt idx="86">
                  <c:v>5208.3729607858813</c:v>
                </c:pt>
                <c:pt idx="87">
                  <c:v>5301.6395365614135</c:v>
                </c:pt>
                <c:pt idx="88">
                  <c:v>5395.3243022876341</c:v>
                </c:pt>
                <c:pt idx="89">
                  <c:v>5489.4236653500484</c:v>
                </c:pt>
                <c:pt idx="90">
                  <c:v>5583.9341097660335</c:v>
                </c:pt>
                <c:pt idx="91">
                  <c:v>5678.852193598661</c:v>
                </c:pt>
                <c:pt idx="92">
                  <c:v>5774.1745464891883</c:v>
                </c:pt>
                <c:pt idx="93">
                  <c:v>5869.8978673012289</c:v>
                </c:pt>
                <c:pt idx="94">
                  <c:v>5966.0189218703554</c:v>
                </c:pt>
                <c:pt idx="95">
                  <c:v>6062.5345408531484</c:v>
                </c:pt>
                <c:pt idx="96">
                  <c:v>6159.441617670147</c:v>
                </c:pt>
                <c:pt idx="97">
                  <c:v>6256.7371065375446</c:v>
                </c:pt>
                <c:pt idx="98">
                  <c:v>6354.4180205828998</c:v>
                </c:pt>
                <c:pt idx="99">
                  <c:v>6452.481430040214</c:v>
                </c:pt>
                <c:pt idx="100">
                  <c:v>6550.9244605202457</c:v>
                </c:pt>
                <c:pt idx="101">
                  <c:v>6649.7442913521409</c:v>
                </c:pt>
                <c:pt idx="102">
                  <c:v>6748.9381539925826</c:v>
                </c:pt>
                <c:pt idx="103">
                  <c:v>6848.5033304990875</c:v>
                </c:pt>
                <c:pt idx="104">
                  <c:v>6948.4371520641498</c:v>
                </c:pt>
                <c:pt idx="105">
                  <c:v>7048.7369976071686</c:v>
                </c:pt>
                <c:pt idx="106">
                  <c:v>7149.4002924213391</c:v>
                </c:pt>
                <c:pt idx="107">
                  <c:v>7250.4245068727441</c:v>
                </c:pt>
                <c:pt idx="108">
                  <c:v>7351.807155149143</c:v>
                </c:pt>
                <c:pt idx="109">
                  <c:v>7453.5457940560782</c:v>
                </c:pt>
                <c:pt idx="110">
                  <c:v>7555.6380218579689</c:v>
                </c:pt>
                <c:pt idx="111">
                  <c:v>7658.0814771622217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807312"/>
        <c:axId val="304807872"/>
      </c:lineChart>
      <c:catAx>
        <c:axId val="304807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4807872"/>
        <c:crosses val="autoZero"/>
        <c:auto val="1"/>
        <c:lblAlgn val="ctr"/>
        <c:lblOffset val="100"/>
        <c:noMultiLvlLbl val="0"/>
      </c:catAx>
      <c:valAx>
        <c:axId val="3048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48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144780</xdr:colOff>
      <xdr:row>0</xdr:row>
      <xdr:rowOff>144780</xdr:rowOff>
    </xdr:from>
    <xdr:to>
      <xdr:col>55</xdr:col>
      <xdr:colOff>472440</xdr:colOff>
      <xdr:row>41</xdr:row>
      <xdr:rowOff>49530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6947;&#2085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sheetDataSet>
      <sheetData sheetId="0">
        <row r="18">
          <cell r="C18">
            <v>50</v>
          </cell>
          <cell r="E18">
            <v>0.1</v>
          </cell>
        </row>
        <row r="19">
          <cell r="C19">
            <v>500</v>
          </cell>
          <cell r="E19">
            <v>2E-3</v>
          </cell>
        </row>
      </sheetData>
      <sheetData sheetId="1"/>
      <sheetData sheetId="2"/>
      <sheetData sheetId="3">
        <row r="2">
          <cell r="M2">
            <v>50</v>
          </cell>
        </row>
        <row r="3">
          <cell r="M3">
            <v>56</v>
          </cell>
        </row>
        <row r="4">
          <cell r="M4">
            <v>62</v>
          </cell>
        </row>
        <row r="5">
          <cell r="M5">
            <v>68</v>
          </cell>
        </row>
        <row r="6">
          <cell r="M6">
            <v>74</v>
          </cell>
        </row>
        <row r="7">
          <cell r="M7">
            <v>80</v>
          </cell>
        </row>
        <row r="8">
          <cell r="M8">
            <v>86</v>
          </cell>
        </row>
        <row r="9">
          <cell r="M9">
            <v>92</v>
          </cell>
        </row>
        <row r="10">
          <cell r="M10">
            <v>98</v>
          </cell>
        </row>
        <row r="11">
          <cell r="M11">
            <v>104</v>
          </cell>
        </row>
        <row r="12">
          <cell r="M12">
            <v>110</v>
          </cell>
        </row>
        <row r="13">
          <cell r="M13">
            <v>116</v>
          </cell>
        </row>
        <row r="14">
          <cell r="M14">
            <v>122</v>
          </cell>
        </row>
        <row r="15">
          <cell r="M15">
            <v>128</v>
          </cell>
        </row>
        <row r="16">
          <cell r="M16">
            <v>134</v>
          </cell>
        </row>
        <row r="17">
          <cell r="M17">
            <v>140</v>
          </cell>
        </row>
        <row r="18">
          <cell r="M18">
            <v>146</v>
          </cell>
        </row>
        <row r="19">
          <cell r="M19">
            <v>152</v>
          </cell>
        </row>
        <row r="20">
          <cell r="M20">
            <v>158</v>
          </cell>
        </row>
        <row r="21">
          <cell r="M21">
            <v>182</v>
          </cell>
        </row>
        <row r="22">
          <cell r="M22">
            <v>210</v>
          </cell>
        </row>
        <row r="23">
          <cell r="M23">
            <v>239</v>
          </cell>
        </row>
        <row r="24">
          <cell r="M24">
            <v>270</v>
          </cell>
        </row>
        <row r="25">
          <cell r="M25">
            <v>302</v>
          </cell>
        </row>
        <row r="26">
          <cell r="M26">
            <v>335</v>
          </cell>
        </row>
        <row r="27">
          <cell r="M27">
            <v>370</v>
          </cell>
        </row>
        <row r="28">
          <cell r="M28">
            <v>406</v>
          </cell>
        </row>
        <row r="29">
          <cell r="M29">
            <v>443</v>
          </cell>
        </row>
        <row r="30">
          <cell r="M30">
            <v>482</v>
          </cell>
        </row>
        <row r="31">
          <cell r="M31">
            <v>522</v>
          </cell>
        </row>
        <row r="32">
          <cell r="M32">
            <v>563</v>
          </cell>
        </row>
        <row r="33">
          <cell r="M33">
            <v>606</v>
          </cell>
        </row>
        <row r="34">
          <cell r="M34">
            <v>651</v>
          </cell>
        </row>
        <row r="35">
          <cell r="M35">
            <v>696</v>
          </cell>
        </row>
        <row r="36">
          <cell r="M36">
            <v>743</v>
          </cell>
        </row>
        <row r="37">
          <cell r="M37">
            <v>791</v>
          </cell>
        </row>
        <row r="38">
          <cell r="M38">
            <v>841</v>
          </cell>
        </row>
        <row r="39">
          <cell r="M39">
            <v>892</v>
          </cell>
        </row>
        <row r="40">
          <cell r="M40">
            <v>944</v>
          </cell>
        </row>
        <row r="41">
          <cell r="M41">
            <v>998</v>
          </cell>
        </row>
        <row r="42">
          <cell r="M42">
            <v>1053</v>
          </cell>
        </row>
        <row r="43">
          <cell r="M43">
            <v>1110</v>
          </cell>
        </row>
        <row r="44">
          <cell r="M44">
            <v>1167</v>
          </cell>
        </row>
        <row r="45">
          <cell r="M45">
            <v>1226</v>
          </cell>
        </row>
        <row r="46">
          <cell r="M46">
            <v>1287</v>
          </cell>
        </row>
        <row r="47">
          <cell r="M47">
            <v>1349</v>
          </cell>
        </row>
        <row r="48">
          <cell r="M48">
            <v>1412</v>
          </cell>
        </row>
        <row r="49">
          <cell r="M49">
            <v>1477</v>
          </cell>
        </row>
        <row r="50">
          <cell r="M50">
            <v>1543</v>
          </cell>
        </row>
        <row r="51">
          <cell r="M51">
            <v>1610</v>
          </cell>
        </row>
        <row r="52">
          <cell r="M52">
            <v>1679</v>
          </cell>
        </row>
        <row r="53">
          <cell r="M53">
            <v>1749</v>
          </cell>
        </row>
        <row r="54">
          <cell r="M54">
            <v>1820</v>
          </cell>
        </row>
        <row r="55">
          <cell r="M55">
            <v>1893</v>
          </cell>
        </row>
        <row r="56">
          <cell r="M56">
            <v>1967</v>
          </cell>
        </row>
        <row r="57">
          <cell r="M57">
            <v>2042</v>
          </cell>
        </row>
        <row r="58">
          <cell r="M58">
            <v>2119</v>
          </cell>
        </row>
        <row r="59">
          <cell r="M59">
            <v>2198</v>
          </cell>
        </row>
        <row r="60">
          <cell r="M60">
            <v>2277</v>
          </cell>
        </row>
        <row r="61">
          <cell r="M61">
            <v>2358</v>
          </cell>
        </row>
        <row r="62">
          <cell r="M62">
            <v>2440</v>
          </cell>
        </row>
        <row r="63">
          <cell r="M63">
            <v>2524</v>
          </cell>
        </row>
        <row r="64">
          <cell r="M64">
            <v>2609</v>
          </cell>
        </row>
        <row r="65">
          <cell r="M65">
            <v>2695</v>
          </cell>
        </row>
        <row r="66">
          <cell r="M66">
            <v>2783</v>
          </cell>
        </row>
        <row r="67">
          <cell r="M67">
            <v>2872</v>
          </cell>
        </row>
        <row r="68">
          <cell r="M68">
            <v>2963</v>
          </cell>
        </row>
        <row r="69">
          <cell r="M69">
            <v>3054</v>
          </cell>
        </row>
        <row r="70">
          <cell r="M70">
            <v>3147</v>
          </cell>
        </row>
        <row r="71">
          <cell r="M71">
            <v>3242</v>
          </cell>
        </row>
        <row r="72">
          <cell r="M72">
            <v>3338</v>
          </cell>
        </row>
        <row r="73">
          <cell r="M73">
            <v>3435</v>
          </cell>
        </row>
        <row r="74">
          <cell r="M74">
            <v>3534</v>
          </cell>
        </row>
        <row r="75">
          <cell r="M75">
            <v>3634</v>
          </cell>
        </row>
        <row r="76">
          <cell r="M76">
            <v>3735</v>
          </cell>
        </row>
        <row r="77">
          <cell r="M77">
            <v>3838</v>
          </cell>
        </row>
        <row r="78">
          <cell r="M78">
            <v>3942</v>
          </cell>
        </row>
        <row r="79">
          <cell r="M79">
            <v>4047</v>
          </cell>
        </row>
        <row r="80">
          <cell r="M80">
            <v>4154</v>
          </cell>
        </row>
        <row r="81">
          <cell r="M81">
            <v>4262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C4">
            <v>5</v>
          </cell>
        </row>
      </sheetData>
      <sheetData sheetId="14">
        <row r="3">
          <cell r="B3">
            <v>1000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道具表"/>
      <sheetName val="D_合成表"/>
      <sheetName val="icon"/>
      <sheetName val="道具配置辅助表"/>
      <sheetName val="D_获取途径"/>
      <sheetName val="道具说明"/>
      <sheetName val="道具表价值评估"/>
    </sheetNames>
    <sheetDataSet>
      <sheetData sheetId="0">
        <row r="1">
          <cell r="A1" t="str">
            <v>道具ID</v>
          </cell>
          <cell r="B1" t="str">
            <v>道具名称</v>
          </cell>
        </row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马仔追债宝箱</v>
          </cell>
        </row>
        <row r="121">
          <cell r="A121">
            <v>86002</v>
          </cell>
          <cell r="B121" t="str">
            <v>马仔追债宝箱</v>
          </cell>
        </row>
        <row r="122">
          <cell r="A122">
            <v>86003</v>
          </cell>
          <cell r="B122" t="str">
            <v>马仔追债宝箱</v>
          </cell>
        </row>
        <row r="123">
          <cell r="A123">
            <v>86004</v>
          </cell>
          <cell r="B123" t="str">
            <v>马仔追债宝箱</v>
          </cell>
        </row>
        <row r="124">
          <cell r="A124">
            <v>86005</v>
          </cell>
          <cell r="B124" t="str">
            <v>马仔追债宝箱</v>
          </cell>
        </row>
        <row r="125">
          <cell r="A125">
            <v>86110</v>
          </cell>
          <cell r="B125" t="str">
            <v>马仔宝物礼包</v>
          </cell>
        </row>
        <row r="126">
          <cell r="A126">
            <v>86120</v>
          </cell>
          <cell r="B126" t="str">
            <v>马仔宝物礼包</v>
          </cell>
        </row>
        <row r="127">
          <cell r="A127">
            <v>86130</v>
          </cell>
          <cell r="B127" t="str">
            <v>马仔宝物礼包</v>
          </cell>
        </row>
        <row r="128">
          <cell r="A128">
            <v>86140</v>
          </cell>
          <cell r="B128" t="str">
            <v>马仔宝物礼包</v>
          </cell>
        </row>
        <row r="129">
          <cell r="A129">
            <v>86150</v>
          </cell>
          <cell r="B129" t="str">
            <v>马仔宝物礼包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部位材料宝箱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86023</v>
          </cell>
          <cell r="B137" t="str">
            <v>红色装备礼包</v>
          </cell>
        </row>
        <row r="138">
          <cell r="A138">
            <v>78214</v>
          </cell>
          <cell r="B138" t="str">
            <v>限时碎片(陈浩南)</v>
          </cell>
        </row>
        <row r="139">
          <cell r="A139">
            <v>78215</v>
          </cell>
          <cell r="B139" t="str">
            <v>限时碎片(山鸡)</v>
          </cell>
        </row>
        <row r="140">
          <cell r="A140">
            <v>78216</v>
          </cell>
          <cell r="B140" t="str">
            <v>限时碎片(大天二)</v>
          </cell>
        </row>
        <row r="141">
          <cell r="A141">
            <v>83309</v>
          </cell>
          <cell r="B141" t="str">
            <v>堂口贡献</v>
          </cell>
        </row>
        <row r="142">
          <cell r="A142">
            <v>86121</v>
          </cell>
          <cell r="B142" t="str">
            <v>马仔宝物碎片礼包</v>
          </cell>
        </row>
        <row r="143">
          <cell r="A143">
            <v>86131</v>
          </cell>
          <cell r="B143" t="str">
            <v>马仔宝物碎片礼包</v>
          </cell>
        </row>
        <row r="144">
          <cell r="A144">
            <v>86141</v>
          </cell>
          <cell r="B144" t="str">
            <v>马仔宝物碎片礼包</v>
          </cell>
        </row>
        <row r="145">
          <cell r="A145">
            <v>86151</v>
          </cell>
          <cell r="B145" t="str">
            <v>马仔宝物碎片礼包</v>
          </cell>
        </row>
        <row r="146">
          <cell r="A146">
            <v>86210</v>
          </cell>
          <cell r="B146" t="str">
            <v>命格福袋</v>
          </cell>
        </row>
        <row r="147">
          <cell r="A147">
            <v>86220</v>
          </cell>
          <cell r="B147" t="str">
            <v>命格福袋</v>
          </cell>
        </row>
        <row r="148">
          <cell r="A148">
            <v>86230</v>
          </cell>
          <cell r="B148" t="str">
            <v>命格福袋</v>
          </cell>
        </row>
        <row r="149">
          <cell r="A149">
            <v>86240</v>
          </cell>
          <cell r="B149" t="str">
            <v>命格福袋</v>
          </cell>
        </row>
        <row r="150">
          <cell r="A150">
            <v>86250</v>
          </cell>
          <cell r="B150" t="str">
            <v>命格福袋</v>
          </cell>
        </row>
        <row r="151">
          <cell r="A151">
            <v>86310</v>
          </cell>
          <cell r="B151" t="str">
            <v>马仔碎片福袋</v>
          </cell>
        </row>
        <row r="152">
          <cell r="A152">
            <v>86320</v>
          </cell>
          <cell r="B152" t="str">
            <v>马仔碎片福袋</v>
          </cell>
        </row>
        <row r="153">
          <cell r="A153">
            <v>86330</v>
          </cell>
          <cell r="B153" t="str">
            <v>马仔碎片福袋</v>
          </cell>
        </row>
        <row r="154">
          <cell r="A154">
            <v>86340</v>
          </cell>
          <cell r="B154" t="str">
            <v>马仔碎片福袋</v>
          </cell>
        </row>
        <row r="155">
          <cell r="A155">
            <v>86350</v>
          </cell>
          <cell r="B155" t="str">
            <v>马仔碎片福袋</v>
          </cell>
        </row>
        <row r="156">
          <cell r="A156">
            <v>86400</v>
          </cell>
          <cell r="B156" t="str">
            <v>装备升星石福袋</v>
          </cell>
        </row>
        <row r="157">
          <cell r="A157">
            <v>91400</v>
          </cell>
          <cell r="B157" t="str">
            <v>马仔经验圣水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definedNames>
      <definedName name="躶体属性参考系" refersTo="='4、人物躶体&amp;总属性表'!$B$4:$F$104"/>
      <definedName name="装备基础属性表" refersTo="='装备规划'!$D$51:$Q$76"/>
    </definedNames>
    <sheetDataSet>
      <sheetData sheetId="0">
        <row r="1">
          <cell r="B1" t="str">
            <v>属性类型</v>
          </cell>
          <cell r="C1" t="str">
            <v>属性ID</v>
          </cell>
        </row>
        <row r="2"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</row>
        <row r="9">
          <cell r="B9" t="str">
            <v>闪避值</v>
          </cell>
          <cell r="C9">
            <v>7</v>
          </cell>
        </row>
        <row r="10">
          <cell r="B10" t="str">
            <v>暴击值</v>
          </cell>
          <cell r="C10">
            <v>8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  <row r="27">
          <cell r="B27" t="str">
            <v>职业名称</v>
          </cell>
          <cell r="C27" t="str">
            <v>职业ID</v>
          </cell>
        </row>
        <row r="28">
          <cell r="B28" t="str">
            <v>全职业</v>
          </cell>
        </row>
        <row r="29">
          <cell r="B29" t="str">
            <v>剑手</v>
          </cell>
          <cell r="C29">
            <v>1</v>
          </cell>
        </row>
        <row r="30">
          <cell r="B30" t="str">
            <v>拳师</v>
          </cell>
          <cell r="C30">
            <v>2</v>
          </cell>
        </row>
        <row r="31">
          <cell r="B31" t="str">
            <v>枪手</v>
          </cell>
          <cell r="C31">
            <v>3</v>
          </cell>
        </row>
        <row r="32">
          <cell r="B32" t="str">
            <v>牧师</v>
          </cell>
          <cell r="C32">
            <v>4</v>
          </cell>
        </row>
      </sheetData>
      <sheetData sheetId="1"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</row>
      </sheetData>
      <sheetData sheetId="2"/>
      <sheetData sheetId="3"/>
      <sheetData sheetId="4"/>
      <sheetData sheetId="5">
        <row r="4">
          <cell r="B4" t="str">
            <v>等级</v>
          </cell>
          <cell r="C4" t="str">
            <v>生命</v>
          </cell>
          <cell r="D4" t="str">
            <v>攻击</v>
          </cell>
          <cell r="E4" t="str">
            <v>防御</v>
          </cell>
          <cell r="F4" t="str">
            <v>标准属性价值参考系</v>
          </cell>
        </row>
        <row r="5">
          <cell r="B5">
            <v>1</v>
          </cell>
          <cell r="C5">
            <v>495.65999999999997</v>
          </cell>
          <cell r="D5">
            <v>118.80000000000001</v>
          </cell>
          <cell r="E5">
            <v>52.800000000000004</v>
          </cell>
          <cell r="F5">
            <v>191.42640000000003</v>
          </cell>
        </row>
        <row r="6">
          <cell r="B6">
            <v>2</v>
          </cell>
          <cell r="C6">
            <v>577.43999999999994</v>
          </cell>
          <cell r="D6">
            <v>129.6</v>
          </cell>
          <cell r="E6">
            <v>57.6</v>
          </cell>
          <cell r="F6">
            <v>207.0264</v>
          </cell>
        </row>
        <row r="7">
          <cell r="B7">
            <v>3</v>
          </cell>
          <cell r="C7">
            <v>665.34000000000015</v>
          </cell>
          <cell r="D7">
            <v>140.4</v>
          </cell>
          <cell r="E7">
            <v>62.400000000000006</v>
          </cell>
          <cell r="F7">
            <v>222.62640000000002</v>
          </cell>
        </row>
        <row r="8">
          <cell r="B8">
            <v>4</v>
          </cell>
          <cell r="C8">
            <v>759.3599999999999</v>
          </cell>
          <cell r="D8">
            <v>151.19999999999999</v>
          </cell>
          <cell r="E8">
            <v>67.2</v>
          </cell>
          <cell r="F8">
            <v>238.22640000000001</v>
          </cell>
        </row>
        <row r="9">
          <cell r="B9">
            <v>5</v>
          </cell>
          <cell r="C9">
            <v>859.50000000000011</v>
          </cell>
          <cell r="D9">
            <v>162</v>
          </cell>
          <cell r="E9">
            <v>72</v>
          </cell>
          <cell r="F9">
            <v>253.82640000000001</v>
          </cell>
        </row>
        <row r="10">
          <cell r="B10">
            <v>6</v>
          </cell>
          <cell r="C10">
            <v>965.76</v>
          </cell>
          <cell r="D10">
            <v>172.79999999999998</v>
          </cell>
          <cell r="E10">
            <v>76.8</v>
          </cell>
          <cell r="F10">
            <v>269.4264</v>
          </cell>
        </row>
        <row r="11">
          <cell r="B11">
            <v>7</v>
          </cell>
          <cell r="C11">
            <v>1078.1399999999999</v>
          </cell>
          <cell r="D11">
            <v>183.6</v>
          </cell>
          <cell r="E11">
            <v>81.600000000000009</v>
          </cell>
          <cell r="F11">
            <v>285.02640000000002</v>
          </cell>
        </row>
        <row r="12">
          <cell r="B12">
            <v>8</v>
          </cell>
          <cell r="C12">
            <v>1196.6399999999999</v>
          </cell>
          <cell r="D12">
            <v>194.39999999999998</v>
          </cell>
          <cell r="E12">
            <v>86.4</v>
          </cell>
          <cell r="F12">
            <v>300.62639999999999</v>
          </cell>
        </row>
        <row r="13">
          <cell r="B13">
            <v>9</v>
          </cell>
          <cell r="C13">
            <v>1321.26</v>
          </cell>
          <cell r="D13">
            <v>205.20000000000002</v>
          </cell>
          <cell r="E13">
            <v>91.2</v>
          </cell>
          <cell r="F13">
            <v>316.22640000000001</v>
          </cell>
        </row>
        <row r="14">
          <cell r="B14">
            <v>10</v>
          </cell>
          <cell r="C14">
            <v>1452</v>
          </cell>
          <cell r="D14">
            <v>216.00000000000003</v>
          </cell>
          <cell r="E14">
            <v>96.000000000000014</v>
          </cell>
          <cell r="F14">
            <v>331.82640000000004</v>
          </cell>
        </row>
        <row r="15">
          <cell r="B15">
            <v>11</v>
          </cell>
          <cell r="C15">
            <v>1588.8599999999994</v>
          </cell>
          <cell r="D15">
            <v>226.79999999999995</v>
          </cell>
          <cell r="E15">
            <v>100.79999999999997</v>
          </cell>
          <cell r="F15">
            <v>347.42639999999994</v>
          </cell>
        </row>
        <row r="16">
          <cell r="B16">
            <v>12</v>
          </cell>
          <cell r="C16">
            <v>1731.84</v>
          </cell>
          <cell r="D16">
            <v>237.60000000000002</v>
          </cell>
          <cell r="E16">
            <v>105.60000000000001</v>
          </cell>
          <cell r="F16">
            <v>363.02640000000002</v>
          </cell>
        </row>
        <row r="17">
          <cell r="B17">
            <v>13</v>
          </cell>
          <cell r="C17">
            <v>1880.9399999999998</v>
          </cell>
          <cell r="D17">
            <v>248.4</v>
          </cell>
          <cell r="E17">
            <v>110.4</v>
          </cell>
          <cell r="F17">
            <v>378.62639999999999</v>
          </cell>
        </row>
        <row r="18">
          <cell r="B18">
            <v>14</v>
          </cell>
          <cell r="C18">
            <v>2036.1600000000003</v>
          </cell>
          <cell r="D18">
            <v>259.20000000000005</v>
          </cell>
          <cell r="E18">
            <v>115.20000000000002</v>
          </cell>
          <cell r="F18">
            <v>394.22640000000001</v>
          </cell>
        </row>
        <row r="19">
          <cell r="B19">
            <v>15</v>
          </cell>
          <cell r="C19">
            <v>2197.5</v>
          </cell>
          <cell r="D19">
            <v>270</v>
          </cell>
          <cell r="E19">
            <v>120.00000000000001</v>
          </cell>
          <cell r="F19">
            <v>409.82639999999998</v>
          </cell>
        </row>
        <row r="20">
          <cell r="B20">
            <v>16</v>
          </cell>
          <cell r="C20">
            <v>2364.9600000000005</v>
          </cell>
          <cell r="D20">
            <v>280.8</v>
          </cell>
          <cell r="E20">
            <v>124.80000000000001</v>
          </cell>
          <cell r="F20">
            <v>425.4264</v>
          </cell>
        </row>
        <row r="21">
          <cell r="B21">
            <v>17</v>
          </cell>
          <cell r="C21">
            <v>2538.54</v>
          </cell>
          <cell r="D21">
            <v>291.60000000000002</v>
          </cell>
          <cell r="E21">
            <v>129.60000000000002</v>
          </cell>
          <cell r="F21">
            <v>441.02640000000002</v>
          </cell>
        </row>
        <row r="22">
          <cell r="B22">
            <v>18</v>
          </cell>
          <cell r="C22">
            <v>2718.2400000000007</v>
          </cell>
          <cell r="D22">
            <v>302.40000000000009</v>
          </cell>
          <cell r="E22">
            <v>134.40000000000006</v>
          </cell>
          <cell r="F22">
            <v>456.6264000000001</v>
          </cell>
        </row>
        <row r="23">
          <cell r="B23">
            <v>19</v>
          </cell>
          <cell r="C23">
            <v>2904.06</v>
          </cell>
          <cell r="D23">
            <v>313.2000000000001</v>
          </cell>
          <cell r="E23">
            <v>139.20000000000005</v>
          </cell>
          <cell r="F23">
            <v>472.22640000000013</v>
          </cell>
        </row>
        <row r="24">
          <cell r="B24">
            <v>20</v>
          </cell>
          <cell r="C24">
            <v>3096.0000000000005</v>
          </cell>
          <cell r="D24">
            <v>324.00000000000006</v>
          </cell>
          <cell r="E24">
            <v>144.00000000000003</v>
          </cell>
          <cell r="F24">
            <v>487.82640000000004</v>
          </cell>
        </row>
        <row r="25">
          <cell r="B25">
            <v>21</v>
          </cell>
          <cell r="C25">
            <v>3294.0600000000009</v>
          </cell>
          <cell r="D25">
            <v>334.80000000000007</v>
          </cell>
          <cell r="E25">
            <v>148.80000000000004</v>
          </cell>
          <cell r="F25">
            <v>503.42640000000006</v>
          </cell>
        </row>
        <row r="26">
          <cell r="B26">
            <v>22</v>
          </cell>
          <cell r="C26">
            <v>3498.2400000000007</v>
          </cell>
          <cell r="D26">
            <v>345.60000000000008</v>
          </cell>
          <cell r="E26">
            <v>153.60000000000002</v>
          </cell>
          <cell r="F26">
            <v>519.02640000000008</v>
          </cell>
        </row>
        <row r="27">
          <cell r="B27">
            <v>23</v>
          </cell>
          <cell r="C27">
            <v>3708.5400000000013</v>
          </cell>
          <cell r="D27">
            <v>356.40000000000015</v>
          </cell>
          <cell r="E27">
            <v>158.40000000000006</v>
          </cell>
          <cell r="F27">
            <v>534.62640000000022</v>
          </cell>
        </row>
        <row r="28">
          <cell r="B28">
            <v>24</v>
          </cell>
          <cell r="C28">
            <v>3924.9600000000014</v>
          </cell>
          <cell r="D28">
            <v>367.2000000000001</v>
          </cell>
          <cell r="E28">
            <v>163.20000000000005</v>
          </cell>
          <cell r="F28">
            <v>550.22640000000013</v>
          </cell>
        </row>
        <row r="29">
          <cell r="B29">
            <v>25</v>
          </cell>
          <cell r="C29">
            <v>4147.5000000000009</v>
          </cell>
          <cell r="D29">
            <v>378.00000000000017</v>
          </cell>
          <cell r="E29">
            <v>168.00000000000006</v>
          </cell>
          <cell r="F29">
            <v>565.82640000000015</v>
          </cell>
        </row>
        <row r="30">
          <cell r="B30">
            <v>26</v>
          </cell>
          <cell r="C30">
            <v>4376.1600000000008</v>
          </cell>
          <cell r="D30">
            <v>388.80000000000013</v>
          </cell>
          <cell r="E30">
            <v>172.80000000000007</v>
          </cell>
          <cell r="F30">
            <v>581.42640000000017</v>
          </cell>
        </row>
        <row r="31">
          <cell r="B31">
            <v>27</v>
          </cell>
          <cell r="C31">
            <v>4610.9400000000014</v>
          </cell>
          <cell r="D31">
            <v>399.60000000000008</v>
          </cell>
          <cell r="E31">
            <v>177.60000000000005</v>
          </cell>
          <cell r="F31">
            <v>597.02640000000008</v>
          </cell>
        </row>
        <row r="32">
          <cell r="B32">
            <v>28</v>
          </cell>
          <cell r="C32">
            <v>4851.840000000002</v>
          </cell>
          <cell r="D32">
            <v>410.40000000000015</v>
          </cell>
          <cell r="E32">
            <v>182.40000000000006</v>
          </cell>
          <cell r="F32">
            <v>612.62640000000022</v>
          </cell>
        </row>
        <row r="33">
          <cell r="B33">
            <v>29</v>
          </cell>
          <cell r="C33">
            <v>5098.8600000000015</v>
          </cell>
          <cell r="D33">
            <v>421.2000000000001</v>
          </cell>
          <cell r="E33">
            <v>187.20000000000007</v>
          </cell>
          <cell r="F33">
            <v>628.22640000000013</v>
          </cell>
        </row>
        <row r="34">
          <cell r="B34">
            <v>30</v>
          </cell>
          <cell r="C34">
            <v>5418.9000000000015</v>
          </cell>
          <cell r="D34">
            <v>437.4000000000002</v>
          </cell>
          <cell r="E34">
            <v>194.40000000000006</v>
          </cell>
          <cell r="F34">
            <v>651.62640000000022</v>
          </cell>
        </row>
        <row r="35">
          <cell r="B35">
            <v>31</v>
          </cell>
          <cell r="C35">
            <v>5748.1200000000017</v>
          </cell>
          <cell r="D35">
            <v>453.60000000000008</v>
          </cell>
          <cell r="E35">
            <v>201.60000000000002</v>
          </cell>
          <cell r="F35">
            <v>675.02640000000008</v>
          </cell>
        </row>
        <row r="36">
          <cell r="B36">
            <v>32</v>
          </cell>
          <cell r="C36">
            <v>6086.5200000000023</v>
          </cell>
          <cell r="D36">
            <v>469.80000000000024</v>
          </cell>
          <cell r="E36">
            <v>208.80000000000013</v>
          </cell>
          <cell r="F36">
            <v>698.42640000000029</v>
          </cell>
        </row>
        <row r="37">
          <cell r="B37">
            <v>33</v>
          </cell>
          <cell r="C37">
            <v>6434.1000000000022</v>
          </cell>
          <cell r="D37">
            <v>486.00000000000017</v>
          </cell>
          <cell r="E37">
            <v>216.00000000000009</v>
          </cell>
          <cell r="F37">
            <v>721.82640000000026</v>
          </cell>
        </row>
        <row r="38">
          <cell r="B38">
            <v>34</v>
          </cell>
          <cell r="C38">
            <v>6790.86</v>
          </cell>
          <cell r="D38">
            <v>502.20000000000005</v>
          </cell>
          <cell r="E38">
            <v>223.20000000000002</v>
          </cell>
          <cell r="F38">
            <v>745.22640000000013</v>
          </cell>
        </row>
        <row r="39">
          <cell r="B39">
            <v>35</v>
          </cell>
          <cell r="C39">
            <v>7156.800000000002</v>
          </cell>
          <cell r="D39">
            <v>518.4000000000002</v>
          </cell>
          <cell r="E39">
            <v>230.40000000000006</v>
          </cell>
          <cell r="F39">
            <v>768.62640000000033</v>
          </cell>
        </row>
        <row r="40">
          <cell r="B40">
            <v>36</v>
          </cell>
          <cell r="C40">
            <v>7531.92</v>
          </cell>
          <cell r="D40">
            <v>534.6</v>
          </cell>
          <cell r="E40">
            <v>237.60000000000005</v>
          </cell>
          <cell r="F40">
            <v>792.02640000000008</v>
          </cell>
        </row>
        <row r="41">
          <cell r="B41">
            <v>37</v>
          </cell>
          <cell r="C41">
            <v>7916.2200000000021</v>
          </cell>
          <cell r="D41">
            <v>550.80000000000018</v>
          </cell>
          <cell r="E41">
            <v>244.80000000000007</v>
          </cell>
          <cell r="F41">
            <v>815.42640000000029</v>
          </cell>
        </row>
        <row r="42">
          <cell r="B42">
            <v>38</v>
          </cell>
          <cell r="C42">
            <v>8309.7000000000007</v>
          </cell>
          <cell r="D42">
            <v>567.00000000000011</v>
          </cell>
          <cell r="E42">
            <v>252.00000000000006</v>
          </cell>
          <cell r="F42">
            <v>838.82640000000015</v>
          </cell>
        </row>
        <row r="43">
          <cell r="B43">
            <v>39</v>
          </cell>
          <cell r="C43">
            <v>8712.3600000000024</v>
          </cell>
          <cell r="D43">
            <v>583.20000000000005</v>
          </cell>
          <cell r="E43">
            <v>259.20000000000005</v>
          </cell>
          <cell r="F43">
            <v>862.22640000000013</v>
          </cell>
        </row>
        <row r="44">
          <cell r="B44">
            <v>40</v>
          </cell>
          <cell r="C44">
            <v>9206.4000000000033</v>
          </cell>
          <cell r="D44">
            <v>604.80000000000018</v>
          </cell>
          <cell r="E44">
            <v>268.80000000000013</v>
          </cell>
          <cell r="F44">
            <v>893.42640000000029</v>
          </cell>
        </row>
        <row r="45">
          <cell r="B45">
            <v>41</v>
          </cell>
          <cell r="C45">
            <v>9712.6800000000039</v>
          </cell>
          <cell r="D45">
            <v>626.4000000000002</v>
          </cell>
          <cell r="E45">
            <v>278.40000000000009</v>
          </cell>
          <cell r="F45">
            <v>924.62640000000033</v>
          </cell>
        </row>
        <row r="46">
          <cell r="B46">
            <v>42</v>
          </cell>
          <cell r="C46">
            <v>10231.200000000004</v>
          </cell>
          <cell r="D46">
            <v>648.00000000000034</v>
          </cell>
          <cell r="E46">
            <v>288.00000000000011</v>
          </cell>
          <cell r="F46">
            <v>955.82640000000049</v>
          </cell>
        </row>
        <row r="47">
          <cell r="B47">
            <v>43</v>
          </cell>
          <cell r="C47">
            <v>10761.960000000003</v>
          </cell>
          <cell r="D47">
            <v>669.60000000000014</v>
          </cell>
          <cell r="E47">
            <v>297.60000000000014</v>
          </cell>
          <cell r="F47">
            <v>987.02640000000031</v>
          </cell>
        </row>
        <row r="48">
          <cell r="B48">
            <v>44</v>
          </cell>
          <cell r="C48">
            <v>11304.960000000003</v>
          </cell>
          <cell r="D48">
            <v>691.20000000000016</v>
          </cell>
          <cell r="E48">
            <v>307.2000000000001</v>
          </cell>
          <cell r="F48">
            <v>1018.2264000000002</v>
          </cell>
        </row>
        <row r="49">
          <cell r="B49">
            <v>45</v>
          </cell>
          <cell r="C49">
            <v>11860.200000000004</v>
          </cell>
          <cell r="D49">
            <v>712.80000000000018</v>
          </cell>
          <cell r="E49">
            <v>316.80000000000007</v>
          </cell>
          <cell r="F49">
            <v>1049.4264000000003</v>
          </cell>
        </row>
        <row r="50">
          <cell r="B50">
            <v>46</v>
          </cell>
          <cell r="C50">
            <v>12427.680000000006</v>
          </cell>
          <cell r="D50">
            <v>734.40000000000032</v>
          </cell>
          <cell r="E50">
            <v>326.40000000000015</v>
          </cell>
          <cell r="F50">
            <v>1080.6264000000006</v>
          </cell>
        </row>
        <row r="51">
          <cell r="B51">
            <v>47</v>
          </cell>
          <cell r="C51">
            <v>13007.400000000003</v>
          </cell>
          <cell r="D51">
            <v>756.00000000000023</v>
          </cell>
          <cell r="E51">
            <v>336.00000000000017</v>
          </cell>
          <cell r="F51">
            <v>1111.8264000000004</v>
          </cell>
        </row>
        <row r="52">
          <cell r="B52">
            <v>48</v>
          </cell>
          <cell r="C52">
            <v>13599.360000000006</v>
          </cell>
          <cell r="D52">
            <v>777.60000000000036</v>
          </cell>
          <cell r="E52">
            <v>345.60000000000014</v>
          </cell>
          <cell r="F52">
            <v>1143.0264000000006</v>
          </cell>
        </row>
        <row r="53">
          <cell r="B53">
            <v>49</v>
          </cell>
          <cell r="C53">
            <v>14203.560000000009</v>
          </cell>
          <cell r="D53">
            <v>799.20000000000039</v>
          </cell>
          <cell r="E53">
            <v>355.20000000000022</v>
          </cell>
          <cell r="F53">
            <v>1174.2264000000007</v>
          </cell>
        </row>
        <row r="54">
          <cell r="B54">
            <v>50</v>
          </cell>
          <cell r="C54">
            <v>14917.500000000005</v>
          </cell>
          <cell r="D54">
            <v>826.20000000000027</v>
          </cell>
          <cell r="E54">
            <v>367.2000000000001</v>
          </cell>
          <cell r="F54">
            <v>1213.2264000000005</v>
          </cell>
        </row>
        <row r="55">
          <cell r="B55">
            <v>51</v>
          </cell>
          <cell r="C55">
            <v>15646.740000000009</v>
          </cell>
          <cell r="D55">
            <v>853.20000000000027</v>
          </cell>
          <cell r="E55">
            <v>379.20000000000016</v>
          </cell>
          <cell r="F55">
            <v>1252.2264000000005</v>
          </cell>
        </row>
        <row r="56">
          <cell r="B56">
            <v>52</v>
          </cell>
          <cell r="C56">
            <v>16391.280000000002</v>
          </cell>
          <cell r="D56">
            <v>880.20000000000016</v>
          </cell>
          <cell r="E56">
            <v>391.2000000000001</v>
          </cell>
          <cell r="F56">
            <v>1291.2264000000002</v>
          </cell>
        </row>
        <row r="57">
          <cell r="B57">
            <v>53</v>
          </cell>
          <cell r="C57">
            <v>17151.120000000006</v>
          </cell>
          <cell r="D57">
            <v>907.20000000000027</v>
          </cell>
          <cell r="E57">
            <v>403.2000000000001</v>
          </cell>
          <cell r="F57">
            <v>1330.2264000000005</v>
          </cell>
        </row>
        <row r="58">
          <cell r="B58">
            <v>54</v>
          </cell>
          <cell r="C58">
            <v>17926.260000000002</v>
          </cell>
          <cell r="D58">
            <v>934.20000000000027</v>
          </cell>
          <cell r="E58">
            <v>415.20000000000016</v>
          </cell>
          <cell r="F58">
            <v>1369.2264000000005</v>
          </cell>
        </row>
        <row r="59">
          <cell r="B59">
            <v>55</v>
          </cell>
          <cell r="C59">
            <v>18716.7</v>
          </cell>
          <cell r="D59">
            <v>961.20000000000016</v>
          </cell>
          <cell r="E59">
            <v>427.2000000000001</v>
          </cell>
          <cell r="F59">
            <v>1408.2264000000002</v>
          </cell>
        </row>
        <row r="60">
          <cell r="B60">
            <v>56</v>
          </cell>
          <cell r="C60">
            <v>19522.440000000006</v>
          </cell>
          <cell r="D60">
            <v>988.20000000000027</v>
          </cell>
          <cell r="E60">
            <v>439.20000000000016</v>
          </cell>
          <cell r="F60">
            <v>1447.2264000000005</v>
          </cell>
        </row>
        <row r="61">
          <cell r="B61">
            <v>57</v>
          </cell>
          <cell r="C61">
            <v>20343.480000000003</v>
          </cell>
          <cell r="D61">
            <v>1015.2000000000002</v>
          </cell>
          <cell r="E61">
            <v>451.2000000000001</v>
          </cell>
          <cell r="F61">
            <v>1486.2264000000002</v>
          </cell>
        </row>
        <row r="62">
          <cell r="B62">
            <v>58</v>
          </cell>
          <cell r="C62">
            <v>21179.820000000003</v>
          </cell>
          <cell r="D62">
            <v>1042.2000000000003</v>
          </cell>
          <cell r="E62">
            <v>463.20000000000016</v>
          </cell>
          <cell r="F62">
            <v>1525.2264000000005</v>
          </cell>
        </row>
        <row r="63">
          <cell r="B63">
            <v>59</v>
          </cell>
          <cell r="C63">
            <v>22031.460000000006</v>
          </cell>
          <cell r="D63">
            <v>1069.2000000000003</v>
          </cell>
          <cell r="E63">
            <v>475.2000000000001</v>
          </cell>
          <cell r="F63">
            <v>1564.2264000000002</v>
          </cell>
        </row>
        <row r="64">
          <cell r="B64">
            <v>60</v>
          </cell>
          <cell r="C64">
            <v>23011.200000000008</v>
          </cell>
          <cell r="D64">
            <v>1101.6000000000004</v>
          </cell>
          <cell r="E64">
            <v>489.60000000000019</v>
          </cell>
          <cell r="F64">
            <v>1611.0264000000004</v>
          </cell>
        </row>
        <row r="65">
          <cell r="B65">
            <v>61</v>
          </cell>
          <cell r="C65">
            <v>24009.30000000001</v>
          </cell>
          <cell r="D65">
            <v>1134.0000000000005</v>
          </cell>
          <cell r="E65">
            <v>504.00000000000023</v>
          </cell>
          <cell r="F65">
            <v>1657.8264000000006</v>
          </cell>
        </row>
        <row r="66">
          <cell r="B66">
            <v>62</v>
          </cell>
          <cell r="C66">
            <v>25025.760000000009</v>
          </cell>
          <cell r="D66">
            <v>1166.4000000000003</v>
          </cell>
          <cell r="E66">
            <v>518.4000000000002</v>
          </cell>
          <cell r="F66">
            <v>1704.6264000000006</v>
          </cell>
        </row>
        <row r="67">
          <cell r="B67">
            <v>63</v>
          </cell>
          <cell r="C67">
            <v>26060.580000000016</v>
          </cell>
          <cell r="D67">
            <v>1198.8000000000006</v>
          </cell>
          <cell r="E67">
            <v>532.8000000000003</v>
          </cell>
          <cell r="F67">
            <v>1751.4264000000007</v>
          </cell>
        </row>
        <row r="68">
          <cell r="B68">
            <v>64</v>
          </cell>
          <cell r="C68">
            <v>27113.760000000017</v>
          </cell>
          <cell r="D68">
            <v>1231.2000000000005</v>
          </cell>
          <cell r="E68">
            <v>547.20000000000039</v>
          </cell>
          <cell r="F68">
            <v>1798.2264000000009</v>
          </cell>
        </row>
        <row r="69">
          <cell r="B69">
            <v>65</v>
          </cell>
          <cell r="C69">
            <v>28185.30000000001</v>
          </cell>
          <cell r="D69">
            <v>1263.6000000000004</v>
          </cell>
          <cell r="E69">
            <v>561.60000000000025</v>
          </cell>
          <cell r="F69">
            <v>1845.0264000000006</v>
          </cell>
        </row>
        <row r="70">
          <cell r="B70">
            <v>66</v>
          </cell>
          <cell r="C70">
            <v>29275.200000000019</v>
          </cell>
          <cell r="D70">
            <v>1296.0000000000009</v>
          </cell>
          <cell r="E70">
            <v>576.00000000000045</v>
          </cell>
          <cell r="F70">
            <v>1891.8264000000013</v>
          </cell>
        </row>
        <row r="71">
          <cell r="B71">
            <v>67</v>
          </cell>
          <cell r="C71">
            <v>30383.460000000021</v>
          </cell>
          <cell r="D71">
            <v>1328.400000000001</v>
          </cell>
          <cell r="E71">
            <v>590.40000000000043</v>
          </cell>
          <cell r="F71">
            <v>1938.6264000000015</v>
          </cell>
        </row>
        <row r="72">
          <cell r="B72">
            <v>68</v>
          </cell>
          <cell r="C72">
            <v>31510.08000000002</v>
          </cell>
          <cell r="D72">
            <v>1360.8000000000011</v>
          </cell>
          <cell r="E72">
            <v>604.80000000000041</v>
          </cell>
          <cell r="F72">
            <v>1985.4264000000014</v>
          </cell>
        </row>
        <row r="73">
          <cell r="B73">
            <v>69</v>
          </cell>
          <cell r="C73">
            <v>32655.060000000023</v>
          </cell>
          <cell r="D73">
            <v>1393.200000000001</v>
          </cell>
          <cell r="E73">
            <v>619.2000000000005</v>
          </cell>
          <cell r="F73">
            <v>2032.2264000000014</v>
          </cell>
        </row>
        <row r="74">
          <cell r="B74">
            <v>70</v>
          </cell>
          <cell r="C74">
            <v>33946.500000000022</v>
          </cell>
          <cell r="D74">
            <v>1431.0000000000011</v>
          </cell>
          <cell r="E74">
            <v>636.00000000000057</v>
          </cell>
          <cell r="F74">
            <v>2086.8264000000017</v>
          </cell>
        </row>
        <row r="75">
          <cell r="B75">
            <v>71</v>
          </cell>
          <cell r="C75">
            <v>35259.360000000022</v>
          </cell>
          <cell r="D75">
            <v>1468.8000000000009</v>
          </cell>
          <cell r="E75">
            <v>652.80000000000041</v>
          </cell>
          <cell r="F75">
            <v>2141.4264000000012</v>
          </cell>
        </row>
        <row r="76">
          <cell r="B76">
            <v>72</v>
          </cell>
          <cell r="C76">
            <v>36593.640000000021</v>
          </cell>
          <cell r="D76">
            <v>1506.600000000001</v>
          </cell>
          <cell r="E76">
            <v>669.60000000000036</v>
          </cell>
          <cell r="F76">
            <v>2196.0264000000016</v>
          </cell>
        </row>
        <row r="77">
          <cell r="B77">
            <v>73</v>
          </cell>
          <cell r="C77">
            <v>37949.340000000018</v>
          </cell>
          <cell r="D77">
            <v>1544.4000000000008</v>
          </cell>
          <cell r="E77">
            <v>686.40000000000043</v>
          </cell>
          <cell r="F77">
            <v>2250.626400000001</v>
          </cell>
        </row>
        <row r="78">
          <cell r="B78">
            <v>74</v>
          </cell>
          <cell r="C78">
            <v>39326.460000000021</v>
          </cell>
          <cell r="D78">
            <v>1582.200000000001</v>
          </cell>
          <cell r="E78">
            <v>703.20000000000039</v>
          </cell>
          <cell r="F78">
            <v>2305.2264000000014</v>
          </cell>
        </row>
        <row r="79">
          <cell r="B79">
            <v>75</v>
          </cell>
          <cell r="C79">
            <v>40725.000000000029</v>
          </cell>
          <cell r="D79">
            <v>1620.0000000000011</v>
          </cell>
          <cell r="E79">
            <v>720.00000000000057</v>
          </cell>
          <cell r="F79">
            <v>2359.8264000000017</v>
          </cell>
        </row>
        <row r="80">
          <cell r="B80">
            <v>76</v>
          </cell>
          <cell r="C80">
            <v>42144.960000000021</v>
          </cell>
          <cell r="D80">
            <v>1657.8000000000009</v>
          </cell>
          <cell r="E80">
            <v>736.80000000000041</v>
          </cell>
          <cell r="F80">
            <v>2414.4264000000012</v>
          </cell>
        </row>
        <row r="81">
          <cell r="B81">
            <v>77</v>
          </cell>
          <cell r="C81">
            <v>43586.340000000018</v>
          </cell>
          <cell r="D81">
            <v>1695.6000000000008</v>
          </cell>
          <cell r="E81">
            <v>753.60000000000036</v>
          </cell>
          <cell r="F81">
            <v>2469.0264000000011</v>
          </cell>
        </row>
        <row r="82">
          <cell r="B82">
            <v>78</v>
          </cell>
          <cell r="C82">
            <v>45049.140000000014</v>
          </cell>
          <cell r="D82">
            <v>1733.4000000000005</v>
          </cell>
          <cell r="E82">
            <v>770.40000000000032</v>
          </cell>
          <cell r="F82">
            <v>2523.626400000001</v>
          </cell>
        </row>
        <row r="83">
          <cell r="B83">
            <v>79</v>
          </cell>
          <cell r="C83">
            <v>46533.360000000022</v>
          </cell>
          <cell r="D83">
            <v>1771.2000000000007</v>
          </cell>
          <cell r="E83">
            <v>787.20000000000039</v>
          </cell>
          <cell r="F83">
            <v>2578.2264000000009</v>
          </cell>
        </row>
        <row r="84">
          <cell r="B84">
            <v>80</v>
          </cell>
          <cell r="C84">
            <v>48182.400000000001</v>
          </cell>
          <cell r="D84">
            <v>1814.4000000000003</v>
          </cell>
          <cell r="E84">
            <v>806.4000000000002</v>
          </cell>
          <cell r="F84">
            <v>2640.6264000000006</v>
          </cell>
        </row>
        <row r="85">
          <cell r="B85">
            <v>81</v>
          </cell>
          <cell r="C85">
            <v>49855.92000000002</v>
          </cell>
          <cell r="D85">
            <v>1857.6000000000006</v>
          </cell>
          <cell r="E85">
            <v>825.60000000000036</v>
          </cell>
          <cell r="F85">
            <v>2703.0264000000006</v>
          </cell>
        </row>
        <row r="86">
          <cell r="B86">
            <v>82</v>
          </cell>
          <cell r="C86">
            <v>51553.920000000013</v>
          </cell>
          <cell r="D86">
            <v>1900.8000000000004</v>
          </cell>
          <cell r="E86">
            <v>844.80000000000018</v>
          </cell>
          <cell r="F86">
            <v>2765.4264000000003</v>
          </cell>
        </row>
        <row r="87">
          <cell r="B87">
            <v>83</v>
          </cell>
          <cell r="C87">
            <v>53276.400000000016</v>
          </cell>
          <cell r="D87">
            <v>1944.0000000000005</v>
          </cell>
          <cell r="E87">
            <v>864.00000000000023</v>
          </cell>
          <cell r="F87">
            <v>2827.8264000000008</v>
          </cell>
        </row>
        <row r="88">
          <cell r="B88">
            <v>84</v>
          </cell>
          <cell r="C88">
            <v>55023.360000000022</v>
          </cell>
          <cell r="D88">
            <v>1987.2000000000005</v>
          </cell>
          <cell r="E88">
            <v>883.20000000000027</v>
          </cell>
          <cell r="F88">
            <v>2890.2264000000005</v>
          </cell>
        </row>
        <row r="89">
          <cell r="B89">
            <v>85</v>
          </cell>
          <cell r="C89">
            <v>56794.799999999996</v>
          </cell>
          <cell r="D89">
            <v>2030.4000000000003</v>
          </cell>
          <cell r="E89">
            <v>902.4</v>
          </cell>
          <cell r="F89">
            <v>2952.6264000000006</v>
          </cell>
        </row>
        <row r="90">
          <cell r="B90">
            <v>86</v>
          </cell>
          <cell r="C90">
            <v>58590.720000000001</v>
          </cell>
          <cell r="D90">
            <v>2073.6000000000004</v>
          </cell>
          <cell r="E90">
            <v>921.60000000000014</v>
          </cell>
          <cell r="F90">
            <v>3015.0264000000006</v>
          </cell>
        </row>
        <row r="91">
          <cell r="B91">
            <v>87</v>
          </cell>
          <cell r="C91">
            <v>60411.119999999981</v>
          </cell>
          <cell r="D91">
            <v>2116.7999999999997</v>
          </cell>
          <cell r="E91">
            <v>940.79999999999984</v>
          </cell>
          <cell r="F91">
            <v>3077.4263999999994</v>
          </cell>
        </row>
        <row r="92">
          <cell r="B92">
            <v>88</v>
          </cell>
          <cell r="C92">
            <v>62255.999999999993</v>
          </cell>
          <cell r="D92">
            <v>2159.9999999999995</v>
          </cell>
          <cell r="E92">
            <v>959.99999999999977</v>
          </cell>
          <cell r="F92">
            <v>3139.826399999999</v>
          </cell>
        </row>
        <row r="93">
          <cell r="B93">
            <v>89</v>
          </cell>
          <cell r="C93">
            <v>64125.359999999986</v>
          </cell>
          <cell r="D93">
            <v>2203.1999999999998</v>
          </cell>
          <cell r="E93">
            <v>979.19999999999982</v>
          </cell>
          <cell r="F93">
            <v>3202.2263999999996</v>
          </cell>
        </row>
        <row r="94">
          <cell r="B94">
            <v>90</v>
          </cell>
          <cell r="C94">
            <v>66019.199999999983</v>
          </cell>
          <cell r="D94">
            <v>2246.3999999999992</v>
          </cell>
          <cell r="E94">
            <v>998.39999999999964</v>
          </cell>
          <cell r="F94">
            <v>3264.6263999999987</v>
          </cell>
        </row>
        <row r="95">
          <cell r="B95">
            <v>91</v>
          </cell>
          <cell r="C95">
            <v>67937.519999999975</v>
          </cell>
          <cell r="D95">
            <v>2289.599999999999</v>
          </cell>
          <cell r="E95">
            <v>1017.5999999999996</v>
          </cell>
          <cell r="F95">
            <v>3327.0263999999984</v>
          </cell>
        </row>
        <row r="96">
          <cell r="B96">
            <v>92</v>
          </cell>
          <cell r="C96">
            <v>69880.319999999978</v>
          </cell>
          <cell r="D96">
            <v>2332.7999999999988</v>
          </cell>
          <cell r="E96">
            <v>1036.7999999999997</v>
          </cell>
          <cell r="F96">
            <v>3389.4263999999985</v>
          </cell>
        </row>
        <row r="97">
          <cell r="B97">
            <v>93</v>
          </cell>
          <cell r="C97">
            <v>71847.599999999962</v>
          </cell>
          <cell r="D97">
            <v>2375.9999999999991</v>
          </cell>
          <cell r="E97">
            <v>1055.9999999999995</v>
          </cell>
          <cell r="F97">
            <v>3451.8263999999986</v>
          </cell>
        </row>
        <row r="98">
          <cell r="B98">
            <v>94</v>
          </cell>
          <cell r="C98">
            <v>73839.359999999957</v>
          </cell>
          <cell r="D98">
            <v>2419.1999999999989</v>
          </cell>
          <cell r="E98">
            <v>1075.1999999999996</v>
          </cell>
          <cell r="F98">
            <v>3514.2263999999986</v>
          </cell>
        </row>
        <row r="99">
          <cell r="B99">
            <v>95</v>
          </cell>
          <cell r="C99">
            <v>75855.599999999962</v>
          </cell>
          <cell r="D99">
            <v>2462.3999999999987</v>
          </cell>
          <cell r="E99">
            <v>1094.3999999999994</v>
          </cell>
          <cell r="F99">
            <v>3576.6263999999983</v>
          </cell>
        </row>
        <row r="100">
          <cell r="B100">
            <v>96</v>
          </cell>
          <cell r="C100">
            <v>77896.319999999949</v>
          </cell>
          <cell r="D100">
            <v>2505.5999999999985</v>
          </cell>
          <cell r="E100">
            <v>1113.5999999999992</v>
          </cell>
          <cell r="F100">
            <v>3639.0263999999979</v>
          </cell>
        </row>
        <row r="101">
          <cell r="B101">
            <v>97</v>
          </cell>
          <cell r="C101">
            <v>79961.519999999946</v>
          </cell>
          <cell r="D101">
            <v>2548.7999999999984</v>
          </cell>
          <cell r="E101">
            <v>1132.7999999999993</v>
          </cell>
          <cell r="F101">
            <v>3701.4263999999976</v>
          </cell>
        </row>
        <row r="102">
          <cell r="B102">
            <v>98</v>
          </cell>
          <cell r="C102">
            <v>82051.199999999939</v>
          </cell>
          <cell r="D102">
            <v>2591.9999999999977</v>
          </cell>
          <cell r="E102">
            <v>1151.9999999999991</v>
          </cell>
          <cell r="F102">
            <v>3763.8263999999967</v>
          </cell>
        </row>
        <row r="103">
          <cell r="B103">
            <v>99</v>
          </cell>
          <cell r="C103">
            <v>84165.359999999928</v>
          </cell>
          <cell r="D103">
            <v>2635.199999999998</v>
          </cell>
          <cell r="E103">
            <v>1171.1999999999991</v>
          </cell>
          <cell r="F103">
            <v>3826.2263999999968</v>
          </cell>
        </row>
        <row r="104">
          <cell r="B104">
            <v>100</v>
          </cell>
          <cell r="C104">
            <v>86303.999999999942</v>
          </cell>
          <cell r="D104">
            <v>2678.3999999999983</v>
          </cell>
          <cell r="E104">
            <v>1190.3999999999992</v>
          </cell>
          <cell r="F104">
            <v>3888.6263999999974</v>
          </cell>
        </row>
      </sheetData>
      <sheetData sheetId="6"/>
      <sheetData sheetId="7"/>
      <sheetData sheetId="8"/>
      <sheetData sheetId="9">
        <row r="16">
          <cell r="B16">
            <v>0.1</v>
          </cell>
        </row>
        <row r="26">
          <cell r="R26">
            <v>1</v>
          </cell>
          <cell r="S26">
            <v>1</v>
          </cell>
          <cell r="T26">
            <v>0.9</v>
          </cell>
          <cell r="U26">
            <v>0.8</v>
          </cell>
          <cell r="V26">
            <v>0.7</v>
          </cell>
        </row>
        <row r="27">
          <cell r="R27">
            <v>0</v>
          </cell>
          <cell r="S27">
            <v>0.1</v>
          </cell>
          <cell r="T27">
            <v>0.2</v>
          </cell>
          <cell r="U27">
            <v>0.30000000000000004</v>
          </cell>
          <cell r="V27">
            <v>0.4</v>
          </cell>
        </row>
        <row r="34">
          <cell r="K34">
            <v>0.12</v>
          </cell>
          <cell r="L34">
            <v>0.18000000000000002</v>
          </cell>
          <cell r="M34">
            <v>0.26</v>
          </cell>
          <cell r="N34">
            <v>0.34</v>
          </cell>
          <cell r="O34">
            <v>0.4</v>
          </cell>
        </row>
        <row r="51">
          <cell r="D51" t="str">
            <v>50</v>
          </cell>
          <cell r="E51">
            <v>5</v>
          </cell>
          <cell r="F51">
            <v>0</v>
          </cell>
          <cell r="G51">
            <v>0.01</v>
          </cell>
          <cell r="H51">
            <v>391.98159819840561</v>
          </cell>
          <cell r="I51">
            <v>19.90988663101605</v>
          </cell>
          <cell r="J51">
            <v>8.6034634315424618</v>
          </cell>
          <cell r="K51">
            <v>15.625</v>
          </cell>
          <cell r="L51">
            <v>15.625</v>
          </cell>
          <cell r="M51">
            <v>9.2592592592592595</v>
          </cell>
          <cell r="N51">
            <v>0</v>
          </cell>
          <cell r="O51">
            <v>9.2592592592592595</v>
          </cell>
          <cell r="P51">
            <v>0</v>
          </cell>
          <cell r="Q51">
            <v>0</v>
          </cell>
        </row>
        <row r="52">
          <cell r="D52" t="str">
            <v>51</v>
          </cell>
          <cell r="E52">
            <v>5</v>
          </cell>
          <cell r="F52">
            <v>1</v>
          </cell>
          <cell r="G52">
            <v>1.4999999999999999E-2</v>
          </cell>
          <cell r="H52">
            <v>587.97239729760838</v>
          </cell>
          <cell r="I52">
            <v>29.864829946524072</v>
          </cell>
          <cell r="J52">
            <v>12.905195147313693</v>
          </cell>
          <cell r="K52">
            <v>23.4375</v>
          </cell>
          <cell r="L52">
            <v>23.4375</v>
          </cell>
          <cell r="M52">
            <v>13.888888888888888</v>
          </cell>
          <cell r="N52">
            <v>0</v>
          </cell>
          <cell r="O52">
            <v>13.888888888888888</v>
          </cell>
          <cell r="P52">
            <v>0</v>
          </cell>
          <cell r="Q52">
            <v>0</v>
          </cell>
        </row>
        <row r="53">
          <cell r="D53" t="str">
            <v>151</v>
          </cell>
          <cell r="E53">
            <v>15</v>
          </cell>
          <cell r="F53">
            <v>1</v>
          </cell>
          <cell r="G53">
            <v>0.03</v>
          </cell>
          <cell r="H53">
            <v>1175.9447945952168</v>
          </cell>
          <cell r="I53">
            <v>59.729659893048144</v>
          </cell>
          <cell r="J53">
            <v>25.810390294627386</v>
          </cell>
          <cell r="K53">
            <v>46.875</v>
          </cell>
          <cell r="L53">
            <v>46.875</v>
          </cell>
          <cell r="M53">
            <v>27.777777777777775</v>
          </cell>
          <cell r="N53">
            <v>0</v>
          </cell>
          <cell r="O53">
            <v>27.777777777777775</v>
          </cell>
          <cell r="P53">
            <v>0</v>
          </cell>
          <cell r="Q53">
            <v>0</v>
          </cell>
        </row>
        <row r="54">
          <cell r="D54" t="str">
            <v>152</v>
          </cell>
          <cell r="E54">
            <v>15</v>
          </cell>
          <cell r="F54">
            <v>2</v>
          </cell>
          <cell r="G54">
            <v>4.3333333333333335E-2</v>
          </cell>
          <cell r="H54">
            <v>1698.5869255264242</v>
          </cell>
          <cell r="I54">
            <v>86.276175401069551</v>
          </cell>
          <cell r="J54">
            <v>37.281674870017333</v>
          </cell>
          <cell r="K54">
            <v>67.708333333333329</v>
          </cell>
          <cell r="L54">
            <v>67.708333333333329</v>
          </cell>
          <cell r="M54">
            <v>40.123456790123463</v>
          </cell>
          <cell r="N54">
            <v>0</v>
          </cell>
          <cell r="O54">
            <v>40.123456790123463</v>
          </cell>
          <cell r="P54">
            <v>0</v>
          </cell>
          <cell r="Q54">
            <v>0</v>
          </cell>
        </row>
        <row r="55">
          <cell r="D55" t="str">
            <v>153</v>
          </cell>
          <cell r="E55">
            <v>15</v>
          </cell>
          <cell r="F55">
            <v>3</v>
          </cell>
          <cell r="G55">
            <v>5.6666666666666664E-2</v>
          </cell>
          <cell r="H55">
            <v>2221.2290564576315</v>
          </cell>
          <cell r="I55">
            <v>112.82269090909095</v>
          </cell>
          <cell r="J55">
            <v>48.752959445407278</v>
          </cell>
          <cell r="K55">
            <v>88.541666666666671</v>
          </cell>
          <cell r="L55">
            <v>88.541666666666671</v>
          </cell>
          <cell r="M55">
            <v>52.469135802469133</v>
          </cell>
          <cell r="N55">
            <v>0</v>
          </cell>
          <cell r="O55">
            <v>52.469135802469133</v>
          </cell>
          <cell r="P55">
            <v>0</v>
          </cell>
          <cell r="Q55">
            <v>0</v>
          </cell>
        </row>
        <row r="56">
          <cell r="D56" t="str">
            <v>154</v>
          </cell>
          <cell r="E56">
            <v>15</v>
          </cell>
          <cell r="F56">
            <v>4</v>
          </cell>
          <cell r="G56">
            <v>6.6666666666666666E-2</v>
          </cell>
          <cell r="H56">
            <v>2613.2106546560367</v>
          </cell>
          <cell r="I56">
            <v>132.73257754010697</v>
          </cell>
          <cell r="J56">
            <v>57.35642287694975</v>
          </cell>
          <cell r="K56">
            <v>104.16666666666667</v>
          </cell>
          <cell r="L56">
            <v>104.16666666666667</v>
          </cell>
          <cell r="M56">
            <v>61.728395061728399</v>
          </cell>
          <cell r="N56">
            <v>0</v>
          </cell>
          <cell r="O56">
            <v>61.728395061728399</v>
          </cell>
          <cell r="P56">
            <v>0</v>
          </cell>
          <cell r="Q56">
            <v>0</v>
          </cell>
        </row>
        <row r="57">
          <cell r="D57" t="str">
            <v>301</v>
          </cell>
          <cell r="E57">
            <v>30</v>
          </cell>
          <cell r="F57">
            <v>1</v>
          </cell>
          <cell r="G57">
            <v>0.06</v>
          </cell>
          <cell r="H57">
            <v>2351.8895891904335</v>
          </cell>
          <cell r="I57">
            <v>119.45931978609629</v>
          </cell>
          <cell r="J57">
            <v>51.620780589254771</v>
          </cell>
          <cell r="K57">
            <v>93.75</v>
          </cell>
          <cell r="L57">
            <v>93.75</v>
          </cell>
          <cell r="M57">
            <v>55.55555555555555</v>
          </cell>
          <cell r="N57">
            <v>0</v>
          </cell>
          <cell r="O57">
            <v>55.55555555555555</v>
          </cell>
          <cell r="P57">
            <v>0</v>
          </cell>
          <cell r="Q57">
            <v>0</v>
          </cell>
        </row>
        <row r="58">
          <cell r="D58" t="str">
            <v>302</v>
          </cell>
          <cell r="E58">
            <v>30</v>
          </cell>
          <cell r="F58">
            <v>2</v>
          </cell>
          <cell r="G58">
            <v>8.666666666666667E-2</v>
          </cell>
          <cell r="H58">
            <v>3397.1738510528485</v>
          </cell>
          <cell r="I58">
            <v>172.5523508021391</v>
          </cell>
          <cell r="J58">
            <v>74.563349740034667</v>
          </cell>
          <cell r="K58">
            <v>135.41666666666666</v>
          </cell>
          <cell r="L58">
            <v>135.41666666666666</v>
          </cell>
          <cell r="M58">
            <v>80.246913580246925</v>
          </cell>
          <cell r="N58">
            <v>0</v>
          </cell>
          <cell r="O58">
            <v>80.246913580246925</v>
          </cell>
          <cell r="P58">
            <v>0</v>
          </cell>
          <cell r="Q58">
            <v>0</v>
          </cell>
        </row>
        <row r="59">
          <cell r="D59" t="str">
            <v>303</v>
          </cell>
          <cell r="E59">
            <v>30</v>
          </cell>
          <cell r="F59">
            <v>3</v>
          </cell>
          <cell r="G59">
            <v>0.11333333333333333</v>
          </cell>
          <cell r="H59">
            <v>4442.458112915263</v>
          </cell>
          <cell r="I59">
            <v>225.6453818181819</v>
          </cell>
          <cell r="J59">
            <v>97.505918890814556</v>
          </cell>
          <cell r="K59">
            <v>177.08333333333334</v>
          </cell>
          <cell r="L59">
            <v>177.08333333333334</v>
          </cell>
          <cell r="M59">
            <v>104.93827160493827</v>
          </cell>
          <cell r="N59">
            <v>0</v>
          </cell>
          <cell r="O59">
            <v>104.93827160493827</v>
          </cell>
          <cell r="P59">
            <v>0</v>
          </cell>
          <cell r="Q59">
            <v>0</v>
          </cell>
        </row>
        <row r="60">
          <cell r="D60" t="str">
            <v>304</v>
          </cell>
          <cell r="E60">
            <v>30</v>
          </cell>
          <cell r="F60">
            <v>4</v>
          </cell>
          <cell r="G60">
            <v>0.13333333333333333</v>
          </cell>
          <cell r="H60">
            <v>5226.4213093120734</v>
          </cell>
          <cell r="I60">
            <v>265.46515508021395</v>
          </cell>
          <cell r="J60">
            <v>114.7128457538995</v>
          </cell>
          <cell r="K60">
            <v>208.33333333333334</v>
          </cell>
          <cell r="L60">
            <v>208.33333333333334</v>
          </cell>
          <cell r="M60">
            <v>123.4567901234568</v>
          </cell>
          <cell r="N60">
            <v>0</v>
          </cell>
          <cell r="O60">
            <v>123.4567901234568</v>
          </cell>
          <cell r="P60">
            <v>0</v>
          </cell>
          <cell r="Q60">
            <v>0</v>
          </cell>
        </row>
        <row r="61">
          <cell r="D61" t="str">
            <v>451</v>
          </cell>
          <cell r="E61">
            <v>45</v>
          </cell>
          <cell r="F61">
            <v>1</v>
          </cell>
          <cell r="G61">
            <v>0.12</v>
          </cell>
          <cell r="H61">
            <v>4703.7791783808671</v>
          </cell>
          <cell r="I61">
            <v>238.91863957219257</v>
          </cell>
          <cell r="J61">
            <v>103.24156117850954</v>
          </cell>
          <cell r="K61">
            <v>187.5</v>
          </cell>
          <cell r="L61">
            <v>187.5</v>
          </cell>
          <cell r="M61">
            <v>111.1111111111111</v>
          </cell>
          <cell r="N61">
            <v>0</v>
          </cell>
          <cell r="O61">
            <v>111.1111111111111</v>
          </cell>
          <cell r="P61">
            <v>0</v>
          </cell>
          <cell r="Q61">
            <v>0</v>
          </cell>
        </row>
        <row r="62">
          <cell r="D62" t="str">
            <v>452</v>
          </cell>
          <cell r="E62">
            <v>45</v>
          </cell>
          <cell r="F62">
            <v>2</v>
          </cell>
          <cell r="G62">
            <v>0.17333333333333334</v>
          </cell>
          <cell r="H62">
            <v>6794.347702105697</v>
          </cell>
          <cell r="I62">
            <v>345.1047016042782</v>
          </cell>
          <cell r="J62">
            <v>149.12669948006933</v>
          </cell>
          <cell r="K62">
            <v>270.83333333333331</v>
          </cell>
          <cell r="L62">
            <v>270.83333333333331</v>
          </cell>
          <cell r="M62">
            <v>160.49382716049385</v>
          </cell>
          <cell r="N62">
            <v>0</v>
          </cell>
          <cell r="O62">
            <v>160.49382716049385</v>
          </cell>
          <cell r="P62">
            <v>0</v>
          </cell>
          <cell r="Q62">
            <v>0</v>
          </cell>
        </row>
        <row r="63">
          <cell r="D63" t="str">
            <v>453</v>
          </cell>
          <cell r="E63">
            <v>45</v>
          </cell>
          <cell r="F63">
            <v>3</v>
          </cell>
          <cell r="G63">
            <v>0.22666666666666666</v>
          </cell>
          <cell r="H63">
            <v>8884.9162258305259</v>
          </cell>
          <cell r="I63">
            <v>451.29076363636381</v>
          </cell>
          <cell r="J63">
            <v>195.01183778162911</v>
          </cell>
          <cell r="K63">
            <v>354.16666666666669</v>
          </cell>
          <cell r="L63">
            <v>354.16666666666669</v>
          </cell>
          <cell r="M63">
            <v>209.87654320987653</v>
          </cell>
          <cell r="N63">
            <v>0</v>
          </cell>
          <cell r="O63">
            <v>209.87654320987653</v>
          </cell>
          <cell r="P63">
            <v>0</v>
          </cell>
          <cell r="Q63">
            <v>0</v>
          </cell>
        </row>
        <row r="64">
          <cell r="D64" t="str">
            <v>454</v>
          </cell>
          <cell r="E64">
            <v>45</v>
          </cell>
          <cell r="F64">
            <v>4</v>
          </cell>
          <cell r="G64">
            <v>0.26666666666666666</v>
          </cell>
          <cell r="H64">
            <v>10452.842618624147</v>
          </cell>
          <cell r="I64">
            <v>530.93031016042789</v>
          </cell>
          <cell r="J64">
            <v>229.425691507799</v>
          </cell>
          <cell r="K64">
            <v>416.66666666666669</v>
          </cell>
          <cell r="L64">
            <v>416.66666666666669</v>
          </cell>
          <cell r="M64">
            <v>246.9135802469136</v>
          </cell>
          <cell r="N64">
            <v>0</v>
          </cell>
          <cell r="O64">
            <v>246.9135802469136</v>
          </cell>
          <cell r="P64">
            <v>0</v>
          </cell>
          <cell r="Q64">
            <v>0</v>
          </cell>
        </row>
        <row r="65">
          <cell r="D65" t="str">
            <v>601</v>
          </cell>
          <cell r="E65">
            <v>60</v>
          </cell>
          <cell r="F65">
            <v>1</v>
          </cell>
          <cell r="G65">
            <v>0.18</v>
          </cell>
          <cell r="H65">
            <v>7055.6687675713001</v>
          </cell>
          <cell r="I65">
            <v>358.37795935828882</v>
          </cell>
          <cell r="J65">
            <v>154.86234176776432</v>
          </cell>
          <cell r="K65">
            <v>281.25</v>
          </cell>
          <cell r="L65">
            <v>281.25</v>
          </cell>
          <cell r="M65">
            <v>166.66666666666666</v>
          </cell>
          <cell r="N65">
            <v>0</v>
          </cell>
          <cell r="O65">
            <v>166.66666666666666</v>
          </cell>
          <cell r="P65">
            <v>0</v>
          </cell>
          <cell r="Q65">
            <v>0</v>
          </cell>
        </row>
        <row r="66">
          <cell r="D66" t="str">
            <v>602</v>
          </cell>
          <cell r="E66">
            <v>60</v>
          </cell>
          <cell r="F66">
            <v>2</v>
          </cell>
          <cell r="G66">
            <v>0.26</v>
          </cell>
          <cell r="H66">
            <v>10191.521553158544</v>
          </cell>
          <cell r="I66">
            <v>517.65705240641728</v>
          </cell>
          <cell r="J66">
            <v>223.69004922010402</v>
          </cell>
          <cell r="K66">
            <v>406.25</v>
          </cell>
          <cell r="L66">
            <v>406.25</v>
          </cell>
          <cell r="M66">
            <v>240.74074074074076</v>
          </cell>
          <cell r="N66">
            <v>0</v>
          </cell>
          <cell r="O66">
            <v>240.74074074074076</v>
          </cell>
          <cell r="P66">
            <v>0</v>
          </cell>
          <cell r="Q66">
            <v>0</v>
          </cell>
        </row>
        <row r="67">
          <cell r="D67" t="str">
            <v>603</v>
          </cell>
          <cell r="E67">
            <v>60</v>
          </cell>
          <cell r="F67">
            <v>3</v>
          </cell>
          <cell r="G67">
            <v>0.33999999999999997</v>
          </cell>
          <cell r="H67">
            <v>13327.374338745787</v>
          </cell>
          <cell r="I67">
            <v>676.93614545454557</v>
          </cell>
          <cell r="J67">
            <v>292.51775667244368</v>
          </cell>
          <cell r="K67">
            <v>531.24999999999989</v>
          </cell>
          <cell r="L67">
            <v>531.24999999999989</v>
          </cell>
          <cell r="M67">
            <v>314.81481481481478</v>
          </cell>
          <cell r="N67">
            <v>0</v>
          </cell>
          <cell r="O67">
            <v>314.81481481481478</v>
          </cell>
          <cell r="P67">
            <v>0</v>
          </cell>
          <cell r="Q67">
            <v>0</v>
          </cell>
        </row>
        <row r="68">
          <cell r="D68" t="str">
            <v>604</v>
          </cell>
          <cell r="E68">
            <v>60</v>
          </cell>
          <cell r="F68">
            <v>4</v>
          </cell>
          <cell r="G68">
            <v>0.39999999999999997</v>
          </cell>
          <cell r="H68">
            <v>15679.263927936221</v>
          </cell>
          <cell r="I68">
            <v>796.3954652406419</v>
          </cell>
          <cell r="J68">
            <v>344.13853726169845</v>
          </cell>
          <cell r="K68">
            <v>624.99999999999989</v>
          </cell>
          <cell r="L68">
            <v>624.99999999999989</v>
          </cell>
          <cell r="M68">
            <v>370.37037037037038</v>
          </cell>
          <cell r="N68">
            <v>0</v>
          </cell>
          <cell r="O68">
            <v>370.37037037037038</v>
          </cell>
          <cell r="P68">
            <v>0</v>
          </cell>
          <cell r="Q68">
            <v>0</v>
          </cell>
        </row>
        <row r="69">
          <cell r="D69" t="str">
            <v>701</v>
          </cell>
          <cell r="E69">
            <v>70</v>
          </cell>
          <cell r="F69">
            <v>1</v>
          </cell>
          <cell r="G69">
            <v>0.24</v>
          </cell>
          <cell r="H69">
            <v>9407.5583567617341</v>
          </cell>
          <cell r="I69">
            <v>477.83727914438515</v>
          </cell>
          <cell r="J69">
            <v>206.48312235701908</v>
          </cell>
          <cell r="K69">
            <v>375</v>
          </cell>
          <cell r="L69">
            <v>375</v>
          </cell>
          <cell r="M69">
            <v>222.2222222222222</v>
          </cell>
          <cell r="N69">
            <v>0</v>
          </cell>
          <cell r="O69">
            <v>222.2222222222222</v>
          </cell>
          <cell r="P69">
            <v>0</v>
          </cell>
          <cell r="Q69">
            <v>0</v>
          </cell>
        </row>
        <row r="70">
          <cell r="D70" t="str">
            <v>702</v>
          </cell>
          <cell r="E70">
            <v>70</v>
          </cell>
          <cell r="F70">
            <v>2</v>
          </cell>
          <cell r="G70">
            <v>0.34666666666666668</v>
          </cell>
          <cell r="H70">
            <v>13588.695404211394</v>
          </cell>
          <cell r="I70">
            <v>690.20940320855641</v>
          </cell>
          <cell r="J70">
            <v>298.25339896013867</v>
          </cell>
          <cell r="K70">
            <v>541.66666666666663</v>
          </cell>
          <cell r="L70">
            <v>541.66666666666663</v>
          </cell>
          <cell r="M70">
            <v>320.9876543209877</v>
          </cell>
          <cell r="N70">
            <v>0</v>
          </cell>
          <cell r="O70">
            <v>320.9876543209877</v>
          </cell>
          <cell r="P70">
            <v>0</v>
          </cell>
          <cell r="Q70">
            <v>0</v>
          </cell>
        </row>
        <row r="71">
          <cell r="D71" t="str">
            <v>703</v>
          </cell>
          <cell r="E71">
            <v>70</v>
          </cell>
          <cell r="F71">
            <v>3</v>
          </cell>
          <cell r="G71">
            <v>0.45333333333333331</v>
          </cell>
          <cell r="H71">
            <v>17769.832451661052</v>
          </cell>
          <cell r="I71">
            <v>902.58152727272761</v>
          </cell>
          <cell r="J71">
            <v>390.02367556325822</v>
          </cell>
          <cell r="K71">
            <v>708.33333333333337</v>
          </cell>
          <cell r="L71">
            <v>708.33333333333337</v>
          </cell>
          <cell r="M71">
            <v>419.75308641975306</v>
          </cell>
          <cell r="N71">
            <v>0</v>
          </cell>
          <cell r="O71">
            <v>419.75308641975306</v>
          </cell>
          <cell r="P71">
            <v>0</v>
          </cell>
          <cell r="Q71">
            <v>0</v>
          </cell>
        </row>
        <row r="72">
          <cell r="D72" t="str">
            <v>704</v>
          </cell>
          <cell r="E72">
            <v>70</v>
          </cell>
          <cell r="F72">
            <v>4</v>
          </cell>
          <cell r="G72">
            <v>0.53333333333333333</v>
          </cell>
          <cell r="H72">
            <v>20905.685237248294</v>
          </cell>
          <cell r="I72">
            <v>1061.8606203208558</v>
          </cell>
          <cell r="J72">
            <v>458.851383015598</v>
          </cell>
          <cell r="K72">
            <v>833.33333333333337</v>
          </cell>
          <cell r="L72">
            <v>833.33333333333337</v>
          </cell>
          <cell r="M72">
            <v>493.82716049382719</v>
          </cell>
          <cell r="N72">
            <v>0</v>
          </cell>
          <cell r="O72">
            <v>493.82716049382719</v>
          </cell>
          <cell r="P72">
            <v>0</v>
          </cell>
          <cell r="Q72">
            <v>0</v>
          </cell>
        </row>
        <row r="73">
          <cell r="D73" t="str">
            <v>801</v>
          </cell>
          <cell r="E73">
            <v>80</v>
          </cell>
          <cell r="F73">
            <v>1</v>
          </cell>
          <cell r="G73">
            <v>0.3</v>
          </cell>
          <cell r="H73">
            <v>11759.447945952166</v>
          </cell>
          <cell r="I73">
            <v>597.29659893048142</v>
          </cell>
          <cell r="J73">
            <v>258.10390294627388</v>
          </cell>
          <cell r="K73">
            <v>468.75</v>
          </cell>
          <cell r="L73">
            <v>468.75</v>
          </cell>
          <cell r="M73">
            <v>277.77777777777777</v>
          </cell>
          <cell r="N73">
            <v>0</v>
          </cell>
          <cell r="O73">
            <v>277.77777777777777</v>
          </cell>
          <cell r="P73">
            <v>0</v>
          </cell>
          <cell r="Q73">
            <v>0</v>
          </cell>
        </row>
        <row r="74">
          <cell r="D74" t="str">
            <v>802</v>
          </cell>
          <cell r="E74">
            <v>80</v>
          </cell>
          <cell r="F74">
            <v>2</v>
          </cell>
          <cell r="G74">
            <v>0.43333333333333335</v>
          </cell>
          <cell r="H74">
            <v>16985.869255264242</v>
          </cell>
          <cell r="I74">
            <v>862.76175401069543</v>
          </cell>
          <cell r="J74">
            <v>372.81674870017338</v>
          </cell>
          <cell r="K74">
            <v>677.08333333333337</v>
          </cell>
          <cell r="L74">
            <v>677.08333333333337</v>
          </cell>
          <cell r="M74">
            <v>401.23456790123458</v>
          </cell>
          <cell r="N74">
            <v>0</v>
          </cell>
          <cell r="O74">
            <v>401.23456790123458</v>
          </cell>
          <cell r="P74">
            <v>0</v>
          </cell>
          <cell r="Q74">
            <v>0</v>
          </cell>
        </row>
        <row r="75">
          <cell r="D75" t="str">
            <v>803</v>
          </cell>
          <cell r="E75">
            <v>80</v>
          </cell>
          <cell r="F75">
            <v>3</v>
          </cell>
          <cell r="G75">
            <v>0.56666666666666665</v>
          </cell>
          <cell r="H75">
            <v>22212.290564576313</v>
          </cell>
          <cell r="I75">
            <v>1128.2269090909094</v>
          </cell>
          <cell r="J75">
            <v>487.52959445407282</v>
          </cell>
          <cell r="K75">
            <v>885.41666666666663</v>
          </cell>
          <cell r="L75">
            <v>885.41666666666663</v>
          </cell>
          <cell r="M75">
            <v>524.69135802469134</v>
          </cell>
          <cell r="N75">
            <v>0</v>
          </cell>
          <cell r="O75">
            <v>524.69135802469134</v>
          </cell>
          <cell r="P75">
            <v>0</v>
          </cell>
          <cell r="Q75">
            <v>0</v>
          </cell>
        </row>
        <row r="76">
          <cell r="D76" t="str">
            <v>804</v>
          </cell>
          <cell r="E76">
            <v>80</v>
          </cell>
          <cell r="F76">
            <v>4</v>
          </cell>
          <cell r="G76">
            <v>0.66666666666666663</v>
          </cell>
          <cell r="H76">
            <v>26132.106546560371</v>
          </cell>
          <cell r="I76">
            <v>1327.3257754010699</v>
          </cell>
          <cell r="J76">
            <v>573.56422876949739</v>
          </cell>
          <cell r="K76">
            <v>1041.6666666666667</v>
          </cell>
          <cell r="L76">
            <v>1041.6666666666667</v>
          </cell>
          <cell r="M76">
            <v>617.28395061728395</v>
          </cell>
          <cell r="N76">
            <v>0</v>
          </cell>
          <cell r="O76">
            <v>617.28395061728395</v>
          </cell>
          <cell r="P76">
            <v>0</v>
          </cell>
          <cell r="Q76">
            <v>0</v>
          </cell>
        </row>
        <row r="79">
          <cell r="D79" t="str">
            <v>搜索值</v>
          </cell>
          <cell r="E79" t="str">
            <v>装备等级</v>
          </cell>
          <cell r="F79" t="str">
            <v>品质</v>
          </cell>
          <cell r="G79" t="str">
            <v>属性</v>
          </cell>
        </row>
        <row r="80">
          <cell r="D80" t="str">
            <v>50</v>
          </cell>
          <cell r="E80">
            <v>5</v>
          </cell>
          <cell r="F80">
            <v>0</v>
          </cell>
          <cell r="G80">
            <v>0.12</v>
          </cell>
          <cell r="H80">
            <v>58.79723972976084</v>
          </cell>
          <cell r="I80">
            <v>2.9864829946524072</v>
          </cell>
          <cell r="J80">
            <v>1.2905195147313693</v>
          </cell>
          <cell r="K80">
            <v>2.34375</v>
          </cell>
          <cell r="L80">
            <v>2.34375</v>
          </cell>
          <cell r="M80">
            <v>1.3888888888888888</v>
          </cell>
          <cell r="N80">
            <v>0</v>
          </cell>
          <cell r="O80">
            <v>1.3888888888888888</v>
          </cell>
          <cell r="P80">
            <v>0</v>
          </cell>
          <cell r="Q80">
            <v>0</v>
          </cell>
        </row>
        <row r="81">
          <cell r="D81" t="str">
            <v>51</v>
          </cell>
          <cell r="E81">
            <v>5</v>
          </cell>
          <cell r="F81">
            <v>1</v>
          </cell>
          <cell r="G81">
            <v>0.18000000000000002</v>
          </cell>
          <cell r="H81">
            <v>88.195859594641263</v>
          </cell>
          <cell r="I81">
            <v>4.4797244919786117</v>
          </cell>
          <cell r="J81">
            <v>1.9357792720970539</v>
          </cell>
          <cell r="K81">
            <v>3.5156250000000009</v>
          </cell>
          <cell r="L81">
            <v>3.5156250000000009</v>
          </cell>
          <cell r="M81">
            <v>2.0833333333333335</v>
          </cell>
          <cell r="N81">
            <v>0</v>
          </cell>
          <cell r="O81">
            <v>2.0833333333333335</v>
          </cell>
          <cell r="P81">
            <v>0</v>
          </cell>
          <cell r="Q81">
            <v>0</v>
          </cell>
        </row>
        <row r="82">
          <cell r="D82" t="str">
            <v>151</v>
          </cell>
          <cell r="E82">
            <v>15</v>
          </cell>
          <cell r="F82">
            <v>1</v>
          </cell>
          <cell r="G82">
            <v>0.36000000000000004</v>
          </cell>
          <cell r="H82">
            <v>176.39171918928253</v>
          </cell>
          <cell r="I82">
            <v>8.9594489839572233</v>
          </cell>
          <cell r="J82">
            <v>3.8715585441941078</v>
          </cell>
          <cell r="K82">
            <v>7.0312500000000018</v>
          </cell>
          <cell r="L82">
            <v>7.0312500000000018</v>
          </cell>
          <cell r="M82">
            <v>4.166666666666667</v>
          </cell>
          <cell r="N82">
            <v>0</v>
          </cell>
          <cell r="O82">
            <v>4.166666666666667</v>
          </cell>
          <cell r="P82">
            <v>0</v>
          </cell>
          <cell r="Q82">
            <v>0</v>
          </cell>
        </row>
        <row r="83">
          <cell r="D83" t="str">
            <v>152</v>
          </cell>
          <cell r="E83">
            <v>15</v>
          </cell>
          <cell r="F83">
            <v>2</v>
          </cell>
          <cell r="G83">
            <v>0.52</v>
          </cell>
          <cell r="H83">
            <v>254.78803882896358</v>
          </cell>
          <cell r="I83">
            <v>12.941426310160432</v>
          </cell>
          <cell r="J83">
            <v>5.5922512305026002</v>
          </cell>
          <cell r="K83">
            <v>10.15625</v>
          </cell>
          <cell r="L83">
            <v>10.15625</v>
          </cell>
          <cell r="M83">
            <v>6.018518518518519</v>
          </cell>
          <cell r="N83">
            <v>0</v>
          </cell>
          <cell r="O83">
            <v>6.018518518518519</v>
          </cell>
          <cell r="P83">
            <v>0</v>
          </cell>
          <cell r="Q83">
            <v>0</v>
          </cell>
        </row>
        <row r="84">
          <cell r="D84" t="str">
            <v>153</v>
          </cell>
          <cell r="E84">
            <v>15</v>
          </cell>
          <cell r="F84">
            <v>3</v>
          </cell>
          <cell r="G84">
            <v>0.68</v>
          </cell>
          <cell r="H84">
            <v>333.18435846864475</v>
          </cell>
          <cell r="I84">
            <v>16.923403636363641</v>
          </cell>
          <cell r="J84">
            <v>7.3129439168110935</v>
          </cell>
          <cell r="K84">
            <v>13.281250000000004</v>
          </cell>
          <cell r="L84">
            <v>13.281250000000004</v>
          </cell>
          <cell r="M84">
            <v>7.8703703703703711</v>
          </cell>
          <cell r="N84">
            <v>0</v>
          </cell>
          <cell r="O84">
            <v>7.8703703703703711</v>
          </cell>
          <cell r="P84">
            <v>0</v>
          </cell>
          <cell r="Q84">
            <v>0</v>
          </cell>
        </row>
        <row r="85">
          <cell r="D85" t="str">
            <v>154</v>
          </cell>
          <cell r="E85">
            <v>15</v>
          </cell>
          <cell r="F85">
            <v>4</v>
          </cell>
          <cell r="G85">
            <v>0.8</v>
          </cell>
          <cell r="H85">
            <v>391.98159819840561</v>
          </cell>
          <cell r="I85">
            <v>19.90988663101605</v>
          </cell>
          <cell r="J85">
            <v>8.6034634315424618</v>
          </cell>
          <cell r="K85">
            <v>15.625</v>
          </cell>
          <cell r="L85">
            <v>15.625</v>
          </cell>
          <cell r="M85">
            <v>9.2592592592592595</v>
          </cell>
          <cell r="N85">
            <v>0</v>
          </cell>
          <cell r="O85">
            <v>9.2592592592592595</v>
          </cell>
          <cell r="P85">
            <v>0</v>
          </cell>
          <cell r="Q85">
            <v>0</v>
          </cell>
        </row>
        <row r="86">
          <cell r="D86" t="str">
            <v>301</v>
          </cell>
          <cell r="E86">
            <v>30</v>
          </cell>
          <cell r="F86">
            <v>1</v>
          </cell>
          <cell r="G86">
            <v>0.72000000000000008</v>
          </cell>
          <cell r="H86">
            <v>352.78343837856505</v>
          </cell>
          <cell r="I86">
            <v>17.918897967914447</v>
          </cell>
          <cell r="J86">
            <v>7.7431170883882157</v>
          </cell>
          <cell r="K86">
            <v>14.062500000000004</v>
          </cell>
          <cell r="L86">
            <v>14.062500000000004</v>
          </cell>
          <cell r="M86">
            <v>8.3333333333333339</v>
          </cell>
          <cell r="N86">
            <v>0</v>
          </cell>
          <cell r="O86">
            <v>8.3333333333333339</v>
          </cell>
          <cell r="P86">
            <v>0</v>
          </cell>
          <cell r="Q86">
            <v>0</v>
          </cell>
        </row>
        <row r="87">
          <cell r="D87" t="str">
            <v>302</v>
          </cell>
          <cell r="E87">
            <v>30</v>
          </cell>
          <cell r="F87">
            <v>2</v>
          </cell>
          <cell r="G87">
            <v>1.04</v>
          </cell>
          <cell r="H87">
            <v>509.57607765792716</v>
          </cell>
          <cell r="I87">
            <v>25.882852620320865</v>
          </cell>
          <cell r="J87">
            <v>11.1845024610052</v>
          </cell>
          <cell r="K87">
            <v>20.3125</v>
          </cell>
          <cell r="L87">
            <v>20.3125</v>
          </cell>
          <cell r="M87">
            <v>12.037037037037038</v>
          </cell>
          <cell r="N87">
            <v>0</v>
          </cell>
          <cell r="O87">
            <v>12.037037037037038</v>
          </cell>
          <cell r="P87">
            <v>0</v>
          </cell>
          <cell r="Q87">
            <v>0</v>
          </cell>
        </row>
        <row r="88">
          <cell r="D88" t="str">
            <v>303</v>
          </cell>
          <cell r="E88">
            <v>30</v>
          </cell>
          <cell r="F88">
            <v>3</v>
          </cell>
          <cell r="G88">
            <v>1.36</v>
          </cell>
          <cell r="H88">
            <v>666.36871693728949</v>
          </cell>
          <cell r="I88">
            <v>33.846807272727283</v>
          </cell>
          <cell r="J88">
            <v>14.625887833622187</v>
          </cell>
          <cell r="K88">
            <v>26.562500000000007</v>
          </cell>
          <cell r="L88">
            <v>26.562500000000007</v>
          </cell>
          <cell r="M88">
            <v>15.740740740740742</v>
          </cell>
          <cell r="N88">
            <v>0</v>
          </cell>
          <cell r="O88">
            <v>15.740740740740742</v>
          </cell>
          <cell r="P88">
            <v>0</v>
          </cell>
          <cell r="Q88">
            <v>0</v>
          </cell>
        </row>
        <row r="89">
          <cell r="D89" t="str">
            <v>304</v>
          </cell>
          <cell r="E89">
            <v>30</v>
          </cell>
          <cell r="F89">
            <v>4</v>
          </cell>
          <cell r="G89">
            <v>1.6</v>
          </cell>
          <cell r="H89">
            <v>783.96319639681121</v>
          </cell>
          <cell r="I89">
            <v>39.819773262032101</v>
          </cell>
          <cell r="J89">
            <v>17.206926863084924</v>
          </cell>
          <cell r="K89">
            <v>31.25</v>
          </cell>
          <cell r="L89">
            <v>31.25</v>
          </cell>
          <cell r="M89">
            <v>18.518518518518519</v>
          </cell>
          <cell r="N89">
            <v>0</v>
          </cell>
          <cell r="O89">
            <v>18.518518518518519</v>
          </cell>
          <cell r="P89">
            <v>0</v>
          </cell>
          <cell r="Q89">
            <v>0</v>
          </cell>
        </row>
        <row r="90">
          <cell r="D90" t="str">
            <v>451</v>
          </cell>
          <cell r="E90">
            <v>45</v>
          </cell>
          <cell r="F90">
            <v>1</v>
          </cell>
          <cell r="G90">
            <v>1.4400000000000002</v>
          </cell>
          <cell r="H90">
            <v>705.5668767571301</v>
          </cell>
          <cell r="I90">
            <v>35.837795935828893</v>
          </cell>
          <cell r="J90">
            <v>15.486234176776431</v>
          </cell>
          <cell r="K90">
            <v>28.125000000000007</v>
          </cell>
          <cell r="L90">
            <v>28.125000000000007</v>
          </cell>
          <cell r="M90">
            <v>16.666666666666668</v>
          </cell>
          <cell r="N90">
            <v>0</v>
          </cell>
          <cell r="O90">
            <v>16.666666666666668</v>
          </cell>
          <cell r="P90">
            <v>0</v>
          </cell>
          <cell r="Q90">
            <v>0</v>
          </cell>
        </row>
        <row r="91">
          <cell r="D91" t="str">
            <v>452</v>
          </cell>
          <cell r="E91">
            <v>45</v>
          </cell>
          <cell r="F91">
            <v>2</v>
          </cell>
          <cell r="G91">
            <v>2.08</v>
          </cell>
          <cell r="H91">
            <v>1019.1521553158543</v>
          </cell>
          <cell r="I91">
            <v>51.765705240641729</v>
          </cell>
          <cell r="J91">
            <v>22.369004922010401</v>
          </cell>
          <cell r="K91">
            <v>40.625</v>
          </cell>
          <cell r="L91">
            <v>40.625</v>
          </cell>
          <cell r="M91">
            <v>24.074074074074076</v>
          </cell>
          <cell r="N91">
            <v>0</v>
          </cell>
          <cell r="O91">
            <v>24.074074074074076</v>
          </cell>
          <cell r="P91">
            <v>0</v>
          </cell>
          <cell r="Q91">
            <v>0</v>
          </cell>
        </row>
        <row r="92">
          <cell r="D92" t="str">
            <v>453</v>
          </cell>
          <cell r="E92">
            <v>45</v>
          </cell>
          <cell r="F92">
            <v>3</v>
          </cell>
          <cell r="G92">
            <v>2.72</v>
          </cell>
          <cell r="H92">
            <v>1332.737433874579</v>
          </cell>
          <cell r="I92">
            <v>67.693614545454565</v>
          </cell>
          <cell r="J92">
            <v>29.251775667244374</v>
          </cell>
          <cell r="K92">
            <v>53.125000000000014</v>
          </cell>
          <cell r="L92">
            <v>53.125000000000014</v>
          </cell>
          <cell r="M92">
            <v>31.481481481481485</v>
          </cell>
          <cell r="N92">
            <v>0</v>
          </cell>
          <cell r="O92">
            <v>31.481481481481485</v>
          </cell>
          <cell r="P92">
            <v>0</v>
          </cell>
          <cell r="Q92">
            <v>0</v>
          </cell>
        </row>
        <row r="93">
          <cell r="D93" t="str">
            <v>454</v>
          </cell>
          <cell r="E93">
            <v>45</v>
          </cell>
          <cell r="F93">
            <v>4</v>
          </cell>
          <cell r="G93">
            <v>3.2</v>
          </cell>
          <cell r="H93">
            <v>1567.9263927936224</v>
          </cell>
          <cell r="I93">
            <v>79.639546524064201</v>
          </cell>
          <cell r="J93">
            <v>34.413853726169847</v>
          </cell>
          <cell r="K93">
            <v>62.5</v>
          </cell>
          <cell r="L93">
            <v>62.5</v>
          </cell>
          <cell r="M93">
            <v>37.037037037037038</v>
          </cell>
          <cell r="N93">
            <v>0</v>
          </cell>
          <cell r="O93">
            <v>37.037037037037038</v>
          </cell>
          <cell r="P93">
            <v>0</v>
          </cell>
          <cell r="Q93">
            <v>0</v>
          </cell>
        </row>
        <row r="94">
          <cell r="D94" t="str">
            <v>601</v>
          </cell>
          <cell r="E94">
            <v>60</v>
          </cell>
          <cell r="F94">
            <v>1</v>
          </cell>
          <cell r="G94">
            <v>2.16</v>
          </cell>
          <cell r="H94">
            <v>1058.3503151356949</v>
          </cell>
          <cell r="I94">
            <v>53.75669390374334</v>
          </cell>
          <cell r="J94">
            <v>23.229351265164645</v>
          </cell>
          <cell r="K94">
            <v>42.1875</v>
          </cell>
          <cell r="L94">
            <v>42.1875</v>
          </cell>
          <cell r="M94">
            <v>25.000000000000004</v>
          </cell>
          <cell r="N94">
            <v>0</v>
          </cell>
          <cell r="O94">
            <v>25.000000000000004</v>
          </cell>
          <cell r="P94">
            <v>0</v>
          </cell>
          <cell r="Q94">
            <v>0</v>
          </cell>
        </row>
        <row r="95">
          <cell r="D95" t="str">
            <v>602</v>
          </cell>
          <cell r="E95">
            <v>60</v>
          </cell>
          <cell r="F95">
            <v>2</v>
          </cell>
          <cell r="G95">
            <v>3.12</v>
          </cell>
          <cell r="H95">
            <v>1528.7282329737818</v>
          </cell>
          <cell r="I95">
            <v>77.648557860962597</v>
          </cell>
          <cell r="J95">
            <v>33.553507383015599</v>
          </cell>
          <cell r="K95">
            <v>60.9375</v>
          </cell>
          <cell r="L95">
            <v>60.9375</v>
          </cell>
          <cell r="M95">
            <v>36.111111111111114</v>
          </cell>
          <cell r="N95">
            <v>0</v>
          </cell>
          <cell r="O95">
            <v>36.111111111111114</v>
          </cell>
          <cell r="P95">
            <v>0</v>
          </cell>
          <cell r="Q95">
            <v>0</v>
          </cell>
        </row>
        <row r="96">
          <cell r="D96" t="str">
            <v>603</v>
          </cell>
          <cell r="E96">
            <v>60</v>
          </cell>
          <cell r="F96">
            <v>3</v>
          </cell>
          <cell r="G96">
            <v>4.08</v>
          </cell>
          <cell r="H96">
            <v>1999.1061508118685</v>
          </cell>
          <cell r="I96">
            <v>101.54042181818185</v>
          </cell>
          <cell r="J96">
            <v>43.877663500866561</v>
          </cell>
          <cell r="K96">
            <v>79.6875</v>
          </cell>
          <cell r="L96">
            <v>79.6875</v>
          </cell>
          <cell r="M96">
            <v>47.222222222222221</v>
          </cell>
          <cell r="N96">
            <v>0</v>
          </cell>
          <cell r="O96">
            <v>47.222222222222221</v>
          </cell>
          <cell r="P96">
            <v>0</v>
          </cell>
          <cell r="Q96">
            <v>0</v>
          </cell>
        </row>
        <row r="97">
          <cell r="D97" t="str">
            <v>604</v>
          </cell>
          <cell r="E97">
            <v>60</v>
          </cell>
          <cell r="F97">
            <v>4</v>
          </cell>
          <cell r="G97">
            <v>4.8</v>
          </cell>
          <cell r="H97">
            <v>2351.8895891904331</v>
          </cell>
          <cell r="I97">
            <v>119.45931978609629</v>
          </cell>
          <cell r="J97">
            <v>51.620780589254778</v>
          </cell>
          <cell r="K97">
            <v>93.75</v>
          </cell>
          <cell r="L97">
            <v>93.75</v>
          </cell>
          <cell r="M97">
            <v>55.555555555555557</v>
          </cell>
          <cell r="N97">
            <v>0</v>
          </cell>
          <cell r="O97">
            <v>55.555555555555557</v>
          </cell>
          <cell r="P97">
            <v>0</v>
          </cell>
          <cell r="Q97">
            <v>0</v>
          </cell>
        </row>
        <row r="98">
          <cell r="D98" t="str">
            <v>701</v>
          </cell>
          <cell r="E98">
            <v>70</v>
          </cell>
          <cell r="F98">
            <v>1</v>
          </cell>
          <cell r="G98">
            <v>2.8800000000000003</v>
          </cell>
          <cell r="H98">
            <v>1411.1337535142602</v>
          </cell>
          <cell r="I98">
            <v>71.675591871657787</v>
          </cell>
          <cell r="J98">
            <v>30.972468353552863</v>
          </cell>
          <cell r="K98">
            <v>56.250000000000014</v>
          </cell>
          <cell r="L98">
            <v>56.250000000000014</v>
          </cell>
          <cell r="M98">
            <v>33.333333333333336</v>
          </cell>
          <cell r="N98">
            <v>0</v>
          </cell>
          <cell r="O98">
            <v>33.333333333333336</v>
          </cell>
          <cell r="P98">
            <v>0</v>
          </cell>
          <cell r="Q98">
            <v>0</v>
          </cell>
        </row>
        <row r="99">
          <cell r="D99" t="str">
            <v>702</v>
          </cell>
          <cell r="E99">
            <v>70</v>
          </cell>
          <cell r="F99">
            <v>2</v>
          </cell>
          <cell r="G99">
            <v>4.16</v>
          </cell>
          <cell r="H99">
            <v>2038.3043106317086</v>
          </cell>
          <cell r="I99">
            <v>103.53141048128346</v>
          </cell>
          <cell r="J99">
            <v>44.738009844020802</v>
          </cell>
          <cell r="K99">
            <v>81.25</v>
          </cell>
          <cell r="L99">
            <v>81.25</v>
          </cell>
          <cell r="M99">
            <v>48.148148148148152</v>
          </cell>
          <cell r="N99">
            <v>0</v>
          </cell>
          <cell r="O99">
            <v>48.148148148148152</v>
          </cell>
          <cell r="P99">
            <v>0</v>
          </cell>
          <cell r="Q99">
            <v>0</v>
          </cell>
        </row>
        <row r="100">
          <cell r="D100" t="str">
            <v>703</v>
          </cell>
          <cell r="E100">
            <v>70</v>
          </cell>
          <cell r="F100">
            <v>3</v>
          </cell>
          <cell r="G100">
            <v>5.44</v>
          </cell>
          <cell r="H100">
            <v>2665.474867749158</v>
          </cell>
          <cell r="I100">
            <v>135.38722909090913</v>
          </cell>
          <cell r="J100">
            <v>58.503551334488748</v>
          </cell>
          <cell r="K100">
            <v>106.25000000000003</v>
          </cell>
          <cell r="L100">
            <v>106.25000000000003</v>
          </cell>
          <cell r="M100">
            <v>62.962962962962969</v>
          </cell>
          <cell r="N100">
            <v>0</v>
          </cell>
          <cell r="O100">
            <v>62.962962962962969</v>
          </cell>
          <cell r="P100">
            <v>0</v>
          </cell>
          <cell r="Q100">
            <v>0</v>
          </cell>
        </row>
        <row r="101">
          <cell r="D101" t="str">
            <v>704</v>
          </cell>
          <cell r="E101">
            <v>70</v>
          </cell>
          <cell r="F101">
            <v>4</v>
          </cell>
          <cell r="G101">
            <v>6.4</v>
          </cell>
          <cell r="H101">
            <v>3135.8527855872449</v>
          </cell>
          <cell r="I101">
            <v>159.2790930481284</v>
          </cell>
          <cell r="J101">
            <v>68.827707452339695</v>
          </cell>
          <cell r="K101">
            <v>125</v>
          </cell>
          <cell r="L101">
            <v>125</v>
          </cell>
          <cell r="M101">
            <v>74.074074074074076</v>
          </cell>
          <cell r="N101">
            <v>0</v>
          </cell>
          <cell r="O101">
            <v>74.074074074074076</v>
          </cell>
          <cell r="P101">
            <v>0</v>
          </cell>
          <cell r="Q101">
            <v>0</v>
          </cell>
        </row>
        <row r="102">
          <cell r="D102" t="str">
            <v>801</v>
          </cell>
          <cell r="E102">
            <v>80</v>
          </cell>
          <cell r="F102">
            <v>1</v>
          </cell>
          <cell r="G102">
            <v>3.6</v>
          </cell>
          <cell r="H102">
            <v>1763.9171918928248</v>
          </cell>
          <cell r="I102">
            <v>89.594489839572219</v>
          </cell>
          <cell r="J102">
            <v>38.715585441941087</v>
          </cell>
          <cell r="K102">
            <v>70.3125</v>
          </cell>
          <cell r="L102">
            <v>70.3125</v>
          </cell>
          <cell r="M102">
            <v>41.666666666666671</v>
          </cell>
          <cell r="N102">
            <v>0</v>
          </cell>
          <cell r="O102">
            <v>41.666666666666671</v>
          </cell>
          <cell r="P102">
            <v>0</v>
          </cell>
          <cell r="Q102">
            <v>0</v>
          </cell>
        </row>
        <row r="103">
          <cell r="D103" t="str">
            <v>802</v>
          </cell>
          <cell r="E103">
            <v>80</v>
          </cell>
          <cell r="F103">
            <v>2</v>
          </cell>
          <cell r="G103">
            <v>5.2</v>
          </cell>
          <cell r="H103">
            <v>2547.8803882896364</v>
          </cell>
          <cell r="I103">
            <v>129.41426310160432</v>
          </cell>
          <cell r="J103">
            <v>55.922512305026011</v>
          </cell>
          <cell r="K103">
            <v>101.5625</v>
          </cell>
          <cell r="L103">
            <v>101.5625</v>
          </cell>
          <cell r="M103">
            <v>60.185185185185183</v>
          </cell>
          <cell r="N103">
            <v>0</v>
          </cell>
          <cell r="O103">
            <v>60.185185185185183</v>
          </cell>
          <cell r="P103">
            <v>0</v>
          </cell>
          <cell r="Q103">
            <v>0</v>
          </cell>
        </row>
        <row r="104">
          <cell r="D104" t="str">
            <v>803</v>
          </cell>
          <cell r="E104">
            <v>80</v>
          </cell>
          <cell r="F104">
            <v>3</v>
          </cell>
          <cell r="G104">
            <v>6.8</v>
          </cell>
          <cell r="H104">
            <v>3331.8435846864472</v>
          </cell>
          <cell r="I104">
            <v>169.23403636363639</v>
          </cell>
          <cell r="J104">
            <v>73.12943916811092</v>
          </cell>
          <cell r="K104">
            <v>132.8125</v>
          </cell>
          <cell r="L104">
            <v>132.8125</v>
          </cell>
          <cell r="M104">
            <v>78.703703703703709</v>
          </cell>
          <cell r="N104">
            <v>0</v>
          </cell>
          <cell r="O104">
            <v>78.703703703703709</v>
          </cell>
          <cell r="P104">
            <v>0</v>
          </cell>
          <cell r="Q104">
            <v>0</v>
          </cell>
        </row>
        <row r="105">
          <cell r="D105" t="str">
            <v>804</v>
          </cell>
          <cell r="E105">
            <v>80</v>
          </cell>
          <cell r="F105">
            <v>4</v>
          </cell>
          <cell r="G105">
            <v>8</v>
          </cell>
          <cell r="H105">
            <v>3919.8159819840557</v>
          </cell>
          <cell r="I105">
            <v>199.0988663101605</v>
          </cell>
          <cell r="J105">
            <v>86.034634315424626</v>
          </cell>
          <cell r="K105">
            <v>156.25</v>
          </cell>
          <cell r="L105">
            <v>156.25</v>
          </cell>
          <cell r="M105">
            <v>92.592592592592595</v>
          </cell>
          <cell r="N105">
            <v>0</v>
          </cell>
          <cell r="O105">
            <v>92.592592592592595</v>
          </cell>
          <cell r="P105">
            <v>0</v>
          </cell>
          <cell r="Q105">
            <v>0</v>
          </cell>
        </row>
        <row r="111">
          <cell r="D111" t="str">
            <v>搜索值</v>
          </cell>
          <cell r="E111" t="str">
            <v>装备等级</v>
          </cell>
          <cell r="F111" t="str">
            <v>品质</v>
          </cell>
          <cell r="G111" t="str">
            <v>属性</v>
          </cell>
          <cell r="P111" t="str">
            <v>伤害减免</v>
          </cell>
          <cell r="Q111" t="str">
            <v>伤害加深</v>
          </cell>
        </row>
        <row r="112">
          <cell r="D112" t="str">
            <v>50</v>
          </cell>
          <cell r="E112">
            <v>5</v>
          </cell>
          <cell r="F112">
            <v>0</v>
          </cell>
          <cell r="G112">
            <v>0.05</v>
          </cell>
          <cell r="H112">
            <v>195.9907990992028</v>
          </cell>
          <cell r="I112">
            <v>9.9549433155080251</v>
          </cell>
          <cell r="J112">
            <v>4.3017317157712309</v>
          </cell>
          <cell r="K112">
            <v>7.8125</v>
          </cell>
          <cell r="L112">
            <v>7.8125</v>
          </cell>
          <cell r="M112">
            <v>4.6296296296296298</v>
          </cell>
          <cell r="N112">
            <v>0</v>
          </cell>
          <cell r="O112">
            <v>4.6296296296296298</v>
          </cell>
          <cell r="P112">
            <v>0</v>
          </cell>
          <cell r="Q112">
            <v>0</v>
          </cell>
        </row>
        <row r="113">
          <cell r="D113" t="str">
            <v>51</v>
          </cell>
          <cell r="E113">
            <v>5</v>
          </cell>
          <cell r="F113">
            <v>1</v>
          </cell>
          <cell r="G113">
            <v>7.5000000000000011E-2</v>
          </cell>
          <cell r="H113">
            <v>293.98619864880419</v>
          </cell>
          <cell r="I113">
            <v>14.932414973262038</v>
          </cell>
          <cell r="J113">
            <v>6.4525975736568473</v>
          </cell>
          <cell r="K113">
            <v>11.718750000000002</v>
          </cell>
          <cell r="L113">
            <v>11.718750000000002</v>
          </cell>
          <cell r="M113">
            <v>6.9444444444444455</v>
          </cell>
          <cell r="N113">
            <v>0</v>
          </cell>
          <cell r="O113">
            <v>6.9444444444444455</v>
          </cell>
          <cell r="P113">
            <v>0</v>
          </cell>
          <cell r="Q113">
            <v>0</v>
          </cell>
        </row>
        <row r="114">
          <cell r="D114" t="str">
            <v>151</v>
          </cell>
          <cell r="E114">
            <v>15</v>
          </cell>
          <cell r="F114">
            <v>1</v>
          </cell>
          <cell r="G114">
            <v>0.15000000000000002</v>
          </cell>
          <cell r="H114">
            <v>587.97239729760838</v>
          </cell>
          <cell r="I114">
            <v>29.864829946524075</v>
          </cell>
          <cell r="J114">
            <v>12.905195147313695</v>
          </cell>
          <cell r="K114">
            <v>23.437500000000004</v>
          </cell>
          <cell r="L114">
            <v>23.437500000000004</v>
          </cell>
          <cell r="M114">
            <v>13.888888888888891</v>
          </cell>
          <cell r="N114">
            <v>0</v>
          </cell>
          <cell r="O114">
            <v>13.888888888888891</v>
          </cell>
          <cell r="P114">
            <v>0</v>
          </cell>
          <cell r="Q114">
            <v>0</v>
          </cell>
        </row>
        <row r="115">
          <cell r="D115" t="str">
            <v>152</v>
          </cell>
          <cell r="E115">
            <v>15</v>
          </cell>
          <cell r="F115">
            <v>2</v>
          </cell>
          <cell r="G115">
            <v>0.2166666666666667</v>
          </cell>
          <cell r="H115">
            <v>849.29346276321212</v>
          </cell>
          <cell r="I115">
            <v>43.138087700534783</v>
          </cell>
          <cell r="J115">
            <v>18.64083743500867</v>
          </cell>
          <cell r="K115">
            <v>33.854166666666671</v>
          </cell>
          <cell r="L115">
            <v>33.854166666666671</v>
          </cell>
          <cell r="M115">
            <v>20.061728395061731</v>
          </cell>
          <cell r="N115">
            <v>0</v>
          </cell>
          <cell r="O115">
            <v>20.061728395061731</v>
          </cell>
          <cell r="P115">
            <v>0</v>
          </cell>
          <cell r="Q115">
            <v>0</v>
          </cell>
        </row>
        <row r="116">
          <cell r="D116" t="str">
            <v>153</v>
          </cell>
          <cell r="E116">
            <v>15</v>
          </cell>
          <cell r="F116">
            <v>3</v>
          </cell>
          <cell r="G116">
            <v>0.28333333333333338</v>
          </cell>
          <cell r="H116">
            <v>1110.614528228816</v>
          </cell>
          <cell r="I116">
            <v>56.411345454545483</v>
          </cell>
          <cell r="J116">
            <v>24.37647972270365</v>
          </cell>
          <cell r="K116">
            <v>44.270833333333343</v>
          </cell>
          <cell r="L116">
            <v>44.270833333333343</v>
          </cell>
          <cell r="M116">
            <v>26.234567901234573</v>
          </cell>
          <cell r="N116">
            <v>0</v>
          </cell>
          <cell r="O116">
            <v>26.234567901234573</v>
          </cell>
          <cell r="P116">
            <v>0</v>
          </cell>
          <cell r="Q116">
            <v>0</v>
          </cell>
        </row>
        <row r="117">
          <cell r="D117" t="str">
            <v>154</v>
          </cell>
          <cell r="E117">
            <v>15</v>
          </cell>
          <cell r="F117">
            <v>4</v>
          </cell>
          <cell r="G117">
            <v>0.33333333333333337</v>
          </cell>
          <cell r="H117">
            <v>1306.6053273280188</v>
          </cell>
          <cell r="I117">
            <v>66.366288770053501</v>
          </cell>
          <cell r="J117">
            <v>28.678211438474882</v>
          </cell>
          <cell r="K117">
            <v>52.083333333333336</v>
          </cell>
          <cell r="L117">
            <v>52.083333333333336</v>
          </cell>
          <cell r="M117">
            <v>30.864197530864203</v>
          </cell>
          <cell r="N117">
            <v>0</v>
          </cell>
          <cell r="O117">
            <v>30.864197530864203</v>
          </cell>
          <cell r="P117">
            <v>0</v>
          </cell>
          <cell r="Q117">
            <v>0</v>
          </cell>
        </row>
        <row r="118">
          <cell r="D118" t="str">
            <v>301</v>
          </cell>
          <cell r="E118">
            <v>30</v>
          </cell>
          <cell r="F118">
            <v>1</v>
          </cell>
          <cell r="G118">
            <v>0.30000000000000004</v>
          </cell>
          <cell r="H118">
            <v>1175.9447945952168</v>
          </cell>
          <cell r="I118">
            <v>59.729659893048151</v>
          </cell>
          <cell r="J118">
            <v>25.810390294627389</v>
          </cell>
          <cell r="K118">
            <v>46.875000000000007</v>
          </cell>
          <cell r="L118">
            <v>46.875000000000007</v>
          </cell>
          <cell r="M118">
            <v>27.777777777777782</v>
          </cell>
          <cell r="N118">
            <v>0</v>
          </cell>
          <cell r="O118">
            <v>27.777777777777782</v>
          </cell>
          <cell r="P118">
            <v>0</v>
          </cell>
          <cell r="Q118">
            <v>0</v>
          </cell>
        </row>
        <row r="119">
          <cell r="D119" t="str">
            <v>302</v>
          </cell>
          <cell r="E119">
            <v>30</v>
          </cell>
          <cell r="F119">
            <v>2</v>
          </cell>
          <cell r="G119">
            <v>0.4333333333333334</v>
          </cell>
          <cell r="H119">
            <v>1698.5869255264242</v>
          </cell>
          <cell r="I119">
            <v>86.276175401069565</v>
          </cell>
          <cell r="J119">
            <v>37.281674870017341</v>
          </cell>
          <cell r="K119">
            <v>67.708333333333343</v>
          </cell>
          <cell r="L119">
            <v>67.708333333333343</v>
          </cell>
          <cell r="M119">
            <v>40.123456790123463</v>
          </cell>
          <cell r="N119">
            <v>0</v>
          </cell>
          <cell r="O119">
            <v>40.123456790123463</v>
          </cell>
          <cell r="P119">
            <v>0</v>
          </cell>
          <cell r="Q119">
            <v>0</v>
          </cell>
        </row>
        <row r="120">
          <cell r="D120" t="str">
            <v>303</v>
          </cell>
          <cell r="E120">
            <v>30</v>
          </cell>
          <cell r="F120">
            <v>3</v>
          </cell>
          <cell r="G120">
            <v>0.56666666666666676</v>
          </cell>
          <cell r="H120">
            <v>2221.2290564576319</v>
          </cell>
          <cell r="I120">
            <v>112.82269090909097</v>
          </cell>
          <cell r="J120">
            <v>48.752959445407299</v>
          </cell>
          <cell r="K120">
            <v>88.541666666666686</v>
          </cell>
          <cell r="L120">
            <v>88.541666666666686</v>
          </cell>
          <cell r="M120">
            <v>52.469135802469147</v>
          </cell>
          <cell r="N120">
            <v>0</v>
          </cell>
          <cell r="O120">
            <v>52.469135802469147</v>
          </cell>
          <cell r="P120">
            <v>0</v>
          </cell>
          <cell r="Q120">
            <v>0</v>
          </cell>
        </row>
        <row r="121">
          <cell r="D121" t="str">
            <v>304</v>
          </cell>
          <cell r="E121">
            <v>30</v>
          </cell>
          <cell r="F121">
            <v>4</v>
          </cell>
          <cell r="G121">
            <v>0.66666666666666674</v>
          </cell>
          <cell r="H121">
            <v>2613.2106546560376</v>
          </cell>
          <cell r="I121">
            <v>132.732577540107</v>
          </cell>
          <cell r="J121">
            <v>57.356422876949765</v>
          </cell>
          <cell r="K121">
            <v>104.16666666666667</v>
          </cell>
          <cell r="L121">
            <v>104.16666666666667</v>
          </cell>
          <cell r="M121">
            <v>61.728395061728406</v>
          </cell>
          <cell r="N121">
            <v>0</v>
          </cell>
          <cell r="O121">
            <v>61.728395061728406</v>
          </cell>
          <cell r="P121">
            <v>0</v>
          </cell>
          <cell r="Q121">
            <v>0</v>
          </cell>
        </row>
        <row r="122">
          <cell r="D122" t="str">
            <v>451</v>
          </cell>
          <cell r="E122">
            <v>45</v>
          </cell>
          <cell r="F122">
            <v>1</v>
          </cell>
          <cell r="G122">
            <v>0.60000000000000009</v>
          </cell>
          <cell r="H122">
            <v>2351.8895891904335</v>
          </cell>
          <cell r="I122">
            <v>119.4593197860963</v>
          </cell>
          <cell r="J122">
            <v>51.620780589254778</v>
          </cell>
          <cell r="K122">
            <v>93.750000000000014</v>
          </cell>
          <cell r="L122">
            <v>93.750000000000014</v>
          </cell>
          <cell r="M122">
            <v>55.555555555555564</v>
          </cell>
          <cell r="N122">
            <v>0</v>
          </cell>
          <cell r="O122">
            <v>55.555555555555564</v>
          </cell>
          <cell r="P122">
            <v>0</v>
          </cell>
          <cell r="Q122">
            <v>0</v>
          </cell>
        </row>
        <row r="123">
          <cell r="D123" t="str">
            <v>452</v>
          </cell>
          <cell r="E123">
            <v>45</v>
          </cell>
          <cell r="F123">
            <v>2</v>
          </cell>
          <cell r="G123">
            <v>0.86666666666666681</v>
          </cell>
          <cell r="H123">
            <v>3397.1738510528485</v>
          </cell>
          <cell r="I123">
            <v>172.55235080213913</v>
          </cell>
          <cell r="J123">
            <v>74.563349740034681</v>
          </cell>
          <cell r="K123">
            <v>135.41666666666669</v>
          </cell>
          <cell r="L123">
            <v>135.41666666666669</v>
          </cell>
          <cell r="M123">
            <v>80.246913580246925</v>
          </cell>
          <cell r="N123">
            <v>0</v>
          </cell>
          <cell r="O123">
            <v>80.246913580246925</v>
          </cell>
          <cell r="P123">
            <v>0</v>
          </cell>
          <cell r="Q123">
            <v>0</v>
          </cell>
        </row>
        <row r="124">
          <cell r="D124" t="str">
            <v>453</v>
          </cell>
          <cell r="E124">
            <v>45</v>
          </cell>
          <cell r="F124">
            <v>3</v>
          </cell>
          <cell r="G124">
            <v>1.1333333333333335</v>
          </cell>
          <cell r="H124">
            <v>4442.4581129152639</v>
          </cell>
          <cell r="I124">
            <v>225.64538181818193</v>
          </cell>
          <cell r="J124">
            <v>97.505918890814598</v>
          </cell>
          <cell r="K124">
            <v>177.08333333333337</v>
          </cell>
          <cell r="L124">
            <v>177.08333333333337</v>
          </cell>
          <cell r="M124">
            <v>104.93827160493829</v>
          </cell>
          <cell r="N124">
            <v>0</v>
          </cell>
          <cell r="O124">
            <v>104.93827160493829</v>
          </cell>
          <cell r="P124">
            <v>0</v>
          </cell>
          <cell r="Q124">
            <v>0</v>
          </cell>
        </row>
        <row r="125">
          <cell r="D125" t="str">
            <v>454</v>
          </cell>
          <cell r="E125">
            <v>45</v>
          </cell>
          <cell r="F125">
            <v>4</v>
          </cell>
          <cell r="G125">
            <v>1.3333333333333335</v>
          </cell>
          <cell r="H125">
            <v>5226.4213093120752</v>
          </cell>
          <cell r="I125">
            <v>265.465155080214</v>
          </cell>
          <cell r="J125">
            <v>114.71284575389953</v>
          </cell>
          <cell r="K125">
            <v>208.33333333333334</v>
          </cell>
          <cell r="L125">
            <v>208.33333333333334</v>
          </cell>
          <cell r="M125">
            <v>123.45679012345681</v>
          </cell>
          <cell r="N125">
            <v>0</v>
          </cell>
          <cell r="O125">
            <v>123.45679012345681</v>
          </cell>
          <cell r="P125">
            <v>0</v>
          </cell>
          <cell r="Q125">
            <v>0</v>
          </cell>
        </row>
        <row r="126">
          <cell r="D126" t="str">
            <v>601</v>
          </cell>
          <cell r="E126">
            <v>60</v>
          </cell>
          <cell r="F126">
            <v>1</v>
          </cell>
          <cell r="G126">
            <v>0.9</v>
          </cell>
          <cell r="H126">
            <v>3527.8343837856496</v>
          </cell>
          <cell r="I126">
            <v>179.18897967914444</v>
          </cell>
          <cell r="J126">
            <v>77.431170883882174</v>
          </cell>
          <cell r="K126">
            <v>140.625</v>
          </cell>
          <cell r="L126">
            <v>140.625</v>
          </cell>
          <cell r="M126">
            <v>83.333333333333343</v>
          </cell>
          <cell r="N126">
            <v>0</v>
          </cell>
          <cell r="O126">
            <v>83.333333333333343</v>
          </cell>
          <cell r="P126">
            <v>0</v>
          </cell>
          <cell r="Q126">
            <v>0</v>
          </cell>
        </row>
        <row r="127">
          <cell r="D127" t="str">
            <v>602</v>
          </cell>
          <cell r="E127">
            <v>60</v>
          </cell>
          <cell r="F127">
            <v>2</v>
          </cell>
          <cell r="G127">
            <v>1.3</v>
          </cell>
          <cell r="H127">
            <v>5095.7607765792727</v>
          </cell>
          <cell r="I127">
            <v>258.82852620320864</v>
          </cell>
          <cell r="J127">
            <v>111.84502461005202</v>
          </cell>
          <cell r="K127">
            <v>203.125</v>
          </cell>
          <cell r="L127">
            <v>203.125</v>
          </cell>
          <cell r="M127">
            <v>120.37037037037037</v>
          </cell>
          <cell r="N127">
            <v>0</v>
          </cell>
          <cell r="O127">
            <v>120.37037037037037</v>
          </cell>
          <cell r="P127">
            <v>0</v>
          </cell>
          <cell r="Q127">
            <v>0</v>
          </cell>
        </row>
        <row r="128">
          <cell r="D128" t="str">
            <v>603</v>
          </cell>
          <cell r="E128">
            <v>60</v>
          </cell>
          <cell r="F128">
            <v>3</v>
          </cell>
          <cell r="G128">
            <v>1.7</v>
          </cell>
          <cell r="H128">
            <v>6663.6871693728945</v>
          </cell>
          <cell r="I128">
            <v>338.46807272727278</v>
          </cell>
          <cell r="J128">
            <v>146.25887833622184</v>
          </cell>
          <cell r="K128">
            <v>265.625</v>
          </cell>
          <cell r="L128">
            <v>265.625</v>
          </cell>
          <cell r="M128">
            <v>157.40740740740742</v>
          </cell>
          <cell r="N128">
            <v>0</v>
          </cell>
          <cell r="O128">
            <v>157.40740740740742</v>
          </cell>
          <cell r="P128">
            <v>0</v>
          </cell>
          <cell r="Q128">
            <v>0</v>
          </cell>
        </row>
        <row r="129">
          <cell r="D129" t="str">
            <v>604</v>
          </cell>
          <cell r="E129">
            <v>60</v>
          </cell>
          <cell r="F129">
            <v>4</v>
          </cell>
          <cell r="G129">
            <v>2</v>
          </cell>
          <cell r="H129">
            <v>7839.6319639681114</v>
          </cell>
          <cell r="I129">
            <v>398.19773262032101</v>
          </cell>
          <cell r="J129">
            <v>172.06926863084925</v>
          </cell>
          <cell r="K129">
            <v>312.5</v>
          </cell>
          <cell r="L129">
            <v>312.5</v>
          </cell>
          <cell r="M129">
            <v>185.18518518518519</v>
          </cell>
          <cell r="N129">
            <v>0</v>
          </cell>
          <cell r="O129">
            <v>185.18518518518519</v>
          </cell>
          <cell r="P129">
            <v>0</v>
          </cell>
          <cell r="Q129">
            <v>0</v>
          </cell>
        </row>
        <row r="130">
          <cell r="D130" t="str">
            <v>701</v>
          </cell>
          <cell r="E130">
            <v>70</v>
          </cell>
          <cell r="F130">
            <v>1</v>
          </cell>
          <cell r="G130">
            <v>1.2000000000000002</v>
          </cell>
          <cell r="H130">
            <v>4703.7791783808671</v>
          </cell>
          <cell r="I130">
            <v>238.9186395721926</v>
          </cell>
          <cell r="J130">
            <v>103.24156117850956</v>
          </cell>
          <cell r="K130">
            <v>187.50000000000003</v>
          </cell>
          <cell r="L130">
            <v>187.50000000000003</v>
          </cell>
          <cell r="M130">
            <v>111.11111111111113</v>
          </cell>
          <cell r="N130">
            <v>0</v>
          </cell>
          <cell r="O130">
            <v>111.11111111111113</v>
          </cell>
          <cell r="P130">
            <v>0</v>
          </cell>
          <cell r="Q130">
            <v>0</v>
          </cell>
        </row>
        <row r="131">
          <cell r="D131" t="str">
            <v>702</v>
          </cell>
          <cell r="E131">
            <v>70</v>
          </cell>
          <cell r="F131">
            <v>2</v>
          </cell>
          <cell r="G131">
            <v>1.7333333333333336</v>
          </cell>
          <cell r="H131">
            <v>6794.347702105697</v>
          </cell>
          <cell r="I131">
            <v>345.10470160427826</v>
          </cell>
          <cell r="J131">
            <v>149.12669948006936</v>
          </cell>
          <cell r="K131">
            <v>270.83333333333337</v>
          </cell>
          <cell r="L131">
            <v>270.83333333333337</v>
          </cell>
          <cell r="M131">
            <v>160.49382716049385</v>
          </cell>
          <cell r="N131">
            <v>0</v>
          </cell>
          <cell r="O131">
            <v>160.49382716049385</v>
          </cell>
          <cell r="P131">
            <v>0</v>
          </cell>
          <cell r="Q131">
            <v>0</v>
          </cell>
        </row>
        <row r="132">
          <cell r="D132" t="str">
            <v>703</v>
          </cell>
          <cell r="E132">
            <v>70</v>
          </cell>
          <cell r="F132">
            <v>3</v>
          </cell>
          <cell r="G132">
            <v>2.2666666666666671</v>
          </cell>
          <cell r="H132">
            <v>8884.9162258305278</v>
          </cell>
          <cell r="I132">
            <v>451.29076363636386</v>
          </cell>
          <cell r="J132">
            <v>195.0118377816292</v>
          </cell>
          <cell r="K132">
            <v>354.16666666666674</v>
          </cell>
          <cell r="L132">
            <v>354.16666666666674</v>
          </cell>
          <cell r="M132">
            <v>209.87654320987659</v>
          </cell>
          <cell r="N132">
            <v>0</v>
          </cell>
          <cell r="O132">
            <v>209.87654320987659</v>
          </cell>
          <cell r="P132">
            <v>0</v>
          </cell>
          <cell r="Q132">
            <v>0</v>
          </cell>
        </row>
        <row r="133">
          <cell r="D133" t="str">
            <v>704</v>
          </cell>
          <cell r="E133">
            <v>70</v>
          </cell>
          <cell r="F133">
            <v>4</v>
          </cell>
          <cell r="G133">
            <v>2.666666666666667</v>
          </cell>
          <cell r="H133">
            <v>10452.84261862415</v>
          </cell>
          <cell r="I133">
            <v>530.93031016042801</v>
          </cell>
          <cell r="J133">
            <v>229.42569150779906</v>
          </cell>
          <cell r="K133">
            <v>416.66666666666669</v>
          </cell>
          <cell r="L133">
            <v>416.66666666666669</v>
          </cell>
          <cell r="M133">
            <v>246.91358024691363</v>
          </cell>
          <cell r="N133">
            <v>0</v>
          </cell>
          <cell r="O133">
            <v>246.91358024691363</v>
          </cell>
          <cell r="P133">
            <v>0</v>
          </cell>
          <cell r="Q133">
            <v>0</v>
          </cell>
        </row>
        <row r="134">
          <cell r="D134" t="str">
            <v>801</v>
          </cell>
          <cell r="E134">
            <v>80</v>
          </cell>
          <cell r="F134">
            <v>1</v>
          </cell>
          <cell r="G134">
            <v>1.5</v>
          </cell>
          <cell r="H134">
            <v>5879.7239729760831</v>
          </cell>
          <cell r="I134">
            <v>298.64829946524071</v>
          </cell>
          <cell r="J134">
            <v>129.05195147313694</v>
          </cell>
          <cell r="K134">
            <v>234.375</v>
          </cell>
          <cell r="L134">
            <v>234.375</v>
          </cell>
          <cell r="M134">
            <v>138.88888888888889</v>
          </cell>
          <cell r="N134">
            <v>0</v>
          </cell>
          <cell r="O134">
            <v>138.88888888888889</v>
          </cell>
          <cell r="P134">
            <v>0</v>
          </cell>
          <cell r="Q134">
            <v>0</v>
          </cell>
        </row>
        <row r="135">
          <cell r="D135" t="str">
            <v>802</v>
          </cell>
          <cell r="E135">
            <v>80</v>
          </cell>
          <cell r="F135">
            <v>2</v>
          </cell>
          <cell r="G135">
            <v>2.166666666666667</v>
          </cell>
          <cell r="H135">
            <v>8492.9346276321212</v>
          </cell>
          <cell r="I135">
            <v>431.38087700534777</v>
          </cell>
          <cell r="J135">
            <v>186.40837435008672</v>
          </cell>
          <cell r="K135">
            <v>338.54166666666674</v>
          </cell>
          <cell r="L135">
            <v>338.54166666666674</v>
          </cell>
          <cell r="M135">
            <v>200.61728395061729</v>
          </cell>
          <cell r="N135">
            <v>0</v>
          </cell>
          <cell r="O135">
            <v>200.61728395061729</v>
          </cell>
          <cell r="P135">
            <v>0</v>
          </cell>
          <cell r="Q135">
            <v>0</v>
          </cell>
        </row>
        <row r="136">
          <cell r="D136" t="str">
            <v>803</v>
          </cell>
          <cell r="E136">
            <v>80</v>
          </cell>
          <cell r="F136">
            <v>3</v>
          </cell>
          <cell r="G136">
            <v>2.8333333333333335</v>
          </cell>
          <cell r="H136">
            <v>11106.145282288158</v>
          </cell>
          <cell r="I136">
            <v>564.11345454545483</v>
          </cell>
          <cell r="J136">
            <v>243.76479722703644</v>
          </cell>
          <cell r="K136">
            <v>442.70833333333331</v>
          </cell>
          <cell r="L136">
            <v>442.70833333333331</v>
          </cell>
          <cell r="M136">
            <v>262.34567901234573</v>
          </cell>
          <cell r="N136">
            <v>0</v>
          </cell>
          <cell r="O136">
            <v>262.34567901234573</v>
          </cell>
          <cell r="P136">
            <v>0</v>
          </cell>
          <cell r="Q136">
            <v>0</v>
          </cell>
        </row>
        <row r="137">
          <cell r="D137" t="str">
            <v>804</v>
          </cell>
          <cell r="E137">
            <v>80</v>
          </cell>
          <cell r="F137">
            <v>4</v>
          </cell>
          <cell r="G137">
            <v>3.3333333333333335</v>
          </cell>
          <cell r="H137">
            <v>13066.053273280186</v>
          </cell>
          <cell r="I137">
            <v>663.66288770053495</v>
          </cell>
          <cell r="J137">
            <v>286.78211438474875</v>
          </cell>
          <cell r="K137">
            <v>520.83333333333326</v>
          </cell>
          <cell r="L137">
            <v>520.83333333333326</v>
          </cell>
          <cell r="M137">
            <v>308.64197530864197</v>
          </cell>
          <cell r="N137">
            <v>0</v>
          </cell>
          <cell r="O137">
            <v>308.64197530864197</v>
          </cell>
          <cell r="P137">
            <v>0</v>
          </cell>
          <cell r="Q13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AZ212"/>
  <sheetViews>
    <sheetView workbookViewId="0">
      <pane xSplit="2" topLeftCell="C1" activePane="topRight" state="frozen"/>
      <selection pane="topRight" activeCell="P18" sqref="P18"/>
    </sheetView>
  </sheetViews>
  <sheetFormatPr defaultRowHeight="13.5" x14ac:dyDescent="0.15"/>
  <cols>
    <col min="1" max="1" width="7.5" bestFit="1" customWidth="1"/>
    <col min="2" max="2" width="22.375" customWidth="1"/>
    <col min="3" max="3" width="11.375" customWidth="1"/>
    <col min="4" max="4" width="9.5" bestFit="1" customWidth="1"/>
    <col min="5" max="6" width="9.5" customWidth="1"/>
    <col min="7" max="9" width="9.5" bestFit="1" customWidth="1"/>
    <col min="10" max="11" width="7.5" bestFit="1" customWidth="1"/>
    <col min="12" max="12" width="9.75" bestFit="1" customWidth="1"/>
    <col min="13" max="13" width="9.75" style="5" customWidth="1"/>
    <col min="14" max="14" width="16.125" bestFit="1" customWidth="1"/>
    <col min="15" max="15" width="9.5" bestFit="1" customWidth="1"/>
    <col min="16" max="16" width="7.75" bestFit="1" customWidth="1"/>
    <col min="17" max="17" width="17.25" customWidth="1"/>
    <col min="18" max="36" width="10.5" bestFit="1" customWidth="1"/>
    <col min="38" max="38" width="39" customWidth="1"/>
    <col min="39" max="39" width="11.125" customWidth="1"/>
    <col min="44" max="44" width="12.75" bestFit="1" customWidth="1"/>
    <col min="52" max="52" width="11.625" bestFit="1" customWidth="1"/>
  </cols>
  <sheetData>
    <row r="1" spans="1:52" x14ac:dyDescent="0.15">
      <c r="A1" s="45" t="s">
        <v>34</v>
      </c>
      <c r="B1" s="45" t="s">
        <v>35</v>
      </c>
      <c r="C1" s="45" t="s">
        <v>205</v>
      </c>
      <c r="D1" s="45" t="s">
        <v>36</v>
      </c>
      <c r="E1" s="45" t="s">
        <v>207</v>
      </c>
      <c r="F1" s="45" t="s">
        <v>37</v>
      </c>
      <c r="G1" s="46" t="s">
        <v>38</v>
      </c>
      <c r="H1" s="47" t="s">
        <v>39</v>
      </c>
      <c r="I1" s="48" t="s">
        <v>626</v>
      </c>
      <c r="J1" s="49" t="s">
        <v>41</v>
      </c>
      <c r="K1" s="45" t="s">
        <v>42</v>
      </c>
      <c r="L1" s="75" t="s">
        <v>43</v>
      </c>
      <c r="M1" s="45" t="s">
        <v>370</v>
      </c>
      <c r="N1" s="77" t="s">
        <v>44</v>
      </c>
      <c r="O1" s="45" t="s">
        <v>45</v>
      </c>
      <c r="P1" s="45" t="s">
        <v>46</v>
      </c>
      <c r="Q1" s="45" t="s">
        <v>47</v>
      </c>
      <c r="R1" s="45" t="s">
        <v>49</v>
      </c>
      <c r="S1" s="45" t="s">
        <v>48</v>
      </c>
      <c r="T1" s="45" t="s">
        <v>51</v>
      </c>
      <c r="U1" s="45" t="s">
        <v>50</v>
      </c>
      <c r="V1" s="45" t="s">
        <v>53</v>
      </c>
      <c r="W1" s="45" t="s">
        <v>52</v>
      </c>
      <c r="X1" s="45" t="s">
        <v>55</v>
      </c>
      <c r="Y1" s="45" t="s">
        <v>54</v>
      </c>
      <c r="Z1" s="45" t="s">
        <v>57</v>
      </c>
      <c r="AA1" s="45" t="s">
        <v>56</v>
      </c>
      <c r="AB1" s="45" t="s">
        <v>59</v>
      </c>
      <c r="AC1" s="45" t="s">
        <v>58</v>
      </c>
      <c r="AD1" s="45" t="s">
        <v>61</v>
      </c>
      <c r="AE1" s="45" t="s">
        <v>60</v>
      </c>
      <c r="AF1" s="45" t="s">
        <v>63</v>
      </c>
      <c r="AG1" s="45" t="s">
        <v>62</v>
      </c>
      <c r="AH1" s="45" t="s">
        <v>65</v>
      </c>
      <c r="AI1" s="45" t="s">
        <v>64</v>
      </c>
      <c r="AJ1" s="45" t="s">
        <v>67</v>
      </c>
      <c r="AK1" s="45" t="s">
        <v>66</v>
      </c>
      <c r="AL1" s="45" t="s">
        <v>68</v>
      </c>
      <c r="AM1" s="45" t="s">
        <v>69</v>
      </c>
      <c r="AP1" s="57" t="s">
        <v>225</v>
      </c>
      <c r="AQ1" s="57" t="s">
        <v>295</v>
      </c>
      <c r="AR1" s="57" t="s">
        <v>296</v>
      </c>
      <c r="AS1" s="57" t="s">
        <v>297</v>
      </c>
      <c r="AT1" s="57" t="s">
        <v>393</v>
      </c>
      <c r="AU1" s="57" t="s">
        <v>394</v>
      </c>
    </row>
    <row r="2" spans="1:52" x14ac:dyDescent="0.15">
      <c r="A2" s="14" t="str">
        <f>IF(D2=0,D2+5&amp;F2&amp;I2&amp;IF(C2&lt;10,"0"&amp;C2,C2),D2&amp;F2&amp;I2&amp;IF(C2&lt;10,"0"&amp;C2,C2))</f>
        <v>10001</v>
      </c>
      <c r="B2" s="14" t="s">
        <v>516</v>
      </c>
      <c r="C2" s="14">
        <v>1</v>
      </c>
      <c r="D2" s="14">
        <v>1</v>
      </c>
      <c r="E2" s="14" t="str">
        <f>VLOOKUP(F2,CHOOSE({1,2},定义数据!$F$2:$F$7,武器部位),2)</f>
        <v>武器</v>
      </c>
      <c r="F2" s="14">
        <v>0</v>
      </c>
      <c r="G2" s="14">
        <v>1</v>
      </c>
      <c r="H2" s="14">
        <v>0</v>
      </c>
      <c r="I2" s="14">
        <v>0</v>
      </c>
      <c r="J2" s="14">
        <v>0</v>
      </c>
      <c r="K2" s="14">
        <v>500</v>
      </c>
      <c r="L2" s="76"/>
      <c r="M2" s="14">
        <f>IF(OR(G2&lt;15,G2=80),0,D_装备升级表!A2)</f>
        <v>0</v>
      </c>
      <c r="N2" s="78">
        <v>1</v>
      </c>
      <c r="O2" s="14">
        <f>MID($A2,5,1)*100+MID($A2,4,1)*1000</f>
        <v>100</v>
      </c>
      <c r="P2" s="14"/>
      <c r="Q2" s="14">
        <v>2</v>
      </c>
      <c r="R2" s="14">
        <v>2</v>
      </c>
      <c r="S2" s="14">
        <f t="shared" ref="S2:S3" ca="1" si="0">S3</f>
        <v>14.932414973262038</v>
      </c>
      <c r="T2" s="14">
        <v>8</v>
      </c>
      <c r="U2" s="14">
        <f t="shared" ref="U2:U3" ca="1" si="1">U3</f>
        <v>9.2592592592592595</v>
      </c>
      <c r="V2" s="14">
        <v>0</v>
      </c>
      <c r="W2" s="14">
        <v>0</v>
      </c>
      <c r="X2" s="14">
        <v>0</v>
      </c>
      <c r="Y2" s="14">
        <v>0</v>
      </c>
      <c r="Z2" s="14">
        <v>0</v>
      </c>
      <c r="AA2" s="14">
        <v>0</v>
      </c>
      <c r="AB2" s="14">
        <v>0</v>
      </c>
      <c r="AC2" s="14">
        <v>0</v>
      </c>
      <c r="AD2" s="14">
        <v>0</v>
      </c>
      <c r="AE2" s="14">
        <v>0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M2" t="str">
        <f>IF(D2=0,5,D2) &amp; F2&amp;"00"&amp;VLOOKUP(G2,定义数据!$F$20:$G$27,2,FALSE)&amp;".png"</f>
        <v>10001.png</v>
      </c>
      <c r="AN2" s="79">
        <f>IF(OR(G2&lt;15),0,D_装备升级表!A2)</f>
        <v>0</v>
      </c>
      <c r="AP2">
        <v>0</v>
      </c>
      <c r="AQ2">
        <f>AP2*'[1]0、经济设定'!$C$18*AT2</f>
        <v>0</v>
      </c>
      <c r="AR2">
        <f>IFERROR(AQ2*'[1]0、经济设定'!$E$19*AU2*AS2,0)</f>
        <v>0</v>
      </c>
      <c r="AS2">
        <v>10</v>
      </c>
      <c r="AT2">
        <f t="shared" ref="AT2:AT33" si="2">MAX(VLOOKUP(I2,$AY$5:$AZ$9,2,FALSE)*G2,1)</f>
        <v>1</v>
      </c>
      <c r="AU2">
        <f>IF(F2=0,IFERROR(AT2/AP2/'[1]0、经济设定'!$E$18,0),AU1)</f>
        <v>0</v>
      </c>
    </row>
    <row r="3" spans="1:52" x14ac:dyDescent="0.15">
      <c r="A3" s="14" t="str">
        <f t="shared" ref="A3:A130" si="3">IF(D3=0,D3+5&amp;F3&amp;I3&amp;IF(C3&lt;10,"0"&amp;C3,C3),D3&amp;F3&amp;I3&amp;IF(C3&lt;10,"0"&amp;C3,C3))</f>
        <v>20001</v>
      </c>
      <c r="B3" s="14" t="s">
        <v>286</v>
      </c>
      <c r="C3" s="14">
        <v>1</v>
      </c>
      <c r="D3" s="14">
        <v>2</v>
      </c>
      <c r="E3" s="14" t="str">
        <f>VLOOKUP(F3,CHOOSE({1,2},定义数据!$F$2:$F$7,武器部位),2)</f>
        <v>武器</v>
      </c>
      <c r="F3" s="14">
        <v>0</v>
      </c>
      <c r="G3" s="14">
        <v>1</v>
      </c>
      <c r="H3" s="14">
        <v>0</v>
      </c>
      <c r="I3" s="14">
        <v>0</v>
      </c>
      <c r="J3" s="14">
        <v>0</v>
      </c>
      <c r="K3" s="14">
        <v>500</v>
      </c>
      <c r="L3" s="76"/>
      <c r="M3" s="14">
        <f>IF(OR(G3&lt;15,G3=80),0,D_装备升级表!A3)</f>
        <v>0</v>
      </c>
      <c r="N3" s="78">
        <v>1</v>
      </c>
      <c r="O3" s="14">
        <f t="shared" ref="O3:O82" si="4">MID($A3,5,1)*100+MID($A3,4,1)*1000</f>
        <v>100</v>
      </c>
      <c r="P3" s="14"/>
      <c r="Q3" s="14">
        <v>2</v>
      </c>
      <c r="R3" s="14">
        <v>2</v>
      </c>
      <c r="S3" s="14">
        <f t="shared" ca="1" si="0"/>
        <v>14.932414973262038</v>
      </c>
      <c r="T3" s="14">
        <v>8</v>
      </c>
      <c r="U3" s="14">
        <f t="shared" ca="1" si="1"/>
        <v>9.2592592592592595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 s="14">
        <v>0</v>
      </c>
      <c r="AG3" s="14">
        <v>0</v>
      </c>
      <c r="AH3" s="14">
        <v>0</v>
      </c>
      <c r="AI3" s="14">
        <v>0</v>
      </c>
      <c r="AJ3" s="14">
        <v>0</v>
      </c>
      <c r="AK3" s="14">
        <v>0</v>
      </c>
      <c r="AM3" t="str">
        <f>IF(D3=0,5,D3) &amp; F3&amp;"00"&amp;VLOOKUP(G3,定义数据!$F$20:$G$27,2,FALSE)&amp;".png"</f>
        <v>20001.png</v>
      </c>
      <c r="AN3" s="79">
        <f>IF(OR(G3&lt;15),0,D_装备升级表!A3)</f>
        <v>0</v>
      </c>
      <c r="AP3">
        <v>0</v>
      </c>
      <c r="AQ3">
        <f>AP3*'[1]0、经济设定'!$C$18*AT3</f>
        <v>0</v>
      </c>
      <c r="AR3">
        <f>IFERROR(AQ3*'[1]0、经济设定'!$E$19*AU3*AS3,0)</f>
        <v>0</v>
      </c>
      <c r="AS3">
        <v>10</v>
      </c>
      <c r="AT3">
        <f t="shared" si="2"/>
        <v>1</v>
      </c>
      <c r="AU3">
        <f>IF(F3=0,IFERROR(AT3/AP3/'[1]0、经济设定'!$E$18,0),AU2)</f>
        <v>0</v>
      </c>
    </row>
    <row r="4" spans="1:52" x14ac:dyDescent="0.15">
      <c r="A4" s="14" t="str">
        <f t="shared" si="3"/>
        <v>30001</v>
      </c>
      <c r="B4" s="14" t="s">
        <v>287</v>
      </c>
      <c r="C4" s="14">
        <v>1</v>
      </c>
      <c r="D4" s="14">
        <v>3</v>
      </c>
      <c r="E4" s="14" t="str">
        <f>VLOOKUP(F4,CHOOSE({1,2},定义数据!$F$2:$F$7,武器部位),2)</f>
        <v>武器</v>
      </c>
      <c r="F4" s="14">
        <v>0</v>
      </c>
      <c r="G4" s="14">
        <v>1</v>
      </c>
      <c r="H4" s="14">
        <v>0</v>
      </c>
      <c r="I4" s="14">
        <v>0</v>
      </c>
      <c r="J4" s="14">
        <v>0</v>
      </c>
      <c r="K4" s="14">
        <v>500</v>
      </c>
      <c r="L4" s="76"/>
      <c r="M4" s="14">
        <f>IF(OR(G4&lt;15,G4=80),0,D_装备升级表!A4)</f>
        <v>0</v>
      </c>
      <c r="N4" s="78">
        <v>1</v>
      </c>
      <c r="O4" s="14">
        <f t="shared" si="4"/>
        <v>100</v>
      </c>
      <c r="P4" s="14"/>
      <c r="Q4" s="14">
        <v>2</v>
      </c>
      <c r="R4" s="14">
        <v>2</v>
      </c>
      <c r="S4" s="14">
        <f ca="1">S5</f>
        <v>14.932414973262038</v>
      </c>
      <c r="T4" s="14">
        <v>8</v>
      </c>
      <c r="U4" s="14">
        <f ca="1">U5</f>
        <v>9.2592592592592595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M4" t="str">
        <f>IF(D4=0,5,D4) &amp; F4&amp;"00"&amp;VLOOKUP(G4,定义数据!$F$20:$G$27,2,FALSE)&amp;".png"</f>
        <v>30001.png</v>
      </c>
      <c r="AN4" s="79">
        <f>IF(OR(G4&lt;15),0,D_装备升级表!A4)</f>
        <v>0</v>
      </c>
      <c r="AP4">
        <v>0</v>
      </c>
      <c r="AQ4">
        <f>AP4*'[1]0、经济设定'!$C$18*AT4</f>
        <v>0</v>
      </c>
      <c r="AR4">
        <f>IFERROR(AQ4*'[1]0、经济设定'!$E$19*AU4*AS4,0)</f>
        <v>0</v>
      </c>
      <c r="AS4">
        <v>10</v>
      </c>
      <c r="AT4">
        <f t="shared" si="2"/>
        <v>1</v>
      </c>
      <c r="AU4">
        <f>IF(F4=0,IFERROR(AT4/AP4/'[1]0、经济设定'!$E$18,0),AU3)</f>
        <v>0</v>
      </c>
      <c r="AY4" s="5" t="s">
        <v>391</v>
      </c>
      <c r="AZ4" s="5" t="s">
        <v>392</v>
      </c>
    </row>
    <row r="5" spans="1:52" x14ac:dyDescent="0.15">
      <c r="A5" s="14" t="str">
        <f t="shared" si="3"/>
        <v>10002</v>
      </c>
      <c r="B5" s="14" t="s">
        <v>285</v>
      </c>
      <c r="C5" s="14">
        <f>VLOOKUP($I5&amp;$F5&amp;$G5,装备属性表,装备属性计算表!AK$29,FALSE)</f>
        <v>2</v>
      </c>
      <c r="D5" s="14">
        <v>1</v>
      </c>
      <c r="E5" s="14" t="str">
        <f>VLOOKUP(F5,CHOOSE({1,2},定义数据!$F$2:$F$7,武器部位),2)</f>
        <v>武器</v>
      </c>
      <c r="F5" s="14">
        <v>0</v>
      </c>
      <c r="G5" s="14">
        <v>5</v>
      </c>
      <c r="H5" s="14">
        <v>5</v>
      </c>
      <c r="I5" s="14">
        <v>0</v>
      </c>
      <c r="J5" s="14" t="str">
        <f t="shared" ref="J5" si="5">G5&amp;I5&amp;F5</f>
        <v>500</v>
      </c>
      <c r="K5" s="14" t="str">
        <f t="shared" ref="K5" si="6">G5&amp;I5&amp;F5</f>
        <v>500</v>
      </c>
      <c r="L5" s="76"/>
      <c r="M5" s="14">
        <f>IF(OR(G5&lt;15,G5=80),0,D_装备升级表!A5)</f>
        <v>0</v>
      </c>
      <c r="N5" s="78">
        <v>1</v>
      </c>
      <c r="O5" s="14">
        <f t="shared" si="4"/>
        <v>200</v>
      </c>
      <c r="P5" s="14"/>
      <c r="Q5" s="14">
        <f>VLOOKUP($I5&amp;$F5&amp;$G5,装备属性表,装备属性计算表!AL$29,FALSE)</f>
        <v>2</v>
      </c>
      <c r="R5" s="14">
        <f ca="1">VLOOKUP(VLOOKUP($I5&amp;$F5&amp;$G5,装备属性表,装备属性计算表!AM$29,FALSE),定义数据!$B$13:$C$35,2,FALSE)</f>
        <v>2</v>
      </c>
      <c r="S5" s="14">
        <f ca="1">VLOOKUP($I5&amp;$F5&amp;$G5,装备属性表,装备属性计算表!AN$29,FALSE)</f>
        <v>14.932414973262038</v>
      </c>
      <c r="T5" s="14">
        <f ca="1">VLOOKUP(VLOOKUP($I5&amp;$F5&amp;$G5,装备属性表,装备属性计算表!AO$29,FALSE),定义数据!$B$13:$C$35,2,FALSE)</f>
        <v>8</v>
      </c>
      <c r="U5" s="14">
        <f ca="1">VLOOKUP($I5&amp;$F5&amp;$G5,装备属性表,装备属性计算表!AP$29,FALSE)</f>
        <v>9.2592592592592595</v>
      </c>
      <c r="V5" s="14">
        <f ca="1">VLOOKUP(VLOOKUP($I5&amp;$F5&amp;$G5,装备属性表,装备属性计算表!AQ$29,FALSE),定义数据!$B$13:$C$35,2,FALSE)</f>
        <v>0</v>
      </c>
      <c r="W5" s="14">
        <f>VLOOKUP($I5&amp;$F5&amp;$G5,装备属性表,装备属性计算表!AR$29,FALSE)</f>
        <v>0</v>
      </c>
      <c r="X5" s="14">
        <f ca="1">VLOOKUP(VLOOKUP($I5&amp;$F5&amp;$G5,装备属性表,装备属性计算表!AS$29,FALSE),定义数据!$B$13:$C$35,2,FALSE)</f>
        <v>0</v>
      </c>
      <c r="Y5" s="14">
        <f>VLOOKUP($I5&amp;$F5&amp;$G5,装备属性表,装备属性计算表!AT$29,FALSE)</f>
        <v>0</v>
      </c>
      <c r="Z5" s="14">
        <f ca="1">VLOOKUP(VLOOKUP($I5&amp;$F5&amp;$G5,装备属性表,装备属性计算表!AU$29,FALSE),定义数据!$B$13:$C$35,2,FALSE)</f>
        <v>0</v>
      </c>
      <c r="AA5" s="14">
        <f>VLOOKUP($I5&amp;$F5&amp;$G5,装备属性表,装备属性计算表!AV$29,FALSE)</f>
        <v>0</v>
      </c>
      <c r="AB5" s="14">
        <f ca="1">VLOOKUP(VLOOKUP($I5&amp;$F5&amp;$G5,装备属性表,装备属性计算表!AW$29,FALSE),定义数据!$B$13:$C$35,2,FALSE)</f>
        <v>0</v>
      </c>
      <c r="AC5" s="14">
        <f>VLOOKUP($I5&amp;$F5&amp;$G5,装备属性表,装备属性计算表!AX$29,FALSE)</f>
        <v>0</v>
      </c>
      <c r="AD5" s="14">
        <f ca="1">VLOOKUP(VLOOKUP($I5&amp;$F5&amp;$G5,装备属性表,装备属性计算表!AY$29,FALSE),定义数据!$B$13:$C$35,2,FALSE)</f>
        <v>0</v>
      </c>
      <c r="AE5" s="14">
        <f>VLOOKUP($I5&amp;$F5&amp;$G5,装备属性表,装备属性计算表!AZ$29,FALSE)</f>
        <v>0</v>
      </c>
      <c r="AF5" s="14">
        <f ca="1">VLOOKUP(VLOOKUP($I5&amp;$F5&amp;$G5,装备属性表,装备属性计算表!BA$29,FALSE),定义数据!$B$13:$C$35,2,FALSE)</f>
        <v>0</v>
      </c>
      <c r="AG5" s="14">
        <f>VLOOKUP($I5&amp;$F5&amp;$G5,装备属性表,装备属性计算表!BB$29,FALSE)</f>
        <v>0</v>
      </c>
      <c r="AH5" s="14">
        <f ca="1">VLOOKUP(VLOOKUP($I5&amp;$F5&amp;$G5,装备属性表,装备属性计算表!BC$29,FALSE),定义数据!$B$13:$C$35,2,FALSE)</f>
        <v>0</v>
      </c>
      <c r="AI5" s="14">
        <f>VLOOKUP($I5&amp;$F5&amp;$G5,装备属性表,装备属性计算表!BD$29,FALSE)</f>
        <v>0</v>
      </c>
      <c r="AJ5" s="14">
        <f ca="1">VLOOKUP(VLOOKUP($I5&amp;$F5&amp;$G5,装备属性表,装备属性计算表!BE$29,FALSE),定义数据!$B$13:$C$35,2,FALSE)</f>
        <v>0</v>
      </c>
      <c r="AK5" s="14">
        <f>VLOOKUP($I5&amp;$F5&amp;$G5,装备属性表,装备属性计算表!BF$29,FALSE)</f>
        <v>0</v>
      </c>
      <c r="AM5" t="str">
        <f>IF(D5=0,5,D5) &amp; F5&amp;"00"&amp;VLOOKUP(G5,定义数据!$F$20:$G$27,2,FALSE)&amp;".png"</f>
        <v>10001.png</v>
      </c>
      <c r="AN5" s="79">
        <f>IF(OR(G5&lt;15),0,D_装备升级表!A5)</f>
        <v>0</v>
      </c>
      <c r="AP5">
        <f ca="1">VLOOKUP(G5&amp;I5&amp;F5,CHOOSE({1,2},装备属性计算表!$BK$32:$BK$187,装备属性计算表!$BJ$32:$BJ$187),2,FALSE)</f>
        <v>16.599081639928706</v>
      </c>
      <c r="AQ5">
        <f ca="1">AP5*'[1]0、经济设定'!$C$18</f>
        <v>829.95408199643532</v>
      </c>
      <c r="AR5">
        <f ca="1">IFERROR(AQ5*'[1]0、经济设定'!$E$19*AU5*AS5,0)</f>
        <v>50</v>
      </c>
      <c r="AS5">
        <v>10</v>
      </c>
      <c r="AT5">
        <f t="shared" si="2"/>
        <v>5</v>
      </c>
      <c r="AU5">
        <f ca="1">IF(F5=0,IFERROR(AT5/AP5/'[1]0、经济设定'!$E$18,0),AU4)</f>
        <v>3.0122148372188349</v>
      </c>
      <c r="AY5" s="5">
        <v>0</v>
      </c>
      <c r="AZ5" s="5">
        <v>1</v>
      </c>
    </row>
    <row r="6" spans="1:52" x14ac:dyDescent="0.15">
      <c r="A6" s="14" t="str">
        <f t="shared" si="3"/>
        <v>20002</v>
      </c>
      <c r="B6" s="14" t="s">
        <v>209</v>
      </c>
      <c r="C6" s="14">
        <f>VLOOKUP($I6&amp;$F6&amp;$G6,装备属性表,装备属性计算表!AK$29,FALSE)</f>
        <v>2</v>
      </c>
      <c r="D6" s="14">
        <v>2</v>
      </c>
      <c r="E6" s="14" t="str">
        <f>VLOOKUP(F6,CHOOSE({1,2},定义数据!$F$2:$F$7,武器部位),2)</f>
        <v>武器</v>
      </c>
      <c r="F6" s="14">
        <v>0</v>
      </c>
      <c r="G6" s="14">
        <v>5</v>
      </c>
      <c r="H6" s="14">
        <f t="shared" ref="H6:H133" si="7">G6</f>
        <v>5</v>
      </c>
      <c r="I6" s="14">
        <v>0</v>
      </c>
      <c r="J6" s="14" t="str">
        <f t="shared" ref="J6:J133" si="8">G6&amp;I6&amp;F6</f>
        <v>500</v>
      </c>
      <c r="K6" s="14" t="str">
        <f t="shared" ref="K6:K133" si="9">G6&amp;I6&amp;F6</f>
        <v>500</v>
      </c>
      <c r="L6" s="76"/>
      <c r="M6" s="14">
        <f>IF(OR(G6&lt;15,G6=80),0,D_装备升级表!A6)</f>
        <v>0</v>
      </c>
      <c r="N6" s="78">
        <v>1</v>
      </c>
      <c r="O6" s="14">
        <f t="shared" si="4"/>
        <v>200</v>
      </c>
      <c r="P6" s="14"/>
      <c r="Q6" s="14">
        <f>VLOOKUP($I6&amp;$F6&amp;$G6,装备属性表,装备属性计算表!AL$29,FALSE)</f>
        <v>2</v>
      </c>
      <c r="R6" s="14">
        <f ca="1">VLOOKUP(VLOOKUP($I6&amp;$F6&amp;$G6,装备属性表,装备属性计算表!AM$29,FALSE),定义数据!$B$13:$C$35,2,FALSE)</f>
        <v>2</v>
      </c>
      <c r="S6" s="14">
        <f ca="1">VLOOKUP($I6&amp;$F6&amp;$G6,装备属性表,装备属性计算表!AN$29,FALSE)</f>
        <v>14.932414973262038</v>
      </c>
      <c r="T6" s="14">
        <f ca="1">VLOOKUP(VLOOKUP($I6&amp;$F6&amp;$G6,装备属性表,装备属性计算表!AO$29,FALSE),定义数据!$B$13:$C$35,2,FALSE)</f>
        <v>8</v>
      </c>
      <c r="U6" s="14">
        <f ca="1">VLOOKUP($I6&amp;$F6&amp;$G6,装备属性表,装备属性计算表!AP$29,FALSE)</f>
        <v>9.2592592592592595</v>
      </c>
      <c r="V6" s="14">
        <f ca="1">VLOOKUP(VLOOKUP($I6&amp;$F6&amp;$G6,装备属性表,装备属性计算表!AQ$29,FALSE),定义数据!$B$13:$C$35,2,FALSE)</f>
        <v>0</v>
      </c>
      <c r="W6" s="14">
        <f>VLOOKUP($I6&amp;$F6&amp;$G6,装备属性表,装备属性计算表!AR$29,FALSE)</f>
        <v>0</v>
      </c>
      <c r="X6" s="14">
        <f ca="1">VLOOKUP(VLOOKUP($I6&amp;$F6&amp;$G6,装备属性表,装备属性计算表!AS$29,FALSE),定义数据!$B$13:$C$35,2,FALSE)</f>
        <v>0</v>
      </c>
      <c r="Y6" s="14">
        <f>VLOOKUP($I6&amp;$F6&amp;$G6,装备属性表,装备属性计算表!AT$29,FALSE)</f>
        <v>0</v>
      </c>
      <c r="Z6" s="14">
        <f ca="1">VLOOKUP(VLOOKUP($I6&amp;$F6&amp;$G6,装备属性表,装备属性计算表!AU$29,FALSE),定义数据!$B$13:$C$35,2,FALSE)</f>
        <v>0</v>
      </c>
      <c r="AA6" s="14">
        <f>VLOOKUP($I6&amp;$F6&amp;$G6,装备属性表,装备属性计算表!AV$29,FALSE)</f>
        <v>0</v>
      </c>
      <c r="AB6" s="14">
        <f ca="1">VLOOKUP(VLOOKUP($I6&amp;$F6&amp;$G6,装备属性表,装备属性计算表!AW$29,FALSE),定义数据!$B$13:$C$35,2,FALSE)</f>
        <v>0</v>
      </c>
      <c r="AC6" s="14">
        <f>VLOOKUP($I6&amp;$F6&amp;$G6,装备属性表,装备属性计算表!AX$29,FALSE)</f>
        <v>0</v>
      </c>
      <c r="AD6" s="14">
        <f ca="1">VLOOKUP(VLOOKUP($I6&amp;$F6&amp;$G6,装备属性表,装备属性计算表!AY$29,FALSE),定义数据!$B$13:$C$35,2,FALSE)</f>
        <v>0</v>
      </c>
      <c r="AE6" s="14">
        <f>VLOOKUP($I6&amp;$F6&amp;$G6,装备属性表,装备属性计算表!AZ$29,FALSE)</f>
        <v>0</v>
      </c>
      <c r="AF6" s="14">
        <f ca="1">VLOOKUP(VLOOKUP($I6&amp;$F6&amp;$G6,装备属性表,装备属性计算表!BA$29,FALSE),定义数据!$B$13:$C$35,2,FALSE)</f>
        <v>0</v>
      </c>
      <c r="AG6" s="14">
        <f>VLOOKUP($I6&amp;$F6&amp;$G6,装备属性表,装备属性计算表!BB$29,FALSE)</f>
        <v>0</v>
      </c>
      <c r="AH6" s="14">
        <f ca="1">VLOOKUP(VLOOKUP($I6&amp;$F6&amp;$G6,装备属性表,装备属性计算表!BC$29,FALSE),定义数据!$B$13:$C$35,2,FALSE)</f>
        <v>0</v>
      </c>
      <c r="AI6" s="14">
        <f>VLOOKUP($I6&amp;$F6&amp;$G6,装备属性表,装备属性计算表!BD$29,FALSE)</f>
        <v>0</v>
      </c>
      <c r="AJ6" s="14">
        <f ca="1">VLOOKUP(VLOOKUP($I6&amp;$F6&amp;$G6,装备属性表,装备属性计算表!BE$29,FALSE),定义数据!$B$13:$C$35,2,FALSE)</f>
        <v>0</v>
      </c>
      <c r="AK6" s="14">
        <f>VLOOKUP($I6&amp;$F6&amp;$G6,装备属性表,装备属性计算表!BF$29,FALSE)</f>
        <v>0</v>
      </c>
      <c r="AM6" t="str">
        <f>IF(D6=0,5,D6) &amp; F6&amp;"00"&amp;VLOOKUP(G6,定义数据!$F$20:$G$27,2,FALSE)&amp;".png"</f>
        <v>20001.png</v>
      </c>
      <c r="AN6" s="79">
        <f>IF(OR(G6&lt;15),0,D_装备升级表!A6)</f>
        <v>0</v>
      </c>
      <c r="AP6">
        <f ca="1">VLOOKUP(G6&amp;I6&amp;F6,CHOOSE({1,2},装备属性计算表!$BK$32:$BK$187,装备属性计算表!$BJ$32:$BJ$187),2,FALSE)</f>
        <v>16.599081639928706</v>
      </c>
      <c r="AQ6">
        <f ca="1">AP6*'[1]0、经济设定'!$C$18</f>
        <v>829.95408199643532</v>
      </c>
      <c r="AR6">
        <f ca="1">IFERROR(AQ6*'[1]0、经济设定'!$E$19*AU6*AS6,0)</f>
        <v>50</v>
      </c>
      <c r="AS6">
        <v>10</v>
      </c>
      <c r="AT6">
        <f t="shared" si="2"/>
        <v>5</v>
      </c>
      <c r="AU6">
        <f ca="1">IF(F6=0,IFERROR(AT6/AP6/'[1]0、经济设定'!$E$18,0),AU5)</f>
        <v>3.0122148372188349</v>
      </c>
      <c r="AY6" s="5">
        <v>1</v>
      </c>
      <c r="AZ6" s="5">
        <v>1.2</v>
      </c>
    </row>
    <row r="7" spans="1:52" x14ac:dyDescent="0.15">
      <c r="A7" s="14" t="str">
        <f t="shared" si="3"/>
        <v>30002</v>
      </c>
      <c r="B7" s="14" t="s">
        <v>517</v>
      </c>
      <c r="C7" s="14">
        <f>VLOOKUP($I7&amp;$F7&amp;$G7,装备属性表,装备属性计算表!AK$29,FALSE)</f>
        <v>2</v>
      </c>
      <c r="D7" s="14">
        <v>3</v>
      </c>
      <c r="E7" s="14" t="str">
        <f>VLOOKUP(F7,CHOOSE({1,2},定义数据!$F$2:$F$7,武器部位),2)</f>
        <v>武器</v>
      </c>
      <c r="F7" s="14">
        <v>0</v>
      </c>
      <c r="G7" s="14">
        <v>5</v>
      </c>
      <c r="H7" s="14">
        <f t="shared" si="7"/>
        <v>5</v>
      </c>
      <c r="I7" s="14">
        <v>0</v>
      </c>
      <c r="J7" s="14" t="str">
        <f t="shared" si="8"/>
        <v>500</v>
      </c>
      <c r="K7" s="14" t="str">
        <f t="shared" si="9"/>
        <v>500</v>
      </c>
      <c r="L7" s="76"/>
      <c r="M7" s="14">
        <f>IF(OR(G7&lt;15,G7=80),0,D_装备升级表!A7)</f>
        <v>0</v>
      </c>
      <c r="N7" s="78">
        <v>1</v>
      </c>
      <c r="O7" s="14">
        <f t="shared" si="4"/>
        <v>200</v>
      </c>
      <c r="P7" s="14"/>
      <c r="Q7" s="14">
        <f>VLOOKUP($I7&amp;$F7&amp;$G7,装备属性表,装备属性计算表!AL$29,FALSE)</f>
        <v>2</v>
      </c>
      <c r="R7" s="14">
        <f ca="1">VLOOKUP(VLOOKUP($I7&amp;$F7&amp;$G7,装备属性表,装备属性计算表!AM$29,FALSE),定义数据!$B$13:$C$35,2,FALSE)</f>
        <v>2</v>
      </c>
      <c r="S7" s="14">
        <f ca="1">VLOOKUP($I7&amp;$F7&amp;$G7,装备属性表,装备属性计算表!AN$29,FALSE)</f>
        <v>14.932414973262038</v>
      </c>
      <c r="T7" s="14">
        <f ca="1">VLOOKUP(VLOOKUP($I7&amp;$F7&amp;$G7,装备属性表,装备属性计算表!AO$29,FALSE),定义数据!$B$13:$C$35,2,FALSE)</f>
        <v>8</v>
      </c>
      <c r="U7" s="14">
        <f ca="1">VLOOKUP($I7&amp;$F7&amp;$G7,装备属性表,装备属性计算表!AP$29,FALSE)</f>
        <v>9.2592592592592595</v>
      </c>
      <c r="V7" s="14">
        <f ca="1">VLOOKUP(VLOOKUP($I7&amp;$F7&amp;$G7,装备属性表,装备属性计算表!AQ$29,FALSE),定义数据!$B$13:$C$35,2,FALSE)</f>
        <v>0</v>
      </c>
      <c r="W7" s="14">
        <f>VLOOKUP($I7&amp;$F7&amp;$G7,装备属性表,装备属性计算表!AR$29,FALSE)</f>
        <v>0</v>
      </c>
      <c r="X7" s="14">
        <f ca="1">VLOOKUP(VLOOKUP($I7&amp;$F7&amp;$G7,装备属性表,装备属性计算表!AS$29,FALSE),定义数据!$B$13:$C$35,2,FALSE)</f>
        <v>0</v>
      </c>
      <c r="Y7" s="14">
        <f>VLOOKUP($I7&amp;$F7&amp;$G7,装备属性表,装备属性计算表!AT$29,FALSE)</f>
        <v>0</v>
      </c>
      <c r="Z7" s="14">
        <f ca="1">VLOOKUP(VLOOKUP($I7&amp;$F7&amp;$G7,装备属性表,装备属性计算表!AU$29,FALSE),定义数据!$B$13:$C$35,2,FALSE)</f>
        <v>0</v>
      </c>
      <c r="AA7" s="14">
        <f>VLOOKUP($I7&amp;$F7&amp;$G7,装备属性表,装备属性计算表!AV$29,FALSE)</f>
        <v>0</v>
      </c>
      <c r="AB7" s="14">
        <f ca="1">VLOOKUP(VLOOKUP($I7&amp;$F7&amp;$G7,装备属性表,装备属性计算表!AW$29,FALSE),定义数据!$B$13:$C$35,2,FALSE)</f>
        <v>0</v>
      </c>
      <c r="AC7" s="14">
        <f>VLOOKUP($I7&amp;$F7&amp;$G7,装备属性表,装备属性计算表!AX$29,FALSE)</f>
        <v>0</v>
      </c>
      <c r="AD7" s="14">
        <f ca="1">VLOOKUP(VLOOKUP($I7&amp;$F7&amp;$G7,装备属性表,装备属性计算表!AY$29,FALSE),定义数据!$B$13:$C$35,2,FALSE)</f>
        <v>0</v>
      </c>
      <c r="AE7" s="14">
        <f>VLOOKUP($I7&amp;$F7&amp;$G7,装备属性表,装备属性计算表!AZ$29,FALSE)</f>
        <v>0</v>
      </c>
      <c r="AF7" s="14">
        <f ca="1">VLOOKUP(VLOOKUP($I7&amp;$F7&amp;$G7,装备属性表,装备属性计算表!BA$29,FALSE),定义数据!$B$13:$C$35,2,FALSE)</f>
        <v>0</v>
      </c>
      <c r="AG7" s="14">
        <f>VLOOKUP($I7&amp;$F7&amp;$G7,装备属性表,装备属性计算表!BB$29,FALSE)</f>
        <v>0</v>
      </c>
      <c r="AH7" s="14">
        <f ca="1">VLOOKUP(VLOOKUP($I7&amp;$F7&amp;$G7,装备属性表,装备属性计算表!BC$29,FALSE),定义数据!$B$13:$C$35,2,FALSE)</f>
        <v>0</v>
      </c>
      <c r="AI7" s="14">
        <f>VLOOKUP($I7&amp;$F7&amp;$G7,装备属性表,装备属性计算表!BD$29,FALSE)</f>
        <v>0</v>
      </c>
      <c r="AJ7" s="14">
        <f ca="1">VLOOKUP(VLOOKUP($I7&amp;$F7&amp;$G7,装备属性表,装备属性计算表!BE$29,FALSE),定义数据!$B$13:$C$35,2,FALSE)</f>
        <v>0</v>
      </c>
      <c r="AK7" s="14">
        <f>VLOOKUP($I7&amp;$F7&amp;$G7,装备属性表,装备属性计算表!BF$29,FALSE)</f>
        <v>0</v>
      </c>
      <c r="AM7" t="str">
        <f>IF(D7=0,5,D7) &amp; F7&amp;"00"&amp;VLOOKUP(G7,定义数据!$F$20:$G$27,2,FALSE)&amp;".png"</f>
        <v>30001.png</v>
      </c>
      <c r="AN7" s="79">
        <f>IF(OR(G7&lt;15),0,D_装备升级表!A7)</f>
        <v>0</v>
      </c>
      <c r="AP7">
        <f ca="1">VLOOKUP(G7&amp;I7&amp;F7,CHOOSE({1,2},装备属性计算表!$BK$32:$BK$187,装备属性计算表!$BJ$32:$BJ$187),2,FALSE)</f>
        <v>16.599081639928706</v>
      </c>
      <c r="AQ7">
        <f ca="1">AP7*'[1]0、经济设定'!$C$18</f>
        <v>829.95408199643532</v>
      </c>
      <c r="AR7">
        <f ca="1">IFERROR(AQ7*'[1]0、经济设定'!$E$19*AU7*AS7,0)</f>
        <v>50</v>
      </c>
      <c r="AS7">
        <v>10</v>
      </c>
      <c r="AT7">
        <f t="shared" si="2"/>
        <v>5</v>
      </c>
      <c r="AU7">
        <f ca="1">IF(F7=0,IFERROR(AT7/AP7/'[1]0、经济设定'!$E$18,0),AU6)</f>
        <v>3.0122148372188349</v>
      </c>
      <c r="AY7" s="5">
        <v>2</v>
      </c>
      <c r="AZ7" s="5">
        <v>2.4</v>
      </c>
    </row>
    <row r="8" spans="1:52" x14ac:dyDescent="0.15">
      <c r="A8" s="14" t="str">
        <f t="shared" si="3"/>
        <v>51002</v>
      </c>
      <c r="B8" s="14" t="s">
        <v>518</v>
      </c>
      <c r="C8" s="14">
        <f>VLOOKUP($I8&amp;$F8&amp;$G8,装备属性表,装备属性计算表!AK$29,FALSE)</f>
        <v>2</v>
      </c>
      <c r="D8" s="14">
        <v>0</v>
      </c>
      <c r="E8" s="14" t="str">
        <f>VLOOKUP(F8,CHOOSE({1,2},定义数据!$F$2:$F$7,武器部位),2)</f>
        <v>衣服</v>
      </c>
      <c r="F8" s="14">
        <v>1</v>
      </c>
      <c r="G8" s="14">
        <v>5</v>
      </c>
      <c r="H8" s="14">
        <f t="shared" si="7"/>
        <v>5</v>
      </c>
      <c r="I8" s="14">
        <v>0</v>
      </c>
      <c r="J8" s="14" t="str">
        <f t="shared" si="8"/>
        <v>501</v>
      </c>
      <c r="K8" s="14" t="str">
        <f t="shared" si="9"/>
        <v>501</v>
      </c>
      <c r="L8" s="76"/>
      <c r="M8" s="14">
        <f>IF(OR(G8&lt;15,G8=80),0,D_装备升级表!A8)</f>
        <v>0</v>
      </c>
      <c r="N8" s="78">
        <v>1</v>
      </c>
      <c r="O8" s="14">
        <f t="shared" si="4"/>
        <v>200</v>
      </c>
      <c r="P8" s="14"/>
      <c r="Q8" s="14">
        <f>VLOOKUP($I8&amp;$F8&amp;$G8,装备属性表,装备属性计算表!AL$29,FALSE)</f>
        <v>2</v>
      </c>
      <c r="R8" s="14">
        <f ca="1">VLOOKUP(VLOOKUP($I8&amp;$F8&amp;$G8,装备属性表,装备属性计算表!AM$29,FALSE),定义数据!$B$13:$C$35,2,FALSE)</f>
        <v>1</v>
      </c>
      <c r="S8" s="14">
        <f ca="1">VLOOKUP($I8&amp;$F8&amp;$G8,装备属性表,装备属性计算表!AN$29,FALSE)</f>
        <v>235.18895891904336</v>
      </c>
      <c r="T8" s="14">
        <f ca="1">VLOOKUP(VLOOKUP($I8&amp;$F8&amp;$G8,装备属性表,装备属性计算表!AO$29,FALSE),定义数据!$B$13:$C$35,2,FALSE)</f>
        <v>3</v>
      </c>
      <c r="U8" s="14">
        <f ca="1">VLOOKUP($I8&amp;$F8&amp;$G8,装备属性表,装备属性计算表!AP$29,FALSE)</f>
        <v>5.1620780589254771</v>
      </c>
      <c r="V8" s="14">
        <f ca="1">VLOOKUP(VLOOKUP($I8&amp;$F8&amp;$G8,装备属性表,装备属性计算表!AQ$29,FALSE),定义数据!$B$13:$C$35,2,FALSE)</f>
        <v>0</v>
      </c>
      <c r="W8" s="14">
        <f>VLOOKUP($I8&amp;$F8&amp;$G8,装备属性表,装备属性计算表!AR$29,FALSE)</f>
        <v>0</v>
      </c>
      <c r="X8" s="14">
        <f ca="1">VLOOKUP(VLOOKUP($I8&amp;$F8&amp;$G8,装备属性表,装备属性计算表!AS$29,FALSE),定义数据!$B$13:$C$35,2,FALSE)</f>
        <v>0</v>
      </c>
      <c r="Y8" s="14">
        <f>VLOOKUP($I8&amp;$F8&amp;$G8,装备属性表,装备属性计算表!AT$29,FALSE)</f>
        <v>0</v>
      </c>
      <c r="Z8" s="14">
        <f ca="1">VLOOKUP(VLOOKUP($I8&amp;$F8&amp;$G8,装备属性表,装备属性计算表!AU$29,FALSE),定义数据!$B$13:$C$35,2,FALSE)</f>
        <v>0</v>
      </c>
      <c r="AA8" s="14">
        <f>VLOOKUP($I8&amp;$F8&amp;$G8,装备属性表,装备属性计算表!AV$29,FALSE)</f>
        <v>0</v>
      </c>
      <c r="AB8" s="14">
        <f ca="1">VLOOKUP(VLOOKUP($I8&amp;$F8&amp;$G8,装备属性表,装备属性计算表!AW$29,FALSE),定义数据!$B$13:$C$35,2,FALSE)</f>
        <v>0</v>
      </c>
      <c r="AC8" s="14">
        <f>VLOOKUP($I8&amp;$F8&amp;$G8,装备属性表,装备属性计算表!AX$29,FALSE)</f>
        <v>0</v>
      </c>
      <c r="AD8" s="14">
        <f ca="1">VLOOKUP(VLOOKUP($I8&amp;$F8&amp;$G8,装备属性表,装备属性计算表!AY$29,FALSE),定义数据!$B$13:$C$35,2,FALSE)</f>
        <v>0</v>
      </c>
      <c r="AE8" s="14">
        <f>VLOOKUP($I8&amp;$F8&amp;$G8,装备属性表,装备属性计算表!AZ$29,FALSE)</f>
        <v>0</v>
      </c>
      <c r="AF8" s="14">
        <f ca="1">VLOOKUP(VLOOKUP($I8&amp;$F8&amp;$G8,装备属性表,装备属性计算表!BA$29,FALSE),定义数据!$B$13:$C$35,2,FALSE)</f>
        <v>0</v>
      </c>
      <c r="AG8" s="14">
        <f>VLOOKUP($I8&amp;$F8&amp;$G8,装备属性表,装备属性计算表!BB$29,FALSE)</f>
        <v>0</v>
      </c>
      <c r="AH8" s="14">
        <f ca="1">VLOOKUP(VLOOKUP($I8&amp;$F8&amp;$G8,装备属性表,装备属性计算表!BC$29,FALSE),定义数据!$B$13:$C$35,2,FALSE)</f>
        <v>0</v>
      </c>
      <c r="AI8" s="14">
        <f>VLOOKUP($I8&amp;$F8&amp;$G8,装备属性表,装备属性计算表!BD$29,FALSE)</f>
        <v>0</v>
      </c>
      <c r="AJ8" s="14">
        <f ca="1">VLOOKUP(VLOOKUP($I8&amp;$F8&amp;$G8,装备属性表,装备属性计算表!BE$29,FALSE),定义数据!$B$13:$C$35,2,FALSE)</f>
        <v>0</v>
      </c>
      <c r="AK8" s="14">
        <f>VLOOKUP($I8&amp;$F8&amp;$G8,装备属性表,装备属性计算表!BF$29,FALSE)</f>
        <v>0</v>
      </c>
      <c r="AM8" t="str">
        <f>IF(D8=0,5,D8) &amp; F8&amp;"00"&amp;VLOOKUP(G8,定义数据!$F$20:$G$27,2,FALSE)&amp;".png"</f>
        <v>51001.png</v>
      </c>
      <c r="AN8" s="79">
        <f>IF(OR(G8&lt;15),0,D_装备升级表!A8)</f>
        <v>0</v>
      </c>
      <c r="AP8">
        <f ca="1">VLOOKUP(G8&amp;I8&amp;F8,CHOOSE({1,2},装备属性计算表!$BK$32:$BK$187,装备属性计算表!$BJ$32:$BJ$187),2,FALSE)</f>
        <v>14.569636415687212</v>
      </c>
      <c r="AQ8">
        <f ca="1">AP8*'[1]0、经济设定'!$C$18</f>
        <v>728.48182078436059</v>
      </c>
      <c r="AR8">
        <f ca="1">IFERROR(AQ8*'[1]0、经济设定'!$E$19*AU8*AS8,0)</f>
        <v>43.886874984216874</v>
      </c>
      <c r="AS8">
        <v>10</v>
      </c>
      <c r="AT8">
        <f t="shared" si="2"/>
        <v>5</v>
      </c>
      <c r="AU8">
        <f ca="1">IF(F8=0,IFERROR(AT8/AP8/'[1]0、经济设定'!$E$18,0),AU7)</f>
        <v>3.0122148372188349</v>
      </c>
      <c r="AY8" s="5">
        <v>3</v>
      </c>
      <c r="AZ8" s="5">
        <v>6</v>
      </c>
    </row>
    <row r="9" spans="1:52" x14ac:dyDescent="0.15">
      <c r="A9" s="14" t="str">
        <f t="shared" si="3"/>
        <v>52002</v>
      </c>
      <c r="B9" s="14" t="s">
        <v>519</v>
      </c>
      <c r="C9" s="14">
        <f>VLOOKUP($I9&amp;$F9&amp;$G9,装备属性表,装备属性计算表!AK$29,FALSE)</f>
        <v>2</v>
      </c>
      <c r="D9" s="14">
        <v>0</v>
      </c>
      <c r="E9" s="14" t="str">
        <f>VLOOKUP(F9,CHOOSE({1,2},定义数据!$F$2:$F$7,武器部位),2)</f>
        <v>裤子</v>
      </c>
      <c r="F9" s="14">
        <v>2</v>
      </c>
      <c r="G9" s="14">
        <v>5</v>
      </c>
      <c r="H9" s="14">
        <f t="shared" si="7"/>
        <v>5</v>
      </c>
      <c r="I9" s="14">
        <v>0</v>
      </c>
      <c r="J9" s="14" t="str">
        <f t="shared" si="8"/>
        <v>502</v>
      </c>
      <c r="K9" s="14" t="str">
        <f t="shared" si="9"/>
        <v>502</v>
      </c>
      <c r="L9" s="76"/>
      <c r="M9" s="14">
        <f>IF(OR(G9&lt;15,G9=80),0,D_装备升级表!A9)</f>
        <v>0</v>
      </c>
      <c r="N9" s="78">
        <v>1</v>
      </c>
      <c r="O9" s="14">
        <f t="shared" si="4"/>
        <v>200</v>
      </c>
      <c r="P9" s="14"/>
      <c r="Q9" s="14">
        <f>VLOOKUP($I9&amp;$F9&amp;$G9,装备属性表,装备属性计算表!AL$29,FALSE)</f>
        <v>2</v>
      </c>
      <c r="R9" s="14">
        <f ca="1">VLOOKUP(VLOOKUP($I9&amp;$F9&amp;$G9,装备属性表,装备属性计算表!AM$29,FALSE),定义数据!$B$13:$C$35,2,FALSE)</f>
        <v>3</v>
      </c>
      <c r="S9" s="14">
        <f ca="1">VLOOKUP($I9&amp;$F9&amp;$G9,装备属性表,装备属性计算表!AN$29,FALSE)</f>
        <v>3.4413853726169847</v>
      </c>
      <c r="T9" s="14">
        <f ca="1">VLOOKUP(VLOOKUP($I9&amp;$F9&amp;$G9,装备属性表,装备属性计算表!AO$29,FALSE),定义数据!$B$13:$C$35,2,FALSE)</f>
        <v>7</v>
      </c>
      <c r="U9" s="14">
        <f ca="1">VLOOKUP($I9&amp;$F9&amp;$G9,装备属性表,装备属性计算表!AP$29,FALSE)</f>
        <v>5.208333333333333</v>
      </c>
      <c r="V9" s="14">
        <f ca="1">VLOOKUP(VLOOKUP($I9&amp;$F9&amp;$G9,装备属性表,装备属性计算表!AQ$29,FALSE),定义数据!$B$13:$C$35,2,FALSE)</f>
        <v>0</v>
      </c>
      <c r="W9" s="14">
        <f>VLOOKUP($I9&amp;$F9&amp;$G9,装备属性表,装备属性计算表!AR$29,FALSE)</f>
        <v>0</v>
      </c>
      <c r="X9" s="14">
        <f ca="1">VLOOKUP(VLOOKUP($I9&amp;$F9&amp;$G9,装备属性表,装备属性计算表!AS$29,FALSE),定义数据!$B$13:$C$35,2,FALSE)</f>
        <v>0</v>
      </c>
      <c r="Y9" s="14">
        <f>VLOOKUP($I9&amp;$F9&amp;$G9,装备属性表,装备属性计算表!AT$29,FALSE)</f>
        <v>0</v>
      </c>
      <c r="Z9" s="14">
        <f ca="1">VLOOKUP(VLOOKUP($I9&amp;$F9&amp;$G9,装备属性表,装备属性计算表!AU$29,FALSE),定义数据!$B$13:$C$35,2,FALSE)</f>
        <v>0</v>
      </c>
      <c r="AA9" s="14">
        <f>VLOOKUP($I9&amp;$F9&amp;$G9,装备属性表,装备属性计算表!AV$29,FALSE)</f>
        <v>0</v>
      </c>
      <c r="AB9" s="14">
        <f ca="1">VLOOKUP(VLOOKUP($I9&amp;$F9&amp;$G9,装备属性表,装备属性计算表!AW$29,FALSE),定义数据!$B$13:$C$35,2,FALSE)</f>
        <v>0</v>
      </c>
      <c r="AC9" s="14">
        <f>VLOOKUP($I9&amp;$F9&amp;$G9,装备属性表,装备属性计算表!AX$29,FALSE)</f>
        <v>0</v>
      </c>
      <c r="AD9" s="14">
        <f ca="1">VLOOKUP(VLOOKUP($I9&amp;$F9&amp;$G9,装备属性表,装备属性计算表!AY$29,FALSE),定义数据!$B$13:$C$35,2,FALSE)</f>
        <v>0</v>
      </c>
      <c r="AE9" s="14">
        <f>VLOOKUP($I9&amp;$F9&amp;$G9,装备属性表,装备属性计算表!AZ$29,FALSE)</f>
        <v>0</v>
      </c>
      <c r="AF9" s="14">
        <f ca="1">VLOOKUP(VLOOKUP($I9&amp;$F9&amp;$G9,装备属性表,装备属性计算表!BA$29,FALSE),定义数据!$B$13:$C$35,2,FALSE)</f>
        <v>0</v>
      </c>
      <c r="AG9" s="14">
        <f>VLOOKUP($I9&amp;$F9&amp;$G9,装备属性表,装备属性计算表!BB$29,FALSE)</f>
        <v>0</v>
      </c>
      <c r="AH9" s="14">
        <f ca="1">VLOOKUP(VLOOKUP($I9&amp;$F9&amp;$G9,装备属性表,装备属性计算表!BC$29,FALSE),定义数据!$B$13:$C$35,2,FALSE)</f>
        <v>0</v>
      </c>
      <c r="AI9" s="14">
        <f>VLOOKUP($I9&amp;$F9&amp;$G9,装备属性表,装备属性计算表!BD$29,FALSE)</f>
        <v>0</v>
      </c>
      <c r="AJ9" s="14">
        <f ca="1">VLOOKUP(VLOOKUP($I9&amp;$F9&amp;$G9,装备属性表,装备属性计算表!BE$29,FALSE),定义数据!$B$13:$C$35,2,FALSE)</f>
        <v>0</v>
      </c>
      <c r="AK9" s="14">
        <f>VLOOKUP($I9&amp;$F9&amp;$G9,装备属性表,装备属性计算表!BF$29,FALSE)</f>
        <v>0</v>
      </c>
      <c r="AM9" t="str">
        <f>IF(D9=0,5,D9) &amp; F9&amp;"00"&amp;VLOOKUP(G9,定义数据!$F$20:$G$27,2,FALSE)&amp;".png"</f>
        <v>52001.png</v>
      </c>
      <c r="AN9" s="79">
        <f>IF(OR(G9&lt;15),0,D_装备升级表!A9)</f>
        <v>0</v>
      </c>
      <c r="AP9">
        <f ca="1">VLOOKUP(G9&amp;I9&amp;F9,CHOOSE({1,2},装备属性计算表!$BK$32:$BK$187,装备属性计算表!$BJ$32:$BJ$187),2,FALSE)</f>
        <v>5.2122187059503178</v>
      </c>
      <c r="AQ9">
        <f ca="1">AP9*'[1]0、经济设定'!$C$18</f>
        <v>260.61093529751588</v>
      </c>
      <c r="AR9">
        <f ca="1">IFERROR(AQ9*'[1]0、经济设定'!$E$19*AU9*AS9,0)</f>
        <v>15.700322520893103</v>
      </c>
      <c r="AS9">
        <v>10</v>
      </c>
      <c r="AT9">
        <f t="shared" si="2"/>
        <v>5</v>
      </c>
      <c r="AU9">
        <f ca="1">IF(F9=0,IFERROR(AT9/AP9/'[1]0、经济设定'!$E$18,0),AU8)</f>
        <v>3.0122148372188349</v>
      </c>
      <c r="AY9" s="5">
        <v>4</v>
      </c>
      <c r="AZ9" s="5">
        <v>10</v>
      </c>
    </row>
    <row r="10" spans="1:52" x14ac:dyDescent="0.15">
      <c r="A10" s="14" t="str">
        <f t="shared" si="3"/>
        <v>55002</v>
      </c>
      <c r="B10" s="14" t="s">
        <v>520</v>
      </c>
      <c r="C10" s="14">
        <f>VLOOKUP($I10&amp;$F10&amp;$G10,装备属性表,装备属性计算表!AK$29,FALSE)</f>
        <v>2</v>
      </c>
      <c r="D10" s="14">
        <v>0</v>
      </c>
      <c r="E10" s="14" t="str">
        <f>VLOOKUP(F10,CHOOSE({1,2},定义数据!$F$2:$F$7,武器部位),2)</f>
        <v>鞋子</v>
      </c>
      <c r="F10" s="14">
        <v>5</v>
      </c>
      <c r="G10" s="14">
        <v>5</v>
      </c>
      <c r="H10" s="14">
        <f t="shared" si="7"/>
        <v>5</v>
      </c>
      <c r="I10" s="14">
        <v>0</v>
      </c>
      <c r="J10" s="14" t="str">
        <f t="shared" si="8"/>
        <v>505</v>
      </c>
      <c r="K10" s="14" t="str">
        <f t="shared" si="9"/>
        <v>505</v>
      </c>
      <c r="L10" s="76"/>
      <c r="M10" s="14">
        <f>IF(OR(G10&lt;15,G10=80),0,D_装备升级表!A10)</f>
        <v>0</v>
      </c>
      <c r="N10" s="78">
        <v>1</v>
      </c>
      <c r="O10" s="14">
        <f t="shared" si="4"/>
        <v>200</v>
      </c>
      <c r="P10" s="14"/>
      <c r="Q10" s="14">
        <f>VLOOKUP($I10&amp;$F10&amp;$G10,装备属性表,装备属性计算表!AL$29,FALSE)</f>
        <v>2</v>
      </c>
      <c r="R10" s="14">
        <f ca="1">VLOOKUP(VLOOKUP($I10&amp;$F10&amp;$G10,装备属性表,装备属性计算表!AM$29,FALSE),定义数据!$B$13:$C$35,2,FALSE)</f>
        <v>1</v>
      </c>
      <c r="S10" s="14">
        <f ca="1">VLOOKUP($I10&amp;$F10&amp;$G10,装备属性表,装备属性计算表!AN$29,FALSE)</f>
        <v>78.396319639681124</v>
      </c>
      <c r="T10" s="14">
        <f ca="1">VLOOKUP(VLOOKUP($I10&amp;$F10&amp;$G10,装备属性表,装备属性计算表!AO$29,FALSE),定义数据!$B$13:$C$35,2,FALSE)</f>
        <v>7</v>
      </c>
      <c r="U10" s="14">
        <f ca="1">VLOOKUP($I10&amp;$F10&amp;$G10,装备属性表,装备属性计算表!AP$29,FALSE)</f>
        <v>10.416666666666666</v>
      </c>
      <c r="V10" s="14">
        <f ca="1">VLOOKUP(VLOOKUP($I10&amp;$F10&amp;$G10,装备属性表,装备属性计算表!AQ$29,FALSE),定义数据!$B$13:$C$35,2,FALSE)</f>
        <v>0</v>
      </c>
      <c r="W10" s="14">
        <f>VLOOKUP($I10&amp;$F10&amp;$G10,装备属性表,装备属性计算表!AR$29,FALSE)</f>
        <v>0</v>
      </c>
      <c r="X10" s="14">
        <f ca="1">VLOOKUP(VLOOKUP($I10&amp;$F10&amp;$G10,装备属性表,装备属性计算表!AS$29,FALSE),定义数据!$B$13:$C$35,2,FALSE)</f>
        <v>0</v>
      </c>
      <c r="Y10" s="14">
        <f>VLOOKUP($I10&amp;$F10&amp;$G10,装备属性表,装备属性计算表!AT$29,FALSE)</f>
        <v>0</v>
      </c>
      <c r="Z10" s="14">
        <f ca="1">VLOOKUP(VLOOKUP($I10&amp;$F10&amp;$G10,装备属性表,装备属性计算表!AU$29,FALSE),定义数据!$B$13:$C$35,2,FALSE)</f>
        <v>0</v>
      </c>
      <c r="AA10" s="14">
        <f>VLOOKUP($I10&amp;$F10&amp;$G10,装备属性表,装备属性计算表!AV$29,FALSE)</f>
        <v>0</v>
      </c>
      <c r="AB10" s="14">
        <f ca="1">VLOOKUP(VLOOKUP($I10&amp;$F10&amp;$G10,装备属性表,装备属性计算表!AW$29,FALSE),定义数据!$B$13:$C$35,2,FALSE)</f>
        <v>0</v>
      </c>
      <c r="AC10" s="14">
        <f>VLOOKUP($I10&amp;$F10&amp;$G10,装备属性表,装备属性计算表!AX$29,FALSE)</f>
        <v>0</v>
      </c>
      <c r="AD10" s="14">
        <f ca="1">VLOOKUP(VLOOKUP($I10&amp;$F10&amp;$G10,装备属性表,装备属性计算表!AY$29,FALSE),定义数据!$B$13:$C$35,2,FALSE)</f>
        <v>0</v>
      </c>
      <c r="AE10" s="14">
        <f>VLOOKUP($I10&amp;$F10&amp;$G10,装备属性表,装备属性计算表!AZ$29,FALSE)</f>
        <v>0</v>
      </c>
      <c r="AF10" s="14">
        <f ca="1">VLOOKUP(VLOOKUP($I10&amp;$F10&amp;$G10,装备属性表,装备属性计算表!BA$29,FALSE),定义数据!$B$13:$C$35,2,FALSE)</f>
        <v>0</v>
      </c>
      <c r="AG10" s="14">
        <f>VLOOKUP($I10&amp;$F10&amp;$G10,装备属性表,装备属性计算表!BB$29,FALSE)</f>
        <v>0</v>
      </c>
      <c r="AH10" s="14">
        <f ca="1">VLOOKUP(VLOOKUP($I10&amp;$F10&amp;$G10,装备属性表,装备属性计算表!BC$29,FALSE),定义数据!$B$13:$C$35,2,FALSE)</f>
        <v>0</v>
      </c>
      <c r="AI10" s="14">
        <f>VLOOKUP($I10&amp;$F10&amp;$G10,装备属性表,装备属性计算表!BD$29,FALSE)</f>
        <v>0</v>
      </c>
      <c r="AJ10" s="14">
        <f ca="1">VLOOKUP(VLOOKUP($I10&amp;$F10&amp;$G10,装备属性表,装备属性计算表!BE$29,FALSE),定义数据!$B$13:$C$35,2,FALSE)</f>
        <v>0</v>
      </c>
      <c r="AK10" s="14">
        <f>VLOOKUP($I10&amp;$F10&amp;$G10,装备属性表,装备属性计算表!BF$29,FALSE)</f>
        <v>0</v>
      </c>
      <c r="AM10" t="str">
        <f>IF(D10=0,5,D10) &amp; F10&amp;"00"&amp;VLOOKUP(G10,定义数据!$F$20:$G$27,2,FALSE)&amp;".png"</f>
        <v>55001.png</v>
      </c>
      <c r="AN10" s="79">
        <f>IF(OR(G10&lt;15),0,D_装备升级表!A10)</f>
        <v>0</v>
      </c>
      <c r="AP10">
        <f ca="1">VLOOKUP(G10&amp;I10&amp;F10,CHOOSE({1,2},装备属性计算表!$BK$32:$BK$187,装备属性计算表!$BJ$32:$BJ$187),2,FALSE)</f>
        <v>6.677519452253911</v>
      </c>
      <c r="AQ10">
        <f ca="1">AP10*'[1]0、经济设定'!$C$18</f>
        <v>333.87597261269553</v>
      </c>
      <c r="AR10">
        <f ca="1">IFERROR(AQ10*'[1]0、经济设定'!$E$19*AU10*AS10,0)</f>
        <v>20.114123169896615</v>
      </c>
      <c r="AS10">
        <v>10</v>
      </c>
      <c r="AT10">
        <f t="shared" si="2"/>
        <v>5</v>
      </c>
      <c r="AU10">
        <f ca="1">IF(F10=0,IFERROR(AT10/AP10/'[1]0、经济设定'!$E$18,0),AU9)</f>
        <v>3.0122148372188349</v>
      </c>
    </row>
    <row r="11" spans="1:52" x14ac:dyDescent="0.15">
      <c r="A11" s="14" t="str">
        <f t="shared" si="3"/>
        <v>54002</v>
      </c>
      <c r="B11" s="14" t="s">
        <v>521</v>
      </c>
      <c r="C11" s="14">
        <f>VLOOKUP($I11&amp;$F11&amp;$G11,装备属性表,装备属性计算表!AK$29,FALSE)</f>
        <v>2</v>
      </c>
      <c r="D11" s="14">
        <v>0</v>
      </c>
      <c r="E11" s="14" t="str">
        <f>VLOOKUP(F11,CHOOSE({1,2},定义数据!$F$2:$F$7,武器部位),2)</f>
        <v>腰带</v>
      </c>
      <c r="F11" s="14">
        <v>4</v>
      </c>
      <c r="G11" s="14">
        <v>5</v>
      </c>
      <c r="H11" s="14">
        <f t="shared" si="7"/>
        <v>5</v>
      </c>
      <c r="I11" s="14">
        <v>0</v>
      </c>
      <c r="J11" s="14" t="str">
        <f t="shared" si="8"/>
        <v>504</v>
      </c>
      <c r="K11" s="14" t="str">
        <f t="shared" si="9"/>
        <v>504</v>
      </c>
      <c r="L11" s="76"/>
      <c r="M11" s="14">
        <f>IF(OR(G11&lt;15,G11=80),0,D_装备升级表!A11)</f>
        <v>0</v>
      </c>
      <c r="N11" s="78">
        <v>1</v>
      </c>
      <c r="O11" s="14">
        <f t="shared" si="4"/>
        <v>200</v>
      </c>
      <c r="P11" s="14"/>
      <c r="Q11" s="14">
        <f>VLOOKUP($I11&amp;$F11&amp;$G11,装备属性表,装备属性计算表!AL$29,FALSE)</f>
        <v>2</v>
      </c>
      <c r="R11" s="14">
        <f ca="1">VLOOKUP(VLOOKUP($I11&amp;$F11&amp;$G11,装备属性表,装备属性计算表!AM$29,FALSE),定义数据!$B$13:$C$35,2,FALSE)</f>
        <v>1</v>
      </c>
      <c r="S11" s="14">
        <f ca="1">VLOOKUP($I11&amp;$F11&amp;$G11,装备属性表,装备属性计算表!AN$29,FALSE)</f>
        <v>78.396319639681124</v>
      </c>
      <c r="T11" s="14">
        <f ca="1">VLOOKUP(VLOOKUP($I11&amp;$F11&amp;$G11,装备属性表,装备属性计算表!AO$29,FALSE),定义数据!$B$13:$C$35,2,FALSE)</f>
        <v>9</v>
      </c>
      <c r="U11" s="14">
        <f ca="1">VLOOKUP($I11&amp;$F11&amp;$G11,装备属性表,装备属性计算表!AP$29,FALSE)</f>
        <v>9.2592592592592595</v>
      </c>
      <c r="V11" s="14">
        <f ca="1">VLOOKUP(VLOOKUP($I11&amp;$F11&amp;$G11,装备属性表,装备属性计算表!AQ$29,FALSE),定义数据!$B$13:$C$35,2,FALSE)</f>
        <v>0</v>
      </c>
      <c r="W11" s="14">
        <f>VLOOKUP($I11&amp;$F11&amp;$G11,装备属性表,装备属性计算表!AR$29,FALSE)</f>
        <v>0</v>
      </c>
      <c r="X11" s="14">
        <f ca="1">VLOOKUP(VLOOKUP($I11&amp;$F11&amp;$G11,装备属性表,装备属性计算表!AS$29,FALSE),定义数据!$B$13:$C$35,2,FALSE)</f>
        <v>0</v>
      </c>
      <c r="Y11" s="14">
        <f>VLOOKUP($I11&amp;$F11&amp;$G11,装备属性表,装备属性计算表!AT$29,FALSE)</f>
        <v>0</v>
      </c>
      <c r="Z11" s="14">
        <f ca="1">VLOOKUP(VLOOKUP($I11&amp;$F11&amp;$G11,装备属性表,装备属性计算表!AU$29,FALSE),定义数据!$B$13:$C$35,2,FALSE)</f>
        <v>0</v>
      </c>
      <c r="AA11" s="14">
        <f>VLOOKUP($I11&amp;$F11&amp;$G11,装备属性表,装备属性计算表!AV$29,FALSE)</f>
        <v>0</v>
      </c>
      <c r="AB11" s="14">
        <f ca="1">VLOOKUP(VLOOKUP($I11&amp;$F11&amp;$G11,装备属性表,装备属性计算表!AW$29,FALSE),定义数据!$B$13:$C$35,2,FALSE)</f>
        <v>0</v>
      </c>
      <c r="AC11" s="14">
        <f>VLOOKUP($I11&amp;$F11&amp;$G11,装备属性表,装备属性计算表!AX$29,FALSE)</f>
        <v>0</v>
      </c>
      <c r="AD11" s="14">
        <f ca="1">VLOOKUP(VLOOKUP($I11&amp;$F11&amp;$G11,装备属性表,装备属性计算表!AY$29,FALSE),定义数据!$B$13:$C$35,2,FALSE)</f>
        <v>0</v>
      </c>
      <c r="AE11" s="14">
        <f>VLOOKUP($I11&amp;$F11&amp;$G11,装备属性表,装备属性计算表!AZ$29,FALSE)</f>
        <v>0</v>
      </c>
      <c r="AF11" s="14">
        <f ca="1">VLOOKUP(VLOOKUP($I11&amp;$F11&amp;$G11,装备属性表,装备属性计算表!BA$29,FALSE),定义数据!$B$13:$C$35,2,FALSE)</f>
        <v>0</v>
      </c>
      <c r="AG11" s="14">
        <f>VLOOKUP($I11&amp;$F11&amp;$G11,装备属性表,装备属性计算表!BB$29,FALSE)</f>
        <v>0</v>
      </c>
      <c r="AH11" s="14">
        <f ca="1">VLOOKUP(VLOOKUP($I11&amp;$F11&amp;$G11,装备属性表,装备属性计算表!BC$29,FALSE),定义数据!$B$13:$C$35,2,FALSE)</f>
        <v>0</v>
      </c>
      <c r="AI11" s="14">
        <f>VLOOKUP($I11&amp;$F11&amp;$G11,装备属性表,装备属性计算表!BD$29,FALSE)</f>
        <v>0</v>
      </c>
      <c r="AJ11" s="14">
        <f ca="1">VLOOKUP(VLOOKUP($I11&amp;$F11&amp;$G11,装备属性表,装备属性计算表!BE$29,FALSE),定义数据!$B$13:$C$35,2,FALSE)</f>
        <v>0</v>
      </c>
      <c r="AK11" s="14">
        <f>VLOOKUP($I11&amp;$F11&amp;$G11,装备属性表,装备属性计算表!BF$29,FALSE)</f>
        <v>0</v>
      </c>
      <c r="AM11" t="str">
        <f>IF(D11=0,5,D11) &amp; F11&amp;"00"&amp;VLOOKUP(G11,定义数据!$F$20:$G$27,2,FALSE)&amp;".png"</f>
        <v>54001.png</v>
      </c>
      <c r="AN11" s="79">
        <f>IF(OR(G11&lt;15),0,D_装备升级表!A11)</f>
        <v>0</v>
      </c>
      <c r="AP11">
        <f ca="1">VLOOKUP(G11&amp;I11&amp;F11,CHOOSE({1,2},装备属性计算表!$BK$32:$BK$187,装备属性计算表!$BJ$32:$BJ$187),2,FALSE)</f>
        <v>4.8025194522539119</v>
      </c>
      <c r="AQ11">
        <f ca="1">AP11*'[1]0、经济设定'!$C$18</f>
        <v>240.12597261269559</v>
      </c>
      <c r="AR11">
        <f ca="1">IFERROR(AQ11*'[1]0、经济设定'!$E$19*AU11*AS11,0)</f>
        <v>14.466220350111305</v>
      </c>
      <c r="AS11">
        <v>10</v>
      </c>
      <c r="AT11">
        <f t="shared" si="2"/>
        <v>5</v>
      </c>
      <c r="AU11">
        <f ca="1">IF(F11=0,IFERROR(AT11/AP11/'[1]0、经济设定'!$E$18,0),AU10)</f>
        <v>3.0122148372188349</v>
      </c>
    </row>
    <row r="12" spans="1:52" x14ac:dyDescent="0.15">
      <c r="A12" s="14" t="str">
        <f t="shared" si="3"/>
        <v>53002</v>
      </c>
      <c r="B12" s="14" t="s">
        <v>522</v>
      </c>
      <c r="C12" s="14">
        <f>VLOOKUP($I12&amp;$F12&amp;$G12,装备属性表,装备属性计算表!AK$29,FALSE)</f>
        <v>2</v>
      </c>
      <c r="D12" s="14">
        <v>0</v>
      </c>
      <c r="E12" s="14" t="str">
        <f>VLOOKUP(F12,CHOOSE({1,2},定义数据!$F$2:$F$7,武器部位),2)</f>
        <v>项链</v>
      </c>
      <c r="F12" s="14">
        <v>3</v>
      </c>
      <c r="G12" s="14">
        <v>5</v>
      </c>
      <c r="H12" s="14">
        <f t="shared" si="7"/>
        <v>5</v>
      </c>
      <c r="I12" s="14">
        <v>0</v>
      </c>
      <c r="J12" s="14" t="str">
        <f t="shared" si="8"/>
        <v>503</v>
      </c>
      <c r="K12" s="14" t="str">
        <f t="shared" si="9"/>
        <v>503</v>
      </c>
      <c r="L12" s="76"/>
      <c r="M12" s="14">
        <f>IF(OR(G12&lt;15,G12=80),0,D_装备升级表!A12)</f>
        <v>0</v>
      </c>
      <c r="N12" s="78">
        <v>1</v>
      </c>
      <c r="O12" s="14">
        <f t="shared" si="4"/>
        <v>200</v>
      </c>
      <c r="P12" s="14"/>
      <c r="Q12" s="14">
        <f>VLOOKUP($I12&amp;$F12&amp;$G12,装备属性表,装备属性计算表!AL$29,FALSE)</f>
        <v>2</v>
      </c>
      <c r="R12" s="14">
        <f ca="1">VLOOKUP(VLOOKUP($I12&amp;$F12&amp;$G12,装备属性表,装备属性计算表!AM$29,FALSE),定义数据!$B$13:$C$35,2,FALSE)</f>
        <v>2</v>
      </c>
      <c r="S12" s="14">
        <f ca="1">VLOOKUP($I12&amp;$F12&amp;$G12,装备属性表,装备属性计算表!AN$29,FALSE)</f>
        <v>4.9774716577540126</v>
      </c>
      <c r="T12" s="14">
        <f ca="1">VLOOKUP(VLOOKUP($I12&amp;$F12&amp;$G12,装备属性表,装备属性计算表!AO$29,FALSE),定义数据!$B$13:$C$35,2,FALSE)</f>
        <v>6</v>
      </c>
      <c r="U12" s="14">
        <f ca="1">VLOOKUP($I12&amp;$F12&amp;$G12,装备属性表,装备属性计算表!AP$29,FALSE)</f>
        <v>15.625</v>
      </c>
      <c r="V12" s="14">
        <f ca="1">VLOOKUP(VLOOKUP($I12&amp;$F12&amp;$G12,装备属性表,装备属性计算表!AQ$29,FALSE),定义数据!$B$13:$C$35,2,FALSE)</f>
        <v>0</v>
      </c>
      <c r="W12" s="14">
        <f>VLOOKUP($I12&amp;$F12&amp;$G12,装备属性表,装备属性计算表!AR$29,FALSE)</f>
        <v>0</v>
      </c>
      <c r="X12" s="14">
        <f ca="1">VLOOKUP(VLOOKUP($I12&amp;$F12&amp;$G12,装备属性表,装备属性计算表!AS$29,FALSE),定义数据!$B$13:$C$35,2,FALSE)</f>
        <v>0</v>
      </c>
      <c r="Y12" s="14">
        <f>VLOOKUP($I12&amp;$F12&amp;$G12,装备属性表,装备属性计算表!AT$29,FALSE)</f>
        <v>0</v>
      </c>
      <c r="Z12" s="14">
        <f ca="1">VLOOKUP(VLOOKUP($I12&amp;$F12&amp;$G12,装备属性表,装备属性计算表!AU$29,FALSE),定义数据!$B$13:$C$35,2,FALSE)</f>
        <v>0</v>
      </c>
      <c r="AA12" s="14">
        <f>VLOOKUP($I12&amp;$F12&amp;$G12,装备属性表,装备属性计算表!AV$29,FALSE)</f>
        <v>0</v>
      </c>
      <c r="AB12" s="14">
        <f ca="1">VLOOKUP(VLOOKUP($I12&amp;$F12&amp;$G12,装备属性表,装备属性计算表!AW$29,FALSE),定义数据!$B$13:$C$35,2,FALSE)</f>
        <v>0</v>
      </c>
      <c r="AC12" s="14">
        <f>VLOOKUP($I12&amp;$F12&amp;$G12,装备属性表,装备属性计算表!AX$29,FALSE)</f>
        <v>0</v>
      </c>
      <c r="AD12" s="14">
        <f ca="1">VLOOKUP(VLOOKUP($I12&amp;$F12&amp;$G12,装备属性表,装备属性计算表!AY$29,FALSE),定义数据!$B$13:$C$35,2,FALSE)</f>
        <v>0</v>
      </c>
      <c r="AE12" s="14">
        <f>VLOOKUP($I12&amp;$F12&amp;$G12,装备属性表,装备属性计算表!AZ$29,FALSE)</f>
        <v>0</v>
      </c>
      <c r="AF12" s="14">
        <f ca="1">VLOOKUP(VLOOKUP($I12&amp;$F12&amp;$G12,装备属性表,装备属性计算表!BA$29,FALSE),定义数据!$B$13:$C$35,2,FALSE)</f>
        <v>0</v>
      </c>
      <c r="AG12" s="14">
        <f>VLOOKUP($I12&amp;$F12&amp;$G12,装备属性表,装备属性计算表!BB$29,FALSE)</f>
        <v>0</v>
      </c>
      <c r="AH12" s="14">
        <f ca="1">VLOOKUP(VLOOKUP($I12&amp;$F12&amp;$G12,装备属性表,装备属性计算表!BC$29,FALSE),定义数据!$B$13:$C$35,2,FALSE)</f>
        <v>0</v>
      </c>
      <c r="AI12" s="14">
        <f>VLOOKUP($I12&amp;$F12&amp;$G12,装备属性表,装备属性计算表!BD$29,FALSE)</f>
        <v>0</v>
      </c>
      <c r="AJ12" s="14">
        <f ca="1">VLOOKUP(VLOOKUP($I12&amp;$F12&amp;$G12,装备属性表,装备属性计算表!BE$29,FALSE),定义数据!$B$13:$C$35,2,FALSE)</f>
        <v>0</v>
      </c>
      <c r="AK12" s="14">
        <f>VLOOKUP($I12&amp;$F12&amp;$G12,装备属性表,装备属性计算表!BF$29,FALSE)</f>
        <v>0</v>
      </c>
      <c r="AM12" t="str">
        <f>IF(D12=0,5,D12) &amp; F12&amp;"00"&amp;VLOOKUP(G12,定义数据!$F$20:$G$27,2,FALSE)&amp;".png"</f>
        <v>53001.png</v>
      </c>
      <c r="AN12" s="79">
        <f>IF(OR(G12&lt;15),0,D_装备升级表!A12)</f>
        <v>0</v>
      </c>
      <c r="AP12">
        <f ca="1">VLOOKUP(G12&amp;I12&amp;F12,CHOOSE({1,2},装备属性计算表!$BK$32:$BK$187,装备属性计算表!$BJ$32:$BJ$187),2,FALSE)</f>
        <v>10.289971657754013</v>
      </c>
      <c r="AQ12">
        <f ca="1">AP12*'[1]0、经济设定'!$C$18</f>
        <v>514.49858288770065</v>
      </c>
      <c r="AR12">
        <f ca="1">IFERROR(AQ12*'[1]0、经济设定'!$E$19*AU12*AS12,0)</f>
        <v>30.995605302047927</v>
      </c>
      <c r="AS12">
        <v>10</v>
      </c>
      <c r="AT12">
        <f t="shared" si="2"/>
        <v>5</v>
      </c>
      <c r="AU12">
        <f ca="1">IF(F12=0,IFERROR(AT12/AP12/'[1]0、经济设定'!$E$18,0),AU11)</f>
        <v>3.0122148372188349</v>
      </c>
      <c r="AY12" t="s">
        <v>627</v>
      </c>
    </row>
    <row r="13" spans="1:52" x14ac:dyDescent="0.15">
      <c r="A13" s="14" t="str">
        <f t="shared" ref="A13:A18" si="10">IF(D13=0,D13+5&amp;F13&amp;I13&amp;IF(C13&lt;10,"0"&amp;C13,C13),D13&amp;F13&amp;I13&amp;IF(C13&lt;10,"0"&amp;C13,C13))</f>
        <v>10103</v>
      </c>
      <c r="B13" s="14" t="s">
        <v>523</v>
      </c>
      <c r="C13" s="14">
        <f>VLOOKUP($I13&amp;$F13&amp;$G13,装备属性表,装备属性计算表!AK$29,FALSE)</f>
        <v>3</v>
      </c>
      <c r="D13" s="14">
        <v>1</v>
      </c>
      <c r="E13" s="14" t="str">
        <f>VLOOKUP(F13,CHOOSE({1,2},定义数据!$F$2:$F$7,武器部位),2)</f>
        <v>武器</v>
      </c>
      <c r="F13" s="14">
        <v>0</v>
      </c>
      <c r="G13" s="14">
        <v>5</v>
      </c>
      <c r="H13" s="14">
        <v>5</v>
      </c>
      <c r="I13" s="14">
        <v>1</v>
      </c>
      <c r="J13" s="14" t="str">
        <f>G13&amp;I13&amp;F13</f>
        <v>510</v>
      </c>
      <c r="K13" s="14" t="str">
        <f>G13&amp;I13&amp;F13</f>
        <v>510</v>
      </c>
      <c r="L13" s="76"/>
      <c r="M13" s="14">
        <f>IF(OR(G13&lt;15,G13=80),0,D_装备升级表!A13)</f>
        <v>0</v>
      </c>
      <c r="N13" s="78">
        <v>1</v>
      </c>
      <c r="O13" s="14">
        <f t="shared" si="4"/>
        <v>300</v>
      </c>
      <c r="P13" s="14"/>
      <c r="Q13" s="14">
        <f>VLOOKUP($I13&amp;$F13&amp;$G13,装备属性表,装备属性计算表!AL$29,FALSE)</f>
        <v>3</v>
      </c>
      <c r="R13" s="14">
        <f ca="1">VLOOKUP(VLOOKUP($I13&amp;$F13&amp;$G13,装备属性表,装备属性计算表!AM$29,FALSE),定义数据!$B$13:$C$35,2,FALSE)</f>
        <v>2</v>
      </c>
      <c r="S13" s="14">
        <f ca="1">VLOOKUP($I13&amp;$F13&amp;$G13,装备属性表,装备属性计算表!AN$29,FALSE)</f>
        <v>22.398622459893055</v>
      </c>
      <c r="T13" s="14">
        <f ca="1">VLOOKUP(VLOOKUP($I13&amp;$F13&amp;$G13,装备属性表,装备属性计算表!AO$29,FALSE),定义数据!$B$13:$C$35,2,FALSE)</f>
        <v>8</v>
      </c>
      <c r="U13" s="14">
        <f ca="1">VLOOKUP($I13&amp;$F13&amp;$G13,装备属性表,装备属性计算表!AP$29,FALSE)</f>
        <v>13.888888888888888</v>
      </c>
      <c r="V13" s="14">
        <f ca="1">VLOOKUP(VLOOKUP($I13&amp;$F13&amp;$G13,装备属性表,装备属性计算表!AQ$29,FALSE),定义数据!$B$13:$C$35,2,FALSE)</f>
        <v>2</v>
      </c>
      <c r="W13" s="14">
        <f ca="1">VLOOKUP($I13&amp;$F13&amp;$G13,装备属性表,装备属性计算表!AR$29,FALSE)</f>
        <v>1.7918897967914444</v>
      </c>
      <c r="X13" s="14">
        <f ca="1">VLOOKUP(VLOOKUP($I13&amp;$F13&amp;$G13,装备属性表,装备属性计算表!AS$29,FALSE),定义数据!$B$13:$C$35,2,FALSE)</f>
        <v>0</v>
      </c>
      <c r="Y13" s="14">
        <f>VLOOKUP($I13&amp;$F13&amp;$G13,装备属性表,装备属性计算表!AT$29,FALSE)</f>
        <v>0</v>
      </c>
      <c r="Z13" s="14">
        <f ca="1">VLOOKUP(VLOOKUP($I13&amp;$F13&amp;$G13,装备属性表,装备属性计算表!AU$29,FALSE),定义数据!$B$13:$C$35,2,FALSE)</f>
        <v>0</v>
      </c>
      <c r="AA13" s="14">
        <f>VLOOKUP($I13&amp;$F13&amp;$G13,装备属性表,装备属性计算表!AV$29,FALSE)</f>
        <v>0</v>
      </c>
      <c r="AB13" s="14">
        <f ca="1">VLOOKUP(VLOOKUP($I13&amp;$F13&amp;$G13,装备属性表,装备属性计算表!AW$29,FALSE),定义数据!$B$13:$C$35,2,FALSE)</f>
        <v>0</v>
      </c>
      <c r="AC13" s="14">
        <f>VLOOKUP($I13&amp;$F13&amp;$G13,装备属性表,装备属性计算表!AX$29,FALSE)</f>
        <v>0</v>
      </c>
      <c r="AD13" s="14">
        <f ca="1">VLOOKUP(VLOOKUP($I13&amp;$F13&amp;$G13,装备属性表,装备属性计算表!AY$29,FALSE),定义数据!$B$13:$C$35,2,FALSE)</f>
        <v>0</v>
      </c>
      <c r="AE13" s="14">
        <f>VLOOKUP($I13&amp;$F13&amp;$G13,装备属性表,装备属性计算表!AZ$29,FALSE)</f>
        <v>0</v>
      </c>
      <c r="AF13" s="14">
        <f ca="1">VLOOKUP(VLOOKUP($I13&amp;$F13&amp;$G13,装备属性表,装备属性计算表!BA$29,FALSE),定义数据!$B$13:$C$35,2,FALSE)</f>
        <v>0</v>
      </c>
      <c r="AG13" s="14">
        <f>VLOOKUP($I13&amp;$F13&amp;$G13,装备属性表,装备属性计算表!BB$29,FALSE)</f>
        <v>0</v>
      </c>
      <c r="AH13" s="14">
        <f ca="1">VLOOKUP(VLOOKUP($I13&amp;$F13&amp;$G13,装备属性表,装备属性计算表!BC$29,FALSE),定义数据!$B$13:$C$35,2,FALSE)</f>
        <v>0</v>
      </c>
      <c r="AI13" s="14">
        <f>VLOOKUP($I13&amp;$F13&amp;$G13,装备属性表,装备属性计算表!BD$29,FALSE)</f>
        <v>0</v>
      </c>
      <c r="AJ13" s="14">
        <f ca="1">VLOOKUP(VLOOKUP($I13&amp;$F13&amp;$G13,装备属性表,装备属性计算表!BE$29,FALSE),定义数据!$B$13:$C$35,2,FALSE)</f>
        <v>0</v>
      </c>
      <c r="AK13" s="14">
        <f>VLOOKUP($I13&amp;$F13&amp;$G13,装备属性表,装备属性计算表!BF$29,FALSE)</f>
        <v>0</v>
      </c>
      <c r="AM13" t="str">
        <f>IF(D13=0,5,D13) &amp; F13&amp;"00"&amp;VLOOKUP(G13,定义数据!$F$20:$G$27,2,FALSE)&amp;".png"</f>
        <v>10001.png</v>
      </c>
      <c r="AN13" s="79">
        <f>IF(OR(G13&lt;15),0,D_装备升级表!A13)</f>
        <v>0</v>
      </c>
      <c r="AP13">
        <f ca="1">VLOOKUP(G13&amp;I13&amp;F13,CHOOSE({1,2},装备属性计算表!$BK$32:$BK$187,装备属性计算表!$BJ$32:$BJ$187),2,FALSE)</f>
        <v>27.271223842473059</v>
      </c>
      <c r="AQ13">
        <f ca="1">AP13*'[1]0、经济设定'!$C$18</f>
        <v>1363.561192123653</v>
      </c>
      <c r="AR13">
        <f ca="1">IFERROR(AQ13*'[1]0、经济设定'!$E$19*AU13*AS13,0)</f>
        <v>60</v>
      </c>
      <c r="AS13">
        <v>10</v>
      </c>
      <c r="AT13">
        <f t="shared" si="2"/>
        <v>6</v>
      </c>
      <c r="AU13">
        <f ca="1">IF(F13=0,IFERROR(AT13/AP13/'[1]0、经济设定'!$E$18,0),AU12)</f>
        <v>2.2001212833930142</v>
      </c>
      <c r="AY13">
        <v>-1</v>
      </c>
      <c r="AZ13" t="s">
        <v>628</v>
      </c>
    </row>
    <row r="14" spans="1:52" x14ac:dyDescent="0.15">
      <c r="A14" s="14" t="str">
        <f t="shared" si="10"/>
        <v>20103</v>
      </c>
      <c r="B14" s="14" t="s">
        <v>366</v>
      </c>
      <c r="C14" s="14">
        <f>VLOOKUP($I14&amp;$F14&amp;$G14,装备属性表,装备属性计算表!AK$29,FALSE)</f>
        <v>3</v>
      </c>
      <c r="D14" s="14">
        <v>2</v>
      </c>
      <c r="E14" s="14" t="str">
        <f>VLOOKUP(F14,CHOOSE({1,2},定义数据!$F$2:$F$7,武器部位),2)</f>
        <v>武器</v>
      </c>
      <c r="F14" s="14">
        <v>0</v>
      </c>
      <c r="G14" s="14">
        <v>5</v>
      </c>
      <c r="H14" s="14">
        <v>5</v>
      </c>
      <c r="I14" s="14">
        <v>1</v>
      </c>
      <c r="J14" s="14" t="str">
        <f>G14&amp;I14&amp;F14</f>
        <v>510</v>
      </c>
      <c r="K14" s="14" t="str">
        <f>G14&amp;I14&amp;F14</f>
        <v>510</v>
      </c>
      <c r="L14" s="76"/>
      <c r="M14" s="14">
        <f>IF(OR(G14&lt;15,G14=80),0,D_装备升级表!A14)</f>
        <v>0</v>
      </c>
      <c r="N14" s="78">
        <v>1</v>
      </c>
      <c r="O14" s="14">
        <f t="shared" si="4"/>
        <v>300</v>
      </c>
      <c r="P14" s="14"/>
      <c r="Q14" s="14">
        <f>VLOOKUP($I14&amp;$F14&amp;$G14,装备属性表,装备属性计算表!AL$29,FALSE)</f>
        <v>3</v>
      </c>
      <c r="R14" s="14">
        <f ca="1">VLOOKUP(VLOOKUP($I14&amp;$F14&amp;$G14,装备属性表,装备属性计算表!AM$29,FALSE),定义数据!$B$13:$C$35,2,FALSE)</f>
        <v>2</v>
      </c>
      <c r="S14" s="14">
        <f ca="1">VLOOKUP($I14&amp;$F14&amp;$G14,装备属性表,装备属性计算表!AN$29,FALSE)</f>
        <v>22.398622459893055</v>
      </c>
      <c r="T14" s="14">
        <f ca="1">VLOOKUP(VLOOKUP($I14&amp;$F14&amp;$G14,装备属性表,装备属性计算表!AO$29,FALSE),定义数据!$B$13:$C$35,2,FALSE)</f>
        <v>8</v>
      </c>
      <c r="U14" s="14">
        <f ca="1">VLOOKUP($I14&amp;$F14&amp;$G14,装备属性表,装备属性计算表!AP$29,FALSE)</f>
        <v>13.888888888888888</v>
      </c>
      <c r="V14" s="14">
        <f ca="1">VLOOKUP(VLOOKUP($I14&amp;$F14&amp;$G14,装备属性表,装备属性计算表!AQ$29,FALSE),定义数据!$B$13:$C$35,2,FALSE)</f>
        <v>2</v>
      </c>
      <c r="W14" s="14">
        <f ca="1">VLOOKUP($I14&amp;$F14&amp;$G14,装备属性表,装备属性计算表!AR$29,FALSE)</f>
        <v>1.7918897967914444</v>
      </c>
      <c r="X14" s="14">
        <f ca="1">VLOOKUP(VLOOKUP($I14&amp;$F14&amp;$G14,装备属性表,装备属性计算表!AS$29,FALSE),定义数据!$B$13:$C$35,2,FALSE)</f>
        <v>0</v>
      </c>
      <c r="Y14" s="14">
        <f>VLOOKUP($I14&amp;$F14&amp;$G14,装备属性表,装备属性计算表!AT$29,FALSE)</f>
        <v>0</v>
      </c>
      <c r="Z14" s="14">
        <f ca="1">VLOOKUP(VLOOKUP($I14&amp;$F14&amp;$G14,装备属性表,装备属性计算表!AU$29,FALSE),定义数据!$B$13:$C$35,2,FALSE)</f>
        <v>0</v>
      </c>
      <c r="AA14" s="14">
        <f>VLOOKUP($I14&amp;$F14&amp;$G14,装备属性表,装备属性计算表!AV$29,FALSE)</f>
        <v>0</v>
      </c>
      <c r="AB14" s="14">
        <f ca="1">VLOOKUP(VLOOKUP($I14&amp;$F14&amp;$G14,装备属性表,装备属性计算表!AW$29,FALSE),定义数据!$B$13:$C$35,2,FALSE)</f>
        <v>0</v>
      </c>
      <c r="AC14" s="14">
        <f>VLOOKUP($I14&amp;$F14&amp;$G14,装备属性表,装备属性计算表!AX$29,FALSE)</f>
        <v>0</v>
      </c>
      <c r="AD14" s="14">
        <f ca="1">VLOOKUP(VLOOKUP($I14&amp;$F14&amp;$G14,装备属性表,装备属性计算表!AY$29,FALSE),定义数据!$B$13:$C$35,2,FALSE)</f>
        <v>0</v>
      </c>
      <c r="AE14" s="14">
        <f>VLOOKUP($I14&amp;$F14&amp;$G14,装备属性表,装备属性计算表!AZ$29,FALSE)</f>
        <v>0</v>
      </c>
      <c r="AF14" s="14">
        <f ca="1">VLOOKUP(VLOOKUP($I14&amp;$F14&amp;$G14,装备属性表,装备属性计算表!BA$29,FALSE),定义数据!$B$13:$C$35,2,FALSE)</f>
        <v>0</v>
      </c>
      <c r="AG14" s="14">
        <f>VLOOKUP($I14&amp;$F14&amp;$G14,装备属性表,装备属性计算表!BB$29,FALSE)</f>
        <v>0</v>
      </c>
      <c r="AH14" s="14">
        <f ca="1">VLOOKUP(VLOOKUP($I14&amp;$F14&amp;$G14,装备属性表,装备属性计算表!BC$29,FALSE),定义数据!$B$13:$C$35,2,FALSE)</f>
        <v>0</v>
      </c>
      <c r="AI14" s="14">
        <f>VLOOKUP($I14&amp;$F14&amp;$G14,装备属性表,装备属性计算表!BD$29,FALSE)</f>
        <v>0</v>
      </c>
      <c r="AJ14" s="14">
        <f ca="1">VLOOKUP(VLOOKUP($I14&amp;$F14&amp;$G14,装备属性表,装备属性计算表!BE$29,FALSE),定义数据!$B$13:$C$35,2,FALSE)</f>
        <v>0</v>
      </c>
      <c r="AK14" s="14">
        <f>VLOOKUP($I14&amp;$F14&amp;$G14,装备属性表,装备属性计算表!BF$29,FALSE)</f>
        <v>0</v>
      </c>
      <c r="AM14" t="str">
        <f>IF(D14=0,5,D14) &amp; F14&amp;"00"&amp;VLOOKUP(G14,定义数据!$F$20:$G$27,2,FALSE)&amp;".png"</f>
        <v>20001.png</v>
      </c>
      <c r="AN14" s="79">
        <f>IF(OR(G14&lt;15),0,D_装备升级表!A14)</f>
        <v>0</v>
      </c>
      <c r="AP14">
        <f ca="1">VLOOKUP(G14&amp;I14&amp;F14,CHOOSE({1,2},装备属性计算表!$BK$32:$BK$187,装备属性计算表!$BJ$32:$BJ$187),2,FALSE)</f>
        <v>27.271223842473059</v>
      </c>
      <c r="AQ14">
        <f ca="1">AP14*'[1]0、经济设定'!$C$18</f>
        <v>1363.561192123653</v>
      </c>
      <c r="AR14">
        <f ca="1">IFERROR(AQ14*'[1]0、经济设定'!$E$19*AU14*AS14,0)</f>
        <v>60</v>
      </c>
      <c r="AS14">
        <v>10</v>
      </c>
      <c r="AT14">
        <f t="shared" si="2"/>
        <v>6</v>
      </c>
      <c r="AU14">
        <f ca="1">IF(F14=0,IFERROR(AT14/AP14/'[1]0、经济设定'!$E$18,0),AU13)</f>
        <v>2.2001212833930142</v>
      </c>
      <c r="AY14">
        <v>0</v>
      </c>
      <c r="AZ14" t="s">
        <v>629</v>
      </c>
    </row>
    <row r="15" spans="1:52" x14ac:dyDescent="0.15">
      <c r="A15" s="14" t="str">
        <f t="shared" si="10"/>
        <v>30103</v>
      </c>
      <c r="B15" s="14" t="s">
        <v>524</v>
      </c>
      <c r="C15" s="14">
        <f>VLOOKUP($I15&amp;$F15&amp;$G15,装备属性表,装备属性计算表!AK$29,FALSE)</f>
        <v>3</v>
      </c>
      <c r="D15" s="14">
        <v>3</v>
      </c>
      <c r="E15" s="14" t="str">
        <f>VLOOKUP(F15,CHOOSE({1,2},定义数据!$F$2:$F$7,武器部位),2)</f>
        <v>武器</v>
      </c>
      <c r="F15" s="14">
        <v>0</v>
      </c>
      <c r="G15" s="14">
        <v>5</v>
      </c>
      <c r="H15" s="14">
        <f t="shared" ref="H15:H20" si="11">G15</f>
        <v>5</v>
      </c>
      <c r="I15" s="14">
        <v>1</v>
      </c>
      <c r="J15" s="14" t="str">
        <f t="shared" ref="J15:J20" si="12">G15&amp;I15&amp;F15</f>
        <v>510</v>
      </c>
      <c r="K15" s="14" t="str">
        <f t="shared" ref="K15:K20" si="13">G15&amp;I15&amp;F15</f>
        <v>510</v>
      </c>
      <c r="L15" s="76"/>
      <c r="M15" s="14">
        <f>IF(OR(G15&lt;15,G15=80),0,D_装备升级表!A15)</f>
        <v>0</v>
      </c>
      <c r="N15" s="78">
        <v>1</v>
      </c>
      <c r="O15" s="14">
        <f t="shared" si="4"/>
        <v>300</v>
      </c>
      <c r="P15" s="14"/>
      <c r="Q15" s="14">
        <f>VLOOKUP($I15&amp;$F15&amp;$G15,装备属性表,装备属性计算表!AL$29,FALSE)</f>
        <v>3</v>
      </c>
      <c r="R15" s="14">
        <f ca="1">VLOOKUP(VLOOKUP($I15&amp;$F15&amp;$G15,装备属性表,装备属性计算表!AM$29,FALSE),定义数据!$B$13:$C$35,2,FALSE)</f>
        <v>2</v>
      </c>
      <c r="S15" s="14">
        <f ca="1">VLOOKUP($I15&amp;$F15&amp;$G15,装备属性表,装备属性计算表!AN$29,FALSE)</f>
        <v>22.398622459893055</v>
      </c>
      <c r="T15" s="14">
        <f ca="1">VLOOKUP(VLOOKUP($I15&amp;$F15&amp;$G15,装备属性表,装备属性计算表!AO$29,FALSE),定义数据!$B$13:$C$35,2,FALSE)</f>
        <v>8</v>
      </c>
      <c r="U15" s="14">
        <f ca="1">VLOOKUP($I15&amp;$F15&amp;$G15,装备属性表,装备属性计算表!AP$29,FALSE)</f>
        <v>13.888888888888888</v>
      </c>
      <c r="V15" s="14">
        <f ca="1">VLOOKUP(VLOOKUP($I15&amp;$F15&amp;$G15,装备属性表,装备属性计算表!AQ$29,FALSE),定义数据!$B$13:$C$35,2,FALSE)</f>
        <v>2</v>
      </c>
      <c r="W15" s="14">
        <f ca="1">VLOOKUP($I15&amp;$F15&amp;$G15,装备属性表,装备属性计算表!AR$29,FALSE)</f>
        <v>1.7918897967914444</v>
      </c>
      <c r="X15" s="14">
        <f ca="1">VLOOKUP(VLOOKUP($I15&amp;$F15&amp;$G15,装备属性表,装备属性计算表!AS$29,FALSE),定义数据!$B$13:$C$35,2,FALSE)</f>
        <v>0</v>
      </c>
      <c r="Y15" s="14">
        <f>VLOOKUP($I15&amp;$F15&amp;$G15,装备属性表,装备属性计算表!AT$29,FALSE)</f>
        <v>0</v>
      </c>
      <c r="Z15" s="14">
        <f ca="1">VLOOKUP(VLOOKUP($I15&amp;$F15&amp;$G15,装备属性表,装备属性计算表!AU$29,FALSE),定义数据!$B$13:$C$35,2,FALSE)</f>
        <v>0</v>
      </c>
      <c r="AA15" s="14">
        <f>VLOOKUP($I15&amp;$F15&amp;$G15,装备属性表,装备属性计算表!AV$29,FALSE)</f>
        <v>0</v>
      </c>
      <c r="AB15" s="14">
        <f ca="1">VLOOKUP(VLOOKUP($I15&amp;$F15&amp;$G15,装备属性表,装备属性计算表!AW$29,FALSE),定义数据!$B$13:$C$35,2,FALSE)</f>
        <v>0</v>
      </c>
      <c r="AC15" s="14">
        <f>VLOOKUP($I15&amp;$F15&amp;$G15,装备属性表,装备属性计算表!AX$29,FALSE)</f>
        <v>0</v>
      </c>
      <c r="AD15" s="14">
        <f ca="1">VLOOKUP(VLOOKUP($I15&amp;$F15&amp;$G15,装备属性表,装备属性计算表!AY$29,FALSE),定义数据!$B$13:$C$35,2,FALSE)</f>
        <v>0</v>
      </c>
      <c r="AE15" s="14">
        <f>VLOOKUP($I15&amp;$F15&amp;$G15,装备属性表,装备属性计算表!AZ$29,FALSE)</f>
        <v>0</v>
      </c>
      <c r="AF15" s="14">
        <f ca="1">VLOOKUP(VLOOKUP($I15&amp;$F15&amp;$G15,装备属性表,装备属性计算表!BA$29,FALSE),定义数据!$B$13:$C$35,2,FALSE)</f>
        <v>0</v>
      </c>
      <c r="AG15" s="14">
        <f>VLOOKUP($I15&amp;$F15&amp;$G15,装备属性表,装备属性计算表!BB$29,FALSE)</f>
        <v>0</v>
      </c>
      <c r="AH15" s="14">
        <f ca="1">VLOOKUP(VLOOKUP($I15&amp;$F15&amp;$G15,装备属性表,装备属性计算表!BC$29,FALSE),定义数据!$B$13:$C$35,2,FALSE)</f>
        <v>0</v>
      </c>
      <c r="AI15" s="14">
        <f>VLOOKUP($I15&amp;$F15&amp;$G15,装备属性表,装备属性计算表!BD$29,FALSE)</f>
        <v>0</v>
      </c>
      <c r="AJ15" s="14">
        <f ca="1">VLOOKUP(VLOOKUP($I15&amp;$F15&amp;$G15,装备属性表,装备属性计算表!BE$29,FALSE),定义数据!$B$13:$C$35,2,FALSE)</f>
        <v>0</v>
      </c>
      <c r="AK15" s="14">
        <f>VLOOKUP($I15&amp;$F15&amp;$G15,装备属性表,装备属性计算表!BF$29,FALSE)</f>
        <v>0</v>
      </c>
      <c r="AM15" t="str">
        <f>IF(D15=0,5,D15) &amp; F15&amp;"00"&amp;VLOOKUP(G15,定义数据!$F$20:$G$27,2,FALSE)&amp;".png"</f>
        <v>30001.png</v>
      </c>
      <c r="AN15" s="79">
        <f>IF(OR(G15&lt;15),0,D_装备升级表!A15)</f>
        <v>0</v>
      </c>
      <c r="AP15">
        <f ca="1">VLOOKUP(G15&amp;I15&amp;F15,CHOOSE({1,2},装备属性计算表!$BK$32:$BK$187,装备属性计算表!$BJ$32:$BJ$187),2,FALSE)</f>
        <v>27.271223842473059</v>
      </c>
      <c r="AQ15">
        <f ca="1">AP15*'[1]0、经济设定'!$C$18</f>
        <v>1363.561192123653</v>
      </c>
      <c r="AR15">
        <f ca="1">IFERROR(AQ15*'[1]0、经济设定'!$E$19*AU15*AS15,0)</f>
        <v>60</v>
      </c>
      <c r="AS15">
        <v>10</v>
      </c>
      <c r="AT15">
        <f t="shared" si="2"/>
        <v>6</v>
      </c>
      <c r="AU15">
        <f ca="1">IF(F15=0,IFERROR(AT15/AP15/'[1]0、经济设定'!$E$18,0),AU14)</f>
        <v>2.2001212833930142</v>
      </c>
      <c r="AY15">
        <v>1</v>
      </c>
      <c r="AZ15" t="s">
        <v>630</v>
      </c>
    </row>
    <row r="16" spans="1:52" x14ac:dyDescent="0.15">
      <c r="A16" s="14" t="str">
        <f t="shared" si="10"/>
        <v>51103</v>
      </c>
      <c r="B16" s="14" t="s">
        <v>525</v>
      </c>
      <c r="C16" s="14">
        <f>VLOOKUP($I16&amp;$F16&amp;$G16,装备属性表,装备属性计算表!AK$29,FALSE)</f>
        <v>3</v>
      </c>
      <c r="D16" s="14">
        <v>0</v>
      </c>
      <c r="E16" s="14" t="str">
        <f>VLOOKUP(F16,CHOOSE({1,2},定义数据!$F$2:$F$7,武器部位),2)</f>
        <v>衣服</v>
      </c>
      <c r="F16" s="14">
        <v>1</v>
      </c>
      <c r="G16" s="14">
        <v>5</v>
      </c>
      <c r="H16" s="14">
        <f t="shared" si="11"/>
        <v>5</v>
      </c>
      <c r="I16" s="14">
        <v>1</v>
      </c>
      <c r="J16" s="14" t="str">
        <f t="shared" si="12"/>
        <v>511</v>
      </c>
      <c r="K16" s="14" t="str">
        <f t="shared" si="13"/>
        <v>511</v>
      </c>
      <c r="L16" s="76"/>
      <c r="M16" s="14">
        <f>IF(OR(G16&lt;15,G16=80),0,D_装备升级表!A16)</f>
        <v>0</v>
      </c>
      <c r="N16" s="78">
        <v>1</v>
      </c>
      <c r="O16" s="14">
        <f t="shared" si="4"/>
        <v>300</v>
      </c>
      <c r="P16" s="14"/>
      <c r="Q16" s="14">
        <f>VLOOKUP($I16&amp;$F16&amp;$G16,装备属性表,装备属性计算表!AL$29,FALSE)</f>
        <v>3</v>
      </c>
      <c r="R16" s="14">
        <f ca="1">VLOOKUP(VLOOKUP($I16&amp;$F16&amp;$G16,装备属性表,装备属性计算表!AM$29,FALSE),定义数据!$B$13:$C$35,2,FALSE)</f>
        <v>1</v>
      </c>
      <c r="S16" s="14">
        <f ca="1">VLOOKUP($I16&amp;$F16&amp;$G16,装备属性表,装备属性计算表!AN$29,FALSE)</f>
        <v>352.78343837856499</v>
      </c>
      <c r="T16" s="14">
        <f ca="1">VLOOKUP(VLOOKUP($I16&amp;$F16&amp;$G16,装备属性表,装备属性计算表!AO$29,FALSE),定义数据!$B$13:$C$35,2,FALSE)</f>
        <v>3</v>
      </c>
      <c r="U16" s="14">
        <f ca="1">VLOOKUP($I16&amp;$F16&amp;$G16,装备属性表,装备属性计算表!AP$29,FALSE)</f>
        <v>7.7431170883882157</v>
      </c>
      <c r="V16" s="14">
        <f ca="1">VLOOKUP(VLOOKUP($I16&amp;$F16&amp;$G16,装备属性表,装备属性计算表!AQ$29,FALSE),定义数据!$B$13:$C$35,2,FALSE)</f>
        <v>1</v>
      </c>
      <c r="W16" s="14">
        <f ca="1">VLOOKUP($I16&amp;$F16&amp;$G16,装备属性表,装备属性计算表!AR$29,FALSE)</f>
        <v>19.599079909920277</v>
      </c>
      <c r="X16" s="14">
        <f ca="1">VLOOKUP(VLOOKUP($I16&amp;$F16&amp;$G16,装备属性表,装备属性计算表!AS$29,FALSE),定义数据!$B$13:$C$35,2,FALSE)</f>
        <v>0</v>
      </c>
      <c r="Y16" s="14">
        <f>VLOOKUP($I16&amp;$F16&amp;$G16,装备属性表,装备属性计算表!AT$29,FALSE)</f>
        <v>0</v>
      </c>
      <c r="Z16" s="14">
        <f ca="1">VLOOKUP(VLOOKUP($I16&amp;$F16&amp;$G16,装备属性表,装备属性计算表!AU$29,FALSE),定义数据!$B$13:$C$35,2,FALSE)</f>
        <v>0</v>
      </c>
      <c r="AA16" s="14">
        <f>VLOOKUP($I16&amp;$F16&amp;$G16,装备属性表,装备属性计算表!AV$29,FALSE)</f>
        <v>0</v>
      </c>
      <c r="AB16" s="14">
        <f ca="1">VLOOKUP(VLOOKUP($I16&amp;$F16&amp;$G16,装备属性表,装备属性计算表!AW$29,FALSE),定义数据!$B$13:$C$35,2,FALSE)</f>
        <v>0</v>
      </c>
      <c r="AC16" s="14">
        <f>VLOOKUP($I16&amp;$F16&amp;$G16,装备属性表,装备属性计算表!AX$29,FALSE)</f>
        <v>0</v>
      </c>
      <c r="AD16" s="14">
        <f ca="1">VLOOKUP(VLOOKUP($I16&amp;$F16&amp;$G16,装备属性表,装备属性计算表!AY$29,FALSE),定义数据!$B$13:$C$35,2,FALSE)</f>
        <v>0</v>
      </c>
      <c r="AE16" s="14">
        <f>VLOOKUP($I16&amp;$F16&amp;$G16,装备属性表,装备属性计算表!AZ$29,FALSE)</f>
        <v>0</v>
      </c>
      <c r="AF16" s="14">
        <f ca="1">VLOOKUP(VLOOKUP($I16&amp;$F16&amp;$G16,装备属性表,装备属性计算表!BA$29,FALSE),定义数据!$B$13:$C$35,2,FALSE)</f>
        <v>0</v>
      </c>
      <c r="AG16" s="14">
        <f>VLOOKUP($I16&amp;$F16&amp;$G16,装备属性表,装备属性计算表!BB$29,FALSE)</f>
        <v>0</v>
      </c>
      <c r="AH16" s="14">
        <f ca="1">VLOOKUP(VLOOKUP($I16&amp;$F16&amp;$G16,装备属性表,装备属性计算表!BC$29,FALSE),定义数据!$B$13:$C$35,2,FALSE)</f>
        <v>0</v>
      </c>
      <c r="AI16" s="14">
        <f>VLOOKUP($I16&amp;$F16&amp;$G16,装备属性表,装备属性计算表!BD$29,FALSE)</f>
        <v>0</v>
      </c>
      <c r="AJ16" s="14">
        <f ca="1">VLOOKUP(VLOOKUP($I16&amp;$F16&amp;$G16,装备属性表,装备属性计算表!BE$29,FALSE),定义数据!$B$13:$C$35,2,FALSE)</f>
        <v>0</v>
      </c>
      <c r="AK16" s="14">
        <f>VLOOKUP($I16&amp;$F16&amp;$G16,装备属性表,装备属性计算表!BF$29,FALSE)</f>
        <v>0</v>
      </c>
      <c r="AM16" t="str">
        <f>IF(D16=0,5,D16) &amp; F16&amp;"00"&amp;VLOOKUP(G16,定义数据!$F$20:$G$27,2,FALSE)&amp;".png"</f>
        <v>51001.png</v>
      </c>
      <c r="AN16" s="79">
        <f>IF(OR(G16&lt;15),0,D_装备升级表!A16)</f>
        <v>0</v>
      </c>
      <c r="AP16">
        <f ca="1">VLOOKUP(G16&amp;I16&amp;F16,CHOOSE({1,2},装备属性计算表!$BK$32:$BK$187,装备属性计算表!$BJ$32:$BJ$187),2,FALSE)</f>
        <v>23.526385910626644</v>
      </c>
      <c r="AQ16">
        <f ca="1">AP16*'[1]0、经济设定'!$C$18</f>
        <v>1176.3192955313323</v>
      </c>
      <c r="AR16">
        <f ca="1">IFERROR(AQ16*'[1]0、经济设定'!$E$19*AU16*AS16,0)</f>
        <v>51.760902363287215</v>
      </c>
      <c r="AS16">
        <v>10</v>
      </c>
      <c r="AT16">
        <f t="shared" si="2"/>
        <v>6</v>
      </c>
      <c r="AU16">
        <f ca="1">IF(F16=0,IFERROR(AT16/AP16/'[1]0、经济设定'!$E$18,0),AU15)</f>
        <v>2.2001212833930142</v>
      </c>
      <c r="AY16">
        <v>2</v>
      </c>
      <c r="AZ16" t="s">
        <v>631</v>
      </c>
    </row>
    <row r="17" spans="1:52" x14ac:dyDescent="0.15">
      <c r="A17" s="14" t="str">
        <f t="shared" si="10"/>
        <v>52103</v>
      </c>
      <c r="B17" s="14" t="s">
        <v>526</v>
      </c>
      <c r="C17" s="14">
        <f>VLOOKUP($I17&amp;$F17&amp;$G17,装备属性表,装备属性计算表!AK$29,FALSE)</f>
        <v>3</v>
      </c>
      <c r="D17" s="14">
        <v>0</v>
      </c>
      <c r="E17" s="14" t="str">
        <f>VLOOKUP(F17,CHOOSE({1,2},定义数据!$F$2:$F$7,武器部位),2)</f>
        <v>裤子</v>
      </c>
      <c r="F17" s="14">
        <v>2</v>
      </c>
      <c r="G17" s="14">
        <v>5</v>
      </c>
      <c r="H17" s="14">
        <f t="shared" si="11"/>
        <v>5</v>
      </c>
      <c r="I17" s="14">
        <v>1</v>
      </c>
      <c r="J17" s="14" t="str">
        <f t="shared" si="12"/>
        <v>512</v>
      </c>
      <c r="K17" s="14" t="str">
        <f t="shared" si="13"/>
        <v>512</v>
      </c>
      <c r="L17" s="76"/>
      <c r="M17" s="14">
        <f>IF(OR(G17&lt;15,G17=80),0,D_装备升级表!A17)</f>
        <v>0</v>
      </c>
      <c r="N17" s="78">
        <v>1</v>
      </c>
      <c r="O17" s="14">
        <f t="shared" si="4"/>
        <v>300</v>
      </c>
      <c r="P17" s="14"/>
      <c r="Q17" s="14">
        <f>VLOOKUP($I17&amp;$F17&amp;$G17,装备属性表,装备属性计算表!AL$29,FALSE)</f>
        <v>3</v>
      </c>
      <c r="R17" s="14">
        <f ca="1">VLOOKUP(VLOOKUP($I17&amp;$F17&amp;$G17,装备属性表,装备属性计算表!AM$29,FALSE),定义数据!$B$13:$C$35,2,FALSE)</f>
        <v>3</v>
      </c>
      <c r="S17" s="14">
        <f ca="1">VLOOKUP($I17&amp;$F17&amp;$G17,装备属性表,装备属性计算表!AN$29,FALSE)</f>
        <v>5.1620780589254771</v>
      </c>
      <c r="T17" s="14">
        <f ca="1">VLOOKUP(VLOOKUP($I17&amp;$F17&amp;$G17,装备属性表,装备属性计算表!AO$29,FALSE),定义数据!$B$13:$C$35,2,FALSE)</f>
        <v>7</v>
      </c>
      <c r="U17" s="14">
        <f ca="1">VLOOKUP($I17&amp;$F17&amp;$G17,装备属性表,装备属性计算表!AP$29,FALSE)</f>
        <v>7.8125</v>
      </c>
      <c r="V17" s="14">
        <f ca="1">VLOOKUP(VLOOKUP($I17&amp;$F17&amp;$G17,装备属性表,装备属性计算表!AQ$29,FALSE),定义数据!$B$13:$C$35,2,FALSE)</f>
        <v>1</v>
      </c>
      <c r="W17" s="14">
        <f ca="1">VLOOKUP($I17&amp;$F17&amp;$G17,装备属性表,装备属性计算表!AR$29,FALSE)</f>
        <v>9.7995399549601387</v>
      </c>
      <c r="X17" s="14">
        <f ca="1">VLOOKUP(VLOOKUP($I17&amp;$F17&amp;$G17,装备属性表,装备属性计算表!AS$29,FALSE),定义数据!$B$13:$C$35,2,FALSE)</f>
        <v>0</v>
      </c>
      <c r="Y17" s="14">
        <f>VLOOKUP($I17&amp;$F17&amp;$G17,装备属性表,装备属性计算表!AT$29,FALSE)</f>
        <v>0</v>
      </c>
      <c r="Z17" s="14">
        <f ca="1">VLOOKUP(VLOOKUP($I17&amp;$F17&amp;$G17,装备属性表,装备属性计算表!AU$29,FALSE),定义数据!$B$13:$C$35,2,FALSE)</f>
        <v>0</v>
      </c>
      <c r="AA17" s="14">
        <f>VLOOKUP($I17&amp;$F17&amp;$G17,装备属性表,装备属性计算表!AV$29,FALSE)</f>
        <v>0</v>
      </c>
      <c r="AB17" s="14">
        <f ca="1">VLOOKUP(VLOOKUP($I17&amp;$F17&amp;$G17,装备属性表,装备属性计算表!AW$29,FALSE),定义数据!$B$13:$C$35,2,FALSE)</f>
        <v>0</v>
      </c>
      <c r="AC17" s="14">
        <f>VLOOKUP($I17&amp;$F17&amp;$G17,装备属性表,装备属性计算表!AX$29,FALSE)</f>
        <v>0</v>
      </c>
      <c r="AD17" s="14">
        <f ca="1">VLOOKUP(VLOOKUP($I17&amp;$F17&amp;$G17,装备属性表,装备属性计算表!AY$29,FALSE),定义数据!$B$13:$C$35,2,FALSE)</f>
        <v>0</v>
      </c>
      <c r="AE17" s="14">
        <f>VLOOKUP($I17&amp;$F17&amp;$G17,装备属性表,装备属性计算表!AZ$29,FALSE)</f>
        <v>0</v>
      </c>
      <c r="AF17" s="14">
        <f ca="1">VLOOKUP(VLOOKUP($I17&amp;$F17&amp;$G17,装备属性表,装备属性计算表!BA$29,FALSE),定义数据!$B$13:$C$35,2,FALSE)</f>
        <v>0</v>
      </c>
      <c r="AG17" s="14">
        <f>VLOOKUP($I17&amp;$F17&amp;$G17,装备属性表,装备属性计算表!BB$29,FALSE)</f>
        <v>0</v>
      </c>
      <c r="AH17" s="14">
        <f ca="1">VLOOKUP(VLOOKUP($I17&amp;$F17&amp;$G17,装备属性表,装备属性计算表!BC$29,FALSE),定义数据!$B$13:$C$35,2,FALSE)</f>
        <v>0</v>
      </c>
      <c r="AI17" s="14">
        <f>VLOOKUP($I17&amp;$F17&amp;$G17,装备属性表,装备属性计算表!BD$29,FALSE)</f>
        <v>0</v>
      </c>
      <c r="AJ17" s="14">
        <f ca="1">VLOOKUP(VLOOKUP($I17&amp;$F17&amp;$G17,装备属性表,装备属性计算表!BE$29,FALSE),定义数据!$B$13:$C$35,2,FALSE)</f>
        <v>0</v>
      </c>
      <c r="AK17" s="14">
        <f>VLOOKUP($I17&amp;$F17&amp;$G17,装备属性表,装备属性计算表!BF$29,FALSE)</f>
        <v>0</v>
      </c>
      <c r="AM17" t="str">
        <f>IF(D17=0,5,D17) &amp; F17&amp;"00"&amp;VLOOKUP(G17,定义数据!$F$20:$G$27,2,FALSE)&amp;".png"</f>
        <v>52001.png</v>
      </c>
      <c r="AN17" s="79">
        <f>IF(OR(G17&lt;15),0,D_装备升级表!A17)</f>
        <v>0</v>
      </c>
      <c r="AP17">
        <f ca="1">VLOOKUP(G17&amp;I17&amp;F17,CHOOSE({1,2},装备属性计算表!$BK$32:$BK$187,装备属性计算表!$BJ$32:$BJ$187),2,FALSE)</f>
        <v>8.6681045762457778</v>
      </c>
      <c r="AQ17">
        <f ca="1">AP17*'[1]0、经济设定'!$C$18</f>
        <v>433.4052288122889</v>
      </c>
      <c r="AR17">
        <f ca="1">IFERROR(AQ17*'[1]0、经济设定'!$E$19*AU17*AS17,0)</f>
        <v>19.070881364874719</v>
      </c>
      <c r="AS17">
        <v>10</v>
      </c>
      <c r="AT17">
        <f t="shared" si="2"/>
        <v>6</v>
      </c>
      <c r="AU17">
        <f ca="1">IF(F17=0,IFERROR(AT17/AP17/'[1]0、经济设定'!$E$18,0),AU16)</f>
        <v>2.2001212833930142</v>
      </c>
      <c r="AY17">
        <v>3</v>
      </c>
      <c r="AZ17" t="s">
        <v>632</v>
      </c>
    </row>
    <row r="18" spans="1:52" x14ac:dyDescent="0.15">
      <c r="A18" s="14" t="str">
        <f t="shared" si="10"/>
        <v>55103</v>
      </c>
      <c r="B18" s="14" t="s">
        <v>527</v>
      </c>
      <c r="C18" s="14">
        <f>VLOOKUP($I18&amp;$F18&amp;$G18,装备属性表,装备属性计算表!AK$29,FALSE)</f>
        <v>3</v>
      </c>
      <c r="D18" s="14">
        <f>D208</f>
        <v>0</v>
      </c>
      <c r="E18" s="14" t="str">
        <f>VLOOKUP(F18,CHOOSE({1,2},定义数据!$F$2:$F$7,武器部位),2)</f>
        <v>鞋子</v>
      </c>
      <c r="F18" s="14">
        <v>5</v>
      </c>
      <c r="G18" s="14">
        <v>5</v>
      </c>
      <c r="H18" s="14">
        <f t="shared" si="11"/>
        <v>5</v>
      </c>
      <c r="I18" s="14">
        <v>1</v>
      </c>
      <c r="J18" s="14" t="str">
        <f t="shared" si="12"/>
        <v>515</v>
      </c>
      <c r="K18" s="14" t="str">
        <f t="shared" si="13"/>
        <v>515</v>
      </c>
      <c r="L18" s="76"/>
      <c r="M18" s="14">
        <f>IF(OR(G18&lt;15,G18=80),0,D_装备升级表!A18)</f>
        <v>0</v>
      </c>
      <c r="N18" s="78">
        <v>1</v>
      </c>
      <c r="O18" s="14">
        <f t="shared" si="4"/>
        <v>300</v>
      </c>
      <c r="P18" s="14"/>
      <c r="Q18" s="14">
        <f>VLOOKUP($I18&amp;$F18&amp;$G18,装备属性表,装备属性计算表!AL$29,FALSE)</f>
        <v>3</v>
      </c>
      <c r="R18" s="14">
        <f ca="1">VLOOKUP(VLOOKUP($I18&amp;$F18&amp;$G18,装备属性表,装备属性计算表!AM$29,FALSE),定义数据!$B$13:$C$35,2,FALSE)</f>
        <v>1</v>
      </c>
      <c r="S18" s="14">
        <f ca="1">VLOOKUP($I18&amp;$F18&amp;$G18,装备属性表,装备属性计算表!AN$29,FALSE)</f>
        <v>117.59447945952168</v>
      </c>
      <c r="T18" s="14">
        <f ca="1">VLOOKUP(VLOOKUP($I18&amp;$F18&amp;$G18,装备属性表,装备属性计算表!AO$29,FALSE),定义数据!$B$13:$C$35,2,FALSE)</f>
        <v>7</v>
      </c>
      <c r="U18" s="14">
        <f ca="1">VLOOKUP($I18&amp;$F18&amp;$G18,装备属性表,装备属性计算表!AP$29,FALSE)</f>
        <v>15.625</v>
      </c>
      <c r="V18" s="14">
        <f ca="1">VLOOKUP(VLOOKUP($I18&amp;$F18&amp;$G18,装备属性表,装备属性计算表!AQ$29,FALSE),定义数据!$B$13:$C$35,2,FALSE)</f>
        <v>1</v>
      </c>
      <c r="W18" s="14">
        <f ca="1">VLOOKUP($I18&amp;$F18&amp;$G18,装备属性表,装备属性计算表!AR$29,FALSE)</f>
        <v>9.7995399549601387</v>
      </c>
      <c r="X18" s="14">
        <f ca="1">VLOOKUP(VLOOKUP($I18&amp;$F18&amp;$G18,装备属性表,装备属性计算表!AS$29,FALSE),定义数据!$B$13:$C$35,2,FALSE)</f>
        <v>0</v>
      </c>
      <c r="Y18" s="14">
        <f>VLOOKUP($I18&amp;$F18&amp;$G18,装备属性表,装备属性计算表!AT$29,FALSE)</f>
        <v>0</v>
      </c>
      <c r="Z18" s="14">
        <f ca="1">VLOOKUP(VLOOKUP($I18&amp;$F18&amp;$G18,装备属性表,装备属性计算表!AU$29,FALSE),定义数据!$B$13:$C$35,2,FALSE)</f>
        <v>0</v>
      </c>
      <c r="AA18" s="14">
        <f>VLOOKUP($I18&amp;$F18&amp;$G18,装备属性表,装备属性计算表!AV$29,FALSE)</f>
        <v>0</v>
      </c>
      <c r="AB18" s="14">
        <f ca="1">VLOOKUP(VLOOKUP($I18&amp;$F18&amp;$G18,装备属性表,装备属性计算表!AW$29,FALSE),定义数据!$B$13:$C$35,2,FALSE)</f>
        <v>0</v>
      </c>
      <c r="AC18" s="14">
        <f>VLOOKUP($I18&amp;$F18&amp;$G18,装备属性表,装备属性计算表!AX$29,FALSE)</f>
        <v>0</v>
      </c>
      <c r="AD18" s="14">
        <f ca="1">VLOOKUP(VLOOKUP($I18&amp;$F18&amp;$G18,装备属性表,装备属性计算表!AY$29,FALSE),定义数据!$B$13:$C$35,2,FALSE)</f>
        <v>0</v>
      </c>
      <c r="AE18" s="14">
        <f>VLOOKUP($I18&amp;$F18&amp;$G18,装备属性表,装备属性计算表!AZ$29,FALSE)</f>
        <v>0</v>
      </c>
      <c r="AF18" s="14">
        <f ca="1">VLOOKUP(VLOOKUP($I18&amp;$F18&amp;$G18,装备属性表,装备属性计算表!BA$29,FALSE),定义数据!$B$13:$C$35,2,FALSE)</f>
        <v>0</v>
      </c>
      <c r="AG18" s="14">
        <f>VLOOKUP($I18&amp;$F18&amp;$G18,装备属性表,装备属性计算表!BB$29,FALSE)</f>
        <v>0</v>
      </c>
      <c r="AH18" s="14">
        <f ca="1">VLOOKUP(VLOOKUP($I18&amp;$F18&amp;$G18,装备属性表,装备属性计算表!BC$29,FALSE),定义数据!$B$13:$C$35,2,FALSE)</f>
        <v>0</v>
      </c>
      <c r="AI18" s="14">
        <f>VLOOKUP($I18&amp;$F18&amp;$G18,装备属性表,装备属性计算表!BD$29,FALSE)</f>
        <v>0</v>
      </c>
      <c r="AJ18" s="14">
        <f ca="1">VLOOKUP(VLOOKUP($I18&amp;$F18&amp;$G18,装备属性表,装备属性计算表!BE$29,FALSE),定义数据!$B$13:$C$35,2,FALSE)</f>
        <v>0</v>
      </c>
      <c r="AK18" s="14">
        <f>VLOOKUP($I18&amp;$F18&amp;$G18,装备属性表,装备属性计算表!BF$29,FALSE)</f>
        <v>0</v>
      </c>
      <c r="AM18" t="str">
        <f>IF(D18=0,5,D18) &amp; F18&amp;"00"&amp;VLOOKUP(G18,定义数据!$F$20:$G$27,2,FALSE)&amp;".png"</f>
        <v>55001.png</v>
      </c>
      <c r="AN18" s="79">
        <f>IF(OR(G18&lt;15),0,D_装备升级表!A18)</f>
        <v>0</v>
      </c>
      <c r="AP18">
        <f ca="1">VLOOKUP(G18&amp;I18&amp;F18,CHOOSE({1,2},装备属性计算表!$BK$32:$BK$187,装备属性计算表!$BJ$32:$BJ$187),2,FALSE)</f>
        <v>11.042635776579273</v>
      </c>
      <c r="AQ18">
        <f ca="1">AP18*'[1]0、经济设定'!$C$18</f>
        <v>552.13178882896364</v>
      </c>
      <c r="AR18">
        <f ca="1">IFERROR(AQ18*'[1]0、经济设定'!$E$19*AU18*AS18,0)</f>
        <v>24.295137996809203</v>
      </c>
      <c r="AS18">
        <v>10</v>
      </c>
      <c r="AT18">
        <f t="shared" si="2"/>
        <v>6</v>
      </c>
      <c r="AU18">
        <f ca="1">IF(F18=0,IFERROR(AT18/AP18/'[1]0、经济设定'!$E$18,0),AU17)</f>
        <v>2.2001212833930142</v>
      </c>
      <c r="AY18">
        <v>4</v>
      </c>
      <c r="AZ18" t="s">
        <v>633</v>
      </c>
    </row>
    <row r="19" spans="1:52" x14ac:dyDescent="0.15">
      <c r="A19" s="14" t="str">
        <f t="shared" ref="A19:A20" si="14">IF(D19=0,D19+5&amp;F19&amp;I19&amp;IF(C19&lt;10,"0"&amp;C19,C19),D19&amp;F19&amp;I19&amp;IF(C19&lt;10,"0"&amp;C19,C19))</f>
        <v>54103</v>
      </c>
      <c r="B19" s="14" t="s">
        <v>528</v>
      </c>
      <c r="C19" s="14">
        <f>VLOOKUP($I19&amp;$F19&amp;$G19,装备属性表,装备属性计算表!AK$29,FALSE)</f>
        <v>3</v>
      </c>
      <c r="D19" s="14">
        <f>D209</f>
        <v>0</v>
      </c>
      <c r="E19" s="14" t="str">
        <f>VLOOKUP(F19,CHOOSE({1,2},定义数据!$F$2:$F$7,武器部位),2)</f>
        <v>腰带</v>
      </c>
      <c r="F19" s="14">
        <v>4</v>
      </c>
      <c r="G19" s="14">
        <v>5</v>
      </c>
      <c r="H19" s="14">
        <f t="shared" si="11"/>
        <v>5</v>
      </c>
      <c r="I19" s="14">
        <v>1</v>
      </c>
      <c r="J19" s="14" t="str">
        <f t="shared" si="12"/>
        <v>514</v>
      </c>
      <c r="K19" s="14" t="str">
        <f t="shared" si="13"/>
        <v>514</v>
      </c>
      <c r="L19" s="76"/>
      <c r="M19" s="14">
        <f>IF(OR(G19&lt;15,G19=80),0,D_装备升级表!A19)</f>
        <v>0</v>
      </c>
      <c r="N19" s="78">
        <v>1</v>
      </c>
      <c r="O19" s="14">
        <f t="shared" si="4"/>
        <v>300</v>
      </c>
      <c r="P19" s="14"/>
      <c r="Q19" s="14">
        <f>VLOOKUP($I19&amp;$F19&amp;$G19,装备属性表,装备属性计算表!AL$29,FALSE)</f>
        <v>3</v>
      </c>
      <c r="R19" s="14">
        <f ca="1">VLOOKUP(VLOOKUP($I19&amp;$F19&amp;$G19,装备属性表,装备属性计算表!AM$29,FALSE),定义数据!$B$13:$C$35,2,FALSE)</f>
        <v>1</v>
      </c>
      <c r="S19" s="14">
        <f ca="1">VLOOKUP($I19&amp;$F19&amp;$G19,装备属性表,装备属性计算表!AN$29,FALSE)</f>
        <v>117.59447945952168</v>
      </c>
      <c r="T19" s="14">
        <f ca="1">VLOOKUP(VLOOKUP($I19&amp;$F19&amp;$G19,装备属性表,装备属性计算表!AO$29,FALSE),定义数据!$B$13:$C$35,2,FALSE)</f>
        <v>9</v>
      </c>
      <c r="U19" s="14">
        <f ca="1">VLOOKUP($I19&amp;$F19&amp;$G19,装备属性表,装备属性计算表!AP$29,FALSE)</f>
        <v>13.888888888888888</v>
      </c>
      <c r="V19" s="14">
        <f ca="1">VLOOKUP(VLOOKUP($I19&amp;$F19&amp;$G19,装备属性表,装备属性计算表!AQ$29,FALSE),定义数据!$B$13:$C$35,2,FALSE)</f>
        <v>1</v>
      </c>
      <c r="W19" s="14">
        <f ca="1">VLOOKUP($I19&amp;$F19&amp;$G19,装备属性表,装备属性计算表!AR$29,FALSE)</f>
        <v>19.599079909920277</v>
      </c>
      <c r="X19" s="14">
        <f ca="1">VLOOKUP(VLOOKUP($I19&amp;$F19&amp;$G19,装备属性表,装备属性计算表!AS$29,FALSE),定义数据!$B$13:$C$35,2,FALSE)</f>
        <v>0</v>
      </c>
      <c r="Y19" s="14">
        <f>VLOOKUP($I19&amp;$F19&amp;$G19,装备属性表,装备属性计算表!AT$29,FALSE)</f>
        <v>0</v>
      </c>
      <c r="Z19" s="14">
        <f ca="1">VLOOKUP(VLOOKUP($I19&amp;$F19&amp;$G19,装备属性表,装备属性计算表!AU$29,FALSE),定义数据!$B$13:$C$35,2,FALSE)</f>
        <v>0</v>
      </c>
      <c r="AA19" s="14">
        <f>VLOOKUP($I19&amp;$F19&amp;$G19,装备属性表,装备属性计算表!AV$29,FALSE)</f>
        <v>0</v>
      </c>
      <c r="AB19" s="14">
        <f ca="1">VLOOKUP(VLOOKUP($I19&amp;$F19&amp;$G19,装备属性表,装备属性计算表!AW$29,FALSE),定义数据!$B$13:$C$35,2,FALSE)</f>
        <v>0</v>
      </c>
      <c r="AC19" s="14">
        <f>VLOOKUP($I19&amp;$F19&amp;$G19,装备属性表,装备属性计算表!AX$29,FALSE)</f>
        <v>0</v>
      </c>
      <c r="AD19" s="14">
        <f ca="1">VLOOKUP(VLOOKUP($I19&amp;$F19&amp;$G19,装备属性表,装备属性计算表!AY$29,FALSE),定义数据!$B$13:$C$35,2,FALSE)</f>
        <v>0</v>
      </c>
      <c r="AE19" s="14">
        <f>VLOOKUP($I19&amp;$F19&amp;$G19,装备属性表,装备属性计算表!AZ$29,FALSE)</f>
        <v>0</v>
      </c>
      <c r="AF19" s="14">
        <f ca="1">VLOOKUP(VLOOKUP($I19&amp;$F19&amp;$G19,装备属性表,装备属性计算表!BA$29,FALSE),定义数据!$B$13:$C$35,2,FALSE)</f>
        <v>0</v>
      </c>
      <c r="AG19" s="14">
        <f>VLOOKUP($I19&amp;$F19&amp;$G19,装备属性表,装备属性计算表!BB$29,FALSE)</f>
        <v>0</v>
      </c>
      <c r="AH19" s="14">
        <f ca="1">VLOOKUP(VLOOKUP($I19&amp;$F19&amp;$G19,装备属性表,装备属性计算表!BC$29,FALSE),定义数据!$B$13:$C$35,2,FALSE)</f>
        <v>0</v>
      </c>
      <c r="AI19" s="14">
        <f>VLOOKUP($I19&amp;$F19&amp;$G19,装备属性表,装备属性计算表!BD$29,FALSE)</f>
        <v>0</v>
      </c>
      <c r="AJ19" s="14">
        <f ca="1">VLOOKUP(VLOOKUP($I19&amp;$F19&amp;$G19,装备属性表,装备属性计算表!BE$29,FALSE),定义数据!$B$13:$C$35,2,FALSE)</f>
        <v>0</v>
      </c>
      <c r="AK19" s="14">
        <f>VLOOKUP($I19&amp;$F19&amp;$G19,装备属性表,装备属性计算表!BF$29,FALSE)</f>
        <v>0</v>
      </c>
      <c r="AM19" t="str">
        <f>IF(D19=0,5,D19) &amp; F19&amp;"00"&amp;VLOOKUP(G19,定义数据!$F$20:$G$27,2,FALSE)&amp;".png"</f>
        <v>54001.png</v>
      </c>
      <c r="AN19" s="79">
        <f>IF(OR(G19&lt;15),0,D_装备升级表!A19)</f>
        <v>0</v>
      </c>
      <c r="AP19">
        <f ca="1">VLOOKUP(G19&amp;I19&amp;F19,CHOOSE({1,2},装备属性计算表!$BK$32:$BK$187,装备属性计算表!$BJ$32:$BJ$187),2,FALSE)</f>
        <v>8.8834588928300544</v>
      </c>
      <c r="AQ19">
        <f ca="1">AP19*'[1]0、经济设定'!$C$18</f>
        <v>444.17294464150274</v>
      </c>
      <c r="AR19">
        <f ca="1">IFERROR(AQ19*'[1]0、经济设定'!$E$19*AU19*AS19,0)</f>
        <v>19.544686980262345</v>
      </c>
      <c r="AS19">
        <v>10</v>
      </c>
      <c r="AT19">
        <f t="shared" si="2"/>
        <v>6</v>
      </c>
      <c r="AU19">
        <f ca="1">IF(F19=0,IFERROR(AT19/AP19/'[1]0、经济设定'!$E$18,0),AU18)</f>
        <v>2.2001212833930142</v>
      </c>
    </row>
    <row r="20" spans="1:52" x14ac:dyDescent="0.15">
      <c r="A20" s="14" t="str">
        <f t="shared" si="14"/>
        <v>53103</v>
      </c>
      <c r="B20" s="14" t="s">
        <v>529</v>
      </c>
      <c r="C20" s="14">
        <f>VLOOKUP($I20&amp;$F20&amp;$G20,装备属性表,装备属性计算表!AK$29,FALSE)</f>
        <v>3</v>
      </c>
      <c r="D20" s="14">
        <f>D210</f>
        <v>0</v>
      </c>
      <c r="E20" s="14" t="str">
        <f>VLOOKUP(F20,CHOOSE({1,2},定义数据!$F$2:$F$7,武器部位),2)</f>
        <v>项链</v>
      </c>
      <c r="F20" s="14">
        <v>3</v>
      </c>
      <c r="G20" s="14">
        <v>5</v>
      </c>
      <c r="H20" s="14">
        <f t="shared" si="11"/>
        <v>5</v>
      </c>
      <c r="I20" s="14">
        <v>1</v>
      </c>
      <c r="J20" s="14" t="str">
        <f t="shared" si="12"/>
        <v>513</v>
      </c>
      <c r="K20" s="14" t="str">
        <f t="shared" si="13"/>
        <v>513</v>
      </c>
      <c r="L20" s="76"/>
      <c r="M20" s="14">
        <f>IF(OR(G20&lt;15,G20=80),0,D_装备升级表!A20)</f>
        <v>0</v>
      </c>
      <c r="N20" s="78">
        <v>1</v>
      </c>
      <c r="O20" s="14">
        <f t="shared" si="4"/>
        <v>300</v>
      </c>
      <c r="P20" s="14"/>
      <c r="Q20" s="14">
        <f>VLOOKUP($I20&amp;$F20&amp;$G20,装备属性表,装备属性计算表!AL$29,FALSE)</f>
        <v>3</v>
      </c>
      <c r="R20" s="14">
        <f ca="1">VLOOKUP(VLOOKUP($I20&amp;$F20&amp;$G20,装备属性表,装备属性计算表!AM$29,FALSE),定义数据!$B$13:$C$35,2,FALSE)</f>
        <v>2</v>
      </c>
      <c r="S20" s="14">
        <f ca="1">VLOOKUP($I20&amp;$F20&amp;$G20,装备属性表,装备属性计算表!AN$29,FALSE)</f>
        <v>7.466207486631018</v>
      </c>
      <c r="T20" s="14">
        <f ca="1">VLOOKUP(VLOOKUP($I20&amp;$F20&amp;$G20,装备属性表,装备属性计算表!AO$29,FALSE),定义数据!$B$13:$C$35,2,FALSE)</f>
        <v>6</v>
      </c>
      <c r="U20" s="14">
        <f ca="1">VLOOKUP($I20&amp;$F20&amp;$G20,装备属性表,装备属性计算表!AP$29,FALSE)</f>
        <v>23.4375</v>
      </c>
      <c r="V20" s="14">
        <f ca="1">VLOOKUP(VLOOKUP($I20&amp;$F20&amp;$G20,装备属性表,装备属性计算表!AQ$29,FALSE),定义数据!$B$13:$C$35,2,FALSE)</f>
        <v>2</v>
      </c>
      <c r="W20" s="14">
        <f ca="1">VLOOKUP($I20&amp;$F20&amp;$G20,装备属性表,装备属性计算表!AR$29,FALSE)</f>
        <v>0.59729659893048148</v>
      </c>
      <c r="X20" s="14">
        <f ca="1">VLOOKUP(VLOOKUP($I20&amp;$F20&amp;$G20,装备属性表,装备属性计算表!AS$29,FALSE),定义数据!$B$13:$C$35,2,FALSE)</f>
        <v>0</v>
      </c>
      <c r="Y20" s="14">
        <f>VLOOKUP($I20&amp;$F20&amp;$G20,装备属性表,装备属性计算表!AT$29,FALSE)</f>
        <v>0</v>
      </c>
      <c r="Z20" s="14">
        <f ca="1">VLOOKUP(VLOOKUP($I20&amp;$F20&amp;$G20,装备属性表,装备属性计算表!AU$29,FALSE),定义数据!$B$13:$C$35,2,FALSE)</f>
        <v>0</v>
      </c>
      <c r="AA20" s="14">
        <f>VLOOKUP($I20&amp;$F20&amp;$G20,装备属性表,装备属性计算表!AV$29,FALSE)</f>
        <v>0</v>
      </c>
      <c r="AB20" s="14">
        <f ca="1">VLOOKUP(VLOOKUP($I20&amp;$F20&amp;$G20,装备属性表,装备属性计算表!AW$29,FALSE),定义数据!$B$13:$C$35,2,FALSE)</f>
        <v>0</v>
      </c>
      <c r="AC20" s="14">
        <f>VLOOKUP($I20&amp;$F20&amp;$G20,装备属性表,装备属性计算表!AX$29,FALSE)</f>
        <v>0</v>
      </c>
      <c r="AD20" s="14">
        <f ca="1">VLOOKUP(VLOOKUP($I20&amp;$F20&amp;$G20,装备属性表,装备属性计算表!AY$29,FALSE),定义数据!$B$13:$C$35,2,FALSE)</f>
        <v>0</v>
      </c>
      <c r="AE20" s="14">
        <f>VLOOKUP($I20&amp;$F20&amp;$G20,装备属性表,装备属性计算表!AZ$29,FALSE)</f>
        <v>0</v>
      </c>
      <c r="AF20" s="14">
        <f ca="1">VLOOKUP(VLOOKUP($I20&amp;$F20&amp;$G20,装备属性表,装备属性计算表!BA$29,FALSE),定义数据!$B$13:$C$35,2,FALSE)</f>
        <v>0</v>
      </c>
      <c r="AG20" s="14">
        <f>VLOOKUP($I20&amp;$F20&amp;$G20,装备属性表,装备属性计算表!BB$29,FALSE)</f>
        <v>0</v>
      </c>
      <c r="AH20" s="14">
        <f ca="1">VLOOKUP(VLOOKUP($I20&amp;$F20&amp;$G20,装备属性表,装备属性计算表!BC$29,FALSE),定义数据!$B$13:$C$35,2,FALSE)</f>
        <v>0</v>
      </c>
      <c r="AI20" s="14">
        <f>VLOOKUP($I20&amp;$F20&amp;$G20,装备属性表,装备属性计算表!BD$29,FALSE)</f>
        <v>0</v>
      </c>
      <c r="AJ20" s="14">
        <f ca="1">VLOOKUP(VLOOKUP($I20&amp;$F20&amp;$G20,装备属性表,装备属性计算表!BE$29,FALSE),定义数据!$B$13:$C$35,2,FALSE)</f>
        <v>0</v>
      </c>
      <c r="AK20" s="14">
        <f>VLOOKUP($I20&amp;$F20&amp;$G20,装备属性表,装备属性计算表!BF$29,FALSE)</f>
        <v>0</v>
      </c>
      <c r="AM20" t="str">
        <f>IF(D20=0,5,D20) &amp; F20&amp;"00"&amp;VLOOKUP(G20,定义数据!$F$20:$G$27,2,FALSE)&amp;".png"</f>
        <v>53001.png</v>
      </c>
      <c r="AN20" s="79">
        <f>IF(OR(G20&lt;15),0,D_装备升级表!A20)</f>
        <v>0</v>
      </c>
      <c r="AP20">
        <f ca="1">VLOOKUP(G20&amp;I20&amp;F20,CHOOSE({1,2},装备属性计算表!$BK$32:$BK$187,装备属性计算表!$BJ$32:$BJ$187),2,FALSE)</f>
        <v>16.5572540855615</v>
      </c>
      <c r="AQ20">
        <f ca="1">AP20*'[1]0、经济设定'!$C$18</f>
        <v>827.86270427807494</v>
      </c>
      <c r="AR20">
        <f ca="1">IFERROR(AQ20*'[1]0、经济设定'!$E$19*AU20*AS20,0)</f>
        <v>36.42796710818979</v>
      </c>
      <c r="AS20">
        <v>10</v>
      </c>
      <c r="AT20">
        <f t="shared" si="2"/>
        <v>6</v>
      </c>
      <c r="AU20">
        <f ca="1">IF(F20=0,IFERROR(AT20/AP20/'[1]0、经济设定'!$E$18,0),AU19)</f>
        <v>2.2001212833930142</v>
      </c>
    </row>
    <row r="21" spans="1:52" x14ac:dyDescent="0.15">
      <c r="A21" s="14" t="str">
        <f t="shared" si="3"/>
        <v>10104</v>
      </c>
      <c r="B21" s="14" t="s">
        <v>530</v>
      </c>
      <c r="C21" s="14">
        <f>VLOOKUP($I21&amp;$F21&amp;$G21,装备属性表,装备属性计算表!AK$29,FALSE)</f>
        <v>4</v>
      </c>
      <c r="D21" s="14">
        <f>D2</f>
        <v>1</v>
      </c>
      <c r="E21" s="14" t="str">
        <f>VLOOKUP(F21,CHOOSE({1,2},定义数据!$F$2:$F$7,武器部位),2)</f>
        <v>武器</v>
      </c>
      <c r="F21" s="14">
        <v>0</v>
      </c>
      <c r="G21" s="14">
        <v>15</v>
      </c>
      <c r="H21" s="14">
        <f t="shared" si="7"/>
        <v>15</v>
      </c>
      <c r="I21" s="14">
        <v>1</v>
      </c>
      <c r="J21" s="14" t="str">
        <f t="shared" si="8"/>
        <v>1510</v>
      </c>
      <c r="K21" s="14" t="str">
        <f t="shared" si="9"/>
        <v>1510</v>
      </c>
      <c r="L21" s="76"/>
      <c r="M21" s="14">
        <f>IF(OR(G21&lt;15,G21=80),0,D_装备升级表!A21)</f>
        <v>15110</v>
      </c>
      <c r="N21" s="78">
        <v>1</v>
      </c>
      <c r="O21" s="14">
        <f t="shared" si="4"/>
        <v>400</v>
      </c>
      <c r="P21" s="14"/>
      <c r="Q21" s="14">
        <f>VLOOKUP($I21&amp;$F21&amp;$G21,装备属性表,装备属性计算表!AL$29,FALSE)</f>
        <v>3</v>
      </c>
      <c r="R21" s="14">
        <f ca="1">VLOOKUP(VLOOKUP($I21&amp;$F21&amp;$G21,装备属性表,装备属性计算表!AM$29,FALSE),定义数据!$B$13:$C$35,2,FALSE)</f>
        <v>2</v>
      </c>
      <c r="S21" s="14">
        <f ca="1">VLOOKUP($I21&amp;$F21&amp;$G21,装备属性表,装备属性计算表!AN$29,FALSE)</f>
        <v>44.79724491978611</v>
      </c>
      <c r="T21" s="14">
        <f ca="1">VLOOKUP(VLOOKUP($I21&amp;$F21&amp;$G21,装备属性表,装备属性计算表!AO$29,FALSE),定义数据!$B$13:$C$35,2,FALSE)</f>
        <v>8</v>
      </c>
      <c r="U21" s="14">
        <f ca="1">VLOOKUP($I21&amp;$F21&amp;$G21,装备属性表,装备属性计算表!AP$29,FALSE)</f>
        <v>27.777777777777775</v>
      </c>
      <c r="V21" s="14">
        <f ca="1">VLOOKUP(VLOOKUP($I21&amp;$F21&amp;$G21,装备属性表,装备属性计算表!AQ$29,FALSE),定义数据!$B$13:$C$35,2,FALSE)</f>
        <v>2</v>
      </c>
      <c r="W21" s="14">
        <f ca="1">VLOOKUP($I21&amp;$F21&amp;$G21,装备属性表,装备属性计算表!AR$29,FALSE)</f>
        <v>3.5837795935828889</v>
      </c>
      <c r="X21" s="14">
        <f ca="1">VLOOKUP(VLOOKUP($I21&amp;$F21&amp;$G21,装备属性表,装备属性计算表!AS$29,FALSE),定义数据!$B$13:$C$35,2,FALSE)</f>
        <v>0</v>
      </c>
      <c r="Y21" s="14">
        <f>VLOOKUP($I21&amp;$F21&amp;$G21,装备属性表,装备属性计算表!AT$29,FALSE)</f>
        <v>0</v>
      </c>
      <c r="Z21" s="14">
        <f ca="1">VLOOKUP(VLOOKUP($I21&amp;$F21&amp;$G21,装备属性表,装备属性计算表!AU$29,FALSE),定义数据!$B$13:$C$35,2,FALSE)</f>
        <v>0</v>
      </c>
      <c r="AA21" s="14">
        <f>VLOOKUP($I21&amp;$F21&amp;$G21,装备属性表,装备属性计算表!AV$29,FALSE)</f>
        <v>0</v>
      </c>
      <c r="AB21" s="14">
        <f ca="1">VLOOKUP(VLOOKUP($I21&amp;$F21&amp;$G21,装备属性表,装备属性计算表!AW$29,FALSE),定义数据!$B$13:$C$35,2,FALSE)</f>
        <v>0</v>
      </c>
      <c r="AC21" s="14">
        <f>VLOOKUP($I21&amp;$F21&amp;$G21,装备属性表,装备属性计算表!AX$29,FALSE)</f>
        <v>0</v>
      </c>
      <c r="AD21" s="14">
        <f ca="1">VLOOKUP(VLOOKUP($I21&amp;$F21&amp;$G21,装备属性表,装备属性计算表!AY$29,FALSE),定义数据!$B$13:$C$35,2,FALSE)</f>
        <v>0</v>
      </c>
      <c r="AE21" s="14">
        <f>VLOOKUP($I21&amp;$F21&amp;$G21,装备属性表,装备属性计算表!AZ$29,FALSE)</f>
        <v>0</v>
      </c>
      <c r="AF21" s="14">
        <f ca="1">VLOOKUP(VLOOKUP($I21&amp;$F21&amp;$G21,装备属性表,装备属性计算表!BA$29,FALSE),定义数据!$B$13:$C$35,2,FALSE)</f>
        <v>0</v>
      </c>
      <c r="AG21" s="14">
        <f>VLOOKUP($I21&amp;$F21&amp;$G21,装备属性表,装备属性计算表!BB$29,FALSE)</f>
        <v>0</v>
      </c>
      <c r="AH21" s="14">
        <f ca="1">VLOOKUP(VLOOKUP($I21&amp;$F21&amp;$G21,装备属性表,装备属性计算表!BC$29,FALSE),定义数据!$B$13:$C$35,2,FALSE)</f>
        <v>0</v>
      </c>
      <c r="AI21" s="14">
        <f>VLOOKUP($I21&amp;$F21&amp;$G21,装备属性表,装备属性计算表!BD$29,FALSE)</f>
        <v>0</v>
      </c>
      <c r="AJ21" s="14">
        <f ca="1">VLOOKUP(VLOOKUP($I21&amp;$F21&amp;$G21,装备属性表,装备属性计算表!BE$29,FALSE),定义数据!$B$13:$C$35,2,FALSE)</f>
        <v>0</v>
      </c>
      <c r="AK21" s="14">
        <f>VLOOKUP($I21&amp;$F21&amp;$G21,装备属性表,装备属性计算表!BF$29,FALSE)</f>
        <v>0</v>
      </c>
      <c r="AL21" t="str">
        <f>B21&amp;"是一件"&amp;G21&amp;"级"&amp;VLOOKUP(I21,$AY$13:$AZ$18,2,FALSE)&amp;"可升级的装备。"</f>
        <v>野性之剑是一件15级蓝色可升级的装备。</v>
      </c>
      <c r="AM21" t="str">
        <f>IF(D21=0,5,D21) &amp; F21&amp;"00"&amp;VLOOKUP(G21,定义数据!$F$20:$G$27,2,FALSE)&amp;".png"</f>
        <v>10002.png</v>
      </c>
      <c r="AN21" s="79">
        <f>IF(OR(G21&lt;15),0,D_装备升级表!A21)</f>
        <v>15110</v>
      </c>
      <c r="AP21">
        <f ca="1">VLOOKUP(G21&amp;I21&amp;F21,CHOOSE({1,2},装备属性计算表!$BK$32:$BK$187,装备属性计算表!$BJ$32:$BJ$187),2,FALSE)</f>
        <v>54.542447684946119</v>
      </c>
      <c r="AQ21">
        <f ca="1">AP21*'[1]0、经济设定'!$C$18</f>
        <v>2727.1223842473059</v>
      </c>
      <c r="AR21">
        <f ca="1">IFERROR(AQ21*'[1]0、经济设定'!$E$19*AU21*AS21,0)</f>
        <v>180</v>
      </c>
      <c r="AS21">
        <v>10</v>
      </c>
      <c r="AT21">
        <f t="shared" si="2"/>
        <v>18</v>
      </c>
      <c r="AU21">
        <f ca="1">IF(F21=0,IFERROR(AT21/AP21/'[1]0、经济设定'!$E$18,0),AU20)</f>
        <v>3.3001819250895212</v>
      </c>
      <c r="AV21">
        <f t="shared" ref="AV21:AV100" ca="1" si="15">AP21*40</f>
        <v>2181.6979073978446</v>
      </c>
    </row>
    <row r="22" spans="1:52" x14ac:dyDescent="0.15">
      <c r="A22" s="14" t="str">
        <f t="shared" si="3"/>
        <v>20104</v>
      </c>
      <c r="B22" s="14" t="s">
        <v>206</v>
      </c>
      <c r="C22" s="14">
        <f>VLOOKUP($I22&amp;$F22&amp;$G22,装备属性表,装备属性计算表!AK$29,FALSE)</f>
        <v>4</v>
      </c>
      <c r="D22" s="14">
        <f t="shared" ref="D22:D28" si="16">D6</f>
        <v>2</v>
      </c>
      <c r="E22" s="14" t="str">
        <f>VLOOKUP(F22,CHOOSE({1,2},定义数据!$F$2:$F$7,武器部位),2)</f>
        <v>武器</v>
      </c>
      <c r="F22" s="14">
        <v>0</v>
      </c>
      <c r="G22" s="14">
        <v>15</v>
      </c>
      <c r="H22" s="14">
        <f t="shared" si="7"/>
        <v>15</v>
      </c>
      <c r="I22" s="14">
        <v>1</v>
      </c>
      <c r="J22" s="14" t="str">
        <f t="shared" si="8"/>
        <v>1510</v>
      </c>
      <c r="K22" s="14" t="str">
        <f t="shared" si="9"/>
        <v>1510</v>
      </c>
      <c r="L22" s="76"/>
      <c r="M22" s="14">
        <f>IF(OR(G22&lt;15,G22=80),0,D_装备升级表!A22)</f>
        <v>15210</v>
      </c>
      <c r="N22" s="78">
        <v>1</v>
      </c>
      <c r="O22" s="14">
        <f t="shared" si="4"/>
        <v>400</v>
      </c>
      <c r="P22" s="14"/>
      <c r="Q22" s="14">
        <f>VLOOKUP($I22&amp;$F22&amp;$G22,装备属性表,装备属性计算表!AL$29,FALSE)</f>
        <v>3</v>
      </c>
      <c r="R22" s="14">
        <f ca="1">VLOOKUP(VLOOKUP($I22&amp;$F22&amp;$G22,装备属性表,装备属性计算表!AM$29,FALSE),定义数据!$B$13:$C$35,2,FALSE)</f>
        <v>2</v>
      </c>
      <c r="S22" s="14">
        <f ca="1">VLOOKUP($I22&amp;$F22&amp;$G22,装备属性表,装备属性计算表!AN$29,FALSE)</f>
        <v>44.79724491978611</v>
      </c>
      <c r="T22" s="14">
        <f ca="1">VLOOKUP(VLOOKUP($I22&amp;$F22&amp;$G22,装备属性表,装备属性计算表!AO$29,FALSE),定义数据!$B$13:$C$35,2,FALSE)</f>
        <v>8</v>
      </c>
      <c r="U22" s="14">
        <f ca="1">VLOOKUP($I22&amp;$F22&amp;$G22,装备属性表,装备属性计算表!AP$29,FALSE)</f>
        <v>27.777777777777775</v>
      </c>
      <c r="V22" s="14">
        <f ca="1">VLOOKUP(VLOOKUP($I22&amp;$F22&amp;$G22,装备属性表,装备属性计算表!AQ$29,FALSE),定义数据!$B$13:$C$35,2,FALSE)</f>
        <v>2</v>
      </c>
      <c r="W22" s="14">
        <f ca="1">VLOOKUP($I22&amp;$F22&amp;$G22,装备属性表,装备属性计算表!AR$29,FALSE)</f>
        <v>3.5837795935828889</v>
      </c>
      <c r="X22" s="14">
        <f ca="1">VLOOKUP(VLOOKUP($I22&amp;$F22&amp;$G22,装备属性表,装备属性计算表!AS$29,FALSE),定义数据!$B$13:$C$35,2,FALSE)</f>
        <v>0</v>
      </c>
      <c r="Y22" s="14">
        <f>VLOOKUP($I22&amp;$F22&amp;$G22,装备属性表,装备属性计算表!AT$29,FALSE)</f>
        <v>0</v>
      </c>
      <c r="Z22" s="14">
        <f ca="1">VLOOKUP(VLOOKUP($I22&amp;$F22&amp;$G22,装备属性表,装备属性计算表!AU$29,FALSE),定义数据!$B$13:$C$35,2,FALSE)</f>
        <v>0</v>
      </c>
      <c r="AA22" s="14">
        <f>VLOOKUP($I22&amp;$F22&amp;$G22,装备属性表,装备属性计算表!AV$29,FALSE)</f>
        <v>0</v>
      </c>
      <c r="AB22" s="14">
        <f ca="1">VLOOKUP(VLOOKUP($I22&amp;$F22&amp;$G22,装备属性表,装备属性计算表!AW$29,FALSE),定义数据!$B$13:$C$35,2,FALSE)</f>
        <v>0</v>
      </c>
      <c r="AC22" s="14">
        <f>VLOOKUP($I22&amp;$F22&amp;$G22,装备属性表,装备属性计算表!AX$29,FALSE)</f>
        <v>0</v>
      </c>
      <c r="AD22" s="14">
        <f ca="1">VLOOKUP(VLOOKUP($I22&amp;$F22&amp;$G22,装备属性表,装备属性计算表!AY$29,FALSE),定义数据!$B$13:$C$35,2,FALSE)</f>
        <v>0</v>
      </c>
      <c r="AE22" s="14">
        <f>VLOOKUP($I22&amp;$F22&amp;$G22,装备属性表,装备属性计算表!AZ$29,FALSE)</f>
        <v>0</v>
      </c>
      <c r="AF22" s="14">
        <f ca="1">VLOOKUP(VLOOKUP($I22&amp;$F22&amp;$G22,装备属性表,装备属性计算表!BA$29,FALSE),定义数据!$B$13:$C$35,2,FALSE)</f>
        <v>0</v>
      </c>
      <c r="AG22" s="14">
        <f>VLOOKUP($I22&amp;$F22&amp;$G22,装备属性表,装备属性计算表!BB$29,FALSE)</f>
        <v>0</v>
      </c>
      <c r="AH22" s="14">
        <f ca="1">VLOOKUP(VLOOKUP($I22&amp;$F22&amp;$G22,装备属性表,装备属性计算表!BC$29,FALSE),定义数据!$B$13:$C$35,2,FALSE)</f>
        <v>0</v>
      </c>
      <c r="AI22" s="14">
        <f>VLOOKUP($I22&amp;$F22&amp;$G22,装备属性表,装备属性计算表!BD$29,FALSE)</f>
        <v>0</v>
      </c>
      <c r="AJ22" s="14">
        <f ca="1">VLOOKUP(VLOOKUP($I22&amp;$F22&amp;$G22,装备属性表,装备属性计算表!BE$29,FALSE),定义数据!$B$13:$C$35,2,FALSE)</f>
        <v>0</v>
      </c>
      <c r="AK22" s="14">
        <f>VLOOKUP($I22&amp;$F22&amp;$G22,装备属性表,装备属性计算表!BF$29,FALSE)</f>
        <v>0</v>
      </c>
      <c r="AL22" t="str">
        <f t="shared" ref="AL22:AL85" si="17">B22&amp;"是一件"&amp;G22&amp;"级"&amp;VLOOKUP(I22,$AY$13:$AZ$18,2,FALSE)&amp;"可升级的装备。"</f>
        <v>野性之拳是一件15级蓝色可升级的装备。</v>
      </c>
      <c r="AM22" t="str">
        <f>IF(D22=0,5,D22) &amp; F22&amp;"00"&amp;VLOOKUP(G22,定义数据!$F$20:$G$27,2,FALSE)&amp;".png"</f>
        <v>20002.png</v>
      </c>
      <c r="AN22" s="79">
        <f>IF(OR(G22&lt;15),0,D_装备升级表!A22)</f>
        <v>15210</v>
      </c>
      <c r="AP22">
        <f ca="1">VLOOKUP(G22&amp;I22&amp;F22,CHOOSE({1,2},装备属性计算表!$BK$32:$BK$187,装备属性计算表!$BJ$32:$BJ$187),2,FALSE)</f>
        <v>54.542447684946119</v>
      </c>
      <c r="AQ22">
        <f ca="1">AP22*'[1]0、经济设定'!$C$18</f>
        <v>2727.1223842473059</v>
      </c>
      <c r="AR22">
        <f ca="1">IFERROR(AQ22*'[1]0、经济设定'!$E$19*AU22*AS22,0)</f>
        <v>180</v>
      </c>
      <c r="AS22">
        <v>10</v>
      </c>
      <c r="AT22">
        <f t="shared" si="2"/>
        <v>18</v>
      </c>
      <c r="AU22">
        <f ca="1">IF(F22=0,IFERROR(AT22/AP22/'[1]0、经济设定'!$E$18,0),AU21)</f>
        <v>3.3001819250895212</v>
      </c>
      <c r="AV22">
        <f t="shared" ca="1" si="15"/>
        <v>2181.6979073978446</v>
      </c>
    </row>
    <row r="23" spans="1:52" x14ac:dyDescent="0.15">
      <c r="A23" s="14" t="str">
        <f t="shared" si="3"/>
        <v>30104</v>
      </c>
      <c r="B23" s="14" t="s">
        <v>531</v>
      </c>
      <c r="C23" s="14">
        <f>VLOOKUP($I23&amp;$F23&amp;$G23,装备属性表,装备属性计算表!AK$29,FALSE)</f>
        <v>4</v>
      </c>
      <c r="D23" s="14">
        <f t="shared" si="16"/>
        <v>3</v>
      </c>
      <c r="E23" s="14" t="str">
        <f>VLOOKUP(F23,CHOOSE({1,2},定义数据!$F$2:$F$7,武器部位),2)</f>
        <v>武器</v>
      </c>
      <c r="F23" s="14">
        <v>0</v>
      </c>
      <c r="G23" s="14">
        <v>15</v>
      </c>
      <c r="H23" s="14">
        <f t="shared" si="7"/>
        <v>15</v>
      </c>
      <c r="I23" s="14">
        <v>1</v>
      </c>
      <c r="J23" s="14" t="str">
        <f t="shared" si="8"/>
        <v>1510</v>
      </c>
      <c r="K23" s="14" t="str">
        <f t="shared" si="9"/>
        <v>1510</v>
      </c>
      <c r="L23" s="76"/>
      <c r="M23" s="14">
        <f>IF(OR(G23&lt;15,G23=80),0,D_装备升级表!A23)</f>
        <v>15310</v>
      </c>
      <c r="N23" s="78">
        <v>1</v>
      </c>
      <c r="O23" s="14">
        <f t="shared" si="4"/>
        <v>400</v>
      </c>
      <c r="P23" s="14"/>
      <c r="Q23" s="14">
        <f>VLOOKUP($I23&amp;$F23&amp;$G23,装备属性表,装备属性计算表!AL$29,FALSE)</f>
        <v>3</v>
      </c>
      <c r="R23" s="14">
        <f ca="1">VLOOKUP(VLOOKUP($I23&amp;$F23&amp;$G23,装备属性表,装备属性计算表!AM$29,FALSE),定义数据!$B$13:$C$35,2,FALSE)</f>
        <v>2</v>
      </c>
      <c r="S23" s="14">
        <f ca="1">VLOOKUP($I23&amp;$F23&amp;$G23,装备属性表,装备属性计算表!AN$29,FALSE)</f>
        <v>44.79724491978611</v>
      </c>
      <c r="T23" s="14">
        <f ca="1">VLOOKUP(VLOOKUP($I23&amp;$F23&amp;$G23,装备属性表,装备属性计算表!AO$29,FALSE),定义数据!$B$13:$C$35,2,FALSE)</f>
        <v>8</v>
      </c>
      <c r="U23" s="14">
        <f ca="1">VLOOKUP($I23&amp;$F23&amp;$G23,装备属性表,装备属性计算表!AP$29,FALSE)</f>
        <v>27.777777777777775</v>
      </c>
      <c r="V23" s="14">
        <f ca="1">VLOOKUP(VLOOKUP($I23&amp;$F23&amp;$G23,装备属性表,装备属性计算表!AQ$29,FALSE),定义数据!$B$13:$C$35,2,FALSE)</f>
        <v>2</v>
      </c>
      <c r="W23" s="14">
        <f ca="1">VLOOKUP($I23&amp;$F23&amp;$G23,装备属性表,装备属性计算表!AR$29,FALSE)</f>
        <v>3.5837795935828889</v>
      </c>
      <c r="X23" s="14">
        <f ca="1">VLOOKUP(VLOOKUP($I23&amp;$F23&amp;$G23,装备属性表,装备属性计算表!AS$29,FALSE),定义数据!$B$13:$C$35,2,FALSE)</f>
        <v>0</v>
      </c>
      <c r="Y23" s="14">
        <f>VLOOKUP($I23&amp;$F23&amp;$G23,装备属性表,装备属性计算表!AT$29,FALSE)</f>
        <v>0</v>
      </c>
      <c r="Z23" s="14">
        <f ca="1">VLOOKUP(VLOOKUP($I23&amp;$F23&amp;$G23,装备属性表,装备属性计算表!AU$29,FALSE),定义数据!$B$13:$C$35,2,FALSE)</f>
        <v>0</v>
      </c>
      <c r="AA23" s="14">
        <f>VLOOKUP($I23&amp;$F23&amp;$G23,装备属性表,装备属性计算表!AV$29,FALSE)</f>
        <v>0</v>
      </c>
      <c r="AB23" s="14">
        <f ca="1">VLOOKUP(VLOOKUP($I23&amp;$F23&amp;$G23,装备属性表,装备属性计算表!AW$29,FALSE),定义数据!$B$13:$C$35,2,FALSE)</f>
        <v>0</v>
      </c>
      <c r="AC23" s="14">
        <f>VLOOKUP($I23&amp;$F23&amp;$G23,装备属性表,装备属性计算表!AX$29,FALSE)</f>
        <v>0</v>
      </c>
      <c r="AD23" s="14">
        <f ca="1">VLOOKUP(VLOOKUP($I23&amp;$F23&amp;$G23,装备属性表,装备属性计算表!AY$29,FALSE),定义数据!$B$13:$C$35,2,FALSE)</f>
        <v>0</v>
      </c>
      <c r="AE23" s="14">
        <f>VLOOKUP($I23&amp;$F23&amp;$G23,装备属性表,装备属性计算表!AZ$29,FALSE)</f>
        <v>0</v>
      </c>
      <c r="AF23" s="14">
        <f ca="1">VLOOKUP(VLOOKUP($I23&amp;$F23&amp;$G23,装备属性表,装备属性计算表!BA$29,FALSE),定义数据!$B$13:$C$35,2,FALSE)</f>
        <v>0</v>
      </c>
      <c r="AG23" s="14">
        <f>VLOOKUP($I23&amp;$F23&amp;$G23,装备属性表,装备属性计算表!BB$29,FALSE)</f>
        <v>0</v>
      </c>
      <c r="AH23" s="14">
        <f ca="1">VLOOKUP(VLOOKUP($I23&amp;$F23&amp;$G23,装备属性表,装备属性计算表!BC$29,FALSE),定义数据!$B$13:$C$35,2,FALSE)</f>
        <v>0</v>
      </c>
      <c r="AI23" s="14">
        <f>VLOOKUP($I23&amp;$F23&amp;$G23,装备属性表,装备属性计算表!BD$29,FALSE)</f>
        <v>0</v>
      </c>
      <c r="AJ23" s="14">
        <f ca="1">VLOOKUP(VLOOKUP($I23&amp;$F23&amp;$G23,装备属性表,装备属性计算表!BE$29,FALSE),定义数据!$B$13:$C$35,2,FALSE)</f>
        <v>0</v>
      </c>
      <c r="AK23" s="14">
        <f>VLOOKUP($I23&amp;$F23&amp;$G23,装备属性表,装备属性计算表!BF$29,FALSE)</f>
        <v>0</v>
      </c>
      <c r="AL23" t="str">
        <f t="shared" si="17"/>
        <v>野性之枪是一件15级蓝色可升级的装备。</v>
      </c>
      <c r="AM23" t="str">
        <f>IF(D23=0,5,D23) &amp; F23&amp;"00"&amp;VLOOKUP(G23,定义数据!$F$20:$G$27,2,FALSE)&amp;".png"</f>
        <v>30002.png</v>
      </c>
      <c r="AN23" s="79">
        <f>IF(OR(G23&lt;15),0,D_装备升级表!A23)</f>
        <v>15310</v>
      </c>
      <c r="AP23">
        <f ca="1">VLOOKUP(G23&amp;I23&amp;F23,CHOOSE({1,2},装备属性计算表!$BK$32:$BK$187,装备属性计算表!$BJ$32:$BJ$187),2,FALSE)</f>
        <v>54.542447684946119</v>
      </c>
      <c r="AQ23">
        <f ca="1">AP23*'[1]0、经济设定'!$C$18</f>
        <v>2727.1223842473059</v>
      </c>
      <c r="AR23">
        <f ca="1">IFERROR(AQ23*'[1]0、经济设定'!$E$19*AU23*AS23,0)</f>
        <v>180</v>
      </c>
      <c r="AS23">
        <v>10</v>
      </c>
      <c r="AT23">
        <f t="shared" si="2"/>
        <v>18</v>
      </c>
      <c r="AU23">
        <f ca="1">IF(F23=0,IFERROR(AT23/AP23/'[1]0、经济设定'!$E$18,0),AU22)</f>
        <v>3.3001819250895212</v>
      </c>
      <c r="AV23">
        <f t="shared" ca="1" si="15"/>
        <v>2181.6979073978446</v>
      </c>
    </row>
    <row r="24" spans="1:52" x14ac:dyDescent="0.15">
      <c r="A24" s="14" t="str">
        <f t="shared" si="3"/>
        <v>51104</v>
      </c>
      <c r="B24" s="14" t="s">
        <v>532</v>
      </c>
      <c r="C24" s="14">
        <f>VLOOKUP($I24&amp;$F24&amp;$G24,装备属性表,装备属性计算表!AK$29,FALSE)</f>
        <v>4</v>
      </c>
      <c r="D24" s="14">
        <f t="shared" si="16"/>
        <v>0</v>
      </c>
      <c r="E24" s="14" t="str">
        <f>VLOOKUP(F24,CHOOSE({1,2},定义数据!$F$2:$F$7,武器部位),2)</f>
        <v>衣服</v>
      </c>
      <c r="F24" s="14">
        <v>1</v>
      </c>
      <c r="G24" s="14">
        <v>15</v>
      </c>
      <c r="H24" s="14">
        <f t="shared" si="7"/>
        <v>15</v>
      </c>
      <c r="I24" s="14">
        <v>1</v>
      </c>
      <c r="J24" s="14" t="str">
        <f t="shared" si="8"/>
        <v>1511</v>
      </c>
      <c r="K24" s="14" t="str">
        <f t="shared" si="9"/>
        <v>1511</v>
      </c>
      <c r="L24" s="76"/>
      <c r="M24" s="14">
        <f>IF(OR(G24&lt;15,G24=80),0,D_装备升级表!A24)</f>
        <v>15011</v>
      </c>
      <c r="N24" s="78">
        <v>1</v>
      </c>
      <c r="O24" s="14">
        <f t="shared" si="4"/>
        <v>400</v>
      </c>
      <c r="P24" s="14"/>
      <c r="Q24" s="14">
        <f>VLOOKUP($I24&amp;$F24&amp;$G24,装备属性表,装备属性计算表!AL$29,FALSE)</f>
        <v>3</v>
      </c>
      <c r="R24" s="14">
        <f ca="1">VLOOKUP(VLOOKUP($I24&amp;$F24&amp;$G24,装备属性表,装备属性计算表!AM$29,FALSE),定义数据!$B$13:$C$35,2,FALSE)</f>
        <v>1</v>
      </c>
      <c r="S24" s="14">
        <f ca="1">VLOOKUP($I24&amp;$F24&amp;$G24,装备属性表,装备属性计算表!AN$29,FALSE)</f>
        <v>705.56687675712999</v>
      </c>
      <c r="T24" s="14">
        <f ca="1">VLOOKUP(VLOOKUP($I24&amp;$F24&amp;$G24,装备属性表,装备属性计算表!AO$29,FALSE),定义数据!$B$13:$C$35,2,FALSE)</f>
        <v>3</v>
      </c>
      <c r="U24" s="14">
        <f ca="1">VLOOKUP($I24&amp;$F24&amp;$G24,装备属性表,装备属性计算表!AP$29,FALSE)</f>
        <v>15.486234176776431</v>
      </c>
      <c r="V24" s="14">
        <f ca="1">VLOOKUP(VLOOKUP($I24&amp;$F24&amp;$G24,装备属性表,装备属性计算表!AQ$29,FALSE),定义数据!$B$13:$C$35,2,FALSE)</f>
        <v>1</v>
      </c>
      <c r="W24" s="14">
        <f ca="1">VLOOKUP($I24&amp;$F24&amp;$G24,装备属性表,装备属性计算表!AR$29,FALSE)</f>
        <v>39.198159819840555</v>
      </c>
      <c r="X24" s="14">
        <f ca="1">VLOOKUP(VLOOKUP($I24&amp;$F24&amp;$G24,装备属性表,装备属性计算表!AS$29,FALSE),定义数据!$B$13:$C$35,2,FALSE)</f>
        <v>0</v>
      </c>
      <c r="Y24" s="14">
        <f>VLOOKUP($I24&amp;$F24&amp;$G24,装备属性表,装备属性计算表!AT$29,FALSE)</f>
        <v>0</v>
      </c>
      <c r="Z24" s="14">
        <f ca="1">VLOOKUP(VLOOKUP($I24&amp;$F24&amp;$G24,装备属性表,装备属性计算表!AU$29,FALSE),定义数据!$B$13:$C$35,2,FALSE)</f>
        <v>0</v>
      </c>
      <c r="AA24" s="14">
        <f>VLOOKUP($I24&amp;$F24&amp;$G24,装备属性表,装备属性计算表!AV$29,FALSE)</f>
        <v>0</v>
      </c>
      <c r="AB24" s="14">
        <f ca="1">VLOOKUP(VLOOKUP($I24&amp;$F24&amp;$G24,装备属性表,装备属性计算表!AW$29,FALSE),定义数据!$B$13:$C$35,2,FALSE)</f>
        <v>0</v>
      </c>
      <c r="AC24" s="14">
        <f>VLOOKUP($I24&amp;$F24&amp;$G24,装备属性表,装备属性计算表!AX$29,FALSE)</f>
        <v>0</v>
      </c>
      <c r="AD24" s="14">
        <f ca="1">VLOOKUP(VLOOKUP($I24&amp;$F24&amp;$G24,装备属性表,装备属性计算表!AY$29,FALSE),定义数据!$B$13:$C$35,2,FALSE)</f>
        <v>0</v>
      </c>
      <c r="AE24" s="14">
        <f>VLOOKUP($I24&amp;$F24&amp;$G24,装备属性表,装备属性计算表!AZ$29,FALSE)</f>
        <v>0</v>
      </c>
      <c r="AF24" s="14">
        <f ca="1">VLOOKUP(VLOOKUP($I24&amp;$F24&amp;$G24,装备属性表,装备属性计算表!BA$29,FALSE),定义数据!$B$13:$C$35,2,FALSE)</f>
        <v>0</v>
      </c>
      <c r="AG24" s="14">
        <f>VLOOKUP($I24&amp;$F24&amp;$G24,装备属性表,装备属性计算表!BB$29,FALSE)</f>
        <v>0</v>
      </c>
      <c r="AH24" s="14">
        <f ca="1">VLOOKUP(VLOOKUP($I24&amp;$F24&amp;$G24,装备属性表,装备属性计算表!BC$29,FALSE),定义数据!$B$13:$C$35,2,FALSE)</f>
        <v>0</v>
      </c>
      <c r="AI24" s="14">
        <f>VLOOKUP($I24&amp;$F24&amp;$G24,装备属性表,装备属性计算表!BD$29,FALSE)</f>
        <v>0</v>
      </c>
      <c r="AJ24" s="14">
        <f ca="1">VLOOKUP(VLOOKUP($I24&amp;$F24&amp;$G24,装备属性表,装备属性计算表!BE$29,FALSE),定义数据!$B$13:$C$35,2,FALSE)</f>
        <v>0</v>
      </c>
      <c r="AK24" s="14">
        <f>VLOOKUP($I24&amp;$F24&amp;$G24,装备属性表,装备属性计算表!BF$29,FALSE)</f>
        <v>0</v>
      </c>
      <c r="AL24" t="str">
        <f t="shared" si="17"/>
        <v>野性战衣是一件15级蓝色可升级的装备。</v>
      </c>
      <c r="AM24" t="str">
        <f>IF(D24=0,5,D24) &amp; F24&amp;"00"&amp;VLOOKUP(G24,定义数据!$F$20:$G$27,2,FALSE)&amp;".png"</f>
        <v>51002.png</v>
      </c>
      <c r="AN24" s="79">
        <f>IF(OR(G24&lt;15),0,D_装备升级表!A24)</f>
        <v>15011</v>
      </c>
      <c r="AP24">
        <f ca="1">VLOOKUP(G24&amp;I24&amp;F24,CHOOSE({1,2},装备属性计算表!$BK$32:$BK$187,装备属性计算表!$BJ$32:$BJ$187),2,FALSE)</f>
        <v>47.052771821253287</v>
      </c>
      <c r="AQ24">
        <f ca="1">AP24*'[1]0、经济设定'!$C$18</f>
        <v>2352.6385910626645</v>
      </c>
      <c r="AR24">
        <f ca="1">IFERROR(AQ24*'[1]0、经济设定'!$E$19*AU24*AS24,0)</f>
        <v>155.28270708986165</v>
      </c>
      <c r="AS24">
        <v>10</v>
      </c>
      <c r="AT24">
        <f t="shared" si="2"/>
        <v>18</v>
      </c>
      <c r="AU24">
        <f ca="1">IF(F24=0,IFERROR(AT24/AP24/'[1]0、经济设定'!$E$18,0),AU23)</f>
        <v>3.3001819250895212</v>
      </c>
      <c r="AV24">
        <f t="shared" ca="1" si="15"/>
        <v>1882.1108728501315</v>
      </c>
    </row>
    <row r="25" spans="1:52" x14ac:dyDescent="0.15">
      <c r="A25" s="14" t="str">
        <f t="shared" si="3"/>
        <v>52104</v>
      </c>
      <c r="B25" s="14" t="s">
        <v>533</v>
      </c>
      <c r="C25" s="14">
        <f>VLOOKUP($I25&amp;$F25&amp;$G25,装备属性表,装备属性计算表!AK$29,FALSE)</f>
        <v>4</v>
      </c>
      <c r="D25" s="14">
        <f t="shared" si="16"/>
        <v>0</v>
      </c>
      <c r="E25" s="14" t="str">
        <f>VLOOKUP(F25,CHOOSE({1,2},定义数据!$F$2:$F$7,武器部位),2)</f>
        <v>裤子</v>
      </c>
      <c r="F25" s="14">
        <v>2</v>
      </c>
      <c r="G25" s="14">
        <v>15</v>
      </c>
      <c r="H25" s="14">
        <f t="shared" si="7"/>
        <v>15</v>
      </c>
      <c r="I25" s="14">
        <v>1</v>
      </c>
      <c r="J25" s="14" t="str">
        <f t="shared" si="8"/>
        <v>1512</v>
      </c>
      <c r="K25" s="14" t="str">
        <f t="shared" si="9"/>
        <v>1512</v>
      </c>
      <c r="L25" s="76"/>
      <c r="M25" s="14">
        <f>IF(OR(G25&lt;15,G25=80),0,D_装备升级表!A25)</f>
        <v>15012</v>
      </c>
      <c r="N25" s="78">
        <v>1</v>
      </c>
      <c r="O25" s="14">
        <f t="shared" si="4"/>
        <v>400</v>
      </c>
      <c r="P25" s="14"/>
      <c r="Q25" s="14">
        <f>VLOOKUP($I25&amp;$F25&amp;$G25,装备属性表,装备属性计算表!AL$29,FALSE)</f>
        <v>3</v>
      </c>
      <c r="R25" s="14">
        <f ca="1">VLOOKUP(VLOOKUP($I25&amp;$F25&amp;$G25,装备属性表,装备属性计算表!AM$29,FALSE),定义数据!$B$13:$C$35,2,FALSE)</f>
        <v>3</v>
      </c>
      <c r="S25" s="14">
        <f ca="1">VLOOKUP($I25&amp;$F25&amp;$G25,装备属性表,装备属性计算表!AN$29,FALSE)</f>
        <v>10.324156117850954</v>
      </c>
      <c r="T25" s="14">
        <f ca="1">VLOOKUP(VLOOKUP($I25&amp;$F25&amp;$G25,装备属性表,装备属性计算表!AO$29,FALSE),定义数据!$B$13:$C$35,2,FALSE)</f>
        <v>7</v>
      </c>
      <c r="U25" s="14">
        <f ca="1">VLOOKUP($I25&amp;$F25&amp;$G25,装备属性表,装备属性计算表!AP$29,FALSE)</f>
        <v>15.625</v>
      </c>
      <c r="V25" s="14">
        <f ca="1">VLOOKUP(VLOOKUP($I25&amp;$F25&amp;$G25,装备属性表,装备属性计算表!AQ$29,FALSE),定义数据!$B$13:$C$35,2,FALSE)</f>
        <v>1</v>
      </c>
      <c r="W25" s="14">
        <f ca="1">VLOOKUP($I25&amp;$F25&amp;$G25,装备属性表,装备属性计算表!AR$29,FALSE)</f>
        <v>19.599079909920277</v>
      </c>
      <c r="X25" s="14">
        <f ca="1">VLOOKUP(VLOOKUP($I25&amp;$F25&amp;$G25,装备属性表,装备属性计算表!AS$29,FALSE),定义数据!$B$13:$C$35,2,FALSE)</f>
        <v>0</v>
      </c>
      <c r="Y25" s="14">
        <f>VLOOKUP($I25&amp;$F25&amp;$G25,装备属性表,装备属性计算表!AT$29,FALSE)</f>
        <v>0</v>
      </c>
      <c r="Z25" s="14">
        <f ca="1">VLOOKUP(VLOOKUP($I25&amp;$F25&amp;$G25,装备属性表,装备属性计算表!AU$29,FALSE),定义数据!$B$13:$C$35,2,FALSE)</f>
        <v>0</v>
      </c>
      <c r="AA25" s="14">
        <f>VLOOKUP($I25&amp;$F25&amp;$G25,装备属性表,装备属性计算表!AV$29,FALSE)</f>
        <v>0</v>
      </c>
      <c r="AB25" s="14">
        <f ca="1">VLOOKUP(VLOOKUP($I25&amp;$F25&amp;$G25,装备属性表,装备属性计算表!AW$29,FALSE),定义数据!$B$13:$C$35,2,FALSE)</f>
        <v>0</v>
      </c>
      <c r="AC25" s="14">
        <f>VLOOKUP($I25&amp;$F25&amp;$G25,装备属性表,装备属性计算表!AX$29,FALSE)</f>
        <v>0</v>
      </c>
      <c r="AD25" s="14">
        <f ca="1">VLOOKUP(VLOOKUP($I25&amp;$F25&amp;$G25,装备属性表,装备属性计算表!AY$29,FALSE),定义数据!$B$13:$C$35,2,FALSE)</f>
        <v>0</v>
      </c>
      <c r="AE25" s="14">
        <f>VLOOKUP($I25&amp;$F25&amp;$G25,装备属性表,装备属性计算表!AZ$29,FALSE)</f>
        <v>0</v>
      </c>
      <c r="AF25" s="14">
        <f ca="1">VLOOKUP(VLOOKUP($I25&amp;$F25&amp;$G25,装备属性表,装备属性计算表!BA$29,FALSE),定义数据!$B$13:$C$35,2,FALSE)</f>
        <v>0</v>
      </c>
      <c r="AG25" s="14">
        <f>VLOOKUP($I25&amp;$F25&amp;$G25,装备属性表,装备属性计算表!BB$29,FALSE)</f>
        <v>0</v>
      </c>
      <c r="AH25" s="14">
        <f ca="1">VLOOKUP(VLOOKUP($I25&amp;$F25&amp;$G25,装备属性表,装备属性计算表!BC$29,FALSE),定义数据!$B$13:$C$35,2,FALSE)</f>
        <v>0</v>
      </c>
      <c r="AI25" s="14">
        <f>VLOOKUP($I25&amp;$F25&amp;$G25,装备属性表,装备属性计算表!BD$29,FALSE)</f>
        <v>0</v>
      </c>
      <c r="AJ25" s="14">
        <f ca="1">VLOOKUP(VLOOKUP($I25&amp;$F25&amp;$G25,装备属性表,装备属性计算表!BE$29,FALSE),定义数据!$B$13:$C$35,2,FALSE)</f>
        <v>0</v>
      </c>
      <c r="AK25" s="14">
        <f>VLOOKUP($I25&amp;$F25&amp;$G25,装备属性表,装备属性计算表!BF$29,FALSE)</f>
        <v>0</v>
      </c>
      <c r="AL25" t="str">
        <f t="shared" si="17"/>
        <v>野性长裤是一件15级蓝色可升级的装备。</v>
      </c>
      <c r="AM25" t="str">
        <f>IF(D25=0,5,D25) &amp; F25&amp;"00"&amp;VLOOKUP(G25,定义数据!$F$20:$G$27,2,FALSE)&amp;".png"</f>
        <v>52002.png</v>
      </c>
      <c r="AN25" s="79">
        <f>IF(OR(G25&lt;15),0,D_装备升级表!A25)</f>
        <v>15012</v>
      </c>
      <c r="AP25">
        <f ca="1">VLOOKUP(G25&amp;I25&amp;F25,CHOOSE({1,2},装备属性计算表!$BK$32:$BK$187,装备属性计算表!$BJ$32:$BJ$187),2,FALSE)</f>
        <v>17.336209152491556</v>
      </c>
      <c r="AQ25">
        <f ca="1">AP25*'[1]0、经济设定'!$C$18</f>
        <v>866.81045762457779</v>
      </c>
      <c r="AR25">
        <f ca="1">IFERROR(AQ25*'[1]0、经济设定'!$E$19*AU25*AS25,0)</f>
        <v>57.212644094624153</v>
      </c>
      <c r="AS25">
        <v>10</v>
      </c>
      <c r="AT25">
        <f t="shared" si="2"/>
        <v>18</v>
      </c>
      <c r="AU25">
        <f ca="1">IF(F25=0,IFERROR(AT25/AP25/'[1]0、经济设定'!$E$18,0),AU24)</f>
        <v>3.3001819250895212</v>
      </c>
      <c r="AV25">
        <f t="shared" ca="1" si="15"/>
        <v>693.44836609966228</v>
      </c>
    </row>
    <row r="26" spans="1:52" x14ac:dyDescent="0.15">
      <c r="A26" s="14" t="str">
        <f t="shared" si="3"/>
        <v>55104</v>
      </c>
      <c r="B26" s="14" t="s">
        <v>534</v>
      </c>
      <c r="C26" s="14">
        <f>VLOOKUP($I26&amp;$F26&amp;$G26,装备属性表,装备属性计算表!AK$29,FALSE)</f>
        <v>4</v>
      </c>
      <c r="D26" s="14">
        <f t="shared" si="16"/>
        <v>0</v>
      </c>
      <c r="E26" s="14" t="str">
        <f>VLOOKUP(F26,CHOOSE({1,2},定义数据!$F$2:$F$7,武器部位),2)</f>
        <v>鞋子</v>
      </c>
      <c r="F26" s="14">
        <v>5</v>
      </c>
      <c r="G26" s="14">
        <v>15</v>
      </c>
      <c r="H26" s="14">
        <f t="shared" si="7"/>
        <v>15</v>
      </c>
      <c r="I26" s="14">
        <v>1</v>
      </c>
      <c r="J26" s="14" t="str">
        <f t="shared" si="8"/>
        <v>1515</v>
      </c>
      <c r="K26" s="14" t="str">
        <f t="shared" si="9"/>
        <v>1515</v>
      </c>
      <c r="L26" s="76"/>
      <c r="M26" s="14">
        <f>IF(OR(G26&lt;15,G26=80),0,D_装备升级表!A26)</f>
        <v>15015</v>
      </c>
      <c r="N26" s="78">
        <v>1</v>
      </c>
      <c r="O26" s="14">
        <f t="shared" si="4"/>
        <v>400</v>
      </c>
      <c r="P26" s="14"/>
      <c r="Q26" s="14">
        <f>VLOOKUP($I26&amp;$F26&amp;$G26,装备属性表,装备属性计算表!AL$29,FALSE)</f>
        <v>3</v>
      </c>
      <c r="R26" s="14">
        <f ca="1">VLOOKUP(VLOOKUP($I26&amp;$F26&amp;$G26,装备属性表,装备属性计算表!AM$29,FALSE),定义数据!$B$13:$C$35,2,FALSE)</f>
        <v>1</v>
      </c>
      <c r="S26" s="14">
        <f ca="1">VLOOKUP($I26&amp;$F26&amp;$G26,装备属性表,装备属性计算表!AN$29,FALSE)</f>
        <v>235.18895891904336</v>
      </c>
      <c r="T26" s="14">
        <f ca="1">VLOOKUP(VLOOKUP($I26&amp;$F26&amp;$G26,装备属性表,装备属性计算表!AO$29,FALSE),定义数据!$B$13:$C$35,2,FALSE)</f>
        <v>7</v>
      </c>
      <c r="U26" s="14">
        <f ca="1">VLOOKUP($I26&amp;$F26&amp;$G26,装备属性表,装备属性计算表!AP$29,FALSE)</f>
        <v>31.25</v>
      </c>
      <c r="V26" s="14">
        <f ca="1">VLOOKUP(VLOOKUP($I26&amp;$F26&amp;$G26,装备属性表,装备属性计算表!AQ$29,FALSE),定义数据!$B$13:$C$35,2,FALSE)</f>
        <v>1</v>
      </c>
      <c r="W26" s="14">
        <f ca="1">VLOOKUP($I26&amp;$F26&amp;$G26,装备属性表,装备属性计算表!AR$29,FALSE)</f>
        <v>19.599079909920277</v>
      </c>
      <c r="X26" s="14">
        <f ca="1">VLOOKUP(VLOOKUP($I26&amp;$F26&amp;$G26,装备属性表,装备属性计算表!AS$29,FALSE),定义数据!$B$13:$C$35,2,FALSE)</f>
        <v>0</v>
      </c>
      <c r="Y26" s="14">
        <f>VLOOKUP($I26&amp;$F26&amp;$G26,装备属性表,装备属性计算表!AT$29,FALSE)</f>
        <v>0</v>
      </c>
      <c r="Z26" s="14">
        <f ca="1">VLOOKUP(VLOOKUP($I26&amp;$F26&amp;$G26,装备属性表,装备属性计算表!AU$29,FALSE),定义数据!$B$13:$C$35,2,FALSE)</f>
        <v>0</v>
      </c>
      <c r="AA26" s="14">
        <f>VLOOKUP($I26&amp;$F26&amp;$G26,装备属性表,装备属性计算表!AV$29,FALSE)</f>
        <v>0</v>
      </c>
      <c r="AB26" s="14">
        <f ca="1">VLOOKUP(VLOOKUP($I26&amp;$F26&amp;$G26,装备属性表,装备属性计算表!AW$29,FALSE),定义数据!$B$13:$C$35,2,FALSE)</f>
        <v>0</v>
      </c>
      <c r="AC26" s="14">
        <f>VLOOKUP($I26&amp;$F26&amp;$G26,装备属性表,装备属性计算表!AX$29,FALSE)</f>
        <v>0</v>
      </c>
      <c r="AD26" s="14">
        <f ca="1">VLOOKUP(VLOOKUP($I26&amp;$F26&amp;$G26,装备属性表,装备属性计算表!AY$29,FALSE),定义数据!$B$13:$C$35,2,FALSE)</f>
        <v>0</v>
      </c>
      <c r="AE26" s="14">
        <f>VLOOKUP($I26&amp;$F26&amp;$G26,装备属性表,装备属性计算表!AZ$29,FALSE)</f>
        <v>0</v>
      </c>
      <c r="AF26" s="14">
        <f ca="1">VLOOKUP(VLOOKUP($I26&amp;$F26&amp;$G26,装备属性表,装备属性计算表!BA$29,FALSE),定义数据!$B$13:$C$35,2,FALSE)</f>
        <v>0</v>
      </c>
      <c r="AG26" s="14">
        <f>VLOOKUP($I26&amp;$F26&amp;$G26,装备属性表,装备属性计算表!BB$29,FALSE)</f>
        <v>0</v>
      </c>
      <c r="AH26" s="14">
        <f ca="1">VLOOKUP(VLOOKUP($I26&amp;$F26&amp;$G26,装备属性表,装备属性计算表!BC$29,FALSE),定义数据!$B$13:$C$35,2,FALSE)</f>
        <v>0</v>
      </c>
      <c r="AI26" s="14">
        <f>VLOOKUP($I26&amp;$F26&amp;$G26,装备属性表,装备属性计算表!BD$29,FALSE)</f>
        <v>0</v>
      </c>
      <c r="AJ26" s="14">
        <f ca="1">VLOOKUP(VLOOKUP($I26&amp;$F26&amp;$G26,装备属性表,装备属性计算表!BE$29,FALSE),定义数据!$B$13:$C$35,2,FALSE)</f>
        <v>0</v>
      </c>
      <c r="AK26" s="14">
        <f>VLOOKUP($I26&amp;$F26&amp;$G26,装备属性表,装备属性计算表!BF$29,FALSE)</f>
        <v>0</v>
      </c>
      <c r="AL26" t="str">
        <f t="shared" si="17"/>
        <v>野性长靴是一件15级蓝色可升级的装备。</v>
      </c>
      <c r="AM26" t="str">
        <f>IF(D26=0,5,D26) &amp; F26&amp;"00"&amp;VLOOKUP(G26,定义数据!$F$20:$G$27,2,FALSE)&amp;".png"</f>
        <v>55002.png</v>
      </c>
      <c r="AN26" s="79">
        <f>IF(OR(G26&lt;15),0,D_装备升级表!A26)</f>
        <v>15015</v>
      </c>
      <c r="AP26">
        <f ca="1">VLOOKUP(G26&amp;I26&amp;F26,CHOOSE({1,2},装备属性计算表!$BK$32:$BK$187,装备属性计算表!$BJ$32:$BJ$187),2,FALSE)</f>
        <v>22.085271553158545</v>
      </c>
      <c r="AQ26">
        <f ca="1">AP26*'[1]0、经济设定'!$C$18</f>
        <v>1104.2635776579273</v>
      </c>
      <c r="AR26">
        <f ca="1">IFERROR(AQ26*'[1]0、经济设定'!$E$19*AU26*AS26,0)</f>
        <v>72.885413990427608</v>
      </c>
      <c r="AS26">
        <v>10</v>
      </c>
      <c r="AT26">
        <f t="shared" si="2"/>
        <v>18</v>
      </c>
      <c r="AU26">
        <f ca="1">IF(F26=0,IFERROR(AT26/AP26/'[1]0、经济设定'!$E$18,0),AU25)</f>
        <v>3.3001819250895212</v>
      </c>
      <c r="AV26">
        <f t="shared" ca="1" si="15"/>
        <v>883.41086212634184</v>
      </c>
    </row>
    <row r="27" spans="1:52" x14ac:dyDescent="0.15">
      <c r="A27" s="14" t="str">
        <f t="shared" si="3"/>
        <v>54104</v>
      </c>
      <c r="B27" s="14" t="s">
        <v>535</v>
      </c>
      <c r="C27" s="14">
        <f>VLOOKUP($I27&amp;$F27&amp;$G27,装备属性表,装备属性计算表!AK$29,FALSE)</f>
        <v>4</v>
      </c>
      <c r="D27" s="14">
        <f t="shared" si="16"/>
        <v>0</v>
      </c>
      <c r="E27" s="14" t="str">
        <f>VLOOKUP(F27,CHOOSE({1,2},定义数据!$F$2:$F$7,武器部位),2)</f>
        <v>腰带</v>
      </c>
      <c r="F27" s="14">
        <v>4</v>
      </c>
      <c r="G27" s="14">
        <v>15</v>
      </c>
      <c r="H27" s="14">
        <f t="shared" si="7"/>
        <v>15</v>
      </c>
      <c r="I27" s="14">
        <v>1</v>
      </c>
      <c r="J27" s="14" t="str">
        <f t="shared" si="8"/>
        <v>1514</v>
      </c>
      <c r="K27" s="14" t="str">
        <f t="shared" si="9"/>
        <v>1514</v>
      </c>
      <c r="L27" s="76"/>
      <c r="M27" s="14">
        <f>IF(OR(G27&lt;15,G27=80),0,D_装备升级表!A27)</f>
        <v>15014</v>
      </c>
      <c r="N27" s="78">
        <v>1</v>
      </c>
      <c r="O27" s="14">
        <f t="shared" si="4"/>
        <v>400</v>
      </c>
      <c r="P27" s="14"/>
      <c r="Q27" s="14">
        <f>VLOOKUP($I27&amp;$F27&amp;$G27,装备属性表,装备属性计算表!AL$29,FALSE)</f>
        <v>3</v>
      </c>
      <c r="R27" s="14">
        <f ca="1">VLOOKUP(VLOOKUP($I27&amp;$F27&amp;$G27,装备属性表,装备属性计算表!AM$29,FALSE),定义数据!$B$13:$C$35,2,FALSE)</f>
        <v>1</v>
      </c>
      <c r="S27" s="14">
        <f ca="1">VLOOKUP($I27&amp;$F27&amp;$G27,装备属性表,装备属性计算表!AN$29,FALSE)</f>
        <v>235.18895891904336</v>
      </c>
      <c r="T27" s="14">
        <f ca="1">VLOOKUP(VLOOKUP($I27&amp;$F27&amp;$G27,装备属性表,装备属性计算表!AO$29,FALSE),定义数据!$B$13:$C$35,2,FALSE)</f>
        <v>9</v>
      </c>
      <c r="U27" s="14">
        <f ca="1">VLOOKUP($I27&amp;$F27&amp;$G27,装备属性表,装备属性计算表!AP$29,FALSE)</f>
        <v>27.777777777777775</v>
      </c>
      <c r="V27" s="14">
        <f ca="1">VLOOKUP(VLOOKUP($I27&amp;$F27&amp;$G27,装备属性表,装备属性计算表!AQ$29,FALSE),定义数据!$B$13:$C$35,2,FALSE)</f>
        <v>1</v>
      </c>
      <c r="W27" s="14">
        <f ca="1">VLOOKUP($I27&amp;$F27&amp;$G27,装备属性表,装备属性计算表!AR$29,FALSE)</f>
        <v>39.198159819840555</v>
      </c>
      <c r="X27" s="14">
        <f ca="1">VLOOKUP(VLOOKUP($I27&amp;$F27&amp;$G27,装备属性表,装备属性计算表!AS$29,FALSE),定义数据!$B$13:$C$35,2,FALSE)</f>
        <v>0</v>
      </c>
      <c r="Y27" s="14">
        <f>VLOOKUP($I27&amp;$F27&amp;$G27,装备属性表,装备属性计算表!AT$29,FALSE)</f>
        <v>0</v>
      </c>
      <c r="Z27" s="14">
        <f ca="1">VLOOKUP(VLOOKUP($I27&amp;$F27&amp;$G27,装备属性表,装备属性计算表!AU$29,FALSE),定义数据!$B$13:$C$35,2,FALSE)</f>
        <v>0</v>
      </c>
      <c r="AA27" s="14">
        <f>VLOOKUP($I27&amp;$F27&amp;$G27,装备属性表,装备属性计算表!AV$29,FALSE)</f>
        <v>0</v>
      </c>
      <c r="AB27" s="14">
        <f ca="1">VLOOKUP(VLOOKUP($I27&amp;$F27&amp;$G27,装备属性表,装备属性计算表!AW$29,FALSE),定义数据!$B$13:$C$35,2,FALSE)</f>
        <v>0</v>
      </c>
      <c r="AC27" s="14">
        <f>VLOOKUP($I27&amp;$F27&amp;$G27,装备属性表,装备属性计算表!AX$29,FALSE)</f>
        <v>0</v>
      </c>
      <c r="AD27" s="14">
        <f ca="1">VLOOKUP(VLOOKUP($I27&amp;$F27&amp;$G27,装备属性表,装备属性计算表!AY$29,FALSE),定义数据!$B$13:$C$35,2,FALSE)</f>
        <v>0</v>
      </c>
      <c r="AE27" s="14">
        <f>VLOOKUP($I27&amp;$F27&amp;$G27,装备属性表,装备属性计算表!AZ$29,FALSE)</f>
        <v>0</v>
      </c>
      <c r="AF27" s="14">
        <f ca="1">VLOOKUP(VLOOKUP($I27&amp;$F27&amp;$G27,装备属性表,装备属性计算表!BA$29,FALSE),定义数据!$B$13:$C$35,2,FALSE)</f>
        <v>0</v>
      </c>
      <c r="AG27" s="14">
        <f>VLOOKUP($I27&amp;$F27&amp;$G27,装备属性表,装备属性计算表!BB$29,FALSE)</f>
        <v>0</v>
      </c>
      <c r="AH27" s="14">
        <f ca="1">VLOOKUP(VLOOKUP($I27&amp;$F27&amp;$G27,装备属性表,装备属性计算表!BC$29,FALSE),定义数据!$B$13:$C$35,2,FALSE)</f>
        <v>0</v>
      </c>
      <c r="AI27" s="14">
        <f>VLOOKUP($I27&amp;$F27&amp;$G27,装备属性表,装备属性计算表!BD$29,FALSE)</f>
        <v>0</v>
      </c>
      <c r="AJ27" s="14">
        <f ca="1">VLOOKUP(VLOOKUP($I27&amp;$F27&amp;$G27,装备属性表,装备属性计算表!BE$29,FALSE),定义数据!$B$13:$C$35,2,FALSE)</f>
        <v>0</v>
      </c>
      <c r="AK27" s="14">
        <f>VLOOKUP($I27&amp;$F27&amp;$G27,装备属性表,装备属性计算表!BF$29,FALSE)</f>
        <v>0</v>
      </c>
      <c r="AL27" t="str">
        <f t="shared" si="17"/>
        <v>野性腰带是一件15级蓝色可升级的装备。</v>
      </c>
      <c r="AM27" t="str">
        <f>IF(D27=0,5,D27) &amp; F27&amp;"00"&amp;VLOOKUP(G27,定义数据!$F$20:$G$27,2,FALSE)&amp;".png"</f>
        <v>54002.png</v>
      </c>
      <c r="AN27" s="79">
        <f>IF(OR(G27&lt;15),0,D_装备升级表!A27)</f>
        <v>15014</v>
      </c>
      <c r="AP27">
        <f ca="1">VLOOKUP(G27&amp;I27&amp;F27,CHOOSE({1,2},装备属性计算表!$BK$32:$BK$187,装备属性计算表!$BJ$32:$BJ$187),2,FALSE)</f>
        <v>17.766917785660109</v>
      </c>
      <c r="AQ27">
        <f ca="1">AP27*'[1]0、经济设定'!$C$18</f>
        <v>888.34588928300548</v>
      </c>
      <c r="AR27">
        <f ca="1">IFERROR(AQ27*'[1]0、经济设定'!$E$19*AU27*AS27,0)</f>
        <v>58.634060940787037</v>
      </c>
      <c r="AS27">
        <v>10</v>
      </c>
      <c r="AT27">
        <f t="shared" si="2"/>
        <v>18</v>
      </c>
      <c r="AU27">
        <f ca="1">IF(F27=0,IFERROR(AT27/AP27/'[1]0、经济设定'!$E$18,0),AU26)</f>
        <v>3.3001819250895212</v>
      </c>
      <c r="AV27">
        <f t="shared" ca="1" si="15"/>
        <v>710.67671142640438</v>
      </c>
    </row>
    <row r="28" spans="1:52" x14ac:dyDescent="0.15">
      <c r="A28" s="14" t="str">
        <f t="shared" si="3"/>
        <v>53104</v>
      </c>
      <c r="B28" s="14" t="s">
        <v>536</v>
      </c>
      <c r="C28" s="14">
        <f>VLOOKUP($I28&amp;$F28&amp;$G28,装备属性表,装备属性计算表!AK$29,FALSE)</f>
        <v>4</v>
      </c>
      <c r="D28" s="14">
        <f t="shared" si="16"/>
        <v>0</v>
      </c>
      <c r="E28" s="14" t="str">
        <f>VLOOKUP(F28,CHOOSE({1,2},定义数据!$F$2:$F$7,武器部位),2)</f>
        <v>项链</v>
      </c>
      <c r="F28" s="14">
        <v>3</v>
      </c>
      <c r="G28" s="14">
        <v>15</v>
      </c>
      <c r="H28" s="14">
        <f t="shared" si="7"/>
        <v>15</v>
      </c>
      <c r="I28" s="14">
        <v>1</v>
      </c>
      <c r="J28" s="14" t="str">
        <f t="shared" si="8"/>
        <v>1513</v>
      </c>
      <c r="K28" s="14" t="str">
        <f t="shared" si="9"/>
        <v>1513</v>
      </c>
      <c r="L28" s="76"/>
      <c r="M28" s="14">
        <f>IF(OR(G28&lt;15,G28=80),0,D_装备升级表!A28)</f>
        <v>15013</v>
      </c>
      <c r="N28" s="78">
        <v>1</v>
      </c>
      <c r="O28" s="14">
        <f t="shared" si="4"/>
        <v>400</v>
      </c>
      <c r="P28" s="14"/>
      <c r="Q28" s="14">
        <f>VLOOKUP($I28&amp;$F28&amp;$G28,装备属性表,装备属性计算表!AL$29,FALSE)</f>
        <v>3</v>
      </c>
      <c r="R28" s="14">
        <f ca="1">VLOOKUP(VLOOKUP($I28&amp;$F28&amp;$G28,装备属性表,装备属性计算表!AM$29,FALSE),定义数据!$B$13:$C$35,2,FALSE)</f>
        <v>2</v>
      </c>
      <c r="S28" s="14">
        <f ca="1">VLOOKUP($I28&amp;$F28&amp;$G28,装备属性表,装备属性计算表!AN$29,FALSE)</f>
        <v>14.932414973262036</v>
      </c>
      <c r="T28" s="14">
        <f ca="1">VLOOKUP(VLOOKUP($I28&amp;$F28&amp;$G28,装备属性表,装备属性计算表!AO$29,FALSE),定义数据!$B$13:$C$35,2,FALSE)</f>
        <v>6</v>
      </c>
      <c r="U28" s="14">
        <f ca="1">VLOOKUP($I28&amp;$F28&amp;$G28,装备属性表,装备属性计算表!AP$29,FALSE)</f>
        <v>46.875</v>
      </c>
      <c r="V28" s="14">
        <f ca="1">VLOOKUP(VLOOKUP($I28&amp;$F28&amp;$G28,装备属性表,装备属性计算表!AQ$29,FALSE),定义数据!$B$13:$C$35,2,FALSE)</f>
        <v>2</v>
      </c>
      <c r="W28" s="14">
        <f ca="1">VLOOKUP($I28&amp;$F28&amp;$G28,装备属性表,装备属性计算表!AR$29,FALSE)</f>
        <v>1.194593197860963</v>
      </c>
      <c r="X28" s="14">
        <f ca="1">VLOOKUP(VLOOKUP($I28&amp;$F28&amp;$G28,装备属性表,装备属性计算表!AS$29,FALSE),定义数据!$B$13:$C$35,2,FALSE)</f>
        <v>0</v>
      </c>
      <c r="Y28" s="14">
        <f>VLOOKUP($I28&amp;$F28&amp;$G28,装备属性表,装备属性计算表!AT$29,FALSE)</f>
        <v>0</v>
      </c>
      <c r="Z28" s="14">
        <f ca="1">VLOOKUP(VLOOKUP($I28&amp;$F28&amp;$G28,装备属性表,装备属性计算表!AU$29,FALSE),定义数据!$B$13:$C$35,2,FALSE)</f>
        <v>0</v>
      </c>
      <c r="AA28" s="14">
        <f>VLOOKUP($I28&amp;$F28&amp;$G28,装备属性表,装备属性计算表!AV$29,FALSE)</f>
        <v>0</v>
      </c>
      <c r="AB28" s="14">
        <f ca="1">VLOOKUP(VLOOKUP($I28&amp;$F28&amp;$G28,装备属性表,装备属性计算表!AW$29,FALSE),定义数据!$B$13:$C$35,2,FALSE)</f>
        <v>0</v>
      </c>
      <c r="AC28" s="14">
        <f>VLOOKUP($I28&amp;$F28&amp;$G28,装备属性表,装备属性计算表!AX$29,FALSE)</f>
        <v>0</v>
      </c>
      <c r="AD28" s="14">
        <f ca="1">VLOOKUP(VLOOKUP($I28&amp;$F28&amp;$G28,装备属性表,装备属性计算表!AY$29,FALSE),定义数据!$B$13:$C$35,2,FALSE)</f>
        <v>0</v>
      </c>
      <c r="AE28" s="14">
        <f>VLOOKUP($I28&amp;$F28&amp;$G28,装备属性表,装备属性计算表!AZ$29,FALSE)</f>
        <v>0</v>
      </c>
      <c r="AF28" s="14">
        <f ca="1">VLOOKUP(VLOOKUP($I28&amp;$F28&amp;$G28,装备属性表,装备属性计算表!BA$29,FALSE),定义数据!$B$13:$C$35,2,FALSE)</f>
        <v>0</v>
      </c>
      <c r="AG28" s="14">
        <f>VLOOKUP($I28&amp;$F28&amp;$G28,装备属性表,装备属性计算表!BB$29,FALSE)</f>
        <v>0</v>
      </c>
      <c r="AH28" s="14">
        <f ca="1">VLOOKUP(VLOOKUP($I28&amp;$F28&amp;$G28,装备属性表,装备属性计算表!BC$29,FALSE),定义数据!$B$13:$C$35,2,FALSE)</f>
        <v>0</v>
      </c>
      <c r="AI28" s="14">
        <f>VLOOKUP($I28&amp;$F28&amp;$G28,装备属性表,装备属性计算表!BD$29,FALSE)</f>
        <v>0</v>
      </c>
      <c r="AJ28" s="14">
        <f ca="1">VLOOKUP(VLOOKUP($I28&amp;$F28&amp;$G28,装备属性表,装备属性计算表!BE$29,FALSE),定义数据!$B$13:$C$35,2,FALSE)</f>
        <v>0</v>
      </c>
      <c r="AK28" s="14">
        <f>VLOOKUP($I28&amp;$F28&amp;$G28,装备属性表,装备属性计算表!BF$29,FALSE)</f>
        <v>0</v>
      </c>
      <c r="AL28" t="str">
        <f t="shared" si="17"/>
        <v>野性项链是一件15级蓝色可升级的装备。</v>
      </c>
      <c r="AM28" t="str">
        <f>IF(D28=0,5,D28) &amp; F28&amp;"00"&amp;VLOOKUP(G28,定义数据!$F$20:$G$27,2,FALSE)&amp;".png"</f>
        <v>53002.png</v>
      </c>
      <c r="AN28" s="79">
        <f>IF(OR(G28&lt;15),0,D_装备升级表!A28)</f>
        <v>15013</v>
      </c>
      <c r="AP28">
        <f ca="1">VLOOKUP(G28&amp;I28&amp;F28,CHOOSE({1,2},装备属性计算表!$BK$32:$BK$187,装备属性计算表!$BJ$32:$BJ$187),2,FALSE)</f>
        <v>33.114508171122999</v>
      </c>
      <c r="AQ28">
        <f ca="1">AP28*'[1]0、经济设定'!$C$18</f>
        <v>1655.7254085561499</v>
      </c>
      <c r="AR28">
        <f ca="1">IFERROR(AQ28*'[1]0、经济设定'!$E$19*AU28*AS28,0)</f>
        <v>109.28390132456938</v>
      </c>
      <c r="AS28">
        <v>10</v>
      </c>
      <c r="AT28">
        <f t="shared" si="2"/>
        <v>18</v>
      </c>
      <c r="AU28">
        <f ca="1">IF(F28=0,IFERROR(AT28/AP28/'[1]0、经济设定'!$E$18,0),AU27)</f>
        <v>3.3001819250895212</v>
      </c>
      <c r="AV28">
        <f t="shared" ca="1" si="15"/>
        <v>1324.5803268449199</v>
      </c>
    </row>
    <row r="29" spans="1:52" x14ac:dyDescent="0.15">
      <c r="A29" s="14" t="str">
        <f t="shared" si="3"/>
        <v>10205</v>
      </c>
      <c r="B29" s="14" t="s">
        <v>537</v>
      </c>
      <c r="C29" s="14">
        <f>VLOOKUP($I29&amp;$F29&amp;$G29,装备属性表,装备属性计算表!AK$29,FALSE)</f>
        <v>5</v>
      </c>
      <c r="D29" s="14">
        <f t="shared" ref="D29:D141" si="18">D21</f>
        <v>1</v>
      </c>
      <c r="E29" s="14" t="str">
        <f>VLOOKUP(F29,CHOOSE({1,2},定义数据!$F$2:$F$7,武器部位),2)</f>
        <v>武器</v>
      </c>
      <c r="F29" s="14">
        <v>0</v>
      </c>
      <c r="G29" s="14">
        <v>15</v>
      </c>
      <c r="H29" s="14">
        <f t="shared" si="7"/>
        <v>15</v>
      </c>
      <c r="I29" s="14">
        <v>2</v>
      </c>
      <c r="J29" s="14" t="str">
        <f t="shared" si="8"/>
        <v>1520</v>
      </c>
      <c r="K29" s="14" t="str">
        <f t="shared" si="9"/>
        <v>1520</v>
      </c>
      <c r="L29" s="76"/>
      <c r="M29" s="14">
        <f>IF(OR(G29&lt;15,G29=80),0,D_装备升级表!A29)</f>
        <v>15120</v>
      </c>
      <c r="N29" s="78">
        <v>1</v>
      </c>
      <c r="O29" s="14">
        <f t="shared" si="4"/>
        <v>500</v>
      </c>
      <c r="P29" s="14"/>
      <c r="Q29" s="14">
        <f>VLOOKUP($I29&amp;$F29&amp;$G29,装备属性表,装备属性计算表!AL$29,FALSE)</f>
        <v>4</v>
      </c>
      <c r="R29" s="14">
        <f ca="1">VLOOKUP(VLOOKUP($I29&amp;$F29&amp;$G29,装备属性表,装备属性计算表!AM$29,FALSE),定义数据!$B$13:$C$35,2,FALSE)</f>
        <v>2</v>
      </c>
      <c r="S29" s="14">
        <f ca="1">VLOOKUP($I29&amp;$F29&amp;$G29,装备属性表,装备属性计算表!AN$29,FALSE)</f>
        <v>58.236418395721948</v>
      </c>
      <c r="T29" s="14">
        <f ca="1">VLOOKUP(VLOOKUP($I29&amp;$F29&amp;$G29,装备属性表,装备属性计算表!AO$29,FALSE),定义数据!$B$13:$C$35,2,FALSE)</f>
        <v>8</v>
      </c>
      <c r="U29" s="14">
        <f ca="1">VLOOKUP($I29&amp;$F29&amp;$G29,装备属性表,装备属性计算表!AP$29,FALSE)</f>
        <v>36.111111111111114</v>
      </c>
      <c r="V29" s="14">
        <f ca="1">VLOOKUP(VLOOKUP($I29&amp;$F29&amp;$G29,装备属性表,装备属性计算表!AQ$29,FALSE),定义数据!$B$13:$C$35,2,FALSE)</f>
        <v>2</v>
      </c>
      <c r="W29" s="14">
        <f ca="1">VLOOKUP($I29&amp;$F29&amp;$G29,装备属性表,装备属性计算表!AR$29,FALSE)</f>
        <v>10.353141048128347</v>
      </c>
      <c r="X29" s="14">
        <f ca="1">VLOOKUP(VLOOKUP($I29&amp;$F29&amp;$G29,装备属性表,装备属性计算表!AS$29,FALSE),定义数据!$B$13:$C$35,2,FALSE)</f>
        <v>3</v>
      </c>
      <c r="Y29" s="14">
        <f ca="1">VLOOKUP($I29&amp;$F29&amp;$G29,装备属性表,装备属性计算表!AT$29,FALSE)</f>
        <v>1.2427224956672445</v>
      </c>
      <c r="Z29" s="14">
        <f ca="1">VLOOKUP(VLOOKUP($I29&amp;$F29&amp;$G29,装备属性表,装备属性计算表!AU$29,FALSE),定义数据!$B$13:$C$35,2,FALSE)</f>
        <v>0</v>
      </c>
      <c r="AA29" s="14">
        <f>VLOOKUP($I29&amp;$F29&amp;$G29,装备属性表,装备属性计算表!AV$29,FALSE)</f>
        <v>0</v>
      </c>
      <c r="AB29" s="14">
        <f ca="1">VLOOKUP(VLOOKUP($I29&amp;$F29&amp;$G29,装备属性表,装备属性计算表!AW$29,FALSE),定义数据!$B$13:$C$35,2,FALSE)</f>
        <v>0</v>
      </c>
      <c r="AC29" s="14">
        <f>VLOOKUP($I29&amp;$F29&amp;$G29,装备属性表,装备属性计算表!AX$29,FALSE)</f>
        <v>0</v>
      </c>
      <c r="AD29" s="14">
        <f ca="1">VLOOKUP(VLOOKUP($I29&amp;$F29&amp;$G29,装备属性表,装备属性计算表!AY$29,FALSE),定义数据!$B$13:$C$35,2,FALSE)</f>
        <v>0</v>
      </c>
      <c r="AE29" s="14">
        <f>VLOOKUP($I29&amp;$F29&amp;$G29,装备属性表,装备属性计算表!AZ$29,FALSE)</f>
        <v>0</v>
      </c>
      <c r="AF29" s="14">
        <f ca="1">VLOOKUP(VLOOKUP($I29&amp;$F29&amp;$G29,装备属性表,装备属性计算表!BA$29,FALSE),定义数据!$B$13:$C$35,2,FALSE)</f>
        <v>0</v>
      </c>
      <c r="AG29" s="14">
        <f>VLOOKUP($I29&amp;$F29&amp;$G29,装备属性表,装备属性计算表!BB$29,FALSE)</f>
        <v>0</v>
      </c>
      <c r="AH29" s="14">
        <f ca="1">VLOOKUP(VLOOKUP($I29&amp;$F29&amp;$G29,装备属性表,装备属性计算表!BC$29,FALSE),定义数据!$B$13:$C$35,2,FALSE)</f>
        <v>0</v>
      </c>
      <c r="AI29" s="14">
        <f>VLOOKUP($I29&amp;$F29&amp;$G29,装备属性表,装备属性计算表!BD$29,FALSE)</f>
        <v>0</v>
      </c>
      <c r="AJ29" s="14">
        <f ca="1">VLOOKUP(VLOOKUP($I29&amp;$F29&amp;$G29,装备属性表,装备属性计算表!BE$29,FALSE),定义数据!$B$13:$C$35,2,FALSE)</f>
        <v>0</v>
      </c>
      <c r="AK29" s="14">
        <f>VLOOKUP($I29&amp;$F29&amp;$G29,装备属性表,装备属性计算表!BF$29,FALSE)</f>
        <v>0</v>
      </c>
      <c r="AL29" t="str">
        <f t="shared" si="17"/>
        <v>紫云之剑是一件15级紫色可升级的装备。</v>
      </c>
      <c r="AM29" t="str">
        <f>IF(D29=0,5,D29) &amp; F29&amp;"00"&amp;VLOOKUP(G29,定义数据!$F$20:$G$27,2,FALSE)&amp;".png"</f>
        <v>10002.png</v>
      </c>
      <c r="AN29" s="79">
        <f>IF(OR(G29&lt;15),0,D_装备升级表!A29)</f>
        <v>15120</v>
      </c>
      <c r="AP29">
        <f ca="1">VLOOKUP(G29&amp;I29&amp;F29,CHOOSE({1,2},装备属性计算表!$BK$32:$BK$187,装备属性计算表!$BJ$32:$BJ$187),2,FALSE)</f>
        <v>78.44478193951754</v>
      </c>
      <c r="AQ29">
        <f ca="1">AP29*'[1]0、经济设定'!$C$18</f>
        <v>3922.2390969758771</v>
      </c>
      <c r="AR29">
        <f ca="1">IFERROR(AQ29*'[1]0、经济设定'!$E$19*AU29*AS29,0)</f>
        <v>359.99999999999994</v>
      </c>
      <c r="AS29">
        <v>10</v>
      </c>
      <c r="AT29">
        <f t="shared" si="2"/>
        <v>36</v>
      </c>
      <c r="AU29">
        <f ca="1">IF(F29=0,IFERROR(AT29/AP29/'[1]0、经济设定'!$E$18,0),AU28)</f>
        <v>4.5892153830903242</v>
      </c>
      <c r="AV29">
        <f t="shared" ca="1" si="15"/>
        <v>3137.7912775807017</v>
      </c>
    </row>
    <row r="30" spans="1:52" x14ac:dyDescent="0.15">
      <c r="A30" s="14" t="str">
        <f t="shared" si="3"/>
        <v>20205</v>
      </c>
      <c r="B30" s="14" t="s">
        <v>538</v>
      </c>
      <c r="C30" s="14">
        <f>VLOOKUP($I30&amp;$F30&amp;$G30,装备属性表,装备属性计算表!AK$29,FALSE)</f>
        <v>5</v>
      </c>
      <c r="D30" s="14">
        <f t="shared" si="18"/>
        <v>2</v>
      </c>
      <c r="E30" s="14" t="str">
        <f>VLOOKUP(F30,CHOOSE({1,2},定义数据!$F$2:$F$7,武器部位),2)</f>
        <v>武器</v>
      </c>
      <c r="F30" s="14">
        <v>0</v>
      </c>
      <c r="G30" s="14">
        <v>15</v>
      </c>
      <c r="H30" s="14">
        <f t="shared" si="7"/>
        <v>15</v>
      </c>
      <c r="I30" s="14">
        <v>2</v>
      </c>
      <c r="J30" s="14" t="str">
        <f t="shared" si="8"/>
        <v>1520</v>
      </c>
      <c r="K30" s="14" t="str">
        <f t="shared" si="9"/>
        <v>1520</v>
      </c>
      <c r="L30" s="76"/>
      <c r="M30" s="14">
        <f>IF(OR(G30&lt;15,G30=80),0,D_装备升级表!A30)</f>
        <v>15220</v>
      </c>
      <c r="N30" s="78">
        <v>1</v>
      </c>
      <c r="O30" s="14">
        <f t="shared" si="4"/>
        <v>500</v>
      </c>
      <c r="P30" s="14"/>
      <c r="Q30" s="14">
        <f>VLOOKUP($I30&amp;$F30&amp;$G30,装备属性表,装备属性计算表!AL$29,FALSE)</f>
        <v>4</v>
      </c>
      <c r="R30" s="14">
        <f ca="1">VLOOKUP(VLOOKUP($I30&amp;$F30&amp;$G30,装备属性表,装备属性计算表!AM$29,FALSE),定义数据!$B$13:$C$35,2,FALSE)</f>
        <v>2</v>
      </c>
      <c r="S30" s="14">
        <f ca="1">VLOOKUP($I30&amp;$F30&amp;$G30,装备属性表,装备属性计算表!AN$29,FALSE)</f>
        <v>58.236418395721948</v>
      </c>
      <c r="T30" s="14">
        <f ca="1">VLOOKUP(VLOOKUP($I30&amp;$F30&amp;$G30,装备属性表,装备属性计算表!AO$29,FALSE),定义数据!$B$13:$C$35,2,FALSE)</f>
        <v>8</v>
      </c>
      <c r="U30" s="14">
        <f ca="1">VLOOKUP($I30&amp;$F30&amp;$G30,装备属性表,装备属性计算表!AP$29,FALSE)</f>
        <v>36.111111111111114</v>
      </c>
      <c r="V30" s="14">
        <f ca="1">VLOOKUP(VLOOKUP($I30&amp;$F30&amp;$G30,装备属性表,装备属性计算表!AQ$29,FALSE),定义数据!$B$13:$C$35,2,FALSE)</f>
        <v>2</v>
      </c>
      <c r="W30" s="14">
        <f ca="1">VLOOKUP($I30&amp;$F30&amp;$G30,装备属性表,装备属性计算表!AR$29,FALSE)</f>
        <v>10.353141048128347</v>
      </c>
      <c r="X30" s="14">
        <f ca="1">VLOOKUP(VLOOKUP($I30&amp;$F30&amp;$G30,装备属性表,装备属性计算表!AS$29,FALSE),定义数据!$B$13:$C$35,2,FALSE)</f>
        <v>3</v>
      </c>
      <c r="Y30" s="14">
        <f ca="1">VLOOKUP($I30&amp;$F30&amp;$G30,装备属性表,装备属性计算表!AT$29,FALSE)</f>
        <v>1.2427224956672445</v>
      </c>
      <c r="Z30" s="14">
        <f ca="1">VLOOKUP(VLOOKUP($I30&amp;$F30&amp;$G30,装备属性表,装备属性计算表!AU$29,FALSE),定义数据!$B$13:$C$35,2,FALSE)</f>
        <v>0</v>
      </c>
      <c r="AA30" s="14">
        <f>VLOOKUP($I30&amp;$F30&amp;$G30,装备属性表,装备属性计算表!AV$29,FALSE)</f>
        <v>0</v>
      </c>
      <c r="AB30" s="14">
        <f ca="1">VLOOKUP(VLOOKUP($I30&amp;$F30&amp;$G30,装备属性表,装备属性计算表!AW$29,FALSE),定义数据!$B$13:$C$35,2,FALSE)</f>
        <v>0</v>
      </c>
      <c r="AC30" s="14">
        <f>VLOOKUP($I30&amp;$F30&amp;$G30,装备属性表,装备属性计算表!AX$29,FALSE)</f>
        <v>0</v>
      </c>
      <c r="AD30" s="14">
        <f ca="1">VLOOKUP(VLOOKUP($I30&amp;$F30&amp;$G30,装备属性表,装备属性计算表!AY$29,FALSE),定义数据!$B$13:$C$35,2,FALSE)</f>
        <v>0</v>
      </c>
      <c r="AE30" s="14">
        <f>VLOOKUP($I30&amp;$F30&amp;$G30,装备属性表,装备属性计算表!AZ$29,FALSE)</f>
        <v>0</v>
      </c>
      <c r="AF30" s="14">
        <f ca="1">VLOOKUP(VLOOKUP($I30&amp;$F30&amp;$G30,装备属性表,装备属性计算表!BA$29,FALSE),定义数据!$B$13:$C$35,2,FALSE)</f>
        <v>0</v>
      </c>
      <c r="AG30" s="14">
        <f>VLOOKUP($I30&amp;$F30&amp;$G30,装备属性表,装备属性计算表!BB$29,FALSE)</f>
        <v>0</v>
      </c>
      <c r="AH30" s="14">
        <f ca="1">VLOOKUP(VLOOKUP($I30&amp;$F30&amp;$G30,装备属性表,装备属性计算表!BC$29,FALSE),定义数据!$B$13:$C$35,2,FALSE)</f>
        <v>0</v>
      </c>
      <c r="AI30" s="14">
        <f>VLOOKUP($I30&amp;$F30&amp;$G30,装备属性表,装备属性计算表!BD$29,FALSE)</f>
        <v>0</v>
      </c>
      <c r="AJ30" s="14">
        <f ca="1">VLOOKUP(VLOOKUP($I30&amp;$F30&amp;$G30,装备属性表,装备属性计算表!BE$29,FALSE),定义数据!$B$13:$C$35,2,FALSE)</f>
        <v>0</v>
      </c>
      <c r="AK30" s="14">
        <f>VLOOKUP($I30&amp;$F30&amp;$G30,装备属性表,装备属性计算表!BF$29,FALSE)</f>
        <v>0</v>
      </c>
      <c r="AL30" t="str">
        <f t="shared" si="17"/>
        <v>紫云之拳是一件15级紫色可升级的装备。</v>
      </c>
      <c r="AM30" t="str">
        <f>IF(D30=0,5,D30) &amp; F30&amp;"00"&amp;VLOOKUP(G30,定义数据!$F$20:$G$27,2,FALSE)&amp;".png"</f>
        <v>20002.png</v>
      </c>
      <c r="AN30" s="79">
        <f>IF(OR(G30&lt;15),0,D_装备升级表!A30)</f>
        <v>15220</v>
      </c>
      <c r="AP30">
        <f ca="1">VLOOKUP(G30&amp;I30&amp;F30,CHOOSE({1,2},装备属性计算表!$BK$32:$BK$187,装备属性计算表!$BJ$32:$BJ$187),2,FALSE)</f>
        <v>78.44478193951754</v>
      </c>
      <c r="AQ30">
        <f ca="1">AP30*'[1]0、经济设定'!$C$18</f>
        <v>3922.2390969758771</v>
      </c>
      <c r="AR30">
        <f ca="1">IFERROR(AQ30*'[1]0、经济设定'!$E$19*AU30*AS30,0)</f>
        <v>359.99999999999994</v>
      </c>
      <c r="AS30">
        <v>10</v>
      </c>
      <c r="AT30">
        <f t="shared" si="2"/>
        <v>36</v>
      </c>
      <c r="AU30">
        <f ca="1">IF(F30=0,IFERROR(AT30/AP30/'[1]0、经济设定'!$E$18,0),AU29)</f>
        <v>4.5892153830903242</v>
      </c>
      <c r="AV30">
        <f t="shared" ca="1" si="15"/>
        <v>3137.7912775807017</v>
      </c>
    </row>
    <row r="31" spans="1:52" x14ac:dyDescent="0.15">
      <c r="A31" s="14" t="str">
        <f t="shared" si="3"/>
        <v>30205</v>
      </c>
      <c r="B31" s="14" t="s">
        <v>539</v>
      </c>
      <c r="C31" s="14">
        <f>VLOOKUP($I31&amp;$F31&amp;$G31,装备属性表,装备属性计算表!AK$29,FALSE)</f>
        <v>5</v>
      </c>
      <c r="D31" s="14">
        <f t="shared" si="18"/>
        <v>3</v>
      </c>
      <c r="E31" s="14" t="str">
        <f>VLOOKUP(F31,CHOOSE({1,2},定义数据!$F$2:$F$7,武器部位),2)</f>
        <v>武器</v>
      </c>
      <c r="F31" s="14">
        <v>0</v>
      </c>
      <c r="G31" s="14">
        <v>15</v>
      </c>
      <c r="H31" s="14">
        <f t="shared" si="7"/>
        <v>15</v>
      </c>
      <c r="I31" s="14">
        <v>2</v>
      </c>
      <c r="J31" s="14" t="str">
        <f t="shared" si="8"/>
        <v>1520</v>
      </c>
      <c r="K31" s="14" t="str">
        <f t="shared" si="9"/>
        <v>1520</v>
      </c>
      <c r="L31" s="76"/>
      <c r="M31" s="14">
        <f>IF(OR(G31&lt;15,G31=80),0,D_装备升级表!A31)</f>
        <v>15320</v>
      </c>
      <c r="N31" s="78">
        <v>1</v>
      </c>
      <c r="O31" s="14">
        <f t="shared" si="4"/>
        <v>500</v>
      </c>
      <c r="P31" s="14"/>
      <c r="Q31" s="14">
        <f>VLOOKUP($I31&amp;$F31&amp;$G31,装备属性表,装备属性计算表!AL$29,FALSE)</f>
        <v>4</v>
      </c>
      <c r="R31" s="14">
        <f ca="1">VLOOKUP(VLOOKUP($I31&amp;$F31&amp;$G31,装备属性表,装备属性计算表!AM$29,FALSE),定义数据!$B$13:$C$35,2,FALSE)</f>
        <v>2</v>
      </c>
      <c r="S31" s="14">
        <f ca="1">VLOOKUP($I31&amp;$F31&amp;$G31,装备属性表,装备属性计算表!AN$29,FALSE)</f>
        <v>58.236418395721948</v>
      </c>
      <c r="T31" s="14">
        <f ca="1">VLOOKUP(VLOOKUP($I31&amp;$F31&amp;$G31,装备属性表,装备属性计算表!AO$29,FALSE),定义数据!$B$13:$C$35,2,FALSE)</f>
        <v>8</v>
      </c>
      <c r="U31" s="14">
        <f ca="1">VLOOKUP($I31&amp;$F31&amp;$G31,装备属性表,装备属性计算表!AP$29,FALSE)</f>
        <v>36.111111111111114</v>
      </c>
      <c r="V31" s="14">
        <f ca="1">VLOOKUP(VLOOKUP($I31&amp;$F31&amp;$G31,装备属性表,装备属性计算表!AQ$29,FALSE),定义数据!$B$13:$C$35,2,FALSE)</f>
        <v>2</v>
      </c>
      <c r="W31" s="14">
        <f ca="1">VLOOKUP($I31&amp;$F31&amp;$G31,装备属性表,装备属性计算表!AR$29,FALSE)</f>
        <v>10.353141048128347</v>
      </c>
      <c r="X31" s="14">
        <f ca="1">VLOOKUP(VLOOKUP($I31&amp;$F31&amp;$G31,装备属性表,装备属性计算表!AS$29,FALSE),定义数据!$B$13:$C$35,2,FALSE)</f>
        <v>3</v>
      </c>
      <c r="Y31" s="14">
        <f ca="1">VLOOKUP($I31&amp;$F31&amp;$G31,装备属性表,装备属性计算表!AT$29,FALSE)</f>
        <v>1.2427224956672445</v>
      </c>
      <c r="Z31" s="14">
        <f ca="1">VLOOKUP(VLOOKUP($I31&amp;$F31&amp;$G31,装备属性表,装备属性计算表!AU$29,FALSE),定义数据!$B$13:$C$35,2,FALSE)</f>
        <v>0</v>
      </c>
      <c r="AA31" s="14">
        <f>VLOOKUP($I31&amp;$F31&amp;$G31,装备属性表,装备属性计算表!AV$29,FALSE)</f>
        <v>0</v>
      </c>
      <c r="AB31" s="14">
        <f ca="1">VLOOKUP(VLOOKUP($I31&amp;$F31&amp;$G31,装备属性表,装备属性计算表!AW$29,FALSE),定义数据!$B$13:$C$35,2,FALSE)</f>
        <v>0</v>
      </c>
      <c r="AC31" s="14">
        <f>VLOOKUP($I31&amp;$F31&amp;$G31,装备属性表,装备属性计算表!AX$29,FALSE)</f>
        <v>0</v>
      </c>
      <c r="AD31" s="14">
        <f ca="1">VLOOKUP(VLOOKUP($I31&amp;$F31&amp;$G31,装备属性表,装备属性计算表!AY$29,FALSE),定义数据!$B$13:$C$35,2,FALSE)</f>
        <v>0</v>
      </c>
      <c r="AE31" s="14">
        <f>VLOOKUP($I31&amp;$F31&amp;$G31,装备属性表,装备属性计算表!AZ$29,FALSE)</f>
        <v>0</v>
      </c>
      <c r="AF31" s="14">
        <f ca="1">VLOOKUP(VLOOKUP($I31&amp;$F31&amp;$G31,装备属性表,装备属性计算表!BA$29,FALSE),定义数据!$B$13:$C$35,2,FALSE)</f>
        <v>0</v>
      </c>
      <c r="AG31" s="14">
        <f>VLOOKUP($I31&amp;$F31&amp;$G31,装备属性表,装备属性计算表!BB$29,FALSE)</f>
        <v>0</v>
      </c>
      <c r="AH31" s="14">
        <f ca="1">VLOOKUP(VLOOKUP($I31&amp;$F31&amp;$G31,装备属性表,装备属性计算表!BC$29,FALSE),定义数据!$B$13:$C$35,2,FALSE)</f>
        <v>0</v>
      </c>
      <c r="AI31" s="14">
        <f>VLOOKUP($I31&amp;$F31&amp;$G31,装备属性表,装备属性计算表!BD$29,FALSE)</f>
        <v>0</v>
      </c>
      <c r="AJ31" s="14">
        <f ca="1">VLOOKUP(VLOOKUP($I31&amp;$F31&amp;$G31,装备属性表,装备属性计算表!BE$29,FALSE),定义数据!$B$13:$C$35,2,FALSE)</f>
        <v>0</v>
      </c>
      <c r="AK31" s="14">
        <f>VLOOKUP($I31&amp;$F31&amp;$G31,装备属性表,装备属性计算表!BF$29,FALSE)</f>
        <v>0</v>
      </c>
      <c r="AL31" t="str">
        <f t="shared" si="17"/>
        <v>紫云之枪是一件15级紫色可升级的装备。</v>
      </c>
      <c r="AM31" t="str">
        <f>IF(D31=0,5,D31) &amp; F31&amp;"00"&amp;VLOOKUP(G31,定义数据!$F$20:$G$27,2,FALSE)&amp;".png"</f>
        <v>30002.png</v>
      </c>
      <c r="AN31" s="79">
        <f>IF(OR(G31&lt;15),0,D_装备升级表!A31)</f>
        <v>15320</v>
      </c>
      <c r="AP31">
        <f ca="1">VLOOKUP(G31&amp;I31&amp;F31,CHOOSE({1,2},装备属性计算表!$BK$32:$BK$187,装备属性计算表!$BJ$32:$BJ$187),2,FALSE)</f>
        <v>78.44478193951754</v>
      </c>
      <c r="AQ31">
        <f ca="1">AP31*'[1]0、经济设定'!$C$18</f>
        <v>3922.2390969758771</v>
      </c>
      <c r="AR31">
        <f ca="1">IFERROR(AQ31*'[1]0、经济设定'!$E$19*AU31*AS31,0)</f>
        <v>359.99999999999994</v>
      </c>
      <c r="AS31">
        <v>10</v>
      </c>
      <c r="AT31">
        <f t="shared" si="2"/>
        <v>36</v>
      </c>
      <c r="AU31">
        <f ca="1">IF(F31=0,IFERROR(AT31/AP31/'[1]0、经济设定'!$E$18,0),AU30)</f>
        <v>4.5892153830903242</v>
      </c>
      <c r="AV31">
        <f t="shared" ca="1" si="15"/>
        <v>3137.7912775807017</v>
      </c>
    </row>
    <row r="32" spans="1:52" x14ac:dyDescent="0.15">
      <c r="A32" s="14" t="str">
        <f t="shared" si="3"/>
        <v>51205</v>
      </c>
      <c r="B32" s="14" t="s">
        <v>540</v>
      </c>
      <c r="C32" s="14">
        <f>VLOOKUP($I32&amp;$F32&amp;$G32,装备属性表,装备属性计算表!AK$29,FALSE)</f>
        <v>5</v>
      </c>
      <c r="D32" s="14">
        <f t="shared" si="18"/>
        <v>0</v>
      </c>
      <c r="E32" s="14" t="str">
        <f>VLOOKUP(F32,CHOOSE({1,2},定义数据!$F$2:$F$7,武器部位),2)</f>
        <v>衣服</v>
      </c>
      <c r="F32" s="14">
        <v>1</v>
      </c>
      <c r="G32" s="14">
        <v>15</v>
      </c>
      <c r="H32" s="14">
        <f t="shared" si="7"/>
        <v>15</v>
      </c>
      <c r="I32" s="14">
        <v>2</v>
      </c>
      <c r="J32" s="14" t="str">
        <f t="shared" si="8"/>
        <v>1521</v>
      </c>
      <c r="K32" s="14" t="str">
        <f t="shared" si="9"/>
        <v>1521</v>
      </c>
      <c r="L32" s="76"/>
      <c r="M32" s="14">
        <f>IF(OR(G32&lt;15,G32=80),0,D_装备升级表!A32)</f>
        <v>15021</v>
      </c>
      <c r="N32" s="78">
        <v>1</v>
      </c>
      <c r="O32" s="14">
        <f t="shared" si="4"/>
        <v>500</v>
      </c>
      <c r="P32" s="14"/>
      <c r="Q32" s="14">
        <f>VLOOKUP($I32&amp;$F32&amp;$G32,装备属性表,装备属性计算表!AL$29,FALSE)</f>
        <v>4</v>
      </c>
      <c r="R32" s="14">
        <f ca="1">VLOOKUP(VLOOKUP($I32&amp;$F32&amp;$G32,装备属性表,装备属性计算表!AM$29,FALSE),定义数据!$B$13:$C$35,2,FALSE)</f>
        <v>1</v>
      </c>
      <c r="S32" s="14">
        <f ca="1">VLOOKUP($I32&amp;$F32&amp;$G32,装备属性表,装备属性计算表!AN$29,FALSE)</f>
        <v>917.23693978426911</v>
      </c>
      <c r="T32" s="14">
        <f ca="1">VLOOKUP(VLOOKUP($I32&amp;$F32&amp;$G32,装备属性表,装备属性计算表!AO$29,FALSE),定义数据!$B$13:$C$35,2,FALSE)</f>
        <v>3</v>
      </c>
      <c r="U32" s="14">
        <f ca="1">VLOOKUP($I32&amp;$F32&amp;$G32,装备属性表,装备属性计算表!AP$29,FALSE)</f>
        <v>20.13210442980936</v>
      </c>
      <c r="V32" s="14">
        <f ca="1">VLOOKUP(VLOOKUP($I32&amp;$F32&amp;$G32,装备属性表,装备属性计算表!AQ$29,FALSE),定义数据!$B$13:$C$35,2,FALSE)</f>
        <v>1</v>
      </c>
      <c r="W32" s="14">
        <f ca="1">VLOOKUP($I32&amp;$F32&amp;$G32,装备属性表,装备属性计算表!AR$29,FALSE)</f>
        <v>113.23912836842828</v>
      </c>
      <c r="X32" s="14">
        <f ca="1">VLOOKUP(VLOOKUP($I32&amp;$F32&amp;$G32,装备属性表,装备属性计算表!AS$29,FALSE),定义数据!$B$13:$C$35,2,FALSE)</f>
        <v>3</v>
      </c>
      <c r="Y32" s="14">
        <f ca="1">VLOOKUP($I32&amp;$F32&amp;$G32,装备属性表,装备属性计算表!AT$29,FALSE)</f>
        <v>3.7281674870017336</v>
      </c>
      <c r="Z32" s="14">
        <f ca="1">VLOOKUP(VLOOKUP($I32&amp;$F32&amp;$G32,装备属性表,装备属性计算表!AU$29,FALSE),定义数据!$B$13:$C$35,2,FALSE)</f>
        <v>0</v>
      </c>
      <c r="AA32" s="14">
        <f>VLOOKUP($I32&amp;$F32&amp;$G32,装备属性表,装备属性计算表!AV$29,FALSE)</f>
        <v>0</v>
      </c>
      <c r="AB32" s="14">
        <f ca="1">VLOOKUP(VLOOKUP($I32&amp;$F32&amp;$G32,装备属性表,装备属性计算表!AW$29,FALSE),定义数据!$B$13:$C$35,2,FALSE)</f>
        <v>0</v>
      </c>
      <c r="AC32" s="14">
        <f>VLOOKUP($I32&amp;$F32&amp;$G32,装备属性表,装备属性计算表!AX$29,FALSE)</f>
        <v>0</v>
      </c>
      <c r="AD32" s="14">
        <f ca="1">VLOOKUP(VLOOKUP($I32&amp;$F32&amp;$G32,装备属性表,装备属性计算表!AY$29,FALSE),定义数据!$B$13:$C$35,2,FALSE)</f>
        <v>0</v>
      </c>
      <c r="AE32" s="14">
        <f>VLOOKUP($I32&amp;$F32&amp;$G32,装备属性表,装备属性计算表!AZ$29,FALSE)</f>
        <v>0</v>
      </c>
      <c r="AF32" s="14">
        <f ca="1">VLOOKUP(VLOOKUP($I32&amp;$F32&amp;$G32,装备属性表,装备属性计算表!BA$29,FALSE),定义数据!$B$13:$C$35,2,FALSE)</f>
        <v>0</v>
      </c>
      <c r="AG32" s="14">
        <f>VLOOKUP($I32&amp;$F32&amp;$G32,装备属性表,装备属性计算表!BB$29,FALSE)</f>
        <v>0</v>
      </c>
      <c r="AH32" s="14">
        <f ca="1">VLOOKUP(VLOOKUP($I32&amp;$F32&amp;$G32,装备属性表,装备属性计算表!BC$29,FALSE),定义数据!$B$13:$C$35,2,FALSE)</f>
        <v>0</v>
      </c>
      <c r="AI32" s="14">
        <f>VLOOKUP($I32&amp;$F32&amp;$G32,装备属性表,装备属性计算表!BD$29,FALSE)</f>
        <v>0</v>
      </c>
      <c r="AJ32" s="14">
        <f ca="1">VLOOKUP(VLOOKUP($I32&amp;$F32&amp;$G32,装备属性表,装备属性计算表!BE$29,FALSE),定义数据!$B$13:$C$35,2,FALSE)</f>
        <v>0</v>
      </c>
      <c r="AK32" s="14">
        <f>VLOOKUP($I32&amp;$F32&amp;$G32,装备属性表,装备属性计算表!BF$29,FALSE)</f>
        <v>0</v>
      </c>
      <c r="AL32" t="str">
        <f t="shared" si="17"/>
        <v>紫云战衣是一件15级紫色可升级的装备。</v>
      </c>
      <c r="AM32" t="str">
        <f>IF(D32=0,5,D32) &amp; F32&amp;"00"&amp;VLOOKUP(G32,定义数据!$F$20:$G$27,2,FALSE)&amp;".png"</f>
        <v>51002.png</v>
      </c>
      <c r="AN32" s="79">
        <f>IF(OR(G32&lt;15),0,D_装备升级表!A32)</f>
        <v>15021</v>
      </c>
      <c r="AP32">
        <f ca="1">VLOOKUP(G32&amp;I32&amp;F32,CHOOSE({1,2},装备属性计算表!$BK$32:$BK$187,装备属性计算表!$BJ$32:$BJ$187),2,FALSE)</f>
        <v>66.481629457733803</v>
      </c>
      <c r="AQ32">
        <f ca="1">AP32*'[1]0、经济设定'!$C$18</f>
        <v>3324.0814728866903</v>
      </c>
      <c r="AR32">
        <f ca="1">IFERROR(AQ32*'[1]0、经济设定'!$E$19*AU32*AS32,0)</f>
        <v>305.0985166003428</v>
      </c>
      <c r="AS32">
        <v>10</v>
      </c>
      <c r="AT32">
        <f t="shared" si="2"/>
        <v>36</v>
      </c>
      <c r="AU32">
        <f ca="1">IF(F32=0,IFERROR(AT32/AP32/'[1]0、经济设定'!$E$18,0),AU31)</f>
        <v>4.5892153830903242</v>
      </c>
      <c r="AV32">
        <f t="shared" ca="1" si="15"/>
        <v>2659.265178309352</v>
      </c>
    </row>
    <row r="33" spans="1:48" x14ac:dyDescent="0.15">
      <c r="A33" s="14" t="str">
        <f t="shared" si="3"/>
        <v>52205</v>
      </c>
      <c r="B33" s="14" t="s">
        <v>541</v>
      </c>
      <c r="C33" s="14">
        <f>VLOOKUP($I33&amp;$F33&amp;$G33,装备属性表,装备属性计算表!AK$29,FALSE)</f>
        <v>5</v>
      </c>
      <c r="D33" s="14">
        <f t="shared" si="18"/>
        <v>0</v>
      </c>
      <c r="E33" s="14" t="str">
        <f>VLOOKUP(F33,CHOOSE({1,2},定义数据!$F$2:$F$7,武器部位),2)</f>
        <v>裤子</v>
      </c>
      <c r="F33" s="14">
        <v>2</v>
      </c>
      <c r="G33" s="14">
        <v>15</v>
      </c>
      <c r="H33" s="14">
        <f t="shared" si="7"/>
        <v>15</v>
      </c>
      <c r="I33" s="14">
        <v>2</v>
      </c>
      <c r="J33" s="14" t="str">
        <f t="shared" si="8"/>
        <v>1522</v>
      </c>
      <c r="K33" s="14" t="str">
        <f t="shared" si="9"/>
        <v>1522</v>
      </c>
      <c r="L33" s="76"/>
      <c r="M33" s="14">
        <f>IF(OR(G33&lt;15,G33=80),0,D_装备升级表!A33)</f>
        <v>15022</v>
      </c>
      <c r="N33" s="78">
        <v>1</v>
      </c>
      <c r="O33" s="14">
        <f t="shared" si="4"/>
        <v>500</v>
      </c>
      <c r="P33" s="14"/>
      <c r="Q33" s="14">
        <f>VLOOKUP($I33&amp;$F33&amp;$G33,装备属性表,装备属性计算表!AL$29,FALSE)</f>
        <v>4</v>
      </c>
      <c r="R33" s="14">
        <f ca="1">VLOOKUP(VLOOKUP($I33&amp;$F33&amp;$G33,装备属性表,装备属性计算表!AM$29,FALSE),定义数据!$B$13:$C$35,2,FALSE)</f>
        <v>3</v>
      </c>
      <c r="S33" s="14">
        <f ca="1">VLOOKUP($I33&amp;$F33&amp;$G33,装备属性表,装备属性计算表!AN$29,FALSE)</f>
        <v>13.421402953206242</v>
      </c>
      <c r="T33" s="14">
        <f ca="1">VLOOKUP(VLOOKUP($I33&amp;$F33&amp;$G33,装备属性表,装备属性计算表!AO$29,FALSE),定义数据!$B$13:$C$35,2,FALSE)</f>
        <v>7</v>
      </c>
      <c r="U33" s="14">
        <f ca="1">VLOOKUP($I33&amp;$F33&amp;$G33,装备属性表,装备属性计算表!AP$29,FALSE)</f>
        <v>20.3125</v>
      </c>
      <c r="V33" s="14">
        <f ca="1">VLOOKUP(VLOOKUP($I33&amp;$F33&amp;$G33,装备属性表,装备属性计算表!AQ$29,FALSE),定义数据!$B$13:$C$35,2,FALSE)</f>
        <v>1</v>
      </c>
      <c r="W33" s="14">
        <f ca="1">VLOOKUP($I33&amp;$F33&amp;$G33,装备属性表,装备属性计算表!AR$29,FALSE)</f>
        <v>56.619564184214141</v>
      </c>
      <c r="X33" s="14">
        <f ca="1">VLOOKUP(VLOOKUP($I33&amp;$F33&amp;$G33,装备属性表,装备属性计算表!AS$29,FALSE),定义数据!$B$13:$C$35,2,FALSE)</f>
        <v>3</v>
      </c>
      <c r="Y33" s="14">
        <f ca="1">VLOOKUP($I33&amp;$F33&amp;$G33,装备属性表,装备属性计算表!AT$29,FALSE)</f>
        <v>1.2427224956672445</v>
      </c>
      <c r="Z33" s="14">
        <f ca="1">VLOOKUP(VLOOKUP($I33&amp;$F33&amp;$G33,装备属性表,装备属性计算表!AU$29,FALSE),定义数据!$B$13:$C$35,2,FALSE)</f>
        <v>0</v>
      </c>
      <c r="AA33" s="14">
        <f>VLOOKUP($I33&amp;$F33&amp;$G33,装备属性表,装备属性计算表!AV$29,FALSE)</f>
        <v>0</v>
      </c>
      <c r="AB33" s="14">
        <f ca="1">VLOOKUP(VLOOKUP($I33&amp;$F33&amp;$G33,装备属性表,装备属性计算表!AW$29,FALSE),定义数据!$B$13:$C$35,2,FALSE)</f>
        <v>0</v>
      </c>
      <c r="AC33" s="14">
        <f>VLOOKUP($I33&amp;$F33&amp;$G33,装备属性表,装备属性计算表!AX$29,FALSE)</f>
        <v>0</v>
      </c>
      <c r="AD33" s="14">
        <f ca="1">VLOOKUP(VLOOKUP($I33&amp;$F33&amp;$G33,装备属性表,装备属性计算表!AY$29,FALSE),定义数据!$B$13:$C$35,2,FALSE)</f>
        <v>0</v>
      </c>
      <c r="AE33" s="14">
        <f>VLOOKUP($I33&amp;$F33&amp;$G33,装备属性表,装备属性计算表!AZ$29,FALSE)</f>
        <v>0</v>
      </c>
      <c r="AF33" s="14">
        <f ca="1">VLOOKUP(VLOOKUP($I33&amp;$F33&amp;$G33,装备属性表,装备属性计算表!BA$29,FALSE),定义数据!$B$13:$C$35,2,FALSE)</f>
        <v>0</v>
      </c>
      <c r="AG33" s="14">
        <f>VLOOKUP($I33&amp;$F33&amp;$G33,装备属性表,装备属性计算表!BB$29,FALSE)</f>
        <v>0</v>
      </c>
      <c r="AH33" s="14">
        <f ca="1">VLOOKUP(VLOOKUP($I33&amp;$F33&amp;$G33,装备属性表,装备属性计算表!BC$29,FALSE),定义数据!$B$13:$C$35,2,FALSE)</f>
        <v>0</v>
      </c>
      <c r="AI33" s="14">
        <f>VLOOKUP($I33&amp;$F33&amp;$G33,装备属性表,装备属性计算表!BD$29,FALSE)</f>
        <v>0</v>
      </c>
      <c r="AJ33" s="14">
        <f ca="1">VLOOKUP(VLOOKUP($I33&amp;$F33&amp;$G33,装备属性表,装备属性计算表!BE$29,FALSE),定义数据!$B$13:$C$35,2,FALSE)</f>
        <v>0</v>
      </c>
      <c r="AK33" s="14">
        <f>VLOOKUP($I33&amp;$F33&amp;$G33,装备属性表,装备属性计算表!BF$29,FALSE)</f>
        <v>0</v>
      </c>
      <c r="AL33" t="str">
        <f t="shared" si="17"/>
        <v>紫云长裤是一件15级紫色可升级的装备。</v>
      </c>
      <c r="AM33" t="str">
        <f>IF(D33=0,5,D33) &amp; F33&amp;"00"&amp;VLOOKUP(G33,定义数据!$F$20:$G$27,2,FALSE)&amp;".png"</f>
        <v>52002.png</v>
      </c>
      <c r="AN33" s="79">
        <f>IF(OR(G33&lt;15),0,D_装备升级表!A33)</f>
        <v>15022</v>
      </c>
      <c r="AP33">
        <f ca="1">VLOOKUP(G33&amp;I33&amp;F33,CHOOSE({1,2},装备属性计算表!$BK$32:$BK$187,装备属性计算表!$BJ$32:$BJ$187),2,FALSE)</f>
        <v>25.23747283105687</v>
      </c>
      <c r="AQ33">
        <f ca="1">AP33*'[1]0、经济设定'!$C$18</f>
        <v>1261.8736415528435</v>
      </c>
      <c r="AR33">
        <f ca="1">IFERROR(AQ33*'[1]0、经济设定'!$E$19*AU33*AS33,0)</f>
        <v>115.8201985466103</v>
      </c>
      <c r="AS33">
        <v>10</v>
      </c>
      <c r="AT33">
        <f t="shared" si="2"/>
        <v>36</v>
      </c>
      <c r="AU33">
        <f ca="1">IF(F33=0,IFERROR(AT33/AP33/'[1]0、经济设定'!$E$18,0),AU32)</f>
        <v>4.5892153830903242</v>
      </c>
      <c r="AV33">
        <f t="shared" ca="1" si="15"/>
        <v>1009.4989132422747</v>
      </c>
    </row>
    <row r="34" spans="1:48" x14ac:dyDescent="0.15">
      <c r="A34" s="14" t="str">
        <f t="shared" si="3"/>
        <v>55205</v>
      </c>
      <c r="B34" s="14" t="s">
        <v>542</v>
      </c>
      <c r="C34" s="14">
        <f>VLOOKUP($I34&amp;$F34&amp;$G34,装备属性表,装备属性计算表!AK$29,FALSE)</f>
        <v>5</v>
      </c>
      <c r="D34" s="14">
        <f t="shared" si="18"/>
        <v>0</v>
      </c>
      <c r="E34" s="14" t="str">
        <f>VLOOKUP(F34,CHOOSE({1,2},定义数据!$F$2:$F$7,武器部位),2)</f>
        <v>鞋子</v>
      </c>
      <c r="F34" s="14">
        <v>5</v>
      </c>
      <c r="G34" s="14">
        <v>15</v>
      </c>
      <c r="H34" s="14">
        <f t="shared" si="7"/>
        <v>15</v>
      </c>
      <c r="I34" s="14">
        <v>2</v>
      </c>
      <c r="J34" s="14" t="str">
        <f t="shared" si="8"/>
        <v>1525</v>
      </c>
      <c r="K34" s="14" t="str">
        <f t="shared" si="9"/>
        <v>1525</v>
      </c>
      <c r="L34" s="76"/>
      <c r="M34" s="14">
        <f>IF(OR(G34&lt;15,G34=80),0,D_装备升级表!A34)</f>
        <v>15025</v>
      </c>
      <c r="N34" s="78">
        <v>1</v>
      </c>
      <c r="O34" s="14">
        <f t="shared" si="4"/>
        <v>500</v>
      </c>
      <c r="P34" s="14"/>
      <c r="Q34" s="14">
        <f>VLOOKUP($I34&amp;$F34&amp;$G34,装备属性表,装备属性计算表!AL$29,FALSE)</f>
        <v>4</v>
      </c>
      <c r="R34" s="14">
        <f ca="1">VLOOKUP(VLOOKUP($I34&amp;$F34&amp;$G34,装备属性表,装备属性计算表!AM$29,FALSE),定义数据!$B$13:$C$35,2,FALSE)</f>
        <v>1</v>
      </c>
      <c r="S34" s="14">
        <f ca="1">VLOOKUP($I34&amp;$F34&amp;$G34,装备属性表,装备属性计算表!AN$29,FALSE)</f>
        <v>305.74564659475635</v>
      </c>
      <c r="T34" s="14">
        <f ca="1">VLOOKUP(VLOOKUP($I34&amp;$F34&amp;$G34,装备属性表,装备属性计算表!AO$29,FALSE),定义数据!$B$13:$C$35,2,FALSE)</f>
        <v>7</v>
      </c>
      <c r="U34" s="14">
        <f ca="1">VLOOKUP($I34&amp;$F34&amp;$G34,装备属性表,装备属性计算表!AP$29,FALSE)</f>
        <v>40.625</v>
      </c>
      <c r="V34" s="14">
        <f ca="1">VLOOKUP(VLOOKUP($I34&amp;$F34&amp;$G34,装备属性表,装备属性计算表!AQ$29,FALSE),定义数据!$B$13:$C$35,2,FALSE)</f>
        <v>1</v>
      </c>
      <c r="W34" s="14">
        <f ca="1">VLOOKUP($I34&amp;$F34&amp;$G34,装备属性表,装备属性计算表!AR$29,FALSE)</f>
        <v>56.619564184214141</v>
      </c>
      <c r="X34" s="14">
        <f ca="1">VLOOKUP(VLOOKUP($I34&amp;$F34&amp;$G34,装备属性表,装备属性计算表!AS$29,FALSE),定义数据!$B$13:$C$35,2,FALSE)</f>
        <v>7</v>
      </c>
      <c r="Y34" s="14">
        <f ca="1">VLOOKUP($I34&amp;$F34&amp;$G34,装备属性表,装备属性计算表!AT$29,FALSE)</f>
        <v>5.416666666666667</v>
      </c>
      <c r="Z34" s="14">
        <f ca="1">VLOOKUP(VLOOKUP($I34&amp;$F34&amp;$G34,装备属性表,装备属性计算表!AU$29,FALSE),定义数据!$B$13:$C$35,2,FALSE)</f>
        <v>0</v>
      </c>
      <c r="AA34" s="14">
        <f>VLOOKUP($I34&amp;$F34&amp;$G34,装备属性表,装备属性计算表!AV$29,FALSE)</f>
        <v>0</v>
      </c>
      <c r="AB34" s="14">
        <f ca="1">VLOOKUP(VLOOKUP($I34&amp;$F34&amp;$G34,装备属性表,装备属性计算表!AW$29,FALSE),定义数据!$B$13:$C$35,2,FALSE)</f>
        <v>0</v>
      </c>
      <c r="AC34" s="14">
        <f>VLOOKUP($I34&amp;$F34&amp;$G34,装备属性表,装备属性计算表!AX$29,FALSE)</f>
        <v>0</v>
      </c>
      <c r="AD34" s="14">
        <f ca="1">VLOOKUP(VLOOKUP($I34&amp;$F34&amp;$G34,装备属性表,装备属性计算表!AY$29,FALSE),定义数据!$B$13:$C$35,2,FALSE)</f>
        <v>0</v>
      </c>
      <c r="AE34" s="14">
        <f>VLOOKUP($I34&amp;$F34&amp;$G34,装备属性表,装备属性计算表!AZ$29,FALSE)</f>
        <v>0</v>
      </c>
      <c r="AF34" s="14">
        <f ca="1">VLOOKUP(VLOOKUP($I34&amp;$F34&amp;$G34,装备属性表,装备属性计算表!BA$29,FALSE),定义数据!$B$13:$C$35,2,FALSE)</f>
        <v>0</v>
      </c>
      <c r="AG34" s="14">
        <f>VLOOKUP($I34&amp;$F34&amp;$G34,装备属性表,装备属性计算表!BB$29,FALSE)</f>
        <v>0</v>
      </c>
      <c r="AH34" s="14">
        <f ca="1">VLOOKUP(VLOOKUP($I34&amp;$F34&amp;$G34,装备属性表,装备属性计算表!BC$29,FALSE),定义数据!$B$13:$C$35,2,FALSE)</f>
        <v>0</v>
      </c>
      <c r="AI34" s="14">
        <f>VLOOKUP($I34&amp;$F34&amp;$G34,装备属性表,装备属性计算表!BD$29,FALSE)</f>
        <v>0</v>
      </c>
      <c r="AJ34" s="14">
        <f ca="1">VLOOKUP(VLOOKUP($I34&amp;$F34&amp;$G34,装备属性表,装备属性计算表!BE$29,FALSE),定义数据!$B$13:$C$35,2,FALSE)</f>
        <v>0</v>
      </c>
      <c r="AK34" s="14">
        <f>VLOOKUP($I34&amp;$F34&amp;$G34,装备属性表,装备属性计算表!BF$29,FALSE)</f>
        <v>0</v>
      </c>
      <c r="AL34" t="str">
        <f t="shared" si="17"/>
        <v>紫云长靴是一件15级紫色可升级的装备。</v>
      </c>
      <c r="AM34" t="str">
        <f>IF(D34=0,5,D34) &amp; F34&amp;"00"&amp;VLOOKUP(G34,定义数据!$F$20:$G$27,2,FALSE)&amp;".png"</f>
        <v>55002.png</v>
      </c>
      <c r="AN34" s="79">
        <f>IF(OR(G34&lt;15),0,D_装备升级表!A34)</f>
        <v>15025</v>
      </c>
      <c r="AP34">
        <f ca="1">VLOOKUP(G34&amp;I34&amp;F34,CHOOSE({1,2},装备属性计算表!$BK$32:$BK$187,装备属性计算表!$BJ$32:$BJ$187),2,FALSE)</f>
        <v>31.972386208936598</v>
      </c>
      <c r="AQ34">
        <f ca="1">AP34*'[1]0、经济设定'!$C$18</f>
        <v>1598.6193104468298</v>
      </c>
      <c r="AR34">
        <f ca="1">IFERROR(AQ34*'[1]0、经济设定'!$E$19*AU34*AS34,0)</f>
        <v>146.72816662415676</v>
      </c>
      <c r="AS34">
        <v>10</v>
      </c>
      <c r="AT34">
        <f t="shared" ref="AT34:AT81" si="19">MAX(VLOOKUP(I34,$AY$5:$AZ$9,2,FALSE)*G34,1)</f>
        <v>36</v>
      </c>
      <c r="AU34">
        <f ca="1">IF(F34=0,IFERROR(AT34/AP34/'[1]0、经济设定'!$E$18,0),AU33)</f>
        <v>4.5892153830903242</v>
      </c>
      <c r="AV34">
        <f t="shared" ca="1" si="15"/>
        <v>1278.8954483574639</v>
      </c>
    </row>
    <row r="35" spans="1:48" x14ac:dyDescent="0.15">
      <c r="A35" s="14" t="str">
        <f t="shared" si="3"/>
        <v>54205</v>
      </c>
      <c r="B35" s="14" t="s">
        <v>543</v>
      </c>
      <c r="C35" s="14">
        <f>VLOOKUP($I35&amp;$F35&amp;$G35,装备属性表,装备属性计算表!AK$29,FALSE)</f>
        <v>5</v>
      </c>
      <c r="D35" s="14">
        <f t="shared" si="18"/>
        <v>0</v>
      </c>
      <c r="E35" s="14" t="str">
        <f>VLOOKUP(F35,CHOOSE({1,2},定义数据!$F$2:$F$7,武器部位),2)</f>
        <v>腰带</v>
      </c>
      <c r="F35" s="14">
        <v>4</v>
      </c>
      <c r="G35" s="14">
        <v>15</v>
      </c>
      <c r="H35" s="14">
        <f t="shared" si="7"/>
        <v>15</v>
      </c>
      <c r="I35" s="14">
        <v>2</v>
      </c>
      <c r="J35" s="14" t="str">
        <f t="shared" si="8"/>
        <v>1524</v>
      </c>
      <c r="K35" s="14" t="str">
        <f t="shared" si="9"/>
        <v>1524</v>
      </c>
      <c r="L35" s="76"/>
      <c r="M35" s="14">
        <f>IF(OR(G35&lt;15,G35=80),0,D_装备升级表!A35)</f>
        <v>15024</v>
      </c>
      <c r="N35" s="78">
        <v>1</v>
      </c>
      <c r="O35" s="14">
        <f t="shared" si="4"/>
        <v>500</v>
      </c>
      <c r="P35" s="14"/>
      <c r="Q35" s="14">
        <f>VLOOKUP($I35&amp;$F35&amp;$G35,装备属性表,装备属性计算表!AL$29,FALSE)</f>
        <v>4</v>
      </c>
      <c r="R35" s="14">
        <f ca="1">VLOOKUP(VLOOKUP($I35&amp;$F35&amp;$G35,装备属性表,装备属性计算表!AM$29,FALSE),定义数据!$B$13:$C$35,2,FALSE)</f>
        <v>1</v>
      </c>
      <c r="S35" s="14">
        <f ca="1">VLOOKUP($I35&amp;$F35&amp;$G35,装备属性表,装备属性计算表!AN$29,FALSE)</f>
        <v>305.74564659475635</v>
      </c>
      <c r="T35" s="14">
        <f ca="1">VLOOKUP(VLOOKUP($I35&amp;$F35&amp;$G35,装备属性表,装备属性计算表!AO$29,FALSE),定义数据!$B$13:$C$35,2,FALSE)</f>
        <v>9</v>
      </c>
      <c r="U35" s="14">
        <f ca="1">VLOOKUP($I35&amp;$F35&amp;$G35,装备属性表,装备属性计算表!AP$29,FALSE)</f>
        <v>36.111111111111114</v>
      </c>
      <c r="V35" s="14">
        <f ca="1">VLOOKUP(VLOOKUP($I35&amp;$F35&amp;$G35,装备属性表,装备属性计算表!AQ$29,FALSE),定义数据!$B$13:$C$35,2,FALSE)</f>
        <v>1</v>
      </c>
      <c r="W35" s="14">
        <f ca="1">VLOOKUP($I35&amp;$F35&amp;$G35,装备属性表,装备属性计算表!AR$29,FALSE)</f>
        <v>113.23912836842828</v>
      </c>
      <c r="X35" s="14">
        <f ca="1">VLOOKUP(VLOOKUP($I35&amp;$F35&amp;$G35,装备属性表,装备属性计算表!AS$29,FALSE),定义数据!$B$13:$C$35,2,FALSE)</f>
        <v>2</v>
      </c>
      <c r="Y35" s="14">
        <f ca="1">VLOOKUP($I35&amp;$F35&amp;$G35,装备属性表,装备属性计算表!AT$29,FALSE)</f>
        <v>3.4510470160427822</v>
      </c>
      <c r="Z35" s="14">
        <f ca="1">VLOOKUP(VLOOKUP($I35&amp;$F35&amp;$G35,装备属性表,装备属性计算表!AU$29,FALSE),定义数据!$B$13:$C$35,2,FALSE)</f>
        <v>0</v>
      </c>
      <c r="AA35" s="14">
        <f>VLOOKUP($I35&amp;$F35&amp;$G35,装备属性表,装备属性计算表!AV$29,FALSE)</f>
        <v>0</v>
      </c>
      <c r="AB35" s="14">
        <f ca="1">VLOOKUP(VLOOKUP($I35&amp;$F35&amp;$G35,装备属性表,装备属性计算表!AW$29,FALSE),定义数据!$B$13:$C$35,2,FALSE)</f>
        <v>0</v>
      </c>
      <c r="AC35" s="14">
        <f>VLOOKUP($I35&amp;$F35&amp;$G35,装备属性表,装备属性计算表!AX$29,FALSE)</f>
        <v>0</v>
      </c>
      <c r="AD35" s="14">
        <f ca="1">VLOOKUP(VLOOKUP($I35&amp;$F35&amp;$G35,装备属性表,装备属性计算表!AY$29,FALSE),定义数据!$B$13:$C$35,2,FALSE)</f>
        <v>0</v>
      </c>
      <c r="AE35" s="14">
        <f>VLOOKUP($I35&amp;$F35&amp;$G35,装备属性表,装备属性计算表!AZ$29,FALSE)</f>
        <v>0</v>
      </c>
      <c r="AF35" s="14">
        <f ca="1">VLOOKUP(VLOOKUP($I35&amp;$F35&amp;$G35,装备属性表,装备属性计算表!BA$29,FALSE),定义数据!$B$13:$C$35,2,FALSE)</f>
        <v>0</v>
      </c>
      <c r="AG35" s="14">
        <f>VLOOKUP($I35&amp;$F35&amp;$G35,装备属性表,装备属性计算表!BB$29,FALSE)</f>
        <v>0</v>
      </c>
      <c r="AH35" s="14">
        <f ca="1">VLOOKUP(VLOOKUP($I35&amp;$F35&amp;$G35,装备属性表,装备属性计算表!BC$29,FALSE),定义数据!$B$13:$C$35,2,FALSE)</f>
        <v>0</v>
      </c>
      <c r="AI35" s="14">
        <f>VLOOKUP($I35&amp;$F35&amp;$G35,装备属性表,装备属性计算表!BD$29,FALSE)</f>
        <v>0</v>
      </c>
      <c r="AJ35" s="14">
        <f ca="1">VLOOKUP(VLOOKUP($I35&amp;$F35&amp;$G35,装备属性表,装备属性计算表!BE$29,FALSE),定义数据!$B$13:$C$35,2,FALSE)</f>
        <v>0</v>
      </c>
      <c r="AK35" s="14">
        <f>VLOOKUP($I35&amp;$F35&amp;$G35,装备属性表,装备属性计算表!BF$29,FALSE)</f>
        <v>0</v>
      </c>
      <c r="AL35" t="str">
        <f t="shared" si="17"/>
        <v>紫云腰带是一件15级紫色可升级的装备。</v>
      </c>
      <c r="AM35" t="str">
        <f>IF(D35=0,5,D35) &amp; F35&amp;"00"&amp;VLOOKUP(G35,定义数据!$F$20:$G$27,2,FALSE)&amp;".png"</f>
        <v>54002.png</v>
      </c>
      <c r="AN35" s="79">
        <f>IF(OR(G35&lt;15),0,D_装备升级表!A35)</f>
        <v>15024</v>
      </c>
      <c r="AP35">
        <f ca="1">VLOOKUP(G35&amp;I35&amp;F35,CHOOSE({1,2},装备属性计算表!$BK$32:$BK$187,装备属性计算表!$BJ$32:$BJ$187),2,FALSE)</f>
        <v>28.434641991718891</v>
      </c>
      <c r="AQ35">
        <f ca="1">AP35*'[1]0、经济设定'!$C$18</f>
        <v>1421.7320995859445</v>
      </c>
      <c r="AR35">
        <f ca="1">IFERROR(AQ35*'[1]0、经济设定'!$E$19*AU35*AS35,0)</f>
        <v>130.49269644106244</v>
      </c>
      <c r="AS35">
        <v>10</v>
      </c>
      <c r="AT35">
        <f t="shared" si="19"/>
        <v>36</v>
      </c>
      <c r="AU35">
        <f ca="1">IF(F35=0,IFERROR(AT35/AP35/'[1]0、经济设定'!$E$18,0),AU34)</f>
        <v>4.5892153830903242</v>
      </c>
      <c r="AV35">
        <f t="shared" ca="1" si="15"/>
        <v>1137.3856796687555</v>
      </c>
    </row>
    <row r="36" spans="1:48" x14ac:dyDescent="0.15">
      <c r="A36" s="14" t="str">
        <f t="shared" si="3"/>
        <v>53205</v>
      </c>
      <c r="B36" s="14" t="s">
        <v>544</v>
      </c>
      <c r="C36" s="14">
        <f>VLOOKUP($I36&amp;$F36&amp;$G36,装备属性表,装备属性计算表!AK$29,FALSE)</f>
        <v>5</v>
      </c>
      <c r="D36" s="14">
        <f t="shared" si="18"/>
        <v>0</v>
      </c>
      <c r="E36" s="14" t="str">
        <f>VLOOKUP(F36,CHOOSE({1,2},定义数据!$F$2:$F$7,武器部位),2)</f>
        <v>项链</v>
      </c>
      <c r="F36" s="14">
        <v>3</v>
      </c>
      <c r="G36" s="14">
        <v>15</v>
      </c>
      <c r="H36" s="14">
        <f t="shared" si="7"/>
        <v>15</v>
      </c>
      <c r="I36" s="14">
        <v>2</v>
      </c>
      <c r="J36" s="14" t="str">
        <f t="shared" si="8"/>
        <v>1523</v>
      </c>
      <c r="K36" s="14" t="str">
        <f t="shared" si="9"/>
        <v>1523</v>
      </c>
      <c r="L36" s="76"/>
      <c r="M36" s="14">
        <f>IF(OR(G36&lt;15,G36=80),0,D_装备升级表!A36)</f>
        <v>15023</v>
      </c>
      <c r="N36" s="78">
        <v>1</v>
      </c>
      <c r="O36" s="14">
        <f t="shared" si="4"/>
        <v>500</v>
      </c>
      <c r="P36" s="14"/>
      <c r="Q36" s="14">
        <f>VLOOKUP($I36&amp;$F36&amp;$G36,装备属性表,装备属性计算表!AL$29,FALSE)</f>
        <v>4</v>
      </c>
      <c r="R36" s="14">
        <f ca="1">VLOOKUP(VLOOKUP($I36&amp;$F36&amp;$G36,装备属性表,装备属性计算表!AM$29,FALSE),定义数据!$B$13:$C$35,2,FALSE)</f>
        <v>2</v>
      </c>
      <c r="S36" s="14">
        <f ca="1">VLOOKUP($I36&amp;$F36&amp;$G36,装备属性表,装备属性计算表!AN$29,FALSE)</f>
        <v>19.412139465240649</v>
      </c>
      <c r="T36" s="14">
        <f ca="1">VLOOKUP(VLOOKUP($I36&amp;$F36&amp;$G36,装备属性表,装备属性计算表!AO$29,FALSE),定义数据!$B$13:$C$35,2,FALSE)</f>
        <v>6</v>
      </c>
      <c r="U36" s="14">
        <f ca="1">VLOOKUP($I36&amp;$F36&amp;$G36,装备属性表,装备属性计算表!AP$29,FALSE)</f>
        <v>60.9375</v>
      </c>
      <c r="V36" s="14">
        <f ca="1">VLOOKUP(VLOOKUP($I36&amp;$F36&amp;$G36,装备属性表,装备属性计算表!AQ$29,FALSE),定义数据!$B$13:$C$35,2,FALSE)</f>
        <v>2</v>
      </c>
      <c r="W36" s="14">
        <f ca="1">VLOOKUP($I36&amp;$F36&amp;$G36,装备属性表,装备属性计算表!AR$29,FALSE)</f>
        <v>3.4510470160427822</v>
      </c>
      <c r="X36" s="14">
        <f ca="1">VLOOKUP(VLOOKUP($I36&amp;$F36&amp;$G36,装备属性表,装备属性计算表!AS$29,FALSE),定义数据!$B$13:$C$35,2,FALSE)</f>
        <v>7</v>
      </c>
      <c r="Y36" s="14">
        <f ca="1">VLOOKUP($I36&amp;$F36&amp;$G36,装备属性表,装备属性计算表!AT$29,FALSE)</f>
        <v>2.7083333333333335</v>
      </c>
      <c r="Z36" s="14">
        <f ca="1">VLOOKUP(VLOOKUP($I36&amp;$F36&amp;$G36,装备属性表,装备属性计算表!AU$29,FALSE),定义数据!$B$13:$C$35,2,FALSE)</f>
        <v>0</v>
      </c>
      <c r="AA36" s="14">
        <f>VLOOKUP($I36&amp;$F36&amp;$G36,装备属性表,装备属性计算表!AV$29,FALSE)</f>
        <v>0</v>
      </c>
      <c r="AB36" s="14">
        <f ca="1">VLOOKUP(VLOOKUP($I36&amp;$F36&amp;$G36,装备属性表,装备属性计算表!AW$29,FALSE),定义数据!$B$13:$C$35,2,FALSE)</f>
        <v>0</v>
      </c>
      <c r="AC36" s="14">
        <f>VLOOKUP($I36&amp;$F36&amp;$G36,装备属性表,装备属性计算表!AX$29,FALSE)</f>
        <v>0</v>
      </c>
      <c r="AD36" s="14">
        <f ca="1">VLOOKUP(VLOOKUP($I36&amp;$F36&amp;$G36,装备属性表,装备属性计算表!AY$29,FALSE),定义数据!$B$13:$C$35,2,FALSE)</f>
        <v>0</v>
      </c>
      <c r="AE36" s="14">
        <f>VLOOKUP($I36&amp;$F36&amp;$G36,装备属性表,装备属性计算表!AZ$29,FALSE)</f>
        <v>0</v>
      </c>
      <c r="AF36" s="14">
        <f ca="1">VLOOKUP(VLOOKUP($I36&amp;$F36&amp;$G36,装备属性表,装备属性计算表!BA$29,FALSE),定义数据!$B$13:$C$35,2,FALSE)</f>
        <v>0</v>
      </c>
      <c r="AG36" s="14">
        <f>VLOOKUP($I36&amp;$F36&amp;$G36,装备属性表,装备属性计算表!BB$29,FALSE)</f>
        <v>0</v>
      </c>
      <c r="AH36" s="14">
        <f ca="1">VLOOKUP(VLOOKUP($I36&amp;$F36&amp;$G36,装备属性表,装备属性计算表!BC$29,FALSE),定义数据!$B$13:$C$35,2,FALSE)</f>
        <v>0</v>
      </c>
      <c r="AI36" s="14">
        <f>VLOOKUP($I36&amp;$F36&amp;$G36,装备属性表,装备属性计算表!BD$29,FALSE)</f>
        <v>0</v>
      </c>
      <c r="AJ36" s="14">
        <f ca="1">VLOOKUP(VLOOKUP($I36&amp;$F36&amp;$G36,装备属性表,装备属性计算表!BE$29,FALSE),定义数据!$B$13:$C$35,2,FALSE)</f>
        <v>0</v>
      </c>
      <c r="AK36" s="14">
        <f>VLOOKUP($I36&amp;$F36&amp;$G36,装备属性表,装备属性计算表!BF$29,FALSE)</f>
        <v>0</v>
      </c>
      <c r="AL36" t="str">
        <f t="shared" si="17"/>
        <v>紫云项链是一件15级紫色可升级的装备。</v>
      </c>
      <c r="AM36" t="str">
        <f>IF(D36=0,5,D36) &amp; F36&amp;"00"&amp;VLOOKUP(G36,定义数据!$F$20:$G$27,2,FALSE)&amp;".png"</f>
        <v>53002.png</v>
      </c>
      <c r="AN36" s="79">
        <f>IF(OR(G36&lt;15),0,D_装备升级表!A36)</f>
        <v>15023</v>
      </c>
      <c r="AP36">
        <f ca="1">VLOOKUP(G36&amp;I36&amp;F36,CHOOSE({1,2},装备属性计算表!$BK$32:$BK$187,装备属性计算表!$BJ$32:$BJ$187),2,FALSE)</f>
        <v>46.615269814616767</v>
      </c>
      <c r="AQ36">
        <f ca="1">AP36*'[1]0、经济设定'!$C$18</f>
        <v>2330.7634907308384</v>
      </c>
      <c r="AR36">
        <f ca="1">IFERROR(AQ36*'[1]0、经济设定'!$E$19*AU36*AS36,0)</f>
        <v>213.92751332014529</v>
      </c>
      <c r="AS36">
        <v>10</v>
      </c>
      <c r="AT36">
        <f t="shared" si="19"/>
        <v>36</v>
      </c>
      <c r="AU36">
        <f ca="1">IF(F36=0,IFERROR(AT36/AP36/'[1]0、经济设定'!$E$18,0),AU35)</f>
        <v>4.5892153830903242</v>
      </c>
      <c r="AV36">
        <f t="shared" ca="1" si="15"/>
        <v>1864.6107925846707</v>
      </c>
    </row>
    <row r="37" spans="1:48" x14ac:dyDescent="0.15">
      <c r="A37" s="14" t="str">
        <f t="shared" ref="A37:A44" si="20">IF(D37=0,D37+5&amp;F37&amp;I37&amp;IF(C37&lt;10,"0"&amp;C37,C37),D37&amp;F37&amp;I37&amp;IF(C37&lt;10,"0"&amp;C37,C37))</f>
        <v>10306</v>
      </c>
      <c r="B37" s="14" t="s">
        <v>652</v>
      </c>
      <c r="C37" s="14">
        <f>VLOOKUP($I37&amp;$F37&amp;$G37,装备属性表,装备属性计算表!AK$29,FALSE)</f>
        <v>6</v>
      </c>
      <c r="D37" s="14">
        <f t="shared" si="18"/>
        <v>1</v>
      </c>
      <c r="E37" s="14" t="str">
        <f>VLOOKUP(F37,CHOOSE({1,2},定义数据!$F$2:$F$7,武器部位),2)</f>
        <v>武器</v>
      </c>
      <c r="F37" s="14">
        <v>0</v>
      </c>
      <c r="G37" s="14">
        <v>15</v>
      </c>
      <c r="H37" s="14">
        <f t="shared" ref="H37:H44" si="21">G37</f>
        <v>15</v>
      </c>
      <c r="I37" s="14">
        <v>3</v>
      </c>
      <c r="J37" s="14" t="str">
        <f t="shared" ref="J37:J44" si="22">G37&amp;I37&amp;F37</f>
        <v>1530</v>
      </c>
      <c r="K37" s="14" t="str">
        <f t="shared" ref="K37:K44" si="23">G37&amp;I37&amp;F37</f>
        <v>1530</v>
      </c>
      <c r="L37" s="76"/>
      <c r="M37" s="14">
        <f>IF(OR(G37&lt;15,G37=80),0,D_装备升级表!A37)</f>
        <v>15130</v>
      </c>
      <c r="N37" s="78">
        <v>1</v>
      </c>
      <c r="O37" s="14">
        <f t="shared" si="4"/>
        <v>600</v>
      </c>
      <c r="P37" s="14"/>
      <c r="Q37" s="14">
        <f>VLOOKUP($I37&amp;$F37&amp;$G37,装备属性表,装备属性计算表!AL$29,FALSE)</f>
        <v>5</v>
      </c>
      <c r="R37" s="14">
        <f ca="1">VLOOKUP(VLOOKUP($I37&amp;$F37&amp;$G37,装备属性表,装备属性计算表!AM$29,FALSE),定义数据!$B$13:$C$35,2,FALSE)</f>
        <v>2</v>
      </c>
      <c r="S37" s="14">
        <f ca="1">VLOOKUP($I37&amp;$F37&amp;$G37,装备属性表,装备属性计算表!AN$29,FALSE)</f>
        <v>67.693614545454565</v>
      </c>
      <c r="T37" s="14">
        <f ca="1">VLOOKUP(VLOOKUP($I37&amp;$F37&amp;$G37,装备属性表,装备属性计算表!AO$29,FALSE),定义数据!$B$13:$C$35,2,FALSE)</f>
        <v>8</v>
      </c>
      <c r="U37" s="14">
        <f ca="1">VLOOKUP($I37&amp;$F37&amp;$G37,装备属性表,装备属性计算表!AP$29,FALSE)</f>
        <v>41.97530864197531</v>
      </c>
      <c r="V37" s="14">
        <f ca="1">VLOOKUP(VLOOKUP($I37&amp;$F37&amp;$G37,装备属性表,装备属性计算表!AQ$29,FALSE),定义数据!$B$13:$C$35,2,FALSE)</f>
        <v>2</v>
      </c>
      <c r="W37" s="14">
        <f ca="1">VLOOKUP($I37&amp;$F37&amp;$G37,装备属性表,装备属性计算表!AR$29,FALSE)</f>
        <v>20.308084363636372</v>
      </c>
      <c r="X37" s="14">
        <f ca="1">VLOOKUP(VLOOKUP($I37&amp;$F37&amp;$G37,装备属性表,装备属性计算表!AS$29,FALSE),定义数据!$B$13:$C$35,2,FALSE)</f>
        <v>3</v>
      </c>
      <c r="Y37" s="14">
        <f ca="1">VLOOKUP($I37&amp;$F37&amp;$G37,装备属性表,装备属性计算表!AT$29,FALSE)</f>
        <v>2.4376479722703639</v>
      </c>
      <c r="Z37" s="14">
        <f ca="1">VLOOKUP(VLOOKUP($I37&amp;$F37&amp;$G37,装备属性表,装备属性计算表!AU$29,FALSE),定义数据!$B$13:$C$35,2,FALSE)</f>
        <v>6</v>
      </c>
      <c r="AA37" s="14">
        <f ca="1">VLOOKUP($I37&amp;$F37&amp;$G37,装备属性表,装备属性计算表!AV$29,FALSE)</f>
        <v>8.8541666666666679</v>
      </c>
      <c r="AB37" s="14">
        <f ca="1">VLOOKUP(VLOOKUP($I37&amp;$F37&amp;$G37,装备属性表,装备属性计算表!AW$29,FALSE),定义数据!$B$13:$C$35,2,FALSE)</f>
        <v>0</v>
      </c>
      <c r="AC37" s="14">
        <f>VLOOKUP($I37&amp;$F37&amp;$G37,装备属性表,装备属性计算表!AX$29,FALSE)</f>
        <v>0</v>
      </c>
      <c r="AD37" s="14">
        <f ca="1">VLOOKUP(VLOOKUP($I37&amp;$F37&amp;$G37,装备属性表,装备属性计算表!AY$29,FALSE),定义数据!$B$13:$C$35,2,FALSE)</f>
        <v>0</v>
      </c>
      <c r="AE37" s="14">
        <f>VLOOKUP($I37&amp;$F37&amp;$G37,装备属性表,装备属性计算表!AZ$29,FALSE)</f>
        <v>0</v>
      </c>
      <c r="AF37" s="14">
        <f ca="1">VLOOKUP(VLOOKUP($I37&amp;$F37&amp;$G37,装备属性表,装备属性计算表!BA$29,FALSE),定义数据!$B$13:$C$35,2,FALSE)</f>
        <v>0</v>
      </c>
      <c r="AG37" s="14">
        <f>VLOOKUP($I37&amp;$F37&amp;$G37,装备属性表,装备属性计算表!BB$29,FALSE)</f>
        <v>0</v>
      </c>
      <c r="AH37" s="14">
        <f ca="1">VLOOKUP(VLOOKUP($I37&amp;$F37&amp;$G37,装备属性表,装备属性计算表!BC$29,FALSE),定义数据!$B$13:$C$35,2,FALSE)</f>
        <v>0</v>
      </c>
      <c r="AI37" s="14">
        <f>VLOOKUP($I37&amp;$F37&amp;$G37,装备属性表,装备属性计算表!BD$29,FALSE)</f>
        <v>0</v>
      </c>
      <c r="AJ37" s="14">
        <f ca="1">VLOOKUP(VLOOKUP($I37&amp;$F37&amp;$G37,装备属性表,装备属性计算表!BE$29,FALSE),定义数据!$B$13:$C$35,2,FALSE)</f>
        <v>0</v>
      </c>
      <c r="AK37" s="14">
        <f>VLOOKUP($I37&amp;$F37&amp;$G37,装备属性表,装备属性计算表!BF$29,FALSE)</f>
        <v>0</v>
      </c>
      <c r="AL37" t="str">
        <f t="shared" si="17"/>
        <v>鎏金之剑是一件15级橙色可升级的装备。</v>
      </c>
      <c r="AM37" t="str">
        <f>IF(D37=0,5,D37) &amp; F37&amp;"00"&amp;VLOOKUP(G37,定义数据!$F$20:$G$27,2,FALSE)&amp;".png"</f>
        <v>10002.png</v>
      </c>
      <c r="AN37" s="79">
        <f>IF(OR(G37&lt;15),0,D_装备升级表!A37)</f>
        <v>15130</v>
      </c>
      <c r="AP37">
        <f ca="1">VLOOKUP(G37&amp;I37&amp;F37,CHOOSE({1,2},装备属性计算表!$BK$32:$BK$187,装备属性计算表!$BJ$32:$BJ$187),2,FALSE)</f>
        <v>102.13865243691686</v>
      </c>
      <c r="AQ37">
        <f ca="1">AP37*'[1]0、经济设定'!$C$18</f>
        <v>5106.9326218458427</v>
      </c>
      <c r="AR37">
        <f ca="1">IFERROR(AQ37*'[1]0、经济设定'!$E$19*AU37*AS37,0)</f>
        <v>899.99999999999989</v>
      </c>
      <c r="AS37">
        <v>10</v>
      </c>
      <c r="AT37">
        <f t="shared" si="19"/>
        <v>90</v>
      </c>
      <c r="AU37">
        <f ca="1">IF(F37=0,IFERROR(AT37/AP37/'[1]0、经济设定'!$E$18,0),AU36)</f>
        <v>8.8115515382960456</v>
      </c>
      <c r="AV37">
        <f t="shared" ref="AV37:AV44" ca="1" si="24">AP37*40</f>
        <v>4085.5460974766743</v>
      </c>
    </row>
    <row r="38" spans="1:48" x14ac:dyDescent="0.15">
      <c r="A38" s="14" t="str">
        <f t="shared" si="20"/>
        <v>20306</v>
      </c>
      <c r="B38" s="14" t="s">
        <v>653</v>
      </c>
      <c r="C38" s="14">
        <f>VLOOKUP($I38&amp;$F38&amp;$G38,装备属性表,装备属性计算表!AK$29,FALSE)</f>
        <v>6</v>
      </c>
      <c r="D38" s="14">
        <f t="shared" si="18"/>
        <v>2</v>
      </c>
      <c r="E38" s="14" t="str">
        <f>VLOOKUP(F38,CHOOSE({1,2},定义数据!$F$2:$F$7,武器部位),2)</f>
        <v>武器</v>
      </c>
      <c r="F38" s="14">
        <v>0</v>
      </c>
      <c r="G38" s="14">
        <v>15</v>
      </c>
      <c r="H38" s="14">
        <f t="shared" si="21"/>
        <v>15</v>
      </c>
      <c r="I38" s="14">
        <v>3</v>
      </c>
      <c r="J38" s="14" t="str">
        <f t="shared" si="22"/>
        <v>1530</v>
      </c>
      <c r="K38" s="14" t="str">
        <f t="shared" si="23"/>
        <v>1530</v>
      </c>
      <c r="L38" s="76"/>
      <c r="M38" s="14">
        <f>IF(OR(G38&lt;15,G38=80),0,D_装备升级表!A38)</f>
        <v>15230</v>
      </c>
      <c r="N38" s="78">
        <v>1</v>
      </c>
      <c r="O38" s="14">
        <f t="shared" si="4"/>
        <v>600</v>
      </c>
      <c r="P38" s="14"/>
      <c r="Q38" s="14">
        <f>VLOOKUP($I38&amp;$F38&amp;$G38,装备属性表,装备属性计算表!AL$29,FALSE)</f>
        <v>5</v>
      </c>
      <c r="R38" s="14">
        <f ca="1">VLOOKUP(VLOOKUP($I38&amp;$F38&amp;$G38,装备属性表,装备属性计算表!AM$29,FALSE),定义数据!$B$13:$C$35,2,FALSE)</f>
        <v>2</v>
      </c>
      <c r="S38" s="14">
        <f ca="1">VLOOKUP($I38&amp;$F38&amp;$G38,装备属性表,装备属性计算表!AN$29,FALSE)</f>
        <v>67.693614545454565</v>
      </c>
      <c r="T38" s="14">
        <f ca="1">VLOOKUP(VLOOKUP($I38&amp;$F38&amp;$G38,装备属性表,装备属性计算表!AO$29,FALSE),定义数据!$B$13:$C$35,2,FALSE)</f>
        <v>8</v>
      </c>
      <c r="U38" s="14">
        <f ca="1">VLOOKUP($I38&amp;$F38&amp;$G38,装备属性表,装备属性计算表!AP$29,FALSE)</f>
        <v>41.97530864197531</v>
      </c>
      <c r="V38" s="14">
        <f ca="1">VLOOKUP(VLOOKUP($I38&amp;$F38&amp;$G38,装备属性表,装备属性计算表!AQ$29,FALSE),定义数据!$B$13:$C$35,2,FALSE)</f>
        <v>2</v>
      </c>
      <c r="W38" s="14">
        <f ca="1">VLOOKUP($I38&amp;$F38&amp;$G38,装备属性表,装备属性计算表!AR$29,FALSE)</f>
        <v>20.308084363636372</v>
      </c>
      <c r="X38" s="14">
        <f ca="1">VLOOKUP(VLOOKUP($I38&amp;$F38&amp;$G38,装备属性表,装备属性计算表!AS$29,FALSE),定义数据!$B$13:$C$35,2,FALSE)</f>
        <v>3</v>
      </c>
      <c r="Y38" s="14">
        <f ca="1">VLOOKUP($I38&amp;$F38&amp;$G38,装备属性表,装备属性计算表!AT$29,FALSE)</f>
        <v>2.4376479722703639</v>
      </c>
      <c r="Z38" s="14">
        <f ca="1">VLOOKUP(VLOOKUP($I38&amp;$F38&amp;$G38,装备属性表,装备属性计算表!AU$29,FALSE),定义数据!$B$13:$C$35,2,FALSE)</f>
        <v>6</v>
      </c>
      <c r="AA38" s="14">
        <f ca="1">VLOOKUP($I38&amp;$F38&amp;$G38,装备属性表,装备属性计算表!AV$29,FALSE)</f>
        <v>8.8541666666666679</v>
      </c>
      <c r="AB38" s="14">
        <f ca="1">VLOOKUP(VLOOKUP($I38&amp;$F38&amp;$G38,装备属性表,装备属性计算表!AW$29,FALSE),定义数据!$B$13:$C$35,2,FALSE)</f>
        <v>0</v>
      </c>
      <c r="AC38" s="14">
        <f>VLOOKUP($I38&amp;$F38&amp;$G38,装备属性表,装备属性计算表!AX$29,FALSE)</f>
        <v>0</v>
      </c>
      <c r="AD38" s="14">
        <f ca="1">VLOOKUP(VLOOKUP($I38&amp;$F38&amp;$G38,装备属性表,装备属性计算表!AY$29,FALSE),定义数据!$B$13:$C$35,2,FALSE)</f>
        <v>0</v>
      </c>
      <c r="AE38" s="14">
        <f>VLOOKUP($I38&amp;$F38&amp;$G38,装备属性表,装备属性计算表!AZ$29,FALSE)</f>
        <v>0</v>
      </c>
      <c r="AF38" s="14">
        <f ca="1">VLOOKUP(VLOOKUP($I38&amp;$F38&amp;$G38,装备属性表,装备属性计算表!BA$29,FALSE),定义数据!$B$13:$C$35,2,FALSE)</f>
        <v>0</v>
      </c>
      <c r="AG38" s="14">
        <f>VLOOKUP($I38&amp;$F38&amp;$G38,装备属性表,装备属性计算表!BB$29,FALSE)</f>
        <v>0</v>
      </c>
      <c r="AH38" s="14">
        <f ca="1">VLOOKUP(VLOOKUP($I38&amp;$F38&amp;$G38,装备属性表,装备属性计算表!BC$29,FALSE),定义数据!$B$13:$C$35,2,FALSE)</f>
        <v>0</v>
      </c>
      <c r="AI38" s="14">
        <f>VLOOKUP($I38&amp;$F38&amp;$G38,装备属性表,装备属性计算表!BD$29,FALSE)</f>
        <v>0</v>
      </c>
      <c r="AJ38" s="14">
        <f ca="1">VLOOKUP(VLOOKUP($I38&amp;$F38&amp;$G38,装备属性表,装备属性计算表!BE$29,FALSE),定义数据!$B$13:$C$35,2,FALSE)</f>
        <v>0</v>
      </c>
      <c r="AK38" s="14">
        <f>VLOOKUP($I38&amp;$F38&amp;$G38,装备属性表,装备属性计算表!BF$29,FALSE)</f>
        <v>0</v>
      </c>
      <c r="AL38" t="str">
        <f t="shared" si="17"/>
        <v>鎏金之拳是一件15级橙色可升级的装备。</v>
      </c>
      <c r="AM38" t="str">
        <f>IF(D38=0,5,D38) &amp; F38&amp;"00"&amp;VLOOKUP(G38,定义数据!$F$20:$G$27,2,FALSE)&amp;".png"</f>
        <v>20002.png</v>
      </c>
      <c r="AN38" s="79">
        <f>IF(OR(G38&lt;15),0,D_装备升级表!A38)</f>
        <v>15230</v>
      </c>
      <c r="AP38">
        <f ca="1">VLOOKUP(G38&amp;I38&amp;F38,CHOOSE({1,2},装备属性计算表!$BK$32:$BK$187,装备属性计算表!$BJ$32:$BJ$187),2,FALSE)</f>
        <v>102.13865243691686</v>
      </c>
      <c r="AQ38">
        <f ca="1">AP38*'[1]0、经济设定'!$C$18</f>
        <v>5106.9326218458427</v>
      </c>
      <c r="AR38">
        <f ca="1">IFERROR(AQ38*'[1]0、经济设定'!$E$19*AU38*AS38,0)</f>
        <v>899.99999999999989</v>
      </c>
      <c r="AS38">
        <v>10</v>
      </c>
      <c r="AT38">
        <f t="shared" si="19"/>
        <v>90</v>
      </c>
      <c r="AU38">
        <f ca="1">IF(F38=0,IFERROR(AT38/AP38/'[1]0、经济设定'!$E$18,0),AU37)</f>
        <v>8.8115515382960456</v>
      </c>
      <c r="AV38">
        <f t="shared" ca="1" si="24"/>
        <v>4085.5460974766743</v>
      </c>
    </row>
    <row r="39" spans="1:48" x14ac:dyDescent="0.15">
      <c r="A39" s="14" t="str">
        <f t="shared" si="20"/>
        <v>30306</v>
      </c>
      <c r="B39" s="14" t="s">
        <v>654</v>
      </c>
      <c r="C39" s="14">
        <f>VLOOKUP($I39&amp;$F39&amp;$G39,装备属性表,装备属性计算表!AK$29,FALSE)</f>
        <v>6</v>
      </c>
      <c r="D39" s="14">
        <f t="shared" si="18"/>
        <v>3</v>
      </c>
      <c r="E39" s="14" t="str">
        <f>VLOOKUP(F39,CHOOSE({1,2},定义数据!$F$2:$F$7,武器部位),2)</f>
        <v>武器</v>
      </c>
      <c r="F39" s="14">
        <v>0</v>
      </c>
      <c r="G39" s="14">
        <v>15</v>
      </c>
      <c r="H39" s="14">
        <f t="shared" si="21"/>
        <v>15</v>
      </c>
      <c r="I39" s="14">
        <v>3</v>
      </c>
      <c r="J39" s="14" t="str">
        <f t="shared" si="22"/>
        <v>1530</v>
      </c>
      <c r="K39" s="14" t="str">
        <f t="shared" si="23"/>
        <v>1530</v>
      </c>
      <c r="L39" s="76"/>
      <c r="M39" s="14">
        <f>IF(OR(G39&lt;15,G39=80),0,D_装备升级表!A39)</f>
        <v>15330</v>
      </c>
      <c r="N39" s="78">
        <v>1</v>
      </c>
      <c r="O39" s="14">
        <f t="shared" si="4"/>
        <v>600</v>
      </c>
      <c r="P39" s="14"/>
      <c r="Q39" s="14">
        <f>VLOOKUP($I39&amp;$F39&amp;$G39,装备属性表,装备属性计算表!AL$29,FALSE)</f>
        <v>5</v>
      </c>
      <c r="R39" s="14">
        <f ca="1">VLOOKUP(VLOOKUP($I39&amp;$F39&amp;$G39,装备属性表,装备属性计算表!AM$29,FALSE),定义数据!$B$13:$C$35,2,FALSE)</f>
        <v>2</v>
      </c>
      <c r="S39" s="14">
        <f ca="1">VLOOKUP($I39&amp;$F39&amp;$G39,装备属性表,装备属性计算表!AN$29,FALSE)</f>
        <v>67.693614545454565</v>
      </c>
      <c r="T39" s="14">
        <f ca="1">VLOOKUP(VLOOKUP($I39&amp;$F39&amp;$G39,装备属性表,装备属性计算表!AO$29,FALSE),定义数据!$B$13:$C$35,2,FALSE)</f>
        <v>8</v>
      </c>
      <c r="U39" s="14">
        <f ca="1">VLOOKUP($I39&amp;$F39&amp;$G39,装备属性表,装备属性计算表!AP$29,FALSE)</f>
        <v>41.97530864197531</v>
      </c>
      <c r="V39" s="14">
        <f ca="1">VLOOKUP(VLOOKUP($I39&amp;$F39&amp;$G39,装备属性表,装备属性计算表!AQ$29,FALSE),定义数据!$B$13:$C$35,2,FALSE)</f>
        <v>2</v>
      </c>
      <c r="W39" s="14">
        <f ca="1">VLOOKUP($I39&amp;$F39&amp;$G39,装备属性表,装备属性计算表!AR$29,FALSE)</f>
        <v>20.308084363636372</v>
      </c>
      <c r="X39" s="14">
        <f ca="1">VLOOKUP(VLOOKUP($I39&amp;$F39&amp;$G39,装备属性表,装备属性计算表!AS$29,FALSE),定义数据!$B$13:$C$35,2,FALSE)</f>
        <v>3</v>
      </c>
      <c r="Y39" s="14">
        <f ca="1">VLOOKUP($I39&amp;$F39&amp;$G39,装备属性表,装备属性计算表!AT$29,FALSE)</f>
        <v>2.4376479722703639</v>
      </c>
      <c r="Z39" s="14">
        <f ca="1">VLOOKUP(VLOOKUP($I39&amp;$F39&amp;$G39,装备属性表,装备属性计算表!AU$29,FALSE),定义数据!$B$13:$C$35,2,FALSE)</f>
        <v>6</v>
      </c>
      <c r="AA39" s="14">
        <f ca="1">VLOOKUP($I39&amp;$F39&amp;$G39,装备属性表,装备属性计算表!AV$29,FALSE)</f>
        <v>8.8541666666666679</v>
      </c>
      <c r="AB39" s="14">
        <f ca="1">VLOOKUP(VLOOKUP($I39&amp;$F39&amp;$G39,装备属性表,装备属性计算表!AW$29,FALSE),定义数据!$B$13:$C$35,2,FALSE)</f>
        <v>0</v>
      </c>
      <c r="AC39" s="14">
        <f>VLOOKUP($I39&amp;$F39&amp;$G39,装备属性表,装备属性计算表!AX$29,FALSE)</f>
        <v>0</v>
      </c>
      <c r="AD39" s="14">
        <f ca="1">VLOOKUP(VLOOKUP($I39&amp;$F39&amp;$G39,装备属性表,装备属性计算表!AY$29,FALSE),定义数据!$B$13:$C$35,2,FALSE)</f>
        <v>0</v>
      </c>
      <c r="AE39" s="14">
        <f>VLOOKUP($I39&amp;$F39&amp;$G39,装备属性表,装备属性计算表!AZ$29,FALSE)</f>
        <v>0</v>
      </c>
      <c r="AF39" s="14">
        <f ca="1">VLOOKUP(VLOOKUP($I39&amp;$F39&amp;$G39,装备属性表,装备属性计算表!BA$29,FALSE),定义数据!$B$13:$C$35,2,FALSE)</f>
        <v>0</v>
      </c>
      <c r="AG39" s="14">
        <f>VLOOKUP($I39&amp;$F39&amp;$G39,装备属性表,装备属性计算表!BB$29,FALSE)</f>
        <v>0</v>
      </c>
      <c r="AH39" s="14">
        <f ca="1">VLOOKUP(VLOOKUP($I39&amp;$F39&amp;$G39,装备属性表,装备属性计算表!BC$29,FALSE),定义数据!$B$13:$C$35,2,FALSE)</f>
        <v>0</v>
      </c>
      <c r="AI39" s="14">
        <f>VLOOKUP($I39&amp;$F39&amp;$G39,装备属性表,装备属性计算表!BD$29,FALSE)</f>
        <v>0</v>
      </c>
      <c r="AJ39" s="14">
        <f ca="1">VLOOKUP(VLOOKUP($I39&amp;$F39&amp;$G39,装备属性表,装备属性计算表!BE$29,FALSE),定义数据!$B$13:$C$35,2,FALSE)</f>
        <v>0</v>
      </c>
      <c r="AK39" s="14">
        <f>VLOOKUP($I39&amp;$F39&amp;$G39,装备属性表,装备属性计算表!BF$29,FALSE)</f>
        <v>0</v>
      </c>
      <c r="AL39" t="str">
        <f t="shared" si="17"/>
        <v>鎏金之枪是一件15级橙色可升级的装备。</v>
      </c>
      <c r="AM39" t="str">
        <f>IF(D39=0,5,D39) &amp; F39&amp;"00"&amp;VLOOKUP(G39,定义数据!$F$20:$G$27,2,FALSE)&amp;".png"</f>
        <v>30002.png</v>
      </c>
      <c r="AN39" s="79">
        <f>IF(OR(G39&lt;15),0,D_装备升级表!A39)</f>
        <v>15330</v>
      </c>
      <c r="AP39">
        <f ca="1">VLOOKUP(G39&amp;I39&amp;F39,CHOOSE({1,2},装备属性计算表!$BK$32:$BK$187,装备属性计算表!$BJ$32:$BJ$187),2,FALSE)</f>
        <v>102.13865243691686</v>
      </c>
      <c r="AQ39">
        <f ca="1">AP39*'[1]0、经济设定'!$C$18</f>
        <v>5106.9326218458427</v>
      </c>
      <c r="AR39">
        <f ca="1">IFERROR(AQ39*'[1]0、经济设定'!$E$19*AU39*AS39,0)</f>
        <v>899.99999999999989</v>
      </c>
      <c r="AS39">
        <v>10</v>
      </c>
      <c r="AT39">
        <f t="shared" si="19"/>
        <v>90</v>
      </c>
      <c r="AU39">
        <f ca="1">IF(F39=0,IFERROR(AT39/AP39/'[1]0、经济设定'!$E$18,0),AU38)</f>
        <v>8.8115515382960456</v>
      </c>
      <c r="AV39">
        <f t="shared" ca="1" si="24"/>
        <v>4085.5460974766743</v>
      </c>
    </row>
    <row r="40" spans="1:48" x14ac:dyDescent="0.15">
      <c r="A40" s="14" t="str">
        <f t="shared" si="20"/>
        <v>51306</v>
      </c>
      <c r="B40" s="14" t="s">
        <v>655</v>
      </c>
      <c r="C40" s="14">
        <f>VLOOKUP($I40&amp;$F40&amp;$G40,装备属性表,装备属性计算表!AK$29,FALSE)</f>
        <v>6</v>
      </c>
      <c r="D40" s="14">
        <f t="shared" si="18"/>
        <v>0</v>
      </c>
      <c r="E40" s="14" t="str">
        <f>VLOOKUP(F40,CHOOSE({1,2},定义数据!$F$2:$F$7,武器部位),2)</f>
        <v>衣服</v>
      </c>
      <c r="F40" s="14">
        <v>1</v>
      </c>
      <c r="G40" s="14">
        <v>15</v>
      </c>
      <c r="H40" s="14">
        <f t="shared" si="21"/>
        <v>15</v>
      </c>
      <c r="I40" s="14">
        <v>3</v>
      </c>
      <c r="J40" s="14" t="str">
        <f t="shared" si="22"/>
        <v>1531</v>
      </c>
      <c r="K40" s="14" t="str">
        <f t="shared" si="23"/>
        <v>1531</v>
      </c>
      <c r="L40" s="76"/>
      <c r="M40" s="14">
        <f>IF(OR(G40&lt;15,G40=80),0,D_装备升级表!A40)</f>
        <v>15031</v>
      </c>
      <c r="N40" s="78">
        <v>1</v>
      </c>
      <c r="O40" s="14">
        <f t="shared" si="4"/>
        <v>600</v>
      </c>
      <c r="P40" s="14"/>
      <c r="Q40" s="14">
        <f>VLOOKUP($I40&amp;$F40&amp;$G40,装备属性表,装备属性计算表!AL$29,FALSE)</f>
        <v>5</v>
      </c>
      <c r="R40" s="14">
        <f ca="1">VLOOKUP(VLOOKUP($I40&amp;$F40&amp;$G40,装备属性表,装备属性计算表!AM$29,FALSE),定义数据!$B$13:$C$35,2,FALSE)</f>
        <v>1</v>
      </c>
      <c r="S40" s="14">
        <f ca="1">VLOOKUP($I40&amp;$F40&amp;$G40,装备属性表,装备属性计算表!AN$29,FALSE)</f>
        <v>1066.189947099663</v>
      </c>
      <c r="T40" s="14">
        <f ca="1">VLOOKUP(VLOOKUP($I40&amp;$F40&amp;$G40,装备属性表,装备属性计算表!AO$29,FALSE),定义数据!$B$13:$C$35,2,FALSE)</f>
        <v>3</v>
      </c>
      <c r="U40" s="14">
        <f ca="1">VLOOKUP($I40&amp;$F40&amp;$G40,装备属性表,装备属性计算表!AP$29,FALSE)</f>
        <v>23.401420533795495</v>
      </c>
      <c r="V40" s="14">
        <f ca="1">VLOOKUP(VLOOKUP($I40&amp;$F40&amp;$G40,装备属性表,装备属性计算表!AQ$29,FALSE),定义数据!$B$13:$C$35,2,FALSE)</f>
        <v>1</v>
      </c>
      <c r="W40" s="14">
        <f ca="1">VLOOKUP($I40&amp;$F40&amp;$G40,装备属性表,装备属性计算表!AR$29,FALSE)</f>
        <v>222.12290564576318</v>
      </c>
      <c r="X40" s="14">
        <f ca="1">VLOOKUP(VLOOKUP($I40&amp;$F40&amp;$G40,装备属性表,装备属性计算表!AS$29,FALSE),定义数据!$B$13:$C$35,2,FALSE)</f>
        <v>3</v>
      </c>
      <c r="Y40" s="14">
        <f ca="1">VLOOKUP($I40&amp;$F40&amp;$G40,装备属性表,装备属性计算表!AT$29,FALSE)</f>
        <v>7.3129439168110926</v>
      </c>
      <c r="Z40" s="14">
        <f ca="1">VLOOKUP(VLOOKUP($I40&amp;$F40&amp;$G40,装备属性表,装备属性计算表!AU$29,FALSE),定义数据!$B$13:$C$35,2,FALSE)</f>
        <v>7</v>
      </c>
      <c r="AA40" s="14">
        <f ca="1">VLOOKUP($I40&amp;$F40&amp;$G40,装备属性表,装备属性计算表!AV$29,FALSE)</f>
        <v>5.3125000000000018</v>
      </c>
      <c r="AB40" s="14">
        <f ca="1">VLOOKUP(VLOOKUP($I40&amp;$F40&amp;$G40,装备属性表,装备属性计算表!AW$29,FALSE),定义数据!$B$13:$C$35,2,FALSE)</f>
        <v>0</v>
      </c>
      <c r="AC40" s="14">
        <f>VLOOKUP($I40&amp;$F40&amp;$G40,装备属性表,装备属性计算表!AX$29,FALSE)</f>
        <v>0</v>
      </c>
      <c r="AD40" s="14">
        <f ca="1">VLOOKUP(VLOOKUP($I40&amp;$F40&amp;$G40,装备属性表,装备属性计算表!AY$29,FALSE),定义数据!$B$13:$C$35,2,FALSE)</f>
        <v>0</v>
      </c>
      <c r="AE40" s="14">
        <f>VLOOKUP($I40&amp;$F40&amp;$G40,装备属性表,装备属性计算表!AZ$29,FALSE)</f>
        <v>0</v>
      </c>
      <c r="AF40" s="14">
        <f ca="1">VLOOKUP(VLOOKUP($I40&amp;$F40&amp;$G40,装备属性表,装备属性计算表!BA$29,FALSE),定义数据!$B$13:$C$35,2,FALSE)</f>
        <v>0</v>
      </c>
      <c r="AG40" s="14">
        <f>VLOOKUP($I40&amp;$F40&amp;$G40,装备属性表,装备属性计算表!BB$29,FALSE)</f>
        <v>0</v>
      </c>
      <c r="AH40" s="14">
        <f ca="1">VLOOKUP(VLOOKUP($I40&amp;$F40&amp;$G40,装备属性表,装备属性计算表!BC$29,FALSE),定义数据!$B$13:$C$35,2,FALSE)</f>
        <v>0</v>
      </c>
      <c r="AI40" s="14">
        <f>VLOOKUP($I40&amp;$F40&amp;$G40,装备属性表,装备属性计算表!BD$29,FALSE)</f>
        <v>0</v>
      </c>
      <c r="AJ40" s="14">
        <f ca="1">VLOOKUP(VLOOKUP($I40&amp;$F40&amp;$G40,装备属性表,装备属性计算表!BE$29,FALSE),定义数据!$B$13:$C$35,2,FALSE)</f>
        <v>0</v>
      </c>
      <c r="AK40" s="14">
        <f>VLOOKUP($I40&amp;$F40&amp;$G40,装备属性表,装备属性计算表!BF$29,FALSE)</f>
        <v>0</v>
      </c>
      <c r="AL40" t="str">
        <f t="shared" si="17"/>
        <v>鎏金战衣是一件15级橙色可升级的装备。</v>
      </c>
      <c r="AM40" t="str">
        <f>IF(D40=0,5,D40) &amp; F40&amp;"00"&amp;VLOOKUP(G40,定义数据!$F$20:$G$27,2,FALSE)&amp;".png"</f>
        <v>51002.png</v>
      </c>
      <c r="AN40" s="79">
        <f>IF(OR(G40&lt;15),0,D_装备升级表!A40)</f>
        <v>15031</v>
      </c>
      <c r="AP40">
        <f ca="1">VLOOKUP(G40&amp;I40&amp;F40,CHOOSE({1,2},装备属性计算表!$BK$32:$BK$187,装备属性计算表!$BJ$32:$BJ$187),2,FALSE)</f>
        <v>84.997573004868073</v>
      </c>
      <c r="AQ40">
        <f ca="1">AP40*'[1]0、经济设定'!$C$18</f>
        <v>4249.8786502434041</v>
      </c>
      <c r="AR40">
        <f ca="1">IFERROR(AQ40*'[1]0、经济设定'!$E$19*AU40*AS40,0)</f>
        <v>748.96049516247569</v>
      </c>
      <c r="AS40">
        <v>10</v>
      </c>
      <c r="AT40">
        <f t="shared" si="19"/>
        <v>90</v>
      </c>
      <c r="AU40">
        <f ca="1">IF(F40=0,IFERROR(AT40/AP40/'[1]0、经济设定'!$E$18,0),AU39)</f>
        <v>8.8115515382960456</v>
      </c>
      <c r="AV40">
        <f t="shared" ca="1" si="24"/>
        <v>3399.9029201947228</v>
      </c>
    </row>
    <row r="41" spans="1:48" x14ac:dyDescent="0.15">
      <c r="A41" s="14" t="str">
        <f t="shared" si="20"/>
        <v>52306</v>
      </c>
      <c r="B41" s="14" t="s">
        <v>656</v>
      </c>
      <c r="C41" s="14">
        <f>VLOOKUP($I41&amp;$F41&amp;$G41,装备属性表,装备属性计算表!AK$29,FALSE)</f>
        <v>6</v>
      </c>
      <c r="D41" s="14">
        <f t="shared" si="18"/>
        <v>0</v>
      </c>
      <c r="E41" s="14" t="str">
        <f>VLOOKUP(F41,CHOOSE({1,2},定义数据!$F$2:$F$7,武器部位),2)</f>
        <v>裤子</v>
      </c>
      <c r="F41" s="14">
        <v>2</v>
      </c>
      <c r="G41" s="14">
        <v>15</v>
      </c>
      <c r="H41" s="14">
        <f t="shared" si="21"/>
        <v>15</v>
      </c>
      <c r="I41" s="14">
        <v>3</v>
      </c>
      <c r="J41" s="14" t="str">
        <f t="shared" si="22"/>
        <v>1532</v>
      </c>
      <c r="K41" s="14" t="str">
        <f t="shared" si="23"/>
        <v>1532</v>
      </c>
      <c r="L41" s="76"/>
      <c r="M41" s="14">
        <f>IF(OR(G41&lt;15,G41=80),0,D_装备升级表!A41)</f>
        <v>15032</v>
      </c>
      <c r="N41" s="78">
        <v>1</v>
      </c>
      <c r="O41" s="14">
        <f t="shared" si="4"/>
        <v>600</v>
      </c>
      <c r="P41" s="14"/>
      <c r="Q41" s="14">
        <f>VLOOKUP($I41&amp;$F41&amp;$G41,装备属性表,装备属性计算表!AL$29,FALSE)</f>
        <v>5</v>
      </c>
      <c r="R41" s="14">
        <f ca="1">VLOOKUP(VLOOKUP($I41&amp;$F41&amp;$G41,装备属性表,装备属性计算表!AM$29,FALSE),定义数据!$B$13:$C$35,2,FALSE)</f>
        <v>3</v>
      </c>
      <c r="S41" s="14">
        <f ca="1">VLOOKUP($I41&amp;$F41&amp;$G41,装备属性表,装备属性计算表!AN$29,FALSE)</f>
        <v>15.600947022530329</v>
      </c>
      <c r="T41" s="14">
        <f ca="1">VLOOKUP(VLOOKUP($I41&amp;$F41&amp;$G41,装备属性表,装备属性计算表!AO$29,FALSE),定义数据!$B$13:$C$35,2,FALSE)</f>
        <v>7</v>
      </c>
      <c r="U41" s="14">
        <f ca="1">VLOOKUP($I41&amp;$F41&amp;$G41,装备属性表,装备属性计算表!AP$29,FALSE)</f>
        <v>23.611111111111114</v>
      </c>
      <c r="V41" s="14">
        <f ca="1">VLOOKUP(VLOOKUP($I41&amp;$F41&amp;$G41,装备属性表,装备属性计算表!AQ$29,FALSE),定义数据!$B$13:$C$35,2,FALSE)</f>
        <v>1</v>
      </c>
      <c r="W41" s="14">
        <f ca="1">VLOOKUP($I41&amp;$F41&amp;$G41,装备属性表,装备属性计算表!AR$29,FALSE)</f>
        <v>111.06145282288159</v>
      </c>
      <c r="X41" s="14">
        <f ca="1">VLOOKUP(VLOOKUP($I41&amp;$F41&amp;$G41,装备属性表,装备属性计算表!AS$29,FALSE),定义数据!$B$13:$C$35,2,FALSE)</f>
        <v>3</v>
      </c>
      <c r="Y41" s="14">
        <f ca="1">VLOOKUP($I41&amp;$F41&amp;$G41,装备属性表,装备属性计算表!AT$29,FALSE)</f>
        <v>2.4376479722703639</v>
      </c>
      <c r="Z41" s="14">
        <f ca="1">VLOOKUP(VLOOKUP($I41&amp;$F41&amp;$G41,装备属性表,装备属性计算表!AU$29,FALSE),定义数据!$B$13:$C$35,2,FALSE)</f>
        <v>7</v>
      </c>
      <c r="AA41" s="14">
        <f ca="1">VLOOKUP($I41&amp;$F41&amp;$G41,装备属性表,装备属性计算表!AV$29,FALSE)</f>
        <v>5.3125000000000018</v>
      </c>
      <c r="AB41" s="14">
        <f ca="1">VLOOKUP(VLOOKUP($I41&amp;$F41&amp;$G41,装备属性表,装备属性计算表!AW$29,FALSE),定义数据!$B$13:$C$35,2,FALSE)</f>
        <v>0</v>
      </c>
      <c r="AC41" s="14">
        <f>VLOOKUP($I41&amp;$F41&amp;$G41,装备属性表,装备属性计算表!AX$29,FALSE)</f>
        <v>0</v>
      </c>
      <c r="AD41" s="14">
        <f ca="1">VLOOKUP(VLOOKUP($I41&amp;$F41&amp;$G41,装备属性表,装备属性计算表!AY$29,FALSE),定义数据!$B$13:$C$35,2,FALSE)</f>
        <v>0</v>
      </c>
      <c r="AE41" s="14">
        <f>VLOOKUP($I41&amp;$F41&amp;$G41,装备属性表,装备属性计算表!AZ$29,FALSE)</f>
        <v>0</v>
      </c>
      <c r="AF41" s="14">
        <f ca="1">VLOOKUP(VLOOKUP($I41&amp;$F41&amp;$G41,装备属性表,装备属性计算表!BA$29,FALSE),定义数据!$B$13:$C$35,2,FALSE)</f>
        <v>0</v>
      </c>
      <c r="AG41" s="14">
        <f>VLOOKUP($I41&amp;$F41&amp;$G41,装备属性表,装备属性计算表!BB$29,FALSE)</f>
        <v>0</v>
      </c>
      <c r="AH41" s="14">
        <f ca="1">VLOOKUP(VLOOKUP($I41&amp;$F41&amp;$G41,装备属性表,装备属性计算表!BC$29,FALSE),定义数据!$B$13:$C$35,2,FALSE)</f>
        <v>0</v>
      </c>
      <c r="AI41" s="14">
        <f>VLOOKUP($I41&amp;$F41&amp;$G41,装备属性表,装备属性计算表!BD$29,FALSE)</f>
        <v>0</v>
      </c>
      <c r="AJ41" s="14">
        <f ca="1">VLOOKUP(VLOOKUP($I41&amp;$F41&amp;$G41,装备属性表,装备属性计算表!BE$29,FALSE),定义数据!$B$13:$C$35,2,FALSE)</f>
        <v>0</v>
      </c>
      <c r="AK41" s="14">
        <f>VLOOKUP($I41&amp;$F41&amp;$G41,装备属性表,装备属性计算表!BF$29,FALSE)</f>
        <v>0</v>
      </c>
      <c r="AL41" t="str">
        <f t="shared" si="17"/>
        <v>鎏金长裤是一件15级橙色可升级的装备。</v>
      </c>
      <c r="AM41" t="str">
        <f>IF(D41=0,5,D41) &amp; F41&amp;"00"&amp;VLOOKUP(G41,定义数据!$F$20:$G$27,2,FALSE)&amp;".png"</f>
        <v>52002.png</v>
      </c>
      <c r="AN41" s="79">
        <f>IF(OR(G41&lt;15),0,D_装备升级表!A41)</f>
        <v>15032</v>
      </c>
      <c r="AP41">
        <f ca="1">VLOOKUP(G41&amp;I41&amp;F41,CHOOSE({1,2},装备属性计算表!$BK$32:$BK$187,装备属性计算表!$BJ$32:$BJ$187),2,FALSE)</f>
        <v>33.259525329938178</v>
      </c>
      <c r="AQ41">
        <f ca="1">AP41*'[1]0、经济设定'!$C$18</f>
        <v>1662.9762664969089</v>
      </c>
      <c r="AR41">
        <f ca="1">IFERROR(AQ41*'[1]0、经济设定'!$E$19*AU41*AS41,0)</f>
        <v>293.06802158401308</v>
      </c>
      <c r="AS41">
        <v>10</v>
      </c>
      <c r="AT41">
        <f t="shared" si="19"/>
        <v>90</v>
      </c>
      <c r="AU41">
        <f ca="1">IF(F41=0,IFERROR(AT41/AP41/'[1]0、经济设定'!$E$18,0),AU40)</f>
        <v>8.8115515382960456</v>
      </c>
      <c r="AV41">
        <f t="shared" ca="1" si="24"/>
        <v>1330.3810131975272</v>
      </c>
    </row>
    <row r="42" spans="1:48" x14ac:dyDescent="0.15">
      <c r="A42" s="14" t="str">
        <f t="shared" si="20"/>
        <v>55306</v>
      </c>
      <c r="B42" s="14" t="s">
        <v>657</v>
      </c>
      <c r="C42" s="14">
        <f>VLOOKUP($I42&amp;$F42&amp;$G42,装备属性表,装备属性计算表!AK$29,FALSE)</f>
        <v>6</v>
      </c>
      <c r="D42" s="14">
        <f t="shared" si="18"/>
        <v>0</v>
      </c>
      <c r="E42" s="14" t="str">
        <f>VLOOKUP(F42,CHOOSE({1,2},定义数据!$F$2:$F$7,武器部位),2)</f>
        <v>鞋子</v>
      </c>
      <c r="F42" s="14">
        <v>5</v>
      </c>
      <c r="G42" s="14">
        <v>15</v>
      </c>
      <c r="H42" s="14">
        <f t="shared" si="21"/>
        <v>15</v>
      </c>
      <c r="I42" s="14">
        <v>3</v>
      </c>
      <c r="J42" s="14" t="str">
        <f t="shared" si="22"/>
        <v>1535</v>
      </c>
      <c r="K42" s="14" t="str">
        <f t="shared" si="23"/>
        <v>1535</v>
      </c>
      <c r="L42" s="76"/>
      <c r="M42" s="14">
        <f>IF(OR(G42&lt;15,G42=80),0,D_装备升级表!A42)</f>
        <v>15035</v>
      </c>
      <c r="N42" s="78">
        <v>1</v>
      </c>
      <c r="O42" s="14">
        <f t="shared" si="4"/>
        <v>600</v>
      </c>
      <c r="P42" s="14"/>
      <c r="Q42" s="14">
        <f>VLOOKUP($I42&amp;$F42&amp;$G42,装备属性表,装备属性计算表!AL$29,FALSE)</f>
        <v>5</v>
      </c>
      <c r="R42" s="14">
        <f ca="1">VLOOKUP(VLOOKUP($I42&amp;$F42&amp;$G42,装备属性表,装备属性计算表!AM$29,FALSE),定义数据!$B$13:$C$35,2,FALSE)</f>
        <v>1</v>
      </c>
      <c r="S42" s="14">
        <f ca="1">VLOOKUP($I42&amp;$F42&amp;$G42,装备属性表,装备属性计算表!AN$29,FALSE)</f>
        <v>355.39664903322108</v>
      </c>
      <c r="T42" s="14">
        <f ca="1">VLOOKUP(VLOOKUP($I42&amp;$F42&amp;$G42,装备属性表,装备属性计算表!AO$29,FALSE),定义数据!$B$13:$C$35,2,FALSE)</f>
        <v>7</v>
      </c>
      <c r="U42" s="14">
        <f ca="1">VLOOKUP($I42&amp;$F42&amp;$G42,装备属性表,装备属性计算表!AP$29,FALSE)</f>
        <v>47.222222222222229</v>
      </c>
      <c r="V42" s="14">
        <f ca="1">VLOOKUP(VLOOKUP($I42&amp;$F42&amp;$G42,装备属性表,装备属性计算表!AQ$29,FALSE),定义数据!$B$13:$C$35,2,FALSE)</f>
        <v>1</v>
      </c>
      <c r="W42" s="14">
        <f ca="1">VLOOKUP($I42&amp;$F42&amp;$G42,装备属性表,装备属性计算表!AR$29,FALSE)</f>
        <v>111.06145282288159</v>
      </c>
      <c r="X42" s="14">
        <f ca="1">VLOOKUP(VLOOKUP($I42&amp;$F42&amp;$G42,装备属性表,装备属性计算表!AS$29,FALSE),定义数据!$B$13:$C$35,2,FALSE)</f>
        <v>7</v>
      </c>
      <c r="Y42" s="14">
        <f ca="1">VLOOKUP($I42&amp;$F42&amp;$G42,装备属性表,装备属性计算表!AT$29,FALSE)</f>
        <v>10.625000000000004</v>
      </c>
      <c r="Z42" s="14">
        <f ca="1">VLOOKUP(VLOOKUP($I42&amp;$F42&amp;$G42,装备属性表,装备属性计算表!AU$29,FALSE),定义数据!$B$13:$C$35,2,FALSE)</f>
        <v>6</v>
      </c>
      <c r="AA42" s="14">
        <f ca="1">VLOOKUP($I42&amp;$F42&amp;$G42,装备属性表,装备属性计算表!AV$29,FALSE)</f>
        <v>8.8541666666666679</v>
      </c>
      <c r="AB42" s="14">
        <f ca="1">VLOOKUP(VLOOKUP($I42&amp;$F42&amp;$G42,装备属性表,装备属性计算表!AW$29,FALSE),定义数据!$B$13:$C$35,2,FALSE)</f>
        <v>0</v>
      </c>
      <c r="AC42" s="14">
        <f>VLOOKUP($I42&amp;$F42&amp;$G42,装备属性表,装备属性计算表!AX$29,FALSE)</f>
        <v>0</v>
      </c>
      <c r="AD42" s="14">
        <f ca="1">VLOOKUP(VLOOKUP($I42&amp;$F42&amp;$G42,装备属性表,装备属性计算表!AY$29,FALSE),定义数据!$B$13:$C$35,2,FALSE)</f>
        <v>0</v>
      </c>
      <c r="AE42" s="14">
        <f>VLOOKUP($I42&amp;$F42&amp;$G42,装备属性表,装备属性计算表!AZ$29,FALSE)</f>
        <v>0</v>
      </c>
      <c r="AF42" s="14">
        <f ca="1">VLOOKUP(VLOOKUP($I42&amp;$F42&amp;$G42,装备属性表,装备属性计算表!BA$29,FALSE),定义数据!$B$13:$C$35,2,FALSE)</f>
        <v>0</v>
      </c>
      <c r="AG42" s="14">
        <f>VLOOKUP($I42&amp;$F42&amp;$G42,装备属性表,装备属性计算表!BB$29,FALSE)</f>
        <v>0</v>
      </c>
      <c r="AH42" s="14">
        <f ca="1">VLOOKUP(VLOOKUP($I42&amp;$F42&amp;$G42,装备属性表,装备属性计算表!BC$29,FALSE),定义数据!$B$13:$C$35,2,FALSE)</f>
        <v>0</v>
      </c>
      <c r="AI42" s="14">
        <f>VLOOKUP($I42&amp;$F42&amp;$G42,装备属性表,装备属性计算表!BD$29,FALSE)</f>
        <v>0</v>
      </c>
      <c r="AJ42" s="14">
        <f ca="1">VLOOKUP(VLOOKUP($I42&amp;$F42&amp;$G42,装备属性表,装备属性计算表!BE$29,FALSE),定义数据!$B$13:$C$35,2,FALSE)</f>
        <v>0</v>
      </c>
      <c r="AK42" s="14">
        <f>VLOOKUP($I42&amp;$F42&amp;$G42,装备属性表,装备属性计算表!BF$29,FALSE)</f>
        <v>0</v>
      </c>
      <c r="AL42" t="str">
        <f t="shared" si="17"/>
        <v>鎏金长靴是一件15级橙色可升级的装备。</v>
      </c>
      <c r="AM42" t="str">
        <f>IF(D42=0,5,D42) &amp; F42&amp;"00"&amp;VLOOKUP(G42,定义数据!$F$20:$G$27,2,FALSE)&amp;".png"</f>
        <v>55002.png</v>
      </c>
      <c r="AN42" s="79">
        <f>IF(OR(G42&lt;15),0,D_装备升级表!A42)</f>
        <v>15035</v>
      </c>
      <c r="AP42">
        <f ca="1">VLOOKUP(G42&amp;I42&amp;F42,CHOOSE({1,2},装备属性计算表!$BK$32:$BK$187,装备属性计算表!$BJ$32:$BJ$187),2,FALSE)</f>
        <v>41.903462963133002</v>
      </c>
      <c r="AQ42">
        <f ca="1">AP42*'[1]0、经济设定'!$C$18</f>
        <v>2095.1731481566503</v>
      </c>
      <c r="AR42">
        <f ca="1">IFERROR(AQ42*'[1]0、经济设定'!$E$19*AU42*AS42,0)</f>
        <v>369.23452353272603</v>
      </c>
      <c r="AS42">
        <v>10</v>
      </c>
      <c r="AT42">
        <f t="shared" ref="AT42:AT49" si="25">MAX(VLOOKUP(I42,$AY$5:$AZ$9,2,FALSE)*G42,1)</f>
        <v>90</v>
      </c>
      <c r="AU42">
        <f ca="1">IF(F42=0,IFERROR(AT42/AP42/'[1]0、经济设定'!$E$18,0),AU41)</f>
        <v>8.8115515382960456</v>
      </c>
      <c r="AV42">
        <f t="shared" ca="1" si="24"/>
        <v>1676.13851852532</v>
      </c>
    </row>
    <row r="43" spans="1:48" x14ac:dyDescent="0.15">
      <c r="A43" s="14" t="str">
        <f t="shared" si="20"/>
        <v>54306</v>
      </c>
      <c r="B43" s="14" t="s">
        <v>658</v>
      </c>
      <c r="C43" s="14">
        <f>VLOOKUP($I43&amp;$F43&amp;$G43,装备属性表,装备属性计算表!AK$29,FALSE)</f>
        <v>6</v>
      </c>
      <c r="D43" s="14">
        <f t="shared" si="18"/>
        <v>0</v>
      </c>
      <c r="E43" s="14" t="str">
        <f>VLOOKUP(F43,CHOOSE({1,2},定义数据!$F$2:$F$7,武器部位),2)</f>
        <v>腰带</v>
      </c>
      <c r="F43" s="14">
        <v>4</v>
      </c>
      <c r="G43" s="14">
        <v>15</v>
      </c>
      <c r="H43" s="14">
        <f t="shared" si="21"/>
        <v>15</v>
      </c>
      <c r="I43" s="14">
        <v>3</v>
      </c>
      <c r="J43" s="14" t="str">
        <f t="shared" si="22"/>
        <v>1534</v>
      </c>
      <c r="K43" s="14" t="str">
        <f t="shared" si="23"/>
        <v>1534</v>
      </c>
      <c r="L43" s="76"/>
      <c r="M43" s="14">
        <f>IF(OR(G43&lt;15,G43=80),0,D_装备升级表!A43)</f>
        <v>15034</v>
      </c>
      <c r="N43" s="78">
        <v>1</v>
      </c>
      <c r="O43" s="14">
        <f t="shared" si="4"/>
        <v>600</v>
      </c>
      <c r="P43" s="14"/>
      <c r="Q43" s="14">
        <f>VLOOKUP($I43&amp;$F43&amp;$G43,装备属性表,装备属性计算表!AL$29,FALSE)</f>
        <v>5</v>
      </c>
      <c r="R43" s="14">
        <f ca="1">VLOOKUP(VLOOKUP($I43&amp;$F43&amp;$G43,装备属性表,装备属性计算表!AM$29,FALSE),定义数据!$B$13:$C$35,2,FALSE)</f>
        <v>1</v>
      </c>
      <c r="S43" s="14">
        <f ca="1">VLOOKUP($I43&amp;$F43&amp;$G43,装备属性表,装备属性计算表!AN$29,FALSE)</f>
        <v>355.39664903322108</v>
      </c>
      <c r="T43" s="14">
        <f ca="1">VLOOKUP(VLOOKUP($I43&amp;$F43&amp;$G43,装备属性表,装备属性计算表!AO$29,FALSE),定义数据!$B$13:$C$35,2,FALSE)</f>
        <v>9</v>
      </c>
      <c r="U43" s="14">
        <f ca="1">VLOOKUP($I43&amp;$F43&amp;$G43,装备属性表,装备属性计算表!AP$29,FALSE)</f>
        <v>41.97530864197531</v>
      </c>
      <c r="V43" s="14">
        <f ca="1">VLOOKUP(VLOOKUP($I43&amp;$F43&amp;$G43,装备属性表,装备属性计算表!AQ$29,FALSE),定义数据!$B$13:$C$35,2,FALSE)</f>
        <v>1</v>
      </c>
      <c r="W43" s="14">
        <f ca="1">VLOOKUP($I43&amp;$F43&amp;$G43,装备属性表,装备属性计算表!AR$29,FALSE)</f>
        <v>222.12290564576318</v>
      </c>
      <c r="X43" s="14">
        <f ca="1">VLOOKUP(VLOOKUP($I43&amp;$F43&amp;$G43,装备属性表,装备属性计算表!AS$29,FALSE),定义数据!$B$13:$C$35,2,FALSE)</f>
        <v>2</v>
      </c>
      <c r="Y43" s="14">
        <f ca="1">VLOOKUP($I43&amp;$F43&amp;$G43,装备属性表,装备属性计算表!AT$29,FALSE)</f>
        <v>6.769361454545459</v>
      </c>
      <c r="Z43" s="14">
        <f ca="1">VLOOKUP(VLOOKUP($I43&amp;$F43&amp;$G43,装备属性表,装备属性计算表!AU$29,FALSE),定义数据!$B$13:$C$35,2,FALSE)</f>
        <v>3</v>
      </c>
      <c r="AA43" s="14">
        <f ca="1">VLOOKUP($I43&amp;$F43&amp;$G43,装备属性表,装备属性计算表!AV$29,FALSE)</f>
        <v>2.4376479722703639</v>
      </c>
      <c r="AB43" s="14">
        <f ca="1">VLOOKUP(VLOOKUP($I43&amp;$F43&amp;$G43,装备属性表,装备属性计算表!AW$29,FALSE),定义数据!$B$13:$C$35,2,FALSE)</f>
        <v>0</v>
      </c>
      <c r="AC43" s="14">
        <f>VLOOKUP($I43&amp;$F43&amp;$G43,装备属性表,装备属性计算表!AX$29,FALSE)</f>
        <v>0</v>
      </c>
      <c r="AD43" s="14">
        <f ca="1">VLOOKUP(VLOOKUP($I43&amp;$F43&amp;$G43,装备属性表,装备属性计算表!AY$29,FALSE),定义数据!$B$13:$C$35,2,FALSE)</f>
        <v>0</v>
      </c>
      <c r="AE43" s="14">
        <f>VLOOKUP($I43&amp;$F43&amp;$G43,装备属性表,装备属性计算表!AZ$29,FALSE)</f>
        <v>0</v>
      </c>
      <c r="AF43" s="14">
        <f ca="1">VLOOKUP(VLOOKUP($I43&amp;$F43&amp;$G43,装备属性表,装备属性计算表!BA$29,FALSE),定义数据!$B$13:$C$35,2,FALSE)</f>
        <v>0</v>
      </c>
      <c r="AG43" s="14">
        <f>VLOOKUP($I43&amp;$F43&amp;$G43,装备属性表,装备属性计算表!BB$29,FALSE)</f>
        <v>0</v>
      </c>
      <c r="AH43" s="14">
        <f ca="1">VLOOKUP(VLOOKUP($I43&amp;$F43&amp;$G43,装备属性表,装备属性计算表!BC$29,FALSE),定义数据!$B$13:$C$35,2,FALSE)</f>
        <v>0</v>
      </c>
      <c r="AI43" s="14">
        <f>VLOOKUP($I43&amp;$F43&amp;$G43,装备属性表,装备属性计算表!BD$29,FALSE)</f>
        <v>0</v>
      </c>
      <c r="AJ43" s="14">
        <f ca="1">VLOOKUP(VLOOKUP($I43&amp;$F43&amp;$G43,装备属性表,装备属性计算表!BE$29,FALSE),定义数据!$B$13:$C$35,2,FALSE)</f>
        <v>0</v>
      </c>
      <c r="AK43" s="14">
        <f>VLOOKUP($I43&amp;$F43&amp;$G43,装备属性表,装备属性计算表!BF$29,FALSE)</f>
        <v>0</v>
      </c>
      <c r="AL43" t="str">
        <f t="shared" si="17"/>
        <v>鎏金腰带是一件15级橙色可升级的装备。</v>
      </c>
      <c r="AM43" t="str">
        <f>IF(D43=0,5,D43) &amp; F43&amp;"00"&amp;VLOOKUP(G43,定义数据!$F$20:$G$27,2,FALSE)&amp;".png"</f>
        <v>54002.png</v>
      </c>
      <c r="AN43" s="79">
        <f>IF(OR(G43&lt;15),0,D_装备升级表!A43)</f>
        <v>15034</v>
      </c>
      <c r="AP43">
        <f ca="1">VLOOKUP(G43&amp;I43&amp;F43,CHOOSE({1,2},装备属性计算表!$BK$32:$BK$187,装备属性计算表!$BJ$32:$BJ$187),2,FALSE)</f>
        <v>40.807791613975198</v>
      </c>
      <c r="AQ43">
        <f ca="1">AP43*'[1]0、经济设定'!$C$18</f>
        <v>2040.3895806987598</v>
      </c>
      <c r="AR43">
        <f ca="1">IFERROR(AQ43*'[1]0、经济设定'!$E$19*AU43*AS43,0)</f>
        <v>359.57995897058765</v>
      </c>
      <c r="AS43">
        <v>10</v>
      </c>
      <c r="AT43">
        <f t="shared" si="25"/>
        <v>90</v>
      </c>
      <c r="AU43">
        <f ca="1">IF(F43=0,IFERROR(AT43/AP43/'[1]0、经济设定'!$E$18,0),AU42)</f>
        <v>8.8115515382960456</v>
      </c>
      <c r="AV43">
        <f t="shared" ca="1" si="24"/>
        <v>1632.311664559008</v>
      </c>
    </row>
    <row r="44" spans="1:48" x14ac:dyDescent="0.15">
      <c r="A44" s="14" t="str">
        <f t="shared" si="20"/>
        <v>53306</v>
      </c>
      <c r="B44" s="14" t="s">
        <v>659</v>
      </c>
      <c r="C44" s="14">
        <f>VLOOKUP($I44&amp;$F44&amp;$G44,装备属性表,装备属性计算表!AK$29,FALSE)</f>
        <v>6</v>
      </c>
      <c r="D44" s="14">
        <f t="shared" si="18"/>
        <v>0</v>
      </c>
      <c r="E44" s="14" t="str">
        <f>VLOOKUP(F44,CHOOSE({1,2},定义数据!$F$2:$F$7,武器部位),2)</f>
        <v>项链</v>
      </c>
      <c r="F44" s="14">
        <v>3</v>
      </c>
      <c r="G44" s="14">
        <v>15</v>
      </c>
      <c r="H44" s="14">
        <f t="shared" si="21"/>
        <v>15</v>
      </c>
      <c r="I44" s="14">
        <v>3</v>
      </c>
      <c r="J44" s="14" t="str">
        <f t="shared" si="22"/>
        <v>1533</v>
      </c>
      <c r="K44" s="14" t="str">
        <f t="shared" si="23"/>
        <v>1533</v>
      </c>
      <c r="L44" s="76"/>
      <c r="M44" s="14">
        <f>IF(OR(G44&lt;15,G44=80),0,D_装备升级表!A44)</f>
        <v>15033</v>
      </c>
      <c r="N44" s="78">
        <v>1</v>
      </c>
      <c r="O44" s="14">
        <f t="shared" si="4"/>
        <v>600</v>
      </c>
      <c r="P44" s="14"/>
      <c r="Q44" s="14">
        <f>VLOOKUP($I44&amp;$F44&amp;$G44,装备属性表,装备属性计算表!AL$29,FALSE)</f>
        <v>5</v>
      </c>
      <c r="R44" s="14">
        <f ca="1">VLOOKUP(VLOOKUP($I44&amp;$F44&amp;$G44,装备属性表,装备属性计算表!AM$29,FALSE),定义数据!$B$13:$C$35,2,FALSE)</f>
        <v>2</v>
      </c>
      <c r="S44" s="14">
        <f ca="1">VLOOKUP($I44&amp;$F44&amp;$G44,装备属性表,装备属性计算表!AN$29,FALSE)</f>
        <v>22.564538181818193</v>
      </c>
      <c r="T44" s="14">
        <f ca="1">VLOOKUP(VLOOKUP($I44&amp;$F44&amp;$G44,装备属性表,装备属性计算表!AO$29,FALSE),定义数据!$B$13:$C$35,2,FALSE)</f>
        <v>6</v>
      </c>
      <c r="U44" s="14">
        <f ca="1">VLOOKUP($I44&amp;$F44&amp;$G44,装备属性表,装备属性计算表!AP$29,FALSE)</f>
        <v>70.833333333333343</v>
      </c>
      <c r="V44" s="14">
        <f ca="1">VLOOKUP(VLOOKUP($I44&amp;$F44&amp;$G44,装备属性表,装备属性计算表!AQ$29,FALSE),定义数据!$B$13:$C$35,2,FALSE)</f>
        <v>2</v>
      </c>
      <c r="W44" s="14">
        <f ca="1">VLOOKUP($I44&amp;$F44&amp;$G44,装备属性表,装备属性计算表!AR$29,FALSE)</f>
        <v>6.769361454545459</v>
      </c>
      <c r="X44" s="14">
        <f ca="1">VLOOKUP(VLOOKUP($I44&amp;$F44&amp;$G44,装备属性表,装备属性计算表!AS$29,FALSE),定义数据!$B$13:$C$35,2,FALSE)</f>
        <v>7</v>
      </c>
      <c r="Y44" s="14">
        <f ca="1">VLOOKUP($I44&amp;$F44&amp;$G44,装备属性表,装备属性计算表!AT$29,FALSE)</f>
        <v>5.3125000000000018</v>
      </c>
      <c r="Z44" s="14">
        <f ca="1">VLOOKUP(VLOOKUP($I44&amp;$F44&amp;$G44,装备属性表,装备属性计算表!AU$29,FALSE),定义数据!$B$13:$C$35,2,FALSE)</f>
        <v>6</v>
      </c>
      <c r="AA44" s="14">
        <f ca="1">VLOOKUP($I44&amp;$F44&amp;$G44,装备属性表,装备属性计算表!AV$29,FALSE)</f>
        <v>8.8541666666666679</v>
      </c>
      <c r="AB44" s="14">
        <f ca="1">VLOOKUP(VLOOKUP($I44&amp;$F44&amp;$G44,装备属性表,装备属性计算表!AW$29,FALSE),定义数据!$B$13:$C$35,2,FALSE)</f>
        <v>0</v>
      </c>
      <c r="AC44" s="14">
        <f>VLOOKUP($I44&amp;$F44&amp;$G44,装备属性表,装备属性计算表!AX$29,FALSE)</f>
        <v>0</v>
      </c>
      <c r="AD44" s="14">
        <f ca="1">VLOOKUP(VLOOKUP($I44&amp;$F44&amp;$G44,装备属性表,装备属性计算表!AY$29,FALSE),定义数据!$B$13:$C$35,2,FALSE)</f>
        <v>0</v>
      </c>
      <c r="AE44" s="14">
        <f>VLOOKUP($I44&amp;$F44&amp;$G44,装备属性表,装备属性计算表!AZ$29,FALSE)</f>
        <v>0</v>
      </c>
      <c r="AF44" s="14">
        <f ca="1">VLOOKUP(VLOOKUP($I44&amp;$F44&amp;$G44,装备属性表,装备属性计算表!BA$29,FALSE),定义数据!$B$13:$C$35,2,FALSE)</f>
        <v>0</v>
      </c>
      <c r="AG44" s="14">
        <f>VLOOKUP($I44&amp;$F44&amp;$G44,装备属性表,装备属性计算表!BB$29,FALSE)</f>
        <v>0</v>
      </c>
      <c r="AH44" s="14">
        <f ca="1">VLOOKUP(VLOOKUP($I44&amp;$F44&amp;$G44,装备属性表,装备属性计算表!BC$29,FALSE),定义数据!$B$13:$C$35,2,FALSE)</f>
        <v>0</v>
      </c>
      <c r="AI44" s="14">
        <f>VLOOKUP($I44&amp;$F44&amp;$G44,装备属性表,装备属性计算表!BD$29,FALSE)</f>
        <v>0</v>
      </c>
      <c r="AJ44" s="14">
        <f ca="1">VLOOKUP(VLOOKUP($I44&amp;$F44&amp;$G44,装备属性表,装备属性计算表!BE$29,FALSE),定义数据!$B$13:$C$35,2,FALSE)</f>
        <v>0</v>
      </c>
      <c r="AK44" s="14">
        <f>VLOOKUP($I44&amp;$F44&amp;$G44,装备属性表,装备属性计算表!BF$29,FALSE)</f>
        <v>0</v>
      </c>
      <c r="AL44" t="str">
        <f t="shared" si="17"/>
        <v>鎏金项链是一件15级橙色可升级的装备。</v>
      </c>
      <c r="AM44" t="str">
        <f>IF(D44=0,5,D44) &amp; F44&amp;"00"&amp;VLOOKUP(G44,定义数据!$F$20:$G$27,2,FALSE)&amp;".png"</f>
        <v>53002.png</v>
      </c>
      <c r="AN44" s="79">
        <f>IF(OR(G44&lt;15),0,D_装备升级表!A44)</f>
        <v>15033</v>
      </c>
      <c r="AP44">
        <f ca="1">VLOOKUP(G44&amp;I44&amp;F44,CHOOSE({1,2},装备属性计算表!$BK$32:$BK$187,装备属性计算表!$BJ$32:$BJ$187),2,FALSE)</f>
        <v>59.367232969697</v>
      </c>
      <c r="AQ44">
        <f ca="1">AP44*'[1]0、经济设定'!$C$18</f>
        <v>2968.3616484848499</v>
      </c>
      <c r="AR44">
        <f ca="1">IFERROR(AQ44*'[1]0、经济设定'!$E$19*AU44*AS44,0)</f>
        <v>523.11743299851332</v>
      </c>
      <c r="AS44">
        <v>10</v>
      </c>
      <c r="AT44">
        <f t="shared" si="25"/>
        <v>90</v>
      </c>
      <c r="AU44">
        <f ca="1">IF(F44=0,IFERROR(AT44/AP44/'[1]0、经济设定'!$E$18,0),AU43)</f>
        <v>8.8115515382960456</v>
      </c>
      <c r="AV44">
        <f t="shared" ca="1" si="24"/>
        <v>2374.68931878788</v>
      </c>
    </row>
    <row r="45" spans="1:48" x14ac:dyDescent="0.15">
      <c r="A45" s="14" t="str">
        <f t="shared" ref="A45:A52" si="26">IF(D45=0,D45+5&amp;F45&amp;I45&amp;IF(C45&lt;10,"0"&amp;C45,C45),D45&amp;F45&amp;I45&amp;IF(C45&lt;10,"0"&amp;C45,C45))</f>
        <v>10407</v>
      </c>
      <c r="B45" s="14" t="s">
        <v>660</v>
      </c>
      <c r="C45" s="14">
        <f>VLOOKUP($I45&amp;$F45&amp;$G45,装备属性表,装备属性计算表!AK$29,FALSE)</f>
        <v>7</v>
      </c>
      <c r="D45" s="14">
        <f t="shared" si="18"/>
        <v>1</v>
      </c>
      <c r="E45" s="14" t="str">
        <f>VLOOKUP(F45,CHOOSE({1,2},定义数据!$F$2:$F$7,武器部位),2)</f>
        <v>武器</v>
      </c>
      <c r="F45" s="14">
        <v>0</v>
      </c>
      <c r="G45" s="14">
        <v>15</v>
      </c>
      <c r="H45" s="14">
        <f t="shared" ref="H45:H52" si="27">G45</f>
        <v>15</v>
      </c>
      <c r="I45" s="14">
        <v>4</v>
      </c>
      <c r="J45" s="14" t="str">
        <f t="shared" ref="J45:J52" si="28">G45&amp;I45&amp;F45</f>
        <v>1540</v>
      </c>
      <c r="K45" s="14" t="str">
        <f t="shared" ref="K45:K52" si="29">G45&amp;I45&amp;F45</f>
        <v>1540</v>
      </c>
      <c r="L45" s="76"/>
      <c r="M45" s="14">
        <f>IF(OR(G45&lt;15,G45=80),0,D_装备升级表!A45)</f>
        <v>15140</v>
      </c>
      <c r="N45" s="78">
        <v>1</v>
      </c>
      <c r="O45" s="14">
        <f t="shared" si="4"/>
        <v>700</v>
      </c>
      <c r="P45" s="14"/>
      <c r="Q45" s="14">
        <f>VLOOKUP($I45&amp;$F45&amp;$G45,装备属性表,装备属性计算表!AL$29,FALSE)</f>
        <v>6</v>
      </c>
      <c r="R45" s="14">
        <f ca="1">VLOOKUP(VLOOKUP($I45&amp;$F45&amp;$G45,装备属性表,装备属性计算表!AM$29,FALSE),定义数据!$B$13:$C$35,2,FALSE)</f>
        <v>2</v>
      </c>
      <c r="S45" s="14">
        <f ca="1">VLOOKUP($I45&amp;$F45&amp;$G45,装备属性表,装备属性计算表!AN$29,FALSE)</f>
        <v>69.684603208556155</v>
      </c>
      <c r="T45" s="14">
        <f ca="1">VLOOKUP(VLOOKUP($I45&amp;$F45&amp;$G45,装备属性表,装备属性计算表!AO$29,FALSE),定义数据!$B$13:$C$35,2,FALSE)</f>
        <v>8</v>
      </c>
      <c r="U45" s="14">
        <f ca="1">VLOOKUP($I45&amp;$F45&amp;$G45,装备属性表,装备属性计算表!AP$29,FALSE)</f>
        <v>43.20987654320988</v>
      </c>
      <c r="V45" s="14">
        <f ca="1">VLOOKUP(VLOOKUP($I45&amp;$F45&amp;$G45,装备属性表,装备属性计算表!AQ$29,FALSE),定义数据!$B$13:$C$35,2,FALSE)</f>
        <v>2</v>
      </c>
      <c r="W45" s="14">
        <f ca="1">VLOOKUP($I45&amp;$F45&amp;$G45,装备属性表,装备属性计算表!AR$29,FALSE)</f>
        <v>31.855818609625675</v>
      </c>
      <c r="X45" s="14">
        <f ca="1">VLOOKUP(VLOOKUP($I45&amp;$F45&amp;$G45,装备属性表,装备属性计算表!AS$29,FALSE),定义数据!$B$13:$C$35,2,FALSE)</f>
        <v>3</v>
      </c>
      <c r="Y45" s="14">
        <f ca="1">VLOOKUP($I45&amp;$F45&amp;$G45,装备属性表,装备属性计算表!AT$29,FALSE)</f>
        <v>3.8237615251299832</v>
      </c>
      <c r="Z45" s="14">
        <f ca="1">VLOOKUP(VLOOKUP($I45&amp;$F45&amp;$G45,装备属性表,装备属性计算表!AU$29,FALSE),定义数据!$B$13:$C$35,2,FALSE)</f>
        <v>6</v>
      </c>
      <c r="AA45" s="14">
        <f ca="1">VLOOKUP($I45&amp;$F45&amp;$G45,装备属性表,装备属性计算表!AV$29,FALSE)</f>
        <v>13.888888888888889</v>
      </c>
      <c r="AB45" s="14">
        <f ca="1">VLOOKUP(VLOOKUP($I45&amp;$F45&amp;$G45,装备属性表,装备属性计算表!AW$29,FALSE),定义数据!$B$13:$C$35,2,FALSE)</f>
        <v>8</v>
      </c>
      <c r="AC45" s="14">
        <f ca="1">VLOOKUP($I45&amp;$F45&amp;$G45,装备属性表,装备属性计算表!AX$29,FALSE)</f>
        <v>9.8765432098765444</v>
      </c>
      <c r="AD45" s="14">
        <f ca="1">VLOOKUP(VLOOKUP($I45&amp;$F45&amp;$G45,装备属性表,装备属性计算表!AY$29,FALSE),定义数据!$B$13:$C$35,2,FALSE)</f>
        <v>0</v>
      </c>
      <c r="AE45" s="14">
        <f>VLOOKUP($I45&amp;$F45&amp;$G45,装备属性表,装备属性计算表!AZ$29,FALSE)</f>
        <v>0</v>
      </c>
      <c r="AF45" s="14">
        <f ca="1">VLOOKUP(VLOOKUP($I45&amp;$F45&amp;$G45,装备属性表,装备属性计算表!BA$29,FALSE),定义数据!$B$13:$C$35,2,FALSE)</f>
        <v>0</v>
      </c>
      <c r="AG45" s="14">
        <f>VLOOKUP($I45&amp;$F45&amp;$G45,装备属性表,装备属性计算表!BB$29,FALSE)</f>
        <v>0</v>
      </c>
      <c r="AH45" s="14">
        <f ca="1">VLOOKUP(VLOOKUP($I45&amp;$F45&amp;$G45,装备属性表,装备属性计算表!BC$29,FALSE),定义数据!$B$13:$C$35,2,FALSE)</f>
        <v>0</v>
      </c>
      <c r="AI45" s="14">
        <f>VLOOKUP($I45&amp;$F45&amp;$G45,装备属性表,装备属性计算表!BD$29,FALSE)</f>
        <v>0</v>
      </c>
      <c r="AJ45" s="14">
        <f ca="1">VLOOKUP(VLOOKUP($I45&amp;$F45&amp;$G45,装备属性表,装备属性计算表!BE$29,FALSE),定义数据!$B$13:$C$35,2,FALSE)</f>
        <v>0</v>
      </c>
      <c r="AK45" s="14">
        <f>VLOOKUP($I45&amp;$F45&amp;$G45,装备属性表,装备属性计算表!BF$29,FALSE)</f>
        <v>0</v>
      </c>
      <c r="AL45" t="str">
        <f t="shared" si="17"/>
        <v>虹光之剑是一件15级红色可升级的装备。</v>
      </c>
      <c r="AM45" t="str">
        <f>IF(D45=0,5,D45) &amp; F45&amp;"00"&amp;VLOOKUP(G45,定义数据!$F$20:$G$27,2,FALSE)&amp;".png"</f>
        <v>10002.png</v>
      </c>
      <c r="AN45" s="79">
        <f>IF(OR(G45&lt;15),0,D_装备升级表!A45)</f>
        <v>15140</v>
      </c>
      <c r="AP45">
        <f ca="1">VLOOKUP(G45&amp;I45&amp;F45,CHOOSE({1,2},装备属性计算表!$BK$32:$BK$187,装备属性计算表!$BJ$32:$BJ$187),2,FALSE)</f>
        <v>119.64196112108959</v>
      </c>
      <c r="AQ45">
        <f ca="1">AP45*'[1]0、经济设定'!$C$18</f>
        <v>5982.0980560544795</v>
      </c>
      <c r="AR45">
        <f ca="1">IFERROR(AQ45*'[1]0、经济设定'!$E$19*AU45*AS45,0)</f>
        <v>1500</v>
      </c>
      <c r="AS45">
        <v>10</v>
      </c>
      <c r="AT45">
        <f t="shared" si="25"/>
        <v>150</v>
      </c>
      <c r="AU45">
        <f ca="1">IF(F45=0,IFERROR(AT45/AP45/'[1]0、经济设定'!$E$18,0),AU44)</f>
        <v>12.537407327198945</v>
      </c>
      <c r="AV45">
        <f t="shared" ref="AV45:AV52" ca="1" si="30">AP45*40</f>
        <v>4785.6784448435837</v>
      </c>
    </row>
    <row r="46" spans="1:48" x14ac:dyDescent="0.15">
      <c r="A46" s="14" t="str">
        <f t="shared" si="26"/>
        <v>20407</v>
      </c>
      <c r="B46" s="14" t="s">
        <v>661</v>
      </c>
      <c r="C46" s="14">
        <f>VLOOKUP($I46&amp;$F46&amp;$G46,装备属性表,装备属性计算表!AK$29,FALSE)</f>
        <v>7</v>
      </c>
      <c r="D46" s="14">
        <f t="shared" si="18"/>
        <v>2</v>
      </c>
      <c r="E46" s="14" t="str">
        <f>VLOOKUP(F46,CHOOSE({1,2},定义数据!$F$2:$F$7,武器部位),2)</f>
        <v>武器</v>
      </c>
      <c r="F46" s="14">
        <v>0</v>
      </c>
      <c r="G46" s="14">
        <v>15</v>
      </c>
      <c r="H46" s="14">
        <f t="shared" si="27"/>
        <v>15</v>
      </c>
      <c r="I46" s="14">
        <v>4</v>
      </c>
      <c r="J46" s="14" t="str">
        <f t="shared" si="28"/>
        <v>1540</v>
      </c>
      <c r="K46" s="14" t="str">
        <f t="shared" si="29"/>
        <v>1540</v>
      </c>
      <c r="L46" s="76"/>
      <c r="M46" s="14">
        <f>IF(OR(G46&lt;15,G46=80),0,D_装备升级表!A46)</f>
        <v>15240</v>
      </c>
      <c r="N46" s="78">
        <v>1</v>
      </c>
      <c r="O46" s="14">
        <f t="shared" si="4"/>
        <v>700</v>
      </c>
      <c r="P46" s="14"/>
      <c r="Q46" s="14">
        <f>VLOOKUP($I46&amp;$F46&amp;$G46,装备属性表,装备属性计算表!AL$29,FALSE)</f>
        <v>6</v>
      </c>
      <c r="R46" s="14">
        <f ca="1">VLOOKUP(VLOOKUP($I46&amp;$F46&amp;$G46,装备属性表,装备属性计算表!AM$29,FALSE),定义数据!$B$13:$C$35,2,FALSE)</f>
        <v>2</v>
      </c>
      <c r="S46" s="14">
        <f ca="1">VLOOKUP($I46&amp;$F46&amp;$G46,装备属性表,装备属性计算表!AN$29,FALSE)</f>
        <v>69.684603208556155</v>
      </c>
      <c r="T46" s="14">
        <f ca="1">VLOOKUP(VLOOKUP($I46&amp;$F46&amp;$G46,装备属性表,装备属性计算表!AO$29,FALSE),定义数据!$B$13:$C$35,2,FALSE)</f>
        <v>8</v>
      </c>
      <c r="U46" s="14">
        <f ca="1">VLOOKUP($I46&amp;$F46&amp;$G46,装备属性表,装备属性计算表!AP$29,FALSE)</f>
        <v>43.20987654320988</v>
      </c>
      <c r="V46" s="14">
        <f ca="1">VLOOKUP(VLOOKUP($I46&amp;$F46&amp;$G46,装备属性表,装备属性计算表!AQ$29,FALSE),定义数据!$B$13:$C$35,2,FALSE)</f>
        <v>2</v>
      </c>
      <c r="W46" s="14">
        <f ca="1">VLOOKUP($I46&amp;$F46&amp;$G46,装备属性表,装备属性计算表!AR$29,FALSE)</f>
        <v>31.855818609625675</v>
      </c>
      <c r="X46" s="14">
        <f ca="1">VLOOKUP(VLOOKUP($I46&amp;$F46&amp;$G46,装备属性表,装备属性计算表!AS$29,FALSE),定义数据!$B$13:$C$35,2,FALSE)</f>
        <v>3</v>
      </c>
      <c r="Y46" s="14">
        <f ca="1">VLOOKUP($I46&amp;$F46&amp;$G46,装备属性表,装备属性计算表!AT$29,FALSE)</f>
        <v>3.8237615251299832</v>
      </c>
      <c r="Z46" s="14">
        <f ca="1">VLOOKUP(VLOOKUP($I46&amp;$F46&amp;$G46,装备属性表,装备属性计算表!AU$29,FALSE),定义数据!$B$13:$C$35,2,FALSE)</f>
        <v>6</v>
      </c>
      <c r="AA46" s="14">
        <f ca="1">VLOOKUP($I46&amp;$F46&amp;$G46,装备属性表,装备属性计算表!AV$29,FALSE)</f>
        <v>13.888888888888889</v>
      </c>
      <c r="AB46" s="14">
        <f ca="1">VLOOKUP(VLOOKUP($I46&amp;$F46&amp;$G46,装备属性表,装备属性计算表!AW$29,FALSE),定义数据!$B$13:$C$35,2,FALSE)</f>
        <v>8</v>
      </c>
      <c r="AC46" s="14">
        <f ca="1">VLOOKUP($I46&amp;$F46&amp;$G46,装备属性表,装备属性计算表!AX$29,FALSE)</f>
        <v>9.8765432098765444</v>
      </c>
      <c r="AD46" s="14">
        <f ca="1">VLOOKUP(VLOOKUP($I46&amp;$F46&amp;$G46,装备属性表,装备属性计算表!AY$29,FALSE),定义数据!$B$13:$C$35,2,FALSE)</f>
        <v>0</v>
      </c>
      <c r="AE46" s="14">
        <f>VLOOKUP($I46&amp;$F46&amp;$G46,装备属性表,装备属性计算表!AZ$29,FALSE)</f>
        <v>0</v>
      </c>
      <c r="AF46" s="14">
        <f ca="1">VLOOKUP(VLOOKUP($I46&amp;$F46&amp;$G46,装备属性表,装备属性计算表!BA$29,FALSE),定义数据!$B$13:$C$35,2,FALSE)</f>
        <v>0</v>
      </c>
      <c r="AG46" s="14">
        <f>VLOOKUP($I46&amp;$F46&amp;$G46,装备属性表,装备属性计算表!BB$29,FALSE)</f>
        <v>0</v>
      </c>
      <c r="AH46" s="14">
        <f ca="1">VLOOKUP(VLOOKUP($I46&amp;$F46&amp;$G46,装备属性表,装备属性计算表!BC$29,FALSE),定义数据!$B$13:$C$35,2,FALSE)</f>
        <v>0</v>
      </c>
      <c r="AI46" s="14">
        <f>VLOOKUP($I46&amp;$F46&amp;$G46,装备属性表,装备属性计算表!BD$29,FALSE)</f>
        <v>0</v>
      </c>
      <c r="AJ46" s="14">
        <f ca="1">VLOOKUP(VLOOKUP($I46&amp;$F46&amp;$G46,装备属性表,装备属性计算表!BE$29,FALSE),定义数据!$B$13:$C$35,2,FALSE)</f>
        <v>0</v>
      </c>
      <c r="AK46" s="14">
        <f>VLOOKUP($I46&amp;$F46&amp;$G46,装备属性表,装备属性计算表!BF$29,FALSE)</f>
        <v>0</v>
      </c>
      <c r="AL46" t="str">
        <f t="shared" si="17"/>
        <v>虹光之拳是一件15级红色可升级的装备。</v>
      </c>
      <c r="AM46" t="str">
        <f>IF(D46=0,5,D46) &amp; F46&amp;"00"&amp;VLOOKUP(G46,定义数据!$F$20:$G$27,2,FALSE)&amp;".png"</f>
        <v>20002.png</v>
      </c>
      <c r="AN46" s="79">
        <f>IF(OR(G46&lt;15),0,D_装备升级表!A46)</f>
        <v>15240</v>
      </c>
      <c r="AP46">
        <f ca="1">VLOOKUP(G46&amp;I46&amp;F46,CHOOSE({1,2},装备属性计算表!$BK$32:$BK$187,装备属性计算表!$BJ$32:$BJ$187),2,FALSE)</f>
        <v>119.64196112108959</v>
      </c>
      <c r="AQ46">
        <f ca="1">AP46*'[1]0、经济设定'!$C$18</f>
        <v>5982.0980560544795</v>
      </c>
      <c r="AR46">
        <f ca="1">IFERROR(AQ46*'[1]0、经济设定'!$E$19*AU46*AS46,0)</f>
        <v>1500</v>
      </c>
      <c r="AS46">
        <v>10</v>
      </c>
      <c r="AT46">
        <f t="shared" si="25"/>
        <v>150</v>
      </c>
      <c r="AU46">
        <f ca="1">IF(F46=0,IFERROR(AT46/AP46/'[1]0、经济设定'!$E$18,0),AU45)</f>
        <v>12.537407327198945</v>
      </c>
      <c r="AV46">
        <f t="shared" ca="1" si="30"/>
        <v>4785.6784448435837</v>
      </c>
    </row>
    <row r="47" spans="1:48" x14ac:dyDescent="0.15">
      <c r="A47" s="14" t="str">
        <f t="shared" si="26"/>
        <v>30407</v>
      </c>
      <c r="B47" s="14" t="s">
        <v>662</v>
      </c>
      <c r="C47" s="14">
        <f>VLOOKUP($I47&amp;$F47&amp;$G47,装备属性表,装备属性计算表!AK$29,FALSE)</f>
        <v>7</v>
      </c>
      <c r="D47" s="14">
        <f t="shared" si="18"/>
        <v>3</v>
      </c>
      <c r="E47" s="14" t="str">
        <f>VLOOKUP(F47,CHOOSE({1,2},定义数据!$F$2:$F$7,武器部位),2)</f>
        <v>武器</v>
      </c>
      <c r="F47" s="14">
        <v>0</v>
      </c>
      <c r="G47" s="14">
        <v>15</v>
      </c>
      <c r="H47" s="14">
        <f t="shared" si="27"/>
        <v>15</v>
      </c>
      <c r="I47" s="14">
        <v>4</v>
      </c>
      <c r="J47" s="14" t="str">
        <f t="shared" si="28"/>
        <v>1540</v>
      </c>
      <c r="K47" s="14" t="str">
        <f t="shared" si="29"/>
        <v>1540</v>
      </c>
      <c r="L47" s="76"/>
      <c r="M47" s="14">
        <f>IF(OR(G47&lt;15,G47=80),0,D_装备升级表!A47)</f>
        <v>15340</v>
      </c>
      <c r="N47" s="78">
        <v>1</v>
      </c>
      <c r="O47" s="14">
        <f t="shared" si="4"/>
        <v>700</v>
      </c>
      <c r="P47" s="14"/>
      <c r="Q47" s="14">
        <f>VLOOKUP($I47&amp;$F47&amp;$G47,装备属性表,装备属性计算表!AL$29,FALSE)</f>
        <v>6</v>
      </c>
      <c r="R47" s="14">
        <f ca="1">VLOOKUP(VLOOKUP($I47&amp;$F47&amp;$G47,装备属性表,装备属性计算表!AM$29,FALSE),定义数据!$B$13:$C$35,2,FALSE)</f>
        <v>2</v>
      </c>
      <c r="S47" s="14">
        <f ca="1">VLOOKUP($I47&amp;$F47&amp;$G47,装备属性表,装备属性计算表!AN$29,FALSE)</f>
        <v>69.684603208556155</v>
      </c>
      <c r="T47" s="14">
        <f ca="1">VLOOKUP(VLOOKUP($I47&amp;$F47&amp;$G47,装备属性表,装备属性计算表!AO$29,FALSE),定义数据!$B$13:$C$35,2,FALSE)</f>
        <v>8</v>
      </c>
      <c r="U47" s="14">
        <f ca="1">VLOOKUP($I47&amp;$F47&amp;$G47,装备属性表,装备属性计算表!AP$29,FALSE)</f>
        <v>43.20987654320988</v>
      </c>
      <c r="V47" s="14">
        <f ca="1">VLOOKUP(VLOOKUP($I47&amp;$F47&amp;$G47,装备属性表,装备属性计算表!AQ$29,FALSE),定义数据!$B$13:$C$35,2,FALSE)</f>
        <v>2</v>
      </c>
      <c r="W47" s="14">
        <f ca="1">VLOOKUP($I47&amp;$F47&amp;$G47,装备属性表,装备属性计算表!AR$29,FALSE)</f>
        <v>31.855818609625675</v>
      </c>
      <c r="X47" s="14">
        <f ca="1">VLOOKUP(VLOOKUP($I47&amp;$F47&amp;$G47,装备属性表,装备属性计算表!AS$29,FALSE),定义数据!$B$13:$C$35,2,FALSE)</f>
        <v>3</v>
      </c>
      <c r="Y47" s="14">
        <f ca="1">VLOOKUP($I47&amp;$F47&amp;$G47,装备属性表,装备属性计算表!AT$29,FALSE)</f>
        <v>3.8237615251299832</v>
      </c>
      <c r="Z47" s="14">
        <f ca="1">VLOOKUP(VLOOKUP($I47&amp;$F47&amp;$G47,装备属性表,装备属性计算表!AU$29,FALSE),定义数据!$B$13:$C$35,2,FALSE)</f>
        <v>6</v>
      </c>
      <c r="AA47" s="14">
        <f ca="1">VLOOKUP($I47&amp;$F47&amp;$G47,装备属性表,装备属性计算表!AV$29,FALSE)</f>
        <v>13.888888888888889</v>
      </c>
      <c r="AB47" s="14">
        <f ca="1">VLOOKUP(VLOOKUP($I47&amp;$F47&amp;$G47,装备属性表,装备属性计算表!AW$29,FALSE),定义数据!$B$13:$C$35,2,FALSE)</f>
        <v>8</v>
      </c>
      <c r="AC47" s="14">
        <f ca="1">VLOOKUP($I47&amp;$F47&amp;$G47,装备属性表,装备属性计算表!AX$29,FALSE)</f>
        <v>9.8765432098765444</v>
      </c>
      <c r="AD47" s="14">
        <f ca="1">VLOOKUP(VLOOKUP($I47&amp;$F47&amp;$G47,装备属性表,装备属性计算表!AY$29,FALSE),定义数据!$B$13:$C$35,2,FALSE)</f>
        <v>0</v>
      </c>
      <c r="AE47" s="14">
        <f>VLOOKUP($I47&amp;$F47&amp;$G47,装备属性表,装备属性计算表!AZ$29,FALSE)</f>
        <v>0</v>
      </c>
      <c r="AF47" s="14">
        <f ca="1">VLOOKUP(VLOOKUP($I47&amp;$F47&amp;$G47,装备属性表,装备属性计算表!BA$29,FALSE),定义数据!$B$13:$C$35,2,FALSE)</f>
        <v>0</v>
      </c>
      <c r="AG47" s="14">
        <f>VLOOKUP($I47&amp;$F47&amp;$G47,装备属性表,装备属性计算表!BB$29,FALSE)</f>
        <v>0</v>
      </c>
      <c r="AH47" s="14">
        <f ca="1">VLOOKUP(VLOOKUP($I47&amp;$F47&amp;$G47,装备属性表,装备属性计算表!BC$29,FALSE),定义数据!$B$13:$C$35,2,FALSE)</f>
        <v>0</v>
      </c>
      <c r="AI47" s="14">
        <f>VLOOKUP($I47&amp;$F47&amp;$G47,装备属性表,装备属性计算表!BD$29,FALSE)</f>
        <v>0</v>
      </c>
      <c r="AJ47" s="14">
        <f ca="1">VLOOKUP(VLOOKUP($I47&amp;$F47&amp;$G47,装备属性表,装备属性计算表!BE$29,FALSE),定义数据!$B$13:$C$35,2,FALSE)</f>
        <v>0</v>
      </c>
      <c r="AK47" s="14">
        <f>VLOOKUP($I47&amp;$F47&amp;$G47,装备属性表,装备属性计算表!BF$29,FALSE)</f>
        <v>0</v>
      </c>
      <c r="AL47" t="str">
        <f t="shared" si="17"/>
        <v>虹光之枪是一件15级红色可升级的装备。</v>
      </c>
      <c r="AM47" t="str">
        <f>IF(D47=0,5,D47) &amp; F47&amp;"00"&amp;VLOOKUP(G47,定义数据!$F$20:$G$27,2,FALSE)&amp;".png"</f>
        <v>30002.png</v>
      </c>
      <c r="AN47" s="79">
        <f>IF(OR(G47&lt;15),0,D_装备升级表!A47)</f>
        <v>15340</v>
      </c>
      <c r="AP47">
        <f ca="1">VLOOKUP(G47&amp;I47&amp;F47,CHOOSE({1,2},装备属性计算表!$BK$32:$BK$187,装备属性计算表!$BJ$32:$BJ$187),2,FALSE)</f>
        <v>119.64196112108959</v>
      </c>
      <c r="AQ47">
        <f ca="1">AP47*'[1]0、经济设定'!$C$18</f>
        <v>5982.0980560544795</v>
      </c>
      <c r="AR47">
        <f ca="1">IFERROR(AQ47*'[1]0、经济设定'!$E$19*AU47*AS47,0)</f>
        <v>1500</v>
      </c>
      <c r="AS47">
        <v>10</v>
      </c>
      <c r="AT47">
        <f t="shared" si="25"/>
        <v>150</v>
      </c>
      <c r="AU47">
        <f ca="1">IF(F47=0,IFERROR(AT47/AP47/'[1]0、经济设定'!$E$18,0),AU46)</f>
        <v>12.537407327198945</v>
      </c>
      <c r="AV47">
        <f t="shared" ca="1" si="30"/>
        <v>4785.6784448435837</v>
      </c>
    </row>
    <row r="48" spans="1:48" x14ac:dyDescent="0.15">
      <c r="A48" s="14" t="str">
        <f t="shared" si="26"/>
        <v>51407</v>
      </c>
      <c r="B48" s="14" t="s">
        <v>663</v>
      </c>
      <c r="C48" s="14">
        <f>VLOOKUP($I48&amp;$F48&amp;$G48,装备属性表,装备属性计算表!AK$29,FALSE)</f>
        <v>7</v>
      </c>
      <c r="D48" s="14">
        <f t="shared" si="18"/>
        <v>0</v>
      </c>
      <c r="E48" s="14" t="str">
        <f>VLOOKUP(F48,CHOOSE({1,2},定义数据!$F$2:$F$7,武器部位),2)</f>
        <v>衣服</v>
      </c>
      <c r="F48" s="14">
        <v>1</v>
      </c>
      <c r="G48" s="14">
        <v>15</v>
      </c>
      <c r="H48" s="14">
        <f t="shared" si="27"/>
        <v>15</v>
      </c>
      <c r="I48" s="14">
        <v>4</v>
      </c>
      <c r="J48" s="14" t="str">
        <f t="shared" si="28"/>
        <v>1541</v>
      </c>
      <c r="K48" s="14" t="str">
        <f t="shared" si="29"/>
        <v>1541</v>
      </c>
      <c r="L48" s="76"/>
      <c r="M48" s="14">
        <f>IF(OR(G48&lt;15,G48=80),0,D_装备升级表!A48)</f>
        <v>15041</v>
      </c>
      <c r="N48" s="78">
        <v>1</v>
      </c>
      <c r="O48" s="14">
        <f t="shared" si="4"/>
        <v>700</v>
      </c>
      <c r="P48" s="14"/>
      <c r="Q48" s="14">
        <f>VLOOKUP($I48&amp;$F48&amp;$G48,装备属性表,装备属性计算表!AL$29,FALSE)</f>
        <v>6</v>
      </c>
      <c r="R48" s="14">
        <f ca="1">VLOOKUP(VLOOKUP($I48&amp;$F48&amp;$G48,装备属性表,装备属性计算表!AM$29,FALSE),定义数据!$B$13:$C$35,2,FALSE)</f>
        <v>1</v>
      </c>
      <c r="S48" s="14">
        <f ca="1">VLOOKUP($I48&amp;$F48&amp;$G48,装备属性表,装备属性计算表!AN$29,FALSE)</f>
        <v>1097.5484749555353</v>
      </c>
      <c r="T48" s="14">
        <f ca="1">VLOOKUP(VLOOKUP($I48&amp;$F48&amp;$G48,装备属性表,装备属性计算表!AO$29,FALSE),定义数据!$B$13:$C$35,2,FALSE)</f>
        <v>3</v>
      </c>
      <c r="U48" s="14">
        <f ca="1">VLOOKUP($I48&amp;$F48&amp;$G48,装备属性表,装备属性计算表!AP$29,FALSE)</f>
        <v>24.089697608318893</v>
      </c>
      <c r="V48" s="14">
        <f ca="1">VLOOKUP(VLOOKUP($I48&amp;$F48&amp;$G48,装备属性表,装备属性计算表!AQ$29,FALSE),定义数据!$B$13:$C$35,2,FALSE)</f>
        <v>1</v>
      </c>
      <c r="W48" s="14">
        <f ca="1">VLOOKUP($I48&amp;$F48&amp;$G48,装备属性表,装备属性计算表!AR$29,FALSE)</f>
        <v>348.42808728747156</v>
      </c>
      <c r="X48" s="14">
        <f ca="1">VLOOKUP(VLOOKUP($I48&amp;$F48&amp;$G48,装备属性表,装备属性计算表!AS$29,FALSE),定义数据!$B$13:$C$35,2,FALSE)</f>
        <v>3</v>
      </c>
      <c r="Y48" s="14">
        <f ca="1">VLOOKUP($I48&amp;$F48&amp;$G48,装备属性表,装备属性计算表!AT$29,FALSE)</f>
        <v>11.471284575389951</v>
      </c>
      <c r="Z48" s="14">
        <f ca="1">VLOOKUP(VLOOKUP($I48&amp;$F48&amp;$G48,装备属性表,装备属性计算表!AU$29,FALSE),定义数据!$B$13:$C$35,2,FALSE)</f>
        <v>7</v>
      </c>
      <c r="AA48" s="14">
        <f ca="1">VLOOKUP($I48&amp;$F48&amp;$G48,装备属性表,装备属性计算表!AV$29,FALSE)</f>
        <v>8.3333333333333339</v>
      </c>
      <c r="AB48" s="14">
        <f ca="1">VLOOKUP(VLOOKUP($I48&amp;$F48&amp;$G48,装备属性表,装备属性计算表!AW$29,FALSE),定义数据!$B$13:$C$35,2,FALSE)</f>
        <v>9</v>
      </c>
      <c r="AC48" s="14">
        <f ca="1">VLOOKUP($I48&amp;$F48&amp;$G48,装备属性表,装备属性计算表!AX$29,FALSE)</f>
        <v>8.230452674897121</v>
      </c>
      <c r="AD48" s="14">
        <f ca="1">VLOOKUP(VLOOKUP($I48&amp;$F48&amp;$G48,装备属性表,装备属性计算表!AY$29,FALSE),定义数据!$B$13:$C$35,2,FALSE)</f>
        <v>0</v>
      </c>
      <c r="AE48" s="14">
        <f>VLOOKUP($I48&amp;$F48&amp;$G48,装备属性表,装备属性计算表!AZ$29,FALSE)</f>
        <v>0</v>
      </c>
      <c r="AF48" s="14">
        <f ca="1">VLOOKUP(VLOOKUP($I48&amp;$F48&amp;$G48,装备属性表,装备属性计算表!BA$29,FALSE),定义数据!$B$13:$C$35,2,FALSE)</f>
        <v>0</v>
      </c>
      <c r="AG48" s="14">
        <f>VLOOKUP($I48&amp;$F48&amp;$G48,装备属性表,装备属性计算表!BB$29,FALSE)</f>
        <v>0</v>
      </c>
      <c r="AH48" s="14">
        <f ca="1">VLOOKUP(VLOOKUP($I48&amp;$F48&amp;$G48,装备属性表,装备属性计算表!BC$29,FALSE),定义数据!$B$13:$C$35,2,FALSE)</f>
        <v>0</v>
      </c>
      <c r="AI48" s="14">
        <f>VLOOKUP($I48&amp;$F48&amp;$G48,装备属性表,装备属性计算表!BD$29,FALSE)</f>
        <v>0</v>
      </c>
      <c r="AJ48" s="14">
        <f ca="1">VLOOKUP(VLOOKUP($I48&amp;$F48&amp;$G48,装备属性表,装备属性计算表!BE$29,FALSE),定义数据!$B$13:$C$35,2,FALSE)</f>
        <v>0</v>
      </c>
      <c r="AK48" s="14">
        <f>VLOOKUP($I48&amp;$F48&amp;$G48,装备属性表,装备属性计算表!BF$29,FALSE)</f>
        <v>0</v>
      </c>
      <c r="AL48" t="str">
        <f t="shared" si="17"/>
        <v>虹光战衣是一件15级红色可升级的装备。</v>
      </c>
      <c r="AM48" t="str">
        <f>IF(D48=0,5,D48) &amp; F48&amp;"00"&amp;VLOOKUP(G48,定义数据!$F$20:$G$27,2,FALSE)&amp;".png"</f>
        <v>51002.png</v>
      </c>
      <c r="AN48" s="79">
        <f>IF(OR(G48&lt;15),0,D_装备升级表!A48)</f>
        <v>15041</v>
      </c>
      <c r="AP48">
        <f ca="1">VLOOKUP(G48&amp;I48&amp;F48,CHOOSE({1,2},装备属性计算表!$BK$32:$BK$187,装备属性计算表!$BJ$32:$BJ$187),2,FALSE)</f>
        <v>97.714859488243945</v>
      </c>
      <c r="AQ48">
        <f ca="1">AP48*'[1]0、经济设定'!$C$18</f>
        <v>4885.7429744121973</v>
      </c>
      <c r="AR48">
        <f ca="1">IFERROR(AQ48*'[1]0、经济设定'!$E$19*AU48*AS48,0)</f>
        <v>1225.0909953241251</v>
      </c>
      <c r="AS48">
        <v>10</v>
      </c>
      <c r="AT48">
        <f t="shared" si="25"/>
        <v>150</v>
      </c>
      <c r="AU48">
        <f ca="1">IF(F48=0,IFERROR(AT48/AP48/'[1]0、经济设定'!$E$18,0),AU47)</f>
        <v>12.537407327198945</v>
      </c>
      <c r="AV48">
        <f t="shared" ca="1" si="30"/>
        <v>3908.594379529758</v>
      </c>
    </row>
    <row r="49" spans="1:48" x14ac:dyDescent="0.15">
      <c r="A49" s="14" t="str">
        <f t="shared" si="26"/>
        <v>52407</v>
      </c>
      <c r="B49" s="14" t="s">
        <v>664</v>
      </c>
      <c r="C49" s="14">
        <f>VLOOKUP($I49&amp;$F49&amp;$G49,装备属性表,装备属性计算表!AK$29,FALSE)</f>
        <v>7</v>
      </c>
      <c r="D49" s="14">
        <f t="shared" si="18"/>
        <v>0</v>
      </c>
      <c r="E49" s="14" t="str">
        <f>VLOOKUP(F49,CHOOSE({1,2},定义数据!$F$2:$F$7,武器部位),2)</f>
        <v>裤子</v>
      </c>
      <c r="F49" s="14">
        <v>2</v>
      </c>
      <c r="G49" s="14">
        <v>15</v>
      </c>
      <c r="H49" s="14">
        <f t="shared" si="27"/>
        <v>15</v>
      </c>
      <c r="I49" s="14">
        <v>4</v>
      </c>
      <c r="J49" s="14" t="str">
        <f t="shared" si="28"/>
        <v>1542</v>
      </c>
      <c r="K49" s="14" t="str">
        <f t="shared" si="29"/>
        <v>1542</v>
      </c>
      <c r="L49" s="76"/>
      <c r="M49" s="14">
        <f>IF(OR(G49&lt;15,G49=80),0,D_装备升级表!A49)</f>
        <v>15042</v>
      </c>
      <c r="N49" s="78">
        <v>1</v>
      </c>
      <c r="O49" s="14">
        <f t="shared" si="4"/>
        <v>700</v>
      </c>
      <c r="P49" s="14"/>
      <c r="Q49" s="14">
        <f>VLOOKUP($I49&amp;$F49&amp;$G49,装备属性表,装备属性计算表!AL$29,FALSE)</f>
        <v>6</v>
      </c>
      <c r="R49" s="14">
        <f ca="1">VLOOKUP(VLOOKUP($I49&amp;$F49&amp;$G49,装备属性表,装备属性计算表!AM$29,FALSE),定义数据!$B$13:$C$35,2,FALSE)</f>
        <v>3</v>
      </c>
      <c r="S49" s="14">
        <f ca="1">VLOOKUP($I49&amp;$F49&amp;$G49,装备属性表,装备属性计算表!AN$29,FALSE)</f>
        <v>16.05979840554593</v>
      </c>
      <c r="T49" s="14">
        <f ca="1">VLOOKUP(VLOOKUP($I49&amp;$F49&amp;$G49,装备属性表,装备属性计算表!AO$29,FALSE),定义数据!$B$13:$C$35,2,FALSE)</f>
        <v>7</v>
      </c>
      <c r="U49" s="14">
        <f ca="1">VLOOKUP($I49&amp;$F49&amp;$G49,装备属性表,装备属性计算表!AP$29,FALSE)</f>
        <v>24.305555555555554</v>
      </c>
      <c r="V49" s="14">
        <f ca="1">VLOOKUP(VLOOKUP($I49&amp;$F49&amp;$G49,装备属性表,装备属性计算表!AQ$29,FALSE),定义数据!$B$13:$C$35,2,FALSE)</f>
        <v>1</v>
      </c>
      <c r="W49" s="14">
        <f ca="1">VLOOKUP($I49&amp;$F49&amp;$G49,装备属性表,装备属性计算表!AR$29,FALSE)</f>
        <v>174.21404364373578</v>
      </c>
      <c r="X49" s="14">
        <f ca="1">VLOOKUP(VLOOKUP($I49&amp;$F49&amp;$G49,装备属性表,装备属性计算表!AS$29,FALSE),定义数据!$B$13:$C$35,2,FALSE)</f>
        <v>3</v>
      </c>
      <c r="Y49" s="14">
        <f ca="1">VLOOKUP($I49&amp;$F49&amp;$G49,装备属性表,装备属性计算表!AT$29,FALSE)</f>
        <v>3.8237615251299832</v>
      </c>
      <c r="Z49" s="14">
        <f ca="1">VLOOKUP(VLOOKUP($I49&amp;$F49&amp;$G49,装备属性表,装备属性计算表!AU$29,FALSE),定义数据!$B$13:$C$35,2,FALSE)</f>
        <v>7</v>
      </c>
      <c r="AA49" s="14">
        <f ca="1">VLOOKUP($I49&amp;$F49&amp;$G49,装备属性表,装备属性计算表!AV$29,FALSE)</f>
        <v>8.3333333333333339</v>
      </c>
      <c r="AB49" s="14">
        <f ca="1">VLOOKUP(VLOOKUP($I49&amp;$F49&amp;$G49,装备属性表,装备属性计算表!AW$29,FALSE),定义数据!$B$13:$C$35,2,FALSE)</f>
        <v>9</v>
      </c>
      <c r="AC49" s="14">
        <f ca="1">VLOOKUP($I49&amp;$F49&amp;$G49,装备属性表,装备属性计算表!AX$29,FALSE)</f>
        <v>8.230452674897121</v>
      </c>
      <c r="AD49" s="14">
        <f ca="1">VLOOKUP(VLOOKUP($I49&amp;$F49&amp;$G49,装备属性表,装备属性计算表!AY$29,FALSE),定义数据!$B$13:$C$35,2,FALSE)</f>
        <v>0</v>
      </c>
      <c r="AE49" s="14">
        <f>VLOOKUP($I49&amp;$F49&amp;$G49,装备属性表,装备属性计算表!AZ$29,FALSE)</f>
        <v>0</v>
      </c>
      <c r="AF49" s="14">
        <f ca="1">VLOOKUP(VLOOKUP($I49&amp;$F49&amp;$G49,装备属性表,装备属性计算表!BA$29,FALSE),定义数据!$B$13:$C$35,2,FALSE)</f>
        <v>0</v>
      </c>
      <c r="AG49" s="14">
        <f>VLOOKUP($I49&amp;$F49&amp;$G49,装备属性表,装备属性计算表!BB$29,FALSE)</f>
        <v>0</v>
      </c>
      <c r="AH49" s="14">
        <f ca="1">VLOOKUP(VLOOKUP($I49&amp;$F49&amp;$G49,装备属性表,装备属性计算表!BC$29,FALSE),定义数据!$B$13:$C$35,2,FALSE)</f>
        <v>0</v>
      </c>
      <c r="AI49" s="14">
        <f>VLOOKUP($I49&amp;$F49&amp;$G49,装备属性表,装备属性计算表!BD$29,FALSE)</f>
        <v>0</v>
      </c>
      <c r="AJ49" s="14">
        <f ca="1">VLOOKUP(VLOOKUP($I49&amp;$F49&amp;$G49,装备属性表,装备属性计算表!BE$29,FALSE),定义数据!$B$13:$C$35,2,FALSE)</f>
        <v>0</v>
      </c>
      <c r="AK49" s="14">
        <f>VLOOKUP($I49&amp;$F49&amp;$G49,装备属性表,装备属性计算表!BF$29,FALSE)</f>
        <v>0</v>
      </c>
      <c r="AL49" t="str">
        <f t="shared" si="17"/>
        <v>虹光长裤是一件15级红色可升级的装备。</v>
      </c>
      <c r="AM49" t="str">
        <f>IF(D49=0,5,D49) &amp; F49&amp;"00"&amp;VLOOKUP(G49,定义数据!$F$20:$G$27,2,FALSE)&amp;".png"</f>
        <v>52002.png</v>
      </c>
      <c r="AN49" s="79">
        <f>IF(OR(G49&lt;15),0,D_装备升级表!A49)</f>
        <v>15042</v>
      </c>
      <c r="AP49">
        <f ca="1">VLOOKUP(G49&amp;I49&amp;F49,CHOOSE({1,2},装备属性计算表!$BK$32:$BK$187,装备属性计算表!$BJ$32:$BJ$187),2,FALSE)</f>
        <v>39.43082538012905</v>
      </c>
      <c r="AQ49">
        <f ca="1">AP49*'[1]0、经济设定'!$C$18</f>
        <v>1971.5412690064525</v>
      </c>
      <c r="AR49">
        <f ca="1">IFERROR(AQ49*'[1]0、经济设定'!$E$19*AU49*AS49,0)</f>
        <v>494.36031903833202</v>
      </c>
      <c r="AS49">
        <v>10</v>
      </c>
      <c r="AT49">
        <f t="shared" si="25"/>
        <v>150</v>
      </c>
      <c r="AU49">
        <f ca="1">IF(F49=0,IFERROR(AT49/AP49/'[1]0、经济设定'!$E$18,0),AU48)</f>
        <v>12.537407327198945</v>
      </c>
      <c r="AV49">
        <f t="shared" ca="1" si="30"/>
        <v>1577.233015205162</v>
      </c>
    </row>
    <row r="50" spans="1:48" x14ac:dyDescent="0.15">
      <c r="A50" s="14" t="str">
        <f t="shared" si="26"/>
        <v>55407</v>
      </c>
      <c r="B50" s="14" t="s">
        <v>665</v>
      </c>
      <c r="C50" s="14">
        <f>VLOOKUP($I50&amp;$F50&amp;$G50,装备属性表,装备属性计算表!AK$29,FALSE)</f>
        <v>7</v>
      </c>
      <c r="D50" s="14">
        <f t="shared" si="18"/>
        <v>0</v>
      </c>
      <c r="E50" s="14" t="str">
        <f>VLOOKUP(F50,CHOOSE({1,2},定义数据!$F$2:$F$7,武器部位),2)</f>
        <v>鞋子</v>
      </c>
      <c r="F50" s="14">
        <v>5</v>
      </c>
      <c r="G50" s="14">
        <v>15</v>
      </c>
      <c r="H50" s="14">
        <f t="shared" si="27"/>
        <v>15</v>
      </c>
      <c r="I50" s="14">
        <v>4</v>
      </c>
      <c r="J50" s="14" t="str">
        <f t="shared" si="28"/>
        <v>1545</v>
      </c>
      <c r="K50" s="14" t="str">
        <f t="shared" si="29"/>
        <v>1545</v>
      </c>
      <c r="L50" s="76"/>
      <c r="M50" s="14">
        <f>IF(OR(G50&lt;15,G50=80),0,D_装备升级表!A50)</f>
        <v>15045</v>
      </c>
      <c r="N50" s="78">
        <v>1</v>
      </c>
      <c r="O50" s="14">
        <f t="shared" si="4"/>
        <v>700</v>
      </c>
      <c r="P50" s="14"/>
      <c r="Q50" s="14">
        <f>VLOOKUP($I50&amp;$F50&amp;$G50,装备属性表,装备属性计算表!AL$29,FALSE)</f>
        <v>6</v>
      </c>
      <c r="R50" s="14">
        <f ca="1">VLOOKUP(VLOOKUP($I50&amp;$F50&amp;$G50,装备属性表,装备属性计算表!AM$29,FALSE),定义数据!$B$13:$C$35,2,FALSE)</f>
        <v>1</v>
      </c>
      <c r="S50" s="14">
        <f ca="1">VLOOKUP($I50&amp;$F50&amp;$G50,装备属性表,装备属性计算表!AN$29,FALSE)</f>
        <v>365.84949165184514</v>
      </c>
      <c r="T50" s="14">
        <f ca="1">VLOOKUP(VLOOKUP($I50&amp;$F50&amp;$G50,装备属性表,装备属性计算表!AO$29,FALSE),定义数据!$B$13:$C$35,2,FALSE)</f>
        <v>7</v>
      </c>
      <c r="U50" s="14">
        <f ca="1">VLOOKUP($I50&amp;$F50&amp;$G50,装备属性表,装备属性计算表!AP$29,FALSE)</f>
        <v>48.611111111111107</v>
      </c>
      <c r="V50" s="14">
        <f ca="1">VLOOKUP(VLOOKUP($I50&amp;$F50&amp;$G50,装备属性表,装备属性计算表!AQ$29,FALSE),定义数据!$B$13:$C$35,2,FALSE)</f>
        <v>1</v>
      </c>
      <c r="W50" s="14">
        <f ca="1">VLOOKUP($I50&amp;$F50&amp;$G50,装备属性表,装备属性计算表!AR$29,FALSE)</f>
        <v>174.21404364373578</v>
      </c>
      <c r="X50" s="14">
        <f ca="1">VLOOKUP(VLOOKUP($I50&amp;$F50&amp;$G50,装备属性表,装备属性计算表!AS$29,FALSE),定义数据!$B$13:$C$35,2,FALSE)</f>
        <v>7</v>
      </c>
      <c r="Y50" s="14">
        <f ca="1">VLOOKUP($I50&amp;$F50&amp;$G50,装备属性表,装备属性计算表!AT$29,FALSE)</f>
        <v>16.666666666666668</v>
      </c>
      <c r="Z50" s="14">
        <f ca="1">VLOOKUP(VLOOKUP($I50&amp;$F50&amp;$G50,装备属性表,装备属性计算表!AU$29,FALSE),定义数据!$B$13:$C$35,2,FALSE)</f>
        <v>6</v>
      </c>
      <c r="AA50" s="14">
        <f ca="1">VLOOKUP($I50&amp;$F50&amp;$G50,装备属性表,装备属性计算表!AV$29,FALSE)</f>
        <v>13.888888888888889</v>
      </c>
      <c r="AB50" s="14">
        <f ca="1">VLOOKUP(VLOOKUP($I50&amp;$F50&amp;$G50,装备属性表,装备属性计算表!AW$29,FALSE),定义数据!$B$13:$C$35,2,FALSE)</f>
        <v>8</v>
      </c>
      <c r="AC50" s="14">
        <f ca="1">VLOOKUP($I50&amp;$F50&amp;$G50,装备属性表,装备属性计算表!AX$29,FALSE)</f>
        <v>4.9382716049382722</v>
      </c>
      <c r="AD50" s="14">
        <f ca="1">VLOOKUP(VLOOKUP($I50&amp;$F50&amp;$G50,装备属性表,装备属性计算表!AY$29,FALSE),定义数据!$B$13:$C$35,2,FALSE)</f>
        <v>0</v>
      </c>
      <c r="AE50" s="14">
        <f>VLOOKUP($I50&amp;$F50&amp;$G50,装备属性表,装备属性计算表!AZ$29,FALSE)</f>
        <v>0</v>
      </c>
      <c r="AF50" s="14">
        <f ca="1">VLOOKUP(VLOOKUP($I50&amp;$F50&amp;$G50,装备属性表,装备属性计算表!BA$29,FALSE),定义数据!$B$13:$C$35,2,FALSE)</f>
        <v>0</v>
      </c>
      <c r="AG50" s="14">
        <f>VLOOKUP($I50&amp;$F50&amp;$G50,装备属性表,装备属性计算表!BB$29,FALSE)</f>
        <v>0</v>
      </c>
      <c r="AH50" s="14">
        <f ca="1">VLOOKUP(VLOOKUP($I50&amp;$F50&amp;$G50,装备属性表,装备属性计算表!BC$29,FALSE),定义数据!$B$13:$C$35,2,FALSE)</f>
        <v>0</v>
      </c>
      <c r="AI50" s="14">
        <f>VLOOKUP($I50&amp;$F50&amp;$G50,装备属性表,装备属性计算表!BD$29,FALSE)</f>
        <v>0</v>
      </c>
      <c r="AJ50" s="14">
        <f ca="1">VLOOKUP(VLOOKUP($I50&amp;$F50&amp;$G50,装备属性表,装备属性计算表!BE$29,FALSE),定义数据!$B$13:$C$35,2,FALSE)</f>
        <v>0</v>
      </c>
      <c r="AK50" s="14">
        <f>VLOOKUP($I50&amp;$F50&amp;$G50,装备属性表,装备属性计算表!BF$29,FALSE)</f>
        <v>0</v>
      </c>
      <c r="AL50" t="str">
        <f t="shared" si="17"/>
        <v>虹光长靴是一件15级红色可升级的装备。</v>
      </c>
      <c r="AM50" t="str">
        <f>IF(D50=0,5,D50) &amp; F50&amp;"00"&amp;VLOOKUP(G50,定义数据!$F$20:$G$27,2,FALSE)&amp;".png"</f>
        <v>55002.png</v>
      </c>
      <c r="AN50" s="79">
        <f>IF(OR(G50&lt;15),0,D_装备升级表!A50)</f>
        <v>15045</v>
      </c>
      <c r="AP50">
        <f ca="1">VLOOKUP(G50&amp;I50&amp;F50,CHOOSE({1,2},装备属性计算表!$BK$32:$BK$187,装备属性计算表!$BJ$32:$BJ$187),2,FALSE)</f>
        <v>49.408096967378796</v>
      </c>
      <c r="AQ50">
        <f ca="1">AP50*'[1]0、经济设定'!$C$18</f>
        <v>2470.4048483689398</v>
      </c>
      <c r="AR50">
        <f ca="1">IFERROR(AQ50*'[1]0、经济设定'!$E$19*AU50*AS50,0)</f>
        <v>619.44943694177095</v>
      </c>
      <c r="AS50">
        <v>10</v>
      </c>
      <c r="AT50">
        <f t="shared" ref="AT50:AT52" si="31">MAX(VLOOKUP(I50,$AY$5:$AZ$9,2,FALSE)*G50,1)</f>
        <v>150</v>
      </c>
      <c r="AU50">
        <f ca="1">IF(F50=0,IFERROR(AT50/AP50/'[1]0、经济设定'!$E$18,0),AU49)</f>
        <v>12.537407327198945</v>
      </c>
      <c r="AV50">
        <f t="shared" ca="1" si="30"/>
        <v>1976.323878695152</v>
      </c>
    </row>
    <row r="51" spans="1:48" x14ac:dyDescent="0.15">
      <c r="A51" s="14" t="str">
        <f t="shared" si="26"/>
        <v>54407</v>
      </c>
      <c r="B51" s="14" t="s">
        <v>666</v>
      </c>
      <c r="C51" s="14">
        <f>VLOOKUP($I51&amp;$F51&amp;$G51,装备属性表,装备属性计算表!AK$29,FALSE)</f>
        <v>7</v>
      </c>
      <c r="D51" s="14">
        <f t="shared" si="18"/>
        <v>0</v>
      </c>
      <c r="E51" s="14" t="str">
        <f>VLOOKUP(F51,CHOOSE({1,2},定义数据!$F$2:$F$7,武器部位),2)</f>
        <v>腰带</v>
      </c>
      <c r="F51" s="14">
        <v>4</v>
      </c>
      <c r="G51" s="14">
        <v>15</v>
      </c>
      <c r="H51" s="14">
        <f t="shared" si="27"/>
        <v>15</v>
      </c>
      <c r="I51" s="14">
        <v>4</v>
      </c>
      <c r="J51" s="14" t="str">
        <f t="shared" si="28"/>
        <v>1544</v>
      </c>
      <c r="K51" s="14" t="str">
        <f t="shared" si="29"/>
        <v>1544</v>
      </c>
      <c r="L51" s="76"/>
      <c r="M51" s="14">
        <f>IF(OR(G51&lt;15,G51=80),0,D_装备升级表!A51)</f>
        <v>15044</v>
      </c>
      <c r="N51" s="78">
        <v>1</v>
      </c>
      <c r="O51" s="14">
        <f t="shared" si="4"/>
        <v>700</v>
      </c>
      <c r="P51" s="14"/>
      <c r="Q51" s="14">
        <f>VLOOKUP($I51&amp;$F51&amp;$G51,装备属性表,装备属性计算表!AL$29,FALSE)</f>
        <v>6</v>
      </c>
      <c r="R51" s="14">
        <f ca="1">VLOOKUP(VLOOKUP($I51&amp;$F51&amp;$G51,装备属性表,装备属性计算表!AM$29,FALSE),定义数据!$B$13:$C$35,2,FALSE)</f>
        <v>1</v>
      </c>
      <c r="S51" s="14">
        <f ca="1">VLOOKUP($I51&amp;$F51&amp;$G51,装备属性表,装备属性计算表!AN$29,FALSE)</f>
        <v>365.84949165184514</v>
      </c>
      <c r="T51" s="14">
        <f ca="1">VLOOKUP(VLOOKUP($I51&amp;$F51&amp;$G51,装备属性表,装备属性计算表!AO$29,FALSE),定义数据!$B$13:$C$35,2,FALSE)</f>
        <v>9</v>
      </c>
      <c r="U51" s="14">
        <f ca="1">VLOOKUP($I51&amp;$F51&amp;$G51,装备属性表,装备属性计算表!AP$29,FALSE)</f>
        <v>43.20987654320988</v>
      </c>
      <c r="V51" s="14">
        <f ca="1">VLOOKUP(VLOOKUP($I51&amp;$F51&amp;$G51,装备属性表,装备属性计算表!AQ$29,FALSE),定义数据!$B$13:$C$35,2,FALSE)</f>
        <v>1</v>
      </c>
      <c r="W51" s="14">
        <f ca="1">VLOOKUP($I51&amp;$F51&amp;$G51,装备属性表,装备属性计算表!AR$29,FALSE)</f>
        <v>348.42808728747156</v>
      </c>
      <c r="X51" s="14">
        <f ca="1">VLOOKUP(VLOOKUP($I51&amp;$F51&amp;$G51,装备属性表,装备属性计算表!AS$29,FALSE),定义数据!$B$13:$C$35,2,FALSE)</f>
        <v>2</v>
      </c>
      <c r="Y51" s="14">
        <f ca="1">VLOOKUP($I51&amp;$F51&amp;$G51,装备属性表,装备属性计算表!AT$29,FALSE)</f>
        <v>10.618606203208559</v>
      </c>
      <c r="Z51" s="14">
        <f ca="1">VLOOKUP(VLOOKUP($I51&amp;$F51&amp;$G51,装备属性表,装备属性计算表!AU$29,FALSE),定义数据!$B$13:$C$35,2,FALSE)</f>
        <v>3</v>
      </c>
      <c r="AA51" s="14">
        <f ca="1">VLOOKUP($I51&amp;$F51&amp;$G51,装备属性表,装备属性计算表!AV$29,FALSE)</f>
        <v>3.8237615251299832</v>
      </c>
      <c r="AB51" s="14">
        <f ca="1">VLOOKUP(VLOOKUP($I51&amp;$F51&amp;$G51,装备属性表,装备属性计算表!AW$29,FALSE),定义数据!$B$13:$C$35,2,FALSE)</f>
        <v>9</v>
      </c>
      <c r="AC51" s="14">
        <f ca="1">VLOOKUP($I51&amp;$F51&amp;$G51,装备属性表,装备属性计算表!AX$29,FALSE)</f>
        <v>8.230452674897121</v>
      </c>
      <c r="AD51" s="14">
        <f ca="1">VLOOKUP(VLOOKUP($I51&amp;$F51&amp;$G51,装备属性表,装备属性计算表!AY$29,FALSE),定义数据!$B$13:$C$35,2,FALSE)</f>
        <v>0</v>
      </c>
      <c r="AE51" s="14">
        <f>VLOOKUP($I51&amp;$F51&amp;$G51,装备属性表,装备属性计算表!AZ$29,FALSE)</f>
        <v>0</v>
      </c>
      <c r="AF51" s="14">
        <f ca="1">VLOOKUP(VLOOKUP($I51&amp;$F51&amp;$G51,装备属性表,装备属性计算表!BA$29,FALSE),定义数据!$B$13:$C$35,2,FALSE)</f>
        <v>0</v>
      </c>
      <c r="AG51" s="14">
        <f>VLOOKUP($I51&amp;$F51&amp;$G51,装备属性表,装备属性计算表!BB$29,FALSE)</f>
        <v>0</v>
      </c>
      <c r="AH51" s="14">
        <f ca="1">VLOOKUP(VLOOKUP($I51&amp;$F51&amp;$G51,装备属性表,装备属性计算表!BC$29,FALSE),定义数据!$B$13:$C$35,2,FALSE)</f>
        <v>0</v>
      </c>
      <c r="AI51" s="14">
        <f>VLOOKUP($I51&amp;$F51&amp;$G51,装备属性表,装备属性计算表!BD$29,FALSE)</f>
        <v>0</v>
      </c>
      <c r="AJ51" s="14">
        <f ca="1">VLOOKUP(VLOOKUP($I51&amp;$F51&amp;$G51,装备属性表,装备属性计算表!BE$29,FALSE),定义数据!$B$13:$C$35,2,FALSE)</f>
        <v>0</v>
      </c>
      <c r="AK51" s="14">
        <f>VLOOKUP($I51&amp;$F51&amp;$G51,装备属性表,装备属性计算表!BF$29,FALSE)</f>
        <v>0</v>
      </c>
      <c r="AL51" t="str">
        <f t="shared" si="17"/>
        <v>虹光腰带是一件15级红色可升级的装备。</v>
      </c>
      <c r="AM51" t="str">
        <f>IF(D51=0,5,D51) &amp; F51&amp;"00"&amp;VLOOKUP(G51,定义数据!$F$20:$G$27,2,FALSE)&amp;".png"</f>
        <v>54002.png</v>
      </c>
      <c r="AN51" s="79">
        <f>IF(OR(G51&lt;15),0,D_装备升级表!A51)</f>
        <v>15044</v>
      </c>
      <c r="AP51">
        <f ca="1">VLOOKUP(G51&amp;I51&amp;F51,CHOOSE({1,2},装备属性计算表!$BK$32:$BK$187,装备属性计算表!$BJ$32:$BJ$187),2,FALSE)</f>
        <v>52.27273014517047</v>
      </c>
      <c r="AQ51">
        <f ca="1">AP51*'[1]0、经济设定'!$C$18</f>
        <v>2613.6365072585236</v>
      </c>
      <c r="AR51">
        <f ca="1">IFERROR(AQ51*'[1]0、经济设定'!$E$19*AU51*AS51,0)</f>
        <v>655.36450993475341</v>
      </c>
      <c r="AS51">
        <v>10</v>
      </c>
      <c r="AT51">
        <f t="shared" si="31"/>
        <v>150</v>
      </c>
      <c r="AU51">
        <f ca="1">IF(F51=0,IFERROR(AT51/AP51/'[1]0、经济设定'!$E$18,0),AU50)</f>
        <v>12.537407327198945</v>
      </c>
      <c r="AV51">
        <f t="shared" ca="1" si="30"/>
        <v>2090.909205806819</v>
      </c>
    </row>
    <row r="52" spans="1:48" x14ac:dyDescent="0.15">
      <c r="A52" s="14" t="str">
        <f t="shared" si="26"/>
        <v>53407</v>
      </c>
      <c r="B52" s="14" t="s">
        <v>667</v>
      </c>
      <c r="C52" s="14">
        <f>VLOOKUP($I52&amp;$F52&amp;$G52,装备属性表,装备属性计算表!AK$29,FALSE)</f>
        <v>7</v>
      </c>
      <c r="D52" s="14">
        <f t="shared" si="18"/>
        <v>0</v>
      </c>
      <c r="E52" s="14" t="str">
        <f>VLOOKUP(F52,CHOOSE({1,2},定义数据!$F$2:$F$7,武器部位),2)</f>
        <v>项链</v>
      </c>
      <c r="F52" s="14">
        <v>3</v>
      </c>
      <c r="G52" s="14">
        <v>15</v>
      </c>
      <c r="H52" s="14">
        <f t="shared" si="27"/>
        <v>15</v>
      </c>
      <c r="I52" s="14">
        <v>4</v>
      </c>
      <c r="J52" s="14" t="str">
        <f t="shared" si="28"/>
        <v>1543</v>
      </c>
      <c r="K52" s="14" t="str">
        <f t="shared" si="29"/>
        <v>1543</v>
      </c>
      <c r="L52" s="76"/>
      <c r="M52" s="14">
        <f>IF(OR(G52&lt;15,G52=80),0,D_装备升级表!A52)</f>
        <v>15043</v>
      </c>
      <c r="N52" s="78">
        <v>1</v>
      </c>
      <c r="O52" s="14">
        <f t="shared" si="4"/>
        <v>700</v>
      </c>
      <c r="P52" s="14"/>
      <c r="Q52" s="14">
        <f>VLOOKUP($I52&amp;$F52&amp;$G52,装备属性表,装备属性计算表!AL$29,FALSE)</f>
        <v>6</v>
      </c>
      <c r="R52" s="14">
        <f ca="1">VLOOKUP(VLOOKUP($I52&amp;$F52&amp;$G52,装备属性表,装备属性计算表!AM$29,FALSE),定义数据!$B$13:$C$35,2,FALSE)</f>
        <v>2</v>
      </c>
      <c r="S52" s="14">
        <f ca="1">VLOOKUP($I52&amp;$F52&amp;$G52,装备属性表,装备属性计算表!AN$29,FALSE)</f>
        <v>23.228201069518718</v>
      </c>
      <c r="T52" s="14">
        <f ca="1">VLOOKUP(VLOOKUP($I52&amp;$F52&amp;$G52,装备属性表,装备属性计算表!AO$29,FALSE),定义数据!$B$13:$C$35,2,FALSE)</f>
        <v>6</v>
      </c>
      <c r="U52" s="14">
        <f ca="1">VLOOKUP($I52&amp;$F52&amp;$G52,装备属性表,装备属性计算表!AP$29,FALSE)</f>
        <v>72.916666666666671</v>
      </c>
      <c r="V52" s="14">
        <f ca="1">VLOOKUP(VLOOKUP($I52&amp;$F52&amp;$G52,装备属性表,装备属性计算表!AQ$29,FALSE),定义数据!$B$13:$C$35,2,FALSE)</f>
        <v>2</v>
      </c>
      <c r="W52" s="14">
        <f ca="1">VLOOKUP($I52&amp;$F52&amp;$G52,装备属性表,装备属性计算表!AR$29,FALSE)</f>
        <v>10.618606203208559</v>
      </c>
      <c r="X52" s="14">
        <f ca="1">VLOOKUP(VLOOKUP($I52&amp;$F52&amp;$G52,装备属性表,装备属性计算表!AS$29,FALSE),定义数据!$B$13:$C$35,2,FALSE)</f>
        <v>7</v>
      </c>
      <c r="Y52" s="14">
        <f ca="1">VLOOKUP($I52&amp;$F52&amp;$G52,装备属性表,装备属性计算表!AT$29,FALSE)</f>
        <v>8.3333333333333339</v>
      </c>
      <c r="Z52" s="14">
        <f ca="1">VLOOKUP(VLOOKUP($I52&amp;$F52&amp;$G52,装备属性表,装备属性计算表!AU$29,FALSE),定义数据!$B$13:$C$35,2,FALSE)</f>
        <v>6</v>
      </c>
      <c r="AA52" s="14">
        <f ca="1">VLOOKUP($I52&amp;$F52&amp;$G52,装备属性表,装备属性计算表!AV$29,FALSE)</f>
        <v>13.888888888888889</v>
      </c>
      <c r="AB52" s="14">
        <f ca="1">VLOOKUP(VLOOKUP($I52&amp;$F52&amp;$G52,装备属性表,装备属性计算表!AW$29,FALSE),定义数据!$B$13:$C$35,2,FALSE)</f>
        <v>8</v>
      </c>
      <c r="AC52" s="14">
        <f ca="1">VLOOKUP($I52&amp;$F52&amp;$G52,装备属性表,装备属性计算表!AX$29,FALSE)</f>
        <v>9.8765432098765444</v>
      </c>
      <c r="AD52" s="14">
        <f ca="1">VLOOKUP(VLOOKUP($I52&amp;$F52&amp;$G52,装备属性表,装备属性计算表!AY$29,FALSE),定义数据!$B$13:$C$35,2,FALSE)</f>
        <v>0</v>
      </c>
      <c r="AE52" s="14">
        <f>VLOOKUP($I52&amp;$F52&amp;$G52,装备属性表,装备属性计算表!AZ$29,FALSE)</f>
        <v>0</v>
      </c>
      <c r="AF52" s="14">
        <f ca="1">VLOOKUP(VLOOKUP($I52&amp;$F52&amp;$G52,装备属性表,装备属性计算表!BA$29,FALSE),定义数据!$B$13:$C$35,2,FALSE)</f>
        <v>0</v>
      </c>
      <c r="AG52" s="14">
        <f>VLOOKUP($I52&amp;$F52&amp;$G52,装备属性表,装备属性计算表!BB$29,FALSE)</f>
        <v>0</v>
      </c>
      <c r="AH52" s="14">
        <f ca="1">VLOOKUP(VLOOKUP($I52&amp;$F52&amp;$G52,装备属性表,装备属性计算表!BC$29,FALSE),定义数据!$B$13:$C$35,2,FALSE)</f>
        <v>0</v>
      </c>
      <c r="AI52" s="14">
        <f>VLOOKUP($I52&amp;$F52&amp;$G52,装备属性表,装备属性计算表!BD$29,FALSE)</f>
        <v>0</v>
      </c>
      <c r="AJ52" s="14">
        <f ca="1">VLOOKUP(VLOOKUP($I52&amp;$F52&amp;$G52,装备属性表,装备属性计算表!BE$29,FALSE),定义数据!$B$13:$C$35,2,FALSE)</f>
        <v>0</v>
      </c>
      <c r="AK52" s="14">
        <f>VLOOKUP($I52&amp;$F52&amp;$G52,装备属性表,装备属性计算表!BF$29,FALSE)</f>
        <v>0</v>
      </c>
      <c r="AL52" t="str">
        <f t="shared" si="17"/>
        <v>虹光项链是一件15级红色可升级的装备。</v>
      </c>
      <c r="AM52" t="str">
        <f>IF(D52=0,5,D52) &amp; F52&amp;"00"&amp;VLOOKUP(G52,定义数据!$F$20:$G$27,2,FALSE)&amp;".png"</f>
        <v>53002.png</v>
      </c>
      <c r="AN52" s="79">
        <f>IF(OR(G52&lt;15),0,D_装备升级表!A52)</f>
        <v>15043</v>
      </c>
      <c r="AP52">
        <f ca="1">VLOOKUP(G52&amp;I52&amp;F52,CHOOSE({1,2},装备属性计算表!$BK$32:$BK$187,装备属性计算表!$BJ$32:$BJ$187),2,FALSE)</f>
        <v>67.97180727272729</v>
      </c>
      <c r="AQ52">
        <f ca="1">AP52*'[1]0、经济设定'!$C$18</f>
        <v>3398.5903636363646</v>
      </c>
      <c r="AR52">
        <f ca="1">IFERROR(AQ52*'[1]0、经济设定'!$E$19*AU52*AS52,0)</f>
        <v>852.19023454404567</v>
      </c>
      <c r="AS52">
        <v>10</v>
      </c>
      <c r="AT52">
        <f t="shared" si="31"/>
        <v>150</v>
      </c>
      <c r="AU52">
        <f ca="1">IF(F52=0,IFERROR(AT52/AP52/'[1]0、经济设定'!$E$18,0),AU51)</f>
        <v>12.537407327198945</v>
      </c>
      <c r="AV52">
        <f t="shared" ca="1" si="30"/>
        <v>2718.8722909090916</v>
      </c>
    </row>
    <row r="53" spans="1:48" x14ac:dyDescent="0.15">
      <c r="A53" s="14" t="str">
        <f t="shared" si="3"/>
        <v>10108</v>
      </c>
      <c r="B53" s="14" t="s">
        <v>545</v>
      </c>
      <c r="C53" s="14">
        <f>VLOOKUP($I53&amp;$F53&amp;$G53,装备属性表,装备属性计算表!AK$29,FALSE)</f>
        <v>8</v>
      </c>
      <c r="D53" s="14">
        <f t="shared" ref="D53:D60" si="32">D29</f>
        <v>1</v>
      </c>
      <c r="E53" s="14" t="str">
        <f>VLOOKUP(F53,CHOOSE({1,2},定义数据!$F$2:$F$7,武器部位),2)</f>
        <v>武器</v>
      </c>
      <c r="F53" s="14">
        <v>0</v>
      </c>
      <c r="G53" s="14">
        <v>30</v>
      </c>
      <c r="H53" s="14">
        <f t="shared" si="7"/>
        <v>30</v>
      </c>
      <c r="I53" s="14">
        <v>1</v>
      </c>
      <c r="J53" s="14" t="str">
        <f t="shared" si="8"/>
        <v>3010</v>
      </c>
      <c r="K53" s="14" t="str">
        <f t="shared" si="9"/>
        <v>3010</v>
      </c>
      <c r="L53" s="76"/>
      <c r="M53" s="14">
        <f>IF(OR(G53&lt;15,G53=80),0,D_装备升级表!A53)</f>
        <v>30110</v>
      </c>
      <c r="N53" s="78">
        <v>1</v>
      </c>
      <c r="O53" s="14">
        <f t="shared" si="4"/>
        <v>800</v>
      </c>
      <c r="P53" s="14"/>
      <c r="Q53" s="14">
        <f>VLOOKUP($I53&amp;$F53&amp;$G53,装备属性表,装备属性计算表!AL$29,FALSE)</f>
        <v>3</v>
      </c>
      <c r="R53" s="14">
        <f ca="1">VLOOKUP(VLOOKUP($I53&amp;$F53&amp;$G53,装备属性表,装备属性计算表!AM$29,FALSE),定义数据!$B$13:$C$35,2,FALSE)</f>
        <v>2</v>
      </c>
      <c r="S53" s="14">
        <f ca="1">VLOOKUP($I53&amp;$F53&amp;$G53,装备属性表,装备属性计算表!AN$29,FALSE)</f>
        <v>89.594489839572219</v>
      </c>
      <c r="T53" s="14">
        <f ca="1">VLOOKUP(VLOOKUP($I53&amp;$F53&amp;$G53,装备属性表,装备属性计算表!AO$29,FALSE),定义数据!$B$13:$C$35,2,FALSE)</f>
        <v>8</v>
      </c>
      <c r="U53" s="14">
        <f ca="1">VLOOKUP($I53&amp;$F53&amp;$G53,装备属性表,装备属性计算表!AP$29,FALSE)</f>
        <v>55.55555555555555</v>
      </c>
      <c r="V53" s="14">
        <f ca="1">VLOOKUP(VLOOKUP($I53&amp;$F53&amp;$G53,装备属性表,装备属性计算表!AQ$29,FALSE),定义数据!$B$13:$C$35,2,FALSE)</f>
        <v>2</v>
      </c>
      <c r="W53" s="14">
        <f ca="1">VLOOKUP($I53&amp;$F53&amp;$G53,装备属性表,装备属性计算表!AR$29,FALSE)</f>
        <v>7.1675591871657778</v>
      </c>
      <c r="X53" s="14">
        <f ca="1">VLOOKUP(VLOOKUP($I53&amp;$F53&amp;$G53,装备属性表,装备属性计算表!AS$29,FALSE),定义数据!$B$13:$C$35,2,FALSE)</f>
        <v>0</v>
      </c>
      <c r="Y53" s="14">
        <f>VLOOKUP($I53&amp;$F53&amp;$G53,装备属性表,装备属性计算表!AT$29,FALSE)</f>
        <v>0</v>
      </c>
      <c r="Z53" s="14">
        <f ca="1">VLOOKUP(VLOOKUP($I53&amp;$F53&amp;$G53,装备属性表,装备属性计算表!AU$29,FALSE),定义数据!$B$13:$C$35,2,FALSE)</f>
        <v>0</v>
      </c>
      <c r="AA53" s="14">
        <f>VLOOKUP($I53&amp;$F53&amp;$G53,装备属性表,装备属性计算表!AV$29,FALSE)</f>
        <v>0</v>
      </c>
      <c r="AB53" s="14">
        <f ca="1">VLOOKUP(VLOOKUP($I53&amp;$F53&amp;$G53,装备属性表,装备属性计算表!AW$29,FALSE),定义数据!$B$13:$C$35,2,FALSE)</f>
        <v>0</v>
      </c>
      <c r="AC53" s="14">
        <f>VLOOKUP($I53&amp;$F53&amp;$G53,装备属性表,装备属性计算表!AX$29,FALSE)</f>
        <v>0</v>
      </c>
      <c r="AD53" s="14">
        <f ca="1">VLOOKUP(VLOOKUP($I53&amp;$F53&amp;$G53,装备属性表,装备属性计算表!AY$29,FALSE),定义数据!$B$13:$C$35,2,FALSE)</f>
        <v>0</v>
      </c>
      <c r="AE53" s="14">
        <f>VLOOKUP($I53&amp;$F53&amp;$G53,装备属性表,装备属性计算表!AZ$29,FALSE)</f>
        <v>0</v>
      </c>
      <c r="AF53" s="14">
        <f ca="1">VLOOKUP(VLOOKUP($I53&amp;$F53&amp;$G53,装备属性表,装备属性计算表!BA$29,FALSE),定义数据!$B$13:$C$35,2,FALSE)</f>
        <v>0</v>
      </c>
      <c r="AG53" s="14">
        <f>VLOOKUP($I53&amp;$F53&amp;$G53,装备属性表,装备属性计算表!BB$29,FALSE)</f>
        <v>0</v>
      </c>
      <c r="AH53" s="14">
        <f ca="1">VLOOKUP(VLOOKUP($I53&amp;$F53&amp;$G53,装备属性表,装备属性计算表!BC$29,FALSE),定义数据!$B$13:$C$35,2,FALSE)</f>
        <v>0</v>
      </c>
      <c r="AI53" s="14">
        <f>VLOOKUP($I53&amp;$F53&amp;$G53,装备属性表,装备属性计算表!BD$29,FALSE)</f>
        <v>0</v>
      </c>
      <c r="AJ53" s="14">
        <f ca="1">VLOOKUP(VLOOKUP($I53&amp;$F53&amp;$G53,装备属性表,装备属性计算表!BE$29,FALSE),定义数据!$B$13:$C$35,2,FALSE)</f>
        <v>0</v>
      </c>
      <c r="AK53" s="14">
        <f>VLOOKUP($I53&amp;$F53&amp;$G53,装备属性表,装备属性计算表!BF$29,FALSE)</f>
        <v>0</v>
      </c>
      <c r="AL53" t="str">
        <f t="shared" si="17"/>
        <v>碧蓝之剑是一件30级蓝色可升级的装备。</v>
      </c>
      <c r="AM53" t="str">
        <f>IF(D53=0,5,D53) &amp; F53&amp;"00"&amp;VLOOKUP(G53,定义数据!$F$20:$G$27,2,FALSE)&amp;".png"</f>
        <v>10003.png</v>
      </c>
      <c r="AN53" s="79">
        <f>IF(OR(G53&lt;15),0,D_装备升级表!A53)</f>
        <v>30110</v>
      </c>
      <c r="AP53">
        <f ca="1">VLOOKUP(G53&amp;I53&amp;F53,CHOOSE({1,2},装备属性计算表!$BK$32:$BK$187,装备属性计算表!$BJ$32:$BJ$187),2,FALSE)</f>
        <v>109.08489536989224</v>
      </c>
      <c r="AQ53">
        <f ca="1">AP53*'[1]0、经济设定'!$C$18</f>
        <v>5454.2447684946119</v>
      </c>
      <c r="AR53">
        <f ca="1">IFERROR(AQ53*'[1]0、经济设定'!$E$19*AU53*AS53,0)</f>
        <v>360</v>
      </c>
      <c r="AS53">
        <v>10</v>
      </c>
      <c r="AT53">
        <f t="shared" si="19"/>
        <v>36</v>
      </c>
      <c r="AU53">
        <f ca="1">IF(F53=0,IFERROR(AT53/AP53/'[1]0、经济设定'!$E$18,0),AU36)</f>
        <v>3.3001819250895212</v>
      </c>
      <c r="AV53">
        <f t="shared" ca="1" si="15"/>
        <v>4363.3958147956891</v>
      </c>
    </row>
    <row r="54" spans="1:48" x14ac:dyDescent="0.15">
      <c r="A54" s="14" t="str">
        <f t="shared" si="3"/>
        <v>20108</v>
      </c>
      <c r="B54" s="14" t="s">
        <v>546</v>
      </c>
      <c r="C54" s="14">
        <f>VLOOKUP($I54&amp;$F54&amp;$G54,装备属性表,装备属性计算表!AK$29,FALSE)</f>
        <v>8</v>
      </c>
      <c r="D54" s="14">
        <f t="shared" si="32"/>
        <v>2</v>
      </c>
      <c r="E54" s="14" t="str">
        <f>VLOOKUP(F54,CHOOSE({1,2},定义数据!$F$2:$F$7,武器部位),2)</f>
        <v>武器</v>
      </c>
      <c r="F54" s="14">
        <v>0</v>
      </c>
      <c r="G54" s="14">
        <v>30</v>
      </c>
      <c r="H54" s="14">
        <f t="shared" si="7"/>
        <v>30</v>
      </c>
      <c r="I54" s="14">
        <v>1</v>
      </c>
      <c r="J54" s="14" t="str">
        <f t="shared" si="8"/>
        <v>3010</v>
      </c>
      <c r="K54" s="14" t="str">
        <f t="shared" si="9"/>
        <v>3010</v>
      </c>
      <c r="L54" s="76"/>
      <c r="M54" s="14">
        <f>IF(OR(G54&lt;15,G54=80),0,D_装备升级表!A54)</f>
        <v>30210</v>
      </c>
      <c r="N54" s="78">
        <v>1</v>
      </c>
      <c r="O54" s="14">
        <f t="shared" si="4"/>
        <v>800</v>
      </c>
      <c r="P54" s="14"/>
      <c r="Q54" s="14">
        <f>VLOOKUP($I54&amp;$F54&amp;$G54,装备属性表,装备属性计算表!AL$29,FALSE)</f>
        <v>3</v>
      </c>
      <c r="R54" s="14">
        <f ca="1">VLOOKUP(VLOOKUP($I54&amp;$F54&amp;$G54,装备属性表,装备属性计算表!AM$29,FALSE),定义数据!$B$13:$C$35,2,FALSE)</f>
        <v>2</v>
      </c>
      <c r="S54" s="14">
        <f ca="1">VLOOKUP($I54&amp;$F54&amp;$G54,装备属性表,装备属性计算表!AN$29,FALSE)</f>
        <v>89.594489839572219</v>
      </c>
      <c r="T54" s="14">
        <f ca="1">VLOOKUP(VLOOKUP($I54&amp;$F54&amp;$G54,装备属性表,装备属性计算表!AO$29,FALSE),定义数据!$B$13:$C$35,2,FALSE)</f>
        <v>8</v>
      </c>
      <c r="U54" s="14">
        <f ca="1">VLOOKUP($I54&amp;$F54&amp;$G54,装备属性表,装备属性计算表!AP$29,FALSE)</f>
        <v>55.55555555555555</v>
      </c>
      <c r="V54" s="14">
        <f ca="1">VLOOKUP(VLOOKUP($I54&amp;$F54&amp;$G54,装备属性表,装备属性计算表!AQ$29,FALSE),定义数据!$B$13:$C$35,2,FALSE)</f>
        <v>2</v>
      </c>
      <c r="W54" s="14">
        <f ca="1">VLOOKUP($I54&amp;$F54&amp;$G54,装备属性表,装备属性计算表!AR$29,FALSE)</f>
        <v>7.1675591871657778</v>
      </c>
      <c r="X54" s="14">
        <f ca="1">VLOOKUP(VLOOKUP($I54&amp;$F54&amp;$G54,装备属性表,装备属性计算表!AS$29,FALSE),定义数据!$B$13:$C$35,2,FALSE)</f>
        <v>0</v>
      </c>
      <c r="Y54" s="14">
        <f>VLOOKUP($I54&amp;$F54&amp;$G54,装备属性表,装备属性计算表!AT$29,FALSE)</f>
        <v>0</v>
      </c>
      <c r="Z54" s="14">
        <f ca="1">VLOOKUP(VLOOKUP($I54&amp;$F54&amp;$G54,装备属性表,装备属性计算表!AU$29,FALSE),定义数据!$B$13:$C$35,2,FALSE)</f>
        <v>0</v>
      </c>
      <c r="AA54" s="14">
        <f>VLOOKUP($I54&amp;$F54&amp;$G54,装备属性表,装备属性计算表!AV$29,FALSE)</f>
        <v>0</v>
      </c>
      <c r="AB54" s="14">
        <f ca="1">VLOOKUP(VLOOKUP($I54&amp;$F54&amp;$G54,装备属性表,装备属性计算表!AW$29,FALSE),定义数据!$B$13:$C$35,2,FALSE)</f>
        <v>0</v>
      </c>
      <c r="AC54" s="14">
        <f>VLOOKUP($I54&amp;$F54&amp;$G54,装备属性表,装备属性计算表!AX$29,FALSE)</f>
        <v>0</v>
      </c>
      <c r="AD54" s="14">
        <f ca="1">VLOOKUP(VLOOKUP($I54&amp;$F54&amp;$G54,装备属性表,装备属性计算表!AY$29,FALSE),定义数据!$B$13:$C$35,2,FALSE)</f>
        <v>0</v>
      </c>
      <c r="AE54" s="14">
        <f>VLOOKUP($I54&amp;$F54&amp;$G54,装备属性表,装备属性计算表!AZ$29,FALSE)</f>
        <v>0</v>
      </c>
      <c r="AF54" s="14">
        <f ca="1">VLOOKUP(VLOOKUP($I54&amp;$F54&amp;$G54,装备属性表,装备属性计算表!BA$29,FALSE),定义数据!$B$13:$C$35,2,FALSE)</f>
        <v>0</v>
      </c>
      <c r="AG54" s="14">
        <f>VLOOKUP($I54&amp;$F54&amp;$G54,装备属性表,装备属性计算表!BB$29,FALSE)</f>
        <v>0</v>
      </c>
      <c r="AH54" s="14">
        <f ca="1">VLOOKUP(VLOOKUP($I54&amp;$F54&amp;$G54,装备属性表,装备属性计算表!BC$29,FALSE),定义数据!$B$13:$C$35,2,FALSE)</f>
        <v>0</v>
      </c>
      <c r="AI54" s="14">
        <f>VLOOKUP($I54&amp;$F54&amp;$G54,装备属性表,装备属性计算表!BD$29,FALSE)</f>
        <v>0</v>
      </c>
      <c r="AJ54" s="14">
        <f ca="1">VLOOKUP(VLOOKUP($I54&amp;$F54&amp;$G54,装备属性表,装备属性计算表!BE$29,FALSE),定义数据!$B$13:$C$35,2,FALSE)</f>
        <v>0</v>
      </c>
      <c r="AK54" s="14">
        <f>VLOOKUP($I54&amp;$F54&amp;$G54,装备属性表,装备属性计算表!BF$29,FALSE)</f>
        <v>0</v>
      </c>
      <c r="AL54" t="str">
        <f t="shared" si="17"/>
        <v>碧蓝之拳是一件30级蓝色可升级的装备。</v>
      </c>
      <c r="AM54" t="str">
        <f>IF(D54=0,5,D54) &amp; F54&amp;"00"&amp;VLOOKUP(G54,定义数据!$F$20:$G$27,2,FALSE)&amp;".png"</f>
        <v>20003.png</v>
      </c>
      <c r="AN54" s="79">
        <f>IF(OR(G54&lt;15),0,D_装备升级表!A54)</f>
        <v>30210</v>
      </c>
      <c r="AP54">
        <f ca="1">VLOOKUP(G54&amp;I54&amp;F54,CHOOSE({1,2},装备属性计算表!$BK$32:$BK$187,装备属性计算表!$BJ$32:$BJ$187),2,FALSE)</f>
        <v>109.08489536989224</v>
      </c>
      <c r="AQ54">
        <f ca="1">AP54*'[1]0、经济设定'!$C$18</f>
        <v>5454.2447684946119</v>
      </c>
      <c r="AR54">
        <f ca="1">IFERROR(AQ54*'[1]0、经济设定'!$E$19*AU54*AS54,0)</f>
        <v>360</v>
      </c>
      <c r="AS54">
        <v>10</v>
      </c>
      <c r="AT54">
        <f t="shared" si="19"/>
        <v>36</v>
      </c>
      <c r="AU54">
        <f ca="1">IF(F54=0,IFERROR(AT54/AP54/'[1]0、经济设定'!$E$18,0),AU53)</f>
        <v>3.3001819250895212</v>
      </c>
      <c r="AV54">
        <f t="shared" ca="1" si="15"/>
        <v>4363.3958147956891</v>
      </c>
    </row>
    <row r="55" spans="1:48" x14ac:dyDescent="0.15">
      <c r="A55" s="14" t="str">
        <f t="shared" si="3"/>
        <v>30108</v>
      </c>
      <c r="B55" s="14" t="s">
        <v>547</v>
      </c>
      <c r="C55" s="14">
        <f>VLOOKUP($I55&amp;$F55&amp;$G55,装备属性表,装备属性计算表!AK$29,FALSE)</f>
        <v>8</v>
      </c>
      <c r="D55" s="14">
        <f t="shared" si="32"/>
        <v>3</v>
      </c>
      <c r="E55" s="14" t="str">
        <f>VLOOKUP(F55,CHOOSE({1,2},定义数据!$F$2:$F$7,武器部位),2)</f>
        <v>武器</v>
      </c>
      <c r="F55" s="14">
        <v>0</v>
      </c>
      <c r="G55" s="14">
        <v>30</v>
      </c>
      <c r="H55" s="14">
        <f t="shared" si="7"/>
        <v>30</v>
      </c>
      <c r="I55" s="14">
        <v>1</v>
      </c>
      <c r="J55" s="14" t="str">
        <f t="shared" si="8"/>
        <v>3010</v>
      </c>
      <c r="K55" s="14" t="str">
        <f t="shared" si="9"/>
        <v>3010</v>
      </c>
      <c r="L55" s="76"/>
      <c r="M55" s="14">
        <f>IF(OR(G55&lt;15,G55=80),0,D_装备升级表!A55)</f>
        <v>30310</v>
      </c>
      <c r="N55" s="78">
        <v>1</v>
      </c>
      <c r="O55" s="14">
        <f t="shared" si="4"/>
        <v>800</v>
      </c>
      <c r="P55" s="14"/>
      <c r="Q55" s="14">
        <f>VLOOKUP($I55&amp;$F55&amp;$G55,装备属性表,装备属性计算表!AL$29,FALSE)</f>
        <v>3</v>
      </c>
      <c r="R55" s="14">
        <f ca="1">VLOOKUP(VLOOKUP($I55&amp;$F55&amp;$G55,装备属性表,装备属性计算表!AM$29,FALSE),定义数据!$B$13:$C$35,2,FALSE)</f>
        <v>2</v>
      </c>
      <c r="S55" s="14">
        <f ca="1">VLOOKUP($I55&amp;$F55&amp;$G55,装备属性表,装备属性计算表!AN$29,FALSE)</f>
        <v>89.594489839572219</v>
      </c>
      <c r="T55" s="14">
        <f ca="1">VLOOKUP(VLOOKUP($I55&amp;$F55&amp;$G55,装备属性表,装备属性计算表!AO$29,FALSE),定义数据!$B$13:$C$35,2,FALSE)</f>
        <v>8</v>
      </c>
      <c r="U55" s="14">
        <f ca="1">VLOOKUP($I55&amp;$F55&amp;$G55,装备属性表,装备属性计算表!AP$29,FALSE)</f>
        <v>55.55555555555555</v>
      </c>
      <c r="V55" s="14">
        <f ca="1">VLOOKUP(VLOOKUP($I55&amp;$F55&amp;$G55,装备属性表,装备属性计算表!AQ$29,FALSE),定义数据!$B$13:$C$35,2,FALSE)</f>
        <v>2</v>
      </c>
      <c r="W55" s="14">
        <f ca="1">VLOOKUP($I55&amp;$F55&amp;$G55,装备属性表,装备属性计算表!AR$29,FALSE)</f>
        <v>7.1675591871657778</v>
      </c>
      <c r="X55" s="14">
        <f ca="1">VLOOKUP(VLOOKUP($I55&amp;$F55&amp;$G55,装备属性表,装备属性计算表!AS$29,FALSE),定义数据!$B$13:$C$35,2,FALSE)</f>
        <v>0</v>
      </c>
      <c r="Y55" s="14">
        <f>VLOOKUP($I55&amp;$F55&amp;$G55,装备属性表,装备属性计算表!AT$29,FALSE)</f>
        <v>0</v>
      </c>
      <c r="Z55" s="14">
        <f ca="1">VLOOKUP(VLOOKUP($I55&amp;$F55&amp;$G55,装备属性表,装备属性计算表!AU$29,FALSE),定义数据!$B$13:$C$35,2,FALSE)</f>
        <v>0</v>
      </c>
      <c r="AA55" s="14">
        <f>VLOOKUP($I55&amp;$F55&amp;$G55,装备属性表,装备属性计算表!AV$29,FALSE)</f>
        <v>0</v>
      </c>
      <c r="AB55" s="14">
        <f ca="1">VLOOKUP(VLOOKUP($I55&amp;$F55&amp;$G55,装备属性表,装备属性计算表!AW$29,FALSE),定义数据!$B$13:$C$35,2,FALSE)</f>
        <v>0</v>
      </c>
      <c r="AC55" s="14">
        <f>VLOOKUP($I55&amp;$F55&amp;$G55,装备属性表,装备属性计算表!AX$29,FALSE)</f>
        <v>0</v>
      </c>
      <c r="AD55" s="14">
        <f ca="1">VLOOKUP(VLOOKUP($I55&amp;$F55&amp;$G55,装备属性表,装备属性计算表!AY$29,FALSE),定义数据!$B$13:$C$35,2,FALSE)</f>
        <v>0</v>
      </c>
      <c r="AE55" s="14">
        <f>VLOOKUP($I55&amp;$F55&amp;$G55,装备属性表,装备属性计算表!AZ$29,FALSE)</f>
        <v>0</v>
      </c>
      <c r="AF55" s="14">
        <f ca="1">VLOOKUP(VLOOKUP($I55&amp;$F55&amp;$G55,装备属性表,装备属性计算表!BA$29,FALSE),定义数据!$B$13:$C$35,2,FALSE)</f>
        <v>0</v>
      </c>
      <c r="AG55" s="14">
        <f>VLOOKUP($I55&amp;$F55&amp;$G55,装备属性表,装备属性计算表!BB$29,FALSE)</f>
        <v>0</v>
      </c>
      <c r="AH55" s="14">
        <f ca="1">VLOOKUP(VLOOKUP($I55&amp;$F55&amp;$G55,装备属性表,装备属性计算表!BC$29,FALSE),定义数据!$B$13:$C$35,2,FALSE)</f>
        <v>0</v>
      </c>
      <c r="AI55" s="14">
        <f>VLOOKUP($I55&amp;$F55&amp;$G55,装备属性表,装备属性计算表!BD$29,FALSE)</f>
        <v>0</v>
      </c>
      <c r="AJ55" s="14">
        <f ca="1">VLOOKUP(VLOOKUP($I55&amp;$F55&amp;$G55,装备属性表,装备属性计算表!BE$29,FALSE),定义数据!$B$13:$C$35,2,FALSE)</f>
        <v>0</v>
      </c>
      <c r="AK55" s="14">
        <f>VLOOKUP($I55&amp;$F55&amp;$G55,装备属性表,装备属性计算表!BF$29,FALSE)</f>
        <v>0</v>
      </c>
      <c r="AL55" t="str">
        <f t="shared" si="17"/>
        <v>碧蓝之枪是一件30级蓝色可升级的装备。</v>
      </c>
      <c r="AM55" t="str">
        <f>IF(D55=0,5,D55) &amp; F55&amp;"00"&amp;VLOOKUP(G55,定义数据!$F$20:$G$27,2,FALSE)&amp;".png"</f>
        <v>30003.png</v>
      </c>
      <c r="AN55" s="79">
        <f>IF(OR(G55&lt;15),0,D_装备升级表!A55)</f>
        <v>30310</v>
      </c>
      <c r="AP55">
        <f ca="1">VLOOKUP(G55&amp;I55&amp;F55,CHOOSE({1,2},装备属性计算表!$BK$32:$BK$187,装备属性计算表!$BJ$32:$BJ$187),2,FALSE)</f>
        <v>109.08489536989224</v>
      </c>
      <c r="AQ55">
        <f ca="1">AP55*'[1]0、经济设定'!$C$18</f>
        <v>5454.2447684946119</v>
      </c>
      <c r="AR55">
        <f ca="1">IFERROR(AQ55*'[1]0、经济设定'!$E$19*AU55*AS55,0)</f>
        <v>360</v>
      </c>
      <c r="AS55">
        <v>10</v>
      </c>
      <c r="AT55">
        <f t="shared" si="19"/>
        <v>36</v>
      </c>
      <c r="AU55">
        <f ca="1">IF(F55=0,IFERROR(AT55/AP55/'[1]0、经济设定'!$E$18,0),AU54)</f>
        <v>3.3001819250895212</v>
      </c>
      <c r="AV55">
        <f t="shared" ca="1" si="15"/>
        <v>4363.3958147956891</v>
      </c>
    </row>
    <row r="56" spans="1:48" x14ac:dyDescent="0.15">
      <c r="A56" s="14" t="str">
        <f t="shared" si="3"/>
        <v>51108</v>
      </c>
      <c r="B56" s="14" t="s">
        <v>548</v>
      </c>
      <c r="C56" s="14">
        <f>VLOOKUP($I56&amp;$F56&amp;$G56,装备属性表,装备属性计算表!AK$29,FALSE)</f>
        <v>8</v>
      </c>
      <c r="D56" s="14">
        <f t="shared" si="32"/>
        <v>0</v>
      </c>
      <c r="E56" s="14" t="str">
        <f>VLOOKUP(F56,CHOOSE({1,2},定义数据!$F$2:$F$7,武器部位),2)</f>
        <v>衣服</v>
      </c>
      <c r="F56" s="14">
        <v>1</v>
      </c>
      <c r="G56" s="14">
        <v>30</v>
      </c>
      <c r="H56" s="14">
        <f t="shared" si="7"/>
        <v>30</v>
      </c>
      <c r="I56" s="14">
        <v>1</v>
      </c>
      <c r="J56" s="14" t="str">
        <f t="shared" si="8"/>
        <v>3011</v>
      </c>
      <c r="K56" s="14" t="str">
        <f t="shared" si="9"/>
        <v>3011</v>
      </c>
      <c r="L56" s="76"/>
      <c r="M56" s="14">
        <f>IF(OR(G56&lt;15,G56=80),0,D_装备升级表!A56)</f>
        <v>30011</v>
      </c>
      <c r="N56" s="78">
        <v>1</v>
      </c>
      <c r="O56" s="14">
        <f t="shared" si="4"/>
        <v>800</v>
      </c>
      <c r="P56" s="14"/>
      <c r="Q56" s="14">
        <f>VLOOKUP($I56&amp;$F56&amp;$G56,装备属性表,装备属性计算表!AL$29,FALSE)</f>
        <v>3</v>
      </c>
      <c r="R56" s="14">
        <f ca="1">VLOOKUP(VLOOKUP($I56&amp;$F56&amp;$G56,装备属性表,装备属性计算表!AM$29,FALSE),定义数据!$B$13:$C$35,2,FALSE)</f>
        <v>1</v>
      </c>
      <c r="S56" s="14">
        <f ca="1">VLOOKUP($I56&amp;$F56&amp;$G56,装备属性表,装备属性计算表!AN$29,FALSE)</f>
        <v>1411.13375351426</v>
      </c>
      <c r="T56" s="14">
        <f ca="1">VLOOKUP(VLOOKUP($I56&amp;$F56&amp;$G56,装备属性表,装备属性计算表!AO$29,FALSE),定义数据!$B$13:$C$35,2,FALSE)</f>
        <v>3</v>
      </c>
      <c r="U56" s="14">
        <f ca="1">VLOOKUP($I56&amp;$F56&amp;$G56,装备属性表,装备属性计算表!AP$29,FALSE)</f>
        <v>30.972468353552863</v>
      </c>
      <c r="V56" s="14">
        <f ca="1">VLOOKUP(VLOOKUP($I56&amp;$F56&amp;$G56,装备属性表,装备属性计算表!AQ$29,FALSE),定义数据!$B$13:$C$35,2,FALSE)</f>
        <v>1</v>
      </c>
      <c r="W56" s="14">
        <f ca="1">VLOOKUP($I56&amp;$F56&amp;$G56,装备属性表,装备属性计算表!AR$29,FALSE)</f>
        <v>78.39631963968111</v>
      </c>
      <c r="X56" s="14">
        <f ca="1">VLOOKUP(VLOOKUP($I56&amp;$F56&amp;$G56,装备属性表,装备属性计算表!AS$29,FALSE),定义数据!$B$13:$C$35,2,FALSE)</f>
        <v>0</v>
      </c>
      <c r="Y56" s="14">
        <f>VLOOKUP($I56&amp;$F56&amp;$G56,装备属性表,装备属性计算表!AT$29,FALSE)</f>
        <v>0</v>
      </c>
      <c r="Z56" s="14">
        <f ca="1">VLOOKUP(VLOOKUP($I56&amp;$F56&amp;$G56,装备属性表,装备属性计算表!AU$29,FALSE),定义数据!$B$13:$C$35,2,FALSE)</f>
        <v>0</v>
      </c>
      <c r="AA56" s="14">
        <f>VLOOKUP($I56&amp;$F56&amp;$G56,装备属性表,装备属性计算表!AV$29,FALSE)</f>
        <v>0</v>
      </c>
      <c r="AB56" s="14">
        <f ca="1">VLOOKUP(VLOOKUP($I56&amp;$F56&amp;$G56,装备属性表,装备属性计算表!AW$29,FALSE),定义数据!$B$13:$C$35,2,FALSE)</f>
        <v>0</v>
      </c>
      <c r="AC56" s="14">
        <f>VLOOKUP($I56&amp;$F56&amp;$G56,装备属性表,装备属性计算表!AX$29,FALSE)</f>
        <v>0</v>
      </c>
      <c r="AD56" s="14">
        <f ca="1">VLOOKUP(VLOOKUP($I56&amp;$F56&amp;$G56,装备属性表,装备属性计算表!AY$29,FALSE),定义数据!$B$13:$C$35,2,FALSE)</f>
        <v>0</v>
      </c>
      <c r="AE56" s="14">
        <f>VLOOKUP($I56&amp;$F56&amp;$G56,装备属性表,装备属性计算表!AZ$29,FALSE)</f>
        <v>0</v>
      </c>
      <c r="AF56" s="14">
        <f ca="1">VLOOKUP(VLOOKUP($I56&amp;$F56&amp;$G56,装备属性表,装备属性计算表!BA$29,FALSE),定义数据!$B$13:$C$35,2,FALSE)</f>
        <v>0</v>
      </c>
      <c r="AG56" s="14">
        <f>VLOOKUP($I56&amp;$F56&amp;$G56,装备属性表,装备属性计算表!BB$29,FALSE)</f>
        <v>0</v>
      </c>
      <c r="AH56" s="14">
        <f ca="1">VLOOKUP(VLOOKUP($I56&amp;$F56&amp;$G56,装备属性表,装备属性计算表!BC$29,FALSE),定义数据!$B$13:$C$35,2,FALSE)</f>
        <v>0</v>
      </c>
      <c r="AI56" s="14">
        <f>VLOOKUP($I56&amp;$F56&amp;$G56,装备属性表,装备属性计算表!BD$29,FALSE)</f>
        <v>0</v>
      </c>
      <c r="AJ56" s="14">
        <f ca="1">VLOOKUP(VLOOKUP($I56&amp;$F56&amp;$G56,装备属性表,装备属性计算表!BE$29,FALSE),定义数据!$B$13:$C$35,2,FALSE)</f>
        <v>0</v>
      </c>
      <c r="AK56" s="14">
        <f>VLOOKUP($I56&amp;$F56&amp;$G56,装备属性表,装备属性计算表!BF$29,FALSE)</f>
        <v>0</v>
      </c>
      <c r="AL56" t="str">
        <f t="shared" si="17"/>
        <v>碧蓝战衣是一件30级蓝色可升级的装备。</v>
      </c>
      <c r="AM56" t="str">
        <f>IF(D56=0,5,D56) &amp; F56&amp;"00"&amp;VLOOKUP(G56,定义数据!$F$20:$G$27,2,FALSE)&amp;".png"</f>
        <v>51003.png</v>
      </c>
      <c r="AN56" s="79">
        <f>IF(OR(G56&lt;15),0,D_装备升级表!A56)</f>
        <v>30011</v>
      </c>
      <c r="AP56">
        <f ca="1">VLOOKUP(G56&amp;I56&amp;F56,CHOOSE({1,2},装备属性计算表!$BK$32:$BK$187,装备属性计算表!$BJ$32:$BJ$187),2,FALSE)</f>
        <v>94.105543642506575</v>
      </c>
      <c r="AQ56">
        <f ca="1">AP56*'[1]0、经济设定'!$C$18</f>
        <v>4705.2771821253291</v>
      </c>
      <c r="AR56">
        <f ca="1">IFERROR(AQ56*'[1]0、经济设定'!$E$19*AU56*AS56,0)</f>
        <v>310.56541417972329</v>
      </c>
      <c r="AS56">
        <v>10</v>
      </c>
      <c r="AT56">
        <f t="shared" si="19"/>
        <v>36</v>
      </c>
      <c r="AU56">
        <f ca="1">IF(F56=0,IFERROR(AT56/AP56/'[1]0、经济设定'!$E$18,0),AU55)</f>
        <v>3.3001819250895212</v>
      </c>
      <c r="AV56">
        <f t="shared" ca="1" si="15"/>
        <v>3764.221745700263</v>
      </c>
    </row>
    <row r="57" spans="1:48" x14ac:dyDescent="0.15">
      <c r="A57" s="14" t="str">
        <f t="shared" si="3"/>
        <v>52108</v>
      </c>
      <c r="B57" s="14" t="s">
        <v>549</v>
      </c>
      <c r="C57" s="14">
        <f>VLOOKUP($I57&amp;$F57&amp;$G57,装备属性表,装备属性计算表!AK$29,FALSE)</f>
        <v>8</v>
      </c>
      <c r="D57" s="14">
        <f t="shared" si="32"/>
        <v>0</v>
      </c>
      <c r="E57" s="14" t="str">
        <f>VLOOKUP(F57,CHOOSE({1,2},定义数据!$F$2:$F$7,武器部位),2)</f>
        <v>裤子</v>
      </c>
      <c r="F57" s="14">
        <v>2</v>
      </c>
      <c r="G57" s="14">
        <v>30</v>
      </c>
      <c r="H57" s="14">
        <f t="shared" si="7"/>
        <v>30</v>
      </c>
      <c r="I57" s="14">
        <v>1</v>
      </c>
      <c r="J57" s="14" t="str">
        <f t="shared" si="8"/>
        <v>3012</v>
      </c>
      <c r="K57" s="14" t="str">
        <f t="shared" si="9"/>
        <v>3012</v>
      </c>
      <c r="L57" s="76"/>
      <c r="M57" s="14">
        <f>IF(OR(G57&lt;15,G57=80),0,D_装备升级表!A57)</f>
        <v>30012</v>
      </c>
      <c r="N57" s="78">
        <v>1</v>
      </c>
      <c r="O57" s="14">
        <f t="shared" si="4"/>
        <v>800</v>
      </c>
      <c r="P57" s="14"/>
      <c r="Q57" s="14">
        <f>VLOOKUP($I57&amp;$F57&amp;$G57,装备属性表,装备属性计算表!AL$29,FALSE)</f>
        <v>3</v>
      </c>
      <c r="R57" s="14">
        <f ca="1">VLOOKUP(VLOOKUP($I57&amp;$F57&amp;$G57,装备属性表,装备属性计算表!AM$29,FALSE),定义数据!$B$13:$C$35,2,FALSE)</f>
        <v>3</v>
      </c>
      <c r="S57" s="14">
        <f ca="1">VLOOKUP($I57&amp;$F57&amp;$G57,装备属性表,装备属性计算表!AN$29,FALSE)</f>
        <v>20.648312235701908</v>
      </c>
      <c r="T57" s="14">
        <f ca="1">VLOOKUP(VLOOKUP($I57&amp;$F57&amp;$G57,装备属性表,装备属性计算表!AO$29,FALSE),定义数据!$B$13:$C$35,2,FALSE)</f>
        <v>7</v>
      </c>
      <c r="U57" s="14">
        <f ca="1">VLOOKUP($I57&amp;$F57&amp;$G57,装备属性表,装备属性计算表!AP$29,FALSE)</f>
        <v>31.25</v>
      </c>
      <c r="V57" s="14">
        <f ca="1">VLOOKUP(VLOOKUP($I57&amp;$F57&amp;$G57,装备属性表,装备属性计算表!AQ$29,FALSE),定义数据!$B$13:$C$35,2,FALSE)</f>
        <v>1</v>
      </c>
      <c r="W57" s="14">
        <f ca="1">VLOOKUP($I57&amp;$F57&amp;$G57,装备属性表,装备属性计算表!AR$29,FALSE)</f>
        <v>39.198159819840555</v>
      </c>
      <c r="X57" s="14">
        <f ca="1">VLOOKUP(VLOOKUP($I57&amp;$F57&amp;$G57,装备属性表,装备属性计算表!AS$29,FALSE),定义数据!$B$13:$C$35,2,FALSE)</f>
        <v>0</v>
      </c>
      <c r="Y57" s="14">
        <f>VLOOKUP($I57&amp;$F57&amp;$G57,装备属性表,装备属性计算表!AT$29,FALSE)</f>
        <v>0</v>
      </c>
      <c r="Z57" s="14">
        <f ca="1">VLOOKUP(VLOOKUP($I57&amp;$F57&amp;$G57,装备属性表,装备属性计算表!AU$29,FALSE),定义数据!$B$13:$C$35,2,FALSE)</f>
        <v>0</v>
      </c>
      <c r="AA57" s="14">
        <f>VLOOKUP($I57&amp;$F57&amp;$G57,装备属性表,装备属性计算表!AV$29,FALSE)</f>
        <v>0</v>
      </c>
      <c r="AB57" s="14">
        <f ca="1">VLOOKUP(VLOOKUP($I57&amp;$F57&amp;$G57,装备属性表,装备属性计算表!AW$29,FALSE),定义数据!$B$13:$C$35,2,FALSE)</f>
        <v>0</v>
      </c>
      <c r="AC57" s="14">
        <f>VLOOKUP($I57&amp;$F57&amp;$G57,装备属性表,装备属性计算表!AX$29,FALSE)</f>
        <v>0</v>
      </c>
      <c r="AD57" s="14">
        <f ca="1">VLOOKUP(VLOOKUP($I57&amp;$F57&amp;$G57,装备属性表,装备属性计算表!AY$29,FALSE),定义数据!$B$13:$C$35,2,FALSE)</f>
        <v>0</v>
      </c>
      <c r="AE57" s="14">
        <f>VLOOKUP($I57&amp;$F57&amp;$G57,装备属性表,装备属性计算表!AZ$29,FALSE)</f>
        <v>0</v>
      </c>
      <c r="AF57" s="14">
        <f ca="1">VLOOKUP(VLOOKUP($I57&amp;$F57&amp;$G57,装备属性表,装备属性计算表!BA$29,FALSE),定义数据!$B$13:$C$35,2,FALSE)</f>
        <v>0</v>
      </c>
      <c r="AG57" s="14">
        <f>VLOOKUP($I57&amp;$F57&amp;$G57,装备属性表,装备属性计算表!BB$29,FALSE)</f>
        <v>0</v>
      </c>
      <c r="AH57" s="14">
        <f ca="1">VLOOKUP(VLOOKUP($I57&amp;$F57&amp;$G57,装备属性表,装备属性计算表!BC$29,FALSE),定义数据!$B$13:$C$35,2,FALSE)</f>
        <v>0</v>
      </c>
      <c r="AI57" s="14">
        <f>VLOOKUP($I57&amp;$F57&amp;$G57,装备属性表,装备属性计算表!BD$29,FALSE)</f>
        <v>0</v>
      </c>
      <c r="AJ57" s="14">
        <f ca="1">VLOOKUP(VLOOKUP($I57&amp;$F57&amp;$G57,装备属性表,装备属性计算表!BE$29,FALSE),定义数据!$B$13:$C$35,2,FALSE)</f>
        <v>0</v>
      </c>
      <c r="AK57" s="14">
        <f>VLOOKUP($I57&amp;$F57&amp;$G57,装备属性表,装备属性计算表!BF$29,FALSE)</f>
        <v>0</v>
      </c>
      <c r="AL57" t="str">
        <f t="shared" si="17"/>
        <v>碧蓝长裤是一件30级蓝色可升级的装备。</v>
      </c>
      <c r="AM57" t="str">
        <f>IF(D57=0,5,D57) &amp; F57&amp;"00"&amp;VLOOKUP(G57,定义数据!$F$20:$G$27,2,FALSE)&amp;".png"</f>
        <v>52003.png</v>
      </c>
      <c r="AN57" s="79">
        <f>IF(OR(G57&lt;15),0,D_装备升级表!A57)</f>
        <v>30012</v>
      </c>
      <c r="AP57">
        <f ca="1">VLOOKUP(G57&amp;I57&amp;F57,CHOOSE({1,2},装备属性计算表!$BK$32:$BK$187,装备属性计算表!$BJ$32:$BJ$187),2,FALSE)</f>
        <v>34.672418304983111</v>
      </c>
      <c r="AQ57">
        <f ca="1">AP57*'[1]0、经济设定'!$C$18</f>
        <v>1733.6209152491556</v>
      </c>
      <c r="AR57">
        <f ca="1">IFERROR(AQ57*'[1]0、经济设定'!$E$19*AU57*AS57,0)</f>
        <v>114.42528818924831</v>
      </c>
      <c r="AS57">
        <v>10</v>
      </c>
      <c r="AT57">
        <f t="shared" si="19"/>
        <v>36</v>
      </c>
      <c r="AU57">
        <f ca="1">IF(F57=0,IFERROR(AT57/AP57/'[1]0、经济设定'!$E$18,0),AU56)</f>
        <v>3.3001819250895212</v>
      </c>
      <c r="AV57">
        <f t="shared" ca="1" si="15"/>
        <v>1386.8967321993246</v>
      </c>
    </row>
    <row r="58" spans="1:48" x14ac:dyDescent="0.15">
      <c r="A58" s="14" t="str">
        <f t="shared" si="3"/>
        <v>55108</v>
      </c>
      <c r="B58" s="14" t="s">
        <v>550</v>
      </c>
      <c r="C58" s="14">
        <f>VLOOKUP($I58&amp;$F58&amp;$G58,装备属性表,装备属性计算表!AK$29,FALSE)</f>
        <v>8</v>
      </c>
      <c r="D58" s="14">
        <f t="shared" si="32"/>
        <v>0</v>
      </c>
      <c r="E58" s="14" t="str">
        <f>VLOOKUP(F58,CHOOSE({1,2},定义数据!$F$2:$F$7,武器部位),2)</f>
        <v>鞋子</v>
      </c>
      <c r="F58" s="14">
        <v>5</v>
      </c>
      <c r="G58" s="14">
        <v>30</v>
      </c>
      <c r="H58" s="14">
        <f t="shared" si="7"/>
        <v>30</v>
      </c>
      <c r="I58" s="14">
        <v>1</v>
      </c>
      <c r="J58" s="14" t="str">
        <f t="shared" si="8"/>
        <v>3015</v>
      </c>
      <c r="K58" s="14" t="str">
        <f t="shared" si="9"/>
        <v>3015</v>
      </c>
      <c r="L58" s="76"/>
      <c r="M58" s="14">
        <f>IF(OR(G58&lt;15,G58=80),0,D_装备升级表!A58)</f>
        <v>30015</v>
      </c>
      <c r="N58" s="78">
        <v>1</v>
      </c>
      <c r="O58" s="14">
        <f t="shared" si="4"/>
        <v>800</v>
      </c>
      <c r="P58" s="14"/>
      <c r="Q58" s="14">
        <f>VLOOKUP($I58&amp;$F58&amp;$G58,装备属性表,装备属性计算表!AL$29,FALSE)</f>
        <v>3</v>
      </c>
      <c r="R58" s="14">
        <f ca="1">VLOOKUP(VLOOKUP($I58&amp;$F58&amp;$G58,装备属性表,装备属性计算表!AM$29,FALSE),定义数据!$B$13:$C$35,2,FALSE)</f>
        <v>1</v>
      </c>
      <c r="S58" s="14">
        <f ca="1">VLOOKUP($I58&amp;$F58&amp;$G58,装备属性表,装备属性计算表!AN$29,FALSE)</f>
        <v>470.37791783808672</v>
      </c>
      <c r="T58" s="14">
        <f ca="1">VLOOKUP(VLOOKUP($I58&amp;$F58&amp;$G58,装备属性表,装备属性计算表!AO$29,FALSE),定义数据!$B$13:$C$35,2,FALSE)</f>
        <v>7</v>
      </c>
      <c r="U58" s="14">
        <f ca="1">VLOOKUP($I58&amp;$F58&amp;$G58,装备属性表,装备属性计算表!AP$29,FALSE)</f>
        <v>62.5</v>
      </c>
      <c r="V58" s="14">
        <f ca="1">VLOOKUP(VLOOKUP($I58&amp;$F58&amp;$G58,装备属性表,装备属性计算表!AQ$29,FALSE),定义数据!$B$13:$C$35,2,FALSE)</f>
        <v>1</v>
      </c>
      <c r="W58" s="14">
        <f ca="1">VLOOKUP($I58&amp;$F58&amp;$G58,装备属性表,装备属性计算表!AR$29,FALSE)</f>
        <v>39.198159819840555</v>
      </c>
      <c r="X58" s="14">
        <f ca="1">VLOOKUP(VLOOKUP($I58&amp;$F58&amp;$G58,装备属性表,装备属性计算表!AS$29,FALSE),定义数据!$B$13:$C$35,2,FALSE)</f>
        <v>0</v>
      </c>
      <c r="Y58" s="14">
        <f>VLOOKUP($I58&amp;$F58&amp;$G58,装备属性表,装备属性计算表!AT$29,FALSE)</f>
        <v>0</v>
      </c>
      <c r="Z58" s="14">
        <f ca="1">VLOOKUP(VLOOKUP($I58&amp;$F58&amp;$G58,装备属性表,装备属性计算表!AU$29,FALSE),定义数据!$B$13:$C$35,2,FALSE)</f>
        <v>0</v>
      </c>
      <c r="AA58" s="14">
        <f>VLOOKUP($I58&amp;$F58&amp;$G58,装备属性表,装备属性计算表!AV$29,FALSE)</f>
        <v>0</v>
      </c>
      <c r="AB58" s="14">
        <f ca="1">VLOOKUP(VLOOKUP($I58&amp;$F58&amp;$G58,装备属性表,装备属性计算表!AW$29,FALSE),定义数据!$B$13:$C$35,2,FALSE)</f>
        <v>0</v>
      </c>
      <c r="AC58" s="14">
        <f>VLOOKUP($I58&amp;$F58&amp;$G58,装备属性表,装备属性计算表!AX$29,FALSE)</f>
        <v>0</v>
      </c>
      <c r="AD58" s="14">
        <f ca="1">VLOOKUP(VLOOKUP($I58&amp;$F58&amp;$G58,装备属性表,装备属性计算表!AY$29,FALSE),定义数据!$B$13:$C$35,2,FALSE)</f>
        <v>0</v>
      </c>
      <c r="AE58" s="14">
        <f>VLOOKUP($I58&amp;$F58&amp;$G58,装备属性表,装备属性计算表!AZ$29,FALSE)</f>
        <v>0</v>
      </c>
      <c r="AF58" s="14">
        <f ca="1">VLOOKUP(VLOOKUP($I58&amp;$F58&amp;$G58,装备属性表,装备属性计算表!BA$29,FALSE),定义数据!$B$13:$C$35,2,FALSE)</f>
        <v>0</v>
      </c>
      <c r="AG58" s="14">
        <f>VLOOKUP($I58&amp;$F58&amp;$G58,装备属性表,装备属性计算表!BB$29,FALSE)</f>
        <v>0</v>
      </c>
      <c r="AH58" s="14">
        <f ca="1">VLOOKUP(VLOOKUP($I58&amp;$F58&amp;$G58,装备属性表,装备属性计算表!BC$29,FALSE),定义数据!$B$13:$C$35,2,FALSE)</f>
        <v>0</v>
      </c>
      <c r="AI58" s="14">
        <f>VLOOKUP($I58&amp;$F58&amp;$G58,装备属性表,装备属性计算表!BD$29,FALSE)</f>
        <v>0</v>
      </c>
      <c r="AJ58" s="14">
        <f ca="1">VLOOKUP(VLOOKUP($I58&amp;$F58&amp;$G58,装备属性表,装备属性计算表!BE$29,FALSE),定义数据!$B$13:$C$35,2,FALSE)</f>
        <v>0</v>
      </c>
      <c r="AK58" s="14">
        <f>VLOOKUP($I58&amp;$F58&amp;$G58,装备属性表,装备属性计算表!BF$29,FALSE)</f>
        <v>0</v>
      </c>
      <c r="AL58" t="str">
        <f t="shared" si="17"/>
        <v>碧蓝长靴是一件30级蓝色可升级的装备。</v>
      </c>
      <c r="AM58" t="str">
        <f>IF(D58=0,5,D58) &amp; F58&amp;"00"&amp;VLOOKUP(G58,定义数据!$F$20:$G$27,2,FALSE)&amp;".png"</f>
        <v>55003.png</v>
      </c>
      <c r="AN58" s="79">
        <f>IF(OR(G58&lt;15),0,D_装备升级表!A58)</f>
        <v>30015</v>
      </c>
      <c r="AP58">
        <f ca="1">VLOOKUP(G58&amp;I58&amp;F58,CHOOSE({1,2},装备属性计算表!$BK$32:$BK$187,装备属性计算表!$BJ$32:$BJ$187),2,FALSE)</f>
        <v>44.170543106317091</v>
      </c>
      <c r="AQ58">
        <f ca="1">AP58*'[1]0、经济设定'!$C$18</f>
        <v>2208.5271553158545</v>
      </c>
      <c r="AR58">
        <f ca="1">IFERROR(AQ58*'[1]0、经济设定'!$E$19*AU58*AS58,0)</f>
        <v>145.77082798085522</v>
      </c>
      <c r="AS58">
        <v>10</v>
      </c>
      <c r="AT58">
        <f t="shared" si="19"/>
        <v>36</v>
      </c>
      <c r="AU58">
        <f ca="1">IF(F58=0,IFERROR(AT58/AP58/'[1]0、经济设定'!$E$18,0),AU57)</f>
        <v>3.3001819250895212</v>
      </c>
      <c r="AV58">
        <f t="shared" ca="1" si="15"/>
        <v>1766.8217242526837</v>
      </c>
    </row>
    <row r="59" spans="1:48" x14ac:dyDescent="0.15">
      <c r="A59" s="14" t="str">
        <f t="shared" si="3"/>
        <v>54108</v>
      </c>
      <c r="B59" s="14" t="s">
        <v>551</v>
      </c>
      <c r="C59" s="14">
        <f>VLOOKUP($I59&amp;$F59&amp;$G59,装备属性表,装备属性计算表!AK$29,FALSE)</f>
        <v>8</v>
      </c>
      <c r="D59" s="14">
        <f t="shared" si="32"/>
        <v>0</v>
      </c>
      <c r="E59" s="14" t="str">
        <f>VLOOKUP(F59,CHOOSE({1,2},定义数据!$F$2:$F$7,武器部位),2)</f>
        <v>腰带</v>
      </c>
      <c r="F59" s="14">
        <v>4</v>
      </c>
      <c r="G59" s="14">
        <v>30</v>
      </c>
      <c r="H59" s="14">
        <f t="shared" si="7"/>
        <v>30</v>
      </c>
      <c r="I59" s="14">
        <v>1</v>
      </c>
      <c r="J59" s="14" t="str">
        <f t="shared" si="8"/>
        <v>3014</v>
      </c>
      <c r="K59" s="14" t="str">
        <f t="shared" si="9"/>
        <v>3014</v>
      </c>
      <c r="L59" s="76"/>
      <c r="M59" s="14">
        <f>IF(OR(G59&lt;15,G59=80),0,D_装备升级表!A59)</f>
        <v>30014</v>
      </c>
      <c r="N59" s="78">
        <v>1</v>
      </c>
      <c r="O59" s="14">
        <f t="shared" si="4"/>
        <v>800</v>
      </c>
      <c r="P59" s="14"/>
      <c r="Q59" s="14">
        <f>VLOOKUP($I59&amp;$F59&amp;$G59,装备属性表,装备属性计算表!AL$29,FALSE)</f>
        <v>3</v>
      </c>
      <c r="R59" s="14">
        <f ca="1">VLOOKUP(VLOOKUP($I59&amp;$F59&amp;$G59,装备属性表,装备属性计算表!AM$29,FALSE),定义数据!$B$13:$C$35,2,FALSE)</f>
        <v>1</v>
      </c>
      <c r="S59" s="14">
        <f ca="1">VLOOKUP($I59&amp;$F59&amp;$G59,装备属性表,装备属性计算表!AN$29,FALSE)</f>
        <v>470.37791783808672</v>
      </c>
      <c r="T59" s="14">
        <f ca="1">VLOOKUP(VLOOKUP($I59&amp;$F59&amp;$G59,装备属性表,装备属性计算表!AO$29,FALSE),定义数据!$B$13:$C$35,2,FALSE)</f>
        <v>9</v>
      </c>
      <c r="U59" s="14">
        <f ca="1">VLOOKUP($I59&amp;$F59&amp;$G59,装备属性表,装备属性计算表!AP$29,FALSE)</f>
        <v>55.55555555555555</v>
      </c>
      <c r="V59" s="14">
        <f ca="1">VLOOKUP(VLOOKUP($I59&amp;$F59&amp;$G59,装备属性表,装备属性计算表!AQ$29,FALSE),定义数据!$B$13:$C$35,2,FALSE)</f>
        <v>1</v>
      </c>
      <c r="W59" s="14">
        <f ca="1">VLOOKUP($I59&amp;$F59&amp;$G59,装备属性表,装备属性计算表!AR$29,FALSE)</f>
        <v>78.39631963968111</v>
      </c>
      <c r="X59" s="14">
        <f ca="1">VLOOKUP(VLOOKUP($I59&amp;$F59&amp;$G59,装备属性表,装备属性计算表!AS$29,FALSE),定义数据!$B$13:$C$35,2,FALSE)</f>
        <v>0</v>
      </c>
      <c r="Y59" s="14">
        <f>VLOOKUP($I59&amp;$F59&amp;$G59,装备属性表,装备属性计算表!AT$29,FALSE)</f>
        <v>0</v>
      </c>
      <c r="Z59" s="14">
        <f ca="1">VLOOKUP(VLOOKUP($I59&amp;$F59&amp;$G59,装备属性表,装备属性计算表!AU$29,FALSE),定义数据!$B$13:$C$35,2,FALSE)</f>
        <v>0</v>
      </c>
      <c r="AA59" s="14">
        <f>VLOOKUP($I59&amp;$F59&amp;$G59,装备属性表,装备属性计算表!AV$29,FALSE)</f>
        <v>0</v>
      </c>
      <c r="AB59" s="14">
        <f ca="1">VLOOKUP(VLOOKUP($I59&amp;$F59&amp;$G59,装备属性表,装备属性计算表!AW$29,FALSE),定义数据!$B$13:$C$35,2,FALSE)</f>
        <v>0</v>
      </c>
      <c r="AC59" s="14">
        <f>VLOOKUP($I59&amp;$F59&amp;$G59,装备属性表,装备属性计算表!AX$29,FALSE)</f>
        <v>0</v>
      </c>
      <c r="AD59" s="14">
        <f ca="1">VLOOKUP(VLOOKUP($I59&amp;$F59&amp;$G59,装备属性表,装备属性计算表!AY$29,FALSE),定义数据!$B$13:$C$35,2,FALSE)</f>
        <v>0</v>
      </c>
      <c r="AE59" s="14">
        <f>VLOOKUP($I59&amp;$F59&amp;$G59,装备属性表,装备属性计算表!AZ$29,FALSE)</f>
        <v>0</v>
      </c>
      <c r="AF59" s="14">
        <f ca="1">VLOOKUP(VLOOKUP($I59&amp;$F59&amp;$G59,装备属性表,装备属性计算表!BA$29,FALSE),定义数据!$B$13:$C$35,2,FALSE)</f>
        <v>0</v>
      </c>
      <c r="AG59" s="14">
        <f>VLOOKUP($I59&amp;$F59&amp;$G59,装备属性表,装备属性计算表!BB$29,FALSE)</f>
        <v>0</v>
      </c>
      <c r="AH59" s="14">
        <f ca="1">VLOOKUP(VLOOKUP($I59&amp;$F59&amp;$G59,装备属性表,装备属性计算表!BC$29,FALSE),定义数据!$B$13:$C$35,2,FALSE)</f>
        <v>0</v>
      </c>
      <c r="AI59" s="14">
        <f>VLOOKUP($I59&amp;$F59&amp;$G59,装备属性表,装备属性计算表!BD$29,FALSE)</f>
        <v>0</v>
      </c>
      <c r="AJ59" s="14">
        <f ca="1">VLOOKUP(VLOOKUP($I59&amp;$F59&amp;$G59,装备属性表,装备属性计算表!BE$29,FALSE),定义数据!$B$13:$C$35,2,FALSE)</f>
        <v>0</v>
      </c>
      <c r="AK59" s="14">
        <f>VLOOKUP($I59&amp;$F59&amp;$G59,装备属性表,装备属性计算表!BF$29,FALSE)</f>
        <v>0</v>
      </c>
      <c r="AL59" t="str">
        <f t="shared" si="17"/>
        <v>碧蓝腰带是一件30级蓝色可升级的装备。</v>
      </c>
      <c r="AM59" t="str">
        <f>IF(D59=0,5,D59) &amp; F59&amp;"00"&amp;VLOOKUP(G59,定义数据!$F$20:$G$27,2,FALSE)&amp;".png"</f>
        <v>54003.png</v>
      </c>
      <c r="AN59" s="79">
        <f>IF(OR(G59&lt;15),0,D_装备升级表!A59)</f>
        <v>30014</v>
      </c>
      <c r="AP59">
        <f ca="1">VLOOKUP(G59&amp;I59&amp;F59,CHOOSE({1,2},装备属性计算表!$BK$32:$BK$187,装备属性计算表!$BJ$32:$BJ$187),2,FALSE)</f>
        <v>35.533835571320218</v>
      </c>
      <c r="AQ59">
        <f ca="1">AP59*'[1]0、经济设定'!$C$18</f>
        <v>1776.691778566011</v>
      </c>
      <c r="AR59">
        <f ca="1">IFERROR(AQ59*'[1]0、经济设定'!$E$19*AU59*AS59,0)</f>
        <v>117.26812188157407</v>
      </c>
      <c r="AS59">
        <v>10</v>
      </c>
      <c r="AT59">
        <f t="shared" si="19"/>
        <v>36</v>
      </c>
      <c r="AU59">
        <f ca="1">IF(F59=0,IFERROR(AT59/AP59/'[1]0、经济设定'!$E$18,0),AU58)</f>
        <v>3.3001819250895212</v>
      </c>
      <c r="AV59">
        <f t="shared" ca="1" si="15"/>
        <v>1421.3534228528088</v>
      </c>
    </row>
    <row r="60" spans="1:48" x14ac:dyDescent="0.15">
      <c r="A60" s="14" t="str">
        <f t="shared" si="3"/>
        <v>53108</v>
      </c>
      <c r="B60" s="14" t="s">
        <v>552</v>
      </c>
      <c r="C60" s="14">
        <f>VLOOKUP($I60&amp;$F60&amp;$G60,装备属性表,装备属性计算表!AK$29,FALSE)</f>
        <v>8</v>
      </c>
      <c r="D60" s="14">
        <f t="shared" si="32"/>
        <v>0</v>
      </c>
      <c r="E60" s="14" t="str">
        <f>VLOOKUP(F60,CHOOSE({1,2},定义数据!$F$2:$F$7,武器部位),2)</f>
        <v>项链</v>
      </c>
      <c r="F60" s="14">
        <v>3</v>
      </c>
      <c r="G60" s="14">
        <v>30</v>
      </c>
      <c r="H60" s="14">
        <f t="shared" si="7"/>
        <v>30</v>
      </c>
      <c r="I60" s="14">
        <v>1</v>
      </c>
      <c r="J60" s="14" t="str">
        <f t="shared" si="8"/>
        <v>3013</v>
      </c>
      <c r="K60" s="14" t="str">
        <f t="shared" si="9"/>
        <v>3013</v>
      </c>
      <c r="L60" s="76"/>
      <c r="M60" s="14">
        <f>IF(OR(G60&lt;15,G60=80),0,D_装备升级表!A60)</f>
        <v>30013</v>
      </c>
      <c r="N60" s="78">
        <v>1</v>
      </c>
      <c r="O60" s="14">
        <f t="shared" si="4"/>
        <v>800</v>
      </c>
      <c r="P60" s="14"/>
      <c r="Q60" s="14">
        <f>VLOOKUP($I60&amp;$F60&amp;$G60,装备属性表,装备属性计算表!AL$29,FALSE)</f>
        <v>3</v>
      </c>
      <c r="R60" s="14">
        <f ca="1">VLOOKUP(VLOOKUP($I60&amp;$F60&amp;$G60,装备属性表,装备属性计算表!AM$29,FALSE),定义数据!$B$13:$C$35,2,FALSE)</f>
        <v>2</v>
      </c>
      <c r="S60" s="14">
        <f ca="1">VLOOKUP($I60&amp;$F60&amp;$G60,装备属性表,装备属性计算表!AN$29,FALSE)</f>
        <v>29.864829946524072</v>
      </c>
      <c r="T60" s="14">
        <f ca="1">VLOOKUP(VLOOKUP($I60&amp;$F60&amp;$G60,装备属性表,装备属性计算表!AO$29,FALSE),定义数据!$B$13:$C$35,2,FALSE)</f>
        <v>6</v>
      </c>
      <c r="U60" s="14">
        <f ca="1">VLOOKUP($I60&amp;$F60&amp;$G60,装备属性表,装备属性计算表!AP$29,FALSE)</f>
        <v>93.75</v>
      </c>
      <c r="V60" s="14">
        <f ca="1">VLOOKUP(VLOOKUP($I60&amp;$F60&amp;$G60,装备属性表,装备属性计算表!AQ$29,FALSE),定义数据!$B$13:$C$35,2,FALSE)</f>
        <v>2</v>
      </c>
      <c r="W60" s="14">
        <f ca="1">VLOOKUP($I60&amp;$F60&amp;$G60,装备属性表,装备属性计算表!AR$29,FALSE)</f>
        <v>2.3891863957219259</v>
      </c>
      <c r="X60" s="14">
        <f ca="1">VLOOKUP(VLOOKUP($I60&amp;$F60&amp;$G60,装备属性表,装备属性计算表!AS$29,FALSE),定义数据!$B$13:$C$35,2,FALSE)</f>
        <v>0</v>
      </c>
      <c r="Y60" s="14">
        <f>VLOOKUP($I60&amp;$F60&amp;$G60,装备属性表,装备属性计算表!AT$29,FALSE)</f>
        <v>0</v>
      </c>
      <c r="Z60" s="14">
        <f ca="1">VLOOKUP(VLOOKUP($I60&amp;$F60&amp;$G60,装备属性表,装备属性计算表!AU$29,FALSE),定义数据!$B$13:$C$35,2,FALSE)</f>
        <v>0</v>
      </c>
      <c r="AA60" s="14">
        <f>VLOOKUP($I60&amp;$F60&amp;$G60,装备属性表,装备属性计算表!AV$29,FALSE)</f>
        <v>0</v>
      </c>
      <c r="AB60" s="14">
        <f ca="1">VLOOKUP(VLOOKUP($I60&amp;$F60&amp;$G60,装备属性表,装备属性计算表!AW$29,FALSE),定义数据!$B$13:$C$35,2,FALSE)</f>
        <v>0</v>
      </c>
      <c r="AC60" s="14">
        <f>VLOOKUP($I60&amp;$F60&amp;$G60,装备属性表,装备属性计算表!AX$29,FALSE)</f>
        <v>0</v>
      </c>
      <c r="AD60" s="14">
        <f ca="1">VLOOKUP(VLOOKUP($I60&amp;$F60&amp;$G60,装备属性表,装备属性计算表!AY$29,FALSE),定义数据!$B$13:$C$35,2,FALSE)</f>
        <v>0</v>
      </c>
      <c r="AE60" s="14">
        <f>VLOOKUP($I60&amp;$F60&amp;$G60,装备属性表,装备属性计算表!AZ$29,FALSE)</f>
        <v>0</v>
      </c>
      <c r="AF60" s="14">
        <f ca="1">VLOOKUP(VLOOKUP($I60&amp;$F60&amp;$G60,装备属性表,装备属性计算表!BA$29,FALSE),定义数据!$B$13:$C$35,2,FALSE)</f>
        <v>0</v>
      </c>
      <c r="AG60" s="14">
        <f>VLOOKUP($I60&amp;$F60&amp;$G60,装备属性表,装备属性计算表!BB$29,FALSE)</f>
        <v>0</v>
      </c>
      <c r="AH60" s="14">
        <f ca="1">VLOOKUP(VLOOKUP($I60&amp;$F60&amp;$G60,装备属性表,装备属性计算表!BC$29,FALSE),定义数据!$B$13:$C$35,2,FALSE)</f>
        <v>0</v>
      </c>
      <c r="AI60" s="14">
        <f>VLOOKUP($I60&amp;$F60&amp;$G60,装备属性表,装备属性计算表!BD$29,FALSE)</f>
        <v>0</v>
      </c>
      <c r="AJ60" s="14">
        <f ca="1">VLOOKUP(VLOOKUP($I60&amp;$F60&amp;$G60,装备属性表,装备属性计算表!BE$29,FALSE),定义数据!$B$13:$C$35,2,FALSE)</f>
        <v>0</v>
      </c>
      <c r="AK60" s="14">
        <f>VLOOKUP($I60&amp;$F60&amp;$G60,装备属性表,装备属性计算表!BF$29,FALSE)</f>
        <v>0</v>
      </c>
      <c r="AL60" t="str">
        <f t="shared" si="17"/>
        <v>碧蓝项链是一件30级蓝色可升级的装备。</v>
      </c>
      <c r="AM60" t="str">
        <f>IF(D60=0,5,D60) &amp; F60&amp;"00"&amp;VLOOKUP(G60,定义数据!$F$20:$G$27,2,FALSE)&amp;".png"</f>
        <v>53003.png</v>
      </c>
      <c r="AN60" s="79">
        <f>IF(OR(G60&lt;15),0,D_装备升级表!A60)</f>
        <v>30013</v>
      </c>
      <c r="AP60">
        <f ca="1">VLOOKUP(G60&amp;I60&amp;F60,CHOOSE({1,2},装备属性计算表!$BK$32:$BK$187,装备属性计算表!$BJ$32:$BJ$187),2,FALSE)</f>
        <v>66.229016342245998</v>
      </c>
      <c r="AQ60">
        <f ca="1">AP60*'[1]0、经济设定'!$C$18</f>
        <v>3311.4508171122998</v>
      </c>
      <c r="AR60">
        <f ca="1">IFERROR(AQ60*'[1]0、经济设定'!$E$19*AU60*AS60,0)</f>
        <v>218.56780264913877</v>
      </c>
      <c r="AS60">
        <v>10</v>
      </c>
      <c r="AT60">
        <f t="shared" si="19"/>
        <v>36</v>
      </c>
      <c r="AU60">
        <f ca="1">IF(F60=0,IFERROR(AT60/AP60/'[1]0、经济设定'!$E$18,0),AU59)</f>
        <v>3.3001819250895212</v>
      </c>
      <c r="AV60">
        <f t="shared" ca="1" si="15"/>
        <v>2649.1606536898398</v>
      </c>
    </row>
    <row r="61" spans="1:48" x14ac:dyDescent="0.15">
      <c r="A61" s="14" t="str">
        <f t="shared" si="3"/>
        <v>10209</v>
      </c>
      <c r="B61" s="14" t="s">
        <v>553</v>
      </c>
      <c r="C61" s="14">
        <f>VLOOKUP($I61&amp;$F61&amp;$G61,装备属性表,装备属性计算表!AK$29,FALSE)</f>
        <v>9</v>
      </c>
      <c r="D61" s="14">
        <f t="shared" si="18"/>
        <v>1</v>
      </c>
      <c r="E61" s="14" t="str">
        <f>VLOOKUP(F61,CHOOSE({1,2},定义数据!$F$2:$F$7,武器部位),2)</f>
        <v>武器</v>
      </c>
      <c r="F61" s="14">
        <v>0</v>
      </c>
      <c r="G61" s="14">
        <v>30</v>
      </c>
      <c r="H61" s="14">
        <f t="shared" si="7"/>
        <v>30</v>
      </c>
      <c r="I61" s="14">
        <v>2</v>
      </c>
      <c r="J61" s="14" t="str">
        <f t="shared" si="8"/>
        <v>3020</v>
      </c>
      <c r="K61" s="14" t="str">
        <f t="shared" si="9"/>
        <v>3020</v>
      </c>
      <c r="L61" s="76"/>
      <c r="M61" s="14">
        <f>IF(OR(G61&lt;15,G61=80),0,D_装备升级表!A61)</f>
        <v>30120</v>
      </c>
      <c r="N61" s="78">
        <v>1</v>
      </c>
      <c r="O61" s="14">
        <f t="shared" si="4"/>
        <v>900</v>
      </c>
      <c r="P61" s="14"/>
      <c r="Q61" s="14">
        <f>VLOOKUP($I61&amp;$F61&amp;$G61,装备属性表,装备属性计算表!AL$29,FALSE)</f>
        <v>4</v>
      </c>
      <c r="R61" s="14">
        <f ca="1">VLOOKUP(VLOOKUP($I61&amp;$F61&amp;$G61,装备属性表,装备属性计算表!AM$29,FALSE),定义数据!$B$13:$C$35,2,FALSE)</f>
        <v>2</v>
      </c>
      <c r="S61" s="14">
        <f ca="1">VLOOKUP($I61&amp;$F61&amp;$G61,装备属性表,装备属性计算表!AN$29,FALSE)</f>
        <v>116.4728367914439</v>
      </c>
      <c r="T61" s="14">
        <f ca="1">VLOOKUP(VLOOKUP($I61&amp;$F61&amp;$G61,装备属性表,装备属性计算表!AO$29,FALSE),定义数据!$B$13:$C$35,2,FALSE)</f>
        <v>8</v>
      </c>
      <c r="U61" s="14">
        <f ca="1">VLOOKUP($I61&amp;$F61&amp;$G61,装备属性表,装备属性计算表!AP$29,FALSE)</f>
        <v>72.222222222222229</v>
      </c>
      <c r="V61" s="14">
        <f ca="1">VLOOKUP(VLOOKUP($I61&amp;$F61&amp;$G61,装备属性表,装备属性计算表!AQ$29,FALSE),定义数据!$B$13:$C$35,2,FALSE)</f>
        <v>2</v>
      </c>
      <c r="W61" s="14">
        <f ca="1">VLOOKUP($I61&amp;$F61&amp;$G61,装备属性表,装备属性计算表!AR$29,FALSE)</f>
        <v>20.706282096256693</v>
      </c>
      <c r="X61" s="14">
        <f ca="1">VLOOKUP(VLOOKUP($I61&amp;$F61&amp;$G61,装备属性表,装备属性计算表!AS$29,FALSE),定义数据!$B$13:$C$35,2,FALSE)</f>
        <v>3</v>
      </c>
      <c r="Y61" s="14">
        <f ca="1">VLOOKUP($I61&amp;$F61&amp;$G61,装备属性表,装备属性计算表!AT$29,FALSE)</f>
        <v>2.4854449913344889</v>
      </c>
      <c r="Z61" s="14">
        <f ca="1">VLOOKUP(VLOOKUP($I61&amp;$F61&amp;$G61,装备属性表,装备属性计算表!AU$29,FALSE),定义数据!$B$13:$C$35,2,FALSE)</f>
        <v>0</v>
      </c>
      <c r="AA61" s="14">
        <f>VLOOKUP($I61&amp;$F61&amp;$G61,装备属性表,装备属性计算表!AV$29,FALSE)</f>
        <v>0</v>
      </c>
      <c r="AB61" s="14">
        <f ca="1">VLOOKUP(VLOOKUP($I61&amp;$F61&amp;$G61,装备属性表,装备属性计算表!AW$29,FALSE),定义数据!$B$13:$C$35,2,FALSE)</f>
        <v>0</v>
      </c>
      <c r="AC61" s="14">
        <f>VLOOKUP($I61&amp;$F61&amp;$G61,装备属性表,装备属性计算表!AX$29,FALSE)</f>
        <v>0</v>
      </c>
      <c r="AD61" s="14">
        <f ca="1">VLOOKUP(VLOOKUP($I61&amp;$F61&amp;$G61,装备属性表,装备属性计算表!AY$29,FALSE),定义数据!$B$13:$C$35,2,FALSE)</f>
        <v>0</v>
      </c>
      <c r="AE61" s="14">
        <f>VLOOKUP($I61&amp;$F61&amp;$G61,装备属性表,装备属性计算表!AZ$29,FALSE)</f>
        <v>0</v>
      </c>
      <c r="AF61" s="14">
        <f ca="1">VLOOKUP(VLOOKUP($I61&amp;$F61&amp;$G61,装备属性表,装备属性计算表!BA$29,FALSE),定义数据!$B$13:$C$35,2,FALSE)</f>
        <v>0</v>
      </c>
      <c r="AG61" s="14">
        <f>VLOOKUP($I61&amp;$F61&amp;$G61,装备属性表,装备属性计算表!BB$29,FALSE)</f>
        <v>0</v>
      </c>
      <c r="AH61" s="14">
        <f ca="1">VLOOKUP(VLOOKUP($I61&amp;$F61&amp;$G61,装备属性表,装备属性计算表!BC$29,FALSE),定义数据!$B$13:$C$35,2,FALSE)</f>
        <v>0</v>
      </c>
      <c r="AI61" s="14">
        <f>VLOOKUP($I61&amp;$F61&amp;$G61,装备属性表,装备属性计算表!BD$29,FALSE)</f>
        <v>0</v>
      </c>
      <c r="AJ61" s="14">
        <f ca="1">VLOOKUP(VLOOKUP($I61&amp;$F61&amp;$G61,装备属性表,装备属性计算表!BE$29,FALSE),定义数据!$B$13:$C$35,2,FALSE)</f>
        <v>0</v>
      </c>
      <c r="AK61" s="14">
        <f>VLOOKUP($I61&amp;$F61&amp;$G61,装备属性表,装备属性计算表!BF$29,FALSE)</f>
        <v>0</v>
      </c>
      <c r="AL61" t="str">
        <f t="shared" si="17"/>
        <v>斩魄之刃是一件30级紫色可升级的装备。</v>
      </c>
      <c r="AM61" t="str">
        <f>IF(D61=0,5,D61) &amp; F61&amp;"00"&amp;VLOOKUP(G61,定义数据!$F$20:$G$27,2,FALSE)&amp;".png"</f>
        <v>10003.png</v>
      </c>
      <c r="AN61" s="79">
        <f>IF(OR(G61&lt;15),0,D_装备升级表!A61)</f>
        <v>30120</v>
      </c>
      <c r="AP61">
        <f ca="1">VLOOKUP(G61&amp;I61&amp;F61,CHOOSE({1,2},装备属性计算表!$BK$32:$BK$187,装备属性计算表!$BJ$32:$BJ$187),2,FALSE)</f>
        <v>156.88956387903508</v>
      </c>
      <c r="AQ61">
        <f ca="1">AP61*'[1]0、经济设定'!$C$18</f>
        <v>7844.4781939517543</v>
      </c>
      <c r="AR61">
        <f ca="1">IFERROR(AQ61*'[1]0、经济设定'!$E$19*AU61*AS61,0)</f>
        <v>719.99999999999989</v>
      </c>
      <c r="AS61">
        <v>10</v>
      </c>
      <c r="AT61">
        <f t="shared" si="19"/>
        <v>72</v>
      </c>
      <c r="AU61">
        <f ca="1">IF(F61=0,IFERROR(AT61/AP61/'[1]0、经济设定'!$E$18,0),AU60)</f>
        <v>4.5892153830903242</v>
      </c>
      <c r="AV61">
        <f t="shared" ca="1" si="15"/>
        <v>6275.5825551614034</v>
      </c>
    </row>
    <row r="62" spans="1:48" x14ac:dyDescent="0.15">
      <c r="A62" s="14" t="str">
        <f t="shared" si="3"/>
        <v>20209</v>
      </c>
      <c r="B62" s="14" t="s">
        <v>215</v>
      </c>
      <c r="C62" s="14">
        <f>VLOOKUP($I62&amp;$F62&amp;$G62,装备属性表,装备属性计算表!AK$29,FALSE)</f>
        <v>9</v>
      </c>
      <c r="D62" s="14">
        <f t="shared" si="18"/>
        <v>2</v>
      </c>
      <c r="E62" s="14" t="str">
        <f>VLOOKUP(F62,CHOOSE({1,2},定义数据!$F$2:$F$7,武器部位),2)</f>
        <v>武器</v>
      </c>
      <c r="F62" s="14">
        <v>0</v>
      </c>
      <c r="G62" s="14">
        <v>30</v>
      </c>
      <c r="H62" s="14">
        <f t="shared" si="7"/>
        <v>30</v>
      </c>
      <c r="I62" s="14">
        <v>2</v>
      </c>
      <c r="J62" s="14" t="str">
        <f t="shared" si="8"/>
        <v>3020</v>
      </c>
      <c r="K62" s="14" t="str">
        <f t="shared" si="9"/>
        <v>3020</v>
      </c>
      <c r="L62" s="76"/>
      <c r="M62" s="14">
        <f>IF(OR(G62&lt;15,G62=80),0,D_装备升级表!A62)</f>
        <v>30220</v>
      </c>
      <c r="N62" s="78">
        <v>1</v>
      </c>
      <c r="O62" s="14">
        <f t="shared" si="4"/>
        <v>900</v>
      </c>
      <c r="P62" s="14"/>
      <c r="Q62" s="14">
        <f>VLOOKUP($I62&amp;$F62&amp;$G62,装备属性表,装备属性计算表!AL$29,FALSE)</f>
        <v>4</v>
      </c>
      <c r="R62" s="14">
        <f ca="1">VLOOKUP(VLOOKUP($I62&amp;$F62&amp;$G62,装备属性表,装备属性计算表!AM$29,FALSE),定义数据!$B$13:$C$35,2,FALSE)</f>
        <v>2</v>
      </c>
      <c r="S62" s="14">
        <f ca="1">VLOOKUP($I62&amp;$F62&amp;$G62,装备属性表,装备属性计算表!AN$29,FALSE)</f>
        <v>116.4728367914439</v>
      </c>
      <c r="T62" s="14">
        <f ca="1">VLOOKUP(VLOOKUP($I62&amp;$F62&amp;$G62,装备属性表,装备属性计算表!AO$29,FALSE),定义数据!$B$13:$C$35,2,FALSE)</f>
        <v>8</v>
      </c>
      <c r="U62" s="14">
        <f ca="1">VLOOKUP($I62&amp;$F62&amp;$G62,装备属性表,装备属性计算表!AP$29,FALSE)</f>
        <v>72.222222222222229</v>
      </c>
      <c r="V62" s="14">
        <f ca="1">VLOOKUP(VLOOKUP($I62&amp;$F62&amp;$G62,装备属性表,装备属性计算表!AQ$29,FALSE),定义数据!$B$13:$C$35,2,FALSE)</f>
        <v>2</v>
      </c>
      <c r="W62" s="14">
        <f ca="1">VLOOKUP($I62&amp;$F62&amp;$G62,装备属性表,装备属性计算表!AR$29,FALSE)</f>
        <v>20.706282096256693</v>
      </c>
      <c r="X62" s="14">
        <f ca="1">VLOOKUP(VLOOKUP($I62&amp;$F62&amp;$G62,装备属性表,装备属性计算表!AS$29,FALSE),定义数据!$B$13:$C$35,2,FALSE)</f>
        <v>3</v>
      </c>
      <c r="Y62" s="14">
        <f ca="1">VLOOKUP($I62&amp;$F62&amp;$G62,装备属性表,装备属性计算表!AT$29,FALSE)</f>
        <v>2.4854449913344889</v>
      </c>
      <c r="Z62" s="14">
        <f ca="1">VLOOKUP(VLOOKUP($I62&amp;$F62&amp;$G62,装备属性表,装备属性计算表!AU$29,FALSE),定义数据!$B$13:$C$35,2,FALSE)</f>
        <v>0</v>
      </c>
      <c r="AA62" s="14">
        <f>VLOOKUP($I62&amp;$F62&amp;$G62,装备属性表,装备属性计算表!AV$29,FALSE)</f>
        <v>0</v>
      </c>
      <c r="AB62" s="14">
        <f ca="1">VLOOKUP(VLOOKUP($I62&amp;$F62&amp;$G62,装备属性表,装备属性计算表!AW$29,FALSE),定义数据!$B$13:$C$35,2,FALSE)</f>
        <v>0</v>
      </c>
      <c r="AC62" s="14">
        <f>VLOOKUP($I62&amp;$F62&amp;$G62,装备属性表,装备属性计算表!AX$29,FALSE)</f>
        <v>0</v>
      </c>
      <c r="AD62" s="14">
        <f ca="1">VLOOKUP(VLOOKUP($I62&amp;$F62&amp;$G62,装备属性表,装备属性计算表!AY$29,FALSE),定义数据!$B$13:$C$35,2,FALSE)</f>
        <v>0</v>
      </c>
      <c r="AE62" s="14">
        <f>VLOOKUP($I62&amp;$F62&amp;$G62,装备属性表,装备属性计算表!AZ$29,FALSE)</f>
        <v>0</v>
      </c>
      <c r="AF62" s="14">
        <f ca="1">VLOOKUP(VLOOKUP($I62&amp;$F62&amp;$G62,装备属性表,装备属性计算表!BA$29,FALSE),定义数据!$B$13:$C$35,2,FALSE)</f>
        <v>0</v>
      </c>
      <c r="AG62" s="14">
        <f>VLOOKUP($I62&amp;$F62&amp;$G62,装备属性表,装备属性计算表!BB$29,FALSE)</f>
        <v>0</v>
      </c>
      <c r="AH62" s="14">
        <f ca="1">VLOOKUP(VLOOKUP($I62&amp;$F62&amp;$G62,装备属性表,装备属性计算表!BC$29,FALSE),定义数据!$B$13:$C$35,2,FALSE)</f>
        <v>0</v>
      </c>
      <c r="AI62" s="14">
        <f>VLOOKUP($I62&amp;$F62&amp;$G62,装备属性表,装备属性计算表!BD$29,FALSE)</f>
        <v>0</v>
      </c>
      <c r="AJ62" s="14">
        <f ca="1">VLOOKUP(VLOOKUP($I62&amp;$F62&amp;$G62,装备属性表,装备属性计算表!BE$29,FALSE),定义数据!$B$13:$C$35,2,FALSE)</f>
        <v>0</v>
      </c>
      <c r="AK62" s="14">
        <f>VLOOKUP($I62&amp;$F62&amp;$G62,装备属性表,装备属性计算表!BF$29,FALSE)</f>
        <v>0</v>
      </c>
      <c r="AL62" t="str">
        <f t="shared" si="17"/>
        <v>流光之拳是一件30级紫色可升级的装备。</v>
      </c>
      <c r="AM62" t="str">
        <f>IF(D62=0,5,D62) &amp; F62&amp;"00"&amp;VLOOKUP(G62,定义数据!$F$20:$G$27,2,FALSE)&amp;".png"</f>
        <v>20003.png</v>
      </c>
      <c r="AN62" s="79">
        <f>IF(OR(G62&lt;15),0,D_装备升级表!A62)</f>
        <v>30220</v>
      </c>
      <c r="AP62">
        <f ca="1">VLOOKUP(G62&amp;I62&amp;F62,CHOOSE({1,2},装备属性计算表!$BK$32:$BK$187,装备属性计算表!$BJ$32:$BJ$187),2,FALSE)</f>
        <v>156.88956387903508</v>
      </c>
      <c r="AQ62">
        <f ca="1">AP62*'[1]0、经济设定'!$C$18</f>
        <v>7844.4781939517543</v>
      </c>
      <c r="AR62">
        <f ca="1">IFERROR(AQ62*'[1]0、经济设定'!$E$19*AU62*AS62,0)</f>
        <v>719.99999999999989</v>
      </c>
      <c r="AS62">
        <v>10</v>
      </c>
      <c r="AT62">
        <f t="shared" si="19"/>
        <v>72</v>
      </c>
      <c r="AU62">
        <f ca="1">IF(F62=0,IFERROR(AT62/AP62/'[1]0、经济设定'!$E$18,0),AU61)</f>
        <v>4.5892153830903242</v>
      </c>
      <c r="AV62">
        <f t="shared" ca="1" si="15"/>
        <v>6275.5825551614034</v>
      </c>
    </row>
    <row r="63" spans="1:48" x14ac:dyDescent="0.15">
      <c r="A63" s="14" t="str">
        <f t="shared" si="3"/>
        <v>30209</v>
      </c>
      <c r="B63" s="14" t="s">
        <v>554</v>
      </c>
      <c r="C63" s="14">
        <f>VLOOKUP($I63&amp;$F63&amp;$G63,装备属性表,装备属性计算表!AK$29,FALSE)</f>
        <v>9</v>
      </c>
      <c r="D63" s="14">
        <f t="shared" si="18"/>
        <v>3</v>
      </c>
      <c r="E63" s="14" t="str">
        <f>VLOOKUP(F63,CHOOSE({1,2},定义数据!$F$2:$F$7,武器部位),2)</f>
        <v>武器</v>
      </c>
      <c r="F63" s="14">
        <v>0</v>
      </c>
      <c r="G63" s="14">
        <v>30</v>
      </c>
      <c r="H63" s="14">
        <f t="shared" si="7"/>
        <v>30</v>
      </c>
      <c r="I63" s="14">
        <v>2</v>
      </c>
      <c r="J63" s="14" t="str">
        <f t="shared" si="8"/>
        <v>3020</v>
      </c>
      <c r="K63" s="14" t="str">
        <f t="shared" si="9"/>
        <v>3020</v>
      </c>
      <c r="L63" s="76"/>
      <c r="M63" s="14">
        <f>IF(OR(G63&lt;15,G63=80),0,D_装备升级表!A63)</f>
        <v>30320</v>
      </c>
      <c r="N63" s="78">
        <v>1</v>
      </c>
      <c r="O63" s="14">
        <f t="shared" si="4"/>
        <v>900</v>
      </c>
      <c r="P63" s="14"/>
      <c r="Q63" s="14">
        <f>VLOOKUP($I63&amp;$F63&amp;$G63,装备属性表,装备属性计算表!AL$29,FALSE)</f>
        <v>4</v>
      </c>
      <c r="R63" s="14">
        <f ca="1">VLOOKUP(VLOOKUP($I63&amp;$F63&amp;$G63,装备属性表,装备属性计算表!AM$29,FALSE),定义数据!$B$13:$C$35,2,FALSE)</f>
        <v>2</v>
      </c>
      <c r="S63" s="14">
        <f ca="1">VLOOKUP($I63&amp;$F63&amp;$G63,装备属性表,装备属性计算表!AN$29,FALSE)</f>
        <v>116.4728367914439</v>
      </c>
      <c r="T63" s="14">
        <f ca="1">VLOOKUP(VLOOKUP($I63&amp;$F63&amp;$G63,装备属性表,装备属性计算表!AO$29,FALSE),定义数据!$B$13:$C$35,2,FALSE)</f>
        <v>8</v>
      </c>
      <c r="U63" s="14">
        <f ca="1">VLOOKUP($I63&amp;$F63&amp;$G63,装备属性表,装备属性计算表!AP$29,FALSE)</f>
        <v>72.222222222222229</v>
      </c>
      <c r="V63" s="14">
        <f ca="1">VLOOKUP(VLOOKUP($I63&amp;$F63&amp;$G63,装备属性表,装备属性计算表!AQ$29,FALSE),定义数据!$B$13:$C$35,2,FALSE)</f>
        <v>2</v>
      </c>
      <c r="W63" s="14">
        <f ca="1">VLOOKUP($I63&amp;$F63&amp;$G63,装备属性表,装备属性计算表!AR$29,FALSE)</f>
        <v>20.706282096256693</v>
      </c>
      <c r="X63" s="14">
        <f ca="1">VLOOKUP(VLOOKUP($I63&amp;$F63&amp;$G63,装备属性表,装备属性计算表!AS$29,FALSE),定义数据!$B$13:$C$35,2,FALSE)</f>
        <v>3</v>
      </c>
      <c r="Y63" s="14">
        <f ca="1">VLOOKUP($I63&amp;$F63&amp;$G63,装备属性表,装备属性计算表!AT$29,FALSE)</f>
        <v>2.4854449913344889</v>
      </c>
      <c r="Z63" s="14">
        <f ca="1">VLOOKUP(VLOOKUP($I63&amp;$F63&amp;$G63,装备属性表,装备属性计算表!AU$29,FALSE),定义数据!$B$13:$C$35,2,FALSE)</f>
        <v>0</v>
      </c>
      <c r="AA63" s="14">
        <f>VLOOKUP($I63&amp;$F63&amp;$G63,装备属性表,装备属性计算表!AV$29,FALSE)</f>
        <v>0</v>
      </c>
      <c r="AB63" s="14">
        <f ca="1">VLOOKUP(VLOOKUP($I63&amp;$F63&amp;$G63,装备属性表,装备属性计算表!AW$29,FALSE),定义数据!$B$13:$C$35,2,FALSE)</f>
        <v>0</v>
      </c>
      <c r="AC63" s="14">
        <f>VLOOKUP($I63&amp;$F63&amp;$G63,装备属性表,装备属性计算表!AX$29,FALSE)</f>
        <v>0</v>
      </c>
      <c r="AD63" s="14">
        <f ca="1">VLOOKUP(VLOOKUP($I63&amp;$F63&amp;$G63,装备属性表,装备属性计算表!AY$29,FALSE),定义数据!$B$13:$C$35,2,FALSE)</f>
        <v>0</v>
      </c>
      <c r="AE63" s="14">
        <f>VLOOKUP($I63&amp;$F63&amp;$G63,装备属性表,装备属性计算表!AZ$29,FALSE)</f>
        <v>0</v>
      </c>
      <c r="AF63" s="14">
        <f ca="1">VLOOKUP(VLOOKUP($I63&amp;$F63&amp;$G63,装备属性表,装备属性计算表!BA$29,FALSE),定义数据!$B$13:$C$35,2,FALSE)</f>
        <v>0</v>
      </c>
      <c r="AG63" s="14">
        <f>VLOOKUP($I63&amp;$F63&amp;$G63,装备属性表,装备属性计算表!BB$29,FALSE)</f>
        <v>0</v>
      </c>
      <c r="AH63" s="14">
        <f ca="1">VLOOKUP(VLOOKUP($I63&amp;$F63&amp;$G63,装备属性表,装备属性计算表!BC$29,FALSE),定义数据!$B$13:$C$35,2,FALSE)</f>
        <v>0</v>
      </c>
      <c r="AI63" s="14">
        <f>VLOOKUP($I63&amp;$F63&amp;$G63,装备属性表,装备属性计算表!BD$29,FALSE)</f>
        <v>0</v>
      </c>
      <c r="AJ63" s="14">
        <f ca="1">VLOOKUP(VLOOKUP($I63&amp;$F63&amp;$G63,装备属性表,装备属性计算表!BE$29,FALSE),定义数据!$B$13:$C$35,2,FALSE)</f>
        <v>0</v>
      </c>
      <c r="AK63" s="14">
        <f>VLOOKUP($I63&amp;$F63&amp;$G63,装备属性表,装备属性计算表!BF$29,FALSE)</f>
        <v>0</v>
      </c>
      <c r="AL63" t="str">
        <f t="shared" si="17"/>
        <v>玫瑰骑士是一件30级紫色可升级的装备。</v>
      </c>
      <c r="AM63" t="str">
        <f>IF(D63=0,5,D63) &amp; F63&amp;"00"&amp;VLOOKUP(G63,定义数据!$F$20:$G$27,2,FALSE)&amp;".png"</f>
        <v>30003.png</v>
      </c>
      <c r="AN63" s="79">
        <f>IF(OR(G63&lt;15),0,D_装备升级表!A63)</f>
        <v>30320</v>
      </c>
      <c r="AP63">
        <f ca="1">VLOOKUP(G63&amp;I63&amp;F63,CHOOSE({1,2},装备属性计算表!$BK$32:$BK$187,装备属性计算表!$BJ$32:$BJ$187),2,FALSE)</f>
        <v>156.88956387903508</v>
      </c>
      <c r="AQ63">
        <f ca="1">AP63*'[1]0、经济设定'!$C$18</f>
        <v>7844.4781939517543</v>
      </c>
      <c r="AR63">
        <f ca="1">IFERROR(AQ63*'[1]0、经济设定'!$E$19*AU63*AS63,0)</f>
        <v>719.99999999999989</v>
      </c>
      <c r="AS63">
        <v>10</v>
      </c>
      <c r="AT63">
        <f t="shared" si="19"/>
        <v>72</v>
      </c>
      <c r="AU63">
        <f ca="1">IF(F63=0,IFERROR(AT63/AP63/'[1]0、经济设定'!$E$18,0),AU62)</f>
        <v>4.5892153830903242</v>
      </c>
      <c r="AV63">
        <f t="shared" ca="1" si="15"/>
        <v>6275.5825551614034</v>
      </c>
    </row>
    <row r="64" spans="1:48" x14ac:dyDescent="0.15">
      <c r="A64" s="14" t="str">
        <f t="shared" si="3"/>
        <v>51209</v>
      </c>
      <c r="B64" s="14" t="s">
        <v>555</v>
      </c>
      <c r="C64" s="14">
        <f>VLOOKUP($I64&amp;$F64&amp;$G64,装备属性表,装备属性计算表!AK$29,FALSE)</f>
        <v>9</v>
      </c>
      <c r="D64" s="14">
        <f t="shared" si="18"/>
        <v>0</v>
      </c>
      <c r="E64" s="14" t="str">
        <f>VLOOKUP(F64,CHOOSE({1,2},定义数据!$F$2:$F$7,武器部位),2)</f>
        <v>衣服</v>
      </c>
      <c r="F64" s="14">
        <v>1</v>
      </c>
      <c r="G64" s="14">
        <v>30</v>
      </c>
      <c r="H64" s="14">
        <f t="shared" si="7"/>
        <v>30</v>
      </c>
      <c r="I64" s="14">
        <v>2</v>
      </c>
      <c r="J64" s="14" t="str">
        <f t="shared" si="8"/>
        <v>3021</v>
      </c>
      <c r="K64" s="14" t="str">
        <f t="shared" si="9"/>
        <v>3021</v>
      </c>
      <c r="L64" s="76"/>
      <c r="M64" s="14">
        <f>IF(OR(G64&lt;15,G64=80),0,D_装备升级表!A64)</f>
        <v>30021</v>
      </c>
      <c r="N64" s="78">
        <v>1</v>
      </c>
      <c r="O64" s="14">
        <f t="shared" si="4"/>
        <v>900</v>
      </c>
      <c r="P64" s="14"/>
      <c r="Q64" s="14">
        <f>VLOOKUP($I64&amp;$F64&amp;$G64,装备属性表,装备属性计算表!AL$29,FALSE)</f>
        <v>4</v>
      </c>
      <c r="R64" s="14">
        <f ca="1">VLOOKUP(VLOOKUP($I64&amp;$F64&amp;$G64,装备属性表,装备属性计算表!AM$29,FALSE),定义数据!$B$13:$C$35,2,FALSE)</f>
        <v>1</v>
      </c>
      <c r="S64" s="14">
        <f ca="1">VLOOKUP($I64&amp;$F64&amp;$G64,装备属性表,装备属性计算表!AN$29,FALSE)</f>
        <v>1834.4738795685382</v>
      </c>
      <c r="T64" s="14">
        <f ca="1">VLOOKUP(VLOOKUP($I64&amp;$F64&amp;$G64,装备属性表,装备属性计算表!AO$29,FALSE),定义数据!$B$13:$C$35,2,FALSE)</f>
        <v>3</v>
      </c>
      <c r="U64" s="14">
        <f ca="1">VLOOKUP($I64&amp;$F64&amp;$G64,装备属性表,装备属性计算表!AP$29,FALSE)</f>
        <v>40.264208859618719</v>
      </c>
      <c r="V64" s="14">
        <f ca="1">VLOOKUP(VLOOKUP($I64&amp;$F64&amp;$G64,装备属性表,装备属性计算表!AQ$29,FALSE),定义数据!$B$13:$C$35,2,FALSE)</f>
        <v>1</v>
      </c>
      <c r="W64" s="14">
        <f ca="1">VLOOKUP($I64&amp;$F64&amp;$G64,装备属性表,装备属性计算表!AR$29,FALSE)</f>
        <v>226.47825673685657</v>
      </c>
      <c r="X64" s="14">
        <f ca="1">VLOOKUP(VLOOKUP($I64&amp;$F64&amp;$G64,装备属性表,装备属性计算表!AS$29,FALSE),定义数据!$B$13:$C$35,2,FALSE)</f>
        <v>3</v>
      </c>
      <c r="Y64" s="14">
        <f ca="1">VLOOKUP($I64&amp;$F64&amp;$G64,装备属性表,装备属性计算表!AT$29,FALSE)</f>
        <v>7.4563349740034672</v>
      </c>
      <c r="Z64" s="14">
        <f ca="1">VLOOKUP(VLOOKUP($I64&amp;$F64&amp;$G64,装备属性表,装备属性计算表!AU$29,FALSE),定义数据!$B$13:$C$35,2,FALSE)</f>
        <v>0</v>
      </c>
      <c r="AA64" s="14">
        <f>VLOOKUP($I64&amp;$F64&amp;$G64,装备属性表,装备属性计算表!AV$29,FALSE)</f>
        <v>0</v>
      </c>
      <c r="AB64" s="14">
        <f ca="1">VLOOKUP(VLOOKUP($I64&amp;$F64&amp;$G64,装备属性表,装备属性计算表!AW$29,FALSE),定义数据!$B$13:$C$35,2,FALSE)</f>
        <v>0</v>
      </c>
      <c r="AC64" s="14">
        <f>VLOOKUP($I64&amp;$F64&amp;$G64,装备属性表,装备属性计算表!AX$29,FALSE)</f>
        <v>0</v>
      </c>
      <c r="AD64" s="14">
        <f ca="1">VLOOKUP(VLOOKUP($I64&amp;$F64&amp;$G64,装备属性表,装备属性计算表!AY$29,FALSE),定义数据!$B$13:$C$35,2,FALSE)</f>
        <v>0</v>
      </c>
      <c r="AE64" s="14">
        <f>VLOOKUP($I64&amp;$F64&amp;$G64,装备属性表,装备属性计算表!AZ$29,FALSE)</f>
        <v>0</v>
      </c>
      <c r="AF64" s="14">
        <f ca="1">VLOOKUP(VLOOKUP($I64&amp;$F64&amp;$G64,装备属性表,装备属性计算表!BA$29,FALSE),定义数据!$B$13:$C$35,2,FALSE)</f>
        <v>0</v>
      </c>
      <c r="AG64" s="14">
        <f>VLOOKUP($I64&amp;$F64&amp;$G64,装备属性表,装备属性计算表!BB$29,FALSE)</f>
        <v>0</v>
      </c>
      <c r="AH64" s="14">
        <f ca="1">VLOOKUP(VLOOKUP($I64&amp;$F64&amp;$G64,装备属性表,装备属性计算表!BC$29,FALSE),定义数据!$B$13:$C$35,2,FALSE)</f>
        <v>0</v>
      </c>
      <c r="AI64" s="14">
        <f>VLOOKUP($I64&amp;$F64&amp;$G64,装备属性表,装备属性计算表!BD$29,FALSE)</f>
        <v>0</v>
      </c>
      <c r="AJ64" s="14">
        <f ca="1">VLOOKUP(VLOOKUP($I64&amp;$F64&amp;$G64,装备属性表,装备属性计算表!BE$29,FALSE),定义数据!$B$13:$C$35,2,FALSE)</f>
        <v>0</v>
      </c>
      <c r="AK64" s="14">
        <f>VLOOKUP($I64&amp;$F64&amp;$G64,装备属性表,装备属性计算表!BF$29,FALSE)</f>
        <v>0</v>
      </c>
      <c r="AL64" t="str">
        <f t="shared" si="17"/>
        <v>黑鸦战衣是一件30级紫色可升级的装备。</v>
      </c>
      <c r="AM64" t="str">
        <f>IF(D64=0,5,D64) &amp; F64&amp;"00"&amp;VLOOKUP(G64,定义数据!$F$20:$G$27,2,FALSE)&amp;".png"</f>
        <v>51003.png</v>
      </c>
      <c r="AN64" s="79">
        <f>IF(OR(G64&lt;15),0,D_装备升级表!A64)</f>
        <v>30021</v>
      </c>
      <c r="AP64">
        <f ca="1">VLOOKUP(G64&amp;I64&amp;F64,CHOOSE({1,2},装备属性计算表!$BK$32:$BK$187,装备属性计算表!$BJ$32:$BJ$187),2,FALSE)</f>
        <v>132.96325891546761</v>
      </c>
      <c r="AQ64">
        <f ca="1">AP64*'[1]0、经济设定'!$C$18</f>
        <v>6648.1629457733807</v>
      </c>
      <c r="AR64">
        <f ca="1">IFERROR(AQ64*'[1]0、经济设定'!$E$19*AU64*AS64,0)</f>
        <v>610.19703320068561</v>
      </c>
      <c r="AS64">
        <v>10</v>
      </c>
      <c r="AT64">
        <f t="shared" si="19"/>
        <v>72</v>
      </c>
      <c r="AU64">
        <f ca="1">IF(F64=0,IFERROR(AT64/AP64/'[1]0、经济设定'!$E$18,0),AU63)</f>
        <v>4.5892153830903242</v>
      </c>
      <c r="AV64">
        <f t="shared" ca="1" si="15"/>
        <v>5318.530356618704</v>
      </c>
    </row>
    <row r="65" spans="1:48" x14ac:dyDescent="0.15">
      <c r="A65" s="14" t="str">
        <f t="shared" si="3"/>
        <v>52209</v>
      </c>
      <c r="B65" s="14" t="s">
        <v>556</v>
      </c>
      <c r="C65" s="14">
        <f>VLOOKUP($I65&amp;$F65&amp;$G65,装备属性表,装备属性计算表!AK$29,FALSE)</f>
        <v>9</v>
      </c>
      <c r="D65" s="14">
        <f t="shared" si="18"/>
        <v>0</v>
      </c>
      <c r="E65" s="14" t="str">
        <f>VLOOKUP(F65,CHOOSE({1,2},定义数据!$F$2:$F$7,武器部位),2)</f>
        <v>裤子</v>
      </c>
      <c r="F65" s="14">
        <v>2</v>
      </c>
      <c r="G65" s="14">
        <v>30</v>
      </c>
      <c r="H65" s="14">
        <f t="shared" si="7"/>
        <v>30</v>
      </c>
      <c r="I65" s="14">
        <v>2</v>
      </c>
      <c r="J65" s="14" t="str">
        <f t="shared" si="8"/>
        <v>3022</v>
      </c>
      <c r="K65" s="14" t="str">
        <f t="shared" si="9"/>
        <v>3022</v>
      </c>
      <c r="L65" s="76"/>
      <c r="M65" s="14">
        <f>IF(OR(G65&lt;15,G65=80),0,D_装备升级表!A65)</f>
        <v>30022</v>
      </c>
      <c r="N65" s="78">
        <v>1</v>
      </c>
      <c r="O65" s="14">
        <f t="shared" si="4"/>
        <v>900</v>
      </c>
      <c r="P65" s="14"/>
      <c r="Q65" s="14">
        <f>VLOOKUP($I65&amp;$F65&amp;$G65,装备属性表,装备属性计算表!AL$29,FALSE)</f>
        <v>4</v>
      </c>
      <c r="R65" s="14">
        <f ca="1">VLOOKUP(VLOOKUP($I65&amp;$F65&amp;$G65,装备属性表,装备属性计算表!AM$29,FALSE),定义数据!$B$13:$C$35,2,FALSE)</f>
        <v>3</v>
      </c>
      <c r="S65" s="14">
        <f ca="1">VLOOKUP($I65&amp;$F65&amp;$G65,装备属性表,装备属性计算表!AN$29,FALSE)</f>
        <v>26.842805906412483</v>
      </c>
      <c r="T65" s="14">
        <f ca="1">VLOOKUP(VLOOKUP($I65&amp;$F65&amp;$G65,装备属性表,装备属性计算表!AO$29,FALSE),定义数据!$B$13:$C$35,2,FALSE)</f>
        <v>7</v>
      </c>
      <c r="U65" s="14">
        <f ca="1">VLOOKUP($I65&amp;$F65&amp;$G65,装备属性表,装备属性计算表!AP$29,FALSE)</f>
        <v>40.625</v>
      </c>
      <c r="V65" s="14">
        <f ca="1">VLOOKUP(VLOOKUP($I65&amp;$F65&amp;$G65,装备属性表,装备属性计算表!AQ$29,FALSE),定义数据!$B$13:$C$35,2,FALSE)</f>
        <v>1</v>
      </c>
      <c r="W65" s="14">
        <f ca="1">VLOOKUP($I65&amp;$F65&amp;$G65,装备属性表,装备属性计算表!AR$29,FALSE)</f>
        <v>113.23912836842828</v>
      </c>
      <c r="X65" s="14">
        <f ca="1">VLOOKUP(VLOOKUP($I65&amp;$F65&amp;$G65,装备属性表,装备属性计算表!AS$29,FALSE),定义数据!$B$13:$C$35,2,FALSE)</f>
        <v>3</v>
      </c>
      <c r="Y65" s="14">
        <f ca="1">VLOOKUP($I65&amp;$F65&amp;$G65,装备属性表,装备属性计算表!AT$29,FALSE)</f>
        <v>2.4854449913344889</v>
      </c>
      <c r="Z65" s="14">
        <f ca="1">VLOOKUP(VLOOKUP($I65&amp;$F65&amp;$G65,装备属性表,装备属性计算表!AU$29,FALSE),定义数据!$B$13:$C$35,2,FALSE)</f>
        <v>0</v>
      </c>
      <c r="AA65" s="14">
        <f>VLOOKUP($I65&amp;$F65&amp;$G65,装备属性表,装备属性计算表!AV$29,FALSE)</f>
        <v>0</v>
      </c>
      <c r="AB65" s="14">
        <f ca="1">VLOOKUP(VLOOKUP($I65&amp;$F65&amp;$G65,装备属性表,装备属性计算表!AW$29,FALSE),定义数据!$B$13:$C$35,2,FALSE)</f>
        <v>0</v>
      </c>
      <c r="AC65" s="14">
        <f>VLOOKUP($I65&amp;$F65&amp;$G65,装备属性表,装备属性计算表!AX$29,FALSE)</f>
        <v>0</v>
      </c>
      <c r="AD65" s="14">
        <f ca="1">VLOOKUP(VLOOKUP($I65&amp;$F65&amp;$G65,装备属性表,装备属性计算表!AY$29,FALSE),定义数据!$B$13:$C$35,2,FALSE)</f>
        <v>0</v>
      </c>
      <c r="AE65" s="14">
        <f>VLOOKUP($I65&amp;$F65&amp;$G65,装备属性表,装备属性计算表!AZ$29,FALSE)</f>
        <v>0</v>
      </c>
      <c r="AF65" s="14">
        <f ca="1">VLOOKUP(VLOOKUP($I65&amp;$F65&amp;$G65,装备属性表,装备属性计算表!BA$29,FALSE),定义数据!$B$13:$C$35,2,FALSE)</f>
        <v>0</v>
      </c>
      <c r="AG65" s="14">
        <f>VLOOKUP($I65&amp;$F65&amp;$G65,装备属性表,装备属性计算表!BB$29,FALSE)</f>
        <v>0</v>
      </c>
      <c r="AH65" s="14">
        <f ca="1">VLOOKUP(VLOOKUP($I65&amp;$F65&amp;$G65,装备属性表,装备属性计算表!BC$29,FALSE),定义数据!$B$13:$C$35,2,FALSE)</f>
        <v>0</v>
      </c>
      <c r="AI65" s="14">
        <f>VLOOKUP($I65&amp;$F65&amp;$G65,装备属性表,装备属性计算表!BD$29,FALSE)</f>
        <v>0</v>
      </c>
      <c r="AJ65" s="14">
        <f ca="1">VLOOKUP(VLOOKUP($I65&amp;$F65&amp;$G65,装备属性表,装备属性计算表!BE$29,FALSE),定义数据!$B$13:$C$35,2,FALSE)</f>
        <v>0</v>
      </c>
      <c r="AK65" s="14">
        <f>VLOOKUP($I65&amp;$F65&amp;$G65,装备属性表,装备属性计算表!BF$29,FALSE)</f>
        <v>0</v>
      </c>
      <c r="AL65" t="str">
        <f t="shared" si="17"/>
        <v>黑鸦长裤是一件30级紫色可升级的装备。</v>
      </c>
      <c r="AM65" t="str">
        <f>IF(D65=0,5,D65) &amp; F65&amp;"00"&amp;VLOOKUP(G65,定义数据!$F$20:$G$27,2,FALSE)&amp;".png"</f>
        <v>52003.png</v>
      </c>
      <c r="AN65" s="79">
        <f>IF(OR(G65&lt;15),0,D_装备升级表!A65)</f>
        <v>30022</v>
      </c>
      <c r="AP65">
        <f ca="1">VLOOKUP(G65&amp;I65&amp;F65,CHOOSE({1,2},装备属性计算表!$BK$32:$BK$187,装备属性计算表!$BJ$32:$BJ$187),2,FALSE)</f>
        <v>50.47494566211374</v>
      </c>
      <c r="AQ65">
        <f ca="1">AP65*'[1]0、经济设定'!$C$18</f>
        <v>2523.7472831056871</v>
      </c>
      <c r="AR65">
        <f ca="1">IFERROR(AQ65*'[1]0、经济设定'!$E$19*AU65*AS65,0)</f>
        <v>231.6403970932206</v>
      </c>
      <c r="AS65">
        <v>10</v>
      </c>
      <c r="AT65">
        <f t="shared" si="19"/>
        <v>72</v>
      </c>
      <c r="AU65">
        <f ca="1">IF(F65=0,IFERROR(AT65/AP65/'[1]0、经济设定'!$E$18,0),AU64)</f>
        <v>4.5892153830903242</v>
      </c>
      <c r="AV65">
        <f t="shared" ca="1" si="15"/>
        <v>2018.9978264845495</v>
      </c>
    </row>
    <row r="66" spans="1:48" x14ac:dyDescent="0.15">
      <c r="A66" s="14" t="str">
        <f t="shared" si="3"/>
        <v>55209</v>
      </c>
      <c r="B66" s="14" t="s">
        <v>557</v>
      </c>
      <c r="C66" s="14">
        <f>VLOOKUP($I66&amp;$F66&amp;$G66,装备属性表,装备属性计算表!AK$29,FALSE)</f>
        <v>9</v>
      </c>
      <c r="D66" s="14">
        <f t="shared" si="18"/>
        <v>0</v>
      </c>
      <c r="E66" s="14" t="str">
        <f>VLOOKUP(F66,CHOOSE({1,2},定义数据!$F$2:$F$7,武器部位),2)</f>
        <v>鞋子</v>
      </c>
      <c r="F66" s="14">
        <v>5</v>
      </c>
      <c r="G66" s="14">
        <v>30</v>
      </c>
      <c r="H66" s="14">
        <f t="shared" si="7"/>
        <v>30</v>
      </c>
      <c r="I66" s="14">
        <v>2</v>
      </c>
      <c r="J66" s="14" t="str">
        <f t="shared" si="8"/>
        <v>3025</v>
      </c>
      <c r="K66" s="14" t="str">
        <f t="shared" si="9"/>
        <v>3025</v>
      </c>
      <c r="L66" s="76"/>
      <c r="M66" s="14">
        <f>IF(OR(G66&lt;15,G66=80),0,D_装备升级表!A66)</f>
        <v>30025</v>
      </c>
      <c r="N66" s="78">
        <v>1</v>
      </c>
      <c r="O66" s="14">
        <f t="shared" si="4"/>
        <v>900</v>
      </c>
      <c r="P66" s="14"/>
      <c r="Q66" s="14">
        <f>VLOOKUP($I66&amp;$F66&amp;$G66,装备属性表,装备属性计算表!AL$29,FALSE)</f>
        <v>4</v>
      </c>
      <c r="R66" s="14">
        <f ca="1">VLOOKUP(VLOOKUP($I66&amp;$F66&amp;$G66,装备属性表,装备属性计算表!AM$29,FALSE),定义数据!$B$13:$C$35,2,FALSE)</f>
        <v>1</v>
      </c>
      <c r="S66" s="14">
        <f ca="1">VLOOKUP($I66&amp;$F66&amp;$G66,装备属性表,装备属性计算表!AN$29,FALSE)</f>
        <v>611.4912931895127</v>
      </c>
      <c r="T66" s="14">
        <f ca="1">VLOOKUP(VLOOKUP($I66&amp;$F66&amp;$G66,装备属性表,装备属性计算表!AO$29,FALSE),定义数据!$B$13:$C$35,2,FALSE)</f>
        <v>7</v>
      </c>
      <c r="U66" s="14">
        <f ca="1">VLOOKUP($I66&amp;$F66&amp;$G66,装备属性表,装备属性计算表!AP$29,FALSE)</f>
        <v>81.25</v>
      </c>
      <c r="V66" s="14">
        <f ca="1">VLOOKUP(VLOOKUP($I66&amp;$F66&amp;$G66,装备属性表,装备属性计算表!AQ$29,FALSE),定义数据!$B$13:$C$35,2,FALSE)</f>
        <v>1</v>
      </c>
      <c r="W66" s="14">
        <f ca="1">VLOOKUP($I66&amp;$F66&amp;$G66,装备属性表,装备属性计算表!AR$29,FALSE)</f>
        <v>113.23912836842828</v>
      </c>
      <c r="X66" s="14">
        <f ca="1">VLOOKUP(VLOOKUP($I66&amp;$F66&amp;$G66,装备属性表,装备属性计算表!AS$29,FALSE),定义数据!$B$13:$C$35,2,FALSE)</f>
        <v>7</v>
      </c>
      <c r="Y66" s="14">
        <f ca="1">VLOOKUP($I66&amp;$F66&amp;$G66,装备属性表,装备属性计算表!AT$29,FALSE)</f>
        <v>10.833333333333334</v>
      </c>
      <c r="Z66" s="14">
        <f ca="1">VLOOKUP(VLOOKUP($I66&amp;$F66&amp;$G66,装备属性表,装备属性计算表!AU$29,FALSE),定义数据!$B$13:$C$35,2,FALSE)</f>
        <v>0</v>
      </c>
      <c r="AA66" s="14">
        <f>VLOOKUP($I66&amp;$F66&amp;$G66,装备属性表,装备属性计算表!AV$29,FALSE)</f>
        <v>0</v>
      </c>
      <c r="AB66" s="14">
        <f ca="1">VLOOKUP(VLOOKUP($I66&amp;$F66&amp;$G66,装备属性表,装备属性计算表!AW$29,FALSE),定义数据!$B$13:$C$35,2,FALSE)</f>
        <v>0</v>
      </c>
      <c r="AC66" s="14">
        <f>VLOOKUP($I66&amp;$F66&amp;$G66,装备属性表,装备属性计算表!AX$29,FALSE)</f>
        <v>0</v>
      </c>
      <c r="AD66" s="14">
        <f ca="1">VLOOKUP(VLOOKUP($I66&amp;$F66&amp;$G66,装备属性表,装备属性计算表!AY$29,FALSE),定义数据!$B$13:$C$35,2,FALSE)</f>
        <v>0</v>
      </c>
      <c r="AE66" s="14">
        <f>VLOOKUP($I66&amp;$F66&amp;$G66,装备属性表,装备属性计算表!AZ$29,FALSE)</f>
        <v>0</v>
      </c>
      <c r="AF66" s="14">
        <f ca="1">VLOOKUP(VLOOKUP($I66&amp;$F66&amp;$G66,装备属性表,装备属性计算表!BA$29,FALSE),定义数据!$B$13:$C$35,2,FALSE)</f>
        <v>0</v>
      </c>
      <c r="AG66" s="14">
        <f>VLOOKUP($I66&amp;$F66&amp;$G66,装备属性表,装备属性计算表!BB$29,FALSE)</f>
        <v>0</v>
      </c>
      <c r="AH66" s="14">
        <f ca="1">VLOOKUP(VLOOKUP($I66&amp;$F66&amp;$G66,装备属性表,装备属性计算表!BC$29,FALSE),定义数据!$B$13:$C$35,2,FALSE)</f>
        <v>0</v>
      </c>
      <c r="AI66" s="14">
        <f>VLOOKUP($I66&amp;$F66&amp;$G66,装备属性表,装备属性计算表!BD$29,FALSE)</f>
        <v>0</v>
      </c>
      <c r="AJ66" s="14">
        <f ca="1">VLOOKUP(VLOOKUP($I66&amp;$F66&amp;$G66,装备属性表,装备属性计算表!BE$29,FALSE),定义数据!$B$13:$C$35,2,FALSE)</f>
        <v>0</v>
      </c>
      <c r="AK66" s="14">
        <f>VLOOKUP($I66&amp;$F66&amp;$G66,装备属性表,装备属性计算表!BF$29,FALSE)</f>
        <v>0</v>
      </c>
      <c r="AL66" t="str">
        <f t="shared" si="17"/>
        <v>黑鸦长靴是一件30级紫色可升级的装备。</v>
      </c>
      <c r="AM66" t="str">
        <f>IF(D66=0,5,D66) &amp; F66&amp;"00"&amp;VLOOKUP(G66,定义数据!$F$20:$G$27,2,FALSE)&amp;".png"</f>
        <v>55003.png</v>
      </c>
      <c r="AN66" s="79">
        <f>IF(OR(G66&lt;15),0,D_装备升级表!A66)</f>
        <v>30025</v>
      </c>
      <c r="AP66">
        <f ca="1">VLOOKUP(G66&amp;I66&amp;F66,CHOOSE({1,2},装备属性计算表!$BK$32:$BK$187,装备属性计算表!$BJ$32:$BJ$187),2,FALSE)</f>
        <v>63.944772417873196</v>
      </c>
      <c r="AQ66">
        <f ca="1">AP66*'[1]0、经济设定'!$C$18</f>
        <v>3197.2386208936596</v>
      </c>
      <c r="AR66">
        <f ca="1">IFERROR(AQ66*'[1]0、经济设定'!$E$19*AU66*AS66,0)</f>
        <v>293.45633324831351</v>
      </c>
      <c r="AS66">
        <v>10</v>
      </c>
      <c r="AT66">
        <f t="shared" si="19"/>
        <v>72</v>
      </c>
      <c r="AU66">
        <f ca="1">IF(F66=0,IFERROR(AT66/AP66/'[1]0、经济设定'!$E$18,0),AU65)</f>
        <v>4.5892153830903242</v>
      </c>
      <c r="AV66">
        <f t="shared" ca="1" si="15"/>
        <v>2557.7908967149278</v>
      </c>
    </row>
    <row r="67" spans="1:48" x14ac:dyDescent="0.15">
      <c r="A67" s="14" t="str">
        <f t="shared" si="3"/>
        <v>54209</v>
      </c>
      <c r="B67" s="14" t="s">
        <v>558</v>
      </c>
      <c r="C67" s="14">
        <f>VLOOKUP($I67&amp;$F67&amp;$G67,装备属性表,装备属性计算表!AK$29,FALSE)</f>
        <v>9</v>
      </c>
      <c r="D67" s="14">
        <f t="shared" si="18"/>
        <v>0</v>
      </c>
      <c r="E67" s="14" t="str">
        <f>VLOOKUP(F67,CHOOSE({1,2},定义数据!$F$2:$F$7,武器部位),2)</f>
        <v>腰带</v>
      </c>
      <c r="F67" s="14">
        <v>4</v>
      </c>
      <c r="G67" s="14">
        <v>30</v>
      </c>
      <c r="H67" s="14">
        <f t="shared" si="7"/>
        <v>30</v>
      </c>
      <c r="I67" s="14">
        <v>2</v>
      </c>
      <c r="J67" s="14" t="str">
        <f t="shared" si="8"/>
        <v>3024</v>
      </c>
      <c r="K67" s="14" t="str">
        <f t="shared" si="9"/>
        <v>3024</v>
      </c>
      <c r="L67" s="76"/>
      <c r="M67" s="14">
        <f>IF(OR(G67&lt;15,G67=80),0,D_装备升级表!A67)</f>
        <v>30024</v>
      </c>
      <c r="N67" s="78">
        <v>1</v>
      </c>
      <c r="O67" s="14">
        <f t="shared" si="4"/>
        <v>900</v>
      </c>
      <c r="P67" s="14"/>
      <c r="Q67" s="14">
        <f>VLOOKUP($I67&amp;$F67&amp;$G67,装备属性表,装备属性计算表!AL$29,FALSE)</f>
        <v>4</v>
      </c>
      <c r="R67" s="14">
        <f ca="1">VLOOKUP(VLOOKUP($I67&amp;$F67&amp;$G67,装备属性表,装备属性计算表!AM$29,FALSE),定义数据!$B$13:$C$35,2,FALSE)</f>
        <v>1</v>
      </c>
      <c r="S67" s="14">
        <f ca="1">VLOOKUP($I67&amp;$F67&amp;$G67,装备属性表,装备属性计算表!AN$29,FALSE)</f>
        <v>611.4912931895127</v>
      </c>
      <c r="T67" s="14">
        <f ca="1">VLOOKUP(VLOOKUP($I67&amp;$F67&amp;$G67,装备属性表,装备属性计算表!AO$29,FALSE),定义数据!$B$13:$C$35,2,FALSE)</f>
        <v>9</v>
      </c>
      <c r="U67" s="14">
        <f ca="1">VLOOKUP($I67&amp;$F67&amp;$G67,装备属性表,装备属性计算表!AP$29,FALSE)</f>
        <v>72.222222222222229</v>
      </c>
      <c r="V67" s="14">
        <f ca="1">VLOOKUP(VLOOKUP($I67&amp;$F67&amp;$G67,装备属性表,装备属性计算表!AQ$29,FALSE),定义数据!$B$13:$C$35,2,FALSE)</f>
        <v>1</v>
      </c>
      <c r="W67" s="14">
        <f ca="1">VLOOKUP($I67&amp;$F67&amp;$G67,装备属性表,装备属性计算表!AR$29,FALSE)</f>
        <v>226.47825673685657</v>
      </c>
      <c r="X67" s="14">
        <f ca="1">VLOOKUP(VLOOKUP($I67&amp;$F67&amp;$G67,装备属性表,装备属性计算表!AS$29,FALSE),定义数据!$B$13:$C$35,2,FALSE)</f>
        <v>2</v>
      </c>
      <c r="Y67" s="14">
        <f ca="1">VLOOKUP($I67&amp;$F67&amp;$G67,装备属性表,装备属性计算表!AT$29,FALSE)</f>
        <v>6.9020940320855644</v>
      </c>
      <c r="Z67" s="14">
        <f ca="1">VLOOKUP(VLOOKUP($I67&amp;$F67&amp;$G67,装备属性表,装备属性计算表!AU$29,FALSE),定义数据!$B$13:$C$35,2,FALSE)</f>
        <v>0</v>
      </c>
      <c r="AA67" s="14">
        <f>VLOOKUP($I67&amp;$F67&amp;$G67,装备属性表,装备属性计算表!AV$29,FALSE)</f>
        <v>0</v>
      </c>
      <c r="AB67" s="14">
        <f ca="1">VLOOKUP(VLOOKUP($I67&amp;$F67&amp;$G67,装备属性表,装备属性计算表!AW$29,FALSE),定义数据!$B$13:$C$35,2,FALSE)</f>
        <v>0</v>
      </c>
      <c r="AC67" s="14">
        <f>VLOOKUP($I67&amp;$F67&amp;$G67,装备属性表,装备属性计算表!AX$29,FALSE)</f>
        <v>0</v>
      </c>
      <c r="AD67" s="14">
        <f ca="1">VLOOKUP(VLOOKUP($I67&amp;$F67&amp;$G67,装备属性表,装备属性计算表!AY$29,FALSE),定义数据!$B$13:$C$35,2,FALSE)</f>
        <v>0</v>
      </c>
      <c r="AE67" s="14">
        <f>VLOOKUP($I67&amp;$F67&amp;$G67,装备属性表,装备属性计算表!AZ$29,FALSE)</f>
        <v>0</v>
      </c>
      <c r="AF67" s="14">
        <f ca="1">VLOOKUP(VLOOKUP($I67&amp;$F67&amp;$G67,装备属性表,装备属性计算表!BA$29,FALSE),定义数据!$B$13:$C$35,2,FALSE)</f>
        <v>0</v>
      </c>
      <c r="AG67" s="14">
        <f>VLOOKUP($I67&amp;$F67&amp;$G67,装备属性表,装备属性计算表!BB$29,FALSE)</f>
        <v>0</v>
      </c>
      <c r="AH67" s="14">
        <f ca="1">VLOOKUP(VLOOKUP($I67&amp;$F67&amp;$G67,装备属性表,装备属性计算表!BC$29,FALSE),定义数据!$B$13:$C$35,2,FALSE)</f>
        <v>0</v>
      </c>
      <c r="AI67" s="14">
        <f>VLOOKUP($I67&amp;$F67&amp;$G67,装备属性表,装备属性计算表!BD$29,FALSE)</f>
        <v>0</v>
      </c>
      <c r="AJ67" s="14">
        <f ca="1">VLOOKUP(VLOOKUP($I67&amp;$F67&amp;$G67,装备属性表,装备属性计算表!BE$29,FALSE),定义数据!$B$13:$C$35,2,FALSE)</f>
        <v>0</v>
      </c>
      <c r="AK67" s="14">
        <f>VLOOKUP($I67&amp;$F67&amp;$G67,装备属性表,装备属性计算表!BF$29,FALSE)</f>
        <v>0</v>
      </c>
      <c r="AL67" t="str">
        <f t="shared" si="17"/>
        <v>黑鸦腰带是一件30级紫色可升级的装备。</v>
      </c>
      <c r="AM67" t="str">
        <f>IF(D67=0,5,D67) &amp; F67&amp;"00"&amp;VLOOKUP(G67,定义数据!$F$20:$G$27,2,FALSE)&amp;".png"</f>
        <v>54003.png</v>
      </c>
      <c r="AN67" s="79">
        <f>IF(OR(G67&lt;15),0,D_装备升级表!A67)</f>
        <v>30024</v>
      </c>
      <c r="AP67">
        <f ca="1">VLOOKUP(G67&amp;I67&amp;F67,CHOOSE({1,2},装备属性计算表!$BK$32:$BK$187,装备属性计算表!$BJ$32:$BJ$187),2,FALSE)</f>
        <v>56.869283983437782</v>
      </c>
      <c r="AQ67">
        <f ca="1">AP67*'[1]0、经济设定'!$C$18</f>
        <v>2843.464199171889</v>
      </c>
      <c r="AR67">
        <f ca="1">IFERROR(AQ67*'[1]0、经济设定'!$E$19*AU67*AS67,0)</f>
        <v>260.98539288212487</v>
      </c>
      <c r="AS67">
        <v>10</v>
      </c>
      <c r="AT67">
        <f t="shared" si="19"/>
        <v>72</v>
      </c>
      <c r="AU67">
        <f ca="1">IF(F67=0,IFERROR(AT67/AP67/'[1]0、经济设定'!$E$18,0),AU66)</f>
        <v>4.5892153830903242</v>
      </c>
      <c r="AV67">
        <f t="shared" ca="1" si="15"/>
        <v>2274.7713593375111</v>
      </c>
    </row>
    <row r="68" spans="1:48" x14ac:dyDescent="0.15">
      <c r="A68" s="14" t="str">
        <f t="shared" si="3"/>
        <v>53209</v>
      </c>
      <c r="B68" s="14" t="s">
        <v>559</v>
      </c>
      <c r="C68" s="14">
        <f>VLOOKUP($I68&amp;$F68&amp;$G68,装备属性表,装备属性计算表!AK$29,FALSE)</f>
        <v>9</v>
      </c>
      <c r="D68" s="14">
        <f t="shared" si="18"/>
        <v>0</v>
      </c>
      <c r="E68" s="14" t="str">
        <f>VLOOKUP(F68,CHOOSE({1,2},定义数据!$F$2:$F$7,武器部位),2)</f>
        <v>项链</v>
      </c>
      <c r="F68" s="14">
        <v>3</v>
      </c>
      <c r="G68" s="14">
        <v>30</v>
      </c>
      <c r="H68" s="14">
        <f t="shared" si="7"/>
        <v>30</v>
      </c>
      <c r="I68" s="14">
        <v>2</v>
      </c>
      <c r="J68" s="14" t="str">
        <f t="shared" si="8"/>
        <v>3023</v>
      </c>
      <c r="K68" s="14" t="str">
        <f t="shared" si="9"/>
        <v>3023</v>
      </c>
      <c r="L68" s="76"/>
      <c r="M68" s="14">
        <f>IF(OR(G68&lt;15,G68=80),0,D_装备升级表!A68)</f>
        <v>30023</v>
      </c>
      <c r="N68" s="78">
        <v>1</v>
      </c>
      <c r="O68" s="14">
        <f t="shared" si="4"/>
        <v>900</v>
      </c>
      <c r="P68" s="14"/>
      <c r="Q68" s="14">
        <f>VLOOKUP($I68&amp;$F68&amp;$G68,装备属性表,装备属性计算表!AL$29,FALSE)</f>
        <v>4</v>
      </c>
      <c r="R68" s="14">
        <f ca="1">VLOOKUP(VLOOKUP($I68&amp;$F68&amp;$G68,装备属性表,装备属性计算表!AM$29,FALSE),定义数据!$B$13:$C$35,2,FALSE)</f>
        <v>2</v>
      </c>
      <c r="S68" s="14">
        <f ca="1">VLOOKUP($I68&amp;$F68&amp;$G68,装备属性表,装备属性计算表!AN$29,FALSE)</f>
        <v>38.824278930481299</v>
      </c>
      <c r="T68" s="14">
        <f ca="1">VLOOKUP(VLOOKUP($I68&amp;$F68&amp;$G68,装备属性表,装备属性计算表!AO$29,FALSE),定义数据!$B$13:$C$35,2,FALSE)</f>
        <v>6</v>
      </c>
      <c r="U68" s="14">
        <f ca="1">VLOOKUP($I68&amp;$F68&amp;$G68,装备属性表,装备属性计算表!AP$29,FALSE)</f>
        <v>121.875</v>
      </c>
      <c r="V68" s="14">
        <f ca="1">VLOOKUP(VLOOKUP($I68&amp;$F68&amp;$G68,装备属性表,装备属性计算表!AQ$29,FALSE),定义数据!$B$13:$C$35,2,FALSE)</f>
        <v>2</v>
      </c>
      <c r="W68" s="14">
        <f ca="1">VLOOKUP($I68&amp;$F68&amp;$G68,装备属性表,装备属性计算表!AR$29,FALSE)</f>
        <v>6.9020940320855644</v>
      </c>
      <c r="X68" s="14">
        <f ca="1">VLOOKUP(VLOOKUP($I68&amp;$F68&amp;$G68,装备属性表,装备属性计算表!AS$29,FALSE),定义数据!$B$13:$C$35,2,FALSE)</f>
        <v>7</v>
      </c>
      <c r="Y68" s="14">
        <f ca="1">VLOOKUP($I68&amp;$F68&amp;$G68,装备属性表,装备属性计算表!AT$29,FALSE)</f>
        <v>5.416666666666667</v>
      </c>
      <c r="Z68" s="14">
        <f ca="1">VLOOKUP(VLOOKUP($I68&amp;$F68&amp;$G68,装备属性表,装备属性计算表!AU$29,FALSE),定义数据!$B$13:$C$35,2,FALSE)</f>
        <v>0</v>
      </c>
      <c r="AA68" s="14">
        <f>VLOOKUP($I68&amp;$F68&amp;$G68,装备属性表,装备属性计算表!AV$29,FALSE)</f>
        <v>0</v>
      </c>
      <c r="AB68" s="14">
        <f ca="1">VLOOKUP(VLOOKUP($I68&amp;$F68&amp;$G68,装备属性表,装备属性计算表!AW$29,FALSE),定义数据!$B$13:$C$35,2,FALSE)</f>
        <v>0</v>
      </c>
      <c r="AC68" s="14">
        <f>VLOOKUP($I68&amp;$F68&amp;$G68,装备属性表,装备属性计算表!AX$29,FALSE)</f>
        <v>0</v>
      </c>
      <c r="AD68" s="14">
        <f ca="1">VLOOKUP(VLOOKUP($I68&amp;$F68&amp;$G68,装备属性表,装备属性计算表!AY$29,FALSE),定义数据!$B$13:$C$35,2,FALSE)</f>
        <v>0</v>
      </c>
      <c r="AE68" s="14">
        <f>VLOOKUP($I68&amp;$F68&amp;$G68,装备属性表,装备属性计算表!AZ$29,FALSE)</f>
        <v>0</v>
      </c>
      <c r="AF68" s="14">
        <f ca="1">VLOOKUP(VLOOKUP($I68&amp;$F68&amp;$G68,装备属性表,装备属性计算表!BA$29,FALSE),定义数据!$B$13:$C$35,2,FALSE)</f>
        <v>0</v>
      </c>
      <c r="AG68" s="14">
        <f>VLOOKUP($I68&amp;$F68&amp;$G68,装备属性表,装备属性计算表!BB$29,FALSE)</f>
        <v>0</v>
      </c>
      <c r="AH68" s="14">
        <f ca="1">VLOOKUP(VLOOKUP($I68&amp;$F68&amp;$G68,装备属性表,装备属性计算表!BC$29,FALSE),定义数据!$B$13:$C$35,2,FALSE)</f>
        <v>0</v>
      </c>
      <c r="AI68" s="14">
        <f>VLOOKUP($I68&amp;$F68&amp;$G68,装备属性表,装备属性计算表!BD$29,FALSE)</f>
        <v>0</v>
      </c>
      <c r="AJ68" s="14">
        <f ca="1">VLOOKUP(VLOOKUP($I68&amp;$F68&amp;$G68,装备属性表,装备属性计算表!BE$29,FALSE),定义数据!$B$13:$C$35,2,FALSE)</f>
        <v>0</v>
      </c>
      <c r="AK68" s="14">
        <f>VLOOKUP($I68&amp;$F68&amp;$G68,装备属性表,装备属性计算表!BF$29,FALSE)</f>
        <v>0</v>
      </c>
      <c r="AL68" t="str">
        <f t="shared" si="17"/>
        <v>黑鸦项链是一件30级紫色可升级的装备。</v>
      </c>
      <c r="AM68" t="str">
        <f>IF(D68=0,5,D68) &amp; F68&amp;"00"&amp;VLOOKUP(G68,定义数据!$F$20:$G$27,2,FALSE)&amp;".png"</f>
        <v>53003.png</v>
      </c>
      <c r="AN68" s="79">
        <f>IF(OR(G68&lt;15),0,D_装备升级表!A68)</f>
        <v>30023</v>
      </c>
      <c r="AP68">
        <f ca="1">VLOOKUP(G68&amp;I68&amp;F68,CHOOSE({1,2},装备属性计算表!$BK$32:$BK$187,装备属性计算表!$BJ$32:$BJ$187),2,FALSE)</f>
        <v>93.230539629233533</v>
      </c>
      <c r="AQ68">
        <f ca="1">AP68*'[1]0、经济设定'!$C$18</f>
        <v>4661.5269814616768</v>
      </c>
      <c r="AR68">
        <f ca="1">IFERROR(AQ68*'[1]0、经济设定'!$E$19*AU68*AS68,0)</f>
        <v>427.85502664029059</v>
      </c>
      <c r="AS68">
        <v>10</v>
      </c>
      <c r="AT68">
        <f t="shared" si="19"/>
        <v>72</v>
      </c>
      <c r="AU68">
        <f ca="1">IF(F68=0,IFERROR(AT68/AP68/'[1]0、经济设定'!$E$18,0),AU67)</f>
        <v>4.5892153830903242</v>
      </c>
      <c r="AV68">
        <f t="shared" ca="1" si="15"/>
        <v>3729.2215851693413</v>
      </c>
    </row>
    <row r="69" spans="1:48" x14ac:dyDescent="0.15">
      <c r="A69" s="14" t="str">
        <f t="shared" si="3"/>
        <v>10310</v>
      </c>
      <c r="B69" s="14" t="s">
        <v>302</v>
      </c>
      <c r="C69" s="14">
        <f>VLOOKUP($I69&amp;$F69&amp;$G69,装备属性表,装备属性计算表!AK$29,FALSE)</f>
        <v>10</v>
      </c>
      <c r="D69" s="14">
        <f t="shared" si="18"/>
        <v>1</v>
      </c>
      <c r="E69" s="14" t="str">
        <f>VLOOKUP(F69,CHOOSE({1,2},定义数据!$F$2:$F$7,武器部位),2)</f>
        <v>武器</v>
      </c>
      <c r="F69" s="14">
        <v>0</v>
      </c>
      <c r="G69" s="14">
        <v>30</v>
      </c>
      <c r="H69" s="14">
        <f t="shared" si="7"/>
        <v>30</v>
      </c>
      <c r="I69" s="14">
        <v>3</v>
      </c>
      <c r="J69" s="14" t="str">
        <f t="shared" ref="J69:J92" si="33">G69&amp;I69&amp;F69</f>
        <v>3030</v>
      </c>
      <c r="K69" s="14" t="str">
        <f t="shared" ref="K69:K92" si="34">G69&amp;I69&amp;F69</f>
        <v>3030</v>
      </c>
      <c r="L69" s="76"/>
      <c r="M69" s="14">
        <f>IF(OR(G69&lt;15,G69=80),0,D_装备升级表!A69)</f>
        <v>30130</v>
      </c>
      <c r="N69" s="78">
        <v>1</v>
      </c>
      <c r="O69" s="14">
        <f t="shared" si="4"/>
        <v>1000</v>
      </c>
      <c r="P69" s="14"/>
      <c r="Q69" s="14">
        <f>VLOOKUP($I69&amp;$F69&amp;$G69,装备属性表,装备属性计算表!AL$29,FALSE)</f>
        <v>5</v>
      </c>
      <c r="R69" s="14">
        <f ca="1">VLOOKUP(VLOOKUP($I69&amp;$F69&amp;$G69,装备属性表,装备属性计算表!AM$29,FALSE),定义数据!$B$13:$C$35,2,FALSE)</f>
        <v>2</v>
      </c>
      <c r="S69" s="14">
        <f ca="1">VLOOKUP($I69&amp;$F69&amp;$G69,装备属性表,装备属性计算表!AN$29,FALSE)</f>
        <v>135.38722909090913</v>
      </c>
      <c r="T69" s="14">
        <f ca="1">VLOOKUP(VLOOKUP($I69&amp;$F69&amp;$G69,装备属性表,装备属性计算表!AO$29,FALSE),定义数据!$B$13:$C$35,2,FALSE)</f>
        <v>8</v>
      </c>
      <c r="U69" s="14">
        <f ca="1">VLOOKUP($I69&amp;$F69&amp;$G69,装备属性表,装备属性计算表!AP$29,FALSE)</f>
        <v>83.950617283950621</v>
      </c>
      <c r="V69" s="14">
        <f ca="1">VLOOKUP(VLOOKUP($I69&amp;$F69&amp;$G69,装备属性表,装备属性计算表!AQ$29,FALSE),定义数据!$B$13:$C$35,2,FALSE)</f>
        <v>2</v>
      </c>
      <c r="W69" s="14">
        <f ca="1">VLOOKUP($I69&amp;$F69&amp;$G69,装备属性表,装备属性计算表!AR$29,FALSE)</f>
        <v>40.616168727272743</v>
      </c>
      <c r="X69" s="14">
        <f ca="1">VLOOKUP(VLOOKUP($I69&amp;$F69&amp;$G69,装备属性表,装备属性计算表!AS$29,FALSE),定义数据!$B$13:$C$35,2,FALSE)</f>
        <v>3</v>
      </c>
      <c r="Y69" s="14">
        <f ca="1">VLOOKUP($I69&amp;$F69&amp;$G69,装备属性表,装备属性计算表!AT$29,FALSE)</f>
        <v>4.8752959445407278</v>
      </c>
      <c r="Z69" s="14">
        <f ca="1">VLOOKUP(VLOOKUP($I69&amp;$F69&amp;$G69,装备属性表,装备属性计算表!AU$29,FALSE),定义数据!$B$13:$C$35,2,FALSE)</f>
        <v>6</v>
      </c>
      <c r="AA69" s="14">
        <f ca="1">VLOOKUP($I69&amp;$F69&amp;$G69,装备属性表,装备属性计算表!AV$29,FALSE)</f>
        <v>17.708333333333336</v>
      </c>
      <c r="AB69" s="14">
        <f ca="1">VLOOKUP(VLOOKUP($I69&amp;$F69&amp;$G69,装备属性表,装备属性计算表!AW$29,FALSE),定义数据!$B$13:$C$35,2,FALSE)</f>
        <v>0</v>
      </c>
      <c r="AC69" s="14">
        <f>VLOOKUP($I69&amp;$F69&amp;$G69,装备属性表,装备属性计算表!AX$29,FALSE)</f>
        <v>0</v>
      </c>
      <c r="AD69" s="14">
        <f ca="1">VLOOKUP(VLOOKUP($I69&amp;$F69&amp;$G69,装备属性表,装备属性计算表!AY$29,FALSE),定义数据!$B$13:$C$35,2,FALSE)</f>
        <v>0</v>
      </c>
      <c r="AE69" s="14">
        <f>VLOOKUP($I69&amp;$F69&amp;$G69,装备属性表,装备属性计算表!AZ$29,FALSE)</f>
        <v>0</v>
      </c>
      <c r="AF69" s="14">
        <f ca="1">VLOOKUP(VLOOKUP($I69&amp;$F69&amp;$G69,装备属性表,装备属性计算表!BA$29,FALSE),定义数据!$B$13:$C$35,2,FALSE)</f>
        <v>0</v>
      </c>
      <c r="AG69" s="14">
        <f>VLOOKUP($I69&amp;$F69&amp;$G69,装备属性表,装备属性计算表!BB$29,FALSE)</f>
        <v>0</v>
      </c>
      <c r="AH69" s="14">
        <f ca="1">VLOOKUP(VLOOKUP($I69&amp;$F69&amp;$G69,装备属性表,装备属性计算表!BC$29,FALSE),定义数据!$B$13:$C$35,2,FALSE)</f>
        <v>0</v>
      </c>
      <c r="AI69" s="14">
        <f>VLOOKUP($I69&amp;$F69&amp;$G69,装备属性表,装备属性计算表!BD$29,FALSE)</f>
        <v>0</v>
      </c>
      <c r="AJ69" s="14">
        <f ca="1">VLOOKUP(VLOOKUP($I69&amp;$F69&amp;$G69,装备属性表,装备属性计算表!BE$29,FALSE),定义数据!$B$13:$C$35,2,FALSE)</f>
        <v>0</v>
      </c>
      <c r="AK69" s="14">
        <f>VLOOKUP($I69&amp;$F69&amp;$G69,装备属性表,装备属性计算表!BF$29,FALSE)</f>
        <v>0</v>
      </c>
      <c r="AL69" t="str">
        <f t="shared" si="17"/>
        <v>爵士之刃是一件30级橙色可升级的装备。</v>
      </c>
      <c r="AM69" t="str">
        <f>IF(D69=0,5,D69) &amp; F69&amp;"00"&amp;VLOOKUP(G69,定义数据!$F$20:$G$27,2,FALSE)&amp;".png"</f>
        <v>10003.png</v>
      </c>
      <c r="AN69" s="79">
        <f>IF(OR(G69&lt;15),0,D_装备升级表!A69)</f>
        <v>30130</v>
      </c>
      <c r="AP69">
        <f ca="1">VLOOKUP(G69&amp;I69&amp;F69,CHOOSE({1,2},装备属性计算表!$BK$32:$BK$187,装备属性计算表!$BJ$32:$BJ$187),2,FALSE)</f>
        <v>204.27730487383371</v>
      </c>
      <c r="AQ69">
        <f ca="1">AP69*'[1]0、经济设定'!$C$18</f>
        <v>10213.865243691685</v>
      </c>
      <c r="AR69">
        <f ca="1">IFERROR(AQ69*'[1]0、经济设定'!$E$19*AU69*AS69,0)</f>
        <v>1799.9999999999998</v>
      </c>
      <c r="AS69">
        <v>10</v>
      </c>
      <c r="AT69">
        <f>MAX(VLOOKUP(I69,$AY$5:$AZ$9,2,FALSE)*G69,1)</f>
        <v>180</v>
      </c>
      <c r="AU69">
        <f ca="1">IF(F69=0,IFERROR(AT69/AP69/'[1]0、经济设定'!$E$18,0),AU68)</f>
        <v>8.8115515382960456</v>
      </c>
      <c r="AV69">
        <f t="shared" ca="1" si="15"/>
        <v>8171.0921949533486</v>
      </c>
    </row>
    <row r="70" spans="1:48" x14ac:dyDescent="0.15">
      <c r="A70" s="14" t="str">
        <f t="shared" si="3"/>
        <v>20310</v>
      </c>
      <c r="B70" s="14" t="s">
        <v>303</v>
      </c>
      <c r="C70" s="14">
        <f>VLOOKUP($I70&amp;$F70&amp;$G70,装备属性表,装备属性计算表!AK$29,FALSE)</f>
        <v>10</v>
      </c>
      <c r="D70" s="14">
        <f t="shared" si="18"/>
        <v>2</v>
      </c>
      <c r="E70" s="14" t="str">
        <f>VLOOKUP(F70,CHOOSE({1,2},定义数据!$F$2:$F$7,武器部位),2)</f>
        <v>武器</v>
      </c>
      <c r="F70" s="14">
        <v>0</v>
      </c>
      <c r="G70" s="14">
        <v>30</v>
      </c>
      <c r="H70" s="14">
        <f t="shared" si="7"/>
        <v>30</v>
      </c>
      <c r="I70" s="14">
        <v>3</v>
      </c>
      <c r="J70" s="14" t="str">
        <f t="shared" si="33"/>
        <v>3030</v>
      </c>
      <c r="K70" s="14" t="str">
        <f t="shared" si="34"/>
        <v>3030</v>
      </c>
      <c r="L70" s="76"/>
      <c r="M70" s="14">
        <f>IF(OR(G70&lt;15,G70=80),0,D_装备升级表!A70)</f>
        <v>30230</v>
      </c>
      <c r="N70" s="78">
        <v>1</v>
      </c>
      <c r="O70" s="14">
        <f t="shared" si="4"/>
        <v>1000</v>
      </c>
      <c r="P70" s="14"/>
      <c r="Q70" s="14">
        <f>VLOOKUP($I70&amp;$F70&amp;$G70,装备属性表,装备属性计算表!AL$29,FALSE)</f>
        <v>5</v>
      </c>
      <c r="R70" s="14">
        <f ca="1">VLOOKUP(VLOOKUP($I70&amp;$F70&amp;$G70,装备属性表,装备属性计算表!AM$29,FALSE),定义数据!$B$13:$C$35,2,FALSE)</f>
        <v>2</v>
      </c>
      <c r="S70" s="14">
        <f ca="1">VLOOKUP($I70&amp;$F70&amp;$G70,装备属性表,装备属性计算表!AN$29,FALSE)</f>
        <v>135.38722909090913</v>
      </c>
      <c r="T70" s="14">
        <f ca="1">VLOOKUP(VLOOKUP($I70&amp;$F70&amp;$G70,装备属性表,装备属性计算表!AO$29,FALSE),定义数据!$B$13:$C$35,2,FALSE)</f>
        <v>8</v>
      </c>
      <c r="U70" s="14">
        <f ca="1">VLOOKUP($I70&amp;$F70&amp;$G70,装备属性表,装备属性计算表!AP$29,FALSE)</f>
        <v>83.950617283950621</v>
      </c>
      <c r="V70" s="14">
        <f ca="1">VLOOKUP(VLOOKUP($I70&amp;$F70&amp;$G70,装备属性表,装备属性计算表!AQ$29,FALSE),定义数据!$B$13:$C$35,2,FALSE)</f>
        <v>2</v>
      </c>
      <c r="W70" s="14">
        <f ca="1">VLOOKUP($I70&amp;$F70&amp;$G70,装备属性表,装备属性计算表!AR$29,FALSE)</f>
        <v>40.616168727272743</v>
      </c>
      <c r="X70" s="14">
        <f ca="1">VLOOKUP(VLOOKUP($I70&amp;$F70&amp;$G70,装备属性表,装备属性计算表!AS$29,FALSE),定义数据!$B$13:$C$35,2,FALSE)</f>
        <v>3</v>
      </c>
      <c r="Y70" s="14">
        <f ca="1">VLOOKUP($I70&amp;$F70&amp;$G70,装备属性表,装备属性计算表!AT$29,FALSE)</f>
        <v>4.8752959445407278</v>
      </c>
      <c r="Z70" s="14">
        <f ca="1">VLOOKUP(VLOOKUP($I70&amp;$F70&amp;$G70,装备属性表,装备属性计算表!AU$29,FALSE),定义数据!$B$13:$C$35,2,FALSE)</f>
        <v>6</v>
      </c>
      <c r="AA70" s="14">
        <f ca="1">VLOOKUP($I70&amp;$F70&amp;$G70,装备属性表,装备属性计算表!AV$29,FALSE)</f>
        <v>17.708333333333336</v>
      </c>
      <c r="AB70" s="14">
        <f ca="1">VLOOKUP(VLOOKUP($I70&amp;$F70&amp;$G70,装备属性表,装备属性计算表!AW$29,FALSE),定义数据!$B$13:$C$35,2,FALSE)</f>
        <v>0</v>
      </c>
      <c r="AC70" s="14">
        <f>VLOOKUP($I70&amp;$F70&amp;$G70,装备属性表,装备属性计算表!AX$29,FALSE)</f>
        <v>0</v>
      </c>
      <c r="AD70" s="14">
        <f ca="1">VLOOKUP(VLOOKUP($I70&amp;$F70&amp;$G70,装备属性表,装备属性计算表!AY$29,FALSE),定义数据!$B$13:$C$35,2,FALSE)</f>
        <v>0</v>
      </c>
      <c r="AE70" s="14">
        <f>VLOOKUP($I70&amp;$F70&amp;$G70,装备属性表,装备属性计算表!AZ$29,FALSE)</f>
        <v>0</v>
      </c>
      <c r="AF70" s="14">
        <f ca="1">VLOOKUP(VLOOKUP($I70&amp;$F70&amp;$G70,装备属性表,装备属性计算表!BA$29,FALSE),定义数据!$B$13:$C$35,2,FALSE)</f>
        <v>0</v>
      </c>
      <c r="AG70" s="14">
        <f>VLOOKUP($I70&amp;$F70&amp;$G70,装备属性表,装备属性计算表!BB$29,FALSE)</f>
        <v>0</v>
      </c>
      <c r="AH70" s="14">
        <f ca="1">VLOOKUP(VLOOKUP($I70&amp;$F70&amp;$G70,装备属性表,装备属性计算表!BC$29,FALSE),定义数据!$B$13:$C$35,2,FALSE)</f>
        <v>0</v>
      </c>
      <c r="AI70" s="14">
        <f>VLOOKUP($I70&amp;$F70&amp;$G70,装备属性表,装备属性计算表!BD$29,FALSE)</f>
        <v>0</v>
      </c>
      <c r="AJ70" s="14">
        <f ca="1">VLOOKUP(VLOOKUP($I70&amp;$F70&amp;$G70,装备属性表,装备属性计算表!BE$29,FALSE),定义数据!$B$13:$C$35,2,FALSE)</f>
        <v>0</v>
      </c>
      <c r="AK70" s="14">
        <f>VLOOKUP($I70&amp;$F70&amp;$G70,装备属性表,装备属性计算表!BF$29,FALSE)</f>
        <v>0</v>
      </c>
      <c r="AL70" t="str">
        <f t="shared" si="17"/>
        <v>爵士之拳是一件30级橙色可升级的装备。</v>
      </c>
      <c r="AM70" t="str">
        <f>IF(D70=0,5,D70) &amp; F70&amp;"00"&amp;VLOOKUP(G70,定义数据!$F$20:$G$27,2,FALSE)&amp;".png"</f>
        <v>20003.png</v>
      </c>
      <c r="AN70" s="79">
        <f>IF(OR(G70&lt;15),0,D_装备升级表!A70)</f>
        <v>30230</v>
      </c>
      <c r="AP70">
        <f ca="1">VLOOKUP(G70&amp;I70&amp;F70,CHOOSE({1,2},装备属性计算表!$BK$32:$BK$187,装备属性计算表!$BJ$32:$BJ$187),2,FALSE)</f>
        <v>204.27730487383371</v>
      </c>
      <c r="AQ70">
        <f ca="1">AP70*'[1]0、经济设定'!$C$18</f>
        <v>10213.865243691685</v>
      </c>
      <c r="AR70">
        <f ca="1">IFERROR(AQ70*'[1]0、经济设定'!$E$19*AU70*AS70,0)</f>
        <v>1799.9999999999998</v>
      </c>
      <c r="AS70">
        <v>10</v>
      </c>
      <c r="AT70">
        <f t="shared" si="19"/>
        <v>180</v>
      </c>
      <c r="AU70">
        <f ca="1">IF(F70=0,IFERROR(AT70/AP70/'[1]0、经济设定'!$E$18,0),AU69)</f>
        <v>8.8115515382960456</v>
      </c>
      <c r="AV70">
        <f t="shared" ca="1" si="15"/>
        <v>8171.0921949533486</v>
      </c>
    </row>
    <row r="71" spans="1:48" x14ac:dyDescent="0.15">
      <c r="A71" s="14" t="str">
        <f t="shared" si="3"/>
        <v>30310</v>
      </c>
      <c r="B71" s="14" t="s">
        <v>304</v>
      </c>
      <c r="C71" s="14">
        <f>VLOOKUP($I71&amp;$F71&amp;$G71,装备属性表,装备属性计算表!AK$29,FALSE)</f>
        <v>10</v>
      </c>
      <c r="D71" s="14">
        <f t="shared" si="18"/>
        <v>3</v>
      </c>
      <c r="E71" s="14" t="str">
        <f>VLOOKUP(F71,CHOOSE({1,2},定义数据!$F$2:$F$7,武器部位),2)</f>
        <v>武器</v>
      </c>
      <c r="F71" s="14">
        <v>0</v>
      </c>
      <c r="G71" s="14">
        <v>30</v>
      </c>
      <c r="H71" s="14">
        <f t="shared" si="7"/>
        <v>30</v>
      </c>
      <c r="I71" s="14">
        <v>3</v>
      </c>
      <c r="J71" s="14" t="str">
        <f t="shared" si="33"/>
        <v>3030</v>
      </c>
      <c r="K71" s="14" t="str">
        <f t="shared" si="34"/>
        <v>3030</v>
      </c>
      <c r="L71" s="76"/>
      <c r="M71" s="14">
        <f>IF(OR(G71&lt;15,G71=80),0,D_装备升级表!A71)</f>
        <v>30330</v>
      </c>
      <c r="N71" s="78">
        <v>1</v>
      </c>
      <c r="O71" s="14">
        <f t="shared" si="4"/>
        <v>1000</v>
      </c>
      <c r="P71" s="14"/>
      <c r="Q71" s="14">
        <f>VLOOKUP($I71&amp;$F71&amp;$G71,装备属性表,装备属性计算表!AL$29,FALSE)</f>
        <v>5</v>
      </c>
      <c r="R71" s="14">
        <f ca="1">VLOOKUP(VLOOKUP($I71&amp;$F71&amp;$G71,装备属性表,装备属性计算表!AM$29,FALSE),定义数据!$B$13:$C$35,2,FALSE)</f>
        <v>2</v>
      </c>
      <c r="S71" s="14">
        <f ca="1">VLOOKUP($I71&amp;$F71&amp;$G71,装备属性表,装备属性计算表!AN$29,FALSE)</f>
        <v>135.38722909090913</v>
      </c>
      <c r="T71" s="14">
        <f ca="1">VLOOKUP(VLOOKUP($I71&amp;$F71&amp;$G71,装备属性表,装备属性计算表!AO$29,FALSE),定义数据!$B$13:$C$35,2,FALSE)</f>
        <v>8</v>
      </c>
      <c r="U71" s="14">
        <f ca="1">VLOOKUP($I71&amp;$F71&amp;$G71,装备属性表,装备属性计算表!AP$29,FALSE)</f>
        <v>83.950617283950621</v>
      </c>
      <c r="V71" s="14">
        <f ca="1">VLOOKUP(VLOOKUP($I71&amp;$F71&amp;$G71,装备属性表,装备属性计算表!AQ$29,FALSE),定义数据!$B$13:$C$35,2,FALSE)</f>
        <v>2</v>
      </c>
      <c r="W71" s="14">
        <f ca="1">VLOOKUP($I71&amp;$F71&amp;$G71,装备属性表,装备属性计算表!AR$29,FALSE)</f>
        <v>40.616168727272743</v>
      </c>
      <c r="X71" s="14">
        <f ca="1">VLOOKUP(VLOOKUP($I71&amp;$F71&amp;$G71,装备属性表,装备属性计算表!AS$29,FALSE),定义数据!$B$13:$C$35,2,FALSE)</f>
        <v>3</v>
      </c>
      <c r="Y71" s="14">
        <f ca="1">VLOOKUP($I71&amp;$F71&amp;$G71,装备属性表,装备属性计算表!AT$29,FALSE)</f>
        <v>4.8752959445407278</v>
      </c>
      <c r="Z71" s="14">
        <f ca="1">VLOOKUP(VLOOKUP($I71&amp;$F71&amp;$G71,装备属性表,装备属性计算表!AU$29,FALSE),定义数据!$B$13:$C$35,2,FALSE)</f>
        <v>6</v>
      </c>
      <c r="AA71" s="14">
        <f ca="1">VLOOKUP($I71&amp;$F71&amp;$G71,装备属性表,装备属性计算表!AV$29,FALSE)</f>
        <v>17.708333333333336</v>
      </c>
      <c r="AB71" s="14">
        <f ca="1">VLOOKUP(VLOOKUP($I71&amp;$F71&amp;$G71,装备属性表,装备属性计算表!AW$29,FALSE),定义数据!$B$13:$C$35,2,FALSE)</f>
        <v>0</v>
      </c>
      <c r="AC71" s="14">
        <f>VLOOKUP($I71&amp;$F71&amp;$G71,装备属性表,装备属性计算表!AX$29,FALSE)</f>
        <v>0</v>
      </c>
      <c r="AD71" s="14">
        <f ca="1">VLOOKUP(VLOOKUP($I71&amp;$F71&amp;$G71,装备属性表,装备属性计算表!AY$29,FALSE),定义数据!$B$13:$C$35,2,FALSE)</f>
        <v>0</v>
      </c>
      <c r="AE71" s="14">
        <f>VLOOKUP($I71&amp;$F71&amp;$G71,装备属性表,装备属性计算表!AZ$29,FALSE)</f>
        <v>0</v>
      </c>
      <c r="AF71" s="14">
        <f ca="1">VLOOKUP(VLOOKUP($I71&amp;$F71&amp;$G71,装备属性表,装备属性计算表!BA$29,FALSE),定义数据!$B$13:$C$35,2,FALSE)</f>
        <v>0</v>
      </c>
      <c r="AG71" s="14">
        <f>VLOOKUP($I71&amp;$F71&amp;$G71,装备属性表,装备属性计算表!BB$29,FALSE)</f>
        <v>0</v>
      </c>
      <c r="AH71" s="14">
        <f ca="1">VLOOKUP(VLOOKUP($I71&amp;$F71&amp;$G71,装备属性表,装备属性计算表!BC$29,FALSE),定义数据!$B$13:$C$35,2,FALSE)</f>
        <v>0</v>
      </c>
      <c r="AI71" s="14">
        <f>VLOOKUP($I71&amp;$F71&amp;$G71,装备属性表,装备属性计算表!BD$29,FALSE)</f>
        <v>0</v>
      </c>
      <c r="AJ71" s="14">
        <f ca="1">VLOOKUP(VLOOKUP($I71&amp;$F71&amp;$G71,装备属性表,装备属性计算表!BE$29,FALSE),定义数据!$B$13:$C$35,2,FALSE)</f>
        <v>0</v>
      </c>
      <c r="AK71" s="14">
        <f>VLOOKUP($I71&amp;$F71&amp;$G71,装备属性表,装备属性计算表!BF$29,FALSE)</f>
        <v>0</v>
      </c>
      <c r="AL71" t="str">
        <f t="shared" si="17"/>
        <v>爵士之枪是一件30级橙色可升级的装备。</v>
      </c>
      <c r="AM71" t="str">
        <f>IF(D71=0,5,D71) &amp; F71&amp;"00"&amp;VLOOKUP(G71,定义数据!$F$20:$G$27,2,FALSE)&amp;".png"</f>
        <v>30003.png</v>
      </c>
      <c r="AN71" s="79">
        <f>IF(OR(G71&lt;15),0,D_装备升级表!A71)</f>
        <v>30330</v>
      </c>
      <c r="AP71">
        <f ca="1">VLOOKUP(G71&amp;I71&amp;F71,CHOOSE({1,2},装备属性计算表!$BK$32:$BK$187,装备属性计算表!$BJ$32:$BJ$187),2,FALSE)</f>
        <v>204.27730487383371</v>
      </c>
      <c r="AQ71">
        <f ca="1">AP71*'[1]0、经济设定'!$C$18</f>
        <v>10213.865243691685</v>
      </c>
      <c r="AR71">
        <f ca="1">IFERROR(AQ71*'[1]0、经济设定'!$E$19*AU71*AS71,0)</f>
        <v>1799.9999999999998</v>
      </c>
      <c r="AS71">
        <v>10</v>
      </c>
      <c r="AT71">
        <f t="shared" si="19"/>
        <v>180</v>
      </c>
      <c r="AU71">
        <f ca="1">IF(F71=0,IFERROR(AT71/AP71/'[1]0、经济设定'!$E$18,0),AU70)</f>
        <v>8.8115515382960456</v>
      </c>
      <c r="AV71">
        <f t="shared" ca="1" si="15"/>
        <v>8171.0921949533486</v>
      </c>
    </row>
    <row r="72" spans="1:48" x14ac:dyDescent="0.15">
      <c r="A72" s="14" t="str">
        <f t="shared" si="3"/>
        <v>51310</v>
      </c>
      <c r="B72" s="14" t="s">
        <v>305</v>
      </c>
      <c r="C72" s="14">
        <f>VLOOKUP($I72&amp;$F72&amp;$G72,装备属性表,装备属性计算表!AK$29,FALSE)</f>
        <v>10</v>
      </c>
      <c r="D72" s="14">
        <f t="shared" si="18"/>
        <v>0</v>
      </c>
      <c r="E72" s="14" t="str">
        <f>VLOOKUP(F72,CHOOSE({1,2},定义数据!$F$2:$F$7,武器部位),2)</f>
        <v>衣服</v>
      </c>
      <c r="F72" s="14">
        <v>1</v>
      </c>
      <c r="G72" s="14">
        <v>30</v>
      </c>
      <c r="H72" s="14">
        <f t="shared" si="7"/>
        <v>30</v>
      </c>
      <c r="I72" s="14">
        <v>3</v>
      </c>
      <c r="J72" s="14" t="str">
        <f t="shared" si="33"/>
        <v>3031</v>
      </c>
      <c r="K72" s="14" t="str">
        <f t="shared" si="34"/>
        <v>3031</v>
      </c>
      <c r="L72" s="76"/>
      <c r="M72" s="14">
        <f>IF(OR(G72&lt;15,G72=80),0,D_装备升级表!A72)</f>
        <v>30031</v>
      </c>
      <c r="N72" s="78">
        <v>1</v>
      </c>
      <c r="O72" s="14">
        <f t="shared" si="4"/>
        <v>1000</v>
      </c>
      <c r="P72" s="14"/>
      <c r="Q72" s="14">
        <f>VLOOKUP($I72&amp;$F72&amp;$G72,装备属性表,装备属性计算表!AL$29,FALSE)</f>
        <v>5</v>
      </c>
      <c r="R72" s="14">
        <f ca="1">VLOOKUP(VLOOKUP($I72&amp;$F72&amp;$G72,装备属性表,装备属性计算表!AM$29,FALSE),定义数据!$B$13:$C$35,2,FALSE)</f>
        <v>1</v>
      </c>
      <c r="S72" s="14">
        <f ca="1">VLOOKUP($I72&amp;$F72&amp;$G72,装备属性表,装备属性计算表!AN$29,FALSE)</f>
        <v>2132.3798941993259</v>
      </c>
      <c r="T72" s="14">
        <f ca="1">VLOOKUP(VLOOKUP($I72&amp;$F72&amp;$G72,装备属性表,装备属性计算表!AO$29,FALSE),定义数据!$B$13:$C$35,2,FALSE)</f>
        <v>3</v>
      </c>
      <c r="U72" s="14">
        <f ca="1">VLOOKUP($I72&amp;$F72&amp;$G72,装备属性表,装备属性计算表!AP$29,FALSE)</f>
        <v>46.80284106759099</v>
      </c>
      <c r="V72" s="14">
        <f ca="1">VLOOKUP(VLOOKUP($I72&amp;$F72&amp;$G72,装备属性表,装备属性计算表!AQ$29,FALSE),定义数据!$B$13:$C$35,2,FALSE)</f>
        <v>1</v>
      </c>
      <c r="W72" s="14">
        <f ca="1">VLOOKUP($I72&amp;$F72&amp;$G72,装备属性表,装备属性计算表!AR$29,FALSE)</f>
        <v>444.24581129152637</v>
      </c>
      <c r="X72" s="14">
        <f ca="1">VLOOKUP(VLOOKUP($I72&amp;$F72&amp;$G72,装备属性表,装备属性计算表!AS$29,FALSE),定义数据!$B$13:$C$35,2,FALSE)</f>
        <v>3</v>
      </c>
      <c r="Y72" s="14">
        <f ca="1">VLOOKUP($I72&amp;$F72&amp;$G72,装备属性表,装备属性计算表!AT$29,FALSE)</f>
        <v>14.625887833622185</v>
      </c>
      <c r="Z72" s="14">
        <f ca="1">VLOOKUP(VLOOKUP($I72&amp;$F72&amp;$G72,装备属性表,装备属性计算表!AU$29,FALSE),定义数据!$B$13:$C$35,2,FALSE)</f>
        <v>7</v>
      </c>
      <c r="AA72" s="14">
        <f ca="1">VLOOKUP($I72&amp;$F72&amp;$G72,装备属性表,装备属性计算表!AV$29,FALSE)</f>
        <v>10.625000000000004</v>
      </c>
      <c r="AB72" s="14">
        <f ca="1">VLOOKUP(VLOOKUP($I72&amp;$F72&amp;$G72,装备属性表,装备属性计算表!AW$29,FALSE),定义数据!$B$13:$C$35,2,FALSE)</f>
        <v>0</v>
      </c>
      <c r="AC72" s="14">
        <f>VLOOKUP($I72&amp;$F72&amp;$G72,装备属性表,装备属性计算表!AX$29,FALSE)</f>
        <v>0</v>
      </c>
      <c r="AD72" s="14">
        <f ca="1">VLOOKUP(VLOOKUP($I72&amp;$F72&amp;$G72,装备属性表,装备属性计算表!AY$29,FALSE),定义数据!$B$13:$C$35,2,FALSE)</f>
        <v>0</v>
      </c>
      <c r="AE72" s="14">
        <f>VLOOKUP($I72&amp;$F72&amp;$G72,装备属性表,装备属性计算表!AZ$29,FALSE)</f>
        <v>0</v>
      </c>
      <c r="AF72" s="14">
        <f ca="1">VLOOKUP(VLOOKUP($I72&amp;$F72&amp;$G72,装备属性表,装备属性计算表!BA$29,FALSE),定义数据!$B$13:$C$35,2,FALSE)</f>
        <v>0</v>
      </c>
      <c r="AG72" s="14">
        <f>VLOOKUP($I72&amp;$F72&amp;$G72,装备属性表,装备属性计算表!BB$29,FALSE)</f>
        <v>0</v>
      </c>
      <c r="AH72" s="14">
        <f ca="1">VLOOKUP(VLOOKUP($I72&amp;$F72&amp;$G72,装备属性表,装备属性计算表!BC$29,FALSE),定义数据!$B$13:$C$35,2,FALSE)</f>
        <v>0</v>
      </c>
      <c r="AI72" s="14">
        <f>VLOOKUP($I72&amp;$F72&amp;$G72,装备属性表,装备属性计算表!BD$29,FALSE)</f>
        <v>0</v>
      </c>
      <c r="AJ72" s="14">
        <f ca="1">VLOOKUP(VLOOKUP($I72&amp;$F72&amp;$G72,装备属性表,装备属性计算表!BE$29,FALSE),定义数据!$B$13:$C$35,2,FALSE)</f>
        <v>0</v>
      </c>
      <c r="AK72" s="14">
        <f>VLOOKUP($I72&amp;$F72&amp;$G72,装备属性表,装备属性计算表!BF$29,FALSE)</f>
        <v>0</v>
      </c>
      <c r="AL72" t="str">
        <f t="shared" si="17"/>
        <v>爵士战衣是一件30级橙色可升级的装备。</v>
      </c>
      <c r="AM72" t="str">
        <f>IF(D72=0,5,D72) &amp; F72&amp;"00"&amp;VLOOKUP(G72,定义数据!$F$20:$G$27,2,FALSE)&amp;".png"</f>
        <v>51003.png</v>
      </c>
      <c r="AN72" s="79">
        <f>IF(OR(G72&lt;15),0,D_装备升级表!A72)</f>
        <v>30031</v>
      </c>
      <c r="AP72">
        <f ca="1">VLOOKUP(G72&amp;I72&amp;F72,CHOOSE({1,2},装备属性计算表!$BK$32:$BK$187,装备属性计算表!$BJ$32:$BJ$187),2,FALSE)</f>
        <v>169.99514600973615</v>
      </c>
      <c r="AQ72">
        <f ca="1">AP72*'[1]0、经济设定'!$C$18</f>
        <v>8499.7573004868082</v>
      </c>
      <c r="AR72">
        <f ca="1">IFERROR(AQ72*'[1]0、经济设定'!$E$19*AU72*AS72,0)</f>
        <v>1497.9209903249514</v>
      </c>
      <c r="AS72">
        <v>10</v>
      </c>
      <c r="AT72">
        <f t="shared" si="19"/>
        <v>180</v>
      </c>
      <c r="AU72">
        <f ca="1">IF(F72=0,IFERROR(AT72/AP72/'[1]0、经济设定'!$E$18,0),AU71)</f>
        <v>8.8115515382960456</v>
      </c>
      <c r="AV72">
        <f t="shared" ca="1" si="15"/>
        <v>6799.8058403894456</v>
      </c>
    </row>
    <row r="73" spans="1:48" x14ac:dyDescent="0.15">
      <c r="A73" s="14" t="str">
        <f t="shared" si="3"/>
        <v>52310</v>
      </c>
      <c r="B73" s="14" t="s">
        <v>306</v>
      </c>
      <c r="C73" s="14">
        <f>VLOOKUP($I73&amp;$F73&amp;$G73,装备属性表,装备属性计算表!AK$29,FALSE)</f>
        <v>10</v>
      </c>
      <c r="D73" s="14">
        <f t="shared" si="18"/>
        <v>0</v>
      </c>
      <c r="E73" s="14" t="str">
        <f>VLOOKUP(F73,CHOOSE({1,2},定义数据!$F$2:$F$7,武器部位),2)</f>
        <v>裤子</v>
      </c>
      <c r="F73" s="14">
        <v>2</v>
      </c>
      <c r="G73" s="14">
        <v>30</v>
      </c>
      <c r="H73" s="14">
        <f t="shared" si="7"/>
        <v>30</v>
      </c>
      <c r="I73" s="14">
        <v>3</v>
      </c>
      <c r="J73" s="14" t="str">
        <f t="shared" si="33"/>
        <v>3032</v>
      </c>
      <c r="K73" s="14" t="str">
        <f t="shared" si="34"/>
        <v>3032</v>
      </c>
      <c r="L73" s="76"/>
      <c r="M73" s="14">
        <f>IF(OR(G73&lt;15,G73=80),0,D_装备升级表!A73)</f>
        <v>30032</v>
      </c>
      <c r="N73" s="78">
        <v>1</v>
      </c>
      <c r="O73" s="14">
        <f t="shared" si="4"/>
        <v>1000</v>
      </c>
      <c r="P73" s="14"/>
      <c r="Q73" s="14">
        <f>VLOOKUP($I73&amp;$F73&amp;$G73,装备属性表,装备属性计算表!AL$29,FALSE)</f>
        <v>5</v>
      </c>
      <c r="R73" s="14">
        <f ca="1">VLOOKUP(VLOOKUP($I73&amp;$F73&amp;$G73,装备属性表,装备属性计算表!AM$29,FALSE),定义数据!$B$13:$C$35,2,FALSE)</f>
        <v>3</v>
      </c>
      <c r="S73" s="14">
        <f ca="1">VLOOKUP($I73&amp;$F73&amp;$G73,装备属性表,装备属性计算表!AN$29,FALSE)</f>
        <v>31.201894045060659</v>
      </c>
      <c r="T73" s="14">
        <f ca="1">VLOOKUP(VLOOKUP($I73&amp;$F73&amp;$G73,装备属性表,装备属性计算表!AO$29,FALSE),定义数据!$B$13:$C$35,2,FALSE)</f>
        <v>7</v>
      </c>
      <c r="U73" s="14">
        <f ca="1">VLOOKUP($I73&amp;$F73&amp;$G73,装备属性表,装备属性计算表!AP$29,FALSE)</f>
        <v>47.222222222222229</v>
      </c>
      <c r="V73" s="14">
        <f ca="1">VLOOKUP(VLOOKUP($I73&amp;$F73&amp;$G73,装备属性表,装备属性计算表!AQ$29,FALSE),定义数据!$B$13:$C$35,2,FALSE)</f>
        <v>1</v>
      </c>
      <c r="W73" s="14">
        <f ca="1">VLOOKUP($I73&amp;$F73&amp;$G73,装备属性表,装备属性计算表!AR$29,FALSE)</f>
        <v>222.12290564576318</v>
      </c>
      <c r="X73" s="14">
        <f ca="1">VLOOKUP(VLOOKUP($I73&amp;$F73&amp;$G73,装备属性表,装备属性计算表!AS$29,FALSE),定义数据!$B$13:$C$35,2,FALSE)</f>
        <v>3</v>
      </c>
      <c r="Y73" s="14">
        <f ca="1">VLOOKUP($I73&amp;$F73&amp;$G73,装备属性表,装备属性计算表!AT$29,FALSE)</f>
        <v>4.8752959445407278</v>
      </c>
      <c r="Z73" s="14">
        <f ca="1">VLOOKUP(VLOOKUP($I73&amp;$F73&amp;$G73,装备属性表,装备属性计算表!AU$29,FALSE),定义数据!$B$13:$C$35,2,FALSE)</f>
        <v>7</v>
      </c>
      <c r="AA73" s="14">
        <f ca="1">VLOOKUP($I73&amp;$F73&amp;$G73,装备属性表,装备属性计算表!AV$29,FALSE)</f>
        <v>10.625000000000004</v>
      </c>
      <c r="AB73" s="14">
        <f ca="1">VLOOKUP(VLOOKUP($I73&amp;$F73&amp;$G73,装备属性表,装备属性计算表!AW$29,FALSE),定义数据!$B$13:$C$35,2,FALSE)</f>
        <v>0</v>
      </c>
      <c r="AC73" s="14">
        <f>VLOOKUP($I73&amp;$F73&amp;$G73,装备属性表,装备属性计算表!AX$29,FALSE)</f>
        <v>0</v>
      </c>
      <c r="AD73" s="14">
        <f ca="1">VLOOKUP(VLOOKUP($I73&amp;$F73&amp;$G73,装备属性表,装备属性计算表!AY$29,FALSE),定义数据!$B$13:$C$35,2,FALSE)</f>
        <v>0</v>
      </c>
      <c r="AE73" s="14">
        <f>VLOOKUP($I73&amp;$F73&amp;$G73,装备属性表,装备属性计算表!AZ$29,FALSE)</f>
        <v>0</v>
      </c>
      <c r="AF73" s="14">
        <f ca="1">VLOOKUP(VLOOKUP($I73&amp;$F73&amp;$G73,装备属性表,装备属性计算表!BA$29,FALSE),定义数据!$B$13:$C$35,2,FALSE)</f>
        <v>0</v>
      </c>
      <c r="AG73" s="14">
        <f>VLOOKUP($I73&amp;$F73&amp;$G73,装备属性表,装备属性计算表!BB$29,FALSE)</f>
        <v>0</v>
      </c>
      <c r="AH73" s="14">
        <f ca="1">VLOOKUP(VLOOKUP($I73&amp;$F73&amp;$G73,装备属性表,装备属性计算表!BC$29,FALSE),定义数据!$B$13:$C$35,2,FALSE)</f>
        <v>0</v>
      </c>
      <c r="AI73" s="14">
        <f>VLOOKUP($I73&amp;$F73&amp;$G73,装备属性表,装备属性计算表!BD$29,FALSE)</f>
        <v>0</v>
      </c>
      <c r="AJ73" s="14">
        <f ca="1">VLOOKUP(VLOOKUP($I73&amp;$F73&amp;$G73,装备属性表,装备属性计算表!BE$29,FALSE),定义数据!$B$13:$C$35,2,FALSE)</f>
        <v>0</v>
      </c>
      <c r="AK73" s="14">
        <f>VLOOKUP($I73&amp;$F73&amp;$G73,装备属性表,装备属性计算表!BF$29,FALSE)</f>
        <v>0</v>
      </c>
      <c r="AL73" t="str">
        <f t="shared" si="17"/>
        <v>爵士长裤是一件30级橙色可升级的装备。</v>
      </c>
      <c r="AM73" t="str">
        <f>IF(D73=0,5,D73) &amp; F73&amp;"00"&amp;VLOOKUP(G73,定义数据!$F$20:$G$27,2,FALSE)&amp;".png"</f>
        <v>52003.png</v>
      </c>
      <c r="AN73" s="79">
        <f>IF(OR(G73&lt;15),0,D_装备升级表!A73)</f>
        <v>30032</v>
      </c>
      <c r="AP73">
        <f ca="1">VLOOKUP(G73&amp;I73&amp;F73,CHOOSE({1,2},装备属性计算表!$BK$32:$BK$187,装备属性计算表!$BJ$32:$BJ$187),2,FALSE)</f>
        <v>66.519050659876356</v>
      </c>
      <c r="AQ73">
        <f ca="1">AP73*'[1]0、经济设定'!$C$18</f>
        <v>3325.9525329938178</v>
      </c>
      <c r="AR73">
        <f ca="1">IFERROR(AQ73*'[1]0、经济设定'!$E$19*AU73*AS73,0)</f>
        <v>586.13604316802616</v>
      </c>
      <c r="AS73">
        <v>10</v>
      </c>
      <c r="AT73">
        <f t="shared" si="19"/>
        <v>180</v>
      </c>
      <c r="AU73">
        <f ca="1">IF(F73=0,IFERROR(AT73/AP73/'[1]0、经济设定'!$E$18,0),AU72)</f>
        <v>8.8115515382960456</v>
      </c>
      <c r="AV73">
        <f t="shared" ca="1" si="15"/>
        <v>2660.7620263950544</v>
      </c>
    </row>
    <row r="74" spans="1:48" x14ac:dyDescent="0.15">
      <c r="A74" s="14" t="str">
        <f t="shared" si="3"/>
        <v>55310</v>
      </c>
      <c r="B74" s="14" t="s">
        <v>307</v>
      </c>
      <c r="C74" s="14">
        <f>VLOOKUP($I74&amp;$F74&amp;$G74,装备属性表,装备属性计算表!AK$29,FALSE)</f>
        <v>10</v>
      </c>
      <c r="D74" s="14">
        <f t="shared" si="18"/>
        <v>0</v>
      </c>
      <c r="E74" s="14" t="str">
        <f>VLOOKUP(F74,CHOOSE({1,2},定义数据!$F$2:$F$7,武器部位),2)</f>
        <v>鞋子</v>
      </c>
      <c r="F74" s="14">
        <v>5</v>
      </c>
      <c r="G74" s="14">
        <v>30</v>
      </c>
      <c r="H74" s="14">
        <f t="shared" si="7"/>
        <v>30</v>
      </c>
      <c r="I74" s="14">
        <v>3</v>
      </c>
      <c r="J74" s="14" t="str">
        <f t="shared" si="33"/>
        <v>3035</v>
      </c>
      <c r="K74" s="14" t="str">
        <f t="shared" si="34"/>
        <v>3035</v>
      </c>
      <c r="L74" s="76"/>
      <c r="M74" s="14">
        <f>IF(OR(G74&lt;15,G74=80),0,D_装备升级表!A74)</f>
        <v>30035</v>
      </c>
      <c r="N74" s="78">
        <v>1</v>
      </c>
      <c r="O74" s="14">
        <f t="shared" si="4"/>
        <v>1000</v>
      </c>
      <c r="P74" s="14"/>
      <c r="Q74" s="14">
        <f>VLOOKUP($I74&amp;$F74&amp;$G74,装备属性表,装备属性计算表!AL$29,FALSE)</f>
        <v>5</v>
      </c>
      <c r="R74" s="14">
        <f ca="1">VLOOKUP(VLOOKUP($I74&amp;$F74&amp;$G74,装备属性表,装备属性计算表!AM$29,FALSE),定义数据!$B$13:$C$35,2,FALSE)</f>
        <v>1</v>
      </c>
      <c r="S74" s="14">
        <f ca="1">VLOOKUP($I74&amp;$F74&amp;$G74,装备属性表,装备属性计算表!AN$29,FALSE)</f>
        <v>710.79329806644216</v>
      </c>
      <c r="T74" s="14">
        <f ca="1">VLOOKUP(VLOOKUP($I74&amp;$F74&amp;$G74,装备属性表,装备属性计算表!AO$29,FALSE),定义数据!$B$13:$C$35,2,FALSE)</f>
        <v>7</v>
      </c>
      <c r="U74" s="14">
        <f ca="1">VLOOKUP($I74&amp;$F74&amp;$G74,装备属性表,装备属性计算表!AP$29,FALSE)</f>
        <v>94.444444444444457</v>
      </c>
      <c r="V74" s="14">
        <f ca="1">VLOOKUP(VLOOKUP($I74&amp;$F74&amp;$G74,装备属性表,装备属性计算表!AQ$29,FALSE),定义数据!$B$13:$C$35,2,FALSE)</f>
        <v>1</v>
      </c>
      <c r="W74" s="14">
        <f ca="1">VLOOKUP($I74&amp;$F74&amp;$G74,装备属性表,装备属性计算表!AR$29,FALSE)</f>
        <v>222.12290564576318</v>
      </c>
      <c r="X74" s="14">
        <f ca="1">VLOOKUP(VLOOKUP($I74&amp;$F74&amp;$G74,装备属性表,装备属性计算表!AS$29,FALSE),定义数据!$B$13:$C$35,2,FALSE)</f>
        <v>7</v>
      </c>
      <c r="Y74" s="14">
        <f ca="1">VLOOKUP($I74&amp;$F74&amp;$G74,装备属性表,装备属性计算表!AT$29,FALSE)</f>
        <v>21.250000000000007</v>
      </c>
      <c r="Z74" s="14">
        <f ca="1">VLOOKUP(VLOOKUP($I74&amp;$F74&amp;$G74,装备属性表,装备属性计算表!AU$29,FALSE),定义数据!$B$13:$C$35,2,FALSE)</f>
        <v>6</v>
      </c>
      <c r="AA74" s="14">
        <f ca="1">VLOOKUP($I74&amp;$F74&amp;$G74,装备属性表,装备属性计算表!AV$29,FALSE)</f>
        <v>17.708333333333336</v>
      </c>
      <c r="AB74" s="14">
        <f ca="1">VLOOKUP(VLOOKUP($I74&amp;$F74&amp;$G74,装备属性表,装备属性计算表!AW$29,FALSE),定义数据!$B$13:$C$35,2,FALSE)</f>
        <v>0</v>
      </c>
      <c r="AC74" s="14">
        <f>VLOOKUP($I74&amp;$F74&amp;$G74,装备属性表,装备属性计算表!AX$29,FALSE)</f>
        <v>0</v>
      </c>
      <c r="AD74" s="14">
        <f ca="1">VLOOKUP(VLOOKUP($I74&amp;$F74&amp;$G74,装备属性表,装备属性计算表!AY$29,FALSE),定义数据!$B$13:$C$35,2,FALSE)</f>
        <v>0</v>
      </c>
      <c r="AE74" s="14">
        <f>VLOOKUP($I74&amp;$F74&amp;$G74,装备属性表,装备属性计算表!AZ$29,FALSE)</f>
        <v>0</v>
      </c>
      <c r="AF74" s="14">
        <f ca="1">VLOOKUP(VLOOKUP($I74&amp;$F74&amp;$G74,装备属性表,装备属性计算表!BA$29,FALSE),定义数据!$B$13:$C$35,2,FALSE)</f>
        <v>0</v>
      </c>
      <c r="AG74" s="14">
        <f>VLOOKUP($I74&amp;$F74&amp;$G74,装备属性表,装备属性计算表!BB$29,FALSE)</f>
        <v>0</v>
      </c>
      <c r="AH74" s="14">
        <f ca="1">VLOOKUP(VLOOKUP($I74&amp;$F74&amp;$G74,装备属性表,装备属性计算表!BC$29,FALSE),定义数据!$B$13:$C$35,2,FALSE)</f>
        <v>0</v>
      </c>
      <c r="AI74" s="14">
        <f>VLOOKUP($I74&amp;$F74&amp;$G74,装备属性表,装备属性计算表!BD$29,FALSE)</f>
        <v>0</v>
      </c>
      <c r="AJ74" s="14">
        <f ca="1">VLOOKUP(VLOOKUP($I74&amp;$F74&amp;$G74,装备属性表,装备属性计算表!BE$29,FALSE),定义数据!$B$13:$C$35,2,FALSE)</f>
        <v>0</v>
      </c>
      <c r="AK74" s="14">
        <f>VLOOKUP($I74&amp;$F74&amp;$G74,装备属性表,装备属性计算表!BF$29,FALSE)</f>
        <v>0</v>
      </c>
      <c r="AL74" t="str">
        <f t="shared" si="17"/>
        <v>爵士长靴是一件30级橙色可升级的装备。</v>
      </c>
      <c r="AM74" t="str">
        <f>IF(D74=0,5,D74) &amp; F74&amp;"00"&amp;VLOOKUP(G74,定义数据!$F$20:$G$27,2,FALSE)&amp;".png"</f>
        <v>55003.png</v>
      </c>
      <c r="AN74" s="79">
        <f>IF(OR(G74&lt;15),0,D_装备升级表!A74)</f>
        <v>30035</v>
      </c>
      <c r="AP74">
        <f ca="1">VLOOKUP(G74&amp;I74&amp;F74,CHOOSE({1,2},装备属性计算表!$BK$32:$BK$187,装备属性计算表!$BJ$32:$BJ$187),2,FALSE)</f>
        <v>83.806925926266004</v>
      </c>
      <c r="AQ74">
        <f ca="1">AP74*'[1]0、经济设定'!$C$18</f>
        <v>4190.3462963133006</v>
      </c>
      <c r="AR74">
        <f ca="1">IFERROR(AQ74*'[1]0、经济设定'!$E$19*AU74*AS74,0)</f>
        <v>738.46904706545206</v>
      </c>
      <c r="AS74">
        <v>10</v>
      </c>
      <c r="AT74">
        <f t="shared" si="19"/>
        <v>180</v>
      </c>
      <c r="AU74">
        <f ca="1">IF(F74=0,IFERROR(AT74/AP74/'[1]0、经济设定'!$E$18,0),AU73)</f>
        <v>8.8115515382960456</v>
      </c>
      <c r="AV74">
        <f t="shared" ca="1" si="15"/>
        <v>3352.27703705064</v>
      </c>
    </row>
    <row r="75" spans="1:48" x14ac:dyDescent="0.15">
      <c r="A75" s="14" t="str">
        <f t="shared" si="3"/>
        <v>54310</v>
      </c>
      <c r="B75" s="14" t="s">
        <v>308</v>
      </c>
      <c r="C75" s="14">
        <f>VLOOKUP($I75&amp;$F75&amp;$G75,装备属性表,装备属性计算表!AK$29,FALSE)</f>
        <v>10</v>
      </c>
      <c r="D75" s="14">
        <f t="shared" si="18"/>
        <v>0</v>
      </c>
      <c r="E75" s="14" t="str">
        <f>VLOOKUP(F75,CHOOSE({1,2},定义数据!$F$2:$F$7,武器部位),2)</f>
        <v>腰带</v>
      </c>
      <c r="F75" s="14">
        <v>4</v>
      </c>
      <c r="G75" s="14">
        <v>30</v>
      </c>
      <c r="H75" s="14">
        <f t="shared" si="7"/>
        <v>30</v>
      </c>
      <c r="I75" s="14">
        <v>3</v>
      </c>
      <c r="J75" s="14" t="str">
        <f t="shared" si="33"/>
        <v>3034</v>
      </c>
      <c r="K75" s="14" t="str">
        <f t="shared" si="34"/>
        <v>3034</v>
      </c>
      <c r="L75" s="76"/>
      <c r="M75" s="14">
        <f>IF(OR(G75&lt;15,G75=80),0,D_装备升级表!A75)</f>
        <v>30034</v>
      </c>
      <c r="N75" s="78">
        <v>1</v>
      </c>
      <c r="O75" s="14">
        <f t="shared" si="4"/>
        <v>1000</v>
      </c>
      <c r="P75" s="14"/>
      <c r="Q75" s="14">
        <f>VLOOKUP($I75&amp;$F75&amp;$G75,装备属性表,装备属性计算表!AL$29,FALSE)</f>
        <v>5</v>
      </c>
      <c r="R75" s="14">
        <f ca="1">VLOOKUP(VLOOKUP($I75&amp;$F75&amp;$G75,装备属性表,装备属性计算表!AM$29,FALSE),定义数据!$B$13:$C$35,2,FALSE)</f>
        <v>1</v>
      </c>
      <c r="S75" s="14">
        <f ca="1">VLOOKUP($I75&amp;$F75&amp;$G75,装备属性表,装备属性计算表!AN$29,FALSE)</f>
        <v>710.79329806644216</v>
      </c>
      <c r="T75" s="14">
        <f ca="1">VLOOKUP(VLOOKUP($I75&amp;$F75&amp;$G75,装备属性表,装备属性计算表!AO$29,FALSE),定义数据!$B$13:$C$35,2,FALSE)</f>
        <v>9</v>
      </c>
      <c r="U75" s="14">
        <f ca="1">VLOOKUP($I75&amp;$F75&amp;$G75,装备属性表,装备属性计算表!AP$29,FALSE)</f>
        <v>83.950617283950621</v>
      </c>
      <c r="V75" s="14">
        <f ca="1">VLOOKUP(VLOOKUP($I75&amp;$F75&amp;$G75,装备属性表,装备属性计算表!AQ$29,FALSE),定义数据!$B$13:$C$35,2,FALSE)</f>
        <v>1</v>
      </c>
      <c r="W75" s="14">
        <f ca="1">VLOOKUP($I75&amp;$F75&amp;$G75,装备属性表,装备属性计算表!AR$29,FALSE)</f>
        <v>444.24581129152637</v>
      </c>
      <c r="X75" s="14">
        <f ca="1">VLOOKUP(VLOOKUP($I75&amp;$F75&amp;$G75,装备属性表,装备属性计算表!AS$29,FALSE),定义数据!$B$13:$C$35,2,FALSE)</f>
        <v>2</v>
      </c>
      <c r="Y75" s="14">
        <f ca="1">VLOOKUP($I75&amp;$F75&amp;$G75,装备属性表,装备属性计算表!AT$29,FALSE)</f>
        <v>13.538722909090918</v>
      </c>
      <c r="Z75" s="14">
        <f ca="1">VLOOKUP(VLOOKUP($I75&amp;$F75&amp;$G75,装备属性表,装备属性计算表!AU$29,FALSE),定义数据!$B$13:$C$35,2,FALSE)</f>
        <v>3</v>
      </c>
      <c r="AA75" s="14">
        <f ca="1">VLOOKUP($I75&amp;$F75&amp;$G75,装备属性表,装备属性计算表!AV$29,FALSE)</f>
        <v>4.8752959445407278</v>
      </c>
      <c r="AB75" s="14">
        <f ca="1">VLOOKUP(VLOOKUP($I75&amp;$F75&amp;$G75,装备属性表,装备属性计算表!AW$29,FALSE),定义数据!$B$13:$C$35,2,FALSE)</f>
        <v>0</v>
      </c>
      <c r="AC75" s="14">
        <f>VLOOKUP($I75&amp;$F75&amp;$G75,装备属性表,装备属性计算表!AX$29,FALSE)</f>
        <v>0</v>
      </c>
      <c r="AD75" s="14">
        <f ca="1">VLOOKUP(VLOOKUP($I75&amp;$F75&amp;$G75,装备属性表,装备属性计算表!AY$29,FALSE),定义数据!$B$13:$C$35,2,FALSE)</f>
        <v>0</v>
      </c>
      <c r="AE75" s="14">
        <f>VLOOKUP($I75&amp;$F75&amp;$G75,装备属性表,装备属性计算表!AZ$29,FALSE)</f>
        <v>0</v>
      </c>
      <c r="AF75" s="14">
        <f ca="1">VLOOKUP(VLOOKUP($I75&amp;$F75&amp;$G75,装备属性表,装备属性计算表!BA$29,FALSE),定义数据!$B$13:$C$35,2,FALSE)</f>
        <v>0</v>
      </c>
      <c r="AG75" s="14">
        <f>VLOOKUP($I75&amp;$F75&amp;$G75,装备属性表,装备属性计算表!BB$29,FALSE)</f>
        <v>0</v>
      </c>
      <c r="AH75" s="14">
        <f ca="1">VLOOKUP(VLOOKUP($I75&amp;$F75&amp;$G75,装备属性表,装备属性计算表!BC$29,FALSE),定义数据!$B$13:$C$35,2,FALSE)</f>
        <v>0</v>
      </c>
      <c r="AI75" s="14">
        <f>VLOOKUP($I75&amp;$F75&amp;$G75,装备属性表,装备属性计算表!BD$29,FALSE)</f>
        <v>0</v>
      </c>
      <c r="AJ75" s="14">
        <f ca="1">VLOOKUP(VLOOKUP($I75&amp;$F75&amp;$G75,装备属性表,装备属性计算表!BE$29,FALSE),定义数据!$B$13:$C$35,2,FALSE)</f>
        <v>0</v>
      </c>
      <c r="AK75" s="14">
        <f>VLOOKUP($I75&amp;$F75&amp;$G75,装备属性表,装备属性计算表!BF$29,FALSE)</f>
        <v>0</v>
      </c>
      <c r="AL75" t="str">
        <f t="shared" si="17"/>
        <v>爵士腰带是一件30级橙色可升级的装备。</v>
      </c>
      <c r="AM75" t="str">
        <f>IF(D75=0,5,D75) &amp; F75&amp;"00"&amp;VLOOKUP(G75,定义数据!$F$20:$G$27,2,FALSE)&amp;".png"</f>
        <v>54003.png</v>
      </c>
      <c r="AN75" s="79">
        <f>IF(OR(G75&lt;15),0,D_装备升级表!A75)</f>
        <v>30034</v>
      </c>
      <c r="AP75">
        <f ca="1">VLOOKUP(G75&amp;I75&amp;F75,CHOOSE({1,2},装备属性计算表!$BK$32:$BK$187,装备属性计算表!$BJ$32:$BJ$187),2,FALSE)</f>
        <v>81.615583227950395</v>
      </c>
      <c r="AQ75">
        <f ca="1">AP75*'[1]0、经济设定'!$C$18</f>
        <v>4080.7791613975196</v>
      </c>
      <c r="AR75">
        <f ca="1">IFERROR(AQ75*'[1]0、经济设定'!$E$19*AU75*AS75,0)</f>
        <v>719.15991794117531</v>
      </c>
      <c r="AS75">
        <v>10</v>
      </c>
      <c r="AT75">
        <f t="shared" si="19"/>
        <v>180</v>
      </c>
      <c r="AU75">
        <f ca="1">IF(F75=0,IFERROR(AT75/AP75/'[1]0、经济设定'!$E$18,0),AU74)</f>
        <v>8.8115515382960456</v>
      </c>
      <c r="AV75">
        <f t="shared" ca="1" si="15"/>
        <v>3264.623329118016</v>
      </c>
    </row>
    <row r="76" spans="1:48" x14ac:dyDescent="0.15">
      <c r="A76" s="14" t="str">
        <f t="shared" si="3"/>
        <v>53310</v>
      </c>
      <c r="B76" s="14" t="s">
        <v>309</v>
      </c>
      <c r="C76" s="14">
        <f>VLOOKUP($I76&amp;$F76&amp;$G76,装备属性表,装备属性计算表!AK$29,FALSE)</f>
        <v>10</v>
      </c>
      <c r="D76" s="14">
        <f t="shared" si="18"/>
        <v>0</v>
      </c>
      <c r="E76" s="14" t="str">
        <f>VLOOKUP(F76,CHOOSE({1,2},定义数据!$F$2:$F$7,武器部位),2)</f>
        <v>项链</v>
      </c>
      <c r="F76" s="14">
        <v>3</v>
      </c>
      <c r="G76" s="14">
        <v>30</v>
      </c>
      <c r="H76" s="14">
        <f t="shared" si="7"/>
        <v>30</v>
      </c>
      <c r="I76" s="14">
        <v>3</v>
      </c>
      <c r="J76" s="14" t="str">
        <f t="shared" si="33"/>
        <v>3033</v>
      </c>
      <c r="K76" s="14" t="str">
        <f t="shared" si="34"/>
        <v>3033</v>
      </c>
      <c r="L76" s="76"/>
      <c r="M76" s="14">
        <f>IF(OR(G76&lt;15,G76=80),0,D_装备升级表!A76)</f>
        <v>30033</v>
      </c>
      <c r="N76" s="78">
        <v>1</v>
      </c>
      <c r="O76" s="14">
        <f t="shared" si="4"/>
        <v>1000</v>
      </c>
      <c r="P76" s="14"/>
      <c r="Q76" s="14">
        <f>VLOOKUP($I76&amp;$F76&amp;$G76,装备属性表,装备属性计算表!AL$29,FALSE)</f>
        <v>5</v>
      </c>
      <c r="R76" s="14">
        <f ca="1">VLOOKUP(VLOOKUP($I76&amp;$F76&amp;$G76,装备属性表,装备属性计算表!AM$29,FALSE),定义数据!$B$13:$C$35,2,FALSE)</f>
        <v>2</v>
      </c>
      <c r="S76" s="14">
        <f ca="1">VLOOKUP($I76&amp;$F76&amp;$G76,装备属性表,装备属性计算表!AN$29,FALSE)</f>
        <v>45.129076363636386</v>
      </c>
      <c r="T76" s="14">
        <f ca="1">VLOOKUP(VLOOKUP($I76&amp;$F76&amp;$G76,装备属性表,装备属性计算表!AO$29,FALSE),定义数据!$B$13:$C$35,2,FALSE)</f>
        <v>6</v>
      </c>
      <c r="U76" s="14">
        <f ca="1">VLOOKUP($I76&amp;$F76&amp;$G76,装备属性表,装备属性计算表!AP$29,FALSE)</f>
        <v>141.66666666666669</v>
      </c>
      <c r="V76" s="14">
        <f ca="1">VLOOKUP(VLOOKUP($I76&amp;$F76&amp;$G76,装备属性表,装备属性计算表!AQ$29,FALSE),定义数据!$B$13:$C$35,2,FALSE)</f>
        <v>2</v>
      </c>
      <c r="W76" s="14">
        <f ca="1">VLOOKUP($I76&amp;$F76&amp;$G76,装备属性表,装备属性计算表!AR$29,FALSE)</f>
        <v>13.538722909090918</v>
      </c>
      <c r="X76" s="14">
        <f ca="1">VLOOKUP(VLOOKUP($I76&amp;$F76&amp;$G76,装备属性表,装备属性计算表!AS$29,FALSE),定义数据!$B$13:$C$35,2,FALSE)</f>
        <v>7</v>
      </c>
      <c r="Y76" s="14">
        <f ca="1">VLOOKUP($I76&amp;$F76&amp;$G76,装备属性表,装备属性计算表!AT$29,FALSE)</f>
        <v>10.625000000000004</v>
      </c>
      <c r="Z76" s="14">
        <f ca="1">VLOOKUP(VLOOKUP($I76&amp;$F76&amp;$G76,装备属性表,装备属性计算表!AU$29,FALSE),定义数据!$B$13:$C$35,2,FALSE)</f>
        <v>6</v>
      </c>
      <c r="AA76" s="14">
        <f ca="1">VLOOKUP($I76&amp;$F76&amp;$G76,装备属性表,装备属性计算表!AV$29,FALSE)</f>
        <v>17.708333333333336</v>
      </c>
      <c r="AB76" s="14">
        <f ca="1">VLOOKUP(VLOOKUP($I76&amp;$F76&amp;$G76,装备属性表,装备属性计算表!AW$29,FALSE),定义数据!$B$13:$C$35,2,FALSE)</f>
        <v>0</v>
      </c>
      <c r="AC76" s="14">
        <f>VLOOKUP($I76&amp;$F76&amp;$G76,装备属性表,装备属性计算表!AX$29,FALSE)</f>
        <v>0</v>
      </c>
      <c r="AD76" s="14">
        <f ca="1">VLOOKUP(VLOOKUP($I76&amp;$F76&amp;$G76,装备属性表,装备属性计算表!AY$29,FALSE),定义数据!$B$13:$C$35,2,FALSE)</f>
        <v>0</v>
      </c>
      <c r="AE76" s="14">
        <f>VLOOKUP($I76&amp;$F76&amp;$G76,装备属性表,装备属性计算表!AZ$29,FALSE)</f>
        <v>0</v>
      </c>
      <c r="AF76" s="14">
        <f ca="1">VLOOKUP(VLOOKUP($I76&amp;$F76&amp;$G76,装备属性表,装备属性计算表!BA$29,FALSE),定义数据!$B$13:$C$35,2,FALSE)</f>
        <v>0</v>
      </c>
      <c r="AG76" s="14">
        <f>VLOOKUP($I76&amp;$F76&amp;$G76,装备属性表,装备属性计算表!BB$29,FALSE)</f>
        <v>0</v>
      </c>
      <c r="AH76" s="14">
        <f ca="1">VLOOKUP(VLOOKUP($I76&amp;$F76&amp;$G76,装备属性表,装备属性计算表!BC$29,FALSE),定义数据!$B$13:$C$35,2,FALSE)</f>
        <v>0</v>
      </c>
      <c r="AI76" s="14">
        <f>VLOOKUP($I76&amp;$F76&amp;$G76,装备属性表,装备属性计算表!BD$29,FALSE)</f>
        <v>0</v>
      </c>
      <c r="AJ76" s="14">
        <f ca="1">VLOOKUP(VLOOKUP($I76&amp;$F76&amp;$G76,装备属性表,装备属性计算表!BE$29,FALSE),定义数据!$B$13:$C$35,2,FALSE)</f>
        <v>0</v>
      </c>
      <c r="AK76" s="14">
        <f>VLOOKUP($I76&amp;$F76&amp;$G76,装备属性表,装备属性计算表!BF$29,FALSE)</f>
        <v>0</v>
      </c>
      <c r="AL76" t="str">
        <f t="shared" si="17"/>
        <v>爵士项链是一件30级橙色可升级的装备。</v>
      </c>
      <c r="AM76" t="str">
        <f>IF(D76=0,5,D76) &amp; F76&amp;"00"&amp;VLOOKUP(G76,定义数据!$F$20:$G$27,2,FALSE)&amp;".png"</f>
        <v>53003.png</v>
      </c>
      <c r="AN76" s="79">
        <f>IF(OR(G76&lt;15),0,D_装备升级表!A76)</f>
        <v>30033</v>
      </c>
      <c r="AP76">
        <f ca="1">VLOOKUP(G76&amp;I76&amp;F76,CHOOSE({1,2},装备属性计算表!$BK$32:$BK$187,装备属性计算表!$BJ$32:$BJ$187),2,FALSE)</f>
        <v>118.734465939394</v>
      </c>
      <c r="AQ76">
        <f ca="1">AP76*'[1]0、经济设定'!$C$18</f>
        <v>5936.7232969696997</v>
      </c>
      <c r="AR76">
        <f ca="1">IFERROR(AQ76*'[1]0、经济设定'!$E$19*AU76*AS76,0)</f>
        <v>1046.2348659970266</v>
      </c>
      <c r="AS76">
        <v>10</v>
      </c>
      <c r="AT76">
        <f t="shared" si="19"/>
        <v>180</v>
      </c>
      <c r="AU76">
        <f ca="1">IF(F76=0,IFERROR(AT76/AP76/'[1]0、经济设定'!$E$18,0),AU75)</f>
        <v>8.8115515382960456</v>
      </c>
      <c r="AV76">
        <f t="shared" ca="1" si="15"/>
        <v>4749.37863757576</v>
      </c>
    </row>
    <row r="77" spans="1:48" x14ac:dyDescent="0.15">
      <c r="A77" s="14" t="str">
        <f t="shared" si="3"/>
        <v>10411</v>
      </c>
      <c r="B77" s="14" t="s">
        <v>310</v>
      </c>
      <c r="C77" s="14">
        <f>VLOOKUP($I77&amp;$F77&amp;$G77,装备属性表,装备属性计算表!AK$29,FALSE)</f>
        <v>11</v>
      </c>
      <c r="D77" s="14">
        <f t="shared" si="18"/>
        <v>1</v>
      </c>
      <c r="E77" s="14" t="str">
        <f>VLOOKUP(F77,CHOOSE({1,2},定义数据!$F$2:$F$7,武器部位),2)</f>
        <v>武器</v>
      </c>
      <c r="F77" s="14">
        <v>0</v>
      </c>
      <c r="G77" s="14">
        <v>30</v>
      </c>
      <c r="H77" s="14">
        <f t="shared" si="7"/>
        <v>30</v>
      </c>
      <c r="I77" s="14">
        <v>4</v>
      </c>
      <c r="J77" s="14" t="str">
        <f t="shared" si="33"/>
        <v>3040</v>
      </c>
      <c r="K77" s="14" t="str">
        <f t="shared" si="34"/>
        <v>3040</v>
      </c>
      <c r="L77" s="76"/>
      <c r="M77" s="14">
        <f>IF(OR(G77&lt;15,G77=80),0,D_装备升级表!A77)</f>
        <v>30140</v>
      </c>
      <c r="N77" s="78">
        <v>1</v>
      </c>
      <c r="O77" s="14">
        <f t="shared" si="4"/>
        <v>1100</v>
      </c>
      <c r="P77" s="14"/>
      <c r="Q77" s="14">
        <f>VLOOKUP($I77&amp;$F77&amp;$G77,装备属性表,装备属性计算表!AL$29,FALSE)</f>
        <v>6</v>
      </c>
      <c r="R77" s="14">
        <f ca="1">VLOOKUP(VLOOKUP($I77&amp;$F77&amp;$G77,装备属性表,装备属性计算表!AM$29,FALSE),定义数据!$B$13:$C$35,2,FALSE)</f>
        <v>2</v>
      </c>
      <c r="S77" s="14">
        <f ca="1">VLOOKUP($I77&amp;$F77&amp;$G77,装备属性表,装备属性计算表!AN$29,FALSE)</f>
        <v>139.36920641711231</v>
      </c>
      <c r="T77" s="14">
        <f ca="1">VLOOKUP(VLOOKUP($I77&amp;$F77&amp;$G77,装备属性表,装备属性计算表!AO$29,FALSE),定义数据!$B$13:$C$35,2,FALSE)</f>
        <v>8</v>
      </c>
      <c r="U77" s="14">
        <f ca="1">VLOOKUP($I77&amp;$F77&amp;$G77,装备属性表,装备属性计算表!AP$29,FALSE)</f>
        <v>86.41975308641976</v>
      </c>
      <c r="V77" s="14">
        <f ca="1">VLOOKUP(VLOOKUP($I77&amp;$F77&amp;$G77,装备属性表,装备属性计算表!AQ$29,FALSE),定义数据!$B$13:$C$35,2,FALSE)</f>
        <v>2</v>
      </c>
      <c r="W77" s="14">
        <f ca="1">VLOOKUP($I77&amp;$F77&amp;$G77,装备属性表,装备属性计算表!AR$29,FALSE)</f>
        <v>63.711637219251351</v>
      </c>
      <c r="X77" s="14">
        <f ca="1">VLOOKUP(VLOOKUP($I77&amp;$F77&amp;$G77,装备属性表,装备属性计算表!AS$29,FALSE),定义数据!$B$13:$C$35,2,FALSE)</f>
        <v>3</v>
      </c>
      <c r="Y77" s="14">
        <f ca="1">VLOOKUP($I77&amp;$F77&amp;$G77,装备属性表,装备属性计算表!AT$29,FALSE)</f>
        <v>7.6475230502599665</v>
      </c>
      <c r="Z77" s="14">
        <f ca="1">VLOOKUP(VLOOKUP($I77&amp;$F77&amp;$G77,装备属性表,装备属性计算表!AU$29,FALSE),定义数据!$B$13:$C$35,2,FALSE)</f>
        <v>6</v>
      </c>
      <c r="AA77" s="14">
        <f ca="1">VLOOKUP($I77&amp;$F77&amp;$G77,装备属性表,装备属性计算表!AV$29,FALSE)</f>
        <v>27.777777777777779</v>
      </c>
      <c r="AB77" s="14">
        <f ca="1">VLOOKUP(VLOOKUP($I77&amp;$F77&amp;$G77,装备属性表,装备属性计算表!AW$29,FALSE),定义数据!$B$13:$C$35,2,FALSE)</f>
        <v>8</v>
      </c>
      <c r="AC77" s="14">
        <f ca="1">VLOOKUP($I77&amp;$F77&amp;$G77,装备属性表,装备属性计算表!AX$29,FALSE)</f>
        <v>19.753086419753089</v>
      </c>
      <c r="AD77" s="14">
        <f ca="1">VLOOKUP(VLOOKUP($I77&amp;$F77&amp;$G77,装备属性表,装备属性计算表!AY$29,FALSE),定义数据!$B$13:$C$35,2,FALSE)</f>
        <v>0</v>
      </c>
      <c r="AE77" s="14">
        <f>VLOOKUP($I77&amp;$F77&amp;$G77,装备属性表,装备属性计算表!AZ$29,FALSE)</f>
        <v>0</v>
      </c>
      <c r="AF77" s="14">
        <f ca="1">VLOOKUP(VLOOKUP($I77&amp;$F77&amp;$G77,装备属性表,装备属性计算表!BA$29,FALSE),定义数据!$B$13:$C$35,2,FALSE)</f>
        <v>0</v>
      </c>
      <c r="AG77" s="14">
        <f>VLOOKUP($I77&amp;$F77&amp;$G77,装备属性表,装备属性计算表!BB$29,FALSE)</f>
        <v>0</v>
      </c>
      <c r="AH77" s="14">
        <f ca="1">VLOOKUP(VLOOKUP($I77&amp;$F77&amp;$G77,装备属性表,装备属性计算表!BC$29,FALSE),定义数据!$B$13:$C$35,2,FALSE)</f>
        <v>0</v>
      </c>
      <c r="AI77" s="14">
        <f>VLOOKUP($I77&amp;$F77&amp;$G77,装备属性表,装备属性计算表!BD$29,FALSE)</f>
        <v>0</v>
      </c>
      <c r="AJ77" s="14">
        <f ca="1">VLOOKUP(VLOOKUP($I77&amp;$F77&amp;$G77,装备属性表,装备属性计算表!BE$29,FALSE),定义数据!$B$13:$C$35,2,FALSE)</f>
        <v>0</v>
      </c>
      <c r="AK77" s="14">
        <f>VLOOKUP($I77&amp;$F77&amp;$G77,装备属性表,装备属性计算表!BF$29,FALSE)</f>
        <v>0</v>
      </c>
      <c r="AL77" t="str">
        <f t="shared" si="17"/>
        <v>暴血之刃是一件30级红色可升级的装备。</v>
      </c>
      <c r="AM77" t="str">
        <f>IF(D77=0,5,D77) &amp; F77&amp;"00"&amp;VLOOKUP(G77,定义数据!$F$20:$G$27,2,FALSE)&amp;".png"</f>
        <v>10003.png</v>
      </c>
      <c r="AN77" s="79">
        <f>IF(OR(G77&lt;15),0,D_装备升级表!A77)</f>
        <v>30140</v>
      </c>
      <c r="AP77">
        <f ca="1">VLOOKUP(G77&amp;I77&amp;F77,CHOOSE({1,2},装备属性计算表!$BK$32:$BK$187,装备属性计算表!$BJ$32:$BJ$187),2,FALSE)</f>
        <v>239.28392224217919</v>
      </c>
      <c r="AQ77">
        <f ca="1">AP77*'[1]0、经济设定'!$C$18</f>
        <v>11964.196112108959</v>
      </c>
      <c r="AR77">
        <f ca="1">IFERROR(AQ77*'[1]0、经济设定'!$E$19*AU77*AS77,0)</f>
        <v>3000</v>
      </c>
      <c r="AS77">
        <v>10</v>
      </c>
      <c r="AT77">
        <f t="shared" si="19"/>
        <v>300</v>
      </c>
      <c r="AU77">
        <f ca="1">IF(F77=0,IFERROR(AT77/AP77/'[1]0、经济设定'!$E$18,0),AU76)</f>
        <v>12.537407327198945</v>
      </c>
      <c r="AV77">
        <f t="shared" ca="1" si="15"/>
        <v>9571.3568896871675</v>
      </c>
    </row>
    <row r="78" spans="1:48" x14ac:dyDescent="0.15">
      <c r="A78" s="14" t="str">
        <f t="shared" si="3"/>
        <v>20411</v>
      </c>
      <c r="B78" s="14" t="s">
        <v>311</v>
      </c>
      <c r="C78" s="14">
        <f>VLOOKUP($I78&amp;$F78&amp;$G78,装备属性表,装备属性计算表!AK$29,FALSE)</f>
        <v>11</v>
      </c>
      <c r="D78" s="14">
        <f t="shared" si="18"/>
        <v>2</v>
      </c>
      <c r="E78" s="14" t="str">
        <f>VLOOKUP(F78,CHOOSE({1,2},定义数据!$F$2:$F$7,武器部位),2)</f>
        <v>武器</v>
      </c>
      <c r="F78" s="14">
        <v>0</v>
      </c>
      <c r="G78" s="14">
        <v>30</v>
      </c>
      <c r="H78" s="14">
        <f t="shared" si="7"/>
        <v>30</v>
      </c>
      <c r="I78" s="14">
        <v>4</v>
      </c>
      <c r="J78" s="14" t="str">
        <f t="shared" si="33"/>
        <v>3040</v>
      </c>
      <c r="K78" s="14" t="str">
        <f t="shared" si="34"/>
        <v>3040</v>
      </c>
      <c r="L78" s="76"/>
      <c r="M78" s="14">
        <f>IF(OR(G78&lt;15,G78=80),0,D_装备升级表!A78)</f>
        <v>30240</v>
      </c>
      <c r="N78" s="78">
        <v>1</v>
      </c>
      <c r="O78" s="14">
        <f t="shared" si="4"/>
        <v>1100</v>
      </c>
      <c r="P78" s="14"/>
      <c r="Q78" s="14">
        <f>VLOOKUP($I78&amp;$F78&amp;$G78,装备属性表,装备属性计算表!AL$29,FALSE)</f>
        <v>6</v>
      </c>
      <c r="R78" s="14">
        <f ca="1">VLOOKUP(VLOOKUP($I78&amp;$F78&amp;$G78,装备属性表,装备属性计算表!AM$29,FALSE),定义数据!$B$13:$C$35,2,FALSE)</f>
        <v>2</v>
      </c>
      <c r="S78" s="14">
        <f ca="1">VLOOKUP($I78&amp;$F78&amp;$G78,装备属性表,装备属性计算表!AN$29,FALSE)</f>
        <v>139.36920641711231</v>
      </c>
      <c r="T78" s="14">
        <f ca="1">VLOOKUP(VLOOKUP($I78&amp;$F78&amp;$G78,装备属性表,装备属性计算表!AO$29,FALSE),定义数据!$B$13:$C$35,2,FALSE)</f>
        <v>8</v>
      </c>
      <c r="U78" s="14">
        <f ca="1">VLOOKUP($I78&amp;$F78&amp;$G78,装备属性表,装备属性计算表!AP$29,FALSE)</f>
        <v>86.41975308641976</v>
      </c>
      <c r="V78" s="14">
        <f ca="1">VLOOKUP(VLOOKUP($I78&amp;$F78&amp;$G78,装备属性表,装备属性计算表!AQ$29,FALSE),定义数据!$B$13:$C$35,2,FALSE)</f>
        <v>2</v>
      </c>
      <c r="W78" s="14">
        <f ca="1">VLOOKUP($I78&amp;$F78&amp;$G78,装备属性表,装备属性计算表!AR$29,FALSE)</f>
        <v>63.711637219251351</v>
      </c>
      <c r="X78" s="14">
        <f ca="1">VLOOKUP(VLOOKUP($I78&amp;$F78&amp;$G78,装备属性表,装备属性计算表!AS$29,FALSE),定义数据!$B$13:$C$35,2,FALSE)</f>
        <v>3</v>
      </c>
      <c r="Y78" s="14">
        <f ca="1">VLOOKUP($I78&amp;$F78&amp;$G78,装备属性表,装备属性计算表!AT$29,FALSE)</f>
        <v>7.6475230502599665</v>
      </c>
      <c r="Z78" s="14">
        <f ca="1">VLOOKUP(VLOOKUP($I78&amp;$F78&amp;$G78,装备属性表,装备属性计算表!AU$29,FALSE),定义数据!$B$13:$C$35,2,FALSE)</f>
        <v>6</v>
      </c>
      <c r="AA78" s="14">
        <f ca="1">VLOOKUP($I78&amp;$F78&amp;$G78,装备属性表,装备属性计算表!AV$29,FALSE)</f>
        <v>27.777777777777779</v>
      </c>
      <c r="AB78" s="14">
        <f ca="1">VLOOKUP(VLOOKUP($I78&amp;$F78&amp;$G78,装备属性表,装备属性计算表!AW$29,FALSE),定义数据!$B$13:$C$35,2,FALSE)</f>
        <v>8</v>
      </c>
      <c r="AC78" s="14">
        <f ca="1">VLOOKUP($I78&amp;$F78&amp;$G78,装备属性表,装备属性计算表!AX$29,FALSE)</f>
        <v>19.753086419753089</v>
      </c>
      <c r="AD78" s="14">
        <f ca="1">VLOOKUP(VLOOKUP($I78&amp;$F78&amp;$G78,装备属性表,装备属性计算表!AY$29,FALSE),定义数据!$B$13:$C$35,2,FALSE)</f>
        <v>0</v>
      </c>
      <c r="AE78" s="14">
        <f>VLOOKUP($I78&amp;$F78&amp;$G78,装备属性表,装备属性计算表!AZ$29,FALSE)</f>
        <v>0</v>
      </c>
      <c r="AF78" s="14">
        <f ca="1">VLOOKUP(VLOOKUP($I78&amp;$F78&amp;$G78,装备属性表,装备属性计算表!BA$29,FALSE),定义数据!$B$13:$C$35,2,FALSE)</f>
        <v>0</v>
      </c>
      <c r="AG78" s="14">
        <f>VLOOKUP($I78&amp;$F78&amp;$G78,装备属性表,装备属性计算表!BB$29,FALSE)</f>
        <v>0</v>
      </c>
      <c r="AH78" s="14">
        <f ca="1">VLOOKUP(VLOOKUP($I78&amp;$F78&amp;$G78,装备属性表,装备属性计算表!BC$29,FALSE),定义数据!$B$13:$C$35,2,FALSE)</f>
        <v>0</v>
      </c>
      <c r="AI78" s="14">
        <f>VLOOKUP($I78&amp;$F78&amp;$G78,装备属性表,装备属性计算表!BD$29,FALSE)</f>
        <v>0</v>
      </c>
      <c r="AJ78" s="14">
        <f ca="1">VLOOKUP(VLOOKUP($I78&amp;$F78&amp;$G78,装备属性表,装备属性计算表!BE$29,FALSE),定义数据!$B$13:$C$35,2,FALSE)</f>
        <v>0</v>
      </c>
      <c r="AK78" s="14">
        <f>VLOOKUP($I78&amp;$F78&amp;$G78,装备属性表,装备属性计算表!BF$29,FALSE)</f>
        <v>0</v>
      </c>
      <c r="AL78" t="str">
        <f t="shared" si="17"/>
        <v>暴血之拳是一件30级红色可升级的装备。</v>
      </c>
      <c r="AM78" t="str">
        <f>IF(D78=0,5,D78) &amp; F78&amp;"00"&amp;VLOOKUP(G78,定义数据!$F$20:$G$27,2,FALSE)&amp;".png"</f>
        <v>20003.png</v>
      </c>
      <c r="AN78" s="79">
        <f>IF(OR(G78&lt;15),0,D_装备升级表!A78)</f>
        <v>30240</v>
      </c>
      <c r="AP78">
        <f ca="1">VLOOKUP(G78&amp;I78&amp;F78,CHOOSE({1,2},装备属性计算表!$BK$32:$BK$187,装备属性计算表!$BJ$32:$BJ$187),2,FALSE)</f>
        <v>239.28392224217919</v>
      </c>
      <c r="AQ78">
        <f ca="1">AP78*'[1]0、经济设定'!$C$18</f>
        <v>11964.196112108959</v>
      </c>
      <c r="AR78">
        <f ca="1">IFERROR(AQ78*'[1]0、经济设定'!$E$19*AU78*AS78,0)</f>
        <v>3000</v>
      </c>
      <c r="AS78">
        <v>10</v>
      </c>
      <c r="AT78">
        <f t="shared" si="19"/>
        <v>300</v>
      </c>
      <c r="AU78">
        <f ca="1">IF(F78=0,IFERROR(AT78/AP78/'[1]0、经济设定'!$E$18,0),AU77)</f>
        <v>12.537407327198945</v>
      </c>
      <c r="AV78">
        <f t="shared" ca="1" si="15"/>
        <v>9571.3568896871675</v>
      </c>
    </row>
    <row r="79" spans="1:48" x14ac:dyDescent="0.15">
      <c r="A79" s="14" t="str">
        <f t="shared" si="3"/>
        <v>30411</v>
      </c>
      <c r="B79" s="14" t="s">
        <v>312</v>
      </c>
      <c r="C79" s="14">
        <f>VLOOKUP($I79&amp;$F79&amp;$G79,装备属性表,装备属性计算表!AK$29,FALSE)</f>
        <v>11</v>
      </c>
      <c r="D79" s="14">
        <f t="shared" si="18"/>
        <v>3</v>
      </c>
      <c r="E79" s="14" t="str">
        <f>VLOOKUP(F79,CHOOSE({1,2},定义数据!$F$2:$F$7,武器部位),2)</f>
        <v>武器</v>
      </c>
      <c r="F79" s="14">
        <v>0</v>
      </c>
      <c r="G79" s="14">
        <v>30</v>
      </c>
      <c r="H79" s="14">
        <f t="shared" si="7"/>
        <v>30</v>
      </c>
      <c r="I79" s="14">
        <v>4</v>
      </c>
      <c r="J79" s="14" t="str">
        <f t="shared" si="33"/>
        <v>3040</v>
      </c>
      <c r="K79" s="14" t="str">
        <f t="shared" si="34"/>
        <v>3040</v>
      </c>
      <c r="L79" s="76"/>
      <c r="M79" s="14">
        <f>IF(OR(G79&lt;15,G79=80),0,D_装备升级表!A79)</f>
        <v>30340</v>
      </c>
      <c r="N79" s="78">
        <v>1</v>
      </c>
      <c r="O79" s="14">
        <f t="shared" si="4"/>
        <v>1100</v>
      </c>
      <c r="P79" s="14"/>
      <c r="Q79" s="14">
        <f>VLOOKUP($I79&amp;$F79&amp;$G79,装备属性表,装备属性计算表!AL$29,FALSE)</f>
        <v>6</v>
      </c>
      <c r="R79" s="14">
        <f ca="1">VLOOKUP(VLOOKUP($I79&amp;$F79&amp;$G79,装备属性表,装备属性计算表!AM$29,FALSE),定义数据!$B$13:$C$35,2,FALSE)</f>
        <v>2</v>
      </c>
      <c r="S79" s="14">
        <f ca="1">VLOOKUP($I79&amp;$F79&amp;$G79,装备属性表,装备属性计算表!AN$29,FALSE)</f>
        <v>139.36920641711231</v>
      </c>
      <c r="T79" s="14">
        <f ca="1">VLOOKUP(VLOOKUP($I79&amp;$F79&amp;$G79,装备属性表,装备属性计算表!AO$29,FALSE),定义数据!$B$13:$C$35,2,FALSE)</f>
        <v>8</v>
      </c>
      <c r="U79" s="14">
        <f ca="1">VLOOKUP($I79&amp;$F79&amp;$G79,装备属性表,装备属性计算表!AP$29,FALSE)</f>
        <v>86.41975308641976</v>
      </c>
      <c r="V79" s="14">
        <f ca="1">VLOOKUP(VLOOKUP($I79&amp;$F79&amp;$G79,装备属性表,装备属性计算表!AQ$29,FALSE),定义数据!$B$13:$C$35,2,FALSE)</f>
        <v>2</v>
      </c>
      <c r="W79" s="14">
        <f ca="1">VLOOKUP($I79&amp;$F79&amp;$G79,装备属性表,装备属性计算表!AR$29,FALSE)</f>
        <v>63.711637219251351</v>
      </c>
      <c r="X79" s="14">
        <f ca="1">VLOOKUP(VLOOKUP($I79&amp;$F79&amp;$G79,装备属性表,装备属性计算表!AS$29,FALSE),定义数据!$B$13:$C$35,2,FALSE)</f>
        <v>3</v>
      </c>
      <c r="Y79" s="14">
        <f ca="1">VLOOKUP($I79&amp;$F79&amp;$G79,装备属性表,装备属性计算表!AT$29,FALSE)</f>
        <v>7.6475230502599665</v>
      </c>
      <c r="Z79" s="14">
        <f ca="1">VLOOKUP(VLOOKUP($I79&amp;$F79&amp;$G79,装备属性表,装备属性计算表!AU$29,FALSE),定义数据!$B$13:$C$35,2,FALSE)</f>
        <v>6</v>
      </c>
      <c r="AA79" s="14">
        <f ca="1">VLOOKUP($I79&amp;$F79&amp;$G79,装备属性表,装备属性计算表!AV$29,FALSE)</f>
        <v>27.777777777777779</v>
      </c>
      <c r="AB79" s="14">
        <f ca="1">VLOOKUP(VLOOKUP($I79&amp;$F79&amp;$G79,装备属性表,装备属性计算表!AW$29,FALSE),定义数据!$B$13:$C$35,2,FALSE)</f>
        <v>8</v>
      </c>
      <c r="AC79" s="14">
        <f ca="1">VLOOKUP($I79&amp;$F79&amp;$G79,装备属性表,装备属性计算表!AX$29,FALSE)</f>
        <v>19.753086419753089</v>
      </c>
      <c r="AD79" s="14">
        <f ca="1">VLOOKUP(VLOOKUP($I79&amp;$F79&amp;$G79,装备属性表,装备属性计算表!AY$29,FALSE),定义数据!$B$13:$C$35,2,FALSE)</f>
        <v>0</v>
      </c>
      <c r="AE79" s="14">
        <f>VLOOKUP($I79&amp;$F79&amp;$G79,装备属性表,装备属性计算表!AZ$29,FALSE)</f>
        <v>0</v>
      </c>
      <c r="AF79" s="14">
        <f ca="1">VLOOKUP(VLOOKUP($I79&amp;$F79&amp;$G79,装备属性表,装备属性计算表!BA$29,FALSE),定义数据!$B$13:$C$35,2,FALSE)</f>
        <v>0</v>
      </c>
      <c r="AG79" s="14">
        <f>VLOOKUP($I79&amp;$F79&amp;$G79,装备属性表,装备属性计算表!BB$29,FALSE)</f>
        <v>0</v>
      </c>
      <c r="AH79" s="14">
        <f ca="1">VLOOKUP(VLOOKUP($I79&amp;$F79&amp;$G79,装备属性表,装备属性计算表!BC$29,FALSE),定义数据!$B$13:$C$35,2,FALSE)</f>
        <v>0</v>
      </c>
      <c r="AI79" s="14">
        <f>VLOOKUP($I79&amp;$F79&amp;$G79,装备属性表,装备属性计算表!BD$29,FALSE)</f>
        <v>0</v>
      </c>
      <c r="AJ79" s="14">
        <f ca="1">VLOOKUP(VLOOKUP($I79&amp;$F79&amp;$G79,装备属性表,装备属性计算表!BE$29,FALSE),定义数据!$B$13:$C$35,2,FALSE)</f>
        <v>0</v>
      </c>
      <c r="AK79" s="14">
        <f>VLOOKUP($I79&amp;$F79&amp;$G79,装备属性表,装备属性计算表!BF$29,FALSE)</f>
        <v>0</v>
      </c>
      <c r="AL79" t="str">
        <f t="shared" si="17"/>
        <v>暴血之枪是一件30级红色可升级的装备。</v>
      </c>
      <c r="AM79" t="str">
        <f>IF(D79=0,5,D79) &amp; F79&amp;"00"&amp;VLOOKUP(G79,定义数据!$F$20:$G$27,2,FALSE)&amp;".png"</f>
        <v>30003.png</v>
      </c>
      <c r="AN79" s="79">
        <f>IF(OR(G79&lt;15),0,D_装备升级表!A79)</f>
        <v>30340</v>
      </c>
      <c r="AP79">
        <f ca="1">VLOOKUP(G79&amp;I79&amp;F79,CHOOSE({1,2},装备属性计算表!$BK$32:$BK$187,装备属性计算表!$BJ$32:$BJ$187),2,FALSE)</f>
        <v>239.28392224217919</v>
      </c>
      <c r="AQ79">
        <f ca="1">AP79*'[1]0、经济设定'!$C$18</f>
        <v>11964.196112108959</v>
      </c>
      <c r="AR79">
        <f ca="1">IFERROR(AQ79*'[1]0、经济设定'!$E$19*AU79*AS79,0)</f>
        <v>3000</v>
      </c>
      <c r="AS79">
        <v>10</v>
      </c>
      <c r="AT79">
        <f t="shared" si="19"/>
        <v>300</v>
      </c>
      <c r="AU79">
        <f ca="1">IF(F79=0,IFERROR(AT79/AP79/'[1]0、经济设定'!$E$18,0),AU78)</f>
        <v>12.537407327198945</v>
      </c>
      <c r="AV79">
        <f t="shared" ca="1" si="15"/>
        <v>9571.3568896871675</v>
      </c>
    </row>
    <row r="80" spans="1:48" x14ac:dyDescent="0.15">
      <c r="A80" s="14" t="str">
        <f t="shared" si="3"/>
        <v>51411</v>
      </c>
      <c r="B80" s="14" t="s">
        <v>313</v>
      </c>
      <c r="C80" s="14">
        <f>VLOOKUP($I80&amp;$F80&amp;$G80,装备属性表,装备属性计算表!AK$29,FALSE)</f>
        <v>11</v>
      </c>
      <c r="D80" s="14">
        <f t="shared" si="18"/>
        <v>0</v>
      </c>
      <c r="E80" s="14" t="str">
        <f>VLOOKUP(F80,CHOOSE({1,2},定义数据!$F$2:$F$7,武器部位),2)</f>
        <v>衣服</v>
      </c>
      <c r="F80" s="14">
        <v>1</v>
      </c>
      <c r="G80" s="14">
        <v>30</v>
      </c>
      <c r="H80" s="14">
        <f t="shared" si="7"/>
        <v>30</v>
      </c>
      <c r="I80" s="14">
        <v>4</v>
      </c>
      <c r="J80" s="14" t="str">
        <f t="shared" si="33"/>
        <v>3041</v>
      </c>
      <c r="K80" s="14" t="str">
        <f t="shared" si="34"/>
        <v>3041</v>
      </c>
      <c r="L80" s="76"/>
      <c r="M80" s="14">
        <f>IF(OR(G80&lt;15,G80=80),0,D_装备升级表!A80)</f>
        <v>30041</v>
      </c>
      <c r="N80" s="78">
        <v>1</v>
      </c>
      <c r="O80" s="14">
        <f t="shared" si="4"/>
        <v>1100</v>
      </c>
      <c r="P80" s="14"/>
      <c r="Q80" s="14">
        <f>VLOOKUP($I80&amp;$F80&amp;$G80,装备属性表,装备属性计算表!AL$29,FALSE)</f>
        <v>6</v>
      </c>
      <c r="R80" s="14">
        <f ca="1">VLOOKUP(VLOOKUP($I80&amp;$F80&amp;$G80,装备属性表,装备属性计算表!AM$29,FALSE),定义数据!$B$13:$C$35,2,FALSE)</f>
        <v>1</v>
      </c>
      <c r="S80" s="14">
        <f ca="1">VLOOKUP($I80&amp;$F80&amp;$G80,装备属性表,装备属性计算表!AN$29,FALSE)</f>
        <v>2195.0969499110706</v>
      </c>
      <c r="T80" s="14">
        <f ca="1">VLOOKUP(VLOOKUP($I80&amp;$F80&amp;$G80,装备属性表,装备属性计算表!AO$29,FALSE),定义数据!$B$13:$C$35,2,FALSE)</f>
        <v>3</v>
      </c>
      <c r="U80" s="14">
        <f ca="1">VLOOKUP($I80&amp;$F80&amp;$G80,装备属性表,装备属性计算表!AP$29,FALSE)</f>
        <v>48.179395216637786</v>
      </c>
      <c r="V80" s="14">
        <f ca="1">VLOOKUP(VLOOKUP($I80&amp;$F80&amp;$G80,装备属性表,装备属性计算表!AQ$29,FALSE),定义数据!$B$13:$C$35,2,FALSE)</f>
        <v>1</v>
      </c>
      <c r="W80" s="14">
        <f ca="1">VLOOKUP($I80&amp;$F80&amp;$G80,装备属性表,装备属性计算表!AR$29,FALSE)</f>
        <v>696.85617457494311</v>
      </c>
      <c r="X80" s="14">
        <f ca="1">VLOOKUP(VLOOKUP($I80&amp;$F80&amp;$G80,装备属性表,装备属性计算表!AS$29,FALSE),定义数据!$B$13:$C$35,2,FALSE)</f>
        <v>3</v>
      </c>
      <c r="Y80" s="14">
        <f ca="1">VLOOKUP($I80&amp;$F80&amp;$G80,装备属性表,装备属性计算表!AT$29,FALSE)</f>
        <v>22.942569150779903</v>
      </c>
      <c r="Z80" s="14">
        <f ca="1">VLOOKUP(VLOOKUP($I80&amp;$F80&amp;$G80,装备属性表,装备属性计算表!AU$29,FALSE),定义数据!$B$13:$C$35,2,FALSE)</f>
        <v>7</v>
      </c>
      <c r="AA80" s="14">
        <f ca="1">VLOOKUP($I80&amp;$F80&amp;$G80,装备属性表,装备属性计算表!AV$29,FALSE)</f>
        <v>16.666666666666668</v>
      </c>
      <c r="AB80" s="14">
        <f ca="1">VLOOKUP(VLOOKUP($I80&amp;$F80&amp;$G80,装备属性表,装备属性计算表!AW$29,FALSE),定义数据!$B$13:$C$35,2,FALSE)</f>
        <v>9</v>
      </c>
      <c r="AC80" s="14">
        <f ca="1">VLOOKUP($I80&amp;$F80&amp;$G80,装备属性表,装备属性计算表!AX$29,FALSE)</f>
        <v>16.460905349794242</v>
      </c>
      <c r="AD80" s="14">
        <f ca="1">VLOOKUP(VLOOKUP($I80&amp;$F80&amp;$G80,装备属性表,装备属性计算表!AY$29,FALSE),定义数据!$B$13:$C$35,2,FALSE)</f>
        <v>0</v>
      </c>
      <c r="AE80" s="14">
        <f>VLOOKUP($I80&amp;$F80&amp;$G80,装备属性表,装备属性计算表!AZ$29,FALSE)</f>
        <v>0</v>
      </c>
      <c r="AF80" s="14">
        <f ca="1">VLOOKUP(VLOOKUP($I80&amp;$F80&amp;$G80,装备属性表,装备属性计算表!BA$29,FALSE),定义数据!$B$13:$C$35,2,FALSE)</f>
        <v>0</v>
      </c>
      <c r="AG80" s="14">
        <f>VLOOKUP($I80&amp;$F80&amp;$G80,装备属性表,装备属性计算表!BB$29,FALSE)</f>
        <v>0</v>
      </c>
      <c r="AH80" s="14">
        <f ca="1">VLOOKUP(VLOOKUP($I80&amp;$F80&amp;$G80,装备属性表,装备属性计算表!BC$29,FALSE),定义数据!$B$13:$C$35,2,FALSE)</f>
        <v>0</v>
      </c>
      <c r="AI80" s="14">
        <f>VLOOKUP($I80&amp;$F80&amp;$G80,装备属性表,装备属性计算表!BD$29,FALSE)</f>
        <v>0</v>
      </c>
      <c r="AJ80" s="14">
        <f ca="1">VLOOKUP(VLOOKUP($I80&amp;$F80&amp;$G80,装备属性表,装备属性计算表!BE$29,FALSE),定义数据!$B$13:$C$35,2,FALSE)</f>
        <v>0</v>
      </c>
      <c r="AK80" s="14">
        <f>VLOOKUP($I80&amp;$F80&amp;$G80,装备属性表,装备属性计算表!BF$29,FALSE)</f>
        <v>0</v>
      </c>
      <c r="AL80" t="str">
        <f t="shared" si="17"/>
        <v>暴血战衣是一件30级红色可升级的装备。</v>
      </c>
      <c r="AM80" t="str">
        <f>IF(D80=0,5,D80) &amp; F80&amp;"00"&amp;VLOOKUP(G80,定义数据!$F$20:$G$27,2,FALSE)&amp;".png"</f>
        <v>51003.png</v>
      </c>
      <c r="AN80" s="79">
        <f>IF(OR(G80&lt;15),0,D_装备升级表!A80)</f>
        <v>30041</v>
      </c>
      <c r="AP80">
        <f ca="1">VLOOKUP(G80&amp;I80&amp;F80,CHOOSE({1,2},装备属性计算表!$BK$32:$BK$187,装备属性计算表!$BJ$32:$BJ$187),2,FALSE)</f>
        <v>195.42971897648789</v>
      </c>
      <c r="AQ80">
        <f ca="1">AP80*'[1]0、经济设定'!$C$18</f>
        <v>9771.4859488243947</v>
      </c>
      <c r="AR80">
        <f ca="1">IFERROR(AQ80*'[1]0、经济设定'!$E$19*AU80*AS80,0)</f>
        <v>2450.1819906482501</v>
      </c>
      <c r="AS80">
        <v>10</v>
      </c>
      <c r="AT80">
        <f t="shared" si="19"/>
        <v>300</v>
      </c>
      <c r="AU80">
        <f ca="1">IF(F80=0,IFERROR(AT80/AP80/'[1]0、经济设定'!$E$18,0),AU79)</f>
        <v>12.537407327198945</v>
      </c>
      <c r="AV80">
        <f t="shared" ca="1" si="15"/>
        <v>7817.1887590595161</v>
      </c>
    </row>
    <row r="81" spans="1:48" x14ac:dyDescent="0.15">
      <c r="A81" s="14" t="str">
        <f t="shared" si="3"/>
        <v>52411</v>
      </c>
      <c r="B81" s="14" t="s">
        <v>314</v>
      </c>
      <c r="C81" s="14">
        <f>VLOOKUP($I81&amp;$F81&amp;$G81,装备属性表,装备属性计算表!AK$29,FALSE)</f>
        <v>11</v>
      </c>
      <c r="D81" s="14">
        <f t="shared" si="18"/>
        <v>0</v>
      </c>
      <c r="E81" s="14" t="str">
        <f>VLOOKUP(F81,CHOOSE({1,2},定义数据!$F$2:$F$7,武器部位),2)</f>
        <v>裤子</v>
      </c>
      <c r="F81" s="14">
        <v>2</v>
      </c>
      <c r="G81" s="14">
        <v>30</v>
      </c>
      <c r="H81" s="14">
        <f t="shared" si="7"/>
        <v>30</v>
      </c>
      <c r="I81" s="14">
        <v>4</v>
      </c>
      <c r="J81" s="14" t="str">
        <f t="shared" si="33"/>
        <v>3042</v>
      </c>
      <c r="K81" s="14" t="str">
        <f t="shared" si="34"/>
        <v>3042</v>
      </c>
      <c r="L81" s="76"/>
      <c r="M81" s="14">
        <f>IF(OR(G81&lt;15,G81=80),0,D_装备升级表!A81)</f>
        <v>30042</v>
      </c>
      <c r="N81" s="78">
        <v>1</v>
      </c>
      <c r="O81" s="14">
        <f t="shared" si="4"/>
        <v>1100</v>
      </c>
      <c r="P81" s="14"/>
      <c r="Q81" s="14">
        <f>VLOOKUP($I81&amp;$F81&amp;$G81,装备属性表,装备属性计算表!AL$29,FALSE)</f>
        <v>6</v>
      </c>
      <c r="R81" s="14">
        <f ca="1">VLOOKUP(VLOOKUP($I81&amp;$F81&amp;$G81,装备属性表,装备属性计算表!AM$29,FALSE),定义数据!$B$13:$C$35,2,FALSE)</f>
        <v>3</v>
      </c>
      <c r="S81" s="14">
        <f ca="1">VLOOKUP($I81&amp;$F81&amp;$G81,装备属性表,装备属性计算表!AN$29,FALSE)</f>
        <v>32.11959681109186</v>
      </c>
      <c r="T81" s="14">
        <f ca="1">VLOOKUP(VLOOKUP($I81&amp;$F81&amp;$G81,装备属性表,装备属性计算表!AO$29,FALSE),定义数据!$B$13:$C$35,2,FALSE)</f>
        <v>7</v>
      </c>
      <c r="U81" s="14">
        <f ca="1">VLOOKUP($I81&amp;$F81&amp;$G81,装备属性表,装备属性计算表!AP$29,FALSE)</f>
        <v>48.611111111111107</v>
      </c>
      <c r="V81" s="14">
        <f ca="1">VLOOKUP(VLOOKUP($I81&amp;$F81&amp;$G81,装备属性表,装备属性计算表!AQ$29,FALSE),定义数据!$B$13:$C$35,2,FALSE)</f>
        <v>1</v>
      </c>
      <c r="W81" s="14">
        <f ca="1">VLOOKUP($I81&amp;$F81&amp;$G81,装备属性表,装备属性计算表!AR$29,FALSE)</f>
        <v>348.42808728747156</v>
      </c>
      <c r="X81" s="14">
        <f ca="1">VLOOKUP(VLOOKUP($I81&amp;$F81&amp;$G81,装备属性表,装备属性计算表!AS$29,FALSE),定义数据!$B$13:$C$35,2,FALSE)</f>
        <v>3</v>
      </c>
      <c r="Y81" s="14">
        <f ca="1">VLOOKUP($I81&amp;$F81&amp;$G81,装备属性表,装备属性计算表!AT$29,FALSE)</f>
        <v>7.6475230502599665</v>
      </c>
      <c r="Z81" s="14">
        <f ca="1">VLOOKUP(VLOOKUP($I81&amp;$F81&amp;$G81,装备属性表,装备属性计算表!AU$29,FALSE),定义数据!$B$13:$C$35,2,FALSE)</f>
        <v>7</v>
      </c>
      <c r="AA81" s="14">
        <f ca="1">VLOOKUP($I81&amp;$F81&amp;$G81,装备属性表,装备属性计算表!AV$29,FALSE)</f>
        <v>16.666666666666668</v>
      </c>
      <c r="AB81" s="14">
        <f ca="1">VLOOKUP(VLOOKUP($I81&amp;$F81&amp;$G81,装备属性表,装备属性计算表!AW$29,FALSE),定义数据!$B$13:$C$35,2,FALSE)</f>
        <v>9</v>
      </c>
      <c r="AC81" s="14">
        <f ca="1">VLOOKUP($I81&amp;$F81&amp;$G81,装备属性表,装备属性计算表!AX$29,FALSE)</f>
        <v>16.460905349794242</v>
      </c>
      <c r="AD81" s="14">
        <f ca="1">VLOOKUP(VLOOKUP($I81&amp;$F81&amp;$G81,装备属性表,装备属性计算表!AY$29,FALSE),定义数据!$B$13:$C$35,2,FALSE)</f>
        <v>0</v>
      </c>
      <c r="AE81" s="14">
        <f>VLOOKUP($I81&amp;$F81&amp;$G81,装备属性表,装备属性计算表!AZ$29,FALSE)</f>
        <v>0</v>
      </c>
      <c r="AF81" s="14">
        <f ca="1">VLOOKUP(VLOOKUP($I81&amp;$F81&amp;$G81,装备属性表,装备属性计算表!BA$29,FALSE),定义数据!$B$13:$C$35,2,FALSE)</f>
        <v>0</v>
      </c>
      <c r="AG81" s="14">
        <f>VLOOKUP($I81&amp;$F81&amp;$G81,装备属性表,装备属性计算表!BB$29,FALSE)</f>
        <v>0</v>
      </c>
      <c r="AH81" s="14">
        <f ca="1">VLOOKUP(VLOOKUP($I81&amp;$F81&amp;$G81,装备属性表,装备属性计算表!BC$29,FALSE),定义数据!$B$13:$C$35,2,FALSE)</f>
        <v>0</v>
      </c>
      <c r="AI81" s="14">
        <f>VLOOKUP($I81&amp;$F81&amp;$G81,装备属性表,装备属性计算表!BD$29,FALSE)</f>
        <v>0</v>
      </c>
      <c r="AJ81" s="14">
        <f ca="1">VLOOKUP(VLOOKUP($I81&amp;$F81&amp;$G81,装备属性表,装备属性计算表!BE$29,FALSE),定义数据!$B$13:$C$35,2,FALSE)</f>
        <v>0</v>
      </c>
      <c r="AK81" s="14">
        <f>VLOOKUP($I81&amp;$F81&amp;$G81,装备属性表,装备属性计算表!BF$29,FALSE)</f>
        <v>0</v>
      </c>
      <c r="AL81" t="str">
        <f t="shared" si="17"/>
        <v>暴血长裤是一件30级红色可升级的装备。</v>
      </c>
      <c r="AM81" t="str">
        <f>IF(D81=0,5,D81) &amp; F81&amp;"00"&amp;VLOOKUP(G81,定义数据!$F$20:$G$27,2,FALSE)&amp;".png"</f>
        <v>52003.png</v>
      </c>
      <c r="AN81" s="79">
        <f>IF(OR(G81&lt;15),0,D_装备升级表!A81)</f>
        <v>30042</v>
      </c>
      <c r="AP81">
        <f ca="1">VLOOKUP(G81&amp;I81&amp;F81,CHOOSE({1,2},装备属性计算表!$BK$32:$BK$187,装备属性计算表!$BJ$32:$BJ$187),2,FALSE)</f>
        <v>78.861650760258101</v>
      </c>
      <c r="AQ81">
        <f ca="1">AP81*'[1]0、经济设定'!$C$18</f>
        <v>3943.0825380129049</v>
      </c>
      <c r="AR81">
        <f ca="1">IFERROR(AQ81*'[1]0、经济设定'!$E$19*AU81*AS81,0)</f>
        <v>988.72063807666405</v>
      </c>
      <c r="AS81">
        <v>10</v>
      </c>
      <c r="AT81">
        <f t="shared" si="19"/>
        <v>300</v>
      </c>
      <c r="AU81">
        <f ca="1">IF(F81=0,IFERROR(AT81/AP81/'[1]0、经济设定'!$E$18,0),AU80)</f>
        <v>12.537407327198945</v>
      </c>
      <c r="AV81">
        <f t="shared" ca="1" si="15"/>
        <v>3154.466030410324</v>
      </c>
    </row>
    <row r="82" spans="1:48" x14ac:dyDescent="0.15">
      <c r="A82" s="14" t="str">
        <f t="shared" si="3"/>
        <v>55411</v>
      </c>
      <c r="B82" s="14" t="s">
        <v>315</v>
      </c>
      <c r="C82" s="14">
        <f>VLOOKUP($I82&amp;$F82&amp;$G82,装备属性表,装备属性计算表!AK$29,FALSE)</f>
        <v>11</v>
      </c>
      <c r="D82" s="14">
        <f t="shared" si="18"/>
        <v>0</v>
      </c>
      <c r="E82" s="14" t="str">
        <f>VLOOKUP(F82,CHOOSE({1,2},定义数据!$F$2:$F$7,武器部位),2)</f>
        <v>鞋子</v>
      </c>
      <c r="F82" s="14">
        <v>5</v>
      </c>
      <c r="G82" s="14">
        <v>30</v>
      </c>
      <c r="H82" s="14">
        <f t="shared" si="7"/>
        <v>30</v>
      </c>
      <c r="I82" s="14">
        <v>4</v>
      </c>
      <c r="J82" s="14" t="str">
        <f t="shared" si="33"/>
        <v>3045</v>
      </c>
      <c r="K82" s="14" t="str">
        <f t="shared" si="34"/>
        <v>3045</v>
      </c>
      <c r="L82" s="76"/>
      <c r="M82" s="14">
        <f>IF(OR(G82&lt;15,G82=80),0,D_装备升级表!A82)</f>
        <v>30045</v>
      </c>
      <c r="N82" s="78">
        <v>1</v>
      </c>
      <c r="O82" s="14">
        <f t="shared" si="4"/>
        <v>1100</v>
      </c>
      <c r="P82" s="14"/>
      <c r="Q82" s="14">
        <f>VLOOKUP($I82&amp;$F82&amp;$G82,装备属性表,装备属性计算表!AL$29,FALSE)</f>
        <v>6</v>
      </c>
      <c r="R82" s="14">
        <f ca="1">VLOOKUP(VLOOKUP($I82&amp;$F82&amp;$G82,装备属性表,装备属性计算表!AM$29,FALSE),定义数据!$B$13:$C$35,2,FALSE)</f>
        <v>1</v>
      </c>
      <c r="S82" s="14">
        <f ca="1">VLOOKUP($I82&amp;$F82&amp;$G82,装备属性表,装备属性计算表!AN$29,FALSE)</f>
        <v>731.69898330369028</v>
      </c>
      <c r="T82" s="14">
        <f ca="1">VLOOKUP(VLOOKUP($I82&amp;$F82&amp;$G82,装备属性表,装备属性计算表!AO$29,FALSE),定义数据!$B$13:$C$35,2,FALSE)</f>
        <v>7</v>
      </c>
      <c r="U82" s="14">
        <f ca="1">VLOOKUP($I82&amp;$F82&amp;$G82,装备属性表,装备属性计算表!AP$29,FALSE)</f>
        <v>97.222222222222214</v>
      </c>
      <c r="V82" s="14">
        <f ca="1">VLOOKUP(VLOOKUP($I82&amp;$F82&amp;$G82,装备属性表,装备属性计算表!AQ$29,FALSE),定义数据!$B$13:$C$35,2,FALSE)</f>
        <v>1</v>
      </c>
      <c r="W82" s="14">
        <f ca="1">VLOOKUP($I82&amp;$F82&amp;$G82,装备属性表,装备属性计算表!AR$29,FALSE)</f>
        <v>348.42808728747156</v>
      </c>
      <c r="X82" s="14">
        <f ca="1">VLOOKUP(VLOOKUP($I82&amp;$F82&amp;$G82,装备属性表,装备属性计算表!AS$29,FALSE),定义数据!$B$13:$C$35,2,FALSE)</f>
        <v>7</v>
      </c>
      <c r="Y82" s="14">
        <f ca="1">VLOOKUP($I82&amp;$F82&amp;$G82,装备属性表,装备属性计算表!AT$29,FALSE)</f>
        <v>33.333333333333336</v>
      </c>
      <c r="Z82" s="14">
        <f ca="1">VLOOKUP(VLOOKUP($I82&amp;$F82&amp;$G82,装备属性表,装备属性计算表!AU$29,FALSE),定义数据!$B$13:$C$35,2,FALSE)</f>
        <v>6</v>
      </c>
      <c r="AA82" s="14">
        <f ca="1">VLOOKUP($I82&amp;$F82&amp;$G82,装备属性表,装备属性计算表!AV$29,FALSE)</f>
        <v>27.777777777777779</v>
      </c>
      <c r="AB82" s="14">
        <f ca="1">VLOOKUP(VLOOKUP($I82&amp;$F82&amp;$G82,装备属性表,装备属性计算表!AW$29,FALSE),定义数据!$B$13:$C$35,2,FALSE)</f>
        <v>8</v>
      </c>
      <c r="AC82" s="14">
        <f ca="1">VLOOKUP($I82&amp;$F82&amp;$G82,装备属性表,装备属性计算表!AX$29,FALSE)</f>
        <v>9.8765432098765444</v>
      </c>
      <c r="AD82" s="14">
        <f ca="1">VLOOKUP(VLOOKUP($I82&amp;$F82&amp;$G82,装备属性表,装备属性计算表!AY$29,FALSE),定义数据!$B$13:$C$35,2,FALSE)</f>
        <v>0</v>
      </c>
      <c r="AE82" s="14">
        <f>VLOOKUP($I82&amp;$F82&amp;$G82,装备属性表,装备属性计算表!AZ$29,FALSE)</f>
        <v>0</v>
      </c>
      <c r="AF82" s="14">
        <f ca="1">VLOOKUP(VLOOKUP($I82&amp;$F82&amp;$G82,装备属性表,装备属性计算表!BA$29,FALSE),定义数据!$B$13:$C$35,2,FALSE)</f>
        <v>0</v>
      </c>
      <c r="AG82" s="14">
        <f>VLOOKUP($I82&amp;$F82&amp;$G82,装备属性表,装备属性计算表!BB$29,FALSE)</f>
        <v>0</v>
      </c>
      <c r="AH82" s="14">
        <f ca="1">VLOOKUP(VLOOKUP($I82&amp;$F82&amp;$G82,装备属性表,装备属性计算表!BC$29,FALSE),定义数据!$B$13:$C$35,2,FALSE)</f>
        <v>0</v>
      </c>
      <c r="AI82" s="14">
        <f>VLOOKUP($I82&amp;$F82&amp;$G82,装备属性表,装备属性计算表!BD$29,FALSE)</f>
        <v>0</v>
      </c>
      <c r="AJ82" s="14">
        <f ca="1">VLOOKUP(VLOOKUP($I82&amp;$F82&amp;$G82,装备属性表,装备属性计算表!BE$29,FALSE),定义数据!$B$13:$C$35,2,FALSE)</f>
        <v>0</v>
      </c>
      <c r="AK82" s="14">
        <f>VLOOKUP($I82&amp;$F82&amp;$G82,装备属性表,装备属性计算表!BF$29,FALSE)</f>
        <v>0</v>
      </c>
      <c r="AL82" t="str">
        <f t="shared" si="17"/>
        <v>暴血长靴是一件30级红色可升级的装备。</v>
      </c>
      <c r="AM82" t="str">
        <f>IF(D82=0,5,D82) &amp; F82&amp;"00"&amp;VLOOKUP(G82,定义数据!$F$20:$G$27,2,FALSE)&amp;".png"</f>
        <v>55003.png</v>
      </c>
      <c r="AN82" s="79">
        <f>IF(OR(G82&lt;15),0,D_装备升级表!A82)</f>
        <v>30045</v>
      </c>
      <c r="AP82">
        <f ca="1">VLOOKUP(G82&amp;I82&amp;F82,CHOOSE({1,2},装备属性计算表!$BK$32:$BK$187,装备属性计算表!$BJ$32:$BJ$187),2,FALSE)</f>
        <v>98.816193934757592</v>
      </c>
      <c r="AQ82">
        <f ca="1">AP82*'[1]0、经济设定'!$C$18</f>
        <v>4940.8096967378797</v>
      </c>
      <c r="AR82">
        <f ca="1">IFERROR(AQ82*'[1]0、经济设定'!$E$19*AU82*AS82,0)</f>
        <v>1238.8988738835419</v>
      </c>
      <c r="AS82">
        <v>10</v>
      </c>
      <c r="AT82">
        <f t="shared" ref="AT82:AT113" si="35">MAX(VLOOKUP(I82,$AY$5:$AZ$9,2,FALSE)*G82,1)</f>
        <v>300</v>
      </c>
      <c r="AU82">
        <f ca="1">IF(F82=0,IFERROR(AT82/AP82/'[1]0、经济设定'!$E$18,0),AU81)</f>
        <v>12.537407327198945</v>
      </c>
      <c r="AV82">
        <f t="shared" ca="1" si="15"/>
        <v>3952.6477573903039</v>
      </c>
    </row>
    <row r="83" spans="1:48" x14ac:dyDescent="0.15">
      <c r="A83" s="14" t="str">
        <f t="shared" si="3"/>
        <v>54411</v>
      </c>
      <c r="B83" s="14" t="s">
        <v>316</v>
      </c>
      <c r="C83" s="14">
        <f>VLOOKUP($I83&amp;$F83&amp;$G83,装备属性表,装备属性计算表!AK$29,FALSE)</f>
        <v>11</v>
      </c>
      <c r="D83" s="14">
        <f t="shared" si="18"/>
        <v>0</v>
      </c>
      <c r="E83" s="14" t="str">
        <f>VLOOKUP(F83,CHOOSE({1,2},定义数据!$F$2:$F$7,武器部位),2)</f>
        <v>腰带</v>
      </c>
      <c r="F83" s="14">
        <v>4</v>
      </c>
      <c r="G83" s="14">
        <v>30</v>
      </c>
      <c r="H83" s="14">
        <f t="shared" si="7"/>
        <v>30</v>
      </c>
      <c r="I83" s="14">
        <v>4</v>
      </c>
      <c r="J83" s="14" t="str">
        <f t="shared" si="33"/>
        <v>3044</v>
      </c>
      <c r="K83" s="14" t="str">
        <f t="shared" si="34"/>
        <v>3044</v>
      </c>
      <c r="L83" s="76"/>
      <c r="M83" s="14">
        <f>IF(OR(G83&lt;15,G83=80),0,D_装备升级表!A83)</f>
        <v>30044</v>
      </c>
      <c r="N83" s="78">
        <v>1</v>
      </c>
      <c r="O83" s="14">
        <f t="shared" ref="O83:O146" si="36">MID($A83,5,1)*100+MID($A83,4,1)*1000</f>
        <v>1100</v>
      </c>
      <c r="P83" s="14"/>
      <c r="Q83" s="14">
        <f>VLOOKUP($I83&amp;$F83&amp;$G83,装备属性表,装备属性计算表!AL$29,FALSE)</f>
        <v>6</v>
      </c>
      <c r="R83" s="14">
        <f ca="1">VLOOKUP(VLOOKUP($I83&amp;$F83&amp;$G83,装备属性表,装备属性计算表!AM$29,FALSE),定义数据!$B$13:$C$35,2,FALSE)</f>
        <v>1</v>
      </c>
      <c r="S83" s="14">
        <f ca="1">VLOOKUP($I83&amp;$F83&amp;$G83,装备属性表,装备属性计算表!AN$29,FALSE)</f>
        <v>731.69898330369028</v>
      </c>
      <c r="T83" s="14">
        <f ca="1">VLOOKUP(VLOOKUP($I83&amp;$F83&amp;$G83,装备属性表,装备属性计算表!AO$29,FALSE),定义数据!$B$13:$C$35,2,FALSE)</f>
        <v>9</v>
      </c>
      <c r="U83" s="14">
        <f ca="1">VLOOKUP($I83&amp;$F83&amp;$G83,装备属性表,装备属性计算表!AP$29,FALSE)</f>
        <v>86.41975308641976</v>
      </c>
      <c r="V83" s="14">
        <f ca="1">VLOOKUP(VLOOKUP($I83&amp;$F83&amp;$G83,装备属性表,装备属性计算表!AQ$29,FALSE),定义数据!$B$13:$C$35,2,FALSE)</f>
        <v>1</v>
      </c>
      <c r="W83" s="14">
        <f ca="1">VLOOKUP($I83&amp;$F83&amp;$G83,装备属性表,装备属性计算表!AR$29,FALSE)</f>
        <v>696.85617457494311</v>
      </c>
      <c r="X83" s="14">
        <f ca="1">VLOOKUP(VLOOKUP($I83&amp;$F83&amp;$G83,装备属性表,装备属性计算表!AS$29,FALSE),定义数据!$B$13:$C$35,2,FALSE)</f>
        <v>2</v>
      </c>
      <c r="Y83" s="14">
        <f ca="1">VLOOKUP($I83&amp;$F83&amp;$G83,装备属性表,装备属性计算表!AT$29,FALSE)</f>
        <v>21.237212406417118</v>
      </c>
      <c r="Z83" s="14">
        <f ca="1">VLOOKUP(VLOOKUP($I83&amp;$F83&amp;$G83,装备属性表,装备属性计算表!AU$29,FALSE),定义数据!$B$13:$C$35,2,FALSE)</f>
        <v>3</v>
      </c>
      <c r="AA83" s="14">
        <f ca="1">VLOOKUP($I83&amp;$F83&amp;$G83,装备属性表,装备属性计算表!AV$29,FALSE)</f>
        <v>7.6475230502599665</v>
      </c>
      <c r="AB83" s="14">
        <f ca="1">VLOOKUP(VLOOKUP($I83&amp;$F83&amp;$G83,装备属性表,装备属性计算表!AW$29,FALSE),定义数据!$B$13:$C$35,2,FALSE)</f>
        <v>9</v>
      </c>
      <c r="AC83" s="14">
        <f ca="1">VLOOKUP($I83&amp;$F83&amp;$G83,装备属性表,装备属性计算表!AX$29,FALSE)</f>
        <v>16.460905349794242</v>
      </c>
      <c r="AD83" s="14">
        <f ca="1">VLOOKUP(VLOOKUP($I83&amp;$F83&amp;$G83,装备属性表,装备属性计算表!AY$29,FALSE),定义数据!$B$13:$C$35,2,FALSE)</f>
        <v>0</v>
      </c>
      <c r="AE83" s="14">
        <f>VLOOKUP($I83&amp;$F83&amp;$G83,装备属性表,装备属性计算表!AZ$29,FALSE)</f>
        <v>0</v>
      </c>
      <c r="AF83" s="14">
        <f ca="1">VLOOKUP(VLOOKUP($I83&amp;$F83&amp;$G83,装备属性表,装备属性计算表!BA$29,FALSE),定义数据!$B$13:$C$35,2,FALSE)</f>
        <v>0</v>
      </c>
      <c r="AG83" s="14">
        <f>VLOOKUP($I83&amp;$F83&amp;$G83,装备属性表,装备属性计算表!BB$29,FALSE)</f>
        <v>0</v>
      </c>
      <c r="AH83" s="14">
        <f ca="1">VLOOKUP(VLOOKUP($I83&amp;$F83&amp;$G83,装备属性表,装备属性计算表!BC$29,FALSE),定义数据!$B$13:$C$35,2,FALSE)</f>
        <v>0</v>
      </c>
      <c r="AI83" s="14">
        <f>VLOOKUP($I83&amp;$F83&amp;$G83,装备属性表,装备属性计算表!BD$29,FALSE)</f>
        <v>0</v>
      </c>
      <c r="AJ83" s="14">
        <f ca="1">VLOOKUP(VLOOKUP($I83&amp;$F83&amp;$G83,装备属性表,装备属性计算表!BE$29,FALSE),定义数据!$B$13:$C$35,2,FALSE)</f>
        <v>0</v>
      </c>
      <c r="AK83" s="14">
        <f>VLOOKUP($I83&amp;$F83&amp;$G83,装备属性表,装备属性计算表!BF$29,FALSE)</f>
        <v>0</v>
      </c>
      <c r="AL83" t="str">
        <f t="shared" si="17"/>
        <v>暴血腰带是一件30级红色可升级的装备。</v>
      </c>
      <c r="AM83" t="str">
        <f>IF(D83=0,5,D83) &amp; F83&amp;"00"&amp;VLOOKUP(G83,定义数据!$F$20:$G$27,2,FALSE)&amp;".png"</f>
        <v>54003.png</v>
      </c>
      <c r="AN83" s="79">
        <f>IF(OR(G83&lt;15),0,D_装备升级表!A83)</f>
        <v>30044</v>
      </c>
      <c r="AP83">
        <f ca="1">VLOOKUP(G83&amp;I83&amp;F83,CHOOSE({1,2},装备属性计算表!$BK$32:$BK$187,装备属性计算表!$BJ$32:$BJ$187),2,FALSE)</f>
        <v>104.54546029034094</v>
      </c>
      <c r="AQ83">
        <f ca="1">AP83*'[1]0、经济设定'!$C$18</f>
        <v>5227.2730145170472</v>
      </c>
      <c r="AR83">
        <f ca="1">IFERROR(AQ83*'[1]0、经济设定'!$E$19*AU83*AS83,0)</f>
        <v>1310.7290198695068</v>
      </c>
      <c r="AS83">
        <v>10</v>
      </c>
      <c r="AT83">
        <f t="shared" si="35"/>
        <v>300</v>
      </c>
      <c r="AU83">
        <f ca="1">IF(F83=0,IFERROR(AT83/AP83/'[1]0、经济设定'!$E$18,0),AU82)</f>
        <v>12.537407327198945</v>
      </c>
      <c r="AV83">
        <f t="shared" ca="1" si="15"/>
        <v>4181.8184116136381</v>
      </c>
    </row>
    <row r="84" spans="1:48" x14ac:dyDescent="0.15">
      <c r="A84" s="14" t="str">
        <f t="shared" si="3"/>
        <v>53411</v>
      </c>
      <c r="B84" s="14" t="s">
        <v>317</v>
      </c>
      <c r="C84" s="14">
        <f>VLOOKUP($I84&amp;$F84&amp;$G84,装备属性表,装备属性计算表!AK$29,FALSE)</f>
        <v>11</v>
      </c>
      <c r="D84" s="14">
        <f t="shared" si="18"/>
        <v>0</v>
      </c>
      <c r="E84" s="14" t="str">
        <f>VLOOKUP(F84,CHOOSE({1,2},定义数据!$F$2:$F$7,武器部位),2)</f>
        <v>项链</v>
      </c>
      <c r="F84" s="14">
        <v>3</v>
      </c>
      <c r="G84" s="14">
        <v>30</v>
      </c>
      <c r="H84" s="14">
        <f t="shared" si="7"/>
        <v>30</v>
      </c>
      <c r="I84" s="14">
        <v>4</v>
      </c>
      <c r="J84" s="14" t="str">
        <f t="shared" si="33"/>
        <v>3043</v>
      </c>
      <c r="K84" s="14" t="str">
        <f t="shared" si="34"/>
        <v>3043</v>
      </c>
      <c r="L84" s="76"/>
      <c r="M84" s="14">
        <f>IF(OR(G84&lt;15,G84=80),0,D_装备升级表!A84)</f>
        <v>30043</v>
      </c>
      <c r="N84" s="78">
        <v>1</v>
      </c>
      <c r="O84" s="14">
        <f t="shared" si="36"/>
        <v>1100</v>
      </c>
      <c r="P84" s="14"/>
      <c r="Q84" s="14">
        <f>VLOOKUP($I84&amp;$F84&amp;$G84,装备属性表,装备属性计算表!AL$29,FALSE)</f>
        <v>6</v>
      </c>
      <c r="R84" s="14">
        <f ca="1">VLOOKUP(VLOOKUP($I84&amp;$F84&amp;$G84,装备属性表,装备属性计算表!AM$29,FALSE),定义数据!$B$13:$C$35,2,FALSE)</f>
        <v>2</v>
      </c>
      <c r="S84" s="14">
        <f ca="1">VLOOKUP($I84&amp;$F84&amp;$G84,装备属性表,装备属性计算表!AN$29,FALSE)</f>
        <v>46.456402139037436</v>
      </c>
      <c r="T84" s="14">
        <f ca="1">VLOOKUP(VLOOKUP($I84&amp;$F84&amp;$G84,装备属性表,装备属性计算表!AO$29,FALSE),定义数据!$B$13:$C$35,2,FALSE)</f>
        <v>6</v>
      </c>
      <c r="U84" s="14">
        <f ca="1">VLOOKUP($I84&amp;$F84&amp;$G84,装备属性表,装备属性计算表!AP$29,FALSE)</f>
        <v>145.83333333333334</v>
      </c>
      <c r="V84" s="14">
        <f ca="1">VLOOKUP(VLOOKUP($I84&amp;$F84&amp;$G84,装备属性表,装备属性计算表!AQ$29,FALSE),定义数据!$B$13:$C$35,2,FALSE)</f>
        <v>2</v>
      </c>
      <c r="W84" s="14">
        <f ca="1">VLOOKUP($I84&amp;$F84&amp;$G84,装备属性表,装备属性计算表!AR$29,FALSE)</f>
        <v>21.237212406417118</v>
      </c>
      <c r="X84" s="14">
        <f ca="1">VLOOKUP(VLOOKUP($I84&amp;$F84&amp;$G84,装备属性表,装备属性计算表!AS$29,FALSE),定义数据!$B$13:$C$35,2,FALSE)</f>
        <v>7</v>
      </c>
      <c r="Y84" s="14">
        <f ca="1">VLOOKUP($I84&amp;$F84&amp;$G84,装备属性表,装备属性计算表!AT$29,FALSE)</f>
        <v>16.666666666666668</v>
      </c>
      <c r="Z84" s="14">
        <f ca="1">VLOOKUP(VLOOKUP($I84&amp;$F84&amp;$G84,装备属性表,装备属性计算表!AU$29,FALSE),定义数据!$B$13:$C$35,2,FALSE)</f>
        <v>6</v>
      </c>
      <c r="AA84" s="14">
        <f ca="1">VLOOKUP($I84&amp;$F84&amp;$G84,装备属性表,装备属性计算表!AV$29,FALSE)</f>
        <v>27.777777777777779</v>
      </c>
      <c r="AB84" s="14">
        <f ca="1">VLOOKUP(VLOOKUP($I84&amp;$F84&amp;$G84,装备属性表,装备属性计算表!AW$29,FALSE),定义数据!$B$13:$C$35,2,FALSE)</f>
        <v>8</v>
      </c>
      <c r="AC84" s="14">
        <f ca="1">VLOOKUP($I84&amp;$F84&amp;$G84,装备属性表,装备属性计算表!AX$29,FALSE)</f>
        <v>19.753086419753089</v>
      </c>
      <c r="AD84" s="14">
        <f ca="1">VLOOKUP(VLOOKUP($I84&amp;$F84&amp;$G84,装备属性表,装备属性计算表!AY$29,FALSE),定义数据!$B$13:$C$35,2,FALSE)</f>
        <v>0</v>
      </c>
      <c r="AE84" s="14">
        <f>VLOOKUP($I84&amp;$F84&amp;$G84,装备属性表,装备属性计算表!AZ$29,FALSE)</f>
        <v>0</v>
      </c>
      <c r="AF84" s="14">
        <f ca="1">VLOOKUP(VLOOKUP($I84&amp;$F84&amp;$G84,装备属性表,装备属性计算表!BA$29,FALSE),定义数据!$B$13:$C$35,2,FALSE)</f>
        <v>0</v>
      </c>
      <c r="AG84" s="14">
        <f>VLOOKUP($I84&amp;$F84&amp;$G84,装备属性表,装备属性计算表!BB$29,FALSE)</f>
        <v>0</v>
      </c>
      <c r="AH84" s="14">
        <f ca="1">VLOOKUP(VLOOKUP($I84&amp;$F84&amp;$G84,装备属性表,装备属性计算表!BC$29,FALSE),定义数据!$B$13:$C$35,2,FALSE)</f>
        <v>0</v>
      </c>
      <c r="AI84" s="14">
        <f>VLOOKUP($I84&amp;$F84&amp;$G84,装备属性表,装备属性计算表!BD$29,FALSE)</f>
        <v>0</v>
      </c>
      <c r="AJ84" s="14">
        <f ca="1">VLOOKUP(VLOOKUP($I84&amp;$F84&amp;$G84,装备属性表,装备属性计算表!BE$29,FALSE),定义数据!$B$13:$C$35,2,FALSE)</f>
        <v>0</v>
      </c>
      <c r="AK84" s="14">
        <f>VLOOKUP($I84&amp;$F84&amp;$G84,装备属性表,装备属性计算表!BF$29,FALSE)</f>
        <v>0</v>
      </c>
      <c r="AL84" t="str">
        <f t="shared" si="17"/>
        <v>暴血项链是一件30级红色可升级的装备。</v>
      </c>
      <c r="AM84" t="str">
        <f>IF(D84=0,5,D84) &amp; F84&amp;"00"&amp;VLOOKUP(G84,定义数据!$F$20:$G$27,2,FALSE)&amp;".png"</f>
        <v>53003.png</v>
      </c>
      <c r="AN84" s="79">
        <f>IF(OR(G84&lt;15),0,D_装备升级表!A84)</f>
        <v>30043</v>
      </c>
      <c r="AP84">
        <f ca="1">VLOOKUP(G84&amp;I84&amp;F84,CHOOSE({1,2},装备属性计算表!$BK$32:$BK$187,装备属性计算表!$BJ$32:$BJ$187),2,FALSE)</f>
        <v>135.94361454545458</v>
      </c>
      <c r="AQ84">
        <f ca="1">AP84*'[1]0、经济设定'!$C$18</f>
        <v>6797.1807272727292</v>
      </c>
      <c r="AR84">
        <f ca="1">IFERROR(AQ84*'[1]0、经济设定'!$E$19*AU84*AS84,0)</f>
        <v>1704.3804690880913</v>
      </c>
      <c r="AS84">
        <v>10</v>
      </c>
      <c r="AT84">
        <f t="shared" si="35"/>
        <v>300</v>
      </c>
      <c r="AU84">
        <f ca="1">IF(F84=0,IFERROR(AT84/AP84/'[1]0、经济设定'!$E$18,0),AU83)</f>
        <v>12.537407327198945</v>
      </c>
      <c r="AV84">
        <f t="shared" ca="1" si="15"/>
        <v>5437.7445818181832</v>
      </c>
    </row>
    <row r="85" spans="1:48" x14ac:dyDescent="0.15">
      <c r="A85" s="14" t="str">
        <f t="shared" si="3"/>
        <v>10112</v>
      </c>
      <c r="B85" s="14" t="s">
        <v>318</v>
      </c>
      <c r="C85" s="14">
        <f>VLOOKUP($I85&amp;$F85&amp;$G85,装备属性表,装备属性计算表!AK$29,FALSE)</f>
        <v>12</v>
      </c>
      <c r="D85" s="14">
        <f t="shared" si="18"/>
        <v>1</v>
      </c>
      <c r="E85" s="14" t="str">
        <f>VLOOKUP(F85,CHOOSE({1,2},定义数据!$F$2:$F$7,武器部位),2)</f>
        <v>武器</v>
      </c>
      <c r="F85" s="14">
        <v>0</v>
      </c>
      <c r="G85" s="14">
        <v>45</v>
      </c>
      <c r="H85" s="14">
        <f t="shared" si="7"/>
        <v>45</v>
      </c>
      <c r="I85" s="14">
        <v>1</v>
      </c>
      <c r="J85" s="14" t="str">
        <f t="shared" si="33"/>
        <v>4510</v>
      </c>
      <c r="K85" s="14" t="str">
        <f t="shared" si="34"/>
        <v>4510</v>
      </c>
      <c r="L85" s="76"/>
      <c r="M85" s="14">
        <f>IF(OR(G85&lt;15,G85=80),0,D_装备升级表!A85)</f>
        <v>45110</v>
      </c>
      <c r="N85" s="78">
        <v>1</v>
      </c>
      <c r="O85" s="14">
        <f t="shared" si="36"/>
        <v>1200</v>
      </c>
      <c r="P85" s="14"/>
      <c r="Q85" s="14">
        <f>VLOOKUP($I85&amp;$F85&amp;$G85,装备属性表,装备属性计算表!AL$29,FALSE)</f>
        <v>3</v>
      </c>
      <c r="R85" s="14">
        <f ca="1">VLOOKUP(VLOOKUP($I85&amp;$F85&amp;$G85,装备属性表,装备属性计算表!AM$29,FALSE),定义数据!$B$13:$C$35,2,FALSE)</f>
        <v>2</v>
      </c>
      <c r="S85" s="14">
        <f ca="1">VLOOKUP($I85&amp;$F85&amp;$G85,装备属性表,装备属性计算表!AN$29,FALSE)</f>
        <v>179.18897967914444</v>
      </c>
      <c r="T85" s="14">
        <f ca="1">VLOOKUP(VLOOKUP($I85&amp;$F85&amp;$G85,装备属性表,装备属性计算表!AO$29,FALSE),定义数据!$B$13:$C$35,2,FALSE)</f>
        <v>8</v>
      </c>
      <c r="U85" s="14">
        <f ca="1">VLOOKUP($I85&amp;$F85&amp;$G85,装备属性表,装备属性计算表!AP$29,FALSE)</f>
        <v>111.1111111111111</v>
      </c>
      <c r="V85" s="14">
        <f ca="1">VLOOKUP(VLOOKUP($I85&amp;$F85&amp;$G85,装备属性表,装备属性计算表!AQ$29,FALSE),定义数据!$B$13:$C$35,2,FALSE)</f>
        <v>2</v>
      </c>
      <c r="W85" s="14">
        <f ca="1">VLOOKUP($I85&amp;$F85&amp;$G85,装备属性表,装备属性计算表!AR$29,FALSE)</f>
        <v>14.335118374331556</v>
      </c>
      <c r="X85" s="14">
        <f ca="1">VLOOKUP(VLOOKUP($I85&amp;$F85&amp;$G85,装备属性表,装备属性计算表!AS$29,FALSE),定义数据!$B$13:$C$35,2,FALSE)</f>
        <v>0</v>
      </c>
      <c r="Y85" s="14">
        <f>VLOOKUP($I85&amp;$F85&amp;$G85,装备属性表,装备属性计算表!AT$29,FALSE)</f>
        <v>0</v>
      </c>
      <c r="Z85" s="14">
        <f ca="1">VLOOKUP(VLOOKUP($I85&amp;$F85&amp;$G85,装备属性表,装备属性计算表!AU$29,FALSE),定义数据!$B$13:$C$35,2,FALSE)</f>
        <v>0</v>
      </c>
      <c r="AA85" s="14">
        <f>VLOOKUP($I85&amp;$F85&amp;$G85,装备属性表,装备属性计算表!AV$29,FALSE)</f>
        <v>0</v>
      </c>
      <c r="AB85" s="14">
        <f ca="1">VLOOKUP(VLOOKUP($I85&amp;$F85&amp;$G85,装备属性表,装备属性计算表!AW$29,FALSE),定义数据!$B$13:$C$35,2,FALSE)</f>
        <v>0</v>
      </c>
      <c r="AC85" s="14">
        <f>VLOOKUP($I85&amp;$F85&amp;$G85,装备属性表,装备属性计算表!AX$29,FALSE)</f>
        <v>0</v>
      </c>
      <c r="AD85" s="14">
        <f ca="1">VLOOKUP(VLOOKUP($I85&amp;$F85&amp;$G85,装备属性表,装备属性计算表!AY$29,FALSE),定义数据!$B$13:$C$35,2,FALSE)</f>
        <v>0</v>
      </c>
      <c r="AE85" s="14">
        <f>VLOOKUP($I85&amp;$F85&amp;$G85,装备属性表,装备属性计算表!AZ$29,FALSE)</f>
        <v>0</v>
      </c>
      <c r="AF85" s="14">
        <f ca="1">VLOOKUP(VLOOKUP($I85&amp;$F85&amp;$G85,装备属性表,装备属性计算表!BA$29,FALSE),定义数据!$B$13:$C$35,2,FALSE)</f>
        <v>0</v>
      </c>
      <c r="AG85" s="14">
        <f>VLOOKUP($I85&amp;$F85&amp;$G85,装备属性表,装备属性计算表!BB$29,FALSE)</f>
        <v>0</v>
      </c>
      <c r="AH85" s="14">
        <f ca="1">VLOOKUP(VLOOKUP($I85&amp;$F85&amp;$G85,装备属性表,装备属性计算表!BC$29,FALSE),定义数据!$B$13:$C$35,2,FALSE)</f>
        <v>0</v>
      </c>
      <c r="AI85" s="14">
        <f>VLOOKUP($I85&amp;$F85&amp;$G85,装备属性表,装备属性计算表!BD$29,FALSE)</f>
        <v>0</v>
      </c>
      <c r="AJ85" s="14">
        <f ca="1">VLOOKUP(VLOOKUP($I85&amp;$F85&amp;$G85,装备属性表,装备属性计算表!BE$29,FALSE),定义数据!$B$13:$C$35,2,FALSE)</f>
        <v>0</v>
      </c>
      <c r="AK85" s="14">
        <f>VLOOKUP($I85&amp;$F85&amp;$G85,装备属性表,装备属性计算表!BF$29,FALSE)</f>
        <v>0</v>
      </c>
      <c r="AL85" t="str">
        <f t="shared" si="17"/>
        <v>勇气之刃是一件45级蓝色可升级的装备。</v>
      </c>
      <c r="AM85" t="str">
        <f>IF(D85=0,5,D85) &amp; F85&amp;"00"&amp;VLOOKUP(G85,定义数据!$F$20:$G$27,2,FALSE)&amp;".png"</f>
        <v>10004.png</v>
      </c>
      <c r="AN85" s="79">
        <f>IF(OR(G85&lt;15),0,D_装备升级表!A85)</f>
        <v>45110</v>
      </c>
      <c r="AP85">
        <f ca="1">VLOOKUP(G85&amp;I85&amp;F85,CHOOSE({1,2},装备属性计算表!$BK$32:$BK$187,装备属性计算表!$BJ$32:$BJ$187),2,FALSE)</f>
        <v>218.16979073978447</v>
      </c>
      <c r="AQ85">
        <f ca="1">AP85*'[1]0、经济设定'!$C$18</f>
        <v>10908.489536989224</v>
      </c>
      <c r="AR85">
        <f ca="1">IFERROR(AQ85*'[1]0、经济设定'!$E$19*AU85*AS85,0)</f>
        <v>539.99999999999989</v>
      </c>
      <c r="AS85">
        <v>10</v>
      </c>
      <c r="AT85">
        <f t="shared" si="35"/>
        <v>54</v>
      </c>
      <c r="AU85">
        <f ca="1">IF(F85=0,IFERROR(AT85/AP85/'[1]0、经济设定'!$E$18,0),AU84)</f>
        <v>2.4751364438171408</v>
      </c>
      <c r="AV85">
        <f t="shared" ca="1" si="15"/>
        <v>8726.7916295913783</v>
      </c>
    </row>
    <row r="86" spans="1:48" x14ac:dyDescent="0.15">
      <c r="A86" s="14" t="str">
        <f t="shared" si="3"/>
        <v>20112</v>
      </c>
      <c r="B86" s="14" t="s">
        <v>319</v>
      </c>
      <c r="C86" s="14">
        <f>VLOOKUP($I86&amp;$F86&amp;$G86,装备属性表,装备属性计算表!AK$29,FALSE)</f>
        <v>12</v>
      </c>
      <c r="D86" s="14">
        <f t="shared" si="18"/>
        <v>2</v>
      </c>
      <c r="E86" s="14" t="str">
        <f>VLOOKUP(F86,CHOOSE({1,2},定义数据!$F$2:$F$7,武器部位),2)</f>
        <v>武器</v>
      </c>
      <c r="F86" s="14">
        <v>0</v>
      </c>
      <c r="G86" s="14">
        <v>45</v>
      </c>
      <c r="H86" s="14">
        <f t="shared" si="7"/>
        <v>45</v>
      </c>
      <c r="I86" s="14">
        <v>1</v>
      </c>
      <c r="J86" s="14" t="str">
        <f t="shared" si="33"/>
        <v>4510</v>
      </c>
      <c r="K86" s="14" t="str">
        <f t="shared" si="34"/>
        <v>4510</v>
      </c>
      <c r="L86" s="76"/>
      <c r="M86" s="14">
        <f>IF(OR(G86&lt;15,G86=80),0,D_装备升级表!A86)</f>
        <v>45210</v>
      </c>
      <c r="N86" s="78">
        <v>1</v>
      </c>
      <c r="O86" s="14">
        <f t="shared" si="36"/>
        <v>1200</v>
      </c>
      <c r="P86" s="14"/>
      <c r="Q86" s="14">
        <f>VLOOKUP($I86&amp;$F86&amp;$G86,装备属性表,装备属性计算表!AL$29,FALSE)</f>
        <v>3</v>
      </c>
      <c r="R86" s="14">
        <f ca="1">VLOOKUP(VLOOKUP($I86&amp;$F86&amp;$G86,装备属性表,装备属性计算表!AM$29,FALSE),定义数据!$B$13:$C$35,2,FALSE)</f>
        <v>2</v>
      </c>
      <c r="S86" s="14">
        <f ca="1">VLOOKUP($I86&amp;$F86&amp;$G86,装备属性表,装备属性计算表!AN$29,FALSE)</f>
        <v>179.18897967914444</v>
      </c>
      <c r="T86" s="14">
        <f ca="1">VLOOKUP(VLOOKUP($I86&amp;$F86&amp;$G86,装备属性表,装备属性计算表!AO$29,FALSE),定义数据!$B$13:$C$35,2,FALSE)</f>
        <v>8</v>
      </c>
      <c r="U86" s="14">
        <f ca="1">VLOOKUP($I86&amp;$F86&amp;$G86,装备属性表,装备属性计算表!AP$29,FALSE)</f>
        <v>111.1111111111111</v>
      </c>
      <c r="V86" s="14">
        <f ca="1">VLOOKUP(VLOOKUP($I86&amp;$F86&amp;$G86,装备属性表,装备属性计算表!AQ$29,FALSE),定义数据!$B$13:$C$35,2,FALSE)</f>
        <v>2</v>
      </c>
      <c r="W86" s="14">
        <f ca="1">VLOOKUP($I86&amp;$F86&amp;$G86,装备属性表,装备属性计算表!AR$29,FALSE)</f>
        <v>14.335118374331556</v>
      </c>
      <c r="X86" s="14">
        <f ca="1">VLOOKUP(VLOOKUP($I86&amp;$F86&amp;$G86,装备属性表,装备属性计算表!AS$29,FALSE),定义数据!$B$13:$C$35,2,FALSE)</f>
        <v>0</v>
      </c>
      <c r="Y86" s="14">
        <f>VLOOKUP($I86&amp;$F86&amp;$G86,装备属性表,装备属性计算表!AT$29,FALSE)</f>
        <v>0</v>
      </c>
      <c r="Z86" s="14">
        <f ca="1">VLOOKUP(VLOOKUP($I86&amp;$F86&amp;$G86,装备属性表,装备属性计算表!AU$29,FALSE),定义数据!$B$13:$C$35,2,FALSE)</f>
        <v>0</v>
      </c>
      <c r="AA86" s="14">
        <f>VLOOKUP($I86&amp;$F86&amp;$G86,装备属性表,装备属性计算表!AV$29,FALSE)</f>
        <v>0</v>
      </c>
      <c r="AB86" s="14">
        <f ca="1">VLOOKUP(VLOOKUP($I86&amp;$F86&amp;$G86,装备属性表,装备属性计算表!AW$29,FALSE),定义数据!$B$13:$C$35,2,FALSE)</f>
        <v>0</v>
      </c>
      <c r="AC86" s="14">
        <f>VLOOKUP($I86&amp;$F86&amp;$G86,装备属性表,装备属性计算表!AX$29,FALSE)</f>
        <v>0</v>
      </c>
      <c r="AD86" s="14">
        <f ca="1">VLOOKUP(VLOOKUP($I86&amp;$F86&amp;$G86,装备属性表,装备属性计算表!AY$29,FALSE),定义数据!$B$13:$C$35,2,FALSE)</f>
        <v>0</v>
      </c>
      <c r="AE86" s="14">
        <f>VLOOKUP($I86&amp;$F86&amp;$G86,装备属性表,装备属性计算表!AZ$29,FALSE)</f>
        <v>0</v>
      </c>
      <c r="AF86" s="14">
        <f ca="1">VLOOKUP(VLOOKUP($I86&amp;$F86&amp;$G86,装备属性表,装备属性计算表!BA$29,FALSE),定义数据!$B$13:$C$35,2,FALSE)</f>
        <v>0</v>
      </c>
      <c r="AG86" s="14">
        <f>VLOOKUP($I86&amp;$F86&amp;$G86,装备属性表,装备属性计算表!BB$29,FALSE)</f>
        <v>0</v>
      </c>
      <c r="AH86" s="14">
        <f ca="1">VLOOKUP(VLOOKUP($I86&amp;$F86&amp;$G86,装备属性表,装备属性计算表!BC$29,FALSE),定义数据!$B$13:$C$35,2,FALSE)</f>
        <v>0</v>
      </c>
      <c r="AI86" s="14">
        <f>VLOOKUP($I86&amp;$F86&amp;$G86,装备属性表,装备属性计算表!BD$29,FALSE)</f>
        <v>0</v>
      </c>
      <c r="AJ86" s="14">
        <f ca="1">VLOOKUP(VLOOKUP($I86&amp;$F86&amp;$G86,装备属性表,装备属性计算表!BE$29,FALSE),定义数据!$B$13:$C$35,2,FALSE)</f>
        <v>0</v>
      </c>
      <c r="AK86" s="14">
        <f>VLOOKUP($I86&amp;$F86&amp;$G86,装备属性表,装备属性计算表!BF$29,FALSE)</f>
        <v>0</v>
      </c>
      <c r="AL86" t="str">
        <f t="shared" ref="AL86:AL149" si="37">B86&amp;"是一件"&amp;G86&amp;"级"&amp;VLOOKUP(I86,$AY$13:$AZ$18,2,FALSE)&amp;"可升级的装备。"</f>
        <v>勇气之拳是一件45级蓝色可升级的装备。</v>
      </c>
      <c r="AM86" t="str">
        <f>IF(D86=0,5,D86) &amp; F86&amp;"00"&amp;VLOOKUP(G86,定义数据!$F$20:$G$27,2,FALSE)&amp;".png"</f>
        <v>20004.png</v>
      </c>
      <c r="AN86" s="79">
        <f>IF(OR(G86&lt;15),0,D_装备升级表!A86)</f>
        <v>45210</v>
      </c>
      <c r="AP86">
        <f ca="1">VLOOKUP(G86&amp;I86&amp;F86,CHOOSE({1,2},装备属性计算表!$BK$32:$BK$187,装备属性计算表!$BJ$32:$BJ$187),2,FALSE)</f>
        <v>218.16979073978447</v>
      </c>
      <c r="AQ86">
        <f ca="1">AP86*'[1]0、经济设定'!$C$18</f>
        <v>10908.489536989224</v>
      </c>
      <c r="AR86">
        <f ca="1">IFERROR(AQ86*'[1]0、经济设定'!$E$19*AU86*AS86,0)</f>
        <v>539.99999999999989</v>
      </c>
      <c r="AS86">
        <v>10</v>
      </c>
      <c r="AT86">
        <f t="shared" si="35"/>
        <v>54</v>
      </c>
      <c r="AU86">
        <f ca="1">IF(F86=0,IFERROR(AT86/AP86/'[1]0、经济设定'!$E$18,0),AU85)</f>
        <v>2.4751364438171408</v>
      </c>
      <c r="AV86">
        <f t="shared" ca="1" si="15"/>
        <v>8726.7916295913783</v>
      </c>
    </row>
    <row r="87" spans="1:48" x14ac:dyDescent="0.15">
      <c r="A87" s="14" t="str">
        <f t="shared" si="3"/>
        <v>30112</v>
      </c>
      <c r="B87" s="14" t="s">
        <v>320</v>
      </c>
      <c r="C87" s="14">
        <f>VLOOKUP($I87&amp;$F87&amp;$G87,装备属性表,装备属性计算表!AK$29,FALSE)</f>
        <v>12</v>
      </c>
      <c r="D87" s="14">
        <f t="shared" si="18"/>
        <v>3</v>
      </c>
      <c r="E87" s="14" t="str">
        <f>VLOOKUP(F87,CHOOSE({1,2},定义数据!$F$2:$F$7,武器部位),2)</f>
        <v>武器</v>
      </c>
      <c r="F87" s="14">
        <v>0</v>
      </c>
      <c r="G87" s="14">
        <v>45</v>
      </c>
      <c r="H87" s="14">
        <f t="shared" si="7"/>
        <v>45</v>
      </c>
      <c r="I87" s="14">
        <v>1</v>
      </c>
      <c r="J87" s="14" t="str">
        <f t="shared" si="33"/>
        <v>4510</v>
      </c>
      <c r="K87" s="14" t="str">
        <f t="shared" si="34"/>
        <v>4510</v>
      </c>
      <c r="L87" s="76"/>
      <c r="M87" s="14">
        <f>IF(OR(G87&lt;15,G87=80),0,D_装备升级表!A87)</f>
        <v>45310</v>
      </c>
      <c r="N87" s="78">
        <v>1</v>
      </c>
      <c r="O87" s="14">
        <f t="shared" si="36"/>
        <v>1200</v>
      </c>
      <c r="P87" s="14"/>
      <c r="Q87" s="14">
        <f>VLOOKUP($I87&amp;$F87&amp;$G87,装备属性表,装备属性计算表!AL$29,FALSE)</f>
        <v>3</v>
      </c>
      <c r="R87" s="14">
        <f ca="1">VLOOKUP(VLOOKUP($I87&amp;$F87&amp;$G87,装备属性表,装备属性计算表!AM$29,FALSE),定义数据!$B$13:$C$35,2,FALSE)</f>
        <v>2</v>
      </c>
      <c r="S87" s="14">
        <f ca="1">VLOOKUP($I87&amp;$F87&amp;$G87,装备属性表,装备属性计算表!AN$29,FALSE)</f>
        <v>179.18897967914444</v>
      </c>
      <c r="T87" s="14">
        <f ca="1">VLOOKUP(VLOOKUP($I87&amp;$F87&amp;$G87,装备属性表,装备属性计算表!AO$29,FALSE),定义数据!$B$13:$C$35,2,FALSE)</f>
        <v>8</v>
      </c>
      <c r="U87" s="14">
        <f ca="1">VLOOKUP($I87&amp;$F87&amp;$G87,装备属性表,装备属性计算表!AP$29,FALSE)</f>
        <v>111.1111111111111</v>
      </c>
      <c r="V87" s="14">
        <f ca="1">VLOOKUP(VLOOKUP($I87&amp;$F87&amp;$G87,装备属性表,装备属性计算表!AQ$29,FALSE),定义数据!$B$13:$C$35,2,FALSE)</f>
        <v>2</v>
      </c>
      <c r="W87" s="14">
        <f ca="1">VLOOKUP($I87&amp;$F87&amp;$G87,装备属性表,装备属性计算表!AR$29,FALSE)</f>
        <v>14.335118374331556</v>
      </c>
      <c r="X87" s="14">
        <f ca="1">VLOOKUP(VLOOKUP($I87&amp;$F87&amp;$G87,装备属性表,装备属性计算表!AS$29,FALSE),定义数据!$B$13:$C$35,2,FALSE)</f>
        <v>0</v>
      </c>
      <c r="Y87" s="14">
        <f>VLOOKUP($I87&amp;$F87&amp;$G87,装备属性表,装备属性计算表!AT$29,FALSE)</f>
        <v>0</v>
      </c>
      <c r="Z87" s="14">
        <f ca="1">VLOOKUP(VLOOKUP($I87&amp;$F87&amp;$G87,装备属性表,装备属性计算表!AU$29,FALSE),定义数据!$B$13:$C$35,2,FALSE)</f>
        <v>0</v>
      </c>
      <c r="AA87" s="14">
        <f>VLOOKUP($I87&amp;$F87&amp;$G87,装备属性表,装备属性计算表!AV$29,FALSE)</f>
        <v>0</v>
      </c>
      <c r="AB87" s="14">
        <f ca="1">VLOOKUP(VLOOKUP($I87&amp;$F87&amp;$G87,装备属性表,装备属性计算表!AW$29,FALSE),定义数据!$B$13:$C$35,2,FALSE)</f>
        <v>0</v>
      </c>
      <c r="AC87" s="14">
        <f>VLOOKUP($I87&amp;$F87&amp;$G87,装备属性表,装备属性计算表!AX$29,FALSE)</f>
        <v>0</v>
      </c>
      <c r="AD87" s="14">
        <f ca="1">VLOOKUP(VLOOKUP($I87&amp;$F87&amp;$G87,装备属性表,装备属性计算表!AY$29,FALSE),定义数据!$B$13:$C$35,2,FALSE)</f>
        <v>0</v>
      </c>
      <c r="AE87" s="14">
        <f>VLOOKUP($I87&amp;$F87&amp;$G87,装备属性表,装备属性计算表!AZ$29,FALSE)</f>
        <v>0</v>
      </c>
      <c r="AF87" s="14">
        <f ca="1">VLOOKUP(VLOOKUP($I87&amp;$F87&amp;$G87,装备属性表,装备属性计算表!BA$29,FALSE),定义数据!$B$13:$C$35,2,FALSE)</f>
        <v>0</v>
      </c>
      <c r="AG87" s="14">
        <f>VLOOKUP($I87&amp;$F87&amp;$G87,装备属性表,装备属性计算表!BB$29,FALSE)</f>
        <v>0</v>
      </c>
      <c r="AH87" s="14">
        <f ca="1">VLOOKUP(VLOOKUP($I87&amp;$F87&amp;$G87,装备属性表,装备属性计算表!BC$29,FALSE),定义数据!$B$13:$C$35,2,FALSE)</f>
        <v>0</v>
      </c>
      <c r="AI87" s="14">
        <f>VLOOKUP($I87&amp;$F87&amp;$G87,装备属性表,装备属性计算表!BD$29,FALSE)</f>
        <v>0</v>
      </c>
      <c r="AJ87" s="14">
        <f ca="1">VLOOKUP(VLOOKUP($I87&amp;$F87&amp;$G87,装备属性表,装备属性计算表!BE$29,FALSE),定义数据!$B$13:$C$35,2,FALSE)</f>
        <v>0</v>
      </c>
      <c r="AK87" s="14">
        <f>VLOOKUP($I87&amp;$F87&amp;$G87,装备属性表,装备属性计算表!BF$29,FALSE)</f>
        <v>0</v>
      </c>
      <c r="AL87" t="str">
        <f t="shared" si="37"/>
        <v>勇气之枪是一件45级蓝色可升级的装备。</v>
      </c>
      <c r="AM87" t="str">
        <f>IF(D87=0,5,D87) &amp; F87&amp;"00"&amp;VLOOKUP(G87,定义数据!$F$20:$G$27,2,FALSE)&amp;".png"</f>
        <v>30004.png</v>
      </c>
      <c r="AN87" s="79">
        <f>IF(OR(G87&lt;15),0,D_装备升级表!A87)</f>
        <v>45310</v>
      </c>
      <c r="AP87">
        <f ca="1">VLOOKUP(G87&amp;I87&amp;F87,CHOOSE({1,2},装备属性计算表!$BK$32:$BK$187,装备属性计算表!$BJ$32:$BJ$187),2,FALSE)</f>
        <v>218.16979073978447</v>
      </c>
      <c r="AQ87">
        <f ca="1">AP87*'[1]0、经济设定'!$C$18</f>
        <v>10908.489536989224</v>
      </c>
      <c r="AR87">
        <f ca="1">IFERROR(AQ87*'[1]0、经济设定'!$E$19*AU87*AS87,0)</f>
        <v>539.99999999999989</v>
      </c>
      <c r="AS87">
        <v>10</v>
      </c>
      <c r="AT87">
        <f t="shared" si="35"/>
        <v>54</v>
      </c>
      <c r="AU87">
        <f ca="1">IF(F87=0,IFERROR(AT87/AP87/'[1]0、经济设定'!$E$18,0),AU86)</f>
        <v>2.4751364438171408</v>
      </c>
      <c r="AV87">
        <f t="shared" ca="1" si="15"/>
        <v>8726.7916295913783</v>
      </c>
    </row>
    <row r="88" spans="1:48" x14ac:dyDescent="0.15">
      <c r="A88" s="14" t="str">
        <f t="shared" si="3"/>
        <v>51112</v>
      </c>
      <c r="B88" s="14" t="s">
        <v>321</v>
      </c>
      <c r="C88" s="14">
        <f>VLOOKUP($I88&amp;$F88&amp;$G88,装备属性表,装备属性计算表!AK$29,FALSE)</f>
        <v>12</v>
      </c>
      <c r="D88" s="14">
        <f t="shared" si="18"/>
        <v>0</v>
      </c>
      <c r="E88" s="14" t="str">
        <f>VLOOKUP(F88,CHOOSE({1,2},定义数据!$F$2:$F$7,武器部位),2)</f>
        <v>衣服</v>
      </c>
      <c r="F88" s="14">
        <v>1</v>
      </c>
      <c r="G88" s="14">
        <v>45</v>
      </c>
      <c r="H88" s="14">
        <f t="shared" si="7"/>
        <v>45</v>
      </c>
      <c r="I88" s="14">
        <v>1</v>
      </c>
      <c r="J88" s="14" t="str">
        <f t="shared" si="33"/>
        <v>4511</v>
      </c>
      <c r="K88" s="14" t="str">
        <f t="shared" si="34"/>
        <v>4511</v>
      </c>
      <c r="L88" s="76"/>
      <c r="M88" s="14">
        <f>IF(OR(G88&lt;15,G88=80),0,D_装备升级表!A88)</f>
        <v>45011</v>
      </c>
      <c r="N88" s="78">
        <v>1</v>
      </c>
      <c r="O88" s="14">
        <f t="shared" si="36"/>
        <v>1200</v>
      </c>
      <c r="P88" s="14"/>
      <c r="Q88" s="14">
        <f>VLOOKUP($I88&amp;$F88&amp;$G88,装备属性表,装备属性计算表!AL$29,FALSE)</f>
        <v>3</v>
      </c>
      <c r="R88" s="14">
        <f ca="1">VLOOKUP(VLOOKUP($I88&amp;$F88&amp;$G88,装备属性表,装备属性计算表!AM$29,FALSE),定义数据!$B$13:$C$35,2,FALSE)</f>
        <v>1</v>
      </c>
      <c r="S88" s="14">
        <f ca="1">VLOOKUP($I88&amp;$F88&amp;$G88,装备属性表,装备属性计算表!AN$29,FALSE)</f>
        <v>2822.26750702852</v>
      </c>
      <c r="T88" s="14">
        <f ca="1">VLOOKUP(VLOOKUP($I88&amp;$F88&amp;$G88,装备属性表,装备属性计算表!AO$29,FALSE),定义数据!$B$13:$C$35,2,FALSE)</f>
        <v>3</v>
      </c>
      <c r="U88" s="14">
        <f ca="1">VLOOKUP($I88&amp;$F88&amp;$G88,装备属性表,装备属性计算表!AP$29,FALSE)</f>
        <v>61.944936707105725</v>
      </c>
      <c r="V88" s="14">
        <f ca="1">VLOOKUP(VLOOKUP($I88&amp;$F88&amp;$G88,装备属性表,装备属性计算表!AQ$29,FALSE),定义数据!$B$13:$C$35,2,FALSE)</f>
        <v>1</v>
      </c>
      <c r="W88" s="14">
        <f ca="1">VLOOKUP($I88&amp;$F88&amp;$G88,装备属性表,装备属性计算表!AR$29,FALSE)</f>
        <v>156.79263927936222</v>
      </c>
      <c r="X88" s="14">
        <f ca="1">VLOOKUP(VLOOKUP($I88&amp;$F88&amp;$G88,装备属性表,装备属性计算表!AS$29,FALSE),定义数据!$B$13:$C$35,2,FALSE)</f>
        <v>0</v>
      </c>
      <c r="Y88" s="14">
        <f>VLOOKUP($I88&amp;$F88&amp;$G88,装备属性表,装备属性计算表!AT$29,FALSE)</f>
        <v>0</v>
      </c>
      <c r="Z88" s="14">
        <f ca="1">VLOOKUP(VLOOKUP($I88&amp;$F88&amp;$G88,装备属性表,装备属性计算表!AU$29,FALSE),定义数据!$B$13:$C$35,2,FALSE)</f>
        <v>0</v>
      </c>
      <c r="AA88" s="14">
        <f>VLOOKUP($I88&amp;$F88&amp;$G88,装备属性表,装备属性计算表!AV$29,FALSE)</f>
        <v>0</v>
      </c>
      <c r="AB88" s="14">
        <f ca="1">VLOOKUP(VLOOKUP($I88&amp;$F88&amp;$G88,装备属性表,装备属性计算表!AW$29,FALSE),定义数据!$B$13:$C$35,2,FALSE)</f>
        <v>0</v>
      </c>
      <c r="AC88" s="14">
        <f>VLOOKUP($I88&amp;$F88&amp;$G88,装备属性表,装备属性计算表!AX$29,FALSE)</f>
        <v>0</v>
      </c>
      <c r="AD88" s="14">
        <f ca="1">VLOOKUP(VLOOKUP($I88&amp;$F88&amp;$G88,装备属性表,装备属性计算表!AY$29,FALSE),定义数据!$B$13:$C$35,2,FALSE)</f>
        <v>0</v>
      </c>
      <c r="AE88" s="14">
        <f>VLOOKUP($I88&amp;$F88&amp;$G88,装备属性表,装备属性计算表!AZ$29,FALSE)</f>
        <v>0</v>
      </c>
      <c r="AF88" s="14">
        <f ca="1">VLOOKUP(VLOOKUP($I88&amp;$F88&amp;$G88,装备属性表,装备属性计算表!BA$29,FALSE),定义数据!$B$13:$C$35,2,FALSE)</f>
        <v>0</v>
      </c>
      <c r="AG88" s="14">
        <f>VLOOKUP($I88&amp;$F88&amp;$G88,装备属性表,装备属性计算表!BB$29,FALSE)</f>
        <v>0</v>
      </c>
      <c r="AH88" s="14">
        <f ca="1">VLOOKUP(VLOOKUP($I88&amp;$F88&amp;$G88,装备属性表,装备属性计算表!BC$29,FALSE),定义数据!$B$13:$C$35,2,FALSE)</f>
        <v>0</v>
      </c>
      <c r="AI88" s="14">
        <f>VLOOKUP($I88&amp;$F88&amp;$G88,装备属性表,装备属性计算表!BD$29,FALSE)</f>
        <v>0</v>
      </c>
      <c r="AJ88" s="14">
        <f ca="1">VLOOKUP(VLOOKUP($I88&amp;$F88&amp;$G88,装备属性表,装备属性计算表!BE$29,FALSE),定义数据!$B$13:$C$35,2,FALSE)</f>
        <v>0</v>
      </c>
      <c r="AK88" s="14">
        <f>VLOOKUP($I88&amp;$F88&amp;$G88,装备属性表,装备属性计算表!BF$29,FALSE)</f>
        <v>0</v>
      </c>
      <c r="AL88" t="str">
        <f t="shared" si="37"/>
        <v>勇气战衣是一件45级蓝色可升级的装备。</v>
      </c>
      <c r="AM88" t="str">
        <f>IF(D88=0,5,D88) &amp; F88&amp;"00"&amp;VLOOKUP(G88,定义数据!$F$20:$G$27,2,FALSE)&amp;".png"</f>
        <v>51004.png</v>
      </c>
      <c r="AN88" s="79">
        <f>IF(OR(G88&lt;15),0,D_装备升级表!A88)</f>
        <v>45011</v>
      </c>
      <c r="AP88">
        <f ca="1">VLOOKUP(G88&amp;I88&amp;F88,CHOOSE({1,2},装备属性计算表!$BK$32:$BK$187,装备属性计算表!$BJ$32:$BJ$187),2,FALSE)</f>
        <v>188.21108728501315</v>
      </c>
      <c r="AQ88">
        <f ca="1">AP88*'[1]0、经济设定'!$C$18</f>
        <v>9410.5543642506582</v>
      </c>
      <c r="AR88">
        <f ca="1">IFERROR(AQ88*'[1]0、经济设定'!$E$19*AU88*AS88,0)</f>
        <v>465.84812126958496</v>
      </c>
      <c r="AS88">
        <v>10</v>
      </c>
      <c r="AT88">
        <f t="shared" si="35"/>
        <v>54</v>
      </c>
      <c r="AU88">
        <f ca="1">IF(F88=0,IFERROR(AT88/AP88/'[1]0、经济设定'!$E$18,0),AU87)</f>
        <v>2.4751364438171408</v>
      </c>
      <c r="AV88">
        <f t="shared" ca="1" si="15"/>
        <v>7528.443491400526</v>
      </c>
    </row>
    <row r="89" spans="1:48" x14ac:dyDescent="0.15">
      <c r="A89" s="14" t="str">
        <f t="shared" si="3"/>
        <v>52112</v>
      </c>
      <c r="B89" s="14" t="s">
        <v>322</v>
      </c>
      <c r="C89" s="14">
        <f>VLOOKUP($I89&amp;$F89&amp;$G89,装备属性表,装备属性计算表!AK$29,FALSE)</f>
        <v>12</v>
      </c>
      <c r="D89" s="14">
        <f t="shared" si="18"/>
        <v>0</v>
      </c>
      <c r="E89" s="14" t="str">
        <f>VLOOKUP(F89,CHOOSE({1,2},定义数据!$F$2:$F$7,武器部位),2)</f>
        <v>裤子</v>
      </c>
      <c r="F89" s="14">
        <v>2</v>
      </c>
      <c r="G89" s="14">
        <v>45</v>
      </c>
      <c r="H89" s="14">
        <f t="shared" si="7"/>
        <v>45</v>
      </c>
      <c r="I89" s="14">
        <v>1</v>
      </c>
      <c r="J89" s="14" t="str">
        <f t="shared" si="33"/>
        <v>4512</v>
      </c>
      <c r="K89" s="14" t="str">
        <f t="shared" si="34"/>
        <v>4512</v>
      </c>
      <c r="L89" s="76"/>
      <c r="M89" s="14">
        <f>IF(OR(G89&lt;15,G89=80),0,D_装备升级表!A89)</f>
        <v>45012</v>
      </c>
      <c r="N89" s="78">
        <v>1</v>
      </c>
      <c r="O89" s="14">
        <f t="shared" si="36"/>
        <v>1200</v>
      </c>
      <c r="P89" s="14"/>
      <c r="Q89" s="14">
        <f>VLOOKUP($I89&amp;$F89&amp;$G89,装备属性表,装备属性计算表!AL$29,FALSE)</f>
        <v>3</v>
      </c>
      <c r="R89" s="14">
        <f ca="1">VLOOKUP(VLOOKUP($I89&amp;$F89&amp;$G89,装备属性表,装备属性计算表!AM$29,FALSE),定义数据!$B$13:$C$35,2,FALSE)</f>
        <v>3</v>
      </c>
      <c r="S89" s="14">
        <f ca="1">VLOOKUP($I89&amp;$F89&amp;$G89,装备属性表,装备属性计算表!AN$29,FALSE)</f>
        <v>41.296624471403817</v>
      </c>
      <c r="T89" s="14">
        <f ca="1">VLOOKUP(VLOOKUP($I89&amp;$F89&amp;$G89,装备属性表,装备属性计算表!AO$29,FALSE),定义数据!$B$13:$C$35,2,FALSE)</f>
        <v>7</v>
      </c>
      <c r="U89" s="14">
        <f ca="1">VLOOKUP($I89&amp;$F89&amp;$G89,装备属性表,装备属性计算表!AP$29,FALSE)</f>
        <v>62.5</v>
      </c>
      <c r="V89" s="14">
        <f ca="1">VLOOKUP(VLOOKUP($I89&amp;$F89&amp;$G89,装备属性表,装备属性计算表!AQ$29,FALSE),定义数据!$B$13:$C$35,2,FALSE)</f>
        <v>1</v>
      </c>
      <c r="W89" s="14">
        <f ca="1">VLOOKUP($I89&amp;$F89&amp;$G89,装备属性表,装备属性计算表!AR$29,FALSE)</f>
        <v>78.39631963968111</v>
      </c>
      <c r="X89" s="14">
        <f ca="1">VLOOKUP(VLOOKUP($I89&amp;$F89&amp;$G89,装备属性表,装备属性计算表!AS$29,FALSE),定义数据!$B$13:$C$35,2,FALSE)</f>
        <v>0</v>
      </c>
      <c r="Y89" s="14">
        <f>VLOOKUP($I89&amp;$F89&amp;$G89,装备属性表,装备属性计算表!AT$29,FALSE)</f>
        <v>0</v>
      </c>
      <c r="Z89" s="14">
        <f ca="1">VLOOKUP(VLOOKUP($I89&amp;$F89&amp;$G89,装备属性表,装备属性计算表!AU$29,FALSE),定义数据!$B$13:$C$35,2,FALSE)</f>
        <v>0</v>
      </c>
      <c r="AA89" s="14">
        <f>VLOOKUP($I89&amp;$F89&amp;$G89,装备属性表,装备属性计算表!AV$29,FALSE)</f>
        <v>0</v>
      </c>
      <c r="AB89" s="14">
        <f ca="1">VLOOKUP(VLOOKUP($I89&amp;$F89&amp;$G89,装备属性表,装备属性计算表!AW$29,FALSE),定义数据!$B$13:$C$35,2,FALSE)</f>
        <v>0</v>
      </c>
      <c r="AC89" s="14">
        <f>VLOOKUP($I89&amp;$F89&amp;$G89,装备属性表,装备属性计算表!AX$29,FALSE)</f>
        <v>0</v>
      </c>
      <c r="AD89" s="14">
        <f ca="1">VLOOKUP(VLOOKUP($I89&amp;$F89&amp;$G89,装备属性表,装备属性计算表!AY$29,FALSE),定义数据!$B$13:$C$35,2,FALSE)</f>
        <v>0</v>
      </c>
      <c r="AE89" s="14">
        <f>VLOOKUP($I89&amp;$F89&amp;$G89,装备属性表,装备属性计算表!AZ$29,FALSE)</f>
        <v>0</v>
      </c>
      <c r="AF89" s="14">
        <f ca="1">VLOOKUP(VLOOKUP($I89&amp;$F89&amp;$G89,装备属性表,装备属性计算表!BA$29,FALSE),定义数据!$B$13:$C$35,2,FALSE)</f>
        <v>0</v>
      </c>
      <c r="AG89" s="14">
        <f>VLOOKUP($I89&amp;$F89&amp;$G89,装备属性表,装备属性计算表!BB$29,FALSE)</f>
        <v>0</v>
      </c>
      <c r="AH89" s="14">
        <f ca="1">VLOOKUP(VLOOKUP($I89&amp;$F89&amp;$G89,装备属性表,装备属性计算表!BC$29,FALSE),定义数据!$B$13:$C$35,2,FALSE)</f>
        <v>0</v>
      </c>
      <c r="AI89" s="14">
        <f>VLOOKUP($I89&amp;$F89&amp;$G89,装备属性表,装备属性计算表!BD$29,FALSE)</f>
        <v>0</v>
      </c>
      <c r="AJ89" s="14">
        <f ca="1">VLOOKUP(VLOOKUP($I89&amp;$F89&amp;$G89,装备属性表,装备属性计算表!BE$29,FALSE),定义数据!$B$13:$C$35,2,FALSE)</f>
        <v>0</v>
      </c>
      <c r="AK89" s="14">
        <f>VLOOKUP($I89&amp;$F89&amp;$G89,装备属性表,装备属性计算表!BF$29,FALSE)</f>
        <v>0</v>
      </c>
      <c r="AL89" t="str">
        <f t="shared" si="37"/>
        <v>勇气长裤是一件45级蓝色可升级的装备。</v>
      </c>
      <c r="AM89" t="str">
        <f>IF(D89=0,5,D89) &amp; F89&amp;"00"&amp;VLOOKUP(G89,定义数据!$F$20:$G$27,2,FALSE)&amp;".png"</f>
        <v>52004.png</v>
      </c>
      <c r="AN89" s="79">
        <f>IF(OR(G89&lt;15),0,D_装备升级表!A89)</f>
        <v>45012</v>
      </c>
      <c r="AP89">
        <f ca="1">VLOOKUP(G89&amp;I89&amp;F89,CHOOSE({1,2},装备属性计算表!$BK$32:$BK$187,装备属性计算表!$BJ$32:$BJ$187),2,FALSE)</f>
        <v>69.344836609966222</v>
      </c>
      <c r="AQ89">
        <f ca="1">AP89*'[1]0、经济设定'!$C$18</f>
        <v>3467.2418304983112</v>
      </c>
      <c r="AR89">
        <f ca="1">IFERROR(AQ89*'[1]0、经济设定'!$E$19*AU89*AS89,0)</f>
        <v>171.63793228387246</v>
      </c>
      <c r="AS89">
        <v>10</v>
      </c>
      <c r="AT89">
        <f t="shared" si="35"/>
        <v>54</v>
      </c>
      <c r="AU89">
        <f ca="1">IF(F89=0,IFERROR(AT89/AP89/'[1]0、经济设定'!$E$18,0),AU88)</f>
        <v>2.4751364438171408</v>
      </c>
      <c r="AV89">
        <f t="shared" ca="1" si="15"/>
        <v>2773.7934643986491</v>
      </c>
    </row>
    <row r="90" spans="1:48" x14ac:dyDescent="0.15">
      <c r="A90" s="14" t="str">
        <f t="shared" si="3"/>
        <v>55112</v>
      </c>
      <c r="B90" s="14" t="s">
        <v>323</v>
      </c>
      <c r="C90" s="14">
        <f>VLOOKUP($I90&amp;$F90&amp;$G90,装备属性表,装备属性计算表!AK$29,FALSE)</f>
        <v>12</v>
      </c>
      <c r="D90" s="14">
        <f t="shared" si="18"/>
        <v>0</v>
      </c>
      <c r="E90" s="14" t="str">
        <f>VLOOKUP(F90,CHOOSE({1,2},定义数据!$F$2:$F$7,武器部位),2)</f>
        <v>鞋子</v>
      </c>
      <c r="F90" s="14">
        <v>5</v>
      </c>
      <c r="G90" s="14">
        <v>45</v>
      </c>
      <c r="H90" s="14">
        <f t="shared" si="7"/>
        <v>45</v>
      </c>
      <c r="I90" s="14">
        <v>1</v>
      </c>
      <c r="J90" s="14" t="str">
        <f t="shared" si="33"/>
        <v>4515</v>
      </c>
      <c r="K90" s="14" t="str">
        <f t="shared" si="34"/>
        <v>4515</v>
      </c>
      <c r="L90" s="76"/>
      <c r="M90" s="14">
        <f>IF(OR(G90&lt;15,G90=80),0,D_装备升级表!A90)</f>
        <v>45015</v>
      </c>
      <c r="N90" s="78">
        <v>1</v>
      </c>
      <c r="O90" s="14">
        <f t="shared" si="36"/>
        <v>1200</v>
      </c>
      <c r="P90" s="14"/>
      <c r="Q90" s="14">
        <f>VLOOKUP($I90&amp;$F90&amp;$G90,装备属性表,装备属性计算表!AL$29,FALSE)</f>
        <v>3</v>
      </c>
      <c r="R90" s="14">
        <f ca="1">VLOOKUP(VLOOKUP($I90&amp;$F90&amp;$G90,装备属性表,装备属性计算表!AM$29,FALSE),定义数据!$B$13:$C$35,2,FALSE)</f>
        <v>1</v>
      </c>
      <c r="S90" s="14">
        <f ca="1">VLOOKUP($I90&amp;$F90&amp;$G90,装备属性表,装备属性计算表!AN$29,FALSE)</f>
        <v>940.75583567617343</v>
      </c>
      <c r="T90" s="14">
        <f ca="1">VLOOKUP(VLOOKUP($I90&amp;$F90&amp;$G90,装备属性表,装备属性计算表!AO$29,FALSE),定义数据!$B$13:$C$35,2,FALSE)</f>
        <v>7</v>
      </c>
      <c r="U90" s="14">
        <f ca="1">VLOOKUP($I90&amp;$F90&amp;$G90,装备属性表,装备属性计算表!AP$29,FALSE)</f>
        <v>125</v>
      </c>
      <c r="V90" s="14">
        <f ca="1">VLOOKUP(VLOOKUP($I90&amp;$F90&amp;$G90,装备属性表,装备属性计算表!AQ$29,FALSE),定义数据!$B$13:$C$35,2,FALSE)</f>
        <v>1</v>
      </c>
      <c r="W90" s="14">
        <f ca="1">VLOOKUP($I90&amp;$F90&amp;$G90,装备属性表,装备属性计算表!AR$29,FALSE)</f>
        <v>78.39631963968111</v>
      </c>
      <c r="X90" s="14">
        <f ca="1">VLOOKUP(VLOOKUP($I90&amp;$F90&amp;$G90,装备属性表,装备属性计算表!AS$29,FALSE),定义数据!$B$13:$C$35,2,FALSE)</f>
        <v>0</v>
      </c>
      <c r="Y90" s="14">
        <f>VLOOKUP($I90&amp;$F90&amp;$G90,装备属性表,装备属性计算表!AT$29,FALSE)</f>
        <v>0</v>
      </c>
      <c r="Z90" s="14">
        <f ca="1">VLOOKUP(VLOOKUP($I90&amp;$F90&amp;$G90,装备属性表,装备属性计算表!AU$29,FALSE),定义数据!$B$13:$C$35,2,FALSE)</f>
        <v>0</v>
      </c>
      <c r="AA90" s="14">
        <f>VLOOKUP($I90&amp;$F90&amp;$G90,装备属性表,装备属性计算表!AV$29,FALSE)</f>
        <v>0</v>
      </c>
      <c r="AB90" s="14">
        <f ca="1">VLOOKUP(VLOOKUP($I90&amp;$F90&amp;$G90,装备属性表,装备属性计算表!AW$29,FALSE),定义数据!$B$13:$C$35,2,FALSE)</f>
        <v>0</v>
      </c>
      <c r="AC90" s="14">
        <f>VLOOKUP($I90&amp;$F90&amp;$G90,装备属性表,装备属性计算表!AX$29,FALSE)</f>
        <v>0</v>
      </c>
      <c r="AD90" s="14">
        <f ca="1">VLOOKUP(VLOOKUP($I90&amp;$F90&amp;$G90,装备属性表,装备属性计算表!AY$29,FALSE),定义数据!$B$13:$C$35,2,FALSE)</f>
        <v>0</v>
      </c>
      <c r="AE90" s="14">
        <f>VLOOKUP($I90&amp;$F90&amp;$G90,装备属性表,装备属性计算表!AZ$29,FALSE)</f>
        <v>0</v>
      </c>
      <c r="AF90" s="14">
        <f ca="1">VLOOKUP(VLOOKUP($I90&amp;$F90&amp;$G90,装备属性表,装备属性计算表!BA$29,FALSE),定义数据!$B$13:$C$35,2,FALSE)</f>
        <v>0</v>
      </c>
      <c r="AG90" s="14">
        <f>VLOOKUP($I90&amp;$F90&amp;$G90,装备属性表,装备属性计算表!BB$29,FALSE)</f>
        <v>0</v>
      </c>
      <c r="AH90" s="14">
        <f ca="1">VLOOKUP(VLOOKUP($I90&amp;$F90&amp;$G90,装备属性表,装备属性计算表!BC$29,FALSE),定义数据!$B$13:$C$35,2,FALSE)</f>
        <v>0</v>
      </c>
      <c r="AI90" s="14">
        <f>VLOOKUP($I90&amp;$F90&amp;$G90,装备属性表,装备属性计算表!BD$29,FALSE)</f>
        <v>0</v>
      </c>
      <c r="AJ90" s="14">
        <f ca="1">VLOOKUP(VLOOKUP($I90&amp;$F90&amp;$G90,装备属性表,装备属性计算表!BE$29,FALSE),定义数据!$B$13:$C$35,2,FALSE)</f>
        <v>0</v>
      </c>
      <c r="AK90" s="14">
        <f>VLOOKUP($I90&amp;$F90&amp;$G90,装备属性表,装备属性计算表!BF$29,FALSE)</f>
        <v>0</v>
      </c>
      <c r="AL90" t="str">
        <f t="shared" si="37"/>
        <v>勇气长靴是一件45级蓝色可升级的装备。</v>
      </c>
      <c r="AM90" t="str">
        <f>IF(D90=0,5,D90) &amp; F90&amp;"00"&amp;VLOOKUP(G90,定义数据!$F$20:$G$27,2,FALSE)&amp;".png"</f>
        <v>55004.png</v>
      </c>
      <c r="AN90" s="79">
        <f>IF(OR(G90&lt;15),0,D_装备升级表!A90)</f>
        <v>45015</v>
      </c>
      <c r="AP90">
        <f ca="1">VLOOKUP(G90&amp;I90&amp;F90,CHOOSE({1,2},装备属性计算表!$BK$32:$BK$187,装备属性计算表!$BJ$32:$BJ$187),2,FALSE)</f>
        <v>88.341086212634181</v>
      </c>
      <c r="AQ90">
        <f ca="1">AP90*'[1]0、经济设定'!$C$18</f>
        <v>4417.0543106317091</v>
      </c>
      <c r="AR90">
        <f ca="1">IFERROR(AQ90*'[1]0、经济设定'!$E$19*AU90*AS90,0)</f>
        <v>218.65624197128281</v>
      </c>
      <c r="AS90">
        <v>10</v>
      </c>
      <c r="AT90">
        <f t="shared" si="35"/>
        <v>54</v>
      </c>
      <c r="AU90">
        <f ca="1">IF(F90=0,IFERROR(AT90/AP90/'[1]0、经济设定'!$E$18,0),AU89)</f>
        <v>2.4751364438171408</v>
      </c>
      <c r="AV90">
        <f t="shared" ca="1" si="15"/>
        <v>3533.6434485053674</v>
      </c>
    </row>
    <row r="91" spans="1:48" x14ac:dyDescent="0.15">
      <c r="A91" s="14" t="str">
        <f t="shared" si="3"/>
        <v>54112</v>
      </c>
      <c r="B91" s="14" t="s">
        <v>324</v>
      </c>
      <c r="C91" s="14">
        <f>VLOOKUP($I91&amp;$F91&amp;$G91,装备属性表,装备属性计算表!AK$29,FALSE)</f>
        <v>12</v>
      </c>
      <c r="D91" s="14">
        <f t="shared" si="18"/>
        <v>0</v>
      </c>
      <c r="E91" s="14" t="str">
        <f>VLOOKUP(F91,CHOOSE({1,2},定义数据!$F$2:$F$7,武器部位),2)</f>
        <v>腰带</v>
      </c>
      <c r="F91" s="14">
        <v>4</v>
      </c>
      <c r="G91" s="14">
        <v>45</v>
      </c>
      <c r="H91" s="14">
        <f t="shared" si="7"/>
        <v>45</v>
      </c>
      <c r="I91" s="14">
        <v>1</v>
      </c>
      <c r="J91" s="14" t="str">
        <f t="shared" si="33"/>
        <v>4514</v>
      </c>
      <c r="K91" s="14" t="str">
        <f t="shared" si="34"/>
        <v>4514</v>
      </c>
      <c r="L91" s="76"/>
      <c r="M91" s="14">
        <f>IF(OR(G91&lt;15,G91=80),0,D_装备升级表!A91)</f>
        <v>45014</v>
      </c>
      <c r="N91" s="78">
        <v>1</v>
      </c>
      <c r="O91" s="14">
        <f t="shared" si="36"/>
        <v>1200</v>
      </c>
      <c r="P91" s="14"/>
      <c r="Q91" s="14">
        <f>VLOOKUP($I91&amp;$F91&amp;$G91,装备属性表,装备属性计算表!AL$29,FALSE)</f>
        <v>3</v>
      </c>
      <c r="R91" s="14">
        <f ca="1">VLOOKUP(VLOOKUP($I91&amp;$F91&amp;$G91,装备属性表,装备属性计算表!AM$29,FALSE),定义数据!$B$13:$C$35,2,FALSE)</f>
        <v>1</v>
      </c>
      <c r="S91" s="14">
        <f ca="1">VLOOKUP($I91&amp;$F91&amp;$G91,装备属性表,装备属性计算表!AN$29,FALSE)</f>
        <v>940.75583567617343</v>
      </c>
      <c r="T91" s="14">
        <f ca="1">VLOOKUP(VLOOKUP($I91&amp;$F91&amp;$G91,装备属性表,装备属性计算表!AO$29,FALSE),定义数据!$B$13:$C$35,2,FALSE)</f>
        <v>9</v>
      </c>
      <c r="U91" s="14">
        <f ca="1">VLOOKUP($I91&amp;$F91&amp;$G91,装备属性表,装备属性计算表!AP$29,FALSE)</f>
        <v>111.1111111111111</v>
      </c>
      <c r="V91" s="14">
        <f ca="1">VLOOKUP(VLOOKUP($I91&amp;$F91&amp;$G91,装备属性表,装备属性计算表!AQ$29,FALSE),定义数据!$B$13:$C$35,2,FALSE)</f>
        <v>1</v>
      </c>
      <c r="W91" s="14">
        <f ca="1">VLOOKUP($I91&amp;$F91&amp;$G91,装备属性表,装备属性计算表!AR$29,FALSE)</f>
        <v>156.79263927936222</v>
      </c>
      <c r="X91" s="14">
        <f ca="1">VLOOKUP(VLOOKUP($I91&amp;$F91&amp;$G91,装备属性表,装备属性计算表!AS$29,FALSE),定义数据!$B$13:$C$35,2,FALSE)</f>
        <v>0</v>
      </c>
      <c r="Y91" s="14">
        <f>VLOOKUP($I91&amp;$F91&amp;$G91,装备属性表,装备属性计算表!AT$29,FALSE)</f>
        <v>0</v>
      </c>
      <c r="Z91" s="14">
        <f ca="1">VLOOKUP(VLOOKUP($I91&amp;$F91&amp;$G91,装备属性表,装备属性计算表!AU$29,FALSE),定义数据!$B$13:$C$35,2,FALSE)</f>
        <v>0</v>
      </c>
      <c r="AA91" s="14">
        <f>VLOOKUP($I91&amp;$F91&amp;$G91,装备属性表,装备属性计算表!AV$29,FALSE)</f>
        <v>0</v>
      </c>
      <c r="AB91" s="14">
        <f ca="1">VLOOKUP(VLOOKUP($I91&amp;$F91&amp;$G91,装备属性表,装备属性计算表!AW$29,FALSE),定义数据!$B$13:$C$35,2,FALSE)</f>
        <v>0</v>
      </c>
      <c r="AC91" s="14">
        <f>VLOOKUP($I91&amp;$F91&amp;$G91,装备属性表,装备属性计算表!AX$29,FALSE)</f>
        <v>0</v>
      </c>
      <c r="AD91" s="14">
        <f ca="1">VLOOKUP(VLOOKUP($I91&amp;$F91&amp;$G91,装备属性表,装备属性计算表!AY$29,FALSE),定义数据!$B$13:$C$35,2,FALSE)</f>
        <v>0</v>
      </c>
      <c r="AE91" s="14">
        <f>VLOOKUP($I91&amp;$F91&amp;$G91,装备属性表,装备属性计算表!AZ$29,FALSE)</f>
        <v>0</v>
      </c>
      <c r="AF91" s="14">
        <f ca="1">VLOOKUP(VLOOKUP($I91&amp;$F91&amp;$G91,装备属性表,装备属性计算表!BA$29,FALSE),定义数据!$B$13:$C$35,2,FALSE)</f>
        <v>0</v>
      </c>
      <c r="AG91" s="14">
        <f>VLOOKUP($I91&amp;$F91&amp;$G91,装备属性表,装备属性计算表!BB$29,FALSE)</f>
        <v>0</v>
      </c>
      <c r="AH91" s="14">
        <f ca="1">VLOOKUP(VLOOKUP($I91&amp;$F91&amp;$G91,装备属性表,装备属性计算表!BC$29,FALSE),定义数据!$B$13:$C$35,2,FALSE)</f>
        <v>0</v>
      </c>
      <c r="AI91" s="14">
        <f>VLOOKUP($I91&amp;$F91&amp;$G91,装备属性表,装备属性计算表!BD$29,FALSE)</f>
        <v>0</v>
      </c>
      <c r="AJ91" s="14">
        <f ca="1">VLOOKUP(VLOOKUP($I91&amp;$F91&amp;$G91,装备属性表,装备属性计算表!BE$29,FALSE),定义数据!$B$13:$C$35,2,FALSE)</f>
        <v>0</v>
      </c>
      <c r="AK91" s="14">
        <f>VLOOKUP($I91&amp;$F91&amp;$G91,装备属性表,装备属性计算表!BF$29,FALSE)</f>
        <v>0</v>
      </c>
      <c r="AL91" t="str">
        <f t="shared" si="37"/>
        <v>勇气腰带是一件45级蓝色可升级的装备。</v>
      </c>
      <c r="AM91" t="str">
        <f>IF(D91=0,5,D91) &amp; F91&amp;"00"&amp;VLOOKUP(G91,定义数据!$F$20:$G$27,2,FALSE)&amp;".png"</f>
        <v>54004.png</v>
      </c>
      <c r="AN91" s="79">
        <f>IF(OR(G91&lt;15),0,D_装备升级表!A91)</f>
        <v>45014</v>
      </c>
      <c r="AP91">
        <f ca="1">VLOOKUP(G91&amp;I91&amp;F91,CHOOSE({1,2},装备属性计算表!$BK$32:$BK$187,装备属性计算表!$BJ$32:$BJ$187),2,FALSE)</f>
        <v>71.067671142640435</v>
      </c>
      <c r="AQ91">
        <f ca="1">AP91*'[1]0、经济设定'!$C$18</f>
        <v>3553.3835571320219</v>
      </c>
      <c r="AR91">
        <f ca="1">IFERROR(AQ91*'[1]0、经济设定'!$E$19*AU91*AS91,0)</f>
        <v>175.90218282236108</v>
      </c>
      <c r="AS91">
        <v>10</v>
      </c>
      <c r="AT91">
        <f t="shared" si="35"/>
        <v>54</v>
      </c>
      <c r="AU91">
        <f ca="1">IF(F91=0,IFERROR(AT91/AP91/'[1]0、经济设定'!$E$18,0),AU90)</f>
        <v>2.4751364438171408</v>
      </c>
      <c r="AV91">
        <f t="shared" ca="1" si="15"/>
        <v>2842.7068457056175</v>
      </c>
    </row>
    <row r="92" spans="1:48" x14ac:dyDescent="0.15">
      <c r="A92" s="14" t="str">
        <f t="shared" si="3"/>
        <v>53112</v>
      </c>
      <c r="B92" s="14" t="s">
        <v>325</v>
      </c>
      <c r="C92" s="14">
        <f>VLOOKUP($I92&amp;$F92&amp;$G92,装备属性表,装备属性计算表!AK$29,FALSE)</f>
        <v>12</v>
      </c>
      <c r="D92" s="14">
        <f t="shared" si="18"/>
        <v>0</v>
      </c>
      <c r="E92" s="14" t="str">
        <f>VLOOKUP(F92,CHOOSE({1,2},定义数据!$F$2:$F$7,武器部位),2)</f>
        <v>项链</v>
      </c>
      <c r="F92" s="14">
        <v>3</v>
      </c>
      <c r="G92" s="14">
        <v>45</v>
      </c>
      <c r="H92" s="14">
        <f t="shared" si="7"/>
        <v>45</v>
      </c>
      <c r="I92" s="14">
        <v>1</v>
      </c>
      <c r="J92" s="14" t="str">
        <f t="shared" si="33"/>
        <v>4513</v>
      </c>
      <c r="K92" s="14" t="str">
        <f t="shared" si="34"/>
        <v>4513</v>
      </c>
      <c r="L92" s="76"/>
      <c r="M92" s="14">
        <f>IF(OR(G92&lt;15,G92=80),0,D_装备升级表!A92)</f>
        <v>45013</v>
      </c>
      <c r="N92" s="78">
        <v>1</v>
      </c>
      <c r="O92" s="14">
        <f t="shared" si="36"/>
        <v>1200</v>
      </c>
      <c r="P92" s="14"/>
      <c r="Q92" s="14">
        <f>VLOOKUP($I92&amp;$F92&amp;$G92,装备属性表,装备属性计算表!AL$29,FALSE)</f>
        <v>3</v>
      </c>
      <c r="R92" s="14">
        <f ca="1">VLOOKUP(VLOOKUP($I92&amp;$F92&amp;$G92,装备属性表,装备属性计算表!AM$29,FALSE),定义数据!$B$13:$C$35,2,FALSE)</f>
        <v>2</v>
      </c>
      <c r="S92" s="14">
        <f ca="1">VLOOKUP($I92&amp;$F92&amp;$G92,装备属性表,装备属性计算表!AN$29,FALSE)</f>
        <v>59.729659893048144</v>
      </c>
      <c r="T92" s="14">
        <f ca="1">VLOOKUP(VLOOKUP($I92&amp;$F92&amp;$G92,装备属性表,装备属性计算表!AO$29,FALSE),定义数据!$B$13:$C$35,2,FALSE)</f>
        <v>6</v>
      </c>
      <c r="U92" s="14">
        <f ca="1">VLOOKUP($I92&amp;$F92&amp;$G92,装备属性表,装备属性计算表!AP$29,FALSE)</f>
        <v>187.5</v>
      </c>
      <c r="V92" s="14">
        <f ca="1">VLOOKUP(VLOOKUP($I92&amp;$F92&amp;$G92,装备属性表,装备属性计算表!AQ$29,FALSE),定义数据!$B$13:$C$35,2,FALSE)</f>
        <v>2</v>
      </c>
      <c r="W92" s="14">
        <f ca="1">VLOOKUP($I92&amp;$F92&amp;$G92,装备属性表,装备属性计算表!AR$29,FALSE)</f>
        <v>4.7783727914438519</v>
      </c>
      <c r="X92" s="14">
        <f ca="1">VLOOKUP(VLOOKUP($I92&amp;$F92&amp;$G92,装备属性表,装备属性计算表!AS$29,FALSE),定义数据!$B$13:$C$35,2,FALSE)</f>
        <v>0</v>
      </c>
      <c r="Y92" s="14">
        <f>VLOOKUP($I92&amp;$F92&amp;$G92,装备属性表,装备属性计算表!AT$29,FALSE)</f>
        <v>0</v>
      </c>
      <c r="Z92" s="14">
        <f ca="1">VLOOKUP(VLOOKUP($I92&amp;$F92&amp;$G92,装备属性表,装备属性计算表!AU$29,FALSE),定义数据!$B$13:$C$35,2,FALSE)</f>
        <v>0</v>
      </c>
      <c r="AA92" s="14">
        <f>VLOOKUP($I92&amp;$F92&amp;$G92,装备属性表,装备属性计算表!AV$29,FALSE)</f>
        <v>0</v>
      </c>
      <c r="AB92" s="14">
        <f ca="1">VLOOKUP(VLOOKUP($I92&amp;$F92&amp;$G92,装备属性表,装备属性计算表!AW$29,FALSE),定义数据!$B$13:$C$35,2,FALSE)</f>
        <v>0</v>
      </c>
      <c r="AC92" s="14">
        <f>VLOOKUP($I92&amp;$F92&amp;$G92,装备属性表,装备属性计算表!AX$29,FALSE)</f>
        <v>0</v>
      </c>
      <c r="AD92" s="14">
        <f ca="1">VLOOKUP(VLOOKUP($I92&amp;$F92&amp;$G92,装备属性表,装备属性计算表!AY$29,FALSE),定义数据!$B$13:$C$35,2,FALSE)</f>
        <v>0</v>
      </c>
      <c r="AE92" s="14">
        <f>VLOOKUP($I92&amp;$F92&amp;$G92,装备属性表,装备属性计算表!AZ$29,FALSE)</f>
        <v>0</v>
      </c>
      <c r="AF92" s="14">
        <f ca="1">VLOOKUP(VLOOKUP($I92&amp;$F92&amp;$G92,装备属性表,装备属性计算表!BA$29,FALSE),定义数据!$B$13:$C$35,2,FALSE)</f>
        <v>0</v>
      </c>
      <c r="AG92" s="14">
        <f>VLOOKUP($I92&amp;$F92&amp;$G92,装备属性表,装备属性计算表!BB$29,FALSE)</f>
        <v>0</v>
      </c>
      <c r="AH92" s="14">
        <f ca="1">VLOOKUP(VLOOKUP($I92&amp;$F92&amp;$G92,装备属性表,装备属性计算表!BC$29,FALSE),定义数据!$B$13:$C$35,2,FALSE)</f>
        <v>0</v>
      </c>
      <c r="AI92" s="14">
        <f>VLOOKUP($I92&amp;$F92&amp;$G92,装备属性表,装备属性计算表!BD$29,FALSE)</f>
        <v>0</v>
      </c>
      <c r="AJ92" s="14">
        <f ca="1">VLOOKUP(VLOOKUP($I92&amp;$F92&amp;$G92,装备属性表,装备属性计算表!BE$29,FALSE),定义数据!$B$13:$C$35,2,FALSE)</f>
        <v>0</v>
      </c>
      <c r="AK92" s="14">
        <f>VLOOKUP($I92&amp;$F92&amp;$G92,装备属性表,装备属性计算表!BF$29,FALSE)</f>
        <v>0</v>
      </c>
      <c r="AL92" t="str">
        <f t="shared" si="37"/>
        <v>勇气项链是一件45级蓝色可升级的装备。</v>
      </c>
      <c r="AM92" t="str">
        <f>IF(D92=0,5,D92) &amp; F92&amp;"00"&amp;VLOOKUP(G92,定义数据!$F$20:$G$27,2,FALSE)&amp;".png"</f>
        <v>53004.png</v>
      </c>
      <c r="AN92" s="79">
        <f>IF(OR(G92&lt;15),0,D_装备升级表!A92)</f>
        <v>45013</v>
      </c>
      <c r="AP92">
        <f ca="1">VLOOKUP(G92&amp;I92&amp;F92,CHOOSE({1,2},装备属性计算表!$BK$32:$BK$187,装备属性计算表!$BJ$32:$BJ$187),2,FALSE)</f>
        <v>132.458032684492</v>
      </c>
      <c r="AQ92">
        <f ca="1">AP92*'[1]0、经济设定'!$C$18</f>
        <v>6622.9016342245995</v>
      </c>
      <c r="AR92">
        <f ca="1">IFERROR(AQ92*'[1]0、经济设定'!$E$19*AU92*AS92,0)</f>
        <v>327.85170397370814</v>
      </c>
      <c r="AS92">
        <v>10</v>
      </c>
      <c r="AT92">
        <f t="shared" si="35"/>
        <v>54</v>
      </c>
      <c r="AU92">
        <f ca="1">IF(F92=0,IFERROR(AT92/AP92/'[1]0、经济设定'!$E$18,0),AU91)</f>
        <v>2.4751364438171408</v>
      </c>
      <c r="AV92">
        <f t="shared" ca="1" si="15"/>
        <v>5298.3213073796796</v>
      </c>
    </row>
    <row r="93" spans="1:48" x14ac:dyDescent="0.15">
      <c r="A93" s="14" t="str">
        <f t="shared" si="3"/>
        <v>10213</v>
      </c>
      <c r="B93" s="14" t="s">
        <v>210</v>
      </c>
      <c r="C93" s="14">
        <f>VLOOKUP($I93&amp;$F93&amp;$G93,装备属性表,装备属性计算表!AK$29,FALSE)</f>
        <v>13</v>
      </c>
      <c r="D93" s="14">
        <f t="shared" ref="D93:D100" si="38">D61</f>
        <v>1</v>
      </c>
      <c r="E93" s="14" t="str">
        <f>VLOOKUP(F93,CHOOSE({1,2},定义数据!$F$2:$F$7,武器部位),2)</f>
        <v>武器</v>
      </c>
      <c r="F93" s="14">
        <v>0</v>
      </c>
      <c r="G93" s="14">
        <v>45</v>
      </c>
      <c r="H93" s="14">
        <f t="shared" si="7"/>
        <v>45</v>
      </c>
      <c r="I93" s="14">
        <v>2</v>
      </c>
      <c r="J93" s="14" t="str">
        <f t="shared" si="8"/>
        <v>4520</v>
      </c>
      <c r="K93" s="14" t="str">
        <f t="shared" si="9"/>
        <v>4520</v>
      </c>
      <c r="L93" s="76"/>
      <c r="M93" s="14">
        <f>IF(OR(G93&lt;15,G93=80),0,D_装备升级表!A93)</f>
        <v>45120</v>
      </c>
      <c r="N93" s="78">
        <v>1</v>
      </c>
      <c r="O93" s="14">
        <f t="shared" si="36"/>
        <v>1300</v>
      </c>
      <c r="P93" s="14"/>
      <c r="Q93" s="14">
        <f>VLOOKUP($I93&amp;$F93&amp;$G93,装备属性表,装备属性计算表!AL$29,FALSE)</f>
        <v>4</v>
      </c>
      <c r="R93" s="14">
        <f ca="1">VLOOKUP(VLOOKUP($I93&amp;$F93&amp;$G93,装备属性表,装备属性计算表!AM$29,FALSE),定义数据!$B$13:$C$35,2,FALSE)</f>
        <v>2</v>
      </c>
      <c r="S93" s="14">
        <f ca="1">VLOOKUP($I93&amp;$F93&amp;$G93,装备属性表,装备属性计算表!AN$29,FALSE)</f>
        <v>232.94567358288779</v>
      </c>
      <c r="T93" s="14">
        <f ca="1">VLOOKUP(VLOOKUP($I93&amp;$F93&amp;$G93,装备属性表,装备属性计算表!AO$29,FALSE),定义数据!$B$13:$C$35,2,FALSE)</f>
        <v>8</v>
      </c>
      <c r="U93" s="14">
        <f ca="1">VLOOKUP($I93&amp;$F93&amp;$G93,装备属性表,装备属性计算表!AP$29,FALSE)</f>
        <v>144.44444444444446</v>
      </c>
      <c r="V93" s="14">
        <f ca="1">VLOOKUP(VLOOKUP($I93&amp;$F93&amp;$G93,装备属性表,装备属性计算表!AQ$29,FALSE),定义数据!$B$13:$C$35,2,FALSE)</f>
        <v>2</v>
      </c>
      <c r="W93" s="14">
        <f ca="1">VLOOKUP($I93&amp;$F93&amp;$G93,装备属性表,装备属性计算表!AR$29,FALSE)</f>
        <v>41.412564192513386</v>
      </c>
      <c r="X93" s="14">
        <f ca="1">VLOOKUP(VLOOKUP($I93&amp;$F93&amp;$G93,装备属性表,装备属性计算表!AS$29,FALSE),定义数据!$B$13:$C$35,2,FALSE)</f>
        <v>3</v>
      </c>
      <c r="Y93" s="14">
        <f ca="1">VLOOKUP($I93&amp;$F93&amp;$G93,装备属性表,装备属性计算表!AT$29,FALSE)</f>
        <v>4.9708899826689779</v>
      </c>
      <c r="Z93" s="14">
        <f ca="1">VLOOKUP(VLOOKUP($I93&amp;$F93&amp;$G93,装备属性表,装备属性计算表!AU$29,FALSE),定义数据!$B$13:$C$35,2,FALSE)</f>
        <v>0</v>
      </c>
      <c r="AA93" s="14">
        <f>VLOOKUP($I93&amp;$F93&amp;$G93,装备属性表,装备属性计算表!AV$29,FALSE)</f>
        <v>0</v>
      </c>
      <c r="AB93" s="14">
        <f ca="1">VLOOKUP(VLOOKUP($I93&amp;$F93&amp;$G93,装备属性表,装备属性计算表!AW$29,FALSE),定义数据!$B$13:$C$35,2,FALSE)</f>
        <v>0</v>
      </c>
      <c r="AC93" s="14">
        <f>VLOOKUP($I93&amp;$F93&amp;$G93,装备属性表,装备属性计算表!AX$29,FALSE)</f>
        <v>0</v>
      </c>
      <c r="AD93" s="14">
        <f ca="1">VLOOKUP(VLOOKUP($I93&amp;$F93&amp;$G93,装备属性表,装备属性计算表!AY$29,FALSE),定义数据!$B$13:$C$35,2,FALSE)</f>
        <v>0</v>
      </c>
      <c r="AE93" s="14">
        <f>VLOOKUP($I93&amp;$F93&amp;$G93,装备属性表,装备属性计算表!AZ$29,FALSE)</f>
        <v>0</v>
      </c>
      <c r="AF93" s="14">
        <f ca="1">VLOOKUP(VLOOKUP($I93&amp;$F93&amp;$G93,装备属性表,装备属性计算表!BA$29,FALSE),定义数据!$B$13:$C$35,2,FALSE)</f>
        <v>0</v>
      </c>
      <c r="AG93" s="14">
        <f>VLOOKUP($I93&amp;$F93&amp;$G93,装备属性表,装备属性计算表!BB$29,FALSE)</f>
        <v>0</v>
      </c>
      <c r="AH93" s="14">
        <f ca="1">VLOOKUP(VLOOKUP($I93&amp;$F93&amp;$G93,装备属性表,装备属性计算表!BC$29,FALSE),定义数据!$B$13:$C$35,2,FALSE)</f>
        <v>0</v>
      </c>
      <c r="AI93" s="14">
        <f>VLOOKUP($I93&amp;$F93&amp;$G93,装备属性表,装备属性计算表!BD$29,FALSE)</f>
        <v>0</v>
      </c>
      <c r="AJ93" s="14">
        <f ca="1">VLOOKUP(VLOOKUP($I93&amp;$F93&amp;$G93,装备属性表,装备属性计算表!BE$29,FALSE),定义数据!$B$13:$C$35,2,FALSE)</f>
        <v>0</v>
      </c>
      <c r="AK93" s="14">
        <f>VLOOKUP($I93&amp;$F93&amp;$G93,装备属性表,装备属性计算表!BF$29,FALSE)</f>
        <v>0</v>
      </c>
      <c r="AL93" t="str">
        <f t="shared" si="37"/>
        <v>暗羽霸刀是一件45级紫色可升级的装备。</v>
      </c>
      <c r="AM93" t="str">
        <f>IF(D93=0,5,D93) &amp; F93&amp;"00"&amp;VLOOKUP(G93,定义数据!$F$20:$G$27,2,FALSE)&amp;".png"</f>
        <v>10004.png</v>
      </c>
      <c r="AN93" s="79">
        <f>IF(OR(G93&lt;15),0,D_装备升级表!A93)</f>
        <v>45120</v>
      </c>
      <c r="AP93">
        <f ca="1">VLOOKUP(G93&amp;I93&amp;F93,CHOOSE({1,2},装备属性计算表!$BK$32:$BK$187,装备属性计算表!$BJ$32:$BJ$187),2,FALSE)</f>
        <v>313.77912775807016</v>
      </c>
      <c r="AQ93">
        <f ca="1">AP93*'[1]0、经济设定'!$C$18</f>
        <v>15688.956387903509</v>
      </c>
      <c r="AR93">
        <f ca="1">IFERROR(AQ93*'[1]0、经济设定'!$E$19*AU93*AS93,0)</f>
        <v>1080.0000000000002</v>
      </c>
      <c r="AS93">
        <v>10</v>
      </c>
      <c r="AT93">
        <f t="shared" si="35"/>
        <v>108</v>
      </c>
      <c r="AU93">
        <f ca="1">IF(F93=0,IFERROR(AT93/AP93/'[1]0、经济设定'!$E$18,0),AU92)</f>
        <v>3.4419115373177438</v>
      </c>
      <c r="AV93">
        <f t="shared" ca="1" si="15"/>
        <v>12551.165110322807</v>
      </c>
    </row>
    <row r="94" spans="1:48" x14ac:dyDescent="0.15">
      <c r="A94" s="14" t="str">
        <f t="shared" si="3"/>
        <v>20213</v>
      </c>
      <c r="B94" s="14" t="s">
        <v>211</v>
      </c>
      <c r="C94" s="14">
        <f>VLOOKUP($I94&amp;$F94&amp;$G94,装备属性表,装备属性计算表!AK$29,FALSE)</f>
        <v>13</v>
      </c>
      <c r="D94" s="14">
        <f t="shared" si="38"/>
        <v>2</v>
      </c>
      <c r="E94" s="14" t="str">
        <f>VLOOKUP(F94,CHOOSE({1,2},定义数据!$F$2:$F$7,武器部位),2)</f>
        <v>武器</v>
      </c>
      <c r="F94" s="14">
        <v>0</v>
      </c>
      <c r="G94" s="14">
        <v>45</v>
      </c>
      <c r="H94" s="14">
        <f t="shared" si="7"/>
        <v>45</v>
      </c>
      <c r="I94" s="14">
        <v>2</v>
      </c>
      <c r="J94" s="14" t="str">
        <f t="shared" si="8"/>
        <v>4520</v>
      </c>
      <c r="K94" s="14" t="str">
        <f t="shared" si="9"/>
        <v>4520</v>
      </c>
      <c r="L94" s="76"/>
      <c r="M94" s="14">
        <f>IF(OR(G94&lt;15,G94=80),0,D_装备升级表!A94)</f>
        <v>45220</v>
      </c>
      <c r="N94" s="78">
        <v>1</v>
      </c>
      <c r="O94" s="14">
        <f t="shared" si="36"/>
        <v>1300</v>
      </c>
      <c r="P94" s="14"/>
      <c r="Q94" s="14">
        <f>VLOOKUP($I94&amp;$F94&amp;$G94,装备属性表,装备属性计算表!AL$29,FALSE)</f>
        <v>4</v>
      </c>
      <c r="R94" s="14">
        <f ca="1">VLOOKUP(VLOOKUP($I94&amp;$F94&amp;$G94,装备属性表,装备属性计算表!AM$29,FALSE),定义数据!$B$13:$C$35,2,FALSE)</f>
        <v>2</v>
      </c>
      <c r="S94" s="14">
        <f ca="1">VLOOKUP($I94&amp;$F94&amp;$G94,装备属性表,装备属性计算表!AN$29,FALSE)</f>
        <v>232.94567358288779</v>
      </c>
      <c r="T94" s="14">
        <f ca="1">VLOOKUP(VLOOKUP($I94&amp;$F94&amp;$G94,装备属性表,装备属性计算表!AO$29,FALSE),定义数据!$B$13:$C$35,2,FALSE)</f>
        <v>8</v>
      </c>
      <c r="U94" s="14">
        <f ca="1">VLOOKUP($I94&amp;$F94&amp;$G94,装备属性表,装备属性计算表!AP$29,FALSE)</f>
        <v>144.44444444444446</v>
      </c>
      <c r="V94" s="14">
        <f ca="1">VLOOKUP(VLOOKUP($I94&amp;$F94&amp;$G94,装备属性表,装备属性计算表!AQ$29,FALSE),定义数据!$B$13:$C$35,2,FALSE)</f>
        <v>2</v>
      </c>
      <c r="W94" s="14">
        <f ca="1">VLOOKUP($I94&amp;$F94&amp;$G94,装备属性表,装备属性计算表!AR$29,FALSE)</f>
        <v>41.412564192513386</v>
      </c>
      <c r="X94" s="14">
        <f ca="1">VLOOKUP(VLOOKUP($I94&amp;$F94&amp;$G94,装备属性表,装备属性计算表!AS$29,FALSE),定义数据!$B$13:$C$35,2,FALSE)</f>
        <v>3</v>
      </c>
      <c r="Y94" s="14">
        <f ca="1">VLOOKUP($I94&amp;$F94&amp;$G94,装备属性表,装备属性计算表!AT$29,FALSE)</f>
        <v>4.9708899826689779</v>
      </c>
      <c r="Z94" s="14">
        <f ca="1">VLOOKUP(VLOOKUP($I94&amp;$F94&amp;$G94,装备属性表,装备属性计算表!AU$29,FALSE),定义数据!$B$13:$C$35,2,FALSE)</f>
        <v>0</v>
      </c>
      <c r="AA94" s="14">
        <f>VLOOKUP($I94&amp;$F94&amp;$G94,装备属性表,装备属性计算表!AV$29,FALSE)</f>
        <v>0</v>
      </c>
      <c r="AB94" s="14">
        <f ca="1">VLOOKUP(VLOOKUP($I94&amp;$F94&amp;$G94,装备属性表,装备属性计算表!AW$29,FALSE),定义数据!$B$13:$C$35,2,FALSE)</f>
        <v>0</v>
      </c>
      <c r="AC94" s="14">
        <f>VLOOKUP($I94&amp;$F94&amp;$G94,装备属性表,装备属性计算表!AX$29,FALSE)</f>
        <v>0</v>
      </c>
      <c r="AD94" s="14">
        <f ca="1">VLOOKUP(VLOOKUP($I94&amp;$F94&amp;$G94,装备属性表,装备属性计算表!AY$29,FALSE),定义数据!$B$13:$C$35,2,FALSE)</f>
        <v>0</v>
      </c>
      <c r="AE94" s="14">
        <f>VLOOKUP($I94&amp;$F94&amp;$G94,装备属性表,装备属性计算表!AZ$29,FALSE)</f>
        <v>0</v>
      </c>
      <c r="AF94" s="14">
        <f ca="1">VLOOKUP(VLOOKUP($I94&amp;$F94&amp;$G94,装备属性表,装备属性计算表!BA$29,FALSE),定义数据!$B$13:$C$35,2,FALSE)</f>
        <v>0</v>
      </c>
      <c r="AG94" s="14">
        <f>VLOOKUP($I94&amp;$F94&amp;$G94,装备属性表,装备属性计算表!BB$29,FALSE)</f>
        <v>0</v>
      </c>
      <c r="AH94" s="14">
        <f ca="1">VLOOKUP(VLOOKUP($I94&amp;$F94&amp;$G94,装备属性表,装备属性计算表!BC$29,FALSE),定义数据!$B$13:$C$35,2,FALSE)</f>
        <v>0</v>
      </c>
      <c r="AI94" s="14">
        <f>VLOOKUP($I94&amp;$F94&amp;$G94,装备属性表,装备属性计算表!BD$29,FALSE)</f>
        <v>0</v>
      </c>
      <c r="AJ94" s="14">
        <f ca="1">VLOOKUP(VLOOKUP($I94&amp;$F94&amp;$G94,装备属性表,装备属性计算表!BE$29,FALSE),定义数据!$B$13:$C$35,2,FALSE)</f>
        <v>0</v>
      </c>
      <c r="AK94" s="14">
        <f>VLOOKUP($I94&amp;$F94&amp;$G94,装备属性表,装备属性计算表!BF$29,FALSE)</f>
        <v>0</v>
      </c>
      <c r="AL94" t="str">
        <f t="shared" si="37"/>
        <v>暗羽之拳是一件45级紫色可升级的装备。</v>
      </c>
      <c r="AM94" t="str">
        <f>IF(D94=0,5,D94) &amp; F94&amp;"00"&amp;VLOOKUP(G94,定义数据!$F$20:$G$27,2,FALSE)&amp;".png"</f>
        <v>20004.png</v>
      </c>
      <c r="AN94" s="79">
        <f>IF(OR(G94&lt;15),0,D_装备升级表!A94)</f>
        <v>45220</v>
      </c>
      <c r="AP94">
        <f ca="1">VLOOKUP(G94&amp;I94&amp;F94,CHOOSE({1,2},装备属性计算表!$BK$32:$BK$187,装备属性计算表!$BJ$32:$BJ$187),2,FALSE)</f>
        <v>313.77912775807016</v>
      </c>
      <c r="AQ94">
        <f ca="1">AP94*'[1]0、经济设定'!$C$18</f>
        <v>15688.956387903509</v>
      </c>
      <c r="AR94">
        <f ca="1">IFERROR(AQ94*'[1]0、经济设定'!$E$19*AU94*AS94,0)</f>
        <v>1080.0000000000002</v>
      </c>
      <c r="AS94">
        <v>10</v>
      </c>
      <c r="AT94">
        <f t="shared" si="35"/>
        <v>108</v>
      </c>
      <c r="AU94">
        <f ca="1">IF(F94=0,IFERROR(AT94/AP94/'[1]0、经济设定'!$E$18,0),AU93)</f>
        <v>3.4419115373177438</v>
      </c>
      <c r="AV94">
        <f t="shared" ca="1" si="15"/>
        <v>12551.165110322807</v>
      </c>
    </row>
    <row r="95" spans="1:48" x14ac:dyDescent="0.15">
      <c r="A95" s="14" t="str">
        <f t="shared" si="3"/>
        <v>30213</v>
      </c>
      <c r="B95" s="14" t="s">
        <v>560</v>
      </c>
      <c r="C95" s="14">
        <f>VLOOKUP($I95&amp;$F95&amp;$G95,装备属性表,装备属性计算表!AK$29,FALSE)</f>
        <v>13</v>
      </c>
      <c r="D95" s="14">
        <f t="shared" si="38"/>
        <v>3</v>
      </c>
      <c r="E95" s="14" t="str">
        <f>VLOOKUP(F95,CHOOSE({1,2},定义数据!$F$2:$F$7,武器部位),2)</f>
        <v>武器</v>
      </c>
      <c r="F95" s="14">
        <v>0</v>
      </c>
      <c r="G95" s="14">
        <v>45</v>
      </c>
      <c r="H95" s="14">
        <f t="shared" si="7"/>
        <v>45</v>
      </c>
      <c r="I95" s="14">
        <v>2</v>
      </c>
      <c r="J95" s="14" t="str">
        <f t="shared" si="8"/>
        <v>4520</v>
      </c>
      <c r="K95" s="14" t="str">
        <f t="shared" si="9"/>
        <v>4520</v>
      </c>
      <c r="L95" s="76"/>
      <c r="M95" s="14">
        <f>IF(OR(G95&lt;15,G95=80),0,D_装备升级表!A95)</f>
        <v>45320</v>
      </c>
      <c r="N95" s="78">
        <v>1</v>
      </c>
      <c r="O95" s="14">
        <f t="shared" si="36"/>
        <v>1300</v>
      </c>
      <c r="P95" s="14"/>
      <c r="Q95" s="14">
        <f>VLOOKUP($I95&amp;$F95&amp;$G95,装备属性表,装备属性计算表!AL$29,FALSE)</f>
        <v>4</v>
      </c>
      <c r="R95" s="14">
        <f ca="1">VLOOKUP(VLOOKUP($I95&amp;$F95&amp;$G95,装备属性表,装备属性计算表!AM$29,FALSE),定义数据!$B$13:$C$35,2,FALSE)</f>
        <v>2</v>
      </c>
      <c r="S95" s="14">
        <f ca="1">VLOOKUP($I95&amp;$F95&amp;$G95,装备属性表,装备属性计算表!AN$29,FALSE)</f>
        <v>232.94567358288779</v>
      </c>
      <c r="T95" s="14">
        <f ca="1">VLOOKUP(VLOOKUP($I95&amp;$F95&amp;$G95,装备属性表,装备属性计算表!AO$29,FALSE),定义数据!$B$13:$C$35,2,FALSE)</f>
        <v>8</v>
      </c>
      <c r="U95" s="14">
        <f ca="1">VLOOKUP($I95&amp;$F95&amp;$G95,装备属性表,装备属性计算表!AP$29,FALSE)</f>
        <v>144.44444444444446</v>
      </c>
      <c r="V95" s="14">
        <f ca="1">VLOOKUP(VLOOKUP($I95&amp;$F95&amp;$G95,装备属性表,装备属性计算表!AQ$29,FALSE),定义数据!$B$13:$C$35,2,FALSE)</f>
        <v>2</v>
      </c>
      <c r="W95" s="14">
        <f ca="1">VLOOKUP($I95&amp;$F95&amp;$G95,装备属性表,装备属性计算表!AR$29,FALSE)</f>
        <v>41.412564192513386</v>
      </c>
      <c r="X95" s="14">
        <f ca="1">VLOOKUP(VLOOKUP($I95&amp;$F95&amp;$G95,装备属性表,装备属性计算表!AS$29,FALSE),定义数据!$B$13:$C$35,2,FALSE)</f>
        <v>3</v>
      </c>
      <c r="Y95" s="14">
        <f ca="1">VLOOKUP($I95&amp;$F95&amp;$G95,装备属性表,装备属性计算表!AT$29,FALSE)</f>
        <v>4.9708899826689779</v>
      </c>
      <c r="Z95" s="14">
        <f ca="1">VLOOKUP(VLOOKUP($I95&amp;$F95&amp;$G95,装备属性表,装备属性计算表!AU$29,FALSE),定义数据!$B$13:$C$35,2,FALSE)</f>
        <v>0</v>
      </c>
      <c r="AA95" s="14">
        <f>VLOOKUP($I95&amp;$F95&amp;$G95,装备属性表,装备属性计算表!AV$29,FALSE)</f>
        <v>0</v>
      </c>
      <c r="AB95" s="14">
        <f ca="1">VLOOKUP(VLOOKUP($I95&amp;$F95&amp;$G95,装备属性表,装备属性计算表!AW$29,FALSE),定义数据!$B$13:$C$35,2,FALSE)</f>
        <v>0</v>
      </c>
      <c r="AC95" s="14">
        <f>VLOOKUP($I95&amp;$F95&amp;$G95,装备属性表,装备属性计算表!AX$29,FALSE)</f>
        <v>0</v>
      </c>
      <c r="AD95" s="14">
        <f ca="1">VLOOKUP(VLOOKUP($I95&amp;$F95&amp;$G95,装备属性表,装备属性计算表!AY$29,FALSE),定义数据!$B$13:$C$35,2,FALSE)</f>
        <v>0</v>
      </c>
      <c r="AE95" s="14">
        <f>VLOOKUP($I95&amp;$F95&amp;$G95,装备属性表,装备属性计算表!AZ$29,FALSE)</f>
        <v>0</v>
      </c>
      <c r="AF95" s="14">
        <f ca="1">VLOOKUP(VLOOKUP($I95&amp;$F95&amp;$G95,装备属性表,装备属性计算表!BA$29,FALSE),定义数据!$B$13:$C$35,2,FALSE)</f>
        <v>0</v>
      </c>
      <c r="AG95" s="14">
        <f>VLOOKUP($I95&amp;$F95&amp;$G95,装备属性表,装备属性计算表!BB$29,FALSE)</f>
        <v>0</v>
      </c>
      <c r="AH95" s="14">
        <f ca="1">VLOOKUP(VLOOKUP($I95&amp;$F95&amp;$G95,装备属性表,装备属性计算表!BC$29,FALSE),定义数据!$B$13:$C$35,2,FALSE)</f>
        <v>0</v>
      </c>
      <c r="AI95" s="14">
        <f>VLOOKUP($I95&amp;$F95&amp;$G95,装备属性表,装备属性计算表!BD$29,FALSE)</f>
        <v>0</v>
      </c>
      <c r="AJ95" s="14">
        <f ca="1">VLOOKUP(VLOOKUP($I95&amp;$F95&amp;$G95,装备属性表,装备属性计算表!BE$29,FALSE),定义数据!$B$13:$C$35,2,FALSE)</f>
        <v>0</v>
      </c>
      <c r="AK95" s="14">
        <f>VLOOKUP($I95&amp;$F95&amp;$G95,装备属性表,装备属性计算表!BF$29,FALSE)</f>
        <v>0</v>
      </c>
      <c r="AL95" t="str">
        <f t="shared" si="37"/>
        <v>暗羽之枪是一件45级紫色可升级的装备。</v>
      </c>
      <c r="AM95" t="str">
        <f>IF(D95=0,5,D95) &amp; F95&amp;"00"&amp;VLOOKUP(G95,定义数据!$F$20:$G$27,2,FALSE)&amp;".png"</f>
        <v>30004.png</v>
      </c>
      <c r="AN95" s="79">
        <f>IF(OR(G95&lt;15),0,D_装备升级表!A95)</f>
        <v>45320</v>
      </c>
      <c r="AP95">
        <f ca="1">VLOOKUP(G95&amp;I95&amp;F95,CHOOSE({1,2},装备属性计算表!$BK$32:$BK$187,装备属性计算表!$BJ$32:$BJ$187),2,FALSE)</f>
        <v>313.77912775807016</v>
      </c>
      <c r="AQ95">
        <f ca="1">AP95*'[1]0、经济设定'!$C$18</f>
        <v>15688.956387903509</v>
      </c>
      <c r="AR95">
        <f ca="1">IFERROR(AQ95*'[1]0、经济设定'!$E$19*AU95*AS95,0)</f>
        <v>1080.0000000000002</v>
      </c>
      <c r="AS95">
        <v>10</v>
      </c>
      <c r="AT95">
        <f t="shared" si="35"/>
        <v>108</v>
      </c>
      <c r="AU95">
        <f ca="1">IF(F95=0,IFERROR(AT95/AP95/'[1]0、经济设定'!$E$18,0),AU94)</f>
        <v>3.4419115373177438</v>
      </c>
      <c r="AV95">
        <f t="shared" ca="1" si="15"/>
        <v>12551.165110322807</v>
      </c>
    </row>
    <row r="96" spans="1:48" x14ac:dyDescent="0.15">
      <c r="A96" s="14" t="str">
        <f t="shared" si="3"/>
        <v>51213</v>
      </c>
      <c r="B96" s="14" t="s">
        <v>561</v>
      </c>
      <c r="C96" s="14">
        <f>VLOOKUP($I96&amp;$F96&amp;$G96,装备属性表,装备属性计算表!AK$29,FALSE)</f>
        <v>13</v>
      </c>
      <c r="D96" s="14">
        <f t="shared" si="38"/>
        <v>0</v>
      </c>
      <c r="E96" s="14" t="str">
        <f>VLOOKUP(F96,CHOOSE({1,2},定义数据!$F$2:$F$7,武器部位),2)</f>
        <v>衣服</v>
      </c>
      <c r="F96" s="14">
        <v>1</v>
      </c>
      <c r="G96" s="14">
        <v>45</v>
      </c>
      <c r="H96" s="14">
        <f t="shared" si="7"/>
        <v>45</v>
      </c>
      <c r="I96" s="14">
        <v>2</v>
      </c>
      <c r="J96" s="14" t="str">
        <f t="shared" si="8"/>
        <v>4521</v>
      </c>
      <c r="K96" s="14" t="str">
        <f t="shared" si="9"/>
        <v>4521</v>
      </c>
      <c r="L96" s="76"/>
      <c r="M96" s="14">
        <f>IF(OR(G96&lt;15,G96=80),0,D_装备升级表!A96)</f>
        <v>45021</v>
      </c>
      <c r="N96" s="78">
        <v>1</v>
      </c>
      <c r="O96" s="14">
        <f t="shared" si="36"/>
        <v>1300</v>
      </c>
      <c r="P96" s="14"/>
      <c r="Q96" s="14">
        <f>VLOOKUP($I96&amp;$F96&amp;$G96,装备属性表,装备属性计算表!AL$29,FALSE)</f>
        <v>4</v>
      </c>
      <c r="R96" s="14">
        <f ca="1">VLOOKUP(VLOOKUP($I96&amp;$F96&amp;$G96,装备属性表,装备属性计算表!AM$29,FALSE),定义数据!$B$13:$C$35,2,FALSE)</f>
        <v>1</v>
      </c>
      <c r="S96" s="14">
        <f ca="1">VLOOKUP($I96&amp;$F96&amp;$G96,装备属性表,装备属性计算表!AN$29,FALSE)</f>
        <v>3668.9477591370764</v>
      </c>
      <c r="T96" s="14">
        <f ca="1">VLOOKUP(VLOOKUP($I96&amp;$F96&amp;$G96,装备属性表,装备属性计算表!AO$29,FALSE),定义数据!$B$13:$C$35,2,FALSE)</f>
        <v>3</v>
      </c>
      <c r="U96" s="14">
        <f ca="1">VLOOKUP($I96&amp;$F96&amp;$G96,装备属性表,装备属性计算表!AP$29,FALSE)</f>
        <v>80.528417719237439</v>
      </c>
      <c r="V96" s="14">
        <f ca="1">VLOOKUP(VLOOKUP($I96&amp;$F96&amp;$G96,装备属性表,装备属性计算表!AQ$29,FALSE),定义数据!$B$13:$C$35,2,FALSE)</f>
        <v>1</v>
      </c>
      <c r="W96" s="14">
        <f ca="1">VLOOKUP($I96&amp;$F96&amp;$G96,装备属性表,装备属性计算表!AR$29,FALSE)</f>
        <v>452.95651347371313</v>
      </c>
      <c r="X96" s="14">
        <f ca="1">VLOOKUP(VLOOKUP($I96&amp;$F96&amp;$G96,装备属性表,装备属性计算表!AS$29,FALSE),定义数据!$B$13:$C$35,2,FALSE)</f>
        <v>3</v>
      </c>
      <c r="Y96" s="14">
        <f ca="1">VLOOKUP($I96&amp;$F96&amp;$G96,装备属性表,装备属性计算表!AT$29,FALSE)</f>
        <v>14.912669948006934</v>
      </c>
      <c r="Z96" s="14">
        <f ca="1">VLOOKUP(VLOOKUP($I96&amp;$F96&amp;$G96,装备属性表,装备属性计算表!AU$29,FALSE),定义数据!$B$13:$C$35,2,FALSE)</f>
        <v>0</v>
      </c>
      <c r="AA96" s="14">
        <f>VLOOKUP($I96&amp;$F96&amp;$G96,装备属性表,装备属性计算表!AV$29,FALSE)</f>
        <v>0</v>
      </c>
      <c r="AB96" s="14">
        <f ca="1">VLOOKUP(VLOOKUP($I96&amp;$F96&amp;$G96,装备属性表,装备属性计算表!AW$29,FALSE),定义数据!$B$13:$C$35,2,FALSE)</f>
        <v>0</v>
      </c>
      <c r="AC96" s="14">
        <f>VLOOKUP($I96&amp;$F96&amp;$G96,装备属性表,装备属性计算表!AX$29,FALSE)</f>
        <v>0</v>
      </c>
      <c r="AD96" s="14">
        <f ca="1">VLOOKUP(VLOOKUP($I96&amp;$F96&amp;$G96,装备属性表,装备属性计算表!AY$29,FALSE),定义数据!$B$13:$C$35,2,FALSE)</f>
        <v>0</v>
      </c>
      <c r="AE96" s="14">
        <f>VLOOKUP($I96&amp;$F96&amp;$G96,装备属性表,装备属性计算表!AZ$29,FALSE)</f>
        <v>0</v>
      </c>
      <c r="AF96" s="14">
        <f ca="1">VLOOKUP(VLOOKUP($I96&amp;$F96&amp;$G96,装备属性表,装备属性计算表!BA$29,FALSE),定义数据!$B$13:$C$35,2,FALSE)</f>
        <v>0</v>
      </c>
      <c r="AG96" s="14">
        <f>VLOOKUP($I96&amp;$F96&amp;$G96,装备属性表,装备属性计算表!BB$29,FALSE)</f>
        <v>0</v>
      </c>
      <c r="AH96" s="14">
        <f ca="1">VLOOKUP(VLOOKUP($I96&amp;$F96&amp;$G96,装备属性表,装备属性计算表!BC$29,FALSE),定义数据!$B$13:$C$35,2,FALSE)</f>
        <v>0</v>
      </c>
      <c r="AI96" s="14">
        <f>VLOOKUP($I96&amp;$F96&amp;$G96,装备属性表,装备属性计算表!BD$29,FALSE)</f>
        <v>0</v>
      </c>
      <c r="AJ96" s="14">
        <f ca="1">VLOOKUP(VLOOKUP($I96&amp;$F96&amp;$G96,装备属性表,装备属性计算表!BE$29,FALSE),定义数据!$B$13:$C$35,2,FALSE)</f>
        <v>0</v>
      </c>
      <c r="AK96" s="14">
        <f>VLOOKUP($I96&amp;$F96&amp;$G96,装备属性表,装备属性计算表!BF$29,FALSE)</f>
        <v>0</v>
      </c>
      <c r="AL96" t="str">
        <f t="shared" si="37"/>
        <v>暗羽战衣是一件45级紫色可升级的装备。</v>
      </c>
      <c r="AM96" t="str">
        <f>IF(D96=0,5,D96) &amp; F96&amp;"00"&amp;VLOOKUP(G96,定义数据!$F$20:$G$27,2,FALSE)&amp;".png"</f>
        <v>51004.png</v>
      </c>
      <c r="AN96" s="79">
        <f>IF(OR(G96&lt;15),0,D_装备升级表!A96)</f>
        <v>45021</v>
      </c>
      <c r="AP96">
        <f ca="1">VLOOKUP(G96&amp;I96&amp;F96,CHOOSE({1,2},装备属性计算表!$BK$32:$BK$187,装备属性计算表!$BJ$32:$BJ$187),2,FALSE)</f>
        <v>265.92651783093521</v>
      </c>
      <c r="AQ96">
        <f ca="1">AP96*'[1]0、经济设定'!$C$18</f>
        <v>13296.325891546761</v>
      </c>
      <c r="AR96">
        <f ca="1">IFERROR(AQ96*'[1]0、经济设定'!$E$19*AU96*AS96,0)</f>
        <v>915.29554980102876</v>
      </c>
      <c r="AS96">
        <v>10</v>
      </c>
      <c r="AT96">
        <f t="shared" si="35"/>
        <v>108</v>
      </c>
      <c r="AU96">
        <f ca="1">IF(F96=0,IFERROR(AT96/AP96/'[1]0、经济设定'!$E$18,0),AU95)</f>
        <v>3.4419115373177438</v>
      </c>
      <c r="AV96">
        <f t="shared" ca="1" si="15"/>
        <v>10637.060713237408</v>
      </c>
    </row>
    <row r="97" spans="1:48" x14ac:dyDescent="0.15">
      <c r="A97" s="14" t="str">
        <f t="shared" si="3"/>
        <v>52213</v>
      </c>
      <c r="B97" s="14" t="s">
        <v>562</v>
      </c>
      <c r="C97" s="14">
        <f>VLOOKUP($I97&amp;$F97&amp;$G97,装备属性表,装备属性计算表!AK$29,FALSE)</f>
        <v>13</v>
      </c>
      <c r="D97" s="14">
        <f t="shared" si="38"/>
        <v>0</v>
      </c>
      <c r="E97" s="14" t="str">
        <f>VLOOKUP(F97,CHOOSE({1,2},定义数据!$F$2:$F$7,武器部位),2)</f>
        <v>裤子</v>
      </c>
      <c r="F97" s="14">
        <v>2</v>
      </c>
      <c r="G97" s="14">
        <v>45</v>
      </c>
      <c r="H97" s="14">
        <f t="shared" si="7"/>
        <v>45</v>
      </c>
      <c r="I97" s="14">
        <v>2</v>
      </c>
      <c r="J97" s="14" t="str">
        <f t="shared" si="8"/>
        <v>4522</v>
      </c>
      <c r="K97" s="14" t="str">
        <f t="shared" si="9"/>
        <v>4522</v>
      </c>
      <c r="L97" s="76"/>
      <c r="M97" s="14">
        <f>IF(OR(G97&lt;15,G97=80),0,D_装备升级表!A97)</f>
        <v>45022</v>
      </c>
      <c r="N97" s="78">
        <v>1</v>
      </c>
      <c r="O97" s="14">
        <f t="shared" si="36"/>
        <v>1300</v>
      </c>
      <c r="P97" s="14"/>
      <c r="Q97" s="14">
        <f>VLOOKUP($I97&amp;$F97&amp;$G97,装备属性表,装备属性计算表!AL$29,FALSE)</f>
        <v>4</v>
      </c>
      <c r="R97" s="14">
        <f ca="1">VLOOKUP(VLOOKUP($I97&amp;$F97&amp;$G97,装备属性表,装备属性计算表!AM$29,FALSE),定义数据!$B$13:$C$35,2,FALSE)</f>
        <v>3</v>
      </c>
      <c r="S97" s="14">
        <f ca="1">VLOOKUP($I97&amp;$F97&amp;$G97,装备属性表,装备属性计算表!AN$29,FALSE)</f>
        <v>53.685611812824966</v>
      </c>
      <c r="T97" s="14">
        <f ca="1">VLOOKUP(VLOOKUP($I97&amp;$F97&amp;$G97,装备属性表,装备属性计算表!AO$29,FALSE),定义数据!$B$13:$C$35,2,FALSE)</f>
        <v>7</v>
      </c>
      <c r="U97" s="14">
        <f ca="1">VLOOKUP($I97&amp;$F97&amp;$G97,装备属性表,装备属性计算表!AP$29,FALSE)</f>
        <v>81.25</v>
      </c>
      <c r="V97" s="14">
        <f ca="1">VLOOKUP(VLOOKUP($I97&amp;$F97&amp;$G97,装备属性表,装备属性计算表!AQ$29,FALSE),定义数据!$B$13:$C$35,2,FALSE)</f>
        <v>1</v>
      </c>
      <c r="W97" s="14">
        <f ca="1">VLOOKUP($I97&amp;$F97&amp;$G97,装备属性表,装备属性计算表!AR$29,FALSE)</f>
        <v>226.47825673685657</v>
      </c>
      <c r="X97" s="14">
        <f ca="1">VLOOKUP(VLOOKUP($I97&amp;$F97&amp;$G97,装备属性表,装备属性计算表!AS$29,FALSE),定义数据!$B$13:$C$35,2,FALSE)</f>
        <v>3</v>
      </c>
      <c r="Y97" s="14">
        <f ca="1">VLOOKUP($I97&amp;$F97&amp;$G97,装备属性表,装备属性计算表!AT$29,FALSE)</f>
        <v>4.9708899826689779</v>
      </c>
      <c r="Z97" s="14">
        <f ca="1">VLOOKUP(VLOOKUP($I97&amp;$F97&amp;$G97,装备属性表,装备属性计算表!AU$29,FALSE),定义数据!$B$13:$C$35,2,FALSE)</f>
        <v>0</v>
      </c>
      <c r="AA97" s="14">
        <f>VLOOKUP($I97&amp;$F97&amp;$G97,装备属性表,装备属性计算表!AV$29,FALSE)</f>
        <v>0</v>
      </c>
      <c r="AB97" s="14">
        <f ca="1">VLOOKUP(VLOOKUP($I97&amp;$F97&amp;$G97,装备属性表,装备属性计算表!AW$29,FALSE),定义数据!$B$13:$C$35,2,FALSE)</f>
        <v>0</v>
      </c>
      <c r="AC97" s="14">
        <f>VLOOKUP($I97&amp;$F97&amp;$G97,装备属性表,装备属性计算表!AX$29,FALSE)</f>
        <v>0</v>
      </c>
      <c r="AD97" s="14">
        <f ca="1">VLOOKUP(VLOOKUP($I97&amp;$F97&amp;$G97,装备属性表,装备属性计算表!AY$29,FALSE),定义数据!$B$13:$C$35,2,FALSE)</f>
        <v>0</v>
      </c>
      <c r="AE97" s="14">
        <f>VLOOKUP($I97&amp;$F97&amp;$G97,装备属性表,装备属性计算表!AZ$29,FALSE)</f>
        <v>0</v>
      </c>
      <c r="AF97" s="14">
        <f ca="1">VLOOKUP(VLOOKUP($I97&amp;$F97&amp;$G97,装备属性表,装备属性计算表!BA$29,FALSE),定义数据!$B$13:$C$35,2,FALSE)</f>
        <v>0</v>
      </c>
      <c r="AG97" s="14">
        <f>VLOOKUP($I97&amp;$F97&amp;$G97,装备属性表,装备属性计算表!BB$29,FALSE)</f>
        <v>0</v>
      </c>
      <c r="AH97" s="14">
        <f ca="1">VLOOKUP(VLOOKUP($I97&amp;$F97&amp;$G97,装备属性表,装备属性计算表!BC$29,FALSE),定义数据!$B$13:$C$35,2,FALSE)</f>
        <v>0</v>
      </c>
      <c r="AI97" s="14">
        <f>VLOOKUP($I97&amp;$F97&amp;$G97,装备属性表,装备属性计算表!BD$29,FALSE)</f>
        <v>0</v>
      </c>
      <c r="AJ97" s="14">
        <f ca="1">VLOOKUP(VLOOKUP($I97&amp;$F97&amp;$G97,装备属性表,装备属性计算表!BE$29,FALSE),定义数据!$B$13:$C$35,2,FALSE)</f>
        <v>0</v>
      </c>
      <c r="AK97" s="14">
        <f>VLOOKUP($I97&amp;$F97&amp;$G97,装备属性表,装备属性计算表!BF$29,FALSE)</f>
        <v>0</v>
      </c>
      <c r="AL97" t="str">
        <f t="shared" si="37"/>
        <v>暗羽长裤是一件45级紫色可升级的装备。</v>
      </c>
      <c r="AM97" t="str">
        <f>IF(D97=0,5,D97) &amp; F97&amp;"00"&amp;VLOOKUP(G97,定义数据!$F$20:$G$27,2,FALSE)&amp;".png"</f>
        <v>52004.png</v>
      </c>
      <c r="AN97" s="79">
        <f>IF(OR(G97&lt;15),0,D_装备升级表!A97)</f>
        <v>45022</v>
      </c>
      <c r="AP97">
        <f ca="1">VLOOKUP(G97&amp;I97&amp;F97,CHOOSE({1,2},装备属性计算表!$BK$32:$BK$187,装备属性计算表!$BJ$32:$BJ$187),2,FALSE)</f>
        <v>100.94989132422748</v>
      </c>
      <c r="AQ97">
        <f ca="1">AP97*'[1]0、经济设定'!$C$18</f>
        <v>5047.4945662113741</v>
      </c>
      <c r="AR97">
        <f ca="1">IFERROR(AQ97*'[1]0、经济设定'!$E$19*AU97*AS97,0)</f>
        <v>347.46059563983096</v>
      </c>
      <c r="AS97">
        <v>10</v>
      </c>
      <c r="AT97">
        <f t="shared" si="35"/>
        <v>108</v>
      </c>
      <c r="AU97">
        <f ca="1">IF(F97=0,IFERROR(AT97/AP97/'[1]0、经济设定'!$E$18,0),AU96)</f>
        <v>3.4419115373177438</v>
      </c>
      <c r="AV97">
        <f t="shared" ca="1" si="15"/>
        <v>4037.995652969099</v>
      </c>
    </row>
    <row r="98" spans="1:48" x14ac:dyDescent="0.15">
      <c r="A98" s="14" t="str">
        <f t="shared" si="3"/>
        <v>55213</v>
      </c>
      <c r="B98" s="14" t="s">
        <v>563</v>
      </c>
      <c r="C98" s="14">
        <f>VLOOKUP($I98&amp;$F98&amp;$G98,装备属性表,装备属性计算表!AK$29,FALSE)</f>
        <v>13</v>
      </c>
      <c r="D98" s="14">
        <f t="shared" si="38"/>
        <v>0</v>
      </c>
      <c r="E98" s="14" t="str">
        <f>VLOOKUP(F98,CHOOSE({1,2},定义数据!$F$2:$F$7,武器部位),2)</f>
        <v>鞋子</v>
      </c>
      <c r="F98" s="14">
        <v>5</v>
      </c>
      <c r="G98" s="14">
        <v>45</v>
      </c>
      <c r="H98" s="14">
        <f t="shared" si="7"/>
        <v>45</v>
      </c>
      <c r="I98" s="14">
        <v>2</v>
      </c>
      <c r="J98" s="14" t="str">
        <f t="shared" si="8"/>
        <v>4525</v>
      </c>
      <c r="K98" s="14" t="str">
        <f t="shared" si="9"/>
        <v>4525</v>
      </c>
      <c r="L98" s="76"/>
      <c r="M98" s="14">
        <f>IF(OR(G98&lt;15,G98=80),0,D_装备升级表!A98)</f>
        <v>45025</v>
      </c>
      <c r="N98" s="78">
        <v>1</v>
      </c>
      <c r="O98" s="14">
        <f t="shared" si="36"/>
        <v>1300</v>
      </c>
      <c r="P98" s="14"/>
      <c r="Q98" s="14">
        <f>VLOOKUP($I98&amp;$F98&amp;$G98,装备属性表,装备属性计算表!AL$29,FALSE)</f>
        <v>4</v>
      </c>
      <c r="R98" s="14">
        <f ca="1">VLOOKUP(VLOOKUP($I98&amp;$F98&amp;$G98,装备属性表,装备属性计算表!AM$29,FALSE),定义数据!$B$13:$C$35,2,FALSE)</f>
        <v>1</v>
      </c>
      <c r="S98" s="14">
        <f ca="1">VLOOKUP($I98&amp;$F98&amp;$G98,装备属性表,装备属性计算表!AN$29,FALSE)</f>
        <v>1222.9825863790254</v>
      </c>
      <c r="T98" s="14">
        <f ca="1">VLOOKUP(VLOOKUP($I98&amp;$F98&amp;$G98,装备属性表,装备属性计算表!AO$29,FALSE),定义数据!$B$13:$C$35,2,FALSE)</f>
        <v>7</v>
      </c>
      <c r="U98" s="14">
        <f ca="1">VLOOKUP($I98&amp;$F98&amp;$G98,装备属性表,装备属性计算表!AP$29,FALSE)</f>
        <v>162.5</v>
      </c>
      <c r="V98" s="14">
        <f ca="1">VLOOKUP(VLOOKUP($I98&amp;$F98&amp;$G98,装备属性表,装备属性计算表!AQ$29,FALSE),定义数据!$B$13:$C$35,2,FALSE)</f>
        <v>1</v>
      </c>
      <c r="W98" s="14">
        <f ca="1">VLOOKUP($I98&amp;$F98&amp;$G98,装备属性表,装备属性计算表!AR$29,FALSE)</f>
        <v>226.47825673685657</v>
      </c>
      <c r="X98" s="14">
        <f ca="1">VLOOKUP(VLOOKUP($I98&amp;$F98&amp;$G98,装备属性表,装备属性计算表!AS$29,FALSE),定义数据!$B$13:$C$35,2,FALSE)</f>
        <v>7</v>
      </c>
      <c r="Y98" s="14">
        <f ca="1">VLOOKUP($I98&amp;$F98&amp;$G98,装备属性表,装备属性计算表!AT$29,FALSE)</f>
        <v>21.666666666666668</v>
      </c>
      <c r="Z98" s="14">
        <f ca="1">VLOOKUP(VLOOKUP($I98&amp;$F98&amp;$G98,装备属性表,装备属性计算表!AU$29,FALSE),定义数据!$B$13:$C$35,2,FALSE)</f>
        <v>0</v>
      </c>
      <c r="AA98" s="14">
        <f>VLOOKUP($I98&amp;$F98&amp;$G98,装备属性表,装备属性计算表!AV$29,FALSE)</f>
        <v>0</v>
      </c>
      <c r="AB98" s="14">
        <f ca="1">VLOOKUP(VLOOKUP($I98&amp;$F98&amp;$G98,装备属性表,装备属性计算表!AW$29,FALSE),定义数据!$B$13:$C$35,2,FALSE)</f>
        <v>0</v>
      </c>
      <c r="AC98" s="14">
        <f>VLOOKUP($I98&amp;$F98&amp;$G98,装备属性表,装备属性计算表!AX$29,FALSE)</f>
        <v>0</v>
      </c>
      <c r="AD98" s="14">
        <f ca="1">VLOOKUP(VLOOKUP($I98&amp;$F98&amp;$G98,装备属性表,装备属性计算表!AY$29,FALSE),定义数据!$B$13:$C$35,2,FALSE)</f>
        <v>0</v>
      </c>
      <c r="AE98" s="14">
        <f>VLOOKUP($I98&amp;$F98&amp;$G98,装备属性表,装备属性计算表!AZ$29,FALSE)</f>
        <v>0</v>
      </c>
      <c r="AF98" s="14">
        <f ca="1">VLOOKUP(VLOOKUP($I98&amp;$F98&amp;$G98,装备属性表,装备属性计算表!BA$29,FALSE),定义数据!$B$13:$C$35,2,FALSE)</f>
        <v>0</v>
      </c>
      <c r="AG98" s="14">
        <f>VLOOKUP($I98&amp;$F98&amp;$G98,装备属性表,装备属性计算表!BB$29,FALSE)</f>
        <v>0</v>
      </c>
      <c r="AH98" s="14">
        <f ca="1">VLOOKUP(VLOOKUP($I98&amp;$F98&amp;$G98,装备属性表,装备属性计算表!BC$29,FALSE),定义数据!$B$13:$C$35,2,FALSE)</f>
        <v>0</v>
      </c>
      <c r="AI98" s="14">
        <f>VLOOKUP($I98&amp;$F98&amp;$G98,装备属性表,装备属性计算表!BD$29,FALSE)</f>
        <v>0</v>
      </c>
      <c r="AJ98" s="14">
        <f ca="1">VLOOKUP(VLOOKUP($I98&amp;$F98&amp;$G98,装备属性表,装备属性计算表!BE$29,FALSE),定义数据!$B$13:$C$35,2,FALSE)</f>
        <v>0</v>
      </c>
      <c r="AK98" s="14">
        <f>VLOOKUP($I98&amp;$F98&amp;$G98,装备属性表,装备属性计算表!BF$29,FALSE)</f>
        <v>0</v>
      </c>
      <c r="AL98" t="str">
        <f t="shared" si="37"/>
        <v>暗羽长靴是一件45级紫色可升级的装备。</v>
      </c>
      <c r="AM98" t="str">
        <f>IF(D98=0,5,D98) &amp; F98&amp;"00"&amp;VLOOKUP(G98,定义数据!$F$20:$G$27,2,FALSE)&amp;".png"</f>
        <v>55004.png</v>
      </c>
      <c r="AN98" s="79">
        <f>IF(OR(G98&lt;15),0,D_装备升级表!A98)</f>
        <v>45025</v>
      </c>
      <c r="AP98">
        <f ca="1">VLOOKUP(G98&amp;I98&amp;F98,CHOOSE({1,2},装备属性计算表!$BK$32:$BK$187,装备属性计算表!$BJ$32:$BJ$187),2,FALSE)</f>
        <v>127.88954483574639</v>
      </c>
      <c r="AQ98">
        <f ca="1">AP98*'[1]0、经济设定'!$C$18</f>
        <v>6394.4772417873191</v>
      </c>
      <c r="AR98">
        <f ca="1">IFERROR(AQ98*'[1]0、经济设定'!$E$19*AU98*AS98,0)</f>
        <v>440.18449987247038</v>
      </c>
      <c r="AS98">
        <v>10</v>
      </c>
      <c r="AT98">
        <f t="shared" si="35"/>
        <v>108</v>
      </c>
      <c r="AU98">
        <f ca="1">IF(F98=0,IFERROR(AT98/AP98/'[1]0、经济设定'!$E$18,0),AU97)</f>
        <v>3.4419115373177438</v>
      </c>
      <c r="AV98">
        <f t="shared" ca="1" si="15"/>
        <v>5115.5817934298557</v>
      </c>
    </row>
    <row r="99" spans="1:48" x14ac:dyDescent="0.15">
      <c r="A99" s="14" t="str">
        <f t="shared" si="3"/>
        <v>54213</v>
      </c>
      <c r="B99" s="14" t="s">
        <v>564</v>
      </c>
      <c r="C99" s="14">
        <f>VLOOKUP($I99&amp;$F99&amp;$G99,装备属性表,装备属性计算表!AK$29,FALSE)</f>
        <v>13</v>
      </c>
      <c r="D99" s="14">
        <f t="shared" si="38"/>
        <v>0</v>
      </c>
      <c r="E99" s="14" t="str">
        <f>VLOOKUP(F99,CHOOSE({1,2},定义数据!$F$2:$F$7,武器部位),2)</f>
        <v>腰带</v>
      </c>
      <c r="F99" s="14">
        <v>4</v>
      </c>
      <c r="G99" s="14">
        <v>45</v>
      </c>
      <c r="H99" s="14">
        <f t="shared" si="7"/>
        <v>45</v>
      </c>
      <c r="I99" s="14">
        <v>2</v>
      </c>
      <c r="J99" s="14" t="str">
        <f t="shared" si="8"/>
        <v>4524</v>
      </c>
      <c r="K99" s="14" t="str">
        <f t="shared" si="9"/>
        <v>4524</v>
      </c>
      <c r="L99" s="76"/>
      <c r="M99" s="14">
        <f>IF(OR(G99&lt;15,G99=80),0,D_装备升级表!A99)</f>
        <v>45024</v>
      </c>
      <c r="N99" s="78">
        <v>1</v>
      </c>
      <c r="O99" s="14">
        <f t="shared" si="36"/>
        <v>1300</v>
      </c>
      <c r="P99" s="14"/>
      <c r="Q99" s="14">
        <f>VLOOKUP($I99&amp;$F99&amp;$G99,装备属性表,装备属性计算表!AL$29,FALSE)</f>
        <v>4</v>
      </c>
      <c r="R99" s="14">
        <f ca="1">VLOOKUP(VLOOKUP($I99&amp;$F99&amp;$G99,装备属性表,装备属性计算表!AM$29,FALSE),定义数据!$B$13:$C$35,2,FALSE)</f>
        <v>1</v>
      </c>
      <c r="S99" s="14">
        <f ca="1">VLOOKUP($I99&amp;$F99&amp;$G99,装备属性表,装备属性计算表!AN$29,FALSE)</f>
        <v>1222.9825863790254</v>
      </c>
      <c r="T99" s="14">
        <f ca="1">VLOOKUP(VLOOKUP($I99&amp;$F99&amp;$G99,装备属性表,装备属性计算表!AO$29,FALSE),定义数据!$B$13:$C$35,2,FALSE)</f>
        <v>9</v>
      </c>
      <c r="U99" s="14">
        <f ca="1">VLOOKUP($I99&amp;$F99&amp;$G99,装备属性表,装备属性计算表!AP$29,FALSE)</f>
        <v>144.44444444444446</v>
      </c>
      <c r="V99" s="14">
        <f ca="1">VLOOKUP(VLOOKUP($I99&amp;$F99&amp;$G99,装备属性表,装备属性计算表!AQ$29,FALSE),定义数据!$B$13:$C$35,2,FALSE)</f>
        <v>1</v>
      </c>
      <c r="W99" s="14">
        <f ca="1">VLOOKUP($I99&amp;$F99&amp;$G99,装备属性表,装备属性计算表!AR$29,FALSE)</f>
        <v>452.95651347371313</v>
      </c>
      <c r="X99" s="14">
        <f ca="1">VLOOKUP(VLOOKUP($I99&amp;$F99&amp;$G99,装备属性表,装备属性计算表!AS$29,FALSE),定义数据!$B$13:$C$35,2,FALSE)</f>
        <v>2</v>
      </c>
      <c r="Y99" s="14">
        <f ca="1">VLOOKUP($I99&amp;$F99&amp;$G99,装备属性表,装备属性计算表!AT$29,FALSE)</f>
        <v>13.804188064171129</v>
      </c>
      <c r="Z99" s="14">
        <f ca="1">VLOOKUP(VLOOKUP($I99&amp;$F99&amp;$G99,装备属性表,装备属性计算表!AU$29,FALSE),定义数据!$B$13:$C$35,2,FALSE)</f>
        <v>0</v>
      </c>
      <c r="AA99" s="14">
        <f>VLOOKUP($I99&amp;$F99&amp;$G99,装备属性表,装备属性计算表!AV$29,FALSE)</f>
        <v>0</v>
      </c>
      <c r="AB99" s="14">
        <f ca="1">VLOOKUP(VLOOKUP($I99&amp;$F99&amp;$G99,装备属性表,装备属性计算表!AW$29,FALSE),定义数据!$B$13:$C$35,2,FALSE)</f>
        <v>0</v>
      </c>
      <c r="AC99" s="14">
        <f>VLOOKUP($I99&amp;$F99&amp;$G99,装备属性表,装备属性计算表!AX$29,FALSE)</f>
        <v>0</v>
      </c>
      <c r="AD99" s="14">
        <f ca="1">VLOOKUP(VLOOKUP($I99&amp;$F99&amp;$G99,装备属性表,装备属性计算表!AY$29,FALSE),定义数据!$B$13:$C$35,2,FALSE)</f>
        <v>0</v>
      </c>
      <c r="AE99" s="14">
        <f>VLOOKUP($I99&amp;$F99&amp;$G99,装备属性表,装备属性计算表!AZ$29,FALSE)</f>
        <v>0</v>
      </c>
      <c r="AF99" s="14">
        <f ca="1">VLOOKUP(VLOOKUP($I99&amp;$F99&amp;$G99,装备属性表,装备属性计算表!BA$29,FALSE),定义数据!$B$13:$C$35,2,FALSE)</f>
        <v>0</v>
      </c>
      <c r="AG99" s="14">
        <f>VLOOKUP($I99&amp;$F99&amp;$G99,装备属性表,装备属性计算表!BB$29,FALSE)</f>
        <v>0</v>
      </c>
      <c r="AH99" s="14">
        <f ca="1">VLOOKUP(VLOOKUP($I99&amp;$F99&amp;$G99,装备属性表,装备属性计算表!BC$29,FALSE),定义数据!$B$13:$C$35,2,FALSE)</f>
        <v>0</v>
      </c>
      <c r="AI99" s="14">
        <f>VLOOKUP($I99&amp;$F99&amp;$G99,装备属性表,装备属性计算表!BD$29,FALSE)</f>
        <v>0</v>
      </c>
      <c r="AJ99" s="14">
        <f ca="1">VLOOKUP(VLOOKUP($I99&amp;$F99&amp;$G99,装备属性表,装备属性计算表!BE$29,FALSE),定义数据!$B$13:$C$35,2,FALSE)</f>
        <v>0</v>
      </c>
      <c r="AK99" s="14">
        <f>VLOOKUP($I99&amp;$F99&amp;$G99,装备属性表,装备属性计算表!BF$29,FALSE)</f>
        <v>0</v>
      </c>
      <c r="AL99" t="str">
        <f t="shared" si="37"/>
        <v>暗羽腰带是一件45级紫色可升级的装备。</v>
      </c>
      <c r="AM99" t="str">
        <f>IF(D99=0,5,D99) &amp; F99&amp;"00"&amp;VLOOKUP(G99,定义数据!$F$20:$G$27,2,FALSE)&amp;".png"</f>
        <v>54004.png</v>
      </c>
      <c r="AN99" s="79">
        <f>IF(OR(G99&lt;15),0,D_装备升级表!A99)</f>
        <v>45024</v>
      </c>
      <c r="AP99">
        <f ca="1">VLOOKUP(G99&amp;I99&amp;F99,CHOOSE({1,2},装备属性计算表!$BK$32:$BK$187,装备属性计算表!$BJ$32:$BJ$187),2,FALSE)</f>
        <v>113.73856796687556</v>
      </c>
      <c r="AQ99">
        <f ca="1">AP99*'[1]0、经济设定'!$C$18</f>
        <v>5686.9283983437781</v>
      </c>
      <c r="AR99">
        <f ca="1">IFERROR(AQ99*'[1]0、经济设定'!$E$19*AU99*AS99,0)</f>
        <v>391.47808932318742</v>
      </c>
      <c r="AS99">
        <v>10</v>
      </c>
      <c r="AT99">
        <f t="shared" si="35"/>
        <v>108</v>
      </c>
      <c r="AU99">
        <f ca="1">IF(F99=0,IFERROR(AT99/AP99/'[1]0、经济设定'!$E$18,0),AU98)</f>
        <v>3.4419115373177438</v>
      </c>
      <c r="AV99">
        <f t="shared" ca="1" si="15"/>
        <v>4549.5427186750221</v>
      </c>
    </row>
    <row r="100" spans="1:48" x14ac:dyDescent="0.15">
      <c r="A100" s="14" t="str">
        <f t="shared" si="3"/>
        <v>53213</v>
      </c>
      <c r="B100" s="14" t="s">
        <v>565</v>
      </c>
      <c r="C100" s="14">
        <f>VLOOKUP($I100&amp;$F100&amp;$G100,装备属性表,装备属性计算表!AK$29,FALSE)</f>
        <v>13</v>
      </c>
      <c r="D100" s="14">
        <f t="shared" si="38"/>
        <v>0</v>
      </c>
      <c r="E100" s="14" t="str">
        <f>VLOOKUP(F100,CHOOSE({1,2},定义数据!$F$2:$F$7,武器部位),2)</f>
        <v>项链</v>
      </c>
      <c r="F100" s="14">
        <v>3</v>
      </c>
      <c r="G100" s="14">
        <v>45</v>
      </c>
      <c r="H100" s="14">
        <f t="shared" si="7"/>
        <v>45</v>
      </c>
      <c r="I100" s="14">
        <v>2</v>
      </c>
      <c r="J100" s="14" t="str">
        <f t="shared" si="8"/>
        <v>4523</v>
      </c>
      <c r="K100" s="14" t="str">
        <f t="shared" si="9"/>
        <v>4523</v>
      </c>
      <c r="L100" s="76"/>
      <c r="M100" s="14">
        <f>IF(OR(G100&lt;15,G100=80),0,D_装备升级表!A100)</f>
        <v>45023</v>
      </c>
      <c r="N100" s="78">
        <v>1</v>
      </c>
      <c r="O100" s="14">
        <f t="shared" si="36"/>
        <v>1300</v>
      </c>
      <c r="P100" s="14"/>
      <c r="Q100" s="14">
        <f>VLOOKUP($I100&amp;$F100&amp;$G100,装备属性表,装备属性计算表!AL$29,FALSE)</f>
        <v>4</v>
      </c>
      <c r="R100" s="14">
        <f ca="1">VLOOKUP(VLOOKUP($I100&amp;$F100&amp;$G100,装备属性表,装备属性计算表!AM$29,FALSE),定义数据!$B$13:$C$35,2,FALSE)</f>
        <v>2</v>
      </c>
      <c r="S100" s="14">
        <f ca="1">VLOOKUP($I100&amp;$F100&amp;$G100,装备属性表,装备属性计算表!AN$29,FALSE)</f>
        <v>77.648557860962597</v>
      </c>
      <c r="T100" s="14">
        <f ca="1">VLOOKUP(VLOOKUP($I100&amp;$F100&amp;$G100,装备属性表,装备属性计算表!AO$29,FALSE),定义数据!$B$13:$C$35,2,FALSE)</f>
        <v>6</v>
      </c>
      <c r="U100" s="14">
        <f ca="1">VLOOKUP($I100&amp;$F100&amp;$G100,装备属性表,装备属性计算表!AP$29,FALSE)</f>
        <v>243.75</v>
      </c>
      <c r="V100" s="14">
        <f ca="1">VLOOKUP(VLOOKUP($I100&amp;$F100&amp;$G100,装备属性表,装备属性计算表!AQ$29,FALSE),定义数据!$B$13:$C$35,2,FALSE)</f>
        <v>2</v>
      </c>
      <c r="W100" s="14">
        <f ca="1">VLOOKUP($I100&amp;$F100&amp;$G100,装备属性表,装备属性计算表!AR$29,FALSE)</f>
        <v>13.804188064171129</v>
      </c>
      <c r="X100" s="14">
        <f ca="1">VLOOKUP(VLOOKUP($I100&amp;$F100&amp;$G100,装备属性表,装备属性计算表!AS$29,FALSE),定义数据!$B$13:$C$35,2,FALSE)</f>
        <v>7</v>
      </c>
      <c r="Y100" s="14">
        <f ca="1">VLOOKUP($I100&amp;$F100&amp;$G100,装备属性表,装备属性计算表!AT$29,FALSE)</f>
        <v>10.833333333333334</v>
      </c>
      <c r="Z100" s="14">
        <f ca="1">VLOOKUP(VLOOKUP($I100&amp;$F100&amp;$G100,装备属性表,装备属性计算表!AU$29,FALSE),定义数据!$B$13:$C$35,2,FALSE)</f>
        <v>0</v>
      </c>
      <c r="AA100" s="14">
        <f>VLOOKUP($I100&amp;$F100&amp;$G100,装备属性表,装备属性计算表!AV$29,FALSE)</f>
        <v>0</v>
      </c>
      <c r="AB100" s="14">
        <f ca="1">VLOOKUP(VLOOKUP($I100&amp;$F100&amp;$G100,装备属性表,装备属性计算表!AW$29,FALSE),定义数据!$B$13:$C$35,2,FALSE)</f>
        <v>0</v>
      </c>
      <c r="AC100" s="14">
        <f>VLOOKUP($I100&amp;$F100&amp;$G100,装备属性表,装备属性计算表!AX$29,FALSE)</f>
        <v>0</v>
      </c>
      <c r="AD100" s="14">
        <f ca="1">VLOOKUP(VLOOKUP($I100&amp;$F100&amp;$G100,装备属性表,装备属性计算表!AY$29,FALSE),定义数据!$B$13:$C$35,2,FALSE)</f>
        <v>0</v>
      </c>
      <c r="AE100" s="14">
        <f>VLOOKUP($I100&amp;$F100&amp;$G100,装备属性表,装备属性计算表!AZ$29,FALSE)</f>
        <v>0</v>
      </c>
      <c r="AF100" s="14">
        <f ca="1">VLOOKUP(VLOOKUP($I100&amp;$F100&amp;$G100,装备属性表,装备属性计算表!BA$29,FALSE),定义数据!$B$13:$C$35,2,FALSE)</f>
        <v>0</v>
      </c>
      <c r="AG100" s="14">
        <f>VLOOKUP($I100&amp;$F100&amp;$G100,装备属性表,装备属性计算表!BB$29,FALSE)</f>
        <v>0</v>
      </c>
      <c r="AH100" s="14">
        <f ca="1">VLOOKUP(VLOOKUP($I100&amp;$F100&amp;$G100,装备属性表,装备属性计算表!BC$29,FALSE),定义数据!$B$13:$C$35,2,FALSE)</f>
        <v>0</v>
      </c>
      <c r="AI100" s="14">
        <f>VLOOKUP($I100&amp;$F100&amp;$G100,装备属性表,装备属性计算表!BD$29,FALSE)</f>
        <v>0</v>
      </c>
      <c r="AJ100" s="14">
        <f ca="1">VLOOKUP(VLOOKUP($I100&amp;$F100&amp;$G100,装备属性表,装备属性计算表!BE$29,FALSE),定义数据!$B$13:$C$35,2,FALSE)</f>
        <v>0</v>
      </c>
      <c r="AK100" s="14">
        <f>VLOOKUP($I100&amp;$F100&amp;$G100,装备属性表,装备属性计算表!BF$29,FALSE)</f>
        <v>0</v>
      </c>
      <c r="AL100" t="str">
        <f t="shared" si="37"/>
        <v>暗羽项链是一件45级紫色可升级的装备。</v>
      </c>
      <c r="AM100" t="str">
        <f>IF(D100=0,5,D100) &amp; F100&amp;"00"&amp;VLOOKUP(G100,定义数据!$F$20:$G$27,2,FALSE)&amp;".png"</f>
        <v>53004.png</v>
      </c>
      <c r="AN100" s="79">
        <f>IF(OR(G100&lt;15),0,D_装备升级表!A100)</f>
        <v>45023</v>
      </c>
      <c r="AP100">
        <f ca="1">VLOOKUP(G100&amp;I100&amp;F100,CHOOSE({1,2},装备属性计算表!$BK$32:$BK$187,装备属性计算表!$BJ$32:$BJ$187),2,FALSE)</f>
        <v>186.46107925846707</v>
      </c>
      <c r="AQ100">
        <f ca="1">AP100*'[1]0、经济设定'!$C$18</f>
        <v>9323.0539629233535</v>
      </c>
      <c r="AR100">
        <f ca="1">IFERROR(AQ100*'[1]0、经济设定'!$E$19*AU100*AS100,0)</f>
        <v>641.78253996043611</v>
      </c>
      <c r="AS100">
        <v>10</v>
      </c>
      <c r="AT100">
        <f t="shared" si="35"/>
        <v>108</v>
      </c>
      <c r="AU100">
        <f ca="1">IF(F100=0,IFERROR(AT100/AP100/'[1]0、经济设定'!$E$18,0),AU99)</f>
        <v>3.4419115373177438</v>
      </c>
      <c r="AV100">
        <f t="shared" ca="1" si="15"/>
        <v>7458.4431703386826</v>
      </c>
    </row>
    <row r="101" spans="1:48" x14ac:dyDescent="0.15">
      <c r="A101" s="14" t="str">
        <f t="shared" si="3"/>
        <v>10314</v>
      </c>
      <c r="B101" s="14" t="s">
        <v>216</v>
      </c>
      <c r="C101" s="14">
        <f>VLOOKUP($I101&amp;$F101&amp;$G101,装备属性表,装备属性计算表!AK$29,FALSE)</f>
        <v>14</v>
      </c>
      <c r="D101" s="14">
        <f t="shared" si="18"/>
        <v>1</v>
      </c>
      <c r="E101" s="14" t="str">
        <f>VLOOKUP(F101,CHOOSE({1,2},定义数据!$F$2:$F$7,武器部位),2)</f>
        <v>武器</v>
      </c>
      <c r="F101" s="14">
        <v>0</v>
      </c>
      <c r="G101" s="14">
        <v>45</v>
      </c>
      <c r="H101" s="14">
        <f t="shared" si="7"/>
        <v>45</v>
      </c>
      <c r="I101" s="14">
        <v>3</v>
      </c>
      <c r="J101" s="14" t="str">
        <f t="shared" si="8"/>
        <v>4530</v>
      </c>
      <c r="K101" s="14" t="str">
        <f t="shared" si="9"/>
        <v>4530</v>
      </c>
      <c r="L101" s="76"/>
      <c r="M101" s="14">
        <f>IF(OR(G101&lt;15,G101=80),0,D_装备升级表!A101)</f>
        <v>45130</v>
      </c>
      <c r="N101" s="78">
        <v>1</v>
      </c>
      <c r="O101" s="14">
        <f t="shared" si="36"/>
        <v>1400</v>
      </c>
      <c r="P101" s="14"/>
      <c r="Q101" s="14">
        <f>VLOOKUP($I101&amp;$F101&amp;$G101,装备属性表,装备属性计算表!AL$29,FALSE)</f>
        <v>5</v>
      </c>
      <c r="R101" s="14">
        <f ca="1">VLOOKUP(VLOOKUP($I101&amp;$F101&amp;$G101,装备属性表,装备属性计算表!AM$29,FALSE),定义数据!$B$13:$C$35,2,FALSE)</f>
        <v>2</v>
      </c>
      <c r="S101" s="14">
        <f ca="1">VLOOKUP($I101&amp;$F101&amp;$G101,装备属性表,装备属性计算表!AN$29,FALSE)</f>
        <v>270.77445818181826</v>
      </c>
      <c r="T101" s="14">
        <f ca="1">VLOOKUP(VLOOKUP($I101&amp;$F101&amp;$G101,装备属性表,装备属性计算表!AO$29,FALSE),定义数据!$B$13:$C$35,2,FALSE)</f>
        <v>8</v>
      </c>
      <c r="U101" s="14">
        <f ca="1">VLOOKUP($I101&amp;$F101&amp;$G101,装备属性表,装备属性计算表!AP$29,FALSE)</f>
        <v>167.90123456790124</v>
      </c>
      <c r="V101" s="14">
        <f ca="1">VLOOKUP(VLOOKUP($I101&amp;$F101&amp;$G101,装备属性表,装备属性计算表!AQ$29,FALSE),定义数据!$B$13:$C$35,2,FALSE)</f>
        <v>2</v>
      </c>
      <c r="W101" s="14">
        <f ca="1">VLOOKUP($I101&amp;$F101&amp;$G101,装备属性表,装备属性计算表!AR$29,FALSE)</f>
        <v>81.232337454545487</v>
      </c>
      <c r="X101" s="14">
        <f ca="1">VLOOKUP(VLOOKUP($I101&amp;$F101&amp;$G101,装备属性表,装备属性计算表!AS$29,FALSE),定义数据!$B$13:$C$35,2,FALSE)</f>
        <v>3</v>
      </c>
      <c r="Y101" s="14">
        <f ca="1">VLOOKUP($I101&amp;$F101&amp;$G101,装备属性表,装备属性计算表!AT$29,FALSE)</f>
        <v>9.7505918890814556</v>
      </c>
      <c r="Z101" s="14">
        <f ca="1">VLOOKUP(VLOOKUP($I101&amp;$F101&amp;$G101,装备属性表,装备属性计算表!AU$29,FALSE),定义数据!$B$13:$C$35,2,FALSE)</f>
        <v>6</v>
      </c>
      <c r="AA101" s="14">
        <f ca="1">VLOOKUP($I101&amp;$F101&amp;$G101,装备属性表,装备属性计算表!AV$29,FALSE)</f>
        <v>35.416666666666671</v>
      </c>
      <c r="AB101" s="14">
        <f ca="1">VLOOKUP(VLOOKUP($I101&amp;$F101&amp;$G101,装备属性表,装备属性计算表!AW$29,FALSE),定义数据!$B$13:$C$35,2,FALSE)</f>
        <v>0</v>
      </c>
      <c r="AC101" s="14">
        <f>VLOOKUP($I101&amp;$F101&amp;$G101,装备属性表,装备属性计算表!AX$29,FALSE)</f>
        <v>0</v>
      </c>
      <c r="AD101" s="14">
        <f ca="1">VLOOKUP(VLOOKUP($I101&amp;$F101&amp;$G101,装备属性表,装备属性计算表!AY$29,FALSE),定义数据!$B$13:$C$35,2,FALSE)</f>
        <v>0</v>
      </c>
      <c r="AE101" s="14">
        <f>VLOOKUP($I101&amp;$F101&amp;$G101,装备属性表,装备属性计算表!AZ$29,FALSE)</f>
        <v>0</v>
      </c>
      <c r="AF101" s="14">
        <f ca="1">VLOOKUP(VLOOKUP($I101&amp;$F101&amp;$G101,装备属性表,装备属性计算表!BA$29,FALSE),定义数据!$B$13:$C$35,2,FALSE)</f>
        <v>0</v>
      </c>
      <c r="AG101" s="14">
        <f>VLOOKUP($I101&amp;$F101&amp;$G101,装备属性表,装备属性计算表!BB$29,FALSE)</f>
        <v>0</v>
      </c>
      <c r="AH101" s="14">
        <f ca="1">VLOOKUP(VLOOKUP($I101&amp;$F101&amp;$G101,装备属性表,装备属性计算表!BC$29,FALSE),定义数据!$B$13:$C$35,2,FALSE)</f>
        <v>0</v>
      </c>
      <c r="AI101" s="14">
        <f>VLOOKUP($I101&amp;$F101&amp;$G101,装备属性表,装备属性计算表!BD$29,FALSE)</f>
        <v>0</v>
      </c>
      <c r="AJ101" s="14">
        <f ca="1">VLOOKUP(VLOOKUP($I101&amp;$F101&amp;$G101,装备属性表,装备属性计算表!BE$29,FALSE),定义数据!$B$13:$C$35,2,FALSE)</f>
        <v>0</v>
      </c>
      <c r="AK101" s="14">
        <f>VLOOKUP($I101&amp;$F101&amp;$G101,装备属性表,装备属性计算表!BF$29,FALSE)</f>
        <v>0</v>
      </c>
      <c r="AL101" t="str">
        <f t="shared" si="37"/>
        <v>玄武霸刀是一件45级橙色可升级的装备。</v>
      </c>
      <c r="AM101" t="str">
        <f>IF(D101=0,5,D101) &amp; F101&amp;"00"&amp;VLOOKUP(G101,定义数据!$F$20:$G$27,2,FALSE)&amp;".png"</f>
        <v>10004.png</v>
      </c>
      <c r="AN101" s="79">
        <f>IF(OR(G101&lt;15),0,D_装备升级表!A101)</f>
        <v>45130</v>
      </c>
      <c r="AP101">
        <f ca="1">VLOOKUP(G101&amp;I101&amp;F101,CHOOSE({1,2},装备属性计算表!$BK$32:$BK$187,装备属性计算表!$BJ$32:$BJ$187),2,FALSE)</f>
        <v>408.55460974766743</v>
      </c>
      <c r="AQ101">
        <f ca="1">AP101*'[1]0、经济设定'!$C$18</f>
        <v>20427.730487383371</v>
      </c>
      <c r="AR101">
        <f ca="1">IFERROR(AQ101*'[1]0、经济设定'!$E$19*AU101*AS101,0)</f>
        <v>2700</v>
      </c>
      <c r="AS101">
        <v>10</v>
      </c>
      <c r="AT101">
        <f t="shared" si="35"/>
        <v>270</v>
      </c>
      <c r="AU101">
        <f ca="1">IF(F101=0,IFERROR(AT101/AP101/'[1]0、经济设定'!$E$18,0),AU100)</f>
        <v>6.6086636537220356</v>
      </c>
      <c r="AV101">
        <f t="shared" ref="AV101:AV164" ca="1" si="39">AP101*40</f>
        <v>16342.184389906697</v>
      </c>
    </row>
    <row r="102" spans="1:48" x14ac:dyDescent="0.15">
      <c r="A102" s="14" t="str">
        <f t="shared" si="3"/>
        <v>20314</v>
      </c>
      <c r="B102" s="14" t="s">
        <v>217</v>
      </c>
      <c r="C102" s="14">
        <f>VLOOKUP($I102&amp;$F102&amp;$G102,装备属性表,装备属性计算表!AK$29,FALSE)</f>
        <v>14</v>
      </c>
      <c r="D102" s="14">
        <f t="shared" si="18"/>
        <v>2</v>
      </c>
      <c r="E102" s="14" t="str">
        <f>VLOOKUP(F102,CHOOSE({1,2},定义数据!$F$2:$F$7,武器部位),2)</f>
        <v>武器</v>
      </c>
      <c r="F102" s="14">
        <v>0</v>
      </c>
      <c r="G102" s="14">
        <v>45</v>
      </c>
      <c r="H102" s="14">
        <f t="shared" si="7"/>
        <v>45</v>
      </c>
      <c r="I102" s="14">
        <v>3</v>
      </c>
      <c r="J102" s="14" t="str">
        <f t="shared" si="8"/>
        <v>4530</v>
      </c>
      <c r="K102" s="14" t="str">
        <f t="shared" si="9"/>
        <v>4530</v>
      </c>
      <c r="L102" s="76"/>
      <c r="M102" s="14">
        <f>IF(OR(G102&lt;15,G102=80),0,D_装备升级表!A102)</f>
        <v>45230</v>
      </c>
      <c r="N102" s="78">
        <v>1</v>
      </c>
      <c r="O102" s="14">
        <f t="shared" si="36"/>
        <v>1400</v>
      </c>
      <c r="P102" s="14"/>
      <c r="Q102" s="14">
        <f>VLOOKUP($I102&amp;$F102&amp;$G102,装备属性表,装备属性计算表!AL$29,FALSE)</f>
        <v>5</v>
      </c>
      <c r="R102" s="14">
        <f ca="1">VLOOKUP(VLOOKUP($I102&amp;$F102&amp;$G102,装备属性表,装备属性计算表!AM$29,FALSE),定义数据!$B$13:$C$35,2,FALSE)</f>
        <v>2</v>
      </c>
      <c r="S102" s="14">
        <f ca="1">VLOOKUP($I102&amp;$F102&amp;$G102,装备属性表,装备属性计算表!AN$29,FALSE)</f>
        <v>270.77445818181826</v>
      </c>
      <c r="T102" s="14">
        <f ca="1">VLOOKUP(VLOOKUP($I102&amp;$F102&amp;$G102,装备属性表,装备属性计算表!AO$29,FALSE),定义数据!$B$13:$C$35,2,FALSE)</f>
        <v>8</v>
      </c>
      <c r="U102" s="14">
        <f ca="1">VLOOKUP($I102&amp;$F102&amp;$G102,装备属性表,装备属性计算表!AP$29,FALSE)</f>
        <v>167.90123456790124</v>
      </c>
      <c r="V102" s="14">
        <f ca="1">VLOOKUP(VLOOKUP($I102&amp;$F102&amp;$G102,装备属性表,装备属性计算表!AQ$29,FALSE),定义数据!$B$13:$C$35,2,FALSE)</f>
        <v>2</v>
      </c>
      <c r="W102" s="14">
        <f ca="1">VLOOKUP($I102&amp;$F102&amp;$G102,装备属性表,装备属性计算表!AR$29,FALSE)</f>
        <v>81.232337454545487</v>
      </c>
      <c r="X102" s="14">
        <f ca="1">VLOOKUP(VLOOKUP($I102&amp;$F102&amp;$G102,装备属性表,装备属性计算表!AS$29,FALSE),定义数据!$B$13:$C$35,2,FALSE)</f>
        <v>3</v>
      </c>
      <c r="Y102" s="14">
        <f ca="1">VLOOKUP($I102&amp;$F102&amp;$G102,装备属性表,装备属性计算表!AT$29,FALSE)</f>
        <v>9.7505918890814556</v>
      </c>
      <c r="Z102" s="14">
        <f ca="1">VLOOKUP(VLOOKUP($I102&amp;$F102&amp;$G102,装备属性表,装备属性计算表!AU$29,FALSE),定义数据!$B$13:$C$35,2,FALSE)</f>
        <v>6</v>
      </c>
      <c r="AA102" s="14">
        <f ca="1">VLOOKUP($I102&amp;$F102&amp;$G102,装备属性表,装备属性计算表!AV$29,FALSE)</f>
        <v>35.416666666666671</v>
      </c>
      <c r="AB102" s="14">
        <f ca="1">VLOOKUP(VLOOKUP($I102&amp;$F102&amp;$G102,装备属性表,装备属性计算表!AW$29,FALSE),定义数据!$B$13:$C$35,2,FALSE)</f>
        <v>0</v>
      </c>
      <c r="AC102" s="14">
        <f>VLOOKUP($I102&amp;$F102&amp;$G102,装备属性表,装备属性计算表!AX$29,FALSE)</f>
        <v>0</v>
      </c>
      <c r="AD102" s="14">
        <f ca="1">VLOOKUP(VLOOKUP($I102&amp;$F102&amp;$G102,装备属性表,装备属性计算表!AY$29,FALSE),定义数据!$B$13:$C$35,2,FALSE)</f>
        <v>0</v>
      </c>
      <c r="AE102" s="14">
        <f>VLOOKUP($I102&amp;$F102&amp;$G102,装备属性表,装备属性计算表!AZ$29,FALSE)</f>
        <v>0</v>
      </c>
      <c r="AF102" s="14">
        <f ca="1">VLOOKUP(VLOOKUP($I102&amp;$F102&amp;$G102,装备属性表,装备属性计算表!BA$29,FALSE),定义数据!$B$13:$C$35,2,FALSE)</f>
        <v>0</v>
      </c>
      <c r="AG102" s="14">
        <f>VLOOKUP($I102&amp;$F102&amp;$G102,装备属性表,装备属性计算表!BB$29,FALSE)</f>
        <v>0</v>
      </c>
      <c r="AH102" s="14">
        <f ca="1">VLOOKUP(VLOOKUP($I102&amp;$F102&amp;$G102,装备属性表,装备属性计算表!BC$29,FALSE),定义数据!$B$13:$C$35,2,FALSE)</f>
        <v>0</v>
      </c>
      <c r="AI102" s="14">
        <f>VLOOKUP($I102&amp;$F102&amp;$G102,装备属性表,装备属性计算表!BD$29,FALSE)</f>
        <v>0</v>
      </c>
      <c r="AJ102" s="14">
        <f ca="1">VLOOKUP(VLOOKUP($I102&amp;$F102&amp;$G102,装备属性表,装备属性计算表!BE$29,FALSE),定义数据!$B$13:$C$35,2,FALSE)</f>
        <v>0</v>
      </c>
      <c r="AK102" s="14">
        <f>VLOOKUP($I102&amp;$F102&amp;$G102,装备属性表,装备属性计算表!BF$29,FALSE)</f>
        <v>0</v>
      </c>
      <c r="AL102" t="str">
        <f t="shared" si="37"/>
        <v>玄武之拳是一件45级橙色可升级的装备。</v>
      </c>
      <c r="AM102" t="str">
        <f>IF(D102=0,5,D102) &amp; F102&amp;"00"&amp;VLOOKUP(G102,定义数据!$F$20:$G$27,2,FALSE)&amp;".png"</f>
        <v>20004.png</v>
      </c>
      <c r="AN102" s="79">
        <f>IF(OR(G102&lt;15),0,D_装备升级表!A102)</f>
        <v>45230</v>
      </c>
      <c r="AP102">
        <f ca="1">VLOOKUP(G102&amp;I102&amp;F102,CHOOSE({1,2},装备属性计算表!$BK$32:$BK$187,装备属性计算表!$BJ$32:$BJ$187),2,FALSE)</f>
        <v>408.55460974766743</v>
      </c>
      <c r="AQ102">
        <f ca="1">AP102*'[1]0、经济设定'!$C$18</f>
        <v>20427.730487383371</v>
      </c>
      <c r="AR102">
        <f ca="1">IFERROR(AQ102*'[1]0、经济设定'!$E$19*AU102*AS102,0)</f>
        <v>2700</v>
      </c>
      <c r="AS102">
        <v>10</v>
      </c>
      <c r="AT102">
        <f t="shared" si="35"/>
        <v>270</v>
      </c>
      <c r="AU102">
        <f ca="1">IF(F102=0,IFERROR(AT102/AP102/'[1]0、经济设定'!$E$18,0),AU101)</f>
        <v>6.6086636537220356</v>
      </c>
      <c r="AV102">
        <f t="shared" ca="1" si="39"/>
        <v>16342.184389906697</v>
      </c>
    </row>
    <row r="103" spans="1:48" x14ac:dyDescent="0.15">
      <c r="A103" s="14" t="str">
        <f t="shared" si="3"/>
        <v>30314</v>
      </c>
      <c r="B103" s="14" t="s">
        <v>566</v>
      </c>
      <c r="C103" s="14">
        <f>VLOOKUP($I103&amp;$F103&amp;$G103,装备属性表,装备属性计算表!AK$29,FALSE)</f>
        <v>14</v>
      </c>
      <c r="D103" s="14">
        <f t="shared" si="18"/>
        <v>3</v>
      </c>
      <c r="E103" s="14" t="str">
        <f>VLOOKUP(F103,CHOOSE({1,2},定义数据!$F$2:$F$7,武器部位),2)</f>
        <v>武器</v>
      </c>
      <c r="F103" s="14">
        <v>0</v>
      </c>
      <c r="G103" s="14">
        <v>45</v>
      </c>
      <c r="H103" s="14">
        <f t="shared" si="7"/>
        <v>45</v>
      </c>
      <c r="I103" s="14">
        <v>3</v>
      </c>
      <c r="J103" s="14" t="str">
        <f t="shared" si="8"/>
        <v>4530</v>
      </c>
      <c r="K103" s="14" t="str">
        <f t="shared" si="9"/>
        <v>4530</v>
      </c>
      <c r="L103" s="76"/>
      <c r="M103" s="14">
        <f>IF(OR(G103&lt;15,G103=80),0,D_装备升级表!A103)</f>
        <v>45330</v>
      </c>
      <c r="N103" s="78">
        <v>1</v>
      </c>
      <c r="O103" s="14">
        <f t="shared" si="36"/>
        <v>1400</v>
      </c>
      <c r="P103" s="14"/>
      <c r="Q103" s="14">
        <f>VLOOKUP($I103&amp;$F103&amp;$G103,装备属性表,装备属性计算表!AL$29,FALSE)</f>
        <v>5</v>
      </c>
      <c r="R103" s="14">
        <f ca="1">VLOOKUP(VLOOKUP($I103&amp;$F103&amp;$G103,装备属性表,装备属性计算表!AM$29,FALSE),定义数据!$B$13:$C$35,2,FALSE)</f>
        <v>2</v>
      </c>
      <c r="S103" s="14">
        <f ca="1">VLOOKUP($I103&amp;$F103&amp;$G103,装备属性表,装备属性计算表!AN$29,FALSE)</f>
        <v>270.77445818181826</v>
      </c>
      <c r="T103" s="14">
        <f ca="1">VLOOKUP(VLOOKUP($I103&amp;$F103&amp;$G103,装备属性表,装备属性计算表!AO$29,FALSE),定义数据!$B$13:$C$35,2,FALSE)</f>
        <v>8</v>
      </c>
      <c r="U103" s="14">
        <f ca="1">VLOOKUP($I103&amp;$F103&amp;$G103,装备属性表,装备属性计算表!AP$29,FALSE)</f>
        <v>167.90123456790124</v>
      </c>
      <c r="V103" s="14">
        <f ca="1">VLOOKUP(VLOOKUP($I103&amp;$F103&amp;$G103,装备属性表,装备属性计算表!AQ$29,FALSE),定义数据!$B$13:$C$35,2,FALSE)</f>
        <v>2</v>
      </c>
      <c r="W103" s="14">
        <f ca="1">VLOOKUP($I103&amp;$F103&amp;$G103,装备属性表,装备属性计算表!AR$29,FALSE)</f>
        <v>81.232337454545487</v>
      </c>
      <c r="X103" s="14">
        <f ca="1">VLOOKUP(VLOOKUP($I103&amp;$F103&amp;$G103,装备属性表,装备属性计算表!AS$29,FALSE),定义数据!$B$13:$C$35,2,FALSE)</f>
        <v>3</v>
      </c>
      <c r="Y103" s="14">
        <f ca="1">VLOOKUP($I103&amp;$F103&amp;$G103,装备属性表,装备属性计算表!AT$29,FALSE)</f>
        <v>9.7505918890814556</v>
      </c>
      <c r="Z103" s="14">
        <f ca="1">VLOOKUP(VLOOKUP($I103&amp;$F103&amp;$G103,装备属性表,装备属性计算表!AU$29,FALSE),定义数据!$B$13:$C$35,2,FALSE)</f>
        <v>6</v>
      </c>
      <c r="AA103" s="14">
        <f ca="1">VLOOKUP($I103&amp;$F103&amp;$G103,装备属性表,装备属性计算表!AV$29,FALSE)</f>
        <v>35.416666666666671</v>
      </c>
      <c r="AB103" s="14">
        <f ca="1">VLOOKUP(VLOOKUP($I103&amp;$F103&amp;$G103,装备属性表,装备属性计算表!AW$29,FALSE),定义数据!$B$13:$C$35,2,FALSE)</f>
        <v>0</v>
      </c>
      <c r="AC103" s="14">
        <f>VLOOKUP($I103&amp;$F103&amp;$G103,装备属性表,装备属性计算表!AX$29,FALSE)</f>
        <v>0</v>
      </c>
      <c r="AD103" s="14">
        <f ca="1">VLOOKUP(VLOOKUP($I103&amp;$F103&amp;$G103,装备属性表,装备属性计算表!AY$29,FALSE),定义数据!$B$13:$C$35,2,FALSE)</f>
        <v>0</v>
      </c>
      <c r="AE103" s="14">
        <f>VLOOKUP($I103&amp;$F103&amp;$G103,装备属性表,装备属性计算表!AZ$29,FALSE)</f>
        <v>0</v>
      </c>
      <c r="AF103" s="14">
        <f ca="1">VLOOKUP(VLOOKUP($I103&amp;$F103&amp;$G103,装备属性表,装备属性计算表!BA$29,FALSE),定义数据!$B$13:$C$35,2,FALSE)</f>
        <v>0</v>
      </c>
      <c r="AG103" s="14">
        <f>VLOOKUP($I103&amp;$F103&amp;$G103,装备属性表,装备属性计算表!BB$29,FALSE)</f>
        <v>0</v>
      </c>
      <c r="AH103" s="14">
        <f ca="1">VLOOKUP(VLOOKUP($I103&amp;$F103&amp;$G103,装备属性表,装备属性计算表!BC$29,FALSE),定义数据!$B$13:$C$35,2,FALSE)</f>
        <v>0</v>
      </c>
      <c r="AI103" s="14">
        <f>VLOOKUP($I103&amp;$F103&amp;$G103,装备属性表,装备属性计算表!BD$29,FALSE)</f>
        <v>0</v>
      </c>
      <c r="AJ103" s="14">
        <f ca="1">VLOOKUP(VLOOKUP($I103&amp;$F103&amp;$G103,装备属性表,装备属性计算表!BE$29,FALSE),定义数据!$B$13:$C$35,2,FALSE)</f>
        <v>0</v>
      </c>
      <c r="AK103" s="14">
        <f>VLOOKUP($I103&amp;$F103&amp;$G103,装备属性表,装备属性计算表!BF$29,FALSE)</f>
        <v>0</v>
      </c>
      <c r="AL103" t="str">
        <f t="shared" si="37"/>
        <v>玄武之枪是一件45级橙色可升级的装备。</v>
      </c>
      <c r="AM103" t="str">
        <f>IF(D103=0,5,D103) &amp; F103&amp;"00"&amp;VLOOKUP(G103,定义数据!$F$20:$G$27,2,FALSE)&amp;".png"</f>
        <v>30004.png</v>
      </c>
      <c r="AN103" s="79">
        <f>IF(OR(G103&lt;15),0,D_装备升级表!A103)</f>
        <v>45330</v>
      </c>
      <c r="AP103">
        <f ca="1">VLOOKUP(G103&amp;I103&amp;F103,CHOOSE({1,2},装备属性计算表!$BK$32:$BK$187,装备属性计算表!$BJ$32:$BJ$187),2,FALSE)</f>
        <v>408.55460974766743</v>
      </c>
      <c r="AQ103">
        <f ca="1">AP103*'[1]0、经济设定'!$C$18</f>
        <v>20427.730487383371</v>
      </c>
      <c r="AR103">
        <f ca="1">IFERROR(AQ103*'[1]0、经济设定'!$E$19*AU103*AS103,0)</f>
        <v>2700</v>
      </c>
      <c r="AS103">
        <v>10</v>
      </c>
      <c r="AT103">
        <f t="shared" si="35"/>
        <v>270</v>
      </c>
      <c r="AU103">
        <f ca="1">IF(F103=0,IFERROR(AT103/AP103/'[1]0、经济设定'!$E$18,0),AU102)</f>
        <v>6.6086636537220356</v>
      </c>
      <c r="AV103">
        <f t="shared" ca="1" si="39"/>
        <v>16342.184389906697</v>
      </c>
    </row>
    <row r="104" spans="1:48" x14ac:dyDescent="0.15">
      <c r="A104" s="14" t="str">
        <f t="shared" si="3"/>
        <v>51314</v>
      </c>
      <c r="B104" s="14" t="s">
        <v>567</v>
      </c>
      <c r="C104" s="14">
        <f>VLOOKUP($I104&amp;$F104&amp;$G104,装备属性表,装备属性计算表!AK$29,FALSE)</f>
        <v>14</v>
      </c>
      <c r="D104" s="14">
        <f t="shared" si="18"/>
        <v>0</v>
      </c>
      <c r="E104" s="14" t="str">
        <f>VLOOKUP(F104,CHOOSE({1,2},定义数据!$F$2:$F$7,武器部位),2)</f>
        <v>衣服</v>
      </c>
      <c r="F104" s="14">
        <v>1</v>
      </c>
      <c r="G104" s="14">
        <v>45</v>
      </c>
      <c r="H104" s="14">
        <f t="shared" si="7"/>
        <v>45</v>
      </c>
      <c r="I104" s="14">
        <v>3</v>
      </c>
      <c r="J104" s="14" t="str">
        <f t="shared" si="8"/>
        <v>4531</v>
      </c>
      <c r="K104" s="14" t="str">
        <f t="shared" si="9"/>
        <v>4531</v>
      </c>
      <c r="L104" s="76"/>
      <c r="M104" s="14">
        <f>IF(OR(G104&lt;15,G104=80),0,D_装备升级表!A104)</f>
        <v>45031</v>
      </c>
      <c r="N104" s="78">
        <v>1</v>
      </c>
      <c r="O104" s="14">
        <f t="shared" si="36"/>
        <v>1400</v>
      </c>
      <c r="P104" s="14"/>
      <c r="Q104" s="14">
        <f>VLOOKUP($I104&amp;$F104&amp;$G104,装备属性表,装备属性计算表!AL$29,FALSE)</f>
        <v>5</v>
      </c>
      <c r="R104" s="14">
        <f ca="1">VLOOKUP(VLOOKUP($I104&amp;$F104&amp;$G104,装备属性表,装备属性计算表!AM$29,FALSE),定义数据!$B$13:$C$35,2,FALSE)</f>
        <v>1</v>
      </c>
      <c r="S104" s="14">
        <f ca="1">VLOOKUP($I104&amp;$F104&amp;$G104,装备属性表,装备属性计算表!AN$29,FALSE)</f>
        <v>4264.7597883986518</v>
      </c>
      <c r="T104" s="14">
        <f ca="1">VLOOKUP(VLOOKUP($I104&amp;$F104&amp;$G104,装备属性表,装备属性计算表!AO$29,FALSE),定义数据!$B$13:$C$35,2,FALSE)</f>
        <v>3</v>
      </c>
      <c r="U104" s="14">
        <f ca="1">VLOOKUP($I104&amp;$F104&amp;$G104,装备属性表,装备属性计算表!AP$29,FALSE)</f>
        <v>93.605682135181979</v>
      </c>
      <c r="V104" s="14">
        <f ca="1">VLOOKUP(VLOOKUP($I104&amp;$F104&amp;$G104,装备属性表,装备属性计算表!AQ$29,FALSE),定义数据!$B$13:$C$35,2,FALSE)</f>
        <v>1</v>
      </c>
      <c r="W104" s="14">
        <f ca="1">VLOOKUP($I104&amp;$F104&amp;$G104,装备属性表,装备属性计算表!AR$29,FALSE)</f>
        <v>888.49162258305273</v>
      </c>
      <c r="X104" s="14">
        <f ca="1">VLOOKUP(VLOOKUP($I104&amp;$F104&amp;$G104,装备属性表,装备属性计算表!AS$29,FALSE),定义数据!$B$13:$C$35,2,FALSE)</f>
        <v>3</v>
      </c>
      <c r="Y104" s="14">
        <f ca="1">VLOOKUP($I104&amp;$F104&amp;$G104,装备属性表,装备属性计算表!AT$29,FALSE)</f>
        <v>29.25177566724437</v>
      </c>
      <c r="Z104" s="14">
        <f ca="1">VLOOKUP(VLOOKUP($I104&amp;$F104&amp;$G104,装备属性表,装备属性计算表!AU$29,FALSE),定义数据!$B$13:$C$35,2,FALSE)</f>
        <v>7</v>
      </c>
      <c r="AA104" s="14">
        <f ca="1">VLOOKUP($I104&amp;$F104&amp;$G104,装备属性表,装备属性计算表!AV$29,FALSE)</f>
        <v>21.250000000000007</v>
      </c>
      <c r="AB104" s="14">
        <f ca="1">VLOOKUP(VLOOKUP($I104&amp;$F104&amp;$G104,装备属性表,装备属性计算表!AW$29,FALSE),定义数据!$B$13:$C$35,2,FALSE)</f>
        <v>0</v>
      </c>
      <c r="AC104" s="14">
        <f>VLOOKUP($I104&amp;$F104&amp;$G104,装备属性表,装备属性计算表!AX$29,FALSE)</f>
        <v>0</v>
      </c>
      <c r="AD104" s="14">
        <f ca="1">VLOOKUP(VLOOKUP($I104&amp;$F104&amp;$G104,装备属性表,装备属性计算表!AY$29,FALSE),定义数据!$B$13:$C$35,2,FALSE)</f>
        <v>0</v>
      </c>
      <c r="AE104" s="14">
        <f>VLOOKUP($I104&amp;$F104&amp;$G104,装备属性表,装备属性计算表!AZ$29,FALSE)</f>
        <v>0</v>
      </c>
      <c r="AF104" s="14">
        <f ca="1">VLOOKUP(VLOOKUP($I104&amp;$F104&amp;$G104,装备属性表,装备属性计算表!BA$29,FALSE),定义数据!$B$13:$C$35,2,FALSE)</f>
        <v>0</v>
      </c>
      <c r="AG104" s="14">
        <f>VLOOKUP($I104&amp;$F104&amp;$G104,装备属性表,装备属性计算表!BB$29,FALSE)</f>
        <v>0</v>
      </c>
      <c r="AH104" s="14">
        <f ca="1">VLOOKUP(VLOOKUP($I104&amp;$F104&amp;$G104,装备属性表,装备属性计算表!BC$29,FALSE),定义数据!$B$13:$C$35,2,FALSE)</f>
        <v>0</v>
      </c>
      <c r="AI104" s="14">
        <f>VLOOKUP($I104&amp;$F104&amp;$G104,装备属性表,装备属性计算表!BD$29,FALSE)</f>
        <v>0</v>
      </c>
      <c r="AJ104" s="14">
        <f ca="1">VLOOKUP(VLOOKUP($I104&amp;$F104&amp;$G104,装备属性表,装备属性计算表!BE$29,FALSE),定义数据!$B$13:$C$35,2,FALSE)</f>
        <v>0</v>
      </c>
      <c r="AK104" s="14">
        <f>VLOOKUP($I104&amp;$F104&amp;$G104,装备属性表,装备属性计算表!BF$29,FALSE)</f>
        <v>0</v>
      </c>
      <c r="AL104" t="str">
        <f t="shared" si="37"/>
        <v>玄武战衣是一件45级橙色可升级的装备。</v>
      </c>
      <c r="AM104" t="str">
        <f>IF(D104=0,5,D104) &amp; F104&amp;"00"&amp;VLOOKUP(G104,定义数据!$F$20:$G$27,2,FALSE)&amp;".png"</f>
        <v>51004.png</v>
      </c>
      <c r="AN104" s="79">
        <f>IF(OR(G104&lt;15),0,D_装备升级表!A104)</f>
        <v>45031</v>
      </c>
      <c r="AP104">
        <f ca="1">VLOOKUP(G104&amp;I104&amp;F104,CHOOSE({1,2},装备属性计算表!$BK$32:$BK$187,装备属性计算表!$BJ$32:$BJ$187),2,FALSE)</f>
        <v>339.99029201947229</v>
      </c>
      <c r="AQ104">
        <f ca="1">AP104*'[1]0、经济设定'!$C$18</f>
        <v>16999.514600973616</v>
      </c>
      <c r="AR104">
        <f ca="1">IFERROR(AQ104*'[1]0、经济设定'!$E$19*AU104*AS104,0)</f>
        <v>2246.8814854874277</v>
      </c>
      <c r="AS104">
        <v>10</v>
      </c>
      <c r="AT104">
        <f t="shared" si="35"/>
        <v>270</v>
      </c>
      <c r="AU104">
        <f ca="1">IF(F104=0,IFERROR(AT104/AP104/'[1]0、经济设定'!$E$18,0),AU103)</f>
        <v>6.6086636537220356</v>
      </c>
      <c r="AV104">
        <f t="shared" ca="1" si="39"/>
        <v>13599.611680778891</v>
      </c>
    </row>
    <row r="105" spans="1:48" x14ac:dyDescent="0.15">
      <c r="A105" s="14" t="str">
        <f t="shared" si="3"/>
        <v>52314</v>
      </c>
      <c r="B105" s="14" t="s">
        <v>568</v>
      </c>
      <c r="C105" s="14">
        <f>VLOOKUP($I105&amp;$F105&amp;$G105,装备属性表,装备属性计算表!AK$29,FALSE)</f>
        <v>14</v>
      </c>
      <c r="D105" s="14">
        <f t="shared" si="18"/>
        <v>0</v>
      </c>
      <c r="E105" s="14" t="str">
        <f>VLOOKUP(F105,CHOOSE({1,2},定义数据!$F$2:$F$7,武器部位),2)</f>
        <v>裤子</v>
      </c>
      <c r="F105" s="14">
        <v>2</v>
      </c>
      <c r="G105" s="14">
        <v>45</v>
      </c>
      <c r="H105" s="14">
        <f t="shared" si="7"/>
        <v>45</v>
      </c>
      <c r="I105" s="14">
        <v>3</v>
      </c>
      <c r="J105" s="14" t="str">
        <f t="shared" si="8"/>
        <v>4532</v>
      </c>
      <c r="K105" s="14" t="str">
        <f t="shared" si="9"/>
        <v>4532</v>
      </c>
      <c r="L105" s="76"/>
      <c r="M105" s="14">
        <f>IF(OR(G105&lt;15,G105=80),0,D_装备升级表!A105)</f>
        <v>45032</v>
      </c>
      <c r="N105" s="78">
        <v>1</v>
      </c>
      <c r="O105" s="14">
        <f t="shared" si="36"/>
        <v>1400</v>
      </c>
      <c r="P105" s="14"/>
      <c r="Q105" s="14">
        <f>VLOOKUP($I105&amp;$F105&amp;$G105,装备属性表,装备属性计算表!AL$29,FALSE)</f>
        <v>5</v>
      </c>
      <c r="R105" s="14">
        <f ca="1">VLOOKUP(VLOOKUP($I105&amp;$F105&amp;$G105,装备属性表,装备属性计算表!AM$29,FALSE),定义数据!$B$13:$C$35,2,FALSE)</f>
        <v>3</v>
      </c>
      <c r="S105" s="14">
        <f ca="1">VLOOKUP($I105&amp;$F105&amp;$G105,装备属性表,装备属性计算表!AN$29,FALSE)</f>
        <v>62.403788090121317</v>
      </c>
      <c r="T105" s="14">
        <f ca="1">VLOOKUP(VLOOKUP($I105&amp;$F105&amp;$G105,装备属性表,装备属性计算表!AO$29,FALSE),定义数据!$B$13:$C$35,2,FALSE)</f>
        <v>7</v>
      </c>
      <c r="U105" s="14">
        <f ca="1">VLOOKUP($I105&amp;$F105&amp;$G105,装备属性表,装备属性计算表!AP$29,FALSE)</f>
        <v>94.444444444444457</v>
      </c>
      <c r="V105" s="14">
        <f ca="1">VLOOKUP(VLOOKUP($I105&amp;$F105&amp;$G105,装备属性表,装备属性计算表!AQ$29,FALSE),定义数据!$B$13:$C$35,2,FALSE)</f>
        <v>1</v>
      </c>
      <c r="W105" s="14">
        <f ca="1">VLOOKUP($I105&amp;$F105&amp;$G105,装备属性表,装备属性计算表!AR$29,FALSE)</f>
        <v>444.24581129152637</v>
      </c>
      <c r="X105" s="14">
        <f ca="1">VLOOKUP(VLOOKUP($I105&amp;$F105&amp;$G105,装备属性表,装备属性计算表!AS$29,FALSE),定义数据!$B$13:$C$35,2,FALSE)</f>
        <v>3</v>
      </c>
      <c r="Y105" s="14">
        <f ca="1">VLOOKUP($I105&amp;$F105&amp;$G105,装备属性表,装备属性计算表!AT$29,FALSE)</f>
        <v>9.7505918890814556</v>
      </c>
      <c r="Z105" s="14">
        <f ca="1">VLOOKUP(VLOOKUP($I105&amp;$F105&amp;$G105,装备属性表,装备属性计算表!AU$29,FALSE),定义数据!$B$13:$C$35,2,FALSE)</f>
        <v>7</v>
      </c>
      <c r="AA105" s="14">
        <f ca="1">VLOOKUP($I105&amp;$F105&amp;$G105,装备属性表,装备属性计算表!AV$29,FALSE)</f>
        <v>21.250000000000007</v>
      </c>
      <c r="AB105" s="14">
        <f ca="1">VLOOKUP(VLOOKUP($I105&amp;$F105&amp;$G105,装备属性表,装备属性计算表!AW$29,FALSE),定义数据!$B$13:$C$35,2,FALSE)</f>
        <v>0</v>
      </c>
      <c r="AC105" s="14">
        <f>VLOOKUP($I105&amp;$F105&amp;$G105,装备属性表,装备属性计算表!AX$29,FALSE)</f>
        <v>0</v>
      </c>
      <c r="AD105" s="14">
        <f ca="1">VLOOKUP(VLOOKUP($I105&amp;$F105&amp;$G105,装备属性表,装备属性计算表!AY$29,FALSE),定义数据!$B$13:$C$35,2,FALSE)</f>
        <v>0</v>
      </c>
      <c r="AE105" s="14">
        <f>VLOOKUP($I105&amp;$F105&amp;$G105,装备属性表,装备属性计算表!AZ$29,FALSE)</f>
        <v>0</v>
      </c>
      <c r="AF105" s="14">
        <f ca="1">VLOOKUP(VLOOKUP($I105&amp;$F105&amp;$G105,装备属性表,装备属性计算表!BA$29,FALSE),定义数据!$B$13:$C$35,2,FALSE)</f>
        <v>0</v>
      </c>
      <c r="AG105" s="14">
        <f>VLOOKUP($I105&amp;$F105&amp;$G105,装备属性表,装备属性计算表!BB$29,FALSE)</f>
        <v>0</v>
      </c>
      <c r="AH105" s="14">
        <f ca="1">VLOOKUP(VLOOKUP($I105&amp;$F105&amp;$G105,装备属性表,装备属性计算表!BC$29,FALSE),定义数据!$B$13:$C$35,2,FALSE)</f>
        <v>0</v>
      </c>
      <c r="AI105" s="14">
        <f>VLOOKUP($I105&amp;$F105&amp;$G105,装备属性表,装备属性计算表!BD$29,FALSE)</f>
        <v>0</v>
      </c>
      <c r="AJ105" s="14">
        <f ca="1">VLOOKUP(VLOOKUP($I105&amp;$F105&amp;$G105,装备属性表,装备属性计算表!BE$29,FALSE),定义数据!$B$13:$C$35,2,FALSE)</f>
        <v>0</v>
      </c>
      <c r="AK105" s="14">
        <f>VLOOKUP($I105&amp;$F105&amp;$G105,装备属性表,装备属性计算表!BF$29,FALSE)</f>
        <v>0</v>
      </c>
      <c r="AL105" t="str">
        <f t="shared" si="37"/>
        <v>玄武长裤是一件45级橙色可升级的装备。</v>
      </c>
      <c r="AM105" t="str">
        <f>IF(D105=0,5,D105) &amp; F105&amp;"00"&amp;VLOOKUP(G105,定义数据!$F$20:$G$27,2,FALSE)&amp;".png"</f>
        <v>52004.png</v>
      </c>
      <c r="AN105" s="79">
        <f>IF(OR(G105&lt;15),0,D_装备升级表!A105)</f>
        <v>45032</v>
      </c>
      <c r="AP105">
        <f ca="1">VLOOKUP(G105&amp;I105&amp;F105,CHOOSE({1,2},装备属性计算表!$BK$32:$BK$187,装备属性计算表!$BJ$32:$BJ$187),2,FALSE)</f>
        <v>133.03810131975271</v>
      </c>
      <c r="AQ105">
        <f ca="1">AP105*'[1]0、经济设定'!$C$18</f>
        <v>6651.9050659876357</v>
      </c>
      <c r="AR105">
        <f ca="1">IFERROR(AQ105*'[1]0、经济设定'!$E$19*AU105*AS105,0)</f>
        <v>879.20406475203936</v>
      </c>
      <c r="AS105">
        <v>10</v>
      </c>
      <c r="AT105">
        <f t="shared" si="35"/>
        <v>270</v>
      </c>
      <c r="AU105">
        <f ca="1">IF(F105=0,IFERROR(AT105/AP105/'[1]0、经济设定'!$E$18,0),AU104)</f>
        <v>6.6086636537220356</v>
      </c>
      <c r="AV105">
        <f t="shared" ca="1" si="39"/>
        <v>5321.5240527901087</v>
      </c>
    </row>
    <row r="106" spans="1:48" x14ac:dyDescent="0.15">
      <c r="A106" s="14" t="str">
        <f t="shared" si="3"/>
        <v>55314</v>
      </c>
      <c r="B106" s="14" t="s">
        <v>569</v>
      </c>
      <c r="C106" s="14">
        <f>VLOOKUP($I106&amp;$F106&amp;$G106,装备属性表,装备属性计算表!AK$29,FALSE)</f>
        <v>14</v>
      </c>
      <c r="D106" s="14">
        <f t="shared" si="18"/>
        <v>0</v>
      </c>
      <c r="E106" s="14" t="str">
        <f>VLOOKUP(F106,CHOOSE({1,2},定义数据!$F$2:$F$7,武器部位),2)</f>
        <v>鞋子</v>
      </c>
      <c r="F106" s="14">
        <v>5</v>
      </c>
      <c r="G106" s="14">
        <v>45</v>
      </c>
      <c r="H106" s="14">
        <f t="shared" si="7"/>
        <v>45</v>
      </c>
      <c r="I106" s="14">
        <v>3</v>
      </c>
      <c r="J106" s="14" t="str">
        <f t="shared" si="8"/>
        <v>4535</v>
      </c>
      <c r="K106" s="14" t="str">
        <f t="shared" si="9"/>
        <v>4535</v>
      </c>
      <c r="L106" s="76"/>
      <c r="M106" s="14">
        <f>IF(OR(G106&lt;15,G106=80),0,D_装备升级表!A106)</f>
        <v>45035</v>
      </c>
      <c r="N106" s="78">
        <v>1</v>
      </c>
      <c r="O106" s="14">
        <f t="shared" si="36"/>
        <v>1400</v>
      </c>
      <c r="P106" s="14"/>
      <c r="Q106" s="14">
        <f>VLOOKUP($I106&amp;$F106&amp;$G106,装备属性表,装备属性计算表!AL$29,FALSE)</f>
        <v>5</v>
      </c>
      <c r="R106" s="14">
        <f ca="1">VLOOKUP(VLOOKUP($I106&amp;$F106&amp;$G106,装备属性表,装备属性计算表!AM$29,FALSE),定义数据!$B$13:$C$35,2,FALSE)</f>
        <v>1</v>
      </c>
      <c r="S106" s="14">
        <f ca="1">VLOOKUP($I106&amp;$F106&amp;$G106,装备属性表,装备属性计算表!AN$29,FALSE)</f>
        <v>1421.5865961328843</v>
      </c>
      <c r="T106" s="14">
        <f ca="1">VLOOKUP(VLOOKUP($I106&amp;$F106&amp;$G106,装备属性表,装备属性计算表!AO$29,FALSE),定义数据!$B$13:$C$35,2,FALSE)</f>
        <v>7</v>
      </c>
      <c r="U106" s="14">
        <f ca="1">VLOOKUP($I106&amp;$F106&amp;$G106,装备属性表,装备属性计算表!AP$29,FALSE)</f>
        <v>188.88888888888891</v>
      </c>
      <c r="V106" s="14">
        <f ca="1">VLOOKUP(VLOOKUP($I106&amp;$F106&amp;$G106,装备属性表,装备属性计算表!AQ$29,FALSE),定义数据!$B$13:$C$35,2,FALSE)</f>
        <v>1</v>
      </c>
      <c r="W106" s="14">
        <f ca="1">VLOOKUP($I106&amp;$F106&amp;$G106,装备属性表,装备属性计算表!AR$29,FALSE)</f>
        <v>444.24581129152637</v>
      </c>
      <c r="X106" s="14">
        <f ca="1">VLOOKUP(VLOOKUP($I106&amp;$F106&amp;$G106,装备属性表,装备属性计算表!AS$29,FALSE),定义数据!$B$13:$C$35,2,FALSE)</f>
        <v>7</v>
      </c>
      <c r="Y106" s="14">
        <f ca="1">VLOOKUP($I106&amp;$F106&amp;$G106,装备属性表,装备属性计算表!AT$29,FALSE)</f>
        <v>42.500000000000014</v>
      </c>
      <c r="Z106" s="14">
        <f ca="1">VLOOKUP(VLOOKUP($I106&amp;$F106&amp;$G106,装备属性表,装备属性计算表!AU$29,FALSE),定义数据!$B$13:$C$35,2,FALSE)</f>
        <v>6</v>
      </c>
      <c r="AA106" s="14">
        <f ca="1">VLOOKUP($I106&amp;$F106&amp;$G106,装备属性表,装备属性计算表!AV$29,FALSE)</f>
        <v>35.416666666666671</v>
      </c>
      <c r="AB106" s="14">
        <f ca="1">VLOOKUP(VLOOKUP($I106&amp;$F106&amp;$G106,装备属性表,装备属性计算表!AW$29,FALSE),定义数据!$B$13:$C$35,2,FALSE)</f>
        <v>0</v>
      </c>
      <c r="AC106" s="14">
        <f>VLOOKUP($I106&amp;$F106&amp;$G106,装备属性表,装备属性计算表!AX$29,FALSE)</f>
        <v>0</v>
      </c>
      <c r="AD106" s="14">
        <f ca="1">VLOOKUP(VLOOKUP($I106&amp;$F106&amp;$G106,装备属性表,装备属性计算表!AY$29,FALSE),定义数据!$B$13:$C$35,2,FALSE)</f>
        <v>0</v>
      </c>
      <c r="AE106" s="14">
        <f>VLOOKUP($I106&amp;$F106&amp;$G106,装备属性表,装备属性计算表!AZ$29,FALSE)</f>
        <v>0</v>
      </c>
      <c r="AF106" s="14">
        <f ca="1">VLOOKUP(VLOOKUP($I106&amp;$F106&amp;$G106,装备属性表,装备属性计算表!BA$29,FALSE),定义数据!$B$13:$C$35,2,FALSE)</f>
        <v>0</v>
      </c>
      <c r="AG106" s="14">
        <f>VLOOKUP($I106&amp;$F106&amp;$G106,装备属性表,装备属性计算表!BB$29,FALSE)</f>
        <v>0</v>
      </c>
      <c r="AH106" s="14">
        <f ca="1">VLOOKUP(VLOOKUP($I106&amp;$F106&amp;$G106,装备属性表,装备属性计算表!BC$29,FALSE),定义数据!$B$13:$C$35,2,FALSE)</f>
        <v>0</v>
      </c>
      <c r="AI106" s="14">
        <f>VLOOKUP($I106&amp;$F106&amp;$G106,装备属性表,装备属性计算表!BD$29,FALSE)</f>
        <v>0</v>
      </c>
      <c r="AJ106" s="14">
        <f ca="1">VLOOKUP(VLOOKUP($I106&amp;$F106&amp;$G106,装备属性表,装备属性计算表!BE$29,FALSE),定义数据!$B$13:$C$35,2,FALSE)</f>
        <v>0</v>
      </c>
      <c r="AK106" s="14">
        <f>VLOOKUP($I106&amp;$F106&amp;$G106,装备属性表,装备属性计算表!BF$29,FALSE)</f>
        <v>0</v>
      </c>
      <c r="AL106" t="str">
        <f t="shared" si="37"/>
        <v>玄武长靴是一件45级橙色可升级的装备。</v>
      </c>
      <c r="AM106" t="str">
        <f>IF(D106=0,5,D106) &amp; F106&amp;"00"&amp;VLOOKUP(G106,定义数据!$F$20:$G$27,2,FALSE)&amp;".png"</f>
        <v>55004.png</v>
      </c>
      <c r="AN106" s="79">
        <f>IF(OR(G106&lt;15),0,D_装备升级表!A106)</f>
        <v>45035</v>
      </c>
      <c r="AP106">
        <f ca="1">VLOOKUP(G106&amp;I106&amp;F106,CHOOSE({1,2},装备属性计算表!$BK$32:$BK$187,装备属性计算表!$BJ$32:$BJ$187),2,FALSE)</f>
        <v>167.61385185253201</v>
      </c>
      <c r="AQ106">
        <f ca="1">AP106*'[1]0、经济设定'!$C$18</f>
        <v>8380.6925926266013</v>
      </c>
      <c r="AR106">
        <f ca="1">IFERROR(AQ106*'[1]0、经济设定'!$E$19*AU106*AS106,0)</f>
        <v>1107.7035705981784</v>
      </c>
      <c r="AS106">
        <v>10</v>
      </c>
      <c r="AT106">
        <f t="shared" si="35"/>
        <v>270</v>
      </c>
      <c r="AU106">
        <f ca="1">IF(F106=0,IFERROR(AT106/AP106/'[1]0、经济设定'!$E$18,0),AU105)</f>
        <v>6.6086636537220356</v>
      </c>
      <c r="AV106">
        <f t="shared" ca="1" si="39"/>
        <v>6704.5540741012801</v>
      </c>
    </row>
    <row r="107" spans="1:48" x14ac:dyDescent="0.15">
      <c r="A107" s="14" t="str">
        <f t="shared" si="3"/>
        <v>54314</v>
      </c>
      <c r="B107" s="14" t="s">
        <v>570</v>
      </c>
      <c r="C107" s="14">
        <f>VLOOKUP($I107&amp;$F107&amp;$G107,装备属性表,装备属性计算表!AK$29,FALSE)</f>
        <v>14</v>
      </c>
      <c r="D107" s="14">
        <f t="shared" si="18"/>
        <v>0</v>
      </c>
      <c r="E107" s="14" t="str">
        <f>VLOOKUP(F107,CHOOSE({1,2},定义数据!$F$2:$F$7,武器部位),2)</f>
        <v>腰带</v>
      </c>
      <c r="F107" s="14">
        <v>4</v>
      </c>
      <c r="G107" s="14">
        <v>45</v>
      </c>
      <c r="H107" s="14">
        <f t="shared" si="7"/>
        <v>45</v>
      </c>
      <c r="I107" s="14">
        <v>3</v>
      </c>
      <c r="J107" s="14" t="str">
        <f t="shared" si="8"/>
        <v>4534</v>
      </c>
      <c r="K107" s="14" t="str">
        <f t="shared" si="9"/>
        <v>4534</v>
      </c>
      <c r="L107" s="76"/>
      <c r="M107" s="14">
        <f>IF(OR(G107&lt;15,G107=80),0,D_装备升级表!A107)</f>
        <v>45034</v>
      </c>
      <c r="N107" s="78">
        <v>1</v>
      </c>
      <c r="O107" s="14">
        <f t="shared" si="36"/>
        <v>1400</v>
      </c>
      <c r="P107" s="14"/>
      <c r="Q107" s="14">
        <f>VLOOKUP($I107&amp;$F107&amp;$G107,装备属性表,装备属性计算表!AL$29,FALSE)</f>
        <v>5</v>
      </c>
      <c r="R107" s="14">
        <f ca="1">VLOOKUP(VLOOKUP($I107&amp;$F107&amp;$G107,装备属性表,装备属性计算表!AM$29,FALSE),定义数据!$B$13:$C$35,2,FALSE)</f>
        <v>1</v>
      </c>
      <c r="S107" s="14">
        <f ca="1">VLOOKUP($I107&amp;$F107&amp;$G107,装备属性表,装备属性计算表!AN$29,FALSE)</f>
        <v>1421.5865961328843</v>
      </c>
      <c r="T107" s="14">
        <f ca="1">VLOOKUP(VLOOKUP($I107&amp;$F107&amp;$G107,装备属性表,装备属性计算表!AO$29,FALSE),定义数据!$B$13:$C$35,2,FALSE)</f>
        <v>9</v>
      </c>
      <c r="U107" s="14">
        <f ca="1">VLOOKUP($I107&amp;$F107&amp;$G107,装备属性表,装备属性计算表!AP$29,FALSE)</f>
        <v>167.90123456790124</v>
      </c>
      <c r="V107" s="14">
        <f ca="1">VLOOKUP(VLOOKUP($I107&amp;$F107&amp;$G107,装备属性表,装备属性计算表!AQ$29,FALSE),定义数据!$B$13:$C$35,2,FALSE)</f>
        <v>1</v>
      </c>
      <c r="W107" s="14">
        <f ca="1">VLOOKUP($I107&amp;$F107&amp;$G107,装备属性表,装备属性计算表!AR$29,FALSE)</f>
        <v>888.49162258305273</v>
      </c>
      <c r="X107" s="14">
        <f ca="1">VLOOKUP(VLOOKUP($I107&amp;$F107&amp;$G107,装备属性表,装备属性计算表!AS$29,FALSE),定义数据!$B$13:$C$35,2,FALSE)</f>
        <v>2</v>
      </c>
      <c r="Y107" s="14">
        <f ca="1">VLOOKUP($I107&amp;$F107&amp;$G107,装备属性表,装备属性计算表!AT$29,FALSE)</f>
        <v>27.077445818181836</v>
      </c>
      <c r="Z107" s="14">
        <f ca="1">VLOOKUP(VLOOKUP($I107&amp;$F107&amp;$G107,装备属性表,装备属性计算表!AU$29,FALSE),定义数据!$B$13:$C$35,2,FALSE)</f>
        <v>3</v>
      </c>
      <c r="AA107" s="14">
        <f ca="1">VLOOKUP($I107&amp;$F107&amp;$G107,装备属性表,装备属性计算表!AV$29,FALSE)</f>
        <v>9.7505918890814556</v>
      </c>
      <c r="AB107" s="14">
        <f ca="1">VLOOKUP(VLOOKUP($I107&amp;$F107&amp;$G107,装备属性表,装备属性计算表!AW$29,FALSE),定义数据!$B$13:$C$35,2,FALSE)</f>
        <v>0</v>
      </c>
      <c r="AC107" s="14">
        <f>VLOOKUP($I107&amp;$F107&amp;$G107,装备属性表,装备属性计算表!AX$29,FALSE)</f>
        <v>0</v>
      </c>
      <c r="AD107" s="14">
        <f ca="1">VLOOKUP(VLOOKUP($I107&amp;$F107&amp;$G107,装备属性表,装备属性计算表!AY$29,FALSE),定义数据!$B$13:$C$35,2,FALSE)</f>
        <v>0</v>
      </c>
      <c r="AE107" s="14">
        <f>VLOOKUP($I107&amp;$F107&amp;$G107,装备属性表,装备属性计算表!AZ$29,FALSE)</f>
        <v>0</v>
      </c>
      <c r="AF107" s="14">
        <f ca="1">VLOOKUP(VLOOKUP($I107&amp;$F107&amp;$G107,装备属性表,装备属性计算表!BA$29,FALSE),定义数据!$B$13:$C$35,2,FALSE)</f>
        <v>0</v>
      </c>
      <c r="AG107" s="14">
        <f>VLOOKUP($I107&amp;$F107&amp;$G107,装备属性表,装备属性计算表!BB$29,FALSE)</f>
        <v>0</v>
      </c>
      <c r="AH107" s="14">
        <f ca="1">VLOOKUP(VLOOKUP($I107&amp;$F107&amp;$G107,装备属性表,装备属性计算表!BC$29,FALSE),定义数据!$B$13:$C$35,2,FALSE)</f>
        <v>0</v>
      </c>
      <c r="AI107" s="14">
        <f>VLOOKUP($I107&amp;$F107&amp;$G107,装备属性表,装备属性计算表!BD$29,FALSE)</f>
        <v>0</v>
      </c>
      <c r="AJ107" s="14">
        <f ca="1">VLOOKUP(VLOOKUP($I107&amp;$F107&amp;$G107,装备属性表,装备属性计算表!BE$29,FALSE),定义数据!$B$13:$C$35,2,FALSE)</f>
        <v>0</v>
      </c>
      <c r="AK107" s="14">
        <f>VLOOKUP($I107&amp;$F107&amp;$G107,装备属性表,装备属性计算表!BF$29,FALSE)</f>
        <v>0</v>
      </c>
      <c r="AL107" t="str">
        <f t="shared" si="37"/>
        <v>玄武腰带是一件45级橙色可升级的装备。</v>
      </c>
      <c r="AM107" t="str">
        <f>IF(D107=0,5,D107) &amp; F107&amp;"00"&amp;VLOOKUP(G107,定义数据!$F$20:$G$27,2,FALSE)&amp;".png"</f>
        <v>54004.png</v>
      </c>
      <c r="AN107" s="79">
        <f>IF(OR(G107&lt;15),0,D_装备升级表!A107)</f>
        <v>45034</v>
      </c>
      <c r="AP107">
        <f ca="1">VLOOKUP(G107&amp;I107&amp;F107,CHOOSE({1,2},装备属性计算表!$BK$32:$BK$187,装备属性计算表!$BJ$32:$BJ$187),2,FALSE)</f>
        <v>163.23116645590079</v>
      </c>
      <c r="AQ107">
        <f ca="1">AP107*'[1]0、经济设定'!$C$18</f>
        <v>8161.5583227950392</v>
      </c>
      <c r="AR107">
        <f ca="1">IFERROR(AQ107*'[1]0、经济设定'!$E$19*AU107*AS107,0)</f>
        <v>1078.7398769117631</v>
      </c>
      <c r="AS107">
        <v>10</v>
      </c>
      <c r="AT107">
        <f t="shared" si="35"/>
        <v>270</v>
      </c>
      <c r="AU107">
        <f ca="1">IF(F107=0,IFERROR(AT107/AP107/'[1]0、经济设定'!$E$18,0),AU106)</f>
        <v>6.6086636537220356</v>
      </c>
      <c r="AV107">
        <f t="shared" ca="1" si="39"/>
        <v>6529.2466582360321</v>
      </c>
    </row>
    <row r="108" spans="1:48" x14ac:dyDescent="0.15">
      <c r="A108" s="14" t="str">
        <f t="shared" si="3"/>
        <v>53314</v>
      </c>
      <c r="B108" s="14" t="s">
        <v>571</v>
      </c>
      <c r="C108" s="14">
        <f>VLOOKUP($I108&amp;$F108&amp;$G108,装备属性表,装备属性计算表!AK$29,FALSE)</f>
        <v>14</v>
      </c>
      <c r="D108" s="14">
        <f t="shared" si="18"/>
        <v>0</v>
      </c>
      <c r="E108" s="14" t="str">
        <f>VLOOKUP(F108,CHOOSE({1,2},定义数据!$F$2:$F$7,武器部位),2)</f>
        <v>项链</v>
      </c>
      <c r="F108" s="14">
        <v>3</v>
      </c>
      <c r="G108" s="14">
        <v>45</v>
      </c>
      <c r="H108" s="14">
        <f t="shared" si="7"/>
        <v>45</v>
      </c>
      <c r="I108" s="14">
        <v>3</v>
      </c>
      <c r="J108" s="14" t="str">
        <f t="shared" si="8"/>
        <v>4533</v>
      </c>
      <c r="K108" s="14" t="str">
        <f t="shared" si="9"/>
        <v>4533</v>
      </c>
      <c r="L108" s="76"/>
      <c r="M108" s="14">
        <f>IF(OR(G108&lt;15,G108=80),0,D_装备升级表!A108)</f>
        <v>45033</v>
      </c>
      <c r="N108" s="78">
        <v>1</v>
      </c>
      <c r="O108" s="14">
        <f t="shared" si="36"/>
        <v>1400</v>
      </c>
      <c r="P108" s="14"/>
      <c r="Q108" s="14">
        <f>VLOOKUP($I108&amp;$F108&amp;$G108,装备属性表,装备属性计算表!AL$29,FALSE)</f>
        <v>5</v>
      </c>
      <c r="R108" s="14">
        <f ca="1">VLOOKUP(VLOOKUP($I108&amp;$F108&amp;$G108,装备属性表,装备属性计算表!AM$29,FALSE),定义数据!$B$13:$C$35,2,FALSE)</f>
        <v>2</v>
      </c>
      <c r="S108" s="14">
        <f ca="1">VLOOKUP($I108&amp;$F108&amp;$G108,装备属性表,装备属性计算表!AN$29,FALSE)</f>
        <v>90.258152727272773</v>
      </c>
      <c r="T108" s="14">
        <f ca="1">VLOOKUP(VLOOKUP($I108&amp;$F108&amp;$G108,装备属性表,装备属性计算表!AO$29,FALSE),定义数据!$B$13:$C$35,2,FALSE)</f>
        <v>6</v>
      </c>
      <c r="U108" s="14">
        <f ca="1">VLOOKUP($I108&amp;$F108&amp;$G108,装备属性表,装备属性计算表!AP$29,FALSE)</f>
        <v>283.33333333333337</v>
      </c>
      <c r="V108" s="14">
        <f ca="1">VLOOKUP(VLOOKUP($I108&amp;$F108&amp;$G108,装备属性表,装备属性计算表!AQ$29,FALSE),定义数据!$B$13:$C$35,2,FALSE)</f>
        <v>2</v>
      </c>
      <c r="W108" s="14">
        <f ca="1">VLOOKUP($I108&amp;$F108&amp;$G108,装备属性表,装备属性计算表!AR$29,FALSE)</f>
        <v>27.077445818181836</v>
      </c>
      <c r="X108" s="14">
        <f ca="1">VLOOKUP(VLOOKUP($I108&amp;$F108&amp;$G108,装备属性表,装备属性计算表!AS$29,FALSE),定义数据!$B$13:$C$35,2,FALSE)</f>
        <v>7</v>
      </c>
      <c r="Y108" s="14">
        <f ca="1">VLOOKUP($I108&amp;$F108&amp;$G108,装备属性表,装备属性计算表!AT$29,FALSE)</f>
        <v>21.250000000000007</v>
      </c>
      <c r="Z108" s="14">
        <f ca="1">VLOOKUP(VLOOKUP($I108&amp;$F108&amp;$G108,装备属性表,装备属性计算表!AU$29,FALSE),定义数据!$B$13:$C$35,2,FALSE)</f>
        <v>6</v>
      </c>
      <c r="AA108" s="14">
        <f ca="1">VLOOKUP($I108&amp;$F108&amp;$G108,装备属性表,装备属性计算表!AV$29,FALSE)</f>
        <v>35.416666666666671</v>
      </c>
      <c r="AB108" s="14">
        <f ca="1">VLOOKUP(VLOOKUP($I108&amp;$F108&amp;$G108,装备属性表,装备属性计算表!AW$29,FALSE),定义数据!$B$13:$C$35,2,FALSE)</f>
        <v>0</v>
      </c>
      <c r="AC108" s="14">
        <f>VLOOKUP($I108&amp;$F108&amp;$G108,装备属性表,装备属性计算表!AX$29,FALSE)</f>
        <v>0</v>
      </c>
      <c r="AD108" s="14">
        <f ca="1">VLOOKUP(VLOOKUP($I108&amp;$F108&amp;$G108,装备属性表,装备属性计算表!AY$29,FALSE),定义数据!$B$13:$C$35,2,FALSE)</f>
        <v>0</v>
      </c>
      <c r="AE108" s="14">
        <f>VLOOKUP($I108&amp;$F108&amp;$G108,装备属性表,装备属性计算表!AZ$29,FALSE)</f>
        <v>0</v>
      </c>
      <c r="AF108" s="14">
        <f ca="1">VLOOKUP(VLOOKUP($I108&amp;$F108&amp;$G108,装备属性表,装备属性计算表!BA$29,FALSE),定义数据!$B$13:$C$35,2,FALSE)</f>
        <v>0</v>
      </c>
      <c r="AG108" s="14">
        <f>VLOOKUP($I108&amp;$F108&amp;$G108,装备属性表,装备属性计算表!BB$29,FALSE)</f>
        <v>0</v>
      </c>
      <c r="AH108" s="14">
        <f ca="1">VLOOKUP(VLOOKUP($I108&amp;$F108&amp;$G108,装备属性表,装备属性计算表!BC$29,FALSE),定义数据!$B$13:$C$35,2,FALSE)</f>
        <v>0</v>
      </c>
      <c r="AI108" s="14">
        <f>VLOOKUP($I108&amp;$F108&amp;$G108,装备属性表,装备属性计算表!BD$29,FALSE)</f>
        <v>0</v>
      </c>
      <c r="AJ108" s="14">
        <f ca="1">VLOOKUP(VLOOKUP($I108&amp;$F108&amp;$G108,装备属性表,装备属性计算表!BE$29,FALSE),定义数据!$B$13:$C$35,2,FALSE)</f>
        <v>0</v>
      </c>
      <c r="AK108" s="14">
        <f>VLOOKUP($I108&amp;$F108&amp;$G108,装备属性表,装备属性计算表!BF$29,FALSE)</f>
        <v>0</v>
      </c>
      <c r="AL108" t="str">
        <f t="shared" si="37"/>
        <v>玄武项链是一件45级橙色可升级的装备。</v>
      </c>
      <c r="AM108" t="str">
        <f>IF(D108=0,5,D108) &amp; F108&amp;"00"&amp;VLOOKUP(G108,定义数据!$F$20:$G$27,2,FALSE)&amp;".png"</f>
        <v>53004.png</v>
      </c>
      <c r="AN108" s="79">
        <f>IF(OR(G108&lt;15),0,D_装备升级表!A108)</f>
        <v>45033</v>
      </c>
      <c r="AP108">
        <f ca="1">VLOOKUP(G108&amp;I108&amp;F108,CHOOSE({1,2},装备属性计算表!$BK$32:$BK$187,装备属性计算表!$BJ$32:$BJ$187),2,FALSE)</f>
        <v>237.468931878788</v>
      </c>
      <c r="AQ108">
        <f ca="1">AP108*'[1]0、经济设定'!$C$18</f>
        <v>11873.446593939399</v>
      </c>
      <c r="AR108">
        <f ca="1">IFERROR(AQ108*'[1]0、经济设定'!$E$19*AU108*AS108,0)</f>
        <v>1569.3522989955404</v>
      </c>
      <c r="AS108">
        <v>10</v>
      </c>
      <c r="AT108">
        <f t="shared" si="35"/>
        <v>270</v>
      </c>
      <c r="AU108">
        <f ca="1">IF(F108=0,IFERROR(AT108/AP108/'[1]0、经济设定'!$E$18,0),AU107)</f>
        <v>6.6086636537220356</v>
      </c>
      <c r="AV108">
        <f t="shared" ca="1" si="39"/>
        <v>9498.7572751515199</v>
      </c>
    </row>
    <row r="109" spans="1:48" x14ac:dyDescent="0.15">
      <c r="A109" s="14" t="str">
        <f t="shared" si="3"/>
        <v>10415</v>
      </c>
      <c r="B109" s="14" t="s">
        <v>326</v>
      </c>
      <c r="C109" s="14">
        <f>VLOOKUP($I109&amp;$F109&amp;$G109,装备属性表,装备属性计算表!AK$29,FALSE)</f>
        <v>15</v>
      </c>
      <c r="D109" s="14">
        <f t="shared" si="18"/>
        <v>1</v>
      </c>
      <c r="E109" s="14" t="str">
        <f>VLOOKUP(F109,CHOOSE({1,2},定义数据!$F$2:$F$7,武器部位),2)</f>
        <v>武器</v>
      </c>
      <c r="F109" s="14">
        <v>0</v>
      </c>
      <c r="G109" s="14">
        <v>45</v>
      </c>
      <c r="H109" s="14">
        <f t="shared" si="7"/>
        <v>45</v>
      </c>
      <c r="I109" s="14">
        <v>4</v>
      </c>
      <c r="J109" s="14" t="str">
        <f t="shared" ref="J109:J124" si="40">G109&amp;I109&amp;F109</f>
        <v>4540</v>
      </c>
      <c r="K109" s="14" t="str">
        <f t="shared" ref="K109:K124" si="41">G109&amp;I109&amp;F109</f>
        <v>4540</v>
      </c>
      <c r="L109" s="76"/>
      <c r="M109" s="14">
        <f>IF(OR(G109&lt;15,G109=80),0,D_装备升级表!A109)</f>
        <v>45140</v>
      </c>
      <c r="N109" s="78">
        <v>1</v>
      </c>
      <c r="O109" s="14">
        <f t="shared" si="36"/>
        <v>1500</v>
      </c>
      <c r="P109" s="14"/>
      <c r="Q109" s="14">
        <f>VLOOKUP($I109&amp;$F109&amp;$G109,装备属性表,装备属性计算表!AL$29,FALSE)</f>
        <v>6</v>
      </c>
      <c r="R109" s="14">
        <f ca="1">VLOOKUP(VLOOKUP($I109&amp;$F109&amp;$G109,装备属性表,装备属性计算表!AM$29,FALSE),定义数据!$B$13:$C$35,2,FALSE)</f>
        <v>2</v>
      </c>
      <c r="S109" s="14">
        <f ca="1">VLOOKUP($I109&amp;$F109&amp;$G109,装备属性表,装备属性计算表!AN$29,FALSE)</f>
        <v>278.73841283422462</v>
      </c>
      <c r="T109" s="14">
        <f ca="1">VLOOKUP(VLOOKUP($I109&amp;$F109&amp;$G109,装备属性表,装备属性计算表!AO$29,FALSE),定义数据!$B$13:$C$35,2,FALSE)</f>
        <v>8</v>
      </c>
      <c r="U109" s="14">
        <f ca="1">VLOOKUP($I109&amp;$F109&amp;$G109,装备属性表,装备属性计算表!AP$29,FALSE)</f>
        <v>172.83950617283952</v>
      </c>
      <c r="V109" s="14">
        <f ca="1">VLOOKUP(VLOOKUP($I109&amp;$F109&amp;$G109,装备属性表,装备属性计算表!AQ$29,FALSE),定义数据!$B$13:$C$35,2,FALSE)</f>
        <v>2</v>
      </c>
      <c r="W109" s="14">
        <f ca="1">VLOOKUP($I109&amp;$F109&amp;$G109,装备属性表,装备属性计算表!AR$29,FALSE)</f>
        <v>127.4232744385027</v>
      </c>
      <c r="X109" s="14">
        <f ca="1">VLOOKUP(VLOOKUP($I109&amp;$F109&amp;$G109,装备属性表,装备属性计算表!AS$29,FALSE),定义数据!$B$13:$C$35,2,FALSE)</f>
        <v>3</v>
      </c>
      <c r="Y109" s="14">
        <f ca="1">VLOOKUP($I109&amp;$F109&amp;$G109,装备属性表,装备属性计算表!AT$29,FALSE)</f>
        <v>15.295046100519933</v>
      </c>
      <c r="Z109" s="14">
        <f ca="1">VLOOKUP(VLOOKUP($I109&amp;$F109&amp;$G109,装备属性表,装备属性计算表!AU$29,FALSE),定义数据!$B$13:$C$35,2,FALSE)</f>
        <v>6</v>
      </c>
      <c r="AA109" s="14">
        <f ca="1">VLOOKUP($I109&amp;$F109&amp;$G109,装备属性表,装备属性计算表!AV$29,FALSE)</f>
        <v>55.555555555555557</v>
      </c>
      <c r="AB109" s="14">
        <f ca="1">VLOOKUP(VLOOKUP($I109&amp;$F109&amp;$G109,装备属性表,装备属性计算表!AW$29,FALSE),定义数据!$B$13:$C$35,2,FALSE)</f>
        <v>8</v>
      </c>
      <c r="AC109" s="14">
        <f ca="1">VLOOKUP($I109&amp;$F109&amp;$G109,装备属性表,装备属性计算表!AX$29,FALSE)</f>
        <v>39.506172839506178</v>
      </c>
      <c r="AD109" s="14">
        <f ca="1">VLOOKUP(VLOOKUP($I109&amp;$F109&amp;$G109,装备属性表,装备属性计算表!AY$29,FALSE),定义数据!$B$13:$C$35,2,FALSE)</f>
        <v>0</v>
      </c>
      <c r="AE109" s="14">
        <f>VLOOKUP($I109&amp;$F109&amp;$G109,装备属性表,装备属性计算表!AZ$29,FALSE)</f>
        <v>0</v>
      </c>
      <c r="AF109" s="14">
        <f ca="1">VLOOKUP(VLOOKUP($I109&amp;$F109&amp;$G109,装备属性表,装备属性计算表!BA$29,FALSE),定义数据!$B$13:$C$35,2,FALSE)</f>
        <v>0</v>
      </c>
      <c r="AG109" s="14">
        <f>VLOOKUP($I109&amp;$F109&amp;$G109,装备属性表,装备属性计算表!BB$29,FALSE)</f>
        <v>0</v>
      </c>
      <c r="AH109" s="14">
        <f ca="1">VLOOKUP(VLOOKUP($I109&amp;$F109&amp;$G109,装备属性表,装备属性计算表!BC$29,FALSE),定义数据!$B$13:$C$35,2,FALSE)</f>
        <v>0</v>
      </c>
      <c r="AI109" s="14">
        <f>VLOOKUP($I109&amp;$F109&amp;$G109,装备属性表,装备属性计算表!BD$29,FALSE)</f>
        <v>0</v>
      </c>
      <c r="AJ109" s="14">
        <f ca="1">VLOOKUP(VLOOKUP($I109&amp;$F109&amp;$G109,装备属性表,装备属性计算表!BE$29,FALSE),定义数据!$B$13:$C$35,2,FALSE)</f>
        <v>0</v>
      </c>
      <c r="AK109" s="14">
        <f>VLOOKUP($I109&amp;$F109&amp;$G109,装备属性表,装备属性计算表!BF$29,FALSE)</f>
        <v>0</v>
      </c>
      <c r="AL109" t="str">
        <f t="shared" si="37"/>
        <v>暗魔之刃是一件45级红色可升级的装备。</v>
      </c>
      <c r="AM109" t="str">
        <f>IF(D109=0,5,D109) &amp; F109&amp;"00"&amp;VLOOKUP(G109,定义数据!$F$20:$G$27,2,FALSE)&amp;".png"</f>
        <v>10004.png</v>
      </c>
      <c r="AN109" s="79">
        <f>IF(OR(G109&lt;15),0,D_装备升级表!A109)</f>
        <v>45140</v>
      </c>
      <c r="AP109">
        <f ca="1">VLOOKUP(G109&amp;I109&amp;F109,CHOOSE({1,2},装备属性计算表!$BK$32:$BK$187,装备属性计算表!$BJ$32:$BJ$187),2,FALSE)</f>
        <v>478.56784448435837</v>
      </c>
      <c r="AQ109">
        <f ca="1">AP109*'[1]0、经济设定'!$C$18</f>
        <v>23928.392224217918</v>
      </c>
      <c r="AR109">
        <f ca="1">IFERROR(AQ109*'[1]0、经济设定'!$E$19*AU109*AS109,0)</f>
        <v>4500</v>
      </c>
      <c r="AS109">
        <v>10</v>
      </c>
      <c r="AT109">
        <f t="shared" si="35"/>
        <v>450</v>
      </c>
      <c r="AU109">
        <f ca="1">IF(F109=0,IFERROR(AT109/AP109/'[1]0、经济设定'!$E$18,0),AU108)</f>
        <v>9.403055495399208</v>
      </c>
      <c r="AV109">
        <f t="shared" ca="1" si="39"/>
        <v>19142.713779374335</v>
      </c>
    </row>
    <row r="110" spans="1:48" x14ac:dyDescent="0.15">
      <c r="A110" s="14" t="str">
        <f t="shared" si="3"/>
        <v>20415</v>
      </c>
      <c r="B110" s="14" t="s">
        <v>327</v>
      </c>
      <c r="C110" s="14">
        <f>VLOOKUP($I110&amp;$F110&amp;$G110,装备属性表,装备属性计算表!AK$29,FALSE)</f>
        <v>15</v>
      </c>
      <c r="D110" s="14">
        <f t="shared" si="18"/>
        <v>2</v>
      </c>
      <c r="E110" s="14" t="str">
        <f>VLOOKUP(F110,CHOOSE({1,2},定义数据!$F$2:$F$7,武器部位),2)</f>
        <v>武器</v>
      </c>
      <c r="F110" s="14">
        <v>0</v>
      </c>
      <c r="G110" s="14">
        <v>45</v>
      </c>
      <c r="H110" s="14">
        <f t="shared" si="7"/>
        <v>45</v>
      </c>
      <c r="I110" s="14">
        <v>4</v>
      </c>
      <c r="J110" s="14" t="str">
        <f t="shared" si="40"/>
        <v>4540</v>
      </c>
      <c r="K110" s="14" t="str">
        <f t="shared" si="41"/>
        <v>4540</v>
      </c>
      <c r="L110" s="76"/>
      <c r="M110" s="14">
        <f>IF(OR(G110&lt;15,G110=80),0,D_装备升级表!A110)</f>
        <v>45240</v>
      </c>
      <c r="N110" s="78">
        <v>1</v>
      </c>
      <c r="O110" s="14">
        <f t="shared" si="36"/>
        <v>1500</v>
      </c>
      <c r="P110" s="14"/>
      <c r="Q110" s="14">
        <f>VLOOKUP($I110&amp;$F110&amp;$G110,装备属性表,装备属性计算表!AL$29,FALSE)</f>
        <v>6</v>
      </c>
      <c r="R110" s="14">
        <f ca="1">VLOOKUP(VLOOKUP($I110&amp;$F110&amp;$G110,装备属性表,装备属性计算表!AM$29,FALSE),定义数据!$B$13:$C$35,2,FALSE)</f>
        <v>2</v>
      </c>
      <c r="S110" s="14">
        <f ca="1">VLOOKUP($I110&amp;$F110&amp;$G110,装备属性表,装备属性计算表!AN$29,FALSE)</f>
        <v>278.73841283422462</v>
      </c>
      <c r="T110" s="14">
        <f ca="1">VLOOKUP(VLOOKUP($I110&amp;$F110&amp;$G110,装备属性表,装备属性计算表!AO$29,FALSE),定义数据!$B$13:$C$35,2,FALSE)</f>
        <v>8</v>
      </c>
      <c r="U110" s="14">
        <f ca="1">VLOOKUP($I110&amp;$F110&amp;$G110,装备属性表,装备属性计算表!AP$29,FALSE)</f>
        <v>172.83950617283952</v>
      </c>
      <c r="V110" s="14">
        <f ca="1">VLOOKUP(VLOOKUP($I110&amp;$F110&amp;$G110,装备属性表,装备属性计算表!AQ$29,FALSE),定义数据!$B$13:$C$35,2,FALSE)</f>
        <v>2</v>
      </c>
      <c r="W110" s="14">
        <f ca="1">VLOOKUP($I110&amp;$F110&amp;$G110,装备属性表,装备属性计算表!AR$29,FALSE)</f>
        <v>127.4232744385027</v>
      </c>
      <c r="X110" s="14">
        <f ca="1">VLOOKUP(VLOOKUP($I110&amp;$F110&amp;$G110,装备属性表,装备属性计算表!AS$29,FALSE),定义数据!$B$13:$C$35,2,FALSE)</f>
        <v>3</v>
      </c>
      <c r="Y110" s="14">
        <f ca="1">VLOOKUP($I110&amp;$F110&amp;$G110,装备属性表,装备属性计算表!AT$29,FALSE)</f>
        <v>15.295046100519933</v>
      </c>
      <c r="Z110" s="14">
        <f ca="1">VLOOKUP(VLOOKUP($I110&amp;$F110&amp;$G110,装备属性表,装备属性计算表!AU$29,FALSE),定义数据!$B$13:$C$35,2,FALSE)</f>
        <v>6</v>
      </c>
      <c r="AA110" s="14">
        <f ca="1">VLOOKUP($I110&amp;$F110&amp;$G110,装备属性表,装备属性计算表!AV$29,FALSE)</f>
        <v>55.555555555555557</v>
      </c>
      <c r="AB110" s="14">
        <f ca="1">VLOOKUP(VLOOKUP($I110&amp;$F110&amp;$G110,装备属性表,装备属性计算表!AW$29,FALSE),定义数据!$B$13:$C$35,2,FALSE)</f>
        <v>8</v>
      </c>
      <c r="AC110" s="14">
        <f ca="1">VLOOKUP($I110&amp;$F110&amp;$G110,装备属性表,装备属性计算表!AX$29,FALSE)</f>
        <v>39.506172839506178</v>
      </c>
      <c r="AD110" s="14">
        <f ca="1">VLOOKUP(VLOOKUP($I110&amp;$F110&amp;$G110,装备属性表,装备属性计算表!AY$29,FALSE),定义数据!$B$13:$C$35,2,FALSE)</f>
        <v>0</v>
      </c>
      <c r="AE110" s="14">
        <f>VLOOKUP($I110&amp;$F110&amp;$G110,装备属性表,装备属性计算表!AZ$29,FALSE)</f>
        <v>0</v>
      </c>
      <c r="AF110" s="14">
        <f ca="1">VLOOKUP(VLOOKUP($I110&amp;$F110&amp;$G110,装备属性表,装备属性计算表!BA$29,FALSE),定义数据!$B$13:$C$35,2,FALSE)</f>
        <v>0</v>
      </c>
      <c r="AG110" s="14">
        <f>VLOOKUP($I110&amp;$F110&amp;$G110,装备属性表,装备属性计算表!BB$29,FALSE)</f>
        <v>0</v>
      </c>
      <c r="AH110" s="14">
        <f ca="1">VLOOKUP(VLOOKUP($I110&amp;$F110&amp;$G110,装备属性表,装备属性计算表!BC$29,FALSE),定义数据!$B$13:$C$35,2,FALSE)</f>
        <v>0</v>
      </c>
      <c r="AI110" s="14">
        <f>VLOOKUP($I110&amp;$F110&amp;$G110,装备属性表,装备属性计算表!BD$29,FALSE)</f>
        <v>0</v>
      </c>
      <c r="AJ110" s="14">
        <f ca="1">VLOOKUP(VLOOKUP($I110&amp;$F110&amp;$G110,装备属性表,装备属性计算表!BE$29,FALSE),定义数据!$B$13:$C$35,2,FALSE)</f>
        <v>0</v>
      </c>
      <c r="AK110" s="14">
        <f>VLOOKUP($I110&amp;$F110&amp;$G110,装备属性表,装备属性计算表!BF$29,FALSE)</f>
        <v>0</v>
      </c>
      <c r="AL110" t="str">
        <f t="shared" si="37"/>
        <v>暗魔之拳是一件45级红色可升级的装备。</v>
      </c>
      <c r="AM110" t="str">
        <f>IF(D110=0,5,D110) &amp; F110&amp;"00"&amp;VLOOKUP(G110,定义数据!$F$20:$G$27,2,FALSE)&amp;".png"</f>
        <v>20004.png</v>
      </c>
      <c r="AN110" s="79">
        <f>IF(OR(G110&lt;15),0,D_装备升级表!A110)</f>
        <v>45240</v>
      </c>
      <c r="AP110">
        <f ca="1">VLOOKUP(G110&amp;I110&amp;F110,CHOOSE({1,2},装备属性计算表!$BK$32:$BK$187,装备属性计算表!$BJ$32:$BJ$187),2,FALSE)</f>
        <v>478.56784448435837</v>
      </c>
      <c r="AQ110">
        <f ca="1">AP110*'[1]0、经济设定'!$C$18</f>
        <v>23928.392224217918</v>
      </c>
      <c r="AR110">
        <f ca="1">IFERROR(AQ110*'[1]0、经济设定'!$E$19*AU110*AS110,0)</f>
        <v>4500</v>
      </c>
      <c r="AS110">
        <v>10</v>
      </c>
      <c r="AT110">
        <f t="shared" si="35"/>
        <v>450</v>
      </c>
      <c r="AU110">
        <f ca="1">IF(F110=0,IFERROR(AT110/AP110/'[1]0、经济设定'!$E$18,0),AU109)</f>
        <v>9.403055495399208</v>
      </c>
      <c r="AV110">
        <f t="shared" ca="1" si="39"/>
        <v>19142.713779374335</v>
      </c>
    </row>
    <row r="111" spans="1:48" x14ac:dyDescent="0.15">
      <c r="A111" s="14" t="str">
        <f t="shared" si="3"/>
        <v>30415</v>
      </c>
      <c r="B111" s="14" t="s">
        <v>328</v>
      </c>
      <c r="C111" s="14">
        <f>VLOOKUP($I111&amp;$F111&amp;$G111,装备属性表,装备属性计算表!AK$29,FALSE)</f>
        <v>15</v>
      </c>
      <c r="D111" s="14">
        <f t="shared" si="18"/>
        <v>3</v>
      </c>
      <c r="E111" s="14" t="str">
        <f>VLOOKUP(F111,CHOOSE({1,2},定义数据!$F$2:$F$7,武器部位),2)</f>
        <v>武器</v>
      </c>
      <c r="F111" s="14">
        <v>0</v>
      </c>
      <c r="G111" s="14">
        <v>45</v>
      </c>
      <c r="H111" s="14">
        <f t="shared" si="7"/>
        <v>45</v>
      </c>
      <c r="I111" s="14">
        <v>4</v>
      </c>
      <c r="J111" s="14" t="str">
        <f t="shared" si="40"/>
        <v>4540</v>
      </c>
      <c r="K111" s="14" t="str">
        <f t="shared" si="41"/>
        <v>4540</v>
      </c>
      <c r="L111" s="76"/>
      <c r="M111" s="14">
        <f>IF(OR(G111&lt;15,G111=80),0,D_装备升级表!A111)</f>
        <v>45340</v>
      </c>
      <c r="N111" s="78">
        <v>1</v>
      </c>
      <c r="O111" s="14">
        <f t="shared" si="36"/>
        <v>1500</v>
      </c>
      <c r="P111" s="14"/>
      <c r="Q111" s="14">
        <f>VLOOKUP($I111&amp;$F111&amp;$G111,装备属性表,装备属性计算表!AL$29,FALSE)</f>
        <v>6</v>
      </c>
      <c r="R111" s="14">
        <f ca="1">VLOOKUP(VLOOKUP($I111&amp;$F111&amp;$G111,装备属性表,装备属性计算表!AM$29,FALSE),定义数据!$B$13:$C$35,2,FALSE)</f>
        <v>2</v>
      </c>
      <c r="S111" s="14">
        <f ca="1">VLOOKUP($I111&amp;$F111&amp;$G111,装备属性表,装备属性计算表!AN$29,FALSE)</f>
        <v>278.73841283422462</v>
      </c>
      <c r="T111" s="14">
        <f ca="1">VLOOKUP(VLOOKUP($I111&amp;$F111&amp;$G111,装备属性表,装备属性计算表!AO$29,FALSE),定义数据!$B$13:$C$35,2,FALSE)</f>
        <v>8</v>
      </c>
      <c r="U111" s="14">
        <f ca="1">VLOOKUP($I111&amp;$F111&amp;$G111,装备属性表,装备属性计算表!AP$29,FALSE)</f>
        <v>172.83950617283952</v>
      </c>
      <c r="V111" s="14">
        <f ca="1">VLOOKUP(VLOOKUP($I111&amp;$F111&amp;$G111,装备属性表,装备属性计算表!AQ$29,FALSE),定义数据!$B$13:$C$35,2,FALSE)</f>
        <v>2</v>
      </c>
      <c r="W111" s="14">
        <f ca="1">VLOOKUP($I111&amp;$F111&amp;$G111,装备属性表,装备属性计算表!AR$29,FALSE)</f>
        <v>127.4232744385027</v>
      </c>
      <c r="X111" s="14">
        <f ca="1">VLOOKUP(VLOOKUP($I111&amp;$F111&amp;$G111,装备属性表,装备属性计算表!AS$29,FALSE),定义数据!$B$13:$C$35,2,FALSE)</f>
        <v>3</v>
      </c>
      <c r="Y111" s="14">
        <f ca="1">VLOOKUP($I111&amp;$F111&amp;$G111,装备属性表,装备属性计算表!AT$29,FALSE)</f>
        <v>15.295046100519933</v>
      </c>
      <c r="Z111" s="14">
        <f ca="1">VLOOKUP(VLOOKUP($I111&amp;$F111&amp;$G111,装备属性表,装备属性计算表!AU$29,FALSE),定义数据!$B$13:$C$35,2,FALSE)</f>
        <v>6</v>
      </c>
      <c r="AA111" s="14">
        <f ca="1">VLOOKUP($I111&amp;$F111&amp;$G111,装备属性表,装备属性计算表!AV$29,FALSE)</f>
        <v>55.555555555555557</v>
      </c>
      <c r="AB111" s="14">
        <f ca="1">VLOOKUP(VLOOKUP($I111&amp;$F111&amp;$G111,装备属性表,装备属性计算表!AW$29,FALSE),定义数据!$B$13:$C$35,2,FALSE)</f>
        <v>8</v>
      </c>
      <c r="AC111" s="14">
        <f ca="1">VLOOKUP($I111&amp;$F111&amp;$G111,装备属性表,装备属性计算表!AX$29,FALSE)</f>
        <v>39.506172839506178</v>
      </c>
      <c r="AD111" s="14">
        <f ca="1">VLOOKUP(VLOOKUP($I111&amp;$F111&amp;$G111,装备属性表,装备属性计算表!AY$29,FALSE),定义数据!$B$13:$C$35,2,FALSE)</f>
        <v>0</v>
      </c>
      <c r="AE111" s="14">
        <f>VLOOKUP($I111&amp;$F111&amp;$G111,装备属性表,装备属性计算表!AZ$29,FALSE)</f>
        <v>0</v>
      </c>
      <c r="AF111" s="14">
        <f ca="1">VLOOKUP(VLOOKUP($I111&amp;$F111&amp;$G111,装备属性表,装备属性计算表!BA$29,FALSE),定义数据!$B$13:$C$35,2,FALSE)</f>
        <v>0</v>
      </c>
      <c r="AG111" s="14">
        <f>VLOOKUP($I111&amp;$F111&amp;$G111,装备属性表,装备属性计算表!BB$29,FALSE)</f>
        <v>0</v>
      </c>
      <c r="AH111" s="14">
        <f ca="1">VLOOKUP(VLOOKUP($I111&amp;$F111&amp;$G111,装备属性表,装备属性计算表!BC$29,FALSE),定义数据!$B$13:$C$35,2,FALSE)</f>
        <v>0</v>
      </c>
      <c r="AI111" s="14">
        <f>VLOOKUP($I111&amp;$F111&amp;$G111,装备属性表,装备属性计算表!BD$29,FALSE)</f>
        <v>0</v>
      </c>
      <c r="AJ111" s="14">
        <f ca="1">VLOOKUP(VLOOKUP($I111&amp;$F111&amp;$G111,装备属性表,装备属性计算表!BE$29,FALSE),定义数据!$B$13:$C$35,2,FALSE)</f>
        <v>0</v>
      </c>
      <c r="AK111" s="14">
        <f>VLOOKUP($I111&amp;$F111&amp;$G111,装备属性表,装备属性计算表!BF$29,FALSE)</f>
        <v>0</v>
      </c>
      <c r="AL111" t="str">
        <f t="shared" si="37"/>
        <v>暗魔之枪是一件45级红色可升级的装备。</v>
      </c>
      <c r="AM111" t="str">
        <f>IF(D111=0,5,D111) &amp; F111&amp;"00"&amp;VLOOKUP(G111,定义数据!$F$20:$G$27,2,FALSE)&amp;".png"</f>
        <v>30004.png</v>
      </c>
      <c r="AN111" s="79">
        <f>IF(OR(G111&lt;15),0,D_装备升级表!A111)</f>
        <v>45340</v>
      </c>
      <c r="AP111">
        <f ca="1">VLOOKUP(G111&amp;I111&amp;F111,CHOOSE({1,2},装备属性计算表!$BK$32:$BK$187,装备属性计算表!$BJ$32:$BJ$187),2,FALSE)</f>
        <v>478.56784448435837</v>
      </c>
      <c r="AQ111">
        <f ca="1">AP111*'[1]0、经济设定'!$C$18</f>
        <v>23928.392224217918</v>
      </c>
      <c r="AR111">
        <f ca="1">IFERROR(AQ111*'[1]0、经济设定'!$E$19*AU111*AS111,0)</f>
        <v>4500</v>
      </c>
      <c r="AS111">
        <v>10</v>
      </c>
      <c r="AT111">
        <f t="shared" si="35"/>
        <v>450</v>
      </c>
      <c r="AU111">
        <f ca="1">IF(F111=0,IFERROR(AT111/AP111/'[1]0、经济设定'!$E$18,0),AU110)</f>
        <v>9.403055495399208</v>
      </c>
      <c r="AV111">
        <f t="shared" ca="1" si="39"/>
        <v>19142.713779374335</v>
      </c>
    </row>
    <row r="112" spans="1:48" x14ac:dyDescent="0.15">
      <c r="A112" s="14" t="str">
        <f t="shared" si="3"/>
        <v>51415</v>
      </c>
      <c r="B112" s="14" t="s">
        <v>329</v>
      </c>
      <c r="C112" s="14">
        <f>VLOOKUP($I112&amp;$F112&amp;$G112,装备属性表,装备属性计算表!AK$29,FALSE)</f>
        <v>15</v>
      </c>
      <c r="D112" s="14">
        <f t="shared" si="18"/>
        <v>0</v>
      </c>
      <c r="E112" s="14" t="str">
        <f>VLOOKUP(F112,CHOOSE({1,2},定义数据!$F$2:$F$7,武器部位),2)</f>
        <v>衣服</v>
      </c>
      <c r="F112" s="14">
        <v>1</v>
      </c>
      <c r="G112" s="14">
        <v>45</v>
      </c>
      <c r="H112" s="14">
        <f t="shared" si="7"/>
        <v>45</v>
      </c>
      <c r="I112" s="14">
        <v>4</v>
      </c>
      <c r="J112" s="14" t="str">
        <f t="shared" si="40"/>
        <v>4541</v>
      </c>
      <c r="K112" s="14" t="str">
        <f t="shared" si="41"/>
        <v>4541</v>
      </c>
      <c r="L112" s="76"/>
      <c r="M112" s="14">
        <f>IF(OR(G112&lt;15,G112=80),0,D_装备升级表!A112)</f>
        <v>45041</v>
      </c>
      <c r="N112" s="78">
        <v>1</v>
      </c>
      <c r="O112" s="14">
        <f t="shared" si="36"/>
        <v>1500</v>
      </c>
      <c r="P112" s="14"/>
      <c r="Q112" s="14">
        <f>VLOOKUP($I112&amp;$F112&amp;$G112,装备属性表,装备属性计算表!AL$29,FALSE)</f>
        <v>6</v>
      </c>
      <c r="R112" s="14">
        <f ca="1">VLOOKUP(VLOOKUP($I112&amp;$F112&amp;$G112,装备属性表,装备属性计算表!AM$29,FALSE),定义数据!$B$13:$C$35,2,FALSE)</f>
        <v>1</v>
      </c>
      <c r="S112" s="14">
        <f ca="1">VLOOKUP($I112&amp;$F112&amp;$G112,装备属性表,装备属性计算表!AN$29,FALSE)</f>
        <v>4390.1938998221412</v>
      </c>
      <c r="T112" s="14">
        <f ca="1">VLOOKUP(VLOOKUP($I112&amp;$F112&amp;$G112,装备属性表,装备属性计算表!AO$29,FALSE),定义数据!$B$13:$C$35,2,FALSE)</f>
        <v>3</v>
      </c>
      <c r="U112" s="14">
        <f ca="1">VLOOKUP($I112&amp;$F112&amp;$G112,装备属性表,装备属性计算表!AP$29,FALSE)</f>
        <v>96.358790433275573</v>
      </c>
      <c r="V112" s="14">
        <f ca="1">VLOOKUP(VLOOKUP($I112&amp;$F112&amp;$G112,装备属性表,装备属性计算表!AQ$29,FALSE),定义数据!$B$13:$C$35,2,FALSE)</f>
        <v>1</v>
      </c>
      <c r="W112" s="14">
        <f ca="1">VLOOKUP($I112&amp;$F112&amp;$G112,装备属性表,装备属性计算表!AR$29,FALSE)</f>
        <v>1393.7123491498862</v>
      </c>
      <c r="X112" s="14">
        <f ca="1">VLOOKUP(VLOOKUP($I112&amp;$F112&amp;$G112,装备属性表,装备属性计算表!AS$29,FALSE),定义数据!$B$13:$C$35,2,FALSE)</f>
        <v>3</v>
      </c>
      <c r="Y112" s="14">
        <f ca="1">VLOOKUP($I112&amp;$F112&amp;$G112,装备属性表,装备属性计算表!AT$29,FALSE)</f>
        <v>45.885138301559806</v>
      </c>
      <c r="Z112" s="14">
        <f ca="1">VLOOKUP(VLOOKUP($I112&amp;$F112&amp;$G112,装备属性表,装备属性计算表!AU$29,FALSE),定义数据!$B$13:$C$35,2,FALSE)</f>
        <v>7</v>
      </c>
      <c r="AA112" s="14">
        <f ca="1">VLOOKUP($I112&amp;$F112&amp;$G112,装备属性表,装备属性计算表!AV$29,FALSE)</f>
        <v>33.333333333333336</v>
      </c>
      <c r="AB112" s="14">
        <f ca="1">VLOOKUP(VLOOKUP($I112&amp;$F112&amp;$G112,装备属性表,装备属性计算表!AW$29,FALSE),定义数据!$B$13:$C$35,2,FALSE)</f>
        <v>9</v>
      </c>
      <c r="AC112" s="14">
        <f ca="1">VLOOKUP($I112&amp;$F112&amp;$G112,装备属性表,装备属性计算表!AX$29,FALSE)</f>
        <v>32.921810699588484</v>
      </c>
      <c r="AD112" s="14">
        <f ca="1">VLOOKUP(VLOOKUP($I112&amp;$F112&amp;$G112,装备属性表,装备属性计算表!AY$29,FALSE),定义数据!$B$13:$C$35,2,FALSE)</f>
        <v>0</v>
      </c>
      <c r="AE112" s="14">
        <f>VLOOKUP($I112&amp;$F112&amp;$G112,装备属性表,装备属性计算表!AZ$29,FALSE)</f>
        <v>0</v>
      </c>
      <c r="AF112" s="14">
        <f ca="1">VLOOKUP(VLOOKUP($I112&amp;$F112&amp;$G112,装备属性表,装备属性计算表!BA$29,FALSE),定义数据!$B$13:$C$35,2,FALSE)</f>
        <v>0</v>
      </c>
      <c r="AG112" s="14">
        <f>VLOOKUP($I112&amp;$F112&amp;$G112,装备属性表,装备属性计算表!BB$29,FALSE)</f>
        <v>0</v>
      </c>
      <c r="AH112" s="14">
        <f ca="1">VLOOKUP(VLOOKUP($I112&amp;$F112&amp;$G112,装备属性表,装备属性计算表!BC$29,FALSE),定义数据!$B$13:$C$35,2,FALSE)</f>
        <v>0</v>
      </c>
      <c r="AI112" s="14">
        <f>VLOOKUP($I112&amp;$F112&amp;$G112,装备属性表,装备属性计算表!BD$29,FALSE)</f>
        <v>0</v>
      </c>
      <c r="AJ112" s="14">
        <f ca="1">VLOOKUP(VLOOKUP($I112&amp;$F112&amp;$G112,装备属性表,装备属性计算表!BE$29,FALSE),定义数据!$B$13:$C$35,2,FALSE)</f>
        <v>0</v>
      </c>
      <c r="AK112" s="14">
        <f>VLOOKUP($I112&amp;$F112&amp;$G112,装备属性表,装备属性计算表!BF$29,FALSE)</f>
        <v>0</v>
      </c>
      <c r="AL112" t="str">
        <f t="shared" si="37"/>
        <v>暗魔战衣是一件45级红色可升级的装备。</v>
      </c>
      <c r="AM112" t="str">
        <f>IF(D112=0,5,D112) &amp; F112&amp;"00"&amp;VLOOKUP(G112,定义数据!$F$20:$G$27,2,FALSE)&amp;".png"</f>
        <v>51004.png</v>
      </c>
      <c r="AN112" s="79">
        <f>IF(OR(G112&lt;15),0,D_装备升级表!A112)</f>
        <v>45041</v>
      </c>
      <c r="AP112">
        <f ca="1">VLOOKUP(G112&amp;I112&amp;F112,CHOOSE({1,2},装备属性计算表!$BK$32:$BK$187,装备属性计算表!$BJ$32:$BJ$187),2,FALSE)</f>
        <v>390.85943795297578</v>
      </c>
      <c r="AQ112">
        <f ca="1">AP112*'[1]0、经济设定'!$C$18</f>
        <v>19542.971897648789</v>
      </c>
      <c r="AR112">
        <f ca="1">IFERROR(AQ112*'[1]0、经济设定'!$E$19*AU112*AS112,0)</f>
        <v>3675.272985972375</v>
      </c>
      <c r="AS112">
        <v>10</v>
      </c>
      <c r="AT112">
        <f t="shared" si="35"/>
        <v>450</v>
      </c>
      <c r="AU112">
        <f ca="1">IF(F112=0,IFERROR(AT112/AP112/'[1]0、经济设定'!$E$18,0),AU111)</f>
        <v>9.403055495399208</v>
      </c>
      <c r="AV112">
        <f t="shared" ca="1" si="39"/>
        <v>15634.377518119032</v>
      </c>
    </row>
    <row r="113" spans="1:48" x14ac:dyDescent="0.15">
      <c r="A113" s="14" t="str">
        <f t="shared" si="3"/>
        <v>52415</v>
      </c>
      <c r="B113" s="14" t="s">
        <v>330</v>
      </c>
      <c r="C113" s="14">
        <f>VLOOKUP($I113&amp;$F113&amp;$G113,装备属性表,装备属性计算表!AK$29,FALSE)</f>
        <v>15</v>
      </c>
      <c r="D113" s="14">
        <f t="shared" si="18"/>
        <v>0</v>
      </c>
      <c r="E113" s="14" t="str">
        <f>VLOOKUP(F113,CHOOSE({1,2},定义数据!$F$2:$F$7,武器部位),2)</f>
        <v>裤子</v>
      </c>
      <c r="F113" s="14">
        <v>2</v>
      </c>
      <c r="G113" s="14">
        <v>45</v>
      </c>
      <c r="H113" s="14">
        <f t="shared" si="7"/>
        <v>45</v>
      </c>
      <c r="I113" s="14">
        <v>4</v>
      </c>
      <c r="J113" s="14" t="str">
        <f t="shared" si="40"/>
        <v>4542</v>
      </c>
      <c r="K113" s="14" t="str">
        <f t="shared" si="41"/>
        <v>4542</v>
      </c>
      <c r="L113" s="76"/>
      <c r="M113" s="14">
        <f>IF(OR(G113&lt;15,G113=80),0,D_装备升级表!A113)</f>
        <v>45042</v>
      </c>
      <c r="N113" s="78">
        <v>1</v>
      </c>
      <c r="O113" s="14">
        <f t="shared" si="36"/>
        <v>1500</v>
      </c>
      <c r="P113" s="14"/>
      <c r="Q113" s="14">
        <f>VLOOKUP($I113&amp;$F113&amp;$G113,装备属性表,装备属性计算表!AL$29,FALSE)</f>
        <v>6</v>
      </c>
      <c r="R113" s="14">
        <f ca="1">VLOOKUP(VLOOKUP($I113&amp;$F113&amp;$G113,装备属性表,装备属性计算表!AM$29,FALSE),定义数据!$B$13:$C$35,2,FALSE)</f>
        <v>3</v>
      </c>
      <c r="S113" s="14">
        <f ca="1">VLOOKUP($I113&amp;$F113&amp;$G113,装备属性表,装备属性计算表!AN$29,FALSE)</f>
        <v>64.23919362218372</v>
      </c>
      <c r="T113" s="14">
        <f ca="1">VLOOKUP(VLOOKUP($I113&amp;$F113&amp;$G113,装备属性表,装备属性计算表!AO$29,FALSE),定义数据!$B$13:$C$35,2,FALSE)</f>
        <v>7</v>
      </c>
      <c r="U113" s="14">
        <f ca="1">VLOOKUP($I113&amp;$F113&amp;$G113,装备属性表,装备属性计算表!AP$29,FALSE)</f>
        <v>97.222222222222214</v>
      </c>
      <c r="V113" s="14">
        <f ca="1">VLOOKUP(VLOOKUP($I113&amp;$F113&amp;$G113,装备属性表,装备属性计算表!AQ$29,FALSE),定义数据!$B$13:$C$35,2,FALSE)</f>
        <v>1</v>
      </c>
      <c r="W113" s="14">
        <f ca="1">VLOOKUP($I113&amp;$F113&amp;$G113,装备属性表,装备属性计算表!AR$29,FALSE)</f>
        <v>696.85617457494311</v>
      </c>
      <c r="X113" s="14">
        <f ca="1">VLOOKUP(VLOOKUP($I113&amp;$F113&amp;$G113,装备属性表,装备属性计算表!AS$29,FALSE),定义数据!$B$13:$C$35,2,FALSE)</f>
        <v>3</v>
      </c>
      <c r="Y113" s="14">
        <f ca="1">VLOOKUP($I113&amp;$F113&amp;$G113,装备属性表,装备属性计算表!AT$29,FALSE)</f>
        <v>15.295046100519933</v>
      </c>
      <c r="Z113" s="14">
        <f ca="1">VLOOKUP(VLOOKUP($I113&amp;$F113&amp;$G113,装备属性表,装备属性计算表!AU$29,FALSE),定义数据!$B$13:$C$35,2,FALSE)</f>
        <v>7</v>
      </c>
      <c r="AA113" s="14">
        <f ca="1">VLOOKUP($I113&amp;$F113&amp;$G113,装备属性表,装备属性计算表!AV$29,FALSE)</f>
        <v>33.333333333333336</v>
      </c>
      <c r="AB113" s="14">
        <f ca="1">VLOOKUP(VLOOKUP($I113&amp;$F113&amp;$G113,装备属性表,装备属性计算表!AW$29,FALSE),定义数据!$B$13:$C$35,2,FALSE)</f>
        <v>9</v>
      </c>
      <c r="AC113" s="14">
        <f ca="1">VLOOKUP($I113&amp;$F113&amp;$G113,装备属性表,装备属性计算表!AX$29,FALSE)</f>
        <v>32.921810699588484</v>
      </c>
      <c r="AD113" s="14">
        <f ca="1">VLOOKUP(VLOOKUP($I113&amp;$F113&amp;$G113,装备属性表,装备属性计算表!AY$29,FALSE),定义数据!$B$13:$C$35,2,FALSE)</f>
        <v>0</v>
      </c>
      <c r="AE113" s="14">
        <f>VLOOKUP($I113&amp;$F113&amp;$G113,装备属性表,装备属性计算表!AZ$29,FALSE)</f>
        <v>0</v>
      </c>
      <c r="AF113" s="14">
        <f ca="1">VLOOKUP(VLOOKUP($I113&amp;$F113&amp;$G113,装备属性表,装备属性计算表!BA$29,FALSE),定义数据!$B$13:$C$35,2,FALSE)</f>
        <v>0</v>
      </c>
      <c r="AG113" s="14">
        <f>VLOOKUP($I113&amp;$F113&amp;$G113,装备属性表,装备属性计算表!BB$29,FALSE)</f>
        <v>0</v>
      </c>
      <c r="AH113" s="14">
        <f ca="1">VLOOKUP(VLOOKUP($I113&amp;$F113&amp;$G113,装备属性表,装备属性计算表!BC$29,FALSE),定义数据!$B$13:$C$35,2,FALSE)</f>
        <v>0</v>
      </c>
      <c r="AI113" s="14">
        <f>VLOOKUP($I113&amp;$F113&amp;$G113,装备属性表,装备属性计算表!BD$29,FALSE)</f>
        <v>0</v>
      </c>
      <c r="AJ113" s="14">
        <f ca="1">VLOOKUP(VLOOKUP($I113&amp;$F113&amp;$G113,装备属性表,装备属性计算表!BE$29,FALSE),定义数据!$B$13:$C$35,2,FALSE)</f>
        <v>0</v>
      </c>
      <c r="AK113" s="14">
        <f>VLOOKUP($I113&amp;$F113&amp;$G113,装备属性表,装备属性计算表!BF$29,FALSE)</f>
        <v>0</v>
      </c>
      <c r="AL113" t="str">
        <f t="shared" si="37"/>
        <v>暗魔长裤是一件45级红色可升级的装备。</v>
      </c>
      <c r="AM113" t="str">
        <f>IF(D113=0,5,D113) &amp; F113&amp;"00"&amp;VLOOKUP(G113,定义数据!$F$20:$G$27,2,FALSE)&amp;".png"</f>
        <v>52004.png</v>
      </c>
      <c r="AN113" s="79">
        <f>IF(OR(G113&lt;15),0,D_装备升级表!A113)</f>
        <v>45042</v>
      </c>
      <c r="AP113">
        <f ca="1">VLOOKUP(G113&amp;I113&amp;F113,CHOOSE({1,2},装备属性计算表!$BK$32:$BK$187,装备属性计算表!$BJ$32:$BJ$187),2,FALSE)</f>
        <v>157.7233015205162</v>
      </c>
      <c r="AQ113">
        <f ca="1">AP113*'[1]0、经济设定'!$C$18</f>
        <v>7886.1650760258099</v>
      </c>
      <c r="AR113">
        <f ca="1">IFERROR(AQ113*'[1]0、经济设定'!$E$19*AU113*AS113,0)</f>
        <v>1483.0809571149962</v>
      </c>
      <c r="AS113">
        <v>10</v>
      </c>
      <c r="AT113">
        <f t="shared" si="35"/>
        <v>450</v>
      </c>
      <c r="AU113">
        <f ca="1">IF(F113=0,IFERROR(AT113/AP113/'[1]0、经济设定'!$E$18,0),AU112)</f>
        <v>9.403055495399208</v>
      </c>
      <c r="AV113">
        <f t="shared" ca="1" si="39"/>
        <v>6308.9320608206481</v>
      </c>
    </row>
    <row r="114" spans="1:48" x14ac:dyDescent="0.15">
      <c r="A114" s="14" t="str">
        <f t="shared" si="3"/>
        <v>55415</v>
      </c>
      <c r="B114" s="14" t="s">
        <v>331</v>
      </c>
      <c r="C114" s="14">
        <f>VLOOKUP($I114&amp;$F114&amp;$G114,装备属性表,装备属性计算表!AK$29,FALSE)</f>
        <v>15</v>
      </c>
      <c r="D114" s="14">
        <f t="shared" si="18"/>
        <v>0</v>
      </c>
      <c r="E114" s="14" t="str">
        <f>VLOOKUP(F114,CHOOSE({1,2},定义数据!$F$2:$F$7,武器部位),2)</f>
        <v>鞋子</v>
      </c>
      <c r="F114" s="14">
        <v>5</v>
      </c>
      <c r="G114" s="14">
        <v>45</v>
      </c>
      <c r="H114" s="14">
        <f t="shared" si="7"/>
        <v>45</v>
      </c>
      <c r="I114" s="14">
        <v>4</v>
      </c>
      <c r="J114" s="14" t="str">
        <f t="shared" si="40"/>
        <v>4545</v>
      </c>
      <c r="K114" s="14" t="str">
        <f t="shared" si="41"/>
        <v>4545</v>
      </c>
      <c r="L114" s="76"/>
      <c r="M114" s="14">
        <f>IF(OR(G114&lt;15,G114=80),0,D_装备升级表!A114)</f>
        <v>45045</v>
      </c>
      <c r="N114" s="78">
        <v>1</v>
      </c>
      <c r="O114" s="14">
        <f t="shared" si="36"/>
        <v>1500</v>
      </c>
      <c r="P114" s="14"/>
      <c r="Q114" s="14">
        <f>VLOOKUP($I114&amp;$F114&amp;$G114,装备属性表,装备属性计算表!AL$29,FALSE)</f>
        <v>6</v>
      </c>
      <c r="R114" s="14">
        <f ca="1">VLOOKUP(VLOOKUP($I114&amp;$F114&amp;$G114,装备属性表,装备属性计算表!AM$29,FALSE),定义数据!$B$13:$C$35,2,FALSE)</f>
        <v>1</v>
      </c>
      <c r="S114" s="14">
        <f ca="1">VLOOKUP($I114&amp;$F114&amp;$G114,装备属性表,装备属性计算表!AN$29,FALSE)</f>
        <v>1463.3979666073806</v>
      </c>
      <c r="T114" s="14">
        <f ca="1">VLOOKUP(VLOOKUP($I114&amp;$F114&amp;$G114,装备属性表,装备属性计算表!AO$29,FALSE),定义数据!$B$13:$C$35,2,FALSE)</f>
        <v>7</v>
      </c>
      <c r="U114" s="14">
        <f ca="1">VLOOKUP($I114&amp;$F114&amp;$G114,装备属性表,装备属性计算表!AP$29,FALSE)</f>
        <v>194.44444444444443</v>
      </c>
      <c r="V114" s="14">
        <f ca="1">VLOOKUP(VLOOKUP($I114&amp;$F114&amp;$G114,装备属性表,装备属性计算表!AQ$29,FALSE),定义数据!$B$13:$C$35,2,FALSE)</f>
        <v>1</v>
      </c>
      <c r="W114" s="14">
        <f ca="1">VLOOKUP($I114&amp;$F114&amp;$G114,装备属性表,装备属性计算表!AR$29,FALSE)</f>
        <v>696.85617457494311</v>
      </c>
      <c r="X114" s="14">
        <f ca="1">VLOOKUP(VLOOKUP($I114&amp;$F114&amp;$G114,装备属性表,装备属性计算表!AS$29,FALSE),定义数据!$B$13:$C$35,2,FALSE)</f>
        <v>7</v>
      </c>
      <c r="Y114" s="14">
        <f ca="1">VLOOKUP($I114&amp;$F114&amp;$G114,装备属性表,装备属性计算表!AT$29,FALSE)</f>
        <v>66.666666666666671</v>
      </c>
      <c r="Z114" s="14">
        <f ca="1">VLOOKUP(VLOOKUP($I114&amp;$F114&amp;$G114,装备属性表,装备属性计算表!AU$29,FALSE),定义数据!$B$13:$C$35,2,FALSE)</f>
        <v>6</v>
      </c>
      <c r="AA114" s="14">
        <f ca="1">VLOOKUP($I114&amp;$F114&amp;$G114,装备属性表,装备属性计算表!AV$29,FALSE)</f>
        <v>55.555555555555557</v>
      </c>
      <c r="AB114" s="14">
        <f ca="1">VLOOKUP(VLOOKUP($I114&amp;$F114&amp;$G114,装备属性表,装备属性计算表!AW$29,FALSE),定义数据!$B$13:$C$35,2,FALSE)</f>
        <v>8</v>
      </c>
      <c r="AC114" s="14">
        <f ca="1">VLOOKUP($I114&amp;$F114&amp;$G114,装备属性表,装备属性计算表!AX$29,FALSE)</f>
        <v>19.753086419753089</v>
      </c>
      <c r="AD114" s="14">
        <f ca="1">VLOOKUP(VLOOKUP($I114&amp;$F114&amp;$G114,装备属性表,装备属性计算表!AY$29,FALSE),定义数据!$B$13:$C$35,2,FALSE)</f>
        <v>0</v>
      </c>
      <c r="AE114" s="14">
        <f>VLOOKUP($I114&amp;$F114&amp;$G114,装备属性表,装备属性计算表!AZ$29,FALSE)</f>
        <v>0</v>
      </c>
      <c r="AF114" s="14">
        <f ca="1">VLOOKUP(VLOOKUP($I114&amp;$F114&amp;$G114,装备属性表,装备属性计算表!BA$29,FALSE),定义数据!$B$13:$C$35,2,FALSE)</f>
        <v>0</v>
      </c>
      <c r="AG114" s="14">
        <f>VLOOKUP($I114&amp;$F114&amp;$G114,装备属性表,装备属性计算表!BB$29,FALSE)</f>
        <v>0</v>
      </c>
      <c r="AH114" s="14">
        <f ca="1">VLOOKUP(VLOOKUP($I114&amp;$F114&amp;$G114,装备属性表,装备属性计算表!BC$29,FALSE),定义数据!$B$13:$C$35,2,FALSE)</f>
        <v>0</v>
      </c>
      <c r="AI114" s="14">
        <f>VLOOKUP($I114&amp;$F114&amp;$G114,装备属性表,装备属性计算表!BD$29,FALSE)</f>
        <v>0</v>
      </c>
      <c r="AJ114" s="14">
        <f ca="1">VLOOKUP(VLOOKUP($I114&amp;$F114&amp;$G114,装备属性表,装备属性计算表!BE$29,FALSE),定义数据!$B$13:$C$35,2,FALSE)</f>
        <v>0</v>
      </c>
      <c r="AK114" s="14">
        <f>VLOOKUP($I114&amp;$F114&amp;$G114,装备属性表,装备属性计算表!BF$29,FALSE)</f>
        <v>0</v>
      </c>
      <c r="AL114" t="str">
        <f t="shared" si="37"/>
        <v>暗魔长靴是一件45级红色可升级的装备。</v>
      </c>
      <c r="AM114" t="str">
        <f>IF(D114=0,5,D114) &amp; F114&amp;"00"&amp;VLOOKUP(G114,定义数据!$F$20:$G$27,2,FALSE)&amp;".png"</f>
        <v>55004.png</v>
      </c>
      <c r="AN114" s="79">
        <f>IF(OR(G114&lt;15),0,D_装备升级表!A114)</f>
        <v>45045</v>
      </c>
      <c r="AP114">
        <f ca="1">VLOOKUP(G114&amp;I114&amp;F114,CHOOSE({1,2},装备属性计算表!$BK$32:$BK$187,装备属性计算表!$BJ$32:$BJ$187),2,FALSE)</f>
        <v>197.63238786951518</v>
      </c>
      <c r="AQ114">
        <f ca="1">AP114*'[1]0、经济设定'!$C$18</f>
        <v>9881.6193934757594</v>
      </c>
      <c r="AR114">
        <f ca="1">IFERROR(AQ114*'[1]0、经济设定'!$E$19*AU114*AS114,0)</f>
        <v>1858.3483108253126</v>
      </c>
      <c r="AS114">
        <v>10</v>
      </c>
      <c r="AT114">
        <f t="shared" ref="AT114:AT145" si="42">MAX(VLOOKUP(I114,$AY$5:$AZ$9,2,FALSE)*G114,1)</f>
        <v>450</v>
      </c>
      <c r="AU114">
        <f ca="1">IF(F114=0,IFERROR(AT114/AP114/'[1]0、经济设定'!$E$18,0),AU113)</f>
        <v>9.403055495399208</v>
      </c>
      <c r="AV114">
        <f t="shared" ca="1" si="39"/>
        <v>7905.2955147806078</v>
      </c>
    </row>
    <row r="115" spans="1:48" x14ac:dyDescent="0.15">
      <c r="A115" s="14" t="str">
        <f t="shared" si="3"/>
        <v>54415</v>
      </c>
      <c r="B115" s="14" t="s">
        <v>332</v>
      </c>
      <c r="C115" s="14">
        <f>VLOOKUP($I115&amp;$F115&amp;$G115,装备属性表,装备属性计算表!AK$29,FALSE)</f>
        <v>15</v>
      </c>
      <c r="D115" s="14">
        <f t="shared" si="18"/>
        <v>0</v>
      </c>
      <c r="E115" s="14" t="str">
        <f>VLOOKUP(F115,CHOOSE({1,2},定义数据!$F$2:$F$7,武器部位),2)</f>
        <v>腰带</v>
      </c>
      <c r="F115" s="14">
        <v>4</v>
      </c>
      <c r="G115" s="14">
        <v>45</v>
      </c>
      <c r="H115" s="14">
        <f t="shared" si="7"/>
        <v>45</v>
      </c>
      <c r="I115" s="14">
        <v>4</v>
      </c>
      <c r="J115" s="14" t="str">
        <f t="shared" si="40"/>
        <v>4544</v>
      </c>
      <c r="K115" s="14" t="str">
        <f t="shared" si="41"/>
        <v>4544</v>
      </c>
      <c r="L115" s="76"/>
      <c r="M115" s="14">
        <f>IF(OR(G115&lt;15,G115=80),0,D_装备升级表!A115)</f>
        <v>45044</v>
      </c>
      <c r="N115" s="78">
        <v>1</v>
      </c>
      <c r="O115" s="14">
        <f t="shared" si="36"/>
        <v>1500</v>
      </c>
      <c r="P115" s="14"/>
      <c r="Q115" s="14">
        <f>VLOOKUP($I115&amp;$F115&amp;$G115,装备属性表,装备属性计算表!AL$29,FALSE)</f>
        <v>6</v>
      </c>
      <c r="R115" s="14">
        <f ca="1">VLOOKUP(VLOOKUP($I115&amp;$F115&amp;$G115,装备属性表,装备属性计算表!AM$29,FALSE),定义数据!$B$13:$C$35,2,FALSE)</f>
        <v>1</v>
      </c>
      <c r="S115" s="14">
        <f ca="1">VLOOKUP($I115&amp;$F115&amp;$G115,装备属性表,装备属性计算表!AN$29,FALSE)</f>
        <v>1463.3979666073806</v>
      </c>
      <c r="T115" s="14">
        <f ca="1">VLOOKUP(VLOOKUP($I115&amp;$F115&amp;$G115,装备属性表,装备属性计算表!AO$29,FALSE),定义数据!$B$13:$C$35,2,FALSE)</f>
        <v>9</v>
      </c>
      <c r="U115" s="14">
        <f ca="1">VLOOKUP($I115&amp;$F115&amp;$G115,装备属性表,装备属性计算表!AP$29,FALSE)</f>
        <v>172.83950617283952</v>
      </c>
      <c r="V115" s="14">
        <f ca="1">VLOOKUP(VLOOKUP($I115&amp;$F115&amp;$G115,装备属性表,装备属性计算表!AQ$29,FALSE),定义数据!$B$13:$C$35,2,FALSE)</f>
        <v>1</v>
      </c>
      <c r="W115" s="14">
        <f ca="1">VLOOKUP($I115&amp;$F115&amp;$G115,装备属性表,装备属性计算表!AR$29,FALSE)</f>
        <v>1393.7123491498862</v>
      </c>
      <c r="X115" s="14">
        <f ca="1">VLOOKUP(VLOOKUP($I115&amp;$F115&amp;$G115,装备属性表,装备属性计算表!AS$29,FALSE),定义数据!$B$13:$C$35,2,FALSE)</f>
        <v>2</v>
      </c>
      <c r="Y115" s="14">
        <f ca="1">VLOOKUP($I115&amp;$F115&amp;$G115,装备属性表,装备属性计算表!AT$29,FALSE)</f>
        <v>42.474424812834236</v>
      </c>
      <c r="Z115" s="14">
        <f ca="1">VLOOKUP(VLOOKUP($I115&amp;$F115&amp;$G115,装备属性表,装备属性计算表!AU$29,FALSE),定义数据!$B$13:$C$35,2,FALSE)</f>
        <v>3</v>
      </c>
      <c r="AA115" s="14">
        <f ca="1">VLOOKUP($I115&amp;$F115&amp;$G115,装备属性表,装备属性计算表!AV$29,FALSE)</f>
        <v>15.295046100519933</v>
      </c>
      <c r="AB115" s="14">
        <f ca="1">VLOOKUP(VLOOKUP($I115&amp;$F115&amp;$G115,装备属性表,装备属性计算表!AW$29,FALSE),定义数据!$B$13:$C$35,2,FALSE)</f>
        <v>9</v>
      </c>
      <c r="AC115" s="14">
        <f ca="1">VLOOKUP($I115&amp;$F115&amp;$G115,装备属性表,装备属性计算表!AX$29,FALSE)</f>
        <v>32.921810699588484</v>
      </c>
      <c r="AD115" s="14">
        <f ca="1">VLOOKUP(VLOOKUP($I115&amp;$F115&amp;$G115,装备属性表,装备属性计算表!AY$29,FALSE),定义数据!$B$13:$C$35,2,FALSE)</f>
        <v>0</v>
      </c>
      <c r="AE115" s="14">
        <f>VLOOKUP($I115&amp;$F115&amp;$G115,装备属性表,装备属性计算表!AZ$29,FALSE)</f>
        <v>0</v>
      </c>
      <c r="AF115" s="14">
        <f ca="1">VLOOKUP(VLOOKUP($I115&amp;$F115&amp;$G115,装备属性表,装备属性计算表!BA$29,FALSE),定义数据!$B$13:$C$35,2,FALSE)</f>
        <v>0</v>
      </c>
      <c r="AG115" s="14">
        <f>VLOOKUP($I115&amp;$F115&amp;$G115,装备属性表,装备属性计算表!BB$29,FALSE)</f>
        <v>0</v>
      </c>
      <c r="AH115" s="14">
        <f ca="1">VLOOKUP(VLOOKUP($I115&amp;$F115&amp;$G115,装备属性表,装备属性计算表!BC$29,FALSE),定义数据!$B$13:$C$35,2,FALSE)</f>
        <v>0</v>
      </c>
      <c r="AI115" s="14">
        <f>VLOOKUP($I115&amp;$F115&amp;$G115,装备属性表,装备属性计算表!BD$29,FALSE)</f>
        <v>0</v>
      </c>
      <c r="AJ115" s="14">
        <f ca="1">VLOOKUP(VLOOKUP($I115&amp;$F115&amp;$G115,装备属性表,装备属性计算表!BE$29,FALSE),定义数据!$B$13:$C$35,2,FALSE)</f>
        <v>0</v>
      </c>
      <c r="AK115" s="14">
        <f>VLOOKUP($I115&amp;$F115&amp;$G115,装备属性表,装备属性计算表!BF$29,FALSE)</f>
        <v>0</v>
      </c>
      <c r="AL115" t="str">
        <f t="shared" si="37"/>
        <v>暗魔腰带是一件45级红色可升级的装备。</v>
      </c>
      <c r="AM115" t="str">
        <f>IF(D115=0,5,D115) &amp; F115&amp;"00"&amp;VLOOKUP(G115,定义数据!$F$20:$G$27,2,FALSE)&amp;".png"</f>
        <v>54004.png</v>
      </c>
      <c r="AN115" s="79">
        <f>IF(OR(G115&lt;15),0,D_装备升级表!A115)</f>
        <v>45044</v>
      </c>
      <c r="AP115">
        <f ca="1">VLOOKUP(G115&amp;I115&amp;F115,CHOOSE({1,2},装备属性计算表!$BK$32:$BK$187,装备属性计算表!$BJ$32:$BJ$187),2,FALSE)</f>
        <v>209.09092058068188</v>
      </c>
      <c r="AQ115">
        <f ca="1">AP115*'[1]0、经济设定'!$C$18</f>
        <v>10454.546029034094</v>
      </c>
      <c r="AR115">
        <f ca="1">IFERROR(AQ115*'[1]0、经济设定'!$E$19*AU115*AS115,0)</f>
        <v>1966.0935298042602</v>
      </c>
      <c r="AS115">
        <v>10</v>
      </c>
      <c r="AT115">
        <f t="shared" si="42"/>
        <v>450</v>
      </c>
      <c r="AU115">
        <f ca="1">IF(F115=0,IFERROR(AT115/AP115/'[1]0、经济设定'!$E$18,0),AU114)</f>
        <v>9.403055495399208</v>
      </c>
      <c r="AV115">
        <f t="shared" ca="1" si="39"/>
        <v>8363.6368232272762</v>
      </c>
    </row>
    <row r="116" spans="1:48" x14ac:dyDescent="0.15">
      <c r="A116" s="14" t="str">
        <f t="shared" si="3"/>
        <v>53415</v>
      </c>
      <c r="B116" s="14" t="s">
        <v>333</v>
      </c>
      <c r="C116" s="14">
        <f>VLOOKUP($I116&amp;$F116&amp;$G116,装备属性表,装备属性计算表!AK$29,FALSE)</f>
        <v>15</v>
      </c>
      <c r="D116" s="14">
        <f t="shared" si="18"/>
        <v>0</v>
      </c>
      <c r="E116" s="14" t="str">
        <f>VLOOKUP(F116,CHOOSE({1,2},定义数据!$F$2:$F$7,武器部位),2)</f>
        <v>项链</v>
      </c>
      <c r="F116" s="14">
        <v>3</v>
      </c>
      <c r="G116" s="14">
        <v>45</v>
      </c>
      <c r="H116" s="14">
        <f t="shared" si="7"/>
        <v>45</v>
      </c>
      <c r="I116" s="14">
        <v>4</v>
      </c>
      <c r="J116" s="14" t="str">
        <f t="shared" si="40"/>
        <v>4543</v>
      </c>
      <c r="K116" s="14" t="str">
        <f t="shared" si="41"/>
        <v>4543</v>
      </c>
      <c r="L116" s="76"/>
      <c r="M116" s="14">
        <f>IF(OR(G116&lt;15,G116=80),0,D_装备升级表!A116)</f>
        <v>45043</v>
      </c>
      <c r="N116" s="78">
        <v>1</v>
      </c>
      <c r="O116" s="14">
        <f t="shared" si="36"/>
        <v>1500</v>
      </c>
      <c r="P116" s="14"/>
      <c r="Q116" s="14">
        <f>VLOOKUP($I116&amp;$F116&amp;$G116,装备属性表,装备属性计算表!AL$29,FALSE)</f>
        <v>6</v>
      </c>
      <c r="R116" s="14">
        <f ca="1">VLOOKUP(VLOOKUP($I116&amp;$F116&amp;$G116,装备属性表,装备属性计算表!AM$29,FALSE),定义数据!$B$13:$C$35,2,FALSE)</f>
        <v>2</v>
      </c>
      <c r="S116" s="14">
        <f ca="1">VLOOKUP($I116&amp;$F116&amp;$G116,装备属性表,装备属性计算表!AN$29,FALSE)</f>
        <v>92.912804278074873</v>
      </c>
      <c r="T116" s="14">
        <f ca="1">VLOOKUP(VLOOKUP($I116&amp;$F116&amp;$G116,装备属性表,装备属性计算表!AO$29,FALSE),定义数据!$B$13:$C$35,2,FALSE)</f>
        <v>6</v>
      </c>
      <c r="U116" s="14">
        <f ca="1">VLOOKUP($I116&amp;$F116&amp;$G116,装备属性表,装备属性计算表!AP$29,FALSE)</f>
        <v>291.66666666666669</v>
      </c>
      <c r="V116" s="14">
        <f ca="1">VLOOKUP(VLOOKUP($I116&amp;$F116&amp;$G116,装备属性表,装备属性计算表!AQ$29,FALSE),定义数据!$B$13:$C$35,2,FALSE)</f>
        <v>2</v>
      </c>
      <c r="W116" s="14">
        <f ca="1">VLOOKUP($I116&amp;$F116&amp;$G116,装备属性表,装备属性计算表!AR$29,FALSE)</f>
        <v>42.474424812834236</v>
      </c>
      <c r="X116" s="14">
        <f ca="1">VLOOKUP(VLOOKUP($I116&amp;$F116&amp;$G116,装备属性表,装备属性计算表!AS$29,FALSE),定义数据!$B$13:$C$35,2,FALSE)</f>
        <v>7</v>
      </c>
      <c r="Y116" s="14">
        <f ca="1">VLOOKUP($I116&amp;$F116&amp;$G116,装备属性表,装备属性计算表!AT$29,FALSE)</f>
        <v>33.333333333333336</v>
      </c>
      <c r="Z116" s="14">
        <f ca="1">VLOOKUP(VLOOKUP($I116&amp;$F116&amp;$G116,装备属性表,装备属性计算表!AU$29,FALSE),定义数据!$B$13:$C$35,2,FALSE)</f>
        <v>6</v>
      </c>
      <c r="AA116" s="14">
        <f ca="1">VLOOKUP($I116&amp;$F116&amp;$G116,装备属性表,装备属性计算表!AV$29,FALSE)</f>
        <v>55.555555555555557</v>
      </c>
      <c r="AB116" s="14">
        <f ca="1">VLOOKUP(VLOOKUP($I116&amp;$F116&amp;$G116,装备属性表,装备属性计算表!AW$29,FALSE),定义数据!$B$13:$C$35,2,FALSE)</f>
        <v>8</v>
      </c>
      <c r="AC116" s="14">
        <f ca="1">VLOOKUP($I116&amp;$F116&amp;$G116,装备属性表,装备属性计算表!AX$29,FALSE)</f>
        <v>39.506172839506178</v>
      </c>
      <c r="AD116" s="14">
        <f ca="1">VLOOKUP(VLOOKUP($I116&amp;$F116&amp;$G116,装备属性表,装备属性计算表!AY$29,FALSE),定义数据!$B$13:$C$35,2,FALSE)</f>
        <v>0</v>
      </c>
      <c r="AE116" s="14">
        <f>VLOOKUP($I116&amp;$F116&amp;$G116,装备属性表,装备属性计算表!AZ$29,FALSE)</f>
        <v>0</v>
      </c>
      <c r="AF116" s="14">
        <f ca="1">VLOOKUP(VLOOKUP($I116&amp;$F116&amp;$G116,装备属性表,装备属性计算表!BA$29,FALSE),定义数据!$B$13:$C$35,2,FALSE)</f>
        <v>0</v>
      </c>
      <c r="AG116" s="14">
        <f>VLOOKUP($I116&amp;$F116&amp;$G116,装备属性表,装备属性计算表!BB$29,FALSE)</f>
        <v>0</v>
      </c>
      <c r="AH116" s="14">
        <f ca="1">VLOOKUP(VLOOKUP($I116&amp;$F116&amp;$G116,装备属性表,装备属性计算表!BC$29,FALSE),定义数据!$B$13:$C$35,2,FALSE)</f>
        <v>0</v>
      </c>
      <c r="AI116" s="14">
        <f>VLOOKUP($I116&amp;$F116&amp;$G116,装备属性表,装备属性计算表!BD$29,FALSE)</f>
        <v>0</v>
      </c>
      <c r="AJ116" s="14">
        <f ca="1">VLOOKUP(VLOOKUP($I116&amp;$F116&amp;$G116,装备属性表,装备属性计算表!BE$29,FALSE),定义数据!$B$13:$C$35,2,FALSE)</f>
        <v>0</v>
      </c>
      <c r="AK116" s="14">
        <f>VLOOKUP($I116&amp;$F116&amp;$G116,装备属性表,装备属性计算表!BF$29,FALSE)</f>
        <v>0</v>
      </c>
      <c r="AL116" t="str">
        <f t="shared" si="37"/>
        <v>暗魔项链是一件45级红色可升级的装备。</v>
      </c>
      <c r="AM116" t="str">
        <f>IF(D116=0,5,D116) &amp; F116&amp;"00"&amp;VLOOKUP(G116,定义数据!$F$20:$G$27,2,FALSE)&amp;".png"</f>
        <v>53004.png</v>
      </c>
      <c r="AN116" s="79">
        <f>IF(OR(G116&lt;15),0,D_装备升级表!A116)</f>
        <v>45043</v>
      </c>
      <c r="AP116">
        <f ca="1">VLOOKUP(G116&amp;I116&amp;F116,CHOOSE({1,2},装备属性计算表!$BK$32:$BK$187,装备属性计算表!$BJ$32:$BJ$187),2,FALSE)</f>
        <v>271.88722909090916</v>
      </c>
      <c r="AQ116">
        <f ca="1">AP116*'[1]0、经济设定'!$C$18</f>
        <v>13594.361454545458</v>
      </c>
      <c r="AR116">
        <f ca="1">IFERROR(AQ116*'[1]0、经济设定'!$E$19*AU116*AS116,0)</f>
        <v>2556.5707036321369</v>
      </c>
      <c r="AS116">
        <v>10</v>
      </c>
      <c r="AT116">
        <f t="shared" si="42"/>
        <v>450</v>
      </c>
      <c r="AU116">
        <f ca="1">IF(F116=0,IFERROR(AT116/AP116/'[1]0、经济设定'!$E$18,0),AU115)</f>
        <v>9.403055495399208</v>
      </c>
      <c r="AV116">
        <f t="shared" ca="1" si="39"/>
        <v>10875.489163636366</v>
      </c>
    </row>
    <row r="117" spans="1:48" x14ac:dyDescent="0.15">
      <c r="A117" s="14" t="str">
        <f t="shared" si="3"/>
        <v>10116</v>
      </c>
      <c r="B117" s="14" t="s">
        <v>334</v>
      </c>
      <c r="C117" s="14">
        <f>VLOOKUP($I117&amp;$F117&amp;$G117,装备属性表,装备属性计算表!AK$29,FALSE)</f>
        <v>16</v>
      </c>
      <c r="D117" s="14">
        <f t="shared" si="18"/>
        <v>1</v>
      </c>
      <c r="E117" s="14" t="str">
        <f>VLOOKUP(F117,CHOOSE({1,2},定义数据!$F$2:$F$7,武器部位),2)</f>
        <v>武器</v>
      </c>
      <c r="F117" s="14">
        <v>0</v>
      </c>
      <c r="G117" s="14">
        <v>60</v>
      </c>
      <c r="H117" s="14">
        <f t="shared" si="7"/>
        <v>60</v>
      </c>
      <c r="I117" s="14">
        <v>1</v>
      </c>
      <c r="J117" s="14" t="str">
        <f t="shared" si="40"/>
        <v>6010</v>
      </c>
      <c r="K117" s="14" t="str">
        <f t="shared" si="41"/>
        <v>6010</v>
      </c>
      <c r="L117" s="76"/>
      <c r="M117" s="14">
        <f>IF(OR(G117&lt;15,G117=80),0,D_装备升级表!A117)</f>
        <v>60110</v>
      </c>
      <c r="N117" s="78">
        <v>1</v>
      </c>
      <c r="O117" s="14">
        <f t="shared" si="36"/>
        <v>1600</v>
      </c>
      <c r="P117" s="14"/>
      <c r="Q117" s="14">
        <f>VLOOKUP($I117&amp;$F117&amp;$G117,装备属性表,装备属性计算表!AL$29,FALSE)</f>
        <v>3</v>
      </c>
      <c r="R117" s="14">
        <f ca="1">VLOOKUP(VLOOKUP($I117&amp;$F117&amp;$G117,装备属性表,装备属性计算表!AM$29,FALSE),定义数据!$B$13:$C$35,2,FALSE)</f>
        <v>2</v>
      </c>
      <c r="S117" s="14">
        <f ca="1">VLOOKUP($I117&amp;$F117&amp;$G117,装备属性表,装备属性计算表!AN$29,FALSE)</f>
        <v>268.78346951871663</v>
      </c>
      <c r="T117" s="14">
        <f ca="1">VLOOKUP(VLOOKUP($I117&amp;$F117&amp;$G117,装备属性表,装备属性计算表!AO$29,FALSE),定义数据!$B$13:$C$35,2,FALSE)</f>
        <v>8</v>
      </c>
      <c r="U117" s="14">
        <f ca="1">VLOOKUP($I117&amp;$F117&amp;$G117,装备属性表,装备属性计算表!AP$29,FALSE)</f>
        <v>166.66666666666666</v>
      </c>
      <c r="V117" s="14">
        <f ca="1">VLOOKUP(VLOOKUP($I117&amp;$F117&amp;$G117,装备属性表,装备属性计算表!AQ$29,FALSE),定义数据!$B$13:$C$35,2,FALSE)</f>
        <v>2</v>
      </c>
      <c r="W117" s="14">
        <f ca="1">VLOOKUP($I117&amp;$F117&amp;$G117,装备属性表,装备属性计算表!AR$29,FALSE)</f>
        <v>21.502677561497329</v>
      </c>
      <c r="X117" s="14">
        <f ca="1">VLOOKUP(VLOOKUP($I117&amp;$F117&amp;$G117,装备属性表,装备属性计算表!AS$29,FALSE),定义数据!$B$13:$C$35,2,FALSE)</f>
        <v>0</v>
      </c>
      <c r="Y117" s="14">
        <f>VLOOKUP($I117&amp;$F117&amp;$G117,装备属性表,装备属性计算表!AT$29,FALSE)</f>
        <v>0</v>
      </c>
      <c r="Z117" s="14">
        <f ca="1">VLOOKUP(VLOOKUP($I117&amp;$F117&amp;$G117,装备属性表,装备属性计算表!AU$29,FALSE),定义数据!$B$13:$C$35,2,FALSE)</f>
        <v>0</v>
      </c>
      <c r="AA117" s="14">
        <f>VLOOKUP($I117&amp;$F117&amp;$G117,装备属性表,装备属性计算表!AV$29,FALSE)</f>
        <v>0</v>
      </c>
      <c r="AB117" s="14">
        <f ca="1">VLOOKUP(VLOOKUP($I117&amp;$F117&amp;$G117,装备属性表,装备属性计算表!AW$29,FALSE),定义数据!$B$13:$C$35,2,FALSE)</f>
        <v>0</v>
      </c>
      <c r="AC117" s="14">
        <f>VLOOKUP($I117&amp;$F117&amp;$G117,装备属性表,装备属性计算表!AX$29,FALSE)</f>
        <v>0</v>
      </c>
      <c r="AD117" s="14">
        <f ca="1">VLOOKUP(VLOOKUP($I117&amp;$F117&amp;$G117,装备属性表,装备属性计算表!AY$29,FALSE),定义数据!$B$13:$C$35,2,FALSE)</f>
        <v>0</v>
      </c>
      <c r="AE117" s="14">
        <f>VLOOKUP($I117&amp;$F117&amp;$G117,装备属性表,装备属性计算表!AZ$29,FALSE)</f>
        <v>0</v>
      </c>
      <c r="AF117" s="14">
        <f ca="1">VLOOKUP(VLOOKUP($I117&amp;$F117&amp;$G117,装备属性表,装备属性计算表!BA$29,FALSE),定义数据!$B$13:$C$35,2,FALSE)</f>
        <v>0</v>
      </c>
      <c r="AG117" s="14">
        <f>VLOOKUP($I117&amp;$F117&amp;$G117,装备属性表,装备属性计算表!BB$29,FALSE)</f>
        <v>0</v>
      </c>
      <c r="AH117" s="14">
        <f ca="1">VLOOKUP(VLOOKUP($I117&amp;$F117&amp;$G117,装备属性表,装备属性计算表!BC$29,FALSE),定义数据!$B$13:$C$35,2,FALSE)</f>
        <v>0</v>
      </c>
      <c r="AI117" s="14">
        <f>VLOOKUP($I117&amp;$F117&amp;$G117,装备属性表,装备属性计算表!BD$29,FALSE)</f>
        <v>0</v>
      </c>
      <c r="AJ117" s="14">
        <f ca="1">VLOOKUP(VLOOKUP($I117&amp;$F117&amp;$G117,装备属性表,装备属性计算表!BE$29,FALSE),定义数据!$B$13:$C$35,2,FALSE)</f>
        <v>0</v>
      </c>
      <c r="AK117" s="14">
        <f>VLOOKUP($I117&amp;$F117&amp;$G117,装备属性表,装备属性计算表!BF$29,FALSE)</f>
        <v>0</v>
      </c>
      <c r="AL117" t="str">
        <f t="shared" si="37"/>
        <v>战爵之刃是一件60级蓝色可升级的装备。</v>
      </c>
      <c r="AM117" t="str">
        <f>IF(D117=0,5,D117) &amp; F117&amp;"00"&amp;VLOOKUP(G117,定义数据!$F$20:$G$27,2,FALSE)&amp;".png"</f>
        <v>10005.png</v>
      </c>
      <c r="AN117" s="79">
        <f>IF(OR(G117&lt;15),0,D_装备升级表!A117)</f>
        <v>60110</v>
      </c>
      <c r="AP117">
        <f ca="1">VLOOKUP(G117&amp;I117&amp;F117,CHOOSE({1,2},装备属性计算表!$BK$32:$BK$187,装备属性计算表!$BJ$32:$BJ$187),2,FALSE)</f>
        <v>327.2546861096767</v>
      </c>
      <c r="AQ117">
        <f ca="1">AP117*'[1]0、经济设定'!$C$18</f>
        <v>16362.734305483835</v>
      </c>
      <c r="AR117">
        <f ca="1">IFERROR(AQ117*'[1]0、经济设定'!$E$19*AU117*AS117,0)</f>
        <v>719.99999999999989</v>
      </c>
      <c r="AS117">
        <v>10</v>
      </c>
      <c r="AT117">
        <f t="shared" si="42"/>
        <v>72</v>
      </c>
      <c r="AU117">
        <f ca="1">IF(F117=0,IFERROR(AT117/AP117/'[1]0、经济设定'!$E$18,0),AU116)</f>
        <v>2.2001212833930142</v>
      </c>
      <c r="AV117">
        <f t="shared" ca="1" si="39"/>
        <v>13090.187444387067</v>
      </c>
    </row>
    <row r="118" spans="1:48" x14ac:dyDescent="0.15">
      <c r="A118" s="14" t="str">
        <f t="shared" si="3"/>
        <v>20116</v>
      </c>
      <c r="B118" s="14" t="s">
        <v>335</v>
      </c>
      <c r="C118" s="14">
        <f>VLOOKUP($I118&amp;$F118&amp;$G118,装备属性表,装备属性计算表!AK$29,FALSE)</f>
        <v>16</v>
      </c>
      <c r="D118" s="14">
        <f t="shared" si="18"/>
        <v>2</v>
      </c>
      <c r="E118" s="14" t="str">
        <f>VLOOKUP(F118,CHOOSE({1,2},定义数据!$F$2:$F$7,武器部位),2)</f>
        <v>武器</v>
      </c>
      <c r="F118" s="14">
        <v>0</v>
      </c>
      <c r="G118" s="14">
        <v>60</v>
      </c>
      <c r="H118" s="14">
        <f t="shared" si="7"/>
        <v>60</v>
      </c>
      <c r="I118" s="14">
        <v>1</v>
      </c>
      <c r="J118" s="14" t="str">
        <f t="shared" si="40"/>
        <v>6010</v>
      </c>
      <c r="K118" s="14" t="str">
        <f t="shared" si="41"/>
        <v>6010</v>
      </c>
      <c r="L118" s="76"/>
      <c r="M118" s="14">
        <f>IF(OR(G118&lt;15,G118=80),0,D_装备升级表!A118)</f>
        <v>60210</v>
      </c>
      <c r="N118" s="78">
        <v>1</v>
      </c>
      <c r="O118" s="14">
        <f t="shared" si="36"/>
        <v>1600</v>
      </c>
      <c r="P118" s="14"/>
      <c r="Q118" s="14">
        <f>VLOOKUP($I118&amp;$F118&amp;$G118,装备属性表,装备属性计算表!AL$29,FALSE)</f>
        <v>3</v>
      </c>
      <c r="R118" s="14">
        <f ca="1">VLOOKUP(VLOOKUP($I118&amp;$F118&amp;$G118,装备属性表,装备属性计算表!AM$29,FALSE),定义数据!$B$13:$C$35,2,FALSE)</f>
        <v>2</v>
      </c>
      <c r="S118" s="14">
        <f ca="1">VLOOKUP($I118&amp;$F118&amp;$G118,装备属性表,装备属性计算表!AN$29,FALSE)</f>
        <v>268.78346951871663</v>
      </c>
      <c r="T118" s="14">
        <f ca="1">VLOOKUP(VLOOKUP($I118&amp;$F118&amp;$G118,装备属性表,装备属性计算表!AO$29,FALSE),定义数据!$B$13:$C$35,2,FALSE)</f>
        <v>8</v>
      </c>
      <c r="U118" s="14">
        <f ca="1">VLOOKUP($I118&amp;$F118&amp;$G118,装备属性表,装备属性计算表!AP$29,FALSE)</f>
        <v>166.66666666666666</v>
      </c>
      <c r="V118" s="14">
        <f ca="1">VLOOKUP(VLOOKUP($I118&amp;$F118&amp;$G118,装备属性表,装备属性计算表!AQ$29,FALSE),定义数据!$B$13:$C$35,2,FALSE)</f>
        <v>2</v>
      </c>
      <c r="W118" s="14">
        <f ca="1">VLOOKUP($I118&amp;$F118&amp;$G118,装备属性表,装备属性计算表!AR$29,FALSE)</f>
        <v>21.502677561497329</v>
      </c>
      <c r="X118" s="14">
        <f ca="1">VLOOKUP(VLOOKUP($I118&amp;$F118&amp;$G118,装备属性表,装备属性计算表!AS$29,FALSE),定义数据!$B$13:$C$35,2,FALSE)</f>
        <v>0</v>
      </c>
      <c r="Y118" s="14">
        <f>VLOOKUP($I118&amp;$F118&amp;$G118,装备属性表,装备属性计算表!AT$29,FALSE)</f>
        <v>0</v>
      </c>
      <c r="Z118" s="14">
        <f ca="1">VLOOKUP(VLOOKUP($I118&amp;$F118&amp;$G118,装备属性表,装备属性计算表!AU$29,FALSE),定义数据!$B$13:$C$35,2,FALSE)</f>
        <v>0</v>
      </c>
      <c r="AA118" s="14">
        <f>VLOOKUP($I118&amp;$F118&amp;$G118,装备属性表,装备属性计算表!AV$29,FALSE)</f>
        <v>0</v>
      </c>
      <c r="AB118" s="14">
        <f ca="1">VLOOKUP(VLOOKUP($I118&amp;$F118&amp;$G118,装备属性表,装备属性计算表!AW$29,FALSE),定义数据!$B$13:$C$35,2,FALSE)</f>
        <v>0</v>
      </c>
      <c r="AC118" s="14">
        <f>VLOOKUP($I118&amp;$F118&amp;$G118,装备属性表,装备属性计算表!AX$29,FALSE)</f>
        <v>0</v>
      </c>
      <c r="AD118" s="14">
        <f ca="1">VLOOKUP(VLOOKUP($I118&amp;$F118&amp;$G118,装备属性表,装备属性计算表!AY$29,FALSE),定义数据!$B$13:$C$35,2,FALSE)</f>
        <v>0</v>
      </c>
      <c r="AE118" s="14">
        <f>VLOOKUP($I118&amp;$F118&amp;$G118,装备属性表,装备属性计算表!AZ$29,FALSE)</f>
        <v>0</v>
      </c>
      <c r="AF118" s="14">
        <f ca="1">VLOOKUP(VLOOKUP($I118&amp;$F118&amp;$G118,装备属性表,装备属性计算表!BA$29,FALSE),定义数据!$B$13:$C$35,2,FALSE)</f>
        <v>0</v>
      </c>
      <c r="AG118" s="14">
        <f>VLOOKUP($I118&amp;$F118&amp;$G118,装备属性表,装备属性计算表!BB$29,FALSE)</f>
        <v>0</v>
      </c>
      <c r="AH118" s="14">
        <f ca="1">VLOOKUP(VLOOKUP($I118&amp;$F118&amp;$G118,装备属性表,装备属性计算表!BC$29,FALSE),定义数据!$B$13:$C$35,2,FALSE)</f>
        <v>0</v>
      </c>
      <c r="AI118" s="14">
        <f>VLOOKUP($I118&amp;$F118&amp;$G118,装备属性表,装备属性计算表!BD$29,FALSE)</f>
        <v>0</v>
      </c>
      <c r="AJ118" s="14">
        <f ca="1">VLOOKUP(VLOOKUP($I118&amp;$F118&amp;$G118,装备属性表,装备属性计算表!BE$29,FALSE),定义数据!$B$13:$C$35,2,FALSE)</f>
        <v>0</v>
      </c>
      <c r="AK118" s="14">
        <f>VLOOKUP($I118&amp;$F118&amp;$G118,装备属性表,装备属性计算表!BF$29,FALSE)</f>
        <v>0</v>
      </c>
      <c r="AL118" t="str">
        <f t="shared" si="37"/>
        <v>战爵之拳是一件60级蓝色可升级的装备。</v>
      </c>
      <c r="AM118" t="str">
        <f>IF(D118=0,5,D118) &amp; F118&amp;"00"&amp;VLOOKUP(G118,定义数据!$F$20:$G$27,2,FALSE)&amp;".png"</f>
        <v>20005.png</v>
      </c>
      <c r="AN118" s="79">
        <f>IF(OR(G118&lt;15),0,D_装备升级表!A118)</f>
        <v>60210</v>
      </c>
      <c r="AP118">
        <f ca="1">VLOOKUP(G118&amp;I118&amp;F118,CHOOSE({1,2},装备属性计算表!$BK$32:$BK$187,装备属性计算表!$BJ$32:$BJ$187),2,FALSE)</f>
        <v>327.2546861096767</v>
      </c>
      <c r="AQ118">
        <f ca="1">AP118*'[1]0、经济设定'!$C$18</f>
        <v>16362.734305483835</v>
      </c>
      <c r="AR118">
        <f ca="1">IFERROR(AQ118*'[1]0、经济设定'!$E$19*AU118*AS118,0)</f>
        <v>719.99999999999989</v>
      </c>
      <c r="AS118">
        <v>10</v>
      </c>
      <c r="AT118">
        <f t="shared" si="42"/>
        <v>72</v>
      </c>
      <c r="AU118">
        <f ca="1">IF(F118=0,IFERROR(AT118/AP118/'[1]0、经济设定'!$E$18,0),AU117)</f>
        <v>2.2001212833930142</v>
      </c>
      <c r="AV118">
        <f t="shared" ca="1" si="39"/>
        <v>13090.187444387067</v>
      </c>
    </row>
    <row r="119" spans="1:48" x14ac:dyDescent="0.15">
      <c r="A119" s="14" t="str">
        <f t="shared" si="3"/>
        <v>30116</v>
      </c>
      <c r="B119" s="14" t="s">
        <v>336</v>
      </c>
      <c r="C119" s="14">
        <f>VLOOKUP($I119&amp;$F119&amp;$G119,装备属性表,装备属性计算表!AK$29,FALSE)</f>
        <v>16</v>
      </c>
      <c r="D119" s="14">
        <f t="shared" si="18"/>
        <v>3</v>
      </c>
      <c r="E119" s="14" t="str">
        <f>VLOOKUP(F119,CHOOSE({1,2},定义数据!$F$2:$F$7,武器部位),2)</f>
        <v>武器</v>
      </c>
      <c r="F119" s="14">
        <v>0</v>
      </c>
      <c r="G119" s="14">
        <v>60</v>
      </c>
      <c r="H119" s="14">
        <f t="shared" si="7"/>
        <v>60</v>
      </c>
      <c r="I119" s="14">
        <v>1</v>
      </c>
      <c r="J119" s="14" t="str">
        <f t="shared" si="40"/>
        <v>6010</v>
      </c>
      <c r="K119" s="14" t="str">
        <f t="shared" si="41"/>
        <v>6010</v>
      </c>
      <c r="L119" s="76"/>
      <c r="M119" s="14">
        <f>IF(OR(G119&lt;15,G119=80),0,D_装备升级表!A119)</f>
        <v>60310</v>
      </c>
      <c r="N119" s="78">
        <v>1</v>
      </c>
      <c r="O119" s="14">
        <f t="shared" si="36"/>
        <v>1600</v>
      </c>
      <c r="P119" s="14"/>
      <c r="Q119" s="14">
        <f>VLOOKUP($I119&amp;$F119&amp;$G119,装备属性表,装备属性计算表!AL$29,FALSE)</f>
        <v>3</v>
      </c>
      <c r="R119" s="14">
        <f ca="1">VLOOKUP(VLOOKUP($I119&amp;$F119&amp;$G119,装备属性表,装备属性计算表!AM$29,FALSE),定义数据!$B$13:$C$35,2,FALSE)</f>
        <v>2</v>
      </c>
      <c r="S119" s="14">
        <f ca="1">VLOOKUP($I119&amp;$F119&amp;$G119,装备属性表,装备属性计算表!AN$29,FALSE)</f>
        <v>268.78346951871663</v>
      </c>
      <c r="T119" s="14">
        <f ca="1">VLOOKUP(VLOOKUP($I119&amp;$F119&amp;$G119,装备属性表,装备属性计算表!AO$29,FALSE),定义数据!$B$13:$C$35,2,FALSE)</f>
        <v>8</v>
      </c>
      <c r="U119" s="14">
        <f ca="1">VLOOKUP($I119&amp;$F119&amp;$G119,装备属性表,装备属性计算表!AP$29,FALSE)</f>
        <v>166.66666666666666</v>
      </c>
      <c r="V119" s="14">
        <f ca="1">VLOOKUP(VLOOKUP($I119&amp;$F119&amp;$G119,装备属性表,装备属性计算表!AQ$29,FALSE),定义数据!$B$13:$C$35,2,FALSE)</f>
        <v>2</v>
      </c>
      <c r="W119" s="14">
        <f ca="1">VLOOKUP($I119&amp;$F119&amp;$G119,装备属性表,装备属性计算表!AR$29,FALSE)</f>
        <v>21.502677561497329</v>
      </c>
      <c r="X119" s="14">
        <f ca="1">VLOOKUP(VLOOKUP($I119&amp;$F119&amp;$G119,装备属性表,装备属性计算表!AS$29,FALSE),定义数据!$B$13:$C$35,2,FALSE)</f>
        <v>0</v>
      </c>
      <c r="Y119" s="14">
        <f>VLOOKUP($I119&amp;$F119&amp;$G119,装备属性表,装备属性计算表!AT$29,FALSE)</f>
        <v>0</v>
      </c>
      <c r="Z119" s="14">
        <f ca="1">VLOOKUP(VLOOKUP($I119&amp;$F119&amp;$G119,装备属性表,装备属性计算表!AU$29,FALSE),定义数据!$B$13:$C$35,2,FALSE)</f>
        <v>0</v>
      </c>
      <c r="AA119" s="14">
        <f>VLOOKUP($I119&amp;$F119&amp;$G119,装备属性表,装备属性计算表!AV$29,FALSE)</f>
        <v>0</v>
      </c>
      <c r="AB119" s="14">
        <f ca="1">VLOOKUP(VLOOKUP($I119&amp;$F119&amp;$G119,装备属性表,装备属性计算表!AW$29,FALSE),定义数据!$B$13:$C$35,2,FALSE)</f>
        <v>0</v>
      </c>
      <c r="AC119" s="14">
        <f>VLOOKUP($I119&amp;$F119&amp;$G119,装备属性表,装备属性计算表!AX$29,FALSE)</f>
        <v>0</v>
      </c>
      <c r="AD119" s="14">
        <f ca="1">VLOOKUP(VLOOKUP($I119&amp;$F119&amp;$G119,装备属性表,装备属性计算表!AY$29,FALSE),定义数据!$B$13:$C$35,2,FALSE)</f>
        <v>0</v>
      </c>
      <c r="AE119" s="14">
        <f>VLOOKUP($I119&amp;$F119&amp;$G119,装备属性表,装备属性计算表!AZ$29,FALSE)</f>
        <v>0</v>
      </c>
      <c r="AF119" s="14">
        <f ca="1">VLOOKUP(VLOOKUP($I119&amp;$F119&amp;$G119,装备属性表,装备属性计算表!BA$29,FALSE),定义数据!$B$13:$C$35,2,FALSE)</f>
        <v>0</v>
      </c>
      <c r="AG119" s="14">
        <f>VLOOKUP($I119&amp;$F119&amp;$G119,装备属性表,装备属性计算表!BB$29,FALSE)</f>
        <v>0</v>
      </c>
      <c r="AH119" s="14">
        <f ca="1">VLOOKUP(VLOOKUP($I119&amp;$F119&amp;$G119,装备属性表,装备属性计算表!BC$29,FALSE),定义数据!$B$13:$C$35,2,FALSE)</f>
        <v>0</v>
      </c>
      <c r="AI119" s="14">
        <f>VLOOKUP($I119&amp;$F119&amp;$G119,装备属性表,装备属性计算表!BD$29,FALSE)</f>
        <v>0</v>
      </c>
      <c r="AJ119" s="14">
        <f ca="1">VLOOKUP(VLOOKUP($I119&amp;$F119&amp;$G119,装备属性表,装备属性计算表!BE$29,FALSE),定义数据!$B$13:$C$35,2,FALSE)</f>
        <v>0</v>
      </c>
      <c r="AK119" s="14">
        <f>VLOOKUP($I119&amp;$F119&amp;$G119,装备属性表,装备属性计算表!BF$29,FALSE)</f>
        <v>0</v>
      </c>
      <c r="AL119" t="str">
        <f t="shared" si="37"/>
        <v>战爵之枪是一件60级蓝色可升级的装备。</v>
      </c>
      <c r="AM119" t="str">
        <f>IF(D119=0,5,D119) &amp; F119&amp;"00"&amp;VLOOKUP(G119,定义数据!$F$20:$G$27,2,FALSE)&amp;".png"</f>
        <v>30005.png</v>
      </c>
      <c r="AN119" s="79">
        <f>IF(OR(G119&lt;15),0,D_装备升级表!A119)</f>
        <v>60310</v>
      </c>
      <c r="AP119">
        <f ca="1">VLOOKUP(G119&amp;I119&amp;F119,CHOOSE({1,2},装备属性计算表!$BK$32:$BK$187,装备属性计算表!$BJ$32:$BJ$187),2,FALSE)</f>
        <v>327.2546861096767</v>
      </c>
      <c r="AQ119">
        <f ca="1">AP119*'[1]0、经济设定'!$C$18</f>
        <v>16362.734305483835</v>
      </c>
      <c r="AR119">
        <f ca="1">IFERROR(AQ119*'[1]0、经济设定'!$E$19*AU119*AS119,0)</f>
        <v>719.99999999999989</v>
      </c>
      <c r="AS119">
        <v>10</v>
      </c>
      <c r="AT119">
        <f t="shared" si="42"/>
        <v>72</v>
      </c>
      <c r="AU119">
        <f ca="1">IF(F119=0,IFERROR(AT119/AP119/'[1]0、经济设定'!$E$18,0),AU118)</f>
        <v>2.2001212833930142</v>
      </c>
      <c r="AV119">
        <f t="shared" ca="1" si="39"/>
        <v>13090.187444387067</v>
      </c>
    </row>
    <row r="120" spans="1:48" x14ac:dyDescent="0.15">
      <c r="A120" s="14" t="str">
        <f t="shared" si="3"/>
        <v>51116</v>
      </c>
      <c r="B120" s="14" t="s">
        <v>337</v>
      </c>
      <c r="C120" s="14">
        <f>VLOOKUP($I120&amp;$F120&amp;$G120,装备属性表,装备属性计算表!AK$29,FALSE)</f>
        <v>16</v>
      </c>
      <c r="D120" s="14">
        <f t="shared" si="18"/>
        <v>0</v>
      </c>
      <c r="E120" s="14" t="str">
        <f>VLOOKUP(F120,CHOOSE({1,2},定义数据!$F$2:$F$7,武器部位),2)</f>
        <v>衣服</v>
      </c>
      <c r="F120" s="14">
        <v>1</v>
      </c>
      <c r="G120" s="14">
        <v>60</v>
      </c>
      <c r="H120" s="14">
        <f t="shared" si="7"/>
        <v>60</v>
      </c>
      <c r="I120" s="14">
        <v>1</v>
      </c>
      <c r="J120" s="14" t="str">
        <f t="shared" si="40"/>
        <v>6011</v>
      </c>
      <c r="K120" s="14" t="str">
        <f t="shared" si="41"/>
        <v>6011</v>
      </c>
      <c r="L120" s="76"/>
      <c r="M120" s="14">
        <f>IF(OR(G120&lt;15,G120=80),0,D_装备升级表!A120)</f>
        <v>60011</v>
      </c>
      <c r="N120" s="78">
        <v>1</v>
      </c>
      <c r="O120" s="14">
        <f t="shared" si="36"/>
        <v>1600</v>
      </c>
      <c r="P120" s="14"/>
      <c r="Q120" s="14">
        <f>VLOOKUP($I120&amp;$F120&amp;$G120,装备属性表,装备属性计算表!AL$29,FALSE)</f>
        <v>3</v>
      </c>
      <c r="R120" s="14">
        <f ca="1">VLOOKUP(VLOOKUP($I120&amp;$F120&amp;$G120,装备属性表,装备属性计算表!AM$29,FALSE),定义数据!$B$13:$C$35,2,FALSE)</f>
        <v>1</v>
      </c>
      <c r="S120" s="14">
        <f ca="1">VLOOKUP($I120&amp;$F120&amp;$G120,装备属性表,装备属性计算表!AN$29,FALSE)</f>
        <v>4233.4012605427797</v>
      </c>
      <c r="T120" s="14">
        <f ca="1">VLOOKUP(VLOOKUP($I120&amp;$F120&amp;$G120,装备属性表,装备属性计算表!AO$29,FALSE),定义数据!$B$13:$C$35,2,FALSE)</f>
        <v>3</v>
      </c>
      <c r="U120" s="14">
        <f ca="1">VLOOKUP($I120&amp;$F120&amp;$G120,装备属性表,装备属性计算表!AP$29,FALSE)</f>
        <v>92.917405060658595</v>
      </c>
      <c r="V120" s="14">
        <f ca="1">VLOOKUP(VLOOKUP($I120&amp;$F120&amp;$G120,装备属性表,装备属性计算表!AQ$29,FALSE),定义数据!$B$13:$C$35,2,FALSE)</f>
        <v>1</v>
      </c>
      <c r="W120" s="14">
        <f ca="1">VLOOKUP($I120&amp;$F120&amp;$G120,装备属性表,装备属性计算表!AR$29,FALSE)</f>
        <v>235.18895891904333</v>
      </c>
      <c r="X120" s="14">
        <f ca="1">VLOOKUP(VLOOKUP($I120&amp;$F120&amp;$G120,装备属性表,装备属性计算表!AS$29,FALSE),定义数据!$B$13:$C$35,2,FALSE)</f>
        <v>0</v>
      </c>
      <c r="Y120" s="14">
        <f>VLOOKUP($I120&amp;$F120&amp;$G120,装备属性表,装备属性计算表!AT$29,FALSE)</f>
        <v>0</v>
      </c>
      <c r="Z120" s="14">
        <f ca="1">VLOOKUP(VLOOKUP($I120&amp;$F120&amp;$G120,装备属性表,装备属性计算表!AU$29,FALSE),定义数据!$B$13:$C$35,2,FALSE)</f>
        <v>0</v>
      </c>
      <c r="AA120" s="14">
        <f>VLOOKUP($I120&amp;$F120&amp;$G120,装备属性表,装备属性计算表!AV$29,FALSE)</f>
        <v>0</v>
      </c>
      <c r="AB120" s="14">
        <f ca="1">VLOOKUP(VLOOKUP($I120&amp;$F120&amp;$G120,装备属性表,装备属性计算表!AW$29,FALSE),定义数据!$B$13:$C$35,2,FALSE)</f>
        <v>0</v>
      </c>
      <c r="AC120" s="14">
        <f>VLOOKUP($I120&amp;$F120&amp;$G120,装备属性表,装备属性计算表!AX$29,FALSE)</f>
        <v>0</v>
      </c>
      <c r="AD120" s="14">
        <f ca="1">VLOOKUP(VLOOKUP($I120&amp;$F120&amp;$G120,装备属性表,装备属性计算表!AY$29,FALSE),定义数据!$B$13:$C$35,2,FALSE)</f>
        <v>0</v>
      </c>
      <c r="AE120" s="14">
        <f>VLOOKUP($I120&amp;$F120&amp;$G120,装备属性表,装备属性计算表!AZ$29,FALSE)</f>
        <v>0</v>
      </c>
      <c r="AF120" s="14">
        <f ca="1">VLOOKUP(VLOOKUP($I120&amp;$F120&amp;$G120,装备属性表,装备属性计算表!BA$29,FALSE),定义数据!$B$13:$C$35,2,FALSE)</f>
        <v>0</v>
      </c>
      <c r="AG120" s="14">
        <f>VLOOKUP($I120&amp;$F120&amp;$G120,装备属性表,装备属性计算表!BB$29,FALSE)</f>
        <v>0</v>
      </c>
      <c r="AH120" s="14">
        <f ca="1">VLOOKUP(VLOOKUP($I120&amp;$F120&amp;$G120,装备属性表,装备属性计算表!BC$29,FALSE),定义数据!$B$13:$C$35,2,FALSE)</f>
        <v>0</v>
      </c>
      <c r="AI120" s="14">
        <f>VLOOKUP($I120&amp;$F120&amp;$G120,装备属性表,装备属性计算表!BD$29,FALSE)</f>
        <v>0</v>
      </c>
      <c r="AJ120" s="14">
        <f ca="1">VLOOKUP(VLOOKUP($I120&amp;$F120&amp;$G120,装备属性表,装备属性计算表!BE$29,FALSE),定义数据!$B$13:$C$35,2,FALSE)</f>
        <v>0</v>
      </c>
      <c r="AK120" s="14">
        <f>VLOOKUP($I120&amp;$F120&amp;$G120,装备属性表,装备属性计算表!BF$29,FALSE)</f>
        <v>0</v>
      </c>
      <c r="AL120" t="str">
        <f t="shared" si="37"/>
        <v>战爵之衣是一件60级蓝色可升级的装备。</v>
      </c>
      <c r="AM120" t="str">
        <f>IF(D120=0,5,D120) &amp; F120&amp;"00"&amp;VLOOKUP(G120,定义数据!$F$20:$G$27,2,FALSE)&amp;".png"</f>
        <v>51005.png</v>
      </c>
      <c r="AN120" s="79">
        <f>IF(OR(G120&lt;15),0,D_装备升级表!A120)</f>
        <v>60011</v>
      </c>
      <c r="AP120">
        <f ca="1">VLOOKUP(G120&amp;I120&amp;F120,CHOOSE({1,2},装备属性计算表!$BK$32:$BK$187,装备属性计算表!$BJ$32:$BJ$187),2,FALSE)</f>
        <v>282.31663092751972</v>
      </c>
      <c r="AQ120">
        <f ca="1">AP120*'[1]0、经济设定'!$C$18</f>
        <v>14115.831546375986</v>
      </c>
      <c r="AR120">
        <f ca="1">IFERROR(AQ120*'[1]0、经济设定'!$E$19*AU120*AS120,0)</f>
        <v>621.13082835944658</v>
      </c>
      <c r="AS120">
        <v>10</v>
      </c>
      <c r="AT120">
        <f t="shared" si="42"/>
        <v>72</v>
      </c>
      <c r="AU120">
        <f ca="1">IF(F120=0,IFERROR(AT120/AP120/'[1]0、经济设定'!$E$18,0),AU119)</f>
        <v>2.2001212833930142</v>
      </c>
      <c r="AV120">
        <f t="shared" ca="1" si="39"/>
        <v>11292.665237100789</v>
      </c>
    </row>
    <row r="121" spans="1:48" x14ac:dyDescent="0.15">
      <c r="A121" s="14" t="str">
        <f t="shared" si="3"/>
        <v>52116</v>
      </c>
      <c r="B121" s="14" t="s">
        <v>338</v>
      </c>
      <c r="C121" s="14">
        <f>VLOOKUP($I121&amp;$F121&amp;$G121,装备属性表,装备属性计算表!AK$29,FALSE)</f>
        <v>16</v>
      </c>
      <c r="D121" s="14">
        <f t="shared" si="18"/>
        <v>0</v>
      </c>
      <c r="E121" s="14" t="str">
        <f>VLOOKUP(F121,CHOOSE({1,2},定义数据!$F$2:$F$7,武器部位),2)</f>
        <v>裤子</v>
      </c>
      <c r="F121" s="14">
        <v>2</v>
      </c>
      <c r="G121" s="14">
        <v>60</v>
      </c>
      <c r="H121" s="14">
        <f t="shared" si="7"/>
        <v>60</v>
      </c>
      <c r="I121" s="14">
        <v>1</v>
      </c>
      <c r="J121" s="14" t="str">
        <f t="shared" si="40"/>
        <v>6012</v>
      </c>
      <c r="K121" s="14" t="str">
        <f t="shared" si="41"/>
        <v>6012</v>
      </c>
      <c r="L121" s="76"/>
      <c r="M121" s="14">
        <f>IF(OR(G121&lt;15,G121=80),0,D_装备升级表!A121)</f>
        <v>60012</v>
      </c>
      <c r="N121" s="78">
        <v>1</v>
      </c>
      <c r="O121" s="14">
        <f t="shared" si="36"/>
        <v>1600</v>
      </c>
      <c r="P121" s="14"/>
      <c r="Q121" s="14">
        <f>VLOOKUP($I121&amp;$F121&amp;$G121,装备属性表,装备属性计算表!AL$29,FALSE)</f>
        <v>3</v>
      </c>
      <c r="R121" s="14">
        <f ca="1">VLOOKUP(VLOOKUP($I121&amp;$F121&amp;$G121,装备属性表,装备属性计算表!AM$29,FALSE),定义数据!$B$13:$C$35,2,FALSE)</f>
        <v>3</v>
      </c>
      <c r="S121" s="14">
        <f ca="1">VLOOKUP($I121&amp;$F121&amp;$G121,装备属性表,装备属性计算表!AN$29,FALSE)</f>
        <v>61.944936707105732</v>
      </c>
      <c r="T121" s="14">
        <f ca="1">VLOOKUP(VLOOKUP($I121&amp;$F121&amp;$G121,装备属性表,装备属性计算表!AO$29,FALSE),定义数据!$B$13:$C$35,2,FALSE)</f>
        <v>7</v>
      </c>
      <c r="U121" s="14">
        <f ca="1">VLOOKUP($I121&amp;$F121&amp;$G121,装备属性表,装备属性计算表!AP$29,FALSE)</f>
        <v>93.75</v>
      </c>
      <c r="V121" s="14">
        <f ca="1">VLOOKUP(VLOOKUP($I121&amp;$F121&amp;$G121,装备属性表,装备属性计算表!AQ$29,FALSE),定义数据!$B$13:$C$35,2,FALSE)</f>
        <v>1</v>
      </c>
      <c r="W121" s="14">
        <f ca="1">VLOOKUP($I121&amp;$F121&amp;$G121,装备属性表,装备属性计算表!AR$29,FALSE)</f>
        <v>117.59447945952166</v>
      </c>
      <c r="X121" s="14">
        <f ca="1">VLOOKUP(VLOOKUP($I121&amp;$F121&amp;$G121,装备属性表,装备属性计算表!AS$29,FALSE),定义数据!$B$13:$C$35,2,FALSE)</f>
        <v>0</v>
      </c>
      <c r="Y121" s="14">
        <f>VLOOKUP($I121&amp;$F121&amp;$G121,装备属性表,装备属性计算表!AT$29,FALSE)</f>
        <v>0</v>
      </c>
      <c r="Z121" s="14">
        <f ca="1">VLOOKUP(VLOOKUP($I121&amp;$F121&amp;$G121,装备属性表,装备属性计算表!AU$29,FALSE),定义数据!$B$13:$C$35,2,FALSE)</f>
        <v>0</v>
      </c>
      <c r="AA121" s="14">
        <f>VLOOKUP($I121&amp;$F121&amp;$G121,装备属性表,装备属性计算表!AV$29,FALSE)</f>
        <v>0</v>
      </c>
      <c r="AB121" s="14">
        <f ca="1">VLOOKUP(VLOOKUP($I121&amp;$F121&amp;$G121,装备属性表,装备属性计算表!AW$29,FALSE),定义数据!$B$13:$C$35,2,FALSE)</f>
        <v>0</v>
      </c>
      <c r="AC121" s="14">
        <f>VLOOKUP($I121&amp;$F121&amp;$G121,装备属性表,装备属性计算表!AX$29,FALSE)</f>
        <v>0</v>
      </c>
      <c r="AD121" s="14">
        <f ca="1">VLOOKUP(VLOOKUP($I121&amp;$F121&amp;$G121,装备属性表,装备属性计算表!AY$29,FALSE),定义数据!$B$13:$C$35,2,FALSE)</f>
        <v>0</v>
      </c>
      <c r="AE121" s="14">
        <f>VLOOKUP($I121&amp;$F121&amp;$G121,装备属性表,装备属性计算表!AZ$29,FALSE)</f>
        <v>0</v>
      </c>
      <c r="AF121" s="14">
        <f ca="1">VLOOKUP(VLOOKUP($I121&amp;$F121&amp;$G121,装备属性表,装备属性计算表!BA$29,FALSE),定义数据!$B$13:$C$35,2,FALSE)</f>
        <v>0</v>
      </c>
      <c r="AG121" s="14">
        <f>VLOOKUP($I121&amp;$F121&amp;$G121,装备属性表,装备属性计算表!BB$29,FALSE)</f>
        <v>0</v>
      </c>
      <c r="AH121" s="14">
        <f ca="1">VLOOKUP(VLOOKUP($I121&amp;$F121&amp;$G121,装备属性表,装备属性计算表!BC$29,FALSE),定义数据!$B$13:$C$35,2,FALSE)</f>
        <v>0</v>
      </c>
      <c r="AI121" s="14">
        <f>VLOOKUP($I121&amp;$F121&amp;$G121,装备属性表,装备属性计算表!BD$29,FALSE)</f>
        <v>0</v>
      </c>
      <c r="AJ121" s="14">
        <f ca="1">VLOOKUP(VLOOKUP($I121&amp;$F121&amp;$G121,装备属性表,装备属性计算表!BE$29,FALSE),定义数据!$B$13:$C$35,2,FALSE)</f>
        <v>0</v>
      </c>
      <c r="AK121" s="14">
        <f>VLOOKUP($I121&amp;$F121&amp;$G121,装备属性表,装备属性计算表!BF$29,FALSE)</f>
        <v>0</v>
      </c>
      <c r="AL121" t="str">
        <f t="shared" si="37"/>
        <v>战爵长裤是一件60级蓝色可升级的装备。</v>
      </c>
      <c r="AM121" t="str">
        <f>IF(D121=0,5,D121) &amp; F121&amp;"00"&amp;VLOOKUP(G121,定义数据!$F$20:$G$27,2,FALSE)&amp;".png"</f>
        <v>52005.png</v>
      </c>
      <c r="AN121" s="79">
        <f>IF(OR(G121&lt;15),0,D_装备升级表!A121)</f>
        <v>60012</v>
      </c>
      <c r="AP121">
        <f ca="1">VLOOKUP(G121&amp;I121&amp;F121,CHOOSE({1,2},装备属性计算表!$BK$32:$BK$187,装备属性计算表!$BJ$32:$BJ$187),2,FALSE)</f>
        <v>104.01725491494935</v>
      </c>
      <c r="AQ121">
        <f ca="1">AP121*'[1]0、经济设定'!$C$18</f>
        <v>5200.8627457474677</v>
      </c>
      <c r="AR121">
        <f ca="1">IFERROR(AQ121*'[1]0、经济设定'!$E$19*AU121*AS121,0)</f>
        <v>228.8505763784967</v>
      </c>
      <c r="AS121">
        <v>10</v>
      </c>
      <c r="AT121">
        <f t="shared" si="42"/>
        <v>72</v>
      </c>
      <c r="AU121">
        <f ca="1">IF(F121=0,IFERROR(AT121/AP121/'[1]0、经济设定'!$E$18,0),AU120)</f>
        <v>2.2001212833930142</v>
      </c>
      <c r="AV121">
        <f t="shared" ca="1" si="39"/>
        <v>4160.6901965979741</v>
      </c>
    </row>
    <row r="122" spans="1:48" x14ac:dyDescent="0.15">
      <c r="A122" s="14" t="str">
        <f t="shared" si="3"/>
        <v>55116</v>
      </c>
      <c r="B122" s="14" t="s">
        <v>339</v>
      </c>
      <c r="C122" s="14">
        <f>VLOOKUP($I122&amp;$F122&amp;$G122,装备属性表,装备属性计算表!AK$29,FALSE)</f>
        <v>16</v>
      </c>
      <c r="D122" s="14">
        <f t="shared" si="18"/>
        <v>0</v>
      </c>
      <c r="E122" s="14" t="str">
        <f>VLOOKUP(F122,CHOOSE({1,2},定义数据!$F$2:$F$7,武器部位),2)</f>
        <v>鞋子</v>
      </c>
      <c r="F122" s="14">
        <v>5</v>
      </c>
      <c r="G122" s="14">
        <v>60</v>
      </c>
      <c r="H122" s="14">
        <f t="shared" si="7"/>
        <v>60</v>
      </c>
      <c r="I122" s="14">
        <v>1</v>
      </c>
      <c r="J122" s="14" t="str">
        <f t="shared" si="40"/>
        <v>6015</v>
      </c>
      <c r="K122" s="14" t="str">
        <f t="shared" si="41"/>
        <v>6015</v>
      </c>
      <c r="L122" s="76"/>
      <c r="M122" s="14">
        <f>IF(OR(G122&lt;15,G122=80),0,D_装备升级表!A122)</f>
        <v>60015</v>
      </c>
      <c r="N122" s="78">
        <v>1</v>
      </c>
      <c r="O122" s="14">
        <f t="shared" si="36"/>
        <v>1600</v>
      </c>
      <c r="P122" s="14"/>
      <c r="Q122" s="14">
        <f>VLOOKUP($I122&amp;$F122&amp;$G122,装备属性表,装备属性计算表!AL$29,FALSE)</f>
        <v>3</v>
      </c>
      <c r="R122" s="14">
        <f ca="1">VLOOKUP(VLOOKUP($I122&amp;$F122&amp;$G122,装备属性表,装备属性计算表!AM$29,FALSE),定义数据!$B$13:$C$35,2,FALSE)</f>
        <v>1</v>
      </c>
      <c r="S122" s="14">
        <f ca="1">VLOOKUP($I122&amp;$F122&amp;$G122,装备属性表,装备属性计算表!AN$29,FALSE)</f>
        <v>1411.1337535142602</v>
      </c>
      <c r="T122" s="14">
        <f ca="1">VLOOKUP(VLOOKUP($I122&amp;$F122&amp;$G122,装备属性表,装备属性计算表!AO$29,FALSE),定义数据!$B$13:$C$35,2,FALSE)</f>
        <v>7</v>
      </c>
      <c r="U122" s="14">
        <f ca="1">VLOOKUP($I122&amp;$F122&amp;$G122,装备属性表,装备属性计算表!AP$29,FALSE)</f>
        <v>187.5</v>
      </c>
      <c r="V122" s="14">
        <f ca="1">VLOOKUP(VLOOKUP($I122&amp;$F122&amp;$G122,装备属性表,装备属性计算表!AQ$29,FALSE),定义数据!$B$13:$C$35,2,FALSE)</f>
        <v>1</v>
      </c>
      <c r="W122" s="14">
        <f ca="1">VLOOKUP($I122&amp;$F122&amp;$G122,装备属性表,装备属性计算表!AR$29,FALSE)</f>
        <v>117.59447945952166</v>
      </c>
      <c r="X122" s="14">
        <f ca="1">VLOOKUP(VLOOKUP($I122&amp;$F122&amp;$G122,装备属性表,装备属性计算表!AS$29,FALSE),定义数据!$B$13:$C$35,2,FALSE)</f>
        <v>0</v>
      </c>
      <c r="Y122" s="14">
        <f>VLOOKUP($I122&amp;$F122&amp;$G122,装备属性表,装备属性计算表!AT$29,FALSE)</f>
        <v>0</v>
      </c>
      <c r="Z122" s="14">
        <f ca="1">VLOOKUP(VLOOKUP($I122&amp;$F122&amp;$G122,装备属性表,装备属性计算表!AU$29,FALSE),定义数据!$B$13:$C$35,2,FALSE)</f>
        <v>0</v>
      </c>
      <c r="AA122" s="14">
        <f>VLOOKUP($I122&amp;$F122&amp;$G122,装备属性表,装备属性计算表!AV$29,FALSE)</f>
        <v>0</v>
      </c>
      <c r="AB122" s="14">
        <f ca="1">VLOOKUP(VLOOKUP($I122&amp;$F122&amp;$G122,装备属性表,装备属性计算表!AW$29,FALSE),定义数据!$B$13:$C$35,2,FALSE)</f>
        <v>0</v>
      </c>
      <c r="AC122" s="14">
        <f>VLOOKUP($I122&amp;$F122&amp;$G122,装备属性表,装备属性计算表!AX$29,FALSE)</f>
        <v>0</v>
      </c>
      <c r="AD122" s="14">
        <f ca="1">VLOOKUP(VLOOKUP($I122&amp;$F122&amp;$G122,装备属性表,装备属性计算表!AY$29,FALSE),定义数据!$B$13:$C$35,2,FALSE)</f>
        <v>0</v>
      </c>
      <c r="AE122" s="14">
        <f>VLOOKUP($I122&amp;$F122&amp;$G122,装备属性表,装备属性计算表!AZ$29,FALSE)</f>
        <v>0</v>
      </c>
      <c r="AF122" s="14">
        <f ca="1">VLOOKUP(VLOOKUP($I122&amp;$F122&amp;$G122,装备属性表,装备属性计算表!BA$29,FALSE),定义数据!$B$13:$C$35,2,FALSE)</f>
        <v>0</v>
      </c>
      <c r="AG122" s="14">
        <f>VLOOKUP($I122&amp;$F122&amp;$G122,装备属性表,装备属性计算表!BB$29,FALSE)</f>
        <v>0</v>
      </c>
      <c r="AH122" s="14">
        <f ca="1">VLOOKUP(VLOOKUP($I122&amp;$F122&amp;$G122,装备属性表,装备属性计算表!BC$29,FALSE),定义数据!$B$13:$C$35,2,FALSE)</f>
        <v>0</v>
      </c>
      <c r="AI122" s="14">
        <f>VLOOKUP($I122&amp;$F122&amp;$G122,装备属性表,装备属性计算表!BD$29,FALSE)</f>
        <v>0</v>
      </c>
      <c r="AJ122" s="14">
        <f ca="1">VLOOKUP(VLOOKUP($I122&amp;$F122&amp;$G122,装备属性表,装备属性计算表!BE$29,FALSE),定义数据!$B$13:$C$35,2,FALSE)</f>
        <v>0</v>
      </c>
      <c r="AK122" s="14">
        <f>VLOOKUP($I122&amp;$F122&amp;$G122,装备属性表,装备属性计算表!BF$29,FALSE)</f>
        <v>0</v>
      </c>
      <c r="AL122" t="str">
        <f t="shared" si="37"/>
        <v>战爵长靴是一件60级蓝色可升级的装备。</v>
      </c>
      <c r="AM122" t="str">
        <f>IF(D122=0,5,D122) &amp; F122&amp;"00"&amp;VLOOKUP(G122,定义数据!$F$20:$G$27,2,FALSE)&amp;".png"</f>
        <v>55005.png</v>
      </c>
      <c r="AN122" s="79">
        <f>IF(OR(G122&lt;15),0,D_装备升级表!A122)</f>
        <v>60015</v>
      </c>
      <c r="AP122">
        <f ca="1">VLOOKUP(G122&amp;I122&amp;F122,CHOOSE({1,2},装备属性计算表!$BK$32:$BK$187,装备属性计算表!$BJ$32:$BJ$187),2,FALSE)</f>
        <v>132.51162931895126</v>
      </c>
      <c r="AQ122">
        <f ca="1">AP122*'[1]0、经济设定'!$C$18</f>
        <v>6625.5814659475636</v>
      </c>
      <c r="AR122">
        <f ca="1">IFERROR(AQ122*'[1]0、经济设定'!$E$19*AU122*AS122,0)</f>
        <v>291.54165596171043</v>
      </c>
      <c r="AS122">
        <v>10</v>
      </c>
      <c r="AT122">
        <f t="shared" si="42"/>
        <v>72</v>
      </c>
      <c r="AU122">
        <f ca="1">IF(F122=0,IFERROR(AT122/AP122/'[1]0、经济设定'!$E$18,0),AU121)</f>
        <v>2.2001212833930142</v>
      </c>
      <c r="AV122">
        <f t="shared" ca="1" si="39"/>
        <v>5300.4651727580504</v>
      </c>
    </row>
    <row r="123" spans="1:48" x14ac:dyDescent="0.15">
      <c r="A123" s="14" t="str">
        <f t="shared" si="3"/>
        <v>54116</v>
      </c>
      <c r="B123" s="14" t="s">
        <v>340</v>
      </c>
      <c r="C123" s="14">
        <f>VLOOKUP($I123&amp;$F123&amp;$G123,装备属性表,装备属性计算表!AK$29,FALSE)</f>
        <v>16</v>
      </c>
      <c r="D123" s="14">
        <f t="shared" si="18"/>
        <v>0</v>
      </c>
      <c r="E123" s="14" t="str">
        <f>VLOOKUP(F123,CHOOSE({1,2},定义数据!$F$2:$F$7,武器部位),2)</f>
        <v>腰带</v>
      </c>
      <c r="F123" s="14">
        <v>4</v>
      </c>
      <c r="G123" s="14">
        <v>60</v>
      </c>
      <c r="H123" s="14">
        <f t="shared" si="7"/>
        <v>60</v>
      </c>
      <c r="I123" s="14">
        <v>1</v>
      </c>
      <c r="J123" s="14" t="str">
        <f t="shared" si="40"/>
        <v>6014</v>
      </c>
      <c r="K123" s="14" t="str">
        <f t="shared" si="41"/>
        <v>6014</v>
      </c>
      <c r="L123" s="76"/>
      <c r="M123" s="14">
        <f>IF(OR(G123&lt;15,G123=80),0,D_装备升级表!A123)</f>
        <v>60014</v>
      </c>
      <c r="N123" s="78">
        <v>1</v>
      </c>
      <c r="O123" s="14">
        <f t="shared" si="36"/>
        <v>1600</v>
      </c>
      <c r="P123" s="14"/>
      <c r="Q123" s="14">
        <f>VLOOKUP($I123&amp;$F123&amp;$G123,装备属性表,装备属性计算表!AL$29,FALSE)</f>
        <v>3</v>
      </c>
      <c r="R123" s="14">
        <f ca="1">VLOOKUP(VLOOKUP($I123&amp;$F123&amp;$G123,装备属性表,装备属性计算表!AM$29,FALSE),定义数据!$B$13:$C$35,2,FALSE)</f>
        <v>1</v>
      </c>
      <c r="S123" s="14">
        <f ca="1">VLOOKUP($I123&amp;$F123&amp;$G123,装备属性表,装备属性计算表!AN$29,FALSE)</f>
        <v>1411.1337535142602</v>
      </c>
      <c r="T123" s="14">
        <f ca="1">VLOOKUP(VLOOKUP($I123&amp;$F123&amp;$G123,装备属性表,装备属性计算表!AO$29,FALSE),定义数据!$B$13:$C$35,2,FALSE)</f>
        <v>9</v>
      </c>
      <c r="U123" s="14">
        <f ca="1">VLOOKUP($I123&amp;$F123&amp;$G123,装备属性表,装备属性计算表!AP$29,FALSE)</f>
        <v>166.66666666666666</v>
      </c>
      <c r="V123" s="14">
        <f ca="1">VLOOKUP(VLOOKUP($I123&amp;$F123&amp;$G123,装备属性表,装备属性计算表!AQ$29,FALSE),定义数据!$B$13:$C$35,2,FALSE)</f>
        <v>1</v>
      </c>
      <c r="W123" s="14">
        <f ca="1">VLOOKUP($I123&amp;$F123&amp;$G123,装备属性表,装备属性计算表!AR$29,FALSE)</f>
        <v>235.18895891904333</v>
      </c>
      <c r="X123" s="14">
        <f ca="1">VLOOKUP(VLOOKUP($I123&amp;$F123&amp;$G123,装备属性表,装备属性计算表!AS$29,FALSE),定义数据!$B$13:$C$35,2,FALSE)</f>
        <v>0</v>
      </c>
      <c r="Y123" s="14">
        <f>VLOOKUP($I123&amp;$F123&amp;$G123,装备属性表,装备属性计算表!AT$29,FALSE)</f>
        <v>0</v>
      </c>
      <c r="Z123" s="14">
        <f ca="1">VLOOKUP(VLOOKUP($I123&amp;$F123&amp;$G123,装备属性表,装备属性计算表!AU$29,FALSE),定义数据!$B$13:$C$35,2,FALSE)</f>
        <v>0</v>
      </c>
      <c r="AA123" s="14">
        <f>VLOOKUP($I123&amp;$F123&amp;$G123,装备属性表,装备属性计算表!AV$29,FALSE)</f>
        <v>0</v>
      </c>
      <c r="AB123" s="14">
        <f ca="1">VLOOKUP(VLOOKUP($I123&amp;$F123&amp;$G123,装备属性表,装备属性计算表!AW$29,FALSE),定义数据!$B$13:$C$35,2,FALSE)</f>
        <v>0</v>
      </c>
      <c r="AC123" s="14">
        <f>VLOOKUP($I123&amp;$F123&amp;$G123,装备属性表,装备属性计算表!AX$29,FALSE)</f>
        <v>0</v>
      </c>
      <c r="AD123" s="14">
        <f ca="1">VLOOKUP(VLOOKUP($I123&amp;$F123&amp;$G123,装备属性表,装备属性计算表!AY$29,FALSE),定义数据!$B$13:$C$35,2,FALSE)</f>
        <v>0</v>
      </c>
      <c r="AE123" s="14">
        <f>VLOOKUP($I123&amp;$F123&amp;$G123,装备属性表,装备属性计算表!AZ$29,FALSE)</f>
        <v>0</v>
      </c>
      <c r="AF123" s="14">
        <f ca="1">VLOOKUP(VLOOKUP($I123&amp;$F123&amp;$G123,装备属性表,装备属性计算表!BA$29,FALSE),定义数据!$B$13:$C$35,2,FALSE)</f>
        <v>0</v>
      </c>
      <c r="AG123" s="14">
        <f>VLOOKUP($I123&amp;$F123&amp;$G123,装备属性表,装备属性计算表!BB$29,FALSE)</f>
        <v>0</v>
      </c>
      <c r="AH123" s="14">
        <f ca="1">VLOOKUP(VLOOKUP($I123&amp;$F123&amp;$G123,装备属性表,装备属性计算表!BC$29,FALSE),定义数据!$B$13:$C$35,2,FALSE)</f>
        <v>0</v>
      </c>
      <c r="AI123" s="14">
        <f>VLOOKUP($I123&amp;$F123&amp;$G123,装备属性表,装备属性计算表!BD$29,FALSE)</f>
        <v>0</v>
      </c>
      <c r="AJ123" s="14">
        <f ca="1">VLOOKUP(VLOOKUP($I123&amp;$F123&amp;$G123,装备属性表,装备属性计算表!BE$29,FALSE),定义数据!$B$13:$C$35,2,FALSE)</f>
        <v>0</v>
      </c>
      <c r="AK123" s="14">
        <f>VLOOKUP($I123&amp;$F123&amp;$G123,装备属性表,装备属性计算表!BF$29,FALSE)</f>
        <v>0</v>
      </c>
      <c r="AL123" t="str">
        <f t="shared" si="37"/>
        <v>战爵腰带是一件60级蓝色可升级的装备。</v>
      </c>
      <c r="AM123" t="str">
        <f>IF(D123=0,5,D123) &amp; F123&amp;"00"&amp;VLOOKUP(G123,定义数据!$F$20:$G$27,2,FALSE)&amp;".png"</f>
        <v>54005.png</v>
      </c>
      <c r="AN123" s="79">
        <f>IF(OR(G123&lt;15),0,D_装备升级表!A123)</f>
        <v>60014</v>
      </c>
      <c r="AP123">
        <f ca="1">VLOOKUP(G123&amp;I123&amp;F123,CHOOSE({1,2},装备属性计算表!$BK$32:$BK$187,装备属性计算表!$BJ$32:$BJ$187),2,FALSE)</f>
        <v>106.60150671396066</v>
      </c>
      <c r="AQ123">
        <f ca="1">AP123*'[1]0、经济设定'!$C$18</f>
        <v>5330.0753356980331</v>
      </c>
      <c r="AR123">
        <f ca="1">IFERROR(AQ123*'[1]0、经济设定'!$E$19*AU123*AS123,0)</f>
        <v>234.53624376314815</v>
      </c>
      <c r="AS123">
        <v>10</v>
      </c>
      <c r="AT123">
        <f t="shared" si="42"/>
        <v>72</v>
      </c>
      <c r="AU123">
        <f ca="1">IF(F123=0,IFERROR(AT123/AP123/'[1]0、经济设定'!$E$18,0),AU122)</f>
        <v>2.2001212833930142</v>
      </c>
      <c r="AV123">
        <f t="shared" ca="1" si="39"/>
        <v>4264.0602685584263</v>
      </c>
    </row>
    <row r="124" spans="1:48" x14ac:dyDescent="0.15">
      <c r="A124" s="14" t="str">
        <f t="shared" si="3"/>
        <v>53116</v>
      </c>
      <c r="B124" s="14" t="s">
        <v>341</v>
      </c>
      <c r="C124" s="14">
        <f>VLOOKUP($I124&amp;$F124&amp;$G124,装备属性表,装备属性计算表!AK$29,FALSE)</f>
        <v>16</v>
      </c>
      <c r="D124" s="14">
        <f t="shared" si="18"/>
        <v>0</v>
      </c>
      <c r="E124" s="14" t="str">
        <f>VLOOKUP(F124,CHOOSE({1,2},定义数据!$F$2:$F$7,武器部位),2)</f>
        <v>项链</v>
      </c>
      <c r="F124" s="14">
        <v>3</v>
      </c>
      <c r="G124" s="14">
        <v>60</v>
      </c>
      <c r="H124" s="14">
        <f t="shared" si="7"/>
        <v>60</v>
      </c>
      <c r="I124" s="14">
        <v>1</v>
      </c>
      <c r="J124" s="14" t="str">
        <f t="shared" si="40"/>
        <v>6013</v>
      </c>
      <c r="K124" s="14" t="str">
        <f t="shared" si="41"/>
        <v>6013</v>
      </c>
      <c r="L124" s="76"/>
      <c r="M124" s="14">
        <f>IF(OR(G124&lt;15,G124=80),0,D_装备升级表!A124)</f>
        <v>60013</v>
      </c>
      <c r="N124" s="78">
        <v>1</v>
      </c>
      <c r="O124" s="14">
        <f t="shared" si="36"/>
        <v>1600</v>
      </c>
      <c r="P124" s="14"/>
      <c r="Q124" s="14">
        <f>VLOOKUP($I124&amp;$F124&amp;$G124,装备属性表,装备属性计算表!AL$29,FALSE)</f>
        <v>3</v>
      </c>
      <c r="R124" s="14">
        <f ca="1">VLOOKUP(VLOOKUP($I124&amp;$F124&amp;$G124,装备属性表,装备属性计算表!AM$29,FALSE),定义数据!$B$13:$C$35,2,FALSE)</f>
        <v>2</v>
      </c>
      <c r="S124" s="14">
        <f ca="1">VLOOKUP($I124&amp;$F124&amp;$G124,装备属性表,装备属性计算表!AN$29,FALSE)</f>
        <v>89.594489839572205</v>
      </c>
      <c r="T124" s="14">
        <f ca="1">VLOOKUP(VLOOKUP($I124&amp;$F124&amp;$G124,装备属性表,装备属性计算表!AO$29,FALSE),定义数据!$B$13:$C$35,2,FALSE)</f>
        <v>6</v>
      </c>
      <c r="U124" s="14">
        <f ca="1">VLOOKUP($I124&amp;$F124&amp;$G124,装备属性表,装备属性计算表!AP$29,FALSE)</f>
        <v>281.25</v>
      </c>
      <c r="V124" s="14">
        <f ca="1">VLOOKUP(VLOOKUP($I124&amp;$F124&amp;$G124,装备属性表,装备属性计算表!AQ$29,FALSE),定义数据!$B$13:$C$35,2,FALSE)</f>
        <v>2</v>
      </c>
      <c r="W124" s="14">
        <f ca="1">VLOOKUP($I124&amp;$F124&amp;$G124,装备属性表,装备属性计算表!AR$29,FALSE)</f>
        <v>7.1675591871657778</v>
      </c>
      <c r="X124" s="14">
        <f ca="1">VLOOKUP(VLOOKUP($I124&amp;$F124&amp;$G124,装备属性表,装备属性计算表!AS$29,FALSE),定义数据!$B$13:$C$35,2,FALSE)</f>
        <v>0</v>
      </c>
      <c r="Y124" s="14">
        <f>VLOOKUP($I124&amp;$F124&amp;$G124,装备属性表,装备属性计算表!AT$29,FALSE)</f>
        <v>0</v>
      </c>
      <c r="Z124" s="14">
        <f ca="1">VLOOKUP(VLOOKUP($I124&amp;$F124&amp;$G124,装备属性表,装备属性计算表!AU$29,FALSE),定义数据!$B$13:$C$35,2,FALSE)</f>
        <v>0</v>
      </c>
      <c r="AA124" s="14">
        <f>VLOOKUP($I124&amp;$F124&amp;$G124,装备属性表,装备属性计算表!AV$29,FALSE)</f>
        <v>0</v>
      </c>
      <c r="AB124" s="14">
        <f ca="1">VLOOKUP(VLOOKUP($I124&amp;$F124&amp;$G124,装备属性表,装备属性计算表!AW$29,FALSE),定义数据!$B$13:$C$35,2,FALSE)</f>
        <v>0</v>
      </c>
      <c r="AC124" s="14">
        <f>VLOOKUP($I124&amp;$F124&amp;$G124,装备属性表,装备属性计算表!AX$29,FALSE)</f>
        <v>0</v>
      </c>
      <c r="AD124" s="14">
        <f ca="1">VLOOKUP(VLOOKUP($I124&amp;$F124&amp;$G124,装备属性表,装备属性计算表!AY$29,FALSE),定义数据!$B$13:$C$35,2,FALSE)</f>
        <v>0</v>
      </c>
      <c r="AE124" s="14">
        <f>VLOOKUP($I124&amp;$F124&amp;$G124,装备属性表,装备属性计算表!AZ$29,FALSE)</f>
        <v>0</v>
      </c>
      <c r="AF124" s="14">
        <f ca="1">VLOOKUP(VLOOKUP($I124&amp;$F124&amp;$G124,装备属性表,装备属性计算表!BA$29,FALSE),定义数据!$B$13:$C$35,2,FALSE)</f>
        <v>0</v>
      </c>
      <c r="AG124" s="14">
        <f>VLOOKUP($I124&amp;$F124&amp;$G124,装备属性表,装备属性计算表!BB$29,FALSE)</f>
        <v>0</v>
      </c>
      <c r="AH124" s="14">
        <f ca="1">VLOOKUP(VLOOKUP($I124&amp;$F124&amp;$G124,装备属性表,装备属性计算表!BC$29,FALSE),定义数据!$B$13:$C$35,2,FALSE)</f>
        <v>0</v>
      </c>
      <c r="AI124" s="14">
        <f>VLOOKUP($I124&amp;$F124&amp;$G124,装备属性表,装备属性计算表!BD$29,FALSE)</f>
        <v>0</v>
      </c>
      <c r="AJ124" s="14">
        <f ca="1">VLOOKUP(VLOOKUP($I124&amp;$F124&amp;$G124,装备属性表,装备属性计算表!BE$29,FALSE),定义数据!$B$13:$C$35,2,FALSE)</f>
        <v>0</v>
      </c>
      <c r="AK124" s="14">
        <f>VLOOKUP($I124&amp;$F124&amp;$G124,装备属性表,装备属性计算表!BF$29,FALSE)</f>
        <v>0</v>
      </c>
      <c r="AL124" t="str">
        <f t="shared" si="37"/>
        <v>战爵项链是一件60级蓝色可升级的装备。</v>
      </c>
      <c r="AM124" t="str">
        <f>IF(D124=0,5,D124) &amp; F124&amp;"00"&amp;VLOOKUP(G124,定义数据!$F$20:$G$27,2,FALSE)&amp;".png"</f>
        <v>53005.png</v>
      </c>
      <c r="AN124" s="79">
        <f>IF(OR(G124&lt;15),0,D_装备升级表!A124)</f>
        <v>60013</v>
      </c>
      <c r="AP124">
        <f ca="1">VLOOKUP(G124&amp;I124&amp;F124,CHOOSE({1,2},装备属性计算表!$BK$32:$BK$187,装备属性计算表!$BJ$32:$BJ$187),2,FALSE)</f>
        <v>198.68704902673798</v>
      </c>
      <c r="AQ124">
        <f ca="1">AP124*'[1]0、经济设定'!$C$18</f>
        <v>9934.3524513368993</v>
      </c>
      <c r="AR124">
        <f ca="1">IFERROR(AQ124*'[1]0、经济设定'!$E$19*AU124*AS124,0)</f>
        <v>437.13560529827754</v>
      </c>
      <c r="AS124">
        <v>10</v>
      </c>
      <c r="AT124">
        <f t="shared" si="42"/>
        <v>72</v>
      </c>
      <c r="AU124">
        <f ca="1">IF(F124=0,IFERROR(AT124/AP124/'[1]0、经济设定'!$E$18,0),AU123)</f>
        <v>2.2001212833930142</v>
      </c>
      <c r="AV124">
        <f t="shared" ca="1" si="39"/>
        <v>7947.4819610695195</v>
      </c>
    </row>
    <row r="125" spans="1:48" x14ac:dyDescent="0.15">
      <c r="A125" s="14" t="str">
        <f t="shared" si="3"/>
        <v>10217</v>
      </c>
      <c r="B125" s="14" t="s">
        <v>572</v>
      </c>
      <c r="C125" s="14">
        <f>VLOOKUP($I125&amp;$F125&amp;$G125,装备属性表,装备属性计算表!AK$29,FALSE)</f>
        <v>17</v>
      </c>
      <c r="D125" s="14">
        <f t="shared" ref="D125:D132" si="43">D101</f>
        <v>1</v>
      </c>
      <c r="E125" s="14" t="str">
        <f>VLOOKUP(F125,CHOOSE({1,2},定义数据!$F$2:$F$7,武器部位),2)</f>
        <v>武器</v>
      </c>
      <c r="F125" s="14">
        <v>0</v>
      </c>
      <c r="G125" s="14">
        <v>60</v>
      </c>
      <c r="H125" s="14">
        <f t="shared" si="7"/>
        <v>60</v>
      </c>
      <c r="I125" s="14">
        <v>2</v>
      </c>
      <c r="J125" s="14" t="str">
        <f t="shared" si="8"/>
        <v>6020</v>
      </c>
      <c r="K125" s="14" t="str">
        <f t="shared" si="9"/>
        <v>6020</v>
      </c>
      <c r="L125" s="76"/>
      <c r="M125" s="14">
        <f>IF(OR(G125&lt;15,G125=80),0,D_装备升级表!A125)</f>
        <v>60120</v>
      </c>
      <c r="N125" s="78">
        <v>1</v>
      </c>
      <c r="O125" s="14">
        <f t="shared" si="36"/>
        <v>1700</v>
      </c>
      <c r="P125" s="14"/>
      <c r="Q125" s="14">
        <f>VLOOKUP($I125&amp;$F125&amp;$G125,装备属性表,装备属性计算表!AL$29,FALSE)</f>
        <v>4</v>
      </c>
      <c r="R125" s="14">
        <f ca="1">VLOOKUP(VLOOKUP($I125&amp;$F125&amp;$G125,装备属性表,装备属性计算表!AM$29,FALSE),定义数据!$B$13:$C$35,2,FALSE)</f>
        <v>2</v>
      </c>
      <c r="S125" s="14">
        <f ca="1">VLOOKUP($I125&amp;$F125&amp;$G125,装备属性表,装备属性计算表!AN$29,FALSE)</f>
        <v>349.41851037433167</v>
      </c>
      <c r="T125" s="14">
        <f ca="1">VLOOKUP(VLOOKUP($I125&amp;$F125&amp;$G125,装备属性表,装备属性计算表!AO$29,FALSE),定义数据!$B$13:$C$35,2,FALSE)</f>
        <v>8</v>
      </c>
      <c r="U125" s="14">
        <f ca="1">VLOOKUP($I125&amp;$F125&amp;$G125,装备属性表,装备属性计算表!AP$29,FALSE)</f>
        <v>216.66666666666669</v>
      </c>
      <c r="V125" s="14">
        <f ca="1">VLOOKUP(VLOOKUP($I125&amp;$F125&amp;$G125,装备属性表,装备属性计算表!AQ$29,FALSE),定义数据!$B$13:$C$35,2,FALSE)</f>
        <v>2</v>
      </c>
      <c r="W125" s="14">
        <f ca="1">VLOOKUP($I125&amp;$F125&amp;$G125,装备属性表,装备属性计算表!AR$29,FALSE)</f>
        <v>62.118846288770072</v>
      </c>
      <c r="X125" s="14">
        <f ca="1">VLOOKUP(VLOOKUP($I125&amp;$F125&amp;$G125,装备属性表,装备属性计算表!AS$29,FALSE),定义数据!$B$13:$C$35,2,FALSE)</f>
        <v>3</v>
      </c>
      <c r="Y125" s="14">
        <f ca="1">VLOOKUP($I125&amp;$F125&amp;$G125,装备属性表,装备属性计算表!AT$29,FALSE)</f>
        <v>7.4563349740034672</v>
      </c>
      <c r="Z125" s="14">
        <f ca="1">VLOOKUP(VLOOKUP($I125&amp;$F125&amp;$G125,装备属性表,装备属性计算表!AU$29,FALSE),定义数据!$B$13:$C$35,2,FALSE)</f>
        <v>0</v>
      </c>
      <c r="AA125" s="14">
        <f>VLOOKUP($I125&amp;$F125&amp;$G125,装备属性表,装备属性计算表!AV$29,FALSE)</f>
        <v>0</v>
      </c>
      <c r="AB125" s="14">
        <f ca="1">VLOOKUP(VLOOKUP($I125&amp;$F125&amp;$G125,装备属性表,装备属性计算表!AW$29,FALSE),定义数据!$B$13:$C$35,2,FALSE)</f>
        <v>0</v>
      </c>
      <c r="AC125" s="14">
        <f>VLOOKUP($I125&amp;$F125&amp;$G125,装备属性表,装备属性计算表!AX$29,FALSE)</f>
        <v>0</v>
      </c>
      <c r="AD125" s="14">
        <f ca="1">VLOOKUP(VLOOKUP($I125&amp;$F125&amp;$G125,装备属性表,装备属性计算表!AY$29,FALSE),定义数据!$B$13:$C$35,2,FALSE)</f>
        <v>0</v>
      </c>
      <c r="AE125" s="14">
        <f>VLOOKUP($I125&amp;$F125&amp;$G125,装备属性表,装备属性计算表!AZ$29,FALSE)</f>
        <v>0</v>
      </c>
      <c r="AF125" s="14">
        <f ca="1">VLOOKUP(VLOOKUP($I125&amp;$F125&amp;$G125,装备属性表,装备属性计算表!BA$29,FALSE),定义数据!$B$13:$C$35,2,FALSE)</f>
        <v>0</v>
      </c>
      <c r="AG125" s="14">
        <f>VLOOKUP($I125&amp;$F125&amp;$G125,装备属性表,装备属性计算表!BB$29,FALSE)</f>
        <v>0</v>
      </c>
      <c r="AH125" s="14">
        <f ca="1">VLOOKUP(VLOOKUP($I125&amp;$F125&amp;$G125,装备属性表,装备属性计算表!BC$29,FALSE),定义数据!$B$13:$C$35,2,FALSE)</f>
        <v>0</v>
      </c>
      <c r="AI125" s="14">
        <f>VLOOKUP($I125&amp;$F125&amp;$G125,装备属性表,装备属性计算表!BD$29,FALSE)</f>
        <v>0</v>
      </c>
      <c r="AJ125" s="14">
        <f ca="1">VLOOKUP(VLOOKUP($I125&amp;$F125&amp;$G125,装备属性表,装备属性计算表!BE$29,FALSE),定义数据!$B$13:$C$35,2,FALSE)</f>
        <v>0</v>
      </c>
      <c r="AK125" s="14">
        <f>VLOOKUP($I125&amp;$F125&amp;$G125,装备属性表,装备属性计算表!BF$29,FALSE)</f>
        <v>0</v>
      </c>
      <c r="AL125" t="str">
        <f t="shared" si="37"/>
        <v>嗜血之剑是一件60级紫色可升级的装备。</v>
      </c>
      <c r="AM125" t="str">
        <f>IF(D125=0,5,D125) &amp; F125&amp;"00"&amp;VLOOKUP(G125,定义数据!$F$20:$G$27,2,FALSE)&amp;".png"</f>
        <v>10005.png</v>
      </c>
      <c r="AN125" s="79">
        <f>IF(OR(G125&lt;15),0,D_装备升级表!A125)</f>
        <v>60120</v>
      </c>
      <c r="AP125">
        <f ca="1">VLOOKUP(G125&amp;I125&amp;F125,CHOOSE({1,2},装备属性计算表!$BK$32:$BK$187,装备属性计算表!$BJ$32:$BJ$187),2,FALSE)</f>
        <v>470.66869163710521</v>
      </c>
      <c r="AQ125">
        <f ca="1">AP125*'[1]0、经济设定'!$C$18</f>
        <v>23533.434581855261</v>
      </c>
      <c r="AR125">
        <f ca="1">IFERROR(AQ125*'[1]0、经济设定'!$E$19*AU125*AS125,0)</f>
        <v>1440</v>
      </c>
      <c r="AS125">
        <v>10</v>
      </c>
      <c r="AT125">
        <f t="shared" si="42"/>
        <v>144</v>
      </c>
      <c r="AU125">
        <f ca="1">IF(F125=0,IFERROR(AT125/AP125/'[1]0、经济设定'!$E$18,0),AU124)</f>
        <v>3.0594769220602167</v>
      </c>
      <c r="AV125">
        <f t="shared" ca="1" si="39"/>
        <v>18826.74766548421</v>
      </c>
    </row>
    <row r="126" spans="1:48" x14ac:dyDescent="0.15">
      <c r="A126" s="14" t="str">
        <f t="shared" si="3"/>
        <v>20217</v>
      </c>
      <c r="B126" s="14" t="s">
        <v>208</v>
      </c>
      <c r="C126" s="14">
        <f>VLOOKUP($I126&amp;$F126&amp;$G126,装备属性表,装备属性计算表!AK$29,FALSE)</f>
        <v>17</v>
      </c>
      <c r="D126" s="14">
        <f t="shared" si="43"/>
        <v>2</v>
      </c>
      <c r="E126" s="14" t="str">
        <f>VLOOKUP(F126,CHOOSE({1,2},定义数据!$F$2:$F$7,武器部位),2)</f>
        <v>武器</v>
      </c>
      <c r="F126" s="14">
        <v>0</v>
      </c>
      <c r="G126" s="14">
        <v>60</v>
      </c>
      <c r="H126" s="14">
        <f t="shared" si="7"/>
        <v>60</v>
      </c>
      <c r="I126" s="14">
        <v>2</v>
      </c>
      <c r="J126" s="14" t="str">
        <f t="shared" si="8"/>
        <v>6020</v>
      </c>
      <c r="K126" s="14" t="str">
        <f t="shared" si="9"/>
        <v>6020</v>
      </c>
      <c r="L126" s="76"/>
      <c r="M126" s="14">
        <f>IF(OR(G126&lt;15,G126=80),0,D_装备升级表!A126)</f>
        <v>60220</v>
      </c>
      <c r="N126" s="78">
        <v>1</v>
      </c>
      <c r="O126" s="14">
        <f t="shared" si="36"/>
        <v>1700</v>
      </c>
      <c r="P126" s="14"/>
      <c r="Q126" s="14">
        <f>VLOOKUP($I126&amp;$F126&amp;$G126,装备属性表,装备属性计算表!AL$29,FALSE)</f>
        <v>4</v>
      </c>
      <c r="R126" s="14">
        <f ca="1">VLOOKUP(VLOOKUP($I126&amp;$F126&amp;$G126,装备属性表,装备属性计算表!AM$29,FALSE),定义数据!$B$13:$C$35,2,FALSE)</f>
        <v>2</v>
      </c>
      <c r="S126" s="14">
        <f ca="1">VLOOKUP($I126&amp;$F126&amp;$G126,装备属性表,装备属性计算表!AN$29,FALSE)</f>
        <v>349.41851037433167</v>
      </c>
      <c r="T126" s="14">
        <f ca="1">VLOOKUP(VLOOKUP($I126&amp;$F126&amp;$G126,装备属性表,装备属性计算表!AO$29,FALSE),定义数据!$B$13:$C$35,2,FALSE)</f>
        <v>8</v>
      </c>
      <c r="U126" s="14">
        <f ca="1">VLOOKUP($I126&amp;$F126&amp;$G126,装备属性表,装备属性计算表!AP$29,FALSE)</f>
        <v>216.66666666666669</v>
      </c>
      <c r="V126" s="14">
        <f ca="1">VLOOKUP(VLOOKUP($I126&amp;$F126&amp;$G126,装备属性表,装备属性计算表!AQ$29,FALSE),定义数据!$B$13:$C$35,2,FALSE)</f>
        <v>2</v>
      </c>
      <c r="W126" s="14">
        <f ca="1">VLOOKUP($I126&amp;$F126&amp;$G126,装备属性表,装备属性计算表!AR$29,FALSE)</f>
        <v>62.118846288770072</v>
      </c>
      <c r="X126" s="14">
        <f ca="1">VLOOKUP(VLOOKUP($I126&amp;$F126&amp;$G126,装备属性表,装备属性计算表!AS$29,FALSE),定义数据!$B$13:$C$35,2,FALSE)</f>
        <v>3</v>
      </c>
      <c r="Y126" s="14">
        <f ca="1">VLOOKUP($I126&amp;$F126&amp;$G126,装备属性表,装备属性计算表!AT$29,FALSE)</f>
        <v>7.4563349740034672</v>
      </c>
      <c r="Z126" s="14">
        <f ca="1">VLOOKUP(VLOOKUP($I126&amp;$F126&amp;$G126,装备属性表,装备属性计算表!AU$29,FALSE),定义数据!$B$13:$C$35,2,FALSE)</f>
        <v>0</v>
      </c>
      <c r="AA126" s="14">
        <f>VLOOKUP($I126&amp;$F126&amp;$G126,装备属性表,装备属性计算表!AV$29,FALSE)</f>
        <v>0</v>
      </c>
      <c r="AB126" s="14">
        <f ca="1">VLOOKUP(VLOOKUP($I126&amp;$F126&amp;$G126,装备属性表,装备属性计算表!AW$29,FALSE),定义数据!$B$13:$C$35,2,FALSE)</f>
        <v>0</v>
      </c>
      <c r="AC126" s="14">
        <f>VLOOKUP($I126&amp;$F126&amp;$G126,装备属性表,装备属性计算表!AX$29,FALSE)</f>
        <v>0</v>
      </c>
      <c r="AD126" s="14">
        <f ca="1">VLOOKUP(VLOOKUP($I126&amp;$F126&amp;$G126,装备属性表,装备属性计算表!AY$29,FALSE),定义数据!$B$13:$C$35,2,FALSE)</f>
        <v>0</v>
      </c>
      <c r="AE126" s="14">
        <f>VLOOKUP($I126&amp;$F126&amp;$G126,装备属性表,装备属性计算表!AZ$29,FALSE)</f>
        <v>0</v>
      </c>
      <c r="AF126" s="14">
        <f ca="1">VLOOKUP(VLOOKUP($I126&amp;$F126&amp;$G126,装备属性表,装备属性计算表!BA$29,FALSE),定义数据!$B$13:$C$35,2,FALSE)</f>
        <v>0</v>
      </c>
      <c r="AG126" s="14">
        <f>VLOOKUP($I126&amp;$F126&amp;$G126,装备属性表,装备属性计算表!BB$29,FALSE)</f>
        <v>0</v>
      </c>
      <c r="AH126" s="14">
        <f ca="1">VLOOKUP(VLOOKUP($I126&amp;$F126&amp;$G126,装备属性表,装备属性计算表!BC$29,FALSE),定义数据!$B$13:$C$35,2,FALSE)</f>
        <v>0</v>
      </c>
      <c r="AI126" s="14">
        <f>VLOOKUP($I126&amp;$F126&amp;$G126,装备属性表,装备属性计算表!BD$29,FALSE)</f>
        <v>0</v>
      </c>
      <c r="AJ126" s="14">
        <f ca="1">VLOOKUP(VLOOKUP($I126&amp;$F126&amp;$G126,装备属性表,装备属性计算表!BE$29,FALSE),定义数据!$B$13:$C$35,2,FALSE)</f>
        <v>0</v>
      </c>
      <c r="AK126" s="14">
        <f>VLOOKUP($I126&amp;$F126&amp;$G126,装备属性表,装备属性计算表!BF$29,FALSE)</f>
        <v>0</v>
      </c>
      <c r="AL126" t="str">
        <f t="shared" si="37"/>
        <v>嗜血拳是一件60级紫色可升级的装备。</v>
      </c>
      <c r="AM126" t="str">
        <f>IF(D126=0,5,D126) &amp; F126&amp;"00"&amp;VLOOKUP(G126,定义数据!$F$20:$G$27,2,FALSE)&amp;".png"</f>
        <v>20005.png</v>
      </c>
      <c r="AN126" s="79">
        <f>IF(OR(G126&lt;15),0,D_装备升级表!A126)</f>
        <v>60220</v>
      </c>
      <c r="AP126">
        <f ca="1">VLOOKUP(G126&amp;I126&amp;F126,CHOOSE({1,2},装备属性计算表!$BK$32:$BK$187,装备属性计算表!$BJ$32:$BJ$187),2,FALSE)</f>
        <v>470.66869163710521</v>
      </c>
      <c r="AQ126">
        <f ca="1">AP126*'[1]0、经济设定'!$C$18</f>
        <v>23533.434581855261</v>
      </c>
      <c r="AR126">
        <f ca="1">IFERROR(AQ126*'[1]0、经济设定'!$E$19*AU126*AS126,0)</f>
        <v>1440</v>
      </c>
      <c r="AS126">
        <v>10</v>
      </c>
      <c r="AT126">
        <f t="shared" si="42"/>
        <v>144</v>
      </c>
      <c r="AU126">
        <f ca="1">IF(F126=0,IFERROR(AT126/AP126/'[1]0、经济设定'!$E$18,0),AU125)</f>
        <v>3.0594769220602167</v>
      </c>
      <c r="AV126">
        <f t="shared" ca="1" si="39"/>
        <v>18826.74766548421</v>
      </c>
    </row>
    <row r="127" spans="1:48" x14ac:dyDescent="0.15">
      <c r="A127" s="14" t="str">
        <f t="shared" si="3"/>
        <v>30217</v>
      </c>
      <c r="B127" s="14" t="s">
        <v>573</v>
      </c>
      <c r="C127" s="14">
        <f>VLOOKUP($I127&amp;$F127&amp;$G127,装备属性表,装备属性计算表!AK$29,FALSE)</f>
        <v>17</v>
      </c>
      <c r="D127" s="14">
        <f t="shared" si="43"/>
        <v>3</v>
      </c>
      <c r="E127" s="14" t="str">
        <f>VLOOKUP(F127,CHOOSE({1,2},定义数据!$F$2:$F$7,武器部位),2)</f>
        <v>武器</v>
      </c>
      <c r="F127" s="14">
        <v>0</v>
      </c>
      <c r="G127" s="14">
        <f>装备属性计算表!D122</f>
        <v>60</v>
      </c>
      <c r="H127" s="14">
        <f t="shared" si="7"/>
        <v>60</v>
      </c>
      <c r="I127" s="14">
        <v>2</v>
      </c>
      <c r="J127" s="14" t="str">
        <f t="shared" si="8"/>
        <v>6020</v>
      </c>
      <c r="K127" s="14" t="str">
        <f t="shared" si="9"/>
        <v>6020</v>
      </c>
      <c r="L127" s="76"/>
      <c r="M127" s="14">
        <f>IF(OR(G127&lt;15,G127=80),0,D_装备升级表!A127)</f>
        <v>60320</v>
      </c>
      <c r="N127" s="78">
        <v>1</v>
      </c>
      <c r="O127" s="14">
        <f t="shared" si="36"/>
        <v>1700</v>
      </c>
      <c r="P127" s="14"/>
      <c r="Q127" s="14">
        <f>VLOOKUP($I127&amp;$F127&amp;$G127,装备属性表,装备属性计算表!AL$29,FALSE)</f>
        <v>4</v>
      </c>
      <c r="R127" s="14">
        <f ca="1">VLOOKUP(VLOOKUP($I127&amp;$F127&amp;$G127,装备属性表,装备属性计算表!AM$29,FALSE),定义数据!$B$13:$C$35,2,FALSE)</f>
        <v>2</v>
      </c>
      <c r="S127" s="14">
        <f ca="1">VLOOKUP($I127&amp;$F127&amp;$G127,装备属性表,装备属性计算表!AN$29,FALSE)</f>
        <v>349.41851037433167</v>
      </c>
      <c r="T127" s="14">
        <f ca="1">VLOOKUP(VLOOKUP($I127&amp;$F127&amp;$G127,装备属性表,装备属性计算表!AO$29,FALSE),定义数据!$B$13:$C$35,2,FALSE)</f>
        <v>8</v>
      </c>
      <c r="U127" s="14">
        <f ca="1">VLOOKUP($I127&amp;$F127&amp;$G127,装备属性表,装备属性计算表!AP$29,FALSE)</f>
        <v>216.66666666666669</v>
      </c>
      <c r="V127" s="14">
        <f ca="1">VLOOKUP(VLOOKUP($I127&amp;$F127&amp;$G127,装备属性表,装备属性计算表!AQ$29,FALSE),定义数据!$B$13:$C$35,2,FALSE)</f>
        <v>2</v>
      </c>
      <c r="W127" s="14">
        <f ca="1">VLOOKUP($I127&amp;$F127&amp;$G127,装备属性表,装备属性计算表!AR$29,FALSE)</f>
        <v>62.118846288770072</v>
      </c>
      <c r="X127" s="14">
        <f ca="1">VLOOKUP(VLOOKUP($I127&amp;$F127&amp;$G127,装备属性表,装备属性计算表!AS$29,FALSE),定义数据!$B$13:$C$35,2,FALSE)</f>
        <v>3</v>
      </c>
      <c r="Y127" s="14">
        <f ca="1">VLOOKUP($I127&amp;$F127&amp;$G127,装备属性表,装备属性计算表!AT$29,FALSE)</f>
        <v>7.4563349740034672</v>
      </c>
      <c r="Z127" s="14">
        <f ca="1">VLOOKUP(VLOOKUP($I127&amp;$F127&amp;$G127,装备属性表,装备属性计算表!AU$29,FALSE),定义数据!$B$13:$C$35,2,FALSE)</f>
        <v>0</v>
      </c>
      <c r="AA127" s="14">
        <f>VLOOKUP($I127&amp;$F127&amp;$G127,装备属性表,装备属性计算表!AV$29,FALSE)</f>
        <v>0</v>
      </c>
      <c r="AB127" s="14">
        <f ca="1">VLOOKUP(VLOOKUP($I127&amp;$F127&amp;$G127,装备属性表,装备属性计算表!AW$29,FALSE),定义数据!$B$13:$C$35,2,FALSE)</f>
        <v>0</v>
      </c>
      <c r="AC127" s="14">
        <f>VLOOKUP($I127&amp;$F127&amp;$G127,装备属性表,装备属性计算表!AX$29,FALSE)</f>
        <v>0</v>
      </c>
      <c r="AD127" s="14">
        <f ca="1">VLOOKUP(VLOOKUP($I127&amp;$F127&amp;$G127,装备属性表,装备属性计算表!AY$29,FALSE),定义数据!$B$13:$C$35,2,FALSE)</f>
        <v>0</v>
      </c>
      <c r="AE127" s="14">
        <f>VLOOKUP($I127&amp;$F127&amp;$G127,装备属性表,装备属性计算表!AZ$29,FALSE)</f>
        <v>0</v>
      </c>
      <c r="AF127" s="14">
        <f ca="1">VLOOKUP(VLOOKUP($I127&amp;$F127&amp;$G127,装备属性表,装备属性计算表!BA$29,FALSE),定义数据!$B$13:$C$35,2,FALSE)</f>
        <v>0</v>
      </c>
      <c r="AG127" s="14">
        <f>VLOOKUP($I127&amp;$F127&amp;$G127,装备属性表,装备属性计算表!BB$29,FALSE)</f>
        <v>0</v>
      </c>
      <c r="AH127" s="14">
        <f ca="1">VLOOKUP(VLOOKUP($I127&amp;$F127&amp;$G127,装备属性表,装备属性计算表!BC$29,FALSE),定义数据!$B$13:$C$35,2,FALSE)</f>
        <v>0</v>
      </c>
      <c r="AI127" s="14">
        <f>VLOOKUP($I127&amp;$F127&amp;$G127,装备属性表,装备属性计算表!BD$29,FALSE)</f>
        <v>0</v>
      </c>
      <c r="AJ127" s="14">
        <f ca="1">VLOOKUP(VLOOKUP($I127&amp;$F127&amp;$G127,装备属性表,装备属性计算表!BE$29,FALSE),定义数据!$B$13:$C$35,2,FALSE)</f>
        <v>0</v>
      </c>
      <c r="AK127" s="14">
        <f>VLOOKUP($I127&amp;$F127&amp;$G127,装备属性表,装备属性计算表!BF$29,FALSE)</f>
        <v>0</v>
      </c>
      <c r="AL127" t="str">
        <f t="shared" si="37"/>
        <v>嗜血枪是一件60级紫色可升级的装备。</v>
      </c>
      <c r="AM127" t="str">
        <f>IF(D127=0,5,D127) &amp; F127&amp;"00"&amp;VLOOKUP(G127,定义数据!$F$20:$G$27,2,FALSE)&amp;".png"</f>
        <v>30005.png</v>
      </c>
      <c r="AN127" s="79">
        <f>IF(OR(G127&lt;15),0,D_装备升级表!A127)</f>
        <v>60320</v>
      </c>
      <c r="AP127">
        <f ca="1">VLOOKUP(G127&amp;I127&amp;F127,CHOOSE({1,2},装备属性计算表!$BK$32:$BK$187,装备属性计算表!$BJ$32:$BJ$187),2,FALSE)</f>
        <v>470.66869163710521</v>
      </c>
      <c r="AQ127">
        <f ca="1">AP127*'[1]0、经济设定'!$C$18</f>
        <v>23533.434581855261</v>
      </c>
      <c r="AR127">
        <f ca="1">IFERROR(AQ127*'[1]0、经济设定'!$E$19*AU127*AS127,0)</f>
        <v>1440</v>
      </c>
      <c r="AS127">
        <v>10</v>
      </c>
      <c r="AT127">
        <f t="shared" si="42"/>
        <v>144</v>
      </c>
      <c r="AU127">
        <f ca="1">IF(F127=0,IFERROR(AT127/AP127/'[1]0、经济设定'!$E$18,0),AU126)</f>
        <v>3.0594769220602167</v>
      </c>
      <c r="AV127">
        <f t="shared" ca="1" si="39"/>
        <v>18826.74766548421</v>
      </c>
    </row>
    <row r="128" spans="1:48" x14ac:dyDescent="0.15">
      <c r="A128" s="14" t="str">
        <f t="shared" si="3"/>
        <v>51217</v>
      </c>
      <c r="B128" s="14" t="s">
        <v>574</v>
      </c>
      <c r="C128" s="14">
        <f>VLOOKUP($I128&amp;$F128&amp;$G128,装备属性表,装备属性计算表!AK$29,FALSE)</f>
        <v>17</v>
      </c>
      <c r="D128" s="14">
        <f t="shared" si="43"/>
        <v>0</v>
      </c>
      <c r="E128" s="14" t="str">
        <f>VLOOKUP(F128,CHOOSE({1,2},定义数据!$F$2:$F$7,武器部位),2)</f>
        <v>衣服</v>
      </c>
      <c r="F128" s="14">
        <v>1</v>
      </c>
      <c r="G128" s="14">
        <f>装备属性计算表!D123</f>
        <v>60</v>
      </c>
      <c r="H128" s="14">
        <f t="shared" si="7"/>
        <v>60</v>
      </c>
      <c r="I128" s="14">
        <v>2</v>
      </c>
      <c r="J128" s="14" t="str">
        <f t="shared" si="8"/>
        <v>6021</v>
      </c>
      <c r="K128" s="14" t="str">
        <f t="shared" si="9"/>
        <v>6021</v>
      </c>
      <c r="L128" s="76"/>
      <c r="M128" s="14">
        <f>IF(OR(G128&lt;15,G128=80),0,D_装备升级表!A128)</f>
        <v>60021</v>
      </c>
      <c r="N128" s="78">
        <v>1</v>
      </c>
      <c r="O128" s="14">
        <f t="shared" si="36"/>
        <v>1700</v>
      </c>
      <c r="P128" s="14"/>
      <c r="Q128" s="14">
        <f>VLOOKUP($I128&amp;$F128&amp;$G128,装备属性表,装备属性计算表!AL$29,FALSE)</f>
        <v>4</v>
      </c>
      <c r="R128" s="14">
        <f ca="1">VLOOKUP(VLOOKUP($I128&amp;$F128&amp;$G128,装备属性表,装备属性计算表!AM$29,FALSE),定义数据!$B$13:$C$35,2,FALSE)</f>
        <v>1</v>
      </c>
      <c r="S128" s="14">
        <f ca="1">VLOOKUP($I128&amp;$F128&amp;$G128,装备属性表,装备属性计算表!AN$29,FALSE)</f>
        <v>5503.421638705614</v>
      </c>
      <c r="T128" s="14">
        <f ca="1">VLOOKUP(VLOOKUP($I128&amp;$F128&amp;$G128,装备属性表,装备属性计算表!AO$29,FALSE),定义数据!$B$13:$C$35,2,FALSE)</f>
        <v>3</v>
      </c>
      <c r="U128" s="14">
        <f ca="1">VLOOKUP($I128&amp;$F128&amp;$G128,装备属性表,装备属性计算表!AP$29,FALSE)</f>
        <v>120.79262657885616</v>
      </c>
      <c r="V128" s="14">
        <f ca="1">VLOOKUP(VLOOKUP($I128&amp;$F128&amp;$G128,装备属性表,装备属性计算表!AQ$29,FALSE),定义数据!$B$13:$C$35,2,FALSE)</f>
        <v>1</v>
      </c>
      <c r="W128" s="14">
        <f ca="1">VLOOKUP($I128&amp;$F128&amp;$G128,装备属性表,装备属性计算表!AR$29,FALSE)</f>
        <v>679.43477021056958</v>
      </c>
      <c r="X128" s="14">
        <f ca="1">VLOOKUP(VLOOKUP($I128&amp;$F128&amp;$G128,装备属性表,装备属性计算表!AS$29,FALSE),定义数据!$B$13:$C$35,2,FALSE)</f>
        <v>3</v>
      </c>
      <c r="Y128" s="14">
        <f ca="1">VLOOKUP($I128&amp;$F128&amp;$G128,装备属性表,装备属性计算表!AT$29,FALSE)</f>
        <v>22.369004922010404</v>
      </c>
      <c r="Z128" s="14">
        <f ca="1">VLOOKUP(VLOOKUP($I128&amp;$F128&amp;$G128,装备属性表,装备属性计算表!AU$29,FALSE),定义数据!$B$13:$C$35,2,FALSE)</f>
        <v>0</v>
      </c>
      <c r="AA128" s="14">
        <f>VLOOKUP($I128&amp;$F128&amp;$G128,装备属性表,装备属性计算表!AV$29,FALSE)</f>
        <v>0</v>
      </c>
      <c r="AB128" s="14">
        <f ca="1">VLOOKUP(VLOOKUP($I128&amp;$F128&amp;$G128,装备属性表,装备属性计算表!AW$29,FALSE),定义数据!$B$13:$C$35,2,FALSE)</f>
        <v>0</v>
      </c>
      <c r="AC128" s="14">
        <f>VLOOKUP($I128&amp;$F128&amp;$G128,装备属性表,装备属性计算表!AX$29,FALSE)</f>
        <v>0</v>
      </c>
      <c r="AD128" s="14">
        <f ca="1">VLOOKUP(VLOOKUP($I128&amp;$F128&amp;$G128,装备属性表,装备属性计算表!AY$29,FALSE),定义数据!$B$13:$C$35,2,FALSE)</f>
        <v>0</v>
      </c>
      <c r="AE128" s="14">
        <f>VLOOKUP($I128&amp;$F128&amp;$G128,装备属性表,装备属性计算表!AZ$29,FALSE)</f>
        <v>0</v>
      </c>
      <c r="AF128" s="14">
        <f ca="1">VLOOKUP(VLOOKUP($I128&amp;$F128&amp;$G128,装备属性表,装备属性计算表!BA$29,FALSE),定义数据!$B$13:$C$35,2,FALSE)</f>
        <v>0</v>
      </c>
      <c r="AG128" s="14">
        <f>VLOOKUP($I128&amp;$F128&amp;$G128,装备属性表,装备属性计算表!BB$29,FALSE)</f>
        <v>0</v>
      </c>
      <c r="AH128" s="14">
        <f ca="1">VLOOKUP(VLOOKUP($I128&amp;$F128&amp;$G128,装备属性表,装备属性计算表!BC$29,FALSE),定义数据!$B$13:$C$35,2,FALSE)</f>
        <v>0</v>
      </c>
      <c r="AI128" s="14">
        <f>VLOOKUP($I128&amp;$F128&amp;$G128,装备属性表,装备属性计算表!BD$29,FALSE)</f>
        <v>0</v>
      </c>
      <c r="AJ128" s="14">
        <f ca="1">VLOOKUP(VLOOKUP($I128&amp;$F128&amp;$G128,装备属性表,装备属性计算表!BE$29,FALSE),定义数据!$B$13:$C$35,2,FALSE)</f>
        <v>0</v>
      </c>
      <c r="AK128" s="14">
        <f>VLOOKUP($I128&amp;$F128&amp;$G128,装备属性表,装备属性计算表!BF$29,FALSE)</f>
        <v>0</v>
      </c>
      <c r="AL128" t="str">
        <f t="shared" si="37"/>
        <v>嗜血战衣是一件60级紫色可升级的装备。</v>
      </c>
      <c r="AM128" t="str">
        <f>IF(D128=0,5,D128) &amp; F128&amp;"00"&amp;VLOOKUP(G128,定义数据!$F$20:$G$27,2,FALSE)&amp;".png"</f>
        <v>51005.png</v>
      </c>
      <c r="AN128" s="79">
        <f>IF(OR(G128&lt;15),0,D_装备升级表!A128)</f>
        <v>60021</v>
      </c>
      <c r="AP128">
        <f ca="1">VLOOKUP(G128&amp;I128&amp;F128,CHOOSE({1,2},装备属性计算表!$BK$32:$BK$187,装备属性计算表!$BJ$32:$BJ$187),2,FALSE)</f>
        <v>398.88977674640279</v>
      </c>
      <c r="AQ128">
        <f ca="1">AP128*'[1]0、经济设定'!$C$18</f>
        <v>19944.488837320139</v>
      </c>
      <c r="AR128">
        <f ca="1">IFERROR(AQ128*'[1]0、经济设定'!$E$19*AU128*AS128,0)</f>
        <v>1220.3940664013714</v>
      </c>
      <c r="AS128">
        <v>10</v>
      </c>
      <c r="AT128">
        <f t="shared" si="42"/>
        <v>144</v>
      </c>
      <c r="AU128">
        <f ca="1">IF(F128=0,IFERROR(AT128/AP128/'[1]0、经济设定'!$E$18,0),AU127)</f>
        <v>3.0594769220602167</v>
      </c>
      <c r="AV128">
        <f t="shared" ca="1" si="39"/>
        <v>15955.591069856111</v>
      </c>
    </row>
    <row r="129" spans="1:48" x14ac:dyDescent="0.15">
      <c r="A129" s="14" t="str">
        <f t="shared" si="3"/>
        <v>52217</v>
      </c>
      <c r="B129" s="14" t="s">
        <v>575</v>
      </c>
      <c r="C129" s="14">
        <f>VLOOKUP($I129&amp;$F129&amp;$G129,装备属性表,装备属性计算表!AK$29,FALSE)</f>
        <v>17</v>
      </c>
      <c r="D129" s="14">
        <f t="shared" si="43"/>
        <v>0</v>
      </c>
      <c r="E129" s="14" t="str">
        <f>VLOOKUP(F129,CHOOSE({1,2},定义数据!$F$2:$F$7,武器部位),2)</f>
        <v>裤子</v>
      </c>
      <c r="F129" s="14">
        <v>2</v>
      </c>
      <c r="G129" s="14">
        <f>装备属性计算表!D124</f>
        <v>60</v>
      </c>
      <c r="H129" s="14">
        <f t="shared" si="7"/>
        <v>60</v>
      </c>
      <c r="I129" s="14">
        <v>2</v>
      </c>
      <c r="J129" s="14" t="str">
        <f t="shared" si="8"/>
        <v>6022</v>
      </c>
      <c r="K129" s="14" t="str">
        <f t="shared" si="9"/>
        <v>6022</v>
      </c>
      <c r="L129" s="76"/>
      <c r="M129" s="14">
        <f>IF(OR(G129&lt;15,G129=80),0,D_装备升级表!A129)</f>
        <v>60022</v>
      </c>
      <c r="N129" s="78">
        <v>1</v>
      </c>
      <c r="O129" s="14">
        <f t="shared" si="36"/>
        <v>1700</v>
      </c>
      <c r="P129" s="14"/>
      <c r="Q129" s="14">
        <f>VLOOKUP($I129&amp;$F129&amp;$G129,装备属性表,装备属性计算表!AL$29,FALSE)</f>
        <v>4</v>
      </c>
      <c r="R129" s="14">
        <f ca="1">VLOOKUP(VLOOKUP($I129&amp;$F129&amp;$G129,装备属性表,装备属性计算表!AM$29,FALSE),定义数据!$B$13:$C$35,2,FALSE)</f>
        <v>3</v>
      </c>
      <c r="S129" s="14">
        <f ca="1">VLOOKUP($I129&amp;$F129&amp;$G129,装备属性表,装备属性计算表!AN$29,FALSE)</f>
        <v>80.528417719237453</v>
      </c>
      <c r="T129" s="14">
        <f ca="1">VLOOKUP(VLOOKUP($I129&amp;$F129&amp;$G129,装备属性表,装备属性计算表!AO$29,FALSE),定义数据!$B$13:$C$35,2,FALSE)</f>
        <v>7</v>
      </c>
      <c r="U129" s="14">
        <f ca="1">VLOOKUP($I129&amp;$F129&amp;$G129,装备属性表,装备属性计算表!AP$29,FALSE)</f>
        <v>121.875</v>
      </c>
      <c r="V129" s="14">
        <f ca="1">VLOOKUP(VLOOKUP($I129&amp;$F129&amp;$G129,装备属性表,装备属性计算表!AQ$29,FALSE),定义数据!$B$13:$C$35,2,FALSE)</f>
        <v>1</v>
      </c>
      <c r="W129" s="14">
        <f ca="1">VLOOKUP($I129&amp;$F129&amp;$G129,装备属性表,装备属性计算表!AR$29,FALSE)</f>
        <v>339.71738510528479</v>
      </c>
      <c r="X129" s="14">
        <f ca="1">VLOOKUP(VLOOKUP($I129&amp;$F129&amp;$G129,装备属性表,装备属性计算表!AS$29,FALSE),定义数据!$B$13:$C$35,2,FALSE)</f>
        <v>3</v>
      </c>
      <c r="Y129" s="14">
        <f ca="1">VLOOKUP($I129&amp;$F129&amp;$G129,装备属性表,装备属性计算表!AT$29,FALSE)</f>
        <v>7.4563349740034672</v>
      </c>
      <c r="Z129" s="14">
        <f ca="1">VLOOKUP(VLOOKUP($I129&amp;$F129&amp;$G129,装备属性表,装备属性计算表!AU$29,FALSE),定义数据!$B$13:$C$35,2,FALSE)</f>
        <v>0</v>
      </c>
      <c r="AA129" s="14">
        <f>VLOOKUP($I129&amp;$F129&amp;$G129,装备属性表,装备属性计算表!AV$29,FALSE)</f>
        <v>0</v>
      </c>
      <c r="AB129" s="14">
        <f ca="1">VLOOKUP(VLOOKUP($I129&amp;$F129&amp;$G129,装备属性表,装备属性计算表!AW$29,FALSE),定义数据!$B$13:$C$35,2,FALSE)</f>
        <v>0</v>
      </c>
      <c r="AC129" s="14">
        <f>VLOOKUP($I129&amp;$F129&amp;$G129,装备属性表,装备属性计算表!AX$29,FALSE)</f>
        <v>0</v>
      </c>
      <c r="AD129" s="14">
        <f ca="1">VLOOKUP(VLOOKUP($I129&amp;$F129&amp;$G129,装备属性表,装备属性计算表!AY$29,FALSE),定义数据!$B$13:$C$35,2,FALSE)</f>
        <v>0</v>
      </c>
      <c r="AE129" s="14">
        <f>VLOOKUP($I129&amp;$F129&amp;$G129,装备属性表,装备属性计算表!AZ$29,FALSE)</f>
        <v>0</v>
      </c>
      <c r="AF129" s="14">
        <f ca="1">VLOOKUP(VLOOKUP($I129&amp;$F129&amp;$G129,装备属性表,装备属性计算表!BA$29,FALSE),定义数据!$B$13:$C$35,2,FALSE)</f>
        <v>0</v>
      </c>
      <c r="AG129" s="14">
        <f>VLOOKUP($I129&amp;$F129&amp;$G129,装备属性表,装备属性计算表!BB$29,FALSE)</f>
        <v>0</v>
      </c>
      <c r="AH129" s="14">
        <f ca="1">VLOOKUP(VLOOKUP($I129&amp;$F129&amp;$G129,装备属性表,装备属性计算表!BC$29,FALSE),定义数据!$B$13:$C$35,2,FALSE)</f>
        <v>0</v>
      </c>
      <c r="AI129" s="14">
        <f>VLOOKUP($I129&amp;$F129&amp;$G129,装备属性表,装备属性计算表!BD$29,FALSE)</f>
        <v>0</v>
      </c>
      <c r="AJ129" s="14">
        <f ca="1">VLOOKUP(VLOOKUP($I129&amp;$F129&amp;$G129,装备属性表,装备属性计算表!BE$29,FALSE),定义数据!$B$13:$C$35,2,FALSE)</f>
        <v>0</v>
      </c>
      <c r="AK129" s="14">
        <f>VLOOKUP($I129&amp;$F129&amp;$G129,装备属性表,装备属性计算表!BF$29,FALSE)</f>
        <v>0</v>
      </c>
      <c r="AL129" t="str">
        <f t="shared" si="37"/>
        <v>嗜血长裤是一件60级紫色可升级的装备。</v>
      </c>
      <c r="AM129" t="str">
        <f>IF(D129=0,5,D129) &amp; F129&amp;"00"&amp;VLOOKUP(G129,定义数据!$F$20:$G$27,2,FALSE)&amp;".png"</f>
        <v>52005.png</v>
      </c>
      <c r="AN129" s="79">
        <f>IF(OR(G129&lt;15),0,D_装备升级表!A129)</f>
        <v>60022</v>
      </c>
      <c r="AP129">
        <f ca="1">VLOOKUP(G129&amp;I129&amp;F129,CHOOSE({1,2},装备属性计算表!$BK$32:$BK$187,装备属性计算表!$BJ$32:$BJ$187),2,FALSE)</f>
        <v>151.42483698634121</v>
      </c>
      <c r="AQ129">
        <f ca="1">AP129*'[1]0、经济设定'!$C$18</f>
        <v>7571.2418493170599</v>
      </c>
      <c r="AR129">
        <f ca="1">IFERROR(AQ129*'[1]0、经济设定'!$E$19*AU129*AS129,0)</f>
        <v>463.2807941864412</v>
      </c>
      <c r="AS129">
        <v>10</v>
      </c>
      <c r="AT129">
        <f t="shared" si="42"/>
        <v>144</v>
      </c>
      <c r="AU129">
        <f ca="1">IF(F129=0,IFERROR(AT129/AP129/'[1]0、经济设定'!$E$18,0),AU128)</f>
        <v>3.0594769220602167</v>
      </c>
      <c r="AV129">
        <f t="shared" ca="1" si="39"/>
        <v>6056.9934794536484</v>
      </c>
    </row>
    <row r="130" spans="1:48" x14ac:dyDescent="0.15">
      <c r="A130" s="14" t="str">
        <f t="shared" si="3"/>
        <v>55217</v>
      </c>
      <c r="B130" s="14" t="s">
        <v>576</v>
      </c>
      <c r="C130" s="14">
        <f>VLOOKUP($I130&amp;$F130&amp;$G130,装备属性表,装备属性计算表!AK$29,FALSE)</f>
        <v>17</v>
      </c>
      <c r="D130" s="14">
        <f t="shared" si="43"/>
        <v>0</v>
      </c>
      <c r="E130" s="14" t="str">
        <f>VLOOKUP(F130,CHOOSE({1,2},定义数据!$F$2:$F$7,武器部位),2)</f>
        <v>鞋子</v>
      </c>
      <c r="F130" s="14">
        <v>5</v>
      </c>
      <c r="G130" s="14">
        <f>装备属性计算表!D125</f>
        <v>60</v>
      </c>
      <c r="H130" s="14">
        <f t="shared" si="7"/>
        <v>60</v>
      </c>
      <c r="I130" s="14">
        <v>2</v>
      </c>
      <c r="J130" s="14" t="str">
        <f t="shared" si="8"/>
        <v>6025</v>
      </c>
      <c r="K130" s="14" t="str">
        <f t="shared" si="9"/>
        <v>6025</v>
      </c>
      <c r="L130" s="76"/>
      <c r="M130" s="14">
        <f>IF(OR(G130&lt;15,G130=80),0,D_装备升级表!A130)</f>
        <v>60025</v>
      </c>
      <c r="N130" s="78">
        <v>1</v>
      </c>
      <c r="O130" s="14">
        <f t="shared" si="36"/>
        <v>1700</v>
      </c>
      <c r="P130" s="14"/>
      <c r="Q130" s="14">
        <f>VLOOKUP($I130&amp;$F130&amp;$G130,装备属性表,装备属性计算表!AL$29,FALSE)</f>
        <v>4</v>
      </c>
      <c r="R130" s="14">
        <f ca="1">VLOOKUP(VLOOKUP($I130&amp;$F130&amp;$G130,装备属性表,装备属性计算表!AM$29,FALSE),定义数据!$B$13:$C$35,2,FALSE)</f>
        <v>1</v>
      </c>
      <c r="S130" s="14">
        <f ca="1">VLOOKUP($I130&amp;$F130&amp;$G130,装备属性表,装备属性计算表!AN$29,FALSE)</f>
        <v>1834.473879568538</v>
      </c>
      <c r="T130" s="14">
        <f ca="1">VLOOKUP(VLOOKUP($I130&amp;$F130&amp;$G130,装备属性表,装备属性计算表!AO$29,FALSE),定义数据!$B$13:$C$35,2,FALSE)</f>
        <v>7</v>
      </c>
      <c r="U130" s="14">
        <f ca="1">VLOOKUP($I130&amp;$F130&amp;$G130,装备属性表,装备属性计算表!AP$29,FALSE)</f>
        <v>243.75</v>
      </c>
      <c r="V130" s="14">
        <f ca="1">VLOOKUP(VLOOKUP($I130&amp;$F130&amp;$G130,装备属性表,装备属性计算表!AQ$29,FALSE),定义数据!$B$13:$C$35,2,FALSE)</f>
        <v>1</v>
      </c>
      <c r="W130" s="14">
        <f ca="1">VLOOKUP($I130&amp;$F130&amp;$G130,装备属性表,装备属性计算表!AR$29,FALSE)</f>
        <v>339.71738510528479</v>
      </c>
      <c r="X130" s="14">
        <f ca="1">VLOOKUP(VLOOKUP($I130&amp;$F130&amp;$G130,装备属性表,装备属性计算表!AS$29,FALSE),定义数据!$B$13:$C$35,2,FALSE)</f>
        <v>7</v>
      </c>
      <c r="Y130" s="14">
        <f ca="1">VLOOKUP($I130&amp;$F130&amp;$G130,装备属性表,装备属性计算表!AT$29,FALSE)</f>
        <v>32.5</v>
      </c>
      <c r="Z130" s="14">
        <f ca="1">VLOOKUP(VLOOKUP($I130&amp;$F130&amp;$G130,装备属性表,装备属性计算表!AU$29,FALSE),定义数据!$B$13:$C$35,2,FALSE)</f>
        <v>0</v>
      </c>
      <c r="AA130" s="14">
        <f>VLOOKUP($I130&amp;$F130&amp;$G130,装备属性表,装备属性计算表!AV$29,FALSE)</f>
        <v>0</v>
      </c>
      <c r="AB130" s="14">
        <f ca="1">VLOOKUP(VLOOKUP($I130&amp;$F130&amp;$G130,装备属性表,装备属性计算表!AW$29,FALSE),定义数据!$B$13:$C$35,2,FALSE)</f>
        <v>0</v>
      </c>
      <c r="AC130" s="14">
        <f>VLOOKUP($I130&amp;$F130&amp;$G130,装备属性表,装备属性计算表!AX$29,FALSE)</f>
        <v>0</v>
      </c>
      <c r="AD130" s="14">
        <f ca="1">VLOOKUP(VLOOKUP($I130&amp;$F130&amp;$G130,装备属性表,装备属性计算表!AY$29,FALSE),定义数据!$B$13:$C$35,2,FALSE)</f>
        <v>0</v>
      </c>
      <c r="AE130" s="14">
        <f>VLOOKUP($I130&amp;$F130&amp;$G130,装备属性表,装备属性计算表!AZ$29,FALSE)</f>
        <v>0</v>
      </c>
      <c r="AF130" s="14">
        <f ca="1">VLOOKUP(VLOOKUP($I130&amp;$F130&amp;$G130,装备属性表,装备属性计算表!BA$29,FALSE),定义数据!$B$13:$C$35,2,FALSE)</f>
        <v>0</v>
      </c>
      <c r="AG130" s="14">
        <f>VLOOKUP($I130&amp;$F130&amp;$G130,装备属性表,装备属性计算表!BB$29,FALSE)</f>
        <v>0</v>
      </c>
      <c r="AH130" s="14">
        <f ca="1">VLOOKUP(VLOOKUP($I130&amp;$F130&amp;$G130,装备属性表,装备属性计算表!BC$29,FALSE),定义数据!$B$13:$C$35,2,FALSE)</f>
        <v>0</v>
      </c>
      <c r="AI130" s="14">
        <f>VLOOKUP($I130&amp;$F130&amp;$G130,装备属性表,装备属性计算表!BD$29,FALSE)</f>
        <v>0</v>
      </c>
      <c r="AJ130" s="14">
        <f ca="1">VLOOKUP(VLOOKUP($I130&amp;$F130&amp;$G130,装备属性表,装备属性计算表!BE$29,FALSE),定义数据!$B$13:$C$35,2,FALSE)</f>
        <v>0</v>
      </c>
      <c r="AK130" s="14">
        <f>VLOOKUP($I130&amp;$F130&amp;$G130,装备属性表,装备属性计算表!BF$29,FALSE)</f>
        <v>0</v>
      </c>
      <c r="AL130" t="str">
        <f t="shared" si="37"/>
        <v>嗜血长靴是一件60级紫色可升级的装备。</v>
      </c>
      <c r="AM130" t="str">
        <f>IF(D130=0,5,D130) &amp; F130&amp;"00"&amp;VLOOKUP(G130,定义数据!$F$20:$G$27,2,FALSE)&amp;".png"</f>
        <v>55005.png</v>
      </c>
      <c r="AN130" s="79">
        <f>IF(OR(G130&lt;15),0,D_装备升级表!A130)</f>
        <v>60025</v>
      </c>
      <c r="AP130">
        <f ca="1">VLOOKUP(G130&amp;I130&amp;F130,CHOOSE({1,2},装备属性计算表!$BK$32:$BK$187,装备属性计算表!$BJ$32:$BJ$187),2,FALSE)</f>
        <v>191.83431725361959</v>
      </c>
      <c r="AQ130">
        <f ca="1">AP130*'[1]0、经济设定'!$C$18</f>
        <v>9591.7158626809796</v>
      </c>
      <c r="AR130">
        <f ca="1">IFERROR(AQ130*'[1]0、经济设定'!$E$19*AU130*AS130,0)</f>
        <v>586.91266649662725</v>
      </c>
      <c r="AS130">
        <v>10</v>
      </c>
      <c r="AT130">
        <f t="shared" si="42"/>
        <v>144</v>
      </c>
      <c r="AU130">
        <f ca="1">IF(F130=0,IFERROR(AT130/AP130/'[1]0、经济设定'!$E$18,0),AU129)</f>
        <v>3.0594769220602167</v>
      </c>
      <c r="AV130">
        <f t="shared" ca="1" si="39"/>
        <v>7673.3726901447835</v>
      </c>
    </row>
    <row r="131" spans="1:48" x14ac:dyDescent="0.15">
      <c r="A131" s="14" t="str">
        <f t="shared" ref="A131:A212" si="44">IF(D131=0,D131+5&amp;F131&amp;I131&amp;IF(C131&lt;10,"0"&amp;C131,C131),D131&amp;F131&amp;I131&amp;IF(C131&lt;10,"0"&amp;C131,C131))</f>
        <v>54217</v>
      </c>
      <c r="B131" s="14" t="s">
        <v>577</v>
      </c>
      <c r="C131" s="14">
        <f>VLOOKUP($I131&amp;$F131&amp;$G131,装备属性表,装备属性计算表!AK$29,FALSE)</f>
        <v>17</v>
      </c>
      <c r="D131" s="14">
        <f t="shared" si="43"/>
        <v>0</v>
      </c>
      <c r="E131" s="14" t="str">
        <f>VLOOKUP(F131,CHOOSE({1,2},定义数据!$F$2:$F$7,武器部位),2)</f>
        <v>腰带</v>
      </c>
      <c r="F131" s="14">
        <v>4</v>
      </c>
      <c r="G131" s="14">
        <f>装备属性计算表!D126</f>
        <v>60</v>
      </c>
      <c r="H131" s="14">
        <f t="shared" si="7"/>
        <v>60</v>
      </c>
      <c r="I131" s="14">
        <v>2</v>
      </c>
      <c r="J131" s="14" t="str">
        <f t="shared" si="8"/>
        <v>6024</v>
      </c>
      <c r="K131" s="14" t="str">
        <f t="shared" si="9"/>
        <v>6024</v>
      </c>
      <c r="L131" s="76"/>
      <c r="M131" s="14">
        <f>IF(OR(G131&lt;15,G131=80),0,D_装备升级表!A131)</f>
        <v>60024</v>
      </c>
      <c r="N131" s="78">
        <v>1</v>
      </c>
      <c r="O131" s="14">
        <f t="shared" si="36"/>
        <v>1700</v>
      </c>
      <c r="P131" s="14"/>
      <c r="Q131" s="14">
        <f>VLOOKUP($I131&amp;$F131&amp;$G131,装备属性表,装备属性计算表!AL$29,FALSE)</f>
        <v>4</v>
      </c>
      <c r="R131" s="14">
        <f ca="1">VLOOKUP(VLOOKUP($I131&amp;$F131&amp;$G131,装备属性表,装备属性计算表!AM$29,FALSE),定义数据!$B$13:$C$35,2,FALSE)</f>
        <v>1</v>
      </c>
      <c r="S131" s="14">
        <f ca="1">VLOOKUP($I131&amp;$F131&amp;$G131,装备属性表,装备属性计算表!AN$29,FALSE)</f>
        <v>1834.473879568538</v>
      </c>
      <c r="T131" s="14">
        <f ca="1">VLOOKUP(VLOOKUP($I131&amp;$F131&amp;$G131,装备属性表,装备属性计算表!AO$29,FALSE),定义数据!$B$13:$C$35,2,FALSE)</f>
        <v>9</v>
      </c>
      <c r="U131" s="14">
        <f ca="1">VLOOKUP($I131&amp;$F131&amp;$G131,装备属性表,装备属性计算表!AP$29,FALSE)</f>
        <v>216.66666666666669</v>
      </c>
      <c r="V131" s="14">
        <f ca="1">VLOOKUP(VLOOKUP($I131&amp;$F131&amp;$G131,装备属性表,装备属性计算表!AQ$29,FALSE),定义数据!$B$13:$C$35,2,FALSE)</f>
        <v>1</v>
      </c>
      <c r="W131" s="14">
        <f ca="1">VLOOKUP($I131&amp;$F131&amp;$G131,装备属性表,装备属性计算表!AR$29,FALSE)</f>
        <v>679.43477021056958</v>
      </c>
      <c r="X131" s="14">
        <f ca="1">VLOOKUP(VLOOKUP($I131&amp;$F131&amp;$G131,装备属性表,装备属性计算表!AS$29,FALSE),定义数据!$B$13:$C$35,2,FALSE)</f>
        <v>2</v>
      </c>
      <c r="Y131" s="14">
        <f ca="1">VLOOKUP($I131&amp;$F131&amp;$G131,装备属性表,装备属性计算表!AT$29,FALSE)</f>
        <v>20.706282096256693</v>
      </c>
      <c r="Z131" s="14">
        <f ca="1">VLOOKUP(VLOOKUP($I131&amp;$F131&amp;$G131,装备属性表,装备属性计算表!AU$29,FALSE),定义数据!$B$13:$C$35,2,FALSE)</f>
        <v>0</v>
      </c>
      <c r="AA131" s="14">
        <f>VLOOKUP($I131&amp;$F131&amp;$G131,装备属性表,装备属性计算表!AV$29,FALSE)</f>
        <v>0</v>
      </c>
      <c r="AB131" s="14">
        <f ca="1">VLOOKUP(VLOOKUP($I131&amp;$F131&amp;$G131,装备属性表,装备属性计算表!AW$29,FALSE),定义数据!$B$13:$C$35,2,FALSE)</f>
        <v>0</v>
      </c>
      <c r="AC131" s="14">
        <f>VLOOKUP($I131&amp;$F131&amp;$G131,装备属性表,装备属性计算表!AX$29,FALSE)</f>
        <v>0</v>
      </c>
      <c r="AD131" s="14">
        <f ca="1">VLOOKUP(VLOOKUP($I131&amp;$F131&amp;$G131,装备属性表,装备属性计算表!AY$29,FALSE),定义数据!$B$13:$C$35,2,FALSE)</f>
        <v>0</v>
      </c>
      <c r="AE131" s="14">
        <f>VLOOKUP($I131&amp;$F131&amp;$G131,装备属性表,装备属性计算表!AZ$29,FALSE)</f>
        <v>0</v>
      </c>
      <c r="AF131" s="14">
        <f ca="1">VLOOKUP(VLOOKUP($I131&amp;$F131&amp;$G131,装备属性表,装备属性计算表!BA$29,FALSE),定义数据!$B$13:$C$35,2,FALSE)</f>
        <v>0</v>
      </c>
      <c r="AG131" s="14">
        <f>VLOOKUP($I131&amp;$F131&amp;$G131,装备属性表,装备属性计算表!BB$29,FALSE)</f>
        <v>0</v>
      </c>
      <c r="AH131" s="14">
        <f ca="1">VLOOKUP(VLOOKUP($I131&amp;$F131&amp;$G131,装备属性表,装备属性计算表!BC$29,FALSE),定义数据!$B$13:$C$35,2,FALSE)</f>
        <v>0</v>
      </c>
      <c r="AI131" s="14">
        <f>VLOOKUP($I131&amp;$F131&amp;$G131,装备属性表,装备属性计算表!BD$29,FALSE)</f>
        <v>0</v>
      </c>
      <c r="AJ131" s="14">
        <f ca="1">VLOOKUP(VLOOKUP($I131&amp;$F131&amp;$G131,装备属性表,装备属性计算表!BE$29,FALSE),定义数据!$B$13:$C$35,2,FALSE)</f>
        <v>0</v>
      </c>
      <c r="AK131" s="14">
        <f>VLOOKUP($I131&amp;$F131&amp;$G131,装备属性表,装备属性计算表!BF$29,FALSE)</f>
        <v>0</v>
      </c>
      <c r="AL131" t="str">
        <f t="shared" si="37"/>
        <v>嗜血腰带是一件60级紫色可升级的装备。</v>
      </c>
      <c r="AM131" t="str">
        <f>IF(D131=0,5,D131) &amp; F131&amp;"00"&amp;VLOOKUP(G131,定义数据!$F$20:$G$27,2,FALSE)&amp;".png"</f>
        <v>54005.png</v>
      </c>
      <c r="AN131" s="79">
        <f>IF(OR(G131&lt;15),0,D_装备升级表!A131)</f>
        <v>60024</v>
      </c>
      <c r="AP131">
        <f ca="1">VLOOKUP(G131&amp;I131&amp;F131,CHOOSE({1,2},装备属性计算表!$BK$32:$BK$187,装备属性计算表!$BJ$32:$BJ$187),2,FALSE)</f>
        <v>170.60785195031335</v>
      </c>
      <c r="AQ131">
        <f ca="1">AP131*'[1]0、经济设定'!$C$18</f>
        <v>8530.3925975156671</v>
      </c>
      <c r="AR131">
        <f ca="1">IFERROR(AQ131*'[1]0、经济设定'!$E$19*AU131*AS131,0)</f>
        <v>521.97078576424985</v>
      </c>
      <c r="AS131">
        <v>10</v>
      </c>
      <c r="AT131">
        <f t="shared" si="42"/>
        <v>144</v>
      </c>
      <c r="AU131">
        <f ca="1">IF(F131=0,IFERROR(AT131/AP131/'[1]0、经济设定'!$E$18,0),AU130)</f>
        <v>3.0594769220602167</v>
      </c>
      <c r="AV131">
        <f t="shared" ca="1" si="39"/>
        <v>6824.3140780125341</v>
      </c>
    </row>
    <row r="132" spans="1:48" x14ac:dyDescent="0.15">
      <c r="A132" s="14" t="str">
        <f t="shared" si="44"/>
        <v>53217</v>
      </c>
      <c r="B132" s="14" t="s">
        <v>578</v>
      </c>
      <c r="C132" s="14">
        <f>VLOOKUP($I132&amp;$F132&amp;$G132,装备属性表,装备属性计算表!AK$29,FALSE)</f>
        <v>17</v>
      </c>
      <c r="D132" s="14">
        <f t="shared" si="43"/>
        <v>0</v>
      </c>
      <c r="E132" s="14" t="str">
        <f>VLOOKUP(F132,CHOOSE({1,2},定义数据!$F$2:$F$7,武器部位),2)</f>
        <v>项链</v>
      </c>
      <c r="F132" s="14">
        <v>3</v>
      </c>
      <c r="G132" s="14">
        <f>装备属性计算表!D127</f>
        <v>60</v>
      </c>
      <c r="H132" s="14">
        <f t="shared" si="7"/>
        <v>60</v>
      </c>
      <c r="I132" s="14">
        <v>2</v>
      </c>
      <c r="J132" s="14" t="str">
        <f t="shared" si="8"/>
        <v>6023</v>
      </c>
      <c r="K132" s="14" t="str">
        <f t="shared" si="9"/>
        <v>6023</v>
      </c>
      <c r="L132" s="76"/>
      <c r="M132" s="14">
        <f>IF(OR(G132&lt;15,G132=80),0,D_装备升级表!A132)</f>
        <v>60023</v>
      </c>
      <c r="N132" s="78">
        <v>1</v>
      </c>
      <c r="O132" s="14">
        <f t="shared" si="36"/>
        <v>1700</v>
      </c>
      <c r="P132" s="14"/>
      <c r="Q132" s="14">
        <f>VLOOKUP($I132&amp;$F132&amp;$G132,装备属性表,装备属性计算表!AL$29,FALSE)</f>
        <v>4</v>
      </c>
      <c r="R132" s="14">
        <f ca="1">VLOOKUP(VLOOKUP($I132&amp;$F132&amp;$G132,装备属性表,装备属性计算表!AM$29,FALSE),定义数据!$B$13:$C$35,2,FALSE)</f>
        <v>2</v>
      </c>
      <c r="S132" s="14">
        <f ca="1">VLOOKUP($I132&amp;$F132&amp;$G132,装备属性表,装备属性计算表!AN$29,FALSE)</f>
        <v>116.4728367914439</v>
      </c>
      <c r="T132" s="14">
        <f ca="1">VLOOKUP(VLOOKUP($I132&amp;$F132&amp;$G132,装备属性表,装备属性计算表!AO$29,FALSE),定义数据!$B$13:$C$35,2,FALSE)</f>
        <v>6</v>
      </c>
      <c r="U132" s="14">
        <f ca="1">VLOOKUP($I132&amp;$F132&amp;$G132,装备属性表,装备属性计算表!AP$29,FALSE)</f>
        <v>365.625</v>
      </c>
      <c r="V132" s="14">
        <f ca="1">VLOOKUP(VLOOKUP($I132&amp;$F132&amp;$G132,装备属性表,装备属性计算表!AQ$29,FALSE),定义数据!$B$13:$C$35,2,FALSE)</f>
        <v>2</v>
      </c>
      <c r="W132" s="14">
        <f ca="1">VLOOKUP($I132&amp;$F132&amp;$G132,装备属性表,装备属性计算表!AR$29,FALSE)</f>
        <v>20.706282096256693</v>
      </c>
      <c r="X132" s="14">
        <f ca="1">VLOOKUP(VLOOKUP($I132&amp;$F132&amp;$G132,装备属性表,装备属性计算表!AS$29,FALSE),定义数据!$B$13:$C$35,2,FALSE)</f>
        <v>7</v>
      </c>
      <c r="Y132" s="14">
        <f ca="1">VLOOKUP($I132&amp;$F132&amp;$G132,装备属性表,装备属性计算表!AT$29,FALSE)</f>
        <v>16.25</v>
      </c>
      <c r="Z132" s="14">
        <f ca="1">VLOOKUP(VLOOKUP($I132&amp;$F132&amp;$G132,装备属性表,装备属性计算表!AU$29,FALSE),定义数据!$B$13:$C$35,2,FALSE)</f>
        <v>0</v>
      </c>
      <c r="AA132" s="14">
        <f>VLOOKUP($I132&amp;$F132&amp;$G132,装备属性表,装备属性计算表!AV$29,FALSE)</f>
        <v>0</v>
      </c>
      <c r="AB132" s="14">
        <f ca="1">VLOOKUP(VLOOKUP($I132&amp;$F132&amp;$G132,装备属性表,装备属性计算表!AW$29,FALSE),定义数据!$B$13:$C$35,2,FALSE)</f>
        <v>0</v>
      </c>
      <c r="AC132" s="14">
        <f>VLOOKUP($I132&amp;$F132&amp;$G132,装备属性表,装备属性计算表!AX$29,FALSE)</f>
        <v>0</v>
      </c>
      <c r="AD132" s="14">
        <f ca="1">VLOOKUP(VLOOKUP($I132&amp;$F132&amp;$G132,装备属性表,装备属性计算表!AY$29,FALSE),定义数据!$B$13:$C$35,2,FALSE)</f>
        <v>0</v>
      </c>
      <c r="AE132" s="14">
        <f>VLOOKUP($I132&amp;$F132&amp;$G132,装备属性表,装备属性计算表!AZ$29,FALSE)</f>
        <v>0</v>
      </c>
      <c r="AF132" s="14">
        <f ca="1">VLOOKUP(VLOOKUP($I132&amp;$F132&amp;$G132,装备属性表,装备属性计算表!BA$29,FALSE),定义数据!$B$13:$C$35,2,FALSE)</f>
        <v>0</v>
      </c>
      <c r="AG132" s="14">
        <f>VLOOKUP($I132&amp;$F132&amp;$G132,装备属性表,装备属性计算表!BB$29,FALSE)</f>
        <v>0</v>
      </c>
      <c r="AH132" s="14">
        <f ca="1">VLOOKUP(VLOOKUP($I132&amp;$F132&amp;$G132,装备属性表,装备属性计算表!BC$29,FALSE),定义数据!$B$13:$C$35,2,FALSE)</f>
        <v>0</v>
      </c>
      <c r="AI132" s="14">
        <f>VLOOKUP($I132&amp;$F132&amp;$G132,装备属性表,装备属性计算表!BD$29,FALSE)</f>
        <v>0</v>
      </c>
      <c r="AJ132" s="14">
        <f ca="1">VLOOKUP(VLOOKUP($I132&amp;$F132&amp;$G132,装备属性表,装备属性计算表!BE$29,FALSE),定义数据!$B$13:$C$35,2,FALSE)</f>
        <v>0</v>
      </c>
      <c r="AK132" s="14">
        <f>VLOOKUP($I132&amp;$F132&amp;$G132,装备属性表,装备属性计算表!BF$29,FALSE)</f>
        <v>0</v>
      </c>
      <c r="AL132" t="str">
        <f t="shared" si="37"/>
        <v>嗜血项链是一件60级紫色可升级的装备。</v>
      </c>
      <c r="AM132" t="str">
        <f>IF(D132=0,5,D132) &amp; F132&amp;"00"&amp;VLOOKUP(G132,定义数据!$F$20:$G$27,2,FALSE)&amp;".png"</f>
        <v>53005.png</v>
      </c>
      <c r="AN132" s="79">
        <f>IF(OR(G132&lt;15),0,D_装备升级表!A132)</f>
        <v>60023</v>
      </c>
      <c r="AP132">
        <f ca="1">VLOOKUP(G132&amp;I132&amp;F132,CHOOSE({1,2},装备属性计算表!$BK$32:$BK$187,装备属性计算表!$BJ$32:$BJ$187),2,FALSE)</f>
        <v>279.6916188877006</v>
      </c>
      <c r="AQ132">
        <f ca="1">AP132*'[1]0、经济设定'!$C$18</f>
        <v>13984.58094438503</v>
      </c>
      <c r="AR132">
        <f ca="1">IFERROR(AQ132*'[1]0、经济设定'!$E$19*AU132*AS132,0)</f>
        <v>855.71005328058141</v>
      </c>
      <c r="AS132">
        <v>10</v>
      </c>
      <c r="AT132">
        <f t="shared" si="42"/>
        <v>144</v>
      </c>
      <c r="AU132">
        <f ca="1">IF(F132=0,IFERROR(AT132/AP132/'[1]0、经济设定'!$E$18,0),AU131)</f>
        <v>3.0594769220602167</v>
      </c>
      <c r="AV132">
        <f t="shared" ca="1" si="39"/>
        <v>11187.664755508024</v>
      </c>
    </row>
    <row r="133" spans="1:48" x14ac:dyDescent="0.15">
      <c r="A133" s="14" t="str">
        <f t="shared" si="44"/>
        <v>10318</v>
      </c>
      <c r="B133" s="14" t="s">
        <v>212</v>
      </c>
      <c r="C133" s="14">
        <f>VLOOKUP($I133&amp;$F133&amp;$G133,装备属性表,装备属性计算表!AK$29,FALSE)</f>
        <v>18</v>
      </c>
      <c r="D133" s="14">
        <f t="shared" si="18"/>
        <v>1</v>
      </c>
      <c r="E133" s="14" t="str">
        <f>VLOOKUP(F133,CHOOSE({1,2},定义数据!$F$2:$F$7,武器部位),2)</f>
        <v>武器</v>
      </c>
      <c r="F133" s="14">
        <v>0</v>
      </c>
      <c r="G133" s="14">
        <v>60</v>
      </c>
      <c r="H133" s="14">
        <f t="shared" si="7"/>
        <v>60</v>
      </c>
      <c r="I133" s="14">
        <v>3</v>
      </c>
      <c r="J133" s="14" t="str">
        <f t="shared" si="8"/>
        <v>6030</v>
      </c>
      <c r="K133" s="14" t="str">
        <f t="shared" si="9"/>
        <v>6030</v>
      </c>
      <c r="L133" s="76"/>
      <c r="M133" s="14">
        <f>IF(OR(G133&lt;15,G133=80),0,D_装备升级表!A133)</f>
        <v>60130</v>
      </c>
      <c r="N133" s="78">
        <v>1</v>
      </c>
      <c r="O133" s="14">
        <f t="shared" si="36"/>
        <v>1800</v>
      </c>
      <c r="P133" s="14"/>
      <c r="Q133" s="14">
        <f>VLOOKUP($I133&amp;$F133&amp;$G133,装备属性表,装备属性计算表!AL$29,FALSE)</f>
        <v>5</v>
      </c>
      <c r="R133" s="14">
        <f ca="1">VLOOKUP(VLOOKUP($I133&amp;$F133&amp;$G133,装备属性表,装备属性计算表!AM$29,FALSE),定义数据!$B$13:$C$35,2,FALSE)</f>
        <v>2</v>
      </c>
      <c r="S133" s="14">
        <f ca="1">VLOOKUP($I133&amp;$F133&amp;$G133,装备属性表,装备属性计算表!AN$29,FALSE)</f>
        <v>406.16168727272736</v>
      </c>
      <c r="T133" s="14">
        <f ca="1">VLOOKUP(VLOOKUP($I133&amp;$F133&amp;$G133,装备属性表,装备属性计算表!AO$29,FALSE),定义数据!$B$13:$C$35,2,FALSE)</f>
        <v>8</v>
      </c>
      <c r="U133" s="14">
        <f ca="1">VLOOKUP($I133&amp;$F133&amp;$G133,装备属性表,装备属性计算表!AP$29,FALSE)</f>
        <v>251.85185185185185</v>
      </c>
      <c r="V133" s="14">
        <f ca="1">VLOOKUP(VLOOKUP($I133&amp;$F133&amp;$G133,装备属性表,装备属性计算表!AQ$29,FALSE),定义数据!$B$13:$C$35,2,FALSE)</f>
        <v>2</v>
      </c>
      <c r="W133" s="14">
        <f ca="1">VLOOKUP($I133&amp;$F133&amp;$G133,装备属性表,装备属性计算表!AR$29,FALSE)</f>
        <v>121.84850618181821</v>
      </c>
      <c r="X133" s="14">
        <f ca="1">VLOOKUP(VLOOKUP($I133&amp;$F133&amp;$G133,装备属性表,装备属性计算表!AS$29,FALSE),定义数据!$B$13:$C$35,2,FALSE)</f>
        <v>3</v>
      </c>
      <c r="Y133" s="14">
        <f ca="1">VLOOKUP($I133&amp;$F133&amp;$G133,装备属性表,装备属性计算表!AT$29,FALSE)</f>
        <v>14.625887833622185</v>
      </c>
      <c r="Z133" s="14">
        <f ca="1">VLOOKUP(VLOOKUP($I133&amp;$F133&amp;$G133,装备属性表,装备属性计算表!AU$29,FALSE),定义数据!$B$13:$C$35,2,FALSE)</f>
        <v>6</v>
      </c>
      <c r="AA133" s="14">
        <f ca="1">VLOOKUP($I133&amp;$F133&amp;$G133,装备属性表,装备属性计算表!AV$29,FALSE)</f>
        <v>53.124999999999993</v>
      </c>
      <c r="AB133" s="14">
        <f ca="1">VLOOKUP(VLOOKUP($I133&amp;$F133&amp;$G133,装备属性表,装备属性计算表!AW$29,FALSE),定义数据!$B$13:$C$35,2,FALSE)</f>
        <v>0</v>
      </c>
      <c r="AC133" s="14">
        <f>VLOOKUP($I133&amp;$F133&amp;$G133,装备属性表,装备属性计算表!AX$29,FALSE)</f>
        <v>0</v>
      </c>
      <c r="AD133" s="14">
        <f ca="1">VLOOKUP(VLOOKUP($I133&amp;$F133&amp;$G133,装备属性表,装备属性计算表!AY$29,FALSE),定义数据!$B$13:$C$35,2,FALSE)</f>
        <v>0</v>
      </c>
      <c r="AE133" s="14">
        <f>VLOOKUP($I133&amp;$F133&amp;$G133,装备属性表,装备属性计算表!AZ$29,FALSE)</f>
        <v>0</v>
      </c>
      <c r="AF133" s="14">
        <f ca="1">VLOOKUP(VLOOKUP($I133&amp;$F133&amp;$G133,装备属性表,装备属性计算表!BA$29,FALSE),定义数据!$B$13:$C$35,2,FALSE)</f>
        <v>0</v>
      </c>
      <c r="AG133" s="14">
        <f>VLOOKUP($I133&amp;$F133&amp;$G133,装备属性表,装备属性计算表!BB$29,FALSE)</f>
        <v>0</v>
      </c>
      <c r="AH133" s="14">
        <f ca="1">VLOOKUP(VLOOKUP($I133&amp;$F133&amp;$G133,装备属性表,装备属性计算表!BC$29,FALSE),定义数据!$B$13:$C$35,2,FALSE)</f>
        <v>0</v>
      </c>
      <c r="AI133" s="14">
        <f>VLOOKUP($I133&amp;$F133&amp;$G133,装备属性表,装备属性计算表!BD$29,FALSE)</f>
        <v>0</v>
      </c>
      <c r="AJ133" s="14">
        <f ca="1">VLOOKUP(VLOOKUP($I133&amp;$F133&amp;$G133,装备属性表,装备属性计算表!BE$29,FALSE),定义数据!$B$13:$C$35,2,FALSE)</f>
        <v>0</v>
      </c>
      <c r="AK133" s="14">
        <f>VLOOKUP($I133&amp;$F133&amp;$G133,装备属性表,装备属性计算表!BF$29,FALSE)</f>
        <v>0</v>
      </c>
      <c r="AL133" t="str">
        <f t="shared" si="37"/>
        <v>霸道之刃是一件60级橙色可升级的装备。</v>
      </c>
      <c r="AM133" t="str">
        <f>IF(D133=0,5,D133) &amp; F133&amp;"00"&amp;VLOOKUP(G133,定义数据!$F$20:$G$27,2,FALSE)&amp;".png"</f>
        <v>10005.png</v>
      </c>
      <c r="AN133" s="79">
        <f>IF(OR(G133&lt;15),0,D_装备升级表!A133)</f>
        <v>60130</v>
      </c>
      <c r="AP133">
        <f ca="1">VLOOKUP(G133&amp;I133&amp;F133,CHOOSE({1,2},装备属性计算表!$BK$32:$BK$187,装备属性计算表!$BJ$32:$BJ$187),2,FALSE)</f>
        <v>612.83191462150103</v>
      </c>
      <c r="AQ133">
        <f ca="1">AP133*'[1]0、经济设定'!$C$18</f>
        <v>30641.595731075053</v>
      </c>
      <c r="AR133">
        <f ca="1">IFERROR(AQ133*'[1]0、经济设定'!$E$19*AU133*AS133,0)</f>
        <v>3599.9999999999995</v>
      </c>
      <c r="AS133">
        <v>10</v>
      </c>
      <c r="AT133">
        <f t="shared" si="42"/>
        <v>360</v>
      </c>
      <c r="AU133">
        <f ca="1">IF(F133=0,IFERROR(AT133/AP133/'[1]0、经济设定'!$E$18,0),AU132)</f>
        <v>5.8743676921973647</v>
      </c>
      <c r="AV133">
        <f t="shared" ca="1" si="39"/>
        <v>24513.276584860039</v>
      </c>
    </row>
    <row r="134" spans="1:48" x14ac:dyDescent="0.15">
      <c r="A134" s="14" t="str">
        <f t="shared" si="44"/>
        <v>20318</v>
      </c>
      <c r="B134" s="14" t="s">
        <v>213</v>
      </c>
      <c r="C134" s="14">
        <f>VLOOKUP($I134&amp;$F134&amp;$G134,装备属性表,装备属性计算表!AK$29,FALSE)</f>
        <v>18</v>
      </c>
      <c r="D134" s="14">
        <f t="shared" si="18"/>
        <v>2</v>
      </c>
      <c r="E134" s="14" t="str">
        <f>VLOOKUP(F134,CHOOSE({1,2},定义数据!$F$2:$F$7,武器部位),2)</f>
        <v>武器</v>
      </c>
      <c r="F134" s="14">
        <v>0</v>
      </c>
      <c r="G134" s="14">
        <v>60</v>
      </c>
      <c r="H134" s="14">
        <f t="shared" ref="H134:H212" si="45">G134</f>
        <v>60</v>
      </c>
      <c r="I134" s="14">
        <v>3</v>
      </c>
      <c r="J134" s="14" t="str">
        <f t="shared" ref="J134:J212" si="46">G134&amp;I134&amp;F134</f>
        <v>6030</v>
      </c>
      <c r="K134" s="14" t="str">
        <f t="shared" ref="K134:K212" si="47">G134&amp;I134&amp;F134</f>
        <v>6030</v>
      </c>
      <c r="L134" s="76"/>
      <c r="M134" s="14">
        <f>IF(OR(G134&lt;15,G134=80),0,D_装备升级表!A134)</f>
        <v>60230</v>
      </c>
      <c r="N134" s="78">
        <v>1</v>
      </c>
      <c r="O134" s="14">
        <f t="shared" si="36"/>
        <v>1800</v>
      </c>
      <c r="P134" s="14"/>
      <c r="Q134" s="14">
        <f>VLOOKUP($I134&amp;$F134&amp;$G134,装备属性表,装备属性计算表!AL$29,FALSE)</f>
        <v>5</v>
      </c>
      <c r="R134" s="14">
        <f ca="1">VLOOKUP(VLOOKUP($I134&amp;$F134&amp;$G134,装备属性表,装备属性计算表!AM$29,FALSE),定义数据!$B$13:$C$35,2,FALSE)</f>
        <v>2</v>
      </c>
      <c r="S134" s="14">
        <f ca="1">VLOOKUP($I134&amp;$F134&amp;$G134,装备属性表,装备属性计算表!AN$29,FALSE)</f>
        <v>406.16168727272736</v>
      </c>
      <c r="T134" s="14">
        <f ca="1">VLOOKUP(VLOOKUP($I134&amp;$F134&amp;$G134,装备属性表,装备属性计算表!AO$29,FALSE),定义数据!$B$13:$C$35,2,FALSE)</f>
        <v>8</v>
      </c>
      <c r="U134" s="14">
        <f ca="1">VLOOKUP($I134&amp;$F134&amp;$G134,装备属性表,装备属性计算表!AP$29,FALSE)</f>
        <v>251.85185185185185</v>
      </c>
      <c r="V134" s="14">
        <f ca="1">VLOOKUP(VLOOKUP($I134&amp;$F134&amp;$G134,装备属性表,装备属性计算表!AQ$29,FALSE),定义数据!$B$13:$C$35,2,FALSE)</f>
        <v>2</v>
      </c>
      <c r="W134" s="14">
        <f ca="1">VLOOKUP($I134&amp;$F134&amp;$G134,装备属性表,装备属性计算表!AR$29,FALSE)</f>
        <v>121.84850618181821</v>
      </c>
      <c r="X134" s="14">
        <f ca="1">VLOOKUP(VLOOKUP($I134&amp;$F134&amp;$G134,装备属性表,装备属性计算表!AS$29,FALSE),定义数据!$B$13:$C$35,2,FALSE)</f>
        <v>3</v>
      </c>
      <c r="Y134" s="14">
        <f ca="1">VLOOKUP($I134&amp;$F134&amp;$G134,装备属性表,装备属性计算表!AT$29,FALSE)</f>
        <v>14.625887833622185</v>
      </c>
      <c r="Z134" s="14">
        <f ca="1">VLOOKUP(VLOOKUP($I134&amp;$F134&amp;$G134,装备属性表,装备属性计算表!AU$29,FALSE),定义数据!$B$13:$C$35,2,FALSE)</f>
        <v>6</v>
      </c>
      <c r="AA134" s="14">
        <f ca="1">VLOOKUP($I134&amp;$F134&amp;$G134,装备属性表,装备属性计算表!AV$29,FALSE)</f>
        <v>53.124999999999993</v>
      </c>
      <c r="AB134" s="14">
        <f ca="1">VLOOKUP(VLOOKUP($I134&amp;$F134&amp;$G134,装备属性表,装备属性计算表!AW$29,FALSE),定义数据!$B$13:$C$35,2,FALSE)</f>
        <v>0</v>
      </c>
      <c r="AC134" s="14">
        <f>VLOOKUP($I134&amp;$F134&amp;$G134,装备属性表,装备属性计算表!AX$29,FALSE)</f>
        <v>0</v>
      </c>
      <c r="AD134" s="14">
        <f ca="1">VLOOKUP(VLOOKUP($I134&amp;$F134&amp;$G134,装备属性表,装备属性计算表!AY$29,FALSE),定义数据!$B$13:$C$35,2,FALSE)</f>
        <v>0</v>
      </c>
      <c r="AE134" s="14">
        <f>VLOOKUP($I134&amp;$F134&amp;$G134,装备属性表,装备属性计算表!AZ$29,FALSE)</f>
        <v>0</v>
      </c>
      <c r="AF134" s="14">
        <f ca="1">VLOOKUP(VLOOKUP($I134&amp;$F134&amp;$G134,装备属性表,装备属性计算表!BA$29,FALSE),定义数据!$B$13:$C$35,2,FALSE)</f>
        <v>0</v>
      </c>
      <c r="AG134" s="14">
        <f>VLOOKUP($I134&amp;$F134&amp;$G134,装备属性表,装备属性计算表!BB$29,FALSE)</f>
        <v>0</v>
      </c>
      <c r="AH134" s="14">
        <f ca="1">VLOOKUP(VLOOKUP($I134&amp;$F134&amp;$G134,装备属性表,装备属性计算表!BC$29,FALSE),定义数据!$B$13:$C$35,2,FALSE)</f>
        <v>0</v>
      </c>
      <c r="AI134" s="14">
        <f>VLOOKUP($I134&amp;$F134&amp;$G134,装备属性表,装备属性计算表!BD$29,FALSE)</f>
        <v>0</v>
      </c>
      <c r="AJ134" s="14">
        <f ca="1">VLOOKUP(VLOOKUP($I134&amp;$F134&amp;$G134,装备属性表,装备属性计算表!BE$29,FALSE),定义数据!$B$13:$C$35,2,FALSE)</f>
        <v>0</v>
      </c>
      <c r="AK134" s="14">
        <f>VLOOKUP($I134&amp;$F134&amp;$G134,装备属性表,装备属性计算表!BF$29,FALSE)</f>
        <v>0</v>
      </c>
      <c r="AL134" t="str">
        <f t="shared" si="37"/>
        <v>霸道之拳是一件60级橙色可升级的装备。</v>
      </c>
      <c r="AM134" t="str">
        <f>IF(D134=0,5,D134) &amp; F134&amp;"00"&amp;VLOOKUP(G134,定义数据!$F$20:$G$27,2,FALSE)&amp;".png"</f>
        <v>20005.png</v>
      </c>
      <c r="AN134" s="79">
        <f>IF(OR(G134&lt;15),0,D_装备升级表!A134)</f>
        <v>60230</v>
      </c>
      <c r="AP134">
        <f ca="1">VLOOKUP(G134&amp;I134&amp;F134,CHOOSE({1,2},装备属性计算表!$BK$32:$BK$187,装备属性计算表!$BJ$32:$BJ$187),2,FALSE)</f>
        <v>612.83191462150103</v>
      </c>
      <c r="AQ134">
        <f ca="1">AP134*'[1]0、经济设定'!$C$18</f>
        <v>30641.595731075053</v>
      </c>
      <c r="AR134">
        <f ca="1">IFERROR(AQ134*'[1]0、经济设定'!$E$19*AU134*AS134,0)</f>
        <v>3599.9999999999995</v>
      </c>
      <c r="AS134">
        <v>10</v>
      </c>
      <c r="AT134">
        <f t="shared" si="42"/>
        <v>360</v>
      </c>
      <c r="AU134">
        <f ca="1">IF(F134=0,IFERROR(AT134/AP134/'[1]0、经济设定'!$E$18,0),AU133)</f>
        <v>5.8743676921973647</v>
      </c>
      <c r="AV134">
        <f t="shared" ca="1" si="39"/>
        <v>24513.276584860039</v>
      </c>
    </row>
    <row r="135" spans="1:48" x14ac:dyDescent="0.15">
      <c r="A135" s="14" t="str">
        <f t="shared" si="44"/>
        <v>30318</v>
      </c>
      <c r="B135" s="14" t="s">
        <v>579</v>
      </c>
      <c r="C135" s="14">
        <f>VLOOKUP($I135&amp;$F135&amp;$G135,装备属性表,装备属性计算表!AK$29,FALSE)</f>
        <v>18</v>
      </c>
      <c r="D135" s="14">
        <f t="shared" si="18"/>
        <v>3</v>
      </c>
      <c r="E135" s="14" t="str">
        <f>VLOOKUP(F135,CHOOSE({1,2},定义数据!$F$2:$F$7,武器部位),2)</f>
        <v>武器</v>
      </c>
      <c r="F135" s="14">
        <v>0</v>
      </c>
      <c r="G135" s="14">
        <f>装备属性计算表!D128</f>
        <v>60</v>
      </c>
      <c r="H135" s="14">
        <f t="shared" si="45"/>
        <v>60</v>
      </c>
      <c r="I135" s="14">
        <v>3</v>
      </c>
      <c r="J135" s="14" t="str">
        <f t="shared" si="46"/>
        <v>6030</v>
      </c>
      <c r="K135" s="14" t="str">
        <f t="shared" si="47"/>
        <v>6030</v>
      </c>
      <c r="L135" s="76"/>
      <c r="M135" s="14">
        <f>IF(OR(G135&lt;15,G135=80),0,D_装备升级表!A135)</f>
        <v>60330</v>
      </c>
      <c r="N135" s="78">
        <v>1</v>
      </c>
      <c r="O135" s="14">
        <f t="shared" si="36"/>
        <v>1800</v>
      </c>
      <c r="P135" s="14"/>
      <c r="Q135" s="14">
        <f>VLOOKUP($I135&amp;$F135&amp;$G135,装备属性表,装备属性计算表!AL$29,FALSE)</f>
        <v>5</v>
      </c>
      <c r="R135" s="14">
        <f ca="1">VLOOKUP(VLOOKUP($I135&amp;$F135&amp;$G135,装备属性表,装备属性计算表!AM$29,FALSE),定义数据!$B$13:$C$35,2,FALSE)</f>
        <v>2</v>
      </c>
      <c r="S135" s="14">
        <f ca="1">VLOOKUP($I135&amp;$F135&amp;$G135,装备属性表,装备属性计算表!AN$29,FALSE)</f>
        <v>406.16168727272736</v>
      </c>
      <c r="T135" s="14">
        <f ca="1">VLOOKUP(VLOOKUP($I135&amp;$F135&amp;$G135,装备属性表,装备属性计算表!AO$29,FALSE),定义数据!$B$13:$C$35,2,FALSE)</f>
        <v>8</v>
      </c>
      <c r="U135" s="14">
        <f ca="1">VLOOKUP($I135&amp;$F135&amp;$G135,装备属性表,装备属性计算表!AP$29,FALSE)</f>
        <v>251.85185185185185</v>
      </c>
      <c r="V135" s="14">
        <f ca="1">VLOOKUP(VLOOKUP($I135&amp;$F135&amp;$G135,装备属性表,装备属性计算表!AQ$29,FALSE),定义数据!$B$13:$C$35,2,FALSE)</f>
        <v>2</v>
      </c>
      <c r="W135" s="14">
        <f ca="1">VLOOKUP($I135&amp;$F135&amp;$G135,装备属性表,装备属性计算表!AR$29,FALSE)</f>
        <v>121.84850618181821</v>
      </c>
      <c r="X135" s="14">
        <f ca="1">VLOOKUP(VLOOKUP($I135&amp;$F135&amp;$G135,装备属性表,装备属性计算表!AS$29,FALSE),定义数据!$B$13:$C$35,2,FALSE)</f>
        <v>3</v>
      </c>
      <c r="Y135" s="14">
        <f ca="1">VLOOKUP($I135&amp;$F135&amp;$G135,装备属性表,装备属性计算表!AT$29,FALSE)</f>
        <v>14.625887833622185</v>
      </c>
      <c r="Z135" s="14">
        <f ca="1">VLOOKUP(VLOOKUP($I135&amp;$F135&amp;$G135,装备属性表,装备属性计算表!AU$29,FALSE),定义数据!$B$13:$C$35,2,FALSE)</f>
        <v>6</v>
      </c>
      <c r="AA135" s="14">
        <f ca="1">VLOOKUP($I135&amp;$F135&amp;$G135,装备属性表,装备属性计算表!AV$29,FALSE)</f>
        <v>53.124999999999993</v>
      </c>
      <c r="AB135" s="14">
        <f ca="1">VLOOKUP(VLOOKUP($I135&amp;$F135&amp;$G135,装备属性表,装备属性计算表!AW$29,FALSE),定义数据!$B$13:$C$35,2,FALSE)</f>
        <v>0</v>
      </c>
      <c r="AC135" s="14">
        <f>VLOOKUP($I135&amp;$F135&amp;$G135,装备属性表,装备属性计算表!AX$29,FALSE)</f>
        <v>0</v>
      </c>
      <c r="AD135" s="14">
        <f ca="1">VLOOKUP(VLOOKUP($I135&amp;$F135&amp;$G135,装备属性表,装备属性计算表!AY$29,FALSE),定义数据!$B$13:$C$35,2,FALSE)</f>
        <v>0</v>
      </c>
      <c r="AE135" s="14">
        <f>VLOOKUP($I135&amp;$F135&amp;$G135,装备属性表,装备属性计算表!AZ$29,FALSE)</f>
        <v>0</v>
      </c>
      <c r="AF135" s="14">
        <f ca="1">VLOOKUP(VLOOKUP($I135&amp;$F135&amp;$G135,装备属性表,装备属性计算表!BA$29,FALSE),定义数据!$B$13:$C$35,2,FALSE)</f>
        <v>0</v>
      </c>
      <c r="AG135" s="14">
        <f>VLOOKUP($I135&amp;$F135&amp;$G135,装备属性表,装备属性计算表!BB$29,FALSE)</f>
        <v>0</v>
      </c>
      <c r="AH135" s="14">
        <f ca="1">VLOOKUP(VLOOKUP($I135&amp;$F135&amp;$G135,装备属性表,装备属性计算表!BC$29,FALSE),定义数据!$B$13:$C$35,2,FALSE)</f>
        <v>0</v>
      </c>
      <c r="AI135" s="14">
        <f>VLOOKUP($I135&amp;$F135&amp;$G135,装备属性表,装备属性计算表!BD$29,FALSE)</f>
        <v>0</v>
      </c>
      <c r="AJ135" s="14">
        <f ca="1">VLOOKUP(VLOOKUP($I135&amp;$F135&amp;$G135,装备属性表,装备属性计算表!BE$29,FALSE),定义数据!$B$13:$C$35,2,FALSE)</f>
        <v>0</v>
      </c>
      <c r="AK135" s="14">
        <f>VLOOKUP($I135&amp;$F135&amp;$G135,装备属性表,装备属性计算表!BF$29,FALSE)</f>
        <v>0</v>
      </c>
      <c r="AL135" t="str">
        <f t="shared" si="37"/>
        <v>霸道之枪是一件60级橙色可升级的装备。</v>
      </c>
      <c r="AM135" t="str">
        <f>IF(D135=0,5,D135) &amp; F135&amp;"00"&amp;VLOOKUP(G135,定义数据!$F$20:$G$27,2,FALSE)&amp;".png"</f>
        <v>30005.png</v>
      </c>
      <c r="AN135" s="79">
        <f>IF(OR(G135&lt;15),0,D_装备升级表!A135)</f>
        <v>60330</v>
      </c>
      <c r="AP135">
        <f ca="1">VLOOKUP(G135&amp;I135&amp;F135,CHOOSE({1,2},装备属性计算表!$BK$32:$BK$187,装备属性计算表!$BJ$32:$BJ$187),2,FALSE)</f>
        <v>612.83191462150103</v>
      </c>
      <c r="AQ135">
        <f ca="1">AP135*'[1]0、经济设定'!$C$18</f>
        <v>30641.595731075053</v>
      </c>
      <c r="AR135">
        <f ca="1">IFERROR(AQ135*'[1]0、经济设定'!$E$19*AU135*AS135,0)</f>
        <v>3599.9999999999995</v>
      </c>
      <c r="AS135">
        <v>10</v>
      </c>
      <c r="AT135">
        <f t="shared" si="42"/>
        <v>360</v>
      </c>
      <c r="AU135">
        <f ca="1">IF(F135=0,IFERROR(AT135/AP135/'[1]0、经济设定'!$E$18,0),AU134)</f>
        <v>5.8743676921973647</v>
      </c>
      <c r="AV135">
        <f t="shared" ca="1" si="39"/>
        <v>24513.276584860039</v>
      </c>
    </row>
    <row r="136" spans="1:48" x14ac:dyDescent="0.15">
      <c r="A136" s="14" t="str">
        <f t="shared" si="44"/>
        <v>51318</v>
      </c>
      <c r="B136" s="14" t="s">
        <v>580</v>
      </c>
      <c r="C136" s="14">
        <f>VLOOKUP($I136&amp;$F136&amp;$G136,装备属性表,装备属性计算表!AK$29,FALSE)</f>
        <v>18</v>
      </c>
      <c r="D136" s="14">
        <f t="shared" si="18"/>
        <v>0</v>
      </c>
      <c r="E136" s="14" t="str">
        <f>VLOOKUP(F136,CHOOSE({1,2},定义数据!$F$2:$F$7,武器部位),2)</f>
        <v>衣服</v>
      </c>
      <c r="F136" s="14">
        <v>1</v>
      </c>
      <c r="G136" s="14">
        <f>装备属性计算表!D129</f>
        <v>60</v>
      </c>
      <c r="H136" s="14">
        <f t="shared" si="45"/>
        <v>60</v>
      </c>
      <c r="I136" s="14">
        <v>3</v>
      </c>
      <c r="J136" s="14" t="str">
        <f t="shared" si="46"/>
        <v>6031</v>
      </c>
      <c r="K136" s="14" t="str">
        <f t="shared" si="47"/>
        <v>6031</v>
      </c>
      <c r="L136" s="76"/>
      <c r="M136" s="14">
        <f>IF(OR(G136&lt;15,G136=80),0,D_装备升级表!A136)</f>
        <v>60031</v>
      </c>
      <c r="N136" s="78">
        <v>1</v>
      </c>
      <c r="O136" s="14">
        <f t="shared" si="36"/>
        <v>1800</v>
      </c>
      <c r="P136" s="14"/>
      <c r="Q136" s="14">
        <f>VLOOKUP($I136&amp;$F136&amp;$G136,装备属性表,装备属性计算表!AL$29,FALSE)</f>
        <v>5</v>
      </c>
      <c r="R136" s="14">
        <f ca="1">VLOOKUP(VLOOKUP($I136&amp;$F136&amp;$G136,装备属性表,装备属性计算表!AM$29,FALSE),定义数据!$B$13:$C$35,2,FALSE)</f>
        <v>1</v>
      </c>
      <c r="S136" s="14">
        <f ca="1">VLOOKUP($I136&amp;$F136&amp;$G136,装备属性表,装备属性计算表!AN$29,FALSE)</f>
        <v>6397.1396825979782</v>
      </c>
      <c r="T136" s="14">
        <f ca="1">VLOOKUP(VLOOKUP($I136&amp;$F136&amp;$G136,装备属性表,装备属性计算表!AO$29,FALSE),定义数据!$B$13:$C$35,2,FALSE)</f>
        <v>3</v>
      </c>
      <c r="U136" s="14">
        <f ca="1">VLOOKUP($I136&amp;$F136&amp;$G136,装备属性表,装备属性计算表!AP$29,FALSE)</f>
        <v>140.40852320277298</v>
      </c>
      <c r="V136" s="14">
        <f ca="1">VLOOKUP(VLOOKUP($I136&amp;$F136&amp;$G136,装备属性表,装备属性计算表!AQ$29,FALSE),定义数据!$B$13:$C$35,2,FALSE)</f>
        <v>1</v>
      </c>
      <c r="W136" s="14">
        <f ca="1">VLOOKUP($I136&amp;$F136&amp;$G136,装备属性表,装备属性计算表!AR$29,FALSE)</f>
        <v>1332.7374338745788</v>
      </c>
      <c r="X136" s="14">
        <f ca="1">VLOOKUP(VLOOKUP($I136&amp;$F136&amp;$G136,装备属性表,装备属性计算表!AS$29,FALSE),定义数据!$B$13:$C$35,2,FALSE)</f>
        <v>3</v>
      </c>
      <c r="Y136" s="14">
        <f ca="1">VLOOKUP($I136&amp;$F136&amp;$G136,装备属性表,装备属性计算表!AT$29,FALSE)</f>
        <v>43.877663500866561</v>
      </c>
      <c r="Z136" s="14">
        <f ca="1">VLOOKUP(VLOOKUP($I136&amp;$F136&amp;$G136,装备属性表,装备属性计算表!AU$29,FALSE),定义数据!$B$13:$C$35,2,FALSE)</f>
        <v>7</v>
      </c>
      <c r="AA136" s="14">
        <f ca="1">VLOOKUP($I136&amp;$F136&amp;$G136,装备属性表,装备属性计算表!AV$29,FALSE)</f>
        <v>31.875</v>
      </c>
      <c r="AB136" s="14">
        <f ca="1">VLOOKUP(VLOOKUP($I136&amp;$F136&amp;$G136,装备属性表,装备属性计算表!AW$29,FALSE),定义数据!$B$13:$C$35,2,FALSE)</f>
        <v>0</v>
      </c>
      <c r="AC136" s="14">
        <f>VLOOKUP($I136&amp;$F136&amp;$G136,装备属性表,装备属性计算表!AX$29,FALSE)</f>
        <v>0</v>
      </c>
      <c r="AD136" s="14">
        <f ca="1">VLOOKUP(VLOOKUP($I136&amp;$F136&amp;$G136,装备属性表,装备属性计算表!AY$29,FALSE),定义数据!$B$13:$C$35,2,FALSE)</f>
        <v>0</v>
      </c>
      <c r="AE136" s="14">
        <f>VLOOKUP($I136&amp;$F136&amp;$G136,装备属性表,装备属性计算表!AZ$29,FALSE)</f>
        <v>0</v>
      </c>
      <c r="AF136" s="14">
        <f ca="1">VLOOKUP(VLOOKUP($I136&amp;$F136&amp;$G136,装备属性表,装备属性计算表!BA$29,FALSE),定义数据!$B$13:$C$35,2,FALSE)</f>
        <v>0</v>
      </c>
      <c r="AG136" s="14">
        <f>VLOOKUP($I136&amp;$F136&amp;$G136,装备属性表,装备属性计算表!BB$29,FALSE)</f>
        <v>0</v>
      </c>
      <c r="AH136" s="14">
        <f ca="1">VLOOKUP(VLOOKUP($I136&amp;$F136&amp;$G136,装备属性表,装备属性计算表!BC$29,FALSE),定义数据!$B$13:$C$35,2,FALSE)</f>
        <v>0</v>
      </c>
      <c r="AI136" s="14">
        <f>VLOOKUP($I136&amp;$F136&amp;$G136,装备属性表,装备属性计算表!BD$29,FALSE)</f>
        <v>0</v>
      </c>
      <c r="AJ136" s="14">
        <f ca="1">VLOOKUP(VLOOKUP($I136&amp;$F136&amp;$G136,装备属性表,装备属性计算表!BE$29,FALSE),定义数据!$B$13:$C$35,2,FALSE)</f>
        <v>0</v>
      </c>
      <c r="AK136" s="14">
        <f>VLOOKUP($I136&amp;$F136&amp;$G136,装备属性表,装备属性计算表!BF$29,FALSE)</f>
        <v>0</v>
      </c>
      <c r="AL136" t="str">
        <f t="shared" si="37"/>
        <v>霸道战衣是一件60级橙色可升级的装备。</v>
      </c>
      <c r="AM136" t="str">
        <f>IF(D136=0,5,D136) &amp; F136&amp;"00"&amp;VLOOKUP(G136,定义数据!$F$20:$G$27,2,FALSE)&amp;".png"</f>
        <v>51005.png</v>
      </c>
      <c r="AN136" s="79">
        <f>IF(OR(G136&lt;15),0,D_装备升级表!A136)</f>
        <v>60031</v>
      </c>
      <c r="AP136">
        <f ca="1">VLOOKUP(G136&amp;I136&amp;F136,CHOOSE({1,2},装备属性计算表!$BK$32:$BK$187,装备属性计算表!$BJ$32:$BJ$187),2,FALSE)</f>
        <v>509.98543802920847</v>
      </c>
      <c r="AQ136">
        <f ca="1">AP136*'[1]0、经济设定'!$C$18</f>
        <v>25499.271901460423</v>
      </c>
      <c r="AR136">
        <f ca="1">IFERROR(AQ136*'[1]0、经济设定'!$E$19*AU136*AS136,0)</f>
        <v>2995.8419806499032</v>
      </c>
      <c r="AS136">
        <v>10</v>
      </c>
      <c r="AT136">
        <f t="shared" si="42"/>
        <v>360</v>
      </c>
      <c r="AU136">
        <f ca="1">IF(F136=0,IFERROR(AT136/AP136/'[1]0、经济设定'!$E$18,0),AU135)</f>
        <v>5.8743676921973647</v>
      </c>
      <c r="AV136">
        <f t="shared" ca="1" si="39"/>
        <v>20399.41752116834</v>
      </c>
    </row>
    <row r="137" spans="1:48" x14ac:dyDescent="0.15">
      <c r="A137" s="14" t="str">
        <f t="shared" si="44"/>
        <v>52318</v>
      </c>
      <c r="B137" s="14" t="s">
        <v>581</v>
      </c>
      <c r="C137" s="14">
        <f>VLOOKUP($I137&amp;$F137&amp;$G137,装备属性表,装备属性计算表!AK$29,FALSE)</f>
        <v>18</v>
      </c>
      <c r="D137" s="14">
        <f t="shared" si="18"/>
        <v>0</v>
      </c>
      <c r="E137" s="14" t="str">
        <f>VLOOKUP(F137,CHOOSE({1,2},定义数据!$F$2:$F$7,武器部位),2)</f>
        <v>裤子</v>
      </c>
      <c r="F137" s="14">
        <v>2</v>
      </c>
      <c r="G137" s="14">
        <f>装备属性计算表!D130</f>
        <v>60</v>
      </c>
      <c r="H137" s="14">
        <f t="shared" si="45"/>
        <v>60</v>
      </c>
      <c r="I137" s="14">
        <v>3</v>
      </c>
      <c r="J137" s="14" t="str">
        <f t="shared" si="46"/>
        <v>6032</v>
      </c>
      <c r="K137" s="14" t="str">
        <f t="shared" si="47"/>
        <v>6032</v>
      </c>
      <c r="L137" s="76"/>
      <c r="M137" s="14">
        <f>IF(OR(G137&lt;15,G137=80),0,D_装备升级表!A137)</f>
        <v>60032</v>
      </c>
      <c r="N137" s="78">
        <v>1</v>
      </c>
      <c r="O137" s="14">
        <f t="shared" si="36"/>
        <v>1800</v>
      </c>
      <c r="P137" s="14"/>
      <c r="Q137" s="14">
        <f>VLOOKUP($I137&amp;$F137&amp;$G137,装备属性表,装备属性计算表!AL$29,FALSE)</f>
        <v>5</v>
      </c>
      <c r="R137" s="14">
        <f ca="1">VLOOKUP(VLOOKUP($I137&amp;$F137&amp;$G137,装备属性表,装备属性计算表!AM$29,FALSE),定义数据!$B$13:$C$35,2,FALSE)</f>
        <v>3</v>
      </c>
      <c r="S137" s="14">
        <f ca="1">VLOOKUP($I137&amp;$F137&amp;$G137,装备属性表,装备属性计算表!AN$29,FALSE)</f>
        <v>93.605682135181993</v>
      </c>
      <c r="T137" s="14">
        <f ca="1">VLOOKUP(VLOOKUP($I137&amp;$F137&amp;$G137,装备属性表,装备属性计算表!AO$29,FALSE),定义数据!$B$13:$C$35,2,FALSE)</f>
        <v>7</v>
      </c>
      <c r="U137" s="14">
        <f ca="1">VLOOKUP($I137&amp;$F137&amp;$G137,装备属性表,装备属性计算表!AP$29,FALSE)</f>
        <v>141.66666666666663</v>
      </c>
      <c r="V137" s="14">
        <f ca="1">VLOOKUP(VLOOKUP($I137&amp;$F137&amp;$G137,装备属性表,装备属性计算表!AQ$29,FALSE),定义数据!$B$13:$C$35,2,FALSE)</f>
        <v>1</v>
      </c>
      <c r="W137" s="14">
        <f ca="1">VLOOKUP($I137&amp;$F137&amp;$G137,装备属性表,装备属性计算表!AR$29,FALSE)</f>
        <v>666.36871693728938</v>
      </c>
      <c r="X137" s="14">
        <f ca="1">VLOOKUP(VLOOKUP($I137&amp;$F137&amp;$G137,装备属性表,装备属性计算表!AS$29,FALSE),定义数据!$B$13:$C$35,2,FALSE)</f>
        <v>3</v>
      </c>
      <c r="Y137" s="14">
        <f ca="1">VLOOKUP($I137&amp;$F137&amp;$G137,装备属性表,装备属性计算表!AT$29,FALSE)</f>
        <v>14.625887833622185</v>
      </c>
      <c r="Z137" s="14">
        <f ca="1">VLOOKUP(VLOOKUP($I137&amp;$F137&amp;$G137,装备属性表,装备属性计算表!AU$29,FALSE),定义数据!$B$13:$C$35,2,FALSE)</f>
        <v>7</v>
      </c>
      <c r="AA137" s="14">
        <f ca="1">VLOOKUP($I137&amp;$F137&amp;$G137,装备属性表,装备属性计算表!AV$29,FALSE)</f>
        <v>31.875</v>
      </c>
      <c r="AB137" s="14">
        <f ca="1">VLOOKUP(VLOOKUP($I137&amp;$F137&amp;$G137,装备属性表,装备属性计算表!AW$29,FALSE),定义数据!$B$13:$C$35,2,FALSE)</f>
        <v>0</v>
      </c>
      <c r="AC137" s="14">
        <f>VLOOKUP($I137&amp;$F137&amp;$G137,装备属性表,装备属性计算表!AX$29,FALSE)</f>
        <v>0</v>
      </c>
      <c r="AD137" s="14">
        <f ca="1">VLOOKUP(VLOOKUP($I137&amp;$F137&amp;$G137,装备属性表,装备属性计算表!AY$29,FALSE),定义数据!$B$13:$C$35,2,FALSE)</f>
        <v>0</v>
      </c>
      <c r="AE137" s="14">
        <f>VLOOKUP($I137&amp;$F137&amp;$G137,装备属性表,装备属性计算表!AZ$29,FALSE)</f>
        <v>0</v>
      </c>
      <c r="AF137" s="14">
        <f ca="1">VLOOKUP(VLOOKUP($I137&amp;$F137&amp;$G137,装备属性表,装备属性计算表!BA$29,FALSE),定义数据!$B$13:$C$35,2,FALSE)</f>
        <v>0</v>
      </c>
      <c r="AG137" s="14">
        <f>VLOOKUP($I137&amp;$F137&amp;$G137,装备属性表,装备属性计算表!BB$29,FALSE)</f>
        <v>0</v>
      </c>
      <c r="AH137" s="14">
        <f ca="1">VLOOKUP(VLOOKUP($I137&amp;$F137&amp;$G137,装备属性表,装备属性计算表!BC$29,FALSE),定义数据!$B$13:$C$35,2,FALSE)</f>
        <v>0</v>
      </c>
      <c r="AI137" s="14">
        <f>VLOOKUP($I137&amp;$F137&amp;$G137,装备属性表,装备属性计算表!BD$29,FALSE)</f>
        <v>0</v>
      </c>
      <c r="AJ137" s="14">
        <f ca="1">VLOOKUP(VLOOKUP($I137&amp;$F137&amp;$G137,装备属性表,装备属性计算表!BE$29,FALSE),定义数据!$B$13:$C$35,2,FALSE)</f>
        <v>0</v>
      </c>
      <c r="AK137" s="14">
        <f>VLOOKUP($I137&amp;$F137&amp;$G137,装备属性表,装备属性计算表!BF$29,FALSE)</f>
        <v>0</v>
      </c>
      <c r="AL137" t="str">
        <f t="shared" si="37"/>
        <v>霸道长裤是一件60级橙色可升级的装备。</v>
      </c>
      <c r="AM137" t="str">
        <f>IF(D137=0,5,D137) &amp; F137&amp;"00"&amp;VLOOKUP(G137,定义数据!$F$20:$G$27,2,FALSE)&amp;".png"</f>
        <v>52005.png</v>
      </c>
      <c r="AN137" s="79">
        <f>IF(OR(G137&lt;15),0,D_装备升级表!A137)</f>
        <v>60032</v>
      </c>
      <c r="AP137">
        <f ca="1">VLOOKUP(G137&amp;I137&amp;F137,CHOOSE({1,2},装备属性计算表!$BK$32:$BK$187,装备属性计算表!$BJ$32:$BJ$187),2,FALSE)</f>
        <v>199.55715197962905</v>
      </c>
      <c r="AQ137">
        <f ca="1">AP137*'[1]0、经济设定'!$C$18</f>
        <v>9977.8575989814526</v>
      </c>
      <c r="AR137">
        <f ca="1">IFERROR(AQ137*'[1]0、经济设定'!$E$19*AU137*AS137,0)</f>
        <v>1172.2720863360523</v>
      </c>
      <c r="AS137">
        <v>10</v>
      </c>
      <c r="AT137">
        <f t="shared" si="42"/>
        <v>360</v>
      </c>
      <c r="AU137">
        <f ca="1">IF(F137=0,IFERROR(AT137/AP137/'[1]0、经济设定'!$E$18,0),AU136)</f>
        <v>5.8743676921973647</v>
      </c>
      <c r="AV137">
        <f t="shared" ca="1" si="39"/>
        <v>7982.2860791851617</v>
      </c>
    </row>
    <row r="138" spans="1:48" x14ac:dyDescent="0.15">
      <c r="A138" s="14" t="str">
        <f t="shared" si="44"/>
        <v>55318</v>
      </c>
      <c r="B138" s="14" t="s">
        <v>582</v>
      </c>
      <c r="C138" s="14">
        <f>VLOOKUP($I138&amp;$F138&amp;$G138,装备属性表,装备属性计算表!AK$29,FALSE)</f>
        <v>18</v>
      </c>
      <c r="D138" s="14">
        <f t="shared" si="18"/>
        <v>0</v>
      </c>
      <c r="E138" s="14" t="str">
        <f>VLOOKUP(F138,CHOOSE({1,2},定义数据!$F$2:$F$7,武器部位),2)</f>
        <v>鞋子</v>
      </c>
      <c r="F138" s="14">
        <v>5</v>
      </c>
      <c r="G138" s="14">
        <f>装备属性计算表!D131</f>
        <v>60</v>
      </c>
      <c r="H138" s="14">
        <f t="shared" si="45"/>
        <v>60</v>
      </c>
      <c r="I138" s="14">
        <v>3</v>
      </c>
      <c r="J138" s="14" t="str">
        <f t="shared" si="46"/>
        <v>6035</v>
      </c>
      <c r="K138" s="14" t="str">
        <f t="shared" si="47"/>
        <v>6035</v>
      </c>
      <c r="L138" s="76"/>
      <c r="M138" s="14">
        <f>IF(OR(G138&lt;15,G138=80),0,D_装备升级表!A138)</f>
        <v>60035</v>
      </c>
      <c r="N138" s="78">
        <v>1</v>
      </c>
      <c r="O138" s="14">
        <f t="shared" si="36"/>
        <v>1800</v>
      </c>
      <c r="P138" s="14"/>
      <c r="Q138" s="14">
        <f>VLOOKUP($I138&amp;$F138&amp;$G138,装备属性表,装备属性计算表!AL$29,FALSE)</f>
        <v>5</v>
      </c>
      <c r="R138" s="14">
        <f ca="1">VLOOKUP(VLOOKUP($I138&amp;$F138&amp;$G138,装备属性表,装备属性计算表!AM$29,FALSE),定义数据!$B$13:$C$35,2,FALSE)</f>
        <v>1</v>
      </c>
      <c r="S138" s="14">
        <f ca="1">VLOOKUP($I138&amp;$F138&amp;$G138,装备属性表,装备属性计算表!AN$29,FALSE)</f>
        <v>2132.3798941993259</v>
      </c>
      <c r="T138" s="14">
        <f ca="1">VLOOKUP(VLOOKUP($I138&amp;$F138&amp;$G138,装备属性表,装备属性计算表!AO$29,FALSE),定义数据!$B$13:$C$35,2,FALSE)</f>
        <v>7</v>
      </c>
      <c r="U138" s="14">
        <f ca="1">VLOOKUP($I138&amp;$F138&amp;$G138,装备属性表,装备属性计算表!AP$29,FALSE)</f>
        <v>283.33333333333326</v>
      </c>
      <c r="V138" s="14">
        <f ca="1">VLOOKUP(VLOOKUP($I138&amp;$F138&amp;$G138,装备属性表,装备属性计算表!AQ$29,FALSE),定义数据!$B$13:$C$35,2,FALSE)</f>
        <v>1</v>
      </c>
      <c r="W138" s="14">
        <f ca="1">VLOOKUP($I138&amp;$F138&amp;$G138,装备属性表,装备属性计算表!AR$29,FALSE)</f>
        <v>666.36871693728938</v>
      </c>
      <c r="X138" s="14">
        <f ca="1">VLOOKUP(VLOOKUP($I138&amp;$F138&amp;$G138,装备属性表,装备属性计算表!AS$29,FALSE),定义数据!$B$13:$C$35,2,FALSE)</f>
        <v>7</v>
      </c>
      <c r="Y138" s="14">
        <f ca="1">VLOOKUP($I138&amp;$F138&amp;$G138,装备属性表,装备属性计算表!AT$29,FALSE)</f>
        <v>63.75</v>
      </c>
      <c r="Z138" s="14">
        <f ca="1">VLOOKUP(VLOOKUP($I138&amp;$F138&amp;$G138,装备属性表,装备属性计算表!AU$29,FALSE),定义数据!$B$13:$C$35,2,FALSE)</f>
        <v>6</v>
      </c>
      <c r="AA138" s="14">
        <f ca="1">VLOOKUP($I138&amp;$F138&amp;$G138,装备属性表,装备属性计算表!AV$29,FALSE)</f>
        <v>53.124999999999993</v>
      </c>
      <c r="AB138" s="14">
        <f ca="1">VLOOKUP(VLOOKUP($I138&amp;$F138&amp;$G138,装备属性表,装备属性计算表!AW$29,FALSE),定义数据!$B$13:$C$35,2,FALSE)</f>
        <v>0</v>
      </c>
      <c r="AC138" s="14">
        <f>VLOOKUP($I138&amp;$F138&amp;$G138,装备属性表,装备属性计算表!AX$29,FALSE)</f>
        <v>0</v>
      </c>
      <c r="AD138" s="14">
        <f ca="1">VLOOKUP(VLOOKUP($I138&amp;$F138&amp;$G138,装备属性表,装备属性计算表!AY$29,FALSE),定义数据!$B$13:$C$35,2,FALSE)</f>
        <v>0</v>
      </c>
      <c r="AE138" s="14">
        <f>VLOOKUP($I138&amp;$F138&amp;$G138,装备属性表,装备属性计算表!AZ$29,FALSE)</f>
        <v>0</v>
      </c>
      <c r="AF138" s="14">
        <f ca="1">VLOOKUP(VLOOKUP($I138&amp;$F138&amp;$G138,装备属性表,装备属性计算表!BA$29,FALSE),定义数据!$B$13:$C$35,2,FALSE)</f>
        <v>0</v>
      </c>
      <c r="AG138" s="14">
        <f>VLOOKUP($I138&amp;$F138&amp;$G138,装备属性表,装备属性计算表!BB$29,FALSE)</f>
        <v>0</v>
      </c>
      <c r="AH138" s="14">
        <f ca="1">VLOOKUP(VLOOKUP($I138&amp;$F138&amp;$G138,装备属性表,装备属性计算表!BC$29,FALSE),定义数据!$B$13:$C$35,2,FALSE)</f>
        <v>0</v>
      </c>
      <c r="AI138" s="14">
        <f>VLOOKUP($I138&amp;$F138&amp;$G138,装备属性表,装备属性计算表!BD$29,FALSE)</f>
        <v>0</v>
      </c>
      <c r="AJ138" s="14">
        <f ca="1">VLOOKUP(VLOOKUP($I138&amp;$F138&amp;$G138,装备属性表,装备属性计算表!BE$29,FALSE),定义数据!$B$13:$C$35,2,FALSE)</f>
        <v>0</v>
      </c>
      <c r="AK138" s="14">
        <f>VLOOKUP($I138&amp;$F138&amp;$G138,装备属性表,装备属性计算表!BF$29,FALSE)</f>
        <v>0</v>
      </c>
      <c r="AL138" t="str">
        <f t="shared" si="37"/>
        <v>霸道长靴是一件60级橙色可升级的装备。</v>
      </c>
      <c r="AM138" t="str">
        <f>IF(D138=0,5,D138) &amp; F138&amp;"00"&amp;VLOOKUP(G138,定义数据!$F$20:$G$27,2,FALSE)&amp;".png"</f>
        <v>55005.png</v>
      </c>
      <c r="AN138" s="79">
        <f>IF(OR(G138&lt;15),0,D_装备升级表!A138)</f>
        <v>60035</v>
      </c>
      <c r="AP138">
        <f ca="1">VLOOKUP(G138&amp;I138&amp;F138,CHOOSE({1,2},装备属性计算表!$BK$32:$BK$187,装备属性计算表!$BJ$32:$BJ$187),2,FALSE)</f>
        <v>251.42077777879794</v>
      </c>
      <c r="AQ138">
        <f ca="1">AP138*'[1]0、经济设定'!$C$18</f>
        <v>12571.038888939896</v>
      </c>
      <c r="AR138">
        <f ca="1">IFERROR(AQ138*'[1]0、经济设定'!$E$19*AU138*AS138,0)</f>
        <v>1476.9380941309037</v>
      </c>
      <c r="AS138">
        <v>10</v>
      </c>
      <c r="AT138">
        <f t="shared" si="42"/>
        <v>360</v>
      </c>
      <c r="AU138">
        <f ca="1">IF(F138=0,IFERROR(AT138/AP138/'[1]0、经济设定'!$E$18,0),AU137)</f>
        <v>5.8743676921973647</v>
      </c>
      <c r="AV138">
        <f t="shared" ca="1" si="39"/>
        <v>10056.831111151918</v>
      </c>
    </row>
    <row r="139" spans="1:48" x14ac:dyDescent="0.15">
      <c r="A139" s="14" t="str">
        <f t="shared" si="44"/>
        <v>54318</v>
      </c>
      <c r="B139" s="14" t="s">
        <v>583</v>
      </c>
      <c r="C139" s="14">
        <f>VLOOKUP($I139&amp;$F139&amp;$G139,装备属性表,装备属性计算表!AK$29,FALSE)</f>
        <v>18</v>
      </c>
      <c r="D139" s="14">
        <f t="shared" si="18"/>
        <v>0</v>
      </c>
      <c r="E139" s="14" t="str">
        <f>VLOOKUP(F139,CHOOSE({1,2},定义数据!$F$2:$F$7,武器部位),2)</f>
        <v>腰带</v>
      </c>
      <c r="F139" s="14">
        <v>4</v>
      </c>
      <c r="G139" s="14">
        <f>装备属性计算表!D132</f>
        <v>60</v>
      </c>
      <c r="H139" s="14">
        <f t="shared" si="45"/>
        <v>60</v>
      </c>
      <c r="I139" s="14">
        <v>3</v>
      </c>
      <c r="J139" s="14" t="str">
        <f t="shared" si="46"/>
        <v>6034</v>
      </c>
      <c r="K139" s="14" t="str">
        <f t="shared" si="47"/>
        <v>6034</v>
      </c>
      <c r="L139" s="76"/>
      <c r="M139" s="14">
        <f>IF(OR(G139&lt;15,G139=80),0,D_装备升级表!A139)</f>
        <v>60034</v>
      </c>
      <c r="N139" s="78">
        <v>1</v>
      </c>
      <c r="O139" s="14">
        <f t="shared" si="36"/>
        <v>1800</v>
      </c>
      <c r="P139" s="14"/>
      <c r="Q139" s="14">
        <f>VLOOKUP($I139&amp;$F139&amp;$G139,装备属性表,装备属性计算表!AL$29,FALSE)</f>
        <v>5</v>
      </c>
      <c r="R139" s="14">
        <f ca="1">VLOOKUP(VLOOKUP($I139&amp;$F139&amp;$G139,装备属性表,装备属性计算表!AM$29,FALSE),定义数据!$B$13:$C$35,2,FALSE)</f>
        <v>1</v>
      </c>
      <c r="S139" s="14">
        <f ca="1">VLOOKUP($I139&amp;$F139&amp;$G139,装备属性表,装备属性计算表!AN$29,FALSE)</f>
        <v>2132.3798941993259</v>
      </c>
      <c r="T139" s="14">
        <f ca="1">VLOOKUP(VLOOKUP($I139&amp;$F139&amp;$G139,装备属性表,装备属性计算表!AO$29,FALSE),定义数据!$B$13:$C$35,2,FALSE)</f>
        <v>9</v>
      </c>
      <c r="U139" s="14">
        <f ca="1">VLOOKUP($I139&amp;$F139&amp;$G139,装备属性表,装备属性计算表!AP$29,FALSE)</f>
        <v>251.85185185185185</v>
      </c>
      <c r="V139" s="14">
        <f ca="1">VLOOKUP(VLOOKUP($I139&amp;$F139&amp;$G139,装备属性表,装备属性计算表!AQ$29,FALSE),定义数据!$B$13:$C$35,2,FALSE)</f>
        <v>1</v>
      </c>
      <c r="W139" s="14">
        <f ca="1">VLOOKUP($I139&amp;$F139&amp;$G139,装备属性表,装备属性计算表!AR$29,FALSE)</f>
        <v>1332.7374338745788</v>
      </c>
      <c r="X139" s="14">
        <f ca="1">VLOOKUP(VLOOKUP($I139&amp;$F139&amp;$G139,装备属性表,装备属性计算表!AS$29,FALSE),定义数据!$B$13:$C$35,2,FALSE)</f>
        <v>2</v>
      </c>
      <c r="Y139" s="14">
        <f ca="1">VLOOKUP($I139&amp;$F139&amp;$G139,装备属性表,装备属性计算表!AT$29,FALSE)</f>
        <v>40.616168727272743</v>
      </c>
      <c r="Z139" s="14">
        <f ca="1">VLOOKUP(VLOOKUP($I139&amp;$F139&amp;$G139,装备属性表,装备属性计算表!AU$29,FALSE),定义数据!$B$13:$C$35,2,FALSE)</f>
        <v>3</v>
      </c>
      <c r="AA139" s="14">
        <f ca="1">VLOOKUP($I139&amp;$F139&amp;$G139,装备属性表,装备属性计算表!AV$29,FALSE)</f>
        <v>14.625887833622185</v>
      </c>
      <c r="AB139" s="14">
        <f ca="1">VLOOKUP(VLOOKUP($I139&amp;$F139&amp;$G139,装备属性表,装备属性计算表!AW$29,FALSE),定义数据!$B$13:$C$35,2,FALSE)</f>
        <v>0</v>
      </c>
      <c r="AC139" s="14">
        <f>VLOOKUP($I139&amp;$F139&amp;$G139,装备属性表,装备属性计算表!AX$29,FALSE)</f>
        <v>0</v>
      </c>
      <c r="AD139" s="14">
        <f ca="1">VLOOKUP(VLOOKUP($I139&amp;$F139&amp;$G139,装备属性表,装备属性计算表!AY$29,FALSE),定义数据!$B$13:$C$35,2,FALSE)</f>
        <v>0</v>
      </c>
      <c r="AE139" s="14">
        <f>VLOOKUP($I139&amp;$F139&amp;$G139,装备属性表,装备属性计算表!AZ$29,FALSE)</f>
        <v>0</v>
      </c>
      <c r="AF139" s="14">
        <f ca="1">VLOOKUP(VLOOKUP($I139&amp;$F139&amp;$G139,装备属性表,装备属性计算表!BA$29,FALSE),定义数据!$B$13:$C$35,2,FALSE)</f>
        <v>0</v>
      </c>
      <c r="AG139" s="14">
        <f>VLOOKUP($I139&amp;$F139&amp;$G139,装备属性表,装备属性计算表!BB$29,FALSE)</f>
        <v>0</v>
      </c>
      <c r="AH139" s="14">
        <f ca="1">VLOOKUP(VLOOKUP($I139&amp;$F139&amp;$G139,装备属性表,装备属性计算表!BC$29,FALSE),定义数据!$B$13:$C$35,2,FALSE)</f>
        <v>0</v>
      </c>
      <c r="AI139" s="14">
        <f>VLOOKUP($I139&amp;$F139&amp;$G139,装备属性表,装备属性计算表!BD$29,FALSE)</f>
        <v>0</v>
      </c>
      <c r="AJ139" s="14">
        <f ca="1">VLOOKUP(VLOOKUP($I139&amp;$F139&amp;$G139,装备属性表,装备属性计算表!BE$29,FALSE),定义数据!$B$13:$C$35,2,FALSE)</f>
        <v>0</v>
      </c>
      <c r="AK139" s="14">
        <f>VLOOKUP($I139&amp;$F139&amp;$G139,装备属性表,装备属性计算表!BF$29,FALSE)</f>
        <v>0</v>
      </c>
      <c r="AL139" t="str">
        <f t="shared" si="37"/>
        <v>霸道腰带是一件60级橙色可升级的装备。</v>
      </c>
      <c r="AM139" t="str">
        <f>IF(D139=0,5,D139) &amp; F139&amp;"00"&amp;VLOOKUP(G139,定义数据!$F$20:$G$27,2,FALSE)&amp;".png"</f>
        <v>54005.png</v>
      </c>
      <c r="AN139" s="79">
        <f>IF(OR(G139&lt;15),0,D_装备升级表!A139)</f>
        <v>60034</v>
      </c>
      <c r="AP139">
        <f ca="1">VLOOKUP(G139&amp;I139&amp;F139,CHOOSE({1,2},装备属性计算表!$BK$32:$BK$187,装备属性计算表!$BJ$32:$BJ$187),2,FALSE)</f>
        <v>244.8467496838511</v>
      </c>
      <c r="AQ139">
        <f ca="1">AP139*'[1]0、经济设定'!$C$18</f>
        <v>12242.337484192554</v>
      </c>
      <c r="AR139">
        <f ca="1">IFERROR(AQ139*'[1]0、经济设定'!$E$19*AU139*AS139,0)</f>
        <v>1438.3198358823502</v>
      </c>
      <c r="AS139">
        <v>10</v>
      </c>
      <c r="AT139">
        <f t="shared" si="42"/>
        <v>360</v>
      </c>
      <c r="AU139">
        <f ca="1">IF(F139=0,IFERROR(AT139/AP139/'[1]0、经济设定'!$E$18,0),AU138)</f>
        <v>5.8743676921973647</v>
      </c>
      <c r="AV139">
        <f t="shared" ca="1" si="39"/>
        <v>9793.8699873540445</v>
      </c>
    </row>
    <row r="140" spans="1:48" x14ac:dyDescent="0.15">
      <c r="A140" s="14" t="str">
        <f t="shared" si="44"/>
        <v>53318</v>
      </c>
      <c r="B140" s="14" t="s">
        <v>584</v>
      </c>
      <c r="C140" s="14">
        <f>VLOOKUP($I140&amp;$F140&amp;$G140,装备属性表,装备属性计算表!AK$29,FALSE)</f>
        <v>18</v>
      </c>
      <c r="D140" s="14">
        <f t="shared" si="18"/>
        <v>0</v>
      </c>
      <c r="E140" s="14" t="str">
        <f>VLOOKUP(F140,CHOOSE({1,2},定义数据!$F$2:$F$7,武器部位),2)</f>
        <v>项链</v>
      </c>
      <c r="F140" s="14">
        <v>3</v>
      </c>
      <c r="G140" s="14">
        <f>装备属性计算表!D133</f>
        <v>60</v>
      </c>
      <c r="H140" s="14">
        <f t="shared" si="45"/>
        <v>60</v>
      </c>
      <c r="I140" s="14">
        <v>3</v>
      </c>
      <c r="J140" s="14" t="str">
        <f t="shared" si="46"/>
        <v>6033</v>
      </c>
      <c r="K140" s="14" t="str">
        <f t="shared" si="47"/>
        <v>6033</v>
      </c>
      <c r="L140" s="76"/>
      <c r="M140" s="14">
        <f>IF(OR(G140&lt;15,G140=80),0,D_装备升级表!A140)</f>
        <v>60033</v>
      </c>
      <c r="N140" s="78">
        <v>1</v>
      </c>
      <c r="O140" s="14">
        <f t="shared" si="36"/>
        <v>1800</v>
      </c>
      <c r="P140" s="14"/>
      <c r="Q140" s="14">
        <f>VLOOKUP($I140&amp;$F140&amp;$G140,装备属性表,装备属性计算表!AL$29,FALSE)</f>
        <v>5</v>
      </c>
      <c r="R140" s="14">
        <f ca="1">VLOOKUP(VLOOKUP($I140&amp;$F140&amp;$G140,装备属性表,装备属性计算表!AM$29,FALSE),定义数据!$B$13:$C$35,2,FALSE)</f>
        <v>2</v>
      </c>
      <c r="S140" s="14">
        <f ca="1">VLOOKUP($I140&amp;$F140&amp;$G140,装备属性表,装备属性计算表!AN$29,FALSE)</f>
        <v>135.38722909090913</v>
      </c>
      <c r="T140" s="14">
        <f ca="1">VLOOKUP(VLOOKUP($I140&amp;$F140&amp;$G140,装备属性表,装备属性计算表!AO$29,FALSE),定义数据!$B$13:$C$35,2,FALSE)</f>
        <v>6</v>
      </c>
      <c r="U140" s="14">
        <f ca="1">VLOOKUP($I140&amp;$F140&amp;$G140,装备属性表,装备属性计算表!AP$29,FALSE)</f>
        <v>424.99999999999994</v>
      </c>
      <c r="V140" s="14">
        <f ca="1">VLOOKUP(VLOOKUP($I140&amp;$F140&amp;$G140,装备属性表,装备属性计算表!AQ$29,FALSE),定义数据!$B$13:$C$35,2,FALSE)</f>
        <v>2</v>
      </c>
      <c r="W140" s="14">
        <f ca="1">VLOOKUP($I140&amp;$F140&amp;$G140,装备属性表,装备属性计算表!AR$29,FALSE)</f>
        <v>40.616168727272743</v>
      </c>
      <c r="X140" s="14">
        <f ca="1">VLOOKUP(VLOOKUP($I140&amp;$F140&amp;$G140,装备属性表,装备属性计算表!AS$29,FALSE),定义数据!$B$13:$C$35,2,FALSE)</f>
        <v>7</v>
      </c>
      <c r="Y140" s="14">
        <f ca="1">VLOOKUP($I140&amp;$F140&amp;$G140,装备属性表,装备属性计算表!AT$29,FALSE)</f>
        <v>31.875</v>
      </c>
      <c r="Z140" s="14">
        <f ca="1">VLOOKUP(VLOOKUP($I140&amp;$F140&amp;$G140,装备属性表,装备属性计算表!AU$29,FALSE),定义数据!$B$13:$C$35,2,FALSE)</f>
        <v>6</v>
      </c>
      <c r="AA140" s="14">
        <f ca="1">VLOOKUP($I140&amp;$F140&amp;$G140,装备属性表,装备属性计算表!AV$29,FALSE)</f>
        <v>53.124999999999993</v>
      </c>
      <c r="AB140" s="14">
        <f ca="1">VLOOKUP(VLOOKUP($I140&amp;$F140&amp;$G140,装备属性表,装备属性计算表!AW$29,FALSE),定义数据!$B$13:$C$35,2,FALSE)</f>
        <v>0</v>
      </c>
      <c r="AC140" s="14">
        <f>VLOOKUP($I140&amp;$F140&amp;$G140,装备属性表,装备属性计算表!AX$29,FALSE)</f>
        <v>0</v>
      </c>
      <c r="AD140" s="14">
        <f ca="1">VLOOKUP(VLOOKUP($I140&amp;$F140&amp;$G140,装备属性表,装备属性计算表!AY$29,FALSE),定义数据!$B$13:$C$35,2,FALSE)</f>
        <v>0</v>
      </c>
      <c r="AE140" s="14">
        <f>VLOOKUP($I140&amp;$F140&amp;$G140,装备属性表,装备属性计算表!AZ$29,FALSE)</f>
        <v>0</v>
      </c>
      <c r="AF140" s="14">
        <f ca="1">VLOOKUP(VLOOKUP($I140&amp;$F140&amp;$G140,装备属性表,装备属性计算表!BA$29,FALSE),定义数据!$B$13:$C$35,2,FALSE)</f>
        <v>0</v>
      </c>
      <c r="AG140" s="14">
        <f>VLOOKUP($I140&amp;$F140&amp;$G140,装备属性表,装备属性计算表!BB$29,FALSE)</f>
        <v>0</v>
      </c>
      <c r="AH140" s="14">
        <f ca="1">VLOOKUP(VLOOKUP($I140&amp;$F140&amp;$G140,装备属性表,装备属性计算表!BC$29,FALSE),定义数据!$B$13:$C$35,2,FALSE)</f>
        <v>0</v>
      </c>
      <c r="AI140" s="14">
        <f>VLOOKUP($I140&amp;$F140&amp;$G140,装备属性表,装备属性计算表!BD$29,FALSE)</f>
        <v>0</v>
      </c>
      <c r="AJ140" s="14">
        <f ca="1">VLOOKUP(VLOOKUP($I140&amp;$F140&amp;$G140,装备属性表,装备属性计算表!BE$29,FALSE),定义数据!$B$13:$C$35,2,FALSE)</f>
        <v>0</v>
      </c>
      <c r="AK140" s="14">
        <f>VLOOKUP($I140&amp;$F140&amp;$G140,装备属性表,装备属性计算表!BF$29,FALSE)</f>
        <v>0</v>
      </c>
      <c r="AL140" t="str">
        <f t="shared" si="37"/>
        <v>霸道项链是一件60级橙色可升级的装备。</v>
      </c>
      <c r="AM140" t="str">
        <f>IF(D140=0,5,D140) &amp; F140&amp;"00"&amp;VLOOKUP(G140,定义数据!$F$20:$G$27,2,FALSE)&amp;".png"</f>
        <v>53005.png</v>
      </c>
      <c r="AN140" s="79">
        <f>IF(OR(G140&lt;15),0,D_装备升级表!A140)</f>
        <v>60033</v>
      </c>
      <c r="AP140">
        <f ca="1">VLOOKUP(G140&amp;I140&amp;F140,CHOOSE({1,2},装备属性计算表!$BK$32:$BK$187,装备属性计算表!$BJ$32:$BJ$187),2,FALSE)</f>
        <v>356.20339781818188</v>
      </c>
      <c r="AQ140">
        <f ca="1">AP140*'[1]0、经济设定'!$C$18</f>
        <v>17810.169890909096</v>
      </c>
      <c r="AR140">
        <f ca="1">IFERROR(AQ140*'[1]0、经济设定'!$E$19*AU140*AS140,0)</f>
        <v>2092.4697319940528</v>
      </c>
      <c r="AS140">
        <v>10</v>
      </c>
      <c r="AT140">
        <f t="shared" si="42"/>
        <v>360</v>
      </c>
      <c r="AU140">
        <f ca="1">IF(F140=0,IFERROR(AT140/AP140/'[1]0、经济设定'!$E$18,0),AU139)</f>
        <v>5.8743676921973647</v>
      </c>
      <c r="AV140">
        <f t="shared" ca="1" si="39"/>
        <v>14248.135912727275</v>
      </c>
    </row>
    <row r="141" spans="1:48" x14ac:dyDescent="0.15">
      <c r="A141" s="14" t="str">
        <f t="shared" si="44"/>
        <v>10419</v>
      </c>
      <c r="B141" s="14" t="s">
        <v>218</v>
      </c>
      <c r="C141" s="14">
        <f>VLOOKUP($I141&amp;$F141&amp;$G141,装备属性表,装备属性计算表!AK$29,FALSE)</f>
        <v>19</v>
      </c>
      <c r="D141" s="14">
        <f t="shared" si="18"/>
        <v>1</v>
      </c>
      <c r="E141" s="14" t="str">
        <f>VLOOKUP(F141,CHOOSE({1,2},定义数据!$F$2:$F$7,武器部位),2)</f>
        <v>武器</v>
      </c>
      <c r="F141" s="14">
        <v>0</v>
      </c>
      <c r="G141" s="14">
        <v>60</v>
      </c>
      <c r="H141" s="14">
        <f t="shared" si="45"/>
        <v>60</v>
      </c>
      <c r="I141" s="14">
        <v>4</v>
      </c>
      <c r="J141" s="14" t="str">
        <f t="shared" si="46"/>
        <v>6040</v>
      </c>
      <c r="K141" s="14" t="str">
        <f t="shared" si="47"/>
        <v>6040</v>
      </c>
      <c r="L141" s="76"/>
      <c r="M141" s="14">
        <f>IF(OR(G141&lt;15,G141=80),0,D_装备升级表!A141)</f>
        <v>60140</v>
      </c>
      <c r="N141" s="78">
        <v>1</v>
      </c>
      <c r="O141" s="14">
        <f t="shared" si="36"/>
        <v>1900</v>
      </c>
      <c r="P141" s="14"/>
      <c r="Q141" s="14">
        <f>VLOOKUP($I141&amp;$F141&amp;$G141,装备属性表,装备属性计算表!AL$29,FALSE)</f>
        <v>6</v>
      </c>
      <c r="R141" s="14">
        <f ca="1">VLOOKUP(VLOOKUP($I141&amp;$F141&amp;$G141,装备属性表,装备属性计算表!AM$29,FALSE),定义数据!$B$13:$C$35,2,FALSE)</f>
        <v>2</v>
      </c>
      <c r="S141" s="14">
        <f ca="1">VLOOKUP($I141&amp;$F141&amp;$G141,装备属性表,装备属性计算表!AN$29,FALSE)</f>
        <v>418.10761925133698</v>
      </c>
      <c r="T141" s="14">
        <f ca="1">VLOOKUP(VLOOKUP($I141&amp;$F141&amp;$G141,装备属性表,装备属性计算表!AO$29,FALSE),定义数据!$B$13:$C$35,2,FALSE)</f>
        <v>8</v>
      </c>
      <c r="U141" s="14">
        <f ca="1">VLOOKUP($I141&amp;$F141&amp;$G141,装备属性表,装备属性计算表!AP$29,FALSE)</f>
        <v>259.25925925925924</v>
      </c>
      <c r="V141" s="14">
        <f ca="1">VLOOKUP(VLOOKUP($I141&amp;$F141&amp;$G141,装备属性表,装备属性计算表!AQ$29,FALSE),定义数据!$B$13:$C$35,2,FALSE)</f>
        <v>2</v>
      </c>
      <c r="W141" s="14">
        <f ca="1">VLOOKUP($I141&amp;$F141&amp;$G141,装备属性表,装备属性计算表!AR$29,FALSE)</f>
        <v>191.13491165775406</v>
      </c>
      <c r="X141" s="14">
        <f ca="1">VLOOKUP(VLOOKUP($I141&amp;$F141&amp;$G141,装备属性表,装备属性计算表!AS$29,FALSE),定义数据!$B$13:$C$35,2,FALSE)</f>
        <v>3</v>
      </c>
      <c r="Y141" s="14">
        <f ca="1">VLOOKUP($I141&amp;$F141&amp;$G141,装备属性表,装备属性计算表!AT$29,FALSE)</f>
        <v>22.942569150779896</v>
      </c>
      <c r="Z141" s="14">
        <f ca="1">VLOOKUP(VLOOKUP($I141&amp;$F141&amp;$G141,装备属性表,装备属性计算表!AU$29,FALSE),定义数据!$B$13:$C$35,2,FALSE)</f>
        <v>6</v>
      </c>
      <c r="AA141" s="14">
        <f ca="1">VLOOKUP($I141&amp;$F141&amp;$G141,装备属性表,装备属性计算表!AV$29,FALSE)</f>
        <v>83.333333333333314</v>
      </c>
      <c r="AB141" s="14">
        <f ca="1">VLOOKUP(VLOOKUP($I141&amp;$F141&amp;$G141,装备属性表,装备属性计算表!AW$29,FALSE),定义数据!$B$13:$C$35,2,FALSE)</f>
        <v>8</v>
      </c>
      <c r="AC141" s="14">
        <f ca="1">VLOOKUP($I141&amp;$F141&amp;$G141,装备属性表,装备属性计算表!AX$29,FALSE)</f>
        <v>59.259259259259267</v>
      </c>
      <c r="AD141" s="14">
        <f ca="1">VLOOKUP(VLOOKUP($I141&amp;$F141&amp;$G141,装备属性表,装备属性计算表!AY$29,FALSE),定义数据!$B$13:$C$35,2,FALSE)</f>
        <v>0</v>
      </c>
      <c r="AE141" s="14">
        <f>VLOOKUP($I141&amp;$F141&amp;$G141,装备属性表,装备属性计算表!AZ$29,FALSE)</f>
        <v>0</v>
      </c>
      <c r="AF141" s="14">
        <f ca="1">VLOOKUP(VLOOKUP($I141&amp;$F141&amp;$G141,装备属性表,装备属性计算表!BA$29,FALSE),定义数据!$B$13:$C$35,2,FALSE)</f>
        <v>0</v>
      </c>
      <c r="AG141" s="14">
        <f>VLOOKUP($I141&amp;$F141&amp;$G141,装备属性表,装备属性计算表!BB$29,FALSE)</f>
        <v>0</v>
      </c>
      <c r="AH141" s="14">
        <f ca="1">VLOOKUP(VLOOKUP($I141&amp;$F141&amp;$G141,装备属性表,装备属性计算表!BC$29,FALSE),定义数据!$B$13:$C$35,2,FALSE)</f>
        <v>0</v>
      </c>
      <c r="AI141" s="14">
        <f>VLOOKUP($I141&amp;$F141&amp;$G141,装备属性表,装备属性计算表!BD$29,FALSE)</f>
        <v>0</v>
      </c>
      <c r="AJ141" s="14">
        <f ca="1">VLOOKUP(VLOOKUP($I141&amp;$F141&amp;$G141,装备属性表,装备属性计算表!BE$29,FALSE),定义数据!$B$13:$C$35,2,FALSE)</f>
        <v>0</v>
      </c>
      <c r="AK141" s="14">
        <f>VLOOKUP($I141&amp;$F141&amp;$G141,装备属性表,装备属性计算表!BF$29,FALSE)</f>
        <v>0</v>
      </c>
      <c r="AL141" t="str">
        <f t="shared" si="37"/>
        <v>白虎霸刀是一件60级红色可升级的装备。</v>
      </c>
      <c r="AM141" t="str">
        <f>IF(D141=0,5,D141) &amp; F141&amp;"00"&amp;VLOOKUP(G141,定义数据!$F$20:$G$27,2,FALSE)&amp;".png"</f>
        <v>10005.png</v>
      </c>
      <c r="AN141" s="79">
        <f>IF(OR(G141&lt;15),0,D_装备升级表!A141)</f>
        <v>60140</v>
      </c>
      <c r="AP141">
        <f ca="1">VLOOKUP(G141&amp;I141&amp;F141,CHOOSE({1,2},装备属性计算表!$BK$32:$BK$187,装备属性计算表!$BJ$32:$BJ$187),2,FALSE)</f>
        <v>717.85176672653756</v>
      </c>
      <c r="AQ141">
        <f ca="1">AP141*'[1]0、经济设定'!$C$18</f>
        <v>35892.58833632688</v>
      </c>
      <c r="AR141">
        <f ca="1">IFERROR(AQ141*'[1]0、经济设定'!$E$19*AU141*AS141,0)</f>
        <v>6000</v>
      </c>
      <c r="AS141">
        <v>10</v>
      </c>
      <c r="AT141">
        <f t="shared" si="42"/>
        <v>600</v>
      </c>
      <c r="AU141">
        <f ca="1">IF(F141=0,IFERROR(AT141/AP141/'[1]0、经济设定'!$E$18,0),AU140)</f>
        <v>8.3582715514659629</v>
      </c>
      <c r="AV141">
        <f t="shared" ca="1" si="39"/>
        <v>28714.070669061504</v>
      </c>
    </row>
    <row r="142" spans="1:48" x14ac:dyDescent="0.15">
      <c r="A142" s="14" t="str">
        <f t="shared" si="44"/>
        <v>20419</v>
      </c>
      <c r="B142" s="14" t="s">
        <v>219</v>
      </c>
      <c r="C142" s="14">
        <f>VLOOKUP($I142&amp;$F142&amp;$G142,装备属性表,装备属性计算表!AK$29,FALSE)</f>
        <v>19</v>
      </c>
      <c r="D142" s="14">
        <f t="shared" ref="D142:D212" si="48">D134</f>
        <v>2</v>
      </c>
      <c r="E142" s="14" t="str">
        <f>VLOOKUP(F142,CHOOSE({1,2},定义数据!$F$2:$F$7,武器部位),2)</f>
        <v>武器</v>
      </c>
      <c r="F142" s="14">
        <v>0</v>
      </c>
      <c r="G142" s="14">
        <v>60</v>
      </c>
      <c r="H142" s="14">
        <f t="shared" si="45"/>
        <v>60</v>
      </c>
      <c r="I142" s="14">
        <v>4</v>
      </c>
      <c r="J142" s="14" t="str">
        <f t="shared" si="46"/>
        <v>6040</v>
      </c>
      <c r="K142" s="14" t="str">
        <f t="shared" si="47"/>
        <v>6040</v>
      </c>
      <c r="L142" s="76"/>
      <c r="M142" s="14">
        <f>IF(OR(G142&lt;15,G142=80),0,D_装备升级表!A142)</f>
        <v>60240</v>
      </c>
      <c r="N142" s="78">
        <v>1</v>
      </c>
      <c r="O142" s="14">
        <f t="shared" si="36"/>
        <v>1900</v>
      </c>
      <c r="P142" s="14"/>
      <c r="Q142" s="14">
        <f>VLOOKUP($I142&amp;$F142&amp;$G142,装备属性表,装备属性计算表!AL$29,FALSE)</f>
        <v>6</v>
      </c>
      <c r="R142" s="14">
        <f ca="1">VLOOKUP(VLOOKUP($I142&amp;$F142&amp;$G142,装备属性表,装备属性计算表!AM$29,FALSE),定义数据!$B$13:$C$35,2,FALSE)</f>
        <v>2</v>
      </c>
      <c r="S142" s="14">
        <f ca="1">VLOOKUP($I142&amp;$F142&amp;$G142,装备属性表,装备属性计算表!AN$29,FALSE)</f>
        <v>418.10761925133698</v>
      </c>
      <c r="T142" s="14">
        <f ca="1">VLOOKUP(VLOOKUP($I142&amp;$F142&amp;$G142,装备属性表,装备属性计算表!AO$29,FALSE),定义数据!$B$13:$C$35,2,FALSE)</f>
        <v>8</v>
      </c>
      <c r="U142" s="14">
        <f ca="1">VLOOKUP($I142&amp;$F142&amp;$G142,装备属性表,装备属性计算表!AP$29,FALSE)</f>
        <v>259.25925925925924</v>
      </c>
      <c r="V142" s="14">
        <f ca="1">VLOOKUP(VLOOKUP($I142&amp;$F142&amp;$G142,装备属性表,装备属性计算表!AQ$29,FALSE),定义数据!$B$13:$C$35,2,FALSE)</f>
        <v>2</v>
      </c>
      <c r="W142" s="14">
        <f ca="1">VLOOKUP($I142&amp;$F142&amp;$G142,装备属性表,装备属性计算表!AR$29,FALSE)</f>
        <v>191.13491165775406</v>
      </c>
      <c r="X142" s="14">
        <f ca="1">VLOOKUP(VLOOKUP($I142&amp;$F142&amp;$G142,装备属性表,装备属性计算表!AS$29,FALSE),定义数据!$B$13:$C$35,2,FALSE)</f>
        <v>3</v>
      </c>
      <c r="Y142" s="14">
        <f ca="1">VLOOKUP($I142&amp;$F142&amp;$G142,装备属性表,装备属性计算表!AT$29,FALSE)</f>
        <v>22.942569150779896</v>
      </c>
      <c r="Z142" s="14">
        <f ca="1">VLOOKUP(VLOOKUP($I142&amp;$F142&amp;$G142,装备属性表,装备属性计算表!AU$29,FALSE),定义数据!$B$13:$C$35,2,FALSE)</f>
        <v>6</v>
      </c>
      <c r="AA142" s="14">
        <f ca="1">VLOOKUP($I142&amp;$F142&amp;$G142,装备属性表,装备属性计算表!AV$29,FALSE)</f>
        <v>83.333333333333314</v>
      </c>
      <c r="AB142" s="14">
        <f ca="1">VLOOKUP(VLOOKUP($I142&amp;$F142&amp;$G142,装备属性表,装备属性计算表!AW$29,FALSE),定义数据!$B$13:$C$35,2,FALSE)</f>
        <v>8</v>
      </c>
      <c r="AC142" s="14">
        <f ca="1">VLOOKUP($I142&amp;$F142&amp;$G142,装备属性表,装备属性计算表!AX$29,FALSE)</f>
        <v>59.259259259259267</v>
      </c>
      <c r="AD142" s="14">
        <f ca="1">VLOOKUP(VLOOKUP($I142&amp;$F142&amp;$G142,装备属性表,装备属性计算表!AY$29,FALSE),定义数据!$B$13:$C$35,2,FALSE)</f>
        <v>0</v>
      </c>
      <c r="AE142" s="14">
        <f>VLOOKUP($I142&amp;$F142&amp;$G142,装备属性表,装备属性计算表!AZ$29,FALSE)</f>
        <v>0</v>
      </c>
      <c r="AF142" s="14">
        <f ca="1">VLOOKUP(VLOOKUP($I142&amp;$F142&amp;$G142,装备属性表,装备属性计算表!BA$29,FALSE),定义数据!$B$13:$C$35,2,FALSE)</f>
        <v>0</v>
      </c>
      <c r="AG142" s="14">
        <f>VLOOKUP($I142&amp;$F142&amp;$G142,装备属性表,装备属性计算表!BB$29,FALSE)</f>
        <v>0</v>
      </c>
      <c r="AH142" s="14">
        <f ca="1">VLOOKUP(VLOOKUP($I142&amp;$F142&amp;$G142,装备属性表,装备属性计算表!BC$29,FALSE),定义数据!$B$13:$C$35,2,FALSE)</f>
        <v>0</v>
      </c>
      <c r="AI142" s="14">
        <f>VLOOKUP($I142&amp;$F142&amp;$G142,装备属性表,装备属性计算表!BD$29,FALSE)</f>
        <v>0</v>
      </c>
      <c r="AJ142" s="14">
        <f ca="1">VLOOKUP(VLOOKUP($I142&amp;$F142&amp;$G142,装备属性表,装备属性计算表!BE$29,FALSE),定义数据!$B$13:$C$35,2,FALSE)</f>
        <v>0</v>
      </c>
      <c r="AK142" s="14">
        <f>VLOOKUP($I142&amp;$F142&amp;$G142,装备属性表,装备属性计算表!BF$29,FALSE)</f>
        <v>0</v>
      </c>
      <c r="AL142" t="str">
        <f t="shared" si="37"/>
        <v>白虎之拳是一件60级红色可升级的装备。</v>
      </c>
      <c r="AM142" t="str">
        <f>IF(D142=0,5,D142) &amp; F142&amp;"00"&amp;VLOOKUP(G142,定义数据!$F$20:$G$27,2,FALSE)&amp;".png"</f>
        <v>20005.png</v>
      </c>
      <c r="AN142" s="79">
        <f>IF(OR(G142&lt;15),0,D_装备升级表!A142)</f>
        <v>60240</v>
      </c>
      <c r="AP142">
        <f ca="1">VLOOKUP(G142&amp;I142&amp;F142,CHOOSE({1,2},装备属性计算表!$BK$32:$BK$187,装备属性计算表!$BJ$32:$BJ$187),2,FALSE)</f>
        <v>717.85176672653756</v>
      </c>
      <c r="AQ142">
        <f ca="1">AP142*'[1]0、经济设定'!$C$18</f>
        <v>35892.58833632688</v>
      </c>
      <c r="AR142">
        <f ca="1">IFERROR(AQ142*'[1]0、经济设定'!$E$19*AU142*AS142,0)</f>
        <v>6000</v>
      </c>
      <c r="AS142">
        <v>10</v>
      </c>
      <c r="AT142">
        <f t="shared" si="42"/>
        <v>600</v>
      </c>
      <c r="AU142">
        <f ca="1">IF(F142=0,IFERROR(AT142/AP142/'[1]0、经济设定'!$E$18,0),AU141)</f>
        <v>8.3582715514659629</v>
      </c>
      <c r="AV142">
        <f t="shared" ca="1" si="39"/>
        <v>28714.070669061504</v>
      </c>
    </row>
    <row r="143" spans="1:48" x14ac:dyDescent="0.15">
      <c r="A143" s="14" t="str">
        <f t="shared" si="44"/>
        <v>30419</v>
      </c>
      <c r="B143" s="14" t="s">
        <v>585</v>
      </c>
      <c r="C143" s="14">
        <f>VLOOKUP($I143&amp;$F143&amp;$G143,装备属性表,装备属性计算表!AK$29,FALSE)</f>
        <v>19</v>
      </c>
      <c r="D143" s="14">
        <f t="shared" si="48"/>
        <v>3</v>
      </c>
      <c r="E143" s="14" t="str">
        <f>VLOOKUP(F143,CHOOSE({1,2},定义数据!$F$2:$F$7,武器部位),2)</f>
        <v>武器</v>
      </c>
      <c r="F143" s="14">
        <v>0</v>
      </c>
      <c r="G143" s="14">
        <f>装备属性计算表!D134</f>
        <v>60</v>
      </c>
      <c r="H143" s="14">
        <f t="shared" si="45"/>
        <v>60</v>
      </c>
      <c r="I143" s="14">
        <v>4</v>
      </c>
      <c r="J143" s="14" t="str">
        <f t="shared" si="46"/>
        <v>6040</v>
      </c>
      <c r="K143" s="14" t="str">
        <f t="shared" si="47"/>
        <v>6040</v>
      </c>
      <c r="L143" s="76"/>
      <c r="M143" s="14">
        <f>IF(OR(G143&lt;15,G143=80),0,D_装备升级表!A143)</f>
        <v>60340</v>
      </c>
      <c r="N143" s="78">
        <v>1</v>
      </c>
      <c r="O143" s="14">
        <f t="shared" si="36"/>
        <v>1900</v>
      </c>
      <c r="P143" s="14"/>
      <c r="Q143" s="14">
        <f>VLOOKUP($I143&amp;$F143&amp;$G143,装备属性表,装备属性计算表!AL$29,FALSE)</f>
        <v>6</v>
      </c>
      <c r="R143" s="14">
        <f ca="1">VLOOKUP(VLOOKUP($I143&amp;$F143&amp;$G143,装备属性表,装备属性计算表!AM$29,FALSE),定义数据!$B$13:$C$35,2,FALSE)</f>
        <v>2</v>
      </c>
      <c r="S143" s="14">
        <f ca="1">VLOOKUP($I143&amp;$F143&amp;$G143,装备属性表,装备属性计算表!AN$29,FALSE)</f>
        <v>418.10761925133698</v>
      </c>
      <c r="T143" s="14">
        <f ca="1">VLOOKUP(VLOOKUP($I143&amp;$F143&amp;$G143,装备属性表,装备属性计算表!AO$29,FALSE),定义数据!$B$13:$C$35,2,FALSE)</f>
        <v>8</v>
      </c>
      <c r="U143" s="14">
        <f ca="1">VLOOKUP($I143&amp;$F143&amp;$G143,装备属性表,装备属性计算表!AP$29,FALSE)</f>
        <v>259.25925925925924</v>
      </c>
      <c r="V143" s="14">
        <f ca="1">VLOOKUP(VLOOKUP($I143&amp;$F143&amp;$G143,装备属性表,装备属性计算表!AQ$29,FALSE),定义数据!$B$13:$C$35,2,FALSE)</f>
        <v>2</v>
      </c>
      <c r="W143" s="14">
        <f ca="1">VLOOKUP($I143&amp;$F143&amp;$G143,装备属性表,装备属性计算表!AR$29,FALSE)</f>
        <v>191.13491165775406</v>
      </c>
      <c r="X143" s="14">
        <f ca="1">VLOOKUP(VLOOKUP($I143&amp;$F143&amp;$G143,装备属性表,装备属性计算表!AS$29,FALSE),定义数据!$B$13:$C$35,2,FALSE)</f>
        <v>3</v>
      </c>
      <c r="Y143" s="14">
        <f ca="1">VLOOKUP($I143&amp;$F143&amp;$G143,装备属性表,装备属性计算表!AT$29,FALSE)</f>
        <v>22.942569150779896</v>
      </c>
      <c r="Z143" s="14">
        <f ca="1">VLOOKUP(VLOOKUP($I143&amp;$F143&amp;$G143,装备属性表,装备属性计算表!AU$29,FALSE),定义数据!$B$13:$C$35,2,FALSE)</f>
        <v>6</v>
      </c>
      <c r="AA143" s="14">
        <f ca="1">VLOOKUP($I143&amp;$F143&amp;$G143,装备属性表,装备属性计算表!AV$29,FALSE)</f>
        <v>83.333333333333314</v>
      </c>
      <c r="AB143" s="14">
        <f ca="1">VLOOKUP(VLOOKUP($I143&amp;$F143&amp;$G143,装备属性表,装备属性计算表!AW$29,FALSE),定义数据!$B$13:$C$35,2,FALSE)</f>
        <v>8</v>
      </c>
      <c r="AC143" s="14">
        <f ca="1">VLOOKUP($I143&amp;$F143&amp;$G143,装备属性表,装备属性计算表!AX$29,FALSE)</f>
        <v>59.259259259259267</v>
      </c>
      <c r="AD143" s="14">
        <f ca="1">VLOOKUP(VLOOKUP($I143&amp;$F143&amp;$G143,装备属性表,装备属性计算表!AY$29,FALSE),定义数据!$B$13:$C$35,2,FALSE)</f>
        <v>0</v>
      </c>
      <c r="AE143" s="14">
        <f>VLOOKUP($I143&amp;$F143&amp;$G143,装备属性表,装备属性计算表!AZ$29,FALSE)</f>
        <v>0</v>
      </c>
      <c r="AF143" s="14">
        <f ca="1">VLOOKUP(VLOOKUP($I143&amp;$F143&amp;$G143,装备属性表,装备属性计算表!BA$29,FALSE),定义数据!$B$13:$C$35,2,FALSE)</f>
        <v>0</v>
      </c>
      <c r="AG143" s="14">
        <f>VLOOKUP($I143&amp;$F143&amp;$G143,装备属性表,装备属性计算表!BB$29,FALSE)</f>
        <v>0</v>
      </c>
      <c r="AH143" s="14">
        <f ca="1">VLOOKUP(VLOOKUP($I143&amp;$F143&amp;$G143,装备属性表,装备属性计算表!BC$29,FALSE),定义数据!$B$13:$C$35,2,FALSE)</f>
        <v>0</v>
      </c>
      <c r="AI143" s="14">
        <f>VLOOKUP($I143&amp;$F143&amp;$G143,装备属性表,装备属性计算表!BD$29,FALSE)</f>
        <v>0</v>
      </c>
      <c r="AJ143" s="14">
        <f ca="1">VLOOKUP(VLOOKUP($I143&amp;$F143&amp;$G143,装备属性表,装备属性计算表!BE$29,FALSE),定义数据!$B$13:$C$35,2,FALSE)</f>
        <v>0</v>
      </c>
      <c r="AK143" s="14">
        <f>VLOOKUP($I143&amp;$F143&amp;$G143,装备属性表,装备属性计算表!BF$29,FALSE)</f>
        <v>0</v>
      </c>
      <c r="AL143" t="str">
        <f t="shared" si="37"/>
        <v>白虎之枪是一件60级红色可升级的装备。</v>
      </c>
      <c r="AM143" t="str">
        <f>IF(D143=0,5,D143) &amp; F143&amp;"00"&amp;VLOOKUP(G143,定义数据!$F$20:$G$27,2,FALSE)&amp;".png"</f>
        <v>30005.png</v>
      </c>
      <c r="AN143" s="79">
        <f>IF(OR(G143&lt;15),0,D_装备升级表!A143)</f>
        <v>60340</v>
      </c>
      <c r="AP143">
        <f ca="1">VLOOKUP(G143&amp;I143&amp;F143,CHOOSE({1,2},装备属性计算表!$BK$32:$BK$187,装备属性计算表!$BJ$32:$BJ$187),2,FALSE)</f>
        <v>717.85176672653756</v>
      </c>
      <c r="AQ143">
        <f ca="1">AP143*'[1]0、经济设定'!$C$18</f>
        <v>35892.58833632688</v>
      </c>
      <c r="AR143">
        <f ca="1">IFERROR(AQ143*'[1]0、经济设定'!$E$19*AU143*AS143,0)</f>
        <v>6000</v>
      </c>
      <c r="AS143">
        <v>10</v>
      </c>
      <c r="AT143">
        <f t="shared" si="42"/>
        <v>600</v>
      </c>
      <c r="AU143">
        <f ca="1">IF(F143=0,IFERROR(AT143/AP143/'[1]0、经济设定'!$E$18,0),AU142)</f>
        <v>8.3582715514659629</v>
      </c>
      <c r="AV143">
        <f t="shared" ca="1" si="39"/>
        <v>28714.070669061504</v>
      </c>
    </row>
    <row r="144" spans="1:48" x14ac:dyDescent="0.15">
      <c r="A144" s="14" t="str">
        <f t="shared" si="44"/>
        <v>51419</v>
      </c>
      <c r="B144" s="14" t="s">
        <v>586</v>
      </c>
      <c r="C144" s="14">
        <f>VLOOKUP($I144&amp;$F144&amp;$G144,装备属性表,装备属性计算表!AK$29,FALSE)</f>
        <v>19</v>
      </c>
      <c r="D144" s="14">
        <f t="shared" si="48"/>
        <v>0</v>
      </c>
      <c r="E144" s="14" t="str">
        <f>VLOOKUP(F144,CHOOSE({1,2},定义数据!$F$2:$F$7,武器部位),2)</f>
        <v>衣服</v>
      </c>
      <c r="F144" s="14">
        <v>1</v>
      </c>
      <c r="G144" s="14">
        <f>装备属性计算表!D135</f>
        <v>60</v>
      </c>
      <c r="H144" s="14">
        <f t="shared" si="45"/>
        <v>60</v>
      </c>
      <c r="I144" s="14">
        <v>4</v>
      </c>
      <c r="J144" s="14" t="str">
        <f t="shared" si="46"/>
        <v>6041</v>
      </c>
      <c r="K144" s="14" t="str">
        <f t="shared" si="47"/>
        <v>6041</v>
      </c>
      <c r="L144" s="76"/>
      <c r="M144" s="14">
        <f>IF(OR(G144&lt;15,G144=80),0,D_装备升级表!A144)</f>
        <v>60041</v>
      </c>
      <c r="N144" s="78">
        <v>1</v>
      </c>
      <c r="O144" s="14">
        <f t="shared" si="36"/>
        <v>1900</v>
      </c>
      <c r="P144" s="14"/>
      <c r="Q144" s="14">
        <f>VLOOKUP($I144&amp;$F144&amp;$G144,装备属性表,装备属性计算表!AL$29,FALSE)</f>
        <v>6</v>
      </c>
      <c r="R144" s="14">
        <f ca="1">VLOOKUP(VLOOKUP($I144&amp;$F144&amp;$G144,装备属性表,装备属性计算表!AM$29,FALSE),定义数据!$B$13:$C$35,2,FALSE)</f>
        <v>1</v>
      </c>
      <c r="S144" s="14">
        <f ca="1">VLOOKUP($I144&amp;$F144&amp;$G144,装备属性表,装备属性计算表!AN$29,FALSE)</f>
        <v>6585.2908497332119</v>
      </c>
      <c r="T144" s="14">
        <f ca="1">VLOOKUP(VLOOKUP($I144&amp;$F144&amp;$G144,装备属性表,装备属性计算表!AO$29,FALSE),定义数据!$B$13:$C$35,2,FALSE)</f>
        <v>3</v>
      </c>
      <c r="U144" s="14">
        <f ca="1">VLOOKUP($I144&amp;$F144&amp;$G144,装备属性表,装备属性计算表!AP$29,FALSE)</f>
        <v>144.53818564991332</v>
      </c>
      <c r="V144" s="14">
        <f ca="1">VLOOKUP(VLOOKUP($I144&amp;$F144&amp;$G144,装备属性表,装备属性计算表!AQ$29,FALSE),定义数据!$B$13:$C$35,2,FALSE)</f>
        <v>1</v>
      </c>
      <c r="W144" s="14">
        <f ca="1">VLOOKUP($I144&amp;$F144&amp;$G144,装备属性表,装备属性计算表!AR$29,FALSE)</f>
        <v>2090.5685237248294</v>
      </c>
      <c r="X144" s="14">
        <f ca="1">VLOOKUP(VLOOKUP($I144&amp;$F144&amp;$G144,装备属性表,装备属性计算表!AS$29,FALSE),定义数据!$B$13:$C$35,2,FALSE)</f>
        <v>3</v>
      </c>
      <c r="Y144" s="14">
        <f ca="1">VLOOKUP($I144&amp;$F144&amp;$G144,装备属性表,装备属性计算表!AT$29,FALSE)</f>
        <v>68.827707452339695</v>
      </c>
      <c r="Z144" s="14">
        <f ca="1">VLOOKUP(VLOOKUP($I144&amp;$F144&amp;$G144,装备属性表,装备属性计算表!AU$29,FALSE),定义数据!$B$13:$C$35,2,FALSE)</f>
        <v>7</v>
      </c>
      <c r="AA144" s="14">
        <f ca="1">VLOOKUP($I144&amp;$F144&amp;$G144,装备属性表,装备属性计算表!AV$29,FALSE)</f>
        <v>50</v>
      </c>
      <c r="AB144" s="14">
        <f ca="1">VLOOKUP(VLOOKUP($I144&amp;$F144&amp;$G144,装备属性表,装备属性计算表!AW$29,FALSE),定义数据!$B$13:$C$35,2,FALSE)</f>
        <v>9</v>
      </c>
      <c r="AC144" s="14">
        <f ca="1">VLOOKUP($I144&amp;$F144&amp;$G144,装备属性表,装备属性计算表!AX$29,FALSE)</f>
        <v>49.382716049382715</v>
      </c>
      <c r="AD144" s="14">
        <f ca="1">VLOOKUP(VLOOKUP($I144&amp;$F144&amp;$G144,装备属性表,装备属性计算表!AY$29,FALSE),定义数据!$B$13:$C$35,2,FALSE)</f>
        <v>0</v>
      </c>
      <c r="AE144" s="14">
        <f>VLOOKUP($I144&amp;$F144&amp;$G144,装备属性表,装备属性计算表!AZ$29,FALSE)</f>
        <v>0</v>
      </c>
      <c r="AF144" s="14">
        <f ca="1">VLOOKUP(VLOOKUP($I144&amp;$F144&amp;$G144,装备属性表,装备属性计算表!BA$29,FALSE),定义数据!$B$13:$C$35,2,FALSE)</f>
        <v>0</v>
      </c>
      <c r="AG144" s="14">
        <f>VLOOKUP($I144&amp;$F144&amp;$G144,装备属性表,装备属性计算表!BB$29,FALSE)</f>
        <v>0</v>
      </c>
      <c r="AH144" s="14">
        <f ca="1">VLOOKUP(VLOOKUP($I144&amp;$F144&amp;$G144,装备属性表,装备属性计算表!BC$29,FALSE),定义数据!$B$13:$C$35,2,FALSE)</f>
        <v>0</v>
      </c>
      <c r="AI144" s="14">
        <f>VLOOKUP($I144&amp;$F144&amp;$G144,装备属性表,装备属性计算表!BD$29,FALSE)</f>
        <v>0</v>
      </c>
      <c r="AJ144" s="14">
        <f ca="1">VLOOKUP(VLOOKUP($I144&amp;$F144&amp;$G144,装备属性表,装备属性计算表!BE$29,FALSE),定义数据!$B$13:$C$35,2,FALSE)</f>
        <v>0</v>
      </c>
      <c r="AK144" s="14">
        <f>VLOOKUP($I144&amp;$F144&amp;$G144,装备属性表,装备属性计算表!BF$29,FALSE)</f>
        <v>0</v>
      </c>
      <c r="AL144" t="str">
        <f t="shared" si="37"/>
        <v>白虎战衣是一件60级红色可升级的装备。</v>
      </c>
      <c r="AM144" t="str">
        <f>IF(D144=0,5,D144) &amp; F144&amp;"00"&amp;VLOOKUP(G144,定义数据!$F$20:$G$27,2,FALSE)&amp;".png"</f>
        <v>51005.png</v>
      </c>
      <c r="AN144" s="79">
        <f>IF(OR(G144&lt;15),0,D_装备升级表!A144)</f>
        <v>60041</v>
      </c>
      <c r="AP144">
        <f ca="1">VLOOKUP(G144&amp;I144&amp;F144,CHOOSE({1,2},装备属性计算表!$BK$32:$BK$187,装备属性计算表!$BJ$32:$BJ$187),2,FALSE)</f>
        <v>586.28915692946362</v>
      </c>
      <c r="AQ144">
        <f ca="1">AP144*'[1]0、经济设定'!$C$18</f>
        <v>29314.457846473182</v>
      </c>
      <c r="AR144">
        <f ca="1">IFERROR(AQ144*'[1]0、经济设定'!$E$19*AU144*AS144,0)</f>
        <v>4900.3639812964993</v>
      </c>
      <c r="AS144">
        <v>10</v>
      </c>
      <c r="AT144">
        <f t="shared" si="42"/>
        <v>600</v>
      </c>
      <c r="AU144">
        <f ca="1">IF(F144=0,IFERROR(AT144/AP144/'[1]0、经济设定'!$E$18,0),AU143)</f>
        <v>8.3582715514659629</v>
      </c>
      <c r="AV144">
        <f t="shared" ca="1" si="39"/>
        <v>23451.566277178543</v>
      </c>
    </row>
    <row r="145" spans="1:48" x14ac:dyDescent="0.15">
      <c r="A145" s="14" t="str">
        <f t="shared" si="44"/>
        <v>52419</v>
      </c>
      <c r="B145" s="14" t="s">
        <v>587</v>
      </c>
      <c r="C145" s="14">
        <f>VLOOKUP($I145&amp;$F145&amp;$G145,装备属性表,装备属性计算表!AK$29,FALSE)</f>
        <v>19</v>
      </c>
      <c r="D145" s="14">
        <f t="shared" si="48"/>
        <v>0</v>
      </c>
      <c r="E145" s="14" t="str">
        <f>VLOOKUP(F145,CHOOSE({1,2},定义数据!$F$2:$F$7,武器部位),2)</f>
        <v>裤子</v>
      </c>
      <c r="F145" s="14">
        <v>2</v>
      </c>
      <c r="G145" s="14">
        <f>装备属性计算表!D136</f>
        <v>60</v>
      </c>
      <c r="H145" s="14">
        <f t="shared" si="45"/>
        <v>60</v>
      </c>
      <c r="I145" s="14">
        <v>4</v>
      </c>
      <c r="J145" s="14" t="str">
        <f t="shared" si="46"/>
        <v>6042</v>
      </c>
      <c r="K145" s="14" t="str">
        <f t="shared" si="47"/>
        <v>6042</v>
      </c>
      <c r="L145" s="76"/>
      <c r="M145" s="14">
        <f>IF(OR(G145&lt;15,G145=80),0,D_装备升级表!A145)</f>
        <v>60042</v>
      </c>
      <c r="N145" s="78">
        <v>1</v>
      </c>
      <c r="O145" s="14">
        <f t="shared" si="36"/>
        <v>1900</v>
      </c>
      <c r="P145" s="14"/>
      <c r="Q145" s="14">
        <f>VLOOKUP($I145&amp;$F145&amp;$G145,装备属性表,装备属性计算表!AL$29,FALSE)</f>
        <v>6</v>
      </c>
      <c r="R145" s="14">
        <f ca="1">VLOOKUP(VLOOKUP($I145&amp;$F145&amp;$G145,装备属性表,装备属性计算表!AM$29,FALSE),定义数据!$B$13:$C$35,2,FALSE)</f>
        <v>3</v>
      </c>
      <c r="S145" s="14">
        <f ca="1">VLOOKUP($I145&amp;$F145&amp;$G145,装备属性表,装备属性计算表!AN$29,FALSE)</f>
        <v>96.358790433275573</v>
      </c>
      <c r="T145" s="14">
        <f ca="1">VLOOKUP(VLOOKUP($I145&amp;$F145&amp;$G145,装备属性表,装备属性计算表!AO$29,FALSE),定义数据!$B$13:$C$35,2,FALSE)</f>
        <v>7</v>
      </c>
      <c r="U145" s="14">
        <f ca="1">VLOOKUP($I145&amp;$F145&amp;$G145,装备属性表,装备属性计算表!AP$29,FALSE)</f>
        <v>145.83333333333329</v>
      </c>
      <c r="V145" s="14">
        <f ca="1">VLOOKUP(VLOOKUP($I145&amp;$F145&amp;$G145,装备属性表,装备属性计算表!AQ$29,FALSE),定义数据!$B$13:$C$35,2,FALSE)</f>
        <v>1</v>
      </c>
      <c r="W145" s="14">
        <f ca="1">VLOOKUP($I145&amp;$F145&amp;$G145,装备属性表,装备属性计算表!AR$29,FALSE)</f>
        <v>1045.2842618624147</v>
      </c>
      <c r="X145" s="14">
        <f ca="1">VLOOKUP(VLOOKUP($I145&amp;$F145&amp;$G145,装备属性表,装备属性计算表!AS$29,FALSE),定义数据!$B$13:$C$35,2,FALSE)</f>
        <v>3</v>
      </c>
      <c r="Y145" s="14">
        <f ca="1">VLOOKUP($I145&amp;$F145&amp;$G145,装备属性表,装备属性计算表!AT$29,FALSE)</f>
        <v>22.942569150779896</v>
      </c>
      <c r="Z145" s="14">
        <f ca="1">VLOOKUP(VLOOKUP($I145&amp;$F145&amp;$G145,装备属性表,装备属性计算表!AU$29,FALSE),定义数据!$B$13:$C$35,2,FALSE)</f>
        <v>7</v>
      </c>
      <c r="AA145" s="14">
        <f ca="1">VLOOKUP($I145&amp;$F145&amp;$G145,装备属性表,装备属性计算表!AV$29,FALSE)</f>
        <v>50</v>
      </c>
      <c r="AB145" s="14">
        <f ca="1">VLOOKUP(VLOOKUP($I145&amp;$F145&amp;$G145,装备属性表,装备属性计算表!AW$29,FALSE),定义数据!$B$13:$C$35,2,FALSE)</f>
        <v>9</v>
      </c>
      <c r="AC145" s="14">
        <f ca="1">VLOOKUP($I145&amp;$F145&amp;$G145,装备属性表,装备属性计算表!AX$29,FALSE)</f>
        <v>49.382716049382715</v>
      </c>
      <c r="AD145" s="14">
        <f ca="1">VLOOKUP(VLOOKUP($I145&amp;$F145&amp;$G145,装备属性表,装备属性计算表!AY$29,FALSE),定义数据!$B$13:$C$35,2,FALSE)</f>
        <v>0</v>
      </c>
      <c r="AE145" s="14">
        <f>VLOOKUP($I145&amp;$F145&amp;$G145,装备属性表,装备属性计算表!AZ$29,FALSE)</f>
        <v>0</v>
      </c>
      <c r="AF145" s="14">
        <f ca="1">VLOOKUP(VLOOKUP($I145&amp;$F145&amp;$G145,装备属性表,装备属性计算表!BA$29,FALSE),定义数据!$B$13:$C$35,2,FALSE)</f>
        <v>0</v>
      </c>
      <c r="AG145" s="14">
        <f>VLOOKUP($I145&amp;$F145&amp;$G145,装备属性表,装备属性计算表!BB$29,FALSE)</f>
        <v>0</v>
      </c>
      <c r="AH145" s="14">
        <f ca="1">VLOOKUP(VLOOKUP($I145&amp;$F145&amp;$G145,装备属性表,装备属性计算表!BC$29,FALSE),定义数据!$B$13:$C$35,2,FALSE)</f>
        <v>0</v>
      </c>
      <c r="AI145" s="14">
        <f>VLOOKUP($I145&amp;$F145&amp;$G145,装备属性表,装备属性计算表!BD$29,FALSE)</f>
        <v>0</v>
      </c>
      <c r="AJ145" s="14">
        <f ca="1">VLOOKUP(VLOOKUP($I145&amp;$F145&amp;$G145,装备属性表,装备属性计算表!BE$29,FALSE),定义数据!$B$13:$C$35,2,FALSE)</f>
        <v>0</v>
      </c>
      <c r="AK145" s="14">
        <f>VLOOKUP($I145&amp;$F145&amp;$G145,装备属性表,装备属性计算表!BF$29,FALSE)</f>
        <v>0</v>
      </c>
      <c r="AL145" t="str">
        <f t="shared" si="37"/>
        <v>白虎长裤是一件60级红色可升级的装备。</v>
      </c>
      <c r="AM145" t="str">
        <f>IF(D145=0,5,D145) &amp; F145&amp;"00"&amp;VLOOKUP(G145,定义数据!$F$20:$G$27,2,FALSE)&amp;".png"</f>
        <v>52005.png</v>
      </c>
      <c r="AN145" s="79">
        <f>IF(OR(G145&lt;15),0,D_装备升级表!A145)</f>
        <v>60042</v>
      </c>
      <c r="AP145">
        <f ca="1">VLOOKUP(G145&amp;I145&amp;F145,CHOOSE({1,2},装备属性计算表!$BK$32:$BK$187,装备属性计算表!$BJ$32:$BJ$187),2,FALSE)</f>
        <v>236.58495228077425</v>
      </c>
      <c r="AQ145">
        <f ca="1">AP145*'[1]0、经济设定'!$C$18</f>
        <v>11829.247614038712</v>
      </c>
      <c r="AR145">
        <f ca="1">IFERROR(AQ145*'[1]0、经济设定'!$E$19*AU145*AS145,0)</f>
        <v>1977.4412761533276</v>
      </c>
      <c r="AS145">
        <v>10</v>
      </c>
      <c r="AT145">
        <f t="shared" si="42"/>
        <v>600</v>
      </c>
      <c r="AU145">
        <f ca="1">IF(F145=0,IFERROR(AT145/AP145/'[1]0、经济设定'!$E$18,0),AU144)</f>
        <v>8.3582715514659629</v>
      </c>
      <c r="AV145">
        <f t="shared" ca="1" si="39"/>
        <v>9463.3980912309707</v>
      </c>
    </row>
    <row r="146" spans="1:48" x14ac:dyDescent="0.15">
      <c r="A146" s="14" t="str">
        <f t="shared" si="44"/>
        <v>55419</v>
      </c>
      <c r="B146" s="14" t="s">
        <v>588</v>
      </c>
      <c r="C146" s="14">
        <f>VLOOKUP($I146&amp;$F146&amp;$G146,装备属性表,装备属性计算表!AK$29,FALSE)</f>
        <v>19</v>
      </c>
      <c r="D146" s="14">
        <f t="shared" si="48"/>
        <v>0</v>
      </c>
      <c r="E146" s="14" t="str">
        <f>VLOOKUP(F146,CHOOSE({1,2},定义数据!$F$2:$F$7,武器部位),2)</f>
        <v>鞋子</v>
      </c>
      <c r="F146" s="14">
        <v>5</v>
      </c>
      <c r="G146" s="14">
        <f>装备属性计算表!D137</f>
        <v>60</v>
      </c>
      <c r="H146" s="14">
        <f t="shared" si="45"/>
        <v>60</v>
      </c>
      <c r="I146" s="14">
        <v>4</v>
      </c>
      <c r="J146" s="14" t="str">
        <f t="shared" si="46"/>
        <v>6045</v>
      </c>
      <c r="K146" s="14" t="str">
        <f t="shared" si="47"/>
        <v>6045</v>
      </c>
      <c r="L146" s="76"/>
      <c r="M146" s="14">
        <f>IF(OR(G146&lt;15,G146=80),0,D_装备升级表!A146)</f>
        <v>60045</v>
      </c>
      <c r="N146" s="78">
        <v>1</v>
      </c>
      <c r="O146" s="14">
        <f t="shared" si="36"/>
        <v>1900</v>
      </c>
      <c r="P146" s="14"/>
      <c r="Q146" s="14">
        <f>VLOOKUP($I146&amp;$F146&amp;$G146,装备属性表,装备属性计算表!AL$29,FALSE)</f>
        <v>6</v>
      </c>
      <c r="R146" s="14">
        <f ca="1">VLOOKUP(VLOOKUP($I146&amp;$F146&amp;$G146,装备属性表,装备属性计算表!AM$29,FALSE),定义数据!$B$13:$C$35,2,FALSE)</f>
        <v>1</v>
      </c>
      <c r="S146" s="14">
        <f ca="1">VLOOKUP($I146&amp;$F146&amp;$G146,装备属性表,装备属性计算表!AN$29,FALSE)</f>
        <v>2195.0969499110711</v>
      </c>
      <c r="T146" s="14">
        <f ca="1">VLOOKUP(VLOOKUP($I146&amp;$F146&amp;$G146,装备属性表,装备属性计算表!AO$29,FALSE),定义数据!$B$13:$C$35,2,FALSE)</f>
        <v>7</v>
      </c>
      <c r="U146" s="14">
        <f ca="1">VLOOKUP($I146&amp;$F146&amp;$G146,装备属性表,装备属性计算表!AP$29,FALSE)</f>
        <v>291.66666666666657</v>
      </c>
      <c r="V146" s="14">
        <f ca="1">VLOOKUP(VLOOKUP($I146&amp;$F146&amp;$G146,装备属性表,装备属性计算表!AQ$29,FALSE),定义数据!$B$13:$C$35,2,FALSE)</f>
        <v>1</v>
      </c>
      <c r="W146" s="14">
        <f ca="1">VLOOKUP($I146&amp;$F146&amp;$G146,装备属性表,装备属性计算表!AR$29,FALSE)</f>
        <v>1045.2842618624147</v>
      </c>
      <c r="X146" s="14">
        <f ca="1">VLOOKUP(VLOOKUP($I146&amp;$F146&amp;$G146,装备属性表,装备属性计算表!AS$29,FALSE),定义数据!$B$13:$C$35,2,FALSE)</f>
        <v>7</v>
      </c>
      <c r="Y146" s="14">
        <f ca="1">VLOOKUP($I146&amp;$F146&amp;$G146,装备属性表,装备属性计算表!AT$29,FALSE)</f>
        <v>100</v>
      </c>
      <c r="Z146" s="14">
        <f ca="1">VLOOKUP(VLOOKUP($I146&amp;$F146&amp;$G146,装备属性表,装备属性计算表!AU$29,FALSE),定义数据!$B$13:$C$35,2,FALSE)</f>
        <v>6</v>
      </c>
      <c r="AA146" s="14">
        <f ca="1">VLOOKUP($I146&amp;$F146&amp;$G146,装备属性表,装备属性计算表!AV$29,FALSE)</f>
        <v>83.333333333333314</v>
      </c>
      <c r="AB146" s="14">
        <f ca="1">VLOOKUP(VLOOKUP($I146&amp;$F146&amp;$G146,装备属性表,装备属性计算表!AW$29,FALSE),定义数据!$B$13:$C$35,2,FALSE)</f>
        <v>8</v>
      </c>
      <c r="AC146" s="14">
        <f ca="1">VLOOKUP($I146&amp;$F146&amp;$G146,装备属性表,装备属性计算表!AX$29,FALSE)</f>
        <v>29.629629629629633</v>
      </c>
      <c r="AD146" s="14">
        <f ca="1">VLOOKUP(VLOOKUP($I146&amp;$F146&amp;$G146,装备属性表,装备属性计算表!AY$29,FALSE),定义数据!$B$13:$C$35,2,FALSE)</f>
        <v>0</v>
      </c>
      <c r="AE146" s="14">
        <f>VLOOKUP($I146&amp;$F146&amp;$G146,装备属性表,装备属性计算表!AZ$29,FALSE)</f>
        <v>0</v>
      </c>
      <c r="AF146" s="14">
        <f ca="1">VLOOKUP(VLOOKUP($I146&amp;$F146&amp;$G146,装备属性表,装备属性计算表!BA$29,FALSE),定义数据!$B$13:$C$35,2,FALSE)</f>
        <v>0</v>
      </c>
      <c r="AG146" s="14">
        <f>VLOOKUP($I146&amp;$F146&amp;$G146,装备属性表,装备属性计算表!BB$29,FALSE)</f>
        <v>0</v>
      </c>
      <c r="AH146" s="14">
        <f ca="1">VLOOKUP(VLOOKUP($I146&amp;$F146&amp;$G146,装备属性表,装备属性计算表!BC$29,FALSE),定义数据!$B$13:$C$35,2,FALSE)</f>
        <v>0</v>
      </c>
      <c r="AI146" s="14">
        <f>VLOOKUP($I146&amp;$F146&amp;$G146,装备属性表,装备属性计算表!BD$29,FALSE)</f>
        <v>0</v>
      </c>
      <c r="AJ146" s="14">
        <f ca="1">VLOOKUP(VLOOKUP($I146&amp;$F146&amp;$G146,装备属性表,装备属性计算表!BE$29,FALSE),定义数据!$B$13:$C$35,2,FALSE)</f>
        <v>0</v>
      </c>
      <c r="AK146" s="14">
        <f>VLOOKUP($I146&amp;$F146&amp;$G146,装备属性表,装备属性计算表!BF$29,FALSE)</f>
        <v>0</v>
      </c>
      <c r="AL146" t="str">
        <f t="shared" si="37"/>
        <v>白虎长靴是一件60级红色可升级的装备。</v>
      </c>
      <c r="AM146" t="str">
        <f>IF(D146=0,5,D146) &amp; F146&amp;"00"&amp;VLOOKUP(G146,定义数据!$F$20:$G$27,2,FALSE)&amp;".png"</f>
        <v>55005.png</v>
      </c>
      <c r="AN146" s="79">
        <f>IF(OR(G146&lt;15),0,D_装备升级表!A146)</f>
        <v>60045</v>
      </c>
      <c r="AP146">
        <f ca="1">VLOOKUP(G146&amp;I146&amp;F146,CHOOSE({1,2},装备属性计算表!$BK$32:$BK$187,装备属性计算表!$BJ$32:$BJ$187),2,FALSE)</f>
        <v>296.44858180427275</v>
      </c>
      <c r="AQ146">
        <f ca="1">AP146*'[1]0、经济设定'!$C$18</f>
        <v>14822.429090213638</v>
      </c>
      <c r="AR146">
        <f ca="1">IFERROR(AQ146*'[1]0、经济设定'!$E$19*AU146*AS146,0)</f>
        <v>2477.7977477670834</v>
      </c>
      <c r="AS146">
        <v>10</v>
      </c>
      <c r="AT146">
        <f t="shared" ref="AT146:AT177" si="49">MAX(VLOOKUP(I146,$AY$5:$AZ$9,2,FALSE)*G146,1)</f>
        <v>600</v>
      </c>
      <c r="AU146">
        <f ca="1">IF(F146=0,IFERROR(AT146/AP146/'[1]0、经济设定'!$E$18,0),AU145)</f>
        <v>8.3582715514659629</v>
      </c>
      <c r="AV146">
        <f t="shared" ca="1" si="39"/>
        <v>11857.943272170909</v>
      </c>
    </row>
    <row r="147" spans="1:48" x14ac:dyDescent="0.15">
      <c r="A147" s="14" t="str">
        <f t="shared" si="44"/>
        <v>54419</v>
      </c>
      <c r="B147" s="14" t="s">
        <v>589</v>
      </c>
      <c r="C147" s="14">
        <f>VLOOKUP($I147&amp;$F147&amp;$G147,装备属性表,装备属性计算表!AK$29,FALSE)</f>
        <v>19</v>
      </c>
      <c r="D147" s="14">
        <f t="shared" si="48"/>
        <v>0</v>
      </c>
      <c r="E147" s="14" t="str">
        <f>VLOOKUP(F147,CHOOSE({1,2},定义数据!$F$2:$F$7,武器部位),2)</f>
        <v>腰带</v>
      </c>
      <c r="F147" s="14">
        <v>4</v>
      </c>
      <c r="G147" s="14">
        <f>装备属性计算表!D138</f>
        <v>60</v>
      </c>
      <c r="H147" s="14">
        <f t="shared" si="45"/>
        <v>60</v>
      </c>
      <c r="I147" s="14">
        <v>4</v>
      </c>
      <c r="J147" s="14" t="str">
        <f t="shared" si="46"/>
        <v>6044</v>
      </c>
      <c r="K147" s="14" t="str">
        <f t="shared" si="47"/>
        <v>6044</v>
      </c>
      <c r="L147" s="76"/>
      <c r="M147" s="14">
        <f>IF(OR(G147&lt;15,G147=80),0,D_装备升级表!A147)</f>
        <v>60044</v>
      </c>
      <c r="N147" s="78">
        <v>1</v>
      </c>
      <c r="O147" s="14">
        <f t="shared" ref="O147:O210" si="50">MID($A147,5,1)*100+MID($A147,4,1)*1000</f>
        <v>1900</v>
      </c>
      <c r="P147" s="14"/>
      <c r="Q147" s="14">
        <f>VLOOKUP($I147&amp;$F147&amp;$G147,装备属性表,装备属性计算表!AL$29,FALSE)</f>
        <v>6</v>
      </c>
      <c r="R147" s="14">
        <f ca="1">VLOOKUP(VLOOKUP($I147&amp;$F147&amp;$G147,装备属性表,装备属性计算表!AM$29,FALSE),定义数据!$B$13:$C$35,2,FALSE)</f>
        <v>1</v>
      </c>
      <c r="S147" s="14">
        <f ca="1">VLOOKUP($I147&amp;$F147&amp;$G147,装备属性表,装备属性计算表!AN$29,FALSE)</f>
        <v>2195.0969499110711</v>
      </c>
      <c r="T147" s="14">
        <f ca="1">VLOOKUP(VLOOKUP($I147&amp;$F147&amp;$G147,装备属性表,装备属性计算表!AO$29,FALSE),定义数据!$B$13:$C$35,2,FALSE)</f>
        <v>9</v>
      </c>
      <c r="U147" s="14">
        <f ca="1">VLOOKUP($I147&amp;$F147&amp;$G147,装备属性表,装备属性计算表!AP$29,FALSE)</f>
        <v>259.25925925925924</v>
      </c>
      <c r="V147" s="14">
        <f ca="1">VLOOKUP(VLOOKUP($I147&amp;$F147&amp;$G147,装备属性表,装备属性计算表!AQ$29,FALSE),定义数据!$B$13:$C$35,2,FALSE)</f>
        <v>1</v>
      </c>
      <c r="W147" s="14">
        <f ca="1">VLOOKUP($I147&amp;$F147&amp;$G147,装备属性表,装备属性计算表!AR$29,FALSE)</f>
        <v>2090.5685237248294</v>
      </c>
      <c r="X147" s="14">
        <f ca="1">VLOOKUP(VLOOKUP($I147&amp;$F147&amp;$G147,装备属性表,装备属性计算表!AS$29,FALSE),定义数据!$B$13:$C$35,2,FALSE)</f>
        <v>2</v>
      </c>
      <c r="Y147" s="14">
        <f ca="1">VLOOKUP($I147&amp;$F147&amp;$G147,装备属性表,装备属性计算表!AT$29,FALSE)</f>
        <v>63.711637219251365</v>
      </c>
      <c r="Z147" s="14">
        <f ca="1">VLOOKUP(VLOOKUP($I147&amp;$F147&amp;$G147,装备属性表,装备属性计算表!AU$29,FALSE),定义数据!$B$13:$C$35,2,FALSE)</f>
        <v>3</v>
      </c>
      <c r="AA147" s="14">
        <f ca="1">VLOOKUP($I147&amp;$F147&amp;$G147,装备属性表,装备属性计算表!AV$29,FALSE)</f>
        <v>22.942569150779896</v>
      </c>
      <c r="AB147" s="14">
        <f ca="1">VLOOKUP(VLOOKUP($I147&amp;$F147&amp;$G147,装备属性表,装备属性计算表!AW$29,FALSE),定义数据!$B$13:$C$35,2,FALSE)</f>
        <v>9</v>
      </c>
      <c r="AC147" s="14">
        <f ca="1">VLOOKUP($I147&amp;$F147&amp;$G147,装备属性表,装备属性计算表!AX$29,FALSE)</f>
        <v>49.382716049382715</v>
      </c>
      <c r="AD147" s="14">
        <f ca="1">VLOOKUP(VLOOKUP($I147&amp;$F147&amp;$G147,装备属性表,装备属性计算表!AY$29,FALSE),定义数据!$B$13:$C$35,2,FALSE)</f>
        <v>0</v>
      </c>
      <c r="AE147" s="14">
        <f>VLOOKUP($I147&amp;$F147&amp;$G147,装备属性表,装备属性计算表!AZ$29,FALSE)</f>
        <v>0</v>
      </c>
      <c r="AF147" s="14">
        <f ca="1">VLOOKUP(VLOOKUP($I147&amp;$F147&amp;$G147,装备属性表,装备属性计算表!BA$29,FALSE),定义数据!$B$13:$C$35,2,FALSE)</f>
        <v>0</v>
      </c>
      <c r="AG147" s="14">
        <f>VLOOKUP($I147&amp;$F147&amp;$G147,装备属性表,装备属性计算表!BB$29,FALSE)</f>
        <v>0</v>
      </c>
      <c r="AH147" s="14">
        <f ca="1">VLOOKUP(VLOOKUP($I147&amp;$F147&amp;$G147,装备属性表,装备属性计算表!BC$29,FALSE),定义数据!$B$13:$C$35,2,FALSE)</f>
        <v>0</v>
      </c>
      <c r="AI147" s="14">
        <f>VLOOKUP($I147&amp;$F147&amp;$G147,装备属性表,装备属性计算表!BD$29,FALSE)</f>
        <v>0</v>
      </c>
      <c r="AJ147" s="14">
        <f ca="1">VLOOKUP(VLOOKUP($I147&amp;$F147&amp;$G147,装备属性表,装备属性计算表!BE$29,FALSE),定义数据!$B$13:$C$35,2,FALSE)</f>
        <v>0</v>
      </c>
      <c r="AK147" s="14">
        <f>VLOOKUP($I147&amp;$F147&amp;$G147,装备属性表,装备属性计算表!BF$29,FALSE)</f>
        <v>0</v>
      </c>
      <c r="AL147" t="str">
        <f t="shared" si="37"/>
        <v>白虎腰带是一件60级红色可升级的装备。</v>
      </c>
      <c r="AM147" t="str">
        <f>IF(D147=0,5,D147) &amp; F147&amp;"00"&amp;VLOOKUP(G147,定义数据!$F$20:$G$27,2,FALSE)&amp;".png"</f>
        <v>54005.png</v>
      </c>
      <c r="AN147" s="79">
        <f>IF(OR(G147&lt;15),0,D_装备升级表!A147)</f>
        <v>60044</v>
      </c>
      <c r="AP147">
        <f ca="1">VLOOKUP(G147&amp;I147&amp;F147,CHOOSE({1,2},装备属性计算表!$BK$32:$BK$187,装备属性计算表!$BJ$32:$BJ$187),2,FALSE)</f>
        <v>313.63638087102282</v>
      </c>
      <c r="AQ147">
        <f ca="1">AP147*'[1]0、经济设定'!$C$18</f>
        <v>15681.819043551141</v>
      </c>
      <c r="AR147">
        <f ca="1">IFERROR(AQ147*'[1]0、经济设定'!$E$19*AU147*AS147,0)</f>
        <v>2621.4580397390137</v>
      </c>
      <c r="AS147">
        <v>10</v>
      </c>
      <c r="AT147">
        <f t="shared" si="49"/>
        <v>600</v>
      </c>
      <c r="AU147">
        <f ca="1">IF(F147=0,IFERROR(AT147/AP147/'[1]0、经济设定'!$E$18,0),AU146)</f>
        <v>8.3582715514659629</v>
      </c>
      <c r="AV147">
        <f t="shared" ca="1" si="39"/>
        <v>12545.455234840912</v>
      </c>
    </row>
    <row r="148" spans="1:48" x14ac:dyDescent="0.15">
      <c r="A148" s="14" t="str">
        <f t="shared" si="44"/>
        <v>53419</v>
      </c>
      <c r="B148" s="14" t="s">
        <v>590</v>
      </c>
      <c r="C148" s="14">
        <f>VLOOKUP($I148&amp;$F148&amp;$G148,装备属性表,装备属性计算表!AK$29,FALSE)</f>
        <v>19</v>
      </c>
      <c r="D148" s="14">
        <f t="shared" si="48"/>
        <v>0</v>
      </c>
      <c r="E148" s="14" t="str">
        <f>VLOOKUP(F148,CHOOSE({1,2},定义数据!$F$2:$F$7,武器部位),2)</f>
        <v>项链</v>
      </c>
      <c r="F148" s="14">
        <v>3</v>
      </c>
      <c r="G148" s="14">
        <f>装备属性计算表!D139</f>
        <v>60</v>
      </c>
      <c r="H148" s="14">
        <f t="shared" si="45"/>
        <v>60</v>
      </c>
      <c r="I148" s="14">
        <v>4</v>
      </c>
      <c r="J148" s="14" t="str">
        <f t="shared" si="46"/>
        <v>6043</v>
      </c>
      <c r="K148" s="14" t="str">
        <f t="shared" si="47"/>
        <v>6043</v>
      </c>
      <c r="L148" s="76"/>
      <c r="M148" s="14">
        <f>IF(OR(G148&lt;15,G148=80),0,D_装备升级表!A148)</f>
        <v>60043</v>
      </c>
      <c r="N148" s="78">
        <v>1</v>
      </c>
      <c r="O148" s="14">
        <f t="shared" si="50"/>
        <v>1900</v>
      </c>
      <c r="P148" s="14"/>
      <c r="Q148" s="14">
        <f>VLOOKUP($I148&amp;$F148&amp;$G148,装备属性表,装备属性计算表!AL$29,FALSE)</f>
        <v>6</v>
      </c>
      <c r="R148" s="14">
        <f ca="1">VLOOKUP(VLOOKUP($I148&amp;$F148&amp;$G148,装备属性表,装备属性计算表!AM$29,FALSE),定义数据!$B$13:$C$35,2,FALSE)</f>
        <v>2</v>
      </c>
      <c r="S148" s="14">
        <f ca="1">VLOOKUP($I148&amp;$F148&amp;$G148,装备属性表,装备属性计算表!AN$29,FALSE)</f>
        <v>139.36920641711231</v>
      </c>
      <c r="T148" s="14">
        <f ca="1">VLOOKUP(VLOOKUP($I148&amp;$F148&amp;$G148,装备属性表,装备属性计算表!AO$29,FALSE),定义数据!$B$13:$C$35,2,FALSE)</f>
        <v>6</v>
      </c>
      <c r="U148" s="14">
        <f ca="1">VLOOKUP($I148&amp;$F148&amp;$G148,装备属性表,装备属性计算表!AP$29,FALSE)</f>
        <v>437.49999999999989</v>
      </c>
      <c r="V148" s="14">
        <f ca="1">VLOOKUP(VLOOKUP($I148&amp;$F148&amp;$G148,装备属性表,装备属性计算表!AQ$29,FALSE),定义数据!$B$13:$C$35,2,FALSE)</f>
        <v>2</v>
      </c>
      <c r="W148" s="14">
        <f ca="1">VLOOKUP($I148&amp;$F148&amp;$G148,装备属性表,装备属性计算表!AR$29,FALSE)</f>
        <v>63.711637219251365</v>
      </c>
      <c r="X148" s="14">
        <f ca="1">VLOOKUP(VLOOKUP($I148&amp;$F148&amp;$G148,装备属性表,装备属性计算表!AS$29,FALSE),定义数据!$B$13:$C$35,2,FALSE)</f>
        <v>7</v>
      </c>
      <c r="Y148" s="14">
        <f ca="1">VLOOKUP($I148&amp;$F148&amp;$G148,装备属性表,装备属性计算表!AT$29,FALSE)</f>
        <v>50</v>
      </c>
      <c r="Z148" s="14">
        <f ca="1">VLOOKUP(VLOOKUP($I148&amp;$F148&amp;$G148,装备属性表,装备属性计算表!AU$29,FALSE),定义数据!$B$13:$C$35,2,FALSE)</f>
        <v>6</v>
      </c>
      <c r="AA148" s="14">
        <f ca="1">VLOOKUP($I148&amp;$F148&amp;$G148,装备属性表,装备属性计算表!AV$29,FALSE)</f>
        <v>83.333333333333314</v>
      </c>
      <c r="AB148" s="14">
        <f ca="1">VLOOKUP(VLOOKUP($I148&amp;$F148&amp;$G148,装备属性表,装备属性计算表!AW$29,FALSE),定义数据!$B$13:$C$35,2,FALSE)</f>
        <v>8</v>
      </c>
      <c r="AC148" s="14">
        <f ca="1">VLOOKUP($I148&amp;$F148&amp;$G148,装备属性表,装备属性计算表!AX$29,FALSE)</f>
        <v>59.259259259259267</v>
      </c>
      <c r="AD148" s="14">
        <f ca="1">VLOOKUP(VLOOKUP($I148&amp;$F148&amp;$G148,装备属性表,装备属性计算表!AY$29,FALSE),定义数据!$B$13:$C$35,2,FALSE)</f>
        <v>0</v>
      </c>
      <c r="AE148" s="14">
        <f>VLOOKUP($I148&amp;$F148&amp;$G148,装备属性表,装备属性计算表!AZ$29,FALSE)</f>
        <v>0</v>
      </c>
      <c r="AF148" s="14">
        <f ca="1">VLOOKUP(VLOOKUP($I148&amp;$F148&amp;$G148,装备属性表,装备属性计算表!BA$29,FALSE),定义数据!$B$13:$C$35,2,FALSE)</f>
        <v>0</v>
      </c>
      <c r="AG148" s="14">
        <f>VLOOKUP($I148&amp;$F148&amp;$G148,装备属性表,装备属性计算表!BB$29,FALSE)</f>
        <v>0</v>
      </c>
      <c r="AH148" s="14">
        <f ca="1">VLOOKUP(VLOOKUP($I148&amp;$F148&amp;$G148,装备属性表,装备属性计算表!BC$29,FALSE),定义数据!$B$13:$C$35,2,FALSE)</f>
        <v>0</v>
      </c>
      <c r="AI148" s="14">
        <f>VLOOKUP($I148&amp;$F148&amp;$G148,装备属性表,装备属性计算表!BD$29,FALSE)</f>
        <v>0</v>
      </c>
      <c r="AJ148" s="14">
        <f ca="1">VLOOKUP(VLOOKUP($I148&amp;$F148&amp;$G148,装备属性表,装备属性计算表!BE$29,FALSE),定义数据!$B$13:$C$35,2,FALSE)</f>
        <v>0</v>
      </c>
      <c r="AK148" s="14">
        <f>VLOOKUP($I148&amp;$F148&amp;$G148,装备属性表,装备属性计算表!BF$29,FALSE)</f>
        <v>0</v>
      </c>
      <c r="AL148" t="str">
        <f t="shared" si="37"/>
        <v>白虎项链是一件60级红色可升级的装备。</v>
      </c>
      <c r="AM148" t="str">
        <f>IF(D148=0,5,D148) &amp; F148&amp;"00"&amp;VLOOKUP(G148,定义数据!$F$20:$G$27,2,FALSE)&amp;".png"</f>
        <v>53005.png</v>
      </c>
      <c r="AN148" s="79">
        <f>IF(OR(G148&lt;15),0,D_装备升级表!A148)</f>
        <v>60043</v>
      </c>
      <c r="AP148">
        <f ca="1">VLOOKUP(G148&amp;I148&amp;F148,CHOOSE({1,2},装备属性计算表!$BK$32:$BK$187,装备属性计算表!$BJ$32:$BJ$187),2,FALSE)</f>
        <v>407.83084363636368</v>
      </c>
      <c r="AQ148">
        <f ca="1">AP148*'[1]0、经济设定'!$C$18</f>
        <v>20391.542181818186</v>
      </c>
      <c r="AR148">
        <f ca="1">IFERROR(AQ148*'[1]0、经济设定'!$E$19*AU148*AS148,0)</f>
        <v>3408.7609381761822</v>
      </c>
      <c r="AS148">
        <v>10</v>
      </c>
      <c r="AT148">
        <f t="shared" si="49"/>
        <v>600</v>
      </c>
      <c r="AU148">
        <f ca="1">IF(F148=0,IFERROR(AT148/AP148/'[1]0、经济设定'!$E$18,0),AU147)</f>
        <v>8.3582715514659629</v>
      </c>
      <c r="AV148">
        <f t="shared" ca="1" si="39"/>
        <v>16313.233745454547</v>
      </c>
    </row>
    <row r="149" spans="1:48" x14ac:dyDescent="0.15">
      <c r="A149" s="14" t="str">
        <f t="shared" si="44"/>
        <v>10120</v>
      </c>
      <c r="B149" s="14" t="s">
        <v>342</v>
      </c>
      <c r="C149" s="14">
        <f>VLOOKUP($I149&amp;$F149&amp;$G149,装备属性表,装备属性计算表!AK$29,FALSE)</f>
        <v>20</v>
      </c>
      <c r="D149" s="14">
        <f t="shared" si="48"/>
        <v>1</v>
      </c>
      <c r="E149" s="14" t="str">
        <f>VLOOKUP(F149,CHOOSE({1,2},定义数据!$F$2:$F$7,武器部位),2)</f>
        <v>武器</v>
      </c>
      <c r="F149" s="14">
        <v>0</v>
      </c>
      <c r="G149" s="14">
        <v>70</v>
      </c>
      <c r="H149" s="14">
        <f t="shared" si="45"/>
        <v>70</v>
      </c>
      <c r="I149" s="14">
        <v>1</v>
      </c>
      <c r="J149" s="14" t="str">
        <f t="shared" ref="J149:J156" si="51">G149&amp;I149&amp;F149</f>
        <v>7010</v>
      </c>
      <c r="K149" s="14" t="str">
        <f t="shared" ref="K149:K156" si="52">G149&amp;I149&amp;F149</f>
        <v>7010</v>
      </c>
      <c r="L149" s="76"/>
      <c r="M149" s="14">
        <f>IF(OR(G149&lt;15,G149=80),0,D_装备升级表!A149)</f>
        <v>70110</v>
      </c>
      <c r="N149" s="78">
        <v>1</v>
      </c>
      <c r="O149" s="14">
        <f t="shared" si="50"/>
        <v>2000</v>
      </c>
      <c r="P149" s="14"/>
      <c r="Q149" s="14">
        <f>VLOOKUP($I149&amp;$F149&amp;$G149,装备属性表,装备属性计算表!AL$29,FALSE)</f>
        <v>3</v>
      </c>
      <c r="R149" s="14">
        <f ca="1">VLOOKUP(VLOOKUP($I149&amp;$F149&amp;$G149,装备属性表,装备属性计算表!AM$29,FALSE),定义数据!$B$13:$C$35,2,FALSE)</f>
        <v>2</v>
      </c>
      <c r="S149" s="14">
        <f ca="1">VLOOKUP($I149&amp;$F149&amp;$G149,装备属性表,装备属性计算表!AN$29,FALSE)</f>
        <v>358.37795935828888</v>
      </c>
      <c r="T149" s="14">
        <f ca="1">VLOOKUP(VLOOKUP($I149&amp;$F149&amp;$G149,装备属性表,装备属性计算表!AO$29,FALSE),定义数据!$B$13:$C$35,2,FALSE)</f>
        <v>8</v>
      </c>
      <c r="U149" s="14">
        <f ca="1">VLOOKUP($I149&amp;$F149&amp;$G149,装备属性表,装备属性计算表!AP$29,FALSE)</f>
        <v>222.2222222222222</v>
      </c>
      <c r="V149" s="14">
        <f ca="1">VLOOKUP(VLOOKUP($I149&amp;$F149&amp;$G149,装备属性表,装备属性计算表!AQ$29,FALSE),定义数据!$B$13:$C$35,2,FALSE)</f>
        <v>2</v>
      </c>
      <c r="W149" s="14">
        <f ca="1">VLOOKUP($I149&amp;$F149&amp;$G149,装备属性表,装备属性计算表!AR$29,FALSE)</f>
        <v>28.670236748663111</v>
      </c>
      <c r="X149" s="14">
        <f ca="1">VLOOKUP(VLOOKUP($I149&amp;$F149&amp;$G149,装备属性表,装备属性计算表!AS$29,FALSE),定义数据!$B$13:$C$35,2,FALSE)</f>
        <v>0</v>
      </c>
      <c r="Y149" s="14">
        <f>VLOOKUP($I149&amp;$F149&amp;$G149,装备属性表,装备属性计算表!AT$29,FALSE)</f>
        <v>0</v>
      </c>
      <c r="Z149" s="14">
        <f ca="1">VLOOKUP(VLOOKUP($I149&amp;$F149&amp;$G149,装备属性表,装备属性计算表!AU$29,FALSE),定义数据!$B$13:$C$35,2,FALSE)</f>
        <v>0</v>
      </c>
      <c r="AA149" s="14">
        <f>VLOOKUP($I149&amp;$F149&amp;$G149,装备属性表,装备属性计算表!AV$29,FALSE)</f>
        <v>0</v>
      </c>
      <c r="AB149" s="14">
        <f ca="1">VLOOKUP(VLOOKUP($I149&amp;$F149&amp;$G149,装备属性表,装备属性计算表!AW$29,FALSE),定义数据!$B$13:$C$35,2,FALSE)</f>
        <v>0</v>
      </c>
      <c r="AC149" s="14">
        <f>VLOOKUP($I149&amp;$F149&amp;$G149,装备属性表,装备属性计算表!AX$29,FALSE)</f>
        <v>0</v>
      </c>
      <c r="AD149" s="14">
        <f ca="1">VLOOKUP(VLOOKUP($I149&amp;$F149&amp;$G149,装备属性表,装备属性计算表!AY$29,FALSE),定义数据!$B$13:$C$35,2,FALSE)</f>
        <v>0</v>
      </c>
      <c r="AE149" s="14">
        <f>VLOOKUP($I149&amp;$F149&amp;$G149,装备属性表,装备属性计算表!AZ$29,FALSE)</f>
        <v>0</v>
      </c>
      <c r="AF149" s="14">
        <f ca="1">VLOOKUP(VLOOKUP($I149&amp;$F149&amp;$G149,装备属性表,装备属性计算表!BA$29,FALSE),定义数据!$B$13:$C$35,2,FALSE)</f>
        <v>0</v>
      </c>
      <c r="AG149" s="14">
        <f>VLOOKUP($I149&amp;$F149&amp;$G149,装备属性表,装备属性计算表!BB$29,FALSE)</f>
        <v>0</v>
      </c>
      <c r="AH149" s="14">
        <f ca="1">VLOOKUP(VLOOKUP($I149&amp;$F149&amp;$G149,装备属性表,装备属性计算表!BC$29,FALSE),定义数据!$B$13:$C$35,2,FALSE)</f>
        <v>0</v>
      </c>
      <c r="AI149" s="14">
        <f>VLOOKUP($I149&amp;$F149&amp;$G149,装备属性表,装备属性计算表!BD$29,FALSE)</f>
        <v>0</v>
      </c>
      <c r="AJ149" s="14">
        <f ca="1">VLOOKUP(VLOOKUP($I149&amp;$F149&amp;$G149,装备属性表,装备属性计算表!BE$29,FALSE),定义数据!$B$13:$C$35,2,FALSE)</f>
        <v>0</v>
      </c>
      <c r="AK149" s="14">
        <f>VLOOKUP($I149&amp;$F149&amp;$G149,装备属性表,装备属性计算表!BF$29,FALSE)</f>
        <v>0</v>
      </c>
      <c r="AL149" t="str">
        <f t="shared" si="37"/>
        <v>堕落之刃是一件70级蓝色可升级的装备。</v>
      </c>
      <c r="AM149" t="str">
        <f>IF(D149=0,5,D149) &amp; F149&amp;"00"&amp;VLOOKUP(G149,定义数据!$F$20:$G$27,2,FALSE)&amp;".png"</f>
        <v>10004.png</v>
      </c>
      <c r="AN149" s="79">
        <f>IF(OR(G149&lt;15),0,D_装备升级表!A149)</f>
        <v>70110</v>
      </c>
      <c r="AP149">
        <f ca="1">VLOOKUP(G149&amp;I149&amp;F149,CHOOSE({1,2},装备属性计算表!$BK$32:$BK$187,装备属性计算表!$BJ$32:$BJ$187),2,FALSE)</f>
        <v>436.33958147956895</v>
      </c>
      <c r="AQ149">
        <f ca="1">AP149*'[1]0、经济设定'!$C$18</f>
        <v>21816.979073978448</v>
      </c>
      <c r="AR149">
        <f ca="1">IFERROR(AQ149*'[1]0、经济设定'!$E$19*AU149*AS149,0)</f>
        <v>840</v>
      </c>
      <c r="AS149">
        <v>10</v>
      </c>
      <c r="AT149">
        <f t="shared" si="49"/>
        <v>84</v>
      </c>
      <c r="AU149">
        <f ca="1">IF(F149=0,IFERROR(AT149/AP149/'[1]0、经济设定'!$E$18,0),AU148)</f>
        <v>1.9251061229688875</v>
      </c>
      <c r="AV149">
        <f t="shared" ca="1" si="39"/>
        <v>17453.583259182757</v>
      </c>
    </row>
    <row r="150" spans="1:48" x14ac:dyDescent="0.15">
      <c r="A150" s="14" t="str">
        <f t="shared" si="44"/>
        <v>20120</v>
      </c>
      <c r="B150" s="14" t="s">
        <v>343</v>
      </c>
      <c r="C150" s="14">
        <f>VLOOKUP($I150&amp;$F150&amp;$G150,装备属性表,装备属性计算表!AK$29,FALSE)</f>
        <v>20</v>
      </c>
      <c r="D150" s="14">
        <f t="shared" si="48"/>
        <v>2</v>
      </c>
      <c r="E150" s="14" t="str">
        <f>VLOOKUP(F150,CHOOSE({1,2},定义数据!$F$2:$F$7,武器部位),2)</f>
        <v>武器</v>
      </c>
      <c r="F150" s="14">
        <v>0</v>
      </c>
      <c r="G150" s="14">
        <v>70</v>
      </c>
      <c r="H150" s="14">
        <f t="shared" si="45"/>
        <v>70</v>
      </c>
      <c r="I150" s="14">
        <v>1</v>
      </c>
      <c r="J150" s="14" t="str">
        <f t="shared" si="51"/>
        <v>7010</v>
      </c>
      <c r="K150" s="14" t="str">
        <f t="shared" si="52"/>
        <v>7010</v>
      </c>
      <c r="L150" s="76"/>
      <c r="M150" s="14">
        <f>IF(OR(G150&lt;15,G150=80),0,D_装备升级表!A150)</f>
        <v>70210</v>
      </c>
      <c r="N150" s="78">
        <v>1</v>
      </c>
      <c r="O150" s="14">
        <f t="shared" si="50"/>
        <v>2000</v>
      </c>
      <c r="P150" s="14"/>
      <c r="Q150" s="14">
        <f>VLOOKUP($I150&amp;$F150&amp;$G150,装备属性表,装备属性计算表!AL$29,FALSE)</f>
        <v>3</v>
      </c>
      <c r="R150" s="14">
        <f ca="1">VLOOKUP(VLOOKUP($I150&amp;$F150&amp;$G150,装备属性表,装备属性计算表!AM$29,FALSE),定义数据!$B$13:$C$35,2,FALSE)</f>
        <v>2</v>
      </c>
      <c r="S150" s="14">
        <f ca="1">VLOOKUP($I150&amp;$F150&amp;$G150,装备属性表,装备属性计算表!AN$29,FALSE)</f>
        <v>358.37795935828888</v>
      </c>
      <c r="T150" s="14">
        <f ca="1">VLOOKUP(VLOOKUP($I150&amp;$F150&amp;$G150,装备属性表,装备属性计算表!AO$29,FALSE),定义数据!$B$13:$C$35,2,FALSE)</f>
        <v>8</v>
      </c>
      <c r="U150" s="14">
        <f ca="1">VLOOKUP($I150&amp;$F150&amp;$G150,装备属性表,装备属性计算表!AP$29,FALSE)</f>
        <v>222.2222222222222</v>
      </c>
      <c r="V150" s="14">
        <f ca="1">VLOOKUP(VLOOKUP($I150&amp;$F150&amp;$G150,装备属性表,装备属性计算表!AQ$29,FALSE),定义数据!$B$13:$C$35,2,FALSE)</f>
        <v>2</v>
      </c>
      <c r="W150" s="14">
        <f ca="1">VLOOKUP($I150&amp;$F150&amp;$G150,装备属性表,装备属性计算表!AR$29,FALSE)</f>
        <v>28.670236748663111</v>
      </c>
      <c r="X150" s="14">
        <f ca="1">VLOOKUP(VLOOKUP($I150&amp;$F150&amp;$G150,装备属性表,装备属性计算表!AS$29,FALSE),定义数据!$B$13:$C$35,2,FALSE)</f>
        <v>0</v>
      </c>
      <c r="Y150" s="14">
        <f>VLOOKUP($I150&amp;$F150&amp;$G150,装备属性表,装备属性计算表!AT$29,FALSE)</f>
        <v>0</v>
      </c>
      <c r="Z150" s="14">
        <f ca="1">VLOOKUP(VLOOKUP($I150&amp;$F150&amp;$G150,装备属性表,装备属性计算表!AU$29,FALSE),定义数据!$B$13:$C$35,2,FALSE)</f>
        <v>0</v>
      </c>
      <c r="AA150" s="14">
        <f>VLOOKUP($I150&amp;$F150&amp;$G150,装备属性表,装备属性计算表!AV$29,FALSE)</f>
        <v>0</v>
      </c>
      <c r="AB150" s="14">
        <f ca="1">VLOOKUP(VLOOKUP($I150&amp;$F150&amp;$G150,装备属性表,装备属性计算表!AW$29,FALSE),定义数据!$B$13:$C$35,2,FALSE)</f>
        <v>0</v>
      </c>
      <c r="AC150" s="14">
        <f>VLOOKUP($I150&amp;$F150&amp;$G150,装备属性表,装备属性计算表!AX$29,FALSE)</f>
        <v>0</v>
      </c>
      <c r="AD150" s="14">
        <f ca="1">VLOOKUP(VLOOKUP($I150&amp;$F150&amp;$G150,装备属性表,装备属性计算表!AY$29,FALSE),定义数据!$B$13:$C$35,2,FALSE)</f>
        <v>0</v>
      </c>
      <c r="AE150" s="14">
        <f>VLOOKUP($I150&amp;$F150&amp;$G150,装备属性表,装备属性计算表!AZ$29,FALSE)</f>
        <v>0</v>
      </c>
      <c r="AF150" s="14">
        <f ca="1">VLOOKUP(VLOOKUP($I150&amp;$F150&amp;$G150,装备属性表,装备属性计算表!BA$29,FALSE),定义数据!$B$13:$C$35,2,FALSE)</f>
        <v>0</v>
      </c>
      <c r="AG150" s="14">
        <f>VLOOKUP($I150&amp;$F150&amp;$G150,装备属性表,装备属性计算表!BB$29,FALSE)</f>
        <v>0</v>
      </c>
      <c r="AH150" s="14">
        <f ca="1">VLOOKUP(VLOOKUP($I150&amp;$F150&amp;$G150,装备属性表,装备属性计算表!BC$29,FALSE),定义数据!$B$13:$C$35,2,FALSE)</f>
        <v>0</v>
      </c>
      <c r="AI150" s="14">
        <f>VLOOKUP($I150&amp;$F150&amp;$G150,装备属性表,装备属性计算表!BD$29,FALSE)</f>
        <v>0</v>
      </c>
      <c r="AJ150" s="14">
        <f ca="1">VLOOKUP(VLOOKUP($I150&amp;$F150&amp;$G150,装备属性表,装备属性计算表!BE$29,FALSE),定义数据!$B$13:$C$35,2,FALSE)</f>
        <v>0</v>
      </c>
      <c r="AK150" s="14">
        <f>VLOOKUP($I150&amp;$F150&amp;$G150,装备属性表,装备属性计算表!BF$29,FALSE)</f>
        <v>0</v>
      </c>
      <c r="AL150" t="str">
        <f t="shared" ref="AL150:AL212" si="53">B150&amp;"是一件"&amp;G150&amp;"级"&amp;VLOOKUP(I150,$AY$13:$AZ$18,2,FALSE)&amp;"可升级的装备。"</f>
        <v>堕落之拳是一件70级蓝色可升级的装备。</v>
      </c>
      <c r="AM150" t="str">
        <f>IF(D150=0,5,D150) &amp; F150&amp;"00"&amp;VLOOKUP(G150,定义数据!$F$20:$G$27,2,FALSE)&amp;".png"</f>
        <v>20004.png</v>
      </c>
      <c r="AN150" s="79">
        <f>IF(OR(G150&lt;15),0,D_装备升级表!A150)</f>
        <v>70210</v>
      </c>
      <c r="AP150">
        <f ca="1">VLOOKUP(G150&amp;I150&amp;F150,CHOOSE({1,2},装备属性计算表!$BK$32:$BK$187,装备属性计算表!$BJ$32:$BJ$187),2,FALSE)</f>
        <v>436.33958147956895</v>
      </c>
      <c r="AQ150">
        <f ca="1">AP150*'[1]0、经济设定'!$C$18</f>
        <v>21816.979073978448</v>
      </c>
      <c r="AR150">
        <f ca="1">IFERROR(AQ150*'[1]0、经济设定'!$E$19*AU150*AS150,0)</f>
        <v>840</v>
      </c>
      <c r="AS150">
        <v>10</v>
      </c>
      <c r="AT150">
        <f t="shared" si="49"/>
        <v>84</v>
      </c>
      <c r="AU150">
        <f ca="1">IF(F150=0,IFERROR(AT150/AP150/'[1]0、经济设定'!$E$18,0),AU149)</f>
        <v>1.9251061229688875</v>
      </c>
      <c r="AV150">
        <f t="shared" ca="1" si="39"/>
        <v>17453.583259182757</v>
      </c>
    </row>
    <row r="151" spans="1:48" x14ac:dyDescent="0.15">
      <c r="A151" s="14" t="str">
        <f t="shared" si="44"/>
        <v>30120</v>
      </c>
      <c r="B151" s="14" t="s">
        <v>344</v>
      </c>
      <c r="C151" s="14">
        <f>VLOOKUP($I151&amp;$F151&amp;$G151,装备属性表,装备属性计算表!AK$29,FALSE)</f>
        <v>20</v>
      </c>
      <c r="D151" s="14">
        <f t="shared" si="48"/>
        <v>3</v>
      </c>
      <c r="E151" s="14" t="str">
        <f>VLOOKUP(F151,CHOOSE({1,2},定义数据!$F$2:$F$7,武器部位),2)</f>
        <v>武器</v>
      </c>
      <c r="F151" s="14">
        <v>0</v>
      </c>
      <c r="G151" s="14">
        <v>70</v>
      </c>
      <c r="H151" s="14">
        <f t="shared" si="45"/>
        <v>70</v>
      </c>
      <c r="I151" s="14">
        <v>1</v>
      </c>
      <c r="J151" s="14" t="str">
        <f t="shared" si="51"/>
        <v>7010</v>
      </c>
      <c r="K151" s="14" t="str">
        <f t="shared" si="52"/>
        <v>7010</v>
      </c>
      <c r="L151" s="76"/>
      <c r="M151" s="14">
        <f>IF(OR(G151&lt;15,G151=80),0,D_装备升级表!A151)</f>
        <v>70310</v>
      </c>
      <c r="N151" s="78">
        <v>1</v>
      </c>
      <c r="O151" s="14">
        <f t="shared" si="50"/>
        <v>2000</v>
      </c>
      <c r="P151" s="14"/>
      <c r="Q151" s="14">
        <f>VLOOKUP($I151&amp;$F151&amp;$G151,装备属性表,装备属性计算表!AL$29,FALSE)</f>
        <v>3</v>
      </c>
      <c r="R151" s="14">
        <f ca="1">VLOOKUP(VLOOKUP($I151&amp;$F151&amp;$G151,装备属性表,装备属性计算表!AM$29,FALSE),定义数据!$B$13:$C$35,2,FALSE)</f>
        <v>2</v>
      </c>
      <c r="S151" s="14">
        <f ca="1">VLOOKUP($I151&amp;$F151&amp;$G151,装备属性表,装备属性计算表!AN$29,FALSE)</f>
        <v>358.37795935828888</v>
      </c>
      <c r="T151" s="14">
        <f ca="1">VLOOKUP(VLOOKUP($I151&amp;$F151&amp;$G151,装备属性表,装备属性计算表!AO$29,FALSE),定义数据!$B$13:$C$35,2,FALSE)</f>
        <v>8</v>
      </c>
      <c r="U151" s="14">
        <f ca="1">VLOOKUP($I151&amp;$F151&amp;$G151,装备属性表,装备属性计算表!AP$29,FALSE)</f>
        <v>222.2222222222222</v>
      </c>
      <c r="V151" s="14">
        <f ca="1">VLOOKUP(VLOOKUP($I151&amp;$F151&amp;$G151,装备属性表,装备属性计算表!AQ$29,FALSE),定义数据!$B$13:$C$35,2,FALSE)</f>
        <v>2</v>
      </c>
      <c r="W151" s="14">
        <f ca="1">VLOOKUP($I151&amp;$F151&amp;$G151,装备属性表,装备属性计算表!AR$29,FALSE)</f>
        <v>28.670236748663111</v>
      </c>
      <c r="X151" s="14">
        <f ca="1">VLOOKUP(VLOOKUP($I151&amp;$F151&amp;$G151,装备属性表,装备属性计算表!AS$29,FALSE),定义数据!$B$13:$C$35,2,FALSE)</f>
        <v>0</v>
      </c>
      <c r="Y151" s="14">
        <f>VLOOKUP($I151&amp;$F151&amp;$G151,装备属性表,装备属性计算表!AT$29,FALSE)</f>
        <v>0</v>
      </c>
      <c r="Z151" s="14">
        <f ca="1">VLOOKUP(VLOOKUP($I151&amp;$F151&amp;$G151,装备属性表,装备属性计算表!AU$29,FALSE),定义数据!$B$13:$C$35,2,FALSE)</f>
        <v>0</v>
      </c>
      <c r="AA151" s="14">
        <f>VLOOKUP($I151&amp;$F151&amp;$G151,装备属性表,装备属性计算表!AV$29,FALSE)</f>
        <v>0</v>
      </c>
      <c r="AB151" s="14">
        <f ca="1">VLOOKUP(VLOOKUP($I151&amp;$F151&amp;$G151,装备属性表,装备属性计算表!AW$29,FALSE),定义数据!$B$13:$C$35,2,FALSE)</f>
        <v>0</v>
      </c>
      <c r="AC151" s="14">
        <f>VLOOKUP($I151&amp;$F151&amp;$G151,装备属性表,装备属性计算表!AX$29,FALSE)</f>
        <v>0</v>
      </c>
      <c r="AD151" s="14">
        <f ca="1">VLOOKUP(VLOOKUP($I151&amp;$F151&amp;$G151,装备属性表,装备属性计算表!AY$29,FALSE),定义数据!$B$13:$C$35,2,FALSE)</f>
        <v>0</v>
      </c>
      <c r="AE151" s="14">
        <f>VLOOKUP($I151&amp;$F151&amp;$G151,装备属性表,装备属性计算表!AZ$29,FALSE)</f>
        <v>0</v>
      </c>
      <c r="AF151" s="14">
        <f ca="1">VLOOKUP(VLOOKUP($I151&amp;$F151&amp;$G151,装备属性表,装备属性计算表!BA$29,FALSE),定义数据!$B$13:$C$35,2,FALSE)</f>
        <v>0</v>
      </c>
      <c r="AG151" s="14">
        <f>VLOOKUP($I151&amp;$F151&amp;$G151,装备属性表,装备属性计算表!BB$29,FALSE)</f>
        <v>0</v>
      </c>
      <c r="AH151" s="14">
        <f ca="1">VLOOKUP(VLOOKUP($I151&amp;$F151&amp;$G151,装备属性表,装备属性计算表!BC$29,FALSE),定义数据!$B$13:$C$35,2,FALSE)</f>
        <v>0</v>
      </c>
      <c r="AI151" s="14">
        <f>VLOOKUP($I151&amp;$F151&amp;$G151,装备属性表,装备属性计算表!BD$29,FALSE)</f>
        <v>0</v>
      </c>
      <c r="AJ151" s="14">
        <f ca="1">VLOOKUP(VLOOKUP($I151&amp;$F151&amp;$G151,装备属性表,装备属性计算表!BE$29,FALSE),定义数据!$B$13:$C$35,2,FALSE)</f>
        <v>0</v>
      </c>
      <c r="AK151" s="14">
        <f>VLOOKUP($I151&amp;$F151&amp;$G151,装备属性表,装备属性计算表!BF$29,FALSE)</f>
        <v>0</v>
      </c>
      <c r="AL151" t="str">
        <f t="shared" si="53"/>
        <v>堕落之枪是一件70级蓝色可升级的装备。</v>
      </c>
      <c r="AM151" t="str">
        <f>IF(D151=0,5,D151) &amp; F151&amp;"00"&amp;VLOOKUP(G151,定义数据!$F$20:$G$27,2,FALSE)&amp;".png"</f>
        <v>30004.png</v>
      </c>
      <c r="AN151" s="79">
        <f>IF(OR(G151&lt;15),0,D_装备升级表!A151)</f>
        <v>70310</v>
      </c>
      <c r="AP151">
        <f ca="1">VLOOKUP(G151&amp;I151&amp;F151,CHOOSE({1,2},装备属性计算表!$BK$32:$BK$187,装备属性计算表!$BJ$32:$BJ$187),2,FALSE)</f>
        <v>436.33958147956895</v>
      </c>
      <c r="AQ151">
        <f ca="1">AP151*'[1]0、经济设定'!$C$18</f>
        <v>21816.979073978448</v>
      </c>
      <c r="AR151">
        <f ca="1">IFERROR(AQ151*'[1]0、经济设定'!$E$19*AU151*AS151,0)</f>
        <v>840</v>
      </c>
      <c r="AS151">
        <v>10</v>
      </c>
      <c r="AT151">
        <f t="shared" si="49"/>
        <v>84</v>
      </c>
      <c r="AU151">
        <f ca="1">IF(F151=0,IFERROR(AT151/AP151/'[1]0、经济设定'!$E$18,0),AU150)</f>
        <v>1.9251061229688875</v>
      </c>
      <c r="AV151">
        <f t="shared" ca="1" si="39"/>
        <v>17453.583259182757</v>
      </c>
    </row>
    <row r="152" spans="1:48" x14ac:dyDescent="0.15">
      <c r="A152" s="14" t="str">
        <f t="shared" si="44"/>
        <v>51120</v>
      </c>
      <c r="B152" s="14" t="s">
        <v>345</v>
      </c>
      <c r="C152" s="14">
        <f>VLOOKUP($I152&amp;$F152&amp;$G152,装备属性表,装备属性计算表!AK$29,FALSE)</f>
        <v>20</v>
      </c>
      <c r="D152" s="14">
        <f t="shared" si="48"/>
        <v>0</v>
      </c>
      <c r="E152" s="14" t="str">
        <f>VLOOKUP(F152,CHOOSE({1,2},定义数据!$F$2:$F$7,武器部位),2)</f>
        <v>衣服</v>
      </c>
      <c r="F152" s="14">
        <v>1</v>
      </c>
      <c r="G152" s="14">
        <v>70</v>
      </c>
      <c r="H152" s="14">
        <f t="shared" si="45"/>
        <v>70</v>
      </c>
      <c r="I152" s="14">
        <v>1</v>
      </c>
      <c r="J152" s="14" t="str">
        <f t="shared" si="51"/>
        <v>7011</v>
      </c>
      <c r="K152" s="14" t="str">
        <f t="shared" si="52"/>
        <v>7011</v>
      </c>
      <c r="L152" s="76"/>
      <c r="M152" s="14">
        <f>IF(OR(G152&lt;15,G152=80),0,D_装备升级表!A152)</f>
        <v>70011</v>
      </c>
      <c r="N152" s="78">
        <v>1</v>
      </c>
      <c r="O152" s="14">
        <f t="shared" si="50"/>
        <v>2000</v>
      </c>
      <c r="P152" s="14"/>
      <c r="Q152" s="14">
        <f>VLOOKUP($I152&amp;$F152&amp;$G152,装备属性表,装备属性计算表!AL$29,FALSE)</f>
        <v>3</v>
      </c>
      <c r="R152" s="14">
        <f ca="1">VLOOKUP(VLOOKUP($I152&amp;$F152&amp;$G152,装备属性表,装备属性计算表!AM$29,FALSE),定义数据!$B$13:$C$35,2,FALSE)</f>
        <v>1</v>
      </c>
      <c r="S152" s="14">
        <f ca="1">VLOOKUP($I152&amp;$F152&amp;$G152,装备属性表,装备属性计算表!AN$29,FALSE)</f>
        <v>5644.5350140570399</v>
      </c>
      <c r="T152" s="14">
        <f ca="1">VLOOKUP(VLOOKUP($I152&amp;$F152&amp;$G152,装备属性表,装备属性计算表!AO$29,FALSE),定义数据!$B$13:$C$35,2,FALSE)</f>
        <v>3</v>
      </c>
      <c r="U152" s="14">
        <f ca="1">VLOOKUP($I152&amp;$F152&amp;$G152,装备属性表,装备属性计算表!AP$29,FALSE)</f>
        <v>123.88987341421145</v>
      </c>
      <c r="V152" s="14">
        <f ca="1">VLOOKUP(VLOOKUP($I152&amp;$F152&amp;$G152,装备属性表,装备属性计算表!AQ$29,FALSE),定义数据!$B$13:$C$35,2,FALSE)</f>
        <v>1</v>
      </c>
      <c r="W152" s="14">
        <f ca="1">VLOOKUP($I152&amp;$F152&amp;$G152,装备属性表,装备属性计算表!AR$29,FALSE)</f>
        <v>313.58527855872444</v>
      </c>
      <c r="X152" s="14">
        <f ca="1">VLOOKUP(VLOOKUP($I152&amp;$F152&amp;$G152,装备属性表,装备属性计算表!AS$29,FALSE),定义数据!$B$13:$C$35,2,FALSE)</f>
        <v>0</v>
      </c>
      <c r="Y152" s="14">
        <f>VLOOKUP($I152&amp;$F152&amp;$G152,装备属性表,装备属性计算表!AT$29,FALSE)</f>
        <v>0</v>
      </c>
      <c r="Z152" s="14">
        <f ca="1">VLOOKUP(VLOOKUP($I152&amp;$F152&amp;$G152,装备属性表,装备属性计算表!AU$29,FALSE),定义数据!$B$13:$C$35,2,FALSE)</f>
        <v>0</v>
      </c>
      <c r="AA152" s="14">
        <f>VLOOKUP($I152&amp;$F152&amp;$G152,装备属性表,装备属性计算表!AV$29,FALSE)</f>
        <v>0</v>
      </c>
      <c r="AB152" s="14">
        <f ca="1">VLOOKUP(VLOOKUP($I152&amp;$F152&amp;$G152,装备属性表,装备属性计算表!AW$29,FALSE),定义数据!$B$13:$C$35,2,FALSE)</f>
        <v>0</v>
      </c>
      <c r="AC152" s="14">
        <f>VLOOKUP($I152&amp;$F152&amp;$G152,装备属性表,装备属性计算表!AX$29,FALSE)</f>
        <v>0</v>
      </c>
      <c r="AD152" s="14">
        <f ca="1">VLOOKUP(VLOOKUP($I152&amp;$F152&amp;$G152,装备属性表,装备属性计算表!AY$29,FALSE),定义数据!$B$13:$C$35,2,FALSE)</f>
        <v>0</v>
      </c>
      <c r="AE152" s="14">
        <f>VLOOKUP($I152&amp;$F152&amp;$G152,装备属性表,装备属性计算表!AZ$29,FALSE)</f>
        <v>0</v>
      </c>
      <c r="AF152" s="14">
        <f ca="1">VLOOKUP(VLOOKUP($I152&amp;$F152&amp;$G152,装备属性表,装备属性计算表!BA$29,FALSE),定义数据!$B$13:$C$35,2,FALSE)</f>
        <v>0</v>
      </c>
      <c r="AG152" s="14">
        <f>VLOOKUP($I152&amp;$F152&amp;$G152,装备属性表,装备属性计算表!BB$29,FALSE)</f>
        <v>0</v>
      </c>
      <c r="AH152" s="14">
        <f ca="1">VLOOKUP(VLOOKUP($I152&amp;$F152&amp;$G152,装备属性表,装备属性计算表!BC$29,FALSE),定义数据!$B$13:$C$35,2,FALSE)</f>
        <v>0</v>
      </c>
      <c r="AI152" s="14">
        <f>VLOOKUP($I152&amp;$F152&amp;$G152,装备属性表,装备属性计算表!BD$29,FALSE)</f>
        <v>0</v>
      </c>
      <c r="AJ152" s="14">
        <f ca="1">VLOOKUP(VLOOKUP($I152&amp;$F152&amp;$G152,装备属性表,装备属性计算表!BE$29,FALSE),定义数据!$B$13:$C$35,2,FALSE)</f>
        <v>0</v>
      </c>
      <c r="AK152" s="14">
        <f>VLOOKUP($I152&amp;$F152&amp;$G152,装备属性表,装备属性计算表!BF$29,FALSE)</f>
        <v>0</v>
      </c>
      <c r="AL152" t="str">
        <f t="shared" si="53"/>
        <v>堕落战衣是一件70级蓝色可升级的装备。</v>
      </c>
      <c r="AM152" t="str">
        <f>IF(D152=0,5,D152) &amp; F152&amp;"00"&amp;VLOOKUP(G152,定义数据!$F$20:$G$27,2,FALSE)&amp;".png"</f>
        <v>51004.png</v>
      </c>
      <c r="AN152" s="79">
        <f>IF(OR(G152&lt;15),0,D_装备升级表!A152)</f>
        <v>70011</v>
      </c>
      <c r="AP152">
        <f ca="1">VLOOKUP(G152&amp;I152&amp;F152,CHOOSE({1,2},装备属性计算表!$BK$32:$BK$187,装备属性计算表!$BJ$32:$BJ$187),2,FALSE)</f>
        <v>376.4221745700263</v>
      </c>
      <c r="AQ152">
        <f ca="1">AP152*'[1]0、经济设定'!$C$18</f>
        <v>18821.108728501316</v>
      </c>
      <c r="AR152">
        <f ca="1">IFERROR(AQ152*'[1]0、经济设定'!$E$19*AU152*AS152,0)</f>
        <v>724.65263308602107</v>
      </c>
      <c r="AS152">
        <v>10</v>
      </c>
      <c r="AT152">
        <f t="shared" si="49"/>
        <v>84</v>
      </c>
      <c r="AU152">
        <f ca="1">IF(F152=0,IFERROR(AT152/AP152/'[1]0、经济设定'!$E$18,0),AU151)</f>
        <v>1.9251061229688875</v>
      </c>
      <c r="AV152">
        <f t="shared" ca="1" si="39"/>
        <v>15056.886982801052</v>
      </c>
    </row>
    <row r="153" spans="1:48" x14ac:dyDescent="0.15">
      <c r="A153" s="14" t="str">
        <f t="shared" si="44"/>
        <v>52120</v>
      </c>
      <c r="B153" s="14" t="s">
        <v>346</v>
      </c>
      <c r="C153" s="14">
        <f>VLOOKUP($I153&amp;$F153&amp;$G153,装备属性表,装备属性计算表!AK$29,FALSE)</f>
        <v>20</v>
      </c>
      <c r="D153" s="14">
        <f t="shared" si="48"/>
        <v>0</v>
      </c>
      <c r="E153" s="14" t="str">
        <f>VLOOKUP(F153,CHOOSE({1,2},定义数据!$F$2:$F$7,武器部位),2)</f>
        <v>裤子</v>
      </c>
      <c r="F153" s="14">
        <v>2</v>
      </c>
      <c r="G153" s="14">
        <v>70</v>
      </c>
      <c r="H153" s="14">
        <f t="shared" si="45"/>
        <v>70</v>
      </c>
      <c r="I153" s="14">
        <v>1</v>
      </c>
      <c r="J153" s="14" t="str">
        <f t="shared" si="51"/>
        <v>7012</v>
      </c>
      <c r="K153" s="14" t="str">
        <f t="shared" si="52"/>
        <v>7012</v>
      </c>
      <c r="L153" s="76"/>
      <c r="M153" s="14">
        <f>IF(OR(G153&lt;15,G153=80),0,D_装备升级表!A153)</f>
        <v>70012</v>
      </c>
      <c r="N153" s="78">
        <v>1</v>
      </c>
      <c r="O153" s="14">
        <f t="shared" si="50"/>
        <v>2000</v>
      </c>
      <c r="P153" s="14"/>
      <c r="Q153" s="14">
        <f>VLOOKUP($I153&amp;$F153&amp;$G153,装备属性表,装备属性计算表!AL$29,FALSE)</f>
        <v>3</v>
      </c>
      <c r="R153" s="14">
        <f ca="1">VLOOKUP(VLOOKUP($I153&amp;$F153&amp;$G153,装备属性表,装备属性计算表!AM$29,FALSE),定义数据!$B$13:$C$35,2,FALSE)</f>
        <v>3</v>
      </c>
      <c r="S153" s="14">
        <f ca="1">VLOOKUP($I153&amp;$F153&amp;$G153,装备属性表,装备属性计算表!AN$29,FALSE)</f>
        <v>82.593248942807634</v>
      </c>
      <c r="T153" s="14">
        <f ca="1">VLOOKUP(VLOOKUP($I153&amp;$F153&amp;$G153,装备属性表,装备属性计算表!AO$29,FALSE),定义数据!$B$13:$C$35,2,FALSE)</f>
        <v>7</v>
      </c>
      <c r="U153" s="14">
        <f ca="1">VLOOKUP($I153&amp;$F153&amp;$G153,装备属性表,装备属性计算表!AP$29,FALSE)</f>
        <v>125</v>
      </c>
      <c r="V153" s="14">
        <f ca="1">VLOOKUP(VLOOKUP($I153&amp;$F153&amp;$G153,装备属性表,装备属性计算表!AQ$29,FALSE),定义数据!$B$13:$C$35,2,FALSE)</f>
        <v>1</v>
      </c>
      <c r="W153" s="14">
        <f ca="1">VLOOKUP($I153&amp;$F153&amp;$G153,装备属性表,装备属性计算表!AR$29,FALSE)</f>
        <v>156.79263927936222</v>
      </c>
      <c r="X153" s="14">
        <f ca="1">VLOOKUP(VLOOKUP($I153&amp;$F153&amp;$G153,装备属性表,装备属性计算表!AS$29,FALSE),定义数据!$B$13:$C$35,2,FALSE)</f>
        <v>0</v>
      </c>
      <c r="Y153" s="14">
        <f>VLOOKUP($I153&amp;$F153&amp;$G153,装备属性表,装备属性计算表!AT$29,FALSE)</f>
        <v>0</v>
      </c>
      <c r="Z153" s="14">
        <f ca="1">VLOOKUP(VLOOKUP($I153&amp;$F153&amp;$G153,装备属性表,装备属性计算表!AU$29,FALSE),定义数据!$B$13:$C$35,2,FALSE)</f>
        <v>0</v>
      </c>
      <c r="AA153" s="14">
        <f>VLOOKUP($I153&amp;$F153&amp;$G153,装备属性表,装备属性计算表!AV$29,FALSE)</f>
        <v>0</v>
      </c>
      <c r="AB153" s="14">
        <f ca="1">VLOOKUP(VLOOKUP($I153&amp;$F153&amp;$G153,装备属性表,装备属性计算表!AW$29,FALSE),定义数据!$B$13:$C$35,2,FALSE)</f>
        <v>0</v>
      </c>
      <c r="AC153" s="14">
        <f>VLOOKUP($I153&amp;$F153&amp;$G153,装备属性表,装备属性计算表!AX$29,FALSE)</f>
        <v>0</v>
      </c>
      <c r="AD153" s="14">
        <f ca="1">VLOOKUP(VLOOKUP($I153&amp;$F153&amp;$G153,装备属性表,装备属性计算表!AY$29,FALSE),定义数据!$B$13:$C$35,2,FALSE)</f>
        <v>0</v>
      </c>
      <c r="AE153" s="14">
        <f>VLOOKUP($I153&amp;$F153&amp;$G153,装备属性表,装备属性计算表!AZ$29,FALSE)</f>
        <v>0</v>
      </c>
      <c r="AF153" s="14">
        <f ca="1">VLOOKUP(VLOOKUP($I153&amp;$F153&amp;$G153,装备属性表,装备属性计算表!BA$29,FALSE),定义数据!$B$13:$C$35,2,FALSE)</f>
        <v>0</v>
      </c>
      <c r="AG153" s="14">
        <f>VLOOKUP($I153&amp;$F153&amp;$G153,装备属性表,装备属性计算表!BB$29,FALSE)</f>
        <v>0</v>
      </c>
      <c r="AH153" s="14">
        <f ca="1">VLOOKUP(VLOOKUP($I153&amp;$F153&amp;$G153,装备属性表,装备属性计算表!BC$29,FALSE),定义数据!$B$13:$C$35,2,FALSE)</f>
        <v>0</v>
      </c>
      <c r="AI153" s="14">
        <f>VLOOKUP($I153&amp;$F153&amp;$G153,装备属性表,装备属性计算表!BD$29,FALSE)</f>
        <v>0</v>
      </c>
      <c r="AJ153" s="14">
        <f ca="1">VLOOKUP(VLOOKUP($I153&amp;$F153&amp;$G153,装备属性表,装备属性计算表!BE$29,FALSE),定义数据!$B$13:$C$35,2,FALSE)</f>
        <v>0</v>
      </c>
      <c r="AK153" s="14">
        <f>VLOOKUP($I153&amp;$F153&amp;$G153,装备属性表,装备属性计算表!BF$29,FALSE)</f>
        <v>0</v>
      </c>
      <c r="AL153" t="str">
        <f t="shared" si="53"/>
        <v>堕落长裤是一件70级蓝色可升级的装备。</v>
      </c>
      <c r="AM153" t="str">
        <f>IF(D153=0,5,D153) &amp; F153&amp;"00"&amp;VLOOKUP(G153,定义数据!$F$20:$G$27,2,FALSE)&amp;".png"</f>
        <v>52004.png</v>
      </c>
      <c r="AN153" s="79">
        <f>IF(OR(G153&lt;15),0,D_装备升级表!A153)</f>
        <v>70012</v>
      </c>
      <c r="AP153">
        <f ca="1">VLOOKUP(G153&amp;I153&amp;F153,CHOOSE({1,2},装备属性计算表!$BK$32:$BK$187,装备属性计算表!$BJ$32:$BJ$187),2,FALSE)</f>
        <v>138.68967321993244</v>
      </c>
      <c r="AQ153">
        <f ca="1">AP153*'[1]0、经济设定'!$C$18</f>
        <v>6934.4836609966223</v>
      </c>
      <c r="AR153">
        <f ca="1">IFERROR(AQ153*'[1]0、经济设定'!$E$19*AU153*AS153,0)</f>
        <v>266.99233910824609</v>
      </c>
      <c r="AS153">
        <v>10</v>
      </c>
      <c r="AT153">
        <f t="shared" si="49"/>
        <v>84</v>
      </c>
      <c r="AU153">
        <f ca="1">IF(F153=0,IFERROR(AT153/AP153/'[1]0、经济设定'!$E$18,0),AU152)</f>
        <v>1.9251061229688875</v>
      </c>
      <c r="AV153">
        <f t="shared" ca="1" si="39"/>
        <v>5547.5869287972982</v>
      </c>
    </row>
    <row r="154" spans="1:48" x14ac:dyDescent="0.15">
      <c r="A154" s="14" t="str">
        <f t="shared" si="44"/>
        <v>55120</v>
      </c>
      <c r="B154" s="14" t="s">
        <v>347</v>
      </c>
      <c r="C154" s="14">
        <f>VLOOKUP($I154&amp;$F154&amp;$G154,装备属性表,装备属性计算表!AK$29,FALSE)</f>
        <v>20</v>
      </c>
      <c r="D154" s="14">
        <f t="shared" si="48"/>
        <v>0</v>
      </c>
      <c r="E154" s="14" t="str">
        <f>VLOOKUP(F154,CHOOSE({1,2},定义数据!$F$2:$F$7,武器部位),2)</f>
        <v>鞋子</v>
      </c>
      <c r="F154" s="14">
        <v>5</v>
      </c>
      <c r="G154" s="14">
        <v>70</v>
      </c>
      <c r="H154" s="14">
        <f t="shared" si="45"/>
        <v>70</v>
      </c>
      <c r="I154" s="14">
        <v>1</v>
      </c>
      <c r="J154" s="14" t="str">
        <f t="shared" si="51"/>
        <v>7015</v>
      </c>
      <c r="K154" s="14" t="str">
        <f t="shared" si="52"/>
        <v>7015</v>
      </c>
      <c r="L154" s="76"/>
      <c r="M154" s="14">
        <f>IF(OR(G154&lt;15,G154=80),0,D_装备升级表!A154)</f>
        <v>70015</v>
      </c>
      <c r="N154" s="78">
        <v>1</v>
      </c>
      <c r="O154" s="14">
        <f t="shared" si="50"/>
        <v>2000</v>
      </c>
      <c r="P154" s="14"/>
      <c r="Q154" s="14">
        <f>VLOOKUP($I154&amp;$F154&amp;$G154,装备属性表,装备属性计算表!AL$29,FALSE)</f>
        <v>3</v>
      </c>
      <c r="R154" s="14">
        <f ca="1">VLOOKUP(VLOOKUP($I154&amp;$F154&amp;$G154,装备属性表,装备属性计算表!AM$29,FALSE),定义数据!$B$13:$C$35,2,FALSE)</f>
        <v>1</v>
      </c>
      <c r="S154" s="14">
        <f ca="1">VLOOKUP($I154&amp;$F154&amp;$G154,装备属性表,装备属性计算表!AN$29,FALSE)</f>
        <v>1881.5116713523469</v>
      </c>
      <c r="T154" s="14">
        <f ca="1">VLOOKUP(VLOOKUP($I154&amp;$F154&amp;$G154,装备属性表,装备属性计算表!AO$29,FALSE),定义数据!$B$13:$C$35,2,FALSE)</f>
        <v>7</v>
      </c>
      <c r="U154" s="14">
        <f ca="1">VLOOKUP($I154&amp;$F154&amp;$G154,装备属性表,装备属性计算表!AP$29,FALSE)</f>
        <v>250</v>
      </c>
      <c r="V154" s="14">
        <f ca="1">VLOOKUP(VLOOKUP($I154&amp;$F154&amp;$G154,装备属性表,装备属性计算表!AQ$29,FALSE),定义数据!$B$13:$C$35,2,FALSE)</f>
        <v>1</v>
      </c>
      <c r="W154" s="14">
        <f ca="1">VLOOKUP($I154&amp;$F154&amp;$G154,装备属性表,装备属性计算表!AR$29,FALSE)</f>
        <v>156.79263927936222</v>
      </c>
      <c r="X154" s="14">
        <f ca="1">VLOOKUP(VLOOKUP($I154&amp;$F154&amp;$G154,装备属性表,装备属性计算表!AS$29,FALSE),定义数据!$B$13:$C$35,2,FALSE)</f>
        <v>0</v>
      </c>
      <c r="Y154" s="14">
        <f>VLOOKUP($I154&amp;$F154&amp;$G154,装备属性表,装备属性计算表!AT$29,FALSE)</f>
        <v>0</v>
      </c>
      <c r="Z154" s="14">
        <f ca="1">VLOOKUP(VLOOKUP($I154&amp;$F154&amp;$G154,装备属性表,装备属性计算表!AU$29,FALSE),定义数据!$B$13:$C$35,2,FALSE)</f>
        <v>0</v>
      </c>
      <c r="AA154" s="14">
        <f>VLOOKUP($I154&amp;$F154&amp;$G154,装备属性表,装备属性计算表!AV$29,FALSE)</f>
        <v>0</v>
      </c>
      <c r="AB154" s="14">
        <f ca="1">VLOOKUP(VLOOKUP($I154&amp;$F154&amp;$G154,装备属性表,装备属性计算表!AW$29,FALSE),定义数据!$B$13:$C$35,2,FALSE)</f>
        <v>0</v>
      </c>
      <c r="AC154" s="14">
        <f>VLOOKUP($I154&amp;$F154&amp;$G154,装备属性表,装备属性计算表!AX$29,FALSE)</f>
        <v>0</v>
      </c>
      <c r="AD154" s="14">
        <f ca="1">VLOOKUP(VLOOKUP($I154&amp;$F154&amp;$G154,装备属性表,装备属性计算表!AY$29,FALSE),定义数据!$B$13:$C$35,2,FALSE)</f>
        <v>0</v>
      </c>
      <c r="AE154" s="14">
        <f>VLOOKUP($I154&amp;$F154&amp;$G154,装备属性表,装备属性计算表!AZ$29,FALSE)</f>
        <v>0</v>
      </c>
      <c r="AF154" s="14">
        <f ca="1">VLOOKUP(VLOOKUP($I154&amp;$F154&amp;$G154,装备属性表,装备属性计算表!BA$29,FALSE),定义数据!$B$13:$C$35,2,FALSE)</f>
        <v>0</v>
      </c>
      <c r="AG154" s="14">
        <f>VLOOKUP($I154&amp;$F154&amp;$G154,装备属性表,装备属性计算表!BB$29,FALSE)</f>
        <v>0</v>
      </c>
      <c r="AH154" s="14">
        <f ca="1">VLOOKUP(VLOOKUP($I154&amp;$F154&amp;$G154,装备属性表,装备属性计算表!BC$29,FALSE),定义数据!$B$13:$C$35,2,FALSE)</f>
        <v>0</v>
      </c>
      <c r="AI154" s="14">
        <f>VLOOKUP($I154&amp;$F154&amp;$G154,装备属性表,装备属性计算表!BD$29,FALSE)</f>
        <v>0</v>
      </c>
      <c r="AJ154" s="14">
        <f ca="1">VLOOKUP(VLOOKUP($I154&amp;$F154&amp;$G154,装备属性表,装备属性计算表!BE$29,FALSE),定义数据!$B$13:$C$35,2,FALSE)</f>
        <v>0</v>
      </c>
      <c r="AK154" s="14">
        <f>VLOOKUP($I154&amp;$F154&amp;$G154,装备属性表,装备属性计算表!BF$29,FALSE)</f>
        <v>0</v>
      </c>
      <c r="AL154" t="str">
        <f t="shared" si="53"/>
        <v>堕落长靴是一件70级蓝色可升级的装备。</v>
      </c>
      <c r="AM154" t="str">
        <f>IF(D154=0,5,D154) &amp; F154&amp;"00"&amp;VLOOKUP(G154,定义数据!$F$20:$G$27,2,FALSE)&amp;".png"</f>
        <v>55004.png</v>
      </c>
      <c r="AN154" s="79">
        <f>IF(OR(G154&lt;15),0,D_装备升级表!A154)</f>
        <v>70015</v>
      </c>
      <c r="AP154">
        <f ca="1">VLOOKUP(G154&amp;I154&amp;F154,CHOOSE({1,2},装备属性计算表!$BK$32:$BK$187,装备属性计算表!$BJ$32:$BJ$187),2,FALSE)</f>
        <v>176.68217242526836</v>
      </c>
      <c r="AQ154">
        <f ca="1">AP154*'[1]0、经济设定'!$C$18</f>
        <v>8834.1086212634182</v>
      </c>
      <c r="AR154">
        <f ca="1">IFERROR(AQ154*'[1]0、经济设定'!$E$19*AU154*AS154,0)</f>
        <v>340.13193195532887</v>
      </c>
      <c r="AS154">
        <v>10</v>
      </c>
      <c r="AT154">
        <f t="shared" si="49"/>
        <v>84</v>
      </c>
      <c r="AU154">
        <f ca="1">IF(F154=0,IFERROR(AT154/AP154/'[1]0、经济设定'!$E$18,0),AU153)</f>
        <v>1.9251061229688875</v>
      </c>
      <c r="AV154">
        <f t="shared" ca="1" si="39"/>
        <v>7067.2868970107347</v>
      </c>
    </row>
    <row r="155" spans="1:48" x14ac:dyDescent="0.15">
      <c r="A155" s="14" t="str">
        <f t="shared" si="44"/>
        <v>54120</v>
      </c>
      <c r="B155" s="14" t="s">
        <v>348</v>
      </c>
      <c r="C155" s="14">
        <f>VLOOKUP($I155&amp;$F155&amp;$G155,装备属性表,装备属性计算表!AK$29,FALSE)</f>
        <v>20</v>
      </c>
      <c r="D155" s="14">
        <f t="shared" si="48"/>
        <v>0</v>
      </c>
      <c r="E155" s="14" t="str">
        <f>VLOOKUP(F155,CHOOSE({1,2},定义数据!$F$2:$F$7,武器部位),2)</f>
        <v>腰带</v>
      </c>
      <c r="F155" s="14">
        <v>4</v>
      </c>
      <c r="G155" s="14">
        <v>70</v>
      </c>
      <c r="H155" s="14">
        <f t="shared" si="45"/>
        <v>70</v>
      </c>
      <c r="I155" s="14">
        <v>1</v>
      </c>
      <c r="J155" s="14" t="str">
        <f t="shared" si="51"/>
        <v>7014</v>
      </c>
      <c r="K155" s="14" t="str">
        <f t="shared" si="52"/>
        <v>7014</v>
      </c>
      <c r="L155" s="76"/>
      <c r="M155" s="14">
        <f>IF(OR(G155&lt;15,G155=80),0,D_装备升级表!A155)</f>
        <v>70014</v>
      </c>
      <c r="N155" s="78">
        <v>1</v>
      </c>
      <c r="O155" s="14">
        <f t="shared" si="50"/>
        <v>2000</v>
      </c>
      <c r="P155" s="14"/>
      <c r="Q155" s="14">
        <f>VLOOKUP($I155&amp;$F155&amp;$G155,装备属性表,装备属性计算表!AL$29,FALSE)</f>
        <v>3</v>
      </c>
      <c r="R155" s="14">
        <f ca="1">VLOOKUP(VLOOKUP($I155&amp;$F155&amp;$G155,装备属性表,装备属性计算表!AM$29,FALSE),定义数据!$B$13:$C$35,2,FALSE)</f>
        <v>1</v>
      </c>
      <c r="S155" s="14">
        <f ca="1">VLOOKUP($I155&amp;$F155&amp;$G155,装备属性表,装备属性计算表!AN$29,FALSE)</f>
        <v>1881.5116713523469</v>
      </c>
      <c r="T155" s="14">
        <f ca="1">VLOOKUP(VLOOKUP($I155&amp;$F155&amp;$G155,装备属性表,装备属性计算表!AO$29,FALSE),定义数据!$B$13:$C$35,2,FALSE)</f>
        <v>9</v>
      </c>
      <c r="U155" s="14">
        <f ca="1">VLOOKUP($I155&amp;$F155&amp;$G155,装备属性表,装备属性计算表!AP$29,FALSE)</f>
        <v>222.2222222222222</v>
      </c>
      <c r="V155" s="14">
        <f ca="1">VLOOKUP(VLOOKUP($I155&amp;$F155&amp;$G155,装备属性表,装备属性计算表!AQ$29,FALSE),定义数据!$B$13:$C$35,2,FALSE)</f>
        <v>1</v>
      </c>
      <c r="W155" s="14">
        <f ca="1">VLOOKUP($I155&amp;$F155&amp;$G155,装备属性表,装备属性计算表!AR$29,FALSE)</f>
        <v>313.58527855872444</v>
      </c>
      <c r="X155" s="14">
        <f ca="1">VLOOKUP(VLOOKUP($I155&amp;$F155&amp;$G155,装备属性表,装备属性计算表!AS$29,FALSE),定义数据!$B$13:$C$35,2,FALSE)</f>
        <v>0</v>
      </c>
      <c r="Y155" s="14">
        <f>VLOOKUP($I155&amp;$F155&amp;$G155,装备属性表,装备属性计算表!AT$29,FALSE)</f>
        <v>0</v>
      </c>
      <c r="Z155" s="14">
        <f ca="1">VLOOKUP(VLOOKUP($I155&amp;$F155&amp;$G155,装备属性表,装备属性计算表!AU$29,FALSE),定义数据!$B$13:$C$35,2,FALSE)</f>
        <v>0</v>
      </c>
      <c r="AA155" s="14">
        <f>VLOOKUP($I155&amp;$F155&amp;$G155,装备属性表,装备属性计算表!AV$29,FALSE)</f>
        <v>0</v>
      </c>
      <c r="AB155" s="14">
        <f ca="1">VLOOKUP(VLOOKUP($I155&amp;$F155&amp;$G155,装备属性表,装备属性计算表!AW$29,FALSE),定义数据!$B$13:$C$35,2,FALSE)</f>
        <v>0</v>
      </c>
      <c r="AC155" s="14">
        <f>VLOOKUP($I155&amp;$F155&amp;$G155,装备属性表,装备属性计算表!AX$29,FALSE)</f>
        <v>0</v>
      </c>
      <c r="AD155" s="14">
        <f ca="1">VLOOKUP(VLOOKUP($I155&amp;$F155&amp;$G155,装备属性表,装备属性计算表!AY$29,FALSE),定义数据!$B$13:$C$35,2,FALSE)</f>
        <v>0</v>
      </c>
      <c r="AE155" s="14">
        <f>VLOOKUP($I155&amp;$F155&amp;$G155,装备属性表,装备属性计算表!AZ$29,FALSE)</f>
        <v>0</v>
      </c>
      <c r="AF155" s="14">
        <f ca="1">VLOOKUP(VLOOKUP($I155&amp;$F155&amp;$G155,装备属性表,装备属性计算表!BA$29,FALSE),定义数据!$B$13:$C$35,2,FALSE)</f>
        <v>0</v>
      </c>
      <c r="AG155" s="14">
        <f>VLOOKUP($I155&amp;$F155&amp;$G155,装备属性表,装备属性计算表!BB$29,FALSE)</f>
        <v>0</v>
      </c>
      <c r="AH155" s="14">
        <f ca="1">VLOOKUP(VLOOKUP($I155&amp;$F155&amp;$G155,装备属性表,装备属性计算表!BC$29,FALSE),定义数据!$B$13:$C$35,2,FALSE)</f>
        <v>0</v>
      </c>
      <c r="AI155" s="14">
        <f>VLOOKUP($I155&amp;$F155&amp;$G155,装备属性表,装备属性计算表!BD$29,FALSE)</f>
        <v>0</v>
      </c>
      <c r="AJ155" s="14">
        <f ca="1">VLOOKUP(VLOOKUP($I155&amp;$F155&amp;$G155,装备属性表,装备属性计算表!BE$29,FALSE),定义数据!$B$13:$C$35,2,FALSE)</f>
        <v>0</v>
      </c>
      <c r="AK155" s="14">
        <f>VLOOKUP($I155&amp;$F155&amp;$G155,装备属性表,装备属性计算表!BF$29,FALSE)</f>
        <v>0</v>
      </c>
      <c r="AL155" t="str">
        <f t="shared" si="53"/>
        <v>堕落腰带是一件70级蓝色可升级的装备。</v>
      </c>
      <c r="AM155" t="str">
        <f>IF(D155=0,5,D155) &amp; F155&amp;"00"&amp;VLOOKUP(G155,定义数据!$F$20:$G$27,2,FALSE)&amp;".png"</f>
        <v>54004.png</v>
      </c>
      <c r="AN155" s="79">
        <f>IF(OR(G155&lt;15),0,D_装备升级表!A155)</f>
        <v>70014</v>
      </c>
      <c r="AP155">
        <f ca="1">VLOOKUP(G155&amp;I155&amp;F155,CHOOSE({1,2},装备属性计算表!$BK$32:$BK$187,装备属性计算表!$BJ$32:$BJ$187),2,FALSE)</f>
        <v>142.13534228528087</v>
      </c>
      <c r="AQ155">
        <f ca="1">AP155*'[1]0、经济设定'!$C$18</f>
        <v>7106.7671142640438</v>
      </c>
      <c r="AR155">
        <f ca="1">IFERROR(AQ155*'[1]0、经济设定'!$E$19*AU155*AS155,0)</f>
        <v>273.62561772367286</v>
      </c>
      <c r="AS155">
        <v>10</v>
      </c>
      <c r="AT155">
        <f t="shared" si="49"/>
        <v>84</v>
      </c>
      <c r="AU155">
        <f ca="1">IF(F155=0,IFERROR(AT155/AP155/'[1]0、经济设定'!$E$18,0),AU154)</f>
        <v>1.9251061229688875</v>
      </c>
      <c r="AV155">
        <f t="shared" ca="1" si="39"/>
        <v>5685.413691411235</v>
      </c>
    </row>
    <row r="156" spans="1:48" x14ac:dyDescent="0.15">
      <c r="A156" s="14" t="str">
        <f t="shared" si="44"/>
        <v>53120</v>
      </c>
      <c r="B156" s="14" t="s">
        <v>349</v>
      </c>
      <c r="C156" s="14">
        <f>VLOOKUP($I156&amp;$F156&amp;$G156,装备属性表,装备属性计算表!AK$29,FALSE)</f>
        <v>20</v>
      </c>
      <c r="D156" s="14">
        <f t="shared" si="48"/>
        <v>0</v>
      </c>
      <c r="E156" s="14" t="str">
        <f>VLOOKUP(F156,CHOOSE({1,2},定义数据!$F$2:$F$7,武器部位),2)</f>
        <v>项链</v>
      </c>
      <c r="F156" s="14">
        <v>3</v>
      </c>
      <c r="G156" s="14">
        <v>70</v>
      </c>
      <c r="H156" s="14">
        <f t="shared" si="45"/>
        <v>70</v>
      </c>
      <c r="I156" s="14">
        <v>1</v>
      </c>
      <c r="J156" s="14" t="str">
        <f t="shared" si="51"/>
        <v>7013</v>
      </c>
      <c r="K156" s="14" t="str">
        <f t="shared" si="52"/>
        <v>7013</v>
      </c>
      <c r="L156" s="76"/>
      <c r="M156" s="14">
        <f>IF(OR(G156&lt;15,G156=80),0,D_装备升级表!A156)</f>
        <v>70013</v>
      </c>
      <c r="N156" s="78">
        <v>1</v>
      </c>
      <c r="O156" s="14">
        <f t="shared" si="50"/>
        <v>2000</v>
      </c>
      <c r="P156" s="14"/>
      <c r="Q156" s="14">
        <f>VLOOKUP($I156&amp;$F156&amp;$G156,装备属性表,装备属性计算表!AL$29,FALSE)</f>
        <v>3</v>
      </c>
      <c r="R156" s="14">
        <f ca="1">VLOOKUP(VLOOKUP($I156&amp;$F156&amp;$G156,装备属性表,装备属性计算表!AM$29,FALSE),定义数据!$B$13:$C$35,2,FALSE)</f>
        <v>2</v>
      </c>
      <c r="S156" s="14">
        <f ca="1">VLOOKUP($I156&amp;$F156&amp;$G156,装备属性表,装备属性计算表!AN$29,FALSE)</f>
        <v>119.45931978609629</v>
      </c>
      <c r="T156" s="14">
        <f ca="1">VLOOKUP(VLOOKUP($I156&amp;$F156&amp;$G156,装备属性表,装备属性计算表!AO$29,FALSE),定义数据!$B$13:$C$35,2,FALSE)</f>
        <v>6</v>
      </c>
      <c r="U156" s="14">
        <f ca="1">VLOOKUP($I156&amp;$F156&amp;$G156,装备属性表,装备属性计算表!AP$29,FALSE)</f>
        <v>375</v>
      </c>
      <c r="V156" s="14">
        <f ca="1">VLOOKUP(VLOOKUP($I156&amp;$F156&amp;$G156,装备属性表,装备属性计算表!AQ$29,FALSE),定义数据!$B$13:$C$35,2,FALSE)</f>
        <v>2</v>
      </c>
      <c r="W156" s="14">
        <f ca="1">VLOOKUP($I156&amp;$F156&amp;$G156,装备属性表,装备属性计算表!AR$29,FALSE)</f>
        <v>9.5567455828877037</v>
      </c>
      <c r="X156" s="14">
        <f ca="1">VLOOKUP(VLOOKUP($I156&amp;$F156&amp;$G156,装备属性表,装备属性计算表!AS$29,FALSE),定义数据!$B$13:$C$35,2,FALSE)</f>
        <v>0</v>
      </c>
      <c r="Y156" s="14">
        <f>VLOOKUP($I156&amp;$F156&amp;$G156,装备属性表,装备属性计算表!AT$29,FALSE)</f>
        <v>0</v>
      </c>
      <c r="Z156" s="14">
        <f ca="1">VLOOKUP(VLOOKUP($I156&amp;$F156&amp;$G156,装备属性表,装备属性计算表!AU$29,FALSE),定义数据!$B$13:$C$35,2,FALSE)</f>
        <v>0</v>
      </c>
      <c r="AA156" s="14">
        <f>VLOOKUP($I156&amp;$F156&amp;$G156,装备属性表,装备属性计算表!AV$29,FALSE)</f>
        <v>0</v>
      </c>
      <c r="AB156" s="14">
        <f ca="1">VLOOKUP(VLOOKUP($I156&amp;$F156&amp;$G156,装备属性表,装备属性计算表!AW$29,FALSE),定义数据!$B$13:$C$35,2,FALSE)</f>
        <v>0</v>
      </c>
      <c r="AC156" s="14">
        <f>VLOOKUP($I156&amp;$F156&amp;$G156,装备属性表,装备属性计算表!AX$29,FALSE)</f>
        <v>0</v>
      </c>
      <c r="AD156" s="14">
        <f ca="1">VLOOKUP(VLOOKUP($I156&amp;$F156&amp;$G156,装备属性表,装备属性计算表!AY$29,FALSE),定义数据!$B$13:$C$35,2,FALSE)</f>
        <v>0</v>
      </c>
      <c r="AE156" s="14">
        <f>VLOOKUP($I156&amp;$F156&amp;$G156,装备属性表,装备属性计算表!AZ$29,FALSE)</f>
        <v>0</v>
      </c>
      <c r="AF156" s="14">
        <f ca="1">VLOOKUP(VLOOKUP($I156&amp;$F156&amp;$G156,装备属性表,装备属性计算表!BA$29,FALSE),定义数据!$B$13:$C$35,2,FALSE)</f>
        <v>0</v>
      </c>
      <c r="AG156" s="14">
        <f>VLOOKUP($I156&amp;$F156&amp;$G156,装备属性表,装备属性计算表!BB$29,FALSE)</f>
        <v>0</v>
      </c>
      <c r="AH156" s="14">
        <f ca="1">VLOOKUP(VLOOKUP($I156&amp;$F156&amp;$G156,装备属性表,装备属性计算表!BC$29,FALSE),定义数据!$B$13:$C$35,2,FALSE)</f>
        <v>0</v>
      </c>
      <c r="AI156" s="14">
        <f>VLOOKUP($I156&amp;$F156&amp;$G156,装备属性表,装备属性计算表!BD$29,FALSE)</f>
        <v>0</v>
      </c>
      <c r="AJ156" s="14">
        <f ca="1">VLOOKUP(VLOOKUP($I156&amp;$F156&amp;$G156,装备属性表,装备属性计算表!BE$29,FALSE),定义数据!$B$13:$C$35,2,FALSE)</f>
        <v>0</v>
      </c>
      <c r="AK156" s="14">
        <f>VLOOKUP($I156&amp;$F156&amp;$G156,装备属性表,装备属性计算表!BF$29,FALSE)</f>
        <v>0</v>
      </c>
      <c r="AL156" t="str">
        <f t="shared" si="53"/>
        <v>堕落项链是一件70级蓝色可升级的装备。</v>
      </c>
      <c r="AM156" t="str">
        <f>IF(D156=0,5,D156) &amp; F156&amp;"00"&amp;VLOOKUP(G156,定义数据!$F$20:$G$27,2,FALSE)&amp;".png"</f>
        <v>53004.png</v>
      </c>
      <c r="AN156" s="79">
        <f>IF(OR(G156&lt;15),0,D_装备升级表!A156)</f>
        <v>70013</v>
      </c>
      <c r="AP156">
        <f ca="1">VLOOKUP(G156&amp;I156&amp;F156,CHOOSE({1,2},装备属性计算表!$BK$32:$BK$187,装备属性计算表!$BJ$32:$BJ$187),2,FALSE)</f>
        <v>264.91606536898399</v>
      </c>
      <c r="AQ156">
        <f ca="1">AP156*'[1]0、经济设定'!$C$18</f>
        <v>13245.803268449199</v>
      </c>
      <c r="AR156">
        <f ca="1">IFERROR(AQ156*'[1]0、经济设定'!$E$19*AU156*AS156,0)</f>
        <v>509.99153951465712</v>
      </c>
      <c r="AS156">
        <v>10</v>
      </c>
      <c r="AT156">
        <f t="shared" si="49"/>
        <v>84</v>
      </c>
      <c r="AU156">
        <f ca="1">IF(F156=0,IFERROR(AT156/AP156/'[1]0、经济设定'!$E$18,0),AU155)</f>
        <v>1.9251061229688875</v>
      </c>
      <c r="AV156">
        <f t="shared" ca="1" si="39"/>
        <v>10596.642614759359</v>
      </c>
    </row>
    <row r="157" spans="1:48" x14ac:dyDescent="0.15">
      <c r="A157" s="14" t="str">
        <f t="shared" si="44"/>
        <v>10221</v>
      </c>
      <c r="B157" s="14" t="s">
        <v>220</v>
      </c>
      <c r="C157" s="14">
        <f>VLOOKUP($I157&amp;$F157&amp;$G157,装备属性表,装备属性计算表!AK$29,FALSE)</f>
        <v>21</v>
      </c>
      <c r="D157" s="14">
        <f t="shared" ref="D157:D164" si="54">D141</f>
        <v>1</v>
      </c>
      <c r="E157" s="14" t="str">
        <f>VLOOKUP(F157,CHOOSE({1,2},定义数据!$F$2:$F$7,武器部位),2)</f>
        <v>武器</v>
      </c>
      <c r="F157" s="14">
        <v>0</v>
      </c>
      <c r="G157" s="14">
        <v>70</v>
      </c>
      <c r="H157" s="14">
        <f t="shared" si="45"/>
        <v>70</v>
      </c>
      <c r="I157" s="14">
        <v>2</v>
      </c>
      <c r="J157" s="14" t="str">
        <f t="shared" si="46"/>
        <v>7020</v>
      </c>
      <c r="K157" s="14" t="str">
        <f t="shared" si="47"/>
        <v>7020</v>
      </c>
      <c r="L157" s="76"/>
      <c r="M157" s="14">
        <f>IF(OR(G157&lt;15,G157=80),0,D_装备升级表!A157)</f>
        <v>70120</v>
      </c>
      <c r="N157" s="78">
        <v>1</v>
      </c>
      <c r="O157" s="14">
        <f t="shared" si="50"/>
        <v>2100</v>
      </c>
      <c r="P157" s="14"/>
      <c r="Q157" s="14">
        <f>VLOOKUP($I157&amp;$F157&amp;$G157,装备属性表,装备属性计算表!AL$29,FALSE)</f>
        <v>4</v>
      </c>
      <c r="R157" s="14">
        <f ca="1">VLOOKUP(VLOOKUP($I157&amp;$F157&amp;$G157,装备属性表,装备属性计算表!AM$29,FALSE),定义数据!$B$13:$C$35,2,FALSE)</f>
        <v>2</v>
      </c>
      <c r="S157" s="14">
        <f ca="1">VLOOKUP($I157&amp;$F157&amp;$G157,装备属性表,装备属性计算表!AN$29,FALSE)</f>
        <v>465.89134716577558</v>
      </c>
      <c r="T157" s="14">
        <f ca="1">VLOOKUP(VLOOKUP($I157&amp;$F157&amp;$G157,装备属性表,装备属性计算表!AO$29,FALSE),定义数据!$B$13:$C$35,2,FALSE)</f>
        <v>8</v>
      </c>
      <c r="U157" s="14">
        <f ca="1">VLOOKUP($I157&amp;$F157&amp;$G157,装备属性表,装备属性计算表!AP$29,FALSE)</f>
        <v>288.88888888888891</v>
      </c>
      <c r="V157" s="14">
        <f ca="1">VLOOKUP(VLOOKUP($I157&amp;$F157&amp;$G157,装备属性表,装备属性计算表!AQ$29,FALSE),定义数据!$B$13:$C$35,2,FALSE)</f>
        <v>2</v>
      </c>
      <c r="W157" s="14">
        <f ca="1">VLOOKUP($I157&amp;$F157&amp;$G157,装备属性表,装备属性计算表!AR$29,FALSE)</f>
        <v>82.825128385026773</v>
      </c>
      <c r="X157" s="14">
        <f ca="1">VLOOKUP(VLOOKUP($I157&amp;$F157&amp;$G157,装备属性表,装备属性计算表!AS$29,FALSE),定义数据!$B$13:$C$35,2,FALSE)</f>
        <v>3</v>
      </c>
      <c r="Y157" s="14">
        <f ca="1">VLOOKUP($I157&amp;$F157&amp;$G157,装备属性表,装备属性计算表!AT$29,FALSE)</f>
        <v>9.9417799653379557</v>
      </c>
      <c r="Z157" s="14">
        <f ca="1">VLOOKUP(VLOOKUP($I157&amp;$F157&amp;$G157,装备属性表,装备属性计算表!AU$29,FALSE),定义数据!$B$13:$C$35,2,FALSE)</f>
        <v>0</v>
      </c>
      <c r="AA157" s="14">
        <f>VLOOKUP($I157&amp;$F157&amp;$G157,装备属性表,装备属性计算表!AV$29,FALSE)</f>
        <v>0</v>
      </c>
      <c r="AB157" s="14">
        <f ca="1">VLOOKUP(VLOOKUP($I157&amp;$F157&amp;$G157,装备属性表,装备属性计算表!AW$29,FALSE),定义数据!$B$13:$C$35,2,FALSE)</f>
        <v>0</v>
      </c>
      <c r="AC157" s="14">
        <f>VLOOKUP($I157&amp;$F157&amp;$G157,装备属性表,装备属性计算表!AX$29,FALSE)</f>
        <v>0</v>
      </c>
      <c r="AD157" s="14">
        <f ca="1">VLOOKUP(VLOOKUP($I157&amp;$F157&amp;$G157,装备属性表,装备属性计算表!AY$29,FALSE),定义数据!$B$13:$C$35,2,FALSE)</f>
        <v>0</v>
      </c>
      <c r="AE157" s="14">
        <f>VLOOKUP($I157&amp;$F157&amp;$G157,装备属性表,装备属性计算表!AZ$29,FALSE)</f>
        <v>0</v>
      </c>
      <c r="AF157" s="14">
        <f ca="1">VLOOKUP(VLOOKUP($I157&amp;$F157&amp;$G157,装备属性表,装备属性计算表!BA$29,FALSE),定义数据!$B$13:$C$35,2,FALSE)</f>
        <v>0</v>
      </c>
      <c r="AG157" s="14">
        <f>VLOOKUP($I157&amp;$F157&amp;$G157,装备属性表,装备属性计算表!BB$29,FALSE)</f>
        <v>0</v>
      </c>
      <c r="AH157" s="14">
        <f ca="1">VLOOKUP(VLOOKUP($I157&amp;$F157&amp;$G157,装备属性表,装备属性计算表!BC$29,FALSE),定义数据!$B$13:$C$35,2,FALSE)</f>
        <v>0</v>
      </c>
      <c r="AI157" s="14">
        <f>VLOOKUP($I157&amp;$F157&amp;$G157,装备属性表,装备属性计算表!BD$29,FALSE)</f>
        <v>0</v>
      </c>
      <c r="AJ157" s="14">
        <f ca="1">VLOOKUP(VLOOKUP($I157&amp;$F157&amp;$G157,装备属性表,装备属性计算表!BE$29,FALSE),定义数据!$B$13:$C$35,2,FALSE)</f>
        <v>0</v>
      </c>
      <c r="AK157" s="14">
        <f>VLOOKUP($I157&amp;$F157&amp;$G157,装备属性表,装备属性计算表!BF$29,FALSE)</f>
        <v>0</v>
      </c>
      <c r="AL157" t="str">
        <f t="shared" si="53"/>
        <v>幻痛霸刀是一件70级紫色可升级的装备。</v>
      </c>
      <c r="AM157" t="str">
        <f>IF(D157=0,5,D157) &amp; F157&amp;"00"&amp;VLOOKUP(G157,定义数据!$F$20:$G$27,2,FALSE)&amp;".png"</f>
        <v>10004.png</v>
      </c>
      <c r="AN157" s="79">
        <f>IF(OR(G157&lt;15),0,D_装备升级表!A157)</f>
        <v>70120</v>
      </c>
      <c r="AP157">
        <f ca="1">VLOOKUP(G157&amp;I157&amp;F157,CHOOSE({1,2},装备属性计算表!$BK$32:$BK$187,装备属性计算表!$BJ$32:$BJ$187),2,FALSE)</f>
        <v>627.55825551614032</v>
      </c>
      <c r="AQ157">
        <f ca="1">AP157*'[1]0、经济设定'!$C$18</f>
        <v>31377.912775807017</v>
      </c>
      <c r="AR157">
        <f ca="1">IFERROR(AQ157*'[1]0、经济设定'!$E$19*AU157*AS157,0)</f>
        <v>1680</v>
      </c>
      <c r="AS157">
        <v>10</v>
      </c>
      <c r="AT157">
        <f t="shared" si="49"/>
        <v>168</v>
      </c>
      <c r="AU157">
        <f ca="1">IF(F157=0,IFERROR(AT157/AP157/'[1]0、经济设定'!$E$18,0),AU156)</f>
        <v>2.6770423068026892</v>
      </c>
      <c r="AV157">
        <f t="shared" ca="1" si="39"/>
        <v>25102.330220645614</v>
      </c>
    </row>
    <row r="158" spans="1:48" x14ac:dyDescent="0.15">
      <c r="A158" s="14" t="str">
        <f t="shared" si="44"/>
        <v>20221</v>
      </c>
      <c r="B158" s="14" t="s">
        <v>214</v>
      </c>
      <c r="C158" s="14">
        <f>VLOOKUP($I158&amp;$F158&amp;$G158,装备属性表,装备属性计算表!AK$29,FALSE)</f>
        <v>21</v>
      </c>
      <c r="D158" s="14">
        <f t="shared" si="54"/>
        <v>2</v>
      </c>
      <c r="E158" s="14" t="str">
        <f>VLOOKUP(F158,CHOOSE({1,2},定义数据!$F$2:$F$7,武器部位),2)</f>
        <v>武器</v>
      </c>
      <c r="F158" s="14">
        <v>0</v>
      </c>
      <c r="G158" s="14">
        <v>70</v>
      </c>
      <c r="H158" s="14">
        <f t="shared" si="45"/>
        <v>70</v>
      </c>
      <c r="I158" s="14">
        <v>2</v>
      </c>
      <c r="J158" s="14" t="str">
        <f t="shared" si="46"/>
        <v>7020</v>
      </c>
      <c r="K158" s="14" t="str">
        <f t="shared" si="47"/>
        <v>7020</v>
      </c>
      <c r="L158" s="76"/>
      <c r="M158" s="14">
        <f>IF(OR(G158&lt;15,G158=80),0,D_装备升级表!A158)</f>
        <v>70220</v>
      </c>
      <c r="N158" s="78">
        <v>1</v>
      </c>
      <c r="O158" s="14">
        <f t="shared" si="50"/>
        <v>2100</v>
      </c>
      <c r="P158" s="14"/>
      <c r="Q158" s="14">
        <f>VLOOKUP($I158&amp;$F158&amp;$G158,装备属性表,装备属性计算表!AL$29,FALSE)</f>
        <v>4</v>
      </c>
      <c r="R158" s="14">
        <f ca="1">VLOOKUP(VLOOKUP($I158&amp;$F158&amp;$G158,装备属性表,装备属性计算表!AM$29,FALSE),定义数据!$B$13:$C$35,2,FALSE)</f>
        <v>2</v>
      </c>
      <c r="S158" s="14">
        <f ca="1">VLOOKUP($I158&amp;$F158&amp;$G158,装备属性表,装备属性计算表!AN$29,FALSE)</f>
        <v>465.89134716577558</v>
      </c>
      <c r="T158" s="14">
        <f ca="1">VLOOKUP(VLOOKUP($I158&amp;$F158&amp;$G158,装备属性表,装备属性计算表!AO$29,FALSE),定义数据!$B$13:$C$35,2,FALSE)</f>
        <v>8</v>
      </c>
      <c r="U158" s="14">
        <f ca="1">VLOOKUP($I158&amp;$F158&amp;$G158,装备属性表,装备属性计算表!AP$29,FALSE)</f>
        <v>288.88888888888891</v>
      </c>
      <c r="V158" s="14">
        <f ca="1">VLOOKUP(VLOOKUP($I158&amp;$F158&amp;$G158,装备属性表,装备属性计算表!AQ$29,FALSE),定义数据!$B$13:$C$35,2,FALSE)</f>
        <v>2</v>
      </c>
      <c r="W158" s="14">
        <f ca="1">VLOOKUP($I158&amp;$F158&amp;$G158,装备属性表,装备属性计算表!AR$29,FALSE)</f>
        <v>82.825128385026773</v>
      </c>
      <c r="X158" s="14">
        <f ca="1">VLOOKUP(VLOOKUP($I158&amp;$F158&amp;$G158,装备属性表,装备属性计算表!AS$29,FALSE),定义数据!$B$13:$C$35,2,FALSE)</f>
        <v>3</v>
      </c>
      <c r="Y158" s="14">
        <f ca="1">VLOOKUP($I158&amp;$F158&amp;$G158,装备属性表,装备属性计算表!AT$29,FALSE)</f>
        <v>9.9417799653379557</v>
      </c>
      <c r="Z158" s="14">
        <f ca="1">VLOOKUP(VLOOKUP($I158&amp;$F158&amp;$G158,装备属性表,装备属性计算表!AU$29,FALSE),定义数据!$B$13:$C$35,2,FALSE)</f>
        <v>0</v>
      </c>
      <c r="AA158" s="14">
        <f>VLOOKUP($I158&amp;$F158&amp;$G158,装备属性表,装备属性计算表!AV$29,FALSE)</f>
        <v>0</v>
      </c>
      <c r="AB158" s="14">
        <f ca="1">VLOOKUP(VLOOKUP($I158&amp;$F158&amp;$G158,装备属性表,装备属性计算表!AW$29,FALSE),定义数据!$B$13:$C$35,2,FALSE)</f>
        <v>0</v>
      </c>
      <c r="AC158" s="14">
        <f>VLOOKUP($I158&amp;$F158&amp;$G158,装备属性表,装备属性计算表!AX$29,FALSE)</f>
        <v>0</v>
      </c>
      <c r="AD158" s="14">
        <f ca="1">VLOOKUP(VLOOKUP($I158&amp;$F158&amp;$G158,装备属性表,装备属性计算表!AY$29,FALSE),定义数据!$B$13:$C$35,2,FALSE)</f>
        <v>0</v>
      </c>
      <c r="AE158" s="14">
        <f>VLOOKUP($I158&amp;$F158&amp;$G158,装备属性表,装备属性计算表!AZ$29,FALSE)</f>
        <v>0</v>
      </c>
      <c r="AF158" s="14">
        <f ca="1">VLOOKUP(VLOOKUP($I158&amp;$F158&amp;$G158,装备属性表,装备属性计算表!BA$29,FALSE),定义数据!$B$13:$C$35,2,FALSE)</f>
        <v>0</v>
      </c>
      <c r="AG158" s="14">
        <f>VLOOKUP($I158&amp;$F158&amp;$G158,装备属性表,装备属性计算表!BB$29,FALSE)</f>
        <v>0</v>
      </c>
      <c r="AH158" s="14">
        <f ca="1">VLOOKUP(VLOOKUP($I158&amp;$F158&amp;$G158,装备属性表,装备属性计算表!BC$29,FALSE),定义数据!$B$13:$C$35,2,FALSE)</f>
        <v>0</v>
      </c>
      <c r="AI158" s="14">
        <f>VLOOKUP($I158&amp;$F158&amp;$G158,装备属性表,装备属性计算表!BD$29,FALSE)</f>
        <v>0</v>
      </c>
      <c r="AJ158" s="14">
        <f ca="1">VLOOKUP(VLOOKUP($I158&amp;$F158&amp;$G158,装备属性表,装备属性计算表!BE$29,FALSE),定义数据!$B$13:$C$35,2,FALSE)</f>
        <v>0</v>
      </c>
      <c r="AK158" s="14">
        <f>VLOOKUP($I158&amp;$F158&amp;$G158,装备属性表,装备属性计算表!BF$29,FALSE)</f>
        <v>0</v>
      </c>
      <c r="AL158" t="str">
        <f t="shared" si="53"/>
        <v>幻痛之拳是一件70级紫色可升级的装备。</v>
      </c>
      <c r="AM158" t="str">
        <f>IF(D158=0,5,D158) &amp; F158&amp;"00"&amp;VLOOKUP(G158,定义数据!$F$20:$G$27,2,FALSE)&amp;".png"</f>
        <v>20004.png</v>
      </c>
      <c r="AN158" s="79">
        <f>IF(OR(G158&lt;15),0,D_装备升级表!A158)</f>
        <v>70220</v>
      </c>
      <c r="AP158">
        <f ca="1">VLOOKUP(G158&amp;I158&amp;F158,CHOOSE({1,2},装备属性计算表!$BK$32:$BK$187,装备属性计算表!$BJ$32:$BJ$187),2,FALSE)</f>
        <v>627.55825551614032</v>
      </c>
      <c r="AQ158">
        <f ca="1">AP158*'[1]0、经济设定'!$C$18</f>
        <v>31377.912775807017</v>
      </c>
      <c r="AR158">
        <f ca="1">IFERROR(AQ158*'[1]0、经济设定'!$E$19*AU158*AS158,0)</f>
        <v>1680</v>
      </c>
      <c r="AS158">
        <v>10</v>
      </c>
      <c r="AT158">
        <f t="shared" si="49"/>
        <v>168</v>
      </c>
      <c r="AU158">
        <f ca="1">IF(F158=0,IFERROR(AT158/AP158/'[1]0、经济设定'!$E$18,0),AU157)</f>
        <v>2.6770423068026892</v>
      </c>
      <c r="AV158">
        <f t="shared" ca="1" si="39"/>
        <v>25102.330220645614</v>
      </c>
    </row>
    <row r="159" spans="1:48" x14ac:dyDescent="0.15">
      <c r="A159" s="14" t="str">
        <f t="shared" si="44"/>
        <v>30221</v>
      </c>
      <c r="B159" s="14" t="s">
        <v>591</v>
      </c>
      <c r="C159" s="14">
        <f>VLOOKUP($I159&amp;$F159&amp;$G159,装备属性表,装备属性计算表!AK$29,FALSE)</f>
        <v>21</v>
      </c>
      <c r="D159" s="14">
        <f t="shared" si="54"/>
        <v>3</v>
      </c>
      <c r="E159" s="14" t="str">
        <f>VLOOKUP(F159,CHOOSE({1,2},定义数据!$F$2:$F$7,武器部位),2)</f>
        <v>武器</v>
      </c>
      <c r="F159" s="14">
        <v>0</v>
      </c>
      <c r="G159" s="14">
        <f>装备属性计算表!D146</f>
        <v>70</v>
      </c>
      <c r="H159" s="14">
        <f t="shared" si="45"/>
        <v>70</v>
      </c>
      <c r="I159" s="14">
        <v>2</v>
      </c>
      <c r="J159" s="14" t="str">
        <f t="shared" si="46"/>
        <v>7020</v>
      </c>
      <c r="K159" s="14" t="str">
        <f t="shared" si="47"/>
        <v>7020</v>
      </c>
      <c r="L159" s="76"/>
      <c r="M159" s="14">
        <f>IF(OR(G159&lt;15,G159=80),0,D_装备升级表!A159)</f>
        <v>70320</v>
      </c>
      <c r="N159" s="78">
        <v>1</v>
      </c>
      <c r="O159" s="14">
        <f t="shared" si="50"/>
        <v>2100</v>
      </c>
      <c r="P159" s="14"/>
      <c r="Q159" s="14">
        <f>VLOOKUP($I159&amp;$F159&amp;$G159,装备属性表,装备属性计算表!AL$29,FALSE)</f>
        <v>4</v>
      </c>
      <c r="R159" s="14">
        <f ca="1">VLOOKUP(VLOOKUP($I159&amp;$F159&amp;$G159,装备属性表,装备属性计算表!AM$29,FALSE),定义数据!$B$13:$C$35,2,FALSE)</f>
        <v>2</v>
      </c>
      <c r="S159" s="14">
        <f ca="1">VLOOKUP($I159&amp;$F159&amp;$G159,装备属性表,装备属性计算表!AN$29,FALSE)</f>
        <v>465.89134716577558</v>
      </c>
      <c r="T159" s="14">
        <f ca="1">VLOOKUP(VLOOKUP($I159&amp;$F159&amp;$G159,装备属性表,装备属性计算表!AO$29,FALSE),定义数据!$B$13:$C$35,2,FALSE)</f>
        <v>8</v>
      </c>
      <c r="U159" s="14">
        <f ca="1">VLOOKUP($I159&amp;$F159&amp;$G159,装备属性表,装备属性计算表!AP$29,FALSE)</f>
        <v>288.88888888888891</v>
      </c>
      <c r="V159" s="14">
        <f ca="1">VLOOKUP(VLOOKUP($I159&amp;$F159&amp;$G159,装备属性表,装备属性计算表!AQ$29,FALSE),定义数据!$B$13:$C$35,2,FALSE)</f>
        <v>2</v>
      </c>
      <c r="W159" s="14">
        <f ca="1">VLOOKUP($I159&amp;$F159&amp;$G159,装备属性表,装备属性计算表!AR$29,FALSE)</f>
        <v>82.825128385026773</v>
      </c>
      <c r="X159" s="14">
        <f ca="1">VLOOKUP(VLOOKUP($I159&amp;$F159&amp;$G159,装备属性表,装备属性计算表!AS$29,FALSE),定义数据!$B$13:$C$35,2,FALSE)</f>
        <v>3</v>
      </c>
      <c r="Y159" s="14">
        <f ca="1">VLOOKUP($I159&amp;$F159&amp;$G159,装备属性表,装备属性计算表!AT$29,FALSE)</f>
        <v>9.9417799653379557</v>
      </c>
      <c r="Z159" s="14">
        <f ca="1">VLOOKUP(VLOOKUP($I159&amp;$F159&amp;$G159,装备属性表,装备属性计算表!AU$29,FALSE),定义数据!$B$13:$C$35,2,FALSE)</f>
        <v>0</v>
      </c>
      <c r="AA159" s="14">
        <f>VLOOKUP($I159&amp;$F159&amp;$G159,装备属性表,装备属性计算表!AV$29,FALSE)</f>
        <v>0</v>
      </c>
      <c r="AB159" s="14">
        <f ca="1">VLOOKUP(VLOOKUP($I159&amp;$F159&amp;$G159,装备属性表,装备属性计算表!AW$29,FALSE),定义数据!$B$13:$C$35,2,FALSE)</f>
        <v>0</v>
      </c>
      <c r="AC159" s="14">
        <f>VLOOKUP($I159&amp;$F159&amp;$G159,装备属性表,装备属性计算表!AX$29,FALSE)</f>
        <v>0</v>
      </c>
      <c r="AD159" s="14">
        <f ca="1">VLOOKUP(VLOOKUP($I159&amp;$F159&amp;$G159,装备属性表,装备属性计算表!AY$29,FALSE),定义数据!$B$13:$C$35,2,FALSE)</f>
        <v>0</v>
      </c>
      <c r="AE159" s="14">
        <f>VLOOKUP($I159&amp;$F159&amp;$G159,装备属性表,装备属性计算表!AZ$29,FALSE)</f>
        <v>0</v>
      </c>
      <c r="AF159" s="14">
        <f ca="1">VLOOKUP(VLOOKUP($I159&amp;$F159&amp;$G159,装备属性表,装备属性计算表!BA$29,FALSE),定义数据!$B$13:$C$35,2,FALSE)</f>
        <v>0</v>
      </c>
      <c r="AG159" s="14">
        <f>VLOOKUP($I159&amp;$F159&amp;$G159,装备属性表,装备属性计算表!BB$29,FALSE)</f>
        <v>0</v>
      </c>
      <c r="AH159" s="14">
        <f ca="1">VLOOKUP(VLOOKUP($I159&amp;$F159&amp;$G159,装备属性表,装备属性计算表!BC$29,FALSE),定义数据!$B$13:$C$35,2,FALSE)</f>
        <v>0</v>
      </c>
      <c r="AI159" s="14">
        <f>VLOOKUP($I159&amp;$F159&amp;$G159,装备属性表,装备属性计算表!BD$29,FALSE)</f>
        <v>0</v>
      </c>
      <c r="AJ159" s="14">
        <f ca="1">VLOOKUP(VLOOKUP($I159&amp;$F159&amp;$G159,装备属性表,装备属性计算表!BE$29,FALSE),定义数据!$B$13:$C$35,2,FALSE)</f>
        <v>0</v>
      </c>
      <c r="AK159" s="14">
        <f>VLOOKUP($I159&amp;$F159&amp;$G159,装备属性表,装备属性计算表!BF$29,FALSE)</f>
        <v>0</v>
      </c>
      <c r="AL159" t="str">
        <f t="shared" si="53"/>
        <v>幻痛之枪是一件70级紫色可升级的装备。</v>
      </c>
      <c r="AM159" t="str">
        <f>IF(D159=0,5,D159) &amp; F159&amp;"00"&amp;VLOOKUP(G159,定义数据!$F$20:$G$27,2,FALSE)&amp;".png"</f>
        <v>30004.png</v>
      </c>
      <c r="AN159" s="79">
        <f>IF(OR(G159&lt;15),0,D_装备升级表!A159)</f>
        <v>70320</v>
      </c>
      <c r="AP159">
        <f ca="1">VLOOKUP(G159&amp;I159&amp;F159,CHOOSE({1,2},装备属性计算表!$BK$32:$BK$187,装备属性计算表!$BJ$32:$BJ$187),2,FALSE)</f>
        <v>627.55825551614032</v>
      </c>
      <c r="AQ159">
        <f ca="1">AP159*'[1]0、经济设定'!$C$18</f>
        <v>31377.912775807017</v>
      </c>
      <c r="AR159">
        <f ca="1">IFERROR(AQ159*'[1]0、经济设定'!$E$19*AU159*AS159,0)</f>
        <v>1680</v>
      </c>
      <c r="AS159">
        <v>10</v>
      </c>
      <c r="AT159">
        <f t="shared" si="49"/>
        <v>168</v>
      </c>
      <c r="AU159">
        <f ca="1">IF(F159=0,IFERROR(AT159/AP159/'[1]0、经济设定'!$E$18,0),AU158)</f>
        <v>2.6770423068026892</v>
      </c>
      <c r="AV159">
        <f t="shared" ca="1" si="39"/>
        <v>25102.330220645614</v>
      </c>
    </row>
    <row r="160" spans="1:48" x14ac:dyDescent="0.15">
      <c r="A160" s="14" t="str">
        <f t="shared" si="44"/>
        <v>51221</v>
      </c>
      <c r="B160" s="14" t="s">
        <v>592</v>
      </c>
      <c r="C160" s="14">
        <f>VLOOKUP($I160&amp;$F160&amp;$G160,装备属性表,装备属性计算表!AK$29,FALSE)</f>
        <v>21</v>
      </c>
      <c r="D160" s="14">
        <f t="shared" si="54"/>
        <v>0</v>
      </c>
      <c r="E160" s="14" t="str">
        <f>VLOOKUP(F160,CHOOSE({1,2},定义数据!$F$2:$F$7,武器部位),2)</f>
        <v>衣服</v>
      </c>
      <c r="F160" s="14">
        <v>1</v>
      </c>
      <c r="G160" s="14">
        <f>装备属性计算表!D147</f>
        <v>70</v>
      </c>
      <c r="H160" s="14">
        <f t="shared" si="45"/>
        <v>70</v>
      </c>
      <c r="I160" s="14">
        <v>2</v>
      </c>
      <c r="J160" s="14" t="str">
        <f t="shared" si="46"/>
        <v>7021</v>
      </c>
      <c r="K160" s="14" t="str">
        <f t="shared" si="47"/>
        <v>7021</v>
      </c>
      <c r="L160" s="76"/>
      <c r="M160" s="14">
        <f>IF(OR(G160&lt;15,G160=80),0,D_装备升级表!A160)</f>
        <v>70021</v>
      </c>
      <c r="N160" s="78">
        <v>1</v>
      </c>
      <c r="O160" s="14">
        <f t="shared" si="50"/>
        <v>2100</v>
      </c>
      <c r="P160" s="14"/>
      <c r="Q160" s="14">
        <f>VLOOKUP($I160&amp;$F160&amp;$G160,装备属性表,装备属性计算表!AL$29,FALSE)</f>
        <v>4</v>
      </c>
      <c r="R160" s="14">
        <f ca="1">VLOOKUP(VLOOKUP($I160&amp;$F160&amp;$G160,装备属性表,装备属性计算表!AM$29,FALSE),定义数据!$B$13:$C$35,2,FALSE)</f>
        <v>1</v>
      </c>
      <c r="S160" s="14">
        <f ca="1">VLOOKUP($I160&amp;$F160&amp;$G160,装备属性表,装备属性计算表!AN$29,FALSE)</f>
        <v>7337.8955182741529</v>
      </c>
      <c r="T160" s="14">
        <f ca="1">VLOOKUP(VLOOKUP($I160&amp;$F160&amp;$G160,装备属性表,装备属性计算表!AO$29,FALSE),定义数据!$B$13:$C$35,2,FALSE)</f>
        <v>3</v>
      </c>
      <c r="U160" s="14">
        <f ca="1">VLOOKUP($I160&amp;$F160&amp;$G160,装备属性表,装备属性计算表!AP$29,FALSE)</f>
        <v>161.05683543847488</v>
      </c>
      <c r="V160" s="14">
        <f ca="1">VLOOKUP(VLOOKUP($I160&amp;$F160&amp;$G160,装备属性表,装备属性计算表!AQ$29,FALSE),定义数据!$B$13:$C$35,2,FALSE)</f>
        <v>1</v>
      </c>
      <c r="W160" s="14">
        <f ca="1">VLOOKUP($I160&amp;$F160&amp;$G160,装备属性表,装备属性计算表!AR$29,FALSE)</f>
        <v>905.91302694742626</v>
      </c>
      <c r="X160" s="14">
        <f ca="1">VLOOKUP(VLOOKUP($I160&amp;$F160&amp;$G160,装备属性表,装备属性计算表!AS$29,FALSE),定义数据!$B$13:$C$35,2,FALSE)</f>
        <v>3</v>
      </c>
      <c r="Y160" s="14">
        <f ca="1">VLOOKUP($I160&amp;$F160&amp;$G160,装备属性表,装备属性计算表!AT$29,FALSE)</f>
        <v>29.825339896013869</v>
      </c>
      <c r="Z160" s="14">
        <f ca="1">VLOOKUP(VLOOKUP($I160&amp;$F160&amp;$G160,装备属性表,装备属性计算表!AU$29,FALSE),定义数据!$B$13:$C$35,2,FALSE)</f>
        <v>0</v>
      </c>
      <c r="AA160" s="14">
        <f>VLOOKUP($I160&amp;$F160&amp;$G160,装备属性表,装备属性计算表!AV$29,FALSE)</f>
        <v>0</v>
      </c>
      <c r="AB160" s="14">
        <f ca="1">VLOOKUP(VLOOKUP($I160&amp;$F160&amp;$G160,装备属性表,装备属性计算表!AW$29,FALSE),定义数据!$B$13:$C$35,2,FALSE)</f>
        <v>0</v>
      </c>
      <c r="AC160" s="14">
        <f>VLOOKUP($I160&amp;$F160&amp;$G160,装备属性表,装备属性计算表!AX$29,FALSE)</f>
        <v>0</v>
      </c>
      <c r="AD160" s="14">
        <f ca="1">VLOOKUP(VLOOKUP($I160&amp;$F160&amp;$G160,装备属性表,装备属性计算表!AY$29,FALSE),定义数据!$B$13:$C$35,2,FALSE)</f>
        <v>0</v>
      </c>
      <c r="AE160" s="14">
        <f>VLOOKUP($I160&amp;$F160&amp;$G160,装备属性表,装备属性计算表!AZ$29,FALSE)</f>
        <v>0</v>
      </c>
      <c r="AF160" s="14">
        <f ca="1">VLOOKUP(VLOOKUP($I160&amp;$F160&amp;$G160,装备属性表,装备属性计算表!BA$29,FALSE),定义数据!$B$13:$C$35,2,FALSE)</f>
        <v>0</v>
      </c>
      <c r="AG160" s="14">
        <f>VLOOKUP($I160&amp;$F160&amp;$G160,装备属性表,装备属性计算表!BB$29,FALSE)</f>
        <v>0</v>
      </c>
      <c r="AH160" s="14">
        <f ca="1">VLOOKUP(VLOOKUP($I160&amp;$F160&amp;$G160,装备属性表,装备属性计算表!BC$29,FALSE),定义数据!$B$13:$C$35,2,FALSE)</f>
        <v>0</v>
      </c>
      <c r="AI160" s="14">
        <f>VLOOKUP($I160&amp;$F160&amp;$G160,装备属性表,装备属性计算表!BD$29,FALSE)</f>
        <v>0</v>
      </c>
      <c r="AJ160" s="14">
        <f ca="1">VLOOKUP(VLOOKUP($I160&amp;$F160&amp;$G160,装备属性表,装备属性计算表!BE$29,FALSE),定义数据!$B$13:$C$35,2,FALSE)</f>
        <v>0</v>
      </c>
      <c r="AK160" s="14">
        <f>VLOOKUP($I160&amp;$F160&amp;$G160,装备属性表,装备属性计算表!BF$29,FALSE)</f>
        <v>0</v>
      </c>
      <c r="AL160" t="str">
        <f t="shared" si="53"/>
        <v>幻痛战衣是一件70级紫色可升级的装备。</v>
      </c>
      <c r="AM160" t="str">
        <f>IF(D160=0,5,D160) &amp; F160&amp;"00"&amp;VLOOKUP(G160,定义数据!$F$20:$G$27,2,FALSE)&amp;".png"</f>
        <v>51004.png</v>
      </c>
      <c r="AN160" s="79">
        <f>IF(OR(G160&lt;15),0,D_装备升级表!A160)</f>
        <v>70021</v>
      </c>
      <c r="AP160">
        <f ca="1">VLOOKUP(G160&amp;I160&amp;F160,CHOOSE({1,2},装备属性计算表!$BK$32:$BK$187,装备属性计算表!$BJ$32:$BJ$187),2,FALSE)</f>
        <v>531.85303566187042</v>
      </c>
      <c r="AQ160">
        <f ca="1">AP160*'[1]0、经济设定'!$C$18</f>
        <v>26592.651783093523</v>
      </c>
      <c r="AR160">
        <f ca="1">IFERROR(AQ160*'[1]0、经济设定'!$E$19*AU160*AS160,0)</f>
        <v>1423.7930774682668</v>
      </c>
      <c r="AS160">
        <v>10</v>
      </c>
      <c r="AT160">
        <f t="shared" si="49"/>
        <v>168</v>
      </c>
      <c r="AU160">
        <f ca="1">IF(F160=0,IFERROR(AT160/AP160/'[1]0、经济设定'!$E$18,0),AU159)</f>
        <v>2.6770423068026892</v>
      </c>
      <c r="AV160">
        <f t="shared" ca="1" si="39"/>
        <v>21274.121426474816</v>
      </c>
    </row>
    <row r="161" spans="1:48" x14ac:dyDescent="0.15">
      <c r="A161" s="14" t="str">
        <f t="shared" si="44"/>
        <v>52221</v>
      </c>
      <c r="B161" s="14" t="s">
        <v>593</v>
      </c>
      <c r="C161" s="14">
        <f>VLOOKUP($I161&amp;$F161&amp;$G161,装备属性表,装备属性计算表!AK$29,FALSE)</f>
        <v>21</v>
      </c>
      <c r="D161" s="14">
        <f t="shared" si="54"/>
        <v>0</v>
      </c>
      <c r="E161" s="14" t="str">
        <f>VLOOKUP(F161,CHOOSE({1,2},定义数据!$F$2:$F$7,武器部位),2)</f>
        <v>裤子</v>
      </c>
      <c r="F161" s="14">
        <v>2</v>
      </c>
      <c r="G161" s="14">
        <f>装备属性计算表!D148</f>
        <v>70</v>
      </c>
      <c r="H161" s="14">
        <f t="shared" si="45"/>
        <v>70</v>
      </c>
      <c r="I161" s="14">
        <v>2</v>
      </c>
      <c r="J161" s="14" t="str">
        <f t="shared" si="46"/>
        <v>7022</v>
      </c>
      <c r="K161" s="14" t="str">
        <f t="shared" si="47"/>
        <v>7022</v>
      </c>
      <c r="L161" s="76"/>
      <c r="M161" s="14">
        <f>IF(OR(G161&lt;15,G161=80),0,D_装备升级表!A161)</f>
        <v>70022</v>
      </c>
      <c r="N161" s="78">
        <v>1</v>
      </c>
      <c r="O161" s="14">
        <f t="shared" si="50"/>
        <v>2100</v>
      </c>
      <c r="P161" s="14"/>
      <c r="Q161" s="14">
        <f>VLOOKUP($I161&amp;$F161&amp;$G161,装备属性表,装备属性计算表!AL$29,FALSE)</f>
        <v>4</v>
      </c>
      <c r="R161" s="14">
        <f ca="1">VLOOKUP(VLOOKUP($I161&amp;$F161&amp;$G161,装备属性表,装备属性计算表!AM$29,FALSE),定义数据!$B$13:$C$35,2,FALSE)</f>
        <v>3</v>
      </c>
      <c r="S161" s="14">
        <f ca="1">VLOOKUP($I161&amp;$F161&amp;$G161,装备属性表,装备属性计算表!AN$29,FALSE)</f>
        <v>107.37122362564993</v>
      </c>
      <c r="T161" s="14">
        <f ca="1">VLOOKUP(VLOOKUP($I161&amp;$F161&amp;$G161,装备属性表,装备属性计算表!AO$29,FALSE),定义数据!$B$13:$C$35,2,FALSE)</f>
        <v>7</v>
      </c>
      <c r="U161" s="14">
        <f ca="1">VLOOKUP($I161&amp;$F161&amp;$G161,装备属性表,装备属性计算表!AP$29,FALSE)</f>
        <v>162.5</v>
      </c>
      <c r="V161" s="14">
        <f ca="1">VLOOKUP(VLOOKUP($I161&amp;$F161&amp;$G161,装备属性表,装备属性计算表!AQ$29,FALSE),定义数据!$B$13:$C$35,2,FALSE)</f>
        <v>1</v>
      </c>
      <c r="W161" s="14">
        <f ca="1">VLOOKUP($I161&amp;$F161&amp;$G161,装备属性表,装备属性计算表!AR$29,FALSE)</f>
        <v>452.95651347371313</v>
      </c>
      <c r="X161" s="14">
        <f ca="1">VLOOKUP(VLOOKUP($I161&amp;$F161&amp;$G161,装备属性表,装备属性计算表!AS$29,FALSE),定义数据!$B$13:$C$35,2,FALSE)</f>
        <v>3</v>
      </c>
      <c r="Y161" s="14">
        <f ca="1">VLOOKUP($I161&amp;$F161&amp;$G161,装备属性表,装备属性计算表!AT$29,FALSE)</f>
        <v>9.9417799653379557</v>
      </c>
      <c r="Z161" s="14">
        <f ca="1">VLOOKUP(VLOOKUP($I161&amp;$F161&amp;$G161,装备属性表,装备属性计算表!AU$29,FALSE),定义数据!$B$13:$C$35,2,FALSE)</f>
        <v>0</v>
      </c>
      <c r="AA161" s="14">
        <f>VLOOKUP($I161&amp;$F161&amp;$G161,装备属性表,装备属性计算表!AV$29,FALSE)</f>
        <v>0</v>
      </c>
      <c r="AB161" s="14">
        <f ca="1">VLOOKUP(VLOOKUP($I161&amp;$F161&amp;$G161,装备属性表,装备属性计算表!AW$29,FALSE),定义数据!$B$13:$C$35,2,FALSE)</f>
        <v>0</v>
      </c>
      <c r="AC161" s="14">
        <f>VLOOKUP($I161&amp;$F161&amp;$G161,装备属性表,装备属性计算表!AX$29,FALSE)</f>
        <v>0</v>
      </c>
      <c r="AD161" s="14">
        <f ca="1">VLOOKUP(VLOOKUP($I161&amp;$F161&amp;$G161,装备属性表,装备属性计算表!AY$29,FALSE),定义数据!$B$13:$C$35,2,FALSE)</f>
        <v>0</v>
      </c>
      <c r="AE161" s="14">
        <f>VLOOKUP($I161&amp;$F161&amp;$G161,装备属性表,装备属性计算表!AZ$29,FALSE)</f>
        <v>0</v>
      </c>
      <c r="AF161" s="14">
        <f ca="1">VLOOKUP(VLOOKUP($I161&amp;$F161&amp;$G161,装备属性表,装备属性计算表!BA$29,FALSE),定义数据!$B$13:$C$35,2,FALSE)</f>
        <v>0</v>
      </c>
      <c r="AG161" s="14">
        <f>VLOOKUP($I161&amp;$F161&amp;$G161,装备属性表,装备属性计算表!BB$29,FALSE)</f>
        <v>0</v>
      </c>
      <c r="AH161" s="14">
        <f ca="1">VLOOKUP(VLOOKUP($I161&amp;$F161&amp;$G161,装备属性表,装备属性计算表!BC$29,FALSE),定义数据!$B$13:$C$35,2,FALSE)</f>
        <v>0</v>
      </c>
      <c r="AI161" s="14">
        <f>VLOOKUP($I161&amp;$F161&amp;$G161,装备属性表,装备属性计算表!BD$29,FALSE)</f>
        <v>0</v>
      </c>
      <c r="AJ161" s="14">
        <f ca="1">VLOOKUP(VLOOKUP($I161&amp;$F161&amp;$G161,装备属性表,装备属性计算表!BE$29,FALSE),定义数据!$B$13:$C$35,2,FALSE)</f>
        <v>0</v>
      </c>
      <c r="AK161" s="14">
        <f>VLOOKUP($I161&amp;$F161&amp;$G161,装备属性表,装备属性计算表!BF$29,FALSE)</f>
        <v>0</v>
      </c>
      <c r="AL161" t="str">
        <f t="shared" si="53"/>
        <v>幻痛长裤是一件70级紫色可升级的装备。</v>
      </c>
      <c r="AM161" t="str">
        <f>IF(D161=0,5,D161) &amp; F161&amp;"00"&amp;VLOOKUP(G161,定义数据!$F$20:$G$27,2,FALSE)&amp;".png"</f>
        <v>52004.png</v>
      </c>
      <c r="AN161" s="79">
        <f>IF(OR(G161&lt;15),0,D_装备升级表!A161)</f>
        <v>70022</v>
      </c>
      <c r="AP161">
        <f ca="1">VLOOKUP(G161&amp;I161&amp;F161,CHOOSE({1,2},装备属性计算表!$BK$32:$BK$187,装备属性计算表!$BJ$32:$BJ$187),2,FALSE)</f>
        <v>201.89978264845496</v>
      </c>
      <c r="AQ161">
        <f ca="1">AP161*'[1]0、经济设定'!$C$18</f>
        <v>10094.989132422748</v>
      </c>
      <c r="AR161">
        <f ca="1">IFERROR(AQ161*'[1]0、经济设定'!$E$19*AU161*AS161,0)</f>
        <v>540.49425988418147</v>
      </c>
      <c r="AS161">
        <v>10</v>
      </c>
      <c r="AT161">
        <f t="shared" si="49"/>
        <v>168</v>
      </c>
      <c r="AU161">
        <f ca="1">IF(F161=0,IFERROR(AT161/AP161/'[1]0、经济设定'!$E$18,0),AU160)</f>
        <v>2.6770423068026892</v>
      </c>
      <c r="AV161">
        <f t="shared" ca="1" si="39"/>
        <v>8075.9913059381979</v>
      </c>
    </row>
    <row r="162" spans="1:48" x14ac:dyDescent="0.15">
      <c r="A162" s="14" t="str">
        <f t="shared" si="44"/>
        <v>55221</v>
      </c>
      <c r="B162" s="14" t="s">
        <v>594</v>
      </c>
      <c r="C162" s="14">
        <f>VLOOKUP($I162&amp;$F162&amp;$G162,装备属性表,装备属性计算表!AK$29,FALSE)</f>
        <v>21</v>
      </c>
      <c r="D162" s="14">
        <f t="shared" si="54"/>
        <v>0</v>
      </c>
      <c r="E162" s="14" t="str">
        <f>VLOOKUP(F162,CHOOSE({1,2},定义数据!$F$2:$F$7,武器部位),2)</f>
        <v>鞋子</v>
      </c>
      <c r="F162" s="14">
        <v>5</v>
      </c>
      <c r="G162" s="14">
        <f>装备属性计算表!D149</f>
        <v>70</v>
      </c>
      <c r="H162" s="14">
        <f t="shared" si="45"/>
        <v>70</v>
      </c>
      <c r="I162" s="14">
        <v>2</v>
      </c>
      <c r="J162" s="14" t="str">
        <f t="shared" si="46"/>
        <v>7025</v>
      </c>
      <c r="K162" s="14" t="str">
        <f t="shared" si="47"/>
        <v>7025</v>
      </c>
      <c r="L162" s="76"/>
      <c r="M162" s="14">
        <f>IF(OR(G162&lt;15,G162=80),0,D_装备升级表!A162)</f>
        <v>70025</v>
      </c>
      <c r="N162" s="78">
        <v>1</v>
      </c>
      <c r="O162" s="14">
        <f t="shared" si="50"/>
        <v>2100</v>
      </c>
      <c r="P162" s="14"/>
      <c r="Q162" s="14">
        <f>VLOOKUP($I162&amp;$F162&amp;$G162,装备属性表,装备属性计算表!AL$29,FALSE)</f>
        <v>4</v>
      </c>
      <c r="R162" s="14">
        <f ca="1">VLOOKUP(VLOOKUP($I162&amp;$F162&amp;$G162,装备属性表,装备属性计算表!AM$29,FALSE),定义数据!$B$13:$C$35,2,FALSE)</f>
        <v>1</v>
      </c>
      <c r="S162" s="14">
        <f ca="1">VLOOKUP($I162&amp;$F162&amp;$G162,装备属性表,装备属性计算表!AN$29,FALSE)</f>
        <v>2445.9651727580508</v>
      </c>
      <c r="T162" s="14">
        <f ca="1">VLOOKUP(VLOOKUP($I162&amp;$F162&amp;$G162,装备属性表,装备属性计算表!AO$29,FALSE),定义数据!$B$13:$C$35,2,FALSE)</f>
        <v>7</v>
      </c>
      <c r="U162" s="14">
        <f ca="1">VLOOKUP($I162&amp;$F162&amp;$G162,装备属性表,装备属性计算表!AP$29,FALSE)</f>
        <v>325</v>
      </c>
      <c r="V162" s="14">
        <f ca="1">VLOOKUP(VLOOKUP($I162&amp;$F162&amp;$G162,装备属性表,装备属性计算表!AQ$29,FALSE),定义数据!$B$13:$C$35,2,FALSE)</f>
        <v>1</v>
      </c>
      <c r="W162" s="14">
        <f ca="1">VLOOKUP($I162&amp;$F162&amp;$G162,装备属性表,装备属性计算表!AR$29,FALSE)</f>
        <v>452.95651347371313</v>
      </c>
      <c r="X162" s="14">
        <f ca="1">VLOOKUP(VLOOKUP($I162&amp;$F162&amp;$G162,装备属性表,装备属性计算表!AS$29,FALSE),定义数据!$B$13:$C$35,2,FALSE)</f>
        <v>7</v>
      </c>
      <c r="Y162" s="14">
        <f ca="1">VLOOKUP($I162&amp;$F162&amp;$G162,装备属性表,装备属性计算表!AT$29,FALSE)</f>
        <v>43.333333333333336</v>
      </c>
      <c r="Z162" s="14">
        <f ca="1">VLOOKUP(VLOOKUP($I162&amp;$F162&amp;$G162,装备属性表,装备属性计算表!AU$29,FALSE),定义数据!$B$13:$C$35,2,FALSE)</f>
        <v>0</v>
      </c>
      <c r="AA162" s="14">
        <f>VLOOKUP($I162&amp;$F162&amp;$G162,装备属性表,装备属性计算表!AV$29,FALSE)</f>
        <v>0</v>
      </c>
      <c r="AB162" s="14">
        <f ca="1">VLOOKUP(VLOOKUP($I162&amp;$F162&amp;$G162,装备属性表,装备属性计算表!AW$29,FALSE),定义数据!$B$13:$C$35,2,FALSE)</f>
        <v>0</v>
      </c>
      <c r="AC162" s="14">
        <f>VLOOKUP($I162&amp;$F162&amp;$G162,装备属性表,装备属性计算表!AX$29,FALSE)</f>
        <v>0</v>
      </c>
      <c r="AD162" s="14">
        <f ca="1">VLOOKUP(VLOOKUP($I162&amp;$F162&amp;$G162,装备属性表,装备属性计算表!AY$29,FALSE),定义数据!$B$13:$C$35,2,FALSE)</f>
        <v>0</v>
      </c>
      <c r="AE162" s="14">
        <f>VLOOKUP($I162&amp;$F162&amp;$G162,装备属性表,装备属性计算表!AZ$29,FALSE)</f>
        <v>0</v>
      </c>
      <c r="AF162" s="14">
        <f ca="1">VLOOKUP(VLOOKUP($I162&amp;$F162&amp;$G162,装备属性表,装备属性计算表!BA$29,FALSE),定义数据!$B$13:$C$35,2,FALSE)</f>
        <v>0</v>
      </c>
      <c r="AG162" s="14">
        <f>VLOOKUP($I162&amp;$F162&amp;$G162,装备属性表,装备属性计算表!BB$29,FALSE)</f>
        <v>0</v>
      </c>
      <c r="AH162" s="14">
        <f ca="1">VLOOKUP(VLOOKUP($I162&amp;$F162&amp;$G162,装备属性表,装备属性计算表!BC$29,FALSE),定义数据!$B$13:$C$35,2,FALSE)</f>
        <v>0</v>
      </c>
      <c r="AI162" s="14">
        <f>VLOOKUP($I162&amp;$F162&amp;$G162,装备属性表,装备属性计算表!BD$29,FALSE)</f>
        <v>0</v>
      </c>
      <c r="AJ162" s="14">
        <f ca="1">VLOOKUP(VLOOKUP($I162&amp;$F162&amp;$G162,装备属性表,装备属性计算表!BE$29,FALSE),定义数据!$B$13:$C$35,2,FALSE)</f>
        <v>0</v>
      </c>
      <c r="AK162" s="14">
        <f>VLOOKUP($I162&amp;$F162&amp;$G162,装备属性表,装备属性计算表!BF$29,FALSE)</f>
        <v>0</v>
      </c>
      <c r="AL162" t="str">
        <f t="shared" si="53"/>
        <v>幻痛长靴是一件70级紫色可升级的装备。</v>
      </c>
      <c r="AM162" t="str">
        <f>IF(D162=0,5,D162) &amp; F162&amp;"00"&amp;VLOOKUP(G162,定义数据!$F$20:$G$27,2,FALSE)&amp;".png"</f>
        <v>55004.png</v>
      </c>
      <c r="AN162" s="79">
        <f>IF(OR(G162&lt;15),0,D_装备升级表!A162)</f>
        <v>70025</v>
      </c>
      <c r="AP162">
        <f ca="1">VLOOKUP(G162&amp;I162&amp;F162,CHOOSE({1,2},装备属性计算表!$BK$32:$BK$187,装备属性计算表!$BJ$32:$BJ$187),2,FALSE)</f>
        <v>255.77908967149278</v>
      </c>
      <c r="AQ162">
        <f ca="1">AP162*'[1]0、经济设定'!$C$18</f>
        <v>12788.954483574638</v>
      </c>
      <c r="AR162">
        <f ca="1">IFERROR(AQ162*'[1]0、经济设定'!$E$19*AU162*AS162,0)</f>
        <v>684.73144424606494</v>
      </c>
      <c r="AS162">
        <v>10</v>
      </c>
      <c r="AT162">
        <f t="shared" si="49"/>
        <v>168</v>
      </c>
      <c r="AU162">
        <f ca="1">IF(F162=0,IFERROR(AT162/AP162/'[1]0、经济设定'!$E$18,0),AU161)</f>
        <v>2.6770423068026892</v>
      </c>
      <c r="AV162">
        <f t="shared" ca="1" si="39"/>
        <v>10231.163586859711</v>
      </c>
    </row>
    <row r="163" spans="1:48" x14ac:dyDescent="0.15">
      <c r="A163" s="14" t="str">
        <f t="shared" si="44"/>
        <v>54221</v>
      </c>
      <c r="B163" s="14" t="s">
        <v>595</v>
      </c>
      <c r="C163" s="14">
        <f>VLOOKUP($I163&amp;$F163&amp;$G163,装备属性表,装备属性计算表!AK$29,FALSE)</f>
        <v>21</v>
      </c>
      <c r="D163" s="14">
        <f t="shared" si="54"/>
        <v>0</v>
      </c>
      <c r="E163" s="14" t="str">
        <f>VLOOKUP(F163,CHOOSE({1,2},定义数据!$F$2:$F$7,武器部位),2)</f>
        <v>腰带</v>
      </c>
      <c r="F163" s="14">
        <v>4</v>
      </c>
      <c r="G163" s="14">
        <f>装备属性计算表!D150</f>
        <v>70</v>
      </c>
      <c r="H163" s="14">
        <f t="shared" si="45"/>
        <v>70</v>
      </c>
      <c r="I163" s="14">
        <v>2</v>
      </c>
      <c r="J163" s="14" t="str">
        <f t="shared" si="46"/>
        <v>7024</v>
      </c>
      <c r="K163" s="14" t="str">
        <f t="shared" si="47"/>
        <v>7024</v>
      </c>
      <c r="L163" s="76"/>
      <c r="M163" s="14">
        <f>IF(OR(G163&lt;15,G163=80),0,D_装备升级表!A163)</f>
        <v>70024</v>
      </c>
      <c r="N163" s="78">
        <v>1</v>
      </c>
      <c r="O163" s="14">
        <f t="shared" si="50"/>
        <v>2100</v>
      </c>
      <c r="P163" s="14"/>
      <c r="Q163" s="14">
        <f>VLOOKUP($I163&amp;$F163&amp;$G163,装备属性表,装备属性计算表!AL$29,FALSE)</f>
        <v>4</v>
      </c>
      <c r="R163" s="14">
        <f ca="1">VLOOKUP(VLOOKUP($I163&amp;$F163&amp;$G163,装备属性表,装备属性计算表!AM$29,FALSE),定义数据!$B$13:$C$35,2,FALSE)</f>
        <v>1</v>
      </c>
      <c r="S163" s="14">
        <f ca="1">VLOOKUP($I163&amp;$F163&amp;$G163,装备属性表,装备属性计算表!AN$29,FALSE)</f>
        <v>2445.9651727580508</v>
      </c>
      <c r="T163" s="14">
        <f ca="1">VLOOKUP(VLOOKUP($I163&amp;$F163&amp;$G163,装备属性表,装备属性计算表!AO$29,FALSE),定义数据!$B$13:$C$35,2,FALSE)</f>
        <v>9</v>
      </c>
      <c r="U163" s="14">
        <f ca="1">VLOOKUP($I163&amp;$F163&amp;$G163,装备属性表,装备属性计算表!AP$29,FALSE)</f>
        <v>288.88888888888891</v>
      </c>
      <c r="V163" s="14">
        <f ca="1">VLOOKUP(VLOOKUP($I163&amp;$F163&amp;$G163,装备属性表,装备属性计算表!AQ$29,FALSE),定义数据!$B$13:$C$35,2,FALSE)</f>
        <v>1</v>
      </c>
      <c r="W163" s="14">
        <f ca="1">VLOOKUP($I163&amp;$F163&amp;$G163,装备属性表,装备属性计算表!AR$29,FALSE)</f>
        <v>905.91302694742626</v>
      </c>
      <c r="X163" s="14">
        <f ca="1">VLOOKUP(VLOOKUP($I163&amp;$F163&amp;$G163,装备属性表,装备属性计算表!AS$29,FALSE),定义数据!$B$13:$C$35,2,FALSE)</f>
        <v>2</v>
      </c>
      <c r="Y163" s="14">
        <f ca="1">VLOOKUP($I163&amp;$F163&amp;$G163,装备属性表,装备属性计算表!AT$29,FALSE)</f>
        <v>27.608376128342258</v>
      </c>
      <c r="Z163" s="14">
        <f ca="1">VLOOKUP(VLOOKUP($I163&amp;$F163&amp;$G163,装备属性表,装备属性计算表!AU$29,FALSE),定义数据!$B$13:$C$35,2,FALSE)</f>
        <v>0</v>
      </c>
      <c r="AA163" s="14">
        <f>VLOOKUP($I163&amp;$F163&amp;$G163,装备属性表,装备属性计算表!AV$29,FALSE)</f>
        <v>0</v>
      </c>
      <c r="AB163" s="14">
        <f ca="1">VLOOKUP(VLOOKUP($I163&amp;$F163&amp;$G163,装备属性表,装备属性计算表!AW$29,FALSE),定义数据!$B$13:$C$35,2,FALSE)</f>
        <v>0</v>
      </c>
      <c r="AC163" s="14">
        <f>VLOOKUP($I163&amp;$F163&amp;$G163,装备属性表,装备属性计算表!AX$29,FALSE)</f>
        <v>0</v>
      </c>
      <c r="AD163" s="14">
        <f ca="1">VLOOKUP(VLOOKUP($I163&amp;$F163&amp;$G163,装备属性表,装备属性计算表!AY$29,FALSE),定义数据!$B$13:$C$35,2,FALSE)</f>
        <v>0</v>
      </c>
      <c r="AE163" s="14">
        <f>VLOOKUP($I163&amp;$F163&amp;$G163,装备属性表,装备属性计算表!AZ$29,FALSE)</f>
        <v>0</v>
      </c>
      <c r="AF163" s="14">
        <f ca="1">VLOOKUP(VLOOKUP($I163&amp;$F163&amp;$G163,装备属性表,装备属性计算表!BA$29,FALSE),定义数据!$B$13:$C$35,2,FALSE)</f>
        <v>0</v>
      </c>
      <c r="AG163" s="14">
        <f>VLOOKUP($I163&amp;$F163&amp;$G163,装备属性表,装备属性计算表!BB$29,FALSE)</f>
        <v>0</v>
      </c>
      <c r="AH163" s="14">
        <f ca="1">VLOOKUP(VLOOKUP($I163&amp;$F163&amp;$G163,装备属性表,装备属性计算表!BC$29,FALSE),定义数据!$B$13:$C$35,2,FALSE)</f>
        <v>0</v>
      </c>
      <c r="AI163" s="14">
        <f>VLOOKUP($I163&amp;$F163&amp;$G163,装备属性表,装备属性计算表!BD$29,FALSE)</f>
        <v>0</v>
      </c>
      <c r="AJ163" s="14">
        <f ca="1">VLOOKUP(VLOOKUP($I163&amp;$F163&amp;$G163,装备属性表,装备属性计算表!BE$29,FALSE),定义数据!$B$13:$C$35,2,FALSE)</f>
        <v>0</v>
      </c>
      <c r="AK163" s="14">
        <f>VLOOKUP($I163&amp;$F163&amp;$G163,装备属性表,装备属性计算表!BF$29,FALSE)</f>
        <v>0</v>
      </c>
      <c r="AL163" t="str">
        <f t="shared" si="53"/>
        <v>幻痛腰带是一件70级紫色可升级的装备。</v>
      </c>
      <c r="AM163" t="str">
        <f>IF(D163=0,5,D163) &amp; F163&amp;"00"&amp;VLOOKUP(G163,定义数据!$F$20:$G$27,2,FALSE)&amp;".png"</f>
        <v>54004.png</v>
      </c>
      <c r="AN163" s="79">
        <f>IF(OR(G163&lt;15),0,D_装备升级表!A163)</f>
        <v>70024</v>
      </c>
      <c r="AP163">
        <f ca="1">VLOOKUP(G163&amp;I163&amp;F163,CHOOSE({1,2},装备属性计算表!$BK$32:$BK$187,装备属性计算表!$BJ$32:$BJ$187),2,FALSE)</f>
        <v>227.47713593375113</v>
      </c>
      <c r="AQ163">
        <f ca="1">AP163*'[1]0、经济设定'!$C$18</f>
        <v>11373.856796687556</v>
      </c>
      <c r="AR163">
        <f ca="1">IFERROR(AQ163*'[1]0、经济设定'!$E$19*AU163*AS163,0)</f>
        <v>608.96591672495799</v>
      </c>
      <c r="AS163">
        <v>10</v>
      </c>
      <c r="AT163">
        <f t="shared" si="49"/>
        <v>168</v>
      </c>
      <c r="AU163">
        <f ca="1">IF(F163=0,IFERROR(AT163/AP163/'[1]0、经济设定'!$E$18,0),AU162)</f>
        <v>2.6770423068026892</v>
      </c>
      <c r="AV163">
        <f t="shared" ca="1" si="39"/>
        <v>9099.0854373500442</v>
      </c>
    </row>
    <row r="164" spans="1:48" x14ac:dyDescent="0.15">
      <c r="A164" s="14" t="str">
        <f t="shared" si="44"/>
        <v>53221</v>
      </c>
      <c r="B164" s="14" t="s">
        <v>596</v>
      </c>
      <c r="C164" s="14">
        <f>VLOOKUP($I164&amp;$F164&amp;$G164,装备属性表,装备属性计算表!AK$29,FALSE)</f>
        <v>21</v>
      </c>
      <c r="D164" s="14">
        <f t="shared" si="54"/>
        <v>0</v>
      </c>
      <c r="E164" s="14" t="str">
        <f>VLOOKUP(F164,CHOOSE({1,2},定义数据!$F$2:$F$7,武器部位),2)</f>
        <v>项链</v>
      </c>
      <c r="F164" s="14">
        <v>3</v>
      </c>
      <c r="G164" s="14">
        <f>装备属性计算表!D151</f>
        <v>70</v>
      </c>
      <c r="H164" s="14">
        <f t="shared" si="45"/>
        <v>70</v>
      </c>
      <c r="I164" s="14">
        <v>2</v>
      </c>
      <c r="J164" s="14" t="str">
        <f t="shared" si="46"/>
        <v>7023</v>
      </c>
      <c r="K164" s="14" t="str">
        <f t="shared" si="47"/>
        <v>7023</v>
      </c>
      <c r="L164" s="76"/>
      <c r="M164" s="14">
        <f>IF(OR(G164&lt;15,G164=80),0,D_装备升级表!A164)</f>
        <v>70023</v>
      </c>
      <c r="N164" s="78">
        <v>1</v>
      </c>
      <c r="O164" s="14">
        <f t="shared" si="50"/>
        <v>2100</v>
      </c>
      <c r="P164" s="14"/>
      <c r="Q164" s="14">
        <f>VLOOKUP($I164&amp;$F164&amp;$G164,装备属性表,装备属性计算表!AL$29,FALSE)</f>
        <v>4</v>
      </c>
      <c r="R164" s="14">
        <f ca="1">VLOOKUP(VLOOKUP($I164&amp;$F164&amp;$G164,装备属性表,装备属性计算表!AM$29,FALSE),定义数据!$B$13:$C$35,2,FALSE)</f>
        <v>2</v>
      </c>
      <c r="S164" s="14">
        <f ca="1">VLOOKUP($I164&amp;$F164&amp;$G164,装备属性表,装备属性计算表!AN$29,FALSE)</f>
        <v>155.29711572192519</v>
      </c>
      <c r="T164" s="14">
        <f ca="1">VLOOKUP(VLOOKUP($I164&amp;$F164&amp;$G164,装备属性表,装备属性计算表!AO$29,FALSE),定义数据!$B$13:$C$35,2,FALSE)</f>
        <v>6</v>
      </c>
      <c r="U164" s="14">
        <f ca="1">VLOOKUP($I164&amp;$F164&amp;$G164,装备属性表,装备属性计算表!AP$29,FALSE)</f>
        <v>487.5</v>
      </c>
      <c r="V164" s="14">
        <f ca="1">VLOOKUP(VLOOKUP($I164&amp;$F164&amp;$G164,装备属性表,装备属性计算表!AQ$29,FALSE),定义数据!$B$13:$C$35,2,FALSE)</f>
        <v>2</v>
      </c>
      <c r="W164" s="14">
        <f ca="1">VLOOKUP($I164&amp;$F164&amp;$G164,装备属性表,装备属性计算表!AR$29,FALSE)</f>
        <v>27.608376128342258</v>
      </c>
      <c r="X164" s="14">
        <f ca="1">VLOOKUP(VLOOKUP($I164&amp;$F164&amp;$G164,装备属性表,装备属性计算表!AS$29,FALSE),定义数据!$B$13:$C$35,2,FALSE)</f>
        <v>7</v>
      </c>
      <c r="Y164" s="14">
        <f ca="1">VLOOKUP($I164&amp;$F164&amp;$G164,装备属性表,装备属性计算表!AT$29,FALSE)</f>
        <v>21.666666666666668</v>
      </c>
      <c r="Z164" s="14">
        <f ca="1">VLOOKUP(VLOOKUP($I164&amp;$F164&amp;$G164,装备属性表,装备属性计算表!AU$29,FALSE),定义数据!$B$13:$C$35,2,FALSE)</f>
        <v>0</v>
      </c>
      <c r="AA164" s="14">
        <f>VLOOKUP($I164&amp;$F164&amp;$G164,装备属性表,装备属性计算表!AV$29,FALSE)</f>
        <v>0</v>
      </c>
      <c r="AB164" s="14">
        <f ca="1">VLOOKUP(VLOOKUP($I164&amp;$F164&amp;$G164,装备属性表,装备属性计算表!AW$29,FALSE),定义数据!$B$13:$C$35,2,FALSE)</f>
        <v>0</v>
      </c>
      <c r="AC164" s="14">
        <f>VLOOKUP($I164&amp;$F164&amp;$G164,装备属性表,装备属性计算表!AX$29,FALSE)</f>
        <v>0</v>
      </c>
      <c r="AD164" s="14">
        <f ca="1">VLOOKUP(VLOOKUP($I164&amp;$F164&amp;$G164,装备属性表,装备属性计算表!AY$29,FALSE),定义数据!$B$13:$C$35,2,FALSE)</f>
        <v>0</v>
      </c>
      <c r="AE164" s="14">
        <f>VLOOKUP($I164&amp;$F164&amp;$G164,装备属性表,装备属性计算表!AZ$29,FALSE)</f>
        <v>0</v>
      </c>
      <c r="AF164" s="14">
        <f ca="1">VLOOKUP(VLOOKUP($I164&amp;$F164&amp;$G164,装备属性表,装备属性计算表!BA$29,FALSE),定义数据!$B$13:$C$35,2,FALSE)</f>
        <v>0</v>
      </c>
      <c r="AG164" s="14">
        <f>VLOOKUP($I164&amp;$F164&amp;$G164,装备属性表,装备属性计算表!BB$29,FALSE)</f>
        <v>0</v>
      </c>
      <c r="AH164" s="14">
        <f ca="1">VLOOKUP(VLOOKUP($I164&amp;$F164&amp;$G164,装备属性表,装备属性计算表!BC$29,FALSE),定义数据!$B$13:$C$35,2,FALSE)</f>
        <v>0</v>
      </c>
      <c r="AI164" s="14">
        <f>VLOOKUP($I164&amp;$F164&amp;$G164,装备属性表,装备属性计算表!BD$29,FALSE)</f>
        <v>0</v>
      </c>
      <c r="AJ164" s="14">
        <f ca="1">VLOOKUP(VLOOKUP($I164&amp;$F164&amp;$G164,装备属性表,装备属性计算表!BE$29,FALSE),定义数据!$B$13:$C$35,2,FALSE)</f>
        <v>0</v>
      </c>
      <c r="AK164" s="14">
        <f>VLOOKUP($I164&amp;$F164&amp;$G164,装备属性表,装备属性计算表!BF$29,FALSE)</f>
        <v>0</v>
      </c>
      <c r="AL164" t="str">
        <f t="shared" si="53"/>
        <v>幻痛项链是一件70级紫色可升级的装备。</v>
      </c>
      <c r="AM164" t="str">
        <f>IF(D164=0,5,D164) &amp; F164&amp;"00"&amp;VLOOKUP(G164,定义数据!$F$20:$G$27,2,FALSE)&amp;".png"</f>
        <v>53004.png</v>
      </c>
      <c r="AN164" s="79">
        <f>IF(OR(G164&lt;15),0,D_装备升级表!A164)</f>
        <v>70023</v>
      </c>
      <c r="AP164">
        <f ca="1">VLOOKUP(G164&amp;I164&amp;F164,CHOOSE({1,2},装备属性计算表!$BK$32:$BK$187,装备属性计算表!$BJ$32:$BJ$187),2,FALSE)</f>
        <v>372.92215851693413</v>
      </c>
      <c r="AQ164">
        <f ca="1">AP164*'[1]0、经济设定'!$C$18</f>
        <v>18646.107925846707</v>
      </c>
      <c r="AR164">
        <f ca="1">IFERROR(AQ164*'[1]0、经济设定'!$E$19*AU164*AS164,0)</f>
        <v>998.32839549401137</v>
      </c>
      <c r="AS164">
        <v>10</v>
      </c>
      <c r="AT164">
        <f t="shared" si="49"/>
        <v>168</v>
      </c>
      <c r="AU164">
        <f ca="1">IF(F164=0,IFERROR(AT164/AP164/'[1]0、经济设定'!$E$18,0),AU163)</f>
        <v>2.6770423068026892</v>
      </c>
      <c r="AV164">
        <f t="shared" ca="1" si="39"/>
        <v>14916.886340677365</v>
      </c>
    </row>
    <row r="165" spans="1:48" x14ac:dyDescent="0.15">
      <c r="A165" s="14" t="str">
        <f t="shared" si="44"/>
        <v>10322</v>
      </c>
      <c r="B165" s="14" t="s">
        <v>597</v>
      </c>
      <c r="C165" s="14">
        <f>VLOOKUP($I165&amp;$F165&amp;$G165,装备属性表,装备属性计算表!AK$29,FALSE)</f>
        <v>22</v>
      </c>
      <c r="D165" s="14">
        <f t="shared" si="48"/>
        <v>1</v>
      </c>
      <c r="E165" s="14" t="str">
        <f>VLOOKUP(F165,CHOOSE({1,2},定义数据!$F$2:$F$7,武器部位),2)</f>
        <v>武器</v>
      </c>
      <c r="F165" s="14">
        <v>0</v>
      </c>
      <c r="G165" s="14">
        <v>70</v>
      </c>
      <c r="H165" s="14">
        <f t="shared" si="45"/>
        <v>70</v>
      </c>
      <c r="I165" s="14">
        <v>3</v>
      </c>
      <c r="J165" s="14" t="str">
        <f t="shared" si="46"/>
        <v>7030</v>
      </c>
      <c r="K165" s="14" t="str">
        <f t="shared" si="47"/>
        <v>7030</v>
      </c>
      <c r="L165" s="76"/>
      <c r="M165" s="14">
        <f>IF(OR(G165&lt;15,G165=80),0,D_装备升级表!A165)</f>
        <v>70130</v>
      </c>
      <c r="N165" s="78">
        <v>1</v>
      </c>
      <c r="O165" s="14">
        <f t="shared" si="50"/>
        <v>2200</v>
      </c>
      <c r="P165" s="14"/>
      <c r="Q165" s="14">
        <f>VLOOKUP($I165&amp;$F165&amp;$G165,装备属性表,装备属性计算表!AL$29,FALSE)</f>
        <v>5</v>
      </c>
      <c r="R165" s="14">
        <f ca="1">VLOOKUP(VLOOKUP($I165&amp;$F165&amp;$G165,装备属性表,装备属性计算表!AM$29,FALSE),定义数据!$B$13:$C$35,2,FALSE)</f>
        <v>2</v>
      </c>
      <c r="S165" s="14">
        <f ca="1">VLOOKUP($I165&amp;$F165&amp;$G165,装备属性表,装备属性计算表!AN$29,FALSE)</f>
        <v>541.54891636363652</v>
      </c>
      <c r="T165" s="14">
        <f ca="1">VLOOKUP(VLOOKUP($I165&amp;$F165&amp;$G165,装备属性表,装备属性计算表!AO$29,FALSE),定义数据!$B$13:$C$35,2,FALSE)</f>
        <v>8</v>
      </c>
      <c r="U165" s="14">
        <f ca="1">VLOOKUP($I165&amp;$F165&amp;$G165,装备属性表,装备属性计算表!AP$29,FALSE)</f>
        <v>335.80246913580248</v>
      </c>
      <c r="V165" s="14">
        <f ca="1">VLOOKUP(VLOOKUP($I165&amp;$F165&amp;$G165,装备属性表,装备属性计算表!AQ$29,FALSE),定义数据!$B$13:$C$35,2,FALSE)</f>
        <v>2</v>
      </c>
      <c r="W165" s="14">
        <f ca="1">VLOOKUP($I165&amp;$F165&amp;$G165,装备属性表,装备属性计算表!AR$29,FALSE)</f>
        <v>162.46467490909097</v>
      </c>
      <c r="X165" s="14">
        <f ca="1">VLOOKUP(VLOOKUP($I165&amp;$F165&amp;$G165,装备属性表,装备属性计算表!AS$29,FALSE),定义数据!$B$13:$C$35,2,FALSE)</f>
        <v>3</v>
      </c>
      <c r="Y165" s="14">
        <f ca="1">VLOOKUP($I165&amp;$F165&amp;$G165,装备属性表,装备属性计算表!AT$29,FALSE)</f>
        <v>19.501183778162911</v>
      </c>
      <c r="Z165" s="14">
        <f ca="1">VLOOKUP(VLOOKUP($I165&amp;$F165&amp;$G165,装备属性表,装备属性计算表!AU$29,FALSE),定义数据!$B$13:$C$35,2,FALSE)</f>
        <v>6</v>
      </c>
      <c r="AA165" s="14">
        <f ca="1">VLOOKUP($I165&amp;$F165&amp;$G165,装备属性表,装备属性计算表!AV$29,FALSE)</f>
        <v>70.833333333333343</v>
      </c>
      <c r="AB165" s="14">
        <f ca="1">VLOOKUP(VLOOKUP($I165&amp;$F165&amp;$G165,装备属性表,装备属性计算表!AW$29,FALSE),定义数据!$B$13:$C$35,2,FALSE)</f>
        <v>0</v>
      </c>
      <c r="AC165" s="14">
        <f>VLOOKUP($I165&amp;$F165&amp;$G165,装备属性表,装备属性计算表!AX$29,FALSE)</f>
        <v>0</v>
      </c>
      <c r="AD165" s="14">
        <f ca="1">VLOOKUP(VLOOKUP($I165&amp;$F165&amp;$G165,装备属性表,装备属性计算表!AY$29,FALSE),定义数据!$B$13:$C$35,2,FALSE)</f>
        <v>0</v>
      </c>
      <c r="AE165" s="14">
        <f>VLOOKUP($I165&amp;$F165&amp;$G165,装备属性表,装备属性计算表!AZ$29,FALSE)</f>
        <v>0</v>
      </c>
      <c r="AF165" s="14">
        <f ca="1">VLOOKUP(VLOOKUP($I165&amp;$F165&amp;$G165,装备属性表,装备属性计算表!BA$29,FALSE),定义数据!$B$13:$C$35,2,FALSE)</f>
        <v>0</v>
      </c>
      <c r="AG165" s="14">
        <f>VLOOKUP($I165&amp;$F165&amp;$G165,装备属性表,装备属性计算表!BB$29,FALSE)</f>
        <v>0</v>
      </c>
      <c r="AH165" s="14">
        <f ca="1">VLOOKUP(VLOOKUP($I165&amp;$F165&amp;$G165,装备属性表,装备属性计算表!BC$29,FALSE),定义数据!$B$13:$C$35,2,FALSE)</f>
        <v>0</v>
      </c>
      <c r="AI165" s="14">
        <f>VLOOKUP($I165&amp;$F165&amp;$G165,装备属性表,装备属性计算表!BD$29,FALSE)</f>
        <v>0</v>
      </c>
      <c r="AJ165" s="14">
        <f ca="1">VLOOKUP(VLOOKUP($I165&amp;$F165&amp;$G165,装备属性表,装备属性计算表!BE$29,FALSE),定义数据!$B$13:$C$35,2,FALSE)</f>
        <v>0</v>
      </c>
      <c r="AK165" s="14">
        <f>VLOOKUP($I165&amp;$F165&amp;$G165,装备属性表,装备属性计算表!BF$29,FALSE)</f>
        <v>0</v>
      </c>
      <c r="AL165" t="str">
        <f t="shared" si="53"/>
        <v>焚天之剑是一件70级橙色可升级的装备。</v>
      </c>
      <c r="AM165" t="str">
        <f>IF(D165=0,5,D165) &amp; F165&amp;"00"&amp;VLOOKUP(G165,定义数据!$F$20:$G$27,2,FALSE)&amp;".png"</f>
        <v>10004.png</v>
      </c>
      <c r="AN165" s="79">
        <f>IF(OR(G165&lt;15),0,D_装备升级表!A165)</f>
        <v>70130</v>
      </c>
      <c r="AP165">
        <f ca="1">VLOOKUP(G165&amp;I165&amp;F165,CHOOSE({1,2},装备属性计算表!$BK$32:$BK$187,装备属性计算表!$BJ$32:$BJ$187),2,FALSE)</f>
        <v>817.10921949533486</v>
      </c>
      <c r="AQ165">
        <f ca="1">AP165*'[1]0、经济设定'!$C$18</f>
        <v>40855.460974766742</v>
      </c>
      <c r="AR165">
        <f ca="1">IFERROR(AQ165*'[1]0、经济设定'!$E$19*AU165*AS165,0)</f>
        <v>4200</v>
      </c>
      <c r="AS165">
        <v>10</v>
      </c>
      <c r="AT165">
        <f t="shared" si="49"/>
        <v>420</v>
      </c>
      <c r="AU165">
        <f ca="1">IF(F165=0,IFERROR(AT165/AP165/'[1]0、经济设定'!$E$18,0),AU164)</f>
        <v>5.1400717306726937</v>
      </c>
      <c r="AV165">
        <f t="shared" ref="AV165:AV212" ca="1" si="55">AP165*40</f>
        <v>32684.368779813394</v>
      </c>
    </row>
    <row r="166" spans="1:48" x14ac:dyDescent="0.15">
      <c r="A166" s="14" t="str">
        <f t="shared" si="44"/>
        <v>20322</v>
      </c>
      <c r="B166" s="14" t="s">
        <v>223</v>
      </c>
      <c r="C166" s="14">
        <f>VLOOKUP($I166&amp;$F166&amp;$G166,装备属性表,装备属性计算表!AK$29,FALSE)</f>
        <v>22</v>
      </c>
      <c r="D166" s="14">
        <f t="shared" si="48"/>
        <v>2</v>
      </c>
      <c r="E166" s="14" t="str">
        <f>VLOOKUP(F166,CHOOSE({1,2},定义数据!$F$2:$F$7,武器部位),2)</f>
        <v>武器</v>
      </c>
      <c r="F166" s="14">
        <v>0</v>
      </c>
      <c r="G166" s="14">
        <v>70</v>
      </c>
      <c r="H166" s="14">
        <f t="shared" si="45"/>
        <v>70</v>
      </c>
      <c r="I166" s="14">
        <v>3</v>
      </c>
      <c r="J166" s="14" t="str">
        <f t="shared" si="46"/>
        <v>7030</v>
      </c>
      <c r="K166" s="14" t="str">
        <f t="shared" si="47"/>
        <v>7030</v>
      </c>
      <c r="L166" s="76"/>
      <c r="M166" s="14">
        <f>IF(OR(G166&lt;15,G166=80),0,D_装备升级表!A166)</f>
        <v>70230</v>
      </c>
      <c r="N166" s="78">
        <v>1</v>
      </c>
      <c r="O166" s="14">
        <f t="shared" si="50"/>
        <v>2200</v>
      </c>
      <c r="P166" s="14"/>
      <c r="Q166" s="14">
        <f>VLOOKUP($I166&amp;$F166&amp;$G166,装备属性表,装备属性计算表!AL$29,FALSE)</f>
        <v>5</v>
      </c>
      <c r="R166" s="14">
        <f ca="1">VLOOKUP(VLOOKUP($I166&amp;$F166&amp;$G166,装备属性表,装备属性计算表!AM$29,FALSE),定义数据!$B$13:$C$35,2,FALSE)</f>
        <v>2</v>
      </c>
      <c r="S166" s="14">
        <f ca="1">VLOOKUP($I166&amp;$F166&amp;$G166,装备属性表,装备属性计算表!AN$29,FALSE)</f>
        <v>541.54891636363652</v>
      </c>
      <c r="T166" s="14">
        <f ca="1">VLOOKUP(VLOOKUP($I166&amp;$F166&amp;$G166,装备属性表,装备属性计算表!AO$29,FALSE),定义数据!$B$13:$C$35,2,FALSE)</f>
        <v>8</v>
      </c>
      <c r="U166" s="14">
        <f ca="1">VLOOKUP($I166&amp;$F166&amp;$G166,装备属性表,装备属性计算表!AP$29,FALSE)</f>
        <v>335.80246913580248</v>
      </c>
      <c r="V166" s="14">
        <f ca="1">VLOOKUP(VLOOKUP($I166&amp;$F166&amp;$G166,装备属性表,装备属性计算表!AQ$29,FALSE),定义数据!$B$13:$C$35,2,FALSE)</f>
        <v>2</v>
      </c>
      <c r="W166" s="14">
        <f ca="1">VLOOKUP($I166&amp;$F166&amp;$G166,装备属性表,装备属性计算表!AR$29,FALSE)</f>
        <v>162.46467490909097</v>
      </c>
      <c r="X166" s="14">
        <f ca="1">VLOOKUP(VLOOKUP($I166&amp;$F166&amp;$G166,装备属性表,装备属性计算表!AS$29,FALSE),定义数据!$B$13:$C$35,2,FALSE)</f>
        <v>3</v>
      </c>
      <c r="Y166" s="14">
        <f ca="1">VLOOKUP($I166&amp;$F166&amp;$G166,装备属性表,装备属性计算表!AT$29,FALSE)</f>
        <v>19.501183778162911</v>
      </c>
      <c r="Z166" s="14">
        <f ca="1">VLOOKUP(VLOOKUP($I166&amp;$F166&amp;$G166,装备属性表,装备属性计算表!AU$29,FALSE),定义数据!$B$13:$C$35,2,FALSE)</f>
        <v>6</v>
      </c>
      <c r="AA166" s="14">
        <f ca="1">VLOOKUP($I166&amp;$F166&amp;$G166,装备属性表,装备属性计算表!AV$29,FALSE)</f>
        <v>70.833333333333343</v>
      </c>
      <c r="AB166" s="14">
        <f ca="1">VLOOKUP(VLOOKUP($I166&amp;$F166&amp;$G166,装备属性表,装备属性计算表!AW$29,FALSE),定义数据!$B$13:$C$35,2,FALSE)</f>
        <v>0</v>
      </c>
      <c r="AC166" s="14">
        <f>VLOOKUP($I166&amp;$F166&amp;$G166,装备属性表,装备属性计算表!AX$29,FALSE)</f>
        <v>0</v>
      </c>
      <c r="AD166" s="14">
        <f ca="1">VLOOKUP(VLOOKUP($I166&amp;$F166&amp;$G166,装备属性表,装备属性计算表!AY$29,FALSE),定义数据!$B$13:$C$35,2,FALSE)</f>
        <v>0</v>
      </c>
      <c r="AE166" s="14">
        <f>VLOOKUP($I166&amp;$F166&amp;$G166,装备属性表,装备属性计算表!AZ$29,FALSE)</f>
        <v>0</v>
      </c>
      <c r="AF166" s="14">
        <f ca="1">VLOOKUP(VLOOKUP($I166&amp;$F166&amp;$G166,装备属性表,装备属性计算表!BA$29,FALSE),定义数据!$B$13:$C$35,2,FALSE)</f>
        <v>0</v>
      </c>
      <c r="AG166" s="14">
        <f>VLOOKUP($I166&amp;$F166&amp;$G166,装备属性表,装备属性计算表!BB$29,FALSE)</f>
        <v>0</v>
      </c>
      <c r="AH166" s="14">
        <f ca="1">VLOOKUP(VLOOKUP($I166&amp;$F166&amp;$G166,装备属性表,装备属性计算表!BC$29,FALSE),定义数据!$B$13:$C$35,2,FALSE)</f>
        <v>0</v>
      </c>
      <c r="AI166" s="14">
        <f>VLOOKUP($I166&amp;$F166&amp;$G166,装备属性表,装备属性计算表!BD$29,FALSE)</f>
        <v>0</v>
      </c>
      <c r="AJ166" s="14">
        <f ca="1">VLOOKUP(VLOOKUP($I166&amp;$F166&amp;$G166,装备属性表,装备属性计算表!BE$29,FALSE),定义数据!$B$13:$C$35,2,FALSE)</f>
        <v>0</v>
      </c>
      <c r="AK166" s="14">
        <f>VLOOKUP($I166&amp;$F166&amp;$G166,装备属性表,装备属性计算表!BF$29,FALSE)</f>
        <v>0</v>
      </c>
      <c r="AL166" t="str">
        <f t="shared" si="53"/>
        <v>焚天之拳是一件70级橙色可升级的装备。</v>
      </c>
      <c r="AM166" t="str">
        <f>IF(D166=0,5,D166) &amp; F166&amp;"00"&amp;VLOOKUP(G166,定义数据!$F$20:$G$27,2,FALSE)&amp;".png"</f>
        <v>20004.png</v>
      </c>
      <c r="AN166" s="79">
        <f>IF(OR(G166&lt;15),0,D_装备升级表!A166)</f>
        <v>70230</v>
      </c>
      <c r="AP166">
        <f ca="1">VLOOKUP(G166&amp;I166&amp;F166,CHOOSE({1,2},装备属性计算表!$BK$32:$BK$187,装备属性计算表!$BJ$32:$BJ$187),2,FALSE)</f>
        <v>817.10921949533486</v>
      </c>
      <c r="AQ166">
        <f ca="1">AP166*'[1]0、经济设定'!$C$18</f>
        <v>40855.460974766742</v>
      </c>
      <c r="AR166">
        <f ca="1">IFERROR(AQ166*'[1]0、经济设定'!$E$19*AU166*AS166,0)</f>
        <v>4200</v>
      </c>
      <c r="AS166">
        <v>10</v>
      </c>
      <c r="AT166">
        <f t="shared" si="49"/>
        <v>420</v>
      </c>
      <c r="AU166">
        <f ca="1">IF(F166=0,IFERROR(AT166/AP166/'[1]0、经济设定'!$E$18,0),AU165)</f>
        <v>5.1400717306726937</v>
      </c>
      <c r="AV166">
        <f t="shared" ca="1" si="55"/>
        <v>32684.368779813394</v>
      </c>
    </row>
    <row r="167" spans="1:48" x14ac:dyDescent="0.15">
      <c r="A167" s="14" t="str">
        <f t="shared" si="44"/>
        <v>30322</v>
      </c>
      <c r="B167" s="14" t="s">
        <v>598</v>
      </c>
      <c r="C167" s="14">
        <f>VLOOKUP($I167&amp;$F167&amp;$G167,装备属性表,装备属性计算表!AK$29,FALSE)</f>
        <v>22</v>
      </c>
      <c r="D167" s="14">
        <f t="shared" si="48"/>
        <v>3</v>
      </c>
      <c r="E167" s="14" t="str">
        <f>VLOOKUP(F167,CHOOSE({1,2},定义数据!$F$2:$F$7,武器部位),2)</f>
        <v>武器</v>
      </c>
      <c r="F167" s="14">
        <v>0</v>
      </c>
      <c r="G167" s="14">
        <f>装备属性计算表!D152</f>
        <v>70</v>
      </c>
      <c r="H167" s="14">
        <f t="shared" si="45"/>
        <v>70</v>
      </c>
      <c r="I167" s="14">
        <v>3</v>
      </c>
      <c r="J167" s="14" t="str">
        <f t="shared" si="46"/>
        <v>7030</v>
      </c>
      <c r="K167" s="14" t="str">
        <f t="shared" si="47"/>
        <v>7030</v>
      </c>
      <c r="L167" s="76"/>
      <c r="M167" s="14">
        <f>IF(OR(G167&lt;15,G167=80),0,D_装备升级表!A167)</f>
        <v>70330</v>
      </c>
      <c r="N167" s="78">
        <v>1</v>
      </c>
      <c r="O167" s="14">
        <f t="shared" si="50"/>
        <v>2200</v>
      </c>
      <c r="P167" s="14"/>
      <c r="Q167" s="14">
        <f>VLOOKUP($I167&amp;$F167&amp;$G167,装备属性表,装备属性计算表!AL$29,FALSE)</f>
        <v>5</v>
      </c>
      <c r="R167" s="14">
        <f ca="1">VLOOKUP(VLOOKUP($I167&amp;$F167&amp;$G167,装备属性表,装备属性计算表!AM$29,FALSE),定义数据!$B$13:$C$35,2,FALSE)</f>
        <v>2</v>
      </c>
      <c r="S167" s="14">
        <f ca="1">VLOOKUP($I167&amp;$F167&amp;$G167,装备属性表,装备属性计算表!AN$29,FALSE)</f>
        <v>541.54891636363652</v>
      </c>
      <c r="T167" s="14">
        <f ca="1">VLOOKUP(VLOOKUP($I167&amp;$F167&amp;$G167,装备属性表,装备属性计算表!AO$29,FALSE),定义数据!$B$13:$C$35,2,FALSE)</f>
        <v>8</v>
      </c>
      <c r="U167" s="14">
        <f ca="1">VLOOKUP($I167&amp;$F167&amp;$G167,装备属性表,装备属性计算表!AP$29,FALSE)</f>
        <v>335.80246913580248</v>
      </c>
      <c r="V167" s="14">
        <f ca="1">VLOOKUP(VLOOKUP($I167&amp;$F167&amp;$G167,装备属性表,装备属性计算表!AQ$29,FALSE),定义数据!$B$13:$C$35,2,FALSE)</f>
        <v>2</v>
      </c>
      <c r="W167" s="14">
        <f ca="1">VLOOKUP($I167&amp;$F167&amp;$G167,装备属性表,装备属性计算表!AR$29,FALSE)</f>
        <v>162.46467490909097</v>
      </c>
      <c r="X167" s="14">
        <f ca="1">VLOOKUP(VLOOKUP($I167&amp;$F167&amp;$G167,装备属性表,装备属性计算表!AS$29,FALSE),定义数据!$B$13:$C$35,2,FALSE)</f>
        <v>3</v>
      </c>
      <c r="Y167" s="14">
        <f ca="1">VLOOKUP($I167&amp;$F167&amp;$G167,装备属性表,装备属性计算表!AT$29,FALSE)</f>
        <v>19.501183778162911</v>
      </c>
      <c r="Z167" s="14">
        <f ca="1">VLOOKUP(VLOOKUP($I167&amp;$F167&amp;$G167,装备属性表,装备属性计算表!AU$29,FALSE),定义数据!$B$13:$C$35,2,FALSE)</f>
        <v>6</v>
      </c>
      <c r="AA167" s="14">
        <f ca="1">VLOOKUP($I167&amp;$F167&amp;$G167,装备属性表,装备属性计算表!AV$29,FALSE)</f>
        <v>70.833333333333343</v>
      </c>
      <c r="AB167" s="14">
        <f ca="1">VLOOKUP(VLOOKUP($I167&amp;$F167&amp;$G167,装备属性表,装备属性计算表!AW$29,FALSE),定义数据!$B$13:$C$35,2,FALSE)</f>
        <v>0</v>
      </c>
      <c r="AC167" s="14">
        <f>VLOOKUP($I167&amp;$F167&amp;$G167,装备属性表,装备属性计算表!AX$29,FALSE)</f>
        <v>0</v>
      </c>
      <c r="AD167" s="14">
        <f ca="1">VLOOKUP(VLOOKUP($I167&amp;$F167&amp;$G167,装备属性表,装备属性计算表!AY$29,FALSE),定义数据!$B$13:$C$35,2,FALSE)</f>
        <v>0</v>
      </c>
      <c r="AE167" s="14">
        <f>VLOOKUP($I167&amp;$F167&amp;$G167,装备属性表,装备属性计算表!AZ$29,FALSE)</f>
        <v>0</v>
      </c>
      <c r="AF167" s="14">
        <f ca="1">VLOOKUP(VLOOKUP($I167&amp;$F167&amp;$G167,装备属性表,装备属性计算表!BA$29,FALSE),定义数据!$B$13:$C$35,2,FALSE)</f>
        <v>0</v>
      </c>
      <c r="AG167" s="14">
        <f>VLOOKUP($I167&amp;$F167&amp;$G167,装备属性表,装备属性计算表!BB$29,FALSE)</f>
        <v>0</v>
      </c>
      <c r="AH167" s="14">
        <f ca="1">VLOOKUP(VLOOKUP($I167&amp;$F167&amp;$G167,装备属性表,装备属性计算表!BC$29,FALSE),定义数据!$B$13:$C$35,2,FALSE)</f>
        <v>0</v>
      </c>
      <c r="AI167" s="14">
        <f>VLOOKUP($I167&amp;$F167&amp;$G167,装备属性表,装备属性计算表!BD$29,FALSE)</f>
        <v>0</v>
      </c>
      <c r="AJ167" s="14">
        <f ca="1">VLOOKUP(VLOOKUP($I167&amp;$F167&amp;$G167,装备属性表,装备属性计算表!BE$29,FALSE),定义数据!$B$13:$C$35,2,FALSE)</f>
        <v>0</v>
      </c>
      <c r="AK167" s="14">
        <f>VLOOKUP($I167&amp;$F167&amp;$G167,装备属性表,装备属性计算表!BF$29,FALSE)</f>
        <v>0</v>
      </c>
      <c r="AL167" t="str">
        <f t="shared" si="53"/>
        <v>焚天之枪是一件70级橙色可升级的装备。</v>
      </c>
      <c r="AM167" t="str">
        <f>IF(D167=0,5,D167) &amp; F167&amp;"00"&amp;VLOOKUP(G167,定义数据!$F$20:$G$27,2,FALSE)&amp;".png"</f>
        <v>30004.png</v>
      </c>
      <c r="AN167" s="79">
        <f>IF(OR(G167&lt;15),0,D_装备升级表!A167)</f>
        <v>70330</v>
      </c>
      <c r="AP167">
        <f ca="1">VLOOKUP(G167&amp;I167&amp;F167,CHOOSE({1,2},装备属性计算表!$BK$32:$BK$187,装备属性计算表!$BJ$32:$BJ$187),2,FALSE)</f>
        <v>817.10921949533486</v>
      </c>
      <c r="AQ167">
        <f ca="1">AP167*'[1]0、经济设定'!$C$18</f>
        <v>40855.460974766742</v>
      </c>
      <c r="AR167">
        <f ca="1">IFERROR(AQ167*'[1]0、经济设定'!$E$19*AU167*AS167,0)</f>
        <v>4200</v>
      </c>
      <c r="AS167">
        <v>10</v>
      </c>
      <c r="AT167">
        <f t="shared" si="49"/>
        <v>420</v>
      </c>
      <c r="AU167">
        <f ca="1">IF(F167=0,IFERROR(AT167/AP167/'[1]0、经济设定'!$E$18,0),AU166)</f>
        <v>5.1400717306726937</v>
      </c>
      <c r="AV167">
        <f t="shared" ca="1" si="55"/>
        <v>32684.368779813394</v>
      </c>
    </row>
    <row r="168" spans="1:48" x14ac:dyDescent="0.15">
      <c r="A168" s="14" t="str">
        <f t="shared" si="44"/>
        <v>51322</v>
      </c>
      <c r="B168" s="14" t="s">
        <v>599</v>
      </c>
      <c r="C168" s="14">
        <f>VLOOKUP($I168&amp;$F168&amp;$G168,装备属性表,装备属性计算表!AK$29,FALSE)</f>
        <v>22</v>
      </c>
      <c r="D168" s="14">
        <f t="shared" si="48"/>
        <v>0</v>
      </c>
      <c r="E168" s="14" t="str">
        <f>VLOOKUP(F168,CHOOSE({1,2},定义数据!$F$2:$F$7,武器部位),2)</f>
        <v>衣服</v>
      </c>
      <c r="F168" s="14">
        <v>1</v>
      </c>
      <c r="G168" s="14">
        <f>装备属性计算表!D153</f>
        <v>70</v>
      </c>
      <c r="H168" s="14">
        <f t="shared" si="45"/>
        <v>70</v>
      </c>
      <c r="I168" s="14">
        <v>3</v>
      </c>
      <c r="J168" s="14" t="str">
        <f t="shared" si="46"/>
        <v>7031</v>
      </c>
      <c r="K168" s="14" t="str">
        <f t="shared" si="47"/>
        <v>7031</v>
      </c>
      <c r="L168" s="76"/>
      <c r="M168" s="14">
        <f>IF(OR(G168&lt;15,G168=80),0,D_装备升级表!A168)</f>
        <v>70031</v>
      </c>
      <c r="N168" s="78">
        <v>1</v>
      </c>
      <c r="O168" s="14">
        <f t="shared" si="50"/>
        <v>2200</v>
      </c>
      <c r="P168" s="14"/>
      <c r="Q168" s="14">
        <f>VLOOKUP($I168&amp;$F168&amp;$G168,装备属性表,装备属性计算表!AL$29,FALSE)</f>
        <v>5</v>
      </c>
      <c r="R168" s="14">
        <f ca="1">VLOOKUP(VLOOKUP($I168&amp;$F168&amp;$G168,装备属性表,装备属性计算表!AM$29,FALSE),定义数据!$B$13:$C$35,2,FALSE)</f>
        <v>1</v>
      </c>
      <c r="S168" s="14">
        <f ca="1">VLOOKUP($I168&amp;$F168&amp;$G168,装备属性表,装备属性计算表!AN$29,FALSE)</f>
        <v>8529.5195767973037</v>
      </c>
      <c r="T168" s="14">
        <f ca="1">VLOOKUP(VLOOKUP($I168&amp;$F168&amp;$G168,装备属性表,装备属性计算表!AO$29,FALSE),定义数据!$B$13:$C$35,2,FALSE)</f>
        <v>3</v>
      </c>
      <c r="U168" s="14">
        <f ca="1">VLOOKUP($I168&amp;$F168&amp;$G168,装备属性表,装备属性计算表!AP$29,FALSE)</f>
        <v>187.21136427036396</v>
      </c>
      <c r="V168" s="14">
        <f ca="1">VLOOKUP(VLOOKUP($I168&amp;$F168&amp;$G168,装备属性表,装备属性计算表!AQ$29,FALSE),定义数据!$B$13:$C$35,2,FALSE)</f>
        <v>1</v>
      </c>
      <c r="W168" s="14">
        <f ca="1">VLOOKUP($I168&amp;$F168&amp;$G168,装备属性表,装备属性计算表!AR$29,FALSE)</f>
        <v>1776.9832451661055</v>
      </c>
      <c r="X168" s="14">
        <f ca="1">VLOOKUP(VLOOKUP($I168&amp;$F168&amp;$G168,装备属性表,装备属性计算表!AS$29,FALSE),定义数据!$B$13:$C$35,2,FALSE)</f>
        <v>3</v>
      </c>
      <c r="Y168" s="14">
        <f ca="1">VLOOKUP($I168&amp;$F168&amp;$G168,装备属性表,装备属性计算表!AT$29,FALSE)</f>
        <v>58.503551334488741</v>
      </c>
      <c r="Z168" s="14">
        <f ca="1">VLOOKUP(VLOOKUP($I168&amp;$F168&amp;$G168,装备属性表,装备属性计算表!AU$29,FALSE),定义数据!$B$13:$C$35,2,FALSE)</f>
        <v>7</v>
      </c>
      <c r="AA168" s="14">
        <f ca="1">VLOOKUP($I168&amp;$F168&amp;$G168,装备属性表,装备属性计算表!AV$29,FALSE)</f>
        <v>42.500000000000014</v>
      </c>
      <c r="AB168" s="14">
        <f ca="1">VLOOKUP(VLOOKUP($I168&amp;$F168&amp;$G168,装备属性表,装备属性计算表!AW$29,FALSE),定义数据!$B$13:$C$35,2,FALSE)</f>
        <v>0</v>
      </c>
      <c r="AC168" s="14">
        <f>VLOOKUP($I168&amp;$F168&amp;$G168,装备属性表,装备属性计算表!AX$29,FALSE)</f>
        <v>0</v>
      </c>
      <c r="AD168" s="14">
        <f ca="1">VLOOKUP(VLOOKUP($I168&amp;$F168&amp;$G168,装备属性表,装备属性计算表!AY$29,FALSE),定义数据!$B$13:$C$35,2,FALSE)</f>
        <v>0</v>
      </c>
      <c r="AE168" s="14">
        <f>VLOOKUP($I168&amp;$F168&amp;$G168,装备属性表,装备属性计算表!AZ$29,FALSE)</f>
        <v>0</v>
      </c>
      <c r="AF168" s="14">
        <f ca="1">VLOOKUP(VLOOKUP($I168&amp;$F168&amp;$G168,装备属性表,装备属性计算表!BA$29,FALSE),定义数据!$B$13:$C$35,2,FALSE)</f>
        <v>0</v>
      </c>
      <c r="AG168" s="14">
        <f>VLOOKUP($I168&amp;$F168&amp;$G168,装备属性表,装备属性计算表!BB$29,FALSE)</f>
        <v>0</v>
      </c>
      <c r="AH168" s="14">
        <f ca="1">VLOOKUP(VLOOKUP($I168&amp;$F168&amp;$G168,装备属性表,装备属性计算表!BC$29,FALSE),定义数据!$B$13:$C$35,2,FALSE)</f>
        <v>0</v>
      </c>
      <c r="AI168" s="14">
        <f>VLOOKUP($I168&amp;$F168&amp;$G168,装备属性表,装备属性计算表!BD$29,FALSE)</f>
        <v>0</v>
      </c>
      <c r="AJ168" s="14">
        <f ca="1">VLOOKUP(VLOOKUP($I168&amp;$F168&amp;$G168,装备属性表,装备属性计算表!BE$29,FALSE),定义数据!$B$13:$C$35,2,FALSE)</f>
        <v>0</v>
      </c>
      <c r="AK168" s="14">
        <f>VLOOKUP($I168&amp;$F168&amp;$G168,装备属性表,装备属性计算表!BF$29,FALSE)</f>
        <v>0</v>
      </c>
      <c r="AL168" t="str">
        <f t="shared" si="53"/>
        <v>焚天战衣是一件70级橙色可升级的装备。</v>
      </c>
      <c r="AM168" t="str">
        <f>IF(D168=0,5,D168) &amp; F168&amp;"00"&amp;VLOOKUP(G168,定义数据!$F$20:$G$27,2,FALSE)&amp;".png"</f>
        <v>51004.png</v>
      </c>
      <c r="AN168" s="79">
        <f>IF(OR(G168&lt;15),0,D_装备升级表!A168)</f>
        <v>70031</v>
      </c>
      <c r="AP168">
        <f ca="1">VLOOKUP(G168&amp;I168&amp;F168,CHOOSE({1,2},装备属性计算表!$BK$32:$BK$187,装备属性计算表!$BJ$32:$BJ$187),2,FALSE)</f>
        <v>679.98058403894458</v>
      </c>
      <c r="AQ168">
        <f ca="1">AP168*'[1]0、经济设定'!$C$18</f>
        <v>33999.029201947233</v>
      </c>
      <c r="AR168">
        <f ca="1">IFERROR(AQ168*'[1]0、经济设定'!$E$19*AU168*AS168,0)</f>
        <v>3495.1489774248871</v>
      </c>
      <c r="AS168">
        <v>10</v>
      </c>
      <c r="AT168">
        <f t="shared" si="49"/>
        <v>420</v>
      </c>
      <c r="AU168">
        <f ca="1">IF(F168=0,IFERROR(AT168/AP168/'[1]0、经济设定'!$E$18,0),AU167)</f>
        <v>5.1400717306726937</v>
      </c>
      <c r="AV168">
        <f t="shared" ca="1" si="55"/>
        <v>27199.223361557782</v>
      </c>
    </row>
    <row r="169" spans="1:48" x14ac:dyDescent="0.15">
      <c r="A169" s="14" t="str">
        <f t="shared" si="44"/>
        <v>52322</v>
      </c>
      <c r="B169" s="14" t="s">
        <v>600</v>
      </c>
      <c r="C169" s="14">
        <f>VLOOKUP($I169&amp;$F169&amp;$G169,装备属性表,装备属性计算表!AK$29,FALSE)</f>
        <v>22</v>
      </c>
      <c r="D169" s="14">
        <f t="shared" si="48"/>
        <v>0</v>
      </c>
      <c r="E169" s="14" t="str">
        <f>VLOOKUP(F169,CHOOSE({1,2},定义数据!$F$2:$F$7,武器部位),2)</f>
        <v>裤子</v>
      </c>
      <c r="F169" s="14">
        <v>2</v>
      </c>
      <c r="G169" s="14">
        <f>装备属性计算表!D154</f>
        <v>70</v>
      </c>
      <c r="H169" s="14">
        <f t="shared" si="45"/>
        <v>70</v>
      </c>
      <c r="I169" s="14">
        <v>3</v>
      </c>
      <c r="J169" s="14" t="str">
        <f t="shared" si="46"/>
        <v>7032</v>
      </c>
      <c r="K169" s="14" t="str">
        <f t="shared" si="47"/>
        <v>7032</v>
      </c>
      <c r="L169" s="76"/>
      <c r="M169" s="14">
        <f>IF(OR(G169&lt;15,G169=80),0,D_装备升级表!A169)</f>
        <v>70032</v>
      </c>
      <c r="N169" s="78">
        <v>1</v>
      </c>
      <c r="O169" s="14">
        <f t="shared" si="50"/>
        <v>2200</v>
      </c>
      <c r="P169" s="14"/>
      <c r="Q169" s="14">
        <f>VLOOKUP($I169&amp;$F169&amp;$G169,装备属性表,装备属性计算表!AL$29,FALSE)</f>
        <v>5</v>
      </c>
      <c r="R169" s="14">
        <f ca="1">VLOOKUP(VLOOKUP($I169&amp;$F169&amp;$G169,装备属性表,装备属性计算表!AM$29,FALSE),定义数据!$B$13:$C$35,2,FALSE)</f>
        <v>3</v>
      </c>
      <c r="S169" s="14">
        <f ca="1">VLOOKUP($I169&amp;$F169&amp;$G169,装备属性表,装备属性计算表!AN$29,FALSE)</f>
        <v>124.80757618024263</v>
      </c>
      <c r="T169" s="14">
        <f ca="1">VLOOKUP(VLOOKUP($I169&amp;$F169&amp;$G169,装备属性表,装备属性计算表!AO$29,FALSE),定义数据!$B$13:$C$35,2,FALSE)</f>
        <v>7</v>
      </c>
      <c r="U169" s="14">
        <f ca="1">VLOOKUP($I169&amp;$F169&amp;$G169,装备属性表,装备属性计算表!AP$29,FALSE)</f>
        <v>188.88888888888891</v>
      </c>
      <c r="V169" s="14">
        <f ca="1">VLOOKUP(VLOOKUP($I169&amp;$F169&amp;$G169,装备属性表,装备属性计算表!AQ$29,FALSE),定义数据!$B$13:$C$35,2,FALSE)</f>
        <v>1</v>
      </c>
      <c r="W169" s="14">
        <f ca="1">VLOOKUP($I169&amp;$F169&amp;$G169,装备属性表,装备属性计算表!AR$29,FALSE)</f>
        <v>888.49162258305273</v>
      </c>
      <c r="X169" s="14">
        <f ca="1">VLOOKUP(VLOOKUP($I169&amp;$F169&amp;$G169,装备属性表,装备属性计算表!AS$29,FALSE),定义数据!$B$13:$C$35,2,FALSE)</f>
        <v>3</v>
      </c>
      <c r="Y169" s="14">
        <f ca="1">VLOOKUP($I169&amp;$F169&amp;$G169,装备属性表,装备属性计算表!AT$29,FALSE)</f>
        <v>19.501183778162911</v>
      </c>
      <c r="Z169" s="14">
        <f ca="1">VLOOKUP(VLOOKUP($I169&amp;$F169&amp;$G169,装备属性表,装备属性计算表!AU$29,FALSE),定义数据!$B$13:$C$35,2,FALSE)</f>
        <v>7</v>
      </c>
      <c r="AA169" s="14">
        <f ca="1">VLOOKUP($I169&amp;$F169&amp;$G169,装备属性表,装备属性计算表!AV$29,FALSE)</f>
        <v>42.500000000000014</v>
      </c>
      <c r="AB169" s="14">
        <f ca="1">VLOOKUP(VLOOKUP($I169&amp;$F169&amp;$G169,装备属性表,装备属性计算表!AW$29,FALSE),定义数据!$B$13:$C$35,2,FALSE)</f>
        <v>0</v>
      </c>
      <c r="AC169" s="14">
        <f>VLOOKUP($I169&amp;$F169&amp;$G169,装备属性表,装备属性计算表!AX$29,FALSE)</f>
        <v>0</v>
      </c>
      <c r="AD169" s="14">
        <f ca="1">VLOOKUP(VLOOKUP($I169&amp;$F169&amp;$G169,装备属性表,装备属性计算表!AY$29,FALSE),定义数据!$B$13:$C$35,2,FALSE)</f>
        <v>0</v>
      </c>
      <c r="AE169" s="14">
        <f>VLOOKUP($I169&amp;$F169&amp;$G169,装备属性表,装备属性计算表!AZ$29,FALSE)</f>
        <v>0</v>
      </c>
      <c r="AF169" s="14">
        <f ca="1">VLOOKUP(VLOOKUP($I169&amp;$F169&amp;$G169,装备属性表,装备属性计算表!BA$29,FALSE),定义数据!$B$13:$C$35,2,FALSE)</f>
        <v>0</v>
      </c>
      <c r="AG169" s="14">
        <f>VLOOKUP($I169&amp;$F169&amp;$G169,装备属性表,装备属性计算表!BB$29,FALSE)</f>
        <v>0</v>
      </c>
      <c r="AH169" s="14">
        <f ca="1">VLOOKUP(VLOOKUP($I169&amp;$F169&amp;$G169,装备属性表,装备属性计算表!BC$29,FALSE),定义数据!$B$13:$C$35,2,FALSE)</f>
        <v>0</v>
      </c>
      <c r="AI169" s="14">
        <f>VLOOKUP($I169&amp;$F169&amp;$G169,装备属性表,装备属性计算表!BD$29,FALSE)</f>
        <v>0</v>
      </c>
      <c r="AJ169" s="14">
        <f ca="1">VLOOKUP(VLOOKUP($I169&amp;$F169&amp;$G169,装备属性表,装备属性计算表!BE$29,FALSE),定义数据!$B$13:$C$35,2,FALSE)</f>
        <v>0</v>
      </c>
      <c r="AK169" s="14">
        <f>VLOOKUP($I169&amp;$F169&amp;$G169,装备属性表,装备属性计算表!BF$29,FALSE)</f>
        <v>0</v>
      </c>
      <c r="AL169" t="str">
        <f t="shared" si="53"/>
        <v>焚天长裤是一件70级橙色可升级的装备。</v>
      </c>
      <c r="AM169" t="str">
        <f>IF(D169=0,5,D169) &amp; F169&amp;"00"&amp;VLOOKUP(G169,定义数据!$F$20:$G$27,2,FALSE)&amp;".png"</f>
        <v>52004.png</v>
      </c>
      <c r="AN169" s="79">
        <f>IF(OR(G169&lt;15),0,D_装备升级表!A169)</f>
        <v>70032</v>
      </c>
      <c r="AP169">
        <f ca="1">VLOOKUP(G169&amp;I169&amp;F169,CHOOSE({1,2},装备属性计算表!$BK$32:$BK$187,装备属性计算表!$BJ$32:$BJ$187),2,FALSE)</f>
        <v>266.07620263950542</v>
      </c>
      <c r="AQ169">
        <f ca="1">AP169*'[1]0、经济设定'!$C$18</f>
        <v>13303.810131975271</v>
      </c>
      <c r="AR169">
        <f ca="1">IFERROR(AQ169*'[1]0、经济设定'!$E$19*AU169*AS169,0)</f>
        <v>1367.650767392061</v>
      </c>
      <c r="AS169">
        <v>10</v>
      </c>
      <c r="AT169">
        <f t="shared" si="49"/>
        <v>420</v>
      </c>
      <c r="AU169">
        <f ca="1">IF(F169=0,IFERROR(AT169/AP169/'[1]0、经济设定'!$E$18,0),AU168)</f>
        <v>5.1400717306726937</v>
      </c>
      <c r="AV169">
        <f t="shared" ca="1" si="55"/>
        <v>10643.048105580217</v>
      </c>
    </row>
    <row r="170" spans="1:48" x14ac:dyDescent="0.15">
      <c r="A170" s="14" t="str">
        <f t="shared" si="44"/>
        <v>55322</v>
      </c>
      <c r="B170" s="14" t="s">
        <v>601</v>
      </c>
      <c r="C170" s="14">
        <f>VLOOKUP($I170&amp;$F170&amp;$G170,装备属性表,装备属性计算表!AK$29,FALSE)</f>
        <v>22</v>
      </c>
      <c r="D170" s="14">
        <f t="shared" si="48"/>
        <v>0</v>
      </c>
      <c r="E170" s="14" t="str">
        <f>VLOOKUP(F170,CHOOSE({1,2},定义数据!$F$2:$F$7,武器部位),2)</f>
        <v>鞋子</v>
      </c>
      <c r="F170" s="14">
        <v>5</v>
      </c>
      <c r="G170" s="14">
        <f>装备属性计算表!D155</f>
        <v>70</v>
      </c>
      <c r="H170" s="14">
        <f t="shared" si="45"/>
        <v>70</v>
      </c>
      <c r="I170" s="14">
        <v>3</v>
      </c>
      <c r="J170" s="14" t="str">
        <f t="shared" si="46"/>
        <v>7035</v>
      </c>
      <c r="K170" s="14" t="str">
        <f t="shared" si="47"/>
        <v>7035</v>
      </c>
      <c r="L170" s="76"/>
      <c r="M170" s="14">
        <f>IF(OR(G170&lt;15,G170=80),0,D_装备升级表!A170)</f>
        <v>70035</v>
      </c>
      <c r="N170" s="78">
        <v>1</v>
      </c>
      <c r="O170" s="14">
        <f t="shared" si="50"/>
        <v>2200</v>
      </c>
      <c r="P170" s="14"/>
      <c r="Q170" s="14">
        <f>VLOOKUP($I170&amp;$F170&amp;$G170,装备属性表,装备属性计算表!AL$29,FALSE)</f>
        <v>5</v>
      </c>
      <c r="R170" s="14">
        <f ca="1">VLOOKUP(VLOOKUP($I170&amp;$F170&amp;$G170,装备属性表,装备属性计算表!AM$29,FALSE),定义数据!$B$13:$C$35,2,FALSE)</f>
        <v>1</v>
      </c>
      <c r="S170" s="14">
        <f ca="1">VLOOKUP($I170&amp;$F170&amp;$G170,装备属性表,装备属性计算表!AN$29,FALSE)</f>
        <v>2843.1731922657686</v>
      </c>
      <c r="T170" s="14">
        <f ca="1">VLOOKUP(VLOOKUP($I170&amp;$F170&amp;$G170,装备属性表,装备属性计算表!AO$29,FALSE),定义数据!$B$13:$C$35,2,FALSE)</f>
        <v>7</v>
      </c>
      <c r="U170" s="14">
        <f ca="1">VLOOKUP($I170&amp;$F170&amp;$G170,装备属性表,装备属性计算表!AP$29,FALSE)</f>
        <v>377.77777777777783</v>
      </c>
      <c r="V170" s="14">
        <f ca="1">VLOOKUP(VLOOKUP($I170&amp;$F170&amp;$G170,装备属性表,装备属性计算表!AQ$29,FALSE),定义数据!$B$13:$C$35,2,FALSE)</f>
        <v>1</v>
      </c>
      <c r="W170" s="14">
        <f ca="1">VLOOKUP($I170&amp;$F170&amp;$G170,装备属性表,装备属性计算表!AR$29,FALSE)</f>
        <v>888.49162258305273</v>
      </c>
      <c r="X170" s="14">
        <f ca="1">VLOOKUP(VLOOKUP($I170&amp;$F170&amp;$G170,装备属性表,装备属性计算表!AS$29,FALSE),定义数据!$B$13:$C$35,2,FALSE)</f>
        <v>7</v>
      </c>
      <c r="Y170" s="14">
        <f ca="1">VLOOKUP($I170&amp;$F170&amp;$G170,装备属性表,装备属性计算表!AT$29,FALSE)</f>
        <v>85.000000000000028</v>
      </c>
      <c r="Z170" s="14">
        <f ca="1">VLOOKUP(VLOOKUP($I170&amp;$F170&amp;$G170,装备属性表,装备属性计算表!AU$29,FALSE),定义数据!$B$13:$C$35,2,FALSE)</f>
        <v>6</v>
      </c>
      <c r="AA170" s="14">
        <f ca="1">VLOOKUP($I170&amp;$F170&amp;$G170,装备属性表,装备属性计算表!AV$29,FALSE)</f>
        <v>70.833333333333343</v>
      </c>
      <c r="AB170" s="14">
        <f ca="1">VLOOKUP(VLOOKUP($I170&amp;$F170&amp;$G170,装备属性表,装备属性计算表!AW$29,FALSE),定义数据!$B$13:$C$35,2,FALSE)</f>
        <v>0</v>
      </c>
      <c r="AC170" s="14">
        <f>VLOOKUP($I170&amp;$F170&amp;$G170,装备属性表,装备属性计算表!AX$29,FALSE)</f>
        <v>0</v>
      </c>
      <c r="AD170" s="14">
        <f ca="1">VLOOKUP(VLOOKUP($I170&amp;$F170&amp;$G170,装备属性表,装备属性计算表!AY$29,FALSE),定义数据!$B$13:$C$35,2,FALSE)</f>
        <v>0</v>
      </c>
      <c r="AE170" s="14">
        <f>VLOOKUP($I170&amp;$F170&amp;$G170,装备属性表,装备属性计算表!AZ$29,FALSE)</f>
        <v>0</v>
      </c>
      <c r="AF170" s="14">
        <f ca="1">VLOOKUP(VLOOKUP($I170&amp;$F170&amp;$G170,装备属性表,装备属性计算表!BA$29,FALSE),定义数据!$B$13:$C$35,2,FALSE)</f>
        <v>0</v>
      </c>
      <c r="AG170" s="14">
        <f>VLOOKUP($I170&amp;$F170&amp;$G170,装备属性表,装备属性计算表!BB$29,FALSE)</f>
        <v>0</v>
      </c>
      <c r="AH170" s="14">
        <f ca="1">VLOOKUP(VLOOKUP($I170&amp;$F170&amp;$G170,装备属性表,装备属性计算表!BC$29,FALSE),定义数据!$B$13:$C$35,2,FALSE)</f>
        <v>0</v>
      </c>
      <c r="AI170" s="14">
        <f>VLOOKUP($I170&amp;$F170&amp;$G170,装备属性表,装备属性计算表!BD$29,FALSE)</f>
        <v>0</v>
      </c>
      <c r="AJ170" s="14">
        <f ca="1">VLOOKUP(VLOOKUP($I170&amp;$F170&amp;$G170,装备属性表,装备属性计算表!BE$29,FALSE),定义数据!$B$13:$C$35,2,FALSE)</f>
        <v>0</v>
      </c>
      <c r="AK170" s="14">
        <f>VLOOKUP($I170&amp;$F170&amp;$G170,装备属性表,装备属性计算表!BF$29,FALSE)</f>
        <v>0</v>
      </c>
      <c r="AL170" t="str">
        <f t="shared" si="53"/>
        <v>焚天长靴是一件70级橙色可升级的装备。</v>
      </c>
      <c r="AM170" t="str">
        <f>IF(D170=0,5,D170) &amp; F170&amp;"00"&amp;VLOOKUP(G170,定义数据!$F$20:$G$27,2,FALSE)&amp;".png"</f>
        <v>55004.png</v>
      </c>
      <c r="AN170" s="79">
        <f>IF(OR(G170&lt;15),0,D_装备升级表!A170)</f>
        <v>70035</v>
      </c>
      <c r="AP170">
        <f ca="1">VLOOKUP(G170&amp;I170&amp;F170,CHOOSE({1,2},装备属性计算表!$BK$32:$BK$187,装备属性计算表!$BJ$32:$BJ$187),2,FALSE)</f>
        <v>335.22770370506402</v>
      </c>
      <c r="AQ170">
        <f ca="1">AP170*'[1]0、经济设定'!$C$18</f>
        <v>16761.385185253203</v>
      </c>
      <c r="AR170">
        <f ca="1">IFERROR(AQ170*'[1]0、经济设定'!$E$19*AU170*AS170,0)</f>
        <v>1723.0944431527219</v>
      </c>
      <c r="AS170">
        <v>10</v>
      </c>
      <c r="AT170">
        <f t="shared" si="49"/>
        <v>420</v>
      </c>
      <c r="AU170">
        <f ca="1">IF(F170=0,IFERROR(AT170/AP170/'[1]0、经济设定'!$E$18,0),AU169)</f>
        <v>5.1400717306726937</v>
      </c>
      <c r="AV170">
        <f t="shared" ca="1" si="55"/>
        <v>13409.10814820256</v>
      </c>
    </row>
    <row r="171" spans="1:48" x14ac:dyDescent="0.15">
      <c r="A171" s="14" t="str">
        <f t="shared" si="44"/>
        <v>54322</v>
      </c>
      <c r="B171" s="14" t="s">
        <v>602</v>
      </c>
      <c r="C171" s="14">
        <f>VLOOKUP($I171&amp;$F171&amp;$G171,装备属性表,装备属性计算表!AK$29,FALSE)</f>
        <v>22</v>
      </c>
      <c r="D171" s="14">
        <f t="shared" si="48"/>
        <v>0</v>
      </c>
      <c r="E171" s="14" t="str">
        <f>VLOOKUP(F171,CHOOSE({1,2},定义数据!$F$2:$F$7,武器部位),2)</f>
        <v>腰带</v>
      </c>
      <c r="F171" s="14">
        <v>4</v>
      </c>
      <c r="G171" s="14">
        <f>装备属性计算表!D156</f>
        <v>70</v>
      </c>
      <c r="H171" s="14">
        <f t="shared" si="45"/>
        <v>70</v>
      </c>
      <c r="I171" s="14">
        <v>3</v>
      </c>
      <c r="J171" s="14" t="str">
        <f t="shared" si="46"/>
        <v>7034</v>
      </c>
      <c r="K171" s="14" t="str">
        <f t="shared" si="47"/>
        <v>7034</v>
      </c>
      <c r="L171" s="76"/>
      <c r="M171" s="14">
        <f>IF(OR(G171&lt;15,G171=80),0,D_装备升级表!A171)</f>
        <v>70034</v>
      </c>
      <c r="N171" s="78">
        <v>1</v>
      </c>
      <c r="O171" s="14">
        <f t="shared" si="50"/>
        <v>2200</v>
      </c>
      <c r="P171" s="14"/>
      <c r="Q171" s="14">
        <f>VLOOKUP($I171&amp;$F171&amp;$G171,装备属性表,装备属性计算表!AL$29,FALSE)</f>
        <v>5</v>
      </c>
      <c r="R171" s="14">
        <f ca="1">VLOOKUP(VLOOKUP($I171&amp;$F171&amp;$G171,装备属性表,装备属性计算表!AM$29,FALSE),定义数据!$B$13:$C$35,2,FALSE)</f>
        <v>1</v>
      </c>
      <c r="S171" s="14">
        <f ca="1">VLOOKUP($I171&amp;$F171&amp;$G171,装备属性表,装备属性计算表!AN$29,FALSE)</f>
        <v>2843.1731922657686</v>
      </c>
      <c r="T171" s="14">
        <f ca="1">VLOOKUP(VLOOKUP($I171&amp;$F171&amp;$G171,装备属性表,装备属性计算表!AO$29,FALSE),定义数据!$B$13:$C$35,2,FALSE)</f>
        <v>9</v>
      </c>
      <c r="U171" s="14">
        <f ca="1">VLOOKUP($I171&amp;$F171&amp;$G171,装备属性表,装备属性计算表!AP$29,FALSE)</f>
        <v>335.80246913580248</v>
      </c>
      <c r="V171" s="14">
        <f ca="1">VLOOKUP(VLOOKUP($I171&amp;$F171&amp;$G171,装备属性表,装备属性计算表!AQ$29,FALSE),定义数据!$B$13:$C$35,2,FALSE)</f>
        <v>1</v>
      </c>
      <c r="W171" s="14">
        <f ca="1">VLOOKUP($I171&amp;$F171&amp;$G171,装备属性表,装备属性计算表!AR$29,FALSE)</f>
        <v>1776.9832451661055</v>
      </c>
      <c r="X171" s="14">
        <f ca="1">VLOOKUP(VLOOKUP($I171&amp;$F171&amp;$G171,装备属性表,装备属性计算表!AS$29,FALSE),定义数据!$B$13:$C$35,2,FALSE)</f>
        <v>2</v>
      </c>
      <c r="Y171" s="14">
        <f ca="1">VLOOKUP($I171&amp;$F171&amp;$G171,装备属性表,装备属性计算表!AT$29,FALSE)</f>
        <v>54.154891636363672</v>
      </c>
      <c r="Z171" s="14">
        <f ca="1">VLOOKUP(VLOOKUP($I171&amp;$F171&amp;$G171,装备属性表,装备属性计算表!AU$29,FALSE),定义数据!$B$13:$C$35,2,FALSE)</f>
        <v>3</v>
      </c>
      <c r="AA171" s="14">
        <f ca="1">VLOOKUP($I171&amp;$F171&amp;$G171,装备属性表,装备属性计算表!AV$29,FALSE)</f>
        <v>19.501183778162911</v>
      </c>
      <c r="AB171" s="14">
        <f ca="1">VLOOKUP(VLOOKUP($I171&amp;$F171&amp;$G171,装备属性表,装备属性计算表!AW$29,FALSE),定义数据!$B$13:$C$35,2,FALSE)</f>
        <v>0</v>
      </c>
      <c r="AC171" s="14">
        <f>VLOOKUP($I171&amp;$F171&amp;$G171,装备属性表,装备属性计算表!AX$29,FALSE)</f>
        <v>0</v>
      </c>
      <c r="AD171" s="14">
        <f ca="1">VLOOKUP(VLOOKUP($I171&amp;$F171&amp;$G171,装备属性表,装备属性计算表!AY$29,FALSE),定义数据!$B$13:$C$35,2,FALSE)</f>
        <v>0</v>
      </c>
      <c r="AE171" s="14">
        <f>VLOOKUP($I171&amp;$F171&amp;$G171,装备属性表,装备属性计算表!AZ$29,FALSE)</f>
        <v>0</v>
      </c>
      <c r="AF171" s="14">
        <f ca="1">VLOOKUP(VLOOKUP($I171&amp;$F171&amp;$G171,装备属性表,装备属性计算表!BA$29,FALSE),定义数据!$B$13:$C$35,2,FALSE)</f>
        <v>0</v>
      </c>
      <c r="AG171" s="14">
        <f>VLOOKUP($I171&amp;$F171&amp;$G171,装备属性表,装备属性计算表!BB$29,FALSE)</f>
        <v>0</v>
      </c>
      <c r="AH171" s="14">
        <f ca="1">VLOOKUP(VLOOKUP($I171&amp;$F171&amp;$G171,装备属性表,装备属性计算表!BC$29,FALSE),定义数据!$B$13:$C$35,2,FALSE)</f>
        <v>0</v>
      </c>
      <c r="AI171" s="14">
        <f>VLOOKUP($I171&amp;$F171&amp;$G171,装备属性表,装备属性计算表!BD$29,FALSE)</f>
        <v>0</v>
      </c>
      <c r="AJ171" s="14">
        <f ca="1">VLOOKUP(VLOOKUP($I171&amp;$F171&amp;$G171,装备属性表,装备属性计算表!BE$29,FALSE),定义数据!$B$13:$C$35,2,FALSE)</f>
        <v>0</v>
      </c>
      <c r="AK171" s="14">
        <f>VLOOKUP($I171&amp;$F171&amp;$G171,装备属性表,装备属性计算表!BF$29,FALSE)</f>
        <v>0</v>
      </c>
      <c r="AL171" t="str">
        <f t="shared" si="53"/>
        <v>焚天腰带是一件70级橙色可升级的装备。</v>
      </c>
      <c r="AM171" t="str">
        <f>IF(D171=0,5,D171) &amp; F171&amp;"00"&amp;VLOOKUP(G171,定义数据!$F$20:$G$27,2,FALSE)&amp;".png"</f>
        <v>54004.png</v>
      </c>
      <c r="AN171" s="79">
        <f>IF(OR(G171&lt;15),0,D_装备升级表!A171)</f>
        <v>70034</v>
      </c>
      <c r="AP171">
        <f ca="1">VLOOKUP(G171&amp;I171&amp;F171,CHOOSE({1,2},装备属性计算表!$BK$32:$BK$187,装备属性计算表!$BJ$32:$BJ$187),2,FALSE)</f>
        <v>326.46233291180158</v>
      </c>
      <c r="AQ171">
        <f ca="1">AP171*'[1]0、经济设定'!$C$18</f>
        <v>16323.116645590078</v>
      </c>
      <c r="AR171">
        <f ca="1">IFERROR(AQ171*'[1]0、经济设定'!$E$19*AU171*AS171,0)</f>
        <v>1678.0398085294091</v>
      </c>
      <c r="AS171">
        <v>10</v>
      </c>
      <c r="AT171">
        <f t="shared" si="49"/>
        <v>420</v>
      </c>
      <c r="AU171">
        <f ca="1">IF(F171=0,IFERROR(AT171/AP171/'[1]0、经济设定'!$E$18,0),AU170)</f>
        <v>5.1400717306726937</v>
      </c>
      <c r="AV171">
        <f t="shared" ca="1" si="55"/>
        <v>13058.493316472064</v>
      </c>
    </row>
    <row r="172" spans="1:48" x14ac:dyDescent="0.15">
      <c r="A172" s="14" t="str">
        <f t="shared" si="44"/>
        <v>53322</v>
      </c>
      <c r="B172" s="14" t="s">
        <v>603</v>
      </c>
      <c r="C172" s="14">
        <f>VLOOKUP($I172&amp;$F172&amp;$G172,装备属性表,装备属性计算表!AK$29,FALSE)</f>
        <v>22</v>
      </c>
      <c r="D172" s="14">
        <f t="shared" si="48"/>
        <v>0</v>
      </c>
      <c r="E172" s="14" t="str">
        <f>VLOOKUP(F172,CHOOSE({1,2},定义数据!$F$2:$F$7,武器部位),2)</f>
        <v>项链</v>
      </c>
      <c r="F172" s="14">
        <v>3</v>
      </c>
      <c r="G172" s="14">
        <f>装备属性计算表!D157</f>
        <v>70</v>
      </c>
      <c r="H172" s="14">
        <f t="shared" si="45"/>
        <v>70</v>
      </c>
      <c r="I172" s="14">
        <v>3</v>
      </c>
      <c r="J172" s="14" t="str">
        <f t="shared" si="46"/>
        <v>7033</v>
      </c>
      <c r="K172" s="14" t="str">
        <f t="shared" si="47"/>
        <v>7033</v>
      </c>
      <c r="L172" s="76"/>
      <c r="M172" s="14">
        <f>IF(OR(G172&lt;15,G172=80),0,D_装备升级表!A172)</f>
        <v>70033</v>
      </c>
      <c r="N172" s="78">
        <v>1</v>
      </c>
      <c r="O172" s="14">
        <f t="shared" si="50"/>
        <v>2200</v>
      </c>
      <c r="P172" s="14"/>
      <c r="Q172" s="14">
        <f>VLOOKUP($I172&amp;$F172&amp;$G172,装备属性表,装备属性计算表!AL$29,FALSE)</f>
        <v>5</v>
      </c>
      <c r="R172" s="14">
        <f ca="1">VLOOKUP(VLOOKUP($I172&amp;$F172&amp;$G172,装备属性表,装备属性计算表!AM$29,FALSE),定义数据!$B$13:$C$35,2,FALSE)</f>
        <v>2</v>
      </c>
      <c r="S172" s="14">
        <f ca="1">VLOOKUP($I172&amp;$F172&amp;$G172,装备属性表,装备属性计算表!AN$29,FALSE)</f>
        <v>180.51630545454555</v>
      </c>
      <c r="T172" s="14">
        <f ca="1">VLOOKUP(VLOOKUP($I172&amp;$F172&amp;$G172,装备属性表,装备属性计算表!AO$29,FALSE),定义数据!$B$13:$C$35,2,FALSE)</f>
        <v>6</v>
      </c>
      <c r="U172" s="14">
        <f ca="1">VLOOKUP($I172&amp;$F172&amp;$G172,装备属性表,装备属性计算表!AP$29,FALSE)</f>
        <v>566.66666666666674</v>
      </c>
      <c r="V172" s="14">
        <f ca="1">VLOOKUP(VLOOKUP($I172&amp;$F172&amp;$G172,装备属性表,装备属性计算表!AQ$29,FALSE),定义数据!$B$13:$C$35,2,FALSE)</f>
        <v>2</v>
      </c>
      <c r="W172" s="14">
        <f ca="1">VLOOKUP($I172&amp;$F172&amp;$G172,装备属性表,装备属性计算表!AR$29,FALSE)</f>
        <v>54.154891636363672</v>
      </c>
      <c r="X172" s="14">
        <f ca="1">VLOOKUP(VLOOKUP($I172&amp;$F172&amp;$G172,装备属性表,装备属性计算表!AS$29,FALSE),定义数据!$B$13:$C$35,2,FALSE)</f>
        <v>7</v>
      </c>
      <c r="Y172" s="14">
        <f ca="1">VLOOKUP($I172&amp;$F172&amp;$G172,装备属性表,装备属性计算表!AT$29,FALSE)</f>
        <v>42.500000000000014</v>
      </c>
      <c r="Z172" s="14">
        <f ca="1">VLOOKUP(VLOOKUP($I172&amp;$F172&amp;$G172,装备属性表,装备属性计算表!AU$29,FALSE),定义数据!$B$13:$C$35,2,FALSE)</f>
        <v>6</v>
      </c>
      <c r="AA172" s="14">
        <f ca="1">VLOOKUP($I172&amp;$F172&amp;$G172,装备属性表,装备属性计算表!AV$29,FALSE)</f>
        <v>70.833333333333343</v>
      </c>
      <c r="AB172" s="14">
        <f ca="1">VLOOKUP(VLOOKUP($I172&amp;$F172&amp;$G172,装备属性表,装备属性计算表!AW$29,FALSE),定义数据!$B$13:$C$35,2,FALSE)</f>
        <v>0</v>
      </c>
      <c r="AC172" s="14">
        <f>VLOOKUP($I172&amp;$F172&amp;$G172,装备属性表,装备属性计算表!AX$29,FALSE)</f>
        <v>0</v>
      </c>
      <c r="AD172" s="14">
        <f ca="1">VLOOKUP(VLOOKUP($I172&amp;$F172&amp;$G172,装备属性表,装备属性计算表!AY$29,FALSE),定义数据!$B$13:$C$35,2,FALSE)</f>
        <v>0</v>
      </c>
      <c r="AE172" s="14">
        <f>VLOOKUP($I172&amp;$F172&amp;$G172,装备属性表,装备属性计算表!AZ$29,FALSE)</f>
        <v>0</v>
      </c>
      <c r="AF172" s="14">
        <f ca="1">VLOOKUP(VLOOKUP($I172&amp;$F172&amp;$G172,装备属性表,装备属性计算表!BA$29,FALSE),定义数据!$B$13:$C$35,2,FALSE)</f>
        <v>0</v>
      </c>
      <c r="AG172" s="14">
        <f>VLOOKUP($I172&amp;$F172&amp;$G172,装备属性表,装备属性计算表!BB$29,FALSE)</f>
        <v>0</v>
      </c>
      <c r="AH172" s="14">
        <f ca="1">VLOOKUP(VLOOKUP($I172&amp;$F172&amp;$G172,装备属性表,装备属性计算表!BC$29,FALSE),定义数据!$B$13:$C$35,2,FALSE)</f>
        <v>0</v>
      </c>
      <c r="AI172" s="14">
        <f>VLOOKUP($I172&amp;$F172&amp;$G172,装备属性表,装备属性计算表!BD$29,FALSE)</f>
        <v>0</v>
      </c>
      <c r="AJ172" s="14">
        <f ca="1">VLOOKUP(VLOOKUP($I172&amp;$F172&amp;$G172,装备属性表,装备属性计算表!BE$29,FALSE),定义数据!$B$13:$C$35,2,FALSE)</f>
        <v>0</v>
      </c>
      <c r="AK172" s="14">
        <f>VLOOKUP($I172&amp;$F172&amp;$G172,装备属性表,装备属性计算表!BF$29,FALSE)</f>
        <v>0</v>
      </c>
      <c r="AL172" t="str">
        <f t="shared" si="53"/>
        <v>焚天项链是一件70级橙色可升级的装备。</v>
      </c>
      <c r="AM172" t="str">
        <f>IF(D172=0,5,D172) &amp; F172&amp;"00"&amp;VLOOKUP(G172,定义数据!$F$20:$G$27,2,FALSE)&amp;".png"</f>
        <v>53004.png</v>
      </c>
      <c r="AN172" s="79">
        <f>IF(OR(G172&lt;15),0,D_装备升级表!A172)</f>
        <v>70033</v>
      </c>
      <c r="AP172">
        <f ca="1">VLOOKUP(G172&amp;I172&amp;F172,CHOOSE({1,2},装备属性计算表!$BK$32:$BK$187,装备属性计算表!$BJ$32:$BJ$187),2,FALSE)</f>
        <v>474.937863757576</v>
      </c>
      <c r="AQ172">
        <f ca="1">AP172*'[1]0、经济设定'!$C$18</f>
        <v>23746.893187878799</v>
      </c>
      <c r="AR172">
        <f ca="1">IFERROR(AQ172*'[1]0、经济设定'!$E$19*AU172*AS172,0)</f>
        <v>2441.214687326396</v>
      </c>
      <c r="AS172">
        <v>10</v>
      </c>
      <c r="AT172">
        <f t="shared" si="49"/>
        <v>420</v>
      </c>
      <c r="AU172">
        <f ca="1">IF(F172=0,IFERROR(AT172/AP172/'[1]0、经济设定'!$E$18,0),AU171)</f>
        <v>5.1400717306726937</v>
      </c>
      <c r="AV172">
        <f t="shared" ca="1" si="55"/>
        <v>18997.51455030304</v>
      </c>
    </row>
    <row r="173" spans="1:48" x14ac:dyDescent="0.15">
      <c r="A173" s="14" t="str">
        <f t="shared" si="44"/>
        <v>10423</v>
      </c>
      <c r="B173" s="14" t="s">
        <v>221</v>
      </c>
      <c r="C173" s="14">
        <f>VLOOKUP($I173&amp;$F173&amp;$G173,装备属性表,装备属性计算表!AK$29,FALSE)</f>
        <v>23</v>
      </c>
      <c r="D173" s="14">
        <f t="shared" si="48"/>
        <v>1</v>
      </c>
      <c r="E173" s="14" t="str">
        <f>VLOOKUP(F173,CHOOSE({1,2},定义数据!$F$2:$F$7,武器部位),2)</f>
        <v>武器</v>
      </c>
      <c r="F173" s="14">
        <v>0</v>
      </c>
      <c r="G173" s="14">
        <v>70</v>
      </c>
      <c r="H173" s="14">
        <f t="shared" si="45"/>
        <v>70</v>
      </c>
      <c r="I173" s="14">
        <v>4</v>
      </c>
      <c r="J173" s="14" t="str">
        <f t="shared" si="46"/>
        <v>7040</v>
      </c>
      <c r="K173" s="14" t="str">
        <f t="shared" si="47"/>
        <v>7040</v>
      </c>
      <c r="L173" s="76"/>
      <c r="M173" s="14">
        <f>IF(OR(G173&lt;15,G173=80),0,D_装备升级表!A173)</f>
        <v>70140</v>
      </c>
      <c r="N173" s="78">
        <v>1</v>
      </c>
      <c r="O173" s="14">
        <f t="shared" si="50"/>
        <v>2300</v>
      </c>
      <c r="P173" s="14"/>
      <c r="Q173" s="14">
        <f>VLOOKUP($I173&amp;$F173&amp;$G173,装备属性表,装备属性计算表!AL$29,FALSE)</f>
        <v>6</v>
      </c>
      <c r="R173" s="14">
        <f ca="1">VLOOKUP(VLOOKUP($I173&amp;$F173&amp;$G173,装备属性表,装备属性计算表!AM$29,FALSE),定义数据!$B$13:$C$35,2,FALSE)</f>
        <v>2</v>
      </c>
      <c r="S173" s="14">
        <f ca="1">VLOOKUP($I173&amp;$F173&amp;$G173,装备属性表,装备属性计算表!AN$29,FALSE)</f>
        <v>557.47682566844924</v>
      </c>
      <c r="T173" s="14">
        <f ca="1">VLOOKUP(VLOOKUP($I173&amp;$F173&amp;$G173,装备属性表,装备属性计算表!AO$29,FALSE),定义数据!$B$13:$C$35,2,FALSE)</f>
        <v>8</v>
      </c>
      <c r="U173" s="14">
        <f ca="1">VLOOKUP($I173&amp;$F173&amp;$G173,装备属性表,装备属性计算表!AP$29,FALSE)</f>
        <v>345.67901234567904</v>
      </c>
      <c r="V173" s="14">
        <f ca="1">VLOOKUP(VLOOKUP($I173&amp;$F173&amp;$G173,装备属性表,装备属性计算表!AQ$29,FALSE),定义数据!$B$13:$C$35,2,FALSE)</f>
        <v>2</v>
      </c>
      <c r="W173" s="14">
        <f ca="1">VLOOKUP($I173&amp;$F173&amp;$G173,装备属性表,装备属性计算表!AR$29,FALSE)</f>
        <v>254.8465488770054</v>
      </c>
      <c r="X173" s="14">
        <f ca="1">VLOOKUP(VLOOKUP($I173&amp;$F173&amp;$G173,装备属性表,装备属性计算表!AS$29,FALSE),定义数据!$B$13:$C$35,2,FALSE)</f>
        <v>3</v>
      </c>
      <c r="Y173" s="14">
        <f ca="1">VLOOKUP($I173&amp;$F173&amp;$G173,装备属性表,装备属性计算表!AT$29,FALSE)</f>
        <v>30.590092201039866</v>
      </c>
      <c r="Z173" s="14">
        <f ca="1">VLOOKUP(VLOOKUP($I173&amp;$F173&amp;$G173,装备属性表,装备属性计算表!AU$29,FALSE),定义数据!$B$13:$C$35,2,FALSE)</f>
        <v>6</v>
      </c>
      <c r="AA173" s="14">
        <f ca="1">VLOOKUP($I173&amp;$F173&amp;$G173,装备属性表,装备属性计算表!AV$29,FALSE)</f>
        <v>111.11111111111111</v>
      </c>
      <c r="AB173" s="14">
        <f ca="1">VLOOKUP(VLOOKUP($I173&amp;$F173&amp;$G173,装备属性表,装备属性计算表!AW$29,FALSE),定义数据!$B$13:$C$35,2,FALSE)</f>
        <v>8</v>
      </c>
      <c r="AC173" s="14">
        <f ca="1">VLOOKUP($I173&amp;$F173&amp;$G173,装备属性表,装备属性计算表!AX$29,FALSE)</f>
        <v>79.012345679012356</v>
      </c>
      <c r="AD173" s="14">
        <f ca="1">VLOOKUP(VLOOKUP($I173&amp;$F173&amp;$G173,装备属性表,装备属性计算表!AY$29,FALSE),定义数据!$B$13:$C$35,2,FALSE)</f>
        <v>0</v>
      </c>
      <c r="AE173" s="14">
        <f>VLOOKUP($I173&amp;$F173&amp;$G173,装备属性表,装备属性计算表!AZ$29,FALSE)</f>
        <v>0</v>
      </c>
      <c r="AF173" s="14">
        <f ca="1">VLOOKUP(VLOOKUP($I173&amp;$F173&amp;$G173,装备属性表,装备属性计算表!BA$29,FALSE),定义数据!$B$13:$C$35,2,FALSE)</f>
        <v>0</v>
      </c>
      <c r="AG173" s="14">
        <f>VLOOKUP($I173&amp;$F173&amp;$G173,装备属性表,装备属性计算表!BB$29,FALSE)</f>
        <v>0</v>
      </c>
      <c r="AH173" s="14">
        <f ca="1">VLOOKUP(VLOOKUP($I173&amp;$F173&amp;$G173,装备属性表,装备属性计算表!BC$29,FALSE),定义数据!$B$13:$C$35,2,FALSE)</f>
        <v>0</v>
      </c>
      <c r="AI173" s="14">
        <f>VLOOKUP($I173&amp;$F173&amp;$G173,装备属性表,装备属性计算表!BD$29,FALSE)</f>
        <v>0</v>
      </c>
      <c r="AJ173" s="14">
        <f ca="1">VLOOKUP(VLOOKUP($I173&amp;$F173&amp;$G173,装备属性表,装备属性计算表!BE$29,FALSE),定义数据!$B$13:$C$35,2,FALSE)</f>
        <v>0</v>
      </c>
      <c r="AK173" s="14">
        <f>VLOOKUP($I173&amp;$F173&amp;$G173,装备属性表,装备属性计算表!BF$29,FALSE)</f>
        <v>0</v>
      </c>
      <c r="AL173" t="str">
        <f t="shared" si="53"/>
        <v>朱雀霸刀是一件70级红色可升级的装备。</v>
      </c>
      <c r="AM173" t="str">
        <f>IF(D173=0,5,D173) &amp; F173&amp;"00"&amp;VLOOKUP(G173,定义数据!$F$20:$G$27,2,FALSE)&amp;".png"</f>
        <v>10004.png</v>
      </c>
      <c r="AN173" s="79">
        <f>IF(OR(G173&lt;15),0,D_装备升级表!A173)</f>
        <v>70140</v>
      </c>
      <c r="AP173">
        <f ca="1">VLOOKUP(G173&amp;I173&amp;F173,CHOOSE({1,2},装备属性计算表!$BK$32:$BK$187,装备属性计算表!$BJ$32:$BJ$187),2,FALSE)</f>
        <v>957.13568896871675</v>
      </c>
      <c r="AQ173">
        <f ca="1">AP173*'[1]0、经济设定'!$C$18</f>
        <v>47856.784448435836</v>
      </c>
      <c r="AR173">
        <f ca="1">IFERROR(AQ173*'[1]0、经济设定'!$E$19*AU173*AS173,0)</f>
        <v>7000</v>
      </c>
      <c r="AS173">
        <v>10</v>
      </c>
      <c r="AT173">
        <f t="shared" si="49"/>
        <v>700</v>
      </c>
      <c r="AU173">
        <f ca="1">IF(F173=0,IFERROR(AT173/AP173/'[1]0、经济设定'!$E$18,0),AU172)</f>
        <v>7.3134876075327178</v>
      </c>
      <c r="AV173">
        <f t="shared" ca="1" si="55"/>
        <v>38285.42755874867</v>
      </c>
    </row>
    <row r="174" spans="1:48" x14ac:dyDescent="0.15">
      <c r="A174" s="14" t="str">
        <f t="shared" si="44"/>
        <v>20423</v>
      </c>
      <c r="B174" s="14" t="s">
        <v>222</v>
      </c>
      <c r="C174" s="14">
        <f>VLOOKUP($I174&amp;$F174&amp;$G174,装备属性表,装备属性计算表!AK$29,FALSE)</f>
        <v>23</v>
      </c>
      <c r="D174" s="14">
        <f t="shared" si="48"/>
        <v>2</v>
      </c>
      <c r="E174" s="14" t="str">
        <f>VLOOKUP(F174,CHOOSE({1,2},定义数据!$F$2:$F$7,武器部位),2)</f>
        <v>武器</v>
      </c>
      <c r="F174" s="14">
        <v>0</v>
      </c>
      <c r="G174" s="14">
        <v>70</v>
      </c>
      <c r="H174" s="14">
        <f t="shared" si="45"/>
        <v>70</v>
      </c>
      <c r="I174" s="14">
        <v>4</v>
      </c>
      <c r="J174" s="14" t="str">
        <f t="shared" si="46"/>
        <v>7040</v>
      </c>
      <c r="K174" s="14" t="str">
        <f t="shared" si="47"/>
        <v>7040</v>
      </c>
      <c r="L174" s="76"/>
      <c r="M174" s="14">
        <f>IF(OR(G174&lt;15,G174=80),0,D_装备升级表!A174)</f>
        <v>70240</v>
      </c>
      <c r="N174" s="78">
        <v>1</v>
      </c>
      <c r="O174" s="14">
        <f t="shared" si="50"/>
        <v>2300</v>
      </c>
      <c r="P174" s="14"/>
      <c r="Q174" s="14">
        <f>VLOOKUP($I174&amp;$F174&amp;$G174,装备属性表,装备属性计算表!AL$29,FALSE)</f>
        <v>6</v>
      </c>
      <c r="R174" s="14">
        <f ca="1">VLOOKUP(VLOOKUP($I174&amp;$F174&amp;$G174,装备属性表,装备属性计算表!AM$29,FALSE),定义数据!$B$13:$C$35,2,FALSE)</f>
        <v>2</v>
      </c>
      <c r="S174" s="14">
        <f ca="1">VLOOKUP($I174&amp;$F174&amp;$G174,装备属性表,装备属性计算表!AN$29,FALSE)</f>
        <v>557.47682566844924</v>
      </c>
      <c r="T174" s="14">
        <f ca="1">VLOOKUP(VLOOKUP($I174&amp;$F174&amp;$G174,装备属性表,装备属性计算表!AO$29,FALSE),定义数据!$B$13:$C$35,2,FALSE)</f>
        <v>8</v>
      </c>
      <c r="U174" s="14">
        <f ca="1">VLOOKUP($I174&amp;$F174&amp;$G174,装备属性表,装备属性计算表!AP$29,FALSE)</f>
        <v>345.67901234567904</v>
      </c>
      <c r="V174" s="14">
        <f ca="1">VLOOKUP(VLOOKUP($I174&amp;$F174&amp;$G174,装备属性表,装备属性计算表!AQ$29,FALSE),定义数据!$B$13:$C$35,2,FALSE)</f>
        <v>2</v>
      </c>
      <c r="W174" s="14">
        <f ca="1">VLOOKUP($I174&amp;$F174&amp;$G174,装备属性表,装备属性计算表!AR$29,FALSE)</f>
        <v>254.8465488770054</v>
      </c>
      <c r="X174" s="14">
        <f ca="1">VLOOKUP(VLOOKUP($I174&amp;$F174&amp;$G174,装备属性表,装备属性计算表!AS$29,FALSE),定义数据!$B$13:$C$35,2,FALSE)</f>
        <v>3</v>
      </c>
      <c r="Y174" s="14">
        <f ca="1">VLOOKUP($I174&amp;$F174&amp;$G174,装备属性表,装备属性计算表!AT$29,FALSE)</f>
        <v>30.590092201039866</v>
      </c>
      <c r="Z174" s="14">
        <f ca="1">VLOOKUP(VLOOKUP($I174&amp;$F174&amp;$G174,装备属性表,装备属性计算表!AU$29,FALSE),定义数据!$B$13:$C$35,2,FALSE)</f>
        <v>6</v>
      </c>
      <c r="AA174" s="14">
        <f ca="1">VLOOKUP($I174&amp;$F174&amp;$G174,装备属性表,装备属性计算表!AV$29,FALSE)</f>
        <v>111.11111111111111</v>
      </c>
      <c r="AB174" s="14">
        <f ca="1">VLOOKUP(VLOOKUP($I174&amp;$F174&amp;$G174,装备属性表,装备属性计算表!AW$29,FALSE),定义数据!$B$13:$C$35,2,FALSE)</f>
        <v>8</v>
      </c>
      <c r="AC174" s="14">
        <f ca="1">VLOOKUP($I174&amp;$F174&amp;$G174,装备属性表,装备属性计算表!AX$29,FALSE)</f>
        <v>79.012345679012356</v>
      </c>
      <c r="AD174" s="14">
        <f ca="1">VLOOKUP(VLOOKUP($I174&amp;$F174&amp;$G174,装备属性表,装备属性计算表!AY$29,FALSE),定义数据!$B$13:$C$35,2,FALSE)</f>
        <v>0</v>
      </c>
      <c r="AE174" s="14">
        <f>VLOOKUP($I174&amp;$F174&amp;$G174,装备属性表,装备属性计算表!AZ$29,FALSE)</f>
        <v>0</v>
      </c>
      <c r="AF174" s="14">
        <f ca="1">VLOOKUP(VLOOKUP($I174&amp;$F174&amp;$G174,装备属性表,装备属性计算表!BA$29,FALSE),定义数据!$B$13:$C$35,2,FALSE)</f>
        <v>0</v>
      </c>
      <c r="AG174" s="14">
        <f>VLOOKUP($I174&amp;$F174&amp;$G174,装备属性表,装备属性计算表!BB$29,FALSE)</f>
        <v>0</v>
      </c>
      <c r="AH174" s="14">
        <f ca="1">VLOOKUP(VLOOKUP($I174&amp;$F174&amp;$G174,装备属性表,装备属性计算表!BC$29,FALSE),定义数据!$B$13:$C$35,2,FALSE)</f>
        <v>0</v>
      </c>
      <c r="AI174" s="14">
        <f>VLOOKUP($I174&amp;$F174&amp;$G174,装备属性表,装备属性计算表!BD$29,FALSE)</f>
        <v>0</v>
      </c>
      <c r="AJ174" s="14">
        <f ca="1">VLOOKUP(VLOOKUP($I174&amp;$F174&amp;$G174,装备属性表,装备属性计算表!BE$29,FALSE),定义数据!$B$13:$C$35,2,FALSE)</f>
        <v>0</v>
      </c>
      <c r="AK174" s="14">
        <f>VLOOKUP($I174&amp;$F174&amp;$G174,装备属性表,装备属性计算表!BF$29,FALSE)</f>
        <v>0</v>
      </c>
      <c r="AL174" t="str">
        <f t="shared" si="53"/>
        <v>朱雀之拳是一件70级红色可升级的装备。</v>
      </c>
      <c r="AM174" t="str">
        <f>IF(D174=0,5,D174) &amp; F174&amp;"00"&amp;VLOOKUP(G174,定义数据!$F$20:$G$27,2,FALSE)&amp;".png"</f>
        <v>20004.png</v>
      </c>
      <c r="AN174" s="79">
        <f>IF(OR(G174&lt;15),0,D_装备升级表!A174)</f>
        <v>70240</v>
      </c>
      <c r="AP174">
        <f ca="1">VLOOKUP(G174&amp;I174&amp;F174,CHOOSE({1,2},装备属性计算表!$BK$32:$BK$187,装备属性计算表!$BJ$32:$BJ$187),2,FALSE)</f>
        <v>957.13568896871675</v>
      </c>
      <c r="AQ174">
        <f ca="1">AP174*'[1]0、经济设定'!$C$18</f>
        <v>47856.784448435836</v>
      </c>
      <c r="AR174">
        <f ca="1">IFERROR(AQ174*'[1]0、经济设定'!$E$19*AU174*AS174,0)</f>
        <v>7000</v>
      </c>
      <c r="AS174">
        <v>10</v>
      </c>
      <c r="AT174">
        <f t="shared" si="49"/>
        <v>700</v>
      </c>
      <c r="AU174">
        <f ca="1">IF(F174=0,IFERROR(AT174/AP174/'[1]0、经济设定'!$E$18,0),AU173)</f>
        <v>7.3134876075327178</v>
      </c>
      <c r="AV174">
        <f t="shared" ca="1" si="55"/>
        <v>38285.42755874867</v>
      </c>
    </row>
    <row r="175" spans="1:48" x14ac:dyDescent="0.15">
      <c r="A175" s="14" t="str">
        <f t="shared" si="44"/>
        <v>30423</v>
      </c>
      <c r="B175" s="14" t="s">
        <v>604</v>
      </c>
      <c r="C175" s="14">
        <f>VLOOKUP($I175&amp;$F175&amp;$G175,装备属性表,装备属性计算表!AK$29,FALSE)</f>
        <v>23</v>
      </c>
      <c r="D175" s="14">
        <f t="shared" si="48"/>
        <v>3</v>
      </c>
      <c r="E175" s="14" t="str">
        <f>VLOOKUP(F175,CHOOSE({1,2},定义数据!$F$2:$F$7,武器部位),2)</f>
        <v>武器</v>
      </c>
      <c r="F175" s="14">
        <v>0</v>
      </c>
      <c r="G175" s="14">
        <f>装备属性计算表!D158</f>
        <v>70</v>
      </c>
      <c r="H175" s="14">
        <f t="shared" si="45"/>
        <v>70</v>
      </c>
      <c r="I175" s="14">
        <v>4</v>
      </c>
      <c r="J175" s="14" t="str">
        <f t="shared" si="46"/>
        <v>7040</v>
      </c>
      <c r="K175" s="14" t="str">
        <f t="shared" si="47"/>
        <v>7040</v>
      </c>
      <c r="L175" s="76"/>
      <c r="M175" s="14">
        <f>IF(OR(G175&lt;15,G175=80),0,D_装备升级表!A175)</f>
        <v>70340</v>
      </c>
      <c r="N175" s="78">
        <v>1</v>
      </c>
      <c r="O175" s="14">
        <f t="shared" si="50"/>
        <v>2300</v>
      </c>
      <c r="P175" s="14"/>
      <c r="Q175" s="14">
        <f>VLOOKUP($I175&amp;$F175&amp;$G175,装备属性表,装备属性计算表!AL$29,FALSE)</f>
        <v>6</v>
      </c>
      <c r="R175" s="14">
        <f ca="1">VLOOKUP(VLOOKUP($I175&amp;$F175&amp;$G175,装备属性表,装备属性计算表!AM$29,FALSE),定义数据!$B$13:$C$35,2,FALSE)</f>
        <v>2</v>
      </c>
      <c r="S175" s="14">
        <f ca="1">VLOOKUP($I175&amp;$F175&amp;$G175,装备属性表,装备属性计算表!AN$29,FALSE)</f>
        <v>557.47682566844924</v>
      </c>
      <c r="T175" s="14">
        <f ca="1">VLOOKUP(VLOOKUP($I175&amp;$F175&amp;$G175,装备属性表,装备属性计算表!AO$29,FALSE),定义数据!$B$13:$C$35,2,FALSE)</f>
        <v>8</v>
      </c>
      <c r="U175" s="14">
        <f ca="1">VLOOKUP($I175&amp;$F175&amp;$G175,装备属性表,装备属性计算表!AP$29,FALSE)</f>
        <v>345.67901234567904</v>
      </c>
      <c r="V175" s="14">
        <f ca="1">VLOOKUP(VLOOKUP($I175&amp;$F175&amp;$G175,装备属性表,装备属性计算表!AQ$29,FALSE),定义数据!$B$13:$C$35,2,FALSE)</f>
        <v>2</v>
      </c>
      <c r="W175" s="14">
        <f ca="1">VLOOKUP($I175&amp;$F175&amp;$G175,装备属性表,装备属性计算表!AR$29,FALSE)</f>
        <v>254.8465488770054</v>
      </c>
      <c r="X175" s="14">
        <f ca="1">VLOOKUP(VLOOKUP($I175&amp;$F175&amp;$G175,装备属性表,装备属性计算表!AS$29,FALSE),定义数据!$B$13:$C$35,2,FALSE)</f>
        <v>3</v>
      </c>
      <c r="Y175" s="14">
        <f ca="1">VLOOKUP($I175&amp;$F175&amp;$G175,装备属性表,装备属性计算表!AT$29,FALSE)</f>
        <v>30.590092201039866</v>
      </c>
      <c r="Z175" s="14">
        <f ca="1">VLOOKUP(VLOOKUP($I175&amp;$F175&amp;$G175,装备属性表,装备属性计算表!AU$29,FALSE),定义数据!$B$13:$C$35,2,FALSE)</f>
        <v>6</v>
      </c>
      <c r="AA175" s="14">
        <f ca="1">VLOOKUP($I175&amp;$F175&amp;$G175,装备属性表,装备属性计算表!AV$29,FALSE)</f>
        <v>111.11111111111111</v>
      </c>
      <c r="AB175" s="14">
        <f ca="1">VLOOKUP(VLOOKUP($I175&amp;$F175&amp;$G175,装备属性表,装备属性计算表!AW$29,FALSE),定义数据!$B$13:$C$35,2,FALSE)</f>
        <v>8</v>
      </c>
      <c r="AC175" s="14">
        <f ca="1">VLOOKUP($I175&amp;$F175&amp;$G175,装备属性表,装备属性计算表!AX$29,FALSE)</f>
        <v>79.012345679012356</v>
      </c>
      <c r="AD175" s="14">
        <f ca="1">VLOOKUP(VLOOKUP($I175&amp;$F175&amp;$G175,装备属性表,装备属性计算表!AY$29,FALSE),定义数据!$B$13:$C$35,2,FALSE)</f>
        <v>0</v>
      </c>
      <c r="AE175" s="14">
        <f>VLOOKUP($I175&amp;$F175&amp;$G175,装备属性表,装备属性计算表!AZ$29,FALSE)</f>
        <v>0</v>
      </c>
      <c r="AF175" s="14">
        <f ca="1">VLOOKUP(VLOOKUP($I175&amp;$F175&amp;$G175,装备属性表,装备属性计算表!BA$29,FALSE),定义数据!$B$13:$C$35,2,FALSE)</f>
        <v>0</v>
      </c>
      <c r="AG175" s="14">
        <f>VLOOKUP($I175&amp;$F175&amp;$G175,装备属性表,装备属性计算表!BB$29,FALSE)</f>
        <v>0</v>
      </c>
      <c r="AH175" s="14">
        <f ca="1">VLOOKUP(VLOOKUP($I175&amp;$F175&amp;$G175,装备属性表,装备属性计算表!BC$29,FALSE),定义数据!$B$13:$C$35,2,FALSE)</f>
        <v>0</v>
      </c>
      <c r="AI175" s="14">
        <f>VLOOKUP($I175&amp;$F175&amp;$G175,装备属性表,装备属性计算表!BD$29,FALSE)</f>
        <v>0</v>
      </c>
      <c r="AJ175" s="14">
        <f ca="1">VLOOKUP(VLOOKUP($I175&amp;$F175&amp;$G175,装备属性表,装备属性计算表!BE$29,FALSE),定义数据!$B$13:$C$35,2,FALSE)</f>
        <v>0</v>
      </c>
      <c r="AK175" s="14">
        <f>VLOOKUP($I175&amp;$F175&amp;$G175,装备属性表,装备属性计算表!BF$29,FALSE)</f>
        <v>0</v>
      </c>
      <c r="AL175" t="str">
        <f t="shared" si="53"/>
        <v>朱雀之枪是一件70级红色可升级的装备。</v>
      </c>
      <c r="AM175" t="str">
        <f>IF(D175=0,5,D175) &amp; F175&amp;"00"&amp;VLOOKUP(G175,定义数据!$F$20:$G$27,2,FALSE)&amp;".png"</f>
        <v>30004.png</v>
      </c>
      <c r="AN175" s="79">
        <f>IF(OR(G175&lt;15),0,D_装备升级表!A175)</f>
        <v>70340</v>
      </c>
      <c r="AP175">
        <f ca="1">VLOOKUP(G175&amp;I175&amp;F175,CHOOSE({1,2},装备属性计算表!$BK$32:$BK$187,装备属性计算表!$BJ$32:$BJ$187),2,FALSE)</f>
        <v>957.13568896871675</v>
      </c>
      <c r="AQ175">
        <f ca="1">AP175*'[1]0、经济设定'!$C$18</f>
        <v>47856.784448435836</v>
      </c>
      <c r="AR175">
        <f ca="1">IFERROR(AQ175*'[1]0、经济设定'!$E$19*AU175*AS175,0)</f>
        <v>7000</v>
      </c>
      <c r="AS175">
        <v>10</v>
      </c>
      <c r="AT175">
        <f t="shared" si="49"/>
        <v>700</v>
      </c>
      <c r="AU175">
        <f ca="1">IF(F175=0,IFERROR(AT175/AP175/'[1]0、经济设定'!$E$18,0),AU174)</f>
        <v>7.3134876075327178</v>
      </c>
      <c r="AV175">
        <f t="shared" ca="1" si="55"/>
        <v>38285.42755874867</v>
      </c>
    </row>
    <row r="176" spans="1:48" x14ac:dyDescent="0.15">
      <c r="A176" s="14" t="str">
        <f t="shared" si="44"/>
        <v>51423</v>
      </c>
      <c r="B176" s="14" t="s">
        <v>605</v>
      </c>
      <c r="C176" s="14">
        <f>VLOOKUP($I176&amp;$F176&amp;$G176,装备属性表,装备属性计算表!AK$29,FALSE)</f>
        <v>23</v>
      </c>
      <c r="D176" s="14">
        <f t="shared" si="48"/>
        <v>0</v>
      </c>
      <c r="E176" s="14" t="str">
        <f>VLOOKUP(F176,CHOOSE({1,2},定义数据!$F$2:$F$7,武器部位),2)</f>
        <v>衣服</v>
      </c>
      <c r="F176" s="14">
        <v>1</v>
      </c>
      <c r="G176" s="14">
        <f>装备属性计算表!D159</f>
        <v>70</v>
      </c>
      <c r="H176" s="14">
        <f t="shared" si="45"/>
        <v>70</v>
      </c>
      <c r="I176" s="14">
        <v>4</v>
      </c>
      <c r="J176" s="14" t="str">
        <f t="shared" si="46"/>
        <v>7041</v>
      </c>
      <c r="K176" s="14" t="str">
        <f t="shared" si="47"/>
        <v>7041</v>
      </c>
      <c r="L176" s="76"/>
      <c r="M176" s="14">
        <f>IF(OR(G176&lt;15,G176=80),0,D_装备升级表!A176)</f>
        <v>70041</v>
      </c>
      <c r="N176" s="78">
        <v>1</v>
      </c>
      <c r="O176" s="14">
        <f t="shared" si="50"/>
        <v>2300</v>
      </c>
      <c r="P176" s="14"/>
      <c r="Q176" s="14">
        <f>VLOOKUP($I176&amp;$F176&amp;$G176,装备属性表,装备属性计算表!AL$29,FALSE)</f>
        <v>6</v>
      </c>
      <c r="R176" s="14">
        <f ca="1">VLOOKUP(VLOOKUP($I176&amp;$F176&amp;$G176,装备属性表,装备属性计算表!AM$29,FALSE),定义数据!$B$13:$C$35,2,FALSE)</f>
        <v>1</v>
      </c>
      <c r="S176" s="14">
        <f ca="1">VLOOKUP($I176&amp;$F176&amp;$G176,装备属性表,装备属性计算表!AN$29,FALSE)</f>
        <v>8780.3877996442825</v>
      </c>
      <c r="T176" s="14">
        <f ca="1">VLOOKUP(VLOOKUP($I176&amp;$F176&amp;$G176,装备属性表,装备属性计算表!AO$29,FALSE),定义数据!$B$13:$C$35,2,FALSE)</f>
        <v>3</v>
      </c>
      <c r="U176" s="14">
        <f ca="1">VLOOKUP($I176&amp;$F176&amp;$G176,装备属性表,装备属性计算表!AP$29,FALSE)</f>
        <v>192.71758086655115</v>
      </c>
      <c r="V176" s="14">
        <f ca="1">VLOOKUP(VLOOKUP($I176&amp;$F176&amp;$G176,装备属性表,装备属性计算表!AQ$29,FALSE),定义数据!$B$13:$C$35,2,FALSE)</f>
        <v>1</v>
      </c>
      <c r="W176" s="14">
        <f ca="1">VLOOKUP($I176&amp;$F176&amp;$G176,装备属性表,装备属性计算表!AR$29,FALSE)</f>
        <v>2787.4246982997724</v>
      </c>
      <c r="X176" s="14">
        <f ca="1">VLOOKUP(VLOOKUP($I176&amp;$F176&amp;$G176,装备属性表,装备属性计算表!AS$29,FALSE),定义数据!$B$13:$C$35,2,FALSE)</f>
        <v>3</v>
      </c>
      <c r="Y176" s="14">
        <f ca="1">VLOOKUP($I176&amp;$F176&amp;$G176,装备属性表,装备属性计算表!AT$29,FALSE)</f>
        <v>91.770276603119612</v>
      </c>
      <c r="Z176" s="14">
        <f ca="1">VLOOKUP(VLOOKUP($I176&amp;$F176&amp;$G176,装备属性表,装备属性计算表!AU$29,FALSE),定义数据!$B$13:$C$35,2,FALSE)</f>
        <v>7</v>
      </c>
      <c r="AA176" s="14">
        <f ca="1">VLOOKUP($I176&amp;$F176&amp;$G176,装备属性表,装备属性计算表!AV$29,FALSE)</f>
        <v>66.666666666666671</v>
      </c>
      <c r="AB176" s="14">
        <f ca="1">VLOOKUP(VLOOKUP($I176&amp;$F176&amp;$G176,装备属性表,装备属性计算表!AW$29,FALSE),定义数据!$B$13:$C$35,2,FALSE)</f>
        <v>9</v>
      </c>
      <c r="AC176" s="14">
        <f ca="1">VLOOKUP($I176&amp;$F176&amp;$G176,装备属性表,装备属性计算表!AX$29,FALSE)</f>
        <v>65.843621399176968</v>
      </c>
      <c r="AD176" s="14">
        <f ca="1">VLOOKUP(VLOOKUP($I176&amp;$F176&amp;$G176,装备属性表,装备属性计算表!AY$29,FALSE),定义数据!$B$13:$C$35,2,FALSE)</f>
        <v>0</v>
      </c>
      <c r="AE176" s="14">
        <f>VLOOKUP($I176&amp;$F176&amp;$G176,装备属性表,装备属性计算表!AZ$29,FALSE)</f>
        <v>0</v>
      </c>
      <c r="AF176" s="14">
        <f ca="1">VLOOKUP(VLOOKUP($I176&amp;$F176&amp;$G176,装备属性表,装备属性计算表!BA$29,FALSE),定义数据!$B$13:$C$35,2,FALSE)</f>
        <v>0</v>
      </c>
      <c r="AG176" s="14">
        <f>VLOOKUP($I176&amp;$F176&amp;$G176,装备属性表,装备属性计算表!BB$29,FALSE)</f>
        <v>0</v>
      </c>
      <c r="AH176" s="14">
        <f ca="1">VLOOKUP(VLOOKUP($I176&amp;$F176&amp;$G176,装备属性表,装备属性计算表!BC$29,FALSE),定义数据!$B$13:$C$35,2,FALSE)</f>
        <v>0</v>
      </c>
      <c r="AI176" s="14">
        <f>VLOOKUP($I176&amp;$F176&amp;$G176,装备属性表,装备属性计算表!BD$29,FALSE)</f>
        <v>0</v>
      </c>
      <c r="AJ176" s="14">
        <f ca="1">VLOOKUP(VLOOKUP($I176&amp;$F176&amp;$G176,装备属性表,装备属性计算表!BE$29,FALSE),定义数据!$B$13:$C$35,2,FALSE)</f>
        <v>0</v>
      </c>
      <c r="AK176" s="14">
        <f>VLOOKUP($I176&amp;$F176&amp;$G176,装备属性表,装备属性计算表!BF$29,FALSE)</f>
        <v>0</v>
      </c>
      <c r="AL176" t="str">
        <f t="shared" si="53"/>
        <v>朱雀战衣是一件70级红色可升级的装备。</v>
      </c>
      <c r="AM176" t="str">
        <f>IF(D176=0,5,D176) &amp; F176&amp;"00"&amp;VLOOKUP(G176,定义数据!$F$20:$G$27,2,FALSE)&amp;".png"</f>
        <v>51004.png</v>
      </c>
      <c r="AN176" s="79">
        <f>IF(OR(G176&lt;15),0,D_装备升级表!A176)</f>
        <v>70041</v>
      </c>
      <c r="AP176">
        <f ca="1">VLOOKUP(G176&amp;I176&amp;F176,CHOOSE({1,2},装备属性计算表!$BK$32:$BK$187,装备属性计算表!$BJ$32:$BJ$187),2,FALSE)</f>
        <v>781.71887590595156</v>
      </c>
      <c r="AQ176">
        <f ca="1">AP176*'[1]0、经济设定'!$C$18</f>
        <v>39085.943795297579</v>
      </c>
      <c r="AR176">
        <f ca="1">IFERROR(AQ176*'[1]0、经济设定'!$E$19*AU176*AS176,0)</f>
        <v>5717.0913115125841</v>
      </c>
      <c r="AS176">
        <v>10</v>
      </c>
      <c r="AT176">
        <f t="shared" si="49"/>
        <v>700</v>
      </c>
      <c r="AU176">
        <f ca="1">IF(F176=0,IFERROR(AT176/AP176/'[1]0、经济设定'!$E$18,0),AU175)</f>
        <v>7.3134876075327178</v>
      </c>
      <c r="AV176">
        <f t="shared" ca="1" si="55"/>
        <v>31268.755036238064</v>
      </c>
    </row>
    <row r="177" spans="1:48" x14ac:dyDescent="0.15">
      <c r="A177" s="14" t="str">
        <f t="shared" si="44"/>
        <v>52423</v>
      </c>
      <c r="B177" s="14" t="s">
        <v>606</v>
      </c>
      <c r="C177" s="14">
        <f>VLOOKUP($I177&amp;$F177&amp;$G177,装备属性表,装备属性计算表!AK$29,FALSE)</f>
        <v>23</v>
      </c>
      <c r="D177" s="14">
        <f t="shared" si="48"/>
        <v>0</v>
      </c>
      <c r="E177" s="14" t="str">
        <f>VLOOKUP(F177,CHOOSE({1,2},定义数据!$F$2:$F$7,武器部位),2)</f>
        <v>裤子</v>
      </c>
      <c r="F177" s="14">
        <v>2</v>
      </c>
      <c r="G177" s="14">
        <f>装备属性计算表!D160</f>
        <v>70</v>
      </c>
      <c r="H177" s="14">
        <f t="shared" si="45"/>
        <v>70</v>
      </c>
      <c r="I177" s="14">
        <v>4</v>
      </c>
      <c r="J177" s="14" t="str">
        <f t="shared" si="46"/>
        <v>7042</v>
      </c>
      <c r="K177" s="14" t="str">
        <f t="shared" si="47"/>
        <v>7042</v>
      </c>
      <c r="L177" s="76"/>
      <c r="M177" s="14">
        <f>IF(OR(G177&lt;15,G177=80),0,D_装备升级表!A177)</f>
        <v>70042</v>
      </c>
      <c r="N177" s="78">
        <v>1</v>
      </c>
      <c r="O177" s="14">
        <f t="shared" si="50"/>
        <v>2300</v>
      </c>
      <c r="P177" s="14"/>
      <c r="Q177" s="14">
        <f>VLOOKUP($I177&amp;$F177&amp;$G177,装备属性表,装备属性计算表!AL$29,FALSE)</f>
        <v>6</v>
      </c>
      <c r="R177" s="14">
        <f ca="1">VLOOKUP(VLOOKUP($I177&amp;$F177&amp;$G177,装备属性表,装备属性计算表!AM$29,FALSE),定义数据!$B$13:$C$35,2,FALSE)</f>
        <v>3</v>
      </c>
      <c r="S177" s="14">
        <f ca="1">VLOOKUP($I177&amp;$F177&amp;$G177,装备属性表,装备属性计算表!AN$29,FALSE)</f>
        <v>128.47838724436744</v>
      </c>
      <c r="T177" s="14">
        <f ca="1">VLOOKUP(VLOOKUP($I177&amp;$F177&amp;$G177,装备属性表,装备属性计算表!AO$29,FALSE),定义数据!$B$13:$C$35,2,FALSE)</f>
        <v>7</v>
      </c>
      <c r="U177" s="14">
        <f ca="1">VLOOKUP($I177&amp;$F177&amp;$G177,装备属性表,装备属性计算表!AP$29,FALSE)</f>
        <v>194.44444444444443</v>
      </c>
      <c r="V177" s="14">
        <f ca="1">VLOOKUP(VLOOKUP($I177&amp;$F177&amp;$G177,装备属性表,装备属性计算表!AQ$29,FALSE),定义数据!$B$13:$C$35,2,FALSE)</f>
        <v>1</v>
      </c>
      <c r="W177" s="14">
        <f ca="1">VLOOKUP($I177&amp;$F177&amp;$G177,装备属性表,装备属性计算表!AR$29,FALSE)</f>
        <v>1393.7123491498862</v>
      </c>
      <c r="X177" s="14">
        <f ca="1">VLOOKUP(VLOOKUP($I177&amp;$F177&amp;$G177,装备属性表,装备属性计算表!AS$29,FALSE),定义数据!$B$13:$C$35,2,FALSE)</f>
        <v>3</v>
      </c>
      <c r="Y177" s="14">
        <f ca="1">VLOOKUP($I177&amp;$F177&amp;$G177,装备属性表,装备属性计算表!AT$29,FALSE)</f>
        <v>30.590092201039866</v>
      </c>
      <c r="Z177" s="14">
        <f ca="1">VLOOKUP(VLOOKUP($I177&amp;$F177&amp;$G177,装备属性表,装备属性计算表!AU$29,FALSE),定义数据!$B$13:$C$35,2,FALSE)</f>
        <v>7</v>
      </c>
      <c r="AA177" s="14">
        <f ca="1">VLOOKUP($I177&amp;$F177&amp;$G177,装备属性表,装备属性计算表!AV$29,FALSE)</f>
        <v>66.666666666666671</v>
      </c>
      <c r="AB177" s="14">
        <f ca="1">VLOOKUP(VLOOKUP($I177&amp;$F177&amp;$G177,装备属性表,装备属性计算表!AW$29,FALSE),定义数据!$B$13:$C$35,2,FALSE)</f>
        <v>9</v>
      </c>
      <c r="AC177" s="14">
        <f ca="1">VLOOKUP($I177&amp;$F177&amp;$G177,装备属性表,装备属性计算表!AX$29,FALSE)</f>
        <v>65.843621399176968</v>
      </c>
      <c r="AD177" s="14">
        <f ca="1">VLOOKUP(VLOOKUP($I177&amp;$F177&amp;$G177,装备属性表,装备属性计算表!AY$29,FALSE),定义数据!$B$13:$C$35,2,FALSE)</f>
        <v>0</v>
      </c>
      <c r="AE177" s="14">
        <f>VLOOKUP($I177&amp;$F177&amp;$G177,装备属性表,装备属性计算表!AZ$29,FALSE)</f>
        <v>0</v>
      </c>
      <c r="AF177" s="14">
        <f ca="1">VLOOKUP(VLOOKUP($I177&amp;$F177&amp;$G177,装备属性表,装备属性计算表!BA$29,FALSE),定义数据!$B$13:$C$35,2,FALSE)</f>
        <v>0</v>
      </c>
      <c r="AG177" s="14">
        <f>VLOOKUP($I177&amp;$F177&amp;$G177,装备属性表,装备属性计算表!BB$29,FALSE)</f>
        <v>0</v>
      </c>
      <c r="AH177" s="14">
        <f ca="1">VLOOKUP(VLOOKUP($I177&amp;$F177&amp;$G177,装备属性表,装备属性计算表!BC$29,FALSE),定义数据!$B$13:$C$35,2,FALSE)</f>
        <v>0</v>
      </c>
      <c r="AI177" s="14">
        <f>VLOOKUP($I177&amp;$F177&amp;$G177,装备属性表,装备属性计算表!BD$29,FALSE)</f>
        <v>0</v>
      </c>
      <c r="AJ177" s="14">
        <f ca="1">VLOOKUP(VLOOKUP($I177&amp;$F177&amp;$G177,装备属性表,装备属性计算表!BE$29,FALSE),定义数据!$B$13:$C$35,2,FALSE)</f>
        <v>0</v>
      </c>
      <c r="AK177" s="14">
        <f>VLOOKUP($I177&amp;$F177&amp;$G177,装备属性表,装备属性计算表!BF$29,FALSE)</f>
        <v>0</v>
      </c>
      <c r="AL177" t="str">
        <f t="shared" si="53"/>
        <v>朱雀长裤是一件70级红色可升级的装备。</v>
      </c>
      <c r="AM177" t="str">
        <f>IF(D177=0,5,D177) &amp; F177&amp;"00"&amp;VLOOKUP(G177,定义数据!$F$20:$G$27,2,FALSE)&amp;".png"</f>
        <v>52004.png</v>
      </c>
      <c r="AN177" s="79">
        <f>IF(OR(G177&lt;15),0,D_装备升级表!A177)</f>
        <v>70042</v>
      </c>
      <c r="AP177">
        <f ca="1">VLOOKUP(G177&amp;I177&amp;F177,CHOOSE({1,2},装备属性计算表!$BK$32:$BK$187,装备属性计算表!$BJ$32:$BJ$187),2,FALSE)</f>
        <v>315.4466030410324</v>
      </c>
      <c r="AQ177">
        <f ca="1">AP177*'[1]0、经济设定'!$C$18</f>
        <v>15772.33015205162</v>
      </c>
      <c r="AR177">
        <f ca="1">IFERROR(AQ177*'[1]0、经济设定'!$E$19*AU177*AS177,0)</f>
        <v>2307.0148221788832</v>
      </c>
      <c r="AS177">
        <v>10</v>
      </c>
      <c r="AT177">
        <f t="shared" si="49"/>
        <v>700</v>
      </c>
      <c r="AU177">
        <f ca="1">IF(F177=0,IFERROR(AT177/AP177/'[1]0、经济设定'!$E$18,0),AU176)</f>
        <v>7.3134876075327178</v>
      </c>
      <c r="AV177">
        <f t="shared" ca="1" si="55"/>
        <v>12617.864121641296</v>
      </c>
    </row>
    <row r="178" spans="1:48" x14ac:dyDescent="0.15">
      <c r="A178" s="14" t="str">
        <f t="shared" si="44"/>
        <v>55423</v>
      </c>
      <c r="B178" s="14" t="s">
        <v>607</v>
      </c>
      <c r="C178" s="14">
        <f>VLOOKUP($I178&amp;$F178&amp;$G178,装备属性表,装备属性计算表!AK$29,FALSE)</f>
        <v>23</v>
      </c>
      <c r="D178" s="14">
        <f t="shared" si="48"/>
        <v>0</v>
      </c>
      <c r="E178" s="14" t="str">
        <f>VLOOKUP(F178,CHOOSE({1,2},定义数据!$F$2:$F$7,武器部位),2)</f>
        <v>鞋子</v>
      </c>
      <c r="F178" s="14">
        <v>5</v>
      </c>
      <c r="G178" s="14">
        <f>装备属性计算表!D161</f>
        <v>70</v>
      </c>
      <c r="H178" s="14">
        <f t="shared" si="45"/>
        <v>70</v>
      </c>
      <c r="I178" s="14">
        <v>4</v>
      </c>
      <c r="J178" s="14" t="str">
        <f t="shared" si="46"/>
        <v>7045</v>
      </c>
      <c r="K178" s="14" t="str">
        <f t="shared" si="47"/>
        <v>7045</v>
      </c>
      <c r="L178" s="76"/>
      <c r="M178" s="14">
        <f>IF(OR(G178&lt;15,G178=80),0,D_装备升级表!A178)</f>
        <v>70045</v>
      </c>
      <c r="N178" s="78">
        <v>1</v>
      </c>
      <c r="O178" s="14">
        <f t="shared" si="50"/>
        <v>2300</v>
      </c>
      <c r="P178" s="14"/>
      <c r="Q178" s="14">
        <f>VLOOKUP($I178&amp;$F178&amp;$G178,装备属性表,装备属性计算表!AL$29,FALSE)</f>
        <v>6</v>
      </c>
      <c r="R178" s="14">
        <f ca="1">VLOOKUP(VLOOKUP($I178&amp;$F178&amp;$G178,装备属性表,装备属性计算表!AM$29,FALSE),定义数据!$B$13:$C$35,2,FALSE)</f>
        <v>1</v>
      </c>
      <c r="S178" s="14">
        <f ca="1">VLOOKUP($I178&amp;$F178&amp;$G178,装备属性表,装备属性计算表!AN$29,FALSE)</f>
        <v>2926.7959332147611</v>
      </c>
      <c r="T178" s="14">
        <f ca="1">VLOOKUP(VLOOKUP($I178&amp;$F178&amp;$G178,装备属性表,装备属性计算表!AO$29,FALSE),定义数据!$B$13:$C$35,2,FALSE)</f>
        <v>7</v>
      </c>
      <c r="U178" s="14">
        <f ca="1">VLOOKUP($I178&amp;$F178&amp;$G178,装备属性表,装备属性计算表!AP$29,FALSE)</f>
        <v>388.88888888888886</v>
      </c>
      <c r="V178" s="14">
        <f ca="1">VLOOKUP(VLOOKUP($I178&amp;$F178&amp;$G178,装备属性表,装备属性计算表!AQ$29,FALSE),定义数据!$B$13:$C$35,2,FALSE)</f>
        <v>1</v>
      </c>
      <c r="W178" s="14">
        <f ca="1">VLOOKUP($I178&amp;$F178&amp;$G178,装备属性表,装备属性计算表!AR$29,FALSE)</f>
        <v>1393.7123491498862</v>
      </c>
      <c r="X178" s="14">
        <f ca="1">VLOOKUP(VLOOKUP($I178&amp;$F178&amp;$G178,装备属性表,装备属性计算表!AS$29,FALSE),定义数据!$B$13:$C$35,2,FALSE)</f>
        <v>7</v>
      </c>
      <c r="Y178" s="14">
        <f ca="1">VLOOKUP($I178&amp;$F178&amp;$G178,装备属性表,装备属性计算表!AT$29,FALSE)</f>
        <v>133.33333333333334</v>
      </c>
      <c r="Z178" s="14">
        <f ca="1">VLOOKUP(VLOOKUP($I178&amp;$F178&amp;$G178,装备属性表,装备属性计算表!AU$29,FALSE),定义数据!$B$13:$C$35,2,FALSE)</f>
        <v>6</v>
      </c>
      <c r="AA178" s="14">
        <f ca="1">VLOOKUP($I178&amp;$F178&amp;$G178,装备属性表,装备属性计算表!AV$29,FALSE)</f>
        <v>111.11111111111111</v>
      </c>
      <c r="AB178" s="14">
        <f ca="1">VLOOKUP(VLOOKUP($I178&amp;$F178&amp;$G178,装备属性表,装备属性计算表!AW$29,FALSE),定义数据!$B$13:$C$35,2,FALSE)</f>
        <v>8</v>
      </c>
      <c r="AC178" s="14">
        <f ca="1">VLOOKUP($I178&amp;$F178&amp;$G178,装备属性表,装备属性计算表!AX$29,FALSE)</f>
        <v>39.506172839506178</v>
      </c>
      <c r="AD178" s="14">
        <f ca="1">VLOOKUP(VLOOKUP($I178&amp;$F178&amp;$G178,装备属性表,装备属性计算表!AY$29,FALSE),定义数据!$B$13:$C$35,2,FALSE)</f>
        <v>0</v>
      </c>
      <c r="AE178" s="14">
        <f>VLOOKUP($I178&amp;$F178&amp;$G178,装备属性表,装备属性计算表!AZ$29,FALSE)</f>
        <v>0</v>
      </c>
      <c r="AF178" s="14">
        <f ca="1">VLOOKUP(VLOOKUP($I178&amp;$F178&amp;$G178,装备属性表,装备属性计算表!BA$29,FALSE),定义数据!$B$13:$C$35,2,FALSE)</f>
        <v>0</v>
      </c>
      <c r="AG178" s="14">
        <f>VLOOKUP($I178&amp;$F178&amp;$G178,装备属性表,装备属性计算表!BB$29,FALSE)</f>
        <v>0</v>
      </c>
      <c r="AH178" s="14">
        <f ca="1">VLOOKUP(VLOOKUP($I178&amp;$F178&amp;$G178,装备属性表,装备属性计算表!BC$29,FALSE),定义数据!$B$13:$C$35,2,FALSE)</f>
        <v>0</v>
      </c>
      <c r="AI178" s="14">
        <f>VLOOKUP($I178&amp;$F178&amp;$G178,装备属性表,装备属性计算表!BD$29,FALSE)</f>
        <v>0</v>
      </c>
      <c r="AJ178" s="14">
        <f ca="1">VLOOKUP(VLOOKUP($I178&amp;$F178&amp;$G178,装备属性表,装备属性计算表!BE$29,FALSE),定义数据!$B$13:$C$35,2,FALSE)</f>
        <v>0</v>
      </c>
      <c r="AK178" s="14">
        <f>VLOOKUP($I178&amp;$F178&amp;$G178,装备属性表,装备属性计算表!BF$29,FALSE)</f>
        <v>0</v>
      </c>
      <c r="AL178" t="str">
        <f t="shared" si="53"/>
        <v>朱雀长靴是一件70级红色可升级的装备。</v>
      </c>
      <c r="AM178" t="str">
        <f>IF(D178=0,5,D178) &amp; F178&amp;"00"&amp;VLOOKUP(G178,定义数据!$F$20:$G$27,2,FALSE)&amp;".png"</f>
        <v>55004.png</v>
      </c>
      <c r="AN178" s="79">
        <f>IF(OR(G178&lt;15),0,D_装备升级表!A178)</f>
        <v>70045</v>
      </c>
      <c r="AP178">
        <f ca="1">VLOOKUP(G178&amp;I178&amp;F178,CHOOSE({1,2},装备属性计算表!$BK$32:$BK$187,装备属性计算表!$BJ$32:$BJ$187),2,FALSE)</f>
        <v>395.26477573903037</v>
      </c>
      <c r="AQ178">
        <f ca="1">AP178*'[1]0、经济设定'!$C$18</f>
        <v>19763.238786951519</v>
      </c>
      <c r="AR178">
        <f ca="1">IFERROR(AQ178*'[1]0、经济设定'!$E$19*AU178*AS178,0)</f>
        <v>2890.764039061597</v>
      </c>
      <c r="AS178">
        <v>10</v>
      </c>
      <c r="AT178">
        <f t="shared" ref="AT178:AT212" si="56">MAX(VLOOKUP(I178,$AY$5:$AZ$9,2,FALSE)*G178,1)</f>
        <v>700</v>
      </c>
      <c r="AU178">
        <f ca="1">IF(F178=0,IFERROR(AT178/AP178/'[1]0、经济设定'!$E$18,0),AU177)</f>
        <v>7.3134876075327178</v>
      </c>
      <c r="AV178">
        <f t="shared" ca="1" si="55"/>
        <v>15810.591029561216</v>
      </c>
    </row>
    <row r="179" spans="1:48" x14ac:dyDescent="0.15">
      <c r="A179" s="14" t="str">
        <f t="shared" si="44"/>
        <v>54423</v>
      </c>
      <c r="B179" s="14" t="s">
        <v>608</v>
      </c>
      <c r="C179" s="14">
        <f>VLOOKUP($I179&amp;$F179&amp;$G179,装备属性表,装备属性计算表!AK$29,FALSE)</f>
        <v>23</v>
      </c>
      <c r="D179" s="14">
        <f t="shared" si="48"/>
        <v>0</v>
      </c>
      <c r="E179" s="14" t="str">
        <f>VLOOKUP(F179,CHOOSE({1,2},定义数据!$F$2:$F$7,武器部位),2)</f>
        <v>腰带</v>
      </c>
      <c r="F179" s="14">
        <v>4</v>
      </c>
      <c r="G179" s="14">
        <f>装备属性计算表!D162</f>
        <v>70</v>
      </c>
      <c r="H179" s="14">
        <f t="shared" si="45"/>
        <v>70</v>
      </c>
      <c r="I179" s="14">
        <v>4</v>
      </c>
      <c r="J179" s="14" t="str">
        <f t="shared" si="46"/>
        <v>7044</v>
      </c>
      <c r="K179" s="14" t="str">
        <f t="shared" si="47"/>
        <v>7044</v>
      </c>
      <c r="L179" s="76"/>
      <c r="M179" s="14">
        <f>IF(OR(G179&lt;15,G179=80),0,D_装备升级表!A179)</f>
        <v>70044</v>
      </c>
      <c r="N179" s="78">
        <v>1</v>
      </c>
      <c r="O179" s="14">
        <f t="shared" si="50"/>
        <v>2300</v>
      </c>
      <c r="P179" s="14"/>
      <c r="Q179" s="14">
        <f>VLOOKUP($I179&amp;$F179&amp;$G179,装备属性表,装备属性计算表!AL$29,FALSE)</f>
        <v>6</v>
      </c>
      <c r="R179" s="14">
        <f ca="1">VLOOKUP(VLOOKUP($I179&amp;$F179&amp;$G179,装备属性表,装备属性计算表!AM$29,FALSE),定义数据!$B$13:$C$35,2,FALSE)</f>
        <v>1</v>
      </c>
      <c r="S179" s="14">
        <f ca="1">VLOOKUP($I179&amp;$F179&amp;$G179,装备属性表,装备属性计算表!AN$29,FALSE)</f>
        <v>2926.7959332147611</v>
      </c>
      <c r="T179" s="14">
        <f ca="1">VLOOKUP(VLOOKUP($I179&amp;$F179&amp;$G179,装备属性表,装备属性计算表!AO$29,FALSE),定义数据!$B$13:$C$35,2,FALSE)</f>
        <v>9</v>
      </c>
      <c r="U179" s="14">
        <f ca="1">VLOOKUP($I179&amp;$F179&amp;$G179,装备属性表,装备属性计算表!AP$29,FALSE)</f>
        <v>345.67901234567904</v>
      </c>
      <c r="V179" s="14">
        <f ca="1">VLOOKUP(VLOOKUP($I179&amp;$F179&amp;$G179,装备属性表,装备属性计算表!AQ$29,FALSE),定义数据!$B$13:$C$35,2,FALSE)</f>
        <v>1</v>
      </c>
      <c r="W179" s="14">
        <f ca="1">VLOOKUP($I179&amp;$F179&amp;$G179,装备属性表,装备属性计算表!AR$29,FALSE)</f>
        <v>2787.4246982997724</v>
      </c>
      <c r="X179" s="14">
        <f ca="1">VLOOKUP(VLOOKUP($I179&amp;$F179&amp;$G179,装备属性表,装备属性计算表!AS$29,FALSE),定义数据!$B$13:$C$35,2,FALSE)</f>
        <v>2</v>
      </c>
      <c r="Y179" s="14">
        <f ca="1">VLOOKUP($I179&amp;$F179&amp;$G179,装备属性表,装备属性计算表!AT$29,FALSE)</f>
        <v>84.948849625668473</v>
      </c>
      <c r="Z179" s="14">
        <f ca="1">VLOOKUP(VLOOKUP($I179&amp;$F179&amp;$G179,装备属性表,装备属性计算表!AU$29,FALSE),定义数据!$B$13:$C$35,2,FALSE)</f>
        <v>3</v>
      </c>
      <c r="AA179" s="14">
        <f ca="1">VLOOKUP($I179&amp;$F179&amp;$G179,装备属性表,装备属性计算表!AV$29,FALSE)</f>
        <v>30.590092201039866</v>
      </c>
      <c r="AB179" s="14">
        <f ca="1">VLOOKUP(VLOOKUP($I179&amp;$F179&amp;$G179,装备属性表,装备属性计算表!AW$29,FALSE),定义数据!$B$13:$C$35,2,FALSE)</f>
        <v>9</v>
      </c>
      <c r="AC179" s="14">
        <f ca="1">VLOOKUP($I179&amp;$F179&amp;$G179,装备属性表,装备属性计算表!AX$29,FALSE)</f>
        <v>65.843621399176968</v>
      </c>
      <c r="AD179" s="14">
        <f ca="1">VLOOKUP(VLOOKUP($I179&amp;$F179&amp;$G179,装备属性表,装备属性计算表!AY$29,FALSE),定义数据!$B$13:$C$35,2,FALSE)</f>
        <v>0</v>
      </c>
      <c r="AE179" s="14">
        <f>VLOOKUP($I179&amp;$F179&amp;$G179,装备属性表,装备属性计算表!AZ$29,FALSE)</f>
        <v>0</v>
      </c>
      <c r="AF179" s="14">
        <f ca="1">VLOOKUP(VLOOKUP($I179&amp;$F179&amp;$G179,装备属性表,装备属性计算表!BA$29,FALSE),定义数据!$B$13:$C$35,2,FALSE)</f>
        <v>0</v>
      </c>
      <c r="AG179" s="14">
        <f>VLOOKUP($I179&amp;$F179&amp;$G179,装备属性表,装备属性计算表!BB$29,FALSE)</f>
        <v>0</v>
      </c>
      <c r="AH179" s="14">
        <f ca="1">VLOOKUP(VLOOKUP($I179&amp;$F179&amp;$G179,装备属性表,装备属性计算表!BC$29,FALSE),定义数据!$B$13:$C$35,2,FALSE)</f>
        <v>0</v>
      </c>
      <c r="AI179" s="14">
        <f>VLOOKUP($I179&amp;$F179&amp;$G179,装备属性表,装备属性计算表!BD$29,FALSE)</f>
        <v>0</v>
      </c>
      <c r="AJ179" s="14">
        <f ca="1">VLOOKUP(VLOOKUP($I179&amp;$F179&amp;$G179,装备属性表,装备属性计算表!BE$29,FALSE),定义数据!$B$13:$C$35,2,FALSE)</f>
        <v>0</v>
      </c>
      <c r="AK179" s="14">
        <f>VLOOKUP($I179&amp;$F179&amp;$G179,装备属性表,装备属性计算表!BF$29,FALSE)</f>
        <v>0</v>
      </c>
      <c r="AL179" t="str">
        <f t="shared" si="53"/>
        <v>朱雀腰带是一件70级红色可升级的装备。</v>
      </c>
      <c r="AM179" t="str">
        <f>IF(D179=0,5,D179) &amp; F179&amp;"00"&amp;VLOOKUP(G179,定义数据!$F$20:$G$27,2,FALSE)&amp;".png"</f>
        <v>54004.png</v>
      </c>
      <c r="AN179" s="79">
        <f>IF(OR(G179&lt;15),0,D_装备升级表!A179)</f>
        <v>70044</v>
      </c>
      <c r="AP179">
        <f ca="1">VLOOKUP(G179&amp;I179&amp;F179,CHOOSE({1,2},装备属性计算表!$BK$32:$BK$187,装备属性计算表!$BJ$32:$BJ$187),2,FALSE)</f>
        <v>418.18184116136376</v>
      </c>
      <c r="AQ179">
        <f ca="1">AP179*'[1]0、经济设定'!$C$18</f>
        <v>20909.092058068189</v>
      </c>
      <c r="AR179">
        <f ca="1">IFERROR(AQ179*'[1]0、经济设定'!$E$19*AU179*AS179,0)</f>
        <v>3058.3677130288493</v>
      </c>
      <c r="AS179">
        <v>10</v>
      </c>
      <c r="AT179">
        <f t="shared" si="56"/>
        <v>700</v>
      </c>
      <c r="AU179">
        <f ca="1">IF(F179=0,IFERROR(AT179/AP179/'[1]0、经济设定'!$E$18,0),AU178)</f>
        <v>7.3134876075327178</v>
      </c>
      <c r="AV179">
        <f t="shared" ca="1" si="55"/>
        <v>16727.273646454552</v>
      </c>
    </row>
    <row r="180" spans="1:48" x14ac:dyDescent="0.15">
      <c r="A180" s="14" t="str">
        <f t="shared" si="44"/>
        <v>53423</v>
      </c>
      <c r="B180" s="14" t="s">
        <v>609</v>
      </c>
      <c r="C180" s="14">
        <f>VLOOKUP($I180&amp;$F180&amp;$G180,装备属性表,装备属性计算表!AK$29,FALSE)</f>
        <v>23</v>
      </c>
      <c r="D180" s="14">
        <f t="shared" si="48"/>
        <v>0</v>
      </c>
      <c r="E180" s="14" t="str">
        <f>VLOOKUP(F180,CHOOSE({1,2},定义数据!$F$2:$F$7,武器部位),2)</f>
        <v>项链</v>
      </c>
      <c r="F180" s="14">
        <v>3</v>
      </c>
      <c r="G180" s="14">
        <f>装备属性计算表!D163</f>
        <v>70</v>
      </c>
      <c r="H180" s="14">
        <f t="shared" si="45"/>
        <v>70</v>
      </c>
      <c r="I180" s="14">
        <v>4</v>
      </c>
      <c r="J180" s="14" t="str">
        <f t="shared" si="46"/>
        <v>7043</v>
      </c>
      <c r="K180" s="14" t="str">
        <f t="shared" si="47"/>
        <v>7043</v>
      </c>
      <c r="L180" s="76"/>
      <c r="M180" s="14">
        <f>IF(OR(G180&lt;15,G180=80),0,D_装备升级表!A180)</f>
        <v>70043</v>
      </c>
      <c r="N180" s="78">
        <v>1</v>
      </c>
      <c r="O180" s="14">
        <f t="shared" si="50"/>
        <v>2300</v>
      </c>
      <c r="P180" s="14"/>
      <c r="Q180" s="14">
        <f>VLOOKUP($I180&amp;$F180&amp;$G180,装备属性表,装备属性计算表!AL$29,FALSE)</f>
        <v>6</v>
      </c>
      <c r="R180" s="14">
        <f ca="1">VLOOKUP(VLOOKUP($I180&amp;$F180&amp;$G180,装备属性表,装备属性计算表!AM$29,FALSE),定义数据!$B$13:$C$35,2,FALSE)</f>
        <v>2</v>
      </c>
      <c r="S180" s="14">
        <f ca="1">VLOOKUP($I180&amp;$F180&amp;$G180,装备属性表,装备属性计算表!AN$29,FALSE)</f>
        <v>185.82560855614975</v>
      </c>
      <c r="T180" s="14">
        <f ca="1">VLOOKUP(VLOOKUP($I180&amp;$F180&amp;$G180,装备属性表,装备属性计算表!AO$29,FALSE),定义数据!$B$13:$C$35,2,FALSE)</f>
        <v>6</v>
      </c>
      <c r="U180" s="14">
        <f ca="1">VLOOKUP($I180&amp;$F180&amp;$G180,装备属性表,装备属性计算表!AP$29,FALSE)</f>
        <v>583.33333333333337</v>
      </c>
      <c r="V180" s="14">
        <f ca="1">VLOOKUP(VLOOKUP($I180&amp;$F180&amp;$G180,装备属性表,装备属性计算表!AQ$29,FALSE),定义数据!$B$13:$C$35,2,FALSE)</f>
        <v>2</v>
      </c>
      <c r="W180" s="14">
        <f ca="1">VLOOKUP($I180&amp;$F180&amp;$G180,装备属性表,装备属性计算表!AR$29,FALSE)</f>
        <v>84.948849625668473</v>
      </c>
      <c r="X180" s="14">
        <f ca="1">VLOOKUP(VLOOKUP($I180&amp;$F180&amp;$G180,装备属性表,装备属性计算表!AS$29,FALSE),定义数据!$B$13:$C$35,2,FALSE)</f>
        <v>7</v>
      </c>
      <c r="Y180" s="14">
        <f ca="1">VLOOKUP($I180&amp;$F180&amp;$G180,装备属性表,装备属性计算表!AT$29,FALSE)</f>
        <v>66.666666666666671</v>
      </c>
      <c r="Z180" s="14">
        <f ca="1">VLOOKUP(VLOOKUP($I180&amp;$F180&amp;$G180,装备属性表,装备属性计算表!AU$29,FALSE),定义数据!$B$13:$C$35,2,FALSE)</f>
        <v>6</v>
      </c>
      <c r="AA180" s="14">
        <f ca="1">VLOOKUP($I180&amp;$F180&amp;$G180,装备属性表,装备属性计算表!AV$29,FALSE)</f>
        <v>111.11111111111111</v>
      </c>
      <c r="AB180" s="14">
        <f ca="1">VLOOKUP(VLOOKUP($I180&amp;$F180&amp;$G180,装备属性表,装备属性计算表!AW$29,FALSE),定义数据!$B$13:$C$35,2,FALSE)</f>
        <v>8</v>
      </c>
      <c r="AC180" s="14">
        <f ca="1">VLOOKUP($I180&amp;$F180&amp;$G180,装备属性表,装备属性计算表!AX$29,FALSE)</f>
        <v>79.012345679012356</v>
      </c>
      <c r="AD180" s="14">
        <f ca="1">VLOOKUP(VLOOKUP($I180&amp;$F180&amp;$G180,装备属性表,装备属性计算表!AY$29,FALSE),定义数据!$B$13:$C$35,2,FALSE)</f>
        <v>0</v>
      </c>
      <c r="AE180" s="14">
        <f>VLOOKUP($I180&amp;$F180&amp;$G180,装备属性表,装备属性计算表!AZ$29,FALSE)</f>
        <v>0</v>
      </c>
      <c r="AF180" s="14">
        <f ca="1">VLOOKUP(VLOOKUP($I180&amp;$F180&amp;$G180,装备属性表,装备属性计算表!BA$29,FALSE),定义数据!$B$13:$C$35,2,FALSE)</f>
        <v>0</v>
      </c>
      <c r="AG180" s="14">
        <f>VLOOKUP($I180&amp;$F180&amp;$G180,装备属性表,装备属性计算表!BB$29,FALSE)</f>
        <v>0</v>
      </c>
      <c r="AH180" s="14">
        <f ca="1">VLOOKUP(VLOOKUP($I180&amp;$F180&amp;$G180,装备属性表,装备属性计算表!BC$29,FALSE),定义数据!$B$13:$C$35,2,FALSE)</f>
        <v>0</v>
      </c>
      <c r="AI180" s="14">
        <f>VLOOKUP($I180&amp;$F180&amp;$G180,装备属性表,装备属性计算表!BD$29,FALSE)</f>
        <v>0</v>
      </c>
      <c r="AJ180" s="14">
        <f ca="1">VLOOKUP(VLOOKUP($I180&amp;$F180&amp;$G180,装备属性表,装备属性计算表!BE$29,FALSE),定义数据!$B$13:$C$35,2,FALSE)</f>
        <v>0</v>
      </c>
      <c r="AK180" s="14">
        <f>VLOOKUP($I180&amp;$F180&amp;$G180,装备属性表,装备属性计算表!BF$29,FALSE)</f>
        <v>0</v>
      </c>
      <c r="AL180" t="str">
        <f t="shared" si="53"/>
        <v>朱雀项链是一件70级红色可升级的装备。</v>
      </c>
      <c r="AM180" t="str">
        <f>IF(D180=0,5,D180) &amp; F180&amp;"00"&amp;VLOOKUP(G180,定义数据!$F$20:$G$27,2,FALSE)&amp;".png"</f>
        <v>53004.png</v>
      </c>
      <c r="AN180" s="79">
        <f>IF(OR(G180&lt;15),0,D_装备升级表!A180)</f>
        <v>70043</v>
      </c>
      <c r="AP180">
        <f ca="1">VLOOKUP(G180&amp;I180&amp;F180,CHOOSE({1,2},装备属性计算表!$BK$32:$BK$187,装备属性计算表!$BJ$32:$BJ$187),2,FALSE)</f>
        <v>543.77445818181832</v>
      </c>
      <c r="AQ180">
        <f ca="1">AP180*'[1]0、经济设定'!$C$18</f>
        <v>27188.722909090917</v>
      </c>
      <c r="AR180">
        <f ca="1">IFERROR(AQ180*'[1]0、经济设定'!$E$19*AU180*AS180,0)</f>
        <v>3976.8877612055462</v>
      </c>
      <c r="AS180">
        <v>10</v>
      </c>
      <c r="AT180">
        <f t="shared" si="56"/>
        <v>700</v>
      </c>
      <c r="AU180">
        <f ca="1">IF(F180=0,IFERROR(AT180/AP180/'[1]0、经济设定'!$E$18,0),AU179)</f>
        <v>7.3134876075327178</v>
      </c>
      <c r="AV180">
        <f t="shared" ca="1" si="55"/>
        <v>21750.978327272733</v>
      </c>
    </row>
    <row r="181" spans="1:48" x14ac:dyDescent="0.15">
      <c r="A181" s="14" t="str">
        <f t="shared" si="44"/>
        <v>10124</v>
      </c>
      <c r="B181" s="14" t="s">
        <v>350</v>
      </c>
      <c r="C181" s="14">
        <f>VLOOKUP($I181&amp;$F181&amp;$G181,装备属性表,装备属性计算表!AK$29,FALSE)</f>
        <v>24</v>
      </c>
      <c r="D181" s="14">
        <f t="shared" si="48"/>
        <v>1</v>
      </c>
      <c r="E181" s="14" t="str">
        <f>VLOOKUP(F181,CHOOSE({1,2},定义数据!$F$2:$F$7,武器部位),2)</f>
        <v>武器</v>
      </c>
      <c r="F181" s="14">
        <v>0</v>
      </c>
      <c r="G181" s="14">
        <v>80</v>
      </c>
      <c r="H181" s="14">
        <f t="shared" si="45"/>
        <v>80</v>
      </c>
      <c r="I181" s="14">
        <v>1</v>
      </c>
      <c r="J181" s="14" t="str">
        <f t="shared" si="46"/>
        <v>8010</v>
      </c>
      <c r="K181" s="14" t="str">
        <f t="shared" ref="K181:K196" si="57">G181&amp;I181&amp;F181</f>
        <v>8010</v>
      </c>
      <c r="L181" s="76"/>
      <c r="M181" s="14">
        <f>IF(OR(G181&lt;15,G181=80),0,D_装备升级表!A181)</f>
        <v>0</v>
      </c>
      <c r="N181" s="78">
        <v>1</v>
      </c>
      <c r="O181" s="14">
        <f t="shared" si="50"/>
        <v>2400</v>
      </c>
      <c r="P181" s="14"/>
      <c r="Q181" s="14">
        <f>VLOOKUP($I181&amp;$F181&amp;$G181,装备属性表,装备属性计算表!AL$29,FALSE)</f>
        <v>3</v>
      </c>
      <c r="R181" s="14">
        <f ca="1">VLOOKUP(VLOOKUP($I181&amp;$F181&amp;$G181,装备属性表,装备属性计算表!AM$29,FALSE),定义数据!$B$13:$C$35,2,FALSE)</f>
        <v>2</v>
      </c>
      <c r="S181" s="14">
        <f ca="1">VLOOKUP($I181&amp;$F181&amp;$G181,装备属性表,装备属性计算表!AN$29,FALSE)</f>
        <v>447.97244919786107</v>
      </c>
      <c r="T181" s="14">
        <f ca="1">VLOOKUP(VLOOKUP($I181&amp;$F181&amp;$G181,装备属性表,装备属性计算表!AO$29,FALSE),定义数据!$B$13:$C$35,2,FALSE)</f>
        <v>8</v>
      </c>
      <c r="U181" s="14">
        <f ca="1">VLOOKUP($I181&amp;$F181&amp;$G181,装备属性表,装备属性计算表!AP$29,FALSE)</f>
        <v>277.77777777777777</v>
      </c>
      <c r="V181" s="14">
        <f ca="1">VLOOKUP(VLOOKUP($I181&amp;$F181&amp;$G181,装备属性表,装备属性计算表!AQ$29,FALSE),定义数据!$B$13:$C$35,2,FALSE)</f>
        <v>2</v>
      </c>
      <c r="W181" s="14">
        <f ca="1">VLOOKUP($I181&amp;$F181&amp;$G181,装备属性表,装备属性计算表!AR$29,FALSE)</f>
        <v>35.837795935828886</v>
      </c>
      <c r="X181" s="14">
        <f ca="1">VLOOKUP(VLOOKUP($I181&amp;$F181&amp;$G181,装备属性表,装备属性计算表!AS$29,FALSE),定义数据!$B$13:$C$35,2,FALSE)</f>
        <v>0</v>
      </c>
      <c r="Y181" s="14">
        <f>VLOOKUP($I181&amp;$F181&amp;$G181,装备属性表,装备属性计算表!AT$29,FALSE)</f>
        <v>0</v>
      </c>
      <c r="Z181" s="14">
        <f ca="1">VLOOKUP(VLOOKUP($I181&amp;$F181&amp;$G181,装备属性表,装备属性计算表!AU$29,FALSE),定义数据!$B$13:$C$35,2,FALSE)</f>
        <v>0</v>
      </c>
      <c r="AA181" s="14">
        <f>VLOOKUP($I181&amp;$F181&amp;$G181,装备属性表,装备属性计算表!AV$29,FALSE)</f>
        <v>0</v>
      </c>
      <c r="AB181" s="14">
        <f ca="1">VLOOKUP(VLOOKUP($I181&amp;$F181&amp;$G181,装备属性表,装备属性计算表!AW$29,FALSE),定义数据!$B$13:$C$35,2,FALSE)</f>
        <v>0</v>
      </c>
      <c r="AC181" s="14">
        <f>VLOOKUP($I181&amp;$F181&amp;$G181,装备属性表,装备属性计算表!AX$29,FALSE)</f>
        <v>0</v>
      </c>
      <c r="AD181" s="14">
        <f ca="1">VLOOKUP(VLOOKUP($I181&amp;$F181&amp;$G181,装备属性表,装备属性计算表!AY$29,FALSE),定义数据!$B$13:$C$35,2,FALSE)</f>
        <v>0</v>
      </c>
      <c r="AE181" s="14">
        <f>VLOOKUP($I181&amp;$F181&amp;$G181,装备属性表,装备属性计算表!AZ$29,FALSE)</f>
        <v>0</v>
      </c>
      <c r="AF181" s="14">
        <f ca="1">VLOOKUP(VLOOKUP($I181&amp;$F181&amp;$G181,装备属性表,装备属性计算表!BA$29,FALSE),定义数据!$B$13:$C$35,2,FALSE)</f>
        <v>0</v>
      </c>
      <c r="AG181" s="14">
        <f>VLOOKUP($I181&amp;$F181&amp;$G181,装备属性表,装备属性计算表!BB$29,FALSE)</f>
        <v>0</v>
      </c>
      <c r="AH181" s="14">
        <f ca="1">VLOOKUP(VLOOKUP($I181&amp;$F181&amp;$G181,装备属性表,装备属性计算表!BC$29,FALSE),定义数据!$B$13:$C$35,2,FALSE)</f>
        <v>0</v>
      </c>
      <c r="AI181" s="14">
        <f>VLOOKUP($I181&amp;$F181&amp;$G181,装备属性表,装备属性计算表!BD$29,FALSE)</f>
        <v>0</v>
      </c>
      <c r="AJ181" s="14">
        <f ca="1">VLOOKUP(VLOOKUP($I181&amp;$F181&amp;$G181,装备属性表,装备属性计算表!BE$29,FALSE),定义数据!$B$13:$C$35,2,FALSE)</f>
        <v>0</v>
      </c>
      <c r="AK181" s="14">
        <f>VLOOKUP($I181&amp;$F181&amp;$G181,装备属性表,装备属性计算表!BF$29,FALSE)</f>
        <v>0</v>
      </c>
      <c r="AL181" t="str">
        <f t="shared" si="53"/>
        <v>高洁之刃是一件80级蓝色可升级的装备。</v>
      </c>
      <c r="AM181" t="str">
        <f>IF(D181=0,5,D181) &amp; F181&amp;"00"&amp;VLOOKUP(G181,定义数据!$F$20:$G$27,2,FALSE)&amp;".png"</f>
        <v>10006.png</v>
      </c>
      <c r="AN181" s="79">
        <f>IF(OR(G181&lt;15),0,D_装备升级表!A181)</f>
        <v>80110</v>
      </c>
      <c r="AP181">
        <f ca="1">VLOOKUP(G181&amp;I181&amp;F181,CHOOSE({1,2},装备属性计算表!$BK$32:$BK$187,装备属性计算表!$BJ$32:$BJ$187),2,FALSE)</f>
        <v>545.42447684946114</v>
      </c>
      <c r="AQ181">
        <f ca="1">AP181*'[1]0、经济设定'!$C$18</f>
        <v>27271.223842473057</v>
      </c>
      <c r="AR181">
        <f ca="1">IFERROR(AQ181*'[1]0、经济设定'!$E$19*AU181*AS181,0)</f>
        <v>959.99999999999989</v>
      </c>
      <c r="AS181">
        <v>10</v>
      </c>
      <c r="AT181">
        <f t="shared" si="56"/>
        <v>96</v>
      </c>
      <c r="AU181">
        <f ca="1">IF(F181=0,IFERROR(AT181/AP181/'[1]0、经济设定'!$E$18,0),AU180)</f>
        <v>1.7600970267144116</v>
      </c>
      <c r="AV181">
        <f t="shared" ca="1" si="55"/>
        <v>21816.979073978444</v>
      </c>
    </row>
    <row r="182" spans="1:48" x14ac:dyDescent="0.15">
      <c r="A182" s="14" t="str">
        <f t="shared" si="44"/>
        <v>20124</v>
      </c>
      <c r="B182" s="14" t="s">
        <v>351</v>
      </c>
      <c r="C182" s="14">
        <f>VLOOKUP($I182&amp;$F182&amp;$G182,装备属性表,装备属性计算表!AK$29,FALSE)</f>
        <v>24</v>
      </c>
      <c r="D182" s="14">
        <f t="shared" si="48"/>
        <v>2</v>
      </c>
      <c r="E182" s="14" t="str">
        <f>VLOOKUP(F182,CHOOSE({1,2},定义数据!$F$2:$F$7,武器部位),2)</f>
        <v>武器</v>
      </c>
      <c r="F182" s="14">
        <v>0</v>
      </c>
      <c r="G182" s="14">
        <v>80</v>
      </c>
      <c r="H182" s="14">
        <f t="shared" si="45"/>
        <v>80</v>
      </c>
      <c r="I182" s="14">
        <v>1</v>
      </c>
      <c r="J182" s="14" t="str">
        <f t="shared" si="46"/>
        <v>8010</v>
      </c>
      <c r="K182" s="14" t="str">
        <f t="shared" si="57"/>
        <v>8010</v>
      </c>
      <c r="L182" s="76"/>
      <c r="M182" s="14">
        <f>IF(OR(G182&lt;15,G182=80),0,D_装备升级表!A182)</f>
        <v>0</v>
      </c>
      <c r="N182" s="78">
        <v>1</v>
      </c>
      <c r="O182" s="14">
        <f t="shared" si="50"/>
        <v>2400</v>
      </c>
      <c r="P182" s="14"/>
      <c r="Q182" s="14">
        <f>VLOOKUP($I182&amp;$F182&amp;$G182,装备属性表,装备属性计算表!AL$29,FALSE)</f>
        <v>3</v>
      </c>
      <c r="R182" s="14">
        <f ca="1">VLOOKUP(VLOOKUP($I182&amp;$F182&amp;$G182,装备属性表,装备属性计算表!AM$29,FALSE),定义数据!$B$13:$C$35,2,FALSE)</f>
        <v>2</v>
      </c>
      <c r="S182" s="14">
        <f ca="1">VLOOKUP($I182&amp;$F182&amp;$G182,装备属性表,装备属性计算表!AN$29,FALSE)</f>
        <v>447.97244919786107</v>
      </c>
      <c r="T182" s="14">
        <f ca="1">VLOOKUP(VLOOKUP($I182&amp;$F182&amp;$G182,装备属性表,装备属性计算表!AO$29,FALSE),定义数据!$B$13:$C$35,2,FALSE)</f>
        <v>8</v>
      </c>
      <c r="U182" s="14">
        <f ca="1">VLOOKUP($I182&amp;$F182&amp;$G182,装备属性表,装备属性计算表!AP$29,FALSE)</f>
        <v>277.77777777777777</v>
      </c>
      <c r="V182" s="14">
        <f ca="1">VLOOKUP(VLOOKUP($I182&amp;$F182&amp;$G182,装备属性表,装备属性计算表!AQ$29,FALSE),定义数据!$B$13:$C$35,2,FALSE)</f>
        <v>2</v>
      </c>
      <c r="W182" s="14">
        <f ca="1">VLOOKUP($I182&amp;$F182&amp;$G182,装备属性表,装备属性计算表!AR$29,FALSE)</f>
        <v>35.837795935828886</v>
      </c>
      <c r="X182" s="14">
        <f ca="1">VLOOKUP(VLOOKUP($I182&amp;$F182&amp;$G182,装备属性表,装备属性计算表!AS$29,FALSE),定义数据!$B$13:$C$35,2,FALSE)</f>
        <v>0</v>
      </c>
      <c r="Y182" s="14">
        <f>VLOOKUP($I182&amp;$F182&amp;$G182,装备属性表,装备属性计算表!AT$29,FALSE)</f>
        <v>0</v>
      </c>
      <c r="Z182" s="14">
        <f ca="1">VLOOKUP(VLOOKUP($I182&amp;$F182&amp;$G182,装备属性表,装备属性计算表!AU$29,FALSE),定义数据!$B$13:$C$35,2,FALSE)</f>
        <v>0</v>
      </c>
      <c r="AA182" s="14">
        <f>VLOOKUP($I182&amp;$F182&amp;$G182,装备属性表,装备属性计算表!AV$29,FALSE)</f>
        <v>0</v>
      </c>
      <c r="AB182" s="14">
        <f ca="1">VLOOKUP(VLOOKUP($I182&amp;$F182&amp;$G182,装备属性表,装备属性计算表!AW$29,FALSE),定义数据!$B$13:$C$35,2,FALSE)</f>
        <v>0</v>
      </c>
      <c r="AC182" s="14">
        <f>VLOOKUP($I182&amp;$F182&amp;$G182,装备属性表,装备属性计算表!AX$29,FALSE)</f>
        <v>0</v>
      </c>
      <c r="AD182" s="14">
        <f ca="1">VLOOKUP(VLOOKUP($I182&amp;$F182&amp;$G182,装备属性表,装备属性计算表!AY$29,FALSE),定义数据!$B$13:$C$35,2,FALSE)</f>
        <v>0</v>
      </c>
      <c r="AE182" s="14">
        <f>VLOOKUP($I182&amp;$F182&amp;$G182,装备属性表,装备属性计算表!AZ$29,FALSE)</f>
        <v>0</v>
      </c>
      <c r="AF182" s="14">
        <f ca="1">VLOOKUP(VLOOKUP($I182&amp;$F182&amp;$G182,装备属性表,装备属性计算表!BA$29,FALSE),定义数据!$B$13:$C$35,2,FALSE)</f>
        <v>0</v>
      </c>
      <c r="AG182" s="14">
        <f>VLOOKUP($I182&amp;$F182&amp;$G182,装备属性表,装备属性计算表!BB$29,FALSE)</f>
        <v>0</v>
      </c>
      <c r="AH182" s="14">
        <f ca="1">VLOOKUP(VLOOKUP($I182&amp;$F182&amp;$G182,装备属性表,装备属性计算表!BC$29,FALSE),定义数据!$B$13:$C$35,2,FALSE)</f>
        <v>0</v>
      </c>
      <c r="AI182" s="14">
        <f>VLOOKUP($I182&amp;$F182&amp;$G182,装备属性表,装备属性计算表!BD$29,FALSE)</f>
        <v>0</v>
      </c>
      <c r="AJ182" s="14">
        <f ca="1">VLOOKUP(VLOOKUP($I182&amp;$F182&amp;$G182,装备属性表,装备属性计算表!BE$29,FALSE),定义数据!$B$13:$C$35,2,FALSE)</f>
        <v>0</v>
      </c>
      <c r="AK182" s="14">
        <f>VLOOKUP($I182&amp;$F182&amp;$G182,装备属性表,装备属性计算表!BF$29,FALSE)</f>
        <v>0</v>
      </c>
      <c r="AL182" t="str">
        <f t="shared" si="53"/>
        <v>高洁之拳是一件80级蓝色可升级的装备。</v>
      </c>
      <c r="AM182" t="str">
        <f>IF(D182=0,5,D182) &amp; F182&amp;"00"&amp;VLOOKUP(G182,定义数据!$F$20:$G$27,2,FALSE)&amp;".png"</f>
        <v>20006.png</v>
      </c>
      <c r="AN182" s="79">
        <f>IF(OR(G182&lt;15),0,D_装备升级表!A182)</f>
        <v>80210</v>
      </c>
      <c r="AP182">
        <f ca="1">VLOOKUP(G182&amp;I182&amp;F182,CHOOSE({1,2},装备属性计算表!$BK$32:$BK$187,装备属性计算表!$BJ$32:$BJ$187),2,FALSE)</f>
        <v>545.42447684946114</v>
      </c>
      <c r="AQ182">
        <f ca="1">AP182*'[1]0、经济设定'!$C$18</f>
        <v>27271.223842473057</v>
      </c>
      <c r="AR182">
        <f ca="1">IFERROR(AQ182*'[1]0、经济设定'!$E$19*AU182*AS182,0)</f>
        <v>959.99999999999989</v>
      </c>
      <c r="AS182">
        <v>10</v>
      </c>
      <c r="AT182">
        <f t="shared" si="56"/>
        <v>96</v>
      </c>
      <c r="AU182">
        <f ca="1">IF(F182=0,IFERROR(AT182/AP182/'[1]0、经济设定'!$E$18,0),AU181)</f>
        <v>1.7600970267144116</v>
      </c>
      <c r="AV182">
        <f t="shared" ca="1" si="55"/>
        <v>21816.979073978444</v>
      </c>
    </row>
    <row r="183" spans="1:48" x14ac:dyDescent="0.15">
      <c r="A183" s="14" t="str">
        <f t="shared" si="44"/>
        <v>30124</v>
      </c>
      <c r="B183" s="14" t="s">
        <v>352</v>
      </c>
      <c r="C183" s="14">
        <f>VLOOKUP($I183&amp;$F183&amp;$G183,装备属性表,装备属性计算表!AK$29,FALSE)</f>
        <v>24</v>
      </c>
      <c r="D183" s="14">
        <f t="shared" si="48"/>
        <v>3</v>
      </c>
      <c r="E183" s="14" t="str">
        <f>VLOOKUP(F183,CHOOSE({1,2},定义数据!$F$2:$F$7,武器部位),2)</f>
        <v>武器</v>
      </c>
      <c r="F183" s="14">
        <v>0</v>
      </c>
      <c r="G183" s="14">
        <v>80</v>
      </c>
      <c r="H183" s="14">
        <f t="shared" si="45"/>
        <v>80</v>
      </c>
      <c r="I183" s="14">
        <v>1</v>
      </c>
      <c r="J183" s="14" t="str">
        <f t="shared" si="46"/>
        <v>8010</v>
      </c>
      <c r="K183" s="14" t="str">
        <f t="shared" si="57"/>
        <v>8010</v>
      </c>
      <c r="L183" s="76"/>
      <c r="M183" s="14">
        <f>IF(OR(G183&lt;15,G183=80),0,D_装备升级表!A183)</f>
        <v>0</v>
      </c>
      <c r="N183" s="78">
        <v>1</v>
      </c>
      <c r="O183" s="14">
        <f t="shared" si="50"/>
        <v>2400</v>
      </c>
      <c r="P183" s="14"/>
      <c r="Q183" s="14">
        <f>VLOOKUP($I183&amp;$F183&amp;$G183,装备属性表,装备属性计算表!AL$29,FALSE)</f>
        <v>3</v>
      </c>
      <c r="R183" s="14">
        <f ca="1">VLOOKUP(VLOOKUP($I183&amp;$F183&amp;$G183,装备属性表,装备属性计算表!AM$29,FALSE),定义数据!$B$13:$C$35,2,FALSE)</f>
        <v>2</v>
      </c>
      <c r="S183" s="14">
        <f ca="1">VLOOKUP($I183&amp;$F183&amp;$G183,装备属性表,装备属性计算表!AN$29,FALSE)</f>
        <v>447.97244919786107</v>
      </c>
      <c r="T183" s="14">
        <f ca="1">VLOOKUP(VLOOKUP($I183&amp;$F183&amp;$G183,装备属性表,装备属性计算表!AO$29,FALSE),定义数据!$B$13:$C$35,2,FALSE)</f>
        <v>8</v>
      </c>
      <c r="U183" s="14">
        <f ca="1">VLOOKUP($I183&amp;$F183&amp;$G183,装备属性表,装备属性计算表!AP$29,FALSE)</f>
        <v>277.77777777777777</v>
      </c>
      <c r="V183" s="14">
        <f ca="1">VLOOKUP(VLOOKUP($I183&amp;$F183&amp;$G183,装备属性表,装备属性计算表!AQ$29,FALSE),定义数据!$B$13:$C$35,2,FALSE)</f>
        <v>2</v>
      </c>
      <c r="W183" s="14">
        <f ca="1">VLOOKUP($I183&amp;$F183&amp;$G183,装备属性表,装备属性计算表!AR$29,FALSE)</f>
        <v>35.837795935828886</v>
      </c>
      <c r="X183" s="14">
        <f ca="1">VLOOKUP(VLOOKUP($I183&amp;$F183&amp;$G183,装备属性表,装备属性计算表!AS$29,FALSE),定义数据!$B$13:$C$35,2,FALSE)</f>
        <v>0</v>
      </c>
      <c r="Y183" s="14">
        <f>VLOOKUP($I183&amp;$F183&amp;$G183,装备属性表,装备属性计算表!AT$29,FALSE)</f>
        <v>0</v>
      </c>
      <c r="Z183" s="14">
        <f ca="1">VLOOKUP(VLOOKUP($I183&amp;$F183&amp;$G183,装备属性表,装备属性计算表!AU$29,FALSE),定义数据!$B$13:$C$35,2,FALSE)</f>
        <v>0</v>
      </c>
      <c r="AA183" s="14">
        <f>VLOOKUP($I183&amp;$F183&amp;$G183,装备属性表,装备属性计算表!AV$29,FALSE)</f>
        <v>0</v>
      </c>
      <c r="AB183" s="14">
        <f ca="1">VLOOKUP(VLOOKUP($I183&amp;$F183&amp;$G183,装备属性表,装备属性计算表!AW$29,FALSE),定义数据!$B$13:$C$35,2,FALSE)</f>
        <v>0</v>
      </c>
      <c r="AC183" s="14">
        <f>VLOOKUP($I183&amp;$F183&amp;$G183,装备属性表,装备属性计算表!AX$29,FALSE)</f>
        <v>0</v>
      </c>
      <c r="AD183" s="14">
        <f ca="1">VLOOKUP(VLOOKUP($I183&amp;$F183&amp;$G183,装备属性表,装备属性计算表!AY$29,FALSE),定义数据!$B$13:$C$35,2,FALSE)</f>
        <v>0</v>
      </c>
      <c r="AE183" s="14">
        <f>VLOOKUP($I183&amp;$F183&amp;$G183,装备属性表,装备属性计算表!AZ$29,FALSE)</f>
        <v>0</v>
      </c>
      <c r="AF183" s="14">
        <f ca="1">VLOOKUP(VLOOKUP($I183&amp;$F183&amp;$G183,装备属性表,装备属性计算表!BA$29,FALSE),定义数据!$B$13:$C$35,2,FALSE)</f>
        <v>0</v>
      </c>
      <c r="AG183" s="14">
        <f>VLOOKUP($I183&amp;$F183&amp;$G183,装备属性表,装备属性计算表!BB$29,FALSE)</f>
        <v>0</v>
      </c>
      <c r="AH183" s="14">
        <f ca="1">VLOOKUP(VLOOKUP($I183&amp;$F183&amp;$G183,装备属性表,装备属性计算表!BC$29,FALSE),定义数据!$B$13:$C$35,2,FALSE)</f>
        <v>0</v>
      </c>
      <c r="AI183" s="14">
        <f>VLOOKUP($I183&amp;$F183&amp;$G183,装备属性表,装备属性计算表!BD$29,FALSE)</f>
        <v>0</v>
      </c>
      <c r="AJ183" s="14">
        <f ca="1">VLOOKUP(VLOOKUP($I183&amp;$F183&amp;$G183,装备属性表,装备属性计算表!BE$29,FALSE),定义数据!$B$13:$C$35,2,FALSE)</f>
        <v>0</v>
      </c>
      <c r="AK183" s="14">
        <f>VLOOKUP($I183&amp;$F183&amp;$G183,装备属性表,装备属性计算表!BF$29,FALSE)</f>
        <v>0</v>
      </c>
      <c r="AL183" t="str">
        <f t="shared" si="53"/>
        <v>高洁之枪是一件80级蓝色可升级的装备。</v>
      </c>
      <c r="AM183" t="str">
        <f>IF(D183=0,5,D183) &amp; F183&amp;"00"&amp;VLOOKUP(G183,定义数据!$F$20:$G$27,2,FALSE)&amp;".png"</f>
        <v>30006.png</v>
      </c>
      <c r="AN183" s="79">
        <f>IF(OR(G183&lt;15),0,D_装备升级表!A183)</f>
        <v>80310</v>
      </c>
      <c r="AP183">
        <f ca="1">VLOOKUP(G183&amp;I183&amp;F183,CHOOSE({1,2},装备属性计算表!$BK$32:$BK$187,装备属性计算表!$BJ$32:$BJ$187),2,FALSE)</f>
        <v>545.42447684946114</v>
      </c>
      <c r="AQ183">
        <f ca="1">AP183*'[1]0、经济设定'!$C$18</f>
        <v>27271.223842473057</v>
      </c>
      <c r="AR183">
        <f ca="1">IFERROR(AQ183*'[1]0、经济设定'!$E$19*AU183*AS183,0)</f>
        <v>959.99999999999989</v>
      </c>
      <c r="AS183">
        <v>10</v>
      </c>
      <c r="AT183">
        <f t="shared" si="56"/>
        <v>96</v>
      </c>
      <c r="AU183">
        <f ca="1">IF(F183=0,IFERROR(AT183/AP183/'[1]0、经济设定'!$E$18,0),AU182)</f>
        <v>1.7600970267144116</v>
      </c>
      <c r="AV183">
        <f t="shared" ca="1" si="55"/>
        <v>21816.979073978444</v>
      </c>
    </row>
    <row r="184" spans="1:48" x14ac:dyDescent="0.15">
      <c r="A184" s="14" t="str">
        <f t="shared" si="44"/>
        <v>51124</v>
      </c>
      <c r="B184" s="14" t="s">
        <v>353</v>
      </c>
      <c r="C184" s="14">
        <f>VLOOKUP($I184&amp;$F184&amp;$G184,装备属性表,装备属性计算表!AK$29,FALSE)</f>
        <v>24</v>
      </c>
      <c r="D184" s="14">
        <f t="shared" si="48"/>
        <v>0</v>
      </c>
      <c r="E184" s="14" t="str">
        <f>VLOOKUP(F184,CHOOSE({1,2},定义数据!$F$2:$F$7,武器部位),2)</f>
        <v>衣服</v>
      </c>
      <c r="F184" s="14">
        <v>1</v>
      </c>
      <c r="G184" s="14">
        <v>80</v>
      </c>
      <c r="H184" s="14">
        <f t="shared" si="45"/>
        <v>80</v>
      </c>
      <c r="I184" s="14">
        <v>1</v>
      </c>
      <c r="J184" s="14" t="str">
        <f t="shared" si="46"/>
        <v>8011</v>
      </c>
      <c r="K184" s="14" t="str">
        <f t="shared" si="57"/>
        <v>8011</v>
      </c>
      <c r="L184" s="76"/>
      <c r="M184" s="14">
        <f>IF(OR(G184&lt;15,G184=80),0,D_装备升级表!A184)</f>
        <v>0</v>
      </c>
      <c r="N184" s="78">
        <v>1</v>
      </c>
      <c r="O184" s="14">
        <f t="shared" si="50"/>
        <v>2400</v>
      </c>
      <c r="P184" s="14"/>
      <c r="Q184" s="14">
        <f>VLOOKUP($I184&amp;$F184&amp;$G184,装备属性表,装备属性计算表!AL$29,FALSE)</f>
        <v>3</v>
      </c>
      <c r="R184" s="14">
        <f ca="1">VLOOKUP(VLOOKUP($I184&amp;$F184&amp;$G184,装备属性表,装备属性计算表!AM$29,FALSE),定义数据!$B$13:$C$35,2,FALSE)</f>
        <v>1</v>
      </c>
      <c r="S184" s="14">
        <f ca="1">VLOOKUP($I184&amp;$F184&amp;$G184,装备属性表,装备属性计算表!AN$29,FALSE)</f>
        <v>7055.6687675712992</v>
      </c>
      <c r="T184" s="14">
        <f ca="1">VLOOKUP(VLOOKUP($I184&amp;$F184&amp;$G184,装备属性表,装备属性计算表!AO$29,FALSE),定义数据!$B$13:$C$35,2,FALSE)</f>
        <v>3</v>
      </c>
      <c r="U184" s="14">
        <f ca="1">VLOOKUP($I184&amp;$F184&amp;$G184,装备属性表,装备属性计算表!AP$29,FALSE)</f>
        <v>154.86234176776432</v>
      </c>
      <c r="V184" s="14">
        <f ca="1">VLOOKUP(VLOOKUP($I184&amp;$F184&amp;$G184,装备属性表,装备属性计算表!AQ$29,FALSE),定义数据!$B$13:$C$35,2,FALSE)</f>
        <v>1</v>
      </c>
      <c r="W184" s="14">
        <f ca="1">VLOOKUP($I184&amp;$F184&amp;$G184,装备属性表,装备属性计算表!AR$29,FALSE)</f>
        <v>391.98159819840555</v>
      </c>
      <c r="X184" s="14">
        <f ca="1">VLOOKUP(VLOOKUP($I184&amp;$F184&amp;$G184,装备属性表,装备属性计算表!AS$29,FALSE),定义数据!$B$13:$C$35,2,FALSE)</f>
        <v>0</v>
      </c>
      <c r="Y184" s="14">
        <f>VLOOKUP($I184&amp;$F184&amp;$G184,装备属性表,装备属性计算表!AT$29,FALSE)</f>
        <v>0</v>
      </c>
      <c r="Z184" s="14">
        <f ca="1">VLOOKUP(VLOOKUP($I184&amp;$F184&amp;$G184,装备属性表,装备属性计算表!AU$29,FALSE),定义数据!$B$13:$C$35,2,FALSE)</f>
        <v>0</v>
      </c>
      <c r="AA184" s="14">
        <f>VLOOKUP($I184&amp;$F184&amp;$G184,装备属性表,装备属性计算表!AV$29,FALSE)</f>
        <v>0</v>
      </c>
      <c r="AB184" s="14">
        <f ca="1">VLOOKUP(VLOOKUP($I184&amp;$F184&amp;$G184,装备属性表,装备属性计算表!AW$29,FALSE),定义数据!$B$13:$C$35,2,FALSE)</f>
        <v>0</v>
      </c>
      <c r="AC184" s="14">
        <f>VLOOKUP($I184&amp;$F184&amp;$G184,装备属性表,装备属性计算表!AX$29,FALSE)</f>
        <v>0</v>
      </c>
      <c r="AD184" s="14">
        <f ca="1">VLOOKUP(VLOOKUP($I184&amp;$F184&amp;$G184,装备属性表,装备属性计算表!AY$29,FALSE),定义数据!$B$13:$C$35,2,FALSE)</f>
        <v>0</v>
      </c>
      <c r="AE184" s="14">
        <f>VLOOKUP($I184&amp;$F184&amp;$G184,装备属性表,装备属性计算表!AZ$29,FALSE)</f>
        <v>0</v>
      </c>
      <c r="AF184" s="14">
        <f ca="1">VLOOKUP(VLOOKUP($I184&amp;$F184&amp;$G184,装备属性表,装备属性计算表!BA$29,FALSE),定义数据!$B$13:$C$35,2,FALSE)</f>
        <v>0</v>
      </c>
      <c r="AG184" s="14">
        <f>VLOOKUP($I184&amp;$F184&amp;$G184,装备属性表,装备属性计算表!BB$29,FALSE)</f>
        <v>0</v>
      </c>
      <c r="AH184" s="14">
        <f ca="1">VLOOKUP(VLOOKUP($I184&amp;$F184&amp;$G184,装备属性表,装备属性计算表!BC$29,FALSE),定义数据!$B$13:$C$35,2,FALSE)</f>
        <v>0</v>
      </c>
      <c r="AI184" s="14">
        <f>VLOOKUP($I184&amp;$F184&amp;$G184,装备属性表,装备属性计算表!BD$29,FALSE)</f>
        <v>0</v>
      </c>
      <c r="AJ184" s="14">
        <f ca="1">VLOOKUP(VLOOKUP($I184&amp;$F184&amp;$G184,装备属性表,装备属性计算表!BE$29,FALSE),定义数据!$B$13:$C$35,2,FALSE)</f>
        <v>0</v>
      </c>
      <c r="AK184" s="14">
        <f>VLOOKUP($I184&amp;$F184&amp;$G184,装备属性表,装备属性计算表!BF$29,FALSE)</f>
        <v>0</v>
      </c>
      <c r="AL184" t="str">
        <f t="shared" si="53"/>
        <v>高洁战衣是一件80级蓝色可升级的装备。</v>
      </c>
      <c r="AM184" t="str">
        <f>IF(D184=0,5,D184) &amp; F184&amp;"00"&amp;VLOOKUP(G184,定义数据!$F$20:$G$27,2,FALSE)&amp;".png"</f>
        <v>51006.png</v>
      </c>
      <c r="AN184" s="79">
        <f>IF(OR(G184&lt;15),0,D_装备升级表!A184)</f>
        <v>80011</v>
      </c>
      <c r="AP184">
        <f ca="1">VLOOKUP(G184&amp;I184&amp;F184,CHOOSE({1,2},装备属性计算表!$BK$32:$BK$187,装备属性计算表!$BJ$32:$BJ$187),2,FALSE)</f>
        <v>470.52771821253282</v>
      </c>
      <c r="AQ184">
        <f ca="1">AP184*'[1]0、经济设定'!$C$18</f>
        <v>23526.385910626639</v>
      </c>
      <c r="AR184">
        <f ca="1">IFERROR(AQ184*'[1]0、经济设定'!$E$19*AU184*AS184,0)</f>
        <v>828.17443781259544</v>
      </c>
      <c r="AS184">
        <v>10</v>
      </c>
      <c r="AT184">
        <f t="shared" si="56"/>
        <v>96</v>
      </c>
      <c r="AU184">
        <f ca="1">IF(F184=0,IFERROR(AT184/AP184/'[1]0、经济设定'!$E$18,0),AU183)</f>
        <v>1.7600970267144116</v>
      </c>
      <c r="AV184">
        <f t="shared" ca="1" si="55"/>
        <v>18821.108728501313</v>
      </c>
    </row>
    <row r="185" spans="1:48" x14ac:dyDescent="0.15">
      <c r="A185" s="14" t="str">
        <f t="shared" si="44"/>
        <v>52124</v>
      </c>
      <c r="B185" s="14" t="s">
        <v>354</v>
      </c>
      <c r="C185" s="14">
        <f>VLOOKUP($I185&amp;$F185&amp;$G185,装备属性表,装备属性计算表!AK$29,FALSE)</f>
        <v>24</v>
      </c>
      <c r="D185" s="14">
        <f t="shared" si="48"/>
        <v>0</v>
      </c>
      <c r="E185" s="14" t="str">
        <f>VLOOKUP(F185,CHOOSE({1,2},定义数据!$F$2:$F$7,武器部位),2)</f>
        <v>裤子</v>
      </c>
      <c r="F185" s="14">
        <v>2</v>
      </c>
      <c r="G185" s="14">
        <v>80</v>
      </c>
      <c r="H185" s="14">
        <f t="shared" si="45"/>
        <v>80</v>
      </c>
      <c r="I185" s="14">
        <v>1</v>
      </c>
      <c r="J185" s="14" t="str">
        <f t="shared" si="46"/>
        <v>8012</v>
      </c>
      <c r="K185" s="14" t="str">
        <f t="shared" si="57"/>
        <v>8012</v>
      </c>
      <c r="L185" s="76"/>
      <c r="M185" s="14">
        <f>IF(OR(G185&lt;15,G185=80),0,D_装备升级表!A185)</f>
        <v>0</v>
      </c>
      <c r="N185" s="78">
        <v>1</v>
      </c>
      <c r="O185" s="14">
        <f t="shared" si="50"/>
        <v>2400</v>
      </c>
      <c r="P185" s="14"/>
      <c r="Q185" s="14">
        <f>VLOOKUP($I185&amp;$F185&amp;$G185,装备属性表,装备属性计算表!AL$29,FALSE)</f>
        <v>3</v>
      </c>
      <c r="R185" s="14">
        <f ca="1">VLOOKUP(VLOOKUP($I185&amp;$F185&amp;$G185,装备属性表,装备属性计算表!AM$29,FALSE),定义数据!$B$13:$C$35,2,FALSE)</f>
        <v>3</v>
      </c>
      <c r="S185" s="14">
        <f ca="1">VLOOKUP($I185&amp;$F185&amp;$G185,装备属性表,装备属性计算表!AN$29,FALSE)</f>
        <v>103.24156117850956</v>
      </c>
      <c r="T185" s="14">
        <f ca="1">VLOOKUP(VLOOKUP($I185&amp;$F185&amp;$G185,装备属性表,装备属性计算表!AO$29,FALSE),定义数据!$B$13:$C$35,2,FALSE)</f>
        <v>7</v>
      </c>
      <c r="U185" s="14">
        <f ca="1">VLOOKUP($I185&amp;$F185&amp;$G185,装备属性表,装备属性计算表!AP$29,FALSE)</f>
        <v>156.25</v>
      </c>
      <c r="V185" s="14">
        <f ca="1">VLOOKUP(VLOOKUP($I185&amp;$F185&amp;$G185,装备属性表,装备属性计算表!AQ$29,FALSE),定义数据!$B$13:$C$35,2,FALSE)</f>
        <v>1</v>
      </c>
      <c r="W185" s="14">
        <f ca="1">VLOOKUP($I185&amp;$F185&amp;$G185,装备属性表,装备属性计算表!AR$29,FALSE)</f>
        <v>195.99079909920277</v>
      </c>
      <c r="X185" s="14">
        <f ca="1">VLOOKUP(VLOOKUP($I185&amp;$F185&amp;$G185,装备属性表,装备属性计算表!AS$29,FALSE),定义数据!$B$13:$C$35,2,FALSE)</f>
        <v>0</v>
      </c>
      <c r="Y185" s="14">
        <f>VLOOKUP($I185&amp;$F185&amp;$G185,装备属性表,装备属性计算表!AT$29,FALSE)</f>
        <v>0</v>
      </c>
      <c r="Z185" s="14">
        <f ca="1">VLOOKUP(VLOOKUP($I185&amp;$F185&amp;$G185,装备属性表,装备属性计算表!AU$29,FALSE),定义数据!$B$13:$C$35,2,FALSE)</f>
        <v>0</v>
      </c>
      <c r="AA185" s="14">
        <f>VLOOKUP($I185&amp;$F185&amp;$G185,装备属性表,装备属性计算表!AV$29,FALSE)</f>
        <v>0</v>
      </c>
      <c r="AB185" s="14">
        <f ca="1">VLOOKUP(VLOOKUP($I185&amp;$F185&amp;$G185,装备属性表,装备属性计算表!AW$29,FALSE),定义数据!$B$13:$C$35,2,FALSE)</f>
        <v>0</v>
      </c>
      <c r="AC185" s="14">
        <f>VLOOKUP($I185&amp;$F185&amp;$G185,装备属性表,装备属性计算表!AX$29,FALSE)</f>
        <v>0</v>
      </c>
      <c r="AD185" s="14">
        <f ca="1">VLOOKUP(VLOOKUP($I185&amp;$F185&amp;$G185,装备属性表,装备属性计算表!AY$29,FALSE),定义数据!$B$13:$C$35,2,FALSE)</f>
        <v>0</v>
      </c>
      <c r="AE185" s="14">
        <f>VLOOKUP($I185&amp;$F185&amp;$G185,装备属性表,装备属性计算表!AZ$29,FALSE)</f>
        <v>0</v>
      </c>
      <c r="AF185" s="14">
        <f ca="1">VLOOKUP(VLOOKUP($I185&amp;$F185&amp;$G185,装备属性表,装备属性计算表!BA$29,FALSE),定义数据!$B$13:$C$35,2,FALSE)</f>
        <v>0</v>
      </c>
      <c r="AG185" s="14">
        <f>VLOOKUP($I185&amp;$F185&amp;$G185,装备属性表,装备属性计算表!BB$29,FALSE)</f>
        <v>0</v>
      </c>
      <c r="AH185" s="14">
        <f ca="1">VLOOKUP(VLOOKUP($I185&amp;$F185&amp;$G185,装备属性表,装备属性计算表!BC$29,FALSE),定义数据!$B$13:$C$35,2,FALSE)</f>
        <v>0</v>
      </c>
      <c r="AI185" s="14">
        <f>VLOOKUP($I185&amp;$F185&amp;$G185,装备属性表,装备属性计算表!BD$29,FALSE)</f>
        <v>0</v>
      </c>
      <c r="AJ185" s="14">
        <f ca="1">VLOOKUP(VLOOKUP($I185&amp;$F185&amp;$G185,装备属性表,装备属性计算表!BE$29,FALSE),定义数据!$B$13:$C$35,2,FALSE)</f>
        <v>0</v>
      </c>
      <c r="AK185" s="14">
        <f>VLOOKUP($I185&amp;$F185&amp;$G185,装备属性表,装备属性计算表!BF$29,FALSE)</f>
        <v>0</v>
      </c>
      <c r="AL185" t="str">
        <f t="shared" si="53"/>
        <v>高洁长裤是一件80级蓝色可升级的装备。</v>
      </c>
      <c r="AM185" t="str">
        <f>IF(D185=0,5,D185) &amp; F185&amp;"00"&amp;VLOOKUP(G185,定义数据!$F$20:$G$27,2,FALSE)&amp;".png"</f>
        <v>52006.png</v>
      </c>
      <c r="AN185" s="79">
        <f>IF(OR(G185&lt;15),0,D_装备升级表!A185)</f>
        <v>80012</v>
      </c>
      <c r="AP185">
        <f ca="1">VLOOKUP(G185&amp;I185&amp;F185,CHOOSE({1,2},装备属性计算表!$BK$32:$BK$187,装备属性计算表!$BJ$32:$BJ$187),2,FALSE)</f>
        <v>173.36209152491557</v>
      </c>
      <c r="AQ185">
        <f ca="1">AP185*'[1]0、经济设定'!$C$18</f>
        <v>8668.1045762457779</v>
      </c>
      <c r="AR185">
        <f ca="1">IFERROR(AQ185*'[1]0、经济设定'!$E$19*AU185*AS185,0)</f>
        <v>305.13410183799556</v>
      </c>
      <c r="AS185">
        <v>10</v>
      </c>
      <c r="AT185">
        <f t="shared" si="56"/>
        <v>96</v>
      </c>
      <c r="AU185">
        <f ca="1">IF(F185=0,IFERROR(AT185/AP185/'[1]0、经济设定'!$E$18,0),AU184)</f>
        <v>1.7600970267144116</v>
      </c>
      <c r="AV185">
        <f t="shared" ca="1" si="55"/>
        <v>6934.4836609966223</v>
      </c>
    </row>
    <row r="186" spans="1:48" x14ac:dyDescent="0.15">
      <c r="A186" s="14" t="str">
        <f t="shared" si="44"/>
        <v>55124</v>
      </c>
      <c r="B186" s="14" t="s">
        <v>355</v>
      </c>
      <c r="C186" s="14">
        <f>VLOOKUP($I186&amp;$F186&amp;$G186,装备属性表,装备属性计算表!AK$29,FALSE)</f>
        <v>24</v>
      </c>
      <c r="D186" s="14">
        <f t="shared" si="48"/>
        <v>0</v>
      </c>
      <c r="E186" s="14" t="str">
        <f>VLOOKUP(F186,CHOOSE({1,2},定义数据!$F$2:$F$7,武器部位),2)</f>
        <v>鞋子</v>
      </c>
      <c r="F186" s="14">
        <v>5</v>
      </c>
      <c r="G186" s="14">
        <v>80</v>
      </c>
      <c r="H186" s="14">
        <f t="shared" si="45"/>
        <v>80</v>
      </c>
      <c r="I186" s="14">
        <v>1</v>
      </c>
      <c r="J186" s="14" t="str">
        <f t="shared" si="46"/>
        <v>8015</v>
      </c>
      <c r="K186" s="14" t="str">
        <f t="shared" si="57"/>
        <v>8015</v>
      </c>
      <c r="L186" s="76"/>
      <c r="M186" s="14">
        <f>IF(OR(G186&lt;15,G186=80),0,D_装备升级表!A186)</f>
        <v>0</v>
      </c>
      <c r="N186" s="78">
        <v>1</v>
      </c>
      <c r="O186" s="14">
        <f t="shared" si="50"/>
        <v>2400</v>
      </c>
      <c r="P186" s="14"/>
      <c r="Q186" s="14">
        <f>VLOOKUP($I186&amp;$F186&amp;$G186,装备属性表,装备属性计算表!AL$29,FALSE)</f>
        <v>3</v>
      </c>
      <c r="R186" s="14">
        <f ca="1">VLOOKUP(VLOOKUP($I186&amp;$F186&amp;$G186,装备属性表,装备属性计算表!AM$29,FALSE),定义数据!$B$13:$C$35,2,FALSE)</f>
        <v>1</v>
      </c>
      <c r="S186" s="14">
        <f ca="1">VLOOKUP($I186&amp;$F186&amp;$G186,装备属性表,装备属性计算表!AN$29,FALSE)</f>
        <v>2351.8895891904335</v>
      </c>
      <c r="T186" s="14">
        <f ca="1">VLOOKUP(VLOOKUP($I186&amp;$F186&amp;$G186,装备属性表,装备属性计算表!AO$29,FALSE),定义数据!$B$13:$C$35,2,FALSE)</f>
        <v>7</v>
      </c>
      <c r="U186" s="14">
        <f ca="1">VLOOKUP($I186&amp;$F186&amp;$G186,装备属性表,装备属性计算表!AP$29,FALSE)</f>
        <v>312.5</v>
      </c>
      <c r="V186" s="14">
        <f ca="1">VLOOKUP(VLOOKUP($I186&amp;$F186&amp;$G186,装备属性表,装备属性计算表!AQ$29,FALSE),定义数据!$B$13:$C$35,2,FALSE)</f>
        <v>1</v>
      </c>
      <c r="W186" s="14">
        <f ca="1">VLOOKUP($I186&amp;$F186&amp;$G186,装备属性表,装备属性计算表!AR$29,FALSE)</f>
        <v>195.99079909920277</v>
      </c>
      <c r="X186" s="14">
        <f ca="1">VLOOKUP(VLOOKUP($I186&amp;$F186&amp;$G186,装备属性表,装备属性计算表!AS$29,FALSE),定义数据!$B$13:$C$35,2,FALSE)</f>
        <v>0</v>
      </c>
      <c r="Y186" s="14">
        <f>VLOOKUP($I186&amp;$F186&amp;$G186,装备属性表,装备属性计算表!AT$29,FALSE)</f>
        <v>0</v>
      </c>
      <c r="Z186" s="14">
        <f ca="1">VLOOKUP(VLOOKUP($I186&amp;$F186&amp;$G186,装备属性表,装备属性计算表!AU$29,FALSE),定义数据!$B$13:$C$35,2,FALSE)</f>
        <v>0</v>
      </c>
      <c r="AA186" s="14">
        <f>VLOOKUP($I186&amp;$F186&amp;$G186,装备属性表,装备属性计算表!AV$29,FALSE)</f>
        <v>0</v>
      </c>
      <c r="AB186" s="14">
        <f ca="1">VLOOKUP(VLOOKUP($I186&amp;$F186&amp;$G186,装备属性表,装备属性计算表!AW$29,FALSE),定义数据!$B$13:$C$35,2,FALSE)</f>
        <v>0</v>
      </c>
      <c r="AC186" s="14">
        <f>VLOOKUP($I186&amp;$F186&amp;$G186,装备属性表,装备属性计算表!AX$29,FALSE)</f>
        <v>0</v>
      </c>
      <c r="AD186" s="14">
        <f ca="1">VLOOKUP(VLOOKUP($I186&amp;$F186&amp;$G186,装备属性表,装备属性计算表!AY$29,FALSE),定义数据!$B$13:$C$35,2,FALSE)</f>
        <v>0</v>
      </c>
      <c r="AE186" s="14">
        <f>VLOOKUP($I186&amp;$F186&amp;$G186,装备属性表,装备属性计算表!AZ$29,FALSE)</f>
        <v>0</v>
      </c>
      <c r="AF186" s="14">
        <f ca="1">VLOOKUP(VLOOKUP($I186&amp;$F186&amp;$G186,装备属性表,装备属性计算表!BA$29,FALSE),定义数据!$B$13:$C$35,2,FALSE)</f>
        <v>0</v>
      </c>
      <c r="AG186" s="14">
        <f>VLOOKUP($I186&amp;$F186&amp;$G186,装备属性表,装备属性计算表!BB$29,FALSE)</f>
        <v>0</v>
      </c>
      <c r="AH186" s="14">
        <f ca="1">VLOOKUP(VLOOKUP($I186&amp;$F186&amp;$G186,装备属性表,装备属性计算表!BC$29,FALSE),定义数据!$B$13:$C$35,2,FALSE)</f>
        <v>0</v>
      </c>
      <c r="AI186" s="14">
        <f>VLOOKUP($I186&amp;$F186&amp;$G186,装备属性表,装备属性计算表!BD$29,FALSE)</f>
        <v>0</v>
      </c>
      <c r="AJ186" s="14">
        <f ca="1">VLOOKUP(VLOOKUP($I186&amp;$F186&amp;$G186,装备属性表,装备属性计算表!BE$29,FALSE),定义数据!$B$13:$C$35,2,FALSE)</f>
        <v>0</v>
      </c>
      <c r="AK186" s="14">
        <f>VLOOKUP($I186&amp;$F186&amp;$G186,装备属性表,装备属性计算表!BF$29,FALSE)</f>
        <v>0</v>
      </c>
      <c r="AL186" t="str">
        <f t="shared" si="53"/>
        <v>高洁长靴是一件80级蓝色可升级的装备。</v>
      </c>
      <c r="AM186" t="str">
        <f>IF(D186=0,5,D186) &amp; F186&amp;"00"&amp;VLOOKUP(G186,定义数据!$F$20:$G$27,2,FALSE)&amp;".png"</f>
        <v>55006.png</v>
      </c>
      <c r="AN186" s="79">
        <f>IF(OR(G186&lt;15),0,D_装备升级表!A186)</f>
        <v>80015</v>
      </c>
      <c r="AP186">
        <f ca="1">VLOOKUP(G186&amp;I186&amp;F186,CHOOSE({1,2},装备属性计算表!$BK$32:$BK$187,装备属性计算表!$BJ$32:$BJ$187),2,FALSE)</f>
        <v>220.85271553158546</v>
      </c>
      <c r="AQ186">
        <f ca="1">AP186*'[1]0、经济设定'!$C$18</f>
        <v>11042.635776579273</v>
      </c>
      <c r="AR186">
        <f ca="1">IFERROR(AQ186*'[1]0、经济设定'!$E$19*AU186*AS186,0)</f>
        <v>388.7222079489473</v>
      </c>
      <c r="AS186">
        <v>10</v>
      </c>
      <c r="AT186">
        <f t="shared" si="56"/>
        <v>96</v>
      </c>
      <c r="AU186">
        <f ca="1">IF(F186=0,IFERROR(AT186/AP186/'[1]0、经济设定'!$E$18,0),AU185)</f>
        <v>1.7600970267144116</v>
      </c>
      <c r="AV186">
        <f t="shared" ca="1" si="55"/>
        <v>8834.1086212634182</v>
      </c>
    </row>
    <row r="187" spans="1:48" x14ac:dyDescent="0.15">
      <c r="A187" s="14" t="str">
        <f t="shared" si="44"/>
        <v>54124</v>
      </c>
      <c r="B187" s="14" t="s">
        <v>356</v>
      </c>
      <c r="C187" s="14">
        <f>VLOOKUP($I187&amp;$F187&amp;$G187,装备属性表,装备属性计算表!AK$29,FALSE)</f>
        <v>24</v>
      </c>
      <c r="D187" s="14">
        <f t="shared" si="48"/>
        <v>0</v>
      </c>
      <c r="E187" s="14" t="str">
        <f>VLOOKUP(F187,CHOOSE({1,2},定义数据!$F$2:$F$7,武器部位),2)</f>
        <v>腰带</v>
      </c>
      <c r="F187" s="14">
        <v>4</v>
      </c>
      <c r="G187" s="14">
        <v>80</v>
      </c>
      <c r="H187" s="14">
        <f t="shared" si="45"/>
        <v>80</v>
      </c>
      <c r="I187" s="14">
        <v>1</v>
      </c>
      <c r="J187" s="14" t="str">
        <f t="shared" si="46"/>
        <v>8014</v>
      </c>
      <c r="K187" s="14" t="str">
        <f t="shared" si="57"/>
        <v>8014</v>
      </c>
      <c r="L187" s="76"/>
      <c r="M187" s="14">
        <f>IF(OR(G187&lt;15,G187=80),0,D_装备升级表!A187)</f>
        <v>0</v>
      </c>
      <c r="N187" s="78">
        <v>1</v>
      </c>
      <c r="O187" s="14">
        <f t="shared" si="50"/>
        <v>2400</v>
      </c>
      <c r="P187" s="14"/>
      <c r="Q187" s="14">
        <f>VLOOKUP($I187&amp;$F187&amp;$G187,装备属性表,装备属性计算表!AL$29,FALSE)</f>
        <v>3</v>
      </c>
      <c r="R187" s="14">
        <f ca="1">VLOOKUP(VLOOKUP($I187&amp;$F187&amp;$G187,装备属性表,装备属性计算表!AM$29,FALSE),定义数据!$B$13:$C$35,2,FALSE)</f>
        <v>1</v>
      </c>
      <c r="S187" s="14">
        <f ca="1">VLOOKUP($I187&amp;$F187&amp;$G187,装备属性表,装备属性计算表!AN$29,FALSE)</f>
        <v>2351.8895891904335</v>
      </c>
      <c r="T187" s="14">
        <f ca="1">VLOOKUP(VLOOKUP($I187&amp;$F187&amp;$G187,装备属性表,装备属性计算表!AO$29,FALSE),定义数据!$B$13:$C$35,2,FALSE)</f>
        <v>9</v>
      </c>
      <c r="U187" s="14">
        <f ca="1">VLOOKUP($I187&amp;$F187&amp;$G187,装备属性表,装备属性计算表!AP$29,FALSE)</f>
        <v>277.77777777777777</v>
      </c>
      <c r="V187" s="14">
        <f ca="1">VLOOKUP(VLOOKUP($I187&amp;$F187&amp;$G187,装备属性表,装备属性计算表!AQ$29,FALSE),定义数据!$B$13:$C$35,2,FALSE)</f>
        <v>1</v>
      </c>
      <c r="W187" s="14">
        <f ca="1">VLOOKUP($I187&amp;$F187&amp;$G187,装备属性表,装备属性计算表!AR$29,FALSE)</f>
        <v>391.98159819840555</v>
      </c>
      <c r="X187" s="14">
        <f ca="1">VLOOKUP(VLOOKUP($I187&amp;$F187&amp;$G187,装备属性表,装备属性计算表!AS$29,FALSE),定义数据!$B$13:$C$35,2,FALSE)</f>
        <v>0</v>
      </c>
      <c r="Y187" s="14">
        <f>VLOOKUP($I187&amp;$F187&amp;$G187,装备属性表,装备属性计算表!AT$29,FALSE)</f>
        <v>0</v>
      </c>
      <c r="Z187" s="14">
        <f ca="1">VLOOKUP(VLOOKUP($I187&amp;$F187&amp;$G187,装备属性表,装备属性计算表!AU$29,FALSE),定义数据!$B$13:$C$35,2,FALSE)</f>
        <v>0</v>
      </c>
      <c r="AA187" s="14">
        <f>VLOOKUP($I187&amp;$F187&amp;$G187,装备属性表,装备属性计算表!AV$29,FALSE)</f>
        <v>0</v>
      </c>
      <c r="AB187" s="14">
        <f ca="1">VLOOKUP(VLOOKUP($I187&amp;$F187&amp;$G187,装备属性表,装备属性计算表!AW$29,FALSE),定义数据!$B$13:$C$35,2,FALSE)</f>
        <v>0</v>
      </c>
      <c r="AC187" s="14">
        <f>VLOOKUP($I187&amp;$F187&amp;$G187,装备属性表,装备属性计算表!AX$29,FALSE)</f>
        <v>0</v>
      </c>
      <c r="AD187" s="14">
        <f ca="1">VLOOKUP(VLOOKUP($I187&amp;$F187&amp;$G187,装备属性表,装备属性计算表!AY$29,FALSE),定义数据!$B$13:$C$35,2,FALSE)</f>
        <v>0</v>
      </c>
      <c r="AE187" s="14">
        <f>VLOOKUP($I187&amp;$F187&amp;$G187,装备属性表,装备属性计算表!AZ$29,FALSE)</f>
        <v>0</v>
      </c>
      <c r="AF187" s="14">
        <f ca="1">VLOOKUP(VLOOKUP($I187&amp;$F187&amp;$G187,装备属性表,装备属性计算表!BA$29,FALSE),定义数据!$B$13:$C$35,2,FALSE)</f>
        <v>0</v>
      </c>
      <c r="AG187" s="14">
        <f>VLOOKUP($I187&amp;$F187&amp;$G187,装备属性表,装备属性计算表!BB$29,FALSE)</f>
        <v>0</v>
      </c>
      <c r="AH187" s="14">
        <f ca="1">VLOOKUP(VLOOKUP($I187&amp;$F187&amp;$G187,装备属性表,装备属性计算表!BC$29,FALSE),定义数据!$B$13:$C$35,2,FALSE)</f>
        <v>0</v>
      </c>
      <c r="AI187" s="14">
        <f>VLOOKUP($I187&amp;$F187&amp;$G187,装备属性表,装备属性计算表!BD$29,FALSE)</f>
        <v>0</v>
      </c>
      <c r="AJ187" s="14">
        <f ca="1">VLOOKUP(VLOOKUP($I187&amp;$F187&amp;$G187,装备属性表,装备属性计算表!BE$29,FALSE),定义数据!$B$13:$C$35,2,FALSE)</f>
        <v>0</v>
      </c>
      <c r="AK187" s="14">
        <f>VLOOKUP($I187&amp;$F187&amp;$G187,装备属性表,装备属性计算表!BF$29,FALSE)</f>
        <v>0</v>
      </c>
      <c r="AL187" t="str">
        <f t="shared" si="53"/>
        <v>高洁腰带是一件80级蓝色可升级的装备。</v>
      </c>
      <c r="AM187" t="str">
        <f>IF(D187=0,5,D187) &amp; F187&amp;"00"&amp;VLOOKUP(G187,定义数据!$F$20:$G$27,2,FALSE)&amp;".png"</f>
        <v>54006.png</v>
      </c>
      <c r="AN187" s="79">
        <f>IF(OR(G187&lt;15),0,D_装备升级表!A187)</f>
        <v>80014</v>
      </c>
      <c r="AP187">
        <f ca="1">VLOOKUP(G187&amp;I187&amp;F187,CHOOSE({1,2},装备属性计算表!$BK$32:$BK$187,装备属性计算表!$BJ$32:$BJ$187),2,FALSE)</f>
        <v>177.6691778566011</v>
      </c>
      <c r="AQ187">
        <f ca="1">AP187*'[1]0、经济设定'!$C$18</f>
        <v>8883.4588928300545</v>
      </c>
      <c r="AR187">
        <f ca="1">IFERROR(AQ187*'[1]0、经济设定'!$E$19*AU187*AS187,0)</f>
        <v>312.71499168419757</v>
      </c>
      <c r="AS187">
        <v>10</v>
      </c>
      <c r="AT187">
        <f t="shared" si="56"/>
        <v>96</v>
      </c>
      <c r="AU187">
        <f ca="1">IF(F187=0,IFERROR(AT187/AP187/'[1]0、经济设定'!$E$18,0),AU186)</f>
        <v>1.7600970267144116</v>
      </c>
      <c r="AV187">
        <f t="shared" ca="1" si="55"/>
        <v>7106.7671142640438</v>
      </c>
    </row>
    <row r="188" spans="1:48" x14ac:dyDescent="0.15">
      <c r="A188" s="14" t="str">
        <f t="shared" si="44"/>
        <v>53124</v>
      </c>
      <c r="B188" s="14" t="s">
        <v>357</v>
      </c>
      <c r="C188" s="14">
        <f>VLOOKUP($I188&amp;$F188&amp;$G188,装备属性表,装备属性计算表!AK$29,FALSE)</f>
        <v>24</v>
      </c>
      <c r="D188" s="14">
        <f t="shared" si="48"/>
        <v>0</v>
      </c>
      <c r="E188" s="14" t="str">
        <f>VLOOKUP(F188,CHOOSE({1,2},定义数据!$F$2:$F$7,武器部位),2)</f>
        <v>项链</v>
      </c>
      <c r="F188" s="14">
        <v>3</v>
      </c>
      <c r="G188" s="14">
        <v>80</v>
      </c>
      <c r="H188" s="14">
        <f t="shared" si="45"/>
        <v>80</v>
      </c>
      <c r="I188" s="14">
        <v>1</v>
      </c>
      <c r="J188" s="14" t="str">
        <f t="shared" si="46"/>
        <v>8013</v>
      </c>
      <c r="K188" s="14" t="str">
        <f t="shared" si="57"/>
        <v>8013</v>
      </c>
      <c r="L188" s="76"/>
      <c r="M188" s="14">
        <f>IF(OR(G188&lt;15,G188=80),0,D_装备升级表!A188)</f>
        <v>0</v>
      </c>
      <c r="N188" s="78">
        <v>1</v>
      </c>
      <c r="O188" s="14">
        <f t="shared" si="50"/>
        <v>2400</v>
      </c>
      <c r="P188" s="14"/>
      <c r="Q188" s="14">
        <f>VLOOKUP($I188&amp;$F188&amp;$G188,装备属性表,装备属性计算表!AL$29,FALSE)</f>
        <v>3</v>
      </c>
      <c r="R188" s="14">
        <f ca="1">VLOOKUP(VLOOKUP($I188&amp;$F188&amp;$G188,装备属性表,装备属性计算表!AM$29,FALSE),定义数据!$B$13:$C$35,2,FALSE)</f>
        <v>2</v>
      </c>
      <c r="S188" s="14">
        <f ca="1">VLOOKUP($I188&amp;$F188&amp;$G188,装备属性表,装备属性计算表!AN$29,FALSE)</f>
        <v>149.32414973262036</v>
      </c>
      <c r="T188" s="14">
        <f ca="1">VLOOKUP(VLOOKUP($I188&amp;$F188&amp;$G188,装备属性表,装备属性计算表!AO$29,FALSE),定义数据!$B$13:$C$35,2,FALSE)</f>
        <v>6</v>
      </c>
      <c r="U188" s="14">
        <f ca="1">VLOOKUP($I188&amp;$F188&amp;$G188,装备属性表,装备属性计算表!AP$29,FALSE)</f>
        <v>468.75</v>
      </c>
      <c r="V188" s="14">
        <f ca="1">VLOOKUP(VLOOKUP($I188&amp;$F188&amp;$G188,装备属性表,装备属性计算表!AQ$29,FALSE),定义数据!$B$13:$C$35,2,FALSE)</f>
        <v>2</v>
      </c>
      <c r="W188" s="14">
        <f ca="1">VLOOKUP($I188&amp;$F188&amp;$G188,装备属性表,装备属性计算表!AR$29,FALSE)</f>
        <v>11.945931978609629</v>
      </c>
      <c r="X188" s="14">
        <f ca="1">VLOOKUP(VLOOKUP($I188&amp;$F188&amp;$G188,装备属性表,装备属性计算表!AS$29,FALSE),定义数据!$B$13:$C$35,2,FALSE)</f>
        <v>0</v>
      </c>
      <c r="Y188" s="14">
        <f>VLOOKUP($I188&amp;$F188&amp;$G188,装备属性表,装备属性计算表!AT$29,FALSE)</f>
        <v>0</v>
      </c>
      <c r="Z188" s="14">
        <f ca="1">VLOOKUP(VLOOKUP($I188&amp;$F188&amp;$G188,装备属性表,装备属性计算表!AU$29,FALSE),定义数据!$B$13:$C$35,2,FALSE)</f>
        <v>0</v>
      </c>
      <c r="AA188" s="14">
        <f>VLOOKUP($I188&amp;$F188&amp;$G188,装备属性表,装备属性计算表!AV$29,FALSE)</f>
        <v>0</v>
      </c>
      <c r="AB188" s="14">
        <f ca="1">VLOOKUP(VLOOKUP($I188&amp;$F188&amp;$G188,装备属性表,装备属性计算表!AW$29,FALSE),定义数据!$B$13:$C$35,2,FALSE)</f>
        <v>0</v>
      </c>
      <c r="AC188" s="14">
        <f>VLOOKUP($I188&amp;$F188&amp;$G188,装备属性表,装备属性计算表!AX$29,FALSE)</f>
        <v>0</v>
      </c>
      <c r="AD188" s="14">
        <f ca="1">VLOOKUP(VLOOKUP($I188&amp;$F188&amp;$G188,装备属性表,装备属性计算表!AY$29,FALSE),定义数据!$B$13:$C$35,2,FALSE)</f>
        <v>0</v>
      </c>
      <c r="AE188" s="14">
        <f>VLOOKUP($I188&amp;$F188&amp;$G188,装备属性表,装备属性计算表!AZ$29,FALSE)</f>
        <v>0</v>
      </c>
      <c r="AF188" s="14">
        <f ca="1">VLOOKUP(VLOOKUP($I188&amp;$F188&amp;$G188,装备属性表,装备属性计算表!BA$29,FALSE),定义数据!$B$13:$C$35,2,FALSE)</f>
        <v>0</v>
      </c>
      <c r="AG188" s="14">
        <f>VLOOKUP($I188&amp;$F188&amp;$G188,装备属性表,装备属性计算表!BB$29,FALSE)</f>
        <v>0</v>
      </c>
      <c r="AH188" s="14">
        <f ca="1">VLOOKUP(VLOOKUP($I188&amp;$F188&amp;$G188,装备属性表,装备属性计算表!BC$29,FALSE),定义数据!$B$13:$C$35,2,FALSE)</f>
        <v>0</v>
      </c>
      <c r="AI188" s="14">
        <f>VLOOKUP($I188&amp;$F188&amp;$G188,装备属性表,装备属性计算表!BD$29,FALSE)</f>
        <v>0</v>
      </c>
      <c r="AJ188" s="14">
        <f ca="1">VLOOKUP(VLOOKUP($I188&amp;$F188&amp;$G188,装备属性表,装备属性计算表!BE$29,FALSE),定义数据!$B$13:$C$35,2,FALSE)</f>
        <v>0</v>
      </c>
      <c r="AK188" s="14">
        <f>VLOOKUP($I188&amp;$F188&amp;$G188,装备属性表,装备属性计算表!BF$29,FALSE)</f>
        <v>0</v>
      </c>
      <c r="AL188" t="str">
        <f t="shared" si="53"/>
        <v>高洁项链是一件80级蓝色可升级的装备。</v>
      </c>
      <c r="AM188" t="str">
        <f>IF(D188=0,5,D188) &amp; F188&amp;"00"&amp;VLOOKUP(G188,定义数据!$F$20:$G$27,2,FALSE)&amp;".png"</f>
        <v>53006.png</v>
      </c>
      <c r="AN188" s="79">
        <f>IF(OR(G188&lt;15),0,D_装备升级表!A188)</f>
        <v>80013</v>
      </c>
      <c r="AP188">
        <f ca="1">VLOOKUP(G188&amp;I188&amp;F188,CHOOSE({1,2},装备属性计算表!$BK$32:$BK$187,装备属性计算表!$BJ$32:$BJ$187),2,FALSE)</f>
        <v>331.14508171122998</v>
      </c>
      <c r="AQ188">
        <f ca="1">AP188*'[1]0、经济设定'!$C$18</f>
        <v>16557.254085561501</v>
      </c>
      <c r="AR188">
        <f ca="1">IFERROR(AQ188*'[1]0、经济设定'!$E$19*AU188*AS188,0)</f>
        <v>582.84747373103676</v>
      </c>
      <c r="AS188">
        <v>10</v>
      </c>
      <c r="AT188">
        <f t="shared" si="56"/>
        <v>96</v>
      </c>
      <c r="AU188">
        <f ca="1">IF(F188=0,IFERROR(AT188/AP188/'[1]0、经济设定'!$E$18,0),AU187)</f>
        <v>1.7600970267144116</v>
      </c>
      <c r="AV188">
        <f t="shared" ca="1" si="55"/>
        <v>13245.803268449199</v>
      </c>
    </row>
    <row r="189" spans="1:48" x14ac:dyDescent="0.15">
      <c r="A189" s="14" t="str">
        <f t="shared" si="44"/>
        <v>10225</v>
      </c>
      <c r="B189" s="14" t="s">
        <v>358</v>
      </c>
      <c r="C189" s="14">
        <f>VLOOKUP($I189&amp;$F189&amp;$G189,装备属性表,装备属性计算表!AK$29,FALSE)</f>
        <v>25</v>
      </c>
      <c r="D189" s="14">
        <f t="shared" si="48"/>
        <v>1</v>
      </c>
      <c r="E189" s="14" t="str">
        <f>VLOOKUP(F189,CHOOSE({1,2},定义数据!$F$2:$F$7,武器部位),2)</f>
        <v>武器</v>
      </c>
      <c r="F189" s="14">
        <v>0</v>
      </c>
      <c r="G189" s="14">
        <v>80</v>
      </c>
      <c r="H189" s="14">
        <f t="shared" si="45"/>
        <v>80</v>
      </c>
      <c r="I189" s="14">
        <v>2</v>
      </c>
      <c r="J189" s="14" t="str">
        <f t="shared" si="46"/>
        <v>8020</v>
      </c>
      <c r="K189" s="14" t="str">
        <f t="shared" si="57"/>
        <v>8020</v>
      </c>
      <c r="L189" s="76"/>
      <c r="M189" s="14">
        <f>IF(OR(G189&lt;15,G189=80),0,D_装备升级表!A189)</f>
        <v>0</v>
      </c>
      <c r="N189" s="78">
        <v>1</v>
      </c>
      <c r="O189" s="14">
        <f t="shared" si="50"/>
        <v>2500</v>
      </c>
      <c r="P189" s="14"/>
      <c r="Q189" s="14">
        <f>VLOOKUP($I189&amp;$F189&amp;$G189,装备属性表,装备属性计算表!AL$29,FALSE)</f>
        <v>4</v>
      </c>
      <c r="R189" s="14">
        <f ca="1">VLOOKUP(VLOOKUP($I189&amp;$F189&amp;$G189,装备属性表,装备属性计算表!AM$29,FALSE),定义数据!$B$13:$C$35,2,FALSE)</f>
        <v>2</v>
      </c>
      <c r="S189" s="14">
        <f ca="1">VLOOKUP($I189&amp;$F189&amp;$G189,装备属性表,装备属性计算表!AN$29,FALSE)</f>
        <v>582.36418395721944</v>
      </c>
      <c r="T189" s="14">
        <f ca="1">VLOOKUP(VLOOKUP($I189&amp;$F189&amp;$G189,装备属性表,装备属性计算表!AO$29,FALSE),定义数据!$B$13:$C$35,2,FALSE)</f>
        <v>8</v>
      </c>
      <c r="U189" s="14">
        <f ca="1">VLOOKUP($I189&amp;$F189&amp;$G189,装备属性表,装备属性计算表!AP$29,FALSE)</f>
        <v>361.11111111111114</v>
      </c>
      <c r="V189" s="14">
        <f ca="1">VLOOKUP(VLOOKUP($I189&amp;$F189&amp;$G189,装备属性表,装备属性计算表!AQ$29,FALSE),定义数据!$B$13:$C$35,2,FALSE)</f>
        <v>2</v>
      </c>
      <c r="W189" s="14">
        <f ca="1">VLOOKUP($I189&amp;$F189&amp;$G189,装备属性表,装备属性计算表!AR$29,FALSE)</f>
        <v>103.53141048128346</v>
      </c>
      <c r="X189" s="14">
        <f ca="1">VLOOKUP(VLOOKUP($I189&amp;$F189&amp;$G189,装备属性表,装备属性计算表!AS$29,FALSE),定义数据!$B$13:$C$35,2,FALSE)</f>
        <v>3</v>
      </c>
      <c r="Y189" s="14">
        <f ca="1">VLOOKUP($I189&amp;$F189&amp;$G189,装备属性表,装备属性计算表!AT$29,FALSE)</f>
        <v>12.427224956672447</v>
      </c>
      <c r="Z189" s="14">
        <f ca="1">VLOOKUP(VLOOKUP($I189&amp;$F189&amp;$G189,装备属性表,装备属性计算表!AU$29,FALSE),定义数据!$B$13:$C$35,2,FALSE)</f>
        <v>0</v>
      </c>
      <c r="AA189" s="14">
        <f>VLOOKUP($I189&amp;$F189&amp;$G189,装备属性表,装备属性计算表!AV$29,FALSE)</f>
        <v>0</v>
      </c>
      <c r="AB189" s="14">
        <f ca="1">VLOOKUP(VLOOKUP($I189&amp;$F189&amp;$G189,装备属性表,装备属性计算表!AW$29,FALSE),定义数据!$B$13:$C$35,2,FALSE)</f>
        <v>0</v>
      </c>
      <c r="AC189" s="14">
        <f>VLOOKUP($I189&amp;$F189&amp;$G189,装备属性表,装备属性计算表!AX$29,FALSE)</f>
        <v>0</v>
      </c>
      <c r="AD189" s="14">
        <f ca="1">VLOOKUP(VLOOKUP($I189&amp;$F189&amp;$G189,装备属性表,装备属性计算表!AY$29,FALSE),定义数据!$B$13:$C$35,2,FALSE)</f>
        <v>0</v>
      </c>
      <c r="AE189" s="14">
        <f>VLOOKUP($I189&amp;$F189&amp;$G189,装备属性表,装备属性计算表!AZ$29,FALSE)</f>
        <v>0</v>
      </c>
      <c r="AF189" s="14">
        <f ca="1">VLOOKUP(VLOOKUP($I189&amp;$F189&amp;$G189,装备属性表,装备属性计算表!BA$29,FALSE),定义数据!$B$13:$C$35,2,FALSE)</f>
        <v>0</v>
      </c>
      <c r="AG189" s="14">
        <f>VLOOKUP($I189&amp;$F189&amp;$G189,装备属性表,装备属性计算表!BB$29,FALSE)</f>
        <v>0</v>
      </c>
      <c r="AH189" s="14">
        <f ca="1">VLOOKUP(VLOOKUP($I189&amp;$F189&amp;$G189,装备属性表,装备属性计算表!BC$29,FALSE),定义数据!$B$13:$C$35,2,FALSE)</f>
        <v>0</v>
      </c>
      <c r="AI189" s="14">
        <f>VLOOKUP($I189&amp;$F189&amp;$G189,装备属性表,装备属性计算表!BD$29,FALSE)</f>
        <v>0</v>
      </c>
      <c r="AJ189" s="14">
        <f ca="1">VLOOKUP(VLOOKUP($I189&amp;$F189&amp;$G189,装备属性表,装备属性计算表!BE$29,FALSE),定义数据!$B$13:$C$35,2,FALSE)</f>
        <v>0</v>
      </c>
      <c r="AK189" s="14">
        <f>VLOOKUP($I189&amp;$F189&amp;$G189,装备属性表,装备属性计算表!BF$29,FALSE)</f>
        <v>0</v>
      </c>
      <c r="AL189" t="str">
        <f t="shared" si="53"/>
        <v>星宿之刃是一件80级紫色可升级的装备。</v>
      </c>
      <c r="AM189" t="str">
        <f>IF(D189=0,5,D189) &amp; F189&amp;"00"&amp;VLOOKUP(G189,定义数据!$F$20:$G$27,2,FALSE)&amp;".png"</f>
        <v>10006.png</v>
      </c>
      <c r="AN189" s="79">
        <f>IF(OR(G189&lt;15),0,D_装备升级表!A189)</f>
        <v>80120</v>
      </c>
      <c r="AP189">
        <f ca="1">VLOOKUP(G189&amp;I189&amp;F189,CHOOSE({1,2},装备属性计算表!$BK$32:$BK$187,装备属性计算表!$BJ$32:$BJ$187),2,FALSE)</f>
        <v>784.44781939517532</v>
      </c>
      <c r="AQ189">
        <f ca="1">AP189*'[1]0、经济设定'!$C$18</f>
        <v>39222.390969758766</v>
      </c>
      <c r="AR189">
        <f ca="1">IFERROR(AQ189*'[1]0、经济设定'!$E$19*AU189*AS189,0)</f>
        <v>1920</v>
      </c>
      <c r="AS189">
        <v>10</v>
      </c>
      <c r="AT189">
        <f t="shared" si="56"/>
        <v>192</v>
      </c>
      <c r="AU189">
        <f ca="1">IF(F189=0,IFERROR(AT189/AP189/'[1]0、经济设定'!$E$18,0),AU188)</f>
        <v>2.4475815376481735</v>
      </c>
      <c r="AV189">
        <f t="shared" ca="1" si="55"/>
        <v>31377.912775807014</v>
      </c>
    </row>
    <row r="190" spans="1:48" x14ac:dyDescent="0.15">
      <c r="A190" s="14" t="str">
        <f t="shared" si="44"/>
        <v>20225</v>
      </c>
      <c r="B190" s="14" t="s">
        <v>359</v>
      </c>
      <c r="C190" s="14">
        <f>VLOOKUP($I190&amp;$F190&amp;$G190,装备属性表,装备属性计算表!AK$29,FALSE)</f>
        <v>25</v>
      </c>
      <c r="D190" s="14">
        <f t="shared" si="48"/>
        <v>2</v>
      </c>
      <c r="E190" s="14" t="str">
        <f>VLOOKUP(F190,CHOOSE({1,2},定义数据!$F$2:$F$7,武器部位),2)</f>
        <v>武器</v>
      </c>
      <c r="F190" s="14">
        <v>0</v>
      </c>
      <c r="G190" s="14">
        <v>80</v>
      </c>
      <c r="H190" s="14">
        <f t="shared" si="45"/>
        <v>80</v>
      </c>
      <c r="I190" s="14">
        <v>2</v>
      </c>
      <c r="J190" s="14" t="str">
        <f t="shared" si="46"/>
        <v>8020</v>
      </c>
      <c r="K190" s="14" t="str">
        <f t="shared" si="57"/>
        <v>8020</v>
      </c>
      <c r="L190" s="76"/>
      <c r="M190" s="14">
        <f>IF(OR(G190&lt;15,G190=80),0,D_装备升级表!A190)</f>
        <v>0</v>
      </c>
      <c r="N190" s="78">
        <v>1</v>
      </c>
      <c r="O190" s="14">
        <f t="shared" si="50"/>
        <v>2500</v>
      </c>
      <c r="P190" s="14"/>
      <c r="Q190" s="14">
        <f>VLOOKUP($I190&amp;$F190&amp;$G190,装备属性表,装备属性计算表!AL$29,FALSE)</f>
        <v>4</v>
      </c>
      <c r="R190" s="14">
        <f ca="1">VLOOKUP(VLOOKUP($I190&amp;$F190&amp;$G190,装备属性表,装备属性计算表!AM$29,FALSE),定义数据!$B$13:$C$35,2,FALSE)</f>
        <v>2</v>
      </c>
      <c r="S190" s="14">
        <f ca="1">VLOOKUP($I190&amp;$F190&amp;$G190,装备属性表,装备属性计算表!AN$29,FALSE)</f>
        <v>582.36418395721944</v>
      </c>
      <c r="T190" s="14">
        <f ca="1">VLOOKUP(VLOOKUP($I190&amp;$F190&amp;$G190,装备属性表,装备属性计算表!AO$29,FALSE),定义数据!$B$13:$C$35,2,FALSE)</f>
        <v>8</v>
      </c>
      <c r="U190" s="14">
        <f ca="1">VLOOKUP($I190&amp;$F190&amp;$G190,装备属性表,装备属性计算表!AP$29,FALSE)</f>
        <v>361.11111111111114</v>
      </c>
      <c r="V190" s="14">
        <f ca="1">VLOOKUP(VLOOKUP($I190&amp;$F190&amp;$G190,装备属性表,装备属性计算表!AQ$29,FALSE),定义数据!$B$13:$C$35,2,FALSE)</f>
        <v>2</v>
      </c>
      <c r="W190" s="14">
        <f ca="1">VLOOKUP($I190&amp;$F190&amp;$G190,装备属性表,装备属性计算表!AR$29,FALSE)</f>
        <v>103.53141048128346</v>
      </c>
      <c r="X190" s="14">
        <f ca="1">VLOOKUP(VLOOKUP($I190&amp;$F190&amp;$G190,装备属性表,装备属性计算表!AS$29,FALSE),定义数据!$B$13:$C$35,2,FALSE)</f>
        <v>3</v>
      </c>
      <c r="Y190" s="14">
        <f ca="1">VLOOKUP($I190&amp;$F190&amp;$G190,装备属性表,装备属性计算表!AT$29,FALSE)</f>
        <v>12.427224956672447</v>
      </c>
      <c r="Z190" s="14">
        <f ca="1">VLOOKUP(VLOOKUP($I190&amp;$F190&amp;$G190,装备属性表,装备属性计算表!AU$29,FALSE),定义数据!$B$13:$C$35,2,FALSE)</f>
        <v>0</v>
      </c>
      <c r="AA190" s="14">
        <f>VLOOKUP($I190&amp;$F190&amp;$G190,装备属性表,装备属性计算表!AV$29,FALSE)</f>
        <v>0</v>
      </c>
      <c r="AB190" s="14">
        <f ca="1">VLOOKUP(VLOOKUP($I190&amp;$F190&amp;$G190,装备属性表,装备属性计算表!AW$29,FALSE),定义数据!$B$13:$C$35,2,FALSE)</f>
        <v>0</v>
      </c>
      <c r="AC190" s="14">
        <f>VLOOKUP($I190&amp;$F190&amp;$G190,装备属性表,装备属性计算表!AX$29,FALSE)</f>
        <v>0</v>
      </c>
      <c r="AD190" s="14">
        <f ca="1">VLOOKUP(VLOOKUP($I190&amp;$F190&amp;$G190,装备属性表,装备属性计算表!AY$29,FALSE),定义数据!$B$13:$C$35,2,FALSE)</f>
        <v>0</v>
      </c>
      <c r="AE190" s="14">
        <f>VLOOKUP($I190&amp;$F190&amp;$G190,装备属性表,装备属性计算表!AZ$29,FALSE)</f>
        <v>0</v>
      </c>
      <c r="AF190" s="14">
        <f ca="1">VLOOKUP(VLOOKUP($I190&amp;$F190&amp;$G190,装备属性表,装备属性计算表!BA$29,FALSE),定义数据!$B$13:$C$35,2,FALSE)</f>
        <v>0</v>
      </c>
      <c r="AG190" s="14">
        <f>VLOOKUP($I190&amp;$F190&amp;$G190,装备属性表,装备属性计算表!BB$29,FALSE)</f>
        <v>0</v>
      </c>
      <c r="AH190" s="14">
        <f ca="1">VLOOKUP(VLOOKUP($I190&amp;$F190&amp;$G190,装备属性表,装备属性计算表!BC$29,FALSE),定义数据!$B$13:$C$35,2,FALSE)</f>
        <v>0</v>
      </c>
      <c r="AI190" s="14">
        <f>VLOOKUP($I190&amp;$F190&amp;$G190,装备属性表,装备属性计算表!BD$29,FALSE)</f>
        <v>0</v>
      </c>
      <c r="AJ190" s="14">
        <f ca="1">VLOOKUP(VLOOKUP($I190&amp;$F190&amp;$G190,装备属性表,装备属性计算表!BE$29,FALSE),定义数据!$B$13:$C$35,2,FALSE)</f>
        <v>0</v>
      </c>
      <c r="AK190" s="14">
        <f>VLOOKUP($I190&amp;$F190&amp;$G190,装备属性表,装备属性计算表!BF$29,FALSE)</f>
        <v>0</v>
      </c>
      <c r="AL190" t="str">
        <f t="shared" si="53"/>
        <v>星宿之拳是一件80级紫色可升级的装备。</v>
      </c>
      <c r="AM190" t="str">
        <f>IF(D190=0,5,D190) &amp; F190&amp;"00"&amp;VLOOKUP(G190,定义数据!$F$20:$G$27,2,FALSE)&amp;".png"</f>
        <v>20006.png</v>
      </c>
      <c r="AN190" s="79">
        <f>IF(OR(G190&lt;15),0,D_装备升级表!A190)</f>
        <v>80220</v>
      </c>
      <c r="AP190">
        <f ca="1">VLOOKUP(G190&amp;I190&amp;F190,CHOOSE({1,2},装备属性计算表!$BK$32:$BK$187,装备属性计算表!$BJ$32:$BJ$187),2,FALSE)</f>
        <v>784.44781939517532</v>
      </c>
      <c r="AQ190">
        <f ca="1">AP190*'[1]0、经济设定'!$C$18</f>
        <v>39222.390969758766</v>
      </c>
      <c r="AR190">
        <f ca="1">IFERROR(AQ190*'[1]0、经济设定'!$E$19*AU190*AS190,0)</f>
        <v>1920</v>
      </c>
      <c r="AS190">
        <v>10</v>
      </c>
      <c r="AT190">
        <f t="shared" si="56"/>
        <v>192</v>
      </c>
      <c r="AU190">
        <f ca="1">IF(F190=0,IFERROR(AT190/AP190/'[1]0、经济设定'!$E$18,0),AU189)</f>
        <v>2.4475815376481735</v>
      </c>
      <c r="AV190">
        <f t="shared" ca="1" si="55"/>
        <v>31377.912775807014</v>
      </c>
    </row>
    <row r="191" spans="1:48" x14ac:dyDescent="0.15">
      <c r="A191" s="14" t="str">
        <f t="shared" si="44"/>
        <v>30225</v>
      </c>
      <c r="B191" s="14" t="s">
        <v>360</v>
      </c>
      <c r="C191" s="14">
        <f>VLOOKUP($I191&amp;$F191&amp;$G191,装备属性表,装备属性计算表!AK$29,FALSE)</f>
        <v>25</v>
      </c>
      <c r="D191" s="14">
        <f t="shared" si="48"/>
        <v>3</v>
      </c>
      <c r="E191" s="14" t="str">
        <f>VLOOKUP(F191,CHOOSE({1,2},定义数据!$F$2:$F$7,武器部位),2)</f>
        <v>武器</v>
      </c>
      <c r="F191" s="14">
        <v>0</v>
      </c>
      <c r="G191" s="14">
        <v>80</v>
      </c>
      <c r="H191" s="14">
        <f t="shared" si="45"/>
        <v>80</v>
      </c>
      <c r="I191" s="14">
        <v>2</v>
      </c>
      <c r="J191" s="14" t="str">
        <f t="shared" si="46"/>
        <v>8020</v>
      </c>
      <c r="K191" s="14" t="str">
        <f t="shared" si="57"/>
        <v>8020</v>
      </c>
      <c r="L191" s="76"/>
      <c r="M191" s="14">
        <f>IF(OR(G191&lt;15,G191=80),0,D_装备升级表!A191)</f>
        <v>0</v>
      </c>
      <c r="N191" s="78">
        <v>1</v>
      </c>
      <c r="O191" s="14">
        <f t="shared" si="50"/>
        <v>2500</v>
      </c>
      <c r="P191" s="14"/>
      <c r="Q191" s="14">
        <f>VLOOKUP($I191&amp;$F191&amp;$G191,装备属性表,装备属性计算表!AL$29,FALSE)</f>
        <v>4</v>
      </c>
      <c r="R191" s="14">
        <f ca="1">VLOOKUP(VLOOKUP($I191&amp;$F191&amp;$G191,装备属性表,装备属性计算表!AM$29,FALSE),定义数据!$B$13:$C$35,2,FALSE)</f>
        <v>2</v>
      </c>
      <c r="S191" s="14">
        <f ca="1">VLOOKUP($I191&amp;$F191&amp;$G191,装备属性表,装备属性计算表!AN$29,FALSE)</f>
        <v>582.36418395721944</v>
      </c>
      <c r="T191" s="14">
        <f ca="1">VLOOKUP(VLOOKUP($I191&amp;$F191&amp;$G191,装备属性表,装备属性计算表!AO$29,FALSE),定义数据!$B$13:$C$35,2,FALSE)</f>
        <v>8</v>
      </c>
      <c r="U191" s="14">
        <f ca="1">VLOOKUP($I191&amp;$F191&amp;$G191,装备属性表,装备属性计算表!AP$29,FALSE)</f>
        <v>361.11111111111114</v>
      </c>
      <c r="V191" s="14">
        <f ca="1">VLOOKUP(VLOOKUP($I191&amp;$F191&amp;$G191,装备属性表,装备属性计算表!AQ$29,FALSE),定义数据!$B$13:$C$35,2,FALSE)</f>
        <v>2</v>
      </c>
      <c r="W191" s="14">
        <f ca="1">VLOOKUP($I191&amp;$F191&amp;$G191,装备属性表,装备属性计算表!AR$29,FALSE)</f>
        <v>103.53141048128346</v>
      </c>
      <c r="X191" s="14">
        <f ca="1">VLOOKUP(VLOOKUP($I191&amp;$F191&amp;$G191,装备属性表,装备属性计算表!AS$29,FALSE),定义数据!$B$13:$C$35,2,FALSE)</f>
        <v>3</v>
      </c>
      <c r="Y191" s="14">
        <f ca="1">VLOOKUP($I191&amp;$F191&amp;$G191,装备属性表,装备属性计算表!AT$29,FALSE)</f>
        <v>12.427224956672447</v>
      </c>
      <c r="Z191" s="14">
        <f ca="1">VLOOKUP(VLOOKUP($I191&amp;$F191&amp;$G191,装备属性表,装备属性计算表!AU$29,FALSE),定义数据!$B$13:$C$35,2,FALSE)</f>
        <v>0</v>
      </c>
      <c r="AA191" s="14">
        <f>VLOOKUP($I191&amp;$F191&amp;$G191,装备属性表,装备属性计算表!AV$29,FALSE)</f>
        <v>0</v>
      </c>
      <c r="AB191" s="14">
        <f ca="1">VLOOKUP(VLOOKUP($I191&amp;$F191&amp;$G191,装备属性表,装备属性计算表!AW$29,FALSE),定义数据!$B$13:$C$35,2,FALSE)</f>
        <v>0</v>
      </c>
      <c r="AC191" s="14">
        <f>VLOOKUP($I191&amp;$F191&amp;$G191,装备属性表,装备属性计算表!AX$29,FALSE)</f>
        <v>0</v>
      </c>
      <c r="AD191" s="14">
        <f ca="1">VLOOKUP(VLOOKUP($I191&amp;$F191&amp;$G191,装备属性表,装备属性计算表!AY$29,FALSE),定义数据!$B$13:$C$35,2,FALSE)</f>
        <v>0</v>
      </c>
      <c r="AE191" s="14">
        <f>VLOOKUP($I191&amp;$F191&amp;$G191,装备属性表,装备属性计算表!AZ$29,FALSE)</f>
        <v>0</v>
      </c>
      <c r="AF191" s="14">
        <f ca="1">VLOOKUP(VLOOKUP($I191&amp;$F191&amp;$G191,装备属性表,装备属性计算表!BA$29,FALSE),定义数据!$B$13:$C$35,2,FALSE)</f>
        <v>0</v>
      </c>
      <c r="AG191" s="14">
        <f>VLOOKUP($I191&amp;$F191&amp;$G191,装备属性表,装备属性计算表!BB$29,FALSE)</f>
        <v>0</v>
      </c>
      <c r="AH191" s="14">
        <f ca="1">VLOOKUP(VLOOKUP($I191&amp;$F191&amp;$G191,装备属性表,装备属性计算表!BC$29,FALSE),定义数据!$B$13:$C$35,2,FALSE)</f>
        <v>0</v>
      </c>
      <c r="AI191" s="14">
        <f>VLOOKUP($I191&amp;$F191&amp;$G191,装备属性表,装备属性计算表!BD$29,FALSE)</f>
        <v>0</v>
      </c>
      <c r="AJ191" s="14">
        <f ca="1">VLOOKUP(VLOOKUP($I191&amp;$F191&amp;$G191,装备属性表,装备属性计算表!BE$29,FALSE),定义数据!$B$13:$C$35,2,FALSE)</f>
        <v>0</v>
      </c>
      <c r="AK191" s="14">
        <f>VLOOKUP($I191&amp;$F191&amp;$G191,装备属性表,装备属性计算表!BF$29,FALSE)</f>
        <v>0</v>
      </c>
      <c r="AL191" t="str">
        <f t="shared" si="53"/>
        <v>星宿之枪是一件80级紫色可升级的装备。</v>
      </c>
      <c r="AM191" t="str">
        <f>IF(D191=0,5,D191) &amp; F191&amp;"00"&amp;VLOOKUP(G191,定义数据!$F$20:$G$27,2,FALSE)&amp;".png"</f>
        <v>30006.png</v>
      </c>
      <c r="AN191" s="79">
        <f>IF(OR(G191&lt;15),0,D_装备升级表!A191)</f>
        <v>80320</v>
      </c>
      <c r="AP191">
        <f ca="1">VLOOKUP(G191&amp;I191&amp;F191,CHOOSE({1,2},装备属性计算表!$BK$32:$BK$187,装备属性计算表!$BJ$32:$BJ$187),2,FALSE)</f>
        <v>784.44781939517532</v>
      </c>
      <c r="AQ191">
        <f ca="1">AP191*'[1]0、经济设定'!$C$18</f>
        <v>39222.390969758766</v>
      </c>
      <c r="AR191">
        <f ca="1">IFERROR(AQ191*'[1]0、经济设定'!$E$19*AU191*AS191,0)</f>
        <v>1920</v>
      </c>
      <c r="AS191">
        <v>10</v>
      </c>
      <c r="AT191">
        <f t="shared" si="56"/>
        <v>192</v>
      </c>
      <c r="AU191">
        <f ca="1">IF(F191=0,IFERROR(AT191/AP191/'[1]0、经济设定'!$E$18,0),AU190)</f>
        <v>2.4475815376481735</v>
      </c>
      <c r="AV191">
        <f t="shared" ca="1" si="55"/>
        <v>31377.912775807014</v>
      </c>
    </row>
    <row r="192" spans="1:48" x14ac:dyDescent="0.15">
      <c r="A192" s="14" t="str">
        <f t="shared" si="44"/>
        <v>51225</v>
      </c>
      <c r="B192" s="14" t="s">
        <v>361</v>
      </c>
      <c r="C192" s="14">
        <f>VLOOKUP($I192&amp;$F192&amp;$G192,装备属性表,装备属性计算表!AK$29,FALSE)</f>
        <v>25</v>
      </c>
      <c r="D192" s="14">
        <f t="shared" si="48"/>
        <v>0</v>
      </c>
      <c r="E192" s="14" t="str">
        <f>VLOOKUP(F192,CHOOSE({1,2},定义数据!$F$2:$F$7,武器部位),2)</f>
        <v>衣服</v>
      </c>
      <c r="F192" s="14">
        <v>1</v>
      </c>
      <c r="G192" s="14">
        <v>80</v>
      </c>
      <c r="H192" s="14">
        <f t="shared" si="45"/>
        <v>80</v>
      </c>
      <c r="I192" s="14">
        <v>2</v>
      </c>
      <c r="J192" s="14" t="str">
        <f t="shared" si="46"/>
        <v>8021</v>
      </c>
      <c r="K192" s="14" t="str">
        <f t="shared" si="57"/>
        <v>8021</v>
      </c>
      <c r="L192" s="76"/>
      <c r="M192" s="14">
        <f>IF(OR(G192&lt;15,G192=80),0,D_装备升级表!A192)</f>
        <v>0</v>
      </c>
      <c r="N192" s="78">
        <v>1</v>
      </c>
      <c r="O192" s="14">
        <f t="shared" si="50"/>
        <v>2500</v>
      </c>
      <c r="P192" s="14"/>
      <c r="Q192" s="14">
        <f>VLOOKUP($I192&amp;$F192&amp;$G192,装备属性表,装备属性计算表!AL$29,FALSE)</f>
        <v>4</v>
      </c>
      <c r="R192" s="14">
        <f ca="1">VLOOKUP(VLOOKUP($I192&amp;$F192&amp;$G192,装备属性表,装备属性计算表!AM$29,FALSE),定义数据!$B$13:$C$35,2,FALSE)</f>
        <v>1</v>
      </c>
      <c r="S192" s="14">
        <f ca="1">VLOOKUP($I192&amp;$F192&amp;$G192,装备属性表,装备属性计算表!AN$29,FALSE)</f>
        <v>9172.3693978426909</v>
      </c>
      <c r="T192" s="14">
        <f ca="1">VLOOKUP(VLOOKUP($I192&amp;$F192&amp;$G192,装备属性表,装备属性计算表!AO$29,FALSE),定义数据!$B$13:$C$35,2,FALSE)</f>
        <v>3</v>
      </c>
      <c r="U192" s="14">
        <f ca="1">VLOOKUP($I192&amp;$F192&amp;$G192,装备属性表,装备属性计算表!AP$29,FALSE)</f>
        <v>201.32104429809363</v>
      </c>
      <c r="V192" s="14">
        <f ca="1">VLOOKUP(VLOOKUP($I192&amp;$F192&amp;$G192,装备属性表,装备属性计算表!AQ$29,FALSE),定义数据!$B$13:$C$35,2,FALSE)</f>
        <v>1</v>
      </c>
      <c r="W192" s="14">
        <f ca="1">VLOOKUP($I192&amp;$F192&amp;$G192,装备属性表,装备属性计算表!AR$29,FALSE)</f>
        <v>1132.3912836842828</v>
      </c>
      <c r="X192" s="14">
        <f ca="1">VLOOKUP(VLOOKUP($I192&amp;$F192&amp;$G192,装备属性表,装备属性计算表!AS$29,FALSE),定义数据!$B$13:$C$35,2,FALSE)</f>
        <v>3</v>
      </c>
      <c r="Y192" s="14">
        <f ca="1">VLOOKUP($I192&amp;$F192&amp;$G192,装备属性表,装备属性计算表!AT$29,FALSE)</f>
        <v>37.281674870017341</v>
      </c>
      <c r="Z192" s="14">
        <f ca="1">VLOOKUP(VLOOKUP($I192&amp;$F192&amp;$G192,装备属性表,装备属性计算表!AU$29,FALSE),定义数据!$B$13:$C$35,2,FALSE)</f>
        <v>0</v>
      </c>
      <c r="AA192" s="14">
        <f>VLOOKUP($I192&amp;$F192&amp;$G192,装备属性表,装备属性计算表!AV$29,FALSE)</f>
        <v>0</v>
      </c>
      <c r="AB192" s="14">
        <f ca="1">VLOOKUP(VLOOKUP($I192&amp;$F192&amp;$G192,装备属性表,装备属性计算表!AW$29,FALSE),定义数据!$B$13:$C$35,2,FALSE)</f>
        <v>0</v>
      </c>
      <c r="AC192" s="14">
        <f>VLOOKUP($I192&amp;$F192&amp;$G192,装备属性表,装备属性计算表!AX$29,FALSE)</f>
        <v>0</v>
      </c>
      <c r="AD192" s="14">
        <f ca="1">VLOOKUP(VLOOKUP($I192&amp;$F192&amp;$G192,装备属性表,装备属性计算表!AY$29,FALSE),定义数据!$B$13:$C$35,2,FALSE)</f>
        <v>0</v>
      </c>
      <c r="AE192" s="14">
        <f>VLOOKUP($I192&amp;$F192&amp;$G192,装备属性表,装备属性计算表!AZ$29,FALSE)</f>
        <v>0</v>
      </c>
      <c r="AF192" s="14">
        <f ca="1">VLOOKUP(VLOOKUP($I192&amp;$F192&amp;$G192,装备属性表,装备属性计算表!BA$29,FALSE),定义数据!$B$13:$C$35,2,FALSE)</f>
        <v>0</v>
      </c>
      <c r="AG192" s="14">
        <f>VLOOKUP($I192&amp;$F192&amp;$G192,装备属性表,装备属性计算表!BB$29,FALSE)</f>
        <v>0</v>
      </c>
      <c r="AH192" s="14">
        <f ca="1">VLOOKUP(VLOOKUP($I192&amp;$F192&amp;$G192,装备属性表,装备属性计算表!BC$29,FALSE),定义数据!$B$13:$C$35,2,FALSE)</f>
        <v>0</v>
      </c>
      <c r="AI192" s="14">
        <f>VLOOKUP($I192&amp;$F192&amp;$G192,装备属性表,装备属性计算表!BD$29,FALSE)</f>
        <v>0</v>
      </c>
      <c r="AJ192" s="14">
        <f ca="1">VLOOKUP(VLOOKUP($I192&amp;$F192&amp;$G192,装备属性表,装备属性计算表!BE$29,FALSE),定义数据!$B$13:$C$35,2,FALSE)</f>
        <v>0</v>
      </c>
      <c r="AK192" s="14">
        <f>VLOOKUP($I192&amp;$F192&amp;$G192,装备属性表,装备属性计算表!BF$29,FALSE)</f>
        <v>0</v>
      </c>
      <c r="AL192" t="str">
        <f t="shared" si="53"/>
        <v>星宿战衣是一件80级紫色可升级的装备。</v>
      </c>
      <c r="AM192" t="str">
        <f>IF(D192=0,5,D192) &amp; F192&amp;"00"&amp;VLOOKUP(G192,定义数据!$F$20:$G$27,2,FALSE)&amp;".png"</f>
        <v>51006.png</v>
      </c>
      <c r="AN192" s="79">
        <f>IF(OR(G192&lt;15),0,D_装备升级表!A192)</f>
        <v>80021</v>
      </c>
      <c r="AP192">
        <f ca="1">VLOOKUP(G192&amp;I192&amp;F192,CHOOSE({1,2},装备属性计算表!$BK$32:$BK$187,装备属性计算表!$BJ$32:$BJ$187),2,FALSE)</f>
        <v>664.816294577338</v>
      </c>
      <c r="AQ192">
        <f ca="1">AP192*'[1]0、经济设定'!$C$18</f>
        <v>33240.814728866899</v>
      </c>
      <c r="AR192">
        <f ca="1">IFERROR(AQ192*'[1]0、经济设定'!$E$19*AU192*AS192,0)</f>
        <v>1627.1920885351622</v>
      </c>
      <c r="AS192">
        <v>10</v>
      </c>
      <c r="AT192">
        <f t="shared" si="56"/>
        <v>192</v>
      </c>
      <c r="AU192">
        <f ca="1">IF(F192=0,IFERROR(AT192/AP192/'[1]0、经济设定'!$E$18,0),AU191)</f>
        <v>2.4475815376481735</v>
      </c>
      <c r="AV192">
        <f t="shared" ca="1" si="55"/>
        <v>26592.651783093519</v>
      </c>
    </row>
    <row r="193" spans="1:48" x14ac:dyDescent="0.15">
      <c r="A193" s="14" t="str">
        <f t="shared" si="44"/>
        <v>52225</v>
      </c>
      <c r="B193" s="14" t="s">
        <v>362</v>
      </c>
      <c r="C193" s="14">
        <f>VLOOKUP($I193&amp;$F193&amp;$G193,装备属性表,装备属性计算表!AK$29,FALSE)</f>
        <v>25</v>
      </c>
      <c r="D193" s="14">
        <f t="shared" si="48"/>
        <v>0</v>
      </c>
      <c r="E193" s="14" t="str">
        <f>VLOOKUP(F193,CHOOSE({1,2},定义数据!$F$2:$F$7,武器部位),2)</f>
        <v>裤子</v>
      </c>
      <c r="F193" s="14">
        <v>2</v>
      </c>
      <c r="G193" s="14">
        <v>80</v>
      </c>
      <c r="H193" s="14">
        <f t="shared" si="45"/>
        <v>80</v>
      </c>
      <c r="I193" s="14">
        <v>2</v>
      </c>
      <c r="J193" s="14" t="str">
        <f t="shared" si="46"/>
        <v>8022</v>
      </c>
      <c r="K193" s="14" t="str">
        <f t="shared" si="57"/>
        <v>8022</v>
      </c>
      <c r="L193" s="76"/>
      <c r="M193" s="14">
        <f>IF(OR(G193&lt;15,G193=80),0,D_装备升级表!A193)</f>
        <v>0</v>
      </c>
      <c r="N193" s="78">
        <v>1</v>
      </c>
      <c r="O193" s="14">
        <f t="shared" si="50"/>
        <v>2500</v>
      </c>
      <c r="P193" s="14"/>
      <c r="Q193" s="14">
        <f>VLOOKUP($I193&amp;$F193&amp;$G193,装备属性表,装备属性计算表!AL$29,FALSE)</f>
        <v>4</v>
      </c>
      <c r="R193" s="14">
        <f ca="1">VLOOKUP(VLOOKUP($I193&amp;$F193&amp;$G193,装备属性表,装备属性计算表!AM$29,FALSE),定义数据!$B$13:$C$35,2,FALSE)</f>
        <v>3</v>
      </c>
      <c r="S193" s="14">
        <f ca="1">VLOOKUP($I193&amp;$F193&amp;$G193,装备属性表,装备属性计算表!AN$29,FALSE)</f>
        <v>134.21402953206243</v>
      </c>
      <c r="T193" s="14">
        <f ca="1">VLOOKUP(VLOOKUP($I193&amp;$F193&amp;$G193,装备属性表,装备属性计算表!AO$29,FALSE),定义数据!$B$13:$C$35,2,FALSE)</f>
        <v>7</v>
      </c>
      <c r="U193" s="14">
        <f ca="1">VLOOKUP($I193&amp;$F193&amp;$G193,装备属性表,装备属性计算表!AP$29,FALSE)</f>
        <v>203.12500000000003</v>
      </c>
      <c r="V193" s="14">
        <f ca="1">VLOOKUP(VLOOKUP($I193&amp;$F193&amp;$G193,装备属性表,装备属性计算表!AQ$29,FALSE),定义数据!$B$13:$C$35,2,FALSE)</f>
        <v>1</v>
      </c>
      <c r="W193" s="14">
        <f ca="1">VLOOKUP($I193&amp;$F193&amp;$G193,装备属性表,装备属性计算表!AR$29,FALSE)</f>
        <v>566.19564184214141</v>
      </c>
      <c r="X193" s="14">
        <f ca="1">VLOOKUP(VLOOKUP($I193&amp;$F193&amp;$G193,装备属性表,装备属性计算表!AS$29,FALSE),定义数据!$B$13:$C$35,2,FALSE)</f>
        <v>3</v>
      </c>
      <c r="Y193" s="14">
        <f ca="1">VLOOKUP($I193&amp;$F193&amp;$G193,装备属性表,装备属性计算表!AT$29,FALSE)</f>
        <v>12.427224956672447</v>
      </c>
      <c r="Z193" s="14">
        <f ca="1">VLOOKUP(VLOOKUP($I193&amp;$F193&amp;$G193,装备属性表,装备属性计算表!AU$29,FALSE),定义数据!$B$13:$C$35,2,FALSE)</f>
        <v>0</v>
      </c>
      <c r="AA193" s="14">
        <f>VLOOKUP($I193&amp;$F193&amp;$G193,装备属性表,装备属性计算表!AV$29,FALSE)</f>
        <v>0</v>
      </c>
      <c r="AB193" s="14">
        <f ca="1">VLOOKUP(VLOOKUP($I193&amp;$F193&amp;$G193,装备属性表,装备属性计算表!AW$29,FALSE),定义数据!$B$13:$C$35,2,FALSE)</f>
        <v>0</v>
      </c>
      <c r="AC193" s="14">
        <f>VLOOKUP($I193&amp;$F193&amp;$G193,装备属性表,装备属性计算表!AX$29,FALSE)</f>
        <v>0</v>
      </c>
      <c r="AD193" s="14">
        <f ca="1">VLOOKUP(VLOOKUP($I193&amp;$F193&amp;$G193,装备属性表,装备属性计算表!AY$29,FALSE),定义数据!$B$13:$C$35,2,FALSE)</f>
        <v>0</v>
      </c>
      <c r="AE193" s="14">
        <f>VLOOKUP($I193&amp;$F193&amp;$G193,装备属性表,装备属性计算表!AZ$29,FALSE)</f>
        <v>0</v>
      </c>
      <c r="AF193" s="14">
        <f ca="1">VLOOKUP(VLOOKUP($I193&amp;$F193&amp;$G193,装备属性表,装备属性计算表!BA$29,FALSE),定义数据!$B$13:$C$35,2,FALSE)</f>
        <v>0</v>
      </c>
      <c r="AG193" s="14">
        <f>VLOOKUP($I193&amp;$F193&amp;$G193,装备属性表,装备属性计算表!BB$29,FALSE)</f>
        <v>0</v>
      </c>
      <c r="AH193" s="14">
        <f ca="1">VLOOKUP(VLOOKUP($I193&amp;$F193&amp;$G193,装备属性表,装备属性计算表!BC$29,FALSE),定义数据!$B$13:$C$35,2,FALSE)</f>
        <v>0</v>
      </c>
      <c r="AI193" s="14">
        <f>VLOOKUP($I193&amp;$F193&amp;$G193,装备属性表,装备属性计算表!BD$29,FALSE)</f>
        <v>0</v>
      </c>
      <c r="AJ193" s="14">
        <f ca="1">VLOOKUP(VLOOKUP($I193&amp;$F193&amp;$G193,装备属性表,装备属性计算表!BE$29,FALSE),定义数据!$B$13:$C$35,2,FALSE)</f>
        <v>0</v>
      </c>
      <c r="AK193" s="14">
        <f>VLOOKUP($I193&amp;$F193&amp;$G193,装备属性表,装备属性计算表!BF$29,FALSE)</f>
        <v>0</v>
      </c>
      <c r="AL193" t="str">
        <f t="shared" si="53"/>
        <v>星宿长裤是一件80级紫色可升级的装备。</v>
      </c>
      <c r="AM193" t="str">
        <f>IF(D193=0,5,D193) &amp; F193&amp;"00"&amp;VLOOKUP(G193,定义数据!$F$20:$G$27,2,FALSE)&amp;".png"</f>
        <v>52006.png</v>
      </c>
      <c r="AN193" s="79">
        <f>IF(OR(G193&lt;15),0,D_装备升级表!A193)</f>
        <v>80022</v>
      </c>
      <c r="AP193">
        <f ca="1">VLOOKUP(G193&amp;I193&amp;F193,CHOOSE({1,2},装备属性计算表!$BK$32:$BK$187,装备属性计算表!$BJ$32:$BJ$187),2,FALSE)</f>
        <v>252.37472831056871</v>
      </c>
      <c r="AQ193">
        <f ca="1">AP193*'[1]0、经济设定'!$C$18</f>
        <v>12618.736415528436</v>
      </c>
      <c r="AR193">
        <f ca="1">IFERROR(AQ193*'[1]0、经济设定'!$E$19*AU193*AS193,0)</f>
        <v>617.70772558192186</v>
      </c>
      <c r="AS193">
        <v>10</v>
      </c>
      <c r="AT193">
        <f t="shared" si="56"/>
        <v>192</v>
      </c>
      <c r="AU193">
        <f ca="1">IF(F193=0,IFERROR(AT193/AP193/'[1]0、经济设定'!$E$18,0),AU192)</f>
        <v>2.4475815376481735</v>
      </c>
      <c r="AV193">
        <f t="shared" ca="1" si="55"/>
        <v>10094.989132422748</v>
      </c>
    </row>
    <row r="194" spans="1:48" x14ac:dyDescent="0.15">
      <c r="A194" s="14" t="str">
        <f t="shared" si="44"/>
        <v>55225</v>
      </c>
      <c r="B194" s="14" t="s">
        <v>363</v>
      </c>
      <c r="C194" s="14">
        <f>VLOOKUP($I194&amp;$F194&amp;$G194,装备属性表,装备属性计算表!AK$29,FALSE)</f>
        <v>25</v>
      </c>
      <c r="D194" s="14">
        <f t="shared" si="48"/>
        <v>0</v>
      </c>
      <c r="E194" s="14" t="str">
        <f>VLOOKUP(F194,CHOOSE({1,2},定义数据!$F$2:$F$7,武器部位),2)</f>
        <v>鞋子</v>
      </c>
      <c r="F194" s="14">
        <v>5</v>
      </c>
      <c r="G194" s="14">
        <v>80</v>
      </c>
      <c r="H194" s="14">
        <f t="shared" si="45"/>
        <v>80</v>
      </c>
      <c r="I194" s="14">
        <v>2</v>
      </c>
      <c r="J194" s="14" t="str">
        <f t="shared" si="46"/>
        <v>8025</v>
      </c>
      <c r="K194" s="14" t="str">
        <f t="shared" si="57"/>
        <v>8025</v>
      </c>
      <c r="L194" s="76"/>
      <c r="M194" s="14">
        <f>IF(OR(G194&lt;15,G194=80),0,D_装备升级表!A194)</f>
        <v>0</v>
      </c>
      <c r="N194" s="78">
        <v>1</v>
      </c>
      <c r="O194" s="14">
        <f t="shared" si="50"/>
        <v>2500</v>
      </c>
      <c r="P194" s="14"/>
      <c r="Q194" s="14">
        <f>VLOOKUP($I194&amp;$F194&amp;$G194,装备属性表,装备属性计算表!AL$29,FALSE)</f>
        <v>4</v>
      </c>
      <c r="R194" s="14">
        <f ca="1">VLOOKUP(VLOOKUP($I194&amp;$F194&amp;$G194,装备属性表,装备属性计算表!AM$29,FALSE),定义数据!$B$13:$C$35,2,FALSE)</f>
        <v>1</v>
      </c>
      <c r="S194" s="14">
        <f ca="1">VLOOKUP($I194&amp;$F194&amp;$G194,装备属性表,装备属性计算表!AN$29,FALSE)</f>
        <v>3057.4564659475636</v>
      </c>
      <c r="T194" s="14">
        <f ca="1">VLOOKUP(VLOOKUP($I194&amp;$F194&amp;$G194,装备属性表,装备属性计算表!AO$29,FALSE),定义数据!$B$13:$C$35,2,FALSE)</f>
        <v>7</v>
      </c>
      <c r="U194" s="14">
        <f ca="1">VLOOKUP($I194&amp;$F194&amp;$G194,装备属性表,装备属性计算表!AP$29,FALSE)</f>
        <v>406.25000000000006</v>
      </c>
      <c r="V194" s="14">
        <f ca="1">VLOOKUP(VLOOKUP($I194&amp;$F194&amp;$G194,装备属性表,装备属性计算表!AQ$29,FALSE),定义数据!$B$13:$C$35,2,FALSE)</f>
        <v>1</v>
      </c>
      <c r="W194" s="14">
        <f ca="1">VLOOKUP($I194&amp;$F194&amp;$G194,装备属性表,装备属性计算表!AR$29,FALSE)</f>
        <v>566.19564184214141</v>
      </c>
      <c r="X194" s="14">
        <f ca="1">VLOOKUP(VLOOKUP($I194&amp;$F194&amp;$G194,装备属性表,装备属性计算表!AS$29,FALSE),定义数据!$B$13:$C$35,2,FALSE)</f>
        <v>7</v>
      </c>
      <c r="Y194" s="14">
        <f ca="1">VLOOKUP($I194&amp;$F194&amp;$G194,装备属性表,装备属性计算表!AT$29,FALSE)</f>
        <v>54.166666666666679</v>
      </c>
      <c r="Z194" s="14">
        <f ca="1">VLOOKUP(VLOOKUP($I194&amp;$F194&amp;$G194,装备属性表,装备属性计算表!AU$29,FALSE),定义数据!$B$13:$C$35,2,FALSE)</f>
        <v>0</v>
      </c>
      <c r="AA194" s="14">
        <f>VLOOKUP($I194&amp;$F194&amp;$G194,装备属性表,装备属性计算表!AV$29,FALSE)</f>
        <v>0</v>
      </c>
      <c r="AB194" s="14">
        <f ca="1">VLOOKUP(VLOOKUP($I194&amp;$F194&amp;$G194,装备属性表,装备属性计算表!AW$29,FALSE),定义数据!$B$13:$C$35,2,FALSE)</f>
        <v>0</v>
      </c>
      <c r="AC194" s="14">
        <f>VLOOKUP($I194&amp;$F194&amp;$G194,装备属性表,装备属性计算表!AX$29,FALSE)</f>
        <v>0</v>
      </c>
      <c r="AD194" s="14">
        <f ca="1">VLOOKUP(VLOOKUP($I194&amp;$F194&amp;$G194,装备属性表,装备属性计算表!AY$29,FALSE),定义数据!$B$13:$C$35,2,FALSE)</f>
        <v>0</v>
      </c>
      <c r="AE194" s="14">
        <f>VLOOKUP($I194&amp;$F194&amp;$G194,装备属性表,装备属性计算表!AZ$29,FALSE)</f>
        <v>0</v>
      </c>
      <c r="AF194" s="14">
        <f ca="1">VLOOKUP(VLOOKUP($I194&amp;$F194&amp;$G194,装备属性表,装备属性计算表!BA$29,FALSE),定义数据!$B$13:$C$35,2,FALSE)</f>
        <v>0</v>
      </c>
      <c r="AG194" s="14">
        <f>VLOOKUP($I194&amp;$F194&amp;$G194,装备属性表,装备属性计算表!BB$29,FALSE)</f>
        <v>0</v>
      </c>
      <c r="AH194" s="14">
        <f ca="1">VLOOKUP(VLOOKUP($I194&amp;$F194&amp;$G194,装备属性表,装备属性计算表!BC$29,FALSE),定义数据!$B$13:$C$35,2,FALSE)</f>
        <v>0</v>
      </c>
      <c r="AI194" s="14">
        <f>VLOOKUP($I194&amp;$F194&amp;$G194,装备属性表,装备属性计算表!BD$29,FALSE)</f>
        <v>0</v>
      </c>
      <c r="AJ194" s="14">
        <f ca="1">VLOOKUP(VLOOKUP($I194&amp;$F194&amp;$G194,装备属性表,装备属性计算表!BE$29,FALSE),定义数据!$B$13:$C$35,2,FALSE)</f>
        <v>0</v>
      </c>
      <c r="AK194" s="14">
        <f>VLOOKUP($I194&amp;$F194&amp;$G194,装备属性表,装备属性计算表!BF$29,FALSE)</f>
        <v>0</v>
      </c>
      <c r="AL194" t="str">
        <f t="shared" si="53"/>
        <v>星宿长靴是一件80级紫色可升级的装备。</v>
      </c>
      <c r="AM194" t="str">
        <f>IF(D194=0,5,D194) &amp; F194&amp;"00"&amp;VLOOKUP(G194,定义数据!$F$20:$G$27,2,FALSE)&amp;".png"</f>
        <v>55006.png</v>
      </c>
      <c r="AN194" s="79">
        <f>IF(OR(G194&lt;15),0,D_装备升级表!A194)</f>
        <v>80025</v>
      </c>
      <c r="AP194">
        <f ca="1">VLOOKUP(G194&amp;I194&amp;F194,CHOOSE({1,2},装备属性计算表!$BK$32:$BK$187,装备属性计算表!$BJ$32:$BJ$187),2,FALSE)</f>
        <v>319.72386208936598</v>
      </c>
      <c r="AQ194">
        <f ca="1">AP194*'[1]0、经济设定'!$C$18</f>
        <v>15986.193104468299</v>
      </c>
      <c r="AR194">
        <f ca="1">IFERROR(AQ194*'[1]0、经济设定'!$E$19*AU194*AS194,0)</f>
        <v>782.55022199550297</v>
      </c>
      <c r="AS194">
        <v>10</v>
      </c>
      <c r="AT194">
        <f t="shared" si="56"/>
        <v>192</v>
      </c>
      <c r="AU194">
        <f ca="1">IF(F194=0,IFERROR(AT194/AP194/'[1]0、经济设定'!$E$18,0),AU193)</f>
        <v>2.4475815376481735</v>
      </c>
      <c r="AV194">
        <f t="shared" ca="1" si="55"/>
        <v>12788.954483574638</v>
      </c>
    </row>
    <row r="195" spans="1:48" x14ac:dyDescent="0.15">
      <c r="A195" s="14" t="str">
        <f t="shared" si="44"/>
        <v>54225</v>
      </c>
      <c r="B195" s="14" t="s">
        <v>364</v>
      </c>
      <c r="C195" s="14">
        <f>VLOOKUP($I195&amp;$F195&amp;$G195,装备属性表,装备属性计算表!AK$29,FALSE)</f>
        <v>25</v>
      </c>
      <c r="D195" s="14">
        <f t="shared" si="48"/>
        <v>0</v>
      </c>
      <c r="E195" s="14" t="str">
        <f>VLOOKUP(F195,CHOOSE({1,2},定义数据!$F$2:$F$7,武器部位),2)</f>
        <v>腰带</v>
      </c>
      <c r="F195" s="14">
        <v>4</v>
      </c>
      <c r="G195" s="14">
        <v>80</v>
      </c>
      <c r="H195" s="14">
        <f t="shared" si="45"/>
        <v>80</v>
      </c>
      <c r="I195" s="14">
        <v>2</v>
      </c>
      <c r="J195" s="14" t="str">
        <f t="shared" si="46"/>
        <v>8024</v>
      </c>
      <c r="K195" s="14" t="str">
        <f t="shared" si="57"/>
        <v>8024</v>
      </c>
      <c r="L195" s="76"/>
      <c r="M195" s="14">
        <f>IF(OR(G195&lt;15,G195=80),0,D_装备升级表!A195)</f>
        <v>0</v>
      </c>
      <c r="N195" s="78">
        <v>1</v>
      </c>
      <c r="O195" s="14">
        <f t="shared" si="50"/>
        <v>2500</v>
      </c>
      <c r="P195" s="14"/>
      <c r="Q195" s="14">
        <f>VLOOKUP($I195&amp;$F195&amp;$G195,装备属性表,装备属性计算表!AL$29,FALSE)</f>
        <v>4</v>
      </c>
      <c r="R195" s="14">
        <f ca="1">VLOOKUP(VLOOKUP($I195&amp;$F195&amp;$G195,装备属性表,装备属性计算表!AM$29,FALSE),定义数据!$B$13:$C$35,2,FALSE)</f>
        <v>1</v>
      </c>
      <c r="S195" s="14">
        <f ca="1">VLOOKUP($I195&amp;$F195&amp;$G195,装备属性表,装备属性计算表!AN$29,FALSE)</f>
        <v>3057.4564659475636</v>
      </c>
      <c r="T195" s="14">
        <f ca="1">VLOOKUP(VLOOKUP($I195&amp;$F195&amp;$G195,装备属性表,装备属性计算表!AO$29,FALSE),定义数据!$B$13:$C$35,2,FALSE)</f>
        <v>9</v>
      </c>
      <c r="U195" s="14">
        <f ca="1">VLOOKUP($I195&amp;$F195&amp;$G195,装备属性表,装备属性计算表!AP$29,FALSE)</f>
        <v>361.11111111111114</v>
      </c>
      <c r="V195" s="14">
        <f ca="1">VLOOKUP(VLOOKUP($I195&amp;$F195&amp;$G195,装备属性表,装备属性计算表!AQ$29,FALSE),定义数据!$B$13:$C$35,2,FALSE)</f>
        <v>1</v>
      </c>
      <c r="W195" s="14">
        <f ca="1">VLOOKUP($I195&amp;$F195&amp;$G195,装备属性表,装备属性计算表!AR$29,FALSE)</f>
        <v>1132.3912836842828</v>
      </c>
      <c r="X195" s="14">
        <f ca="1">VLOOKUP(VLOOKUP($I195&amp;$F195&amp;$G195,装备属性表,装备属性计算表!AS$29,FALSE),定义数据!$B$13:$C$35,2,FALSE)</f>
        <v>2</v>
      </c>
      <c r="Y195" s="14">
        <f ca="1">VLOOKUP($I195&amp;$F195&amp;$G195,装备属性表,装备属性计算表!AT$29,FALSE)</f>
        <v>34.510470160427822</v>
      </c>
      <c r="Z195" s="14">
        <f ca="1">VLOOKUP(VLOOKUP($I195&amp;$F195&amp;$G195,装备属性表,装备属性计算表!AU$29,FALSE),定义数据!$B$13:$C$35,2,FALSE)</f>
        <v>0</v>
      </c>
      <c r="AA195" s="14">
        <f>VLOOKUP($I195&amp;$F195&amp;$G195,装备属性表,装备属性计算表!AV$29,FALSE)</f>
        <v>0</v>
      </c>
      <c r="AB195" s="14">
        <f ca="1">VLOOKUP(VLOOKUP($I195&amp;$F195&amp;$G195,装备属性表,装备属性计算表!AW$29,FALSE),定义数据!$B$13:$C$35,2,FALSE)</f>
        <v>0</v>
      </c>
      <c r="AC195" s="14">
        <f>VLOOKUP($I195&amp;$F195&amp;$G195,装备属性表,装备属性计算表!AX$29,FALSE)</f>
        <v>0</v>
      </c>
      <c r="AD195" s="14">
        <f ca="1">VLOOKUP(VLOOKUP($I195&amp;$F195&amp;$G195,装备属性表,装备属性计算表!AY$29,FALSE),定义数据!$B$13:$C$35,2,FALSE)</f>
        <v>0</v>
      </c>
      <c r="AE195" s="14">
        <f>VLOOKUP($I195&amp;$F195&amp;$G195,装备属性表,装备属性计算表!AZ$29,FALSE)</f>
        <v>0</v>
      </c>
      <c r="AF195" s="14">
        <f ca="1">VLOOKUP(VLOOKUP($I195&amp;$F195&amp;$G195,装备属性表,装备属性计算表!BA$29,FALSE),定义数据!$B$13:$C$35,2,FALSE)</f>
        <v>0</v>
      </c>
      <c r="AG195" s="14">
        <f>VLOOKUP($I195&amp;$F195&amp;$G195,装备属性表,装备属性计算表!BB$29,FALSE)</f>
        <v>0</v>
      </c>
      <c r="AH195" s="14">
        <f ca="1">VLOOKUP(VLOOKUP($I195&amp;$F195&amp;$G195,装备属性表,装备属性计算表!BC$29,FALSE),定义数据!$B$13:$C$35,2,FALSE)</f>
        <v>0</v>
      </c>
      <c r="AI195" s="14">
        <f>VLOOKUP($I195&amp;$F195&amp;$G195,装备属性表,装备属性计算表!BD$29,FALSE)</f>
        <v>0</v>
      </c>
      <c r="AJ195" s="14">
        <f ca="1">VLOOKUP(VLOOKUP($I195&amp;$F195&amp;$G195,装备属性表,装备属性计算表!BE$29,FALSE),定义数据!$B$13:$C$35,2,FALSE)</f>
        <v>0</v>
      </c>
      <c r="AK195" s="14">
        <f>VLOOKUP($I195&amp;$F195&amp;$G195,装备属性表,装备属性计算表!BF$29,FALSE)</f>
        <v>0</v>
      </c>
      <c r="AL195" t="str">
        <f t="shared" si="53"/>
        <v>星宿腰带是一件80级紫色可升级的装备。</v>
      </c>
      <c r="AM195" t="str">
        <f>IF(D195=0,5,D195) &amp; F195&amp;"00"&amp;VLOOKUP(G195,定义数据!$F$20:$G$27,2,FALSE)&amp;".png"</f>
        <v>54006.png</v>
      </c>
      <c r="AN195" s="79">
        <f>IF(OR(G195&lt;15),0,D_装备升级表!A195)</f>
        <v>80024</v>
      </c>
      <c r="AP195">
        <f ca="1">VLOOKUP(G195&amp;I195&amp;F195,CHOOSE({1,2},装备属性计算表!$BK$32:$BK$187,装备属性计算表!$BJ$32:$BJ$187),2,FALSE)</f>
        <v>284.34641991718894</v>
      </c>
      <c r="AQ195">
        <f ca="1">AP195*'[1]0、经济设定'!$C$18</f>
        <v>14217.320995859447</v>
      </c>
      <c r="AR195">
        <f ca="1">IFERROR(AQ195*'[1]0、经济设定'!$E$19*AU195*AS195,0)</f>
        <v>695.96104768566659</v>
      </c>
      <c r="AS195">
        <v>10</v>
      </c>
      <c r="AT195">
        <f t="shared" si="56"/>
        <v>192</v>
      </c>
      <c r="AU195">
        <f ca="1">IF(F195=0,IFERROR(AT195/AP195/'[1]0、经济设定'!$E$18,0),AU194)</f>
        <v>2.4475815376481735</v>
      </c>
      <c r="AV195">
        <f t="shared" ca="1" si="55"/>
        <v>11373.856796687558</v>
      </c>
    </row>
    <row r="196" spans="1:48" x14ac:dyDescent="0.15">
      <c r="A196" s="14" t="str">
        <f t="shared" si="44"/>
        <v>53225</v>
      </c>
      <c r="B196" s="14" t="s">
        <v>365</v>
      </c>
      <c r="C196" s="14">
        <f>VLOOKUP($I196&amp;$F196&amp;$G196,装备属性表,装备属性计算表!AK$29,FALSE)</f>
        <v>25</v>
      </c>
      <c r="D196" s="14">
        <f t="shared" si="48"/>
        <v>0</v>
      </c>
      <c r="E196" s="14" t="str">
        <f>VLOOKUP(F196,CHOOSE({1,2},定义数据!$F$2:$F$7,武器部位),2)</f>
        <v>项链</v>
      </c>
      <c r="F196" s="14">
        <v>3</v>
      </c>
      <c r="G196" s="14">
        <v>80</v>
      </c>
      <c r="H196" s="14">
        <f t="shared" si="45"/>
        <v>80</v>
      </c>
      <c r="I196" s="14">
        <v>2</v>
      </c>
      <c r="J196" s="14" t="str">
        <f t="shared" si="46"/>
        <v>8023</v>
      </c>
      <c r="K196" s="14" t="str">
        <f t="shared" si="57"/>
        <v>8023</v>
      </c>
      <c r="L196" s="76"/>
      <c r="M196" s="14">
        <f>IF(OR(G196&lt;15,G196=80),0,D_装备升级表!A196)</f>
        <v>0</v>
      </c>
      <c r="N196" s="78">
        <v>1</v>
      </c>
      <c r="O196" s="14">
        <f t="shared" si="50"/>
        <v>2500</v>
      </c>
      <c r="P196" s="14"/>
      <c r="Q196" s="14">
        <f>VLOOKUP($I196&amp;$F196&amp;$G196,装备属性表,装备属性计算表!AL$29,FALSE)</f>
        <v>4</v>
      </c>
      <c r="R196" s="14">
        <f ca="1">VLOOKUP(VLOOKUP($I196&amp;$F196&amp;$G196,装备属性表,装备属性计算表!AM$29,FALSE),定义数据!$B$13:$C$35,2,FALSE)</f>
        <v>2</v>
      </c>
      <c r="S196" s="14">
        <f ca="1">VLOOKUP($I196&amp;$F196&amp;$G196,装备属性表,装备属性计算表!AN$29,FALSE)</f>
        <v>194.12139465240648</v>
      </c>
      <c r="T196" s="14">
        <f ca="1">VLOOKUP(VLOOKUP($I196&amp;$F196&amp;$G196,装备属性表,装备属性计算表!AO$29,FALSE),定义数据!$B$13:$C$35,2,FALSE)</f>
        <v>6</v>
      </c>
      <c r="U196" s="14">
        <f ca="1">VLOOKUP($I196&amp;$F196&amp;$G196,装备属性表,装备属性计算表!AP$29,FALSE)</f>
        <v>609.375</v>
      </c>
      <c r="V196" s="14">
        <f ca="1">VLOOKUP(VLOOKUP($I196&amp;$F196&amp;$G196,装备属性表,装备属性计算表!AQ$29,FALSE),定义数据!$B$13:$C$35,2,FALSE)</f>
        <v>2</v>
      </c>
      <c r="W196" s="14">
        <f ca="1">VLOOKUP($I196&amp;$F196&amp;$G196,装备属性表,装备属性计算表!AR$29,FALSE)</f>
        <v>34.510470160427822</v>
      </c>
      <c r="X196" s="14">
        <f ca="1">VLOOKUP(VLOOKUP($I196&amp;$F196&amp;$G196,装备属性表,装备属性计算表!AS$29,FALSE),定义数据!$B$13:$C$35,2,FALSE)</f>
        <v>7</v>
      </c>
      <c r="Y196" s="14">
        <f ca="1">VLOOKUP($I196&amp;$F196&amp;$G196,装备属性表,装备属性计算表!AT$29,FALSE)</f>
        <v>27.083333333333339</v>
      </c>
      <c r="Z196" s="14">
        <f ca="1">VLOOKUP(VLOOKUP($I196&amp;$F196&amp;$G196,装备属性表,装备属性计算表!AU$29,FALSE),定义数据!$B$13:$C$35,2,FALSE)</f>
        <v>0</v>
      </c>
      <c r="AA196" s="14">
        <f>VLOOKUP($I196&amp;$F196&amp;$G196,装备属性表,装备属性计算表!AV$29,FALSE)</f>
        <v>0</v>
      </c>
      <c r="AB196" s="14">
        <f ca="1">VLOOKUP(VLOOKUP($I196&amp;$F196&amp;$G196,装备属性表,装备属性计算表!AW$29,FALSE),定义数据!$B$13:$C$35,2,FALSE)</f>
        <v>0</v>
      </c>
      <c r="AC196" s="14">
        <f>VLOOKUP($I196&amp;$F196&amp;$G196,装备属性表,装备属性计算表!AX$29,FALSE)</f>
        <v>0</v>
      </c>
      <c r="AD196" s="14">
        <f ca="1">VLOOKUP(VLOOKUP($I196&amp;$F196&amp;$G196,装备属性表,装备属性计算表!AY$29,FALSE),定义数据!$B$13:$C$35,2,FALSE)</f>
        <v>0</v>
      </c>
      <c r="AE196" s="14">
        <f>VLOOKUP($I196&amp;$F196&amp;$G196,装备属性表,装备属性计算表!AZ$29,FALSE)</f>
        <v>0</v>
      </c>
      <c r="AF196" s="14">
        <f ca="1">VLOOKUP(VLOOKUP($I196&amp;$F196&amp;$G196,装备属性表,装备属性计算表!BA$29,FALSE),定义数据!$B$13:$C$35,2,FALSE)</f>
        <v>0</v>
      </c>
      <c r="AG196" s="14">
        <f>VLOOKUP($I196&amp;$F196&amp;$G196,装备属性表,装备属性计算表!BB$29,FALSE)</f>
        <v>0</v>
      </c>
      <c r="AH196" s="14">
        <f ca="1">VLOOKUP(VLOOKUP($I196&amp;$F196&amp;$G196,装备属性表,装备属性计算表!BC$29,FALSE),定义数据!$B$13:$C$35,2,FALSE)</f>
        <v>0</v>
      </c>
      <c r="AI196" s="14">
        <f>VLOOKUP($I196&amp;$F196&amp;$G196,装备属性表,装备属性计算表!BD$29,FALSE)</f>
        <v>0</v>
      </c>
      <c r="AJ196" s="14">
        <f ca="1">VLOOKUP(VLOOKUP($I196&amp;$F196&amp;$G196,装备属性表,装备属性计算表!BE$29,FALSE),定义数据!$B$13:$C$35,2,FALSE)</f>
        <v>0</v>
      </c>
      <c r="AK196" s="14">
        <f>VLOOKUP($I196&amp;$F196&amp;$G196,装备属性表,装备属性计算表!BF$29,FALSE)</f>
        <v>0</v>
      </c>
      <c r="AL196" t="str">
        <f t="shared" si="53"/>
        <v>星宿项链是一件80级紫色可升级的装备。</v>
      </c>
      <c r="AM196" t="str">
        <f>IF(D196=0,5,D196) &amp; F196&amp;"00"&amp;VLOOKUP(G196,定义数据!$F$20:$G$27,2,FALSE)&amp;".png"</f>
        <v>53006.png</v>
      </c>
      <c r="AN196" s="79">
        <f>IF(OR(G196&lt;15),0,D_装备升级表!A196)</f>
        <v>80023</v>
      </c>
      <c r="AP196">
        <f ca="1">VLOOKUP(G196&amp;I196&amp;F196,CHOOSE({1,2},装备属性计算表!$BK$32:$BK$187,装备属性计算表!$BJ$32:$BJ$187),2,FALSE)</f>
        <v>466.15269814616761</v>
      </c>
      <c r="AQ196">
        <f ca="1">AP196*'[1]0、经济设定'!$C$18</f>
        <v>23307.63490730838</v>
      </c>
      <c r="AR196">
        <f ca="1">IFERROR(AQ196*'[1]0、经济设定'!$E$19*AU196*AS196,0)</f>
        <v>1140.9467377074418</v>
      </c>
      <c r="AS196">
        <v>10</v>
      </c>
      <c r="AT196">
        <f t="shared" si="56"/>
        <v>192</v>
      </c>
      <c r="AU196">
        <f ca="1">IF(F196=0,IFERROR(AT196/AP196/'[1]0、经济设定'!$E$18,0),AU195)</f>
        <v>2.4475815376481735</v>
      </c>
      <c r="AV196">
        <f t="shared" ca="1" si="55"/>
        <v>18646.107925846703</v>
      </c>
    </row>
    <row r="197" spans="1:48" x14ac:dyDescent="0.15">
      <c r="A197" s="14" t="str">
        <f t="shared" si="44"/>
        <v>10326</v>
      </c>
      <c r="B197" s="14" t="s">
        <v>610</v>
      </c>
      <c r="C197" s="14">
        <f>VLOOKUP($I197&amp;$F197&amp;$G197,装备属性表,装备属性计算表!AK$29,FALSE)</f>
        <v>26</v>
      </c>
      <c r="D197" s="14">
        <f t="shared" ref="D197:D204" si="58">D173</f>
        <v>1</v>
      </c>
      <c r="E197" s="14" t="str">
        <f>VLOOKUP(F197,CHOOSE({1,2},定义数据!$F$2:$F$7,武器部位),2)</f>
        <v>武器</v>
      </c>
      <c r="F197" s="14">
        <v>0</v>
      </c>
      <c r="G197" s="14">
        <v>80</v>
      </c>
      <c r="H197" s="14">
        <f t="shared" si="45"/>
        <v>80</v>
      </c>
      <c r="I197" s="14">
        <v>3</v>
      </c>
      <c r="J197" s="14" t="str">
        <f t="shared" si="46"/>
        <v>8030</v>
      </c>
      <c r="K197" s="14" t="str">
        <f t="shared" si="47"/>
        <v>8030</v>
      </c>
      <c r="L197" s="76"/>
      <c r="M197" s="14">
        <f>IF(OR(G197&lt;15,G197=80),0,D_装备升级表!A197)</f>
        <v>0</v>
      </c>
      <c r="N197" s="78">
        <v>1</v>
      </c>
      <c r="O197" s="14">
        <f t="shared" si="50"/>
        <v>2600</v>
      </c>
      <c r="P197" s="14"/>
      <c r="Q197" s="14">
        <f>VLOOKUP($I197&amp;$F197&amp;$G197,装备属性表,装备属性计算表!AL$29,FALSE)</f>
        <v>5</v>
      </c>
      <c r="R197" s="14">
        <f ca="1">VLOOKUP(VLOOKUP($I197&amp;$F197&amp;$G197,装备属性表,装备属性计算表!AM$29,FALSE),定义数据!$B$13:$C$35,2,FALSE)</f>
        <v>2</v>
      </c>
      <c r="S197" s="14">
        <f ca="1">VLOOKUP($I197&amp;$F197&amp;$G197,装备属性表,装备属性计算表!AN$29,FALSE)</f>
        <v>676.93614545454568</v>
      </c>
      <c r="T197" s="14">
        <f ca="1">VLOOKUP(VLOOKUP($I197&amp;$F197&amp;$G197,装备属性表,装备属性计算表!AO$29,FALSE),定义数据!$B$13:$C$35,2,FALSE)</f>
        <v>8</v>
      </c>
      <c r="U197" s="14">
        <f ca="1">VLOOKUP($I197&amp;$F197&amp;$G197,装备属性表,装备属性计算表!AP$29,FALSE)</f>
        <v>419.75308641975312</v>
      </c>
      <c r="V197" s="14">
        <f ca="1">VLOOKUP(VLOOKUP($I197&amp;$F197&amp;$G197,装备属性表,装备属性计算表!AQ$29,FALSE),定义数据!$B$13:$C$35,2,FALSE)</f>
        <v>2</v>
      </c>
      <c r="W197" s="14">
        <f ca="1">VLOOKUP($I197&amp;$F197&amp;$G197,装备属性表,装备属性计算表!AR$29,FALSE)</f>
        <v>203.08084363636374</v>
      </c>
      <c r="X197" s="14">
        <f ca="1">VLOOKUP(VLOOKUP($I197&amp;$F197&amp;$G197,装备属性表,装备属性计算表!AS$29,FALSE),定义数据!$B$13:$C$35,2,FALSE)</f>
        <v>3</v>
      </c>
      <c r="Y197" s="14">
        <f ca="1">VLOOKUP($I197&amp;$F197&amp;$G197,装备属性表,装备属性计算表!AT$29,FALSE)</f>
        <v>24.376479722703642</v>
      </c>
      <c r="Z197" s="14">
        <f ca="1">VLOOKUP(VLOOKUP($I197&amp;$F197&amp;$G197,装备属性表,装备属性计算表!AU$29,FALSE),定义数据!$B$13:$C$35,2,FALSE)</f>
        <v>6</v>
      </c>
      <c r="AA197" s="14">
        <f ca="1">VLOOKUP($I197&amp;$F197&amp;$G197,装备属性表,装备属性计算表!AV$29,FALSE)</f>
        <v>88.541666666666671</v>
      </c>
      <c r="AB197" s="14">
        <f ca="1">VLOOKUP(VLOOKUP($I197&amp;$F197&amp;$G197,装备属性表,装备属性计算表!AW$29,FALSE),定义数据!$B$13:$C$35,2,FALSE)</f>
        <v>0</v>
      </c>
      <c r="AC197" s="14">
        <f>VLOOKUP($I197&amp;$F197&amp;$G197,装备属性表,装备属性计算表!AX$29,FALSE)</f>
        <v>0</v>
      </c>
      <c r="AD197" s="14">
        <f ca="1">VLOOKUP(VLOOKUP($I197&amp;$F197&amp;$G197,装备属性表,装备属性计算表!AY$29,FALSE),定义数据!$B$13:$C$35,2,FALSE)</f>
        <v>0</v>
      </c>
      <c r="AE197" s="14">
        <f>VLOOKUP($I197&amp;$F197&amp;$G197,装备属性表,装备属性计算表!AZ$29,FALSE)</f>
        <v>0</v>
      </c>
      <c r="AF197" s="14">
        <f ca="1">VLOOKUP(VLOOKUP($I197&amp;$F197&amp;$G197,装备属性表,装备属性计算表!BA$29,FALSE),定义数据!$B$13:$C$35,2,FALSE)</f>
        <v>0</v>
      </c>
      <c r="AG197" s="14">
        <f>VLOOKUP($I197&amp;$F197&amp;$G197,装备属性表,装备属性计算表!BB$29,FALSE)</f>
        <v>0</v>
      </c>
      <c r="AH197" s="14">
        <f ca="1">VLOOKUP(VLOOKUP($I197&amp;$F197&amp;$G197,装备属性表,装备属性计算表!BC$29,FALSE),定义数据!$B$13:$C$35,2,FALSE)</f>
        <v>0</v>
      </c>
      <c r="AI197" s="14">
        <f>VLOOKUP($I197&amp;$F197&amp;$G197,装备属性表,装备属性计算表!BD$29,FALSE)</f>
        <v>0</v>
      </c>
      <c r="AJ197" s="14">
        <f ca="1">VLOOKUP(VLOOKUP($I197&amp;$F197&amp;$G197,装备属性表,装备属性计算表!BE$29,FALSE),定义数据!$B$13:$C$35,2,FALSE)</f>
        <v>0</v>
      </c>
      <c r="AK197" s="14">
        <f>VLOOKUP($I197&amp;$F197&amp;$G197,装备属性表,装备属性计算表!BF$29,FALSE)</f>
        <v>0</v>
      </c>
      <c r="AL197" t="str">
        <f t="shared" si="53"/>
        <v>炼狱之剑是一件80级橙色可升级的装备。</v>
      </c>
      <c r="AM197" t="str">
        <f>IF(D197=0,5,D197) &amp; F197&amp;"00"&amp;VLOOKUP(G197,定义数据!$F$20:$G$27,2,FALSE)&amp;".png"</f>
        <v>10006.png</v>
      </c>
      <c r="AN197" s="79">
        <f>IF(OR(G197&lt;15),0,D_装备升级表!A197)</f>
        <v>80130</v>
      </c>
      <c r="AP197">
        <f ca="1">VLOOKUP(G197&amp;I197&amp;F197,CHOOSE({1,2},装备属性计算表!$BK$32:$BK$187,装备属性计算表!$BJ$32:$BJ$187),2,FALSE)</f>
        <v>1021.3865243691686</v>
      </c>
      <c r="AQ197">
        <f ca="1">AP197*'[1]0、经济设定'!$C$18</f>
        <v>51069.326218458431</v>
      </c>
      <c r="AR197">
        <f ca="1">IFERROR(AQ197*'[1]0、经济设定'!$E$19*AU197*AS197,0)</f>
        <v>4800.0000000000009</v>
      </c>
      <c r="AS197">
        <v>10</v>
      </c>
      <c r="AT197">
        <f t="shared" si="56"/>
        <v>480</v>
      </c>
      <c r="AU197">
        <f ca="1">IF(F197=0,IFERROR(AT197/AP197/'[1]0、经济设定'!$E$18,0),AU196)</f>
        <v>4.6994941537578914</v>
      </c>
      <c r="AV197">
        <f t="shared" ca="1" si="55"/>
        <v>40855.460974766742</v>
      </c>
    </row>
    <row r="198" spans="1:48" x14ac:dyDescent="0.15">
      <c r="A198" s="14" t="str">
        <f t="shared" si="44"/>
        <v>20326</v>
      </c>
      <c r="B198" s="14" t="s">
        <v>611</v>
      </c>
      <c r="C198" s="14">
        <f>VLOOKUP($I198&amp;$F198&amp;$G198,装备属性表,装备属性计算表!AK$29,FALSE)</f>
        <v>26</v>
      </c>
      <c r="D198" s="14">
        <f t="shared" si="58"/>
        <v>2</v>
      </c>
      <c r="E198" s="14" t="str">
        <f>VLOOKUP(F198,CHOOSE({1,2},定义数据!$F$2:$F$7,武器部位),2)</f>
        <v>武器</v>
      </c>
      <c r="F198" s="14">
        <v>0</v>
      </c>
      <c r="G198" s="14">
        <v>80</v>
      </c>
      <c r="H198" s="14">
        <f t="shared" si="45"/>
        <v>80</v>
      </c>
      <c r="I198" s="14">
        <v>3</v>
      </c>
      <c r="J198" s="14" t="str">
        <f t="shared" si="46"/>
        <v>8030</v>
      </c>
      <c r="K198" s="14" t="str">
        <f t="shared" si="47"/>
        <v>8030</v>
      </c>
      <c r="L198" s="76"/>
      <c r="M198" s="14">
        <f>IF(OR(G198&lt;15,G198=80),0,D_装备升级表!A198)</f>
        <v>0</v>
      </c>
      <c r="N198" s="78">
        <v>1</v>
      </c>
      <c r="O198" s="14">
        <f t="shared" si="50"/>
        <v>2600</v>
      </c>
      <c r="P198" s="14"/>
      <c r="Q198" s="14">
        <f>VLOOKUP($I198&amp;$F198&amp;$G198,装备属性表,装备属性计算表!AL$29,FALSE)</f>
        <v>5</v>
      </c>
      <c r="R198" s="14">
        <f ca="1">VLOOKUP(VLOOKUP($I198&amp;$F198&amp;$G198,装备属性表,装备属性计算表!AM$29,FALSE),定义数据!$B$13:$C$35,2,FALSE)</f>
        <v>2</v>
      </c>
      <c r="S198" s="14">
        <f ca="1">VLOOKUP($I198&amp;$F198&amp;$G198,装备属性表,装备属性计算表!AN$29,FALSE)</f>
        <v>676.93614545454568</v>
      </c>
      <c r="T198" s="14">
        <f ca="1">VLOOKUP(VLOOKUP($I198&amp;$F198&amp;$G198,装备属性表,装备属性计算表!AO$29,FALSE),定义数据!$B$13:$C$35,2,FALSE)</f>
        <v>8</v>
      </c>
      <c r="U198" s="14">
        <f ca="1">VLOOKUP($I198&amp;$F198&amp;$G198,装备属性表,装备属性计算表!AP$29,FALSE)</f>
        <v>419.75308641975312</v>
      </c>
      <c r="V198" s="14">
        <f ca="1">VLOOKUP(VLOOKUP($I198&amp;$F198&amp;$G198,装备属性表,装备属性计算表!AQ$29,FALSE),定义数据!$B$13:$C$35,2,FALSE)</f>
        <v>2</v>
      </c>
      <c r="W198" s="14">
        <f ca="1">VLOOKUP($I198&amp;$F198&amp;$G198,装备属性表,装备属性计算表!AR$29,FALSE)</f>
        <v>203.08084363636374</v>
      </c>
      <c r="X198" s="14">
        <f ca="1">VLOOKUP(VLOOKUP($I198&amp;$F198&amp;$G198,装备属性表,装备属性计算表!AS$29,FALSE),定义数据!$B$13:$C$35,2,FALSE)</f>
        <v>3</v>
      </c>
      <c r="Y198" s="14">
        <f ca="1">VLOOKUP($I198&amp;$F198&amp;$G198,装备属性表,装备属性计算表!AT$29,FALSE)</f>
        <v>24.376479722703642</v>
      </c>
      <c r="Z198" s="14">
        <f ca="1">VLOOKUP(VLOOKUP($I198&amp;$F198&amp;$G198,装备属性表,装备属性计算表!AU$29,FALSE),定义数据!$B$13:$C$35,2,FALSE)</f>
        <v>6</v>
      </c>
      <c r="AA198" s="14">
        <f ca="1">VLOOKUP($I198&amp;$F198&amp;$G198,装备属性表,装备属性计算表!AV$29,FALSE)</f>
        <v>88.541666666666671</v>
      </c>
      <c r="AB198" s="14">
        <f ca="1">VLOOKUP(VLOOKUP($I198&amp;$F198&amp;$G198,装备属性表,装备属性计算表!AW$29,FALSE),定义数据!$B$13:$C$35,2,FALSE)</f>
        <v>0</v>
      </c>
      <c r="AC198" s="14">
        <f>VLOOKUP($I198&amp;$F198&amp;$G198,装备属性表,装备属性计算表!AX$29,FALSE)</f>
        <v>0</v>
      </c>
      <c r="AD198" s="14">
        <f ca="1">VLOOKUP(VLOOKUP($I198&amp;$F198&amp;$G198,装备属性表,装备属性计算表!AY$29,FALSE),定义数据!$B$13:$C$35,2,FALSE)</f>
        <v>0</v>
      </c>
      <c r="AE198" s="14">
        <f>VLOOKUP($I198&amp;$F198&amp;$G198,装备属性表,装备属性计算表!AZ$29,FALSE)</f>
        <v>0</v>
      </c>
      <c r="AF198" s="14">
        <f ca="1">VLOOKUP(VLOOKUP($I198&amp;$F198&amp;$G198,装备属性表,装备属性计算表!BA$29,FALSE),定义数据!$B$13:$C$35,2,FALSE)</f>
        <v>0</v>
      </c>
      <c r="AG198" s="14">
        <f>VLOOKUP($I198&amp;$F198&amp;$G198,装备属性表,装备属性计算表!BB$29,FALSE)</f>
        <v>0</v>
      </c>
      <c r="AH198" s="14">
        <f ca="1">VLOOKUP(VLOOKUP($I198&amp;$F198&amp;$G198,装备属性表,装备属性计算表!BC$29,FALSE),定义数据!$B$13:$C$35,2,FALSE)</f>
        <v>0</v>
      </c>
      <c r="AI198" s="14">
        <f>VLOOKUP($I198&amp;$F198&amp;$G198,装备属性表,装备属性计算表!BD$29,FALSE)</f>
        <v>0</v>
      </c>
      <c r="AJ198" s="14">
        <f ca="1">VLOOKUP(VLOOKUP($I198&amp;$F198&amp;$G198,装备属性表,装备属性计算表!BE$29,FALSE),定义数据!$B$13:$C$35,2,FALSE)</f>
        <v>0</v>
      </c>
      <c r="AK198" s="14">
        <f>VLOOKUP($I198&amp;$F198&amp;$G198,装备属性表,装备属性计算表!BF$29,FALSE)</f>
        <v>0</v>
      </c>
      <c r="AL198" t="str">
        <f t="shared" si="53"/>
        <v>炼狱之拳是一件80级橙色可升级的装备。</v>
      </c>
      <c r="AM198" t="str">
        <f>IF(D198=0,5,D198) &amp; F198&amp;"00"&amp;VLOOKUP(G198,定义数据!$F$20:$G$27,2,FALSE)&amp;".png"</f>
        <v>20006.png</v>
      </c>
      <c r="AN198" s="79">
        <f>IF(OR(G198&lt;15),0,D_装备升级表!A198)</f>
        <v>80230</v>
      </c>
      <c r="AP198">
        <f ca="1">VLOOKUP(G198&amp;I198&amp;F198,CHOOSE({1,2},装备属性计算表!$BK$32:$BK$187,装备属性计算表!$BJ$32:$BJ$187),2,FALSE)</f>
        <v>1021.3865243691686</v>
      </c>
      <c r="AQ198">
        <f ca="1">AP198*'[1]0、经济设定'!$C$18</f>
        <v>51069.326218458431</v>
      </c>
      <c r="AR198">
        <f ca="1">IFERROR(AQ198*'[1]0、经济设定'!$E$19*AU198*AS198,0)</f>
        <v>4800.0000000000009</v>
      </c>
      <c r="AS198">
        <v>10</v>
      </c>
      <c r="AT198">
        <f t="shared" si="56"/>
        <v>480</v>
      </c>
      <c r="AU198">
        <f ca="1">IF(F198=0,IFERROR(AT198/AP198/'[1]0、经济设定'!$E$18,0),AU197)</f>
        <v>4.6994941537578914</v>
      </c>
      <c r="AV198">
        <f t="shared" ca="1" si="55"/>
        <v>40855.460974766742</v>
      </c>
    </row>
    <row r="199" spans="1:48" x14ac:dyDescent="0.15">
      <c r="A199" s="14" t="str">
        <f t="shared" si="44"/>
        <v>30326</v>
      </c>
      <c r="B199" s="14" t="s">
        <v>612</v>
      </c>
      <c r="C199" s="14">
        <f>VLOOKUP($I199&amp;$F199&amp;$G199,装备属性表,装备属性计算表!AK$29,FALSE)</f>
        <v>26</v>
      </c>
      <c r="D199" s="14">
        <f t="shared" si="58"/>
        <v>3</v>
      </c>
      <c r="E199" s="14" t="str">
        <f>VLOOKUP(F199,CHOOSE({1,2},定义数据!$F$2:$F$7,武器部位),2)</f>
        <v>武器</v>
      </c>
      <c r="F199" s="14">
        <v>0</v>
      </c>
      <c r="G199" s="14">
        <f>装备属性计算表!D176</f>
        <v>80</v>
      </c>
      <c r="H199" s="14">
        <f t="shared" si="45"/>
        <v>80</v>
      </c>
      <c r="I199" s="14">
        <v>3</v>
      </c>
      <c r="J199" s="14" t="str">
        <f t="shared" si="46"/>
        <v>8030</v>
      </c>
      <c r="K199" s="14" t="str">
        <f t="shared" si="47"/>
        <v>8030</v>
      </c>
      <c r="L199" s="76"/>
      <c r="M199" s="14">
        <f>IF(OR(G199&lt;15,G199=80),0,D_装备升级表!A199)</f>
        <v>0</v>
      </c>
      <c r="N199" s="78">
        <v>1</v>
      </c>
      <c r="O199" s="14">
        <f t="shared" si="50"/>
        <v>2600</v>
      </c>
      <c r="P199" s="14"/>
      <c r="Q199" s="14">
        <f>VLOOKUP($I199&amp;$F199&amp;$G199,装备属性表,装备属性计算表!AL$29,FALSE)</f>
        <v>5</v>
      </c>
      <c r="R199" s="14">
        <f ca="1">VLOOKUP(VLOOKUP($I199&amp;$F199&amp;$G199,装备属性表,装备属性计算表!AM$29,FALSE),定义数据!$B$13:$C$35,2,FALSE)</f>
        <v>2</v>
      </c>
      <c r="S199" s="14">
        <f ca="1">VLOOKUP($I199&amp;$F199&amp;$G199,装备属性表,装备属性计算表!AN$29,FALSE)</f>
        <v>676.93614545454568</v>
      </c>
      <c r="T199" s="14">
        <f ca="1">VLOOKUP(VLOOKUP($I199&amp;$F199&amp;$G199,装备属性表,装备属性计算表!AO$29,FALSE),定义数据!$B$13:$C$35,2,FALSE)</f>
        <v>8</v>
      </c>
      <c r="U199" s="14">
        <f ca="1">VLOOKUP($I199&amp;$F199&amp;$G199,装备属性表,装备属性计算表!AP$29,FALSE)</f>
        <v>419.75308641975312</v>
      </c>
      <c r="V199" s="14">
        <f ca="1">VLOOKUP(VLOOKUP($I199&amp;$F199&amp;$G199,装备属性表,装备属性计算表!AQ$29,FALSE),定义数据!$B$13:$C$35,2,FALSE)</f>
        <v>2</v>
      </c>
      <c r="W199" s="14">
        <f ca="1">VLOOKUP($I199&amp;$F199&amp;$G199,装备属性表,装备属性计算表!AR$29,FALSE)</f>
        <v>203.08084363636374</v>
      </c>
      <c r="X199" s="14">
        <f ca="1">VLOOKUP(VLOOKUP($I199&amp;$F199&amp;$G199,装备属性表,装备属性计算表!AS$29,FALSE),定义数据!$B$13:$C$35,2,FALSE)</f>
        <v>3</v>
      </c>
      <c r="Y199" s="14">
        <f ca="1">VLOOKUP($I199&amp;$F199&amp;$G199,装备属性表,装备属性计算表!AT$29,FALSE)</f>
        <v>24.376479722703642</v>
      </c>
      <c r="Z199" s="14">
        <f ca="1">VLOOKUP(VLOOKUP($I199&amp;$F199&amp;$G199,装备属性表,装备属性计算表!AU$29,FALSE),定义数据!$B$13:$C$35,2,FALSE)</f>
        <v>6</v>
      </c>
      <c r="AA199" s="14">
        <f ca="1">VLOOKUP($I199&amp;$F199&amp;$G199,装备属性表,装备属性计算表!AV$29,FALSE)</f>
        <v>88.541666666666671</v>
      </c>
      <c r="AB199" s="14">
        <f ca="1">VLOOKUP(VLOOKUP($I199&amp;$F199&amp;$G199,装备属性表,装备属性计算表!AW$29,FALSE),定义数据!$B$13:$C$35,2,FALSE)</f>
        <v>0</v>
      </c>
      <c r="AC199" s="14">
        <f>VLOOKUP($I199&amp;$F199&amp;$G199,装备属性表,装备属性计算表!AX$29,FALSE)</f>
        <v>0</v>
      </c>
      <c r="AD199" s="14">
        <f ca="1">VLOOKUP(VLOOKUP($I199&amp;$F199&amp;$G199,装备属性表,装备属性计算表!AY$29,FALSE),定义数据!$B$13:$C$35,2,FALSE)</f>
        <v>0</v>
      </c>
      <c r="AE199" s="14">
        <f>VLOOKUP($I199&amp;$F199&amp;$G199,装备属性表,装备属性计算表!AZ$29,FALSE)</f>
        <v>0</v>
      </c>
      <c r="AF199" s="14">
        <f ca="1">VLOOKUP(VLOOKUP($I199&amp;$F199&amp;$G199,装备属性表,装备属性计算表!BA$29,FALSE),定义数据!$B$13:$C$35,2,FALSE)</f>
        <v>0</v>
      </c>
      <c r="AG199" s="14">
        <f>VLOOKUP($I199&amp;$F199&amp;$G199,装备属性表,装备属性计算表!BB$29,FALSE)</f>
        <v>0</v>
      </c>
      <c r="AH199" s="14">
        <f ca="1">VLOOKUP(VLOOKUP($I199&amp;$F199&amp;$G199,装备属性表,装备属性计算表!BC$29,FALSE),定义数据!$B$13:$C$35,2,FALSE)</f>
        <v>0</v>
      </c>
      <c r="AI199" s="14">
        <f>VLOOKUP($I199&amp;$F199&amp;$G199,装备属性表,装备属性计算表!BD$29,FALSE)</f>
        <v>0</v>
      </c>
      <c r="AJ199" s="14">
        <f ca="1">VLOOKUP(VLOOKUP($I199&amp;$F199&amp;$G199,装备属性表,装备属性计算表!BE$29,FALSE),定义数据!$B$13:$C$35,2,FALSE)</f>
        <v>0</v>
      </c>
      <c r="AK199" s="14">
        <f>VLOOKUP($I199&amp;$F199&amp;$G199,装备属性表,装备属性计算表!BF$29,FALSE)</f>
        <v>0</v>
      </c>
      <c r="AL199" t="str">
        <f t="shared" si="53"/>
        <v>炼狱之枪是一件80级橙色可升级的装备。</v>
      </c>
      <c r="AM199" t="str">
        <f>IF(D199=0,5,D199) &amp; F199&amp;"00"&amp;VLOOKUP(G199,定义数据!$F$20:$G$27,2,FALSE)&amp;".png"</f>
        <v>30006.png</v>
      </c>
      <c r="AN199" s="79">
        <f>IF(OR(G199&lt;15),0,D_装备升级表!A199)</f>
        <v>80330</v>
      </c>
      <c r="AP199">
        <f ca="1">VLOOKUP(G199&amp;I199&amp;F199,CHOOSE({1,2},装备属性计算表!$BK$32:$BK$187,装备属性计算表!$BJ$32:$BJ$187),2,FALSE)</f>
        <v>1021.3865243691686</v>
      </c>
      <c r="AQ199">
        <f ca="1">AP199*'[1]0、经济设定'!$C$18</f>
        <v>51069.326218458431</v>
      </c>
      <c r="AR199">
        <f ca="1">IFERROR(AQ199*'[1]0、经济设定'!$E$19*AU199*AS199,0)</f>
        <v>4800.0000000000009</v>
      </c>
      <c r="AS199">
        <v>10</v>
      </c>
      <c r="AT199">
        <f t="shared" si="56"/>
        <v>480</v>
      </c>
      <c r="AU199">
        <f ca="1">IF(F199=0,IFERROR(AT199/AP199/'[1]0、经济设定'!$E$18,0),AU198)</f>
        <v>4.6994941537578914</v>
      </c>
      <c r="AV199">
        <f t="shared" ca="1" si="55"/>
        <v>40855.460974766742</v>
      </c>
    </row>
    <row r="200" spans="1:48" x14ac:dyDescent="0.15">
      <c r="A200" s="14" t="str">
        <f t="shared" si="44"/>
        <v>51326</v>
      </c>
      <c r="B200" s="14" t="s">
        <v>613</v>
      </c>
      <c r="C200" s="14">
        <f>VLOOKUP($I200&amp;$F200&amp;$G200,装备属性表,装备属性计算表!AK$29,FALSE)</f>
        <v>26</v>
      </c>
      <c r="D200" s="14">
        <f t="shared" si="58"/>
        <v>0</v>
      </c>
      <c r="E200" s="14" t="str">
        <f>VLOOKUP(F200,CHOOSE({1,2},定义数据!$F$2:$F$7,武器部位),2)</f>
        <v>衣服</v>
      </c>
      <c r="F200" s="14">
        <v>1</v>
      </c>
      <c r="G200" s="14">
        <f>装备属性计算表!D177</f>
        <v>80</v>
      </c>
      <c r="H200" s="14">
        <f t="shared" si="45"/>
        <v>80</v>
      </c>
      <c r="I200" s="14">
        <v>3</v>
      </c>
      <c r="J200" s="14" t="str">
        <f t="shared" si="46"/>
        <v>8031</v>
      </c>
      <c r="K200" s="14" t="str">
        <f t="shared" si="47"/>
        <v>8031</v>
      </c>
      <c r="L200" s="76"/>
      <c r="M200" s="14">
        <f>IF(OR(G200&lt;15,G200=80),0,D_装备升级表!A200)</f>
        <v>0</v>
      </c>
      <c r="N200" s="78">
        <v>1</v>
      </c>
      <c r="O200" s="14">
        <f t="shared" si="50"/>
        <v>2600</v>
      </c>
      <c r="P200" s="14"/>
      <c r="Q200" s="14">
        <f>VLOOKUP($I200&amp;$F200&amp;$G200,装备属性表,装备属性计算表!AL$29,FALSE)</f>
        <v>5</v>
      </c>
      <c r="R200" s="14">
        <f ca="1">VLOOKUP(VLOOKUP($I200&amp;$F200&amp;$G200,装备属性表,装备属性计算表!AM$29,FALSE),定义数据!$B$13:$C$35,2,FALSE)</f>
        <v>1</v>
      </c>
      <c r="S200" s="14">
        <f ca="1">VLOOKUP($I200&amp;$F200&amp;$G200,装备属性表,装备属性计算表!AN$29,FALSE)</f>
        <v>10661.89947099663</v>
      </c>
      <c r="T200" s="14">
        <f ca="1">VLOOKUP(VLOOKUP($I200&amp;$F200&amp;$G200,装备属性表,装备属性计算表!AO$29,FALSE),定义数据!$B$13:$C$35,2,FALSE)</f>
        <v>3</v>
      </c>
      <c r="U200" s="14">
        <f ca="1">VLOOKUP($I200&amp;$F200&amp;$G200,装备属性表,装备属性计算表!AP$29,FALSE)</f>
        <v>234.01420533795496</v>
      </c>
      <c r="V200" s="14">
        <f ca="1">VLOOKUP(VLOOKUP($I200&amp;$F200&amp;$G200,装备属性表,装备属性计算表!AQ$29,FALSE),定义数据!$B$13:$C$35,2,FALSE)</f>
        <v>1</v>
      </c>
      <c r="W200" s="14">
        <f ca="1">VLOOKUP($I200&amp;$F200&amp;$G200,装备属性表,装备属性计算表!AR$29,FALSE)</f>
        <v>2221.2290564576315</v>
      </c>
      <c r="X200" s="14">
        <f ca="1">VLOOKUP(VLOOKUP($I200&amp;$F200&amp;$G200,装备属性表,装备属性计算表!AS$29,FALSE),定义数据!$B$13:$C$35,2,FALSE)</f>
        <v>3</v>
      </c>
      <c r="Y200" s="14">
        <f ca="1">VLOOKUP($I200&amp;$F200&amp;$G200,装备属性表,装备属性计算表!AT$29,FALSE)</f>
        <v>73.129439168110935</v>
      </c>
      <c r="Z200" s="14">
        <f ca="1">VLOOKUP(VLOOKUP($I200&amp;$F200&amp;$G200,装备属性表,装备属性计算表!AU$29,FALSE),定义数据!$B$13:$C$35,2,FALSE)</f>
        <v>7</v>
      </c>
      <c r="AA200" s="14">
        <f ca="1">VLOOKUP($I200&amp;$F200&amp;$G200,装备属性表,装备属性计算表!AV$29,FALSE)</f>
        <v>53.125000000000014</v>
      </c>
      <c r="AB200" s="14">
        <f ca="1">VLOOKUP(VLOOKUP($I200&amp;$F200&amp;$G200,装备属性表,装备属性计算表!AW$29,FALSE),定义数据!$B$13:$C$35,2,FALSE)</f>
        <v>0</v>
      </c>
      <c r="AC200" s="14">
        <f>VLOOKUP($I200&amp;$F200&amp;$G200,装备属性表,装备属性计算表!AX$29,FALSE)</f>
        <v>0</v>
      </c>
      <c r="AD200" s="14">
        <f ca="1">VLOOKUP(VLOOKUP($I200&amp;$F200&amp;$G200,装备属性表,装备属性计算表!AY$29,FALSE),定义数据!$B$13:$C$35,2,FALSE)</f>
        <v>0</v>
      </c>
      <c r="AE200" s="14">
        <f>VLOOKUP($I200&amp;$F200&amp;$G200,装备属性表,装备属性计算表!AZ$29,FALSE)</f>
        <v>0</v>
      </c>
      <c r="AF200" s="14">
        <f ca="1">VLOOKUP(VLOOKUP($I200&amp;$F200&amp;$G200,装备属性表,装备属性计算表!BA$29,FALSE),定义数据!$B$13:$C$35,2,FALSE)</f>
        <v>0</v>
      </c>
      <c r="AG200" s="14">
        <f>VLOOKUP($I200&amp;$F200&amp;$G200,装备属性表,装备属性计算表!BB$29,FALSE)</f>
        <v>0</v>
      </c>
      <c r="AH200" s="14">
        <f ca="1">VLOOKUP(VLOOKUP($I200&amp;$F200&amp;$G200,装备属性表,装备属性计算表!BC$29,FALSE),定义数据!$B$13:$C$35,2,FALSE)</f>
        <v>0</v>
      </c>
      <c r="AI200" s="14">
        <f>VLOOKUP($I200&amp;$F200&amp;$G200,装备属性表,装备属性计算表!BD$29,FALSE)</f>
        <v>0</v>
      </c>
      <c r="AJ200" s="14">
        <f ca="1">VLOOKUP(VLOOKUP($I200&amp;$F200&amp;$G200,装备属性表,装备属性计算表!BE$29,FALSE),定义数据!$B$13:$C$35,2,FALSE)</f>
        <v>0</v>
      </c>
      <c r="AK200" s="14">
        <f>VLOOKUP($I200&amp;$F200&amp;$G200,装备属性表,装备属性计算表!BF$29,FALSE)</f>
        <v>0</v>
      </c>
      <c r="AL200" t="str">
        <f t="shared" si="53"/>
        <v>炼狱战衣是一件80级橙色可升级的装备。</v>
      </c>
      <c r="AM200" t="str">
        <f>IF(D200=0,5,D200) &amp; F200&amp;"00"&amp;VLOOKUP(G200,定义数据!$F$20:$G$27,2,FALSE)&amp;".png"</f>
        <v>51006.png</v>
      </c>
      <c r="AN200" s="79">
        <f>IF(OR(G200&lt;15),0,D_装备升级表!A200)</f>
        <v>80031</v>
      </c>
      <c r="AP200">
        <f ca="1">VLOOKUP(G200&amp;I200&amp;F200,CHOOSE({1,2},装备属性计算表!$BK$32:$BK$187,装备属性计算表!$BJ$32:$BJ$187),2,FALSE)</f>
        <v>849.97573004868082</v>
      </c>
      <c r="AQ200">
        <f ca="1">AP200*'[1]0、经济设定'!$C$18</f>
        <v>42498.786502434043</v>
      </c>
      <c r="AR200">
        <f ca="1">IFERROR(AQ200*'[1]0、经济设定'!$E$19*AU200*AS200,0)</f>
        <v>3994.4559741998719</v>
      </c>
      <c r="AS200">
        <v>10</v>
      </c>
      <c r="AT200">
        <f t="shared" si="56"/>
        <v>480</v>
      </c>
      <c r="AU200">
        <f ca="1">IF(F200=0,IFERROR(AT200/AP200/'[1]0、经济设定'!$E$18,0),AU199)</f>
        <v>4.6994941537578914</v>
      </c>
      <c r="AV200">
        <f t="shared" ca="1" si="55"/>
        <v>33999.029201947233</v>
      </c>
    </row>
    <row r="201" spans="1:48" x14ac:dyDescent="0.15">
      <c r="A201" s="14" t="str">
        <f t="shared" si="44"/>
        <v>52326</v>
      </c>
      <c r="B201" s="14" t="s">
        <v>614</v>
      </c>
      <c r="C201" s="14">
        <f>VLOOKUP($I201&amp;$F201&amp;$G201,装备属性表,装备属性计算表!AK$29,FALSE)</f>
        <v>26</v>
      </c>
      <c r="D201" s="14">
        <f t="shared" si="58"/>
        <v>0</v>
      </c>
      <c r="E201" s="14" t="str">
        <f>VLOOKUP(F201,CHOOSE({1,2},定义数据!$F$2:$F$7,武器部位),2)</f>
        <v>裤子</v>
      </c>
      <c r="F201" s="14">
        <v>2</v>
      </c>
      <c r="G201" s="14">
        <f>装备属性计算表!D178</f>
        <v>80</v>
      </c>
      <c r="H201" s="14">
        <f t="shared" si="45"/>
        <v>80</v>
      </c>
      <c r="I201" s="14">
        <v>3</v>
      </c>
      <c r="J201" s="14" t="str">
        <f t="shared" si="46"/>
        <v>8032</v>
      </c>
      <c r="K201" s="14" t="str">
        <f t="shared" si="47"/>
        <v>8032</v>
      </c>
      <c r="L201" s="76"/>
      <c r="M201" s="14">
        <f>IF(OR(G201&lt;15,G201=80),0,D_装备升级表!A201)</f>
        <v>0</v>
      </c>
      <c r="N201" s="78">
        <v>1</v>
      </c>
      <c r="O201" s="14">
        <f t="shared" si="50"/>
        <v>2600</v>
      </c>
      <c r="P201" s="14"/>
      <c r="Q201" s="14">
        <f>VLOOKUP($I201&amp;$F201&amp;$G201,装备属性表,装备属性计算表!AL$29,FALSE)</f>
        <v>5</v>
      </c>
      <c r="R201" s="14">
        <f ca="1">VLOOKUP(VLOOKUP($I201&amp;$F201&amp;$G201,装备属性表,装备属性计算表!AM$29,FALSE),定义数据!$B$13:$C$35,2,FALSE)</f>
        <v>3</v>
      </c>
      <c r="S201" s="14">
        <f ca="1">VLOOKUP($I201&amp;$F201&amp;$G201,装备属性表,装备属性计算表!AN$29,FALSE)</f>
        <v>156.00947022530332</v>
      </c>
      <c r="T201" s="14">
        <f ca="1">VLOOKUP(VLOOKUP($I201&amp;$F201&amp;$G201,装备属性表,装备属性计算表!AO$29,FALSE),定义数据!$B$13:$C$35,2,FALSE)</f>
        <v>7</v>
      </c>
      <c r="U201" s="14">
        <f ca="1">VLOOKUP($I201&amp;$F201&amp;$G201,装备属性表,装备属性计算表!AP$29,FALSE)</f>
        <v>236.11111111111109</v>
      </c>
      <c r="V201" s="14">
        <f ca="1">VLOOKUP(VLOOKUP($I201&amp;$F201&amp;$G201,装备属性表,装备属性计算表!AQ$29,FALSE),定义数据!$B$13:$C$35,2,FALSE)</f>
        <v>1</v>
      </c>
      <c r="W201" s="14">
        <f ca="1">VLOOKUP($I201&amp;$F201&amp;$G201,装备属性表,装备属性计算表!AR$29,FALSE)</f>
        <v>1110.6145282288157</v>
      </c>
      <c r="X201" s="14">
        <f ca="1">VLOOKUP(VLOOKUP($I201&amp;$F201&amp;$G201,装备属性表,装备属性计算表!AS$29,FALSE),定义数据!$B$13:$C$35,2,FALSE)</f>
        <v>3</v>
      </c>
      <c r="Y201" s="14">
        <f ca="1">VLOOKUP($I201&amp;$F201&amp;$G201,装备属性表,装备属性计算表!AT$29,FALSE)</f>
        <v>24.376479722703642</v>
      </c>
      <c r="Z201" s="14">
        <f ca="1">VLOOKUP(VLOOKUP($I201&amp;$F201&amp;$G201,装备属性表,装备属性计算表!AU$29,FALSE),定义数据!$B$13:$C$35,2,FALSE)</f>
        <v>7</v>
      </c>
      <c r="AA201" s="14">
        <f ca="1">VLOOKUP($I201&amp;$F201&amp;$G201,装备属性表,装备属性计算表!AV$29,FALSE)</f>
        <v>53.125000000000014</v>
      </c>
      <c r="AB201" s="14">
        <f ca="1">VLOOKUP(VLOOKUP($I201&amp;$F201&amp;$G201,装备属性表,装备属性计算表!AW$29,FALSE),定义数据!$B$13:$C$35,2,FALSE)</f>
        <v>0</v>
      </c>
      <c r="AC201" s="14">
        <f>VLOOKUP($I201&amp;$F201&amp;$G201,装备属性表,装备属性计算表!AX$29,FALSE)</f>
        <v>0</v>
      </c>
      <c r="AD201" s="14">
        <f ca="1">VLOOKUP(VLOOKUP($I201&amp;$F201&amp;$G201,装备属性表,装备属性计算表!AY$29,FALSE),定义数据!$B$13:$C$35,2,FALSE)</f>
        <v>0</v>
      </c>
      <c r="AE201" s="14">
        <f>VLOOKUP($I201&amp;$F201&amp;$G201,装备属性表,装备属性计算表!AZ$29,FALSE)</f>
        <v>0</v>
      </c>
      <c r="AF201" s="14">
        <f ca="1">VLOOKUP(VLOOKUP($I201&amp;$F201&amp;$G201,装备属性表,装备属性计算表!BA$29,FALSE),定义数据!$B$13:$C$35,2,FALSE)</f>
        <v>0</v>
      </c>
      <c r="AG201" s="14">
        <f>VLOOKUP($I201&amp;$F201&amp;$G201,装备属性表,装备属性计算表!BB$29,FALSE)</f>
        <v>0</v>
      </c>
      <c r="AH201" s="14">
        <f ca="1">VLOOKUP(VLOOKUP($I201&amp;$F201&amp;$G201,装备属性表,装备属性计算表!BC$29,FALSE),定义数据!$B$13:$C$35,2,FALSE)</f>
        <v>0</v>
      </c>
      <c r="AI201" s="14">
        <f>VLOOKUP($I201&amp;$F201&amp;$G201,装备属性表,装备属性计算表!BD$29,FALSE)</f>
        <v>0</v>
      </c>
      <c r="AJ201" s="14">
        <f ca="1">VLOOKUP(VLOOKUP($I201&amp;$F201&amp;$G201,装备属性表,装备属性计算表!BE$29,FALSE),定义数据!$B$13:$C$35,2,FALSE)</f>
        <v>0</v>
      </c>
      <c r="AK201" s="14">
        <f>VLOOKUP($I201&amp;$F201&amp;$G201,装备属性表,装备属性计算表!BF$29,FALSE)</f>
        <v>0</v>
      </c>
      <c r="AL201" t="str">
        <f t="shared" si="53"/>
        <v>炼狱长裤是一件80级橙色可升级的装备。</v>
      </c>
      <c r="AM201" t="str">
        <f>IF(D201=0,5,D201) &amp; F201&amp;"00"&amp;VLOOKUP(G201,定义数据!$F$20:$G$27,2,FALSE)&amp;".png"</f>
        <v>52006.png</v>
      </c>
      <c r="AN201" s="79">
        <f>IF(OR(G201&lt;15),0,D_装备升级表!A201)</f>
        <v>80032</v>
      </c>
      <c r="AP201">
        <f ca="1">VLOOKUP(G201&amp;I201&amp;F201,CHOOSE({1,2},装备属性计算表!$BK$32:$BK$187,装备属性计算表!$BJ$32:$BJ$187),2,FALSE)</f>
        <v>332.5952532993818</v>
      </c>
      <c r="AQ201">
        <f ca="1">AP201*'[1]0、经济设定'!$C$18</f>
        <v>16629.76266496909</v>
      </c>
      <c r="AR201">
        <f ca="1">IFERROR(AQ201*'[1]0、经济设定'!$E$19*AU201*AS201,0)</f>
        <v>1563.0294484480696</v>
      </c>
      <c r="AS201">
        <v>10</v>
      </c>
      <c r="AT201">
        <f t="shared" si="56"/>
        <v>480</v>
      </c>
      <c r="AU201">
        <f ca="1">IF(F201=0,IFERROR(AT201/AP201/'[1]0、经济设定'!$E$18,0),AU200)</f>
        <v>4.6994941537578914</v>
      </c>
      <c r="AV201">
        <f t="shared" ca="1" si="55"/>
        <v>13303.810131975271</v>
      </c>
    </row>
    <row r="202" spans="1:48" x14ac:dyDescent="0.15">
      <c r="A202" s="14" t="str">
        <f t="shared" si="44"/>
        <v>55326</v>
      </c>
      <c r="B202" s="14" t="s">
        <v>615</v>
      </c>
      <c r="C202" s="14">
        <f>VLOOKUP($I202&amp;$F202&amp;$G202,装备属性表,装备属性计算表!AK$29,FALSE)</f>
        <v>26</v>
      </c>
      <c r="D202" s="14">
        <f t="shared" si="58"/>
        <v>0</v>
      </c>
      <c r="E202" s="14" t="str">
        <f>VLOOKUP(F202,CHOOSE({1,2},定义数据!$F$2:$F$7,武器部位),2)</f>
        <v>鞋子</v>
      </c>
      <c r="F202" s="14">
        <v>5</v>
      </c>
      <c r="G202" s="14">
        <f>装备属性计算表!D179</f>
        <v>80</v>
      </c>
      <c r="H202" s="14">
        <f t="shared" si="45"/>
        <v>80</v>
      </c>
      <c r="I202" s="14">
        <v>3</v>
      </c>
      <c r="J202" s="14" t="str">
        <f t="shared" si="46"/>
        <v>8035</v>
      </c>
      <c r="K202" s="14" t="str">
        <f t="shared" si="47"/>
        <v>8035</v>
      </c>
      <c r="L202" s="76"/>
      <c r="M202" s="14">
        <f>IF(OR(G202&lt;15,G202=80),0,D_装备升级表!A202)</f>
        <v>0</v>
      </c>
      <c r="N202" s="78">
        <v>1</v>
      </c>
      <c r="O202" s="14">
        <f t="shared" si="50"/>
        <v>2600</v>
      </c>
      <c r="P202" s="14"/>
      <c r="Q202" s="14">
        <f>VLOOKUP($I202&amp;$F202&amp;$G202,装备属性表,装备属性计算表!AL$29,FALSE)</f>
        <v>5</v>
      </c>
      <c r="R202" s="14">
        <f ca="1">VLOOKUP(VLOOKUP($I202&amp;$F202&amp;$G202,装备属性表,装备属性计算表!AM$29,FALSE),定义数据!$B$13:$C$35,2,FALSE)</f>
        <v>1</v>
      </c>
      <c r="S202" s="14">
        <f ca="1">VLOOKUP($I202&amp;$F202&amp;$G202,装备属性表,装备属性计算表!AN$29,FALSE)</f>
        <v>3553.9664903322105</v>
      </c>
      <c r="T202" s="14">
        <f ca="1">VLOOKUP(VLOOKUP($I202&amp;$F202&amp;$G202,装备属性表,装备属性计算表!AO$29,FALSE),定义数据!$B$13:$C$35,2,FALSE)</f>
        <v>7</v>
      </c>
      <c r="U202" s="14">
        <f ca="1">VLOOKUP($I202&amp;$F202&amp;$G202,装备属性表,装备属性计算表!AP$29,FALSE)</f>
        <v>472.22222222222217</v>
      </c>
      <c r="V202" s="14">
        <f ca="1">VLOOKUP(VLOOKUP($I202&amp;$F202&amp;$G202,装备属性表,装备属性计算表!AQ$29,FALSE),定义数据!$B$13:$C$35,2,FALSE)</f>
        <v>1</v>
      </c>
      <c r="W202" s="14">
        <f ca="1">VLOOKUP($I202&amp;$F202&amp;$G202,装备属性表,装备属性计算表!AR$29,FALSE)</f>
        <v>1110.6145282288157</v>
      </c>
      <c r="X202" s="14">
        <f ca="1">VLOOKUP(VLOOKUP($I202&amp;$F202&amp;$G202,装备属性表,装备属性计算表!AS$29,FALSE),定义数据!$B$13:$C$35,2,FALSE)</f>
        <v>7</v>
      </c>
      <c r="Y202" s="14">
        <f ca="1">VLOOKUP($I202&amp;$F202&amp;$G202,装备属性表,装备属性计算表!AT$29,FALSE)</f>
        <v>106.25000000000003</v>
      </c>
      <c r="Z202" s="14">
        <f ca="1">VLOOKUP(VLOOKUP($I202&amp;$F202&amp;$G202,装备属性表,装备属性计算表!AU$29,FALSE),定义数据!$B$13:$C$35,2,FALSE)</f>
        <v>6</v>
      </c>
      <c r="AA202" s="14">
        <f ca="1">VLOOKUP($I202&amp;$F202&amp;$G202,装备属性表,装备属性计算表!AV$29,FALSE)</f>
        <v>88.541666666666671</v>
      </c>
      <c r="AB202" s="14">
        <f ca="1">VLOOKUP(VLOOKUP($I202&amp;$F202&amp;$G202,装备属性表,装备属性计算表!AW$29,FALSE),定义数据!$B$13:$C$35,2,FALSE)</f>
        <v>0</v>
      </c>
      <c r="AC202" s="14">
        <f>VLOOKUP($I202&amp;$F202&amp;$G202,装备属性表,装备属性计算表!AX$29,FALSE)</f>
        <v>0</v>
      </c>
      <c r="AD202" s="14">
        <f ca="1">VLOOKUP(VLOOKUP($I202&amp;$F202&amp;$G202,装备属性表,装备属性计算表!AY$29,FALSE),定义数据!$B$13:$C$35,2,FALSE)</f>
        <v>0</v>
      </c>
      <c r="AE202" s="14">
        <f>VLOOKUP($I202&amp;$F202&amp;$G202,装备属性表,装备属性计算表!AZ$29,FALSE)</f>
        <v>0</v>
      </c>
      <c r="AF202" s="14">
        <f ca="1">VLOOKUP(VLOOKUP($I202&amp;$F202&amp;$G202,装备属性表,装备属性计算表!BA$29,FALSE),定义数据!$B$13:$C$35,2,FALSE)</f>
        <v>0</v>
      </c>
      <c r="AG202" s="14">
        <f>VLOOKUP($I202&amp;$F202&amp;$G202,装备属性表,装备属性计算表!BB$29,FALSE)</f>
        <v>0</v>
      </c>
      <c r="AH202" s="14">
        <f ca="1">VLOOKUP(VLOOKUP($I202&amp;$F202&amp;$G202,装备属性表,装备属性计算表!BC$29,FALSE),定义数据!$B$13:$C$35,2,FALSE)</f>
        <v>0</v>
      </c>
      <c r="AI202" s="14">
        <f>VLOOKUP($I202&amp;$F202&amp;$G202,装备属性表,装备属性计算表!BD$29,FALSE)</f>
        <v>0</v>
      </c>
      <c r="AJ202" s="14">
        <f ca="1">VLOOKUP(VLOOKUP($I202&amp;$F202&amp;$G202,装备属性表,装备属性计算表!BE$29,FALSE),定义数据!$B$13:$C$35,2,FALSE)</f>
        <v>0</v>
      </c>
      <c r="AK202" s="14">
        <f>VLOOKUP($I202&amp;$F202&amp;$G202,装备属性表,装备属性计算表!BF$29,FALSE)</f>
        <v>0</v>
      </c>
      <c r="AL202" t="str">
        <f t="shared" si="53"/>
        <v>炼狱长靴是一件80级橙色可升级的装备。</v>
      </c>
      <c r="AM202" t="str">
        <f>IF(D202=0,5,D202) &amp; F202&amp;"00"&amp;VLOOKUP(G202,定义数据!$F$20:$G$27,2,FALSE)&amp;".png"</f>
        <v>55006.png</v>
      </c>
      <c r="AN202" s="79">
        <f>IF(OR(G202&lt;15),0,D_装备升级表!A202)</f>
        <v>80035</v>
      </c>
      <c r="AP202">
        <f ca="1">VLOOKUP(G202&amp;I202&amp;F202,CHOOSE({1,2},装备属性计算表!$BK$32:$BK$187,装备属性计算表!$BJ$32:$BJ$187),2,FALSE)</f>
        <v>419.03462963132995</v>
      </c>
      <c r="AQ202">
        <f ca="1">AP202*'[1]0、经济设定'!$C$18</f>
        <v>20951.731481566498</v>
      </c>
      <c r="AR202">
        <f ca="1">IFERROR(AQ202*'[1]0、经济设定'!$E$19*AU202*AS202,0)</f>
        <v>1969.2507921745382</v>
      </c>
      <c r="AS202">
        <v>10</v>
      </c>
      <c r="AT202">
        <f t="shared" si="56"/>
        <v>480</v>
      </c>
      <c r="AU202">
        <f ca="1">IF(F202=0,IFERROR(AT202/AP202/'[1]0、经济设定'!$E$18,0),AU201)</f>
        <v>4.6994941537578914</v>
      </c>
      <c r="AV202">
        <f t="shared" ca="1" si="55"/>
        <v>16761.385185253199</v>
      </c>
    </row>
    <row r="203" spans="1:48" x14ac:dyDescent="0.15">
      <c r="A203" s="14" t="str">
        <f t="shared" si="44"/>
        <v>54326</v>
      </c>
      <c r="B203" s="14" t="s">
        <v>616</v>
      </c>
      <c r="C203" s="14">
        <f>VLOOKUP($I203&amp;$F203&amp;$G203,装备属性表,装备属性计算表!AK$29,FALSE)</f>
        <v>26</v>
      </c>
      <c r="D203" s="14">
        <f t="shared" si="58"/>
        <v>0</v>
      </c>
      <c r="E203" s="14" t="str">
        <f>VLOOKUP(F203,CHOOSE({1,2},定义数据!$F$2:$F$7,武器部位),2)</f>
        <v>腰带</v>
      </c>
      <c r="F203" s="14">
        <v>4</v>
      </c>
      <c r="G203" s="14">
        <f>装备属性计算表!D180</f>
        <v>80</v>
      </c>
      <c r="H203" s="14">
        <f t="shared" si="45"/>
        <v>80</v>
      </c>
      <c r="I203" s="14">
        <v>3</v>
      </c>
      <c r="J203" s="14" t="str">
        <f t="shared" si="46"/>
        <v>8034</v>
      </c>
      <c r="K203" s="14" t="str">
        <f t="shared" si="47"/>
        <v>8034</v>
      </c>
      <c r="L203" s="76"/>
      <c r="M203" s="14">
        <f>IF(OR(G203&lt;15,G203=80),0,D_装备升级表!A203)</f>
        <v>0</v>
      </c>
      <c r="N203" s="78">
        <v>1</v>
      </c>
      <c r="O203" s="14">
        <f t="shared" si="50"/>
        <v>2600</v>
      </c>
      <c r="P203" s="14"/>
      <c r="Q203" s="14">
        <f>VLOOKUP($I203&amp;$F203&amp;$G203,装备属性表,装备属性计算表!AL$29,FALSE)</f>
        <v>5</v>
      </c>
      <c r="R203" s="14">
        <f ca="1">VLOOKUP(VLOOKUP($I203&amp;$F203&amp;$G203,装备属性表,装备属性计算表!AM$29,FALSE),定义数据!$B$13:$C$35,2,FALSE)</f>
        <v>1</v>
      </c>
      <c r="S203" s="14">
        <f ca="1">VLOOKUP($I203&amp;$F203&amp;$G203,装备属性表,装备属性计算表!AN$29,FALSE)</f>
        <v>3553.9664903322105</v>
      </c>
      <c r="T203" s="14">
        <f ca="1">VLOOKUP(VLOOKUP($I203&amp;$F203&amp;$G203,装备属性表,装备属性计算表!AO$29,FALSE),定义数据!$B$13:$C$35,2,FALSE)</f>
        <v>9</v>
      </c>
      <c r="U203" s="14">
        <f ca="1">VLOOKUP($I203&amp;$F203&amp;$G203,装备属性表,装备属性计算表!AP$29,FALSE)</f>
        <v>419.75308641975312</v>
      </c>
      <c r="V203" s="14">
        <f ca="1">VLOOKUP(VLOOKUP($I203&amp;$F203&amp;$G203,装备属性表,装备属性计算表!AQ$29,FALSE),定义数据!$B$13:$C$35,2,FALSE)</f>
        <v>1</v>
      </c>
      <c r="W203" s="14">
        <f ca="1">VLOOKUP($I203&amp;$F203&amp;$G203,装备属性表,装备属性计算表!AR$29,FALSE)</f>
        <v>2221.2290564576315</v>
      </c>
      <c r="X203" s="14">
        <f ca="1">VLOOKUP(VLOOKUP($I203&amp;$F203&amp;$G203,装备属性表,装备属性计算表!AS$29,FALSE),定义数据!$B$13:$C$35,2,FALSE)</f>
        <v>2</v>
      </c>
      <c r="Y203" s="14">
        <f ca="1">VLOOKUP($I203&amp;$F203&amp;$G203,装备属性表,装备属性计算表!AT$29,FALSE)</f>
        <v>67.693614545454579</v>
      </c>
      <c r="Z203" s="14">
        <f ca="1">VLOOKUP(VLOOKUP($I203&amp;$F203&amp;$G203,装备属性表,装备属性计算表!AU$29,FALSE),定义数据!$B$13:$C$35,2,FALSE)</f>
        <v>3</v>
      </c>
      <c r="AA203" s="14">
        <f ca="1">VLOOKUP($I203&amp;$F203&amp;$G203,装备属性表,装备属性计算表!AV$29,FALSE)</f>
        <v>24.376479722703642</v>
      </c>
      <c r="AB203" s="14">
        <f ca="1">VLOOKUP(VLOOKUP($I203&amp;$F203&amp;$G203,装备属性表,装备属性计算表!AW$29,FALSE),定义数据!$B$13:$C$35,2,FALSE)</f>
        <v>0</v>
      </c>
      <c r="AC203" s="14">
        <f>VLOOKUP($I203&amp;$F203&amp;$G203,装备属性表,装备属性计算表!AX$29,FALSE)</f>
        <v>0</v>
      </c>
      <c r="AD203" s="14">
        <f ca="1">VLOOKUP(VLOOKUP($I203&amp;$F203&amp;$G203,装备属性表,装备属性计算表!AY$29,FALSE),定义数据!$B$13:$C$35,2,FALSE)</f>
        <v>0</v>
      </c>
      <c r="AE203" s="14">
        <f>VLOOKUP($I203&amp;$F203&amp;$G203,装备属性表,装备属性计算表!AZ$29,FALSE)</f>
        <v>0</v>
      </c>
      <c r="AF203" s="14">
        <f ca="1">VLOOKUP(VLOOKUP($I203&amp;$F203&amp;$G203,装备属性表,装备属性计算表!BA$29,FALSE),定义数据!$B$13:$C$35,2,FALSE)</f>
        <v>0</v>
      </c>
      <c r="AG203" s="14">
        <f>VLOOKUP($I203&amp;$F203&amp;$G203,装备属性表,装备属性计算表!BB$29,FALSE)</f>
        <v>0</v>
      </c>
      <c r="AH203" s="14">
        <f ca="1">VLOOKUP(VLOOKUP($I203&amp;$F203&amp;$G203,装备属性表,装备属性计算表!BC$29,FALSE),定义数据!$B$13:$C$35,2,FALSE)</f>
        <v>0</v>
      </c>
      <c r="AI203" s="14">
        <f>VLOOKUP($I203&amp;$F203&amp;$G203,装备属性表,装备属性计算表!BD$29,FALSE)</f>
        <v>0</v>
      </c>
      <c r="AJ203" s="14">
        <f ca="1">VLOOKUP(VLOOKUP($I203&amp;$F203&amp;$G203,装备属性表,装备属性计算表!BE$29,FALSE),定义数据!$B$13:$C$35,2,FALSE)</f>
        <v>0</v>
      </c>
      <c r="AK203" s="14">
        <f>VLOOKUP($I203&amp;$F203&amp;$G203,装备属性表,装备属性计算表!BF$29,FALSE)</f>
        <v>0</v>
      </c>
      <c r="AL203" t="str">
        <f t="shared" si="53"/>
        <v>炼狱腰带是一件80级橙色可升级的装备。</v>
      </c>
      <c r="AM203" t="str">
        <f>IF(D203=0,5,D203) &amp; F203&amp;"00"&amp;VLOOKUP(G203,定义数据!$F$20:$G$27,2,FALSE)&amp;".png"</f>
        <v>54006.png</v>
      </c>
      <c r="AN203" s="79">
        <f>IF(OR(G203&lt;15),0,D_装备升级表!A203)</f>
        <v>80034</v>
      </c>
      <c r="AP203">
        <f ca="1">VLOOKUP(G203&amp;I203&amp;F203,CHOOSE({1,2},装备属性计算表!$BK$32:$BK$187,装备属性计算表!$BJ$32:$BJ$187),2,FALSE)</f>
        <v>408.07791613975189</v>
      </c>
      <c r="AQ203">
        <f ca="1">AP203*'[1]0、经济设定'!$C$18</f>
        <v>20403.895806987595</v>
      </c>
      <c r="AR203">
        <f ca="1">IFERROR(AQ203*'[1]0、经济设定'!$E$19*AU203*AS203,0)</f>
        <v>1917.759781176467</v>
      </c>
      <c r="AS203">
        <v>10</v>
      </c>
      <c r="AT203">
        <f t="shared" si="56"/>
        <v>480</v>
      </c>
      <c r="AU203">
        <f ca="1">IF(F203=0,IFERROR(AT203/AP203/'[1]0、经济设定'!$E$18,0),AU202)</f>
        <v>4.6994941537578914</v>
      </c>
      <c r="AV203">
        <f t="shared" ca="1" si="55"/>
        <v>16323.116645590075</v>
      </c>
    </row>
    <row r="204" spans="1:48" x14ac:dyDescent="0.15">
      <c r="A204" s="14" t="str">
        <f t="shared" si="44"/>
        <v>53326</v>
      </c>
      <c r="B204" s="14" t="s">
        <v>617</v>
      </c>
      <c r="C204" s="14">
        <f>VLOOKUP($I204&amp;$F204&amp;$G204,装备属性表,装备属性计算表!AK$29,FALSE)</f>
        <v>26</v>
      </c>
      <c r="D204" s="14">
        <f t="shared" si="58"/>
        <v>0</v>
      </c>
      <c r="E204" s="14" t="str">
        <f>VLOOKUP(F204,CHOOSE({1,2},定义数据!$F$2:$F$7,武器部位),2)</f>
        <v>项链</v>
      </c>
      <c r="F204" s="14">
        <v>3</v>
      </c>
      <c r="G204" s="14">
        <f>装备属性计算表!D181</f>
        <v>80</v>
      </c>
      <c r="H204" s="14">
        <f t="shared" si="45"/>
        <v>80</v>
      </c>
      <c r="I204" s="14">
        <v>3</v>
      </c>
      <c r="J204" s="14" t="str">
        <f t="shared" si="46"/>
        <v>8033</v>
      </c>
      <c r="K204" s="14" t="str">
        <f t="shared" si="47"/>
        <v>8033</v>
      </c>
      <c r="L204" s="76"/>
      <c r="M204" s="14">
        <f>IF(OR(G204&lt;15,G204=80),0,D_装备升级表!A204)</f>
        <v>0</v>
      </c>
      <c r="N204" s="78">
        <v>1</v>
      </c>
      <c r="O204" s="14">
        <f t="shared" si="50"/>
        <v>2600</v>
      </c>
      <c r="P204" s="14"/>
      <c r="Q204" s="14">
        <f>VLOOKUP($I204&amp;$F204&amp;$G204,装备属性表,装备属性计算表!AL$29,FALSE)</f>
        <v>5</v>
      </c>
      <c r="R204" s="14">
        <f ca="1">VLOOKUP(VLOOKUP($I204&amp;$F204&amp;$G204,装备属性表,装备属性计算表!AM$29,FALSE),定义数据!$B$13:$C$35,2,FALSE)</f>
        <v>2</v>
      </c>
      <c r="S204" s="14">
        <f ca="1">VLOOKUP($I204&amp;$F204&amp;$G204,装备属性表,装备属性计算表!AN$29,FALSE)</f>
        <v>225.6453818181819</v>
      </c>
      <c r="T204" s="14">
        <f ca="1">VLOOKUP(VLOOKUP($I204&amp;$F204&amp;$G204,装备属性表,装备属性计算表!AO$29,FALSE),定义数据!$B$13:$C$35,2,FALSE)</f>
        <v>6</v>
      </c>
      <c r="U204" s="14">
        <f ca="1">VLOOKUP($I204&amp;$F204&amp;$G204,装备属性表,装备属性计算表!AP$29,FALSE)</f>
        <v>708.33333333333337</v>
      </c>
      <c r="V204" s="14">
        <f ca="1">VLOOKUP(VLOOKUP($I204&amp;$F204&amp;$G204,装备属性表,装备属性计算表!AQ$29,FALSE),定义数据!$B$13:$C$35,2,FALSE)</f>
        <v>2</v>
      </c>
      <c r="W204" s="14">
        <f ca="1">VLOOKUP($I204&amp;$F204&amp;$G204,装备属性表,装备属性计算表!AR$29,FALSE)</f>
        <v>67.693614545454579</v>
      </c>
      <c r="X204" s="14">
        <f ca="1">VLOOKUP(VLOOKUP($I204&amp;$F204&amp;$G204,装备属性表,装备属性计算表!AS$29,FALSE),定义数据!$B$13:$C$35,2,FALSE)</f>
        <v>7</v>
      </c>
      <c r="Y204" s="14">
        <f ca="1">VLOOKUP($I204&amp;$F204&amp;$G204,装备属性表,装备属性计算表!AT$29,FALSE)</f>
        <v>53.125000000000014</v>
      </c>
      <c r="Z204" s="14">
        <f ca="1">VLOOKUP(VLOOKUP($I204&amp;$F204&amp;$G204,装备属性表,装备属性计算表!AU$29,FALSE),定义数据!$B$13:$C$35,2,FALSE)</f>
        <v>6</v>
      </c>
      <c r="AA204" s="14">
        <f ca="1">VLOOKUP($I204&amp;$F204&amp;$G204,装备属性表,装备属性计算表!AV$29,FALSE)</f>
        <v>88.541666666666671</v>
      </c>
      <c r="AB204" s="14">
        <f ca="1">VLOOKUP(VLOOKUP($I204&amp;$F204&amp;$G204,装备属性表,装备属性计算表!AW$29,FALSE),定义数据!$B$13:$C$35,2,FALSE)</f>
        <v>0</v>
      </c>
      <c r="AC204" s="14">
        <f>VLOOKUP($I204&amp;$F204&amp;$G204,装备属性表,装备属性计算表!AX$29,FALSE)</f>
        <v>0</v>
      </c>
      <c r="AD204" s="14">
        <f ca="1">VLOOKUP(VLOOKUP($I204&amp;$F204&amp;$G204,装备属性表,装备属性计算表!AY$29,FALSE),定义数据!$B$13:$C$35,2,FALSE)</f>
        <v>0</v>
      </c>
      <c r="AE204" s="14">
        <f>VLOOKUP($I204&amp;$F204&amp;$G204,装备属性表,装备属性计算表!AZ$29,FALSE)</f>
        <v>0</v>
      </c>
      <c r="AF204" s="14">
        <f ca="1">VLOOKUP(VLOOKUP($I204&amp;$F204&amp;$G204,装备属性表,装备属性计算表!BA$29,FALSE),定义数据!$B$13:$C$35,2,FALSE)</f>
        <v>0</v>
      </c>
      <c r="AG204" s="14">
        <f>VLOOKUP($I204&amp;$F204&amp;$G204,装备属性表,装备属性计算表!BB$29,FALSE)</f>
        <v>0</v>
      </c>
      <c r="AH204" s="14">
        <f ca="1">VLOOKUP(VLOOKUP($I204&amp;$F204&amp;$G204,装备属性表,装备属性计算表!BC$29,FALSE),定义数据!$B$13:$C$35,2,FALSE)</f>
        <v>0</v>
      </c>
      <c r="AI204" s="14">
        <f>VLOOKUP($I204&amp;$F204&amp;$G204,装备属性表,装备属性计算表!BD$29,FALSE)</f>
        <v>0</v>
      </c>
      <c r="AJ204" s="14">
        <f ca="1">VLOOKUP(VLOOKUP($I204&amp;$F204&amp;$G204,装备属性表,装备属性计算表!BE$29,FALSE),定义数据!$B$13:$C$35,2,FALSE)</f>
        <v>0</v>
      </c>
      <c r="AK204" s="14">
        <f>VLOOKUP($I204&amp;$F204&amp;$G204,装备属性表,装备属性计算表!BF$29,FALSE)</f>
        <v>0</v>
      </c>
      <c r="AL204" t="str">
        <f t="shared" si="53"/>
        <v>炼狱项链是一件80级橙色可升级的装备。</v>
      </c>
      <c r="AM204" t="str">
        <f>IF(D204=0,5,D204) &amp; F204&amp;"00"&amp;VLOOKUP(G204,定义数据!$F$20:$G$27,2,FALSE)&amp;".png"</f>
        <v>53006.png</v>
      </c>
      <c r="AN204" s="79">
        <f>IF(OR(G204&lt;15),0,D_装备升级表!A204)</f>
        <v>80033</v>
      </c>
      <c r="AP204">
        <f ca="1">VLOOKUP(G204&amp;I204&amp;F204,CHOOSE({1,2},装备属性计算表!$BK$32:$BK$187,装备属性计算表!$BJ$32:$BJ$187),2,FALSE)</f>
        <v>593.67232969696988</v>
      </c>
      <c r="AQ204">
        <f ca="1">AP204*'[1]0、经济设定'!$C$18</f>
        <v>29683.616484848495</v>
      </c>
      <c r="AR204">
        <f ca="1">IFERROR(AQ204*'[1]0、经济设定'!$E$19*AU204*AS204,0)</f>
        <v>2789.9596426587373</v>
      </c>
      <c r="AS204">
        <v>10</v>
      </c>
      <c r="AT204">
        <f t="shared" si="56"/>
        <v>480</v>
      </c>
      <c r="AU204">
        <f ca="1">IF(F204=0,IFERROR(AT204/AP204/'[1]0、经济设定'!$E$18,0),AU203)</f>
        <v>4.6994941537578914</v>
      </c>
      <c r="AV204">
        <f t="shared" ca="1" si="55"/>
        <v>23746.893187878795</v>
      </c>
    </row>
    <row r="205" spans="1:48" x14ac:dyDescent="0.15">
      <c r="A205" s="14" t="str">
        <f t="shared" si="44"/>
        <v>10427</v>
      </c>
      <c r="B205" s="14" t="s">
        <v>618</v>
      </c>
      <c r="C205" s="14">
        <f>VLOOKUP($I205&amp;$F205&amp;$G205,装备属性表,装备属性计算表!AK$29,FALSE)</f>
        <v>27</v>
      </c>
      <c r="D205" s="14">
        <f t="shared" si="48"/>
        <v>1</v>
      </c>
      <c r="E205" s="14" t="str">
        <f>VLOOKUP(F205,CHOOSE({1,2},定义数据!$F$2:$F$7,武器部位),2)</f>
        <v>武器</v>
      </c>
      <c r="F205" s="14">
        <v>0</v>
      </c>
      <c r="G205" s="14">
        <v>80</v>
      </c>
      <c r="H205" s="14">
        <f t="shared" si="45"/>
        <v>80</v>
      </c>
      <c r="I205" s="14">
        <v>4</v>
      </c>
      <c r="J205" s="14" t="str">
        <f t="shared" si="46"/>
        <v>8040</v>
      </c>
      <c r="K205" s="14" t="str">
        <f t="shared" si="47"/>
        <v>8040</v>
      </c>
      <c r="L205" s="76"/>
      <c r="M205" s="14">
        <f>IF(OR(G205&lt;15,G205=80),0,D_装备升级表!A205)</f>
        <v>0</v>
      </c>
      <c r="N205" s="78">
        <v>1</v>
      </c>
      <c r="O205" s="14">
        <f t="shared" si="50"/>
        <v>2700</v>
      </c>
      <c r="P205" s="14"/>
      <c r="Q205" s="14">
        <f>VLOOKUP($I205&amp;$F205&amp;$G205,装备属性表,装备属性计算表!AL$29,FALSE)</f>
        <v>6</v>
      </c>
      <c r="R205" s="14">
        <f ca="1">VLOOKUP(VLOOKUP($I205&amp;$F205&amp;$G205,装备属性表,装备属性计算表!AM$29,FALSE),定义数据!$B$13:$C$35,2,FALSE)</f>
        <v>2</v>
      </c>
      <c r="S205" s="14">
        <f ca="1">VLOOKUP($I205&amp;$F205&amp;$G205,装备属性表,装备属性计算表!AN$29,FALSE)</f>
        <v>696.84603208556166</v>
      </c>
      <c r="T205" s="14">
        <f ca="1">VLOOKUP(VLOOKUP($I205&amp;$F205&amp;$G205,装备属性表,装备属性计算表!AO$29,FALSE),定义数据!$B$13:$C$35,2,FALSE)</f>
        <v>8</v>
      </c>
      <c r="U205" s="14">
        <f ca="1">VLOOKUP($I205&amp;$F205&amp;$G205,装备属性表,装备属性计算表!AP$29,FALSE)</f>
        <v>432.09876543209873</v>
      </c>
      <c r="V205" s="14">
        <f ca="1">VLOOKUP(VLOOKUP($I205&amp;$F205&amp;$G205,装备属性表,装备属性计算表!AQ$29,FALSE),定义数据!$B$13:$C$35,2,FALSE)</f>
        <v>2</v>
      </c>
      <c r="W205" s="14">
        <f ca="1">VLOOKUP($I205&amp;$F205&amp;$G205,装备属性表,装备属性计算表!AR$29,FALSE)</f>
        <v>318.5581860962568</v>
      </c>
      <c r="X205" s="14">
        <f ca="1">VLOOKUP(VLOOKUP($I205&amp;$F205&amp;$G205,装备属性表,装备属性计算表!AS$29,FALSE),定义数据!$B$13:$C$35,2,FALSE)</f>
        <v>3</v>
      </c>
      <c r="Y205" s="14">
        <f ca="1">VLOOKUP($I205&amp;$F205&amp;$G205,装备属性表,装备属性计算表!AT$29,FALSE)</f>
        <v>38.237615251299829</v>
      </c>
      <c r="Z205" s="14">
        <f ca="1">VLOOKUP(VLOOKUP($I205&amp;$F205&amp;$G205,装备属性表,装备属性计算表!AU$29,FALSE),定义数据!$B$13:$C$35,2,FALSE)</f>
        <v>6</v>
      </c>
      <c r="AA205" s="14">
        <f ca="1">VLOOKUP($I205&amp;$F205&amp;$G205,装备属性表,装备属性计算表!AV$29,FALSE)</f>
        <v>138.88888888888889</v>
      </c>
      <c r="AB205" s="14">
        <f ca="1">VLOOKUP(VLOOKUP($I205&amp;$F205&amp;$G205,装备属性表,装备属性计算表!AW$29,FALSE),定义数据!$B$13:$C$35,2,FALSE)</f>
        <v>8</v>
      </c>
      <c r="AC205" s="14">
        <f ca="1">VLOOKUP($I205&amp;$F205&amp;$G205,装备属性表,装备属性计算表!AX$29,FALSE)</f>
        <v>98.765432098765444</v>
      </c>
      <c r="AD205" s="14">
        <f ca="1">VLOOKUP(VLOOKUP($I205&amp;$F205&amp;$G205,装备属性表,装备属性计算表!AY$29,FALSE),定义数据!$B$13:$C$35,2,FALSE)</f>
        <v>0</v>
      </c>
      <c r="AE205" s="14">
        <f>VLOOKUP($I205&amp;$F205&amp;$G205,装备属性表,装备属性计算表!AZ$29,FALSE)</f>
        <v>0</v>
      </c>
      <c r="AF205" s="14">
        <f ca="1">VLOOKUP(VLOOKUP($I205&amp;$F205&amp;$G205,装备属性表,装备属性计算表!BA$29,FALSE),定义数据!$B$13:$C$35,2,FALSE)</f>
        <v>0</v>
      </c>
      <c r="AG205" s="14">
        <f>VLOOKUP($I205&amp;$F205&amp;$G205,装备属性表,装备属性计算表!BB$29,FALSE)</f>
        <v>0</v>
      </c>
      <c r="AH205" s="14">
        <f ca="1">VLOOKUP(VLOOKUP($I205&amp;$F205&amp;$G205,装备属性表,装备属性计算表!BC$29,FALSE),定义数据!$B$13:$C$35,2,FALSE)</f>
        <v>0</v>
      </c>
      <c r="AI205" s="14">
        <f>VLOOKUP($I205&amp;$F205&amp;$G205,装备属性表,装备属性计算表!BD$29,FALSE)</f>
        <v>0</v>
      </c>
      <c r="AJ205" s="14">
        <f ca="1">VLOOKUP(VLOOKUP($I205&amp;$F205&amp;$G205,装备属性表,装备属性计算表!BE$29,FALSE),定义数据!$B$13:$C$35,2,FALSE)</f>
        <v>0</v>
      </c>
      <c r="AK205" s="14">
        <f>VLOOKUP($I205&amp;$F205&amp;$G205,装备属性表,装备属性计算表!BF$29,FALSE)</f>
        <v>0</v>
      </c>
      <c r="AL205" t="str">
        <f t="shared" si="53"/>
        <v>青龙霸刀是一件80级红色可升级的装备。</v>
      </c>
      <c r="AM205" t="str">
        <f>IF(D205=0,5,D205) &amp; F205&amp;"00"&amp;VLOOKUP(G205,定义数据!$F$20:$G$27,2,FALSE)&amp;".png"</f>
        <v>10006.png</v>
      </c>
      <c r="AN205" s="79">
        <f>IF(OR(G205&lt;15),0,D_装备升级表!A205)</f>
        <v>80140</v>
      </c>
      <c r="AP205">
        <f ca="1">VLOOKUP(G205&amp;I205&amp;F205,CHOOSE({1,2},装备属性计算表!$BK$32:$BK$187,装备属性计算表!$BJ$32:$BJ$187),2,FALSE)</f>
        <v>1196.4196112108959</v>
      </c>
      <c r="AQ205">
        <f ca="1">AP205*'[1]0、经济设定'!$C$18</f>
        <v>59820.980560544798</v>
      </c>
      <c r="AR205">
        <f ca="1">IFERROR(AQ205*'[1]0、经济设定'!$E$19*AU205*AS205,0)</f>
        <v>8000</v>
      </c>
      <c r="AS205">
        <v>10</v>
      </c>
      <c r="AT205">
        <f t="shared" si="56"/>
        <v>800</v>
      </c>
      <c r="AU205">
        <f ca="1">IF(F205=0,IFERROR(AT205/AP205/'[1]0、经济设定'!$E$18,0),AU204)</f>
        <v>6.6866172411727707</v>
      </c>
      <c r="AV205">
        <f t="shared" ca="1" si="55"/>
        <v>47856.784448435836</v>
      </c>
    </row>
    <row r="206" spans="1:48" x14ac:dyDescent="0.15">
      <c r="A206" s="14" t="str">
        <f t="shared" si="44"/>
        <v>20427</v>
      </c>
      <c r="B206" s="14" t="s">
        <v>619</v>
      </c>
      <c r="C206" s="14">
        <f>VLOOKUP($I206&amp;$F206&amp;$G206,装备属性表,装备属性计算表!AK$29,FALSE)</f>
        <v>27</v>
      </c>
      <c r="D206" s="14">
        <f t="shared" si="48"/>
        <v>2</v>
      </c>
      <c r="E206" s="14" t="str">
        <f>VLOOKUP(F206,CHOOSE({1,2},定义数据!$F$2:$F$7,武器部位),2)</f>
        <v>武器</v>
      </c>
      <c r="F206" s="14">
        <v>0</v>
      </c>
      <c r="G206" s="14">
        <v>80</v>
      </c>
      <c r="H206" s="14">
        <f t="shared" si="45"/>
        <v>80</v>
      </c>
      <c r="I206" s="14">
        <v>4</v>
      </c>
      <c r="J206" s="14" t="str">
        <f t="shared" si="46"/>
        <v>8040</v>
      </c>
      <c r="K206" s="14" t="str">
        <f t="shared" si="47"/>
        <v>8040</v>
      </c>
      <c r="L206" s="76"/>
      <c r="M206" s="14">
        <f>IF(OR(G206&lt;15,G206=80),0,D_装备升级表!A206)</f>
        <v>0</v>
      </c>
      <c r="N206" s="78">
        <v>1</v>
      </c>
      <c r="O206" s="14">
        <f t="shared" si="50"/>
        <v>2700</v>
      </c>
      <c r="P206" s="14"/>
      <c r="Q206" s="14">
        <f>VLOOKUP($I206&amp;$F206&amp;$G206,装备属性表,装备属性计算表!AL$29,FALSE)</f>
        <v>6</v>
      </c>
      <c r="R206" s="14">
        <f ca="1">VLOOKUP(VLOOKUP($I206&amp;$F206&amp;$G206,装备属性表,装备属性计算表!AM$29,FALSE),定义数据!$B$13:$C$35,2,FALSE)</f>
        <v>2</v>
      </c>
      <c r="S206" s="14">
        <f ca="1">VLOOKUP($I206&amp;$F206&amp;$G206,装备属性表,装备属性计算表!AN$29,FALSE)</f>
        <v>696.84603208556166</v>
      </c>
      <c r="T206" s="14">
        <f ca="1">VLOOKUP(VLOOKUP($I206&amp;$F206&amp;$G206,装备属性表,装备属性计算表!AO$29,FALSE),定义数据!$B$13:$C$35,2,FALSE)</f>
        <v>8</v>
      </c>
      <c r="U206" s="14">
        <f ca="1">VLOOKUP($I206&amp;$F206&amp;$G206,装备属性表,装备属性计算表!AP$29,FALSE)</f>
        <v>432.09876543209873</v>
      </c>
      <c r="V206" s="14">
        <f ca="1">VLOOKUP(VLOOKUP($I206&amp;$F206&amp;$G206,装备属性表,装备属性计算表!AQ$29,FALSE),定义数据!$B$13:$C$35,2,FALSE)</f>
        <v>2</v>
      </c>
      <c r="W206" s="14">
        <f ca="1">VLOOKUP($I206&amp;$F206&amp;$G206,装备属性表,装备属性计算表!AR$29,FALSE)</f>
        <v>318.5581860962568</v>
      </c>
      <c r="X206" s="14">
        <f ca="1">VLOOKUP(VLOOKUP($I206&amp;$F206&amp;$G206,装备属性表,装备属性计算表!AS$29,FALSE),定义数据!$B$13:$C$35,2,FALSE)</f>
        <v>3</v>
      </c>
      <c r="Y206" s="14">
        <f ca="1">VLOOKUP($I206&amp;$F206&amp;$G206,装备属性表,装备属性计算表!AT$29,FALSE)</f>
        <v>38.237615251299829</v>
      </c>
      <c r="Z206" s="14">
        <f ca="1">VLOOKUP(VLOOKUP($I206&amp;$F206&amp;$G206,装备属性表,装备属性计算表!AU$29,FALSE),定义数据!$B$13:$C$35,2,FALSE)</f>
        <v>6</v>
      </c>
      <c r="AA206" s="14">
        <f ca="1">VLOOKUP($I206&amp;$F206&amp;$G206,装备属性表,装备属性计算表!AV$29,FALSE)</f>
        <v>138.88888888888889</v>
      </c>
      <c r="AB206" s="14">
        <f ca="1">VLOOKUP(VLOOKUP($I206&amp;$F206&amp;$G206,装备属性表,装备属性计算表!AW$29,FALSE),定义数据!$B$13:$C$35,2,FALSE)</f>
        <v>8</v>
      </c>
      <c r="AC206" s="14">
        <f ca="1">VLOOKUP($I206&amp;$F206&amp;$G206,装备属性表,装备属性计算表!AX$29,FALSE)</f>
        <v>98.765432098765444</v>
      </c>
      <c r="AD206" s="14">
        <f ca="1">VLOOKUP(VLOOKUP($I206&amp;$F206&amp;$G206,装备属性表,装备属性计算表!AY$29,FALSE),定义数据!$B$13:$C$35,2,FALSE)</f>
        <v>0</v>
      </c>
      <c r="AE206" s="14">
        <f>VLOOKUP($I206&amp;$F206&amp;$G206,装备属性表,装备属性计算表!AZ$29,FALSE)</f>
        <v>0</v>
      </c>
      <c r="AF206" s="14">
        <f ca="1">VLOOKUP(VLOOKUP($I206&amp;$F206&amp;$G206,装备属性表,装备属性计算表!BA$29,FALSE),定义数据!$B$13:$C$35,2,FALSE)</f>
        <v>0</v>
      </c>
      <c r="AG206" s="14">
        <f>VLOOKUP($I206&amp;$F206&amp;$G206,装备属性表,装备属性计算表!BB$29,FALSE)</f>
        <v>0</v>
      </c>
      <c r="AH206" s="14">
        <f ca="1">VLOOKUP(VLOOKUP($I206&amp;$F206&amp;$G206,装备属性表,装备属性计算表!BC$29,FALSE),定义数据!$B$13:$C$35,2,FALSE)</f>
        <v>0</v>
      </c>
      <c r="AI206" s="14">
        <f>VLOOKUP($I206&amp;$F206&amp;$G206,装备属性表,装备属性计算表!BD$29,FALSE)</f>
        <v>0</v>
      </c>
      <c r="AJ206" s="14">
        <f ca="1">VLOOKUP(VLOOKUP($I206&amp;$F206&amp;$G206,装备属性表,装备属性计算表!BE$29,FALSE),定义数据!$B$13:$C$35,2,FALSE)</f>
        <v>0</v>
      </c>
      <c r="AK206" s="14">
        <f>VLOOKUP($I206&amp;$F206&amp;$G206,装备属性表,装备属性计算表!BF$29,FALSE)</f>
        <v>0</v>
      </c>
      <c r="AL206" t="str">
        <f t="shared" si="53"/>
        <v>青龙之拳是一件80级红色可升级的装备。</v>
      </c>
      <c r="AM206" t="str">
        <f>IF(D206=0,5,D206) &amp; F206&amp;"00"&amp;VLOOKUP(G206,定义数据!$F$20:$G$27,2,FALSE)&amp;".png"</f>
        <v>20006.png</v>
      </c>
      <c r="AN206" s="79">
        <f>IF(OR(G206&lt;15),0,D_装备升级表!A206)</f>
        <v>80240</v>
      </c>
      <c r="AP206">
        <f ca="1">VLOOKUP(G206&amp;I206&amp;F206,CHOOSE({1,2},装备属性计算表!$BK$32:$BK$187,装备属性计算表!$BJ$32:$BJ$187),2,FALSE)</f>
        <v>1196.4196112108959</v>
      </c>
      <c r="AQ206">
        <f ca="1">AP206*'[1]0、经济设定'!$C$18</f>
        <v>59820.980560544798</v>
      </c>
      <c r="AR206">
        <f ca="1">IFERROR(AQ206*'[1]0、经济设定'!$E$19*AU206*AS206,0)</f>
        <v>8000</v>
      </c>
      <c r="AS206">
        <v>10</v>
      </c>
      <c r="AT206">
        <f t="shared" si="56"/>
        <v>800</v>
      </c>
      <c r="AU206">
        <f ca="1">IF(F206=0,IFERROR(AT206/AP206/'[1]0、经济设定'!$E$18,0),AU205)</f>
        <v>6.6866172411727707</v>
      </c>
      <c r="AV206">
        <f t="shared" ca="1" si="55"/>
        <v>47856.784448435836</v>
      </c>
    </row>
    <row r="207" spans="1:48" x14ac:dyDescent="0.15">
      <c r="A207" s="14" t="str">
        <f t="shared" si="44"/>
        <v>30427</v>
      </c>
      <c r="B207" s="14" t="s">
        <v>620</v>
      </c>
      <c r="C207" s="14">
        <f>VLOOKUP($I207&amp;$F207&amp;$G207,装备属性表,装备属性计算表!AK$29,FALSE)</f>
        <v>27</v>
      </c>
      <c r="D207" s="14">
        <f t="shared" si="48"/>
        <v>3</v>
      </c>
      <c r="E207" s="14" t="str">
        <f>VLOOKUP(F207,CHOOSE({1,2},定义数据!$F$2:$F$7,武器部位),2)</f>
        <v>武器</v>
      </c>
      <c r="F207" s="14">
        <v>0</v>
      </c>
      <c r="G207" s="14">
        <f>装备属性计算表!D182</f>
        <v>80</v>
      </c>
      <c r="H207" s="14">
        <f t="shared" si="45"/>
        <v>80</v>
      </c>
      <c r="I207" s="14">
        <v>4</v>
      </c>
      <c r="J207" s="14" t="str">
        <f t="shared" si="46"/>
        <v>8040</v>
      </c>
      <c r="K207" s="14" t="str">
        <f t="shared" si="47"/>
        <v>8040</v>
      </c>
      <c r="L207" s="76"/>
      <c r="M207" s="14">
        <f>IF(OR(G207&lt;15,G207=80),0,D_装备升级表!A207)</f>
        <v>0</v>
      </c>
      <c r="N207" s="78">
        <v>1</v>
      </c>
      <c r="O207" s="14">
        <f t="shared" si="50"/>
        <v>2700</v>
      </c>
      <c r="P207" s="14"/>
      <c r="Q207" s="14">
        <f>VLOOKUP($I207&amp;$F207&amp;$G207,装备属性表,装备属性计算表!AL$29,FALSE)</f>
        <v>6</v>
      </c>
      <c r="R207" s="14">
        <f ca="1">VLOOKUP(VLOOKUP($I207&amp;$F207&amp;$G207,装备属性表,装备属性计算表!AM$29,FALSE),定义数据!$B$13:$C$35,2,FALSE)</f>
        <v>2</v>
      </c>
      <c r="S207" s="14">
        <f ca="1">VLOOKUP($I207&amp;$F207&amp;$G207,装备属性表,装备属性计算表!AN$29,FALSE)</f>
        <v>696.84603208556166</v>
      </c>
      <c r="T207" s="14">
        <f ca="1">VLOOKUP(VLOOKUP($I207&amp;$F207&amp;$G207,装备属性表,装备属性计算表!AO$29,FALSE),定义数据!$B$13:$C$35,2,FALSE)</f>
        <v>8</v>
      </c>
      <c r="U207" s="14">
        <f ca="1">VLOOKUP($I207&amp;$F207&amp;$G207,装备属性表,装备属性计算表!AP$29,FALSE)</f>
        <v>432.09876543209873</v>
      </c>
      <c r="V207" s="14">
        <f ca="1">VLOOKUP(VLOOKUP($I207&amp;$F207&amp;$G207,装备属性表,装备属性计算表!AQ$29,FALSE),定义数据!$B$13:$C$35,2,FALSE)</f>
        <v>2</v>
      </c>
      <c r="W207" s="14">
        <f ca="1">VLOOKUP($I207&amp;$F207&amp;$G207,装备属性表,装备属性计算表!AR$29,FALSE)</f>
        <v>318.5581860962568</v>
      </c>
      <c r="X207" s="14">
        <f ca="1">VLOOKUP(VLOOKUP($I207&amp;$F207&amp;$G207,装备属性表,装备属性计算表!AS$29,FALSE),定义数据!$B$13:$C$35,2,FALSE)</f>
        <v>3</v>
      </c>
      <c r="Y207" s="14">
        <f ca="1">VLOOKUP($I207&amp;$F207&amp;$G207,装备属性表,装备属性计算表!AT$29,FALSE)</f>
        <v>38.237615251299829</v>
      </c>
      <c r="Z207" s="14">
        <f ca="1">VLOOKUP(VLOOKUP($I207&amp;$F207&amp;$G207,装备属性表,装备属性计算表!AU$29,FALSE),定义数据!$B$13:$C$35,2,FALSE)</f>
        <v>6</v>
      </c>
      <c r="AA207" s="14">
        <f ca="1">VLOOKUP($I207&amp;$F207&amp;$G207,装备属性表,装备属性计算表!AV$29,FALSE)</f>
        <v>138.88888888888889</v>
      </c>
      <c r="AB207" s="14">
        <f ca="1">VLOOKUP(VLOOKUP($I207&amp;$F207&amp;$G207,装备属性表,装备属性计算表!AW$29,FALSE),定义数据!$B$13:$C$35,2,FALSE)</f>
        <v>8</v>
      </c>
      <c r="AC207" s="14">
        <f ca="1">VLOOKUP($I207&amp;$F207&amp;$G207,装备属性表,装备属性计算表!AX$29,FALSE)</f>
        <v>98.765432098765444</v>
      </c>
      <c r="AD207" s="14">
        <f ca="1">VLOOKUP(VLOOKUP($I207&amp;$F207&amp;$G207,装备属性表,装备属性计算表!AY$29,FALSE),定义数据!$B$13:$C$35,2,FALSE)</f>
        <v>0</v>
      </c>
      <c r="AE207" s="14">
        <f>VLOOKUP($I207&amp;$F207&amp;$G207,装备属性表,装备属性计算表!AZ$29,FALSE)</f>
        <v>0</v>
      </c>
      <c r="AF207" s="14">
        <f ca="1">VLOOKUP(VLOOKUP($I207&amp;$F207&amp;$G207,装备属性表,装备属性计算表!BA$29,FALSE),定义数据!$B$13:$C$35,2,FALSE)</f>
        <v>0</v>
      </c>
      <c r="AG207" s="14">
        <f>VLOOKUP($I207&amp;$F207&amp;$G207,装备属性表,装备属性计算表!BB$29,FALSE)</f>
        <v>0</v>
      </c>
      <c r="AH207" s="14">
        <f ca="1">VLOOKUP(VLOOKUP($I207&amp;$F207&amp;$G207,装备属性表,装备属性计算表!BC$29,FALSE),定义数据!$B$13:$C$35,2,FALSE)</f>
        <v>0</v>
      </c>
      <c r="AI207" s="14">
        <f>VLOOKUP($I207&amp;$F207&amp;$G207,装备属性表,装备属性计算表!BD$29,FALSE)</f>
        <v>0</v>
      </c>
      <c r="AJ207" s="14">
        <f ca="1">VLOOKUP(VLOOKUP($I207&amp;$F207&amp;$G207,装备属性表,装备属性计算表!BE$29,FALSE),定义数据!$B$13:$C$35,2,FALSE)</f>
        <v>0</v>
      </c>
      <c r="AK207" s="14">
        <f>VLOOKUP($I207&amp;$F207&amp;$G207,装备属性表,装备属性计算表!BF$29,FALSE)</f>
        <v>0</v>
      </c>
      <c r="AL207" t="str">
        <f t="shared" si="53"/>
        <v>青龙之枪是一件80级红色可升级的装备。</v>
      </c>
      <c r="AM207" t="str">
        <f>IF(D207=0,5,D207) &amp; F207&amp;"00"&amp;VLOOKUP(G207,定义数据!$F$20:$G$27,2,FALSE)&amp;".png"</f>
        <v>30006.png</v>
      </c>
      <c r="AN207" s="79">
        <f>IF(OR(G207&lt;15),0,D_装备升级表!A207)</f>
        <v>80340</v>
      </c>
      <c r="AP207">
        <f ca="1">VLOOKUP(G207&amp;I207&amp;F207,CHOOSE({1,2},装备属性计算表!$BK$32:$BK$187,装备属性计算表!$BJ$32:$BJ$187),2,FALSE)</f>
        <v>1196.4196112108959</v>
      </c>
      <c r="AQ207">
        <f ca="1">AP207*'[1]0、经济设定'!$C$18</f>
        <v>59820.980560544798</v>
      </c>
      <c r="AR207">
        <f ca="1">IFERROR(AQ207*'[1]0、经济设定'!$E$19*AU207*AS207,0)</f>
        <v>8000</v>
      </c>
      <c r="AS207">
        <v>10</v>
      </c>
      <c r="AT207">
        <f t="shared" si="56"/>
        <v>800</v>
      </c>
      <c r="AU207">
        <f ca="1">IF(F207=0,IFERROR(AT207/AP207/'[1]0、经济设定'!$E$18,0),AU206)</f>
        <v>6.6866172411727707</v>
      </c>
      <c r="AV207">
        <f t="shared" ca="1" si="55"/>
        <v>47856.784448435836</v>
      </c>
    </row>
    <row r="208" spans="1:48" x14ac:dyDescent="0.15">
      <c r="A208" s="14" t="str">
        <f t="shared" si="44"/>
        <v>51427</v>
      </c>
      <c r="B208" s="14" t="s">
        <v>621</v>
      </c>
      <c r="C208" s="14">
        <f>VLOOKUP($I208&amp;$F208&amp;$G208,装备属性表,装备属性计算表!AK$29,FALSE)</f>
        <v>27</v>
      </c>
      <c r="D208" s="14">
        <f t="shared" si="48"/>
        <v>0</v>
      </c>
      <c r="E208" s="14" t="str">
        <f>VLOOKUP(F208,CHOOSE({1,2},定义数据!$F$2:$F$7,武器部位),2)</f>
        <v>衣服</v>
      </c>
      <c r="F208" s="14">
        <v>1</v>
      </c>
      <c r="G208" s="14">
        <f>装备属性计算表!D183</f>
        <v>80</v>
      </c>
      <c r="H208" s="14">
        <f t="shared" si="45"/>
        <v>80</v>
      </c>
      <c r="I208" s="14">
        <v>4</v>
      </c>
      <c r="J208" s="14" t="str">
        <f t="shared" si="46"/>
        <v>8041</v>
      </c>
      <c r="K208" s="14" t="str">
        <f t="shared" si="47"/>
        <v>8041</v>
      </c>
      <c r="L208" s="76"/>
      <c r="M208" s="14">
        <f>IF(OR(G208&lt;15,G208=80),0,D_装备升级表!A208)</f>
        <v>0</v>
      </c>
      <c r="N208" s="78">
        <v>1</v>
      </c>
      <c r="O208" s="14">
        <f t="shared" si="50"/>
        <v>2700</v>
      </c>
      <c r="P208" s="14"/>
      <c r="Q208" s="14">
        <f>VLOOKUP($I208&amp;$F208&amp;$G208,装备属性表,装备属性计算表!AL$29,FALSE)</f>
        <v>6</v>
      </c>
      <c r="R208" s="14">
        <f ca="1">VLOOKUP(VLOOKUP($I208&amp;$F208&amp;$G208,装备属性表,装备属性计算表!AM$29,FALSE),定义数据!$B$13:$C$35,2,FALSE)</f>
        <v>1</v>
      </c>
      <c r="S208" s="14">
        <f ca="1">VLOOKUP($I208&amp;$F208&amp;$G208,装备属性表,装备属性计算表!AN$29,FALSE)</f>
        <v>10975.484749555355</v>
      </c>
      <c r="T208" s="14">
        <f ca="1">VLOOKUP(VLOOKUP($I208&amp;$F208&amp;$G208,装备属性表,装备属性计算表!AO$29,FALSE),定义数据!$B$13:$C$35,2,FALSE)</f>
        <v>3</v>
      </c>
      <c r="U208" s="14">
        <f ca="1">VLOOKUP($I208&amp;$F208&amp;$G208,装备属性表,装备属性计算表!AP$29,FALSE)</f>
        <v>240.89697608318889</v>
      </c>
      <c r="V208" s="14">
        <f ca="1">VLOOKUP(VLOOKUP($I208&amp;$F208&amp;$G208,装备属性表,装备属性计算表!AQ$29,FALSE),定义数据!$B$13:$C$35,2,FALSE)</f>
        <v>1</v>
      </c>
      <c r="W208" s="14">
        <f ca="1">VLOOKUP($I208&amp;$F208&amp;$G208,装备属性表,装备属性计算表!AR$29,FALSE)</f>
        <v>3484.2808728747159</v>
      </c>
      <c r="X208" s="14">
        <f ca="1">VLOOKUP(VLOOKUP($I208&amp;$F208&amp;$G208,装备属性表,装备属性计算表!AS$29,FALSE),定义数据!$B$13:$C$35,2,FALSE)</f>
        <v>3</v>
      </c>
      <c r="Y208" s="14">
        <f ca="1">VLOOKUP($I208&amp;$F208&amp;$G208,装备属性表,装备属性计算表!AT$29,FALSE)</f>
        <v>114.71284575389949</v>
      </c>
      <c r="Z208" s="14">
        <f ca="1">VLOOKUP(VLOOKUP($I208&amp;$F208&amp;$G208,装备属性表,装备属性计算表!AU$29,FALSE),定义数据!$B$13:$C$35,2,FALSE)</f>
        <v>7</v>
      </c>
      <c r="AA208" s="14">
        <f ca="1">VLOOKUP($I208&amp;$F208&amp;$G208,装备属性表,装备属性计算表!AV$29,FALSE)</f>
        <v>83.333333333333357</v>
      </c>
      <c r="AB208" s="14">
        <f ca="1">VLOOKUP(VLOOKUP($I208&amp;$F208&amp;$G208,装备属性表,装备属性计算表!AW$29,FALSE),定义数据!$B$13:$C$35,2,FALSE)</f>
        <v>9</v>
      </c>
      <c r="AC208" s="14">
        <f ca="1">VLOOKUP($I208&amp;$F208&amp;$G208,装备属性表,装备属性计算表!AX$29,FALSE)</f>
        <v>82.304526748971199</v>
      </c>
      <c r="AD208" s="14">
        <f ca="1">VLOOKUP(VLOOKUP($I208&amp;$F208&amp;$G208,装备属性表,装备属性计算表!AY$29,FALSE),定义数据!$B$13:$C$35,2,FALSE)</f>
        <v>0</v>
      </c>
      <c r="AE208" s="14">
        <f>VLOOKUP($I208&amp;$F208&amp;$G208,装备属性表,装备属性计算表!AZ$29,FALSE)</f>
        <v>0</v>
      </c>
      <c r="AF208" s="14">
        <f ca="1">VLOOKUP(VLOOKUP($I208&amp;$F208&amp;$G208,装备属性表,装备属性计算表!BA$29,FALSE),定义数据!$B$13:$C$35,2,FALSE)</f>
        <v>0</v>
      </c>
      <c r="AG208" s="14">
        <f>VLOOKUP($I208&amp;$F208&amp;$G208,装备属性表,装备属性计算表!BB$29,FALSE)</f>
        <v>0</v>
      </c>
      <c r="AH208" s="14">
        <f ca="1">VLOOKUP(VLOOKUP($I208&amp;$F208&amp;$G208,装备属性表,装备属性计算表!BC$29,FALSE),定义数据!$B$13:$C$35,2,FALSE)</f>
        <v>0</v>
      </c>
      <c r="AI208" s="14">
        <f>VLOOKUP($I208&amp;$F208&amp;$G208,装备属性表,装备属性计算表!BD$29,FALSE)</f>
        <v>0</v>
      </c>
      <c r="AJ208" s="14">
        <f ca="1">VLOOKUP(VLOOKUP($I208&amp;$F208&amp;$G208,装备属性表,装备属性计算表!BE$29,FALSE),定义数据!$B$13:$C$35,2,FALSE)</f>
        <v>0</v>
      </c>
      <c r="AK208" s="14">
        <f>VLOOKUP($I208&amp;$F208&amp;$G208,装备属性表,装备属性计算表!BF$29,FALSE)</f>
        <v>0</v>
      </c>
      <c r="AL208" t="str">
        <f t="shared" si="53"/>
        <v>青龙战衣是一件80级红色可升级的装备。</v>
      </c>
      <c r="AM208" t="str">
        <f>IF(D208=0,5,D208) &amp; F208&amp;"00"&amp;VLOOKUP(G208,定义数据!$F$20:$G$27,2,FALSE)&amp;".png"</f>
        <v>51006.png</v>
      </c>
      <c r="AN208" s="79">
        <f>IF(OR(G208&lt;15),0,D_装备升级表!A208)</f>
        <v>80041</v>
      </c>
      <c r="AP208">
        <f ca="1">VLOOKUP(G208&amp;I208&amp;F208,CHOOSE({1,2},装备属性计算表!$BK$32:$BK$187,装备属性计算表!$BJ$32:$BJ$187),2,FALSE)</f>
        <v>977.14859488243928</v>
      </c>
      <c r="AQ208">
        <f ca="1">AP208*'[1]0、经济设定'!$C$18</f>
        <v>48857.429744121968</v>
      </c>
      <c r="AR208">
        <f ca="1">IFERROR(AQ208*'[1]0、经济设定'!$E$19*AU208*AS208,0)</f>
        <v>6533.8186417286661</v>
      </c>
      <c r="AS208">
        <v>10</v>
      </c>
      <c r="AT208">
        <f t="shared" si="56"/>
        <v>800</v>
      </c>
      <c r="AU208">
        <f ca="1">IF(F208=0,IFERROR(AT208/AP208/'[1]0、经济设定'!$E$18,0),AU207)</f>
        <v>6.6866172411727707</v>
      </c>
      <c r="AV208">
        <f t="shared" ca="1" si="55"/>
        <v>39085.943795297571</v>
      </c>
    </row>
    <row r="209" spans="1:48" x14ac:dyDescent="0.15">
      <c r="A209" s="14" t="str">
        <f t="shared" si="44"/>
        <v>52427</v>
      </c>
      <c r="B209" s="14" t="s">
        <v>622</v>
      </c>
      <c r="C209" s="14">
        <f>VLOOKUP($I209&amp;$F209&amp;$G209,装备属性表,装备属性计算表!AK$29,FALSE)</f>
        <v>27</v>
      </c>
      <c r="D209" s="14">
        <f t="shared" si="48"/>
        <v>0</v>
      </c>
      <c r="E209" s="14" t="str">
        <f>VLOOKUP(F209,CHOOSE({1,2},定义数据!$F$2:$F$7,武器部位),2)</f>
        <v>裤子</v>
      </c>
      <c r="F209" s="14">
        <v>2</v>
      </c>
      <c r="G209" s="14">
        <f>装备属性计算表!D184</f>
        <v>80</v>
      </c>
      <c r="H209" s="14">
        <f t="shared" si="45"/>
        <v>80</v>
      </c>
      <c r="I209" s="14">
        <v>4</v>
      </c>
      <c r="J209" s="14" t="str">
        <f t="shared" si="46"/>
        <v>8042</v>
      </c>
      <c r="K209" s="14" t="str">
        <f t="shared" si="47"/>
        <v>8042</v>
      </c>
      <c r="L209" s="76"/>
      <c r="M209" s="14">
        <f>IF(OR(G209&lt;15,G209=80),0,D_装备升级表!A209)</f>
        <v>0</v>
      </c>
      <c r="N209" s="78">
        <v>1</v>
      </c>
      <c r="O209" s="14">
        <f t="shared" si="50"/>
        <v>2700</v>
      </c>
      <c r="P209" s="14"/>
      <c r="Q209" s="14">
        <f>VLOOKUP($I209&amp;$F209&amp;$G209,装备属性表,装备属性计算表!AL$29,FALSE)</f>
        <v>6</v>
      </c>
      <c r="R209" s="14">
        <f ca="1">VLOOKUP(VLOOKUP($I209&amp;$F209&amp;$G209,装备属性表,装备属性计算表!AM$29,FALSE),定义数据!$B$13:$C$35,2,FALSE)</f>
        <v>3</v>
      </c>
      <c r="S209" s="14">
        <f ca="1">VLOOKUP($I209&amp;$F209&amp;$G209,装备属性表,装备属性计算表!AN$29,FALSE)</f>
        <v>160.59798405545928</v>
      </c>
      <c r="T209" s="14">
        <f ca="1">VLOOKUP(VLOOKUP($I209&amp;$F209&amp;$G209,装备属性表,装备属性计算表!AO$29,FALSE),定义数据!$B$13:$C$35,2,FALSE)</f>
        <v>7</v>
      </c>
      <c r="U209" s="14">
        <f ca="1">VLOOKUP($I209&amp;$F209&amp;$G209,装备属性表,装备属性计算表!AP$29,FALSE)</f>
        <v>243.05555555555554</v>
      </c>
      <c r="V209" s="14">
        <f ca="1">VLOOKUP(VLOOKUP($I209&amp;$F209&amp;$G209,装备属性表,装备属性计算表!AQ$29,FALSE),定义数据!$B$13:$C$35,2,FALSE)</f>
        <v>1</v>
      </c>
      <c r="W209" s="14">
        <f ca="1">VLOOKUP($I209&amp;$F209&amp;$G209,装备属性表,装备属性计算表!AR$29,FALSE)</f>
        <v>1742.1404364373579</v>
      </c>
      <c r="X209" s="14">
        <f ca="1">VLOOKUP(VLOOKUP($I209&amp;$F209&amp;$G209,装备属性表,装备属性计算表!AS$29,FALSE),定义数据!$B$13:$C$35,2,FALSE)</f>
        <v>3</v>
      </c>
      <c r="Y209" s="14">
        <f ca="1">VLOOKUP($I209&amp;$F209&amp;$G209,装备属性表,装备属性计算表!AT$29,FALSE)</f>
        <v>38.237615251299829</v>
      </c>
      <c r="Z209" s="14">
        <f ca="1">VLOOKUP(VLOOKUP($I209&amp;$F209&amp;$G209,装备属性表,装备属性计算表!AU$29,FALSE),定义数据!$B$13:$C$35,2,FALSE)</f>
        <v>7</v>
      </c>
      <c r="AA209" s="14">
        <f ca="1">VLOOKUP($I209&amp;$F209&amp;$G209,装备属性表,装备属性计算表!AV$29,FALSE)</f>
        <v>83.333333333333357</v>
      </c>
      <c r="AB209" s="14">
        <f ca="1">VLOOKUP(VLOOKUP($I209&amp;$F209&amp;$G209,装备属性表,装备属性计算表!AW$29,FALSE),定义数据!$B$13:$C$35,2,FALSE)</f>
        <v>9</v>
      </c>
      <c r="AC209" s="14">
        <f ca="1">VLOOKUP($I209&amp;$F209&amp;$G209,装备属性表,装备属性计算表!AX$29,FALSE)</f>
        <v>82.304526748971199</v>
      </c>
      <c r="AD209" s="14">
        <f ca="1">VLOOKUP(VLOOKUP($I209&amp;$F209&amp;$G209,装备属性表,装备属性计算表!AY$29,FALSE),定义数据!$B$13:$C$35,2,FALSE)</f>
        <v>0</v>
      </c>
      <c r="AE209" s="14">
        <f>VLOOKUP($I209&amp;$F209&amp;$G209,装备属性表,装备属性计算表!AZ$29,FALSE)</f>
        <v>0</v>
      </c>
      <c r="AF209" s="14">
        <f ca="1">VLOOKUP(VLOOKUP($I209&amp;$F209&amp;$G209,装备属性表,装备属性计算表!BA$29,FALSE),定义数据!$B$13:$C$35,2,FALSE)</f>
        <v>0</v>
      </c>
      <c r="AG209" s="14">
        <f>VLOOKUP($I209&amp;$F209&amp;$G209,装备属性表,装备属性计算表!BB$29,FALSE)</f>
        <v>0</v>
      </c>
      <c r="AH209" s="14">
        <f ca="1">VLOOKUP(VLOOKUP($I209&amp;$F209&amp;$G209,装备属性表,装备属性计算表!BC$29,FALSE),定义数据!$B$13:$C$35,2,FALSE)</f>
        <v>0</v>
      </c>
      <c r="AI209" s="14">
        <f>VLOOKUP($I209&amp;$F209&amp;$G209,装备属性表,装备属性计算表!BD$29,FALSE)</f>
        <v>0</v>
      </c>
      <c r="AJ209" s="14">
        <f ca="1">VLOOKUP(VLOOKUP($I209&amp;$F209&amp;$G209,装备属性表,装备属性计算表!BE$29,FALSE),定义数据!$B$13:$C$35,2,FALSE)</f>
        <v>0</v>
      </c>
      <c r="AK209" s="14">
        <f>VLOOKUP($I209&amp;$F209&amp;$G209,装备属性表,装备属性计算表!BF$29,FALSE)</f>
        <v>0</v>
      </c>
      <c r="AL209" t="str">
        <f t="shared" si="53"/>
        <v>青龙长裤是一件80级红色可升级的装备。</v>
      </c>
      <c r="AM209" t="str">
        <f>IF(D209=0,5,D209) &amp; F209&amp;"00"&amp;VLOOKUP(G209,定义数据!$F$20:$G$27,2,FALSE)&amp;".png"</f>
        <v>52006.png</v>
      </c>
      <c r="AN209" s="79">
        <f>IF(OR(G209&lt;15),0,D_装备升级表!A209)</f>
        <v>80042</v>
      </c>
      <c r="AP209">
        <f ca="1">VLOOKUP(G209&amp;I209&amp;F209,CHOOSE({1,2},装备属性计算表!$BK$32:$BK$187,装备属性计算表!$BJ$32:$BJ$187),2,FALSE)</f>
        <v>394.30825380129045</v>
      </c>
      <c r="AQ209">
        <f ca="1">AP209*'[1]0、经济设定'!$C$18</f>
        <v>19715.412690064521</v>
      </c>
      <c r="AR209">
        <f ca="1">IFERROR(AQ209*'[1]0、经济设定'!$E$19*AU209*AS209,0)</f>
        <v>2636.5883682044378</v>
      </c>
      <c r="AS209">
        <v>10</v>
      </c>
      <c r="AT209">
        <f t="shared" si="56"/>
        <v>800</v>
      </c>
      <c r="AU209">
        <f ca="1">IF(F209=0,IFERROR(AT209/AP209/'[1]0、经济设定'!$E$18,0),AU208)</f>
        <v>6.6866172411727707</v>
      </c>
      <c r="AV209">
        <f t="shared" ca="1" si="55"/>
        <v>15772.330152051618</v>
      </c>
    </row>
    <row r="210" spans="1:48" x14ac:dyDescent="0.15">
      <c r="A210" s="14" t="str">
        <f t="shared" si="44"/>
        <v>55427</v>
      </c>
      <c r="B210" s="14" t="s">
        <v>623</v>
      </c>
      <c r="C210" s="14">
        <f>VLOOKUP($I210&amp;$F210&amp;$G210,装备属性表,装备属性计算表!AK$29,FALSE)</f>
        <v>27</v>
      </c>
      <c r="D210" s="14">
        <f t="shared" si="48"/>
        <v>0</v>
      </c>
      <c r="E210" s="14" t="str">
        <f>VLOOKUP(F210,CHOOSE({1,2},定义数据!$F$2:$F$7,武器部位),2)</f>
        <v>鞋子</v>
      </c>
      <c r="F210" s="14">
        <v>5</v>
      </c>
      <c r="G210" s="14">
        <f>装备属性计算表!D185</f>
        <v>80</v>
      </c>
      <c r="H210" s="14">
        <f t="shared" si="45"/>
        <v>80</v>
      </c>
      <c r="I210" s="14">
        <v>4</v>
      </c>
      <c r="J210" s="14" t="str">
        <f t="shared" si="46"/>
        <v>8045</v>
      </c>
      <c r="K210" s="14" t="str">
        <f t="shared" si="47"/>
        <v>8045</v>
      </c>
      <c r="L210" s="76"/>
      <c r="M210" s="14">
        <f>IF(OR(G210&lt;15,G210=80),0,D_装备升级表!A210)</f>
        <v>0</v>
      </c>
      <c r="N210" s="78">
        <v>1</v>
      </c>
      <c r="O210" s="14">
        <f t="shared" si="50"/>
        <v>2700</v>
      </c>
      <c r="P210" s="14"/>
      <c r="Q210" s="14">
        <f>VLOOKUP($I210&amp;$F210&amp;$G210,装备属性表,装备属性计算表!AL$29,FALSE)</f>
        <v>6</v>
      </c>
      <c r="R210" s="14">
        <f ca="1">VLOOKUP(VLOOKUP($I210&amp;$F210&amp;$G210,装备属性表,装备属性计算表!AM$29,FALSE),定义数据!$B$13:$C$35,2,FALSE)</f>
        <v>1</v>
      </c>
      <c r="S210" s="14">
        <f ca="1">VLOOKUP($I210&amp;$F210&amp;$G210,装备属性表,装备属性计算表!AN$29,FALSE)</f>
        <v>3658.4949165184516</v>
      </c>
      <c r="T210" s="14">
        <f ca="1">VLOOKUP(VLOOKUP($I210&amp;$F210&amp;$G210,装备属性表,装备属性计算表!AO$29,FALSE),定义数据!$B$13:$C$35,2,FALSE)</f>
        <v>7</v>
      </c>
      <c r="U210" s="14">
        <f ca="1">VLOOKUP($I210&amp;$F210&amp;$G210,装备属性表,装备属性计算表!AP$29,FALSE)</f>
        <v>486.11111111111109</v>
      </c>
      <c r="V210" s="14">
        <f ca="1">VLOOKUP(VLOOKUP($I210&amp;$F210&amp;$G210,装备属性表,装备属性计算表!AQ$29,FALSE),定义数据!$B$13:$C$35,2,FALSE)</f>
        <v>1</v>
      </c>
      <c r="W210" s="14">
        <f ca="1">VLOOKUP($I210&amp;$F210&amp;$G210,装备属性表,装备属性计算表!AR$29,FALSE)</f>
        <v>1742.1404364373579</v>
      </c>
      <c r="X210" s="14">
        <f ca="1">VLOOKUP(VLOOKUP($I210&amp;$F210&amp;$G210,装备属性表,装备属性计算表!AS$29,FALSE),定义数据!$B$13:$C$35,2,FALSE)</f>
        <v>7</v>
      </c>
      <c r="Y210" s="14">
        <f ca="1">VLOOKUP($I210&amp;$F210&amp;$G210,装备属性表,装备属性计算表!AT$29,FALSE)</f>
        <v>166.66666666666671</v>
      </c>
      <c r="Z210" s="14">
        <f ca="1">VLOOKUP(VLOOKUP($I210&amp;$F210&amp;$G210,装备属性表,装备属性计算表!AU$29,FALSE),定义数据!$B$13:$C$35,2,FALSE)</f>
        <v>6</v>
      </c>
      <c r="AA210" s="14">
        <f ca="1">VLOOKUP($I210&amp;$F210&amp;$G210,装备属性表,装备属性计算表!AV$29,FALSE)</f>
        <v>138.88888888888889</v>
      </c>
      <c r="AB210" s="14">
        <f ca="1">VLOOKUP(VLOOKUP($I210&amp;$F210&amp;$G210,装备属性表,装备属性计算表!AW$29,FALSE),定义数据!$B$13:$C$35,2,FALSE)</f>
        <v>8</v>
      </c>
      <c r="AC210" s="14">
        <f ca="1">VLOOKUP($I210&amp;$F210&amp;$G210,装备属性表,装备属性计算表!AX$29,FALSE)</f>
        <v>49.382716049382722</v>
      </c>
      <c r="AD210" s="14">
        <f ca="1">VLOOKUP(VLOOKUP($I210&amp;$F210&amp;$G210,装备属性表,装备属性计算表!AY$29,FALSE),定义数据!$B$13:$C$35,2,FALSE)</f>
        <v>0</v>
      </c>
      <c r="AE210" s="14">
        <f>VLOOKUP($I210&amp;$F210&amp;$G210,装备属性表,装备属性计算表!AZ$29,FALSE)</f>
        <v>0</v>
      </c>
      <c r="AF210" s="14">
        <f ca="1">VLOOKUP(VLOOKUP($I210&amp;$F210&amp;$G210,装备属性表,装备属性计算表!BA$29,FALSE),定义数据!$B$13:$C$35,2,FALSE)</f>
        <v>0</v>
      </c>
      <c r="AG210" s="14">
        <f>VLOOKUP($I210&amp;$F210&amp;$G210,装备属性表,装备属性计算表!BB$29,FALSE)</f>
        <v>0</v>
      </c>
      <c r="AH210" s="14">
        <f ca="1">VLOOKUP(VLOOKUP($I210&amp;$F210&amp;$G210,装备属性表,装备属性计算表!BC$29,FALSE),定义数据!$B$13:$C$35,2,FALSE)</f>
        <v>0</v>
      </c>
      <c r="AI210" s="14">
        <f>VLOOKUP($I210&amp;$F210&amp;$G210,装备属性表,装备属性计算表!BD$29,FALSE)</f>
        <v>0</v>
      </c>
      <c r="AJ210" s="14">
        <f ca="1">VLOOKUP(VLOOKUP($I210&amp;$F210&amp;$G210,装备属性表,装备属性计算表!BE$29,FALSE),定义数据!$B$13:$C$35,2,FALSE)</f>
        <v>0</v>
      </c>
      <c r="AK210" s="14">
        <f>VLOOKUP($I210&amp;$F210&amp;$G210,装备属性表,装备属性计算表!BF$29,FALSE)</f>
        <v>0</v>
      </c>
      <c r="AL210" t="str">
        <f t="shared" si="53"/>
        <v>青龙长靴是一件80级红色可升级的装备。</v>
      </c>
      <c r="AM210" t="str">
        <f>IF(D210=0,5,D210) &amp; F210&amp;"00"&amp;VLOOKUP(G210,定义数据!$F$20:$G$27,2,FALSE)&amp;".png"</f>
        <v>55006.png</v>
      </c>
      <c r="AN210" s="79">
        <f>IF(OR(G210&lt;15),0,D_装备升级表!A210)</f>
        <v>80045</v>
      </c>
      <c r="AP210">
        <f ca="1">VLOOKUP(G210&amp;I210&amp;F210,CHOOSE({1,2},装备属性计算表!$BK$32:$BK$187,装备属性计算表!$BJ$32:$BJ$187),2,FALSE)</f>
        <v>494.08096967378793</v>
      </c>
      <c r="AQ210">
        <f ca="1">AP210*'[1]0、经济设定'!$C$18</f>
        <v>24704.048483689396</v>
      </c>
      <c r="AR210">
        <f ca="1">IFERROR(AQ210*'[1]0、经济设定'!$E$19*AU210*AS210,0)</f>
        <v>3303.7303303561112</v>
      </c>
      <c r="AS210">
        <v>10</v>
      </c>
      <c r="AT210">
        <f t="shared" si="56"/>
        <v>800</v>
      </c>
      <c r="AU210">
        <f ca="1">IF(F210=0,IFERROR(AT210/AP210/'[1]0、经济设定'!$E$18,0),AU209)</f>
        <v>6.6866172411727707</v>
      </c>
      <c r="AV210">
        <f t="shared" ca="1" si="55"/>
        <v>19763.238786951519</v>
      </c>
    </row>
    <row r="211" spans="1:48" x14ac:dyDescent="0.15">
      <c r="A211" s="14" t="str">
        <f t="shared" si="44"/>
        <v>54427</v>
      </c>
      <c r="B211" s="14" t="s">
        <v>624</v>
      </c>
      <c r="C211" s="14">
        <f>VLOOKUP($I211&amp;$F211&amp;$G211,装备属性表,装备属性计算表!AK$29,FALSE)</f>
        <v>27</v>
      </c>
      <c r="D211" s="14">
        <f t="shared" si="48"/>
        <v>0</v>
      </c>
      <c r="E211" s="14" t="str">
        <f>VLOOKUP(F211,CHOOSE({1,2},定义数据!$F$2:$F$7,武器部位),2)</f>
        <v>腰带</v>
      </c>
      <c r="F211" s="14">
        <v>4</v>
      </c>
      <c r="G211" s="14">
        <f>装备属性计算表!D186</f>
        <v>80</v>
      </c>
      <c r="H211" s="14">
        <f t="shared" si="45"/>
        <v>80</v>
      </c>
      <c r="I211" s="14">
        <v>4</v>
      </c>
      <c r="J211" s="14" t="str">
        <f t="shared" si="46"/>
        <v>8044</v>
      </c>
      <c r="K211" s="14" t="str">
        <f t="shared" si="47"/>
        <v>8044</v>
      </c>
      <c r="L211" s="76"/>
      <c r="M211" s="14">
        <f>IF(OR(G211&lt;15,G211=80),0,D_装备升级表!A211)</f>
        <v>0</v>
      </c>
      <c r="N211" s="78">
        <v>1</v>
      </c>
      <c r="O211" s="14">
        <f t="shared" ref="O211:O212" si="59">MID($A211,5,1)*100+MID($A211,4,1)*1000</f>
        <v>2700</v>
      </c>
      <c r="P211" s="14"/>
      <c r="Q211" s="14">
        <f>VLOOKUP($I211&amp;$F211&amp;$G211,装备属性表,装备属性计算表!AL$29,FALSE)</f>
        <v>6</v>
      </c>
      <c r="R211" s="14">
        <f ca="1">VLOOKUP(VLOOKUP($I211&amp;$F211&amp;$G211,装备属性表,装备属性计算表!AM$29,FALSE),定义数据!$B$13:$C$35,2,FALSE)</f>
        <v>1</v>
      </c>
      <c r="S211" s="14">
        <f ca="1">VLOOKUP($I211&amp;$F211&amp;$G211,装备属性表,装备属性计算表!AN$29,FALSE)</f>
        <v>3658.4949165184516</v>
      </c>
      <c r="T211" s="14">
        <f ca="1">VLOOKUP(VLOOKUP($I211&amp;$F211&amp;$G211,装备属性表,装备属性计算表!AO$29,FALSE),定义数据!$B$13:$C$35,2,FALSE)</f>
        <v>9</v>
      </c>
      <c r="U211" s="14">
        <f ca="1">VLOOKUP($I211&amp;$F211&amp;$G211,装备属性表,装备属性计算表!AP$29,FALSE)</f>
        <v>432.09876543209873</v>
      </c>
      <c r="V211" s="14">
        <f ca="1">VLOOKUP(VLOOKUP($I211&amp;$F211&amp;$G211,装备属性表,装备属性计算表!AQ$29,FALSE),定义数据!$B$13:$C$35,2,FALSE)</f>
        <v>1</v>
      </c>
      <c r="W211" s="14">
        <f ca="1">VLOOKUP($I211&amp;$F211&amp;$G211,装备属性表,装备属性计算表!AR$29,FALSE)</f>
        <v>3484.2808728747159</v>
      </c>
      <c r="X211" s="14">
        <f ca="1">VLOOKUP(VLOOKUP($I211&amp;$F211&amp;$G211,装备属性表,装备属性计算表!AS$29,FALSE),定义数据!$B$13:$C$35,2,FALSE)</f>
        <v>2</v>
      </c>
      <c r="Y211" s="14">
        <f ca="1">VLOOKUP($I211&amp;$F211&amp;$G211,装备属性表,装备属性计算表!AT$29,FALSE)</f>
        <v>106.1860620320856</v>
      </c>
      <c r="Z211" s="14">
        <f ca="1">VLOOKUP(VLOOKUP($I211&amp;$F211&amp;$G211,装备属性表,装备属性计算表!AU$29,FALSE),定义数据!$B$13:$C$35,2,FALSE)</f>
        <v>3</v>
      </c>
      <c r="AA211" s="14">
        <f ca="1">VLOOKUP($I211&amp;$F211&amp;$G211,装备属性表,装备属性计算表!AV$29,FALSE)</f>
        <v>38.237615251299829</v>
      </c>
      <c r="AB211" s="14">
        <f ca="1">VLOOKUP(VLOOKUP($I211&amp;$F211&amp;$G211,装备属性表,装备属性计算表!AW$29,FALSE),定义数据!$B$13:$C$35,2,FALSE)</f>
        <v>9</v>
      </c>
      <c r="AC211" s="14">
        <f ca="1">VLOOKUP($I211&amp;$F211&amp;$G211,装备属性表,装备属性计算表!AX$29,FALSE)</f>
        <v>82.304526748971199</v>
      </c>
      <c r="AD211" s="14">
        <f ca="1">VLOOKUP(VLOOKUP($I211&amp;$F211&amp;$G211,装备属性表,装备属性计算表!AY$29,FALSE),定义数据!$B$13:$C$35,2,FALSE)</f>
        <v>0</v>
      </c>
      <c r="AE211" s="14">
        <f>VLOOKUP($I211&amp;$F211&amp;$G211,装备属性表,装备属性计算表!AZ$29,FALSE)</f>
        <v>0</v>
      </c>
      <c r="AF211" s="14">
        <f ca="1">VLOOKUP(VLOOKUP($I211&amp;$F211&amp;$G211,装备属性表,装备属性计算表!BA$29,FALSE),定义数据!$B$13:$C$35,2,FALSE)</f>
        <v>0</v>
      </c>
      <c r="AG211" s="14">
        <f>VLOOKUP($I211&amp;$F211&amp;$G211,装备属性表,装备属性计算表!BB$29,FALSE)</f>
        <v>0</v>
      </c>
      <c r="AH211" s="14">
        <f ca="1">VLOOKUP(VLOOKUP($I211&amp;$F211&amp;$G211,装备属性表,装备属性计算表!BC$29,FALSE),定义数据!$B$13:$C$35,2,FALSE)</f>
        <v>0</v>
      </c>
      <c r="AI211" s="14">
        <f>VLOOKUP($I211&amp;$F211&amp;$G211,装备属性表,装备属性计算表!BD$29,FALSE)</f>
        <v>0</v>
      </c>
      <c r="AJ211" s="14">
        <f ca="1">VLOOKUP(VLOOKUP($I211&amp;$F211&amp;$G211,装备属性表,装备属性计算表!BE$29,FALSE),定义数据!$B$13:$C$35,2,FALSE)</f>
        <v>0</v>
      </c>
      <c r="AK211" s="14">
        <f>VLOOKUP($I211&amp;$F211&amp;$G211,装备属性表,装备属性计算表!BF$29,FALSE)</f>
        <v>0</v>
      </c>
      <c r="AL211" t="str">
        <f t="shared" si="53"/>
        <v>青龙腰带是一件80级红色可升级的装备。</v>
      </c>
      <c r="AM211" t="str">
        <f>IF(D211=0,5,D211) &amp; F211&amp;"00"&amp;VLOOKUP(G211,定义数据!$F$20:$G$27,2,FALSE)&amp;".png"</f>
        <v>54006.png</v>
      </c>
      <c r="AN211" s="79">
        <f>IF(OR(G211&lt;15),0,D_装备升级表!A211)</f>
        <v>80044</v>
      </c>
      <c r="AP211">
        <f ca="1">VLOOKUP(G211&amp;I211&amp;F211,CHOOSE({1,2},装备属性计算表!$BK$32:$BK$187,装备属性计算表!$BJ$32:$BJ$187),2,FALSE)</f>
        <v>522.72730145170476</v>
      </c>
      <c r="AQ211">
        <f ca="1">AP211*'[1]0、经济设定'!$C$18</f>
        <v>26136.365072585239</v>
      </c>
      <c r="AR211">
        <f ca="1">IFERROR(AQ211*'[1]0、经济设定'!$E$19*AU211*AS211,0)</f>
        <v>3495.2773863186853</v>
      </c>
      <c r="AS211">
        <v>10</v>
      </c>
      <c r="AT211">
        <f t="shared" si="56"/>
        <v>800</v>
      </c>
      <c r="AU211">
        <f ca="1">IF(F211=0,IFERROR(AT211/AP211/'[1]0、经济设定'!$E$18,0),AU210)</f>
        <v>6.6866172411727707</v>
      </c>
      <c r="AV211">
        <f t="shared" ca="1" si="55"/>
        <v>20909.092058068192</v>
      </c>
    </row>
    <row r="212" spans="1:48" x14ac:dyDescent="0.15">
      <c r="A212" s="14" t="str">
        <f t="shared" si="44"/>
        <v>53427</v>
      </c>
      <c r="B212" s="14" t="s">
        <v>625</v>
      </c>
      <c r="C212" s="14">
        <f>VLOOKUP($I212&amp;$F212&amp;$G212,装备属性表,装备属性计算表!AK$29,FALSE)</f>
        <v>27</v>
      </c>
      <c r="D212" s="14">
        <f t="shared" si="48"/>
        <v>0</v>
      </c>
      <c r="E212" s="14" t="str">
        <f>VLOOKUP(F212,CHOOSE({1,2},定义数据!$F$2:$F$7,武器部位),2)</f>
        <v>项链</v>
      </c>
      <c r="F212" s="14">
        <v>3</v>
      </c>
      <c r="G212" s="14">
        <f>装备属性计算表!D187</f>
        <v>80</v>
      </c>
      <c r="H212" s="14">
        <f t="shared" si="45"/>
        <v>80</v>
      </c>
      <c r="I212" s="14">
        <v>4</v>
      </c>
      <c r="J212" s="14" t="str">
        <f t="shared" si="46"/>
        <v>8043</v>
      </c>
      <c r="K212" s="14" t="str">
        <f t="shared" si="47"/>
        <v>8043</v>
      </c>
      <c r="L212" s="76"/>
      <c r="M212" s="14">
        <f>IF(OR(G212&lt;15,G212=80),0,D_装备升级表!A212)</f>
        <v>0</v>
      </c>
      <c r="N212" s="78">
        <v>1</v>
      </c>
      <c r="O212" s="14">
        <f t="shared" si="59"/>
        <v>2700</v>
      </c>
      <c r="P212" s="14"/>
      <c r="Q212" s="14">
        <f>VLOOKUP($I212&amp;$F212&amp;$G212,装备属性表,装备属性计算表!AL$29,FALSE)</f>
        <v>6</v>
      </c>
      <c r="R212" s="14">
        <f ca="1">VLOOKUP(VLOOKUP($I212&amp;$F212&amp;$G212,装备属性表,装备属性计算表!AM$29,FALSE),定义数据!$B$13:$C$35,2,FALSE)</f>
        <v>2</v>
      </c>
      <c r="S212" s="14">
        <f ca="1">VLOOKUP($I212&amp;$F212&amp;$G212,装备属性表,装备属性计算表!AN$29,FALSE)</f>
        <v>232.28201069518721</v>
      </c>
      <c r="T212" s="14">
        <f ca="1">VLOOKUP(VLOOKUP($I212&amp;$F212&amp;$G212,装备属性表,装备属性计算表!AO$29,FALSE),定义数据!$B$13:$C$35,2,FALSE)</f>
        <v>6</v>
      </c>
      <c r="U212" s="14">
        <f ca="1">VLOOKUP($I212&amp;$F212&amp;$G212,装备属性表,装备属性计算表!AP$29,FALSE)</f>
        <v>729.16666666666663</v>
      </c>
      <c r="V212" s="14">
        <f ca="1">VLOOKUP(VLOOKUP($I212&amp;$F212&amp;$G212,装备属性表,装备属性计算表!AQ$29,FALSE),定义数据!$B$13:$C$35,2,FALSE)</f>
        <v>2</v>
      </c>
      <c r="W212" s="14">
        <f ca="1">VLOOKUP($I212&amp;$F212&amp;$G212,装备属性表,装备属性计算表!AR$29,FALSE)</f>
        <v>106.1860620320856</v>
      </c>
      <c r="X212" s="14">
        <f ca="1">VLOOKUP(VLOOKUP($I212&amp;$F212&amp;$G212,装备属性表,装备属性计算表!AS$29,FALSE),定义数据!$B$13:$C$35,2,FALSE)</f>
        <v>7</v>
      </c>
      <c r="Y212" s="14">
        <f ca="1">VLOOKUP($I212&amp;$F212&amp;$G212,装备属性表,装备属性计算表!AT$29,FALSE)</f>
        <v>83.333333333333357</v>
      </c>
      <c r="Z212" s="14">
        <f ca="1">VLOOKUP(VLOOKUP($I212&amp;$F212&amp;$G212,装备属性表,装备属性计算表!AU$29,FALSE),定义数据!$B$13:$C$35,2,FALSE)</f>
        <v>6</v>
      </c>
      <c r="AA212" s="14">
        <f ca="1">VLOOKUP($I212&amp;$F212&amp;$G212,装备属性表,装备属性计算表!AV$29,FALSE)</f>
        <v>138.88888888888889</v>
      </c>
      <c r="AB212" s="14">
        <f ca="1">VLOOKUP(VLOOKUP($I212&amp;$F212&amp;$G212,装备属性表,装备属性计算表!AW$29,FALSE),定义数据!$B$13:$C$35,2,FALSE)</f>
        <v>8</v>
      </c>
      <c r="AC212" s="14">
        <f ca="1">VLOOKUP($I212&amp;$F212&amp;$G212,装备属性表,装备属性计算表!AX$29,FALSE)</f>
        <v>98.765432098765444</v>
      </c>
      <c r="AD212" s="14">
        <f ca="1">VLOOKUP(VLOOKUP($I212&amp;$F212&amp;$G212,装备属性表,装备属性计算表!AY$29,FALSE),定义数据!$B$13:$C$35,2,FALSE)</f>
        <v>0</v>
      </c>
      <c r="AE212" s="14">
        <f>VLOOKUP($I212&amp;$F212&amp;$G212,装备属性表,装备属性计算表!AZ$29,FALSE)</f>
        <v>0</v>
      </c>
      <c r="AF212" s="14">
        <f ca="1">VLOOKUP(VLOOKUP($I212&amp;$F212&amp;$G212,装备属性表,装备属性计算表!BA$29,FALSE),定义数据!$B$13:$C$35,2,FALSE)</f>
        <v>0</v>
      </c>
      <c r="AG212" s="14">
        <f>VLOOKUP($I212&amp;$F212&amp;$G212,装备属性表,装备属性计算表!BB$29,FALSE)</f>
        <v>0</v>
      </c>
      <c r="AH212" s="14">
        <f ca="1">VLOOKUP(VLOOKUP($I212&amp;$F212&amp;$G212,装备属性表,装备属性计算表!BC$29,FALSE),定义数据!$B$13:$C$35,2,FALSE)</f>
        <v>0</v>
      </c>
      <c r="AI212" s="14">
        <f>VLOOKUP($I212&amp;$F212&amp;$G212,装备属性表,装备属性计算表!BD$29,FALSE)</f>
        <v>0</v>
      </c>
      <c r="AJ212" s="14">
        <f ca="1">VLOOKUP(VLOOKUP($I212&amp;$F212&amp;$G212,装备属性表,装备属性计算表!BE$29,FALSE),定义数据!$B$13:$C$35,2,FALSE)</f>
        <v>0</v>
      </c>
      <c r="AK212" s="14">
        <f>VLOOKUP($I212&amp;$F212&amp;$G212,装备属性表,装备属性计算表!BF$29,FALSE)</f>
        <v>0</v>
      </c>
      <c r="AL212" t="str">
        <f t="shared" si="53"/>
        <v>青龙项链是一件80级红色可升级的装备。</v>
      </c>
      <c r="AM212" t="str">
        <f>IF(D212=0,5,D212) &amp; F212&amp;"00"&amp;VLOOKUP(G212,定义数据!$F$20:$G$27,2,FALSE)&amp;".png"</f>
        <v>53006.png</v>
      </c>
      <c r="AN212" s="79">
        <f>IF(OR(G212&lt;15),0,D_装备升级表!A212)</f>
        <v>80043</v>
      </c>
      <c r="AP212">
        <f ca="1">VLOOKUP(G212&amp;I212&amp;F212,CHOOSE({1,2},装备属性计算表!$BK$32:$BK$187,装备属性计算表!$BJ$32:$BJ$187),2,FALSE)</f>
        <v>679.7180727272729</v>
      </c>
      <c r="AQ212">
        <f ca="1">AP212*'[1]0、经济设定'!$C$18</f>
        <v>33985.903636363648</v>
      </c>
      <c r="AR212">
        <f ca="1">IFERROR(AQ212*'[1]0、经济设定'!$E$19*AU212*AS212,0)</f>
        <v>4545.0145842349111</v>
      </c>
      <c r="AS212">
        <v>10</v>
      </c>
      <c r="AT212">
        <f t="shared" si="56"/>
        <v>800</v>
      </c>
      <c r="AU212">
        <f ca="1">IF(F212=0,IFERROR(AT212/AP212/'[1]0、经济设定'!$E$18,0),AU211)</f>
        <v>6.6866172411727707</v>
      </c>
      <c r="AV212">
        <f t="shared" ca="1" si="55"/>
        <v>27188.722909090917</v>
      </c>
    </row>
  </sheetData>
  <phoneticPr fontId="1" type="noConversion"/>
  <conditionalFormatting sqref="A2:AK36 A53:AK212 M37:M52">
    <cfRule type="expression" dxfId="289" priority="37">
      <formula>$I2=4</formula>
    </cfRule>
    <cfRule type="expression" dxfId="288" priority="38">
      <formula>$I2=3</formula>
    </cfRule>
    <cfRule type="expression" dxfId="287" priority="39">
      <formula>$I2=2</formula>
    </cfRule>
    <cfRule type="expression" dxfId="286" priority="40">
      <formula>$I2=0</formula>
    </cfRule>
    <cfRule type="expression" dxfId="285" priority="41">
      <formula>$I2=1</formula>
    </cfRule>
  </conditionalFormatting>
  <conditionalFormatting sqref="F2:F36 F53:F212">
    <cfRule type="cellIs" dxfId="284" priority="30" operator="equal">
      <formula>0</formula>
    </cfRule>
  </conditionalFormatting>
  <conditionalFormatting sqref="F15:F20">
    <cfRule type="cellIs" dxfId="283" priority="23" operator="equal">
      <formula>0</formula>
    </cfRule>
  </conditionalFormatting>
  <conditionalFormatting sqref="A37:L44 N37:AK44">
    <cfRule type="expression" dxfId="282" priority="13">
      <formula>$I37=4</formula>
    </cfRule>
    <cfRule type="expression" dxfId="281" priority="14">
      <formula>$I37=3</formula>
    </cfRule>
    <cfRule type="expression" dxfId="280" priority="15">
      <formula>$I37=2</formula>
    </cfRule>
    <cfRule type="expression" dxfId="279" priority="16">
      <formula>$I37=0</formula>
    </cfRule>
    <cfRule type="expression" dxfId="278" priority="17">
      <formula>$I37=1</formula>
    </cfRule>
  </conditionalFormatting>
  <conditionalFormatting sqref="F37:F44">
    <cfRule type="cellIs" dxfId="277" priority="12" operator="equal">
      <formula>0</formula>
    </cfRule>
  </conditionalFormatting>
  <conditionalFormatting sqref="N45:AK52 A45:L52">
    <cfRule type="expression" dxfId="276" priority="2">
      <formula>$I45=4</formula>
    </cfRule>
    <cfRule type="expression" dxfId="275" priority="3">
      <formula>$I45=3</formula>
    </cfRule>
    <cfRule type="expression" dxfId="274" priority="4">
      <formula>$I45=2</formula>
    </cfRule>
    <cfRule type="expression" dxfId="273" priority="5">
      <formula>$I45=0</formula>
    </cfRule>
    <cfRule type="expression" dxfId="272" priority="6">
      <formula>$I45=1</formula>
    </cfRule>
  </conditionalFormatting>
  <conditionalFormatting sqref="F45:F52">
    <cfRule type="cellIs" dxfId="271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AB212"/>
  <sheetViews>
    <sheetView tabSelected="1" workbookViewId="0">
      <selection activeCell="I38" sqref="I38"/>
    </sheetView>
  </sheetViews>
  <sheetFormatPr defaultRowHeight="13.5" x14ac:dyDescent="0.15"/>
  <cols>
    <col min="1" max="1" width="7.25" bestFit="1" customWidth="1"/>
    <col min="2" max="2" width="11.375" customWidth="1"/>
    <col min="3" max="3" width="9.5" bestFit="1" customWidth="1"/>
    <col min="4" max="5" width="9.5" customWidth="1"/>
    <col min="6" max="7" width="9.5" bestFit="1" customWidth="1"/>
    <col min="10" max="10" width="9.5" bestFit="1" customWidth="1"/>
    <col min="11" max="11" width="13" bestFit="1" customWidth="1"/>
    <col min="12" max="12" width="11.125" bestFit="1" customWidth="1"/>
    <col min="13" max="13" width="10.75" customWidth="1"/>
    <col min="14" max="14" width="16.125" bestFit="1" customWidth="1"/>
    <col min="15" max="15" width="12.25" bestFit="1" customWidth="1"/>
    <col min="16" max="16" width="14.125" bestFit="1" customWidth="1"/>
    <col min="17" max="17" width="12.25" bestFit="1" customWidth="1"/>
    <col min="18" max="18" width="14.125" bestFit="1" customWidth="1"/>
    <col min="19" max="20" width="14.125" customWidth="1"/>
    <col min="21" max="21" width="13.875" bestFit="1" customWidth="1"/>
    <col min="22" max="22" width="16.125" bestFit="1" customWidth="1"/>
    <col min="25" max="25" width="12.75" bestFit="1" customWidth="1"/>
  </cols>
  <sheetData>
    <row r="1" spans="1:28" x14ac:dyDescent="0.15">
      <c r="A1" s="27" t="s">
        <v>367</v>
      </c>
      <c r="B1" s="45" t="s">
        <v>205</v>
      </c>
      <c r="C1" s="45" t="s">
        <v>36</v>
      </c>
      <c r="D1" s="45" t="s">
        <v>207</v>
      </c>
      <c r="E1" s="45" t="s">
        <v>37</v>
      </c>
      <c r="F1" s="48" t="s">
        <v>40</v>
      </c>
      <c r="G1" t="s">
        <v>378</v>
      </c>
      <c r="H1" t="s">
        <v>368</v>
      </c>
      <c r="I1" s="27" t="s">
        <v>369</v>
      </c>
      <c r="J1" t="s">
        <v>380</v>
      </c>
      <c r="K1" t="s">
        <v>375</v>
      </c>
      <c r="L1" s="27" t="s">
        <v>374</v>
      </c>
      <c r="M1" s="27" t="s">
        <v>383</v>
      </c>
      <c r="N1" t="s">
        <v>371</v>
      </c>
      <c r="O1" s="27" t="s">
        <v>372</v>
      </c>
      <c r="P1" s="27" t="s">
        <v>373</v>
      </c>
      <c r="Q1" s="22" t="s">
        <v>396</v>
      </c>
      <c r="R1" s="27" t="s">
        <v>389</v>
      </c>
      <c r="S1" s="27" t="s">
        <v>390</v>
      </c>
    </row>
    <row r="2" spans="1:28" x14ac:dyDescent="0.15">
      <c r="A2">
        <f t="shared" ref="A2:A12" si="0">B2*1000+C2*100+E2*10+F2</f>
        <v>1100</v>
      </c>
      <c r="B2" s="14">
        <f>D_装备基础数据!C2</f>
        <v>1</v>
      </c>
      <c r="C2" s="14">
        <f>D_装备基础数据!D2</f>
        <v>1</v>
      </c>
      <c r="D2" s="14" t="str">
        <f>D_装备基础数据!E2</f>
        <v>武器</v>
      </c>
      <c r="E2" s="14">
        <f>D_装备基础数据!F2</f>
        <v>0</v>
      </c>
      <c r="F2" s="14">
        <f>D_装备基础数据!I2</f>
        <v>0</v>
      </c>
      <c r="G2">
        <f>D_装备基础数据!G2</f>
        <v>1</v>
      </c>
      <c r="H2">
        <v>0</v>
      </c>
      <c r="I2">
        <f>INT(Q2*'[1]0、经济设定'!$C$19/10)*F2</f>
        <v>0</v>
      </c>
      <c r="J2">
        <f t="shared" ref="J2:J81" si="1">IF(OR(G2&lt;15,G2=80),0,(G2+15)*1000+C2*100+F2*10+E2)</f>
        <v>0</v>
      </c>
      <c r="K2" t="str">
        <f>IFERROR(VLOOKUP(L2,D_装备基础数据!$A$2:$B$212,2,FALSE),"")</f>
        <v/>
      </c>
      <c r="L2">
        <f>IFERROR(IF(J2=0,0,VLOOKUP(J2,CHOOSE({1,2},D_装备基础数据!$AN$2:$AN$212,D_装备基础数据!$A$2:$A$212),2,FALSE)),0)</f>
        <v>0</v>
      </c>
      <c r="M2">
        <v>1</v>
      </c>
      <c r="N2" t="str">
        <f t="shared" ref="N2:N33" si="2">VLOOKUP(O2,$U$2:$V$6,2,FALSE)</f>
        <v>无</v>
      </c>
      <c r="O2">
        <f t="shared" ref="O2:O33" si="3">IF(J2=0,0,VLOOKUP(F2,$T$2:$X$6,2,FALSE))</f>
        <v>0</v>
      </c>
      <c r="P2">
        <f>IF(O2=0,0,ROUNDUP(Q2/VLOOKUP(O2,$U$16:$Y$19,5,FALSE),0))</f>
        <v>0</v>
      </c>
      <c r="Q2">
        <f>D_装备基础数据!AR2</f>
        <v>0</v>
      </c>
      <c r="T2">
        <v>0</v>
      </c>
      <c r="U2">
        <v>0</v>
      </c>
      <c r="V2" t="s">
        <v>379</v>
      </c>
    </row>
    <row r="3" spans="1:28" x14ac:dyDescent="0.15">
      <c r="A3">
        <f t="shared" si="0"/>
        <v>1200</v>
      </c>
      <c r="B3" s="14">
        <f>D_装备基础数据!C3</f>
        <v>1</v>
      </c>
      <c r="C3" s="14">
        <f>D_装备基础数据!D3</f>
        <v>2</v>
      </c>
      <c r="D3" s="14" t="str">
        <f>D_装备基础数据!E3</f>
        <v>武器</v>
      </c>
      <c r="E3" s="14">
        <f>D_装备基础数据!F3</f>
        <v>0</v>
      </c>
      <c r="F3" s="14">
        <f>D_装备基础数据!I3</f>
        <v>0</v>
      </c>
      <c r="G3">
        <f>D_装备基础数据!G3</f>
        <v>1</v>
      </c>
      <c r="H3">
        <v>0</v>
      </c>
      <c r="I3">
        <f>INT(Q3*'[1]0、经济设定'!$C$19/10)*F3</f>
        <v>0</v>
      </c>
      <c r="J3">
        <f t="shared" si="1"/>
        <v>0</v>
      </c>
      <c r="K3" t="str">
        <f>IFERROR(VLOOKUP(L3,D_装备基础数据!$A$2:$B$212,2,FALSE),"")</f>
        <v/>
      </c>
      <c r="L3">
        <f>IFERROR(IF(J3=0,0,VLOOKUP(J3,CHOOSE({1,2},D_装备基础数据!$AN$2:$AN$212,D_装备基础数据!$A$2:$A$212),2,FALSE)),0)</f>
        <v>0</v>
      </c>
      <c r="M3">
        <v>1</v>
      </c>
      <c r="N3" t="str">
        <f t="shared" si="2"/>
        <v>无</v>
      </c>
      <c r="O3">
        <f t="shared" si="3"/>
        <v>0</v>
      </c>
      <c r="P3">
        <f t="shared" ref="P3:P82" si="4">IF(O3=0,0,ROUNDUP(Q3/VLOOKUP(O3,$U$16:$Y$19,5,FALSE),0))</f>
        <v>0</v>
      </c>
      <c r="Q3">
        <f>D_装备基础数据!AR3</f>
        <v>0</v>
      </c>
      <c r="T3">
        <v>1</v>
      </c>
      <c r="U3">
        <v>85200</v>
      </c>
      <c r="V3" t="str">
        <f>VLOOKUP(U3,[2]D_道具表!$A:$B,2,0)</f>
        <v>高级装备升级石</v>
      </c>
      <c r="X3" t="s">
        <v>512</v>
      </c>
    </row>
    <row r="4" spans="1:28" x14ac:dyDescent="0.15">
      <c r="A4">
        <f t="shared" si="0"/>
        <v>1300</v>
      </c>
      <c r="B4" s="14">
        <f>D_装备基础数据!C4</f>
        <v>1</v>
      </c>
      <c r="C4" s="14">
        <f>D_装备基础数据!D4</f>
        <v>3</v>
      </c>
      <c r="D4" s="14" t="str">
        <f>D_装备基础数据!E4</f>
        <v>武器</v>
      </c>
      <c r="E4" s="14">
        <f>D_装备基础数据!F4</f>
        <v>0</v>
      </c>
      <c r="F4" s="14">
        <f>D_装备基础数据!I4</f>
        <v>0</v>
      </c>
      <c r="G4">
        <f>D_装备基础数据!G4</f>
        <v>1</v>
      </c>
      <c r="H4">
        <v>0</v>
      </c>
      <c r="I4">
        <f>INT(Q4*'[1]0、经济设定'!$C$19/10)*F4</f>
        <v>0</v>
      </c>
      <c r="J4">
        <f t="shared" si="1"/>
        <v>0</v>
      </c>
      <c r="K4" t="str">
        <f>IFERROR(VLOOKUP(L4,D_装备基础数据!$A$2:$B$212,2,FALSE),"")</f>
        <v/>
      </c>
      <c r="L4">
        <f>IFERROR(IF(J4=0,0,VLOOKUP(J4,CHOOSE({1,2},D_装备基础数据!$AN$2:$AN$212,D_装备基础数据!$A$2:$A$212),2,FALSE)),0)</f>
        <v>0</v>
      </c>
      <c r="M4">
        <v>1</v>
      </c>
      <c r="N4" t="str">
        <f t="shared" si="2"/>
        <v>无</v>
      </c>
      <c r="O4">
        <f t="shared" si="3"/>
        <v>0</v>
      </c>
      <c r="P4">
        <f t="shared" si="4"/>
        <v>0</v>
      </c>
      <c r="Q4">
        <f>D_装备基础数据!AR4</f>
        <v>0</v>
      </c>
      <c r="T4">
        <v>2</v>
      </c>
      <c r="U4">
        <v>85300</v>
      </c>
      <c r="V4" t="str">
        <f>VLOOKUP(U4,[2]D_道具表!$A:$B,2,0)</f>
        <v>稀有装备升级石</v>
      </c>
      <c r="X4" t="s">
        <v>376</v>
      </c>
    </row>
    <row r="5" spans="1:28" x14ac:dyDescent="0.15">
      <c r="A5">
        <f t="shared" si="0"/>
        <v>2100</v>
      </c>
      <c r="B5" s="14">
        <f>D_装备基础数据!C5</f>
        <v>2</v>
      </c>
      <c r="C5" s="14">
        <f>D_装备基础数据!D5</f>
        <v>1</v>
      </c>
      <c r="D5" s="14" t="str">
        <f>D_装备基础数据!E5</f>
        <v>武器</v>
      </c>
      <c r="E5" s="14">
        <f>D_装备基础数据!F5</f>
        <v>0</v>
      </c>
      <c r="F5" s="14">
        <f>D_装备基础数据!I5</f>
        <v>0</v>
      </c>
      <c r="G5">
        <f>D_装备基础数据!G5</f>
        <v>5</v>
      </c>
      <c r="H5">
        <v>0</v>
      </c>
      <c r="I5">
        <f ca="1">INT(Q5*'[1]0、经济设定'!$C$19/10)*F5</f>
        <v>0</v>
      </c>
      <c r="J5">
        <f t="shared" si="1"/>
        <v>0</v>
      </c>
      <c r="K5" t="str">
        <f>IFERROR(VLOOKUP(L5,D_装备基础数据!$A$2:$B$212,2,FALSE),"")</f>
        <v/>
      </c>
      <c r="L5">
        <f>IFERROR(IF(J5=0,0,VLOOKUP(J5,CHOOSE({1,2},D_装备基础数据!$AN$2:$AN$212,D_装备基础数据!$A$2:$A$212),2,FALSE)),0)</f>
        <v>0</v>
      </c>
      <c r="M5">
        <v>1</v>
      </c>
      <c r="N5" t="str">
        <f t="shared" si="2"/>
        <v>无</v>
      </c>
      <c r="O5">
        <f t="shared" si="3"/>
        <v>0</v>
      </c>
      <c r="P5">
        <f t="shared" si="4"/>
        <v>0</v>
      </c>
      <c r="Q5">
        <f ca="1">D_装备基础数据!AR5</f>
        <v>50</v>
      </c>
      <c r="T5">
        <v>3</v>
      </c>
      <c r="U5">
        <v>85400</v>
      </c>
      <c r="V5" t="str">
        <f>VLOOKUP(U5,[2]D_道具表!$A:$B,2,0)</f>
        <v>史诗装备升级石</v>
      </c>
      <c r="X5" t="s">
        <v>377</v>
      </c>
    </row>
    <row r="6" spans="1:28" x14ac:dyDescent="0.15">
      <c r="A6">
        <f t="shared" si="0"/>
        <v>2200</v>
      </c>
      <c r="B6" s="14">
        <f>D_装备基础数据!C6</f>
        <v>2</v>
      </c>
      <c r="C6" s="14">
        <f>D_装备基础数据!D6</f>
        <v>2</v>
      </c>
      <c r="D6" s="14" t="str">
        <f>D_装备基础数据!E6</f>
        <v>武器</v>
      </c>
      <c r="E6" s="14">
        <f>D_装备基础数据!F6</f>
        <v>0</v>
      </c>
      <c r="F6" s="14">
        <f>D_装备基础数据!I6</f>
        <v>0</v>
      </c>
      <c r="G6">
        <f>D_装备基础数据!G6</f>
        <v>5</v>
      </c>
      <c r="H6">
        <v>0</v>
      </c>
      <c r="I6">
        <f ca="1">INT(Q6*'[1]0、经济设定'!$C$19/10)*F6</f>
        <v>0</v>
      </c>
      <c r="J6">
        <f t="shared" si="1"/>
        <v>0</v>
      </c>
      <c r="K6" t="str">
        <f>IFERROR(VLOOKUP(L6,D_装备基础数据!$A$2:$B$212,2,FALSE),"")</f>
        <v/>
      </c>
      <c r="L6">
        <f>IFERROR(IF(J6=0,0,VLOOKUP(J6,CHOOSE({1,2},D_装备基础数据!$AN$2:$AN$212,D_装备基础数据!$A$2:$A$212),2,FALSE)),0)</f>
        <v>0</v>
      </c>
      <c r="M6">
        <v>1</v>
      </c>
      <c r="N6" t="str">
        <f t="shared" si="2"/>
        <v>无</v>
      </c>
      <c r="O6">
        <f t="shared" si="3"/>
        <v>0</v>
      </c>
      <c r="P6">
        <f t="shared" si="4"/>
        <v>0</v>
      </c>
      <c r="Q6">
        <f ca="1">D_装备基础数据!AR6</f>
        <v>50</v>
      </c>
      <c r="T6">
        <v>4</v>
      </c>
      <c r="U6">
        <v>85500</v>
      </c>
      <c r="V6" t="str">
        <f>VLOOKUP(U6,[2]D_道具表!$A:$B,2,0)</f>
        <v>传说装备升级石</v>
      </c>
      <c r="X6" t="s">
        <v>513</v>
      </c>
    </row>
    <row r="7" spans="1:28" x14ac:dyDescent="0.15">
      <c r="A7">
        <f t="shared" si="0"/>
        <v>2300</v>
      </c>
      <c r="B7" s="14">
        <f>D_装备基础数据!C7</f>
        <v>2</v>
      </c>
      <c r="C7" s="14">
        <f>D_装备基础数据!D7</f>
        <v>3</v>
      </c>
      <c r="D7" s="14" t="str">
        <f>D_装备基础数据!E7</f>
        <v>武器</v>
      </c>
      <c r="E7" s="14">
        <f>D_装备基础数据!F7</f>
        <v>0</v>
      </c>
      <c r="F7" s="14">
        <f>D_装备基础数据!I7</f>
        <v>0</v>
      </c>
      <c r="G7">
        <f>D_装备基础数据!G7</f>
        <v>5</v>
      </c>
      <c r="H7">
        <v>0</v>
      </c>
      <c r="I7">
        <f ca="1">INT(Q7*'[1]0、经济设定'!$C$19/10)*F7</f>
        <v>0</v>
      </c>
      <c r="J7">
        <f t="shared" si="1"/>
        <v>0</v>
      </c>
      <c r="K7" t="str">
        <f>IFERROR(VLOOKUP(L7,D_装备基础数据!$A$2:$B$212,2,FALSE),"")</f>
        <v/>
      </c>
      <c r="L7">
        <f>IFERROR(IF(J7=0,0,VLOOKUP(J7,CHOOSE({1,2},D_装备基础数据!$AN$2:$AN$212,D_装备基础数据!$A$2:$A$212),2,FALSE)),0)</f>
        <v>0</v>
      </c>
      <c r="M7">
        <v>1</v>
      </c>
      <c r="N7" t="str">
        <f t="shared" si="2"/>
        <v>无</v>
      </c>
      <c r="O7">
        <f t="shared" si="3"/>
        <v>0</v>
      </c>
      <c r="P7">
        <f t="shared" si="4"/>
        <v>0</v>
      </c>
      <c r="Q7">
        <f ca="1">D_装备基础数据!AR7</f>
        <v>50</v>
      </c>
    </row>
    <row r="8" spans="1:28" x14ac:dyDescent="0.15">
      <c r="A8">
        <f t="shared" si="0"/>
        <v>2010</v>
      </c>
      <c r="B8" s="14">
        <f>D_装备基础数据!C8</f>
        <v>2</v>
      </c>
      <c r="C8" s="14">
        <f>D_装备基础数据!D8</f>
        <v>0</v>
      </c>
      <c r="D8" s="14" t="str">
        <f>D_装备基础数据!E8</f>
        <v>衣服</v>
      </c>
      <c r="E8" s="14">
        <f>D_装备基础数据!F8</f>
        <v>1</v>
      </c>
      <c r="F8" s="14">
        <f>D_装备基础数据!I8</f>
        <v>0</v>
      </c>
      <c r="G8">
        <f>D_装备基础数据!G8</f>
        <v>5</v>
      </c>
      <c r="H8">
        <v>0</v>
      </c>
      <c r="I8">
        <f ca="1">INT(Q8*'[1]0、经济设定'!$C$19/10)*F8</f>
        <v>0</v>
      </c>
      <c r="J8">
        <f t="shared" si="1"/>
        <v>0</v>
      </c>
      <c r="K8" t="str">
        <f>IFERROR(VLOOKUP(L8,D_装备基础数据!$A$2:$B$212,2,FALSE),"")</f>
        <v/>
      </c>
      <c r="L8">
        <f>IFERROR(IF(J8=0,0,VLOOKUP(J8,CHOOSE({1,2},D_装备基础数据!$AN$2:$AN$212,D_装备基础数据!$A$2:$A$212),2,FALSE)),0)</f>
        <v>0</v>
      </c>
      <c r="M8">
        <v>1</v>
      </c>
      <c r="N8" t="str">
        <f t="shared" si="2"/>
        <v>无</v>
      </c>
      <c r="O8">
        <f t="shared" si="3"/>
        <v>0</v>
      </c>
      <c r="P8">
        <f t="shared" si="4"/>
        <v>0</v>
      </c>
      <c r="Q8">
        <f ca="1">D_装备基础数据!AR8</f>
        <v>43.886874984216874</v>
      </c>
    </row>
    <row r="9" spans="1:28" x14ac:dyDescent="0.15">
      <c r="A9">
        <f t="shared" si="0"/>
        <v>2020</v>
      </c>
      <c r="B9" s="14">
        <f>D_装备基础数据!C9</f>
        <v>2</v>
      </c>
      <c r="C9" s="14">
        <f>D_装备基础数据!D9</f>
        <v>0</v>
      </c>
      <c r="D9" s="14" t="str">
        <f>D_装备基础数据!E9</f>
        <v>裤子</v>
      </c>
      <c r="E9" s="14">
        <f>D_装备基础数据!F9</f>
        <v>2</v>
      </c>
      <c r="F9" s="14">
        <f>D_装备基础数据!I9</f>
        <v>0</v>
      </c>
      <c r="G9">
        <f>D_装备基础数据!G9</f>
        <v>5</v>
      </c>
      <c r="H9">
        <v>0</v>
      </c>
      <c r="I9">
        <f ca="1">INT(Q9*'[1]0、经济设定'!$C$19/10)*F9</f>
        <v>0</v>
      </c>
      <c r="J9">
        <f t="shared" si="1"/>
        <v>0</v>
      </c>
      <c r="K9" t="str">
        <f>IFERROR(VLOOKUP(L9,D_装备基础数据!$A$2:$B$212,2,FALSE),"")</f>
        <v/>
      </c>
      <c r="L9">
        <f>IFERROR(IF(J9=0,0,VLOOKUP(J9,CHOOSE({1,2},D_装备基础数据!$AN$2:$AN$212,D_装备基础数据!$A$2:$A$212),2,FALSE)),0)</f>
        <v>0</v>
      </c>
      <c r="M9">
        <v>1</v>
      </c>
      <c r="N9" t="str">
        <f t="shared" si="2"/>
        <v>无</v>
      </c>
      <c r="O9">
        <f t="shared" si="3"/>
        <v>0</v>
      </c>
      <c r="P9">
        <f t="shared" si="4"/>
        <v>0</v>
      </c>
      <c r="Q9">
        <f ca="1">D_装备基础数据!AR9</f>
        <v>15.700322520893103</v>
      </c>
    </row>
    <row r="10" spans="1:28" x14ac:dyDescent="0.15">
      <c r="A10">
        <f t="shared" si="0"/>
        <v>2050</v>
      </c>
      <c r="B10" s="14">
        <f>D_装备基础数据!C10</f>
        <v>2</v>
      </c>
      <c r="C10" s="14">
        <f>D_装备基础数据!D10</f>
        <v>0</v>
      </c>
      <c r="D10" s="14" t="str">
        <f>D_装备基础数据!E10</f>
        <v>鞋子</v>
      </c>
      <c r="E10" s="14">
        <f>D_装备基础数据!F10</f>
        <v>5</v>
      </c>
      <c r="F10" s="14">
        <f>D_装备基础数据!I10</f>
        <v>0</v>
      </c>
      <c r="G10">
        <f>D_装备基础数据!G10</f>
        <v>5</v>
      </c>
      <c r="H10">
        <v>0</v>
      </c>
      <c r="I10">
        <f ca="1">INT(Q10*'[1]0、经济设定'!$C$19/10)*F10</f>
        <v>0</v>
      </c>
      <c r="J10">
        <f t="shared" si="1"/>
        <v>0</v>
      </c>
      <c r="K10" t="str">
        <f>IFERROR(VLOOKUP(L10,D_装备基础数据!$A$2:$B$212,2,FALSE),"")</f>
        <v/>
      </c>
      <c r="L10">
        <f>IFERROR(IF(J10=0,0,VLOOKUP(J10,CHOOSE({1,2},D_装备基础数据!$AN$2:$AN$212,D_装备基础数据!$A$2:$A$212),2,FALSE)),0)</f>
        <v>0</v>
      </c>
      <c r="M10">
        <v>1</v>
      </c>
      <c r="N10" t="str">
        <f t="shared" si="2"/>
        <v>无</v>
      </c>
      <c r="O10">
        <f t="shared" si="3"/>
        <v>0</v>
      </c>
      <c r="P10">
        <f t="shared" si="4"/>
        <v>0</v>
      </c>
      <c r="Q10">
        <f ca="1">D_装备基础数据!AR10</f>
        <v>20.114123169896615</v>
      </c>
    </row>
    <row r="11" spans="1:28" x14ac:dyDescent="0.15">
      <c r="A11">
        <f t="shared" si="0"/>
        <v>2040</v>
      </c>
      <c r="B11" s="14">
        <f>D_装备基础数据!C11</f>
        <v>2</v>
      </c>
      <c r="C11" s="14">
        <f>D_装备基础数据!D11</f>
        <v>0</v>
      </c>
      <c r="D11" s="14" t="str">
        <f>D_装备基础数据!E11</f>
        <v>腰带</v>
      </c>
      <c r="E11" s="14">
        <f>D_装备基础数据!F11</f>
        <v>4</v>
      </c>
      <c r="F11" s="14">
        <f>D_装备基础数据!I11</f>
        <v>0</v>
      </c>
      <c r="G11">
        <f>D_装备基础数据!G11</f>
        <v>5</v>
      </c>
      <c r="H11">
        <v>0</v>
      </c>
      <c r="I11">
        <f ca="1">INT(Q11*'[1]0、经济设定'!$C$19/10)*F11</f>
        <v>0</v>
      </c>
      <c r="J11">
        <f t="shared" si="1"/>
        <v>0</v>
      </c>
      <c r="K11" t="str">
        <f>IFERROR(VLOOKUP(L11,D_装备基础数据!$A$2:$B$212,2,FALSE),"")</f>
        <v/>
      </c>
      <c r="L11">
        <f>IFERROR(IF(J11=0,0,VLOOKUP(J11,CHOOSE({1,2},D_装备基础数据!$AN$2:$AN$212,D_装备基础数据!$A$2:$A$212),2,FALSE)),0)</f>
        <v>0</v>
      </c>
      <c r="M11">
        <v>1</v>
      </c>
      <c r="N11" t="str">
        <f t="shared" si="2"/>
        <v>无</v>
      </c>
      <c r="O11">
        <f t="shared" si="3"/>
        <v>0</v>
      </c>
      <c r="P11">
        <f t="shared" si="4"/>
        <v>0</v>
      </c>
      <c r="Q11">
        <f ca="1">D_装备基础数据!AR11</f>
        <v>14.466220350111305</v>
      </c>
      <c r="U11" t="s">
        <v>382</v>
      </c>
      <c r="V11">
        <v>100</v>
      </c>
    </row>
    <row r="12" spans="1:28" x14ac:dyDescent="0.15">
      <c r="A12">
        <f t="shared" si="0"/>
        <v>2030</v>
      </c>
      <c r="B12" s="14">
        <f>D_装备基础数据!C12</f>
        <v>2</v>
      </c>
      <c r="C12" s="14">
        <f>D_装备基础数据!D12</f>
        <v>0</v>
      </c>
      <c r="D12" s="14" t="str">
        <f>D_装备基础数据!E12</f>
        <v>项链</v>
      </c>
      <c r="E12" s="14">
        <f>D_装备基础数据!F12</f>
        <v>3</v>
      </c>
      <c r="F12" s="14">
        <f>D_装备基础数据!I12</f>
        <v>0</v>
      </c>
      <c r="G12">
        <f>D_装备基础数据!G12</f>
        <v>5</v>
      </c>
      <c r="H12">
        <v>0</v>
      </c>
      <c r="I12">
        <f ca="1">INT(Q12*'[1]0、经济设定'!$C$19/10)*F12</f>
        <v>0</v>
      </c>
      <c r="J12">
        <f t="shared" si="1"/>
        <v>0</v>
      </c>
      <c r="K12" t="str">
        <f>IFERROR(VLOOKUP(L12,D_装备基础数据!$A$2:$B$212,2,FALSE),"")</f>
        <v/>
      </c>
      <c r="L12">
        <f>IFERROR(IF(J12=0,0,VLOOKUP(J12,CHOOSE({1,2},D_装备基础数据!$AN$2:$AN$212,D_装备基础数据!$A$2:$A$212),2,FALSE)),0)</f>
        <v>0</v>
      </c>
      <c r="M12">
        <v>1</v>
      </c>
      <c r="N12" t="str">
        <f t="shared" si="2"/>
        <v>无</v>
      </c>
      <c r="O12">
        <f t="shared" si="3"/>
        <v>0</v>
      </c>
      <c r="P12">
        <f t="shared" si="4"/>
        <v>0</v>
      </c>
      <c r="Q12">
        <f ca="1">D_装备基础数据!AR12</f>
        <v>30.995605302047927</v>
      </c>
      <c r="U12" t="s">
        <v>381</v>
      </c>
      <c r="V12">
        <v>0.08</v>
      </c>
    </row>
    <row r="13" spans="1:28" x14ac:dyDescent="0.15">
      <c r="A13">
        <f>G13*1000+C13*100+F13*10+E13</f>
        <v>5110</v>
      </c>
      <c r="B13" s="14">
        <f>D_装备基础数据!C13</f>
        <v>3</v>
      </c>
      <c r="C13" s="14">
        <f>D_装备基础数据!D13</f>
        <v>1</v>
      </c>
      <c r="D13" s="14" t="str">
        <f>D_装备基础数据!E13</f>
        <v>武器</v>
      </c>
      <c r="E13" s="14">
        <f>D_装备基础数据!F13</f>
        <v>0</v>
      </c>
      <c r="F13" s="14">
        <f>D_装备基础数据!I13</f>
        <v>1</v>
      </c>
      <c r="G13">
        <f>D_装备基础数据!G13</f>
        <v>5</v>
      </c>
      <c r="H13">
        <v>0</v>
      </c>
      <c r="I13">
        <f ca="1">INT(Q13*'[1]0、经济设定'!$C$19/10)*F13</f>
        <v>3000</v>
      </c>
      <c r="J13">
        <f t="shared" si="1"/>
        <v>0</v>
      </c>
      <c r="K13" t="str">
        <f>IFERROR(VLOOKUP(L13,D_装备基础数据!$A$2:$B$212,2,FALSE),"")</f>
        <v/>
      </c>
      <c r="L13">
        <f>IFERROR(IF(J13=0,0,VLOOKUP(J13,CHOOSE({1,2},D_装备基础数据!$AN$2:$AN$212,D_装备基础数据!$A$2:$A$212),2,FALSE)),0)</f>
        <v>0</v>
      </c>
      <c r="M13">
        <v>1</v>
      </c>
      <c r="N13" t="str">
        <f t="shared" si="2"/>
        <v>无</v>
      </c>
      <c r="O13">
        <f t="shared" si="3"/>
        <v>0</v>
      </c>
      <c r="P13">
        <f t="shared" si="4"/>
        <v>0</v>
      </c>
      <c r="Q13">
        <f ca="1">D_装备基础数据!AR13</f>
        <v>60</v>
      </c>
    </row>
    <row r="14" spans="1:28" x14ac:dyDescent="0.15">
      <c r="A14">
        <f t="shared" ref="A14:A93" si="5">G14*1000+C14*100+F14*10+E14</f>
        <v>5210</v>
      </c>
      <c r="B14" s="14">
        <f>D_装备基础数据!C14</f>
        <v>3</v>
      </c>
      <c r="C14" s="14">
        <f>D_装备基础数据!D14</f>
        <v>2</v>
      </c>
      <c r="D14" s="14" t="str">
        <f>D_装备基础数据!E14</f>
        <v>武器</v>
      </c>
      <c r="E14" s="14">
        <f>D_装备基础数据!F14</f>
        <v>0</v>
      </c>
      <c r="F14" s="14">
        <f>D_装备基础数据!I14</f>
        <v>1</v>
      </c>
      <c r="G14">
        <f>D_装备基础数据!G14</f>
        <v>5</v>
      </c>
      <c r="H14">
        <v>0</v>
      </c>
      <c r="I14">
        <f ca="1">INT(Q14*'[1]0、经济设定'!$C$19/10)*F14</f>
        <v>3000</v>
      </c>
      <c r="J14">
        <f t="shared" si="1"/>
        <v>0</v>
      </c>
      <c r="K14" t="str">
        <f>IFERROR(VLOOKUP(L14,D_装备基础数据!$A$2:$B$212,2,FALSE),"")</f>
        <v/>
      </c>
      <c r="L14">
        <f>IFERROR(IF(J14=0,0,VLOOKUP(J14,CHOOSE({1,2},D_装备基础数据!$AN$2:$AN$212,D_装备基础数据!$A$2:$A$212),2,FALSE)),0)</f>
        <v>0</v>
      </c>
      <c r="M14">
        <v>1</v>
      </c>
      <c r="N14" t="str">
        <f t="shared" si="2"/>
        <v>无</v>
      </c>
      <c r="O14">
        <f t="shared" si="3"/>
        <v>0</v>
      </c>
      <c r="P14">
        <f t="shared" si="4"/>
        <v>0</v>
      </c>
      <c r="Q14">
        <f ca="1">D_装备基础数据!AR14</f>
        <v>60</v>
      </c>
    </row>
    <row r="15" spans="1:28" x14ac:dyDescent="0.15">
      <c r="A15">
        <f t="shared" si="5"/>
        <v>5310</v>
      </c>
      <c r="B15" s="14">
        <f>D_装备基础数据!C15</f>
        <v>3</v>
      </c>
      <c r="C15" s="14">
        <f>D_装备基础数据!D15</f>
        <v>3</v>
      </c>
      <c r="D15" s="14" t="str">
        <f>D_装备基础数据!E15</f>
        <v>武器</v>
      </c>
      <c r="E15" s="14">
        <f>D_装备基础数据!F15</f>
        <v>0</v>
      </c>
      <c r="F15" s="14">
        <f>D_装备基础数据!I15</f>
        <v>1</v>
      </c>
      <c r="G15">
        <f>D_装备基础数据!G15</f>
        <v>5</v>
      </c>
      <c r="H15">
        <v>0</v>
      </c>
      <c r="I15">
        <f ca="1">INT(Q15*'[1]0、经济设定'!$C$19/10)*F15</f>
        <v>3000</v>
      </c>
      <c r="J15">
        <f t="shared" si="1"/>
        <v>0</v>
      </c>
      <c r="K15" t="str">
        <f>IFERROR(VLOOKUP(L15,D_装备基础数据!$A$2:$B$212,2,FALSE),"")</f>
        <v/>
      </c>
      <c r="L15">
        <f>IFERROR(IF(J15=0,0,VLOOKUP(J15,CHOOSE({1,2},D_装备基础数据!$AN$2:$AN$212,D_装备基础数据!$A$2:$A$212),2,FALSE)),0)</f>
        <v>0</v>
      </c>
      <c r="M15">
        <v>1</v>
      </c>
      <c r="N15" t="str">
        <f t="shared" si="2"/>
        <v>无</v>
      </c>
      <c r="O15">
        <f t="shared" si="3"/>
        <v>0</v>
      </c>
      <c r="P15">
        <f t="shared" si="4"/>
        <v>0</v>
      </c>
      <c r="Q15">
        <f ca="1">D_装备基础数据!AR15</f>
        <v>60</v>
      </c>
      <c r="V15" t="s">
        <v>384</v>
      </c>
      <c r="W15" t="s">
        <v>387</v>
      </c>
      <c r="X15" t="s">
        <v>385</v>
      </c>
      <c r="Y15" t="s">
        <v>386</v>
      </c>
      <c r="Z15" t="s">
        <v>388</v>
      </c>
      <c r="AB15" t="s">
        <v>395</v>
      </c>
    </row>
    <row r="16" spans="1:28" x14ac:dyDescent="0.15">
      <c r="A16">
        <f t="shared" si="5"/>
        <v>5011</v>
      </c>
      <c r="B16" s="14">
        <f>D_装备基础数据!C16</f>
        <v>3</v>
      </c>
      <c r="C16" s="14">
        <f>D_装备基础数据!D16</f>
        <v>0</v>
      </c>
      <c r="D16" s="14" t="str">
        <f>D_装备基础数据!E16</f>
        <v>衣服</v>
      </c>
      <c r="E16" s="14">
        <f>D_装备基础数据!F16</f>
        <v>1</v>
      </c>
      <c r="F16" s="14">
        <f>D_装备基础数据!I16</f>
        <v>1</v>
      </c>
      <c r="G16">
        <f>D_装备基础数据!G16</f>
        <v>5</v>
      </c>
      <c r="H16">
        <v>0</v>
      </c>
      <c r="I16">
        <f ca="1">INT(Q16*'[1]0、经济设定'!$C$19/10)*F16</f>
        <v>2588</v>
      </c>
      <c r="J16">
        <f t="shared" si="1"/>
        <v>0</v>
      </c>
      <c r="K16" t="str">
        <f>IFERROR(VLOOKUP(L16,D_装备基础数据!$A$2:$B$212,2,FALSE),"")</f>
        <v/>
      </c>
      <c r="L16">
        <f>IFERROR(IF(J16=0,0,VLOOKUP(J16,CHOOSE({1,2},D_装备基础数据!$AN$2:$AN$212,D_装备基础数据!$A$2:$A$212),2,FALSE)),0)</f>
        <v>0</v>
      </c>
      <c r="M16">
        <v>1</v>
      </c>
      <c r="N16" t="str">
        <f t="shared" si="2"/>
        <v>无</v>
      </c>
      <c r="O16">
        <f t="shared" si="3"/>
        <v>0</v>
      </c>
      <c r="P16">
        <f t="shared" si="4"/>
        <v>0</v>
      </c>
      <c r="Q16">
        <f ca="1">D_装备基础数据!AR16</f>
        <v>51.760902363287215</v>
      </c>
      <c r="T16">
        <v>1</v>
      </c>
      <c r="U16">
        <f>U3</f>
        <v>85200</v>
      </c>
      <c r="V16">
        <f ca="1">AB16/Y16</f>
        <v>2019.7074124618819</v>
      </c>
      <c r="Y16">
        <v>10</v>
      </c>
      <c r="AA16" t="s">
        <v>514</v>
      </c>
      <c r="AB16">
        <f ca="1">SUMIF(D_装备基础数据!$I$2:$I$212,T16,D_装备基础数据!$AR$2:$AR$212)</f>
        <v>20197.074124618819</v>
      </c>
    </row>
    <row r="17" spans="1:28" x14ac:dyDescent="0.15">
      <c r="A17">
        <f t="shared" si="5"/>
        <v>5012</v>
      </c>
      <c r="B17" s="14">
        <f>D_装备基础数据!C17</f>
        <v>3</v>
      </c>
      <c r="C17" s="14">
        <f>D_装备基础数据!D17</f>
        <v>0</v>
      </c>
      <c r="D17" s="14" t="str">
        <f>D_装备基础数据!E17</f>
        <v>裤子</v>
      </c>
      <c r="E17" s="14">
        <f>D_装备基础数据!F17</f>
        <v>2</v>
      </c>
      <c r="F17" s="14">
        <f>D_装备基础数据!I17</f>
        <v>1</v>
      </c>
      <c r="G17">
        <f>D_装备基础数据!G17</f>
        <v>5</v>
      </c>
      <c r="H17">
        <v>0</v>
      </c>
      <c r="I17">
        <f ca="1">INT(Q17*'[1]0、经济设定'!$C$19/10)*F17</f>
        <v>953</v>
      </c>
      <c r="J17">
        <f t="shared" si="1"/>
        <v>0</v>
      </c>
      <c r="K17" t="str">
        <f>IFERROR(VLOOKUP(L17,D_装备基础数据!$A$2:$B$212,2,FALSE),"")</f>
        <v/>
      </c>
      <c r="L17">
        <f>IFERROR(IF(J17=0,0,VLOOKUP(J17,CHOOSE({1,2},D_装备基础数据!$AN$2:$AN$212,D_装备基础数据!$A$2:$A$212),2,FALSE)),0)</f>
        <v>0</v>
      </c>
      <c r="M17">
        <v>1</v>
      </c>
      <c r="N17" t="str">
        <f t="shared" si="2"/>
        <v>无</v>
      </c>
      <c r="O17">
        <f t="shared" si="3"/>
        <v>0</v>
      </c>
      <c r="P17">
        <f t="shared" si="4"/>
        <v>0</v>
      </c>
      <c r="Q17">
        <f ca="1">D_装备基础数据!AR17</f>
        <v>19.070881364874719</v>
      </c>
      <c r="T17">
        <v>2</v>
      </c>
      <c r="U17">
        <f t="shared" ref="U17:U19" si="6">U4</f>
        <v>85300</v>
      </c>
      <c r="V17">
        <f t="shared" ref="V17:V19" ca="1" si="7">AB17/Y17</f>
        <v>1328.0447276882121</v>
      </c>
      <c r="Y17">
        <v>30</v>
      </c>
      <c r="AA17" t="s">
        <v>376</v>
      </c>
      <c r="AB17">
        <f ca="1">SUMIF(D_装备基础数据!$I$2:$I$212,T17,D_装备基础数据!$AR$2:$AR$212)</f>
        <v>39841.341830646365</v>
      </c>
    </row>
    <row r="18" spans="1:28" x14ac:dyDescent="0.15">
      <c r="A18">
        <f t="shared" si="5"/>
        <v>5015</v>
      </c>
      <c r="B18" s="14">
        <f>D_装备基础数据!C18</f>
        <v>3</v>
      </c>
      <c r="C18" s="14">
        <f>D_装备基础数据!D18</f>
        <v>0</v>
      </c>
      <c r="D18" s="14" t="str">
        <f>D_装备基础数据!E18</f>
        <v>鞋子</v>
      </c>
      <c r="E18" s="14">
        <f>D_装备基础数据!F18</f>
        <v>5</v>
      </c>
      <c r="F18" s="14">
        <f>D_装备基础数据!I18</f>
        <v>1</v>
      </c>
      <c r="G18">
        <f>D_装备基础数据!G18</f>
        <v>5</v>
      </c>
      <c r="H18">
        <v>0</v>
      </c>
      <c r="I18">
        <f ca="1">INT(Q18*'[1]0、经济设定'!$C$19/10)*F18</f>
        <v>1214</v>
      </c>
      <c r="J18">
        <f t="shared" si="1"/>
        <v>0</v>
      </c>
      <c r="K18" t="str">
        <f>IFERROR(VLOOKUP(L18,D_装备基础数据!$A$2:$B$212,2,FALSE),"")</f>
        <v/>
      </c>
      <c r="L18">
        <f>IFERROR(IF(J18=0,0,VLOOKUP(J18,CHOOSE({1,2},D_装备基础数据!$AN$2:$AN$212,D_装备基础数据!$A$2:$A$212),2,FALSE)),0)</f>
        <v>0</v>
      </c>
      <c r="M18">
        <v>1</v>
      </c>
      <c r="N18" t="str">
        <f t="shared" si="2"/>
        <v>无</v>
      </c>
      <c r="O18">
        <f t="shared" si="3"/>
        <v>0</v>
      </c>
      <c r="P18">
        <f t="shared" si="4"/>
        <v>0</v>
      </c>
      <c r="Q18">
        <f ca="1">D_装备基础数据!AR18</f>
        <v>24.295137996809203</v>
      </c>
      <c r="T18">
        <v>3</v>
      </c>
      <c r="U18">
        <f t="shared" si="6"/>
        <v>85400</v>
      </c>
      <c r="V18">
        <f t="shared" ca="1" si="7"/>
        <v>1248.4901080620789</v>
      </c>
      <c r="Y18">
        <v>80</v>
      </c>
      <c r="AA18" t="s">
        <v>377</v>
      </c>
      <c r="AB18">
        <f ca="1">SUMIF(D_装备基础数据!$I$2:$I$212,T18,D_装备基础数据!$AR$2:$AR$212)</f>
        <v>99879.208644966318</v>
      </c>
    </row>
    <row r="19" spans="1:28" x14ac:dyDescent="0.15">
      <c r="A19">
        <f t="shared" si="5"/>
        <v>5014</v>
      </c>
      <c r="B19" s="14">
        <f>D_装备基础数据!C19</f>
        <v>3</v>
      </c>
      <c r="C19" s="14">
        <f>D_装备基础数据!D19</f>
        <v>0</v>
      </c>
      <c r="D19" s="14" t="str">
        <f>D_装备基础数据!E19</f>
        <v>腰带</v>
      </c>
      <c r="E19" s="14">
        <f>D_装备基础数据!F19</f>
        <v>4</v>
      </c>
      <c r="F19" s="14">
        <f>D_装备基础数据!I19</f>
        <v>1</v>
      </c>
      <c r="G19">
        <f>D_装备基础数据!G19</f>
        <v>5</v>
      </c>
      <c r="H19">
        <v>0</v>
      </c>
      <c r="I19">
        <f ca="1">INT(Q19*'[1]0、经济设定'!$C$19/10)*F19</f>
        <v>977</v>
      </c>
      <c r="J19">
        <f t="shared" si="1"/>
        <v>0</v>
      </c>
      <c r="K19" t="str">
        <f>IFERROR(VLOOKUP(L19,D_装备基础数据!$A$2:$B$212,2,FALSE),"")</f>
        <v/>
      </c>
      <c r="L19">
        <f>IFERROR(IF(J19=0,0,VLOOKUP(J19,CHOOSE({1,2},D_装备基础数据!$AN$2:$AN$212,D_装备基础数据!$A$2:$A$212),2,FALSE)),0)</f>
        <v>0</v>
      </c>
      <c r="M19">
        <v>1</v>
      </c>
      <c r="N19" t="str">
        <f t="shared" si="2"/>
        <v>无</v>
      </c>
      <c r="O19">
        <f t="shared" si="3"/>
        <v>0</v>
      </c>
      <c r="P19">
        <f t="shared" si="4"/>
        <v>0</v>
      </c>
      <c r="Q19">
        <f ca="1">D_装备基础数据!AR19</f>
        <v>19.544686980262345</v>
      </c>
      <c r="T19">
        <v>4</v>
      </c>
      <c r="U19">
        <f t="shared" si="6"/>
        <v>85500</v>
      </c>
      <c r="V19">
        <f t="shared" ca="1" si="7"/>
        <v>1669.2910991566057</v>
      </c>
      <c r="Y19">
        <v>100</v>
      </c>
      <c r="AA19" t="s">
        <v>515</v>
      </c>
      <c r="AB19">
        <f ca="1">SUMIF(D_装备基础数据!$I$2:$I$212,T19,D_装备基础数据!$AR$2:$AR$212)</f>
        <v>166929.10991566058</v>
      </c>
    </row>
    <row r="20" spans="1:28" x14ac:dyDescent="0.15">
      <c r="A20">
        <f t="shared" si="5"/>
        <v>5013</v>
      </c>
      <c r="B20" s="14">
        <f>D_装备基础数据!C20</f>
        <v>3</v>
      </c>
      <c r="C20" s="14">
        <f>D_装备基础数据!D20</f>
        <v>0</v>
      </c>
      <c r="D20" s="14" t="str">
        <f>D_装备基础数据!E20</f>
        <v>项链</v>
      </c>
      <c r="E20" s="14">
        <f>D_装备基础数据!F20</f>
        <v>3</v>
      </c>
      <c r="F20" s="14">
        <f>D_装备基础数据!I20</f>
        <v>1</v>
      </c>
      <c r="G20">
        <f>D_装备基础数据!G20</f>
        <v>5</v>
      </c>
      <c r="H20">
        <v>0</v>
      </c>
      <c r="I20">
        <f ca="1">INT(Q20*'[1]0、经济设定'!$C$19/10)*F20</f>
        <v>1821</v>
      </c>
      <c r="J20">
        <f t="shared" si="1"/>
        <v>0</v>
      </c>
      <c r="K20" t="str">
        <f>IFERROR(VLOOKUP(L20,D_装备基础数据!$A$2:$B$212,2,FALSE),"")</f>
        <v/>
      </c>
      <c r="L20">
        <f>IFERROR(IF(J20=0,0,VLOOKUP(J20,CHOOSE({1,2},D_装备基础数据!$AN$2:$AN$212,D_装备基础数据!$A$2:$A$212),2,FALSE)),0)</f>
        <v>0</v>
      </c>
      <c r="M20">
        <v>1</v>
      </c>
      <c r="N20" t="str">
        <f t="shared" si="2"/>
        <v>无</v>
      </c>
      <c r="O20">
        <f t="shared" si="3"/>
        <v>0</v>
      </c>
      <c r="P20">
        <f t="shared" si="4"/>
        <v>0</v>
      </c>
      <c r="Q20">
        <f ca="1">D_装备基础数据!AR20</f>
        <v>36.42796710818979</v>
      </c>
    </row>
    <row r="21" spans="1:28" x14ac:dyDescent="0.15">
      <c r="A21">
        <f t="shared" si="5"/>
        <v>15110</v>
      </c>
      <c r="B21" s="14">
        <f>D_装备基础数据!C21</f>
        <v>4</v>
      </c>
      <c r="C21" s="14">
        <f>D_装备基础数据!D21</f>
        <v>1</v>
      </c>
      <c r="D21" s="14" t="str">
        <f>D_装备基础数据!E21</f>
        <v>武器</v>
      </c>
      <c r="E21" s="14">
        <f>D_装备基础数据!F21</f>
        <v>0</v>
      </c>
      <c r="F21" s="14">
        <f>D_装备基础数据!I21</f>
        <v>1</v>
      </c>
      <c r="G21">
        <f>D_装备基础数据!G21</f>
        <v>15</v>
      </c>
      <c r="H21">
        <v>0</v>
      </c>
      <c r="I21">
        <f ca="1">INT(Q21*'[1]0、经济设定'!$C$19/10)*F21</f>
        <v>9000</v>
      </c>
      <c r="J21">
        <f>IF(OR(G21&lt;15,G21=80),0,(G21+15)*1000+C21*100+F21*10+E21)</f>
        <v>30110</v>
      </c>
      <c r="K21" t="str">
        <f>IFERROR(VLOOKUP(L21,D_装备基础数据!$A$2:$B$212,2,FALSE),"")</f>
        <v>碧蓝之剑</v>
      </c>
      <c r="L21" t="str">
        <f>IFERROR(IF(J21=0,0,VLOOKUP(J21,CHOOSE({1,2},D_装备基础数据!$AN$2:$AN$212,D_装备基础数据!$A$2:$A$212),2,FALSE)),0)</f>
        <v>10108</v>
      </c>
      <c r="M21">
        <v>1</v>
      </c>
      <c r="N21" t="str">
        <f t="shared" si="2"/>
        <v>高级装备升级石</v>
      </c>
      <c r="O21">
        <f t="shared" si="3"/>
        <v>85200</v>
      </c>
      <c r="P21">
        <f ca="1">IF(O21=0,0,ROUNDUP(Q21/VLOOKUP(O21,$U$16:$Y$19,5,FALSE),0))</f>
        <v>18</v>
      </c>
      <c r="Q21">
        <f ca="1">D_装备基础数据!AR21</f>
        <v>180</v>
      </c>
    </row>
    <row r="22" spans="1:28" x14ac:dyDescent="0.15">
      <c r="A22">
        <f t="shared" si="5"/>
        <v>15210</v>
      </c>
      <c r="B22" s="14">
        <f>D_装备基础数据!C22</f>
        <v>4</v>
      </c>
      <c r="C22" s="14">
        <f>D_装备基础数据!D22</f>
        <v>2</v>
      </c>
      <c r="D22" s="14" t="str">
        <f>D_装备基础数据!E22</f>
        <v>武器</v>
      </c>
      <c r="E22" s="14">
        <f>D_装备基础数据!F22</f>
        <v>0</v>
      </c>
      <c r="F22" s="14">
        <f>D_装备基础数据!I22</f>
        <v>1</v>
      </c>
      <c r="G22">
        <f>D_装备基础数据!G22</f>
        <v>15</v>
      </c>
      <c r="H22">
        <v>0</v>
      </c>
      <c r="I22">
        <f ca="1">INT(Q22*'[1]0、经济设定'!$C$19/10)*F22</f>
        <v>9000</v>
      </c>
      <c r="J22">
        <f t="shared" si="1"/>
        <v>30210</v>
      </c>
      <c r="K22" t="str">
        <f>IFERROR(VLOOKUP(L22,D_装备基础数据!$A$2:$B$212,2,FALSE),"")</f>
        <v>碧蓝之拳</v>
      </c>
      <c r="L22" t="str">
        <f>IFERROR(IF(J22=0,0,VLOOKUP(J22,CHOOSE({1,2},D_装备基础数据!$AN$2:$AN$212,D_装备基础数据!$A$2:$A$212),2,FALSE)),0)</f>
        <v>20108</v>
      </c>
      <c r="M22">
        <v>1</v>
      </c>
      <c r="N22" t="str">
        <f t="shared" si="2"/>
        <v>高级装备升级石</v>
      </c>
      <c r="O22">
        <f t="shared" si="3"/>
        <v>85200</v>
      </c>
      <c r="P22">
        <f t="shared" ca="1" si="4"/>
        <v>18</v>
      </c>
      <c r="Q22">
        <f ca="1">D_装备基础数据!AR22</f>
        <v>180</v>
      </c>
    </row>
    <row r="23" spans="1:28" x14ac:dyDescent="0.15">
      <c r="A23">
        <f t="shared" si="5"/>
        <v>15310</v>
      </c>
      <c r="B23" s="14">
        <f>D_装备基础数据!C23</f>
        <v>4</v>
      </c>
      <c r="C23" s="14">
        <f>D_装备基础数据!D23</f>
        <v>3</v>
      </c>
      <c r="D23" s="14" t="str">
        <f>D_装备基础数据!E23</f>
        <v>武器</v>
      </c>
      <c r="E23" s="14">
        <f>D_装备基础数据!F23</f>
        <v>0</v>
      </c>
      <c r="F23" s="14">
        <f>D_装备基础数据!I23</f>
        <v>1</v>
      </c>
      <c r="G23">
        <f>D_装备基础数据!G23</f>
        <v>15</v>
      </c>
      <c r="H23">
        <v>0</v>
      </c>
      <c r="I23">
        <f ca="1">INT(Q23*'[1]0、经济设定'!$C$19/10)*F23</f>
        <v>9000</v>
      </c>
      <c r="J23">
        <f t="shared" si="1"/>
        <v>30310</v>
      </c>
      <c r="K23" t="str">
        <f>IFERROR(VLOOKUP(L23,D_装备基础数据!$A$2:$B$212,2,FALSE),"")</f>
        <v>碧蓝之枪</v>
      </c>
      <c r="L23" t="str">
        <f>IFERROR(IF(J23=0,0,VLOOKUP(J23,CHOOSE({1,2},D_装备基础数据!$AN$2:$AN$212,D_装备基础数据!$A$2:$A$212),2,FALSE)),0)</f>
        <v>30108</v>
      </c>
      <c r="M23">
        <v>1</v>
      </c>
      <c r="N23" t="str">
        <f t="shared" si="2"/>
        <v>高级装备升级石</v>
      </c>
      <c r="O23">
        <f t="shared" si="3"/>
        <v>85200</v>
      </c>
      <c r="P23">
        <f t="shared" ca="1" si="4"/>
        <v>18</v>
      </c>
      <c r="Q23">
        <f ca="1">D_装备基础数据!AR23</f>
        <v>180</v>
      </c>
    </row>
    <row r="24" spans="1:28" x14ac:dyDescent="0.15">
      <c r="A24">
        <f t="shared" si="5"/>
        <v>15011</v>
      </c>
      <c r="B24" s="14">
        <f>D_装备基础数据!C24</f>
        <v>4</v>
      </c>
      <c r="C24" s="14">
        <f>D_装备基础数据!D24</f>
        <v>0</v>
      </c>
      <c r="D24" s="14" t="str">
        <f>D_装备基础数据!E24</f>
        <v>衣服</v>
      </c>
      <c r="E24" s="14">
        <f>D_装备基础数据!F24</f>
        <v>1</v>
      </c>
      <c r="F24" s="14">
        <f>D_装备基础数据!I24</f>
        <v>1</v>
      </c>
      <c r="G24">
        <f>D_装备基础数据!G24</f>
        <v>15</v>
      </c>
      <c r="H24">
        <v>0</v>
      </c>
      <c r="I24">
        <f ca="1">INT(Q24*'[1]0、经济设定'!$C$19/10)*F24</f>
        <v>7764</v>
      </c>
      <c r="J24">
        <f t="shared" si="1"/>
        <v>30011</v>
      </c>
      <c r="K24" t="str">
        <f>IFERROR(VLOOKUP(L24,D_装备基础数据!$A$2:$B$212,2,FALSE),"")</f>
        <v>碧蓝战衣</v>
      </c>
      <c r="L24" t="str">
        <f>IFERROR(IF(J24=0,0,VLOOKUP(J24,CHOOSE({1,2},D_装备基础数据!$AN$2:$AN$212,D_装备基础数据!$A$2:$A$212),2,FALSE)),0)</f>
        <v>51108</v>
      </c>
      <c r="M24">
        <v>1</v>
      </c>
      <c r="N24" t="str">
        <f t="shared" si="2"/>
        <v>高级装备升级石</v>
      </c>
      <c r="O24">
        <f t="shared" si="3"/>
        <v>85200</v>
      </c>
      <c r="P24">
        <f t="shared" ca="1" si="4"/>
        <v>16</v>
      </c>
      <c r="Q24">
        <f ca="1">D_装备基础数据!AR24</f>
        <v>155.28270708986165</v>
      </c>
    </row>
    <row r="25" spans="1:28" x14ac:dyDescent="0.15">
      <c r="A25">
        <f t="shared" si="5"/>
        <v>15012</v>
      </c>
      <c r="B25" s="14">
        <f>D_装备基础数据!C25</f>
        <v>4</v>
      </c>
      <c r="C25" s="14">
        <f>D_装备基础数据!D25</f>
        <v>0</v>
      </c>
      <c r="D25" s="14" t="str">
        <f>D_装备基础数据!E25</f>
        <v>裤子</v>
      </c>
      <c r="E25" s="14">
        <f>D_装备基础数据!F25</f>
        <v>2</v>
      </c>
      <c r="F25" s="14">
        <f>D_装备基础数据!I25</f>
        <v>1</v>
      </c>
      <c r="G25">
        <f>D_装备基础数据!G25</f>
        <v>15</v>
      </c>
      <c r="H25">
        <v>0</v>
      </c>
      <c r="I25">
        <f ca="1">INT(Q25*'[1]0、经济设定'!$C$19/10)*F25</f>
        <v>2860</v>
      </c>
      <c r="J25">
        <f t="shared" si="1"/>
        <v>30012</v>
      </c>
      <c r="K25" t="str">
        <f>IFERROR(VLOOKUP(L25,D_装备基础数据!$A$2:$B$212,2,FALSE),"")</f>
        <v>碧蓝长裤</v>
      </c>
      <c r="L25" t="str">
        <f>IFERROR(IF(J25=0,0,VLOOKUP(J25,CHOOSE({1,2},D_装备基础数据!$AN$2:$AN$212,D_装备基础数据!$A$2:$A$212),2,FALSE)),0)</f>
        <v>52108</v>
      </c>
      <c r="M25">
        <v>1</v>
      </c>
      <c r="N25" t="str">
        <f t="shared" si="2"/>
        <v>高级装备升级石</v>
      </c>
      <c r="O25">
        <f t="shared" si="3"/>
        <v>85200</v>
      </c>
      <c r="P25">
        <f t="shared" ca="1" si="4"/>
        <v>6</v>
      </c>
      <c r="Q25">
        <f ca="1">D_装备基础数据!AR25</f>
        <v>57.212644094624153</v>
      </c>
    </row>
    <row r="26" spans="1:28" x14ac:dyDescent="0.15">
      <c r="A26">
        <f t="shared" si="5"/>
        <v>15015</v>
      </c>
      <c r="B26" s="14">
        <f>D_装备基础数据!C26</f>
        <v>4</v>
      </c>
      <c r="C26" s="14">
        <f>D_装备基础数据!D26</f>
        <v>0</v>
      </c>
      <c r="D26" s="14" t="str">
        <f>D_装备基础数据!E26</f>
        <v>鞋子</v>
      </c>
      <c r="E26" s="14">
        <f>D_装备基础数据!F26</f>
        <v>5</v>
      </c>
      <c r="F26" s="14">
        <f>D_装备基础数据!I26</f>
        <v>1</v>
      </c>
      <c r="G26">
        <f>D_装备基础数据!G26</f>
        <v>15</v>
      </c>
      <c r="H26">
        <v>0</v>
      </c>
      <c r="I26">
        <f ca="1">INT(Q26*'[1]0、经济设定'!$C$19/10)*F26</f>
        <v>3644</v>
      </c>
      <c r="J26">
        <f t="shared" si="1"/>
        <v>30015</v>
      </c>
      <c r="K26" t="str">
        <f>IFERROR(VLOOKUP(L26,D_装备基础数据!$A$2:$B$212,2,FALSE),"")</f>
        <v>碧蓝长靴</v>
      </c>
      <c r="L26" t="str">
        <f>IFERROR(IF(J26=0,0,VLOOKUP(J26,CHOOSE({1,2},D_装备基础数据!$AN$2:$AN$212,D_装备基础数据!$A$2:$A$212),2,FALSE)),0)</f>
        <v>55108</v>
      </c>
      <c r="M26">
        <v>1</v>
      </c>
      <c r="N26" t="str">
        <f t="shared" si="2"/>
        <v>高级装备升级石</v>
      </c>
      <c r="O26">
        <f t="shared" si="3"/>
        <v>85200</v>
      </c>
      <c r="P26">
        <f t="shared" ca="1" si="4"/>
        <v>8</v>
      </c>
      <c r="Q26">
        <f ca="1">D_装备基础数据!AR26</f>
        <v>72.885413990427608</v>
      </c>
    </row>
    <row r="27" spans="1:28" x14ac:dyDescent="0.15">
      <c r="A27">
        <f t="shared" si="5"/>
        <v>15014</v>
      </c>
      <c r="B27" s="14">
        <f>D_装备基础数据!C27</f>
        <v>4</v>
      </c>
      <c r="C27" s="14">
        <f>D_装备基础数据!D27</f>
        <v>0</v>
      </c>
      <c r="D27" s="14" t="str">
        <f>D_装备基础数据!E27</f>
        <v>腰带</v>
      </c>
      <c r="E27" s="14">
        <f>D_装备基础数据!F27</f>
        <v>4</v>
      </c>
      <c r="F27" s="14">
        <f>D_装备基础数据!I27</f>
        <v>1</v>
      </c>
      <c r="G27">
        <f>D_装备基础数据!G27</f>
        <v>15</v>
      </c>
      <c r="H27">
        <v>0</v>
      </c>
      <c r="I27">
        <f ca="1">INT(Q27*'[1]0、经济设定'!$C$19/10)*F27</f>
        <v>2931</v>
      </c>
      <c r="J27">
        <f t="shared" si="1"/>
        <v>30014</v>
      </c>
      <c r="K27" t="str">
        <f>IFERROR(VLOOKUP(L27,D_装备基础数据!$A$2:$B$212,2,FALSE),"")</f>
        <v>碧蓝腰带</v>
      </c>
      <c r="L27" t="str">
        <f>IFERROR(IF(J27=0,0,VLOOKUP(J27,CHOOSE({1,2},D_装备基础数据!$AN$2:$AN$212,D_装备基础数据!$A$2:$A$212),2,FALSE)),0)</f>
        <v>54108</v>
      </c>
      <c r="M27">
        <v>1</v>
      </c>
      <c r="N27" t="str">
        <f t="shared" si="2"/>
        <v>高级装备升级石</v>
      </c>
      <c r="O27">
        <f t="shared" si="3"/>
        <v>85200</v>
      </c>
      <c r="P27">
        <f t="shared" ca="1" si="4"/>
        <v>6</v>
      </c>
      <c r="Q27">
        <f ca="1">D_装备基础数据!AR27</f>
        <v>58.634060940787037</v>
      </c>
    </row>
    <row r="28" spans="1:28" x14ac:dyDescent="0.15">
      <c r="A28">
        <f t="shared" si="5"/>
        <v>15013</v>
      </c>
      <c r="B28" s="14">
        <f>D_装备基础数据!C28</f>
        <v>4</v>
      </c>
      <c r="C28" s="14">
        <f>D_装备基础数据!D28</f>
        <v>0</v>
      </c>
      <c r="D28" s="14" t="str">
        <f>D_装备基础数据!E28</f>
        <v>项链</v>
      </c>
      <c r="E28" s="14">
        <f>D_装备基础数据!F28</f>
        <v>3</v>
      </c>
      <c r="F28" s="14">
        <f>D_装备基础数据!I28</f>
        <v>1</v>
      </c>
      <c r="G28">
        <f>D_装备基础数据!G28</f>
        <v>15</v>
      </c>
      <c r="H28">
        <v>0</v>
      </c>
      <c r="I28">
        <f ca="1">INT(Q28*'[1]0、经济设定'!$C$19/10)*F28</f>
        <v>5464</v>
      </c>
      <c r="J28">
        <f t="shared" si="1"/>
        <v>30013</v>
      </c>
      <c r="K28" t="str">
        <f>IFERROR(VLOOKUP(L28,D_装备基础数据!$A$2:$B$212,2,FALSE),"")</f>
        <v>碧蓝项链</v>
      </c>
      <c r="L28" t="str">
        <f>IFERROR(IF(J28=0,0,VLOOKUP(J28,CHOOSE({1,2},D_装备基础数据!$AN$2:$AN$212,D_装备基础数据!$A$2:$A$212),2,FALSE)),0)</f>
        <v>53108</v>
      </c>
      <c r="M28">
        <v>1</v>
      </c>
      <c r="N28" t="str">
        <f t="shared" si="2"/>
        <v>高级装备升级石</v>
      </c>
      <c r="O28">
        <f t="shared" si="3"/>
        <v>85200</v>
      </c>
      <c r="P28">
        <f t="shared" ca="1" si="4"/>
        <v>11</v>
      </c>
      <c r="Q28">
        <f ca="1">D_装备基础数据!AR28</f>
        <v>109.28390132456938</v>
      </c>
    </row>
    <row r="29" spans="1:28" x14ac:dyDescent="0.15">
      <c r="A29">
        <f t="shared" si="5"/>
        <v>15120</v>
      </c>
      <c r="B29" s="14">
        <f>D_装备基础数据!C29</f>
        <v>5</v>
      </c>
      <c r="C29" s="14">
        <f>D_装备基础数据!D29</f>
        <v>1</v>
      </c>
      <c r="D29" s="14" t="str">
        <f>D_装备基础数据!E29</f>
        <v>武器</v>
      </c>
      <c r="E29" s="14">
        <f>D_装备基础数据!F29</f>
        <v>0</v>
      </c>
      <c r="F29" s="14">
        <f>D_装备基础数据!I29</f>
        <v>2</v>
      </c>
      <c r="G29">
        <f>D_装备基础数据!G29</f>
        <v>15</v>
      </c>
      <c r="H29">
        <v>0</v>
      </c>
      <c r="I29">
        <f ca="1">INT(Q29*'[1]0、经济设定'!$C$19/10)*F29</f>
        <v>36000</v>
      </c>
      <c r="J29">
        <f t="shared" si="1"/>
        <v>30120</v>
      </c>
      <c r="K29" t="str">
        <f>IFERROR(VLOOKUP(L29,D_装备基础数据!$A$2:$B$212,2,FALSE),"")</f>
        <v>斩魄之刃</v>
      </c>
      <c r="L29" t="str">
        <f>IFERROR(IF(J29=0,0,VLOOKUP(J29,CHOOSE({1,2},D_装备基础数据!$AN$2:$AN$212,D_装备基础数据!$A$2:$A$212),2,FALSE)),0)</f>
        <v>10209</v>
      </c>
      <c r="M29">
        <v>1</v>
      </c>
      <c r="N29" t="str">
        <f t="shared" si="2"/>
        <v>稀有装备升级石</v>
      </c>
      <c r="O29">
        <f t="shared" si="3"/>
        <v>85300</v>
      </c>
      <c r="P29">
        <f t="shared" ca="1" si="4"/>
        <v>12</v>
      </c>
      <c r="Q29">
        <f ca="1">D_装备基础数据!AR29</f>
        <v>359.99999999999994</v>
      </c>
    </row>
    <row r="30" spans="1:28" x14ac:dyDescent="0.15">
      <c r="A30">
        <f t="shared" si="5"/>
        <v>15220</v>
      </c>
      <c r="B30" s="14">
        <f>D_装备基础数据!C30</f>
        <v>5</v>
      </c>
      <c r="C30" s="14">
        <f>D_装备基础数据!D30</f>
        <v>2</v>
      </c>
      <c r="D30" s="14" t="str">
        <f>D_装备基础数据!E30</f>
        <v>武器</v>
      </c>
      <c r="E30" s="14">
        <f>D_装备基础数据!F30</f>
        <v>0</v>
      </c>
      <c r="F30" s="14">
        <f>D_装备基础数据!I30</f>
        <v>2</v>
      </c>
      <c r="G30">
        <f>D_装备基础数据!G30</f>
        <v>15</v>
      </c>
      <c r="H30">
        <v>0</v>
      </c>
      <c r="I30">
        <f ca="1">INT(Q30*'[1]0、经济设定'!$C$19/10)*F30</f>
        <v>36000</v>
      </c>
      <c r="J30">
        <f t="shared" si="1"/>
        <v>30220</v>
      </c>
      <c r="K30" t="str">
        <f>IFERROR(VLOOKUP(L30,D_装备基础数据!$A$2:$B$212,2,FALSE),"")</f>
        <v>流光之拳</v>
      </c>
      <c r="L30" t="str">
        <f>IFERROR(IF(J30=0,0,VLOOKUP(J30,CHOOSE({1,2},D_装备基础数据!$AN$2:$AN$212,D_装备基础数据!$A$2:$A$212),2,FALSE)),0)</f>
        <v>20209</v>
      </c>
      <c r="M30">
        <v>1</v>
      </c>
      <c r="N30" t="str">
        <f t="shared" si="2"/>
        <v>稀有装备升级石</v>
      </c>
      <c r="O30">
        <f t="shared" si="3"/>
        <v>85300</v>
      </c>
      <c r="P30">
        <f t="shared" ca="1" si="4"/>
        <v>12</v>
      </c>
      <c r="Q30">
        <f ca="1">D_装备基础数据!AR30</f>
        <v>359.99999999999994</v>
      </c>
    </row>
    <row r="31" spans="1:28" x14ac:dyDescent="0.15">
      <c r="A31">
        <f t="shared" si="5"/>
        <v>15320</v>
      </c>
      <c r="B31" s="14">
        <f>D_装备基础数据!C31</f>
        <v>5</v>
      </c>
      <c r="C31" s="14">
        <f>D_装备基础数据!D31</f>
        <v>3</v>
      </c>
      <c r="D31" s="14" t="str">
        <f>D_装备基础数据!E31</f>
        <v>武器</v>
      </c>
      <c r="E31" s="14">
        <f>D_装备基础数据!F31</f>
        <v>0</v>
      </c>
      <c r="F31" s="14">
        <f>D_装备基础数据!I31</f>
        <v>2</v>
      </c>
      <c r="G31">
        <f>D_装备基础数据!G31</f>
        <v>15</v>
      </c>
      <c r="H31">
        <v>0</v>
      </c>
      <c r="I31">
        <f ca="1">INT(Q31*'[1]0、经济设定'!$C$19/10)*F31</f>
        <v>36000</v>
      </c>
      <c r="J31">
        <f t="shared" si="1"/>
        <v>30320</v>
      </c>
      <c r="K31" t="str">
        <f>IFERROR(VLOOKUP(L31,D_装备基础数据!$A$2:$B$212,2,FALSE),"")</f>
        <v>玫瑰骑士</v>
      </c>
      <c r="L31" t="str">
        <f>IFERROR(IF(J31=0,0,VLOOKUP(J31,CHOOSE({1,2},D_装备基础数据!$AN$2:$AN$212,D_装备基础数据!$A$2:$A$212),2,FALSE)),0)</f>
        <v>30209</v>
      </c>
      <c r="M31">
        <v>1</v>
      </c>
      <c r="N31" t="str">
        <f t="shared" si="2"/>
        <v>稀有装备升级石</v>
      </c>
      <c r="O31">
        <f t="shared" si="3"/>
        <v>85300</v>
      </c>
      <c r="P31">
        <f t="shared" ca="1" si="4"/>
        <v>12</v>
      </c>
      <c r="Q31">
        <f ca="1">D_装备基础数据!AR31</f>
        <v>359.99999999999994</v>
      </c>
    </row>
    <row r="32" spans="1:28" x14ac:dyDescent="0.15">
      <c r="A32">
        <f t="shared" si="5"/>
        <v>15021</v>
      </c>
      <c r="B32" s="14">
        <f>D_装备基础数据!C32</f>
        <v>5</v>
      </c>
      <c r="C32" s="14">
        <f>D_装备基础数据!D32</f>
        <v>0</v>
      </c>
      <c r="D32" s="14" t="str">
        <f>D_装备基础数据!E32</f>
        <v>衣服</v>
      </c>
      <c r="E32" s="14">
        <f>D_装备基础数据!F32</f>
        <v>1</v>
      </c>
      <c r="F32" s="14">
        <f>D_装备基础数据!I32</f>
        <v>2</v>
      </c>
      <c r="G32">
        <f>D_装备基础数据!G32</f>
        <v>15</v>
      </c>
      <c r="H32">
        <v>0</v>
      </c>
      <c r="I32">
        <f ca="1">INT(Q32*'[1]0、经济设定'!$C$19/10)*F32</f>
        <v>30508</v>
      </c>
      <c r="J32">
        <f t="shared" si="1"/>
        <v>30021</v>
      </c>
      <c r="K32" t="str">
        <f>IFERROR(VLOOKUP(L32,D_装备基础数据!$A$2:$B$212,2,FALSE),"")</f>
        <v>黑鸦战衣</v>
      </c>
      <c r="L32" t="str">
        <f>IFERROR(IF(J32=0,0,VLOOKUP(J32,CHOOSE({1,2},D_装备基础数据!$AN$2:$AN$212,D_装备基础数据!$A$2:$A$212),2,FALSE)),0)</f>
        <v>51209</v>
      </c>
      <c r="M32">
        <v>1</v>
      </c>
      <c r="N32" t="str">
        <f t="shared" si="2"/>
        <v>稀有装备升级石</v>
      </c>
      <c r="O32">
        <f t="shared" si="3"/>
        <v>85300</v>
      </c>
      <c r="P32">
        <f t="shared" ca="1" si="4"/>
        <v>11</v>
      </c>
      <c r="Q32">
        <f ca="1">D_装备基础数据!AR32</f>
        <v>305.0985166003428</v>
      </c>
    </row>
    <row r="33" spans="1:17" x14ac:dyDescent="0.15">
      <c r="A33">
        <f t="shared" si="5"/>
        <v>15022</v>
      </c>
      <c r="B33" s="14">
        <f>D_装备基础数据!C33</f>
        <v>5</v>
      </c>
      <c r="C33" s="14">
        <f>D_装备基础数据!D33</f>
        <v>0</v>
      </c>
      <c r="D33" s="14" t="str">
        <f>D_装备基础数据!E33</f>
        <v>裤子</v>
      </c>
      <c r="E33" s="14">
        <f>D_装备基础数据!F33</f>
        <v>2</v>
      </c>
      <c r="F33" s="14">
        <f>D_装备基础数据!I33</f>
        <v>2</v>
      </c>
      <c r="G33">
        <f>D_装备基础数据!G33</f>
        <v>15</v>
      </c>
      <c r="H33">
        <v>0</v>
      </c>
      <c r="I33">
        <f ca="1">INT(Q33*'[1]0、经济设定'!$C$19/10)*F33</f>
        <v>11582</v>
      </c>
      <c r="J33">
        <f t="shared" si="1"/>
        <v>30022</v>
      </c>
      <c r="K33" t="str">
        <f>IFERROR(VLOOKUP(L33,D_装备基础数据!$A$2:$B$212,2,FALSE),"")</f>
        <v>黑鸦长裤</v>
      </c>
      <c r="L33" t="str">
        <f>IFERROR(IF(J33=0,0,VLOOKUP(J33,CHOOSE({1,2},D_装备基础数据!$AN$2:$AN$212,D_装备基础数据!$A$2:$A$212),2,FALSE)),0)</f>
        <v>52209</v>
      </c>
      <c r="M33">
        <v>1</v>
      </c>
      <c r="N33" t="str">
        <f t="shared" si="2"/>
        <v>稀有装备升级石</v>
      </c>
      <c r="O33">
        <f t="shared" si="3"/>
        <v>85300</v>
      </c>
      <c r="P33">
        <f t="shared" ca="1" si="4"/>
        <v>4</v>
      </c>
      <c r="Q33">
        <f ca="1">D_装备基础数据!AR33</f>
        <v>115.8201985466103</v>
      </c>
    </row>
    <row r="34" spans="1:17" x14ac:dyDescent="0.15">
      <c r="A34">
        <f t="shared" si="5"/>
        <v>15025</v>
      </c>
      <c r="B34" s="14">
        <f>D_装备基础数据!C34</f>
        <v>5</v>
      </c>
      <c r="C34" s="14">
        <f>D_装备基础数据!D34</f>
        <v>0</v>
      </c>
      <c r="D34" s="14" t="str">
        <f>D_装备基础数据!E34</f>
        <v>鞋子</v>
      </c>
      <c r="E34" s="14">
        <f>D_装备基础数据!F34</f>
        <v>5</v>
      </c>
      <c r="F34" s="14">
        <f>D_装备基础数据!I34</f>
        <v>2</v>
      </c>
      <c r="G34">
        <f>D_装备基础数据!G34</f>
        <v>15</v>
      </c>
      <c r="H34">
        <v>0</v>
      </c>
      <c r="I34">
        <f ca="1">INT(Q34*'[1]0、经济设定'!$C$19/10)*F34</f>
        <v>14672</v>
      </c>
      <c r="J34">
        <f t="shared" si="1"/>
        <v>30025</v>
      </c>
      <c r="K34" t="str">
        <f>IFERROR(VLOOKUP(L34,D_装备基础数据!$A$2:$B$212,2,FALSE),"")</f>
        <v>黑鸦长靴</v>
      </c>
      <c r="L34" t="str">
        <f>IFERROR(IF(J34=0,0,VLOOKUP(J34,CHOOSE({1,2},D_装备基础数据!$AN$2:$AN$212,D_装备基础数据!$A$2:$A$212),2,FALSE)),0)</f>
        <v>55209</v>
      </c>
      <c r="M34">
        <v>1</v>
      </c>
      <c r="N34" t="str">
        <f t="shared" ref="N34:N81" si="8">VLOOKUP(O34,$U$2:$V$6,2,FALSE)</f>
        <v>稀有装备升级石</v>
      </c>
      <c r="O34">
        <f t="shared" ref="O34:O81" si="9">IF(J34=0,0,VLOOKUP(F34,$T$2:$X$6,2,FALSE))</f>
        <v>85300</v>
      </c>
      <c r="P34">
        <f t="shared" ca="1" si="4"/>
        <v>5</v>
      </c>
      <c r="Q34">
        <f ca="1">D_装备基础数据!AR34</f>
        <v>146.72816662415676</v>
      </c>
    </row>
    <row r="35" spans="1:17" x14ac:dyDescent="0.15">
      <c r="A35">
        <f t="shared" si="5"/>
        <v>15024</v>
      </c>
      <c r="B35" s="14">
        <f>D_装备基础数据!C35</f>
        <v>5</v>
      </c>
      <c r="C35" s="14">
        <f>D_装备基础数据!D35</f>
        <v>0</v>
      </c>
      <c r="D35" s="14" t="str">
        <f>D_装备基础数据!E35</f>
        <v>腰带</v>
      </c>
      <c r="E35" s="14">
        <f>D_装备基础数据!F35</f>
        <v>4</v>
      </c>
      <c r="F35" s="14">
        <f>D_装备基础数据!I35</f>
        <v>2</v>
      </c>
      <c r="G35">
        <f>D_装备基础数据!G35</f>
        <v>15</v>
      </c>
      <c r="H35">
        <v>0</v>
      </c>
      <c r="I35">
        <f ca="1">INT(Q35*'[1]0、经济设定'!$C$19/10)*F35</f>
        <v>13048</v>
      </c>
      <c r="J35">
        <f t="shared" si="1"/>
        <v>30024</v>
      </c>
      <c r="K35" t="str">
        <f>IFERROR(VLOOKUP(L35,D_装备基础数据!$A$2:$B$212,2,FALSE),"")</f>
        <v>黑鸦腰带</v>
      </c>
      <c r="L35" t="str">
        <f>IFERROR(IF(J35=0,0,VLOOKUP(J35,CHOOSE({1,2},D_装备基础数据!$AN$2:$AN$212,D_装备基础数据!$A$2:$A$212),2,FALSE)),0)</f>
        <v>54209</v>
      </c>
      <c r="M35">
        <v>1</v>
      </c>
      <c r="N35" t="str">
        <f t="shared" si="8"/>
        <v>稀有装备升级石</v>
      </c>
      <c r="O35">
        <f t="shared" si="9"/>
        <v>85300</v>
      </c>
      <c r="P35">
        <f t="shared" ca="1" si="4"/>
        <v>5</v>
      </c>
      <c r="Q35">
        <f ca="1">D_装备基础数据!AR35</f>
        <v>130.49269644106244</v>
      </c>
    </row>
    <row r="36" spans="1:17" x14ac:dyDescent="0.15">
      <c r="A36">
        <f t="shared" si="5"/>
        <v>15023</v>
      </c>
      <c r="B36" s="14">
        <f>D_装备基础数据!C36</f>
        <v>5</v>
      </c>
      <c r="C36" s="14">
        <f>D_装备基础数据!D36</f>
        <v>0</v>
      </c>
      <c r="D36" s="14" t="str">
        <f>D_装备基础数据!E36</f>
        <v>项链</v>
      </c>
      <c r="E36" s="14">
        <f>D_装备基础数据!F36</f>
        <v>3</v>
      </c>
      <c r="F36" s="14">
        <f>D_装备基础数据!I36</f>
        <v>2</v>
      </c>
      <c r="G36">
        <f>D_装备基础数据!G36</f>
        <v>15</v>
      </c>
      <c r="H36">
        <v>0</v>
      </c>
      <c r="I36">
        <f ca="1">INT(Q36*'[1]0、经济设定'!$C$19/10)*F36</f>
        <v>21392</v>
      </c>
      <c r="J36">
        <f t="shared" si="1"/>
        <v>30023</v>
      </c>
      <c r="K36" t="str">
        <f>IFERROR(VLOOKUP(L36,D_装备基础数据!$A$2:$B$212,2,FALSE),"")</f>
        <v>黑鸦项链</v>
      </c>
      <c r="L36" t="str">
        <f>IFERROR(IF(J36=0,0,VLOOKUP(J36,CHOOSE({1,2},D_装备基础数据!$AN$2:$AN$212,D_装备基础数据!$A$2:$A$212),2,FALSE)),0)</f>
        <v>53209</v>
      </c>
      <c r="M36">
        <v>1</v>
      </c>
      <c r="N36" t="str">
        <f t="shared" si="8"/>
        <v>稀有装备升级石</v>
      </c>
      <c r="O36">
        <f t="shared" si="9"/>
        <v>85300</v>
      </c>
      <c r="P36">
        <f t="shared" ca="1" si="4"/>
        <v>8</v>
      </c>
      <c r="Q36">
        <f ca="1">D_装备基础数据!AR36</f>
        <v>213.92751332014529</v>
      </c>
    </row>
    <row r="37" spans="1:17" x14ac:dyDescent="0.15">
      <c r="A37">
        <f t="shared" ref="A37:A44" si="10">G37*1000+C37*100+F37*10+E37</f>
        <v>15130</v>
      </c>
      <c r="B37" s="14">
        <f>D_装备基础数据!C37</f>
        <v>6</v>
      </c>
      <c r="C37" s="14">
        <f>D_装备基础数据!D37</f>
        <v>1</v>
      </c>
      <c r="D37" s="14" t="str">
        <f>D_装备基础数据!E37</f>
        <v>武器</v>
      </c>
      <c r="E37" s="14">
        <f>D_装备基础数据!F37</f>
        <v>0</v>
      </c>
      <c r="F37" s="14">
        <f>D_装备基础数据!I37</f>
        <v>3</v>
      </c>
      <c r="G37">
        <f>D_装备基础数据!G37</f>
        <v>15</v>
      </c>
      <c r="H37">
        <v>0</v>
      </c>
      <c r="I37">
        <f ca="1">INT(Q37*'[1]0、经济设定'!$C$19/10)*F37</f>
        <v>135000</v>
      </c>
      <c r="J37">
        <f t="shared" ref="J37:J44" si="11">IF(OR(G37&lt;15,G37=80),0,(G37+15)*1000+C37*100+F37*10+E37)</f>
        <v>30130</v>
      </c>
      <c r="K37" t="str">
        <f>IFERROR(VLOOKUP(L37,D_装备基础数据!$A$2:$B$212,2,FALSE),"")</f>
        <v>爵士之刃</v>
      </c>
      <c r="L37" t="str">
        <f>IFERROR(IF(J37=0,0,VLOOKUP(J37,CHOOSE({1,2},D_装备基础数据!$AN$2:$AN$212,D_装备基础数据!$A$2:$A$212),2,FALSE)),0)</f>
        <v>10310</v>
      </c>
      <c r="M37">
        <v>1</v>
      </c>
      <c r="N37" t="str">
        <f t="shared" si="8"/>
        <v>史诗装备升级石</v>
      </c>
      <c r="O37">
        <f t="shared" si="9"/>
        <v>85400</v>
      </c>
      <c r="P37">
        <f t="shared" ref="P37:P44" ca="1" si="12">IF(O37=0,0,ROUNDUP(Q37/VLOOKUP(O37,$U$16:$Y$19,5,FALSE),0))</f>
        <v>12</v>
      </c>
      <c r="Q37">
        <f ca="1">D_装备基础数据!AR37</f>
        <v>899.99999999999989</v>
      </c>
    </row>
    <row r="38" spans="1:17" x14ac:dyDescent="0.15">
      <c r="A38">
        <f t="shared" si="10"/>
        <v>15230</v>
      </c>
      <c r="B38" s="14">
        <f>D_装备基础数据!C38</f>
        <v>6</v>
      </c>
      <c r="C38" s="14">
        <f>D_装备基础数据!D38</f>
        <v>2</v>
      </c>
      <c r="D38" s="14" t="str">
        <f>D_装备基础数据!E38</f>
        <v>武器</v>
      </c>
      <c r="E38" s="14">
        <f>D_装备基础数据!F38</f>
        <v>0</v>
      </c>
      <c r="F38" s="14">
        <f>D_装备基础数据!I38</f>
        <v>3</v>
      </c>
      <c r="G38">
        <f>D_装备基础数据!G38</f>
        <v>15</v>
      </c>
      <c r="H38">
        <v>0</v>
      </c>
      <c r="I38">
        <f ca="1">INT(Q38*'[1]0、经济设定'!$C$19/10)*F38</f>
        <v>135000</v>
      </c>
      <c r="J38">
        <f t="shared" si="11"/>
        <v>30230</v>
      </c>
      <c r="K38" t="str">
        <f>IFERROR(VLOOKUP(L38,D_装备基础数据!$A$2:$B$212,2,FALSE),"")</f>
        <v>爵士之拳</v>
      </c>
      <c r="L38" t="str">
        <f>IFERROR(IF(J38=0,0,VLOOKUP(J38,CHOOSE({1,2},D_装备基础数据!$AN$2:$AN$212,D_装备基础数据!$A$2:$A$212),2,FALSE)),0)</f>
        <v>20310</v>
      </c>
      <c r="M38">
        <v>1</v>
      </c>
      <c r="N38" t="str">
        <f t="shared" si="8"/>
        <v>史诗装备升级石</v>
      </c>
      <c r="O38">
        <f t="shared" si="9"/>
        <v>85400</v>
      </c>
      <c r="P38">
        <f t="shared" ca="1" si="12"/>
        <v>12</v>
      </c>
      <c r="Q38">
        <f ca="1">D_装备基础数据!AR38</f>
        <v>899.99999999999989</v>
      </c>
    </row>
    <row r="39" spans="1:17" x14ac:dyDescent="0.15">
      <c r="A39">
        <f t="shared" si="10"/>
        <v>15330</v>
      </c>
      <c r="B39" s="14">
        <f>D_装备基础数据!C39</f>
        <v>6</v>
      </c>
      <c r="C39" s="14">
        <f>D_装备基础数据!D39</f>
        <v>3</v>
      </c>
      <c r="D39" s="14" t="str">
        <f>D_装备基础数据!E39</f>
        <v>武器</v>
      </c>
      <c r="E39" s="14">
        <f>D_装备基础数据!F39</f>
        <v>0</v>
      </c>
      <c r="F39" s="14">
        <f>D_装备基础数据!I39</f>
        <v>3</v>
      </c>
      <c r="G39">
        <f>D_装备基础数据!G39</f>
        <v>15</v>
      </c>
      <c r="H39">
        <v>0</v>
      </c>
      <c r="I39">
        <f ca="1">INT(Q39*'[1]0、经济设定'!$C$19/10)*F39</f>
        <v>135000</v>
      </c>
      <c r="J39">
        <f t="shared" si="11"/>
        <v>30330</v>
      </c>
      <c r="K39" t="str">
        <f>IFERROR(VLOOKUP(L39,D_装备基础数据!$A$2:$B$212,2,FALSE),"")</f>
        <v>爵士之枪</v>
      </c>
      <c r="L39" t="str">
        <f>IFERROR(IF(J39=0,0,VLOOKUP(J39,CHOOSE({1,2},D_装备基础数据!$AN$2:$AN$212,D_装备基础数据!$A$2:$A$212),2,FALSE)),0)</f>
        <v>30310</v>
      </c>
      <c r="M39">
        <v>1</v>
      </c>
      <c r="N39" t="str">
        <f t="shared" si="8"/>
        <v>史诗装备升级石</v>
      </c>
      <c r="O39">
        <f t="shared" si="9"/>
        <v>85400</v>
      </c>
      <c r="P39">
        <f t="shared" ca="1" si="12"/>
        <v>12</v>
      </c>
      <c r="Q39">
        <f ca="1">D_装备基础数据!AR39</f>
        <v>899.99999999999989</v>
      </c>
    </row>
    <row r="40" spans="1:17" x14ac:dyDescent="0.15">
      <c r="A40">
        <f t="shared" si="10"/>
        <v>15031</v>
      </c>
      <c r="B40" s="14">
        <f>D_装备基础数据!C40</f>
        <v>6</v>
      </c>
      <c r="C40" s="14">
        <f>D_装备基础数据!D40</f>
        <v>0</v>
      </c>
      <c r="D40" s="14" t="str">
        <f>D_装备基础数据!E40</f>
        <v>衣服</v>
      </c>
      <c r="E40" s="14">
        <f>D_装备基础数据!F40</f>
        <v>1</v>
      </c>
      <c r="F40" s="14">
        <f>D_装备基础数据!I40</f>
        <v>3</v>
      </c>
      <c r="G40">
        <f>D_装备基础数据!G40</f>
        <v>15</v>
      </c>
      <c r="H40">
        <v>0</v>
      </c>
      <c r="I40">
        <f ca="1">INT(Q40*'[1]0、经济设定'!$C$19/10)*F40</f>
        <v>112344</v>
      </c>
      <c r="J40">
        <f t="shared" si="11"/>
        <v>30031</v>
      </c>
      <c r="K40" t="str">
        <f>IFERROR(VLOOKUP(L40,D_装备基础数据!$A$2:$B$212,2,FALSE),"")</f>
        <v>爵士战衣</v>
      </c>
      <c r="L40" t="str">
        <f>IFERROR(IF(J40=0,0,VLOOKUP(J40,CHOOSE({1,2},D_装备基础数据!$AN$2:$AN$212,D_装备基础数据!$A$2:$A$212),2,FALSE)),0)</f>
        <v>51310</v>
      </c>
      <c r="M40">
        <v>1</v>
      </c>
      <c r="N40" t="str">
        <f t="shared" si="8"/>
        <v>史诗装备升级石</v>
      </c>
      <c r="O40">
        <f t="shared" si="9"/>
        <v>85400</v>
      </c>
      <c r="P40">
        <f t="shared" ca="1" si="12"/>
        <v>10</v>
      </c>
      <c r="Q40">
        <f ca="1">D_装备基础数据!AR40</f>
        <v>748.96049516247569</v>
      </c>
    </row>
    <row r="41" spans="1:17" x14ac:dyDescent="0.15">
      <c r="A41">
        <f t="shared" si="10"/>
        <v>15032</v>
      </c>
      <c r="B41" s="14">
        <f>D_装备基础数据!C41</f>
        <v>6</v>
      </c>
      <c r="C41" s="14">
        <f>D_装备基础数据!D41</f>
        <v>0</v>
      </c>
      <c r="D41" s="14" t="str">
        <f>D_装备基础数据!E41</f>
        <v>裤子</v>
      </c>
      <c r="E41" s="14">
        <f>D_装备基础数据!F41</f>
        <v>2</v>
      </c>
      <c r="F41" s="14">
        <f>D_装备基础数据!I41</f>
        <v>3</v>
      </c>
      <c r="G41">
        <f>D_装备基础数据!G41</f>
        <v>15</v>
      </c>
      <c r="H41">
        <v>0</v>
      </c>
      <c r="I41">
        <f ca="1">INT(Q41*'[1]0、经济设定'!$C$19/10)*F41</f>
        <v>43959</v>
      </c>
      <c r="J41">
        <f t="shared" si="11"/>
        <v>30032</v>
      </c>
      <c r="K41" t="str">
        <f>IFERROR(VLOOKUP(L41,D_装备基础数据!$A$2:$B$212,2,FALSE),"")</f>
        <v>爵士长裤</v>
      </c>
      <c r="L41" t="str">
        <f>IFERROR(IF(J41=0,0,VLOOKUP(J41,CHOOSE({1,2},D_装备基础数据!$AN$2:$AN$212,D_装备基础数据!$A$2:$A$212),2,FALSE)),0)</f>
        <v>52310</v>
      </c>
      <c r="M41">
        <v>1</v>
      </c>
      <c r="N41" t="str">
        <f t="shared" si="8"/>
        <v>史诗装备升级石</v>
      </c>
      <c r="O41">
        <f t="shared" si="9"/>
        <v>85400</v>
      </c>
      <c r="P41">
        <f t="shared" ca="1" si="12"/>
        <v>4</v>
      </c>
      <c r="Q41">
        <f ca="1">D_装备基础数据!AR41</f>
        <v>293.06802158401308</v>
      </c>
    </row>
    <row r="42" spans="1:17" x14ac:dyDescent="0.15">
      <c r="A42">
        <f t="shared" si="10"/>
        <v>15035</v>
      </c>
      <c r="B42" s="14">
        <f>D_装备基础数据!C42</f>
        <v>6</v>
      </c>
      <c r="C42" s="14">
        <f>D_装备基础数据!D42</f>
        <v>0</v>
      </c>
      <c r="D42" s="14" t="str">
        <f>D_装备基础数据!E42</f>
        <v>鞋子</v>
      </c>
      <c r="E42" s="14">
        <f>D_装备基础数据!F42</f>
        <v>5</v>
      </c>
      <c r="F42" s="14">
        <f>D_装备基础数据!I42</f>
        <v>3</v>
      </c>
      <c r="G42">
        <f>D_装备基础数据!G42</f>
        <v>15</v>
      </c>
      <c r="H42">
        <v>0</v>
      </c>
      <c r="I42">
        <f ca="1">INT(Q42*'[1]0、经济设定'!$C$19/10)*F42</f>
        <v>55383</v>
      </c>
      <c r="J42">
        <f t="shared" si="11"/>
        <v>30035</v>
      </c>
      <c r="K42" t="str">
        <f>IFERROR(VLOOKUP(L42,D_装备基础数据!$A$2:$B$212,2,FALSE),"")</f>
        <v>爵士长靴</v>
      </c>
      <c r="L42" t="str">
        <f>IFERROR(IF(J42=0,0,VLOOKUP(J42,CHOOSE({1,2},D_装备基础数据!$AN$2:$AN$212,D_装备基础数据!$A$2:$A$212),2,FALSE)),0)</f>
        <v>55310</v>
      </c>
      <c r="M42">
        <v>1</v>
      </c>
      <c r="N42" t="str">
        <f t="shared" ref="N42:N49" si="13">VLOOKUP(O42,$U$2:$V$6,2,FALSE)</f>
        <v>史诗装备升级石</v>
      </c>
      <c r="O42">
        <f t="shared" ref="O42:O49" si="14">IF(J42=0,0,VLOOKUP(F42,$T$2:$X$6,2,FALSE))</f>
        <v>85400</v>
      </c>
      <c r="P42">
        <f t="shared" ca="1" si="12"/>
        <v>5</v>
      </c>
      <c r="Q42">
        <f ca="1">D_装备基础数据!AR42</f>
        <v>369.23452353272603</v>
      </c>
    </row>
    <row r="43" spans="1:17" x14ac:dyDescent="0.15">
      <c r="A43">
        <f t="shared" si="10"/>
        <v>15034</v>
      </c>
      <c r="B43" s="14">
        <f>D_装备基础数据!C43</f>
        <v>6</v>
      </c>
      <c r="C43" s="14">
        <f>D_装备基础数据!D43</f>
        <v>0</v>
      </c>
      <c r="D43" s="14" t="str">
        <f>D_装备基础数据!E43</f>
        <v>腰带</v>
      </c>
      <c r="E43" s="14">
        <f>D_装备基础数据!F43</f>
        <v>4</v>
      </c>
      <c r="F43" s="14">
        <f>D_装备基础数据!I43</f>
        <v>3</v>
      </c>
      <c r="G43">
        <f>D_装备基础数据!G43</f>
        <v>15</v>
      </c>
      <c r="H43">
        <v>0</v>
      </c>
      <c r="I43">
        <f ca="1">INT(Q43*'[1]0、经济设定'!$C$19/10)*F43</f>
        <v>53934</v>
      </c>
      <c r="J43">
        <f t="shared" si="11"/>
        <v>30034</v>
      </c>
      <c r="K43" t="str">
        <f>IFERROR(VLOOKUP(L43,D_装备基础数据!$A$2:$B$212,2,FALSE),"")</f>
        <v>爵士腰带</v>
      </c>
      <c r="L43" t="str">
        <f>IFERROR(IF(J43=0,0,VLOOKUP(J43,CHOOSE({1,2},D_装备基础数据!$AN$2:$AN$212,D_装备基础数据!$A$2:$A$212),2,FALSE)),0)</f>
        <v>54310</v>
      </c>
      <c r="M43">
        <v>1</v>
      </c>
      <c r="N43" t="str">
        <f t="shared" si="13"/>
        <v>史诗装备升级石</v>
      </c>
      <c r="O43">
        <f t="shared" si="14"/>
        <v>85400</v>
      </c>
      <c r="P43">
        <f t="shared" ca="1" si="12"/>
        <v>5</v>
      </c>
      <c r="Q43">
        <f ca="1">D_装备基础数据!AR43</f>
        <v>359.57995897058765</v>
      </c>
    </row>
    <row r="44" spans="1:17" x14ac:dyDescent="0.15">
      <c r="A44">
        <f t="shared" si="10"/>
        <v>15033</v>
      </c>
      <c r="B44" s="14">
        <f>D_装备基础数据!C44</f>
        <v>6</v>
      </c>
      <c r="C44" s="14">
        <f>D_装备基础数据!D44</f>
        <v>0</v>
      </c>
      <c r="D44" s="14" t="str">
        <f>D_装备基础数据!E44</f>
        <v>项链</v>
      </c>
      <c r="E44" s="14">
        <f>D_装备基础数据!F44</f>
        <v>3</v>
      </c>
      <c r="F44" s="14">
        <f>D_装备基础数据!I44</f>
        <v>3</v>
      </c>
      <c r="G44">
        <f>D_装备基础数据!G44</f>
        <v>15</v>
      </c>
      <c r="H44">
        <v>0</v>
      </c>
      <c r="I44">
        <f ca="1">INT(Q44*'[1]0、经济设定'!$C$19/10)*F44</f>
        <v>78465</v>
      </c>
      <c r="J44">
        <f t="shared" si="11"/>
        <v>30033</v>
      </c>
      <c r="K44" t="str">
        <f>IFERROR(VLOOKUP(L44,D_装备基础数据!$A$2:$B$212,2,FALSE),"")</f>
        <v>爵士项链</v>
      </c>
      <c r="L44" t="str">
        <f>IFERROR(IF(J44=0,0,VLOOKUP(J44,CHOOSE({1,2},D_装备基础数据!$AN$2:$AN$212,D_装备基础数据!$A$2:$A$212),2,FALSE)),0)</f>
        <v>53310</v>
      </c>
      <c r="M44">
        <v>1</v>
      </c>
      <c r="N44" t="str">
        <f t="shared" si="13"/>
        <v>史诗装备升级石</v>
      </c>
      <c r="O44">
        <f t="shared" si="14"/>
        <v>85400</v>
      </c>
      <c r="P44">
        <f t="shared" ca="1" si="12"/>
        <v>7</v>
      </c>
      <c r="Q44">
        <f ca="1">D_装备基础数据!AR44</f>
        <v>523.11743299851332</v>
      </c>
    </row>
    <row r="45" spans="1:17" x14ac:dyDescent="0.15">
      <c r="A45">
        <f t="shared" ref="A45:A52" si="15">G45*1000+C45*100+F45*10+E45</f>
        <v>15140</v>
      </c>
      <c r="B45" s="14">
        <f>D_装备基础数据!C45</f>
        <v>7</v>
      </c>
      <c r="C45" s="14">
        <f>D_装备基础数据!D45</f>
        <v>1</v>
      </c>
      <c r="D45" s="14" t="str">
        <f>D_装备基础数据!E45</f>
        <v>武器</v>
      </c>
      <c r="E45" s="14">
        <f>D_装备基础数据!F45</f>
        <v>0</v>
      </c>
      <c r="F45" s="14">
        <f>D_装备基础数据!I45</f>
        <v>4</v>
      </c>
      <c r="G45">
        <f>D_装备基础数据!G45</f>
        <v>15</v>
      </c>
      <c r="H45">
        <v>0</v>
      </c>
      <c r="I45">
        <f ca="1">INT(Q45*'[1]0、经济设定'!$C$19/10)*F45</f>
        <v>300000</v>
      </c>
      <c r="J45">
        <f t="shared" ref="J45:J52" si="16">IF(OR(G45&lt;15,G45=80),0,(G45+15)*1000+C45*100+F45*10+E45)</f>
        <v>30140</v>
      </c>
      <c r="K45" t="str">
        <f>IFERROR(VLOOKUP(L45,D_装备基础数据!$A$2:$B$212,2,FALSE),"")</f>
        <v>暴血之刃</v>
      </c>
      <c r="L45" t="str">
        <f>IFERROR(IF(J45=0,0,VLOOKUP(J45,CHOOSE({1,2},D_装备基础数据!$AN$2:$AN$212,D_装备基础数据!$A$2:$A$212),2,FALSE)),0)</f>
        <v>10411</v>
      </c>
      <c r="M45">
        <v>1</v>
      </c>
      <c r="N45" t="str">
        <f t="shared" si="13"/>
        <v>传说装备升级石</v>
      </c>
      <c r="O45">
        <f t="shared" si="14"/>
        <v>85500</v>
      </c>
      <c r="P45">
        <f t="shared" ref="P45:P52" ca="1" si="17">IF(O45=0,0,ROUNDUP(Q45/VLOOKUP(O45,$U$16:$Y$19,5,FALSE),0))</f>
        <v>15</v>
      </c>
      <c r="Q45">
        <f ca="1">D_装备基础数据!AR45</f>
        <v>1500</v>
      </c>
    </row>
    <row r="46" spans="1:17" x14ac:dyDescent="0.15">
      <c r="A46">
        <f t="shared" si="15"/>
        <v>15240</v>
      </c>
      <c r="B46" s="14">
        <f>D_装备基础数据!C46</f>
        <v>7</v>
      </c>
      <c r="C46" s="14">
        <f>D_装备基础数据!D46</f>
        <v>2</v>
      </c>
      <c r="D46" s="14" t="str">
        <f>D_装备基础数据!E46</f>
        <v>武器</v>
      </c>
      <c r="E46" s="14">
        <f>D_装备基础数据!F46</f>
        <v>0</v>
      </c>
      <c r="F46" s="14">
        <f>D_装备基础数据!I46</f>
        <v>4</v>
      </c>
      <c r="G46">
        <f>D_装备基础数据!G46</f>
        <v>15</v>
      </c>
      <c r="H46">
        <v>0</v>
      </c>
      <c r="I46">
        <f ca="1">INT(Q46*'[1]0、经济设定'!$C$19/10)*F46</f>
        <v>300000</v>
      </c>
      <c r="J46">
        <f t="shared" si="16"/>
        <v>30240</v>
      </c>
      <c r="K46" t="str">
        <f>IFERROR(VLOOKUP(L46,D_装备基础数据!$A$2:$B$212,2,FALSE),"")</f>
        <v>暴血之拳</v>
      </c>
      <c r="L46" t="str">
        <f>IFERROR(IF(J46=0,0,VLOOKUP(J46,CHOOSE({1,2},D_装备基础数据!$AN$2:$AN$212,D_装备基础数据!$A$2:$A$212),2,FALSE)),0)</f>
        <v>20411</v>
      </c>
      <c r="M46">
        <v>1</v>
      </c>
      <c r="N46" t="str">
        <f t="shared" si="13"/>
        <v>传说装备升级石</v>
      </c>
      <c r="O46">
        <f t="shared" si="14"/>
        <v>85500</v>
      </c>
      <c r="P46">
        <f t="shared" ca="1" si="17"/>
        <v>15</v>
      </c>
      <c r="Q46">
        <f ca="1">D_装备基础数据!AR46</f>
        <v>1500</v>
      </c>
    </row>
    <row r="47" spans="1:17" x14ac:dyDescent="0.15">
      <c r="A47">
        <f t="shared" si="15"/>
        <v>15340</v>
      </c>
      <c r="B47" s="14">
        <f>D_装备基础数据!C47</f>
        <v>7</v>
      </c>
      <c r="C47" s="14">
        <f>D_装备基础数据!D47</f>
        <v>3</v>
      </c>
      <c r="D47" s="14" t="str">
        <f>D_装备基础数据!E47</f>
        <v>武器</v>
      </c>
      <c r="E47" s="14">
        <f>D_装备基础数据!F47</f>
        <v>0</v>
      </c>
      <c r="F47" s="14">
        <f>D_装备基础数据!I47</f>
        <v>4</v>
      </c>
      <c r="G47">
        <f>D_装备基础数据!G47</f>
        <v>15</v>
      </c>
      <c r="H47">
        <v>0</v>
      </c>
      <c r="I47">
        <f ca="1">INT(Q47*'[1]0、经济设定'!$C$19/10)*F47</f>
        <v>300000</v>
      </c>
      <c r="J47">
        <f t="shared" si="16"/>
        <v>30340</v>
      </c>
      <c r="K47" t="str">
        <f>IFERROR(VLOOKUP(L47,D_装备基础数据!$A$2:$B$212,2,FALSE),"")</f>
        <v>暴血之枪</v>
      </c>
      <c r="L47" t="str">
        <f>IFERROR(IF(J47=0,0,VLOOKUP(J47,CHOOSE({1,2},D_装备基础数据!$AN$2:$AN$212,D_装备基础数据!$A$2:$A$212),2,FALSE)),0)</f>
        <v>30411</v>
      </c>
      <c r="M47">
        <v>1</v>
      </c>
      <c r="N47" t="str">
        <f t="shared" si="13"/>
        <v>传说装备升级石</v>
      </c>
      <c r="O47">
        <f t="shared" si="14"/>
        <v>85500</v>
      </c>
      <c r="P47">
        <f t="shared" ca="1" si="17"/>
        <v>15</v>
      </c>
      <c r="Q47">
        <f ca="1">D_装备基础数据!AR47</f>
        <v>1500</v>
      </c>
    </row>
    <row r="48" spans="1:17" x14ac:dyDescent="0.15">
      <c r="A48">
        <f t="shared" si="15"/>
        <v>15041</v>
      </c>
      <c r="B48" s="14">
        <f>D_装备基础数据!C48</f>
        <v>7</v>
      </c>
      <c r="C48" s="14">
        <f>D_装备基础数据!D48</f>
        <v>0</v>
      </c>
      <c r="D48" s="14" t="str">
        <f>D_装备基础数据!E48</f>
        <v>衣服</v>
      </c>
      <c r="E48" s="14">
        <f>D_装备基础数据!F48</f>
        <v>1</v>
      </c>
      <c r="F48" s="14">
        <f>D_装备基础数据!I48</f>
        <v>4</v>
      </c>
      <c r="G48">
        <f>D_装备基础数据!G48</f>
        <v>15</v>
      </c>
      <c r="H48">
        <v>0</v>
      </c>
      <c r="I48">
        <f ca="1">INT(Q48*'[1]0、经济设定'!$C$19/10)*F48</f>
        <v>245016</v>
      </c>
      <c r="J48">
        <f t="shared" si="16"/>
        <v>30041</v>
      </c>
      <c r="K48" t="str">
        <f>IFERROR(VLOOKUP(L48,D_装备基础数据!$A$2:$B$212,2,FALSE),"")</f>
        <v>暴血战衣</v>
      </c>
      <c r="L48" t="str">
        <f>IFERROR(IF(J48=0,0,VLOOKUP(J48,CHOOSE({1,2},D_装备基础数据!$AN$2:$AN$212,D_装备基础数据!$A$2:$A$212),2,FALSE)),0)</f>
        <v>51411</v>
      </c>
      <c r="M48">
        <v>1</v>
      </c>
      <c r="N48" t="str">
        <f t="shared" si="13"/>
        <v>传说装备升级石</v>
      </c>
      <c r="O48">
        <f t="shared" si="14"/>
        <v>85500</v>
      </c>
      <c r="P48">
        <f t="shared" ca="1" si="17"/>
        <v>13</v>
      </c>
      <c r="Q48">
        <f ca="1">D_装备基础数据!AR48</f>
        <v>1225.0909953241251</v>
      </c>
    </row>
    <row r="49" spans="1:17" x14ac:dyDescent="0.15">
      <c r="A49">
        <f t="shared" si="15"/>
        <v>15042</v>
      </c>
      <c r="B49" s="14">
        <f>D_装备基础数据!C49</f>
        <v>7</v>
      </c>
      <c r="C49" s="14">
        <f>D_装备基础数据!D49</f>
        <v>0</v>
      </c>
      <c r="D49" s="14" t="str">
        <f>D_装备基础数据!E49</f>
        <v>裤子</v>
      </c>
      <c r="E49" s="14">
        <f>D_装备基础数据!F49</f>
        <v>2</v>
      </c>
      <c r="F49" s="14">
        <f>D_装备基础数据!I49</f>
        <v>4</v>
      </c>
      <c r="G49">
        <f>D_装备基础数据!G49</f>
        <v>15</v>
      </c>
      <c r="H49">
        <v>0</v>
      </c>
      <c r="I49">
        <f ca="1">INT(Q49*'[1]0、经济设定'!$C$19/10)*F49</f>
        <v>98872</v>
      </c>
      <c r="J49">
        <f t="shared" si="16"/>
        <v>30042</v>
      </c>
      <c r="K49" t="str">
        <f>IFERROR(VLOOKUP(L49,D_装备基础数据!$A$2:$B$212,2,FALSE),"")</f>
        <v>暴血长裤</v>
      </c>
      <c r="L49" t="str">
        <f>IFERROR(IF(J49=0,0,VLOOKUP(J49,CHOOSE({1,2},D_装备基础数据!$AN$2:$AN$212,D_装备基础数据!$A$2:$A$212),2,FALSE)),0)</f>
        <v>52411</v>
      </c>
      <c r="M49">
        <v>1</v>
      </c>
      <c r="N49" t="str">
        <f t="shared" si="13"/>
        <v>传说装备升级石</v>
      </c>
      <c r="O49">
        <f t="shared" si="14"/>
        <v>85500</v>
      </c>
      <c r="P49">
        <f t="shared" ca="1" si="17"/>
        <v>5</v>
      </c>
      <c r="Q49">
        <f ca="1">D_装备基础数据!AR49</f>
        <v>494.36031903833202</v>
      </c>
    </row>
    <row r="50" spans="1:17" x14ac:dyDescent="0.15">
      <c r="A50">
        <f t="shared" si="15"/>
        <v>15045</v>
      </c>
      <c r="B50" s="14">
        <f>D_装备基础数据!C50</f>
        <v>7</v>
      </c>
      <c r="C50" s="14">
        <f>D_装备基础数据!D50</f>
        <v>0</v>
      </c>
      <c r="D50" s="14" t="str">
        <f>D_装备基础数据!E50</f>
        <v>鞋子</v>
      </c>
      <c r="E50" s="14">
        <f>D_装备基础数据!F50</f>
        <v>5</v>
      </c>
      <c r="F50" s="14">
        <f>D_装备基础数据!I50</f>
        <v>4</v>
      </c>
      <c r="G50">
        <f>D_装备基础数据!G50</f>
        <v>15</v>
      </c>
      <c r="H50">
        <v>0</v>
      </c>
      <c r="I50">
        <f ca="1">INT(Q50*'[1]0、经济设定'!$C$19/10)*F50</f>
        <v>123888</v>
      </c>
      <c r="J50">
        <f t="shared" si="16"/>
        <v>30045</v>
      </c>
      <c r="K50" t="str">
        <f>IFERROR(VLOOKUP(L50,D_装备基础数据!$A$2:$B$212,2,FALSE),"")</f>
        <v>暴血长靴</v>
      </c>
      <c r="L50" t="str">
        <f>IFERROR(IF(J50=0,0,VLOOKUP(J50,CHOOSE({1,2},D_装备基础数据!$AN$2:$AN$212,D_装备基础数据!$A$2:$A$212),2,FALSE)),0)</f>
        <v>55411</v>
      </c>
      <c r="M50">
        <v>1</v>
      </c>
      <c r="N50" t="str">
        <f t="shared" ref="N50:N52" si="18">VLOOKUP(O50,$U$2:$V$6,2,FALSE)</f>
        <v>传说装备升级石</v>
      </c>
      <c r="O50">
        <f t="shared" ref="O50:O52" si="19">IF(J50=0,0,VLOOKUP(F50,$T$2:$X$6,2,FALSE))</f>
        <v>85500</v>
      </c>
      <c r="P50">
        <f t="shared" ca="1" si="17"/>
        <v>7</v>
      </c>
      <c r="Q50">
        <f ca="1">D_装备基础数据!AR50</f>
        <v>619.44943694177095</v>
      </c>
    </row>
    <row r="51" spans="1:17" x14ac:dyDescent="0.15">
      <c r="A51">
        <f t="shared" si="15"/>
        <v>15044</v>
      </c>
      <c r="B51" s="14">
        <f>D_装备基础数据!C51</f>
        <v>7</v>
      </c>
      <c r="C51" s="14">
        <f>D_装备基础数据!D51</f>
        <v>0</v>
      </c>
      <c r="D51" s="14" t="str">
        <f>D_装备基础数据!E51</f>
        <v>腰带</v>
      </c>
      <c r="E51" s="14">
        <f>D_装备基础数据!F51</f>
        <v>4</v>
      </c>
      <c r="F51" s="14">
        <f>D_装备基础数据!I51</f>
        <v>4</v>
      </c>
      <c r="G51">
        <f>D_装备基础数据!G51</f>
        <v>15</v>
      </c>
      <c r="H51">
        <v>0</v>
      </c>
      <c r="I51">
        <f ca="1">INT(Q51*'[1]0、经济设定'!$C$19/10)*F51</f>
        <v>131072</v>
      </c>
      <c r="J51">
        <f t="shared" si="16"/>
        <v>30044</v>
      </c>
      <c r="K51" t="str">
        <f>IFERROR(VLOOKUP(L51,D_装备基础数据!$A$2:$B$212,2,FALSE),"")</f>
        <v>暴血腰带</v>
      </c>
      <c r="L51" t="str">
        <f>IFERROR(IF(J51=0,0,VLOOKUP(J51,CHOOSE({1,2},D_装备基础数据!$AN$2:$AN$212,D_装备基础数据!$A$2:$A$212),2,FALSE)),0)</f>
        <v>54411</v>
      </c>
      <c r="M51">
        <v>1</v>
      </c>
      <c r="N51" t="str">
        <f t="shared" si="18"/>
        <v>传说装备升级石</v>
      </c>
      <c r="O51">
        <f t="shared" si="19"/>
        <v>85500</v>
      </c>
      <c r="P51">
        <f t="shared" ca="1" si="17"/>
        <v>7</v>
      </c>
      <c r="Q51">
        <f ca="1">D_装备基础数据!AR51</f>
        <v>655.36450993475341</v>
      </c>
    </row>
    <row r="52" spans="1:17" x14ac:dyDescent="0.15">
      <c r="A52">
        <f t="shared" si="15"/>
        <v>15043</v>
      </c>
      <c r="B52" s="14">
        <f>D_装备基础数据!C52</f>
        <v>7</v>
      </c>
      <c r="C52" s="14">
        <f>D_装备基础数据!D52</f>
        <v>0</v>
      </c>
      <c r="D52" s="14" t="str">
        <f>D_装备基础数据!E52</f>
        <v>项链</v>
      </c>
      <c r="E52" s="14">
        <f>D_装备基础数据!F52</f>
        <v>3</v>
      </c>
      <c r="F52" s="14">
        <f>D_装备基础数据!I52</f>
        <v>4</v>
      </c>
      <c r="G52">
        <f>D_装备基础数据!G52</f>
        <v>15</v>
      </c>
      <c r="H52">
        <v>0</v>
      </c>
      <c r="I52">
        <f ca="1">INT(Q52*'[1]0、经济设定'!$C$19/10)*F52</f>
        <v>170436</v>
      </c>
      <c r="J52">
        <f t="shared" si="16"/>
        <v>30043</v>
      </c>
      <c r="K52" t="str">
        <f>IFERROR(VLOOKUP(L52,D_装备基础数据!$A$2:$B$212,2,FALSE),"")</f>
        <v>暴血项链</v>
      </c>
      <c r="L52" t="str">
        <f>IFERROR(IF(J52=0,0,VLOOKUP(J52,CHOOSE({1,2},D_装备基础数据!$AN$2:$AN$212,D_装备基础数据!$A$2:$A$212),2,FALSE)),0)</f>
        <v>53411</v>
      </c>
      <c r="M52">
        <v>1</v>
      </c>
      <c r="N52" t="str">
        <f t="shared" si="18"/>
        <v>传说装备升级石</v>
      </c>
      <c r="O52">
        <f t="shared" si="19"/>
        <v>85500</v>
      </c>
      <c r="P52">
        <f t="shared" ca="1" si="17"/>
        <v>9</v>
      </c>
      <c r="Q52">
        <f ca="1">D_装备基础数据!AR52</f>
        <v>852.19023454404567</v>
      </c>
    </row>
    <row r="53" spans="1:17" x14ac:dyDescent="0.15">
      <c r="A53">
        <f t="shared" si="5"/>
        <v>30110</v>
      </c>
      <c r="B53" s="14">
        <f>D_装备基础数据!C53</f>
        <v>8</v>
      </c>
      <c r="C53" s="14">
        <f>D_装备基础数据!D53</f>
        <v>1</v>
      </c>
      <c r="D53" s="14" t="str">
        <f>D_装备基础数据!E53</f>
        <v>武器</v>
      </c>
      <c r="E53" s="14">
        <f>D_装备基础数据!F53</f>
        <v>0</v>
      </c>
      <c r="F53" s="14">
        <f>D_装备基础数据!I53</f>
        <v>1</v>
      </c>
      <c r="G53">
        <f>D_装备基础数据!G53</f>
        <v>30</v>
      </c>
      <c r="H53">
        <v>0</v>
      </c>
      <c r="I53">
        <f ca="1">INT(Q53*'[1]0、经济设定'!$C$19/10)*F53</f>
        <v>18000</v>
      </c>
      <c r="J53">
        <f t="shared" si="1"/>
        <v>45110</v>
      </c>
      <c r="K53" t="str">
        <f>IFERROR(VLOOKUP(L53,D_装备基础数据!$A$2:$B$212,2,FALSE),"")</f>
        <v>勇气之刃</v>
      </c>
      <c r="L53" t="str">
        <f>IFERROR(IF(J53=0,0,VLOOKUP(J53,CHOOSE({1,2},D_装备基础数据!$AN$2:$AN$212,D_装备基础数据!$A$2:$A$212),2,FALSE)),0)</f>
        <v>10112</v>
      </c>
      <c r="M53">
        <v>1</v>
      </c>
      <c r="N53" t="str">
        <f t="shared" si="8"/>
        <v>高级装备升级石</v>
      </c>
      <c r="O53">
        <f t="shared" si="9"/>
        <v>85200</v>
      </c>
      <c r="P53">
        <f t="shared" ca="1" si="4"/>
        <v>36</v>
      </c>
      <c r="Q53">
        <f ca="1">D_装备基础数据!AR53</f>
        <v>360</v>
      </c>
    </row>
    <row r="54" spans="1:17" x14ac:dyDescent="0.15">
      <c r="A54">
        <f t="shared" si="5"/>
        <v>30210</v>
      </c>
      <c r="B54" s="14">
        <f>D_装备基础数据!C54</f>
        <v>8</v>
      </c>
      <c r="C54" s="14">
        <f>D_装备基础数据!D54</f>
        <v>2</v>
      </c>
      <c r="D54" s="14" t="str">
        <f>D_装备基础数据!E54</f>
        <v>武器</v>
      </c>
      <c r="E54" s="14">
        <f>D_装备基础数据!F54</f>
        <v>0</v>
      </c>
      <c r="F54" s="14">
        <f>D_装备基础数据!I54</f>
        <v>1</v>
      </c>
      <c r="G54">
        <f>D_装备基础数据!G54</f>
        <v>30</v>
      </c>
      <c r="H54">
        <v>0</v>
      </c>
      <c r="I54">
        <f ca="1">INT(Q54*'[1]0、经济设定'!$C$19/10)*F54</f>
        <v>18000</v>
      </c>
      <c r="J54">
        <f t="shared" si="1"/>
        <v>45210</v>
      </c>
      <c r="K54" t="str">
        <f>IFERROR(VLOOKUP(L54,D_装备基础数据!$A$2:$B$212,2,FALSE),"")</f>
        <v>勇气之拳</v>
      </c>
      <c r="L54" t="str">
        <f>IFERROR(IF(J54=0,0,VLOOKUP(J54,CHOOSE({1,2},D_装备基础数据!$AN$2:$AN$212,D_装备基础数据!$A$2:$A$212),2,FALSE)),0)</f>
        <v>20112</v>
      </c>
      <c r="M54">
        <v>1</v>
      </c>
      <c r="N54" t="str">
        <f t="shared" si="8"/>
        <v>高级装备升级石</v>
      </c>
      <c r="O54">
        <f t="shared" si="9"/>
        <v>85200</v>
      </c>
      <c r="P54">
        <f t="shared" ca="1" si="4"/>
        <v>36</v>
      </c>
      <c r="Q54">
        <f ca="1">D_装备基础数据!AR54</f>
        <v>360</v>
      </c>
    </row>
    <row r="55" spans="1:17" x14ac:dyDescent="0.15">
      <c r="A55">
        <f t="shared" si="5"/>
        <v>30310</v>
      </c>
      <c r="B55" s="14">
        <f>D_装备基础数据!C55</f>
        <v>8</v>
      </c>
      <c r="C55" s="14">
        <f>D_装备基础数据!D55</f>
        <v>3</v>
      </c>
      <c r="D55" s="14" t="str">
        <f>D_装备基础数据!E55</f>
        <v>武器</v>
      </c>
      <c r="E55" s="14">
        <f>D_装备基础数据!F55</f>
        <v>0</v>
      </c>
      <c r="F55" s="14">
        <f>D_装备基础数据!I55</f>
        <v>1</v>
      </c>
      <c r="G55">
        <f>D_装备基础数据!G55</f>
        <v>30</v>
      </c>
      <c r="H55">
        <v>0</v>
      </c>
      <c r="I55">
        <f ca="1">INT(Q55*'[1]0、经济设定'!$C$19/10)*F55</f>
        <v>18000</v>
      </c>
      <c r="J55">
        <f t="shared" si="1"/>
        <v>45310</v>
      </c>
      <c r="K55" t="str">
        <f>IFERROR(VLOOKUP(L55,D_装备基础数据!$A$2:$B$212,2,FALSE),"")</f>
        <v>勇气之枪</v>
      </c>
      <c r="L55" t="str">
        <f>IFERROR(IF(J55=0,0,VLOOKUP(J55,CHOOSE({1,2},D_装备基础数据!$AN$2:$AN$212,D_装备基础数据!$A$2:$A$212),2,FALSE)),0)</f>
        <v>30112</v>
      </c>
      <c r="M55">
        <v>1</v>
      </c>
      <c r="N55" t="str">
        <f t="shared" si="8"/>
        <v>高级装备升级石</v>
      </c>
      <c r="O55">
        <f t="shared" si="9"/>
        <v>85200</v>
      </c>
      <c r="P55">
        <f t="shared" ca="1" si="4"/>
        <v>36</v>
      </c>
      <c r="Q55">
        <f ca="1">D_装备基础数据!AR55</f>
        <v>360</v>
      </c>
    </row>
    <row r="56" spans="1:17" x14ac:dyDescent="0.15">
      <c r="A56">
        <f t="shared" si="5"/>
        <v>30011</v>
      </c>
      <c r="B56" s="14">
        <f>D_装备基础数据!C56</f>
        <v>8</v>
      </c>
      <c r="C56" s="14">
        <f>D_装备基础数据!D56</f>
        <v>0</v>
      </c>
      <c r="D56" s="14" t="str">
        <f>D_装备基础数据!E56</f>
        <v>衣服</v>
      </c>
      <c r="E56" s="14">
        <f>D_装备基础数据!F56</f>
        <v>1</v>
      </c>
      <c r="F56" s="14">
        <f>D_装备基础数据!I56</f>
        <v>1</v>
      </c>
      <c r="G56">
        <f>D_装备基础数据!G56</f>
        <v>30</v>
      </c>
      <c r="H56">
        <v>0</v>
      </c>
      <c r="I56">
        <f ca="1">INT(Q56*'[1]0、经济设定'!$C$19/10)*F56</f>
        <v>15528</v>
      </c>
      <c r="J56">
        <f t="shared" si="1"/>
        <v>45011</v>
      </c>
      <c r="K56" t="str">
        <f>IFERROR(VLOOKUP(L56,D_装备基础数据!$A$2:$B$212,2,FALSE),"")</f>
        <v>勇气战衣</v>
      </c>
      <c r="L56" t="str">
        <f>IFERROR(IF(J56=0,0,VLOOKUP(J56,CHOOSE({1,2},D_装备基础数据!$AN$2:$AN$212,D_装备基础数据!$A$2:$A$212),2,FALSE)),0)</f>
        <v>51112</v>
      </c>
      <c r="M56">
        <v>1</v>
      </c>
      <c r="N56" t="str">
        <f t="shared" si="8"/>
        <v>高级装备升级石</v>
      </c>
      <c r="O56">
        <f t="shared" si="9"/>
        <v>85200</v>
      </c>
      <c r="P56">
        <f t="shared" ca="1" si="4"/>
        <v>32</v>
      </c>
      <c r="Q56">
        <f ca="1">D_装备基础数据!AR56</f>
        <v>310.56541417972329</v>
      </c>
    </row>
    <row r="57" spans="1:17" x14ac:dyDescent="0.15">
      <c r="A57">
        <f t="shared" si="5"/>
        <v>30012</v>
      </c>
      <c r="B57" s="14">
        <f>D_装备基础数据!C57</f>
        <v>8</v>
      </c>
      <c r="C57" s="14">
        <f>D_装备基础数据!D57</f>
        <v>0</v>
      </c>
      <c r="D57" s="14" t="str">
        <f>D_装备基础数据!E57</f>
        <v>裤子</v>
      </c>
      <c r="E57" s="14">
        <f>D_装备基础数据!F57</f>
        <v>2</v>
      </c>
      <c r="F57" s="14">
        <f>D_装备基础数据!I57</f>
        <v>1</v>
      </c>
      <c r="G57">
        <f>D_装备基础数据!G57</f>
        <v>30</v>
      </c>
      <c r="H57">
        <v>0</v>
      </c>
      <c r="I57">
        <f ca="1">INT(Q57*'[1]0、经济设定'!$C$19/10)*F57</f>
        <v>5721</v>
      </c>
      <c r="J57">
        <f t="shared" si="1"/>
        <v>45012</v>
      </c>
      <c r="K57" t="str">
        <f>IFERROR(VLOOKUP(L57,D_装备基础数据!$A$2:$B$212,2,FALSE),"")</f>
        <v>勇气长裤</v>
      </c>
      <c r="L57" t="str">
        <f>IFERROR(IF(J57=0,0,VLOOKUP(J57,CHOOSE({1,2},D_装备基础数据!$AN$2:$AN$212,D_装备基础数据!$A$2:$A$212),2,FALSE)),0)</f>
        <v>52112</v>
      </c>
      <c r="M57">
        <v>1</v>
      </c>
      <c r="N57" t="str">
        <f t="shared" si="8"/>
        <v>高级装备升级石</v>
      </c>
      <c r="O57">
        <f t="shared" si="9"/>
        <v>85200</v>
      </c>
      <c r="P57">
        <f t="shared" ca="1" si="4"/>
        <v>12</v>
      </c>
      <c r="Q57">
        <f ca="1">D_装备基础数据!AR57</f>
        <v>114.42528818924831</v>
      </c>
    </row>
    <row r="58" spans="1:17" x14ac:dyDescent="0.15">
      <c r="A58">
        <f t="shared" si="5"/>
        <v>30015</v>
      </c>
      <c r="B58" s="14">
        <f>D_装备基础数据!C58</f>
        <v>8</v>
      </c>
      <c r="C58" s="14">
        <f>D_装备基础数据!D58</f>
        <v>0</v>
      </c>
      <c r="D58" s="14" t="str">
        <f>D_装备基础数据!E58</f>
        <v>鞋子</v>
      </c>
      <c r="E58" s="14">
        <f>D_装备基础数据!F58</f>
        <v>5</v>
      </c>
      <c r="F58" s="14">
        <f>D_装备基础数据!I58</f>
        <v>1</v>
      </c>
      <c r="G58">
        <f>D_装备基础数据!G58</f>
        <v>30</v>
      </c>
      <c r="H58">
        <v>0</v>
      </c>
      <c r="I58">
        <f ca="1">INT(Q58*'[1]0、经济设定'!$C$19/10)*F58</f>
        <v>7288</v>
      </c>
      <c r="J58">
        <f t="shared" si="1"/>
        <v>45015</v>
      </c>
      <c r="K58" t="str">
        <f>IFERROR(VLOOKUP(L58,D_装备基础数据!$A$2:$B$212,2,FALSE),"")</f>
        <v>勇气长靴</v>
      </c>
      <c r="L58" t="str">
        <f>IFERROR(IF(J58=0,0,VLOOKUP(J58,CHOOSE({1,2},D_装备基础数据!$AN$2:$AN$212,D_装备基础数据!$A$2:$A$212),2,FALSE)),0)</f>
        <v>55112</v>
      </c>
      <c r="M58">
        <v>1</v>
      </c>
      <c r="N58" t="str">
        <f t="shared" si="8"/>
        <v>高级装备升级石</v>
      </c>
      <c r="O58">
        <f t="shared" si="9"/>
        <v>85200</v>
      </c>
      <c r="P58">
        <f t="shared" ca="1" si="4"/>
        <v>15</v>
      </c>
      <c r="Q58">
        <f ca="1">D_装备基础数据!AR58</f>
        <v>145.77082798085522</v>
      </c>
    </row>
    <row r="59" spans="1:17" x14ac:dyDescent="0.15">
      <c r="A59">
        <f t="shared" si="5"/>
        <v>30014</v>
      </c>
      <c r="B59" s="14">
        <f>D_装备基础数据!C59</f>
        <v>8</v>
      </c>
      <c r="C59" s="14">
        <f>D_装备基础数据!D59</f>
        <v>0</v>
      </c>
      <c r="D59" s="14" t="str">
        <f>D_装备基础数据!E59</f>
        <v>腰带</v>
      </c>
      <c r="E59" s="14">
        <f>D_装备基础数据!F59</f>
        <v>4</v>
      </c>
      <c r="F59" s="14">
        <f>D_装备基础数据!I59</f>
        <v>1</v>
      </c>
      <c r="G59">
        <f>D_装备基础数据!G59</f>
        <v>30</v>
      </c>
      <c r="H59">
        <v>0</v>
      </c>
      <c r="I59">
        <f ca="1">INT(Q59*'[1]0、经济设定'!$C$19/10)*F59</f>
        <v>5863</v>
      </c>
      <c r="J59">
        <f t="shared" si="1"/>
        <v>45014</v>
      </c>
      <c r="K59" t="str">
        <f>IFERROR(VLOOKUP(L59,D_装备基础数据!$A$2:$B$212,2,FALSE),"")</f>
        <v>勇气腰带</v>
      </c>
      <c r="L59" t="str">
        <f>IFERROR(IF(J59=0,0,VLOOKUP(J59,CHOOSE({1,2},D_装备基础数据!$AN$2:$AN$212,D_装备基础数据!$A$2:$A$212),2,FALSE)),0)</f>
        <v>54112</v>
      </c>
      <c r="M59">
        <v>1</v>
      </c>
      <c r="N59" t="str">
        <f t="shared" si="8"/>
        <v>高级装备升级石</v>
      </c>
      <c r="O59">
        <f t="shared" si="9"/>
        <v>85200</v>
      </c>
      <c r="P59">
        <f t="shared" ca="1" si="4"/>
        <v>12</v>
      </c>
      <c r="Q59">
        <f ca="1">D_装备基础数据!AR59</f>
        <v>117.26812188157407</v>
      </c>
    </row>
    <row r="60" spans="1:17" x14ac:dyDescent="0.15">
      <c r="A60">
        <f t="shared" si="5"/>
        <v>30013</v>
      </c>
      <c r="B60" s="14">
        <f>D_装备基础数据!C60</f>
        <v>8</v>
      </c>
      <c r="C60" s="14">
        <f>D_装备基础数据!D60</f>
        <v>0</v>
      </c>
      <c r="D60" s="14" t="str">
        <f>D_装备基础数据!E60</f>
        <v>项链</v>
      </c>
      <c r="E60" s="14">
        <f>D_装备基础数据!F60</f>
        <v>3</v>
      </c>
      <c r="F60" s="14">
        <f>D_装备基础数据!I60</f>
        <v>1</v>
      </c>
      <c r="G60">
        <f>D_装备基础数据!G60</f>
        <v>30</v>
      </c>
      <c r="H60">
        <v>0</v>
      </c>
      <c r="I60">
        <f ca="1">INT(Q60*'[1]0、经济设定'!$C$19/10)*F60</f>
        <v>10928</v>
      </c>
      <c r="J60">
        <f t="shared" si="1"/>
        <v>45013</v>
      </c>
      <c r="K60" t="str">
        <f>IFERROR(VLOOKUP(L60,D_装备基础数据!$A$2:$B$212,2,FALSE),"")</f>
        <v>勇气项链</v>
      </c>
      <c r="L60" t="str">
        <f>IFERROR(IF(J60=0,0,VLOOKUP(J60,CHOOSE({1,2},D_装备基础数据!$AN$2:$AN$212,D_装备基础数据!$A$2:$A$212),2,FALSE)),0)</f>
        <v>53112</v>
      </c>
      <c r="M60">
        <v>1</v>
      </c>
      <c r="N60" t="str">
        <f t="shared" si="8"/>
        <v>高级装备升级石</v>
      </c>
      <c r="O60">
        <f t="shared" si="9"/>
        <v>85200</v>
      </c>
      <c r="P60">
        <f t="shared" ca="1" si="4"/>
        <v>22</v>
      </c>
      <c r="Q60">
        <f ca="1">D_装备基础数据!AR60</f>
        <v>218.56780264913877</v>
      </c>
    </row>
    <row r="61" spans="1:17" x14ac:dyDescent="0.15">
      <c r="A61">
        <f t="shared" si="5"/>
        <v>30120</v>
      </c>
      <c r="B61" s="14">
        <f>D_装备基础数据!C61</f>
        <v>9</v>
      </c>
      <c r="C61" s="14">
        <f>D_装备基础数据!D61</f>
        <v>1</v>
      </c>
      <c r="D61" s="14" t="str">
        <f>D_装备基础数据!E61</f>
        <v>武器</v>
      </c>
      <c r="E61" s="14">
        <f>D_装备基础数据!F61</f>
        <v>0</v>
      </c>
      <c r="F61" s="14">
        <f>D_装备基础数据!I61</f>
        <v>2</v>
      </c>
      <c r="G61">
        <f>D_装备基础数据!G61</f>
        <v>30</v>
      </c>
      <c r="H61">
        <v>0</v>
      </c>
      <c r="I61">
        <f ca="1">INT(Q61*'[1]0、经济设定'!$C$19/10)*F61</f>
        <v>72000</v>
      </c>
      <c r="J61">
        <f t="shared" si="1"/>
        <v>45120</v>
      </c>
      <c r="K61" t="str">
        <f>IFERROR(VLOOKUP(L61,D_装备基础数据!$A$2:$B$212,2,FALSE),"")</f>
        <v>暗羽霸刀</v>
      </c>
      <c r="L61" t="str">
        <f>IFERROR(IF(J61=0,0,VLOOKUP(J61,CHOOSE({1,2},D_装备基础数据!$AN$2:$AN$212,D_装备基础数据!$A$2:$A$212),2,FALSE)),0)</f>
        <v>10213</v>
      </c>
      <c r="M61">
        <v>1</v>
      </c>
      <c r="N61" t="str">
        <f t="shared" si="8"/>
        <v>稀有装备升级石</v>
      </c>
      <c r="O61">
        <f t="shared" si="9"/>
        <v>85300</v>
      </c>
      <c r="P61">
        <f t="shared" ca="1" si="4"/>
        <v>24</v>
      </c>
      <c r="Q61">
        <f ca="1">D_装备基础数据!AR61</f>
        <v>719.99999999999989</v>
      </c>
    </row>
    <row r="62" spans="1:17" x14ac:dyDescent="0.15">
      <c r="A62">
        <f t="shared" si="5"/>
        <v>30220</v>
      </c>
      <c r="B62" s="14">
        <f>D_装备基础数据!C62</f>
        <v>9</v>
      </c>
      <c r="C62" s="14">
        <f>D_装备基础数据!D62</f>
        <v>2</v>
      </c>
      <c r="D62" s="14" t="str">
        <f>D_装备基础数据!E62</f>
        <v>武器</v>
      </c>
      <c r="E62" s="14">
        <f>D_装备基础数据!F62</f>
        <v>0</v>
      </c>
      <c r="F62" s="14">
        <f>D_装备基础数据!I62</f>
        <v>2</v>
      </c>
      <c r="G62">
        <f>D_装备基础数据!G62</f>
        <v>30</v>
      </c>
      <c r="H62">
        <v>0</v>
      </c>
      <c r="I62">
        <f ca="1">INT(Q62*'[1]0、经济设定'!$C$19/10)*F62</f>
        <v>72000</v>
      </c>
      <c r="J62">
        <f t="shared" si="1"/>
        <v>45220</v>
      </c>
      <c r="K62" t="str">
        <f>IFERROR(VLOOKUP(L62,D_装备基础数据!$A$2:$B$212,2,FALSE),"")</f>
        <v>暗羽之拳</v>
      </c>
      <c r="L62" t="str">
        <f>IFERROR(IF(J62=0,0,VLOOKUP(J62,CHOOSE({1,2},D_装备基础数据!$AN$2:$AN$212,D_装备基础数据!$A$2:$A$212),2,FALSE)),0)</f>
        <v>20213</v>
      </c>
      <c r="M62">
        <v>1</v>
      </c>
      <c r="N62" t="str">
        <f t="shared" si="8"/>
        <v>稀有装备升级石</v>
      </c>
      <c r="O62">
        <f t="shared" si="9"/>
        <v>85300</v>
      </c>
      <c r="P62">
        <f t="shared" ca="1" si="4"/>
        <v>24</v>
      </c>
      <c r="Q62">
        <f ca="1">D_装备基础数据!AR62</f>
        <v>719.99999999999989</v>
      </c>
    </row>
    <row r="63" spans="1:17" x14ac:dyDescent="0.15">
      <c r="A63">
        <f t="shared" si="5"/>
        <v>30320</v>
      </c>
      <c r="B63" s="14">
        <f>D_装备基础数据!C63</f>
        <v>9</v>
      </c>
      <c r="C63" s="14">
        <f>D_装备基础数据!D63</f>
        <v>3</v>
      </c>
      <c r="D63" s="14" t="str">
        <f>D_装备基础数据!E63</f>
        <v>武器</v>
      </c>
      <c r="E63" s="14">
        <f>D_装备基础数据!F63</f>
        <v>0</v>
      </c>
      <c r="F63" s="14">
        <f>D_装备基础数据!I63</f>
        <v>2</v>
      </c>
      <c r="G63">
        <f>D_装备基础数据!G63</f>
        <v>30</v>
      </c>
      <c r="H63">
        <v>0</v>
      </c>
      <c r="I63">
        <f ca="1">INT(Q63*'[1]0、经济设定'!$C$19/10)*F63</f>
        <v>72000</v>
      </c>
      <c r="J63">
        <f t="shared" si="1"/>
        <v>45320</v>
      </c>
      <c r="K63" t="str">
        <f>IFERROR(VLOOKUP(L63,D_装备基础数据!$A$2:$B$212,2,FALSE),"")</f>
        <v>暗羽之枪</v>
      </c>
      <c r="L63" t="str">
        <f>IFERROR(IF(J63=0,0,VLOOKUP(J63,CHOOSE({1,2},D_装备基础数据!$AN$2:$AN$212,D_装备基础数据!$A$2:$A$212),2,FALSE)),0)</f>
        <v>30213</v>
      </c>
      <c r="M63">
        <v>1</v>
      </c>
      <c r="N63" t="str">
        <f t="shared" si="8"/>
        <v>稀有装备升级石</v>
      </c>
      <c r="O63">
        <f t="shared" si="9"/>
        <v>85300</v>
      </c>
      <c r="P63">
        <f t="shared" ca="1" si="4"/>
        <v>24</v>
      </c>
      <c r="Q63">
        <f ca="1">D_装备基础数据!AR63</f>
        <v>719.99999999999989</v>
      </c>
    </row>
    <row r="64" spans="1:17" x14ac:dyDescent="0.15">
      <c r="A64">
        <f t="shared" si="5"/>
        <v>30021</v>
      </c>
      <c r="B64" s="14">
        <f>D_装备基础数据!C64</f>
        <v>9</v>
      </c>
      <c r="C64" s="14">
        <f>D_装备基础数据!D64</f>
        <v>0</v>
      </c>
      <c r="D64" s="14" t="str">
        <f>D_装备基础数据!E64</f>
        <v>衣服</v>
      </c>
      <c r="E64" s="14">
        <f>D_装备基础数据!F64</f>
        <v>1</v>
      </c>
      <c r="F64" s="14">
        <f>D_装备基础数据!I64</f>
        <v>2</v>
      </c>
      <c r="G64">
        <f>D_装备基础数据!G64</f>
        <v>30</v>
      </c>
      <c r="H64">
        <v>0</v>
      </c>
      <c r="I64">
        <f ca="1">INT(Q64*'[1]0、经济设定'!$C$19/10)*F64</f>
        <v>61018</v>
      </c>
      <c r="J64">
        <f t="shared" si="1"/>
        <v>45021</v>
      </c>
      <c r="K64" t="str">
        <f>IFERROR(VLOOKUP(L64,D_装备基础数据!$A$2:$B$212,2,FALSE),"")</f>
        <v>暗羽战衣</v>
      </c>
      <c r="L64" t="str">
        <f>IFERROR(IF(J64=0,0,VLOOKUP(J64,CHOOSE({1,2},D_装备基础数据!$AN$2:$AN$212,D_装备基础数据!$A$2:$A$212),2,FALSE)),0)</f>
        <v>51213</v>
      </c>
      <c r="M64">
        <v>1</v>
      </c>
      <c r="N64" t="str">
        <f t="shared" si="8"/>
        <v>稀有装备升级石</v>
      </c>
      <c r="O64">
        <f t="shared" si="9"/>
        <v>85300</v>
      </c>
      <c r="P64">
        <f t="shared" ca="1" si="4"/>
        <v>21</v>
      </c>
      <c r="Q64">
        <f ca="1">D_装备基础数据!AR64</f>
        <v>610.19703320068561</v>
      </c>
    </row>
    <row r="65" spans="1:17" x14ac:dyDescent="0.15">
      <c r="A65">
        <f t="shared" si="5"/>
        <v>30022</v>
      </c>
      <c r="B65" s="14">
        <f>D_装备基础数据!C65</f>
        <v>9</v>
      </c>
      <c r="C65" s="14">
        <f>D_装备基础数据!D65</f>
        <v>0</v>
      </c>
      <c r="D65" s="14" t="str">
        <f>D_装备基础数据!E65</f>
        <v>裤子</v>
      </c>
      <c r="E65" s="14">
        <f>D_装备基础数据!F65</f>
        <v>2</v>
      </c>
      <c r="F65" s="14">
        <f>D_装备基础数据!I65</f>
        <v>2</v>
      </c>
      <c r="G65">
        <f>D_装备基础数据!G65</f>
        <v>30</v>
      </c>
      <c r="H65">
        <v>0</v>
      </c>
      <c r="I65">
        <f ca="1">INT(Q65*'[1]0、经济设定'!$C$19/10)*F65</f>
        <v>23164</v>
      </c>
      <c r="J65">
        <f t="shared" si="1"/>
        <v>45022</v>
      </c>
      <c r="K65" t="str">
        <f>IFERROR(VLOOKUP(L65,D_装备基础数据!$A$2:$B$212,2,FALSE),"")</f>
        <v>暗羽长裤</v>
      </c>
      <c r="L65" t="str">
        <f>IFERROR(IF(J65=0,0,VLOOKUP(J65,CHOOSE({1,2},D_装备基础数据!$AN$2:$AN$212,D_装备基础数据!$A$2:$A$212),2,FALSE)),0)</f>
        <v>52213</v>
      </c>
      <c r="M65">
        <v>1</v>
      </c>
      <c r="N65" t="str">
        <f t="shared" si="8"/>
        <v>稀有装备升级石</v>
      </c>
      <c r="O65">
        <f t="shared" si="9"/>
        <v>85300</v>
      </c>
      <c r="P65">
        <f t="shared" ca="1" si="4"/>
        <v>8</v>
      </c>
      <c r="Q65">
        <f ca="1">D_装备基础数据!AR65</f>
        <v>231.6403970932206</v>
      </c>
    </row>
    <row r="66" spans="1:17" x14ac:dyDescent="0.15">
      <c r="A66">
        <f t="shared" si="5"/>
        <v>30025</v>
      </c>
      <c r="B66" s="14">
        <f>D_装备基础数据!C66</f>
        <v>9</v>
      </c>
      <c r="C66" s="14">
        <f>D_装备基础数据!D66</f>
        <v>0</v>
      </c>
      <c r="D66" s="14" t="str">
        <f>D_装备基础数据!E66</f>
        <v>鞋子</v>
      </c>
      <c r="E66" s="14">
        <f>D_装备基础数据!F66</f>
        <v>5</v>
      </c>
      <c r="F66" s="14">
        <f>D_装备基础数据!I66</f>
        <v>2</v>
      </c>
      <c r="G66">
        <f>D_装备基础数据!G66</f>
        <v>30</v>
      </c>
      <c r="H66">
        <v>0</v>
      </c>
      <c r="I66">
        <f ca="1">INT(Q66*'[1]0、经济设定'!$C$19/10)*F66</f>
        <v>29344</v>
      </c>
      <c r="J66">
        <f t="shared" si="1"/>
        <v>45025</v>
      </c>
      <c r="K66" t="str">
        <f>IFERROR(VLOOKUP(L66,D_装备基础数据!$A$2:$B$212,2,FALSE),"")</f>
        <v>暗羽长靴</v>
      </c>
      <c r="L66" t="str">
        <f>IFERROR(IF(J66=0,0,VLOOKUP(J66,CHOOSE({1,2},D_装备基础数据!$AN$2:$AN$212,D_装备基础数据!$A$2:$A$212),2,FALSE)),0)</f>
        <v>55213</v>
      </c>
      <c r="M66">
        <v>1</v>
      </c>
      <c r="N66" t="str">
        <f t="shared" si="8"/>
        <v>稀有装备升级石</v>
      </c>
      <c r="O66">
        <f t="shared" si="9"/>
        <v>85300</v>
      </c>
      <c r="P66">
        <f t="shared" ca="1" si="4"/>
        <v>10</v>
      </c>
      <c r="Q66">
        <f ca="1">D_装备基础数据!AR66</f>
        <v>293.45633324831351</v>
      </c>
    </row>
    <row r="67" spans="1:17" x14ac:dyDescent="0.15">
      <c r="A67">
        <f t="shared" si="5"/>
        <v>30024</v>
      </c>
      <c r="B67" s="14">
        <f>D_装备基础数据!C67</f>
        <v>9</v>
      </c>
      <c r="C67" s="14">
        <f>D_装备基础数据!D67</f>
        <v>0</v>
      </c>
      <c r="D67" s="14" t="str">
        <f>D_装备基础数据!E67</f>
        <v>腰带</v>
      </c>
      <c r="E67" s="14">
        <f>D_装备基础数据!F67</f>
        <v>4</v>
      </c>
      <c r="F67" s="14">
        <f>D_装备基础数据!I67</f>
        <v>2</v>
      </c>
      <c r="G67">
        <f>D_装备基础数据!G67</f>
        <v>30</v>
      </c>
      <c r="H67">
        <v>0</v>
      </c>
      <c r="I67">
        <f ca="1">INT(Q67*'[1]0、经济设定'!$C$19/10)*F67</f>
        <v>26098</v>
      </c>
      <c r="J67">
        <f t="shared" si="1"/>
        <v>45024</v>
      </c>
      <c r="K67" t="str">
        <f>IFERROR(VLOOKUP(L67,D_装备基础数据!$A$2:$B$212,2,FALSE),"")</f>
        <v>暗羽腰带</v>
      </c>
      <c r="L67" t="str">
        <f>IFERROR(IF(J67=0,0,VLOOKUP(J67,CHOOSE({1,2},D_装备基础数据!$AN$2:$AN$212,D_装备基础数据!$A$2:$A$212),2,FALSE)),0)</f>
        <v>54213</v>
      </c>
      <c r="M67">
        <v>1</v>
      </c>
      <c r="N67" t="str">
        <f t="shared" si="8"/>
        <v>稀有装备升级石</v>
      </c>
      <c r="O67">
        <f t="shared" si="9"/>
        <v>85300</v>
      </c>
      <c r="P67">
        <f t="shared" ca="1" si="4"/>
        <v>9</v>
      </c>
      <c r="Q67">
        <f ca="1">D_装备基础数据!AR67</f>
        <v>260.98539288212487</v>
      </c>
    </row>
    <row r="68" spans="1:17" x14ac:dyDescent="0.15">
      <c r="A68">
        <f t="shared" si="5"/>
        <v>30023</v>
      </c>
      <c r="B68" s="14">
        <f>D_装备基础数据!C68</f>
        <v>9</v>
      </c>
      <c r="C68" s="14">
        <f>D_装备基础数据!D68</f>
        <v>0</v>
      </c>
      <c r="D68" s="14" t="str">
        <f>D_装备基础数据!E68</f>
        <v>项链</v>
      </c>
      <c r="E68" s="14">
        <f>D_装备基础数据!F68</f>
        <v>3</v>
      </c>
      <c r="F68" s="14">
        <f>D_装备基础数据!I68</f>
        <v>2</v>
      </c>
      <c r="G68">
        <f>D_装备基础数据!G68</f>
        <v>30</v>
      </c>
      <c r="H68">
        <v>0</v>
      </c>
      <c r="I68">
        <f ca="1">INT(Q68*'[1]0、经济设定'!$C$19/10)*F68</f>
        <v>42784</v>
      </c>
      <c r="J68">
        <f t="shared" si="1"/>
        <v>45023</v>
      </c>
      <c r="K68" t="str">
        <f>IFERROR(VLOOKUP(L68,D_装备基础数据!$A$2:$B$212,2,FALSE),"")</f>
        <v>暗羽项链</v>
      </c>
      <c r="L68" t="str">
        <f>IFERROR(IF(J68=0,0,VLOOKUP(J68,CHOOSE({1,2},D_装备基础数据!$AN$2:$AN$212,D_装备基础数据!$A$2:$A$212),2,FALSE)),0)</f>
        <v>53213</v>
      </c>
      <c r="M68">
        <v>1</v>
      </c>
      <c r="N68" t="str">
        <f t="shared" si="8"/>
        <v>稀有装备升级石</v>
      </c>
      <c r="O68">
        <f t="shared" si="9"/>
        <v>85300</v>
      </c>
      <c r="P68">
        <f t="shared" ca="1" si="4"/>
        <v>15</v>
      </c>
      <c r="Q68">
        <f ca="1">D_装备基础数据!AR68</f>
        <v>427.85502664029059</v>
      </c>
    </row>
    <row r="69" spans="1:17" x14ac:dyDescent="0.15">
      <c r="A69">
        <f t="shared" si="5"/>
        <v>30130</v>
      </c>
      <c r="B69" s="14">
        <f>D_装备基础数据!C69</f>
        <v>10</v>
      </c>
      <c r="C69" s="14">
        <f>D_装备基础数据!D69</f>
        <v>1</v>
      </c>
      <c r="D69" s="14" t="str">
        <f>D_装备基础数据!E69</f>
        <v>武器</v>
      </c>
      <c r="E69" s="14">
        <f>D_装备基础数据!F69</f>
        <v>0</v>
      </c>
      <c r="F69" s="14">
        <f>D_装备基础数据!I69</f>
        <v>3</v>
      </c>
      <c r="G69">
        <f>D_装备基础数据!G69</f>
        <v>30</v>
      </c>
      <c r="H69">
        <v>0</v>
      </c>
      <c r="I69">
        <f ca="1">INT(Q69*'[1]0、经济设定'!$C$19/10)*F69</f>
        <v>270000</v>
      </c>
      <c r="J69">
        <f t="shared" si="1"/>
        <v>45130</v>
      </c>
      <c r="K69" t="str">
        <f>IFERROR(VLOOKUP(L69,D_装备基础数据!$A$2:$B$212,2,FALSE),"")</f>
        <v>玄武霸刀</v>
      </c>
      <c r="L69" t="str">
        <f>IFERROR(IF(J69=0,0,VLOOKUP(J69,CHOOSE({1,2},D_装备基础数据!$AN$2:$AN$212,D_装备基础数据!$A$2:$A$212),2,FALSE)),0)</f>
        <v>10314</v>
      </c>
      <c r="M69">
        <v>1</v>
      </c>
      <c r="N69" t="str">
        <f t="shared" si="8"/>
        <v>史诗装备升级石</v>
      </c>
      <c r="O69">
        <f t="shared" si="9"/>
        <v>85400</v>
      </c>
      <c r="P69">
        <f t="shared" ca="1" si="4"/>
        <v>23</v>
      </c>
      <c r="Q69">
        <f ca="1">D_装备基础数据!AR69</f>
        <v>1799.9999999999998</v>
      </c>
    </row>
    <row r="70" spans="1:17" x14ac:dyDescent="0.15">
      <c r="A70">
        <f t="shared" si="5"/>
        <v>30230</v>
      </c>
      <c r="B70" s="14">
        <f>D_装备基础数据!C70</f>
        <v>10</v>
      </c>
      <c r="C70" s="14">
        <f>D_装备基础数据!D70</f>
        <v>2</v>
      </c>
      <c r="D70" s="14" t="str">
        <f>D_装备基础数据!E70</f>
        <v>武器</v>
      </c>
      <c r="E70" s="14">
        <f>D_装备基础数据!F70</f>
        <v>0</v>
      </c>
      <c r="F70" s="14">
        <f>D_装备基础数据!I70</f>
        <v>3</v>
      </c>
      <c r="G70">
        <f>D_装备基础数据!G70</f>
        <v>30</v>
      </c>
      <c r="H70">
        <v>0</v>
      </c>
      <c r="I70">
        <f ca="1">INT(Q70*'[1]0、经济设定'!$C$19/10)*F70</f>
        <v>270000</v>
      </c>
      <c r="J70">
        <f t="shared" si="1"/>
        <v>45230</v>
      </c>
      <c r="K70" t="str">
        <f>IFERROR(VLOOKUP(L70,D_装备基础数据!$A$2:$B$212,2,FALSE),"")</f>
        <v>玄武之拳</v>
      </c>
      <c r="L70" t="str">
        <f>IFERROR(IF(J70=0,0,VLOOKUP(J70,CHOOSE({1,2},D_装备基础数据!$AN$2:$AN$212,D_装备基础数据!$A$2:$A$212),2,FALSE)),0)</f>
        <v>20314</v>
      </c>
      <c r="M70">
        <v>1</v>
      </c>
      <c r="N70" t="str">
        <f t="shared" si="8"/>
        <v>史诗装备升级石</v>
      </c>
      <c r="O70">
        <f t="shared" si="9"/>
        <v>85400</v>
      </c>
      <c r="P70">
        <f t="shared" ca="1" si="4"/>
        <v>23</v>
      </c>
      <c r="Q70">
        <f ca="1">D_装备基础数据!AR70</f>
        <v>1799.9999999999998</v>
      </c>
    </row>
    <row r="71" spans="1:17" x14ac:dyDescent="0.15">
      <c r="A71">
        <f t="shared" si="5"/>
        <v>30330</v>
      </c>
      <c r="B71" s="14">
        <f>D_装备基础数据!C71</f>
        <v>10</v>
      </c>
      <c r="C71" s="14">
        <f>D_装备基础数据!D71</f>
        <v>3</v>
      </c>
      <c r="D71" s="14" t="str">
        <f>D_装备基础数据!E71</f>
        <v>武器</v>
      </c>
      <c r="E71" s="14">
        <f>D_装备基础数据!F71</f>
        <v>0</v>
      </c>
      <c r="F71" s="14">
        <f>D_装备基础数据!I71</f>
        <v>3</v>
      </c>
      <c r="G71">
        <f>D_装备基础数据!G71</f>
        <v>30</v>
      </c>
      <c r="H71">
        <v>0</v>
      </c>
      <c r="I71">
        <f ca="1">INT(Q71*'[1]0、经济设定'!$C$19/10)*F71</f>
        <v>270000</v>
      </c>
      <c r="J71">
        <f t="shared" si="1"/>
        <v>45330</v>
      </c>
      <c r="K71" t="str">
        <f>IFERROR(VLOOKUP(L71,D_装备基础数据!$A$2:$B$212,2,FALSE),"")</f>
        <v>玄武之枪</v>
      </c>
      <c r="L71" t="str">
        <f>IFERROR(IF(J71=0,0,VLOOKUP(J71,CHOOSE({1,2},D_装备基础数据!$AN$2:$AN$212,D_装备基础数据!$A$2:$A$212),2,FALSE)),0)</f>
        <v>30314</v>
      </c>
      <c r="M71">
        <v>1</v>
      </c>
      <c r="N71" t="str">
        <f t="shared" si="8"/>
        <v>史诗装备升级石</v>
      </c>
      <c r="O71">
        <f t="shared" si="9"/>
        <v>85400</v>
      </c>
      <c r="P71">
        <f t="shared" ca="1" si="4"/>
        <v>23</v>
      </c>
      <c r="Q71">
        <f ca="1">D_装备基础数据!AR71</f>
        <v>1799.9999999999998</v>
      </c>
    </row>
    <row r="72" spans="1:17" x14ac:dyDescent="0.15">
      <c r="A72">
        <f t="shared" si="5"/>
        <v>30031</v>
      </c>
      <c r="B72" s="14">
        <f>D_装备基础数据!C72</f>
        <v>10</v>
      </c>
      <c r="C72" s="14">
        <f>D_装备基础数据!D72</f>
        <v>0</v>
      </c>
      <c r="D72" s="14" t="str">
        <f>D_装备基础数据!E72</f>
        <v>衣服</v>
      </c>
      <c r="E72" s="14">
        <f>D_装备基础数据!F72</f>
        <v>1</v>
      </c>
      <c r="F72" s="14">
        <f>D_装备基础数据!I72</f>
        <v>3</v>
      </c>
      <c r="G72">
        <f>D_装备基础数据!G72</f>
        <v>30</v>
      </c>
      <c r="H72">
        <v>0</v>
      </c>
      <c r="I72">
        <f ca="1">INT(Q72*'[1]0、经济设定'!$C$19/10)*F72</f>
        <v>224688</v>
      </c>
      <c r="J72">
        <f t="shared" si="1"/>
        <v>45031</v>
      </c>
      <c r="K72" t="str">
        <f>IFERROR(VLOOKUP(L72,D_装备基础数据!$A$2:$B$212,2,FALSE),"")</f>
        <v>玄武战衣</v>
      </c>
      <c r="L72" t="str">
        <f>IFERROR(IF(J72=0,0,VLOOKUP(J72,CHOOSE({1,2},D_装备基础数据!$AN$2:$AN$212,D_装备基础数据!$A$2:$A$212),2,FALSE)),0)</f>
        <v>51314</v>
      </c>
      <c r="M72">
        <v>1</v>
      </c>
      <c r="N72" t="str">
        <f t="shared" si="8"/>
        <v>史诗装备升级石</v>
      </c>
      <c r="O72">
        <f t="shared" si="9"/>
        <v>85400</v>
      </c>
      <c r="P72">
        <f t="shared" ca="1" si="4"/>
        <v>19</v>
      </c>
      <c r="Q72">
        <f ca="1">D_装备基础数据!AR72</f>
        <v>1497.9209903249514</v>
      </c>
    </row>
    <row r="73" spans="1:17" x14ac:dyDescent="0.15">
      <c r="A73">
        <f t="shared" si="5"/>
        <v>30032</v>
      </c>
      <c r="B73" s="14">
        <f>D_装备基础数据!C73</f>
        <v>10</v>
      </c>
      <c r="C73" s="14">
        <f>D_装备基础数据!D73</f>
        <v>0</v>
      </c>
      <c r="D73" s="14" t="str">
        <f>D_装备基础数据!E73</f>
        <v>裤子</v>
      </c>
      <c r="E73" s="14">
        <f>D_装备基础数据!F73</f>
        <v>2</v>
      </c>
      <c r="F73" s="14">
        <f>D_装备基础数据!I73</f>
        <v>3</v>
      </c>
      <c r="G73">
        <f>D_装备基础数据!G73</f>
        <v>30</v>
      </c>
      <c r="H73">
        <v>0</v>
      </c>
      <c r="I73">
        <f ca="1">INT(Q73*'[1]0、经济设定'!$C$19/10)*F73</f>
        <v>87918</v>
      </c>
      <c r="J73">
        <f t="shared" si="1"/>
        <v>45032</v>
      </c>
      <c r="K73" t="str">
        <f>IFERROR(VLOOKUP(L73,D_装备基础数据!$A$2:$B$212,2,FALSE),"")</f>
        <v>玄武长裤</v>
      </c>
      <c r="L73" t="str">
        <f>IFERROR(IF(J73=0,0,VLOOKUP(J73,CHOOSE({1,2},D_装备基础数据!$AN$2:$AN$212,D_装备基础数据!$A$2:$A$212),2,FALSE)),0)</f>
        <v>52314</v>
      </c>
      <c r="M73">
        <v>1</v>
      </c>
      <c r="N73" t="str">
        <f t="shared" si="8"/>
        <v>史诗装备升级石</v>
      </c>
      <c r="O73">
        <f t="shared" si="9"/>
        <v>85400</v>
      </c>
      <c r="P73">
        <f t="shared" ca="1" si="4"/>
        <v>8</v>
      </c>
      <c r="Q73">
        <f ca="1">D_装备基础数据!AR73</f>
        <v>586.13604316802616</v>
      </c>
    </row>
    <row r="74" spans="1:17" x14ac:dyDescent="0.15">
      <c r="A74">
        <f t="shared" si="5"/>
        <v>30035</v>
      </c>
      <c r="B74" s="14">
        <f>D_装备基础数据!C74</f>
        <v>10</v>
      </c>
      <c r="C74" s="14">
        <f>D_装备基础数据!D74</f>
        <v>0</v>
      </c>
      <c r="D74" s="14" t="str">
        <f>D_装备基础数据!E74</f>
        <v>鞋子</v>
      </c>
      <c r="E74" s="14">
        <f>D_装备基础数据!F74</f>
        <v>5</v>
      </c>
      <c r="F74" s="14">
        <f>D_装备基础数据!I74</f>
        <v>3</v>
      </c>
      <c r="G74">
        <f>D_装备基础数据!G74</f>
        <v>30</v>
      </c>
      <c r="H74">
        <v>0</v>
      </c>
      <c r="I74">
        <f ca="1">INT(Q74*'[1]0、经济设定'!$C$19/10)*F74</f>
        <v>110769</v>
      </c>
      <c r="J74">
        <f t="shared" si="1"/>
        <v>45035</v>
      </c>
      <c r="K74" t="str">
        <f>IFERROR(VLOOKUP(L74,D_装备基础数据!$A$2:$B$212,2,FALSE),"")</f>
        <v>玄武长靴</v>
      </c>
      <c r="L74" t="str">
        <f>IFERROR(IF(J74=0,0,VLOOKUP(J74,CHOOSE({1,2},D_装备基础数据!$AN$2:$AN$212,D_装备基础数据!$A$2:$A$212),2,FALSE)),0)</f>
        <v>55314</v>
      </c>
      <c r="M74">
        <v>1</v>
      </c>
      <c r="N74" t="str">
        <f t="shared" si="8"/>
        <v>史诗装备升级石</v>
      </c>
      <c r="O74">
        <f t="shared" si="9"/>
        <v>85400</v>
      </c>
      <c r="P74">
        <f t="shared" ca="1" si="4"/>
        <v>10</v>
      </c>
      <c r="Q74">
        <f ca="1">D_装备基础数据!AR74</f>
        <v>738.46904706545206</v>
      </c>
    </row>
    <row r="75" spans="1:17" x14ac:dyDescent="0.15">
      <c r="A75">
        <f t="shared" si="5"/>
        <v>30034</v>
      </c>
      <c r="B75" s="14">
        <f>D_装备基础数据!C75</f>
        <v>10</v>
      </c>
      <c r="C75" s="14">
        <f>D_装备基础数据!D75</f>
        <v>0</v>
      </c>
      <c r="D75" s="14" t="str">
        <f>D_装备基础数据!E75</f>
        <v>腰带</v>
      </c>
      <c r="E75" s="14">
        <f>D_装备基础数据!F75</f>
        <v>4</v>
      </c>
      <c r="F75" s="14">
        <f>D_装备基础数据!I75</f>
        <v>3</v>
      </c>
      <c r="G75">
        <f>D_装备基础数据!G75</f>
        <v>30</v>
      </c>
      <c r="H75">
        <v>0</v>
      </c>
      <c r="I75">
        <f ca="1">INT(Q75*'[1]0、经济设定'!$C$19/10)*F75</f>
        <v>107871</v>
      </c>
      <c r="J75">
        <f t="shared" si="1"/>
        <v>45034</v>
      </c>
      <c r="K75" t="str">
        <f>IFERROR(VLOOKUP(L75,D_装备基础数据!$A$2:$B$212,2,FALSE),"")</f>
        <v>玄武腰带</v>
      </c>
      <c r="L75" t="str">
        <f>IFERROR(IF(J75=0,0,VLOOKUP(J75,CHOOSE({1,2},D_装备基础数据!$AN$2:$AN$212,D_装备基础数据!$A$2:$A$212),2,FALSE)),0)</f>
        <v>54314</v>
      </c>
      <c r="M75">
        <v>1</v>
      </c>
      <c r="N75" t="str">
        <f t="shared" si="8"/>
        <v>史诗装备升级石</v>
      </c>
      <c r="O75">
        <f t="shared" si="9"/>
        <v>85400</v>
      </c>
      <c r="P75">
        <f t="shared" ca="1" si="4"/>
        <v>9</v>
      </c>
      <c r="Q75">
        <f ca="1">D_装备基础数据!AR75</f>
        <v>719.15991794117531</v>
      </c>
    </row>
    <row r="76" spans="1:17" x14ac:dyDescent="0.15">
      <c r="A76">
        <f t="shared" si="5"/>
        <v>30033</v>
      </c>
      <c r="B76" s="14">
        <f>D_装备基础数据!C76</f>
        <v>10</v>
      </c>
      <c r="C76" s="14">
        <f>D_装备基础数据!D76</f>
        <v>0</v>
      </c>
      <c r="D76" s="14" t="str">
        <f>D_装备基础数据!E76</f>
        <v>项链</v>
      </c>
      <c r="E76" s="14">
        <f>D_装备基础数据!F76</f>
        <v>3</v>
      </c>
      <c r="F76" s="14">
        <f>D_装备基础数据!I76</f>
        <v>3</v>
      </c>
      <c r="G76">
        <f>D_装备基础数据!G76</f>
        <v>30</v>
      </c>
      <c r="H76">
        <v>0</v>
      </c>
      <c r="I76">
        <f ca="1">INT(Q76*'[1]0、经济设定'!$C$19/10)*F76</f>
        <v>156933</v>
      </c>
      <c r="J76">
        <f t="shared" si="1"/>
        <v>45033</v>
      </c>
      <c r="K76" t="str">
        <f>IFERROR(VLOOKUP(L76,D_装备基础数据!$A$2:$B$212,2,FALSE),"")</f>
        <v>玄武项链</v>
      </c>
      <c r="L76" t="str">
        <f>IFERROR(IF(J76=0,0,VLOOKUP(J76,CHOOSE({1,2},D_装备基础数据!$AN$2:$AN$212,D_装备基础数据!$A$2:$A$212),2,FALSE)),0)</f>
        <v>53314</v>
      </c>
      <c r="M76">
        <v>1</v>
      </c>
      <c r="N76" t="str">
        <f t="shared" si="8"/>
        <v>史诗装备升级石</v>
      </c>
      <c r="O76">
        <f t="shared" si="9"/>
        <v>85400</v>
      </c>
      <c r="P76">
        <f t="shared" ca="1" si="4"/>
        <v>14</v>
      </c>
      <c r="Q76">
        <f ca="1">D_装备基础数据!AR76</f>
        <v>1046.2348659970266</v>
      </c>
    </row>
    <row r="77" spans="1:17" x14ac:dyDescent="0.15">
      <c r="A77">
        <f t="shared" si="5"/>
        <v>30140</v>
      </c>
      <c r="B77" s="14">
        <f>D_装备基础数据!C77</f>
        <v>11</v>
      </c>
      <c r="C77" s="14">
        <f>D_装备基础数据!D77</f>
        <v>1</v>
      </c>
      <c r="D77" s="14" t="str">
        <f>D_装备基础数据!E77</f>
        <v>武器</v>
      </c>
      <c r="E77" s="14">
        <f>D_装备基础数据!F77</f>
        <v>0</v>
      </c>
      <c r="F77" s="14">
        <f>D_装备基础数据!I77</f>
        <v>4</v>
      </c>
      <c r="G77">
        <f>D_装备基础数据!G77</f>
        <v>30</v>
      </c>
      <c r="H77">
        <v>0</v>
      </c>
      <c r="I77">
        <f ca="1">INT(Q77*'[1]0、经济设定'!$C$19/10)*F77</f>
        <v>600000</v>
      </c>
      <c r="J77">
        <f t="shared" si="1"/>
        <v>45140</v>
      </c>
      <c r="K77" t="str">
        <f>IFERROR(VLOOKUP(L77,D_装备基础数据!$A$2:$B$212,2,FALSE),"")</f>
        <v>暗魔之刃</v>
      </c>
      <c r="L77" t="str">
        <f>IFERROR(IF(J77=0,0,VLOOKUP(J77,CHOOSE({1,2},D_装备基础数据!$AN$2:$AN$212,D_装备基础数据!$A$2:$A$212),2,FALSE)),0)</f>
        <v>10415</v>
      </c>
      <c r="M77">
        <v>1</v>
      </c>
      <c r="N77" t="str">
        <f t="shared" si="8"/>
        <v>传说装备升级石</v>
      </c>
      <c r="O77">
        <f t="shared" si="9"/>
        <v>85500</v>
      </c>
      <c r="P77">
        <f t="shared" ca="1" si="4"/>
        <v>30</v>
      </c>
      <c r="Q77">
        <f ca="1">D_装备基础数据!AR77</f>
        <v>3000</v>
      </c>
    </row>
    <row r="78" spans="1:17" x14ac:dyDescent="0.15">
      <c r="A78">
        <f t="shared" si="5"/>
        <v>30240</v>
      </c>
      <c r="B78" s="14">
        <f>D_装备基础数据!C78</f>
        <v>11</v>
      </c>
      <c r="C78" s="14">
        <f>D_装备基础数据!D78</f>
        <v>2</v>
      </c>
      <c r="D78" s="14" t="str">
        <f>D_装备基础数据!E78</f>
        <v>武器</v>
      </c>
      <c r="E78" s="14">
        <f>D_装备基础数据!F78</f>
        <v>0</v>
      </c>
      <c r="F78" s="14">
        <f>D_装备基础数据!I78</f>
        <v>4</v>
      </c>
      <c r="G78">
        <f>D_装备基础数据!G78</f>
        <v>30</v>
      </c>
      <c r="H78">
        <v>0</v>
      </c>
      <c r="I78">
        <f ca="1">INT(Q78*'[1]0、经济设定'!$C$19/10)*F78</f>
        <v>600000</v>
      </c>
      <c r="J78">
        <f t="shared" si="1"/>
        <v>45240</v>
      </c>
      <c r="K78" t="str">
        <f>IFERROR(VLOOKUP(L78,D_装备基础数据!$A$2:$B$212,2,FALSE),"")</f>
        <v>暗魔之拳</v>
      </c>
      <c r="L78" t="str">
        <f>IFERROR(IF(J78=0,0,VLOOKUP(J78,CHOOSE({1,2},D_装备基础数据!$AN$2:$AN$212,D_装备基础数据!$A$2:$A$212),2,FALSE)),0)</f>
        <v>20415</v>
      </c>
      <c r="M78">
        <v>1</v>
      </c>
      <c r="N78" t="str">
        <f t="shared" si="8"/>
        <v>传说装备升级石</v>
      </c>
      <c r="O78">
        <f t="shared" si="9"/>
        <v>85500</v>
      </c>
      <c r="P78">
        <f t="shared" ca="1" si="4"/>
        <v>30</v>
      </c>
      <c r="Q78">
        <f ca="1">D_装备基础数据!AR78</f>
        <v>3000</v>
      </c>
    </row>
    <row r="79" spans="1:17" x14ac:dyDescent="0.15">
      <c r="A79">
        <f t="shared" si="5"/>
        <v>30340</v>
      </c>
      <c r="B79" s="14">
        <f>D_装备基础数据!C79</f>
        <v>11</v>
      </c>
      <c r="C79" s="14">
        <f>D_装备基础数据!D79</f>
        <v>3</v>
      </c>
      <c r="D79" s="14" t="str">
        <f>D_装备基础数据!E79</f>
        <v>武器</v>
      </c>
      <c r="E79" s="14">
        <f>D_装备基础数据!F79</f>
        <v>0</v>
      </c>
      <c r="F79" s="14">
        <f>D_装备基础数据!I79</f>
        <v>4</v>
      </c>
      <c r="G79">
        <f>D_装备基础数据!G79</f>
        <v>30</v>
      </c>
      <c r="H79">
        <v>0</v>
      </c>
      <c r="I79">
        <f ca="1">INT(Q79*'[1]0、经济设定'!$C$19/10)*F79</f>
        <v>600000</v>
      </c>
      <c r="J79">
        <f t="shared" si="1"/>
        <v>45340</v>
      </c>
      <c r="K79" t="str">
        <f>IFERROR(VLOOKUP(L79,D_装备基础数据!$A$2:$B$212,2,FALSE),"")</f>
        <v>暗魔之枪</v>
      </c>
      <c r="L79" t="str">
        <f>IFERROR(IF(J79=0,0,VLOOKUP(J79,CHOOSE({1,2},D_装备基础数据!$AN$2:$AN$212,D_装备基础数据!$A$2:$A$212),2,FALSE)),0)</f>
        <v>30415</v>
      </c>
      <c r="M79">
        <v>1</v>
      </c>
      <c r="N79" t="str">
        <f t="shared" si="8"/>
        <v>传说装备升级石</v>
      </c>
      <c r="O79">
        <f t="shared" si="9"/>
        <v>85500</v>
      </c>
      <c r="P79">
        <f t="shared" ca="1" si="4"/>
        <v>30</v>
      </c>
      <c r="Q79">
        <f ca="1">D_装备基础数据!AR79</f>
        <v>3000</v>
      </c>
    </row>
    <row r="80" spans="1:17" x14ac:dyDescent="0.15">
      <c r="A80">
        <f t="shared" si="5"/>
        <v>30041</v>
      </c>
      <c r="B80" s="14">
        <f>D_装备基础数据!C80</f>
        <v>11</v>
      </c>
      <c r="C80" s="14">
        <f>D_装备基础数据!D80</f>
        <v>0</v>
      </c>
      <c r="D80" s="14" t="str">
        <f>D_装备基础数据!E80</f>
        <v>衣服</v>
      </c>
      <c r="E80" s="14">
        <f>D_装备基础数据!F80</f>
        <v>1</v>
      </c>
      <c r="F80" s="14">
        <f>D_装备基础数据!I80</f>
        <v>4</v>
      </c>
      <c r="G80">
        <f>D_装备基础数据!G80</f>
        <v>30</v>
      </c>
      <c r="H80">
        <v>0</v>
      </c>
      <c r="I80">
        <f ca="1">INT(Q80*'[1]0、经济设定'!$C$19/10)*F80</f>
        <v>490036</v>
      </c>
      <c r="J80">
        <f t="shared" si="1"/>
        <v>45041</v>
      </c>
      <c r="K80" t="str">
        <f>IFERROR(VLOOKUP(L80,D_装备基础数据!$A$2:$B$212,2,FALSE),"")</f>
        <v>暗魔战衣</v>
      </c>
      <c r="L80" t="str">
        <f>IFERROR(IF(J80=0,0,VLOOKUP(J80,CHOOSE({1,2},D_装备基础数据!$AN$2:$AN$212,D_装备基础数据!$A$2:$A$212),2,FALSE)),0)</f>
        <v>51415</v>
      </c>
      <c r="M80">
        <v>1</v>
      </c>
      <c r="N80" t="str">
        <f t="shared" si="8"/>
        <v>传说装备升级石</v>
      </c>
      <c r="O80">
        <f t="shared" si="9"/>
        <v>85500</v>
      </c>
      <c r="P80">
        <f t="shared" ca="1" si="4"/>
        <v>25</v>
      </c>
      <c r="Q80">
        <f ca="1">D_装备基础数据!AR80</f>
        <v>2450.1819906482501</v>
      </c>
    </row>
    <row r="81" spans="1:22" x14ac:dyDescent="0.15">
      <c r="A81">
        <f t="shared" si="5"/>
        <v>30042</v>
      </c>
      <c r="B81" s="14">
        <f>D_装备基础数据!C81</f>
        <v>11</v>
      </c>
      <c r="C81" s="14">
        <f>D_装备基础数据!D81</f>
        <v>0</v>
      </c>
      <c r="D81" s="14" t="str">
        <f>D_装备基础数据!E81</f>
        <v>裤子</v>
      </c>
      <c r="E81" s="14">
        <f>D_装备基础数据!F81</f>
        <v>2</v>
      </c>
      <c r="F81" s="14">
        <f>D_装备基础数据!I81</f>
        <v>4</v>
      </c>
      <c r="G81">
        <f>D_装备基础数据!G81</f>
        <v>30</v>
      </c>
      <c r="H81">
        <v>0</v>
      </c>
      <c r="I81">
        <f ca="1">INT(Q81*'[1]0、经济设定'!$C$19/10)*F81</f>
        <v>197744</v>
      </c>
      <c r="J81">
        <f t="shared" si="1"/>
        <v>45042</v>
      </c>
      <c r="K81" t="str">
        <f>IFERROR(VLOOKUP(L81,D_装备基础数据!$A$2:$B$212,2,FALSE),"")</f>
        <v>暗魔长裤</v>
      </c>
      <c r="L81" t="str">
        <f>IFERROR(IF(J81=0,0,VLOOKUP(J81,CHOOSE({1,2},D_装备基础数据!$AN$2:$AN$212,D_装备基础数据!$A$2:$A$212),2,FALSE)),0)</f>
        <v>52415</v>
      </c>
      <c r="M81">
        <v>1</v>
      </c>
      <c r="N81" t="str">
        <f t="shared" si="8"/>
        <v>传说装备升级石</v>
      </c>
      <c r="O81">
        <f t="shared" si="9"/>
        <v>85500</v>
      </c>
      <c r="P81">
        <f t="shared" ca="1" si="4"/>
        <v>10</v>
      </c>
      <c r="Q81">
        <f ca="1">D_装备基础数据!AR81</f>
        <v>988.72063807666405</v>
      </c>
    </row>
    <row r="82" spans="1:22" x14ac:dyDescent="0.15">
      <c r="A82">
        <f t="shared" si="5"/>
        <v>30045</v>
      </c>
      <c r="B82" s="14">
        <f>D_装备基础数据!C82</f>
        <v>11</v>
      </c>
      <c r="C82" s="14">
        <f>D_装备基础数据!D82</f>
        <v>0</v>
      </c>
      <c r="D82" s="14" t="str">
        <f>D_装备基础数据!E82</f>
        <v>鞋子</v>
      </c>
      <c r="E82" s="14">
        <f>D_装备基础数据!F82</f>
        <v>5</v>
      </c>
      <c r="F82" s="14">
        <f>D_装备基础数据!I82</f>
        <v>4</v>
      </c>
      <c r="G82">
        <f>D_装备基础数据!G82</f>
        <v>30</v>
      </c>
      <c r="H82">
        <v>0</v>
      </c>
      <c r="I82">
        <f ca="1">INT(Q82*'[1]0、经济设定'!$C$19/10)*F82</f>
        <v>247776</v>
      </c>
      <c r="J82">
        <f t="shared" ref="J82:J116" si="20">IF(OR(G82&lt;15,G82=80),0,(G82+15)*1000+C82*100+F82*10+E82)</f>
        <v>45045</v>
      </c>
      <c r="K82" t="str">
        <f>IFERROR(VLOOKUP(L82,D_装备基础数据!$A$2:$B$212,2,FALSE),"")</f>
        <v>暗魔长靴</v>
      </c>
      <c r="L82" t="str">
        <f>IFERROR(IF(J82=0,0,VLOOKUP(J82,CHOOSE({1,2},D_装备基础数据!$AN$2:$AN$212,D_装备基础数据!$A$2:$A$212),2,FALSE)),0)</f>
        <v>55415</v>
      </c>
      <c r="M82">
        <v>1</v>
      </c>
      <c r="N82" t="str">
        <f t="shared" ref="N82:N113" si="21">VLOOKUP(O82,$U$2:$V$6,2,FALSE)</f>
        <v>传说装备升级石</v>
      </c>
      <c r="O82">
        <f t="shared" ref="O82:O113" si="22">IF(J82=0,0,VLOOKUP(F82,$T$2:$X$6,2,FALSE))</f>
        <v>85500</v>
      </c>
      <c r="P82">
        <f t="shared" ca="1" si="4"/>
        <v>13</v>
      </c>
      <c r="Q82">
        <f ca="1">D_装备基础数据!AR82</f>
        <v>1238.8988738835419</v>
      </c>
    </row>
    <row r="83" spans="1:22" x14ac:dyDescent="0.15">
      <c r="A83">
        <f t="shared" si="5"/>
        <v>30044</v>
      </c>
      <c r="B83" s="14">
        <f>D_装备基础数据!C83</f>
        <v>11</v>
      </c>
      <c r="C83" s="14">
        <f>D_装备基础数据!D83</f>
        <v>0</v>
      </c>
      <c r="D83" s="14" t="str">
        <f>D_装备基础数据!E83</f>
        <v>腰带</v>
      </c>
      <c r="E83" s="14">
        <f>D_装备基础数据!F83</f>
        <v>4</v>
      </c>
      <c r="F83" s="14">
        <f>D_装备基础数据!I83</f>
        <v>4</v>
      </c>
      <c r="G83">
        <f>D_装备基础数据!G83</f>
        <v>30</v>
      </c>
      <c r="H83">
        <v>0</v>
      </c>
      <c r="I83">
        <f ca="1">INT(Q83*'[1]0、经济设定'!$C$19/10)*F83</f>
        <v>262144</v>
      </c>
      <c r="J83">
        <f t="shared" si="20"/>
        <v>45044</v>
      </c>
      <c r="K83" t="str">
        <f>IFERROR(VLOOKUP(L83,D_装备基础数据!$A$2:$B$212,2,FALSE),"")</f>
        <v>暗魔腰带</v>
      </c>
      <c r="L83" t="str">
        <f>IFERROR(IF(J83=0,0,VLOOKUP(J83,CHOOSE({1,2},D_装备基础数据!$AN$2:$AN$212,D_装备基础数据!$A$2:$A$212),2,FALSE)),0)</f>
        <v>54415</v>
      </c>
      <c r="M83">
        <v>1</v>
      </c>
      <c r="N83" t="str">
        <f t="shared" si="21"/>
        <v>传说装备升级石</v>
      </c>
      <c r="O83">
        <f t="shared" si="22"/>
        <v>85500</v>
      </c>
      <c r="P83">
        <f t="shared" ref="P83:P146" ca="1" si="23">IF(O83=0,0,ROUNDUP(Q83/VLOOKUP(O83,$U$16:$Y$19,5,FALSE),0))</f>
        <v>14</v>
      </c>
      <c r="Q83">
        <f ca="1">D_装备基础数据!AR83</f>
        <v>1310.7290198695068</v>
      </c>
    </row>
    <row r="84" spans="1:22" x14ac:dyDescent="0.15">
      <c r="A84">
        <f t="shared" si="5"/>
        <v>30043</v>
      </c>
      <c r="B84" s="14">
        <f>D_装备基础数据!C84</f>
        <v>11</v>
      </c>
      <c r="C84" s="14">
        <f>D_装备基础数据!D84</f>
        <v>0</v>
      </c>
      <c r="D84" s="14" t="str">
        <f>D_装备基础数据!E84</f>
        <v>项链</v>
      </c>
      <c r="E84" s="14">
        <f>D_装备基础数据!F84</f>
        <v>3</v>
      </c>
      <c r="F84" s="14">
        <f>D_装备基础数据!I84</f>
        <v>4</v>
      </c>
      <c r="G84">
        <f>D_装备基础数据!G84</f>
        <v>30</v>
      </c>
      <c r="H84">
        <v>0</v>
      </c>
      <c r="I84">
        <f ca="1">INT(Q84*'[1]0、经济设定'!$C$19/10)*F84</f>
        <v>340876</v>
      </c>
      <c r="J84">
        <f t="shared" si="20"/>
        <v>45043</v>
      </c>
      <c r="K84" t="str">
        <f>IFERROR(VLOOKUP(L84,D_装备基础数据!$A$2:$B$212,2,FALSE),"")</f>
        <v>暗魔项链</v>
      </c>
      <c r="L84" t="str">
        <f>IFERROR(IF(J84=0,0,VLOOKUP(J84,CHOOSE({1,2},D_装备基础数据!$AN$2:$AN$212,D_装备基础数据!$A$2:$A$212),2,FALSE)),0)</f>
        <v>53415</v>
      </c>
      <c r="M84">
        <v>1</v>
      </c>
      <c r="N84" t="str">
        <f t="shared" si="21"/>
        <v>传说装备升级石</v>
      </c>
      <c r="O84">
        <f t="shared" si="22"/>
        <v>85500</v>
      </c>
      <c r="P84">
        <f t="shared" ca="1" si="23"/>
        <v>18</v>
      </c>
      <c r="Q84">
        <f ca="1">D_装备基础数据!AR84</f>
        <v>1704.3804690880913</v>
      </c>
    </row>
    <row r="85" spans="1:22" x14ac:dyDescent="0.15">
      <c r="A85">
        <f t="shared" si="5"/>
        <v>45110</v>
      </c>
      <c r="B85" s="14">
        <f>D_装备基础数据!C85</f>
        <v>12</v>
      </c>
      <c r="C85" s="14">
        <f>D_装备基础数据!D85</f>
        <v>1</v>
      </c>
      <c r="D85" s="14" t="str">
        <f>D_装备基础数据!E85</f>
        <v>武器</v>
      </c>
      <c r="E85" s="14">
        <f>D_装备基础数据!F85</f>
        <v>0</v>
      </c>
      <c r="F85" s="14">
        <f>D_装备基础数据!I85</f>
        <v>1</v>
      </c>
      <c r="G85">
        <f>D_装备基础数据!G85</f>
        <v>45</v>
      </c>
      <c r="H85">
        <v>0</v>
      </c>
      <c r="I85">
        <f ca="1">INT(Q85*'[1]0、经济设定'!$C$19/10)*F85</f>
        <v>27000</v>
      </c>
      <c r="J85">
        <f t="shared" si="20"/>
        <v>60110</v>
      </c>
      <c r="K85" t="str">
        <f>IFERROR(VLOOKUP(L85,D_装备基础数据!$A$2:$B$212,2,FALSE),"")</f>
        <v>战爵之刃</v>
      </c>
      <c r="L85" t="str">
        <f>IFERROR(IF(J85=0,0,VLOOKUP(J85,CHOOSE({1,2},D_装备基础数据!$AN$2:$AN$212,D_装备基础数据!$A$2:$A$212),2,FALSE)),0)</f>
        <v>10116</v>
      </c>
      <c r="M85">
        <v>1</v>
      </c>
      <c r="N85" t="str">
        <f t="shared" si="21"/>
        <v>高级装备升级石</v>
      </c>
      <c r="O85">
        <f t="shared" si="22"/>
        <v>85200</v>
      </c>
      <c r="P85">
        <f t="shared" ca="1" si="23"/>
        <v>54</v>
      </c>
      <c r="Q85">
        <f ca="1">D_装备基础数据!AR85</f>
        <v>539.99999999999989</v>
      </c>
    </row>
    <row r="86" spans="1:22" x14ac:dyDescent="0.15">
      <c r="A86">
        <f t="shared" si="5"/>
        <v>45210</v>
      </c>
      <c r="B86" s="14">
        <f>D_装备基础数据!C86</f>
        <v>12</v>
      </c>
      <c r="C86" s="14">
        <f>D_装备基础数据!D86</f>
        <v>2</v>
      </c>
      <c r="D86" s="14" t="str">
        <f>D_装备基础数据!E86</f>
        <v>武器</v>
      </c>
      <c r="E86" s="14">
        <f>D_装备基础数据!F86</f>
        <v>0</v>
      </c>
      <c r="F86" s="14">
        <f>D_装备基础数据!I86</f>
        <v>1</v>
      </c>
      <c r="G86">
        <f>D_装备基础数据!G86</f>
        <v>45</v>
      </c>
      <c r="H86">
        <v>0</v>
      </c>
      <c r="I86">
        <f ca="1">INT(Q86*'[1]0、经济设定'!$C$19/10)*F86</f>
        <v>27000</v>
      </c>
      <c r="J86">
        <f t="shared" si="20"/>
        <v>60210</v>
      </c>
      <c r="K86" t="str">
        <f>IFERROR(VLOOKUP(L86,D_装备基础数据!$A$2:$B$212,2,FALSE),"")</f>
        <v>战爵之拳</v>
      </c>
      <c r="L86" t="str">
        <f>IFERROR(IF(J86=0,0,VLOOKUP(J86,CHOOSE({1,2},D_装备基础数据!$AN$2:$AN$212,D_装备基础数据!$A$2:$A$212),2,FALSE)),0)</f>
        <v>20116</v>
      </c>
      <c r="M86">
        <v>1</v>
      </c>
      <c r="N86" t="str">
        <f t="shared" si="21"/>
        <v>高级装备升级石</v>
      </c>
      <c r="O86">
        <f t="shared" si="22"/>
        <v>85200</v>
      </c>
      <c r="P86">
        <f t="shared" ca="1" si="23"/>
        <v>54</v>
      </c>
      <c r="Q86">
        <f ca="1">D_装备基础数据!AR86</f>
        <v>539.99999999999989</v>
      </c>
    </row>
    <row r="87" spans="1:22" x14ac:dyDescent="0.15">
      <c r="A87">
        <f t="shared" si="5"/>
        <v>45310</v>
      </c>
      <c r="B87" s="14">
        <f>D_装备基础数据!C87</f>
        <v>12</v>
      </c>
      <c r="C87" s="14">
        <f>D_装备基础数据!D87</f>
        <v>3</v>
      </c>
      <c r="D87" s="14" t="str">
        <f>D_装备基础数据!E87</f>
        <v>武器</v>
      </c>
      <c r="E87" s="14">
        <f>D_装备基础数据!F87</f>
        <v>0</v>
      </c>
      <c r="F87" s="14">
        <f>D_装备基础数据!I87</f>
        <v>1</v>
      </c>
      <c r="G87">
        <f>D_装备基础数据!G87</f>
        <v>45</v>
      </c>
      <c r="H87">
        <v>0</v>
      </c>
      <c r="I87">
        <f ca="1">INT(Q87*'[1]0、经济设定'!$C$19/10)*F87</f>
        <v>27000</v>
      </c>
      <c r="J87">
        <f t="shared" si="20"/>
        <v>60310</v>
      </c>
      <c r="K87" t="str">
        <f>IFERROR(VLOOKUP(L87,D_装备基础数据!$A$2:$B$212,2,FALSE),"")</f>
        <v>战爵之枪</v>
      </c>
      <c r="L87" t="str">
        <f>IFERROR(IF(J87=0,0,VLOOKUP(J87,CHOOSE({1,2},D_装备基础数据!$AN$2:$AN$212,D_装备基础数据!$A$2:$A$212),2,FALSE)),0)</f>
        <v>30116</v>
      </c>
      <c r="M87">
        <v>1</v>
      </c>
      <c r="N87" t="str">
        <f t="shared" si="21"/>
        <v>高级装备升级石</v>
      </c>
      <c r="O87">
        <f t="shared" si="22"/>
        <v>85200</v>
      </c>
      <c r="P87">
        <f t="shared" ca="1" si="23"/>
        <v>54</v>
      </c>
      <c r="Q87">
        <f ca="1">D_装备基础数据!AR87</f>
        <v>539.99999999999989</v>
      </c>
    </row>
    <row r="88" spans="1:22" x14ac:dyDescent="0.15">
      <c r="A88">
        <f t="shared" si="5"/>
        <v>45011</v>
      </c>
      <c r="B88" s="14">
        <f>D_装备基础数据!C88</f>
        <v>12</v>
      </c>
      <c r="C88" s="14">
        <f>D_装备基础数据!D88</f>
        <v>0</v>
      </c>
      <c r="D88" s="14" t="str">
        <f>D_装备基础数据!E88</f>
        <v>衣服</v>
      </c>
      <c r="E88" s="14">
        <f>D_装备基础数据!F88</f>
        <v>1</v>
      </c>
      <c r="F88" s="14">
        <f>D_装备基础数据!I88</f>
        <v>1</v>
      </c>
      <c r="G88">
        <f>D_装备基础数据!G88</f>
        <v>45</v>
      </c>
      <c r="H88">
        <v>0</v>
      </c>
      <c r="I88">
        <f ca="1">INT(Q88*'[1]0、经济设定'!$C$19/10)*F88</f>
        <v>23292</v>
      </c>
      <c r="J88">
        <f t="shared" si="20"/>
        <v>60011</v>
      </c>
      <c r="K88" t="str">
        <f>IFERROR(VLOOKUP(L88,D_装备基础数据!$A$2:$B$212,2,FALSE),"")</f>
        <v>战爵之衣</v>
      </c>
      <c r="L88" t="str">
        <f>IFERROR(IF(J88=0,0,VLOOKUP(J88,CHOOSE({1,2},D_装备基础数据!$AN$2:$AN$212,D_装备基础数据!$A$2:$A$212),2,FALSE)),0)</f>
        <v>51116</v>
      </c>
      <c r="M88">
        <v>1</v>
      </c>
      <c r="N88" t="str">
        <f t="shared" si="21"/>
        <v>高级装备升级石</v>
      </c>
      <c r="O88">
        <f t="shared" si="22"/>
        <v>85200</v>
      </c>
      <c r="P88">
        <f t="shared" ca="1" si="23"/>
        <v>47</v>
      </c>
      <c r="Q88">
        <f ca="1">D_装备基础数据!AR88</f>
        <v>465.84812126958496</v>
      </c>
    </row>
    <row r="89" spans="1:22" x14ac:dyDescent="0.15">
      <c r="A89">
        <f t="shared" si="5"/>
        <v>45012</v>
      </c>
      <c r="B89" s="14">
        <f>D_装备基础数据!C89</f>
        <v>12</v>
      </c>
      <c r="C89" s="14">
        <f>D_装备基础数据!D89</f>
        <v>0</v>
      </c>
      <c r="D89" s="14" t="str">
        <f>D_装备基础数据!E89</f>
        <v>裤子</v>
      </c>
      <c r="E89" s="14">
        <f>D_装备基础数据!F89</f>
        <v>2</v>
      </c>
      <c r="F89" s="14">
        <f>D_装备基础数据!I89</f>
        <v>1</v>
      </c>
      <c r="G89">
        <f>D_装备基础数据!G89</f>
        <v>45</v>
      </c>
      <c r="H89">
        <v>0</v>
      </c>
      <c r="I89">
        <f ca="1">INT(Q89*'[1]0、经济设定'!$C$19/10)*F89</f>
        <v>8581</v>
      </c>
      <c r="J89">
        <f t="shared" si="20"/>
        <v>60012</v>
      </c>
      <c r="K89" t="str">
        <f>IFERROR(VLOOKUP(L89,D_装备基础数据!$A$2:$B$212,2,FALSE),"")</f>
        <v>战爵长裤</v>
      </c>
      <c r="L89" t="str">
        <f>IFERROR(IF(J89=0,0,VLOOKUP(J89,CHOOSE({1,2},D_装备基础数据!$AN$2:$AN$212,D_装备基础数据!$A$2:$A$212),2,FALSE)),0)</f>
        <v>52116</v>
      </c>
      <c r="M89">
        <v>1</v>
      </c>
      <c r="N89" t="str">
        <f t="shared" si="21"/>
        <v>高级装备升级石</v>
      </c>
      <c r="O89">
        <f t="shared" si="22"/>
        <v>85200</v>
      </c>
      <c r="P89">
        <f t="shared" ca="1" si="23"/>
        <v>18</v>
      </c>
      <c r="Q89">
        <f ca="1">D_装备基础数据!AR89</f>
        <v>171.63793228387246</v>
      </c>
    </row>
    <row r="90" spans="1:22" x14ac:dyDescent="0.15">
      <c r="A90">
        <f t="shared" si="5"/>
        <v>45015</v>
      </c>
      <c r="B90" s="14">
        <f>D_装备基础数据!C90</f>
        <v>12</v>
      </c>
      <c r="C90" s="14">
        <f>D_装备基础数据!D90</f>
        <v>0</v>
      </c>
      <c r="D90" s="14" t="str">
        <f>D_装备基础数据!E90</f>
        <v>鞋子</v>
      </c>
      <c r="E90" s="14">
        <f>D_装备基础数据!F90</f>
        <v>5</v>
      </c>
      <c r="F90" s="14">
        <f>D_装备基础数据!I90</f>
        <v>1</v>
      </c>
      <c r="G90">
        <f>D_装备基础数据!G90</f>
        <v>45</v>
      </c>
      <c r="H90">
        <v>0</v>
      </c>
      <c r="I90">
        <f ca="1">INT(Q90*'[1]0、经济设定'!$C$19/10)*F90</f>
        <v>10932</v>
      </c>
      <c r="J90">
        <f t="shared" si="20"/>
        <v>60015</v>
      </c>
      <c r="K90" t="str">
        <f>IFERROR(VLOOKUP(L90,D_装备基础数据!$A$2:$B$212,2,FALSE),"")</f>
        <v>战爵长靴</v>
      </c>
      <c r="L90" t="str">
        <f>IFERROR(IF(J90=0,0,VLOOKUP(J90,CHOOSE({1,2},D_装备基础数据!$AN$2:$AN$212,D_装备基础数据!$A$2:$A$212),2,FALSE)),0)</f>
        <v>55116</v>
      </c>
      <c r="M90">
        <v>1</v>
      </c>
      <c r="N90" t="str">
        <f t="shared" si="21"/>
        <v>高级装备升级石</v>
      </c>
      <c r="O90">
        <f t="shared" si="22"/>
        <v>85200</v>
      </c>
      <c r="P90">
        <f t="shared" ca="1" si="23"/>
        <v>22</v>
      </c>
      <c r="Q90">
        <f ca="1">D_装备基础数据!AR90</f>
        <v>218.65624197128281</v>
      </c>
    </row>
    <row r="91" spans="1:22" x14ac:dyDescent="0.15">
      <c r="A91">
        <f t="shared" si="5"/>
        <v>45014</v>
      </c>
      <c r="B91" s="14">
        <f>D_装备基础数据!C91</f>
        <v>12</v>
      </c>
      <c r="C91" s="14">
        <f>D_装备基础数据!D91</f>
        <v>0</v>
      </c>
      <c r="D91" s="14" t="str">
        <f>D_装备基础数据!E91</f>
        <v>腰带</v>
      </c>
      <c r="E91" s="14">
        <f>D_装备基础数据!F91</f>
        <v>4</v>
      </c>
      <c r="F91" s="14">
        <f>D_装备基础数据!I91</f>
        <v>1</v>
      </c>
      <c r="G91">
        <f>D_装备基础数据!G91</f>
        <v>45</v>
      </c>
      <c r="H91">
        <v>0</v>
      </c>
      <c r="I91">
        <f ca="1">INT(Q91*'[1]0、经济设定'!$C$19/10)*F91</f>
        <v>8795</v>
      </c>
      <c r="J91">
        <f t="shared" si="20"/>
        <v>60014</v>
      </c>
      <c r="K91" t="str">
        <f>IFERROR(VLOOKUP(L91,D_装备基础数据!$A$2:$B$212,2,FALSE),"")</f>
        <v>战爵腰带</v>
      </c>
      <c r="L91" t="str">
        <f>IFERROR(IF(J91=0,0,VLOOKUP(J91,CHOOSE({1,2},D_装备基础数据!$AN$2:$AN$212,D_装备基础数据!$A$2:$A$212),2,FALSE)),0)</f>
        <v>54116</v>
      </c>
      <c r="M91">
        <v>1</v>
      </c>
      <c r="N91" t="str">
        <f t="shared" si="21"/>
        <v>高级装备升级石</v>
      </c>
      <c r="O91">
        <f t="shared" si="22"/>
        <v>85200</v>
      </c>
      <c r="P91">
        <f t="shared" ca="1" si="23"/>
        <v>18</v>
      </c>
      <c r="Q91">
        <f ca="1">D_装备基础数据!AR91</f>
        <v>175.90218282236108</v>
      </c>
    </row>
    <row r="92" spans="1:22" x14ac:dyDescent="0.15">
      <c r="A92">
        <f t="shared" si="5"/>
        <v>45013</v>
      </c>
      <c r="B92" s="14">
        <f>D_装备基础数据!C92</f>
        <v>12</v>
      </c>
      <c r="C92" s="14">
        <f>D_装备基础数据!D92</f>
        <v>0</v>
      </c>
      <c r="D92" s="14" t="str">
        <f>D_装备基础数据!E92</f>
        <v>项链</v>
      </c>
      <c r="E92" s="14">
        <f>D_装备基础数据!F92</f>
        <v>3</v>
      </c>
      <c r="F92" s="14">
        <f>D_装备基础数据!I92</f>
        <v>1</v>
      </c>
      <c r="G92">
        <f>D_装备基础数据!G92</f>
        <v>45</v>
      </c>
      <c r="H92">
        <v>0</v>
      </c>
      <c r="I92">
        <f ca="1">INT(Q92*'[1]0、经济设定'!$C$19/10)*F92</f>
        <v>16392</v>
      </c>
      <c r="J92">
        <f t="shared" si="20"/>
        <v>60013</v>
      </c>
      <c r="K92" t="str">
        <f>IFERROR(VLOOKUP(L92,D_装备基础数据!$A$2:$B$212,2,FALSE),"")</f>
        <v>战爵项链</v>
      </c>
      <c r="L92" t="str">
        <f>IFERROR(IF(J92=0,0,VLOOKUP(J92,CHOOSE({1,2},D_装备基础数据!$AN$2:$AN$212,D_装备基础数据!$A$2:$A$212),2,FALSE)),0)</f>
        <v>53116</v>
      </c>
      <c r="M92">
        <v>1</v>
      </c>
      <c r="N92" t="str">
        <f t="shared" si="21"/>
        <v>高级装备升级石</v>
      </c>
      <c r="O92">
        <f t="shared" si="22"/>
        <v>85200</v>
      </c>
      <c r="P92">
        <f t="shared" ca="1" si="23"/>
        <v>33</v>
      </c>
      <c r="Q92">
        <f ca="1">D_装备基础数据!AR92</f>
        <v>327.85170397370814</v>
      </c>
      <c r="U92" s="22"/>
      <c r="V92" s="22"/>
    </row>
    <row r="93" spans="1:22" x14ac:dyDescent="0.15">
      <c r="A93">
        <f t="shared" si="5"/>
        <v>45120</v>
      </c>
      <c r="B93" s="14">
        <f>D_装备基础数据!C93</f>
        <v>13</v>
      </c>
      <c r="C93" s="14">
        <f>D_装备基础数据!D93</f>
        <v>1</v>
      </c>
      <c r="D93" s="14" t="str">
        <f>D_装备基础数据!E93</f>
        <v>武器</v>
      </c>
      <c r="E93" s="14">
        <f>D_装备基础数据!F93</f>
        <v>0</v>
      </c>
      <c r="F93" s="14">
        <f>D_装备基础数据!I93</f>
        <v>2</v>
      </c>
      <c r="G93">
        <f>D_装备基础数据!G93</f>
        <v>45</v>
      </c>
      <c r="H93">
        <v>0</v>
      </c>
      <c r="I93">
        <f ca="1">INT(Q93*'[1]0、经济设定'!$C$19/10)*F93</f>
        <v>108000</v>
      </c>
      <c r="J93">
        <f t="shared" si="20"/>
        <v>60120</v>
      </c>
      <c r="K93" t="str">
        <f>IFERROR(VLOOKUP(L93,D_装备基础数据!$A$2:$B$212,2,FALSE),"")</f>
        <v>嗜血之剑</v>
      </c>
      <c r="L93" t="str">
        <f>IFERROR(IF(J93=0,0,VLOOKUP(J93,CHOOSE({1,2},D_装备基础数据!$AN$2:$AN$212,D_装备基础数据!$A$2:$A$212),2,FALSE)),0)</f>
        <v>10217</v>
      </c>
      <c r="M93">
        <v>1</v>
      </c>
      <c r="N93" t="str">
        <f t="shared" si="21"/>
        <v>稀有装备升级石</v>
      </c>
      <c r="O93">
        <f t="shared" si="22"/>
        <v>85300</v>
      </c>
      <c r="P93">
        <f t="shared" ca="1" si="23"/>
        <v>36</v>
      </c>
      <c r="Q93">
        <f ca="1">D_装备基础数据!AR93</f>
        <v>1080.0000000000002</v>
      </c>
      <c r="U93" s="22"/>
      <c r="V93" s="22"/>
    </row>
    <row r="94" spans="1:22" x14ac:dyDescent="0.15">
      <c r="A94">
        <f t="shared" ref="A94:A157" si="24">G94*1000+C94*100+F94*10+E94</f>
        <v>45220</v>
      </c>
      <c r="B94" s="14">
        <f>D_装备基础数据!C94</f>
        <v>13</v>
      </c>
      <c r="C94" s="14">
        <f>D_装备基础数据!D94</f>
        <v>2</v>
      </c>
      <c r="D94" s="14" t="str">
        <f>D_装备基础数据!E94</f>
        <v>武器</v>
      </c>
      <c r="E94" s="14">
        <f>D_装备基础数据!F94</f>
        <v>0</v>
      </c>
      <c r="F94" s="14">
        <f>D_装备基础数据!I94</f>
        <v>2</v>
      </c>
      <c r="G94">
        <f>D_装备基础数据!G94</f>
        <v>45</v>
      </c>
      <c r="H94">
        <v>0</v>
      </c>
      <c r="I94">
        <f ca="1">INT(Q94*'[1]0、经济设定'!$C$19/10)*F94</f>
        <v>108000</v>
      </c>
      <c r="J94">
        <f t="shared" si="20"/>
        <v>60220</v>
      </c>
      <c r="K94" t="str">
        <f>IFERROR(VLOOKUP(L94,D_装备基础数据!$A$2:$B$212,2,FALSE),"")</f>
        <v>嗜血拳</v>
      </c>
      <c r="L94" t="str">
        <f>IFERROR(IF(J94=0,0,VLOOKUP(J94,CHOOSE({1,2},D_装备基础数据!$AN$2:$AN$212,D_装备基础数据!$A$2:$A$212),2,FALSE)),0)</f>
        <v>20217</v>
      </c>
      <c r="M94">
        <v>1</v>
      </c>
      <c r="N94" t="str">
        <f t="shared" si="21"/>
        <v>稀有装备升级石</v>
      </c>
      <c r="O94">
        <f t="shared" si="22"/>
        <v>85300</v>
      </c>
      <c r="P94">
        <f t="shared" ca="1" si="23"/>
        <v>36</v>
      </c>
      <c r="Q94">
        <f ca="1">D_装备基础数据!AR94</f>
        <v>1080.0000000000002</v>
      </c>
      <c r="U94" s="22"/>
      <c r="V94" s="22"/>
    </row>
    <row r="95" spans="1:22" x14ac:dyDescent="0.15">
      <c r="A95">
        <f t="shared" si="24"/>
        <v>45320</v>
      </c>
      <c r="B95" s="14">
        <f>D_装备基础数据!C95</f>
        <v>13</v>
      </c>
      <c r="C95" s="14">
        <f>D_装备基础数据!D95</f>
        <v>3</v>
      </c>
      <c r="D95" s="14" t="str">
        <f>D_装备基础数据!E95</f>
        <v>武器</v>
      </c>
      <c r="E95" s="14">
        <f>D_装备基础数据!F95</f>
        <v>0</v>
      </c>
      <c r="F95" s="14">
        <f>D_装备基础数据!I95</f>
        <v>2</v>
      </c>
      <c r="G95">
        <f>D_装备基础数据!G95</f>
        <v>45</v>
      </c>
      <c r="H95">
        <v>0</v>
      </c>
      <c r="I95">
        <f ca="1">INT(Q95*'[1]0、经济设定'!$C$19/10)*F95</f>
        <v>108000</v>
      </c>
      <c r="J95">
        <f t="shared" si="20"/>
        <v>60320</v>
      </c>
      <c r="K95" t="str">
        <f>IFERROR(VLOOKUP(L95,D_装备基础数据!$A$2:$B$212,2,FALSE),"")</f>
        <v>嗜血枪</v>
      </c>
      <c r="L95" t="str">
        <f>IFERROR(IF(J95=0,0,VLOOKUP(J95,CHOOSE({1,2},D_装备基础数据!$AN$2:$AN$212,D_装备基础数据!$A$2:$A$212),2,FALSE)),0)</f>
        <v>30217</v>
      </c>
      <c r="M95">
        <v>1</v>
      </c>
      <c r="N95" t="str">
        <f t="shared" si="21"/>
        <v>稀有装备升级石</v>
      </c>
      <c r="O95">
        <f t="shared" si="22"/>
        <v>85300</v>
      </c>
      <c r="P95">
        <f t="shared" ca="1" si="23"/>
        <v>36</v>
      </c>
      <c r="Q95">
        <f ca="1">D_装备基础数据!AR95</f>
        <v>1080.0000000000002</v>
      </c>
      <c r="U95" s="22"/>
      <c r="V95" s="22"/>
    </row>
    <row r="96" spans="1:22" x14ac:dyDescent="0.15">
      <c r="A96">
        <f t="shared" si="24"/>
        <v>45021</v>
      </c>
      <c r="B96" s="14">
        <f>D_装备基础数据!C96</f>
        <v>13</v>
      </c>
      <c r="C96" s="14">
        <f>D_装备基础数据!D96</f>
        <v>0</v>
      </c>
      <c r="D96" s="14" t="str">
        <f>D_装备基础数据!E96</f>
        <v>衣服</v>
      </c>
      <c r="E96" s="14">
        <f>D_装备基础数据!F96</f>
        <v>1</v>
      </c>
      <c r="F96" s="14">
        <f>D_装备基础数据!I96</f>
        <v>2</v>
      </c>
      <c r="G96">
        <f>D_装备基础数据!G96</f>
        <v>45</v>
      </c>
      <c r="H96">
        <v>0</v>
      </c>
      <c r="I96">
        <f ca="1">INT(Q96*'[1]0、经济设定'!$C$19/10)*F96</f>
        <v>91528</v>
      </c>
      <c r="J96">
        <f t="shared" si="20"/>
        <v>60021</v>
      </c>
      <c r="K96" t="str">
        <f>IFERROR(VLOOKUP(L96,D_装备基础数据!$A$2:$B$212,2,FALSE),"")</f>
        <v>嗜血战衣</v>
      </c>
      <c r="L96" t="str">
        <f>IFERROR(IF(J96=0,0,VLOOKUP(J96,CHOOSE({1,2},D_装备基础数据!$AN$2:$AN$212,D_装备基础数据!$A$2:$A$212),2,FALSE)),0)</f>
        <v>51217</v>
      </c>
      <c r="M96">
        <v>1</v>
      </c>
      <c r="N96" t="str">
        <f t="shared" si="21"/>
        <v>稀有装备升级石</v>
      </c>
      <c r="O96">
        <f t="shared" si="22"/>
        <v>85300</v>
      </c>
      <c r="P96">
        <f t="shared" ca="1" si="23"/>
        <v>31</v>
      </c>
      <c r="Q96">
        <f ca="1">D_装备基础数据!AR96</f>
        <v>915.29554980102876</v>
      </c>
      <c r="U96" s="22"/>
      <c r="V96" s="22"/>
    </row>
    <row r="97" spans="1:22" x14ac:dyDescent="0.15">
      <c r="A97">
        <f t="shared" si="24"/>
        <v>45022</v>
      </c>
      <c r="B97" s="14">
        <f>D_装备基础数据!C97</f>
        <v>13</v>
      </c>
      <c r="C97" s="14">
        <f>D_装备基础数据!D97</f>
        <v>0</v>
      </c>
      <c r="D97" s="14" t="str">
        <f>D_装备基础数据!E97</f>
        <v>裤子</v>
      </c>
      <c r="E97" s="14">
        <f>D_装备基础数据!F97</f>
        <v>2</v>
      </c>
      <c r="F97" s="14">
        <f>D_装备基础数据!I97</f>
        <v>2</v>
      </c>
      <c r="G97">
        <f>D_装备基础数据!G97</f>
        <v>45</v>
      </c>
      <c r="H97">
        <v>0</v>
      </c>
      <c r="I97">
        <f ca="1">INT(Q97*'[1]0、经济设定'!$C$19/10)*F97</f>
        <v>34746</v>
      </c>
      <c r="J97">
        <f t="shared" si="20"/>
        <v>60022</v>
      </c>
      <c r="K97" t="str">
        <f>IFERROR(VLOOKUP(L97,D_装备基础数据!$A$2:$B$212,2,FALSE),"")</f>
        <v>嗜血长裤</v>
      </c>
      <c r="L97" t="str">
        <f>IFERROR(IF(J97=0,0,VLOOKUP(J97,CHOOSE({1,2},D_装备基础数据!$AN$2:$AN$212,D_装备基础数据!$A$2:$A$212),2,FALSE)),0)</f>
        <v>52217</v>
      </c>
      <c r="M97">
        <v>1</v>
      </c>
      <c r="N97" t="str">
        <f t="shared" si="21"/>
        <v>稀有装备升级石</v>
      </c>
      <c r="O97">
        <f t="shared" si="22"/>
        <v>85300</v>
      </c>
      <c r="P97">
        <f t="shared" ca="1" si="23"/>
        <v>12</v>
      </c>
      <c r="Q97">
        <f ca="1">D_装备基础数据!AR97</f>
        <v>347.46059563983096</v>
      </c>
      <c r="U97" s="22"/>
      <c r="V97" s="22"/>
    </row>
    <row r="98" spans="1:22" x14ac:dyDescent="0.15">
      <c r="A98">
        <f t="shared" si="24"/>
        <v>45025</v>
      </c>
      <c r="B98" s="14">
        <f>D_装备基础数据!C98</f>
        <v>13</v>
      </c>
      <c r="C98" s="14">
        <f>D_装备基础数据!D98</f>
        <v>0</v>
      </c>
      <c r="D98" s="14" t="str">
        <f>D_装备基础数据!E98</f>
        <v>鞋子</v>
      </c>
      <c r="E98" s="14">
        <f>D_装备基础数据!F98</f>
        <v>5</v>
      </c>
      <c r="F98" s="14">
        <f>D_装备基础数据!I98</f>
        <v>2</v>
      </c>
      <c r="G98">
        <f>D_装备基础数据!G98</f>
        <v>45</v>
      </c>
      <c r="H98">
        <v>0</v>
      </c>
      <c r="I98">
        <f ca="1">INT(Q98*'[1]0、经济设定'!$C$19/10)*F98</f>
        <v>44018</v>
      </c>
      <c r="J98">
        <f t="shared" si="20"/>
        <v>60025</v>
      </c>
      <c r="K98" t="str">
        <f>IFERROR(VLOOKUP(L98,D_装备基础数据!$A$2:$B$212,2,FALSE),"")</f>
        <v>嗜血长靴</v>
      </c>
      <c r="L98" t="str">
        <f>IFERROR(IF(J98=0,0,VLOOKUP(J98,CHOOSE({1,2},D_装备基础数据!$AN$2:$AN$212,D_装备基础数据!$A$2:$A$212),2,FALSE)),0)</f>
        <v>55217</v>
      </c>
      <c r="M98">
        <v>1</v>
      </c>
      <c r="N98" t="str">
        <f t="shared" si="21"/>
        <v>稀有装备升级石</v>
      </c>
      <c r="O98">
        <f t="shared" si="22"/>
        <v>85300</v>
      </c>
      <c r="P98">
        <f t="shared" ca="1" si="23"/>
        <v>15</v>
      </c>
      <c r="Q98">
        <f ca="1">D_装备基础数据!AR98</f>
        <v>440.18449987247038</v>
      </c>
      <c r="U98" s="22"/>
      <c r="V98" s="22"/>
    </row>
    <row r="99" spans="1:22" x14ac:dyDescent="0.15">
      <c r="A99">
        <f t="shared" si="24"/>
        <v>45024</v>
      </c>
      <c r="B99" s="14">
        <f>D_装备基础数据!C99</f>
        <v>13</v>
      </c>
      <c r="C99" s="14">
        <f>D_装备基础数据!D99</f>
        <v>0</v>
      </c>
      <c r="D99" s="14" t="str">
        <f>D_装备基础数据!E99</f>
        <v>腰带</v>
      </c>
      <c r="E99" s="14">
        <f>D_装备基础数据!F99</f>
        <v>4</v>
      </c>
      <c r="F99" s="14">
        <f>D_装备基础数据!I99</f>
        <v>2</v>
      </c>
      <c r="G99">
        <f>D_装备基础数据!G99</f>
        <v>45</v>
      </c>
      <c r="H99">
        <v>0</v>
      </c>
      <c r="I99">
        <f ca="1">INT(Q99*'[1]0、经济设定'!$C$19/10)*F99</f>
        <v>39146</v>
      </c>
      <c r="J99">
        <f t="shared" si="20"/>
        <v>60024</v>
      </c>
      <c r="K99" t="str">
        <f>IFERROR(VLOOKUP(L99,D_装备基础数据!$A$2:$B$212,2,FALSE),"")</f>
        <v>嗜血腰带</v>
      </c>
      <c r="L99" t="str">
        <f>IFERROR(IF(J99=0,0,VLOOKUP(J99,CHOOSE({1,2},D_装备基础数据!$AN$2:$AN$212,D_装备基础数据!$A$2:$A$212),2,FALSE)),0)</f>
        <v>54217</v>
      </c>
      <c r="M99">
        <v>1</v>
      </c>
      <c r="N99" t="str">
        <f t="shared" si="21"/>
        <v>稀有装备升级石</v>
      </c>
      <c r="O99">
        <f t="shared" si="22"/>
        <v>85300</v>
      </c>
      <c r="P99">
        <f t="shared" ca="1" si="23"/>
        <v>14</v>
      </c>
      <c r="Q99">
        <f ca="1">D_装备基础数据!AR99</f>
        <v>391.47808932318742</v>
      </c>
      <c r="U99" s="22"/>
      <c r="V99" s="22"/>
    </row>
    <row r="100" spans="1:22" x14ac:dyDescent="0.15">
      <c r="A100">
        <f t="shared" si="24"/>
        <v>45023</v>
      </c>
      <c r="B100" s="14">
        <f>D_装备基础数据!C100</f>
        <v>13</v>
      </c>
      <c r="C100" s="14">
        <f>D_装备基础数据!D100</f>
        <v>0</v>
      </c>
      <c r="D100" s="14" t="str">
        <f>D_装备基础数据!E100</f>
        <v>项链</v>
      </c>
      <c r="E100" s="14">
        <f>D_装备基础数据!F100</f>
        <v>3</v>
      </c>
      <c r="F100" s="14">
        <f>D_装备基础数据!I100</f>
        <v>2</v>
      </c>
      <c r="G100">
        <f>D_装备基础数据!G100</f>
        <v>45</v>
      </c>
      <c r="H100">
        <v>0</v>
      </c>
      <c r="I100">
        <f ca="1">INT(Q100*'[1]0、经济设定'!$C$19/10)*F100</f>
        <v>64178</v>
      </c>
      <c r="J100">
        <f t="shared" si="20"/>
        <v>60023</v>
      </c>
      <c r="K100" t="str">
        <f>IFERROR(VLOOKUP(L100,D_装备基础数据!$A$2:$B$212,2,FALSE),"")</f>
        <v>嗜血项链</v>
      </c>
      <c r="L100" t="str">
        <f>IFERROR(IF(J100=0,0,VLOOKUP(J100,CHOOSE({1,2},D_装备基础数据!$AN$2:$AN$212,D_装备基础数据!$A$2:$A$212),2,FALSE)),0)</f>
        <v>53217</v>
      </c>
      <c r="M100">
        <v>1</v>
      </c>
      <c r="N100" t="str">
        <f t="shared" si="21"/>
        <v>稀有装备升级石</v>
      </c>
      <c r="O100">
        <f t="shared" si="22"/>
        <v>85300</v>
      </c>
      <c r="P100">
        <f t="shared" ca="1" si="23"/>
        <v>22</v>
      </c>
      <c r="Q100">
        <f ca="1">D_装备基础数据!AR100</f>
        <v>641.78253996043611</v>
      </c>
      <c r="U100" s="22"/>
      <c r="V100" s="22"/>
    </row>
    <row r="101" spans="1:22" x14ac:dyDescent="0.15">
      <c r="A101">
        <f t="shared" si="24"/>
        <v>45130</v>
      </c>
      <c r="B101" s="14">
        <f>D_装备基础数据!C101</f>
        <v>14</v>
      </c>
      <c r="C101" s="14">
        <f>D_装备基础数据!D101</f>
        <v>1</v>
      </c>
      <c r="D101" s="14" t="str">
        <f>D_装备基础数据!E101</f>
        <v>武器</v>
      </c>
      <c r="E101" s="14">
        <f>D_装备基础数据!F101</f>
        <v>0</v>
      </c>
      <c r="F101" s="14">
        <f>D_装备基础数据!I101</f>
        <v>3</v>
      </c>
      <c r="G101">
        <f>D_装备基础数据!G101</f>
        <v>45</v>
      </c>
      <c r="H101">
        <v>0</v>
      </c>
      <c r="I101">
        <f ca="1">INT(Q101*'[1]0、经济设定'!$C$19/10)*F101</f>
        <v>405000</v>
      </c>
      <c r="J101">
        <f t="shared" si="20"/>
        <v>60130</v>
      </c>
      <c r="K101" t="str">
        <f>IFERROR(VLOOKUP(L101,D_装备基础数据!$A$2:$B$212,2,FALSE),"")</f>
        <v>霸道之刃</v>
      </c>
      <c r="L101" t="str">
        <f>IFERROR(IF(J101=0,0,VLOOKUP(J101,CHOOSE({1,2},D_装备基础数据!$AN$2:$AN$212,D_装备基础数据!$A$2:$A$212),2,FALSE)),0)</f>
        <v>10318</v>
      </c>
      <c r="M101">
        <v>1</v>
      </c>
      <c r="N101" t="str">
        <f t="shared" si="21"/>
        <v>史诗装备升级石</v>
      </c>
      <c r="O101">
        <f t="shared" si="22"/>
        <v>85400</v>
      </c>
      <c r="P101">
        <f t="shared" ca="1" si="23"/>
        <v>34</v>
      </c>
      <c r="Q101">
        <f ca="1">D_装备基础数据!AR101</f>
        <v>2700</v>
      </c>
      <c r="U101" s="22"/>
      <c r="V101" s="22"/>
    </row>
    <row r="102" spans="1:22" x14ac:dyDescent="0.15">
      <c r="A102">
        <f t="shared" si="24"/>
        <v>45230</v>
      </c>
      <c r="B102" s="14">
        <f>D_装备基础数据!C102</f>
        <v>14</v>
      </c>
      <c r="C102" s="14">
        <f>D_装备基础数据!D102</f>
        <v>2</v>
      </c>
      <c r="D102" s="14" t="str">
        <f>D_装备基础数据!E102</f>
        <v>武器</v>
      </c>
      <c r="E102" s="14">
        <f>D_装备基础数据!F102</f>
        <v>0</v>
      </c>
      <c r="F102" s="14">
        <f>D_装备基础数据!I102</f>
        <v>3</v>
      </c>
      <c r="G102">
        <f>D_装备基础数据!G102</f>
        <v>45</v>
      </c>
      <c r="H102">
        <v>0</v>
      </c>
      <c r="I102">
        <f ca="1">INT(Q102*'[1]0、经济设定'!$C$19/10)*F102</f>
        <v>405000</v>
      </c>
      <c r="J102">
        <f t="shared" si="20"/>
        <v>60230</v>
      </c>
      <c r="K102" t="str">
        <f>IFERROR(VLOOKUP(L102,D_装备基础数据!$A$2:$B$212,2,FALSE),"")</f>
        <v>霸道之拳</v>
      </c>
      <c r="L102" t="str">
        <f>IFERROR(IF(J102=0,0,VLOOKUP(J102,CHOOSE({1,2},D_装备基础数据!$AN$2:$AN$212,D_装备基础数据!$A$2:$A$212),2,FALSE)),0)</f>
        <v>20318</v>
      </c>
      <c r="M102">
        <v>1</v>
      </c>
      <c r="N102" t="str">
        <f t="shared" si="21"/>
        <v>史诗装备升级石</v>
      </c>
      <c r="O102">
        <f t="shared" si="22"/>
        <v>85400</v>
      </c>
      <c r="P102">
        <f t="shared" ca="1" si="23"/>
        <v>34</v>
      </c>
      <c r="Q102">
        <f ca="1">D_装备基础数据!AR102</f>
        <v>2700</v>
      </c>
      <c r="U102" s="22"/>
      <c r="V102" s="22"/>
    </row>
    <row r="103" spans="1:22" x14ac:dyDescent="0.15">
      <c r="A103">
        <f t="shared" si="24"/>
        <v>45330</v>
      </c>
      <c r="B103" s="14">
        <f>D_装备基础数据!C103</f>
        <v>14</v>
      </c>
      <c r="C103" s="14">
        <f>D_装备基础数据!D103</f>
        <v>3</v>
      </c>
      <c r="D103" s="14" t="str">
        <f>D_装备基础数据!E103</f>
        <v>武器</v>
      </c>
      <c r="E103" s="14">
        <f>D_装备基础数据!F103</f>
        <v>0</v>
      </c>
      <c r="F103" s="14">
        <f>D_装备基础数据!I103</f>
        <v>3</v>
      </c>
      <c r="G103">
        <f>D_装备基础数据!G103</f>
        <v>45</v>
      </c>
      <c r="H103">
        <v>0</v>
      </c>
      <c r="I103">
        <f ca="1">INT(Q103*'[1]0、经济设定'!$C$19/10)*F103</f>
        <v>405000</v>
      </c>
      <c r="J103">
        <f t="shared" si="20"/>
        <v>60330</v>
      </c>
      <c r="K103" t="str">
        <f>IFERROR(VLOOKUP(L103,D_装备基础数据!$A$2:$B$212,2,FALSE),"")</f>
        <v>霸道之枪</v>
      </c>
      <c r="L103" t="str">
        <f>IFERROR(IF(J103=0,0,VLOOKUP(J103,CHOOSE({1,2},D_装备基础数据!$AN$2:$AN$212,D_装备基础数据!$A$2:$A$212),2,FALSE)),0)</f>
        <v>30318</v>
      </c>
      <c r="M103">
        <v>1</v>
      </c>
      <c r="N103" t="str">
        <f t="shared" si="21"/>
        <v>史诗装备升级石</v>
      </c>
      <c r="O103">
        <f t="shared" si="22"/>
        <v>85400</v>
      </c>
      <c r="P103">
        <f t="shared" ca="1" si="23"/>
        <v>34</v>
      </c>
      <c r="Q103">
        <f ca="1">D_装备基础数据!AR103</f>
        <v>2700</v>
      </c>
      <c r="U103" s="22"/>
      <c r="V103" s="22"/>
    </row>
    <row r="104" spans="1:22" x14ac:dyDescent="0.15">
      <c r="A104">
        <f t="shared" si="24"/>
        <v>45031</v>
      </c>
      <c r="B104" s="14">
        <f>D_装备基础数据!C104</f>
        <v>14</v>
      </c>
      <c r="C104" s="14">
        <f>D_装备基础数据!D104</f>
        <v>0</v>
      </c>
      <c r="D104" s="14" t="str">
        <f>D_装备基础数据!E104</f>
        <v>衣服</v>
      </c>
      <c r="E104" s="14">
        <f>D_装备基础数据!F104</f>
        <v>1</v>
      </c>
      <c r="F104" s="14">
        <f>D_装备基础数据!I104</f>
        <v>3</v>
      </c>
      <c r="G104">
        <f>D_装备基础数据!G104</f>
        <v>45</v>
      </c>
      <c r="H104">
        <v>0</v>
      </c>
      <c r="I104">
        <f ca="1">INT(Q104*'[1]0、经济设定'!$C$19/10)*F104</f>
        <v>337032</v>
      </c>
      <c r="J104">
        <f t="shared" si="20"/>
        <v>60031</v>
      </c>
      <c r="K104" t="str">
        <f>IFERROR(VLOOKUP(L104,D_装备基础数据!$A$2:$B$212,2,FALSE),"")</f>
        <v>霸道战衣</v>
      </c>
      <c r="L104" t="str">
        <f>IFERROR(IF(J104=0,0,VLOOKUP(J104,CHOOSE({1,2},D_装备基础数据!$AN$2:$AN$212,D_装备基础数据!$A$2:$A$212),2,FALSE)),0)</f>
        <v>51318</v>
      </c>
      <c r="M104">
        <v>1</v>
      </c>
      <c r="N104" t="str">
        <f t="shared" si="21"/>
        <v>史诗装备升级石</v>
      </c>
      <c r="O104">
        <f t="shared" si="22"/>
        <v>85400</v>
      </c>
      <c r="P104">
        <f t="shared" ca="1" si="23"/>
        <v>29</v>
      </c>
      <c r="Q104">
        <f ca="1">D_装备基础数据!AR104</f>
        <v>2246.8814854874277</v>
      </c>
      <c r="U104" s="22"/>
      <c r="V104" s="22"/>
    </row>
    <row r="105" spans="1:22" x14ac:dyDescent="0.15">
      <c r="A105">
        <f t="shared" si="24"/>
        <v>45032</v>
      </c>
      <c r="B105" s="14">
        <f>D_装备基础数据!C105</f>
        <v>14</v>
      </c>
      <c r="C105" s="14">
        <f>D_装备基础数据!D105</f>
        <v>0</v>
      </c>
      <c r="D105" s="14" t="str">
        <f>D_装备基础数据!E105</f>
        <v>裤子</v>
      </c>
      <c r="E105" s="14">
        <f>D_装备基础数据!F105</f>
        <v>2</v>
      </c>
      <c r="F105" s="14">
        <f>D_装备基础数据!I105</f>
        <v>3</v>
      </c>
      <c r="G105">
        <f>D_装备基础数据!G105</f>
        <v>45</v>
      </c>
      <c r="H105">
        <v>0</v>
      </c>
      <c r="I105">
        <f ca="1">INT(Q105*'[1]0、经济设定'!$C$19/10)*F105</f>
        <v>131880</v>
      </c>
      <c r="J105">
        <f t="shared" si="20"/>
        <v>60032</v>
      </c>
      <c r="K105" t="str">
        <f>IFERROR(VLOOKUP(L105,D_装备基础数据!$A$2:$B$212,2,FALSE),"")</f>
        <v>霸道长裤</v>
      </c>
      <c r="L105" t="str">
        <f>IFERROR(IF(J105=0,0,VLOOKUP(J105,CHOOSE({1,2},D_装备基础数据!$AN$2:$AN$212,D_装备基础数据!$A$2:$A$212),2,FALSE)),0)</f>
        <v>52318</v>
      </c>
      <c r="M105">
        <v>1</v>
      </c>
      <c r="N105" t="str">
        <f t="shared" si="21"/>
        <v>史诗装备升级石</v>
      </c>
      <c r="O105">
        <f t="shared" si="22"/>
        <v>85400</v>
      </c>
      <c r="P105">
        <f t="shared" ca="1" si="23"/>
        <v>11</v>
      </c>
      <c r="Q105">
        <f ca="1">D_装备基础数据!AR105</f>
        <v>879.20406475203936</v>
      </c>
      <c r="U105" s="22"/>
      <c r="V105" s="22"/>
    </row>
    <row r="106" spans="1:22" x14ac:dyDescent="0.15">
      <c r="A106">
        <f t="shared" si="24"/>
        <v>45035</v>
      </c>
      <c r="B106" s="14">
        <f>D_装备基础数据!C106</f>
        <v>14</v>
      </c>
      <c r="C106" s="14">
        <f>D_装备基础数据!D106</f>
        <v>0</v>
      </c>
      <c r="D106" s="14" t="str">
        <f>D_装备基础数据!E106</f>
        <v>鞋子</v>
      </c>
      <c r="E106" s="14">
        <f>D_装备基础数据!F106</f>
        <v>5</v>
      </c>
      <c r="F106" s="14">
        <f>D_装备基础数据!I106</f>
        <v>3</v>
      </c>
      <c r="G106">
        <f>D_装备基础数据!G106</f>
        <v>45</v>
      </c>
      <c r="H106">
        <v>0</v>
      </c>
      <c r="I106">
        <f ca="1">INT(Q106*'[1]0、经济设定'!$C$19/10)*F106</f>
        <v>166155</v>
      </c>
      <c r="J106">
        <f t="shared" si="20"/>
        <v>60035</v>
      </c>
      <c r="K106" t="str">
        <f>IFERROR(VLOOKUP(L106,D_装备基础数据!$A$2:$B$212,2,FALSE),"")</f>
        <v>霸道长靴</v>
      </c>
      <c r="L106" t="str">
        <f>IFERROR(IF(J106=0,0,VLOOKUP(J106,CHOOSE({1,2},D_装备基础数据!$AN$2:$AN$212,D_装备基础数据!$A$2:$A$212),2,FALSE)),0)</f>
        <v>55318</v>
      </c>
      <c r="M106">
        <v>1</v>
      </c>
      <c r="N106" t="str">
        <f t="shared" si="21"/>
        <v>史诗装备升级石</v>
      </c>
      <c r="O106">
        <f t="shared" si="22"/>
        <v>85400</v>
      </c>
      <c r="P106">
        <f t="shared" ca="1" si="23"/>
        <v>14</v>
      </c>
      <c r="Q106">
        <f ca="1">D_装备基础数据!AR106</f>
        <v>1107.7035705981784</v>
      </c>
      <c r="U106" s="22"/>
      <c r="V106" s="22"/>
    </row>
    <row r="107" spans="1:22" x14ac:dyDescent="0.15">
      <c r="A107">
        <f t="shared" si="24"/>
        <v>45034</v>
      </c>
      <c r="B107" s="14">
        <f>D_装备基础数据!C107</f>
        <v>14</v>
      </c>
      <c r="C107" s="14">
        <f>D_装备基础数据!D107</f>
        <v>0</v>
      </c>
      <c r="D107" s="14" t="str">
        <f>D_装备基础数据!E107</f>
        <v>腰带</v>
      </c>
      <c r="E107" s="14">
        <f>D_装备基础数据!F107</f>
        <v>4</v>
      </c>
      <c r="F107" s="14">
        <f>D_装备基础数据!I107</f>
        <v>3</v>
      </c>
      <c r="G107">
        <f>D_装备基础数据!G107</f>
        <v>45</v>
      </c>
      <c r="H107">
        <v>0</v>
      </c>
      <c r="I107">
        <f ca="1">INT(Q107*'[1]0、经济设定'!$C$19/10)*F107</f>
        <v>161808</v>
      </c>
      <c r="J107">
        <f t="shared" si="20"/>
        <v>60034</v>
      </c>
      <c r="K107" t="str">
        <f>IFERROR(VLOOKUP(L107,D_装备基础数据!$A$2:$B$212,2,FALSE),"")</f>
        <v>霸道腰带</v>
      </c>
      <c r="L107" t="str">
        <f>IFERROR(IF(J107=0,0,VLOOKUP(J107,CHOOSE({1,2},D_装备基础数据!$AN$2:$AN$212,D_装备基础数据!$A$2:$A$212),2,FALSE)),0)</f>
        <v>54318</v>
      </c>
      <c r="M107">
        <v>1</v>
      </c>
      <c r="N107" t="str">
        <f t="shared" si="21"/>
        <v>史诗装备升级石</v>
      </c>
      <c r="O107">
        <f t="shared" si="22"/>
        <v>85400</v>
      </c>
      <c r="P107">
        <f t="shared" ca="1" si="23"/>
        <v>14</v>
      </c>
      <c r="Q107">
        <f ca="1">D_装备基础数据!AR107</f>
        <v>1078.7398769117631</v>
      </c>
      <c r="U107" s="22"/>
      <c r="V107" s="22"/>
    </row>
    <row r="108" spans="1:22" x14ac:dyDescent="0.15">
      <c r="A108">
        <f t="shared" si="24"/>
        <v>45033</v>
      </c>
      <c r="B108" s="14">
        <f>D_装备基础数据!C108</f>
        <v>14</v>
      </c>
      <c r="C108" s="14">
        <f>D_装备基础数据!D108</f>
        <v>0</v>
      </c>
      <c r="D108" s="14" t="str">
        <f>D_装备基础数据!E108</f>
        <v>项链</v>
      </c>
      <c r="E108" s="14">
        <f>D_装备基础数据!F108</f>
        <v>3</v>
      </c>
      <c r="F108" s="14">
        <f>D_装备基础数据!I108</f>
        <v>3</v>
      </c>
      <c r="G108">
        <f>D_装备基础数据!G108</f>
        <v>45</v>
      </c>
      <c r="H108">
        <v>0</v>
      </c>
      <c r="I108">
        <f ca="1">INT(Q108*'[1]0、经济设定'!$C$19/10)*F108</f>
        <v>235401</v>
      </c>
      <c r="J108">
        <f t="shared" si="20"/>
        <v>60033</v>
      </c>
      <c r="K108" t="str">
        <f>IFERROR(VLOOKUP(L108,D_装备基础数据!$A$2:$B$212,2,FALSE),"")</f>
        <v>霸道项链</v>
      </c>
      <c r="L108" t="str">
        <f>IFERROR(IF(J108=0,0,VLOOKUP(J108,CHOOSE({1,2},D_装备基础数据!$AN$2:$AN$212,D_装备基础数据!$A$2:$A$212),2,FALSE)),0)</f>
        <v>53318</v>
      </c>
      <c r="M108">
        <v>1</v>
      </c>
      <c r="N108" t="str">
        <f t="shared" si="21"/>
        <v>史诗装备升级石</v>
      </c>
      <c r="O108">
        <f t="shared" si="22"/>
        <v>85400</v>
      </c>
      <c r="P108">
        <f t="shared" ca="1" si="23"/>
        <v>20</v>
      </c>
      <c r="Q108">
        <f ca="1">D_装备基础数据!AR108</f>
        <v>1569.3522989955404</v>
      </c>
      <c r="U108" s="22"/>
      <c r="V108" s="22"/>
    </row>
    <row r="109" spans="1:22" x14ac:dyDescent="0.15">
      <c r="A109">
        <f t="shared" si="24"/>
        <v>45140</v>
      </c>
      <c r="B109" s="14">
        <f>D_装备基础数据!C109</f>
        <v>15</v>
      </c>
      <c r="C109" s="14">
        <f>D_装备基础数据!D109</f>
        <v>1</v>
      </c>
      <c r="D109" s="14" t="str">
        <f>D_装备基础数据!E109</f>
        <v>武器</v>
      </c>
      <c r="E109" s="14">
        <f>D_装备基础数据!F109</f>
        <v>0</v>
      </c>
      <c r="F109" s="14">
        <f>D_装备基础数据!I109</f>
        <v>4</v>
      </c>
      <c r="G109">
        <f>D_装备基础数据!G109</f>
        <v>45</v>
      </c>
      <c r="H109">
        <v>0</v>
      </c>
      <c r="I109">
        <f ca="1">INT(Q109*'[1]0、经济设定'!$C$19/10)*F109</f>
        <v>900000</v>
      </c>
      <c r="J109">
        <f t="shared" si="20"/>
        <v>60140</v>
      </c>
      <c r="K109" t="str">
        <f>IFERROR(VLOOKUP(L109,D_装备基础数据!$A$2:$B$212,2,FALSE),"")</f>
        <v>白虎霸刀</v>
      </c>
      <c r="L109" t="str">
        <f>IFERROR(IF(J109=0,0,VLOOKUP(J109,CHOOSE({1,2},D_装备基础数据!$AN$2:$AN$212,D_装备基础数据!$A$2:$A$212),2,FALSE)),0)</f>
        <v>10419</v>
      </c>
      <c r="M109">
        <v>1</v>
      </c>
      <c r="N109" t="str">
        <f t="shared" si="21"/>
        <v>传说装备升级石</v>
      </c>
      <c r="O109">
        <f t="shared" si="22"/>
        <v>85500</v>
      </c>
      <c r="P109">
        <f t="shared" ca="1" si="23"/>
        <v>45</v>
      </c>
      <c r="Q109">
        <f ca="1">D_装备基础数据!AR109</f>
        <v>4500</v>
      </c>
      <c r="U109" s="22"/>
      <c r="V109" s="22"/>
    </row>
    <row r="110" spans="1:22" x14ac:dyDescent="0.15">
      <c r="A110">
        <f t="shared" si="24"/>
        <v>45240</v>
      </c>
      <c r="B110" s="14">
        <f>D_装备基础数据!C110</f>
        <v>15</v>
      </c>
      <c r="C110" s="14">
        <f>D_装备基础数据!D110</f>
        <v>2</v>
      </c>
      <c r="D110" s="14" t="str">
        <f>D_装备基础数据!E110</f>
        <v>武器</v>
      </c>
      <c r="E110" s="14">
        <f>D_装备基础数据!F110</f>
        <v>0</v>
      </c>
      <c r="F110" s="14">
        <f>D_装备基础数据!I110</f>
        <v>4</v>
      </c>
      <c r="G110">
        <f>D_装备基础数据!G110</f>
        <v>45</v>
      </c>
      <c r="H110">
        <v>0</v>
      </c>
      <c r="I110">
        <f ca="1">INT(Q110*'[1]0、经济设定'!$C$19/10)*F110</f>
        <v>900000</v>
      </c>
      <c r="J110">
        <f t="shared" si="20"/>
        <v>60240</v>
      </c>
      <c r="K110" t="str">
        <f>IFERROR(VLOOKUP(L110,D_装备基础数据!$A$2:$B$212,2,FALSE),"")</f>
        <v>白虎之拳</v>
      </c>
      <c r="L110" t="str">
        <f>IFERROR(IF(J110=0,0,VLOOKUP(J110,CHOOSE({1,2},D_装备基础数据!$AN$2:$AN$212,D_装备基础数据!$A$2:$A$212),2,FALSE)),0)</f>
        <v>20419</v>
      </c>
      <c r="M110">
        <v>1</v>
      </c>
      <c r="N110" t="str">
        <f t="shared" si="21"/>
        <v>传说装备升级石</v>
      </c>
      <c r="O110">
        <f t="shared" si="22"/>
        <v>85500</v>
      </c>
      <c r="P110">
        <f t="shared" ca="1" si="23"/>
        <v>45</v>
      </c>
      <c r="Q110">
        <f ca="1">D_装备基础数据!AR110</f>
        <v>4500</v>
      </c>
      <c r="U110" s="22"/>
      <c r="V110" s="22"/>
    </row>
    <row r="111" spans="1:22" x14ac:dyDescent="0.15">
      <c r="A111">
        <f t="shared" si="24"/>
        <v>45340</v>
      </c>
      <c r="B111" s="14">
        <f>D_装备基础数据!C111</f>
        <v>15</v>
      </c>
      <c r="C111" s="14">
        <f>D_装备基础数据!D111</f>
        <v>3</v>
      </c>
      <c r="D111" s="14" t="str">
        <f>D_装备基础数据!E111</f>
        <v>武器</v>
      </c>
      <c r="E111" s="14">
        <f>D_装备基础数据!F111</f>
        <v>0</v>
      </c>
      <c r="F111" s="14">
        <f>D_装备基础数据!I111</f>
        <v>4</v>
      </c>
      <c r="G111">
        <f>D_装备基础数据!G111</f>
        <v>45</v>
      </c>
      <c r="H111">
        <v>0</v>
      </c>
      <c r="I111">
        <f ca="1">INT(Q111*'[1]0、经济设定'!$C$19/10)*F111</f>
        <v>900000</v>
      </c>
      <c r="J111">
        <f t="shared" si="20"/>
        <v>60340</v>
      </c>
      <c r="K111" t="str">
        <f>IFERROR(VLOOKUP(L111,D_装备基础数据!$A$2:$B$212,2,FALSE),"")</f>
        <v>白虎之枪</v>
      </c>
      <c r="L111" t="str">
        <f>IFERROR(IF(J111=0,0,VLOOKUP(J111,CHOOSE({1,2},D_装备基础数据!$AN$2:$AN$212,D_装备基础数据!$A$2:$A$212),2,FALSE)),0)</f>
        <v>30419</v>
      </c>
      <c r="M111">
        <v>1</v>
      </c>
      <c r="N111" t="str">
        <f t="shared" si="21"/>
        <v>传说装备升级石</v>
      </c>
      <c r="O111">
        <f t="shared" si="22"/>
        <v>85500</v>
      </c>
      <c r="P111">
        <f t="shared" ca="1" si="23"/>
        <v>45</v>
      </c>
      <c r="Q111">
        <f ca="1">D_装备基础数据!AR111</f>
        <v>4500</v>
      </c>
      <c r="U111" s="22"/>
      <c r="V111" s="22"/>
    </row>
    <row r="112" spans="1:22" x14ac:dyDescent="0.15">
      <c r="A112">
        <f t="shared" si="24"/>
        <v>45041</v>
      </c>
      <c r="B112" s="14">
        <f>D_装备基础数据!C112</f>
        <v>15</v>
      </c>
      <c r="C112" s="14">
        <f>D_装备基础数据!D112</f>
        <v>0</v>
      </c>
      <c r="D112" s="14" t="str">
        <f>D_装备基础数据!E112</f>
        <v>衣服</v>
      </c>
      <c r="E112" s="14">
        <f>D_装备基础数据!F112</f>
        <v>1</v>
      </c>
      <c r="F112" s="14">
        <f>D_装备基础数据!I112</f>
        <v>4</v>
      </c>
      <c r="G112">
        <f>D_装备基础数据!G112</f>
        <v>45</v>
      </c>
      <c r="H112">
        <v>0</v>
      </c>
      <c r="I112">
        <f ca="1">INT(Q112*'[1]0、经济设定'!$C$19/10)*F112</f>
        <v>735052</v>
      </c>
      <c r="J112">
        <f t="shared" si="20"/>
        <v>60041</v>
      </c>
      <c r="K112" t="str">
        <f>IFERROR(VLOOKUP(L112,D_装备基础数据!$A$2:$B$212,2,FALSE),"")</f>
        <v>白虎战衣</v>
      </c>
      <c r="L112" t="str">
        <f>IFERROR(IF(J112=0,0,VLOOKUP(J112,CHOOSE({1,2},D_装备基础数据!$AN$2:$AN$212,D_装备基础数据!$A$2:$A$212),2,FALSE)),0)</f>
        <v>51419</v>
      </c>
      <c r="M112">
        <v>1</v>
      </c>
      <c r="N112" t="str">
        <f t="shared" si="21"/>
        <v>传说装备升级石</v>
      </c>
      <c r="O112">
        <f t="shared" si="22"/>
        <v>85500</v>
      </c>
      <c r="P112">
        <f t="shared" ca="1" si="23"/>
        <v>37</v>
      </c>
      <c r="Q112">
        <f ca="1">D_装备基础数据!AR112</f>
        <v>3675.272985972375</v>
      </c>
      <c r="U112" s="22"/>
      <c r="V112" s="22"/>
    </row>
    <row r="113" spans="1:22" x14ac:dyDescent="0.15">
      <c r="A113">
        <f t="shared" si="24"/>
        <v>45042</v>
      </c>
      <c r="B113" s="14">
        <f>D_装备基础数据!C113</f>
        <v>15</v>
      </c>
      <c r="C113" s="14">
        <f>D_装备基础数据!D113</f>
        <v>0</v>
      </c>
      <c r="D113" s="14" t="str">
        <f>D_装备基础数据!E113</f>
        <v>裤子</v>
      </c>
      <c r="E113" s="14">
        <f>D_装备基础数据!F113</f>
        <v>2</v>
      </c>
      <c r="F113" s="14">
        <f>D_装备基础数据!I113</f>
        <v>4</v>
      </c>
      <c r="G113">
        <f>D_装备基础数据!G113</f>
        <v>45</v>
      </c>
      <c r="H113">
        <v>0</v>
      </c>
      <c r="I113">
        <f ca="1">INT(Q113*'[1]0、经济设定'!$C$19/10)*F113</f>
        <v>296616</v>
      </c>
      <c r="J113">
        <f t="shared" si="20"/>
        <v>60042</v>
      </c>
      <c r="K113" t="str">
        <f>IFERROR(VLOOKUP(L113,D_装备基础数据!$A$2:$B$212,2,FALSE),"")</f>
        <v>白虎长裤</v>
      </c>
      <c r="L113" t="str">
        <f>IFERROR(IF(J113=0,0,VLOOKUP(J113,CHOOSE({1,2},D_装备基础数据!$AN$2:$AN$212,D_装备基础数据!$A$2:$A$212),2,FALSE)),0)</f>
        <v>52419</v>
      </c>
      <c r="M113">
        <v>1</v>
      </c>
      <c r="N113" t="str">
        <f t="shared" si="21"/>
        <v>传说装备升级石</v>
      </c>
      <c r="O113">
        <f t="shared" si="22"/>
        <v>85500</v>
      </c>
      <c r="P113">
        <f t="shared" ca="1" si="23"/>
        <v>15</v>
      </c>
      <c r="Q113">
        <f ca="1">D_装备基础数据!AR113</f>
        <v>1483.0809571149962</v>
      </c>
      <c r="U113" s="22"/>
      <c r="V113" s="22"/>
    </row>
    <row r="114" spans="1:22" x14ac:dyDescent="0.15">
      <c r="A114">
        <f t="shared" si="24"/>
        <v>45045</v>
      </c>
      <c r="B114" s="14">
        <f>D_装备基础数据!C114</f>
        <v>15</v>
      </c>
      <c r="C114" s="14">
        <f>D_装备基础数据!D114</f>
        <v>0</v>
      </c>
      <c r="D114" s="14" t="str">
        <f>D_装备基础数据!E114</f>
        <v>鞋子</v>
      </c>
      <c r="E114" s="14">
        <f>D_装备基础数据!F114</f>
        <v>5</v>
      </c>
      <c r="F114" s="14">
        <f>D_装备基础数据!I114</f>
        <v>4</v>
      </c>
      <c r="G114">
        <f>D_装备基础数据!G114</f>
        <v>45</v>
      </c>
      <c r="H114">
        <v>0</v>
      </c>
      <c r="I114">
        <f ca="1">INT(Q114*'[1]0、经济设定'!$C$19/10)*F114</f>
        <v>371668</v>
      </c>
      <c r="J114">
        <f t="shared" si="20"/>
        <v>60045</v>
      </c>
      <c r="K114" t="str">
        <f>IFERROR(VLOOKUP(L114,D_装备基础数据!$A$2:$B$212,2,FALSE),"")</f>
        <v>白虎长靴</v>
      </c>
      <c r="L114" t="str">
        <f>IFERROR(IF(J114=0,0,VLOOKUP(J114,CHOOSE({1,2},D_装备基础数据!$AN$2:$AN$212,D_装备基础数据!$A$2:$A$212),2,FALSE)),0)</f>
        <v>55419</v>
      </c>
      <c r="M114">
        <v>1</v>
      </c>
      <c r="N114" t="str">
        <f t="shared" ref="N114:N145" si="25">VLOOKUP(O114,$U$2:$V$6,2,FALSE)</f>
        <v>传说装备升级石</v>
      </c>
      <c r="O114">
        <f t="shared" ref="O114:O145" si="26">IF(J114=0,0,VLOOKUP(F114,$T$2:$X$6,2,FALSE))</f>
        <v>85500</v>
      </c>
      <c r="P114">
        <f t="shared" ca="1" si="23"/>
        <v>19</v>
      </c>
      <c r="Q114">
        <f ca="1">D_装备基础数据!AR114</f>
        <v>1858.3483108253126</v>
      </c>
      <c r="U114" s="22"/>
      <c r="V114" s="22"/>
    </row>
    <row r="115" spans="1:22" x14ac:dyDescent="0.15">
      <c r="A115">
        <f t="shared" si="24"/>
        <v>45044</v>
      </c>
      <c r="B115" s="14">
        <f>D_装备基础数据!C115</f>
        <v>15</v>
      </c>
      <c r="C115" s="14">
        <f>D_装备基础数据!D115</f>
        <v>0</v>
      </c>
      <c r="D115" s="14" t="str">
        <f>D_装备基础数据!E115</f>
        <v>腰带</v>
      </c>
      <c r="E115" s="14">
        <f>D_装备基础数据!F115</f>
        <v>4</v>
      </c>
      <c r="F115" s="14">
        <f>D_装备基础数据!I115</f>
        <v>4</v>
      </c>
      <c r="G115">
        <f>D_装备基础数据!G115</f>
        <v>45</v>
      </c>
      <c r="H115">
        <v>0</v>
      </c>
      <c r="I115">
        <f ca="1">INT(Q115*'[1]0、经济设定'!$C$19/10)*F115</f>
        <v>393216</v>
      </c>
      <c r="J115">
        <f t="shared" si="20"/>
        <v>60044</v>
      </c>
      <c r="K115" t="str">
        <f>IFERROR(VLOOKUP(L115,D_装备基础数据!$A$2:$B$212,2,FALSE),"")</f>
        <v>白虎腰带</v>
      </c>
      <c r="L115" t="str">
        <f>IFERROR(IF(J115=0,0,VLOOKUP(J115,CHOOSE({1,2},D_装备基础数据!$AN$2:$AN$212,D_装备基础数据!$A$2:$A$212),2,FALSE)),0)</f>
        <v>54419</v>
      </c>
      <c r="M115">
        <v>1</v>
      </c>
      <c r="N115" t="str">
        <f t="shared" si="25"/>
        <v>传说装备升级石</v>
      </c>
      <c r="O115">
        <f t="shared" si="26"/>
        <v>85500</v>
      </c>
      <c r="P115">
        <f t="shared" ca="1" si="23"/>
        <v>20</v>
      </c>
      <c r="Q115">
        <f ca="1">D_装备基础数据!AR115</f>
        <v>1966.0935298042602</v>
      </c>
      <c r="U115" s="22"/>
      <c r="V115" s="22"/>
    </row>
    <row r="116" spans="1:22" x14ac:dyDescent="0.15">
      <c r="A116">
        <f t="shared" si="24"/>
        <v>45043</v>
      </c>
      <c r="B116" s="14">
        <f>D_装备基础数据!C116</f>
        <v>15</v>
      </c>
      <c r="C116" s="14">
        <f>D_装备基础数据!D116</f>
        <v>0</v>
      </c>
      <c r="D116" s="14" t="str">
        <f>D_装备基础数据!E116</f>
        <v>项链</v>
      </c>
      <c r="E116" s="14">
        <f>D_装备基础数据!F116</f>
        <v>3</v>
      </c>
      <c r="F116" s="14">
        <f>D_装备基础数据!I116</f>
        <v>4</v>
      </c>
      <c r="G116">
        <f>D_装备基础数据!G116</f>
        <v>45</v>
      </c>
      <c r="H116">
        <v>0</v>
      </c>
      <c r="I116">
        <f ca="1">INT(Q116*'[1]0、经济设定'!$C$19/10)*F116</f>
        <v>511312</v>
      </c>
      <c r="J116">
        <f t="shared" si="20"/>
        <v>60043</v>
      </c>
      <c r="K116" t="str">
        <f>IFERROR(VLOOKUP(L116,D_装备基础数据!$A$2:$B$212,2,FALSE),"")</f>
        <v>白虎项链</v>
      </c>
      <c r="L116" t="str">
        <f>IFERROR(IF(J116=0,0,VLOOKUP(J116,CHOOSE({1,2},D_装备基础数据!$AN$2:$AN$212,D_装备基础数据!$A$2:$A$212),2,FALSE)),0)</f>
        <v>53419</v>
      </c>
      <c r="M116">
        <v>1</v>
      </c>
      <c r="N116" t="str">
        <f t="shared" si="25"/>
        <v>传说装备升级石</v>
      </c>
      <c r="O116">
        <f t="shared" si="26"/>
        <v>85500</v>
      </c>
      <c r="P116">
        <f t="shared" ca="1" si="23"/>
        <v>26</v>
      </c>
      <c r="Q116">
        <f ca="1">D_装备基础数据!AR116</f>
        <v>2556.5707036321369</v>
      </c>
      <c r="U116" s="22"/>
      <c r="V116" s="22"/>
    </row>
    <row r="117" spans="1:22" x14ac:dyDescent="0.15">
      <c r="A117">
        <f t="shared" si="24"/>
        <v>60110</v>
      </c>
      <c r="B117" s="14">
        <f>D_装备基础数据!C117</f>
        <v>16</v>
      </c>
      <c r="C117" s="14">
        <f>D_装备基础数据!D117</f>
        <v>1</v>
      </c>
      <c r="D117" s="14" t="str">
        <f>D_装备基础数据!E117</f>
        <v>武器</v>
      </c>
      <c r="E117" s="14">
        <f>D_装备基础数据!F117</f>
        <v>0</v>
      </c>
      <c r="F117" s="14">
        <f>D_装备基础数据!I117</f>
        <v>1</v>
      </c>
      <c r="G117">
        <f>D_装备基础数据!G117</f>
        <v>60</v>
      </c>
      <c r="H117">
        <v>0</v>
      </c>
      <c r="I117">
        <f ca="1">INT(Q117*'[1]0、经济设定'!$C$19/10)*F117</f>
        <v>36000</v>
      </c>
      <c r="J117" s="74">
        <f>IF(OR(G117&lt;15,G117=80),0,(G117+10)*1000+C117*100+F117*10+E117)</f>
        <v>70110</v>
      </c>
      <c r="K117" t="str">
        <f>IFERROR(VLOOKUP(L117,D_装备基础数据!$A$2:$B$212,2,FALSE),"")</f>
        <v>堕落之刃</v>
      </c>
      <c r="L117" t="str">
        <f>IFERROR(IF(J117=0,0,VLOOKUP(J117,CHOOSE({1,2},D_装备基础数据!$AN$2:$AN$212,D_装备基础数据!$A$2:$A$212),2,FALSE)),0)</f>
        <v>10120</v>
      </c>
      <c r="M117">
        <v>1</v>
      </c>
      <c r="N117" t="str">
        <f t="shared" si="25"/>
        <v>高级装备升级石</v>
      </c>
      <c r="O117">
        <f t="shared" si="26"/>
        <v>85200</v>
      </c>
      <c r="P117">
        <f t="shared" ca="1" si="23"/>
        <v>72</v>
      </c>
      <c r="Q117">
        <f ca="1">D_装备基础数据!AR117</f>
        <v>719.99999999999989</v>
      </c>
      <c r="U117" s="22"/>
      <c r="V117" s="22"/>
    </row>
    <row r="118" spans="1:22" x14ac:dyDescent="0.15">
      <c r="A118">
        <f t="shared" si="24"/>
        <v>60210</v>
      </c>
      <c r="B118" s="14">
        <f>D_装备基础数据!C118</f>
        <v>16</v>
      </c>
      <c r="C118" s="14">
        <f>D_装备基础数据!D118</f>
        <v>2</v>
      </c>
      <c r="D118" s="14" t="str">
        <f>D_装备基础数据!E118</f>
        <v>武器</v>
      </c>
      <c r="E118" s="14">
        <f>D_装备基础数据!F118</f>
        <v>0</v>
      </c>
      <c r="F118" s="14">
        <f>D_装备基础数据!I118</f>
        <v>1</v>
      </c>
      <c r="G118">
        <f>D_装备基础数据!G118</f>
        <v>60</v>
      </c>
      <c r="H118">
        <v>0</v>
      </c>
      <c r="I118">
        <f ca="1">INT(Q118*'[1]0、经济设定'!$C$19/10)*F118</f>
        <v>36000</v>
      </c>
      <c r="J118">
        <f t="shared" ref="J118:J181" si="27">IF(OR(G118&lt;15,G118=80),0,(G118+10)*1000+C118*100+F118*10+E118)</f>
        <v>70210</v>
      </c>
      <c r="K118" t="str">
        <f>IFERROR(VLOOKUP(L118,D_装备基础数据!$A$2:$B$212,2,FALSE),"")</f>
        <v>堕落之拳</v>
      </c>
      <c r="L118" t="str">
        <f>IFERROR(IF(J118=0,0,VLOOKUP(J118,CHOOSE({1,2},D_装备基础数据!$AN$2:$AN$212,D_装备基础数据!$A$2:$A$212),2,FALSE)),0)</f>
        <v>20120</v>
      </c>
      <c r="M118">
        <v>1</v>
      </c>
      <c r="N118" t="str">
        <f t="shared" si="25"/>
        <v>高级装备升级石</v>
      </c>
      <c r="O118">
        <f t="shared" si="26"/>
        <v>85200</v>
      </c>
      <c r="P118">
        <f t="shared" ca="1" si="23"/>
        <v>72</v>
      </c>
      <c r="Q118">
        <f ca="1">D_装备基础数据!AR118</f>
        <v>719.99999999999989</v>
      </c>
      <c r="U118" s="22"/>
      <c r="V118" s="22"/>
    </row>
    <row r="119" spans="1:22" x14ac:dyDescent="0.15">
      <c r="A119">
        <f t="shared" si="24"/>
        <v>60310</v>
      </c>
      <c r="B119" s="14">
        <f>D_装备基础数据!C119</f>
        <v>16</v>
      </c>
      <c r="C119" s="14">
        <f>D_装备基础数据!D119</f>
        <v>3</v>
      </c>
      <c r="D119" s="14" t="str">
        <f>D_装备基础数据!E119</f>
        <v>武器</v>
      </c>
      <c r="E119" s="14">
        <f>D_装备基础数据!F119</f>
        <v>0</v>
      </c>
      <c r="F119" s="14">
        <f>D_装备基础数据!I119</f>
        <v>1</v>
      </c>
      <c r="G119">
        <f>D_装备基础数据!G119</f>
        <v>60</v>
      </c>
      <c r="H119">
        <v>0</v>
      </c>
      <c r="I119">
        <f ca="1">INT(Q119*'[1]0、经济设定'!$C$19/10)*F119</f>
        <v>36000</v>
      </c>
      <c r="J119">
        <f t="shared" si="27"/>
        <v>70310</v>
      </c>
      <c r="K119" t="str">
        <f>IFERROR(VLOOKUP(L119,D_装备基础数据!$A$2:$B$212,2,FALSE),"")</f>
        <v>堕落之枪</v>
      </c>
      <c r="L119" t="str">
        <f>IFERROR(IF(J119=0,0,VLOOKUP(J119,CHOOSE({1,2},D_装备基础数据!$AN$2:$AN$212,D_装备基础数据!$A$2:$A$212),2,FALSE)),0)</f>
        <v>30120</v>
      </c>
      <c r="M119">
        <v>1</v>
      </c>
      <c r="N119" t="str">
        <f t="shared" si="25"/>
        <v>高级装备升级石</v>
      </c>
      <c r="O119">
        <f t="shared" si="26"/>
        <v>85200</v>
      </c>
      <c r="P119">
        <f t="shared" ca="1" si="23"/>
        <v>72</v>
      </c>
      <c r="Q119">
        <f ca="1">D_装备基础数据!AR119</f>
        <v>719.99999999999989</v>
      </c>
      <c r="U119" s="22"/>
      <c r="V119" s="22"/>
    </row>
    <row r="120" spans="1:22" x14ac:dyDescent="0.15">
      <c r="A120">
        <f t="shared" si="24"/>
        <v>60011</v>
      </c>
      <c r="B120" s="14">
        <f>D_装备基础数据!C120</f>
        <v>16</v>
      </c>
      <c r="C120" s="14">
        <f>D_装备基础数据!D120</f>
        <v>0</v>
      </c>
      <c r="D120" s="14" t="str">
        <f>D_装备基础数据!E120</f>
        <v>衣服</v>
      </c>
      <c r="E120" s="14">
        <f>D_装备基础数据!F120</f>
        <v>1</v>
      </c>
      <c r="F120" s="14">
        <f>D_装备基础数据!I120</f>
        <v>1</v>
      </c>
      <c r="G120">
        <f>D_装备基础数据!G120</f>
        <v>60</v>
      </c>
      <c r="H120">
        <v>0</v>
      </c>
      <c r="I120">
        <f ca="1">INT(Q120*'[1]0、经济设定'!$C$19/10)*F120</f>
        <v>31056</v>
      </c>
      <c r="J120">
        <f t="shared" si="27"/>
        <v>70011</v>
      </c>
      <c r="K120" t="str">
        <f>IFERROR(VLOOKUP(L120,D_装备基础数据!$A$2:$B$212,2,FALSE),"")</f>
        <v>堕落战衣</v>
      </c>
      <c r="L120" t="str">
        <f>IFERROR(IF(J120=0,0,VLOOKUP(J120,CHOOSE({1,2},D_装备基础数据!$AN$2:$AN$212,D_装备基础数据!$A$2:$A$212),2,FALSE)),0)</f>
        <v>51120</v>
      </c>
      <c r="M120">
        <v>1</v>
      </c>
      <c r="N120" t="str">
        <f t="shared" si="25"/>
        <v>高级装备升级石</v>
      </c>
      <c r="O120">
        <f t="shared" si="26"/>
        <v>85200</v>
      </c>
      <c r="P120">
        <f t="shared" ca="1" si="23"/>
        <v>63</v>
      </c>
      <c r="Q120">
        <f ca="1">D_装备基础数据!AR120</f>
        <v>621.13082835944658</v>
      </c>
      <c r="U120" s="22"/>
      <c r="V120" s="22"/>
    </row>
    <row r="121" spans="1:22" x14ac:dyDescent="0.15">
      <c r="A121">
        <f t="shared" si="24"/>
        <v>60012</v>
      </c>
      <c r="B121" s="14">
        <f>D_装备基础数据!C121</f>
        <v>16</v>
      </c>
      <c r="C121" s="14">
        <f>D_装备基础数据!D121</f>
        <v>0</v>
      </c>
      <c r="D121" s="14" t="str">
        <f>D_装备基础数据!E121</f>
        <v>裤子</v>
      </c>
      <c r="E121" s="14">
        <f>D_装备基础数据!F121</f>
        <v>2</v>
      </c>
      <c r="F121" s="14">
        <f>D_装备基础数据!I121</f>
        <v>1</v>
      </c>
      <c r="G121">
        <f>D_装备基础数据!G121</f>
        <v>60</v>
      </c>
      <c r="H121">
        <v>0</v>
      </c>
      <c r="I121">
        <f ca="1">INT(Q121*'[1]0、经济设定'!$C$19/10)*F121</f>
        <v>11442</v>
      </c>
      <c r="J121">
        <f t="shared" si="27"/>
        <v>70012</v>
      </c>
      <c r="K121" t="str">
        <f>IFERROR(VLOOKUP(L121,D_装备基础数据!$A$2:$B$212,2,FALSE),"")</f>
        <v>堕落长裤</v>
      </c>
      <c r="L121" t="str">
        <f>IFERROR(IF(J121=0,0,VLOOKUP(J121,CHOOSE({1,2},D_装备基础数据!$AN$2:$AN$212,D_装备基础数据!$A$2:$A$212),2,FALSE)),0)</f>
        <v>52120</v>
      </c>
      <c r="M121">
        <v>1</v>
      </c>
      <c r="N121" t="str">
        <f t="shared" si="25"/>
        <v>高级装备升级石</v>
      </c>
      <c r="O121">
        <f t="shared" si="26"/>
        <v>85200</v>
      </c>
      <c r="P121">
        <f t="shared" ca="1" si="23"/>
        <v>23</v>
      </c>
      <c r="Q121">
        <f ca="1">D_装备基础数据!AR121</f>
        <v>228.8505763784967</v>
      </c>
      <c r="U121" s="22"/>
      <c r="V121" s="22"/>
    </row>
    <row r="122" spans="1:22" x14ac:dyDescent="0.15">
      <c r="A122">
        <f t="shared" si="24"/>
        <v>60015</v>
      </c>
      <c r="B122" s="14">
        <f>D_装备基础数据!C122</f>
        <v>16</v>
      </c>
      <c r="C122" s="14">
        <f>D_装备基础数据!D122</f>
        <v>0</v>
      </c>
      <c r="D122" s="14" t="str">
        <f>D_装备基础数据!E122</f>
        <v>鞋子</v>
      </c>
      <c r="E122" s="14">
        <f>D_装备基础数据!F122</f>
        <v>5</v>
      </c>
      <c r="F122" s="14">
        <f>D_装备基础数据!I122</f>
        <v>1</v>
      </c>
      <c r="G122">
        <f>D_装备基础数据!G122</f>
        <v>60</v>
      </c>
      <c r="H122">
        <v>0</v>
      </c>
      <c r="I122">
        <f ca="1">INT(Q122*'[1]0、经济设定'!$C$19/10)*F122</f>
        <v>14577</v>
      </c>
      <c r="J122">
        <f t="shared" si="27"/>
        <v>70015</v>
      </c>
      <c r="K122" t="str">
        <f>IFERROR(VLOOKUP(L122,D_装备基础数据!$A$2:$B$212,2,FALSE),"")</f>
        <v>堕落长靴</v>
      </c>
      <c r="L122" t="str">
        <f>IFERROR(IF(J122=0,0,VLOOKUP(J122,CHOOSE({1,2},D_装备基础数据!$AN$2:$AN$212,D_装备基础数据!$A$2:$A$212),2,FALSE)),0)</f>
        <v>55120</v>
      </c>
      <c r="M122">
        <v>1</v>
      </c>
      <c r="N122" t="str">
        <f t="shared" si="25"/>
        <v>高级装备升级石</v>
      </c>
      <c r="O122">
        <f t="shared" si="26"/>
        <v>85200</v>
      </c>
      <c r="P122">
        <f t="shared" ca="1" si="23"/>
        <v>30</v>
      </c>
      <c r="Q122">
        <f ca="1">D_装备基础数据!AR122</f>
        <v>291.54165596171043</v>
      </c>
      <c r="U122" s="22"/>
      <c r="V122" s="22"/>
    </row>
    <row r="123" spans="1:22" x14ac:dyDescent="0.15">
      <c r="A123">
        <f t="shared" si="24"/>
        <v>60014</v>
      </c>
      <c r="B123" s="14">
        <f>D_装备基础数据!C123</f>
        <v>16</v>
      </c>
      <c r="C123" s="14">
        <f>D_装备基础数据!D123</f>
        <v>0</v>
      </c>
      <c r="D123" s="14" t="str">
        <f>D_装备基础数据!E123</f>
        <v>腰带</v>
      </c>
      <c r="E123" s="14">
        <f>D_装备基础数据!F123</f>
        <v>4</v>
      </c>
      <c r="F123" s="14">
        <f>D_装备基础数据!I123</f>
        <v>1</v>
      </c>
      <c r="G123">
        <f>D_装备基础数据!G123</f>
        <v>60</v>
      </c>
      <c r="H123">
        <v>0</v>
      </c>
      <c r="I123">
        <f ca="1">INT(Q123*'[1]0、经济设定'!$C$19/10)*F123</f>
        <v>11726</v>
      </c>
      <c r="J123">
        <f t="shared" si="27"/>
        <v>70014</v>
      </c>
      <c r="K123" t="str">
        <f>IFERROR(VLOOKUP(L123,D_装备基础数据!$A$2:$B$212,2,FALSE),"")</f>
        <v>堕落腰带</v>
      </c>
      <c r="L123" t="str">
        <f>IFERROR(IF(J123=0,0,VLOOKUP(J123,CHOOSE({1,2},D_装备基础数据!$AN$2:$AN$212,D_装备基础数据!$A$2:$A$212),2,FALSE)),0)</f>
        <v>54120</v>
      </c>
      <c r="M123">
        <v>1</v>
      </c>
      <c r="N123" t="str">
        <f t="shared" si="25"/>
        <v>高级装备升级石</v>
      </c>
      <c r="O123">
        <f t="shared" si="26"/>
        <v>85200</v>
      </c>
      <c r="P123">
        <f t="shared" ca="1" si="23"/>
        <v>24</v>
      </c>
      <c r="Q123">
        <f ca="1">D_装备基础数据!AR123</f>
        <v>234.53624376314815</v>
      </c>
      <c r="U123" s="22"/>
      <c r="V123" s="22"/>
    </row>
    <row r="124" spans="1:22" x14ac:dyDescent="0.15">
      <c r="A124">
        <f t="shared" si="24"/>
        <v>60013</v>
      </c>
      <c r="B124" s="14">
        <f>D_装备基础数据!C124</f>
        <v>16</v>
      </c>
      <c r="C124" s="14">
        <f>D_装备基础数据!D124</f>
        <v>0</v>
      </c>
      <c r="D124" s="14" t="str">
        <f>D_装备基础数据!E124</f>
        <v>项链</v>
      </c>
      <c r="E124" s="14">
        <f>D_装备基础数据!F124</f>
        <v>3</v>
      </c>
      <c r="F124" s="14">
        <f>D_装备基础数据!I124</f>
        <v>1</v>
      </c>
      <c r="G124">
        <f>D_装备基础数据!G124</f>
        <v>60</v>
      </c>
      <c r="H124">
        <v>0</v>
      </c>
      <c r="I124">
        <f ca="1">INT(Q124*'[1]0、经济设定'!$C$19/10)*F124</f>
        <v>21856</v>
      </c>
      <c r="J124">
        <f t="shared" si="27"/>
        <v>70013</v>
      </c>
      <c r="K124" t="str">
        <f>IFERROR(VLOOKUP(L124,D_装备基础数据!$A$2:$B$212,2,FALSE),"")</f>
        <v>堕落项链</v>
      </c>
      <c r="L124" t="str">
        <f>IFERROR(IF(J124=0,0,VLOOKUP(J124,CHOOSE({1,2},D_装备基础数据!$AN$2:$AN$212,D_装备基础数据!$A$2:$A$212),2,FALSE)),0)</f>
        <v>53120</v>
      </c>
      <c r="M124">
        <v>1</v>
      </c>
      <c r="N124" t="str">
        <f t="shared" si="25"/>
        <v>高级装备升级石</v>
      </c>
      <c r="O124">
        <f t="shared" si="26"/>
        <v>85200</v>
      </c>
      <c r="P124">
        <f t="shared" ca="1" si="23"/>
        <v>44</v>
      </c>
      <c r="Q124">
        <f ca="1">D_装备基础数据!AR124</f>
        <v>437.13560529827754</v>
      </c>
      <c r="U124" s="22"/>
      <c r="V124" s="22"/>
    </row>
    <row r="125" spans="1:22" x14ac:dyDescent="0.15">
      <c r="A125">
        <f t="shared" si="24"/>
        <v>60120</v>
      </c>
      <c r="B125" s="14">
        <f>D_装备基础数据!C125</f>
        <v>17</v>
      </c>
      <c r="C125" s="14">
        <f>D_装备基础数据!D125</f>
        <v>1</v>
      </c>
      <c r="D125" s="14" t="str">
        <f>D_装备基础数据!E125</f>
        <v>武器</v>
      </c>
      <c r="E125" s="14">
        <f>D_装备基础数据!F125</f>
        <v>0</v>
      </c>
      <c r="F125" s="14">
        <f>D_装备基础数据!I125</f>
        <v>2</v>
      </c>
      <c r="G125">
        <f>D_装备基础数据!G125</f>
        <v>60</v>
      </c>
      <c r="H125">
        <v>0</v>
      </c>
      <c r="I125">
        <f ca="1">INT(Q125*'[1]0、经济设定'!$C$19/10)*F125</f>
        <v>144000</v>
      </c>
      <c r="J125">
        <f t="shared" si="27"/>
        <v>70120</v>
      </c>
      <c r="K125" t="str">
        <f>IFERROR(VLOOKUP(L125,D_装备基础数据!$A$2:$B$212,2,FALSE),"")</f>
        <v>幻痛霸刀</v>
      </c>
      <c r="L125" t="str">
        <f>IFERROR(IF(J125=0,0,VLOOKUP(J125,CHOOSE({1,2},D_装备基础数据!$AN$2:$AN$212,D_装备基础数据!$A$2:$A$212),2,FALSE)),0)</f>
        <v>10221</v>
      </c>
      <c r="M125">
        <v>1</v>
      </c>
      <c r="N125" t="str">
        <f t="shared" si="25"/>
        <v>稀有装备升级石</v>
      </c>
      <c r="O125">
        <f t="shared" si="26"/>
        <v>85300</v>
      </c>
      <c r="P125">
        <f t="shared" ca="1" si="23"/>
        <v>48</v>
      </c>
      <c r="Q125">
        <f ca="1">D_装备基础数据!AR125</f>
        <v>1440</v>
      </c>
      <c r="U125" s="22"/>
      <c r="V125" s="22"/>
    </row>
    <row r="126" spans="1:22" x14ac:dyDescent="0.15">
      <c r="A126">
        <f t="shared" si="24"/>
        <v>60220</v>
      </c>
      <c r="B126" s="14">
        <f>D_装备基础数据!C126</f>
        <v>17</v>
      </c>
      <c r="C126" s="14">
        <f>D_装备基础数据!D126</f>
        <v>2</v>
      </c>
      <c r="D126" s="14" t="str">
        <f>D_装备基础数据!E126</f>
        <v>武器</v>
      </c>
      <c r="E126" s="14">
        <f>D_装备基础数据!F126</f>
        <v>0</v>
      </c>
      <c r="F126" s="14">
        <f>D_装备基础数据!I126</f>
        <v>2</v>
      </c>
      <c r="G126">
        <f>D_装备基础数据!G126</f>
        <v>60</v>
      </c>
      <c r="H126">
        <v>0</v>
      </c>
      <c r="I126">
        <f ca="1">INT(Q126*'[1]0、经济设定'!$C$19/10)*F126</f>
        <v>144000</v>
      </c>
      <c r="J126">
        <f t="shared" si="27"/>
        <v>70220</v>
      </c>
      <c r="K126" t="str">
        <f>IFERROR(VLOOKUP(L126,D_装备基础数据!$A$2:$B$212,2,FALSE),"")</f>
        <v>幻痛之拳</v>
      </c>
      <c r="L126" t="str">
        <f>IFERROR(IF(J126=0,0,VLOOKUP(J126,CHOOSE({1,2},D_装备基础数据!$AN$2:$AN$212,D_装备基础数据!$A$2:$A$212),2,FALSE)),0)</f>
        <v>20221</v>
      </c>
      <c r="M126">
        <v>1</v>
      </c>
      <c r="N126" t="str">
        <f t="shared" si="25"/>
        <v>稀有装备升级石</v>
      </c>
      <c r="O126">
        <f t="shared" si="26"/>
        <v>85300</v>
      </c>
      <c r="P126">
        <f t="shared" ca="1" si="23"/>
        <v>48</v>
      </c>
      <c r="Q126">
        <f ca="1">D_装备基础数据!AR126</f>
        <v>1440</v>
      </c>
      <c r="U126" s="22"/>
      <c r="V126" s="22"/>
    </row>
    <row r="127" spans="1:22" x14ac:dyDescent="0.15">
      <c r="A127">
        <f t="shared" si="24"/>
        <v>60320</v>
      </c>
      <c r="B127" s="14">
        <f>D_装备基础数据!C127</f>
        <v>17</v>
      </c>
      <c r="C127" s="14">
        <f>D_装备基础数据!D127</f>
        <v>3</v>
      </c>
      <c r="D127" s="14" t="str">
        <f>D_装备基础数据!E127</f>
        <v>武器</v>
      </c>
      <c r="E127" s="14">
        <f>D_装备基础数据!F127</f>
        <v>0</v>
      </c>
      <c r="F127" s="14">
        <f>D_装备基础数据!I127</f>
        <v>2</v>
      </c>
      <c r="G127">
        <f>D_装备基础数据!G127</f>
        <v>60</v>
      </c>
      <c r="H127">
        <v>0</v>
      </c>
      <c r="I127">
        <f ca="1">INT(Q127*'[1]0、经济设定'!$C$19/10)*F127</f>
        <v>144000</v>
      </c>
      <c r="J127">
        <f t="shared" si="27"/>
        <v>70320</v>
      </c>
      <c r="K127" t="str">
        <f>IFERROR(VLOOKUP(L127,D_装备基础数据!$A$2:$B$212,2,FALSE),"")</f>
        <v>幻痛之枪</v>
      </c>
      <c r="L127" t="str">
        <f>IFERROR(IF(J127=0,0,VLOOKUP(J127,CHOOSE({1,2},D_装备基础数据!$AN$2:$AN$212,D_装备基础数据!$A$2:$A$212),2,FALSE)),0)</f>
        <v>30221</v>
      </c>
      <c r="M127">
        <v>1</v>
      </c>
      <c r="N127" t="str">
        <f t="shared" si="25"/>
        <v>稀有装备升级石</v>
      </c>
      <c r="O127">
        <f t="shared" si="26"/>
        <v>85300</v>
      </c>
      <c r="P127">
        <f t="shared" ca="1" si="23"/>
        <v>48</v>
      </c>
      <c r="Q127">
        <f ca="1">D_装备基础数据!AR127</f>
        <v>1440</v>
      </c>
      <c r="U127" s="22"/>
      <c r="V127" s="22"/>
    </row>
    <row r="128" spans="1:22" x14ac:dyDescent="0.15">
      <c r="A128">
        <f t="shared" si="24"/>
        <v>60021</v>
      </c>
      <c r="B128" s="14">
        <f>D_装备基础数据!C128</f>
        <v>17</v>
      </c>
      <c r="C128" s="14">
        <f>D_装备基础数据!D128</f>
        <v>0</v>
      </c>
      <c r="D128" s="14" t="str">
        <f>D_装备基础数据!E128</f>
        <v>衣服</v>
      </c>
      <c r="E128" s="14">
        <f>D_装备基础数据!F128</f>
        <v>1</v>
      </c>
      <c r="F128" s="14">
        <f>D_装备基础数据!I128</f>
        <v>2</v>
      </c>
      <c r="G128">
        <f>D_装备基础数据!G128</f>
        <v>60</v>
      </c>
      <c r="H128">
        <v>0</v>
      </c>
      <c r="I128">
        <f ca="1">INT(Q128*'[1]0、经济设定'!$C$19/10)*F128</f>
        <v>122038</v>
      </c>
      <c r="J128">
        <f t="shared" si="27"/>
        <v>70021</v>
      </c>
      <c r="K128" t="str">
        <f>IFERROR(VLOOKUP(L128,D_装备基础数据!$A$2:$B$212,2,FALSE),"")</f>
        <v>幻痛战衣</v>
      </c>
      <c r="L128" t="str">
        <f>IFERROR(IF(J128=0,0,VLOOKUP(J128,CHOOSE({1,2},D_装备基础数据!$AN$2:$AN$212,D_装备基础数据!$A$2:$A$212),2,FALSE)),0)</f>
        <v>51221</v>
      </c>
      <c r="M128">
        <v>1</v>
      </c>
      <c r="N128" t="str">
        <f t="shared" si="25"/>
        <v>稀有装备升级石</v>
      </c>
      <c r="O128">
        <f t="shared" si="26"/>
        <v>85300</v>
      </c>
      <c r="P128">
        <f t="shared" ca="1" si="23"/>
        <v>41</v>
      </c>
      <c r="Q128">
        <f ca="1">D_装备基础数据!AR128</f>
        <v>1220.3940664013714</v>
      </c>
      <c r="U128" s="22"/>
      <c r="V128" s="22"/>
    </row>
    <row r="129" spans="1:17" x14ac:dyDescent="0.15">
      <c r="A129">
        <f t="shared" si="24"/>
        <v>60022</v>
      </c>
      <c r="B129" s="14">
        <f>D_装备基础数据!C129</f>
        <v>17</v>
      </c>
      <c r="C129" s="14">
        <f>D_装备基础数据!D129</f>
        <v>0</v>
      </c>
      <c r="D129" s="14" t="str">
        <f>D_装备基础数据!E129</f>
        <v>裤子</v>
      </c>
      <c r="E129" s="14">
        <f>D_装备基础数据!F129</f>
        <v>2</v>
      </c>
      <c r="F129" s="14">
        <f>D_装备基础数据!I129</f>
        <v>2</v>
      </c>
      <c r="G129">
        <f>D_装备基础数据!G129</f>
        <v>60</v>
      </c>
      <c r="H129">
        <v>0</v>
      </c>
      <c r="I129">
        <f ca="1">INT(Q129*'[1]0、经济设定'!$C$19/10)*F129</f>
        <v>46328</v>
      </c>
      <c r="J129">
        <f t="shared" si="27"/>
        <v>70022</v>
      </c>
      <c r="K129" t="str">
        <f>IFERROR(VLOOKUP(L129,D_装备基础数据!$A$2:$B$212,2,FALSE),"")</f>
        <v>幻痛长裤</v>
      </c>
      <c r="L129" t="str">
        <f>IFERROR(IF(J129=0,0,VLOOKUP(J129,CHOOSE({1,2},D_装备基础数据!$AN$2:$AN$212,D_装备基础数据!$A$2:$A$212),2,FALSE)),0)</f>
        <v>52221</v>
      </c>
      <c r="M129">
        <v>1</v>
      </c>
      <c r="N129" t="str">
        <f t="shared" si="25"/>
        <v>稀有装备升级石</v>
      </c>
      <c r="O129">
        <f t="shared" si="26"/>
        <v>85300</v>
      </c>
      <c r="P129">
        <f t="shared" ca="1" si="23"/>
        <v>16</v>
      </c>
      <c r="Q129">
        <f ca="1">D_装备基础数据!AR129</f>
        <v>463.2807941864412</v>
      </c>
    </row>
    <row r="130" spans="1:17" x14ac:dyDescent="0.15">
      <c r="A130">
        <f t="shared" si="24"/>
        <v>60025</v>
      </c>
      <c r="B130" s="14">
        <f>D_装备基础数据!C130</f>
        <v>17</v>
      </c>
      <c r="C130" s="14">
        <f>D_装备基础数据!D130</f>
        <v>0</v>
      </c>
      <c r="D130" s="14" t="str">
        <f>D_装备基础数据!E130</f>
        <v>鞋子</v>
      </c>
      <c r="E130" s="14">
        <f>D_装备基础数据!F130</f>
        <v>5</v>
      </c>
      <c r="F130" s="14">
        <f>D_装备基础数据!I130</f>
        <v>2</v>
      </c>
      <c r="G130">
        <f>D_装备基础数据!G130</f>
        <v>60</v>
      </c>
      <c r="H130">
        <v>0</v>
      </c>
      <c r="I130">
        <f ca="1">INT(Q130*'[1]0、经济设定'!$C$19/10)*F130</f>
        <v>58690</v>
      </c>
      <c r="J130">
        <f t="shared" si="27"/>
        <v>70025</v>
      </c>
      <c r="K130" t="str">
        <f>IFERROR(VLOOKUP(L130,D_装备基础数据!$A$2:$B$212,2,FALSE),"")</f>
        <v>幻痛长靴</v>
      </c>
      <c r="L130" t="str">
        <f>IFERROR(IF(J130=0,0,VLOOKUP(J130,CHOOSE({1,2},D_装备基础数据!$AN$2:$AN$212,D_装备基础数据!$A$2:$A$212),2,FALSE)),0)</f>
        <v>55221</v>
      </c>
      <c r="M130">
        <v>1</v>
      </c>
      <c r="N130" t="str">
        <f t="shared" si="25"/>
        <v>稀有装备升级石</v>
      </c>
      <c r="O130">
        <f t="shared" si="26"/>
        <v>85300</v>
      </c>
      <c r="P130">
        <f t="shared" ca="1" si="23"/>
        <v>20</v>
      </c>
      <c r="Q130">
        <f ca="1">D_装备基础数据!AR130</f>
        <v>586.91266649662725</v>
      </c>
    </row>
    <row r="131" spans="1:17" x14ac:dyDescent="0.15">
      <c r="A131">
        <f t="shared" si="24"/>
        <v>60024</v>
      </c>
      <c r="B131" s="14">
        <f>D_装备基础数据!C131</f>
        <v>17</v>
      </c>
      <c r="C131" s="14">
        <f>D_装备基础数据!D131</f>
        <v>0</v>
      </c>
      <c r="D131" s="14" t="str">
        <f>D_装备基础数据!E131</f>
        <v>腰带</v>
      </c>
      <c r="E131" s="14">
        <f>D_装备基础数据!F131</f>
        <v>4</v>
      </c>
      <c r="F131" s="14">
        <f>D_装备基础数据!I131</f>
        <v>2</v>
      </c>
      <c r="G131">
        <f>D_装备基础数据!G131</f>
        <v>60</v>
      </c>
      <c r="H131">
        <v>0</v>
      </c>
      <c r="I131">
        <f ca="1">INT(Q131*'[1]0、经济设定'!$C$19/10)*F131</f>
        <v>52196</v>
      </c>
      <c r="J131">
        <f t="shared" si="27"/>
        <v>70024</v>
      </c>
      <c r="K131" t="str">
        <f>IFERROR(VLOOKUP(L131,D_装备基础数据!$A$2:$B$212,2,FALSE),"")</f>
        <v>幻痛腰带</v>
      </c>
      <c r="L131" t="str">
        <f>IFERROR(IF(J131=0,0,VLOOKUP(J131,CHOOSE({1,2},D_装备基础数据!$AN$2:$AN$212,D_装备基础数据!$A$2:$A$212),2,FALSE)),0)</f>
        <v>54221</v>
      </c>
      <c r="M131">
        <v>1</v>
      </c>
      <c r="N131" t="str">
        <f t="shared" si="25"/>
        <v>稀有装备升级石</v>
      </c>
      <c r="O131">
        <f t="shared" si="26"/>
        <v>85300</v>
      </c>
      <c r="P131">
        <f t="shared" ca="1" si="23"/>
        <v>18</v>
      </c>
      <c r="Q131">
        <f ca="1">D_装备基础数据!AR131</f>
        <v>521.97078576424985</v>
      </c>
    </row>
    <row r="132" spans="1:17" x14ac:dyDescent="0.15">
      <c r="A132">
        <f t="shared" si="24"/>
        <v>60023</v>
      </c>
      <c r="B132" s="14">
        <f>D_装备基础数据!C132</f>
        <v>17</v>
      </c>
      <c r="C132" s="14">
        <f>D_装备基础数据!D132</f>
        <v>0</v>
      </c>
      <c r="D132" s="14" t="str">
        <f>D_装备基础数据!E132</f>
        <v>项链</v>
      </c>
      <c r="E132" s="14">
        <f>D_装备基础数据!F132</f>
        <v>3</v>
      </c>
      <c r="F132" s="14">
        <f>D_装备基础数据!I132</f>
        <v>2</v>
      </c>
      <c r="G132">
        <f>D_装备基础数据!G132</f>
        <v>60</v>
      </c>
      <c r="H132">
        <v>0</v>
      </c>
      <c r="I132">
        <f ca="1">INT(Q132*'[1]0、经济设定'!$C$19/10)*F132</f>
        <v>85570</v>
      </c>
      <c r="J132">
        <f t="shared" si="27"/>
        <v>70023</v>
      </c>
      <c r="K132" t="str">
        <f>IFERROR(VLOOKUP(L132,D_装备基础数据!$A$2:$B$212,2,FALSE),"")</f>
        <v>幻痛项链</v>
      </c>
      <c r="L132" t="str">
        <f>IFERROR(IF(J132=0,0,VLOOKUP(J132,CHOOSE({1,2},D_装备基础数据!$AN$2:$AN$212,D_装备基础数据!$A$2:$A$212),2,FALSE)),0)</f>
        <v>53221</v>
      </c>
      <c r="M132">
        <v>1</v>
      </c>
      <c r="N132" t="str">
        <f t="shared" si="25"/>
        <v>稀有装备升级石</v>
      </c>
      <c r="O132">
        <f t="shared" si="26"/>
        <v>85300</v>
      </c>
      <c r="P132">
        <f t="shared" ca="1" si="23"/>
        <v>29</v>
      </c>
      <c r="Q132">
        <f ca="1">D_装备基础数据!AR132</f>
        <v>855.71005328058141</v>
      </c>
    </row>
    <row r="133" spans="1:17" x14ac:dyDescent="0.15">
      <c r="A133">
        <f t="shared" si="24"/>
        <v>60130</v>
      </c>
      <c r="B133" s="14">
        <f>D_装备基础数据!C133</f>
        <v>18</v>
      </c>
      <c r="C133" s="14">
        <f>D_装备基础数据!D133</f>
        <v>1</v>
      </c>
      <c r="D133" s="14" t="str">
        <f>D_装备基础数据!E133</f>
        <v>武器</v>
      </c>
      <c r="E133" s="14">
        <f>D_装备基础数据!F133</f>
        <v>0</v>
      </c>
      <c r="F133" s="14">
        <f>D_装备基础数据!I133</f>
        <v>3</v>
      </c>
      <c r="G133">
        <f>D_装备基础数据!G133</f>
        <v>60</v>
      </c>
      <c r="H133">
        <v>0</v>
      </c>
      <c r="I133">
        <f ca="1">INT(Q133*'[1]0、经济设定'!$C$19/10)*F133</f>
        <v>540000</v>
      </c>
      <c r="J133">
        <f t="shared" si="27"/>
        <v>70130</v>
      </c>
      <c r="K133" t="str">
        <f>IFERROR(VLOOKUP(L133,D_装备基础数据!$A$2:$B$212,2,FALSE),"")</f>
        <v>焚天之剑</v>
      </c>
      <c r="L133" t="str">
        <f>IFERROR(IF(J133=0,0,VLOOKUP(J133,CHOOSE({1,2},D_装备基础数据!$AN$2:$AN$212,D_装备基础数据!$A$2:$A$212),2,FALSE)),0)</f>
        <v>10322</v>
      </c>
      <c r="M133">
        <v>1</v>
      </c>
      <c r="N133" t="str">
        <f t="shared" si="25"/>
        <v>史诗装备升级石</v>
      </c>
      <c r="O133">
        <f t="shared" si="26"/>
        <v>85400</v>
      </c>
      <c r="P133">
        <f t="shared" ca="1" si="23"/>
        <v>45</v>
      </c>
      <c r="Q133">
        <f ca="1">D_装备基础数据!AR133</f>
        <v>3599.9999999999995</v>
      </c>
    </row>
    <row r="134" spans="1:17" x14ac:dyDescent="0.15">
      <c r="A134">
        <f t="shared" si="24"/>
        <v>60230</v>
      </c>
      <c r="B134" s="14">
        <f>D_装备基础数据!C134</f>
        <v>18</v>
      </c>
      <c r="C134" s="14">
        <f>D_装备基础数据!D134</f>
        <v>2</v>
      </c>
      <c r="D134" s="14" t="str">
        <f>D_装备基础数据!E134</f>
        <v>武器</v>
      </c>
      <c r="E134" s="14">
        <f>D_装备基础数据!F134</f>
        <v>0</v>
      </c>
      <c r="F134" s="14">
        <f>D_装备基础数据!I134</f>
        <v>3</v>
      </c>
      <c r="G134">
        <f>D_装备基础数据!G134</f>
        <v>60</v>
      </c>
      <c r="H134">
        <v>0</v>
      </c>
      <c r="I134">
        <f ca="1">INT(Q134*'[1]0、经济设定'!$C$19/10)*F134</f>
        <v>540000</v>
      </c>
      <c r="J134">
        <f t="shared" si="27"/>
        <v>70230</v>
      </c>
      <c r="K134" t="str">
        <f>IFERROR(VLOOKUP(L134,D_装备基础数据!$A$2:$B$212,2,FALSE),"")</f>
        <v>焚天之拳</v>
      </c>
      <c r="L134" t="str">
        <f>IFERROR(IF(J134=0,0,VLOOKUP(J134,CHOOSE({1,2},D_装备基础数据!$AN$2:$AN$212,D_装备基础数据!$A$2:$A$212),2,FALSE)),0)</f>
        <v>20322</v>
      </c>
      <c r="M134">
        <v>1</v>
      </c>
      <c r="N134" t="str">
        <f t="shared" si="25"/>
        <v>史诗装备升级石</v>
      </c>
      <c r="O134">
        <f t="shared" si="26"/>
        <v>85400</v>
      </c>
      <c r="P134">
        <f t="shared" ca="1" si="23"/>
        <v>45</v>
      </c>
      <c r="Q134">
        <f ca="1">D_装备基础数据!AR134</f>
        <v>3599.9999999999995</v>
      </c>
    </row>
    <row r="135" spans="1:17" x14ac:dyDescent="0.15">
      <c r="A135">
        <f t="shared" si="24"/>
        <v>60330</v>
      </c>
      <c r="B135" s="14">
        <f>D_装备基础数据!C135</f>
        <v>18</v>
      </c>
      <c r="C135" s="14">
        <f>D_装备基础数据!D135</f>
        <v>3</v>
      </c>
      <c r="D135" s="14" t="str">
        <f>D_装备基础数据!E135</f>
        <v>武器</v>
      </c>
      <c r="E135" s="14">
        <f>D_装备基础数据!F135</f>
        <v>0</v>
      </c>
      <c r="F135" s="14">
        <f>D_装备基础数据!I135</f>
        <v>3</v>
      </c>
      <c r="G135">
        <f>D_装备基础数据!G135</f>
        <v>60</v>
      </c>
      <c r="H135">
        <v>0</v>
      </c>
      <c r="I135">
        <f ca="1">INT(Q135*'[1]0、经济设定'!$C$19/10)*F135</f>
        <v>540000</v>
      </c>
      <c r="J135">
        <f t="shared" si="27"/>
        <v>70330</v>
      </c>
      <c r="K135" t="str">
        <f>IFERROR(VLOOKUP(L135,D_装备基础数据!$A$2:$B$212,2,FALSE),"")</f>
        <v>焚天之枪</v>
      </c>
      <c r="L135" t="str">
        <f>IFERROR(IF(J135=0,0,VLOOKUP(J135,CHOOSE({1,2},D_装备基础数据!$AN$2:$AN$212,D_装备基础数据!$A$2:$A$212),2,FALSE)),0)</f>
        <v>30322</v>
      </c>
      <c r="M135">
        <v>1</v>
      </c>
      <c r="N135" t="str">
        <f t="shared" si="25"/>
        <v>史诗装备升级石</v>
      </c>
      <c r="O135">
        <f t="shared" si="26"/>
        <v>85400</v>
      </c>
      <c r="P135">
        <f t="shared" ca="1" si="23"/>
        <v>45</v>
      </c>
      <c r="Q135">
        <f ca="1">D_装备基础数据!AR135</f>
        <v>3599.9999999999995</v>
      </c>
    </row>
    <row r="136" spans="1:17" x14ac:dyDescent="0.15">
      <c r="A136">
        <f t="shared" si="24"/>
        <v>60031</v>
      </c>
      <c r="B136" s="14">
        <f>D_装备基础数据!C136</f>
        <v>18</v>
      </c>
      <c r="C136" s="14">
        <f>D_装备基础数据!D136</f>
        <v>0</v>
      </c>
      <c r="D136" s="14" t="str">
        <f>D_装备基础数据!E136</f>
        <v>衣服</v>
      </c>
      <c r="E136" s="14">
        <f>D_装备基础数据!F136</f>
        <v>1</v>
      </c>
      <c r="F136" s="14">
        <f>D_装备基础数据!I136</f>
        <v>3</v>
      </c>
      <c r="G136">
        <f>D_装备基础数据!G136</f>
        <v>60</v>
      </c>
      <c r="H136">
        <v>0</v>
      </c>
      <c r="I136">
        <f ca="1">INT(Q136*'[1]0、经济设定'!$C$19/10)*F136</f>
        <v>449376</v>
      </c>
      <c r="J136">
        <f t="shared" si="27"/>
        <v>70031</v>
      </c>
      <c r="K136" t="str">
        <f>IFERROR(VLOOKUP(L136,D_装备基础数据!$A$2:$B$212,2,FALSE),"")</f>
        <v>焚天战衣</v>
      </c>
      <c r="L136" t="str">
        <f>IFERROR(IF(J136=0,0,VLOOKUP(J136,CHOOSE({1,2},D_装备基础数据!$AN$2:$AN$212,D_装备基础数据!$A$2:$A$212),2,FALSE)),0)</f>
        <v>51322</v>
      </c>
      <c r="M136">
        <v>1</v>
      </c>
      <c r="N136" t="str">
        <f t="shared" si="25"/>
        <v>史诗装备升级石</v>
      </c>
      <c r="O136">
        <f t="shared" si="26"/>
        <v>85400</v>
      </c>
      <c r="P136">
        <f t="shared" ca="1" si="23"/>
        <v>38</v>
      </c>
      <c r="Q136">
        <f ca="1">D_装备基础数据!AR136</f>
        <v>2995.8419806499032</v>
      </c>
    </row>
    <row r="137" spans="1:17" x14ac:dyDescent="0.15">
      <c r="A137">
        <f t="shared" si="24"/>
        <v>60032</v>
      </c>
      <c r="B137" s="14">
        <f>D_装备基础数据!C137</f>
        <v>18</v>
      </c>
      <c r="C137" s="14">
        <f>D_装备基础数据!D137</f>
        <v>0</v>
      </c>
      <c r="D137" s="14" t="str">
        <f>D_装备基础数据!E137</f>
        <v>裤子</v>
      </c>
      <c r="E137" s="14">
        <f>D_装备基础数据!F137</f>
        <v>2</v>
      </c>
      <c r="F137" s="14">
        <f>D_装备基础数据!I137</f>
        <v>3</v>
      </c>
      <c r="G137">
        <f>D_装备基础数据!G137</f>
        <v>60</v>
      </c>
      <c r="H137">
        <v>0</v>
      </c>
      <c r="I137">
        <f ca="1">INT(Q137*'[1]0、经济设定'!$C$19/10)*F137</f>
        <v>175839</v>
      </c>
      <c r="J137">
        <f t="shared" si="27"/>
        <v>70032</v>
      </c>
      <c r="K137" t="str">
        <f>IFERROR(VLOOKUP(L137,D_装备基础数据!$A$2:$B$212,2,FALSE),"")</f>
        <v>焚天长裤</v>
      </c>
      <c r="L137" t="str">
        <f>IFERROR(IF(J137=0,0,VLOOKUP(J137,CHOOSE({1,2},D_装备基础数据!$AN$2:$AN$212,D_装备基础数据!$A$2:$A$212),2,FALSE)),0)</f>
        <v>52322</v>
      </c>
      <c r="M137">
        <v>1</v>
      </c>
      <c r="N137" t="str">
        <f t="shared" si="25"/>
        <v>史诗装备升级石</v>
      </c>
      <c r="O137">
        <f t="shared" si="26"/>
        <v>85400</v>
      </c>
      <c r="P137">
        <f t="shared" ca="1" si="23"/>
        <v>15</v>
      </c>
      <c r="Q137">
        <f ca="1">D_装备基础数据!AR137</f>
        <v>1172.2720863360523</v>
      </c>
    </row>
    <row r="138" spans="1:17" x14ac:dyDescent="0.15">
      <c r="A138">
        <f t="shared" si="24"/>
        <v>60035</v>
      </c>
      <c r="B138" s="14">
        <f>D_装备基础数据!C138</f>
        <v>18</v>
      </c>
      <c r="C138" s="14">
        <f>D_装备基础数据!D138</f>
        <v>0</v>
      </c>
      <c r="D138" s="14" t="str">
        <f>D_装备基础数据!E138</f>
        <v>鞋子</v>
      </c>
      <c r="E138" s="14">
        <f>D_装备基础数据!F138</f>
        <v>5</v>
      </c>
      <c r="F138" s="14">
        <f>D_装备基础数据!I138</f>
        <v>3</v>
      </c>
      <c r="G138">
        <f>D_装备基础数据!G138</f>
        <v>60</v>
      </c>
      <c r="H138">
        <v>0</v>
      </c>
      <c r="I138">
        <f ca="1">INT(Q138*'[1]0、经济设定'!$C$19/10)*F138</f>
        <v>221538</v>
      </c>
      <c r="J138">
        <f t="shared" si="27"/>
        <v>70035</v>
      </c>
      <c r="K138" t="str">
        <f>IFERROR(VLOOKUP(L138,D_装备基础数据!$A$2:$B$212,2,FALSE),"")</f>
        <v>焚天长靴</v>
      </c>
      <c r="L138" t="str">
        <f>IFERROR(IF(J138=0,0,VLOOKUP(J138,CHOOSE({1,2},D_装备基础数据!$AN$2:$AN$212,D_装备基础数据!$A$2:$A$212),2,FALSE)),0)</f>
        <v>55322</v>
      </c>
      <c r="M138">
        <v>1</v>
      </c>
      <c r="N138" t="str">
        <f t="shared" si="25"/>
        <v>史诗装备升级石</v>
      </c>
      <c r="O138">
        <f t="shared" si="26"/>
        <v>85400</v>
      </c>
      <c r="P138">
        <f t="shared" ca="1" si="23"/>
        <v>19</v>
      </c>
      <c r="Q138">
        <f ca="1">D_装备基础数据!AR138</f>
        <v>1476.9380941309037</v>
      </c>
    </row>
    <row r="139" spans="1:17" x14ac:dyDescent="0.15">
      <c r="A139">
        <f t="shared" si="24"/>
        <v>60034</v>
      </c>
      <c r="B139" s="14">
        <f>D_装备基础数据!C139</f>
        <v>18</v>
      </c>
      <c r="C139" s="14">
        <f>D_装备基础数据!D139</f>
        <v>0</v>
      </c>
      <c r="D139" s="14" t="str">
        <f>D_装备基础数据!E139</f>
        <v>腰带</v>
      </c>
      <c r="E139" s="14">
        <f>D_装备基础数据!F139</f>
        <v>4</v>
      </c>
      <c r="F139" s="14">
        <f>D_装备基础数据!I139</f>
        <v>3</v>
      </c>
      <c r="G139">
        <f>D_装备基础数据!G139</f>
        <v>60</v>
      </c>
      <c r="H139">
        <v>0</v>
      </c>
      <c r="I139">
        <f ca="1">INT(Q139*'[1]0、经济设定'!$C$19/10)*F139</f>
        <v>215745</v>
      </c>
      <c r="J139">
        <f t="shared" si="27"/>
        <v>70034</v>
      </c>
      <c r="K139" t="str">
        <f>IFERROR(VLOOKUP(L139,D_装备基础数据!$A$2:$B$212,2,FALSE),"")</f>
        <v>焚天腰带</v>
      </c>
      <c r="L139" t="str">
        <f>IFERROR(IF(J139=0,0,VLOOKUP(J139,CHOOSE({1,2},D_装备基础数据!$AN$2:$AN$212,D_装备基础数据!$A$2:$A$212),2,FALSE)),0)</f>
        <v>54322</v>
      </c>
      <c r="M139">
        <v>1</v>
      </c>
      <c r="N139" t="str">
        <f t="shared" si="25"/>
        <v>史诗装备升级石</v>
      </c>
      <c r="O139">
        <f t="shared" si="26"/>
        <v>85400</v>
      </c>
      <c r="P139">
        <f t="shared" ca="1" si="23"/>
        <v>18</v>
      </c>
      <c r="Q139">
        <f ca="1">D_装备基础数据!AR139</f>
        <v>1438.3198358823502</v>
      </c>
    </row>
    <row r="140" spans="1:17" x14ac:dyDescent="0.15">
      <c r="A140">
        <f t="shared" si="24"/>
        <v>60033</v>
      </c>
      <c r="B140" s="14">
        <f>D_装备基础数据!C140</f>
        <v>18</v>
      </c>
      <c r="C140" s="14">
        <f>D_装备基础数据!D140</f>
        <v>0</v>
      </c>
      <c r="D140" s="14" t="str">
        <f>D_装备基础数据!E140</f>
        <v>项链</v>
      </c>
      <c r="E140" s="14">
        <f>D_装备基础数据!F140</f>
        <v>3</v>
      </c>
      <c r="F140" s="14">
        <f>D_装备基础数据!I140</f>
        <v>3</v>
      </c>
      <c r="G140">
        <f>D_装备基础数据!G140</f>
        <v>60</v>
      </c>
      <c r="H140">
        <v>0</v>
      </c>
      <c r="I140">
        <f ca="1">INT(Q140*'[1]0、经济设定'!$C$19/10)*F140</f>
        <v>313869</v>
      </c>
      <c r="J140">
        <f t="shared" si="27"/>
        <v>70033</v>
      </c>
      <c r="K140" t="str">
        <f>IFERROR(VLOOKUP(L140,D_装备基础数据!$A$2:$B$212,2,FALSE),"")</f>
        <v>焚天项链</v>
      </c>
      <c r="L140" t="str">
        <f>IFERROR(IF(J140=0,0,VLOOKUP(J140,CHOOSE({1,2},D_装备基础数据!$AN$2:$AN$212,D_装备基础数据!$A$2:$A$212),2,FALSE)),0)</f>
        <v>53322</v>
      </c>
      <c r="M140">
        <v>1</v>
      </c>
      <c r="N140" t="str">
        <f t="shared" si="25"/>
        <v>史诗装备升级石</v>
      </c>
      <c r="O140">
        <f t="shared" si="26"/>
        <v>85400</v>
      </c>
      <c r="P140">
        <f t="shared" ca="1" si="23"/>
        <v>27</v>
      </c>
      <c r="Q140">
        <f ca="1">D_装备基础数据!AR140</f>
        <v>2092.4697319940528</v>
      </c>
    </row>
    <row r="141" spans="1:17" x14ac:dyDescent="0.15">
      <c r="A141">
        <f t="shared" si="24"/>
        <v>60140</v>
      </c>
      <c r="B141" s="14">
        <f>D_装备基础数据!C141</f>
        <v>19</v>
      </c>
      <c r="C141" s="14">
        <f>D_装备基础数据!D141</f>
        <v>1</v>
      </c>
      <c r="D141" s="14" t="str">
        <f>D_装备基础数据!E141</f>
        <v>武器</v>
      </c>
      <c r="E141" s="14">
        <f>D_装备基础数据!F141</f>
        <v>0</v>
      </c>
      <c r="F141" s="14">
        <f>D_装备基础数据!I141</f>
        <v>4</v>
      </c>
      <c r="G141">
        <f>D_装备基础数据!G141</f>
        <v>60</v>
      </c>
      <c r="H141">
        <v>0</v>
      </c>
      <c r="I141">
        <f ca="1">INT(Q141*'[1]0、经济设定'!$C$19/10)*F141</f>
        <v>1200000</v>
      </c>
      <c r="J141">
        <f t="shared" si="27"/>
        <v>70140</v>
      </c>
      <c r="K141" t="str">
        <f>IFERROR(VLOOKUP(L141,D_装备基础数据!$A$2:$B$212,2,FALSE),"")</f>
        <v>朱雀霸刀</v>
      </c>
      <c r="L141" t="str">
        <f>IFERROR(IF(J141=0,0,VLOOKUP(J141,CHOOSE({1,2},D_装备基础数据!$AN$2:$AN$212,D_装备基础数据!$A$2:$A$212),2,FALSE)),0)</f>
        <v>10423</v>
      </c>
      <c r="M141">
        <v>1</v>
      </c>
      <c r="N141" t="str">
        <f t="shared" si="25"/>
        <v>传说装备升级石</v>
      </c>
      <c r="O141">
        <f t="shared" si="26"/>
        <v>85500</v>
      </c>
      <c r="P141">
        <f t="shared" ca="1" si="23"/>
        <v>60</v>
      </c>
      <c r="Q141">
        <f ca="1">D_装备基础数据!AR141</f>
        <v>6000</v>
      </c>
    </row>
    <row r="142" spans="1:17" x14ac:dyDescent="0.15">
      <c r="A142">
        <f t="shared" si="24"/>
        <v>60240</v>
      </c>
      <c r="B142" s="14">
        <f>D_装备基础数据!C142</f>
        <v>19</v>
      </c>
      <c r="C142" s="14">
        <f>D_装备基础数据!D142</f>
        <v>2</v>
      </c>
      <c r="D142" s="14" t="str">
        <f>D_装备基础数据!E142</f>
        <v>武器</v>
      </c>
      <c r="E142" s="14">
        <f>D_装备基础数据!F142</f>
        <v>0</v>
      </c>
      <c r="F142" s="14">
        <f>D_装备基础数据!I142</f>
        <v>4</v>
      </c>
      <c r="G142">
        <f>D_装备基础数据!G142</f>
        <v>60</v>
      </c>
      <c r="H142">
        <v>0</v>
      </c>
      <c r="I142">
        <f ca="1">INT(Q142*'[1]0、经济设定'!$C$19/10)*F142</f>
        <v>1200000</v>
      </c>
      <c r="J142">
        <f t="shared" si="27"/>
        <v>70240</v>
      </c>
      <c r="K142" t="str">
        <f>IFERROR(VLOOKUP(L142,D_装备基础数据!$A$2:$B$212,2,FALSE),"")</f>
        <v>朱雀之拳</v>
      </c>
      <c r="L142" t="str">
        <f>IFERROR(IF(J142=0,0,VLOOKUP(J142,CHOOSE({1,2},D_装备基础数据!$AN$2:$AN$212,D_装备基础数据!$A$2:$A$212),2,FALSE)),0)</f>
        <v>20423</v>
      </c>
      <c r="M142">
        <v>1</v>
      </c>
      <c r="N142" t="str">
        <f t="shared" si="25"/>
        <v>传说装备升级石</v>
      </c>
      <c r="O142">
        <f t="shared" si="26"/>
        <v>85500</v>
      </c>
      <c r="P142">
        <f t="shared" ca="1" si="23"/>
        <v>60</v>
      </c>
      <c r="Q142">
        <f ca="1">D_装备基础数据!AR142</f>
        <v>6000</v>
      </c>
    </row>
    <row r="143" spans="1:17" x14ac:dyDescent="0.15">
      <c r="A143">
        <f t="shared" si="24"/>
        <v>60340</v>
      </c>
      <c r="B143" s="14">
        <f>D_装备基础数据!C143</f>
        <v>19</v>
      </c>
      <c r="C143" s="14">
        <f>D_装备基础数据!D143</f>
        <v>3</v>
      </c>
      <c r="D143" s="14" t="str">
        <f>D_装备基础数据!E143</f>
        <v>武器</v>
      </c>
      <c r="E143" s="14">
        <f>D_装备基础数据!F143</f>
        <v>0</v>
      </c>
      <c r="F143" s="14">
        <f>D_装备基础数据!I143</f>
        <v>4</v>
      </c>
      <c r="G143">
        <f>D_装备基础数据!G143</f>
        <v>60</v>
      </c>
      <c r="H143">
        <v>0</v>
      </c>
      <c r="I143">
        <f ca="1">INT(Q143*'[1]0、经济设定'!$C$19/10)*F143</f>
        <v>1200000</v>
      </c>
      <c r="J143">
        <f t="shared" si="27"/>
        <v>70340</v>
      </c>
      <c r="K143" t="str">
        <f>IFERROR(VLOOKUP(L143,D_装备基础数据!$A$2:$B$212,2,FALSE),"")</f>
        <v>朱雀之枪</v>
      </c>
      <c r="L143" t="str">
        <f>IFERROR(IF(J143=0,0,VLOOKUP(J143,CHOOSE({1,2},D_装备基础数据!$AN$2:$AN$212,D_装备基础数据!$A$2:$A$212),2,FALSE)),0)</f>
        <v>30423</v>
      </c>
      <c r="M143">
        <v>1</v>
      </c>
      <c r="N143" t="str">
        <f t="shared" si="25"/>
        <v>传说装备升级石</v>
      </c>
      <c r="O143">
        <f t="shared" si="26"/>
        <v>85500</v>
      </c>
      <c r="P143">
        <f t="shared" ca="1" si="23"/>
        <v>60</v>
      </c>
      <c r="Q143">
        <f ca="1">D_装备基础数据!AR143</f>
        <v>6000</v>
      </c>
    </row>
    <row r="144" spans="1:17" x14ac:dyDescent="0.15">
      <c r="A144">
        <f t="shared" si="24"/>
        <v>60041</v>
      </c>
      <c r="B144" s="14">
        <f>D_装备基础数据!C144</f>
        <v>19</v>
      </c>
      <c r="C144" s="14">
        <f>D_装备基础数据!D144</f>
        <v>0</v>
      </c>
      <c r="D144" s="14" t="str">
        <f>D_装备基础数据!E144</f>
        <v>衣服</v>
      </c>
      <c r="E144" s="14">
        <f>D_装备基础数据!F144</f>
        <v>1</v>
      </c>
      <c r="F144" s="14">
        <f>D_装备基础数据!I144</f>
        <v>4</v>
      </c>
      <c r="G144">
        <f>D_装备基础数据!G144</f>
        <v>60</v>
      </c>
      <c r="H144">
        <v>0</v>
      </c>
      <c r="I144">
        <f ca="1">INT(Q144*'[1]0、经济设定'!$C$19/10)*F144</f>
        <v>980072</v>
      </c>
      <c r="J144">
        <f t="shared" si="27"/>
        <v>70041</v>
      </c>
      <c r="K144" t="str">
        <f>IFERROR(VLOOKUP(L144,D_装备基础数据!$A$2:$B$212,2,FALSE),"")</f>
        <v>朱雀战衣</v>
      </c>
      <c r="L144" t="str">
        <f>IFERROR(IF(J144=0,0,VLOOKUP(J144,CHOOSE({1,2},D_装备基础数据!$AN$2:$AN$212,D_装备基础数据!$A$2:$A$212),2,FALSE)),0)</f>
        <v>51423</v>
      </c>
      <c r="M144">
        <v>1</v>
      </c>
      <c r="N144" t="str">
        <f t="shared" si="25"/>
        <v>传说装备升级石</v>
      </c>
      <c r="O144">
        <f t="shared" si="26"/>
        <v>85500</v>
      </c>
      <c r="P144">
        <f t="shared" ca="1" si="23"/>
        <v>50</v>
      </c>
      <c r="Q144">
        <f ca="1">D_装备基础数据!AR144</f>
        <v>4900.3639812964993</v>
      </c>
    </row>
    <row r="145" spans="1:17" x14ac:dyDescent="0.15">
      <c r="A145">
        <f t="shared" si="24"/>
        <v>60042</v>
      </c>
      <c r="B145" s="14">
        <f>D_装备基础数据!C145</f>
        <v>19</v>
      </c>
      <c r="C145" s="14">
        <f>D_装备基础数据!D145</f>
        <v>0</v>
      </c>
      <c r="D145" s="14" t="str">
        <f>D_装备基础数据!E145</f>
        <v>裤子</v>
      </c>
      <c r="E145" s="14">
        <f>D_装备基础数据!F145</f>
        <v>2</v>
      </c>
      <c r="F145" s="14">
        <f>D_装备基础数据!I145</f>
        <v>4</v>
      </c>
      <c r="G145">
        <f>D_装备基础数据!G145</f>
        <v>60</v>
      </c>
      <c r="H145">
        <v>0</v>
      </c>
      <c r="I145">
        <f ca="1">INT(Q145*'[1]0、经济设定'!$C$19/10)*F145</f>
        <v>395488</v>
      </c>
      <c r="J145">
        <f t="shared" si="27"/>
        <v>70042</v>
      </c>
      <c r="K145" t="str">
        <f>IFERROR(VLOOKUP(L145,D_装备基础数据!$A$2:$B$212,2,FALSE),"")</f>
        <v>朱雀长裤</v>
      </c>
      <c r="L145" t="str">
        <f>IFERROR(IF(J145=0,0,VLOOKUP(J145,CHOOSE({1,2},D_装备基础数据!$AN$2:$AN$212,D_装备基础数据!$A$2:$A$212),2,FALSE)),0)</f>
        <v>52423</v>
      </c>
      <c r="M145">
        <v>1</v>
      </c>
      <c r="N145" t="str">
        <f t="shared" si="25"/>
        <v>传说装备升级石</v>
      </c>
      <c r="O145">
        <f t="shared" si="26"/>
        <v>85500</v>
      </c>
      <c r="P145">
        <f t="shared" ca="1" si="23"/>
        <v>20</v>
      </c>
      <c r="Q145">
        <f ca="1">D_装备基础数据!AR145</f>
        <v>1977.4412761533276</v>
      </c>
    </row>
    <row r="146" spans="1:17" x14ac:dyDescent="0.15">
      <c r="A146">
        <f t="shared" si="24"/>
        <v>60045</v>
      </c>
      <c r="B146" s="14">
        <f>D_装备基础数据!C146</f>
        <v>19</v>
      </c>
      <c r="C146" s="14">
        <f>D_装备基础数据!D146</f>
        <v>0</v>
      </c>
      <c r="D146" s="14" t="str">
        <f>D_装备基础数据!E146</f>
        <v>鞋子</v>
      </c>
      <c r="E146" s="14">
        <f>D_装备基础数据!F146</f>
        <v>5</v>
      </c>
      <c r="F146" s="14">
        <f>D_装备基础数据!I146</f>
        <v>4</v>
      </c>
      <c r="G146">
        <f>D_装备基础数据!G146</f>
        <v>60</v>
      </c>
      <c r="H146">
        <v>0</v>
      </c>
      <c r="I146">
        <f ca="1">INT(Q146*'[1]0、经济设定'!$C$19/10)*F146</f>
        <v>495556</v>
      </c>
      <c r="J146">
        <f t="shared" si="27"/>
        <v>70045</v>
      </c>
      <c r="K146" t="str">
        <f>IFERROR(VLOOKUP(L146,D_装备基础数据!$A$2:$B$212,2,FALSE),"")</f>
        <v>朱雀长靴</v>
      </c>
      <c r="L146" t="str">
        <f>IFERROR(IF(J146=0,0,VLOOKUP(J146,CHOOSE({1,2},D_装备基础数据!$AN$2:$AN$212,D_装备基础数据!$A$2:$A$212),2,FALSE)),0)</f>
        <v>55423</v>
      </c>
      <c r="M146">
        <v>1</v>
      </c>
      <c r="N146" t="str">
        <f t="shared" ref="N146:N177" si="28">VLOOKUP(O146,$U$2:$V$6,2,FALSE)</f>
        <v>传说装备升级石</v>
      </c>
      <c r="O146">
        <f t="shared" ref="O146:O177" si="29">IF(J146=0,0,VLOOKUP(F146,$T$2:$X$6,2,FALSE))</f>
        <v>85500</v>
      </c>
      <c r="P146">
        <f t="shared" ca="1" si="23"/>
        <v>25</v>
      </c>
      <c r="Q146">
        <f ca="1">D_装备基础数据!AR146</f>
        <v>2477.7977477670834</v>
      </c>
    </row>
    <row r="147" spans="1:17" x14ac:dyDescent="0.15">
      <c r="A147">
        <f t="shared" si="24"/>
        <v>60044</v>
      </c>
      <c r="B147" s="14">
        <f>D_装备基础数据!C147</f>
        <v>19</v>
      </c>
      <c r="C147" s="14">
        <f>D_装备基础数据!D147</f>
        <v>0</v>
      </c>
      <c r="D147" s="14" t="str">
        <f>D_装备基础数据!E147</f>
        <v>腰带</v>
      </c>
      <c r="E147" s="14">
        <f>D_装备基础数据!F147</f>
        <v>4</v>
      </c>
      <c r="F147" s="14">
        <f>D_装备基础数据!I147</f>
        <v>4</v>
      </c>
      <c r="G147">
        <f>D_装备基础数据!G147</f>
        <v>60</v>
      </c>
      <c r="H147">
        <v>0</v>
      </c>
      <c r="I147">
        <f ca="1">INT(Q147*'[1]0、经济设定'!$C$19/10)*F147</f>
        <v>524288</v>
      </c>
      <c r="J147">
        <f t="shared" si="27"/>
        <v>70044</v>
      </c>
      <c r="K147" t="str">
        <f>IFERROR(VLOOKUP(L147,D_装备基础数据!$A$2:$B$212,2,FALSE),"")</f>
        <v>朱雀腰带</v>
      </c>
      <c r="L147" t="str">
        <f>IFERROR(IF(J147=0,0,VLOOKUP(J147,CHOOSE({1,2},D_装备基础数据!$AN$2:$AN$212,D_装备基础数据!$A$2:$A$212),2,FALSE)),0)</f>
        <v>54423</v>
      </c>
      <c r="M147">
        <v>1</v>
      </c>
      <c r="N147" t="str">
        <f t="shared" si="28"/>
        <v>传说装备升级石</v>
      </c>
      <c r="O147">
        <f t="shared" si="29"/>
        <v>85500</v>
      </c>
      <c r="P147">
        <f t="shared" ref="P147:P210" ca="1" si="30">IF(O147=0,0,ROUNDUP(Q147/VLOOKUP(O147,$U$16:$Y$19,5,FALSE),0))</f>
        <v>27</v>
      </c>
      <c r="Q147">
        <f ca="1">D_装备基础数据!AR147</f>
        <v>2621.4580397390137</v>
      </c>
    </row>
    <row r="148" spans="1:17" x14ac:dyDescent="0.15">
      <c r="A148">
        <f t="shared" si="24"/>
        <v>60043</v>
      </c>
      <c r="B148" s="14">
        <f>D_装备基础数据!C148</f>
        <v>19</v>
      </c>
      <c r="C148" s="14">
        <f>D_装备基础数据!D148</f>
        <v>0</v>
      </c>
      <c r="D148" s="14" t="str">
        <f>D_装备基础数据!E148</f>
        <v>项链</v>
      </c>
      <c r="E148" s="14">
        <f>D_装备基础数据!F148</f>
        <v>3</v>
      </c>
      <c r="F148" s="14">
        <f>D_装备基础数据!I148</f>
        <v>4</v>
      </c>
      <c r="G148">
        <f>D_装备基础数据!G148</f>
        <v>60</v>
      </c>
      <c r="H148">
        <v>0</v>
      </c>
      <c r="I148">
        <f ca="1">INT(Q148*'[1]0、经济设定'!$C$19/10)*F148</f>
        <v>681752</v>
      </c>
      <c r="J148">
        <f t="shared" si="27"/>
        <v>70043</v>
      </c>
      <c r="K148" t="str">
        <f>IFERROR(VLOOKUP(L148,D_装备基础数据!$A$2:$B$212,2,FALSE),"")</f>
        <v>朱雀项链</v>
      </c>
      <c r="L148" t="str">
        <f>IFERROR(IF(J148=0,0,VLOOKUP(J148,CHOOSE({1,2},D_装备基础数据!$AN$2:$AN$212,D_装备基础数据!$A$2:$A$212),2,FALSE)),0)</f>
        <v>53423</v>
      </c>
      <c r="M148">
        <v>1</v>
      </c>
      <c r="N148" t="str">
        <f t="shared" si="28"/>
        <v>传说装备升级石</v>
      </c>
      <c r="O148">
        <f t="shared" si="29"/>
        <v>85500</v>
      </c>
      <c r="P148">
        <f t="shared" ca="1" si="30"/>
        <v>35</v>
      </c>
      <c r="Q148">
        <f ca="1">D_装备基础数据!AR148</f>
        <v>3408.7609381761822</v>
      </c>
    </row>
    <row r="149" spans="1:17" x14ac:dyDescent="0.15">
      <c r="A149">
        <f t="shared" si="24"/>
        <v>70110</v>
      </c>
      <c r="B149" s="14">
        <f>D_装备基础数据!C149</f>
        <v>20</v>
      </c>
      <c r="C149" s="14">
        <f>D_装备基础数据!D149</f>
        <v>1</v>
      </c>
      <c r="D149" s="14" t="str">
        <f>D_装备基础数据!E149</f>
        <v>武器</v>
      </c>
      <c r="E149" s="14">
        <f>D_装备基础数据!F149</f>
        <v>0</v>
      </c>
      <c r="F149" s="14">
        <f>D_装备基础数据!I149</f>
        <v>1</v>
      </c>
      <c r="G149">
        <f>D_装备基础数据!G149</f>
        <v>70</v>
      </c>
      <c r="H149">
        <v>0</v>
      </c>
      <c r="I149">
        <f ca="1">INT(Q149*'[1]0、经济设定'!$C$19/10)*F149</f>
        <v>42000</v>
      </c>
      <c r="J149">
        <f t="shared" si="27"/>
        <v>80110</v>
      </c>
      <c r="K149" t="str">
        <f>IFERROR(VLOOKUP(L149,D_装备基础数据!$A$2:$B$212,2,FALSE),"")</f>
        <v>高洁之刃</v>
      </c>
      <c r="L149" t="str">
        <f>IFERROR(IF(J149=0,0,VLOOKUP(J149,CHOOSE({1,2},D_装备基础数据!$AN$2:$AN$212,D_装备基础数据!$A$2:$A$212),2,FALSE)),0)</f>
        <v>10124</v>
      </c>
      <c r="M149">
        <v>1</v>
      </c>
      <c r="N149" t="str">
        <f t="shared" si="28"/>
        <v>高级装备升级石</v>
      </c>
      <c r="O149">
        <f t="shared" si="29"/>
        <v>85200</v>
      </c>
      <c r="P149">
        <f t="shared" ca="1" si="30"/>
        <v>84</v>
      </c>
      <c r="Q149">
        <f ca="1">D_装备基础数据!AR149</f>
        <v>840</v>
      </c>
    </row>
    <row r="150" spans="1:17" x14ac:dyDescent="0.15">
      <c r="A150">
        <f t="shared" si="24"/>
        <v>70210</v>
      </c>
      <c r="B150" s="14">
        <f>D_装备基础数据!C150</f>
        <v>20</v>
      </c>
      <c r="C150" s="14">
        <f>D_装备基础数据!D150</f>
        <v>2</v>
      </c>
      <c r="D150" s="14" t="str">
        <f>D_装备基础数据!E150</f>
        <v>武器</v>
      </c>
      <c r="E150" s="14">
        <f>D_装备基础数据!F150</f>
        <v>0</v>
      </c>
      <c r="F150" s="14">
        <f>D_装备基础数据!I150</f>
        <v>1</v>
      </c>
      <c r="G150">
        <f>D_装备基础数据!G150</f>
        <v>70</v>
      </c>
      <c r="H150">
        <v>0</v>
      </c>
      <c r="I150">
        <f ca="1">INT(Q150*'[1]0、经济设定'!$C$19/10)*F150</f>
        <v>42000</v>
      </c>
      <c r="J150">
        <f t="shared" si="27"/>
        <v>80210</v>
      </c>
      <c r="K150" t="str">
        <f>IFERROR(VLOOKUP(L150,D_装备基础数据!$A$2:$B$212,2,FALSE),"")</f>
        <v>高洁之拳</v>
      </c>
      <c r="L150" t="str">
        <f>IFERROR(IF(J150=0,0,VLOOKUP(J150,CHOOSE({1,2},D_装备基础数据!$AN$2:$AN$212,D_装备基础数据!$A$2:$A$212),2,FALSE)),0)</f>
        <v>20124</v>
      </c>
      <c r="M150">
        <v>1</v>
      </c>
      <c r="N150" t="str">
        <f t="shared" si="28"/>
        <v>高级装备升级石</v>
      </c>
      <c r="O150">
        <f t="shared" si="29"/>
        <v>85200</v>
      </c>
      <c r="P150">
        <f t="shared" ca="1" si="30"/>
        <v>84</v>
      </c>
      <c r="Q150">
        <f ca="1">D_装备基础数据!AR150</f>
        <v>840</v>
      </c>
    </row>
    <row r="151" spans="1:17" x14ac:dyDescent="0.15">
      <c r="A151">
        <f t="shared" si="24"/>
        <v>70310</v>
      </c>
      <c r="B151" s="14">
        <f>D_装备基础数据!C151</f>
        <v>20</v>
      </c>
      <c r="C151" s="14">
        <f>D_装备基础数据!D151</f>
        <v>3</v>
      </c>
      <c r="D151" s="14" t="str">
        <f>D_装备基础数据!E151</f>
        <v>武器</v>
      </c>
      <c r="E151" s="14">
        <f>D_装备基础数据!F151</f>
        <v>0</v>
      </c>
      <c r="F151" s="14">
        <f>D_装备基础数据!I151</f>
        <v>1</v>
      </c>
      <c r="G151">
        <f>D_装备基础数据!G151</f>
        <v>70</v>
      </c>
      <c r="H151">
        <v>0</v>
      </c>
      <c r="I151">
        <f ca="1">INT(Q151*'[1]0、经济设定'!$C$19/10)*F151</f>
        <v>42000</v>
      </c>
      <c r="J151">
        <f t="shared" si="27"/>
        <v>80310</v>
      </c>
      <c r="K151" t="str">
        <f>IFERROR(VLOOKUP(L151,D_装备基础数据!$A$2:$B$212,2,FALSE),"")</f>
        <v>高洁之枪</v>
      </c>
      <c r="L151" t="str">
        <f>IFERROR(IF(J151=0,0,VLOOKUP(J151,CHOOSE({1,2},D_装备基础数据!$AN$2:$AN$212,D_装备基础数据!$A$2:$A$212),2,FALSE)),0)</f>
        <v>30124</v>
      </c>
      <c r="M151">
        <v>1</v>
      </c>
      <c r="N151" t="str">
        <f t="shared" si="28"/>
        <v>高级装备升级石</v>
      </c>
      <c r="O151">
        <f t="shared" si="29"/>
        <v>85200</v>
      </c>
      <c r="P151">
        <f t="shared" ca="1" si="30"/>
        <v>84</v>
      </c>
      <c r="Q151">
        <f ca="1">D_装备基础数据!AR151</f>
        <v>840</v>
      </c>
    </row>
    <row r="152" spans="1:17" x14ac:dyDescent="0.15">
      <c r="A152">
        <f t="shared" si="24"/>
        <v>70011</v>
      </c>
      <c r="B152" s="14">
        <f>D_装备基础数据!C152</f>
        <v>20</v>
      </c>
      <c r="C152" s="14">
        <f>D_装备基础数据!D152</f>
        <v>0</v>
      </c>
      <c r="D152" s="14" t="str">
        <f>D_装备基础数据!E152</f>
        <v>衣服</v>
      </c>
      <c r="E152" s="14">
        <f>D_装备基础数据!F152</f>
        <v>1</v>
      </c>
      <c r="F152" s="14">
        <f>D_装备基础数据!I152</f>
        <v>1</v>
      </c>
      <c r="G152">
        <f>D_装备基础数据!G152</f>
        <v>70</v>
      </c>
      <c r="H152">
        <v>0</v>
      </c>
      <c r="I152">
        <f ca="1">INT(Q152*'[1]0、经济设定'!$C$19/10)*F152</f>
        <v>36232</v>
      </c>
      <c r="J152">
        <f t="shared" si="27"/>
        <v>80011</v>
      </c>
      <c r="K152" t="str">
        <f>IFERROR(VLOOKUP(L152,D_装备基础数据!$A$2:$B$212,2,FALSE),"")</f>
        <v>高洁战衣</v>
      </c>
      <c r="L152" t="str">
        <f>IFERROR(IF(J152=0,0,VLOOKUP(J152,CHOOSE({1,2},D_装备基础数据!$AN$2:$AN$212,D_装备基础数据!$A$2:$A$212),2,FALSE)),0)</f>
        <v>51124</v>
      </c>
      <c r="M152">
        <v>1</v>
      </c>
      <c r="N152" t="str">
        <f t="shared" si="28"/>
        <v>高级装备升级石</v>
      </c>
      <c r="O152">
        <f t="shared" si="29"/>
        <v>85200</v>
      </c>
      <c r="P152">
        <f t="shared" ca="1" si="30"/>
        <v>73</v>
      </c>
      <c r="Q152">
        <f ca="1">D_装备基础数据!AR152</f>
        <v>724.65263308602107</v>
      </c>
    </row>
    <row r="153" spans="1:17" x14ac:dyDescent="0.15">
      <c r="A153">
        <f t="shared" si="24"/>
        <v>70012</v>
      </c>
      <c r="B153" s="14">
        <f>D_装备基础数据!C153</f>
        <v>20</v>
      </c>
      <c r="C153" s="14">
        <f>D_装备基础数据!D153</f>
        <v>0</v>
      </c>
      <c r="D153" s="14" t="str">
        <f>D_装备基础数据!E153</f>
        <v>裤子</v>
      </c>
      <c r="E153" s="14">
        <f>D_装备基础数据!F153</f>
        <v>2</v>
      </c>
      <c r="F153" s="14">
        <f>D_装备基础数据!I153</f>
        <v>1</v>
      </c>
      <c r="G153">
        <f>D_装备基础数据!G153</f>
        <v>70</v>
      </c>
      <c r="H153">
        <v>0</v>
      </c>
      <c r="I153">
        <f ca="1">INT(Q153*'[1]0、经济设定'!$C$19/10)*F153</f>
        <v>13349</v>
      </c>
      <c r="J153">
        <f t="shared" si="27"/>
        <v>80012</v>
      </c>
      <c r="K153" t="str">
        <f>IFERROR(VLOOKUP(L153,D_装备基础数据!$A$2:$B$212,2,FALSE),"")</f>
        <v>高洁长裤</v>
      </c>
      <c r="L153" t="str">
        <f>IFERROR(IF(J153=0,0,VLOOKUP(J153,CHOOSE({1,2},D_装备基础数据!$AN$2:$AN$212,D_装备基础数据!$A$2:$A$212),2,FALSE)),0)</f>
        <v>52124</v>
      </c>
      <c r="M153">
        <v>1</v>
      </c>
      <c r="N153" t="str">
        <f t="shared" si="28"/>
        <v>高级装备升级石</v>
      </c>
      <c r="O153">
        <f t="shared" si="29"/>
        <v>85200</v>
      </c>
      <c r="P153">
        <f t="shared" ca="1" si="30"/>
        <v>27</v>
      </c>
      <c r="Q153">
        <f ca="1">D_装备基础数据!AR153</f>
        <v>266.99233910824609</v>
      </c>
    </row>
    <row r="154" spans="1:17" x14ac:dyDescent="0.15">
      <c r="A154">
        <f t="shared" si="24"/>
        <v>70015</v>
      </c>
      <c r="B154" s="14">
        <f>D_装备基础数据!C154</f>
        <v>20</v>
      </c>
      <c r="C154" s="14">
        <f>D_装备基础数据!D154</f>
        <v>0</v>
      </c>
      <c r="D154" s="14" t="str">
        <f>D_装备基础数据!E154</f>
        <v>鞋子</v>
      </c>
      <c r="E154" s="14">
        <f>D_装备基础数据!F154</f>
        <v>5</v>
      </c>
      <c r="F154" s="14">
        <f>D_装备基础数据!I154</f>
        <v>1</v>
      </c>
      <c r="G154">
        <f>D_装备基础数据!G154</f>
        <v>70</v>
      </c>
      <c r="H154">
        <v>0</v>
      </c>
      <c r="I154">
        <f ca="1">INT(Q154*'[1]0、经济设定'!$C$19/10)*F154</f>
        <v>17006</v>
      </c>
      <c r="J154">
        <f t="shared" si="27"/>
        <v>80015</v>
      </c>
      <c r="K154" t="str">
        <f>IFERROR(VLOOKUP(L154,D_装备基础数据!$A$2:$B$212,2,FALSE),"")</f>
        <v>高洁长靴</v>
      </c>
      <c r="L154" t="str">
        <f>IFERROR(IF(J154=0,0,VLOOKUP(J154,CHOOSE({1,2},D_装备基础数据!$AN$2:$AN$212,D_装备基础数据!$A$2:$A$212),2,FALSE)),0)</f>
        <v>55124</v>
      </c>
      <c r="M154">
        <v>1</v>
      </c>
      <c r="N154" t="str">
        <f t="shared" si="28"/>
        <v>高级装备升级石</v>
      </c>
      <c r="O154">
        <f t="shared" si="29"/>
        <v>85200</v>
      </c>
      <c r="P154">
        <f t="shared" ca="1" si="30"/>
        <v>35</v>
      </c>
      <c r="Q154">
        <f ca="1">D_装备基础数据!AR154</f>
        <v>340.13193195532887</v>
      </c>
    </row>
    <row r="155" spans="1:17" x14ac:dyDescent="0.15">
      <c r="A155">
        <f t="shared" si="24"/>
        <v>70014</v>
      </c>
      <c r="B155" s="14">
        <f>D_装备基础数据!C155</f>
        <v>20</v>
      </c>
      <c r="C155" s="14">
        <f>D_装备基础数据!D155</f>
        <v>0</v>
      </c>
      <c r="D155" s="14" t="str">
        <f>D_装备基础数据!E155</f>
        <v>腰带</v>
      </c>
      <c r="E155" s="14">
        <f>D_装备基础数据!F155</f>
        <v>4</v>
      </c>
      <c r="F155" s="14">
        <f>D_装备基础数据!I155</f>
        <v>1</v>
      </c>
      <c r="G155">
        <f>D_装备基础数据!G155</f>
        <v>70</v>
      </c>
      <c r="H155">
        <v>0</v>
      </c>
      <c r="I155">
        <f ca="1">INT(Q155*'[1]0、经济设定'!$C$19/10)*F155</f>
        <v>13681</v>
      </c>
      <c r="J155">
        <f t="shared" si="27"/>
        <v>80014</v>
      </c>
      <c r="K155" t="str">
        <f>IFERROR(VLOOKUP(L155,D_装备基础数据!$A$2:$B$212,2,FALSE),"")</f>
        <v>高洁腰带</v>
      </c>
      <c r="L155" t="str">
        <f>IFERROR(IF(J155=0,0,VLOOKUP(J155,CHOOSE({1,2},D_装备基础数据!$AN$2:$AN$212,D_装备基础数据!$A$2:$A$212),2,FALSE)),0)</f>
        <v>54124</v>
      </c>
      <c r="M155">
        <v>1</v>
      </c>
      <c r="N155" t="str">
        <f t="shared" si="28"/>
        <v>高级装备升级石</v>
      </c>
      <c r="O155">
        <f t="shared" si="29"/>
        <v>85200</v>
      </c>
      <c r="P155">
        <f t="shared" ca="1" si="30"/>
        <v>28</v>
      </c>
      <c r="Q155">
        <f ca="1">D_装备基础数据!AR155</f>
        <v>273.62561772367286</v>
      </c>
    </row>
    <row r="156" spans="1:17" x14ac:dyDescent="0.15">
      <c r="A156">
        <f t="shared" si="24"/>
        <v>70013</v>
      </c>
      <c r="B156" s="14">
        <f>D_装备基础数据!C156</f>
        <v>20</v>
      </c>
      <c r="C156" s="14">
        <f>D_装备基础数据!D156</f>
        <v>0</v>
      </c>
      <c r="D156" s="14" t="str">
        <f>D_装备基础数据!E156</f>
        <v>项链</v>
      </c>
      <c r="E156" s="14">
        <f>D_装备基础数据!F156</f>
        <v>3</v>
      </c>
      <c r="F156" s="14">
        <f>D_装备基础数据!I156</f>
        <v>1</v>
      </c>
      <c r="G156">
        <f>D_装备基础数据!G156</f>
        <v>70</v>
      </c>
      <c r="H156">
        <v>0</v>
      </c>
      <c r="I156">
        <f ca="1">INT(Q156*'[1]0、经济设定'!$C$19/10)*F156</f>
        <v>25499</v>
      </c>
      <c r="J156">
        <f t="shared" si="27"/>
        <v>80013</v>
      </c>
      <c r="K156" t="str">
        <f>IFERROR(VLOOKUP(L156,D_装备基础数据!$A$2:$B$212,2,FALSE),"")</f>
        <v>高洁项链</v>
      </c>
      <c r="L156" t="str">
        <f>IFERROR(IF(J156=0,0,VLOOKUP(J156,CHOOSE({1,2},D_装备基础数据!$AN$2:$AN$212,D_装备基础数据!$A$2:$A$212),2,FALSE)),0)</f>
        <v>53124</v>
      </c>
      <c r="M156">
        <v>1</v>
      </c>
      <c r="N156" t="str">
        <f t="shared" si="28"/>
        <v>高级装备升级石</v>
      </c>
      <c r="O156">
        <f t="shared" si="29"/>
        <v>85200</v>
      </c>
      <c r="P156">
        <f t="shared" ca="1" si="30"/>
        <v>51</v>
      </c>
      <c r="Q156">
        <f ca="1">D_装备基础数据!AR156</f>
        <v>509.99153951465712</v>
      </c>
    </row>
    <row r="157" spans="1:17" x14ac:dyDescent="0.15">
      <c r="A157">
        <f t="shared" si="24"/>
        <v>70120</v>
      </c>
      <c r="B157" s="14">
        <f>D_装备基础数据!C157</f>
        <v>21</v>
      </c>
      <c r="C157" s="14">
        <f>D_装备基础数据!D157</f>
        <v>1</v>
      </c>
      <c r="D157" s="14" t="str">
        <f>D_装备基础数据!E157</f>
        <v>武器</v>
      </c>
      <c r="E157" s="14">
        <f>D_装备基础数据!F157</f>
        <v>0</v>
      </c>
      <c r="F157" s="14">
        <f>D_装备基础数据!I157</f>
        <v>2</v>
      </c>
      <c r="G157">
        <f>D_装备基础数据!G157</f>
        <v>70</v>
      </c>
      <c r="H157">
        <v>0</v>
      </c>
      <c r="I157">
        <f ca="1">INT(Q157*'[1]0、经济设定'!$C$19/10)*F157</f>
        <v>168000</v>
      </c>
      <c r="J157">
        <f t="shared" si="27"/>
        <v>80120</v>
      </c>
      <c r="K157" t="str">
        <f>IFERROR(VLOOKUP(L157,D_装备基础数据!$A$2:$B$212,2,FALSE),"")</f>
        <v>星宿之刃</v>
      </c>
      <c r="L157" t="str">
        <f>IFERROR(IF(J157=0,0,VLOOKUP(J157,CHOOSE({1,2},D_装备基础数据!$AN$2:$AN$212,D_装备基础数据!$A$2:$A$212),2,FALSE)),0)</f>
        <v>10225</v>
      </c>
      <c r="M157">
        <v>1</v>
      </c>
      <c r="N157" t="str">
        <f t="shared" si="28"/>
        <v>稀有装备升级石</v>
      </c>
      <c r="O157">
        <f t="shared" si="29"/>
        <v>85300</v>
      </c>
      <c r="P157">
        <f t="shared" ca="1" si="30"/>
        <v>56</v>
      </c>
      <c r="Q157">
        <f ca="1">D_装备基础数据!AR157</f>
        <v>1680</v>
      </c>
    </row>
    <row r="158" spans="1:17" x14ac:dyDescent="0.15">
      <c r="A158">
        <f t="shared" ref="A158:A212" si="31">G158*1000+C158*100+F158*10+E158</f>
        <v>70220</v>
      </c>
      <c r="B158" s="14">
        <f>D_装备基础数据!C158</f>
        <v>21</v>
      </c>
      <c r="C158" s="14">
        <f>D_装备基础数据!D158</f>
        <v>2</v>
      </c>
      <c r="D158" s="14" t="str">
        <f>D_装备基础数据!E158</f>
        <v>武器</v>
      </c>
      <c r="E158" s="14">
        <f>D_装备基础数据!F158</f>
        <v>0</v>
      </c>
      <c r="F158" s="14">
        <f>D_装备基础数据!I158</f>
        <v>2</v>
      </c>
      <c r="G158">
        <f>D_装备基础数据!G158</f>
        <v>70</v>
      </c>
      <c r="H158">
        <v>0</v>
      </c>
      <c r="I158">
        <f ca="1">INT(Q158*'[1]0、经济设定'!$C$19/10)*F158</f>
        <v>168000</v>
      </c>
      <c r="J158">
        <f t="shared" si="27"/>
        <v>80220</v>
      </c>
      <c r="K158" t="str">
        <f>IFERROR(VLOOKUP(L158,D_装备基础数据!$A$2:$B$212,2,FALSE),"")</f>
        <v>星宿之拳</v>
      </c>
      <c r="L158" t="str">
        <f>IFERROR(IF(J158=0,0,VLOOKUP(J158,CHOOSE({1,2},D_装备基础数据!$AN$2:$AN$212,D_装备基础数据!$A$2:$A$212),2,FALSE)),0)</f>
        <v>20225</v>
      </c>
      <c r="M158">
        <v>1</v>
      </c>
      <c r="N158" t="str">
        <f t="shared" si="28"/>
        <v>稀有装备升级石</v>
      </c>
      <c r="O158">
        <f t="shared" si="29"/>
        <v>85300</v>
      </c>
      <c r="P158">
        <f t="shared" ca="1" si="30"/>
        <v>56</v>
      </c>
      <c r="Q158">
        <f ca="1">D_装备基础数据!AR158</f>
        <v>1680</v>
      </c>
    </row>
    <row r="159" spans="1:17" x14ac:dyDescent="0.15">
      <c r="A159">
        <f t="shared" si="31"/>
        <v>70320</v>
      </c>
      <c r="B159" s="14">
        <f>D_装备基础数据!C159</f>
        <v>21</v>
      </c>
      <c r="C159" s="14">
        <f>D_装备基础数据!D159</f>
        <v>3</v>
      </c>
      <c r="D159" s="14" t="str">
        <f>D_装备基础数据!E159</f>
        <v>武器</v>
      </c>
      <c r="E159" s="14">
        <f>D_装备基础数据!F159</f>
        <v>0</v>
      </c>
      <c r="F159" s="14">
        <f>D_装备基础数据!I159</f>
        <v>2</v>
      </c>
      <c r="G159">
        <f>D_装备基础数据!G159</f>
        <v>70</v>
      </c>
      <c r="H159">
        <v>0</v>
      </c>
      <c r="I159">
        <f ca="1">INT(Q159*'[1]0、经济设定'!$C$19/10)*F159</f>
        <v>168000</v>
      </c>
      <c r="J159">
        <f t="shared" si="27"/>
        <v>80320</v>
      </c>
      <c r="K159" t="str">
        <f>IFERROR(VLOOKUP(L159,D_装备基础数据!$A$2:$B$212,2,FALSE),"")</f>
        <v>星宿之枪</v>
      </c>
      <c r="L159" t="str">
        <f>IFERROR(IF(J159=0,0,VLOOKUP(J159,CHOOSE({1,2},D_装备基础数据!$AN$2:$AN$212,D_装备基础数据!$A$2:$A$212),2,FALSE)),0)</f>
        <v>30225</v>
      </c>
      <c r="M159">
        <v>1</v>
      </c>
      <c r="N159" t="str">
        <f t="shared" si="28"/>
        <v>稀有装备升级石</v>
      </c>
      <c r="O159">
        <f t="shared" si="29"/>
        <v>85300</v>
      </c>
      <c r="P159">
        <f t="shared" ca="1" si="30"/>
        <v>56</v>
      </c>
      <c r="Q159">
        <f ca="1">D_装备基础数据!AR159</f>
        <v>1680</v>
      </c>
    </row>
    <row r="160" spans="1:17" x14ac:dyDescent="0.15">
      <c r="A160">
        <f t="shared" si="31"/>
        <v>70021</v>
      </c>
      <c r="B160" s="14">
        <f>D_装备基础数据!C160</f>
        <v>21</v>
      </c>
      <c r="C160" s="14">
        <f>D_装备基础数据!D160</f>
        <v>0</v>
      </c>
      <c r="D160" s="14" t="str">
        <f>D_装备基础数据!E160</f>
        <v>衣服</v>
      </c>
      <c r="E160" s="14">
        <f>D_装备基础数据!F160</f>
        <v>1</v>
      </c>
      <c r="F160" s="14">
        <f>D_装备基础数据!I160</f>
        <v>2</v>
      </c>
      <c r="G160">
        <f>D_装备基础数据!G160</f>
        <v>70</v>
      </c>
      <c r="H160">
        <v>0</v>
      </c>
      <c r="I160">
        <f ca="1">INT(Q160*'[1]0、经济设定'!$C$19/10)*F160</f>
        <v>142378</v>
      </c>
      <c r="J160">
        <f t="shared" si="27"/>
        <v>80021</v>
      </c>
      <c r="K160" t="str">
        <f>IFERROR(VLOOKUP(L160,D_装备基础数据!$A$2:$B$212,2,FALSE),"")</f>
        <v>星宿战衣</v>
      </c>
      <c r="L160" t="str">
        <f>IFERROR(IF(J160=0,0,VLOOKUP(J160,CHOOSE({1,2},D_装备基础数据!$AN$2:$AN$212,D_装备基础数据!$A$2:$A$212),2,FALSE)),0)</f>
        <v>51225</v>
      </c>
      <c r="M160">
        <v>1</v>
      </c>
      <c r="N160" t="str">
        <f t="shared" si="28"/>
        <v>稀有装备升级石</v>
      </c>
      <c r="O160">
        <f t="shared" si="29"/>
        <v>85300</v>
      </c>
      <c r="P160">
        <f t="shared" ca="1" si="30"/>
        <v>48</v>
      </c>
      <c r="Q160">
        <f ca="1">D_装备基础数据!AR160</f>
        <v>1423.7930774682668</v>
      </c>
    </row>
    <row r="161" spans="1:17" x14ac:dyDescent="0.15">
      <c r="A161">
        <f t="shared" si="31"/>
        <v>70022</v>
      </c>
      <c r="B161" s="14">
        <f>D_装备基础数据!C161</f>
        <v>21</v>
      </c>
      <c r="C161" s="14">
        <f>D_装备基础数据!D161</f>
        <v>0</v>
      </c>
      <c r="D161" s="14" t="str">
        <f>D_装备基础数据!E161</f>
        <v>裤子</v>
      </c>
      <c r="E161" s="14">
        <f>D_装备基础数据!F161</f>
        <v>2</v>
      </c>
      <c r="F161" s="14">
        <f>D_装备基础数据!I161</f>
        <v>2</v>
      </c>
      <c r="G161">
        <f>D_装备基础数据!G161</f>
        <v>70</v>
      </c>
      <c r="H161">
        <v>0</v>
      </c>
      <c r="I161">
        <f ca="1">INT(Q161*'[1]0、经济设定'!$C$19/10)*F161</f>
        <v>54048</v>
      </c>
      <c r="J161">
        <f t="shared" si="27"/>
        <v>80022</v>
      </c>
      <c r="K161" t="str">
        <f>IFERROR(VLOOKUP(L161,D_装备基础数据!$A$2:$B$212,2,FALSE),"")</f>
        <v>星宿长裤</v>
      </c>
      <c r="L161" t="str">
        <f>IFERROR(IF(J161=0,0,VLOOKUP(J161,CHOOSE({1,2},D_装备基础数据!$AN$2:$AN$212,D_装备基础数据!$A$2:$A$212),2,FALSE)),0)</f>
        <v>52225</v>
      </c>
      <c r="M161">
        <v>1</v>
      </c>
      <c r="N161" t="str">
        <f t="shared" si="28"/>
        <v>稀有装备升级石</v>
      </c>
      <c r="O161">
        <f t="shared" si="29"/>
        <v>85300</v>
      </c>
      <c r="P161">
        <f t="shared" ca="1" si="30"/>
        <v>19</v>
      </c>
      <c r="Q161">
        <f ca="1">D_装备基础数据!AR161</f>
        <v>540.49425988418147</v>
      </c>
    </row>
    <row r="162" spans="1:17" x14ac:dyDescent="0.15">
      <c r="A162">
        <f t="shared" si="31"/>
        <v>70025</v>
      </c>
      <c r="B162" s="14">
        <f>D_装备基础数据!C162</f>
        <v>21</v>
      </c>
      <c r="C162" s="14">
        <f>D_装备基础数据!D162</f>
        <v>0</v>
      </c>
      <c r="D162" s="14" t="str">
        <f>D_装备基础数据!E162</f>
        <v>鞋子</v>
      </c>
      <c r="E162" s="14">
        <f>D_装备基础数据!F162</f>
        <v>5</v>
      </c>
      <c r="F162" s="14">
        <f>D_装备基础数据!I162</f>
        <v>2</v>
      </c>
      <c r="G162">
        <f>D_装备基础数据!G162</f>
        <v>70</v>
      </c>
      <c r="H162">
        <v>0</v>
      </c>
      <c r="I162">
        <f ca="1">INT(Q162*'[1]0、经济设定'!$C$19/10)*F162</f>
        <v>68472</v>
      </c>
      <c r="J162">
        <f t="shared" si="27"/>
        <v>80025</v>
      </c>
      <c r="K162" t="str">
        <f>IFERROR(VLOOKUP(L162,D_装备基础数据!$A$2:$B$212,2,FALSE),"")</f>
        <v>星宿长靴</v>
      </c>
      <c r="L162" t="str">
        <f>IFERROR(IF(J162=0,0,VLOOKUP(J162,CHOOSE({1,2},D_装备基础数据!$AN$2:$AN$212,D_装备基础数据!$A$2:$A$212),2,FALSE)),0)</f>
        <v>55225</v>
      </c>
      <c r="M162">
        <v>1</v>
      </c>
      <c r="N162" t="str">
        <f t="shared" si="28"/>
        <v>稀有装备升级石</v>
      </c>
      <c r="O162">
        <f t="shared" si="29"/>
        <v>85300</v>
      </c>
      <c r="P162">
        <f t="shared" ca="1" si="30"/>
        <v>23</v>
      </c>
      <c r="Q162">
        <f ca="1">D_装备基础数据!AR162</f>
        <v>684.73144424606494</v>
      </c>
    </row>
    <row r="163" spans="1:17" x14ac:dyDescent="0.15">
      <c r="A163">
        <f t="shared" si="31"/>
        <v>70024</v>
      </c>
      <c r="B163" s="14">
        <f>D_装备基础数据!C163</f>
        <v>21</v>
      </c>
      <c r="C163" s="14">
        <f>D_装备基础数据!D163</f>
        <v>0</v>
      </c>
      <c r="D163" s="14" t="str">
        <f>D_装备基础数据!E163</f>
        <v>腰带</v>
      </c>
      <c r="E163" s="14">
        <f>D_装备基础数据!F163</f>
        <v>4</v>
      </c>
      <c r="F163" s="14">
        <f>D_装备基础数据!I163</f>
        <v>2</v>
      </c>
      <c r="G163">
        <f>D_装备基础数据!G163</f>
        <v>70</v>
      </c>
      <c r="H163">
        <v>0</v>
      </c>
      <c r="I163">
        <f ca="1">INT(Q163*'[1]0、经济设定'!$C$19/10)*F163</f>
        <v>60896</v>
      </c>
      <c r="J163">
        <f t="shared" si="27"/>
        <v>80024</v>
      </c>
      <c r="K163" t="str">
        <f>IFERROR(VLOOKUP(L163,D_装备基础数据!$A$2:$B$212,2,FALSE),"")</f>
        <v>星宿腰带</v>
      </c>
      <c r="L163" t="str">
        <f>IFERROR(IF(J163=0,0,VLOOKUP(J163,CHOOSE({1,2},D_装备基础数据!$AN$2:$AN$212,D_装备基础数据!$A$2:$A$212),2,FALSE)),0)</f>
        <v>54225</v>
      </c>
      <c r="M163">
        <v>1</v>
      </c>
      <c r="N163" t="str">
        <f t="shared" si="28"/>
        <v>稀有装备升级石</v>
      </c>
      <c r="O163">
        <f t="shared" si="29"/>
        <v>85300</v>
      </c>
      <c r="P163">
        <f t="shared" ca="1" si="30"/>
        <v>21</v>
      </c>
      <c r="Q163">
        <f ca="1">D_装备基础数据!AR163</f>
        <v>608.96591672495799</v>
      </c>
    </row>
    <row r="164" spans="1:17" x14ac:dyDescent="0.15">
      <c r="A164">
        <f t="shared" si="31"/>
        <v>70023</v>
      </c>
      <c r="B164" s="14">
        <f>D_装备基础数据!C164</f>
        <v>21</v>
      </c>
      <c r="C164" s="14">
        <f>D_装备基础数据!D164</f>
        <v>0</v>
      </c>
      <c r="D164" s="14" t="str">
        <f>D_装备基础数据!E164</f>
        <v>项链</v>
      </c>
      <c r="E164" s="14">
        <f>D_装备基础数据!F164</f>
        <v>3</v>
      </c>
      <c r="F164" s="14">
        <f>D_装备基础数据!I164</f>
        <v>2</v>
      </c>
      <c r="G164">
        <f>D_装备基础数据!G164</f>
        <v>70</v>
      </c>
      <c r="H164">
        <v>0</v>
      </c>
      <c r="I164">
        <f ca="1">INT(Q164*'[1]0、经济设定'!$C$19/10)*F164</f>
        <v>99832</v>
      </c>
      <c r="J164">
        <f t="shared" si="27"/>
        <v>80023</v>
      </c>
      <c r="K164" t="str">
        <f>IFERROR(VLOOKUP(L164,D_装备基础数据!$A$2:$B$212,2,FALSE),"")</f>
        <v>星宿项链</v>
      </c>
      <c r="L164" t="str">
        <f>IFERROR(IF(J164=0,0,VLOOKUP(J164,CHOOSE({1,2},D_装备基础数据!$AN$2:$AN$212,D_装备基础数据!$A$2:$A$212),2,FALSE)),0)</f>
        <v>53225</v>
      </c>
      <c r="M164">
        <v>1</v>
      </c>
      <c r="N164" t="str">
        <f t="shared" si="28"/>
        <v>稀有装备升级石</v>
      </c>
      <c r="O164">
        <f t="shared" si="29"/>
        <v>85300</v>
      </c>
      <c r="P164">
        <f t="shared" ca="1" si="30"/>
        <v>34</v>
      </c>
      <c r="Q164">
        <f ca="1">D_装备基础数据!AR164</f>
        <v>998.32839549401137</v>
      </c>
    </row>
    <row r="165" spans="1:17" x14ac:dyDescent="0.15">
      <c r="A165">
        <f t="shared" si="31"/>
        <v>70130</v>
      </c>
      <c r="B165" s="14">
        <f>D_装备基础数据!C165</f>
        <v>22</v>
      </c>
      <c r="C165" s="14">
        <f>D_装备基础数据!D165</f>
        <v>1</v>
      </c>
      <c r="D165" s="14" t="str">
        <f>D_装备基础数据!E165</f>
        <v>武器</v>
      </c>
      <c r="E165" s="14">
        <f>D_装备基础数据!F165</f>
        <v>0</v>
      </c>
      <c r="F165" s="14">
        <f>D_装备基础数据!I165</f>
        <v>3</v>
      </c>
      <c r="G165">
        <f>D_装备基础数据!G165</f>
        <v>70</v>
      </c>
      <c r="H165">
        <v>0</v>
      </c>
      <c r="I165">
        <f ca="1">INT(Q165*'[1]0、经济设定'!$C$19/10)*F165</f>
        <v>630000</v>
      </c>
      <c r="J165">
        <f t="shared" si="27"/>
        <v>80130</v>
      </c>
      <c r="K165" t="str">
        <f>IFERROR(VLOOKUP(L165,D_装备基础数据!$A$2:$B$212,2,FALSE),"")</f>
        <v>炼狱之剑</v>
      </c>
      <c r="L165" t="str">
        <f>IFERROR(IF(J165=0,0,VLOOKUP(J165,CHOOSE({1,2},D_装备基础数据!$AN$2:$AN$212,D_装备基础数据!$A$2:$A$212),2,FALSE)),0)</f>
        <v>10326</v>
      </c>
      <c r="M165">
        <v>1</v>
      </c>
      <c r="N165" t="str">
        <f t="shared" si="28"/>
        <v>史诗装备升级石</v>
      </c>
      <c r="O165">
        <f t="shared" si="29"/>
        <v>85400</v>
      </c>
      <c r="P165">
        <f t="shared" ca="1" si="30"/>
        <v>53</v>
      </c>
      <c r="Q165">
        <f ca="1">D_装备基础数据!AR165</f>
        <v>4200</v>
      </c>
    </row>
    <row r="166" spans="1:17" x14ac:dyDescent="0.15">
      <c r="A166">
        <f t="shared" si="31"/>
        <v>70230</v>
      </c>
      <c r="B166" s="14">
        <f>D_装备基础数据!C166</f>
        <v>22</v>
      </c>
      <c r="C166" s="14">
        <f>D_装备基础数据!D166</f>
        <v>2</v>
      </c>
      <c r="D166" s="14" t="str">
        <f>D_装备基础数据!E166</f>
        <v>武器</v>
      </c>
      <c r="E166" s="14">
        <f>D_装备基础数据!F166</f>
        <v>0</v>
      </c>
      <c r="F166" s="14">
        <f>D_装备基础数据!I166</f>
        <v>3</v>
      </c>
      <c r="G166">
        <f>D_装备基础数据!G166</f>
        <v>70</v>
      </c>
      <c r="H166">
        <v>0</v>
      </c>
      <c r="I166">
        <f ca="1">INT(Q166*'[1]0、经济设定'!$C$19/10)*F166</f>
        <v>630000</v>
      </c>
      <c r="J166">
        <f t="shared" si="27"/>
        <v>80230</v>
      </c>
      <c r="K166" t="str">
        <f>IFERROR(VLOOKUP(L166,D_装备基础数据!$A$2:$B$212,2,FALSE),"")</f>
        <v>炼狱之拳</v>
      </c>
      <c r="L166" t="str">
        <f>IFERROR(IF(J166=0,0,VLOOKUP(J166,CHOOSE({1,2},D_装备基础数据!$AN$2:$AN$212,D_装备基础数据!$A$2:$A$212),2,FALSE)),0)</f>
        <v>20326</v>
      </c>
      <c r="M166">
        <v>1</v>
      </c>
      <c r="N166" t="str">
        <f t="shared" si="28"/>
        <v>史诗装备升级石</v>
      </c>
      <c r="O166">
        <f t="shared" si="29"/>
        <v>85400</v>
      </c>
      <c r="P166">
        <f t="shared" ca="1" si="30"/>
        <v>53</v>
      </c>
      <c r="Q166">
        <f ca="1">D_装备基础数据!AR166</f>
        <v>4200</v>
      </c>
    </row>
    <row r="167" spans="1:17" x14ac:dyDescent="0.15">
      <c r="A167">
        <f t="shared" si="31"/>
        <v>70330</v>
      </c>
      <c r="B167" s="14">
        <f>D_装备基础数据!C167</f>
        <v>22</v>
      </c>
      <c r="C167" s="14">
        <f>D_装备基础数据!D167</f>
        <v>3</v>
      </c>
      <c r="D167" s="14" t="str">
        <f>D_装备基础数据!E167</f>
        <v>武器</v>
      </c>
      <c r="E167" s="14">
        <f>D_装备基础数据!F167</f>
        <v>0</v>
      </c>
      <c r="F167" s="14">
        <f>D_装备基础数据!I167</f>
        <v>3</v>
      </c>
      <c r="G167">
        <f>D_装备基础数据!G167</f>
        <v>70</v>
      </c>
      <c r="H167">
        <v>0</v>
      </c>
      <c r="I167">
        <f ca="1">INT(Q167*'[1]0、经济设定'!$C$19/10)*F167</f>
        <v>630000</v>
      </c>
      <c r="J167">
        <f t="shared" si="27"/>
        <v>80330</v>
      </c>
      <c r="K167" t="str">
        <f>IFERROR(VLOOKUP(L167,D_装备基础数据!$A$2:$B$212,2,FALSE),"")</f>
        <v>炼狱之枪</v>
      </c>
      <c r="L167" t="str">
        <f>IFERROR(IF(J167=0,0,VLOOKUP(J167,CHOOSE({1,2},D_装备基础数据!$AN$2:$AN$212,D_装备基础数据!$A$2:$A$212),2,FALSE)),0)</f>
        <v>30326</v>
      </c>
      <c r="M167">
        <v>1</v>
      </c>
      <c r="N167" t="str">
        <f t="shared" si="28"/>
        <v>史诗装备升级石</v>
      </c>
      <c r="O167">
        <f t="shared" si="29"/>
        <v>85400</v>
      </c>
      <c r="P167">
        <f t="shared" ca="1" si="30"/>
        <v>53</v>
      </c>
      <c r="Q167">
        <f ca="1">D_装备基础数据!AR167</f>
        <v>4200</v>
      </c>
    </row>
    <row r="168" spans="1:17" x14ac:dyDescent="0.15">
      <c r="A168">
        <f t="shared" si="31"/>
        <v>70031</v>
      </c>
      <c r="B168" s="14">
        <f>D_装备基础数据!C168</f>
        <v>22</v>
      </c>
      <c r="C168" s="14">
        <f>D_装备基础数据!D168</f>
        <v>0</v>
      </c>
      <c r="D168" s="14" t="str">
        <f>D_装备基础数据!E168</f>
        <v>衣服</v>
      </c>
      <c r="E168" s="14">
        <f>D_装备基础数据!F168</f>
        <v>1</v>
      </c>
      <c r="F168" s="14">
        <f>D_装备基础数据!I168</f>
        <v>3</v>
      </c>
      <c r="G168">
        <f>D_装备基础数据!G168</f>
        <v>70</v>
      </c>
      <c r="H168">
        <v>0</v>
      </c>
      <c r="I168">
        <f ca="1">INT(Q168*'[1]0、经济设定'!$C$19/10)*F168</f>
        <v>524271</v>
      </c>
      <c r="J168">
        <f t="shared" si="27"/>
        <v>80031</v>
      </c>
      <c r="K168" t="str">
        <f>IFERROR(VLOOKUP(L168,D_装备基础数据!$A$2:$B$212,2,FALSE),"")</f>
        <v>炼狱战衣</v>
      </c>
      <c r="L168" t="str">
        <f>IFERROR(IF(J168=0,0,VLOOKUP(J168,CHOOSE({1,2},D_装备基础数据!$AN$2:$AN$212,D_装备基础数据!$A$2:$A$212),2,FALSE)),0)</f>
        <v>51326</v>
      </c>
      <c r="M168">
        <v>1</v>
      </c>
      <c r="N168" t="str">
        <f t="shared" si="28"/>
        <v>史诗装备升级石</v>
      </c>
      <c r="O168">
        <f t="shared" si="29"/>
        <v>85400</v>
      </c>
      <c r="P168">
        <f t="shared" ca="1" si="30"/>
        <v>44</v>
      </c>
      <c r="Q168">
        <f ca="1">D_装备基础数据!AR168</f>
        <v>3495.1489774248871</v>
      </c>
    </row>
    <row r="169" spans="1:17" x14ac:dyDescent="0.15">
      <c r="A169">
        <f t="shared" si="31"/>
        <v>70032</v>
      </c>
      <c r="B169" s="14">
        <f>D_装备基础数据!C169</f>
        <v>22</v>
      </c>
      <c r="C169" s="14">
        <f>D_装备基础数据!D169</f>
        <v>0</v>
      </c>
      <c r="D169" s="14" t="str">
        <f>D_装备基础数据!E169</f>
        <v>裤子</v>
      </c>
      <c r="E169" s="14">
        <f>D_装备基础数据!F169</f>
        <v>2</v>
      </c>
      <c r="F169" s="14">
        <f>D_装备基础数据!I169</f>
        <v>3</v>
      </c>
      <c r="G169">
        <f>D_装备基础数据!G169</f>
        <v>70</v>
      </c>
      <c r="H169">
        <v>0</v>
      </c>
      <c r="I169">
        <f ca="1">INT(Q169*'[1]0、经济设定'!$C$19/10)*F169</f>
        <v>205146</v>
      </c>
      <c r="J169">
        <f t="shared" si="27"/>
        <v>80032</v>
      </c>
      <c r="K169" t="str">
        <f>IFERROR(VLOOKUP(L169,D_装备基础数据!$A$2:$B$212,2,FALSE),"")</f>
        <v>炼狱长裤</v>
      </c>
      <c r="L169" t="str">
        <f>IFERROR(IF(J169=0,0,VLOOKUP(J169,CHOOSE({1,2},D_装备基础数据!$AN$2:$AN$212,D_装备基础数据!$A$2:$A$212),2,FALSE)),0)</f>
        <v>52326</v>
      </c>
      <c r="M169">
        <v>1</v>
      </c>
      <c r="N169" t="str">
        <f t="shared" si="28"/>
        <v>史诗装备升级石</v>
      </c>
      <c r="O169">
        <f t="shared" si="29"/>
        <v>85400</v>
      </c>
      <c r="P169">
        <f t="shared" ca="1" si="30"/>
        <v>18</v>
      </c>
      <c r="Q169">
        <f ca="1">D_装备基础数据!AR169</f>
        <v>1367.650767392061</v>
      </c>
    </row>
    <row r="170" spans="1:17" x14ac:dyDescent="0.15">
      <c r="A170">
        <f t="shared" si="31"/>
        <v>70035</v>
      </c>
      <c r="B170" s="14">
        <f>D_装备基础数据!C170</f>
        <v>22</v>
      </c>
      <c r="C170" s="14">
        <f>D_装备基础数据!D170</f>
        <v>0</v>
      </c>
      <c r="D170" s="14" t="str">
        <f>D_装备基础数据!E170</f>
        <v>鞋子</v>
      </c>
      <c r="E170" s="14">
        <f>D_装备基础数据!F170</f>
        <v>5</v>
      </c>
      <c r="F170" s="14">
        <f>D_装备基础数据!I170</f>
        <v>3</v>
      </c>
      <c r="G170">
        <f>D_装备基础数据!G170</f>
        <v>70</v>
      </c>
      <c r="H170">
        <v>0</v>
      </c>
      <c r="I170">
        <f ca="1">INT(Q170*'[1]0、经济设定'!$C$19/10)*F170</f>
        <v>258462</v>
      </c>
      <c r="J170">
        <f t="shared" si="27"/>
        <v>80035</v>
      </c>
      <c r="K170" t="str">
        <f>IFERROR(VLOOKUP(L170,D_装备基础数据!$A$2:$B$212,2,FALSE),"")</f>
        <v>炼狱长靴</v>
      </c>
      <c r="L170" t="str">
        <f>IFERROR(IF(J170=0,0,VLOOKUP(J170,CHOOSE({1,2},D_装备基础数据!$AN$2:$AN$212,D_装备基础数据!$A$2:$A$212),2,FALSE)),0)</f>
        <v>55326</v>
      </c>
      <c r="M170">
        <v>1</v>
      </c>
      <c r="N170" t="str">
        <f t="shared" si="28"/>
        <v>史诗装备升级石</v>
      </c>
      <c r="O170">
        <f t="shared" si="29"/>
        <v>85400</v>
      </c>
      <c r="P170">
        <f t="shared" ca="1" si="30"/>
        <v>22</v>
      </c>
      <c r="Q170">
        <f ca="1">D_装备基础数据!AR170</f>
        <v>1723.0944431527219</v>
      </c>
    </row>
    <row r="171" spans="1:17" x14ac:dyDescent="0.15">
      <c r="A171">
        <f t="shared" si="31"/>
        <v>70034</v>
      </c>
      <c r="B171" s="14">
        <f>D_装备基础数据!C171</f>
        <v>22</v>
      </c>
      <c r="C171" s="14">
        <f>D_装备基础数据!D171</f>
        <v>0</v>
      </c>
      <c r="D171" s="14" t="str">
        <f>D_装备基础数据!E171</f>
        <v>腰带</v>
      </c>
      <c r="E171" s="14">
        <f>D_装备基础数据!F171</f>
        <v>4</v>
      </c>
      <c r="F171" s="14">
        <f>D_装备基础数据!I171</f>
        <v>3</v>
      </c>
      <c r="G171">
        <f>D_装备基础数据!G171</f>
        <v>70</v>
      </c>
      <c r="H171">
        <v>0</v>
      </c>
      <c r="I171">
        <f ca="1">INT(Q171*'[1]0、经济设定'!$C$19/10)*F171</f>
        <v>251703</v>
      </c>
      <c r="J171">
        <f t="shared" si="27"/>
        <v>80034</v>
      </c>
      <c r="K171" t="str">
        <f>IFERROR(VLOOKUP(L171,D_装备基础数据!$A$2:$B$212,2,FALSE),"")</f>
        <v>炼狱腰带</v>
      </c>
      <c r="L171" t="str">
        <f>IFERROR(IF(J171=0,0,VLOOKUP(J171,CHOOSE({1,2},D_装备基础数据!$AN$2:$AN$212,D_装备基础数据!$A$2:$A$212),2,FALSE)),0)</f>
        <v>54326</v>
      </c>
      <c r="M171">
        <v>1</v>
      </c>
      <c r="N171" t="str">
        <f t="shared" si="28"/>
        <v>史诗装备升级石</v>
      </c>
      <c r="O171">
        <f t="shared" si="29"/>
        <v>85400</v>
      </c>
      <c r="P171">
        <f t="shared" ca="1" si="30"/>
        <v>21</v>
      </c>
      <c r="Q171">
        <f ca="1">D_装备基础数据!AR171</f>
        <v>1678.0398085294091</v>
      </c>
    </row>
    <row r="172" spans="1:17" x14ac:dyDescent="0.15">
      <c r="A172">
        <f t="shared" si="31"/>
        <v>70033</v>
      </c>
      <c r="B172" s="14">
        <f>D_装备基础数据!C172</f>
        <v>22</v>
      </c>
      <c r="C172" s="14">
        <f>D_装备基础数据!D172</f>
        <v>0</v>
      </c>
      <c r="D172" s="14" t="str">
        <f>D_装备基础数据!E172</f>
        <v>项链</v>
      </c>
      <c r="E172" s="14">
        <f>D_装备基础数据!F172</f>
        <v>3</v>
      </c>
      <c r="F172" s="14">
        <f>D_装备基础数据!I172</f>
        <v>3</v>
      </c>
      <c r="G172">
        <f>D_装备基础数据!G172</f>
        <v>70</v>
      </c>
      <c r="H172">
        <v>0</v>
      </c>
      <c r="I172">
        <f ca="1">INT(Q172*'[1]0、经济设定'!$C$19/10)*F172</f>
        <v>366180</v>
      </c>
      <c r="J172">
        <f t="shared" si="27"/>
        <v>80033</v>
      </c>
      <c r="K172" t="str">
        <f>IFERROR(VLOOKUP(L172,D_装备基础数据!$A$2:$B$212,2,FALSE),"")</f>
        <v>炼狱项链</v>
      </c>
      <c r="L172" t="str">
        <f>IFERROR(IF(J172=0,0,VLOOKUP(J172,CHOOSE({1,2},D_装备基础数据!$AN$2:$AN$212,D_装备基础数据!$A$2:$A$212),2,FALSE)),0)</f>
        <v>53326</v>
      </c>
      <c r="M172">
        <v>1</v>
      </c>
      <c r="N172" t="str">
        <f t="shared" si="28"/>
        <v>史诗装备升级石</v>
      </c>
      <c r="O172">
        <f t="shared" si="29"/>
        <v>85400</v>
      </c>
      <c r="P172">
        <f t="shared" ca="1" si="30"/>
        <v>31</v>
      </c>
      <c r="Q172">
        <f ca="1">D_装备基础数据!AR172</f>
        <v>2441.214687326396</v>
      </c>
    </row>
    <row r="173" spans="1:17" x14ac:dyDescent="0.15">
      <c r="A173">
        <f t="shared" si="31"/>
        <v>70140</v>
      </c>
      <c r="B173" s="14">
        <f>D_装备基础数据!C173</f>
        <v>23</v>
      </c>
      <c r="C173" s="14">
        <f>D_装备基础数据!D173</f>
        <v>1</v>
      </c>
      <c r="D173" s="14" t="str">
        <f>D_装备基础数据!E173</f>
        <v>武器</v>
      </c>
      <c r="E173" s="14">
        <f>D_装备基础数据!F173</f>
        <v>0</v>
      </c>
      <c r="F173" s="14">
        <f>D_装备基础数据!I173</f>
        <v>4</v>
      </c>
      <c r="G173">
        <f>D_装备基础数据!G173</f>
        <v>70</v>
      </c>
      <c r="H173">
        <v>0</v>
      </c>
      <c r="I173">
        <f ca="1">INT(Q173*'[1]0、经济设定'!$C$19/10)*F173</f>
        <v>1400000</v>
      </c>
      <c r="J173">
        <f t="shared" si="27"/>
        <v>80140</v>
      </c>
      <c r="K173" t="str">
        <f>IFERROR(VLOOKUP(L173,D_装备基础数据!$A$2:$B$212,2,FALSE),"")</f>
        <v>青龙霸刀</v>
      </c>
      <c r="L173" t="str">
        <f>IFERROR(IF(J173=0,0,VLOOKUP(J173,CHOOSE({1,2},D_装备基础数据!$AN$2:$AN$212,D_装备基础数据!$A$2:$A$212),2,FALSE)),0)</f>
        <v>10427</v>
      </c>
      <c r="M173">
        <v>1</v>
      </c>
      <c r="N173" t="str">
        <f t="shared" si="28"/>
        <v>传说装备升级石</v>
      </c>
      <c r="O173">
        <f t="shared" si="29"/>
        <v>85500</v>
      </c>
      <c r="P173">
        <f t="shared" ca="1" si="30"/>
        <v>70</v>
      </c>
      <c r="Q173">
        <f ca="1">D_装备基础数据!AR173</f>
        <v>7000</v>
      </c>
    </row>
    <row r="174" spans="1:17" x14ac:dyDescent="0.15">
      <c r="A174">
        <f t="shared" si="31"/>
        <v>70240</v>
      </c>
      <c r="B174" s="14">
        <f>D_装备基础数据!C174</f>
        <v>23</v>
      </c>
      <c r="C174" s="14">
        <f>D_装备基础数据!D174</f>
        <v>2</v>
      </c>
      <c r="D174" s="14" t="str">
        <f>D_装备基础数据!E174</f>
        <v>武器</v>
      </c>
      <c r="E174" s="14">
        <f>D_装备基础数据!F174</f>
        <v>0</v>
      </c>
      <c r="F174" s="14">
        <f>D_装备基础数据!I174</f>
        <v>4</v>
      </c>
      <c r="G174">
        <f>D_装备基础数据!G174</f>
        <v>70</v>
      </c>
      <c r="H174">
        <v>0</v>
      </c>
      <c r="I174">
        <f ca="1">INT(Q174*'[1]0、经济设定'!$C$19/10)*F174</f>
        <v>1400000</v>
      </c>
      <c r="J174">
        <f t="shared" si="27"/>
        <v>80240</v>
      </c>
      <c r="K174" t="str">
        <f>IFERROR(VLOOKUP(L174,D_装备基础数据!$A$2:$B$212,2,FALSE),"")</f>
        <v>青龙之拳</v>
      </c>
      <c r="L174" t="str">
        <f>IFERROR(IF(J174=0,0,VLOOKUP(J174,CHOOSE({1,2},D_装备基础数据!$AN$2:$AN$212,D_装备基础数据!$A$2:$A$212),2,FALSE)),0)</f>
        <v>20427</v>
      </c>
      <c r="M174">
        <v>1</v>
      </c>
      <c r="N174" t="str">
        <f t="shared" si="28"/>
        <v>传说装备升级石</v>
      </c>
      <c r="O174">
        <f t="shared" si="29"/>
        <v>85500</v>
      </c>
      <c r="P174">
        <f t="shared" ca="1" si="30"/>
        <v>70</v>
      </c>
      <c r="Q174">
        <f ca="1">D_装备基础数据!AR174</f>
        <v>7000</v>
      </c>
    </row>
    <row r="175" spans="1:17" x14ac:dyDescent="0.15">
      <c r="A175">
        <f t="shared" si="31"/>
        <v>70340</v>
      </c>
      <c r="B175" s="14">
        <f>D_装备基础数据!C175</f>
        <v>23</v>
      </c>
      <c r="C175" s="14">
        <f>D_装备基础数据!D175</f>
        <v>3</v>
      </c>
      <c r="D175" s="14" t="str">
        <f>D_装备基础数据!E175</f>
        <v>武器</v>
      </c>
      <c r="E175" s="14">
        <f>D_装备基础数据!F175</f>
        <v>0</v>
      </c>
      <c r="F175" s="14">
        <f>D_装备基础数据!I175</f>
        <v>4</v>
      </c>
      <c r="G175">
        <f>D_装备基础数据!G175</f>
        <v>70</v>
      </c>
      <c r="H175">
        <v>0</v>
      </c>
      <c r="I175">
        <f ca="1">INT(Q175*'[1]0、经济设定'!$C$19/10)*F175</f>
        <v>1400000</v>
      </c>
      <c r="J175">
        <f t="shared" si="27"/>
        <v>80340</v>
      </c>
      <c r="K175" t="str">
        <f>IFERROR(VLOOKUP(L175,D_装备基础数据!$A$2:$B$212,2,FALSE),"")</f>
        <v>青龙之枪</v>
      </c>
      <c r="L175" t="str">
        <f>IFERROR(IF(J175=0,0,VLOOKUP(J175,CHOOSE({1,2},D_装备基础数据!$AN$2:$AN$212,D_装备基础数据!$A$2:$A$212),2,FALSE)),0)</f>
        <v>30427</v>
      </c>
      <c r="M175">
        <v>1</v>
      </c>
      <c r="N175" t="str">
        <f t="shared" si="28"/>
        <v>传说装备升级石</v>
      </c>
      <c r="O175">
        <f t="shared" si="29"/>
        <v>85500</v>
      </c>
      <c r="P175">
        <f t="shared" ca="1" si="30"/>
        <v>70</v>
      </c>
      <c r="Q175">
        <f ca="1">D_装备基础数据!AR175</f>
        <v>7000</v>
      </c>
    </row>
    <row r="176" spans="1:17" x14ac:dyDescent="0.15">
      <c r="A176">
        <f t="shared" si="31"/>
        <v>70041</v>
      </c>
      <c r="B176" s="14">
        <f>D_装备基础数据!C176</f>
        <v>23</v>
      </c>
      <c r="C176" s="14">
        <f>D_装备基础数据!D176</f>
        <v>0</v>
      </c>
      <c r="D176" s="14" t="str">
        <f>D_装备基础数据!E176</f>
        <v>衣服</v>
      </c>
      <c r="E176" s="14">
        <f>D_装备基础数据!F176</f>
        <v>1</v>
      </c>
      <c r="F176" s="14">
        <f>D_装备基础数据!I176</f>
        <v>4</v>
      </c>
      <c r="G176">
        <f>D_装备基础数据!G176</f>
        <v>70</v>
      </c>
      <c r="H176">
        <v>0</v>
      </c>
      <c r="I176">
        <f ca="1">INT(Q176*'[1]0、经济设定'!$C$19/10)*F176</f>
        <v>1143416</v>
      </c>
      <c r="J176">
        <f t="shared" si="27"/>
        <v>80041</v>
      </c>
      <c r="K176" t="str">
        <f>IFERROR(VLOOKUP(L176,D_装备基础数据!$A$2:$B$212,2,FALSE),"")</f>
        <v>青龙战衣</v>
      </c>
      <c r="L176" t="str">
        <f>IFERROR(IF(J176=0,0,VLOOKUP(J176,CHOOSE({1,2},D_装备基础数据!$AN$2:$AN$212,D_装备基础数据!$A$2:$A$212),2,FALSE)),0)</f>
        <v>51427</v>
      </c>
      <c r="M176">
        <v>1</v>
      </c>
      <c r="N176" t="str">
        <f t="shared" si="28"/>
        <v>传说装备升级石</v>
      </c>
      <c r="O176">
        <f t="shared" si="29"/>
        <v>85500</v>
      </c>
      <c r="P176">
        <f t="shared" ca="1" si="30"/>
        <v>58</v>
      </c>
      <c r="Q176">
        <f ca="1">D_装备基础数据!AR176</f>
        <v>5717.0913115125841</v>
      </c>
    </row>
    <row r="177" spans="1:17" x14ac:dyDescent="0.15">
      <c r="A177">
        <f t="shared" si="31"/>
        <v>70042</v>
      </c>
      <c r="B177" s="14">
        <f>D_装备基础数据!C177</f>
        <v>23</v>
      </c>
      <c r="C177" s="14">
        <f>D_装备基础数据!D177</f>
        <v>0</v>
      </c>
      <c r="D177" s="14" t="str">
        <f>D_装备基础数据!E177</f>
        <v>裤子</v>
      </c>
      <c r="E177" s="14">
        <f>D_装备基础数据!F177</f>
        <v>2</v>
      </c>
      <c r="F177" s="14">
        <f>D_装备基础数据!I177</f>
        <v>4</v>
      </c>
      <c r="G177">
        <f>D_装备基础数据!G177</f>
        <v>70</v>
      </c>
      <c r="H177">
        <v>0</v>
      </c>
      <c r="I177">
        <f ca="1">INT(Q177*'[1]0、经济设定'!$C$19/10)*F177</f>
        <v>461400</v>
      </c>
      <c r="J177">
        <f t="shared" si="27"/>
        <v>80042</v>
      </c>
      <c r="K177" t="str">
        <f>IFERROR(VLOOKUP(L177,D_装备基础数据!$A$2:$B$212,2,FALSE),"")</f>
        <v>青龙长裤</v>
      </c>
      <c r="L177" t="str">
        <f>IFERROR(IF(J177=0,0,VLOOKUP(J177,CHOOSE({1,2},D_装备基础数据!$AN$2:$AN$212,D_装备基础数据!$A$2:$A$212),2,FALSE)),0)</f>
        <v>52427</v>
      </c>
      <c r="M177">
        <v>1</v>
      </c>
      <c r="N177" t="str">
        <f t="shared" si="28"/>
        <v>传说装备升级石</v>
      </c>
      <c r="O177">
        <f t="shared" si="29"/>
        <v>85500</v>
      </c>
      <c r="P177">
        <f t="shared" ca="1" si="30"/>
        <v>24</v>
      </c>
      <c r="Q177">
        <f ca="1">D_装备基础数据!AR177</f>
        <v>2307.0148221788832</v>
      </c>
    </row>
    <row r="178" spans="1:17" x14ac:dyDescent="0.15">
      <c r="A178">
        <f t="shared" si="31"/>
        <v>70045</v>
      </c>
      <c r="B178" s="14">
        <f>D_装备基础数据!C178</f>
        <v>23</v>
      </c>
      <c r="C178" s="14">
        <f>D_装备基础数据!D178</f>
        <v>0</v>
      </c>
      <c r="D178" s="14" t="str">
        <f>D_装备基础数据!E178</f>
        <v>鞋子</v>
      </c>
      <c r="E178" s="14">
        <f>D_装备基础数据!F178</f>
        <v>5</v>
      </c>
      <c r="F178" s="14">
        <f>D_装备基础数据!I178</f>
        <v>4</v>
      </c>
      <c r="G178">
        <f>D_装备基础数据!G178</f>
        <v>70</v>
      </c>
      <c r="H178">
        <v>0</v>
      </c>
      <c r="I178">
        <f ca="1">INT(Q178*'[1]0、经济设定'!$C$19/10)*F178</f>
        <v>578152</v>
      </c>
      <c r="J178">
        <f t="shared" si="27"/>
        <v>80045</v>
      </c>
      <c r="K178" t="str">
        <f>IFERROR(VLOOKUP(L178,D_装备基础数据!$A$2:$B$212,2,FALSE),"")</f>
        <v>青龙长靴</v>
      </c>
      <c r="L178" t="str">
        <f>IFERROR(IF(J178=0,0,VLOOKUP(J178,CHOOSE({1,2},D_装备基础数据!$AN$2:$AN$212,D_装备基础数据!$A$2:$A$212),2,FALSE)),0)</f>
        <v>55427</v>
      </c>
      <c r="M178">
        <v>1</v>
      </c>
      <c r="N178" t="str">
        <f t="shared" ref="N178:N209" si="32">VLOOKUP(O178,$U$2:$V$6,2,FALSE)</f>
        <v>传说装备升级石</v>
      </c>
      <c r="O178">
        <f t="shared" ref="O178:O212" si="33">IF(J178=0,0,VLOOKUP(F178,$T$2:$X$6,2,FALSE))</f>
        <v>85500</v>
      </c>
      <c r="P178">
        <f t="shared" ca="1" si="30"/>
        <v>29</v>
      </c>
      <c r="Q178">
        <f ca="1">D_装备基础数据!AR178</f>
        <v>2890.764039061597</v>
      </c>
    </row>
    <row r="179" spans="1:17" x14ac:dyDescent="0.15">
      <c r="A179">
        <f t="shared" si="31"/>
        <v>70044</v>
      </c>
      <c r="B179" s="14">
        <f>D_装备基础数据!C179</f>
        <v>23</v>
      </c>
      <c r="C179" s="14">
        <f>D_装备基础数据!D179</f>
        <v>0</v>
      </c>
      <c r="D179" s="14" t="str">
        <f>D_装备基础数据!E179</f>
        <v>腰带</v>
      </c>
      <c r="E179" s="14">
        <f>D_装备基础数据!F179</f>
        <v>4</v>
      </c>
      <c r="F179" s="14">
        <f>D_装备基础数据!I179</f>
        <v>4</v>
      </c>
      <c r="G179">
        <f>D_装备基础数据!G179</f>
        <v>70</v>
      </c>
      <c r="H179">
        <v>0</v>
      </c>
      <c r="I179">
        <f ca="1">INT(Q179*'[1]0、经济设定'!$C$19/10)*F179</f>
        <v>611672</v>
      </c>
      <c r="J179">
        <f t="shared" si="27"/>
        <v>80044</v>
      </c>
      <c r="K179" t="str">
        <f>IFERROR(VLOOKUP(L179,D_装备基础数据!$A$2:$B$212,2,FALSE),"")</f>
        <v>青龙腰带</v>
      </c>
      <c r="L179" t="str">
        <f>IFERROR(IF(J179=0,0,VLOOKUP(J179,CHOOSE({1,2},D_装备基础数据!$AN$2:$AN$212,D_装备基础数据!$A$2:$A$212),2,FALSE)),0)</f>
        <v>54427</v>
      </c>
      <c r="M179">
        <v>1</v>
      </c>
      <c r="N179" t="str">
        <f t="shared" si="32"/>
        <v>传说装备升级石</v>
      </c>
      <c r="O179">
        <f t="shared" si="33"/>
        <v>85500</v>
      </c>
      <c r="P179">
        <f t="shared" ca="1" si="30"/>
        <v>31</v>
      </c>
      <c r="Q179">
        <f ca="1">D_装备基础数据!AR179</f>
        <v>3058.3677130288493</v>
      </c>
    </row>
    <row r="180" spans="1:17" x14ac:dyDescent="0.15">
      <c r="A180">
        <f t="shared" si="31"/>
        <v>70043</v>
      </c>
      <c r="B180" s="14">
        <f>D_装备基础数据!C180</f>
        <v>23</v>
      </c>
      <c r="C180" s="14">
        <f>D_装备基础数据!D180</f>
        <v>0</v>
      </c>
      <c r="D180" s="14" t="str">
        <f>D_装备基础数据!E180</f>
        <v>项链</v>
      </c>
      <c r="E180" s="14">
        <f>D_装备基础数据!F180</f>
        <v>3</v>
      </c>
      <c r="F180" s="14">
        <f>D_装备基础数据!I180</f>
        <v>4</v>
      </c>
      <c r="G180">
        <f>D_装备基础数据!G180</f>
        <v>70</v>
      </c>
      <c r="H180">
        <v>0</v>
      </c>
      <c r="I180">
        <f ca="1">INT(Q180*'[1]0、经济设定'!$C$19/10)*F180</f>
        <v>795376</v>
      </c>
      <c r="J180">
        <f t="shared" si="27"/>
        <v>80043</v>
      </c>
      <c r="K180" t="str">
        <f>IFERROR(VLOOKUP(L180,D_装备基础数据!$A$2:$B$212,2,FALSE),"")</f>
        <v>青龙项链</v>
      </c>
      <c r="L180" t="str">
        <f>IFERROR(IF(J180=0,0,VLOOKUP(J180,CHOOSE({1,2},D_装备基础数据!$AN$2:$AN$212,D_装备基础数据!$A$2:$A$212),2,FALSE)),0)</f>
        <v>53427</v>
      </c>
      <c r="M180">
        <v>1</v>
      </c>
      <c r="N180" t="str">
        <f t="shared" si="32"/>
        <v>传说装备升级石</v>
      </c>
      <c r="O180">
        <f t="shared" si="33"/>
        <v>85500</v>
      </c>
      <c r="P180">
        <f t="shared" ca="1" si="30"/>
        <v>40</v>
      </c>
      <c r="Q180">
        <f ca="1">D_装备基础数据!AR180</f>
        <v>3976.8877612055462</v>
      </c>
    </row>
    <row r="181" spans="1:17" x14ac:dyDescent="0.15">
      <c r="A181">
        <f t="shared" si="31"/>
        <v>80110</v>
      </c>
      <c r="B181" s="14">
        <f>D_装备基础数据!C181</f>
        <v>24</v>
      </c>
      <c r="C181" s="14">
        <f>D_装备基础数据!D181</f>
        <v>1</v>
      </c>
      <c r="D181" s="14" t="str">
        <f>D_装备基础数据!E181</f>
        <v>武器</v>
      </c>
      <c r="E181" s="14">
        <f>D_装备基础数据!F181</f>
        <v>0</v>
      </c>
      <c r="F181" s="14">
        <f>D_装备基础数据!I181</f>
        <v>1</v>
      </c>
      <c r="G181">
        <f>D_装备基础数据!G181</f>
        <v>80</v>
      </c>
      <c r="H181">
        <v>0</v>
      </c>
      <c r="I181">
        <f ca="1">INT(Q181*'[1]0、经济设定'!$C$19/10)*F181</f>
        <v>48000</v>
      </c>
      <c r="J181">
        <f t="shared" si="27"/>
        <v>0</v>
      </c>
      <c r="K181" t="str">
        <f>IFERROR(VLOOKUP(L181,D_装备基础数据!$A$2:$B$212,2,FALSE),"")</f>
        <v/>
      </c>
      <c r="L181">
        <f>IFERROR(IF(J181=0,0,VLOOKUP(J181,CHOOSE({1,2},D_装备基础数据!$AN$2:$AN$212,D_装备基础数据!$A$2:$A$212),2,FALSE)),0)</f>
        <v>0</v>
      </c>
      <c r="M181">
        <v>1</v>
      </c>
      <c r="N181" t="str">
        <f t="shared" si="32"/>
        <v>无</v>
      </c>
      <c r="O181">
        <f t="shared" si="33"/>
        <v>0</v>
      </c>
      <c r="P181">
        <f t="shared" si="30"/>
        <v>0</v>
      </c>
      <c r="Q181">
        <f ca="1">D_装备基础数据!AR181</f>
        <v>959.99999999999989</v>
      </c>
    </row>
    <row r="182" spans="1:17" x14ac:dyDescent="0.15">
      <c r="A182">
        <f t="shared" si="31"/>
        <v>80210</v>
      </c>
      <c r="B182" s="14">
        <f>D_装备基础数据!C182</f>
        <v>24</v>
      </c>
      <c r="C182" s="14">
        <f>D_装备基础数据!D182</f>
        <v>2</v>
      </c>
      <c r="D182" s="14" t="str">
        <f>D_装备基础数据!E182</f>
        <v>武器</v>
      </c>
      <c r="E182" s="14">
        <f>D_装备基础数据!F182</f>
        <v>0</v>
      </c>
      <c r="F182" s="14">
        <f>D_装备基础数据!I182</f>
        <v>1</v>
      </c>
      <c r="G182">
        <f>D_装备基础数据!G182</f>
        <v>80</v>
      </c>
      <c r="H182">
        <v>0</v>
      </c>
      <c r="I182">
        <f ca="1">INT(Q182*'[1]0、经济设定'!$C$19/10)*F182</f>
        <v>48000</v>
      </c>
      <c r="J182">
        <f t="shared" ref="J182:J212" si="34">IF(OR(G182&lt;15,G182=80),0,(G182+10)*1000+C182*100+F182*10+E182)</f>
        <v>0</v>
      </c>
      <c r="K182" t="str">
        <f>IFERROR(VLOOKUP(L182,D_装备基础数据!$A$2:$B$212,2,FALSE),"")</f>
        <v/>
      </c>
      <c r="L182">
        <f>IFERROR(IF(J182=0,0,VLOOKUP(J182,CHOOSE({1,2},D_装备基础数据!$AN$2:$AN$212,D_装备基础数据!$A$2:$A$212),2,FALSE)),0)</f>
        <v>0</v>
      </c>
      <c r="M182">
        <v>1</v>
      </c>
      <c r="N182" t="str">
        <f t="shared" si="32"/>
        <v>无</v>
      </c>
      <c r="O182">
        <f t="shared" si="33"/>
        <v>0</v>
      </c>
      <c r="P182">
        <f t="shared" si="30"/>
        <v>0</v>
      </c>
      <c r="Q182">
        <f ca="1">D_装备基础数据!AR182</f>
        <v>959.99999999999989</v>
      </c>
    </row>
    <row r="183" spans="1:17" x14ac:dyDescent="0.15">
      <c r="A183">
        <f t="shared" si="31"/>
        <v>80310</v>
      </c>
      <c r="B183" s="14">
        <f>D_装备基础数据!C183</f>
        <v>24</v>
      </c>
      <c r="C183" s="14">
        <f>D_装备基础数据!D183</f>
        <v>3</v>
      </c>
      <c r="D183" s="14" t="str">
        <f>D_装备基础数据!E183</f>
        <v>武器</v>
      </c>
      <c r="E183" s="14">
        <f>D_装备基础数据!F183</f>
        <v>0</v>
      </c>
      <c r="F183" s="14">
        <f>D_装备基础数据!I183</f>
        <v>1</v>
      </c>
      <c r="G183">
        <f>D_装备基础数据!G183</f>
        <v>80</v>
      </c>
      <c r="H183">
        <v>0</v>
      </c>
      <c r="I183">
        <f ca="1">INT(Q183*'[1]0、经济设定'!$C$19/10)*F183</f>
        <v>48000</v>
      </c>
      <c r="J183">
        <f t="shared" si="34"/>
        <v>0</v>
      </c>
      <c r="K183" t="str">
        <f>IFERROR(VLOOKUP(L183,D_装备基础数据!$A$2:$B$212,2,FALSE),"")</f>
        <v/>
      </c>
      <c r="L183">
        <f>IFERROR(IF(J183=0,0,VLOOKUP(J183,CHOOSE({1,2},D_装备基础数据!$AN$2:$AN$212,D_装备基础数据!$A$2:$A$212),2,FALSE)),0)</f>
        <v>0</v>
      </c>
      <c r="M183">
        <v>1</v>
      </c>
      <c r="N183" t="str">
        <f t="shared" si="32"/>
        <v>无</v>
      </c>
      <c r="O183">
        <f t="shared" si="33"/>
        <v>0</v>
      </c>
      <c r="P183">
        <f t="shared" si="30"/>
        <v>0</v>
      </c>
      <c r="Q183">
        <f ca="1">D_装备基础数据!AR183</f>
        <v>959.99999999999989</v>
      </c>
    </row>
    <row r="184" spans="1:17" x14ac:dyDescent="0.15">
      <c r="A184">
        <f t="shared" si="31"/>
        <v>80011</v>
      </c>
      <c r="B184" s="14">
        <f>D_装备基础数据!C184</f>
        <v>24</v>
      </c>
      <c r="C184" s="14">
        <f>D_装备基础数据!D184</f>
        <v>0</v>
      </c>
      <c r="D184" s="14" t="str">
        <f>D_装备基础数据!E184</f>
        <v>衣服</v>
      </c>
      <c r="E184" s="14">
        <f>D_装备基础数据!F184</f>
        <v>1</v>
      </c>
      <c r="F184" s="14">
        <f>D_装备基础数据!I184</f>
        <v>1</v>
      </c>
      <c r="G184">
        <f>D_装备基础数据!G184</f>
        <v>80</v>
      </c>
      <c r="H184">
        <v>0</v>
      </c>
      <c r="I184">
        <f ca="1">INT(Q184*'[1]0、经济设定'!$C$19/10)*F184</f>
        <v>41408</v>
      </c>
      <c r="J184">
        <f t="shared" si="34"/>
        <v>0</v>
      </c>
      <c r="K184" t="str">
        <f>IFERROR(VLOOKUP(L184,D_装备基础数据!$A$2:$B$212,2,FALSE),"")</f>
        <v/>
      </c>
      <c r="L184">
        <f>IFERROR(IF(J184=0,0,VLOOKUP(J184,CHOOSE({1,2},D_装备基础数据!$AN$2:$AN$212,D_装备基础数据!$A$2:$A$212),2,FALSE)),0)</f>
        <v>0</v>
      </c>
      <c r="M184">
        <v>1</v>
      </c>
      <c r="N184" t="str">
        <f t="shared" si="32"/>
        <v>无</v>
      </c>
      <c r="O184">
        <f t="shared" si="33"/>
        <v>0</v>
      </c>
      <c r="P184">
        <f t="shared" si="30"/>
        <v>0</v>
      </c>
      <c r="Q184">
        <f ca="1">D_装备基础数据!AR184</f>
        <v>828.17443781259544</v>
      </c>
    </row>
    <row r="185" spans="1:17" x14ac:dyDescent="0.15">
      <c r="A185">
        <f t="shared" si="31"/>
        <v>80012</v>
      </c>
      <c r="B185" s="14">
        <f>D_装备基础数据!C185</f>
        <v>24</v>
      </c>
      <c r="C185" s="14">
        <f>D_装备基础数据!D185</f>
        <v>0</v>
      </c>
      <c r="D185" s="14" t="str">
        <f>D_装备基础数据!E185</f>
        <v>裤子</v>
      </c>
      <c r="E185" s="14">
        <f>D_装备基础数据!F185</f>
        <v>2</v>
      </c>
      <c r="F185" s="14">
        <f>D_装备基础数据!I185</f>
        <v>1</v>
      </c>
      <c r="G185">
        <f>D_装备基础数据!G185</f>
        <v>80</v>
      </c>
      <c r="H185">
        <v>0</v>
      </c>
      <c r="I185">
        <f ca="1">INT(Q185*'[1]0、经济设定'!$C$19/10)*F185</f>
        <v>15256</v>
      </c>
      <c r="J185">
        <f t="shared" si="34"/>
        <v>0</v>
      </c>
      <c r="K185" t="str">
        <f>IFERROR(VLOOKUP(L185,D_装备基础数据!$A$2:$B$212,2,FALSE),"")</f>
        <v/>
      </c>
      <c r="L185">
        <f>IFERROR(IF(J185=0,0,VLOOKUP(J185,CHOOSE({1,2},D_装备基础数据!$AN$2:$AN$212,D_装备基础数据!$A$2:$A$212),2,FALSE)),0)</f>
        <v>0</v>
      </c>
      <c r="M185">
        <v>1</v>
      </c>
      <c r="N185" t="str">
        <f t="shared" si="32"/>
        <v>无</v>
      </c>
      <c r="O185">
        <f t="shared" si="33"/>
        <v>0</v>
      </c>
      <c r="P185">
        <f t="shared" si="30"/>
        <v>0</v>
      </c>
      <c r="Q185">
        <f ca="1">D_装备基础数据!AR185</f>
        <v>305.13410183799556</v>
      </c>
    </row>
    <row r="186" spans="1:17" x14ac:dyDescent="0.15">
      <c r="A186">
        <f t="shared" si="31"/>
        <v>80015</v>
      </c>
      <c r="B186" s="14">
        <f>D_装备基础数据!C186</f>
        <v>24</v>
      </c>
      <c r="C186" s="14">
        <f>D_装备基础数据!D186</f>
        <v>0</v>
      </c>
      <c r="D186" s="14" t="str">
        <f>D_装备基础数据!E186</f>
        <v>鞋子</v>
      </c>
      <c r="E186" s="14">
        <f>D_装备基础数据!F186</f>
        <v>5</v>
      </c>
      <c r="F186" s="14">
        <f>D_装备基础数据!I186</f>
        <v>1</v>
      </c>
      <c r="G186">
        <f>D_装备基础数据!G186</f>
        <v>80</v>
      </c>
      <c r="H186">
        <v>0</v>
      </c>
      <c r="I186">
        <f ca="1">INT(Q186*'[1]0、经济设定'!$C$19/10)*F186</f>
        <v>19436</v>
      </c>
      <c r="J186">
        <f t="shared" si="34"/>
        <v>0</v>
      </c>
      <c r="K186" t="str">
        <f>IFERROR(VLOOKUP(L186,D_装备基础数据!$A$2:$B$212,2,FALSE),"")</f>
        <v/>
      </c>
      <c r="L186">
        <f>IFERROR(IF(J186=0,0,VLOOKUP(J186,CHOOSE({1,2},D_装备基础数据!$AN$2:$AN$212,D_装备基础数据!$A$2:$A$212),2,FALSE)),0)</f>
        <v>0</v>
      </c>
      <c r="M186">
        <v>1</v>
      </c>
      <c r="N186" t="str">
        <f t="shared" si="32"/>
        <v>无</v>
      </c>
      <c r="O186">
        <f t="shared" si="33"/>
        <v>0</v>
      </c>
      <c r="P186">
        <f t="shared" si="30"/>
        <v>0</v>
      </c>
      <c r="Q186">
        <f ca="1">D_装备基础数据!AR186</f>
        <v>388.7222079489473</v>
      </c>
    </row>
    <row r="187" spans="1:17" x14ac:dyDescent="0.15">
      <c r="A187">
        <f t="shared" si="31"/>
        <v>80014</v>
      </c>
      <c r="B187" s="14">
        <f>D_装备基础数据!C187</f>
        <v>24</v>
      </c>
      <c r="C187" s="14">
        <f>D_装备基础数据!D187</f>
        <v>0</v>
      </c>
      <c r="D187" s="14" t="str">
        <f>D_装备基础数据!E187</f>
        <v>腰带</v>
      </c>
      <c r="E187" s="14">
        <f>D_装备基础数据!F187</f>
        <v>4</v>
      </c>
      <c r="F187" s="14">
        <f>D_装备基础数据!I187</f>
        <v>1</v>
      </c>
      <c r="G187">
        <f>D_装备基础数据!G187</f>
        <v>80</v>
      </c>
      <c r="H187">
        <v>0</v>
      </c>
      <c r="I187">
        <f ca="1">INT(Q187*'[1]0、经济设定'!$C$19/10)*F187</f>
        <v>15635</v>
      </c>
      <c r="J187">
        <f t="shared" si="34"/>
        <v>0</v>
      </c>
      <c r="K187" t="str">
        <f>IFERROR(VLOOKUP(L187,D_装备基础数据!$A$2:$B$212,2,FALSE),"")</f>
        <v/>
      </c>
      <c r="L187">
        <f>IFERROR(IF(J187=0,0,VLOOKUP(J187,CHOOSE({1,2},D_装备基础数据!$AN$2:$AN$212,D_装备基础数据!$A$2:$A$212),2,FALSE)),0)</f>
        <v>0</v>
      </c>
      <c r="M187">
        <v>1</v>
      </c>
      <c r="N187" t="str">
        <f t="shared" si="32"/>
        <v>无</v>
      </c>
      <c r="O187">
        <f t="shared" si="33"/>
        <v>0</v>
      </c>
      <c r="P187">
        <f t="shared" si="30"/>
        <v>0</v>
      </c>
      <c r="Q187">
        <f ca="1">D_装备基础数据!AR187</f>
        <v>312.71499168419757</v>
      </c>
    </row>
    <row r="188" spans="1:17" x14ac:dyDescent="0.15">
      <c r="A188">
        <f t="shared" si="31"/>
        <v>80013</v>
      </c>
      <c r="B188" s="14">
        <f>D_装备基础数据!C188</f>
        <v>24</v>
      </c>
      <c r="C188" s="14">
        <f>D_装备基础数据!D188</f>
        <v>0</v>
      </c>
      <c r="D188" s="14" t="str">
        <f>D_装备基础数据!E188</f>
        <v>项链</v>
      </c>
      <c r="E188" s="14">
        <f>D_装备基础数据!F188</f>
        <v>3</v>
      </c>
      <c r="F188" s="14">
        <f>D_装备基础数据!I188</f>
        <v>1</v>
      </c>
      <c r="G188">
        <f>D_装备基础数据!G188</f>
        <v>80</v>
      </c>
      <c r="H188">
        <v>0</v>
      </c>
      <c r="I188">
        <f ca="1">INT(Q188*'[1]0、经济设定'!$C$19/10)*F188</f>
        <v>29142</v>
      </c>
      <c r="J188">
        <f t="shared" si="34"/>
        <v>0</v>
      </c>
      <c r="K188" t="str">
        <f>IFERROR(VLOOKUP(L188,D_装备基础数据!$A$2:$B$212,2,FALSE),"")</f>
        <v/>
      </c>
      <c r="L188">
        <f>IFERROR(IF(J188=0,0,VLOOKUP(J188,CHOOSE({1,2},D_装备基础数据!$AN$2:$AN$212,D_装备基础数据!$A$2:$A$212),2,FALSE)),0)</f>
        <v>0</v>
      </c>
      <c r="M188">
        <v>1</v>
      </c>
      <c r="N188" t="str">
        <f t="shared" si="32"/>
        <v>无</v>
      </c>
      <c r="O188">
        <f t="shared" si="33"/>
        <v>0</v>
      </c>
      <c r="P188">
        <f t="shared" si="30"/>
        <v>0</v>
      </c>
      <c r="Q188">
        <f ca="1">D_装备基础数据!AR188</f>
        <v>582.84747373103676</v>
      </c>
    </row>
    <row r="189" spans="1:17" x14ac:dyDescent="0.15">
      <c r="A189">
        <f t="shared" si="31"/>
        <v>80120</v>
      </c>
      <c r="B189" s="14">
        <f>D_装备基础数据!C189</f>
        <v>25</v>
      </c>
      <c r="C189" s="14">
        <f>D_装备基础数据!D189</f>
        <v>1</v>
      </c>
      <c r="D189" s="14" t="str">
        <f>D_装备基础数据!E189</f>
        <v>武器</v>
      </c>
      <c r="E189" s="14">
        <f>D_装备基础数据!F189</f>
        <v>0</v>
      </c>
      <c r="F189" s="14">
        <f>D_装备基础数据!I189</f>
        <v>2</v>
      </c>
      <c r="G189">
        <f>D_装备基础数据!G189</f>
        <v>80</v>
      </c>
      <c r="H189">
        <v>0</v>
      </c>
      <c r="I189">
        <f ca="1">INT(Q189*'[1]0、经济设定'!$C$19/10)*F189</f>
        <v>192000</v>
      </c>
      <c r="J189">
        <f t="shared" si="34"/>
        <v>0</v>
      </c>
      <c r="K189" t="str">
        <f>IFERROR(VLOOKUP(L189,D_装备基础数据!$A$2:$B$212,2,FALSE),"")</f>
        <v/>
      </c>
      <c r="L189">
        <f>IFERROR(IF(J189=0,0,VLOOKUP(J189,CHOOSE({1,2},D_装备基础数据!$AN$2:$AN$212,D_装备基础数据!$A$2:$A$212),2,FALSE)),0)</f>
        <v>0</v>
      </c>
      <c r="M189">
        <v>1</v>
      </c>
      <c r="N189" t="str">
        <f t="shared" si="32"/>
        <v>无</v>
      </c>
      <c r="O189">
        <f t="shared" si="33"/>
        <v>0</v>
      </c>
      <c r="P189">
        <f t="shared" si="30"/>
        <v>0</v>
      </c>
      <c r="Q189">
        <f ca="1">D_装备基础数据!AR189</f>
        <v>1920</v>
      </c>
    </row>
    <row r="190" spans="1:17" x14ac:dyDescent="0.15">
      <c r="A190">
        <f t="shared" si="31"/>
        <v>80220</v>
      </c>
      <c r="B190" s="14">
        <f>D_装备基础数据!C190</f>
        <v>25</v>
      </c>
      <c r="C190" s="14">
        <f>D_装备基础数据!D190</f>
        <v>2</v>
      </c>
      <c r="D190" s="14" t="str">
        <f>D_装备基础数据!E190</f>
        <v>武器</v>
      </c>
      <c r="E190" s="14">
        <f>D_装备基础数据!F190</f>
        <v>0</v>
      </c>
      <c r="F190" s="14">
        <f>D_装备基础数据!I190</f>
        <v>2</v>
      </c>
      <c r="G190">
        <f>D_装备基础数据!G190</f>
        <v>80</v>
      </c>
      <c r="H190">
        <v>0</v>
      </c>
      <c r="I190">
        <f ca="1">INT(Q190*'[1]0、经济设定'!$C$19/10)*F190</f>
        <v>192000</v>
      </c>
      <c r="J190">
        <f t="shared" si="34"/>
        <v>0</v>
      </c>
      <c r="K190" t="str">
        <f>IFERROR(VLOOKUP(L190,D_装备基础数据!$A$2:$B$212,2,FALSE),"")</f>
        <v/>
      </c>
      <c r="L190">
        <f>IFERROR(IF(J190=0,0,VLOOKUP(J190,CHOOSE({1,2},D_装备基础数据!$AN$2:$AN$212,D_装备基础数据!$A$2:$A$212),2,FALSE)),0)</f>
        <v>0</v>
      </c>
      <c r="M190">
        <v>1</v>
      </c>
      <c r="N190" t="str">
        <f t="shared" si="32"/>
        <v>无</v>
      </c>
      <c r="O190">
        <f t="shared" si="33"/>
        <v>0</v>
      </c>
      <c r="P190">
        <f t="shared" si="30"/>
        <v>0</v>
      </c>
      <c r="Q190">
        <f ca="1">D_装备基础数据!AR190</f>
        <v>1920</v>
      </c>
    </row>
    <row r="191" spans="1:17" x14ac:dyDescent="0.15">
      <c r="A191">
        <f t="shared" si="31"/>
        <v>80320</v>
      </c>
      <c r="B191" s="14">
        <f>D_装备基础数据!C191</f>
        <v>25</v>
      </c>
      <c r="C191" s="14">
        <f>D_装备基础数据!D191</f>
        <v>3</v>
      </c>
      <c r="D191" s="14" t="str">
        <f>D_装备基础数据!E191</f>
        <v>武器</v>
      </c>
      <c r="E191" s="14">
        <f>D_装备基础数据!F191</f>
        <v>0</v>
      </c>
      <c r="F191" s="14">
        <f>D_装备基础数据!I191</f>
        <v>2</v>
      </c>
      <c r="G191">
        <f>D_装备基础数据!G191</f>
        <v>80</v>
      </c>
      <c r="H191">
        <v>0</v>
      </c>
      <c r="I191">
        <f ca="1">INT(Q191*'[1]0、经济设定'!$C$19/10)*F191</f>
        <v>192000</v>
      </c>
      <c r="J191">
        <f t="shared" si="34"/>
        <v>0</v>
      </c>
      <c r="K191" t="str">
        <f>IFERROR(VLOOKUP(L191,D_装备基础数据!$A$2:$B$212,2,FALSE),"")</f>
        <v/>
      </c>
      <c r="L191">
        <f>IFERROR(IF(J191=0,0,VLOOKUP(J191,CHOOSE({1,2},D_装备基础数据!$AN$2:$AN$212,D_装备基础数据!$A$2:$A$212),2,FALSE)),0)</f>
        <v>0</v>
      </c>
      <c r="M191">
        <v>1</v>
      </c>
      <c r="N191" t="str">
        <f t="shared" si="32"/>
        <v>无</v>
      </c>
      <c r="O191">
        <f t="shared" si="33"/>
        <v>0</v>
      </c>
      <c r="P191">
        <f t="shared" si="30"/>
        <v>0</v>
      </c>
      <c r="Q191">
        <f ca="1">D_装备基础数据!AR191</f>
        <v>1920</v>
      </c>
    </row>
    <row r="192" spans="1:17" x14ac:dyDescent="0.15">
      <c r="A192">
        <f t="shared" si="31"/>
        <v>80021</v>
      </c>
      <c r="B192" s="14">
        <f>D_装备基础数据!C192</f>
        <v>25</v>
      </c>
      <c r="C192" s="14">
        <f>D_装备基础数据!D192</f>
        <v>0</v>
      </c>
      <c r="D192" s="14" t="str">
        <f>D_装备基础数据!E192</f>
        <v>衣服</v>
      </c>
      <c r="E192" s="14">
        <f>D_装备基础数据!F192</f>
        <v>1</v>
      </c>
      <c r="F192" s="14">
        <f>D_装备基础数据!I192</f>
        <v>2</v>
      </c>
      <c r="G192">
        <f>D_装备基础数据!G192</f>
        <v>80</v>
      </c>
      <c r="H192">
        <v>0</v>
      </c>
      <c r="I192">
        <f ca="1">INT(Q192*'[1]0、经济设定'!$C$19/10)*F192</f>
        <v>162718</v>
      </c>
      <c r="J192">
        <f t="shared" si="34"/>
        <v>0</v>
      </c>
      <c r="K192" t="str">
        <f>IFERROR(VLOOKUP(L192,D_装备基础数据!$A$2:$B$212,2,FALSE),"")</f>
        <v/>
      </c>
      <c r="L192">
        <f>IFERROR(IF(J192=0,0,VLOOKUP(J192,CHOOSE({1,2},D_装备基础数据!$AN$2:$AN$212,D_装备基础数据!$A$2:$A$212),2,FALSE)),0)</f>
        <v>0</v>
      </c>
      <c r="M192">
        <v>1</v>
      </c>
      <c r="N192" t="str">
        <f t="shared" si="32"/>
        <v>无</v>
      </c>
      <c r="O192">
        <f t="shared" si="33"/>
        <v>0</v>
      </c>
      <c r="P192">
        <f t="shared" si="30"/>
        <v>0</v>
      </c>
      <c r="Q192">
        <f ca="1">D_装备基础数据!AR192</f>
        <v>1627.1920885351622</v>
      </c>
    </row>
    <row r="193" spans="1:17" x14ac:dyDescent="0.15">
      <c r="A193">
        <f t="shared" si="31"/>
        <v>80022</v>
      </c>
      <c r="B193" s="14">
        <f>D_装备基础数据!C193</f>
        <v>25</v>
      </c>
      <c r="C193" s="14">
        <f>D_装备基础数据!D193</f>
        <v>0</v>
      </c>
      <c r="D193" s="14" t="str">
        <f>D_装备基础数据!E193</f>
        <v>裤子</v>
      </c>
      <c r="E193" s="14">
        <f>D_装备基础数据!F193</f>
        <v>2</v>
      </c>
      <c r="F193" s="14">
        <f>D_装备基础数据!I193</f>
        <v>2</v>
      </c>
      <c r="G193">
        <f>D_装备基础数据!G193</f>
        <v>80</v>
      </c>
      <c r="H193">
        <v>0</v>
      </c>
      <c r="I193">
        <f ca="1">INT(Q193*'[1]0、经济设定'!$C$19/10)*F193</f>
        <v>61770</v>
      </c>
      <c r="J193">
        <f t="shared" si="34"/>
        <v>0</v>
      </c>
      <c r="K193" t="str">
        <f>IFERROR(VLOOKUP(L193,D_装备基础数据!$A$2:$B$212,2,FALSE),"")</f>
        <v/>
      </c>
      <c r="L193">
        <f>IFERROR(IF(J193=0,0,VLOOKUP(J193,CHOOSE({1,2},D_装备基础数据!$AN$2:$AN$212,D_装备基础数据!$A$2:$A$212),2,FALSE)),0)</f>
        <v>0</v>
      </c>
      <c r="M193">
        <v>1</v>
      </c>
      <c r="N193" t="str">
        <f t="shared" si="32"/>
        <v>无</v>
      </c>
      <c r="O193">
        <f t="shared" si="33"/>
        <v>0</v>
      </c>
      <c r="P193">
        <f t="shared" si="30"/>
        <v>0</v>
      </c>
      <c r="Q193">
        <f ca="1">D_装备基础数据!AR193</f>
        <v>617.70772558192186</v>
      </c>
    </row>
    <row r="194" spans="1:17" x14ac:dyDescent="0.15">
      <c r="A194">
        <f t="shared" si="31"/>
        <v>80025</v>
      </c>
      <c r="B194" s="14">
        <f>D_装备基础数据!C194</f>
        <v>25</v>
      </c>
      <c r="C194" s="14">
        <f>D_装备基础数据!D194</f>
        <v>0</v>
      </c>
      <c r="D194" s="14" t="str">
        <f>D_装备基础数据!E194</f>
        <v>鞋子</v>
      </c>
      <c r="E194" s="14">
        <f>D_装备基础数据!F194</f>
        <v>5</v>
      </c>
      <c r="F194" s="14">
        <f>D_装备基础数据!I194</f>
        <v>2</v>
      </c>
      <c r="G194">
        <f>D_装备基础数据!G194</f>
        <v>80</v>
      </c>
      <c r="H194">
        <v>0</v>
      </c>
      <c r="I194">
        <f ca="1">INT(Q194*'[1]0、经济设定'!$C$19/10)*F194</f>
        <v>78254</v>
      </c>
      <c r="J194">
        <f t="shared" si="34"/>
        <v>0</v>
      </c>
      <c r="K194" t="str">
        <f>IFERROR(VLOOKUP(L194,D_装备基础数据!$A$2:$B$212,2,FALSE),"")</f>
        <v/>
      </c>
      <c r="L194">
        <f>IFERROR(IF(J194=0,0,VLOOKUP(J194,CHOOSE({1,2},D_装备基础数据!$AN$2:$AN$212,D_装备基础数据!$A$2:$A$212),2,FALSE)),0)</f>
        <v>0</v>
      </c>
      <c r="M194">
        <v>1</v>
      </c>
      <c r="N194" t="str">
        <f t="shared" si="32"/>
        <v>无</v>
      </c>
      <c r="O194">
        <f t="shared" si="33"/>
        <v>0</v>
      </c>
      <c r="P194">
        <f t="shared" si="30"/>
        <v>0</v>
      </c>
      <c r="Q194">
        <f ca="1">D_装备基础数据!AR194</f>
        <v>782.55022199550297</v>
      </c>
    </row>
    <row r="195" spans="1:17" x14ac:dyDescent="0.15">
      <c r="A195">
        <f t="shared" si="31"/>
        <v>80024</v>
      </c>
      <c r="B195" s="14">
        <f>D_装备基础数据!C195</f>
        <v>25</v>
      </c>
      <c r="C195" s="14">
        <f>D_装备基础数据!D195</f>
        <v>0</v>
      </c>
      <c r="D195" s="14" t="str">
        <f>D_装备基础数据!E195</f>
        <v>腰带</v>
      </c>
      <c r="E195" s="14">
        <f>D_装备基础数据!F195</f>
        <v>4</v>
      </c>
      <c r="F195" s="14">
        <f>D_装备基础数据!I195</f>
        <v>2</v>
      </c>
      <c r="G195">
        <f>D_装备基础数据!G195</f>
        <v>80</v>
      </c>
      <c r="H195">
        <v>0</v>
      </c>
      <c r="I195">
        <f ca="1">INT(Q195*'[1]0、经济设定'!$C$19/10)*F195</f>
        <v>69596</v>
      </c>
      <c r="J195">
        <f t="shared" si="34"/>
        <v>0</v>
      </c>
      <c r="K195" t="str">
        <f>IFERROR(VLOOKUP(L195,D_装备基础数据!$A$2:$B$212,2,FALSE),"")</f>
        <v/>
      </c>
      <c r="L195">
        <f>IFERROR(IF(J195=0,0,VLOOKUP(J195,CHOOSE({1,2},D_装备基础数据!$AN$2:$AN$212,D_装备基础数据!$A$2:$A$212),2,FALSE)),0)</f>
        <v>0</v>
      </c>
      <c r="M195">
        <v>1</v>
      </c>
      <c r="N195" t="str">
        <f t="shared" si="32"/>
        <v>无</v>
      </c>
      <c r="O195">
        <f t="shared" si="33"/>
        <v>0</v>
      </c>
      <c r="P195">
        <f t="shared" si="30"/>
        <v>0</v>
      </c>
      <c r="Q195">
        <f ca="1">D_装备基础数据!AR195</f>
        <v>695.96104768566659</v>
      </c>
    </row>
    <row r="196" spans="1:17" x14ac:dyDescent="0.15">
      <c r="A196">
        <f t="shared" si="31"/>
        <v>80023</v>
      </c>
      <c r="B196" s="14">
        <f>D_装备基础数据!C196</f>
        <v>25</v>
      </c>
      <c r="C196" s="14">
        <f>D_装备基础数据!D196</f>
        <v>0</v>
      </c>
      <c r="D196" s="14" t="str">
        <f>D_装备基础数据!E196</f>
        <v>项链</v>
      </c>
      <c r="E196" s="14">
        <f>D_装备基础数据!F196</f>
        <v>3</v>
      </c>
      <c r="F196" s="14">
        <f>D_装备基础数据!I196</f>
        <v>2</v>
      </c>
      <c r="G196">
        <f>D_装备基础数据!G196</f>
        <v>80</v>
      </c>
      <c r="H196">
        <v>0</v>
      </c>
      <c r="I196">
        <f ca="1">INT(Q196*'[1]0、经济设定'!$C$19/10)*F196</f>
        <v>114094</v>
      </c>
      <c r="J196">
        <f t="shared" si="34"/>
        <v>0</v>
      </c>
      <c r="K196" t="str">
        <f>IFERROR(VLOOKUP(L196,D_装备基础数据!$A$2:$B$212,2,FALSE),"")</f>
        <v/>
      </c>
      <c r="L196">
        <f>IFERROR(IF(J196=0,0,VLOOKUP(J196,CHOOSE({1,2},D_装备基础数据!$AN$2:$AN$212,D_装备基础数据!$A$2:$A$212),2,FALSE)),0)</f>
        <v>0</v>
      </c>
      <c r="M196">
        <v>1</v>
      </c>
      <c r="N196" t="str">
        <f t="shared" si="32"/>
        <v>无</v>
      </c>
      <c r="O196">
        <f t="shared" si="33"/>
        <v>0</v>
      </c>
      <c r="P196">
        <f t="shared" si="30"/>
        <v>0</v>
      </c>
      <c r="Q196">
        <f ca="1">D_装备基础数据!AR196</f>
        <v>1140.9467377074418</v>
      </c>
    </row>
    <row r="197" spans="1:17" x14ac:dyDescent="0.15">
      <c r="A197">
        <f t="shared" si="31"/>
        <v>80130</v>
      </c>
      <c r="B197" s="14">
        <f>D_装备基础数据!C197</f>
        <v>26</v>
      </c>
      <c r="C197" s="14">
        <f>D_装备基础数据!D197</f>
        <v>1</v>
      </c>
      <c r="D197" s="14" t="str">
        <f>D_装备基础数据!E197</f>
        <v>武器</v>
      </c>
      <c r="E197" s="14">
        <f>D_装备基础数据!F197</f>
        <v>0</v>
      </c>
      <c r="F197" s="14">
        <f>D_装备基础数据!I197</f>
        <v>3</v>
      </c>
      <c r="G197">
        <f>D_装备基础数据!G197</f>
        <v>80</v>
      </c>
      <c r="H197">
        <v>0</v>
      </c>
      <c r="I197">
        <f ca="1">INT(Q197*'[1]0、经济设定'!$C$19/10)*F197</f>
        <v>720000</v>
      </c>
      <c r="J197">
        <f t="shared" si="34"/>
        <v>0</v>
      </c>
      <c r="K197" t="str">
        <f>IFERROR(VLOOKUP(L197,D_装备基础数据!$A$2:$B$212,2,FALSE),"")</f>
        <v/>
      </c>
      <c r="L197">
        <f>IFERROR(IF(J197=0,0,VLOOKUP(J197,CHOOSE({1,2},D_装备基础数据!$AN$2:$AN$212,D_装备基础数据!$A$2:$A$212),2,FALSE)),0)</f>
        <v>0</v>
      </c>
      <c r="M197">
        <v>1</v>
      </c>
      <c r="N197" t="str">
        <f t="shared" si="32"/>
        <v>无</v>
      </c>
      <c r="O197">
        <f t="shared" si="33"/>
        <v>0</v>
      </c>
      <c r="P197">
        <f t="shared" si="30"/>
        <v>0</v>
      </c>
      <c r="Q197">
        <f ca="1">D_装备基础数据!AR197</f>
        <v>4800.0000000000009</v>
      </c>
    </row>
    <row r="198" spans="1:17" x14ac:dyDescent="0.15">
      <c r="A198">
        <f t="shared" si="31"/>
        <v>80230</v>
      </c>
      <c r="B198" s="14">
        <f>D_装备基础数据!C198</f>
        <v>26</v>
      </c>
      <c r="C198" s="14">
        <f>D_装备基础数据!D198</f>
        <v>2</v>
      </c>
      <c r="D198" s="14" t="str">
        <f>D_装备基础数据!E198</f>
        <v>武器</v>
      </c>
      <c r="E198" s="14">
        <f>D_装备基础数据!F198</f>
        <v>0</v>
      </c>
      <c r="F198" s="14">
        <f>D_装备基础数据!I198</f>
        <v>3</v>
      </c>
      <c r="G198">
        <f>D_装备基础数据!G198</f>
        <v>80</v>
      </c>
      <c r="H198">
        <v>0</v>
      </c>
      <c r="I198">
        <f ca="1">INT(Q198*'[1]0、经济设定'!$C$19/10)*F198</f>
        <v>720000</v>
      </c>
      <c r="J198">
        <f t="shared" si="34"/>
        <v>0</v>
      </c>
      <c r="K198" t="str">
        <f>IFERROR(VLOOKUP(L198,D_装备基础数据!$A$2:$B$212,2,FALSE),"")</f>
        <v/>
      </c>
      <c r="L198">
        <f>IFERROR(IF(J198=0,0,VLOOKUP(J198,CHOOSE({1,2},D_装备基础数据!$AN$2:$AN$212,D_装备基础数据!$A$2:$A$212),2,FALSE)),0)</f>
        <v>0</v>
      </c>
      <c r="M198">
        <v>1</v>
      </c>
      <c r="N198" t="str">
        <f t="shared" si="32"/>
        <v>无</v>
      </c>
      <c r="O198">
        <f t="shared" si="33"/>
        <v>0</v>
      </c>
      <c r="P198">
        <f t="shared" si="30"/>
        <v>0</v>
      </c>
      <c r="Q198">
        <f ca="1">D_装备基础数据!AR198</f>
        <v>4800.0000000000009</v>
      </c>
    </row>
    <row r="199" spans="1:17" x14ac:dyDescent="0.15">
      <c r="A199">
        <f t="shared" si="31"/>
        <v>80330</v>
      </c>
      <c r="B199" s="14">
        <f>D_装备基础数据!C199</f>
        <v>26</v>
      </c>
      <c r="C199" s="14">
        <f>D_装备基础数据!D199</f>
        <v>3</v>
      </c>
      <c r="D199" s="14" t="str">
        <f>D_装备基础数据!E199</f>
        <v>武器</v>
      </c>
      <c r="E199" s="14">
        <f>D_装备基础数据!F199</f>
        <v>0</v>
      </c>
      <c r="F199" s="14">
        <f>D_装备基础数据!I199</f>
        <v>3</v>
      </c>
      <c r="G199">
        <f>D_装备基础数据!G199</f>
        <v>80</v>
      </c>
      <c r="H199">
        <v>0</v>
      </c>
      <c r="I199">
        <f ca="1">INT(Q199*'[1]0、经济设定'!$C$19/10)*F199</f>
        <v>720000</v>
      </c>
      <c r="J199">
        <f t="shared" si="34"/>
        <v>0</v>
      </c>
      <c r="K199" t="str">
        <f>IFERROR(VLOOKUP(L199,D_装备基础数据!$A$2:$B$212,2,FALSE),"")</f>
        <v/>
      </c>
      <c r="L199">
        <f>IFERROR(IF(J199=0,0,VLOOKUP(J199,CHOOSE({1,2},D_装备基础数据!$AN$2:$AN$212,D_装备基础数据!$A$2:$A$212),2,FALSE)),0)</f>
        <v>0</v>
      </c>
      <c r="M199">
        <v>1</v>
      </c>
      <c r="N199" t="str">
        <f t="shared" si="32"/>
        <v>无</v>
      </c>
      <c r="O199">
        <f t="shared" si="33"/>
        <v>0</v>
      </c>
      <c r="P199">
        <f t="shared" si="30"/>
        <v>0</v>
      </c>
      <c r="Q199">
        <f ca="1">D_装备基础数据!AR199</f>
        <v>4800.0000000000009</v>
      </c>
    </row>
    <row r="200" spans="1:17" x14ac:dyDescent="0.15">
      <c r="A200">
        <f t="shared" si="31"/>
        <v>80031</v>
      </c>
      <c r="B200" s="14">
        <f>D_装备基础数据!C200</f>
        <v>26</v>
      </c>
      <c r="C200" s="14">
        <f>D_装备基础数据!D200</f>
        <v>0</v>
      </c>
      <c r="D200" s="14" t="str">
        <f>D_装备基础数据!E200</f>
        <v>衣服</v>
      </c>
      <c r="E200" s="14">
        <f>D_装备基础数据!F200</f>
        <v>1</v>
      </c>
      <c r="F200" s="14">
        <f>D_装备基础数据!I200</f>
        <v>3</v>
      </c>
      <c r="G200">
        <f>D_装备基础数据!G200</f>
        <v>80</v>
      </c>
      <c r="H200">
        <v>0</v>
      </c>
      <c r="I200">
        <f ca="1">INT(Q200*'[1]0、经济设定'!$C$19/10)*F200</f>
        <v>599166</v>
      </c>
      <c r="J200">
        <f t="shared" si="34"/>
        <v>0</v>
      </c>
      <c r="K200" t="str">
        <f>IFERROR(VLOOKUP(L200,D_装备基础数据!$A$2:$B$212,2,FALSE),"")</f>
        <v/>
      </c>
      <c r="L200">
        <f>IFERROR(IF(J200=0,0,VLOOKUP(J200,CHOOSE({1,2},D_装备基础数据!$AN$2:$AN$212,D_装备基础数据!$A$2:$A$212),2,FALSE)),0)</f>
        <v>0</v>
      </c>
      <c r="M200">
        <v>1</v>
      </c>
      <c r="N200" t="str">
        <f t="shared" si="32"/>
        <v>无</v>
      </c>
      <c r="O200">
        <f t="shared" si="33"/>
        <v>0</v>
      </c>
      <c r="P200">
        <f t="shared" si="30"/>
        <v>0</v>
      </c>
      <c r="Q200">
        <f ca="1">D_装备基础数据!AR200</f>
        <v>3994.4559741998719</v>
      </c>
    </row>
    <row r="201" spans="1:17" x14ac:dyDescent="0.15">
      <c r="A201">
        <f t="shared" si="31"/>
        <v>80032</v>
      </c>
      <c r="B201" s="14">
        <f>D_装备基础数据!C201</f>
        <v>26</v>
      </c>
      <c r="C201" s="14">
        <f>D_装备基础数据!D201</f>
        <v>0</v>
      </c>
      <c r="D201" s="14" t="str">
        <f>D_装备基础数据!E201</f>
        <v>裤子</v>
      </c>
      <c r="E201" s="14">
        <f>D_装备基础数据!F201</f>
        <v>2</v>
      </c>
      <c r="F201" s="14">
        <f>D_装备基础数据!I201</f>
        <v>3</v>
      </c>
      <c r="G201">
        <f>D_装备基础数据!G201</f>
        <v>80</v>
      </c>
      <c r="H201">
        <v>0</v>
      </c>
      <c r="I201">
        <f ca="1">INT(Q201*'[1]0、经济设定'!$C$19/10)*F201</f>
        <v>234453</v>
      </c>
      <c r="J201">
        <f t="shared" si="34"/>
        <v>0</v>
      </c>
      <c r="K201" t="str">
        <f>IFERROR(VLOOKUP(L201,D_装备基础数据!$A$2:$B$212,2,FALSE),"")</f>
        <v/>
      </c>
      <c r="L201">
        <f>IFERROR(IF(J201=0,0,VLOOKUP(J201,CHOOSE({1,2},D_装备基础数据!$AN$2:$AN$212,D_装备基础数据!$A$2:$A$212),2,FALSE)),0)</f>
        <v>0</v>
      </c>
      <c r="M201">
        <v>1</v>
      </c>
      <c r="N201" t="str">
        <f t="shared" si="32"/>
        <v>无</v>
      </c>
      <c r="O201">
        <f t="shared" si="33"/>
        <v>0</v>
      </c>
      <c r="P201">
        <f t="shared" si="30"/>
        <v>0</v>
      </c>
      <c r="Q201">
        <f ca="1">D_装备基础数据!AR201</f>
        <v>1563.0294484480696</v>
      </c>
    </row>
    <row r="202" spans="1:17" x14ac:dyDescent="0.15">
      <c r="A202">
        <f t="shared" si="31"/>
        <v>80035</v>
      </c>
      <c r="B202" s="14">
        <f>D_装备基础数据!C202</f>
        <v>26</v>
      </c>
      <c r="C202" s="14">
        <f>D_装备基础数据!D202</f>
        <v>0</v>
      </c>
      <c r="D202" s="14" t="str">
        <f>D_装备基础数据!E202</f>
        <v>鞋子</v>
      </c>
      <c r="E202" s="14">
        <f>D_装备基础数据!F202</f>
        <v>5</v>
      </c>
      <c r="F202" s="14">
        <f>D_装备基础数据!I202</f>
        <v>3</v>
      </c>
      <c r="G202">
        <f>D_装备基础数据!G202</f>
        <v>80</v>
      </c>
      <c r="H202">
        <v>0</v>
      </c>
      <c r="I202">
        <f ca="1">INT(Q202*'[1]0、经济设定'!$C$19/10)*F202</f>
        <v>295386</v>
      </c>
      <c r="J202">
        <f t="shared" si="34"/>
        <v>0</v>
      </c>
      <c r="K202" t="str">
        <f>IFERROR(VLOOKUP(L202,D_装备基础数据!$A$2:$B$212,2,FALSE),"")</f>
        <v/>
      </c>
      <c r="L202">
        <f>IFERROR(IF(J202=0,0,VLOOKUP(J202,CHOOSE({1,2},D_装备基础数据!$AN$2:$AN$212,D_装备基础数据!$A$2:$A$212),2,FALSE)),0)</f>
        <v>0</v>
      </c>
      <c r="M202">
        <v>1</v>
      </c>
      <c r="N202" t="str">
        <f t="shared" si="32"/>
        <v>无</v>
      </c>
      <c r="O202">
        <f t="shared" si="33"/>
        <v>0</v>
      </c>
      <c r="P202">
        <f t="shared" si="30"/>
        <v>0</v>
      </c>
      <c r="Q202">
        <f ca="1">D_装备基础数据!AR202</f>
        <v>1969.2507921745382</v>
      </c>
    </row>
    <row r="203" spans="1:17" x14ac:dyDescent="0.15">
      <c r="A203">
        <f t="shared" si="31"/>
        <v>80034</v>
      </c>
      <c r="B203" s="14">
        <f>D_装备基础数据!C203</f>
        <v>26</v>
      </c>
      <c r="C203" s="14">
        <f>D_装备基础数据!D203</f>
        <v>0</v>
      </c>
      <c r="D203" s="14" t="str">
        <f>D_装备基础数据!E203</f>
        <v>腰带</v>
      </c>
      <c r="E203" s="14">
        <f>D_装备基础数据!F203</f>
        <v>4</v>
      </c>
      <c r="F203" s="14">
        <f>D_装备基础数据!I203</f>
        <v>3</v>
      </c>
      <c r="G203">
        <f>D_装备基础数据!G203</f>
        <v>80</v>
      </c>
      <c r="H203">
        <v>0</v>
      </c>
      <c r="I203">
        <f ca="1">INT(Q203*'[1]0、经济设定'!$C$19/10)*F203</f>
        <v>287661</v>
      </c>
      <c r="J203">
        <f t="shared" si="34"/>
        <v>0</v>
      </c>
      <c r="K203" t="str">
        <f>IFERROR(VLOOKUP(L203,D_装备基础数据!$A$2:$B$212,2,FALSE),"")</f>
        <v/>
      </c>
      <c r="L203">
        <f>IFERROR(IF(J203=0,0,VLOOKUP(J203,CHOOSE({1,2},D_装备基础数据!$AN$2:$AN$212,D_装备基础数据!$A$2:$A$212),2,FALSE)),0)</f>
        <v>0</v>
      </c>
      <c r="M203">
        <v>1</v>
      </c>
      <c r="N203" t="str">
        <f t="shared" si="32"/>
        <v>无</v>
      </c>
      <c r="O203">
        <f t="shared" si="33"/>
        <v>0</v>
      </c>
      <c r="P203">
        <f t="shared" si="30"/>
        <v>0</v>
      </c>
      <c r="Q203">
        <f ca="1">D_装备基础数据!AR203</f>
        <v>1917.759781176467</v>
      </c>
    </row>
    <row r="204" spans="1:17" x14ac:dyDescent="0.15">
      <c r="A204">
        <f t="shared" si="31"/>
        <v>80033</v>
      </c>
      <c r="B204" s="14">
        <f>D_装备基础数据!C204</f>
        <v>26</v>
      </c>
      <c r="C204" s="14">
        <f>D_装备基础数据!D204</f>
        <v>0</v>
      </c>
      <c r="D204" s="14" t="str">
        <f>D_装备基础数据!E204</f>
        <v>项链</v>
      </c>
      <c r="E204" s="14">
        <f>D_装备基础数据!F204</f>
        <v>3</v>
      </c>
      <c r="F204" s="14">
        <f>D_装备基础数据!I204</f>
        <v>3</v>
      </c>
      <c r="G204">
        <f>D_装备基础数据!G204</f>
        <v>80</v>
      </c>
      <c r="H204">
        <v>0</v>
      </c>
      <c r="I204">
        <f ca="1">INT(Q204*'[1]0、经济设定'!$C$19/10)*F204</f>
        <v>418491</v>
      </c>
      <c r="J204">
        <f t="shared" si="34"/>
        <v>0</v>
      </c>
      <c r="K204" t="str">
        <f>IFERROR(VLOOKUP(L204,D_装备基础数据!$A$2:$B$212,2,FALSE),"")</f>
        <v/>
      </c>
      <c r="L204">
        <f>IFERROR(IF(J204=0,0,VLOOKUP(J204,CHOOSE({1,2},D_装备基础数据!$AN$2:$AN$212,D_装备基础数据!$A$2:$A$212),2,FALSE)),0)</f>
        <v>0</v>
      </c>
      <c r="M204">
        <v>1</v>
      </c>
      <c r="N204" t="str">
        <f t="shared" si="32"/>
        <v>无</v>
      </c>
      <c r="O204">
        <f t="shared" si="33"/>
        <v>0</v>
      </c>
      <c r="P204">
        <f t="shared" si="30"/>
        <v>0</v>
      </c>
      <c r="Q204">
        <f ca="1">D_装备基础数据!AR204</f>
        <v>2789.9596426587373</v>
      </c>
    </row>
    <row r="205" spans="1:17" x14ac:dyDescent="0.15">
      <c r="A205">
        <f t="shared" si="31"/>
        <v>80140</v>
      </c>
      <c r="B205" s="14">
        <f>D_装备基础数据!C205</f>
        <v>27</v>
      </c>
      <c r="C205" s="14">
        <f>D_装备基础数据!D205</f>
        <v>1</v>
      </c>
      <c r="D205" s="14" t="str">
        <f>D_装备基础数据!E205</f>
        <v>武器</v>
      </c>
      <c r="E205" s="14">
        <f>D_装备基础数据!F205</f>
        <v>0</v>
      </c>
      <c r="F205" s="14">
        <f>D_装备基础数据!I205</f>
        <v>4</v>
      </c>
      <c r="G205">
        <f>D_装备基础数据!G205</f>
        <v>80</v>
      </c>
      <c r="H205">
        <v>0</v>
      </c>
      <c r="I205">
        <f ca="1">INT(Q205*'[1]0、经济设定'!$C$19/10)*F205</f>
        <v>1600000</v>
      </c>
      <c r="J205">
        <f t="shared" si="34"/>
        <v>0</v>
      </c>
      <c r="K205" t="str">
        <f>IFERROR(VLOOKUP(L205,D_装备基础数据!$A$2:$B$212,2,FALSE),"")</f>
        <v/>
      </c>
      <c r="L205">
        <f>IFERROR(IF(J205=0,0,VLOOKUP(J205,CHOOSE({1,2},D_装备基础数据!$AN$2:$AN$212,D_装备基础数据!$A$2:$A$212),2,FALSE)),0)</f>
        <v>0</v>
      </c>
      <c r="M205">
        <v>1</v>
      </c>
      <c r="N205" t="str">
        <f t="shared" si="32"/>
        <v>无</v>
      </c>
      <c r="O205">
        <f t="shared" si="33"/>
        <v>0</v>
      </c>
      <c r="P205">
        <f t="shared" si="30"/>
        <v>0</v>
      </c>
      <c r="Q205">
        <f ca="1">D_装备基础数据!AR205</f>
        <v>8000</v>
      </c>
    </row>
    <row r="206" spans="1:17" x14ac:dyDescent="0.15">
      <c r="A206">
        <f t="shared" si="31"/>
        <v>80240</v>
      </c>
      <c r="B206" s="14">
        <f>D_装备基础数据!C206</f>
        <v>27</v>
      </c>
      <c r="C206" s="14">
        <f>D_装备基础数据!D206</f>
        <v>2</v>
      </c>
      <c r="D206" s="14" t="str">
        <f>D_装备基础数据!E206</f>
        <v>武器</v>
      </c>
      <c r="E206" s="14">
        <f>D_装备基础数据!F206</f>
        <v>0</v>
      </c>
      <c r="F206" s="14">
        <f>D_装备基础数据!I206</f>
        <v>4</v>
      </c>
      <c r="G206">
        <f>D_装备基础数据!G206</f>
        <v>80</v>
      </c>
      <c r="H206">
        <v>0</v>
      </c>
      <c r="I206">
        <f ca="1">INT(Q206*'[1]0、经济设定'!$C$19/10)*F206</f>
        <v>1600000</v>
      </c>
      <c r="J206">
        <f t="shared" si="34"/>
        <v>0</v>
      </c>
      <c r="K206" t="str">
        <f>IFERROR(VLOOKUP(L206,D_装备基础数据!$A$2:$B$212,2,FALSE),"")</f>
        <v/>
      </c>
      <c r="L206">
        <f>IFERROR(IF(J206=0,0,VLOOKUP(J206,CHOOSE({1,2},D_装备基础数据!$AN$2:$AN$212,D_装备基础数据!$A$2:$A$212),2,FALSE)),0)</f>
        <v>0</v>
      </c>
      <c r="M206">
        <v>1</v>
      </c>
      <c r="N206" t="str">
        <f t="shared" si="32"/>
        <v>无</v>
      </c>
      <c r="O206">
        <f t="shared" si="33"/>
        <v>0</v>
      </c>
      <c r="P206">
        <f t="shared" si="30"/>
        <v>0</v>
      </c>
      <c r="Q206">
        <f ca="1">D_装备基础数据!AR206</f>
        <v>8000</v>
      </c>
    </row>
    <row r="207" spans="1:17" x14ac:dyDescent="0.15">
      <c r="A207">
        <f t="shared" si="31"/>
        <v>80340</v>
      </c>
      <c r="B207" s="14">
        <f>D_装备基础数据!C207</f>
        <v>27</v>
      </c>
      <c r="C207" s="14">
        <f>D_装备基础数据!D207</f>
        <v>3</v>
      </c>
      <c r="D207" s="14" t="str">
        <f>D_装备基础数据!E207</f>
        <v>武器</v>
      </c>
      <c r="E207" s="14">
        <f>D_装备基础数据!F207</f>
        <v>0</v>
      </c>
      <c r="F207" s="14">
        <f>D_装备基础数据!I207</f>
        <v>4</v>
      </c>
      <c r="G207">
        <f>D_装备基础数据!G207</f>
        <v>80</v>
      </c>
      <c r="H207">
        <v>0</v>
      </c>
      <c r="I207">
        <f ca="1">INT(Q207*'[1]0、经济设定'!$C$19/10)*F207</f>
        <v>1600000</v>
      </c>
      <c r="J207">
        <f t="shared" si="34"/>
        <v>0</v>
      </c>
      <c r="K207" t="str">
        <f>IFERROR(VLOOKUP(L207,D_装备基础数据!$A$2:$B$212,2,FALSE),"")</f>
        <v/>
      </c>
      <c r="L207">
        <f>IFERROR(IF(J207=0,0,VLOOKUP(J207,CHOOSE({1,2},D_装备基础数据!$AN$2:$AN$212,D_装备基础数据!$A$2:$A$212),2,FALSE)),0)</f>
        <v>0</v>
      </c>
      <c r="M207">
        <v>1</v>
      </c>
      <c r="N207" t="str">
        <f t="shared" si="32"/>
        <v>无</v>
      </c>
      <c r="O207">
        <f t="shared" si="33"/>
        <v>0</v>
      </c>
      <c r="P207">
        <f t="shared" si="30"/>
        <v>0</v>
      </c>
      <c r="Q207">
        <f ca="1">D_装备基础数据!AR207</f>
        <v>8000</v>
      </c>
    </row>
    <row r="208" spans="1:17" x14ac:dyDescent="0.15">
      <c r="A208">
        <f t="shared" si="31"/>
        <v>80041</v>
      </c>
      <c r="B208" s="14">
        <f>D_装备基础数据!C208</f>
        <v>27</v>
      </c>
      <c r="C208" s="14">
        <f>D_装备基础数据!D208</f>
        <v>0</v>
      </c>
      <c r="D208" s="14" t="str">
        <f>D_装备基础数据!E208</f>
        <v>衣服</v>
      </c>
      <c r="E208" s="14">
        <f>D_装备基础数据!F208</f>
        <v>1</v>
      </c>
      <c r="F208" s="14">
        <f>D_装备基础数据!I208</f>
        <v>4</v>
      </c>
      <c r="G208">
        <f>D_装备基础数据!G208</f>
        <v>80</v>
      </c>
      <c r="H208">
        <v>0</v>
      </c>
      <c r="I208">
        <f ca="1">INT(Q208*'[1]0、经济设定'!$C$19/10)*F208</f>
        <v>1306760</v>
      </c>
      <c r="J208">
        <f t="shared" si="34"/>
        <v>0</v>
      </c>
      <c r="K208" t="str">
        <f>IFERROR(VLOOKUP(L208,D_装备基础数据!$A$2:$B$212,2,FALSE),"")</f>
        <v/>
      </c>
      <c r="L208">
        <f>IFERROR(IF(J208=0,0,VLOOKUP(J208,CHOOSE({1,2},D_装备基础数据!$AN$2:$AN$212,D_装备基础数据!$A$2:$A$212),2,FALSE)),0)</f>
        <v>0</v>
      </c>
      <c r="M208">
        <v>1</v>
      </c>
      <c r="N208" t="str">
        <f t="shared" si="32"/>
        <v>无</v>
      </c>
      <c r="O208">
        <f t="shared" si="33"/>
        <v>0</v>
      </c>
      <c r="P208">
        <f t="shared" si="30"/>
        <v>0</v>
      </c>
      <c r="Q208">
        <f ca="1">D_装备基础数据!AR208</f>
        <v>6533.8186417286661</v>
      </c>
    </row>
    <row r="209" spans="1:17" x14ac:dyDescent="0.15">
      <c r="A209">
        <f t="shared" si="31"/>
        <v>80042</v>
      </c>
      <c r="B209" s="14">
        <f>D_装备基础数据!C209</f>
        <v>27</v>
      </c>
      <c r="C209" s="14">
        <f>D_装备基础数据!D209</f>
        <v>0</v>
      </c>
      <c r="D209" s="14" t="str">
        <f>D_装备基础数据!E209</f>
        <v>裤子</v>
      </c>
      <c r="E209" s="14">
        <f>D_装备基础数据!F209</f>
        <v>2</v>
      </c>
      <c r="F209" s="14">
        <f>D_装备基础数据!I209</f>
        <v>4</v>
      </c>
      <c r="G209">
        <f>D_装备基础数据!G209</f>
        <v>80</v>
      </c>
      <c r="H209">
        <v>0</v>
      </c>
      <c r="I209">
        <f ca="1">INT(Q209*'[1]0、经济设定'!$C$19/10)*F209</f>
        <v>527316</v>
      </c>
      <c r="J209">
        <f t="shared" si="34"/>
        <v>0</v>
      </c>
      <c r="K209" t="str">
        <f>IFERROR(VLOOKUP(L209,D_装备基础数据!$A$2:$B$212,2,FALSE),"")</f>
        <v/>
      </c>
      <c r="L209">
        <f>IFERROR(IF(J209=0,0,VLOOKUP(J209,CHOOSE({1,2},D_装备基础数据!$AN$2:$AN$212,D_装备基础数据!$A$2:$A$212),2,FALSE)),0)</f>
        <v>0</v>
      </c>
      <c r="M209">
        <v>1</v>
      </c>
      <c r="N209" t="str">
        <f t="shared" si="32"/>
        <v>无</v>
      </c>
      <c r="O209">
        <f t="shared" si="33"/>
        <v>0</v>
      </c>
      <c r="P209">
        <f t="shared" si="30"/>
        <v>0</v>
      </c>
      <c r="Q209">
        <f ca="1">D_装备基础数据!AR209</f>
        <v>2636.5883682044378</v>
      </c>
    </row>
    <row r="210" spans="1:17" x14ac:dyDescent="0.15">
      <c r="A210">
        <f t="shared" si="31"/>
        <v>80045</v>
      </c>
      <c r="B210" s="14">
        <f>D_装备基础数据!C210</f>
        <v>27</v>
      </c>
      <c r="C210" s="14">
        <f>D_装备基础数据!D210</f>
        <v>0</v>
      </c>
      <c r="D210" s="14" t="str">
        <f>D_装备基础数据!E210</f>
        <v>鞋子</v>
      </c>
      <c r="E210" s="14">
        <f>D_装备基础数据!F210</f>
        <v>5</v>
      </c>
      <c r="F210" s="14">
        <f>D_装备基础数据!I210</f>
        <v>4</v>
      </c>
      <c r="G210">
        <f>D_装备基础数据!G210</f>
        <v>80</v>
      </c>
      <c r="H210">
        <v>0</v>
      </c>
      <c r="I210">
        <f ca="1">INT(Q210*'[1]0、经济设定'!$C$19/10)*F210</f>
        <v>660744</v>
      </c>
      <c r="J210">
        <f t="shared" si="34"/>
        <v>0</v>
      </c>
      <c r="K210" t="str">
        <f>IFERROR(VLOOKUP(L210,D_装备基础数据!$A$2:$B$212,2,FALSE),"")</f>
        <v/>
      </c>
      <c r="L210">
        <f>IFERROR(IF(J210=0,0,VLOOKUP(J210,CHOOSE({1,2},D_装备基础数据!$AN$2:$AN$212,D_装备基础数据!$A$2:$A$212),2,FALSE)),0)</f>
        <v>0</v>
      </c>
      <c r="M210">
        <v>1</v>
      </c>
      <c r="N210" t="str">
        <f t="shared" ref="N210:N212" si="35">VLOOKUP(O210,$U$2:$V$6,2,FALSE)</f>
        <v>无</v>
      </c>
      <c r="O210">
        <f t="shared" si="33"/>
        <v>0</v>
      </c>
      <c r="P210">
        <f t="shared" si="30"/>
        <v>0</v>
      </c>
      <c r="Q210">
        <f ca="1">D_装备基础数据!AR210</f>
        <v>3303.7303303561112</v>
      </c>
    </row>
    <row r="211" spans="1:17" x14ac:dyDescent="0.15">
      <c r="A211">
        <f t="shared" si="31"/>
        <v>80044</v>
      </c>
      <c r="B211" s="14">
        <f>D_装备基础数据!C211</f>
        <v>27</v>
      </c>
      <c r="C211" s="14">
        <f>D_装备基础数据!D211</f>
        <v>0</v>
      </c>
      <c r="D211" s="14" t="str">
        <f>D_装备基础数据!E211</f>
        <v>腰带</v>
      </c>
      <c r="E211" s="14">
        <f>D_装备基础数据!F211</f>
        <v>4</v>
      </c>
      <c r="F211" s="14">
        <f>D_装备基础数据!I211</f>
        <v>4</v>
      </c>
      <c r="G211">
        <f>D_装备基础数据!G211</f>
        <v>80</v>
      </c>
      <c r="H211">
        <v>0</v>
      </c>
      <c r="I211">
        <f ca="1">INT(Q211*'[1]0、经济设定'!$C$19/10)*F211</f>
        <v>699052</v>
      </c>
      <c r="J211">
        <f t="shared" si="34"/>
        <v>0</v>
      </c>
      <c r="K211" t="str">
        <f>IFERROR(VLOOKUP(L211,D_装备基础数据!$A$2:$B$212,2,FALSE),"")</f>
        <v/>
      </c>
      <c r="L211">
        <f>IFERROR(IF(J211=0,0,VLOOKUP(J211,CHOOSE({1,2},D_装备基础数据!$AN$2:$AN$212,D_装备基础数据!$A$2:$A$212),2,FALSE)),0)</f>
        <v>0</v>
      </c>
      <c r="M211">
        <v>1</v>
      </c>
      <c r="N211" t="str">
        <f t="shared" si="35"/>
        <v>无</v>
      </c>
      <c r="O211">
        <f t="shared" si="33"/>
        <v>0</v>
      </c>
      <c r="P211">
        <f t="shared" ref="P211:P212" si="36">IF(O211=0,0,ROUNDUP(Q211/VLOOKUP(O211,$U$16:$Y$19,5,FALSE),0))</f>
        <v>0</v>
      </c>
      <c r="Q211">
        <f ca="1">D_装备基础数据!AR211</f>
        <v>3495.2773863186853</v>
      </c>
    </row>
    <row r="212" spans="1:17" x14ac:dyDescent="0.15">
      <c r="A212">
        <f t="shared" si="31"/>
        <v>80043</v>
      </c>
      <c r="B212" s="14">
        <f>D_装备基础数据!C212</f>
        <v>27</v>
      </c>
      <c r="C212" s="14">
        <f>D_装备基础数据!D212</f>
        <v>0</v>
      </c>
      <c r="D212" s="14" t="str">
        <f>D_装备基础数据!E212</f>
        <v>项链</v>
      </c>
      <c r="E212" s="14">
        <f>D_装备基础数据!F212</f>
        <v>3</v>
      </c>
      <c r="F212" s="14">
        <f>D_装备基础数据!I212</f>
        <v>4</v>
      </c>
      <c r="G212">
        <f>D_装备基础数据!G212</f>
        <v>80</v>
      </c>
      <c r="H212">
        <v>0</v>
      </c>
      <c r="I212">
        <f ca="1">INT(Q212*'[1]0、经济设定'!$C$19/10)*F212</f>
        <v>909000</v>
      </c>
      <c r="J212">
        <f t="shared" si="34"/>
        <v>0</v>
      </c>
      <c r="K212" t="str">
        <f>IFERROR(VLOOKUP(L212,D_装备基础数据!$A$2:$B$212,2,FALSE),"")</f>
        <v/>
      </c>
      <c r="L212">
        <f>IFERROR(IF(J212=0,0,VLOOKUP(J212,CHOOSE({1,2},D_装备基础数据!$AN$2:$AN$212,D_装备基础数据!$A$2:$A$212),2,FALSE)),0)</f>
        <v>0</v>
      </c>
      <c r="M212">
        <v>1</v>
      </c>
      <c r="N212" t="str">
        <f t="shared" si="35"/>
        <v>无</v>
      </c>
      <c r="O212">
        <f t="shared" si="33"/>
        <v>0</v>
      </c>
      <c r="P212">
        <f t="shared" si="36"/>
        <v>0</v>
      </c>
      <c r="Q212">
        <f ca="1">D_装备基础数据!AR212</f>
        <v>4545.0145842349111</v>
      </c>
    </row>
  </sheetData>
  <phoneticPr fontId="1" type="noConversion"/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0BBC01C9-8910-4241-ACA4-4A364D01D997}">
            <xm:f>D_装备基础数据!$I2=4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24" id="{8010F306-CA89-4053-B87A-C8AC0A39D498}">
            <xm:f>D_装备基础数据!$I2=3</xm:f>
            <x14:dxf>
              <font>
                <color theme="0"/>
              </font>
              <fill>
                <patternFill>
                  <bgColor theme="9" tint="-0.24994659260841701"/>
                </patternFill>
              </fill>
            </x14:dxf>
          </x14:cfRule>
          <x14:cfRule type="expression" priority="25" id="{D7FA8A3C-484C-4D3E-9E1E-0335908AED63}">
            <xm:f>D_装备基础数据!$I2=2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6" id="{E95439F0-F5E9-4CA3-AD11-E4533A079BB7}">
            <xm:f>D_装备基础数据!$I2=0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expression" priority="27" id="{7B56446C-1D08-4C91-B00C-58995EC67E91}">
            <xm:f>D_装备基础数据!$I2=1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m:sqref>B2:F212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O162"/>
  <sheetViews>
    <sheetView workbookViewId="0">
      <selection activeCell="D30" sqref="D30"/>
    </sheetView>
  </sheetViews>
  <sheetFormatPr defaultRowHeight="13.5" x14ac:dyDescent="0.15"/>
  <cols>
    <col min="2" max="2" width="13.875" bestFit="1" customWidth="1"/>
    <col min="3" max="3" width="13.875" style="95" bestFit="1" customWidth="1"/>
    <col min="4" max="4" width="13.875" customWidth="1"/>
    <col min="12" max="13" width="11" bestFit="1" customWidth="1"/>
    <col min="15" max="15" width="13.875" bestFit="1" customWidth="1"/>
  </cols>
  <sheetData>
    <row r="1" spans="1:15" x14ac:dyDescent="0.15">
      <c r="A1" s="30" t="s">
        <v>42</v>
      </c>
      <c r="B1" s="30" t="s">
        <v>191</v>
      </c>
      <c r="C1" s="93" t="s">
        <v>192</v>
      </c>
      <c r="D1" s="30" t="s">
        <v>650</v>
      </c>
      <c r="E1" s="2" t="s">
        <v>2</v>
      </c>
      <c r="F1" s="2" t="s">
        <v>3</v>
      </c>
      <c r="G1" s="3" t="s">
        <v>4</v>
      </c>
      <c r="H1" s="2" t="s">
        <v>187</v>
      </c>
      <c r="I1" s="2" t="s">
        <v>188</v>
      </c>
      <c r="J1" s="2" t="s">
        <v>189</v>
      </c>
      <c r="K1" s="2" t="s">
        <v>190</v>
      </c>
      <c r="L1" s="29" t="s">
        <v>288</v>
      </c>
      <c r="M1" s="29" t="s">
        <v>289</v>
      </c>
      <c r="O1" t="s">
        <v>230</v>
      </c>
    </row>
    <row r="2" spans="1:15" x14ac:dyDescent="0.15">
      <c r="A2" s="5" t="str">
        <f>强化辅助表!B36</f>
        <v>500</v>
      </c>
      <c r="B2" s="12">
        <f>强化辅助表!R36</f>
        <v>168</v>
      </c>
      <c r="C2" s="94">
        <f>ROUND(强化辅助表!S36,0)</f>
        <v>168</v>
      </c>
      <c r="D2" s="92">
        <f>O2</f>
        <v>3.36</v>
      </c>
      <c r="E2" s="12">
        <f>VLOOKUP($A2,装备强化表,强化辅助表!G$33,FALSE)</f>
        <v>0</v>
      </c>
      <c r="F2" s="12">
        <f>VLOOKUP($A2,装备强化表,强化辅助表!H$33,FALSE)</f>
        <v>3</v>
      </c>
      <c r="G2" s="12">
        <f>VLOOKUP($A2,装备强化表,强化辅助表!I$33,FALSE)</f>
        <v>0</v>
      </c>
      <c r="H2" s="12">
        <f>VLOOKUP($A2,装备强化表,强化辅助表!J$33,FALSE)</f>
        <v>0</v>
      </c>
      <c r="I2" s="12">
        <f>VLOOKUP($A2,装备强化表,强化辅助表!K$33,FALSE)</f>
        <v>0</v>
      </c>
      <c r="J2" s="12">
        <f>VLOOKUP($A2,装备强化表,强化辅助表!L$33,FALSE)</f>
        <v>2</v>
      </c>
      <c r="K2" s="12">
        <f>VLOOKUP($A2,装备强化表,强化辅助表!N$33,FALSE)</f>
        <v>0</v>
      </c>
      <c r="L2" s="12">
        <f>VLOOKUP($A2,装备强化表,强化辅助表!O$33,FALSE)</f>
        <v>0</v>
      </c>
      <c r="M2" s="12">
        <f>VLOOKUP($A2,装备强化表,强化辅助表!P$33,FALSE)</f>
        <v>0</v>
      </c>
      <c r="O2">
        <f>VLOOKUP(A2,强化辅助表!$B$36:$Q$194,16,FALSE)</f>
        <v>3.36</v>
      </c>
    </row>
    <row r="3" spans="1:15" x14ac:dyDescent="0.15">
      <c r="A3" s="5" t="str">
        <f>强化辅助表!B37</f>
        <v>501</v>
      </c>
      <c r="B3" s="12">
        <f>ROUND(强化辅助表!R37,0)</f>
        <v>122</v>
      </c>
      <c r="C3" s="94">
        <f>ROUND(强化辅助表!S37,0)</f>
        <v>122</v>
      </c>
      <c r="D3" s="92">
        <f t="shared" ref="D3:D78" si="0">O3</f>
        <v>2.44</v>
      </c>
      <c r="E3" s="12">
        <f>VLOOKUP($A3,装备强化表,强化辅助表!G$33,FALSE)</f>
        <v>36</v>
      </c>
      <c r="F3" s="12">
        <f>VLOOKUP($A3,装备强化表,强化辅助表!H$33,FALSE)</f>
        <v>0</v>
      </c>
      <c r="G3" s="12">
        <f>VLOOKUP($A3,装备强化表,强化辅助表!I$33,FALSE)</f>
        <v>1</v>
      </c>
      <c r="H3" s="12">
        <f>VLOOKUP($A3,装备强化表,强化辅助表!J$33,FALSE)</f>
        <v>0</v>
      </c>
      <c r="I3" s="12">
        <f>VLOOKUP($A3,装备强化表,强化辅助表!K$33,FALSE)</f>
        <v>0</v>
      </c>
      <c r="J3" s="12">
        <f>VLOOKUP($A3,装备强化表,强化辅助表!L$33,FALSE)</f>
        <v>0</v>
      </c>
      <c r="K3" s="12">
        <f>VLOOKUP($A3,装备强化表,强化辅助表!N$33,FALSE)</f>
        <v>0</v>
      </c>
      <c r="L3" s="12">
        <f>VLOOKUP($A3,装备强化表,强化辅助表!O$33,FALSE)</f>
        <v>0</v>
      </c>
      <c r="M3" s="12">
        <f>VLOOKUP($A3,装备强化表,强化辅助表!P$33,FALSE)</f>
        <v>0</v>
      </c>
      <c r="O3">
        <f>VLOOKUP(A3,强化辅助表!$B$36:$Q$194,16,FALSE)</f>
        <v>2.44</v>
      </c>
    </row>
    <row r="4" spans="1:15" x14ac:dyDescent="0.15">
      <c r="A4" s="5" t="str">
        <f>强化辅助表!B38</f>
        <v>502</v>
      </c>
      <c r="B4" s="12">
        <f>ROUND(强化辅助表!R38,0)</f>
        <v>67</v>
      </c>
      <c r="C4" s="94">
        <f>ROUND(强化辅助表!S38,0)</f>
        <v>67</v>
      </c>
      <c r="D4" s="92">
        <f t="shared" si="0"/>
        <v>1.34</v>
      </c>
      <c r="E4" s="12">
        <f>VLOOKUP($A4,装备强化表,强化辅助表!G$33,FALSE)</f>
        <v>0</v>
      </c>
      <c r="F4" s="12">
        <f>VLOOKUP($A4,装备强化表,强化辅助表!H$33,FALSE)</f>
        <v>0</v>
      </c>
      <c r="G4" s="12">
        <f>VLOOKUP($A4,装备强化表,强化辅助表!I$33,FALSE)</f>
        <v>1</v>
      </c>
      <c r="H4" s="12">
        <f>VLOOKUP($A4,装备强化表,强化辅助表!J$33,FALSE)</f>
        <v>1</v>
      </c>
      <c r="I4" s="12">
        <f>VLOOKUP($A4,装备强化表,强化辅助表!K$33,FALSE)</f>
        <v>0</v>
      </c>
      <c r="J4" s="12">
        <f>VLOOKUP($A4,装备强化表,强化辅助表!L$33,FALSE)</f>
        <v>0</v>
      </c>
      <c r="K4" s="12">
        <f>VLOOKUP($A4,装备强化表,强化辅助表!N$33,FALSE)</f>
        <v>0</v>
      </c>
      <c r="L4" s="12">
        <f>VLOOKUP($A4,装备强化表,强化辅助表!O$33,FALSE)</f>
        <v>0</v>
      </c>
      <c r="M4" s="12">
        <f>VLOOKUP($A4,装备强化表,强化辅助表!P$33,FALSE)</f>
        <v>0</v>
      </c>
      <c r="O4">
        <f>VLOOKUP(A4,强化辅助表!$B$36:$Q$194,16,FALSE)</f>
        <v>1.34</v>
      </c>
    </row>
    <row r="5" spans="1:15" x14ac:dyDescent="0.15">
      <c r="A5" s="5" t="str">
        <f>强化辅助表!B39</f>
        <v>505</v>
      </c>
      <c r="B5" s="12">
        <f>ROUND(强化辅助表!R39,0)</f>
        <v>58</v>
      </c>
      <c r="C5" s="94">
        <f>ROUND(强化辅助表!S39,0)</f>
        <v>58</v>
      </c>
      <c r="D5" s="92">
        <f t="shared" si="0"/>
        <v>1.1600000000000001</v>
      </c>
      <c r="E5" s="12">
        <f>VLOOKUP($A5,装备强化表,强化辅助表!G$33,FALSE)</f>
        <v>12</v>
      </c>
      <c r="F5" s="12">
        <f>VLOOKUP($A5,装备强化表,强化辅助表!H$33,FALSE)</f>
        <v>0</v>
      </c>
      <c r="G5" s="12">
        <f>VLOOKUP($A5,装备强化表,强化辅助表!I$33,FALSE)</f>
        <v>0</v>
      </c>
      <c r="H5" s="12">
        <f>VLOOKUP($A5,装备强化表,强化辅助表!J$33,FALSE)</f>
        <v>2</v>
      </c>
      <c r="I5" s="12">
        <f>VLOOKUP($A5,装备强化表,强化辅助表!K$33,FALSE)</f>
        <v>0</v>
      </c>
      <c r="J5" s="12">
        <f>VLOOKUP($A5,装备强化表,强化辅助表!L$33,FALSE)</f>
        <v>0</v>
      </c>
      <c r="K5" s="12">
        <f>VLOOKUP($A5,装备强化表,强化辅助表!N$33,FALSE)</f>
        <v>0</v>
      </c>
      <c r="L5" s="12">
        <f>VLOOKUP($A5,装备强化表,强化辅助表!O$33,FALSE)</f>
        <v>0</v>
      </c>
      <c r="M5" s="12">
        <f>VLOOKUP($A5,装备强化表,强化辅助表!P$33,FALSE)</f>
        <v>0</v>
      </c>
      <c r="O5">
        <f>VLOOKUP(A5,强化辅助表!$B$36:$Q$194,16,FALSE)</f>
        <v>1.1600000000000001</v>
      </c>
    </row>
    <row r="6" spans="1:15" x14ac:dyDescent="0.15">
      <c r="A6" s="5" t="str">
        <f>强化辅助表!B40</f>
        <v>504</v>
      </c>
      <c r="B6" s="12">
        <f>ROUND(强化辅助表!R40,0)</f>
        <v>42</v>
      </c>
      <c r="C6" s="94">
        <f>ROUND(强化辅助表!S40,0)</f>
        <v>42</v>
      </c>
      <c r="D6" s="92">
        <f t="shared" si="0"/>
        <v>0.84</v>
      </c>
      <c r="E6" s="12">
        <f>VLOOKUP($A6,装备强化表,强化辅助表!G$33,FALSE)</f>
        <v>12</v>
      </c>
      <c r="F6" s="12">
        <f>VLOOKUP($A6,装备强化表,强化辅助表!H$33,FALSE)</f>
        <v>0</v>
      </c>
      <c r="G6" s="12">
        <f>VLOOKUP($A6,装备强化表,强化辅助表!I$33,FALSE)</f>
        <v>0</v>
      </c>
      <c r="H6" s="12">
        <f>VLOOKUP($A6,装备强化表,强化辅助表!J$33,FALSE)</f>
        <v>0</v>
      </c>
      <c r="I6" s="12">
        <f>VLOOKUP($A6,装备强化表,强化辅助表!K$33,FALSE)</f>
        <v>0</v>
      </c>
      <c r="J6" s="12">
        <f>VLOOKUP($A6,装备强化表,强化辅助表!L$33,FALSE)</f>
        <v>0</v>
      </c>
      <c r="K6" s="12">
        <f>VLOOKUP($A6,装备强化表,强化辅助表!N$33,FALSE)</f>
        <v>2</v>
      </c>
      <c r="L6" s="12">
        <f>VLOOKUP($A6,装备强化表,强化辅助表!O$33,FALSE)</f>
        <v>0</v>
      </c>
      <c r="M6" s="12">
        <f>VLOOKUP($A6,装备强化表,强化辅助表!P$33,FALSE)</f>
        <v>0</v>
      </c>
      <c r="O6">
        <f>VLOOKUP(A6,强化辅助表!$B$36:$Q$194,16,FALSE)</f>
        <v>0.84</v>
      </c>
    </row>
    <row r="7" spans="1:15" x14ac:dyDescent="0.15">
      <c r="A7" s="5" t="str">
        <f>强化辅助表!B41</f>
        <v>503</v>
      </c>
      <c r="B7" s="12">
        <f>ROUND(强化辅助表!R41,0)</f>
        <v>101</v>
      </c>
      <c r="C7" s="94">
        <f>ROUND(强化辅助表!S41,0)</f>
        <v>101</v>
      </c>
      <c r="D7" s="92">
        <f t="shared" si="0"/>
        <v>2.02</v>
      </c>
      <c r="E7" s="12">
        <f>VLOOKUP($A7,装备强化表,强化辅助表!G$33,FALSE)</f>
        <v>0</v>
      </c>
      <c r="F7" s="12">
        <f>VLOOKUP($A7,装备强化表,强化辅助表!H$33,FALSE)</f>
        <v>1</v>
      </c>
      <c r="G7" s="12">
        <f>VLOOKUP($A7,装备强化表,强化辅助表!I$33,FALSE)</f>
        <v>0</v>
      </c>
      <c r="H7" s="12">
        <f>VLOOKUP($A7,装备强化表,强化辅助表!J$33,FALSE)</f>
        <v>0</v>
      </c>
      <c r="I7" s="12">
        <f>VLOOKUP($A7,装备强化表,强化辅助表!K$33,FALSE)</f>
        <v>3</v>
      </c>
      <c r="J7" s="12">
        <f>VLOOKUP($A7,装备强化表,强化辅助表!L$33,FALSE)</f>
        <v>0</v>
      </c>
      <c r="K7" s="12">
        <f>VLOOKUP($A7,装备强化表,强化辅助表!N$33,FALSE)</f>
        <v>0</v>
      </c>
      <c r="L7" s="12">
        <f>VLOOKUP($A7,装备强化表,强化辅助表!O$33,FALSE)</f>
        <v>0</v>
      </c>
      <c r="M7" s="12">
        <f>VLOOKUP($A7,装备强化表,强化辅助表!P$33,FALSE)</f>
        <v>0</v>
      </c>
      <c r="O7">
        <f>VLOOKUP(A7,强化辅助表!$B$36:$Q$194,16,FALSE)</f>
        <v>2.02</v>
      </c>
    </row>
    <row r="8" spans="1:15" x14ac:dyDescent="0.15">
      <c r="A8" s="5" t="str">
        <f>强化辅助表!B42</f>
        <v>510</v>
      </c>
      <c r="B8" s="12">
        <f>ROUND(强化辅助表!R42,0)</f>
        <v>227</v>
      </c>
      <c r="C8" s="94">
        <f>ROUND(强化辅助表!S42,0)</f>
        <v>227</v>
      </c>
      <c r="D8" s="92">
        <f t="shared" si="0"/>
        <v>4.54</v>
      </c>
      <c r="E8" s="12">
        <f>VLOOKUP($A8,装备强化表,强化辅助表!G$33,FALSE)</f>
        <v>0</v>
      </c>
      <c r="F8" s="12">
        <f>VLOOKUP($A8,装备强化表,强化辅助表!H$33,FALSE)</f>
        <v>4</v>
      </c>
      <c r="G8" s="12">
        <f>VLOOKUP($A8,装备强化表,强化辅助表!I$33,FALSE)</f>
        <v>0</v>
      </c>
      <c r="H8" s="12">
        <f>VLOOKUP($A8,装备强化表,强化辅助表!J$33,FALSE)</f>
        <v>0</v>
      </c>
      <c r="I8" s="12">
        <f>VLOOKUP($A8,装备强化表,强化辅助表!K$33,FALSE)</f>
        <v>0</v>
      </c>
      <c r="J8" s="12">
        <f>VLOOKUP($A8,装备强化表,强化辅助表!L$33,FALSE)</f>
        <v>3</v>
      </c>
      <c r="K8" s="12">
        <f>VLOOKUP($A8,装备强化表,强化辅助表!N$33,FALSE)</f>
        <v>0</v>
      </c>
      <c r="L8" s="12">
        <f>VLOOKUP($A8,装备强化表,强化辅助表!O$33,FALSE)</f>
        <v>0</v>
      </c>
      <c r="M8" s="12">
        <f>VLOOKUP($A8,装备强化表,强化辅助表!P$33,FALSE)</f>
        <v>0</v>
      </c>
      <c r="O8">
        <f>VLOOKUP(A8,强化辅助表!$B$36:$Q$194,16,FALSE)</f>
        <v>4.54</v>
      </c>
    </row>
    <row r="9" spans="1:15" x14ac:dyDescent="0.15">
      <c r="A9" s="5" t="str">
        <f>强化辅助表!B43</f>
        <v>511</v>
      </c>
      <c r="B9" s="12">
        <f>ROUND(强化辅助表!R43,0)</f>
        <v>206</v>
      </c>
      <c r="C9" s="94">
        <f>ROUND(强化辅助表!S43,0)</f>
        <v>206</v>
      </c>
      <c r="D9" s="92">
        <f t="shared" si="0"/>
        <v>4.12</v>
      </c>
      <c r="E9" s="12">
        <f>VLOOKUP($A9,装备强化表,强化辅助表!G$33,FALSE)</f>
        <v>53</v>
      </c>
      <c r="F9" s="12">
        <f>VLOOKUP($A9,装备强化表,强化辅助表!H$33,FALSE)</f>
        <v>0</v>
      </c>
      <c r="G9" s="12">
        <f>VLOOKUP($A9,装备强化表,强化辅助表!I$33,FALSE)</f>
        <v>2</v>
      </c>
      <c r="H9" s="12">
        <f>VLOOKUP($A9,装备强化表,强化辅助表!J$33,FALSE)</f>
        <v>0</v>
      </c>
      <c r="I9" s="12">
        <f>VLOOKUP($A9,装备强化表,强化辅助表!K$33,FALSE)</f>
        <v>0</v>
      </c>
      <c r="J9" s="12">
        <f>VLOOKUP($A9,装备强化表,强化辅助表!L$33,FALSE)</f>
        <v>0</v>
      </c>
      <c r="K9" s="12">
        <f>VLOOKUP($A9,装备强化表,强化辅助表!N$33,FALSE)</f>
        <v>0</v>
      </c>
      <c r="L9" s="12">
        <f>VLOOKUP($A9,装备强化表,强化辅助表!O$33,FALSE)</f>
        <v>0</v>
      </c>
      <c r="M9" s="12">
        <f>VLOOKUP($A9,装备强化表,强化辅助表!P$33,FALSE)</f>
        <v>0</v>
      </c>
      <c r="O9">
        <f>VLOOKUP(A9,强化辅助表!$B$36:$Q$194,16,FALSE)</f>
        <v>4.12</v>
      </c>
    </row>
    <row r="10" spans="1:15" x14ac:dyDescent="0.15">
      <c r="A10" s="5" t="str">
        <f>强化辅助表!B44</f>
        <v>512</v>
      </c>
      <c r="B10" s="12">
        <f>ROUND(强化辅助表!R44,0)</f>
        <v>84</v>
      </c>
      <c r="C10" s="94">
        <f>ROUND(强化辅助表!S44,0)</f>
        <v>84</v>
      </c>
      <c r="D10" s="92">
        <f t="shared" si="0"/>
        <v>1.6800000000000002</v>
      </c>
      <c r="E10" s="12">
        <f>VLOOKUP($A10,装备强化表,强化辅助表!G$33,FALSE)</f>
        <v>0</v>
      </c>
      <c r="F10" s="12">
        <f>VLOOKUP($A10,装备强化表,强化辅助表!H$33,FALSE)</f>
        <v>0</v>
      </c>
      <c r="G10" s="12">
        <f>VLOOKUP($A10,装备强化表,强化辅助表!I$33,FALSE)</f>
        <v>1</v>
      </c>
      <c r="H10" s="12">
        <f>VLOOKUP($A10,装备强化表,强化辅助表!J$33,FALSE)</f>
        <v>2</v>
      </c>
      <c r="I10" s="12">
        <f>VLOOKUP($A10,装备强化表,强化辅助表!K$33,FALSE)</f>
        <v>0</v>
      </c>
      <c r="J10" s="12">
        <f>VLOOKUP($A10,装备强化表,强化辅助表!L$33,FALSE)</f>
        <v>0</v>
      </c>
      <c r="K10" s="12">
        <f>VLOOKUP($A10,装备强化表,强化辅助表!N$33,FALSE)</f>
        <v>0</v>
      </c>
      <c r="L10" s="12">
        <f>VLOOKUP($A10,装备强化表,强化辅助表!O$33,FALSE)</f>
        <v>0</v>
      </c>
      <c r="M10" s="12">
        <f>VLOOKUP($A10,装备强化表,强化辅助表!P$33,FALSE)</f>
        <v>0</v>
      </c>
      <c r="O10">
        <f>VLOOKUP(A10,强化辅助表!$B$36:$Q$194,16,FALSE)</f>
        <v>1.6800000000000002</v>
      </c>
    </row>
    <row r="11" spans="1:15" x14ac:dyDescent="0.15">
      <c r="A11" s="5" t="str">
        <f>强化辅助表!B45</f>
        <v>515</v>
      </c>
      <c r="B11" s="12">
        <f>ROUND(强化辅助表!R45,0)</f>
        <v>87</v>
      </c>
      <c r="C11" s="94">
        <f>ROUND(强化辅助表!S45,0)</f>
        <v>87</v>
      </c>
      <c r="D11" s="92">
        <f t="shared" si="0"/>
        <v>1.74</v>
      </c>
      <c r="E11" s="12">
        <f>VLOOKUP($A11,装备强化表,强化辅助表!G$33,FALSE)</f>
        <v>18</v>
      </c>
      <c r="F11" s="12">
        <f>VLOOKUP($A11,装备强化表,强化辅助表!H$33,FALSE)</f>
        <v>0</v>
      </c>
      <c r="G11" s="12">
        <f>VLOOKUP($A11,装备强化表,强化辅助表!I$33,FALSE)</f>
        <v>0</v>
      </c>
      <c r="H11" s="12">
        <f>VLOOKUP($A11,装备强化表,强化辅助表!J$33,FALSE)</f>
        <v>3</v>
      </c>
      <c r="I11" s="12">
        <f>VLOOKUP($A11,装备强化表,强化辅助表!K$33,FALSE)</f>
        <v>0</v>
      </c>
      <c r="J11" s="12">
        <f>VLOOKUP($A11,装备强化表,强化辅助表!L$33,FALSE)</f>
        <v>0</v>
      </c>
      <c r="K11" s="12">
        <f>VLOOKUP($A11,装备强化表,强化辅助表!N$33,FALSE)</f>
        <v>0</v>
      </c>
      <c r="L11" s="12">
        <f>VLOOKUP($A11,装备强化表,强化辅助表!O$33,FALSE)</f>
        <v>0</v>
      </c>
      <c r="M11" s="12">
        <f>VLOOKUP($A11,装备强化表,强化辅助表!P$33,FALSE)</f>
        <v>0</v>
      </c>
      <c r="O11">
        <f>VLOOKUP(A11,强化辅助表!$B$36:$Q$194,16,FALSE)</f>
        <v>1.74</v>
      </c>
    </row>
    <row r="12" spans="1:15" x14ac:dyDescent="0.15">
      <c r="A12" s="5" t="str">
        <f>强化辅助表!B46</f>
        <v>514</v>
      </c>
      <c r="B12" s="12">
        <f>ROUND(强化辅助表!R46,0)</f>
        <v>63</v>
      </c>
      <c r="C12" s="94">
        <f>ROUND(强化辅助表!S46,0)</f>
        <v>63</v>
      </c>
      <c r="D12" s="92">
        <f t="shared" si="0"/>
        <v>1.26</v>
      </c>
      <c r="E12" s="12">
        <f>VLOOKUP($A12,装备强化表,强化辅助表!G$33,FALSE)</f>
        <v>18</v>
      </c>
      <c r="F12" s="12">
        <f>VLOOKUP($A12,装备强化表,强化辅助表!H$33,FALSE)</f>
        <v>0</v>
      </c>
      <c r="G12" s="12">
        <f>VLOOKUP($A12,装备强化表,强化辅助表!I$33,FALSE)</f>
        <v>0</v>
      </c>
      <c r="H12" s="12">
        <f>VLOOKUP($A12,装备强化表,强化辅助表!J$33,FALSE)</f>
        <v>0</v>
      </c>
      <c r="I12" s="12">
        <f>VLOOKUP($A12,装备强化表,强化辅助表!K$33,FALSE)</f>
        <v>0</v>
      </c>
      <c r="J12" s="12">
        <f>VLOOKUP($A12,装备强化表,强化辅助表!L$33,FALSE)</f>
        <v>0</v>
      </c>
      <c r="K12" s="12">
        <f>VLOOKUP($A12,装备强化表,强化辅助表!N$33,FALSE)</f>
        <v>3</v>
      </c>
      <c r="L12" s="12">
        <f>VLOOKUP($A12,装备强化表,强化辅助表!O$33,FALSE)</f>
        <v>0</v>
      </c>
      <c r="M12" s="12">
        <f>VLOOKUP($A12,装备强化表,强化辅助表!P$33,FALSE)</f>
        <v>0</v>
      </c>
      <c r="O12">
        <f>VLOOKUP(A12,强化辅助表!$B$36:$Q$194,16,FALSE)</f>
        <v>1.26</v>
      </c>
    </row>
    <row r="13" spans="1:15" x14ac:dyDescent="0.15">
      <c r="A13" s="5" t="str">
        <f>强化辅助表!B47</f>
        <v>513</v>
      </c>
      <c r="B13" s="12">
        <f>ROUND(强化辅助表!R47,0)</f>
        <v>168</v>
      </c>
      <c r="C13" s="94">
        <f>ROUND(强化辅助表!S47,0)</f>
        <v>168</v>
      </c>
      <c r="D13" s="92">
        <f t="shared" si="0"/>
        <v>3.3600000000000003</v>
      </c>
      <c r="E13" s="12">
        <f>VLOOKUP($A13,装备强化表,强化辅助表!G$33,FALSE)</f>
        <v>0</v>
      </c>
      <c r="F13" s="12">
        <f>VLOOKUP($A13,装备强化表,强化辅助表!H$33,FALSE)</f>
        <v>2</v>
      </c>
      <c r="G13" s="12">
        <f>VLOOKUP($A13,装备强化表,强化辅助表!I$33,FALSE)</f>
        <v>0</v>
      </c>
      <c r="H13" s="12">
        <f>VLOOKUP($A13,装备强化表,强化辅助表!J$33,FALSE)</f>
        <v>0</v>
      </c>
      <c r="I13" s="12">
        <f>VLOOKUP($A13,装备强化表,强化辅助表!K$33,FALSE)</f>
        <v>4</v>
      </c>
      <c r="J13" s="12">
        <f>VLOOKUP($A13,装备强化表,强化辅助表!L$33,FALSE)</f>
        <v>0</v>
      </c>
      <c r="K13" s="12">
        <f>VLOOKUP($A13,装备强化表,强化辅助表!N$33,FALSE)</f>
        <v>0</v>
      </c>
      <c r="L13" s="12">
        <f>VLOOKUP($A13,装备强化表,强化辅助表!O$33,FALSE)</f>
        <v>0</v>
      </c>
      <c r="M13" s="12">
        <f>VLOOKUP($A13,装备强化表,强化辅助表!P$33,FALSE)</f>
        <v>0</v>
      </c>
      <c r="O13">
        <f>VLOOKUP(A13,强化辅助表!$B$36:$Q$194,16,FALSE)</f>
        <v>3.3600000000000003</v>
      </c>
    </row>
    <row r="14" spans="1:15" x14ac:dyDescent="0.15">
      <c r="A14" s="5" t="str">
        <f>强化辅助表!B48</f>
        <v>1510</v>
      </c>
      <c r="B14" s="12">
        <f>ROUND(强化辅助表!R48,0)</f>
        <v>395</v>
      </c>
      <c r="C14" s="94">
        <f>ROUND(强化辅助表!S48,0)</f>
        <v>395</v>
      </c>
      <c r="D14" s="92">
        <f t="shared" si="0"/>
        <v>7.9</v>
      </c>
      <c r="E14" s="12">
        <f>VLOOKUP($A14,装备强化表,强化辅助表!G$33,FALSE)</f>
        <v>0</v>
      </c>
      <c r="F14" s="12">
        <f>VLOOKUP($A14,装备强化表,强化辅助表!H$33,FALSE)</f>
        <v>7</v>
      </c>
      <c r="G14" s="12">
        <f>VLOOKUP($A14,装备强化表,强化辅助表!I$33,FALSE)</f>
        <v>0</v>
      </c>
      <c r="H14" s="12">
        <f>VLOOKUP($A14,装备强化表,强化辅助表!J$33,FALSE)</f>
        <v>0</v>
      </c>
      <c r="I14" s="12">
        <f>VLOOKUP($A14,装备强化表,强化辅助表!K$33,FALSE)</f>
        <v>0</v>
      </c>
      <c r="J14" s="12">
        <f>VLOOKUP($A14,装备强化表,强化辅助表!L$33,FALSE)</f>
        <v>5</v>
      </c>
      <c r="K14" s="12">
        <f>VLOOKUP($A14,装备强化表,强化辅助表!N$33,FALSE)</f>
        <v>0</v>
      </c>
      <c r="L14" s="12">
        <f>VLOOKUP($A14,装备强化表,强化辅助表!O$33,FALSE)</f>
        <v>0</v>
      </c>
      <c r="M14" s="12">
        <f>VLOOKUP($A14,装备强化表,强化辅助表!P$33,FALSE)</f>
        <v>0</v>
      </c>
      <c r="O14">
        <f>VLOOKUP(A14,强化辅助表!$B$36:$Q$194,16,FALSE)</f>
        <v>7.9</v>
      </c>
    </row>
    <row r="15" spans="1:15" x14ac:dyDescent="0.15">
      <c r="A15" s="5" t="str">
        <f>强化辅助表!B49</f>
        <v>1511</v>
      </c>
      <c r="B15" s="12">
        <f>ROUND(强化辅助表!R49,0)</f>
        <v>362</v>
      </c>
      <c r="C15" s="94">
        <f>ROUND(强化辅助表!S49,0)</f>
        <v>362</v>
      </c>
      <c r="D15" s="92">
        <f t="shared" si="0"/>
        <v>7.24</v>
      </c>
      <c r="E15" s="12">
        <f>VLOOKUP($A15,装备强化表,强化辅助表!G$33,FALSE)</f>
        <v>106</v>
      </c>
      <c r="F15" s="12">
        <f>VLOOKUP($A15,装备强化表,强化辅助表!H$33,FALSE)</f>
        <v>0</v>
      </c>
      <c r="G15" s="12">
        <f>VLOOKUP($A15,装备强化表,强化辅助表!I$33,FALSE)</f>
        <v>3</v>
      </c>
      <c r="H15" s="12">
        <f>VLOOKUP($A15,装备强化表,强化辅助表!J$33,FALSE)</f>
        <v>0</v>
      </c>
      <c r="I15" s="12">
        <f>VLOOKUP($A15,装备强化表,强化辅助表!K$33,FALSE)</f>
        <v>0</v>
      </c>
      <c r="J15" s="12">
        <f>VLOOKUP($A15,装备强化表,强化辅助表!L$33,FALSE)</f>
        <v>0</v>
      </c>
      <c r="K15" s="12">
        <f>VLOOKUP($A15,装备强化表,强化辅助表!N$33,FALSE)</f>
        <v>0</v>
      </c>
      <c r="L15" s="12">
        <f>VLOOKUP($A15,装备强化表,强化辅助表!O$33,FALSE)</f>
        <v>0</v>
      </c>
      <c r="M15" s="12">
        <f>VLOOKUP($A15,装备强化表,强化辅助表!P$33,FALSE)</f>
        <v>0</v>
      </c>
      <c r="O15">
        <f>VLOOKUP(A15,强化辅助表!$B$36:$Q$194,16,FALSE)</f>
        <v>7.24</v>
      </c>
    </row>
    <row r="16" spans="1:15" x14ac:dyDescent="0.15">
      <c r="A16" s="5" t="str">
        <f>强化辅助表!B50</f>
        <v>1512</v>
      </c>
      <c r="B16" s="12">
        <f>ROUND(强化辅助表!R50,0)</f>
        <v>151</v>
      </c>
      <c r="C16" s="94">
        <f>ROUND(强化辅助表!S50,0)</f>
        <v>151</v>
      </c>
      <c r="D16" s="92">
        <f t="shared" si="0"/>
        <v>3.02</v>
      </c>
      <c r="E16" s="12">
        <f>VLOOKUP($A16,装备强化表,强化辅助表!G$33,FALSE)</f>
        <v>0</v>
      </c>
      <c r="F16" s="12">
        <f>VLOOKUP($A16,装备强化表,强化辅助表!H$33,FALSE)</f>
        <v>0</v>
      </c>
      <c r="G16" s="12">
        <f>VLOOKUP($A16,装备强化表,强化辅助表!I$33,FALSE)</f>
        <v>2</v>
      </c>
      <c r="H16" s="12">
        <f>VLOOKUP($A16,装备强化表,强化辅助表!J$33,FALSE)</f>
        <v>3</v>
      </c>
      <c r="I16" s="12">
        <f>VLOOKUP($A16,装备强化表,强化辅助表!K$33,FALSE)</f>
        <v>0</v>
      </c>
      <c r="J16" s="12">
        <f>VLOOKUP($A16,装备强化表,强化辅助表!L$33,FALSE)</f>
        <v>0</v>
      </c>
      <c r="K16" s="12">
        <f>VLOOKUP($A16,装备强化表,强化辅助表!N$33,FALSE)</f>
        <v>0</v>
      </c>
      <c r="L16" s="12">
        <f>VLOOKUP($A16,装备强化表,强化辅助表!O$33,FALSE)</f>
        <v>0</v>
      </c>
      <c r="M16" s="12">
        <f>VLOOKUP($A16,装备强化表,强化辅助表!P$33,FALSE)</f>
        <v>0</v>
      </c>
      <c r="O16">
        <f>VLOOKUP(A16,强化辅助表!$B$36:$Q$194,16,FALSE)</f>
        <v>3.02</v>
      </c>
    </row>
    <row r="17" spans="1:15" x14ac:dyDescent="0.15">
      <c r="A17" s="5" t="str">
        <f>强化辅助表!B51</f>
        <v>1515</v>
      </c>
      <c r="B17" s="12">
        <f>ROUND(强化辅助表!R51,0)</f>
        <v>157</v>
      </c>
      <c r="C17" s="94">
        <f>ROUND(强化辅助表!S51,0)</f>
        <v>157</v>
      </c>
      <c r="D17" s="92">
        <f t="shared" si="0"/>
        <v>3.14</v>
      </c>
      <c r="E17" s="12">
        <f>VLOOKUP($A17,装备强化表,强化辅助表!G$33,FALSE)</f>
        <v>36</v>
      </c>
      <c r="F17" s="12">
        <f>VLOOKUP($A17,装备强化表,强化辅助表!H$33,FALSE)</f>
        <v>0</v>
      </c>
      <c r="G17" s="12">
        <f>VLOOKUP($A17,装备强化表,强化辅助表!I$33,FALSE)</f>
        <v>0</v>
      </c>
      <c r="H17" s="12">
        <f>VLOOKUP($A17,装备强化表,强化辅助表!J$33,FALSE)</f>
        <v>5</v>
      </c>
      <c r="I17" s="12">
        <f>VLOOKUP($A17,装备强化表,强化辅助表!K$33,FALSE)</f>
        <v>0</v>
      </c>
      <c r="J17" s="12">
        <f>VLOOKUP($A17,装备强化表,强化辅助表!L$33,FALSE)</f>
        <v>0</v>
      </c>
      <c r="K17" s="12">
        <f>VLOOKUP($A17,装备强化表,强化辅助表!N$33,FALSE)</f>
        <v>0</v>
      </c>
      <c r="L17" s="12">
        <f>VLOOKUP($A17,装备强化表,强化辅助表!O$33,FALSE)</f>
        <v>0</v>
      </c>
      <c r="M17" s="12">
        <f>VLOOKUP($A17,装备强化表,强化辅助表!P$33,FALSE)</f>
        <v>0</v>
      </c>
      <c r="O17">
        <f>VLOOKUP(A17,强化辅助表!$B$36:$Q$194,16,FALSE)</f>
        <v>3.14</v>
      </c>
    </row>
    <row r="18" spans="1:15" x14ac:dyDescent="0.15">
      <c r="A18" s="5" t="str">
        <f>强化辅助表!B52</f>
        <v>1514</v>
      </c>
      <c r="B18" s="12">
        <f>ROUND(强化辅助表!R52,0)</f>
        <v>117</v>
      </c>
      <c r="C18" s="94">
        <f>ROUND(强化辅助表!S52,0)</f>
        <v>117</v>
      </c>
      <c r="D18" s="92">
        <f t="shared" si="0"/>
        <v>2.34</v>
      </c>
      <c r="E18" s="12">
        <f>VLOOKUP($A18,装备强化表,强化辅助表!G$33,FALSE)</f>
        <v>36</v>
      </c>
      <c r="F18" s="12">
        <f>VLOOKUP($A18,装备强化表,强化辅助表!H$33,FALSE)</f>
        <v>0</v>
      </c>
      <c r="G18" s="12">
        <f>VLOOKUP($A18,装备强化表,强化辅助表!I$33,FALSE)</f>
        <v>0</v>
      </c>
      <c r="H18" s="12">
        <f>VLOOKUP($A18,装备强化表,强化辅助表!J$33,FALSE)</f>
        <v>0</v>
      </c>
      <c r="I18" s="12">
        <f>VLOOKUP($A18,装备强化表,强化辅助表!K$33,FALSE)</f>
        <v>0</v>
      </c>
      <c r="J18" s="12">
        <f>VLOOKUP($A18,装备强化表,强化辅助表!L$33,FALSE)</f>
        <v>0</v>
      </c>
      <c r="K18" s="12">
        <f>VLOOKUP($A18,装备强化表,强化辅助表!N$33,FALSE)</f>
        <v>5</v>
      </c>
      <c r="L18" s="12">
        <f>VLOOKUP($A18,装备强化表,强化辅助表!O$33,FALSE)</f>
        <v>0</v>
      </c>
      <c r="M18" s="12">
        <f>VLOOKUP($A18,装备强化表,强化辅助表!P$33,FALSE)</f>
        <v>0</v>
      </c>
      <c r="O18">
        <f>VLOOKUP(A18,强化辅助表!$B$36:$Q$194,16,FALSE)</f>
        <v>2.34</v>
      </c>
    </row>
    <row r="19" spans="1:15" x14ac:dyDescent="0.15">
      <c r="A19" s="5" t="str">
        <f>强化辅助表!B53</f>
        <v>1513</v>
      </c>
      <c r="B19" s="12">
        <f>ROUND(强化辅助表!R53,0)</f>
        <v>286</v>
      </c>
      <c r="C19" s="94">
        <f>ROUND(强化辅助表!S53,0)</f>
        <v>286</v>
      </c>
      <c r="D19" s="92">
        <f t="shared" si="0"/>
        <v>5.7200000000000006</v>
      </c>
      <c r="E19" s="12">
        <f>VLOOKUP($A19,装备强化表,强化辅助表!G$33,FALSE)</f>
        <v>0</v>
      </c>
      <c r="F19" s="12">
        <f>VLOOKUP($A19,装备强化表,强化辅助表!H$33,FALSE)</f>
        <v>3</v>
      </c>
      <c r="G19" s="12">
        <f>VLOOKUP($A19,装备强化表,强化辅助表!I$33,FALSE)</f>
        <v>0</v>
      </c>
      <c r="H19" s="12">
        <f>VLOOKUP($A19,装备强化表,强化辅助表!J$33,FALSE)</f>
        <v>0</v>
      </c>
      <c r="I19" s="12">
        <f>VLOOKUP($A19,装备强化表,强化辅助表!K$33,FALSE)</f>
        <v>8</v>
      </c>
      <c r="J19" s="12">
        <f>VLOOKUP($A19,装备强化表,强化辅助表!L$33,FALSE)</f>
        <v>0</v>
      </c>
      <c r="K19" s="12">
        <f>VLOOKUP($A19,装备强化表,强化辅助表!N$33,FALSE)</f>
        <v>0</v>
      </c>
      <c r="L19" s="12">
        <f>VLOOKUP($A19,装备强化表,强化辅助表!O$33,FALSE)</f>
        <v>0</v>
      </c>
      <c r="M19" s="12">
        <f>VLOOKUP($A19,装备强化表,强化辅助表!P$33,FALSE)</f>
        <v>0</v>
      </c>
      <c r="O19">
        <f>VLOOKUP(A19,强化辅助表!$B$36:$Q$194,16,FALSE)</f>
        <v>5.7200000000000006</v>
      </c>
    </row>
    <row r="20" spans="1:15" x14ac:dyDescent="0.15">
      <c r="A20" s="5" t="str">
        <f>强化辅助表!B54</f>
        <v>1520</v>
      </c>
      <c r="B20" s="12">
        <f>ROUND(强化辅助表!R54,0)</f>
        <v>554</v>
      </c>
      <c r="C20" s="94">
        <f>ROUND(强化辅助表!S54,0)</f>
        <v>554</v>
      </c>
      <c r="D20" s="92">
        <f t="shared" si="0"/>
        <v>11.08</v>
      </c>
      <c r="E20" s="12">
        <f>VLOOKUP($A20,装备强化表,强化辅助表!G$33,FALSE)</f>
        <v>0</v>
      </c>
      <c r="F20" s="12">
        <f>VLOOKUP($A20,装备强化表,强化辅助表!H$33,FALSE)</f>
        <v>10</v>
      </c>
      <c r="G20" s="12">
        <f>VLOOKUP($A20,装备强化表,强化辅助表!I$33,FALSE)</f>
        <v>0</v>
      </c>
      <c r="H20" s="12">
        <f>VLOOKUP($A20,装备强化表,强化辅助表!J$33,FALSE)</f>
        <v>0</v>
      </c>
      <c r="I20" s="12">
        <f>VLOOKUP($A20,装备强化表,强化辅助表!K$33,FALSE)</f>
        <v>0</v>
      </c>
      <c r="J20" s="12">
        <f>VLOOKUP($A20,装备强化表,强化辅助表!L$33,FALSE)</f>
        <v>6</v>
      </c>
      <c r="K20" s="12">
        <f>VLOOKUP($A20,装备强化表,强化辅助表!N$33,FALSE)</f>
        <v>0</v>
      </c>
      <c r="L20" s="12">
        <f>VLOOKUP($A20,装备强化表,强化辅助表!O$33,FALSE)</f>
        <v>0</v>
      </c>
      <c r="M20" s="12">
        <f>VLOOKUP($A20,装备强化表,强化辅助表!P$33,FALSE)</f>
        <v>0</v>
      </c>
      <c r="O20">
        <f>VLOOKUP(A20,强化辅助表!$B$36:$Q$194,16,FALSE)</f>
        <v>11.08</v>
      </c>
    </row>
    <row r="21" spans="1:15" x14ac:dyDescent="0.15">
      <c r="A21" s="5" t="str">
        <f>强化辅助表!B55</f>
        <v>1521</v>
      </c>
      <c r="B21" s="12">
        <f>ROUND(强化辅助表!R55,0)</f>
        <v>456</v>
      </c>
      <c r="C21" s="94">
        <f>ROUND(强化辅助表!S55,0)</f>
        <v>456</v>
      </c>
      <c r="D21" s="92">
        <f t="shared" si="0"/>
        <v>9.120000000000001</v>
      </c>
      <c r="E21" s="12">
        <f>VLOOKUP($A21,装备强化表,强化辅助表!G$33,FALSE)</f>
        <v>153</v>
      </c>
      <c r="F21" s="12">
        <f>VLOOKUP($A21,装备强化表,强化辅助表!H$33,FALSE)</f>
        <v>0</v>
      </c>
      <c r="G21" s="12">
        <f>VLOOKUP($A21,装备强化表,强化辅助表!I$33,FALSE)</f>
        <v>3</v>
      </c>
      <c r="H21" s="12">
        <f>VLOOKUP($A21,装备强化表,强化辅助表!J$33,FALSE)</f>
        <v>0</v>
      </c>
      <c r="I21" s="12">
        <f>VLOOKUP($A21,装备强化表,强化辅助表!K$33,FALSE)</f>
        <v>0</v>
      </c>
      <c r="J21" s="12">
        <f>VLOOKUP($A21,装备强化表,强化辅助表!L$33,FALSE)</f>
        <v>0</v>
      </c>
      <c r="K21" s="12">
        <f>VLOOKUP($A21,装备强化表,强化辅助表!N$33,FALSE)</f>
        <v>0</v>
      </c>
      <c r="L21" s="12">
        <f>VLOOKUP($A21,装备强化表,强化辅助表!O$33,FALSE)</f>
        <v>0</v>
      </c>
      <c r="M21" s="12">
        <f>VLOOKUP($A21,装备强化表,强化辅助表!P$33,FALSE)</f>
        <v>0</v>
      </c>
      <c r="O21">
        <f>VLOOKUP(A21,强化辅助表!$B$36:$Q$194,16,FALSE)</f>
        <v>9.120000000000001</v>
      </c>
    </row>
    <row r="22" spans="1:15" x14ac:dyDescent="0.15">
      <c r="A22" s="5" t="str">
        <f>强化辅助表!B56</f>
        <v>1522</v>
      </c>
      <c r="B22" s="12">
        <f>ROUND(强化辅助表!R56,0)</f>
        <v>151</v>
      </c>
      <c r="C22" s="94">
        <f>ROUND(强化辅助表!S56,0)</f>
        <v>151</v>
      </c>
      <c r="D22" s="92">
        <f t="shared" si="0"/>
        <v>3.02</v>
      </c>
      <c r="E22" s="12">
        <f>VLOOKUP($A22,装备强化表,强化辅助表!G$33,FALSE)</f>
        <v>0</v>
      </c>
      <c r="F22" s="12">
        <f>VLOOKUP($A22,装备强化表,强化辅助表!H$33,FALSE)</f>
        <v>0</v>
      </c>
      <c r="G22" s="12">
        <f>VLOOKUP($A22,装备强化表,强化辅助表!I$33,FALSE)</f>
        <v>2</v>
      </c>
      <c r="H22" s="12">
        <f>VLOOKUP($A22,装备强化表,强化辅助表!J$33,FALSE)</f>
        <v>3</v>
      </c>
      <c r="I22" s="12">
        <f>VLOOKUP($A22,装备强化表,强化辅助表!K$33,FALSE)</f>
        <v>0</v>
      </c>
      <c r="J22" s="12">
        <f>VLOOKUP($A22,装备强化表,强化辅助表!L$33,FALSE)</f>
        <v>0</v>
      </c>
      <c r="K22" s="12">
        <f>VLOOKUP($A22,装备强化表,强化辅助表!N$33,FALSE)</f>
        <v>0</v>
      </c>
      <c r="L22" s="12">
        <f>VLOOKUP($A22,装备强化表,强化辅助表!O$33,FALSE)</f>
        <v>0</v>
      </c>
      <c r="M22" s="12">
        <f>VLOOKUP($A22,装备强化表,强化辅助表!P$33,FALSE)</f>
        <v>0</v>
      </c>
      <c r="O22">
        <f>VLOOKUP(A22,强化辅助表!$B$36:$Q$194,16,FALSE)</f>
        <v>3.02</v>
      </c>
    </row>
    <row r="23" spans="1:15" x14ac:dyDescent="0.15">
      <c r="A23" s="5" t="str">
        <f>强化辅助表!B57</f>
        <v>1525</v>
      </c>
      <c r="B23" s="12">
        <f>ROUND(强化辅助表!R57,0)</f>
        <v>221</v>
      </c>
      <c r="C23" s="94">
        <f>ROUND(强化辅助表!S57,0)</f>
        <v>221</v>
      </c>
      <c r="D23" s="92">
        <f t="shared" si="0"/>
        <v>4.42</v>
      </c>
      <c r="E23" s="12">
        <f>VLOOKUP($A23,装备强化表,强化辅助表!G$33,FALSE)</f>
        <v>51</v>
      </c>
      <c r="F23" s="12">
        <f>VLOOKUP($A23,装备强化表,强化辅助表!H$33,FALSE)</f>
        <v>0</v>
      </c>
      <c r="G23" s="12">
        <f>VLOOKUP($A23,装备强化表,强化辅助表!I$33,FALSE)</f>
        <v>0</v>
      </c>
      <c r="H23" s="12">
        <f>VLOOKUP($A23,装备强化表,强化辅助表!J$33,FALSE)</f>
        <v>7</v>
      </c>
      <c r="I23" s="12">
        <f>VLOOKUP($A23,装备强化表,强化辅助表!K$33,FALSE)</f>
        <v>0</v>
      </c>
      <c r="J23" s="12">
        <f>VLOOKUP($A23,装备强化表,强化辅助表!L$33,FALSE)</f>
        <v>0</v>
      </c>
      <c r="K23" s="12">
        <f>VLOOKUP($A23,装备强化表,强化辅助表!N$33,FALSE)</f>
        <v>0</v>
      </c>
      <c r="L23" s="12">
        <f>VLOOKUP($A23,装备强化表,强化辅助表!O$33,FALSE)</f>
        <v>0</v>
      </c>
      <c r="M23" s="12">
        <f>VLOOKUP($A23,装备强化表,强化辅助表!P$33,FALSE)</f>
        <v>0</v>
      </c>
      <c r="O23">
        <f>VLOOKUP(A23,强化辅助表!$B$36:$Q$194,16,FALSE)</f>
        <v>4.42</v>
      </c>
    </row>
    <row r="24" spans="1:15" x14ac:dyDescent="0.15">
      <c r="A24" s="5" t="str">
        <f>强化辅助表!B58</f>
        <v>1524</v>
      </c>
      <c r="B24" s="12">
        <f>ROUND(强化辅助表!R58,0)</f>
        <v>156</v>
      </c>
      <c r="C24" s="94">
        <f>ROUND(强化辅助表!S58,0)</f>
        <v>156</v>
      </c>
      <c r="D24" s="92">
        <f t="shared" si="0"/>
        <v>3.12</v>
      </c>
      <c r="E24" s="12">
        <f>VLOOKUP($A24,装备强化表,强化辅助表!G$33,FALSE)</f>
        <v>51</v>
      </c>
      <c r="F24" s="12">
        <f>VLOOKUP($A24,装备强化表,强化辅助表!H$33,FALSE)</f>
        <v>0</v>
      </c>
      <c r="G24" s="12">
        <f>VLOOKUP($A24,装备强化表,强化辅助表!I$33,FALSE)</f>
        <v>0</v>
      </c>
      <c r="H24" s="12">
        <f>VLOOKUP($A24,装备强化表,强化辅助表!J$33,FALSE)</f>
        <v>0</v>
      </c>
      <c r="I24" s="12">
        <f>VLOOKUP($A24,装备强化表,强化辅助表!K$33,FALSE)</f>
        <v>0</v>
      </c>
      <c r="J24" s="12">
        <f>VLOOKUP($A24,装备强化表,强化辅助表!L$33,FALSE)</f>
        <v>0</v>
      </c>
      <c r="K24" s="12">
        <f>VLOOKUP($A24,装备强化表,强化辅助表!N$33,FALSE)</f>
        <v>6</v>
      </c>
      <c r="L24" s="12">
        <f>VLOOKUP($A24,装备强化表,强化辅助表!O$33,FALSE)</f>
        <v>0</v>
      </c>
      <c r="M24" s="12">
        <f>VLOOKUP($A24,装备强化表,强化辅助表!P$33,FALSE)</f>
        <v>0</v>
      </c>
      <c r="O24">
        <f>VLOOKUP(A24,强化辅助表!$B$36:$Q$194,16,FALSE)</f>
        <v>3.12</v>
      </c>
    </row>
    <row r="25" spans="1:15" x14ac:dyDescent="0.15">
      <c r="A25" s="5" t="str">
        <f>强化辅助表!B59</f>
        <v>1523</v>
      </c>
      <c r="B25" s="12">
        <f>ROUND(强化辅助表!R59,0)</f>
        <v>320</v>
      </c>
      <c r="C25" s="94">
        <f>ROUND(强化辅助表!S59,0)</f>
        <v>320</v>
      </c>
      <c r="D25" s="92">
        <f t="shared" si="0"/>
        <v>6.4</v>
      </c>
      <c r="E25" s="12">
        <f>VLOOKUP($A25,装备强化表,强化辅助表!G$33,FALSE)</f>
        <v>0</v>
      </c>
      <c r="F25" s="12">
        <f>VLOOKUP($A25,装备强化表,强化辅助表!H$33,FALSE)</f>
        <v>3</v>
      </c>
      <c r="G25" s="12">
        <f>VLOOKUP($A25,装备强化表,强化辅助表!I$33,FALSE)</f>
        <v>0</v>
      </c>
      <c r="H25" s="12">
        <f>VLOOKUP($A25,装备强化表,强化辅助表!J$33,FALSE)</f>
        <v>0</v>
      </c>
      <c r="I25" s="12">
        <f>VLOOKUP($A25,装备强化表,强化辅助表!K$33,FALSE)</f>
        <v>10</v>
      </c>
      <c r="J25" s="12">
        <f>VLOOKUP($A25,装备强化表,强化辅助表!L$33,FALSE)</f>
        <v>0</v>
      </c>
      <c r="K25" s="12">
        <f>VLOOKUP($A25,装备强化表,强化辅助表!N$33,FALSE)</f>
        <v>0</v>
      </c>
      <c r="L25" s="12">
        <f>VLOOKUP($A25,装备强化表,强化辅助表!O$33,FALSE)</f>
        <v>0</v>
      </c>
      <c r="M25" s="12">
        <f>VLOOKUP($A25,装备强化表,强化辅助表!P$33,FALSE)</f>
        <v>0</v>
      </c>
      <c r="O25">
        <f>VLOOKUP(A25,强化辅助表!$B$36:$Q$194,16,FALSE)</f>
        <v>6.4</v>
      </c>
    </row>
    <row r="26" spans="1:15" x14ac:dyDescent="0.15">
      <c r="A26" s="5" t="str">
        <f>强化辅助表!B60</f>
        <v>1530</v>
      </c>
      <c r="B26" s="12">
        <f>ROUND(强化辅助表!R60,0)</f>
        <v>722</v>
      </c>
      <c r="C26" s="94">
        <f>ROUND(强化辅助表!S60,0)</f>
        <v>722</v>
      </c>
      <c r="D26" s="92">
        <f t="shared" ref="D26:D31" si="1">O26</f>
        <v>14.44</v>
      </c>
      <c r="E26" s="12">
        <f>VLOOKUP($A26,装备强化表,强化辅助表!G$33,FALSE)</f>
        <v>0</v>
      </c>
      <c r="F26" s="12">
        <f>VLOOKUP($A26,装备强化表,强化辅助表!H$33,FALSE)</f>
        <v>13</v>
      </c>
      <c r="G26" s="12">
        <f>VLOOKUP($A26,装备强化表,强化辅助表!I$33,FALSE)</f>
        <v>0</v>
      </c>
      <c r="H26" s="12">
        <f>VLOOKUP($A26,装备强化表,强化辅助表!J$33,FALSE)</f>
        <v>0</v>
      </c>
      <c r="I26" s="12">
        <f>VLOOKUP($A26,装备强化表,强化辅助表!K$33,FALSE)</f>
        <v>0</v>
      </c>
      <c r="J26" s="12">
        <f>VLOOKUP($A26,装备强化表,强化辅助表!L$33,FALSE)</f>
        <v>8</v>
      </c>
      <c r="K26" s="12">
        <f>VLOOKUP($A26,装备强化表,强化辅助表!N$33,FALSE)</f>
        <v>0</v>
      </c>
      <c r="L26" s="12">
        <f>VLOOKUP($A26,装备强化表,强化辅助表!O$33,FALSE)</f>
        <v>0</v>
      </c>
      <c r="M26" s="12">
        <f>VLOOKUP($A26,装备强化表,强化辅助表!P$33,FALSE)</f>
        <v>0</v>
      </c>
      <c r="O26">
        <f>VLOOKUP(A26,强化辅助表!$B$36:$Q$194,16,FALSE)</f>
        <v>14.44</v>
      </c>
    </row>
    <row r="27" spans="1:15" x14ac:dyDescent="0.15">
      <c r="A27" s="5" t="str">
        <f>强化辅助表!B61</f>
        <v>1531</v>
      </c>
      <c r="B27" s="12">
        <f>ROUND(强化辅助表!R61,0)</f>
        <v>600</v>
      </c>
      <c r="C27" s="94">
        <f>ROUND(强化辅助表!S61,0)</f>
        <v>600</v>
      </c>
      <c r="D27" s="92">
        <f t="shared" si="1"/>
        <v>12</v>
      </c>
      <c r="E27" s="12">
        <f>VLOOKUP($A27,装备强化表,强化辅助表!G$33,FALSE)</f>
        <v>200</v>
      </c>
      <c r="F27" s="12">
        <f>VLOOKUP($A27,装备强化表,强化辅助表!H$33,FALSE)</f>
        <v>0</v>
      </c>
      <c r="G27" s="12">
        <f>VLOOKUP($A27,装备强化表,强化辅助表!I$33,FALSE)</f>
        <v>4</v>
      </c>
      <c r="H27" s="12">
        <f>VLOOKUP($A27,装备强化表,强化辅助表!J$33,FALSE)</f>
        <v>0</v>
      </c>
      <c r="I27" s="12">
        <f>VLOOKUP($A27,装备强化表,强化辅助表!K$33,FALSE)</f>
        <v>0</v>
      </c>
      <c r="J27" s="12">
        <f>VLOOKUP($A27,装备强化表,强化辅助表!L$33,FALSE)</f>
        <v>0</v>
      </c>
      <c r="K27" s="12">
        <f>VLOOKUP($A27,装备强化表,强化辅助表!N$33,FALSE)</f>
        <v>0</v>
      </c>
      <c r="L27" s="12">
        <f>VLOOKUP($A27,装备强化表,强化辅助表!O$33,FALSE)</f>
        <v>0</v>
      </c>
      <c r="M27" s="12">
        <f>VLOOKUP($A27,装备强化表,强化辅助表!P$33,FALSE)</f>
        <v>0</v>
      </c>
      <c r="O27">
        <f>VLOOKUP(A27,强化辅助表!$B$36:$Q$194,16,FALSE)</f>
        <v>12</v>
      </c>
    </row>
    <row r="28" spans="1:15" x14ac:dyDescent="0.15">
      <c r="A28" s="5" t="str">
        <f>强化辅助表!B62</f>
        <v>1532</v>
      </c>
      <c r="B28" s="12">
        <f>ROUND(强化辅助表!R62,0)</f>
        <v>218</v>
      </c>
      <c r="C28" s="94">
        <f>ROUND(强化辅助表!S62,0)</f>
        <v>218</v>
      </c>
      <c r="D28" s="92">
        <f t="shared" si="1"/>
        <v>4.3600000000000003</v>
      </c>
      <c r="E28" s="12">
        <f>VLOOKUP($A28,装备强化表,强化辅助表!G$33,FALSE)</f>
        <v>0</v>
      </c>
      <c r="F28" s="12">
        <f>VLOOKUP($A28,装备强化表,强化辅助表!H$33,FALSE)</f>
        <v>0</v>
      </c>
      <c r="G28" s="12">
        <f>VLOOKUP($A28,装备强化表,强化辅助表!I$33,FALSE)</f>
        <v>3</v>
      </c>
      <c r="H28" s="12">
        <f>VLOOKUP($A28,装备强化表,强化辅助表!J$33,FALSE)</f>
        <v>4</v>
      </c>
      <c r="I28" s="12">
        <f>VLOOKUP($A28,装备强化表,强化辅助表!K$33,FALSE)</f>
        <v>0</v>
      </c>
      <c r="J28" s="12">
        <f>VLOOKUP($A28,装备强化表,强化辅助表!L$33,FALSE)</f>
        <v>0</v>
      </c>
      <c r="K28" s="12">
        <f>VLOOKUP($A28,装备强化表,强化辅助表!N$33,FALSE)</f>
        <v>0</v>
      </c>
      <c r="L28" s="12">
        <f>VLOOKUP($A28,装备强化表,强化辅助表!O$33,FALSE)</f>
        <v>0</v>
      </c>
      <c r="M28" s="12">
        <f>VLOOKUP($A28,装备强化表,强化辅助表!P$33,FALSE)</f>
        <v>0</v>
      </c>
      <c r="O28">
        <f>VLOOKUP(A28,强化辅助表!$B$36:$Q$194,16,FALSE)</f>
        <v>4.3600000000000003</v>
      </c>
    </row>
    <row r="29" spans="1:15" x14ac:dyDescent="0.15">
      <c r="A29" s="5" t="str">
        <f>强化辅助表!B63</f>
        <v>1535</v>
      </c>
      <c r="B29" s="12">
        <f>ROUND(强化辅助表!R63,0)</f>
        <v>287</v>
      </c>
      <c r="C29" s="94">
        <f>ROUND(强化辅助表!S63,0)</f>
        <v>287</v>
      </c>
      <c r="D29" s="92">
        <f t="shared" si="1"/>
        <v>5.74</v>
      </c>
      <c r="E29" s="12">
        <f>VLOOKUP($A29,装备强化表,强化辅助表!G$33,FALSE)</f>
        <v>67</v>
      </c>
      <c r="F29" s="12">
        <f>VLOOKUP($A29,装备强化表,强化辅助表!H$33,FALSE)</f>
        <v>0</v>
      </c>
      <c r="G29" s="12">
        <f>VLOOKUP($A29,装备强化表,强化辅助表!I$33,FALSE)</f>
        <v>0</v>
      </c>
      <c r="H29" s="12">
        <f>VLOOKUP($A29,装备强化表,强化辅助表!J$33,FALSE)</f>
        <v>9</v>
      </c>
      <c r="I29" s="12">
        <f>VLOOKUP($A29,装备强化表,强化辅助表!K$33,FALSE)</f>
        <v>0</v>
      </c>
      <c r="J29" s="12">
        <f>VLOOKUP($A29,装备强化表,强化辅助表!L$33,FALSE)</f>
        <v>0</v>
      </c>
      <c r="K29" s="12">
        <f>VLOOKUP($A29,装备强化表,强化辅助表!N$33,FALSE)</f>
        <v>0</v>
      </c>
      <c r="L29" s="12">
        <f>VLOOKUP($A29,装备强化表,强化辅助表!O$33,FALSE)</f>
        <v>0</v>
      </c>
      <c r="M29" s="12">
        <f>VLOOKUP($A29,装备强化表,强化辅助表!P$33,FALSE)</f>
        <v>0</v>
      </c>
      <c r="O29">
        <f>VLOOKUP(A29,强化辅助表!$B$36:$Q$194,16,FALSE)</f>
        <v>5.74</v>
      </c>
    </row>
    <row r="30" spans="1:15" x14ac:dyDescent="0.15">
      <c r="A30" s="5" t="str">
        <f>强化辅助表!B64</f>
        <v>1534</v>
      </c>
      <c r="B30" s="12">
        <f>ROUND(强化辅助表!R64,0)</f>
        <v>206</v>
      </c>
      <c r="C30" s="94">
        <f>ROUND(强化辅助表!S64,0)</f>
        <v>206</v>
      </c>
      <c r="D30" s="92">
        <f t="shared" si="1"/>
        <v>4.12</v>
      </c>
      <c r="E30" s="12">
        <f>VLOOKUP($A30,装备强化表,强化辅助表!G$33,FALSE)</f>
        <v>67</v>
      </c>
      <c r="F30" s="12">
        <f>VLOOKUP($A30,装备强化表,强化辅助表!H$33,FALSE)</f>
        <v>0</v>
      </c>
      <c r="G30" s="12">
        <f>VLOOKUP($A30,装备强化表,强化辅助表!I$33,FALSE)</f>
        <v>0</v>
      </c>
      <c r="H30" s="12">
        <f>VLOOKUP($A30,装备强化表,强化辅助表!J$33,FALSE)</f>
        <v>0</v>
      </c>
      <c r="I30" s="12">
        <f>VLOOKUP($A30,装备强化表,强化辅助表!K$33,FALSE)</f>
        <v>0</v>
      </c>
      <c r="J30" s="12">
        <f>VLOOKUP($A30,装备强化表,强化辅助表!L$33,FALSE)</f>
        <v>0</v>
      </c>
      <c r="K30" s="12">
        <f>VLOOKUP($A30,装备强化表,强化辅助表!N$33,FALSE)</f>
        <v>8</v>
      </c>
      <c r="L30" s="12">
        <f>VLOOKUP($A30,装备强化表,强化辅助表!O$33,FALSE)</f>
        <v>0</v>
      </c>
      <c r="M30" s="12">
        <f>VLOOKUP($A30,装备强化表,强化辅助表!P$33,FALSE)</f>
        <v>0</v>
      </c>
      <c r="O30">
        <f>VLOOKUP(A30,强化辅助表!$B$36:$Q$194,16,FALSE)</f>
        <v>4.12</v>
      </c>
    </row>
    <row r="31" spans="1:15" x14ac:dyDescent="0.15">
      <c r="A31" s="5" t="str">
        <f>强化辅助表!B65</f>
        <v>1533</v>
      </c>
      <c r="B31" s="12">
        <f>ROUND(强化辅助表!R65,0)</f>
        <v>421</v>
      </c>
      <c r="C31" s="94">
        <f>ROUND(强化辅助表!S65,0)</f>
        <v>421</v>
      </c>
      <c r="D31" s="92">
        <f t="shared" si="1"/>
        <v>8.42</v>
      </c>
      <c r="E31" s="12">
        <f>VLOOKUP($A31,装备强化表,强化辅助表!G$33,FALSE)</f>
        <v>0</v>
      </c>
      <c r="F31" s="12">
        <f>VLOOKUP($A31,装备强化表,强化辅助表!H$33,FALSE)</f>
        <v>4</v>
      </c>
      <c r="G31" s="12">
        <f>VLOOKUP($A31,装备强化表,强化辅助表!I$33,FALSE)</f>
        <v>0</v>
      </c>
      <c r="H31" s="12">
        <f>VLOOKUP($A31,装备强化表,强化辅助表!J$33,FALSE)</f>
        <v>0</v>
      </c>
      <c r="I31" s="12">
        <f>VLOOKUP($A31,装备强化表,强化辅助表!K$33,FALSE)</f>
        <v>13</v>
      </c>
      <c r="J31" s="12">
        <f>VLOOKUP($A31,装备强化表,强化辅助表!L$33,FALSE)</f>
        <v>0</v>
      </c>
      <c r="K31" s="12">
        <f>VLOOKUP($A31,装备强化表,强化辅助表!N$33,FALSE)</f>
        <v>0</v>
      </c>
      <c r="L31" s="12">
        <f>VLOOKUP($A31,装备强化表,强化辅助表!O$33,FALSE)</f>
        <v>0</v>
      </c>
      <c r="M31" s="12">
        <f>VLOOKUP($A31,装备强化表,强化辅助表!P$33,FALSE)</f>
        <v>0</v>
      </c>
      <c r="O31">
        <f>VLOOKUP(A31,强化辅助表!$B$36:$Q$194,16,FALSE)</f>
        <v>8.42</v>
      </c>
    </row>
    <row r="32" spans="1:15" x14ac:dyDescent="0.15">
      <c r="A32" s="5" t="str">
        <f>强化辅助表!B66</f>
        <v>1540</v>
      </c>
      <c r="B32" s="12">
        <f>ROUND(强化辅助表!R66,0)</f>
        <v>831</v>
      </c>
      <c r="C32" s="94">
        <f>ROUND(强化辅助表!S66,0)</f>
        <v>831</v>
      </c>
      <c r="D32" s="92">
        <f t="shared" ref="D32:D37" si="2">O32</f>
        <v>16.62</v>
      </c>
      <c r="E32" s="12">
        <f>VLOOKUP($A32,装备强化表,强化辅助表!G$33,FALSE)</f>
        <v>0</v>
      </c>
      <c r="F32" s="12">
        <f>VLOOKUP($A32,装备强化表,强化辅助表!H$33,FALSE)</f>
        <v>15</v>
      </c>
      <c r="G32" s="12">
        <f>VLOOKUP($A32,装备强化表,强化辅助表!I$33,FALSE)</f>
        <v>0</v>
      </c>
      <c r="H32" s="12">
        <f>VLOOKUP($A32,装备强化表,强化辅助表!J$33,FALSE)</f>
        <v>0</v>
      </c>
      <c r="I32" s="12">
        <f>VLOOKUP($A32,装备强化表,强化辅助表!K$33,FALSE)</f>
        <v>0</v>
      </c>
      <c r="J32" s="12">
        <f>VLOOKUP($A32,装备强化表,强化辅助表!L$33,FALSE)</f>
        <v>9</v>
      </c>
      <c r="K32" s="12">
        <f>VLOOKUP($A32,装备强化表,强化辅助表!N$33,FALSE)</f>
        <v>0</v>
      </c>
      <c r="L32" s="12">
        <f>VLOOKUP($A32,装备强化表,强化辅助表!O$33,FALSE)</f>
        <v>0</v>
      </c>
      <c r="M32" s="12">
        <f>VLOOKUP($A32,装备强化表,强化辅助表!P$33,FALSE)</f>
        <v>0</v>
      </c>
      <c r="O32">
        <f>VLOOKUP(A32,强化辅助表!$B$36:$Q$194,16,FALSE)</f>
        <v>16.62</v>
      </c>
    </row>
    <row r="33" spans="1:15" x14ac:dyDescent="0.15">
      <c r="A33" s="5" t="str">
        <f>强化辅助表!B67</f>
        <v>1541</v>
      </c>
      <c r="B33" s="12">
        <f>ROUND(强化辅助表!R67,0)</f>
        <v>720</v>
      </c>
      <c r="C33" s="94">
        <f>ROUND(强化辅助表!S67,0)</f>
        <v>720</v>
      </c>
      <c r="D33" s="92">
        <f t="shared" si="2"/>
        <v>14.4</v>
      </c>
      <c r="E33" s="12">
        <f>VLOOKUP($A33,装备强化表,强化辅助表!G$33,FALSE)</f>
        <v>235</v>
      </c>
      <c r="F33" s="12">
        <f>VLOOKUP($A33,装备强化表,强化辅助表!H$33,FALSE)</f>
        <v>0</v>
      </c>
      <c r="G33" s="12">
        <f>VLOOKUP($A33,装备强化表,强化辅助表!I$33,FALSE)</f>
        <v>5</v>
      </c>
      <c r="H33" s="12">
        <f>VLOOKUP($A33,装备强化表,强化辅助表!J$33,FALSE)</f>
        <v>0</v>
      </c>
      <c r="I33" s="12">
        <f>VLOOKUP($A33,装备强化表,强化辅助表!K$33,FALSE)</f>
        <v>0</v>
      </c>
      <c r="J33" s="12">
        <f>VLOOKUP($A33,装备强化表,强化辅助表!L$33,FALSE)</f>
        <v>0</v>
      </c>
      <c r="K33" s="12">
        <f>VLOOKUP($A33,装备强化表,强化辅助表!N$33,FALSE)</f>
        <v>0</v>
      </c>
      <c r="L33" s="12">
        <f>VLOOKUP($A33,装备强化表,强化辅助表!O$33,FALSE)</f>
        <v>0</v>
      </c>
      <c r="M33" s="12">
        <f>VLOOKUP($A33,装备强化表,强化辅助表!P$33,FALSE)</f>
        <v>0</v>
      </c>
      <c r="O33">
        <f>VLOOKUP(A33,强化辅助表!$B$36:$Q$194,16,FALSE)</f>
        <v>14.4</v>
      </c>
    </row>
    <row r="34" spans="1:15" x14ac:dyDescent="0.15">
      <c r="A34" s="5" t="str">
        <f>强化辅助表!B68</f>
        <v>1542</v>
      </c>
      <c r="B34" s="12">
        <f>ROUND(强化辅助表!R68,0)</f>
        <v>235</v>
      </c>
      <c r="C34" s="94">
        <f>ROUND(强化辅助表!S68,0)</f>
        <v>235</v>
      </c>
      <c r="D34" s="92">
        <f t="shared" si="2"/>
        <v>4.7</v>
      </c>
      <c r="E34" s="12">
        <f>VLOOKUP($A34,装备强化表,强化辅助表!G$33,FALSE)</f>
        <v>0</v>
      </c>
      <c r="F34" s="12">
        <f>VLOOKUP($A34,装备强化表,强化辅助表!H$33,FALSE)</f>
        <v>0</v>
      </c>
      <c r="G34" s="12">
        <f>VLOOKUP($A34,装备强化表,强化辅助表!I$33,FALSE)</f>
        <v>3</v>
      </c>
      <c r="H34" s="12">
        <f>VLOOKUP($A34,装备强化表,强化辅助表!J$33,FALSE)</f>
        <v>5</v>
      </c>
      <c r="I34" s="12">
        <f>VLOOKUP($A34,装备强化表,强化辅助表!K$33,FALSE)</f>
        <v>0</v>
      </c>
      <c r="J34" s="12">
        <f>VLOOKUP($A34,装备强化表,强化辅助表!L$33,FALSE)</f>
        <v>0</v>
      </c>
      <c r="K34" s="12">
        <f>VLOOKUP($A34,装备强化表,强化辅助表!N$33,FALSE)</f>
        <v>0</v>
      </c>
      <c r="L34" s="12">
        <f>VLOOKUP($A34,装备强化表,强化辅助表!O$33,FALSE)</f>
        <v>0</v>
      </c>
      <c r="M34" s="12">
        <f>VLOOKUP($A34,装备强化表,强化辅助表!P$33,FALSE)</f>
        <v>0</v>
      </c>
      <c r="O34">
        <f>VLOOKUP(A34,强化辅助表!$B$36:$Q$194,16,FALSE)</f>
        <v>4.7</v>
      </c>
    </row>
    <row r="35" spans="1:15" x14ac:dyDescent="0.15">
      <c r="A35" s="5" t="str">
        <f>强化辅助表!B69</f>
        <v>1545</v>
      </c>
      <c r="B35" s="12">
        <f>ROUND(强化辅助表!R69,0)</f>
        <v>326</v>
      </c>
      <c r="C35" s="94">
        <f>ROUND(强化辅助表!S69,0)</f>
        <v>326</v>
      </c>
      <c r="D35" s="92">
        <f t="shared" si="2"/>
        <v>6.5200000000000005</v>
      </c>
      <c r="E35" s="12">
        <f>VLOOKUP($A35,装备强化表,强化辅助表!G$33,FALSE)</f>
        <v>78</v>
      </c>
      <c r="F35" s="12">
        <f>VLOOKUP($A35,装备强化表,强化辅助表!H$33,FALSE)</f>
        <v>0</v>
      </c>
      <c r="G35" s="12">
        <f>VLOOKUP($A35,装备强化表,强化辅助表!I$33,FALSE)</f>
        <v>0</v>
      </c>
      <c r="H35" s="12">
        <f>VLOOKUP($A35,装备强化表,强化辅助表!J$33,FALSE)</f>
        <v>10</v>
      </c>
      <c r="I35" s="12">
        <f>VLOOKUP($A35,装备强化表,强化辅助表!K$33,FALSE)</f>
        <v>0</v>
      </c>
      <c r="J35" s="12">
        <f>VLOOKUP($A35,装备强化表,强化辅助表!L$33,FALSE)</f>
        <v>0</v>
      </c>
      <c r="K35" s="12">
        <f>VLOOKUP($A35,装备强化表,强化辅助表!N$33,FALSE)</f>
        <v>0</v>
      </c>
      <c r="L35" s="12">
        <f>VLOOKUP($A35,装备强化表,强化辅助表!O$33,FALSE)</f>
        <v>0</v>
      </c>
      <c r="M35" s="12">
        <f>VLOOKUP($A35,装备强化表,强化辅助表!P$33,FALSE)</f>
        <v>0</v>
      </c>
      <c r="O35">
        <f>VLOOKUP(A35,强化辅助表!$B$36:$Q$194,16,FALSE)</f>
        <v>6.5200000000000005</v>
      </c>
    </row>
    <row r="36" spans="1:15" x14ac:dyDescent="0.15">
      <c r="A36" s="5" t="str">
        <f>强化辅助表!B70</f>
        <v>1544</v>
      </c>
      <c r="B36" s="12">
        <f>ROUND(强化辅助表!R70,0)</f>
        <v>237</v>
      </c>
      <c r="C36" s="94">
        <f>ROUND(强化辅助表!S70,0)</f>
        <v>237</v>
      </c>
      <c r="D36" s="92">
        <f t="shared" si="2"/>
        <v>4.74</v>
      </c>
      <c r="E36" s="12">
        <f>VLOOKUP($A36,装备强化表,强化辅助表!G$33,FALSE)</f>
        <v>78</v>
      </c>
      <c r="F36" s="12">
        <f>VLOOKUP($A36,装备强化表,强化辅助表!H$33,FALSE)</f>
        <v>0</v>
      </c>
      <c r="G36" s="12">
        <f>VLOOKUP($A36,装备强化表,强化辅助表!I$33,FALSE)</f>
        <v>0</v>
      </c>
      <c r="H36" s="12">
        <f>VLOOKUP($A36,装备强化表,强化辅助表!J$33,FALSE)</f>
        <v>0</v>
      </c>
      <c r="I36" s="12">
        <f>VLOOKUP($A36,装备强化表,强化辅助表!K$33,FALSE)</f>
        <v>0</v>
      </c>
      <c r="J36" s="12">
        <f>VLOOKUP($A36,装备强化表,强化辅助表!L$33,FALSE)</f>
        <v>0</v>
      </c>
      <c r="K36" s="12">
        <f>VLOOKUP($A36,装备强化表,强化辅助表!N$33,FALSE)</f>
        <v>9</v>
      </c>
      <c r="L36" s="12">
        <f>VLOOKUP($A36,装备强化表,强化辅助表!O$33,FALSE)</f>
        <v>0</v>
      </c>
      <c r="M36" s="12">
        <f>VLOOKUP($A36,装备强化表,强化辅助表!P$33,FALSE)</f>
        <v>0</v>
      </c>
      <c r="O36">
        <f>VLOOKUP(A36,强化辅助表!$B$36:$Q$194,16,FALSE)</f>
        <v>4.74</v>
      </c>
    </row>
    <row r="37" spans="1:15" x14ac:dyDescent="0.15">
      <c r="A37" s="5" t="str">
        <f>强化辅助表!B71</f>
        <v>1543</v>
      </c>
      <c r="B37" s="12">
        <f>ROUND(强化辅助表!R71,0)</f>
        <v>522</v>
      </c>
      <c r="C37" s="94">
        <f>ROUND(强化辅助表!S71,0)</f>
        <v>522</v>
      </c>
      <c r="D37" s="92">
        <f t="shared" si="2"/>
        <v>10.440000000000001</v>
      </c>
      <c r="E37" s="12">
        <f>VLOOKUP($A37,装备强化表,强化辅助表!G$33,FALSE)</f>
        <v>0</v>
      </c>
      <c r="F37" s="12">
        <f>VLOOKUP($A37,装备强化表,强化辅助表!H$33,FALSE)</f>
        <v>5</v>
      </c>
      <c r="G37" s="12">
        <f>VLOOKUP($A37,装备强化表,强化辅助表!I$33,FALSE)</f>
        <v>0</v>
      </c>
      <c r="H37" s="12">
        <f>VLOOKUP($A37,装备强化表,强化辅助表!J$33,FALSE)</f>
        <v>0</v>
      </c>
      <c r="I37" s="12">
        <f>VLOOKUP($A37,装备强化表,强化辅助表!K$33,FALSE)</f>
        <v>16</v>
      </c>
      <c r="J37" s="12">
        <f>VLOOKUP($A37,装备强化表,强化辅助表!L$33,FALSE)</f>
        <v>0</v>
      </c>
      <c r="K37" s="12">
        <f>VLOOKUP($A37,装备强化表,强化辅助表!N$33,FALSE)</f>
        <v>0</v>
      </c>
      <c r="L37" s="12">
        <f>VLOOKUP($A37,装备强化表,强化辅助表!O$33,FALSE)</f>
        <v>0</v>
      </c>
      <c r="M37" s="12">
        <f>VLOOKUP($A37,装备强化表,强化辅助表!P$33,FALSE)</f>
        <v>0</v>
      </c>
      <c r="O37">
        <f>VLOOKUP(A37,强化辅助表!$B$36:$Q$194,16,FALSE)</f>
        <v>10.440000000000001</v>
      </c>
    </row>
    <row r="38" spans="1:15" x14ac:dyDescent="0.15">
      <c r="A38" s="5" t="str">
        <f>强化辅助表!B72</f>
        <v>3010</v>
      </c>
      <c r="B38" s="12">
        <f>ROUND(强化辅助表!R72,0)</f>
        <v>722</v>
      </c>
      <c r="C38" s="94">
        <f>ROUND(强化辅助表!S72,0)</f>
        <v>722</v>
      </c>
      <c r="D38" s="92">
        <f t="shared" si="0"/>
        <v>14.44</v>
      </c>
      <c r="E38" s="12">
        <f>VLOOKUP($A38,装备强化表,强化辅助表!G$33,FALSE)</f>
        <v>0</v>
      </c>
      <c r="F38" s="12">
        <f>VLOOKUP($A38,装备强化表,强化辅助表!H$33,FALSE)</f>
        <v>13</v>
      </c>
      <c r="G38" s="12">
        <f>VLOOKUP($A38,装备强化表,强化辅助表!I$33,FALSE)</f>
        <v>0</v>
      </c>
      <c r="H38" s="12">
        <f>VLOOKUP($A38,装备强化表,强化辅助表!J$33,FALSE)</f>
        <v>0</v>
      </c>
      <c r="I38" s="12">
        <f>VLOOKUP($A38,装备强化表,强化辅助表!K$33,FALSE)</f>
        <v>0</v>
      </c>
      <c r="J38" s="12">
        <f>VLOOKUP($A38,装备强化表,强化辅助表!L$33,FALSE)</f>
        <v>8</v>
      </c>
      <c r="K38" s="12">
        <f>VLOOKUP($A38,装备强化表,强化辅助表!N$33,FALSE)</f>
        <v>0</v>
      </c>
      <c r="L38" s="12">
        <f>VLOOKUP($A38,装备强化表,强化辅助表!O$33,FALSE)</f>
        <v>0</v>
      </c>
      <c r="M38" s="12">
        <f>VLOOKUP($A38,装备强化表,强化辅助表!P$33,FALSE)</f>
        <v>0</v>
      </c>
      <c r="O38">
        <f>VLOOKUP(A38,强化辅助表!$B$36:$Q$194,16,FALSE)</f>
        <v>14.44</v>
      </c>
    </row>
    <row r="39" spans="1:15" x14ac:dyDescent="0.15">
      <c r="A39" s="5" t="str">
        <f>强化辅助表!B73</f>
        <v>3011</v>
      </c>
      <c r="B39" s="12">
        <f>ROUND(强化辅助表!R73,0)</f>
        <v>674</v>
      </c>
      <c r="C39" s="94">
        <f>ROUND(强化辅助表!S73,0)</f>
        <v>674</v>
      </c>
      <c r="D39" s="92">
        <f t="shared" si="0"/>
        <v>13.48</v>
      </c>
      <c r="E39" s="12">
        <f>VLOOKUP($A39,装备强化表,强化辅助表!G$33,FALSE)</f>
        <v>212</v>
      </c>
      <c r="F39" s="12">
        <f>VLOOKUP($A39,装备强化表,强化辅助表!H$33,FALSE)</f>
        <v>0</v>
      </c>
      <c r="G39" s="12">
        <f>VLOOKUP($A39,装备强化表,强化辅助表!I$33,FALSE)</f>
        <v>5</v>
      </c>
      <c r="H39" s="12">
        <f>VLOOKUP($A39,装备强化表,强化辅助表!J$33,FALSE)</f>
        <v>0</v>
      </c>
      <c r="I39" s="12">
        <f>VLOOKUP($A39,装备强化表,强化辅助表!K$33,FALSE)</f>
        <v>0</v>
      </c>
      <c r="J39" s="12">
        <f>VLOOKUP($A39,装备强化表,强化辅助表!L$33,FALSE)</f>
        <v>0</v>
      </c>
      <c r="K39" s="12">
        <f>VLOOKUP($A39,装备强化表,强化辅助表!N$33,FALSE)</f>
        <v>0</v>
      </c>
      <c r="L39" s="12">
        <f>VLOOKUP($A39,装备强化表,强化辅助表!O$33,FALSE)</f>
        <v>0</v>
      </c>
      <c r="M39" s="12">
        <f>VLOOKUP($A39,装备强化表,强化辅助表!P$33,FALSE)</f>
        <v>0</v>
      </c>
      <c r="O39">
        <f>VLOOKUP(A39,强化辅助表!$B$36:$Q$194,16,FALSE)</f>
        <v>13.48</v>
      </c>
    </row>
    <row r="40" spans="1:15" x14ac:dyDescent="0.15">
      <c r="A40" s="5" t="str">
        <f>强化辅助表!B74</f>
        <v>3012</v>
      </c>
      <c r="B40" s="12">
        <f>ROUND(强化辅助表!R74,0)</f>
        <v>235</v>
      </c>
      <c r="C40" s="94">
        <f>ROUND(强化辅助表!S74,0)</f>
        <v>235</v>
      </c>
      <c r="D40" s="92">
        <f t="shared" si="0"/>
        <v>4.7</v>
      </c>
      <c r="E40" s="12">
        <f>VLOOKUP($A40,装备强化表,强化辅助表!G$33,FALSE)</f>
        <v>0</v>
      </c>
      <c r="F40" s="12">
        <f>VLOOKUP($A40,装备强化表,强化辅助表!H$33,FALSE)</f>
        <v>0</v>
      </c>
      <c r="G40" s="12">
        <f>VLOOKUP($A40,装备强化表,强化辅助表!I$33,FALSE)</f>
        <v>3</v>
      </c>
      <c r="H40" s="12">
        <f>VLOOKUP($A40,装备强化表,强化辅助表!J$33,FALSE)</f>
        <v>5</v>
      </c>
      <c r="I40" s="12">
        <f>VLOOKUP($A40,装备强化表,强化辅助表!K$33,FALSE)</f>
        <v>0</v>
      </c>
      <c r="J40" s="12">
        <f>VLOOKUP($A40,装备强化表,强化辅助表!L$33,FALSE)</f>
        <v>0</v>
      </c>
      <c r="K40" s="12">
        <f>VLOOKUP($A40,装备强化表,强化辅助表!N$33,FALSE)</f>
        <v>0</v>
      </c>
      <c r="L40" s="12">
        <f>VLOOKUP($A40,装备强化表,强化辅助表!O$33,FALSE)</f>
        <v>0</v>
      </c>
      <c r="M40" s="12">
        <f>VLOOKUP($A40,装备强化表,强化辅助表!P$33,FALSE)</f>
        <v>0</v>
      </c>
      <c r="O40">
        <f>VLOOKUP(A40,强化辅助表!$B$36:$Q$194,16,FALSE)</f>
        <v>4.7</v>
      </c>
    </row>
    <row r="41" spans="1:15" x14ac:dyDescent="0.15">
      <c r="A41" s="5" t="str">
        <f>强化辅助表!B75</f>
        <v>3015</v>
      </c>
      <c r="B41" s="12">
        <f>ROUND(强化辅助表!R75,0)</f>
        <v>295</v>
      </c>
      <c r="C41" s="94">
        <f>ROUND(强化辅助表!S75,0)</f>
        <v>295</v>
      </c>
      <c r="D41" s="92">
        <f t="shared" si="0"/>
        <v>5.9</v>
      </c>
      <c r="E41" s="12">
        <f>VLOOKUP($A41,装备强化表,强化辅助表!G$33,FALSE)</f>
        <v>71</v>
      </c>
      <c r="F41" s="12">
        <f>VLOOKUP($A41,装备强化表,强化辅助表!H$33,FALSE)</f>
        <v>0</v>
      </c>
      <c r="G41" s="12">
        <f>VLOOKUP($A41,装备强化表,强化辅助表!I$33,FALSE)</f>
        <v>0</v>
      </c>
      <c r="H41" s="12">
        <f>VLOOKUP($A41,装备强化表,强化辅助表!J$33,FALSE)</f>
        <v>9</v>
      </c>
      <c r="I41" s="12">
        <f>VLOOKUP($A41,装备强化表,强化辅助表!K$33,FALSE)</f>
        <v>0</v>
      </c>
      <c r="J41" s="12">
        <f>VLOOKUP($A41,装备强化表,强化辅助表!L$33,FALSE)</f>
        <v>0</v>
      </c>
      <c r="K41" s="12">
        <f>VLOOKUP($A41,装备强化表,强化辅助表!N$33,FALSE)</f>
        <v>0</v>
      </c>
      <c r="L41" s="12">
        <f>VLOOKUP($A41,装备强化表,强化辅助表!O$33,FALSE)</f>
        <v>0</v>
      </c>
      <c r="M41" s="12">
        <f>VLOOKUP($A41,装备强化表,强化辅助表!P$33,FALSE)</f>
        <v>0</v>
      </c>
      <c r="O41">
        <f>VLOOKUP(A41,强化辅助表!$B$36:$Q$194,16,FALSE)</f>
        <v>5.9</v>
      </c>
    </row>
    <row r="42" spans="1:15" x14ac:dyDescent="0.15">
      <c r="A42" s="5" t="str">
        <f>强化辅助表!B76</f>
        <v>3014</v>
      </c>
      <c r="B42" s="12">
        <f>ROUND(强化辅助表!R76,0)</f>
        <v>214</v>
      </c>
      <c r="C42" s="94">
        <f>ROUND(强化辅助表!S76,0)</f>
        <v>214</v>
      </c>
      <c r="D42" s="92">
        <f t="shared" si="0"/>
        <v>4.2799999999999994</v>
      </c>
      <c r="E42" s="12">
        <f>VLOOKUP($A42,装备强化表,强化辅助表!G$33,FALSE)</f>
        <v>71</v>
      </c>
      <c r="F42" s="12">
        <f>VLOOKUP($A42,装备强化表,强化辅助表!H$33,FALSE)</f>
        <v>0</v>
      </c>
      <c r="G42" s="12">
        <f>VLOOKUP($A42,装备强化表,强化辅助表!I$33,FALSE)</f>
        <v>0</v>
      </c>
      <c r="H42" s="12">
        <f>VLOOKUP($A42,装备强化表,强化辅助表!J$33,FALSE)</f>
        <v>0</v>
      </c>
      <c r="I42" s="12">
        <f>VLOOKUP($A42,装备强化表,强化辅助表!K$33,FALSE)</f>
        <v>0</v>
      </c>
      <c r="J42" s="12">
        <f>VLOOKUP($A42,装备强化表,强化辅助表!L$33,FALSE)</f>
        <v>0</v>
      </c>
      <c r="K42" s="12">
        <f>VLOOKUP($A42,装备强化表,强化辅助表!N$33,FALSE)</f>
        <v>8</v>
      </c>
      <c r="L42" s="12">
        <f>VLOOKUP($A42,装备强化表,强化辅助表!O$33,FALSE)</f>
        <v>0</v>
      </c>
      <c r="M42" s="12">
        <f>VLOOKUP($A42,装备强化表,强化辅助表!P$33,FALSE)</f>
        <v>0</v>
      </c>
      <c r="O42">
        <f>VLOOKUP(A42,强化辅助表!$B$36:$Q$194,16,FALSE)</f>
        <v>4.2799999999999994</v>
      </c>
    </row>
    <row r="43" spans="1:15" x14ac:dyDescent="0.15">
      <c r="A43" s="5" t="str">
        <f>强化辅助表!B77</f>
        <v>3013</v>
      </c>
      <c r="B43" s="12">
        <f>ROUND(强化辅助表!R77,0)</f>
        <v>438</v>
      </c>
      <c r="C43" s="94">
        <f>ROUND(强化辅助表!S77,0)</f>
        <v>438</v>
      </c>
      <c r="D43" s="92">
        <f t="shared" si="0"/>
        <v>8.7600000000000016</v>
      </c>
      <c r="E43" s="12">
        <f>VLOOKUP($A43,装备强化表,强化辅助表!G$33,FALSE)</f>
        <v>0</v>
      </c>
      <c r="F43" s="12">
        <f>VLOOKUP($A43,装备强化表,强化辅助表!H$33,FALSE)</f>
        <v>4</v>
      </c>
      <c r="G43" s="12">
        <f>VLOOKUP($A43,装备强化表,强化辅助表!I$33,FALSE)</f>
        <v>0</v>
      </c>
      <c r="H43" s="12">
        <f>VLOOKUP($A43,装备强化表,强化辅助表!J$33,FALSE)</f>
        <v>0</v>
      </c>
      <c r="I43" s="12">
        <f>VLOOKUP($A43,装备强化表,强化辅助表!K$33,FALSE)</f>
        <v>14</v>
      </c>
      <c r="J43" s="12">
        <f>VLOOKUP($A43,装备强化表,强化辅助表!L$33,FALSE)</f>
        <v>0</v>
      </c>
      <c r="K43" s="12">
        <f>VLOOKUP($A43,装备强化表,强化辅助表!N$33,FALSE)</f>
        <v>0</v>
      </c>
      <c r="L43" s="12">
        <f>VLOOKUP($A43,装备强化表,强化辅助表!O$33,FALSE)</f>
        <v>0</v>
      </c>
      <c r="M43" s="12">
        <f>VLOOKUP($A43,装备强化表,强化辅助表!P$33,FALSE)</f>
        <v>0</v>
      </c>
      <c r="O43">
        <f>VLOOKUP(A43,强化辅助表!$B$36:$Q$194,16,FALSE)</f>
        <v>8.7600000000000016</v>
      </c>
    </row>
    <row r="44" spans="1:15" x14ac:dyDescent="0.15">
      <c r="A44" s="5" t="str">
        <f>强化辅助表!B78</f>
        <v>3020</v>
      </c>
      <c r="B44" s="12">
        <f>ROUND(强化辅助表!R78,0)</f>
        <v>1058</v>
      </c>
      <c r="C44" s="94">
        <f>ROUND(强化辅助表!S78,0)</f>
        <v>1058</v>
      </c>
      <c r="D44" s="92">
        <f t="shared" si="0"/>
        <v>21.16</v>
      </c>
      <c r="E44" s="12">
        <f>VLOOKUP($A44,装备强化表,强化辅助表!G$33,FALSE)</f>
        <v>0</v>
      </c>
      <c r="F44" s="12">
        <f>VLOOKUP($A44,装备强化表,强化辅助表!H$33,FALSE)</f>
        <v>19</v>
      </c>
      <c r="G44" s="12">
        <f>VLOOKUP($A44,装备强化表,强化辅助表!I$33,FALSE)</f>
        <v>0</v>
      </c>
      <c r="H44" s="12">
        <f>VLOOKUP($A44,装备强化表,强化辅助表!J$33,FALSE)</f>
        <v>0</v>
      </c>
      <c r="I44" s="12">
        <f>VLOOKUP($A44,装备强化表,强化辅助表!K$33,FALSE)</f>
        <v>0</v>
      </c>
      <c r="J44" s="12">
        <f>VLOOKUP($A44,装备强化表,强化辅助表!L$33,FALSE)</f>
        <v>12</v>
      </c>
      <c r="K44" s="12">
        <f>VLOOKUP($A44,装备强化表,强化辅助表!N$33,FALSE)</f>
        <v>0</v>
      </c>
      <c r="L44" s="12">
        <f>VLOOKUP($A44,装备强化表,强化辅助表!O$33,FALSE)</f>
        <v>0</v>
      </c>
      <c r="M44" s="12">
        <f>VLOOKUP($A44,装备强化表,强化辅助表!P$33,FALSE)</f>
        <v>0</v>
      </c>
      <c r="O44">
        <f>VLOOKUP(A44,强化辅助表!$B$36:$Q$194,16,FALSE)</f>
        <v>21.16</v>
      </c>
    </row>
    <row r="45" spans="1:15" x14ac:dyDescent="0.15">
      <c r="A45" s="5" t="str">
        <f>强化辅助表!B79</f>
        <v>3021</v>
      </c>
      <c r="B45" s="12">
        <f>ROUND(强化辅助表!R79,0)</f>
        <v>962</v>
      </c>
      <c r="C45" s="94">
        <f>ROUND(强化辅助表!S79,0)</f>
        <v>962</v>
      </c>
      <c r="D45" s="92">
        <f t="shared" si="0"/>
        <v>19.240000000000002</v>
      </c>
      <c r="E45" s="12">
        <f>VLOOKUP($A45,装备强化表,强化辅助表!G$33,FALSE)</f>
        <v>306</v>
      </c>
      <c r="F45" s="12">
        <f>VLOOKUP($A45,装备强化表,强化辅助表!H$33,FALSE)</f>
        <v>0</v>
      </c>
      <c r="G45" s="12">
        <f>VLOOKUP($A45,装备强化表,强化辅助表!I$33,FALSE)</f>
        <v>7</v>
      </c>
      <c r="H45" s="12">
        <f>VLOOKUP($A45,装备强化表,强化辅助表!J$33,FALSE)</f>
        <v>0</v>
      </c>
      <c r="I45" s="12">
        <f>VLOOKUP($A45,装备强化表,强化辅助表!K$33,FALSE)</f>
        <v>0</v>
      </c>
      <c r="J45" s="12">
        <f>VLOOKUP($A45,装备强化表,强化辅助表!L$33,FALSE)</f>
        <v>0</v>
      </c>
      <c r="K45" s="12">
        <f>VLOOKUP($A45,装备强化表,强化辅助表!N$33,FALSE)</f>
        <v>0</v>
      </c>
      <c r="L45" s="12">
        <f>VLOOKUP($A45,装备强化表,强化辅助表!O$33,FALSE)</f>
        <v>0</v>
      </c>
      <c r="M45" s="12">
        <f>VLOOKUP($A45,装备强化表,强化辅助表!P$33,FALSE)</f>
        <v>0</v>
      </c>
      <c r="O45">
        <f>VLOOKUP(A45,强化辅助表!$B$36:$Q$194,16,FALSE)</f>
        <v>19.240000000000002</v>
      </c>
    </row>
    <row r="46" spans="1:15" x14ac:dyDescent="0.15">
      <c r="A46" s="5" t="str">
        <f>强化辅助表!B80</f>
        <v>3022</v>
      </c>
      <c r="B46" s="12">
        <f>ROUND(强化辅助表!R80,0)</f>
        <v>319</v>
      </c>
      <c r="C46" s="94">
        <f>ROUND(强化辅助表!S80,0)</f>
        <v>319</v>
      </c>
      <c r="D46" s="92">
        <f t="shared" si="0"/>
        <v>6.3800000000000008</v>
      </c>
      <c r="E46" s="12">
        <f>VLOOKUP($A46,装备强化表,强化辅助表!G$33,FALSE)</f>
        <v>0</v>
      </c>
      <c r="F46" s="12">
        <f>VLOOKUP($A46,装备强化表,强化辅助表!H$33,FALSE)</f>
        <v>0</v>
      </c>
      <c r="G46" s="12">
        <f>VLOOKUP($A46,装备强化表,强化辅助表!I$33,FALSE)</f>
        <v>4</v>
      </c>
      <c r="H46" s="12">
        <f>VLOOKUP($A46,装备强化表,强化辅助表!J$33,FALSE)</f>
        <v>7</v>
      </c>
      <c r="I46" s="12">
        <f>VLOOKUP($A46,装备强化表,强化辅助表!K$33,FALSE)</f>
        <v>0</v>
      </c>
      <c r="J46" s="12">
        <f>VLOOKUP($A46,装备强化表,强化辅助表!L$33,FALSE)</f>
        <v>0</v>
      </c>
      <c r="K46" s="12">
        <f>VLOOKUP($A46,装备强化表,强化辅助表!N$33,FALSE)</f>
        <v>0</v>
      </c>
      <c r="L46" s="12">
        <f>VLOOKUP($A46,装备强化表,强化辅助表!O$33,FALSE)</f>
        <v>0</v>
      </c>
      <c r="M46" s="12">
        <f>VLOOKUP($A46,装备强化表,强化辅助表!P$33,FALSE)</f>
        <v>0</v>
      </c>
      <c r="O46">
        <f>VLOOKUP(A46,强化辅助表!$B$36:$Q$194,16,FALSE)</f>
        <v>6.3800000000000008</v>
      </c>
    </row>
    <row r="47" spans="1:15" x14ac:dyDescent="0.15">
      <c r="A47" s="5" t="str">
        <f>强化辅助表!B81</f>
        <v>3025</v>
      </c>
      <c r="B47" s="12">
        <f>ROUND(强化辅助表!R81,0)</f>
        <v>442</v>
      </c>
      <c r="C47" s="94">
        <f>ROUND(强化辅助表!S81,0)</f>
        <v>442</v>
      </c>
      <c r="D47" s="92">
        <f t="shared" si="0"/>
        <v>8.84</v>
      </c>
      <c r="E47" s="12">
        <f>VLOOKUP($A47,装备强化表,强化辅助表!G$33,FALSE)</f>
        <v>102</v>
      </c>
      <c r="F47" s="12">
        <f>VLOOKUP($A47,装备强化表,强化辅助表!H$33,FALSE)</f>
        <v>0</v>
      </c>
      <c r="G47" s="12">
        <f>VLOOKUP($A47,装备强化表,强化辅助表!I$33,FALSE)</f>
        <v>0</v>
      </c>
      <c r="H47" s="12">
        <f>VLOOKUP($A47,装备强化表,强化辅助表!J$33,FALSE)</f>
        <v>14</v>
      </c>
      <c r="I47" s="12">
        <f>VLOOKUP($A47,装备强化表,强化辅助表!K$33,FALSE)</f>
        <v>0</v>
      </c>
      <c r="J47" s="12">
        <f>VLOOKUP($A47,装备强化表,强化辅助表!L$33,FALSE)</f>
        <v>0</v>
      </c>
      <c r="K47" s="12">
        <f>VLOOKUP($A47,装备强化表,强化辅助表!N$33,FALSE)</f>
        <v>0</v>
      </c>
      <c r="L47" s="12">
        <f>VLOOKUP($A47,装备强化表,强化辅助表!O$33,FALSE)</f>
        <v>0</v>
      </c>
      <c r="M47" s="12">
        <f>VLOOKUP($A47,装备强化表,强化辅助表!P$33,FALSE)</f>
        <v>0</v>
      </c>
      <c r="O47">
        <f>VLOOKUP(A47,强化辅助表!$B$36:$Q$194,16,FALSE)</f>
        <v>8.84</v>
      </c>
    </row>
    <row r="48" spans="1:15" x14ac:dyDescent="0.15">
      <c r="A48" s="5" t="str">
        <f>强化辅助表!B82</f>
        <v>3024</v>
      </c>
      <c r="B48" s="12">
        <f>ROUND(强化辅助表!R82,0)</f>
        <v>312</v>
      </c>
      <c r="C48" s="94">
        <f>ROUND(强化辅助表!S82,0)</f>
        <v>312</v>
      </c>
      <c r="D48" s="92">
        <f t="shared" si="0"/>
        <v>6.24</v>
      </c>
      <c r="E48" s="12">
        <f>VLOOKUP($A48,装备强化表,强化辅助表!G$33,FALSE)</f>
        <v>102</v>
      </c>
      <c r="F48" s="12">
        <f>VLOOKUP($A48,装备强化表,强化辅助表!H$33,FALSE)</f>
        <v>0</v>
      </c>
      <c r="G48" s="12">
        <f>VLOOKUP($A48,装备强化表,强化辅助表!I$33,FALSE)</f>
        <v>0</v>
      </c>
      <c r="H48" s="12">
        <f>VLOOKUP($A48,装备强化表,强化辅助表!J$33,FALSE)</f>
        <v>0</v>
      </c>
      <c r="I48" s="12">
        <f>VLOOKUP($A48,装备强化表,强化辅助表!K$33,FALSE)</f>
        <v>0</v>
      </c>
      <c r="J48" s="12">
        <f>VLOOKUP($A48,装备强化表,强化辅助表!L$33,FALSE)</f>
        <v>0</v>
      </c>
      <c r="K48" s="12">
        <f>VLOOKUP($A48,装备强化表,强化辅助表!N$33,FALSE)</f>
        <v>12</v>
      </c>
      <c r="L48" s="12">
        <f>VLOOKUP($A48,装备强化表,强化辅助表!O$33,FALSE)</f>
        <v>0</v>
      </c>
      <c r="M48" s="12">
        <f>VLOOKUP($A48,装备强化表,强化辅助表!P$33,FALSE)</f>
        <v>0</v>
      </c>
      <c r="O48">
        <f>VLOOKUP(A48,强化辅助表!$B$36:$Q$194,16,FALSE)</f>
        <v>6.24</v>
      </c>
    </row>
    <row r="49" spans="1:15" x14ac:dyDescent="0.15">
      <c r="A49" s="5" t="str">
        <f>强化辅助表!B83</f>
        <v>3023</v>
      </c>
      <c r="B49" s="12">
        <f>ROUND(强化辅助表!R83,0)</f>
        <v>640</v>
      </c>
      <c r="C49" s="94">
        <f>ROUND(强化辅助表!S83,0)</f>
        <v>640</v>
      </c>
      <c r="D49" s="92">
        <f t="shared" si="0"/>
        <v>12.8</v>
      </c>
      <c r="E49" s="12">
        <f>VLOOKUP($A49,装备强化表,强化辅助表!G$33,FALSE)</f>
        <v>0</v>
      </c>
      <c r="F49" s="12">
        <f>VLOOKUP($A49,装备强化表,强化辅助表!H$33,FALSE)</f>
        <v>6</v>
      </c>
      <c r="G49" s="12">
        <f>VLOOKUP($A49,装备强化表,强化辅助表!I$33,FALSE)</f>
        <v>0</v>
      </c>
      <c r="H49" s="12">
        <f>VLOOKUP($A49,装备强化表,强化辅助表!J$33,FALSE)</f>
        <v>0</v>
      </c>
      <c r="I49" s="12">
        <f>VLOOKUP($A49,装备强化表,强化辅助表!K$33,FALSE)</f>
        <v>20</v>
      </c>
      <c r="J49" s="12">
        <f>VLOOKUP($A49,装备强化表,强化辅助表!L$33,FALSE)</f>
        <v>0</v>
      </c>
      <c r="K49" s="12">
        <f>VLOOKUP($A49,装备强化表,强化辅助表!N$33,FALSE)</f>
        <v>0</v>
      </c>
      <c r="L49" s="12">
        <f>VLOOKUP($A49,装备强化表,强化辅助表!O$33,FALSE)</f>
        <v>0</v>
      </c>
      <c r="M49" s="12">
        <f>VLOOKUP($A49,装备强化表,强化辅助表!P$33,FALSE)</f>
        <v>0</v>
      </c>
      <c r="O49">
        <f>VLOOKUP(A49,强化辅助表!$B$36:$Q$194,16,FALSE)</f>
        <v>12.8</v>
      </c>
    </row>
    <row r="50" spans="1:15" x14ac:dyDescent="0.15">
      <c r="A50" s="5" t="str">
        <f>强化辅助表!B84</f>
        <v>3030</v>
      </c>
      <c r="B50" s="12">
        <f>ROUND(强化辅助表!R84,0)</f>
        <v>1394</v>
      </c>
      <c r="C50" s="94">
        <f>ROUND(强化辅助表!S84,0)</f>
        <v>1394</v>
      </c>
      <c r="D50" s="92">
        <f t="shared" si="0"/>
        <v>27.88</v>
      </c>
      <c r="E50" s="12">
        <f>VLOOKUP($A50,装备强化表,强化辅助表!G$33,FALSE)</f>
        <v>0</v>
      </c>
      <c r="F50" s="12">
        <f>VLOOKUP($A50,装备强化表,强化辅助表!H$33,FALSE)</f>
        <v>25</v>
      </c>
      <c r="G50" s="12">
        <f>VLOOKUP($A50,装备强化表,强化辅助表!I$33,FALSE)</f>
        <v>0</v>
      </c>
      <c r="H50" s="12">
        <f>VLOOKUP($A50,装备强化表,强化辅助表!J$33,FALSE)</f>
        <v>0</v>
      </c>
      <c r="I50" s="12">
        <f>VLOOKUP($A50,装备强化表,强化辅助表!K$33,FALSE)</f>
        <v>0</v>
      </c>
      <c r="J50" s="12">
        <f>VLOOKUP($A50,装备强化表,强化辅助表!L$33,FALSE)</f>
        <v>16</v>
      </c>
      <c r="K50" s="12">
        <f>VLOOKUP($A50,装备强化表,强化辅助表!N$33,FALSE)</f>
        <v>0</v>
      </c>
      <c r="L50" s="12">
        <f>VLOOKUP($A50,装备强化表,强化辅助表!O$33,FALSE)</f>
        <v>0</v>
      </c>
      <c r="M50" s="12">
        <f>VLOOKUP($A50,装备强化表,强化辅助表!P$33,FALSE)</f>
        <v>0</v>
      </c>
      <c r="O50">
        <f>VLOOKUP(A50,强化辅助表!$B$36:$Q$194,16,FALSE)</f>
        <v>27.88</v>
      </c>
    </row>
    <row r="51" spans="1:15" x14ac:dyDescent="0.15">
      <c r="A51" s="5" t="str">
        <f>强化辅助表!B85</f>
        <v>3031</v>
      </c>
      <c r="B51" s="12">
        <f>ROUND(强化辅助表!R85,0)</f>
        <v>1250</v>
      </c>
      <c r="C51" s="94">
        <f>ROUND(强化辅助表!S85,0)</f>
        <v>1250</v>
      </c>
      <c r="D51" s="92">
        <f t="shared" si="0"/>
        <v>25</v>
      </c>
      <c r="E51" s="12">
        <f>VLOOKUP($A51,装备强化表,强化辅助表!G$33,FALSE)</f>
        <v>400</v>
      </c>
      <c r="F51" s="12">
        <f>VLOOKUP($A51,装备强化表,强化辅助表!H$33,FALSE)</f>
        <v>0</v>
      </c>
      <c r="G51" s="12">
        <f>VLOOKUP($A51,装备强化表,强化辅助表!I$33,FALSE)</f>
        <v>9</v>
      </c>
      <c r="H51" s="12">
        <f>VLOOKUP($A51,装备强化表,强化辅助表!J$33,FALSE)</f>
        <v>0</v>
      </c>
      <c r="I51" s="12">
        <f>VLOOKUP($A51,装备强化表,强化辅助表!K$33,FALSE)</f>
        <v>0</v>
      </c>
      <c r="J51" s="12">
        <f>VLOOKUP($A51,装备强化表,强化辅助表!L$33,FALSE)</f>
        <v>0</v>
      </c>
      <c r="K51" s="12">
        <f>VLOOKUP($A51,装备强化表,强化辅助表!N$33,FALSE)</f>
        <v>0</v>
      </c>
      <c r="L51" s="12">
        <f>VLOOKUP($A51,装备强化表,强化辅助表!O$33,FALSE)</f>
        <v>0</v>
      </c>
      <c r="M51" s="12">
        <f>VLOOKUP($A51,装备强化表,强化辅助表!P$33,FALSE)</f>
        <v>0</v>
      </c>
      <c r="O51">
        <f>VLOOKUP(A51,强化辅助表!$B$36:$Q$194,16,FALSE)</f>
        <v>25</v>
      </c>
    </row>
    <row r="52" spans="1:15" x14ac:dyDescent="0.15">
      <c r="A52" s="5" t="str">
        <f>强化辅助表!B86</f>
        <v>3032</v>
      </c>
      <c r="B52" s="12">
        <f>ROUND(强化辅助表!R86,0)</f>
        <v>453</v>
      </c>
      <c r="C52" s="94">
        <f>ROUND(强化辅助表!S86,0)</f>
        <v>453</v>
      </c>
      <c r="D52" s="92">
        <f t="shared" si="0"/>
        <v>9.06</v>
      </c>
      <c r="E52" s="12">
        <f>VLOOKUP($A52,装备强化表,强化辅助表!G$33,FALSE)</f>
        <v>0</v>
      </c>
      <c r="F52" s="12">
        <f>VLOOKUP($A52,装备强化表,强化辅助表!H$33,FALSE)</f>
        <v>0</v>
      </c>
      <c r="G52" s="12">
        <f>VLOOKUP($A52,装备强化表,强化辅助表!I$33,FALSE)</f>
        <v>6</v>
      </c>
      <c r="H52" s="12">
        <f>VLOOKUP($A52,装备强化表,强化辅助表!J$33,FALSE)</f>
        <v>9</v>
      </c>
      <c r="I52" s="12">
        <f>VLOOKUP($A52,装备强化表,强化辅助表!K$33,FALSE)</f>
        <v>0</v>
      </c>
      <c r="J52" s="12">
        <f>VLOOKUP($A52,装备强化表,强化辅助表!L$33,FALSE)</f>
        <v>0</v>
      </c>
      <c r="K52" s="12">
        <f>VLOOKUP($A52,装备强化表,强化辅助表!N$33,FALSE)</f>
        <v>0</v>
      </c>
      <c r="L52" s="12">
        <f>VLOOKUP($A52,装备强化表,强化辅助表!O$33,FALSE)</f>
        <v>0</v>
      </c>
      <c r="M52" s="12">
        <f>VLOOKUP($A52,装备强化表,强化辅助表!P$33,FALSE)</f>
        <v>0</v>
      </c>
      <c r="O52">
        <f>VLOOKUP(A52,强化辅助表!$B$36:$Q$194,16,FALSE)</f>
        <v>9.06</v>
      </c>
    </row>
    <row r="53" spans="1:15" x14ac:dyDescent="0.15">
      <c r="A53" s="5" t="str">
        <f>强化辅助表!B87</f>
        <v>3035</v>
      </c>
      <c r="B53" s="12">
        <f>ROUND(强化辅助表!R87,0)</f>
        <v>572</v>
      </c>
      <c r="C53" s="94">
        <f>ROUND(强化辅助表!S87,0)</f>
        <v>572</v>
      </c>
      <c r="D53" s="92">
        <f t="shared" si="0"/>
        <v>11.440000000000001</v>
      </c>
      <c r="E53" s="12">
        <f>VLOOKUP($A53,装备强化表,强化辅助表!G$33,FALSE)</f>
        <v>133</v>
      </c>
      <c r="F53" s="12">
        <f>VLOOKUP($A53,装备强化表,强化辅助表!H$33,FALSE)</f>
        <v>0</v>
      </c>
      <c r="G53" s="12">
        <f>VLOOKUP($A53,装备强化表,强化辅助表!I$33,FALSE)</f>
        <v>0</v>
      </c>
      <c r="H53" s="12">
        <f>VLOOKUP($A53,装备强化表,强化辅助表!J$33,FALSE)</f>
        <v>18</v>
      </c>
      <c r="I53" s="12">
        <f>VLOOKUP($A53,装备强化表,强化辅助表!K$33,FALSE)</f>
        <v>0</v>
      </c>
      <c r="J53" s="12">
        <f>VLOOKUP($A53,装备强化表,强化辅助表!L$33,FALSE)</f>
        <v>0</v>
      </c>
      <c r="K53" s="12">
        <f>VLOOKUP($A53,装备强化表,强化辅助表!N$33,FALSE)</f>
        <v>0</v>
      </c>
      <c r="L53" s="12">
        <f>VLOOKUP($A53,装备强化表,强化辅助表!O$33,FALSE)</f>
        <v>0</v>
      </c>
      <c r="M53" s="12">
        <f>VLOOKUP($A53,装备强化表,强化辅助表!P$33,FALSE)</f>
        <v>0</v>
      </c>
      <c r="O53">
        <f>VLOOKUP(A53,强化辅助表!$B$36:$Q$194,16,FALSE)</f>
        <v>11.440000000000001</v>
      </c>
    </row>
    <row r="54" spans="1:15" x14ac:dyDescent="0.15">
      <c r="A54" s="5" t="str">
        <f>强化辅助表!B88</f>
        <v>3034</v>
      </c>
      <c r="B54" s="12">
        <f>ROUND(强化辅助表!R88,0)</f>
        <v>410</v>
      </c>
      <c r="C54" s="94">
        <f>ROUND(强化辅助表!S88,0)</f>
        <v>410</v>
      </c>
      <c r="D54" s="92">
        <f t="shared" si="0"/>
        <v>8.1999999999999993</v>
      </c>
      <c r="E54" s="12">
        <f>VLOOKUP($A54,装备强化表,强化辅助表!G$33,FALSE)</f>
        <v>133</v>
      </c>
      <c r="F54" s="12">
        <f>VLOOKUP($A54,装备强化表,强化辅助表!H$33,FALSE)</f>
        <v>0</v>
      </c>
      <c r="G54" s="12">
        <f>VLOOKUP($A54,装备强化表,强化辅助表!I$33,FALSE)</f>
        <v>0</v>
      </c>
      <c r="H54" s="12">
        <f>VLOOKUP($A54,装备强化表,强化辅助表!J$33,FALSE)</f>
        <v>0</v>
      </c>
      <c r="I54" s="12">
        <f>VLOOKUP($A54,装备强化表,强化辅助表!K$33,FALSE)</f>
        <v>0</v>
      </c>
      <c r="J54" s="12">
        <f>VLOOKUP($A54,装备强化表,强化辅助表!L$33,FALSE)</f>
        <v>0</v>
      </c>
      <c r="K54" s="12">
        <f>VLOOKUP($A54,装备强化表,强化辅助表!N$33,FALSE)</f>
        <v>16</v>
      </c>
      <c r="L54" s="12">
        <f>VLOOKUP($A54,装备强化表,强化辅助表!O$33,FALSE)</f>
        <v>0</v>
      </c>
      <c r="M54" s="12">
        <f>VLOOKUP($A54,装备强化表,强化辅助表!P$33,FALSE)</f>
        <v>0</v>
      </c>
      <c r="O54">
        <f>VLOOKUP(A54,强化辅助表!$B$36:$Q$194,16,FALSE)</f>
        <v>8.1999999999999993</v>
      </c>
    </row>
    <row r="55" spans="1:15" x14ac:dyDescent="0.15">
      <c r="A55" s="5" t="str">
        <f>强化辅助表!B89</f>
        <v>3033</v>
      </c>
      <c r="B55" s="12">
        <f>ROUND(强化辅助表!R89,0)</f>
        <v>859</v>
      </c>
      <c r="C55" s="94">
        <f>ROUND(强化辅助表!S89,0)</f>
        <v>859</v>
      </c>
      <c r="D55" s="92">
        <f t="shared" si="0"/>
        <v>17.18</v>
      </c>
      <c r="E55" s="12">
        <f>VLOOKUP($A55,装备强化表,强化辅助表!G$33,FALSE)</f>
        <v>0</v>
      </c>
      <c r="F55" s="12">
        <f>VLOOKUP($A55,装备强化表,强化辅助表!H$33,FALSE)</f>
        <v>8</v>
      </c>
      <c r="G55" s="12">
        <f>VLOOKUP($A55,装备强化表,强化辅助表!I$33,FALSE)</f>
        <v>0</v>
      </c>
      <c r="H55" s="12">
        <f>VLOOKUP($A55,装备强化表,强化辅助表!J$33,FALSE)</f>
        <v>0</v>
      </c>
      <c r="I55" s="12">
        <f>VLOOKUP($A55,装备强化表,强化辅助表!K$33,FALSE)</f>
        <v>27</v>
      </c>
      <c r="J55" s="12">
        <f>VLOOKUP($A55,装备强化表,强化辅助表!L$33,FALSE)</f>
        <v>0</v>
      </c>
      <c r="K55" s="12">
        <f>VLOOKUP($A55,装备强化表,强化辅助表!N$33,FALSE)</f>
        <v>0</v>
      </c>
      <c r="L55" s="12">
        <f>VLOOKUP($A55,装备强化表,强化辅助表!O$33,FALSE)</f>
        <v>0</v>
      </c>
      <c r="M55" s="12">
        <f>VLOOKUP($A55,装备强化表,强化辅助表!P$33,FALSE)</f>
        <v>0</v>
      </c>
      <c r="O55">
        <f>VLOOKUP(A55,强化辅助表!$B$36:$Q$194,16,FALSE)</f>
        <v>17.18</v>
      </c>
    </row>
    <row r="56" spans="1:15" x14ac:dyDescent="0.15">
      <c r="A56" s="5" t="str">
        <f>强化辅助表!B90</f>
        <v>3040</v>
      </c>
      <c r="B56" s="12">
        <f>ROUND(强化辅助表!R90,0)</f>
        <v>1671</v>
      </c>
      <c r="C56" s="94">
        <f>ROUND(强化辅助表!S90,0)</f>
        <v>1671</v>
      </c>
      <c r="D56" s="92">
        <f t="shared" si="0"/>
        <v>33.42</v>
      </c>
      <c r="E56" s="12">
        <f>VLOOKUP($A56,装备强化表,强化辅助表!G$33,FALSE)</f>
        <v>0</v>
      </c>
      <c r="F56" s="12">
        <f>VLOOKUP($A56,装备强化表,强化辅助表!H$33,FALSE)</f>
        <v>30</v>
      </c>
      <c r="G56" s="12">
        <f>VLOOKUP($A56,装备强化表,强化辅助表!I$33,FALSE)</f>
        <v>0</v>
      </c>
      <c r="H56" s="12">
        <f>VLOOKUP($A56,装备强化表,强化辅助表!J$33,FALSE)</f>
        <v>0</v>
      </c>
      <c r="I56" s="12">
        <f>VLOOKUP($A56,装备强化表,强化辅助表!K$33,FALSE)</f>
        <v>0</v>
      </c>
      <c r="J56" s="12">
        <f>VLOOKUP($A56,装备强化表,强化辅助表!L$33,FALSE)</f>
        <v>19</v>
      </c>
      <c r="K56" s="12">
        <f>VLOOKUP($A56,装备强化表,强化辅助表!N$33,FALSE)</f>
        <v>0</v>
      </c>
      <c r="L56" s="12">
        <f>VLOOKUP($A56,装备强化表,强化辅助表!O$33,FALSE)</f>
        <v>0</v>
      </c>
      <c r="M56" s="12">
        <f>VLOOKUP($A56,装备强化表,强化辅助表!P$33,FALSE)</f>
        <v>0</v>
      </c>
      <c r="O56">
        <f>VLOOKUP(A56,强化辅助表!$B$36:$Q$194,16,FALSE)</f>
        <v>33.42</v>
      </c>
    </row>
    <row r="57" spans="1:15" x14ac:dyDescent="0.15">
      <c r="A57" s="5" t="str">
        <f>强化辅助表!B91</f>
        <v>3041</v>
      </c>
      <c r="B57" s="12">
        <f>ROUND(强化辅助表!R91,0)</f>
        <v>1440</v>
      </c>
      <c r="C57" s="94">
        <f>ROUND(强化辅助表!S91,0)</f>
        <v>1440</v>
      </c>
      <c r="D57" s="92">
        <f t="shared" si="0"/>
        <v>28.8</v>
      </c>
      <c r="E57" s="12">
        <f>VLOOKUP($A57,装备强化表,强化辅助表!G$33,FALSE)</f>
        <v>470</v>
      </c>
      <c r="F57" s="12">
        <f>VLOOKUP($A57,装备强化表,强化辅助表!H$33,FALSE)</f>
        <v>0</v>
      </c>
      <c r="G57" s="12">
        <f>VLOOKUP($A57,装备强化表,强化辅助表!I$33,FALSE)</f>
        <v>10</v>
      </c>
      <c r="H57" s="12">
        <f>VLOOKUP($A57,装备强化表,强化辅助表!J$33,FALSE)</f>
        <v>0</v>
      </c>
      <c r="I57" s="12">
        <f>VLOOKUP($A57,装备强化表,强化辅助表!K$33,FALSE)</f>
        <v>0</v>
      </c>
      <c r="J57" s="12">
        <f>VLOOKUP($A57,装备强化表,强化辅助表!L$33,FALSE)</f>
        <v>0</v>
      </c>
      <c r="K57" s="12">
        <f>VLOOKUP($A57,装备强化表,强化辅助表!N$33,FALSE)</f>
        <v>0</v>
      </c>
      <c r="L57" s="12">
        <f>VLOOKUP($A57,装备强化表,强化辅助表!O$33,FALSE)</f>
        <v>0</v>
      </c>
      <c r="M57" s="12">
        <f>VLOOKUP($A57,装备强化表,强化辅助表!P$33,FALSE)</f>
        <v>0</v>
      </c>
      <c r="O57">
        <f>VLOOKUP(A57,强化辅助表!$B$36:$Q$194,16,FALSE)</f>
        <v>28.8</v>
      </c>
    </row>
    <row r="58" spans="1:15" x14ac:dyDescent="0.15">
      <c r="A58" s="5" t="str">
        <f>强化辅助表!B92</f>
        <v>3042</v>
      </c>
      <c r="B58" s="12">
        <f>ROUND(强化辅助表!R92,0)</f>
        <v>520</v>
      </c>
      <c r="C58" s="94">
        <f>ROUND(强化辅助表!S92,0)</f>
        <v>520</v>
      </c>
      <c r="D58" s="92">
        <f t="shared" si="0"/>
        <v>10.4</v>
      </c>
      <c r="E58" s="12">
        <f>VLOOKUP($A58,装备强化表,强化辅助表!G$33,FALSE)</f>
        <v>0</v>
      </c>
      <c r="F58" s="12">
        <f>VLOOKUP($A58,装备强化表,强化辅助表!H$33,FALSE)</f>
        <v>0</v>
      </c>
      <c r="G58" s="12">
        <f>VLOOKUP($A58,装备强化表,强化辅助表!I$33,FALSE)</f>
        <v>7</v>
      </c>
      <c r="H58" s="12">
        <f>VLOOKUP($A58,装备强化表,强化辅助表!J$33,FALSE)</f>
        <v>10</v>
      </c>
      <c r="I58" s="12">
        <f>VLOOKUP($A58,装备强化表,强化辅助表!K$33,FALSE)</f>
        <v>0</v>
      </c>
      <c r="J58" s="12">
        <f>VLOOKUP($A58,装备强化表,强化辅助表!L$33,FALSE)</f>
        <v>0</v>
      </c>
      <c r="K58" s="12">
        <f>VLOOKUP($A58,装备强化表,强化辅助表!N$33,FALSE)</f>
        <v>0</v>
      </c>
      <c r="L58" s="12">
        <f>VLOOKUP($A58,装备强化表,强化辅助表!O$33,FALSE)</f>
        <v>0</v>
      </c>
      <c r="M58" s="12">
        <f>VLOOKUP($A58,装备强化表,强化辅助表!P$33,FALSE)</f>
        <v>0</v>
      </c>
      <c r="O58">
        <f>VLOOKUP(A58,强化辅助表!$B$36:$Q$194,16,FALSE)</f>
        <v>10.4</v>
      </c>
    </row>
    <row r="59" spans="1:15" x14ac:dyDescent="0.15">
      <c r="A59" s="5" t="str">
        <f>强化辅助表!B93</f>
        <v>3045</v>
      </c>
      <c r="B59" s="12">
        <f>ROUND(强化辅助表!R93,0)</f>
        <v>671</v>
      </c>
      <c r="C59" s="94">
        <f>ROUND(强化辅助表!S93,0)</f>
        <v>671</v>
      </c>
      <c r="D59" s="92">
        <f t="shared" si="0"/>
        <v>13.420000000000002</v>
      </c>
      <c r="E59" s="12">
        <f>VLOOKUP($A59,装备强化表,强化辅助表!G$33,FALSE)</f>
        <v>157</v>
      </c>
      <c r="F59" s="12">
        <f>VLOOKUP($A59,装备强化表,强化辅助表!H$33,FALSE)</f>
        <v>0</v>
      </c>
      <c r="G59" s="12">
        <f>VLOOKUP($A59,装备强化表,强化辅助表!I$33,FALSE)</f>
        <v>0</v>
      </c>
      <c r="H59" s="12">
        <f>VLOOKUP($A59,装备强化表,强化辅助表!J$33,FALSE)</f>
        <v>21</v>
      </c>
      <c r="I59" s="12">
        <f>VLOOKUP($A59,装备强化表,强化辅助表!K$33,FALSE)</f>
        <v>0</v>
      </c>
      <c r="J59" s="12">
        <f>VLOOKUP($A59,装备强化表,强化辅助表!L$33,FALSE)</f>
        <v>0</v>
      </c>
      <c r="K59" s="12">
        <f>VLOOKUP($A59,装备强化表,强化辅助表!N$33,FALSE)</f>
        <v>0</v>
      </c>
      <c r="L59" s="12">
        <f>VLOOKUP($A59,装备强化表,强化辅助表!O$33,FALSE)</f>
        <v>0</v>
      </c>
      <c r="M59" s="12">
        <f>VLOOKUP($A59,装备强化表,强化辅助表!P$33,FALSE)</f>
        <v>0</v>
      </c>
      <c r="O59">
        <f>VLOOKUP(A59,强化辅助表!$B$36:$Q$194,16,FALSE)</f>
        <v>13.420000000000002</v>
      </c>
    </row>
    <row r="60" spans="1:15" x14ac:dyDescent="0.15">
      <c r="A60" s="5" t="str">
        <f>强化辅助表!B94</f>
        <v>3044</v>
      </c>
      <c r="B60" s="12">
        <f>ROUND(强化辅助表!R94,0)</f>
        <v>485</v>
      </c>
      <c r="C60" s="94">
        <f>ROUND(强化辅助表!S94,0)</f>
        <v>485</v>
      </c>
      <c r="D60" s="92">
        <f t="shared" si="0"/>
        <v>9.6999999999999993</v>
      </c>
      <c r="E60" s="12">
        <f>VLOOKUP($A60,装备强化表,强化辅助表!G$33,FALSE)</f>
        <v>157</v>
      </c>
      <c r="F60" s="12">
        <f>VLOOKUP($A60,装备强化表,强化辅助表!H$33,FALSE)</f>
        <v>0</v>
      </c>
      <c r="G60" s="12">
        <f>VLOOKUP($A60,装备强化表,强化辅助表!I$33,FALSE)</f>
        <v>0</v>
      </c>
      <c r="H60" s="12">
        <f>VLOOKUP($A60,装备强化表,强化辅助表!J$33,FALSE)</f>
        <v>0</v>
      </c>
      <c r="I60" s="12">
        <f>VLOOKUP($A60,装备强化表,强化辅助表!K$33,FALSE)</f>
        <v>0</v>
      </c>
      <c r="J60" s="12">
        <f>VLOOKUP($A60,装备强化表,强化辅助表!L$33,FALSE)</f>
        <v>0</v>
      </c>
      <c r="K60" s="12">
        <f>VLOOKUP($A60,装备强化表,强化辅助表!N$33,FALSE)</f>
        <v>19</v>
      </c>
      <c r="L60" s="12">
        <f>VLOOKUP($A60,装备强化表,强化辅助表!O$33,FALSE)</f>
        <v>0</v>
      </c>
      <c r="M60" s="12">
        <f>VLOOKUP($A60,装备强化表,强化辅助表!P$33,FALSE)</f>
        <v>0</v>
      </c>
      <c r="O60">
        <f>VLOOKUP(A60,强化辅助表!$B$36:$Q$194,16,FALSE)</f>
        <v>9.6999999999999993</v>
      </c>
    </row>
    <row r="61" spans="1:15" x14ac:dyDescent="0.15">
      <c r="A61" s="5" t="str">
        <f>强化辅助表!B95</f>
        <v>3043</v>
      </c>
      <c r="B61" s="12">
        <f>ROUND(强化辅助表!R95,0)</f>
        <v>1027</v>
      </c>
      <c r="C61" s="94">
        <f>ROUND(强化辅助表!S95,0)</f>
        <v>1027</v>
      </c>
      <c r="D61" s="92">
        <f t="shared" si="0"/>
        <v>20.54</v>
      </c>
      <c r="E61" s="12">
        <f>VLOOKUP($A61,装备强化表,强化辅助表!G$33,FALSE)</f>
        <v>0</v>
      </c>
      <c r="F61" s="12">
        <f>VLOOKUP($A61,装备强化表,强化辅助表!H$33,FALSE)</f>
        <v>10</v>
      </c>
      <c r="G61" s="12">
        <f>VLOOKUP($A61,装备强化表,强化辅助表!I$33,FALSE)</f>
        <v>0</v>
      </c>
      <c r="H61" s="12">
        <f>VLOOKUP($A61,装备强化表,强化辅助表!J$33,FALSE)</f>
        <v>0</v>
      </c>
      <c r="I61" s="12">
        <f>VLOOKUP($A61,装备强化表,强化辅助表!K$33,FALSE)</f>
        <v>31</v>
      </c>
      <c r="J61" s="12">
        <f>VLOOKUP($A61,装备强化表,强化辅助表!L$33,FALSE)</f>
        <v>0</v>
      </c>
      <c r="K61" s="12">
        <f>VLOOKUP($A61,装备强化表,强化辅助表!N$33,FALSE)</f>
        <v>0</v>
      </c>
      <c r="L61" s="12">
        <f>VLOOKUP($A61,装备强化表,强化辅助表!O$33,FALSE)</f>
        <v>0</v>
      </c>
      <c r="M61" s="12">
        <f>VLOOKUP($A61,装备强化表,强化辅助表!P$33,FALSE)</f>
        <v>0</v>
      </c>
      <c r="O61">
        <f>VLOOKUP(A61,强化辅助表!$B$36:$Q$194,16,FALSE)</f>
        <v>20.54</v>
      </c>
    </row>
    <row r="62" spans="1:15" x14ac:dyDescent="0.15">
      <c r="A62" s="5" t="str">
        <f>强化辅助表!B96</f>
        <v>4510</v>
      </c>
      <c r="B62" s="12">
        <f>ROUND(强化辅助表!R96,0)</f>
        <v>1503</v>
      </c>
      <c r="C62" s="94">
        <f>ROUND(强化辅助表!S96,0)</f>
        <v>1503</v>
      </c>
      <c r="D62" s="92">
        <f t="shared" si="0"/>
        <v>30.06</v>
      </c>
      <c r="E62" s="12">
        <f>VLOOKUP($A62,装备强化表,强化辅助表!G$33,FALSE)</f>
        <v>0</v>
      </c>
      <c r="F62" s="12">
        <f>VLOOKUP($A62,装备强化表,强化辅助表!H$33,FALSE)</f>
        <v>27</v>
      </c>
      <c r="G62" s="12">
        <f>VLOOKUP($A62,装备强化表,强化辅助表!I$33,FALSE)</f>
        <v>0</v>
      </c>
      <c r="H62" s="12">
        <f>VLOOKUP($A62,装备强化表,强化辅助表!J$33,FALSE)</f>
        <v>0</v>
      </c>
      <c r="I62" s="12">
        <f>VLOOKUP($A62,装备强化表,强化辅助表!K$33,FALSE)</f>
        <v>0</v>
      </c>
      <c r="J62" s="12">
        <f>VLOOKUP($A62,装备强化表,强化辅助表!L$33,FALSE)</f>
        <v>17</v>
      </c>
      <c r="K62" s="12">
        <f>VLOOKUP($A62,装备强化表,强化辅助表!N$33,FALSE)</f>
        <v>0</v>
      </c>
      <c r="L62" s="12">
        <f>VLOOKUP($A62,装备强化表,强化辅助表!O$33,FALSE)</f>
        <v>0</v>
      </c>
      <c r="M62" s="12">
        <f>VLOOKUP($A62,装备强化表,强化辅助表!P$33,FALSE)</f>
        <v>0</v>
      </c>
      <c r="O62">
        <f>VLOOKUP(A62,强化辅助表!$B$36:$Q$194,16,FALSE)</f>
        <v>30.06</v>
      </c>
    </row>
    <row r="63" spans="1:15" x14ac:dyDescent="0.15">
      <c r="A63" s="5" t="str">
        <f>强化辅助表!B97</f>
        <v>4511</v>
      </c>
      <c r="B63" s="12">
        <f>ROUND(强化辅助表!R97,0)</f>
        <v>1296</v>
      </c>
      <c r="C63" s="94">
        <f>ROUND(强化辅助表!S97,0)</f>
        <v>1296</v>
      </c>
      <c r="D63" s="92">
        <f t="shared" si="0"/>
        <v>25.92</v>
      </c>
      <c r="E63" s="12">
        <f>VLOOKUP($A63,装备强化表,强化辅助表!G$33,FALSE)</f>
        <v>423</v>
      </c>
      <c r="F63" s="12">
        <f>VLOOKUP($A63,装备强化表,强化辅助表!H$33,FALSE)</f>
        <v>0</v>
      </c>
      <c r="G63" s="12">
        <f>VLOOKUP($A63,装备强化表,强化辅助表!I$33,FALSE)</f>
        <v>9</v>
      </c>
      <c r="H63" s="12">
        <f>VLOOKUP($A63,装备强化表,强化辅助表!J$33,FALSE)</f>
        <v>0</v>
      </c>
      <c r="I63" s="12">
        <f>VLOOKUP($A63,装备强化表,强化辅助表!K$33,FALSE)</f>
        <v>0</v>
      </c>
      <c r="J63" s="12">
        <f>VLOOKUP($A63,装备强化表,强化辅助表!L$33,FALSE)</f>
        <v>0</v>
      </c>
      <c r="K63" s="12">
        <f>VLOOKUP($A63,装备强化表,强化辅助表!N$33,FALSE)</f>
        <v>0</v>
      </c>
      <c r="L63" s="12">
        <f>VLOOKUP($A63,装备强化表,强化辅助表!O$33,FALSE)</f>
        <v>0</v>
      </c>
      <c r="M63" s="12">
        <f>VLOOKUP($A63,装备强化表,强化辅助表!P$33,FALSE)</f>
        <v>0</v>
      </c>
      <c r="O63">
        <f>VLOOKUP(A63,强化辅助表!$B$36:$Q$194,16,FALSE)</f>
        <v>25.92</v>
      </c>
    </row>
    <row r="64" spans="1:15" x14ac:dyDescent="0.15">
      <c r="A64" s="5" t="str">
        <f>强化辅助表!B98</f>
        <v>4512</v>
      </c>
      <c r="B64" s="12">
        <f>ROUND(强化辅助表!R98,0)</f>
        <v>453</v>
      </c>
      <c r="C64" s="94">
        <f>ROUND(强化辅助表!S98,0)</f>
        <v>453</v>
      </c>
      <c r="D64" s="92">
        <f t="shared" si="0"/>
        <v>9.06</v>
      </c>
      <c r="E64" s="12">
        <f>VLOOKUP($A64,装备强化表,强化辅助表!G$33,FALSE)</f>
        <v>0</v>
      </c>
      <c r="F64" s="12">
        <f>VLOOKUP($A64,装备强化表,强化辅助表!H$33,FALSE)</f>
        <v>0</v>
      </c>
      <c r="G64" s="12">
        <f>VLOOKUP($A64,装备强化表,强化辅助表!I$33,FALSE)</f>
        <v>6</v>
      </c>
      <c r="H64" s="12">
        <f>VLOOKUP($A64,装备强化表,强化辅助表!J$33,FALSE)</f>
        <v>9</v>
      </c>
      <c r="I64" s="12">
        <f>VLOOKUP($A64,装备强化表,强化辅助表!K$33,FALSE)</f>
        <v>0</v>
      </c>
      <c r="J64" s="12">
        <f>VLOOKUP($A64,装备强化表,强化辅助表!L$33,FALSE)</f>
        <v>0</v>
      </c>
      <c r="K64" s="12">
        <f>VLOOKUP($A64,装备强化表,强化辅助表!N$33,FALSE)</f>
        <v>0</v>
      </c>
      <c r="L64" s="12">
        <f>VLOOKUP($A64,装备强化表,强化辅助表!O$33,FALSE)</f>
        <v>0</v>
      </c>
      <c r="M64" s="12">
        <f>VLOOKUP($A64,装备强化表,强化辅助表!P$33,FALSE)</f>
        <v>0</v>
      </c>
      <c r="O64">
        <f>VLOOKUP(A64,强化辅助表!$B$36:$Q$194,16,FALSE)</f>
        <v>9.06</v>
      </c>
    </row>
    <row r="65" spans="1:15" x14ac:dyDescent="0.15">
      <c r="A65" s="5" t="str">
        <f>强化辅助表!B99</f>
        <v>4515</v>
      </c>
      <c r="B65" s="12">
        <f>ROUND(强化辅助表!R99,0)</f>
        <v>605</v>
      </c>
      <c r="C65" s="94">
        <f>ROUND(强化辅助表!S99,0)</f>
        <v>605</v>
      </c>
      <c r="D65" s="92">
        <f t="shared" si="0"/>
        <v>12.100000000000001</v>
      </c>
      <c r="E65" s="12">
        <f>VLOOKUP($A65,装备强化表,强化辅助表!G$33,FALSE)</f>
        <v>141</v>
      </c>
      <c r="F65" s="12">
        <f>VLOOKUP($A65,装备强化表,强化辅助表!H$33,FALSE)</f>
        <v>0</v>
      </c>
      <c r="G65" s="12">
        <f>VLOOKUP($A65,装备强化表,强化辅助表!I$33,FALSE)</f>
        <v>0</v>
      </c>
      <c r="H65" s="12">
        <f>VLOOKUP($A65,装备强化表,强化辅助表!J$33,FALSE)</f>
        <v>19</v>
      </c>
      <c r="I65" s="12">
        <f>VLOOKUP($A65,装备强化表,强化辅助表!K$33,FALSE)</f>
        <v>0</v>
      </c>
      <c r="J65" s="12">
        <f>VLOOKUP($A65,装备强化表,强化辅助表!L$33,FALSE)</f>
        <v>0</v>
      </c>
      <c r="K65" s="12">
        <f>VLOOKUP($A65,装备强化表,强化辅助表!N$33,FALSE)</f>
        <v>0</v>
      </c>
      <c r="L65" s="12">
        <f>VLOOKUP($A65,装备强化表,强化辅助表!O$33,FALSE)</f>
        <v>0</v>
      </c>
      <c r="M65" s="12">
        <f>VLOOKUP($A65,装备强化表,强化辅助表!P$33,FALSE)</f>
        <v>0</v>
      </c>
      <c r="O65">
        <f>VLOOKUP(A65,强化辅助表!$B$36:$Q$194,16,FALSE)</f>
        <v>12.100000000000001</v>
      </c>
    </row>
    <row r="66" spans="1:15" x14ac:dyDescent="0.15">
      <c r="A66" s="5" t="str">
        <f>强化辅助表!B100</f>
        <v>4514</v>
      </c>
      <c r="B66" s="12">
        <f>ROUND(强化辅助表!R100,0)</f>
        <v>435</v>
      </c>
      <c r="C66" s="94">
        <f>ROUND(强化辅助表!S100,0)</f>
        <v>435</v>
      </c>
      <c r="D66" s="92">
        <f t="shared" si="0"/>
        <v>8.6999999999999993</v>
      </c>
      <c r="E66" s="12">
        <f>VLOOKUP($A66,装备强化表,强化辅助表!G$33,FALSE)</f>
        <v>141</v>
      </c>
      <c r="F66" s="12">
        <f>VLOOKUP($A66,装备强化表,强化辅助表!H$33,FALSE)</f>
        <v>0</v>
      </c>
      <c r="G66" s="12">
        <f>VLOOKUP($A66,装备强化表,强化辅助表!I$33,FALSE)</f>
        <v>0</v>
      </c>
      <c r="H66" s="12">
        <f>VLOOKUP($A66,装备强化表,强化辅助表!J$33,FALSE)</f>
        <v>0</v>
      </c>
      <c r="I66" s="12">
        <f>VLOOKUP($A66,装备强化表,强化辅助表!K$33,FALSE)</f>
        <v>0</v>
      </c>
      <c r="J66" s="12">
        <f>VLOOKUP($A66,装备强化表,强化辅助表!L$33,FALSE)</f>
        <v>0</v>
      </c>
      <c r="K66" s="12">
        <f>VLOOKUP($A66,装备强化表,强化辅助表!N$33,FALSE)</f>
        <v>17</v>
      </c>
      <c r="L66" s="12">
        <f>VLOOKUP($A66,装备强化表,强化辅助表!O$33,FALSE)</f>
        <v>0</v>
      </c>
      <c r="M66" s="12">
        <f>VLOOKUP($A66,装备强化表,强化辅助表!P$33,FALSE)</f>
        <v>0</v>
      </c>
      <c r="O66">
        <f>VLOOKUP(A66,强化辅助表!$B$36:$Q$194,16,FALSE)</f>
        <v>8.6999999999999993</v>
      </c>
    </row>
    <row r="67" spans="1:15" x14ac:dyDescent="0.15">
      <c r="A67" s="5" t="str">
        <f>强化辅助表!B101</f>
        <v>4513</v>
      </c>
      <c r="B67" s="12">
        <f>ROUND(强化辅助表!R101,0)</f>
        <v>926</v>
      </c>
      <c r="C67" s="94">
        <f>ROUND(强化辅助表!S101,0)</f>
        <v>926</v>
      </c>
      <c r="D67" s="92">
        <f t="shared" si="0"/>
        <v>18.520000000000003</v>
      </c>
      <c r="E67" s="12">
        <f>VLOOKUP($A67,装备强化表,强化辅助表!G$33,FALSE)</f>
        <v>0</v>
      </c>
      <c r="F67" s="12">
        <f>VLOOKUP($A67,装备强化表,强化辅助表!H$33,FALSE)</f>
        <v>9</v>
      </c>
      <c r="G67" s="12">
        <f>VLOOKUP($A67,装备强化表,强化辅助表!I$33,FALSE)</f>
        <v>0</v>
      </c>
      <c r="H67" s="12">
        <f>VLOOKUP($A67,装备强化表,强化辅助表!J$33,FALSE)</f>
        <v>0</v>
      </c>
      <c r="I67" s="12">
        <f>VLOOKUP($A67,装备强化表,强化辅助表!K$33,FALSE)</f>
        <v>28</v>
      </c>
      <c r="J67" s="12">
        <f>VLOOKUP($A67,装备强化表,强化辅助表!L$33,FALSE)</f>
        <v>0</v>
      </c>
      <c r="K67" s="12">
        <f>VLOOKUP($A67,装备强化表,强化辅助表!N$33,FALSE)</f>
        <v>0</v>
      </c>
      <c r="L67" s="12">
        <f>VLOOKUP($A67,装备强化表,强化辅助表!O$33,FALSE)</f>
        <v>0</v>
      </c>
      <c r="M67" s="12">
        <f>VLOOKUP($A67,装备强化表,强化辅助表!P$33,FALSE)</f>
        <v>0</v>
      </c>
      <c r="O67">
        <f>VLOOKUP(A67,强化辅助表!$B$36:$Q$194,16,FALSE)</f>
        <v>18.520000000000003</v>
      </c>
    </row>
    <row r="68" spans="1:15" x14ac:dyDescent="0.15">
      <c r="A68" s="5" t="str">
        <f>强化辅助表!B102</f>
        <v>4520</v>
      </c>
      <c r="B68" s="12">
        <f>ROUND(强化辅助表!R102,0)</f>
        <v>2166</v>
      </c>
      <c r="C68" s="94">
        <f>ROUND(强化辅助表!S102,0)</f>
        <v>2166</v>
      </c>
      <c r="D68" s="92">
        <f t="shared" si="0"/>
        <v>43.32</v>
      </c>
      <c r="E68" s="12">
        <f>VLOOKUP($A68,装备强化表,强化辅助表!G$33,FALSE)</f>
        <v>0</v>
      </c>
      <c r="F68" s="12">
        <f>VLOOKUP($A68,装备强化表,强化辅助表!H$33,FALSE)</f>
        <v>39</v>
      </c>
      <c r="G68" s="12">
        <f>VLOOKUP($A68,装备强化表,强化辅助表!I$33,FALSE)</f>
        <v>0</v>
      </c>
      <c r="H68" s="12">
        <f>VLOOKUP($A68,装备强化表,强化辅助表!J$33,FALSE)</f>
        <v>0</v>
      </c>
      <c r="I68" s="12">
        <f>VLOOKUP($A68,装备强化表,强化辅助表!K$33,FALSE)</f>
        <v>0</v>
      </c>
      <c r="J68" s="12">
        <f>VLOOKUP($A68,装备强化表,强化辅助表!L$33,FALSE)</f>
        <v>24</v>
      </c>
      <c r="K68" s="12">
        <f>VLOOKUP($A68,装备强化表,强化辅助表!N$33,FALSE)</f>
        <v>0</v>
      </c>
      <c r="L68" s="12">
        <f>VLOOKUP($A68,装备强化表,强化辅助表!O$33,FALSE)</f>
        <v>0</v>
      </c>
      <c r="M68" s="12">
        <f>VLOOKUP($A68,装备强化表,强化辅助表!P$33,FALSE)</f>
        <v>0</v>
      </c>
      <c r="O68">
        <f>VLOOKUP(A68,强化辅助表!$B$36:$Q$194,16,FALSE)</f>
        <v>43.32</v>
      </c>
    </row>
    <row r="69" spans="1:15" x14ac:dyDescent="0.15">
      <c r="A69" s="5" t="str">
        <f>强化辅助表!B103</f>
        <v>4521</v>
      </c>
      <c r="B69" s="12">
        <f>ROUND(强化辅助表!R103,0)</f>
        <v>1872</v>
      </c>
      <c r="C69" s="94">
        <f>ROUND(强化辅助表!S103,0)</f>
        <v>1872</v>
      </c>
      <c r="D69" s="92">
        <f t="shared" si="0"/>
        <v>37.44</v>
      </c>
      <c r="E69" s="12">
        <f>VLOOKUP($A69,装备强化表,强化辅助表!G$33,FALSE)</f>
        <v>611</v>
      </c>
      <c r="F69" s="12">
        <f>VLOOKUP($A69,装备强化表,强化辅助表!H$33,FALSE)</f>
        <v>0</v>
      </c>
      <c r="G69" s="12">
        <f>VLOOKUP($A69,装备强化表,强化辅助表!I$33,FALSE)</f>
        <v>13</v>
      </c>
      <c r="H69" s="12">
        <f>VLOOKUP($A69,装备强化表,强化辅助表!J$33,FALSE)</f>
        <v>0</v>
      </c>
      <c r="I69" s="12">
        <f>VLOOKUP($A69,装备强化表,强化辅助表!K$33,FALSE)</f>
        <v>0</v>
      </c>
      <c r="J69" s="12">
        <f>VLOOKUP($A69,装备强化表,强化辅助表!L$33,FALSE)</f>
        <v>0</v>
      </c>
      <c r="K69" s="12">
        <f>VLOOKUP($A69,装备强化表,强化辅助表!N$33,FALSE)</f>
        <v>0</v>
      </c>
      <c r="L69" s="12">
        <f>VLOOKUP($A69,装备强化表,强化辅助表!O$33,FALSE)</f>
        <v>0</v>
      </c>
      <c r="M69" s="12">
        <f>VLOOKUP($A69,装备强化表,强化辅助表!P$33,FALSE)</f>
        <v>0</v>
      </c>
      <c r="O69">
        <f>VLOOKUP(A69,强化辅助表!$B$36:$Q$194,16,FALSE)</f>
        <v>37.44</v>
      </c>
    </row>
    <row r="70" spans="1:15" x14ac:dyDescent="0.15">
      <c r="A70" s="5" t="str">
        <f>强化辅助表!B104</f>
        <v>4522</v>
      </c>
      <c r="B70" s="12">
        <f>ROUND(强化辅助表!R104,0)</f>
        <v>688</v>
      </c>
      <c r="C70" s="94">
        <f>ROUND(强化辅助表!S104,0)</f>
        <v>688</v>
      </c>
      <c r="D70" s="92">
        <f t="shared" si="0"/>
        <v>13.760000000000002</v>
      </c>
      <c r="E70" s="12">
        <f>VLOOKUP($A70,装备强化表,强化辅助表!G$33,FALSE)</f>
        <v>0</v>
      </c>
      <c r="F70" s="12">
        <f>VLOOKUP($A70,装备强化表,强化辅助表!H$33,FALSE)</f>
        <v>0</v>
      </c>
      <c r="G70" s="12">
        <f>VLOOKUP($A70,装备强化表,强化辅助表!I$33,FALSE)</f>
        <v>9</v>
      </c>
      <c r="H70" s="12">
        <f>VLOOKUP($A70,装备强化表,强化辅助表!J$33,FALSE)</f>
        <v>14</v>
      </c>
      <c r="I70" s="12">
        <f>VLOOKUP($A70,装备强化表,强化辅助表!K$33,FALSE)</f>
        <v>0</v>
      </c>
      <c r="J70" s="12">
        <f>VLOOKUP($A70,装备强化表,强化辅助表!L$33,FALSE)</f>
        <v>0</v>
      </c>
      <c r="K70" s="12">
        <f>VLOOKUP($A70,装备强化表,强化辅助表!N$33,FALSE)</f>
        <v>0</v>
      </c>
      <c r="L70" s="12">
        <f>VLOOKUP($A70,装备强化表,强化辅助表!O$33,FALSE)</f>
        <v>0</v>
      </c>
      <c r="M70" s="12">
        <f>VLOOKUP($A70,装备强化表,强化辅助表!P$33,FALSE)</f>
        <v>0</v>
      </c>
      <c r="O70">
        <f>VLOOKUP(A70,强化辅助表!$B$36:$Q$194,16,FALSE)</f>
        <v>13.760000000000002</v>
      </c>
    </row>
    <row r="71" spans="1:15" x14ac:dyDescent="0.15">
      <c r="A71" s="5" t="str">
        <f>强化辅助表!B105</f>
        <v>4525</v>
      </c>
      <c r="B71" s="12">
        <f>ROUND(强化辅助表!R105,0)</f>
        <v>867</v>
      </c>
      <c r="C71" s="94">
        <f>ROUND(强化辅助表!S105,0)</f>
        <v>867</v>
      </c>
      <c r="D71" s="92">
        <f t="shared" si="0"/>
        <v>17.340000000000003</v>
      </c>
      <c r="E71" s="12">
        <f>VLOOKUP($A71,装备强化表,强化辅助表!G$33,FALSE)</f>
        <v>204</v>
      </c>
      <c r="F71" s="12">
        <f>VLOOKUP($A71,装备强化表,强化辅助表!H$33,FALSE)</f>
        <v>0</v>
      </c>
      <c r="G71" s="12">
        <f>VLOOKUP($A71,装备强化表,强化辅助表!I$33,FALSE)</f>
        <v>0</v>
      </c>
      <c r="H71" s="12">
        <f>VLOOKUP($A71,装备强化表,强化辅助表!J$33,FALSE)</f>
        <v>27</v>
      </c>
      <c r="I71" s="12">
        <f>VLOOKUP($A71,装备强化表,强化辅助表!K$33,FALSE)</f>
        <v>0</v>
      </c>
      <c r="J71" s="12">
        <f>VLOOKUP($A71,装备强化表,强化辅助表!L$33,FALSE)</f>
        <v>0</v>
      </c>
      <c r="K71" s="12">
        <f>VLOOKUP($A71,装备强化表,强化辅助表!N$33,FALSE)</f>
        <v>0</v>
      </c>
      <c r="L71" s="12">
        <f>VLOOKUP($A71,装备强化表,强化辅助表!O$33,FALSE)</f>
        <v>0</v>
      </c>
      <c r="M71" s="12">
        <f>VLOOKUP($A71,装备强化表,强化辅助表!P$33,FALSE)</f>
        <v>0</v>
      </c>
      <c r="O71">
        <f>VLOOKUP(A71,强化辅助表!$B$36:$Q$194,16,FALSE)</f>
        <v>17.340000000000003</v>
      </c>
    </row>
    <row r="72" spans="1:15" x14ac:dyDescent="0.15">
      <c r="A72" s="5" t="str">
        <f>强化辅助表!B106</f>
        <v>4524</v>
      </c>
      <c r="B72" s="12">
        <f>ROUND(强化辅助表!R106,0)</f>
        <v>624</v>
      </c>
      <c r="C72" s="94">
        <f>ROUND(强化辅助表!S106,0)</f>
        <v>624</v>
      </c>
      <c r="D72" s="92">
        <f t="shared" si="0"/>
        <v>12.48</v>
      </c>
      <c r="E72" s="12">
        <f>VLOOKUP($A72,装备强化表,强化辅助表!G$33,FALSE)</f>
        <v>204</v>
      </c>
      <c r="F72" s="12">
        <f>VLOOKUP($A72,装备强化表,强化辅助表!H$33,FALSE)</f>
        <v>0</v>
      </c>
      <c r="G72" s="12">
        <f>VLOOKUP($A72,装备强化表,强化辅助表!I$33,FALSE)</f>
        <v>0</v>
      </c>
      <c r="H72" s="12">
        <f>VLOOKUP($A72,装备强化表,强化辅助表!J$33,FALSE)</f>
        <v>0</v>
      </c>
      <c r="I72" s="12">
        <f>VLOOKUP($A72,装备强化表,强化辅助表!K$33,FALSE)</f>
        <v>0</v>
      </c>
      <c r="J72" s="12">
        <f>VLOOKUP($A72,装备强化表,强化辅助表!L$33,FALSE)</f>
        <v>0</v>
      </c>
      <c r="K72" s="12">
        <f>VLOOKUP($A72,装备强化表,强化辅助表!N$33,FALSE)</f>
        <v>24</v>
      </c>
      <c r="L72" s="12">
        <f>VLOOKUP($A72,装备强化表,强化辅助表!O$33,FALSE)</f>
        <v>0</v>
      </c>
      <c r="M72" s="12">
        <f>VLOOKUP($A72,装备强化表,强化辅助表!P$33,FALSE)</f>
        <v>0</v>
      </c>
      <c r="O72">
        <f>VLOOKUP(A72,强化辅助表!$B$36:$Q$194,16,FALSE)</f>
        <v>12.48</v>
      </c>
    </row>
    <row r="73" spans="1:15" x14ac:dyDescent="0.15">
      <c r="A73" s="5" t="str">
        <f>强化辅助表!B107</f>
        <v>4523</v>
      </c>
      <c r="B73" s="12">
        <f>ROUND(强化辅助表!R107,0)</f>
        <v>1347</v>
      </c>
      <c r="C73" s="94">
        <f>ROUND(强化辅助表!S107,0)</f>
        <v>1347</v>
      </c>
      <c r="D73" s="92">
        <f t="shared" si="0"/>
        <v>26.94</v>
      </c>
      <c r="E73" s="12">
        <f>VLOOKUP($A73,装备强化表,强化辅助表!G$33,FALSE)</f>
        <v>0</v>
      </c>
      <c r="F73" s="12">
        <f>VLOOKUP($A73,装备强化表,强化辅助表!H$33,FALSE)</f>
        <v>13</v>
      </c>
      <c r="G73" s="12">
        <f>VLOOKUP($A73,装备强化表,强化辅助表!I$33,FALSE)</f>
        <v>0</v>
      </c>
      <c r="H73" s="12">
        <f>VLOOKUP($A73,装备强化表,强化辅助表!J$33,FALSE)</f>
        <v>0</v>
      </c>
      <c r="I73" s="12">
        <f>VLOOKUP($A73,装备强化表,强化辅助表!K$33,FALSE)</f>
        <v>41</v>
      </c>
      <c r="J73" s="12">
        <f>VLOOKUP($A73,装备强化表,强化辅助表!L$33,FALSE)</f>
        <v>0</v>
      </c>
      <c r="K73" s="12">
        <f>VLOOKUP($A73,装备强化表,强化辅助表!N$33,FALSE)</f>
        <v>0</v>
      </c>
      <c r="L73" s="12">
        <f>VLOOKUP($A73,装备强化表,强化辅助表!O$33,FALSE)</f>
        <v>0</v>
      </c>
      <c r="M73" s="12">
        <f>VLOOKUP($A73,装备强化表,强化辅助表!P$33,FALSE)</f>
        <v>0</v>
      </c>
      <c r="O73">
        <f>VLOOKUP(A73,强化辅助表!$B$36:$Q$194,16,FALSE)</f>
        <v>26.94</v>
      </c>
    </row>
    <row r="74" spans="1:15" x14ac:dyDescent="0.15">
      <c r="A74" s="5" t="str">
        <f>强化辅助表!B108</f>
        <v>4530</v>
      </c>
      <c r="B74" s="12">
        <f>ROUND(强化辅助表!R108,0)</f>
        <v>2829</v>
      </c>
      <c r="C74" s="94">
        <f>ROUND(强化辅助表!S108,0)</f>
        <v>2829</v>
      </c>
      <c r="D74" s="92">
        <f t="shared" si="0"/>
        <v>56.58</v>
      </c>
      <c r="E74" s="12">
        <f>VLOOKUP($A74,装备强化表,强化辅助表!G$33,FALSE)</f>
        <v>0</v>
      </c>
      <c r="F74" s="12">
        <f>VLOOKUP($A74,装备强化表,强化辅助表!H$33,FALSE)</f>
        <v>51</v>
      </c>
      <c r="G74" s="12">
        <f>VLOOKUP($A74,装备强化表,强化辅助表!I$33,FALSE)</f>
        <v>0</v>
      </c>
      <c r="H74" s="12">
        <f>VLOOKUP($A74,装备强化表,强化辅助表!J$33,FALSE)</f>
        <v>0</v>
      </c>
      <c r="I74" s="12">
        <f>VLOOKUP($A74,装备强化表,强化辅助表!K$33,FALSE)</f>
        <v>0</v>
      </c>
      <c r="J74" s="12">
        <f>VLOOKUP($A74,装备强化表,强化辅助表!L$33,FALSE)</f>
        <v>31</v>
      </c>
      <c r="K74" s="12">
        <f>VLOOKUP($A74,装备强化表,强化辅助表!N$33,FALSE)</f>
        <v>0</v>
      </c>
      <c r="L74" s="12">
        <f>VLOOKUP($A74,装备强化表,强化辅助表!O$33,FALSE)</f>
        <v>0</v>
      </c>
      <c r="M74" s="12">
        <f>VLOOKUP($A74,装备强化表,强化辅助表!P$33,FALSE)</f>
        <v>0</v>
      </c>
      <c r="O74">
        <f>VLOOKUP(A74,强化辅助表!$B$36:$Q$194,16,FALSE)</f>
        <v>56.58</v>
      </c>
    </row>
    <row r="75" spans="1:15" x14ac:dyDescent="0.15">
      <c r="A75" s="5" t="str">
        <f>强化辅助表!B109</f>
        <v>4531</v>
      </c>
      <c r="B75" s="12">
        <f>ROUND(强化辅助表!R109,0)</f>
        <v>2500</v>
      </c>
      <c r="C75" s="94">
        <f>ROUND(强化辅助表!S109,0)</f>
        <v>2500</v>
      </c>
      <c r="D75" s="92">
        <f t="shared" si="0"/>
        <v>50</v>
      </c>
      <c r="E75" s="12">
        <f>VLOOKUP($A75,装备强化表,强化辅助表!G$33,FALSE)</f>
        <v>800</v>
      </c>
      <c r="F75" s="12">
        <f>VLOOKUP($A75,装备强化表,强化辅助表!H$33,FALSE)</f>
        <v>0</v>
      </c>
      <c r="G75" s="12">
        <f>VLOOKUP($A75,装备强化表,强化辅助表!I$33,FALSE)</f>
        <v>18</v>
      </c>
      <c r="H75" s="12">
        <f>VLOOKUP($A75,装备强化表,强化辅助表!J$33,FALSE)</f>
        <v>0</v>
      </c>
      <c r="I75" s="12">
        <f>VLOOKUP($A75,装备强化表,强化辅助表!K$33,FALSE)</f>
        <v>0</v>
      </c>
      <c r="J75" s="12">
        <f>VLOOKUP($A75,装备强化表,强化辅助表!L$33,FALSE)</f>
        <v>0</v>
      </c>
      <c r="K75" s="12">
        <f>VLOOKUP($A75,装备强化表,强化辅助表!N$33,FALSE)</f>
        <v>0</v>
      </c>
      <c r="L75" s="12">
        <f>VLOOKUP($A75,装备强化表,强化辅助表!O$33,FALSE)</f>
        <v>0</v>
      </c>
      <c r="M75" s="12">
        <f>VLOOKUP($A75,装备强化表,强化辅助表!P$33,FALSE)</f>
        <v>0</v>
      </c>
      <c r="O75">
        <f>VLOOKUP(A75,强化辅助表!$B$36:$Q$194,16,FALSE)</f>
        <v>50</v>
      </c>
    </row>
    <row r="76" spans="1:15" x14ac:dyDescent="0.15">
      <c r="A76" s="5" t="str">
        <f>强化辅助表!B110</f>
        <v>4532</v>
      </c>
      <c r="B76" s="12">
        <f>ROUND(强化辅助表!R110,0)</f>
        <v>906</v>
      </c>
      <c r="C76" s="94">
        <f>ROUND(强化辅助表!S110,0)</f>
        <v>906</v>
      </c>
      <c r="D76" s="92">
        <f t="shared" si="0"/>
        <v>18.12</v>
      </c>
      <c r="E76" s="12">
        <f>VLOOKUP($A76,装备强化表,强化辅助表!G$33,FALSE)</f>
        <v>0</v>
      </c>
      <c r="F76" s="12">
        <f>VLOOKUP($A76,装备强化表,强化辅助表!H$33,FALSE)</f>
        <v>0</v>
      </c>
      <c r="G76" s="12">
        <f>VLOOKUP($A76,装备强化表,强化辅助表!I$33,FALSE)</f>
        <v>12</v>
      </c>
      <c r="H76" s="12">
        <f>VLOOKUP($A76,装备强化表,强化辅助表!J$33,FALSE)</f>
        <v>18</v>
      </c>
      <c r="I76" s="12">
        <f>VLOOKUP($A76,装备强化表,强化辅助表!K$33,FALSE)</f>
        <v>0</v>
      </c>
      <c r="J76" s="12">
        <f>VLOOKUP($A76,装备强化表,强化辅助表!L$33,FALSE)</f>
        <v>0</v>
      </c>
      <c r="K76" s="12">
        <f>VLOOKUP($A76,装备强化表,强化辅助表!N$33,FALSE)</f>
        <v>0</v>
      </c>
      <c r="L76" s="12">
        <f>VLOOKUP($A76,装备强化表,强化辅助表!O$33,FALSE)</f>
        <v>0</v>
      </c>
      <c r="M76" s="12">
        <f>VLOOKUP($A76,装备强化表,强化辅助表!P$33,FALSE)</f>
        <v>0</v>
      </c>
      <c r="O76">
        <f>VLOOKUP(A76,强化辅助表!$B$36:$Q$194,16,FALSE)</f>
        <v>18.12</v>
      </c>
    </row>
    <row r="77" spans="1:15" x14ac:dyDescent="0.15">
      <c r="A77" s="5" t="str">
        <f>强化辅助表!B111</f>
        <v>4535</v>
      </c>
      <c r="B77" s="12">
        <f>ROUND(强化辅助表!R111,0)</f>
        <v>1129</v>
      </c>
      <c r="C77" s="94">
        <f>ROUND(强化辅助表!S111,0)</f>
        <v>1129</v>
      </c>
      <c r="D77" s="92">
        <f t="shared" si="0"/>
        <v>22.58</v>
      </c>
      <c r="E77" s="12">
        <f>VLOOKUP($A77,装备强化表,强化辅助表!G$33,FALSE)</f>
        <v>267</v>
      </c>
      <c r="F77" s="12">
        <f>VLOOKUP($A77,装备强化表,强化辅助表!H$33,FALSE)</f>
        <v>0</v>
      </c>
      <c r="G77" s="12">
        <f>VLOOKUP($A77,装备强化表,强化辅助表!I$33,FALSE)</f>
        <v>0</v>
      </c>
      <c r="H77" s="12">
        <f>VLOOKUP($A77,装备强化表,强化辅助表!J$33,FALSE)</f>
        <v>35</v>
      </c>
      <c r="I77" s="12">
        <f>VLOOKUP($A77,装备强化表,强化辅助表!K$33,FALSE)</f>
        <v>0</v>
      </c>
      <c r="J77" s="12">
        <f>VLOOKUP($A77,装备强化表,强化辅助表!L$33,FALSE)</f>
        <v>0</v>
      </c>
      <c r="K77" s="12">
        <f>VLOOKUP($A77,装备强化表,强化辅助表!N$33,FALSE)</f>
        <v>0</v>
      </c>
      <c r="L77" s="12">
        <f>VLOOKUP($A77,装备强化表,强化辅助表!O$33,FALSE)</f>
        <v>0</v>
      </c>
      <c r="M77" s="12">
        <f>VLOOKUP($A77,装备强化表,强化辅助表!P$33,FALSE)</f>
        <v>0</v>
      </c>
      <c r="O77">
        <f>VLOOKUP(A77,强化辅助表!$B$36:$Q$194,16,FALSE)</f>
        <v>22.58</v>
      </c>
    </row>
    <row r="78" spans="1:15" x14ac:dyDescent="0.15">
      <c r="A78" s="5" t="str">
        <f>强化辅助表!B112</f>
        <v>4534</v>
      </c>
      <c r="B78" s="12">
        <f>ROUND(强化辅助表!R112,0)</f>
        <v>813</v>
      </c>
      <c r="C78" s="94">
        <f>ROUND(强化辅助表!S112,0)</f>
        <v>813</v>
      </c>
      <c r="D78" s="92">
        <f t="shared" si="0"/>
        <v>16.259999999999998</v>
      </c>
      <c r="E78" s="12">
        <f>VLOOKUP($A78,装备强化表,强化辅助表!G$33,FALSE)</f>
        <v>267</v>
      </c>
      <c r="F78" s="12">
        <f>VLOOKUP($A78,装备强化表,强化辅助表!H$33,FALSE)</f>
        <v>0</v>
      </c>
      <c r="G78" s="12">
        <f>VLOOKUP($A78,装备强化表,强化辅助表!I$33,FALSE)</f>
        <v>0</v>
      </c>
      <c r="H78" s="12">
        <f>VLOOKUP($A78,装备强化表,强化辅助表!J$33,FALSE)</f>
        <v>0</v>
      </c>
      <c r="I78" s="12">
        <f>VLOOKUP($A78,装备强化表,强化辅助表!K$33,FALSE)</f>
        <v>0</v>
      </c>
      <c r="J78" s="12">
        <f>VLOOKUP($A78,装备强化表,强化辅助表!L$33,FALSE)</f>
        <v>0</v>
      </c>
      <c r="K78" s="12">
        <f>VLOOKUP($A78,装备强化表,强化辅助表!N$33,FALSE)</f>
        <v>31</v>
      </c>
      <c r="L78" s="12">
        <f>VLOOKUP($A78,装备强化表,强化辅助表!O$33,FALSE)</f>
        <v>0</v>
      </c>
      <c r="M78" s="12">
        <f>VLOOKUP($A78,装备强化表,强化辅助表!P$33,FALSE)</f>
        <v>0</v>
      </c>
      <c r="O78">
        <f>VLOOKUP(A78,强化辅助表!$B$36:$Q$194,16,FALSE)</f>
        <v>16.259999999999998</v>
      </c>
    </row>
    <row r="79" spans="1:15" x14ac:dyDescent="0.15">
      <c r="A79" s="5" t="str">
        <f>强化辅助表!B113</f>
        <v>4533</v>
      </c>
      <c r="B79" s="12">
        <f>ROUND(强化辅助表!R113,0)</f>
        <v>1751</v>
      </c>
      <c r="C79" s="94">
        <f>ROUND(强化辅助表!S113,0)</f>
        <v>1751</v>
      </c>
      <c r="D79" s="92">
        <f t="shared" ref="D79:D142" si="3">O79</f>
        <v>35.019999999999996</v>
      </c>
      <c r="E79" s="12">
        <f>VLOOKUP($A79,装备强化表,强化辅助表!G$33,FALSE)</f>
        <v>0</v>
      </c>
      <c r="F79" s="12">
        <f>VLOOKUP($A79,装备强化表,强化辅助表!H$33,FALSE)</f>
        <v>17</v>
      </c>
      <c r="G79" s="12">
        <f>VLOOKUP($A79,装备强化表,强化辅助表!I$33,FALSE)</f>
        <v>0</v>
      </c>
      <c r="H79" s="12">
        <f>VLOOKUP($A79,装备强化表,强化辅助表!J$33,FALSE)</f>
        <v>0</v>
      </c>
      <c r="I79" s="12">
        <f>VLOOKUP($A79,装备强化表,强化辅助表!K$33,FALSE)</f>
        <v>53</v>
      </c>
      <c r="J79" s="12">
        <f>VLOOKUP($A79,装备强化表,强化辅助表!L$33,FALSE)</f>
        <v>0</v>
      </c>
      <c r="K79" s="12">
        <f>VLOOKUP($A79,装备强化表,强化辅助表!N$33,FALSE)</f>
        <v>0</v>
      </c>
      <c r="L79" s="12">
        <f>VLOOKUP($A79,装备强化表,强化辅助表!O$33,FALSE)</f>
        <v>0</v>
      </c>
      <c r="M79" s="12">
        <f>VLOOKUP($A79,装备强化表,强化辅助表!P$33,FALSE)</f>
        <v>0</v>
      </c>
      <c r="O79">
        <f>VLOOKUP(A79,强化辅助表!$B$36:$Q$194,16,FALSE)</f>
        <v>35.019999999999996</v>
      </c>
    </row>
    <row r="80" spans="1:15" x14ac:dyDescent="0.15">
      <c r="A80" s="5" t="str">
        <f>强化辅助表!B114</f>
        <v>4540</v>
      </c>
      <c r="B80" s="12">
        <f>ROUND(强化辅助表!R114,0)</f>
        <v>3333</v>
      </c>
      <c r="C80" s="94">
        <f>ROUND(强化辅助表!S114,0)</f>
        <v>3333</v>
      </c>
      <c r="D80" s="92">
        <f t="shared" si="3"/>
        <v>66.66</v>
      </c>
      <c r="E80" s="12">
        <f>VLOOKUP($A80,装备强化表,强化辅助表!G$33,FALSE)</f>
        <v>0</v>
      </c>
      <c r="F80" s="12">
        <f>VLOOKUP($A80,装备强化表,强化辅助表!H$33,FALSE)</f>
        <v>60</v>
      </c>
      <c r="G80" s="12">
        <f>VLOOKUP($A80,装备强化表,强化辅助表!I$33,FALSE)</f>
        <v>0</v>
      </c>
      <c r="H80" s="12">
        <f>VLOOKUP($A80,装备强化表,强化辅助表!J$33,FALSE)</f>
        <v>0</v>
      </c>
      <c r="I80" s="12">
        <f>VLOOKUP($A80,装备强化表,强化辅助表!K$33,FALSE)</f>
        <v>0</v>
      </c>
      <c r="J80" s="12">
        <f>VLOOKUP($A80,装备强化表,强化辅助表!L$33,FALSE)</f>
        <v>37</v>
      </c>
      <c r="K80" s="12">
        <f>VLOOKUP($A80,装备强化表,强化辅助表!N$33,FALSE)</f>
        <v>0</v>
      </c>
      <c r="L80" s="12">
        <f>VLOOKUP($A80,装备强化表,强化辅助表!O$33,FALSE)</f>
        <v>0</v>
      </c>
      <c r="M80" s="12">
        <f>VLOOKUP($A80,装备强化表,强化辅助表!P$33,FALSE)</f>
        <v>0</v>
      </c>
      <c r="O80">
        <f>VLOOKUP(A80,强化辅助表!$B$36:$Q$194,16,FALSE)</f>
        <v>66.66</v>
      </c>
    </row>
    <row r="81" spans="1:15" x14ac:dyDescent="0.15">
      <c r="A81" s="5" t="str">
        <f>强化辅助表!B115</f>
        <v>4541</v>
      </c>
      <c r="B81" s="12">
        <f>ROUND(强化辅助表!R115,0)</f>
        <v>2932</v>
      </c>
      <c r="C81" s="94">
        <f>ROUND(强化辅助表!S115,0)</f>
        <v>2932</v>
      </c>
      <c r="D81" s="92">
        <f t="shared" si="3"/>
        <v>58.64</v>
      </c>
      <c r="E81" s="12">
        <f>VLOOKUP($A81,装备强化表,强化辅助表!G$33,FALSE)</f>
        <v>941</v>
      </c>
      <c r="F81" s="12">
        <f>VLOOKUP($A81,装备强化表,强化辅助表!H$33,FALSE)</f>
        <v>0</v>
      </c>
      <c r="G81" s="12">
        <f>VLOOKUP($A81,装备强化表,强化辅助表!I$33,FALSE)</f>
        <v>21</v>
      </c>
      <c r="H81" s="12">
        <f>VLOOKUP($A81,装备强化表,强化辅助表!J$33,FALSE)</f>
        <v>0</v>
      </c>
      <c r="I81" s="12">
        <f>VLOOKUP($A81,装备强化表,强化辅助表!K$33,FALSE)</f>
        <v>0</v>
      </c>
      <c r="J81" s="12">
        <f>VLOOKUP($A81,装备强化表,强化辅助表!L$33,FALSE)</f>
        <v>0</v>
      </c>
      <c r="K81" s="12">
        <f>VLOOKUP($A81,装备强化表,强化辅助表!N$33,FALSE)</f>
        <v>0</v>
      </c>
      <c r="L81" s="12">
        <f>VLOOKUP($A81,装备强化表,强化辅助表!O$33,FALSE)</f>
        <v>0</v>
      </c>
      <c r="M81" s="12">
        <f>VLOOKUP($A81,装备强化表,强化辅助表!P$33,FALSE)</f>
        <v>0</v>
      </c>
      <c r="O81">
        <f>VLOOKUP(A81,强化辅助表!$B$36:$Q$194,16,FALSE)</f>
        <v>58.64</v>
      </c>
    </row>
    <row r="82" spans="1:15" x14ac:dyDescent="0.15">
      <c r="A82" s="5" t="str">
        <f>强化辅助表!B116</f>
        <v>4542</v>
      </c>
      <c r="B82" s="12">
        <f>ROUND(强化辅助表!R116,0)</f>
        <v>1057</v>
      </c>
      <c r="C82" s="94">
        <f>ROUND(强化辅助表!S116,0)</f>
        <v>1057</v>
      </c>
      <c r="D82" s="92">
        <f t="shared" si="3"/>
        <v>21.14</v>
      </c>
      <c r="E82" s="12">
        <f>VLOOKUP($A82,装备强化表,强化辅助表!G$33,FALSE)</f>
        <v>0</v>
      </c>
      <c r="F82" s="12">
        <f>VLOOKUP($A82,装备强化表,强化辅助表!H$33,FALSE)</f>
        <v>0</v>
      </c>
      <c r="G82" s="12">
        <f>VLOOKUP($A82,装备强化表,强化辅助表!I$33,FALSE)</f>
        <v>14</v>
      </c>
      <c r="H82" s="12">
        <f>VLOOKUP($A82,装备强化表,强化辅助表!J$33,FALSE)</f>
        <v>21</v>
      </c>
      <c r="I82" s="12">
        <f>VLOOKUP($A82,装备强化表,强化辅助表!K$33,FALSE)</f>
        <v>0</v>
      </c>
      <c r="J82" s="12">
        <f>VLOOKUP($A82,装备强化表,强化辅助表!L$33,FALSE)</f>
        <v>0</v>
      </c>
      <c r="K82" s="12">
        <f>VLOOKUP($A82,装备强化表,强化辅助表!N$33,FALSE)</f>
        <v>0</v>
      </c>
      <c r="L82" s="12">
        <f>VLOOKUP($A82,装备强化表,强化辅助表!O$33,FALSE)</f>
        <v>0</v>
      </c>
      <c r="M82" s="12">
        <f>VLOOKUP($A82,装备强化表,强化辅助表!P$33,FALSE)</f>
        <v>0</v>
      </c>
      <c r="O82">
        <f>VLOOKUP(A82,强化辅助表!$B$36:$Q$194,16,FALSE)</f>
        <v>21.14</v>
      </c>
    </row>
    <row r="83" spans="1:15" x14ac:dyDescent="0.15">
      <c r="A83" s="5" t="str">
        <f>强化辅助表!B117</f>
        <v>4545</v>
      </c>
      <c r="B83" s="12">
        <f>ROUND(强化辅助表!R117,0)</f>
        <v>1342</v>
      </c>
      <c r="C83" s="94">
        <f>ROUND(强化辅助表!S117,0)</f>
        <v>1342</v>
      </c>
      <c r="D83" s="92">
        <f t="shared" si="3"/>
        <v>26.840000000000003</v>
      </c>
      <c r="E83" s="12">
        <f>VLOOKUP($A83,装备强化表,强化辅助表!G$33,FALSE)</f>
        <v>314</v>
      </c>
      <c r="F83" s="12">
        <f>VLOOKUP($A83,装备强化表,强化辅助表!H$33,FALSE)</f>
        <v>0</v>
      </c>
      <c r="G83" s="12">
        <f>VLOOKUP($A83,装备强化表,强化辅助表!I$33,FALSE)</f>
        <v>0</v>
      </c>
      <c r="H83" s="12">
        <f>VLOOKUP($A83,装备强化表,强化辅助表!J$33,FALSE)</f>
        <v>42</v>
      </c>
      <c r="I83" s="12">
        <f>VLOOKUP($A83,装备强化表,强化辅助表!K$33,FALSE)</f>
        <v>0</v>
      </c>
      <c r="J83" s="12">
        <f>VLOOKUP($A83,装备强化表,强化辅助表!L$33,FALSE)</f>
        <v>0</v>
      </c>
      <c r="K83" s="12">
        <f>VLOOKUP($A83,装备强化表,强化辅助表!N$33,FALSE)</f>
        <v>0</v>
      </c>
      <c r="L83" s="12">
        <f>VLOOKUP($A83,装备强化表,强化辅助表!O$33,FALSE)</f>
        <v>0</v>
      </c>
      <c r="M83" s="12">
        <f>VLOOKUP($A83,装备强化表,强化辅助表!P$33,FALSE)</f>
        <v>0</v>
      </c>
      <c r="O83">
        <f>VLOOKUP(A83,强化辅助表!$B$36:$Q$194,16,FALSE)</f>
        <v>26.840000000000003</v>
      </c>
    </row>
    <row r="84" spans="1:15" x14ac:dyDescent="0.15">
      <c r="A84" s="5" t="str">
        <f>强化辅助表!B118</f>
        <v>4544</v>
      </c>
      <c r="B84" s="12">
        <f>ROUND(强化辅助表!R118,0)</f>
        <v>961</v>
      </c>
      <c r="C84" s="94">
        <f>ROUND(强化辅助表!S118,0)</f>
        <v>961</v>
      </c>
      <c r="D84" s="92">
        <f t="shared" si="3"/>
        <v>19.22</v>
      </c>
      <c r="E84" s="12">
        <f>VLOOKUP($A84,装备强化表,强化辅助表!G$33,FALSE)</f>
        <v>314</v>
      </c>
      <c r="F84" s="12">
        <f>VLOOKUP($A84,装备强化表,强化辅助表!H$33,FALSE)</f>
        <v>0</v>
      </c>
      <c r="G84" s="12">
        <f>VLOOKUP($A84,装备强化表,强化辅助表!I$33,FALSE)</f>
        <v>0</v>
      </c>
      <c r="H84" s="12">
        <f>VLOOKUP($A84,装备强化表,强化辅助表!J$33,FALSE)</f>
        <v>0</v>
      </c>
      <c r="I84" s="12">
        <f>VLOOKUP($A84,装备强化表,强化辅助表!K$33,FALSE)</f>
        <v>0</v>
      </c>
      <c r="J84" s="12">
        <f>VLOOKUP($A84,装备强化表,强化辅助表!L$33,FALSE)</f>
        <v>0</v>
      </c>
      <c r="K84" s="12">
        <f>VLOOKUP($A84,装备强化表,强化辅助表!N$33,FALSE)</f>
        <v>37</v>
      </c>
      <c r="L84" s="12">
        <f>VLOOKUP($A84,装备强化表,强化辅助表!O$33,FALSE)</f>
        <v>0</v>
      </c>
      <c r="M84" s="12">
        <f>VLOOKUP($A84,装备强化表,强化辅助表!P$33,FALSE)</f>
        <v>0</v>
      </c>
      <c r="O84">
        <f>VLOOKUP(A84,强化辅助表!$B$36:$Q$194,16,FALSE)</f>
        <v>19.22</v>
      </c>
    </row>
    <row r="85" spans="1:15" x14ac:dyDescent="0.15">
      <c r="A85" s="5" t="str">
        <f>强化辅助表!B119</f>
        <v>4543</v>
      </c>
      <c r="B85" s="12">
        <f>ROUND(强化辅助表!R119,0)</f>
        <v>2071</v>
      </c>
      <c r="C85" s="94">
        <f>ROUND(强化辅助表!S119,0)</f>
        <v>2071</v>
      </c>
      <c r="D85" s="92">
        <f t="shared" si="3"/>
        <v>41.42</v>
      </c>
      <c r="E85" s="12">
        <f>VLOOKUP($A85,装备强化表,强化辅助表!G$33,FALSE)</f>
        <v>0</v>
      </c>
      <c r="F85" s="12">
        <f>VLOOKUP($A85,装备强化表,强化辅助表!H$33,FALSE)</f>
        <v>20</v>
      </c>
      <c r="G85" s="12">
        <f>VLOOKUP($A85,装备强化表,强化辅助表!I$33,FALSE)</f>
        <v>0</v>
      </c>
      <c r="H85" s="12">
        <f>VLOOKUP($A85,装备强化表,强化辅助表!J$33,FALSE)</f>
        <v>0</v>
      </c>
      <c r="I85" s="12">
        <f>VLOOKUP($A85,装备强化表,强化辅助表!K$33,FALSE)</f>
        <v>63</v>
      </c>
      <c r="J85" s="12">
        <f>VLOOKUP($A85,装备强化表,强化辅助表!L$33,FALSE)</f>
        <v>0</v>
      </c>
      <c r="K85" s="12">
        <f>VLOOKUP($A85,装备强化表,强化辅助表!N$33,FALSE)</f>
        <v>0</v>
      </c>
      <c r="L85" s="12">
        <f>VLOOKUP($A85,装备强化表,强化辅助表!O$33,FALSE)</f>
        <v>0</v>
      </c>
      <c r="M85" s="12">
        <f>VLOOKUP($A85,装备强化表,强化辅助表!P$33,FALSE)</f>
        <v>0</v>
      </c>
      <c r="O85">
        <f>VLOOKUP(A85,强化辅助表!$B$36:$Q$194,16,FALSE)</f>
        <v>41.42</v>
      </c>
    </row>
    <row r="86" spans="1:15" x14ac:dyDescent="0.15">
      <c r="A86" s="5" t="str">
        <f>强化辅助表!B120</f>
        <v>6010</v>
      </c>
      <c r="B86" s="12">
        <f>ROUND(强化辅助表!R120,0)</f>
        <v>2225</v>
      </c>
      <c r="C86" s="94">
        <f>ROUND(强化辅助表!S120,0)</f>
        <v>2225</v>
      </c>
      <c r="D86" s="92">
        <f t="shared" si="3"/>
        <v>44.5</v>
      </c>
      <c r="E86" s="12">
        <f>VLOOKUP($A86,装备强化表,强化辅助表!G$33,FALSE)</f>
        <v>0</v>
      </c>
      <c r="F86" s="12">
        <f>VLOOKUP($A86,装备强化表,强化辅助表!H$33,FALSE)</f>
        <v>40</v>
      </c>
      <c r="G86" s="12">
        <f>VLOOKUP($A86,装备强化表,强化辅助表!I$33,FALSE)</f>
        <v>0</v>
      </c>
      <c r="H86" s="12">
        <f>VLOOKUP($A86,装备强化表,强化辅助表!J$33,FALSE)</f>
        <v>0</v>
      </c>
      <c r="I86" s="12">
        <f>VLOOKUP($A86,装备强化表,强化辅助表!K$33,FALSE)</f>
        <v>0</v>
      </c>
      <c r="J86" s="12">
        <f>VLOOKUP($A86,装备强化表,强化辅助表!L$33,FALSE)</f>
        <v>25</v>
      </c>
      <c r="K86" s="12">
        <f>VLOOKUP($A86,装备强化表,强化辅助表!N$33,FALSE)</f>
        <v>0</v>
      </c>
      <c r="L86" s="12">
        <f>VLOOKUP($A86,装备强化表,强化辅助表!O$33,FALSE)</f>
        <v>0</v>
      </c>
      <c r="M86" s="12">
        <f>VLOOKUP($A86,装备强化表,强化辅助表!P$33,FALSE)</f>
        <v>0</v>
      </c>
      <c r="O86">
        <f>VLOOKUP(A86,强化辅助表!$B$36:$Q$194,16,FALSE)</f>
        <v>44.5</v>
      </c>
    </row>
    <row r="87" spans="1:15" x14ac:dyDescent="0.15">
      <c r="A87" s="5" t="str">
        <f>强化辅助表!B121</f>
        <v>6011</v>
      </c>
      <c r="B87" s="12">
        <f>ROUND(强化辅助表!R121,0)</f>
        <v>1970</v>
      </c>
      <c r="C87" s="94">
        <f>ROUND(强化辅助表!S121,0)</f>
        <v>1970</v>
      </c>
      <c r="D87" s="92">
        <f t="shared" si="3"/>
        <v>39.400000000000006</v>
      </c>
      <c r="E87" s="12">
        <f>VLOOKUP($A87,装备强化表,强化辅助表!G$33,FALSE)</f>
        <v>635</v>
      </c>
      <c r="F87" s="12">
        <f>VLOOKUP($A87,装备强化表,强化辅助表!H$33,FALSE)</f>
        <v>0</v>
      </c>
      <c r="G87" s="12">
        <f>VLOOKUP($A87,装备强化表,强化辅助表!I$33,FALSE)</f>
        <v>14</v>
      </c>
      <c r="H87" s="12">
        <f>VLOOKUP($A87,装备强化表,强化辅助表!J$33,FALSE)</f>
        <v>0</v>
      </c>
      <c r="I87" s="12">
        <f>VLOOKUP($A87,装备强化表,强化辅助表!K$33,FALSE)</f>
        <v>0</v>
      </c>
      <c r="J87" s="12">
        <f>VLOOKUP($A87,装备强化表,强化辅助表!L$33,FALSE)</f>
        <v>0</v>
      </c>
      <c r="K87" s="12">
        <f>VLOOKUP($A87,装备强化表,强化辅助表!N$33,FALSE)</f>
        <v>0</v>
      </c>
      <c r="L87" s="12">
        <f>VLOOKUP($A87,装备强化表,强化辅助表!O$33,FALSE)</f>
        <v>0</v>
      </c>
      <c r="M87" s="12">
        <f>VLOOKUP($A87,装备强化表,强化辅助表!P$33,FALSE)</f>
        <v>0</v>
      </c>
      <c r="O87">
        <f>VLOOKUP(A87,强化辅助表!$B$36:$Q$194,16,FALSE)</f>
        <v>39.400000000000006</v>
      </c>
    </row>
    <row r="88" spans="1:15" x14ac:dyDescent="0.15">
      <c r="A88" s="5" t="str">
        <f>强化辅助表!B122</f>
        <v>6012</v>
      </c>
      <c r="B88" s="12">
        <f>ROUND(强化辅助表!R122,0)</f>
        <v>688</v>
      </c>
      <c r="C88" s="94">
        <f>ROUND(强化辅助表!S122,0)</f>
        <v>688</v>
      </c>
      <c r="D88" s="92">
        <f t="shared" si="3"/>
        <v>13.760000000000002</v>
      </c>
      <c r="E88" s="12">
        <f>VLOOKUP($A88,装备强化表,强化辅助表!G$33,FALSE)</f>
        <v>0</v>
      </c>
      <c r="F88" s="12">
        <f>VLOOKUP($A88,装备强化表,强化辅助表!H$33,FALSE)</f>
        <v>0</v>
      </c>
      <c r="G88" s="12">
        <f>VLOOKUP($A88,装备强化表,强化辅助表!I$33,FALSE)</f>
        <v>9</v>
      </c>
      <c r="H88" s="12">
        <f>VLOOKUP($A88,装备强化表,强化辅助表!J$33,FALSE)</f>
        <v>14</v>
      </c>
      <c r="I88" s="12">
        <f>VLOOKUP($A88,装备强化表,强化辅助表!K$33,FALSE)</f>
        <v>0</v>
      </c>
      <c r="J88" s="12">
        <f>VLOOKUP($A88,装备强化表,强化辅助表!L$33,FALSE)</f>
        <v>0</v>
      </c>
      <c r="K88" s="12">
        <f>VLOOKUP($A88,装备强化表,强化辅助表!N$33,FALSE)</f>
        <v>0</v>
      </c>
      <c r="L88" s="12">
        <f>VLOOKUP($A88,装备强化表,强化辅助表!O$33,FALSE)</f>
        <v>0</v>
      </c>
      <c r="M88" s="12">
        <f>VLOOKUP($A88,装备强化表,强化辅助表!P$33,FALSE)</f>
        <v>0</v>
      </c>
      <c r="O88">
        <f>VLOOKUP(A88,强化辅助表!$B$36:$Q$194,16,FALSE)</f>
        <v>13.760000000000002</v>
      </c>
    </row>
    <row r="89" spans="1:15" x14ac:dyDescent="0.15">
      <c r="A89" s="5" t="str">
        <f>强化辅助表!B123</f>
        <v>6015</v>
      </c>
      <c r="B89" s="12">
        <f>ROUND(强化辅助表!R123,0)</f>
        <v>900</v>
      </c>
      <c r="C89" s="94">
        <f>ROUND(强化辅助表!S123,0)</f>
        <v>900</v>
      </c>
      <c r="D89" s="92">
        <f t="shared" si="3"/>
        <v>18</v>
      </c>
      <c r="E89" s="12">
        <f>VLOOKUP($A89,装备强化表,强化辅助表!G$33,FALSE)</f>
        <v>212</v>
      </c>
      <c r="F89" s="12">
        <f>VLOOKUP($A89,装备强化表,强化辅助表!H$33,FALSE)</f>
        <v>0</v>
      </c>
      <c r="G89" s="12">
        <f>VLOOKUP($A89,装备强化表,强化辅助表!I$33,FALSE)</f>
        <v>0</v>
      </c>
      <c r="H89" s="12">
        <f>VLOOKUP($A89,装备强化表,强化辅助表!J$33,FALSE)</f>
        <v>28</v>
      </c>
      <c r="I89" s="12">
        <f>VLOOKUP($A89,装备强化表,强化辅助表!K$33,FALSE)</f>
        <v>0</v>
      </c>
      <c r="J89" s="12">
        <f>VLOOKUP($A89,装备强化表,强化辅助表!L$33,FALSE)</f>
        <v>0</v>
      </c>
      <c r="K89" s="12">
        <f>VLOOKUP($A89,装备强化表,强化辅助表!N$33,FALSE)</f>
        <v>0</v>
      </c>
      <c r="L89" s="12">
        <f>VLOOKUP($A89,装备强化表,强化辅助表!O$33,FALSE)</f>
        <v>0</v>
      </c>
      <c r="M89" s="12">
        <f>VLOOKUP($A89,装备强化表,强化辅助表!P$33,FALSE)</f>
        <v>0</v>
      </c>
      <c r="O89">
        <f>VLOOKUP(A89,强化辅助表!$B$36:$Q$194,16,FALSE)</f>
        <v>18</v>
      </c>
    </row>
    <row r="90" spans="1:15" x14ac:dyDescent="0.15">
      <c r="A90" s="5" t="str">
        <f>强化辅助表!B124</f>
        <v>6014</v>
      </c>
      <c r="B90" s="12">
        <f>ROUND(强化辅助表!R124,0)</f>
        <v>649</v>
      </c>
      <c r="C90" s="94">
        <f>ROUND(强化辅助表!S124,0)</f>
        <v>649</v>
      </c>
      <c r="D90" s="92">
        <f t="shared" si="3"/>
        <v>12.98</v>
      </c>
      <c r="E90" s="12">
        <f>VLOOKUP($A90,装备强化表,强化辅助表!G$33,FALSE)</f>
        <v>212</v>
      </c>
      <c r="F90" s="12">
        <f>VLOOKUP($A90,装备强化表,强化辅助表!H$33,FALSE)</f>
        <v>0</v>
      </c>
      <c r="G90" s="12">
        <f>VLOOKUP($A90,装备强化表,强化辅助表!I$33,FALSE)</f>
        <v>0</v>
      </c>
      <c r="H90" s="12">
        <f>VLOOKUP($A90,装备强化表,强化辅助表!J$33,FALSE)</f>
        <v>0</v>
      </c>
      <c r="I90" s="12">
        <f>VLOOKUP($A90,装备强化表,强化辅助表!K$33,FALSE)</f>
        <v>0</v>
      </c>
      <c r="J90" s="12">
        <f>VLOOKUP($A90,装备强化表,强化辅助表!L$33,FALSE)</f>
        <v>0</v>
      </c>
      <c r="K90" s="12">
        <f>VLOOKUP($A90,装备强化表,强化辅助表!N$33,FALSE)</f>
        <v>25</v>
      </c>
      <c r="L90" s="12">
        <f>VLOOKUP($A90,装备强化表,强化辅助表!O$33,FALSE)</f>
        <v>0</v>
      </c>
      <c r="M90" s="12">
        <f>VLOOKUP($A90,装备强化表,强化辅助表!P$33,FALSE)</f>
        <v>0</v>
      </c>
      <c r="O90">
        <f>VLOOKUP(A90,强化辅助表!$B$36:$Q$194,16,FALSE)</f>
        <v>12.98</v>
      </c>
    </row>
    <row r="91" spans="1:15" x14ac:dyDescent="0.15">
      <c r="A91" s="5" t="str">
        <f>强化辅助表!B125</f>
        <v>6013</v>
      </c>
      <c r="B91" s="12">
        <f>ROUND(强化辅助表!R125,0)</f>
        <v>1364</v>
      </c>
      <c r="C91" s="94">
        <f>ROUND(强化辅助表!S125,0)</f>
        <v>1364</v>
      </c>
      <c r="D91" s="92">
        <f t="shared" si="3"/>
        <v>27.28</v>
      </c>
      <c r="E91" s="12">
        <f>VLOOKUP($A91,装备强化表,强化辅助表!G$33,FALSE)</f>
        <v>0</v>
      </c>
      <c r="F91" s="12">
        <f>VLOOKUP($A91,装备强化表,强化辅助表!H$33,FALSE)</f>
        <v>13</v>
      </c>
      <c r="G91" s="12">
        <f>VLOOKUP($A91,装备强化表,强化辅助表!I$33,FALSE)</f>
        <v>0</v>
      </c>
      <c r="H91" s="12">
        <f>VLOOKUP($A91,装备强化表,强化辅助表!J$33,FALSE)</f>
        <v>0</v>
      </c>
      <c r="I91" s="12">
        <f>VLOOKUP($A91,装备强化表,强化辅助表!K$33,FALSE)</f>
        <v>42</v>
      </c>
      <c r="J91" s="12">
        <f>VLOOKUP($A91,装备强化表,强化辅助表!L$33,FALSE)</f>
        <v>0</v>
      </c>
      <c r="K91" s="12">
        <f>VLOOKUP($A91,装备强化表,强化辅助表!N$33,FALSE)</f>
        <v>0</v>
      </c>
      <c r="L91" s="12">
        <f>VLOOKUP($A91,装备强化表,强化辅助表!O$33,FALSE)</f>
        <v>0</v>
      </c>
      <c r="M91" s="12">
        <f>VLOOKUP($A91,装备强化表,强化辅助表!P$33,FALSE)</f>
        <v>0</v>
      </c>
      <c r="O91">
        <f>VLOOKUP(A91,强化辅助表!$B$36:$Q$194,16,FALSE)</f>
        <v>27.28</v>
      </c>
    </row>
    <row r="92" spans="1:15" x14ac:dyDescent="0.15">
      <c r="A92" s="5" t="str">
        <f>强化辅助表!B126</f>
        <v>6020</v>
      </c>
      <c r="B92" s="12">
        <f>ROUND(强化辅助表!R126,0)</f>
        <v>3224</v>
      </c>
      <c r="C92" s="94">
        <f>ROUND(强化辅助表!S126,0)</f>
        <v>3224</v>
      </c>
      <c r="D92" s="92">
        <f t="shared" si="3"/>
        <v>64.48</v>
      </c>
      <c r="E92" s="12">
        <f>VLOOKUP($A92,装备强化表,强化辅助表!G$33,FALSE)</f>
        <v>0</v>
      </c>
      <c r="F92" s="12">
        <f>VLOOKUP($A92,装备强化表,强化辅助表!H$33,FALSE)</f>
        <v>58</v>
      </c>
      <c r="G92" s="12">
        <f>VLOOKUP($A92,装备强化表,强化辅助表!I$33,FALSE)</f>
        <v>0</v>
      </c>
      <c r="H92" s="12">
        <f>VLOOKUP($A92,装备强化表,强化辅助表!J$33,FALSE)</f>
        <v>0</v>
      </c>
      <c r="I92" s="12">
        <f>VLOOKUP($A92,装备强化表,强化辅助表!K$33,FALSE)</f>
        <v>0</v>
      </c>
      <c r="J92" s="12">
        <f>VLOOKUP($A92,装备强化表,强化辅助表!L$33,FALSE)</f>
        <v>36</v>
      </c>
      <c r="K92" s="12">
        <f>VLOOKUP($A92,装备强化表,强化辅助表!N$33,FALSE)</f>
        <v>0</v>
      </c>
      <c r="L92" s="12">
        <f>VLOOKUP($A92,装备强化表,强化辅助表!O$33,FALSE)</f>
        <v>0</v>
      </c>
      <c r="M92" s="12">
        <f>VLOOKUP($A92,装备强化表,强化辅助表!P$33,FALSE)</f>
        <v>0</v>
      </c>
      <c r="O92">
        <f>VLOOKUP(A92,强化辅助表!$B$36:$Q$194,16,FALSE)</f>
        <v>64.48</v>
      </c>
    </row>
    <row r="93" spans="1:15" x14ac:dyDescent="0.15">
      <c r="A93" s="5" t="str">
        <f>强化辅助表!B127</f>
        <v>6021</v>
      </c>
      <c r="B93" s="12">
        <f>ROUND(强化辅助表!R127,0)</f>
        <v>2834</v>
      </c>
      <c r="C93" s="94">
        <f>ROUND(强化辅助表!S127,0)</f>
        <v>2834</v>
      </c>
      <c r="D93" s="92">
        <f t="shared" si="3"/>
        <v>56.68</v>
      </c>
      <c r="E93" s="12">
        <f>VLOOKUP($A93,装备强化表,强化辅助表!G$33,FALSE)</f>
        <v>917</v>
      </c>
      <c r="F93" s="12">
        <f>VLOOKUP($A93,装备强化表,强化辅助表!H$33,FALSE)</f>
        <v>0</v>
      </c>
      <c r="G93" s="12">
        <f>VLOOKUP($A93,装备强化表,强化辅助表!I$33,FALSE)</f>
        <v>20</v>
      </c>
      <c r="H93" s="12">
        <f>VLOOKUP($A93,装备强化表,强化辅助表!J$33,FALSE)</f>
        <v>0</v>
      </c>
      <c r="I93" s="12">
        <f>VLOOKUP($A93,装备强化表,强化辅助表!K$33,FALSE)</f>
        <v>0</v>
      </c>
      <c r="J93" s="12">
        <f>VLOOKUP($A93,装备强化表,强化辅助表!L$33,FALSE)</f>
        <v>0</v>
      </c>
      <c r="K93" s="12">
        <f>VLOOKUP($A93,装备强化表,强化辅助表!N$33,FALSE)</f>
        <v>0</v>
      </c>
      <c r="L93" s="12">
        <f>VLOOKUP($A93,装备强化表,强化辅助表!O$33,FALSE)</f>
        <v>0</v>
      </c>
      <c r="M93" s="12">
        <f>VLOOKUP($A93,装备强化表,强化辅助表!P$33,FALSE)</f>
        <v>0</v>
      </c>
      <c r="O93">
        <f>VLOOKUP(A93,强化辅助表!$B$36:$Q$194,16,FALSE)</f>
        <v>56.68</v>
      </c>
    </row>
    <row r="94" spans="1:15" x14ac:dyDescent="0.15">
      <c r="A94" s="5" t="str">
        <f>强化辅助表!B128</f>
        <v>6022</v>
      </c>
      <c r="B94" s="12">
        <f>ROUND(强化辅助表!R128,0)</f>
        <v>990</v>
      </c>
      <c r="C94" s="94">
        <f>ROUND(强化辅助表!S128,0)</f>
        <v>990</v>
      </c>
      <c r="D94" s="92">
        <f t="shared" si="3"/>
        <v>19.8</v>
      </c>
      <c r="E94" s="12">
        <f>VLOOKUP($A94,装备强化表,强化辅助表!G$33,FALSE)</f>
        <v>0</v>
      </c>
      <c r="F94" s="12">
        <f>VLOOKUP($A94,装备强化表,强化辅助表!H$33,FALSE)</f>
        <v>0</v>
      </c>
      <c r="G94" s="12">
        <f>VLOOKUP($A94,装备强化表,强化辅助表!I$33,FALSE)</f>
        <v>13</v>
      </c>
      <c r="H94" s="12">
        <f>VLOOKUP($A94,装备强化表,强化辅助表!J$33,FALSE)</f>
        <v>20</v>
      </c>
      <c r="I94" s="12">
        <f>VLOOKUP($A94,装备强化表,强化辅助表!K$33,FALSE)</f>
        <v>0</v>
      </c>
      <c r="J94" s="12">
        <f>VLOOKUP($A94,装备强化表,强化辅助表!L$33,FALSE)</f>
        <v>0</v>
      </c>
      <c r="K94" s="12">
        <f>VLOOKUP($A94,装备强化表,强化辅助表!N$33,FALSE)</f>
        <v>0</v>
      </c>
      <c r="L94" s="12">
        <f>VLOOKUP($A94,装备强化表,强化辅助表!O$33,FALSE)</f>
        <v>0</v>
      </c>
      <c r="M94" s="12">
        <f>VLOOKUP($A94,装备强化表,强化辅助表!P$33,FALSE)</f>
        <v>0</v>
      </c>
      <c r="O94">
        <f>VLOOKUP(A94,强化辅助表!$B$36:$Q$194,16,FALSE)</f>
        <v>19.8</v>
      </c>
    </row>
    <row r="95" spans="1:15" x14ac:dyDescent="0.15">
      <c r="A95" s="5" t="str">
        <f>强化辅助表!B129</f>
        <v>6025</v>
      </c>
      <c r="B95" s="12">
        <f>ROUND(强化辅助表!R129,0)</f>
        <v>1309</v>
      </c>
      <c r="C95" s="94">
        <f>ROUND(强化辅助表!S129,0)</f>
        <v>1309</v>
      </c>
      <c r="D95" s="92">
        <f t="shared" si="3"/>
        <v>26.18</v>
      </c>
      <c r="E95" s="12">
        <f>VLOOKUP($A95,装备强化表,强化辅助表!G$33,FALSE)</f>
        <v>306</v>
      </c>
      <c r="F95" s="12">
        <f>VLOOKUP($A95,装备强化表,强化辅助表!H$33,FALSE)</f>
        <v>0</v>
      </c>
      <c r="G95" s="12">
        <f>VLOOKUP($A95,装备强化表,强化辅助表!I$33,FALSE)</f>
        <v>0</v>
      </c>
      <c r="H95" s="12">
        <f>VLOOKUP($A95,装备强化表,强化辅助表!J$33,FALSE)</f>
        <v>41</v>
      </c>
      <c r="I95" s="12">
        <f>VLOOKUP($A95,装备强化表,强化辅助表!K$33,FALSE)</f>
        <v>0</v>
      </c>
      <c r="J95" s="12">
        <f>VLOOKUP($A95,装备强化表,强化辅助表!L$33,FALSE)</f>
        <v>0</v>
      </c>
      <c r="K95" s="12">
        <f>VLOOKUP($A95,装备强化表,强化辅助表!N$33,FALSE)</f>
        <v>0</v>
      </c>
      <c r="L95" s="12">
        <f>VLOOKUP($A95,装备强化表,强化辅助表!O$33,FALSE)</f>
        <v>0</v>
      </c>
      <c r="M95" s="12">
        <f>VLOOKUP($A95,装备强化表,强化辅助表!P$33,FALSE)</f>
        <v>0</v>
      </c>
      <c r="O95">
        <f>VLOOKUP(A95,强化辅助表!$B$36:$Q$194,16,FALSE)</f>
        <v>26.18</v>
      </c>
    </row>
    <row r="96" spans="1:15" x14ac:dyDescent="0.15">
      <c r="A96" s="5" t="str">
        <f>强化辅助表!B130</f>
        <v>6024</v>
      </c>
      <c r="B96" s="12">
        <f>ROUND(强化辅助表!R130,0)</f>
        <v>936</v>
      </c>
      <c r="C96" s="94">
        <f>ROUND(强化辅助表!S130,0)</f>
        <v>936</v>
      </c>
      <c r="D96" s="92">
        <f t="shared" si="3"/>
        <v>18.72</v>
      </c>
      <c r="E96" s="12">
        <f>VLOOKUP($A96,装备强化表,强化辅助表!G$33,FALSE)</f>
        <v>306</v>
      </c>
      <c r="F96" s="12">
        <f>VLOOKUP($A96,装备强化表,强化辅助表!H$33,FALSE)</f>
        <v>0</v>
      </c>
      <c r="G96" s="12">
        <f>VLOOKUP($A96,装备强化表,强化辅助表!I$33,FALSE)</f>
        <v>0</v>
      </c>
      <c r="H96" s="12">
        <f>VLOOKUP($A96,装备强化表,强化辅助表!J$33,FALSE)</f>
        <v>0</v>
      </c>
      <c r="I96" s="12">
        <f>VLOOKUP($A96,装备强化表,强化辅助表!K$33,FALSE)</f>
        <v>0</v>
      </c>
      <c r="J96" s="12">
        <f>VLOOKUP($A96,装备强化表,强化辅助表!L$33,FALSE)</f>
        <v>0</v>
      </c>
      <c r="K96" s="12">
        <f>VLOOKUP($A96,装备强化表,强化辅助表!N$33,FALSE)</f>
        <v>36</v>
      </c>
      <c r="L96" s="12">
        <f>VLOOKUP($A96,装备强化表,强化辅助表!O$33,FALSE)</f>
        <v>0</v>
      </c>
      <c r="M96" s="12">
        <f>VLOOKUP($A96,装备强化表,强化辅助表!P$33,FALSE)</f>
        <v>0</v>
      </c>
      <c r="O96">
        <f>VLOOKUP(A96,强化辅助表!$B$36:$Q$194,16,FALSE)</f>
        <v>18.72</v>
      </c>
    </row>
    <row r="97" spans="1:15" x14ac:dyDescent="0.15">
      <c r="A97" s="5" t="str">
        <f>强化辅助表!B131</f>
        <v>6023</v>
      </c>
      <c r="B97" s="12">
        <f>ROUND(强化辅助表!R131,0)</f>
        <v>1987</v>
      </c>
      <c r="C97" s="94">
        <f>ROUND(强化辅助表!S131,0)</f>
        <v>1987</v>
      </c>
      <c r="D97" s="92">
        <f t="shared" si="3"/>
        <v>39.74</v>
      </c>
      <c r="E97" s="12">
        <f>VLOOKUP($A97,装备强化表,强化辅助表!G$33,FALSE)</f>
        <v>0</v>
      </c>
      <c r="F97" s="12">
        <f>VLOOKUP($A97,装备强化表,强化辅助表!H$33,FALSE)</f>
        <v>19</v>
      </c>
      <c r="G97" s="12">
        <f>VLOOKUP($A97,装备强化表,强化辅助表!I$33,FALSE)</f>
        <v>0</v>
      </c>
      <c r="H97" s="12">
        <f>VLOOKUP($A97,装备强化表,强化辅助表!J$33,FALSE)</f>
        <v>0</v>
      </c>
      <c r="I97" s="12">
        <f>VLOOKUP($A97,装备强化表,强化辅助表!K$33,FALSE)</f>
        <v>61</v>
      </c>
      <c r="J97" s="12">
        <f>VLOOKUP($A97,装备强化表,强化辅助表!L$33,FALSE)</f>
        <v>0</v>
      </c>
      <c r="K97" s="12">
        <f>VLOOKUP($A97,装备强化表,强化辅助表!N$33,FALSE)</f>
        <v>0</v>
      </c>
      <c r="L97" s="12">
        <f>VLOOKUP($A97,装备强化表,强化辅助表!O$33,FALSE)</f>
        <v>0</v>
      </c>
      <c r="M97" s="12">
        <f>VLOOKUP($A97,装备强化表,强化辅助表!P$33,FALSE)</f>
        <v>0</v>
      </c>
      <c r="O97">
        <f>VLOOKUP(A97,强化辅助表!$B$36:$Q$194,16,FALSE)</f>
        <v>39.74</v>
      </c>
    </row>
    <row r="98" spans="1:15" x14ac:dyDescent="0.15">
      <c r="A98" s="5" t="str">
        <f>强化辅助表!B132</f>
        <v>6030</v>
      </c>
      <c r="B98" s="12">
        <f>ROUND(强化辅助表!R132,0)</f>
        <v>4223</v>
      </c>
      <c r="C98" s="94">
        <f>ROUND(强化辅助表!S132,0)</f>
        <v>4223</v>
      </c>
      <c r="D98" s="92">
        <f t="shared" si="3"/>
        <v>84.46</v>
      </c>
      <c r="E98" s="12">
        <f>VLOOKUP($A98,装备强化表,强化辅助表!G$33,FALSE)</f>
        <v>0</v>
      </c>
      <c r="F98" s="12">
        <f>VLOOKUP($A98,装备强化表,强化辅助表!H$33,FALSE)</f>
        <v>76</v>
      </c>
      <c r="G98" s="12">
        <f>VLOOKUP($A98,装备强化表,强化辅助表!I$33,FALSE)</f>
        <v>0</v>
      </c>
      <c r="H98" s="12">
        <f>VLOOKUP($A98,装备强化表,强化辅助表!J$33,FALSE)</f>
        <v>0</v>
      </c>
      <c r="I98" s="12">
        <f>VLOOKUP($A98,装备强化表,强化辅助表!K$33,FALSE)</f>
        <v>0</v>
      </c>
      <c r="J98" s="12">
        <f>VLOOKUP($A98,装备强化表,强化辅助表!L$33,FALSE)</f>
        <v>47</v>
      </c>
      <c r="K98" s="12">
        <f>VLOOKUP($A98,装备强化表,强化辅助表!N$33,FALSE)</f>
        <v>0</v>
      </c>
      <c r="L98" s="12">
        <f>VLOOKUP($A98,装备强化表,强化辅助表!O$33,FALSE)</f>
        <v>0</v>
      </c>
      <c r="M98" s="12">
        <f>VLOOKUP($A98,装备强化表,强化辅助表!P$33,FALSE)</f>
        <v>0</v>
      </c>
      <c r="O98">
        <f>VLOOKUP(A98,强化辅助表!$B$36:$Q$194,16,FALSE)</f>
        <v>84.46</v>
      </c>
    </row>
    <row r="99" spans="1:15" x14ac:dyDescent="0.15">
      <c r="A99" s="5" t="str">
        <f>强化辅助表!B133</f>
        <v>6031</v>
      </c>
      <c r="B99" s="12">
        <f>ROUND(强化辅助表!R133,0)</f>
        <v>3698</v>
      </c>
      <c r="C99" s="94">
        <f>ROUND(强化辅助表!S133,0)</f>
        <v>3698</v>
      </c>
      <c r="D99" s="92">
        <f t="shared" si="3"/>
        <v>73.960000000000008</v>
      </c>
      <c r="E99" s="12">
        <f>VLOOKUP($A99,装备强化表,强化辅助表!G$33,FALSE)</f>
        <v>1199</v>
      </c>
      <c r="F99" s="12">
        <f>VLOOKUP($A99,装备强化表,强化辅助表!H$33,FALSE)</f>
        <v>0</v>
      </c>
      <c r="G99" s="12">
        <f>VLOOKUP($A99,装备强化表,强化辅助表!I$33,FALSE)</f>
        <v>26</v>
      </c>
      <c r="H99" s="12">
        <f>VLOOKUP($A99,装备强化表,强化辅助表!J$33,FALSE)</f>
        <v>0</v>
      </c>
      <c r="I99" s="12">
        <f>VLOOKUP($A99,装备强化表,强化辅助表!K$33,FALSE)</f>
        <v>0</v>
      </c>
      <c r="J99" s="12">
        <f>VLOOKUP($A99,装备强化表,强化辅助表!L$33,FALSE)</f>
        <v>0</v>
      </c>
      <c r="K99" s="12">
        <f>VLOOKUP($A99,装备强化表,强化辅助表!N$33,FALSE)</f>
        <v>0</v>
      </c>
      <c r="L99" s="12">
        <f>VLOOKUP($A99,装备强化表,强化辅助表!O$33,FALSE)</f>
        <v>0</v>
      </c>
      <c r="M99" s="12">
        <f>VLOOKUP($A99,装备强化表,强化辅助表!P$33,FALSE)</f>
        <v>0</v>
      </c>
      <c r="O99">
        <f>VLOOKUP(A99,强化辅助表!$B$36:$Q$194,16,FALSE)</f>
        <v>73.960000000000008</v>
      </c>
    </row>
    <row r="100" spans="1:15" x14ac:dyDescent="0.15">
      <c r="A100" s="5" t="str">
        <f>强化辅助表!B134</f>
        <v>6032</v>
      </c>
      <c r="B100" s="12">
        <f>ROUND(强化辅助表!R134,0)</f>
        <v>1359</v>
      </c>
      <c r="C100" s="94">
        <f>ROUND(强化辅助表!S134,0)</f>
        <v>1359</v>
      </c>
      <c r="D100" s="92">
        <f t="shared" si="3"/>
        <v>27.18</v>
      </c>
      <c r="E100" s="12">
        <f>VLOOKUP($A100,装备强化表,强化辅助表!G$33,FALSE)</f>
        <v>0</v>
      </c>
      <c r="F100" s="12">
        <f>VLOOKUP($A100,装备强化表,强化辅助表!H$33,FALSE)</f>
        <v>0</v>
      </c>
      <c r="G100" s="12">
        <f>VLOOKUP($A100,装备强化表,强化辅助表!I$33,FALSE)</f>
        <v>18</v>
      </c>
      <c r="H100" s="12">
        <f>VLOOKUP($A100,装备强化表,强化辅助表!J$33,FALSE)</f>
        <v>27</v>
      </c>
      <c r="I100" s="12">
        <f>VLOOKUP($A100,装备强化表,强化辅助表!K$33,FALSE)</f>
        <v>0</v>
      </c>
      <c r="J100" s="12">
        <f>VLOOKUP($A100,装备强化表,强化辅助表!L$33,FALSE)</f>
        <v>0</v>
      </c>
      <c r="K100" s="12">
        <f>VLOOKUP($A100,装备强化表,强化辅助表!N$33,FALSE)</f>
        <v>0</v>
      </c>
      <c r="L100" s="12">
        <f>VLOOKUP($A100,装备强化表,强化辅助表!O$33,FALSE)</f>
        <v>0</v>
      </c>
      <c r="M100" s="12">
        <f>VLOOKUP($A100,装备强化表,强化辅助表!P$33,FALSE)</f>
        <v>0</v>
      </c>
      <c r="O100">
        <f>VLOOKUP(A100,强化辅助表!$B$36:$Q$194,16,FALSE)</f>
        <v>27.18</v>
      </c>
    </row>
    <row r="101" spans="1:15" x14ac:dyDescent="0.15">
      <c r="A101" s="5" t="str">
        <f>强化辅助表!B135</f>
        <v>6035</v>
      </c>
      <c r="B101" s="12">
        <f>ROUND(强化辅助表!R135,0)</f>
        <v>1701</v>
      </c>
      <c r="C101" s="94">
        <f>ROUND(强化辅助表!S135,0)</f>
        <v>1701</v>
      </c>
      <c r="D101" s="92">
        <f t="shared" si="3"/>
        <v>34.019999999999996</v>
      </c>
      <c r="E101" s="12">
        <f>VLOOKUP($A101,装备强化表,强化辅助表!G$33,FALSE)</f>
        <v>400</v>
      </c>
      <c r="F101" s="12">
        <f>VLOOKUP($A101,装备强化表,强化辅助表!H$33,FALSE)</f>
        <v>0</v>
      </c>
      <c r="G101" s="12">
        <f>VLOOKUP($A101,装备强化表,强化辅助表!I$33,FALSE)</f>
        <v>0</v>
      </c>
      <c r="H101" s="12">
        <f>VLOOKUP($A101,装备强化表,强化辅助表!J$33,FALSE)</f>
        <v>53</v>
      </c>
      <c r="I101" s="12">
        <f>VLOOKUP($A101,装备强化表,强化辅助表!K$33,FALSE)</f>
        <v>0</v>
      </c>
      <c r="J101" s="12">
        <f>VLOOKUP($A101,装备强化表,强化辅助表!L$33,FALSE)</f>
        <v>0</v>
      </c>
      <c r="K101" s="12">
        <f>VLOOKUP($A101,装备强化表,强化辅助表!N$33,FALSE)</f>
        <v>0</v>
      </c>
      <c r="L101" s="12">
        <f>VLOOKUP($A101,装备强化表,强化辅助表!O$33,FALSE)</f>
        <v>0</v>
      </c>
      <c r="M101" s="12">
        <f>VLOOKUP($A101,装备强化表,强化辅助表!P$33,FALSE)</f>
        <v>0</v>
      </c>
      <c r="O101">
        <f>VLOOKUP(A101,强化辅助表!$B$36:$Q$194,16,FALSE)</f>
        <v>34.019999999999996</v>
      </c>
    </row>
    <row r="102" spans="1:15" x14ac:dyDescent="0.15">
      <c r="A102" s="5" t="str">
        <f>强化辅助表!B136</f>
        <v>6034</v>
      </c>
      <c r="B102" s="12">
        <f>ROUND(强化辅助表!R136,0)</f>
        <v>1223</v>
      </c>
      <c r="C102" s="94">
        <f>ROUND(强化辅助表!S136,0)</f>
        <v>1223</v>
      </c>
      <c r="D102" s="92">
        <f t="shared" si="3"/>
        <v>24.46</v>
      </c>
      <c r="E102" s="12">
        <f>VLOOKUP($A102,装备强化表,强化辅助表!G$33,FALSE)</f>
        <v>400</v>
      </c>
      <c r="F102" s="12">
        <f>VLOOKUP($A102,装备强化表,强化辅助表!H$33,FALSE)</f>
        <v>0</v>
      </c>
      <c r="G102" s="12">
        <f>VLOOKUP($A102,装备强化表,强化辅助表!I$33,FALSE)</f>
        <v>0</v>
      </c>
      <c r="H102" s="12">
        <f>VLOOKUP($A102,装备强化表,强化辅助表!J$33,FALSE)</f>
        <v>0</v>
      </c>
      <c r="I102" s="12">
        <f>VLOOKUP($A102,装备强化表,强化辅助表!K$33,FALSE)</f>
        <v>0</v>
      </c>
      <c r="J102" s="12">
        <f>VLOOKUP($A102,装备强化表,强化辅助表!L$33,FALSE)</f>
        <v>0</v>
      </c>
      <c r="K102" s="12">
        <f>VLOOKUP($A102,装备强化表,强化辅助表!N$33,FALSE)</f>
        <v>47</v>
      </c>
      <c r="L102" s="12">
        <f>VLOOKUP($A102,装备强化表,强化辅助表!O$33,FALSE)</f>
        <v>0</v>
      </c>
      <c r="M102" s="12">
        <f>VLOOKUP($A102,装备强化表,强化辅助表!P$33,FALSE)</f>
        <v>0</v>
      </c>
      <c r="O102">
        <f>VLOOKUP(A102,强化辅助表!$B$36:$Q$194,16,FALSE)</f>
        <v>24.46</v>
      </c>
    </row>
    <row r="103" spans="1:15" x14ac:dyDescent="0.15">
      <c r="A103" s="5" t="str">
        <f>强化辅助表!B137</f>
        <v>6033</v>
      </c>
      <c r="B103" s="12">
        <f>ROUND(强化辅助表!R137,0)</f>
        <v>2610</v>
      </c>
      <c r="C103" s="94">
        <f>ROUND(强化辅助表!S137,0)</f>
        <v>2610</v>
      </c>
      <c r="D103" s="92">
        <f t="shared" si="3"/>
        <v>52.2</v>
      </c>
      <c r="E103" s="12">
        <f>VLOOKUP($A103,装备强化表,强化辅助表!G$33,FALSE)</f>
        <v>0</v>
      </c>
      <c r="F103" s="12">
        <f>VLOOKUP($A103,装备强化表,强化辅助表!H$33,FALSE)</f>
        <v>25</v>
      </c>
      <c r="G103" s="12">
        <f>VLOOKUP($A103,装备强化表,强化辅助表!I$33,FALSE)</f>
        <v>0</v>
      </c>
      <c r="H103" s="12">
        <f>VLOOKUP($A103,装备强化表,强化辅助表!J$33,FALSE)</f>
        <v>0</v>
      </c>
      <c r="I103" s="12">
        <f>VLOOKUP($A103,装备强化表,强化辅助表!K$33,FALSE)</f>
        <v>80</v>
      </c>
      <c r="J103" s="12">
        <f>VLOOKUP($A103,装备强化表,强化辅助表!L$33,FALSE)</f>
        <v>0</v>
      </c>
      <c r="K103" s="12">
        <f>VLOOKUP($A103,装备强化表,强化辅助表!N$33,FALSE)</f>
        <v>0</v>
      </c>
      <c r="L103" s="12">
        <f>VLOOKUP($A103,装备强化表,强化辅助表!O$33,FALSE)</f>
        <v>0</v>
      </c>
      <c r="M103" s="12">
        <f>VLOOKUP($A103,装备强化表,强化辅助表!P$33,FALSE)</f>
        <v>0</v>
      </c>
      <c r="O103">
        <f>VLOOKUP(A103,强化辅助表!$B$36:$Q$194,16,FALSE)</f>
        <v>52.2</v>
      </c>
    </row>
    <row r="104" spans="1:15" x14ac:dyDescent="0.15">
      <c r="A104" s="5" t="str">
        <f>强化辅助表!B138</f>
        <v>6040</v>
      </c>
      <c r="B104" s="12">
        <f>ROUND(强化辅助表!R138,0)</f>
        <v>5004</v>
      </c>
      <c r="C104" s="94">
        <f>ROUND(强化辅助表!S138,0)</f>
        <v>5004</v>
      </c>
      <c r="D104" s="92">
        <f t="shared" si="3"/>
        <v>100.08</v>
      </c>
      <c r="E104" s="12">
        <f>VLOOKUP($A104,装备强化表,强化辅助表!G$33,FALSE)</f>
        <v>0</v>
      </c>
      <c r="F104" s="12">
        <f>VLOOKUP($A104,装备强化表,强化辅助表!H$33,FALSE)</f>
        <v>90</v>
      </c>
      <c r="G104" s="12">
        <f>VLOOKUP($A104,装备强化表,强化辅助表!I$33,FALSE)</f>
        <v>0</v>
      </c>
      <c r="H104" s="12">
        <f>VLOOKUP($A104,装备强化表,强化辅助表!J$33,FALSE)</f>
        <v>0</v>
      </c>
      <c r="I104" s="12">
        <f>VLOOKUP($A104,装备强化表,强化辅助表!K$33,FALSE)</f>
        <v>0</v>
      </c>
      <c r="J104" s="12">
        <f>VLOOKUP($A104,装备强化表,强化辅助表!L$33,FALSE)</f>
        <v>56</v>
      </c>
      <c r="K104" s="12">
        <f>VLOOKUP($A104,装备强化表,强化辅助表!N$33,FALSE)</f>
        <v>0</v>
      </c>
      <c r="L104" s="12">
        <f>VLOOKUP($A104,装备强化表,强化辅助表!O$33,FALSE)</f>
        <v>0</v>
      </c>
      <c r="M104" s="12">
        <f>VLOOKUP($A104,装备强化表,强化辅助表!P$33,FALSE)</f>
        <v>0</v>
      </c>
      <c r="O104">
        <f>VLOOKUP(A104,强化辅助表!$B$36:$Q$194,16,FALSE)</f>
        <v>100.08</v>
      </c>
    </row>
    <row r="105" spans="1:15" x14ac:dyDescent="0.15">
      <c r="A105" s="5" t="str">
        <f>强化辅助表!B139</f>
        <v>6041</v>
      </c>
      <c r="B105" s="12">
        <f>ROUND(强化辅助表!R139,0)</f>
        <v>4372</v>
      </c>
      <c r="C105" s="94">
        <f>ROUND(强化辅助表!S139,0)</f>
        <v>4372</v>
      </c>
      <c r="D105" s="92">
        <f t="shared" si="3"/>
        <v>87.44</v>
      </c>
      <c r="E105" s="12">
        <f>VLOOKUP($A105,装备强化表,强化辅助表!G$33,FALSE)</f>
        <v>1411</v>
      </c>
      <c r="F105" s="12">
        <f>VLOOKUP($A105,装备强化表,强化辅助表!H$33,FALSE)</f>
        <v>0</v>
      </c>
      <c r="G105" s="12">
        <f>VLOOKUP($A105,装备强化表,强化辅助表!I$33,FALSE)</f>
        <v>31</v>
      </c>
      <c r="H105" s="12">
        <f>VLOOKUP($A105,装备强化表,强化辅助表!J$33,FALSE)</f>
        <v>0</v>
      </c>
      <c r="I105" s="12">
        <f>VLOOKUP($A105,装备强化表,强化辅助表!K$33,FALSE)</f>
        <v>0</v>
      </c>
      <c r="J105" s="12">
        <f>VLOOKUP($A105,装备强化表,强化辅助表!L$33,FALSE)</f>
        <v>0</v>
      </c>
      <c r="K105" s="12">
        <f>VLOOKUP($A105,装备强化表,强化辅助表!N$33,FALSE)</f>
        <v>0</v>
      </c>
      <c r="L105" s="12">
        <f>VLOOKUP($A105,装备强化表,强化辅助表!O$33,FALSE)</f>
        <v>0</v>
      </c>
      <c r="M105" s="12">
        <f>VLOOKUP($A105,装备强化表,强化辅助表!P$33,FALSE)</f>
        <v>0</v>
      </c>
      <c r="O105">
        <f>VLOOKUP(A105,强化辅助表!$B$36:$Q$194,16,FALSE)</f>
        <v>87.44</v>
      </c>
    </row>
    <row r="106" spans="1:15" x14ac:dyDescent="0.15">
      <c r="A106" s="5" t="str">
        <f>强化辅助表!B140</f>
        <v>6042</v>
      </c>
      <c r="B106" s="12">
        <f>ROUND(强化辅助表!R140,0)</f>
        <v>1577</v>
      </c>
      <c r="C106" s="94">
        <f>ROUND(强化辅助表!S140,0)</f>
        <v>1577</v>
      </c>
      <c r="D106" s="92">
        <f t="shared" si="3"/>
        <v>31.54</v>
      </c>
      <c r="E106" s="12">
        <f>VLOOKUP($A106,装备强化表,强化辅助表!G$33,FALSE)</f>
        <v>0</v>
      </c>
      <c r="F106" s="12">
        <f>VLOOKUP($A106,装备强化表,强化辅助表!H$33,FALSE)</f>
        <v>0</v>
      </c>
      <c r="G106" s="12">
        <f>VLOOKUP($A106,装备强化表,强化辅助表!I$33,FALSE)</f>
        <v>21</v>
      </c>
      <c r="H106" s="12">
        <f>VLOOKUP($A106,装备强化表,强化辅助表!J$33,FALSE)</f>
        <v>31</v>
      </c>
      <c r="I106" s="12">
        <f>VLOOKUP($A106,装备强化表,强化辅助表!K$33,FALSE)</f>
        <v>0</v>
      </c>
      <c r="J106" s="12">
        <f>VLOOKUP($A106,装备强化表,强化辅助表!L$33,FALSE)</f>
        <v>0</v>
      </c>
      <c r="K106" s="12">
        <f>VLOOKUP($A106,装备强化表,强化辅助表!N$33,FALSE)</f>
        <v>0</v>
      </c>
      <c r="L106" s="12">
        <f>VLOOKUP($A106,装备强化表,强化辅助表!O$33,FALSE)</f>
        <v>0</v>
      </c>
      <c r="M106" s="12">
        <f>VLOOKUP($A106,装备强化表,强化辅助表!P$33,FALSE)</f>
        <v>0</v>
      </c>
      <c r="O106">
        <f>VLOOKUP(A106,强化辅助表!$B$36:$Q$194,16,FALSE)</f>
        <v>31.54</v>
      </c>
    </row>
    <row r="107" spans="1:15" x14ac:dyDescent="0.15">
      <c r="A107" s="5" t="str">
        <f>强化辅助表!B141</f>
        <v>6045</v>
      </c>
      <c r="B107" s="12">
        <f>ROUND(强化辅助表!R141,0)</f>
        <v>2011</v>
      </c>
      <c r="C107" s="94">
        <f>ROUND(强化辅助表!S141,0)</f>
        <v>2011</v>
      </c>
      <c r="D107" s="92">
        <f t="shared" si="3"/>
        <v>40.22</v>
      </c>
      <c r="E107" s="12">
        <f>VLOOKUP($A107,装备强化表,强化辅助表!G$33,FALSE)</f>
        <v>470</v>
      </c>
      <c r="F107" s="12">
        <f>VLOOKUP($A107,装备强化表,强化辅助表!H$33,FALSE)</f>
        <v>0</v>
      </c>
      <c r="G107" s="12">
        <f>VLOOKUP($A107,装备强化表,强化辅助表!I$33,FALSE)</f>
        <v>0</v>
      </c>
      <c r="H107" s="12">
        <f>VLOOKUP($A107,装备强化表,强化辅助表!J$33,FALSE)</f>
        <v>63</v>
      </c>
      <c r="I107" s="12">
        <f>VLOOKUP($A107,装备强化表,强化辅助表!K$33,FALSE)</f>
        <v>0</v>
      </c>
      <c r="J107" s="12">
        <f>VLOOKUP($A107,装备强化表,强化辅助表!L$33,FALSE)</f>
        <v>0</v>
      </c>
      <c r="K107" s="12">
        <f>VLOOKUP($A107,装备强化表,强化辅助表!N$33,FALSE)</f>
        <v>0</v>
      </c>
      <c r="L107" s="12">
        <f>VLOOKUP($A107,装备强化表,强化辅助表!O$33,FALSE)</f>
        <v>0</v>
      </c>
      <c r="M107" s="12">
        <f>VLOOKUP($A107,装备强化表,强化辅助表!P$33,FALSE)</f>
        <v>0</v>
      </c>
      <c r="O107">
        <f>VLOOKUP(A107,强化辅助表!$B$36:$Q$194,16,FALSE)</f>
        <v>40.22</v>
      </c>
    </row>
    <row r="108" spans="1:15" x14ac:dyDescent="0.15">
      <c r="A108" s="5" t="str">
        <f>强化辅助表!B142</f>
        <v>6044</v>
      </c>
      <c r="B108" s="12">
        <f>ROUND(强化辅助表!R142,0)</f>
        <v>1444</v>
      </c>
      <c r="C108" s="94">
        <f>ROUND(强化辅助表!S142,0)</f>
        <v>1444</v>
      </c>
      <c r="D108" s="92">
        <f t="shared" si="3"/>
        <v>28.880000000000003</v>
      </c>
      <c r="E108" s="12">
        <f>VLOOKUP($A108,装备强化表,强化辅助表!G$33,FALSE)</f>
        <v>470</v>
      </c>
      <c r="F108" s="12">
        <f>VLOOKUP($A108,装备强化表,强化辅助表!H$33,FALSE)</f>
        <v>0</v>
      </c>
      <c r="G108" s="12">
        <f>VLOOKUP($A108,装备强化表,强化辅助表!I$33,FALSE)</f>
        <v>0</v>
      </c>
      <c r="H108" s="12">
        <f>VLOOKUP($A108,装备强化表,强化辅助表!J$33,FALSE)</f>
        <v>0</v>
      </c>
      <c r="I108" s="12">
        <f>VLOOKUP($A108,装备强化表,强化辅助表!K$33,FALSE)</f>
        <v>0</v>
      </c>
      <c r="J108" s="12">
        <f>VLOOKUP($A108,装备强化表,强化辅助表!L$33,FALSE)</f>
        <v>0</v>
      </c>
      <c r="K108" s="12">
        <f>VLOOKUP($A108,装备强化表,强化辅助表!N$33,FALSE)</f>
        <v>56</v>
      </c>
      <c r="L108" s="12">
        <f>VLOOKUP($A108,装备强化表,强化辅助表!O$33,FALSE)</f>
        <v>0</v>
      </c>
      <c r="M108" s="12">
        <f>VLOOKUP($A108,装备强化表,强化辅助表!P$33,FALSE)</f>
        <v>0</v>
      </c>
      <c r="O108">
        <f>VLOOKUP(A108,强化辅助表!$B$36:$Q$194,16,FALSE)</f>
        <v>28.880000000000003</v>
      </c>
    </row>
    <row r="109" spans="1:15" x14ac:dyDescent="0.15">
      <c r="A109" s="5" t="str">
        <f>强化辅助表!B143</f>
        <v>6043</v>
      </c>
      <c r="B109" s="12">
        <f>ROUND(强化辅助表!R143,0)</f>
        <v>3098</v>
      </c>
      <c r="C109" s="94">
        <f>ROUND(强化辅助表!S143,0)</f>
        <v>3098</v>
      </c>
      <c r="D109" s="92">
        <f t="shared" si="3"/>
        <v>61.96</v>
      </c>
      <c r="E109" s="12">
        <f>VLOOKUP($A109,装备强化表,强化辅助表!G$33,FALSE)</f>
        <v>0</v>
      </c>
      <c r="F109" s="12">
        <f>VLOOKUP($A109,装备强化表,强化辅助表!H$33,FALSE)</f>
        <v>30</v>
      </c>
      <c r="G109" s="12">
        <f>VLOOKUP($A109,装备强化表,强化辅助表!I$33,FALSE)</f>
        <v>0</v>
      </c>
      <c r="H109" s="12">
        <f>VLOOKUP($A109,装备强化表,强化辅助表!J$33,FALSE)</f>
        <v>0</v>
      </c>
      <c r="I109" s="12">
        <f>VLOOKUP($A109,装备强化表,强化辅助表!K$33,FALSE)</f>
        <v>94</v>
      </c>
      <c r="J109" s="12">
        <f>VLOOKUP($A109,装备强化表,强化辅助表!L$33,FALSE)</f>
        <v>0</v>
      </c>
      <c r="K109" s="12">
        <f>VLOOKUP($A109,装备强化表,强化辅助表!N$33,FALSE)</f>
        <v>0</v>
      </c>
      <c r="L109" s="12">
        <f>VLOOKUP($A109,装备强化表,强化辅助表!O$33,FALSE)</f>
        <v>0</v>
      </c>
      <c r="M109" s="12">
        <f>VLOOKUP($A109,装备强化表,强化辅助表!P$33,FALSE)</f>
        <v>0</v>
      </c>
      <c r="O109">
        <f>VLOOKUP(A109,强化辅助表!$B$36:$Q$194,16,FALSE)</f>
        <v>61.96</v>
      </c>
    </row>
    <row r="110" spans="1:15" x14ac:dyDescent="0.15">
      <c r="A110" s="5" t="str">
        <f>强化辅助表!B144</f>
        <v>7010</v>
      </c>
      <c r="B110" s="12">
        <f>ROUND(强化辅助表!R144,0)</f>
        <v>2997</v>
      </c>
      <c r="C110" s="94">
        <f>ROUND(强化辅助表!S144,0)</f>
        <v>2997</v>
      </c>
      <c r="D110" s="92">
        <f t="shared" si="3"/>
        <v>59.94</v>
      </c>
      <c r="E110" s="12">
        <f>VLOOKUP($A110,装备强化表,强化辅助表!G$33,FALSE)</f>
        <v>0</v>
      </c>
      <c r="F110" s="12">
        <f>VLOOKUP($A110,装备强化表,强化辅助表!H$33,FALSE)</f>
        <v>54</v>
      </c>
      <c r="G110" s="12">
        <f>VLOOKUP($A110,装备强化表,强化辅助表!I$33,FALSE)</f>
        <v>0</v>
      </c>
      <c r="H110" s="12">
        <f>VLOOKUP($A110,装备强化表,强化辅助表!J$33,FALSE)</f>
        <v>0</v>
      </c>
      <c r="I110" s="12">
        <f>VLOOKUP($A110,装备强化表,强化辅助表!K$33,FALSE)</f>
        <v>0</v>
      </c>
      <c r="J110" s="12">
        <f>VLOOKUP($A110,装备强化表,强化辅助表!L$33,FALSE)</f>
        <v>33</v>
      </c>
      <c r="K110" s="12">
        <f>VLOOKUP($A110,装备强化表,强化辅助表!N$33,FALSE)</f>
        <v>0</v>
      </c>
      <c r="L110" s="12">
        <f>VLOOKUP($A110,装备强化表,强化辅助表!O$33,FALSE)</f>
        <v>0</v>
      </c>
      <c r="M110" s="12">
        <f>VLOOKUP($A110,装备强化表,强化辅助表!P$33,FALSE)</f>
        <v>0</v>
      </c>
      <c r="O110">
        <f>VLOOKUP(A110,强化辅助表!$B$36:$Q$194,16,FALSE)</f>
        <v>59.94</v>
      </c>
    </row>
    <row r="111" spans="1:15" x14ac:dyDescent="0.15">
      <c r="A111" s="5" t="str">
        <f>强化辅助表!B145</f>
        <v>7011</v>
      </c>
      <c r="B111" s="12">
        <f>ROUND(强化辅助表!R145,0)</f>
        <v>2644</v>
      </c>
      <c r="C111" s="94">
        <f>ROUND(强化辅助表!S145,0)</f>
        <v>2644</v>
      </c>
      <c r="D111" s="92">
        <f t="shared" si="3"/>
        <v>52.88</v>
      </c>
      <c r="E111" s="12">
        <f>VLOOKUP($A111,装备强化表,强化辅助表!G$33,FALSE)</f>
        <v>847</v>
      </c>
      <c r="F111" s="12">
        <f>VLOOKUP($A111,装备强化表,强化辅助表!H$33,FALSE)</f>
        <v>0</v>
      </c>
      <c r="G111" s="12">
        <f>VLOOKUP($A111,装备强化表,强化辅助表!I$33,FALSE)</f>
        <v>19</v>
      </c>
      <c r="H111" s="12">
        <f>VLOOKUP($A111,装备强化表,强化辅助表!J$33,FALSE)</f>
        <v>0</v>
      </c>
      <c r="I111" s="12">
        <f>VLOOKUP($A111,装备强化表,强化辅助表!K$33,FALSE)</f>
        <v>0</v>
      </c>
      <c r="J111" s="12">
        <f>VLOOKUP($A111,装备强化表,强化辅助表!L$33,FALSE)</f>
        <v>0</v>
      </c>
      <c r="K111" s="12">
        <f>VLOOKUP($A111,装备强化表,强化辅助表!N$33,FALSE)</f>
        <v>0</v>
      </c>
      <c r="L111" s="12">
        <f>VLOOKUP($A111,装备强化表,强化辅助表!O$33,FALSE)</f>
        <v>0</v>
      </c>
      <c r="M111" s="12">
        <f>VLOOKUP($A111,装备强化表,强化辅助表!P$33,FALSE)</f>
        <v>0</v>
      </c>
      <c r="O111">
        <f>VLOOKUP(A111,强化辅助表!$B$36:$Q$194,16,FALSE)</f>
        <v>52.88</v>
      </c>
    </row>
    <row r="112" spans="1:15" x14ac:dyDescent="0.15">
      <c r="A112" s="5" t="str">
        <f>强化辅助表!B146</f>
        <v>7012</v>
      </c>
      <c r="B112" s="12">
        <f>ROUND(强化辅助表!R146,0)</f>
        <v>923</v>
      </c>
      <c r="C112" s="94">
        <f>ROUND(强化辅助表!S146,0)</f>
        <v>923</v>
      </c>
      <c r="D112" s="92">
        <f t="shared" si="3"/>
        <v>18.46</v>
      </c>
      <c r="E112" s="12">
        <f>VLOOKUP($A112,装备强化表,强化辅助表!G$33,FALSE)</f>
        <v>0</v>
      </c>
      <c r="F112" s="12">
        <f>VLOOKUP($A112,装备强化表,强化辅助表!H$33,FALSE)</f>
        <v>0</v>
      </c>
      <c r="G112" s="12">
        <f>VLOOKUP($A112,装备强化表,强化辅助表!I$33,FALSE)</f>
        <v>12</v>
      </c>
      <c r="H112" s="12">
        <f>VLOOKUP($A112,装备强化表,强化辅助表!J$33,FALSE)</f>
        <v>19</v>
      </c>
      <c r="I112" s="12">
        <f>VLOOKUP($A112,装备强化表,强化辅助表!K$33,FALSE)</f>
        <v>0</v>
      </c>
      <c r="J112" s="12">
        <f>VLOOKUP($A112,装备强化表,强化辅助表!L$33,FALSE)</f>
        <v>0</v>
      </c>
      <c r="K112" s="12">
        <f>VLOOKUP($A112,装备强化表,强化辅助表!N$33,FALSE)</f>
        <v>0</v>
      </c>
      <c r="L112" s="12">
        <f>VLOOKUP($A112,装备强化表,强化辅助表!O$33,FALSE)</f>
        <v>0</v>
      </c>
      <c r="M112" s="12">
        <f>VLOOKUP($A112,装备强化表,强化辅助表!P$33,FALSE)</f>
        <v>0</v>
      </c>
      <c r="O112">
        <f>VLOOKUP(A112,强化辅助表!$B$36:$Q$194,16,FALSE)</f>
        <v>18.46</v>
      </c>
    </row>
    <row r="113" spans="1:15" x14ac:dyDescent="0.15">
      <c r="A113" s="5" t="str">
        <f>强化辅助表!B147</f>
        <v>7015</v>
      </c>
      <c r="B113" s="12">
        <f>ROUND(强化辅助表!R147,0)</f>
        <v>1210</v>
      </c>
      <c r="C113" s="94">
        <f>ROUND(强化辅助表!S147,0)</f>
        <v>1210</v>
      </c>
      <c r="D113" s="92">
        <f t="shared" si="3"/>
        <v>24.200000000000003</v>
      </c>
      <c r="E113" s="12">
        <f>VLOOKUP($A113,装备强化表,强化辅助表!G$33,FALSE)</f>
        <v>282</v>
      </c>
      <c r="F113" s="12">
        <f>VLOOKUP($A113,装备强化表,强化辅助表!H$33,FALSE)</f>
        <v>0</v>
      </c>
      <c r="G113" s="12">
        <f>VLOOKUP($A113,装备强化表,强化辅助表!I$33,FALSE)</f>
        <v>0</v>
      </c>
      <c r="H113" s="12">
        <f>VLOOKUP($A113,装备强化表,强化辅助表!J$33,FALSE)</f>
        <v>38</v>
      </c>
      <c r="I113" s="12">
        <f>VLOOKUP($A113,装备强化表,强化辅助表!K$33,FALSE)</f>
        <v>0</v>
      </c>
      <c r="J113" s="12">
        <f>VLOOKUP($A113,装备强化表,强化辅助表!L$33,FALSE)</f>
        <v>0</v>
      </c>
      <c r="K113" s="12">
        <f>VLOOKUP($A113,装备强化表,强化辅助表!N$33,FALSE)</f>
        <v>0</v>
      </c>
      <c r="L113" s="12">
        <f>VLOOKUP($A113,装备强化表,强化辅助表!O$33,FALSE)</f>
        <v>0</v>
      </c>
      <c r="M113" s="12">
        <f>VLOOKUP($A113,装备强化表,强化辅助表!P$33,FALSE)</f>
        <v>0</v>
      </c>
      <c r="O113">
        <f>VLOOKUP(A113,强化辅助表!$B$36:$Q$194,16,FALSE)</f>
        <v>24.200000000000003</v>
      </c>
    </row>
    <row r="114" spans="1:15" x14ac:dyDescent="0.15">
      <c r="A114" s="5" t="str">
        <f>强化辅助表!B148</f>
        <v>7014</v>
      </c>
      <c r="B114" s="12">
        <f>ROUND(强化辅助表!R148,0)</f>
        <v>861</v>
      </c>
      <c r="C114" s="94">
        <f>ROUND(强化辅助表!S148,0)</f>
        <v>861</v>
      </c>
      <c r="D114" s="92">
        <f t="shared" si="3"/>
        <v>17.22</v>
      </c>
      <c r="E114" s="12">
        <f>VLOOKUP($A114,装备强化表,强化辅助表!G$33,FALSE)</f>
        <v>282</v>
      </c>
      <c r="F114" s="12">
        <f>VLOOKUP($A114,装备强化表,强化辅助表!H$33,FALSE)</f>
        <v>0</v>
      </c>
      <c r="G114" s="12">
        <f>VLOOKUP($A114,装备强化表,强化辅助表!I$33,FALSE)</f>
        <v>0</v>
      </c>
      <c r="H114" s="12">
        <f>VLOOKUP($A114,装备强化表,强化辅助表!J$33,FALSE)</f>
        <v>0</v>
      </c>
      <c r="I114" s="12">
        <f>VLOOKUP($A114,装备强化表,强化辅助表!K$33,FALSE)</f>
        <v>0</v>
      </c>
      <c r="J114" s="12">
        <f>VLOOKUP($A114,装备强化表,强化辅助表!L$33,FALSE)</f>
        <v>0</v>
      </c>
      <c r="K114" s="12">
        <f>VLOOKUP($A114,装备强化表,强化辅助表!N$33,FALSE)</f>
        <v>33</v>
      </c>
      <c r="L114" s="12">
        <f>VLOOKUP($A114,装备强化表,强化辅助表!O$33,FALSE)</f>
        <v>0</v>
      </c>
      <c r="M114" s="12">
        <f>VLOOKUP($A114,装备强化表,强化辅助表!P$33,FALSE)</f>
        <v>0</v>
      </c>
      <c r="O114">
        <f>VLOOKUP(A114,强化辅助表!$B$36:$Q$194,16,FALSE)</f>
        <v>17.22</v>
      </c>
    </row>
    <row r="115" spans="1:15" x14ac:dyDescent="0.15">
      <c r="A115" s="5" t="str">
        <f>强化辅助表!B149</f>
        <v>7013</v>
      </c>
      <c r="B115" s="12">
        <f>ROUND(强化辅助表!R149,0)</f>
        <v>1852</v>
      </c>
      <c r="C115" s="94">
        <f>ROUND(强化辅助表!S149,0)</f>
        <v>1852</v>
      </c>
      <c r="D115" s="92">
        <f t="shared" si="3"/>
        <v>37.040000000000006</v>
      </c>
      <c r="E115" s="12">
        <f>VLOOKUP($A115,装备强化表,强化辅助表!G$33,FALSE)</f>
        <v>0</v>
      </c>
      <c r="F115" s="12">
        <f>VLOOKUP($A115,装备强化表,强化辅助表!H$33,FALSE)</f>
        <v>18</v>
      </c>
      <c r="G115" s="12">
        <f>VLOOKUP($A115,装备强化表,强化辅助表!I$33,FALSE)</f>
        <v>0</v>
      </c>
      <c r="H115" s="12">
        <f>VLOOKUP($A115,装备强化表,强化辅助表!J$33,FALSE)</f>
        <v>0</v>
      </c>
      <c r="I115" s="12">
        <f>VLOOKUP($A115,装备强化表,强化辅助表!K$33,FALSE)</f>
        <v>56</v>
      </c>
      <c r="J115" s="12">
        <f>VLOOKUP($A115,装备强化表,强化辅助表!L$33,FALSE)</f>
        <v>0</v>
      </c>
      <c r="K115" s="12">
        <f>VLOOKUP($A115,装备强化表,强化辅助表!N$33,FALSE)</f>
        <v>0</v>
      </c>
      <c r="L115" s="12">
        <f>VLOOKUP($A115,装备强化表,强化辅助表!O$33,FALSE)</f>
        <v>0</v>
      </c>
      <c r="M115" s="12">
        <f>VLOOKUP($A115,装备强化表,强化辅助表!P$33,FALSE)</f>
        <v>0</v>
      </c>
      <c r="O115">
        <f>VLOOKUP(A115,强化辅助表!$B$36:$Q$194,16,FALSE)</f>
        <v>37.040000000000006</v>
      </c>
    </row>
    <row r="116" spans="1:15" x14ac:dyDescent="0.15">
      <c r="A116" s="5" t="str">
        <f>强化辅助表!B150</f>
        <v>7020</v>
      </c>
      <c r="B116" s="12">
        <f>ROUND(强化辅助表!R150,0)</f>
        <v>4332</v>
      </c>
      <c r="C116" s="94">
        <f>ROUND(强化辅助表!S150,0)</f>
        <v>4332</v>
      </c>
      <c r="D116" s="92">
        <f t="shared" si="3"/>
        <v>86.64</v>
      </c>
      <c r="E116" s="12">
        <f>VLOOKUP($A116,装备强化表,强化辅助表!G$33,FALSE)</f>
        <v>0</v>
      </c>
      <c r="F116" s="12">
        <f>VLOOKUP($A116,装备强化表,强化辅助表!H$33,FALSE)</f>
        <v>78</v>
      </c>
      <c r="G116" s="12">
        <f>VLOOKUP($A116,装备强化表,强化辅助表!I$33,FALSE)</f>
        <v>0</v>
      </c>
      <c r="H116" s="12">
        <f>VLOOKUP($A116,装备强化表,强化辅助表!J$33,FALSE)</f>
        <v>0</v>
      </c>
      <c r="I116" s="12">
        <f>VLOOKUP($A116,装备强化表,强化辅助表!K$33,FALSE)</f>
        <v>0</v>
      </c>
      <c r="J116" s="12">
        <f>VLOOKUP($A116,装备强化表,强化辅助表!L$33,FALSE)</f>
        <v>48</v>
      </c>
      <c r="K116" s="12">
        <f>VLOOKUP($A116,装备强化表,强化辅助表!N$33,FALSE)</f>
        <v>0</v>
      </c>
      <c r="L116" s="12">
        <f>VLOOKUP($A116,装备强化表,强化辅助表!O$33,FALSE)</f>
        <v>0</v>
      </c>
      <c r="M116" s="12">
        <f>VLOOKUP($A116,装备强化表,强化辅助表!P$33,FALSE)</f>
        <v>0</v>
      </c>
      <c r="O116">
        <f>VLOOKUP(A116,强化辅助表!$B$36:$Q$194,16,FALSE)</f>
        <v>86.64</v>
      </c>
    </row>
    <row r="117" spans="1:15" x14ac:dyDescent="0.15">
      <c r="A117" s="5" t="str">
        <f>强化辅助表!B151</f>
        <v>7021</v>
      </c>
      <c r="B117" s="12">
        <f>ROUND(强化辅助表!R151,0)</f>
        <v>3796</v>
      </c>
      <c r="C117" s="94">
        <f>ROUND(强化辅助表!S151,0)</f>
        <v>3796</v>
      </c>
      <c r="D117" s="92">
        <f t="shared" si="3"/>
        <v>75.92</v>
      </c>
      <c r="E117" s="12">
        <f>VLOOKUP($A117,装备强化表,强化辅助表!G$33,FALSE)</f>
        <v>1223</v>
      </c>
      <c r="F117" s="12">
        <f>VLOOKUP($A117,装备强化表,强化辅助表!H$33,FALSE)</f>
        <v>0</v>
      </c>
      <c r="G117" s="12">
        <f>VLOOKUP($A117,装备强化表,强化辅助表!I$33,FALSE)</f>
        <v>27</v>
      </c>
      <c r="H117" s="12">
        <f>VLOOKUP($A117,装备强化表,强化辅助表!J$33,FALSE)</f>
        <v>0</v>
      </c>
      <c r="I117" s="12">
        <f>VLOOKUP($A117,装备强化表,强化辅助表!K$33,FALSE)</f>
        <v>0</v>
      </c>
      <c r="J117" s="12">
        <f>VLOOKUP($A117,装备强化表,强化辅助表!L$33,FALSE)</f>
        <v>0</v>
      </c>
      <c r="K117" s="12">
        <f>VLOOKUP($A117,装备强化表,强化辅助表!N$33,FALSE)</f>
        <v>0</v>
      </c>
      <c r="L117" s="12">
        <f>VLOOKUP($A117,装备强化表,强化辅助表!O$33,FALSE)</f>
        <v>0</v>
      </c>
      <c r="M117" s="12">
        <f>VLOOKUP($A117,装备强化表,强化辅助表!P$33,FALSE)</f>
        <v>0</v>
      </c>
      <c r="O117">
        <f>VLOOKUP(A117,强化辅助表!$B$36:$Q$194,16,FALSE)</f>
        <v>75.92</v>
      </c>
    </row>
    <row r="118" spans="1:15" x14ac:dyDescent="0.15">
      <c r="A118" s="5" t="str">
        <f>强化辅助表!B152</f>
        <v>7022</v>
      </c>
      <c r="B118" s="12">
        <f>ROUND(强化辅助表!R152,0)</f>
        <v>1359</v>
      </c>
      <c r="C118" s="94">
        <f>ROUND(强化辅助表!S152,0)</f>
        <v>1359</v>
      </c>
      <c r="D118" s="92">
        <f t="shared" si="3"/>
        <v>27.18</v>
      </c>
      <c r="E118" s="12">
        <f>VLOOKUP($A118,装备强化表,强化辅助表!G$33,FALSE)</f>
        <v>0</v>
      </c>
      <c r="F118" s="12">
        <f>VLOOKUP($A118,装备强化表,强化辅助表!H$33,FALSE)</f>
        <v>0</v>
      </c>
      <c r="G118" s="12">
        <f>VLOOKUP($A118,装备强化表,强化辅助表!I$33,FALSE)</f>
        <v>18</v>
      </c>
      <c r="H118" s="12">
        <f>VLOOKUP($A118,装备强化表,强化辅助表!J$33,FALSE)</f>
        <v>27</v>
      </c>
      <c r="I118" s="12">
        <f>VLOOKUP($A118,装备强化表,强化辅助表!K$33,FALSE)</f>
        <v>0</v>
      </c>
      <c r="J118" s="12">
        <f>VLOOKUP($A118,装备强化表,强化辅助表!L$33,FALSE)</f>
        <v>0</v>
      </c>
      <c r="K118" s="12">
        <f>VLOOKUP($A118,装备强化表,强化辅助表!N$33,FALSE)</f>
        <v>0</v>
      </c>
      <c r="L118" s="12">
        <f>VLOOKUP($A118,装备强化表,强化辅助表!O$33,FALSE)</f>
        <v>0</v>
      </c>
      <c r="M118" s="12">
        <f>VLOOKUP($A118,装备强化表,强化辅助表!P$33,FALSE)</f>
        <v>0</v>
      </c>
      <c r="O118">
        <f>VLOOKUP(A118,强化辅助表!$B$36:$Q$194,16,FALSE)</f>
        <v>27.18</v>
      </c>
    </row>
    <row r="119" spans="1:15" x14ac:dyDescent="0.15">
      <c r="A119" s="5" t="str">
        <f>强化辅助表!B153</f>
        <v>7025</v>
      </c>
      <c r="B119" s="12">
        <f>ROUND(强化辅助表!R153,0)</f>
        <v>1734</v>
      </c>
      <c r="C119" s="94">
        <f>ROUND(强化辅助表!S153,0)</f>
        <v>1734</v>
      </c>
      <c r="D119" s="92">
        <f t="shared" si="3"/>
        <v>34.680000000000007</v>
      </c>
      <c r="E119" s="12">
        <f>VLOOKUP($A119,装备强化表,强化辅助表!G$33,FALSE)</f>
        <v>408</v>
      </c>
      <c r="F119" s="12">
        <f>VLOOKUP($A119,装备强化表,强化辅助表!H$33,FALSE)</f>
        <v>0</v>
      </c>
      <c r="G119" s="12">
        <f>VLOOKUP($A119,装备强化表,强化辅助表!I$33,FALSE)</f>
        <v>0</v>
      </c>
      <c r="H119" s="12">
        <f>VLOOKUP($A119,装备强化表,强化辅助表!J$33,FALSE)</f>
        <v>54</v>
      </c>
      <c r="I119" s="12">
        <f>VLOOKUP($A119,装备强化表,强化辅助表!K$33,FALSE)</f>
        <v>0</v>
      </c>
      <c r="J119" s="12">
        <f>VLOOKUP($A119,装备强化表,强化辅助表!L$33,FALSE)</f>
        <v>0</v>
      </c>
      <c r="K119" s="12">
        <f>VLOOKUP($A119,装备强化表,强化辅助表!N$33,FALSE)</f>
        <v>0</v>
      </c>
      <c r="L119" s="12">
        <f>VLOOKUP($A119,装备强化表,强化辅助表!O$33,FALSE)</f>
        <v>0</v>
      </c>
      <c r="M119" s="12">
        <f>VLOOKUP($A119,装备强化表,强化辅助表!P$33,FALSE)</f>
        <v>0</v>
      </c>
      <c r="O119">
        <f>VLOOKUP(A119,强化辅助表!$B$36:$Q$194,16,FALSE)</f>
        <v>34.680000000000007</v>
      </c>
    </row>
    <row r="120" spans="1:15" x14ac:dyDescent="0.15">
      <c r="A120" s="5" t="str">
        <f>强化辅助表!B154</f>
        <v>7024</v>
      </c>
      <c r="B120" s="12">
        <f>ROUND(强化辅助表!R154,0)</f>
        <v>1248</v>
      </c>
      <c r="C120" s="94">
        <f>ROUND(强化辅助表!S154,0)</f>
        <v>1248</v>
      </c>
      <c r="D120" s="92">
        <f t="shared" si="3"/>
        <v>24.96</v>
      </c>
      <c r="E120" s="12">
        <f>VLOOKUP($A120,装备强化表,强化辅助表!G$33,FALSE)</f>
        <v>408</v>
      </c>
      <c r="F120" s="12">
        <f>VLOOKUP($A120,装备强化表,强化辅助表!H$33,FALSE)</f>
        <v>0</v>
      </c>
      <c r="G120" s="12">
        <f>VLOOKUP($A120,装备强化表,强化辅助表!I$33,FALSE)</f>
        <v>0</v>
      </c>
      <c r="H120" s="12">
        <f>VLOOKUP($A120,装备强化表,强化辅助表!J$33,FALSE)</f>
        <v>0</v>
      </c>
      <c r="I120" s="12">
        <f>VLOOKUP($A120,装备强化表,强化辅助表!K$33,FALSE)</f>
        <v>0</v>
      </c>
      <c r="J120" s="12">
        <f>VLOOKUP($A120,装备强化表,强化辅助表!L$33,FALSE)</f>
        <v>0</v>
      </c>
      <c r="K120" s="12">
        <f>VLOOKUP($A120,装备强化表,强化辅助表!N$33,FALSE)</f>
        <v>48</v>
      </c>
      <c r="L120" s="12">
        <f>VLOOKUP($A120,装备强化表,强化辅助表!O$33,FALSE)</f>
        <v>0</v>
      </c>
      <c r="M120" s="12">
        <f>VLOOKUP($A120,装备强化表,强化辅助表!P$33,FALSE)</f>
        <v>0</v>
      </c>
      <c r="O120">
        <f>VLOOKUP(A120,强化辅助表!$B$36:$Q$194,16,FALSE)</f>
        <v>24.96</v>
      </c>
    </row>
    <row r="121" spans="1:15" x14ac:dyDescent="0.15">
      <c r="A121" s="5" t="str">
        <f>强化辅助表!B155</f>
        <v>7023</v>
      </c>
      <c r="B121" s="12">
        <f>ROUND(强化辅助表!R155,0)</f>
        <v>2677</v>
      </c>
      <c r="C121" s="94">
        <f>ROUND(强化辅助表!S155,0)</f>
        <v>2677</v>
      </c>
      <c r="D121" s="92">
        <f t="shared" si="3"/>
        <v>53.540000000000006</v>
      </c>
      <c r="E121" s="12">
        <f>VLOOKUP($A121,装备强化表,强化辅助表!G$33,FALSE)</f>
        <v>0</v>
      </c>
      <c r="F121" s="12">
        <f>VLOOKUP($A121,装备强化表,强化辅助表!H$33,FALSE)</f>
        <v>26</v>
      </c>
      <c r="G121" s="12">
        <f>VLOOKUP($A121,装备强化表,强化辅助表!I$33,FALSE)</f>
        <v>0</v>
      </c>
      <c r="H121" s="12">
        <f>VLOOKUP($A121,装备强化表,强化辅助表!J$33,FALSE)</f>
        <v>0</v>
      </c>
      <c r="I121" s="12">
        <f>VLOOKUP($A121,装备强化表,强化辅助表!K$33,FALSE)</f>
        <v>81</v>
      </c>
      <c r="J121" s="12">
        <f>VLOOKUP($A121,装备强化表,强化辅助表!L$33,FALSE)</f>
        <v>0</v>
      </c>
      <c r="K121" s="12">
        <f>VLOOKUP($A121,装备强化表,强化辅助表!N$33,FALSE)</f>
        <v>0</v>
      </c>
      <c r="L121" s="12">
        <f>VLOOKUP($A121,装备强化表,强化辅助表!O$33,FALSE)</f>
        <v>0</v>
      </c>
      <c r="M121" s="12">
        <f>VLOOKUP($A121,装备强化表,强化辅助表!P$33,FALSE)</f>
        <v>0</v>
      </c>
      <c r="O121">
        <f>VLOOKUP(A121,强化辅助表!$B$36:$Q$194,16,FALSE)</f>
        <v>53.540000000000006</v>
      </c>
    </row>
    <row r="122" spans="1:15" x14ac:dyDescent="0.15">
      <c r="A122" s="5" t="str">
        <f>强化辅助表!B156</f>
        <v>7030</v>
      </c>
      <c r="B122" s="12">
        <f>ROUND(强化辅助表!R156,0)</f>
        <v>5667</v>
      </c>
      <c r="C122" s="94">
        <f>ROUND(强化辅助表!S156,0)</f>
        <v>5667</v>
      </c>
      <c r="D122" s="92">
        <f t="shared" si="3"/>
        <v>113.34</v>
      </c>
      <c r="E122" s="12">
        <f>VLOOKUP($A122,装备强化表,强化辅助表!G$33,FALSE)</f>
        <v>0</v>
      </c>
      <c r="F122" s="12">
        <f>VLOOKUP($A122,装备强化表,强化辅助表!H$33,FALSE)</f>
        <v>102</v>
      </c>
      <c r="G122" s="12">
        <f>VLOOKUP($A122,装备强化表,强化辅助表!I$33,FALSE)</f>
        <v>0</v>
      </c>
      <c r="H122" s="12">
        <f>VLOOKUP($A122,装备强化表,强化辅助表!J$33,FALSE)</f>
        <v>0</v>
      </c>
      <c r="I122" s="12">
        <f>VLOOKUP($A122,装备强化表,强化辅助表!K$33,FALSE)</f>
        <v>0</v>
      </c>
      <c r="J122" s="12">
        <f>VLOOKUP($A122,装备强化表,强化辅助表!L$33,FALSE)</f>
        <v>63</v>
      </c>
      <c r="K122" s="12">
        <f>VLOOKUP($A122,装备强化表,强化辅助表!N$33,FALSE)</f>
        <v>0</v>
      </c>
      <c r="L122" s="12">
        <f>VLOOKUP($A122,装备强化表,强化辅助表!O$33,FALSE)</f>
        <v>0</v>
      </c>
      <c r="M122" s="12">
        <f>VLOOKUP($A122,装备强化表,强化辅助表!P$33,FALSE)</f>
        <v>0</v>
      </c>
      <c r="O122">
        <f>VLOOKUP(A122,强化辅助表!$B$36:$Q$194,16,FALSE)</f>
        <v>113.34</v>
      </c>
    </row>
    <row r="123" spans="1:15" x14ac:dyDescent="0.15">
      <c r="A123" s="5" t="str">
        <f>强化辅助表!B157</f>
        <v>7031</v>
      </c>
      <c r="B123" s="12">
        <f>ROUND(强化辅助表!R157,0)</f>
        <v>4948</v>
      </c>
      <c r="C123" s="94">
        <f>ROUND(强化辅助表!S157,0)</f>
        <v>4948</v>
      </c>
      <c r="D123" s="92">
        <f t="shared" si="3"/>
        <v>98.960000000000008</v>
      </c>
      <c r="E123" s="12">
        <f>VLOOKUP($A123,装备强化表,强化辅助表!G$33,FALSE)</f>
        <v>1599</v>
      </c>
      <c r="F123" s="12">
        <f>VLOOKUP($A123,装备强化表,强化辅助表!H$33,FALSE)</f>
        <v>0</v>
      </c>
      <c r="G123" s="12">
        <f>VLOOKUP($A123,装备强化表,强化辅助表!I$33,FALSE)</f>
        <v>35</v>
      </c>
      <c r="H123" s="12">
        <f>VLOOKUP($A123,装备强化表,强化辅助表!J$33,FALSE)</f>
        <v>0</v>
      </c>
      <c r="I123" s="12">
        <f>VLOOKUP($A123,装备强化表,强化辅助表!K$33,FALSE)</f>
        <v>0</v>
      </c>
      <c r="J123" s="12">
        <f>VLOOKUP($A123,装备强化表,强化辅助表!L$33,FALSE)</f>
        <v>0</v>
      </c>
      <c r="K123" s="12">
        <f>VLOOKUP($A123,装备强化表,强化辅助表!N$33,FALSE)</f>
        <v>0</v>
      </c>
      <c r="L123" s="12">
        <f>VLOOKUP($A123,装备强化表,强化辅助表!O$33,FALSE)</f>
        <v>0</v>
      </c>
      <c r="M123" s="12">
        <f>VLOOKUP($A123,装备强化表,强化辅助表!P$33,FALSE)</f>
        <v>0</v>
      </c>
      <c r="O123">
        <f>VLOOKUP(A123,强化辅助表!$B$36:$Q$194,16,FALSE)</f>
        <v>98.960000000000008</v>
      </c>
    </row>
    <row r="124" spans="1:15" x14ac:dyDescent="0.15">
      <c r="A124" s="5" t="str">
        <f>强化辅助表!B158</f>
        <v>7032</v>
      </c>
      <c r="B124" s="12">
        <f>ROUND(强化辅助表!R158,0)</f>
        <v>1745</v>
      </c>
      <c r="C124" s="94">
        <f>ROUND(强化辅助表!S158,0)</f>
        <v>1745</v>
      </c>
      <c r="D124" s="92">
        <f t="shared" si="3"/>
        <v>34.9</v>
      </c>
      <c r="E124" s="12">
        <f>VLOOKUP($A124,装备强化表,强化辅助表!G$33,FALSE)</f>
        <v>0</v>
      </c>
      <c r="F124" s="12">
        <f>VLOOKUP($A124,装备强化表,强化辅助表!H$33,FALSE)</f>
        <v>0</v>
      </c>
      <c r="G124" s="12">
        <f>VLOOKUP($A124,装备强化表,强化辅助表!I$33,FALSE)</f>
        <v>23</v>
      </c>
      <c r="H124" s="12">
        <f>VLOOKUP($A124,装备强化表,强化辅助表!J$33,FALSE)</f>
        <v>35</v>
      </c>
      <c r="I124" s="12">
        <f>VLOOKUP($A124,装备强化表,强化辅助表!K$33,FALSE)</f>
        <v>0</v>
      </c>
      <c r="J124" s="12">
        <f>VLOOKUP($A124,装备强化表,强化辅助表!L$33,FALSE)</f>
        <v>0</v>
      </c>
      <c r="K124" s="12">
        <f>VLOOKUP($A124,装备强化表,强化辅助表!N$33,FALSE)</f>
        <v>0</v>
      </c>
      <c r="L124" s="12">
        <f>VLOOKUP($A124,装备强化表,强化辅助表!O$33,FALSE)</f>
        <v>0</v>
      </c>
      <c r="M124" s="12">
        <f>VLOOKUP($A124,装备强化表,强化辅助表!P$33,FALSE)</f>
        <v>0</v>
      </c>
      <c r="O124">
        <f>VLOOKUP(A124,强化辅助表!$B$36:$Q$194,16,FALSE)</f>
        <v>34.9</v>
      </c>
    </row>
    <row r="125" spans="1:15" x14ac:dyDescent="0.15">
      <c r="A125" s="5" t="str">
        <f>强化辅助表!B159</f>
        <v>7035</v>
      </c>
      <c r="B125" s="12">
        <f>ROUND(强化辅助表!R159,0)</f>
        <v>2273</v>
      </c>
      <c r="C125" s="94">
        <f>ROUND(强化辅助表!S159,0)</f>
        <v>2273</v>
      </c>
      <c r="D125" s="92">
        <f t="shared" si="3"/>
        <v>45.46</v>
      </c>
      <c r="E125" s="12">
        <f>VLOOKUP($A125,装备强化表,强化辅助表!G$33,FALSE)</f>
        <v>533</v>
      </c>
      <c r="F125" s="12">
        <f>VLOOKUP($A125,装备强化表,强化辅助表!H$33,FALSE)</f>
        <v>0</v>
      </c>
      <c r="G125" s="12">
        <f>VLOOKUP($A125,装备强化表,强化辅助表!I$33,FALSE)</f>
        <v>0</v>
      </c>
      <c r="H125" s="12">
        <f>VLOOKUP($A125,装备强化表,强化辅助表!J$33,FALSE)</f>
        <v>71</v>
      </c>
      <c r="I125" s="12">
        <f>VLOOKUP($A125,装备强化表,强化辅助表!K$33,FALSE)</f>
        <v>0</v>
      </c>
      <c r="J125" s="12">
        <f>VLOOKUP($A125,装备强化表,强化辅助表!L$33,FALSE)</f>
        <v>0</v>
      </c>
      <c r="K125" s="12">
        <f>VLOOKUP($A125,装备强化表,强化辅助表!N$33,FALSE)</f>
        <v>0</v>
      </c>
      <c r="L125" s="12">
        <f>VLOOKUP($A125,装备强化表,强化辅助表!O$33,FALSE)</f>
        <v>0</v>
      </c>
      <c r="M125" s="12">
        <f>VLOOKUP($A125,装备强化表,强化辅助表!P$33,FALSE)</f>
        <v>0</v>
      </c>
      <c r="O125">
        <f>VLOOKUP(A125,强化辅助表!$B$36:$Q$194,16,FALSE)</f>
        <v>45.46</v>
      </c>
    </row>
    <row r="126" spans="1:15" x14ac:dyDescent="0.15">
      <c r="A126" s="5" t="str">
        <f>强化辅助表!B160</f>
        <v>7034</v>
      </c>
      <c r="B126" s="12">
        <f>ROUND(强化辅助表!R160,0)</f>
        <v>1633</v>
      </c>
      <c r="C126" s="94">
        <f>ROUND(强化辅助表!S160,0)</f>
        <v>1633</v>
      </c>
      <c r="D126" s="92">
        <f t="shared" si="3"/>
        <v>32.659999999999997</v>
      </c>
      <c r="E126" s="12">
        <f>VLOOKUP($A126,装备强化表,强化辅助表!G$33,FALSE)</f>
        <v>533</v>
      </c>
      <c r="F126" s="12">
        <f>VLOOKUP($A126,装备强化表,强化辅助表!H$33,FALSE)</f>
        <v>0</v>
      </c>
      <c r="G126" s="12">
        <f>VLOOKUP($A126,装备强化表,强化辅助表!I$33,FALSE)</f>
        <v>0</v>
      </c>
      <c r="H126" s="12">
        <f>VLOOKUP($A126,装备强化表,强化辅助表!J$33,FALSE)</f>
        <v>0</v>
      </c>
      <c r="I126" s="12">
        <f>VLOOKUP($A126,装备强化表,强化辅助表!K$33,FALSE)</f>
        <v>0</v>
      </c>
      <c r="J126" s="12">
        <f>VLOOKUP($A126,装备强化表,强化辅助表!L$33,FALSE)</f>
        <v>0</v>
      </c>
      <c r="K126" s="12">
        <f>VLOOKUP($A126,装备强化表,强化辅助表!N$33,FALSE)</f>
        <v>63</v>
      </c>
      <c r="L126" s="12">
        <f>VLOOKUP($A126,装备强化表,强化辅助表!O$33,FALSE)</f>
        <v>0</v>
      </c>
      <c r="M126" s="12">
        <f>VLOOKUP($A126,装备强化表,强化辅助表!P$33,FALSE)</f>
        <v>0</v>
      </c>
      <c r="O126">
        <f>VLOOKUP(A126,强化辅助表!$B$36:$Q$194,16,FALSE)</f>
        <v>32.659999999999997</v>
      </c>
    </row>
    <row r="127" spans="1:15" x14ac:dyDescent="0.15">
      <c r="A127" s="5" t="str">
        <f>强化辅助表!B161</f>
        <v>7033</v>
      </c>
      <c r="B127" s="12">
        <f>ROUND(强化辅助表!R161,0)</f>
        <v>3502</v>
      </c>
      <c r="C127" s="94">
        <f>ROUND(强化辅助表!S161,0)</f>
        <v>3502</v>
      </c>
      <c r="D127" s="92">
        <f t="shared" si="3"/>
        <v>70.039999999999992</v>
      </c>
      <c r="E127" s="12">
        <f>VLOOKUP($A127,装备强化表,强化辅助表!G$33,FALSE)</f>
        <v>0</v>
      </c>
      <c r="F127" s="12">
        <f>VLOOKUP($A127,装备强化表,强化辅助表!H$33,FALSE)</f>
        <v>34</v>
      </c>
      <c r="G127" s="12">
        <f>VLOOKUP($A127,装备强化表,强化辅助表!I$33,FALSE)</f>
        <v>0</v>
      </c>
      <c r="H127" s="12">
        <f>VLOOKUP($A127,装备强化表,强化辅助表!J$33,FALSE)</f>
        <v>0</v>
      </c>
      <c r="I127" s="12">
        <f>VLOOKUP($A127,装备强化表,强化辅助表!K$33,FALSE)</f>
        <v>106</v>
      </c>
      <c r="J127" s="12">
        <f>VLOOKUP($A127,装备强化表,强化辅助表!L$33,FALSE)</f>
        <v>0</v>
      </c>
      <c r="K127" s="12">
        <f>VLOOKUP($A127,装备强化表,强化辅助表!N$33,FALSE)</f>
        <v>0</v>
      </c>
      <c r="L127" s="12">
        <f>VLOOKUP($A127,装备强化表,强化辅助表!O$33,FALSE)</f>
        <v>0</v>
      </c>
      <c r="M127" s="12">
        <f>VLOOKUP($A127,装备强化表,强化辅助表!P$33,FALSE)</f>
        <v>0</v>
      </c>
      <c r="O127">
        <f>VLOOKUP(A127,强化辅助表!$B$36:$Q$194,16,FALSE)</f>
        <v>70.039999999999992</v>
      </c>
    </row>
    <row r="128" spans="1:15" x14ac:dyDescent="0.15">
      <c r="A128" s="5" t="str">
        <f>强化辅助表!B162</f>
        <v>7040</v>
      </c>
      <c r="B128" s="12">
        <f>ROUND(强化辅助表!R162,0)</f>
        <v>6616</v>
      </c>
      <c r="C128" s="94">
        <f>ROUND(强化辅助表!S162,0)</f>
        <v>6616</v>
      </c>
      <c r="D128" s="92">
        <f t="shared" si="3"/>
        <v>132.32</v>
      </c>
      <c r="E128" s="12">
        <f>VLOOKUP($A128,装备强化表,强化辅助表!G$33,FALSE)</f>
        <v>0</v>
      </c>
      <c r="F128" s="12">
        <f>VLOOKUP($A128,装备强化表,强化辅助表!H$33,FALSE)</f>
        <v>119</v>
      </c>
      <c r="G128" s="12">
        <f>VLOOKUP($A128,装备强化表,强化辅助表!I$33,FALSE)</f>
        <v>0</v>
      </c>
      <c r="H128" s="12">
        <f>VLOOKUP($A128,装备强化表,强化辅助表!J$33,FALSE)</f>
        <v>0</v>
      </c>
      <c r="I128" s="12">
        <f>VLOOKUP($A128,装备强化表,强化辅助表!K$33,FALSE)</f>
        <v>0</v>
      </c>
      <c r="J128" s="12">
        <f>VLOOKUP($A128,装备强化表,强化辅助表!L$33,FALSE)</f>
        <v>74</v>
      </c>
      <c r="K128" s="12">
        <f>VLOOKUP($A128,装备强化表,强化辅助表!N$33,FALSE)</f>
        <v>0</v>
      </c>
      <c r="L128" s="12">
        <f>VLOOKUP($A128,装备强化表,强化辅助表!O$33,FALSE)</f>
        <v>0</v>
      </c>
      <c r="M128" s="12">
        <f>VLOOKUP($A128,装备强化表,强化辅助表!P$33,FALSE)</f>
        <v>0</v>
      </c>
      <c r="O128">
        <f>VLOOKUP(A128,强化辅助表!$B$36:$Q$194,16,FALSE)</f>
        <v>132.32</v>
      </c>
    </row>
    <row r="129" spans="1:15" x14ac:dyDescent="0.15">
      <c r="A129" s="5" t="str">
        <f>强化辅助表!B163</f>
        <v>7041</v>
      </c>
      <c r="B129" s="12">
        <f>ROUND(强化辅助表!R163,0)</f>
        <v>5814</v>
      </c>
      <c r="C129" s="94">
        <f>ROUND(强化辅助表!S163,0)</f>
        <v>5814</v>
      </c>
      <c r="D129" s="92">
        <f t="shared" si="3"/>
        <v>116.28</v>
      </c>
      <c r="E129" s="12">
        <f>VLOOKUP($A129,装备强化表,强化辅助表!G$33,FALSE)</f>
        <v>1882</v>
      </c>
      <c r="F129" s="12">
        <f>VLOOKUP($A129,装备强化表,强化辅助表!H$33,FALSE)</f>
        <v>0</v>
      </c>
      <c r="G129" s="12">
        <f>VLOOKUP($A129,装备强化表,强化辅助表!I$33,FALSE)</f>
        <v>41</v>
      </c>
      <c r="H129" s="12">
        <f>VLOOKUP($A129,装备强化表,强化辅助表!J$33,FALSE)</f>
        <v>0</v>
      </c>
      <c r="I129" s="12">
        <f>VLOOKUP($A129,装备强化表,强化辅助表!K$33,FALSE)</f>
        <v>0</v>
      </c>
      <c r="J129" s="12">
        <f>VLOOKUP($A129,装备强化表,强化辅助表!L$33,FALSE)</f>
        <v>0</v>
      </c>
      <c r="K129" s="12">
        <f>VLOOKUP($A129,装备强化表,强化辅助表!N$33,FALSE)</f>
        <v>0</v>
      </c>
      <c r="L129" s="12">
        <f>VLOOKUP($A129,装备强化表,强化辅助表!O$33,FALSE)</f>
        <v>0</v>
      </c>
      <c r="M129" s="12">
        <f>VLOOKUP($A129,装备强化表,强化辅助表!P$33,FALSE)</f>
        <v>0</v>
      </c>
      <c r="O129">
        <f>VLOOKUP(A129,强化辅助表!$B$36:$Q$194,16,FALSE)</f>
        <v>116.28</v>
      </c>
    </row>
    <row r="130" spans="1:15" x14ac:dyDescent="0.15">
      <c r="A130" s="5" t="str">
        <f>强化辅助表!B164</f>
        <v>7042</v>
      </c>
      <c r="B130" s="12">
        <f>ROUND(强化辅助表!R164,0)</f>
        <v>2114</v>
      </c>
      <c r="C130" s="94">
        <f>ROUND(强化辅助表!S164,0)</f>
        <v>2114</v>
      </c>
      <c r="D130" s="92">
        <f t="shared" si="3"/>
        <v>42.28</v>
      </c>
      <c r="E130" s="12">
        <f>VLOOKUP($A130,装备强化表,强化辅助表!G$33,FALSE)</f>
        <v>0</v>
      </c>
      <c r="F130" s="12">
        <f>VLOOKUP($A130,装备强化表,强化辅助表!H$33,FALSE)</f>
        <v>0</v>
      </c>
      <c r="G130" s="12">
        <f>VLOOKUP($A130,装备强化表,强化辅助表!I$33,FALSE)</f>
        <v>28</v>
      </c>
      <c r="H130" s="12">
        <f>VLOOKUP($A130,装备强化表,强化辅助表!J$33,FALSE)</f>
        <v>42</v>
      </c>
      <c r="I130" s="12">
        <f>VLOOKUP($A130,装备强化表,强化辅助表!K$33,FALSE)</f>
        <v>0</v>
      </c>
      <c r="J130" s="12">
        <f>VLOOKUP($A130,装备强化表,强化辅助表!L$33,FALSE)</f>
        <v>0</v>
      </c>
      <c r="K130" s="12">
        <f>VLOOKUP($A130,装备强化表,强化辅助表!N$33,FALSE)</f>
        <v>0</v>
      </c>
      <c r="L130" s="12">
        <f>VLOOKUP($A130,装备强化表,强化辅助表!O$33,FALSE)</f>
        <v>0</v>
      </c>
      <c r="M130" s="12">
        <f>VLOOKUP($A130,装备强化表,强化辅助表!P$33,FALSE)</f>
        <v>0</v>
      </c>
      <c r="O130">
        <f>VLOOKUP(A130,强化辅助表!$B$36:$Q$194,16,FALSE)</f>
        <v>42.28</v>
      </c>
    </row>
    <row r="131" spans="1:15" x14ac:dyDescent="0.15">
      <c r="A131" s="5" t="str">
        <f>强化辅助表!B165</f>
        <v>7045</v>
      </c>
      <c r="B131" s="12">
        <f>ROUND(强化辅助表!R165,0)</f>
        <v>2665</v>
      </c>
      <c r="C131" s="94">
        <f>ROUND(强化辅助表!S165,0)</f>
        <v>2665</v>
      </c>
      <c r="D131" s="92">
        <f t="shared" si="3"/>
        <v>53.300000000000004</v>
      </c>
      <c r="E131" s="12">
        <f>VLOOKUP($A131,装备强化表,强化辅助表!G$33,FALSE)</f>
        <v>627</v>
      </c>
      <c r="F131" s="12">
        <f>VLOOKUP($A131,装备强化表,强化辅助表!H$33,FALSE)</f>
        <v>0</v>
      </c>
      <c r="G131" s="12">
        <f>VLOOKUP($A131,装备强化表,强化辅助表!I$33,FALSE)</f>
        <v>0</v>
      </c>
      <c r="H131" s="12">
        <f>VLOOKUP($A131,装备强化表,强化辅助表!J$33,FALSE)</f>
        <v>83</v>
      </c>
      <c r="I131" s="12">
        <f>VLOOKUP($A131,装备强化表,强化辅助表!K$33,FALSE)</f>
        <v>0</v>
      </c>
      <c r="J131" s="12">
        <f>VLOOKUP($A131,装备强化表,强化辅助表!L$33,FALSE)</f>
        <v>0</v>
      </c>
      <c r="K131" s="12">
        <f>VLOOKUP($A131,装备强化表,强化辅助表!N$33,FALSE)</f>
        <v>0</v>
      </c>
      <c r="L131" s="12">
        <f>VLOOKUP($A131,装备强化表,强化辅助表!O$33,FALSE)</f>
        <v>0</v>
      </c>
      <c r="M131" s="12">
        <f>VLOOKUP($A131,装备强化表,强化辅助表!P$33,FALSE)</f>
        <v>0</v>
      </c>
      <c r="O131">
        <f>VLOOKUP(A131,强化辅助表!$B$36:$Q$194,16,FALSE)</f>
        <v>53.300000000000004</v>
      </c>
    </row>
    <row r="132" spans="1:15" x14ac:dyDescent="0.15">
      <c r="A132" s="5" t="str">
        <f>强化辅助表!B166</f>
        <v>7044</v>
      </c>
      <c r="B132" s="12">
        <f>ROUND(强化辅助表!R166,0)</f>
        <v>1920</v>
      </c>
      <c r="C132" s="94">
        <f>ROUND(强化辅助表!S166,0)</f>
        <v>1920</v>
      </c>
      <c r="D132" s="92">
        <f t="shared" si="3"/>
        <v>38.400000000000006</v>
      </c>
      <c r="E132" s="12">
        <f>VLOOKUP($A132,装备强化表,强化辅助表!G$33,FALSE)</f>
        <v>627</v>
      </c>
      <c r="F132" s="12">
        <f>VLOOKUP($A132,装备强化表,强化辅助表!H$33,FALSE)</f>
        <v>0</v>
      </c>
      <c r="G132" s="12">
        <f>VLOOKUP($A132,装备强化表,强化辅助表!I$33,FALSE)</f>
        <v>0</v>
      </c>
      <c r="H132" s="12">
        <f>VLOOKUP($A132,装备强化表,强化辅助表!J$33,FALSE)</f>
        <v>0</v>
      </c>
      <c r="I132" s="12">
        <f>VLOOKUP($A132,装备强化表,强化辅助表!K$33,FALSE)</f>
        <v>0</v>
      </c>
      <c r="J132" s="12">
        <f>VLOOKUP($A132,装备强化表,强化辅助表!L$33,FALSE)</f>
        <v>0</v>
      </c>
      <c r="K132" s="12">
        <f>VLOOKUP($A132,装备强化表,强化辅助表!N$33,FALSE)</f>
        <v>74</v>
      </c>
      <c r="L132" s="12">
        <f>VLOOKUP($A132,装备强化表,强化辅助表!O$33,FALSE)</f>
        <v>0</v>
      </c>
      <c r="M132" s="12">
        <f>VLOOKUP($A132,装备强化表,强化辅助表!P$33,FALSE)</f>
        <v>0</v>
      </c>
      <c r="O132">
        <f>VLOOKUP(A132,强化辅助表!$B$36:$Q$194,16,FALSE)</f>
        <v>38.400000000000006</v>
      </c>
    </row>
    <row r="133" spans="1:15" x14ac:dyDescent="0.15">
      <c r="A133" s="5" t="str">
        <f>强化辅助表!B167</f>
        <v>7043</v>
      </c>
      <c r="B133" s="12">
        <f>ROUND(强化辅助表!R167,0)</f>
        <v>4125</v>
      </c>
      <c r="C133" s="94">
        <f>ROUND(强化辅助表!S167,0)</f>
        <v>4125</v>
      </c>
      <c r="D133" s="92">
        <f t="shared" si="3"/>
        <v>82.5</v>
      </c>
      <c r="E133" s="12">
        <f>VLOOKUP($A133,装备强化表,强化辅助表!G$33,FALSE)</f>
        <v>0</v>
      </c>
      <c r="F133" s="12">
        <f>VLOOKUP($A133,装备强化表,强化辅助表!H$33,FALSE)</f>
        <v>40</v>
      </c>
      <c r="G133" s="12">
        <f>VLOOKUP($A133,装备强化表,强化辅助表!I$33,FALSE)</f>
        <v>0</v>
      </c>
      <c r="H133" s="12">
        <f>VLOOKUP($A133,装备强化表,强化辅助表!J$33,FALSE)</f>
        <v>0</v>
      </c>
      <c r="I133" s="12">
        <f>VLOOKUP($A133,装备强化表,强化辅助表!K$33,FALSE)</f>
        <v>125</v>
      </c>
      <c r="J133" s="12">
        <f>VLOOKUP($A133,装备强化表,强化辅助表!L$33,FALSE)</f>
        <v>0</v>
      </c>
      <c r="K133" s="12">
        <f>VLOOKUP($A133,装备强化表,强化辅助表!N$33,FALSE)</f>
        <v>0</v>
      </c>
      <c r="L133" s="12">
        <f>VLOOKUP($A133,装备强化表,强化辅助表!O$33,FALSE)</f>
        <v>0</v>
      </c>
      <c r="M133" s="12">
        <f>VLOOKUP($A133,装备强化表,强化辅助表!P$33,FALSE)</f>
        <v>0</v>
      </c>
      <c r="O133">
        <f>VLOOKUP(A133,强化辅助表!$B$36:$Q$194,16,FALSE)</f>
        <v>82.5</v>
      </c>
    </row>
    <row r="134" spans="1:15" x14ac:dyDescent="0.15">
      <c r="A134" s="5" t="str">
        <f>强化辅助表!B168</f>
        <v>8010</v>
      </c>
      <c r="B134" s="12">
        <f>ROUND(强化辅助表!R168,0)</f>
        <v>3728</v>
      </c>
      <c r="C134" s="94">
        <f>ROUND(强化辅助表!S168,0)</f>
        <v>3728</v>
      </c>
      <c r="D134" s="92">
        <f t="shared" si="3"/>
        <v>74.56</v>
      </c>
      <c r="E134" s="12">
        <f>VLOOKUP($A134,装备强化表,强化辅助表!G$33,FALSE)</f>
        <v>0</v>
      </c>
      <c r="F134" s="12">
        <f>VLOOKUP($A134,装备强化表,强化辅助表!H$33,FALSE)</f>
        <v>67</v>
      </c>
      <c r="G134" s="12">
        <f>VLOOKUP($A134,装备强化表,强化辅助表!I$33,FALSE)</f>
        <v>0</v>
      </c>
      <c r="H134" s="12">
        <f>VLOOKUP($A134,装备强化表,强化辅助表!J$33,FALSE)</f>
        <v>0</v>
      </c>
      <c r="I134" s="12">
        <f>VLOOKUP($A134,装备强化表,强化辅助表!K$33,FALSE)</f>
        <v>0</v>
      </c>
      <c r="J134" s="12">
        <f>VLOOKUP($A134,装备强化表,强化辅助表!L$33,FALSE)</f>
        <v>42</v>
      </c>
      <c r="K134" s="12">
        <f>VLOOKUP($A134,装备强化表,强化辅助表!N$33,FALSE)</f>
        <v>0</v>
      </c>
      <c r="L134" s="12">
        <f>VLOOKUP($A134,装备强化表,强化辅助表!O$33,FALSE)</f>
        <v>0</v>
      </c>
      <c r="M134" s="12">
        <f>VLOOKUP($A134,装备强化表,强化辅助表!P$33,FALSE)</f>
        <v>0</v>
      </c>
      <c r="O134">
        <f>VLOOKUP(A134,强化辅助表!$B$36:$Q$194,16,FALSE)</f>
        <v>74.56</v>
      </c>
    </row>
    <row r="135" spans="1:15" x14ac:dyDescent="0.15">
      <c r="A135" s="5" t="str">
        <f>强化辅助表!B169</f>
        <v>8011</v>
      </c>
      <c r="B135" s="12">
        <f>ROUND(强化辅助表!R169,0)</f>
        <v>3266</v>
      </c>
      <c r="C135" s="94">
        <f>ROUND(强化辅助表!S169,0)</f>
        <v>3266</v>
      </c>
      <c r="D135" s="92">
        <f t="shared" si="3"/>
        <v>65.319999999999993</v>
      </c>
      <c r="E135" s="12">
        <f>VLOOKUP($A135,装备强化表,强化辅助表!G$33,FALSE)</f>
        <v>1058</v>
      </c>
      <c r="F135" s="12">
        <f>VLOOKUP($A135,装备强化表,强化辅助表!H$33,FALSE)</f>
        <v>0</v>
      </c>
      <c r="G135" s="12">
        <f>VLOOKUP($A135,装备强化表,强化辅助表!I$33,FALSE)</f>
        <v>23</v>
      </c>
      <c r="H135" s="12">
        <f>VLOOKUP($A135,装备强化表,强化辅助表!J$33,FALSE)</f>
        <v>0</v>
      </c>
      <c r="I135" s="12">
        <f>VLOOKUP($A135,装备强化表,强化辅助表!K$33,FALSE)</f>
        <v>0</v>
      </c>
      <c r="J135" s="12">
        <f>VLOOKUP($A135,装备强化表,强化辅助表!L$33,FALSE)</f>
        <v>0</v>
      </c>
      <c r="K135" s="12">
        <f>VLOOKUP($A135,装备强化表,强化辅助表!N$33,FALSE)</f>
        <v>0</v>
      </c>
      <c r="L135" s="12">
        <f>VLOOKUP($A135,装备强化表,强化辅助表!O$33,FALSE)</f>
        <v>0</v>
      </c>
      <c r="M135" s="12">
        <f>VLOOKUP($A135,装备强化表,强化辅助表!P$33,FALSE)</f>
        <v>0</v>
      </c>
      <c r="O135">
        <f>VLOOKUP(A135,强化辅助表!$B$36:$Q$194,16,FALSE)</f>
        <v>65.319999999999993</v>
      </c>
    </row>
    <row r="136" spans="1:15" x14ac:dyDescent="0.15">
      <c r="A136" s="5" t="str">
        <f>强化辅助表!B170</f>
        <v>8012</v>
      </c>
      <c r="B136" s="12">
        <f>ROUND(强化辅助表!R170,0)</f>
        <v>1141</v>
      </c>
      <c r="C136" s="94">
        <f>ROUND(强化辅助表!S170,0)</f>
        <v>1141</v>
      </c>
      <c r="D136" s="92">
        <f t="shared" si="3"/>
        <v>22.82</v>
      </c>
      <c r="E136" s="12">
        <f>VLOOKUP($A136,装备强化表,强化辅助表!G$33,FALSE)</f>
        <v>0</v>
      </c>
      <c r="F136" s="12">
        <f>VLOOKUP($A136,装备强化表,强化辅助表!H$33,FALSE)</f>
        <v>0</v>
      </c>
      <c r="G136" s="12">
        <f>VLOOKUP($A136,装备强化表,强化辅助表!I$33,FALSE)</f>
        <v>15</v>
      </c>
      <c r="H136" s="12">
        <f>VLOOKUP($A136,装备强化表,强化辅助表!J$33,FALSE)</f>
        <v>23</v>
      </c>
      <c r="I136" s="12">
        <f>VLOOKUP($A136,装备强化表,强化辅助表!K$33,FALSE)</f>
        <v>0</v>
      </c>
      <c r="J136" s="12">
        <f>VLOOKUP($A136,装备强化表,强化辅助表!L$33,FALSE)</f>
        <v>0</v>
      </c>
      <c r="K136" s="12">
        <f>VLOOKUP($A136,装备强化表,强化辅助表!N$33,FALSE)</f>
        <v>0</v>
      </c>
      <c r="L136" s="12">
        <f>VLOOKUP($A136,装备强化表,强化辅助表!O$33,FALSE)</f>
        <v>0</v>
      </c>
      <c r="M136" s="12">
        <f>VLOOKUP($A136,装备强化表,强化辅助表!P$33,FALSE)</f>
        <v>0</v>
      </c>
      <c r="O136">
        <f>VLOOKUP(A136,强化辅助表!$B$36:$Q$194,16,FALSE)</f>
        <v>22.82</v>
      </c>
    </row>
    <row r="137" spans="1:15" x14ac:dyDescent="0.15">
      <c r="A137" s="5" t="str">
        <f>强化辅助表!B171</f>
        <v>8015</v>
      </c>
      <c r="B137" s="12">
        <f>ROUND(强化辅助表!R171,0)</f>
        <v>1505</v>
      </c>
      <c r="C137" s="94">
        <f>ROUND(强化辅助表!S171,0)</f>
        <v>1505</v>
      </c>
      <c r="D137" s="92">
        <f t="shared" si="3"/>
        <v>30.1</v>
      </c>
      <c r="E137" s="12">
        <f>VLOOKUP($A137,装备强化表,强化辅助表!G$33,FALSE)</f>
        <v>353</v>
      </c>
      <c r="F137" s="12">
        <f>VLOOKUP($A137,装备强化表,强化辅助表!H$33,FALSE)</f>
        <v>0</v>
      </c>
      <c r="G137" s="12">
        <f>VLOOKUP($A137,装备强化表,强化辅助表!I$33,FALSE)</f>
        <v>0</v>
      </c>
      <c r="H137" s="12">
        <f>VLOOKUP($A137,装备强化表,强化辅助表!J$33,FALSE)</f>
        <v>47</v>
      </c>
      <c r="I137" s="12">
        <f>VLOOKUP($A137,装备强化表,强化辅助表!K$33,FALSE)</f>
        <v>0</v>
      </c>
      <c r="J137" s="12">
        <f>VLOOKUP($A137,装备强化表,强化辅助表!L$33,FALSE)</f>
        <v>0</v>
      </c>
      <c r="K137" s="12">
        <f>VLOOKUP($A137,装备强化表,强化辅助表!N$33,FALSE)</f>
        <v>0</v>
      </c>
      <c r="L137" s="12">
        <f>VLOOKUP($A137,装备强化表,强化辅助表!O$33,FALSE)</f>
        <v>0</v>
      </c>
      <c r="M137" s="12">
        <f>VLOOKUP($A137,装备强化表,强化辅助表!P$33,FALSE)</f>
        <v>0</v>
      </c>
      <c r="O137">
        <f>VLOOKUP(A137,强化辅助表!$B$36:$Q$194,16,FALSE)</f>
        <v>30.1</v>
      </c>
    </row>
    <row r="138" spans="1:15" x14ac:dyDescent="0.15">
      <c r="A138" s="5" t="str">
        <f>强化辅助表!B172</f>
        <v>8014</v>
      </c>
      <c r="B138" s="12">
        <f>ROUND(强化辅助表!R172,0)</f>
        <v>1084</v>
      </c>
      <c r="C138" s="94">
        <f>ROUND(强化辅助表!S172,0)</f>
        <v>1084</v>
      </c>
      <c r="D138" s="92">
        <f t="shared" si="3"/>
        <v>21.68</v>
      </c>
      <c r="E138" s="12">
        <f>VLOOKUP($A138,装备强化表,强化辅助表!G$33,FALSE)</f>
        <v>353</v>
      </c>
      <c r="F138" s="12">
        <f>VLOOKUP($A138,装备强化表,强化辅助表!H$33,FALSE)</f>
        <v>0</v>
      </c>
      <c r="G138" s="12">
        <f>VLOOKUP($A138,装备强化表,强化辅助表!I$33,FALSE)</f>
        <v>0</v>
      </c>
      <c r="H138" s="12">
        <f>VLOOKUP($A138,装备强化表,强化辅助表!J$33,FALSE)</f>
        <v>0</v>
      </c>
      <c r="I138" s="12">
        <f>VLOOKUP($A138,装备强化表,强化辅助表!K$33,FALSE)</f>
        <v>0</v>
      </c>
      <c r="J138" s="12">
        <f>VLOOKUP($A138,装备强化表,强化辅助表!L$33,FALSE)</f>
        <v>0</v>
      </c>
      <c r="K138" s="12">
        <f>VLOOKUP($A138,装备强化表,强化辅助表!N$33,FALSE)</f>
        <v>42</v>
      </c>
      <c r="L138" s="12">
        <f>VLOOKUP($A138,装备强化表,强化辅助表!O$33,FALSE)</f>
        <v>0</v>
      </c>
      <c r="M138" s="12">
        <f>VLOOKUP($A138,装备强化表,强化辅助表!P$33,FALSE)</f>
        <v>0</v>
      </c>
      <c r="O138">
        <f>VLOOKUP(A138,强化辅助表!$B$36:$Q$194,16,FALSE)</f>
        <v>21.68</v>
      </c>
    </row>
    <row r="139" spans="1:15" x14ac:dyDescent="0.15">
      <c r="A139" s="5" t="str">
        <f>强化辅助表!B173</f>
        <v>8013</v>
      </c>
      <c r="B139" s="12">
        <f>ROUND(强化辅助表!R173,0)</f>
        <v>2290</v>
      </c>
      <c r="C139" s="94">
        <f>ROUND(强化辅助表!S173,0)</f>
        <v>2290</v>
      </c>
      <c r="D139" s="92">
        <f t="shared" si="3"/>
        <v>45.8</v>
      </c>
      <c r="E139" s="12">
        <f>VLOOKUP($A139,装备强化表,强化辅助表!G$33,FALSE)</f>
        <v>0</v>
      </c>
      <c r="F139" s="12">
        <f>VLOOKUP($A139,装备强化表,强化辅助表!H$33,FALSE)</f>
        <v>22</v>
      </c>
      <c r="G139" s="12">
        <f>VLOOKUP($A139,装备强化表,强化辅助表!I$33,FALSE)</f>
        <v>0</v>
      </c>
      <c r="H139" s="12">
        <f>VLOOKUP($A139,装备强化表,强化辅助表!J$33,FALSE)</f>
        <v>0</v>
      </c>
      <c r="I139" s="12">
        <f>VLOOKUP($A139,装备强化表,强化辅助表!K$33,FALSE)</f>
        <v>70</v>
      </c>
      <c r="J139" s="12">
        <f>VLOOKUP($A139,装备强化表,强化辅助表!L$33,FALSE)</f>
        <v>0</v>
      </c>
      <c r="K139" s="12">
        <f>VLOOKUP($A139,装备强化表,强化辅助表!N$33,FALSE)</f>
        <v>0</v>
      </c>
      <c r="L139" s="12">
        <f>VLOOKUP($A139,装备强化表,强化辅助表!O$33,FALSE)</f>
        <v>0</v>
      </c>
      <c r="M139" s="12">
        <f>VLOOKUP($A139,装备强化表,强化辅助表!P$33,FALSE)</f>
        <v>0</v>
      </c>
      <c r="O139">
        <f>VLOOKUP(A139,强化辅助表!$B$36:$Q$194,16,FALSE)</f>
        <v>45.8</v>
      </c>
    </row>
    <row r="140" spans="1:15" x14ac:dyDescent="0.15">
      <c r="A140" s="5" t="str">
        <f>强化辅助表!B174</f>
        <v>8020</v>
      </c>
      <c r="B140" s="12">
        <f>ROUND(强化辅助表!R174,0)</f>
        <v>5390</v>
      </c>
      <c r="C140" s="94">
        <f>ROUND(强化辅助表!S174,0)</f>
        <v>5390</v>
      </c>
      <c r="D140" s="92">
        <f t="shared" si="3"/>
        <v>107.8</v>
      </c>
      <c r="E140" s="12">
        <f>VLOOKUP($A140,装备强化表,强化辅助表!G$33,FALSE)</f>
        <v>0</v>
      </c>
      <c r="F140" s="12">
        <f>VLOOKUP($A140,装备强化表,强化辅助表!H$33,FALSE)</f>
        <v>97</v>
      </c>
      <c r="G140" s="12">
        <f>VLOOKUP($A140,装备强化表,强化辅助表!I$33,FALSE)</f>
        <v>0</v>
      </c>
      <c r="H140" s="12">
        <f>VLOOKUP($A140,装备强化表,强化辅助表!J$33,FALSE)</f>
        <v>0</v>
      </c>
      <c r="I140" s="12">
        <f>VLOOKUP($A140,装备强化表,强化辅助表!K$33,FALSE)</f>
        <v>0</v>
      </c>
      <c r="J140" s="12">
        <f>VLOOKUP($A140,装备强化表,强化辅助表!L$33,FALSE)</f>
        <v>60</v>
      </c>
      <c r="K140" s="12">
        <f>VLOOKUP($A140,装备强化表,强化辅助表!N$33,FALSE)</f>
        <v>0</v>
      </c>
      <c r="L140" s="12">
        <f>VLOOKUP($A140,装备强化表,强化辅助表!O$33,FALSE)</f>
        <v>0</v>
      </c>
      <c r="M140" s="12">
        <f>VLOOKUP($A140,装备强化表,强化辅助表!P$33,FALSE)</f>
        <v>0</v>
      </c>
      <c r="O140">
        <f>VLOOKUP(A140,强化辅助表!$B$36:$Q$194,16,FALSE)</f>
        <v>107.8</v>
      </c>
    </row>
    <row r="141" spans="1:15" x14ac:dyDescent="0.15">
      <c r="A141" s="5" t="str">
        <f>强化辅助表!B175</f>
        <v>8021</v>
      </c>
      <c r="B141" s="12">
        <f>ROUND(强化辅助表!R175,0)</f>
        <v>4758</v>
      </c>
      <c r="C141" s="94">
        <f>ROUND(强化辅助表!S175,0)</f>
        <v>4758</v>
      </c>
      <c r="D141" s="92">
        <f t="shared" si="3"/>
        <v>95.16</v>
      </c>
      <c r="E141" s="12">
        <f>VLOOKUP($A141,装备强化表,强化辅助表!G$33,FALSE)</f>
        <v>1529</v>
      </c>
      <c r="F141" s="12">
        <f>VLOOKUP($A141,装备强化表,强化辅助表!H$33,FALSE)</f>
        <v>0</v>
      </c>
      <c r="G141" s="12">
        <f>VLOOKUP($A141,装备强化表,强化辅助表!I$33,FALSE)</f>
        <v>34</v>
      </c>
      <c r="H141" s="12">
        <f>VLOOKUP($A141,装备强化表,强化辅助表!J$33,FALSE)</f>
        <v>0</v>
      </c>
      <c r="I141" s="12">
        <f>VLOOKUP($A141,装备强化表,强化辅助表!K$33,FALSE)</f>
        <v>0</v>
      </c>
      <c r="J141" s="12">
        <f>VLOOKUP($A141,装备强化表,强化辅助表!L$33,FALSE)</f>
        <v>0</v>
      </c>
      <c r="K141" s="12">
        <f>VLOOKUP($A141,装备强化表,强化辅助表!N$33,FALSE)</f>
        <v>0</v>
      </c>
      <c r="L141" s="12">
        <f>VLOOKUP($A141,装备强化表,强化辅助表!O$33,FALSE)</f>
        <v>0</v>
      </c>
      <c r="M141" s="12">
        <f>VLOOKUP($A141,装备强化表,强化辅助表!P$33,FALSE)</f>
        <v>0</v>
      </c>
      <c r="O141">
        <f>VLOOKUP(A141,强化辅助表!$B$36:$Q$194,16,FALSE)</f>
        <v>95.16</v>
      </c>
    </row>
    <row r="142" spans="1:15" x14ac:dyDescent="0.15">
      <c r="A142" s="5" t="str">
        <f>强化辅助表!B176</f>
        <v>8022</v>
      </c>
      <c r="B142" s="12">
        <f>ROUND(强化辅助表!R176,0)</f>
        <v>1678</v>
      </c>
      <c r="C142" s="94">
        <f>ROUND(强化辅助表!S176,0)</f>
        <v>1678</v>
      </c>
      <c r="D142" s="92">
        <f t="shared" si="3"/>
        <v>33.56</v>
      </c>
      <c r="E142" s="12">
        <f>VLOOKUP($A142,装备强化表,强化辅助表!G$33,FALSE)</f>
        <v>0</v>
      </c>
      <c r="F142" s="12">
        <f>VLOOKUP($A142,装备强化表,强化辅助表!H$33,FALSE)</f>
        <v>0</v>
      </c>
      <c r="G142" s="12">
        <f>VLOOKUP($A142,装备强化表,强化辅助表!I$33,FALSE)</f>
        <v>22</v>
      </c>
      <c r="H142" s="12">
        <f>VLOOKUP($A142,装备强化表,强化辅助表!J$33,FALSE)</f>
        <v>34</v>
      </c>
      <c r="I142" s="12">
        <f>VLOOKUP($A142,装备强化表,强化辅助表!K$33,FALSE)</f>
        <v>0</v>
      </c>
      <c r="J142" s="12">
        <f>VLOOKUP($A142,装备强化表,强化辅助表!L$33,FALSE)</f>
        <v>0</v>
      </c>
      <c r="K142" s="12">
        <f>VLOOKUP($A142,装备强化表,强化辅助表!N$33,FALSE)</f>
        <v>0</v>
      </c>
      <c r="L142" s="12">
        <f>VLOOKUP($A142,装备强化表,强化辅助表!O$33,FALSE)</f>
        <v>0</v>
      </c>
      <c r="M142" s="12">
        <f>VLOOKUP($A142,装备强化表,强化辅助表!P$33,FALSE)</f>
        <v>0</v>
      </c>
      <c r="O142">
        <f>VLOOKUP(A142,强化辅助表!$B$36:$Q$194,16,FALSE)</f>
        <v>33.56</v>
      </c>
    </row>
    <row r="143" spans="1:15" x14ac:dyDescent="0.15">
      <c r="A143" s="5" t="str">
        <f>强化辅助表!B177</f>
        <v>8025</v>
      </c>
      <c r="B143" s="12">
        <f>ROUND(强化辅助表!R177,0)</f>
        <v>2176</v>
      </c>
      <c r="C143" s="94">
        <f>ROUND(强化辅助表!S177,0)</f>
        <v>2176</v>
      </c>
      <c r="D143" s="92">
        <f t="shared" ref="D143:D157" si="4">O143</f>
        <v>43.52</v>
      </c>
      <c r="E143" s="12">
        <f>VLOOKUP($A143,装备强化表,强化辅助表!G$33,FALSE)</f>
        <v>510</v>
      </c>
      <c r="F143" s="12">
        <f>VLOOKUP($A143,装备强化表,强化辅助表!H$33,FALSE)</f>
        <v>0</v>
      </c>
      <c r="G143" s="12">
        <f>VLOOKUP($A143,装备强化表,强化辅助表!I$33,FALSE)</f>
        <v>0</v>
      </c>
      <c r="H143" s="12">
        <f>VLOOKUP($A143,装备强化表,强化辅助表!J$33,FALSE)</f>
        <v>68</v>
      </c>
      <c r="I143" s="12">
        <f>VLOOKUP($A143,装备强化表,强化辅助表!K$33,FALSE)</f>
        <v>0</v>
      </c>
      <c r="J143" s="12">
        <f>VLOOKUP($A143,装备强化表,强化辅助表!L$33,FALSE)</f>
        <v>0</v>
      </c>
      <c r="K143" s="12">
        <f>VLOOKUP($A143,装备强化表,强化辅助表!N$33,FALSE)</f>
        <v>0</v>
      </c>
      <c r="L143" s="12">
        <f>VLOOKUP($A143,装备强化表,强化辅助表!O$33,FALSE)</f>
        <v>0</v>
      </c>
      <c r="M143" s="12">
        <f>VLOOKUP($A143,装备强化表,强化辅助表!P$33,FALSE)</f>
        <v>0</v>
      </c>
      <c r="O143">
        <f>VLOOKUP(A143,强化辅助表!$B$36:$Q$194,16,FALSE)</f>
        <v>43.52</v>
      </c>
    </row>
    <row r="144" spans="1:15" x14ac:dyDescent="0.15">
      <c r="A144" s="5" t="str">
        <f>强化辅助表!B178</f>
        <v>8024</v>
      </c>
      <c r="B144" s="12">
        <f>ROUND(强化辅助表!R178,0)</f>
        <v>1560</v>
      </c>
      <c r="C144" s="94">
        <f>ROUND(强化辅助表!S178,0)</f>
        <v>1560</v>
      </c>
      <c r="D144" s="92">
        <f t="shared" si="4"/>
        <v>31.200000000000003</v>
      </c>
      <c r="E144" s="12">
        <f>VLOOKUP($A144,装备强化表,强化辅助表!G$33,FALSE)</f>
        <v>510</v>
      </c>
      <c r="F144" s="12">
        <f>VLOOKUP($A144,装备强化表,强化辅助表!H$33,FALSE)</f>
        <v>0</v>
      </c>
      <c r="G144" s="12">
        <f>VLOOKUP($A144,装备强化表,强化辅助表!I$33,FALSE)</f>
        <v>0</v>
      </c>
      <c r="H144" s="12">
        <f>VLOOKUP($A144,装备强化表,强化辅助表!J$33,FALSE)</f>
        <v>0</v>
      </c>
      <c r="I144" s="12">
        <f>VLOOKUP($A144,装备强化表,强化辅助表!K$33,FALSE)</f>
        <v>0</v>
      </c>
      <c r="J144" s="12">
        <f>VLOOKUP($A144,装备强化表,强化辅助表!L$33,FALSE)</f>
        <v>0</v>
      </c>
      <c r="K144" s="12">
        <f>VLOOKUP($A144,装备强化表,强化辅助表!N$33,FALSE)</f>
        <v>60</v>
      </c>
      <c r="L144" s="12">
        <f>VLOOKUP($A144,装备强化表,强化辅助表!O$33,FALSE)</f>
        <v>0</v>
      </c>
      <c r="M144" s="12">
        <f>VLOOKUP($A144,装备强化表,强化辅助表!P$33,FALSE)</f>
        <v>0</v>
      </c>
      <c r="O144">
        <f>VLOOKUP(A144,强化辅助表!$B$36:$Q$194,16,FALSE)</f>
        <v>31.200000000000003</v>
      </c>
    </row>
    <row r="145" spans="1:15" x14ac:dyDescent="0.15">
      <c r="A145" s="5" t="str">
        <f>强化辅助表!B179</f>
        <v>8023</v>
      </c>
      <c r="B145" s="12">
        <f>ROUND(强化辅助表!R179,0)</f>
        <v>3334</v>
      </c>
      <c r="C145" s="94">
        <f>ROUND(强化辅助表!S179,0)</f>
        <v>3334</v>
      </c>
      <c r="D145" s="92">
        <f t="shared" si="4"/>
        <v>66.680000000000007</v>
      </c>
      <c r="E145" s="12">
        <f>VLOOKUP($A145,装备强化表,强化辅助表!G$33,FALSE)</f>
        <v>0</v>
      </c>
      <c r="F145" s="12">
        <f>VLOOKUP($A145,装备强化表,强化辅助表!H$33,FALSE)</f>
        <v>32</v>
      </c>
      <c r="G145" s="12">
        <f>VLOOKUP($A145,装备强化表,强化辅助表!I$33,FALSE)</f>
        <v>0</v>
      </c>
      <c r="H145" s="12">
        <f>VLOOKUP($A145,装备强化表,强化辅助表!J$33,FALSE)</f>
        <v>0</v>
      </c>
      <c r="I145" s="12">
        <f>VLOOKUP($A145,装备强化表,强化辅助表!K$33,FALSE)</f>
        <v>102</v>
      </c>
      <c r="J145" s="12">
        <f>VLOOKUP($A145,装备强化表,强化辅助表!L$33,FALSE)</f>
        <v>0</v>
      </c>
      <c r="K145" s="12">
        <f>VLOOKUP($A145,装备强化表,强化辅助表!N$33,FALSE)</f>
        <v>0</v>
      </c>
      <c r="L145" s="12">
        <f>VLOOKUP($A145,装备强化表,强化辅助表!O$33,FALSE)</f>
        <v>0</v>
      </c>
      <c r="M145" s="12">
        <f>VLOOKUP($A145,装备强化表,强化辅助表!P$33,FALSE)</f>
        <v>0</v>
      </c>
      <c r="O145">
        <f>VLOOKUP(A145,强化辅助表!$B$36:$Q$194,16,FALSE)</f>
        <v>66.680000000000007</v>
      </c>
    </row>
    <row r="146" spans="1:15" x14ac:dyDescent="0.15">
      <c r="A146" s="5" t="str">
        <f>强化辅助表!B180</f>
        <v>8030</v>
      </c>
      <c r="B146" s="12">
        <f>ROUND(强化辅助表!R180,0)</f>
        <v>7061</v>
      </c>
      <c r="C146" s="94">
        <f>ROUND(强化辅助表!S180,0)</f>
        <v>7061</v>
      </c>
      <c r="D146" s="92">
        <f t="shared" si="4"/>
        <v>141.22</v>
      </c>
      <c r="E146" s="12">
        <f>VLOOKUP($A146,装备强化表,强化辅助表!G$33,FALSE)</f>
        <v>0</v>
      </c>
      <c r="F146" s="12">
        <f>VLOOKUP($A146,装备强化表,强化辅助表!H$33,FALSE)</f>
        <v>127</v>
      </c>
      <c r="G146" s="12">
        <f>VLOOKUP($A146,装备强化表,强化辅助表!I$33,FALSE)</f>
        <v>0</v>
      </c>
      <c r="H146" s="12">
        <f>VLOOKUP($A146,装备强化表,强化辅助表!J$33,FALSE)</f>
        <v>0</v>
      </c>
      <c r="I146" s="12">
        <f>VLOOKUP($A146,装备强化表,强化辅助表!K$33,FALSE)</f>
        <v>0</v>
      </c>
      <c r="J146" s="12">
        <f>VLOOKUP($A146,装备强化表,强化辅助表!L$33,FALSE)</f>
        <v>79</v>
      </c>
      <c r="K146" s="12">
        <f>VLOOKUP($A146,装备强化表,强化辅助表!N$33,FALSE)</f>
        <v>0</v>
      </c>
      <c r="L146" s="12">
        <f>VLOOKUP($A146,装备强化表,强化辅助表!O$33,FALSE)</f>
        <v>0</v>
      </c>
      <c r="M146" s="12">
        <f>VLOOKUP($A146,装备强化表,强化辅助表!P$33,FALSE)</f>
        <v>0</v>
      </c>
      <c r="O146">
        <f>VLOOKUP(A146,强化辅助表!$B$36:$Q$194,16,FALSE)</f>
        <v>141.22</v>
      </c>
    </row>
    <row r="147" spans="1:15" x14ac:dyDescent="0.15">
      <c r="A147" s="5" t="str">
        <f>强化辅助表!B181</f>
        <v>8031</v>
      </c>
      <c r="B147" s="12">
        <f>ROUND(强化辅助表!R181,0)</f>
        <v>6198</v>
      </c>
      <c r="C147" s="94">
        <f>ROUND(强化辅助表!S181,0)</f>
        <v>6198</v>
      </c>
      <c r="D147" s="92">
        <f t="shared" si="4"/>
        <v>123.96000000000001</v>
      </c>
      <c r="E147" s="12">
        <f>VLOOKUP($A147,装备强化表,强化辅助表!G$33,FALSE)</f>
        <v>1999</v>
      </c>
      <c r="F147" s="12">
        <f>VLOOKUP($A147,装备强化表,强化辅助表!H$33,FALSE)</f>
        <v>0</v>
      </c>
      <c r="G147" s="12">
        <f>VLOOKUP($A147,装备强化表,强化辅助表!I$33,FALSE)</f>
        <v>44</v>
      </c>
      <c r="H147" s="12">
        <f>VLOOKUP($A147,装备强化表,强化辅助表!J$33,FALSE)</f>
        <v>0</v>
      </c>
      <c r="I147" s="12">
        <f>VLOOKUP($A147,装备强化表,强化辅助表!K$33,FALSE)</f>
        <v>0</v>
      </c>
      <c r="J147" s="12">
        <f>VLOOKUP($A147,装备强化表,强化辅助表!L$33,FALSE)</f>
        <v>0</v>
      </c>
      <c r="K147" s="12">
        <f>VLOOKUP($A147,装备强化表,强化辅助表!N$33,FALSE)</f>
        <v>0</v>
      </c>
      <c r="L147" s="12">
        <f>VLOOKUP($A147,装备强化表,强化辅助表!O$33,FALSE)</f>
        <v>0</v>
      </c>
      <c r="M147" s="12">
        <f>VLOOKUP($A147,装备强化表,强化辅助表!P$33,FALSE)</f>
        <v>0</v>
      </c>
      <c r="O147">
        <f>VLOOKUP(A147,强化辅助表!$B$36:$Q$194,16,FALSE)</f>
        <v>123.96000000000001</v>
      </c>
    </row>
    <row r="148" spans="1:15" x14ac:dyDescent="0.15">
      <c r="A148" s="5" t="str">
        <f>强化辅助表!B182</f>
        <v>8032</v>
      </c>
      <c r="B148" s="12">
        <f>ROUND(强化辅助表!R182,0)</f>
        <v>2198</v>
      </c>
      <c r="C148" s="94">
        <f>ROUND(强化辅助表!S182,0)</f>
        <v>2198</v>
      </c>
      <c r="D148" s="92">
        <f t="shared" si="4"/>
        <v>43.96</v>
      </c>
      <c r="E148" s="12">
        <f>VLOOKUP($A148,装备强化表,强化辅助表!G$33,FALSE)</f>
        <v>0</v>
      </c>
      <c r="F148" s="12">
        <f>VLOOKUP($A148,装备强化表,强化辅助表!H$33,FALSE)</f>
        <v>0</v>
      </c>
      <c r="G148" s="12">
        <f>VLOOKUP($A148,装备强化表,强化辅助表!I$33,FALSE)</f>
        <v>29</v>
      </c>
      <c r="H148" s="12">
        <f>VLOOKUP($A148,装备强化表,强化辅助表!J$33,FALSE)</f>
        <v>44</v>
      </c>
      <c r="I148" s="12">
        <f>VLOOKUP($A148,装备强化表,强化辅助表!K$33,FALSE)</f>
        <v>0</v>
      </c>
      <c r="J148" s="12">
        <f>VLOOKUP($A148,装备强化表,强化辅助表!L$33,FALSE)</f>
        <v>0</v>
      </c>
      <c r="K148" s="12">
        <f>VLOOKUP($A148,装备强化表,强化辅助表!N$33,FALSE)</f>
        <v>0</v>
      </c>
      <c r="L148" s="12">
        <f>VLOOKUP($A148,装备强化表,强化辅助表!O$33,FALSE)</f>
        <v>0</v>
      </c>
      <c r="M148" s="12">
        <f>VLOOKUP($A148,装备强化表,强化辅助表!P$33,FALSE)</f>
        <v>0</v>
      </c>
      <c r="O148">
        <f>VLOOKUP(A148,强化辅助表!$B$36:$Q$194,16,FALSE)</f>
        <v>43.96</v>
      </c>
    </row>
    <row r="149" spans="1:15" x14ac:dyDescent="0.15">
      <c r="A149" s="5" t="str">
        <f>强化辅助表!B183</f>
        <v>8035</v>
      </c>
      <c r="B149" s="12">
        <f>ROUND(强化辅助表!R183,0)</f>
        <v>2845</v>
      </c>
      <c r="C149" s="94">
        <f>ROUND(强化辅助表!S183,0)</f>
        <v>2845</v>
      </c>
      <c r="D149" s="92">
        <f t="shared" si="4"/>
        <v>56.900000000000006</v>
      </c>
      <c r="E149" s="12">
        <f>VLOOKUP($A149,装备强化表,强化辅助表!G$33,FALSE)</f>
        <v>666</v>
      </c>
      <c r="F149" s="12">
        <f>VLOOKUP($A149,装备强化表,强化辅助表!H$33,FALSE)</f>
        <v>0</v>
      </c>
      <c r="G149" s="12">
        <f>VLOOKUP($A149,装备强化表,强化辅助表!I$33,FALSE)</f>
        <v>0</v>
      </c>
      <c r="H149" s="12">
        <f>VLOOKUP($A149,装备强化表,强化辅助表!J$33,FALSE)</f>
        <v>89</v>
      </c>
      <c r="I149" s="12">
        <f>VLOOKUP($A149,装备强化表,强化辅助表!K$33,FALSE)</f>
        <v>0</v>
      </c>
      <c r="J149" s="12">
        <f>VLOOKUP($A149,装备强化表,强化辅助表!L$33,FALSE)</f>
        <v>0</v>
      </c>
      <c r="K149" s="12">
        <f>VLOOKUP($A149,装备强化表,强化辅助表!N$33,FALSE)</f>
        <v>0</v>
      </c>
      <c r="L149" s="12">
        <f>VLOOKUP($A149,装备强化表,强化辅助表!O$33,FALSE)</f>
        <v>0</v>
      </c>
      <c r="M149" s="12">
        <f>VLOOKUP($A149,装备强化表,强化辅助表!P$33,FALSE)</f>
        <v>0</v>
      </c>
      <c r="O149">
        <f>VLOOKUP(A149,强化辅助表!$B$36:$Q$194,16,FALSE)</f>
        <v>56.900000000000006</v>
      </c>
    </row>
    <row r="150" spans="1:15" x14ac:dyDescent="0.15">
      <c r="A150" s="5" t="str">
        <f>强化辅助表!B184</f>
        <v>8034</v>
      </c>
      <c r="B150" s="12">
        <f>ROUND(强化辅助表!R184,0)</f>
        <v>2043</v>
      </c>
      <c r="C150" s="94">
        <f>ROUND(强化辅助表!S184,0)</f>
        <v>2043</v>
      </c>
      <c r="D150" s="92">
        <f t="shared" si="4"/>
        <v>40.86</v>
      </c>
      <c r="E150" s="12">
        <f>VLOOKUP($A150,装备强化表,强化辅助表!G$33,FALSE)</f>
        <v>666</v>
      </c>
      <c r="F150" s="12">
        <f>VLOOKUP($A150,装备强化表,强化辅助表!H$33,FALSE)</f>
        <v>0</v>
      </c>
      <c r="G150" s="12">
        <f>VLOOKUP($A150,装备强化表,强化辅助表!I$33,FALSE)</f>
        <v>0</v>
      </c>
      <c r="H150" s="12">
        <f>VLOOKUP($A150,装备强化表,强化辅助表!J$33,FALSE)</f>
        <v>0</v>
      </c>
      <c r="I150" s="12">
        <f>VLOOKUP($A150,装备强化表,强化辅助表!K$33,FALSE)</f>
        <v>0</v>
      </c>
      <c r="J150" s="12">
        <f>VLOOKUP($A150,装备强化表,强化辅助表!L$33,FALSE)</f>
        <v>0</v>
      </c>
      <c r="K150" s="12">
        <f>VLOOKUP($A150,装备强化表,强化辅助表!N$33,FALSE)</f>
        <v>79</v>
      </c>
      <c r="L150" s="12">
        <f>VLOOKUP($A150,装备强化表,强化辅助表!O$33,FALSE)</f>
        <v>0</v>
      </c>
      <c r="M150" s="12">
        <f>VLOOKUP($A150,装备强化表,强化辅助表!P$33,FALSE)</f>
        <v>0</v>
      </c>
      <c r="O150">
        <f>VLOOKUP(A150,强化辅助表!$B$36:$Q$194,16,FALSE)</f>
        <v>40.86</v>
      </c>
    </row>
    <row r="151" spans="1:15" x14ac:dyDescent="0.15">
      <c r="A151" s="5" t="str">
        <f>强化辅助表!B185</f>
        <v>8033</v>
      </c>
      <c r="B151" s="12">
        <f>ROUND(强化辅助表!R185,0)</f>
        <v>4361</v>
      </c>
      <c r="C151" s="94">
        <f>ROUND(强化辅助表!S185,0)</f>
        <v>4361</v>
      </c>
      <c r="D151" s="92">
        <f t="shared" si="4"/>
        <v>87.22</v>
      </c>
      <c r="E151" s="12">
        <f>VLOOKUP($A151,装备强化表,强化辅助表!G$33,FALSE)</f>
        <v>0</v>
      </c>
      <c r="F151" s="12">
        <f>VLOOKUP($A151,装备强化表,强化辅助表!H$33,FALSE)</f>
        <v>42</v>
      </c>
      <c r="G151" s="12">
        <f>VLOOKUP($A151,装备强化表,强化辅助表!I$33,FALSE)</f>
        <v>0</v>
      </c>
      <c r="H151" s="12">
        <f>VLOOKUP($A151,装备强化表,强化辅助表!J$33,FALSE)</f>
        <v>0</v>
      </c>
      <c r="I151" s="12">
        <f>VLOOKUP($A151,装备强化表,强化辅助表!K$33,FALSE)</f>
        <v>133</v>
      </c>
      <c r="J151" s="12">
        <f>VLOOKUP($A151,装备强化表,强化辅助表!L$33,FALSE)</f>
        <v>0</v>
      </c>
      <c r="K151" s="12">
        <f>VLOOKUP($A151,装备强化表,强化辅助表!N$33,FALSE)</f>
        <v>0</v>
      </c>
      <c r="L151" s="12">
        <f>VLOOKUP($A151,装备强化表,强化辅助表!O$33,FALSE)</f>
        <v>0</v>
      </c>
      <c r="M151" s="12">
        <f>VLOOKUP($A151,装备强化表,强化辅助表!P$33,FALSE)</f>
        <v>0</v>
      </c>
      <c r="O151">
        <f>VLOOKUP(A151,强化辅助表!$B$36:$Q$194,16,FALSE)</f>
        <v>87.22</v>
      </c>
    </row>
    <row r="152" spans="1:15" x14ac:dyDescent="0.15">
      <c r="A152" s="5" t="str">
        <f>强化辅助表!B186</f>
        <v>8040</v>
      </c>
      <c r="B152" s="12">
        <f>ROUND(强化辅助表!R186,0)</f>
        <v>8287</v>
      </c>
      <c r="C152" s="94">
        <f>ROUND(强化辅助表!S186,0)</f>
        <v>8287</v>
      </c>
      <c r="D152" s="92">
        <f t="shared" si="4"/>
        <v>165.74</v>
      </c>
      <c r="E152" s="12">
        <f>VLOOKUP($A152,装备强化表,强化辅助表!G$33,FALSE)</f>
        <v>0</v>
      </c>
      <c r="F152" s="12">
        <f>VLOOKUP($A152,装备强化表,强化辅助表!H$33,FALSE)</f>
        <v>149</v>
      </c>
      <c r="G152" s="12">
        <f>VLOOKUP($A152,装备强化表,强化辅助表!I$33,FALSE)</f>
        <v>0</v>
      </c>
      <c r="H152" s="12">
        <f>VLOOKUP($A152,装备强化表,强化辅助表!J$33,FALSE)</f>
        <v>0</v>
      </c>
      <c r="I152" s="12">
        <f>VLOOKUP($A152,装备强化表,强化辅助表!K$33,FALSE)</f>
        <v>0</v>
      </c>
      <c r="J152" s="12">
        <f>VLOOKUP($A152,装备强化表,强化辅助表!L$33,FALSE)</f>
        <v>93</v>
      </c>
      <c r="K152" s="12">
        <f>VLOOKUP($A152,装备强化表,强化辅助表!N$33,FALSE)</f>
        <v>0</v>
      </c>
      <c r="L152" s="12">
        <f>VLOOKUP($A152,装备强化表,强化辅助表!O$33,FALSE)</f>
        <v>0</v>
      </c>
      <c r="M152" s="12">
        <f>VLOOKUP($A152,装备强化表,强化辅助表!P$33,FALSE)</f>
        <v>0</v>
      </c>
      <c r="O152">
        <f>VLOOKUP(A152,强化辅助表!$B$36:$Q$194,16,FALSE)</f>
        <v>165.74</v>
      </c>
    </row>
    <row r="153" spans="1:15" x14ac:dyDescent="0.15">
      <c r="A153" s="5" t="str">
        <f>强化辅助表!B187</f>
        <v>8041</v>
      </c>
      <c r="B153" s="12">
        <f>ROUND(强化辅助表!R187,0)</f>
        <v>7304</v>
      </c>
      <c r="C153" s="94">
        <f>ROUND(强化辅助表!S187,0)</f>
        <v>7304</v>
      </c>
      <c r="D153" s="92">
        <f t="shared" si="4"/>
        <v>146.07999999999998</v>
      </c>
      <c r="E153" s="12">
        <f>VLOOKUP($A153,装备强化表,强化辅助表!G$33,FALSE)</f>
        <v>2352</v>
      </c>
      <c r="F153" s="12">
        <f>VLOOKUP($A153,装备强化表,强化辅助表!H$33,FALSE)</f>
        <v>0</v>
      </c>
      <c r="G153" s="12">
        <f>VLOOKUP($A153,装备强化表,强化辅助表!I$33,FALSE)</f>
        <v>52</v>
      </c>
      <c r="H153" s="12">
        <f>VLOOKUP($A153,装备强化表,强化辅助表!J$33,FALSE)</f>
        <v>0</v>
      </c>
      <c r="I153" s="12">
        <f>VLOOKUP($A153,装备强化表,强化辅助表!K$33,FALSE)</f>
        <v>0</v>
      </c>
      <c r="J153" s="12">
        <f>VLOOKUP($A153,装备强化表,强化辅助表!L$33,FALSE)</f>
        <v>0</v>
      </c>
      <c r="K153" s="12">
        <f>VLOOKUP($A153,装备强化表,强化辅助表!N$33,FALSE)</f>
        <v>0</v>
      </c>
      <c r="L153" s="12">
        <f>VLOOKUP($A153,装备强化表,强化辅助表!O$33,FALSE)</f>
        <v>0</v>
      </c>
      <c r="M153" s="12">
        <f>VLOOKUP($A153,装备强化表,强化辅助表!P$33,FALSE)</f>
        <v>0</v>
      </c>
      <c r="O153">
        <f>VLOOKUP(A153,强化辅助表!$B$36:$Q$194,16,FALSE)</f>
        <v>146.07999999999998</v>
      </c>
    </row>
    <row r="154" spans="1:15" x14ac:dyDescent="0.15">
      <c r="A154" s="5" t="str">
        <f>强化辅助表!B188</f>
        <v>8042</v>
      </c>
      <c r="B154" s="12">
        <f>ROUND(强化辅助表!R188,0)</f>
        <v>2584</v>
      </c>
      <c r="C154" s="94">
        <f>ROUND(强化辅助表!S188,0)</f>
        <v>2584</v>
      </c>
      <c r="D154" s="92">
        <f t="shared" si="4"/>
        <v>51.68</v>
      </c>
      <c r="E154" s="12">
        <f>VLOOKUP($A154,装备强化表,强化辅助表!G$33,FALSE)</f>
        <v>0</v>
      </c>
      <c r="F154" s="12">
        <f>VLOOKUP($A154,装备强化表,强化辅助表!H$33,FALSE)</f>
        <v>0</v>
      </c>
      <c r="G154" s="12">
        <f>VLOOKUP($A154,装备强化表,强化辅助表!I$33,FALSE)</f>
        <v>34</v>
      </c>
      <c r="H154" s="12">
        <f>VLOOKUP($A154,装备强化表,强化辅助表!J$33,FALSE)</f>
        <v>52</v>
      </c>
      <c r="I154" s="12">
        <f>VLOOKUP($A154,装备强化表,强化辅助表!K$33,FALSE)</f>
        <v>0</v>
      </c>
      <c r="J154" s="12">
        <f>VLOOKUP($A154,装备强化表,强化辅助表!L$33,FALSE)</f>
        <v>0</v>
      </c>
      <c r="K154" s="12">
        <f>VLOOKUP($A154,装备强化表,强化辅助表!N$33,FALSE)</f>
        <v>0</v>
      </c>
      <c r="L154" s="12">
        <f>VLOOKUP($A154,装备强化表,强化辅助表!O$33,FALSE)</f>
        <v>0</v>
      </c>
      <c r="M154" s="12">
        <f>VLOOKUP($A154,装备强化表,强化辅助表!P$33,FALSE)</f>
        <v>0</v>
      </c>
      <c r="O154">
        <f>VLOOKUP(A154,强化辅助表!$B$36:$Q$194,16,FALSE)</f>
        <v>51.68</v>
      </c>
    </row>
    <row r="155" spans="1:15" x14ac:dyDescent="0.15">
      <c r="A155" s="5" t="str">
        <f>强化辅助表!B189</f>
        <v>8045</v>
      </c>
      <c r="B155" s="12">
        <f>ROUND(强化辅助表!R189,0)</f>
        <v>3336</v>
      </c>
      <c r="C155" s="94">
        <f>ROUND(强化辅助表!S189,0)</f>
        <v>3336</v>
      </c>
      <c r="D155" s="92">
        <f t="shared" si="4"/>
        <v>66.72</v>
      </c>
      <c r="E155" s="12">
        <f>VLOOKUP($A155,装备强化表,强化辅助表!G$33,FALSE)</f>
        <v>784</v>
      </c>
      <c r="F155" s="12">
        <f>VLOOKUP($A155,装备强化表,强化辅助表!H$33,FALSE)</f>
        <v>0</v>
      </c>
      <c r="G155" s="12">
        <f>VLOOKUP($A155,装备强化表,强化辅助表!I$33,FALSE)</f>
        <v>0</v>
      </c>
      <c r="H155" s="12">
        <f>VLOOKUP($A155,装备强化表,强化辅助表!J$33,FALSE)</f>
        <v>104</v>
      </c>
      <c r="I155" s="12">
        <f>VLOOKUP($A155,装备强化表,强化辅助表!K$33,FALSE)</f>
        <v>0</v>
      </c>
      <c r="J155" s="12">
        <f>VLOOKUP($A155,装备强化表,强化辅助表!L$33,FALSE)</f>
        <v>0</v>
      </c>
      <c r="K155" s="12">
        <f>VLOOKUP($A155,装备强化表,强化辅助表!N$33,FALSE)</f>
        <v>0</v>
      </c>
      <c r="L155" s="12">
        <f>VLOOKUP($A155,装备强化表,强化辅助表!O$33,FALSE)</f>
        <v>0</v>
      </c>
      <c r="M155" s="12">
        <f>VLOOKUP($A155,装备强化表,强化辅助表!P$33,FALSE)</f>
        <v>0</v>
      </c>
      <c r="O155">
        <f>VLOOKUP(A155,强化辅助表!$B$36:$Q$194,16,FALSE)</f>
        <v>66.72</v>
      </c>
    </row>
    <row r="156" spans="1:15" x14ac:dyDescent="0.15">
      <c r="A156" s="5" t="str">
        <f>强化辅助表!B190</f>
        <v>8044</v>
      </c>
      <c r="B156" s="12">
        <f>ROUND(强化辅助表!R190,0)</f>
        <v>2405</v>
      </c>
      <c r="C156" s="94">
        <f>ROUND(强化辅助表!S190,0)</f>
        <v>2405</v>
      </c>
      <c r="D156" s="92">
        <f t="shared" si="4"/>
        <v>48.099999999999994</v>
      </c>
      <c r="E156" s="12">
        <f>VLOOKUP($A156,装备强化表,强化辅助表!G$33,FALSE)</f>
        <v>784</v>
      </c>
      <c r="F156" s="12">
        <f>VLOOKUP($A156,装备强化表,强化辅助表!H$33,FALSE)</f>
        <v>0</v>
      </c>
      <c r="G156" s="12">
        <f>VLOOKUP($A156,装备强化表,强化辅助表!I$33,FALSE)</f>
        <v>0</v>
      </c>
      <c r="H156" s="12">
        <f>VLOOKUP($A156,装备强化表,强化辅助表!J$33,FALSE)</f>
        <v>0</v>
      </c>
      <c r="I156" s="12">
        <f>VLOOKUP($A156,装备强化表,强化辅助表!K$33,FALSE)</f>
        <v>0</v>
      </c>
      <c r="J156" s="12">
        <f>VLOOKUP($A156,装备强化表,强化辅助表!L$33,FALSE)</f>
        <v>0</v>
      </c>
      <c r="K156" s="12">
        <f>VLOOKUP($A156,装备强化表,强化辅助表!N$33,FALSE)</f>
        <v>93</v>
      </c>
      <c r="L156" s="12">
        <f>VLOOKUP($A156,装备强化表,强化辅助表!O$33,FALSE)</f>
        <v>0</v>
      </c>
      <c r="M156" s="12">
        <f>VLOOKUP($A156,装备强化表,强化辅助表!P$33,FALSE)</f>
        <v>0</v>
      </c>
      <c r="O156">
        <f>VLOOKUP(A156,强化辅助表!$B$36:$Q$194,16,FALSE)</f>
        <v>48.099999999999994</v>
      </c>
    </row>
    <row r="157" spans="1:15" x14ac:dyDescent="0.15">
      <c r="A157" s="5" t="str">
        <f>强化辅助表!B191</f>
        <v>8043</v>
      </c>
      <c r="B157" s="12">
        <f>ROUND(强化辅助表!R191,0)</f>
        <v>5152</v>
      </c>
      <c r="C157" s="94">
        <f>ROUND(强化辅助表!S191,0)</f>
        <v>5152</v>
      </c>
      <c r="D157" s="92">
        <f t="shared" si="4"/>
        <v>103.04</v>
      </c>
      <c r="E157" s="12">
        <f>VLOOKUP($A157,装备强化表,强化辅助表!G$33,FALSE)</f>
        <v>0</v>
      </c>
      <c r="F157" s="12">
        <f>VLOOKUP($A157,装备强化表,强化辅助表!H$33,FALSE)</f>
        <v>50</v>
      </c>
      <c r="G157" s="12">
        <f>VLOOKUP($A157,装备强化表,强化辅助表!I$33,FALSE)</f>
        <v>0</v>
      </c>
      <c r="H157" s="12">
        <f>VLOOKUP($A157,装备强化表,强化辅助表!J$33,FALSE)</f>
        <v>0</v>
      </c>
      <c r="I157" s="12">
        <f>VLOOKUP($A157,装备强化表,强化辅助表!K$33,FALSE)</f>
        <v>156</v>
      </c>
      <c r="J157" s="12">
        <f>VLOOKUP($A157,装备强化表,强化辅助表!L$33,FALSE)</f>
        <v>0</v>
      </c>
      <c r="K157" s="12">
        <f>VLOOKUP($A157,装备强化表,强化辅助表!N$33,FALSE)</f>
        <v>0</v>
      </c>
      <c r="L157" s="12">
        <f>VLOOKUP($A157,装备强化表,强化辅助表!O$33,FALSE)</f>
        <v>0</v>
      </c>
      <c r="M157" s="12">
        <f>VLOOKUP($A157,装备强化表,强化辅助表!P$33,FALSE)</f>
        <v>0</v>
      </c>
      <c r="O157">
        <f>VLOOKUP(A157,强化辅助表!$B$36:$Q$194,16,FALSE)</f>
        <v>103.04</v>
      </c>
    </row>
    <row r="158" spans="1:15" x14ac:dyDescent="0.15">
      <c r="A158" s="5"/>
    </row>
    <row r="159" spans="1:15" x14ac:dyDescent="0.15">
      <c r="A159" s="5"/>
    </row>
    <row r="160" spans="1:15" x14ac:dyDescent="0.15">
      <c r="A160" s="5"/>
    </row>
    <row r="161" spans="1:1" x14ac:dyDescent="0.15">
      <c r="A161" s="5"/>
    </row>
    <row r="162" spans="1:1" x14ac:dyDescent="0.15">
      <c r="A162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81"/>
  <sheetViews>
    <sheetView topLeftCell="A4" workbookViewId="0">
      <selection activeCell="O46" sqref="O46"/>
    </sheetView>
  </sheetViews>
  <sheetFormatPr defaultRowHeight="13.5" x14ac:dyDescent="0.15"/>
  <cols>
    <col min="3" max="3" width="16.125" bestFit="1" customWidth="1"/>
    <col min="4" max="4" width="12.5" style="74" customWidth="1"/>
    <col min="5" max="5" width="11.625" bestFit="1" customWidth="1"/>
  </cols>
  <sheetData>
    <row r="1" spans="1:6" x14ac:dyDescent="0.15">
      <c r="A1" s="5" t="s">
        <v>645</v>
      </c>
      <c r="B1" s="5" t="s">
        <v>648</v>
      </c>
      <c r="C1" s="5" t="s">
        <v>649</v>
      </c>
      <c r="D1" s="41" t="s">
        <v>646</v>
      </c>
      <c r="E1" t="s">
        <v>647</v>
      </c>
    </row>
    <row r="2" spans="1:6" x14ac:dyDescent="0.15">
      <c r="A2" s="5">
        <v>1</v>
      </c>
      <c r="B2" s="5">
        <v>50</v>
      </c>
      <c r="C2" s="5">
        <f>SUM($D$2:D2)</f>
        <v>50</v>
      </c>
      <c r="D2" s="41">
        <f>[1]金币生产率曲线!$M2</f>
        <v>50</v>
      </c>
      <c r="E2">
        <v>1</v>
      </c>
      <c r="F2">
        <f>ROUND(D2*E2,0)</f>
        <v>50</v>
      </c>
    </row>
    <row r="3" spans="1:6" x14ac:dyDescent="0.15">
      <c r="A3" s="5">
        <v>2</v>
      </c>
      <c r="B3" s="5">
        <v>56</v>
      </c>
      <c r="C3" s="5">
        <f>SUM($D$2:D3)</f>
        <v>106</v>
      </c>
      <c r="D3" s="41">
        <f>[1]金币生产率曲线!$M3</f>
        <v>56</v>
      </c>
      <c r="E3">
        <v>1</v>
      </c>
      <c r="F3">
        <f t="shared" ref="F3:F66" si="0">ROUND(D3*E3,0)</f>
        <v>56</v>
      </c>
    </row>
    <row r="4" spans="1:6" x14ac:dyDescent="0.15">
      <c r="A4" s="5">
        <v>3</v>
      </c>
      <c r="B4" s="5">
        <v>62</v>
      </c>
      <c r="C4" s="5">
        <f>SUM($D$2:D4)</f>
        <v>168</v>
      </c>
      <c r="D4" s="41">
        <f>[1]金币生产率曲线!$M4</f>
        <v>62</v>
      </c>
      <c r="E4">
        <v>1</v>
      </c>
      <c r="F4">
        <f t="shared" si="0"/>
        <v>62</v>
      </c>
    </row>
    <row r="5" spans="1:6" x14ac:dyDescent="0.15">
      <c r="A5" s="5">
        <v>4</v>
      </c>
      <c r="B5" s="5">
        <v>68</v>
      </c>
      <c r="C5" s="5">
        <f>SUM($D$2:D5)</f>
        <v>236</v>
      </c>
      <c r="D5" s="41">
        <f>[1]金币生产率曲线!$M5</f>
        <v>68</v>
      </c>
      <c r="E5">
        <v>1</v>
      </c>
      <c r="F5">
        <f t="shared" si="0"/>
        <v>68</v>
      </c>
    </row>
    <row r="6" spans="1:6" x14ac:dyDescent="0.15">
      <c r="A6" s="5">
        <v>5</v>
      </c>
      <c r="B6" s="5">
        <v>74</v>
      </c>
      <c r="C6" s="5">
        <f>SUM($D$2:D6)</f>
        <v>310</v>
      </c>
      <c r="D6" s="41">
        <f>[1]金币生产率曲线!$M6</f>
        <v>74</v>
      </c>
      <c r="E6">
        <v>0.999999999999999</v>
      </c>
      <c r="F6">
        <f t="shared" si="0"/>
        <v>74</v>
      </c>
    </row>
    <row r="7" spans="1:6" x14ac:dyDescent="0.15">
      <c r="A7" s="5">
        <v>6</v>
      </c>
      <c r="B7" s="5">
        <v>88</v>
      </c>
      <c r="C7" s="5">
        <f>SUM($D$2:D7)</f>
        <v>390</v>
      </c>
      <c r="D7" s="41">
        <f>[1]金币生产率曲线!$M7</f>
        <v>80</v>
      </c>
      <c r="E7">
        <v>1.1000000000000001</v>
      </c>
      <c r="F7">
        <f t="shared" si="0"/>
        <v>88</v>
      </c>
    </row>
    <row r="8" spans="1:6" x14ac:dyDescent="0.15">
      <c r="A8" s="5">
        <v>7</v>
      </c>
      <c r="B8" s="5">
        <v>103</v>
      </c>
      <c r="C8" s="5">
        <f>SUM($D$2:D8)</f>
        <v>476</v>
      </c>
      <c r="D8" s="41">
        <f>[1]金币生产率曲线!$M8</f>
        <v>86</v>
      </c>
      <c r="E8">
        <v>1.2</v>
      </c>
      <c r="F8">
        <f t="shared" si="0"/>
        <v>103</v>
      </c>
    </row>
    <row r="9" spans="1:6" x14ac:dyDescent="0.15">
      <c r="A9" s="5">
        <v>8</v>
      </c>
      <c r="B9" s="5">
        <v>120</v>
      </c>
      <c r="C9" s="5">
        <f>SUM($D$2:D9)</f>
        <v>568</v>
      </c>
      <c r="D9" s="41">
        <f>[1]金币生产率曲线!$M9</f>
        <v>92</v>
      </c>
      <c r="E9">
        <v>1.3</v>
      </c>
      <c r="F9">
        <f t="shared" si="0"/>
        <v>120</v>
      </c>
    </row>
    <row r="10" spans="1:6" x14ac:dyDescent="0.15">
      <c r="A10" s="5">
        <v>9</v>
      </c>
      <c r="B10" s="5">
        <v>137</v>
      </c>
      <c r="C10" s="5">
        <f>SUM($D$2:D10)</f>
        <v>666</v>
      </c>
      <c r="D10" s="41">
        <f>[1]金币生产率曲线!$M10</f>
        <v>98</v>
      </c>
      <c r="E10">
        <v>1.4</v>
      </c>
      <c r="F10">
        <f t="shared" si="0"/>
        <v>137</v>
      </c>
    </row>
    <row r="11" spans="1:6" x14ac:dyDescent="0.15">
      <c r="A11" s="5">
        <v>10</v>
      </c>
      <c r="B11" s="5">
        <v>156</v>
      </c>
      <c r="C11" s="5">
        <f>SUM($D$2:D11)</f>
        <v>770</v>
      </c>
      <c r="D11" s="41">
        <f>[1]金币生产率曲线!$M11</f>
        <v>104</v>
      </c>
      <c r="E11">
        <v>1.5</v>
      </c>
      <c r="F11">
        <f t="shared" si="0"/>
        <v>156</v>
      </c>
    </row>
    <row r="12" spans="1:6" x14ac:dyDescent="0.15">
      <c r="A12" s="5">
        <v>11</v>
      </c>
      <c r="B12" s="5">
        <v>176</v>
      </c>
      <c r="C12" s="5">
        <f>SUM($D$2:D12)</f>
        <v>880</v>
      </c>
      <c r="D12" s="41">
        <f>[1]金币生产率曲线!$M12</f>
        <v>110</v>
      </c>
      <c r="E12">
        <v>1.6</v>
      </c>
      <c r="F12">
        <f t="shared" si="0"/>
        <v>176</v>
      </c>
    </row>
    <row r="13" spans="1:6" x14ac:dyDescent="0.15">
      <c r="A13" s="5">
        <v>12</v>
      </c>
      <c r="B13" s="5">
        <v>197</v>
      </c>
      <c r="C13" s="5">
        <f>SUM($D$2:D13)</f>
        <v>996</v>
      </c>
      <c r="D13" s="41">
        <f>[1]金币生产率曲线!$M13</f>
        <v>116</v>
      </c>
      <c r="E13">
        <v>1.7</v>
      </c>
      <c r="F13">
        <f t="shared" si="0"/>
        <v>197</v>
      </c>
    </row>
    <row r="14" spans="1:6" x14ac:dyDescent="0.15">
      <c r="A14" s="5">
        <v>13</v>
      </c>
      <c r="B14" s="5">
        <v>220</v>
      </c>
      <c r="C14" s="5">
        <f>SUM($D$2:D14)</f>
        <v>1118</v>
      </c>
      <c r="D14" s="41">
        <f>[1]金币生产率曲线!$M14</f>
        <v>122</v>
      </c>
      <c r="E14">
        <v>1.8</v>
      </c>
      <c r="F14">
        <f t="shared" si="0"/>
        <v>220</v>
      </c>
    </row>
    <row r="15" spans="1:6" x14ac:dyDescent="0.15">
      <c r="A15" s="5">
        <v>14</v>
      </c>
      <c r="B15" s="5">
        <v>243</v>
      </c>
      <c r="C15" s="5">
        <f>SUM($D$2:D15)</f>
        <v>1246</v>
      </c>
      <c r="D15" s="41">
        <f>[1]金币生产率曲线!$M15</f>
        <v>128</v>
      </c>
      <c r="E15">
        <v>1.9</v>
      </c>
      <c r="F15">
        <f t="shared" si="0"/>
        <v>243</v>
      </c>
    </row>
    <row r="16" spans="1:6" x14ac:dyDescent="0.15">
      <c r="A16" s="5">
        <v>15</v>
      </c>
      <c r="B16" s="5">
        <v>268</v>
      </c>
      <c r="C16" s="5">
        <f>SUM($D$2:D16)</f>
        <v>1380</v>
      </c>
      <c r="D16" s="41">
        <f>[1]金币生产率曲线!$M16</f>
        <v>134</v>
      </c>
      <c r="E16">
        <v>2</v>
      </c>
      <c r="F16">
        <f t="shared" si="0"/>
        <v>268</v>
      </c>
    </row>
    <row r="17" spans="1:6" x14ac:dyDescent="0.15">
      <c r="A17" s="5">
        <v>16</v>
      </c>
      <c r="B17" s="5">
        <v>280</v>
      </c>
      <c r="C17" s="5">
        <f>SUM($D$2:D17)</f>
        <v>1520</v>
      </c>
      <c r="D17" s="41">
        <f>[1]金币生产率曲线!$M17</f>
        <v>140</v>
      </c>
      <c r="E17">
        <v>2</v>
      </c>
      <c r="F17">
        <f t="shared" si="0"/>
        <v>280</v>
      </c>
    </row>
    <row r="18" spans="1:6" x14ac:dyDescent="0.15">
      <c r="A18" s="5">
        <v>17</v>
      </c>
      <c r="B18" s="5">
        <v>292</v>
      </c>
      <c r="C18" s="5">
        <f>SUM($D$2:D18)</f>
        <v>1666</v>
      </c>
      <c r="D18" s="41">
        <f>[1]金币生产率曲线!$M18</f>
        <v>146</v>
      </c>
      <c r="E18">
        <v>2</v>
      </c>
      <c r="F18">
        <f t="shared" si="0"/>
        <v>292</v>
      </c>
    </row>
    <row r="19" spans="1:6" x14ac:dyDescent="0.15">
      <c r="A19" s="5">
        <v>18</v>
      </c>
      <c r="B19" s="5">
        <v>304</v>
      </c>
      <c r="C19" s="5">
        <f>SUM($D$2:D19)</f>
        <v>1818</v>
      </c>
      <c r="D19" s="41">
        <f>[1]金币生产率曲线!$M19</f>
        <v>152</v>
      </c>
      <c r="E19">
        <v>2</v>
      </c>
      <c r="F19">
        <f t="shared" si="0"/>
        <v>304</v>
      </c>
    </row>
    <row r="20" spans="1:6" x14ac:dyDescent="0.15">
      <c r="A20" s="5">
        <v>19</v>
      </c>
      <c r="B20" s="5">
        <v>316</v>
      </c>
      <c r="C20" s="5">
        <f>SUM($D$2:D20)</f>
        <v>1976</v>
      </c>
      <c r="D20" s="41">
        <f>[1]金币生产率曲线!$M20</f>
        <v>158</v>
      </c>
      <c r="E20">
        <v>2</v>
      </c>
      <c r="F20">
        <f t="shared" si="0"/>
        <v>316</v>
      </c>
    </row>
    <row r="21" spans="1:6" x14ac:dyDescent="0.15">
      <c r="A21" s="5">
        <v>20</v>
      </c>
      <c r="B21" s="5">
        <v>364</v>
      </c>
      <c r="C21" s="5">
        <f>SUM($D$2:D21)</f>
        <v>2158</v>
      </c>
      <c r="D21" s="41">
        <f>[1]金币生产率曲线!$M21</f>
        <v>182</v>
      </c>
      <c r="E21">
        <v>2</v>
      </c>
      <c r="F21">
        <f t="shared" si="0"/>
        <v>364</v>
      </c>
    </row>
    <row r="22" spans="1:6" x14ac:dyDescent="0.15">
      <c r="A22" s="5">
        <v>21</v>
      </c>
      <c r="B22" s="5">
        <v>420</v>
      </c>
      <c r="C22" s="5">
        <f>SUM($D$2:D22)</f>
        <v>2368</v>
      </c>
      <c r="D22" s="41">
        <f>[1]金币生产率曲线!$M22</f>
        <v>210</v>
      </c>
      <c r="E22">
        <v>2</v>
      </c>
      <c r="F22">
        <f t="shared" si="0"/>
        <v>420</v>
      </c>
    </row>
    <row r="23" spans="1:6" x14ac:dyDescent="0.15">
      <c r="A23" s="5">
        <v>22</v>
      </c>
      <c r="B23" s="5">
        <v>478</v>
      </c>
      <c r="C23" s="5">
        <f>SUM($D$2:D23)</f>
        <v>2607</v>
      </c>
      <c r="D23" s="41">
        <f>[1]金币生产率曲线!$M23</f>
        <v>239</v>
      </c>
      <c r="E23">
        <v>2</v>
      </c>
      <c r="F23">
        <f t="shared" si="0"/>
        <v>478</v>
      </c>
    </row>
    <row r="24" spans="1:6" x14ac:dyDescent="0.15">
      <c r="A24" s="5">
        <v>23</v>
      </c>
      <c r="B24" s="5">
        <v>540</v>
      </c>
      <c r="C24" s="5">
        <f>SUM($D$2:D24)</f>
        <v>2877</v>
      </c>
      <c r="D24" s="41">
        <f>[1]金币生产率曲线!$M24</f>
        <v>270</v>
      </c>
      <c r="E24">
        <v>2</v>
      </c>
      <c r="F24">
        <f t="shared" si="0"/>
        <v>540</v>
      </c>
    </row>
    <row r="25" spans="1:6" x14ac:dyDescent="0.15">
      <c r="A25" s="5">
        <v>24</v>
      </c>
      <c r="B25" s="5">
        <v>604</v>
      </c>
      <c r="C25" s="5">
        <f>SUM($D$2:D25)</f>
        <v>3179</v>
      </c>
      <c r="D25" s="41">
        <f>[1]金币生产率曲线!$M25</f>
        <v>302</v>
      </c>
      <c r="E25">
        <v>2</v>
      </c>
      <c r="F25">
        <f t="shared" si="0"/>
        <v>604</v>
      </c>
    </row>
    <row r="26" spans="1:6" x14ac:dyDescent="0.15">
      <c r="A26" s="5">
        <v>25</v>
      </c>
      <c r="B26" s="5">
        <v>670</v>
      </c>
      <c r="C26" s="5">
        <f>SUM($D$2:D26)</f>
        <v>3514</v>
      </c>
      <c r="D26" s="41">
        <f>[1]金币生产率曲线!$M26</f>
        <v>335</v>
      </c>
      <c r="E26">
        <v>2</v>
      </c>
      <c r="F26">
        <f t="shared" si="0"/>
        <v>670</v>
      </c>
    </row>
    <row r="27" spans="1:6" x14ac:dyDescent="0.15">
      <c r="A27" s="5">
        <v>26</v>
      </c>
      <c r="B27" s="5">
        <v>740</v>
      </c>
      <c r="C27" s="5">
        <f>SUM($D$2:D27)</f>
        <v>3884</v>
      </c>
      <c r="D27" s="41">
        <f>[1]金币生产率曲线!$M27</f>
        <v>370</v>
      </c>
      <c r="E27">
        <v>2</v>
      </c>
      <c r="F27">
        <f t="shared" si="0"/>
        <v>740</v>
      </c>
    </row>
    <row r="28" spans="1:6" x14ac:dyDescent="0.15">
      <c r="A28" s="5">
        <v>27</v>
      </c>
      <c r="B28" s="5">
        <v>812</v>
      </c>
      <c r="C28" s="5">
        <f>SUM($D$2:D28)</f>
        <v>4290</v>
      </c>
      <c r="D28" s="41">
        <f>[1]金币生产率曲线!$M28</f>
        <v>406</v>
      </c>
      <c r="E28">
        <v>2</v>
      </c>
      <c r="F28">
        <f t="shared" si="0"/>
        <v>812</v>
      </c>
    </row>
    <row r="29" spans="1:6" x14ac:dyDescent="0.15">
      <c r="A29" s="5">
        <v>28</v>
      </c>
      <c r="B29" s="5">
        <v>886</v>
      </c>
      <c r="C29" s="5">
        <f>SUM($D$2:D29)</f>
        <v>4733</v>
      </c>
      <c r="D29" s="41">
        <f>[1]金币生产率曲线!$M29</f>
        <v>443</v>
      </c>
      <c r="E29">
        <v>2</v>
      </c>
      <c r="F29">
        <f t="shared" si="0"/>
        <v>886</v>
      </c>
    </row>
    <row r="30" spans="1:6" x14ac:dyDescent="0.15">
      <c r="A30" s="5">
        <v>29</v>
      </c>
      <c r="B30" s="5">
        <v>964</v>
      </c>
      <c r="C30" s="5">
        <f>SUM($D$2:D30)</f>
        <v>5215</v>
      </c>
      <c r="D30" s="41">
        <f>[1]金币生产率曲线!$M30</f>
        <v>482</v>
      </c>
      <c r="E30">
        <v>2</v>
      </c>
      <c r="F30">
        <f t="shared" si="0"/>
        <v>964</v>
      </c>
    </row>
    <row r="31" spans="1:6" x14ac:dyDescent="0.15">
      <c r="A31" s="5">
        <v>30</v>
      </c>
      <c r="B31" s="5">
        <v>1044</v>
      </c>
      <c r="C31" s="5">
        <f>SUM($D$2:D31)</f>
        <v>5737</v>
      </c>
      <c r="D31" s="41">
        <f>[1]金币生产率曲线!$M31</f>
        <v>522</v>
      </c>
      <c r="E31">
        <v>2</v>
      </c>
      <c r="F31">
        <f t="shared" si="0"/>
        <v>1044</v>
      </c>
    </row>
    <row r="32" spans="1:6" x14ac:dyDescent="0.15">
      <c r="A32" s="5">
        <v>31</v>
      </c>
      <c r="B32" s="5">
        <v>1126</v>
      </c>
      <c r="C32" s="5">
        <f>SUM($D$2:D32)</f>
        <v>6300</v>
      </c>
      <c r="D32" s="41">
        <f>[1]金币生产率曲线!$M32</f>
        <v>563</v>
      </c>
      <c r="E32">
        <v>2</v>
      </c>
      <c r="F32">
        <f t="shared" si="0"/>
        <v>1126</v>
      </c>
    </row>
    <row r="33" spans="1:6" x14ac:dyDescent="0.15">
      <c r="A33" s="5">
        <v>32</v>
      </c>
      <c r="B33" s="5">
        <v>1212</v>
      </c>
      <c r="C33" s="5">
        <f>SUM($D$2:D33)</f>
        <v>6906</v>
      </c>
      <c r="D33" s="41">
        <f>[1]金币生产率曲线!$M33</f>
        <v>606</v>
      </c>
      <c r="E33">
        <v>2</v>
      </c>
      <c r="F33">
        <f t="shared" si="0"/>
        <v>1212</v>
      </c>
    </row>
    <row r="34" spans="1:6" x14ac:dyDescent="0.15">
      <c r="A34" s="5">
        <v>33</v>
      </c>
      <c r="B34" s="5">
        <v>1302</v>
      </c>
      <c r="C34" s="5">
        <f>SUM($D$2:D34)</f>
        <v>7557</v>
      </c>
      <c r="D34" s="41">
        <f>[1]金币生产率曲线!$M34</f>
        <v>651</v>
      </c>
      <c r="E34">
        <v>2</v>
      </c>
      <c r="F34">
        <f t="shared" si="0"/>
        <v>1302</v>
      </c>
    </row>
    <row r="35" spans="1:6" x14ac:dyDescent="0.15">
      <c r="A35" s="5">
        <v>34</v>
      </c>
      <c r="B35" s="5">
        <v>1392</v>
      </c>
      <c r="C35" s="5">
        <f>SUM($D$2:D35)</f>
        <v>8253</v>
      </c>
      <c r="D35" s="41">
        <f>[1]金币生产率曲线!$M35</f>
        <v>696</v>
      </c>
      <c r="E35">
        <v>2</v>
      </c>
      <c r="F35">
        <f t="shared" si="0"/>
        <v>1392</v>
      </c>
    </row>
    <row r="36" spans="1:6" x14ac:dyDescent="0.15">
      <c r="A36" s="5">
        <v>35</v>
      </c>
      <c r="B36" s="5">
        <v>1486</v>
      </c>
      <c r="C36" s="5">
        <f>SUM($D$2:D36)</f>
        <v>8996</v>
      </c>
      <c r="D36" s="41">
        <f>[1]金币生产率曲线!$M36</f>
        <v>743</v>
      </c>
      <c r="E36">
        <v>2</v>
      </c>
      <c r="F36">
        <f t="shared" si="0"/>
        <v>1486</v>
      </c>
    </row>
    <row r="37" spans="1:6" x14ac:dyDescent="0.15">
      <c r="A37" s="5">
        <v>36</v>
      </c>
      <c r="B37" s="5">
        <v>1582</v>
      </c>
      <c r="C37" s="5">
        <f>SUM($D$2:D37)</f>
        <v>9787</v>
      </c>
      <c r="D37" s="41">
        <f>[1]金币生产率曲线!$M37</f>
        <v>791</v>
      </c>
      <c r="E37">
        <v>2</v>
      </c>
      <c r="F37">
        <f t="shared" si="0"/>
        <v>1582</v>
      </c>
    </row>
    <row r="38" spans="1:6" x14ac:dyDescent="0.15">
      <c r="A38" s="5">
        <v>37</v>
      </c>
      <c r="B38" s="5">
        <v>1682</v>
      </c>
      <c r="C38" s="5">
        <f>SUM($D$2:D38)</f>
        <v>10628</v>
      </c>
      <c r="D38" s="41">
        <f>[1]金币生产率曲线!$M38</f>
        <v>841</v>
      </c>
      <c r="E38">
        <v>2</v>
      </c>
      <c r="F38">
        <f t="shared" si="0"/>
        <v>1682</v>
      </c>
    </row>
    <row r="39" spans="1:6" x14ac:dyDescent="0.15">
      <c r="A39" s="5">
        <v>38</v>
      </c>
      <c r="B39" s="5">
        <v>1784</v>
      </c>
      <c r="C39" s="5">
        <f>SUM($D$2:D39)</f>
        <v>11520</v>
      </c>
      <c r="D39" s="41">
        <f>[1]金币生产率曲线!$M39</f>
        <v>892</v>
      </c>
      <c r="E39">
        <v>2</v>
      </c>
      <c r="F39">
        <f t="shared" si="0"/>
        <v>1784</v>
      </c>
    </row>
    <row r="40" spans="1:6" x14ac:dyDescent="0.15">
      <c r="A40" s="5">
        <v>39</v>
      </c>
      <c r="B40" s="5">
        <v>1888</v>
      </c>
      <c r="C40" s="5">
        <f>SUM($D$2:D40)</f>
        <v>12464</v>
      </c>
      <c r="D40" s="41">
        <f>[1]金币生产率曲线!$M40</f>
        <v>944</v>
      </c>
      <c r="E40">
        <v>2</v>
      </c>
      <c r="F40">
        <f t="shared" si="0"/>
        <v>1888</v>
      </c>
    </row>
    <row r="41" spans="1:6" x14ac:dyDescent="0.15">
      <c r="A41" s="5">
        <v>40</v>
      </c>
      <c r="B41" s="5">
        <v>1996</v>
      </c>
      <c r="C41" s="5">
        <f>SUM($D$2:D41)</f>
        <v>13462</v>
      </c>
      <c r="D41" s="41">
        <f>[1]金币生产率曲线!$M41</f>
        <v>998</v>
      </c>
      <c r="E41">
        <v>2</v>
      </c>
      <c r="F41">
        <f t="shared" si="0"/>
        <v>1996</v>
      </c>
    </row>
    <row r="42" spans="1:6" x14ac:dyDescent="0.15">
      <c r="A42" s="5">
        <v>41</v>
      </c>
      <c r="B42" s="5">
        <v>2106</v>
      </c>
      <c r="C42" s="5">
        <f>SUM($D$2:D42)</f>
        <v>14515</v>
      </c>
      <c r="D42" s="41">
        <f>[1]金币生产率曲线!$M42</f>
        <v>1053</v>
      </c>
      <c r="E42">
        <v>2</v>
      </c>
      <c r="F42">
        <f t="shared" si="0"/>
        <v>2106</v>
      </c>
    </row>
    <row r="43" spans="1:6" x14ac:dyDescent="0.15">
      <c r="A43" s="5">
        <v>42</v>
      </c>
      <c r="B43" s="5">
        <v>2220</v>
      </c>
      <c r="C43" s="5">
        <f>SUM($D$2:D43)</f>
        <v>15625</v>
      </c>
      <c r="D43" s="41">
        <f>[1]金币生产率曲线!$M43</f>
        <v>1110</v>
      </c>
      <c r="E43">
        <v>2</v>
      </c>
      <c r="F43">
        <f t="shared" si="0"/>
        <v>2220</v>
      </c>
    </row>
    <row r="44" spans="1:6" x14ac:dyDescent="0.15">
      <c r="A44" s="5">
        <v>43</v>
      </c>
      <c r="B44" s="5">
        <v>2334</v>
      </c>
      <c r="C44" s="5">
        <f>SUM($D$2:D44)</f>
        <v>16792</v>
      </c>
      <c r="D44" s="41">
        <f>[1]金币生产率曲线!$M44</f>
        <v>1167</v>
      </c>
      <c r="E44">
        <v>2</v>
      </c>
      <c r="F44">
        <f t="shared" si="0"/>
        <v>2334</v>
      </c>
    </row>
    <row r="45" spans="1:6" x14ac:dyDescent="0.15">
      <c r="A45" s="5">
        <v>44</v>
      </c>
      <c r="B45" s="5">
        <v>2452</v>
      </c>
      <c r="C45" s="5">
        <f>SUM($D$2:D45)</f>
        <v>18018</v>
      </c>
      <c r="D45" s="41">
        <f>[1]金币生产率曲线!$M45</f>
        <v>1226</v>
      </c>
      <c r="E45">
        <v>2</v>
      </c>
      <c r="F45">
        <f t="shared" si="0"/>
        <v>2452</v>
      </c>
    </row>
    <row r="46" spans="1:6" x14ac:dyDescent="0.15">
      <c r="A46" s="5">
        <v>45</v>
      </c>
      <c r="B46" s="5">
        <v>2574</v>
      </c>
      <c r="C46" s="5">
        <f>SUM($D$2:D46)</f>
        <v>19305</v>
      </c>
      <c r="D46" s="41">
        <f>[1]金币生产率曲线!$M46</f>
        <v>1287</v>
      </c>
      <c r="E46">
        <v>2</v>
      </c>
      <c r="F46">
        <f t="shared" si="0"/>
        <v>2574</v>
      </c>
    </row>
    <row r="47" spans="1:6" x14ac:dyDescent="0.15">
      <c r="A47" s="5">
        <v>46</v>
      </c>
      <c r="B47" s="5">
        <v>2698</v>
      </c>
      <c r="C47" s="5">
        <f>SUM($D$2:D47)</f>
        <v>20654</v>
      </c>
      <c r="D47" s="41">
        <f>[1]金币生产率曲线!$M47</f>
        <v>1349</v>
      </c>
      <c r="E47">
        <v>2</v>
      </c>
      <c r="F47">
        <f t="shared" si="0"/>
        <v>2698</v>
      </c>
    </row>
    <row r="48" spans="1:6" x14ac:dyDescent="0.15">
      <c r="A48" s="5">
        <v>47</v>
      </c>
      <c r="B48" s="5">
        <v>2824</v>
      </c>
      <c r="C48" s="5">
        <f>SUM($D$2:D48)</f>
        <v>22066</v>
      </c>
      <c r="D48" s="41">
        <f>[1]金币生产率曲线!$M48</f>
        <v>1412</v>
      </c>
      <c r="E48">
        <v>2</v>
      </c>
      <c r="F48">
        <f t="shared" si="0"/>
        <v>2824</v>
      </c>
    </row>
    <row r="49" spans="1:6" x14ac:dyDescent="0.15">
      <c r="A49" s="5">
        <v>48</v>
      </c>
      <c r="B49" s="5">
        <v>2954</v>
      </c>
      <c r="C49" s="5">
        <f>SUM($D$2:D49)</f>
        <v>23543</v>
      </c>
      <c r="D49" s="41">
        <f>[1]金币生产率曲线!$M49</f>
        <v>1477</v>
      </c>
      <c r="E49">
        <v>2</v>
      </c>
      <c r="F49">
        <f t="shared" si="0"/>
        <v>2954</v>
      </c>
    </row>
    <row r="50" spans="1:6" x14ac:dyDescent="0.15">
      <c r="A50" s="5">
        <v>49</v>
      </c>
      <c r="B50" s="5">
        <v>3086</v>
      </c>
      <c r="C50" s="5">
        <f>SUM($D$2:D50)</f>
        <v>25086</v>
      </c>
      <c r="D50" s="41">
        <f>[1]金币生产率曲线!$M50</f>
        <v>1543</v>
      </c>
      <c r="E50">
        <v>2</v>
      </c>
      <c r="F50">
        <f t="shared" si="0"/>
        <v>3086</v>
      </c>
    </row>
    <row r="51" spans="1:6" x14ac:dyDescent="0.15">
      <c r="A51" s="5">
        <v>50</v>
      </c>
      <c r="B51" s="5">
        <v>3220</v>
      </c>
      <c r="C51" s="5">
        <f>SUM($D$2:D51)</f>
        <v>26696</v>
      </c>
      <c r="D51" s="41">
        <f>[1]金币生产率曲线!$M51</f>
        <v>1610</v>
      </c>
      <c r="E51">
        <v>2</v>
      </c>
      <c r="F51">
        <f t="shared" si="0"/>
        <v>3220</v>
      </c>
    </row>
    <row r="52" spans="1:6" x14ac:dyDescent="0.15">
      <c r="A52" s="5">
        <v>51</v>
      </c>
      <c r="B52" s="5">
        <v>3358</v>
      </c>
      <c r="C52" s="5">
        <f>SUM($D$2:D52)</f>
        <v>28375</v>
      </c>
      <c r="D52" s="41">
        <f>[1]金币生产率曲线!$M52</f>
        <v>1679</v>
      </c>
      <c r="E52">
        <v>2</v>
      </c>
      <c r="F52">
        <f t="shared" si="0"/>
        <v>3358</v>
      </c>
    </row>
    <row r="53" spans="1:6" x14ac:dyDescent="0.15">
      <c r="A53" s="5">
        <v>52</v>
      </c>
      <c r="B53" s="5">
        <v>3498</v>
      </c>
      <c r="C53" s="5">
        <f>SUM($D$2:D53)</f>
        <v>30124</v>
      </c>
      <c r="D53" s="41">
        <f>[1]金币生产率曲线!$M53</f>
        <v>1749</v>
      </c>
      <c r="E53">
        <v>2</v>
      </c>
      <c r="F53">
        <f t="shared" si="0"/>
        <v>3498</v>
      </c>
    </row>
    <row r="54" spans="1:6" x14ac:dyDescent="0.15">
      <c r="A54" s="5">
        <v>53</v>
      </c>
      <c r="B54" s="5">
        <v>3640</v>
      </c>
      <c r="C54" s="5">
        <f>SUM($D$2:D54)</f>
        <v>31944</v>
      </c>
      <c r="D54" s="41">
        <f>[1]金币生产率曲线!$M54</f>
        <v>1820</v>
      </c>
      <c r="E54">
        <v>2</v>
      </c>
      <c r="F54">
        <f t="shared" si="0"/>
        <v>3640</v>
      </c>
    </row>
    <row r="55" spans="1:6" x14ac:dyDescent="0.15">
      <c r="A55" s="5">
        <v>54</v>
      </c>
      <c r="B55" s="5">
        <v>3786</v>
      </c>
      <c r="C55" s="5">
        <f>SUM($D$2:D55)</f>
        <v>33837</v>
      </c>
      <c r="D55" s="41">
        <f>[1]金币生产率曲线!$M55</f>
        <v>1893</v>
      </c>
      <c r="E55">
        <v>2</v>
      </c>
      <c r="F55">
        <f t="shared" si="0"/>
        <v>3786</v>
      </c>
    </row>
    <row r="56" spans="1:6" x14ac:dyDescent="0.15">
      <c r="A56" s="5">
        <v>55</v>
      </c>
      <c r="B56" s="5">
        <v>3934</v>
      </c>
      <c r="C56" s="5">
        <f>SUM($D$2:D56)</f>
        <v>35804</v>
      </c>
      <c r="D56" s="41">
        <f>[1]金币生产率曲线!$M56</f>
        <v>1967</v>
      </c>
      <c r="E56">
        <v>2</v>
      </c>
      <c r="F56">
        <f t="shared" si="0"/>
        <v>3934</v>
      </c>
    </row>
    <row r="57" spans="1:6" x14ac:dyDescent="0.15">
      <c r="A57" s="5">
        <v>56</v>
      </c>
      <c r="B57" s="5">
        <v>4084</v>
      </c>
      <c r="C57" s="5">
        <f>SUM($D$2:D57)</f>
        <v>37846</v>
      </c>
      <c r="D57" s="41">
        <f>[1]金币生产率曲线!$M57</f>
        <v>2042</v>
      </c>
      <c r="E57">
        <v>2</v>
      </c>
      <c r="F57">
        <f t="shared" si="0"/>
        <v>4084</v>
      </c>
    </row>
    <row r="58" spans="1:6" x14ac:dyDescent="0.15">
      <c r="A58" s="5">
        <v>57</v>
      </c>
      <c r="B58" s="5">
        <v>4238</v>
      </c>
      <c r="C58" s="5">
        <f>SUM($D$2:D58)</f>
        <v>39965</v>
      </c>
      <c r="D58" s="41">
        <f>[1]金币生产率曲线!$M58</f>
        <v>2119</v>
      </c>
      <c r="E58">
        <v>2</v>
      </c>
      <c r="F58">
        <f t="shared" si="0"/>
        <v>4238</v>
      </c>
    </row>
    <row r="59" spans="1:6" x14ac:dyDescent="0.15">
      <c r="A59" s="5">
        <v>58</v>
      </c>
      <c r="B59" s="5">
        <v>4396</v>
      </c>
      <c r="C59" s="5">
        <f>SUM($D$2:D59)</f>
        <v>42163</v>
      </c>
      <c r="D59" s="41">
        <f>[1]金币生产率曲线!$M59</f>
        <v>2198</v>
      </c>
      <c r="E59">
        <v>2</v>
      </c>
      <c r="F59">
        <f t="shared" si="0"/>
        <v>4396</v>
      </c>
    </row>
    <row r="60" spans="1:6" x14ac:dyDescent="0.15">
      <c r="A60" s="5">
        <v>59</v>
      </c>
      <c r="B60" s="5">
        <v>4554</v>
      </c>
      <c r="C60" s="5">
        <f>SUM($D$2:D60)</f>
        <v>44440</v>
      </c>
      <c r="D60" s="41">
        <f>[1]金币生产率曲线!$M60</f>
        <v>2277</v>
      </c>
      <c r="E60">
        <v>2</v>
      </c>
      <c r="F60">
        <f t="shared" si="0"/>
        <v>4554</v>
      </c>
    </row>
    <row r="61" spans="1:6" x14ac:dyDescent="0.15">
      <c r="A61" s="5">
        <v>60</v>
      </c>
      <c r="B61" s="5">
        <v>4716</v>
      </c>
      <c r="C61" s="5">
        <f>SUM($D$2:D61)</f>
        <v>46798</v>
      </c>
      <c r="D61" s="41">
        <f>[1]金币生产率曲线!$M61</f>
        <v>2358</v>
      </c>
      <c r="E61">
        <v>2</v>
      </c>
      <c r="F61">
        <f t="shared" si="0"/>
        <v>4716</v>
      </c>
    </row>
    <row r="62" spans="1:6" x14ac:dyDescent="0.15">
      <c r="A62" s="5">
        <v>61</v>
      </c>
      <c r="B62" s="5">
        <v>4880</v>
      </c>
      <c r="C62" s="5">
        <f>SUM($D$2:D62)</f>
        <v>49238</v>
      </c>
      <c r="D62" s="41">
        <f>[1]金币生产率曲线!$M62</f>
        <v>2440</v>
      </c>
      <c r="E62">
        <v>2</v>
      </c>
      <c r="F62">
        <f t="shared" si="0"/>
        <v>4880</v>
      </c>
    </row>
    <row r="63" spans="1:6" x14ac:dyDescent="0.15">
      <c r="A63" s="5">
        <v>62</v>
      </c>
      <c r="B63" s="5">
        <v>5048</v>
      </c>
      <c r="C63" s="5">
        <f>SUM($D$2:D63)</f>
        <v>51762</v>
      </c>
      <c r="D63" s="41">
        <f>[1]金币生产率曲线!$M63</f>
        <v>2524</v>
      </c>
      <c r="E63">
        <v>2</v>
      </c>
      <c r="F63">
        <f t="shared" si="0"/>
        <v>5048</v>
      </c>
    </row>
    <row r="64" spans="1:6" x14ac:dyDescent="0.15">
      <c r="A64" s="5">
        <v>63</v>
      </c>
      <c r="B64" s="5">
        <v>5218</v>
      </c>
      <c r="C64" s="5">
        <f>SUM($D$2:D64)</f>
        <v>54371</v>
      </c>
      <c r="D64" s="41">
        <f>[1]金币生产率曲线!$M64</f>
        <v>2609</v>
      </c>
      <c r="E64">
        <v>2</v>
      </c>
      <c r="F64">
        <f t="shared" si="0"/>
        <v>5218</v>
      </c>
    </row>
    <row r="65" spans="1:6" x14ac:dyDescent="0.15">
      <c r="A65" s="5">
        <v>64</v>
      </c>
      <c r="B65" s="5">
        <v>5390</v>
      </c>
      <c r="C65" s="5">
        <f>SUM($D$2:D65)</f>
        <v>57066</v>
      </c>
      <c r="D65" s="41">
        <f>[1]金币生产率曲线!$M65</f>
        <v>2695</v>
      </c>
      <c r="E65">
        <v>2</v>
      </c>
      <c r="F65">
        <f t="shared" si="0"/>
        <v>5390</v>
      </c>
    </row>
    <row r="66" spans="1:6" x14ac:dyDescent="0.15">
      <c r="A66" s="5">
        <v>65</v>
      </c>
      <c r="B66" s="5">
        <v>5566</v>
      </c>
      <c r="C66" s="5">
        <f>SUM($D$2:D66)</f>
        <v>59849</v>
      </c>
      <c r="D66" s="41">
        <f>[1]金币生产率曲线!$M66</f>
        <v>2783</v>
      </c>
      <c r="E66">
        <v>2</v>
      </c>
      <c r="F66">
        <f t="shared" si="0"/>
        <v>5566</v>
      </c>
    </row>
    <row r="67" spans="1:6" x14ac:dyDescent="0.15">
      <c r="A67" s="5">
        <v>66</v>
      </c>
      <c r="B67" s="5">
        <v>5744</v>
      </c>
      <c r="C67" s="5">
        <f>SUM($D$2:D67)</f>
        <v>62721</v>
      </c>
      <c r="D67" s="41">
        <f>[1]金币生产率曲线!$M67</f>
        <v>2872</v>
      </c>
      <c r="E67">
        <v>2</v>
      </c>
      <c r="F67">
        <f t="shared" ref="F67:F81" si="1">ROUND(D67*E67,0)</f>
        <v>5744</v>
      </c>
    </row>
    <row r="68" spans="1:6" x14ac:dyDescent="0.15">
      <c r="A68" s="5">
        <v>67</v>
      </c>
      <c r="B68" s="5">
        <v>5926</v>
      </c>
      <c r="C68" s="5">
        <f>SUM($D$2:D68)</f>
        <v>65684</v>
      </c>
      <c r="D68" s="41">
        <f>[1]金币生产率曲线!$M68</f>
        <v>2963</v>
      </c>
      <c r="E68">
        <v>2</v>
      </c>
      <c r="F68">
        <f t="shared" si="1"/>
        <v>5926</v>
      </c>
    </row>
    <row r="69" spans="1:6" x14ac:dyDescent="0.15">
      <c r="A69" s="5">
        <v>68</v>
      </c>
      <c r="B69" s="5">
        <v>6108</v>
      </c>
      <c r="C69" s="5">
        <f>SUM($D$2:D69)</f>
        <v>68738</v>
      </c>
      <c r="D69" s="41">
        <f>[1]金币生产率曲线!$M69</f>
        <v>3054</v>
      </c>
      <c r="E69">
        <v>2</v>
      </c>
      <c r="F69">
        <f t="shared" si="1"/>
        <v>6108</v>
      </c>
    </row>
    <row r="70" spans="1:6" x14ac:dyDescent="0.15">
      <c r="A70" s="5">
        <v>69</v>
      </c>
      <c r="B70" s="5">
        <v>6294</v>
      </c>
      <c r="C70" s="5">
        <f>SUM($D$2:D70)</f>
        <v>71885</v>
      </c>
      <c r="D70" s="41">
        <f>[1]金币生产率曲线!$M70</f>
        <v>3147</v>
      </c>
      <c r="E70">
        <v>2</v>
      </c>
      <c r="F70">
        <f t="shared" si="1"/>
        <v>6294</v>
      </c>
    </row>
    <row r="71" spans="1:6" x14ac:dyDescent="0.15">
      <c r="A71" s="5">
        <v>70</v>
      </c>
      <c r="B71" s="5">
        <v>6484</v>
      </c>
      <c r="C71" s="5">
        <f>SUM($D$2:D71)</f>
        <v>75127</v>
      </c>
      <c r="D71" s="41">
        <f>[1]金币生产率曲线!$M71</f>
        <v>3242</v>
      </c>
      <c r="E71">
        <v>2</v>
      </c>
      <c r="F71">
        <f t="shared" si="1"/>
        <v>6484</v>
      </c>
    </row>
    <row r="72" spans="1:6" x14ac:dyDescent="0.15">
      <c r="A72" s="5">
        <v>71</v>
      </c>
      <c r="B72" s="5">
        <v>6676</v>
      </c>
      <c r="C72" s="5">
        <f>SUM($D$2:D72)</f>
        <v>78465</v>
      </c>
      <c r="D72" s="41">
        <f>[1]金币生产率曲线!$M72</f>
        <v>3338</v>
      </c>
      <c r="E72">
        <v>2</v>
      </c>
      <c r="F72">
        <f t="shared" si="1"/>
        <v>6676</v>
      </c>
    </row>
    <row r="73" spans="1:6" x14ac:dyDescent="0.15">
      <c r="A73" s="5">
        <v>72</v>
      </c>
      <c r="B73" s="5">
        <v>6870</v>
      </c>
      <c r="C73" s="5">
        <f>SUM($D$2:D73)</f>
        <v>81900</v>
      </c>
      <c r="D73" s="41">
        <f>[1]金币生产率曲线!$M73</f>
        <v>3435</v>
      </c>
      <c r="E73">
        <v>2</v>
      </c>
      <c r="F73">
        <f t="shared" si="1"/>
        <v>6870</v>
      </c>
    </row>
    <row r="74" spans="1:6" x14ac:dyDescent="0.15">
      <c r="A74" s="5">
        <v>73</v>
      </c>
      <c r="B74" s="5">
        <v>7068</v>
      </c>
      <c r="C74" s="5">
        <f>SUM($D$2:D74)</f>
        <v>85434</v>
      </c>
      <c r="D74" s="41">
        <f>[1]金币生产率曲线!$M74</f>
        <v>3534</v>
      </c>
      <c r="E74">
        <v>2</v>
      </c>
      <c r="F74">
        <f t="shared" si="1"/>
        <v>7068</v>
      </c>
    </row>
    <row r="75" spans="1:6" x14ac:dyDescent="0.15">
      <c r="A75" s="5">
        <v>74</v>
      </c>
      <c r="B75" s="5">
        <v>7268</v>
      </c>
      <c r="C75" s="5">
        <f>SUM($D$2:D75)</f>
        <v>89068</v>
      </c>
      <c r="D75" s="41">
        <f>[1]金币生产率曲线!$M75</f>
        <v>3634</v>
      </c>
      <c r="E75">
        <v>2</v>
      </c>
      <c r="F75">
        <f t="shared" si="1"/>
        <v>7268</v>
      </c>
    </row>
    <row r="76" spans="1:6" x14ac:dyDescent="0.15">
      <c r="A76" s="5">
        <v>75</v>
      </c>
      <c r="B76" s="5">
        <v>7470</v>
      </c>
      <c r="C76" s="5">
        <f>SUM($D$2:D76)</f>
        <v>92803</v>
      </c>
      <c r="D76" s="41">
        <f>[1]金币生产率曲线!$M76</f>
        <v>3735</v>
      </c>
      <c r="E76">
        <v>2</v>
      </c>
      <c r="F76">
        <f t="shared" si="1"/>
        <v>7470</v>
      </c>
    </row>
    <row r="77" spans="1:6" x14ac:dyDescent="0.15">
      <c r="A77" s="5">
        <v>76</v>
      </c>
      <c r="B77" s="5">
        <v>7676</v>
      </c>
      <c r="C77" s="5">
        <f>SUM($D$2:D77)</f>
        <v>96641</v>
      </c>
      <c r="D77" s="41">
        <f>[1]金币生产率曲线!$M77</f>
        <v>3838</v>
      </c>
      <c r="E77">
        <v>2</v>
      </c>
      <c r="F77">
        <f t="shared" si="1"/>
        <v>7676</v>
      </c>
    </row>
    <row r="78" spans="1:6" x14ac:dyDescent="0.15">
      <c r="A78" s="5">
        <v>77</v>
      </c>
      <c r="B78" s="5">
        <v>7884</v>
      </c>
      <c r="C78" s="5">
        <f>SUM($D$2:D78)</f>
        <v>100583</v>
      </c>
      <c r="D78" s="41">
        <f>[1]金币生产率曲线!$M78</f>
        <v>3942</v>
      </c>
      <c r="E78">
        <v>2</v>
      </c>
      <c r="F78">
        <f t="shared" si="1"/>
        <v>7884</v>
      </c>
    </row>
    <row r="79" spans="1:6" x14ac:dyDescent="0.15">
      <c r="A79" s="5">
        <v>78</v>
      </c>
      <c r="B79" s="5">
        <v>8094</v>
      </c>
      <c r="C79" s="5">
        <f>SUM($D$2:D79)</f>
        <v>104630</v>
      </c>
      <c r="D79" s="41">
        <f>[1]金币生产率曲线!$M79</f>
        <v>4047</v>
      </c>
      <c r="E79">
        <v>2</v>
      </c>
      <c r="F79">
        <f t="shared" si="1"/>
        <v>8094</v>
      </c>
    </row>
    <row r="80" spans="1:6" x14ac:dyDescent="0.15">
      <c r="A80" s="5">
        <v>79</v>
      </c>
      <c r="B80" s="5">
        <v>8308</v>
      </c>
      <c r="C80" s="5">
        <f>SUM($D$2:D80)</f>
        <v>108784</v>
      </c>
      <c r="D80" s="41">
        <f>[1]金币生产率曲线!$M80</f>
        <v>4154</v>
      </c>
      <c r="E80">
        <v>2</v>
      </c>
      <c r="F80">
        <f t="shared" si="1"/>
        <v>8308</v>
      </c>
    </row>
    <row r="81" spans="1:6" x14ac:dyDescent="0.15">
      <c r="A81" s="5">
        <v>80</v>
      </c>
      <c r="B81" s="5">
        <v>8524</v>
      </c>
      <c r="C81" s="5">
        <f>SUM($D$2:D81)</f>
        <v>113046</v>
      </c>
      <c r="D81" s="41">
        <f>[1]金币生产率曲线!$M81</f>
        <v>4262</v>
      </c>
      <c r="E81">
        <v>2</v>
      </c>
      <c r="F81">
        <f t="shared" si="1"/>
        <v>8524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R162"/>
  <sheetViews>
    <sheetView workbookViewId="0">
      <selection activeCell="C22" sqref="C22"/>
    </sheetView>
  </sheetViews>
  <sheetFormatPr defaultRowHeight="13.5" x14ac:dyDescent="0.15"/>
  <cols>
    <col min="2" max="3" width="13.875" bestFit="1" customWidth="1"/>
    <col min="4" max="5" width="13.875" customWidth="1"/>
    <col min="13" max="14" width="11" bestFit="1" customWidth="1"/>
  </cols>
  <sheetData>
    <row r="1" spans="1:18" x14ac:dyDescent="0.15">
      <c r="A1" s="5" t="s">
        <v>194</v>
      </c>
      <c r="B1" s="30" t="s">
        <v>195</v>
      </c>
      <c r="C1" s="30" t="s">
        <v>182</v>
      </c>
      <c r="D1" s="30" t="s">
        <v>274</v>
      </c>
      <c r="E1" s="30" t="s">
        <v>273</v>
      </c>
      <c r="F1" s="2" t="s">
        <v>193</v>
      </c>
      <c r="G1" s="2" t="s">
        <v>3</v>
      </c>
      <c r="H1" s="3" t="s">
        <v>4</v>
      </c>
      <c r="I1" s="2" t="s">
        <v>187</v>
      </c>
      <c r="J1" s="2" t="s">
        <v>188</v>
      </c>
      <c r="K1" s="2" t="s">
        <v>189</v>
      </c>
      <c r="L1" s="2" t="s">
        <v>190</v>
      </c>
      <c r="M1" s="29" t="s">
        <v>288</v>
      </c>
      <c r="N1" s="29" t="s">
        <v>289</v>
      </c>
    </row>
    <row r="2" spans="1:18" x14ac:dyDescent="0.15">
      <c r="A2" s="5" t="str">
        <f>强化辅助表!B36</f>
        <v>500</v>
      </c>
      <c r="B2" s="25">
        <f>升星辅助表!AV33</f>
        <v>0</v>
      </c>
      <c r="C2" s="25">
        <f>升星辅助表!AW33*3</f>
        <v>0</v>
      </c>
      <c r="D2" s="62">
        <f>升星辅助表!AH33</f>
        <v>0</v>
      </c>
      <c r="E2" s="25">
        <f>升星辅助表!AG33</f>
        <v>0</v>
      </c>
      <c r="F2" s="25">
        <f>升星辅助表!AK33</f>
        <v>0</v>
      </c>
      <c r="G2" s="25">
        <f>升星辅助表!AL33</f>
        <v>0</v>
      </c>
      <c r="H2" s="25">
        <f>升星辅助表!AM33</f>
        <v>0</v>
      </c>
      <c r="I2" s="25">
        <f>升星辅助表!AN33</f>
        <v>0</v>
      </c>
      <c r="J2" s="25">
        <f>升星辅助表!AO33</f>
        <v>0</v>
      </c>
      <c r="K2" s="25">
        <f>升星辅助表!AP33</f>
        <v>0</v>
      </c>
      <c r="L2" s="25">
        <f>升星辅助表!AQ33</f>
        <v>0</v>
      </c>
      <c r="M2" s="25">
        <f>升星辅助表!AR33</f>
        <v>0</v>
      </c>
      <c r="N2" s="25">
        <f>升星辅助表!AS33</f>
        <v>0</v>
      </c>
    </row>
    <row r="3" spans="1:18" x14ac:dyDescent="0.15">
      <c r="A3" s="5" t="str">
        <f>强化辅助表!B37</f>
        <v>501</v>
      </c>
      <c r="B3" s="25">
        <f>升星辅助表!AV34</f>
        <v>0</v>
      </c>
      <c r="C3" s="25">
        <f>升星辅助表!AW34*3</f>
        <v>0</v>
      </c>
      <c r="D3" s="62">
        <f>升星辅助表!AH34</f>
        <v>0</v>
      </c>
      <c r="E3" s="25">
        <f>升星辅助表!AG34</f>
        <v>0</v>
      </c>
      <c r="F3" s="25">
        <f>升星辅助表!AK34</f>
        <v>0</v>
      </c>
      <c r="G3" s="25">
        <f>升星辅助表!AL34</f>
        <v>0</v>
      </c>
      <c r="H3" s="25">
        <f>升星辅助表!AM34</f>
        <v>0</v>
      </c>
      <c r="I3" s="25">
        <f>升星辅助表!AN34</f>
        <v>0</v>
      </c>
      <c r="J3" s="25">
        <f>升星辅助表!AO34</f>
        <v>0</v>
      </c>
      <c r="K3" s="25">
        <f>升星辅助表!AP34</f>
        <v>0</v>
      </c>
      <c r="L3" s="25">
        <f>升星辅助表!AQ34</f>
        <v>0</v>
      </c>
      <c r="M3" s="25">
        <f>升星辅助表!AR34</f>
        <v>0</v>
      </c>
      <c r="N3" s="25">
        <f>升星辅助表!AS34</f>
        <v>0</v>
      </c>
    </row>
    <row r="4" spans="1:18" x14ac:dyDescent="0.15">
      <c r="A4" s="5" t="str">
        <f>强化辅助表!B38</f>
        <v>502</v>
      </c>
      <c r="B4" s="25">
        <f>升星辅助表!AV35</f>
        <v>0</v>
      </c>
      <c r="C4" s="25">
        <f>升星辅助表!AW35*3</f>
        <v>0</v>
      </c>
      <c r="D4" s="62">
        <f>升星辅助表!AH35</f>
        <v>0</v>
      </c>
      <c r="E4" s="25">
        <f>升星辅助表!AG35</f>
        <v>0</v>
      </c>
      <c r="F4" s="25">
        <f>升星辅助表!AK35</f>
        <v>0</v>
      </c>
      <c r="G4" s="25">
        <f>升星辅助表!AL35</f>
        <v>0</v>
      </c>
      <c r="H4" s="25">
        <f>升星辅助表!AM35</f>
        <v>0</v>
      </c>
      <c r="I4" s="25">
        <f>升星辅助表!AN35</f>
        <v>0</v>
      </c>
      <c r="J4" s="25">
        <f>升星辅助表!AO35</f>
        <v>0</v>
      </c>
      <c r="K4" s="25">
        <f>升星辅助表!AP35</f>
        <v>0</v>
      </c>
      <c r="L4" s="25">
        <f>升星辅助表!AQ35</f>
        <v>0</v>
      </c>
      <c r="M4" s="25">
        <f>升星辅助表!AR35</f>
        <v>0</v>
      </c>
      <c r="N4" s="25">
        <f>升星辅助表!AS35</f>
        <v>0</v>
      </c>
      <c r="Q4" t="s">
        <v>156</v>
      </c>
      <c r="R4" t="s">
        <v>185</v>
      </c>
    </row>
    <row r="5" spans="1:18" x14ac:dyDescent="0.15">
      <c r="A5" s="5" t="str">
        <f>强化辅助表!B39</f>
        <v>505</v>
      </c>
      <c r="B5" s="25">
        <f>升星辅助表!AV36</f>
        <v>0</v>
      </c>
      <c r="C5" s="25">
        <f>升星辅助表!AW36*3</f>
        <v>0</v>
      </c>
      <c r="D5" s="62">
        <f>升星辅助表!AH36</f>
        <v>0</v>
      </c>
      <c r="E5" s="25">
        <f>升星辅助表!AG36</f>
        <v>0</v>
      </c>
      <c r="F5" s="25">
        <f>升星辅助表!AK36</f>
        <v>0</v>
      </c>
      <c r="G5" s="25">
        <f>升星辅助表!AL36</f>
        <v>0</v>
      </c>
      <c r="H5" s="25">
        <f>升星辅助表!AM36</f>
        <v>0</v>
      </c>
      <c r="I5" s="25">
        <f>升星辅助表!AN36</f>
        <v>0</v>
      </c>
      <c r="J5" s="25">
        <f>升星辅助表!AO36</f>
        <v>0</v>
      </c>
      <c r="K5" s="25">
        <f>升星辅助表!AP36</f>
        <v>0</v>
      </c>
      <c r="L5" s="25">
        <f>升星辅助表!AQ36</f>
        <v>0</v>
      </c>
      <c r="M5" s="25">
        <f>升星辅助表!AR36</f>
        <v>0</v>
      </c>
      <c r="N5" s="25">
        <f>升星辅助表!AS36</f>
        <v>0</v>
      </c>
      <c r="Q5" t="s">
        <v>186</v>
      </c>
    </row>
    <row r="6" spans="1:18" x14ac:dyDescent="0.15">
      <c r="A6" s="5" t="str">
        <f>强化辅助表!B40</f>
        <v>504</v>
      </c>
      <c r="B6" s="25">
        <f>升星辅助表!AV37</f>
        <v>0</v>
      </c>
      <c r="C6" s="25">
        <f>升星辅助表!AW37*3</f>
        <v>0</v>
      </c>
      <c r="D6" s="62">
        <f>升星辅助表!AH37</f>
        <v>0</v>
      </c>
      <c r="E6" s="25">
        <f>升星辅助表!AG37</f>
        <v>0</v>
      </c>
      <c r="F6" s="25">
        <f>升星辅助表!AK37</f>
        <v>0</v>
      </c>
      <c r="G6" s="25">
        <f>升星辅助表!AL37</f>
        <v>0</v>
      </c>
      <c r="H6" s="25">
        <f>升星辅助表!AM37</f>
        <v>0</v>
      </c>
      <c r="I6" s="25">
        <f>升星辅助表!AN37</f>
        <v>0</v>
      </c>
      <c r="J6" s="25">
        <f>升星辅助表!AO37</f>
        <v>0</v>
      </c>
      <c r="K6" s="25">
        <f>升星辅助表!AP37</f>
        <v>0</v>
      </c>
      <c r="L6" s="25">
        <f>升星辅助表!AQ37</f>
        <v>0</v>
      </c>
      <c r="M6" s="25">
        <f>升星辅助表!AR37</f>
        <v>0</v>
      </c>
      <c r="N6" s="25">
        <f>升星辅助表!AS37</f>
        <v>0</v>
      </c>
    </row>
    <row r="7" spans="1:18" x14ac:dyDescent="0.15">
      <c r="A7" s="5" t="str">
        <f>强化辅助表!B41</f>
        <v>503</v>
      </c>
      <c r="B7" s="25">
        <f>升星辅助表!AV38</f>
        <v>0</v>
      </c>
      <c r="C7" s="25">
        <f>升星辅助表!AW38*3</f>
        <v>0</v>
      </c>
      <c r="D7" s="62">
        <f>升星辅助表!AH38</f>
        <v>0</v>
      </c>
      <c r="E7" s="25">
        <f>升星辅助表!AG38</f>
        <v>0</v>
      </c>
      <c r="F7" s="25">
        <f>升星辅助表!AK38</f>
        <v>0</v>
      </c>
      <c r="G7" s="25">
        <f>升星辅助表!AL38</f>
        <v>0</v>
      </c>
      <c r="H7" s="25">
        <f>升星辅助表!AM38</f>
        <v>0</v>
      </c>
      <c r="I7" s="25">
        <f>升星辅助表!AN38</f>
        <v>0</v>
      </c>
      <c r="J7" s="25">
        <f>升星辅助表!AO38</f>
        <v>0</v>
      </c>
      <c r="K7" s="25">
        <f>升星辅助表!AP38</f>
        <v>0</v>
      </c>
      <c r="L7" s="25">
        <f>升星辅助表!AQ38</f>
        <v>0</v>
      </c>
      <c r="M7" s="25">
        <f>升星辅助表!AR38</f>
        <v>0</v>
      </c>
      <c r="N7" s="25">
        <f>升星辅助表!AS38</f>
        <v>0</v>
      </c>
    </row>
    <row r="8" spans="1:18" x14ac:dyDescent="0.15">
      <c r="A8" s="5" t="str">
        <f>强化辅助表!B42</f>
        <v>510</v>
      </c>
      <c r="B8" s="25">
        <f>升星辅助表!AV39</f>
        <v>450</v>
      </c>
      <c r="C8" s="25">
        <f>升星辅助表!AW39*3</f>
        <v>1350</v>
      </c>
      <c r="D8" s="62">
        <f>升星辅助表!AH39</f>
        <v>70010</v>
      </c>
      <c r="E8" s="25">
        <f>升星辅助表!AG39</f>
        <v>2</v>
      </c>
      <c r="F8" s="25">
        <f>升星辅助表!AK39</f>
        <v>0</v>
      </c>
      <c r="G8" s="25">
        <f>升星辅助表!AL39</f>
        <v>9</v>
      </c>
      <c r="H8" s="25">
        <f>升星辅助表!AM39</f>
        <v>0</v>
      </c>
      <c r="I8" s="25">
        <f>升星辅助表!AN39</f>
        <v>0</v>
      </c>
      <c r="J8" s="25">
        <f>升星辅助表!AO39</f>
        <v>0</v>
      </c>
      <c r="K8" s="25">
        <f>升星辅助表!AP39</f>
        <v>0</v>
      </c>
      <c r="L8" s="25">
        <f>升星辅助表!AQ39</f>
        <v>0</v>
      </c>
      <c r="M8" s="25">
        <f>升星辅助表!AR39</f>
        <v>0</v>
      </c>
      <c r="N8" s="25">
        <f>升星辅助表!AS39</f>
        <v>0</v>
      </c>
    </row>
    <row r="9" spans="1:18" x14ac:dyDescent="0.15">
      <c r="A9" s="5" t="str">
        <f>强化辅助表!B43</f>
        <v>511</v>
      </c>
      <c r="B9" s="25">
        <f>升星辅助表!AV40</f>
        <v>196</v>
      </c>
      <c r="C9" s="25">
        <f>升星辅助表!AW40*3</f>
        <v>588</v>
      </c>
      <c r="D9" s="62">
        <f>升星辅助表!AH40</f>
        <v>71010</v>
      </c>
      <c r="E9" s="25">
        <f>升星辅助表!AG40</f>
        <v>1</v>
      </c>
      <c r="F9" s="25">
        <f>升星辅助表!AK40</f>
        <v>98</v>
      </c>
      <c r="G9" s="25">
        <f>升星辅助表!AL40</f>
        <v>0</v>
      </c>
      <c r="H9" s="25">
        <f>升星辅助表!AM40</f>
        <v>0</v>
      </c>
      <c r="I9" s="25">
        <f>升星辅助表!AN40</f>
        <v>0</v>
      </c>
      <c r="J9" s="25">
        <f>升星辅助表!AO40</f>
        <v>0</v>
      </c>
      <c r="K9" s="25">
        <f>升星辅助表!AP40</f>
        <v>0</v>
      </c>
      <c r="L9" s="25">
        <f>升星辅助表!AQ40</f>
        <v>0</v>
      </c>
      <c r="M9" s="25">
        <f>升星辅助表!AR40</f>
        <v>0</v>
      </c>
      <c r="N9" s="25">
        <f>升星辅助表!AS40</f>
        <v>0</v>
      </c>
    </row>
    <row r="10" spans="1:18" x14ac:dyDescent="0.15">
      <c r="A10" s="5" t="str">
        <f>强化辅助表!B44</f>
        <v>512</v>
      </c>
      <c r="B10" s="25">
        <f>升星辅助表!AV41</f>
        <v>98</v>
      </c>
      <c r="C10" s="25">
        <f>升星辅助表!AW41*3</f>
        <v>294</v>
      </c>
      <c r="D10" s="62">
        <f>升星辅助表!AH41</f>
        <v>72010</v>
      </c>
      <c r="E10" s="25">
        <f>升星辅助表!AG41</f>
        <v>1</v>
      </c>
      <c r="F10" s="25">
        <f>升星辅助表!AK41</f>
        <v>49</v>
      </c>
      <c r="G10" s="25">
        <f>升星辅助表!AL41</f>
        <v>0</v>
      </c>
      <c r="H10" s="25">
        <f>升星辅助表!AM41</f>
        <v>0</v>
      </c>
      <c r="I10" s="25">
        <f>升星辅助表!AN41</f>
        <v>0</v>
      </c>
      <c r="J10" s="25">
        <f>升星辅助表!AO41</f>
        <v>0</v>
      </c>
      <c r="K10" s="25">
        <f>升星辅助表!AP41</f>
        <v>0</v>
      </c>
      <c r="L10" s="25">
        <f>升星辅助表!AQ41</f>
        <v>0</v>
      </c>
      <c r="M10" s="25">
        <f>升星辅助表!AR41</f>
        <v>0</v>
      </c>
      <c r="N10" s="25">
        <f>升星辅助表!AS41</f>
        <v>0</v>
      </c>
    </row>
    <row r="11" spans="1:18" x14ac:dyDescent="0.15">
      <c r="A11" s="5" t="str">
        <f>强化辅助表!B45</f>
        <v>515</v>
      </c>
      <c r="B11" s="25">
        <f>升星辅助表!AV42</f>
        <v>98</v>
      </c>
      <c r="C11" s="25">
        <f>升星辅助表!AW42*3</f>
        <v>294</v>
      </c>
      <c r="D11" s="62">
        <f>升星辅助表!AH42</f>
        <v>75010</v>
      </c>
      <c r="E11" s="25">
        <f>升星辅助表!AG42</f>
        <v>1</v>
      </c>
      <c r="F11" s="25">
        <f>升星辅助表!AK42</f>
        <v>49</v>
      </c>
      <c r="G11" s="25">
        <f>升星辅助表!AL42</f>
        <v>0</v>
      </c>
      <c r="H11" s="25">
        <f>升星辅助表!AM42</f>
        <v>0</v>
      </c>
      <c r="I11" s="25">
        <f>升星辅助表!AN42</f>
        <v>0</v>
      </c>
      <c r="J11" s="25">
        <f>升星辅助表!AO42</f>
        <v>0</v>
      </c>
      <c r="K11" s="25">
        <f>升星辅助表!AP42</f>
        <v>0</v>
      </c>
      <c r="L11" s="25">
        <f>升星辅助表!AQ42</f>
        <v>0</v>
      </c>
      <c r="M11" s="25">
        <f>升星辅助表!AR42</f>
        <v>0</v>
      </c>
      <c r="N11" s="25">
        <f>升星辅助表!AS42</f>
        <v>0</v>
      </c>
    </row>
    <row r="12" spans="1:18" x14ac:dyDescent="0.15">
      <c r="A12" s="5" t="str">
        <f>强化辅助表!B46</f>
        <v>514</v>
      </c>
      <c r="B12" s="25">
        <f>升星辅助表!AV43</f>
        <v>196</v>
      </c>
      <c r="C12" s="25">
        <f>升星辅助表!AW43*3</f>
        <v>588</v>
      </c>
      <c r="D12" s="62">
        <f>升星辅助表!AH43</f>
        <v>74010</v>
      </c>
      <c r="E12" s="25">
        <f>升星辅助表!AG43</f>
        <v>1</v>
      </c>
      <c r="F12" s="25">
        <f>升星辅助表!AK43</f>
        <v>98</v>
      </c>
      <c r="G12" s="25">
        <f>升星辅助表!AL43</f>
        <v>0</v>
      </c>
      <c r="H12" s="25">
        <f>升星辅助表!AM43</f>
        <v>0</v>
      </c>
      <c r="I12" s="25">
        <f>升星辅助表!AN43</f>
        <v>0</v>
      </c>
      <c r="J12" s="25">
        <f>升星辅助表!AO43</f>
        <v>0</v>
      </c>
      <c r="K12" s="25">
        <f>升星辅助表!AP43</f>
        <v>0</v>
      </c>
      <c r="L12" s="25">
        <f>升星辅助表!AQ43</f>
        <v>0</v>
      </c>
      <c r="M12" s="25">
        <f>升星辅助表!AR43</f>
        <v>0</v>
      </c>
      <c r="N12" s="25">
        <f>升星辅助表!AS43</f>
        <v>0</v>
      </c>
    </row>
    <row r="13" spans="1:18" x14ac:dyDescent="0.15">
      <c r="A13" s="5" t="str">
        <f>强化辅助表!B47</f>
        <v>513</v>
      </c>
      <c r="B13" s="25">
        <f>升星辅助表!AV44</f>
        <v>150</v>
      </c>
      <c r="C13" s="25">
        <f>升星辅助表!AW44*3</f>
        <v>450</v>
      </c>
      <c r="D13" s="62">
        <f>升星辅助表!AH44</f>
        <v>73010</v>
      </c>
      <c r="E13" s="25">
        <f>升星辅助表!AG44</f>
        <v>1</v>
      </c>
      <c r="F13" s="25">
        <f>升星辅助表!AK44</f>
        <v>0</v>
      </c>
      <c r="G13" s="25">
        <f>升星辅助表!AL44</f>
        <v>3</v>
      </c>
      <c r="H13" s="25">
        <f>升星辅助表!AM44</f>
        <v>0</v>
      </c>
      <c r="I13" s="25">
        <f>升星辅助表!AN44</f>
        <v>0</v>
      </c>
      <c r="J13" s="25">
        <f>升星辅助表!AO44</f>
        <v>0</v>
      </c>
      <c r="K13" s="25">
        <f>升星辅助表!AP44</f>
        <v>0</v>
      </c>
      <c r="L13" s="25">
        <f>升星辅助表!AQ44</f>
        <v>0</v>
      </c>
      <c r="M13" s="25">
        <f>升星辅助表!AR44</f>
        <v>0</v>
      </c>
      <c r="N13" s="25">
        <f>升星辅助表!AS44</f>
        <v>0</v>
      </c>
    </row>
    <row r="14" spans="1:18" x14ac:dyDescent="0.15">
      <c r="A14" s="5" t="str">
        <f>强化辅助表!B48</f>
        <v>1510</v>
      </c>
      <c r="B14" s="25">
        <f>升星辅助表!AV45</f>
        <v>900</v>
      </c>
      <c r="C14" s="25">
        <f>升星辅助表!AW45*3</f>
        <v>2700</v>
      </c>
      <c r="D14" s="62">
        <f>升星辅助表!AH45</f>
        <v>70010</v>
      </c>
      <c r="E14" s="25">
        <f>升星辅助表!AG45</f>
        <v>3</v>
      </c>
      <c r="F14" s="25">
        <f>升星辅助表!AK45</f>
        <v>0</v>
      </c>
      <c r="G14" s="25">
        <f>升星辅助表!AL45</f>
        <v>18</v>
      </c>
      <c r="H14" s="25">
        <f>升星辅助表!AM45</f>
        <v>0</v>
      </c>
      <c r="I14" s="25">
        <f>升星辅助表!AN45</f>
        <v>0</v>
      </c>
      <c r="J14" s="25">
        <f>升星辅助表!AO45</f>
        <v>0</v>
      </c>
      <c r="K14" s="25">
        <f>升星辅助表!AP45</f>
        <v>0</v>
      </c>
      <c r="L14" s="25">
        <f>升星辅助表!AQ45</f>
        <v>0</v>
      </c>
      <c r="M14" s="25">
        <f>升星辅助表!AR45</f>
        <v>0</v>
      </c>
      <c r="N14" s="25">
        <f>升星辅助表!AS45</f>
        <v>0</v>
      </c>
    </row>
    <row r="15" spans="1:18" x14ac:dyDescent="0.15">
      <c r="A15" s="5" t="str">
        <f>强化辅助表!B49</f>
        <v>1511</v>
      </c>
      <c r="B15" s="25">
        <f>升星辅助表!AV46</f>
        <v>392</v>
      </c>
      <c r="C15" s="25">
        <f>升星辅助表!AW46*3</f>
        <v>1176</v>
      </c>
      <c r="D15" s="62">
        <f>升星辅助表!AH46</f>
        <v>71010</v>
      </c>
      <c r="E15" s="25">
        <f>升星辅助表!AG46</f>
        <v>2</v>
      </c>
      <c r="F15" s="25">
        <f>升星辅助表!AK46</f>
        <v>196</v>
      </c>
      <c r="G15" s="25">
        <f>升星辅助表!AL46</f>
        <v>0</v>
      </c>
      <c r="H15" s="25">
        <f>升星辅助表!AM46</f>
        <v>0</v>
      </c>
      <c r="I15" s="25">
        <f>升星辅助表!AN46</f>
        <v>0</v>
      </c>
      <c r="J15" s="25">
        <f>升星辅助表!AO46</f>
        <v>0</v>
      </c>
      <c r="K15" s="25">
        <f>升星辅助表!AP46</f>
        <v>0</v>
      </c>
      <c r="L15" s="25">
        <f>升星辅助表!AQ46</f>
        <v>0</v>
      </c>
      <c r="M15" s="25">
        <f>升星辅助表!AR46</f>
        <v>0</v>
      </c>
      <c r="N15" s="25">
        <f>升星辅助表!AS46</f>
        <v>0</v>
      </c>
    </row>
    <row r="16" spans="1:18" x14ac:dyDescent="0.15">
      <c r="A16" s="5" t="str">
        <f>强化辅助表!B50</f>
        <v>1512</v>
      </c>
      <c r="B16" s="25">
        <f>升星辅助表!AV47</f>
        <v>196</v>
      </c>
      <c r="C16" s="25">
        <f>升星辅助表!AW47*3</f>
        <v>588</v>
      </c>
      <c r="D16" s="62">
        <f>升星辅助表!AH47</f>
        <v>72010</v>
      </c>
      <c r="E16" s="25">
        <f>升星辅助表!AG47</f>
        <v>1</v>
      </c>
      <c r="F16" s="25">
        <f>升星辅助表!AK47</f>
        <v>98</v>
      </c>
      <c r="G16" s="25">
        <f>升星辅助表!AL47</f>
        <v>0</v>
      </c>
      <c r="H16" s="25">
        <f>升星辅助表!AM47</f>
        <v>0</v>
      </c>
      <c r="I16" s="25">
        <f>升星辅助表!AN47</f>
        <v>0</v>
      </c>
      <c r="J16" s="25">
        <f>升星辅助表!AO47</f>
        <v>0</v>
      </c>
      <c r="K16" s="25">
        <f>升星辅助表!AP47</f>
        <v>0</v>
      </c>
      <c r="L16" s="25">
        <f>升星辅助表!AQ47</f>
        <v>0</v>
      </c>
      <c r="M16" s="25">
        <f>升星辅助表!AR47</f>
        <v>0</v>
      </c>
      <c r="N16" s="25">
        <f>升星辅助表!AS47</f>
        <v>0</v>
      </c>
    </row>
    <row r="17" spans="1:14" x14ac:dyDescent="0.15">
      <c r="A17" s="5" t="str">
        <f>强化辅助表!B51</f>
        <v>1515</v>
      </c>
      <c r="B17" s="25">
        <f>升星辅助表!AV48</f>
        <v>196</v>
      </c>
      <c r="C17" s="25">
        <f>升星辅助表!AW48*3</f>
        <v>588</v>
      </c>
      <c r="D17" s="62">
        <f>升星辅助表!AH48</f>
        <v>75010</v>
      </c>
      <c r="E17" s="25">
        <f>升星辅助表!AG48</f>
        <v>1</v>
      </c>
      <c r="F17" s="25">
        <f>升星辅助表!AK48</f>
        <v>98</v>
      </c>
      <c r="G17" s="25">
        <f>升星辅助表!AL48</f>
        <v>0</v>
      </c>
      <c r="H17" s="25">
        <f>升星辅助表!AM48</f>
        <v>0</v>
      </c>
      <c r="I17" s="25">
        <f>升星辅助表!AN48</f>
        <v>0</v>
      </c>
      <c r="J17" s="25">
        <f>升星辅助表!AO48</f>
        <v>0</v>
      </c>
      <c r="K17" s="25">
        <f>升星辅助表!AP48</f>
        <v>0</v>
      </c>
      <c r="L17" s="25">
        <f>升星辅助表!AQ48</f>
        <v>0</v>
      </c>
      <c r="M17" s="25">
        <f>升星辅助表!AR48</f>
        <v>0</v>
      </c>
      <c r="N17" s="25">
        <f>升星辅助表!AS48</f>
        <v>0</v>
      </c>
    </row>
    <row r="18" spans="1:14" x14ac:dyDescent="0.15">
      <c r="A18" s="5" t="str">
        <f>强化辅助表!B52</f>
        <v>1514</v>
      </c>
      <c r="B18" s="25">
        <f>升星辅助表!AV49</f>
        <v>392</v>
      </c>
      <c r="C18" s="25">
        <f>升星辅助表!AW49*3</f>
        <v>1176</v>
      </c>
      <c r="D18" s="62">
        <f>升星辅助表!AH49</f>
        <v>74010</v>
      </c>
      <c r="E18" s="25">
        <f>升星辅助表!AG49</f>
        <v>2</v>
      </c>
      <c r="F18" s="25">
        <f>升星辅助表!AK49</f>
        <v>196</v>
      </c>
      <c r="G18" s="25">
        <f>升星辅助表!AL49</f>
        <v>0</v>
      </c>
      <c r="H18" s="25">
        <f>升星辅助表!AM49</f>
        <v>0</v>
      </c>
      <c r="I18" s="25">
        <f>升星辅助表!AN49</f>
        <v>0</v>
      </c>
      <c r="J18" s="25">
        <f>升星辅助表!AO49</f>
        <v>0</v>
      </c>
      <c r="K18" s="25">
        <f>升星辅助表!AP49</f>
        <v>0</v>
      </c>
      <c r="L18" s="25">
        <f>升星辅助表!AQ49</f>
        <v>0</v>
      </c>
      <c r="M18" s="25">
        <f>升星辅助表!AR49</f>
        <v>0</v>
      </c>
      <c r="N18" s="25">
        <f>升星辅助表!AS49</f>
        <v>0</v>
      </c>
    </row>
    <row r="19" spans="1:14" x14ac:dyDescent="0.15">
      <c r="A19" s="5" t="str">
        <f>强化辅助表!B53</f>
        <v>1513</v>
      </c>
      <c r="B19" s="25">
        <f>升星辅助表!AV50</f>
        <v>300</v>
      </c>
      <c r="C19" s="25">
        <f>升星辅助表!AW50*3</f>
        <v>900</v>
      </c>
      <c r="D19" s="62">
        <f>升星辅助表!AH50</f>
        <v>73010</v>
      </c>
      <c r="E19" s="25">
        <f>升星辅助表!AG50</f>
        <v>1</v>
      </c>
      <c r="F19" s="25">
        <f>升星辅助表!AK50</f>
        <v>0</v>
      </c>
      <c r="G19" s="25">
        <f>升星辅助表!AL50</f>
        <v>6</v>
      </c>
      <c r="H19" s="25">
        <f>升星辅助表!AM50</f>
        <v>0</v>
      </c>
      <c r="I19" s="25">
        <f>升星辅助表!AN50</f>
        <v>0</v>
      </c>
      <c r="J19" s="25">
        <f>升星辅助表!AO50</f>
        <v>0</v>
      </c>
      <c r="K19" s="25">
        <f>升星辅助表!AP50</f>
        <v>0</v>
      </c>
      <c r="L19" s="25">
        <f>升星辅助表!AQ50</f>
        <v>0</v>
      </c>
      <c r="M19" s="25">
        <f>升星辅助表!AR50</f>
        <v>0</v>
      </c>
      <c r="N19" s="25">
        <f>升星辅助表!AS50</f>
        <v>0</v>
      </c>
    </row>
    <row r="20" spans="1:14" x14ac:dyDescent="0.15">
      <c r="A20" s="5" t="str">
        <f>强化辅助表!B54</f>
        <v>1520</v>
      </c>
      <c r="B20" s="25">
        <f>升星辅助表!AV51</f>
        <v>1450</v>
      </c>
      <c r="C20" s="25">
        <f>升星辅助表!AW51*3</f>
        <v>4350</v>
      </c>
      <c r="D20" s="62">
        <f>升星辅助表!AH51</f>
        <v>70010</v>
      </c>
      <c r="E20" s="25">
        <f>升星辅助表!AG51</f>
        <v>5</v>
      </c>
      <c r="F20" s="25">
        <f>升星辅助表!AK51</f>
        <v>0</v>
      </c>
      <c r="G20" s="25">
        <f>升星辅助表!AL51</f>
        <v>26</v>
      </c>
      <c r="H20" s="25">
        <f>升星辅助表!AM51</f>
        <v>3</v>
      </c>
      <c r="I20" s="25">
        <f>升星辅助表!AN51</f>
        <v>0</v>
      </c>
      <c r="J20" s="25">
        <f>升星辅助表!AO51</f>
        <v>0</v>
      </c>
      <c r="K20" s="25">
        <f>升星辅助表!AP51</f>
        <v>0</v>
      </c>
      <c r="L20" s="25">
        <f>升星辅助表!AQ51</f>
        <v>0</v>
      </c>
      <c r="M20" s="25">
        <f>升星辅助表!AR51</f>
        <v>0</v>
      </c>
      <c r="N20" s="25">
        <f>升星辅助表!AS51</f>
        <v>0</v>
      </c>
    </row>
    <row r="21" spans="1:14" x14ac:dyDescent="0.15">
      <c r="A21" s="5" t="str">
        <f>强化辅助表!B55</f>
        <v>1521</v>
      </c>
      <c r="B21" s="25">
        <f>升星辅助表!AV52</f>
        <v>1016</v>
      </c>
      <c r="C21" s="25">
        <f>升星辅助表!AW52*3</f>
        <v>3048</v>
      </c>
      <c r="D21" s="62">
        <f>升星辅助表!AH52</f>
        <v>71010</v>
      </c>
      <c r="E21" s="25">
        <f>升星辅助表!AG52</f>
        <v>4</v>
      </c>
      <c r="F21" s="25">
        <f>升星辅助表!AK52</f>
        <v>283</v>
      </c>
      <c r="G21" s="25">
        <f>升星辅助表!AL52</f>
        <v>0</v>
      </c>
      <c r="H21" s="25">
        <f>升星辅助表!AM52</f>
        <v>9</v>
      </c>
      <c r="I21" s="25">
        <f>升星辅助表!AN52</f>
        <v>0</v>
      </c>
      <c r="J21" s="25">
        <f>升星辅助表!AO52</f>
        <v>0</v>
      </c>
      <c r="K21" s="25">
        <f>升星辅助表!AP52</f>
        <v>0</v>
      </c>
      <c r="L21" s="25">
        <f>升星辅助表!AQ52</f>
        <v>0</v>
      </c>
      <c r="M21" s="25">
        <f>升星辅助表!AR52</f>
        <v>0</v>
      </c>
      <c r="N21" s="25">
        <f>升星辅助表!AS52</f>
        <v>0</v>
      </c>
    </row>
    <row r="22" spans="1:14" x14ac:dyDescent="0.15">
      <c r="A22" s="5" t="str">
        <f>强化辅助表!B56</f>
        <v>1522</v>
      </c>
      <c r="B22" s="25">
        <f>升星辅助表!AV53</f>
        <v>434</v>
      </c>
      <c r="C22" s="25">
        <f>升星辅助表!AW53*3</f>
        <v>1302</v>
      </c>
      <c r="D22" s="62">
        <f>升星辅助表!AH53</f>
        <v>72010</v>
      </c>
      <c r="E22" s="25">
        <f>升星辅助表!AG53</f>
        <v>2</v>
      </c>
      <c r="F22" s="25">
        <f>升星辅助表!AK53</f>
        <v>142</v>
      </c>
      <c r="G22" s="25">
        <f>升星辅助表!AL53</f>
        <v>0</v>
      </c>
      <c r="H22" s="25">
        <f>升星辅助表!AM53</f>
        <v>3</v>
      </c>
      <c r="I22" s="25">
        <f>升星辅助表!AN53</f>
        <v>0</v>
      </c>
      <c r="J22" s="25">
        <f>升星辅助表!AO53</f>
        <v>0</v>
      </c>
      <c r="K22" s="25">
        <f>升星辅助表!AP53</f>
        <v>0</v>
      </c>
      <c r="L22" s="25">
        <f>升星辅助表!AQ53</f>
        <v>0</v>
      </c>
      <c r="M22" s="25">
        <f>升星辅助表!AR53</f>
        <v>0</v>
      </c>
      <c r="N22" s="25">
        <f>升星辅助表!AS53</f>
        <v>0</v>
      </c>
    </row>
    <row r="23" spans="1:14" x14ac:dyDescent="0.15">
      <c r="A23" s="5" t="str">
        <f>强化辅助表!B57</f>
        <v>1525</v>
      </c>
      <c r="B23" s="25">
        <f>升星辅助表!AV54</f>
        <v>522</v>
      </c>
      <c r="C23" s="25">
        <f>升星辅助表!AW54*3</f>
        <v>1566</v>
      </c>
      <c r="D23" s="62">
        <f>升星辅助表!AH54</f>
        <v>75010</v>
      </c>
      <c r="E23" s="25">
        <f>升星辅助表!AG54</f>
        <v>2</v>
      </c>
      <c r="F23" s="25">
        <f>升星辅助表!AK54</f>
        <v>142</v>
      </c>
      <c r="G23" s="25">
        <f>升星辅助表!AL54</f>
        <v>0</v>
      </c>
      <c r="H23" s="25">
        <f>升星辅助表!AM54</f>
        <v>0</v>
      </c>
      <c r="I23" s="25">
        <f>升星辅助表!AN54</f>
        <v>14</v>
      </c>
      <c r="J23" s="25">
        <f>升星辅助表!AO54</f>
        <v>0</v>
      </c>
      <c r="K23" s="25">
        <f>升星辅助表!AP54</f>
        <v>0</v>
      </c>
      <c r="L23" s="25">
        <f>升星辅助表!AQ54</f>
        <v>0</v>
      </c>
      <c r="M23" s="25">
        <f>升星辅助表!AR54</f>
        <v>0</v>
      </c>
      <c r="N23" s="25">
        <f>升星辅助表!AS54</f>
        <v>0</v>
      </c>
    </row>
    <row r="24" spans="1:14" x14ac:dyDescent="0.15">
      <c r="A24" s="5" t="str">
        <f>强化辅助表!B58</f>
        <v>1524</v>
      </c>
      <c r="B24" s="25">
        <f>升星辅助表!AV55</f>
        <v>1016</v>
      </c>
      <c r="C24" s="25">
        <f>升星辅助表!AW55*3</f>
        <v>3048</v>
      </c>
      <c r="D24" s="62">
        <f>升星辅助表!AH55</f>
        <v>74010</v>
      </c>
      <c r="E24" s="25">
        <f>升星辅助表!AG55</f>
        <v>4</v>
      </c>
      <c r="F24" s="25">
        <f>升星辅助表!AK55</f>
        <v>283</v>
      </c>
      <c r="G24" s="25">
        <f>升星辅助表!AL55</f>
        <v>9</v>
      </c>
      <c r="H24" s="25">
        <f>升星辅助表!AM55</f>
        <v>0</v>
      </c>
      <c r="I24" s="25">
        <f>升星辅助表!AN55</f>
        <v>0</v>
      </c>
      <c r="J24" s="25">
        <f>升星辅助表!AO55</f>
        <v>0</v>
      </c>
      <c r="K24" s="25">
        <f>升星辅助表!AP55</f>
        <v>0</v>
      </c>
      <c r="L24" s="25">
        <f>升星辅助表!AQ55</f>
        <v>0</v>
      </c>
      <c r="M24" s="25">
        <f>升星辅助表!AR55</f>
        <v>0</v>
      </c>
      <c r="N24" s="25">
        <f>升星辅助表!AS55</f>
        <v>0</v>
      </c>
    </row>
    <row r="25" spans="1:14" x14ac:dyDescent="0.15">
      <c r="A25" s="5" t="str">
        <f>强化辅助表!B59</f>
        <v>1523</v>
      </c>
      <c r="B25" s="25">
        <f>升星辅助表!AV56</f>
        <v>569</v>
      </c>
      <c r="C25" s="25">
        <f>升星辅助表!AW56*3</f>
        <v>1707</v>
      </c>
      <c r="D25" s="62">
        <f>升星辅助表!AH56</f>
        <v>73010</v>
      </c>
      <c r="E25" s="25">
        <f>升星辅助表!AG56</f>
        <v>2</v>
      </c>
      <c r="F25" s="25">
        <f>升星辅助表!AK56</f>
        <v>0</v>
      </c>
      <c r="G25" s="25">
        <f>升星辅助表!AL56</f>
        <v>9</v>
      </c>
      <c r="H25" s="25">
        <f>升星辅助表!AM56</f>
        <v>0</v>
      </c>
      <c r="I25" s="25">
        <f>升星辅助表!AN56</f>
        <v>7</v>
      </c>
      <c r="J25" s="25">
        <f>升星辅助表!AO56</f>
        <v>0</v>
      </c>
      <c r="K25" s="25">
        <f>升星辅助表!AP56</f>
        <v>0</v>
      </c>
      <c r="L25" s="25">
        <f>升星辅助表!AQ56</f>
        <v>0</v>
      </c>
      <c r="M25" s="25">
        <f>升星辅助表!AR56</f>
        <v>0</v>
      </c>
      <c r="N25" s="25">
        <f>升星辅助表!AS56</f>
        <v>0</v>
      </c>
    </row>
    <row r="26" spans="1:14" x14ac:dyDescent="0.15">
      <c r="A26" s="5" t="str">
        <f>强化辅助表!B60</f>
        <v>1530</v>
      </c>
      <c r="B26" s="25">
        <f>升星辅助表!AV57</f>
        <v>2155</v>
      </c>
      <c r="C26" s="25">
        <f>升星辅助表!AW57*3</f>
        <v>6465</v>
      </c>
      <c r="D26" s="62">
        <f>升星辅助表!AH57</f>
        <v>70010</v>
      </c>
      <c r="E26" s="25">
        <f>升星辅助表!AG57</f>
        <v>8</v>
      </c>
      <c r="F26" s="25">
        <f>升星辅助表!AK57</f>
        <v>0</v>
      </c>
      <c r="G26" s="25">
        <f>升星辅助表!AL57</f>
        <v>34</v>
      </c>
      <c r="H26" s="25">
        <f>升星辅助表!AM57</f>
        <v>4</v>
      </c>
      <c r="I26" s="25">
        <f>升星辅助表!AN57</f>
        <v>0</v>
      </c>
      <c r="J26" s="25">
        <f>升星辅助表!AO57</f>
        <v>15</v>
      </c>
      <c r="K26" s="25">
        <f>升星辅助表!AP57</f>
        <v>0</v>
      </c>
      <c r="L26" s="25">
        <f>升星辅助表!AQ57</f>
        <v>0</v>
      </c>
      <c r="M26" s="25">
        <f>升星辅助表!AR57</f>
        <v>0</v>
      </c>
      <c r="N26" s="25">
        <f>升星辅助表!AS57</f>
        <v>0</v>
      </c>
    </row>
    <row r="27" spans="1:14" x14ac:dyDescent="0.15">
      <c r="A27" s="5" t="str">
        <f>强化辅助表!B61</f>
        <v>1531</v>
      </c>
      <c r="B27" s="25">
        <f>升星辅助表!AV58</f>
        <v>1493</v>
      </c>
      <c r="C27" s="25">
        <f>升星辅助表!AW58*3</f>
        <v>4479</v>
      </c>
      <c r="D27" s="62">
        <f>升星辅助表!AH58</f>
        <v>71010</v>
      </c>
      <c r="E27" s="25">
        <f>升星辅助表!AG58</f>
        <v>5</v>
      </c>
      <c r="F27" s="25">
        <f>升星辅助表!AK58</f>
        <v>370</v>
      </c>
      <c r="G27" s="25">
        <f>升星辅助表!AL58</f>
        <v>0</v>
      </c>
      <c r="H27" s="25">
        <f>升星辅助表!AM58</f>
        <v>12</v>
      </c>
      <c r="I27" s="25">
        <f>升星辅助表!AN58</f>
        <v>9</v>
      </c>
      <c r="J27" s="25">
        <f>升星辅助表!AO58</f>
        <v>0</v>
      </c>
      <c r="K27" s="25">
        <f>升星辅助表!AP58</f>
        <v>0</v>
      </c>
      <c r="L27" s="25">
        <f>升星辅助表!AQ58</f>
        <v>0</v>
      </c>
      <c r="M27" s="25">
        <f>升星辅助表!AR58</f>
        <v>0</v>
      </c>
      <c r="N27" s="25">
        <f>升星辅助表!AS58</f>
        <v>0</v>
      </c>
    </row>
    <row r="28" spans="1:14" x14ac:dyDescent="0.15">
      <c r="A28" s="5" t="str">
        <f>强化辅助表!B62</f>
        <v>1532</v>
      </c>
      <c r="B28" s="25">
        <f>升星辅助表!AV59</f>
        <v>723</v>
      </c>
      <c r="C28" s="25">
        <f>升星辅助表!AW59*3</f>
        <v>2169</v>
      </c>
      <c r="D28" s="62">
        <f>升星辅助表!AH59</f>
        <v>72010</v>
      </c>
      <c r="E28" s="25">
        <f>升星辅助表!AG59</f>
        <v>3</v>
      </c>
      <c r="F28" s="25">
        <f>升星辅助表!AK59</f>
        <v>185</v>
      </c>
      <c r="G28" s="25">
        <f>升星辅助表!AL59</f>
        <v>0</v>
      </c>
      <c r="H28" s="25">
        <f>升星辅助表!AM59</f>
        <v>4</v>
      </c>
      <c r="I28" s="25">
        <f>升星辅助表!AN59</f>
        <v>9</v>
      </c>
      <c r="J28" s="25">
        <f>升星辅助表!AO59</f>
        <v>0</v>
      </c>
      <c r="K28" s="25">
        <f>升星辅助表!AP59</f>
        <v>0</v>
      </c>
      <c r="L28" s="25">
        <f>升星辅助表!AQ59</f>
        <v>0</v>
      </c>
      <c r="M28" s="25">
        <f>升星辅助表!AR59</f>
        <v>0</v>
      </c>
      <c r="N28" s="25">
        <f>升星辅助表!AS59</f>
        <v>0</v>
      </c>
    </row>
    <row r="29" spans="1:14" x14ac:dyDescent="0.15">
      <c r="A29" s="5" t="str">
        <f>强化辅助表!B63</f>
        <v>1535</v>
      </c>
      <c r="B29" s="25">
        <f>升星辅助表!AV60</f>
        <v>931</v>
      </c>
      <c r="C29" s="25">
        <f>升星辅助表!AW60*3</f>
        <v>2793</v>
      </c>
      <c r="D29" s="62">
        <f>升星辅助表!AH60</f>
        <v>75010</v>
      </c>
      <c r="E29" s="25">
        <f>升星辅助表!AG60</f>
        <v>4</v>
      </c>
      <c r="F29" s="25">
        <f>升星辅助表!AK60</f>
        <v>185</v>
      </c>
      <c r="G29" s="25">
        <f>升星辅助表!AL60</f>
        <v>0</v>
      </c>
      <c r="H29" s="25">
        <f>升星辅助表!AM60</f>
        <v>0</v>
      </c>
      <c r="I29" s="25">
        <f>升星辅助表!AN60</f>
        <v>18</v>
      </c>
      <c r="J29" s="25">
        <f>升星辅助表!AO60</f>
        <v>15</v>
      </c>
      <c r="K29" s="25">
        <f>升星辅助表!AP60</f>
        <v>0</v>
      </c>
      <c r="L29" s="25">
        <f>升星辅助表!AQ60</f>
        <v>0</v>
      </c>
      <c r="M29" s="25">
        <f>升星辅助表!AR60</f>
        <v>0</v>
      </c>
      <c r="N29" s="25">
        <f>升星辅助表!AS60</f>
        <v>0</v>
      </c>
    </row>
    <row r="30" spans="1:14" x14ac:dyDescent="0.15">
      <c r="A30" s="5" t="str">
        <f>强化辅助表!B64</f>
        <v>1534</v>
      </c>
      <c r="B30" s="25">
        <f>升星辅助表!AV61</f>
        <v>1490</v>
      </c>
      <c r="C30" s="25">
        <f>升星辅助表!AW61*3</f>
        <v>4470</v>
      </c>
      <c r="D30" s="62">
        <f>升星辅助表!AH61</f>
        <v>74010</v>
      </c>
      <c r="E30" s="25">
        <f>升星辅助表!AG61</f>
        <v>5</v>
      </c>
      <c r="F30" s="25">
        <f>升星辅助表!AK61</f>
        <v>370</v>
      </c>
      <c r="G30" s="25">
        <f>升星辅助表!AL61</f>
        <v>11</v>
      </c>
      <c r="H30" s="25">
        <f>升星辅助表!AM61</f>
        <v>4</v>
      </c>
      <c r="I30" s="25">
        <f>升星辅助表!AN61</f>
        <v>0</v>
      </c>
      <c r="J30" s="25">
        <f>升星辅助表!AO61</f>
        <v>0</v>
      </c>
      <c r="K30" s="25">
        <f>升星辅助表!AP61</f>
        <v>0</v>
      </c>
      <c r="L30" s="25">
        <f>升星辅助表!AQ61</f>
        <v>0</v>
      </c>
      <c r="M30" s="25">
        <f>升星辅助表!AR61</f>
        <v>0</v>
      </c>
      <c r="N30" s="25">
        <f>升星辅助表!AS61</f>
        <v>0</v>
      </c>
    </row>
    <row r="31" spans="1:14" x14ac:dyDescent="0.15">
      <c r="A31" s="5" t="str">
        <f>强化辅助表!B65</f>
        <v>1533</v>
      </c>
      <c r="B31" s="25">
        <f>升星辅助表!AV62</f>
        <v>958</v>
      </c>
      <c r="C31" s="25">
        <f>升星辅助表!AW62*3</f>
        <v>2874</v>
      </c>
      <c r="D31" s="62">
        <f>升星辅助表!AH62</f>
        <v>73010</v>
      </c>
      <c r="E31" s="25">
        <f>升星辅助表!AG62</f>
        <v>4</v>
      </c>
      <c r="F31" s="25">
        <f>升星辅助表!AK62</f>
        <v>0</v>
      </c>
      <c r="G31" s="25">
        <f>升星辅助表!AL62</f>
        <v>11</v>
      </c>
      <c r="H31" s="25">
        <f>升星辅助表!AM62</f>
        <v>0</v>
      </c>
      <c r="I31" s="25">
        <f>升星辅助表!AN62</f>
        <v>9</v>
      </c>
      <c r="J31" s="25">
        <f>升星辅助表!AO62</f>
        <v>15</v>
      </c>
      <c r="K31" s="25">
        <f>升星辅助表!AP62</f>
        <v>0</v>
      </c>
      <c r="L31" s="25">
        <f>升星辅助表!AQ62</f>
        <v>0</v>
      </c>
      <c r="M31" s="25">
        <f>升星辅助表!AR62</f>
        <v>0</v>
      </c>
      <c r="N31" s="25">
        <f>升星辅助表!AS62</f>
        <v>0</v>
      </c>
    </row>
    <row r="32" spans="1:14" x14ac:dyDescent="0.15">
      <c r="A32" s="5" t="str">
        <f>强化辅助表!B66</f>
        <v>1540</v>
      </c>
      <c r="B32" s="25">
        <f>升星辅助表!AV63</f>
        <v>2647</v>
      </c>
      <c r="C32" s="25">
        <f>升星辅助表!AW63*3</f>
        <v>7941</v>
      </c>
      <c r="D32" s="62">
        <f>升星辅助表!AH63</f>
        <v>70010</v>
      </c>
      <c r="E32" s="25">
        <f>升星辅助表!AG63</f>
        <v>9</v>
      </c>
      <c r="F32" s="25">
        <f>升星辅助表!AK63</f>
        <v>0</v>
      </c>
      <c r="G32" s="25">
        <f>升星辅助表!AL63</f>
        <v>40</v>
      </c>
      <c r="H32" s="25">
        <f>升星辅助表!AM63</f>
        <v>5</v>
      </c>
      <c r="I32" s="25">
        <f>升星辅助表!AN63</f>
        <v>0</v>
      </c>
      <c r="J32" s="25">
        <f>升星辅助表!AO63</f>
        <v>17</v>
      </c>
      <c r="K32" s="25">
        <f>升星辅助表!AP63</f>
        <v>12</v>
      </c>
      <c r="L32" s="25">
        <f>升星辅助表!AQ63</f>
        <v>0</v>
      </c>
      <c r="M32" s="25">
        <f>升星辅助表!AR63</f>
        <v>0</v>
      </c>
      <c r="N32" s="25">
        <f>升星辅助表!AS63</f>
        <v>0</v>
      </c>
    </row>
    <row r="33" spans="1:14" x14ac:dyDescent="0.15">
      <c r="A33" s="5" t="str">
        <f>强化辅助表!B67</f>
        <v>1541</v>
      </c>
      <c r="B33" s="25">
        <f>升星辅助表!AV64</f>
        <v>1832</v>
      </c>
      <c r="C33" s="25">
        <f>升星辅助表!AW64*3</f>
        <v>5496</v>
      </c>
      <c r="D33" s="62">
        <f>升星辅助表!AH64</f>
        <v>71010</v>
      </c>
      <c r="E33" s="25">
        <f>升星辅助表!AG64</f>
        <v>7</v>
      </c>
      <c r="F33" s="25">
        <f>升星辅助表!AK64</f>
        <v>436</v>
      </c>
      <c r="G33" s="25">
        <f>升星辅助表!AL64</f>
        <v>0</v>
      </c>
      <c r="H33" s="25">
        <f>升星辅助表!AM64</f>
        <v>14</v>
      </c>
      <c r="I33" s="25">
        <f>升星辅助表!AN64</f>
        <v>10</v>
      </c>
      <c r="J33" s="25">
        <f>升星辅助表!AO64</f>
        <v>0</v>
      </c>
      <c r="K33" s="25">
        <f>升星辅助表!AP64</f>
        <v>0</v>
      </c>
      <c r="L33" s="25">
        <f>升星辅助表!AQ64</f>
        <v>0</v>
      </c>
      <c r="M33" s="25">
        <f>升星辅助表!AR64</f>
        <v>10</v>
      </c>
      <c r="N33" s="25">
        <f>升星辅助表!AS64</f>
        <v>0</v>
      </c>
    </row>
    <row r="34" spans="1:14" x14ac:dyDescent="0.15">
      <c r="A34" s="5" t="str">
        <f>强化辅助表!B68</f>
        <v>1542</v>
      </c>
      <c r="B34" s="25">
        <f>升星辅助表!AV65</f>
        <v>946</v>
      </c>
      <c r="C34" s="25">
        <f>升星辅助表!AW65*3</f>
        <v>2838</v>
      </c>
      <c r="D34" s="62">
        <f>升星辅助表!AH65</f>
        <v>72010</v>
      </c>
      <c r="E34" s="25">
        <f>升星辅助表!AG65</f>
        <v>4</v>
      </c>
      <c r="F34" s="25">
        <f>升星辅助表!AK65</f>
        <v>218</v>
      </c>
      <c r="G34" s="25">
        <f>升星辅助表!AL65</f>
        <v>0</v>
      </c>
      <c r="H34" s="25">
        <f>升星辅助表!AM65</f>
        <v>5</v>
      </c>
      <c r="I34" s="25">
        <f>升星辅助表!AN65</f>
        <v>10</v>
      </c>
      <c r="J34" s="25">
        <f>升星辅助表!AO65</f>
        <v>0</v>
      </c>
      <c r="K34" s="25">
        <f>升星辅助表!AP65</f>
        <v>0</v>
      </c>
      <c r="L34" s="25">
        <f>升星辅助表!AQ65</f>
        <v>0</v>
      </c>
      <c r="M34" s="25">
        <f>升星辅助表!AR65</f>
        <v>10</v>
      </c>
      <c r="N34" s="25">
        <f>升星辅助表!AS65</f>
        <v>0</v>
      </c>
    </row>
    <row r="35" spans="1:14" x14ac:dyDescent="0.15">
      <c r="A35" s="5" t="str">
        <f>强化辅助表!B69</f>
        <v>1545</v>
      </c>
      <c r="B35" s="25">
        <f>升星辅助表!AV66</f>
        <v>1136</v>
      </c>
      <c r="C35" s="25">
        <f>升星辅助表!AW66*3</f>
        <v>3408</v>
      </c>
      <c r="D35" s="62">
        <f>升星辅助表!AH66</f>
        <v>75010</v>
      </c>
      <c r="E35" s="25">
        <f>升星辅助表!AG66</f>
        <v>4</v>
      </c>
      <c r="F35" s="25">
        <f>升星辅助表!AK66</f>
        <v>218</v>
      </c>
      <c r="G35" s="25">
        <f>升星辅助表!AL66</f>
        <v>0</v>
      </c>
      <c r="H35" s="25">
        <f>升星辅助表!AM66</f>
        <v>0</v>
      </c>
      <c r="I35" s="25">
        <f>升星辅助表!AN66</f>
        <v>21</v>
      </c>
      <c r="J35" s="25">
        <f>升星辅助表!AO66</f>
        <v>17</v>
      </c>
      <c r="K35" s="25">
        <f>升星辅助表!AP66</f>
        <v>6</v>
      </c>
      <c r="L35" s="25">
        <f>升星辅助表!AQ66</f>
        <v>0</v>
      </c>
      <c r="M35" s="25">
        <f>升星辅助表!AR66</f>
        <v>0</v>
      </c>
      <c r="N35" s="25">
        <f>升星辅助表!AS66</f>
        <v>0</v>
      </c>
    </row>
    <row r="36" spans="1:14" x14ac:dyDescent="0.15">
      <c r="A36" s="5" t="str">
        <f>强化辅助表!B70</f>
        <v>1544</v>
      </c>
      <c r="B36" s="25">
        <f>升星辅助表!AV67</f>
        <v>1862</v>
      </c>
      <c r="C36" s="25">
        <f>升星辅助表!AW67*3</f>
        <v>5586</v>
      </c>
      <c r="D36" s="62">
        <f>升星辅助表!AH67</f>
        <v>74010</v>
      </c>
      <c r="E36" s="25">
        <f>升星辅助表!AG67</f>
        <v>7</v>
      </c>
      <c r="F36" s="25">
        <f>升星辅助表!AK67</f>
        <v>436</v>
      </c>
      <c r="G36" s="25">
        <f>升星辅助表!AL67</f>
        <v>13</v>
      </c>
      <c r="H36" s="25">
        <f>升星辅助表!AM67</f>
        <v>5</v>
      </c>
      <c r="I36" s="25">
        <f>升星辅助表!AN67</f>
        <v>0</v>
      </c>
      <c r="J36" s="25">
        <f>升星辅助表!AO67</f>
        <v>0</v>
      </c>
      <c r="K36" s="25">
        <f>升星辅助表!AP67</f>
        <v>0</v>
      </c>
      <c r="L36" s="25">
        <f>升星辅助表!AQ67</f>
        <v>0</v>
      </c>
      <c r="M36" s="25">
        <f>升星辅助表!AR67</f>
        <v>10</v>
      </c>
      <c r="N36" s="25">
        <f>升星辅助表!AS67</f>
        <v>0</v>
      </c>
    </row>
    <row r="37" spans="1:14" x14ac:dyDescent="0.15">
      <c r="A37" s="5" t="str">
        <f>强化辅助表!B71</f>
        <v>1543</v>
      </c>
      <c r="B37" s="25">
        <f>升星辅助表!AV68</f>
        <v>1217</v>
      </c>
      <c r="C37" s="25">
        <f>升星辅助表!AW68*3</f>
        <v>3651</v>
      </c>
      <c r="D37" s="62">
        <f>升星辅助表!AH68</f>
        <v>73010</v>
      </c>
      <c r="E37" s="25">
        <f>升星辅助表!AG68</f>
        <v>5</v>
      </c>
      <c r="F37" s="25">
        <f>升星辅助表!AK68</f>
        <v>0</v>
      </c>
      <c r="G37" s="25">
        <f>升星辅助表!AL68</f>
        <v>13</v>
      </c>
      <c r="H37" s="25">
        <f>升星辅助表!AM68</f>
        <v>0</v>
      </c>
      <c r="I37" s="25">
        <f>升星辅助表!AN68</f>
        <v>10</v>
      </c>
      <c r="J37" s="25">
        <f>升星辅助表!AO68</f>
        <v>17</v>
      </c>
      <c r="K37" s="25">
        <f>升星辅助表!AP68</f>
        <v>12</v>
      </c>
      <c r="L37" s="25">
        <f>升星辅助表!AQ68</f>
        <v>0</v>
      </c>
      <c r="M37" s="25">
        <f>升星辅助表!AR68</f>
        <v>0</v>
      </c>
      <c r="N37" s="25">
        <f>升星辅助表!AS68</f>
        <v>0</v>
      </c>
    </row>
    <row r="38" spans="1:14" x14ac:dyDescent="0.15">
      <c r="A38" s="5" t="str">
        <f>强化辅助表!B72</f>
        <v>3010</v>
      </c>
      <c r="B38" s="25">
        <f>升星辅助表!AV69</f>
        <v>1800</v>
      </c>
      <c r="C38" s="25">
        <f>升星辅助表!AW69*3</f>
        <v>5400</v>
      </c>
      <c r="D38" s="62">
        <f>升星辅助表!AH69</f>
        <v>70010</v>
      </c>
      <c r="E38" s="25">
        <f>升星辅助表!AG69</f>
        <v>6</v>
      </c>
      <c r="F38" s="25">
        <f>升星辅助表!AK69</f>
        <v>0</v>
      </c>
      <c r="G38" s="25">
        <f>升星辅助表!AL69</f>
        <v>36</v>
      </c>
      <c r="H38" s="25">
        <f>升星辅助表!AM69</f>
        <v>0</v>
      </c>
      <c r="I38" s="25">
        <f>升星辅助表!AN69</f>
        <v>0</v>
      </c>
      <c r="J38" s="25">
        <f>升星辅助表!AO69</f>
        <v>0</v>
      </c>
      <c r="K38" s="25">
        <f>升星辅助表!AP69</f>
        <v>0</v>
      </c>
      <c r="L38" s="25">
        <f>升星辅助表!AQ69</f>
        <v>0</v>
      </c>
      <c r="M38" s="25">
        <f>升星辅助表!AR69</f>
        <v>0</v>
      </c>
      <c r="N38" s="25">
        <f>升星辅助表!AS69</f>
        <v>0</v>
      </c>
    </row>
    <row r="39" spans="1:14" x14ac:dyDescent="0.15">
      <c r="A39" s="5" t="str">
        <f>强化辅助表!B73</f>
        <v>3011</v>
      </c>
      <c r="B39" s="25">
        <f>升星辅助表!AV70</f>
        <v>784</v>
      </c>
      <c r="C39" s="25">
        <f>升星辅助表!AW70*3</f>
        <v>2352</v>
      </c>
      <c r="D39" s="62">
        <f>升星辅助表!AH70</f>
        <v>71010</v>
      </c>
      <c r="E39" s="25">
        <f>升星辅助表!AG70</f>
        <v>3</v>
      </c>
      <c r="F39" s="25">
        <f>升星辅助表!AK70</f>
        <v>392</v>
      </c>
      <c r="G39" s="25">
        <f>升星辅助表!AL70</f>
        <v>0</v>
      </c>
      <c r="H39" s="25">
        <f>升星辅助表!AM70</f>
        <v>0</v>
      </c>
      <c r="I39" s="25">
        <f>升星辅助表!AN70</f>
        <v>0</v>
      </c>
      <c r="J39" s="25">
        <f>升星辅助表!AO70</f>
        <v>0</v>
      </c>
      <c r="K39" s="25">
        <f>升星辅助表!AP70</f>
        <v>0</v>
      </c>
      <c r="L39" s="25">
        <f>升星辅助表!AQ70</f>
        <v>0</v>
      </c>
      <c r="M39" s="25">
        <f>升星辅助表!AR70</f>
        <v>0</v>
      </c>
      <c r="N39" s="25">
        <f>升星辅助表!AS70</f>
        <v>0</v>
      </c>
    </row>
    <row r="40" spans="1:14" x14ac:dyDescent="0.15">
      <c r="A40" s="5" t="str">
        <f>强化辅助表!B74</f>
        <v>3012</v>
      </c>
      <c r="B40" s="25">
        <f>升星辅助表!AV71</f>
        <v>392</v>
      </c>
      <c r="C40" s="25">
        <f>升星辅助表!AW71*3</f>
        <v>1176</v>
      </c>
      <c r="D40" s="62">
        <f>升星辅助表!AH71</f>
        <v>72010</v>
      </c>
      <c r="E40" s="25">
        <f>升星辅助表!AG71</f>
        <v>2</v>
      </c>
      <c r="F40" s="25">
        <f>升星辅助表!AK71</f>
        <v>196</v>
      </c>
      <c r="G40" s="25">
        <f>升星辅助表!AL71</f>
        <v>0</v>
      </c>
      <c r="H40" s="25">
        <f>升星辅助表!AM71</f>
        <v>0</v>
      </c>
      <c r="I40" s="25">
        <f>升星辅助表!AN71</f>
        <v>0</v>
      </c>
      <c r="J40" s="25">
        <f>升星辅助表!AO71</f>
        <v>0</v>
      </c>
      <c r="K40" s="25">
        <f>升星辅助表!AP71</f>
        <v>0</v>
      </c>
      <c r="L40" s="25">
        <f>升星辅助表!AQ71</f>
        <v>0</v>
      </c>
      <c r="M40" s="25">
        <f>升星辅助表!AR71</f>
        <v>0</v>
      </c>
      <c r="N40" s="25">
        <f>升星辅助表!AS71</f>
        <v>0</v>
      </c>
    </row>
    <row r="41" spans="1:14" x14ac:dyDescent="0.15">
      <c r="A41" s="5" t="str">
        <f>强化辅助表!B75</f>
        <v>3015</v>
      </c>
      <c r="B41" s="25">
        <f>升星辅助表!AV72</f>
        <v>392</v>
      </c>
      <c r="C41" s="25">
        <f>升星辅助表!AW72*3</f>
        <v>1176</v>
      </c>
      <c r="D41" s="62">
        <f>升星辅助表!AH72</f>
        <v>75010</v>
      </c>
      <c r="E41" s="25">
        <f>升星辅助表!AG72</f>
        <v>2</v>
      </c>
      <c r="F41" s="25">
        <f>升星辅助表!AK72</f>
        <v>196</v>
      </c>
      <c r="G41" s="25">
        <f>升星辅助表!AL72</f>
        <v>0</v>
      </c>
      <c r="H41" s="25">
        <f>升星辅助表!AM72</f>
        <v>0</v>
      </c>
      <c r="I41" s="25">
        <f>升星辅助表!AN72</f>
        <v>0</v>
      </c>
      <c r="J41" s="25">
        <f>升星辅助表!AO72</f>
        <v>0</v>
      </c>
      <c r="K41" s="25">
        <f>升星辅助表!AP72</f>
        <v>0</v>
      </c>
      <c r="L41" s="25">
        <f>升星辅助表!AQ72</f>
        <v>0</v>
      </c>
      <c r="M41" s="25">
        <f>升星辅助表!AR72</f>
        <v>0</v>
      </c>
      <c r="N41" s="25">
        <f>升星辅助表!AS72</f>
        <v>0</v>
      </c>
    </row>
    <row r="42" spans="1:14" x14ac:dyDescent="0.15">
      <c r="A42" s="5" t="str">
        <f>强化辅助表!B76</f>
        <v>3014</v>
      </c>
      <c r="B42" s="25">
        <f>升星辅助表!AV73</f>
        <v>784</v>
      </c>
      <c r="C42" s="25">
        <f>升星辅助表!AW73*3</f>
        <v>2352</v>
      </c>
      <c r="D42" s="62">
        <f>升星辅助表!AH73</f>
        <v>74010</v>
      </c>
      <c r="E42" s="25">
        <f>升星辅助表!AG73</f>
        <v>3</v>
      </c>
      <c r="F42" s="25">
        <f>升星辅助表!AK73</f>
        <v>392</v>
      </c>
      <c r="G42" s="25">
        <f>升星辅助表!AL73</f>
        <v>0</v>
      </c>
      <c r="H42" s="25">
        <f>升星辅助表!AM73</f>
        <v>0</v>
      </c>
      <c r="I42" s="25">
        <f>升星辅助表!AN73</f>
        <v>0</v>
      </c>
      <c r="J42" s="25">
        <f>升星辅助表!AO73</f>
        <v>0</v>
      </c>
      <c r="K42" s="25">
        <f>升星辅助表!AP73</f>
        <v>0</v>
      </c>
      <c r="L42" s="25">
        <f>升星辅助表!AQ73</f>
        <v>0</v>
      </c>
      <c r="M42" s="25">
        <f>升星辅助表!AR73</f>
        <v>0</v>
      </c>
      <c r="N42" s="25">
        <f>升星辅助表!AS73</f>
        <v>0</v>
      </c>
    </row>
    <row r="43" spans="1:14" x14ac:dyDescent="0.15">
      <c r="A43" s="5" t="str">
        <f>强化辅助表!B77</f>
        <v>3013</v>
      </c>
      <c r="B43" s="25">
        <f>升星辅助表!AV74</f>
        <v>600</v>
      </c>
      <c r="C43" s="25">
        <f>升星辅助表!AW74*3</f>
        <v>1800</v>
      </c>
      <c r="D43" s="62">
        <f>升星辅助表!AH74</f>
        <v>73010</v>
      </c>
      <c r="E43" s="25">
        <f>升星辅助表!AG74</f>
        <v>2</v>
      </c>
      <c r="F43" s="25">
        <f>升星辅助表!AK74</f>
        <v>0</v>
      </c>
      <c r="G43" s="25">
        <f>升星辅助表!AL74</f>
        <v>12</v>
      </c>
      <c r="H43" s="25">
        <f>升星辅助表!AM74</f>
        <v>0</v>
      </c>
      <c r="I43" s="25">
        <f>升星辅助表!AN74</f>
        <v>0</v>
      </c>
      <c r="J43" s="25">
        <f>升星辅助表!AO74</f>
        <v>0</v>
      </c>
      <c r="K43" s="25">
        <f>升星辅助表!AP74</f>
        <v>0</v>
      </c>
      <c r="L43" s="25">
        <f>升星辅助表!AQ74</f>
        <v>0</v>
      </c>
      <c r="M43" s="25">
        <f>升星辅助表!AR74</f>
        <v>0</v>
      </c>
      <c r="N43" s="25">
        <f>升星辅助表!AS74</f>
        <v>0</v>
      </c>
    </row>
    <row r="44" spans="1:14" x14ac:dyDescent="0.15">
      <c r="A44" s="5" t="str">
        <f>强化辅助表!B78</f>
        <v>3020</v>
      </c>
      <c r="B44" s="25">
        <f>升星辅助表!AV75</f>
        <v>2900</v>
      </c>
      <c r="C44" s="25">
        <f>升星辅助表!AW75*3</f>
        <v>8700</v>
      </c>
      <c r="D44" s="62">
        <f>升星辅助表!AH75</f>
        <v>70010</v>
      </c>
      <c r="E44" s="25">
        <f>升星辅助表!AG75</f>
        <v>10</v>
      </c>
      <c r="F44" s="25">
        <f>升星辅助表!AK75</f>
        <v>0</v>
      </c>
      <c r="G44" s="25">
        <f>升星辅助表!AL75</f>
        <v>52</v>
      </c>
      <c r="H44" s="25">
        <f>升星辅助表!AM75</f>
        <v>6</v>
      </c>
      <c r="I44" s="25">
        <f>升星辅助表!AN75</f>
        <v>0</v>
      </c>
      <c r="J44" s="25">
        <f>升星辅助表!AO75</f>
        <v>0</v>
      </c>
      <c r="K44" s="25">
        <f>升星辅助表!AP75</f>
        <v>0</v>
      </c>
      <c r="L44" s="25">
        <f>升星辅助表!AQ75</f>
        <v>0</v>
      </c>
      <c r="M44" s="25">
        <f>升星辅助表!AR75</f>
        <v>0</v>
      </c>
      <c r="N44" s="25">
        <f>升星辅助表!AS75</f>
        <v>0</v>
      </c>
    </row>
    <row r="45" spans="1:14" x14ac:dyDescent="0.15">
      <c r="A45" s="5" t="str">
        <f>强化辅助表!B79</f>
        <v>3021</v>
      </c>
      <c r="B45" s="25">
        <f>升星辅助表!AV76</f>
        <v>2082</v>
      </c>
      <c r="C45" s="25">
        <f>升星辅助表!AW76*3</f>
        <v>6246</v>
      </c>
      <c r="D45" s="62">
        <f>升星辅助表!AH76</f>
        <v>71010</v>
      </c>
      <c r="E45" s="25">
        <f>升星辅助表!AG76</f>
        <v>7</v>
      </c>
      <c r="F45" s="25">
        <f>升星辅助表!AK76</f>
        <v>566</v>
      </c>
      <c r="G45" s="25">
        <f>升星辅助表!AL76</f>
        <v>0</v>
      </c>
      <c r="H45" s="25">
        <f>升星辅助表!AM76</f>
        <v>19</v>
      </c>
      <c r="I45" s="25">
        <f>升星辅助表!AN76</f>
        <v>0</v>
      </c>
      <c r="J45" s="25">
        <f>升星辅助表!AO76</f>
        <v>0</v>
      </c>
      <c r="K45" s="25">
        <f>升星辅助表!AP76</f>
        <v>0</v>
      </c>
      <c r="L45" s="25">
        <f>升星辅助表!AQ76</f>
        <v>0</v>
      </c>
      <c r="M45" s="25">
        <f>升星辅助表!AR76</f>
        <v>0</v>
      </c>
      <c r="N45" s="25">
        <f>升星辅助表!AS76</f>
        <v>0</v>
      </c>
    </row>
    <row r="46" spans="1:14" x14ac:dyDescent="0.15">
      <c r="A46" s="5" t="str">
        <f>强化辅助表!B80</f>
        <v>3022</v>
      </c>
      <c r="B46" s="25">
        <f>升星辅助表!AV77</f>
        <v>866</v>
      </c>
      <c r="C46" s="25">
        <f>升星辅助表!AW77*3</f>
        <v>2598</v>
      </c>
      <c r="D46" s="62">
        <f>升星辅助表!AH77</f>
        <v>72010</v>
      </c>
      <c r="E46" s="25">
        <f>升星辅助表!AG77</f>
        <v>3</v>
      </c>
      <c r="F46" s="25">
        <f>升星辅助表!AK77</f>
        <v>283</v>
      </c>
      <c r="G46" s="25">
        <f>升星辅助表!AL77</f>
        <v>0</v>
      </c>
      <c r="H46" s="25">
        <f>升星辅助表!AM77</f>
        <v>6</v>
      </c>
      <c r="I46" s="25">
        <f>升星辅助表!AN77</f>
        <v>0</v>
      </c>
      <c r="J46" s="25">
        <f>升星辅助表!AO77</f>
        <v>0</v>
      </c>
      <c r="K46" s="25">
        <f>升星辅助表!AP77</f>
        <v>0</v>
      </c>
      <c r="L46" s="25">
        <f>升星辅助表!AQ77</f>
        <v>0</v>
      </c>
      <c r="M46" s="25">
        <f>升星辅助表!AR77</f>
        <v>0</v>
      </c>
      <c r="N46" s="25">
        <f>升星辅助表!AS77</f>
        <v>0</v>
      </c>
    </row>
    <row r="47" spans="1:14" x14ac:dyDescent="0.15">
      <c r="A47" s="5" t="str">
        <f>强化辅助表!B81</f>
        <v>3025</v>
      </c>
      <c r="B47" s="25">
        <f>升星辅助表!AV78</f>
        <v>1025</v>
      </c>
      <c r="C47" s="25">
        <f>升星辅助表!AW78*3</f>
        <v>3075</v>
      </c>
      <c r="D47" s="62">
        <f>升星辅助表!AH78</f>
        <v>75010</v>
      </c>
      <c r="E47" s="25">
        <f>升星辅助表!AG78</f>
        <v>4</v>
      </c>
      <c r="F47" s="25">
        <f>升星辅助表!AK78</f>
        <v>283</v>
      </c>
      <c r="G47" s="25">
        <f>升星辅助表!AL78</f>
        <v>0</v>
      </c>
      <c r="H47" s="25">
        <f>升星辅助表!AM78</f>
        <v>0</v>
      </c>
      <c r="I47" s="25">
        <f>升星辅助表!AN78</f>
        <v>27</v>
      </c>
      <c r="J47" s="25">
        <f>升星辅助表!AO78</f>
        <v>0</v>
      </c>
      <c r="K47" s="25">
        <f>升星辅助表!AP78</f>
        <v>0</v>
      </c>
      <c r="L47" s="25">
        <f>升星辅助表!AQ78</f>
        <v>0</v>
      </c>
      <c r="M47" s="25">
        <f>升星辅助表!AR78</f>
        <v>0</v>
      </c>
      <c r="N47" s="25">
        <f>升星辅助表!AS78</f>
        <v>0</v>
      </c>
    </row>
    <row r="48" spans="1:14" x14ac:dyDescent="0.15">
      <c r="A48" s="5" t="str">
        <f>强化辅助表!B82</f>
        <v>3024</v>
      </c>
      <c r="B48" s="25">
        <f>升星辅助表!AV79</f>
        <v>1982</v>
      </c>
      <c r="C48" s="25">
        <f>升星辅助表!AW79*3</f>
        <v>5946</v>
      </c>
      <c r="D48" s="62">
        <f>升星辅助表!AH79</f>
        <v>74010</v>
      </c>
      <c r="E48" s="25">
        <f>升星辅助表!AG79</f>
        <v>7</v>
      </c>
      <c r="F48" s="25">
        <f>升星辅助表!AK79</f>
        <v>566</v>
      </c>
      <c r="G48" s="25">
        <f>升星辅助表!AL79</f>
        <v>17</v>
      </c>
      <c r="H48" s="25">
        <f>升星辅助表!AM79</f>
        <v>0</v>
      </c>
      <c r="I48" s="25">
        <f>升星辅助表!AN79</f>
        <v>0</v>
      </c>
      <c r="J48" s="25">
        <f>升星辅助表!AO79</f>
        <v>0</v>
      </c>
      <c r="K48" s="25">
        <f>升星辅助表!AP79</f>
        <v>0</v>
      </c>
      <c r="L48" s="25">
        <f>升星辅助表!AQ79</f>
        <v>0</v>
      </c>
      <c r="M48" s="25">
        <f>升星辅助表!AR79</f>
        <v>0</v>
      </c>
      <c r="N48" s="25">
        <f>升星辅助表!AS79</f>
        <v>0</v>
      </c>
    </row>
    <row r="49" spans="1:14" x14ac:dyDescent="0.15">
      <c r="A49" s="5" t="str">
        <f>强化辅助表!B83</f>
        <v>3023</v>
      </c>
      <c r="B49" s="25">
        <f>升星辅助表!AV80</f>
        <v>1088</v>
      </c>
      <c r="C49" s="25">
        <f>升星辅助表!AW80*3</f>
        <v>3264</v>
      </c>
      <c r="D49" s="62">
        <f>升星辅助表!AH80</f>
        <v>73010</v>
      </c>
      <c r="E49" s="25">
        <f>升星辅助表!AG80</f>
        <v>4</v>
      </c>
      <c r="F49" s="25">
        <f>升星辅助表!AK80</f>
        <v>0</v>
      </c>
      <c r="G49" s="25">
        <f>升星辅助表!AL80</f>
        <v>17</v>
      </c>
      <c r="H49" s="25">
        <f>升星辅助表!AM80</f>
        <v>0</v>
      </c>
      <c r="I49" s="25">
        <f>升星辅助表!AN80</f>
        <v>14</v>
      </c>
      <c r="J49" s="25">
        <f>升星辅助表!AO80</f>
        <v>0</v>
      </c>
      <c r="K49" s="25">
        <f>升星辅助表!AP80</f>
        <v>0</v>
      </c>
      <c r="L49" s="25">
        <f>升星辅助表!AQ80</f>
        <v>0</v>
      </c>
      <c r="M49" s="25">
        <f>升星辅助表!AR80</f>
        <v>0</v>
      </c>
      <c r="N49" s="25">
        <f>升星辅助表!AS80</f>
        <v>0</v>
      </c>
    </row>
    <row r="50" spans="1:14" x14ac:dyDescent="0.15">
      <c r="A50" s="5" t="str">
        <f>强化辅助表!B84</f>
        <v>3030</v>
      </c>
      <c r="B50" s="25">
        <f>升星辅助表!AV81</f>
        <v>4310</v>
      </c>
      <c r="C50" s="25">
        <f>升星辅助表!AW81*3</f>
        <v>12930</v>
      </c>
      <c r="D50" s="62">
        <f>升星辅助表!AH81</f>
        <v>70010</v>
      </c>
      <c r="E50" s="25">
        <f>升星辅助表!AG81</f>
        <v>15</v>
      </c>
      <c r="F50" s="25">
        <f>升星辅助表!AK81</f>
        <v>0</v>
      </c>
      <c r="G50" s="25">
        <f>升星辅助表!AL81</f>
        <v>68</v>
      </c>
      <c r="H50" s="25">
        <f>升星辅助表!AM81</f>
        <v>8</v>
      </c>
      <c r="I50" s="25">
        <f>升星辅助表!AN81</f>
        <v>0</v>
      </c>
      <c r="J50" s="25">
        <f>升星辅助表!AO81</f>
        <v>30</v>
      </c>
      <c r="K50" s="25">
        <f>升星辅助表!AP81</f>
        <v>0</v>
      </c>
      <c r="L50" s="25">
        <f>升星辅助表!AQ81</f>
        <v>0</v>
      </c>
      <c r="M50" s="25">
        <f>升星辅助表!AR81</f>
        <v>0</v>
      </c>
      <c r="N50" s="25">
        <f>升星辅助表!AS81</f>
        <v>0</v>
      </c>
    </row>
    <row r="51" spans="1:14" x14ac:dyDescent="0.15">
      <c r="A51" s="5" t="str">
        <f>强化辅助表!B85</f>
        <v>3031</v>
      </c>
      <c r="B51" s="25">
        <f>升星辅助表!AV82</f>
        <v>2986</v>
      </c>
      <c r="C51" s="25">
        <f>升星辅助表!AW82*3</f>
        <v>8958</v>
      </c>
      <c r="D51" s="62">
        <f>升星辅助表!AH82</f>
        <v>71010</v>
      </c>
      <c r="E51" s="25">
        <f>升星辅助表!AG82</f>
        <v>10</v>
      </c>
      <c r="F51" s="25">
        <f>升星辅助表!AK82</f>
        <v>740</v>
      </c>
      <c r="G51" s="25">
        <f>升星辅助表!AL82</f>
        <v>0</v>
      </c>
      <c r="H51" s="25">
        <f>升星辅助表!AM82</f>
        <v>24</v>
      </c>
      <c r="I51" s="25">
        <f>升星辅助表!AN82</f>
        <v>18</v>
      </c>
      <c r="J51" s="25">
        <f>升星辅助表!AO82</f>
        <v>0</v>
      </c>
      <c r="K51" s="25">
        <f>升星辅助表!AP82</f>
        <v>0</v>
      </c>
      <c r="L51" s="25">
        <f>升星辅助表!AQ82</f>
        <v>0</v>
      </c>
      <c r="M51" s="25">
        <f>升星辅助表!AR82</f>
        <v>0</v>
      </c>
      <c r="N51" s="25">
        <f>升星辅助表!AS82</f>
        <v>0</v>
      </c>
    </row>
    <row r="52" spans="1:14" x14ac:dyDescent="0.15">
      <c r="A52" s="5" t="str">
        <f>强化辅助表!B86</f>
        <v>3032</v>
      </c>
      <c r="B52" s="25">
        <f>升星辅助表!AV83</f>
        <v>1446</v>
      </c>
      <c r="C52" s="25">
        <f>升星辅助表!AW83*3</f>
        <v>4338</v>
      </c>
      <c r="D52" s="62">
        <f>升星辅助表!AH83</f>
        <v>72010</v>
      </c>
      <c r="E52" s="25">
        <f>升星辅助表!AG83</f>
        <v>5</v>
      </c>
      <c r="F52" s="25">
        <f>升星辅助表!AK83</f>
        <v>370</v>
      </c>
      <c r="G52" s="25">
        <f>升星辅助表!AL83</f>
        <v>0</v>
      </c>
      <c r="H52" s="25">
        <f>升星辅助表!AM83</f>
        <v>8</v>
      </c>
      <c r="I52" s="25">
        <f>升星辅助表!AN83</f>
        <v>18</v>
      </c>
      <c r="J52" s="25">
        <f>升星辅助表!AO83</f>
        <v>0</v>
      </c>
      <c r="K52" s="25">
        <f>升星辅助表!AP83</f>
        <v>0</v>
      </c>
      <c r="L52" s="25">
        <f>升星辅助表!AQ83</f>
        <v>0</v>
      </c>
      <c r="M52" s="25">
        <f>升星辅助表!AR83</f>
        <v>0</v>
      </c>
      <c r="N52" s="25">
        <f>升星辅助表!AS83</f>
        <v>0</v>
      </c>
    </row>
    <row r="53" spans="1:14" x14ac:dyDescent="0.15">
      <c r="A53" s="5" t="str">
        <f>强化辅助表!B87</f>
        <v>3035</v>
      </c>
      <c r="B53" s="25">
        <f>升星辅助表!AV84</f>
        <v>1845</v>
      </c>
      <c r="C53" s="25">
        <f>升星辅助表!AW84*3</f>
        <v>5535</v>
      </c>
      <c r="D53" s="62">
        <f>升星辅助表!AH84</f>
        <v>75010</v>
      </c>
      <c r="E53" s="25">
        <f>升星辅助表!AG84</f>
        <v>7</v>
      </c>
      <c r="F53" s="25">
        <f>升星辅助表!AK84</f>
        <v>370</v>
      </c>
      <c r="G53" s="25">
        <f>升星辅助表!AL84</f>
        <v>0</v>
      </c>
      <c r="H53" s="25">
        <f>升星辅助表!AM84</f>
        <v>0</v>
      </c>
      <c r="I53" s="25">
        <f>升星辅助表!AN84</f>
        <v>35</v>
      </c>
      <c r="J53" s="25">
        <f>升星辅助表!AO84</f>
        <v>30</v>
      </c>
      <c r="K53" s="25">
        <f>升星辅助表!AP84</f>
        <v>0</v>
      </c>
      <c r="L53" s="25">
        <f>升星辅助表!AQ84</f>
        <v>0</v>
      </c>
      <c r="M53" s="25">
        <f>升星辅助表!AR84</f>
        <v>0</v>
      </c>
      <c r="N53" s="25">
        <f>升星辅助表!AS84</f>
        <v>0</v>
      </c>
    </row>
    <row r="54" spans="1:14" x14ac:dyDescent="0.15">
      <c r="A54" s="5" t="str">
        <f>强化辅助表!B88</f>
        <v>3034</v>
      </c>
      <c r="B54" s="25">
        <f>升星辅助表!AV85</f>
        <v>3030</v>
      </c>
      <c r="C54" s="25">
        <f>升星辅助表!AW85*3</f>
        <v>9090</v>
      </c>
      <c r="D54" s="62">
        <f>升星辅助表!AH85</f>
        <v>74010</v>
      </c>
      <c r="E54" s="25">
        <f>升星辅助表!AG85</f>
        <v>11</v>
      </c>
      <c r="F54" s="25">
        <f>升星辅助表!AK85</f>
        <v>740</v>
      </c>
      <c r="G54" s="25">
        <f>升星辅助表!AL85</f>
        <v>23</v>
      </c>
      <c r="H54" s="25">
        <f>升星辅助表!AM85</f>
        <v>8</v>
      </c>
      <c r="I54" s="25">
        <f>升星辅助表!AN85</f>
        <v>0</v>
      </c>
      <c r="J54" s="25">
        <f>升星辅助表!AO85</f>
        <v>0</v>
      </c>
      <c r="K54" s="25">
        <f>升星辅助表!AP85</f>
        <v>0</v>
      </c>
      <c r="L54" s="25">
        <f>升星辅助表!AQ85</f>
        <v>0</v>
      </c>
      <c r="M54" s="25">
        <f>升星辅助表!AR85</f>
        <v>0</v>
      </c>
      <c r="N54" s="25">
        <f>升星辅助表!AS85</f>
        <v>0</v>
      </c>
    </row>
    <row r="55" spans="1:14" x14ac:dyDescent="0.15">
      <c r="A55" s="5" t="str">
        <f>强化辅助表!B89</f>
        <v>3033</v>
      </c>
      <c r="B55" s="25">
        <f>升星辅助表!AV86</f>
        <v>1966</v>
      </c>
      <c r="C55" s="25">
        <f>升星辅助表!AW86*3</f>
        <v>5898</v>
      </c>
      <c r="D55" s="62">
        <f>升星辅助表!AH86</f>
        <v>73010</v>
      </c>
      <c r="E55" s="25">
        <f>升星辅助表!AG86</f>
        <v>7</v>
      </c>
      <c r="F55" s="25">
        <f>升星辅助表!AK86</f>
        <v>0</v>
      </c>
      <c r="G55" s="25">
        <f>升星辅助表!AL86</f>
        <v>23</v>
      </c>
      <c r="H55" s="25">
        <f>升星辅助表!AM86</f>
        <v>0</v>
      </c>
      <c r="I55" s="25">
        <f>升星辅助表!AN86</f>
        <v>18</v>
      </c>
      <c r="J55" s="25">
        <f>升星辅助表!AO86</f>
        <v>30</v>
      </c>
      <c r="K55" s="25">
        <f>升星辅助表!AP86</f>
        <v>0</v>
      </c>
      <c r="L55" s="25">
        <f>升星辅助表!AQ86</f>
        <v>0</v>
      </c>
      <c r="M55" s="25">
        <f>升星辅助表!AR86</f>
        <v>0</v>
      </c>
      <c r="N55" s="25">
        <f>升星辅助表!AS86</f>
        <v>0</v>
      </c>
    </row>
    <row r="56" spans="1:14" x14ac:dyDescent="0.15">
      <c r="A56" s="5" t="str">
        <f>强化辅助表!B90</f>
        <v>3040</v>
      </c>
      <c r="B56" s="25">
        <f>升星辅助表!AV87</f>
        <v>5320</v>
      </c>
      <c r="C56" s="25">
        <f>升星辅助表!AW87*3</f>
        <v>15960</v>
      </c>
      <c r="D56" s="62">
        <f>升星辅助表!AH87</f>
        <v>70010</v>
      </c>
      <c r="E56" s="25">
        <f>升星辅助表!AG87</f>
        <v>18</v>
      </c>
      <c r="F56" s="25">
        <f>升星辅助表!AK87</f>
        <v>0</v>
      </c>
      <c r="G56" s="25">
        <f>升星辅助表!AL87</f>
        <v>80</v>
      </c>
      <c r="H56" s="25">
        <f>升星辅助表!AM87</f>
        <v>10</v>
      </c>
      <c r="I56" s="25">
        <f>升星辅助表!AN87</f>
        <v>0</v>
      </c>
      <c r="J56" s="25">
        <f>升星辅助表!AO87</f>
        <v>35</v>
      </c>
      <c r="K56" s="25">
        <f>升星辅助表!AP87</f>
        <v>25</v>
      </c>
      <c r="L56" s="25">
        <f>升星辅助表!AQ87</f>
        <v>0</v>
      </c>
      <c r="M56" s="25">
        <f>升星辅助表!AR87</f>
        <v>0</v>
      </c>
      <c r="N56" s="25">
        <f>升星辅助表!AS87</f>
        <v>0</v>
      </c>
    </row>
    <row r="57" spans="1:14" x14ac:dyDescent="0.15">
      <c r="A57" s="5" t="str">
        <f>强化辅助表!B91</f>
        <v>3041</v>
      </c>
      <c r="B57" s="25">
        <f>升星辅助表!AV88</f>
        <v>3738</v>
      </c>
      <c r="C57" s="25">
        <f>升星辅助表!AW88*3</f>
        <v>11214</v>
      </c>
      <c r="D57" s="62">
        <f>升星辅助表!AH88</f>
        <v>71010</v>
      </c>
      <c r="E57" s="25">
        <f>升星辅助表!AG88</f>
        <v>13</v>
      </c>
      <c r="F57" s="25">
        <f>升星辅助表!AK88</f>
        <v>871</v>
      </c>
      <c r="G57" s="25">
        <f>升星辅助表!AL88</f>
        <v>0</v>
      </c>
      <c r="H57" s="25">
        <f>升星辅助表!AM88</f>
        <v>29</v>
      </c>
      <c r="I57" s="25">
        <f>升星辅助表!AN88</f>
        <v>21</v>
      </c>
      <c r="J57" s="25">
        <f>升星辅助表!AO88</f>
        <v>0</v>
      </c>
      <c r="K57" s="25">
        <f>升星辅助表!AP88</f>
        <v>0</v>
      </c>
      <c r="L57" s="25">
        <f>升星辅助表!AQ88</f>
        <v>0</v>
      </c>
      <c r="M57" s="25">
        <f>升星辅助表!AR88</f>
        <v>21</v>
      </c>
      <c r="N57" s="25">
        <f>升星辅助表!AS88</f>
        <v>0</v>
      </c>
    </row>
    <row r="58" spans="1:14" x14ac:dyDescent="0.15">
      <c r="A58" s="5" t="str">
        <f>强化辅助表!B92</f>
        <v>3042</v>
      </c>
      <c r="B58" s="25">
        <f>升星辅助表!AV89</f>
        <v>1918</v>
      </c>
      <c r="C58" s="25">
        <f>升星辅助表!AW89*3</f>
        <v>5754</v>
      </c>
      <c r="D58" s="62">
        <f>升星辅助表!AH89</f>
        <v>72010</v>
      </c>
      <c r="E58" s="25">
        <f>升星辅助表!AG89</f>
        <v>7</v>
      </c>
      <c r="F58" s="25">
        <f>升星辅助表!AK89</f>
        <v>436</v>
      </c>
      <c r="G58" s="25">
        <f>升星辅助表!AL89</f>
        <v>0</v>
      </c>
      <c r="H58" s="25">
        <f>升星辅助表!AM89</f>
        <v>10</v>
      </c>
      <c r="I58" s="25">
        <f>升星辅助表!AN89</f>
        <v>21</v>
      </c>
      <c r="J58" s="25">
        <f>升星辅助表!AO89</f>
        <v>0</v>
      </c>
      <c r="K58" s="25">
        <f>升星辅助表!AP89</f>
        <v>0</v>
      </c>
      <c r="L58" s="25">
        <f>升星辅助表!AQ89</f>
        <v>0</v>
      </c>
      <c r="M58" s="25">
        <f>升星辅助表!AR89</f>
        <v>21</v>
      </c>
      <c r="N58" s="25">
        <f>升星辅助表!AS89</f>
        <v>0</v>
      </c>
    </row>
    <row r="59" spans="1:14" x14ac:dyDescent="0.15">
      <c r="A59" s="5" t="str">
        <f>强化辅助表!B93</f>
        <v>3045</v>
      </c>
      <c r="B59" s="25">
        <f>升星辅助表!AV90</f>
        <v>2289</v>
      </c>
      <c r="C59" s="25">
        <f>升星辅助表!AW90*3</f>
        <v>6867</v>
      </c>
      <c r="D59" s="62">
        <f>升星辅助表!AH90</f>
        <v>75010</v>
      </c>
      <c r="E59" s="25">
        <f>升星辅助表!AG90</f>
        <v>8</v>
      </c>
      <c r="F59" s="25">
        <f>升星辅助表!AK90</f>
        <v>436</v>
      </c>
      <c r="G59" s="25">
        <f>升星辅助表!AL90</f>
        <v>0</v>
      </c>
      <c r="H59" s="25">
        <f>升星辅助表!AM90</f>
        <v>0</v>
      </c>
      <c r="I59" s="25">
        <f>升星辅助表!AN90</f>
        <v>42</v>
      </c>
      <c r="J59" s="25">
        <f>升星辅助表!AO90</f>
        <v>35</v>
      </c>
      <c r="K59" s="25">
        <f>升星辅助表!AP90</f>
        <v>12</v>
      </c>
      <c r="L59" s="25">
        <f>升星辅助表!AQ90</f>
        <v>0</v>
      </c>
      <c r="M59" s="25">
        <f>升星辅助表!AR90</f>
        <v>0</v>
      </c>
      <c r="N59" s="25">
        <f>升星辅助表!AS90</f>
        <v>0</v>
      </c>
    </row>
    <row r="60" spans="1:14" x14ac:dyDescent="0.15">
      <c r="A60" s="5" t="str">
        <f>强化辅助表!B94</f>
        <v>3044</v>
      </c>
      <c r="B60" s="25">
        <f>升星辅助表!AV91</f>
        <v>3781</v>
      </c>
      <c r="C60" s="25">
        <f>升星辅助表!AW91*3</f>
        <v>11343</v>
      </c>
      <c r="D60" s="62">
        <f>升星辅助表!AH91</f>
        <v>74010</v>
      </c>
      <c r="E60" s="25">
        <f>升星辅助表!AG91</f>
        <v>13</v>
      </c>
      <c r="F60" s="25">
        <f>升星辅助表!AK91</f>
        <v>871</v>
      </c>
      <c r="G60" s="25">
        <f>升星辅助表!AL91</f>
        <v>27</v>
      </c>
      <c r="H60" s="25">
        <f>升星辅助表!AM91</f>
        <v>10</v>
      </c>
      <c r="I60" s="25">
        <f>升星辅助表!AN91</f>
        <v>0</v>
      </c>
      <c r="J60" s="25">
        <f>升星辅助表!AO91</f>
        <v>0</v>
      </c>
      <c r="K60" s="25">
        <f>升星辅助表!AP91</f>
        <v>0</v>
      </c>
      <c r="L60" s="25">
        <f>升星辅助表!AQ91</f>
        <v>0</v>
      </c>
      <c r="M60" s="25">
        <f>升星辅助表!AR91</f>
        <v>21</v>
      </c>
      <c r="N60" s="25">
        <f>升星辅助表!AS91</f>
        <v>0</v>
      </c>
    </row>
    <row r="61" spans="1:14" x14ac:dyDescent="0.15">
      <c r="A61" s="5" t="str">
        <f>强化辅助表!B95</f>
        <v>3043</v>
      </c>
      <c r="B61" s="25">
        <f>升星辅助表!AV92</f>
        <v>2527</v>
      </c>
      <c r="C61" s="25">
        <f>升星辅助表!AW92*3</f>
        <v>7581</v>
      </c>
      <c r="D61" s="62">
        <f>升星辅助表!AH92</f>
        <v>73010</v>
      </c>
      <c r="E61" s="25">
        <f>升星辅助表!AG92</f>
        <v>9</v>
      </c>
      <c r="F61" s="25">
        <f>升星辅助表!AK92</f>
        <v>0</v>
      </c>
      <c r="G61" s="25">
        <f>升星辅助表!AL92</f>
        <v>27</v>
      </c>
      <c r="H61" s="25">
        <f>升星辅助表!AM92</f>
        <v>0</v>
      </c>
      <c r="I61" s="25">
        <f>升星辅助表!AN92</f>
        <v>21</v>
      </c>
      <c r="J61" s="25">
        <f>升星辅助表!AO92</f>
        <v>35</v>
      </c>
      <c r="K61" s="25">
        <f>升星辅助表!AP92</f>
        <v>25</v>
      </c>
      <c r="L61" s="25">
        <f>升星辅助表!AQ92</f>
        <v>0</v>
      </c>
      <c r="M61" s="25">
        <f>升星辅助表!AR92</f>
        <v>0</v>
      </c>
      <c r="N61" s="25">
        <f>升星辅助表!AS92</f>
        <v>0</v>
      </c>
    </row>
    <row r="62" spans="1:14" x14ac:dyDescent="0.15">
      <c r="A62" s="5" t="str">
        <f>强化辅助表!B96</f>
        <v>4510</v>
      </c>
      <c r="B62" s="25">
        <f>升星辅助表!AV93</f>
        <v>3600</v>
      </c>
      <c r="C62" s="25">
        <f>升星辅助表!AW93*3</f>
        <v>10800</v>
      </c>
      <c r="D62" s="62">
        <f>升星辅助表!AH93</f>
        <v>70010</v>
      </c>
      <c r="E62" s="25">
        <f>升星辅助表!AG93</f>
        <v>12</v>
      </c>
      <c r="F62" s="25">
        <f>升星辅助表!AK93</f>
        <v>0</v>
      </c>
      <c r="G62" s="25">
        <f>升星辅助表!AL93</f>
        <v>72</v>
      </c>
      <c r="H62" s="25">
        <f>升星辅助表!AM93</f>
        <v>0</v>
      </c>
      <c r="I62" s="25">
        <f>升星辅助表!AN93</f>
        <v>0</v>
      </c>
      <c r="J62" s="25">
        <f>升星辅助表!AO93</f>
        <v>0</v>
      </c>
      <c r="K62" s="25">
        <f>升星辅助表!AP93</f>
        <v>0</v>
      </c>
      <c r="L62" s="25">
        <f>升星辅助表!AQ93</f>
        <v>0</v>
      </c>
      <c r="M62" s="25">
        <f>升星辅助表!AR93</f>
        <v>0</v>
      </c>
      <c r="N62" s="25">
        <f>升星辅助表!AS93</f>
        <v>0</v>
      </c>
    </row>
    <row r="63" spans="1:14" x14ac:dyDescent="0.15">
      <c r="A63" s="5" t="str">
        <f>强化辅助表!B97</f>
        <v>4511</v>
      </c>
      <c r="B63" s="25">
        <f>升星辅助表!AV94</f>
        <v>1568</v>
      </c>
      <c r="C63" s="25">
        <f>升星辅助表!AW94*3</f>
        <v>4704</v>
      </c>
      <c r="D63" s="62">
        <f>升星辅助表!AH94</f>
        <v>71010</v>
      </c>
      <c r="E63" s="25">
        <f>升星辅助表!AG94</f>
        <v>6</v>
      </c>
      <c r="F63" s="25">
        <f>升星辅助表!AK94</f>
        <v>784</v>
      </c>
      <c r="G63" s="25">
        <f>升星辅助表!AL94</f>
        <v>0</v>
      </c>
      <c r="H63" s="25">
        <f>升星辅助表!AM94</f>
        <v>0</v>
      </c>
      <c r="I63" s="25">
        <f>升星辅助表!AN94</f>
        <v>0</v>
      </c>
      <c r="J63" s="25">
        <f>升星辅助表!AO94</f>
        <v>0</v>
      </c>
      <c r="K63" s="25">
        <f>升星辅助表!AP94</f>
        <v>0</v>
      </c>
      <c r="L63" s="25">
        <f>升星辅助表!AQ94</f>
        <v>0</v>
      </c>
      <c r="M63" s="25">
        <f>升星辅助表!AR94</f>
        <v>0</v>
      </c>
      <c r="N63" s="25">
        <f>升星辅助表!AS94</f>
        <v>0</v>
      </c>
    </row>
    <row r="64" spans="1:14" x14ac:dyDescent="0.15">
      <c r="A64" s="5" t="str">
        <f>强化辅助表!B98</f>
        <v>4512</v>
      </c>
      <c r="B64" s="25">
        <f>升星辅助表!AV95</f>
        <v>784</v>
      </c>
      <c r="C64" s="25">
        <f>升星辅助表!AW95*3</f>
        <v>2352</v>
      </c>
      <c r="D64" s="62">
        <f>升星辅助表!AH95</f>
        <v>72010</v>
      </c>
      <c r="E64" s="25">
        <f>升星辅助表!AG95</f>
        <v>3</v>
      </c>
      <c r="F64" s="25">
        <f>升星辅助表!AK95</f>
        <v>392</v>
      </c>
      <c r="G64" s="25">
        <f>升星辅助表!AL95</f>
        <v>0</v>
      </c>
      <c r="H64" s="25">
        <f>升星辅助表!AM95</f>
        <v>0</v>
      </c>
      <c r="I64" s="25">
        <f>升星辅助表!AN95</f>
        <v>0</v>
      </c>
      <c r="J64" s="25">
        <f>升星辅助表!AO95</f>
        <v>0</v>
      </c>
      <c r="K64" s="25">
        <f>升星辅助表!AP95</f>
        <v>0</v>
      </c>
      <c r="L64" s="25">
        <f>升星辅助表!AQ95</f>
        <v>0</v>
      </c>
      <c r="M64" s="25">
        <f>升星辅助表!AR95</f>
        <v>0</v>
      </c>
      <c r="N64" s="25">
        <f>升星辅助表!AS95</f>
        <v>0</v>
      </c>
    </row>
    <row r="65" spans="1:14" x14ac:dyDescent="0.15">
      <c r="A65" s="5" t="str">
        <f>强化辅助表!B99</f>
        <v>4515</v>
      </c>
      <c r="B65" s="25">
        <f>升星辅助表!AV96</f>
        <v>784</v>
      </c>
      <c r="C65" s="25">
        <f>升星辅助表!AW96*3</f>
        <v>2352</v>
      </c>
      <c r="D65" s="62">
        <f>升星辅助表!AH96</f>
        <v>75010</v>
      </c>
      <c r="E65" s="25">
        <f>升星辅助表!AG96</f>
        <v>3</v>
      </c>
      <c r="F65" s="25">
        <f>升星辅助表!AK96</f>
        <v>392</v>
      </c>
      <c r="G65" s="25">
        <f>升星辅助表!AL96</f>
        <v>0</v>
      </c>
      <c r="H65" s="25">
        <f>升星辅助表!AM96</f>
        <v>0</v>
      </c>
      <c r="I65" s="25">
        <f>升星辅助表!AN96</f>
        <v>0</v>
      </c>
      <c r="J65" s="25">
        <f>升星辅助表!AO96</f>
        <v>0</v>
      </c>
      <c r="K65" s="25">
        <f>升星辅助表!AP96</f>
        <v>0</v>
      </c>
      <c r="L65" s="25">
        <f>升星辅助表!AQ96</f>
        <v>0</v>
      </c>
      <c r="M65" s="25">
        <f>升星辅助表!AR96</f>
        <v>0</v>
      </c>
      <c r="N65" s="25">
        <f>升星辅助表!AS96</f>
        <v>0</v>
      </c>
    </row>
    <row r="66" spans="1:14" x14ac:dyDescent="0.15">
      <c r="A66" s="5" t="str">
        <f>强化辅助表!B100</f>
        <v>4514</v>
      </c>
      <c r="B66" s="25">
        <f>升星辅助表!AV97</f>
        <v>1568</v>
      </c>
      <c r="C66" s="25">
        <f>升星辅助表!AW97*3</f>
        <v>4704</v>
      </c>
      <c r="D66" s="62">
        <f>升星辅助表!AH97</f>
        <v>74010</v>
      </c>
      <c r="E66" s="25">
        <f>升星辅助表!AG97</f>
        <v>6</v>
      </c>
      <c r="F66" s="25">
        <f>升星辅助表!AK97</f>
        <v>784</v>
      </c>
      <c r="G66" s="25">
        <f>升星辅助表!AL97</f>
        <v>0</v>
      </c>
      <c r="H66" s="25">
        <f>升星辅助表!AM97</f>
        <v>0</v>
      </c>
      <c r="I66" s="25">
        <f>升星辅助表!AN97</f>
        <v>0</v>
      </c>
      <c r="J66" s="25">
        <f>升星辅助表!AO97</f>
        <v>0</v>
      </c>
      <c r="K66" s="25">
        <f>升星辅助表!AP97</f>
        <v>0</v>
      </c>
      <c r="L66" s="25">
        <f>升星辅助表!AQ97</f>
        <v>0</v>
      </c>
      <c r="M66" s="25">
        <f>升星辅助表!AR97</f>
        <v>0</v>
      </c>
      <c r="N66" s="25">
        <f>升星辅助表!AS97</f>
        <v>0</v>
      </c>
    </row>
    <row r="67" spans="1:14" x14ac:dyDescent="0.15">
      <c r="A67" s="5" t="str">
        <f>强化辅助表!B101</f>
        <v>4513</v>
      </c>
      <c r="B67" s="25">
        <f>升星辅助表!AV98</f>
        <v>1200</v>
      </c>
      <c r="C67" s="25">
        <f>升星辅助表!AW98*3</f>
        <v>3600</v>
      </c>
      <c r="D67" s="62">
        <f>升星辅助表!AH98</f>
        <v>73010</v>
      </c>
      <c r="E67" s="25">
        <f>升星辅助表!AG98</f>
        <v>4</v>
      </c>
      <c r="F67" s="25">
        <f>升星辅助表!AK98</f>
        <v>0</v>
      </c>
      <c r="G67" s="25">
        <f>升星辅助表!AL98</f>
        <v>24</v>
      </c>
      <c r="H67" s="25">
        <f>升星辅助表!AM98</f>
        <v>0</v>
      </c>
      <c r="I67" s="25">
        <f>升星辅助表!AN98</f>
        <v>0</v>
      </c>
      <c r="J67" s="25">
        <f>升星辅助表!AO98</f>
        <v>0</v>
      </c>
      <c r="K67" s="25">
        <f>升星辅助表!AP98</f>
        <v>0</v>
      </c>
      <c r="L67" s="25">
        <f>升星辅助表!AQ98</f>
        <v>0</v>
      </c>
      <c r="M67" s="25">
        <f>升星辅助表!AR98</f>
        <v>0</v>
      </c>
      <c r="N67" s="25">
        <f>升星辅助表!AS98</f>
        <v>0</v>
      </c>
    </row>
    <row r="68" spans="1:14" x14ac:dyDescent="0.15">
      <c r="A68" s="5" t="str">
        <f>强化辅助表!B102</f>
        <v>4520</v>
      </c>
      <c r="B68" s="25">
        <f>升星辅助表!AV99</f>
        <v>5800</v>
      </c>
      <c r="C68" s="25">
        <f>升星辅助表!AW99*3</f>
        <v>17400</v>
      </c>
      <c r="D68" s="62">
        <f>升星辅助表!AH99</f>
        <v>70010</v>
      </c>
      <c r="E68" s="25">
        <f>升星辅助表!AG99</f>
        <v>20</v>
      </c>
      <c r="F68" s="25">
        <f>升星辅助表!AK99</f>
        <v>0</v>
      </c>
      <c r="G68" s="25">
        <f>升星辅助表!AL99</f>
        <v>104</v>
      </c>
      <c r="H68" s="25">
        <f>升星辅助表!AM99</f>
        <v>12</v>
      </c>
      <c r="I68" s="25">
        <f>升星辅助表!AN99</f>
        <v>0</v>
      </c>
      <c r="J68" s="25">
        <f>升星辅助表!AO99</f>
        <v>0</v>
      </c>
      <c r="K68" s="25">
        <f>升星辅助表!AP99</f>
        <v>0</v>
      </c>
      <c r="L68" s="25">
        <f>升星辅助表!AQ99</f>
        <v>0</v>
      </c>
      <c r="M68" s="25">
        <f>升星辅助表!AR99</f>
        <v>0</v>
      </c>
      <c r="N68" s="25">
        <f>升星辅助表!AS99</f>
        <v>0</v>
      </c>
    </row>
    <row r="69" spans="1:14" x14ac:dyDescent="0.15">
      <c r="A69" s="5" t="str">
        <f>强化辅助表!B103</f>
        <v>4521</v>
      </c>
      <c r="B69" s="25">
        <f>升星辅助表!AV100</f>
        <v>4114</v>
      </c>
      <c r="C69" s="25">
        <f>升星辅助表!AW100*3</f>
        <v>12342</v>
      </c>
      <c r="D69" s="62">
        <f>升星辅助表!AH100</f>
        <v>71010</v>
      </c>
      <c r="E69" s="25">
        <f>升星辅助表!AG100</f>
        <v>14</v>
      </c>
      <c r="F69" s="25">
        <f>升星辅助表!AK100</f>
        <v>1132</v>
      </c>
      <c r="G69" s="25">
        <f>升星辅助表!AL100</f>
        <v>0</v>
      </c>
      <c r="H69" s="25">
        <f>升星辅助表!AM100</f>
        <v>37</v>
      </c>
      <c r="I69" s="25">
        <f>升星辅助表!AN100</f>
        <v>0</v>
      </c>
      <c r="J69" s="25">
        <f>升星辅助表!AO100</f>
        <v>0</v>
      </c>
      <c r="K69" s="25">
        <f>升星辅助表!AP100</f>
        <v>0</v>
      </c>
      <c r="L69" s="25">
        <f>升星辅助表!AQ100</f>
        <v>0</v>
      </c>
      <c r="M69" s="25">
        <f>升星辅助表!AR100</f>
        <v>0</v>
      </c>
      <c r="N69" s="25">
        <f>升星辅助表!AS100</f>
        <v>0</v>
      </c>
    </row>
    <row r="70" spans="1:14" x14ac:dyDescent="0.15">
      <c r="A70" s="5" t="str">
        <f>强化辅助表!B104</f>
        <v>4522</v>
      </c>
      <c r="B70" s="25">
        <f>升星辅助表!AV101</f>
        <v>1732</v>
      </c>
      <c r="C70" s="25">
        <f>升星辅助表!AW101*3</f>
        <v>5196</v>
      </c>
      <c r="D70" s="62">
        <f>升星辅助表!AH101</f>
        <v>72010</v>
      </c>
      <c r="E70" s="25">
        <f>升星辅助表!AG101</f>
        <v>6</v>
      </c>
      <c r="F70" s="25">
        <f>升星辅助表!AK101</f>
        <v>566</v>
      </c>
      <c r="G70" s="25">
        <f>升星辅助表!AL101</f>
        <v>0</v>
      </c>
      <c r="H70" s="25">
        <f>升星辅助表!AM101</f>
        <v>12</v>
      </c>
      <c r="I70" s="25">
        <f>升星辅助表!AN101</f>
        <v>0</v>
      </c>
      <c r="J70" s="25">
        <f>升星辅助表!AO101</f>
        <v>0</v>
      </c>
      <c r="K70" s="25">
        <f>升星辅助表!AP101</f>
        <v>0</v>
      </c>
      <c r="L70" s="25">
        <f>升星辅助表!AQ101</f>
        <v>0</v>
      </c>
      <c r="M70" s="25">
        <f>升星辅助表!AR101</f>
        <v>0</v>
      </c>
      <c r="N70" s="25">
        <f>升星辅助表!AS101</f>
        <v>0</v>
      </c>
    </row>
    <row r="71" spans="1:14" x14ac:dyDescent="0.15">
      <c r="A71" s="5" t="str">
        <f>强化辅助表!B105</f>
        <v>4525</v>
      </c>
      <c r="B71" s="25">
        <f>升星辅助表!AV102</f>
        <v>2050</v>
      </c>
      <c r="C71" s="25">
        <f>升星辅助表!AW102*3</f>
        <v>6150</v>
      </c>
      <c r="D71" s="62">
        <f>升星辅助表!AH102</f>
        <v>75010</v>
      </c>
      <c r="E71" s="25">
        <f>升星辅助表!AG102</f>
        <v>7</v>
      </c>
      <c r="F71" s="25">
        <f>升星辅助表!AK102</f>
        <v>566</v>
      </c>
      <c r="G71" s="25">
        <f>升星辅助表!AL102</f>
        <v>0</v>
      </c>
      <c r="H71" s="25">
        <f>升星辅助表!AM102</f>
        <v>0</v>
      </c>
      <c r="I71" s="25">
        <f>升星辅助表!AN102</f>
        <v>54</v>
      </c>
      <c r="J71" s="25">
        <f>升星辅助表!AO102</f>
        <v>0</v>
      </c>
      <c r="K71" s="25">
        <f>升星辅助表!AP102</f>
        <v>0</v>
      </c>
      <c r="L71" s="25">
        <f>升星辅助表!AQ102</f>
        <v>0</v>
      </c>
      <c r="M71" s="25">
        <f>升星辅助表!AR102</f>
        <v>0</v>
      </c>
      <c r="N71" s="25">
        <f>升星辅助表!AS102</f>
        <v>0</v>
      </c>
    </row>
    <row r="72" spans="1:14" x14ac:dyDescent="0.15">
      <c r="A72" s="5" t="str">
        <f>强化辅助表!B106</f>
        <v>4524</v>
      </c>
      <c r="B72" s="25">
        <f>升星辅助表!AV103</f>
        <v>4014</v>
      </c>
      <c r="C72" s="25">
        <f>升星辅助表!AW103*3</f>
        <v>12042</v>
      </c>
      <c r="D72" s="62">
        <f>升星辅助表!AH103</f>
        <v>74010</v>
      </c>
      <c r="E72" s="25">
        <f>升星辅助表!AG103</f>
        <v>14</v>
      </c>
      <c r="F72" s="25">
        <f>升星辅助表!AK103</f>
        <v>1132</v>
      </c>
      <c r="G72" s="25">
        <f>升星辅助表!AL103</f>
        <v>35</v>
      </c>
      <c r="H72" s="25">
        <f>升星辅助表!AM103</f>
        <v>0</v>
      </c>
      <c r="I72" s="25">
        <f>升星辅助表!AN103</f>
        <v>0</v>
      </c>
      <c r="J72" s="25">
        <f>升星辅助表!AO103</f>
        <v>0</v>
      </c>
      <c r="K72" s="25">
        <f>升星辅助表!AP103</f>
        <v>0</v>
      </c>
      <c r="L72" s="25">
        <f>升星辅助表!AQ103</f>
        <v>0</v>
      </c>
      <c r="M72" s="25">
        <f>升星辅助表!AR103</f>
        <v>0</v>
      </c>
      <c r="N72" s="25">
        <f>升星辅助表!AS103</f>
        <v>0</v>
      </c>
    </row>
    <row r="73" spans="1:14" x14ac:dyDescent="0.15">
      <c r="A73" s="5" t="str">
        <f>强化辅助表!B107</f>
        <v>4523</v>
      </c>
      <c r="B73" s="25">
        <f>升星辅助表!AV104</f>
        <v>2209</v>
      </c>
      <c r="C73" s="25">
        <f>升星辅助表!AW104*3</f>
        <v>6627</v>
      </c>
      <c r="D73" s="62">
        <f>升星辅助表!AH104</f>
        <v>73010</v>
      </c>
      <c r="E73" s="25">
        <f>升星辅助表!AG104</f>
        <v>8</v>
      </c>
      <c r="F73" s="25">
        <f>升星辅助表!AK104</f>
        <v>0</v>
      </c>
      <c r="G73" s="25">
        <f>升星辅助表!AL104</f>
        <v>35</v>
      </c>
      <c r="H73" s="25">
        <f>升星辅助表!AM104</f>
        <v>0</v>
      </c>
      <c r="I73" s="25">
        <f>升星辅助表!AN104</f>
        <v>27</v>
      </c>
      <c r="J73" s="25">
        <f>升星辅助表!AO104</f>
        <v>0</v>
      </c>
      <c r="K73" s="25">
        <f>升星辅助表!AP104</f>
        <v>0</v>
      </c>
      <c r="L73" s="25">
        <f>升星辅助表!AQ104</f>
        <v>0</v>
      </c>
      <c r="M73" s="25">
        <f>升星辅助表!AR104</f>
        <v>0</v>
      </c>
      <c r="N73" s="25">
        <f>升星辅助表!AS104</f>
        <v>0</v>
      </c>
    </row>
    <row r="74" spans="1:14" x14ac:dyDescent="0.15">
      <c r="A74" s="5" t="str">
        <f>强化辅助表!B108</f>
        <v>4530</v>
      </c>
      <c r="B74" s="25">
        <f>升星辅助表!AV105</f>
        <v>8553</v>
      </c>
      <c r="C74" s="25">
        <f>升星辅助表!AW105*3</f>
        <v>25659</v>
      </c>
      <c r="D74" s="62">
        <f>升星辅助表!AH105</f>
        <v>70010</v>
      </c>
      <c r="E74" s="25">
        <f>升星辅助表!AG105</f>
        <v>29</v>
      </c>
      <c r="F74" s="25">
        <f>升星辅助表!AK105</f>
        <v>0</v>
      </c>
      <c r="G74" s="25">
        <f>升星辅助表!AL105</f>
        <v>135</v>
      </c>
      <c r="H74" s="25">
        <f>升星辅助表!AM105</f>
        <v>16</v>
      </c>
      <c r="I74" s="25">
        <f>升星辅助表!AN105</f>
        <v>0</v>
      </c>
      <c r="J74" s="25">
        <f>升星辅助表!AO105</f>
        <v>59</v>
      </c>
      <c r="K74" s="25">
        <f>升星辅助表!AP105</f>
        <v>0</v>
      </c>
      <c r="L74" s="25">
        <f>升星辅助表!AQ105</f>
        <v>0</v>
      </c>
      <c r="M74" s="25">
        <f>升星辅助表!AR105</f>
        <v>0</v>
      </c>
      <c r="N74" s="25">
        <f>升星辅助表!AS105</f>
        <v>0</v>
      </c>
    </row>
    <row r="75" spans="1:14" x14ac:dyDescent="0.15">
      <c r="A75" s="5" t="str">
        <f>强化辅助表!B109</f>
        <v>4531</v>
      </c>
      <c r="B75" s="25">
        <f>升星辅助表!AV106</f>
        <v>6007</v>
      </c>
      <c r="C75" s="25">
        <f>升星辅助表!AW106*3</f>
        <v>18021</v>
      </c>
      <c r="D75" s="62">
        <f>升星辅助表!AH106</f>
        <v>71010</v>
      </c>
      <c r="E75" s="25">
        <f>升星辅助表!AG106</f>
        <v>21</v>
      </c>
      <c r="F75" s="25">
        <f>升星辅助表!AK106</f>
        <v>1481</v>
      </c>
      <c r="G75" s="25">
        <f>升星辅助表!AL106</f>
        <v>0</v>
      </c>
      <c r="H75" s="25">
        <f>升星辅助表!AM106</f>
        <v>49</v>
      </c>
      <c r="I75" s="25">
        <f>升星辅助表!AN106</f>
        <v>35</v>
      </c>
      <c r="J75" s="25">
        <f>升星辅助表!AO106</f>
        <v>0</v>
      </c>
      <c r="K75" s="25">
        <f>升星辅助表!AP106</f>
        <v>0</v>
      </c>
      <c r="L75" s="25">
        <f>升星辅助表!AQ106</f>
        <v>0</v>
      </c>
      <c r="M75" s="25">
        <f>升星辅助表!AR106</f>
        <v>0</v>
      </c>
      <c r="N75" s="25">
        <f>升星辅助表!AS106</f>
        <v>0</v>
      </c>
    </row>
    <row r="76" spans="1:14" x14ac:dyDescent="0.15">
      <c r="A76" s="5" t="str">
        <f>强化辅助表!B110</f>
        <v>4532</v>
      </c>
      <c r="B76" s="25">
        <f>升星辅助表!AV107</f>
        <v>2875</v>
      </c>
      <c r="C76" s="25">
        <f>升星辅助表!AW107*3</f>
        <v>8625</v>
      </c>
      <c r="D76" s="62">
        <f>升星辅助表!AH107</f>
        <v>72010</v>
      </c>
      <c r="E76" s="25">
        <f>升星辅助表!AG107</f>
        <v>10</v>
      </c>
      <c r="F76" s="25">
        <f>升星辅助表!AK107</f>
        <v>740</v>
      </c>
      <c r="G76" s="25">
        <f>升星辅助表!AL107</f>
        <v>0</v>
      </c>
      <c r="H76" s="25">
        <f>升星辅助表!AM107</f>
        <v>16</v>
      </c>
      <c r="I76" s="25">
        <f>升星辅助表!AN107</f>
        <v>35</v>
      </c>
      <c r="J76" s="25">
        <f>升星辅助表!AO107</f>
        <v>0</v>
      </c>
      <c r="K76" s="25">
        <f>升星辅助表!AP107</f>
        <v>0</v>
      </c>
      <c r="L76" s="25">
        <f>升星辅助表!AQ107</f>
        <v>0</v>
      </c>
      <c r="M76" s="25">
        <f>升星辅助表!AR107</f>
        <v>0</v>
      </c>
      <c r="N76" s="25">
        <f>升星辅助表!AS107</f>
        <v>0</v>
      </c>
    </row>
    <row r="77" spans="1:14" x14ac:dyDescent="0.15">
      <c r="A77" s="5" t="str">
        <f>强化辅助表!B111</f>
        <v>4535</v>
      </c>
      <c r="B77" s="25">
        <f>升星辅助表!AV108</f>
        <v>3690</v>
      </c>
      <c r="C77" s="25">
        <f>升星辅助表!AW108*3</f>
        <v>11070</v>
      </c>
      <c r="D77" s="62">
        <f>升星辅助表!AH108</f>
        <v>75010</v>
      </c>
      <c r="E77" s="25">
        <f>升星辅助表!AG108</f>
        <v>13</v>
      </c>
      <c r="F77" s="25">
        <f>升星辅助表!AK108</f>
        <v>740</v>
      </c>
      <c r="G77" s="25">
        <f>升星辅助表!AL108</f>
        <v>0</v>
      </c>
      <c r="H77" s="25">
        <f>升星辅助表!AM108</f>
        <v>0</v>
      </c>
      <c r="I77" s="25">
        <f>升星辅助表!AN108</f>
        <v>71</v>
      </c>
      <c r="J77" s="25">
        <f>升星辅助表!AO108</f>
        <v>59</v>
      </c>
      <c r="K77" s="25">
        <f>升星辅助表!AP108</f>
        <v>0</v>
      </c>
      <c r="L77" s="25">
        <f>升星辅助表!AQ108</f>
        <v>0</v>
      </c>
      <c r="M77" s="25">
        <f>升星辅助表!AR108</f>
        <v>0</v>
      </c>
      <c r="N77" s="25">
        <f>升星辅助表!AS108</f>
        <v>0</v>
      </c>
    </row>
    <row r="78" spans="1:14" x14ac:dyDescent="0.15">
      <c r="A78" s="5" t="str">
        <f>强化辅助表!B112</f>
        <v>4534</v>
      </c>
      <c r="B78" s="25">
        <f>升星辅助表!AV109</f>
        <v>6012</v>
      </c>
      <c r="C78" s="25">
        <f>升星辅助表!AW109*3</f>
        <v>18036</v>
      </c>
      <c r="D78" s="62">
        <f>升星辅助表!AH109</f>
        <v>74010</v>
      </c>
      <c r="E78" s="25">
        <f>升星辅助表!AG109</f>
        <v>21</v>
      </c>
      <c r="F78" s="25">
        <f>升星辅助表!AK109</f>
        <v>1481</v>
      </c>
      <c r="G78" s="25">
        <f>升星辅助表!AL109</f>
        <v>45</v>
      </c>
      <c r="H78" s="25">
        <f>升星辅助表!AM109</f>
        <v>16</v>
      </c>
      <c r="I78" s="25">
        <f>升星辅助表!AN109</f>
        <v>0</v>
      </c>
      <c r="J78" s="25">
        <f>升星辅助表!AO109</f>
        <v>0</v>
      </c>
      <c r="K78" s="25">
        <f>升星辅助表!AP109</f>
        <v>0</v>
      </c>
      <c r="L78" s="25">
        <f>升星辅助表!AQ109</f>
        <v>0</v>
      </c>
      <c r="M78" s="25">
        <f>升星辅助表!AR109</f>
        <v>0</v>
      </c>
      <c r="N78" s="25">
        <f>升星辅助表!AS109</f>
        <v>0</v>
      </c>
    </row>
    <row r="79" spans="1:14" x14ac:dyDescent="0.15">
      <c r="A79" s="5" t="str">
        <f>强化辅助表!B113</f>
        <v>4533</v>
      </c>
      <c r="B79" s="25">
        <f>升星辅助表!AV110</f>
        <v>3848</v>
      </c>
      <c r="C79" s="25">
        <f>升星辅助表!AW110*3</f>
        <v>11544</v>
      </c>
      <c r="D79" s="62">
        <f>升星辅助表!AH110</f>
        <v>73010</v>
      </c>
      <c r="E79" s="25">
        <f>升星辅助表!AG110</f>
        <v>13</v>
      </c>
      <c r="F79" s="25">
        <f>升星辅助表!AK110</f>
        <v>0</v>
      </c>
      <c r="G79" s="25">
        <f>升星辅助表!AL110</f>
        <v>45</v>
      </c>
      <c r="H79" s="25">
        <f>升星辅助表!AM110</f>
        <v>0</v>
      </c>
      <c r="I79" s="25">
        <f>升星辅助表!AN110</f>
        <v>35</v>
      </c>
      <c r="J79" s="25">
        <f>升星辅助表!AO110</f>
        <v>59</v>
      </c>
      <c r="K79" s="25">
        <f>升星辅助表!AP110</f>
        <v>0</v>
      </c>
      <c r="L79" s="25">
        <f>升星辅助表!AQ110</f>
        <v>0</v>
      </c>
      <c r="M79" s="25">
        <f>升星辅助表!AR110</f>
        <v>0</v>
      </c>
      <c r="N79" s="25">
        <f>升星辅助表!AS110</f>
        <v>0</v>
      </c>
    </row>
    <row r="80" spans="1:14" x14ac:dyDescent="0.15">
      <c r="A80" s="5" t="str">
        <f>强化辅助表!B114</f>
        <v>4540</v>
      </c>
      <c r="B80" s="25">
        <f>升星辅助表!AV111</f>
        <v>10514</v>
      </c>
      <c r="C80" s="25">
        <f>升星辅助表!AW111*3</f>
        <v>31542</v>
      </c>
      <c r="D80" s="62">
        <f>升星辅助表!AH111</f>
        <v>70010</v>
      </c>
      <c r="E80" s="25">
        <f>升星辅助表!AG111</f>
        <v>36</v>
      </c>
      <c r="F80" s="25">
        <f>升星辅助表!AK111</f>
        <v>0</v>
      </c>
      <c r="G80" s="25">
        <f>升星辅助表!AL111</f>
        <v>159</v>
      </c>
      <c r="H80" s="25">
        <f>升星辅助表!AM111</f>
        <v>19</v>
      </c>
      <c r="I80" s="25">
        <f>升星辅助表!AN111</f>
        <v>0</v>
      </c>
      <c r="J80" s="25">
        <f>升星辅助表!AO111</f>
        <v>69</v>
      </c>
      <c r="K80" s="25">
        <f>升星辅助表!AP111</f>
        <v>49</v>
      </c>
      <c r="L80" s="25">
        <f>升星辅助表!AQ111</f>
        <v>0</v>
      </c>
      <c r="M80" s="25">
        <f>升星辅助表!AR111</f>
        <v>0</v>
      </c>
      <c r="N80" s="25">
        <f>升星辅助表!AS111</f>
        <v>0</v>
      </c>
    </row>
    <row r="81" spans="1:14" x14ac:dyDescent="0.15">
      <c r="A81" s="5" t="str">
        <f>强化辅助表!B115</f>
        <v>4541</v>
      </c>
      <c r="B81" s="25">
        <f>升星辅助表!AV112</f>
        <v>7417</v>
      </c>
      <c r="C81" s="25">
        <f>升星辅助表!AW112*3</f>
        <v>22251</v>
      </c>
      <c r="D81" s="62">
        <f>升星辅助表!AH112</f>
        <v>71010</v>
      </c>
      <c r="E81" s="25">
        <f>升星辅助表!AG112</f>
        <v>25</v>
      </c>
      <c r="F81" s="25">
        <f>升星辅助表!AK112</f>
        <v>1742</v>
      </c>
      <c r="G81" s="25">
        <f>升星辅助表!AL112</f>
        <v>0</v>
      </c>
      <c r="H81" s="25">
        <f>升星辅助表!AM112</f>
        <v>57</v>
      </c>
      <c r="I81" s="25">
        <f>升星辅助表!AN112</f>
        <v>42</v>
      </c>
      <c r="J81" s="25">
        <f>升星辅助表!AO112</f>
        <v>0</v>
      </c>
      <c r="K81" s="25">
        <f>升星辅助表!AP112</f>
        <v>0</v>
      </c>
      <c r="L81" s="25">
        <f>升星辅助表!AQ112</f>
        <v>0</v>
      </c>
      <c r="M81" s="25">
        <f>升星辅助表!AR112</f>
        <v>41</v>
      </c>
      <c r="N81" s="25">
        <f>升星辅助表!AS112</f>
        <v>0</v>
      </c>
    </row>
    <row r="82" spans="1:14" x14ac:dyDescent="0.15">
      <c r="A82" s="5" t="str">
        <f>强化辅助表!B116</f>
        <v>4542</v>
      </c>
      <c r="B82" s="25">
        <f>升星辅助表!AV113</f>
        <v>3775</v>
      </c>
      <c r="C82" s="25">
        <f>升星辅助表!AW113*3</f>
        <v>11325</v>
      </c>
      <c r="D82" s="62">
        <f>升星辅助表!AH113</f>
        <v>72010</v>
      </c>
      <c r="E82" s="25">
        <f>升星辅助表!AG113</f>
        <v>13</v>
      </c>
      <c r="F82" s="25">
        <f>升星辅助表!AK113</f>
        <v>871</v>
      </c>
      <c r="G82" s="25">
        <f>升星辅助表!AL113</f>
        <v>0</v>
      </c>
      <c r="H82" s="25">
        <f>升星辅助表!AM113</f>
        <v>19</v>
      </c>
      <c r="I82" s="25">
        <f>升星辅助表!AN113</f>
        <v>42</v>
      </c>
      <c r="J82" s="25">
        <f>升星辅助表!AO113</f>
        <v>0</v>
      </c>
      <c r="K82" s="25">
        <f>升星辅助表!AP113</f>
        <v>0</v>
      </c>
      <c r="L82" s="25">
        <f>升星辅助表!AQ113</f>
        <v>0</v>
      </c>
      <c r="M82" s="25">
        <f>升星辅助表!AR113</f>
        <v>41</v>
      </c>
      <c r="N82" s="25">
        <f>升星辅助表!AS113</f>
        <v>0</v>
      </c>
    </row>
    <row r="83" spans="1:14" x14ac:dyDescent="0.15">
      <c r="A83" s="5" t="str">
        <f>强化辅助表!B117</f>
        <v>4545</v>
      </c>
      <c r="B83" s="25">
        <f>升星辅助表!AV114</f>
        <v>4551</v>
      </c>
      <c r="C83" s="25">
        <f>升星辅助表!AW114*3</f>
        <v>13653</v>
      </c>
      <c r="D83" s="62">
        <f>升星辅助表!AH114</f>
        <v>75010</v>
      </c>
      <c r="E83" s="25">
        <f>升星辅助表!AG114</f>
        <v>16</v>
      </c>
      <c r="F83" s="25">
        <f>升星辅助表!AK114</f>
        <v>871</v>
      </c>
      <c r="G83" s="25">
        <f>升星辅助表!AL114</f>
        <v>0</v>
      </c>
      <c r="H83" s="25">
        <f>升星辅助表!AM114</f>
        <v>0</v>
      </c>
      <c r="I83" s="25">
        <f>升星辅助表!AN114</f>
        <v>83</v>
      </c>
      <c r="J83" s="25">
        <f>升星辅助表!AO114</f>
        <v>69</v>
      </c>
      <c r="K83" s="25">
        <f>升星辅助表!AP114</f>
        <v>25</v>
      </c>
      <c r="L83" s="25">
        <f>升星辅助表!AQ114</f>
        <v>0</v>
      </c>
      <c r="M83" s="25">
        <f>升星辅助表!AR114</f>
        <v>0</v>
      </c>
      <c r="N83" s="25">
        <f>升星辅助表!AS114</f>
        <v>0</v>
      </c>
    </row>
    <row r="84" spans="1:14" x14ac:dyDescent="0.15">
      <c r="A84" s="5" t="str">
        <f>强化辅助表!B118</f>
        <v>4544</v>
      </c>
      <c r="B84" s="25">
        <f>升星辅助表!AV115</f>
        <v>7453</v>
      </c>
      <c r="C84" s="25">
        <f>升星辅助表!AW115*3</f>
        <v>22359</v>
      </c>
      <c r="D84" s="62">
        <f>升星辅助表!AH115</f>
        <v>74010</v>
      </c>
      <c r="E84" s="25">
        <f>升星辅助表!AG115</f>
        <v>25</v>
      </c>
      <c r="F84" s="25">
        <f>升星辅助表!AK115</f>
        <v>1742</v>
      </c>
      <c r="G84" s="25">
        <f>升星辅助表!AL115</f>
        <v>53</v>
      </c>
      <c r="H84" s="25">
        <f>升星辅助表!AM115</f>
        <v>19</v>
      </c>
      <c r="I84" s="25">
        <f>升星辅助表!AN115</f>
        <v>0</v>
      </c>
      <c r="J84" s="25">
        <f>升星辅助表!AO115</f>
        <v>0</v>
      </c>
      <c r="K84" s="25">
        <f>升星辅助表!AP115</f>
        <v>0</v>
      </c>
      <c r="L84" s="25">
        <f>升星辅助表!AQ115</f>
        <v>0</v>
      </c>
      <c r="M84" s="25">
        <f>升星辅助表!AR115</f>
        <v>41</v>
      </c>
      <c r="N84" s="25">
        <f>升星辅助表!AS115</f>
        <v>0</v>
      </c>
    </row>
    <row r="85" spans="1:14" x14ac:dyDescent="0.15">
      <c r="A85" s="5" t="str">
        <f>强化辅助表!B119</f>
        <v>4543</v>
      </c>
      <c r="B85" s="25">
        <f>升星辅助表!AV116</f>
        <v>4978</v>
      </c>
      <c r="C85" s="25">
        <f>升星辅助表!AW116*3</f>
        <v>14934</v>
      </c>
      <c r="D85" s="62">
        <f>升星辅助表!AH116</f>
        <v>73010</v>
      </c>
      <c r="E85" s="25">
        <f>升星辅助表!AG116</f>
        <v>17</v>
      </c>
      <c r="F85" s="25">
        <f>升星辅助表!AK116</f>
        <v>0</v>
      </c>
      <c r="G85" s="25">
        <f>升星辅助表!AL116</f>
        <v>53</v>
      </c>
      <c r="H85" s="25">
        <f>升星辅助表!AM116</f>
        <v>0</v>
      </c>
      <c r="I85" s="25">
        <f>升星辅助表!AN116</f>
        <v>42</v>
      </c>
      <c r="J85" s="25">
        <f>升星辅助表!AO116</f>
        <v>69</v>
      </c>
      <c r="K85" s="25">
        <f>升星辅助表!AP116</f>
        <v>49</v>
      </c>
      <c r="L85" s="25">
        <f>升星辅助表!AQ116</f>
        <v>0</v>
      </c>
      <c r="M85" s="25">
        <f>升星辅助表!AR116</f>
        <v>0</v>
      </c>
      <c r="N85" s="25">
        <f>升星辅助表!AS116</f>
        <v>0</v>
      </c>
    </row>
    <row r="86" spans="1:14" x14ac:dyDescent="0.15">
      <c r="A86" s="5" t="str">
        <f>强化辅助表!B120</f>
        <v>6010</v>
      </c>
      <c r="B86" s="25">
        <f>升星辅助表!AV117</f>
        <v>5400</v>
      </c>
      <c r="C86" s="25">
        <f>升星辅助表!AW117*3</f>
        <v>16200</v>
      </c>
      <c r="D86" s="62">
        <f>升星辅助表!AH117</f>
        <v>70010</v>
      </c>
      <c r="E86" s="25">
        <f>升星辅助表!AG117</f>
        <v>18</v>
      </c>
      <c r="F86" s="25">
        <f>升星辅助表!AK117</f>
        <v>0</v>
      </c>
      <c r="G86" s="25">
        <f>升星辅助表!AL117</f>
        <v>108</v>
      </c>
      <c r="H86" s="25">
        <f>升星辅助表!AM117</f>
        <v>0</v>
      </c>
      <c r="I86" s="25">
        <f>升星辅助表!AN117</f>
        <v>0</v>
      </c>
      <c r="J86" s="25">
        <f>升星辅助表!AO117</f>
        <v>0</v>
      </c>
      <c r="K86" s="25">
        <f>升星辅助表!AP117</f>
        <v>0</v>
      </c>
      <c r="L86" s="25">
        <f>升星辅助表!AQ117</f>
        <v>0</v>
      </c>
      <c r="M86" s="25">
        <f>升星辅助表!AR117</f>
        <v>0</v>
      </c>
      <c r="N86" s="25">
        <f>升星辅助表!AS117</f>
        <v>0</v>
      </c>
    </row>
    <row r="87" spans="1:14" x14ac:dyDescent="0.15">
      <c r="A87" s="5" t="str">
        <f>强化辅助表!B121</f>
        <v>6011</v>
      </c>
      <c r="B87" s="25">
        <f>升星辅助表!AV118</f>
        <v>2352</v>
      </c>
      <c r="C87" s="25">
        <f>升星辅助表!AW118*3</f>
        <v>7056</v>
      </c>
      <c r="D87" s="62">
        <f>升星辅助表!AH118</f>
        <v>71010</v>
      </c>
      <c r="E87" s="25">
        <f>升星辅助表!AG118</f>
        <v>8</v>
      </c>
      <c r="F87" s="25">
        <f>升星辅助表!AK118</f>
        <v>1176</v>
      </c>
      <c r="G87" s="25">
        <f>升星辅助表!AL118</f>
        <v>0</v>
      </c>
      <c r="H87" s="25">
        <f>升星辅助表!AM118</f>
        <v>0</v>
      </c>
      <c r="I87" s="25">
        <f>升星辅助表!AN118</f>
        <v>0</v>
      </c>
      <c r="J87" s="25">
        <f>升星辅助表!AO118</f>
        <v>0</v>
      </c>
      <c r="K87" s="25">
        <f>升星辅助表!AP118</f>
        <v>0</v>
      </c>
      <c r="L87" s="25">
        <f>升星辅助表!AQ118</f>
        <v>0</v>
      </c>
      <c r="M87" s="25">
        <f>升星辅助表!AR118</f>
        <v>0</v>
      </c>
      <c r="N87" s="25">
        <f>升星辅助表!AS118</f>
        <v>0</v>
      </c>
    </row>
    <row r="88" spans="1:14" x14ac:dyDescent="0.15">
      <c r="A88" s="5" t="str">
        <f>强化辅助表!B122</f>
        <v>6012</v>
      </c>
      <c r="B88" s="25">
        <f>升星辅助表!AV119</f>
        <v>1176</v>
      </c>
      <c r="C88" s="25">
        <f>升星辅助表!AW119*3</f>
        <v>3528</v>
      </c>
      <c r="D88" s="62">
        <f>升星辅助表!AH119</f>
        <v>72010</v>
      </c>
      <c r="E88" s="25">
        <f>升星辅助表!AG119</f>
        <v>4</v>
      </c>
      <c r="F88" s="25">
        <f>升星辅助表!AK119</f>
        <v>588</v>
      </c>
      <c r="G88" s="25">
        <f>升星辅助表!AL119</f>
        <v>0</v>
      </c>
      <c r="H88" s="25">
        <f>升星辅助表!AM119</f>
        <v>0</v>
      </c>
      <c r="I88" s="25">
        <f>升星辅助表!AN119</f>
        <v>0</v>
      </c>
      <c r="J88" s="25">
        <f>升星辅助表!AO119</f>
        <v>0</v>
      </c>
      <c r="K88" s="25">
        <f>升星辅助表!AP119</f>
        <v>0</v>
      </c>
      <c r="L88" s="25">
        <f>升星辅助表!AQ119</f>
        <v>0</v>
      </c>
      <c r="M88" s="25">
        <f>升星辅助表!AR119</f>
        <v>0</v>
      </c>
      <c r="N88" s="25">
        <f>升星辅助表!AS119</f>
        <v>0</v>
      </c>
    </row>
    <row r="89" spans="1:14" x14ac:dyDescent="0.15">
      <c r="A89" s="5" t="str">
        <f>强化辅助表!B123</f>
        <v>6015</v>
      </c>
      <c r="B89" s="25">
        <f>升星辅助表!AV120</f>
        <v>1176</v>
      </c>
      <c r="C89" s="25">
        <f>升星辅助表!AW120*3</f>
        <v>3528</v>
      </c>
      <c r="D89" s="62">
        <f>升星辅助表!AH120</f>
        <v>75010</v>
      </c>
      <c r="E89" s="25">
        <f>升星辅助表!AG120</f>
        <v>4</v>
      </c>
      <c r="F89" s="25">
        <f>升星辅助表!AK120</f>
        <v>588</v>
      </c>
      <c r="G89" s="25">
        <f>升星辅助表!AL120</f>
        <v>0</v>
      </c>
      <c r="H89" s="25">
        <f>升星辅助表!AM120</f>
        <v>0</v>
      </c>
      <c r="I89" s="25">
        <f>升星辅助表!AN120</f>
        <v>0</v>
      </c>
      <c r="J89" s="25">
        <f>升星辅助表!AO120</f>
        <v>0</v>
      </c>
      <c r="K89" s="25">
        <f>升星辅助表!AP120</f>
        <v>0</v>
      </c>
      <c r="L89" s="25">
        <f>升星辅助表!AQ120</f>
        <v>0</v>
      </c>
      <c r="M89" s="25">
        <f>升星辅助表!AR120</f>
        <v>0</v>
      </c>
      <c r="N89" s="25">
        <f>升星辅助表!AS120</f>
        <v>0</v>
      </c>
    </row>
    <row r="90" spans="1:14" x14ac:dyDescent="0.15">
      <c r="A90" s="5" t="str">
        <f>强化辅助表!B124</f>
        <v>6014</v>
      </c>
      <c r="B90" s="25">
        <f>升星辅助表!AV121</f>
        <v>2352</v>
      </c>
      <c r="C90" s="25">
        <f>升星辅助表!AW121*3</f>
        <v>7056</v>
      </c>
      <c r="D90" s="62">
        <f>升星辅助表!AH121</f>
        <v>74010</v>
      </c>
      <c r="E90" s="25">
        <f>升星辅助表!AG121</f>
        <v>8</v>
      </c>
      <c r="F90" s="25">
        <f>升星辅助表!AK121</f>
        <v>1176</v>
      </c>
      <c r="G90" s="25">
        <f>升星辅助表!AL121</f>
        <v>0</v>
      </c>
      <c r="H90" s="25">
        <f>升星辅助表!AM121</f>
        <v>0</v>
      </c>
      <c r="I90" s="25">
        <f>升星辅助表!AN121</f>
        <v>0</v>
      </c>
      <c r="J90" s="25">
        <f>升星辅助表!AO121</f>
        <v>0</v>
      </c>
      <c r="K90" s="25">
        <f>升星辅助表!AP121</f>
        <v>0</v>
      </c>
      <c r="L90" s="25">
        <f>升星辅助表!AQ121</f>
        <v>0</v>
      </c>
      <c r="M90" s="25">
        <f>升星辅助表!AR121</f>
        <v>0</v>
      </c>
      <c r="N90" s="25">
        <f>升星辅助表!AS121</f>
        <v>0</v>
      </c>
    </row>
    <row r="91" spans="1:14" x14ac:dyDescent="0.15">
      <c r="A91" s="5" t="str">
        <f>强化辅助表!B125</f>
        <v>6013</v>
      </c>
      <c r="B91" s="25">
        <f>升星辅助表!AV122</f>
        <v>1800</v>
      </c>
      <c r="C91" s="25">
        <f>升星辅助表!AW122*3</f>
        <v>5400</v>
      </c>
      <c r="D91" s="62">
        <f>升星辅助表!AH122</f>
        <v>73010</v>
      </c>
      <c r="E91" s="25">
        <f>升星辅助表!AG122</f>
        <v>6</v>
      </c>
      <c r="F91" s="25">
        <f>升星辅助表!AK122</f>
        <v>0</v>
      </c>
      <c r="G91" s="25">
        <f>升星辅助表!AL122</f>
        <v>36</v>
      </c>
      <c r="H91" s="25">
        <f>升星辅助表!AM122</f>
        <v>0</v>
      </c>
      <c r="I91" s="25">
        <f>升星辅助表!AN122</f>
        <v>0</v>
      </c>
      <c r="J91" s="25">
        <f>升星辅助表!AO122</f>
        <v>0</v>
      </c>
      <c r="K91" s="25">
        <f>升星辅助表!AP122</f>
        <v>0</v>
      </c>
      <c r="L91" s="25">
        <f>升星辅助表!AQ122</f>
        <v>0</v>
      </c>
      <c r="M91" s="25">
        <f>升星辅助表!AR122</f>
        <v>0</v>
      </c>
      <c r="N91" s="25">
        <f>升星辅助表!AS122</f>
        <v>0</v>
      </c>
    </row>
    <row r="92" spans="1:14" x14ac:dyDescent="0.15">
      <c r="A92" s="5" t="str">
        <f>强化辅助表!B126</f>
        <v>6020</v>
      </c>
      <c r="B92" s="25">
        <f>升星辅助表!AV123</f>
        <v>8700</v>
      </c>
      <c r="C92" s="25">
        <f>升星辅助表!AW123*3</f>
        <v>26100</v>
      </c>
      <c r="D92" s="62">
        <f>升星辅助表!AH123</f>
        <v>70010</v>
      </c>
      <c r="E92" s="25">
        <f>升星辅助表!AG123</f>
        <v>29</v>
      </c>
      <c r="F92" s="25">
        <f>升星辅助表!AK123</f>
        <v>0</v>
      </c>
      <c r="G92" s="25">
        <f>升星辅助表!AL123</f>
        <v>155</v>
      </c>
      <c r="H92" s="25">
        <f>升星辅助表!AM123</f>
        <v>19</v>
      </c>
      <c r="I92" s="25">
        <f>升星辅助表!AN123</f>
        <v>0</v>
      </c>
      <c r="J92" s="25">
        <f>升星辅助表!AO123</f>
        <v>0</v>
      </c>
      <c r="K92" s="25">
        <f>升星辅助表!AP123</f>
        <v>0</v>
      </c>
      <c r="L92" s="25">
        <f>升星辅助表!AQ123</f>
        <v>0</v>
      </c>
      <c r="M92" s="25">
        <f>升星辅助表!AR123</f>
        <v>0</v>
      </c>
      <c r="N92" s="25">
        <f>升星辅助表!AS123</f>
        <v>0</v>
      </c>
    </row>
    <row r="93" spans="1:14" x14ac:dyDescent="0.15">
      <c r="A93" s="5" t="str">
        <f>强化辅助表!B127</f>
        <v>6021</v>
      </c>
      <c r="B93" s="25">
        <f>升星辅助表!AV124</f>
        <v>6198</v>
      </c>
      <c r="C93" s="25">
        <f>升星辅助表!AW124*3</f>
        <v>18594</v>
      </c>
      <c r="D93" s="62">
        <f>升星辅助表!AH124</f>
        <v>71010</v>
      </c>
      <c r="E93" s="25">
        <f>升星辅助表!AG124</f>
        <v>21</v>
      </c>
      <c r="F93" s="25">
        <f>升星辅助表!AK124</f>
        <v>1699</v>
      </c>
      <c r="G93" s="25">
        <f>升星辅助表!AL124</f>
        <v>0</v>
      </c>
      <c r="H93" s="25">
        <f>升星辅助表!AM124</f>
        <v>56</v>
      </c>
      <c r="I93" s="25">
        <f>升星辅助表!AN124</f>
        <v>0</v>
      </c>
      <c r="J93" s="25">
        <f>升星辅助表!AO124</f>
        <v>0</v>
      </c>
      <c r="K93" s="25">
        <f>升星辅助表!AP124</f>
        <v>0</v>
      </c>
      <c r="L93" s="25">
        <f>升星辅助表!AQ124</f>
        <v>0</v>
      </c>
      <c r="M93" s="25">
        <f>升星辅助表!AR124</f>
        <v>0</v>
      </c>
      <c r="N93" s="25">
        <f>升星辅助表!AS124</f>
        <v>0</v>
      </c>
    </row>
    <row r="94" spans="1:14" x14ac:dyDescent="0.15">
      <c r="A94" s="5" t="str">
        <f>强化辅助表!B128</f>
        <v>6022</v>
      </c>
      <c r="B94" s="25">
        <f>升星辅助表!AV125</f>
        <v>2648</v>
      </c>
      <c r="C94" s="25">
        <f>升星辅助表!AW125*3</f>
        <v>7944</v>
      </c>
      <c r="D94" s="62">
        <f>升星辅助表!AH125</f>
        <v>72010</v>
      </c>
      <c r="E94" s="25">
        <f>升星辅助表!AG125</f>
        <v>9</v>
      </c>
      <c r="F94" s="25">
        <f>升星辅助表!AK125</f>
        <v>849</v>
      </c>
      <c r="G94" s="25">
        <f>升星辅助表!AL125</f>
        <v>0</v>
      </c>
      <c r="H94" s="25">
        <f>升星辅助表!AM125</f>
        <v>19</v>
      </c>
      <c r="I94" s="25">
        <f>升星辅助表!AN125</f>
        <v>0</v>
      </c>
      <c r="J94" s="25">
        <f>升星辅助表!AO125</f>
        <v>0</v>
      </c>
      <c r="K94" s="25">
        <f>升星辅助表!AP125</f>
        <v>0</v>
      </c>
      <c r="L94" s="25">
        <f>升星辅助表!AQ125</f>
        <v>0</v>
      </c>
      <c r="M94" s="25">
        <f>升星辅助表!AR125</f>
        <v>0</v>
      </c>
      <c r="N94" s="25">
        <f>升星辅助表!AS125</f>
        <v>0</v>
      </c>
    </row>
    <row r="95" spans="1:14" x14ac:dyDescent="0.15">
      <c r="A95" s="5" t="str">
        <f>强化辅助表!B129</f>
        <v>6025</v>
      </c>
      <c r="B95" s="25">
        <f>升星辅助表!AV126</f>
        <v>3075</v>
      </c>
      <c r="C95" s="25">
        <f>升星辅助表!AW126*3</f>
        <v>9225</v>
      </c>
      <c r="D95" s="62">
        <f>升星辅助表!AH126</f>
        <v>75010</v>
      </c>
      <c r="E95" s="25">
        <f>升星辅助表!AG126</f>
        <v>11</v>
      </c>
      <c r="F95" s="25">
        <f>升星辅助表!AK126</f>
        <v>849</v>
      </c>
      <c r="G95" s="25">
        <f>升星辅助表!AL126</f>
        <v>0</v>
      </c>
      <c r="H95" s="25">
        <f>升星辅助表!AM126</f>
        <v>0</v>
      </c>
      <c r="I95" s="25">
        <f>升星辅助表!AN126</f>
        <v>81</v>
      </c>
      <c r="J95" s="25">
        <f>升星辅助表!AO126</f>
        <v>0</v>
      </c>
      <c r="K95" s="25">
        <f>升星辅助表!AP126</f>
        <v>0</v>
      </c>
      <c r="L95" s="25">
        <f>升星辅助表!AQ126</f>
        <v>0</v>
      </c>
      <c r="M95" s="25">
        <f>升星辅助表!AR126</f>
        <v>0</v>
      </c>
      <c r="N95" s="25">
        <f>升星辅助表!AS126</f>
        <v>0</v>
      </c>
    </row>
    <row r="96" spans="1:14" x14ac:dyDescent="0.15">
      <c r="A96" s="5" t="str">
        <f>强化辅助表!B130</f>
        <v>6024</v>
      </c>
      <c r="B96" s="25">
        <f>升星辅助表!AV127</f>
        <v>5998</v>
      </c>
      <c r="C96" s="25">
        <f>升星辅助表!AW127*3</f>
        <v>17994</v>
      </c>
      <c r="D96" s="62">
        <f>升星辅助表!AH127</f>
        <v>74010</v>
      </c>
      <c r="E96" s="25">
        <f>升星辅助表!AG127</f>
        <v>20</v>
      </c>
      <c r="F96" s="25">
        <f>升星辅助表!AK127</f>
        <v>1699</v>
      </c>
      <c r="G96" s="25">
        <f>升星辅助表!AL127</f>
        <v>52</v>
      </c>
      <c r="H96" s="25">
        <f>升星辅助表!AM127</f>
        <v>0</v>
      </c>
      <c r="I96" s="25">
        <f>升星辅助表!AN127</f>
        <v>0</v>
      </c>
      <c r="J96" s="25">
        <f>升星辅助表!AO127</f>
        <v>0</v>
      </c>
      <c r="K96" s="25">
        <f>升星辅助表!AP127</f>
        <v>0</v>
      </c>
      <c r="L96" s="25">
        <f>升星辅助表!AQ127</f>
        <v>0</v>
      </c>
      <c r="M96" s="25">
        <f>升星辅助表!AR127</f>
        <v>0</v>
      </c>
      <c r="N96" s="25">
        <f>升星辅助表!AS127</f>
        <v>0</v>
      </c>
    </row>
    <row r="97" spans="1:14" x14ac:dyDescent="0.15">
      <c r="A97" s="5" t="str">
        <f>强化辅助表!B131</f>
        <v>6023</v>
      </c>
      <c r="B97" s="25">
        <f>升星辅助表!AV128</f>
        <v>3297</v>
      </c>
      <c r="C97" s="25">
        <f>升星辅助表!AW128*3</f>
        <v>9891</v>
      </c>
      <c r="D97" s="62">
        <f>升星辅助表!AH128</f>
        <v>73010</v>
      </c>
      <c r="E97" s="25">
        <f>升星辅助表!AG128</f>
        <v>11</v>
      </c>
      <c r="F97" s="25">
        <f>升星辅助表!AK128</f>
        <v>0</v>
      </c>
      <c r="G97" s="25">
        <f>升星辅助表!AL128</f>
        <v>52</v>
      </c>
      <c r="H97" s="25">
        <f>升星辅助表!AM128</f>
        <v>0</v>
      </c>
      <c r="I97" s="25">
        <f>升星辅助表!AN128</f>
        <v>41</v>
      </c>
      <c r="J97" s="25">
        <f>升星辅助表!AO128</f>
        <v>0</v>
      </c>
      <c r="K97" s="25">
        <f>升星辅助表!AP128</f>
        <v>0</v>
      </c>
      <c r="L97" s="25">
        <f>升星辅助表!AQ128</f>
        <v>0</v>
      </c>
      <c r="M97" s="25">
        <f>升星辅助表!AR128</f>
        <v>0</v>
      </c>
      <c r="N97" s="25">
        <f>升星辅助表!AS128</f>
        <v>0</v>
      </c>
    </row>
    <row r="98" spans="1:14" x14ac:dyDescent="0.15">
      <c r="A98" s="5" t="str">
        <f>强化辅助表!B132</f>
        <v>6030</v>
      </c>
      <c r="B98" s="25">
        <f>升星辅助表!AV129</f>
        <v>12863</v>
      </c>
      <c r="C98" s="25">
        <f>升星辅助表!AW129*3</f>
        <v>38589</v>
      </c>
      <c r="D98" s="62">
        <f>升星辅助表!AH129</f>
        <v>70010</v>
      </c>
      <c r="E98" s="25">
        <f>升星辅助表!AG129</f>
        <v>43</v>
      </c>
      <c r="F98" s="25">
        <f>升星辅助表!AK129</f>
        <v>0</v>
      </c>
      <c r="G98" s="25">
        <f>升星辅助表!AL129</f>
        <v>203</v>
      </c>
      <c r="H98" s="25">
        <f>升星辅助表!AM129</f>
        <v>24</v>
      </c>
      <c r="I98" s="25">
        <f>升星辅助表!AN129</f>
        <v>0</v>
      </c>
      <c r="J98" s="25">
        <f>升星辅助表!AO129</f>
        <v>89</v>
      </c>
      <c r="K98" s="25">
        <f>升星辅助表!AP129</f>
        <v>0</v>
      </c>
      <c r="L98" s="25">
        <f>升星辅助表!AQ129</f>
        <v>0</v>
      </c>
      <c r="M98" s="25">
        <f>升星辅助表!AR129</f>
        <v>0</v>
      </c>
      <c r="N98" s="25">
        <f>升星辅助表!AS129</f>
        <v>0</v>
      </c>
    </row>
    <row r="99" spans="1:14" x14ac:dyDescent="0.15">
      <c r="A99" s="5" t="str">
        <f>强化辅助表!B133</f>
        <v>6031</v>
      </c>
      <c r="B99" s="25">
        <f>升星辅助表!AV130</f>
        <v>8993</v>
      </c>
      <c r="C99" s="25">
        <f>升星辅助表!AW130*3</f>
        <v>26979</v>
      </c>
      <c r="D99" s="62">
        <f>升星辅助表!AH130</f>
        <v>71010</v>
      </c>
      <c r="E99" s="25">
        <f>升星辅助表!AG130</f>
        <v>30</v>
      </c>
      <c r="F99" s="25">
        <f>升星辅助表!AK130</f>
        <v>2221</v>
      </c>
      <c r="G99" s="25">
        <f>升星辅助表!AL130</f>
        <v>0</v>
      </c>
      <c r="H99" s="25">
        <f>升星辅助表!AM130</f>
        <v>73</v>
      </c>
      <c r="I99" s="25">
        <f>升星辅助表!AN130</f>
        <v>53</v>
      </c>
      <c r="J99" s="25">
        <f>升星辅助表!AO130</f>
        <v>0</v>
      </c>
      <c r="K99" s="25">
        <f>升星辅助表!AP130</f>
        <v>0</v>
      </c>
      <c r="L99" s="25">
        <f>升星辅助表!AQ130</f>
        <v>0</v>
      </c>
      <c r="M99" s="25">
        <f>升星辅助表!AR130</f>
        <v>0</v>
      </c>
      <c r="N99" s="25">
        <f>升星辅助表!AS130</f>
        <v>0</v>
      </c>
    </row>
    <row r="100" spans="1:14" x14ac:dyDescent="0.15">
      <c r="A100" s="5" t="str">
        <f>强化辅助表!B134</f>
        <v>6032</v>
      </c>
      <c r="B100" s="25">
        <f>升星辅助表!AV131</f>
        <v>4323</v>
      </c>
      <c r="C100" s="25">
        <f>升星辅助表!AW131*3</f>
        <v>12969</v>
      </c>
      <c r="D100" s="62">
        <f>升星辅助表!AH131</f>
        <v>72010</v>
      </c>
      <c r="E100" s="25">
        <f>升星辅助表!AG131</f>
        <v>15</v>
      </c>
      <c r="F100" s="25">
        <f>升星辅助表!AK131</f>
        <v>1111</v>
      </c>
      <c r="G100" s="25">
        <f>升星辅助表!AL131</f>
        <v>0</v>
      </c>
      <c r="H100" s="25">
        <f>升星辅助表!AM131</f>
        <v>24</v>
      </c>
      <c r="I100" s="25">
        <f>升星辅助表!AN131</f>
        <v>53</v>
      </c>
      <c r="J100" s="25">
        <f>升星辅助表!AO131</f>
        <v>0</v>
      </c>
      <c r="K100" s="25">
        <f>升星辅助表!AP131</f>
        <v>0</v>
      </c>
      <c r="L100" s="25">
        <f>升星辅助表!AQ131</f>
        <v>0</v>
      </c>
      <c r="M100" s="25">
        <f>升星辅助表!AR131</f>
        <v>0</v>
      </c>
      <c r="N100" s="25">
        <f>升星辅助表!AS131</f>
        <v>0</v>
      </c>
    </row>
    <row r="101" spans="1:14" x14ac:dyDescent="0.15">
      <c r="A101" s="5" t="str">
        <f>强化辅助表!B135</f>
        <v>6035</v>
      </c>
      <c r="B101" s="25">
        <f>升星辅助表!AV132</f>
        <v>5537</v>
      </c>
      <c r="C101" s="25">
        <f>升星辅助表!AW132*3</f>
        <v>16611</v>
      </c>
      <c r="D101" s="62">
        <f>升星辅助表!AH132</f>
        <v>75010</v>
      </c>
      <c r="E101" s="25">
        <f>升星辅助表!AG132</f>
        <v>19</v>
      </c>
      <c r="F101" s="25">
        <f>升星辅助表!AK132</f>
        <v>1111</v>
      </c>
      <c r="G101" s="25">
        <f>升星辅助表!AL132</f>
        <v>0</v>
      </c>
      <c r="H101" s="25">
        <f>升星辅助表!AM132</f>
        <v>0</v>
      </c>
      <c r="I101" s="25">
        <f>升星辅助表!AN132</f>
        <v>106</v>
      </c>
      <c r="J101" s="25">
        <f>升星辅助表!AO132</f>
        <v>89</v>
      </c>
      <c r="K101" s="25">
        <f>升星辅助表!AP132</f>
        <v>0</v>
      </c>
      <c r="L101" s="25">
        <f>升星辅助表!AQ132</f>
        <v>0</v>
      </c>
      <c r="M101" s="25">
        <f>升星辅助表!AR132</f>
        <v>0</v>
      </c>
      <c r="N101" s="25">
        <f>升星辅助表!AS132</f>
        <v>0</v>
      </c>
    </row>
    <row r="102" spans="1:14" x14ac:dyDescent="0.15">
      <c r="A102" s="5" t="str">
        <f>强化辅助表!B136</f>
        <v>6034</v>
      </c>
      <c r="B102" s="25">
        <f>升星辅助表!AV133</f>
        <v>9042</v>
      </c>
      <c r="C102" s="25">
        <f>升星辅助表!AW133*3</f>
        <v>27126</v>
      </c>
      <c r="D102" s="62">
        <f>升星辅助表!AH133</f>
        <v>74010</v>
      </c>
      <c r="E102" s="25">
        <f>升星辅助表!AG133</f>
        <v>31</v>
      </c>
      <c r="F102" s="25">
        <f>升星辅助表!AK133</f>
        <v>2221</v>
      </c>
      <c r="G102" s="25">
        <f>升星辅助表!AL133</f>
        <v>68</v>
      </c>
      <c r="H102" s="25">
        <f>升星辅助表!AM133</f>
        <v>24</v>
      </c>
      <c r="I102" s="25">
        <f>升星辅助表!AN133</f>
        <v>0</v>
      </c>
      <c r="J102" s="25">
        <f>升星辅助表!AO133</f>
        <v>0</v>
      </c>
      <c r="K102" s="25">
        <f>升星辅助表!AP133</f>
        <v>0</v>
      </c>
      <c r="L102" s="25">
        <f>升星辅助表!AQ133</f>
        <v>0</v>
      </c>
      <c r="M102" s="25">
        <f>升星辅助表!AR133</f>
        <v>0</v>
      </c>
      <c r="N102" s="25">
        <f>升星辅助表!AS133</f>
        <v>0</v>
      </c>
    </row>
    <row r="103" spans="1:14" x14ac:dyDescent="0.15">
      <c r="A103" s="5" t="str">
        <f>强化辅助表!B137</f>
        <v>6033</v>
      </c>
      <c r="B103" s="25">
        <f>升星辅助表!AV134</f>
        <v>5814</v>
      </c>
      <c r="C103" s="25">
        <f>升星辅助表!AW134*3</f>
        <v>17442</v>
      </c>
      <c r="D103" s="62">
        <f>升星辅助表!AH134</f>
        <v>73010</v>
      </c>
      <c r="E103" s="25">
        <f>升星辅助表!AG134</f>
        <v>20</v>
      </c>
      <c r="F103" s="25">
        <f>升星辅助表!AK134</f>
        <v>0</v>
      </c>
      <c r="G103" s="25">
        <f>升星辅助表!AL134</f>
        <v>68</v>
      </c>
      <c r="H103" s="25">
        <f>升星辅助表!AM134</f>
        <v>0</v>
      </c>
      <c r="I103" s="25">
        <f>升星辅助表!AN134</f>
        <v>53</v>
      </c>
      <c r="J103" s="25">
        <f>升星辅助表!AO134</f>
        <v>89</v>
      </c>
      <c r="K103" s="25">
        <f>升星辅助表!AP134</f>
        <v>0</v>
      </c>
      <c r="L103" s="25">
        <f>升星辅助表!AQ134</f>
        <v>0</v>
      </c>
      <c r="M103" s="25">
        <f>升星辅助表!AR134</f>
        <v>0</v>
      </c>
      <c r="N103" s="25">
        <f>升星辅助表!AS134</f>
        <v>0</v>
      </c>
    </row>
    <row r="104" spans="1:14" x14ac:dyDescent="0.15">
      <c r="A104" s="5" t="str">
        <f>强化辅助表!B138</f>
        <v>6040</v>
      </c>
      <c r="B104" s="25">
        <f>升星辅助表!AV135</f>
        <v>15834</v>
      </c>
      <c r="C104" s="25">
        <f>升星辅助表!AW135*3</f>
        <v>47502</v>
      </c>
      <c r="D104" s="62">
        <f>升星辅助表!AH135</f>
        <v>70010</v>
      </c>
      <c r="E104" s="25">
        <f>升星辅助表!AG135</f>
        <v>53</v>
      </c>
      <c r="F104" s="25">
        <f>升星辅助表!AK135</f>
        <v>0</v>
      </c>
      <c r="G104" s="25">
        <f>升星辅助表!AL135</f>
        <v>239</v>
      </c>
      <c r="H104" s="25">
        <f>升星辅助表!AM135</f>
        <v>29</v>
      </c>
      <c r="I104" s="25">
        <f>升星辅助表!AN135</f>
        <v>0</v>
      </c>
      <c r="J104" s="25">
        <f>升星辅助表!AO135</f>
        <v>104</v>
      </c>
      <c r="K104" s="25">
        <f>升星辅助表!AP135</f>
        <v>74</v>
      </c>
      <c r="L104" s="25">
        <f>升星辅助表!AQ135</f>
        <v>0</v>
      </c>
      <c r="M104" s="25">
        <f>升星辅助表!AR135</f>
        <v>0</v>
      </c>
      <c r="N104" s="25">
        <f>升星辅助表!AS135</f>
        <v>0</v>
      </c>
    </row>
    <row r="105" spans="1:14" x14ac:dyDescent="0.15">
      <c r="A105" s="5" t="str">
        <f>强化辅助表!B139</f>
        <v>6041</v>
      </c>
      <c r="B105" s="25">
        <f>升星辅助表!AV136</f>
        <v>11155</v>
      </c>
      <c r="C105" s="25">
        <f>升星辅助表!AW136*3</f>
        <v>33465</v>
      </c>
      <c r="D105" s="62">
        <f>升星辅助表!AH136</f>
        <v>71010</v>
      </c>
      <c r="E105" s="25">
        <f>升星辅助表!AG136</f>
        <v>38</v>
      </c>
      <c r="F105" s="25">
        <f>升星辅助表!AK136</f>
        <v>2613</v>
      </c>
      <c r="G105" s="25">
        <f>升星辅助表!AL136</f>
        <v>0</v>
      </c>
      <c r="H105" s="25">
        <f>升星辅助表!AM136</f>
        <v>86</v>
      </c>
      <c r="I105" s="25">
        <f>升星辅助表!AN136</f>
        <v>63</v>
      </c>
      <c r="J105" s="25">
        <f>升星辅助表!AO136</f>
        <v>0</v>
      </c>
      <c r="K105" s="25">
        <f>升星辅助表!AP136</f>
        <v>0</v>
      </c>
      <c r="L105" s="25">
        <f>升星辅助表!AQ136</f>
        <v>0</v>
      </c>
      <c r="M105" s="25">
        <f>升星辅助表!AR136</f>
        <v>62</v>
      </c>
      <c r="N105" s="25">
        <f>升星辅助表!AS136</f>
        <v>0</v>
      </c>
    </row>
    <row r="106" spans="1:14" x14ac:dyDescent="0.15">
      <c r="A106" s="5" t="str">
        <f>强化辅助表!B140</f>
        <v>6042</v>
      </c>
      <c r="B106" s="25">
        <f>升星辅助表!AV137</f>
        <v>5693</v>
      </c>
      <c r="C106" s="25">
        <f>升星辅助表!AW137*3</f>
        <v>17079</v>
      </c>
      <c r="D106" s="62">
        <f>升星辅助表!AH137</f>
        <v>72010</v>
      </c>
      <c r="E106" s="25">
        <f>升星辅助表!AG137</f>
        <v>19</v>
      </c>
      <c r="F106" s="25">
        <f>升星辅助表!AK137</f>
        <v>1307</v>
      </c>
      <c r="G106" s="25">
        <f>升星辅助表!AL137</f>
        <v>0</v>
      </c>
      <c r="H106" s="25">
        <f>升星辅助表!AM137</f>
        <v>29</v>
      </c>
      <c r="I106" s="25">
        <f>升星辅助表!AN137</f>
        <v>63</v>
      </c>
      <c r="J106" s="25">
        <f>升星辅助表!AO137</f>
        <v>0</v>
      </c>
      <c r="K106" s="25">
        <f>升星辅助表!AP137</f>
        <v>0</v>
      </c>
      <c r="L106" s="25">
        <f>升星辅助表!AQ137</f>
        <v>0</v>
      </c>
      <c r="M106" s="25">
        <f>升星辅助表!AR137</f>
        <v>62</v>
      </c>
      <c r="N106" s="25">
        <f>升星辅助表!AS137</f>
        <v>0</v>
      </c>
    </row>
    <row r="107" spans="1:14" x14ac:dyDescent="0.15">
      <c r="A107" s="5" t="str">
        <f>强化辅助表!B141</f>
        <v>6045</v>
      </c>
      <c r="B107" s="25">
        <f>升星辅助表!AV138</f>
        <v>6840</v>
      </c>
      <c r="C107" s="25">
        <f>升星辅助表!AW138*3</f>
        <v>20520</v>
      </c>
      <c r="D107" s="62">
        <f>升星辅助表!AH138</f>
        <v>75010</v>
      </c>
      <c r="E107" s="25">
        <f>升星辅助表!AG138</f>
        <v>23</v>
      </c>
      <c r="F107" s="25">
        <f>升星辅助表!AK138</f>
        <v>1307</v>
      </c>
      <c r="G107" s="25">
        <f>升星辅助表!AL138</f>
        <v>0</v>
      </c>
      <c r="H107" s="25">
        <f>升星辅助表!AM138</f>
        <v>0</v>
      </c>
      <c r="I107" s="25">
        <f>升星辅助表!AN138</f>
        <v>125</v>
      </c>
      <c r="J107" s="25">
        <f>升星辅助表!AO138</f>
        <v>104</v>
      </c>
      <c r="K107" s="25">
        <f>升星辅助表!AP138</f>
        <v>37</v>
      </c>
      <c r="L107" s="25">
        <f>升星辅助表!AQ138</f>
        <v>0</v>
      </c>
      <c r="M107" s="25">
        <f>升星辅助表!AR138</f>
        <v>0</v>
      </c>
      <c r="N107" s="25">
        <f>升星辅助表!AS138</f>
        <v>0</v>
      </c>
    </row>
    <row r="108" spans="1:14" x14ac:dyDescent="0.15">
      <c r="A108" s="5" t="str">
        <f>强化辅助表!B142</f>
        <v>6044</v>
      </c>
      <c r="B108" s="25">
        <f>升星辅助表!AV139</f>
        <v>11234</v>
      </c>
      <c r="C108" s="25">
        <f>升星辅助表!AW139*3</f>
        <v>33702</v>
      </c>
      <c r="D108" s="62">
        <f>升星辅助表!AH139</f>
        <v>74010</v>
      </c>
      <c r="E108" s="25">
        <f>升星辅助表!AG139</f>
        <v>38</v>
      </c>
      <c r="F108" s="25">
        <f>升星辅助表!AK139</f>
        <v>2613</v>
      </c>
      <c r="G108" s="25">
        <f>升星辅助表!AL139</f>
        <v>80</v>
      </c>
      <c r="H108" s="25">
        <f>升星辅助表!AM139</f>
        <v>29</v>
      </c>
      <c r="I108" s="25">
        <f>升星辅助表!AN139</f>
        <v>0</v>
      </c>
      <c r="J108" s="25">
        <f>升星辅助表!AO139</f>
        <v>0</v>
      </c>
      <c r="K108" s="25">
        <f>升星辅助表!AP139</f>
        <v>0</v>
      </c>
      <c r="L108" s="25">
        <f>升星辅助表!AQ139</f>
        <v>0</v>
      </c>
      <c r="M108" s="25">
        <f>升星辅助表!AR139</f>
        <v>62</v>
      </c>
      <c r="N108" s="25">
        <f>升星辅助表!AS139</f>
        <v>0</v>
      </c>
    </row>
    <row r="109" spans="1:14" x14ac:dyDescent="0.15">
      <c r="A109" s="5" t="str">
        <f>强化辅助表!B143</f>
        <v>6043</v>
      </c>
      <c r="B109" s="25">
        <f>升星辅助表!AV140</f>
        <v>7505</v>
      </c>
      <c r="C109" s="25">
        <f>升星辅助表!AW140*3</f>
        <v>22515</v>
      </c>
      <c r="D109" s="62">
        <f>升星辅助表!AH140</f>
        <v>73010</v>
      </c>
      <c r="E109" s="25">
        <f>升星辅助表!AG140</f>
        <v>26</v>
      </c>
      <c r="F109" s="25">
        <f>升星辅助表!AK140</f>
        <v>0</v>
      </c>
      <c r="G109" s="25">
        <f>升星辅助表!AL140</f>
        <v>80</v>
      </c>
      <c r="H109" s="25">
        <f>升星辅助表!AM140</f>
        <v>0</v>
      </c>
      <c r="I109" s="25">
        <f>升星辅助表!AN140</f>
        <v>63</v>
      </c>
      <c r="J109" s="25">
        <f>升星辅助表!AO140</f>
        <v>104</v>
      </c>
      <c r="K109" s="25">
        <f>升星辅助表!AP140</f>
        <v>74</v>
      </c>
      <c r="L109" s="25">
        <f>升星辅助表!AQ140</f>
        <v>0</v>
      </c>
      <c r="M109" s="25">
        <f>升星辅助表!AR140</f>
        <v>0</v>
      </c>
      <c r="N109" s="25">
        <f>升星辅助表!AS140</f>
        <v>0</v>
      </c>
    </row>
    <row r="110" spans="1:14" x14ac:dyDescent="0.15">
      <c r="A110" s="5" t="str">
        <f>强化辅助表!B144</f>
        <v>7010</v>
      </c>
      <c r="B110" s="25">
        <f>升星辅助表!AV141</f>
        <v>7150</v>
      </c>
      <c r="C110" s="25">
        <f>升星辅助表!AW141*3</f>
        <v>21450</v>
      </c>
      <c r="D110" s="62">
        <f>升星辅助表!AH141</f>
        <v>70010</v>
      </c>
      <c r="E110" s="25">
        <f>升星辅助表!AG141</f>
        <v>24</v>
      </c>
      <c r="F110" s="25">
        <f>升星辅助表!AK141</f>
        <v>0</v>
      </c>
      <c r="G110" s="25">
        <f>升星辅助表!AL141</f>
        <v>143</v>
      </c>
      <c r="H110" s="25">
        <f>升星辅助表!AM141</f>
        <v>0</v>
      </c>
      <c r="I110" s="25">
        <f>升星辅助表!AN141</f>
        <v>0</v>
      </c>
      <c r="J110" s="25">
        <f>升星辅助表!AO141</f>
        <v>0</v>
      </c>
      <c r="K110" s="25">
        <f>升星辅助表!AP141</f>
        <v>0</v>
      </c>
      <c r="L110" s="25">
        <f>升星辅助表!AQ141</f>
        <v>0</v>
      </c>
      <c r="M110" s="25">
        <f>升星辅助表!AR141</f>
        <v>0</v>
      </c>
      <c r="N110" s="25">
        <f>升星辅助表!AS141</f>
        <v>0</v>
      </c>
    </row>
    <row r="111" spans="1:14" x14ac:dyDescent="0.15">
      <c r="A111" s="5" t="str">
        <f>强化辅助表!B145</f>
        <v>7011</v>
      </c>
      <c r="B111" s="25">
        <f>升星辅助表!AV142</f>
        <v>3136</v>
      </c>
      <c r="C111" s="25">
        <f>升星辅助表!AW142*3</f>
        <v>9408</v>
      </c>
      <c r="D111" s="62">
        <f>升星辅助表!AH142</f>
        <v>71010</v>
      </c>
      <c r="E111" s="25">
        <f>升星辅助表!AG142</f>
        <v>11</v>
      </c>
      <c r="F111" s="25">
        <f>升星辅助表!AK142</f>
        <v>1568</v>
      </c>
      <c r="G111" s="25">
        <f>升星辅助表!AL142</f>
        <v>0</v>
      </c>
      <c r="H111" s="25">
        <f>升星辅助表!AM142</f>
        <v>0</v>
      </c>
      <c r="I111" s="25">
        <f>升星辅助表!AN142</f>
        <v>0</v>
      </c>
      <c r="J111" s="25">
        <f>升星辅助表!AO142</f>
        <v>0</v>
      </c>
      <c r="K111" s="25">
        <f>升星辅助表!AP142</f>
        <v>0</v>
      </c>
      <c r="L111" s="25">
        <f>升星辅助表!AQ142</f>
        <v>0</v>
      </c>
      <c r="M111" s="25">
        <f>升星辅助表!AR142</f>
        <v>0</v>
      </c>
      <c r="N111" s="25">
        <f>升星辅助表!AS142</f>
        <v>0</v>
      </c>
    </row>
    <row r="112" spans="1:14" x14ac:dyDescent="0.15">
      <c r="A112" s="5" t="str">
        <f>强化辅助表!B146</f>
        <v>7012</v>
      </c>
      <c r="B112" s="25">
        <f>升星辅助表!AV143</f>
        <v>1568</v>
      </c>
      <c r="C112" s="25">
        <f>升星辅助表!AW143*3</f>
        <v>4704</v>
      </c>
      <c r="D112" s="62">
        <f>升星辅助表!AH143</f>
        <v>72010</v>
      </c>
      <c r="E112" s="25">
        <f>升星辅助表!AG143</f>
        <v>6</v>
      </c>
      <c r="F112" s="25">
        <f>升星辅助表!AK143</f>
        <v>784</v>
      </c>
      <c r="G112" s="25">
        <f>升星辅助表!AL143</f>
        <v>0</v>
      </c>
      <c r="H112" s="25">
        <f>升星辅助表!AM143</f>
        <v>0</v>
      </c>
      <c r="I112" s="25">
        <f>升星辅助表!AN143</f>
        <v>0</v>
      </c>
      <c r="J112" s="25">
        <f>升星辅助表!AO143</f>
        <v>0</v>
      </c>
      <c r="K112" s="25">
        <f>升星辅助表!AP143</f>
        <v>0</v>
      </c>
      <c r="L112" s="25">
        <f>升星辅助表!AQ143</f>
        <v>0</v>
      </c>
      <c r="M112" s="25">
        <f>升星辅助表!AR143</f>
        <v>0</v>
      </c>
      <c r="N112" s="25">
        <f>升星辅助表!AS143</f>
        <v>0</v>
      </c>
    </row>
    <row r="113" spans="1:14" x14ac:dyDescent="0.15">
      <c r="A113" s="5" t="str">
        <f>强化辅助表!B147</f>
        <v>7015</v>
      </c>
      <c r="B113" s="25">
        <f>升星辅助表!AV144</f>
        <v>1568</v>
      </c>
      <c r="C113" s="25">
        <f>升星辅助表!AW144*3</f>
        <v>4704</v>
      </c>
      <c r="D113" s="62">
        <f>升星辅助表!AH144</f>
        <v>75010</v>
      </c>
      <c r="E113" s="25">
        <f>升星辅助表!AG144</f>
        <v>6</v>
      </c>
      <c r="F113" s="25">
        <f>升星辅助表!AK144</f>
        <v>784</v>
      </c>
      <c r="G113" s="25">
        <f>升星辅助表!AL144</f>
        <v>0</v>
      </c>
      <c r="H113" s="25">
        <f>升星辅助表!AM144</f>
        <v>0</v>
      </c>
      <c r="I113" s="25">
        <f>升星辅助表!AN144</f>
        <v>0</v>
      </c>
      <c r="J113" s="25">
        <f>升星辅助表!AO144</f>
        <v>0</v>
      </c>
      <c r="K113" s="25">
        <f>升星辅助表!AP144</f>
        <v>0</v>
      </c>
      <c r="L113" s="25">
        <f>升星辅助表!AQ144</f>
        <v>0</v>
      </c>
      <c r="M113" s="25">
        <f>升星辅助表!AR144</f>
        <v>0</v>
      </c>
      <c r="N113" s="25">
        <f>升星辅助表!AS144</f>
        <v>0</v>
      </c>
    </row>
    <row r="114" spans="1:14" x14ac:dyDescent="0.15">
      <c r="A114" s="5" t="str">
        <f>强化辅助表!B148</f>
        <v>7014</v>
      </c>
      <c r="B114" s="25">
        <f>升星辅助表!AV145</f>
        <v>3136</v>
      </c>
      <c r="C114" s="25">
        <f>升星辅助表!AW145*3</f>
        <v>9408</v>
      </c>
      <c r="D114" s="62">
        <f>升星辅助表!AH145</f>
        <v>74010</v>
      </c>
      <c r="E114" s="25">
        <f>升星辅助表!AG145</f>
        <v>11</v>
      </c>
      <c r="F114" s="25">
        <f>升星辅助表!AK145</f>
        <v>1568</v>
      </c>
      <c r="G114" s="25">
        <f>升星辅助表!AL145</f>
        <v>0</v>
      </c>
      <c r="H114" s="25">
        <f>升星辅助表!AM145</f>
        <v>0</v>
      </c>
      <c r="I114" s="25">
        <f>升星辅助表!AN145</f>
        <v>0</v>
      </c>
      <c r="J114" s="25">
        <f>升星辅助表!AO145</f>
        <v>0</v>
      </c>
      <c r="K114" s="25">
        <f>升星辅助表!AP145</f>
        <v>0</v>
      </c>
      <c r="L114" s="25">
        <f>升星辅助表!AQ145</f>
        <v>0</v>
      </c>
      <c r="M114" s="25">
        <f>升星辅助表!AR145</f>
        <v>0</v>
      </c>
      <c r="N114" s="25">
        <f>升星辅助表!AS145</f>
        <v>0</v>
      </c>
    </row>
    <row r="115" spans="1:14" x14ac:dyDescent="0.15">
      <c r="A115" s="5" t="str">
        <f>强化辅助表!B149</f>
        <v>7013</v>
      </c>
      <c r="B115" s="25">
        <f>升星辅助表!AV146</f>
        <v>2400</v>
      </c>
      <c r="C115" s="25">
        <f>升星辅助表!AW146*3</f>
        <v>7200</v>
      </c>
      <c r="D115" s="62">
        <f>升星辅助表!AH146</f>
        <v>73010</v>
      </c>
      <c r="E115" s="25">
        <f>升星辅助表!AG146</f>
        <v>8</v>
      </c>
      <c r="F115" s="25">
        <f>升星辅助表!AK146</f>
        <v>0</v>
      </c>
      <c r="G115" s="25">
        <f>升星辅助表!AL146</f>
        <v>48</v>
      </c>
      <c r="H115" s="25">
        <f>升星辅助表!AM146</f>
        <v>0</v>
      </c>
      <c r="I115" s="25">
        <f>升星辅助表!AN146</f>
        <v>0</v>
      </c>
      <c r="J115" s="25">
        <f>升星辅助表!AO146</f>
        <v>0</v>
      </c>
      <c r="K115" s="25">
        <f>升星辅助表!AP146</f>
        <v>0</v>
      </c>
      <c r="L115" s="25">
        <f>升星辅助表!AQ146</f>
        <v>0</v>
      </c>
      <c r="M115" s="25">
        <f>升星辅助表!AR146</f>
        <v>0</v>
      </c>
      <c r="N115" s="25">
        <f>升星辅助表!AS146</f>
        <v>0</v>
      </c>
    </row>
    <row r="116" spans="1:14" x14ac:dyDescent="0.15">
      <c r="A116" s="5" t="str">
        <f>强化辅助表!B150</f>
        <v>7020</v>
      </c>
      <c r="B116" s="25">
        <f>升星辅助表!AV147</f>
        <v>11600</v>
      </c>
      <c r="C116" s="25">
        <f>升星辅助表!AW147*3</f>
        <v>34800</v>
      </c>
      <c r="D116" s="62">
        <f>升星辅助表!AH147</f>
        <v>70010</v>
      </c>
      <c r="E116" s="25">
        <f>升星辅助表!AG147</f>
        <v>39</v>
      </c>
      <c r="F116" s="25">
        <f>升星辅助表!AK147</f>
        <v>0</v>
      </c>
      <c r="G116" s="25">
        <f>升星辅助表!AL147</f>
        <v>207</v>
      </c>
      <c r="H116" s="25">
        <f>升星辅助表!AM147</f>
        <v>25</v>
      </c>
      <c r="I116" s="25">
        <f>升星辅助表!AN147</f>
        <v>0</v>
      </c>
      <c r="J116" s="25">
        <f>升星辅助表!AO147</f>
        <v>0</v>
      </c>
      <c r="K116" s="25">
        <f>升星辅助表!AP147</f>
        <v>0</v>
      </c>
      <c r="L116" s="25">
        <f>升星辅助表!AQ147</f>
        <v>0</v>
      </c>
      <c r="M116" s="25">
        <f>升星辅助表!AR147</f>
        <v>0</v>
      </c>
      <c r="N116" s="25">
        <f>升星辅助表!AS147</f>
        <v>0</v>
      </c>
    </row>
    <row r="117" spans="1:14" x14ac:dyDescent="0.15">
      <c r="A117" s="5" t="str">
        <f>强化辅助表!B151</f>
        <v>7021</v>
      </c>
      <c r="B117" s="25">
        <f>升星辅助表!AV148</f>
        <v>8280</v>
      </c>
      <c r="C117" s="25">
        <f>升星辅助表!AW148*3</f>
        <v>24840</v>
      </c>
      <c r="D117" s="62">
        <f>升星辅助表!AH148</f>
        <v>71010</v>
      </c>
      <c r="E117" s="25">
        <f>升星辅助表!AG148</f>
        <v>28</v>
      </c>
      <c r="F117" s="25">
        <f>升星辅助表!AK148</f>
        <v>2265</v>
      </c>
      <c r="G117" s="25">
        <f>升星辅助表!AL148</f>
        <v>0</v>
      </c>
      <c r="H117" s="25">
        <f>升星辅助表!AM148</f>
        <v>75</v>
      </c>
      <c r="I117" s="25">
        <f>升星辅助表!AN148</f>
        <v>0</v>
      </c>
      <c r="J117" s="25">
        <f>升星辅助表!AO148</f>
        <v>0</v>
      </c>
      <c r="K117" s="25">
        <f>升星辅助表!AP148</f>
        <v>0</v>
      </c>
      <c r="L117" s="25">
        <f>升星辅助表!AQ148</f>
        <v>0</v>
      </c>
      <c r="M117" s="25">
        <f>升星辅助表!AR148</f>
        <v>0</v>
      </c>
      <c r="N117" s="25">
        <f>升星辅助表!AS148</f>
        <v>0</v>
      </c>
    </row>
    <row r="118" spans="1:14" x14ac:dyDescent="0.15">
      <c r="A118" s="5" t="str">
        <f>强化辅助表!B152</f>
        <v>7022</v>
      </c>
      <c r="B118" s="25">
        <f>升星辅助表!AV149</f>
        <v>3514</v>
      </c>
      <c r="C118" s="25">
        <f>升星辅助表!AW149*3</f>
        <v>10542</v>
      </c>
      <c r="D118" s="62">
        <f>升星辅助表!AH149</f>
        <v>72010</v>
      </c>
      <c r="E118" s="25">
        <f>升星辅助表!AG149</f>
        <v>12</v>
      </c>
      <c r="F118" s="25">
        <f>升星辅助表!AK149</f>
        <v>1132</v>
      </c>
      <c r="G118" s="25">
        <f>升星辅助表!AL149</f>
        <v>0</v>
      </c>
      <c r="H118" s="25">
        <f>升星辅助表!AM149</f>
        <v>25</v>
      </c>
      <c r="I118" s="25">
        <f>升星辅助表!AN149</f>
        <v>0</v>
      </c>
      <c r="J118" s="25">
        <f>升星辅助表!AO149</f>
        <v>0</v>
      </c>
      <c r="K118" s="25">
        <f>升星辅助表!AP149</f>
        <v>0</v>
      </c>
      <c r="L118" s="25">
        <f>升星辅助表!AQ149</f>
        <v>0</v>
      </c>
      <c r="M118" s="25">
        <f>升星辅助表!AR149</f>
        <v>0</v>
      </c>
      <c r="N118" s="25">
        <f>升星辅助表!AS149</f>
        <v>0</v>
      </c>
    </row>
    <row r="119" spans="1:14" x14ac:dyDescent="0.15">
      <c r="A119" s="5" t="str">
        <f>强化辅助表!B153</f>
        <v>7025</v>
      </c>
      <c r="B119" s="25">
        <f>升星辅助表!AV150</f>
        <v>4100</v>
      </c>
      <c r="C119" s="25">
        <f>升星辅助表!AW150*3</f>
        <v>12300</v>
      </c>
      <c r="D119" s="62">
        <f>升星辅助表!AH150</f>
        <v>75010</v>
      </c>
      <c r="E119" s="25">
        <f>升星辅助表!AG150</f>
        <v>14</v>
      </c>
      <c r="F119" s="25">
        <f>升星辅助表!AK150</f>
        <v>1132</v>
      </c>
      <c r="G119" s="25">
        <f>升星辅助表!AL150</f>
        <v>0</v>
      </c>
      <c r="H119" s="25">
        <f>升星辅助表!AM150</f>
        <v>0</v>
      </c>
      <c r="I119" s="25">
        <f>升星辅助表!AN150</f>
        <v>108</v>
      </c>
      <c r="J119" s="25">
        <f>升星辅助表!AO150</f>
        <v>0</v>
      </c>
      <c r="K119" s="25">
        <f>升星辅助表!AP150</f>
        <v>0</v>
      </c>
      <c r="L119" s="25">
        <f>升星辅助表!AQ150</f>
        <v>0</v>
      </c>
      <c r="M119" s="25">
        <f>升星辅助表!AR150</f>
        <v>0</v>
      </c>
      <c r="N119" s="25">
        <f>升星辅助表!AS150</f>
        <v>0</v>
      </c>
    </row>
    <row r="120" spans="1:14" x14ac:dyDescent="0.15">
      <c r="A120" s="5" t="str">
        <f>强化辅助表!B154</f>
        <v>7024</v>
      </c>
      <c r="B120" s="25">
        <f>升星辅助表!AV151</f>
        <v>7980</v>
      </c>
      <c r="C120" s="25">
        <f>升星辅助表!AW151*3</f>
        <v>23940</v>
      </c>
      <c r="D120" s="62">
        <f>升星辅助表!AH151</f>
        <v>74010</v>
      </c>
      <c r="E120" s="25">
        <f>升星辅助表!AG151</f>
        <v>27</v>
      </c>
      <c r="F120" s="25">
        <f>升星辅助表!AK151</f>
        <v>2265</v>
      </c>
      <c r="G120" s="25">
        <f>升星辅助表!AL151</f>
        <v>69</v>
      </c>
      <c r="H120" s="25">
        <f>升星辅助表!AM151</f>
        <v>0</v>
      </c>
      <c r="I120" s="25">
        <f>升星辅助表!AN151</f>
        <v>0</v>
      </c>
      <c r="J120" s="25">
        <f>升星辅助表!AO151</f>
        <v>0</v>
      </c>
      <c r="K120" s="25">
        <f>升星辅助表!AP151</f>
        <v>0</v>
      </c>
      <c r="L120" s="25">
        <f>升星辅助表!AQ151</f>
        <v>0</v>
      </c>
      <c r="M120" s="25">
        <f>升星辅助表!AR151</f>
        <v>0</v>
      </c>
      <c r="N120" s="25">
        <f>升星辅助表!AS151</f>
        <v>0</v>
      </c>
    </row>
    <row r="121" spans="1:14" x14ac:dyDescent="0.15">
      <c r="A121" s="5" t="str">
        <f>强化辅助表!B155</f>
        <v>7023</v>
      </c>
      <c r="B121" s="25">
        <f>升星辅助表!AV152</f>
        <v>4368</v>
      </c>
      <c r="C121" s="25">
        <f>升星辅助表!AW152*3</f>
        <v>13104</v>
      </c>
      <c r="D121" s="62">
        <f>升星辅助表!AH152</f>
        <v>73010</v>
      </c>
      <c r="E121" s="25">
        <f>升星辅助表!AG152</f>
        <v>15</v>
      </c>
      <c r="F121" s="25">
        <f>升星辅助表!AK152</f>
        <v>0</v>
      </c>
      <c r="G121" s="25">
        <f>升星辅助表!AL152</f>
        <v>69</v>
      </c>
      <c r="H121" s="25">
        <f>升星辅助表!AM152</f>
        <v>0</v>
      </c>
      <c r="I121" s="25">
        <f>升星辅助表!AN152</f>
        <v>54</v>
      </c>
      <c r="J121" s="25">
        <f>升星辅助表!AO152</f>
        <v>0</v>
      </c>
      <c r="K121" s="25">
        <f>升星辅助表!AP152</f>
        <v>0</v>
      </c>
      <c r="L121" s="25">
        <f>升星辅助表!AQ152</f>
        <v>0</v>
      </c>
      <c r="M121" s="25">
        <f>升星辅助表!AR152</f>
        <v>0</v>
      </c>
      <c r="N121" s="25">
        <f>升星辅助表!AS152</f>
        <v>0</v>
      </c>
    </row>
    <row r="122" spans="1:14" x14ac:dyDescent="0.15">
      <c r="A122" s="5" t="str">
        <f>强化辅助表!B156</f>
        <v>7030</v>
      </c>
      <c r="B122" s="25">
        <f>升星辅助表!AV153</f>
        <v>17206</v>
      </c>
      <c r="C122" s="25">
        <f>升星辅助表!AW153*3</f>
        <v>51618</v>
      </c>
      <c r="D122" s="62">
        <f>升星辅助表!AH153</f>
        <v>70010</v>
      </c>
      <c r="E122" s="25">
        <f>升星辅助表!AG153</f>
        <v>58</v>
      </c>
      <c r="F122" s="25">
        <f>升星辅助表!AK153</f>
        <v>0</v>
      </c>
      <c r="G122" s="25">
        <f>升星辅助表!AL153</f>
        <v>271</v>
      </c>
      <c r="H122" s="25">
        <f>升星辅助表!AM153</f>
        <v>33</v>
      </c>
      <c r="I122" s="25">
        <f>升星辅助表!AN153</f>
        <v>0</v>
      </c>
      <c r="J122" s="25">
        <f>升星辅助表!AO153</f>
        <v>118</v>
      </c>
      <c r="K122" s="25">
        <f>升星辅助表!AP153</f>
        <v>0</v>
      </c>
      <c r="L122" s="25">
        <f>升星辅助表!AQ153</f>
        <v>0</v>
      </c>
      <c r="M122" s="25">
        <f>升星辅助表!AR153</f>
        <v>0</v>
      </c>
      <c r="N122" s="25">
        <f>升星辅助表!AS153</f>
        <v>0</v>
      </c>
    </row>
    <row r="123" spans="1:14" x14ac:dyDescent="0.15">
      <c r="A123" s="5" t="str">
        <f>强化辅助表!B157</f>
        <v>7031</v>
      </c>
      <c r="B123" s="25">
        <f>升星辅助表!AV154</f>
        <v>12031</v>
      </c>
      <c r="C123" s="25">
        <f>升星辅助表!AW154*3</f>
        <v>36093</v>
      </c>
      <c r="D123" s="62">
        <f>升星辅助表!AH154</f>
        <v>71010</v>
      </c>
      <c r="E123" s="25">
        <f>升星辅助表!AG154</f>
        <v>41</v>
      </c>
      <c r="F123" s="25">
        <f>升星辅助表!AK154</f>
        <v>2962</v>
      </c>
      <c r="G123" s="25">
        <f>升星辅助表!AL154</f>
        <v>0</v>
      </c>
      <c r="H123" s="25">
        <f>升星辅助表!AM154</f>
        <v>98</v>
      </c>
      <c r="I123" s="25">
        <f>升星辅助表!AN154</f>
        <v>71</v>
      </c>
      <c r="J123" s="25">
        <f>升星辅助表!AO154</f>
        <v>0</v>
      </c>
      <c r="K123" s="25">
        <f>升星辅助表!AP154</f>
        <v>0</v>
      </c>
      <c r="L123" s="25">
        <f>升星辅助表!AQ154</f>
        <v>0</v>
      </c>
      <c r="M123" s="25">
        <f>升星辅助表!AR154</f>
        <v>0</v>
      </c>
      <c r="N123" s="25">
        <f>升星辅助表!AS154</f>
        <v>0</v>
      </c>
    </row>
    <row r="124" spans="1:14" x14ac:dyDescent="0.15">
      <c r="A124" s="5" t="str">
        <f>强化辅助表!B158</f>
        <v>7032</v>
      </c>
      <c r="B124" s="25">
        <f>升星辅助表!AV155</f>
        <v>5819</v>
      </c>
      <c r="C124" s="25">
        <f>升星辅助表!AW155*3</f>
        <v>17457</v>
      </c>
      <c r="D124" s="62">
        <f>升星辅助表!AH155</f>
        <v>72010</v>
      </c>
      <c r="E124" s="25">
        <f>升星辅助表!AG155</f>
        <v>20</v>
      </c>
      <c r="F124" s="25">
        <f>升星辅助表!AK155</f>
        <v>1481</v>
      </c>
      <c r="G124" s="25">
        <f>升星辅助表!AL155</f>
        <v>0</v>
      </c>
      <c r="H124" s="25">
        <f>升星辅助表!AM155</f>
        <v>33</v>
      </c>
      <c r="I124" s="25">
        <f>升星辅助表!AN155</f>
        <v>71</v>
      </c>
      <c r="J124" s="25">
        <f>升星辅助表!AO155</f>
        <v>0</v>
      </c>
      <c r="K124" s="25">
        <f>升星辅助表!AP155</f>
        <v>0</v>
      </c>
      <c r="L124" s="25">
        <f>升星辅助表!AQ155</f>
        <v>0</v>
      </c>
      <c r="M124" s="25">
        <f>升星辅助表!AR155</f>
        <v>0</v>
      </c>
      <c r="N124" s="25">
        <f>升星辅助表!AS155</f>
        <v>0</v>
      </c>
    </row>
    <row r="125" spans="1:14" x14ac:dyDescent="0.15">
      <c r="A125" s="5" t="str">
        <f>强化辅助表!B159</f>
        <v>7035</v>
      </c>
      <c r="B125" s="25">
        <f>升星辅助表!AV156</f>
        <v>7382</v>
      </c>
      <c r="C125" s="25">
        <f>升星辅助表!AW156*3</f>
        <v>22146</v>
      </c>
      <c r="D125" s="62">
        <f>升星辅助表!AH156</f>
        <v>75010</v>
      </c>
      <c r="E125" s="25">
        <f>升星辅助表!AG156</f>
        <v>25</v>
      </c>
      <c r="F125" s="25">
        <f>升星辅助表!AK156</f>
        <v>1481</v>
      </c>
      <c r="G125" s="25">
        <f>升星辅助表!AL156</f>
        <v>0</v>
      </c>
      <c r="H125" s="25">
        <f>升星辅助表!AM156</f>
        <v>0</v>
      </c>
      <c r="I125" s="25">
        <f>升星辅助表!AN156</f>
        <v>142</v>
      </c>
      <c r="J125" s="25">
        <f>升星辅助表!AO156</f>
        <v>118</v>
      </c>
      <c r="K125" s="25">
        <f>升星辅助表!AP156</f>
        <v>0</v>
      </c>
      <c r="L125" s="25">
        <f>升星辅助表!AQ156</f>
        <v>0</v>
      </c>
      <c r="M125" s="25">
        <f>升星辅助表!AR156</f>
        <v>0</v>
      </c>
      <c r="N125" s="25">
        <f>升星辅助表!AS156</f>
        <v>0</v>
      </c>
    </row>
    <row r="126" spans="1:14" x14ac:dyDescent="0.15">
      <c r="A126" s="5" t="str">
        <f>强化辅助表!B160</f>
        <v>7034</v>
      </c>
      <c r="B126" s="25">
        <f>升星辅助表!AV157</f>
        <v>12074</v>
      </c>
      <c r="C126" s="25">
        <f>升星辅助表!AW157*3</f>
        <v>36222</v>
      </c>
      <c r="D126" s="62">
        <f>升星辅助表!AH157</f>
        <v>74010</v>
      </c>
      <c r="E126" s="25">
        <f>升星辅助表!AG157</f>
        <v>41</v>
      </c>
      <c r="F126" s="25">
        <f>升星辅助表!AK157</f>
        <v>2962</v>
      </c>
      <c r="G126" s="25">
        <f>升星辅助表!AL157</f>
        <v>90</v>
      </c>
      <c r="H126" s="25">
        <f>升星辅助表!AM157</f>
        <v>33</v>
      </c>
      <c r="I126" s="25">
        <f>升星辅助表!AN157</f>
        <v>0</v>
      </c>
      <c r="J126" s="25">
        <f>升星辅助表!AO157</f>
        <v>0</v>
      </c>
      <c r="K126" s="25">
        <f>升星辅助表!AP157</f>
        <v>0</v>
      </c>
      <c r="L126" s="25">
        <f>升星辅助表!AQ157</f>
        <v>0</v>
      </c>
      <c r="M126" s="25">
        <f>升星辅助表!AR157</f>
        <v>0</v>
      </c>
      <c r="N126" s="25">
        <f>升星辅助表!AS157</f>
        <v>0</v>
      </c>
    </row>
    <row r="127" spans="1:14" x14ac:dyDescent="0.15">
      <c r="A127" s="5" t="str">
        <f>强化辅助表!B161</f>
        <v>7033</v>
      </c>
      <c r="B127" s="25">
        <f>升星辅助表!AV158</f>
        <v>7713</v>
      </c>
      <c r="C127" s="25">
        <f>升星辅助表!AW158*3</f>
        <v>23139</v>
      </c>
      <c r="D127" s="62">
        <f>升星辅助表!AH158</f>
        <v>73010</v>
      </c>
      <c r="E127" s="25">
        <f>升星辅助表!AG158</f>
        <v>26</v>
      </c>
      <c r="F127" s="25">
        <f>升星辅助表!AK158</f>
        <v>0</v>
      </c>
      <c r="G127" s="25">
        <f>升星辅助表!AL158</f>
        <v>90</v>
      </c>
      <c r="H127" s="25">
        <f>升星辅助表!AM158</f>
        <v>0</v>
      </c>
      <c r="I127" s="25">
        <f>升星辅助表!AN158</f>
        <v>71</v>
      </c>
      <c r="J127" s="25">
        <f>升星辅助表!AO158</f>
        <v>118</v>
      </c>
      <c r="K127" s="25">
        <f>升星辅助表!AP158</f>
        <v>0</v>
      </c>
      <c r="L127" s="25">
        <f>升星辅助表!AQ158</f>
        <v>0</v>
      </c>
      <c r="M127" s="25">
        <f>升星辅助表!AR158</f>
        <v>0</v>
      </c>
      <c r="N127" s="25">
        <f>升星辅助表!AS158</f>
        <v>0</v>
      </c>
    </row>
    <row r="128" spans="1:14" x14ac:dyDescent="0.15">
      <c r="A128" s="5" t="str">
        <f>强化辅助表!B162</f>
        <v>7040</v>
      </c>
      <c r="B128" s="25">
        <f>升星辅助表!AV159</f>
        <v>21104</v>
      </c>
      <c r="C128" s="25">
        <f>升星辅助表!AW159*3</f>
        <v>63312</v>
      </c>
      <c r="D128" s="62">
        <f>升星辅助表!AH159</f>
        <v>70010</v>
      </c>
      <c r="E128" s="25">
        <f>升星辅助表!AG159</f>
        <v>71</v>
      </c>
      <c r="F128" s="25">
        <f>升星辅助表!AK159</f>
        <v>0</v>
      </c>
      <c r="G128" s="25">
        <f>升星辅助表!AL159</f>
        <v>319</v>
      </c>
      <c r="H128" s="25">
        <f>升星辅助表!AM159</f>
        <v>38</v>
      </c>
      <c r="I128" s="25">
        <f>升星辅助表!AN159</f>
        <v>0</v>
      </c>
      <c r="J128" s="25">
        <f>升星辅助表!AO159</f>
        <v>139</v>
      </c>
      <c r="K128" s="25">
        <f>升星辅助表!AP159</f>
        <v>99</v>
      </c>
      <c r="L128" s="25">
        <f>升星辅助表!AQ159</f>
        <v>0</v>
      </c>
      <c r="M128" s="25">
        <f>升星辅助表!AR159</f>
        <v>0</v>
      </c>
      <c r="N128" s="25">
        <f>升星辅助表!AS159</f>
        <v>0</v>
      </c>
    </row>
    <row r="129" spans="1:14" x14ac:dyDescent="0.15">
      <c r="A129" s="5" t="str">
        <f>强化辅助表!B163</f>
        <v>7041</v>
      </c>
      <c r="B129" s="25">
        <f>升星辅助表!AV160</f>
        <v>14867</v>
      </c>
      <c r="C129" s="25">
        <f>升星辅助表!AW160*3</f>
        <v>44601</v>
      </c>
      <c r="D129" s="62">
        <f>升星辅助表!AH160</f>
        <v>71010</v>
      </c>
      <c r="E129" s="25">
        <f>升星辅助表!AG160</f>
        <v>50</v>
      </c>
      <c r="F129" s="25">
        <f>升星辅助表!AK160</f>
        <v>3484</v>
      </c>
      <c r="G129" s="25">
        <f>升星辅助表!AL160</f>
        <v>0</v>
      </c>
      <c r="H129" s="25">
        <f>升星辅助表!AM160</f>
        <v>115</v>
      </c>
      <c r="I129" s="25">
        <f>升星辅助表!AN160</f>
        <v>83</v>
      </c>
      <c r="J129" s="25">
        <f>升星辅助表!AO160</f>
        <v>0</v>
      </c>
      <c r="K129" s="25">
        <f>升星辅助表!AP160</f>
        <v>0</v>
      </c>
      <c r="L129" s="25">
        <f>升星辅助表!AQ160</f>
        <v>0</v>
      </c>
      <c r="M129" s="25">
        <f>升星辅助表!AR160</f>
        <v>82</v>
      </c>
      <c r="N129" s="25">
        <f>升星辅助表!AS160</f>
        <v>0</v>
      </c>
    </row>
    <row r="130" spans="1:14" x14ac:dyDescent="0.15">
      <c r="A130" s="5" t="str">
        <f>强化辅助表!B164</f>
        <v>7042</v>
      </c>
      <c r="B130" s="25">
        <f>升星辅助表!AV161</f>
        <v>7533</v>
      </c>
      <c r="C130" s="25">
        <f>升星辅助表!AW161*3</f>
        <v>22599</v>
      </c>
      <c r="D130" s="62">
        <f>升星辅助表!AH161</f>
        <v>72010</v>
      </c>
      <c r="E130" s="25">
        <f>升星辅助表!AG161</f>
        <v>26</v>
      </c>
      <c r="F130" s="25">
        <f>升星辅助表!AK161</f>
        <v>1742</v>
      </c>
      <c r="G130" s="25">
        <f>升星辅助表!AL161</f>
        <v>0</v>
      </c>
      <c r="H130" s="25">
        <f>升星辅助表!AM161</f>
        <v>38</v>
      </c>
      <c r="I130" s="25">
        <f>升星辅助表!AN161</f>
        <v>83</v>
      </c>
      <c r="J130" s="25">
        <f>升星辅助表!AO161</f>
        <v>0</v>
      </c>
      <c r="K130" s="25">
        <f>升星辅助表!AP161</f>
        <v>0</v>
      </c>
      <c r="L130" s="25">
        <f>升星辅助表!AQ161</f>
        <v>0</v>
      </c>
      <c r="M130" s="25">
        <f>升星辅助表!AR161</f>
        <v>82</v>
      </c>
      <c r="N130" s="25">
        <f>升星辅助表!AS161</f>
        <v>0</v>
      </c>
    </row>
    <row r="131" spans="1:14" x14ac:dyDescent="0.15">
      <c r="A131" s="5" t="str">
        <f>强化辅助表!B165</f>
        <v>7045</v>
      </c>
      <c r="B131" s="25">
        <f>升星辅助表!AV162</f>
        <v>9127</v>
      </c>
      <c r="C131" s="25">
        <f>升星辅助表!AW162*3</f>
        <v>27381</v>
      </c>
      <c r="D131" s="62">
        <f>升星辅助表!AH162</f>
        <v>75010</v>
      </c>
      <c r="E131" s="25">
        <f>升星辅助表!AG162</f>
        <v>31</v>
      </c>
      <c r="F131" s="25">
        <f>升星辅助表!AK162</f>
        <v>1742</v>
      </c>
      <c r="G131" s="25">
        <f>升星辅助表!AL162</f>
        <v>0</v>
      </c>
      <c r="H131" s="25">
        <f>升星辅助表!AM162</f>
        <v>0</v>
      </c>
      <c r="I131" s="25">
        <f>升星辅助表!AN162</f>
        <v>167</v>
      </c>
      <c r="J131" s="25">
        <f>升星辅助表!AO162</f>
        <v>139</v>
      </c>
      <c r="K131" s="25">
        <f>升星辅助表!AP162</f>
        <v>49</v>
      </c>
      <c r="L131" s="25">
        <f>升星辅助表!AQ162</f>
        <v>0</v>
      </c>
      <c r="M131" s="25">
        <f>升星辅助表!AR162</f>
        <v>0</v>
      </c>
      <c r="N131" s="25">
        <f>升星辅助表!AS162</f>
        <v>0</v>
      </c>
    </row>
    <row r="132" spans="1:14" x14ac:dyDescent="0.15">
      <c r="A132" s="5" t="str">
        <f>强化辅助表!B166</f>
        <v>7044</v>
      </c>
      <c r="B132" s="25">
        <f>升星辅助表!AV163</f>
        <v>14906</v>
      </c>
      <c r="C132" s="25">
        <f>升星辅助表!AW163*3</f>
        <v>44718</v>
      </c>
      <c r="D132" s="62">
        <f>升星辅助表!AH163</f>
        <v>74010</v>
      </c>
      <c r="E132" s="25">
        <f>升星辅助表!AG163</f>
        <v>50</v>
      </c>
      <c r="F132" s="25">
        <f>升星辅助表!AK163</f>
        <v>3484</v>
      </c>
      <c r="G132" s="25">
        <f>升星辅助表!AL163</f>
        <v>106</v>
      </c>
      <c r="H132" s="25">
        <f>升星辅助表!AM163</f>
        <v>38</v>
      </c>
      <c r="I132" s="25">
        <f>升星辅助表!AN163</f>
        <v>0</v>
      </c>
      <c r="J132" s="25">
        <f>升星辅助表!AO163</f>
        <v>0</v>
      </c>
      <c r="K132" s="25">
        <f>升星辅助表!AP163</f>
        <v>0</v>
      </c>
      <c r="L132" s="25">
        <f>升星辅助表!AQ163</f>
        <v>0</v>
      </c>
      <c r="M132" s="25">
        <f>升星辅助表!AR163</f>
        <v>82</v>
      </c>
      <c r="N132" s="25">
        <f>升星辅助表!AS163</f>
        <v>0</v>
      </c>
    </row>
    <row r="133" spans="1:14" x14ac:dyDescent="0.15">
      <c r="A133" s="5" t="str">
        <f>强化辅助表!B167</f>
        <v>7043</v>
      </c>
      <c r="B133" s="25">
        <f>升星辅助表!AV164</f>
        <v>9965</v>
      </c>
      <c r="C133" s="25">
        <f>升星辅助表!AW164*3</f>
        <v>29895</v>
      </c>
      <c r="D133" s="62">
        <f>升星辅助表!AH164</f>
        <v>73010</v>
      </c>
      <c r="E133" s="25">
        <f>升星辅助表!AG164</f>
        <v>34</v>
      </c>
      <c r="F133" s="25">
        <f>升星辅助表!AK164</f>
        <v>0</v>
      </c>
      <c r="G133" s="25">
        <f>升星辅助表!AL164</f>
        <v>106</v>
      </c>
      <c r="H133" s="25">
        <f>升星辅助表!AM164</f>
        <v>0</v>
      </c>
      <c r="I133" s="25">
        <f>升星辅助表!AN164</f>
        <v>83</v>
      </c>
      <c r="J133" s="25">
        <f>升星辅助表!AO164</f>
        <v>139</v>
      </c>
      <c r="K133" s="25">
        <f>升星辅助表!AP164</f>
        <v>99</v>
      </c>
      <c r="L133" s="25">
        <f>升星辅助表!AQ164</f>
        <v>0</v>
      </c>
      <c r="M133" s="25">
        <f>升星辅助表!AR164</f>
        <v>0</v>
      </c>
      <c r="N133" s="25">
        <f>升星辅助表!AS164</f>
        <v>0</v>
      </c>
    </row>
    <row r="134" spans="1:14" x14ac:dyDescent="0.15">
      <c r="A134" s="5" t="str">
        <f>强化辅助表!B168</f>
        <v>8010</v>
      </c>
      <c r="B134" s="25">
        <f>升星辅助表!AV165</f>
        <v>8950</v>
      </c>
      <c r="C134" s="25">
        <f>升星辅助表!AW165*3</f>
        <v>26850</v>
      </c>
      <c r="D134" s="62">
        <f>升星辅助表!AH165</f>
        <v>70010</v>
      </c>
      <c r="E134" s="25">
        <f>升星辅助表!AG165</f>
        <v>30</v>
      </c>
      <c r="F134" s="25">
        <f>升星辅助表!AK165</f>
        <v>0</v>
      </c>
      <c r="G134" s="25">
        <f>升星辅助表!AL165</f>
        <v>179</v>
      </c>
      <c r="H134" s="25">
        <f>升星辅助表!AM165</f>
        <v>0</v>
      </c>
      <c r="I134" s="25">
        <f>升星辅助表!AN165</f>
        <v>0</v>
      </c>
      <c r="J134" s="25">
        <f>升星辅助表!AO165</f>
        <v>0</v>
      </c>
      <c r="K134" s="25">
        <f>升星辅助表!AP165</f>
        <v>0</v>
      </c>
      <c r="L134" s="25">
        <f>升星辅助表!AQ165</f>
        <v>0</v>
      </c>
      <c r="M134" s="25">
        <f>升星辅助表!AR165</f>
        <v>0</v>
      </c>
      <c r="N134" s="25">
        <f>升星辅助表!AS165</f>
        <v>0</v>
      </c>
    </row>
    <row r="135" spans="1:14" x14ac:dyDescent="0.15">
      <c r="A135" s="5" t="str">
        <f>强化辅助表!B169</f>
        <v>8011</v>
      </c>
      <c r="B135" s="25">
        <f>升星辅助表!AV166</f>
        <v>3920</v>
      </c>
      <c r="C135" s="25">
        <f>升星辅助表!AW166*3</f>
        <v>11760</v>
      </c>
      <c r="D135" s="62">
        <f>升星辅助表!AH166</f>
        <v>71010</v>
      </c>
      <c r="E135" s="25">
        <f>升星辅助表!AG166</f>
        <v>14</v>
      </c>
      <c r="F135" s="25">
        <f>升星辅助表!AK166</f>
        <v>1960</v>
      </c>
      <c r="G135" s="25">
        <f>升星辅助表!AL166</f>
        <v>0</v>
      </c>
      <c r="H135" s="25">
        <f>升星辅助表!AM166</f>
        <v>0</v>
      </c>
      <c r="I135" s="25">
        <f>升星辅助表!AN166</f>
        <v>0</v>
      </c>
      <c r="J135" s="25">
        <f>升星辅助表!AO166</f>
        <v>0</v>
      </c>
      <c r="K135" s="25">
        <f>升星辅助表!AP166</f>
        <v>0</v>
      </c>
      <c r="L135" s="25">
        <f>升星辅助表!AQ166</f>
        <v>0</v>
      </c>
      <c r="M135" s="25">
        <f>升星辅助表!AR166</f>
        <v>0</v>
      </c>
      <c r="N135" s="25">
        <f>升星辅助表!AS166</f>
        <v>0</v>
      </c>
    </row>
    <row r="136" spans="1:14" x14ac:dyDescent="0.15">
      <c r="A136" s="5" t="str">
        <f>强化辅助表!B170</f>
        <v>8012</v>
      </c>
      <c r="B136" s="25">
        <f>升星辅助表!AV167</f>
        <v>1960</v>
      </c>
      <c r="C136" s="25">
        <f>升星辅助表!AW167*3</f>
        <v>5880</v>
      </c>
      <c r="D136" s="62">
        <f>升星辅助表!AH167</f>
        <v>72010</v>
      </c>
      <c r="E136" s="25">
        <f>升星辅助表!AG167</f>
        <v>7</v>
      </c>
      <c r="F136" s="25">
        <f>升星辅助表!AK167</f>
        <v>980</v>
      </c>
      <c r="G136" s="25">
        <f>升星辅助表!AL167</f>
        <v>0</v>
      </c>
      <c r="H136" s="25">
        <f>升星辅助表!AM167</f>
        <v>0</v>
      </c>
      <c r="I136" s="25">
        <f>升星辅助表!AN167</f>
        <v>0</v>
      </c>
      <c r="J136" s="25">
        <f>升星辅助表!AO167</f>
        <v>0</v>
      </c>
      <c r="K136" s="25">
        <f>升星辅助表!AP167</f>
        <v>0</v>
      </c>
      <c r="L136" s="25">
        <f>升星辅助表!AQ167</f>
        <v>0</v>
      </c>
      <c r="M136" s="25">
        <f>升星辅助表!AR167</f>
        <v>0</v>
      </c>
      <c r="N136" s="25">
        <f>升星辅助表!AS167</f>
        <v>0</v>
      </c>
    </row>
    <row r="137" spans="1:14" x14ac:dyDescent="0.15">
      <c r="A137" s="5" t="str">
        <f>强化辅助表!B171</f>
        <v>8015</v>
      </c>
      <c r="B137" s="25">
        <f>升星辅助表!AV168</f>
        <v>1960</v>
      </c>
      <c r="C137" s="25">
        <f>升星辅助表!AW168*3</f>
        <v>5880</v>
      </c>
      <c r="D137" s="62">
        <f>升星辅助表!AH168</f>
        <v>75010</v>
      </c>
      <c r="E137" s="25">
        <f>升星辅助表!AG168</f>
        <v>7</v>
      </c>
      <c r="F137" s="25">
        <f>升星辅助表!AK168</f>
        <v>980</v>
      </c>
      <c r="G137" s="25">
        <f>升星辅助表!AL168</f>
        <v>0</v>
      </c>
      <c r="H137" s="25">
        <f>升星辅助表!AM168</f>
        <v>0</v>
      </c>
      <c r="I137" s="25">
        <f>升星辅助表!AN168</f>
        <v>0</v>
      </c>
      <c r="J137" s="25">
        <f>升星辅助表!AO168</f>
        <v>0</v>
      </c>
      <c r="K137" s="25">
        <f>升星辅助表!AP168</f>
        <v>0</v>
      </c>
      <c r="L137" s="25">
        <f>升星辅助表!AQ168</f>
        <v>0</v>
      </c>
      <c r="M137" s="25">
        <f>升星辅助表!AR168</f>
        <v>0</v>
      </c>
      <c r="N137" s="25">
        <f>升星辅助表!AS168</f>
        <v>0</v>
      </c>
    </row>
    <row r="138" spans="1:14" x14ac:dyDescent="0.15">
      <c r="A138" s="5" t="str">
        <f>强化辅助表!B172</f>
        <v>8014</v>
      </c>
      <c r="B138" s="25">
        <f>升星辅助表!AV169</f>
        <v>3920</v>
      </c>
      <c r="C138" s="25">
        <f>升星辅助表!AW169*3</f>
        <v>11760</v>
      </c>
      <c r="D138" s="62">
        <f>升星辅助表!AH169</f>
        <v>74010</v>
      </c>
      <c r="E138" s="25">
        <f>升星辅助表!AG169</f>
        <v>14</v>
      </c>
      <c r="F138" s="25">
        <f>升星辅助表!AK169</f>
        <v>1960</v>
      </c>
      <c r="G138" s="25">
        <f>升星辅助表!AL169</f>
        <v>0</v>
      </c>
      <c r="H138" s="25">
        <f>升星辅助表!AM169</f>
        <v>0</v>
      </c>
      <c r="I138" s="25">
        <f>升星辅助表!AN169</f>
        <v>0</v>
      </c>
      <c r="J138" s="25">
        <f>升星辅助表!AO169</f>
        <v>0</v>
      </c>
      <c r="K138" s="25">
        <f>升星辅助表!AP169</f>
        <v>0</v>
      </c>
      <c r="L138" s="25">
        <f>升星辅助表!AQ169</f>
        <v>0</v>
      </c>
      <c r="M138" s="25">
        <f>升星辅助表!AR169</f>
        <v>0</v>
      </c>
      <c r="N138" s="25">
        <f>升星辅助表!AS169</f>
        <v>0</v>
      </c>
    </row>
    <row r="139" spans="1:14" x14ac:dyDescent="0.15">
      <c r="A139" s="5" t="str">
        <f>强化辅助表!B173</f>
        <v>8013</v>
      </c>
      <c r="B139" s="25">
        <f>升星辅助表!AV170</f>
        <v>3000</v>
      </c>
      <c r="C139" s="25">
        <f>升星辅助表!AW170*3</f>
        <v>9000</v>
      </c>
      <c r="D139" s="62">
        <f>升星辅助表!AH170</f>
        <v>73010</v>
      </c>
      <c r="E139" s="25">
        <f>升星辅助表!AG170</f>
        <v>10</v>
      </c>
      <c r="F139" s="25">
        <f>升星辅助表!AK170</f>
        <v>0</v>
      </c>
      <c r="G139" s="25">
        <f>升星辅助表!AL170</f>
        <v>60</v>
      </c>
      <c r="H139" s="25">
        <f>升星辅助表!AM170</f>
        <v>0</v>
      </c>
      <c r="I139" s="25">
        <f>升星辅助表!AN170</f>
        <v>0</v>
      </c>
      <c r="J139" s="25">
        <f>升星辅助表!AO170</f>
        <v>0</v>
      </c>
      <c r="K139" s="25">
        <f>升星辅助表!AP170</f>
        <v>0</v>
      </c>
      <c r="L139" s="25">
        <f>升星辅助表!AQ170</f>
        <v>0</v>
      </c>
      <c r="M139" s="25">
        <f>升星辅助表!AR170</f>
        <v>0</v>
      </c>
      <c r="N139" s="25">
        <f>升星辅助表!AS170</f>
        <v>0</v>
      </c>
    </row>
    <row r="140" spans="1:14" x14ac:dyDescent="0.15">
      <c r="A140" s="5" t="str">
        <f>强化辅助表!B174</f>
        <v>8020</v>
      </c>
      <c r="B140" s="25">
        <f>升星辅助表!AV171</f>
        <v>14500</v>
      </c>
      <c r="C140" s="25">
        <f>升星辅助表!AW171*3</f>
        <v>43500</v>
      </c>
      <c r="D140" s="62">
        <f>升星辅助表!AH171</f>
        <v>70010</v>
      </c>
      <c r="E140" s="25">
        <f>升星辅助表!AG171</f>
        <v>49</v>
      </c>
      <c r="F140" s="25">
        <f>升星辅助表!AK171</f>
        <v>0</v>
      </c>
      <c r="G140" s="25">
        <f>升星辅助表!AL171</f>
        <v>259</v>
      </c>
      <c r="H140" s="25">
        <f>升星辅助表!AM171</f>
        <v>31</v>
      </c>
      <c r="I140" s="25">
        <f>升星辅助表!AN171</f>
        <v>0</v>
      </c>
      <c r="J140" s="25">
        <f>升星辅助表!AO171</f>
        <v>0</v>
      </c>
      <c r="K140" s="25">
        <f>升星辅助表!AP171</f>
        <v>0</v>
      </c>
      <c r="L140" s="25">
        <f>升星辅助表!AQ171</f>
        <v>0</v>
      </c>
      <c r="M140" s="25">
        <f>升星辅助表!AR171</f>
        <v>0</v>
      </c>
      <c r="N140" s="25">
        <f>升星辅助表!AS171</f>
        <v>0</v>
      </c>
    </row>
    <row r="141" spans="1:14" x14ac:dyDescent="0.15">
      <c r="A141" s="5" t="str">
        <f>强化辅助表!B175</f>
        <v>8021</v>
      </c>
      <c r="B141" s="25">
        <f>升星辅助表!AV172</f>
        <v>10312</v>
      </c>
      <c r="C141" s="25">
        <f>升星辅助表!AW172*3</f>
        <v>30936</v>
      </c>
      <c r="D141" s="62">
        <f>升星辅助表!AH172</f>
        <v>71010</v>
      </c>
      <c r="E141" s="25">
        <f>升星辅助表!AG172</f>
        <v>35</v>
      </c>
      <c r="F141" s="25">
        <f>升星辅助表!AK172</f>
        <v>2831</v>
      </c>
      <c r="G141" s="25">
        <f>升星辅助表!AL172</f>
        <v>0</v>
      </c>
      <c r="H141" s="25">
        <f>升星辅助表!AM172</f>
        <v>93</v>
      </c>
      <c r="I141" s="25">
        <f>升星辅助表!AN172</f>
        <v>0</v>
      </c>
      <c r="J141" s="25">
        <f>升星辅助表!AO172</f>
        <v>0</v>
      </c>
      <c r="K141" s="25">
        <f>升星辅助表!AP172</f>
        <v>0</v>
      </c>
      <c r="L141" s="25">
        <f>升星辅助表!AQ172</f>
        <v>0</v>
      </c>
      <c r="M141" s="25">
        <f>升星辅助表!AR172</f>
        <v>0</v>
      </c>
      <c r="N141" s="25">
        <f>升星辅助表!AS172</f>
        <v>0</v>
      </c>
    </row>
    <row r="142" spans="1:14" x14ac:dyDescent="0.15">
      <c r="A142" s="5" t="str">
        <f>强化辅助表!B176</f>
        <v>8022</v>
      </c>
      <c r="B142" s="25">
        <f>升星辅助表!AV173</f>
        <v>4380</v>
      </c>
      <c r="C142" s="25">
        <f>升星辅助表!AW173*3</f>
        <v>13140</v>
      </c>
      <c r="D142" s="62">
        <f>升星辅助表!AH173</f>
        <v>72010</v>
      </c>
      <c r="E142" s="25">
        <f>升星辅助表!AG173</f>
        <v>15</v>
      </c>
      <c r="F142" s="25">
        <f>升星辅助表!AK173</f>
        <v>1415</v>
      </c>
      <c r="G142" s="25">
        <f>升星辅助表!AL173</f>
        <v>0</v>
      </c>
      <c r="H142" s="25">
        <f>升星辅助表!AM173</f>
        <v>31</v>
      </c>
      <c r="I142" s="25">
        <f>升星辅助表!AN173</f>
        <v>0</v>
      </c>
      <c r="J142" s="25">
        <f>升星辅助表!AO173</f>
        <v>0</v>
      </c>
      <c r="K142" s="25">
        <f>升星辅助表!AP173</f>
        <v>0</v>
      </c>
      <c r="L142" s="25">
        <f>升星辅助表!AQ173</f>
        <v>0</v>
      </c>
      <c r="M142" s="25">
        <f>升星辅助表!AR173</f>
        <v>0</v>
      </c>
      <c r="N142" s="25">
        <f>升星辅助表!AS173</f>
        <v>0</v>
      </c>
    </row>
    <row r="143" spans="1:14" x14ac:dyDescent="0.15">
      <c r="A143" s="5" t="str">
        <f>强化辅助表!B177</f>
        <v>8025</v>
      </c>
      <c r="B143" s="25">
        <f>升星辅助表!AV174</f>
        <v>5125</v>
      </c>
      <c r="C143" s="25">
        <f>升星辅助表!AW174*3</f>
        <v>15375</v>
      </c>
      <c r="D143" s="62">
        <f>升星辅助表!AH174</f>
        <v>75010</v>
      </c>
      <c r="E143" s="25">
        <f>升星辅助表!AG174</f>
        <v>18</v>
      </c>
      <c r="F143" s="25">
        <f>升星辅助表!AK174</f>
        <v>1415</v>
      </c>
      <c r="G143" s="25">
        <f>升星辅助表!AL174</f>
        <v>0</v>
      </c>
      <c r="H143" s="25">
        <f>升星辅助表!AM174</f>
        <v>0</v>
      </c>
      <c r="I143" s="25">
        <f>升星辅助表!AN174</f>
        <v>135</v>
      </c>
      <c r="J143" s="25">
        <f>升星辅助表!AO174</f>
        <v>0</v>
      </c>
      <c r="K143" s="25">
        <f>升星辅助表!AP174</f>
        <v>0</v>
      </c>
      <c r="L143" s="25">
        <f>升星辅助表!AQ174</f>
        <v>0</v>
      </c>
      <c r="M143" s="25">
        <f>升星辅助表!AR174</f>
        <v>0</v>
      </c>
      <c r="N143" s="25">
        <f>升星辅助表!AS174</f>
        <v>0</v>
      </c>
    </row>
    <row r="144" spans="1:14" x14ac:dyDescent="0.15">
      <c r="A144" s="5" t="str">
        <f>强化辅助表!B178</f>
        <v>8024</v>
      </c>
      <c r="B144" s="25">
        <f>升星辅助表!AV175</f>
        <v>9962</v>
      </c>
      <c r="C144" s="25">
        <f>升星辅助表!AW175*3</f>
        <v>29886</v>
      </c>
      <c r="D144" s="62">
        <f>升星辅助表!AH175</f>
        <v>74010</v>
      </c>
      <c r="E144" s="25">
        <f>升星辅助表!AG175</f>
        <v>34</v>
      </c>
      <c r="F144" s="25">
        <f>升星辅助表!AK175</f>
        <v>2831</v>
      </c>
      <c r="G144" s="25">
        <f>升星辅助表!AL175</f>
        <v>86</v>
      </c>
      <c r="H144" s="25">
        <f>升星辅助表!AM175</f>
        <v>0</v>
      </c>
      <c r="I144" s="25">
        <f>升星辅助表!AN175</f>
        <v>0</v>
      </c>
      <c r="J144" s="25">
        <f>升星辅助表!AO175</f>
        <v>0</v>
      </c>
      <c r="K144" s="25">
        <f>升星辅助表!AP175</f>
        <v>0</v>
      </c>
      <c r="L144" s="25">
        <f>升星辅助表!AQ175</f>
        <v>0</v>
      </c>
      <c r="M144" s="25">
        <f>升星辅助表!AR175</f>
        <v>0</v>
      </c>
      <c r="N144" s="25">
        <f>升星辅助表!AS175</f>
        <v>0</v>
      </c>
    </row>
    <row r="145" spans="1:14" x14ac:dyDescent="0.15">
      <c r="A145" s="5" t="str">
        <f>强化辅助表!B179</f>
        <v>8023</v>
      </c>
      <c r="B145" s="25">
        <f>升星辅助表!AV176</f>
        <v>5456</v>
      </c>
      <c r="C145" s="25">
        <f>升星辅助表!AW176*3</f>
        <v>16368</v>
      </c>
      <c r="D145" s="62">
        <f>升星辅助表!AH176</f>
        <v>73010</v>
      </c>
      <c r="E145" s="25">
        <f>升星辅助表!AG176</f>
        <v>19</v>
      </c>
      <c r="F145" s="25">
        <f>升星辅助表!AK176</f>
        <v>0</v>
      </c>
      <c r="G145" s="25">
        <f>升星辅助表!AL176</f>
        <v>86</v>
      </c>
      <c r="H145" s="25">
        <f>升星辅助表!AM176</f>
        <v>0</v>
      </c>
      <c r="I145" s="25">
        <f>升星辅助表!AN176</f>
        <v>68</v>
      </c>
      <c r="J145" s="25">
        <f>升星辅助表!AO176</f>
        <v>0</v>
      </c>
      <c r="K145" s="25">
        <f>升星辅助表!AP176</f>
        <v>0</v>
      </c>
      <c r="L145" s="25">
        <f>升星辅助表!AQ176</f>
        <v>0</v>
      </c>
      <c r="M145" s="25">
        <f>升星辅助表!AR176</f>
        <v>0</v>
      </c>
      <c r="N145" s="25">
        <f>升星辅助表!AS176</f>
        <v>0</v>
      </c>
    </row>
    <row r="146" spans="1:14" x14ac:dyDescent="0.15">
      <c r="A146" s="5" t="str">
        <f>强化辅助表!B180</f>
        <v>8030</v>
      </c>
      <c r="B146" s="25">
        <f>升星辅助表!AV177</f>
        <v>21466</v>
      </c>
      <c r="C146" s="25">
        <f>升星辅助表!AW177*3</f>
        <v>64398</v>
      </c>
      <c r="D146" s="62">
        <f>升星辅助表!AH177</f>
        <v>70010</v>
      </c>
      <c r="E146" s="25">
        <f>升星辅助表!AG177</f>
        <v>72</v>
      </c>
      <c r="F146" s="25">
        <f>升星辅助表!AK177</f>
        <v>0</v>
      </c>
      <c r="G146" s="25">
        <f>升星辅助表!AL177</f>
        <v>338</v>
      </c>
      <c r="H146" s="25">
        <f>升星辅助表!AM177</f>
        <v>41</v>
      </c>
      <c r="I146" s="25">
        <f>升星辅助表!AN177</f>
        <v>0</v>
      </c>
      <c r="J146" s="25">
        <f>升星辅助表!AO177</f>
        <v>148</v>
      </c>
      <c r="K146" s="25">
        <f>升星辅助表!AP177</f>
        <v>0</v>
      </c>
      <c r="L146" s="25">
        <f>升星辅助表!AQ177</f>
        <v>0</v>
      </c>
      <c r="M146" s="25">
        <f>升星辅助表!AR177</f>
        <v>0</v>
      </c>
      <c r="N146" s="25">
        <f>升星辅助表!AS177</f>
        <v>0</v>
      </c>
    </row>
    <row r="147" spans="1:14" x14ac:dyDescent="0.15">
      <c r="A147" s="5" t="str">
        <f>强化辅助表!B181</f>
        <v>8031</v>
      </c>
      <c r="B147" s="25">
        <f>升星辅助表!AV178</f>
        <v>15017</v>
      </c>
      <c r="C147" s="25">
        <f>升星辅助表!AW178*3</f>
        <v>45051</v>
      </c>
      <c r="D147" s="62">
        <f>升星辅助表!AH178</f>
        <v>71010</v>
      </c>
      <c r="E147" s="25">
        <f>升星辅助表!AG178</f>
        <v>51</v>
      </c>
      <c r="F147" s="25">
        <f>升星辅助表!AK178</f>
        <v>3702</v>
      </c>
      <c r="G147" s="25">
        <f>升星辅助表!AL178</f>
        <v>0</v>
      </c>
      <c r="H147" s="25">
        <f>升星辅助表!AM178</f>
        <v>122</v>
      </c>
      <c r="I147" s="25">
        <f>升星辅助表!AN178</f>
        <v>89</v>
      </c>
      <c r="J147" s="25">
        <f>升星辅助表!AO178</f>
        <v>0</v>
      </c>
      <c r="K147" s="25">
        <f>升星辅助表!AP178</f>
        <v>0</v>
      </c>
      <c r="L147" s="25">
        <f>升星辅助表!AQ178</f>
        <v>0</v>
      </c>
      <c r="M147" s="25">
        <f>升星辅助表!AR178</f>
        <v>0</v>
      </c>
      <c r="N147" s="25">
        <f>升星辅助表!AS178</f>
        <v>0</v>
      </c>
    </row>
    <row r="148" spans="1:14" x14ac:dyDescent="0.15">
      <c r="A148" s="5" t="str">
        <f>强化辅助表!B182</f>
        <v>8032</v>
      </c>
      <c r="B148" s="25">
        <f>升星辅助表!AV179</f>
        <v>7265</v>
      </c>
      <c r="C148" s="25">
        <f>升星辅助表!AW179*3</f>
        <v>21795</v>
      </c>
      <c r="D148" s="62">
        <f>升星辅助表!AH179</f>
        <v>72010</v>
      </c>
      <c r="E148" s="25">
        <f>升星辅助表!AG179</f>
        <v>25</v>
      </c>
      <c r="F148" s="25">
        <f>升星辅助表!AK179</f>
        <v>1851</v>
      </c>
      <c r="G148" s="25">
        <f>升星辅助表!AL179</f>
        <v>0</v>
      </c>
      <c r="H148" s="25">
        <f>升星辅助表!AM179</f>
        <v>41</v>
      </c>
      <c r="I148" s="25">
        <f>升星辅助表!AN179</f>
        <v>89</v>
      </c>
      <c r="J148" s="25">
        <f>升星辅助表!AO179</f>
        <v>0</v>
      </c>
      <c r="K148" s="25">
        <f>升星辅助表!AP179</f>
        <v>0</v>
      </c>
      <c r="L148" s="25">
        <f>升星辅助表!AQ179</f>
        <v>0</v>
      </c>
      <c r="M148" s="25">
        <f>升星辅助表!AR179</f>
        <v>0</v>
      </c>
      <c r="N148" s="25">
        <f>升星辅助表!AS179</f>
        <v>0</v>
      </c>
    </row>
    <row r="149" spans="1:14" x14ac:dyDescent="0.15">
      <c r="A149" s="5" t="str">
        <f>强化辅助表!B183</f>
        <v>8035</v>
      </c>
      <c r="B149" s="25">
        <f>升星辅助表!AV180</f>
        <v>9227</v>
      </c>
      <c r="C149" s="25">
        <f>升星辅助表!AW180*3</f>
        <v>27681</v>
      </c>
      <c r="D149" s="62">
        <f>升星辅助表!AH180</f>
        <v>75010</v>
      </c>
      <c r="E149" s="25">
        <f>升星辅助表!AG180</f>
        <v>31</v>
      </c>
      <c r="F149" s="25">
        <f>升星辅助表!AK180</f>
        <v>1851</v>
      </c>
      <c r="G149" s="25">
        <f>升星辅助表!AL180</f>
        <v>0</v>
      </c>
      <c r="H149" s="25">
        <f>升星辅助表!AM180</f>
        <v>0</v>
      </c>
      <c r="I149" s="25">
        <f>升星辅助表!AN180</f>
        <v>177</v>
      </c>
      <c r="J149" s="25">
        <f>升星辅助表!AO180</f>
        <v>148</v>
      </c>
      <c r="K149" s="25">
        <f>升星辅助表!AP180</f>
        <v>0</v>
      </c>
      <c r="L149" s="25">
        <f>升星辅助表!AQ180</f>
        <v>0</v>
      </c>
      <c r="M149" s="25">
        <f>升星辅助表!AR180</f>
        <v>0</v>
      </c>
      <c r="N149" s="25">
        <f>升星辅助表!AS180</f>
        <v>0</v>
      </c>
    </row>
    <row r="150" spans="1:14" x14ac:dyDescent="0.15">
      <c r="A150" s="5" t="str">
        <f>强化辅助表!B184</f>
        <v>8034</v>
      </c>
      <c r="B150" s="25">
        <f>升星辅助表!AV181</f>
        <v>15104</v>
      </c>
      <c r="C150" s="25">
        <f>升星辅助表!AW181*3</f>
        <v>45312</v>
      </c>
      <c r="D150" s="62">
        <f>升星辅助表!AH181</f>
        <v>74010</v>
      </c>
      <c r="E150" s="25">
        <f>升星辅助表!AG181</f>
        <v>51</v>
      </c>
      <c r="F150" s="25">
        <f>升星辅助表!AK181</f>
        <v>3702</v>
      </c>
      <c r="G150" s="25">
        <f>升星辅助表!AL181</f>
        <v>113</v>
      </c>
      <c r="H150" s="25">
        <f>升星辅助表!AM181</f>
        <v>41</v>
      </c>
      <c r="I150" s="25">
        <f>升星辅助表!AN181</f>
        <v>0</v>
      </c>
      <c r="J150" s="25">
        <f>升星辅助表!AO181</f>
        <v>0</v>
      </c>
      <c r="K150" s="25">
        <f>升星辅助表!AP181</f>
        <v>0</v>
      </c>
      <c r="L150" s="25">
        <f>升星辅助表!AQ181</f>
        <v>0</v>
      </c>
      <c r="M150" s="25">
        <f>升星辅助表!AR181</f>
        <v>0</v>
      </c>
      <c r="N150" s="25">
        <f>升星辅助表!AS181</f>
        <v>0</v>
      </c>
    </row>
    <row r="151" spans="1:14" x14ac:dyDescent="0.15">
      <c r="A151" s="5" t="str">
        <f>强化辅助表!B185</f>
        <v>8033</v>
      </c>
      <c r="B151" s="25">
        <f>升星辅助表!AV182</f>
        <v>9679</v>
      </c>
      <c r="C151" s="25">
        <f>升星辅助表!AW182*3</f>
        <v>29037</v>
      </c>
      <c r="D151" s="62">
        <f>升星辅助表!AH182</f>
        <v>73010</v>
      </c>
      <c r="E151" s="25">
        <f>升星辅助表!AG182</f>
        <v>33</v>
      </c>
      <c r="F151" s="25">
        <f>升星辅助表!AK182</f>
        <v>0</v>
      </c>
      <c r="G151" s="25">
        <f>升星辅助表!AL182</f>
        <v>113</v>
      </c>
      <c r="H151" s="25">
        <f>升星辅助表!AM182</f>
        <v>0</v>
      </c>
      <c r="I151" s="25">
        <f>升星辅助表!AN182</f>
        <v>89</v>
      </c>
      <c r="J151" s="25">
        <f>升星辅助表!AO182</f>
        <v>148</v>
      </c>
      <c r="K151" s="25">
        <f>升星辅助表!AP182</f>
        <v>0</v>
      </c>
      <c r="L151" s="25">
        <f>升星辅助表!AQ182</f>
        <v>0</v>
      </c>
      <c r="M151" s="25">
        <f>升星辅助表!AR182</f>
        <v>0</v>
      </c>
      <c r="N151" s="25">
        <f>升星辅助表!AS182</f>
        <v>0</v>
      </c>
    </row>
    <row r="152" spans="1:14" x14ac:dyDescent="0.15">
      <c r="A152" s="5" t="str">
        <f>强化辅助表!B186</f>
        <v>8040</v>
      </c>
      <c r="B152" s="25">
        <f>升星辅助表!AV183</f>
        <v>26365</v>
      </c>
      <c r="C152" s="25">
        <f>升星辅助表!AW183*3</f>
        <v>79095</v>
      </c>
      <c r="D152" s="62">
        <f>升星辅助表!AH183</f>
        <v>70010</v>
      </c>
      <c r="E152" s="25">
        <f>升星辅助表!AG183</f>
        <v>88</v>
      </c>
      <c r="F152" s="25">
        <f>升星辅助表!AK183</f>
        <v>0</v>
      </c>
      <c r="G152" s="25">
        <f>升星辅助表!AL183</f>
        <v>398</v>
      </c>
      <c r="H152" s="25">
        <f>升星辅助表!AM183</f>
        <v>48</v>
      </c>
      <c r="I152" s="25">
        <f>升星辅助表!AN183</f>
        <v>0</v>
      </c>
      <c r="J152" s="25">
        <f>升星辅助表!AO183</f>
        <v>174</v>
      </c>
      <c r="K152" s="25">
        <f>升星辅助表!AP183</f>
        <v>123</v>
      </c>
      <c r="L152" s="25">
        <f>升星辅助表!AQ183</f>
        <v>0</v>
      </c>
      <c r="M152" s="25">
        <f>升星辅助表!AR183</f>
        <v>0</v>
      </c>
      <c r="N152" s="25">
        <f>升星辅助表!AS183</f>
        <v>0</v>
      </c>
    </row>
    <row r="153" spans="1:14" x14ac:dyDescent="0.15">
      <c r="A153" s="5" t="str">
        <f>强化辅助表!B187</f>
        <v>8041</v>
      </c>
      <c r="B153" s="25">
        <f>升星辅助表!AV184</f>
        <v>18555</v>
      </c>
      <c r="C153" s="25">
        <f>升星辅助表!AW184*3</f>
        <v>55665</v>
      </c>
      <c r="D153" s="62">
        <f>升星辅助表!AH184</f>
        <v>71010</v>
      </c>
      <c r="E153" s="25">
        <f>升星辅助表!AG184</f>
        <v>62</v>
      </c>
      <c r="F153" s="25">
        <f>升星辅助表!AK184</f>
        <v>4355</v>
      </c>
      <c r="G153" s="25">
        <f>升星辅助表!AL184</f>
        <v>0</v>
      </c>
      <c r="H153" s="25">
        <f>升星辅助表!AM184</f>
        <v>143</v>
      </c>
      <c r="I153" s="25">
        <f>升星辅助表!AN184</f>
        <v>104</v>
      </c>
      <c r="J153" s="25">
        <f>升星辅助表!AO184</f>
        <v>0</v>
      </c>
      <c r="K153" s="25">
        <f>升星辅助表!AP184</f>
        <v>0</v>
      </c>
      <c r="L153" s="25">
        <f>升星辅助表!AQ184</f>
        <v>0</v>
      </c>
      <c r="M153" s="25">
        <f>升星辅助表!AR184</f>
        <v>103</v>
      </c>
      <c r="N153" s="25">
        <f>升星辅助表!AS184</f>
        <v>0</v>
      </c>
    </row>
    <row r="154" spans="1:14" x14ac:dyDescent="0.15">
      <c r="A154" s="5" t="str">
        <f>强化辅助表!B188</f>
        <v>8042</v>
      </c>
      <c r="B154" s="25">
        <f>升星辅助表!AV185</f>
        <v>9451</v>
      </c>
      <c r="C154" s="25">
        <f>升星辅助表!AW185*3</f>
        <v>28353</v>
      </c>
      <c r="D154" s="62">
        <f>升星辅助表!AH185</f>
        <v>72010</v>
      </c>
      <c r="E154" s="25">
        <f>升星辅助表!AG185</f>
        <v>32</v>
      </c>
      <c r="F154" s="25">
        <f>升星辅助表!AK185</f>
        <v>2178</v>
      </c>
      <c r="G154" s="25">
        <f>升星辅助表!AL185</f>
        <v>0</v>
      </c>
      <c r="H154" s="25">
        <f>升星辅助表!AM185</f>
        <v>48</v>
      </c>
      <c r="I154" s="25">
        <f>升星辅助表!AN185</f>
        <v>104</v>
      </c>
      <c r="J154" s="25">
        <f>升星辅助表!AO185</f>
        <v>0</v>
      </c>
      <c r="K154" s="25">
        <f>升星辅助表!AP185</f>
        <v>0</v>
      </c>
      <c r="L154" s="25">
        <f>升星辅助表!AQ185</f>
        <v>0</v>
      </c>
      <c r="M154" s="25">
        <f>升星辅助表!AR185</f>
        <v>103</v>
      </c>
      <c r="N154" s="25">
        <f>升星辅助表!AS185</f>
        <v>0</v>
      </c>
    </row>
    <row r="155" spans="1:14" x14ac:dyDescent="0.15">
      <c r="A155" s="5" t="str">
        <f>强化辅助表!B189</f>
        <v>8045</v>
      </c>
      <c r="B155" s="25">
        <f>升星辅助表!AV186</f>
        <v>11408</v>
      </c>
      <c r="C155" s="25">
        <f>升星辅助表!AW186*3</f>
        <v>34224</v>
      </c>
      <c r="D155" s="62">
        <f>升星辅助表!AH186</f>
        <v>75010</v>
      </c>
      <c r="E155" s="25">
        <f>升星辅助表!AG186</f>
        <v>39</v>
      </c>
      <c r="F155" s="25">
        <f>升星辅助表!AK186</f>
        <v>2178</v>
      </c>
      <c r="G155" s="25">
        <f>升星辅助表!AL186</f>
        <v>0</v>
      </c>
      <c r="H155" s="25">
        <f>升星辅助表!AM186</f>
        <v>0</v>
      </c>
      <c r="I155" s="25">
        <f>升星辅助表!AN186</f>
        <v>208</v>
      </c>
      <c r="J155" s="25">
        <f>升星辅助表!AO186</f>
        <v>174</v>
      </c>
      <c r="K155" s="25">
        <f>升星辅助表!AP186</f>
        <v>62</v>
      </c>
      <c r="L155" s="25">
        <f>升星辅助表!AQ186</f>
        <v>0</v>
      </c>
      <c r="M155" s="25">
        <f>升星辅助表!AR186</f>
        <v>0</v>
      </c>
      <c r="N155" s="25">
        <f>升星辅助表!AS186</f>
        <v>0</v>
      </c>
    </row>
    <row r="156" spans="1:14" x14ac:dyDescent="0.15">
      <c r="A156" s="5" t="str">
        <f>强化辅助表!B190</f>
        <v>8044</v>
      </c>
      <c r="B156" s="25">
        <f>升星辅助表!AV187</f>
        <v>18687</v>
      </c>
      <c r="C156" s="25">
        <f>升星辅助表!AW187*3</f>
        <v>56061</v>
      </c>
      <c r="D156" s="62">
        <f>升星辅助表!AH187</f>
        <v>74010</v>
      </c>
      <c r="E156" s="25">
        <f>升星辅助表!AG187</f>
        <v>63</v>
      </c>
      <c r="F156" s="25">
        <f>升星辅助表!AK187</f>
        <v>4355</v>
      </c>
      <c r="G156" s="25">
        <f>升星辅助表!AL187</f>
        <v>133</v>
      </c>
      <c r="H156" s="25">
        <f>升星辅助表!AM187</f>
        <v>48</v>
      </c>
      <c r="I156" s="25">
        <f>升星辅助表!AN187</f>
        <v>0</v>
      </c>
      <c r="J156" s="25">
        <f>升星辅助表!AO187</f>
        <v>0</v>
      </c>
      <c r="K156" s="25">
        <f>升星辅助表!AP187</f>
        <v>0</v>
      </c>
      <c r="L156" s="25">
        <f>升星辅助表!AQ187</f>
        <v>0</v>
      </c>
      <c r="M156" s="25">
        <f>升星辅助表!AR187</f>
        <v>103</v>
      </c>
      <c r="N156" s="25">
        <f>升星辅助表!AS187</f>
        <v>0</v>
      </c>
    </row>
    <row r="157" spans="1:14" x14ac:dyDescent="0.15">
      <c r="A157" s="31" t="str">
        <f>强化辅助表!B191</f>
        <v>8043</v>
      </c>
      <c r="B157" s="25">
        <f>升星辅助表!AV188</f>
        <v>12483</v>
      </c>
      <c r="C157" s="25">
        <f>升星辅助表!AW188*3</f>
        <v>37449</v>
      </c>
      <c r="D157" s="62">
        <f>升星辅助表!AH188</f>
        <v>73010</v>
      </c>
      <c r="E157" s="25">
        <f>升星辅助表!AG188</f>
        <v>42</v>
      </c>
      <c r="F157" s="25">
        <f>升星辅助表!AK188</f>
        <v>0</v>
      </c>
      <c r="G157" s="25">
        <f>升星辅助表!AL188</f>
        <v>133</v>
      </c>
      <c r="H157" s="25">
        <f>升星辅助表!AM188</f>
        <v>0</v>
      </c>
      <c r="I157" s="25">
        <f>升星辅助表!AN188</f>
        <v>104</v>
      </c>
      <c r="J157" s="25">
        <f>升星辅助表!AO188</f>
        <v>174</v>
      </c>
      <c r="K157" s="25">
        <f>升星辅助表!AP188</f>
        <v>123</v>
      </c>
      <c r="L157" s="25">
        <f>升星辅助表!AQ188</f>
        <v>0</v>
      </c>
      <c r="M157" s="25">
        <f>升星辅助表!AR188</f>
        <v>0</v>
      </c>
      <c r="N157" s="25">
        <f>升星辅助表!AS188</f>
        <v>0</v>
      </c>
    </row>
    <row r="158" spans="1:14" x14ac:dyDescent="0.15">
      <c r="A158" s="69"/>
    </row>
    <row r="159" spans="1:14" x14ac:dyDescent="0.15">
      <c r="A159" s="69"/>
    </row>
    <row r="160" spans="1:14" x14ac:dyDescent="0.15">
      <c r="A160" s="69"/>
    </row>
    <row r="161" spans="1:1" x14ac:dyDescent="0.15">
      <c r="A161" s="69"/>
    </row>
    <row r="162" spans="1:1" x14ac:dyDescent="0.15">
      <c r="A162" s="69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S332"/>
  <sheetViews>
    <sheetView workbookViewId="0">
      <selection activeCell="D18" sqref="D18"/>
    </sheetView>
  </sheetViews>
  <sheetFormatPr defaultRowHeight="13.5" x14ac:dyDescent="0.15"/>
  <cols>
    <col min="1" max="1" width="9" style="22"/>
    <col min="3" max="3" width="27.5" customWidth="1"/>
    <col min="4" max="4" width="12.75" bestFit="1" customWidth="1"/>
    <col min="5" max="5" width="10.5" bestFit="1" customWidth="1"/>
    <col min="6" max="6" width="10.5" customWidth="1"/>
    <col min="7" max="7" width="12.75" bestFit="1" customWidth="1"/>
    <col min="8" max="8" width="10.5" bestFit="1" customWidth="1"/>
    <col min="9" max="9" width="12.75" bestFit="1" customWidth="1"/>
    <col min="10" max="10" width="10.5" bestFit="1" customWidth="1"/>
    <col min="11" max="11" width="12.75" bestFit="1" customWidth="1"/>
  </cols>
  <sheetData>
    <row r="1" spans="1:19" x14ac:dyDescent="0.15">
      <c r="A1" s="1" t="s">
        <v>196</v>
      </c>
      <c r="B1" s="64" t="s">
        <v>299</v>
      </c>
      <c r="C1" s="64"/>
      <c r="D1" s="64" t="s">
        <v>197</v>
      </c>
      <c r="E1" s="64" t="s">
        <v>198</v>
      </c>
      <c r="F1" s="64"/>
      <c r="G1" s="64" t="s">
        <v>199</v>
      </c>
      <c r="H1" s="64" t="s">
        <v>200</v>
      </c>
      <c r="I1" s="64" t="s">
        <v>201</v>
      </c>
      <c r="J1" s="64" t="s">
        <v>202</v>
      </c>
      <c r="K1" s="64" t="s">
        <v>203</v>
      </c>
      <c r="L1" s="64" t="s">
        <v>204</v>
      </c>
      <c r="N1" s="86" t="s">
        <v>635</v>
      </c>
    </row>
    <row r="2" spans="1:19" x14ac:dyDescent="0.15">
      <c r="A2" s="83" t="str">
        <f>D_装备基础数据!A2</f>
        <v>10001</v>
      </c>
      <c r="B2" s="62">
        <v>0</v>
      </c>
      <c r="E2" s="87"/>
      <c r="N2">
        <f>_xlfn.NUMBERVALUE(MID(A2,3,1))</f>
        <v>0</v>
      </c>
    </row>
    <row r="3" spans="1:19" x14ac:dyDescent="0.15">
      <c r="A3" s="83" t="str">
        <f>D_装备基础数据!A3</f>
        <v>20001</v>
      </c>
      <c r="B3" s="62">
        <v>0</v>
      </c>
      <c r="E3" s="87"/>
      <c r="N3">
        <f t="shared" ref="N3:N82" si="0">_xlfn.NUMBERVALUE(MID(A3,3,1))</f>
        <v>0</v>
      </c>
    </row>
    <row r="4" spans="1:19" x14ac:dyDescent="0.15">
      <c r="A4" s="83" t="str">
        <f>D_装备基础数据!A4</f>
        <v>30001</v>
      </c>
      <c r="B4" s="62">
        <v>0</v>
      </c>
      <c r="E4" s="87"/>
      <c r="N4">
        <f t="shared" si="0"/>
        <v>0</v>
      </c>
    </row>
    <row r="5" spans="1:19" x14ac:dyDescent="0.15">
      <c r="A5" s="83" t="str">
        <f>D_装备基础数据!A5</f>
        <v>10002</v>
      </c>
      <c r="B5" s="62">
        <v>0</v>
      </c>
      <c r="E5" s="88"/>
      <c r="N5">
        <f t="shared" si="0"/>
        <v>0</v>
      </c>
      <c r="O5" s="23">
        <v>0</v>
      </c>
      <c r="P5" s="66">
        <v>70010</v>
      </c>
      <c r="Q5" s="23">
        <v>0</v>
      </c>
      <c r="R5" s="80">
        <v>70101</v>
      </c>
      <c r="S5" s="82">
        <v>85200</v>
      </c>
    </row>
    <row r="6" spans="1:19" x14ac:dyDescent="0.15">
      <c r="A6" s="83" t="str">
        <f>D_装备基础数据!A6</f>
        <v>20002</v>
      </c>
      <c r="B6" s="62">
        <v>0</v>
      </c>
      <c r="E6" s="88"/>
      <c r="N6">
        <f t="shared" si="0"/>
        <v>0</v>
      </c>
      <c r="O6" s="23">
        <v>1</v>
      </c>
      <c r="P6" s="66">
        <v>71010</v>
      </c>
      <c r="Q6" s="23">
        <v>1</v>
      </c>
      <c r="R6" s="80">
        <v>70201</v>
      </c>
      <c r="S6" s="82">
        <v>85200</v>
      </c>
    </row>
    <row r="7" spans="1:19" x14ac:dyDescent="0.15">
      <c r="A7" s="83" t="str">
        <f>D_装备基础数据!A7</f>
        <v>30002</v>
      </c>
      <c r="B7" s="62">
        <v>0</v>
      </c>
      <c r="E7" s="88"/>
      <c r="N7">
        <f t="shared" si="0"/>
        <v>0</v>
      </c>
      <c r="O7" s="23">
        <v>2</v>
      </c>
      <c r="P7" s="66">
        <v>72010</v>
      </c>
      <c r="Q7" s="23">
        <v>2</v>
      </c>
      <c r="R7" s="80">
        <v>70301</v>
      </c>
      <c r="S7" s="82">
        <v>85300</v>
      </c>
    </row>
    <row r="8" spans="1:19" x14ac:dyDescent="0.15">
      <c r="A8" s="83" t="str">
        <f>D_装备基础数据!A8</f>
        <v>51002</v>
      </c>
      <c r="B8" s="62">
        <v>0</v>
      </c>
      <c r="E8" s="88"/>
      <c r="N8">
        <f t="shared" si="0"/>
        <v>0</v>
      </c>
      <c r="O8" s="23">
        <v>3</v>
      </c>
      <c r="P8" s="66">
        <v>73010</v>
      </c>
      <c r="Q8" s="23">
        <v>3</v>
      </c>
      <c r="R8" s="80">
        <v>70301</v>
      </c>
      <c r="S8" s="82">
        <v>85400</v>
      </c>
    </row>
    <row r="9" spans="1:19" ht="14.25" thickBot="1" x14ac:dyDescent="0.2">
      <c r="A9" s="83" t="str">
        <f>D_装备基础数据!A9</f>
        <v>52002</v>
      </c>
      <c r="B9" s="62">
        <v>0</v>
      </c>
      <c r="E9" s="88"/>
      <c r="N9">
        <f t="shared" si="0"/>
        <v>0</v>
      </c>
      <c r="O9" s="23">
        <v>4</v>
      </c>
      <c r="P9" s="66">
        <v>74010</v>
      </c>
      <c r="Q9" s="23">
        <v>4</v>
      </c>
      <c r="R9" s="81">
        <v>70301</v>
      </c>
      <c r="S9" s="82">
        <v>85500</v>
      </c>
    </row>
    <row r="10" spans="1:19" ht="14.25" thickBot="1" x14ac:dyDescent="0.2">
      <c r="A10" s="83" t="str">
        <f>D_装备基础数据!A10</f>
        <v>55002</v>
      </c>
      <c r="B10" s="62">
        <v>0</v>
      </c>
      <c r="E10" s="88"/>
      <c r="N10">
        <f t="shared" si="0"/>
        <v>0</v>
      </c>
      <c r="O10" s="23">
        <v>5</v>
      </c>
      <c r="P10" s="67">
        <v>75010</v>
      </c>
      <c r="Q10" s="23"/>
      <c r="R10" s="23"/>
    </row>
    <row r="11" spans="1:19" x14ac:dyDescent="0.15">
      <c r="A11" s="83" t="str">
        <f>D_装备基础数据!A11</f>
        <v>54002</v>
      </c>
      <c r="B11" s="62">
        <v>0</v>
      </c>
      <c r="E11" s="88"/>
      <c r="N11">
        <f t="shared" si="0"/>
        <v>0</v>
      </c>
    </row>
    <row r="12" spans="1:19" x14ac:dyDescent="0.15">
      <c r="A12" s="83" t="str">
        <f>D_装备基础数据!A12</f>
        <v>53002</v>
      </c>
      <c r="B12" s="62">
        <v>0</v>
      </c>
      <c r="E12" s="88"/>
      <c r="N12">
        <f t="shared" si="0"/>
        <v>0</v>
      </c>
    </row>
    <row r="13" spans="1:19" x14ac:dyDescent="0.15">
      <c r="A13" s="83" t="str">
        <f>D_装备基础数据!A13</f>
        <v>10103</v>
      </c>
      <c r="B13" s="62">
        <v>0</v>
      </c>
      <c r="E13" s="84"/>
      <c r="N13">
        <f t="shared" si="0"/>
        <v>1</v>
      </c>
    </row>
    <row r="14" spans="1:19" x14ac:dyDescent="0.15">
      <c r="A14" s="83" t="str">
        <f>D_装备基础数据!A14</f>
        <v>20103</v>
      </c>
      <c r="B14" s="62">
        <v>0</v>
      </c>
      <c r="E14" s="84"/>
      <c r="N14">
        <f t="shared" si="0"/>
        <v>1</v>
      </c>
    </row>
    <row r="15" spans="1:19" x14ac:dyDescent="0.15">
      <c r="A15" s="83" t="str">
        <f>D_装备基础数据!A15</f>
        <v>30103</v>
      </c>
      <c r="B15" s="62">
        <v>0</v>
      </c>
      <c r="E15" s="84"/>
      <c r="N15">
        <f t="shared" si="0"/>
        <v>1</v>
      </c>
    </row>
    <row r="16" spans="1:19" x14ac:dyDescent="0.15">
      <c r="A16" s="83" t="str">
        <f>D_装备基础数据!A16</f>
        <v>51103</v>
      </c>
      <c r="B16" s="62">
        <v>0</v>
      </c>
      <c r="E16" s="84"/>
      <c r="N16">
        <f t="shared" si="0"/>
        <v>1</v>
      </c>
    </row>
    <row r="17" spans="1:14" x14ac:dyDescent="0.15">
      <c r="A17" s="83" t="str">
        <f>D_装备基础数据!A17</f>
        <v>52103</v>
      </c>
      <c r="B17" s="62">
        <v>0</v>
      </c>
      <c r="E17" s="84"/>
      <c r="N17">
        <f t="shared" si="0"/>
        <v>1</v>
      </c>
    </row>
    <row r="18" spans="1:14" x14ac:dyDescent="0.15">
      <c r="A18" s="83" t="str">
        <f>D_装备基础数据!A18</f>
        <v>55103</v>
      </c>
      <c r="B18" s="62">
        <v>0</v>
      </c>
      <c r="E18" s="84"/>
      <c r="N18">
        <f t="shared" si="0"/>
        <v>1</v>
      </c>
    </row>
    <row r="19" spans="1:14" x14ac:dyDescent="0.15">
      <c r="A19" s="83" t="str">
        <f>D_装备基础数据!A19</f>
        <v>54103</v>
      </c>
      <c r="B19" s="62">
        <v>0</v>
      </c>
      <c r="E19" s="84"/>
      <c r="N19">
        <f t="shared" si="0"/>
        <v>1</v>
      </c>
    </row>
    <row r="20" spans="1:14" x14ac:dyDescent="0.15">
      <c r="A20" s="83" t="str">
        <f>D_装备基础数据!A20</f>
        <v>53103</v>
      </c>
      <c r="B20" s="62">
        <v>0</v>
      </c>
      <c r="E20" s="84"/>
      <c r="N20">
        <f t="shared" si="0"/>
        <v>1</v>
      </c>
    </row>
    <row r="21" spans="1:14" x14ac:dyDescent="0.15">
      <c r="A21" s="83" t="str">
        <f>D_装备基础数据!A21</f>
        <v>10104</v>
      </c>
      <c r="B21" s="62">
        <v>0</v>
      </c>
      <c r="C21" t="str">
        <f>VLOOKUP(D21,[2]D_道具表!$A$2:$B$214,2,FALSE)</f>
        <v>高级装备升级石</v>
      </c>
      <c r="D21">
        <f>VLOOKUP(MID(A21,3,1)*1,$Q$5:$S$9,3,FALSE)</f>
        <v>85200</v>
      </c>
      <c r="E21">
        <f ca="1">ROUND(D_装备升级表!P21/4,0)</f>
        <v>5</v>
      </c>
      <c r="N21">
        <f t="shared" si="0"/>
        <v>1</v>
      </c>
    </row>
    <row r="22" spans="1:14" x14ac:dyDescent="0.15">
      <c r="A22" s="83" t="str">
        <f>D_装备基础数据!A22</f>
        <v>20104</v>
      </c>
      <c r="B22" s="62">
        <v>0</v>
      </c>
      <c r="C22" t="str">
        <f>VLOOKUP(D22,[2]D_道具表!$A$2:$B$214,2,FALSE)</f>
        <v>高级装备升级石</v>
      </c>
      <c r="D22">
        <f t="shared" ref="D22:D82" si="1">VLOOKUP(MID(A22,3,1)*1,$Q$5:$S$9,3,FALSE)</f>
        <v>85200</v>
      </c>
      <c r="E22">
        <f ca="1">ROUND(D_装备升级表!P22/4,0)</f>
        <v>5</v>
      </c>
      <c r="N22">
        <f t="shared" si="0"/>
        <v>1</v>
      </c>
    </row>
    <row r="23" spans="1:14" x14ac:dyDescent="0.15">
      <c r="A23" s="83" t="str">
        <f>D_装备基础数据!A23</f>
        <v>30104</v>
      </c>
      <c r="B23" s="62">
        <v>0</v>
      </c>
      <c r="C23" t="str">
        <f>VLOOKUP(D23,[2]D_道具表!$A$2:$B$214,2,FALSE)</f>
        <v>高级装备升级石</v>
      </c>
      <c r="D23">
        <f t="shared" si="1"/>
        <v>85200</v>
      </c>
      <c r="E23">
        <f ca="1">ROUND(D_装备升级表!P23/4,0)</f>
        <v>5</v>
      </c>
      <c r="N23">
        <f t="shared" si="0"/>
        <v>1</v>
      </c>
    </row>
    <row r="24" spans="1:14" x14ac:dyDescent="0.15">
      <c r="A24" s="83" t="str">
        <f>D_装备基础数据!A24</f>
        <v>51104</v>
      </c>
      <c r="B24" s="62">
        <v>0</v>
      </c>
      <c r="C24" t="str">
        <f>VLOOKUP(D24,[2]D_道具表!$A$2:$B$214,2,FALSE)</f>
        <v>高级装备升级石</v>
      </c>
      <c r="D24">
        <f t="shared" si="1"/>
        <v>85200</v>
      </c>
      <c r="E24">
        <f ca="1">ROUND(D_装备升级表!P24/4,0)</f>
        <v>4</v>
      </c>
      <c r="N24">
        <f t="shared" si="0"/>
        <v>1</v>
      </c>
    </row>
    <row r="25" spans="1:14" x14ac:dyDescent="0.15">
      <c r="A25" s="83" t="str">
        <f>D_装备基础数据!A25</f>
        <v>52104</v>
      </c>
      <c r="B25" s="62">
        <v>0</v>
      </c>
      <c r="C25" t="str">
        <f>VLOOKUP(D25,[2]D_道具表!$A$2:$B$214,2,FALSE)</f>
        <v>高级装备升级石</v>
      </c>
      <c r="D25">
        <f t="shared" si="1"/>
        <v>85200</v>
      </c>
      <c r="E25">
        <f ca="1">ROUND(D_装备升级表!P25/4,0)</f>
        <v>2</v>
      </c>
      <c r="N25">
        <f t="shared" si="0"/>
        <v>1</v>
      </c>
    </row>
    <row r="26" spans="1:14" x14ac:dyDescent="0.15">
      <c r="A26" s="83" t="str">
        <f>D_装备基础数据!A26</f>
        <v>55104</v>
      </c>
      <c r="B26" s="62">
        <v>0</v>
      </c>
      <c r="C26" t="str">
        <f>VLOOKUP(D26,[2]D_道具表!$A$2:$B$214,2,FALSE)</f>
        <v>高级装备升级石</v>
      </c>
      <c r="D26">
        <f t="shared" si="1"/>
        <v>85200</v>
      </c>
      <c r="E26">
        <f ca="1">ROUND(D_装备升级表!P26/4,0)</f>
        <v>2</v>
      </c>
      <c r="N26">
        <f t="shared" si="0"/>
        <v>1</v>
      </c>
    </row>
    <row r="27" spans="1:14" x14ac:dyDescent="0.15">
      <c r="A27" s="83" t="str">
        <f>D_装备基础数据!A27</f>
        <v>54104</v>
      </c>
      <c r="B27" s="62">
        <v>0</v>
      </c>
      <c r="C27" t="str">
        <f>VLOOKUP(D27,[2]D_道具表!$A$2:$B$214,2,FALSE)</f>
        <v>高级装备升级石</v>
      </c>
      <c r="D27">
        <f t="shared" si="1"/>
        <v>85200</v>
      </c>
      <c r="E27">
        <f ca="1">ROUND(D_装备升级表!P27/4,0)</f>
        <v>2</v>
      </c>
      <c r="N27">
        <f t="shared" si="0"/>
        <v>1</v>
      </c>
    </row>
    <row r="28" spans="1:14" x14ac:dyDescent="0.15">
      <c r="A28" s="83" t="str">
        <f>D_装备基础数据!A28</f>
        <v>53104</v>
      </c>
      <c r="B28" s="62">
        <v>0</v>
      </c>
      <c r="C28" t="str">
        <f>VLOOKUP(D28,[2]D_道具表!$A$2:$B$214,2,FALSE)</f>
        <v>高级装备升级石</v>
      </c>
      <c r="D28">
        <f t="shared" si="1"/>
        <v>85200</v>
      </c>
      <c r="E28">
        <f ca="1">ROUND(D_装备升级表!P28/4,0)</f>
        <v>3</v>
      </c>
      <c r="N28">
        <f t="shared" si="0"/>
        <v>1</v>
      </c>
    </row>
    <row r="29" spans="1:14" x14ac:dyDescent="0.15">
      <c r="A29" s="83" t="str">
        <f>D_装备基础数据!A29</f>
        <v>10205</v>
      </c>
      <c r="B29" s="62">
        <v>0</v>
      </c>
      <c r="C29" t="str">
        <f>VLOOKUP(D29,[2]D_道具表!$A$2:$B$214,2,FALSE)</f>
        <v>稀有装备升级石</v>
      </c>
      <c r="D29">
        <f t="shared" si="1"/>
        <v>85300</v>
      </c>
      <c r="E29">
        <f ca="1">ROUND(D_装备升级表!P29/4,0)</f>
        <v>3</v>
      </c>
      <c r="N29">
        <f t="shared" si="0"/>
        <v>2</v>
      </c>
    </row>
    <row r="30" spans="1:14" x14ac:dyDescent="0.15">
      <c r="A30" s="83" t="str">
        <f>D_装备基础数据!A30</f>
        <v>20205</v>
      </c>
      <c r="B30" s="62">
        <v>0</v>
      </c>
      <c r="C30" t="str">
        <f>VLOOKUP(D30,[2]D_道具表!$A$2:$B$214,2,FALSE)</f>
        <v>稀有装备升级石</v>
      </c>
      <c r="D30">
        <f t="shared" si="1"/>
        <v>85300</v>
      </c>
      <c r="E30">
        <f ca="1">ROUND(D_装备升级表!P30/4,0)</f>
        <v>3</v>
      </c>
      <c r="N30">
        <f t="shared" si="0"/>
        <v>2</v>
      </c>
    </row>
    <row r="31" spans="1:14" x14ac:dyDescent="0.15">
      <c r="A31" s="83" t="str">
        <f>D_装备基础数据!A31</f>
        <v>30205</v>
      </c>
      <c r="B31" s="62">
        <v>0</v>
      </c>
      <c r="C31" t="str">
        <f>VLOOKUP(D31,[2]D_道具表!$A$2:$B$214,2,FALSE)</f>
        <v>稀有装备升级石</v>
      </c>
      <c r="D31">
        <f t="shared" si="1"/>
        <v>85300</v>
      </c>
      <c r="E31">
        <f ca="1">ROUND(D_装备升级表!P31/4,0)</f>
        <v>3</v>
      </c>
      <c r="N31">
        <f t="shared" si="0"/>
        <v>2</v>
      </c>
    </row>
    <row r="32" spans="1:14" x14ac:dyDescent="0.15">
      <c r="A32" s="83" t="str">
        <f>D_装备基础数据!A32</f>
        <v>51205</v>
      </c>
      <c r="B32" s="62">
        <v>0</v>
      </c>
      <c r="C32" t="str">
        <f>VLOOKUP(D32,[2]D_道具表!$A$2:$B$214,2,FALSE)</f>
        <v>稀有装备升级石</v>
      </c>
      <c r="D32">
        <f t="shared" si="1"/>
        <v>85300</v>
      </c>
      <c r="E32">
        <f ca="1">ROUND(D_装备升级表!P32/4,0)</f>
        <v>3</v>
      </c>
      <c r="N32">
        <f t="shared" si="0"/>
        <v>2</v>
      </c>
    </row>
    <row r="33" spans="1:14" x14ac:dyDescent="0.15">
      <c r="A33" s="83" t="str">
        <f>D_装备基础数据!A33</f>
        <v>52205</v>
      </c>
      <c r="B33" s="62">
        <v>0</v>
      </c>
      <c r="C33" t="str">
        <f>VLOOKUP(D33,[2]D_道具表!$A$2:$B$214,2,FALSE)</f>
        <v>稀有装备升级石</v>
      </c>
      <c r="D33">
        <f t="shared" si="1"/>
        <v>85300</v>
      </c>
      <c r="E33">
        <f ca="1">ROUND(D_装备升级表!P33/4,0)</f>
        <v>1</v>
      </c>
      <c r="N33">
        <f t="shared" si="0"/>
        <v>2</v>
      </c>
    </row>
    <row r="34" spans="1:14" x14ac:dyDescent="0.15">
      <c r="A34" s="83" t="str">
        <f>D_装备基础数据!A34</f>
        <v>55205</v>
      </c>
      <c r="B34" s="62">
        <v>0</v>
      </c>
      <c r="C34" t="str">
        <f>VLOOKUP(D34,[2]D_道具表!$A$2:$B$214,2,FALSE)</f>
        <v>稀有装备升级石</v>
      </c>
      <c r="D34">
        <f t="shared" si="1"/>
        <v>85300</v>
      </c>
      <c r="E34">
        <f ca="1">ROUND(D_装备升级表!P34/4,0)</f>
        <v>1</v>
      </c>
      <c r="N34">
        <f t="shared" si="0"/>
        <v>2</v>
      </c>
    </row>
    <row r="35" spans="1:14" x14ac:dyDescent="0.15">
      <c r="A35" s="83" t="str">
        <f>D_装备基础数据!A35</f>
        <v>54205</v>
      </c>
      <c r="B35" s="62">
        <v>0</v>
      </c>
      <c r="C35" t="str">
        <f>VLOOKUP(D35,[2]D_道具表!$A$2:$B$214,2,FALSE)</f>
        <v>稀有装备升级石</v>
      </c>
      <c r="D35">
        <f t="shared" si="1"/>
        <v>85300</v>
      </c>
      <c r="E35">
        <f ca="1">ROUND(D_装备升级表!P35/4,0)</f>
        <v>1</v>
      </c>
      <c r="N35">
        <f t="shared" si="0"/>
        <v>2</v>
      </c>
    </row>
    <row r="36" spans="1:14" x14ac:dyDescent="0.15">
      <c r="A36" s="83" t="str">
        <f>D_装备基础数据!A36</f>
        <v>53205</v>
      </c>
      <c r="B36" s="62">
        <v>0</v>
      </c>
      <c r="C36" t="str">
        <f>VLOOKUP(D36,[2]D_道具表!$A$2:$B$214,2,FALSE)</f>
        <v>稀有装备升级石</v>
      </c>
      <c r="D36">
        <f t="shared" si="1"/>
        <v>85300</v>
      </c>
      <c r="E36">
        <f ca="1">ROUND(D_装备升级表!P36/4,0)</f>
        <v>2</v>
      </c>
      <c r="N36">
        <f t="shared" si="0"/>
        <v>2</v>
      </c>
    </row>
    <row r="37" spans="1:14" x14ac:dyDescent="0.15">
      <c r="A37" s="83" t="str">
        <f>D_装备基础数据!A37</f>
        <v>10306</v>
      </c>
      <c r="B37" s="62">
        <v>0</v>
      </c>
      <c r="C37" t="str">
        <f>VLOOKUP(D37,[2]D_道具表!$A$2:$B$214,2,FALSE)</f>
        <v>史诗装备升级石</v>
      </c>
      <c r="D37">
        <f t="shared" ref="D37:D44" si="2">VLOOKUP(MID(A37,3,1)*1,$Q$5:$S$9,3,FALSE)</f>
        <v>85400</v>
      </c>
      <c r="E37">
        <f ca="1">ROUND(D_装备升级表!P37/4,0)</f>
        <v>3</v>
      </c>
      <c r="N37">
        <f t="shared" ref="N37:N44" si="3">_xlfn.NUMBERVALUE(MID(A37,3,1))</f>
        <v>3</v>
      </c>
    </row>
    <row r="38" spans="1:14" x14ac:dyDescent="0.15">
      <c r="A38" s="83" t="str">
        <f>D_装备基础数据!A38</f>
        <v>20306</v>
      </c>
      <c r="B38" s="62">
        <v>0</v>
      </c>
      <c r="C38" t="str">
        <f>VLOOKUP(D38,[2]D_道具表!$A$2:$B$214,2,FALSE)</f>
        <v>史诗装备升级石</v>
      </c>
      <c r="D38">
        <f t="shared" si="2"/>
        <v>85400</v>
      </c>
      <c r="E38">
        <f ca="1">ROUND(D_装备升级表!P38/4,0)</f>
        <v>3</v>
      </c>
      <c r="N38">
        <f t="shared" si="3"/>
        <v>3</v>
      </c>
    </row>
    <row r="39" spans="1:14" x14ac:dyDescent="0.15">
      <c r="A39" s="83" t="str">
        <f>D_装备基础数据!A39</f>
        <v>30306</v>
      </c>
      <c r="B39" s="62">
        <v>0</v>
      </c>
      <c r="C39" t="str">
        <f>VLOOKUP(D39,[2]D_道具表!$A$2:$B$214,2,FALSE)</f>
        <v>史诗装备升级石</v>
      </c>
      <c r="D39">
        <f t="shared" si="2"/>
        <v>85400</v>
      </c>
      <c r="E39">
        <f ca="1">ROUND(D_装备升级表!P39/4,0)</f>
        <v>3</v>
      </c>
      <c r="N39">
        <f t="shared" si="3"/>
        <v>3</v>
      </c>
    </row>
    <row r="40" spans="1:14" x14ac:dyDescent="0.15">
      <c r="A40" s="83" t="str">
        <f>D_装备基础数据!A40</f>
        <v>51306</v>
      </c>
      <c r="B40" s="62">
        <v>0</v>
      </c>
      <c r="C40" t="str">
        <f>VLOOKUP(D40,[2]D_道具表!$A$2:$B$214,2,FALSE)</f>
        <v>史诗装备升级石</v>
      </c>
      <c r="D40">
        <f t="shared" si="2"/>
        <v>85400</v>
      </c>
      <c r="E40">
        <f ca="1">ROUND(D_装备升级表!P40/4,0)</f>
        <v>3</v>
      </c>
      <c r="N40">
        <f t="shared" si="3"/>
        <v>3</v>
      </c>
    </row>
    <row r="41" spans="1:14" x14ac:dyDescent="0.15">
      <c r="A41" s="83" t="str">
        <f>D_装备基础数据!A41</f>
        <v>52306</v>
      </c>
      <c r="B41" s="62">
        <v>0</v>
      </c>
      <c r="C41" t="str">
        <f>VLOOKUP(D41,[2]D_道具表!$A$2:$B$214,2,FALSE)</f>
        <v>史诗装备升级石</v>
      </c>
      <c r="D41">
        <f t="shared" si="2"/>
        <v>85400</v>
      </c>
      <c r="E41">
        <f ca="1">ROUND(D_装备升级表!P41/4,0)</f>
        <v>1</v>
      </c>
      <c r="N41">
        <f t="shared" si="3"/>
        <v>3</v>
      </c>
    </row>
    <row r="42" spans="1:14" x14ac:dyDescent="0.15">
      <c r="A42" s="83" t="str">
        <f>D_装备基础数据!A42</f>
        <v>55306</v>
      </c>
      <c r="B42" s="62">
        <v>0</v>
      </c>
      <c r="C42" t="str">
        <f>VLOOKUP(D42,[2]D_道具表!$A$2:$B$214,2,FALSE)</f>
        <v>史诗装备升级石</v>
      </c>
      <c r="D42">
        <f t="shared" si="2"/>
        <v>85400</v>
      </c>
      <c r="E42">
        <f ca="1">ROUND(D_装备升级表!P42/4,0)</f>
        <v>1</v>
      </c>
      <c r="N42">
        <f t="shared" si="3"/>
        <v>3</v>
      </c>
    </row>
    <row r="43" spans="1:14" x14ac:dyDescent="0.15">
      <c r="A43" s="83" t="str">
        <f>D_装备基础数据!A43</f>
        <v>54306</v>
      </c>
      <c r="B43" s="62">
        <v>0</v>
      </c>
      <c r="C43" t="str">
        <f>VLOOKUP(D43,[2]D_道具表!$A$2:$B$214,2,FALSE)</f>
        <v>史诗装备升级石</v>
      </c>
      <c r="D43">
        <f t="shared" si="2"/>
        <v>85400</v>
      </c>
      <c r="E43">
        <f ca="1">ROUND(D_装备升级表!P43/4,0)</f>
        <v>1</v>
      </c>
      <c r="N43">
        <f t="shared" si="3"/>
        <v>3</v>
      </c>
    </row>
    <row r="44" spans="1:14" x14ac:dyDescent="0.15">
      <c r="A44" s="83" t="str">
        <f>D_装备基础数据!A44</f>
        <v>53306</v>
      </c>
      <c r="B44" s="62">
        <v>0</v>
      </c>
      <c r="C44" t="str">
        <f>VLOOKUP(D44,[2]D_道具表!$A$2:$B$214,2,FALSE)</f>
        <v>史诗装备升级石</v>
      </c>
      <c r="D44">
        <f t="shared" si="2"/>
        <v>85400</v>
      </c>
      <c r="E44">
        <f ca="1">ROUND(D_装备升级表!P44/4,0)</f>
        <v>2</v>
      </c>
      <c r="N44">
        <f t="shared" si="3"/>
        <v>3</v>
      </c>
    </row>
    <row r="45" spans="1:14" x14ac:dyDescent="0.15">
      <c r="A45" s="83" t="str">
        <f>D_装备基础数据!A45</f>
        <v>10407</v>
      </c>
      <c r="B45" s="62">
        <v>0</v>
      </c>
      <c r="C45" t="str">
        <f>VLOOKUP(D45,[2]D_道具表!$A$2:$B$214,2,FALSE)</f>
        <v>传说装备升级石</v>
      </c>
      <c r="D45">
        <f t="shared" ref="D45:D52" si="4">VLOOKUP(MID(A45,3,1)*1,$Q$5:$S$9,3,FALSE)</f>
        <v>85500</v>
      </c>
      <c r="E45">
        <f ca="1">ROUND(D_装备升级表!P45/4,0)</f>
        <v>4</v>
      </c>
      <c r="N45">
        <f t="shared" ref="N45:N52" si="5">_xlfn.NUMBERVALUE(MID(A45,3,1))</f>
        <v>4</v>
      </c>
    </row>
    <row r="46" spans="1:14" x14ac:dyDescent="0.15">
      <c r="A46" s="83" t="str">
        <f>D_装备基础数据!A46</f>
        <v>20407</v>
      </c>
      <c r="B46" s="62">
        <v>0</v>
      </c>
      <c r="C46" t="str">
        <f>VLOOKUP(D46,[2]D_道具表!$A$2:$B$214,2,FALSE)</f>
        <v>传说装备升级石</v>
      </c>
      <c r="D46">
        <f t="shared" si="4"/>
        <v>85500</v>
      </c>
      <c r="E46">
        <f ca="1">ROUND(D_装备升级表!P46/4,0)</f>
        <v>4</v>
      </c>
      <c r="N46">
        <f t="shared" si="5"/>
        <v>4</v>
      </c>
    </row>
    <row r="47" spans="1:14" x14ac:dyDescent="0.15">
      <c r="A47" s="83" t="str">
        <f>D_装备基础数据!A47</f>
        <v>30407</v>
      </c>
      <c r="B47" s="62">
        <v>0</v>
      </c>
      <c r="C47" t="str">
        <f>VLOOKUP(D47,[2]D_道具表!$A$2:$B$214,2,FALSE)</f>
        <v>传说装备升级石</v>
      </c>
      <c r="D47">
        <f t="shared" si="4"/>
        <v>85500</v>
      </c>
      <c r="E47">
        <f ca="1">ROUND(D_装备升级表!P47/4,0)</f>
        <v>4</v>
      </c>
      <c r="N47">
        <f t="shared" si="5"/>
        <v>4</v>
      </c>
    </row>
    <row r="48" spans="1:14" x14ac:dyDescent="0.15">
      <c r="A48" s="83" t="str">
        <f>D_装备基础数据!A48</f>
        <v>51407</v>
      </c>
      <c r="B48" s="62">
        <v>0</v>
      </c>
      <c r="C48" t="str">
        <f>VLOOKUP(D48,[2]D_道具表!$A$2:$B$214,2,FALSE)</f>
        <v>传说装备升级石</v>
      </c>
      <c r="D48">
        <f t="shared" si="4"/>
        <v>85500</v>
      </c>
      <c r="E48">
        <f ca="1">ROUND(D_装备升级表!P48/4,0)</f>
        <v>3</v>
      </c>
      <c r="N48">
        <f t="shared" si="5"/>
        <v>4</v>
      </c>
    </row>
    <row r="49" spans="1:14" x14ac:dyDescent="0.15">
      <c r="A49" s="83" t="str">
        <f>D_装备基础数据!A49</f>
        <v>52407</v>
      </c>
      <c r="B49" s="62">
        <v>0</v>
      </c>
      <c r="C49" t="str">
        <f>VLOOKUP(D49,[2]D_道具表!$A$2:$B$214,2,FALSE)</f>
        <v>传说装备升级石</v>
      </c>
      <c r="D49">
        <f t="shared" si="4"/>
        <v>85500</v>
      </c>
      <c r="E49">
        <f ca="1">ROUND(D_装备升级表!P49/4,0)</f>
        <v>1</v>
      </c>
      <c r="N49">
        <f t="shared" si="5"/>
        <v>4</v>
      </c>
    </row>
    <row r="50" spans="1:14" x14ac:dyDescent="0.15">
      <c r="A50" s="83" t="str">
        <f>D_装备基础数据!A50</f>
        <v>55407</v>
      </c>
      <c r="B50" s="62">
        <v>0</v>
      </c>
      <c r="C50" t="str">
        <f>VLOOKUP(D50,[2]D_道具表!$A$2:$B$214,2,FALSE)</f>
        <v>传说装备升级石</v>
      </c>
      <c r="D50">
        <f t="shared" si="4"/>
        <v>85500</v>
      </c>
      <c r="E50">
        <f ca="1">ROUND(D_装备升级表!P50/4,0)</f>
        <v>2</v>
      </c>
      <c r="N50">
        <f t="shared" si="5"/>
        <v>4</v>
      </c>
    </row>
    <row r="51" spans="1:14" x14ac:dyDescent="0.15">
      <c r="A51" s="83" t="str">
        <f>D_装备基础数据!A51</f>
        <v>54407</v>
      </c>
      <c r="B51" s="62">
        <v>0</v>
      </c>
      <c r="C51" t="str">
        <f>VLOOKUP(D51,[2]D_道具表!$A$2:$B$214,2,FALSE)</f>
        <v>传说装备升级石</v>
      </c>
      <c r="D51">
        <f t="shared" si="4"/>
        <v>85500</v>
      </c>
      <c r="E51">
        <f ca="1">ROUND(D_装备升级表!P51/4,0)</f>
        <v>2</v>
      </c>
      <c r="N51">
        <f t="shared" si="5"/>
        <v>4</v>
      </c>
    </row>
    <row r="52" spans="1:14" x14ac:dyDescent="0.15">
      <c r="A52" s="83" t="str">
        <f>D_装备基础数据!A52</f>
        <v>53407</v>
      </c>
      <c r="B52" s="62">
        <v>0</v>
      </c>
      <c r="C52" t="str">
        <f>VLOOKUP(D52,[2]D_道具表!$A$2:$B$214,2,FALSE)</f>
        <v>传说装备升级石</v>
      </c>
      <c r="D52">
        <f t="shared" si="4"/>
        <v>85500</v>
      </c>
      <c r="E52">
        <f ca="1">ROUND(D_装备升级表!P52/4,0)</f>
        <v>2</v>
      </c>
      <c r="N52">
        <f t="shared" si="5"/>
        <v>4</v>
      </c>
    </row>
    <row r="53" spans="1:14" x14ac:dyDescent="0.15">
      <c r="A53" s="83" t="str">
        <f>D_装备基础数据!A53</f>
        <v>10108</v>
      </c>
      <c r="B53" s="62">
        <v>0</v>
      </c>
      <c r="C53" t="str">
        <f>VLOOKUP(D53,[2]D_道具表!$A$2:$B$214,2,FALSE)</f>
        <v>高级装备升级石</v>
      </c>
      <c r="D53">
        <f t="shared" si="1"/>
        <v>85200</v>
      </c>
      <c r="E53">
        <f ca="1">ROUND(D_装备升级表!P53/4,0)</f>
        <v>9</v>
      </c>
      <c r="N53">
        <f t="shared" si="0"/>
        <v>1</v>
      </c>
    </row>
    <row r="54" spans="1:14" x14ac:dyDescent="0.15">
      <c r="A54" s="83" t="str">
        <f>D_装备基础数据!A54</f>
        <v>20108</v>
      </c>
      <c r="B54" s="62">
        <v>0</v>
      </c>
      <c r="C54" t="str">
        <f>VLOOKUP(D54,[2]D_道具表!$A$2:$B$214,2,FALSE)</f>
        <v>高级装备升级石</v>
      </c>
      <c r="D54">
        <f t="shared" si="1"/>
        <v>85200</v>
      </c>
      <c r="E54">
        <f ca="1">ROUND(D_装备升级表!P54/4,0)</f>
        <v>9</v>
      </c>
      <c r="N54">
        <f t="shared" si="0"/>
        <v>1</v>
      </c>
    </row>
    <row r="55" spans="1:14" x14ac:dyDescent="0.15">
      <c r="A55" s="83" t="str">
        <f>D_装备基础数据!A55</f>
        <v>30108</v>
      </c>
      <c r="B55" s="62">
        <v>0</v>
      </c>
      <c r="C55" t="str">
        <f>VLOOKUP(D55,[2]D_道具表!$A$2:$B$214,2,FALSE)</f>
        <v>高级装备升级石</v>
      </c>
      <c r="D55">
        <f t="shared" si="1"/>
        <v>85200</v>
      </c>
      <c r="E55">
        <f ca="1">ROUND(D_装备升级表!P55/4,0)</f>
        <v>9</v>
      </c>
      <c r="N55">
        <f t="shared" si="0"/>
        <v>1</v>
      </c>
    </row>
    <row r="56" spans="1:14" x14ac:dyDescent="0.15">
      <c r="A56" s="83" t="str">
        <f>D_装备基础数据!A56</f>
        <v>51108</v>
      </c>
      <c r="B56" s="62">
        <v>0</v>
      </c>
      <c r="C56" t="str">
        <f>VLOOKUP(D56,[2]D_道具表!$A$2:$B$214,2,FALSE)</f>
        <v>高级装备升级石</v>
      </c>
      <c r="D56">
        <f t="shared" si="1"/>
        <v>85200</v>
      </c>
      <c r="E56">
        <f ca="1">ROUND(D_装备升级表!P56/4,0)</f>
        <v>8</v>
      </c>
      <c r="N56">
        <f t="shared" si="0"/>
        <v>1</v>
      </c>
    </row>
    <row r="57" spans="1:14" x14ac:dyDescent="0.15">
      <c r="A57" s="83" t="str">
        <f>D_装备基础数据!A57</f>
        <v>52108</v>
      </c>
      <c r="B57" s="62">
        <v>0</v>
      </c>
      <c r="C57" t="str">
        <f>VLOOKUP(D57,[2]D_道具表!$A$2:$B$214,2,FALSE)</f>
        <v>高级装备升级石</v>
      </c>
      <c r="D57">
        <f t="shared" si="1"/>
        <v>85200</v>
      </c>
      <c r="E57">
        <f ca="1">ROUND(D_装备升级表!P57/4,0)</f>
        <v>3</v>
      </c>
      <c r="N57">
        <f t="shared" si="0"/>
        <v>1</v>
      </c>
    </row>
    <row r="58" spans="1:14" x14ac:dyDescent="0.15">
      <c r="A58" s="83" t="str">
        <f>D_装备基础数据!A58</f>
        <v>55108</v>
      </c>
      <c r="B58" s="62">
        <v>0</v>
      </c>
      <c r="C58" t="str">
        <f>VLOOKUP(D58,[2]D_道具表!$A$2:$B$214,2,FALSE)</f>
        <v>高级装备升级石</v>
      </c>
      <c r="D58">
        <f t="shared" si="1"/>
        <v>85200</v>
      </c>
      <c r="E58">
        <f ca="1">ROUND(D_装备升级表!P58/4,0)</f>
        <v>4</v>
      </c>
      <c r="N58">
        <f t="shared" si="0"/>
        <v>1</v>
      </c>
    </row>
    <row r="59" spans="1:14" x14ac:dyDescent="0.15">
      <c r="A59" s="83" t="str">
        <f>D_装备基础数据!A59</f>
        <v>54108</v>
      </c>
      <c r="B59" s="62">
        <v>0</v>
      </c>
      <c r="C59" t="str">
        <f>VLOOKUP(D59,[2]D_道具表!$A$2:$B$214,2,FALSE)</f>
        <v>高级装备升级石</v>
      </c>
      <c r="D59">
        <f t="shared" si="1"/>
        <v>85200</v>
      </c>
      <c r="E59">
        <f ca="1">ROUND(D_装备升级表!P59/4,0)</f>
        <v>3</v>
      </c>
      <c r="N59">
        <f t="shared" si="0"/>
        <v>1</v>
      </c>
    </row>
    <row r="60" spans="1:14" x14ac:dyDescent="0.15">
      <c r="A60" s="83" t="str">
        <f>D_装备基础数据!A60</f>
        <v>53108</v>
      </c>
      <c r="B60" s="62">
        <v>0</v>
      </c>
      <c r="C60" t="str">
        <f>VLOOKUP(D60,[2]D_道具表!$A$2:$B$214,2,FALSE)</f>
        <v>高级装备升级石</v>
      </c>
      <c r="D60">
        <f t="shared" si="1"/>
        <v>85200</v>
      </c>
      <c r="E60">
        <f ca="1">ROUND(D_装备升级表!P60/4,0)</f>
        <v>6</v>
      </c>
      <c r="N60">
        <f t="shared" si="0"/>
        <v>1</v>
      </c>
    </row>
    <row r="61" spans="1:14" x14ac:dyDescent="0.15">
      <c r="A61" s="83" t="str">
        <f>D_装备基础数据!A61</f>
        <v>10209</v>
      </c>
      <c r="B61" s="62">
        <v>0</v>
      </c>
      <c r="C61" t="str">
        <f>VLOOKUP(D61,[2]D_道具表!$A$2:$B$214,2,FALSE)</f>
        <v>稀有装备升级石</v>
      </c>
      <c r="D61">
        <f t="shared" si="1"/>
        <v>85300</v>
      </c>
      <c r="E61">
        <f ca="1">ROUND(D_装备升级表!P61/4,0)</f>
        <v>6</v>
      </c>
      <c r="N61">
        <f t="shared" si="0"/>
        <v>2</v>
      </c>
    </row>
    <row r="62" spans="1:14" x14ac:dyDescent="0.15">
      <c r="A62" s="83" t="str">
        <f>D_装备基础数据!A62</f>
        <v>20209</v>
      </c>
      <c r="B62" s="62">
        <v>0</v>
      </c>
      <c r="C62" t="str">
        <f>VLOOKUP(D62,[2]D_道具表!$A$2:$B$214,2,FALSE)</f>
        <v>稀有装备升级石</v>
      </c>
      <c r="D62">
        <f t="shared" si="1"/>
        <v>85300</v>
      </c>
      <c r="E62">
        <f ca="1">ROUND(D_装备升级表!P62/4,0)</f>
        <v>6</v>
      </c>
      <c r="N62">
        <f t="shared" si="0"/>
        <v>2</v>
      </c>
    </row>
    <row r="63" spans="1:14" x14ac:dyDescent="0.15">
      <c r="A63" s="83" t="str">
        <f>D_装备基础数据!A63</f>
        <v>30209</v>
      </c>
      <c r="B63" s="62">
        <v>0</v>
      </c>
      <c r="C63" t="str">
        <f>VLOOKUP(D63,[2]D_道具表!$A$2:$B$214,2,FALSE)</f>
        <v>稀有装备升级石</v>
      </c>
      <c r="D63">
        <f t="shared" si="1"/>
        <v>85300</v>
      </c>
      <c r="E63">
        <f ca="1">ROUND(D_装备升级表!P63/4,0)</f>
        <v>6</v>
      </c>
      <c r="N63">
        <f t="shared" si="0"/>
        <v>2</v>
      </c>
    </row>
    <row r="64" spans="1:14" x14ac:dyDescent="0.15">
      <c r="A64" s="83" t="str">
        <f>D_装备基础数据!A64</f>
        <v>51209</v>
      </c>
      <c r="B64" s="62">
        <v>0</v>
      </c>
      <c r="C64" t="str">
        <f>VLOOKUP(D64,[2]D_道具表!$A$2:$B$214,2,FALSE)</f>
        <v>稀有装备升级石</v>
      </c>
      <c r="D64">
        <f t="shared" si="1"/>
        <v>85300</v>
      </c>
      <c r="E64">
        <f ca="1">ROUND(D_装备升级表!P64/4,0)</f>
        <v>5</v>
      </c>
      <c r="N64">
        <f t="shared" si="0"/>
        <v>2</v>
      </c>
    </row>
    <row r="65" spans="1:14" x14ac:dyDescent="0.15">
      <c r="A65" s="83" t="str">
        <f>D_装备基础数据!A65</f>
        <v>52209</v>
      </c>
      <c r="B65" s="62">
        <v>0</v>
      </c>
      <c r="C65" t="str">
        <f>VLOOKUP(D65,[2]D_道具表!$A$2:$B$214,2,FALSE)</f>
        <v>稀有装备升级石</v>
      </c>
      <c r="D65">
        <f t="shared" si="1"/>
        <v>85300</v>
      </c>
      <c r="E65">
        <f ca="1">ROUND(D_装备升级表!P65/4,0)</f>
        <v>2</v>
      </c>
      <c r="N65">
        <f t="shared" si="0"/>
        <v>2</v>
      </c>
    </row>
    <row r="66" spans="1:14" x14ac:dyDescent="0.15">
      <c r="A66" s="83" t="str">
        <f>D_装备基础数据!A66</f>
        <v>55209</v>
      </c>
      <c r="B66" s="62">
        <v>0</v>
      </c>
      <c r="C66" t="str">
        <f>VLOOKUP(D66,[2]D_道具表!$A$2:$B$214,2,FALSE)</f>
        <v>稀有装备升级石</v>
      </c>
      <c r="D66">
        <f t="shared" si="1"/>
        <v>85300</v>
      </c>
      <c r="E66">
        <f ca="1">ROUND(D_装备升级表!P66/4,0)</f>
        <v>3</v>
      </c>
      <c r="N66">
        <f t="shared" si="0"/>
        <v>2</v>
      </c>
    </row>
    <row r="67" spans="1:14" x14ac:dyDescent="0.15">
      <c r="A67" s="83" t="str">
        <f>D_装备基础数据!A67</f>
        <v>54209</v>
      </c>
      <c r="B67" s="62">
        <v>0</v>
      </c>
      <c r="C67" t="str">
        <f>VLOOKUP(D67,[2]D_道具表!$A$2:$B$214,2,FALSE)</f>
        <v>稀有装备升级石</v>
      </c>
      <c r="D67">
        <f t="shared" si="1"/>
        <v>85300</v>
      </c>
      <c r="E67">
        <f ca="1">ROUND(D_装备升级表!P67/4,0)</f>
        <v>2</v>
      </c>
      <c r="N67">
        <f t="shared" si="0"/>
        <v>2</v>
      </c>
    </row>
    <row r="68" spans="1:14" x14ac:dyDescent="0.15">
      <c r="A68" s="83" t="str">
        <f>D_装备基础数据!A68</f>
        <v>53209</v>
      </c>
      <c r="B68" s="62">
        <v>0</v>
      </c>
      <c r="C68" t="str">
        <f>VLOOKUP(D68,[2]D_道具表!$A$2:$B$214,2,FALSE)</f>
        <v>稀有装备升级石</v>
      </c>
      <c r="D68">
        <f t="shared" si="1"/>
        <v>85300</v>
      </c>
      <c r="E68">
        <f ca="1">ROUND(D_装备升级表!P68/4,0)</f>
        <v>4</v>
      </c>
      <c r="N68">
        <f t="shared" si="0"/>
        <v>2</v>
      </c>
    </row>
    <row r="69" spans="1:14" x14ac:dyDescent="0.15">
      <c r="A69" s="83" t="str">
        <f>D_装备基础数据!A69</f>
        <v>10310</v>
      </c>
      <c r="B69" s="62">
        <v>0</v>
      </c>
      <c r="C69" t="str">
        <f>VLOOKUP(D69,[2]D_道具表!$A$2:$B$214,2,FALSE)</f>
        <v>史诗装备升级石</v>
      </c>
      <c r="D69">
        <f t="shared" si="1"/>
        <v>85400</v>
      </c>
      <c r="E69">
        <f ca="1">ROUND(D_装备升级表!P69/4,0)</f>
        <v>6</v>
      </c>
      <c r="N69">
        <f t="shared" si="0"/>
        <v>3</v>
      </c>
    </row>
    <row r="70" spans="1:14" x14ac:dyDescent="0.15">
      <c r="A70" s="83" t="str">
        <f>D_装备基础数据!A70</f>
        <v>20310</v>
      </c>
      <c r="B70" s="62">
        <v>0</v>
      </c>
      <c r="C70" t="str">
        <f>VLOOKUP(D70,[2]D_道具表!$A$2:$B$214,2,FALSE)</f>
        <v>史诗装备升级石</v>
      </c>
      <c r="D70">
        <f t="shared" si="1"/>
        <v>85400</v>
      </c>
      <c r="E70">
        <f ca="1">ROUND(D_装备升级表!P70/4,0)</f>
        <v>6</v>
      </c>
      <c r="N70">
        <f t="shared" si="0"/>
        <v>3</v>
      </c>
    </row>
    <row r="71" spans="1:14" x14ac:dyDescent="0.15">
      <c r="A71" s="83" t="str">
        <f>D_装备基础数据!A71</f>
        <v>30310</v>
      </c>
      <c r="B71" s="62">
        <v>0</v>
      </c>
      <c r="C71" t="str">
        <f>VLOOKUP(D71,[2]D_道具表!$A$2:$B$214,2,FALSE)</f>
        <v>史诗装备升级石</v>
      </c>
      <c r="D71">
        <f t="shared" si="1"/>
        <v>85400</v>
      </c>
      <c r="E71">
        <f ca="1">ROUND(D_装备升级表!P71/4,0)</f>
        <v>6</v>
      </c>
      <c r="N71">
        <f t="shared" si="0"/>
        <v>3</v>
      </c>
    </row>
    <row r="72" spans="1:14" x14ac:dyDescent="0.15">
      <c r="A72" s="83" t="str">
        <f>D_装备基础数据!A72</f>
        <v>51310</v>
      </c>
      <c r="B72" s="62">
        <v>0</v>
      </c>
      <c r="C72" t="str">
        <f>VLOOKUP(D72,[2]D_道具表!$A$2:$B$214,2,FALSE)</f>
        <v>史诗装备升级石</v>
      </c>
      <c r="D72">
        <f t="shared" si="1"/>
        <v>85400</v>
      </c>
      <c r="E72">
        <f ca="1">ROUND(D_装备升级表!P72/4,0)</f>
        <v>5</v>
      </c>
      <c r="N72">
        <f t="shared" si="0"/>
        <v>3</v>
      </c>
    </row>
    <row r="73" spans="1:14" x14ac:dyDescent="0.15">
      <c r="A73" s="83" t="str">
        <f>D_装备基础数据!A73</f>
        <v>52310</v>
      </c>
      <c r="B73" s="62">
        <v>0</v>
      </c>
      <c r="C73" t="str">
        <f>VLOOKUP(D73,[2]D_道具表!$A$2:$B$214,2,FALSE)</f>
        <v>史诗装备升级石</v>
      </c>
      <c r="D73">
        <f t="shared" si="1"/>
        <v>85400</v>
      </c>
      <c r="E73">
        <f ca="1">ROUND(D_装备升级表!P73/4,0)</f>
        <v>2</v>
      </c>
      <c r="N73">
        <f t="shared" si="0"/>
        <v>3</v>
      </c>
    </row>
    <row r="74" spans="1:14" x14ac:dyDescent="0.15">
      <c r="A74" s="83" t="str">
        <f>D_装备基础数据!A74</f>
        <v>55310</v>
      </c>
      <c r="B74" s="62">
        <v>0</v>
      </c>
      <c r="C74" t="str">
        <f>VLOOKUP(D74,[2]D_道具表!$A$2:$B$214,2,FALSE)</f>
        <v>史诗装备升级石</v>
      </c>
      <c r="D74">
        <f t="shared" si="1"/>
        <v>85400</v>
      </c>
      <c r="E74">
        <f ca="1">ROUND(D_装备升级表!P74/4,0)</f>
        <v>3</v>
      </c>
      <c r="N74">
        <f t="shared" si="0"/>
        <v>3</v>
      </c>
    </row>
    <row r="75" spans="1:14" x14ac:dyDescent="0.15">
      <c r="A75" s="83" t="str">
        <f>D_装备基础数据!A75</f>
        <v>54310</v>
      </c>
      <c r="B75" s="62">
        <v>0</v>
      </c>
      <c r="C75" t="str">
        <f>VLOOKUP(D75,[2]D_道具表!$A$2:$B$214,2,FALSE)</f>
        <v>史诗装备升级石</v>
      </c>
      <c r="D75">
        <f t="shared" si="1"/>
        <v>85400</v>
      </c>
      <c r="E75">
        <f ca="1">ROUND(D_装备升级表!P75/4,0)</f>
        <v>2</v>
      </c>
      <c r="N75">
        <f t="shared" si="0"/>
        <v>3</v>
      </c>
    </row>
    <row r="76" spans="1:14" x14ac:dyDescent="0.15">
      <c r="A76" s="83" t="str">
        <f>D_装备基础数据!A76</f>
        <v>53310</v>
      </c>
      <c r="B76" s="62">
        <v>0</v>
      </c>
      <c r="C76" t="str">
        <f>VLOOKUP(D76,[2]D_道具表!$A$2:$B$214,2,FALSE)</f>
        <v>史诗装备升级石</v>
      </c>
      <c r="D76">
        <f t="shared" si="1"/>
        <v>85400</v>
      </c>
      <c r="E76">
        <f ca="1">ROUND(D_装备升级表!P76/4,0)</f>
        <v>4</v>
      </c>
      <c r="N76">
        <f t="shared" si="0"/>
        <v>3</v>
      </c>
    </row>
    <row r="77" spans="1:14" x14ac:dyDescent="0.15">
      <c r="A77" s="83" t="str">
        <f>D_装备基础数据!A77</f>
        <v>10411</v>
      </c>
      <c r="B77" s="62">
        <v>0</v>
      </c>
      <c r="C77" t="str">
        <f>VLOOKUP(D77,[2]D_道具表!$A$2:$B$214,2,FALSE)</f>
        <v>传说装备升级石</v>
      </c>
      <c r="D77">
        <f t="shared" si="1"/>
        <v>85500</v>
      </c>
      <c r="E77">
        <f ca="1">ROUND(D_装备升级表!P77/4,0)</f>
        <v>8</v>
      </c>
      <c r="N77">
        <f t="shared" si="0"/>
        <v>4</v>
      </c>
    </row>
    <row r="78" spans="1:14" x14ac:dyDescent="0.15">
      <c r="A78" s="83" t="str">
        <f>D_装备基础数据!A78</f>
        <v>20411</v>
      </c>
      <c r="B78" s="62">
        <v>0</v>
      </c>
      <c r="C78" t="str">
        <f>VLOOKUP(D78,[2]D_道具表!$A$2:$B$214,2,FALSE)</f>
        <v>传说装备升级石</v>
      </c>
      <c r="D78">
        <f t="shared" si="1"/>
        <v>85500</v>
      </c>
      <c r="E78">
        <f ca="1">ROUND(D_装备升级表!P78/4,0)</f>
        <v>8</v>
      </c>
      <c r="N78">
        <f t="shared" si="0"/>
        <v>4</v>
      </c>
    </row>
    <row r="79" spans="1:14" x14ac:dyDescent="0.15">
      <c r="A79" s="83" t="str">
        <f>D_装备基础数据!A79</f>
        <v>30411</v>
      </c>
      <c r="B79" s="62">
        <v>0</v>
      </c>
      <c r="C79" t="str">
        <f>VLOOKUP(D79,[2]D_道具表!$A$2:$B$214,2,FALSE)</f>
        <v>传说装备升级石</v>
      </c>
      <c r="D79">
        <f t="shared" si="1"/>
        <v>85500</v>
      </c>
      <c r="E79">
        <f ca="1">ROUND(D_装备升级表!P79/4,0)</f>
        <v>8</v>
      </c>
      <c r="N79">
        <f t="shared" si="0"/>
        <v>4</v>
      </c>
    </row>
    <row r="80" spans="1:14" x14ac:dyDescent="0.15">
      <c r="A80" s="83" t="str">
        <f>D_装备基础数据!A80</f>
        <v>51411</v>
      </c>
      <c r="B80" s="62">
        <v>0</v>
      </c>
      <c r="C80" t="str">
        <f>VLOOKUP(D80,[2]D_道具表!$A$2:$B$214,2,FALSE)</f>
        <v>传说装备升级石</v>
      </c>
      <c r="D80">
        <f t="shared" si="1"/>
        <v>85500</v>
      </c>
      <c r="E80">
        <f ca="1">ROUND(D_装备升级表!P80/4,0)</f>
        <v>6</v>
      </c>
      <c r="N80">
        <f t="shared" si="0"/>
        <v>4</v>
      </c>
    </row>
    <row r="81" spans="1:14" x14ac:dyDescent="0.15">
      <c r="A81" s="83" t="str">
        <f>D_装备基础数据!A81</f>
        <v>52411</v>
      </c>
      <c r="B81" s="62">
        <v>0</v>
      </c>
      <c r="C81" t="str">
        <f>VLOOKUP(D81,[2]D_道具表!$A$2:$B$214,2,FALSE)</f>
        <v>传说装备升级石</v>
      </c>
      <c r="D81">
        <f t="shared" si="1"/>
        <v>85500</v>
      </c>
      <c r="E81">
        <f ca="1">ROUND(D_装备升级表!P81/4,0)</f>
        <v>3</v>
      </c>
      <c r="N81">
        <f t="shared" si="0"/>
        <v>4</v>
      </c>
    </row>
    <row r="82" spans="1:14" x14ac:dyDescent="0.15">
      <c r="A82" s="83" t="str">
        <f>D_装备基础数据!A82</f>
        <v>55411</v>
      </c>
      <c r="B82" s="62">
        <v>0</v>
      </c>
      <c r="C82" t="str">
        <f>VLOOKUP(D82,[2]D_道具表!$A$2:$B$214,2,FALSE)</f>
        <v>传说装备升级石</v>
      </c>
      <c r="D82">
        <f t="shared" si="1"/>
        <v>85500</v>
      </c>
      <c r="E82">
        <f ca="1">ROUND(D_装备升级表!P82/4,0)</f>
        <v>3</v>
      </c>
      <c r="N82">
        <f t="shared" si="0"/>
        <v>4</v>
      </c>
    </row>
    <row r="83" spans="1:14" x14ac:dyDescent="0.15">
      <c r="A83" s="83" t="str">
        <f>D_装备基础数据!A83</f>
        <v>54411</v>
      </c>
      <c r="B83" s="62">
        <v>0</v>
      </c>
      <c r="C83" t="str">
        <f>VLOOKUP(D83,[2]D_道具表!$A$2:$B$214,2,FALSE)</f>
        <v>传说装备升级石</v>
      </c>
      <c r="D83">
        <f t="shared" ref="D83:D146" si="6">VLOOKUP(MID(A83,3,1)*1,$Q$5:$S$9,3,FALSE)</f>
        <v>85500</v>
      </c>
      <c r="E83">
        <f ca="1">ROUND(D_装备升级表!P83/4,0)</f>
        <v>4</v>
      </c>
      <c r="N83">
        <f t="shared" ref="N83:N146" si="7">_xlfn.NUMBERVALUE(MID(A83,3,1))</f>
        <v>4</v>
      </c>
    </row>
    <row r="84" spans="1:14" x14ac:dyDescent="0.15">
      <c r="A84" s="83" t="str">
        <f>D_装备基础数据!A84</f>
        <v>53411</v>
      </c>
      <c r="B84" s="62">
        <v>0</v>
      </c>
      <c r="C84" t="str">
        <f>VLOOKUP(D84,[2]D_道具表!$A$2:$B$214,2,FALSE)</f>
        <v>传说装备升级石</v>
      </c>
      <c r="D84">
        <f t="shared" si="6"/>
        <v>85500</v>
      </c>
      <c r="E84">
        <f ca="1">ROUND(D_装备升级表!P84/4,0)</f>
        <v>5</v>
      </c>
      <c r="N84">
        <f t="shared" si="7"/>
        <v>4</v>
      </c>
    </row>
    <row r="85" spans="1:14" x14ac:dyDescent="0.15">
      <c r="A85" s="83" t="str">
        <f>D_装备基础数据!A85</f>
        <v>10112</v>
      </c>
      <c r="B85" s="62">
        <v>0</v>
      </c>
      <c r="C85" t="str">
        <f>VLOOKUP(D85,[2]D_道具表!$A$2:$B$214,2,FALSE)</f>
        <v>高级装备升级石</v>
      </c>
      <c r="D85">
        <f t="shared" si="6"/>
        <v>85200</v>
      </c>
      <c r="E85">
        <f ca="1">ROUND(D_装备升级表!P85/4,0)</f>
        <v>14</v>
      </c>
      <c r="N85">
        <f t="shared" si="7"/>
        <v>1</v>
      </c>
    </row>
    <row r="86" spans="1:14" x14ac:dyDescent="0.15">
      <c r="A86" s="83" t="str">
        <f>D_装备基础数据!A86</f>
        <v>20112</v>
      </c>
      <c r="B86" s="62">
        <v>0</v>
      </c>
      <c r="C86" t="str">
        <f>VLOOKUP(D86,[2]D_道具表!$A$2:$B$214,2,FALSE)</f>
        <v>高级装备升级石</v>
      </c>
      <c r="D86">
        <f t="shared" si="6"/>
        <v>85200</v>
      </c>
      <c r="E86">
        <f ca="1">ROUND(D_装备升级表!P86/4,0)</f>
        <v>14</v>
      </c>
      <c r="N86">
        <f t="shared" si="7"/>
        <v>1</v>
      </c>
    </row>
    <row r="87" spans="1:14" x14ac:dyDescent="0.15">
      <c r="A87" s="83" t="str">
        <f>D_装备基础数据!A87</f>
        <v>30112</v>
      </c>
      <c r="B87" s="62">
        <v>0</v>
      </c>
      <c r="C87" t="str">
        <f>VLOOKUP(D87,[2]D_道具表!$A$2:$B$214,2,FALSE)</f>
        <v>高级装备升级石</v>
      </c>
      <c r="D87">
        <f t="shared" si="6"/>
        <v>85200</v>
      </c>
      <c r="E87">
        <f ca="1">ROUND(D_装备升级表!P87/4,0)</f>
        <v>14</v>
      </c>
      <c r="N87">
        <f t="shared" si="7"/>
        <v>1</v>
      </c>
    </row>
    <row r="88" spans="1:14" x14ac:dyDescent="0.15">
      <c r="A88" s="83" t="str">
        <f>D_装备基础数据!A88</f>
        <v>51112</v>
      </c>
      <c r="B88" s="62">
        <v>0</v>
      </c>
      <c r="C88" t="str">
        <f>VLOOKUP(D88,[2]D_道具表!$A$2:$B$214,2,FALSE)</f>
        <v>高级装备升级石</v>
      </c>
      <c r="D88">
        <f t="shared" si="6"/>
        <v>85200</v>
      </c>
      <c r="E88">
        <f ca="1">ROUND(D_装备升级表!P88/4,0)</f>
        <v>12</v>
      </c>
      <c r="N88">
        <f t="shared" si="7"/>
        <v>1</v>
      </c>
    </row>
    <row r="89" spans="1:14" x14ac:dyDescent="0.15">
      <c r="A89" s="83" t="str">
        <f>D_装备基础数据!A89</f>
        <v>52112</v>
      </c>
      <c r="B89" s="62">
        <v>0</v>
      </c>
      <c r="C89" t="str">
        <f>VLOOKUP(D89,[2]D_道具表!$A$2:$B$214,2,FALSE)</f>
        <v>高级装备升级石</v>
      </c>
      <c r="D89">
        <f t="shared" si="6"/>
        <v>85200</v>
      </c>
      <c r="E89">
        <f ca="1">ROUND(D_装备升级表!P89/4,0)</f>
        <v>5</v>
      </c>
      <c r="N89">
        <f t="shared" si="7"/>
        <v>1</v>
      </c>
    </row>
    <row r="90" spans="1:14" x14ac:dyDescent="0.15">
      <c r="A90" s="83" t="str">
        <f>D_装备基础数据!A90</f>
        <v>55112</v>
      </c>
      <c r="B90" s="62">
        <v>0</v>
      </c>
      <c r="C90" t="str">
        <f>VLOOKUP(D90,[2]D_道具表!$A$2:$B$214,2,FALSE)</f>
        <v>高级装备升级石</v>
      </c>
      <c r="D90">
        <f t="shared" si="6"/>
        <v>85200</v>
      </c>
      <c r="E90">
        <f ca="1">ROUND(D_装备升级表!P90/4,0)</f>
        <v>6</v>
      </c>
      <c r="N90">
        <f t="shared" si="7"/>
        <v>1</v>
      </c>
    </row>
    <row r="91" spans="1:14" x14ac:dyDescent="0.15">
      <c r="A91" s="83" t="str">
        <f>D_装备基础数据!A91</f>
        <v>54112</v>
      </c>
      <c r="B91" s="62">
        <v>0</v>
      </c>
      <c r="C91" t="str">
        <f>VLOOKUP(D91,[2]D_道具表!$A$2:$B$214,2,FALSE)</f>
        <v>高级装备升级石</v>
      </c>
      <c r="D91">
        <f t="shared" si="6"/>
        <v>85200</v>
      </c>
      <c r="E91">
        <f ca="1">ROUND(D_装备升级表!P91/4,0)</f>
        <v>5</v>
      </c>
      <c r="N91">
        <f t="shared" si="7"/>
        <v>1</v>
      </c>
    </row>
    <row r="92" spans="1:14" x14ac:dyDescent="0.15">
      <c r="A92" s="83" t="str">
        <f>D_装备基础数据!A92</f>
        <v>53112</v>
      </c>
      <c r="B92" s="62">
        <v>0</v>
      </c>
      <c r="C92" t="str">
        <f>VLOOKUP(D92,[2]D_道具表!$A$2:$B$214,2,FALSE)</f>
        <v>高级装备升级石</v>
      </c>
      <c r="D92">
        <f t="shared" si="6"/>
        <v>85200</v>
      </c>
      <c r="E92">
        <f ca="1">ROUND(D_装备升级表!P92/4,0)</f>
        <v>8</v>
      </c>
      <c r="N92">
        <f t="shared" si="7"/>
        <v>1</v>
      </c>
    </row>
    <row r="93" spans="1:14" x14ac:dyDescent="0.15">
      <c r="A93" s="83" t="str">
        <f>D_装备基础数据!A93</f>
        <v>10213</v>
      </c>
      <c r="B93" s="62">
        <v>0</v>
      </c>
      <c r="C93" t="str">
        <f>VLOOKUP(D93,[2]D_道具表!$A$2:$B$214,2,FALSE)</f>
        <v>稀有装备升级石</v>
      </c>
      <c r="D93">
        <f t="shared" si="6"/>
        <v>85300</v>
      </c>
      <c r="E93">
        <f ca="1">ROUND(D_装备升级表!P93/4,0)</f>
        <v>9</v>
      </c>
      <c r="N93">
        <f t="shared" si="7"/>
        <v>2</v>
      </c>
    </row>
    <row r="94" spans="1:14" x14ac:dyDescent="0.15">
      <c r="A94" s="83" t="str">
        <f>D_装备基础数据!A94</f>
        <v>20213</v>
      </c>
      <c r="B94" s="62">
        <v>0</v>
      </c>
      <c r="C94" t="str">
        <f>VLOOKUP(D94,[2]D_道具表!$A$2:$B$214,2,FALSE)</f>
        <v>稀有装备升级石</v>
      </c>
      <c r="D94">
        <f t="shared" si="6"/>
        <v>85300</v>
      </c>
      <c r="E94">
        <f ca="1">ROUND(D_装备升级表!P94/4,0)</f>
        <v>9</v>
      </c>
      <c r="N94">
        <f t="shared" si="7"/>
        <v>2</v>
      </c>
    </row>
    <row r="95" spans="1:14" x14ac:dyDescent="0.15">
      <c r="A95" s="83" t="str">
        <f>D_装备基础数据!A95</f>
        <v>30213</v>
      </c>
      <c r="B95" s="62">
        <v>0</v>
      </c>
      <c r="C95" t="str">
        <f>VLOOKUP(D95,[2]D_道具表!$A$2:$B$214,2,FALSE)</f>
        <v>稀有装备升级石</v>
      </c>
      <c r="D95">
        <f t="shared" si="6"/>
        <v>85300</v>
      </c>
      <c r="E95">
        <f ca="1">ROUND(D_装备升级表!P95/4,0)</f>
        <v>9</v>
      </c>
      <c r="N95">
        <f t="shared" si="7"/>
        <v>2</v>
      </c>
    </row>
    <row r="96" spans="1:14" x14ac:dyDescent="0.15">
      <c r="A96" s="83" t="str">
        <f>D_装备基础数据!A96</f>
        <v>51213</v>
      </c>
      <c r="B96" s="62">
        <v>0</v>
      </c>
      <c r="C96" t="str">
        <f>VLOOKUP(D96,[2]D_道具表!$A$2:$B$214,2,FALSE)</f>
        <v>稀有装备升级石</v>
      </c>
      <c r="D96">
        <f t="shared" si="6"/>
        <v>85300</v>
      </c>
      <c r="E96">
        <f ca="1">ROUND(D_装备升级表!P96/4,0)</f>
        <v>8</v>
      </c>
      <c r="N96">
        <f t="shared" si="7"/>
        <v>2</v>
      </c>
    </row>
    <row r="97" spans="1:14" x14ac:dyDescent="0.15">
      <c r="A97" s="83" t="str">
        <f>D_装备基础数据!A97</f>
        <v>52213</v>
      </c>
      <c r="B97" s="62">
        <v>0</v>
      </c>
      <c r="C97" t="str">
        <f>VLOOKUP(D97,[2]D_道具表!$A$2:$B$214,2,FALSE)</f>
        <v>稀有装备升级石</v>
      </c>
      <c r="D97">
        <f t="shared" si="6"/>
        <v>85300</v>
      </c>
      <c r="E97">
        <f ca="1">ROUND(D_装备升级表!P97/4,0)</f>
        <v>3</v>
      </c>
      <c r="N97">
        <f t="shared" si="7"/>
        <v>2</v>
      </c>
    </row>
    <row r="98" spans="1:14" x14ac:dyDescent="0.15">
      <c r="A98" s="83" t="str">
        <f>D_装备基础数据!A98</f>
        <v>55213</v>
      </c>
      <c r="B98" s="62">
        <v>0</v>
      </c>
      <c r="C98" t="str">
        <f>VLOOKUP(D98,[2]D_道具表!$A$2:$B$214,2,FALSE)</f>
        <v>稀有装备升级石</v>
      </c>
      <c r="D98">
        <f t="shared" si="6"/>
        <v>85300</v>
      </c>
      <c r="E98">
        <f ca="1">ROUND(D_装备升级表!P98/4,0)</f>
        <v>4</v>
      </c>
      <c r="N98">
        <f t="shared" si="7"/>
        <v>2</v>
      </c>
    </row>
    <row r="99" spans="1:14" x14ac:dyDescent="0.15">
      <c r="A99" s="83" t="str">
        <f>D_装备基础数据!A99</f>
        <v>54213</v>
      </c>
      <c r="B99" s="62">
        <v>0</v>
      </c>
      <c r="C99" t="str">
        <f>VLOOKUP(D99,[2]D_道具表!$A$2:$B$214,2,FALSE)</f>
        <v>稀有装备升级石</v>
      </c>
      <c r="D99">
        <f t="shared" si="6"/>
        <v>85300</v>
      </c>
      <c r="E99">
        <f ca="1">ROUND(D_装备升级表!P99/4,0)</f>
        <v>4</v>
      </c>
      <c r="N99">
        <f t="shared" si="7"/>
        <v>2</v>
      </c>
    </row>
    <row r="100" spans="1:14" x14ac:dyDescent="0.15">
      <c r="A100" s="83" t="str">
        <f>D_装备基础数据!A100</f>
        <v>53213</v>
      </c>
      <c r="B100" s="62">
        <v>0</v>
      </c>
      <c r="C100" t="str">
        <f>VLOOKUP(D100,[2]D_道具表!$A$2:$B$214,2,FALSE)</f>
        <v>稀有装备升级石</v>
      </c>
      <c r="D100">
        <f t="shared" si="6"/>
        <v>85300</v>
      </c>
      <c r="E100">
        <f ca="1">ROUND(D_装备升级表!P100/4,0)</f>
        <v>6</v>
      </c>
      <c r="N100">
        <f t="shared" si="7"/>
        <v>2</v>
      </c>
    </row>
    <row r="101" spans="1:14" x14ac:dyDescent="0.15">
      <c r="A101" s="83" t="str">
        <f>D_装备基础数据!A101</f>
        <v>10314</v>
      </c>
      <c r="B101" s="62">
        <v>0</v>
      </c>
      <c r="C101" t="str">
        <f>VLOOKUP(D101,[2]D_道具表!$A$2:$B$214,2,FALSE)</f>
        <v>史诗装备升级石</v>
      </c>
      <c r="D101">
        <f t="shared" si="6"/>
        <v>85400</v>
      </c>
      <c r="E101">
        <f ca="1">ROUND(D_装备升级表!P101/4,0)</f>
        <v>9</v>
      </c>
      <c r="N101">
        <f t="shared" si="7"/>
        <v>3</v>
      </c>
    </row>
    <row r="102" spans="1:14" x14ac:dyDescent="0.15">
      <c r="A102" s="83" t="str">
        <f>D_装备基础数据!A102</f>
        <v>20314</v>
      </c>
      <c r="B102" s="62">
        <v>0</v>
      </c>
      <c r="C102" t="str">
        <f>VLOOKUP(D102,[2]D_道具表!$A$2:$B$214,2,FALSE)</f>
        <v>史诗装备升级石</v>
      </c>
      <c r="D102">
        <f t="shared" si="6"/>
        <v>85400</v>
      </c>
      <c r="E102">
        <f ca="1">ROUND(D_装备升级表!P102/4,0)</f>
        <v>9</v>
      </c>
      <c r="N102">
        <f t="shared" si="7"/>
        <v>3</v>
      </c>
    </row>
    <row r="103" spans="1:14" x14ac:dyDescent="0.15">
      <c r="A103" s="83" t="str">
        <f>D_装备基础数据!A103</f>
        <v>30314</v>
      </c>
      <c r="B103" s="62">
        <v>0</v>
      </c>
      <c r="C103" t="str">
        <f>VLOOKUP(D103,[2]D_道具表!$A$2:$B$214,2,FALSE)</f>
        <v>史诗装备升级石</v>
      </c>
      <c r="D103">
        <f t="shared" si="6"/>
        <v>85400</v>
      </c>
      <c r="E103">
        <f ca="1">ROUND(D_装备升级表!P103/4,0)</f>
        <v>9</v>
      </c>
      <c r="N103">
        <f t="shared" si="7"/>
        <v>3</v>
      </c>
    </row>
    <row r="104" spans="1:14" x14ac:dyDescent="0.15">
      <c r="A104" s="83" t="str">
        <f>D_装备基础数据!A104</f>
        <v>51314</v>
      </c>
      <c r="B104" s="62">
        <v>0</v>
      </c>
      <c r="C104" t="str">
        <f>VLOOKUP(D104,[2]D_道具表!$A$2:$B$214,2,FALSE)</f>
        <v>史诗装备升级石</v>
      </c>
      <c r="D104">
        <f t="shared" si="6"/>
        <v>85400</v>
      </c>
      <c r="E104">
        <f ca="1">ROUND(D_装备升级表!P104/4,0)</f>
        <v>7</v>
      </c>
      <c r="N104">
        <f t="shared" si="7"/>
        <v>3</v>
      </c>
    </row>
    <row r="105" spans="1:14" x14ac:dyDescent="0.15">
      <c r="A105" s="83" t="str">
        <f>D_装备基础数据!A105</f>
        <v>52314</v>
      </c>
      <c r="B105" s="62">
        <v>0</v>
      </c>
      <c r="C105" t="str">
        <f>VLOOKUP(D105,[2]D_道具表!$A$2:$B$214,2,FALSE)</f>
        <v>史诗装备升级石</v>
      </c>
      <c r="D105">
        <f t="shared" si="6"/>
        <v>85400</v>
      </c>
      <c r="E105">
        <f ca="1">ROUND(D_装备升级表!P105/4,0)</f>
        <v>3</v>
      </c>
      <c r="N105">
        <f t="shared" si="7"/>
        <v>3</v>
      </c>
    </row>
    <row r="106" spans="1:14" x14ac:dyDescent="0.15">
      <c r="A106" s="83" t="str">
        <f>D_装备基础数据!A106</f>
        <v>55314</v>
      </c>
      <c r="B106" s="62">
        <v>0</v>
      </c>
      <c r="C106" t="str">
        <f>VLOOKUP(D106,[2]D_道具表!$A$2:$B$214,2,FALSE)</f>
        <v>史诗装备升级石</v>
      </c>
      <c r="D106">
        <f t="shared" si="6"/>
        <v>85400</v>
      </c>
      <c r="E106">
        <f ca="1">ROUND(D_装备升级表!P106/4,0)</f>
        <v>4</v>
      </c>
      <c r="N106">
        <f t="shared" si="7"/>
        <v>3</v>
      </c>
    </row>
    <row r="107" spans="1:14" x14ac:dyDescent="0.15">
      <c r="A107" s="83" t="str">
        <f>D_装备基础数据!A107</f>
        <v>54314</v>
      </c>
      <c r="B107" s="62">
        <v>0</v>
      </c>
      <c r="C107" t="str">
        <f>VLOOKUP(D107,[2]D_道具表!$A$2:$B$214,2,FALSE)</f>
        <v>史诗装备升级石</v>
      </c>
      <c r="D107">
        <f t="shared" si="6"/>
        <v>85400</v>
      </c>
      <c r="E107">
        <f ca="1">ROUND(D_装备升级表!P107/4,0)</f>
        <v>4</v>
      </c>
      <c r="N107">
        <f t="shared" si="7"/>
        <v>3</v>
      </c>
    </row>
    <row r="108" spans="1:14" x14ac:dyDescent="0.15">
      <c r="A108" s="83" t="str">
        <f>D_装备基础数据!A108</f>
        <v>53314</v>
      </c>
      <c r="B108" s="62">
        <v>0</v>
      </c>
      <c r="C108" t="str">
        <f>VLOOKUP(D108,[2]D_道具表!$A$2:$B$214,2,FALSE)</f>
        <v>史诗装备升级石</v>
      </c>
      <c r="D108">
        <f t="shared" si="6"/>
        <v>85400</v>
      </c>
      <c r="E108">
        <f ca="1">ROUND(D_装备升级表!P108/4,0)</f>
        <v>5</v>
      </c>
      <c r="N108">
        <f t="shared" si="7"/>
        <v>3</v>
      </c>
    </row>
    <row r="109" spans="1:14" x14ac:dyDescent="0.15">
      <c r="A109" s="83" t="str">
        <f>D_装备基础数据!A109</f>
        <v>10415</v>
      </c>
      <c r="B109" s="62">
        <v>0</v>
      </c>
      <c r="C109" t="str">
        <f>VLOOKUP(D109,[2]D_道具表!$A$2:$B$214,2,FALSE)</f>
        <v>传说装备升级石</v>
      </c>
      <c r="D109">
        <f t="shared" si="6"/>
        <v>85500</v>
      </c>
      <c r="E109">
        <f ca="1">ROUND(D_装备升级表!P109/4,0)</f>
        <v>11</v>
      </c>
      <c r="N109">
        <f t="shared" si="7"/>
        <v>4</v>
      </c>
    </row>
    <row r="110" spans="1:14" x14ac:dyDescent="0.15">
      <c r="A110" s="83" t="str">
        <f>D_装备基础数据!A110</f>
        <v>20415</v>
      </c>
      <c r="B110" s="62">
        <v>0</v>
      </c>
      <c r="C110" t="str">
        <f>VLOOKUP(D110,[2]D_道具表!$A$2:$B$214,2,FALSE)</f>
        <v>传说装备升级石</v>
      </c>
      <c r="D110">
        <f t="shared" si="6"/>
        <v>85500</v>
      </c>
      <c r="E110">
        <f ca="1">ROUND(D_装备升级表!P110/4,0)</f>
        <v>11</v>
      </c>
      <c r="N110">
        <f t="shared" si="7"/>
        <v>4</v>
      </c>
    </row>
    <row r="111" spans="1:14" x14ac:dyDescent="0.15">
      <c r="A111" s="83" t="str">
        <f>D_装备基础数据!A111</f>
        <v>30415</v>
      </c>
      <c r="B111" s="62">
        <v>0</v>
      </c>
      <c r="C111" t="str">
        <f>VLOOKUP(D111,[2]D_道具表!$A$2:$B$214,2,FALSE)</f>
        <v>传说装备升级石</v>
      </c>
      <c r="D111">
        <f t="shared" si="6"/>
        <v>85500</v>
      </c>
      <c r="E111">
        <f ca="1">ROUND(D_装备升级表!P111/4,0)</f>
        <v>11</v>
      </c>
      <c r="N111">
        <f t="shared" si="7"/>
        <v>4</v>
      </c>
    </row>
    <row r="112" spans="1:14" x14ac:dyDescent="0.15">
      <c r="A112" s="83" t="str">
        <f>D_装备基础数据!A112</f>
        <v>51415</v>
      </c>
      <c r="B112" s="62">
        <v>0</v>
      </c>
      <c r="C112" t="str">
        <f>VLOOKUP(D112,[2]D_道具表!$A$2:$B$214,2,FALSE)</f>
        <v>传说装备升级石</v>
      </c>
      <c r="D112">
        <f t="shared" si="6"/>
        <v>85500</v>
      </c>
      <c r="E112">
        <f ca="1">ROUND(D_装备升级表!P112/4,0)</f>
        <v>9</v>
      </c>
      <c r="N112">
        <f t="shared" si="7"/>
        <v>4</v>
      </c>
    </row>
    <row r="113" spans="1:14" x14ac:dyDescent="0.15">
      <c r="A113" s="83" t="str">
        <f>D_装备基础数据!A113</f>
        <v>52415</v>
      </c>
      <c r="B113" s="62">
        <v>0</v>
      </c>
      <c r="C113" t="str">
        <f>VLOOKUP(D113,[2]D_道具表!$A$2:$B$214,2,FALSE)</f>
        <v>传说装备升级石</v>
      </c>
      <c r="D113">
        <f t="shared" si="6"/>
        <v>85500</v>
      </c>
      <c r="E113">
        <f ca="1">ROUND(D_装备升级表!P113/4,0)</f>
        <v>4</v>
      </c>
      <c r="N113">
        <f t="shared" si="7"/>
        <v>4</v>
      </c>
    </row>
    <row r="114" spans="1:14" x14ac:dyDescent="0.15">
      <c r="A114" s="83" t="str">
        <f>D_装备基础数据!A114</f>
        <v>55415</v>
      </c>
      <c r="B114" s="62">
        <v>0</v>
      </c>
      <c r="C114" t="str">
        <f>VLOOKUP(D114,[2]D_道具表!$A$2:$B$214,2,FALSE)</f>
        <v>传说装备升级石</v>
      </c>
      <c r="D114">
        <f t="shared" si="6"/>
        <v>85500</v>
      </c>
      <c r="E114">
        <f ca="1">ROUND(D_装备升级表!P114/4,0)</f>
        <v>5</v>
      </c>
      <c r="N114">
        <f t="shared" si="7"/>
        <v>4</v>
      </c>
    </row>
    <row r="115" spans="1:14" x14ac:dyDescent="0.15">
      <c r="A115" s="83" t="str">
        <f>D_装备基础数据!A115</f>
        <v>54415</v>
      </c>
      <c r="B115" s="62">
        <v>0</v>
      </c>
      <c r="C115" t="str">
        <f>VLOOKUP(D115,[2]D_道具表!$A$2:$B$214,2,FALSE)</f>
        <v>传说装备升级石</v>
      </c>
      <c r="D115">
        <f t="shared" si="6"/>
        <v>85500</v>
      </c>
      <c r="E115">
        <f ca="1">ROUND(D_装备升级表!P115/4,0)</f>
        <v>5</v>
      </c>
      <c r="N115">
        <f t="shared" si="7"/>
        <v>4</v>
      </c>
    </row>
    <row r="116" spans="1:14" x14ac:dyDescent="0.15">
      <c r="A116" s="83" t="str">
        <f>D_装备基础数据!A116</f>
        <v>53415</v>
      </c>
      <c r="B116" s="62">
        <v>0</v>
      </c>
      <c r="C116" t="str">
        <f>VLOOKUP(D116,[2]D_道具表!$A$2:$B$214,2,FALSE)</f>
        <v>传说装备升级石</v>
      </c>
      <c r="D116">
        <f t="shared" si="6"/>
        <v>85500</v>
      </c>
      <c r="E116">
        <f ca="1">ROUND(D_装备升级表!P116/4,0)</f>
        <v>7</v>
      </c>
      <c r="N116">
        <f t="shared" si="7"/>
        <v>4</v>
      </c>
    </row>
    <row r="117" spans="1:14" x14ac:dyDescent="0.15">
      <c r="A117" s="83" t="str">
        <f>D_装备基础数据!A117</f>
        <v>10116</v>
      </c>
      <c r="B117" s="62">
        <v>0</v>
      </c>
      <c r="C117" t="str">
        <f>VLOOKUP(D117,[2]D_道具表!$A$2:$B$214,2,FALSE)</f>
        <v>高级装备升级石</v>
      </c>
      <c r="D117">
        <f t="shared" si="6"/>
        <v>85200</v>
      </c>
      <c r="E117">
        <f ca="1">ROUND(D_装备升级表!P117/4,0)</f>
        <v>18</v>
      </c>
      <c r="N117">
        <f t="shared" si="7"/>
        <v>1</v>
      </c>
    </row>
    <row r="118" spans="1:14" x14ac:dyDescent="0.15">
      <c r="A118" s="83" t="str">
        <f>D_装备基础数据!A118</f>
        <v>20116</v>
      </c>
      <c r="B118" s="62">
        <v>0</v>
      </c>
      <c r="C118" t="str">
        <f>VLOOKUP(D118,[2]D_道具表!$A$2:$B$214,2,FALSE)</f>
        <v>高级装备升级石</v>
      </c>
      <c r="D118">
        <f t="shared" si="6"/>
        <v>85200</v>
      </c>
      <c r="E118">
        <f ca="1">ROUND(D_装备升级表!P118/4,0)</f>
        <v>18</v>
      </c>
      <c r="N118">
        <f t="shared" si="7"/>
        <v>1</v>
      </c>
    </row>
    <row r="119" spans="1:14" x14ac:dyDescent="0.15">
      <c r="A119" s="83" t="str">
        <f>D_装备基础数据!A119</f>
        <v>30116</v>
      </c>
      <c r="B119" s="62">
        <v>0</v>
      </c>
      <c r="C119" t="str">
        <f>VLOOKUP(D119,[2]D_道具表!$A$2:$B$214,2,FALSE)</f>
        <v>高级装备升级石</v>
      </c>
      <c r="D119">
        <f t="shared" si="6"/>
        <v>85200</v>
      </c>
      <c r="E119">
        <f ca="1">ROUND(D_装备升级表!P119/4,0)</f>
        <v>18</v>
      </c>
      <c r="N119">
        <f t="shared" si="7"/>
        <v>1</v>
      </c>
    </row>
    <row r="120" spans="1:14" x14ac:dyDescent="0.15">
      <c r="A120" s="83" t="str">
        <f>D_装备基础数据!A120</f>
        <v>51116</v>
      </c>
      <c r="B120" s="62">
        <v>0</v>
      </c>
      <c r="C120" t="str">
        <f>VLOOKUP(D120,[2]D_道具表!$A$2:$B$214,2,FALSE)</f>
        <v>高级装备升级石</v>
      </c>
      <c r="D120">
        <f t="shared" si="6"/>
        <v>85200</v>
      </c>
      <c r="E120">
        <f ca="1">ROUND(D_装备升级表!P120/4,0)</f>
        <v>16</v>
      </c>
      <c r="N120">
        <f t="shared" si="7"/>
        <v>1</v>
      </c>
    </row>
    <row r="121" spans="1:14" x14ac:dyDescent="0.15">
      <c r="A121" s="83" t="str">
        <f>D_装备基础数据!A121</f>
        <v>52116</v>
      </c>
      <c r="B121" s="62">
        <v>0</v>
      </c>
      <c r="C121" t="str">
        <f>VLOOKUP(D121,[2]D_道具表!$A$2:$B$214,2,FALSE)</f>
        <v>高级装备升级石</v>
      </c>
      <c r="D121">
        <f t="shared" si="6"/>
        <v>85200</v>
      </c>
      <c r="E121">
        <f ca="1">ROUND(D_装备升级表!P121/4,0)</f>
        <v>6</v>
      </c>
      <c r="N121">
        <f t="shared" si="7"/>
        <v>1</v>
      </c>
    </row>
    <row r="122" spans="1:14" x14ac:dyDescent="0.15">
      <c r="A122" s="83" t="str">
        <f>D_装备基础数据!A122</f>
        <v>55116</v>
      </c>
      <c r="B122" s="62">
        <v>0</v>
      </c>
      <c r="C122" t="str">
        <f>VLOOKUP(D122,[2]D_道具表!$A$2:$B$214,2,FALSE)</f>
        <v>高级装备升级石</v>
      </c>
      <c r="D122">
        <f t="shared" si="6"/>
        <v>85200</v>
      </c>
      <c r="E122">
        <f ca="1">ROUND(D_装备升级表!P122/4,0)</f>
        <v>8</v>
      </c>
      <c r="N122">
        <f t="shared" si="7"/>
        <v>1</v>
      </c>
    </row>
    <row r="123" spans="1:14" x14ac:dyDescent="0.15">
      <c r="A123" s="83" t="str">
        <f>D_装备基础数据!A123</f>
        <v>54116</v>
      </c>
      <c r="B123" s="62">
        <v>0</v>
      </c>
      <c r="C123" t="str">
        <f>VLOOKUP(D123,[2]D_道具表!$A$2:$B$214,2,FALSE)</f>
        <v>高级装备升级石</v>
      </c>
      <c r="D123">
        <f t="shared" si="6"/>
        <v>85200</v>
      </c>
      <c r="E123">
        <f ca="1">ROUND(D_装备升级表!P123/4,0)</f>
        <v>6</v>
      </c>
      <c r="N123">
        <f t="shared" si="7"/>
        <v>1</v>
      </c>
    </row>
    <row r="124" spans="1:14" x14ac:dyDescent="0.15">
      <c r="A124" s="83" t="str">
        <f>D_装备基础数据!A124</f>
        <v>53116</v>
      </c>
      <c r="B124" s="62">
        <v>0</v>
      </c>
      <c r="C124" t="str">
        <f>VLOOKUP(D124,[2]D_道具表!$A$2:$B$214,2,FALSE)</f>
        <v>高级装备升级石</v>
      </c>
      <c r="D124">
        <f t="shared" si="6"/>
        <v>85200</v>
      </c>
      <c r="E124">
        <f ca="1">ROUND(D_装备升级表!P124/4,0)</f>
        <v>11</v>
      </c>
      <c r="N124">
        <f t="shared" si="7"/>
        <v>1</v>
      </c>
    </row>
    <row r="125" spans="1:14" x14ac:dyDescent="0.15">
      <c r="A125" s="83" t="str">
        <f>D_装备基础数据!A125</f>
        <v>10217</v>
      </c>
      <c r="B125" s="62">
        <v>0</v>
      </c>
      <c r="C125" t="str">
        <f>VLOOKUP(D125,[2]D_道具表!$A$2:$B$214,2,FALSE)</f>
        <v>稀有装备升级石</v>
      </c>
      <c r="D125">
        <f t="shared" si="6"/>
        <v>85300</v>
      </c>
      <c r="E125">
        <f ca="1">ROUND(D_装备升级表!P125/4,0)</f>
        <v>12</v>
      </c>
      <c r="N125">
        <f t="shared" si="7"/>
        <v>2</v>
      </c>
    </row>
    <row r="126" spans="1:14" x14ac:dyDescent="0.15">
      <c r="A126" s="83" t="str">
        <f>D_装备基础数据!A126</f>
        <v>20217</v>
      </c>
      <c r="B126" s="62">
        <v>0</v>
      </c>
      <c r="C126" t="str">
        <f>VLOOKUP(D126,[2]D_道具表!$A$2:$B$214,2,FALSE)</f>
        <v>稀有装备升级石</v>
      </c>
      <c r="D126">
        <f t="shared" si="6"/>
        <v>85300</v>
      </c>
      <c r="E126">
        <f ca="1">ROUND(D_装备升级表!P126/4,0)</f>
        <v>12</v>
      </c>
      <c r="N126">
        <f t="shared" si="7"/>
        <v>2</v>
      </c>
    </row>
    <row r="127" spans="1:14" x14ac:dyDescent="0.15">
      <c r="A127" s="83" t="str">
        <f>D_装备基础数据!A127</f>
        <v>30217</v>
      </c>
      <c r="B127" s="62">
        <v>0</v>
      </c>
      <c r="C127" t="str">
        <f>VLOOKUP(D127,[2]D_道具表!$A$2:$B$214,2,FALSE)</f>
        <v>稀有装备升级石</v>
      </c>
      <c r="D127">
        <f t="shared" si="6"/>
        <v>85300</v>
      </c>
      <c r="E127">
        <f ca="1">ROUND(D_装备升级表!P127/4,0)</f>
        <v>12</v>
      </c>
      <c r="N127">
        <f t="shared" si="7"/>
        <v>2</v>
      </c>
    </row>
    <row r="128" spans="1:14" x14ac:dyDescent="0.15">
      <c r="A128" s="83" t="str">
        <f>D_装备基础数据!A128</f>
        <v>51217</v>
      </c>
      <c r="B128" s="62">
        <v>0</v>
      </c>
      <c r="C128" t="str">
        <f>VLOOKUP(D128,[2]D_道具表!$A$2:$B$214,2,FALSE)</f>
        <v>稀有装备升级石</v>
      </c>
      <c r="D128">
        <f t="shared" si="6"/>
        <v>85300</v>
      </c>
      <c r="E128">
        <f ca="1">ROUND(D_装备升级表!P128/4,0)</f>
        <v>10</v>
      </c>
      <c r="N128">
        <f t="shared" si="7"/>
        <v>2</v>
      </c>
    </row>
    <row r="129" spans="1:14" x14ac:dyDescent="0.15">
      <c r="A129" s="83" t="str">
        <f>D_装备基础数据!A129</f>
        <v>52217</v>
      </c>
      <c r="B129" s="62">
        <v>0</v>
      </c>
      <c r="C129" t="str">
        <f>VLOOKUP(D129,[2]D_道具表!$A$2:$B$214,2,FALSE)</f>
        <v>稀有装备升级石</v>
      </c>
      <c r="D129">
        <f t="shared" si="6"/>
        <v>85300</v>
      </c>
      <c r="E129">
        <f ca="1">ROUND(D_装备升级表!P129/4,0)</f>
        <v>4</v>
      </c>
      <c r="N129">
        <f t="shared" si="7"/>
        <v>2</v>
      </c>
    </row>
    <row r="130" spans="1:14" x14ac:dyDescent="0.15">
      <c r="A130" s="83" t="str">
        <f>D_装备基础数据!A130</f>
        <v>55217</v>
      </c>
      <c r="B130" s="62">
        <v>0</v>
      </c>
      <c r="C130" t="str">
        <f>VLOOKUP(D130,[2]D_道具表!$A$2:$B$214,2,FALSE)</f>
        <v>稀有装备升级石</v>
      </c>
      <c r="D130">
        <f t="shared" si="6"/>
        <v>85300</v>
      </c>
      <c r="E130">
        <f ca="1">ROUND(D_装备升级表!P130/4,0)</f>
        <v>5</v>
      </c>
      <c r="N130">
        <f t="shared" si="7"/>
        <v>2</v>
      </c>
    </row>
    <row r="131" spans="1:14" x14ac:dyDescent="0.15">
      <c r="A131" s="83" t="str">
        <f>D_装备基础数据!A131</f>
        <v>54217</v>
      </c>
      <c r="B131" s="62">
        <v>0</v>
      </c>
      <c r="C131" t="str">
        <f>VLOOKUP(D131,[2]D_道具表!$A$2:$B$214,2,FALSE)</f>
        <v>稀有装备升级石</v>
      </c>
      <c r="D131">
        <f t="shared" si="6"/>
        <v>85300</v>
      </c>
      <c r="E131">
        <f ca="1">ROUND(D_装备升级表!P131/4,0)</f>
        <v>5</v>
      </c>
      <c r="N131">
        <f t="shared" si="7"/>
        <v>2</v>
      </c>
    </row>
    <row r="132" spans="1:14" x14ac:dyDescent="0.15">
      <c r="A132" s="83" t="str">
        <f>D_装备基础数据!A132</f>
        <v>53217</v>
      </c>
      <c r="B132" s="62">
        <v>0</v>
      </c>
      <c r="C132" t="str">
        <f>VLOOKUP(D132,[2]D_道具表!$A$2:$B$214,2,FALSE)</f>
        <v>稀有装备升级石</v>
      </c>
      <c r="D132">
        <f t="shared" si="6"/>
        <v>85300</v>
      </c>
      <c r="E132">
        <f ca="1">ROUND(D_装备升级表!P132/4,0)</f>
        <v>7</v>
      </c>
      <c r="N132">
        <f t="shared" si="7"/>
        <v>2</v>
      </c>
    </row>
    <row r="133" spans="1:14" x14ac:dyDescent="0.15">
      <c r="A133" s="83" t="str">
        <f>D_装备基础数据!A133</f>
        <v>10318</v>
      </c>
      <c r="B133" s="62">
        <v>0</v>
      </c>
      <c r="C133" t="str">
        <f>VLOOKUP(D133,[2]D_道具表!$A$2:$B$214,2,FALSE)</f>
        <v>史诗装备升级石</v>
      </c>
      <c r="D133">
        <f t="shared" si="6"/>
        <v>85400</v>
      </c>
      <c r="E133">
        <f ca="1">ROUND(D_装备升级表!P133/4,0)</f>
        <v>11</v>
      </c>
      <c r="N133">
        <f t="shared" si="7"/>
        <v>3</v>
      </c>
    </row>
    <row r="134" spans="1:14" x14ac:dyDescent="0.15">
      <c r="A134" s="83" t="str">
        <f>D_装备基础数据!A134</f>
        <v>20318</v>
      </c>
      <c r="B134" s="62">
        <v>0</v>
      </c>
      <c r="C134" t="str">
        <f>VLOOKUP(D134,[2]D_道具表!$A$2:$B$214,2,FALSE)</f>
        <v>史诗装备升级石</v>
      </c>
      <c r="D134">
        <f t="shared" si="6"/>
        <v>85400</v>
      </c>
      <c r="E134">
        <f ca="1">ROUND(D_装备升级表!P134/4,0)</f>
        <v>11</v>
      </c>
      <c r="N134">
        <f t="shared" si="7"/>
        <v>3</v>
      </c>
    </row>
    <row r="135" spans="1:14" x14ac:dyDescent="0.15">
      <c r="A135" s="83" t="str">
        <f>D_装备基础数据!A135</f>
        <v>30318</v>
      </c>
      <c r="B135" s="62">
        <v>0</v>
      </c>
      <c r="C135" t="str">
        <f>VLOOKUP(D135,[2]D_道具表!$A$2:$B$214,2,FALSE)</f>
        <v>史诗装备升级石</v>
      </c>
      <c r="D135">
        <f t="shared" si="6"/>
        <v>85400</v>
      </c>
      <c r="E135">
        <f ca="1">ROUND(D_装备升级表!P135/4,0)</f>
        <v>11</v>
      </c>
      <c r="N135">
        <f t="shared" si="7"/>
        <v>3</v>
      </c>
    </row>
    <row r="136" spans="1:14" x14ac:dyDescent="0.15">
      <c r="A136" s="83" t="str">
        <f>D_装备基础数据!A136</f>
        <v>51318</v>
      </c>
      <c r="B136" s="62">
        <v>0</v>
      </c>
      <c r="C136" t="str">
        <f>VLOOKUP(D136,[2]D_道具表!$A$2:$B$214,2,FALSE)</f>
        <v>史诗装备升级石</v>
      </c>
      <c r="D136">
        <f t="shared" si="6"/>
        <v>85400</v>
      </c>
      <c r="E136">
        <f ca="1">ROUND(D_装备升级表!P136/4,0)</f>
        <v>10</v>
      </c>
      <c r="N136">
        <f t="shared" si="7"/>
        <v>3</v>
      </c>
    </row>
    <row r="137" spans="1:14" x14ac:dyDescent="0.15">
      <c r="A137" s="83" t="str">
        <f>D_装备基础数据!A137</f>
        <v>52318</v>
      </c>
      <c r="B137" s="62">
        <v>0</v>
      </c>
      <c r="C137" t="str">
        <f>VLOOKUP(D137,[2]D_道具表!$A$2:$B$214,2,FALSE)</f>
        <v>史诗装备升级石</v>
      </c>
      <c r="D137">
        <f t="shared" si="6"/>
        <v>85400</v>
      </c>
      <c r="E137">
        <f ca="1">ROUND(D_装备升级表!P137/4,0)</f>
        <v>4</v>
      </c>
      <c r="N137">
        <f t="shared" si="7"/>
        <v>3</v>
      </c>
    </row>
    <row r="138" spans="1:14" x14ac:dyDescent="0.15">
      <c r="A138" s="83" t="str">
        <f>D_装备基础数据!A138</f>
        <v>55318</v>
      </c>
      <c r="B138" s="62">
        <v>0</v>
      </c>
      <c r="C138" t="str">
        <f>VLOOKUP(D138,[2]D_道具表!$A$2:$B$214,2,FALSE)</f>
        <v>史诗装备升级石</v>
      </c>
      <c r="D138">
        <f t="shared" si="6"/>
        <v>85400</v>
      </c>
      <c r="E138">
        <f ca="1">ROUND(D_装备升级表!P138/4,0)</f>
        <v>5</v>
      </c>
      <c r="N138">
        <f t="shared" si="7"/>
        <v>3</v>
      </c>
    </row>
    <row r="139" spans="1:14" x14ac:dyDescent="0.15">
      <c r="A139" s="83" t="str">
        <f>D_装备基础数据!A139</f>
        <v>54318</v>
      </c>
      <c r="B139" s="62">
        <v>0</v>
      </c>
      <c r="C139" t="str">
        <f>VLOOKUP(D139,[2]D_道具表!$A$2:$B$214,2,FALSE)</f>
        <v>史诗装备升级石</v>
      </c>
      <c r="D139">
        <f t="shared" si="6"/>
        <v>85400</v>
      </c>
      <c r="E139">
        <f ca="1">ROUND(D_装备升级表!P139/4,0)</f>
        <v>5</v>
      </c>
      <c r="N139">
        <f t="shared" si="7"/>
        <v>3</v>
      </c>
    </row>
    <row r="140" spans="1:14" x14ac:dyDescent="0.15">
      <c r="A140" s="83" t="str">
        <f>D_装备基础数据!A140</f>
        <v>53318</v>
      </c>
      <c r="B140" s="62">
        <v>0</v>
      </c>
      <c r="C140" t="str">
        <f>VLOOKUP(D140,[2]D_道具表!$A$2:$B$214,2,FALSE)</f>
        <v>史诗装备升级石</v>
      </c>
      <c r="D140">
        <f t="shared" si="6"/>
        <v>85400</v>
      </c>
      <c r="E140">
        <f ca="1">ROUND(D_装备升级表!P140/4,0)</f>
        <v>7</v>
      </c>
      <c r="N140">
        <f t="shared" si="7"/>
        <v>3</v>
      </c>
    </row>
    <row r="141" spans="1:14" x14ac:dyDescent="0.15">
      <c r="A141" s="83" t="str">
        <f>D_装备基础数据!A141</f>
        <v>10419</v>
      </c>
      <c r="B141" s="62">
        <v>0</v>
      </c>
      <c r="C141" t="str">
        <f>VLOOKUP(D141,[2]D_道具表!$A$2:$B$214,2,FALSE)</f>
        <v>传说装备升级石</v>
      </c>
      <c r="D141">
        <f t="shared" si="6"/>
        <v>85500</v>
      </c>
      <c r="E141">
        <f ca="1">ROUND(D_装备升级表!P141/4,0)</f>
        <v>15</v>
      </c>
      <c r="N141">
        <f t="shared" si="7"/>
        <v>4</v>
      </c>
    </row>
    <row r="142" spans="1:14" x14ac:dyDescent="0.15">
      <c r="A142" s="83" t="str">
        <f>D_装备基础数据!A142</f>
        <v>20419</v>
      </c>
      <c r="B142" s="62">
        <v>0</v>
      </c>
      <c r="C142" t="str">
        <f>VLOOKUP(D142,[2]D_道具表!$A$2:$B$214,2,FALSE)</f>
        <v>传说装备升级石</v>
      </c>
      <c r="D142">
        <f t="shared" si="6"/>
        <v>85500</v>
      </c>
      <c r="E142">
        <f ca="1">ROUND(D_装备升级表!P142/4,0)</f>
        <v>15</v>
      </c>
      <c r="N142">
        <f t="shared" si="7"/>
        <v>4</v>
      </c>
    </row>
    <row r="143" spans="1:14" x14ac:dyDescent="0.15">
      <c r="A143" s="83" t="str">
        <f>D_装备基础数据!A143</f>
        <v>30419</v>
      </c>
      <c r="B143" s="62">
        <v>0</v>
      </c>
      <c r="C143" t="str">
        <f>VLOOKUP(D143,[2]D_道具表!$A$2:$B$214,2,FALSE)</f>
        <v>传说装备升级石</v>
      </c>
      <c r="D143">
        <f t="shared" si="6"/>
        <v>85500</v>
      </c>
      <c r="E143">
        <f ca="1">ROUND(D_装备升级表!P143/4,0)</f>
        <v>15</v>
      </c>
      <c r="N143">
        <f t="shared" si="7"/>
        <v>4</v>
      </c>
    </row>
    <row r="144" spans="1:14" x14ac:dyDescent="0.15">
      <c r="A144" s="83" t="str">
        <f>D_装备基础数据!A144</f>
        <v>51419</v>
      </c>
      <c r="B144" s="62">
        <v>0</v>
      </c>
      <c r="C144" t="str">
        <f>VLOOKUP(D144,[2]D_道具表!$A$2:$B$214,2,FALSE)</f>
        <v>传说装备升级石</v>
      </c>
      <c r="D144">
        <f t="shared" si="6"/>
        <v>85500</v>
      </c>
      <c r="E144">
        <f ca="1">ROUND(D_装备升级表!P144/4,0)</f>
        <v>13</v>
      </c>
      <c r="N144">
        <f t="shared" si="7"/>
        <v>4</v>
      </c>
    </row>
    <row r="145" spans="1:14" x14ac:dyDescent="0.15">
      <c r="A145" s="83" t="str">
        <f>D_装备基础数据!A145</f>
        <v>52419</v>
      </c>
      <c r="B145" s="62">
        <v>0</v>
      </c>
      <c r="C145" t="str">
        <f>VLOOKUP(D145,[2]D_道具表!$A$2:$B$214,2,FALSE)</f>
        <v>传说装备升级石</v>
      </c>
      <c r="D145">
        <f t="shared" si="6"/>
        <v>85500</v>
      </c>
      <c r="E145">
        <f ca="1">ROUND(D_装备升级表!P145/4,0)</f>
        <v>5</v>
      </c>
      <c r="N145">
        <f t="shared" si="7"/>
        <v>4</v>
      </c>
    </row>
    <row r="146" spans="1:14" x14ac:dyDescent="0.15">
      <c r="A146" s="83" t="str">
        <f>D_装备基础数据!A146</f>
        <v>55419</v>
      </c>
      <c r="B146" s="62">
        <v>0</v>
      </c>
      <c r="C146" t="str">
        <f>VLOOKUP(D146,[2]D_道具表!$A$2:$B$214,2,FALSE)</f>
        <v>传说装备升级石</v>
      </c>
      <c r="D146">
        <f t="shared" si="6"/>
        <v>85500</v>
      </c>
      <c r="E146">
        <f ca="1">ROUND(D_装备升级表!P146/4,0)</f>
        <v>6</v>
      </c>
      <c r="N146">
        <f t="shared" si="7"/>
        <v>4</v>
      </c>
    </row>
    <row r="147" spans="1:14" x14ac:dyDescent="0.15">
      <c r="A147" s="83" t="str">
        <f>D_装备基础数据!A147</f>
        <v>54419</v>
      </c>
      <c r="B147" s="62">
        <v>0</v>
      </c>
      <c r="C147" t="str">
        <f>VLOOKUP(D147,[2]D_道具表!$A$2:$B$214,2,FALSE)</f>
        <v>传说装备升级石</v>
      </c>
      <c r="D147">
        <f t="shared" ref="D147:D210" si="8">VLOOKUP(MID(A147,3,1)*1,$Q$5:$S$9,3,FALSE)</f>
        <v>85500</v>
      </c>
      <c r="E147">
        <f ca="1">ROUND(D_装备升级表!P147/4,0)</f>
        <v>7</v>
      </c>
      <c r="N147">
        <f t="shared" ref="N147:N210" si="9">_xlfn.NUMBERVALUE(MID(A147,3,1))</f>
        <v>4</v>
      </c>
    </row>
    <row r="148" spans="1:14" x14ac:dyDescent="0.15">
      <c r="A148" s="83" t="str">
        <f>D_装备基础数据!A148</f>
        <v>53419</v>
      </c>
      <c r="B148" s="62">
        <v>0</v>
      </c>
      <c r="C148" t="str">
        <f>VLOOKUP(D148,[2]D_道具表!$A$2:$B$214,2,FALSE)</f>
        <v>传说装备升级石</v>
      </c>
      <c r="D148">
        <f t="shared" si="8"/>
        <v>85500</v>
      </c>
      <c r="E148">
        <f ca="1">ROUND(D_装备升级表!P148/4,0)</f>
        <v>9</v>
      </c>
      <c r="N148">
        <f t="shared" si="9"/>
        <v>4</v>
      </c>
    </row>
    <row r="149" spans="1:14" x14ac:dyDescent="0.15">
      <c r="A149" s="83" t="str">
        <f>D_装备基础数据!A149</f>
        <v>10120</v>
      </c>
      <c r="B149" s="62">
        <v>0</v>
      </c>
      <c r="C149" t="str">
        <f>VLOOKUP(D149,[2]D_道具表!$A$2:$B$214,2,FALSE)</f>
        <v>高级装备升级石</v>
      </c>
      <c r="D149">
        <f t="shared" si="8"/>
        <v>85200</v>
      </c>
      <c r="E149">
        <f ca="1">ROUND(D_装备升级表!P149/4,0)</f>
        <v>21</v>
      </c>
      <c r="N149">
        <f t="shared" si="9"/>
        <v>1</v>
      </c>
    </row>
    <row r="150" spans="1:14" x14ac:dyDescent="0.15">
      <c r="A150" s="83" t="str">
        <f>D_装备基础数据!A150</f>
        <v>20120</v>
      </c>
      <c r="B150" s="62">
        <v>0</v>
      </c>
      <c r="C150" t="str">
        <f>VLOOKUP(D150,[2]D_道具表!$A$2:$B$214,2,FALSE)</f>
        <v>高级装备升级石</v>
      </c>
      <c r="D150">
        <f t="shared" si="8"/>
        <v>85200</v>
      </c>
      <c r="E150">
        <f ca="1">ROUND(D_装备升级表!P150/4,0)</f>
        <v>21</v>
      </c>
      <c r="N150">
        <f t="shared" si="9"/>
        <v>1</v>
      </c>
    </row>
    <row r="151" spans="1:14" x14ac:dyDescent="0.15">
      <c r="A151" s="83" t="str">
        <f>D_装备基础数据!A151</f>
        <v>30120</v>
      </c>
      <c r="B151" s="62">
        <v>0</v>
      </c>
      <c r="C151" t="str">
        <f>VLOOKUP(D151,[2]D_道具表!$A$2:$B$214,2,FALSE)</f>
        <v>高级装备升级石</v>
      </c>
      <c r="D151">
        <f t="shared" si="8"/>
        <v>85200</v>
      </c>
      <c r="E151">
        <f ca="1">ROUND(D_装备升级表!P151/4,0)</f>
        <v>21</v>
      </c>
      <c r="N151">
        <f t="shared" si="9"/>
        <v>1</v>
      </c>
    </row>
    <row r="152" spans="1:14" x14ac:dyDescent="0.15">
      <c r="A152" s="83" t="str">
        <f>D_装备基础数据!A152</f>
        <v>51120</v>
      </c>
      <c r="B152" s="62">
        <v>0</v>
      </c>
      <c r="C152" t="str">
        <f>VLOOKUP(D152,[2]D_道具表!$A$2:$B$214,2,FALSE)</f>
        <v>高级装备升级石</v>
      </c>
      <c r="D152">
        <f t="shared" si="8"/>
        <v>85200</v>
      </c>
      <c r="E152">
        <f ca="1">ROUND(D_装备升级表!P152/4,0)</f>
        <v>18</v>
      </c>
      <c r="N152">
        <f t="shared" si="9"/>
        <v>1</v>
      </c>
    </row>
    <row r="153" spans="1:14" x14ac:dyDescent="0.15">
      <c r="A153" s="83" t="str">
        <f>D_装备基础数据!A153</f>
        <v>52120</v>
      </c>
      <c r="B153" s="62">
        <v>0</v>
      </c>
      <c r="C153" t="str">
        <f>VLOOKUP(D153,[2]D_道具表!$A$2:$B$214,2,FALSE)</f>
        <v>高级装备升级石</v>
      </c>
      <c r="D153">
        <f t="shared" si="8"/>
        <v>85200</v>
      </c>
      <c r="E153">
        <f ca="1">ROUND(D_装备升级表!P153/4,0)</f>
        <v>7</v>
      </c>
      <c r="N153">
        <f t="shared" si="9"/>
        <v>1</v>
      </c>
    </row>
    <row r="154" spans="1:14" x14ac:dyDescent="0.15">
      <c r="A154" s="83" t="str">
        <f>D_装备基础数据!A154</f>
        <v>55120</v>
      </c>
      <c r="B154" s="62">
        <v>0</v>
      </c>
      <c r="C154" t="str">
        <f>VLOOKUP(D154,[2]D_道具表!$A$2:$B$214,2,FALSE)</f>
        <v>高级装备升级石</v>
      </c>
      <c r="D154">
        <f t="shared" si="8"/>
        <v>85200</v>
      </c>
      <c r="E154">
        <f ca="1">ROUND(D_装备升级表!P154/4,0)</f>
        <v>9</v>
      </c>
      <c r="N154">
        <f t="shared" si="9"/>
        <v>1</v>
      </c>
    </row>
    <row r="155" spans="1:14" x14ac:dyDescent="0.15">
      <c r="A155" s="83" t="str">
        <f>D_装备基础数据!A155</f>
        <v>54120</v>
      </c>
      <c r="B155" s="62">
        <v>0</v>
      </c>
      <c r="C155" t="str">
        <f>VLOOKUP(D155,[2]D_道具表!$A$2:$B$214,2,FALSE)</f>
        <v>高级装备升级石</v>
      </c>
      <c r="D155">
        <f t="shared" si="8"/>
        <v>85200</v>
      </c>
      <c r="E155">
        <f ca="1">ROUND(D_装备升级表!P155/4,0)</f>
        <v>7</v>
      </c>
      <c r="N155">
        <f t="shared" si="9"/>
        <v>1</v>
      </c>
    </row>
    <row r="156" spans="1:14" x14ac:dyDescent="0.15">
      <c r="A156" s="83" t="str">
        <f>D_装备基础数据!A156</f>
        <v>53120</v>
      </c>
      <c r="B156" s="62">
        <v>0</v>
      </c>
      <c r="C156" t="str">
        <f>VLOOKUP(D156,[2]D_道具表!$A$2:$B$214,2,FALSE)</f>
        <v>高级装备升级石</v>
      </c>
      <c r="D156">
        <f t="shared" si="8"/>
        <v>85200</v>
      </c>
      <c r="E156">
        <f ca="1">ROUND(D_装备升级表!P156/4,0)</f>
        <v>13</v>
      </c>
      <c r="N156">
        <f t="shared" si="9"/>
        <v>1</v>
      </c>
    </row>
    <row r="157" spans="1:14" x14ac:dyDescent="0.15">
      <c r="A157" s="83" t="str">
        <f>D_装备基础数据!A157</f>
        <v>10221</v>
      </c>
      <c r="B157" s="62">
        <v>0</v>
      </c>
      <c r="C157" t="str">
        <f>VLOOKUP(D157,[2]D_道具表!$A$2:$B$214,2,FALSE)</f>
        <v>稀有装备升级石</v>
      </c>
      <c r="D157">
        <f t="shared" si="8"/>
        <v>85300</v>
      </c>
      <c r="E157">
        <f ca="1">ROUND(D_装备升级表!P157/4,0)</f>
        <v>14</v>
      </c>
      <c r="N157">
        <f t="shared" si="9"/>
        <v>2</v>
      </c>
    </row>
    <row r="158" spans="1:14" x14ac:dyDescent="0.15">
      <c r="A158" s="83" t="str">
        <f>D_装备基础数据!A158</f>
        <v>20221</v>
      </c>
      <c r="B158" s="62">
        <v>0</v>
      </c>
      <c r="C158" t="str">
        <f>VLOOKUP(D158,[2]D_道具表!$A$2:$B$214,2,FALSE)</f>
        <v>稀有装备升级石</v>
      </c>
      <c r="D158">
        <f t="shared" si="8"/>
        <v>85300</v>
      </c>
      <c r="E158">
        <f ca="1">ROUND(D_装备升级表!P158/4,0)</f>
        <v>14</v>
      </c>
      <c r="N158">
        <f t="shared" si="9"/>
        <v>2</v>
      </c>
    </row>
    <row r="159" spans="1:14" x14ac:dyDescent="0.15">
      <c r="A159" s="83" t="str">
        <f>D_装备基础数据!A159</f>
        <v>30221</v>
      </c>
      <c r="B159" s="62">
        <v>0</v>
      </c>
      <c r="C159" t="str">
        <f>VLOOKUP(D159,[2]D_道具表!$A$2:$B$214,2,FALSE)</f>
        <v>稀有装备升级石</v>
      </c>
      <c r="D159">
        <f t="shared" si="8"/>
        <v>85300</v>
      </c>
      <c r="E159">
        <f ca="1">ROUND(D_装备升级表!P159/4,0)</f>
        <v>14</v>
      </c>
      <c r="N159">
        <f t="shared" si="9"/>
        <v>2</v>
      </c>
    </row>
    <row r="160" spans="1:14" x14ac:dyDescent="0.15">
      <c r="A160" s="83" t="str">
        <f>D_装备基础数据!A160</f>
        <v>51221</v>
      </c>
      <c r="B160" s="62">
        <v>0</v>
      </c>
      <c r="C160" t="str">
        <f>VLOOKUP(D160,[2]D_道具表!$A$2:$B$214,2,FALSE)</f>
        <v>稀有装备升级石</v>
      </c>
      <c r="D160">
        <f t="shared" si="8"/>
        <v>85300</v>
      </c>
      <c r="E160">
        <f ca="1">ROUND(D_装备升级表!P160/4,0)</f>
        <v>12</v>
      </c>
      <c r="N160">
        <f t="shared" si="9"/>
        <v>2</v>
      </c>
    </row>
    <row r="161" spans="1:14" x14ac:dyDescent="0.15">
      <c r="A161" s="83" t="str">
        <f>D_装备基础数据!A161</f>
        <v>52221</v>
      </c>
      <c r="B161" s="62">
        <v>0</v>
      </c>
      <c r="C161" t="str">
        <f>VLOOKUP(D161,[2]D_道具表!$A$2:$B$214,2,FALSE)</f>
        <v>稀有装备升级石</v>
      </c>
      <c r="D161">
        <f t="shared" si="8"/>
        <v>85300</v>
      </c>
      <c r="E161">
        <f ca="1">ROUND(D_装备升级表!P161/4,0)</f>
        <v>5</v>
      </c>
      <c r="N161">
        <f t="shared" si="9"/>
        <v>2</v>
      </c>
    </row>
    <row r="162" spans="1:14" x14ac:dyDescent="0.15">
      <c r="A162" s="83" t="str">
        <f>D_装备基础数据!A162</f>
        <v>55221</v>
      </c>
      <c r="B162" s="62">
        <v>0</v>
      </c>
      <c r="C162" t="str">
        <f>VLOOKUP(D162,[2]D_道具表!$A$2:$B$214,2,FALSE)</f>
        <v>稀有装备升级石</v>
      </c>
      <c r="D162">
        <f t="shared" si="8"/>
        <v>85300</v>
      </c>
      <c r="E162">
        <f ca="1">ROUND(D_装备升级表!P162/4,0)</f>
        <v>6</v>
      </c>
      <c r="N162">
        <f t="shared" si="9"/>
        <v>2</v>
      </c>
    </row>
    <row r="163" spans="1:14" x14ac:dyDescent="0.15">
      <c r="A163" s="83" t="str">
        <f>D_装备基础数据!A163</f>
        <v>54221</v>
      </c>
      <c r="B163" s="62">
        <v>0</v>
      </c>
      <c r="C163" t="str">
        <f>VLOOKUP(D163,[2]D_道具表!$A$2:$B$214,2,FALSE)</f>
        <v>稀有装备升级石</v>
      </c>
      <c r="D163">
        <f t="shared" si="8"/>
        <v>85300</v>
      </c>
      <c r="E163">
        <f ca="1">ROUND(D_装备升级表!P163/4,0)</f>
        <v>5</v>
      </c>
      <c r="N163">
        <f t="shared" si="9"/>
        <v>2</v>
      </c>
    </row>
    <row r="164" spans="1:14" x14ac:dyDescent="0.15">
      <c r="A164" s="83" t="str">
        <f>D_装备基础数据!A164</f>
        <v>53221</v>
      </c>
      <c r="B164" s="62">
        <v>0</v>
      </c>
      <c r="C164" t="str">
        <f>VLOOKUP(D164,[2]D_道具表!$A$2:$B$214,2,FALSE)</f>
        <v>稀有装备升级石</v>
      </c>
      <c r="D164">
        <f t="shared" si="8"/>
        <v>85300</v>
      </c>
      <c r="E164">
        <f ca="1">ROUND(D_装备升级表!P164/4,0)</f>
        <v>9</v>
      </c>
      <c r="N164">
        <f t="shared" si="9"/>
        <v>2</v>
      </c>
    </row>
    <row r="165" spans="1:14" x14ac:dyDescent="0.15">
      <c r="A165" s="83" t="str">
        <f>D_装备基础数据!A165</f>
        <v>10322</v>
      </c>
      <c r="B165" s="62">
        <v>0</v>
      </c>
      <c r="C165" t="str">
        <f>VLOOKUP(D165,[2]D_道具表!$A$2:$B$214,2,FALSE)</f>
        <v>史诗装备升级石</v>
      </c>
      <c r="D165">
        <f t="shared" si="8"/>
        <v>85400</v>
      </c>
      <c r="E165">
        <f ca="1">ROUND(D_装备升级表!P165/4,0)</f>
        <v>13</v>
      </c>
      <c r="N165">
        <f t="shared" si="9"/>
        <v>3</v>
      </c>
    </row>
    <row r="166" spans="1:14" x14ac:dyDescent="0.15">
      <c r="A166" s="83" t="str">
        <f>D_装备基础数据!A166</f>
        <v>20322</v>
      </c>
      <c r="B166" s="62">
        <v>0</v>
      </c>
      <c r="C166" t="str">
        <f>VLOOKUP(D166,[2]D_道具表!$A$2:$B$214,2,FALSE)</f>
        <v>史诗装备升级石</v>
      </c>
      <c r="D166">
        <f t="shared" si="8"/>
        <v>85400</v>
      </c>
      <c r="E166">
        <f ca="1">ROUND(D_装备升级表!P166/4,0)</f>
        <v>13</v>
      </c>
      <c r="N166">
        <f t="shared" si="9"/>
        <v>3</v>
      </c>
    </row>
    <row r="167" spans="1:14" x14ac:dyDescent="0.15">
      <c r="A167" s="83" t="str">
        <f>D_装备基础数据!A167</f>
        <v>30322</v>
      </c>
      <c r="B167" s="62">
        <v>0</v>
      </c>
      <c r="C167" t="str">
        <f>VLOOKUP(D167,[2]D_道具表!$A$2:$B$214,2,FALSE)</f>
        <v>史诗装备升级石</v>
      </c>
      <c r="D167">
        <f t="shared" si="8"/>
        <v>85400</v>
      </c>
      <c r="E167">
        <f ca="1">ROUND(D_装备升级表!P167/4,0)</f>
        <v>13</v>
      </c>
      <c r="N167">
        <f t="shared" si="9"/>
        <v>3</v>
      </c>
    </row>
    <row r="168" spans="1:14" x14ac:dyDescent="0.15">
      <c r="A168" s="83" t="str">
        <f>D_装备基础数据!A168</f>
        <v>51322</v>
      </c>
      <c r="B168" s="62">
        <v>0</v>
      </c>
      <c r="C168" t="str">
        <f>VLOOKUP(D168,[2]D_道具表!$A$2:$B$214,2,FALSE)</f>
        <v>史诗装备升级石</v>
      </c>
      <c r="D168">
        <f t="shared" si="8"/>
        <v>85400</v>
      </c>
      <c r="E168">
        <f ca="1">ROUND(D_装备升级表!P168/4,0)</f>
        <v>11</v>
      </c>
      <c r="N168">
        <f t="shared" si="9"/>
        <v>3</v>
      </c>
    </row>
    <row r="169" spans="1:14" x14ac:dyDescent="0.15">
      <c r="A169" s="83" t="str">
        <f>D_装备基础数据!A169</f>
        <v>52322</v>
      </c>
      <c r="B169" s="62">
        <v>0</v>
      </c>
      <c r="C169" t="str">
        <f>VLOOKUP(D169,[2]D_道具表!$A$2:$B$214,2,FALSE)</f>
        <v>史诗装备升级石</v>
      </c>
      <c r="D169">
        <f t="shared" si="8"/>
        <v>85400</v>
      </c>
      <c r="E169">
        <f ca="1">ROUND(D_装备升级表!P169/4,0)</f>
        <v>5</v>
      </c>
      <c r="N169">
        <f t="shared" si="9"/>
        <v>3</v>
      </c>
    </row>
    <row r="170" spans="1:14" x14ac:dyDescent="0.15">
      <c r="A170" s="83" t="str">
        <f>D_装备基础数据!A170</f>
        <v>55322</v>
      </c>
      <c r="B170" s="62">
        <v>0</v>
      </c>
      <c r="C170" t="str">
        <f>VLOOKUP(D170,[2]D_道具表!$A$2:$B$214,2,FALSE)</f>
        <v>史诗装备升级石</v>
      </c>
      <c r="D170">
        <f t="shared" si="8"/>
        <v>85400</v>
      </c>
      <c r="E170">
        <f ca="1">ROUND(D_装备升级表!P170/4,0)</f>
        <v>6</v>
      </c>
      <c r="N170">
        <f t="shared" si="9"/>
        <v>3</v>
      </c>
    </row>
    <row r="171" spans="1:14" x14ac:dyDescent="0.15">
      <c r="A171" s="83" t="str">
        <f>D_装备基础数据!A171</f>
        <v>54322</v>
      </c>
      <c r="B171" s="62">
        <v>0</v>
      </c>
      <c r="C171" t="str">
        <f>VLOOKUP(D171,[2]D_道具表!$A$2:$B$214,2,FALSE)</f>
        <v>史诗装备升级石</v>
      </c>
      <c r="D171">
        <f t="shared" si="8"/>
        <v>85400</v>
      </c>
      <c r="E171">
        <f ca="1">ROUND(D_装备升级表!P171/4,0)</f>
        <v>5</v>
      </c>
      <c r="N171">
        <f t="shared" si="9"/>
        <v>3</v>
      </c>
    </row>
    <row r="172" spans="1:14" x14ac:dyDescent="0.15">
      <c r="A172" s="83" t="str">
        <f>D_装备基础数据!A172</f>
        <v>53322</v>
      </c>
      <c r="B172" s="62">
        <v>0</v>
      </c>
      <c r="C172" t="str">
        <f>VLOOKUP(D172,[2]D_道具表!$A$2:$B$214,2,FALSE)</f>
        <v>史诗装备升级石</v>
      </c>
      <c r="D172">
        <f t="shared" si="8"/>
        <v>85400</v>
      </c>
      <c r="E172">
        <f ca="1">ROUND(D_装备升级表!P172/4,0)</f>
        <v>8</v>
      </c>
      <c r="N172">
        <f t="shared" si="9"/>
        <v>3</v>
      </c>
    </row>
    <row r="173" spans="1:14" x14ac:dyDescent="0.15">
      <c r="A173" s="83" t="str">
        <f>D_装备基础数据!A173</f>
        <v>10423</v>
      </c>
      <c r="B173" s="62">
        <v>0</v>
      </c>
      <c r="C173" t="str">
        <f>VLOOKUP(D173,[2]D_道具表!$A$2:$B$214,2,FALSE)</f>
        <v>传说装备升级石</v>
      </c>
      <c r="D173">
        <f t="shared" si="8"/>
        <v>85500</v>
      </c>
      <c r="E173">
        <f ca="1">ROUND(D_装备升级表!P173/4,0)</f>
        <v>18</v>
      </c>
      <c r="N173">
        <f t="shared" si="9"/>
        <v>4</v>
      </c>
    </row>
    <row r="174" spans="1:14" x14ac:dyDescent="0.15">
      <c r="A174" s="83" t="str">
        <f>D_装备基础数据!A174</f>
        <v>20423</v>
      </c>
      <c r="B174" s="62">
        <v>0</v>
      </c>
      <c r="C174" t="str">
        <f>VLOOKUP(D174,[2]D_道具表!$A$2:$B$214,2,FALSE)</f>
        <v>传说装备升级石</v>
      </c>
      <c r="D174">
        <f t="shared" si="8"/>
        <v>85500</v>
      </c>
      <c r="E174">
        <f ca="1">ROUND(D_装备升级表!P174/4,0)</f>
        <v>18</v>
      </c>
      <c r="N174">
        <f t="shared" si="9"/>
        <v>4</v>
      </c>
    </row>
    <row r="175" spans="1:14" x14ac:dyDescent="0.15">
      <c r="A175" s="83" t="str">
        <f>D_装备基础数据!A175</f>
        <v>30423</v>
      </c>
      <c r="B175" s="62">
        <v>0</v>
      </c>
      <c r="C175" t="str">
        <f>VLOOKUP(D175,[2]D_道具表!$A$2:$B$214,2,FALSE)</f>
        <v>传说装备升级石</v>
      </c>
      <c r="D175">
        <f t="shared" si="8"/>
        <v>85500</v>
      </c>
      <c r="E175">
        <f ca="1">ROUND(D_装备升级表!P175/4,0)</f>
        <v>18</v>
      </c>
      <c r="N175">
        <f t="shared" si="9"/>
        <v>4</v>
      </c>
    </row>
    <row r="176" spans="1:14" x14ac:dyDescent="0.15">
      <c r="A176" s="83" t="str">
        <f>D_装备基础数据!A176</f>
        <v>51423</v>
      </c>
      <c r="B176" s="62">
        <v>0</v>
      </c>
      <c r="C176" t="str">
        <f>VLOOKUP(D176,[2]D_道具表!$A$2:$B$214,2,FALSE)</f>
        <v>传说装备升级石</v>
      </c>
      <c r="D176">
        <f t="shared" si="8"/>
        <v>85500</v>
      </c>
      <c r="E176">
        <f ca="1">ROUND(D_装备升级表!P176/4,0)</f>
        <v>15</v>
      </c>
      <c r="N176">
        <f t="shared" si="9"/>
        <v>4</v>
      </c>
    </row>
    <row r="177" spans="1:14" x14ac:dyDescent="0.15">
      <c r="A177" s="83" t="str">
        <f>D_装备基础数据!A177</f>
        <v>52423</v>
      </c>
      <c r="B177" s="62">
        <v>0</v>
      </c>
      <c r="C177" t="str">
        <f>VLOOKUP(D177,[2]D_道具表!$A$2:$B$214,2,FALSE)</f>
        <v>传说装备升级石</v>
      </c>
      <c r="D177">
        <f t="shared" si="8"/>
        <v>85500</v>
      </c>
      <c r="E177">
        <f ca="1">ROUND(D_装备升级表!P177/4,0)</f>
        <v>6</v>
      </c>
      <c r="N177">
        <f t="shared" si="9"/>
        <v>4</v>
      </c>
    </row>
    <row r="178" spans="1:14" x14ac:dyDescent="0.15">
      <c r="A178" s="83" t="str">
        <f>D_装备基础数据!A178</f>
        <v>55423</v>
      </c>
      <c r="B178" s="62">
        <v>0</v>
      </c>
      <c r="C178" t="str">
        <f>VLOOKUP(D178,[2]D_道具表!$A$2:$B$214,2,FALSE)</f>
        <v>传说装备升级石</v>
      </c>
      <c r="D178">
        <f t="shared" si="8"/>
        <v>85500</v>
      </c>
      <c r="E178">
        <f ca="1">ROUND(D_装备升级表!P178/4,0)</f>
        <v>7</v>
      </c>
      <c r="N178">
        <f t="shared" si="9"/>
        <v>4</v>
      </c>
    </row>
    <row r="179" spans="1:14" x14ac:dyDescent="0.15">
      <c r="A179" s="83" t="str">
        <f>D_装备基础数据!A179</f>
        <v>54423</v>
      </c>
      <c r="B179" s="62">
        <v>0</v>
      </c>
      <c r="C179" t="str">
        <f>VLOOKUP(D179,[2]D_道具表!$A$2:$B$214,2,FALSE)</f>
        <v>传说装备升级石</v>
      </c>
      <c r="D179">
        <f t="shared" si="8"/>
        <v>85500</v>
      </c>
      <c r="E179">
        <f ca="1">ROUND(D_装备升级表!P179/4,0)</f>
        <v>8</v>
      </c>
      <c r="N179">
        <f t="shared" si="9"/>
        <v>4</v>
      </c>
    </row>
    <row r="180" spans="1:14" x14ac:dyDescent="0.15">
      <c r="A180" s="83" t="str">
        <f>D_装备基础数据!A180</f>
        <v>53423</v>
      </c>
      <c r="B180" s="62">
        <v>0</v>
      </c>
      <c r="C180" t="str">
        <f>VLOOKUP(D180,[2]D_道具表!$A$2:$B$214,2,FALSE)</f>
        <v>传说装备升级石</v>
      </c>
      <c r="D180">
        <f t="shared" si="8"/>
        <v>85500</v>
      </c>
      <c r="E180">
        <f ca="1">ROUND(D_装备升级表!P180/4,0)</f>
        <v>10</v>
      </c>
      <c r="N180">
        <f t="shared" si="9"/>
        <v>4</v>
      </c>
    </row>
    <row r="181" spans="1:14" x14ac:dyDescent="0.15">
      <c r="A181" s="83" t="str">
        <f>D_装备基础数据!A181</f>
        <v>10124</v>
      </c>
      <c r="B181" s="62">
        <v>0</v>
      </c>
      <c r="C181" t="str">
        <f>VLOOKUP(D181,[2]D_道具表!$A$2:$B$214,2,FALSE)</f>
        <v>高级装备升级石</v>
      </c>
      <c r="D181">
        <f t="shared" si="8"/>
        <v>85200</v>
      </c>
      <c r="E181">
        <f>ROUND(D_装备升级表!P181/4,0)</f>
        <v>0</v>
      </c>
      <c r="N181">
        <f t="shared" si="9"/>
        <v>1</v>
      </c>
    </row>
    <row r="182" spans="1:14" x14ac:dyDescent="0.15">
      <c r="A182" s="83" t="str">
        <f>D_装备基础数据!A182</f>
        <v>20124</v>
      </c>
      <c r="B182" s="62">
        <v>0</v>
      </c>
      <c r="C182" t="str">
        <f>VLOOKUP(D182,[2]D_道具表!$A$2:$B$214,2,FALSE)</f>
        <v>高级装备升级石</v>
      </c>
      <c r="D182">
        <f t="shared" si="8"/>
        <v>85200</v>
      </c>
      <c r="E182">
        <f>ROUND(D_装备升级表!P182/4,0)</f>
        <v>0</v>
      </c>
      <c r="N182">
        <f t="shared" si="9"/>
        <v>1</v>
      </c>
    </row>
    <row r="183" spans="1:14" x14ac:dyDescent="0.15">
      <c r="A183" s="83" t="str">
        <f>D_装备基础数据!A183</f>
        <v>30124</v>
      </c>
      <c r="B183" s="62">
        <v>0</v>
      </c>
      <c r="C183" t="str">
        <f>VLOOKUP(D183,[2]D_道具表!$A$2:$B$214,2,FALSE)</f>
        <v>高级装备升级石</v>
      </c>
      <c r="D183">
        <f t="shared" si="8"/>
        <v>85200</v>
      </c>
      <c r="E183">
        <f>ROUND(D_装备升级表!P183/4,0)</f>
        <v>0</v>
      </c>
      <c r="N183">
        <f t="shared" si="9"/>
        <v>1</v>
      </c>
    </row>
    <row r="184" spans="1:14" x14ac:dyDescent="0.15">
      <c r="A184" s="83" t="str">
        <f>D_装备基础数据!A184</f>
        <v>51124</v>
      </c>
      <c r="B184" s="62">
        <v>0</v>
      </c>
      <c r="C184" t="str">
        <f>VLOOKUP(D184,[2]D_道具表!$A$2:$B$214,2,FALSE)</f>
        <v>高级装备升级石</v>
      </c>
      <c r="D184">
        <f t="shared" si="8"/>
        <v>85200</v>
      </c>
      <c r="E184">
        <f>ROUND(D_装备升级表!P184/4,0)</f>
        <v>0</v>
      </c>
      <c r="N184">
        <f t="shared" si="9"/>
        <v>1</v>
      </c>
    </row>
    <row r="185" spans="1:14" x14ac:dyDescent="0.15">
      <c r="A185" s="83" t="str">
        <f>D_装备基础数据!A185</f>
        <v>52124</v>
      </c>
      <c r="B185" s="62">
        <v>0</v>
      </c>
      <c r="C185" t="str">
        <f>VLOOKUP(D185,[2]D_道具表!$A$2:$B$214,2,FALSE)</f>
        <v>高级装备升级石</v>
      </c>
      <c r="D185">
        <f t="shared" si="8"/>
        <v>85200</v>
      </c>
      <c r="E185">
        <f>ROUND(D_装备升级表!P185/4,0)</f>
        <v>0</v>
      </c>
      <c r="N185">
        <f t="shared" si="9"/>
        <v>1</v>
      </c>
    </row>
    <row r="186" spans="1:14" x14ac:dyDescent="0.15">
      <c r="A186" s="83" t="str">
        <f>D_装备基础数据!A186</f>
        <v>55124</v>
      </c>
      <c r="B186" s="62">
        <v>0</v>
      </c>
      <c r="C186" t="str">
        <f>VLOOKUP(D186,[2]D_道具表!$A$2:$B$214,2,FALSE)</f>
        <v>高级装备升级石</v>
      </c>
      <c r="D186">
        <f t="shared" si="8"/>
        <v>85200</v>
      </c>
      <c r="E186">
        <f>ROUND(D_装备升级表!P186/4,0)</f>
        <v>0</v>
      </c>
      <c r="N186">
        <f t="shared" si="9"/>
        <v>1</v>
      </c>
    </row>
    <row r="187" spans="1:14" x14ac:dyDescent="0.15">
      <c r="A187" s="83" t="str">
        <f>D_装备基础数据!A187</f>
        <v>54124</v>
      </c>
      <c r="B187" s="62">
        <v>0</v>
      </c>
      <c r="C187" t="str">
        <f>VLOOKUP(D187,[2]D_道具表!$A$2:$B$214,2,FALSE)</f>
        <v>高级装备升级石</v>
      </c>
      <c r="D187">
        <f t="shared" si="8"/>
        <v>85200</v>
      </c>
      <c r="E187">
        <f>ROUND(D_装备升级表!P187/4,0)</f>
        <v>0</v>
      </c>
      <c r="N187">
        <f t="shared" si="9"/>
        <v>1</v>
      </c>
    </row>
    <row r="188" spans="1:14" x14ac:dyDescent="0.15">
      <c r="A188" s="83" t="str">
        <f>D_装备基础数据!A188</f>
        <v>53124</v>
      </c>
      <c r="B188" s="62">
        <v>0</v>
      </c>
      <c r="C188" t="str">
        <f>VLOOKUP(D188,[2]D_道具表!$A$2:$B$214,2,FALSE)</f>
        <v>高级装备升级石</v>
      </c>
      <c r="D188">
        <f t="shared" si="8"/>
        <v>85200</v>
      </c>
      <c r="E188">
        <f>ROUND(D_装备升级表!P188/4,0)</f>
        <v>0</v>
      </c>
      <c r="N188">
        <f t="shared" si="9"/>
        <v>1</v>
      </c>
    </row>
    <row r="189" spans="1:14" x14ac:dyDescent="0.15">
      <c r="A189" s="83" t="str">
        <f>D_装备基础数据!A189</f>
        <v>10225</v>
      </c>
      <c r="B189" s="62">
        <v>0</v>
      </c>
      <c r="C189" t="str">
        <f>VLOOKUP(D189,[2]D_道具表!$A$2:$B$214,2,FALSE)</f>
        <v>稀有装备升级石</v>
      </c>
      <c r="D189">
        <f t="shared" si="8"/>
        <v>85300</v>
      </c>
      <c r="E189">
        <f>ROUND(D_装备升级表!P189/4,0)</f>
        <v>0</v>
      </c>
      <c r="N189">
        <f t="shared" si="9"/>
        <v>2</v>
      </c>
    </row>
    <row r="190" spans="1:14" x14ac:dyDescent="0.15">
      <c r="A190" s="83" t="str">
        <f>D_装备基础数据!A190</f>
        <v>20225</v>
      </c>
      <c r="B190" s="62">
        <v>0</v>
      </c>
      <c r="C190" t="str">
        <f>VLOOKUP(D190,[2]D_道具表!$A$2:$B$214,2,FALSE)</f>
        <v>稀有装备升级石</v>
      </c>
      <c r="D190">
        <f t="shared" si="8"/>
        <v>85300</v>
      </c>
      <c r="E190">
        <f>ROUND(D_装备升级表!P190/4,0)</f>
        <v>0</v>
      </c>
      <c r="N190">
        <f t="shared" si="9"/>
        <v>2</v>
      </c>
    </row>
    <row r="191" spans="1:14" x14ac:dyDescent="0.15">
      <c r="A191" s="83" t="str">
        <f>D_装备基础数据!A191</f>
        <v>30225</v>
      </c>
      <c r="B191" s="62">
        <v>0</v>
      </c>
      <c r="C191" t="str">
        <f>VLOOKUP(D191,[2]D_道具表!$A$2:$B$214,2,FALSE)</f>
        <v>稀有装备升级石</v>
      </c>
      <c r="D191">
        <f t="shared" si="8"/>
        <v>85300</v>
      </c>
      <c r="E191">
        <f>ROUND(D_装备升级表!P191/4,0)</f>
        <v>0</v>
      </c>
      <c r="N191">
        <f t="shared" si="9"/>
        <v>2</v>
      </c>
    </row>
    <row r="192" spans="1:14" x14ac:dyDescent="0.15">
      <c r="A192" s="83" t="str">
        <f>D_装备基础数据!A192</f>
        <v>51225</v>
      </c>
      <c r="B192" s="62">
        <v>0</v>
      </c>
      <c r="C192" t="str">
        <f>VLOOKUP(D192,[2]D_道具表!$A$2:$B$214,2,FALSE)</f>
        <v>稀有装备升级石</v>
      </c>
      <c r="D192">
        <f t="shared" si="8"/>
        <v>85300</v>
      </c>
      <c r="E192">
        <f>ROUND(D_装备升级表!P192/4,0)</f>
        <v>0</v>
      </c>
      <c r="N192">
        <f t="shared" si="9"/>
        <v>2</v>
      </c>
    </row>
    <row r="193" spans="1:14" x14ac:dyDescent="0.15">
      <c r="A193" s="83" t="str">
        <f>D_装备基础数据!A193</f>
        <v>52225</v>
      </c>
      <c r="B193" s="62">
        <v>0</v>
      </c>
      <c r="C193" t="str">
        <f>VLOOKUP(D193,[2]D_道具表!$A$2:$B$214,2,FALSE)</f>
        <v>稀有装备升级石</v>
      </c>
      <c r="D193">
        <f t="shared" si="8"/>
        <v>85300</v>
      </c>
      <c r="E193">
        <f>ROUND(D_装备升级表!P193/4,0)</f>
        <v>0</v>
      </c>
      <c r="N193">
        <f t="shared" si="9"/>
        <v>2</v>
      </c>
    </row>
    <row r="194" spans="1:14" x14ac:dyDescent="0.15">
      <c r="A194" s="83" t="str">
        <f>D_装备基础数据!A194</f>
        <v>55225</v>
      </c>
      <c r="B194" s="62">
        <v>0</v>
      </c>
      <c r="C194" t="str">
        <f>VLOOKUP(D194,[2]D_道具表!$A$2:$B$214,2,FALSE)</f>
        <v>稀有装备升级石</v>
      </c>
      <c r="D194">
        <f t="shared" si="8"/>
        <v>85300</v>
      </c>
      <c r="E194">
        <f>ROUND(D_装备升级表!P194/4,0)</f>
        <v>0</v>
      </c>
      <c r="N194">
        <f t="shared" si="9"/>
        <v>2</v>
      </c>
    </row>
    <row r="195" spans="1:14" x14ac:dyDescent="0.15">
      <c r="A195" s="83" t="str">
        <f>D_装备基础数据!A195</f>
        <v>54225</v>
      </c>
      <c r="B195" s="62">
        <v>0</v>
      </c>
      <c r="C195" t="str">
        <f>VLOOKUP(D195,[2]D_道具表!$A$2:$B$214,2,FALSE)</f>
        <v>稀有装备升级石</v>
      </c>
      <c r="D195">
        <f t="shared" si="8"/>
        <v>85300</v>
      </c>
      <c r="E195">
        <f>ROUND(D_装备升级表!P195/4,0)</f>
        <v>0</v>
      </c>
      <c r="N195">
        <f t="shared" si="9"/>
        <v>2</v>
      </c>
    </row>
    <row r="196" spans="1:14" x14ac:dyDescent="0.15">
      <c r="A196" s="83" t="str">
        <f>D_装备基础数据!A196</f>
        <v>53225</v>
      </c>
      <c r="B196" s="62">
        <v>0</v>
      </c>
      <c r="C196" t="str">
        <f>VLOOKUP(D196,[2]D_道具表!$A$2:$B$214,2,FALSE)</f>
        <v>稀有装备升级石</v>
      </c>
      <c r="D196">
        <f t="shared" si="8"/>
        <v>85300</v>
      </c>
      <c r="E196">
        <f>ROUND(D_装备升级表!P196/4,0)</f>
        <v>0</v>
      </c>
      <c r="N196">
        <f t="shared" si="9"/>
        <v>2</v>
      </c>
    </row>
    <row r="197" spans="1:14" x14ac:dyDescent="0.15">
      <c r="A197" s="83" t="str">
        <f>D_装备基础数据!A197</f>
        <v>10326</v>
      </c>
      <c r="B197" s="62">
        <v>0</v>
      </c>
      <c r="C197" t="str">
        <f>VLOOKUP(D197,[2]D_道具表!$A$2:$B$214,2,FALSE)</f>
        <v>史诗装备升级石</v>
      </c>
      <c r="D197">
        <f t="shared" si="8"/>
        <v>85400</v>
      </c>
      <c r="E197">
        <f>ROUND(D_装备升级表!P197/4,0)</f>
        <v>0</v>
      </c>
      <c r="N197">
        <f t="shared" si="9"/>
        <v>3</v>
      </c>
    </row>
    <row r="198" spans="1:14" x14ac:dyDescent="0.15">
      <c r="A198" s="83" t="str">
        <f>D_装备基础数据!A198</f>
        <v>20326</v>
      </c>
      <c r="B198" s="62">
        <v>0</v>
      </c>
      <c r="C198" t="str">
        <f>VLOOKUP(D198,[2]D_道具表!$A$2:$B$214,2,FALSE)</f>
        <v>史诗装备升级石</v>
      </c>
      <c r="D198">
        <f t="shared" si="8"/>
        <v>85400</v>
      </c>
      <c r="E198">
        <f>ROUND(D_装备升级表!P198/4,0)</f>
        <v>0</v>
      </c>
      <c r="N198">
        <f t="shared" si="9"/>
        <v>3</v>
      </c>
    </row>
    <row r="199" spans="1:14" x14ac:dyDescent="0.15">
      <c r="A199" s="83" t="str">
        <f>D_装备基础数据!A199</f>
        <v>30326</v>
      </c>
      <c r="B199" s="62">
        <v>0</v>
      </c>
      <c r="C199" t="str">
        <f>VLOOKUP(D199,[2]D_道具表!$A$2:$B$214,2,FALSE)</f>
        <v>史诗装备升级石</v>
      </c>
      <c r="D199">
        <f t="shared" si="8"/>
        <v>85400</v>
      </c>
      <c r="E199">
        <f>ROUND(D_装备升级表!P199/4,0)</f>
        <v>0</v>
      </c>
      <c r="N199">
        <f t="shared" si="9"/>
        <v>3</v>
      </c>
    </row>
    <row r="200" spans="1:14" x14ac:dyDescent="0.15">
      <c r="A200" s="83" t="str">
        <f>D_装备基础数据!A200</f>
        <v>51326</v>
      </c>
      <c r="B200" s="62">
        <v>0</v>
      </c>
      <c r="C200" t="str">
        <f>VLOOKUP(D200,[2]D_道具表!$A$2:$B$214,2,FALSE)</f>
        <v>史诗装备升级石</v>
      </c>
      <c r="D200">
        <f t="shared" si="8"/>
        <v>85400</v>
      </c>
      <c r="E200">
        <f>ROUND(D_装备升级表!P200/4,0)</f>
        <v>0</v>
      </c>
      <c r="N200">
        <f t="shared" si="9"/>
        <v>3</v>
      </c>
    </row>
    <row r="201" spans="1:14" x14ac:dyDescent="0.15">
      <c r="A201" s="83" t="str">
        <f>D_装备基础数据!A201</f>
        <v>52326</v>
      </c>
      <c r="B201" s="62">
        <v>0</v>
      </c>
      <c r="C201" t="str">
        <f>VLOOKUP(D201,[2]D_道具表!$A$2:$B$214,2,FALSE)</f>
        <v>史诗装备升级石</v>
      </c>
      <c r="D201">
        <f t="shared" si="8"/>
        <v>85400</v>
      </c>
      <c r="E201">
        <f>ROUND(D_装备升级表!P201/4,0)</f>
        <v>0</v>
      </c>
      <c r="N201">
        <f t="shared" si="9"/>
        <v>3</v>
      </c>
    </row>
    <row r="202" spans="1:14" x14ac:dyDescent="0.15">
      <c r="A202" s="83" t="str">
        <f>D_装备基础数据!A202</f>
        <v>55326</v>
      </c>
      <c r="B202" s="62">
        <v>0</v>
      </c>
      <c r="C202" t="str">
        <f>VLOOKUP(D202,[2]D_道具表!$A$2:$B$214,2,FALSE)</f>
        <v>史诗装备升级石</v>
      </c>
      <c r="D202">
        <f t="shared" si="8"/>
        <v>85400</v>
      </c>
      <c r="E202">
        <f>ROUND(D_装备升级表!P202/4,0)</f>
        <v>0</v>
      </c>
      <c r="N202">
        <f t="shared" si="9"/>
        <v>3</v>
      </c>
    </row>
    <row r="203" spans="1:14" x14ac:dyDescent="0.15">
      <c r="A203" s="83" t="str">
        <f>D_装备基础数据!A203</f>
        <v>54326</v>
      </c>
      <c r="B203" s="62">
        <v>0</v>
      </c>
      <c r="C203" t="str">
        <f>VLOOKUP(D203,[2]D_道具表!$A$2:$B$214,2,FALSE)</f>
        <v>史诗装备升级石</v>
      </c>
      <c r="D203">
        <f t="shared" si="8"/>
        <v>85400</v>
      </c>
      <c r="E203">
        <f>ROUND(D_装备升级表!P203/4,0)</f>
        <v>0</v>
      </c>
      <c r="N203">
        <f t="shared" si="9"/>
        <v>3</v>
      </c>
    </row>
    <row r="204" spans="1:14" x14ac:dyDescent="0.15">
      <c r="A204" s="83" t="str">
        <f>D_装备基础数据!A204</f>
        <v>53326</v>
      </c>
      <c r="B204" s="62">
        <v>0</v>
      </c>
      <c r="C204" t="str">
        <f>VLOOKUP(D204,[2]D_道具表!$A$2:$B$214,2,FALSE)</f>
        <v>史诗装备升级石</v>
      </c>
      <c r="D204">
        <f t="shared" si="8"/>
        <v>85400</v>
      </c>
      <c r="E204">
        <f>ROUND(D_装备升级表!P204/4,0)</f>
        <v>0</v>
      </c>
      <c r="N204">
        <f t="shared" si="9"/>
        <v>3</v>
      </c>
    </row>
    <row r="205" spans="1:14" x14ac:dyDescent="0.15">
      <c r="A205" s="83" t="str">
        <f>D_装备基础数据!A205</f>
        <v>10427</v>
      </c>
      <c r="B205" s="62">
        <v>0</v>
      </c>
      <c r="C205" t="str">
        <f>VLOOKUP(D205,[2]D_道具表!$A$2:$B$214,2,FALSE)</f>
        <v>传说装备升级石</v>
      </c>
      <c r="D205">
        <f t="shared" si="8"/>
        <v>85500</v>
      </c>
      <c r="E205">
        <f>ROUND(D_装备升级表!P205/4,0)</f>
        <v>0</v>
      </c>
      <c r="N205">
        <f t="shared" si="9"/>
        <v>4</v>
      </c>
    </row>
    <row r="206" spans="1:14" x14ac:dyDescent="0.15">
      <c r="A206" s="83" t="str">
        <f>D_装备基础数据!A206</f>
        <v>20427</v>
      </c>
      <c r="B206" s="62">
        <v>0</v>
      </c>
      <c r="C206" t="str">
        <f>VLOOKUP(D206,[2]D_道具表!$A$2:$B$214,2,FALSE)</f>
        <v>传说装备升级石</v>
      </c>
      <c r="D206">
        <f t="shared" si="8"/>
        <v>85500</v>
      </c>
      <c r="E206">
        <f>ROUND(D_装备升级表!P206/4,0)</f>
        <v>0</v>
      </c>
      <c r="N206">
        <f t="shared" si="9"/>
        <v>4</v>
      </c>
    </row>
    <row r="207" spans="1:14" x14ac:dyDescent="0.15">
      <c r="A207" s="83" t="str">
        <f>D_装备基础数据!A207</f>
        <v>30427</v>
      </c>
      <c r="B207" s="62">
        <v>0</v>
      </c>
      <c r="C207" t="str">
        <f>VLOOKUP(D207,[2]D_道具表!$A$2:$B$214,2,FALSE)</f>
        <v>传说装备升级石</v>
      </c>
      <c r="D207">
        <f t="shared" si="8"/>
        <v>85500</v>
      </c>
      <c r="E207">
        <f>ROUND(D_装备升级表!P207/4,0)</f>
        <v>0</v>
      </c>
      <c r="N207">
        <f t="shared" si="9"/>
        <v>4</v>
      </c>
    </row>
    <row r="208" spans="1:14" x14ac:dyDescent="0.15">
      <c r="A208" s="83" t="str">
        <f>D_装备基础数据!A208</f>
        <v>51427</v>
      </c>
      <c r="B208" s="62">
        <v>0</v>
      </c>
      <c r="C208" t="str">
        <f>VLOOKUP(D208,[2]D_道具表!$A$2:$B$214,2,FALSE)</f>
        <v>传说装备升级石</v>
      </c>
      <c r="D208">
        <f t="shared" si="8"/>
        <v>85500</v>
      </c>
      <c r="E208">
        <f>ROUND(D_装备升级表!P208/4,0)</f>
        <v>0</v>
      </c>
      <c r="N208">
        <f t="shared" si="9"/>
        <v>4</v>
      </c>
    </row>
    <row r="209" spans="1:14" x14ac:dyDescent="0.15">
      <c r="A209" s="83" t="str">
        <f>D_装备基础数据!A209</f>
        <v>52427</v>
      </c>
      <c r="B209" s="62">
        <v>0</v>
      </c>
      <c r="C209" t="str">
        <f>VLOOKUP(D209,[2]D_道具表!$A$2:$B$214,2,FALSE)</f>
        <v>传说装备升级石</v>
      </c>
      <c r="D209">
        <f t="shared" si="8"/>
        <v>85500</v>
      </c>
      <c r="E209">
        <f>ROUND(D_装备升级表!P209/4,0)</f>
        <v>0</v>
      </c>
      <c r="N209">
        <f t="shared" si="9"/>
        <v>4</v>
      </c>
    </row>
    <row r="210" spans="1:14" x14ac:dyDescent="0.15">
      <c r="A210" s="83" t="str">
        <f>D_装备基础数据!A210</f>
        <v>55427</v>
      </c>
      <c r="B210" s="62">
        <v>0</v>
      </c>
      <c r="C210" t="str">
        <f>VLOOKUP(D210,[2]D_道具表!$A$2:$B$214,2,FALSE)</f>
        <v>传说装备升级石</v>
      </c>
      <c r="D210">
        <f t="shared" si="8"/>
        <v>85500</v>
      </c>
      <c r="E210">
        <f>ROUND(D_装备升级表!P210/4,0)</f>
        <v>0</v>
      </c>
      <c r="N210">
        <f t="shared" si="9"/>
        <v>4</v>
      </c>
    </row>
    <row r="211" spans="1:14" x14ac:dyDescent="0.15">
      <c r="A211" s="83" t="str">
        <f>D_装备基础数据!A211</f>
        <v>54427</v>
      </c>
      <c r="B211" s="62">
        <v>0</v>
      </c>
      <c r="C211" t="str">
        <f>VLOOKUP(D211,[2]D_道具表!$A$2:$B$214,2,FALSE)</f>
        <v>传说装备升级石</v>
      </c>
      <c r="D211">
        <f t="shared" ref="D211:D212" si="10">VLOOKUP(MID(A211,3,1)*1,$Q$5:$S$9,3,FALSE)</f>
        <v>85500</v>
      </c>
      <c r="E211">
        <f>ROUND(D_装备升级表!P211/4,0)</f>
        <v>0</v>
      </c>
      <c r="N211">
        <f t="shared" ref="N211:N212" si="11">_xlfn.NUMBERVALUE(MID(A211,3,1))</f>
        <v>4</v>
      </c>
    </row>
    <row r="212" spans="1:14" x14ac:dyDescent="0.15">
      <c r="A212" s="83" t="str">
        <f>D_装备基础数据!A212</f>
        <v>53427</v>
      </c>
      <c r="B212" s="62">
        <v>0</v>
      </c>
      <c r="C212" t="str">
        <f>VLOOKUP(D212,[2]D_道具表!$A$2:$B$214,2,FALSE)</f>
        <v>传说装备升级石</v>
      </c>
      <c r="D212">
        <f t="shared" si="10"/>
        <v>85500</v>
      </c>
      <c r="E212">
        <f>ROUND(D_装备升级表!P212/4,0)</f>
        <v>0</v>
      </c>
      <c r="N212">
        <f t="shared" si="11"/>
        <v>4</v>
      </c>
    </row>
    <row r="213" spans="1:14" x14ac:dyDescent="0.15">
      <c r="A213" s="85"/>
      <c r="B213" s="62"/>
    </row>
    <row r="214" spans="1:14" x14ac:dyDescent="0.15">
      <c r="A214" s="85"/>
      <c r="B214" s="62"/>
    </row>
    <row r="215" spans="1:14" x14ac:dyDescent="0.15">
      <c r="A215" s="85"/>
      <c r="B215" s="62"/>
    </row>
    <row r="216" spans="1:14" x14ac:dyDescent="0.15">
      <c r="A216" s="85"/>
      <c r="B216" s="62"/>
    </row>
    <row r="217" spans="1:14" x14ac:dyDescent="0.15">
      <c r="A217" s="85"/>
      <c r="B217" s="62"/>
    </row>
    <row r="218" spans="1:14" x14ac:dyDescent="0.15">
      <c r="A218" s="85"/>
      <c r="B218" s="62"/>
    </row>
    <row r="219" spans="1:14" x14ac:dyDescent="0.15">
      <c r="A219" s="85"/>
      <c r="B219" s="62"/>
    </row>
    <row r="220" spans="1:14" x14ac:dyDescent="0.15">
      <c r="A220" s="85"/>
      <c r="B220" s="62"/>
    </row>
    <row r="221" spans="1:14" x14ac:dyDescent="0.15">
      <c r="A221" s="85"/>
      <c r="B221" s="62"/>
    </row>
    <row r="222" spans="1:14" x14ac:dyDescent="0.15">
      <c r="A222" s="85"/>
      <c r="B222" s="62"/>
    </row>
    <row r="223" spans="1:14" x14ac:dyDescent="0.15">
      <c r="A223" s="85"/>
      <c r="B223" s="62"/>
    </row>
    <row r="224" spans="1:14" x14ac:dyDescent="0.15">
      <c r="A224" s="85"/>
      <c r="B224" s="62"/>
    </row>
    <row r="225" spans="1:2" x14ac:dyDescent="0.15">
      <c r="A225" s="85"/>
      <c r="B225" s="62"/>
    </row>
    <row r="226" spans="1:2" x14ac:dyDescent="0.15">
      <c r="A226" s="85"/>
      <c r="B226" s="62"/>
    </row>
    <row r="227" spans="1:2" x14ac:dyDescent="0.15">
      <c r="A227" s="85"/>
      <c r="B227" s="62"/>
    </row>
    <row r="228" spans="1:2" x14ac:dyDescent="0.15">
      <c r="A228" s="85"/>
      <c r="B228" s="62"/>
    </row>
    <row r="229" spans="1:2" x14ac:dyDescent="0.15">
      <c r="A229" s="85"/>
      <c r="B229" s="62"/>
    </row>
    <row r="230" spans="1:2" x14ac:dyDescent="0.15">
      <c r="A230" s="85"/>
      <c r="B230" s="62"/>
    </row>
    <row r="231" spans="1:2" x14ac:dyDescent="0.15">
      <c r="A231" s="85"/>
      <c r="B231" s="62"/>
    </row>
    <row r="232" spans="1:2" x14ac:dyDescent="0.15">
      <c r="A232" s="85"/>
      <c r="B232" s="62"/>
    </row>
    <row r="233" spans="1:2" x14ac:dyDescent="0.15">
      <c r="A233" s="85"/>
      <c r="B233" s="62"/>
    </row>
    <row r="234" spans="1:2" x14ac:dyDescent="0.15">
      <c r="A234" s="85"/>
      <c r="B234" s="62"/>
    </row>
    <row r="235" spans="1:2" x14ac:dyDescent="0.15">
      <c r="A235" s="85"/>
      <c r="B235" s="62"/>
    </row>
    <row r="236" spans="1:2" x14ac:dyDescent="0.15">
      <c r="A236" s="85"/>
      <c r="B236" s="62"/>
    </row>
    <row r="237" spans="1:2" x14ac:dyDescent="0.15">
      <c r="A237" s="85"/>
      <c r="B237" s="62"/>
    </row>
    <row r="238" spans="1:2" x14ac:dyDescent="0.15">
      <c r="A238" s="85"/>
      <c r="B238" s="62"/>
    </row>
    <row r="239" spans="1:2" x14ac:dyDescent="0.15">
      <c r="A239" s="85"/>
      <c r="B239" s="62"/>
    </row>
    <row r="240" spans="1:2" x14ac:dyDescent="0.15">
      <c r="A240" s="85"/>
      <c r="B240" s="62"/>
    </row>
    <row r="241" spans="1:2" x14ac:dyDescent="0.15">
      <c r="A241" s="85"/>
      <c r="B241" s="62"/>
    </row>
    <row r="242" spans="1:2" x14ac:dyDescent="0.15">
      <c r="A242" s="85"/>
      <c r="B242" s="62"/>
    </row>
    <row r="243" spans="1:2" x14ac:dyDescent="0.15">
      <c r="A243" s="85"/>
      <c r="B243" s="62"/>
    </row>
    <row r="244" spans="1:2" x14ac:dyDescent="0.15">
      <c r="A244" s="85"/>
      <c r="B244" s="62"/>
    </row>
    <row r="245" spans="1:2" x14ac:dyDescent="0.15">
      <c r="A245" s="85"/>
      <c r="B245" s="62"/>
    </row>
    <row r="246" spans="1:2" x14ac:dyDescent="0.15">
      <c r="A246" s="85"/>
      <c r="B246" s="62"/>
    </row>
    <row r="247" spans="1:2" x14ac:dyDescent="0.15">
      <c r="A247" s="85"/>
      <c r="B247" s="62"/>
    </row>
    <row r="248" spans="1:2" x14ac:dyDescent="0.15">
      <c r="A248" s="85"/>
      <c r="B248" s="62"/>
    </row>
    <row r="249" spans="1:2" x14ac:dyDescent="0.15">
      <c r="A249" s="85"/>
      <c r="B249" s="62"/>
    </row>
    <row r="250" spans="1:2" x14ac:dyDescent="0.15">
      <c r="A250" s="85"/>
      <c r="B250" s="62"/>
    </row>
    <row r="251" spans="1:2" x14ac:dyDescent="0.15">
      <c r="A251" s="85"/>
      <c r="B251" s="62"/>
    </row>
    <row r="252" spans="1:2" x14ac:dyDescent="0.15">
      <c r="A252" s="85"/>
      <c r="B252" s="62"/>
    </row>
    <row r="253" spans="1:2" x14ac:dyDescent="0.15">
      <c r="A253" s="85"/>
      <c r="B253" s="62"/>
    </row>
    <row r="254" spans="1:2" x14ac:dyDescent="0.15">
      <c r="A254" s="85"/>
      <c r="B254" s="62"/>
    </row>
    <row r="255" spans="1:2" x14ac:dyDescent="0.15">
      <c r="A255" s="85"/>
      <c r="B255" s="62"/>
    </row>
    <row r="256" spans="1:2" x14ac:dyDescent="0.15">
      <c r="A256" s="85"/>
      <c r="B256" s="62"/>
    </row>
    <row r="257" spans="1:2" x14ac:dyDescent="0.15">
      <c r="A257" s="85"/>
      <c r="B257" s="62"/>
    </row>
    <row r="258" spans="1:2" x14ac:dyDescent="0.15">
      <c r="A258" s="85"/>
      <c r="B258" s="62"/>
    </row>
    <row r="259" spans="1:2" x14ac:dyDescent="0.15">
      <c r="A259" s="85"/>
      <c r="B259" s="62"/>
    </row>
    <row r="260" spans="1:2" x14ac:dyDescent="0.15">
      <c r="A260" s="85"/>
      <c r="B260" s="62"/>
    </row>
    <row r="261" spans="1:2" x14ac:dyDescent="0.15">
      <c r="A261" s="85"/>
      <c r="B261" s="62"/>
    </row>
    <row r="262" spans="1:2" x14ac:dyDescent="0.15">
      <c r="A262" s="85"/>
      <c r="B262" s="62"/>
    </row>
    <row r="263" spans="1:2" x14ac:dyDescent="0.15">
      <c r="A263" s="85"/>
      <c r="B263" s="62"/>
    </row>
    <row r="264" spans="1:2" x14ac:dyDescent="0.15">
      <c r="A264" s="85"/>
      <c r="B264" s="62"/>
    </row>
    <row r="265" spans="1:2" x14ac:dyDescent="0.15">
      <c r="A265" s="85"/>
      <c r="B265" s="62"/>
    </row>
    <row r="266" spans="1:2" x14ac:dyDescent="0.15">
      <c r="A266" s="85"/>
      <c r="B266" s="62"/>
    </row>
    <row r="267" spans="1:2" x14ac:dyDescent="0.15">
      <c r="A267" s="85"/>
      <c r="B267" s="62"/>
    </row>
    <row r="268" spans="1:2" x14ac:dyDescent="0.15">
      <c r="A268" s="85"/>
      <c r="B268" s="62"/>
    </row>
    <row r="269" spans="1:2" x14ac:dyDescent="0.15">
      <c r="A269" s="85"/>
      <c r="B269" s="62"/>
    </row>
    <row r="270" spans="1:2" x14ac:dyDescent="0.15">
      <c r="A270" s="85"/>
      <c r="B270" s="62"/>
    </row>
    <row r="271" spans="1:2" x14ac:dyDescent="0.15">
      <c r="A271" s="85"/>
      <c r="B271" s="62"/>
    </row>
    <row r="272" spans="1:2" x14ac:dyDescent="0.15">
      <c r="A272" s="85"/>
      <c r="B272" s="62"/>
    </row>
    <row r="273" spans="1:2" x14ac:dyDescent="0.15">
      <c r="A273" s="85"/>
      <c r="B273" s="62"/>
    </row>
    <row r="274" spans="1:2" x14ac:dyDescent="0.15">
      <c r="A274" s="85"/>
      <c r="B274" s="62"/>
    </row>
    <row r="275" spans="1:2" x14ac:dyDescent="0.15">
      <c r="A275" s="85"/>
      <c r="B275" s="62"/>
    </row>
    <row r="276" spans="1:2" x14ac:dyDescent="0.15">
      <c r="A276" s="85"/>
      <c r="B276" s="62"/>
    </row>
    <row r="277" spans="1:2" x14ac:dyDescent="0.15">
      <c r="A277" s="85"/>
      <c r="B277" s="62"/>
    </row>
    <row r="278" spans="1:2" x14ac:dyDescent="0.15">
      <c r="A278" s="85"/>
      <c r="B278" s="62"/>
    </row>
    <row r="279" spans="1:2" x14ac:dyDescent="0.15">
      <c r="A279" s="85"/>
      <c r="B279" s="62"/>
    </row>
    <row r="280" spans="1:2" x14ac:dyDescent="0.15">
      <c r="A280" s="85"/>
      <c r="B280" s="62"/>
    </row>
    <row r="281" spans="1:2" x14ac:dyDescent="0.15">
      <c r="A281" s="85"/>
      <c r="B281" s="62"/>
    </row>
    <row r="282" spans="1:2" x14ac:dyDescent="0.15">
      <c r="A282" s="85"/>
      <c r="B282" s="62"/>
    </row>
    <row r="283" spans="1:2" x14ac:dyDescent="0.15">
      <c r="A283" s="85"/>
      <c r="B283" s="62"/>
    </row>
    <row r="284" spans="1:2" x14ac:dyDescent="0.15">
      <c r="A284" s="85"/>
      <c r="B284" s="62"/>
    </row>
    <row r="285" spans="1:2" x14ac:dyDescent="0.15">
      <c r="A285" s="85"/>
      <c r="B285" s="62"/>
    </row>
    <row r="286" spans="1:2" x14ac:dyDescent="0.15">
      <c r="A286" s="85"/>
      <c r="B286" s="62"/>
    </row>
    <row r="287" spans="1:2" x14ac:dyDescent="0.15">
      <c r="A287" s="85"/>
      <c r="B287" s="62"/>
    </row>
    <row r="288" spans="1:2" x14ac:dyDescent="0.15">
      <c r="A288" s="85"/>
      <c r="B288" s="62"/>
    </row>
    <row r="289" spans="1:2" x14ac:dyDescent="0.15">
      <c r="A289" s="85"/>
      <c r="B289" s="62"/>
    </row>
    <row r="290" spans="1:2" x14ac:dyDescent="0.15">
      <c r="A290" s="85"/>
      <c r="B290" s="62"/>
    </row>
    <row r="291" spans="1:2" x14ac:dyDescent="0.15">
      <c r="A291" s="85"/>
      <c r="B291" s="62"/>
    </row>
    <row r="292" spans="1:2" x14ac:dyDescent="0.15">
      <c r="A292" s="85"/>
      <c r="B292" s="62"/>
    </row>
    <row r="293" spans="1:2" x14ac:dyDescent="0.15">
      <c r="A293" s="85"/>
      <c r="B293" s="62"/>
    </row>
    <row r="294" spans="1:2" x14ac:dyDescent="0.15">
      <c r="A294" s="85"/>
      <c r="B294" s="62"/>
    </row>
    <row r="295" spans="1:2" x14ac:dyDescent="0.15">
      <c r="A295" s="85"/>
      <c r="B295" s="62"/>
    </row>
    <row r="296" spans="1:2" x14ac:dyDescent="0.15">
      <c r="A296" s="85"/>
      <c r="B296" s="62"/>
    </row>
    <row r="297" spans="1:2" x14ac:dyDescent="0.15">
      <c r="A297" s="85"/>
      <c r="B297" s="62"/>
    </row>
    <row r="298" spans="1:2" x14ac:dyDescent="0.15">
      <c r="A298" s="85"/>
      <c r="B298" s="62"/>
    </row>
    <row r="299" spans="1:2" x14ac:dyDescent="0.15">
      <c r="A299" s="85"/>
      <c r="B299" s="62"/>
    </row>
    <row r="300" spans="1:2" x14ac:dyDescent="0.15">
      <c r="A300" s="85"/>
      <c r="B300" s="62"/>
    </row>
    <row r="301" spans="1:2" x14ac:dyDescent="0.15">
      <c r="A301" s="85"/>
      <c r="B301" s="62"/>
    </row>
    <row r="302" spans="1:2" x14ac:dyDescent="0.15">
      <c r="A302" s="85"/>
      <c r="B302" s="62"/>
    </row>
    <row r="303" spans="1:2" x14ac:dyDescent="0.15">
      <c r="A303" s="85"/>
      <c r="B303" s="62"/>
    </row>
    <row r="304" spans="1:2" x14ac:dyDescent="0.15">
      <c r="A304" s="85"/>
      <c r="B304" s="62"/>
    </row>
    <row r="305" spans="1:2" x14ac:dyDescent="0.15">
      <c r="A305" s="85"/>
      <c r="B305" s="62"/>
    </row>
    <row r="306" spans="1:2" x14ac:dyDescent="0.15">
      <c r="A306" s="85"/>
      <c r="B306" s="62"/>
    </row>
    <row r="307" spans="1:2" x14ac:dyDescent="0.15">
      <c r="A307" s="85"/>
      <c r="B307" s="62"/>
    </row>
    <row r="308" spans="1:2" x14ac:dyDescent="0.15">
      <c r="A308" s="85"/>
      <c r="B308" s="62"/>
    </row>
    <row r="309" spans="1:2" x14ac:dyDescent="0.15">
      <c r="A309" s="85"/>
      <c r="B309" s="62"/>
    </row>
    <row r="310" spans="1:2" x14ac:dyDescent="0.15">
      <c r="A310" s="85"/>
      <c r="B310" s="62"/>
    </row>
    <row r="311" spans="1:2" x14ac:dyDescent="0.15">
      <c r="A311" s="85"/>
      <c r="B311" s="62"/>
    </row>
    <row r="312" spans="1:2" x14ac:dyDescent="0.15">
      <c r="A312" s="85"/>
      <c r="B312" s="62"/>
    </row>
    <row r="313" spans="1:2" x14ac:dyDescent="0.15">
      <c r="A313" s="85"/>
      <c r="B313" s="62"/>
    </row>
    <row r="314" spans="1:2" x14ac:dyDescent="0.15">
      <c r="A314" s="85"/>
      <c r="B314" s="62"/>
    </row>
    <row r="315" spans="1:2" x14ac:dyDescent="0.15">
      <c r="A315" s="85"/>
      <c r="B315" s="62"/>
    </row>
    <row r="316" spans="1:2" x14ac:dyDescent="0.15">
      <c r="A316" s="85"/>
      <c r="B316" s="62"/>
    </row>
    <row r="317" spans="1:2" x14ac:dyDescent="0.15">
      <c r="A317" s="85"/>
      <c r="B317" s="62"/>
    </row>
    <row r="318" spans="1:2" x14ac:dyDescent="0.15">
      <c r="A318" s="85"/>
      <c r="B318" s="62"/>
    </row>
    <row r="319" spans="1:2" x14ac:dyDescent="0.15">
      <c r="A319" s="85"/>
      <c r="B319" s="62"/>
    </row>
    <row r="320" spans="1:2" x14ac:dyDescent="0.15">
      <c r="A320" s="85"/>
      <c r="B320" s="62"/>
    </row>
    <row r="321" spans="1:2" x14ac:dyDescent="0.15">
      <c r="A321" s="85"/>
      <c r="B321" s="62"/>
    </row>
    <row r="322" spans="1:2" x14ac:dyDescent="0.15">
      <c r="A322" s="85"/>
      <c r="B322" s="62"/>
    </row>
    <row r="323" spans="1:2" x14ac:dyDescent="0.15">
      <c r="A323" s="85"/>
      <c r="B323" s="62"/>
    </row>
    <row r="324" spans="1:2" x14ac:dyDescent="0.15">
      <c r="A324" s="85"/>
      <c r="B324" s="62"/>
    </row>
    <row r="325" spans="1:2" x14ac:dyDescent="0.15">
      <c r="A325" s="85"/>
      <c r="B325" s="62"/>
    </row>
    <row r="326" spans="1:2" x14ac:dyDescent="0.15">
      <c r="A326" s="85"/>
      <c r="B326" s="62"/>
    </row>
    <row r="327" spans="1:2" x14ac:dyDescent="0.15">
      <c r="A327" s="85"/>
      <c r="B327" s="62"/>
    </row>
    <row r="328" spans="1:2" x14ac:dyDescent="0.15">
      <c r="A328" s="85"/>
      <c r="B328" s="62"/>
    </row>
    <row r="329" spans="1:2" x14ac:dyDescent="0.15">
      <c r="A329" s="85"/>
      <c r="B329" s="62"/>
    </row>
    <row r="330" spans="1:2" x14ac:dyDescent="0.15">
      <c r="A330" s="85"/>
      <c r="B330" s="62"/>
    </row>
    <row r="331" spans="1:2" x14ac:dyDescent="0.15">
      <c r="A331" s="85"/>
      <c r="B331" s="62"/>
    </row>
    <row r="332" spans="1:2" x14ac:dyDescent="0.15">
      <c r="A332" s="85"/>
      <c r="B332" s="62"/>
    </row>
  </sheetData>
  <phoneticPr fontId="1" type="noConversion"/>
  <conditionalFormatting sqref="J6:J36 J53:J216">
    <cfRule type="expression" dxfId="265" priority="26">
      <formula>$I6=4</formula>
    </cfRule>
    <cfRule type="expression" dxfId="264" priority="27">
      <formula>$I6=3</formula>
    </cfRule>
    <cfRule type="expression" dxfId="263" priority="28">
      <formula>$I6=2</formula>
    </cfRule>
    <cfRule type="expression" dxfId="262" priority="29">
      <formula>$I6=0</formula>
    </cfRule>
    <cfRule type="expression" dxfId="261" priority="30">
      <formula>$I6=1</formula>
    </cfRule>
  </conditionalFormatting>
  <conditionalFormatting sqref="A2:A36 A53:A212">
    <cfRule type="expression" dxfId="260" priority="21">
      <formula>$N2=4</formula>
    </cfRule>
    <cfRule type="expression" dxfId="259" priority="22">
      <formula>$N2=3</formula>
    </cfRule>
    <cfRule type="expression" dxfId="258" priority="23">
      <formula>$N2=2</formula>
    </cfRule>
    <cfRule type="expression" dxfId="257" priority="24">
      <formula>$N2=1</formula>
    </cfRule>
    <cfRule type="expression" dxfId="256" priority="25">
      <formula>$N2=0</formula>
    </cfRule>
  </conditionalFormatting>
  <conditionalFormatting sqref="J37:J44">
    <cfRule type="expression" dxfId="255" priority="16">
      <formula>$I37=4</formula>
    </cfRule>
    <cfRule type="expression" dxfId="254" priority="17">
      <formula>$I37=3</formula>
    </cfRule>
    <cfRule type="expression" dxfId="253" priority="18">
      <formula>$I37=2</formula>
    </cfRule>
    <cfRule type="expression" dxfId="252" priority="19">
      <formula>$I37=0</formula>
    </cfRule>
    <cfRule type="expression" dxfId="251" priority="20">
      <formula>$I37=1</formula>
    </cfRule>
  </conditionalFormatting>
  <conditionalFormatting sqref="A37:A44">
    <cfRule type="expression" dxfId="250" priority="11">
      <formula>$N37=4</formula>
    </cfRule>
    <cfRule type="expression" dxfId="249" priority="12">
      <formula>$N37=3</formula>
    </cfRule>
    <cfRule type="expression" dxfId="248" priority="13">
      <formula>$N37=2</formula>
    </cfRule>
    <cfRule type="expression" dxfId="247" priority="14">
      <formula>$N37=1</formula>
    </cfRule>
    <cfRule type="expression" dxfId="246" priority="15">
      <formula>$N37=0</formula>
    </cfRule>
  </conditionalFormatting>
  <conditionalFormatting sqref="J45:J52">
    <cfRule type="expression" dxfId="245" priority="6">
      <formula>$I45=4</formula>
    </cfRule>
    <cfRule type="expression" dxfId="244" priority="7">
      <formula>$I45=3</formula>
    </cfRule>
    <cfRule type="expression" dxfId="243" priority="8">
      <formula>$I45=2</formula>
    </cfRule>
    <cfRule type="expression" dxfId="242" priority="9">
      <formula>$I45=0</formula>
    </cfRule>
    <cfRule type="expression" dxfId="241" priority="10">
      <formula>$I45=1</formula>
    </cfRule>
  </conditionalFormatting>
  <conditionalFormatting sqref="A45:A52">
    <cfRule type="expression" dxfId="240" priority="1">
      <formula>$N45=4</formula>
    </cfRule>
    <cfRule type="expression" dxfId="239" priority="2">
      <formula>$N45=3</formula>
    </cfRule>
    <cfRule type="expression" dxfId="238" priority="3">
      <formula>$N45=2</formula>
    </cfRule>
    <cfRule type="expression" dxfId="237" priority="4">
      <formula>$N45=1</formula>
    </cfRule>
    <cfRule type="expression" dxfId="236" priority="5">
      <formula>$N45=0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29"/>
  <sheetViews>
    <sheetView workbookViewId="0">
      <selection activeCell="F25" sqref="F25"/>
    </sheetView>
  </sheetViews>
  <sheetFormatPr defaultRowHeight="13.5" x14ac:dyDescent="0.15"/>
  <cols>
    <col min="2" max="2" width="15.75" customWidth="1"/>
    <col min="8" max="8" width="13.875" bestFit="1" customWidth="1"/>
  </cols>
  <sheetData>
    <row r="1" spans="2:16" x14ac:dyDescent="0.15">
      <c r="B1" s="5" t="s">
        <v>71</v>
      </c>
      <c r="C1" s="5" t="s">
        <v>70</v>
      </c>
      <c r="E1" s="5" t="s">
        <v>79</v>
      </c>
      <c r="F1" s="5" t="s">
        <v>78</v>
      </c>
      <c r="H1" s="5" t="str">
        <f>'[3]0、规划配置'!B27</f>
        <v>职业名称</v>
      </c>
      <c r="I1" s="5" t="str">
        <f>'[3]0、规划配置'!C27</f>
        <v>职业ID</v>
      </c>
    </row>
    <row r="2" spans="2:16" x14ac:dyDescent="0.15">
      <c r="B2" s="5" t="s">
        <v>72</v>
      </c>
      <c r="C2" s="5">
        <v>0</v>
      </c>
      <c r="E2" s="5" t="s">
        <v>80</v>
      </c>
      <c r="F2" s="5">
        <v>0</v>
      </c>
      <c r="H2" s="5" t="str">
        <f>'[3]0、规划配置'!B28</f>
        <v>全职业</v>
      </c>
      <c r="I2" s="5">
        <v>5</v>
      </c>
    </row>
    <row r="3" spans="2:16" x14ac:dyDescent="0.15">
      <c r="B3" s="5" t="s">
        <v>73</v>
      </c>
      <c r="C3" s="5">
        <v>1</v>
      </c>
      <c r="E3" s="5" t="s">
        <v>81</v>
      </c>
      <c r="F3" s="5">
        <v>1</v>
      </c>
      <c r="H3" s="5" t="str">
        <f>'[3]0、规划配置'!B29</f>
        <v>剑手</v>
      </c>
      <c r="I3" s="5">
        <f>'[3]0、规划配置'!C29</f>
        <v>1</v>
      </c>
    </row>
    <row r="4" spans="2:16" x14ac:dyDescent="0.15">
      <c r="B4" s="5" t="s">
        <v>74</v>
      </c>
      <c r="C4" s="5">
        <v>2</v>
      </c>
      <c r="E4" s="5" t="s">
        <v>82</v>
      </c>
      <c r="F4" s="5">
        <v>2</v>
      </c>
      <c r="H4" s="5" t="str">
        <f>'[3]0、规划配置'!B30</f>
        <v>拳师</v>
      </c>
      <c r="I4" s="5">
        <f>'[3]0、规划配置'!C30</f>
        <v>2</v>
      </c>
    </row>
    <row r="5" spans="2:16" x14ac:dyDescent="0.15">
      <c r="B5" s="5" t="s">
        <v>75</v>
      </c>
      <c r="C5" s="5">
        <v>3</v>
      </c>
      <c r="E5" s="5" t="s">
        <v>84</v>
      </c>
      <c r="F5" s="5">
        <v>3</v>
      </c>
      <c r="H5" s="5" t="str">
        <f>'[3]0、规划配置'!B31</f>
        <v>枪手</v>
      </c>
      <c r="I5" s="5">
        <f>'[3]0、规划配置'!C31</f>
        <v>3</v>
      </c>
    </row>
    <row r="6" spans="2:16" x14ac:dyDescent="0.15">
      <c r="B6" s="5" t="s">
        <v>76</v>
      </c>
      <c r="C6" s="5">
        <v>4</v>
      </c>
      <c r="E6" s="5" t="s">
        <v>83</v>
      </c>
      <c r="F6" s="5">
        <v>4</v>
      </c>
      <c r="H6" s="5" t="str">
        <f>'[3]0、规划配置'!B32</f>
        <v>牧师</v>
      </c>
      <c r="I6" s="5">
        <f>'[3]0、规划配置'!C32</f>
        <v>4</v>
      </c>
    </row>
    <row r="7" spans="2:16" x14ac:dyDescent="0.15">
      <c r="B7" s="5" t="s">
        <v>77</v>
      </c>
      <c r="C7" s="1">
        <v>5</v>
      </c>
      <c r="E7" s="5" t="s">
        <v>85</v>
      </c>
      <c r="F7" s="5">
        <v>5</v>
      </c>
      <c r="H7" s="5"/>
      <c r="I7" s="5"/>
    </row>
    <row r="12" spans="2:16" x14ac:dyDescent="0.15">
      <c r="B12" t="str">
        <f>'[3]0、规划配置'!B1</f>
        <v>属性类型</v>
      </c>
      <c r="C12" t="str">
        <f>'[3]0、规划配置'!C1</f>
        <v>属性ID</v>
      </c>
    </row>
    <row r="13" spans="2:16" x14ac:dyDescent="0.15">
      <c r="B13">
        <v>0</v>
      </c>
      <c r="C13">
        <f>'[3]0、规划配置'!C2</f>
        <v>0</v>
      </c>
      <c r="G13" s="22" t="str">
        <f>[3]各种公式!C12</f>
        <v>生命</v>
      </c>
      <c r="H13" s="22" t="str">
        <f>[3]各种公式!D12</f>
        <v>攻击</v>
      </c>
      <c r="I13" s="22" t="str">
        <f>[3]各种公式!E12</f>
        <v>防御</v>
      </c>
      <c r="J13" s="22" t="str">
        <f>[3]各种公式!F12</f>
        <v>闪避值</v>
      </c>
      <c r="K13" s="22" t="str">
        <f>[3]各种公式!G12</f>
        <v>命中值</v>
      </c>
      <c r="L13" s="22" t="str">
        <f>[3]各种公式!H12</f>
        <v>暴击值</v>
      </c>
      <c r="M13" s="22" t="str">
        <f>[3]各种公式!I12</f>
        <v>暴击倍数</v>
      </c>
      <c r="N13" s="22" t="str">
        <f>[3]各种公式!J12</f>
        <v>韧性值</v>
      </c>
      <c r="O13" s="22" t="str">
        <f>[3]各种公式!K12</f>
        <v>伤害减免</v>
      </c>
      <c r="P13" s="22" t="str">
        <f>[3]各种公式!L12</f>
        <v>伤害加深</v>
      </c>
    </row>
    <row r="14" spans="2:16" x14ac:dyDescent="0.15">
      <c r="B14" t="str">
        <f>'[3]0、规划配置'!B3</f>
        <v>生命</v>
      </c>
      <c r="C14">
        <f>'[3]0、规划配置'!C3</f>
        <v>1</v>
      </c>
      <c r="G14" s="22">
        <f>[3]各种公式!C13</f>
        <v>0.04</v>
      </c>
      <c r="H14" s="22">
        <f>[3]各种公式!D13</f>
        <v>1</v>
      </c>
      <c r="I14" s="22">
        <f>[3]各种公式!E13</f>
        <v>1</v>
      </c>
      <c r="J14" s="22">
        <f>[3]各种公式!F13</f>
        <v>0.34</v>
      </c>
      <c r="K14" s="22">
        <f>[3]各种公式!G13</f>
        <v>0.34</v>
      </c>
      <c r="L14" s="22">
        <f>[3]各种公式!H13</f>
        <v>0.18</v>
      </c>
      <c r="M14" s="22">
        <f>[3]各种公式!I13</f>
        <v>0.12</v>
      </c>
      <c r="N14" s="22">
        <f>[3]各种公式!J13</f>
        <v>0.18</v>
      </c>
      <c r="O14" s="22">
        <f>[3]各种公式!K13</f>
        <v>0.3</v>
      </c>
      <c r="P14" s="22">
        <f>[3]各种公式!L13</f>
        <v>0.3</v>
      </c>
    </row>
    <row r="15" spans="2:16" x14ac:dyDescent="0.15">
      <c r="B15" t="str">
        <f>'[3]0、规划配置'!B4</f>
        <v>攻击</v>
      </c>
      <c r="C15">
        <f>'[3]0、规划配置'!C4</f>
        <v>2</v>
      </c>
    </row>
    <row r="16" spans="2:16" x14ac:dyDescent="0.15">
      <c r="B16" t="str">
        <f>'[3]0、规划配置'!B5</f>
        <v>防御</v>
      </c>
      <c r="C16">
        <f>'[3]0、规划配置'!C5</f>
        <v>3</v>
      </c>
    </row>
    <row r="17" spans="2:7" x14ac:dyDescent="0.15">
      <c r="B17" t="str">
        <f>'[3]0、规划配置'!B6</f>
        <v>无属性</v>
      </c>
      <c r="C17">
        <f>'[3]0、规划配置'!C6</f>
        <v>4</v>
      </c>
    </row>
    <row r="18" spans="2:7" x14ac:dyDescent="0.15">
      <c r="B18" t="str">
        <f>'[3]0、规划配置'!B7</f>
        <v>无属性</v>
      </c>
      <c r="C18">
        <f>'[3]0、规划配置'!C7</f>
        <v>5</v>
      </c>
    </row>
    <row r="19" spans="2:7" x14ac:dyDescent="0.15">
      <c r="B19" t="str">
        <f>'[3]0、规划配置'!B8</f>
        <v>命中值</v>
      </c>
      <c r="C19">
        <f>'[3]0、规划配置'!C8</f>
        <v>6</v>
      </c>
      <c r="F19" t="s">
        <v>300</v>
      </c>
      <c r="G19" t="s">
        <v>301</v>
      </c>
    </row>
    <row r="20" spans="2:7" x14ac:dyDescent="0.15">
      <c r="B20" t="str">
        <f>'[3]0、规划配置'!B9</f>
        <v>闪避值</v>
      </c>
      <c r="C20">
        <f>'[3]0、规划配置'!C9</f>
        <v>7</v>
      </c>
      <c r="F20" s="5">
        <v>1</v>
      </c>
      <c r="G20" s="5">
        <v>1</v>
      </c>
    </row>
    <row r="21" spans="2:7" x14ac:dyDescent="0.15">
      <c r="B21" t="str">
        <f>'[3]0、规划配置'!B10</f>
        <v>暴击值</v>
      </c>
      <c r="C21">
        <f>'[3]0、规划配置'!C10</f>
        <v>8</v>
      </c>
      <c r="F21" s="5">
        <v>5</v>
      </c>
      <c r="G21" s="5">
        <v>1</v>
      </c>
    </row>
    <row r="22" spans="2:7" x14ac:dyDescent="0.15">
      <c r="B22" t="str">
        <f>'[3]0、规划配置'!B11</f>
        <v>韧性值</v>
      </c>
      <c r="C22">
        <f>'[3]0、规划配置'!C11</f>
        <v>9</v>
      </c>
      <c r="F22" s="5">
        <v>15</v>
      </c>
      <c r="G22" s="5">
        <v>2</v>
      </c>
    </row>
    <row r="23" spans="2:7" x14ac:dyDescent="0.15">
      <c r="B23" t="str">
        <f>'[3]0、规划配置'!B12</f>
        <v>暴击倍数</v>
      </c>
      <c r="C23">
        <f>'[3]0、规划配置'!C12</f>
        <v>10</v>
      </c>
      <c r="F23" s="5">
        <v>30</v>
      </c>
      <c r="G23" s="5">
        <v>3</v>
      </c>
    </row>
    <row r="24" spans="2:7" x14ac:dyDescent="0.15">
      <c r="B24" t="str">
        <f>'[3]0、规划配置'!B13</f>
        <v>无属性</v>
      </c>
      <c r="C24">
        <f>'[3]0、规划配置'!C13</f>
        <v>11</v>
      </c>
      <c r="F24" s="5">
        <v>45</v>
      </c>
      <c r="G24" s="5">
        <v>4</v>
      </c>
    </row>
    <row r="25" spans="2:7" x14ac:dyDescent="0.15">
      <c r="B25" t="str">
        <f>'[3]0、规划配置'!B14</f>
        <v>生命加成</v>
      </c>
      <c r="C25">
        <f>'[3]0、规划配置'!C14</f>
        <v>21</v>
      </c>
      <c r="F25" s="5">
        <v>60</v>
      </c>
      <c r="G25" s="5">
        <v>5</v>
      </c>
    </row>
    <row r="26" spans="2:7" x14ac:dyDescent="0.15">
      <c r="B26" t="str">
        <f>'[3]0、规划配置'!B15</f>
        <v>攻击加成</v>
      </c>
      <c r="C26">
        <f>'[3]0、规划配置'!C15</f>
        <v>22</v>
      </c>
      <c r="F26" s="5">
        <v>70</v>
      </c>
      <c r="G26" s="5">
        <v>4</v>
      </c>
    </row>
    <row r="27" spans="2:7" x14ac:dyDescent="0.15">
      <c r="B27" t="str">
        <f>'[3]0、规划配置'!B16</f>
        <v>防御加成</v>
      </c>
      <c r="C27">
        <f>'[3]0、规划配置'!C16</f>
        <v>23</v>
      </c>
      <c r="F27" s="5">
        <v>80</v>
      </c>
      <c r="G27" s="5">
        <v>6</v>
      </c>
    </row>
    <row r="28" spans="2:7" x14ac:dyDescent="0.15">
      <c r="B28" t="str">
        <f>'[3]0、规划配置'!B17</f>
        <v>伤害加深</v>
      </c>
      <c r="C28">
        <f>'[3]0、规划配置'!C17</f>
        <v>24</v>
      </c>
    </row>
    <row r="29" spans="2:7" x14ac:dyDescent="0.15">
      <c r="B29" t="str">
        <f>'[3]0、规划配置'!B18</f>
        <v>伤害减免</v>
      </c>
      <c r="C29">
        <f>'[3]0、规划配置'!C18</f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K187"/>
  <sheetViews>
    <sheetView topLeftCell="A25" zoomScaleNormal="100" workbookViewId="0">
      <selection activeCell="O58" sqref="O58"/>
    </sheetView>
  </sheetViews>
  <sheetFormatPr defaultRowHeight="13.5" x14ac:dyDescent="0.15"/>
  <cols>
    <col min="2" max="2" width="10.375" customWidth="1"/>
    <col min="4" max="4" width="11.875" customWidth="1"/>
    <col min="5" max="5" width="13.625" customWidth="1"/>
    <col min="6" max="6" width="10.5" customWidth="1"/>
    <col min="8" max="8" width="12.75" bestFit="1" customWidth="1"/>
    <col min="16" max="16" width="15.75" customWidth="1"/>
    <col min="17" max="17" width="11.625" bestFit="1" customWidth="1"/>
    <col min="38" max="38" width="10.5" bestFit="1" customWidth="1"/>
    <col min="60" max="61" width="13.875" bestFit="1" customWidth="1"/>
  </cols>
  <sheetData>
    <row r="2" spans="2:25" x14ac:dyDescent="0.15">
      <c r="D2" t="s">
        <v>99</v>
      </c>
      <c r="F2">
        <v>3</v>
      </c>
      <c r="G2">
        <v>4</v>
      </c>
      <c r="H2" s="25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</row>
    <row r="3" spans="2:25" x14ac:dyDescent="0.15">
      <c r="D3" s="1" t="s">
        <v>0</v>
      </c>
      <c r="E3" s="1" t="s">
        <v>1</v>
      </c>
      <c r="F3" s="2" t="s">
        <v>2</v>
      </c>
      <c r="G3" s="2" t="s">
        <v>3</v>
      </c>
      <c r="H3" s="3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R3" s="7" t="s">
        <v>21</v>
      </c>
      <c r="S3" s="2"/>
      <c r="T3" s="2"/>
      <c r="U3" s="8"/>
      <c r="V3" s="9"/>
      <c r="W3" s="10"/>
      <c r="X3" s="5">
        <v>1</v>
      </c>
      <c r="Y3">
        <v>1</v>
      </c>
    </row>
    <row r="4" spans="2:25" x14ac:dyDescent="0.15">
      <c r="D4" s="4" t="s">
        <v>12</v>
      </c>
      <c r="E4" s="1">
        <v>1</v>
      </c>
      <c r="F4" s="5"/>
      <c r="G4" s="6">
        <v>3</v>
      </c>
      <c r="H4" s="5"/>
      <c r="I4" s="5"/>
      <c r="J4" s="5"/>
      <c r="K4" s="6">
        <v>1</v>
      </c>
      <c r="L4" s="1"/>
      <c r="M4" s="5"/>
      <c r="N4" s="5"/>
      <c r="O4" s="5"/>
      <c r="R4" s="7"/>
      <c r="S4" s="2" t="s">
        <v>22</v>
      </c>
      <c r="T4" s="2"/>
      <c r="U4" s="8" t="s">
        <v>18</v>
      </c>
      <c r="V4" s="9"/>
      <c r="W4" s="10"/>
      <c r="X4" s="5">
        <v>2</v>
      </c>
      <c r="Y4">
        <v>1</v>
      </c>
    </row>
    <row r="5" spans="2:25" x14ac:dyDescent="0.15">
      <c r="D5" s="4" t="s">
        <v>13</v>
      </c>
      <c r="E5" s="1">
        <v>2</v>
      </c>
      <c r="F5" s="6">
        <v>3</v>
      </c>
      <c r="G5" s="5"/>
      <c r="H5" s="6">
        <v>3</v>
      </c>
      <c r="I5" s="5"/>
      <c r="J5" s="5"/>
      <c r="K5" s="5"/>
      <c r="L5" s="5"/>
      <c r="M5" s="5"/>
      <c r="N5" s="5"/>
      <c r="O5" s="5"/>
      <c r="R5" s="7"/>
      <c r="S5" s="2" t="s">
        <v>23</v>
      </c>
      <c r="T5" s="2"/>
      <c r="U5" s="8" t="s">
        <v>24</v>
      </c>
      <c r="V5" s="9"/>
      <c r="W5" s="10"/>
      <c r="X5" s="5">
        <v>2</v>
      </c>
      <c r="Y5">
        <v>3</v>
      </c>
    </row>
    <row r="6" spans="2:25" x14ac:dyDescent="0.15">
      <c r="D6" s="4" t="s">
        <v>14</v>
      </c>
      <c r="E6" s="1">
        <v>3</v>
      </c>
      <c r="F6" s="5"/>
      <c r="G6" s="5"/>
      <c r="H6" s="6">
        <v>2</v>
      </c>
      <c r="I6" s="6">
        <v>1</v>
      </c>
      <c r="J6" s="5"/>
      <c r="K6" s="5"/>
      <c r="L6" s="5"/>
      <c r="M6" s="5"/>
      <c r="N6" s="5"/>
      <c r="O6" s="5"/>
      <c r="R6" s="7"/>
      <c r="S6" s="2"/>
      <c r="T6" s="2"/>
      <c r="U6" s="8" t="s">
        <v>25</v>
      </c>
      <c r="V6" s="9" t="s">
        <v>26</v>
      </c>
      <c r="W6" s="10"/>
      <c r="X6" s="5">
        <v>2</v>
      </c>
      <c r="Y6">
        <v>3</v>
      </c>
    </row>
    <row r="7" spans="2:25" x14ac:dyDescent="0.15">
      <c r="D7" s="4" t="s">
        <v>15</v>
      </c>
      <c r="E7" s="1">
        <v>4</v>
      </c>
      <c r="F7" s="6">
        <v>1</v>
      </c>
      <c r="G7" s="5"/>
      <c r="H7" s="5"/>
      <c r="I7" s="6">
        <v>2</v>
      </c>
      <c r="K7" s="5"/>
      <c r="L7" s="5"/>
      <c r="M7" s="5"/>
      <c r="N7" s="5"/>
      <c r="O7" s="5"/>
      <c r="R7" s="7"/>
      <c r="S7" s="2"/>
      <c r="T7" s="2"/>
      <c r="U7" s="8" t="s">
        <v>27</v>
      </c>
      <c r="V7" s="9" t="s">
        <v>28</v>
      </c>
      <c r="W7" s="10" t="s">
        <v>29</v>
      </c>
      <c r="X7" s="5">
        <v>3</v>
      </c>
      <c r="Y7">
        <v>4</v>
      </c>
    </row>
    <row r="8" spans="2:25" x14ac:dyDescent="0.15">
      <c r="D8" s="4" t="s">
        <v>16</v>
      </c>
      <c r="E8" s="1">
        <v>5</v>
      </c>
      <c r="F8" s="6">
        <v>1</v>
      </c>
      <c r="G8" s="5"/>
      <c r="H8" s="5"/>
      <c r="J8" s="1"/>
      <c r="K8" s="5"/>
      <c r="L8" s="5"/>
      <c r="M8" s="6">
        <v>1</v>
      </c>
      <c r="N8" s="5"/>
      <c r="O8" s="1"/>
      <c r="R8" s="7"/>
      <c r="S8" s="2"/>
      <c r="T8" s="2"/>
      <c r="U8" s="8" t="s">
        <v>30</v>
      </c>
      <c r="V8" s="9" t="s">
        <v>31</v>
      </c>
      <c r="W8" s="10" t="s">
        <v>19</v>
      </c>
      <c r="X8" s="5">
        <v>3</v>
      </c>
      <c r="Y8">
        <v>5</v>
      </c>
    </row>
    <row r="9" spans="2:25" x14ac:dyDescent="0.15">
      <c r="D9" s="4" t="s">
        <v>17</v>
      </c>
      <c r="E9" s="1">
        <v>6</v>
      </c>
      <c r="F9" s="5"/>
      <c r="G9" s="6">
        <v>1</v>
      </c>
      <c r="H9" s="5"/>
      <c r="I9" s="5"/>
      <c r="J9" s="6">
        <v>2</v>
      </c>
      <c r="K9" s="5"/>
      <c r="L9" s="5"/>
      <c r="M9" s="5"/>
      <c r="N9" s="5"/>
      <c r="O9" s="5"/>
      <c r="R9" s="5"/>
      <c r="S9" s="5"/>
      <c r="T9" s="5"/>
      <c r="U9" s="5"/>
      <c r="V9" s="9" t="s">
        <v>32</v>
      </c>
      <c r="W9" s="10" t="s">
        <v>20</v>
      </c>
      <c r="X9" s="5">
        <v>2</v>
      </c>
      <c r="Y9">
        <v>6</v>
      </c>
    </row>
    <row r="10" spans="2:25" x14ac:dyDescent="0.15">
      <c r="F10">
        <f t="shared" ref="F10:L10" si="0">IF(SUM(F4:F9)=0,1,SUM(F4:F9))</f>
        <v>5</v>
      </c>
      <c r="G10">
        <f t="shared" si="0"/>
        <v>4</v>
      </c>
      <c r="H10">
        <f t="shared" si="0"/>
        <v>5</v>
      </c>
      <c r="I10">
        <f t="shared" si="0"/>
        <v>3</v>
      </c>
      <c r="J10">
        <f t="shared" si="0"/>
        <v>2</v>
      </c>
      <c r="K10">
        <f t="shared" si="0"/>
        <v>1</v>
      </c>
      <c r="L10">
        <f t="shared" si="0"/>
        <v>1</v>
      </c>
      <c r="M10">
        <f>IF(SUM(M4:M9)=0,1,SUM(M4:M9))</f>
        <v>1</v>
      </c>
      <c r="N10">
        <f t="shared" ref="N10" si="1">IF(SUM(N4:N9)=0,1,SUM(N4:N9))</f>
        <v>1</v>
      </c>
      <c r="O10">
        <f t="shared" ref="O10" si="2">IF(SUM(O4:O9)=0,1,SUM(O4:O9))</f>
        <v>1</v>
      </c>
      <c r="W10" s="1" t="s">
        <v>33</v>
      </c>
      <c r="X10" s="1">
        <v>15</v>
      </c>
    </row>
    <row r="11" spans="2:25" x14ac:dyDescent="0.15">
      <c r="B11" s="23"/>
      <c r="C11" s="23"/>
      <c r="K11" s="44">
        <v>0.01</v>
      </c>
    </row>
    <row r="12" spans="2:25" x14ac:dyDescent="0.15">
      <c r="D12" t="s">
        <v>100</v>
      </c>
    </row>
    <row r="13" spans="2:25" x14ac:dyDescent="0.15">
      <c r="D13" s="1" t="s">
        <v>0</v>
      </c>
      <c r="E13" s="1" t="s">
        <v>1</v>
      </c>
      <c r="F13" s="2" t="s">
        <v>2</v>
      </c>
      <c r="G13" s="2" t="s">
        <v>3</v>
      </c>
      <c r="H13" s="3" t="s">
        <v>4</v>
      </c>
      <c r="I13" s="2" t="s">
        <v>5</v>
      </c>
      <c r="J13" s="2" t="s">
        <v>6</v>
      </c>
      <c r="K13" s="2" t="s">
        <v>7</v>
      </c>
      <c r="L13" s="2" t="s">
        <v>8</v>
      </c>
      <c r="M13" s="2" t="s">
        <v>9</v>
      </c>
      <c r="N13" s="2" t="s">
        <v>10</v>
      </c>
      <c r="O13" s="2" t="s">
        <v>11</v>
      </c>
    </row>
    <row r="14" spans="2:25" x14ac:dyDescent="0.15">
      <c r="D14" s="4" t="s">
        <v>12</v>
      </c>
      <c r="E14" s="1">
        <v>1</v>
      </c>
      <c r="F14" s="5"/>
      <c r="G14" s="6">
        <v>3</v>
      </c>
      <c r="H14" s="5">
        <v>1</v>
      </c>
      <c r="I14" s="5"/>
      <c r="J14" s="5">
        <v>1</v>
      </c>
      <c r="K14" s="6">
        <v>2</v>
      </c>
      <c r="L14" s="1"/>
      <c r="M14" s="5"/>
      <c r="N14" s="5"/>
      <c r="O14" s="5"/>
      <c r="P14">
        <f>COUNTA(F14:O14)</f>
        <v>4</v>
      </c>
    </row>
    <row r="15" spans="2:25" s="22" customFormat="1" x14ac:dyDescent="0.15">
      <c r="D15" s="4" t="s">
        <v>13</v>
      </c>
      <c r="E15" s="1">
        <v>2</v>
      </c>
      <c r="F15" s="6">
        <v>2</v>
      </c>
      <c r="G15" s="5"/>
      <c r="H15" s="6">
        <v>3</v>
      </c>
      <c r="I15" s="5">
        <v>1</v>
      </c>
      <c r="J15" s="5"/>
      <c r="K15" s="5"/>
      <c r="L15" s="5"/>
      <c r="M15" s="5">
        <v>1</v>
      </c>
      <c r="N15" s="5"/>
      <c r="O15" s="5"/>
      <c r="P15">
        <f t="shared" ref="P15:P19" si="3">COUNTA(F15:O15)</f>
        <v>4</v>
      </c>
    </row>
    <row r="16" spans="2:25" s="22" customFormat="1" x14ac:dyDescent="0.15">
      <c r="D16" s="4" t="s">
        <v>14</v>
      </c>
      <c r="E16" s="1">
        <v>3</v>
      </c>
      <c r="F16" s="5">
        <v>1</v>
      </c>
      <c r="G16" s="5"/>
      <c r="H16" s="6">
        <v>1</v>
      </c>
      <c r="I16" s="6">
        <v>1</v>
      </c>
      <c r="J16" s="5"/>
      <c r="K16" s="5"/>
      <c r="L16" s="5"/>
      <c r="M16" s="5">
        <v>1</v>
      </c>
      <c r="N16" s="5"/>
      <c r="O16" s="5"/>
      <c r="P16">
        <f t="shared" si="3"/>
        <v>4</v>
      </c>
    </row>
    <row r="17" spans="1:63" s="22" customFormat="1" x14ac:dyDescent="0.15">
      <c r="D17" s="4" t="s">
        <v>15</v>
      </c>
      <c r="E17" s="1">
        <v>4</v>
      </c>
      <c r="F17" s="6">
        <v>1</v>
      </c>
      <c r="G17" s="5"/>
      <c r="H17" s="5"/>
      <c r="I17" s="6">
        <v>2</v>
      </c>
      <c r="J17">
        <v>1</v>
      </c>
      <c r="K17" s="5">
        <v>1</v>
      </c>
      <c r="L17" s="5"/>
      <c r="M17" s="5"/>
      <c r="N17" s="5"/>
      <c r="O17" s="5"/>
      <c r="P17">
        <f t="shared" si="3"/>
        <v>4</v>
      </c>
    </row>
    <row r="18" spans="1:63" s="22" customFormat="1" x14ac:dyDescent="0.15">
      <c r="D18" s="4" t="s">
        <v>16</v>
      </c>
      <c r="E18" s="1">
        <v>5</v>
      </c>
      <c r="F18" s="6">
        <v>2</v>
      </c>
      <c r="G18" s="5">
        <v>1</v>
      </c>
      <c r="H18" s="5">
        <v>1</v>
      </c>
      <c r="I18"/>
      <c r="J18" s="1"/>
      <c r="K18" s="5"/>
      <c r="L18" s="5"/>
      <c r="M18" s="6">
        <v>1</v>
      </c>
      <c r="N18" s="5"/>
      <c r="O18" s="1"/>
      <c r="P18">
        <f t="shared" si="3"/>
        <v>4</v>
      </c>
    </row>
    <row r="19" spans="1:63" s="22" customFormat="1" x14ac:dyDescent="0.15">
      <c r="D19" s="4" t="s">
        <v>17</v>
      </c>
      <c r="E19" s="1">
        <v>6</v>
      </c>
      <c r="F19" s="5"/>
      <c r="G19" s="6">
        <v>1</v>
      </c>
      <c r="H19" s="5"/>
      <c r="I19" s="5">
        <v>1</v>
      </c>
      <c r="J19" s="6">
        <v>1</v>
      </c>
      <c r="K19" s="5">
        <v>2</v>
      </c>
      <c r="L19" s="5"/>
      <c r="M19" s="5"/>
      <c r="N19" s="5"/>
      <c r="O19" s="5"/>
      <c r="P19">
        <f t="shared" si="3"/>
        <v>4</v>
      </c>
    </row>
    <row r="20" spans="1:63" s="22" customFormat="1" x14ac:dyDescent="0.15">
      <c r="D20"/>
      <c r="E20"/>
      <c r="F20">
        <f t="shared" ref="F20:L20" si="4">IF(SUM(F14:F19)=0,1,SUM(F14:F19))</f>
        <v>6</v>
      </c>
      <c r="G20">
        <f t="shared" si="4"/>
        <v>5</v>
      </c>
      <c r="H20">
        <f t="shared" si="4"/>
        <v>6</v>
      </c>
      <c r="I20">
        <f t="shared" si="4"/>
        <v>5</v>
      </c>
      <c r="J20">
        <f t="shared" si="4"/>
        <v>3</v>
      </c>
      <c r="K20">
        <f t="shared" si="4"/>
        <v>5</v>
      </c>
      <c r="L20">
        <f t="shared" si="4"/>
        <v>1</v>
      </c>
      <c r="M20">
        <f>IF(SUM(M14:M19)=0,1,SUM(M14:M19))</f>
        <v>3</v>
      </c>
      <c r="N20">
        <f t="shared" ref="N20:O20" si="5">IF(SUM(N14:N19)=0,1,SUM(N14:N19))</f>
        <v>1</v>
      </c>
      <c r="O20">
        <f t="shared" si="5"/>
        <v>1</v>
      </c>
    </row>
    <row r="21" spans="1:63" s="22" customFormat="1" x14ac:dyDescent="0.15">
      <c r="F21" s="22">
        <f>SUM(F4:F9)+SUM(F14:F19)</f>
        <v>11</v>
      </c>
      <c r="G21" s="22">
        <f t="shared" ref="G21:O21" si="6">SUM(G4:G9)+SUM(G14:G19)</f>
        <v>9</v>
      </c>
      <c r="H21" s="22">
        <f t="shared" si="6"/>
        <v>11</v>
      </c>
      <c r="I21" s="22">
        <f t="shared" si="6"/>
        <v>8</v>
      </c>
      <c r="J21" s="22">
        <f t="shared" si="6"/>
        <v>5</v>
      </c>
      <c r="K21" s="22">
        <f t="shared" si="6"/>
        <v>6</v>
      </c>
      <c r="L21" s="22">
        <f t="shared" si="6"/>
        <v>0</v>
      </c>
      <c r="M21" s="22">
        <f t="shared" si="6"/>
        <v>4</v>
      </c>
      <c r="N21" s="22">
        <f t="shared" si="6"/>
        <v>0</v>
      </c>
      <c r="O21" s="22">
        <f t="shared" si="6"/>
        <v>0</v>
      </c>
    </row>
    <row r="22" spans="1:63" s="22" customFormat="1" x14ac:dyDescent="0.15">
      <c r="Q22" s="18">
        <v>1</v>
      </c>
      <c r="R22" s="18">
        <v>2</v>
      </c>
      <c r="S22" s="18">
        <v>3</v>
      </c>
      <c r="T22" s="18">
        <v>4</v>
      </c>
      <c r="U22" s="24">
        <v>5</v>
      </c>
    </row>
    <row r="23" spans="1:63" s="22" customFormat="1" x14ac:dyDescent="0.15">
      <c r="P23" s="22" t="s">
        <v>103</v>
      </c>
      <c r="Q23" s="22">
        <f>[3]装备规划!R26</f>
        <v>1</v>
      </c>
      <c r="R23" s="22">
        <f>[3]装备规划!S26</f>
        <v>1</v>
      </c>
      <c r="S23" s="22">
        <f>[3]装备规划!T26</f>
        <v>0.9</v>
      </c>
      <c r="T23" s="22">
        <f>[3]装备规划!U26</f>
        <v>0.8</v>
      </c>
      <c r="U23" s="22">
        <f>[3]装备规划!V26</f>
        <v>0.7</v>
      </c>
    </row>
    <row r="24" spans="1:63" s="22" customFormat="1" x14ac:dyDescent="0.15">
      <c r="P24" s="22" t="s">
        <v>104</v>
      </c>
      <c r="Q24" s="22">
        <f>[3]装备规划!R27</f>
        <v>0</v>
      </c>
      <c r="R24" s="22">
        <f>[3]装备规划!S27</f>
        <v>0.1</v>
      </c>
      <c r="S24" s="22">
        <f>[3]装备规划!T27</f>
        <v>0.2</v>
      </c>
      <c r="T24" s="22">
        <f>[3]装备规划!U27</f>
        <v>0.30000000000000004</v>
      </c>
      <c r="U24" s="22">
        <f>[3]装备规划!V27</f>
        <v>0.4</v>
      </c>
    </row>
    <row r="25" spans="1:63" s="22" customFormat="1" x14ac:dyDescent="0.15">
      <c r="P25" s="22" t="s">
        <v>102</v>
      </c>
      <c r="Q25" s="22">
        <f>[3]装备规划!$B$16</f>
        <v>0.1</v>
      </c>
    </row>
    <row r="26" spans="1:63" s="22" customFormat="1" x14ac:dyDescent="0.15"/>
    <row r="27" spans="1:63" x14ac:dyDescent="0.15">
      <c r="F27" s="5" t="s">
        <v>106</v>
      </c>
      <c r="G27" s="5" t="s">
        <v>107</v>
      </c>
      <c r="H27" s="5" t="s">
        <v>108</v>
      </c>
      <c r="I27" s="5" t="s">
        <v>109</v>
      </c>
      <c r="J27" s="5" t="s">
        <v>110</v>
      </c>
      <c r="K27" s="5" t="s">
        <v>111</v>
      </c>
      <c r="L27" s="5" t="s">
        <v>112</v>
      </c>
      <c r="M27" s="5" t="s">
        <v>113</v>
      </c>
      <c r="N27" s="5" t="s">
        <v>114</v>
      </c>
      <c r="O27" s="5" t="s">
        <v>115</v>
      </c>
      <c r="P27" s="1" t="s">
        <v>116</v>
      </c>
      <c r="Q27" s="1" t="s">
        <v>117</v>
      </c>
      <c r="R27" s="1" t="s">
        <v>118</v>
      </c>
      <c r="S27" s="1" t="s">
        <v>119</v>
      </c>
      <c r="T27" s="1" t="s">
        <v>120</v>
      </c>
      <c r="U27" s="1" t="s">
        <v>121</v>
      </c>
      <c r="V27" s="1" t="s">
        <v>122</v>
      </c>
      <c r="W27" s="1" t="s">
        <v>123</v>
      </c>
      <c r="X27" s="1" t="s">
        <v>124</v>
      </c>
      <c r="Y27" s="1" t="s">
        <v>125</v>
      </c>
    </row>
    <row r="28" spans="1:63" x14ac:dyDescent="0.15"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63" x14ac:dyDescent="0.15">
      <c r="B29" s="97"/>
      <c r="C29" s="97"/>
      <c r="O29" s="98" t="s">
        <v>105</v>
      </c>
      <c r="P29" s="98"/>
      <c r="Q29" s="98"/>
      <c r="R29" s="98"/>
      <c r="S29" s="98"/>
      <c r="T29" s="98"/>
      <c r="U29" s="98"/>
      <c r="V29" s="98"/>
      <c r="W29" s="98"/>
      <c r="X29" s="98"/>
      <c r="Y29" s="98"/>
      <c r="AJ29">
        <v>1</v>
      </c>
      <c r="AK29">
        <v>2</v>
      </c>
      <c r="AL29">
        <v>3</v>
      </c>
      <c r="AM29">
        <v>4</v>
      </c>
      <c r="AN29">
        <v>5</v>
      </c>
      <c r="AO29">
        <v>6</v>
      </c>
      <c r="AP29">
        <v>7</v>
      </c>
      <c r="AQ29">
        <v>8</v>
      </c>
      <c r="AR29">
        <v>9</v>
      </c>
      <c r="AS29">
        <v>10</v>
      </c>
      <c r="AT29">
        <v>11</v>
      </c>
      <c r="AU29">
        <v>12</v>
      </c>
      <c r="AV29">
        <v>13</v>
      </c>
      <c r="AW29">
        <v>14</v>
      </c>
      <c r="AX29">
        <v>15</v>
      </c>
      <c r="AY29">
        <v>16</v>
      </c>
      <c r="AZ29">
        <v>17</v>
      </c>
      <c r="BA29">
        <v>18</v>
      </c>
      <c r="BB29">
        <v>19</v>
      </c>
      <c r="BC29">
        <v>20</v>
      </c>
      <c r="BD29">
        <v>21</v>
      </c>
      <c r="BE29">
        <v>22</v>
      </c>
      <c r="BF29">
        <v>23</v>
      </c>
    </row>
    <row r="30" spans="1:63" ht="14.25" thickBot="1" x14ac:dyDescent="0.2">
      <c r="B30">
        <f>ROW(B30)+2</f>
        <v>32</v>
      </c>
      <c r="D30" s="5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5"/>
      <c r="P30" s="20">
        <v>5</v>
      </c>
      <c r="Q30" s="20">
        <v>6</v>
      </c>
      <c r="R30" s="20">
        <v>7</v>
      </c>
      <c r="S30" s="20">
        <v>8</v>
      </c>
      <c r="T30" s="20">
        <v>9</v>
      </c>
      <c r="U30" s="20">
        <v>10</v>
      </c>
      <c r="V30" s="20">
        <v>11</v>
      </c>
      <c r="W30" s="20">
        <v>12</v>
      </c>
      <c r="X30" s="20">
        <v>13</v>
      </c>
      <c r="Y30" s="20">
        <v>14</v>
      </c>
      <c r="AJ30" t="s">
        <v>101</v>
      </c>
    </row>
    <row r="31" spans="1:63" x14ac:dyDescent="0.15">
      <c r="A31" s="5" t="s">
        <v>98</v>
      </c>
      <c r="B31" s="5" t="s">
        <v>87</v>
      </c>
      <c r="C31" s="4" t="s">
        <v>88</v>
      </c>
      <c r="D31" s="28" t="s">
        <v>86</v>
      </c>
      <c r="E31" s="51" t="s">
        <v>2</v>
      </c>
      <c r="F31" s="52" t="s">
        <v>3</v>
      </c>
      <c r="G31" s="53" t="s">
        <v>4</v>
      </c>
      <c r="H31" s="52" t="s">
        <v>167</v>
      </c>
      <c r="I31" s="52" t="s">
        <v>166</v>
      </c>
      <c r="J31" s="52" t="s">
        <v>164</v>
      </c>
      <c r="K31" s="52" t="s">
        <v>92</v>
      </c>
      <c r="L31" s="52" t="s">
        <v>165</v>
      </c>
      <c r="M31" s="54" t="s">
        <v>89</v>
      </c>
      <c r="N31" s="55" t="s">
        <v>93</v>
      </c>
      <c r="O31" s="50" t="s">
        <v>2</v>
      </c>
      <c r="P31" s="2" t="s">
        <v>3</v>
      </c>
      <c r="Q31" s="3" t="s">
        <v>4</v>
      </c>
      <c r="R31" s="2" t="s">
        <v>167</v>
      </c>
      <c r="S31" s="2" t="s">
        <v>166</v>
      </c>
      <c r="T31" s="2" t="s">
        <v>164</v>
      </c>
      <c r="U31" s="2" t="s">
        <v>92</v>
      </c>
      <c r="V31" s="2" t="s">
        <v>165</v>
      </c>
      <c r="W31" s="13" t="s">
        <v>89</v>
      </c>
      <c r="X31" s="13" t="s">
        <v>93</v>
      </c>
      <c r="Y31" s="1"/>
      <c r="Z31" s="2" t="s">
        <v>2</v>
      </c>
      <c r="AA31" s="2" t="s">
        <v>3</v>
      </c>
      <c r="AB31" s="3" t="s">
        <v>4</v>
      </c>
      <c r="AC31" s="2" t="s">
        <v>167</v>
      </c>
      <c r="AD31" s="2" t="s">
        <v>166</v>
      </c>
      <c r="AE31" s="2" t="s">
        <v>164</v>
      </c>
      <c r="AF31" s="2" t="s">
        <v>92</v>
      </c>
      <c r="AG31" s="2" t="s">
        <v>165</v>
      </c>
      <c r="AH31" s="13" t="s">
        <v>89</v>
      </c>
      <c r="AI31" s="13" t="s">
        <v>90</v>
      </c>
      <c r="AJ31" s="19" t="s">
        <v>91</v>
      </c>
      <c r="AK31" s="5" t="s">
        <v>97</v>
      </c>
      <c r="AL31" s="19" t="s">
        <v>133</v>
      </c>
      <c r="AM31" s="26">
        <f t="array" aca="1" ref="AM31" ca="1">LOOKUP(1,1/($E$32:$X$32&lt;&gt;0))</f>
        <v>1</v>
      </c>
      <c r="AN31" s="26">
        <v>1</v>
      </c>
      <c r="AO31" s="26">
        <v>2</v>
      </c>
      <c r="AP31" s="26">
        <v>2</v>
      </c>
      <c r="AQ31" s="26">
        <v>3</v>
      </c>
      <c r="AR31" s="26">
        <v>3</v>
      </c>
      <c r="AS31" s="26">
        <v>4</v>
      </c>
      <c r="AT31" s="26">
        <v>4</v>
      </c>
      <c r="AU31" s="26">
        <v>5</v>
      </c>
      <c r="AV31" s="26">
        <v>5</v>
      </c>
      <c r="AW31" s="26">
        <v>6</v>
      </c>
      <c r="AX31" s="26">
        <v>6</v>
      </c>
      <c r="AY31" s="26">
        <v>7</v>
      </c>
      <c r="AZ31" s="26">
        <v>7</v>
      </c>
      <c r="BA31" s="26">
        <v>8</v>
      </c>
      <c r="BB31" s="27">
        <v>8</v>
      </c>
      <c r="BC31" s="27">
        <v>9</v>
      </c>
      <c r="BD31" s="27">
        <v>9</v>
      </c>
      <c r="BE31" s="27">
        <v>10</v>
      </c>
      <c r="BF31" s="27">
        <v>10</v>
      </c>
      <c r="BH31" t="s">
        <v>168</v>
      </c>
      <c r="BI31" t="s">
        <v>169</v>
      </c>
      <c r="BJ31" s="5" t="s">
        <v>170</v>
      </c>
      <c r="BK31" s="5" t="s">
        <v>226</v>
      </c>
    </row>
    <row r="32" spans="1:63" x14ac:dyDescent="0.15">
      <c r="A32" s="17" t="str">
        <f>D32&amp;B32&amp;VLOOKUP(C32,定义数据!$E$1:$F$7,2,FALSE)</f>
        <v>500</v>
      </c>
      <c r="B32" s="18">
        <v>0</v>
      </c>
      <c r="C32" s="18" t="s">
        <v>80</v>
      </c>
      <c r="D32" s="24">
        <v>5</v>
      </c>
      <c r="E32" s="56">
        <f ca="1">VLOOKUP($C32,$D$4:$O$9,F$2,FALSE)/F$10*Z32*OFFSET($Q$23,0,$B32)</f>
        <v>0</v>
      </c>
      <c r="F32" s="56">
        <f t="shared" ref="F32:N32" ca="1" si="7">VLOOKUP($C32,$D$4:$O$9,G$2,FALSE)/G$10*AA32*OFFSET($Q$23,0,$B32)</f>
        <v>14.932414973262038</v>
      </c>
      <c r="G32" s="56">
        <f t="shared" ca="1" si="7"/>
        <v>0</v>
      </c>
      <c r="H32" s="56">
        <f t="shared" ca="1" si="7"/>
        <v>0</v>
      </c>
      <c r="I32" s="56">
        <f t="shared" ca="1" si="7"/>
        <v>0</v>
      </c>
      <c r="J32" s="56">
        <f t="shared" ca="1" si="7"/>
        <v>9.2592592592592595</v>
      </c>
      <c r="K32" s="56">
        <f t="shared" ca="1" si="7"/>
        <v>0</v>
      </c>
      <c r="L32" s="56">
        <f t="shared" ca="1" si="7"/>
        <v>0</v>
      </c>
      <c r="M32" s="56">
        <f t="shared" ca="1" si="7"/>
        <v>0</v>
      </c>
      <c r="N32" s="56">
        <f t="shared" ca="1" si="7"/>
        <v>0</v>
      </c>
      <c r="O32" s="65">
        <f t="shared" ref="O32:O37" ca="1" si="8">VLOOKUP($C32,$D$14:$O$19,F$2,FALSE)/F$20*Z32*OFFSET($Q$24,0,$B32)</f>
        <v>0</v>
      </c>
      <c r="P32" s="65">
        <f t="shared" ref="P32:P37" ca="1" si="9">VLOOKUP($C32,$D$14:$O$19,G$2,FALSE)/G$20*AA32*OFFSET($Q$24,0,$B32)</f>
        <v>0</v>
      </c>
      <c r="Q32" s="65">
        <f t="shared" ref="Q32:Q37" ca="1" si="10">VLOOKUP($C32,$D$14:$O$19,H$2,FALSE)/H$20*AB32*OFFSET($Q$24,0,$B32)</f>
        <v>0</v>
      </c>
      <c r="R32" s="65">
        <f t="shared" ref="R32:R37" ca="1" si="11">VLOOKUP($C32,$D$14:$O$19,I$2,FALSE)/I$20*AC32*OFFSET($Q$24,0,$B32)</f>
        <v>0</v>
      </c>
      <c r="S32" s="65">
        <f t="shared" ref="S32:S37" ca="1" si="12">VLOOKUP($C32,$D$14:$O$19,J$2,FALSE)/J$20*AD32*OFFSET($Q$24,0,$B32)</f>
        <v>0</v>
      </c>
      <c r="T32" s="65">
        <f t="shared" ref="T32:T37" ca="1" si="13">VLOOKUP($C32,$D$14:$O$19,K$2,FALSE)/K$20*AE32*OFFSET($Q$24,0,$B32)</f>
        <v>0</v>
      </c>
      <c r="U32" s="65">
        <f t="shared" ref="U32:U37" ca="1" si="14">VLOOKUP($C32,$D$14:$O$19,L$2,FALSE)/L$20*AF32*OFFSET($Q$24,0,$B32)</f>
        <v>0</v>
      </c>
      <c r="V32" s="65">
        <f t="shared" ref="V32:V37" ca="1" si="15">VLOOKUP($C32,$D$14:$O$19,M$2,FALSE)/M$20*AG32*OFFSET($Q$24,0,$B32)</f>
        <v>0</v>
      </c>
      <c r="W32" s="65">
        <f t="shared" ref="W32:W37" ca="1" si="16">VLOOKUP($C32,$D$14:$O$19,N$2,FALSE)/N$20*AH32*OFFSET($Q$24,0,$B32)</f>
        <v>0</v>
      </c>
      <c r="X32" s="65">
        <f t="shared" ref="X32:X37" ca="1" si="17">VLOOKUP($C32,$D$14:$O$19,O$2,FALSE)/O$20*AI32*OFFSET($Q$24,0,$B32)</f>
        <v>0</v>
      </c>
      <c r="Y32" s="21" t="s">
        <v>94</v>
      </c>
      <c r="Z32" s="15">
        <f>VLOOKUP($D32&amp;$B32,[3]!装备基础属性表,P$30,FALSE)</f>
        <v>391.98159819840561</v>
      </c>
      <c r="AA32" s="15">
        <f>VLOOKUP($D32&amp;$B32,[3]!装备基础属性表,Q$30,FALSE)</f>
        <v>19.90988663101605</v>
      </c>
      <c r="AB32" s="15">
        <f>VLOOKUP($D32&amp;$B32,[3]!装备基础属性表,R$30,FALSE)</f>
        <v>8.6034634315424618</v>
      </c>
      <c r="AC32" s="15">
        <f>VLOOKUP($D32&amp;$B32,[3]!装备基础属性表,S$30,FALSE)</f>
        <v>15.625</v>
      </c>
      <c r="AD32" s="15">
        <f>VLOOKUP($D32&amp;$B32,[3]!装备基础属性表,T$30,FALSE)</f>
        <v>15.625</v>
      </c>
      <c r="AE32" s="15">
        <f>VLOOKUP($D32&amp;$B32,[3]!装备基础属性表,U$30,FALSE)</f>
        <v>9.2592592592592595</v>
      </c>
      <c r="AF32" s="15">
        <f>VLOOKUP($D32&amp;$B32,[3]!装备基础属性表,V$30,FALSE)</f>
        <v>0</v>
      </c>
      <c r="AG32" s="15">
        <f>VLOOKUP($D32&amp;$B32,[3]!装备基础属性表,W$30,FALSE)</f>
        <v>9.2592592592592595</v>
      </c>
      <c r="AH32" s="15">
        <f>VLOOKUP($D32&amp;$B32,[3]!装备基础属性表,X$30,FALSE)</f>
        <v>0</v>
      </c>
      <c r="AI32" s="15">
        <f>VLOOKUP($D32&amp;$B32,[3]!装备基础属性表,Y$30,FALSE)</f>
        <v>0</v>
      </c>
      <c r="AJ32" s="16" t="str">
        <f>B32&amp;VLOOKUP(C32,定义数据!$E$1:$F$7,2,FALSE)&amp;D32</f>
        <v>005</v>
      </c>
      <c r="AK32" s="14">
        <f>FLOOR((ROW(AK32)-$B$30)/6,1)+2</f>
        <v>2</v>
      </c>
      <c r="AL32" s="5">
        <f>B32+2</f>
        <v>2</v>
      </c>
      <c r="AM32" s="5" t="str">
        <f t="array" aca="1" ref="AM32" ca="1">IF(AM$31&gt;$AL32,0,IF(ISERROR(OFFSET($E$31,0,SMALL(IF($E32:$X32&gt;0,COLUMN($A:$T),""),AM$31)-1)),0,OFFSET($E$31,0,SMALL(IF($E32:$X32&gt;0,COLUMN($A:$T),""),AM$31)-1)))</f>
        <v>攻击</v>
      </c>
      <c r="AN32" s="5">
        <f t="array" aca="1" ref="AN32" ca="1">IF(AM$31&gt;$AL32,0,IF(ISERROR(INDEX($E32:$X32,,SMALL(IF($E32:$X32&gt;0,COLUMN($A:$T),""),AN$31))),0,INDEX($E32:$X32,,SMALL(IF($E32:$X32&gt;0,COLUMN($A:$T),""),AN$31))))</f>
        <v>14.932414973262038</v>
      </c>
      <c r="AO32" s="5" t="str">
        <f t="array" aca="1" ref="AO32" ca="1">IF(AO$31&gt;$AL32,0,IF(ISERROR(OFFSET($E$31,0,SMALL(IF($E32:$X32&gt;0,COLUMN($A:$T),""),AO$31)-1)),0,OFFSET($E$31,0,SMALL(IF($E32:$X32&gt;0,COLUMN($A:$T),""),AO$31)-1)))</f>
        <v>暴击值</v>
      </c>
      <c r="AP32" s="5">
        <f t="array" aca="1" ref="AP32" ca="1">IF(AO$31&gt;$AL32,0,IF(ISERROR(INDEX($E32:$X32,,SMALL(IF($E32:$X32&gt;0,COLUMN($A:$T),""),AP$31))),0,INDEX($E32:$X32,,SMALL(IF($E32:$X32&gt;0,COLUMN($A:$T),""),AP$31))))</f>
        <v>9.2592592592592595</v>
      </c>
      <c r="AQ32" s="5">
        <f t="array" aca="1" ref="AQ32" ca="1">IF(AQ$31&gt;$AL32,0,IF(ISERROR(OFFSET($E$31,0,SMALL(IF($E32:$X32&gt;0,COLUMN($A:$T),""),AQ$31)-1)),0,OFFSET($E$31,0,SMALL(IF($E32:$X32&gt;0,COLUMN($A:$T),""),AQ$31)-1)))</f>
        <v>0</v>
      </c>
      <c r="AR32" s="5">
        <f t="array" ref="AR32">IF(AQ$31&gt;$AL32,0,IF(ISERROR(INDEX($E32:$X32,,SMALL(IF($E32:$X32&gt;0,COLUMN($A:$T),""),AR$31))),0,INDEX($E32:$X32,,SMALL(IF($E32:$X32&gt;0,COLUMN($A:$T),""),AR$31))))</f>
        <v>0</v>
      </c>
      <c r="AS32" s="5">
        <f t="array" aca="1" ref="AS32" ca="1">IF(AS$31&gt;$AL32,0,IF(ISERROR(OFFSET($E$31,0,SMALL(IF($E32:$X32&gt;0,COLUMN($A:$T),""),AS$31)-1)),0,OFFSET($E$31,0,SMALL(IF($E32:$X32&gt;0,COLUMN($A:$T),""),AS$31)-1)))</f>
        <v>0</v>
      </c>
      <c r="AT32" s="5">
        <f t="array" ref="AT32">IF(AS$31&gt;$AL32,0,IF(ISERROR(INDEX($E32:$X32,,SMALL(IF($E32:$X32&gt;0,COLUMN($A:$T),""),AT$31))),0,INDEX($E32:$X32,,SMALL(IF($E32:$X32&gt;0,COLUMN($A:$T),""),AT$31))))</f>
        <v>0</v>
      </c>
      <c r="AU32" s="5">
        <f t="array" aca="1" ref="AU32" ca="1">IF(AU$31&gt;$AL32,0,IF(ISERROR(OFFSET($E$31,0,SMALL(IF($E32:$X32&gt;0,COLUMN($A:$T),""),AU$31)-1)),0,OFFSET($E$31,0,SMALL(IF($E32:$X32&gt;0,COLUMN($A:$T),""),AU$31)-1)))</f>
        <v>0</v>
      </c>
      <c r="AV32" s="5">
        <f t="array" ref="AV32">IF(AU$31&gt;$AL32,0,IF(ISERROR(INDEX($E32:$X32,,SMALL(IF($E32:$X32&gt;0,COLUMN($A:$T),""),AV$31))),0,INDEX($E32:$X32,,SMALL(IF($E32:$X32&gt;0,COLUMN($A:$T),""),AV$31))))</f>
        <v>0</v>
      </c>
      <c r="AW32" s="5">
        <f t="array" aca="1" ref="AW32" ca="1">IF(AW$31&gt;$AL32,0,IF(ISERROR(OFFSET($E$31,0,SMALL(IF($E32:$X32&gt;0,COLUMN($A:$T),""),AW$31)-1)),0,OFFSET($E$31,0,SMALL(IF($E32:$X32&gt;0,COLUMN($A:$T),""),AW$31)-1)))</f>
        <v>0</v>
      </c>
      <c r="AX32" s="5">
        <f t="array" ref="AX32">IF(AW$31&gt;$AL32,0,IF(ISERROR(INDEX($E32:$X32,,SMALL(IF($E32:$X32&gt;0,COLUMN($A:$T),""),AX$31))),0,INDEX($E32:$X32,,SMALL(IF($E32:$X32&gt;0,COLUMN($A:$T),""),AX$31))))</f>
        <v>0</v>
      </c>
      <c r="AY32" s="5">
        <f t="array" aca="1" ref="AY32" ca="1">IF(AY$31&gt;$AL32,0,IF(ISERROR(OFFSET($E$31,0,SMALL(IF($E32:$X32&gt;0,COLUMN($A:$T),""),AY$31)-1)),0,OFFSET($E$31,0,SMALL(IF($E32:$X32&gt;0,COLUMN($A:$T),""),AY$31)-1)))</f>
        <v>0</v>
      </c>
      <c r="AZ32" s="5">
        <f t="array" ref="AZ32">IF(AY$31&gt;$AL32,0,IF(ISERROR(INDEX($E32:$X32,,SMALL(IF($E32:$X32&gt;0,COLUMN($A:$T),""),AZ$31))),0,INDEX($E32:$X32,,SMALL(IF($E32:$X32&gt;0,COLUMN($A:$T),""),AZ$31))))</f>
        <v>0</v>
      </c>
      <c r="BA32" s="5">
        <f t="array" aca="1" ref="BA32" ca="1">IF(BA$31&gt;$AL32,0,IF(ISERROR(OFFSET($E$31,0,SMALL(IF($E32:$X32&gt;0,COLUMN($A:$T),""),BA$31)-1)),0,OFFSET($E$31,0,SMALL(IF($E32:$X32&gt;0,COLUMN($A:$T),""),BA$31)-1)))</f>
        <v>0</v>
      </c>
      <c r="BB32" s="5">
        <f t="array" ref="BB32">IF(BA$31&gt;$AL32,0,IF(ISERROR(INDEX($E32:$X32,,SMALL(IF($E32:$X32&gt;0,COLUMN($A:$T),""),BB$31))),0,INDEX($E32:$X32,,SMALL(IF($E32:$X32&gt;0,COLUMN($A:$T),""),BB$31))))</f>
        <v>0</v>
      </c>
      <c r="BC32" s="5">
        <f t="array" aca="1" ref="BC32" ca="1">IF(BC$31&gt;$AL32,0,IF(ISERROR(OFFSET($E$31,0,SMALL(IF($E32:$X32&gt;0,COLUMN($A:$T),""),BC$31)-1)),0,OFFSET($E$31,0,SMALL(IF($E32:$X32&gt;0,COLUMN($A:$T),""),BC$31)-1)))</f>
        <v>0</v>
      </c>
      <c r="BD32" s="5">
        <f t="array" ref="BD32">IF(BC$31&gt;$AL32,0,IF(ISERROR(INDEX($E32:$X32,,SMALL(IF($E32:$X32&gt;0,COLUMN($A:$T),""),BD$31))),0,INDEX($E32:$X32,,SMALL(IF($E32:$X32&gt;0,COLUMN($A:$T),""),BD$31))))</f>
        <v>0</v>
      </c>
      <c r="BE32" s="5">
        <f t="array" aca="1" ref="BE32" ca="1">IF(BE$31&gt;$AL32,0,IF(ISERROR(OFFSET($E$31,0,SMALL(IF($E32:$X32&gt;0,COLUMN($A:$T),""),BE$31)-1)),0,OFFSET($E$31,0,SMALL(IF($E32:$X32&gt;0,COLUMN($A:$T),""),BE$31)-1)))</f>
        <v>0</v>
      </c>
      <c r="BF32" s="5">
        <f t="array" ref="BF32">IF(BE$31&gt;$AL32,0,IF(ISERROR(INDEX($E32:$X32,,SMALL(IF($E32:$X32&gt;0,COLUMN($A:$T),""),BF$31))),0,INDEX($E32:$X32,,SMALL(IF($E32:$X32&gt;0,COLUMN($A:$T),""),BF$31))))</f>
        <v>0</v>
      </c>
      <c r="BH32">
        <f ca="1">SUMPRODUCT(E32:N32,定义数据!$G$14:$P$14)</f>
        <v>16.599081639928706</v>
      </c>
      <c r="BI32">
        <f ca="1">SUMPRODUCT(O32:X32,定义数据!$G$14:$P$14)</f>
        <v>0</v>
      </c>
      <c r="BJ32" s="5">
        <f t="shared" ref="BJ32:BJ79" ca="1" si="18">SUM(BH32:BI32)</f>
        <v>16.599081639928706</v>
      </c>
      <c r="BK32" s="5" t="str">
        <f>D32&amp;B32&amp;VLOOKUP(C32,定义数据!$E$1:$F$7,2,FALSE)</f>
        <v>500</v>
      </c>
    </row>
    <row r="33" spans="1:63" x14ac:dyDescent="0.15">
      <c r="A33" s="17" t="str">
        <f>D33&amp;B33&amp;VLOOKUP(C33,定义数据!$E$1:$F$7,2,FALSE)</f>
        <v>501</v>
      </c>
      <c r="B33" s="18">
        <v>0</v>
      </c>
      <c r="C33" s="18" t="s">
        <v>136</v>
      </c>
      <c r="D33" s="24">
        <v>5</v>
      </c>
      <c r="E33" s="56">
        <f t="shared" ref="E33:E38" ca="1" si="19">VLOOKUP($C33,$D$4:$O$9,F$2,FALSE)/F$10*Z33*OFFSET($Q$23,0,$B33)</f>
        <v>235.18895891904336</v>
      </c>
      <c r="F33" s="56">
        <f t="shared" ref="F33:F38" ca="1" si="20">VLOOKUP($C33,$D$4:$O$9,G$2,FALSE)/G$10*AA33*OFFSET($Q$23,0,$B33)</f>
        <v>0</v>
      </c>
      <c r="G33" s="56">
        <f t="shared" ref="G33:G38" ca="1" si="21">VLOOKUP($C33,$D$4:$O$9,H$2,FALSE)/H$10*AB33*OFFSET($Q$23,0,$B33)</f>
        <v>5.1620780589254771</v>
      </c>
      <c r="H33" s="56">
        <f t="shared" ref="H33:H38" ca="1" si="22">VLOOKUP($C33,$D$4:$O$9,I$2,FALSE)/I$10*AC33*OFFSET($Q$23,0,$B33)</f>
        <v>0</v>
      </c>
      <c r="I33" s="56">
        <f t="shared" ref="I33:I38" ca="1" si="23">VLOOKUP($C33,$D$4:$O$9,J$2,FALSE)/J$10*AD33*OFFSET($Q$23,0,$B33)</f>
        <v>0</v>
      </c>
      <c r="J33" s="56">
        <f t="shared" ref="J33:J38" ca="1" si="24">VLOOKUP($C33,$D$4:$O$9,K$2,FALSE)/K$10*AE33*OFFSET($Q$23,0,$B33)</f>
        <v>0</v>
      </c>
      <c r="K33" s="56">
        <f t="shared" ref="K33:K38" ca="1" si="25">VLOOKUP($C33,$D$4:$O$9,L$2,FALSE)/L$10*AF33*OFFSET($Q$23,0,$B33)</f>
        <v>0</v>
      </c>
      <c r="L33" s="56">
        <f t="shared" ref="L33:L38" ca="1" si="26">VLOOKUP($C33,$D$4:$O$9,M$2,FALSE)/M$10*AG33*OFFSET($Q$23,0,$B33)</f>
        <v>0</v>
      </c>
      <c r="M33" s="56">
        <f t="shared" ref="M33:M37" ca="1" si="27">VLOOKUP($C33,$D$4:$O$9,N$2,FALSE)/N$10*AH33*OFFSET($Q$23,0,$B33)</f>
        <v>0</v>
      </c>
      <c r="N33" s="56">
        <f t="shared" ref="N33:N38" ca="1" si="28">VLOOKUP($C33,$D$4:$O$9,O$2,FALSE)/O$10*AI33*OFFSET($Q$23,0,$B33)</f>
        <v>0</v>
      </c>
      <c r="O33" s="65">
        <f t="shared" ca="1" si="8"/>
        <v>0</v>
      </c>
      <c r="P33" s="65">
        <f t="shared" ca="1" si="9"/>
        <v>0</v>
      </c>
      <c r="Q33" s="65">
        <f t="shared" ca="1" si="10"/>
        <v>0</v>
      </c>
      <c r="R33" s="65">
        <f t="shared" ca="1" si="11"/>
        <v>0</v>
      </c>
      <c r="S33" s="65">
        <f t="shared" ca="1" si="12"/>
        <v>0</v>
      </c>
      <c r="T33" s="65">
        <f t="shared" ca="1" si="13"/>
        <v>0</v>
      </c>
      <c r="U33" s="65">
        <f t="shared" ca="1" si="14"/>
        <v>0</v>
      </c>
      <c r="V33" s="65">
        <f t="shared" ca="1" si="15"/>
        <v>0</v>
      </c>
      <c r="W33" s="65">
        <f t="shared" ca="1" si="16"/>
        <v>0</v>
      </c>
      <c r="X33" s="65">
        <f t="shared" ca="1" si="17"/>
        <v>0</v>
      </c>
      <c r="Y33" s="21" t="s">
        <v>95</v>
      </c>
      <c r="Z33" s="15">
        <f>VLOOKUP($D33&amp;$B33,[3]!装备基础属性表,P$30,FALSE)</f>
        <v>391.98159819840561</v>
      </c>
      <c r="AA33" s="15">
        <f>VLOOKUP($D33&amp;$B33,[3]!装备基础属性表,Q$30,FALSE)</f>
        <v>19.90988663101605</v>
      </c>
      <c r="AB33" s="15">
        <f>VLOOKUP($D33&amp;$B33,[3]!装备基础属性表,R$30,FALSE)</f>
        <v>8.6034634315424618</v>
      </c>
      <c r="AC33" s="15">
        <f>VLOOKUP($D33&amp;$B33,[3]!装备基础属性表,S$30,FALSE)</f>
        <v>15.625</v>
      </c>
      <c r="AD33" s="15">
        <f>VLOOKUP($D33&amp;$B33,[3]!装备基础属性表,T$30,FALSE)</f>
        <v>15.625</v>
      </c>
      <c r="AE33" s="15">
        <f>VLOOKUP($D33&amp;$B33,[3]!装备基础属性表,U$30,FALSE)</f>
        <v>9.2592592592592595</v>
      </c>
      <c r="AF33" s="15">
        <f>VLOOKUP($D33&amp;$B33,[3]!装备基础属性表,V$30,FALSE)</f>
        <v>0</v>
      </c>
      <c r="AG33" s="15">
        <f>VLOOKUP($D33&amp;$B33,[3]!装备基础属性表,W$30,FALSE)</f>
        <v>9.2592592592592595</v>
      </c>
      <c r="AH33" s="15">
        <f>VLOOKUP($D33&amp;$B33,[3]!装备基础属性表,X$30,FALSE)</f>
        <v>0</v>
      </c>
      <c r="AI33" s="15">
        <f>VLOOKUP($D33&amp;$B33,[3]!装备基础属性表,Y$30,FALSE)</f>
        <v>0</v>
      </c>
      <c r="AJ33" s="16" t="str">
        <f>B33&amp;VLOOKUP(C33,定义数据!$E$1:$F$7,2,FALSE)&amp;D33</f>
        <v>015</v>
      </c>
      <c r="AK33" s="14">
        <f t="shared" ref="AK33:AK187" si="29">FLOOR((ROW(AK33)-$B$30)/6,1)+2</f>
        <v>2</v>
      </c>
      <c r="AL33" s="5">
        <f t="shared" ref="AL33:AL79" si="30">B33+2</f>
        <v>2</v>
      </c>
      <c r="AM33" s="5" t="str">
        <f t="array" aca="1" ref="AM33" ca="1">IF(AM$31&gt;$AL33,0,IF(ISERROR(OFFSET($E$31,0,SMALL(IF($E33:$X33&gt;0,COLUMN($A:$T),""),AM$31)-1)),0,OFFSET($E$31,0,SMALL(IF($E33:$X33&gt;0,COLUMN($A:$T),""),AM$31)-1)))</f>
        <v>生命</v>
      </c>
      <c r="AN33" s="5">
        <f t="array" aca="1" ref="AN33" ca="1">IF(AM$31&gt;$AL33,0,IF(ISERROR(INDEX($E33:$X33,,SMALL(IF($E33:$X33&gt;0,COLUMN($A:$T),""),AN$31))),0,INDEX($E33:$X33,,SMALL(IF($E33:$X33&gt;0,COLUMN($A:$T),""),AN$31))))</f>
        <v>235.18895891904336</v>
      </c>
      <c r="AO33" s="5" t="str">
        <f t="array" aca="1" ref="AO33" ca="1">IF(AO$31&gt;$AL33,0,IF(ISERROR(OFFSET($E$31,0,SMALL(IF($E33:$X33&gt;0,COLUMN($A:$T),""),AO$31)-1)),0,OFFSET($E$31,0,SMALL(IF($E33:$X33&gt;0,COLUMN($A:$T),""),AO$31)-1)))</f>
        <v>防御</v>
      </c>
      <c r="AP33" s="5">
        <f t="array" aca="1" ref="AP33" ca="1">IF(AO$31&gt;$AL33,0,IF(ISERROR(INDEX($E33:$X33,,SMALL(IF($E33:$X33&gt;0,COLUMN($A:$T),""),AP$31))),0,INDEX($E33:$X33,,SMALL(IF($E33:$X33&gt;0,COLUMN($A:$T),""),AP$31))))</f>
        <v>5.1620780589254771</v>
      </c>
      <c r="AQ33" s="5">
        <f t="array" aca="1" ref="AQ33" ca="1">IF(AQ$31&gt;$AL33,0,IF(ISERROR(OFFSET($E$31,0,SMALL(IF($E33:$X33&gt;0,COLUMN($A:$T),""),AQ$31)-1)),0,OFFSET($E$31,0,SMALL(IF($E33:$X33&gt;0,COLUMN($A:$T),""),AQ$31)-1)))</f>
        <v>0</v>
      </c>
      <c r="AR33" s="5">
        <f t="array" ref="AR33">IF(AQ$31&gt;$AL33,0,IF(ISERROR(INDEX($E33:$X33,,SMALL(IF($E33:$X33&gt;0,COLUMN($A:$T),""),AR$31))),0,INDEX($E33:$X33,,SMALL(IF($E33:$X33&gt;0,COLUMN($A:$T),""),AR$31))))</f>
        <v>0</v>
      </c>
      <c r="AS33" s="5">
        <f t="array" aca="1" ref="AS33" ca="1">IF(AS$31&gt;$AL33,0,IF(ISERROR(OFFSET($E$31,0,SMALL(IF($E33:$X33&gt;0,COLUMN($A:$T),""),AS$31)-1)),0,OFFSET($E$31,0,SMALL(IF($E33:$X33&gt;0,COLUMN($A:$T),""),AS$31)-1)))</f>
        <v>0</v>
      </c>
      <c r="AT33" s="5">
        <f t="array" ref="AT33">IF(AS$31&gt;$AL33,0,IF(ISERROR(INDEX($E33:$X33,,SMALL(IF($E33:$X33&gt;0,COLUMN($A:$T),""),AT$31))),0,INDEX($E33:$X33,,SMALL(IF($E33:$X33&gt;0,COLUMN($A:$T),""),AT$31))))</f>
        <v>0</v>
      </c>
      <c r="AU33" s="5">
        <f t="array" aca="1" ref="AU33" ca="1">IF(AU$31&gt;$AL33,0,IF(ISERROR(OFFSET($E$31,0,SMALL(IF($E33:$X33&gt;0,COLUMN($A:$T),""),AU$31)-1)),0,OFFSET($E$31,0,SMALL(IF($E33:$X33&gt;0,COLUMN($A:$T),""),AU$31)-1)))</f>
        <v>0</v>
      </c>
      <c r="AV33" s="5">
        <f t="array" ref="AV33">IF(AU$31&gt;$AL33,0,IF(ISERROR(INDEX($E33:$X33,,SMALL(IF($E33:$X33&gt;0,COLUMN($A:$T),""),AV$31))),0,INDEX($E33:$X33,,SMALL(IF($E33:$X33&gt;0,COLUMN($A:$T),""),AV$31))))</f>
        <v>0</v>
      </c>
      <c r="AW33" s="5">
        <f t="array" aca="1" ref="AW33" ca="1">IF(AW$31&gt;$AL33,0,IF(ISERROR(OFFSET($E$31,0,SMALL(IF($E33:$X33&gt;0,COLUMN($A:$T),""),AW$31)-1)),0,OFFSET($E$31,0,SMALL(IF($E33:$X33&gt;0,COLUMN($A:$T),""),AW$31)-1)))</f>
        <v>0</v>
      </c>
      <c r="AX33" s="5">
        <f t="array" ref="AX33">IF(AW$31&gt;$AL33,0,IF(ISERROR(INDEX($E33:$X33,,SMALL(IF($E33:$X33&gt;0,COLUMN($A:$T),""),AX$31))),0,INDEX($E33:$X33,,SMALL(IF($E33:$X33&gt;0,COLUMN($A:$T),""),AX$31))))</f>
        <v>0</v>
      </c>
      <c r="AY33" s="5">
        <f t="array" aca="1" ref="AY33" ca="1">IF(AY$31&gt;$AL33,0,IF(ISERROR(OFFSET($E$31,0,SMALL(IF($E33:$X33&gt;0,COLUMN($A:$T),""),AY$31)-1)),0,OFFSET($E$31,0,SMALL(IF($E33:$X33&gt;0,COLUMN($A:$T),""),AY$31)-1)))</f>
        <v>0</v>
      </c>
      <c r="AZ33" s="5">
        <f t="array" ref="AZ33">IF(AY$31&gt;$AL33,0,IF(ISERROR(INDEX($E33:$X33,,SMALL(IF($E33:$X33&gt;0,COLUMN($A:$T),""),AZ$31))),0,INDEX($E33:$X33,,SMALL(IF($E33:$X33&gt;0,COLUMN($A:$T),""),AZ$31))))</f>
        <v>0</v>
      </c>
      <c r="BA33" s="5">
        <f t="array" aca="1" ref="BA33" ca="1">IF(BA$31&gt;$AL33,0,IF(ISERROR(OFFSET($E$31,0,SMALL(IF($E33:$X33&gt;0,COLUMN($A:$T),""),BA$31)-1)),0,OFFSET($E$31,0,SMALL(IF($E33:$X33&gt;0,COLUMN($A:$T),""),BA$31)-1)))</f>
        <v>0</v>
      </c>
      <c r="BB33" s="5">
        <f t="array" ref="BB33">IF(BA$31&gt;$AL33,0,IF(ISERROR(INDEX($E33:$X33,,SMALL(IF($E33:$X33&gt;0,COLUMN($A:$T),""),BB$31))),0,INDEX($E33:$X33,,SMALL(IF($E33:$X33&gt;0,COLUMN($A:$T),""),BB$31))))</f>
        <v>0</v>
      </c>
      <c r="BC33" s="5">
        <f t="array" aca="1" ref="BC33" ca="1">IF(BC$31&gt;$AL33,0,IF(ISERROR(OFFSET($E$31,0,SMALL(IF($E33:$X33&gt;0,COLUMN($A:$T),""),BC$31)-1)),0,OFFSET($E$31,0,SMALL(IF($E33:$X33&gt;0,COLUMN($A:$T),""),BC$31)-1)))</f>
        <v>0</v>
      </c>
      <c r="BD33" s="5">
        <f t="array" ref="BD33">IF(BC$31&gt;$AL33,0,IF(ISERROR(INDEX($E33:$X33,,SMALL(IF($E33:$X33&gt;0,COLUMN($A:$T),""),BD$31))),0,INDEX($E33:$X33,,SMALL(IF($E33:$X33&gt;0,COLUMN($A:$T),""),BD$31))))</f>
        <v>0</v>
      </c>
      <c r="BE33" s="5">
        <f t="array" aca="1" ref="BE33" ca="1">IF(BE$31&gt;$AL33,0,IF(ISERROR(OFFSET($E$31,0,SMALL(IF($E33:$X33&gt;0,COLUMN($A:$T),""),BE$31)-1)),0,OFFSET($E$31,0,SMALL(IF($E33:$X33&gt;0,COLUMN($A:$T),""),BE$31)-1)))</f>
        <v>0</v>
      </c>
      <c r="BF33" s="5">
        <f t="array" ref="BF33">IF(BE$31&gt;$AL33,0,IF(ISERROR(INDEX($E33:$X33,,SMALL(IF($E33:$X33&gt;0,COLUMN($A:$T),""),BF$31))),0,INDEX($E33:$X33,,SMALL(IF($E33:$X33&gt;0,COLUMN($A:$T),""),BF$31))))</f>
        <v>0</v>
      </c>
      <c r="BH33">
        <f ca="1">SUMPRODUCT(E33:N33,定义数据!$G$14:$P$14)</f>
        <v>14.569636415687212</v>
      </c>
      <c r="BI33">
        <f ca="1">SUMPRODUCT(O33:X33,定义数据!$G$14:$P$14)</f>
        <v>0</v>
      </c>
      <c r="BJ33" s="5">
        <f t="shared" ca="1" si="18"/>
        <v>14.569636415687212</v>
      </c>
      <c r="BK33" s="5" t="str">
        <f>D33&amp;B33&amp;VLOOKUP(C33,定义数据!$E$1:$F$7,2,FALSE)</f>
        <v>501</v>
      </c>
    </row>
    <row r="34" spans="1:63" x14ac:dyDescent="0.15">
      <c r="A34" s="17" t="str">
        <f>D34&amp;B34&amp;VLOOKUP(C34,定义数据!$E$1:$F$7,2,FALSE)</f>
        <v>502</v>
      </c>
      <c r="B34" s="18">
        <v>0</v>
      </c>
      <c r="C34" s="18" t="s">
        <v>137</v>
      </c>
      <c r="D34" s="24">
        <v>5</v>
      </c>
      <c r="E34" s="56">
        <f t="shared" ca="1" si="19"/>
        <v>0</v>
      </c>
      <c r="F34" s="56">
        <f t="shared" ca="1" si="20"/>
        <v>0</v>
      </c>
      <c r="G34" s="56">
        <f t="shared" ca="1" si="21"/>
        <v>3.4413853726169847</v>
      </c>
      <c r="H34" s="56">
        <f t="shared" ca="1" si="22"/>
        <v>5.208333333333333</v>
      </c>
      <c r="I34" s="56">
        <f t="shared" ca="1" si="23"/>
        <v>0</v>
      </c>
      <c r="J34" s="56">
        <f t="shared" ca="1" si="24"/>
        <v>0</v>
      </c>
      <c r="K34" s="56">
        <f t="shared" ca="1" si="25"/>
        <v>0</v>
      </c>
      <c r="L34" s="56">
        <f t="shared" ca="1" si="26"/>
        <v>0</v>
      </c>
      <c r="M34" s="56">
        <f t="shared" ca="1" si="27"/>
        <v>0</v>
      </c>
      <c r="N34" s="56">
        <f t="shared" ca="1" si="28"/>
        <v>0</v>
      </c>
      <c r="O34" s="65">
        <f t="shared" ca="1" si="8"/>
        <v>0</v>
      </c>
      <c r="P34" s="65">
        <f t="shared" ca="1" si="9"/>
        <v>0</v>
      </c>
      <c r="Q34" s="65">
        <f t="shared" ca="1" si="10"/>
        <v>0</v>
      </c>
      <c r="R34" s="65">
        <f t="shared" ca="1" si="11"/>
        <v>0</v>
      </c>
      <c r="S34" s="65">
        <f t="shared" ca="1" si="12"/>
        <v>0</v>
      </c>
      <c r="T34" s="65">
        <f t="shared" ca="1" si="13"/>
        <v>0</v>
      </c>
      <c r="U34" s="65">
        <f t="shared" ca="1" si="14"/>
        <v>0</v>
      </c>
      <c r="V34" s="65">
        <f t="shared" ca="1" si="15"/>
        <v>0</v>
      </c>
      <c r="W34" s="65">
        <f t="shared" ca="1" si="16"/>
        <v>0</v>
      </c>
      <c r="X34" s="65">
        <f t="shared" ca="1" si="17"/>
        <v>0</v>
      </c>
      <c r="Y34" s="21" t="s">
        <v>96</v>
      </c>
      <c r="Z34" s="15">
        <f>VLOOKUP($D34&amp;$B34,[3]!装备基础属性表,P$30,FALSE)</f>
        <v>391.98159819840561</v>
      </c>
      <c r="AA34" s="15">
        <f>VLOOKUP($D34&amp;$B34,[3]!装备基础属性表,Q$30,FALSE)</f>
        <v>19.90988663101605</v>
      </c>
      <c r="AB34" s="15">
        <f>VLOOKUP($D34&amp;$B34,[3]!装备基础属性表,R$30,FALSE)</f>
        <v>8.6034634315424618</v>
      </c>
      <c r="AC34" s="15">
        <f>VLOOKUP($D34&amp;$B34,[3]!装备基础属性表,S$30,FALSE)</f>
        <v>15.625</v>
      </c>
      <c r="AD34" s="15">
        <f>VLOOKUP($D34&amp;$B34,[3]!装备基础属性表,T$30,FALSE)</f>
        <v>15.625</v>
      </c>
      <c r="AE34" s="15">
        <f>VLOOKUP($D34&amp;$B34,[3]!装备基础属性表,U$30,FALSE)</f>
        <v>9.2592592592592595</v>
      </c>
      <c r="AF34" s="15">
        <f>VLOOKUP($D34&amp;$B34,[3]!装备基础属性表,V$30,FALSE)</f>
        <v>0</v>
      </c>
      <c r="AG34" s="15">
        <f>VLOOKUP($D34&amp;$B34,[3]!装备基础属性表,W$30,FALSE)</f>
        <v>9.2592592592592595</v>
      </c>
      <c r="AH34" s="15">
        <f>VLOOKUP($D34&amp;$B34,[3]!装备基础属性表,X$30,FALSE)</f>
        <v>0</v>
      </c>
      <c r="AI34" s="15">
        <f>VLOOKUP($D34&amp;$B34,[3]!装备基础属性表,Y$30,FALSE)</f>
        <v>0</v>
      </c>
      <c r="AJ34" s="16" t="str">
        <f>B34&amp;VLOOKUP(C34,定义数据!$E$1:$F$7,2,FALSE)&amp;D34</f>
        <v>025</v>
      </c>
      <c r="AK34" s="14">
        <f t="shared" si="29"/>
        <v>2</v>
      </c>
      <c r="AL34" s="5">
        <f t="shared" si="30"/>
        <v>2</v>
      </c>
      <c r="AM34" s="5" t="str">
        <f t="array" aca="1" ref="AM34" ca="1">IF(AM$31&gt;$AL34,0,IF(ISERROR(OFFSET($E$31,0,SMALL(IF($E34:$X34&gt;0,COLUMN($A:$T),""),AM$31)-1)),0,OFFSET($E$31,0,SMALL(IF($E34:$X34&gt;0,COLUMN($A:$T),""),AM$31)-1)))</f>
        <v>防御</v>
      </c>
      <c r="AN34" s="5">
        <f t="array" aca="1" ref="AN34" ca="1">IF(AM$31&gt;$AL34,0,IF(ISERROR(INDEX($E34:$X34,,SMALL(IF($E34:$X34&gt;0,COLUMN($A:$T),""),AN$31))),0,INDEX($E34:$X34,,SMALL(IF($E34:$X34&gt;0,COLUMN($A:$T),""),AN$31))))</f>
        <v>3.4413853726169847</v>
      </c>
      <c r="AO34" s="5" t="str">
        <f t="array" aca="1" ref="AO34" ca="1">IF(AO$31&gt;$AL34,0,IF(ISERROR(OFFSET($E$31,0,SMALL(IF($E34:$X34&gt;0,COLUMN($A:$T),""),AO$31)-1)),0,OFFSET($E$31,0,SMALL(IF($E34:$X34&gt;0,COLUMN($A:$T),""),AO$31)-1)))</f>
        <v>闪避值</v>
      </c>
      <c r="AP34" s="5">
        <f t="array" aca="1" ref="AP34" ca="1">IF(AO$31&gt;$AL34,0,IF(ISERROR(INDEX($E34:$X34,,SMALL(IF($E34:$X34&gt;0,COLUMN($A:$T),""),AP$31))),0,INDEX($E34:$X34,,SMALL(IF($E34:$X34&gt;0,COLUMN($A:$T),""),AP$31))))</f>
        <v>5.208333333333333</v>
      </c>
      <c r="AQ34" s="5">
        <f t="array" aca="1" ref="AQ34" ca="1">IF(AQ$31&gt;$AL34,0,IF(ISERROR(OFFSET($E$31,0,SMALL(IF($E34:$X34&gt;0,COLUMN($A:$T),""),AQ$31)-1)),0,OFFSET($E$31,0,SMALL(IF($E34:$X34&gt;0,COLUMN($A:$T),""),AQ$31)-1)))</f>
        <v>0</v>
      </c>
      <c r="AR34" s="5">
        <f t="array" ref="AR34">IF(AQ$31&gt;$AL34,0,IF(ISERROR(INDEX($E34:$X34,,SMALL(IF($E34:$X34&gt;0,COLUMN($A:$T),""),AR$31))),0,INDEX($E34:$X34,,SMALL(IF($E34:$X34&gt;0,COLUMN($A:$T),""),AR$31))))</f>
        <v>0</v>
      </c>
      <c r="AS34" s="5">
        <f t="array" aca="1" ref="AS34" ca="1">IF(AS$31&gt;$AL34,0,IF(ISERROR(OFFSET($E$31,0,SMALL(IF($E34:$X34&gt;0,COLUMN($A:$T),""),AS$31)-1)),0,OFFSET($E$31,0,SMALL(IF($E34:$X34&gt;0,COLUMN($A:$T),""),AS$31)-1)))</f>
        <v>0</v>
      </c>
      <c r="AT34" s="5">
        <f t="array" ref="AT34">IF(AS$31&gt;$AL34,0,IF(ISERROR(INDEX($E34:$X34,,SMALL(IF($E34:$X34&gt;0,COLUMN($A:$T),""),AT$31))),0,INDEX($E34:$X34,,SMALL(IF($E34:$X34&gt;0,COLUMN($A:$T),""),AT$31))))</f>
        <v>0</v>
      </c>
      <c r="AU34" s="5">
        <f t="array" aca="1" ref="AU34" ca="1">IF(AU$31&gt;$AL34,0,IF(ISERROR(OFFSET($E$31,0,SMALL(IF($E34:$X34&gt;0,COLUMN($A:$T),""),AU$31)-1)),0,OFFSET($E$31,0,SMALL(IF($E34:$X34&gt;0,COLUMN($A:$T),""),AU$31)-1)))</f>
        <v>0</v>
      </c>
      <c r="AV34" s="5">
        <f t="array" ref="AV34">IF(AU$31&gt;$AL34,0,IF(ISERROR(INDEX($E34:$X34,,SMALL(IF($E34:$X34&gt;0,COLUMN($A:$T),""),AV$31))),0,INDEX($E34:$X34,,SMALL(IF($E34:$X34&gt;0,COLUMN($A:$T),""),AV$31))))</f>
        <v>0</v>
      </c>
      <c r="AW34" s="5">
        <f t="array" aca="1" ref="AW34" ca="1">IF(AW$31&gt;$AL34,0,IF(ISERROR(OFFSET($E$31,0,SMALL(IF($E34:$X34&gt;0,COLUMN($A:$T),""),AW$31)-1)),0,OFFSET($E$31,0,SMALL(IF($E34:$X34&gt;0,COLUMN($A:$T),""),AW$31)-1)))</f>
        <v>0</v>
      </c>
      <c r="AX34" s="5">
        <f t="array" ref="AX34">IF(AW$31&gt;$AL34,0,IF(ISERROR(INDEX($E34:$X34,,SMALL(IF($E34:$X34&gt;0,COLUMN($A:$T),""),AX$31))),0,INDEX($E34:$X34,,SMALL(IF($E34:$X34&gt;0,COLUMN($A:$T),""),AX$31))))</f>
        <v>0</v>
      </c>
      <c r="AY34" s="5">
        <f t="array" aca="1" ref="AY34" ca="1">IF(AY$31&gt;$AL34,0,IF(ISERROR(OFFSET($E$31,0,SMALL(IF($E34:$X34&gt;0,COLUMN($A:$T),""),AY$31)-1)),0,OFFSET($E$31,0,SMALL(IF($E34:$X34&gt;0,COLUMN($A:$T),""),AY$31)-1)))</f>
        <v>0</v>
      </c>
      <c r="AZ34" s="5">
        <f t="array" ref="AZ34">IF(AY$31&gt;$AL34,0,IF(ISERROR(INDEX($E34:$X34,,SMALL(IF($E34:$X34&gt;0,COLUMN($A:$T),""),AZ$31))),0,INDEX($E34:$X34,,SMALL(IF($E34:$X34&gt;0,COLUMN($A:$T),""),AZ$31))))</f>
        <v>0</v>
      </c>
      <c r="BA34" s="5">
        <f t="array" aca="1" ref="BA34" ca="1">IF(BA$31&gt;$AL34,0,IF(ISERROR(OFFSET($E$31,0,SMALL(IF($E34:$X34&gt;0,COLUMN($A:$T),""),BA$31)-1)),0,OFFSET($E$31,0,SMALL(IF($E34:$X34&gt;0,COLUMN($A:$T),""),BA$31)-1)))</f>
        <v>0</v>
      </c>
      <c r="BB34" s="5">
        <f t="array" ref="BB34">IF(BA$31&gt;$AL34,0,IF(ISERROR(INDEX($E34:$X34,,SMALL(IF($E34:$X34&gt;0,COLUMN($A:$T),""),BB$31))),0,INDEX($E34:$X34,,SMALL(IF($E34:$X34&gt;0,COLUMN($A:$T),""),BB$31))))</f>
        <v>0</v>
      </c>
      <c r="BC34" s="5">
        <f t="array" aca="1" ref="BC34" ca="1">IF(BC$31&gt;$AL34,0,IF(ISERROR(OFFSET($E$31,0,SMALL(IF($E34:$X34&gt;0,COLUMN($A:$T),""),BC$31)-1)),0,OFFSET($E$31,0,SMALL(IF($E34:$X34&gt;0,COLUMN($A:$T),""),BC$31)-1)))</f>
        <v>0</v>
      </c>
      <c r="BD34" s="5">
        <f t="array" ref="BD34">IF(BC$31&gt;$AL34,0,IF(ISERROR(INDEX($E34:$X34,,SMALL(IF($E34:$X34&gt;0,COLUMN($A:$T),""),BD$31))),0,INDEX($E34:$X34,,SMALL(IF($E34:$X34&gt;0,COLUMN($A:$T),""),BD$31))))</f>
        <v>0</v>
      </c>
      <c r="BE34" s="5">
        <f t="array" aca="1" ref="BE34" ca="1">IF(BE$31&gt;$AL34,0,IF(ISERROR(OFFSET($E$31,0,SMALL(IF($E34:$X34&gt;0,COLUMN($A:$T),""),BE$31)-1)),0,OFFSET($E$31,0,SMALL(IF($E34:$X34&gt;0,COLUMN($A:$T),""),BE$31)-1)))</f>
        <v>0</v>
      </c>
      <c r="BF34" s="5">
        <f t="array" ref="BF34">IF(BE$31&gt;$AL34,0,IF(ISERROR(INDEX($E34:$X34,,SMALL(IF($E34:$X34&gt;0,COLUMN($A:$T),""),BF$31))),0,INDEX($E34:$X34,,SMALL(IF($E34:$X34&gt;0,COLUMN($A:$T),""),BF$31))))</f>
        <v>0</v>
      </c>
      <c r="BH34">
        <f ca="1">SUMPRODUCT(E34:N34,定义数据!$G$14:$P$14)</f>
        <v>5.2122187059503178</v>
      </c>
      <c r="BI34">
        <f ca="1">SUMPRODUCT(O34:X34,定义数据!$G$14:$P$14)</f>
        <v>0</v>
      </c>
      <c r="BJ34" s="5">
        <f t="shared" ca="1" si="18"/>
        <v>5.2122187059503178</v>
      </c>
      <c r="BK34" s="5" t="str">
        <f>D34&amp;B34&amp;VLOOKUP(C34,定义数据!$E$1:$F$7,2,FALSE)</f>
        <v>502</v>
      </c>
    </row>
    <row r="35" spans="1:63" x14ac:dyDescent="0.15">
      <c r="A35" s="17" t="str">
        <f>D35&amp;B35&amp;VLOOKUP(C35,定义数据!$E$1:$F$7,2,FALSE)</f>
        <v>505</v>
      </c>
      <c r="B35" s="18">
        <v>0</v>
      </c>
      <c r="C35" s="18" t="s">
        <v>138</v>
      </c>
      <c r="D35" s="24">
        <v>5</v>
      </c>
      <c r="E35" s="56">
        <f t="shared" ca="1" si="19"/>
        <v>78.396319639681124</v>
      </c>
      <c r="F35" s="56">
        <f t="shared" ca="1" si="20"/>
        <v>0</v>
      </c>
      <c r="G35" s="56">
        <f t="shared" ca="1" si="21"/>
        <v>0</v>
      </c>
      <c r="H35" s="56">
        <f t="shared" ca="1" si="22"/>
        <v>10.416666666666666</v>
      </c>
      <c r="I35" s="56">
        <f t="shared" ca="1" si="23"/>
        <v>0</v>
      </c>
      <c r="J35" s="56">
        <f t="shared" ca="1" si="24"/>
        <v>0</v>
      </c>
      <c r="K35" s="56">
        <f t="shared" ca="1" si="25"/>
        <v>0</v>
      </c>
      <c r="L35" s="56">
        <f t="shared" ca="1" si="26"/>
        <v>0</v>
      </c>
      <c r="M35" s="56">
        <f t="shared" ca="1" si="27"/>
        <v>0</v>
      </c>
      <c r="N35" s="56">
        <f t="shared" ca="1" si="28"/>
        <v>0</v>
      </c>
      <c r="O35" s="65">
        <f t="shared" ca="1" si="8"/>
        <v>0</v>
      </c>
      <c r="P35" s="65">
        <f t="shared" ca="1" si="9"/>
        <v>0</v>
      </c>
      <c r="Q35" s="65">
        <f t="shared" ca="1" si="10"/>
        <v>0</v>
      </c>
      <c r="R35" s="65">
        <f t="shared" ca="1" si="11"/>
        <v>0</v>
      </c>
      <c r="S35" s="65">
        <f t="shared" ca="1" si="12"/>
        <v>0</v>
      </c>
      <c r="T35" s="65">
        <f t="shared" ca="1" si="13"/>
        <v>0</v>
      </c>
      <c r="U35" s="65">
        <f t="shared" ca="1" si="14"/>
        <v>0</v>
      </c>
      <c r="V35" s="65">
        <f t="shared" ca="1" si="15"/>
        <v>0</v>
      </c>
      <c r="W35" s="65">
        <f t="shared" ca="1" si="16"/>
        <v>0</v>
      </c>
      <c r="X35" s="65">
        <f t="shared" ca="1" si="17"/>
        <v>0</v>
      </c>
      <c r="Y35" s="21"/>
      <c r="Z35" s="15">
        <f>VLOOKUP($D35&amp;$B35,[3]!装备基础属性表,P$30,FALSE)</f>
        <v>391.98159819840561</v>
      </c>
      <c r="AA35" s="15">
        <f>VLOOKUP($D35&amp;$B35,[3]!装备基础属性表,Q$30,FALSE)</f>
        <v>19.90988663101605</v>
      </c>
      <c r="AB35" s="15">
        <f>VLOOKUP($D35&amp;$B35,[3]!装备基础属性表,R$30,FALSE)</f>
        <v>8.6034634315424618</v>
      </c>
      <c r="AC35" s="15">
        <f>VLOOKUP($D35&amp;$B35,[3]!装备基础属性表,S$30,FALSE)</f>
        <v>15.625</v>
      </c>
      <c r="AD35" s="15">
        <f>VLOOKUP($D35&amp;$B35,[3]!装备基础属性表,T$30,FALSE)</f>
        <v>15.625</v>
      </c>
      <c r="AE35" s="15">
        <f>VLOOKUP($D35&amp;$B35,[3]!装备基础属性表,U$30,FALSE)</f>
        <v>9.2592592592592595</v>
      </c>
      <c r="AF35" s="15">
        <f>VLOOKUP($D35&amp;$B35,[3]!装备基础属性表,V$30,FALSE)</f>
        <v>0</v>
      </c>
      <c r="AG35" s="15">
        <f>VLOOKUP($D35&amp;$B35,[3]!装备基础属性表,W$30,FALSE)</f>
        <v>9.2592592592592595</v>
      </c>
      <c r="AH35" s="15">
        <f>VLOOKUP($D35&amp;$B35,[3]!装备基础属性表,X$30,FALSE)</f>
        <v>0</v>
      </c>
      <c r="AI35" s="15">
        <f>VLOOKUP($D35&amp;$B35,[3]!装备基础属性表,Y$30,FALSE)</f>
        <v>0</v>
      </c>
      <c r="AJ35" s="16" t="str">
        <f>B35&amp;VLOOKUP(C35,定义数据!$E$1:$F$7,2,FALSE)&amp;D35</f>
        <v>055</v>
      </c>
      <c r="AK35" s="14">
        <f t="shared" si="29"/>
        <v>2</v>
      </c>
      <c r="AL35" s="5">
        <f>B35+2</f>
        <v>2</v>
      </c>
      <c r="AM35" s="5" t="str">
        <f t="array" aca="1" ref="AM35" ca="1">IF(AM$31&gt;$AL35,0,IF(ISERROR(OFFSET($E$31,0,SMALL(IF($E35:$X35&gt;0,COLUMN($A:$T),""),AM$31)-1)),0,OFFSET($E$31,0,SMALL(IF($E35:$X35&gt;0,COLUMN($A:$T),""),AM$31)-1)))</f>
        <v>生命</v>
      </c>
      <c r="AN35" s="5">
        <f t="array" aca="1" ref="AN35" ca="1">IF(AM$31&gt;$AL35,0,IF(ISERROR(INDEX($E35:$X35,,SMALL(IF($E35:$X35&gt;0,COLUMN($A:$T),""),AN$31))),0,INDEX($E35:$X35,,SMALL(IF($E35:$X35&gt;0,COLUMN($A:$T),""),AN$31))))</f>
        <v>78.396319639681124</v>
      </c>
      <c r="AO35" s="5" t="str">
        <f t="array" aca="1" ref="AO35" ca="1">IF(AO$31&gt;$AL35,0,IF(ISERROR(OFFSET($E$31,0,SMALL(IF($E35:$X35&gt;0,COLUMN($A:$T),""),AO$31)-1)),0,OFFSET($E$31,0,SMALL(IF($E35:$X35&gt;0,COLUMN($A:$T),""),AO$31)-1)))</f>
        <v>闪避值</v>
      </c>
      <c r="AP35" s="5">
        <f t="array" aca="1" ref="AP35" ca="1">IF(AO$31&gt;$AL35,0,IF(ISERROR(INDEX($E35:$X35,,SMALL(IF($E35:$X35&gt;0,COLUMN($A:$T),""),AP$31))),0,INDEX($E35:$X35,,SMALL(IF($E35:$X35&gt;0,COLUMN($A:$T),""),AP$31))))</f>
        <v>10.416666666666666</v>
      </c>
      <c r="AQ35" s="5">
        <f t="array" aca="1" ref="AQ35" ca="1">IF(AQ$31&gt;$AL35,0,IF(ISERROR(OFFSET($E$31,0,SMALL(IF($E35:$X35&gt;0,COLUMN($A:$T),""),AQ$31)-1)),0,OFFSET($E$31,0,SMALL(IF($E35:$X35&gt;0,COLUMN($A:$T),""),AQ$31)-1)))</f>
        <v>0</v>
      </c>
      <c r="AR35" s="5">
        <f t="array" ref="AR35">IF(AQ$31&gt;$AL35,0,IF(ISERROR(INDEX($E35:$X35,,SMALL(IF($E35:$X35&gt;0,COLUMN($A:$T),""),AR$31))),0,INDEX($E35:$X35,,SMALL(IF($E35:$X35&gt;0,COLUMN($A:$T),""),AR$31))))</f>
        <v>0</v>
      </c>
      <c r="AS35" s="5">
        <f t="array" aca="1" ref="AS35" ca="1">IF(AS$31&gt;$AL35,0,IF(ISERROR(OFFSET($E$31,0,SMALL(IF($E35:$X35&gt;0,COLUMN($A:$T),""),AS$31)-1)),0,OFFSET($E$31,0,SMALL(IF($E35:$X35&gt;0,COLUMN($A:$T),""),AS$31)-1)))</f>
        <v>0</v>
      </c>
      <c r="AT35" s="5">
        <f t="array" ref="AT35">IF(AS$31&gt;$AL35,0,IF(ISERROR(INDEX($E35:$X35,,SMALL(IF($E35:$X35&gt;0,COLUMN($A:$T),""),AT$31))),0,INDEX($E35:$X35,,SMALL(IF($E35:$X35&gt;0,COLUMN($A:$T),""),AT$31))))</f>
        <v>0</v>
      </c>
      <c r="AU35" s="5">
        <f t="array" aca="1" ref="AU35" ca="1">IF(AU$31&gt;$AL35,0,IF(ISERROR(OFFSET($E$31,0,SMALL(IF($E35:$X35&gt;0,COLUMN($A:$T),""),AU$31)-1)),0,OFFSET($E$31,0,SMALL(IF($E35:$X35&gt;0,COLUMN($A:$T),""),AU$31)-1)))</f>
        <v>0</v>
      </c>
      <c r="AV35" s="5">
        <f t="array" ref="AV35">IF(AU$31&gt;$AL35,0,IF(ISERROR(INDEX($E35:$X35,,SMALL(IF($E35:$X35&gt;0,COLUMN($A:$T),""),AV$31))),0,INDEX($E35:$X35,,SMALL(IF($E35:$X35&gt;0,COLUMN($A:$T),""),AV$31))))</f>
        <v>0</v>
      </c>
      <c r="AW35" s="5">
        <f t="array" aca="1" ref="AW35" ca="1">IF(AW$31&gt;$AL35,0,IF(ISERROR(OFFSET($E$31,0,SMALL(IF($E35:$X35&gt;0,COLUMN($A:$T),""),AW$31)-1)),0,OFFSET($E$31,0,SMALL(IF($E35:$X35&gt;0,COLUMN($A:$T),""),AW$31)-1)))</f>
        <v>0</v>
      </c>
      <c r="AX35" s="5">
        <f t="array" ref="AX35">IF(AW$31&gt;$AL35,0,IF(ISERROR(INDEX($E35:$X35,,SMALL(IF($E35:$X35&gt;0,COLUMN($A:$T),""),AX$31))),0,INDEX($E35:$X35,,SMALL(IF($E35:$X35&gt;0,COLUMN($A:$T),""),AX$31))))</f>
        <v>0</v>
      </c>
      <c r="AY35" s="5">
        <f t="array" aca="1" ref="AY35" ca="1">IF(AY$31&gt;$AL35,0,IF(ISERROR(OFFSET($E$31,0,SMALL(IF($E35:$X35&gt;0,COLUMN($A:$T),""),AY$31)-1)),0,OFFSET($E$31,0,SMALL(IF($E35:$X35&gt;0,COLUMN($A:$T),""),AY$31)-1)))</f>
        <v>0</v>
      </c>
      <c r="AZ35" s="5">
        <f t="array" ref="AZ35">IF(AY$31&gt;$AL35,0,IF(ISERROR(INDEX($E35:$X35,,SMALL(IF($E35:$X35&gt;0,COLUMN($A:$T),""),AZ$31))),0,INDEX($E35:$X35,,SMALL(IF($E35:$X35&gt;0,COLUMN($A:$T),""),AZ$31))))</f>
        <v>0</v>
      </c>
      <c r="BA35" s="5">
        <f t="array" aca="1" ref="BA35" ca="1">IF(BA$31&gt;$AL35,0,IF(ISERROR(OFFSET($E$31,0,SMALL(IF($E35:$X35&gt;0,COLUMN($A:$T),""),BA$31)-1)),0,OFFSET($E$31,0,SMALL(IF($E35:$X35&gt;0,COLUMN($A:$T),""),BA$31)-1)))</f>
        <v>0</v>
      </c>
      <c r="BB35" s="5">
        <f t="array" ref="BB35">IF(BA$31&gt;$AL35,0,IF(ISERROR(INDEX($E35:$X35,,SMALL(IF($E35:$X35&gt;0,COLUMN($A:$T),""),BB$31))),0,INDEX($E35:$X35,,SMALL(IF($E35:$X35&gt;0,COLUMN($A:$T),""),BB$31))))</f>
        <v>0</v>
      </c>
      <c r="BC35" s="5">
        <f t="array" aca="1" ref="BC35" ca="1">IF(BC$31&gt;$AL35,0,IF(ISERROR(OFFSET($E$31,0,SMALL(IF($E35:$X35&gt;0,COLUMN($A:$T),""),BC$31)-1)),0,OFFSET($E$31,0,SMALL(IF($E35:$X35&gt;0,COLUMN($A:$T),""),BC$31)-1)))</f>
        <v>0</v>
      </c>
      <c r="BD35" s="5">
        <f t="array" ref="BD35">IF(BC$31&gt;$AL35,0,IF(ISERROR(INDEX($E35:$X35,,SMALL(IF($E35:$X35&gt;0,COLUMN($A:$T),""),BD$31))),0,INDEX($E35:$X35,,SMALL(IF($E35:$X35&gt;0,COLUMN($A:$T),""),BD$31))))</f>
        <v>0</v>
      </c>
      <c r="BE35" s="5">
        <f t="array" aca="1" ref="BE35" ca="1">IF(BE$31&gt;$AL35,0,IF(ISERROR(OFFSET($E$31,0,SMALL(IF($E35:$X35&gt;0,COLUMN($A:$T),""),BE$31)-1)),0,OFFSET($E$31,0,SMALL(IF($E35:$X35&gt;0,COLUMN($A:$T),""),BE$31)-1)))</f>
        <v>0</v>
      </c>
      <c r="BF35" s="5">
        <f t="array" ref="BF35">IF(BE$31&gt;$AL35,0,IF(ISERROR(INDEX($E35:$X35,,SMALL(IF($E35:$X35&gt;0,COLUMN($A:$T),""),BF$31))),0,INDEX($E35:$X35,,SMALL(IF($E35:$X35&gt;0,COLUMN($A:$T),""),BF$31))))</f>
        <v>0</v>
      </c>
      <c r="BH35">
        <f ca="1">SUMPRODUCT(E35:N35,定义数据!$G$14:$P$14)</f>
        <v>6.677519452253911</v>
      </c>
      <c r="BI35">
        <f ca="1">SUMPRODUCT(O35:X35,定义数据!$G$14:$P$14)</f>
        <v>0</v>
      </c>
      <c r="BJ35" s="5">
        <f t="shared" ca="1" si="18"/>
        <v>6.677519452253911</v>
      </c>
      <c r="BK35" s="5" t="str">
        <f>D35&amp;B35&amp;VLOOKUP(C35,定义数据!$E$1:$F$7,2,FALSE)</f>
        <v>505</v>
      </c>
    </row>
    <row r="36" spans="1:63" x14ac:dyDescent="0.15">
      <c r="A36" s="17" t="str">
        <f>D36&amp;B36&amp;VLOOKUP(C36,定义数据!$E$1:$F$7,2,FALSE)</f>
        <v>504</v>
      </c>
      <c r="B36" s="18">
        <v>0</v>
      </c>
      <c r="C36" s="18" t="s">
        <v>139</v>
      </c>
      <c r="D36" s="24">
        <v>5</v>
      </c>
      <c r="E36" s="56">
        <f t="shared" ca="1" si="19"/>
        <v>78.396319639681124</v>
      </c>
      <c r="F36" s="56">
        <f t="shared" ca="1" si="20"/>
        <v>0</v>
      </c>
      <c r="G36" s="56">
        <f t="shared" ca="1" si="21"/>
        <v>0</v>
      </c>
      <c r="H36" s="56">
        <f t="shared" ca="1" si="22"/>
        <v>0</v>
      </c>
      <c r="I36" s="56">
        <f t="shared" ca="1" si="23"/>
        <v>0</v>
      </c>
      <c r="J36" s="56">
        <f t="shared" ca="1" si="24"/>
        <v>0</v>
      </c>
      <c r="K36" s="56">
        <f t="shared" ca="1" si="25"/>
        <v>0</v>
      </c>
      <c r="L36" s="56">
        <f t="shared" ca="1" si="26"/>
        <v>9.2592592592592595</v>
      </c>
      <c r="M36" s="56">
        <f t="shared" ca="1" si="27"/>
        <v>0</v>
      </c>
      <c r="N36" s="56">
        <f t="shared" ca="1" si="28"/>
        <v>0</v>
      </c>
      <c r="O36" s="65">
        <f t="shared" ca="1" si="8"/>
        <v>0</v>
      </c>
      <c r="P36" s="65">
        <f t="shared" ca="1" si="9"/>
        <v>0</v>
      </c>
      <c r="Q36" s="65">
        <f t="shared" ca="1" si="10"/>
        <v>0</v>
      </c>
      <c r="R36" s="65">
        <f t="shared" ca="1" si="11"/>
        <v>0</v>
      </c>
      <c r="S36" s="65">
        <f t="shared" ca="1" si="12"/>
        <v>0</v>
      </c>
      <c r="T36" s="65">
        <f t="shared" ca="1" si="13"/>
        <v>0</v>
      </c>
      <c r="U36" s="65">
        <f t="shared" ca="1" si="14"/>
        <v>0</v>
      </c>
      <c r="V36" s="65">
        <f t="shared" ca="1" si="15"/>
        <v>0</v>
      </c>
      <c r="W36" s="65">
        <f t="shared" ca="1" si="16"/>
        <v>0</v>
      </c>
      <c r="X36" s="65">
        <f t="shared" ca="1" si="17"/>
        <v>0</v>
      </c>
      <c r="Y36" s="21"/>
      <c r="Z36" s="15">
        <f>VLOOKUP($D36&amp;$B36,[3]!装备基础属性表,P$30,FALSE)</f>
        <v>391.98159819840561</v>
      </c>
      <c r="AA36" s="15">
        <f>VLOOKUP($D36&amp;$B36,[3]!装备基础属性表,Q$30,FALSE)</f>
        <v>19.90988663101605</v>
      </c>
      <c r="AB36" s="15">
        <f>VLOOKUP($D36&amp;$B36,[3]!装备基础属性表,R$30,FALSE)</f>
        <v>8.6034634315424618</v>
      </c>
      <c r="AC36" s="15">
        <f>VLOOKUP($D36&amp;$B36,[3]!装备基础属性表,S$30,FALSE)</f>
        <v>15.625</v>
      </c>
      <c r="AD36" s="15">
        <f>VLOOKUP($D36&amp;$B36,[3]!装备基础属性表,T$30,FALSE)</f>
        <v>15.625</v>
      </c>
      <c r="AE36" s="15">
        <f>VLOOKUP($D36&amp;$B36,[3]!装备基础属性表,U$30,FALSE)</f>
        <v>9.2592592592592595</v>
      </c>
      <c r="AF36" s="15">
        <f>VLOOKUP($D36&amp;$B36,[3]!装备基础属性表,V$30,FALSE)</f>
        <v>0</v>
      </c>
      <c r="AG36" s="15">
        <f>VLOOKUP($D36&amp;$B36,[3]!装备基础属性表,W$30,FALSE)</f>
        <v>9.2592592592592595</v>
      </c>
      <c r="AH36" s="15">
        <f>VLOOKUP($D36&amp;$B36,[3]!装备基础属性表,X$30,FALSE)</f>
        <v>0</v>
      </c>
      <c r="AI36" s="15">
        <f>VLOOKUP($D36&amp;$B36,[3]!装备基础属性表,Y$30,FALSE)</f>
        <v>0</v>
      </c>
      <c r="AJ36" s="16" t="str">
        <f>B36&amp;VLOOKUP(C36,定义数据!$E$1:$F$7,2,FALSE)&amp;D36</f>
        <v>045</v>
      </c>
      <c r="AK36" s="14">
        <f t="shared" si="29"/>
        <v>2</v>
      </c>
      <c r="AL36" s="5">
        <f t="shared" si="30"/>
        <v>2</v>
      </c>
      <c r="AM36" s="5" t="str">
        <f t="array" aca="1" ref="AM36" ca="1">IF(AM$31&gt;$AL36,0,IF(ISERROR(OFFSET($E$31,0,SMALL(IF($E36:$X36&gt;0,COLUMN($A:$T),""),AM$31)-1)),0,OFFSET($E$31,0,SMALL(IF($E36:$X36&gt;0,COLUMN($A:$T),""),AM$31)-1)))</f>
        <v>生命</v>
      </c>
      <c r="AN36" s="5">
        <f t="array" aca="1" ref="AN36" ca="1">IF(AM$31&gt;$AL36,0,IF(ISERROR(INDEX($E36:$X36,,SMALL(IF($E36:$X36&gt;0,COLUMN($A:$T),""),AN$31))),0,INDEX($E36:$X36,,SMALL(IF($E36:$X36&gt;0,COLUMN($A:$T),""),AN$31))))</f>
        <v>78.396319639681124</v>
      </c>
      <c r="AO36" s="5" t="str">
        <f t="array" aca="1" ref="AO36" ca="1">IF(AO$31&gt;$AL36,0,IF(ISERROR(OFFSET($E$31,0,SMALL(IF($E36:$X36&gt;0,COLUMN($A:$T),""),AO$31)-1)),0,OFFSET($E$31,0,SMALL(IF($E36:$X36&gt;0,COLUMN($A:$T),""),AO$31)-1)))</f>
        <v>韧性值</v>
      </c>
      <c r="AP36" s="5">
        <f t="array" aca="1" ref="AP36" ca="1">IF(AO$31&gt;$AL36,0,IF(ISERROR(INDEX($E36:$X36,,SMALL(IF($E36:$X36&gt;0,COLUMN($A:$T),""),AP$31))),0,INDEX($E36:$X36,,SMALL(IF($E36:$X36&gt;0,COLUMN($A:$T),""),AP$31))))</f>
        <v>9.2592592592592595</v>
      </c>
      <c r="AQ36" s="5">
        <f t="array" aca="1" ref="AQ36" ca="1">IF(AQ$31&gt;$AL36,0,IF(ISERROR(OFFSET($E$31,0,SMALL(IF($E36:$X36&gt;0,COLUMN($A:$T),""),AQ$31)-1)),0,OFFSET($E$31,0,SMALL(IF($E36:$X36&gt;0,COLUMN($A:$T),""),AQ$31)-1)))</f>
        <v>0</v>
      </c>
      <c r="AR36" s="5">
        <f t="array" ref="AR36">IF(AQ$31&gt;$AL36,0,IF(ISERROR(INDEX($E36:$X36,,SMALL(IF($E36:$X36&gt;0,COLUMN($A:$T),""),AR$31))),0,INDEX($E36:$X36,,SMALL(IF($E36:$X36&gt;0,COLUMN($A:$T),""),AR$31))))</f>
        <v>0</v>
      </c>
      <c r="AS36" s="5">
        <f t="array" aca="1" ref="AS36" ca="1">IF(AS$31&gt;$AL36,0,IF(ISERROR(OFFSET($E$31,0,SMALL(IF($E36:$X36&gt;0,COLUMN($A:$T),""),AS$31)-1)),0,OFFSET($E$31,0,SMALL(IF($E36:$X36&gt;0,COLUMN($A:$T),""),AS$31)-1)))</f>
        <v>0</v>
      </c>
      <c r="AT36" s="5">
        <f t="array" ref="AT36">IF(AS$31&gt;$AL36,0,IF(ISERROR(INDEX($E36:$X36,,SMALL(IF($E36:$X36&gt;0,COLUMN($A:$T),""),AT$31))),0,INDEX($E36:$X36,,SMALL(IF($E36:$X36&gt;0,COLUMN($A:$T),""),AT$31))))</f>
        <v>0</v>
      </c>
      <c r="AU36" s="5">
        <f t="array" aca="1" ref="AU36" ca="1">IF(AU$31&gt;$AL36,0,IF(ISERROR(OFFSET($E$31,0,SMALL(IF($E36:$X36&gt;0,COLUMN($A:$T),""),AU$31)-1)),0,OFFSET($E$31,0,SMALL(IF($E36:$X36&gt;0,COLUMN($A:$T),""),AU$31)-1)))</f>
        <v>0</v>
      </c>
      <c r="AV36" s="5">
        <f t="array" ref="AV36">IF(AU$31&gt;$AL36,0,IF(ISERROR(INDEX($E36:$X36,,SMALL(IF($E36:$X36&gt;0,COLUMN($A:$T),""),AV$31))),0,INDEX($E36:$X36,,SMALL(IF($E36:$X36&gt;0,COLUMN($A:$T),""),AV$31))))</f>
        <v>0</v>
      </c>
      <c r="AW36" s="5">
        <f t="array" aca="1" ref="AW36" ca="1">IF(AW$31&gt;$AL36,0,IF(ISERROR(OFFSET($E$31,0,SMALL(IF($E36:$X36&gt;0,COLUMN($A:$T),""),AW$31)-1)),0,OFFSET($E$31,0,SMALL(IF($E36:$X36&gt;0,COLUMN($A:$T),""),AW$31)-1)))</f>
        <v>0</v>
      </c>
      <c r="AX36" s="5">
        <f t="array" ref="AX36">IF(AW$31&gt;$AL36,0,IF(ISERROR(INDEX($E36:$X36,,SMALL(IF($E36:$X36&gt;0,COLUMN($A:$T),""),AX$31))),0,INDEX($E36:$X36,,SMALL(IF($E36:$X36&gt;0,COLUMN($A:$T),""),AX$31))))</f>
        <v>0</v>
      </c>
      <c r="AY36" s="5">
        <f t="array" aca="1" ref="AY36" ca="1">IF(AY$31&gt;$AL36,0,IF(ISERROR(OFFSET($E$31,0,SMALL(IF($E36:$X36&gt;0,COLUMN($A:$T),""),AY$31)-1)),0,OFFSET($E$31,0,SMALL(IF($E36:$X36&gt;0,COLUMN($A:$T),""),AY$31)-1)))</f>
        <v>0</v>
      </c>
      <c r="AZ36" s="5">
        <f t="array" ref="AZ36">IF(AY$31&gt;$AL36,0,IF(ISERROR(INDEX($E36:$X36,,SMALL(IF($E36:$X36&gt;0,COLUMN($A:$T),""),AZ$31))),0,INDEX($E36:$X36,,SMALL(IF($E36:$X36&gt;0,COLUMN($A:$T),""),AZ$31))))</f>
        <v>0</v>
      </c>
      <c r="BA36" s="5">
        <f t="array" aca="1" ref="BA36" ca="1">IF(BA$31&gt;$AL36,0,IF(ISERROR(OFFSET($E$31,0,SMALL(IF($E36:$X36&gt;0,COLUMN($A:$T),""),BA$31)-1)),0,OFFSET($E$31,0,SMALL(IF($E36:$X36&gt;0,COLUMN($A:$T),""),BA$31)-1)))</f>
        <v>0</v>
      </c>
      <c r="BB36" s="5">
        <f t="array" ref="BB36">IF(BA$31&gt;$AL36,0,IF(ISERROR(INDEX($E36:$X36,,SMALL(IF($E36:$X36&gt;0,COLUMN($A:$T),""),BB$31))),0,INDEX($E36:$X36,,SMALL(IF($E36:$X36&gt;0,COLUMN($A:$T),""),BB$31))))</f>
        <v>0</v>
      </c>
      <c r="BC36" s="5">
        <f t="array" aca="1" ref="BC36" ca="1">IF(BC$31&gt;$AL36,0,IF(ISERROR(OFFSET($E$31,0,SMALL(IF($E36:$X36&gt;0,COLUMN($A:$T),""),BC$31)-1)),0,OFFSET($E$31,0,SMALL(IF($E36:$X36&gt;0,COLUMN($A:$T),""),BC$31)-1)))</f>
        <v>0</v>
      </c>
      <c r="BD36" s="5">
        <f t="array" ref="BD36">IF(BC$31&gt;$AL36,0,IF(ISERROR(INDEX($E36:$X36,,SMALL(IF($E36:$X36&gt;0,COLUMN($A:$T),""),BD$31))),0,INDEX($E36:$X36,,SMALL(IF($E36:$X36&gt;0,COLUMN($A:$T),""),BD$31))))</f>
        <v>0</v>
      </c>
      <c r="BE36" s="5">
        <f t="array" aca="1" ref="BE36" ca="1">IF(BE$31&gt;$AL36,0,IF(ISERROR(OFFSET($E$31,0,SMALL(IF($E36:$X36&gt;0,COLUMN($A:$T),""),BE$31)-1)),0,OFFSET($E$31,0,SMALL(IF($E36:$X36&gt;0,COLUMN($A:$T),""),BE$31)-1)))</f>
        <v>0</v>
      </c>
      <c r="BF36" s="5">
        <f t="array" ref="BF36">IF(BE$31&gt;$AL36,0,IF(ISERROR(INDEX($E36:$X36,,SMALL(IF($E36:$X36&gt;0,COLUMN($A:$T),""),BF$31))),0,INDEX($E36:$X36,,SMALL(IF($E36:$X36&gt;0,COLUMN($A:$T),""),BF$31))))</f>
        <v>0</v>
      </c>
      <c r="BH36">
        <f ca="1">SUMPRODUCT(E36:N36,定义数据!$G$14:$P$14)</f>
        <v>4.8025194522539119</v>
      </c>
      <c r="BI36">
        <f ca="1">SUMPRODUCT(O36:X36,定义数据!$G$14:$P$14)</f>
        <v>0</v>
      </c>
      <c r="BJ36" s="5">
        <f t="shared" ca="1" si="18"/>
        <v>4.8025194522539119</v>
      </c>
      <c r="BK36" s="5" t="str">
        <f>D36&amp;B36&amp;VLOOKUP(C36,定义数据!$E$1:$F$7,2,FALSE)</f>
        <v>504</v>
      </c>
    </row>
    <row r="37" spans="1:63" x14ac:dyDescent="0.15">
      <c r="A37" s="17" t="str">
        <f>D37&amp;B37&amp;VLOOKUP(C37,定义数据!$E$1:$F$7,2,FALSE)</f>
        <v>503</v>
      </c>
      <c r="B37" s="18">
        <v>0</v>
      </c>
      <c r="C37" s="18" t="s">
        <v>140</v>
      </c>
      <c r="D37" s="24">
        <v>5</v>
      </c>
      <c r="E37" s="56">
        <f t="shared" ca="1" si="19"/>
        <v>0</v>
      </c>
      <c r="F37" s="56">
        <f t="shared" ca="1" si="20"/>
        <v>4.9774716577540126</v>
      </c>
      <c r="G37" s="56">
        <f t="shared" ca="1" si="21"/>
        <v>0</v>
      </c>
      <c r="H37" s="56">
        <f t="shared" ca="1" si="22"/>
        <v>0</v>
      </c>
      <c r="I37" s="56">
        <f t="shared" ca="1" si="23"/>
        <v>15.625</v>
      </c>
      <c r="J37" s="56">
        <f t="shared" ca="1" si="24"/>
        <v>0</v>
      </c>
      <c r="K37" s="56">
        <f t="shared" ca="1" si="25"/>
        <v>0</v>
      </c>
      <c r="L37" s="56">
        <f t="shared" ca="1" si="26"/>
        <v>0</v>
      </c>
      <c r="M37" s="56">
        <f t="shared" ca="1" si="27"/>
        <v>0</v>
      </c>
      <c r="N37" s="56">
        <f t="shared" ca="1" si="28"/>
        <v>0</v>
      </c>
      <c r="O37" s="65">
        <f t="shared" ca="1" si="8"/>
        <v>0</v>
      </c>
      <c r="P37" s="65">
        <f t="shared" ca="1" si="9"/>
        <v>0</v>
      </c>
      <c r="Q37" s="65">
        <f t="shared" ca="1" si="10"/>
        <v>0</v>
      </c>
      <c r="R37" s="65">
        <f t="shared" ca="1" si="11"/>
        <v>0</v>
      </c>
      <c r="S37" s="65">
        <f t="shared" ca="1" si="12"/>
        <v>0</v>
      </c>
      <c r="T37" s="65">
        <f t="shared" ca="1" si="13"/>
        <v>0</v>
      </c>
      <c r="U37" s="65">
        <f t="shared" ca="1" si="14"/>
        <v>0</v>
      </c>
      <c r="V37" s="65">
        <f t="shared" ca="1" si="15"/>
        <v>0</v>
      </c>
      <c r="W37" s="65">
        <f t="shared" ca="1" si="16"/>
        <v>0</v>
      </c>
      <c r="X37" s="65">
        <f t="shared" ca="1" si="17"/>
        <v>0</v>
      </c>
      <c r="Y37" s="21"/>
      <c r="Z37" s="15">
        <f>VLOOKUP($D37&amp;$B37,[3]!装备基础属性表,P$30,FALSE)</f>
        <v>391.98159819840561</v>
      </c>
      <c r="AA37" s="15">
        <f>VLOOKUP($D37&amp;$B37,[3]!装备基础属性表,Q$30,FALSE)</f>
        <v>19.90988663101605</v>
      </c>
      <c r="AB37" s="15">
        <f>VLOOKUP($D37&amp;$B37,[3]!装备基础属性表,R$30,FALSE)</f>
        <v>8.6034634315424618</v>
      </c>
      <c r="AC37" s="15">
        <f>VLOOKUP($D37&amp;$B37,[3]!装备基础属性表,S$30,FALSE)</f>
        <v>15.625</v>
      </c>
      <c r="AD37" s="15">
        <f>VLOOKUP($D37&amp;$B37,[3]!装备基础属性表,T$30,FALSE)</f>
        <v>15.625</v>
      </c>
      <c r="AE37" s="15">
        <f>VLOOKUP($D37&amp;$B37,[3]!装备基础属性表,U$30,FALSE)</f>
        <v>9.2592592592592595</v>
      </c>
      <c r="AF37" s="15">
        <f>VLOOKUP($D37&amp;$B37,[3]!装备基础属性表,V$30,FALSE)</f>
        <v>0</v>
      </c>
      <c r="AG37" s="15">
        <f>VLOOKUP($D37&amp;$B37,[3]!装备基础属性表,W$30,FALSE)</f>
        <v>9.2592592592592595</v>
      </c>
      <c r="AH37" s="15">
        <f>VLOOKUP($D37&amp;$B37,[3]!装备基础属性表,X$30,FALSE)</f>
        <v>0</v>
      </c>
      <c r="AI37" s="15">
        <f>VLOOKUP($D37&amp;$B37,[3]!装备基础属性表,Y$30,FALSE)</f>
        <v>0</v>
      </c>
      <c r="AJ37" s="16" t="str">
        <f>B37&amp;VLOOKUP(C37,定义数据!$E$1:$F$7,2,FALSE)&amp;D37</f>
        <v>035</v>
      </c>
      <c r="AK37" s="14">
        <f t="shared" si="29"/>
        <v>2</v>
      </c>
      <c r="AL37" s="5">
        <f t="shared" si="30"/>
        <v>2</v>
      </c>
      <c r="AM37" s="5" t="str">
        <f t="array" aca="1" ref="AM37" ca="1">IF(AM$31&gt;$AL37,0,IF(ISERROR(OFFSET($E$31,0,SMALL(IF($E37:$X37&gt;0,COLUMN($A:$T),""),AM$31)-1)),0,OFFSET($E$31,0,SMALL(IF($E37:$X37&gt;0,COLUMN($A:$T),""),AM$31)-1)))</f>
        <v>攻击</v>
      </c>
      <c r="AN37" s="5">
        <f t="array" aca="1" ref="AN37" ca="1">IF(AM$31&gt;$AL37,0,IF(ISERROR(INDEX($E37:$X37,,SMALL(IF($E37:$X37&gt;0,COLUMN($A:$T),""),AN$31))),0,INDEX($E37:$X37,,SMALL(IF($E37:$X37&gt;0,COLUMN($A:$T),""),AN$31))))</f>
        <v>4.9774716577540126</v>
      </c>
      <c r="AO37" s="5" t="str">
        <f t="array" aca="1" ref="AO37" ca="1">IF(AO$31&gt;$AL37,0,IF(ISERROR(OFFSET($E$31,0,SMALL(IF($E37:$X37&gt;0,COLUMN($A:$T),""),AO$31)-1)),0,OFFSET($E$31,0,SMALL(IF($E37:$X37&gt;0,COLUMN($A:$T),""),AO$31)-1)))</f>
        <v>命中值</v>
      </c>
      <c r="AP37" s="5">
        <f t="array" aca="1" ref="AP37" ca="1">IF(AO$31&gt;$AL37,0,IF(ISERROR(INDEX($E37:$X37,,SMALL(IF($E37:$X37&gt;0,COLUMN($A:$T),""),AP$31))),0,INDEX($E37:$X37,,SMALL(IF($E37:$X37&gt;0,COLUMN($A:$T),""),AP$31))))</f>
        <v>15.625</v>
      </c>
      <c r="AQ37" s="5">
        <f t="array" aca="1" ref="AQ37" ca="1">IF(AQ$31&gt;$AL37,0,IF(ISERROR(OFFSET($E$31,0,SMALL(IF($E37:$X37&gt;0,COLUMN($A:$T),""),AQ$31)-1)),0,OFFSET($E$31,0,SMALL(IF($E37:$X37&gt;0,COLUMN($A:$T),""),AQ$31)-1)))</f>
        <v>0</v>
      </c>
      <c r="AR37" s="5">
        <f t="array" ref="AR37">IF(AQ$31&gt;$AL37,0,IF(ISERROR(INDEX($E37:$X37,,SMALL(IF($E37:$X37&gt;0,COLUMN($A:$T),""),AR$31))),0,INDEX($E37:$X37,,SMALL(IF($E37:$X37&gt;0,COLUMN($A:$T),""),AR$31))))</f>
        <v>0</v>
      </c>
      <c r="AS37" s="5">
        <f t="array" aca="1" ref="AS37" ca="1">IF(AS$31&gt;$AL37,0,IF(ISERROR(OFFSET($E$31,0,SMALL(IF($E37:$X37&gt;0,COLUMN($A:$T),""),AS$31)-1)),0,OFFSET($E$31,0,SMALL(IF($E37:$X37&gt;0,COLUMN($A:$T),""),AS$31)-1)))</f>
        <v>0</v>
      </c>
      <c r="AT37" s="5">
        <f t="array" ref="AT37">IF(AS$31&gt;$AL37,0,IF(ISERROR(INDEX($E37:$X37,,SMALL(IF($E37:$X37&gt;0,COLUMN($A:$T),""),AT$31))),0,INDEX($E37:$X37,,SMALL(IF($E37:$X37&gt;0,COLUMN($A:$T),""),AT$31))))</f>
        <v>0</v>
      </c>
      <c r="AU37" s="5">
        <f t="array" aca="1" ref="AU37" ca="1">IF(AU$31&gt;$AL37,0,IF(ISERROR(OFFSET($E$31,0,SMALL(IF($E37:$X37&gt;0,COLUMN($A:$T),""),AU$31)-1)),0,OFFSET($E$31,0,SMALL(IF($E37:$X37&gt;0,COLUMN($A:$T),""),AU$31)-1)))</f>
        <v>0</v>
      </c>
      <c r="AV37" s="5">
        <f t="array" ref="AV37">IF(AU$31&gt;$AL37,0,IF(ISERROR(INDEX($E37:$X37,,SMALL(IF($E37:$X37&gt;0,COLUMN($A:$T),""),AV$31))),0,INDEX($E37:$X37,,SMALL(IF($E37:$X37&gt;0,COLUMN($A:$T),""),AV$31))))</f>
        <v>0</v>
      </c>
      <c r="AW37" s="5">
        <f t="array" aca="1" ref="AW37" ca="1">IF(AW$31&gt;$AL37,0,IF(ISERROR(OFFSET($E$31,0,SMALL(IF($E37:$X37&gt;0,COLUMN($A:$T),""),AW$31)-1)),0,OFFSET($E$31,0,SMALL(IF($E37:$X37&gt;0,COLUMN($A:$T),""),AW$31)-1)))</f>
        <v>0</v>
      </c>
      <c r="AX37" s="5">
        <f t="array" ref="AX37">IF(AW$31&gt;$AL37,0,IF(ISERROR(INDEX($E37:$X37,,SMALL(IF($E37:$X37&gt;0,COLUMN($A:$T),""),AX$31))),0,INDEX($E37:$X37,,SMALL(IF($E37:$X37&gt;0,COLUMN($A:$T),""),AX$31))))</f>
        <v>0</v>
      </c>
      <c r="AY37" s="5">
        <f t="array" aca="1" ref="AY37" ca="1">IF(AY$31&gt;$AL37,0,IF(ISERROR(OFFSET($E$31,0,SMALL(IF($E37:$X37&gt;0,COLUMN($A:$T),""),AY$31)-1)),0,OFFSET($E$31,0,SMALL(IF($E37:$X37&gt;0,COLUMN($A:$T),""),AY$31)-1)))</f>
        <v>0</v>
      </c>
      <c r="AZ37" s="5">
        <f t="array" ref="AZ37">IF(AY$31&gt;$AL37,0,IF(ISERROR(INDEX($E37:$X37,,SMALL(IF($E37:$X37&gt;0,COLUMN($A:$T),""),AZ$31))),0,INDEX($E37:$X37,,SMALL(IF($E37:$X37&gt;0,COLUMN($A:$T),""),AZ$31))))</f>
        <v>0</v>
      </c>
      <c r="BA37" s="5">
        <f t="array" aca="1" ref="BA37" ca="1">IF(BA$31&gt;$AL37,0,IF(ISERROR(OFFSET($E$31,0,SMALL(IF($E37:$X37&gt;0,COLUMN($A:$T),""),BA$31)-1)),0,OFFSET($E$31,0,SMALL(IF($E37:$X37&gt;0,COLUMN($A:$T),""),BA$31)-1)))</f>
        <v>0</v>
      </c>
      <c r="BB37" s="5">
        <f t="array" ref="BB37">IF(BA$31&gt;$AL37,0,IF(ISERROR(INDEX($E37:$X37,,SMALL(IF($E37:$X37&gt;0,COLUMN($A:$T),""),BB$31))),0,INDEX($E37:$X37,,SMALL(IF($E37:$X37&gt;0,COLUMN($A:$T),""),BB$31))))</f>
        <v>0</v>
      </c>
      <c r="BC37" s="5">
        <f t="array" aca="1" ref="BC37" ca="1">IF(BC$31&gt;$AL37,0,IF(ISERROR(OFFSET($E$31,0,SMALL(IF($E37:$X37&gt;0,COLUMN($A:$T),""),BC$31)-1)),0,OFFSET($E$31,0,SMALL(IF($E37:$X37&gt;0,COLUMN($A:$T),""),BC$31)-1)))</f>
        <v>0</v>
      </c>
      <c r="BD37" s="5">
        <f t="array" ref="BD37">IF(BC$31&gt;$AL37,0,IF(ISERROR(INDEX($E37:$X37,,SMALL(IF($E37:$X37&gt;0,COLUMN($A:$T),""),BD$31))),0,INDEX($E37:$X37,,SMALL(IF($E37:$X37&gt;0,COLUMN($A:$T),""),BD$31))))</f>
        <v>0</v>
      </c>
      <c r="BE37" s="5">
        <f t="array" aca="1" ref="BE37" ca="1">IF(BE$31&gt;$AL37,0,IF(ISERROR(OFFSET($E$31,0,SMALL(IF($E37:$X37&gt;0,COLUMN($A:$T),""),BE$31)-1)),0,OFFSET($E$31,0,SMALL(IF($E37:$X37&gt;0,COLUMN($A:$T),""),BE$31)-1)))</f>
        <v>0</v>
      </c>
      <c r="BF37" s="5">
        <f t="array" ref="BF37">IF(BE$31&gt;$AL37,0,IF(ISERROR(INDEX($E37:$X37,,SMALL(IF($E37:$X37&gt;0,COLUMN($A:$T),""),BF$31))),0,INDEX($E37:$X37,,SMALL(IF($E37:$X37&gt;0,COLUMN($A:$T),""),BF$31))))</f>
        <v>0</v>
      </c>
      <c r="BH37">
        <f ca="1">SUMPRODUCT(E37:N37,定义数据!$G$14:$P$14)</f>
        <v>10.289971657754013</v>
      </c>
      <c r="BI37">
        <f ca="1">SUMPRODUCT(O37:X37,定义数据!$G$14:$P$14)</f>
        <v>0</v>
      </c>
      <c r="BJ37" s="5">
        <f t="shared" ca="1" si="18"/>
        <v>10.289971657754013</v>
      </c>
      <c r="BK37" s="5" t="str">
        <f>D37&amp;B37&amp;VLOOKUP(C37,定义数据!$E$1:$F$7,2,FALSE)</f>
        <v>503</v>
      </c>
    </row>
    <row r="38" spans="1:63" x14ac:dyDescent="0.15">
      <c r="A38" s="17" t="str">
        <f>D38&amp;B38&amp;VLOOKUP(C38,定义数据!$E$1:$F$7,2,FALSE)</f>
        <v>510</v>
      </c>
      <c r="B38" s="14">
        <v>1</v>
      </c>
      <c r="C38" s="14" t="s">
        <v>141</v>
      </c>
      <c r="D38" s="14">
        <v>5</v>
      </c>
      <c r="E38" s="56">
        <f t="shared" ca="1" si="19"/>
        <v>0</v>
      </c>
      <c r="F38" s="56">
        <f t="shared" ca="1" si="20"/>
        <v>22.398622459893055</v>
      </c>
      <c r="G38" s="56">
        <f t="shared" ca="1" si="21"/>
        <v>0</v>
      </c>
      <c r="H38" s="56">
        <f t="shared" ca="1" si="22"/>
        <v>0</v>
      </c>
      <c r="I38" s="56">
        <f t="shared" ca="1" si="23"/>
        <v>0</v>
      </c>
      <c r="J38" s="56">
        <f t="shared" ca="1" si="24"/>
        <v>13.888888888888888</v>
      </c>
      <c r="K38" s="56">
        <f t="shared" ca="1" si="25"/>
        <v>0</v>
      </c>
      <c r="L38" s="56">
        <f t="shared" ca="1" si="26"/>
        <v>0</v>
      </c>
      <c r="M38" s="56">
        <f ca="1">VLOOKUP($C38,$D$4:$O$9,N$2,FALSE)/N$10*AH38*OFFSET($Q$23,0,$B38)</f>
        <v>0</v>
      </c>
      <c r="N38" s="56">
        <f t="shared" ca="1" si="28"/>
        <v>0</v>
      </c>
      <c r="O38" s="65">
        <f ca="1">VLOOKUP($C38,$D$14:$O$19,F$2,FALSE)/F$20*Z38*OFFSET($Q$24,0,$B38)</f>
        <v>0</v>
      </c>
      <c r="P38" s="65">
        <f t="shared" ref="P38:X38" ca="1" si="31">VLOOKUP($C38,$D$14:$O$19,G$2,FALSE)/G$20*AA38*OFFSET($Q$24,0,$B38)</f>
        <v>1.7918897967914444</v>
      </c>
      <c r="Q38" s="65">
        <f t="shared" ca="1" si="31"/>
        <v>0.21508658578856155</v>
      </c>
      <c r="R38" s="65">
        <f t="shared" ca="1" si="31"/>
        <v>0</v>
      </c>
      <c r="S38" s="65">
        <f t="shared" ca="1" si="31"/>
        <v>0.78125</v>
      </c>
      <c r="T38" s="65">
        <f t="shared" ca="1" si="31"/>
        <v>0.55555555555555558</v>
      </c>
      <c r="U38" s="65">
        <f t="shared" ca="1" si="31"/>
        <v>0</v>
      </c>
      <c r="V38" s="65">
        <f t="shared" ca="1" si="31"/>
        <v>0</v>
      </c>
      <c r="W38" s="65">
        <f t="shared" ca="1" si="31"/>
        <v>0</v>
      </c>
      <c r="X38" s="65">
        <f t="shared" ca="1" si="31"/>
        <v>0</v>
      </c>
      <c r="Y38" s="21" t="s">
        <v>94</v>
      </c>
      <c r="Z38" s="15">
        <f>VLOOKUP($D38&amp;$B38,[3]!装备基础属性表,P$30,FALSE)</f>
        <v>587.97239729760838</v>
      </c>
      <c r="AA38" s="15">
        <f>VLOOKUP($D38&amp;$B38,[3]!装备基础属性表,Q$30,FALSE)</f>
        <v>29.864829946524072</v>
      </c>
      <c r="AB38" s="15">
        <f>VLOOKUP($D38&amp;$B38,[3]!装备基础属性表,R$30,FALSE)</f>
        <v>12.905195147313693</v>
      </c>
      <c r="AC38" s="15">
        <f>VLOOKUP($D38&amp;$B38,[3]!装备基础属性表,S$30,FALSE)</f>
        <v>23.4375</v>
      </c>
      <c r="AD38" s="15">
        <f>VLOOKUP($D38&amp;$B38,[3]!装备基础属性表,T$30,FALSE)</f>
        <v>23.4375</v>
      </c>
      <c r="AE38" s="15">
        <f>VLOOKUP($D38&amp;$B38,[3]!装备基础属性表,U$30,FALSE)</f>
        <v>13.888888888888888</v>
      </c>
      <c r="AF38" s="15">
        <f>VLOOKUP($D38&amp;$B38,[3]!装备基础属性表,V$30,FALSE)</f>
        <v>0</v>
      </c>
      <c r="AG38" s="15">
        <f>VLOOKUP($D38&amp;$B38,[3]!装备基础属性表,W$30,FALSE)</f>
        <v>13.888888888888888</v>
      </c>
      <c r="AH38" s="15">
        <f>VLOOKUP($D38&amp;$B38,[3]!装备基础属性表,X$30,FALSE)</f>
        <v>0</v>
      </c>
      <c r="AI38" s="15">
        <f>VLOOKUP($D38&amp;$B38,[3]!装备基础属性表,Y$30,FALSE)</f>
        <v>0</v>
      </c>
      <c r="AJ38" s="16" t="str">
        <f>B38&amp;VLOOKUP(C38,定义数据!$E$1:$F$7,2,FALSE)&amp;D38</f>
        <v>105</v>
      </c>
      <c r="AK38" s="14">
        <f t="shared" ref="AK38:AK43" si="32">FLOOR((ROW(AK38)-$B$30)/6,1)+2</f>
        <v>3</v>
      </c>
      <c r="AL38" s="5">
        <f t="shared" ref="AL38:AL43" si="33">B38+2</f>
        <v>3</v>
      </c>
      <c r="AM38" s="5" t="str">
        <f t="array" aca="1" ref="AM38" ca="1">IF(AM$31&gt;$AL38,0,IF(ISERROR(OFFSET($E$31,0,SMALL(IF($E38:$X38&gt;0,COLUMN($A:$T),""),AM$31)-1)),0,OFFSET($E$31,0,SMALL(IF($E38:$X38&gt;0,COLUMN($A:$T),""),AM$31)-1)))</f>
        <v>攻击</v>
      </c>
      <c r="AN38" s="5">
        <f t="array" aca="1" ref="AN38" ca="1">IF(AM$31&gt;$AL38,0,IF(ISERROR(INDEX($E38:$X38,,SMALL(IF($E38:$X38&gt;0,COLUMN($A:$T),""),AN$31))),0,INDEX($E38:$X38,,SMALL(IF($E38:$X38&gt;0,COLUMN($A:$T),""),AN$31))))</f>
        <v>22.398622459893055</v>
      </c>
      <c r="AO38" s="5" t="str">
        <f t="array" aca="1" ref="AO38" ca="1">IF(AO$31&gt;$AL38,0,IF(ISERROR(OFFSET($E$31,0,SMALL(IF($E38:$X38&gt;0,COLUMN($A:$T),""),AO$31)-1)),0,OFFSET($E$31,0,SMALL(IF($E38:$X38&gt;0,COLUMN($A:$T),""),AO$31)-1)))</f>
        <v>暴击值</v>
      </c>
      <c r="AP38" s="5">
        <f t="array" aca="1" ref="AP38" ca="1">IF(AO$31&gt;$AL38,0,IF(ISERROR(INDEX($E38:$X38,,SMALL(IF($E38:$X38&gt;0,COLUMN($A:$T),""),AP$31))),0,INDEX($E38:$X38,,SMALL(IF($E38:$X38&gt;0,COLUMN($A:$T),""),AP$31))))</f>
        <v>13.888888888888888</v>
      </c>
      <c r="AQ38" s="5" t="str">
        <f t="array" aca="1" ref="AQ38" ca="1">IF(AQ$31&gt;$AL38,0,IF(ISERROR(OFFSET($E$31,0,SMALL(IF($E38:$X38&gt;0,COLUMN($A:$T),""),AQ$31)-1)),0,OFFSET($E$31,0,SMALL(IF($E38:$X38&gt;0,COLUMN($A:$T),""),AQ$31)-1)))</f>
        <v>攻击</v>
      </c>
      <c r="AR38" s="5">
        <f t="array" aca="1" ref="AR38" ca="1">IF(AQ$31&gt;$AL38,0,IF(ISERROR(INDEX($E38:$X38,,SMALL(IF($E38:$X38&gt;0,COLUMN($A:$T),""),AR$31))),0,INDEX($E38:$X38,,SMALL(IF($E38:$X38&gt;0,COLUMN($A:$T),""),AR$31))))</f>
        <v>1.7918897967914444</v>
      </c>
      <c r="AS38" s="5">
        <f t="array" aca="1" ref="AS38" ca="1">IF(AS$31&gt;$AL38,0,IF(ISERROR(OFFSET($E$31,0,SMALL(IF($E38:$X38&gt;0,COLUMN($A:$T),""),AS$31)-1)),0,OFFSET($E$31,0,SMALL(IF($E38:$X38&gt;0,COLUMN($A:$T),""),AS$31)-1)))</f>
        <v>0</v>
      </c>
      <c r="AT38" s="5">
        <f t="array" ref="AT38">IF(AS$31&gt;$AL38,0,IF(ISERROR(INDEX($E38:$X38,,SMALL(IF($E38:$X38&gt;0,COLUMN($A:$T),""),AT$31))),0,INDEX($E38:$X38,,SMALL(IF($E38:$X38&gt;0,COLUMN($A:$T),""),AT$31))))</f>
        <v>0</v>
      </c>
      <c r="AU38" s="5">
        <f t="array" aca="1" ref="AU38" ca="1">IF(AU$31&gt;$AL38,0,IF(ISERROR(OFFSET($E$31,0,SMALL(IF($E38:$X38&gt;0,COLUMN($A:$T),""),AU$31)-1)),0,OFFSET($E$31,0,SMALL(IF($E38:$X38&gt;0,COLUMN($A:$T),""),AU$31)-1)))</f>
        <v>0</v>
      </c>
      <c r="AV38" s="5">
        <f t="array" ref="AV38">IF(AU$31&gt;$AL38,0,IF(ISERROR(INDEX($E38:$X38,,SMALL(IF($E38:$X38&gt;0,COLUMN($A:$T),""),AV$31))),0,INDEX($E38:$X38,,SMALL(IF($E38:$X38&gt;0,COLUMN($A:$T),""),AV$31))))</f>
        <v>0</v>
      </c>
      <c r="AW38" s="5">
        <f t="array" aca="1" ref="AW38" ca="1">IF(AW$31&gt;$AL38,0,IF(ISERROR(OFFSET($E$31,0,SMALL(IF($E38:$X38&gt;0,COLUMN($A:$T),""),AW$31)-1)),0,OFFSET($E$31,0,SMALL(IF($E38:$X38&gt;0,COLUMN($A:$T),""),AW$31)-1)))</f>
        <v>0</v>
      </c>
      <c r="AX38" s="5">
        <f t="array" ref="AX38">IF(AW$31&gt;$AL38,0,IF(ISERROR(INDEX($E38:$X38,,SMALL(IF($E38:$X38&gt;0,COLUMN($A:$T),""),AX$31))),0,INDEX($E38:$X38,,SMALL(IF($E38:$X38&gt;0,COLUMN($A:$T),""),AX$31))))</f>
        <v>0</v>
      </c>
      <c r="AY38" s="5">
        <f t="array" aca="1" ref="AY38" ca="1">IF(AY$31&gt;$AL38,0,IF(ISERROR(OFFSET($E$31,0,SMALL(IF($E38:$X38&gt;0,COLUMN($A:$T),""),AY$31)-1)),0,OFFSET($E$31,0,SMALL(IF($E38:$X38&gt;0,COLUMN($A:$T),""),AY$31)-1)))</f>
        <v>0</v>
      </c>
      <c r="AZ38" s="5">
        <f t="array" ref="AZ38">IF(AY$31&gt;$AL38,0,IF(ISERROR(INDEX($E38:$X38,,SMALL(IF($E38:$X38&gt;0,COLUMN($A:$T),""),AZ$31))),0,INDEX($E38:$X38,,SMALL(IF($E38:$X38&gt;0,COLUMN($A:$T),""),AZ$31))))</f>
        <v>0</v>
      </c>
      <c r="BA38" s="5">
        <f t="array" aca="1" ref="BA38" ca="1">IF(BA$31&gt;$AL38,0,IF(ISERROR(OFFSET($E$31,0,SMALL(IF($E38:$X38&gt;0,COLUMN($A:$T),""),BA$31)-1)),0,OFFSET($E$31,0,SMALL(IF($E38:$X38&gt;0,COLUMN($A:$T),""),BA$31)-1)))</f>
        <v>0</v>
      </c>
      <c r="BB38" s="5">
        <f t="array" ref="BB38">IF(BA$31&gt;$AL38,0,IF(ISERROR(INDEX($E38:$X38,,SMALL(IF($E38:$X38&gt;0,COLUMN($A:$T),""),BB$31))),0,INDEX($E38:$X38,,SMALL(IF($E38:$X38&gt;0,COLUMN($A:$T),""),BB$31))))</f>
        <v>0</v>
      </c>
      <c r="BC38" s="5">
        <f t="array" aca="1" ref="BC38" ca="1">IF(BC$31&gt;$AL38,0,IF(ISERROR(OFFSET($E$31,0,SMALL(IF($E38:$X38&gt;0,COLUMN($A:$T),""),BC$31)-1)),0,OFFSET($E$31,0,SMALL(IF($E38:$X38&gt;0,COLUMN($A:$T),""),BC$31)-1)))</f>
        <v>0</v>
      </c>
      <c r="BD38" s="5">
        <f t="array" ref="BD38">IF(BC$31&gt;$AL38,0,IF(ISERROR(INDEX($E38:$X38,,SMALL(IF($E38:$X38&gt;0,COLUMN($A:$T),""),BD$31))),0,INDEX($E38:$X38,,SMALL(IF($E38:$X38&gt;0,COLUMN($A:$T),""),BD$31))))</f>
        <v>0</v>
      </c>
      <c r="BE38" s="5">
        <f t="array" aca="1" ref="BE38" ca="1">IF(BE$31&gt;$AL38,0,IF(ISERROR(OFFSET($E$31,0,SMALL(IF($E38:$X38&gt;0,COLUMN($A:$T),""),BE$31)-1)),0,OFFSET($E$31,0,SMALL(IF($E38:$X38&gt;0,COLUMN($A:$T),""),BE$31)-1)))</f>
        <v>0</v>
      </c>
      <c r="BF38" s="5">
        <f t="array" ref="BF38">IF(BE$31&gt;$AL38,0,IF(ISERROR(INDEX($E38:$X38,,SMALL(IF($E38:$X38&gt;0,COLUMN($A:$T),""),BF$31))),0,INDEX($E38:$X38,,SMALL(IF($E38:$X38&gt;0,COLUMN($A:$T),""),BF$31))))</f>
        <v>0</v>
      </c>
      <c r="BH38">
        <f ca="1">SUMPRODUCT(E38:N38,定义数据!$G$14:$P$14)</f>
        <v>24.898622459893055</v>
      </c>
      <c r="BI38">
        <f ca="1">SUMPRODUCT(O38:X38,定义数据!$G$14:$P$14)</f>
        <v>2.3726013825800059</v>
      </c>
      <c r="BJ38" s="5">
        <f t="shared" ref="BJ38:BJ43" ca="1" si="34">SUM(BH38:BI38)</f>
        <v>27.271223842473059</v>
      </c>
      <c r="BK38" s="5" t="str">
        <f>D38&amp;B38&amp;VLOOKUP(C38,定义数据!$E$1:$F$7,2,FALSE)</f>
        <v>510</v>
      </c>
    </row>
    <row r="39" spans="1:63" x14ac:dyDescent="0.15">
      <c r="A39" s="17" t="str">
        <f>D39&amp;B39&amp;VLOOKUP(C39,定义数据!$E$1:$F$7,2,FALSE)</f>
        <v>511</v>
      </c>
      <c r="B39" s="14">
        <v>1</v>
      </c>
      <c r="C39" s="14" t="s">
        <v>136</v>
      </c>
      <c r="D39" s="14">
        <v>5</v>
      </c>
      <c r="E39" s="56">
        <f t="shared" ref="E39:E114" ca="1" si="35">VLOOKUP($C39,$D$4:$O$9,F$2,FALSE)/F$10*Z39*OFFSET($Q$23,0,$B39)</f>
        <v>352.78343837856499</v>
      </c>
      <c r="F39" s="56">
        <f t="shared" ref="F39:F114" ca="1" si="36">VLOOKUP($C39,$D$4:$O$9,G$2,FALSE)/G$10*AA39*OFFSET($Q$23,0,$B39)</f>
        <v>0</v>
      </c>
      <c r="G39" s="56">
        <f t="shared" ref="G39:G114" ca="1" si="37">VLOOKUP($C39,$D$4:$O$9,H$2,FALSE)/H$10*AB39*OFFSET($Q$23,0,$B39)</f>
        <v>7.7431170883882157</v>
      </c>
      <c r="H39" s="56">
        <f t="shared" ref="H39:H114" ca="1" si="38">VLOOKUP($C39,$D$4:$O$9,I$2,FALSE)/I$10*AC39*OFFSET($Q$23,0,$B39)</f>
        <v>0</v>
      </c>
      <c r="I39" s="56">
        <f t="shared" ref="I39:I114" ca="1" si="39">VLOOKUP($C39,$D$4:$O$9,J$2,FALSE)/J$10*AD39*OFFSET($Q$23,0,$B39)</f>
        <v>0</v>
      </c>
      <c r="J39" s="56">
        <f t="shared" ref="J39:J114" ca="1" si="40">VLOOKUP($C39,$D$4:$O$9,K$2,FALSE)/K$10*AE39*OFFSET($Q$23,0,$B39)</f>
        <v>0</v>
      </c>
      <c r="K39" s="56">
        <f t="shared" ref="K39:K114" ca="1" si="41">VLOOKUP($C39,$D$4:$O$9,L$2,FALSE)/L$10*AF39*OFFSET($Q$23,0,$B39)</f>
        <v>0</v>
      </c>
      <c r="L39" s="56">
        <f t="shared" ref="L39:L114" ca="1" si="42">VLOOKUP($C39,$D$4:$O$9,M$2,FALSE)/M$10*AG39*OFFSET($Q$23,0,$B39)</f>
        <v>0</v>
      </c>
      <c r="M39" s="56">
        <f t="shared" ref="M39:M114" ca="1" si="43">VLOOKUP($C39,$D$4:$O$9,N$2,FALSE)/N$10*AH39*OFFSET($Q$23,0,$B39)</f>
        <v>0</v>
      </c>
      <c r="N39" s="56">
        <f t="shared" ref="N39:N114" ca="1" si="44">VLOOKUP($C39,$D$4:$O$9,O$2,FALSE)/O$10*AI39*OFFSET($Q$23,0,$B39)</f>
        <v>0</v>
      </c>
      <c r="O39" s="65">
        <f ca="1">VLOOKUP($C39,$D$14:$O$19,F$2,FALSE)/F$20*Z39*OFFSET($Q$24,0,$B39)</f>
        <v>19.599079909920277</v>
      </c>
      <c r="P39" s="65">
        <f t="shared" ref="P39:P81" ca="1" si="45">VLOOKUP($C39,$D$14:$O$19,G$2,FALSE)/G$20*AA39*OFFSET($Q$24,0,$B39)</f>
        <v>0</v>
      </c>
      <c r="Q39" s="65">
        <f t="shared" ref="Q39:Q81" ca="1" si="46">VLOOKUP($C39,$D$14:$O$19,H$2,FALSE)/H$20*AB39*OFFSET($Q$24,0,$B39)</f>
        <v>0.64525975736568464</v>
      </c>
      <c r="R39" s="65">
        <f t="shared" ref="R39:R81" ca="1" si="47">VLOOKUP($C39,$D$14:$O$19,I$2,FALSE)/I$20*AC39*OFFSET($Q$24,0,$B39)</f>
        <v>0.46875</v>
      </c>
      <c r="S39" s="65">
        <f t="shared" ref="S39:S81" ca="1" si="48">VLOOKUP($C39,$D$14:$O$19,J$2,FALSE)/J$20*AD39*OFFSET($Q$24,0,$B39)</f>
        <v>0</v>
      </c>
      <c r="T39" s="65">
        <f t="shared" ref="T39:T81" ca="1" si="49">VLOOKUP($C39,$D$14:$O$19,K$2,FALSE)/K$20*AE39*OFFSET($Q$24,0,$B39)</f>
        <v>0</v>
      </c>
      <c r="U39" s="65">
        <f t="shared" ref="U39:U81" ca="1" si="50">VLOOKUP($C39,$D$14:$O$19,L$2,FALSE)/L$20*AF39*OFFSET($Q$24,0,$B39)</f>
        <v>0</v>
      </c>
      <c r="V39" s="65">
        <f t="shared" ref="V39:V81" ca="1" si="51">VLOOKUP($C39,$D$14:$O$19,M$2,FALSE)/M$20*AG39*OFFSET($Q$24,0,$B39)</f>
        <v>0.46296296296296291</v>
      </c>
      <c r="W39" s="65">
        <f t="shared" ref="W39:W81" ca="1" si="52">VLOOKUP($C39,$D$14:$O$19,N$2,FALSE)/N$20*AH39*OFFSET($Q$24,0,$B39)</f>
        <v>0</v>
      </c>
      <c r="X39" s="65">
        <f t="shared" ref="X39:X81" ca="1" si="53">VLOOKUP($C39,$D$14:$O$19,O$2,FALSE)/O$20*AI39*OFFSET($Q$24,0,$B39)</f>
        <v>0</v>
      </c>
      <c r="Y39" s="21" t="s">
        <v>95</v>
      </c>
      <c r="Z39" s="15">
        <f>VLOOKUP($D39&amp;$B39,[3]!装备基础属性表,P$30,FALSE)</f>
        <v>587.97239729760838</v>
      </c>
      <c r="AA39" s="15">
        <f>VLOOKUP($D39&amp;$B39,[3]!装备基础属性表,Q$30,FALSE)</f>
        <v>29.864829946524072</v>
      </c>
      <c r="AB39" s="15">
        <f>VLOOKUP($D39&amp;$B39,[3]!装备基础属性表,R$30,FALSE)</f>
        <v>12.905195147313693</v>
      </c>
      <c r="AC39" s="15">
        <f>VLOOKUP($D39&amp;$B39,[3]!装备基础属性表,S$30,FALSE)</f>
        <v>23.4375</v>
      </c>
      <c r="AD39" s="15">
        <f>VLOOKUP($D39&amp;$B39,[3]!装备基础属性表,T$30,FALSE)</f>
        <v>23.4375</v>
      </c>
      <c r="AE39" s="15">
        <f>VLOOKUP($D39&amp;$B39,[3]!装备基础属性表,U$30,FALSE)</f>
        <v>13.888888888888888</v>
      </c>
      <c r="AF39" s="15">
        <f>VLOOKUP($D39&amp;$B39,[3]!装备基础属性表,V$30,FALSE)</f>
        <v>0</v>
      </c>
      <c r="AG39" s="15">
        <f>VLOOKUP($D39&amp;$B39,[3]!装备基础属性表,W$30,FALSE)</f>
        <v>13.888888888888888</v>
      </c>
      <c r="AH39" s="15">
        <f>VLOOKUP($D39&amp;$B39,[3]!装备基础属性表,X$30,FALSE)</f>
        <v>0</v>
      </c>
      <c r="AI39" s="15">
        <f>VLOOKUP($D39&amp;$B39,[3]!装备基础属性表,Y$30,FALSE)</f>
        <v>0</v>
      </c>
      <c r="AJ39" s="16" t="str">
        <f>B39&amp;VLOOKUP(C39,定义数据!$E$1:$F$7,2,FALSE)&amp;D39</f>
        <v>115</v>
      </c>
      <c r="AK39" s="14">
        <f t="shared" si="32"/>
        <v>3</v>
      </c>
      <c r="AL39" s="5">
        <f t="shared" si="33"/>
        <v>3</v>
      </c>
      <c r="AM39" s="5" t="str">
        <f t="array" aca="1" ref="AM39" ca="1">IF(AM$31&gt;$AL39,0,IF(ISERROR(OFFSET($E$31,0,SMALL(IF($E39:$X39&gt;0,COLUMN($A:$T),""),AM$31)-1)),0,OFFSET($E$31,0,SMALL(IF($E39:$X39&gt;0,COLUMN($A:$T),""),AM$31)-1)))</f>
        <v>生命</v>
      </c>
      <c r="AN39" s="5">
        <f t="array" aca="1" ref="AN39" ca="1">IF(AM$31&gt;$AL39,0,IF(ISERROR(INDEX($E39:$X39,,SMALL(IF($E39:$X39&gt;0,COLUMN($A:$T),""),AN$31))),0,INDEX($E39:$X39,,SMALL(IF($E39:$X39&gt;0,COLUMN($A:$T),""),AN$31))))</f>
        <v>352.78343837856499</v>
      </c>
      <c r="AO39" s="5" t="str">
        <f t="array" aca="1" ref="AO39" ca="1">IF(AO$31&gt;$AL39,0,IF(ISERROR(OFFSET($E$31,0,SMALL(IF($E39:$X39&gt;0,COLUMN($A:$T),""),AO$31)-1)),0,OFFSET($E$31,0,SMALL(IF($E39:$X39&gt;0,COLUMN($A:$T),""),AO$31)-1)))</f>
        <v>防御</v>
      </c>
      <c r="AP39" s="5">
        <f t="array" aca="1" ref="AP39" ca="1">IF(AO$31&gt;$AL39,0,IF(ISERROR(INDEX($E39:$X39,,SMALL(IF($E39:$X39&gt;0,COLUMN($A:$T),""),AP$31))),0,INDEX($E39:$X39,,SMALL(IF($E39:$X39&gt;0,COLUMN($A:$T),""),AP$31))))</f>
        <v>7.7431170883882157</v>
      </c>
      <c r="AQ39" s="5" t="str">
        <f t="array" aca="1" ref="AQ39" ca="1">IF(AQ$31&gt;$AL39,0,IF(ISERROR(OFFSET($E$31,0,SMALL(IF($E39:$X39&gt;0,COLUMN($A:$T),""),AQ$31)-1)),0,OFFSET($E$31,0,SMALL(IF($E39:$X39&gt;0,COLUMN($A:$T),""),AQ$31)-1)))</f>
        <v>生命</v>
      </c>
      <c r="AR39" s="5">
        <f t="array" aca="1" ref="AR39" ca="1">IF(AQ$31&gt;$AL39,0,IF(ISERROR(INDEX($E39:$X39,,SMALL(IF($E39:$X39&gt;0,COLUMN($A:$T),""),AR$31))),0,INDEX($E39:$X39,,SMALL(IF($E39:$X39&gt;0,COLUMN($A:$T),""),AR$31))))</f>
        <v>19.599079909920277</v>
      </c>
      <c r="AS39" s="5">
        <f t="array" aca="1" ref="AS39" ca="1">IF(AS$31&gt;$AL39,0,IF(ISERROR(OFFSET($E$31,0,SMALL(IF($E39:$X39&gt;0,COLUMN($A:$T),""),AS$31)-1)),0,OFFSET($E$31,0,SMALL(IF($E39:$X39&gt;0,COLUMN($A:$T),""),AS$31)-1)))</f>
        <v>0</v>
      </c>
      <c r="AT39" s="5">
        <f t="array" ref="AT39">IF(AS$31&gt;$AL39,0,IF(ISERROR(INDEX($E39:$X39,,SMALL(IF($E39:$X39&gt;0,COLUMN($A:$T),""),AT$31))),0,INDEX($E39:$X39,,SMALL(IF($E39:$X39&gt;0,COLUMN($A:$T),""),AT$31))))</f>
        <v>0</v>
      </c>
      <c r="AU39" s="5">
        <f t="array" aca="1" ref="AU39" ca="1">IF(AU$31&gt;$AL39,0,IF(ISERROR(OFFSET($E$31,0,SMALL(IF($E39:$X39&gt;0,COLUMN($A:$T),""),AU$31)-1)),0,OFFSET($E$31,0,SMALL(IF($E39:$X39&gt;0,COLUMN($A:$T),""),AU$31)-1)))</f>
        <v>0</v>
      </c>
      <c r="AV39" s="5">
        <f t="array" ref="AV39">IF(AU$31&gt;$AL39,0,IF(ISERROR(INDEX($E39:$X39,,SMALL(IF($E39:$X39&gt;0,COLUMN($A:$T),""),AV$31))),0,INDEX($E39:$X39,,SMALL(IF($E39:$X39&gt;0,COLUMN($A:$T),""),AV$31))))</f>
        <v>0</v>
      </c>
      <c r="AW39" s="5">
        <f t="array" aca="1" ref="AW39" ca="1">IF(AW$31&gt;$AL39,0,IF(ISERROR(OFFSET($E$31,0,SMALL(IF($E39:$X39&gt;0,COLUMN($A:$T),""),AW$31)-1)),0,OFFSET($E$31,0,SMALL(IF($E39:$X39&gt;0,COLUMN($A:$T),""),AW$31)-1)))</f>
        <v>0</v>
      </c>
      <c r="AX39" s="5">
        <f t="array" ref="AX39">IF(AW$31&gt;$AL39,0,IF(ISERROR(INDEX($E39:$X39,,SMALL(IF($E39:$X39&gt;0,COLUMN($A:$T),""),AX$31))),0,INDEX($E39:$X39,,SMALL(IF($E39:$X39&gt;0,COLUMN($A:$T),""),AX$31))))</f>
        <v>0</v>
      </c>
      <c r="AY39" s="5">
        <f t="array" aca="1" ref="AY39" ca="1">IF(AY$31&gt;$AL39,0,IF(ISERROR(OFFSET($E$31,0,SMALL(IF($E39:$X39&gt;0,COLUMN($A:$T),""),AY$31)-1)),0,OFFSET($E$31,0,SMALL(IF($E39:$X39&gt;0,COLUMN($A:$T),""),AY$31)-1)))</f>
        <v>0</v>
      </c>
      <c r="AZ39" s="5">
        <f t="array" ref="AZ39">IF(AY$31&gt;$AL39,0,IF(ISERROR(INDEX($E39:$X39,,SMALL(IF($E39:$X39&gt;0,COLUMN($A:$T),""),AZ$31))),0,INDEX($E39:$X39,,SMALL(IF($E39:$X39&gt;0,COLUMN($A:$T),""),AZ$31))))</f>
        <v>0</v>
      </c>
      <c r="BA39" s="5">
        <f t="array" aca="1" ref="BA39" ca="1">IF(BA$31&gt;$AL39,0,IF(ISERROR(OFFSET($E$31,0,SMALL(IF($E39:$X39&gt;0,COLUMN($A:$T),""),BA$31)-1)),0,OFFSET($E$31,0,SMALL(IF($E39:$X39&gt;0,COLUMN($A:$T),""),BA$31)-1)))</f>
        <v>0</v>
      </c>
      <c r="BB39" s="5">
        <f t="array" ref="BB39">IF(BA$31&gt;$AL39,0,IF(ISERROR(INDEX($E39:$X39,,SMALL(IF($E39:$X39&gt;0,COLUMN($A:$T),""),BB$31))),0,INDEX($E39:$X39,,SMALL(IF($E39:$X39&gt;0,COLUMN($A:$T),""),BB$31))))</f>
        <v>0</v>
      </c>
      <c r="BC39" s="5">
        <f t="array" aca="1" ref="BC39" ca="1">IF(BC$31&gt;$AL39,0,IF(ISERROR(OFFSET($E$31,0,SMALL(IF($E39:$X39&gt;0,COLUMN($A:$T),""),BC$31)-1)),0,OFFSET($E$31,0,SMALL(IF($E39:$X39&gt;0,COLUMN($A:$T),""),BC$31)-1)))</f>
        <v>0</v>
      </c>
      <c r="BD39" s="5">
        <f t="array" ref="BD39">IF(BC$31&gt;$AL39,0,IF(ISERROR(INDEX($E39:$X39,,SMALL(IF($E39:$X39&gt;0,COLUMN($A:$T),""),BD$31))),0,INDEX($E39:$X39,,SMALL(IF($E39:$X39&gt;0,COLUMN($A:$T),""),BD$31))))</f>
        <v>0</v>
      </c>
      <c r="BE39" s="5">
        <f t="array" aca="1" ref="BE39" ca="1">IF(BE$31&gt;$AL39,0,IF(ISERROR(OFFSET($E$31,0,SMALL(IF($E39:$X39&gt;0,COLUMN($A:$T),""),BE$31)-1)),0,OFFSET($E$31,0,SMALL(IF($E39:$X39&gt;0,COLUMN($A:$T),""),BE$31)-1)))</f>
        <v>0</v>
      </c>
      <c r="BF39" s="5">
        <f t="array" ref="BF39">IF(BE$31&gt;$AL39,0,IF(ISERROR(INDEX($E39:$X39,,SMALL(IF($E39:$X39&gt;0,COLUMN($A:$T),""),BF$31))),0,INDEX($E39:$X39,,SMALL(IF($E39:$X39&gt;0,COLUMN($A:$T),""),BF$31))))</f>
        <v>0</v>
      </c>
      <c r="BH39">
        <f ca="1">SUMPRODUCT(E39:N39,定义数据!$G$14:$P$14)</f>
        <v>21.854454623530813</v>
      </c>
      <c r="BI39">
        <f ca="1">SUMPRODUCT(O39:X39,定义数据!$G$14:$P$14)</f>
        <v>1.6719312870958292</v>
      </c>
      <c r="BJ39" s="5">
        <f t="shared" ca="1" si="34"/>
        <v>23.526385910626644</v>
      </c>
      <c r="BK39" s="5" t="str">
        <f>D39&amp;B39&amp;VLOOKUP(C39,定义数据!$E$1:$F$7,2,FALSE)</f>
        <v>511</v>
      </c>
    </row>
    <row r="40" spans="1:63" x14ac:dyDescent="0.15">
      <c r="A40" s="17" t="str">
        <f>D40&amp;B40&amp;VLOOKUP(C40,定义数据!$E$1:$F$7,2,FALSE)</f>
        <v>512</v>
      </c>
      <c r="B40" s="14">
        <v>1</v>
      </c>
      <c r="C40" s="14" t="s">
        <v>137</v>
      </c>
      <c r="D40" s="14">
        <v>5</v>
      </c>
      <c r="E40" s="56">
        <f t="shared" ca="1" si="35"/>
        <v>0</v>
      </c>
      <c r="F40" s="56">
        <f t="shared" ca="1" si="36"/>
        <v>0</v>
      </c>
      <c r="G40" s="56">
        <f t="shared" ca="1" si="37"/>
        <v>5.1620780589254771</v>
      </c>
      <c r="H40" s="56">
        <f t="shared" ca="1" si="38"/>
        <v>7.8125</v>
      </c>
      <c r="I40" s="56">
        <f t="shared" ca="1" si="39"/>
        <v>0</v>
      </c>
      <c r="J40" s="56">
        <f t="shared" ca="1" si="40"/>
        <v>0</v>
      </c>
      <c r="K40" s="56">
        <f t="shared" ca="1" si="41"/>
        <v>0</v>
      </c>
      <c r="L40" s="56">
        <f t="shared" ca="1" si="42"/>
        <v>0</v>
      </c>
      <c r="M40" s="56">
        <f t="shared" ca="1" si="43"/>
        <v>0</v>
      </c>
      <c r="N40" s="56">
        <f t="shared" ca="1" si="44"/>
        <v>0</v>
      </c>
      <c r="O40" s="65">
        <f t="shared" ref="O40:O81" ca="1" si="54">VLOOKUP($C40,$D$14:$O$19,F$2,FALSE)/F$20*Z40*OFFSET($Q$24,0,$B40)</f>
        <v>9.7995399549601387</v>
      </c>
      <c r="P40" s="65">
        <f t="shared" ca="1" si="45"/>
        <v>0</v>
      </c>
      <c r="Q40" s="65">
        <f t="shared" ca="1" si="46"/>
        <v>0.21508658578856155</v>
      </c>
      <c r="R40" s="65">
        <f t="shared" ca="1" si="47"/>
        <v>0.46875</v>
      </c>
      <c r="S40" s="65">
        <f t="shared" ca="1" si="48"/>
        <v>0</v>
      </c>
      <c r="T40" s="65">
        <f t="shared" ca="1" si="49"/>
        <v>0</v>
      </c>
      <c r="U40" s="65">
        <f t="shared" ca="1" si="50"/>
        <v>0</v>
      </c>
      <c r="V40" s="65">
        <f t="shared" ca="1" si="51"/>
        <v>0.46296296296296291</v>
      </c>
      <c r="W40" s="65">
        <f t="shared" ca="1" si="52"/>
        <v>0</v>
      </c>
      <c r="X40" s="65">
        <f t="shared" ca="1" si="53"/>
        <v>0</v>
      </c>
      <c r="Y40" s="21" t="s">
        <v>96</v>
      </c>
      <c r="Z40" s="15">
        <f>VLOOKUP($D40&amp;$B40,[3]!装备基础属性表,P$30,FALSE)</f>
        <v>587.97239729760838</v>
      </c>
      <c r="AA40" s="15">
        <f>VLOOKUP($D40&amp;$B40,[3]!装备基础属性表,Q$30,FALSE)</f>
        <v>29.864829946524072</v>
      </c>
      <c r="AB40" s="15">
        <f>VLOOKUP($D40&amp;$B40,[3]!装备基础属性表,R$30,FALSE)</f>
        <v>12.905195147313693</v>
      </c>
      <c r="AC40" s="15">
        <f>VLOOKUP($D40&amp;$B40,[3]!装备基础属性表,S$30,FALSE)</f>
        <v>23.4375</v>
      </c>
      <c r="AD40" s="15">
        <f>VLOOKUP($D40&amp;$B40,[3]!装备基础属性表,T$30,FALSE)</f>
        <v>23.4375</v>
      </c>
      <c r="AE40" s="15">
        <f>VLOOKUP($D40&amp;$B40,[3]!装备基础属性表,U$30,FALSE)</f>
        <v>13.888888888888888</v>
      </c>
      <c r="AF40" s="15">
        <f>VLOOKUP($D40&amp;$B40,[3]!装备基础属性表,V$30,FALSE)</f>
        <v>0</v>
      </c>
      <c r="AG40" s="15">
        <f>VLOOKUP($D40&amp;$B40,[3]!装备基础属性表,W$30,FALSE)</f>
        <v>13.888888888888888</v>
      </c>
      <c r="AH40" s="15">
        <f>VLOOKUP($D40&amp;$B40,[3]!装备基础属性表,X$30,FALSE)</f>
        <v>0</v>
      </c>
      <c r="AI40" s="15">
        <f>VLOOKUP($D40&amp;$B40,[3]!装备基础属性表,Y$30,FALSE)</f>
        <v>0</v>
      </c>
      <c r="AJ40" s="16" t="str">
        <f>B40&amp;VLOOKUP(C40,定义数据!$E$1:$F$7,2,FALSE)&amp;D40</f>
        <v>125</v>
      </c>
      <c r="AK40" s="14">
        <f t="shared" si="32"/>
        <v>3</v>
      </c>
      <c r="AL40" s="5">
        <f t="shared" si="33"/>
        <v>3</v>
      </c>
      <c r="AM40" s="5" t="str">
        <f t="array" aca="1" ref="AM40" ca="1">IF(AM$31&gt;$AL40,0,IF(ISERROR(OFFSET($E$31,0,SMALL(IF($E40:$X40&gt;0,COLUMN($A:$T),""),AM$31)-1)),0,OFFSET($E$31,0,SMALL(IF($E40:$X40&gt;0,COLUMN($A:$T),""),AM$31)-1)))</f>
        <v>防御</v>
      </c>
      <c r="AN40" s="5">
        <f t="array" aca="1" ref="AN40" ca="1">IF(AM$31&gt;$AL40,0,IF(ISERROR(INDEX($E40:$X40,,SMALL(IF($E40:$X40&gt;0,COLUMN($A:$T),""),AN$31))),0,INDEX($E40:$X40,,SMALL(IF($E40:$X40&gt;0,COLUMN($A:$T),""),AN$31))))</f>
        <v>5.1620780589254771</v>
      </c>
      <c r="AO40" s="5" t="str">
        <f t="array" aca="1" ref="AO40" ca="1">IF(AO$31&gt;$AL40,0,IF(ISERROR(OFFSET($E$31,0,SMALL(IF($E40:$X40&gt;0,COLUMN($A:$T),""),AO$31)-1)),0,OFFSET($E$31,0,SMALL(IF($E40:$X40&gt;0,COLUMN($A:$T),""),AO$31)-1)))</f>
        <v>闪避值</v>
      </c>
      <c r="AP40" s="5">
        <f t="array" aca="1" ref="AP40" ca="1">IF(AO$31&gt;$AL40,0,IF(ISERROR(INDEX($E40:$X40,,SMALL(IF($E40:$X40&gt;0,COLUMN($A:$T),""),AP$31))),0,INDEX($E40:$X40,,SMALL(IF($E40:$X40&gt;0,COLUMN($A:$T),""),AP$31))))</f>
        <v>7.8125</v>
      </c>
      <c r="AQ40" s="5" t="str">
        <f t="array" aca="1" ref="AQ40" ca="1">IF(AQ$31&gt;$AL40,0,IF(ISERROR(OFFSET($E$31,0,SMALL(IF($E40:$X40&gt;0,COLUMN($A:$T),""),AQ$31)-1)),0,OFFSET($E$31,0,SMALL(IF($E40:$X40&gt;0,COLUMN($A:$T),""),AQ$31)-1)))</f>
        <v>生命</v>
      </c>
      <c r="AR40" s="5">
        <f t="array" aca="1" ref="AR40" ca="1">IF(AQ$31&gt;$AL40,0,IF(ISERROR(INDEX($E40:$X40,,SMALL(IF($E40:$X40&gt;0,COLUMN($A:$T),""),AR$31))),0,INDEX($E40:$X40,,SMALL(IF($E40:$X40&gt;0,COLUMN($A:$T),""),AR$31))))</f>
        <v>9.7995399549601387</v>
      </c>
      <c r="AS40" s="5">
        <f t="array" aca="1" ref="AS40" ca="1">IF(AS$31&gt;$AL40,0,IF(ISERROR(OFFSET($E$31,0,SMALL(IF($E40:$X40&gt;0,COLUMN($A:$T),""),AS$31)-1)),0,OFFSET($E$31,0,SMALL(IF($E40:$X40&gt;0,COLUMN($A:$T),""),AS$31)-1)))</f>
        <v>0</v>
      </c>
      <c r="AT40" s="5">
        <f t="array" ref="AT40">IF(AS$31&gt;$AL40,0,IF(ISERROR(INDEX($E40:$X40,,SMALL(IF($E40:$X40&gt;0,COLUMN($A:$T),""),AT$31))),0,INDEX($E40:$X40,,SMALL(IF($E40:$X40&gt;0,COLUMN($A:$T),""),AT$31))))</f>
        <v>0</v>
      </c>
      <c r="AU40" s="5">
        <f t="array" aca="1" ref="AU40" ca="1">IF(AU$31&gt;$AL40,0,IF(ISERROR(OFFSET($E$31,0,SMALL(IF($E40:$X40&gt;0,COLUMN($A:$T),""),AU$31)-1)),0,OFFSET($E$31,0,SMALL(IF($E40:$X40&gt;0,COLUMN($A:$T),""),AU$31)-1)))</f>
        <v>0</v>
      </c>
      <c r="AV40" s="5">
        <f t="array" ref="AV40">IF(AU$31&gt;$AL40,0,IF(ISERROR(INDEX($E40:$X40,,SMALL(IF($E40:$X40&gt;0,COLUMN($A:$T),""),AV$31))),0,INDEX($E40:$X40,,SMALL(IF($E40:$X40&gt;0,COLUMN($A:$T),""),AV$31))))</f>
        <v>0</v>
      </c>
      <c r="AW40" s="5">
        <f t="array" aca="1" ref="AW40" ca="1">IF(AW$31&gt;$AL40,0,IF(ISERROR(OFFSET($E$31,0,SMALL(IF($E40:$X40&gt;0,COLUMN($A:$T),""),AW$31)-1)),0,OFFSET($E$31,0,SMALL(IF($E40:$X40&gt;0,COLUMN($A:$T),""),AW$31)-1)))</f>
        <v>0</v>
      </c>
      <c r="AX40" s="5">
        <f t="array" ref="AX40">IF(AW$31&gt;$AL40,0,IF(ISERROR(INDEX($E40:$X40,,SMALL(IF($E40:$X40&gt;0,COLUMN($A:$T),""),AX$31))),0,INDEX($E40:$X40,,SMALL(IF($E40:$X40&gt;0,COLUMN($A:$T),""),AX$31))))</f>
        <v>0</v>
      </c>
      <c r="AY40" s="5">
        <f t="array" aca="1" ref="AY40" ca="1">IF(AY$31&gt;$AL40,0,IF(ISERROR(OFFSET($E$31,0,SMALL(IF($E40:$X40&gt;0,COLUMN($A:$T),""),AY$31)-1)),0,OFFSET($E$31,0,SMALL(IF($E40:$X40&gt;0,COLUMN($A:$T),""),AY$31)-1)))</f>
        <v>0</v>
      </c>
      <c r="AZ40" s="5">
        <f t="array" ref="AZ40">IF(AY$31&gt;$AL40,0,IF(ISERROR(INDEX($E40:$X40,,SMALL(IF($E40:$X40&gt;0,COLUMN($A:$T),""),AZ$31))),0,INDEX($E40:$X40,,SMALL(IF($E40:$X40&gt;0,COLUMN($A:$T),""),AZ$31))))</f>
        <v>0</v>
      </c>
      <c r="BA40" s="5">
        <f t="array" aca="1" ref="BA40" ca="1">IF(BA$31&gt;$AL40,0,IF(ISERROR(OFFSET($E$31,0,SMALL(IF($E40:$X40&gt;0,COLUMN($A:$T),""),BA$31)-1)),0,OFFSET($E$31,0,SMALL(IF($E40:$X40&gt;0,COLUMN($A:$T),""),BA$31)-1)))</f>
        <v>0</v>
      </c>
      <c r="BB40" s="5">
        <f t="array" ref="BB40">IF(BA$31&gt;$AL40,0,IF(ISERROR(INDEX($E40:$X40,,SMALL(IF($E40:$X40&gt;0,COLUMN($A:$T),""),BB$31))),0,INDEX($E40:$X40,,SMALL(IF($E40:$X40&gt;0,COLUMN($A:$T),""),BB$31))))</f>
        <v>0</v>
      </c>
      <c r="BC40" s="5">
        <f t="array" aca="1" ref="BC40" ca="1">IF(BC$31&gt;$AL40,0,IF(ISERROR(OFFSET($E$31,0,SMALL(IF($E40:$X40&gt;0,COLUMN($A:$T),""),BC$31)-1)),0,OFFSET($E$31,0,SMALL(IF($E40:$X40&gt;0,COLUMN($A:$T),""),BC$31)-1)))</f>
        <v>0</v>
      </c>
      <c r="BD40" s="5">
        <f t="array" ref="BD40">IF(BC$31&gt;$AL40,0,IF(ISERROR(INDEX($E40:$X40,,SMALL(IF($E40:$X40&gt;0,COLUMN($A:$T),""),BD$31))),0,INDEX($E40:$X40,,SMALL(IF($E40:$X40&gt;0,COLUMN($A:$T),""),BD$31))))</f>
        <v>0</v>
      </c>
      <c r="BE40" s="5">
        <f t="array" aca="1" ref="BE40" ca="1">IF(BE$31&gt;$AL40,0,IF(ISERROR(OFFSET($E$31,0,SMALL(IF($E40:$X40&gt;0,COLUMN($A:$T),""),BE$31)-1)),0,OFFSET($E$31,0,SMALL(IF($E40:$X40&gt;0,COLUMN($A:$T),""),BE$31)-1)))</f>
        <v>0</v>
      </c>
      <c r="BF40" s="5">
        <f t="array" ref="BF40">IF(BE$31&gt;$AL40,0,IF(ISERROR(INDEX($E40:$X40,,SMALL(IF($E40:$X40&gt;0,COLUMN($A:$T),""),BF$31))),0,INDEX($E40:$X40,,SMALL(IF($E40:$X40&gt;0,COLUMN($A:$T),""),BF$31))))</f>
        <v>0</v>
      </c>
      <c r="BH40">
        <f ca="1">SUMPRODUCT(E40:N40,定义数据!$G$14:$P$14)</f>
        <v>7.8183280589254771</v>
      </c>
      <c r="BI40">
        <f ca="1">SUMPRODUCT(O40:X40,定义数据!$G$14:$P$14)</f>
        <v>0.84977651732030046</v>
      </c>
      <c r="BJ40" s="5">
        <f t="shared" ca="1" si="34"/>
        <v>8.6681045762457778</v>
      </c>
      <c r="BK40" s="5" t="str">
        <f>D40&amp;B40&amp;VLOOKUP(C40,定义数据!$E$1:$F$7,2,FALSE)</f>
        <v>512</v>
      </c>
    </row>
    <row r="41" spans="1:63" x14ac:dyDescent="0.15">
      <c r="A41" s="17" t="str">
        <f>D41&amp;B41&amp;VLOOKUP(C41,定义数据!$E$1:$F$7,2,FALSE)</f>
        <v>515</v>
      </c>
      <c r="B41" s="14">
        <v>1</v>
      </c>
      <c r="C41" s="14" t="s">
        <v>138</v>
      </c>
      <c r="D41" s="14">
        <v>5</v>
      </c>
      <c r="E41" s="56">
        <f t="shared" ca="1" si="35"/>
        <v>117.59447945952168</v>
      </c>
      <c r="F41" s="56">
        <f t="shared" ca="1" si="36"/>
        <v>0</v>
      </c>
      <c r="G41" s="56">
        <f t="shared" ca="1" si="37"/>
        <v>0</v>
      </c>
      <c r="H41" s="56">
        <f t="shared" ca="1" si="38"/>
        <v>15.625</v>
      </c>
      <c r="I41" s="56">
        <f t="shared" ca="1" si="39"/>
        <v>0</v>
      </c>
      <c r="J41" s="56">
        <f t="shared" ca="1" si="40"/>
        <v>0</v>
      </c>
      <c r="K41" s="56">
        <f t="shared" ca="1" si="41"/>
        <v>0</v>
      </c>
      <c r="L41" s="56">
        <f t="shared" ca="1" si="42"/>
        <v>0</v>
      </c>
      <c r="M41" s="56">
        <f t="shared" ca="1" si="43"/>
        <v>0</v>
      </c>
      <c r="N41" s="56">
        <f t="shared" ca="1" si="44"/>
        <v>0</v>
      </c>
      <c r="O41" s="65">
        <f t="shared" ca="1" si="54"/>
        <v>9.7995399549601387</v>
      </c>
      <c r="P41" s="65">
        <f t="shared" ca="1" si="45"/>
        <v>0</v>
      </c>
      <c r="Q41" s="65">
        <f t="shared" ca="1" si="46"/>
        <v>0</v>
      </c>
      <c r="R41" s="65">
        <f t="shared" ca="1" si="47"/>
        <v>0.9375</v>
      </c>
      <c r="S41" s="65">
        <f t="shared" ca="1" si="48"/>
        <v>0.78125</v>
      </c>
      <c r="T41" s="65">
        <f t="shared" ca="1" si="49"/>
        <v>0.27777777777777779</v>
      </c>
      <c r="U41" s="65">
        <f t="shared" ca="1" si="50"/>
        <v>0</v>
      </c>
      <c r="V41" s="65">
        <f t="shared" ca="1" si="51"/>
        <v>0</v>
      </c>
      <c r="W41" s="65">
        <f t="shared" ca="1" si="52"/>
        <v>0</v>
      </c>
      <c r="X41" s="65">
        <f t="shared" ca="1" si="53"/>
        <v>0</v>
      </c>
      <c r="Y41" s="21"/>
      <c r="Z41" s="15">
        <f>VLOOKUP($D41&amp;$B41,[3]!装备基础属性表,P$30,FALSE)</f>
        <v>587.97239729760838</v>
      </c>
      <c r="AA41" s="15">
        <f>VLOOKUP($D41&amp;$B41,[3]!装备基础属性表,Q$30,FALSE)</f>
        <v>29.864829946524072</v>
      </c>
      <c r="AB41" s="15">
        <f>VLOOKUP($D41&amp;$B41,[3]!装备基础属性表,R$30,FALSE)</f>
        <v>12.905195147313693</v>
      </c>
      <c r="AC41" s="15">
        <f>VLOOKUP($D41&amp;$B41,[3]!装备基础属性表,S$30,FALSE)</f>
        <v>23.4375</v>
      </c>
      <c r="AD41" s="15">
        <f>VLOOKUP($D41&amp;$B41,[3]!装备基础属性表,T$30,FALSE)</f>
        <v>23.4375</v>
      </c>
      <c r="AE41" s="15">
        <f>VLOOKUP($D41&amp;$B41,[3]!装备基础属性表,U$30,FALSE)</f>
        <v>13.888888888888888</v>
      </c>
      <c r="AF41" s="15">
        <f>VLOOKUP($D41&amp;$B41,[3]!装备基础属性表,V$30,FALSE)</f>
        <v>0</v>
      </c>
      <c r="AG41" s="15">
        <f>VLOOKUP($D41&amp;$B41,[3]!装备基础属性表,W$30,FALSE)</f>
        <v>13.888888888888888</v>
      </c>
      <c r="AH41" s="15">
        <f>VLOOKUP($D41&amp;$B41,[3]!装备基础属性表,X$30,FALSE)</f>
        <v>0</v>
      </c>
      <c r="AI41" s="15">
        <f>VLOOKUP($D41&amp;$B41,[3]!装备基础属性表,Y$30,FALSE)</f>
        <v>0</v>
      </c>
      <c r="AJ41" s="16" t="str">
        <f>B41&amp;VLOOKUP(C41,定义数据!$E$1:$F$7,2,FALSE)&amp;D41</f>
        <v>155</v>
      </c>
      <c r="AK41" s="14">
        <f t="shared" si="32"/>
        <v>3</v>
      </c>
      <c r="AL41" s="5">
        <f t="shared" si="33"/>
        <v>3</v>
      </c>
      <c r="AM41" s="5" t="str">
        <f t="array" aca="1" ref="AM41" ca="1">IF(AM$31&gt;$AL41,0,IF(ISERROR(OFFSET($E$31,0,SMALL(IF($E41:$X41&gt;0,COLUMN($A:$T),""),AM$31)-1)),0,OFFSET($E$31,0,SMALL(IF($E41:$X41&gt;0,COLUMN($A:$T),""),AM$31)-1)))</f>
        <v>生命</v>
      </c>
      <c r="AN41" s="5">
        <f t="array" aca="1" ref="AN41" ca="1">IF(AM$31&gt;$AL41,0,IF(ISERROR(INDEX($E41:$X41,,SMALL(IF($E41:$X41&gt;0,COLUMN($A:$T),""),AN$31))),0,INDEX($E41:$X41,,SMALL(IF($E41:$X41&gt;0,COLUMN($A:$T),""),AN$31))))</f>
        <v>117.59447945952168</v>
      </c>
      <c r="AO41" s="5" t="str">
        <f t="array" aca="1" ref="AO41" ca="1">IF(AO$31&gt;$AL41,0,IF(ISERROR(OFFSET($E$31,0,SMALL(IF($E41:$X41&gt;0,COLUMN($A:$T),""),AO$31)-1)),0,OFFSET($E$31,0,SMALL(IF($E41:$X41&gt;0,COLUMN($A:$T),""),AO$31)-1)))</f>
        <v>闪避值</v>
      </c>
      <c r="AP41" s="5">
        <f t="array" aca="1" ref="AP41" ca="1">IF(AO$31&gt;$AL41,0,IF(ISERROR(INDEX($E41:$X41,,SMALL(IF($E41:$X41&gt;0,COLUMN($A:$T),""),AP$31))),0,INDEX($E41:$X41,,SMALL(IF($E41:$X41&gt;0,COLUMN($A:$T),""),AP$31))))</f>
        <v>15.625</v>
      </c>
      <c r="AQ41" s="5" t="str">
        <f t="array" aca="1" ref="AQ41" ca="1">IF(AQ$31&gt;$AL41,0,IF(ISERROR(OFFSET($E$31,0,SMALL(IF($E41:$X41&gt;0,COLUMN($A:$T),""),AQ$31)-1)),0,OFFSET($E$31,0,SMALL(IF($E41:$X41&gt;0,COLUMN($A:$T),""),AQ$31)-1)))</f>
        <v>生命</v>
      </c>
      <c r="AR41" s="5">
        <f t="array" aca="1" ref="AR41" ca="1">IF(AQ$31&gt;$AL41,0,IF(ISERROR(INDEX($E41:$X41,,SMALL(IF($E41:$X41&gt;0,COLUMN($A:$T),""),AR$31))),0,INDEX($E41:$X41,,SMALL(IF($E41:$X41&gt;0,COLUMN($A:$T),""),AR$31))))</f>
        <v>9.7995399549601387</v>
      </c>
      <c r="AS41" s="5">
        <f t="array" aca="1" ref="AS41" ca="1">IF(AS$31&gt;$AL41,0,IF(ISERROR(OFFSET($E$31,0,SMALL(IF($E41:$X41&gt;0,COLUMN($A:$T),""),AS$31)-1)),0,OFFSET($E$31,0,SMALL(IF($E41:$X41&gt;0,COLUMN($A:$T),""),AS$31)-1)))</f>
        <v>0</v>
      </c>
      <c r="AT41" s="5">
        <f t="array" ref="AT41">IF(AS$31&gt;$AL41,0,IF(ISERROR(INDEX($E41:$X41,,SMALL(IF($E41:$X41&gt;0,COLUMN($A:$T),""),AT$31))),0,INDEX($E41:$X41,,SMALL(IF($E41:$X41&gt;0,COLUMN($A:$T),""),AT$31))))</f>
        <v>0</v>
      </c>
      <c r="AU41" s="5">
        <f t="array" aca="1" ref="AU41" ca="1">IF(AU$31&gt;$AL41,0,IF(ISERROR(OFFSET($E$31,0,SMALL(IF($E41:$X41&gt;0,COLUMN($A:$T),""),AU$31)-1)),0,OFFSET($E$31,0,SMALL(IF($E41:$X41&gt;0,COLUMN($A:$T),""),AU$31)-1)))</f>
        <v>0</v>
      </c>
      <c r="AV41" s="5">
        <f t="array" ref="AV41">IF(AU$31&gt;$AL41,0,IF(ISERROR(INDEX($E41:$X41,,SMALL(IF($E41:$X41&gt;0,COLUMN($A:$T),""),AV$31))),0,INDEX($E41:$X41,,SMALL(IF($E41:$X41&gt;0,COLUMN($A:$T),""),AV$31))))</f>
        <v>0</v>
      </c>
      <c r="AW41" s="5">
        <f t="array" aca="1" ref="AW41" ca="1">IF(AW$31&gt;$AL41,0,IF(ISERROR(OFFSET($E$31,0,SMALL(IF($E41:$X41&gt;0,COLUMN($A:$T),""),AW$31)-1)),0,OFFSET($E$31,0,SMALL(IF($E41:$X41&gt;0,COLUMN($A:$T),""),AW$31)-1)))</f>
        <v>0</v>
      </c>
      <c r="AX41" s="5">
        <f t="array" ref="AX41">IF(AW$31&gt;$AL41,0,IF(ISERROR(INDEX($E41:$X41,,SMALL(IF($E41:$X41&gt;0,COLUMN($A:$T),""),AX$31))),0,INDEX($E41:$X41,,SMALL(IF($E41:$X41&gt;0,COLUMN($A:$T),""),AX$31))))</f>
        <v>0</v>
      </c>
      <c r="AY41" s="5">
        <f t="array" aca="1" ref="AY41" ca="1">IF(AY$31&gt;$AL41,0,IF(ISERROR(OFFSET($E$31,0,SMALL(IF($E41:$X41&gt;0,COLUMN($A:$T),""),AY$31)-1)),0,OFFSET($E$31,0,SMALL(IF($E41:$X41&gt;0,COLUMN($A:$T),""),AY$31)-1)))</f>
        <v>0</v>
      </c>
      <c r="AZ41" s="5">
        <f t="array" ref="AZ41">IF(AY$31&gt;$AL41,0,IF(ISERROR(INDEX($E41:$X41,,SMALL(IF($E41:$X41&gt;0,COLUMN($A:$T),""),AZ$31))),0,INDEX($E41:$X41,,SMALL(IF($E41:$X41&gt;0,COLUMN($A:$T),""),AZ$31))))</f>
        <v>0</v>
      </c>
      <c r="BA41" s="5">
        <f t="array" aca="1" ref="BA41" ca="1">IF(BA$31&gt;$AL41,0,IF(ISERROR(OFFSET($E$31,0,SMALL(IF($E41:$X41&gt;0,COLUMN($A:$T),""),BA$31)-1)),0,OFFSET($E$31,0,SMALL(IF($E41:$X41&gt;0,COLUMN($A:$T),""),BA$31)-1)))</f>
        <v>0</v>
      </c>
      <c r="BB41" s="5">
        <f t="array" ref="BB41">IF(BA$31&gt;$AL41,0,IF(ISERROR(INDEX($E41:$X41,,SMALL(IF($E41:$X41&gt;0,COLUMN($A:$T),""),BB$31))),0,INDEX($E41:$X41,,SMALL(IF($E41:$X41&gt;0,COLUMN($A:$T),""),BB$31))))</f>
        <v>0</v>
      </c>
      <c r="BC41" s="5">
        <f t="array" aca="1" ref="BC41" ca="1">IF(BC$31&gt;$AL41,0,IF(ISERROR(OFFSET($E$31,0,SMALL(IF($E41:$X41&gt;0,COLUMN($A:$T),""),BC$31)-1)),0,OFFSET($E$31,0,SMALL(IF($E41:$X41&gt;0,COLUMN($A:$T),""),BC$31)-1)))</f>
        <v>0</v>
      </c>
      <c r="BD41" s="5">
        <f t="array" ref="BD41">IF(BC$31&gt;$AL41,0,IF(ISERROR(INDEX($E41:$X41,,SMALL(IF($E41:$X41&gt;0,COLUMN($A:$T),""),BD$31))),0,INDEX($E41:$X41,,SMALL(IF($E41:$X41&gt;0,COLUMN($A:$T),""),BD$31))))</f>
        <v>0</v>
      </c>
      <c r="BE41" s="5">
        <f t="array" aca="1" ref="BE41" ca="1">IF(BE$31&gt;$AL41,0,IF(ISERROR(OFFSET($E$31,0,SMALL(IF($E41:$X41&gt;0,COLUMN($A:$T),""),BE$31)-1)),0,OFFSET($E$31,0,SMALL(IF($E41:$X41&gt;0,COLUMN($A:$T),""),BE$31)-1)))</f>
        <v>0</v>
      </c>
      <c r="BF41" s="5">
        <f t="array" ref="BF41">IF(BE$31&gt;$AL41,0,IF(ISERROR(INDEX($E41:$X41,,SMALL(IF($E41:$X41&gt;0,COLUMN($A:$T),""),BF$31))),0,INDEX($E41:$X41,,SMALL(IF($E41:$X41&gt;0,COLUMN($A:$T),""),BF$31))))</f>
        <v>0</v>
      </c>
      <c r="BH41">
        <f ca="1">SUMPRODUCT(E41:N41,定义数据!$G$14:$P$14)</f>
        <v>10.016279178380866</v>
      </c>
      <c r="BI41">
        <f ca="1">SUMPRODUCT(O41:X41,定义数据!$G$14:$P$14)</f>
        <v>1.0263565981984055</v>
      </c>
      <c r="BJ41" s="5">
        <f t="shared" ca="1" si="34"/>
        <v>11.042635776579273</v>
      </c>
      <c r="BK41" s="5" t="str">
        <f>D41&amp;B41&amp;VLOOKUP(C41,定义数据!$E$1:$F$7,2,FALSE)</f>
        <v>515</v>
      </c>
    </row>
    <row r="42" spans="1:63" x14ac:dyDescent="0.15">
      <c r="A42" s="17" t="str">
        <f>D42&amp;B42&amp;VLOOKUP(C42,定义数据!$E$1:$F$7,2,FALSE)</f>
        <v>514</v>
      </c>
      <c r="B42" s="14">
        <v>1</v>
      </c>
      <c r="C42" s="14" t="s">
        <v>83</v>
      </c>
      <c r="D42" s="14">
        <v>5</v>
      </c>
      <c r="E42" s="56">
        <f t="shared" ca="1" si="35"/>
        <v>117.59447945952168</v>
      </c>
      <c r="F42" s="56">
        <f t="shared" ca="1" si="36"/>
        <v>0</v>
      </c>
      <c r="G42" s="56">
        <f t="shared" ca="1" si="37"/>
        <v>0</v>
      </c>
      <c r="H42" s="56">
        <f t="shared" ca="1" si="38"/>
        <v>0</v>
      </c>
      <c r="I42" s="56">
        <f t="shared" ca="1" si="39"/>
        <v>0</v>
      </c>
      <c r="J42" s="56">
        <f t="shared" ca="1" si="40"/>
        <v>0</v>
      </c>
      <c r="K42" s="56">
        <f t="shared" ca="1" si="41"/>
        <v>0</v>
      </c>
      <c r="L42" s="56">
        <f t="shared" ca="1" si="42"/>
        <v>13.888888888888888</v>
      </c>
      <c r="M42" s="56">
        <f t="shared" ca="1" si="43"/>
        <v>0</v>
      </c>
      <c r="N42" s="56">
        <f t="shared" ca="1" si="44"/>
        <v>0</v>
      </c>
      <c r="O42" s="65">
        <f t="shared" ca="1" si="54"/>
        <v>19.599079909920277</v>
      </c>
      <c r="P42" s="65">
        <f t="shared" ca="1" si="45"/>
        <v>0.59729659893048148</v>
      </c>
      <c r="Q42" s="65">
        <f t="shared" ca="1" si="46"/>
        <v>0.21508658578856155</v>
      </c>
      <c r="R42" s="65">
        <f t="shared" ca="1" si="47"/>
        <v>0</v>
      </c>
      <c r="S42" s="65">
        <f t="shared" ca="1" si="48"/>
        <v>0</v>
      </c>
      <c r="T42" s="65">
        <f t="shared" ca="1" si="49"/>
        <v>0</v>
      </c>
      <c r="U42" s="65">
        <f t="shared" ca="1" si="50"/>
        <v>0</v>
      </c>
      <c r="V42" s="65">
        <f t="shared" ca="1" si="51"/>
        <v>0.46296296296296291</v>
      </c>
      <c r="W42" s="65">
        <f t="shared" ca="1" si="52"/>
        <v>0</v>
      </c>
      <c r="X42" s="65">
        <f t="shared" ca="1" si="53"/>
        <v>0</v>
      </c>
      <c r="Y42" s="21"/>
      <c r="Z42" s="15">
        <f>VLOOKUP($D42&amp;$B42,[3]!装备基础属性表,P$30,FALSE)</f>
        <v>587.97239729760838</v>
      </c>
      <c r="AA42" s="15">
        <f>VLOOKUP($D42&amp;$B42,[3]!装备基础属性表,Q$30,FALSE)</f>
        <v>29.864829946524072</v>
      </c>
      <c r="AB42" s="15">
        <f>VLOOKUP($D42&amp;$B42,[3]!装备基础属性表,R$30,FALSE)</f>
        <v>12.905195147313693</v>
      </c>
      <c r="AC42" s="15">
        <f>VLOOKUP($D42&amp;$B42,[3]!装备基础属性表,S$30,FALSE)</f>
        <v>23.4375</v>
      </c>
      <c r="AD42" s="15">
        <f>VLOOKUP($D42&amp;$B42,[3]!装备基础属性表,T$30,FALSE)</f>
        <v>23.4375</v>
      </c>
      <c r="AE42" s="15">
        <f>VLOOKUP($D42&amp;$B42,[3]!装备基础属性表,U$30,FALSE)</f>
        <v>13.888888888888888</v>
      </c>
      <c r="AF42" s="15">
        <f>VLOOKUP($D42&amp;$B42,[3]!装备基础属性表,V$30,FALSE)</f>
        <v>0</v>
      </c>
      <c r="AG42" s="15">
        <f>VLOOKUP($D42&amp;$B42,[3]!装备基础属性表,W$30,FALSE)</f>
        <v>13.888888888888888</v>
      </c>
      <c r="AH42" s="15">
        <f>VLOOKUP($D42&amp;$B42,[3]!装备基础属性表,X$30,FALSE)</f>
        <v>0</v>
      </c>
      <c r="AI42" s="15">
        <f>VLOOKUP($D42&amp;$B42,[3]!装备基础属性表,Y$30,FALSE)</f>
        <v>0</v>
      </c>
      <c r="AJ42" s="16" t="str">
        <f>B42&amp;VLOOKUP(C42,定义数据!$E$1:$F$7,2,FALSE)&amp;D42</f>
        <v>145</v>
      </c>
      <c r="AK42" s="14">
        <f t="shared" si="32"/>
        <v>3</v>
      </c>
      <c r="AL42" s="5">
        <f t="shared" si="33"/>
        <v>3</v>
      </c>
      <c r="AM42" s="5" t="str">
        <f t="array" aca="1" ref="AM42" ca="1">IF(AM$31&gt;$AL42,0,IF(ISERROR(OFFSET($E$31,0,SMALL(IF($E42:$X42&gt;0,COLUMN($A:$T),""),AM$31)-1)),0,OFFSET($E$31,0,SMALL(IF($E42:$X42&gt;0,COLUMN($A:$T),""),AM$31)-1)))</f>
        <v>生命</v>
      </c>
      <c r="AN42" s="5">
        <f t="array" aca="1" ref="AN42" ca="1">IF(AM$31&gt;$AL42,0,IF(ISERROR(INDEX($E42:$X42,,SMALL(IF($E42:$X42&gt;0,COLUMN($A:$T),""),AN$31))),0,INDEX($E42:$X42,,SMALL(IF($E42:$X42&gt;0,COLUMN($A:$T),""),AN$31))))</f>
        <v>117.59447945952168</v>
      </c>
      <c r="AO42" s="5" t="str">
        <f t="array" aca="1" ref="AO42" ca="1">IF(AO$31&gt;$AL42,0,IF(ISERROR(OFFSET($E$31,0,SMALL(IF($E42:$X42&gt;0,COLUMN($A:$T),""),AO$31)-1)),0,OFFSET($E$31,0,SMALL(IF($E42:$X42&gt;0,COLUMN($A:$T),""),AO$31)-1)))</f>
        <v>韧性值</v>
      </c>
      <c r="AP42" s="5">
        <f t="array" aca="1" ref="AP42" ca="1">IF(AO$31&gt;$AL42,0,IF(ISERROR(INDEX($E42:$X42,,SMALL(IF($E42:$X42&gt;0,COLUMN($A:$T),""),AP$31))),0,INDEX($E42:$X42,,SMALL(IF($E42:$X42&gt;0,COLUMN($A:$T),""),AP$31))))</f>
        <v>13.888888888888888</v>
      </c>
      <c r="AQ42" s="5" t="str">
        <f t="array" aca="1" ref="AQ42" ca="1">IF(AQ$31&gt;$AL42,0,IF(ISERROR(OFFSET($E$31,0,SMALL(IF($E42:$X42&gt;0,COLUMN($A:$T),""),AQ$31)-1)),0,OFFSET($E$31,0,SMALL(IF($E42:$X42&gt;0,COLUMN($A:$T),""),AQ$31)-1)))</f>
        <v>生命</v>
      </c>
      <c r="AR42" s="5">
        <f t="array" aca="1" ref="AR42" ca="1">IF(AQ$31&gt;$AL42,0,IF(ISERROR(INDEX($E42:$X42,,SMALL(IF($E42:$X42&gt;0,COLUMN($A:$T),""),AR$31))),0,INDEX($E42:$X42,,SMALL(IF($E42:$X42&gt;0,COLUMN($A:$T),""),AR$31))))</f>
        <v>19.599079909920277</v>
      </c>
      <c r="AS42" s="5">
        <f t="array" aca="1" ref="AS42" ca="1">IF(AS$31&gt;$AL42,0,IF(ISERROR(OFFSET($E$31,0,SMALL(IF($E42:$X42&gt;0,COLUMN($A:$T),""),AS$31)-1)),0,OFFSET($E$31,0,SMALL(IF($E42:$X42&gt;0,COLUMN($A:$T),""),AS$31)-1)))</f>
        <v>0</v>
      </c>
      <c r="AT42" s="5">
        <f t="array" ref="AT42">IF(AS$31&gt;$AL42,0,IF(ISERROR(INDEX($E42:$X42,,SMALL(IF($E42:$X42&gt;0,COLUMN($A:$T),""),AT$31))),0,INDEX($E42:$X42,,SMALL(IF($E42:$X42&gt;0,COLUMN($A:$T),""),AT$31))))</f>
        <v>0</v>
      </c>
      <c r="AU42" s="5">
        <f t="array" aca="1" ref="AU42" ca="1">IF(AU$31&gt;$AL42,0,IF(ISERROR(OFFSET($E$31,0,SMALL(IF($E42:$X42&gt;0,COLUMN($A:$T),""),AU$31)-1)),0,OFFSET($E$31,0,SMALL(IF($E42:$X42&gt;0,COLUMN($A:$T),""),AU$31)-1)))</f>
        <v>0</v>
      </c>
      <c r="AV42" s="5">
        <f t="array" ref="AV42">IF(AU$31&gt;$AL42,0,IF(ISERROR(INDEX($E42:$X42,,SMALL(IF($E42:$X42&gt;0,COLUMN($A:$T),""),AV$31))),0,INDEX($E42:$X42,,SMALL(IF($E42:$X42&gt;0,COLUMN($A:$T),""),AV$31))))</f>
        <v>0</v>
      </c>
      <c r="AW42" s="5">
        <f t="array" aca="1" ref="AW42" ca="1">IF(AW$31&gt;$AL42,0,IF(ISERROR(OFFSET($E$31,0,SMALL(IF($E42:$X42&gt;0,COLUMN($A:$T),""),AW$31)-1)),0,OFFSET($E$31,0,SMALL(IF($E42:$X42&gt;0,COLUMN($A:$T),""),AW$31)-1)))</f>
        <v>0</v>
      </c>
      <c r="AX42" s="5">
        <f t="array" ref="AX42">IF(AW$31&gt;$AL42,0,IF(ISERROR(INDEX($E42:$X42,,SMALL(IF($E42:$X42&gt;0,COLUMN($A:$T),""),AX$31))),0,INDEX($E42:$X42,,SMALL(IF($E42:$X42&gt;0,COLUMN($A:$T),""),AX$31))))</f>
        <v>0</v>
      </c>
      <c r="AY42" s="5">
        <f t="array" aca="1" ref="AY42" ca="1">IF(AY$31&gt;$AL42,0,IF(ISERROR(OFFSET($E$31,0,SMALL(IF($E42:$X42&gt;0,COLUMN($A:$T),""),AY$31)-1)),0,OFFSET($E$31,0,SMALL(IF($E42:$X42&gt;0,COLUMN($A:$T),""),AY$31)-1)))</f>
        <v>0</v>
      </c>
      <c r="AZ42" s="5">
        <f t="array" ref="AZ42">IF(AY$31&gt;$AL42,0,IF(ISERROR(INDEX($E42:$X42,,SMALL(IF($E42:$X42&gt;0,COLUMN($A:$T),""),AZ$31))),0,INDEX($E42:$X42,,SMALL(IF($E42:$X42&gt;0,COLUMN($A:$T),""),AZ$31))))</f>
        <v>0</v>
      </c>
      <c r="BA42" s="5">
        <f t="array" aca="1" ref="BA42" ca="1">IF(BA$31&gt;$AL42,0,IF(ISERROR(OFFSET($E$31,0,SMALL(IF($E42:$X42&gt;0,COLUMN($A:$T),""),BA$31)-1)),0,OFFSET($E$31,0,SMALL(IF($E42:$X42&gt;0,COLUMN($A:$T),""),BA$31)-1)))</f>
        <v>0</v>
      </c>
      <c r="BB42" s="5">
        <f t="array" ref="BB42">IF(BA$31&gt;$AL42,0,IF(ISERROR(INDEX($E42:$X42,,SMALL(IF($E42:$X42&gt;0,COLUMN($A:$T),""),BB$31))),0,INDEX($E42:$X42,,SMALL(IF($E42:$X42&gt;0,COLUMN($A:$T),""),BB$31))))</f>
        <v>0</v>
      </c>
      <c r="BC42" s="5">
        <f t="array" aca="1" ref="BC42" ca="1">IF(BC$31&gt;$AL42,0,IF(ISERROR(OFFSET($E$31,0,SMALL(IF($E42:$X42&gt;0,COLUMN($A:$T),""),BC$31)-1)),0,OFFSET($E$31,0,SMALL(IF($E42:$X42&gt;0,COLUMN($A:$T),""),BC$31)-1)))</f>
        <v>0</v>
      </c>
      <c r="BD42" s="5">
        <f t="array" ref="BD42">IF(BC$31&gt;$AL42,0,IF(ISERROR(INDEX($E42:$X42,,SMALL(IF($E42:$X42&gt;0,COLUMN($A:$T),""),BD$31))),0,INDEX($E42:$X42,,SMALL(IF($E42:$X42&gt;0,COLUMN($A:$T),""),BD$31))))</f>
        <v>0</v>
      </c>
      <c r="BE42" s="5">
        <f t="array" aca="1" ref="BE42" ca="1">IF(BE$31&gt;$AL42,0,IF(ISERROR(OFFSET($E$31,0,SMALL(IF($E42:$X42&gt;0,COLUMN($A:$T),""),BE$31)-1)),0,OFFSET($E$31,0,SMALL(IF($E42:$X42&gt;0,COLUMN($A:$T),""),BE$31)-1)))</f>
        <v>0</v>
      </c>
      <c r="BF42" s="5">
        <f t="array" ref="BF42">IF(BE$31&gt;$AL42,0,IF(ISERROR(INDEX($E42:$X42,,SMALL(IF($E42:$X42&gt;0,COLUMN($A:$T),""),BF$31))),0,INDEX($E42:$X42,,SMALL(IF($E42:$X42&gt;0,COLUMN($A:$T),""),BF$31))))</f>
        <v>0</v>
      </c>
      <c r="BH42">
        <f ca="1">SUMPRODUCT(E42:N42,定义数据!$G$14:$P$14)</f>
        <v>7.2037791783808665</v>
      </c>
      <c r="BI42">
        <f ca="1">SUMPRODUCT(O42:X42,定义数据!$G$14:$P$14)</f>
        <v>1.6796797144491873</v>
      </c>
      <c r="BJ42" s="5">
        <f t="shared" ca="1" si="34"/>
        <v>8.8834588928300544</v>
      </c>
      <c r="BK42" s="5" t="str">
        <f>D42&amp;B42&amp;VLOOKUP(C42,定义数据!$E$1:$F$7,2,FALSE)</f>
        <v>514</v>
      </c>
    </row>
    <row r="43" spans="1:63" x14ac:dyDescent="0.15">
      <c r="A43" s="17" t="str">
        <f>D43&amp;B43&amp;VLOOKUP(C43,定义数据!$E$1:$F$7,2,FALSE)</f>
        <v>513</v>
      </c>
      <c r="B43" s="14">
        <v>1</v>
      </c>
      <c r="C43" s="14" t="s">
        <v>84</v>
      </c>
      <c r="D43" s="14">
        <v>5</v>
      </c>
      <c r="E43" s="56">
        <f t="shared" ca="1" si="35"/>
        <v>0</v>
      </c>
      <c r="F43" s="56">
        <f t="shared" ca="1" si="36"/>
        <v>7.466207486631018</v>
      </c>
      <c r="G43" s="56">
        <f t="shared" ca="1" si="37"/>
        <v>0</v>
      </c>
      <c r="H43" s="56">
        <f t="shared" ca="1" si="38"/>
        <v>0</v>
      </c>
      <c r="I43" s="56">
        <f t="shared" ca="1" si="39"/>
        <v>23.4375</v>
      </c>
      <c r="J43" s="56">
        <f t="shared" ca="1" si="40"/>
        <v>0</v>
      </c>
      <c r="K43" s="56">
        <f t="shared" ca="1" si="41"/>
        <v>0</v>
      </c>
      <c r="L43" s="56">
        <f t="shared" ca="1" si="42"/>
        <v>0</v>
      </c>
      <c r="M43" s="56">
        <f t="shared" ca="1" si="43"/>
        <v>0</v>
      </c>
      <c r="N43" s="56">
        <f t="shared" ca="1" si="44"/>
        <v>0</v>
      </c>
      <c r="O43" s="65">
        <f t="shared" ca="1" si="54"/>
        <v>0</v>
      </c>
      <c r="P43" s="65">
        <f t="shared" ca="1" si="45"/>
        <v>0.59729659893048148</v>
      </c>
      <c r="Q43" s="65">
        <f t="shared" ca="1" si="46"/>
        <v>0</v>
      </c>
      <c r="R43" s="65">
        <f t="shared" ca="1" si="47"/>
        <v>0.46875</v>
      </c>
      <c r="S43" s="65">
        <f t="shared" ca="1" si="48"/>
        <v>0.78125</v>
      </c>
      <c r="T43" s="65">
        <f t="shared" ca="1" si="49"/>
        <v>0.55555555555555558</v>
      </c>
      <c r="U43" s="65">
        <f t="shared" ca="1" si="50"/>
        <v>0</v>
      </c>
      <c r="V43" s="65">
        <f t="shared" ca="1" si="51"/>
        <v>0</v>
      </c>
      <c r="W43" s="65">
        <f t="shared" ca="1" si="52"/>
        <v>0</v>
      </c>
      <c r="X43" s="65">
        <f t="shared" ca="1" si="53"/>
        <v>0</v>
      </c>
      <c r="Y43" s="21"/>
      <c r="Z43" s="15">
        <f>VLOOKUP($D43&amp;$B43,[3]!装备基础属性表,P$30,FALSE)</f>
        <v>587.97239729760838</v>
      </c>
      <c r="AA43" s="15">
        <f>VLOOKUP($D43&amp;$B43,[3]!装备基础属性表,Q$30,FALSE)</f>
        <v>29.864829946524072</v>
      </c>
      <c r="AB43" s="15">
        <f>VLOOKUP($D43&amp;$B43,[3]!装备基础属性表,R$30,FALSE)</f>
        <v>12.905195147313693</v>
      </c>
      <c r="AC43" s="15">
        <f>VLOOKUP($D43&amp;$B43,[3]!装备基础属性表,S$30,FALSE)</f>
        <v>23.4375</v>
      </c>
      <c r="AD43" s="15">
        <f>VLOOKUP($D43&amp;$B43,[3]!装备基础属性表,T$30,FALSE)</f>
        <v>23.4375</v>
      </c>
      <c r="AE43" s="15">
        <f>VLOOKUP($D43&amp;$B43,[3]!装备基础属性表,U$30,FALSE)</f>
        <v>13.888888888888888</v>
      </c>
      <c r="AF43" s="15">
        <f>VLOOKUP($D43&amp;$B43,[3]!装备基础属性表,V$30,FALSE)</f>
        <v>0</v>
      </c>
      <c r="AG43" s="15">
        <f>VLOOKUP($D43&amp;$B43,[3]!装备基础属性表,W$30,FALSE)</f>
        <v>13.888888888888888</v>
      </c>
      <c r="AH43" s="15">
        <f>VLOOKUP($D43&amp;$B43,[3]!装备基础属性表,X$30,FALSE)</f>
        <v>0</v>
      </c>
      <c r="AI43" s="15">
        <f>VLOOKUP($D43&amp;$B43,[3]!装备基础属性表,Y$30,FALSE)</f>
        <v>0</v>
      </c>
      <c r="AJ43" s="16" t="str">
        <f>B43&amp;VLOOKUP(C43,定义数据!$E$1:$F$7,2,FALSE)&amp;D43</f>
        <v>135</v>
      </c>
      <c r="AK43" s="14">
        <f t="shared" si="32"/>
        <v>3</v>
      </c>
      <c r="AL43" s="5">
        <f t="shared" si="33"/>
        <v>3</v>
      </c>
      <c r="AM43" s="5" t="str">
        <f t="array" aca="1" ref="AM43" ca="1">IF(AM$31&gt;$AL43,0,IF(ISERROR(OFFSET($E$31,0,SMALL(IF($E43:$X43&gt;0,COLUMN($A:$T),""),AM$31)-1)),0,OFFSET($E$31,0,SMALL(IF($E43:$X43&gt;0,COLUMN($A:$T),""),AM$31)-1)))</f>
        <v>攻击</v>
      </c>
      <c r="AN43" s="5">
        <f t="array" aca="1" ref="AN43" ca="1">IF(AM$31&gt;$AL43,0,IF(ISERROR(INDEX($E43:$X43,,SMALL(IF($E43:$X43&gt;0,COLUMN($A:$T),""),AN$31))),0,INDEX($E43:$X43,,SMALL(IF($E43:$X43&gt;0,COLUMN($A:$T),""),AN$31))))</f>
        <v>7.466207486631018</v>
      </c>
      <c r="AO43" s="5" t="str">
        <f t="array" aca="1" ref="AO43" ca="1">IF(AO$31&gt;$AL43,0,IF(ISERROR(OFFSET($E$31,0,SMALL(IF($E43:$X43&gt;0,COLUMN($A:$T),""),AO$31)-1)),0,OFFSET($E$31,0,SMALL(IF($E43:$X43&gt;0,COLUMN($A:$T),""),AO$31)-1)))</f>
        <v>命中值</v>
      </c>
      <c r="AP43" s="5">
        <f t="array" aca="1" ref="AP43" ca="1">IF(AO$31&gt;$AL43,0,IF(ISERROR(INDEX($E43:$X43,,SMALL(IF($E43:$X43&gt;0,COLUMN($A:$T),""),AP$31))),0,INDEX($E43:$X43,,SMALL(IF($E43:$X43&gt;0,COLUMN($A:$T),""),AP$31))))</f>
        <v>23.4375</v>
      </c>
      <c r="AQ43" s="5" t="str">
        <f t="array" aca="1" ref="AQ43" ca="1">IF(AQ$31&gt;$AL43,0,IF(ISERROR(OFFSET($E$31,0,SMALL(IF($E43:$X43&gt;0,COLUMN($A:$T),""),AQ$31)-1)),0,OFFSET($E$31,0,SMALL(IF($E43:$X43&gt;0,COLUMN($A:$T),""),AQ$31)-1)))</f>
        <v>攻击</v>
      </c>
      <c r="AR43" s="5">
        <f t="array" aca="1" ref="AR43" ca="1">IF(AQ$31&gt;$AL43,0,IF(ISERROR(INDEX($E43:$X43,,SMALL(IF($E43:$X43&gt;0,COLUMN($A:$T),""),AR$31))),0,INDEX($E43:$X43,,SMALL(IF($E43:$X43&gt;0,COLUMN($A:$T),""),AR$31))))</f>
        <v>0.59729659893048148</v>
      </c>
      <c r="AS43" s="5">
        <f t="array" aca="1" ref="AS43" ca="1">IF(AS$31&gt;$AL43,0,IF(ISERROR(OFFSET($E$31,0,SMALL(IF($E43:$X43&gt;0,COLUMN($A:$T),""),AS$31)-1)),0,OFFSET($E$31,0,SMALL(IF($E43:$X43&gt;0,COLUMN($A:$T),""),AS$31)-1)))</f>
        <v>0</v>
      </c>
      <c r="AT43" s="5">
        <f t="array" ref="AT43">IF(AS$31&gt;$AL43,0,IF(ISERROR(INDEX($E43:$X43,,SMALL(IF($E43:$X43&gt;0,COLUMN($A:$T),""),AT$31))),0,INDEX($E43:$X43,,SMALL(IF($E43:$X43&gt;0,COLUMN($A:$T),""),AT$31))))</f>
        <v>0</v>
      </c>
      <c r="AU43" s="5">
        <f t="array" aca="1" ref="AU43" ca="1">IF(AU$31&gt;$AL43,0,IF(ISERROR(OFFSET($E$31,0,SMALL(IF($E43:$X43&gt;0,COLUMN($A:$T),""),AU$31)-1)),0,OFFSET($E$31,0,SMALL(IF($E43:$X43&gt;0,COLUMN($A:$T),""),AU$31)-1)))</f>
        <v>0</v>
      </c>
      <c r="AV43" s="5">
        <f t="array" ref="AV43">IF(AU$31&gt;$AL43,0,IF(ISERROR(INDEX($E43:$X43,,SMALL(IF($E43:$X43&gt;0,COLUMN($A:$T),""),AV$31))),0,INDEX($E43:$X43,,SMALL(IF($E43:$X43&gt;0,COLUMN($A:$T),""),AV$31))))</f>
        <v>0</v>
      </c>
      <c r="AW43" s="5">
        <f t="array" aca="1" ref="AW43" ca="1">IF(AW$31&gt;$AL43,0,IF(ISERROR(OFFSET($E$31,0,SMALL(IF($E43:$X43&gt;0,COLUMN($A:$T),""),AW$31)-1)),0,OFFSET($E$31,0,SMALL(IF($E43:$X43&gt;0,COLUMN($A:$T),""),AW$31)-1)))</f>
        <v>0</v>
      </c>
      <c r="AX43" s="5">
        <f t="array" ref="AX43">IF(AW$31&gt;$AL43,0,IF(ISERROR(INDEX($E43:$X43,,SMALL(IF($E43:$X43&gt;0,COLUMN($A:$T),""),AX$31))),0,INDEX($E43:$X43,,SMALL(IF($E43:$X43&gt;0,COLUMN($A:$T),""),AX$31))))</f>
        <v>0</v>
      </c>
      <c r="AY43" s="5">
        <f t="array" aca="1" ref="AY43" ca="1">IF(AY$31&gt;$AL43,0,IF(ISERROR(OFFSET($E$31,0,SMALL(IF($E43:$X43&gt;0,COLUMN($A:$T),""),AY$31)-1)),0,OFFSET($E$31,0,SMALL(IF($E43:$X43&gt;0,COLUMN($A:$T),""),AY$31)-1)))</f>
        <v>0</v>
      </c>
      <c r="AZ43" s="5">
        <f t="array" ref="AZ43">IF(AY$31&gt;$AL43,0,IF(ISERROR(INDEX($E43:$X43,,SMALL(IF($E43:$X43&gt;0,COLUMN($A:$T),""),AZ$31))),0,INDEX($E43:$X43,,SMALL(IF($E43:$X43&gt;0,COLUMN($A:$T),""),AZ$31))))</f>
        <v>0</v>
      </c>
      <c r="BA43" s="5">
        <f t="array" aca="1" ref="BA43" ca="1">IF(BA$31&gt;$AL43,0,IF(ISERROR(OFFSET($E$31,0,SMALL(IF($E43:$X43&gt;0,COLUMN($A:$T),""),BA$31)-1)),0,OFFSET($E$31,0,SMALL(IF($E43:$X43&gt;0,COLUMN($A:$T),""),BA$31)-1)))</f>
        <v>0</v>
      </c>
      <c r="BB43" s="5">
        <f t="array" ref="BB43">IF(BA$31&gt;$AL43,0,IF(ISERROR(INDEX($E43:$X43,,SMALL(IF($E43:$X43&gt;0,COLUMN($A:$T),""),BB$31))),0,INDEX($E43:$X43,,SMALL(IF($E43:$X43&gt;0,COLUMN($A:$T),""),BB$31))))</f>
        <v>0</v>
      </c>
      <c r="BC43" s="5">
        <f t="array" aca="1" ref="BC43" ca="1">IF(BC$31&gt;$AL43,0,IF(ISERROR(OFFSET($E$31,0,SMALL(IF($E43:$X43&gt;0,COLUMN($A:$T),""),BC$31)-1)),0,OFFSET($E$31,0,SMALL(IF($E43:$X43&gt;0,COLUMN($A:$T),""),BC$31)-1)))</f>
        <v>0</v>
      </c>
      <c r="BD43" s="5">
        <f t="array" ref="BD43">IF(BC$31&gt;$AL43,0,IF(ISERROR(INDEX($E43:$X43,,SMALL(IF($E43:$X43&gt;0,COLUMN($A:$T),""),BD$31))),0,INDEX($E43:$X43,,SMALL(IF($E43:$X43&gt;0,COLUMN($A:$T),""),BD$31))))</f>
        <v>0</v>
      </c>
      <c r="BE43" s="5">
        <f t="array" aca="1" ref="BE43" ca="1">IF(BE$31&gt;$AL43,0,IF(ISERROR(OFFSET($E$31,0,SMALL(IF($E43:$X43&gt;0,COLUMN($A:$T),""),BE$31)-1)),0,OFFSET($E$31,0,SMALL(IF($E43:$X43&gt;0,COLUMN($A:$T),""),BE$31)-1)))</f>
        <v>0</v>
      </c>
      <c r="BF43" s="5">
        <f t="array" ref="BF43">IF(BE$31&gt;$AL43,0,IF(ISERROR(INDEX($E43:$X43,,SMALL(IF($E43:$X43&gt;0,COLUMN($A:$T),""),BF$31))),0,INDEX($E43:$X43,,SMALL(IF($E43:$X43&gt;0,COLUMN($A:$T),""),BF$31))))</f>
        <v>0</v>
      </c>
      <c r="BH43">
        <f ca="1">SUMPRODUCT(E43:N43,定义数据!$G$14:$P$14)</f>
        <v>15.434957486631019</v>
      </c>
      <c r="BI43">
        <f ca="1">SUMPRODUCT(O43:X43,定义数据!$G$14:$P$14)</f>
        <v>1.1222965989304816</v>
      </c>
      <c r="BJ43" s="5">
        <f t="shared" ca="1" si="34"/>
        <v>16.5572540855615</v>
      </c>
      <c r="BK43" s="5" t="str">
        <f>D43&amp;B43&amp;VLOOKUP(C43,定义数据!$E$1:$F$7,2,FALSE)</f>
        <v>513</v>
      </c>
    </row>
    <row r="44" spans="1:63" x14ac:dyDescent="0.15">
      <c r="A44" s="17" t="str">
        <f>D44&amp;B44&amp;VLOOKUP(C44,定义数据!$E$1:$F$7,2,FALSE)</f>
        <v>1510</v>
      </c>
      <c r="B44" s="18">
        <v>1</v>
      </c>
      <c r="C44" s="18" t="s">
        <v>141</v>
      </c>
      <c r="D44" s="24">
        <v>15</v>
      </c>
      <c r="E44" s="56">
        <f t="shared" ca="1" si="35"/>
        <v>0</v>
      </c>
      <c r="F44" s="56">
        <f t="shared" ca="1" si="36"/>
        <v>44.79724491978611</v>
      </c>
      <c r="G44" s="56">
        <f t="shared" ca="1" si="37"/>
        <v>0</v>
      </c>
      <c r="H44" s="56">
        <f t="shared" ca="1" si="38"/>
        <v>0</v>
      </c>
      <c r="I44" s="56">
        <f t="shared" ca="1" si="39"/>
        <v>0</v>
      </c>
      <c r="J44" s="56">
        <f t="shared" ca="1" si="40"/>
        <v>27.777777777777775</v>
      </c>
      <c r="K44" s="56">
        <f t="shared" ca="1" si="41"/>
        <v>0</v>
      </c>
      <c r="L44" s="56">
        <f t="shared" ca="1" si="42"/>
        <v>0</v>
      </c>
      <c r="M44" s="56">
        <f t="shared" ca="1" si="43"/>
        <v>0</v>
      </c>
      <c r="N44" s="56">
        <f t="shared" ca="1" si="44"/>
        <v>0</v>
      </c>
      <c r="O44" s="65">
        <f t="shared" ca="1" si="54"/>
        <v>0</v>
      </c>
      <c r="P44" s="65">
        <f t="shared" ca="1" si="45"/>
        <v>3.5837795935828889</v>
      </c>
      <c r="Q44" s="65">
        <f t="shared" ca="1" si="46"/>
        <v>0.43017317157712309</v>
      </c>
      <c r="R44" s="65">
        <f t="shared" ca="1" si="47"/>
        <v>0</v>
      </c>
      <c r="S44" s="65">
        <f t="shared" ca="1" si="48"/>
        <v>1.5625</v>
      </c>
      <c r="T44" s="65">
        <f t="shared" ca="1" si="49"/>
        <v>1.1111111111111112</v>
      </c>
      <c r="U44" s="65">
        <f t="shared" ca="1" si="50"/>
        <v>0</v>
      </c>
      <c r="V44" s="65">
        <f t="shared" ca="1" si="51"/>
        <v>0</v>
      </c>
      <c r="W44" s="65">
        <f t="shared" ca="1" si="52"/>
        <v>0</v>
      </c>
      <c r="X44" s="65">
        <f t="shared" ca="1" si="53"/>
        <v>0</v>
      </c>
      <c r="Y44" s="21" t="s">
        <v>94</v>
      </c>
      <c r="Z44" s="15">
        <f>VLOOKUP($D44&amp;$B44,[3]!装备基础属性表,P$30,FALSE)</f>
        <v>1175.9447945952168</v>
      </c>
      <c r="AA44" s="15">
        <f>VLOOKUP($D44&amp;$B44,[3]!装备基础属性表,Q$30,FALSE)</f>
        <v>59.729659893048144</v>
      </c>
      <c r="AB44" s="15">
        <f>VLOOKUP($D44&amp;$B44,[3]!装备基础属性表,R$30,FALSE)</f>
        <v>25.810390294627386</v>
      </c>
      <c r="AC44" s="15">
        <f>VLOOKUP($D44&amp;$B44,[3]!装备基础属性表,S$30,FALSE)</f>
        <v>46.875</v>
      </c>
      <c r="AD44" s="15">
        <f>VLOOKUP($D44&amp;$B44,[3]!装备基础属性表,T$30,FALSE)</f>
        <v>46.875</v>
      </c>
      <c r="AE44" s="15">
        <f>VLOOKUP($D44&amp;$B44,[3]!装备基础属性表,U$30,FALSE)</f>
        <v>27.777777777777775</v>
      </c>
      <c r="AF44" s="15">
        <f>VLOOKUP($D44&amp;$B44,[3]!装备基础属性表,V$30,FALSE)</f>
        <v>0</v>
      </c>
      <c r="AG44" s="15">
        <f>VLOOKUP($D44&amp;$B44,[3]!装备基础属性表,W$30,FALSE)</f>
        <v>27.777777777777775</v>
      </c>
      <c r="AH44" s="15">
        <f>VLOOKUP($D44&amp;$B44,[3]!装备基础属性表,X$30,FALSE)</f>
        <v>0</v>
      </c>
      <c r="AI44" s="15">
        <f>VLOOKUP($D44&amp;$B44,[3]!装备基础属性表,Y$30,FALSE)</f>
        <v>0</v>
      </c>
      <c r="AJ44" s="16" t="str">
        <f>B44&amp;VLOOKUP(C44,定义数据!$E$1:$F$7,2,FALSE)&amp;D44</f>
        <v>1015</v>
      </c>
      <c r="AK44" s="14">
        <f t="shared" si="29"/>
        <v>4</v>
      </c>
      <c r="AL44" s="5">
        <f t="shared" si="30"/>
        <v>3</v>
      </c>
      <c r="AM44" s="5" t="str">
        <f t="array" aca="1" ref="AM44" ca="1">IF(AM$31&gt;$AL44,0,IF(ISERROR(OFFSET($E$31,0,SMALL(IF($E44:$X44&gt;0,COLUMN($A:$T),""),AM$31)-1)),0,OFFSET($E$31,0,SMALL(IF($E44:$X44&gt;0,COLUMN($A:$T),""),AM$31)-1)))</f>
        <v>攻击</v>
      </c>
      <c r="AN44" s="5">
        <f t="array" aca="1" ref="AN44" ca="1">IF(AM$31&gt;$AL44,0,IF(ISERROR(INDEX($E44:$X44,,SMALL(IF($E44:$X44&gt;0,COLUMN($A:$T),""),AN$31))),0,INDEX($E44:$X44,,SMALL(IF($E44:$X44&gt;0,COLUMN($A:$T),""),AN$31))))</f>
        <v>44.79724491978611</v>
      </c>
      <c r="AO44" s="5" t="str">
        <f t="array" aca="1" ref="AO44" ca="1">IF(AO$31&gt;$AL44,0,IF(ISERROR(OFFSET($E$31,0,SMALL(IF($E44:$X44&gt;0,COLUMN($A:$T),""),AO$31)-1)),0,OFFSET($E$31,0,SMALL(IF($E44:$X44&gt;0,COLUMN($A:$T),""),AO$31)-1)))</f>
        <v>暴击值</v>
      </c>
      <c r="AP44" s="5">
        <f t="array" aca="1" ref="AP44" ca="1">IF(AO$31&gt;$AL44,0,IF(ISERROR(INDEX($E44:$X44,,SMALL(IF($E44:$X44&gt;0,COLUMN($A:$T),""),AP$31))),0,INDEX($E44:$X44,,SMALL(IF($E44:$X44&gt;0,COLUMN($A:$T),""),AP$31))))</f>
        <v>27.777777777777775</v>
      </c>
      <c r="AQ44" s="5" t="str">
        <f t="array" aca="1" ref="AQ44" ca="1">IF(AQ$31&gt;$AL44,0,IF(ISERROR(OFFSET($E$31,0,SMALL(IF($E44:$X44&gt;0,COLUMN($A:$T),""),AQ$31)-1)),0,OFFSET($E$31,0,SMALL(IF($E44:$X44&gt;0,COLUMN($A:$T),""),AQ$31)-1)))</f>
        <v>攻击</v>
      </c>
      <c r="AR44" s="5">
        <f t="array" aca="1" ref="AR44" ca="1">IF(AQ$31&gt;$AL44,0,IF(ISERROR(INDEX($E44:$X44,,SMALL(IF($E44:$X44&gt;0,COLUMN($A:$T),""),AR$31))),0,INDEX($E44:$X44,,SMALL(IF($E44:$X44&gt;0,COLUMN($A:$T),""),AR$31))))</f>
        <v>3.5837795935828889</v>
      </c>
      <c r="AS44" s="5">
        <f t="array" aca="1" ref="AS44" ca="1">IF(AS$31&gt;$AL44,0,IF(ISERROR(OFFSET($E$31,0,SMALL(IF($E44:$X44&gt;0,COLUMN($A:$T),""),AS$31)-1)),0,OFFSET($E$31,0,SMALL(IF($E44:$X44&gt;0,COLUMN($A:$T),""),AS$31)-1)))</f>
        <v>0</v>
      </c>
      <c r="AT44" s="5">
        <f t="array" ref="AT44">IF(AS$31&gt;$AL44,0,IF(ISERROR(INDEX($E44:$X44,,SMALL(IF($E44:$X44&gt;0,COLUMN($A:$T),""),AT$31))),0,INDEX($E44:$X44,,SMALL(IF($E44:$X44&gt;0,COLUMN($A:$T),""),AT$31))))</f>
        <v>0</v>
      </c>
      <c r="AU44" s="5">
        <f t="array" aca="1" ref="AU44" ca="1">IF(AU$31&gt;$AL44,0,IF(ISERROR(OFFSET($E$31,0,SMALL(IF($E44:$X44&gt;0,COLUMN($A:$T),""),AU$31)-1)),0,OFFSET($E$31,0,SMALL(IF($E44:$X44&gt;0,COLUMN($A:$T),""),AU$31)-1)))</f>
        <v>0</v>
      </c>
      <c r="AV44" s="5">
        <f t="array" ref="AV44">IF(AU$31&gt;$AL44,0,IF(ISERROR(INDEX($E44:$X44,,SMALL(IF($E44:$X44&gt;0,COLUMN($A:$T),""),AV$31))),0,INDEX($E44:$X44,,SMALL(IF($E44:$X44&gt;0,COLUMN($A:$T),""),AV$31))))</f>
        <v>0</v>
      </c>
      <c r="AW44" s="5">
        <f t="array" aca="1" ref="AW44" ca="1">IF(AW$31&gt;$AL44,0,IF(ISERROR(OFFSET($E$31,0,SMALL(IF($E44:$X44&gt;0,COLUMN($A:$T),""),AW$31)-1)),0,OFFSET($E$31,0,SMALL(IF($E44:$X44&gt;0,COLUMN($A:$T),""),AW$31)-1)))</f>
        <v>0</v>
      </c>
      <c r="AX44" s="5">
        <f t="array" ref="AX44">IF(AW$31&gt;$AL44,0,IF(ISERROR(INDEX($E44:$X44,,SMALL(IF($E44:$X44&gt;0,COLUMN($A:$T),""),AX$31))),0,INDEX($E44:$X44,,SMALL(IF($E44:$X44&gt;0,COLUMN($A:$T),""),AX$31))))</f>
        <v>0</v>
      </c>
      <c r="AY44" s="5">
        <f t="array" aca="1" ref="AY44" ca="1">IF(AY$31&gt;$AL44,0,IF(ISERROR(OFFSET($E$31,0,SMALL(IF($E44:$X44&gt;0,COLUMN($A:$T),""),AY$31)-1)),0,OFFSET($E$31,0,SMALL(IF($E44:$X44&gt;0,COLUMN($A:$T),""),AY$31)-1)))</f>
        <v>0</v>
      </c>
      <c r="AZ44" s="5">
        <f t="array" ref="AZ44">IF(AY$31&gt;$AL44,0,IF(ISERROR(INDEX($E44:$X44,,SMALL(IF($E44:$X44&gt;0,COLUMN($A:$T),""),AZ$31))),0,INDEX($E44:$X44,,SMALL(IF($E44:$X44&gt;0,COLUMN($A:$T),""),AZ$31))))</f>
        <v>0</v>
      </c>
      <c r="BA44" s="5">
        <f t="array" aca="1" ref="BA44" ca="1">IF(BA$31&gt;$AL44,0,IF(ISERROR(OFFSET($E$31,0,SMALL(IF($E44:$X44&gt;0,COLUMN($A:$T),""),BA$31)-1)),0,OFFSET($E$31,0,SMALL(IF($E44:$X44&gt;0,COLUMN($A:$T),""),BA$31)-1)))</f>
        <v>0</v>
      </c>
      <c r="BB44" s="5">
        <f t="array" ref="BB44">IF(BA$31&gt;$AL44,0,IF(ISERROR(INDEX($E44:$X44,,SMALL(IF($E44:$X44&gt;0,COLUMN($A:$T),""),BB$31))),0,INDEX($E44:$X44,,SMALL(IF($E44:$X44&gt;0,COLUMN($A:$T),""),BB$31))))</f>
        <v>0</v>
      </c>
      <c r="BC44" s="5">
        <f t="array" aca="1" ref="BC44" ca="1">IF(BC$31&gt;$AL44,0,IF(ISERROR(OFFSET($E$31,0,SMALL(IF($E44:$X44&gt;0,COLUMN($A:$T),""),BC$31)-1)),0,OFFSET($E$31,0,SMALL(IF($E44:$X44&gt;0,COLUMN($A:$T),""),BC$31)-1)))</f>
        <v>0</v>
      </c>
      <c r="BD44" s="5">
        <f t="array" ref="BD44">IF(BC$31&gt;$AL44,0,IF(ISERROR(INDEX($E44:$X44,,SMALL(IF($E44:$X44&gt;0,COLUMN($A:$T),""),BD$31))),0,INDEX($E44:$X44,,SMALL(IF($E44:$X44&gt;0,COLUMN($A:$T),""),BD$31))))</f>
        <v>0</v>
      </c>
      <c r="BE44" s="5">
        <f t="array" aca="1" ref="BE44" ca="1">IF(BE$31&gt;$AL44,0,IF(ISERROR(OFFSET($E$31,0,SMALL(IF($E44:$X44&gt;0,COLUMN($A:$T),""),BE$31)-1)),0,OFFSET($E$31,0,SMALL(IF($E44:$X44&gt;0,COLUMN($A:$T),""),BE$31)-1)))</f>
        <v>0</v>
      </c>
      <c r="BF44" s="5">
        <f t="array" ref="BF44">IF(BE$31&gt;$AL44,0,IF(ISERROR(INDEX($E44:$X44,,SMALL(IF($E44:$X44&gt;0,COLUMN($A:$T),""),BF$31))),0,INDEX($E44:$X44,,SMALL(IF($E44:$X44&gt;0,COLUMN($A:$T),""),BF$31))))</f>
        <v>0</v>
      </c>
      <c r="BH44">
        <f ca="1">SUMPRODUCT(E44:N44,定义数据!$G$14:$P$14)</f>
        <v>49.79724491978611</v>
      </c>
      <c r="BI44">
        <f ca="1">SUMPRODUCT(O44:X44,定义数据!$G$14:$P$14)</f>
        <v>4.7452027651600117</v>
      </c>
      <c r="BJ44" s="5">
        <f t="shared" ca="1" si="18"/>
        <v>54.542447684946119</v>
      </c>
      <c r="BK44" s="5" t="str">
        <f>D44&amp;B44&amp;VLOOKUP(C44,定义数据!$E$1:$F$7,2,FALSE)</f>
        <v>1510</v>
      </c>
    </row>
    <row r="45" spans="1:63" x14ac:dyDescent="0.15">
      <c r="A45" s="17" t="str">
        <f>D45&amp;B45&amp;VLOOKUP(C45,定义数据!$E$1:$F$7,2,FALSE)</f>
        <v>1511</v>
      </c>
      <c r="B45" s="18">
        <v>1</v>
      </c>
      <c r="C45" s="18" t="s">
        <v>136</v>
      </c>
      <c r="D45" s="24">
        <v>15</v>
      </c>
      <c r="E45" s="56">
        <f t="shared" ca="1" si="35"/>
        <v>705.56687675712999</v>
      </c>
      <c r="F45" s="56">
        <f t="shared" ca="1" si="36"/>
        <v>0</v>
      </c>
      <c r="G45" s="56">
        <f t="shared" ca="1" si="37"/>
        <v>15.486234176776431</v>
      </c>
      <c r="H45" s="56">
        <f t="shared" ca="1" si="38"/>
        <v>0</v>
      </c>
      <c r="I45" s="56">
        <f t="shared" ca="1" si="39"/>
        <v>0</v>
      </c>
      <c r="J45" s="56">
        <f t="shared" ca="1" si="40"/>
        <v>0</v>
      </c>
      <c r="K45" s="56">
        <f t="shared" ca="1" si="41"/>
        <v>0</v>
      </c>
      <c r="L45" s="56">
        <f t="shared" ca="1" si="42"/>
        <v>0</v>
      </c>
      <c r="M45" s="56">
        <f t="shared" ca="1" si="43"/>
        <v>0</v>
      </c>
      <c r="N45" s="56">
        <f t="shared" ca="1" si="44"/>
        <v>0</v>
      </c>
      <c r="O45" s="65">
        <f t="shared" ca="1" si="54"/>
        <v>39.198159819840555</v>
      </c>
      <c r="P45" s="65">
        <f t="shared" ca="1" si="45"/>
        <v>0</v>
      </c>
      <c r="Q45" s="65">
        <f t="shared" ca="1" si="46"/>
        <v>1.2905195147313693</v>
      </c>
      <c r="R45" s="65">
        <f t="shared" ca="1" si="47"/>
        <v>0.9375</v>
      </c>
      <c r="S45" s="65">
        <f t="shared" ca="1" si="48"/>
        <v>0</v>
      </c>
      <c r="T45" s="65">
        <f t="shared" ca="1" si="49"/>
        <v>0</v>
      </c>
      <c r="U45" s="65">
        <f t="shared" ca="1" si="50"/>
        <v>0</v>
      </c>
      <c r="V45" s="65">
        <f t="shared" ca="1" si="51"/>
        <v>0.92592592592592582</v>
      </c>
      <c r="W45" s="65">
        <f t="shared" ca="1" si="52"/>
        <v>0</v>
      </c>
      <c r="X45" s="65">
        <f t="shared" ca="1" si="53"/>
        <v>0</v>
      </c>
      <c r="Y45" s="21" t="s">
        <v>95</v>
      </c>
      <c r="Z45" s="15">
        <f>VLOOKUP($D45&amp;$B45,[3]!装备基础属性表,P$30,FALSE)</f>
        <v>1175.9447945952168</v>
      </c>
      <c r="AA45" s="15">
        <f>VLOOKUP($D45&amp;$B45,[3]!装备基础属性表,Q$30,FALSE)</f>
        <v>59.729659893048144</v>
      </c>
      <c r="AB45" s="15">
        <f>VLOOKUP($D45&amp;$B45,[3]!装备基础属性表,R$30,FALSE)</f>
        <v>25.810390294627386</v>
      </c>
      <c r="AC45" s="15">
        <f>VLOOKUP($D45&amp;$B45,[3]!装备基础属性表,S$30,FALSE)</f>
        <v>46.875</v>
      </c>
      <c r="AD45" s="15">
        <f>VLOOKUP($D45&amp;$B45,[3]!装备基础属性表,T$30,FALSE)</f>
        <v>46.875</v>
      </c>
      <c r="AE45" s="15">
        <f>VLOOKUP($D45&amp;$B45,[3]!装备基础属性表,U$30,FALSE)</f>
        <v>27.777777777777775</v>
      </c>
      <c r="AF45" s="15">
        <f>VLOOKUP($D45&amp;$B45,[3]!装备基础属性表,V$30,FALSE)</f>
        <v>0</v>
      </c>
      <c r="AG45" s="15">
        <f>VLOOKUP($D45&amp;$B45,[3]!装备基础属性表,W$30,FALSE)</f>
        <v>27.777777777777775</v>
      </c>
      <c r="AH45" s="15">
        <f>VLOOKUP($D45&amp;$B45,[3]!装备基础属性表,X$30,FALSE)</f>
        <v>0</v>
      </c>
      <c r="AI45" s="15">
        <f>VLOOKUP($D45&amp;$B45,[3]!装备基础属性表,Y$30,FALSE)</f>
        <v>0</v>
      </c>
      <c r="AJ45" s="16" t="str">
        <f>B45&amp;VLOOKUP(C45,定义数据!$E$1:$F$7,2,FALSE)&amp;D45</f>
        <v>1115</v>
      </c>
      <c r="AK45" s="14">
        <f t="shared" si="29"/>
        <v>4</v>
      </c>
      <c r="AL45" s="5">
        <f t="shared" si="30"/>
        <v>3</v>
      </c>
      <c r="AM45" s="5" t="str">
        <f t="array" aca="1" ref="AM45" ca="1">IF(AM$31&gt;$AL45,0,IF(ISERROR(OFFSET($E$31,0,SMALL(IF($E45:$X45&gt;0,COLUMN($A:$T),""),AM$31)-1)),0,OFFSET($E$31,0,SMALL(IF($E45:$X45&gt;0,COLUMN($A:$T),""),AM$31)-1)))</f>
        <v>生命</v>
      </c>
      <c r="AN45" s="5">
        <f t="array" aca="1" ref="AN45" ca="1">IF(AM$31&gt;$AL45,0,IF(ISERROR(INDEX($E45:$X45,,SMALL(IF($E45:$X45&gt;0,COLUMN($A:$T),""),AN$31))),0,INDEX($E45:$X45,,SMALL(IF($E45:$X45&gt;0,COLUMN($A:$T),""),AN$31))))</f>
        <v>705.56687675712999</v>
      </c>
      <c r="AO45" s="5" t="str">
        <f t="array" aca="1" ref="AO45" ca="1">IF(AO$31&gt;$AL45,0,IF(ISERROR(OFFSET($E$31,0,SMALL(IF($E45:$X45&gt;0,COLUMN($A:$T),""),AO$31)-1)),0,OFFSET($E$31,0,SMALL(IF($E45:$X45&gt;0,COLUMN($A:$T),""),AO$31)-1)))</f>
        <v>防御</v>
      </c>
      <c r="AP45" s="5">
        <f t="array" aca="1" ref="AP45" ca="1">IF(AO$31&gt;$AL45,0,IF(ISERROR(INDEX($E45:$X45,,SMALL(IF($E45:$X45&gt;0,COLUMN($A:$T),""),AP$31))),0,INDEX($E45:$X45,,SMALL(IF($E45:$X45&gt;0,COLUMN($A:$T),""),AP$31))))</f>
        <v>15.486234176776431</v>
      </c>
      <c r="AQ45" s="5" t="str">
        <f t="array" aca="1" ref="AQ45" ca="1">IF(AQ$31&gt;$AL45,0,IF(ISERROR(OFFSET($E$31,0,SMALL(IF($E45:$X45&gt;0,COLUMN($A:$T),""),AQ$31)-1)),0,OFFSET($E$31,0,SMALL(IF($E45:$X45&gt;0,COLUMN($A:$T),""),AQ$31)-1)))</f>
        <v>生命</v>
      </c>
      <c r="AR45" s="5">
        <f t="array" aca="1" ref="AR45" ca="1">IF(AQ$31&gt;$AL45,0,IF(ISERROR(INDEX($E45:$X45,,SMALL(IF($E45:$X45&gt;0,COLUMN($A:$T),""),AR$31))),0,INDEX($E45:$X45,,SMALL(IF($E45:$X45&gt;0,COLUMN($A:$T),""),AR$31))))</f>
        <v>39.198159819840555</v>
      </c>
      <c r="AS45" s="5">
        <f t="array" aca="1" ref="AS45" ca="1">IF(AS$31&gt;$AL45,0,IF(ISERROR(OFFSET($E$31,0,SMALL(IF($E45:$X45&gt;0,COLUMN($A:$T),""),AS$31)-1)),0,OFFSET($E$31,0,SMALL(IF($E45:$X45&gt;0,COLUMN($A:$T),""),AS$31)-1)))</f>
        <v>0</v>
      </c>
      <c r="AT45" s="5">
        <f t="array" ref="AT45">IF(AS$31&gt;$AL45,0,IF(ISERROR(INDEX($E45:$X45,,SMALL(IF($E45:$X45&gt;0,COLUMN($A:$T),""),AT$31))),0,INDEX($E45:$X45,,SMALL(IF($E45:$X45&gt;0,COLUMN($A:$T),""),AT$31))))</f>
        <v>0</v>
      </c>
      <c r="AU45" s="5">
        <f t="array" aca="1" ref="AU45" ca="1">IF(AU$31&gt;$AL45,0,IF(ISERROR(OFFSET($E$31,0,SMALL(IF($E45:$X45&gt;0,COLUMN($A:$T),""),AU$31)-1)),0,OFFSET($E$31,0,SMALL(IF($E45:$X45&gt;0,COLUMN($A:$T),""),AU$31)-1)))</f>
        <v>0</v>
      </c>
      <c r="AV45" s="5">
        <f t="array" ref="AV45">IF(AU$31&gt;$AL45,0,IF(ISERROR(INDEX($E45:$X45,,SMALL(IF($E45:$X45&gt;0,COLUMN($A:$T),""),AV$31))),0,INDEX($E45:$X45,,SMALL(IF($E45:$X45&gt;0,COLUMN($A:$T),""),AV$31))))</f>
        <v>0</v>
      </c>
      <c r="AW45" s="5">
        <f t="array" aca="1" ref="AW45" ca="1">IF(AW$31&gt;$AL45,0,IF(ISERROR(OFFSET($E$31,0,SMALL(IF($E45:$X45&gt;0,COLUMN($A:$T),""),AW$31)-1)),0,OFFSET($E$31,0,SMALL(IF($E45:$X45&gt;0,COLUMN($A:$T),""),AW$31)-1)))</f>
        <v>0</v>
      </c>
      <c r="AX45" s="5">
        <f t="array" ref="AX45">IF(AW$31&gt;$AL45,0,IF(ISERROR(INDEX($E45:$X45,,SMALL(IF($E45:$X45&gt;0,COLUMN($A:$T),""),AX$31))),0,INDEX($E45:$X45,,SMALL(IF($E45:$X45&gt;0,COLUMN($A:$T),""),AX$31))))</f>
        <v>0</v>
      </c>
      <c r="AY45" s="5">
        <f t="array" aca="1" ref="AY45" ca="1">IF(AY$31&gt;$AL45,0,IF(ISERROR(OFFSET($E$31,0,SMALL(IF($E45:$X45&gt;0,COLUMN($A:$T),""),AY$31)-1)),0,OFFSET($E$31,0,SMALL(IF($E45:$X45&gt;0,COLUMN($A:$T),""),AY$31)-1)))</f>
        <v>0</v>
      </c>
      <c r="AZ45" s="5">
        <f t="array" ref="AZ45">IF(AY$31&gt;$AL45,0,IF(ISERROR(INDEX($E45:$X45,,SMALL(IF($E45:$X45&gt;0,COLUMN($A:$T),""),AZ$31))),0,INDEX($E45:$X45,,SMALL(IF($E45:$X45&gt;0,COLUMN($A:$T),""),AZ$31))))</f>
        <v>0</v>
      </c>
      <c r="BA45" s="5">
        <f t="array" aca="1" ref="BA45" ca="1">IF(BA$31&gt;$AL45,0,IF(ISERROR(OFFSET($E$31,0,SMALL(IF($E45:$X45&gt;0,COLUMN($A:$T),""),BA$31)-1)),0,OFFSET($E$31,0,SMALL(IF($E45:$X45&gt;0,COLUMN($A:$T),""),BA$31)-1)))</f>
        <v>0</v>
      </c>
      <c r="BB45" s="5">
        <f t="array" ref="BB45">IF(BA$31&gt;$AL45,0,IF(ISERROR(INDEX($E45:$X45,,SMALL(IF($E45:$X45&gt;0,COLUMN($A:$T),""),BB$31))),0,INDEX($E45:$X45,,SMALL(IF($E45:$X45&gt;0,COLUMN($A:$T),""),BB$31))))</f>
        <v>0</v>
      </c>
      <c r="BC45" s="5">
        <f t="array" aca="1" ref="BC45" ca="1">IF(BC$31&gt;$AL45,0,IF(ISERROR(OFFSET($E$31,0,SMALL(IF($E45:$X45&gt;0,COLUMN($A:$T),""),BC$31)-1)),0,OFFSET($E$31,0,SMALL(IF($E45:$X45&gt;0,COLUMN($A:$T),""),BC$31)-1)))</f>
        <v>0</v>
      </c>
      <c r="BD45" s="5">
        <f t="array" ref="BD45">IF(BC$31&gt;$AL45,0,IF(ISERROR(INDEX($E45:$X45,,SMALL(IF($E45:$X45&gt;0,COLUMN($A:$T),""),BD$31))),0,INDEX($E45:$X45,,SMALL(IF($E45:$X45&gt;0,COLUMN($A:$T),""),BD$31))))</f>
        <v>0</v>
      </c>
      <c r="BE45" s="5">
        <f t="array" aca="1" ref="BE45" ca="1">IF(BE$31&gt;$AL45,0,IF(ISERROR(OFFSET($E$31,0,SMALL(IF($E45:$X45&gt;0,COLUMN($A:$T),""),BE$31)-1)),0,OFFSET($E$31,0,SMALL(IF($E45:$X45&gt;0,COLUMN($A:$T),""),BE$31)-1)))</f>
        <v>0</v>
      </c>
      <c r="BF45" s="5">
        <f t="array" ref="BF45">IF(BE$31&gt;$AL45,0,IF(ISERROR(INDEX($E45:$X45,,SMALL(IF($E45:$X45&gt;0,COLUMN($A:$T),""),BF$31))),0,INDEX($E45:$X45,,SMALL(IF($E45:$X45&gt;0,COLUMN($A:$T),""),BF$31))))</f>
        <v>0</v>
      </c>
      <c r="BH45">
        <f ca="1">SUMPRODUCT(E45:N45,定义数据!$G$14:$P$14)</f>
        <v>43.708909247061627</v>
      </c>
      <c r="BI45">
        <f ca="1">SUMPRODUCT(O45:X45,定义数据!$G$14:$P$14)</f>
        <v>3.3438625741916583</v>
      </c>
      <c r="BJ45" s="5">
        <f t="shared" ca="1" si="18"/>
        <v>47.052771821253287</v>
      </c>
      <c r="BK45" s="5" t="str">
        <f>D45&amp;B45&amp;VLOOKUP(C45,定义数据!$E$1:$F$7,2,FALSE)</f>
        <v>1511</v>
      </c>
    </row>
    <row r="46" spans="1:63" x14ac:dyDescent="0.15">
      <c r="A46" s="17" t="str">
        <f>D46&amp;B46&amp;VLOOKUP(C46,定义数据!$E$1:$F$7,2,FALSE)</f>
        <v>1512</v>
      </c>
      <c r="B46" s="18">
        <v>1</v>
      </c>
      <c r="C46" s="18" t="s">
        <v>137</v>
      </c>
      <c r="D46" s="24">
        <v>15</v>
      </c>
      <c r="E46" s="56">
        <f t="shared" ca="1" si="35"/>
        <v>0</v>
      </c>
      <c r="F46" s="56">
        <f t="shared" ca="1" si="36"/>
        <v>0</v>
      </c>
      <c r="G46" s="56">
        <f t="shared" ca="1" si="37"/>
        <v>10.324156117850954</v>
      </c>
      <c r="H46" s="56">
        <f t="shared" ca="1" si="38"/>
        <v>15.625</v>
      </c>
      <c r="I46" s="56">
        <f t="shared" ca="1" si="39"/>
        <v>0</v>
      </c>
      <c r="J46" s="56">
        <f t="shared" ca="1" si="40"/>
        <v>0</v>
      </c>
      <c r="K46" s="56">
        <f t="shared" ca="1" si="41"/>
        <v>0</v>
      </c>
      <c r="L46" s="56">
        <f t="shared" ca="1" si="42"/>
        <v>0</v>
      </c>
      <c r="M46" s="56">
        <f t="shared" ca="1" si="43"/>
        <v>0</v>
      </c>
      <c r="N46" s="56">
        <f t="shared" ca="1" si="44"/>
        <v>0</v>
      </c>
      <c r="O46" s="65">
        <f t="shared" ca="1" si="54"/>
        <v>19.599079909920277</v>
      </c>
      <c r="P46" s="65">
        <f t="shared" ca="1" si="45"/>
        <v>0</v>
      </c>
      <c r="Q46" s="65">
        <f t="shared" ca="1" si="46"/>
        <v>0.43017317157712309</v>
      </c>
      <c r="R46" s="65">
        <f t="shared" ca="1" si="47"/>
        <v>0.9375</v>
      </c>
      <c r="S46" s="65">
        <f t="shared" ca="1" si="48"/>
        <v>0</v>
      </c>
      <c r="T46" s="65">
        <f t="shared" ca="1" si="49"/>
        <v>0</v>
      </c>
      <c r="U46" s="65">
        <f t="shared" ca="1" si="50"/>
        <v>0</v>
      </c>
      <c r="V46" s="65">
        <f t="shared" ca="1" si="51"/>
        <v>0.92592592592592582</v>
      </c>
      <c r="W46" s="65">
        <f t="shared" ca="1" si="52"/>
        <v>0</v>
      </c>
      <c r="X46" s="65">
        <f t="shared" ca="1" si="53"/>
        <v>0</v>
      </c>
      <c r="Y46" s="21" t="s">
        <v>96</v>
      </c>
      <c r="Z46" s="15">
        <f>VLOOKUP($D46&amp;$B46,[3]!装备基础属性表,P$30,FALSE)</f>
        <v>1175.9447945952168</v>
      </c>
      <c r="AA46" s="15">
        <f>VLOOKUP($D46&amp;$B46,[3]!装备基础属性表,Q$30,FALSE)</f>
        <v>59.729659893048144</v>
      </c>
      <c r="AB46" s="15">
        <f>VLOOKUP($D46&amp;$B46,[3]!装备基础属性表,R$30,FALSE)</f>
        <v>25.810390294627386</v>
      </c>
      <c r="AC46" s="15">
        <f>VLOOKUP($D46&amp;$B46,[3]!装备基础属性表,S$30,FALSE)</f>
        <v>46.875</v>
      </c>
      <c r="AD46" s="15">
        <f>VLOOKUP($D46&amp;$B46,[3]!装备基础属性表,T$30,FALSE)</f>
        <v>46.875</v>
      </c>
      <c r="AE46" s="15">
        <f>VLOOKUP($D46&amp;$B46,[3]!装备基础属性表,U$30,FALSE)</f>
        <v>27.777777777777775</v>
      </c>
      <c r="AF46" s="15">
        <f>VLOOKUP($D46&amp;$B46,[3]!装备基础属性表,V$30,FALSE)</f>
        <v>0</v>
      </c>
      <c r="AG46" s="15">
        <f>VLOOKUP($D46&amp;$B46,[3]!装备基础属性表,W$30,FALSE)</f>
        <v>27.777777777777775</v>
      </c>
      <c r="AH46" s="15">
        <f>VLOOKUP($D46&amp;$B46,[3]!装备基础属性表,X$30,FALSE)</f>
        <v>0</v>
      </c>
      <c r="AI46" s="15">
        <f>VLOOKUP($D46&amp;$B46,[3]!装备基础属性表,Y$30,FALSE)</f>
        <v>0</v>
      </c>
      <c r="AJ46" s="16" t="str">
        <f>B46&amp;VLOOKUP(C46,定义数据!$E$1:$F$7,2,FALSE)&amp;D46</f>
        <v>1215</v>
      </c>
      <c r="AK46" s="14">
        <f t="shared" si="29"/>
        <v>4</v>
      </c>
      <c r="AL46" s="5">
        <f t="shared" si="30"/>
        <v>3</v>
      </c>
      <c r="AM46" s="5" t="str">
        <f t="array" aca="1" ref="AM46" ca="1">IF(AM$31&gt;$AL46,0,IF(ISERROR(OFFSET($E$31,0,SMALL(IF($E46:$X46&gt;0,COLUMN($A:$T),""),AM$31)-1)),0,OFFSET($E$31,0,SMALL(IF($E46:$X46&gt;0,COLUMN($A:$T),""),AM$31)-1)))</f>
        <v>防御</v>
      </c>
      <c r="AN46" s="5">
        <f t="array" aca="1" ref="AN46" ca="1">IF(AM$31&gt;$AL46,0,IF(ISERROR(INDEX($E46:$X46,,SMALL(IF($E46:$X46&gt;0,COLUMN($A:$T),""),AN$31))),0,INDEX($E46:$X46,,SMALL(IF($E46:$X46&gt;0,COLUMN($A:$T),""),AN$31))))</f>
        <v>10.324156117850954</v>
      </c>
      <c r="AO46" s="5" t="str">
        <f t="array" aca="1" ref="AO46" ca="1">IF(AO$31&gt;$AL46,0,IF(ISERROR(OFFSET($E$31,0,SMALL(IF($E46:$X46&gt;0,COLUMN($A:$T),""),AO$31)-1)),0,OFFSET($E$31,0,SMALL(IF($E46:$X46&gt;0,COLUMN($A:$T),""),AO$31)-1)))</f>
        <v>闪避值</v>
      </c>
      <c r="AP46" s="5">
        <f t="array" aca="1" ref="AP46" ca="1">IF(AO$31&gt;$AL46,0,IF(ISERROR(INDEX($E46:$X46,,SMALL(IF($E46:$X46&gt;0,COLUMN($A:$T),""),AP$31))),0,INDEX($E46:$X46,,SMALL(IF($E46:$X46&gt;0,COLUMN($A:$T),""),AP$31))))</f>
        <v>15.625</v>
      </c>
      <c r="AQ46" s="5" t="str">
        <f t="array" aca="1" ref="AQ46" ca="1">IF(AQ$31&gt;$AL46,0,IF(ISERROR(OFFSET($E$31,0,SMALL(IF($E46:$X46&gt;0,COLUMN($A:$T),""),AQ$31)-1)),0,OFFSET($E$31,0,SMALL(IF($E46:$X46&gt;0,COLUMN($A:$T),""),AQ$31)-1)))</f>
        <v>生命</v>
      </c>
      <c r="AR46" s="5">
        <f t="array" aca="1" ref="AR46" ca="1">IF(AQ$31&gt;$AL46,0,IF(ISERROR(INDEX($E46:$X46,,SMALL(IF($E46:$X46&gt;0,COLUMN($A:$T),""),AR$31))),0,INDEX($E46:$X46,,SMALL(IF($E46:$X46&gt;0,COLUMN($A:$T),""),AR$31))))</f>
        <v>19.599079909920277</v>
      </c>
      <c r="AS46" s="5">
        <f t="array" aca="1" ref="AS46" ca="1">IF(AS$31&gt;$AL46,0,IF(ISERROR(OFFSET($E$31,0,SMALL(IF($E46:$X46&gt;0,COLUMN($A:$T),""),AS$31)-1)),0,OFFSET($E$31,0,SMALL(IF($E46:$X46&gt;0,COLUMN($A:$T),""),AS$31)-1)))</f>
        <v>0</v>
      </c>
      <c r="AT46" s="5">
        <f t="array" ref="AT46">IF(AS$31&gt;$AL46,0,IF(ISERROR(INDEX($E46:$X46,,SMALL(IF($E46:$X46&gt;0,COLUMN($A:$T),""),AT$31))),0,INDEX($E46:$X46,,SMALL(IF($E46:$X46&gt;0,COLUMN($A:$T),""),AT$31))))</f>
        <v>0</v>
      </c>
      <c r="AU46" s="5">
        <f t="array" aca="1" ref="AU46" ca="1">IF(AU$31&gt;$AL46,0,IF(ISERROR(OFFSET($E$31,0,SMALL(IF($E46:$X46&gt;0,COLUMN($A:$T),""),AU$31)-1)),0,OFFSET($E$31,0,SMALL(IF($E46:$X46&gt;0,COLUMN($A:$T),""),AU$31)-1)))</f>
        <v>0</v>
      </c>
      <c r="AV46" s="5">
        <f t="array" ref="AV46">IF(AU$31&gt;$AL46,0,IF(ISERROR(INDEX($E46:$X46,,SMALL(IF($E46:$X46&gt;0,COLUMN($A:$T),""),AV$31))),0,INDEX($E46:$X46,,SMALL(IF($E46:$X46&gt;0,COLUMN($A:$T),""),AV$31))))</f>
        <v>0</v>
      </c>
      <c r="AW46" s="5">
        <f t="array" aca="1" ref="AW46" ca="1">IF(AW$31&gt;$AL46,0,IF(ISERROR(OFFSET($E$31,0,SMALL(IF($E46:$X46&gt;0,COLUMN($A:$T),""),AW$31)-1)),0,OFFSET($E$31,0,SMALL(IF($E46:$X46&gt;0,COLUMN($A:$T),""),AW$31)-1)))</f>
        <v>0</v>
      </c>
      <c r="AX46" s="5">
        <f t="array" ref="AX46">IF(AW$31&gt;$AL46,0,IF(ISERROR(INDEX($E46:$X46,,SMALL(IF($E46:$X46&gt;0,COLUMN($A:$T),""),AX$31))),0,INDEX($E46:$X46,,SMALL(IF($E46:$X46&gt;0,COLUMN($A:$T),""),AX$31))))</f>
        <v>0</v>
      </c>
      <c r="AY46" s="5">
        <f t="array" aca="1" ref="AY46" ca="1">IF(AY$31&gt;$AL46,0,IF(ISERROR(OFFSET($E$31,0,SMALL(IF($E46:$X46&gt;0,COLUMN($A:$T),""),AY$31)-1)),0,OFFSET($E$31,0,SMALL(IF($E46:$X46&gt;0,COLUMN($A:$T),""),AY$31)-1)))</f>
        <v>0</v>
      </c>
      <c r="AZ46" s="5">
        <f t="array" ref="AZ46">IF(AY$31&gt;$AL46,0,IF(ISERROR(INDEX($E46:$X46,,SMALL(IF($E46:$X46&gt;0,COLUMN($A:$T),""),AZ$31))),0,INDEX($E46:$X46,,SMALL(IF($E46:$X46&gt;0,COLUMN($A:$T),""),AZ$31))))</f>
        <v>0</v>
      </c>
      <c r="BA46" s="5">
        <f t="array" aca="1" ref="BA46" ca="1">IF(BA$31&gt;$AL46,0,IF(ISERROR(OFFSET($E$31,0,SMALL(IF($E46:$X46&gt;0,COLUMN($A:$T),""),BA$31)-1)),0,OFFSET($E$31,0,SMALL(IF($E46:$X46&gt;0,COLUMN($A:$T),""),BA$31)-1)))</f>
        <v>0</v>
      </c>
      <c r="BB46" s="5">
        <f t="array" ref="BB46">IF(BA$31&gt;$AL46,0,IF(ISERROR(INDEX($E46:$X46,,SMALL(IF($E46:$X46&gt;0,COLUMN($A:$T),""),BB$31))),0,INDEX($E46:$X46,,SMALL(IF($E46:$X46&gt;0,COLUMN($A:$T),""),BB$31))))</f>
        <v>0</v>
      </c>
      <c r="BC46" s="5">
        <f t="array" aca="1" ref="BC46" ca="1">IF(BC$31&gt;$AL46,0,IF(ISERROR(OFFSET($E$31,0,SMALL(IF($E46:$X46&gt;0,COLUMN($A:$T),""),BC$31)-1)),0,OFFSET($E$31,0,SMALL(IF($E46:$X46&gt;0,COLUMN($A:$T),""),BC$31)-1)))</f>
        <v>0</v>
      </c>
      <c r="BD46" s="5">
        <f t="array" ref="BD46">IF(BC$31&gt;$AL46,0,IF(ISERROR(INDEX($E46:$X46,,SMALL(IF($E46:$X46&gt;0,COLUMN($A:$T),""),BD$31))),0,INDEX($E46:$X46,,SMALL(IF($E46:$X46&gt;0,COLUMN($A:$T),""),BD$31))))</f>
        <v>0</v>
      </c>
      <c r="BE46" s="5">
        <f t="array" aca="1" ref="BE46" ca="1">IF(BE$31&gt;$AL46,0,IF(ISERROR(OFFSET($E$31,0,SMALL(IF($E46:$X46&gt;0,COLUMN($A:$T),""),BE$31)-1)),0,OFFSET($E$31,0,SMALL(IF($E46:$X46&gt;0,COLUMN($A:$T),""),BE$31)-1)))</f>
        <v>0</v>
      </c>
      <c r="BF46" s="5">
        <f t="array" ref="BF46">IF(BE$31&gt;$AL46,0,IF(ISERROR(INDEX($E46:$X46,,SMALL(IF($E46:$X46&gt;0,COLUMN($A:$T),""),BF$31))),0,INDEX($E46:$X46,,SMALL(IF($E46:$X46&gt;0,COLUMN($A:$T),""),BF$31))))</f>
        <v>0</v>
      </c>
      <c r="BH46">
        <f ca="1">SUMPRODUCT(E46:N46,定义数据!$G$14:$P$14)</f>
        <v>15.636656117850954</v>
      </c>
      <c r="BI46">
        <f ca="1">SUMPRODUCT(O46:X46,定义数据!$G$14:$P$14)</f>
        <v>1.6995530346406009</v>
      </c>
      <c r="BJ46" s="5">
        <f t="shared" ca="1" si="18"/>
        <v>17.336209152491556</v>
      </c>
      <c r="BK46" s="5" t="str">
        <f>D46&amp;B46&amp;VLOOKUP(C46,定义数据!$E$1:$F$7,2,FALSE)</f>
        <v>1512</v>
      </c>
    </row>
    <row r="47" spans="1:63" x14ac:dyDescent="0.15">
      <c r="A47" s="17" t="str">
        <f>D47&amp;B47&amp;VLOOKUP(C47,定义数据!$E$1:$F$7,2,FALSE)</f>
        <v>1515</v>
      </c>
      <c r="B47" s="18">
        <v>1</v>
      </c>
      <c r="C47" s="18" t="s">
        <v>138</v>
      </c>
      <c r="D47" s="24">
        <v>15</v>
      </c>
      <c r="E47" s="56">
        <f t="shared" ca="1" si="35"/>
        <v>235.18895891904336</v>
      </c>
      <c r="F47" s="56">
        <f t="shared" ca="1" si="36"/>
        <v>0</v>
      </c>
      <c r="G47" s="56">
        <f t="shared" ca="1" si="37"/>
        <v>0</v>
      </c>
      <c r="H47" s="56">
        <f t="shared" ca="1" si="38"/>
        <v>31.25</v>
      </c>
      <c r="I47" s="56">
        <f t="shared" ca="1" si="39"/>
        <v>0</v>
      </c>
      <c r="J47" s="56">
        <f t="shared" ca="1" si="40"/>
        <v>0</v>
      </c>
      <c r="K47" s="56">
        <f t="shared" ca="1" si="41"/>
        <v>0</v>
      </c>
      <c r="L47" s="56">
        <f t="shared" ca="1" si="42"/>
        <v>0</v>
      </c>
      <c r="M47" s="56">
        <f t="shared" ca="1" si="43"/>
        <v>0</v>
      </c>
      <c r="N47" s="56">
        <f t="shared" ca="1" si="44"/>
        <v>0</v>
      </c>
      <c r="O47" s="65">
        <f t="shared" ca="1" si="54"/>
        <v>19.599079909920277</v>
      </c>
      <c r="P47" s="65">
        <f t="shared" ca="1" si="45"/>
        <v>0</v>
      </c>
      <c r="Q47" s="65">
        <f t="shared" ca="1" si="46"/>
        <v>0</v>
      </c>
      <c r="R47" s="65">
        <f t="shared" ca="1" si="47"/>
        <v>1.875</v>
      </c>
      <c r="S47" s="65">
        <f t="shared" ca="1" si="48"/>
        <v>1.5625</v>
      </c>
      <c r="T47" s="65">
        <f t="shared" ca="1" si="49"/>
        <v>0.55555555555555558</v>
      </c>
      <c r="U47" s="65">
        <f t="shared" ca="1" si="50"/>
        <v>0</v>
      </c>
      <c r="V47" s="65">
        <f t="shared" ca="1" si="51"/>
        <v>0</v>
      </c>
      <c r="W47" s="65">
        <f t="shared" ca="1" si="52"/>
        <v>0</v>
      </c>
      <c r="X47" s="65">
        <f t="shared" ca="1" si="53"/>
        <v>0</v>
      </c>
      <c r="Y47" s="21"/>
      <c r="Z47" s="15">
        <f>VLOOKUP($D47&amp;$B47,[3]!装备基础属性表,P$30,FALSE)</f>
        <v>1175.9447945952168</v>
      </c>
      <c r="AA47" s="15">
        <f>VLOOKUP($D47&amp;$B47,[3]!装备基础属性表,Q$30,FALSE)</f>
        <v>59.729659893048144</v>
      </c>
      <c r="AB47" s="15">
        <f>VLOOKUP($D47&amp;$B47,[3]!装备基础属性表,R$30,FALSE)</f>
        <v>25.810390294627386</v>
      </c>
      <c r="AC47" s="15">
        <f>VLOOKUP($D47&amp;$B47,[3]!装备基础属性表,S$30,FALSE)</f>
        <v>46.875</v>
      </c>
      <c r="AD47" s="15">
        <f>VLOOKUP($D47&amp;$B47,[3]!装备基础属性表,T$30,FALSE)</f>
        <v>46.875</v>
      </c>
      <c r="AE47" s="15">
        <f>VLOOKUP($D47&amp;$B47,[3]!装备基础属性表,U$30,FALSE)</f>
        <v>27.777777777777775</v>
      </c>
      <c r="AF47" s="15">
        <f>VLOOKUP($D47&amp;$B47,[3]!装备基础属性表,V$30,FALSE)</f>
        <v>0</v>
      </c>
      <c r="AG47" s="15">
        <f>VLOOKUP($D47&amp;$B47,[3]!装备基础属性表,W$30,FALSE)</f>
        <v>27.777777777777775</v>
      </c>
      <c r="AH47" s="15">
        <f>VLOOKUP($D47&amp;$B47,[3]!装备基础属性表,X$30,FALSE)</f>
        <v>0</v>
      </c>
      <c r="AI47" s="15">
        <f>VLOOKUP($D47&amp;$B47,[3]!装备基础属性表,Y$30,FALSE)</f>
        <v>0</v>
      </c>
      <c r="AJ47" s="16" t="str">
        <f>B47&amp;VLOOKUP(C47,定义数据!$E$1:$F$7,2,FALSE)&amp;D47</f>
        <v>1515</v>
      </c>
      <c r="AK47" s="14">
        <f t="shared" si="29"/>
        <v>4</v>
      </c>
      <c r="AL47" s="5">
        <f t="shared" si="30"/>
        <v>3</v>
      </c>
      <c r="AM47" s="5" t="str">
        <f t="array" aca="1" ref="AM47" ca="1">IF(AM$31&gt;$AL47,0,IF(ISERROR(OFFSET($E$31,0,SMALL(IF($E47:$X47&gt;0,COLUMN($A:$T),""),AM$31)-1)),0,OFFSET($E$31,0,SMALL(IF($E47:$X47&gt;0,COLUMN($A:$T),""),AM$31)-1)))</f>
        <v>生命</v>
      </c>
      <c r="AN47" s="5">
        <f t="array" aca="1" ref="AN47" ca="1">IF(AM$31&gt;$AL47,0,IF(ISERROR(INDEX($E47:$X47,,SMALL(IF($E47:$X47&gt;0,COLUMN($A:$T),""),AN$31))),0,INDEX($E47:$X47,,SMALL(IF($E47:$X47&gt;0,COLUMN($A:$T),""),AN$31))))</f>
        <v>235.18895891904336</v>
      </c>
      <c r="AO47" s="5" t="str">
        <f t="array" aca="1" ref="AO47" ca="1">IF(AO$31&gt;$AL47,0,IF(ISERROR(OFFSET($E$31,0,SMALL(IF($E47:$X47&gt;0,COLUMN($A:$T),""),AO$31)-1)),0,OFFSET($E$31,0,SMALL(IF($E47:$X47&gt;0,COLUMN($A:$T),""),AO$31)-1)))</f>
        <v>闪避值</v>
      </c>
      <c r="AP47" s="5">
        <f t="array" aca="1" ref="AP47" ca="1">IF(AO$31&gt;$AL47,0,IF(ISERROR(INDEX($E47:$X47,,SMALL(IF($E47:$X47&gt;0,COLUMN($A:$T),""),AP$31))),0,INDEX($E47:$X47,,SMALL(IF($E47:$X47&gt;0,COLUMN($A:$T),""),AP$31))))</f>
        <v>31.25</v>
      </c>
      <c r="AQ47" s="5" t="str">
        <f t="array" aca="1" ref="AQ47" ca="1">IF(AQ$31&gt;$AL47,0,IF(ISERROR(OFFSET($E$31,0,SMALL(IF($E47:$X47&gt;0,COLUMN($A:$T),""),AQ$31)-1)),0,OFFSET($E$31,0,SMALL(IF($E47:$X47&gt;0,COLUMN($A:$T),""),AQ$31)-1)))</f>
        <v>生命</v>
      </c>
      <c r="AR47" s="5">
        <f t="array" aca="1" ref="AR47" ca="1">IF(AQ$31&gt;$AL47,0,IF(ISERROR(INDEX($E47:$X47,,SMALL(IF($E47:$X47&gt;0,COLUMN($A:$T),""),AR$31))),0,INDEX($E47:$X47,,SMALL(IF($E47:$X47&gt;0,COLUMN($A:$T),""),AR$31))))</f>
        <v>19.599079909920277</v>
      </c>
      <c r="AS47" s="5">
        <f t="array" aca="1" ref="AS47" ca="1">IF(AS$31&gt;$AL47,0,IF(ISERROR(OFFSET($E$31,0,SMALL(IF($E47:$X47&gt;0,COLUMN($A:$T),""),AS$31)-1)),0,OFFSET($E$31,0,SMALL(IF($E47:$X47&gt;0,COLUMN($A:$T),""),AS$31)-1)))</f>
        <v>0</v>
      </c>
      <c r="AT47" s="5">
        <f t="array" ref="AT47">IF(AS$31&gt;$AL47,0,IF(ISERROR(INDEX($E47:$X47,,SMALL(IF($E47:$X47&gt;0,COLUMN($A:$T),""),AT$31))),0,INDEX($E47:$X47,,SMALL(IF($E47:$X47&gt;0,COLUMN($A:$T),""),AT$31))))</f>
        <v>0</v>
      </c>
      <c r="AU47" s="5">
        <f t="array" aca="1" ref="AU47" ca="1">IF(AU$31&gt;$AL47,0,IF(ISERROR(OFFSET($E$31,0,SMALL(IF($E47:$X47&gt;0,COLUMN($A:$T),""),AU$31)-1)),0,OFFSET($E$31,0,SMALL(IF($E47:$X47&gt;0,COLUMN($A:$T),""),AU$31)-1)))</f>
        <v>0</v>
      </c>
      <c r="AV47" s="5">
        <f t="array" ref="AV47">IF(AU$31&gt;$AL47,0,IF(ISERROR(INDEX($E47:$X47,,SMALL(IF($E47:$X47&gt;0,COLUMN($A:$T),""),AV$31))),0,INDEX($E47:$X47,,SMALL(IF($E47:$X47&gt;0,COLUMN($A:$T),""),AV$31))))</f>
        <v>0</v>
      </c>
      <c r="AW47" s="5">
        <f t="array" aca="1" ref="AW47" ca="1">IF(AW$31&gt;$AL47,0,IF(ISERROR(OFFSET($E$31,0,SMALL(IF($E47:$X47&gt;0,COLUMN($A:$T),""),AW$31)-1)),0,OFFSET($E$31,0,SMALL(IF($E47:$X47&gt;0,COLUMN($A:$T),""),AW$31)-1)))</f>
        <v>0</v>
      </c>
      <c r="AX47" s="5">
        <f t="array" ref="AX47">IF(AW$31&gt;$AL47,0,IF(ISERROR(INDEX($E47:$X47,,SMALL(IF($E47:$X47&gt;0,COLUMN($A:$T),""),AX$31))),0,INDEX($E47:$X47,,SMALL(IF($E47:$X47&gt;0,COLUMN($A:$T),""),AX$31))))</f>
        <v>0</v>
      </c>
      <c r="AY47" s="5">
        <f t="array" aca="1" ref="AY47" ca="1">IF(AY$31&gt;$AL47,0,IF(ISERROR(OFFSET($E$31,0,SMALL(IF($E47:$X47&gt;0,COLUMN($A:$T),""),AY$31)-1)),0,OFFSET($E$31,0,SMALL(IF($E47:$X47&gt;0,COLUMN($A:$T),""),AY$31)-1)))</f>
        <v>0</v>
      </c>
      <c r="AZ47" s="5">
        <f t="array" ref="AZ47">IF(AY$31&gt;$AL47,0,IF(ISERROR(INDEX($E47:$X47,,SMALL(IF($E47:$X47&gt;0,COLUMN($A:$T),""),AZ$31))),0,INDEX($E47:$X47,,SMALL(IF($E47:$X47&gt;0,COLUMN($A:$T),""),AZ$31))))</f>
        <v>0</v>
      </c>
      <c r="BA47" s="5">
        <f t="array" aca="1" ref="BA47" ca="1">IF(BA$31&gt;$AL47,0,IF(ISERROR(OFFSET($E$31,0,SMALL(IF($E47:$X47&gt;0,COLUMN($A:$T),""),BA$31)-1)),0,OFFSET($E$31,0,SMALL(IF($E47:$X47&gt;0,COLUMN($A:$T),""),BA$31)-1)))</f>
        <v>0</v>
      </c>
      <c r="BB47" s="5">
        <f t="array" ref="BB47">IF(BA$31&gt;$AL47,0,IF(ISERROR(INDEX($E47:$X47,,SMALL(IF($E47:$X47&gt;0,COLUMN($A:$T),""),BB$31))),0,INDEX($E47:$X47,,SMALL(IF($E47:$X47&gt;0,COLUMN($A:$T),""),BB$31))))</f>
        <v>0</v>
      </c>
      <c r="BC47" s="5">
        <f t="array" aca="1" ref="BC47" ca="1">IF(BC$31&gt;$AL47,0,IF(ISERROR(OFFSET($E$31,0,SMALL(IF($E47:$X47&gt;0,COLUMN($A:$T),""),BC$31)-1)),0,OFFSET($E$31,0,SMALL(IF($E47:$X47&gt;0,COLUMN($A:$T),""),BC$31)-1)))</f>
        <v>0</v>
      </c>
      <c r="BD47" s="5">
        <f t="array" ref="BD47">IF(BC$31&gt;$AL47,0,IF(ISERROR(INDEX($E47:$X47,,SMALL(IF($E47:$X47&gt;0,COLUMN($A:$T),""),BD$31))),0,INDEX($E47:$X47,,SMALL(IF($E47:$X47&gt;0,COLUMN($A:$T),""),BD$31))))</f>
        <v>0</v>
      </c>
      <c r="BE47" s="5">
        <f t="array" aca="1" ref="BE47" ca="1">IF(BE$31&gt;$AL47,0,IF(ISERROR(OFFSET($E$31,0,SMALL(IF($E47:$X47&gt;0,COLUMN($A:$T),""),BE$31)-1)),0,OFFSET($E$31,0,SMALL(IF($E47:$X47&gt;0,COLUMN($A:$T),""),BE$31)-1)))</f>
        <v>0</v>
      </c>
      <c r="BF47" s="5">
        <f t="array" ref="BF47">IF(BE$31&gt;$AL47,0,IF(ISERROR(INDEX($E47:$X47,,SMALL(IF($E47:$X47&gt;0,COLUMN($A:$T),""),BF$31))),0,INDEX($E47:$X47,,SMALL(IF($E47:$X47&gt;0,COLUMN($A:$T),""),BF$31))))</f>
        <v>0</v>
      </c>
      <c r="BH47">
        <f ca="1">SUMPRODUCT(E47:N47,定义数据!$G$14:$P$14)</f>
        <v>20.032558356761733</v>
      </c>
      <c r="BI47">
        <f ca="1">SUMPRODUCT(O47:X47,定义数据!$G$14:$P$14)</f>
        <v>2.052713196396811</v>
      </c>
      <c r="BJ47" s="5">
        <f t="shared" ca="1" si="18"/>
        <v>22.085271553158545</v>
      </c>
      <c r="BK47" s="5" t="str">
        <f>D47&amp;B47&amp;VLOOKUP(C47,定义数据!$E$1:$F$7,2,FALSE)</f>
        <v>1515</v>
      </c>
    </row>
    <row r="48" spans="1:63" x14ac:dyDescent="0.15">
      <c r="A48" s="17" t="str">
        <f>D48&amp;B48&amp;VLOOKUP(C48,定义数据!$E$1:$F$7,2,FALSE)</f>
        <v>1514</v>
      </c>
      <c r="B48" s="18">
        <v>1</v>
      </c>
      <c r="C48" s="18" t="s">
        <v>139</v>
      </c>
      <c r="D48" s="24">
        <v>15</v>
      </c>
      <c r="E48" s="56">
        <f t="shared" ca="1" si="35"/>
        <v>235.18895891904336</v>
      </c>
      <c r="F48" s="56">
        <f t="shared" ca="1" si="36"/>
        <v>0</v>
      </c>
      <c r="G48" s="56">
        <f t="shared" ca="1" si="37"/>
        <v>0</v>
      </c>
      <c r="H48" s="56">
        <f t="shared" ca="1" si="38"/>
        <v>0</v>
      </c>
      <c r="I48" s="56">
        <f t="shared" ca="1" si="39"/>
        <v>0</v>
      </c>
      <c r="J48" s="56">
        <f t="shared" ca="1" si="40"/>
        <v>0</v>
      </c>
      <c r="K48" s="56">
        <f t="shared" ca="1" si="41"/>
        <v>0</v>
      </c>
      <c r="L48" s="56">
        <f t="shared" ca="1" si="42"/>
        <v>27.777777777777775</v>
      </c>
      <c r="M48" s="56">
        <f t="shared" ca="1" si="43"/>
        <v>0</v>
      </c>
      <c r="N48" s="56">
        <f t="shared" ca="1" si="44"/>
        <v>0</v>
      </c>
      <c r="O48" s="65">
        <f t="shared" ca="1" si="54"/>
        <v>39.198159819840555</v>
      </c>
      <c r="P48" s="65">
        <f t="shared" ca="1" si="45"/>
        <v>1.194593197860963</v>
      </c>
      <c r="Q48" s="65">
        <f t="shared" ca="1" si="46"/>
        <v>0.43017317157712309</v>
      </c>
      <c r="R48" s="65">
        <f t="shared" ca="1" si="47"/>
        <v>0</v>
      </c>
      <c r="S48" s="65">
        <f t="shared" ca="1" si="48"/>
        <v>0</v>
      </c>
      <c r="T48" s="65">
        <f t="shared" ca="1" si="49"/>
        <v>0</v>
      </c>
      <c r="U48" s="65">
        <f t="shared" ca="1" si="50"/>
        <v>0</v>
      </c>
      <c r="V48" s="65">
        <f t="shared" ca="1" si="51"/>
        <v>0.92592592592592582</v>
      </c>
      <c r="W48" s="65">
        <f t="shared" ca="1" si="52"/>
        <v>0</v>
      </c>
      <c r="X48" s="65">
        <f t="shared" ca="1" si="53"/>
        <v>0</v>
      </c>
      <c r="Y48" s="21"/>
      <c r="Z48" s="15">
        <f>VLOOKUP($D48&amp;$B48,[3]!装备基础属性表,P$30,FALSE)</f>
        <v>1175.9447945952168</v>
      </c>
      <c r="AA48" s="15">
        <f>VLOOKUP($D48&amp;$B48,[3]!装备基础属性表,Q$30,FALSE)</f>
        <v>59.729659893048144</v>
      </c>
      <c r="AB48" s="15">
        <f>VLOOKUP($D48&amp;$B48,[3]!装备基础属性表,R$30,FALSE)</f>
        <v>25.810390294627386</v>
      </c>
      <c r="AC48" s="15">
        <f>VLOOKUP($D48&amp;$B48,[3]!装备基础属性表,S$30,FALSE)</f>
        <v>46.875</v>
      </c>
      <c r="AD48" s="15">
        <f>VLOOKUP($D48&amp;$B48,[3]!装备基础属性表,T$30,FALSE)</f>
        <v>46.875</v>
      </c>
      <c r="AE48" s="15">
        <f>VLOOKUP($D48&amp;$B48,[3]!装备基础属性表,U$30,FALSE)</f>
        <v>27.777777777777775</v>
      </c>
      <c r="AF48" s="15">
        <f>VLOOKUP($D48&amp;$B48,[3]!装备基础属性表,V$30,FALSE)</f>
        <v>0</v>
      </c>
      <c r="AG48" s="15">
        <f>VLOOKUP($D48&amp;$B48,[3]!装备基础属性表,W$30,FALSE)</f>
        <v>27.777777777777775</v>
      </c>
      <c r="AH48" s="15">
        <f>VLOOKUP($D48&amp;$B48,[3]!装备基础属性表,X$30,FALSE)</f>
        <v>0</v>
      </c>
      <c r="AI48" s="15">
        <f>VLOOKUP($D48&amp;$B48,[3]!装备基础属性表,Y$30,FALSE)</f>
        <v>0</v>
      </c>
      <c r="AJ48" s="16" t="str">
        <f>B48&amp;VLOOKUP(C48,定义数据!$E$1:$F$7,2,FALSE)&amp;D48</f>
        <v>1415</v>
      </c>
      <c r="AK48" s="14">
        <f t="shared" si="29"/>
        <v>4</v>
      </c>
      <c r="AL48" s="5">
        <f t="shared" si="30"/>
        <v>3</v>
      </c>
      <c r="AM48" s="5" t="str">
        <f t="array" aca="1" ref="AM48" ca="1">IF(AM$31&gt;$AL48,0,IF(ISERROR(OFFSET($E$31,0,SMALL(IF($E48:$X48&gt;0,COLUMN($A:$T),""),AM$31)-1)),0,OFFSET($E$31,0,SMALL(IF($E48:$X48&gt;0,COLUMN($A:$T),""),AM$31)-1)))</f>
        <v>生命</v>
      </c>
      <c r="AN48" s="5">
        <f t="array" aca="1" ref="AN48" ca="1">IF(AM$31&gt;$AL48,0,IF(ISERROR(INDEX($E48:$X48,,SMALL(IF($E48:$X48&gt;0,COLUMN($A:$T),""),AN$31))),0,INDEX($E48:$X48,,SMALL(IF($E48:$X48&gt;0,COLUMN($A:$T),""),AN$31))))</f>
        <v>235.18895891904336</v>
      </c>
      <c r="AO48" s="5" t="str">
        <f t="array" aca="1" ref="AO48" ca="1">IF(AO$31&gt;$AL48,0,IF(ISERROR(OFFSET($E$31,0,SMALL(IF($E48:$X48&gt;0,COLUMN($A:$T),""),AO$31)-1)),0,OFFSET($E$31,0,SMALL(IF($E48:$X48&gt;0,COLUMN($A:$T),""),AO$31)-1)))</f>
        <v>韧性值</v>
      </c>
      <c r="AP48" s="5">
        <f t="array" aca="1" ref="AP48" ca="1">IF(AO$31&gt;$AL48,0,IF(ISERROR(INDEX($E48:$X48,,SMALL(IF($E48:$X48&gt;0,COLUMN($A:$T),""),AP$31))),0,INDEX($E48:$X48,,SMALL(IF($E48:$X48&gt;0,COLUMN($A:$T),""),AP$31))))</f>
        <v>27.777777777777775</v>
      </c>
      <c r="AQ48" s="5" t="str">
        <f t="array" aca="1" ref="AQ48" ca="1">IF(AQ$31&gt;$AL48,0,IF(ISERROR(OFFSET($E$31,0,SMALL(IF($E48:$X48&gt;0,COLUMN($A:$T),""),AQ$31)-1)),0,OFFSET($E$31,0,SMALL(IF($E48:$X48&gt;0,COLUMN($A:$T),""),AQ$31)-1)))</f>
        <v>生命</v>
      </c>
      <c r="AR48" s="5">
        <f t="array" aca="1" ref="AR48" ca="1">IF(AQ$31&gt;$AL48,0,IF(ISERROR(INDEX($E48:$X48,,SMALL(IF($E48:$X48&gt;0,COLUMN($A:$T),""),AR$31))),0,INDEX($E48:$X48,,SMALL(IF($E48:$X48&gt;0,COLUMN($A:$T),""),AR$31))))</f>
        <v>39.198159819840555</v>
      </c>
      <c r="AS48" s="5">
        <f t="array" aca="1" ref="AS48" ca="1">IF(AS$31&gt;$AL48,0,IF(ISERROR(OFFSET($E$31,0,SMALL(IF($E48:$X48&gt;0,COLUMN($A:$T),""),AS$31)-1)),0,OFFSET($E$31,0,SMALL(IF($E48:$X48&gt;0,COLUMN($A:$T),""),AS$31)-1)))</f>
        <v>0</v>
      </c>
      <c r="AT48" s="5">
        <f t="array" ref="AT48">IF(AS$31&gt;$AL48,0,IF(ISERROR(INDEX($E48:$X48,,SMALL(IF($E48:$X48&gt;0,COLUMN($A:$T),""),AT$31))),0,INDEX($E48:$X48,,SMALL(IF($E48:$X48&gt;0,COLUMN($A:$T),""),AT$31))))</f>
        <v>0</v>
      </c>
      <c r="AU48" s="5">
        <f t="array" aca="1" ref="AU48" ca="1">IF(AU$31&gt;$AL48,0,IF(ISERROR(OFFSET($E$31,0,SMALL(IF($E48:$X48&gt;0,COLUMN($A:$T),""),AU$31)-1)),0,OFFSET($E$31,0,SMALL(IF($E48:$X48&gt;0,COLUMN($A:$T),""),AU$31)-1)))</f>
        <v>0</v>
      </c>
      <c r="AV48" s="5">
        <f t="array" ref="AV48">IF(AU$31&gt;$AL48,0,IF(ISERROR(INDEX($E48:$X48,,SMALL(IF($E48:$X48&gt;0,COLUMN($A:$T),""),AV$31))),0,INDEX($E48:$X48,,SMALL(IF($E48:$X48&gt;0,COLUMN($A:$T),""),AV$31))))</f>
        <v>0</v>
      </c>
      <c r="AW48" s="5">
        <f t="array" aca="1" ref="AW48" ca="1">IF(AW$31&gt;$AL48,0,IF(ISERROR(OFFSET($E$31,0,SMALL(IF($E48:$X48&gt;0,COLUMN($A:$T),""),AW$31)-1)),0,OFFSET($E$31,0,SMALL(IF($E48:$X48&gt;0,COLUMN($A:$T),""),AW$31)-1)))</f>
        <v>0</v>
      </c>
      <c r="AX48" s="5">
        <f t="array" ref="AX48">IF(AW$31&gt;$AL48,0,IF(ISERROR(INDEX($E48:$X48,,SMALL(IF($E48:$X48&gt;0,COLUMN($A:$T),""),AX$31))),0,INDEX($E48:$X48,,SMALL(IF($E48:$X48&gt;0,COLUMN($A:$T),""),AX$31))))</f>
        <v>0</v>
      </c>
      <c r="AY48" s="5">
        <f t="array" aca="1" ref="AY48" ca="1">IF(AY$31&gt;$AL48,0,IF(ISERROR(OFFSET($E$31,0,SMALL(IF($E48:$X48&gt;0,COLUMN($A:$T),""),AY$31)-1)),0,OFFSET($E$31,0,SMALL(IF($E48:$X48&gt;0,COLUMN($A:$T),""),AY$31)-1)))</f>
        <v>0</v>
      </c>
      <c r="AZ48" s="5">
        <f t="array" ref="AZ48">IF(AY$31&gt;$AL48,0,IF(ISERROR(INDEX($E48:$X48,,SMALL(IF($E48:$X48&gt;0,COLUMN($A:$T),""),AZ$31))),0,INDEX($E48:$X48,,SMALL(IF($E48:$X48&gt;0,COLUMN($A:$T),""),AZ$31))))</f>
        <v>0</v>
      </c>
      <c r="BA48" s="5">
        <f t="array" aca="1" ref="BA48" ca="1">IF(BA$31&gt;$AL48,0,IF(ISERROR(OFFSET($E$31,0,SMALL(IF($E48:$X48&gt;0,COLUMN($A:$T),""),BA$31)-1)),0,OFFSET($E$31,0,SMALL(IF($E48:$X48&gt;0,COLUMN($A:$T),""),BA$31)-1)))</f>
        <v>0</v>
      </c>
      <c r="BB48" s="5">
        <f t="array" ref="BB48">IF(BA$31&gt;$AL48,0,IF(ISERROR(INDEX($E48:$X48,,SMALL(IF($E48:$X48&gt;0,COLUMN($A:$T),""),BB$31))),0,INDEX($E48:$X48,,SMALL(IF($E48:$X48&gt;0,COLUMN($A:$T),""),BB$31))))</f>
        <v>0</v>
      </c>
      <c r="BC48" s="5">
        <f t="array" aca="1" ref="BC48" ca="1">IF(BC$31&gt;$AL48,0,IF(ISERROR(OFFSET($E$31,0,SMALL(IF($E48:$X48&gt;0,COLUMN($A:$T),""),BC$31)-1)),0,OFFSET($E$31,0,SMALL(IF($E48:$X48&gt;0,COLUMN($A:$T),""),BC$31)-1)))</f>
        <v>0</v>
      </c>
      <c r="BD48" s="5">
        <f t="array" ref="BD48">IF(BC$31&gt;$AL48,0,IF(ISERROR(INDEX($E48:$X48,,SMALL(IF($E48:$X48&gt;0,COLUMN($A:$T),""),BD$31))),0,INDEX($E48:$X48,,SMALL(IF($E48:$X48&gt;0,COLUMN($A:$T),""),BD$31))))</f>
        <v>0</v>
      </c>
      <c r="BE48" s="5">
        <f t="array" aca="1" ref="BE48" ca="1">IF(BE$31&gt;$AL48,0,IF(ISERROR(OFFSET($E$31,0,SMALL(IF($E48:$X48&gt;0,COLUMN($A:$T),""),BE$31)-1)),0,OFFSET($E$31,0,SMALL(IF($E48:$X48&gt;0,COLUMN($A:$T),""),BE$31)-1)))</f>
        <v>0</v>
      </c>
      <c r="BF48" s="5">
        <f t="array" ref="BF48">IF(BE$31&gt;$AL48,0,IF(ISERROR(INDEX($E48:$X48,,SMALL(IF($E48:$X48&gt;0,COLUMN($A:$T),""),BF$31))),0,INDEX($E48:$X48,,SMALL(IF($E48:$X48&gt;0,COLUMN($A:$T),""),BF$31))))</f>
        <v>0</v>
      </c>
      <c r="BH48">
        <f ca="1">SUMPRODUCT(E48:N48,定义数据!$G$14:$P$14)</f>
        <v>14.407558356761733</v>
      </c>
      <c r="BI48">
        <f ca="1">SUMPRODUCT(O48:X48,定义数据!$G$14:$P$14)</f>
        <v>3.3593594288983746</v>
      </c>
      <c r="BJ48" s="5">
        <f t="shared" ca="1" si="18"/>
        <v>17.766917785660109</v>
      </c>
      <c r="BK48" s="5" t="str">
        <f>D48&amp;B48&amp;VLOOKUP(C48,定义数据!$E$1:$F$7,2,FALSE)</f>
        <v>1514</v>
      </c>
    </row>
    <row r="49" spans="1:63" x14ac:dyDescent="0.15">
      <c r="A49" s="17" t="str">
        <f>D49&amp;B49&amp;VLOOKUP(C49,定义数据!$E$1:$F$7,2,FALSE)</f>
        <v>1513</v>
      </c>
      <c r="B49" s="18">
        <v>1</v>
      </c>
      <c r="C49" s="18" t="s">
        <v>140</v>
      </c>
      <c r="D49" s="24">
        <v>15</v>
      </c>
      <c r="E49" s="56">
        <f t="shared" ca="1" si="35"/>
        <v>0</v>
      </c>
      <c r="F49" s="56">
        <f t="shared" ca="1" si="36"/>
        <v>14.932414973262036</v>
      </c>
      <c r="G49" s="56">
        <f t="shared" ca="1" si="37"/>
        <v>0</v>
      </c>
      <c r="H49" s="56">
        <f t="shared" ca="1" si="38"/>
        <v>0</v>
      </c>
      <c r="I49" s="56">
        <f t="shared" ca="1" si="39"/>
        <v>46.875</v>
      </c>
      <c r="J49" s="56">
        <f t="shared" ca="1" si="40"/>
        <v>0</v>
      </c>
      <c r="K49" s="56">
        <f t="shared" ca="1" si="41"/>
        <v>0</v>
      </c>
      <c r="L49" s="56">
        <f t="shared" ca="1" si="42"/>
        <v>0</v>
      </c>
      <c r="M49" s="56">
        <f t="shared" ca="1" si="43"/>
        <v>0</v>
      </c>
      <c r="N49" s="56">
        <f t="shared" ca="1" si="44"/>
        <v>0</v>
      </c>
      <c r="O49" s="65">
        <f t="shared" ca="1" si="54"/>
        <v>0</v>
      </c>
      <c r="P49" s="65">
        <f t="shared" ca="1" si="45"/>
        <v>1.194593197860963</v>
      </c>
      <c r="Q49" s="65">
        <f t="shared" ca="1" si="46"/>
        <v>0</v>
      </c>
      <c r="R49" s="65">
        <f t="shared" ca="1" si="47"/>
        <v>0.9375</v>
      </c>
      <c r="S49" s="65">
        <f t="shared" ca="1" si="48"/>
        <v>1.5625</v>
      </c>
      <c r="T49" s="65">
        <f t="shared" ca="1" si="49"/>
        <v>1.1111111111111112</v>
      </c>
      <c r="U49" s="65">
        <f t="shared" ca="1" si="50"/>
        <v>0</v>
      </c>
      <c r="V49" s="65">
        <f t="shared" ca="1" si="51"/>
        <v>0</v>
      </c>
      <c r="W49" s="65">
        <f t="shared" ca="1" si="52"/>
        <v>0</v>
      </c>
      <c r="X49" s="65">
        <f t="shared" ca="1" si="53"/>
        <v>0</v>
      </c>
      <c r="Y49" s="21"/>
      <c r="Z49" s="15">
        <f>VLOOKUP($D49&amp;$B49,[3]!装备基础属性表,P$30,FALSE)</f>
        <v>1175.9447945952168</v>
      </c>
      <c r="AA49" s="15">
        <f>VLOOKUP($D49&amp;$B49,[3]!装备基础属性表,Q$30,FALSE)</f>
        <v>59.729659893048144</v>
      </c>
      <c r="AB49" s="15">
        <f>VLOOKUP($D49&amp;$B49,[3]!装备基础属性表,R$30,FALSE)</f>
        <v>25.810390294627386</v>
      </c>
      <c r="AC49" s="15">
        <f>VLOOKUP($D49&amp;$B49,[3]!装备基础属性表,S$30,FALSE)</f>
        <v>46.875</v>
      </c>
      <c r="AD49" s="15">
        <f>VLOOKUP($D49&amp;$B49,[3]!装备基础属性表,T$30,FALSE)</f>
        <v>46.875</v>
      </c>
      <c r="AE49" s="15">
        <f>VLOOKUP($D49&amp;$B49,[3]!装备基础属性表,U$30,FALSE)</f>
        <v>27.777777777777775</v>
      </c>
      <c r="AF49" s="15">
        <f>VLOOKUP($D49&amp;$B49,[3]!装备基础属性表,V$30,FALSE)</f>
        <v>0</v>
      </c>
      <c r="AG49" s="15">
        <f>VLOOKUP($D49&amp;$B49,[3]!装备基础属性表,W$30,FALSE)</f>
        <v>27.777777777777775</v>
      </c>
      <c r="AH49" s="15">
        <f>VLOOKUP($D49&amp;$B49,[3]!装备基础属性表,X$30,FALSE)</f>
        <v>0</v>
      </c>
      <c r="AI49" s="15">
        <f>VLOOKUP($D49&amp;$B49,[3]!装备基础属性表,Y$30,FALSE)</f>
        <v>0</v>
      </c>
      <c r="AJ49" s="16" t="str">
        <f>B49&amp;VLOOKUP(C49,定义数据!$E$1:$F$7,2,FALSE)&amp;D49</f>
        <v>1315</v>
      </c>
      <c r="AK49" s="14">
        <f t="shared" si="29"/>
        <v>4</v>
      </c>
      <c r="AL49" s="5">
        <f t="shared" si="30"/>
        <v>3</v>
      </c>
      <c r="AM49" s="5" t="str">
        <f t="array" aca="1" ref="AM49" ca="1">IF(AM$31&gt;$AL49,0,IF(ISERROR(OFFSET($E$31,0,SMALL(IF($E49:$X49&gt;0,COLUMN($A:$T),""),AM$31)-1)),0,OFFSET($E$31,0,SMALL(IF($E49:$X49&gt;0,COLUMN($A:$T),""),AM$31)-1)))</f>
        <v>攻击</v>
      </c>
      <c r="AN49" s="5">
        <f t="array" aca="1" ref="AN49" ca="1">IF(AM$31&gt;$AL49,0,IF(ISERROR(INDEX($E49:$X49,,SMALL(IF($E49:$X49&gt;0,COLUMN($A:$T),""),AN$31))),0,INDEX($E49:$X49,,SMALL(IF($E49:$X49&gt;0,COLUMN($A:$T),""),AN$31))))</f>
        <v>14.932414973262036</v>
      </c>
      <c r="AO49" s="5" t="str">
        <f t="array" aca="1" ref="AO49" ca="1">IF(AO$31&gt;$AL49,0,IF(ISERROR(OFFSET($E$31,0,SMALL(IF($E49:$X49&gt;0,COLUMN($A:$T),""),AO$31)-1)),0,OFFSET($E$31,0,SMALL(IF($E49:$X49&gt;0,COLUMN($A:$T),""),AO$31)-1)))</f>
        <v>命中值</v>
      </c>
      <c r="AP49" s="5">
        <f t="array" aca="1" ref="AP49" ca="1">IF(AO$31&gt;$AL49,0,IF(ISERROR(INDEX($E49:$X49,,SMALL(IF($E49:$X49&gt;0,COLUMN($A:$T),""),AP$31))),0,INDEX($E49:$X49,,SMALL(IF($E49:$X49&gt;0,COLUMN($A:$T),""),AP$31))))</f>
        <v>46.875</v>
      </c>
      <c r="AQ49" s="5" t="str">
        <f t="array" aca="1" ref="AQ49" ca="1">IF(AQ$31&gt;$AL49,0,IF(ISERROR(OFFSET($E$31,0,SMALL(IF($E49:$X49&gt;0,COLUMN($A:$T),""),AQ$31)-1)),0,OFFSET($E$31,0,SMALL(IF($E49:$X49&gt;0,COLUMN($A:$T),""),AQ$31)-1)))</f>
        <v>攻击</v>
      </c>
      <c r="AR49" s="5">
        <f t="array" aca="1" ref="AR49" ca="1">IF(AQ$31&gt;$AL49,0,IF(ISERROR(INDEX($E49:$X49,,SMALL(IF($E49:$X49&gt;0,COLUMN($A:$T),""),AR$31))),0,INDEX($E49:$X49,,SMALL(IF($E49:$X49&gt;0,COLUMN($A:$T),""),AR$31))))</f>
        <v>1.194593197860963</v>
      </c>
      <c r="AS49" s="5">
        <f t="array" aca="1" ref="AS49" ca="1">IF(AS$31&gt;$AL49,0,IF(ISERROR(OFFSET($E$31,0,SMALL(IF($E49:$X49&gt;0,COLUMN($A:$T),""),AS$31)-1)),0,OFFSET($E$31,0,SMALL(IF($E49:$X49&gt;0,COLUMN($A:$T),""),AS$31)-1)))</f>
        <v>0</v>
      </c>
      <c r="AT49" s="5">
        <f t="array" ref="AT49">IF(AS$31&gt;$AL49,0,IF(ISERROR(INDEX($E49:$X49,,SMALL(IF($E49:$X49&gt;0,COLUMN($A:$T),""),AT$31))),0,INDEX($E49:$X49,,SMALL(IF($E49:$X49&gt;0,COLUMN($A:$T),""),AT$31))))</f>
        <v>0</v>
      </c>
      <c r="AU49" s="5">
        <f t="array" aca="1" ref="AU49" ca="1">IF(AU$31&gt;$AL49,0,IF(ISERROR(OFFSET($E$31,0,SMALL(IF($E49:$X49&gt;0,COLUMN($A:$T),""),AU$31)-1)),0,OFFSET($E$31,0,SMALL(IF($E49:$X49&gt;0,COLUMN($A:$T),""),AU$31)-1)))</f>
        <v>0</v>
      </c>
      <c r="AV49" s="5">
        <f t="array" ref="AV49">IF(AU$31&gt;$AL49,0,IF(ISERROR(INDEX($E49:$X49,,SMALL(IF($E49:$X49&gt;0,COLUMN($A:$T),""),AV$31))),0,INDEX($E49:$X49,,SMALL(IF($E49:$X49&gt;0,COLUMN($A:$T),""),AV$31))))</f>
        <v>0</v>
      </c>
      <c r="AW49" s="5">
        <f t="array" aca="1" ref="AW49" ca="1">IF(AW$31&gt;$AL49,0,IF(ISERROR(OFFSET($E$31,0,SMALL(IF($E49:$X49&gt;0,COLUMN($A:$T),""),AW$31)-1)),0,OFFSET($E$31,0,SMALL(IF($E49:$X49&gt;0,COLUMN($A:$T),""),AW$31)-1)))</f>
        <v>0</v>
      </c>
      <c r="AX49" s="5">
        <f t="array" ref="AX49">IF(AW$31&gt;$AL49,0,IF(ISERROR(INDEX($E49:$X49,,SMALL(IF($E49:$X49&gt;0,COLUMN($A:$T),""),AX$31))),0,INDEX($E49:$X49,,SMALL(IF($E49:$X49&gt;0,COLUMN($A:$T),""),AX$31))))</f>
        <v>0</v>
      </c>
      <c r="AY49" s="5">
        <f t="array" aca="1" ref="AY49" ca="1">IF(AY$31&gt;$AL49,0,IF(ISERROR(OFFSET($E$31,0,SMALL(IF($E49:$X49&gt;0,COLUMN($A:$T),""),AY$31)-1)),0,OFFSET($E$31,0,SMALL(IF($E49:$X49&gt;0,COLUMN($A:$T),""),AY$31)-1)))</f>
        <v>0</v>
      </c>
      <c r="AZ49" s="5">
        <f t="array" ref="AZ49">IF(AY$31&gt;$AL49,0,IF(ISERROR(INDEX($E49:$X49,,SMALL(IF($E49:$X49&gt;0,COLUMN($A:$T),""),AZ$31))),0,INDEX($E49:$X49,,SMALL(IF($E49:$X49&gt;0,COLUMN($A:$T),""),AZ$31))))</f>
        <v>0</v>
      </c>
      <c r="BA49" s="5">
        <f t="array" aca="1" ref="BA49" ca="1">IF(BA$31&gt;$AL49,0,IF(ISERROR(OFFSET($E$31,0,SMALL(IF($E49:$X49&gt;0,COLUMN($A:$T),""),BA$31)-1)),0,OFFSET($E$31,0,SMALL(IF($E49:$X49&gt;0,COLUMN($A:$T),""),BA$31)-1)))</f>
        <v>0</v>
      </c>
      <c r="BB49" s="5">
        <f t="array" ref="BB49">IF(BA$31&gt;$AL49,0,IF(ISERROR(INDEX($E49:$X49,,SMALL(IF($E49:$X49&gt;0,COLUMN($A:$T),""),BB$31))),0,INDEX($E49:$X49,,SMALL(IF($E49:$X49&gt;0,COLUMN($A:$T),""),BB$31))))</f>
        <v>0</v>
      </c>
      <c r="BC49" s="5">
        <f t="array" aca="1" ref="BC49" ca="1">IF(BC$31&gt;$AL49,0,IF(ISERROR(OFFSET($E$31,0,SMALL(IF($E49:$X49&gt;0,COLUMN($A:$T),""),BC$31)-1)),0,OFFSET($E$31,0,SMALL(IF($E49:$X49&gt;0,COLUMN($A:$T),""),BC$31)-1)))</f>
        <v>0</v>
      </c>
      <c r="BD49" s="5">
        <f t="array" ref="BD49">IF(BC$31&gt;$AL49,0,IF(ISERROR(INDEX($E49:$X49,,SMALL(IF($E49:$X49&gt;0,COLUMN($A:$T),""),BD$31))),0,INDEX($E49:$X49,,SMALL(IF($E49:$X49&gt;0,COLUMN($A:$T),""),BD$31))))</f>
        <v>0</v>
      </c>
      <c r="BE49" s="5">
        <f t="array" aca="1" ref="BE49" ca="1">IF(BE$31&gt;$AL49,0,IF(ISERROR(OFFSET($E$31,0,SMALL(IF($E49:$X49&gt;0,COLUMN($A:$T),""),BE$31)-1)),0,OFFSET($E$31,0,SMALL(IF($E49:$X49&gt;0,COLUMN($A:$T),""),BE$31)-1)))</f>
        <v>0</v>
      </c>
      <c r="BF49" s="5">
        <f t="array" ref="BF49">IF(BE$31&gt;$AL49,0,IF(ISERROR(INDEX($E49:$X49,,SMALL(IF($E49:$X49&gt;0,COLUMN($A:$T),""),BF$31))),0,INDEX($E49:$X49,,SMALL(IF($E49:$X49&gt;0,COLUMN($A:$T),""),BF$31))))</f>
        <v>0</v>
      </c>
      <c r="BH49">
        <f ca="1">SUMPRODUCT(E49:N49,定义数据!$G$14:$P$14)</f>
        <v>30.869914973262038</v>
      </c>
      <c r="BI49">
        <f ca="1">SUMPRODUCT(O49:X49,定义数据!$G$14:$P$14)</f>
        <v>2.2445931978609632</v>
      </c>
      <c r="BJ49" s="5">
        <f t="shared" ca="1" si="18"/>
        <v>33.114508171122999</v>
      </c>
      <c r="BK49" s="5" t="str">
        <f>D49&amp;B49&amp;VLOOKUP(C49,定义数据!$E$1:$F$7,2,FALSE)</f>
        <v>1513</v>
      </c>
    </row>
    <row r="50" spans="1:63" x14ac:dyDescent="0.15">
      <c r="A50" s="17" t="str">
        <f>D50&amp;B50&amp;VLOOKUP(C50,定义数据!$E$1:$F$7,2,FALSE)</f>
        <v>1520</v>
      </c>
      <c r="B50" s="18">
        <v>2</v>
      </c>
      <c r="C50" s="18" t="s">
        <v>141</v>
      </c>
      <c r="D50" s="24">
        <v>15</v>
      </c>
      <c r="E50" s="56">
        <f t="shared" ca="1" si="35"/>
        <v>0</v>
      </c>
      <c r="F50" s="56">
        <f t="shared" ca="1" si="36"/>
        <v>58.236418395721948</v>
      </c>
      <c r="G50" s="56">
        <f t="shared" ca="1" si="37"/>
        <v>0</v>
      </c>
      <c r="H50" s="56">
        <f t="shared" ca="1" si="38"/>
        <v>0</v>
      </c>
      <c r="I50" s="56">
        <f t="shared" ca="1" si="39"/>
        <v>0</v>
      </c>
      <c r="J50" s="56">
        <f t="shared" ca="1" si="40"/>
        <v>36.111111111111114</v>
      </c>
      <c r="K50" s="56">
        <f t="shared" ca="1" si="41"/>
        <v>0</v>
      </c>
      <c r="L50" s="56">
        <f t="shared" ca="1" si="42"/>
        <v>0</v>
      </c>
      <c r="M50" s="56">
        <f t="shared" ca="1" si="43"/>
        <v>0</v>
      </c>
      <c r="N50" s="56">
        <f t="shared" ca="1" si="44"/>
        <v>0</v>
      </c>
      <c r="O50" s="65">
        <f t="shared" ca="1" si="54"/>
        <v>0</v>
      </c>
      <c r="P50" s="65">
        <f t="shared" ca="1" si="45"/>
        <v>10.353141048128347</v>
      </c>
      <c r="Q50" s="65">
        <f t="shared" ca="1" si="46"/>
        <v>1.2427224956672445</v>
      </c>
      <c r="R50" s="65">
        <f t="shared" ca="1" si="47"/>
        <v>0</v>
      </c>
      <c r="S50" s="65">
        <f t="shared" ca="1" si="48"/>
        <v>4.5138888888888884</v>
      </c>
      <c r="T50" s="65">
        <f t="shared" ca="1" si="49"/>
        <v>3.2098765432098775</v>
      </c>
      <c r="U50" s="65">
        <f t="shared" ca="1" si="50"/>
        <v>0</v>
      </c>
      <c r="V50" s="65">
        <f t="shared" ca="1" si="51"/>
        <v>0</v>
      </c>
      <c r="W50" s="65">
        <f t="shared" ca="1" si="52"/>
        <v>0</v>
      </c>
      <c r="X50" s="65">
        <f t="shared" ca="1" si="53"/>
        <v>0</v>
      </c>
      <c r="Y50" s="21" t="s">
        <v>94</v>
      </c>
      <c r="Z50" s="15">
        <f>VLOOKUP($D50&amp;$B50,[3]!装备基础属性表,P$30,FALSE)</f>
        <v>1698.5869255264242</v>
      </c>
      <c r="AA50" s="15">
        <f>VLOOKUP($D50&amp;$B50,[3]!装备基础属性表,Q$30,FALSE)</f>
        <v>86.276175401069551</v>
      </c>
      <c r="AB50" s="15">
        <f>VLOOKUP($D50&amp;$B50,[3]!装备基础属性表,R$30,FALSE)</f>
        <v>37.281674870017333</v>
      </c>
      <c r="AC50" s="15">
        <f>VLOOKUP($D50&amp;$B50,[3]!装备基础属性表,S$30,FALSE)</f>
        <v>67.708333333333329</v>
      </c>
      <c r="AD50" s="15">
        <f>VLOOKUP($D50&amp;$B50,[3]!装备基础属性表,T$30,FALSE)</f>
        <v>67.708333333333329</v>
      </c>
      <c r="AE50" s="15">
        <f>VLOOKUP($D50&amp;$B50,[3]!装备基础属性表,U$30,FALSE)</f>
        <v>40.123456790123463</v>
      </c>
      <c r="AF50" s="15">
        <f>VLOOKUP($D50&amp;$B50,[3]!装备基础属性表,V$30,FALSE)</f>
        <v>0</v>
      </c>
      <c r="AG50" s="15">
        <f>VLOOKUP($D50&amp;$B50,[3]!装备基础属性表,W$30,FALSE)</f>
        <v>40.123456790123463</v>
      </c>
      <c r="AH50" s="15">
        <f>VLOOKUP($D50&amp;$B50,[3]!装备基础属性表,X$30,FALSE)</f>
        <v>0</v>
      </c>
      <c r="AI50" s="15">
        <f>VLOOKUP($D50&amp;$B50,[3]!装备基础属性表,Y$30,FALSE)</f>
        <v>0</v>
      </c>
      <c r="AJ50" s="16" t="str">
        <f>B50&amp;VLOOKUP(C50,定义数据!$E$1:$F$7,2,FALSE)&amp;D50</f>
        <v>2015</v>
      </c>
      <c r="AK50" s="14">
        <f t="shared" si="29"/>
        <v>5</v>
      </c>
      <c r="AL50" s="5">
        <f t="shared" si="30"/>
        <v>4</v>
      </c>
      <c r="AM50" s="5" t="str">
        <f t="array" aca="1" ref="AM50" ca="1">IF(AM$31&gt;$AL50,0,IF(ISERROR(OFFSET($E$31,0,SMALL(IF($E50:$X50&gt;0,COLUMN($A:$T),""),AM$31)-1)),0,OFFSET($E$31,0,SMALL(IF($E50:$X50&gt;0,COLUMN($A:$T),""),AM$31)-1)))</f>
        <v>攻击</v>
      </c>
      <c r="AN50" s="5">
        <f t="array" aca="1" ref="AN50" ca="1">IF(AM$31&gt;$AL50,0,IF(ISERROR(INDEX($E50:$X50,,SMALL(IF($E50:$X50&gt;0,COLUMN($A:$T),""),AN$31))),0,INDEX($E50:$X50,,SMALL(IF($E50:$X50&gt;0,COLUMN($A:$T),""),AN$31))))</f>
        <v>58.236418395721948</v>
      </c>
      <c r="AO50" s="5" t="str">
        <f t="array" aca="1" ref="AO50" ca="1">IF(AO$31&gt;$AL50,0,IF(ISERROR(OFFSET($E$31,0,SMALL(IF($E50:$X50&gt;0,COLUMN($A:$T),""),AO$31)-1)),0,OFFSET($E$31,0,SMALL(IF($E50:$X50&gt;0,COLUMN($A:$T),""),AO$31)-1)))</f>
        <v>暴击值</v>
      </c>
      <c r="AP50" s="5">
        <f t="array" aca="1" ref="AP50" ca="1">IF(AO$31&gt;$AL50,0,IF(ISERROR(INDEX($E50:$X50,,SMALL(IF($E50:$X50&gt;0,COLUMN($A:$T),""),AP$31))),0,INDEX($E50:$X50,,SMALL(IF($E50:$X50&gt;0,COLUMN($A:$T),""),AP$31))))</f>
        <v>36.111111111111114</v>
      </c>
      <c r="AQ50" s="5" t="str">
        <f t="array" aca="1" ref="AQ50" ca="1">IF(AQ$31&gt;$AL50,0,IF(ISERROR(OFFSET($E$31,0,SMALL(IF($E50:$X50&gt;0,COLUMN($A:$T),""),AQ$31)-1)),0,OFFSET($E$31,0,SMALL(IF($E50:$X50&gt;0,COLUMN($A:$T),""),AQ$31)-1)))</f>
        <v>攻击</v>
      </c>
      <c r="AR50" s="5">
        <f t="array" aca="1" ref="AR50" ca="1">IF(AQ$31&gt;$AL50,0,IF(ISERROR(INDEX($E50:$X50,,SMALL(IF($E50:$X50&gt;0,COLUMN($A:$T),""),AR$31))),0,INDEX($E50:$X50,,SMALL(IF($E50:$X50&gt;0,COLUMN($A:$T),""),AR$31))))</f>
        <v>10.353141048128347</v>
      </c>
      <c r="AS50" s="5" t="str">
        <f t="array" aca="1" ref="AS50" ca="1">IF(AS$31&gt;$AL50,0,IF(ISERROR(OFFSET($E$31,0,SMALL(IF($E50:$X50&gt;0,COLUMN($A:$T),""),AS$31)-1)),0,OFFSET($E$31,0,SMALL(IF($E50:$X50&gt;0,COLUMN($A:$T),""),AS$31)-1)))</f>
        <v>防御</v>
      </c>
      <c r="AT50" s="5">
        <f t="array" aca="1" ref="AT50" ca="1">IF(AS$31&gt;$AL50,0,IF(ISERROR(INDEX($E50:$X50,,SMALL(IF($E50:$X50&gt;0,COLUMN($A:$T),""),AT$31))),0,INDEX($E50:$X50,,SMALL(IF($E50:$X50&gt;0,COLUMN($A:$T),""),AT$31))))</f>
        <v>1.2427224956672445</v>
      </c>
      <c r="AU50" s="5">
        <f t="array" aca="1" ref="AU50" ca="1">IF(AU$31&gt;$AL50,0,IF(ISERROR(OFFSET($E$31,0,SMALL(IF($E50:$X50&gt;0,COLUMN($A:$T),""),AU$31)-1)),0,OFFSET($E$31,0,SMALL(IF($E50:$X50&gt;0,COLUMN($A:$T),""),AU$31)-1)))</f>
        <v>0</v>
      </c>
      <c r="AV50" s="5">
        <f t="array" ref="AV50">IF(AU$31&gt;$AL50,0,IF(ISERROR(INDEX($E50:$X50,,SMALL(IF($E50:$X50&gt;0,COLUMN($A:$T),""),AV$31))),0,INDEX($E50:$X50,,SMALL(IF($E50:$X50&gt;0,COLUMN($A:$T),""),AV$31))))</f>
        <v>0</v>
      </c>
      <c r="AW50" s="5">
        <f t="array" aca="1" ref="AW50" ca="1">IF(AW$31&gt;$AL50,0,IF(ISERROR(OFFSET($E$31,0,SMALL(IF($E50:$X50&gt;0,COLUMN($A:$T),""),AW$31)-1)),0,OFFSET($E$31,0,SMALL(IF($E50:$X50&gt;0,COLUMN($A:$T),""),AW$31)-1)))</f>
        <v>0</v>
      </c>
      <c r="AX50" s="5">
        <f t="array" ref="AX50">IF(AW$31&gt;$AL50,0,IF(ISERROR(INDEX($E50:$X50,,SMALL(IF($E50:$X50&gt;0,COLUMN($A:$T),""),AX$31))),0,INDEX($E50:$X50,,SMALL(IF($E50:$X50&gt;0,COLUMN($A:$T),""),AX$31))))</f>
        <v>0</v>
      </c>
      <c r="AY50" s="5">
        <f t="array" aca="1" ref="AY50" ca="1">IF(AY$31&gt;$AL50,0,IF(ISERROR(OFFSET($E$31,0,SMALL(IF($E50:$X50&gt;0,COLUMN($A:$T),""),AY$31)-1)),0,OFFSET($E$31,0,SMALL(IF($E50:$X50&gt;0,COLUMN($A:$T),""),AY$31)-1)))</f>
        <v>0</v>
      </c>
      <c r="AZ50" s="5">
        <f t="array" ref="AZ50">IF(AY$31&gt;$AL50,0,IF(ISERROR(INDEX($E50:$X50,,SMALL(IF($E50:$X50&gt;0,COLUMN($A:$T),""),AZ$31))),0,INDEX($E50:$X50,,SMALL(IF($E50:$X50&gt;0,COLUMN($A:$T),""),AZ$31))))</f>
        <v>0</v>
      </c>
      <c r="BA50" s="5">
        <f t="array" aca="1" ref="BA50" ca="1">IF(BA$31&gt;$AL50,0,IF(ISERROR(OFFSET($E$31,0,SMALL(IF($E50:$X50&gt;0,COLUMN($A:$T),""),BA$31)-1)),0,OFFSET($E$31,0,SMALL(IF($E50:$X50&gt;0,COLUMN($A:$T),""),BA$31)-1)))</f>
        <v>0</v>
      </c>
      <c r="BB50" s="5">
        <f t="array" ref="BB50">IF(BA$31&gt;$AL50,0,IF(ISERROR(INDEX($E50:$X50,,SMALL(IF($E50:$X50&gt;0,COLUMN($A:$T),""),BB$31))),0,INDEX($E50:$X50,,SMALL(IF($E50:$X50&gt;0,COLUMN($A:$T),""),BB$31))))</f>
        <v>0</v>
      </c>
      <c r="BC50" s="5">
        <f t="array" aca="1" ref="BC50" ca="1">IF(BC$31&gt;$AL50,0,IF(ISERROR(OFFSET($E$31,0,SMALL(IF($E50:$X50&gt;0,COLUMN($A:$T),""),BC$31)-1)),0,OFFSET($E$31,0,SMALL(IF($E50:$X50&gt;0,COLUMN($A:$T),""),BC$31)-1)))</f>
        <v>0</v>
      </c>
      <c r="BD50" s="5">
        <f t="array" ref="BD50">IF(BC$31&gt;$AL50,0,IF(ISERROR(INDEX($E50:$X50,,SMALL(IF($E50:$X50&gt;0,COLUMN($A:$T),""),BD$31))),0,INDEX($E50:$X50,,SMALL(IF($E50:$X50&gt;0,COLUMN($A:$T),""),BD$31))))</f>
        <v>0</v>
      </c>
      <c r="BE50" s="5">
        <f t="array" aca="1" ref="BE50" ca="1">IF(BE$31&gt;$AL50,0,IF(ISERROR(OFFSET($E$31,0,SMALL(IF($E50:$X50&gt;0,COLUMN($A:$T),""),BE$31)-1)),0,OFFSET($E$31,0,SMALL(IF($E50:$X50&gt;0,COLUMN($A:$T),""),BE$31)-1)))</f>
        <v>0</v>
      </c>
      <c r="BF50" s="5">
        <f t="array" ref="BF50">IF(BE$31&gt;$AL50,0,IF(ISERROR(INDEX($E50:$X50,,SMALL(IF($E50:$X50&gt;0,COLUMN($A:$T),""),BF$31))),0,INDEX($E50:$X50,,SMALL(IF($E50:$X50&gt;0,COLUMN($A:$T),""),BF$31))))</f>
        <v>0</v>
      </c>
      <c r="BH50">
        <f ca="1">SUMPRODUCT(E50:N50,定义数据!$G$14:$P$14)</f>
        <v>64.736418395721955</v>
      </c>
      <c r="BI50">
        <f ca="1">SUMPRODUCT(O50:X50,定义数据!$G$14:$P$14)</f>
        <v>13.70836354379559</v>
      </c>
      <c r="BJ50" s="5">
        <f t="shared" ca="1" si="18"/>
        <v>78.44478193951754</v>
      </c>
      <c r="BK50" s="5" t="str">
        <f>D50&amp;B50&amp;VLOOKUP(C50,定义数据!$E$1:$F$7,2,FALSE)</f>
        <v>1520</v>
      </c>
    </row>
    <row r="51" spans="1:63" x14ac:dyDescent="0.15">
      <c r="A51" s="17" t="str">
        <f>D51&amp;B51&amp;VLOOKUP(C51,定义数据!$E$1:$F$7,2,FALSE)</f>
        <v>1521</v>
      </c>
      <c r="B51" s="18">
        <v>2</v>
      </c>
      <c r="C51" s="18" t="s">
        <v>136</v>
      </c>
      <c r="D51" s="24">
        <v>15</v>
      </c>
      <c r="E51" s="56">
        <f t="shared" ca="1" si="35"/>
        <v>917.23693978426911</v>
      </c>
      <c r="F51" s="56">
        <f t="shared" ca="1" si="36"/>
        <v>0</v>
      </c>
      <c r="G51" s="56">
        <f t="shared" ca="1" si="37"/>
        <v>20.13210442980936</v>
      </c>
      <c r="H51" s="56">
        <f t="shared" ca="1" si="38"/>
        <v>0</v>
      </c>
      <c r="I51" s="56">
        <f t="shared" ca="1" si="39"/>
        <v>0</v>
      </c>
      <c r="J51" s="56">
        <f t="shared" ca="1" si="40"/>
        <v>0</v>
      </c>
      <c r="K51" s="56">
        <f t="shared" ca="1" si="41"/>
        <v>0</v>
      </c>
      <c r="L51" s="56">
        <f t="shared" ca="1" si="42"/>
        <v>0</v>
      </c>
      <c r="M51" s="56">
        <f t="shared" ca="1" si="43"/>
        <v>0</v>
      </c>
      <c r="N51" s="56">
        <f t="shared" ca="1" si="44"/>
        <v>0</v>
      </c>
      <c r="O51" s="65">
        <f t="shared" ca="1" si="54"/>
        <v>113.23912836842828</v>
      </c>
      <c r="P51" s="65">
        <f t="shared" ca="1" si="45"/>
        <v>0</v>
      </c>
      <c r="Q51" s="65">
        <f t="shared" ca="1" si="46"/>
        <v>3.7281674870017336</v>
      </c>
      <c r="R51" s="65">
        <f t="shared" ca="1" si="47"/>
        <v>2.7083333333333335</v>
      </c>
      <c r="S51" s="65">
        <f t="shared" ca="1" si="48"/>
        <v>0</v>
      </c>
      <c r="T51" s="65">
        <f t="shared" ca="1" si="49"/>
        <v>0</v>
      </c>
      <c r="U51" s="65">
        <f t="shared" ca="1" si="50"/>
        <v>0</v>
      </c>
      <c r="V51" s="65">
        <f t="shared" ca="1" si="51"/>
        <v>2.6748971193415643</v>
      </c>
      <c r="W51" s="65">
        <f t="shared" ca="1" si="52"/>
        <v>0</v>
      </c>
      <c r="X51" s="65">
        <f t="shared" ca="1" si="53"/>
        <v>0</v>
      </c>
      <c r="Y51" s="21" t="s">
        <v>95</v>
      </c>
      <c r="Z51" s="15">
        <f>VLOOKUP($D51&amp;$B51,[3]!装备基础属性表,P$30,FALSE)</f>
        <v>1698.5869255264242</v>
      </c>
      <c r="AA51" s="15">
        <f>VLOOKUP($D51&amp;$B51,[3]!装备基础属性表,Q$30,FALSE)</f>
        <v>86.276175401069551</v>
      </c>
      <c r="AB51" s="15">
        <f>VLOOKUP($D51&amp;$B51,[3]!装备基础属性表,R$30,FALSE)</f>
        <v>37.281674870017333</v>
      </c>
      <c r="AC51" s="15">
        <f>VLOOKUP($D51&amp;$B51,[3]!装备基础属性表,S$30,FALSE)</f>
        <v>67.708333333333329</v>
      </c>
      <c r="AD51" s="15">
        <f>VLOOKUP($D51&amp;$B51,[3]!装备基础属性表,T$30,FALSE)</f>
        <v>67.708333333333329</v>
      </c>
      <c r="AE51" s="15">
        <f>VLOOKUP($D51&amp;$B51,[3]!装备基础属性表,U$30,FALSE)</f>
        <v>40.123456790123463</v>
      </c>
      <c r="AF51" s="15">
        <f>VLOOKUP($D51&amp;$B51,[3]!装备基础属性表,V$30,FALSE)</f>
        <v>0</v>
      </c>
      <c r="AG51" s="15">
        <f>VLOOKUP($D51&amp;$B51,[3]!装备基础属性表,W$30,FALSE)</f>
        <v>40.123456790123463</v>
      </c>
      <c r="AH51" s="15">
        <f>VLOOKUP($D51&amp;$B51,[3]!装备基础属性表,X$30,FALSE)</f>
        <v>0</v>
      </c>
      <c r="AI51" s="15">
        <f>VLOOKUP($D51&amp;$B51,[3]!装备基础属性表,Y$30,FALSE)</f>
        <v>0</v>
      </c>
      <c r="AJ51" s="16" t="str">
        <f>B51&amp;VLOOKUP(C51,定义数据!$E$1:$F$7,2,FALSE)&amp;D51</f>
        <v>2115</v>
      </c>
      <c r="AK51" s="14">
        <f t="shared" si="29"/>
        <v>5</v>
      </c>
      <c r="AL51" s="5">
        <f t="shared" si="30"/>
        <v>4</v>
      </c>
      <c r="AM51" s="5" t="str">
        <f t="array" aca="1" ref="AM51" ca="1">IF(AM$31&gt;$AL51,0,IF(ISERROR(OFFSET($E$31,0,SMALL(IF($E51:$X51&gt;0,COLUMN($A:$T),""),AM$31)-1)),0,OFFSET($E$31,0,SMALL(IF($E51:$X51&gt;0,COLUMN($A:$T),""),AM$31)-1)))</f>
        <v>生命</v>
      </c>
      <c r="AN51" s="5">
        <f t="array" aca="1" ref="AN51" ca="1">IF(AM$31&gt;$AL51,0,IF(ISERROR(INDEX($E51:$X51,,SMALL(IF($E51:$X51&gt;0,COLUMN($A:$T),""),AN$31))),0,INDEX($E51:$X51,,SMALL(IF($E51:$X51&gt;0,COLUMN($A:$T),""),AN$31))))</f>
        <v>917.23693978426911</v>
      </c>
      <c r="AO51" s="5" t="str">
        <f t="array" aca="1" ref="AO51" ca="1">IF(AO$31&gt;$AL51,0,IF(ISERROR(OFFSET($E$31,0,SMALL(IF($E51:$X51&gt;0,COLUMN($A:$T),""),AO$31)-1)),0,OFFSET($E$31,0,SMALL(IF($E51:$X51&gt;0,COLUMN($A:$T),""),AO$31)-1)))</f>
        <v>防御</v>
      </c>
      <c r="AP51" s="5">
        <f t="array" aca="1" ref="AP51" ca="1">IF(AO$31&gt;$AL51,0,IF(ISERROR(INDEX($E51:$X51,,SMALL(IF($E51:$X51&gt;0,COLUMN($A:$T),""),AP$31))),0,INDEX($E51:$X51,,SMALL(IF($E51:$X51&gt;0,COLUMN($A:$T),""),AP$31))))</f>
        <v>20.13210442980936</v>
      </c>
      <c r="AQ51" s="5" t="str">
        <f t="array" aca="1" ref="AQ51" ca="1">IF(AQ$31&gt;$AL51,0,IF(ISERROR(OFFSET($E$31,0,SMALL(IF($E51:$X51&gt;0,COLUMN($A:$T),""),AQ$31)-1)),0,OFFSET($E$31,0,SMALL(IF($E51:$X51&gt;0,COLUMN($A:$T),""),AQ$31)-1)))</f>
        <v>生命</v>
      </c>
      <c r="AR51" s="5">
        <f t="array" aca="1" ref="AR51" ca="1">IF(AQ$31&gt;$AL51,0,IF(ISERROR(INDEX($E51:$X51,,SMALL(IF($E51:$X51&gt;0,COLUMN($A:$T),""),AR$31))),0,INDEX($E51:$X51,,SMALL(IF($E51:$X51&gt;0,COLUMN($A:$T),""),AR$31))))</f>
        <v>113.23912836842828</v>
      </c>
      <c r="AS51" s="5" t="str">
        <f t="array" aca="1" ref="AS51" ca="1">IF(AS$31&gt;$AL51,0,IF(ISERROR(OFFSET($E$31,0,SMALL(IF($E51:$X51&gt;0,COLUMN($A:$T),""),AS$31)-1)),0,OFFSET($E$31,0,SMALL(IF($E51:$X51&gt;0,COLUMN($A:$T),""),AS$31)-1)))</f>
        <v>防御</v>
      </c>
      <c r="AT51" s="5">
        <f t="array" aca="1" ref="AT51" ca="1">IF(AS$31&gt;$AL51,0,IF(ISERROR(INDEX($E51:$X51,,SMALL(IF($E51:$X51&gt;0,COLUMN($A:$T),""),AT$31))),0,INDEX($E51:$X51,,SMALL(IF($E51:$X51&gt;0,COLUMN($A:$T),""),AT$31))))</f>
        <v>3.7281674870017336</v>
      </c>
      <c r="AU51" s="5">
        <f t="array" aca="1" ref="AU51" ca="1">IF(AU$31&gt;$AL51,0,IF(ISERROR(OFFSET($E$31,0,SMALL(IF($E51:$X51&gt;0,COLUMN($A:$T),""),AU$31)-1)),0,OFFSET($E$31,0,SMALL(IF($E51:$X51&gt;0,COLUMN($A:$T),""),AU$31)-1)))</f>
        <v>0</v>
      </c>
      <c r="AV51" s="5">
        <f t="array" ref="AV51">IF(AU$31&gt;$AL51,0,IF(ISERROR(INDEX($E51:$X51,,SMALL(IF($E51:$X51&gt;0,COLUMN($A:$T),""),AV$31))),0,INDEX($E51:$X51,,SMALL(IF($E51:$X51&gt;0,COLUMN($A:$T),""),AV$31))))</f>
        <v>0</v>
      </c>
      <c r="AW51" s="5">
        <f t="array" aca="1" ref="AW51" ca="1">IF(AW$31&gt;$AL51,0,IF(ISERROR(OFFSET($E$31,0,SMALL(IF($E51:$X51&gt;0,COLUMN($A:$T),""),AW$31)-1)),0,OFFSET($E$31,0,SMALL(IF($E51:$X51&gt;0,COLUMN($A:$T),""),AW$31)-1)))</f>
        <v>0</v>
      </c>
      <c r="AX51" s="5">
        <f t="array" ref="AX51">IF(AW$31&gt;$AL51,0,IF(ISERROR(INDEX($E51:$X51,,SMALL(IF($E51:$X51&gt;0,COLUMN($A:$T),""),AX$31))),0,INDEX($E51:$X51,,SMALL(IF($E51:$X51&gt;0,COLUMN($A:$T),""),AX$31))))</f>
        <v>0</v>
      </c>
      <c r="AY51" s="5">
        <f t="array" aca="1" ref="AY51" ca="1">IF(AY$31&gt;$AL51,0,IF(ISERROR(OFFSET($E$31,0,SMALL(IF($E51:$X51&gt;0,COLUMN($A:$T),""),AY$31)-1)),0,OFFSET($E$31,0,SMALL(IF($E51:$X51&gt;0,COLUMN($A:$T),""),AY$31)-1)))</f>
        <v>0</v>
      </c>
      <c r="AZ51" s="5">
        <f t="array" ref="AZ51">IF(AY$31&gt;$AL51,0,IF(ISERROR(INDEX($E51:$X51,,SMALL(IF($E51:$X51&gt;0,COLUMN($A:$T),""),AZ$31))),0,INDEX($E51:$X51,,SMALL(IF($E51:$X51&gt;0,COLUMN($A:$T),""),AZ$31))))</f>
        <v>0</v>
      </c>
      <c r="BA51" s="5">
        <f t="array" aca="1" ref="BA51" ca="1">IF(BA$31&gt;$AL51,0,IF(ISERROR(OFFSET($E$31,0,SMALL(IF($E51:$X51&gt;0,COLUMN($A:$T),""),BA$31)-1)),0,OFFSET($E$31,0,SMALL(IF($E51:$X51&gt;0,COLUMN($A:$T),""),BA$31)-1)))</f>
        <v>0</v>
      </c>
      <c r="BB51" s="5">
        <f t="array" ref="BB51">IF(BA$31&gt;$AL51,0,IF(ISERROR(INDEX($E51:$X51,,SMALL(IF($E51:$X51&gt;0,COLUMN($A:$T),""),BB$31))),0,INDEX($E51:$X51,,SMALL(IF($E51:$X51&gt;0,COLUMN($A:$T),""),BB$31))))</f>
        <v>0</v>
      </c>
      <c r="BC51" s="5">
        <f t="array" aca="1" ref="BC51" ca="1">IF(BC$31&gt;$AL51,0,IF(ISERROR(OFFSET($E$31,0,SMALL(IF($E51:$X51&gt;0,COLUMN($A:$T),""),BC$31)-1)),0,OFFSET($E$31,0,SMALL(IF($E51:$X51&gt;0,COLUMN($A:$T),""),BC$31)-1)))</f>
        <v>0</v>
      </c>
      <c r="BD51" s="5">
        <f t="array" ref="BD51">IF(BC$31&gt;$AL51,0,IF(ISERROR(INDEX($E51:$X51,,SMALL(IF($E51:$X51&gt;0,COLUMN($A:$T),""),BD$31))),0,INDEX($E51:$X51,,SMALL(IF($E51:$X51&gt;0,COLUMN($A:$T),""),BD$31))))</f>
        <v>0</v>
      </c>
      <c r="BE51" s="5">
        <f t="array" aca="1" ref="BE51" ca="1">IF(BE$31&gt;$AL51,0,IF(ISERROR(OFFSET($E$31,0,SMALL(IF($E51:$X51&gt;0,COLUMN($A:$T),""),BE$31)-1)),0,OFFSET($E$31,0,SMALL(IF($E51:$X51&gt;0,COLUMN($A:$T),""),BE$31)-1)))</f>
        <v>0</v>
      </c>
      <c r="BF51" s="5">
        <f t="array" ref="BF51">IF(BE$31&gt;$AL51,0,IF(ISERROR(INDEX($E51:$X51,,SMALL(IF($E51:$X51&gt;0,COLUMN($A:$T),""),BF$31))),0,INDEX($E51:$X51,,SMALL(IF($E51:$X51&gt;0,COLUMN($A:$T),""),BF$31))))</f>
        <v>0</v>
      </c>
      <c r="BH51">
        <f ca="1">SUMPRODUCT(E51:N51,定义数据!$G$14:$P$14)</f>
        <v>56.821582021180127</v>
      </c>
      <c r="BI51">
        <f ca="1">SUMPRODUCT(O51:X51,定义数据!$G$14:$P$14)</f>
        <v>9.6600474365536808</v>
      </c>
      <c r="BJ51" s="5">
        <f t="shared" ca="1" si="18"/>
        <v>66.481629457733803</v>
      </c>
      <c r="BK51" s="5" t="str">
        <f>D51&amp;B51&amp;VLOOKUP(C51,定义数据!$E$1:$F$7,2,FALSE)</f>
        <v>1521</v>
      </c>
    </row>
    <row r="52" spans="1:63" x14ac:dyDescent="0.15">
      <c r="A52" s="17" t="str">
        <f>D52&amp;B52&amp;VLOOKUP(C52,定义数据!$E$1:$F$7,2,FALSE)</f>
        <v>1522</v>
      </c>
      <c r="B52" s="18">
        <v>2</v>
      </c>
      <c r="C52" s="18" t="s">
        <v>137</v>
      </c>
      <c r="D52" s="24">
        <v>15</v>
      </c>
      <c r="E52" s="56">
        <f t="shared" ca="1" si="35"/>
        <v>0</v>
      </c>
      <c r="F52" s="56">
        <f t="shared" ca="1" si="36"/>
        <v>0</v>
      </c>
      <c r="G52" s="56">
        <f t="shared" ca="1" si="37"/>
        <v>13.421402953206242</v>
      </c>
      <c r="H52" s="56">
        <f t="shared" ca="1" si="38"/>
        <v>20.3125</v>
      </c>
      <c r="I52" s="56">
        <f t="shared" ca="1" si="39"/>
        <v>0</v>
      </c>
      <c r="J52" s="56">
        <f t="shared" ca="1" si="40"/>
        <v>0</v>
      </c>
      <c r="K52" s="56">
        <f t="shared" ca="1" si="41"/>
        <v>0</v>
      </c>
      <c r="L52" s="56">
        <f t="shared" ca="1" si="42"/>
        <v>0</v>
      </c>
      <c r="M52" s="56">
        <f t="shared" ca="1" si="43"/>
        <v>0</v>
      </c>
      <c r="N52" s="56">
        <f t="shared" ca="1" si="44"/>
        <v>0</v>
      </c>
      <c r="O52" s="65">
        <f t="shared" ca="1" si="54"/>
        <v>56.619564184214141</v>
      </c>
      <c r="P52" s="65">
        <f t="shared" ca="1" si="45"/>
        <v>0</v>
      </c>
      <c r="Q52" s="65">
        <f t="shared" ca="1" si="46"/>
        <v>1.2427224956672445</v>
      </c>
      <c r="R52" s="65">
        <f t="shared" ca="1" si="47"/>
        <v>2.7083333333333335</v>
      </c>
      <c r="S52" s="65">
        <f t="shared" ca="1" si="48"/>
        <v>0</v>
      </c>
      <c r="T52" s="65">
        <f t="shared" ca="1" si="49"/>
        <v>0</v>
      </c>
      <c r="U52" s="65">
        <f t="shared" ca="1" si="50"/>
        <v>0</v>
      </c>
      <c r="V52" s="65">
        <f t="shared" ca="1" si="51"/>
        <v>2.6748971193415643</v>
      </c>
      <c r="W52" s="65">
        <f t="shared" ca="1" si="52"/>
        <v>0</v>
      </c>
      <c r="X52" s="65">
        <f t="shared" ca="1" si="53"/>
        <v>0</v>
      </c>
      <c r="Y52" s="21" t="s">
        <v>96</v>
      </c>
      <c r="Z52" s="15">
        <f>VLOOKUP($D52&amp;$B52,[3]!装备基础属性表,P$30,FALSE)</f>
        <v>1698.5869255264242</v>
      </c>
      <c r="AA52" s="15">
        <f>VLOOKUP($D52&amp;$B52,[3]!装备基础属性表,Q$30,FALSE)</f>
        <v>86.276175401069551</v>
      </c>
      <c r="AB52" s="15">
        <f>VLOOKUP($D52&amp;$B52,[3]!装备基础属性表,R$30,FALSE)</f>
        <v>37.281674870017333</v>
      </c>
      <c r="AC52" s="15">
        <f>VLOOKUP($D52&amp;$B52,[3]!装备基础属性表,S$30,FALSE)</f>
        <v>67.708333333333329</v>
      </c>
      <c r="AD52" s="15">
        <f>VLOOKUP($D52&amp;$B52,[3]!装备基础属性表,T$30,FALSE)</f>
        <v>67.708333333333329</v>
      </c>
      <c r="AE52" s="15">
        <f>VLOOKUP($D52&amp;$B52,[3]!装备基础属性表,U$30,FALSE)</f>
        <v>40.123456790123463</v>
      </c>
      <c r="AF52" s="15">
        <f>VLOOKUP($D52&amp;$B52,[3]!装备基础属性表,V$30,FALSE)</f>
        <v>0</v>
      </c>
      <c r="AG52" s="15">
        <f>VLOOKUP($D52&amp;$B52,[3]!装备基础属性表,W$30,FALSE)</f>
        <v>40.123456790123463</v>
      </c>
      <c r="AH52" s="15">
        <f>VLOOKUP($D52&amp;$B52,[3]!装备基础属性表,X$30,FALSE)</f>
        <v>0</v>
      </c>
      <c r="AI52" s="15">
        <f>VLOOKUP($D52&amp;$B52,[3]!装备基础属性表,Y$30,FALSE)</f>
        <v>0</v>
      </c>
      <c r="AJ52" s="16" t="str">
        <f>B52&amp;VLOOKUP(C52,定义数据!$E$1:$F$7,2,FALSE)&amp;D52</f>
        <v>2215</v>
      </c>
      <c r="AK52" s="14">
        <f t="shared" si="29"/>
        <v>5</v>
      </c>
      <c r="AL52" s="5">
        <f t="shared" si="30"/>
        <v>4</v>
      </c>
      <c r="AM52" s="5" t="str">
        <f t="array" aca="1" ref="AM52" ca="1">IF(AM$31&gt;$AL52,0,IF(ISERROR(OFFSET($E$31,0,SMALL(IF($E52:$X52&gt;0,COLUMN($A:$T),""),AM$31)-1)),0,OFFSET($E$31,0,SMALL(IF($E52:$X52&gt;0,COLUMN($A:$T),""),AM$31)-1)))</f>
        <v>防御</v>
      </c>
      <c r="AN52" s="5">
        <f t="array" aca="1" ref="AN52" ca="1">IF(AM$31&gt;$AL52,0,IF(ISERROR(INDEX($E52:$X52,,SMALL(IF($E52:$X52&gt;0,COLUMN($A:$T),""),AN$31))),0,INDEX($E52:$X52,,SMALL(IF($E52:$X52&gt;0,COLUMN($A:$T),""),AN$31))))</f>
        <v>13.421402953206242</v>
      </c>
      <c r="AO52" s="5" t="str">
        <f t="array" aca="1" ref="AO52" ca="1">IF(AO$31&gt;$AL52,0,IF(ISERROR(OFFSET($E$31,0,SMALL(IF($E52:$X52&gt;0,COLUMN($A:$T),""),AO$31)-1)),0,OFFSET($E$31,0,SMALL(IF($E52:$X52&gt;0,COLUMN($A:$T),""),AO$31)-1)))</f>
        <v>闪避值</v>
      </c>
      <c r="AP52" s="5">
        <f t="array" aca="1" ref="AP52" ca="1">IF(AO$31&gt;$AL52,0,IF(ISERROR(INDEX($E52:$X52,,SMALL(IF($E52:$X52&gt;0,COLUMN($A:$T),""),AP$31))),0,INDEX($E52:$X52,,SMALL(IF($E52:$X52&gt;0,COLUMN($A:$T),""),AP$31))))</f>
        <v>20.3125</v>
      </c>
      <c r="AQ52" s="5" t="str">
        <f t="array" aca="1" ref="AQ52" ca="1">IF(AQ$31&gt;$AL52,0,IF(ISERROR(OFFSET($E$31,0,SMALL(IF($E52:$X52&gt;0,COLUMN($A:$T),""),AQ$31)-1)),0,OFFSET($E$31,0,SMALL(IF($E52:$X52&gt;0,COLUMN($A:$T),""),AQ$31)-1)))</f>
        <v>生命</v>
      </c>
      <c r="AR52" s="5">
        <f t="array" aca="1" ref="AR52" ca="1">IF(AQ$31&gt;$AL52,0,IF(ISERROR(INDEX($E52:$X52,,SMALL(IF($E52:$X52&gt;0,COLUMN($A:$T),""),AR$31))),0,INDEX($E52:$X52,,SMALL(IF($E52:$X52&gt;0,COLUMN($A:$T),""),AR$31))))</f>
        <v>56.619564184214141</v>
      </c>
      <c r="AS52" s="5" t="str">
        <f t="array" aca="1" ref="AS52" ca="1">IF(AS$31&gt;$AL52,0,IF(ISERROR(OFFSET($E$31,0,SMALL(IF($E52:$X52&gt;0,COLUMN($A:$T),""),AS$31)-1)),0,OFFSET($E$31,0,SMALL(IF($E52:$X52&gt;0,COLUMN($A:$T),""),AS$31)-1)))</f>
        <v>防御</v>
      </c>
      <c r="AT52" s="5">
        <f t="array" aca="1" ref="AT52" ca="1">IF(AS$31&gt;$AL52,0,IF(ISERROR(INDEX($E52:$X52,,SMALL(IF($E52:$X52&gt;0,COLUMN($A:$T),""),AT$31))),0,INDEX($E52:$X52,,SMALL(IF($E52:$X52&gt;0,COLUMN($A:$T),""),AT$31))))</f>
        <v>1.2427224956672445</v>
      </c>
      <c r="AU52" s="5">
        <f t="array" aca="1" ref="AU52" ca="1">IF(AU$31&gt;$AL52,0,IF(ISERROR(OFFSET($E$31,0,SMALL(IF($E52:$X52&gt;0,COLUMN($A:$T),""),AU$31)-1)),0,OFFSET($E$31,0,SMALL(IF($E52:$X52&gt;0,COLUMN($A:$T),""),AU$31)-1)))</f>
        <v>0</v>
      </c>
      <c r="AV52" s="5">
        <f t="array" ref="AV52">IF(AU$31&gt;$AL52,0,IF(ISERROR(INDEX($E52:$X52,,SMALL(IF($E52:$X52&gt;0,COLUMN($A:$T),""),AV$31))),0,INDEX($E52:$X52,,SMALL(IF($E52:$X52&gt;0,COLUMN($A:$T),""),AV$31))))</f>
        <v>0</v>
      </c>
      <c r="AW52" s="5">
        <f t="array" aca="1" ref="AW52" ca="1">IF(AW$31&gt;$AL52,0,IF(ISERROR(OFFSET($E$31,0,SMALL(IF($E52:$X52&gt;0,COLUMN($A:$T),""),AW$31)-1)),0,OFFSET($E$31,0,SMALL(IF($E52:$X52&gt;0,COLUMN($A:$T),""),AW$31)-1)))</f>
        <v>0</v>
      </c>
      <c r="AX52" s="5">
        <f t="array" ref="AX52">IF(AW$31&gt;$AL52,0,IF(ISERROR(INDEX($E52:$X52,,SMALL(IF($E52:$X52&gt;0,COLUMN($A:$T),""),AX$31))),0,INDEX($E52:$X52,,SMALL(IF($E52:$X52&gt;0,COLUMN($A:$T),""),AX$31))))</f>
        <v>0</v>
      </c>
      <c r="AY52" s="5">
        <f t="array" aca="1" ref="AY52" ca="1">IF(AY$31&gt;$AL52,0,IF(ISERROR(OFFSET($E$31,0,SMALL(IF($E52:$X52&gt;0,COLUMN($A:$T),""),AY$31)-1)),0,OFFSET($E$31,0,SMALL(IF($E52:$X52&gt;0,COLUMN($A:$T),""),AY$31)-1)))</f>
        <v>0</v>
      </c>
      <c r="AZ52" s="5">
        <f t="array" ref="AZ52">IF(AY$31&gt;$AL52,0,IF(ISERROR(INDEX($E52:$X52,,SMALL(IF($E52:$X52&gt;0,COLUMN($A:$T),""),AZ$31))),0,INDEX($E52:$X52,,SMALL(IF($E52:$X52&gt;0,COLUMN($A:$T),""),AZ$31))))</f>
        <v>0</v>
      </c>
      <c r="BA52" s="5">
        <f t="array" aca="1" ref="BA52" ca="1">IF(BA$31&gt;$AL52,0,IF(ISERROR(OFFSET($E$31,0,SMALL(IF($E52:$X52&gt;0,COLUMN($A:$T),""),BA$31)-1)),0,OFFSET($E$31,0,SMALL(IF($E52:$X52&gt;0,COLUMN($A:$T),""),BA$31)-1)))</f>
        <v>0</v>
      </c>
      <c r="BB52" s="5">
        <f t="array" ref="BB52">IF(BA$31&gt;$AL52,0,IF(ISERROR(INDEX($E52:$X52,,SMALL(IF($E52:$X52&gt;0,COLUMN($A:$T),""),BB$31))),0,INDEX($E52:$X52,,SMALL(IF($E52:$X52&gt;0,COLUMN($A:$T),""),BB$31))))</f>
        <v>0</v>
      </c>
      <c r="BC52" s="5">
        <f t="array" aca="1" ref="BC52" ca="1">IF(BC$31&gt;$AL52,0,IF(ISERROR(OFFSET($E$31,0,SMALL(IF($E52:$X52&gt;0,COLUMN($A:$T),""),BC$31)-1)),0,OFFSET($E$31,0,SMALL(IF($E52:$X52&gt;0,COLUMN($A:$T),""),BC$31)-1)))</f>
        <v>0</v>
      </c>
      <c r="BD52" s="5">
        <f t="array" ref="BD52">IF(BC$31&gt;$AL52,0,IF(ISERROR(INDEX($E52:$X52,,SMALL(IF($E52:$X52&gt;0,COLUMN($A:$T),""),BD$31))),0,INDEX($E52:$X52,,SMALL(IF($E52:$X52&gt;0,COLUMN($A:$T),""),BD$31))))</f>
        <v>0</v>
      </c>
      <c r="BE52" s="5">
        <f t="array" aca="1" ref="BE52" ca="1">IF(BE$31&gt;$AL52,0,IF(ISERROR(OFFSET($E$31,0,SMALL(IF($E52:$X52&gt;0,COLUMN($A:$T),""),BE$31)-1)),0,OFFSET($E$31,0,SMALL(IF($E52:$X52&gt;0,COLUMN($A:$T),""),BE$31)-1)))</f>
        <v>0</v>
      </c>
      <c r="BF52" s="5">
        <f t="array" ref="BF52">IF(BE$31&gt;$AL52,0,IF(ISERROR(INDEX($E52:$X52,,SMALL(IF($E52:$X52&gt;0,COLUMN($A:$T),""),BF$31))),0,INDEX($E52:$X52,,SMALL(IF($E52:$X52&gt;0,COLUMN($A:$T),""),BF$31))))</f>
        <v>0</v>
      </c>
      <c r="BH52">
        <f ca="1">SUMPRODUCT(E52:N52,定义数据!$G$14:$P$14)</f>
        <v>20.327652953206243</v>
      </c>
      <c r="BI52">
        <f ca="1">SUMPRODUCT(O52:X52,定义数据!$G$14:$P$14)</f>
        <v>4.9098198778506257</v>
      </c>
      <c r="BJ52" s="5">
        <f t="shared" ca="1" si="18"/>
        <v>25.23747283105687</v>
      </c>
      <c r="BK52" s="5" t="str">
        <f>D52&amp;B52&amp;VLOOKUP(C52,定义数据!$E$1:$F$7,2,FALSE)</f>
        <v>1522</v>
      </c>
    </row>
    <row r="53" spans="1:63" x14ac:dyDescent="0.15">
      <c r="A53" s="17" t="str">
        <f>D53&amp;B53&amp;VLOOKUP(C53,定义数据!$E$1:$F$7,2,FALSE)</f>
        <v>1525</v>
      </c>
      <c r="B53" s="18">
        <v>2</v>
      </c>
      <c r="C53" s="18" t="s">
        <v>138</v>
      </c>
      <c r="D53" s="24">
        <v>15</v>
      </c>
      <c r="E53" s="56">
        <f t="shared" ca="1" si="35"/>
        <v>305.74564659475635</v>
      </c>
      <c r="F53" s="56">
        <f t="shared" ca="1" si="36"/>
        <v>0</v>
      </c>
      <c r="G53" s="56">
        <f t="shared" ca="1" si="37"/>
        <v>0</v>
      </c>
      <c r="H53" s="56">
        <f t="shared" ca="1" si="38"/>
        <v>40.625</v>
      </c>
      <c r="I53" s="56">
        <f t="shared" ca="1" si="39"/>
        <v>0</v>
      </c>
      <c r="J53" s="56">
        <f t="shared" ca="1" si="40"/>
        <v>0</v>
      </c>
      <c r="K53" s="56">
        <f t="shared" ca="1" si="41"/>
        <v>0</v>
      </c>
      <c r="L53" s="56">
        <f t="shared" ca="1" si="42"/>
        <v>0</v>
      </c>
      <c r="M53" s="56">
        <f t="shared" ca="1" si="43"/>
        <v>0</v>
      </c>
      <c r="N53" s="56">
        <f t="shared" ca="1" si="44"/>
        <v>0</v>
      </c>
      <c r="O53" s="65">
        <f t="shared" ca="1" si="54"/>
        <v>56.619564184214141</v>
      </c>
      <c r="P53" s="65">
        <f t="shared" ca="1" si="45"/>
        <v>0</v>
      </c>
      <c r="Q53" s="65">
        <f t="shared" ca="1" si="46"/>
        <v>0</v>
      </c>
      <c r="R53" s="65">
        <f t="shared" ca="1" si="47"/>
        <v>5.416666666666667</v>
      </c>
      <c r="S53" s="65">
        <f t="shared" ca="1" si="48"/>
        <v>4.5138888888888884</v>
      </c>
      <c r="T53" s="65">
        <f t="shared" ca="1" si="49"/>
        <v>1.6049382716049387</v>
      </c>
      <c r="U53" s="65">
        <f t="shared" ca="1" si="50"/>
        <v>0</v>
      </c>
      <c r="V53" s="65">
        <f t="shared" ca="1" si="51"/>
        <v>0</v>
      </c>
      <c r="W53" s="65">
        <f t="shared" ca="1" si="52"/>
        <v>0</v>
      </c>
      <c r="X53" s="65">
        <f t="shared" ca="1" si="53"/>
        <v>0</v>
      </c>
      <c r="Y53" s="21"/>
      <c r="Z53" s="15">
        <f>VLOOKUP($D53&amp;$B53,[3]!装备基础属性表,P$30,FALSE)</f>
        <v>1698.5869255264242</v>
      </c>
      <c r="AA53" s="15">
        <f>VLOOKUP($D53&amp;$B53,[3]!装备基础属性表,Q$30,FALSE)</f>
        <v>86.276175401069551</v>
      </c>
      <c r="AB53" s="15">
        <f>VLOOKUP($D53&amp;$B53,[3]!装备基础属性表,R$30,FALSE)</f>
        <v>37.281674870017333</v>
      </c>
      <c r="AC53" s="15">
        <f>VLOOKUP($D53&amp;$B53,[3]!装备基础属性表,S$30,FALSE)</f>
        <v>67.708333333333329</v>
      </c>
      <c r="AD53" s="15">
        <f>VLOOKUP($D53&amp;$B53,[3]!装备基础属性表,T$30,FALSE)</f>
        <v>67.708333333333329</v>
      </c>
      <c r="AE53" s="15">
        <f>VLOOKUP($D53&amp;$B53,[3]!装备基础属性表,U$30,FALSE)</f>
        <v>40.123456790123463</v>
      </c>
      <c r="AF53" s="15">
        <f>VLOOKUP($D53&amp;$B53,[3]!装备基础属性表,V$30,FALSE)</f>
        <v>0</v>
      </c>
      <c r="AG53" s="15">
        <f>VLOOKUP($D53&amp;$B53,[3]!装备基础属性表,W$30,FALSE)</f>
        <v>40.123456790123463</v>
      </c>
      <c r="AH53" s="15">
        <f>VLOOKUP($D53&amp;$B53,[3]!装备基础属性表,X$30,FALSE)</f>
        <v>0</v>
      </c>
      <c r="AI53" s="15">
        <f>VLOOKUP($D53&amp;$B53,[3]!装备基础属性表,Y$30,FALSE)</f>
        <v>0</v>
      </c>
      <c r="AJ53" s="16" t="str">
        <f>B53&amp;VLOOKUP(C53,定义数据!$E$1:$F$7,2,FALSE)&amp;D53</f>
        <v>2515</v>
      </c>
      <c r="AK53" s="14">
        <f t="shared" si="29"/>
        <v>5</v>
      </c>
      <c r="AL53" s="5">
        <f t="shared" si="30"/>
        <v>4</v>
      </c>
      <c r="AM53" s="5" t="str">
        <f t="array" aca="1" ref="AM53" ca="1">IF(AM$31&gt;$AL53,0,IF(ISERROR(OFFSET($E$31,0,SMALL(IF($E53:$X53&gt;0,COLUMN($A:$T),""),AM$31)-1)),0,OFFSET($E$31,0,SMALL(IF($E53:$X53&gt;0,COLUMN($A:$T),""),AM$31)-1)))</f>
        <v>生命</v>
      </c>
      <c r="AN53" s="5">
        <f t="array" aca="1" ref="AN53" ca="1">IF(AM$31&gt;$AL53,0,IF(ISERROR(INDEX($E53:$X53,,SMALL(IF($E53:$X53&gt;0,COLUMN($A:$T),""),AN$31))),0,INDEX($E53:$X53,,SMALL(IF($E53:$X53&gt;0,COLUMN($A:$T),""),AN$31))))</f>
        <v>305.74564659475635</v>
      </c>
      <c r="AO53" s="5" t="str">
        <f t="array" aca="1" ref="AO53" ca="1">IF(AO$31&gt;$AL53,0,IF(ISERROR(OFFSET($E$31,0,SMALL(IF($E53:$X53&gt;0,COLUMN($A:$T),""),AO$31)-1)),0,OFFSET($E$31,0,SMALL(IF($E53:$X53&gt;0,COLUMN($A:$T),""),AO$31)-1)))</f>
        <v>闪避值</v>
      </c>
      <c r="AP53" s="5">
        <f t="array" aca="1" ref="AP53" ca="1">IF(AO$31&gt;$AL53,0,IF(ISERROR(INDEX($E53:$X53,,SMALL(IF($E53:$X53&gt;0,COLUMN($A:$T),""),AP$31))),0,INDEX($E53:$X53,,SMALL(IF($E53:$X53&gt;0,COLUMN($A:$T),""),AP$31))))</f>
        <v>40.625</v>
      </c>
      <c r="AQ53" s="5" t="str">
        <f t="array" aca="1" ref="AQ53" ca="1">IF(AQ$31&gt;$AL53,0,IF(ISERROR(OFFSET($E$31,0,SMALL(IF($E53:$X53&gt;0,COLUMN($A:$T),""),AQ$31)-1)),0,OFFSET($E$31,0,SMALL(IF($E53:$X53&gt;0,COLUMN($A:$T),""),AQ$31)-1)))</f>
        <v>生命</v>
      </c>
      <c r="AR53" s="5">
        <f t="array" aca="1" ref="AR53" ca="1">IF(AQ$31&gt;$AL53,0,IF(ISERROR(INDEX($E53:$X53,,SMALL(IF($E53:$X53&gt;0,COLUMN($A:$T),""),AR$31))),0,INDEX($E53:$X53,,SMALL(IF($E53:$X53&gt;0,COLUMN($A:$T),""),AR$31))))</f>
        <v>56.619564184214141</v>
      </c>
      <c r="AS53" s="5" t="str">
        <f t="array" aca="1" ref="AS53" ca="1">IF(AS$31&gt;$AL53,0,IF(ISERROR(OFFSET($E$31,0,SMALL(IF($E53:$X53&gt;0,COLUMN($A:$T),""),AS$31)-1)),0,OFFSET($E$31,0,SMALL(IF($E53:$X53&gt;0,COLUMN($A:$T),""),AS$31)-1)))</f>
        <v>闪避值</v>
      </c>
      <c r="AT53" s="5">
        <f t="array" aca="1" ref="AT53" ca="1">IF(AS$31&gt;$AL53,0,IF(ISERROR(INDEX($E53:$X53,,SMALL(IF($E53:$X53&gt;0,COLUMN($A:$T),""),AT$31))),0,INDEX($E53:$X53,,SMALL(IF($E53:$X53&gt;0,COLUMN($A:$T),""),AT$31))))</f>
        <v>5.416666666666667</v>
      </c>
      <c r="AU53" s="5">
        <f t="array" aca="1" ref="AU53" ca="1">IF(AU$31&gt;$AL53,0,IF(ISERROR(OFFSET($E$31,0,SMALL(IF($E53:$X53&gt;0,COLUMN($A:$T),""),AU$31)-1)),0,OFFSET($E$31,0,SMALL(IF($E53:$X53&gt;0,COLUMN($A:$T),""),AU$31)-1)))</f>
        <v>0</v>
      </c>
      <c r="AV53" s="5">
        <f t="array" ref="AV53">IF(AU$31&gt;$AL53,0,IF(ISERROR(INDEX($E53:$X53,,SMALL(IF($E53:$X53&gt;0,COLUMN($A:$T),""),AV$31))),0,INDEX($E53:$X53,,SMALL(IF($E53:$X53&gt;0,COLUMN($A:$T),""),AV$31))))</f>
        <v>0</v>
      </c>
      <c r="AW53" s="5">
        <f t="array" aca="1" ref="AW53" ca="1">IF(AW$31&gt;$AL53,0,IF(ISERROR(OFFSET($E$31,0,SMALL(IF($E53:$X53&gt;0,COLUMN($A:$T),""),AW$31)-1)),0,OFFSET($E$31,0,SMALL(IF($E53:$X53&gt;0,COLUMN($A:$T),""),AW$31)-1)))</f>
        <v>0</v>
      </c>
      <c r="AX53" s="5">
        <f t="array" ref="AX53">IF(AW$31&gt;$AL53,0,IF(ISERROR(INDEX($E53:$X53,,SMALL(IF($E53:$X53&gt;0,COLUMN($A:$T),""),AX$31))),0,INDEX($E53:$X53,,SMALL(IF($E53:$X53&gt;0,COLUMN($A:$T),""),AX$31))))</f>
        <v>0</v>
      </c>
      <c r="AY53" s="5">
        <f t="array" aca="1" ref="AY53" ca="1">IF(AY$31&gt;$AL53,0,IF(ISERROR(OFFSET($E$31,0,SMALL(IF($E53:$X53&gt;0,COLUMN($A:$T),""),AY$31)-1)),0,OFFSET($E$31,0,SMALL(IF($E53:$X53&gt;0,COLUMN($A:$T),""),AY$31)-1)))</f>
        <v>0</v>
      </c>
      <c r="AZ53" s="5">
        <f t="array" ref="AZ53">IF(AY$31&gt;$AL53,0,IF(ISERROR(INDEX($E53:$X53,,SMALL(IF($E53:$X53&gt;0,COLUMN($A:$T),""),AZ$31))),0,INDEX($E53:$X53,,SMALL(IF($E53:$X53&gt;0,COLUMN($A:$T),""),AZ$31))))</f>
        <v>0</v>
      </c>
      <c r="BA53" s="5">
        <f t="array" aca="1" ref="BA53" ca="1">IF(BA$31&gt;$AL53,0,IF(ISERROR(OFFSET($E$31,0,SMALL(IF($E53:$X53&gt;0,COLUMN($A:$T),""),BA$31)-1)),0,OFFSET($E$31,0,SMALL(IF($E53:$X53&gt;0,COLUMN($A:$T),""),BA$31)-1)))</f>
        <v>0</v>
      </c>
      <c r="BB53" s="5">
        <f t="array" ref="BB53">IF(BA$31&gt;$AL53,0,IF(ISERROR(INDEX($E53:$X53,,SMALL(IF($E53:$X53&gt;0,COLUMN($A:$T),""),BB$31))),0,INDEX($E53:$X53,,SMALL(IF($E53:$X53&gt;0,COLUMN($A:$T),""),BB$31))))</f>
        <v>0</v>
      </c>
      <c r="BC53" s="5">
        <f t="array" aca="1" ref="BC53" ca="1">IF(BC$31&gt;$AL53,0,IF(ISERROR(OFFSET($E$31,0,SMALL(IF($E53:$X53&gt;0,COLUMN($A:$T),""),BC$31)-1)),0,OFFSET($E$31,0,SMALL(IF($E53:$X53&gt;0,COLUMN($A:$T),""),BC$31)-1)))</f>
        <v>0</v>
      </c>
      <c r="BD53" s="5">
        <f t="array" ref="BD53">IF(BC$31&gt;$AL53,0,IF(ISERROR(INDEX($E53:$X53,,SMALL(IF($E53:$X53&gt;0,COLUMN($A:$T),""),BD$31))),0,INDEX($E53:$X53,,SMALL(IF($E53:$X53&gt;0,COLUMN($A:$T),""),BD$31))))</f>
        <v>0</v>
      </c>
      <c r="BE53" s="5">
        <f t="array" aca="1" ref="BE53" ca="1">IF(BE$31&gt;$AL53,0,IF(ISERROR(OFFSET($E$31,0,SMALL(IF($E53:$X53&gt;0,COLUMN($A:$T),""),BE$31)-1)),0,OFFSET($E$31,0,SMALL(IF($E53:$X53&gt;0,COLUMN($A:$T),""),BE$31)-1)))</f>
        <v>0</v>
      </c>
      <c r="BF53" s="5">
        <f t="array" ref="BF53">IF(BE$31&gt;$AL53,0,IF(ISERROR(INDEX($E53:$X53,,SMALL(IF($E53:$X53&gt;0,COLUMN($A:$T),""),BF$31))),0,INDEX($E53:$X53,,SMALL(IF($E53:$X53&gt;0,COLUMN($A:$T),""),BF$31))))</f>
        <v>0</v>
      </c>
      <c r="BH53">
        <f ca="1">SUMPRODUCT(E53:N53,定义数据!$G$14:$P$14)</f>
        <v>26.042325863790253</v>
      </c>
      <c r="BI53">
        <f ca="1">SUMPRODUCT(O53:X53,定义数据!$G$14:$P$14)</f>
        <v>5.9300603451463436</v>
      </c>
      <c r="BJ53" s="5">
        <f t="shared" ca="1" si="18"/>
        <v>31.972386208936598</v>
      </c>
      <c r="BK53" s="5" t="str">
        <f>D53&amp;B53&amp;VLOOKUP(C53,定义数据!$E$1:$F$7,2,FALSE)</f>
        <v>1525</v>
      </c>
    </row>
    <row r="54" spans="1:63" x14ac:dyDescent="0.15">
      <c r="A54" s="17" t="str">
        <f>D54&amp;B54&amp;VLOOKUP(C54,定义数据!$E$1:$F$7,2,FALSE)</f>
        <v>1524</v>
      </c>
      <c r="B54" s="18">
        <v>2</v>
      </c>
      <c r="C54" s="18" t="s">
        <v>139</v>
      </c>
      <c r="D54" s="24">
        <v>15</v>
      </c>
      <c r="E54" s="56">
        <f t="shared" ca="1" si="35"/>
        <v>305.74564659475635</v>
      </c>
      <c r="F54" s="56">
        <f t="shared" ca="1" si="36"/>
        <v>0</v>
      </c>
      <c r="G54" s="56">
        <f t="shared" ca="1" si="37"/>
        <v>0</v>
      </c>
      <c r="H54" s="56">
        <f t="shared" ca="1" si="38"/>
        <v>0</v>
      </c>
      <c r="I54" s="56">
        <f t="shared" ca="1" si="39"/>
        <v>0</v>
      </c>
      <c r="J54" s="56">
        <f t="shared" ca="1" si="40"/>
        <v>0</v>
      </c>
      <c r="K54" s="56">
        <f t="shared" ca="1" si="41"/>
        <v>0</v>
      </c>
      <c r="L54" s="56">
        <f t="shared" ca="1" si="42"/>
        <v>36.111111111111114</v>
      </c>
      <c r="M54" s="56">
        <f t="shared" ca="1" si="43"/>
        <v>0</v>
      </c>
      <c r="N54" s="56">
        <f t="shared" ca="1" si="44"/>
        <v>0</v>
      </c>
      <c r="O54" s="65">
        <f t="shared" ca="1" si="54"/>
        <v>113.23912836842828</v>
      </c>
      <c r="P54" s="65">
        <f t="shared" ca="1" si="45"/>
        <v>3.4510470160427822</v>
      </c>
      <c r="Q54" s="65">
        <f t="shared" ca="1" si="46"/>
        <v>1.2427224956672445</v>
      </c>
      <c r="R54" s="65">
        <f t="shared" ca="1" si="47"/>
        <v>0</v>
      </c>
      <c r="S54" s="65">
        <f t="shared" ca="1" si="48"/>
        <v>0</v>
      </c>
      <c r="T54" s="65">
        <f t="shared" ca="1" si="49"/>
        <v>0</v>
      </c>
      <c r="U54" s="65">
        <f t="shared" ca="1" si="50"/>
        <v>0</v>
      </c>
      <c r="V54" s="65">
        <f t="shared" ca="1" si="51"/>
        <v>2.6748971193415643</v>
      </c>
      <c r="W54" s="65">
        <f t="shared" ca="1" si="52"/>
        <v>0</v>
      </c>
      <c r="X54" s="65">
        <f t="shared" ca="1" si="53"/>
        <v>0</v>
      </c>
      <c r="Y54" s="21"/>
      <c r="Z54" s="15">
        <f>VLOOKUP($D54&amp;$B54,[3]!装备基础属性表,P$30,FALSE)</f>
        <v>1698.5869255264242</v>
      </c>
      <c r="AA54" s="15">
        <f>VLOOKUP($D54&amp;$B54,[3]!装备基础属性表,Q$30,FALSE)</f>
        <v>86.276175401069551</v>
      </c>
      <c r="AB54" s="15">
        <f>VLOOKUP($D54&amp;$B54,[3]!装备基础属性表,R$30,FALSE)</f>
        <v>37.281674870017333</v>
      </c>
      <c r="AC54" s="15">
        <f>VLOOKUP($D54&amp;$B54,[3]!装备基础属性表,S$30,FALSE)</f>
        <v>67.708333333333329</v>
      </c>
      <c r="AD54" s="15">
        <f>VLOOKUP($D54&amp;$B54,[3]!装备基础属性表,T$30,FALSE)</f>
        <v>67.708333333333329</v>
      </c>
      <c r="AE54" s="15">
        <f>VLOOKUP($D54&amp;$B54,[3]!装备基础属性表,U$30,FALSE)</f>
        <v>40.123456790123463</v>
      </c>
      <c r="AF54" s="15">
        <f>VLOOKUP($D54&amp;$B54,[3]!装备基础属性表,V$30,FALSE)</f>
        <v>0</v>
      </c>
      <c r="AG54" s="15">
        <f>VLOOKUP($D54&amp;$B54,[3]!装备基础属性表,W$30,FALSE)</f>
        <v>40.123456790123463</v>
      </c>
      <c r="AH54" s="15">
        <f>VLOOKUP($D54&amp;$B54,[3]!装备基础属性表,X$30,FALSE)</f>
        <v>0</v>
      </c>
      <c r="AI54" s="15">
        <f>VLOOKUP($D54&amp;$B54,[3]!装备基础属性表,Y$30,FALSE)</f>
        <v>0</v>
      </c>
      <c r="AJ54" s="16" t="str">
        <f>B54&amp;VLOOKUP(C54,定义数据!$E$1:$F$7,2,FALSE)&amp;D54</f>
        <v>2415</v>
      </c>
      <c r="AK54" s="14">
        <f t="shared" si="29"/>
        <v>5</v>
      </c>
      <c r="AL54" s="5">
        <f t="shared" si="30"/>
        <v>4</v>
      </c>
      <c r="AM54" s="5" t="str">
        <f t="array" aca="1" ref="AM54" ca="1">IF(AM$31&gt;$AL54,0,IF(ISERROR(OFFSET($E$31,0,SMALL(IF($E54:$X54&gt;0,COLUMN($A:$T),""),AM$31)-1)),0,OFFSET($E$31,0,SMALL(IF($E54:$X54&gt;0,COLUMN($A:$T),""),AM$31)-1)))</f>
        <v>生命</v>
      </c>
      <c r="AN54" s="5">
        <f t="array" aca="1" ref="AN54" ca="1">IF(AM$31&gt;$AL54,0,IF(ISERROR(INDEX($E54:$X54,,SMALL(IF($E54:$X54&gt;0,COLUMN($A:$T),""),AN$31))),0,INDEX($E54:$X54,,SMALL(IF($E54:$X54&gt;0,COLUMN($A:$T),""),AN$31))))</f>
        <v>305.74564659475635</v>
      </c>
      <c r="AO54" s="5" t="str">
        <f t="array" aca="1" ref="AO54" ca="1">IF(AO$31&gt;$AL54,0,IF(ISERROR(OFFSET($E$31,0,SMALL(IF($E54:$X54&gt;0,COLUMN($A:$T),""),AO$31)-1)),0,OFFSET($E$31,0,SMALL(IF($E54:$X54&gt;0,COLUMN($A:$T),""),AO$31)-1)))</f>
        <v>韧性值</v>
      </c>
      <c r="AP54" s="5">
        <f t="array" aca="1" ref="AP54" ca="1">IF(AO$31&gt;$AL54,0,IF(ISERROR(INDEX($E54:$X54,,SMALL(IF($E54:$X54&gt;0,COLUMN($A:$T),""),AP$31))),0,INDEX($E54:$X54,,SMALL(IF($E54:$X54&gt;0,COLUMN($A:$T),""),AP$31))))</f>
        <v>36.111111111111114</v>
      </c>
      <c r="AQ54" s="5" t="str">
        <f t="array" aca="1" ref="AQ54" ca="1">IF(AQ$31&gt;$AL54,0,IF(ISERROR(OFFSET($E$31,0,SMALL(IF($E54:$X54&gt;0,COLUMN($A:$T),""),AQ$31)-1)),0,OFFSET($E$31,0,SMALL(IF($E54:$X54&gt;0,COLUMN($A:$T),""),AQ$31)-1)))</f>
        <v>生命</v>
      </c>
      <c r="AR54" s="5">
        <f t="array" aca="1" ref="AR54" ca="1">IF(AQ$31&gt;$AL54,0,IF(ISERROR(INDEX($E54:$X54,,SMALL(IF($E54:$X54&gt;0,COLUMN($A:$T),""),AR$31))),0,INDEX($E54:$X54,,SMALL(IF($E54:$X54&gt;0,COLUMN($A:$T),""),AR$31))))</f>
        <v>113.23912836842828</v>
      </c>
      <c r="AS54" s="5" t="str">
        <f t="array" aca="1" ref="AS54" ca="1">IF(AS$31&gt;$AL54,0,IF(ISERROR(OFFSET($E$31,0,SMALL(IF($E54:$X54&gt;0,COLUMN($A:$T),""),AS$31)-1)),0,OFFSET($E$31,0,SMALL(IF($E54:$X54&gt;0,COLUMN($A:$T),""),AS$31)-1)))</f>
        <v>攻击</v>
      </c>
      <c r="AT54" s="5">
        <f t="array" aca="1" ref="AT54" ca="1">IF(AS$31&gt;$AL54,0,IF(ISERROR(INDEX($E54:$X54,,SMALL(IF($E54:$X54&gt;0,COLUMN($A:$T),""),AT$31))),0,INDEX($E54:$X54,,SMALL(IF($E54:$X54&gt;0,COLUMN($A:$T),""),AT$31))))</f>
        <v>3.4510470160427822</v>
      </c>
      <c r="AU54" s="5">
        <f t="array" aca="1" ref="AU54" ca="1">IF(AU$31&gt;$AL54,0,IF(ISERROR(OFFSET($E$31,0,SMALL(IF($E54:$X54&gt;0,COLUMN($A:$T),""),AU$31)-1)),0,OFFSET($E$31,0,SMALL(IF($E54:$X54&gt;0,COLUMN($A:$T),""),AU$31)-1)))</f>
        <v>0</v>
      </c>
      <c r="AV54" s="5">
        <f t="array" ref="AV54">IF(AU$31&gt;$AL54,0,IF(ISERROR(INDEX($E54:$X54,,SMALL(IF($E54:$X54&gt;0,COLUMN($A:$T),""),AV$31))),0,INDEX($E54:$X54,,SMALL(IF($E54:$X54&gt;0,COLUMN($A:$T),""),AV$31))))</f>
        <v>0</v>
      </c>
      <c r="AW54" s="5">
        <f t="array" aca="1" ref="AW54" ca="1">IF(AW$31&gt;$AL54,0,IF(ISERROR(OFFSET($E$31,0,SMALL(IF($E54:$X54&gt;0,COLUMN($A:$T),""),AW$31)-1)),0,OFFSET($E$31,0,SMALL(IF($E54:$X54&gt;0,COLUMN($A:$T),""),AW$31)-1)))</f>
        <v>0</v>
      </c>
      <c r="AX54" s="5">
        <f t="array" ref="AX54">IF(AW$31&gt;$AL54,0,IF(ISERROR(INDEX($E54:$X54,,SMALL(IF($E54:$X54&gt;0,COLUMN($A:$T),""),AX$31))),0,INDEX($E54:$X54,,SMALL(IF($E54:$X54&gt;0,COLUMN($A:$T),""),AX$31))))</f>
        <v>0</v>
      </c>
      <c r="AY54" s="5">
        <f t="array" aca="1" ref="AY54" ca="1">IF(AY$31&gt;$AL54,0,IF(ISERROR(OFFSET($E$31,0,SMALL(IF($E54:$X54&gt;0,COLUMN($A:$T),""),AY$31)-1)),0,OFFSET($E$31,0,SMALL(IF($E54:$X54&gt;0,COLUMN($A:$T),""),AY$31)-1)))</f>
        <v>0</v>
      </c>
      <c r="AZ54" s="5">
        <f t="array" ref="AZ54">IF(AY$31&gt;$AL54,0,IF(ISERROR(INDEX($E54:$X54,,SMALL(IF($E54:$X54&gt;0,COLUMN($A:$T),""),AZ$31))),0,INDEX($E54:$X54,,SMALL(IF($E54:$X54&gt;0,COLUMN($A:$T),""),AZ$31))))</f>
        <v>0</v>
      </c>
      <c r="BA54" s="5">
        <f t="array" aca="1" ref="BA54" ca="1">IF(BA$31&gt;$AL54,0,IF(ISERROR(OFFSET($E$31,0,SMALL(IF($E54:$X54&gt;0,COLUMN($A:$T),""),BA$31)-1)),0,OFFSET($E$31,0,SMALL(IF($E54:$X54&gt;0,COLUMN($A:$T),""),BA$31)-1)))</f>
        <v>0</v>
      </c>
      <c r="BB54" s="5">
        <f t="array" ref="BB54">IF(BA$31&gt;$AL54,0,IF(ISERROR(INDEX($E54:$X54,,SMALL(IF($E54:$X54&gt;0,COLUMN($A:$T),""),BB$31))),0,INDEX($E54:$X54,,SMALL(IF($E54:$X54&gt;0,COLUMN($A:$T),""),BB$31))))</f>
        <v>0</v>
      </c>
      <c r="BC54" s="5">
        <f t="array" aca="1" ref="BC54" ca="1">IF(BC$31&gt;$AL54,0,IF(ISERROR(OFFSET($E$31,0,SMALL(IF($E54:$X54&gt;0,COLUMN($A:$T),""),BC$31)-1)),0,OFFSET($E$31,0,SMALL(IF($E54:$X54&gt;0,COLUMN($A:$T),""),BC$31)-1)))</f>
        <v>0</v>
      </c>
      <c r="BD54" s="5">
        <f t="array" ref="BD54">IF(BC$31&gt;$AL54,0,IF(ISERROR(INDEX($E54:$X54,,SMALL(IF($E54:$X54&gt;0,COLUMN($A:$T),""),BD$31))),0,INDEX($E54:$X54,,SMALL(IF($E54:$X54&gt;0,COLUMN($A:$T),""),BD$31))))</f>
        <v>0</v>
      </c>
      <c r="BE54" s="5">
        <f t="array" aca="1" ref="BE54" ca="1">IF(BE$31&gt;$AL54,0,IF(ISERROR(OFFSET($E$31,0,SMALL(IF($E54:$X54&gt;0,COLUMN($A:$T),""),BE$31)-1)),0,OFFSET($E$31,0,SMALL(IF($E54:$X54&gt;0,COLUMN($A:$T),""),BE$31)-1)))</f>
        <v>0</v>
      </c>
      <c r="BF54" s="5">
        <f t="array" ref="BF54">IF(BE$31&gt;$AL54,0,IF(ISERROR(INDEX($E54:$X54,,SMALL(IF($E54:$X54&gt;0,COLUMN($A:$T),""),BF$31))),0,INDEX($E54:$X54,,SMALL(IF($E54:$X54&gt;0,COLUMN($A:$T),""),BF$31))))</f>
        <v>0</v>
      </c>
      <c r="BH54">
        <f ca="1">SUMPRODUCT(E54:N54,定义数据!$G$14:$P$14)</f>
        <v>18.729825863790253</v>
      </c>
      <c r="BI54">
        <f ca="1">SUMPRODUCT(O54:X54,定义数据!$G$14:$P$14)</f>
        <v>9.7048161279286393</v>
      </c>
      <c r="BJ54" s="5">
        <f t="shared" ca="1" si="18"/>
        <v>28.434641991718891</v>
      </c>
      <c r="BK54" s="5" t="str">
        <f>D54&amp;B54&amp;VLOOKUP(C54,定义数据!$E$1:$F$7,2,FALSE)</f>
        <v>1524</v>
      </c>
    </row>
    <row r="55" spans="1:63" x14ac:dyDescent="0.15">
      <c r="A55" s="17" t="str">
        <f>D55&amp;B55&amp;VLOOKUP(C55,定义数据!$E$1:$F$7,2,FALSE)</f>
        <v>1523</v>
      </c>
      <c r="B55" s="18">
        <v>2</v>
      </c>
      <c r="C55" s="18" t="s">
        <v>140</v>
      </c>
      <c r="D55" s="24">
        <v>15</v>
      </c>
      <c r="E55" s="56">
        <f t="shared" ca="1" si="35"/>
        <v>0</v>
      </c>
      <c r="F55" s="56">
        <f t="shared" ca="1" si="36"/>
        <v>19.412139465240649</v>
      </c>
      <c r="G55" s="56">
        <f t="shared" ca="1" si="37"/>
        <v>0</v>
      </c>
      <c r="H55" s="56">
        <f t="shared" ca="1" si="38"/>
        <v>0</v>
      </c>
      <c r="I55" s="56">
        <f t="shared" ca="1" si="39"/>
        <v>60.9375</v>
      </c>
      <c r="J55" s="56">
        <f t="shared" ca="1" si="40"/>
        <v>0</v>
      </c>
      <c r="K55" s="56">
        <f t="shared" ca="1" si="41"/>
        <v>0</v>
      </c>
      <c r="L55" s="56">
        <f t="shared" ca="1" si="42"/>
        <v>0</v>
      </c>
      <c r="M55" s="56">
        <f t="shared" ca="1" si="43"/>
        <v>0</v>
      </c>
      <c r="N55" s="56">
        <f t="shared" ca="1" si="44"/>
        <v>0</v>
      </c>
      <c r="O55" s="65">
        <f t="shared" ca="1" si="54"/>
        <v>0</v>
      </c>
      <c r="P55" s="65">
        <f t="shared" ca="1" si="45"/>
        <v>3.4510470160427822</v>
      </c>
      <c r="Q55" s="65">
        <f t="shared" ca="1" si="46"/>
        <v>0</v>
      </c>
      <c r="R55" s="65">
        <f t="shared" ca="1" si="47"/>
        <v>2.7083333333333335</v>
      </c>
      <c r="S55" s="65">
        <f t="shared" ca="1" si="48"/>
        <v>4.5138888888888884</v>
      </c>
      <c r="T55" s="65">
        <f t="shared" ca="1" si="49"/>
        <v>3.2098765432098775</v>
      </c>
      <c r="U55" s="65">
        <f t="shared" ca="1" si="50"/>
        <v>0</v>
      </c>
      <c r="V55" s="65">
        <f t="shared" ca="1" si="51"/>
        <v>0</v>
      </c>
      <c r="W55" s="65">
        <f t="shared" ca="1" si="52"/>
        <v>0</v>
      </c>
      <c r="X55" s="65">
        <f t="shared" ca="1" si="53"/>
        <v>0</v>
      </c>
      <c r="Y55" s="21"/>
      <c r="Z55" s="15">
        <f>VLOOKUP($D55&amp;$B55,[3]!装备基础属性表,P$30,FALSE)</f>
        <v>1698.5869255264242</v>
      </c>
      <c r="AA55" s="15">
        <f>VLOOKUP($D55&amp;$B55,[3]!装备基础属性表,Q$30,FALSE)</f>
        <v>86.276175401069551</v>
      </c>
      <c r="AB55" s="15">
        <f>VLOOKUP($D55&amp;$B55,[3]!装备基础属性表,R$30,FALSE)</f>
        <v>37.281674870017333</v>
      </c>
      <c r="AC55" s="15">
        <f>VLOOKUP($D55&amp;$B55,[3]!装备基础属性表,S$30,FALSE)</f>
        <v>67.708333333333329</v>
      </c>
      <c r="AD55" s="15">
        <f>VLOOKUP($D55&amp;$B55,[3]!装备基础属性表,T$30,FALSE)</f>
        <v>67.708333333333329</v>
      </c>
      <c r="AE55" s="15">
        <f>VLOOKUP($D55&amp;$B55,[3]!装备基础属性表,U$30,FALSE)</f>
        <v>40.123456790123463</v>
      </c>
      <c r="AF55" s="15">
        <f>VLOOKUP($D55&amp;$B55,[3]!装备基础属性表,V$30,FALSE)</f>
        <v>0</v>
      </c>
      <c r="AG55" s="15">
        <f>VLOOKUP($D55&amp;$B55,[3]!装备基础属性表,W$30,FALSE)</f>
        <v>40.123456790123463</v>
      </c>
      <c r="AH55" s="15">
        <f>VLOOKUP($D55&amp;$B55,[3]!装备基础属性表,X$30,FALSE)</f>
        <v>0</v>
      </c>
      <c r="AI55" s="15">
        <f>VLOOKUP($D55&amp;$B55,[3]!装备基础属性表,Y$30,FALSE)</f>
        <v>0</v>
      </c>
      <c r="AJ55" s="16" t="str">
        <f>B55&amp;VLOOKUP(C55,定义数据!$E$1:$F$7,2,FALSE)&amp;D55</f>
        <v>2315</v>
      </c>
      <c r="AK55" s="14">
        <f t="shared" si="29"/>
        <v>5</v>
      </c>
      <c r="AL55" s="5">
        <f t="shared" si="30"/>
        <v>4</v>
      </c>
      <c r="AM55" s="5" t="str">
        <f t="array" aca="1" ref="AM55" ca="1">IF(AM$31&gt;$AL55,0,IF(ISERROR(OFFSET($E$31,0,SMALL(IF($E55:$X55&gt;0,COLUMN($A:$T),""),AM$31)-1)),0,OFFSET($E$31,0,SMALL(IF($E55:$X55&gt;0,COLUMN($A:$T),""),AM$31)-1)))</f>
        <v>攻击</v>
      </c>
      <c r="AN55" s="5">
        <f t="array" aca="1" ref="AN55" ca="1">IF(AM$31&gt;$AL55,0,IF(ISERROR(INDEX($E55:$X55,,SMALL(IF($E55:$X55&gt;0,COLUMN($A:$T),""),AN$31))),0,INDEX($E55:$X55,,SMALL(IF($E55:$X55&gt;0,COLUMN($A:$T),""),AN$31))))</f>
        <v>19.412139465240649</v>
      </c>
      <c r="AO55" s="5" t="str">
        <f t="array" aca="1" ref="AO55" ca="1">IF(AO$31&gt;$AL55,0,IF(ISERROR(OFFSET($E$31,0,SMALL(IF($E55:$X55&gt;0,COLUMN($A:$T),""),AO$31)-1)),0,OFFSET($E$31,0,SMALL(IF($E55:$X55&gt;0,COLUMN($A:$T),""),AO$31)-1)))</f>
        <v>命中值</v>
      </c>
      <c r="AP55" s="5">
        <f t="array" aca="1" ref="AP55" ca="1">IF(AO$31&gt;$AL55,0,IF(ISERROR(INDEX($E55:$X55,,SMALL(IF($E55:$X55&gt;0,COLUMN($A:$T),""),AP$31))),0,INDEX($E55:$X55,,SMALL(IF($E55:$X55&gt;0,COLUMN($A:$T),""),AP$31))))</f>
        <v>60.9375</v>
      </c>
      <c r="AQ55" s="5" t="str">
        <f t="array" aca="1" ref="AQ55" ca="1">IF(AQ$31&gt;$AL55,0,IF(ISERROR(OFFSET($E$31,0,SMALL(IF($E55:$X55&gt;0,COLUMN($A:$T),""),AQ$31)-1)),0,OFFSET($E$31,0,SMALL(IF($E55:$X55&gt;0,COLUMN($A:$T),""),AQ$31)-1)))</f>
        <v>攻击</v>
      </c>
      <c r="AR55" s="5">
        <f t="array" aca="1" ref="AR55" ca="1">IF(AQ$31&gt;$AL55,0,IF(ISERROR(INDEX($E55:$X55,,SMALL(IF($E55:$X55&gt;0,COLUMN($A:$T),""),AR$31))),0,INDEX($E55:$X55,,SMALL(IF($E55:$X55&gt;0,COLUMN($A:$T),""),AR$31))))</f>
        <v>3.4510470160427822</v>
      </c>
      <c r="AS55" s="5" t="str">
        <f t="array" aca="1" ref="AS55" ca="1">IF(AS$31&gt;$AL55,0,IF(ISERROR(OFFSET($E$31,0,SMALL(IF($E55:$X55&gt;0,COLUMN($A:$T),""),AS$31)-1)),0,OFFSET($E$31,0,SMALL(IF($E55:$X55&gt;0,COLUMN($A:$T),""),AS$31)-1)))</f>
        <v>闪避值</v>
      </c>
      <c r="AT55" s="5">
        <f t="array" aca="1" ref="AT55" ca="1">IF(AS$31&gt;$AL55,0,IF(ISERROR(INDEX($E55:$X55,,SMALL(IF($E55:$X55&gt;0,COLUMN($A:$T),""),AT$31))),0,INDEX($E55:$X55,,SMALL(IF($E55:$X55&gt;0,COLUMN($A:$T),""),AT$31))))</f>
        <v>2.7083333333333335</v>
      </c>
      <c r="AU55" s="5">
        <f t="array" aca="1" ref="AU55" ca="1">IF(AU$31&gt;$AL55,0,IF(ISERROR(OFFSET($E$31,0,SMALL(IF($E55:$X55&gt;0,COLUMN($A:$T),""),AU$31)-1)),0,OFFSET($E$31,0,SMALL(IF($E55:$X55&gt;0,COLUMN($A:$T),""),AU$31)-1)))</f>
        <v>0</v>
      </c>
      <c r="AV55" s="5">
        <f t="array" ref="AV55">IF(AU$31&gt;$AL55,0,IF(ISERROR(INDEX($E55:$X55,,SMALL(IF($E55:$X55&gt;0,COLUMN($A:$T),""),AV$31))),0,INDEX($E55:$X55,,SMALL(IF($E55:$X55&gt;0,COLUMN($A:$T),""),AV$31))))</f>
        <v>0</v>
      </c>
      <c r="AW55" s="5">
        <f t="array" aca="1" ref="AW55" ca="1">IF(AW$31&gt;$AL55,0,IF(ISERROR(OFFSET($E$31,0,SMALL(IF($E55:$X55&gt;0,COLUMN($A:$T),""),AW$31)-1)),0,OFFSET($E$31,0,SMALL(IF($E55:$X55&gt;0,COLUMN($A:$T),""),AW$31)-1)))</f>
        <v>0</v>
      </c>
      <c r="AX55" s="5">
        <f t="array" ref="AX55">IF(AW$31&gt;$AL55,0,IF(ISERROR(INDEX($E55:$X55,,SMALL(IF($E55:$X55&gt;0,COLUMN($A:$T),""),AX$31))),0,INDEX($E55:$X55,,SMALL(IF($E55:$X55&gt;0,COLUMN($A:$T),""),AX$31))))</f>
        <v>0</v>
      </c>
      <c r="AY55" s="5">
        <f t="array" aca="1" ref="AY55" ca="1">IF(AY$31&gt;$AL55,0,IF(ISERROR(OFFSET($E$31,0,SMALL(IF($E55:$X55&gt;0,COLUMN($A:$T),""),AY$31)-1)),0,OFFSET($E$31,0,SMALL(IF($E55:$X55&gt;0,COLUMN($A:$T),""),AY$31)-1)))</f>
        <v>0</v>
      </c>
      <c r="AZ55" s="5">
        <f t="array" ref="AZ55">IF(AY$31&gt;$AL55,0,IF(ISERROR(INDEX($E55:$X55,,SMALL(IF($E55:$X55&gt;0,COLUMN($A:$T),""),AZ$31))),0,INDEX($E55:$X55,,SMALL(IF($E55:$X55&gt;0,COLUMN($A:$T),""),AZ$31))))</f>
        <v>0</v>
      </c>
      <c r="BA55" s="5">
        <f t="array" aca="1" ref="BA55" ca="1">IF(BA$31&gt;$AL55,0,IF(ISERROR(OFFSET($E$31,0,SMALL(IF($E55:$X55&gt;0,COLUMN($A:$T),""),BA$31)-1)),0,OFFSET($E$31,0,SMALL(IF($E55:$X55&gt;0,COLUMN($A:$T),""),BA$31)-1)))</f>
        <v>0</v>
      </c>
      <c r="BB55" s="5">
        <f t="array" ref="BB55">IF(BA$31&gt;$AL55,0,IF(ISERROR(INDEX($E55:$X55,,SMALL(IF($E55:$X55&gt;0,COLUMN($A:$T),""),BB$31))),0,INDEX($E55:$X55,,SMALL(IF($E55:$X55&gt;0,COLUMN($A:$T),""),BB$31))))</f>
        <v>0</v>
      </c>
      <c r="BC55" s="5">
        <f t="array" aca="1" ref="BC55" ca="1">IF(BC$31&gt;$AL55,0,IF(ISERROR(OFFSET($E$31,0,SMALL(IF($E55:$X55&gt;0,COLUMN($A:$T),""),BC$31)-1)),0,OFFSET($E$31,0,SMALL(IF($E55:$X55&gt;0,COLUMN($A:$T),""),BC$31)-1)))</f>
        <v>0</v>
      </c>
      <c r="BD55" s="5">
        <f t="array" ref="BD55">IF(BC$31&gt;$AL55,0,IF(ISERROR(INDEX($E55:$X55,,SMALL(IF($E55:$X55&gt;0,COLUMN($A:$T),""),BD$31))),0,INDEX($E55:$X55,,SMALL(IF($E55:$X55&gt;0,COLUMN($A:$T),""),BD$31))))</f>
        <v>0</v>
      </c>
      <c r="BE55" s="5">
        <f t="array" aca="1" ref="BE55" ca="1">IF(BE$31&gt;$AL55,0,IF(ISERROR(OFFSET($E$31,0,SMALL(IF($E55:$X55&gt;0,COLUMN($A:$T),""),BE$31)-1)),0,OFFSET($E$31,0,SMALL(IF($E55:$X55&gt;0,COLUMN($A:$T),""),BE$31)-1)))</f>
        <v>0</v>
      </c>
      <c r="BF55" s="5">
        <f t="array" ref="BF55">IF(BE$31&gt;$AL55,0,IF(ISERROR(INDEX($E55:$X55,,SMALL(IF($E55:$X55&gt;0,COLUMN($A:$T),""),BF$31))),0,INDEX($E55:$X55,,SMALL(IF($E55:$X55&gt;0,COLUMN($A:$T),""),BF$31))))</f>
        <v>0</v>
      </c>
      <c r="BH55">
        <f ca="1">SUMPRODUCT(E55:N55,定义数据!$G$14:$P$14)</f>
        <v>40.130889465240649</v>
      </c>
      <c r="BI55">
        <f ca="1">SUMPRODUCT(O55:X55,定义数据!$G$14:$P$14)</f>
        <v>6.4843803493761154</v>
      </c>
      <c r="BJ55" s="5">
        <f t="shared" ca="1" si="18"/>
        <v>46.615269814616767</v>
      </c>
      <c r="BK55" s="5" t="str">
        <f>D55&amp;B55&amp;VLOOKUP(C55,定义数据!$E$1:$F$7,2,FALSE)</f>
        <v>1523</v>
      </c>
    </row>
    <row r="56" spans="1:63" x14ac:dyDescent="0.15">
      <c r="A56" s="17" t="str">
        <f>D56&amp;B56&amp;VLOOKUP(C56,定义数据!$E$1:$F$7,2,FALSE)</f>
        <v>1530</v>
      </c>
      <c r="B56" s="18">
        <v>3</v>
      </c>
      <c r="C56" s="18" t="s">
        <v>141</v>
      </c>
      <c r="D56" s="24">
        <v>15</v>
      </c>
      <c r="E56" s="56">
        <f t="shared" ref="E56:E61" ca="1" si="55">VLOOKUP($C56,$D$4:$O$9,F$2,FALSE)/F$10*Z56*OFFSET($Q$23,0,$B56)</f>
        <v>0</v>
      </c>
      <c r="F56" s="56">
        <f t="shared" ref="F56:F61" ca="1" si="56">VLOOKUP($C56,$D$4:$O$9,G$2,FALSE)/G$10*AA56*OFFSET($Q$23,0,$B56)</f>
        <v>67.693614545454565</v>
      </c>
      <c r="G56" s="56">
        <f t="shared" ref="G56:G61" ca="1" si="57">VLOOKUP($C56,$D$4:$O$9,H$2,FALSE)/H$10*AB56*OFFSET($Q$23,0,$B56)</f>
        <v>0</v>
      </c>
      <c r="H56" s="56">
        <f t="shared" ref="H56:H61" ca="1" si="58">VLOOKUP($C56,$D$4:$O$9,I$2,FALSE)/I$10*AC56*OFFSET($Q$23,0,$B56)</f>
        <v>0</v>
      </c>
      <c r="I56" s="56">
        <f t="shared" ref="I56:I61" ca="1" si="59">VLOOKUP($C56,$D$4:$O$9,J$2,FALSE)/J$10*AD56*OFFSET($Q$23,0,$B56)</f>
        <v>0</v>
      </c>
      <c r="J56" s="56">
        <f t="shared" ref="J56:J61" ca="1" si="60">VLOOKUP($C56,$D$4:$O$9,K$2,FALSE)/K$10*AE56*OFFSET($Q$23,0,$B56)</f>
        <v>41.97530864197531</v>
      </c>
      <c r="K56" s="56">
        <f t="shared" ref="K56:K61" ca="1" si="61">VLOOKUP($C56,$D$4:$O$9,L$2,FALSE)/L$10*AF56*OFFSET($Q$23,0,$B56)</f>
        <v>0</v>
      </c>
      <c r="L56" s="56">
        <f t="shared" ref="L56:L61" ca="1" si="62">VLOOKUP($C56,$D$4:$O$9,M$2,FALSE)/M$10*AG56*OFFSET($Q$23,0,$B56)</f>
        <v>0</v>
      </c>
      <c r="M56" s="56">
        <f t="shared" ref="M56:M61" ca="1" si="63">VLOOKUP($C56,$D$4:$O$9,N$2,FALSE)/N$10*AH56*OFFSET($Q$23,0,$B56)</f>
        <v>0</v>
      </c>
      <c r="N56" s="56">
        <f t="shared" ref="N56:N61" ca="1" si="64">VLOOKUP($C56,$D$4:$O$9,O$2,FALSE)/O$10*AI56*OFFSET($Q$23,0,$B56)</f>
        <v>0</v>
      </c>
      <c r="O56" s="65">
        <f t="shared" ref="O56:O61" ca="1" si="65">VLOOKUP($C56,$D$14:$O$19,F$2,FALSE)/F$20*Z56*OFFSET($Q$24,0,$B56)</f>
        <v>0</v>
      </c>
      <c r="P56" s="65">
        <f t="shared" ref="P56:P61" ca="1" si="66">VLOOKUP($C56,$D$14:$O$19,G$2,FALSE)/G$20*AA56*OFFSET($Q$24,0,$B56)</f>
        <v>20.308084363636372</v>
      </c>
      <c r="Q56" s="65">
        <f t="shared" ref="Q56:Q61" ca="1" si="67">VLOOKUP($C56,$D$14:$O$19,H$2,FALSE)/H$20*AB56*OFFSET($Q$24,0,$B56)</f>
        <v>2.4376479722703639</v>
      </c>
      <c r="R56" s="65">
        <f t="shared" ref="R56:R61" ca="1" si="68">VLOOKUP($C56,$D$14:$O$19,I$2,FALSE)/I$20*AC56*OFFSET($Q$24,0,$B56)</f>
        <v>0</v>
      </c>
      <c r="S56" s="65">
        <f t="shared" ref="S56:S61" ca="1" si="69">VLOOKUP($C56,$D$14:$O$19,J$2,FALSE)/J$20*AD56*OFFSET($Q$24,0,$B56)</f>
        <v>8.8541666666666679</v>
      </c>
      <c r="T56" s="65">
        <f t="shared" ref="T56:T61" ca="1" si="70">VLOOKUP($C56,$D$14:$O$19,K$2,FALSE)/K$20*AE56*OFFSET($Q$24,0,$B56)</f>
        <v>6.2962962962962976</v>
      </c>
      <c r="U56" s="65">
        <f t="shared" ref="U56:U61" ca="1" si="71">VLOOKUP($C56,$D$14:$O$19,L$2,FALSE)/L$20*AF56*OFFSET($Q$24,0,$B56)</f>
        <v>0</v>
      </c>
      <c r="V56" s="65">
        <f t="shared" ref="V56:V61" ca="1" si="72">VLOOKUP($C56,$D$14:$O$19,M$2,FALSE)/M$20*AG56*OFFSET($Q$24,0,$B56)</f>
        <v>0</v>
      </c>
      <c r="W56" s="65">
        <f t="shared" ref="W56:W61" ca="1" si="73">VLOOKUP($C56,$D$14:$O$19,N$2,FALSE)/N$20*AH56*OFFSET($Q$24,0,$B56)</f>
        <v>0</v>
      </c>
      <c r="X56" s="65">
        <f t="shared" ref="X56:X61" ca="1" si="74">VLOOKUP($C56,$D$14:$O$19,O$2,FALSE)/O$20*AI56*OFFSET($Q$24,0,$B56)</f>
        <v>0</v>
      </c>
      <c r="Y56" s="21" t="s">
        <v>94</v>
      </c>
      <c r="Z56" s="15">
        <f>VLOOKUP($D56&amp;$B56,[3]!装备基础属性表,P$30,FALSE)</f>
        <v>2221.2290564576315</v>
      </c>
      <c r="AA56" s="15">
        <f>VLOOKUP($D56&amp;$B56,[3]!装备基础属性表,Q$30,FALSE)</f>
        <v>112.82269090909095</v>
      </c>
      <c r="AB56" s="15">
        <f>VLOOKUP($D56&amp;$B56,[3]!装备基础属性表,R$30,FALSE)</f>
        <v>48.752959445407278</v>
      </c>
      <c r="AC56" s="15">
        <f>VLOOKUP($D56&amp;$B56,[3]!装备基础属性表,S$30,FALSE)</f>
        <v>88.541666666666671</v>
      </c>
      <c r="AD56" s="15">
        <f>VLOOKUP($D56&amp;$B56,[3]!装备基础属性表,T$30,FALSE)</f>
        <v>88.541666666666671</v>
      </c>
      <c r="AE56" s="15">
        <f>VLOOKUP($D56&amp;$B56,[3]!装备基础属性表,U$30,FALSE)</f>
        <v>52.469135802469133</v>
      </c>
      <c r="AF56" s="15">
        <f>VLOOKUP($D56&amp;$B56,[3]!装备基础属性表,V$30,FALSE)</f>
        <v>0</v>
      </c>
      <c r="AG56" s="15">
        <f>VLOOKUP($D56&amp;$B56,[3]!装备基础属性表,W$30,FALSE)</f>
        <v>52.469135802469133</v>
      </c>
      <c r="AH56" s="15">
        <f>VLOOKUP($D56&amp;$B56,[3]!装备基础属性表,X$30,FALSE)</f>
        <v>0</v>
      </c>
      <c r="AI56" s="15">
        <f>VLOOKUP($D56&amp;$B56,[3]!装备基础属性表,Y$30,FALSE)</f>
        <v>0</v>
      </c>
      <c r="AJ56" s="16" t="str">
        <f>B56&amp;VLOOKUP(C56,定义数据!$E$1:$F$7,2,FALSE)&amp;D56</f>
        <v>3015</v>
      </c>
      <c r="AK56" s="14">
        <f t="shared" si="29"/>
        <v>6</v>
      </c>
      <c r="AL56" s="5">
        <f t="shared" ref="AL56:AL61" si="75">B56+2</f>
        <v>5</v>
      </c>
      <c r="AM56" s="5" t="str">
        <f t="array" aca="1" ref="AM56" ca="1">IF(AM$31&gt;$AL56,0,IF(ISERROR(OFFSET($E$31,0,SMALL(IF($E56:$X56&gt;0,COLUMN($A:$T),""),AM$31)-1)),0,OFFSET($E$31,0,SMALL(IF($E56:$X56&gt;0,COLUMN($A:$T),""),AM$31)-1)))</f>
        <v>攻击</v>
      </c>
      <c r="AN56" s="5">
        <f t="array" aca="1" ref="AN56" ca="1">IF(AM$31&gt;$AL56,0,IF(ISERROR(INDEX($E56:$X56,,SMALL(IF($E56:$X56&gt;0,COLUMN($A:$T),""),AN$31))),0,INDEX($E56:$X56,,SMALL(IF($E56:$X56&gt;0,COLUMN($A:$T),""),AN$31))))</f>
        <v>67.693614545454565</v>
      </c>
      <c r="AO56" s="5" t="str">
        <f t="array" aca="1" ref="AO56" ca="1">IF(AO$31&gt;$AL56,0,IF(ISERROR(OFFSET($E$31,0,SMALL(IF($E56:$X56&gt;0,COLUMN($A:$T),""),AO$31)-1)),0,OFFSET($E$31,0,SMALL(IF($E56:$X56&gt;0,COLUMN($A:$T),""),AO$31)-1)))</f>
        <v>暴击值</v>
      </c>
      <c r="AP56" s="5">
        <f t="array" aca="1" ref="AP56" ca="1">IF(AO$31&gt;$AL56,0,IF(ISERROR(INDEX($E56:$X56,,SMALL(IF($E56:$X56&gt;0,COLUMN($A:$T),""),AP$31))),0,INDEX($E56:$X56,,SMALL(IF($E56:$X56&gt;0,COLUMN($A:$T),""),AP$31))))</f>
        <v>41.97530864197531</v>
      </c>
      <c r="AQ56" s="5" t="str">
        <f t="array" aca="1" ref="AQ56" ca="1">IF(AQ$31&gt;$AL56,0,IF(ISERROR(OFFSET($E$31,0,SMALL(IF($E56:$X56&gt;0,COLUMN($A:$T),""),AQ$31)-1)),0,OFFSET($E$31,0,SMALL(IF($E56:$X56&gt;0,COLUMN($A:$T),""),AQ$31)-1)))</f>
        <v>攻击</v>
      </c>
      <c r="AR56" s="5">
        <f t="array" aca="1" ref="AR56" ca="1">IF(AQ$31&gt;$AL56,0,IF(ISERROR(INDEX($E56:$X56,,SMALL(IF($E56:$X56&gt;0,COLUMN($A:$T),""),AR$31))),0,INDEX($E56:$X56,,SMALL(IF($E56:$X56&gt;0,COLUMN($A:$T),""),AR$31))))</f>
        <v>20.308084363636372</v>
      </c>
      <c r="AS56" s="5" t="str">
        <f t="array" aca="1" ref="AS56" ca="1">IF(AS$31&gt;$AL56,0,IF(ISERROR(OFFSET($E$31,0,SMALL(IF($E56:$X56&gt;0,COLUMN($A:$T),""),AS$31)-1)),0,OFFSET($E$31,0,SMALL(IF($E56:$X56&gt;0,COLUMN($A:$T),""),AS$31)-1)))</f>
        <v>防御</v>
      </c>
      <c r="AT56" s="5">
        <f t="array" aca="1" ref="AT56" ca="1">IF(AS$31&gt;$AL56,0,IF(ISERROR(INDEX($E56:$X56,,SMALL(IF($E56:$X56&gt;0,COLUMN($A:$T),""),AT$31))),0,INDEX($E56:$X56,,SMALL(IF($E56:$X56&gt;0,COLUMN($A:$T),""),AT$31))))</f>
        <v>2.4376479722703639</v>
      </c>
      <c r="AU56" s="5" t="str">
        <f t="array" aca="1" ref="AU56" ca="1">IF(AU$31&gt;$AL56,0,IF(ISERROR(OFFSET($E$31,0,SMALL(IF($E56:$X56&gt;0,COLUMN($A:$T),""),AU$31)-1)),0,OFFSET($E$31,0,SMALL(IF($E56:$X56&gt;0,COLUMN($A:$T),""),AU$31)-1)))</f>
        <v>命中值</v>
      </c>
      <c r="AV56" s="5">
        <f t="array" aca="1" ref="AV56" ca="1">IF(AU$31&gt;$AL56,0,IF(ISERROR(INDEX($E56:$X56,,SMALL(IF($E56:$X56&gt;0,COLUMN($A:$T),""),AV$31))),0,INDEX($E56:$X56,,SMALL(IF($E56:$X56&gt;0,COLUMN($A:$T),""),AV$31))))</f>
        <v>8.8541666666666679</v>
      </c>
      <c r="AW56" s="5">
        <f t="array" aca="1" ref="AW56" ca="1">IF(AW$31&gt;$AL56,0,IF(ISERROR(OFFSET($E$31,0,SMALL(IF($E56:$X56&gt;0,COLUMN($A:$T),""),AW$31)-1)),0,OFFSET($E$31,0,SMALL(IF($E56:$X56&gt;0,COLUMN($A:$T),""),AW$31)-1)))</f>
        <v>0</v>
      </c>
      <c r="AX56" s="5">
        <f t="array" ref="AX56">IF(AW$31&gt;$AL56,0,IF(ISERROR(INDEX($E56:$X56,,SMALL(IF($E56:$X56&gt;0,COLUMN($A:$T),""),AX$31))),0,INDEX($E56:$X56,,SMALL(IF($E56:$X56&gt;0,COLUMN($A:$T),""),AX$31))))</f>
        <v>0</v>
      </c>
      <c r="AY56" s="5">
        <f t="array" aca="1" ref="AY56" ca="1">IF(AY$31&gt;$AL56,0,IF(ISERROR(OFFSET($E$31,0,SMALL(IF($E56:$X56&gt;0,COLUMN($A:$T),""),AY$31)-1)),0,OFFSET($E$31,0,SMALL(IF($E56:$X56&gt;0,COLUMN($A:$T),""),AY$31)-1)))</f>
        <v>0</v>
      </c>
      <c r="AZ56" s="5">
        <f t="array" ref="AZ56">IF(AY$31&gt;$AL56,0,IF(ISERROR(INDEX($E56:$X56,,SMALL(IF($E56:$X56&gt;0,COLUMN($A:$T),""),AZ$31))),0,INDEX($E56:$X56,,SMALL(IF($E56:$X56&gt;0,COLUMN($A:$T),""),AZ$31))))</f>
        <v>0</v>
      </c>
      <c r="BA56" s="5">
        <f t="array" aca="1" ref="BA56" ca="1">IF(BA$31&gt;$AL56,0,IF(ISERROR(OFFSET($E$31,0,SMALL(IF($E56:$X56&gt;0,COLUMN($A:$T),""),BA$31)-1)),0,OFFSET($E$31,0,SMALL(IF($E56:$X56&gt;0,COLUMN($A:$T),""),BA$31)-1)))</f>
        <v>0</v>
      </c>
      <c r="BB56" s="5">
        <f t="array" ref="BB56">IF(BA$31&gt;$AL56,0,IF(ISERROR(INDEX($E56:$X56,,SMALL(IF($E56:$X56&gt;0,COLUMN($A:$T),""),BB$31))),0,INDEX($E56:$X56,,SMALL(IF($E56:$X56&gt;0,COLUMN($A:$T),""),BB$31))))</f>
        <v>0</v>
      </c>
      <c r="BC56" s="5">
        <f t="array" aca="1" ref="BC56" ca="1">IF(BC$31&gt;$AL56,0,IF(ISERROR(OFFSET($E$31,0,SMALL(IF($E56:$X56&gt;0,COLUMN($A:$T),""),BC$31)-1)),0,OFFSET($E$31,0,SMALL(IF($E56:$X56&gt;0,COLUMN($A:$T),""),BC$31)-1)))</f>
        <v>0</v>
      </c>
      <c r="BD56" s="5">
        <f t="array" ref="BD56">IF(BC$31&gt;$AL56,0,IF(ISERROR(INDEX($E56:$X56,,SMALL(IF($E56:$X56&gt;0,COLUMN($A:$T),""),BD$31))),0,INDEX($E56:$X56,,SMALL(IF($E56:$X56&gt;0,COLUMN($A:$T),""),BD$31))))</f>
        <v>0</v>
      </c>
      <c r="BE56" s="5">
        <f t="array" aca="1" ref="BE56" ca="1">IF(BE$31&gt;$AL56,0,IF(ISERROR(OFFSET($E$31,0,SMALL(IF($E56:$X56&gt;0,COLUMN($A:$T),""),BE$31)-1)),0,OFFSET($E$31,0,SMALL(IF($E56:$X56&gt;0,COLUMN($A:$T),""),BE$31)-1)))</f>
        <v>0</v>
      </c>
      <c r="BF56" s="5">
        <f t="array" ref="BF56">IF(BE$31&gt;$AL56,0,IF(ISERROR(INDEX($E56:$X56,,SMALL(IF($E56:$X56&gt;0,COLUMN($A:$T),""),BF$31))),0,INDEX($E56:$X56,,SMALL(IF($E56:$X56&gt;0,COLUMN($A:$T),""),BF$31))))</f>
        <v>0</v>
      </c>
      <c r="BH56">
        <f ca="1">SUMPRODUCT(E56:N56,定义数据!$G$14:$P$14)</f>
        <v>75.249170101010122</v>
      </c>
      <c r="BI56">
        <f ca="1">SUMPRODUCT(O56:X56,定义数据!$G$14:$P$14)</f>
        <v>26.889482335906738</v>
      </c>
      <c r="BJ56" s="5">
        <f t="shared" ref="BJ56:BJ61" ca="1" si="76">SUM(BH56:BI56)</f>
        <v>102.13865243691686</v>
      </c>
      <c r="BK56" s="5" t="str">
        <f>D56&amp;B56&amp;VLOOKUP(C56,定义数据!$E$1:$F$7,2,FALSE)</f>
        <v>1530</v>
      </c>
    </row>
    <row r="57" spans="1:63" x14ac:dyDescent="0.15">
      <c r="A57" s="17" t="str">
        <f>D57&amp;B57&amp;VLOOKUP(C57,定义数据!$E$1:$F$7,2,FALSE)</f>
        <v>1531</v>
      </c>
      <c r="B57" s="18">
        <v>3</v>
      </c>
      <c r="C57" s="18" t="s">
        <v>136</v>
      </c>
      <c r="D57" s="24">
        <v>15</v>
      </c>
      <c r="E57" s="56">
        <f t="shared" ca="1" si="55"/>
        <v>1066.189947099663</v>
      </c>
      <c r="F57" s="56">
        <f t="shared" ca="1" si="56"/>
        <v>0</v>
      </c>
      <c r="G57" s="56">
        <f t="shared" ca="1" si="57"/>
        <v>23.401420533795495</v>
      </c>
      <c r="H57" s="56">
        <f t="shared" ca="1" si="58"/>
        <v>0</v>
      </c>
      <c r="I57" s="56">
        <f t="shared" ca="1" si="59"/>
        <v>0</v>
      </c>
      <c r="J57" s="56">
        <f t="shared" ca="1" si="60"/>
        <v>0</v>
      </c>
      <c r="K57" s="56">
        <f t="shared" ca="1" si="61"/>
        <v>0</v>
      </c>
      <c r="L57" s="56">
        <f t="shared" ca="1" si="62"/>
        <v>0</v>
      </c>
      <c r="M57" s="56">
        <f t="shared" ca="1" si="63"/>
        <v>0</v>
      </c>
      <c r="N57" s="56">
        <f t="shared" ca="1" si="64"/>
        <v>0</v>
      </c>
      <c r="O57" s="65">
        <f t="shared" ca="1" si="65"/>
        <v>222.12290564576318</v>
      </c>
      <c r="P57" s="65">
        <f t="shared" ca="1" si="66"/>
        <v>0</v>
      </c>
      <c r="Q57" s="65">
        <f t="shared" ca="1" si="67"/>
        <v>7.3129439168110926</v>
      </c>
      <c r="R57" s="65">
        <f t="shared" ca="1" si="68"/>
        <v>5.3125000000000018</v>
      </c>
      <c r="S57" s="65">
        <f t="shared" ca="1" si="69"/>
        <v>0</v>
      </c>
      <c r="T57" s="65">
        <f t="shared" ca="1" si="70"/>
        <v>0</v>
      </c>
      <c r="U57" s="65">
        <f t="shared" ca="1" si="71"/>
        <v>0</v>
      </c>
      <c r="V57" s="65">
        <f t="shared" ca="1" si="72"/>
        <v>5.2469135802469129</v>
      </c>
      <c r="W57" s="65">
        <f t="shared" ca="1" si="73"/>
        <v>0</v>
      </c>
      <c r="X57" s="65">
        <f t="shared" ca="1" si="74"/>
        <v>0</v>
      </c>
      <c r="Y57" s="21" t="s">
        <v>95</v>
      </c>
      <c r="Z57" s="15">
        <f>VLOOKUP($D57&amp;$B57,[3]!装备基础属性表,P$30,FALSE)</f>
        <v>2221.2290564576315</v>
      </c>
      <c r="AA57" s="15">
        <f>VLOOKUP($D57&amp;$B57,[3]!装备基础属性表,Q$30,FALSE)</f>
        <v>112.82269090909095</v>
      </c>
      <c r="AB57" s="15">
        <f>VLOOKUP($D57&amp;$B57,[3]!装备基础属性表,R$30,FALSE)</f>
        <v>48.752959445407278</v>
      </c>
      <c r="AC57" s="15">
        <f>VLOOKUP($D57&amp;$B57,[3]!装备基础属性表,S$30,FALSE)</f>
        <v>88.541666666666671</v>
      </c>
      <c r="AD57" s="15">
        <f>VLOOKUP($D57&amp;$B57,[3]!装备基础属性表,T$30,FALSE)</f>
        <v>88.541666666666671</v>
      </c>
      <c r="AE57" s="15">
        <f>VLOOKUP($D57&amp;$B57,[3]!装备基础属性表,U$30,FALSE)</f>
        <v>52.469135802469133</v>
      </c>
      <c r="AF57" s="15">
        <f>VLOOKUP($D57&amp;$B57,[3]!装备基础属性表,V$30,FALSE)</f>
        <v>0</v>
      </c>
      <c r="AG57" s="15">
        <f>VLOOKUP($D57&amp;$B57,[3]!装备基础属性表,W$30,FALSE)</f>
        <v>52.469135802469133</v>
      </c>
      <c r="AH57" s="15">
        <f>VLOOKUP($D57&amp;$B57,[3]!装备基础属性表,X$30,FALSE)</f>
        <v>0</v>
      </c>
      <c r="AI57" s="15">
        <f>VLOOKUP($D57&amp;$B57,[3]!装备基础属性表,Y$30,FALSE)</f>
        <v>0</v>
      </c>
      <c r="AJ57" s="16" t="str">
        <f>B57&amp;VLOOKUP(C57,定义数据!$E$1:$F$7,2,FALSE)&amp;D57</f>
        <v>3115</v>
      </c>
      <c r="AK57" s="14">
        <f t="shared" si="29"/>
        <v>6</v>
      </c>
      <c r="AL57" s="5">
        <f t="shared" si="75"/>
        <v>5</v>
      </c>
      <c r="AM57" s="5" t="str">
        <f t="array" aca="1" ref="AM57" ca="1">IF(AM$31&gt;$AL57,0,IF(ISERROR(OFFSET($E$31,0,SMALL(IF($E57:$X57&gt;0,COLUMN($A:$T),""),AM$31)-1)),0,OFFSET($E$31,0,SMALL(IF($E57:$X57&gt;0,COLUMN($A:$T),""),AM$31)-1)))</f>
        <v>生命</v>
      </c>
      <c r="AN57" s="5">
        <f t="array" aca="1" ref="AN57" ca="1">IF(AM$31&gt;$AL57,0,IF(ISERROR(INDEX($E57:$X57,,SMALL(IF($E57:$X57&gt;0,COLUMN($A:$T),""),AN$31))),0,INDEX($E57:$X57,,SMALL(IF($E57:$X57&gt;0,COLUMN($A:$T),""),AN$31))))</f>
        <v>1066.189947099663</v>
      </c>
      <c r="AO57" s="5" t="str">
        <f t="array" aca="1" ref="AO57" ca="1">IF(AO$31&gt;$AL57,0,IF(ISERROR(OFFSET($E$31,0,SMALL(IF($E57:$X57&gt;0,COLUMN($A:$T),""),AO$31)-1)),0,OFFSET($E$31,0,SMALL(IF($E57:$X57&gt;0,COLUMN($A:$T),""),AO$31)-1)))</f>
        <v>防御</v>
      </c>
      <c r="AP57" s="5">
        <f t="array" aca="1" ref="AP57" ca="1">IF(AO$31&gt;$AL57,0,IF(ISERROR(INDEX($E57:$X57,,SMALL(IF($E57:$X57&gt;0,COLUMN($A:$T),""),AP$31))),0,INDEX($E57:$X57,,SMALL(IF($E57:$X57&gt;0,COLUMN($A:$T),""),AP$31))))</f>
        <v>23.401420533795495</v>
      </c>
      <c r="AQ57" s="5" t="str">
        <f t="array" aca="1" ref="AQ57" ca="1">IF(AQ$31&gt;$AL57,0,IF(ISERROR(OFFSET($E$31,0,SMALL(IF($E57:$X57&gt;0,COLUMN($A:$T),""),AQ$31)-1)),0,OFFSET($E$31,0,SMALL(IF($E57:$X57&gt;0,COLUMN($A:$T),""),AQ$31)-1)))</f>
        <v>生命</v>
      </c>
      <c r="AR57" s="5">
        <f t="array" aca="1" ref="AR57" ca="1">IF(AQ$31&gt;$AL57,0,IF(ISERROR(INDEX($E57:$X57,,SMALL(IF($E57:$X57&gt;0,COLUMN($A:$T),""),AR$31))),0,INDEX($E57:$X57,,SMALL(IF($E57:$X57&gt;0,COLUMN($A:$T),""),AR$31))))</f>
        <v>222.12290564576318</v>
      </c>
      <c r="AS57" s="5" t="str">
        <f t="array" aca="1" ref="AS57" ca="1">IF(AS$31&gt;$AL57,0,IF(ISERROR(OFFSET($E$31,0,SMALL(IF($E57:$X57&gt;0,COLUMN($A:$T),""),AS$31)-1)),0,OFFSET($E$31,0,SMALL(IF($E57:$X57&gt;0,COLUMN($A:$T),""),AS$31)-1)))</f>
        <v>防御</v>
      </c>
      <c r="AT57" s="5">
        <f t="array" aca="1" ref="AT57" ca="1">IF(AS$31&gt;$AL57,0,IF(ISERROR(INDEX($E57:$X57,,SMALL(IF($E57:$X57&gt;0,COLUMN($A:$T),""),AT$31))),0,INDEX($E57:$X57,,SMALL(IF($E57:$X57&gt;0,COLUMN($A:$T),""),AT$31))))</f>
        <v>7.3129439168110926</v>
      </c>
      <c r="AU57" s="5" t="str">
        <f t="array" aca="1" ref="AU57" ca="1">IF(AU$31&gt;$AL57,0,IF(ISERROR(OFFSET($E$31,0,SMALL(IF($E57:$X57&gt;0,COLUMN($A:$T),""),AU$31)-1)),0,OFFSET($E$31,0,SMALL(IF($E57:$X57&gt;0,COLUMN($A:$T),""),AU$31)-1)))</f>
        <v>闪避值</v>
      </c>
      <c r="AV57" s="5">
        <f t="array" aca="1" ref="AV57" ca="1">IF(AU$31&gt;$AL57,0,IF(ISERROR(INDEX($E57:$X57,,SMALL(IF($E57:$X57&gt;0,COLUMN($A:$T),""),AV$31))),0,INDEX($E57:$X57,,SMALL(IF($E57:$X57&gt;0,COLUMN($A:$T),""),AV$31))))</f>
        <v>5.3125000000000018</v>
      </c>
      <c r="AW57" s="5">
        <f t="array" aca="1" ref="AW57" ca="1">IF(AW$31&gt;$AL57,0,IF(ISERROR(OFFSET($E$31,0,SMALL(IF($E57:$X57&gt;0,COLUMN($A:$T),""),AW$31)-1)),0,OFFSET($E$31,0,SMALL(IF($E57:$X57&gt;0,COLUMN($A:$T),""),AW$31)-1)))</f>
        <v>0</v>
      </c>
      <c r="AX57" s="5">
        <f t="array" ref="AX57">IF(AW$31&gt;$AL57,0,IF(ISERROR(INDEX($E57:$X57,,SMALL(IF($E57:$X57&gt;0,COLUMN($A:$T),""),AX$31))),0,INDEX($E57:$X57,,SMALL(IF($E57:$X57&gt;0,COLUMN($A:$T),""),AX$31))))</f>
        <v>0</v>
      </c>
      <c r="AY57" s="5">
        <f t="array" aca="1" ref="AY57" ca="1">IF(AY$31&gt;$AL57,0,IF(ISERROR(OFFSET($E$31,0,SMALL(IF($E57:$X57&gt;0,COLUMN($A:$T),""),AY$31)-1)),0,OFFSET($E$31,0,SMALL(IF($E57:$X57&gt;0,COLUMN($A:$T),""),AY$31)-1)))</f>
        <v>0</v>
      </c>
      <c r="AZ57" s="5">
        <f t="array" ref="AZ57">IF(AY$31&gt;$AL57,0,IF(ISERROR(INDEX($E57:$X57,,SMALL(IF($E57:$X57&gt;0,COLUMN($A:$T),""),AZ$31))),0,INDEX($E57:$X57,,SMALL(IF($E57:$X57&gt;0,COLUMN($A:$T),""),AZ$31))))</f>
        <v>0</v>
      </c>
      <c r="BA57" s="5">
        <f t="array" aca="1" ref="BA57" ca="1">IF(BA$31&gt;$AL57,0,IF(ISERROR(OFFSET($E$31,0,SMALL(IF($E57:$X57&gt;0,COLUMN($A:$T),""),BA$31)-1)),0,OFFSET($E$31,0,SMALL(IF($E57:$X57&gt;0,COLUMN($A:$T),""),BA$31)-1)))</f>
        <v>0</v>
      </c>
      <c r="BB57" s="5">
        <f t="array" ref="BB57">IF(BA$31&gt;$AL57,0,IF(ISERROR(INDEX($E57:$X57,,SMALL(IF($E57:$X57&gt;0,COLUMN($A:$T),""),BB$31))),0,INDEX($E57:$X57,,SMALL(IF($E57:$X57&gt;0,COLUMN($A:$T),""),BB$31))))</f>
        <v>0</v>
      </c>
      <c r="BC57" s="5">
        <f t="array" aca="1" ref="BC57" ca="1">IF(BC$31&gt;$AL57,0,IF(ISERROR(OFFSET($E$31,0,SMALL(IF($E57:$X57&gt;0,COLUMN($A:$T),""),BC$31)-1)),0,OFFSET($E$31,0,SMALL(IF($E57:$X57&gt;0,COLUMN($A:$T),""),BC$31)-1)))</f>
        <v>0</v>
      </c>
      <c r="BD57" s="5">
        <f t="array" ref="BD57">IF(BC$31&gt;$AL57,0,IF(ISERROR(INDEX($E57:$X57,,SMALL(IF($E57:$X57&gt;0,COLUMN($A:$T),""),BD$31))),0,INDEX($E57:$X57,,SMALL(IF($E57:$X57&gt;0,COLUMN($A:$T),""),BD$31))))</f>
        <v>0</v>
      </c>
      <c r="BE57" s="5">
        <f t="array" aca="1" ref="BE57" ca="1">IF(BE$31&gt;$AL57,0,IF(ISERROR(OFFSET($E$31,0,SMALL(IF($E57:$X57&gt;0,COLUMN($A:$T),""),BE$31)-1)),0,OFFSET($E$31,0,SMALL(IF($E57:$X57&gt;0,COLUMN($A:$T),""),BE$31)-1)))</f>
        <v>0</v>
      </c>
      <c r="BF57" s="5">
        <f t="array" ref="BF57">IF(BE$31&gt;$AL57,0,IF(ISERROR(INDEX($E57:$X57,,SMALL(IF($E57:$X57&gt;0,COLUMN($A:$T),""),BF$31))),0,INDEX($E57:$X57,,SMALL(IF($E57:$X57&gt;0,COLUMN($A:$T),""),BF$31))))</f>
        <v>0</v>
      </c>
      <c r="BH57">
        <f ca="1">SUMPRODUCT(E57:N57,定义数据!$G$14:$P$14)</f>
        <v>66.049018417782008</v>
      </c>
      <c r="BI57">
        <f ca="1">SUMPRODUCT(O57:X57,定义数据!$G$14:$P$14)</f>
        <v>18.948554587086065</v>
      </c>
      <c r="BJ57" s="5">
        <f t="shared" ca="1" si="76"/>
        <v>84.997573004868073</v>
      </c>
      <c r="BK57" s="5" t="str">
        <f>D57&amp;B57&amp;VLOOKUP(C57,定义数据!$E$1:$F$7,2,FALSE)</f>
        <v>1531</v>
      </c>
    </row>
    <row r="58" spans="1:63" x14ac:dyDescent="0.15">
      <c r="A58" s="17" t="str">
        <f>D58&amp;B58&amp;VLOOKUP(C58,定义数据!$E$1:$F$7,2,FALSE)</f>
        <v>1532</v>
      </c>
      <c r="B58" s="18">
        <v>3</v>
      </c>
      <c r="C58" s="18" t="s">
        <v>137</v>
      </c>
      <c r="D58" s="24">
        <v>15</v>
      </c>
      <c r="E58" s="56">
        <f t="shared" ca="1" si="55"/>
        <v>0</v>
      </c>
      <c r="F58" s="56">
        <f t="shared" ca="1" si="56"/>
        <v>0</v>
      </c>
      <c r="G58" s="56">
        <f t="shared" ca="1" si="57"/>
        <v>15.600947022530329</v>
      </c>
      <c r="H58" s="56">
        <f t="shared" ca="1" si="58"/>
        <v>23.611111111111114</v>
      </c>
      <c r="I58" s="56">
        <f t="shared" ca="1" si="59"/>
        <v>0</v>
      </c>
      <c r="J58" s="56">
        <f t="shared" ca="1" si="60"/>
        <v>0</v>
      </c>
      <c r="K58" s="56">
        <f t="shared" ca="1" si="61"/>
        <v>0</v>
      </c>
      <c r="L58" s="56">
        <f t="shared" ca="1" si="62"/>
        <v>0</v>
      </c>
      <c r="M58" s="56">
        <f t="shared" ca="1" si="63"/>
        <v>0</v>
      </c>
      <c r="N58" s="56">
        <f t="shared" ca="1" si="64"/>
        <v>0</v>
      </c>
      <c r="O58" s="65">
        <f t="shared" ca="1" si="65"/>
        <v>111.06145282288159</v>
      </c>
      <c r="P58" s="65">
        <f t="shared" ca="1" si="66"/>
        <v>0</v>
      </c>
      <c r="Q58" s="65">
        <f t="shared" ca="1" si="67"/>
        <v>2.4376479722703639</v>
      </c>
      <c r="R58" s="65">
        <f t="shared" ca="1" si="68"/>
        <v>5.3125000000000018</v>
      </c>
      <c r="S58" s="65">
        <f t="shared" ca="1" si="69"/>
        <v>0</v>
      </c>
      <c r="T58" s="65">
        <f t="shared" ca="1" si="70"/>
        <v>0</v>
      </c>
      <c r="U58" s="65">
        <f t="shared" ca="1" si="71"/>
        <v>0</v>
      </c>
      <c r="V58" s="65">
        <f t="shared" ca="1" si="72"/>
        <v>5.2469135802469129</v>
      </c>
      <c r="W58" s="65">
        <f t="shared" ca="1" si="73"/>
        <v>0</v>
      </c>
      <c r="X58" s="65">
        <f t="shared" ca="1" si="74"/>
        <v>0</v>
      </c>
      <c r="Y58" s="21" t="s">
        <v>96</v>
      </c>
      <c r="Z58" s="15">
        <f>VLOOKUP($D58&amp;$B58,[3]!装备基础属性表,P$30,FALSE)</f>
        <v>2221.2290564576315</v>
      </c>
      <c r="AA58" s="15">
        <f>VLOOKUP($D58&amp;$B58,[3]!装备基础属性表,Q$30,FALSE)</f>
        <v>112.82269090909095</v>
      </c>
      <c r="AB58" s="15">
        <f>VLOOKUP($D58&amp;$B58,[3]!装备基础属性表,R$30,FALSE)</f>
        <v>48.752959445407278</v>
      </c>
      <c r="AC58" s="15">
        <f>VLOOKUP($D58&amp;$B58,[3]!装备基础属性表,S$30,FALSE)</f>
        <v>88.541666666666671</v>
      </c>
      <c r="AD58" s="15">
        <f>VLOOKUP($D58&amp;$B58,[3]!装备基础属性表,T$30,FALSE)</f>
        <v>88.541666666666671</v>
      </c>
      <c r="AE58" s="15">
        <f>VLOOKUP($D58&amp;$B58,[3]!装备基础属性表,U$30,FALSE)</f>
        <v>52.469135802469133</v>
      </c>
      <c r="AF58" s="15">
        <f>VLOOKUP($D58&amp;$B58,[3]!装备基础属性表,V$30,FALSE)</f>
        <v>0</v>
      </c>
      <c r="AG58" s="15">
        <f>VLOOKUP($D58&amp;$B58,[3]!装备基础属性表,W$30,FALSE)</f>
        <v>52.469135802469133</v>
      </c>
      <c r="AH58" s="15">
        <f>VLOOKUP($D58&amp;$B58,[3]!装备基础属性表,X$30,FALSE)</f>
        <v>0</v>
      </c>
      <c r="AI58" s="15">
        <f>VLOOKUP($D58&amp;$B58,[3]!装备基础属性表,Y$30,FALSE)</f>
        <v>0</v>
      </c>
      <c r="AJ58" s="16" t="str">
        <f>B58&amp;VLOOKUP(C58,定义数据!$E$1:$F$7,2,FALSE)&amp;D58</f>
        <v>3215</v>
      </c>
      <c r="AK58" s="14">
        <f t="shared" si="29"/>
        <v>6</v>
      </c>
      <c r="AL58" s="5">
        <f t="shared" si="75"/>
        <v>5</v>
      </c>
      <c r="AM58" s="5" t="str">
        <f t="array" aca="1" ref="AM58" ca="1">IF(AM$31&gt;$AL58,0,IF(ISERROR(OFFSET($E$31,0,SMALL(IF($E58:$X58&gt;0,COLUMN($A:$T),""),AM$31)-1)),0,OFFSET($E$31,0,SMALL(IF($E58:$X58&gt;0,COLUMN($A:$T),""),AM$31)-1)))</f>
        <v>防御</v>
      </c>
      <c r="AN58" s="5">
        <f t="array" aca="1" ref="AN58" ca="1">IF(AM$31&gt;$AL58,0,IF(ISERROR(INDEX($E58:$X58,,SMALL(IF($E58:$X58&gt;0,COLUMN($A:$T),""),AN$31))),0,INDEX($E58:$X58,,SMALL(IF($E58:$X58&gt;0,COLUMN($A:$T),""),AN$31))))</f>
        <v>15.600947022530329</v>
      </c>
      <c r="AO58" s="5" t="str">
        <f t="array" aca="1" ref="AO58" ca="1">IF(AO$31&gt;$AL58,0,IF(ISERROR(OFFSET($E$31,0,SMALL(IF($E58:$X58&gt;0,COLUMN($A:$T),""),AO$31)-1)),0,OFFSET($E$31,0,SMALL(IF($E58:$X58&gt;0,COLUMN($A:$T),""),AO$31)-1)))</f>
        <v>闪避值</v>
      </c>
      <c r="AP58" s="5">
        <f t="array" aca="1" ref="AP58" ca="1">IF(AO$31&gt;$AL58,0,IF(ISERROR(INDEX($E58:$X58,,SMALL(IF($E58:$X58&gt;0,COLUMN($A:$T),""),AP$31))),0,INDEX($E58:$X58,,SMALL(IF($E58:$X58&gt;0,COLUMN($A:$T),""),AP$31))))</f>
        <v>23.611111111111114</v>
      </c>
      <c r="AQ58" s="5" t="str">
        <f t="array" aca="1" ref="AQ58" ca="1">IF(AQ$31&gt;$AL58,0,IF(ISERROR(OFFSET($E$31,0,SMALL(IF($E58:$X58&gt;0,COLUMN($A:$T),""),AQ$31)-1)),0,OFFSET($E$31,0,SMALL(IF($E58:$X58&gt;0,COLUMN($A:$T),""),AQ$31)-1)))</f>
        <v>生命</v>
      </c>
      <c r="AR58" s="5">
        <f t="array" aca="1" ref="AR58" ca="1">IF(AQ$31&gt;$AL58,0,IF(ISERROR(INDEX($E58:$X58,,SMALL(IF($E58:$X58&gt;0,COLUMN($A:$T),""),AR$31))),0,INDEX($E58:$X58,,SMALL(IF($E58:$X58&gt;0,COLUMN($A:$T),""),AR$31))))</f>
        <v>111.06145282288159</v>
      </c>
      <c r="AS58" s="5" t="str">
        <f t="array" aca="1" ref="AS58" ca="1">IF(AS$31&gt;$AL58,0,IF(ISERROR(OFFSET($E$31,0,SMALL(IF($E58:$X58&gt;0,COLUMN($A:$T),""),AS$31)-1)),0,OFFSET($E$31,0,SMALL(IF($E58:$X58&gt;0,COLUMN($A:$T),""),AS$31)-1)))</f>
        <v>防御</v>
      </c>
      <c r="AT58" s="5">
        <f t="array" aca="1" ref="AT58" ca="1">IF(AS$31&gt;$AL58,0,IF(ISERROR(INDEX($E58:$X58,,SMALL(IF($E58:$X58&gt;0,COLUMN($A:$T),""),AT$31))),0,INDEX($E58:$X58,,SMALL(IF($E58:$X58&gt;0,COLUMN($A:$T),""),AT$31))))</f>
        <v>2.4376479722703639</v>
      </c>
      <c r="AU58" s="5" t="str">
        <f t="array" aca="1" ref="AU58" ca="1">IF(AU$31&gt;$AL58,0,IF(ISERROR(OFFSET($E$31,0,SMALL(IF($E58:$X58&gt;0,COLUMN($A:$T),""),AU$31)-1)),0,OFFSET($E$31,0,SMALL(IF($E58:$X58&gt;0,COLUMN($A:$T),""),AU$31)-1)))</f>
        <v>闪避值</v>
      </c>
      <c r="AV58" s="5">
        <f t="array" aca="1" ref="AV58" ca="1">IF(AU$31&gt;$AL58,0,IF(ISERROR(INDEX($E58:$X58,,SMALL(IF($E58:$X58&gt;0,COLUMN($A:$T),""),AV$31))),0,INDEX($E58:$X58,,SMALL(IF($E58:$X58&gt;0,COLUMN($A:$T),""),AV$31))))</f>
        <v>5.3125000000000018</v>
      </c>
      <c r="AW58" s="5">
        <f t="array" aca="1" ref="AW58" ca="1">IF(AW$31&gt;$AL58,0,IF(ISERROR(OFFSET($E$31,0,SMALL(IF($E58:$X58&gt;0,COLUMN($A:$T),""),AW$31)-1)),0,OFFSET($E$31,0,SMALL(IF($E58:$X58&gt;0,COLUMN($A:$T),""),AW$31)-1)))</f>
        <v>0</v>
      </c>
      <c r="AX58" s="5">
        <f t="array" ref="AX58">IF(AW$31&gt;$AL58,0,IF(ISERROR(INDEX($E58:$X58,,SMALL(IF($E58:$X58&gt;0,COLUMN($A:$T),""),AX$31))),0,INDEX($E58:$X58,,SMALL(IF($E58:$X58&gt;0,COLUMN($A:$T),""),AX$31))))</f>
        <v>0</v>
      </c>
      <c r="AY58" s="5">
        <f t="array" aca="1" ref="AY58" ca="1">IF(AY$31&gt;$AL58,0,IF(ISERROR(OFFSET($E$31,0,SMALL(IF($E58:$X58&gt;0,COLUMN($A:$T),""),AY$31)-1)),0,OFFSET($E$31,0,SMALL(IF($E58:$X58&gt;0,COLUMN($A:$T),""),AY$31)-1)))</f>
        <v>0</v>
      </c>
      <c r="AZ58" s="5">
        <f t="array" ref="AZ58">IF(AY$31&gt;$AL58,0,IF(ISERROR(INDEX($E58:$X58,,SMALL(IF($E58:$X58&gt;0,COLUMN($A:$T),""),AZ$31))),0,INDEX($E58:$X58,,SMALL(IF($E58:$X58&gt;0,COLUMN($A:$T),""),AZ$31))))</f>
        <v>0</v>
      </c>
      <c r="BA58" s="5">
        <f t="array" aca="1" ref="BA58" ca="1">IF(BA$31&gt;$AL58,0,IF(ISERROR(OFFSET($E$31,0,SMALL(IF($E58:$X58&gt;0,COLUMN($A:$T),""),BA$31)-1)),0,OFFSET($E$31,0,SMALL(IF($E58:$X58&gt;0,COLUMN($A:$T),""),BA$31)-1)))</f>
        <v>0</v>
      </c>
      <c r="BB58" s="5">
        <f t="array" ref="BB58">IF(BA$31&gt;$AL58,0,IF(ISERROR(INDEX($E58:$X58,,SMALL(IF($E58:$X58&gt;0,COLUMN($A:$T),""),BB$31))),0,INDEX($E58:$X58,,SMALL(IF($E58:$X58&gt;0,COLUMN($A:$T),""),BB$31))))</f>
        <v>0</v>
      </c>
      <c r="BC58" s="5">
        <f t="array" aca="1" ref="BC58" ca="1">IF(BC$31&gt;$AL58,0,IF(ISERROR(OFFSET($E$31,0,SMALL(IF($E58:$X58&gt;0,COLUMN($A:$T),""),BC$31)-1)),0,OFFSET($E$31,0,SMALL(IF($E58:$X58&gt;0,COLUMN($A:$T),""),BC$31)-1)))</f>
        <v>0</v>
      </c>
      <c r="BD58" s="5">
        <f t="array" ref="BD58">IF(BC$31&gt;$AL58,0,IF(ISERROR(INDEX($E58:$X58,,SMALL(IF($E58:$X58&gt;0,COLUMN($A:$T),""),BD$31))),0,INDEX($E58:$X58,,SMALL(IF($E58:$X58&gt;0,COLUMN($A:$T),""),BD$31))))</f>
        <v>0</v>
      </c>
      <c r="BE58" s="5">
        <f t="array" aca="1" ref="BE58" ca="1">IF(BE$31&gt;$AL58,0,IF(ISERROR(OFFSET($E$31,0,SMALL(IF($E58:$X58&gt;0,COLUMN($A:$T),""),BE$31)-1)),0,OFFSET($E$31,0,SMALL(IF($E58:$X58&gt;0,COLUMN($A:$T),""),BE$31)-1)))</f>
        <v>0</v>
      </c>
      <c r="BF58" s="5">
        <f t="array" ref="BF58">IF(BE$31&gt;$AL58,0,IF(ISERROR(INDEX($E58:$X58,,SMALL(IF($E58:$X58&gt;0,COLUMN($A:$T),""),BF$31))),0,INDEX($E58:$X58,,SMALL(IF($E58:$X58&gt;0,COLUMN($A:$T),""),BF$31))))</f>
        <v>0</v>
      </c>
      <c r="BH58">
        <f ca="1">SUMPRODUCT(E58:N58,定义数据!$G$14:$P$14)</f>
        <v>23.628724800308106</v>
      </c>
      <c r="BI58">
        <f ca="1">SUMPRODUCT(O58:X58,定义数据!$G$14:$P$14)</f>
        <v>9.6308005296300738</v>
      </c>
      <c r="BJ58" s="5">
        <f t="shared" ca="1" si="76"/>
        <v>33.259525329938178</v>
      </c>
      <c r="BK58" s="5" t="str">
        <f>D58&amp;B58&amp;VLOOKUP(C58,定义数据!$E$1:$F$7,2,FALSE)</f>
        <v>1532</v>
      </c>
    </row>
    <row r="59" spans="1:63" x14ac:dyDescent="0.15">
      <c r="A59" s="17" t="str">
        <f>D59&amp;B59&amp;VLOOKUP(C59,定义数据!$E$1:$F$7,2,FALSE)</f>
        <v>1535</v>
      </c>
      <c r="B59" s="18">
        <v>3</v>
      </c>
      <c r="C59" s="18" t="s">
        <v>138</v>
      </c>
      <c r="D59" s="24">
        <v>15</v>
      </c>
      <c r="E59" s="56">
        <f t="shared" ca="1" si="55"/>
        <v>355.39664903322108</v>
      </c>
      <c r="F59" s="56">
        <f t="shared" ca="1" si="56"/>
        <v>0</v>
      </c>
      <c r="G59" s="56">
        <f t="shared" ca="1" si="57"/>
        <v>0</v>
      </c>
      <c r="H59" s="56">
        <f t="shared" ca="1" si="58"/>
        <v>47.222222222222229</v>
      </c>
      <c r="I59" s="56">
        <f t="shared" ca="1" si="59"/>
        <v>0</v>
      </c>
      <c r="J59" s="56">
        <f t="shared" ca="1" si="60"/>
        <v>0</v>
      </c>
      <c r="K59" s="56">
        <f t="shared" ca="1" si="61"/>
        <v>0</v>
      </c>
      <c r="L59" s="56">
        <f t="shared" ca="1" si="62"/>
        <v>0</v>
      </c>
      <c r="M59" s="56">
        <f t="shared" ca="1" si="63"/>
        <v>0</v>
      </c>
      <c r="N59" s="56">
        <f t="shared" ca="1" si="64"/>
        <v>0</v>
      </c>
      <c r="O59" s="65">
        <f t="shared" ca="1" si="65"/>
        <v>111.06145282288159</v>
      </c>
      <c r="P59" s="65">
        <f t="shared" ca="1" si="66"/>
        <v>0</v>
      </c>
      <c r="Q59" s="65">
        <f t="shared" ca="1" si="67"/>
        <v>0</v>
      </c>
      <c r="R59" s="65">
        <f t="shared" ca="1" si="68"/>
        <v>10.625000000000004</v>
      </c>
      <c r="S59" s="65">
        <f t="shared" ca="1" si="69"/>
        <v>8.8541666666666679</v>
      </c>
      <c r="T59" s="65">
        <f t="shared" ca="1" si="70"/>
        <v>3.1481481481481488</v>
      </c>
      <c r="U59" s="65">
        <f t="shared" ca="1" si="71"/>
        <v>0</v>
      </c>
      <c r="V59" s="65">
        <f t="shared" ca="1" si="72"/>
        <v>0</v>
      </c>
      <c r="W59" s="65">
        <f t="shared" ca="1" si="73"/>
        <v>0</v>
      </c>
      <c r="X59" s="65">
        <f t="shared" ca="1" si="74"/>
        <v>0</v>
      </c>
      <c r="Y59" s="21"/>
      <c r="Z59" s="15">
        <f>VLOOKUP($D59&amp;$B59,[3]!装备基础属性表,P$30,FALSE)</f>
        <v>2221.2290564576315</v>
      </c>
      <c r="AA59" s="15">
        <f>VLOOKUP($D59&amp;$B59,[3]!装备基础属性表,Q$30,FALSE)</f>
        <v>112.82269090909095</v>
      </c>
      <c r="AB59" s="15">
        <f>VLOOKUP($D59&amp;$B59,[3]!装备基础属性表,R$30,FALSE)</f>
        <v>48.752959445407278</v>
      </c>
      <c r="AC59" s="15">
        <f>VLOOKUP($D59&amp;$B59,[3]!装备基础属性表,S$30,FALSE)</f>
        <v>88.541666666666671</v>
      </c>
      <c r="AD59" s="15">
        <f>VLOOKUP($D59&amp;$B59,[3]!装备基础属性表,T$30,FALSE)</f>
        <v>88.541666666666671</v>
      </c>
      <c r="AE59" s="15">
        <f>VLOOKUP($D59&amp;$B59,[3]!装备基础属性表,U$30,FALSE)</f>
        <v>52.469135802469133</v>
      </c>
      <c r="AF59" s="15">
        <f>VLOOKUP($D59&amp;$B59,[3]!装备基础属性表,V$30,FALSE)</f>
        <v>0</v>
      </c>
      <c r="AG59" s="15">
        <f>VLOOKUP($D59&amp;$B59,[3]!装备基础属性表,W$30,FALSE)</f>
        <v>52.469135802469133</v>
      </c>
      <c r="AH59" s="15">
        <f>VLOOKUP($D59&amp;$B59,[3]!装备基础属性表,X$30,FALSE)</f>
        <v>0</v>
      </c>
      <c r="AI59" s="15">
        <f>VLOOKUP($D59&amp;$B59,[3]!装备基础属性表,Y$30,FALSE)</f>
        <v>0</v>
      </c>
      <c r="AJ59" s="16" t="str">
        <f>B59&amp;VLOOKUP(C59,定义数据!$E$1:$F$7,2,FALSE)&amp;D59</f>
        <v>3515</v>
      </c>
      <c r="AK59" s="14">
        <f t="shared" si="29"/>
        <v>6</v>
      </c>
      <c r="AL59" s="5">
        <f t="shared" si="75"/>
        <v>5</v>
      </c>
      <c r="AM59" s="5" t="str">
        <f t="array" aca="1" ref="AM59" ca="1">IF(AM$31&gt;$AL59,0,IF(ISERROR(OFFSET($E$31,0,SMALL(IF($E59:$X59&gt;0,COLUMN($A:$T),""),AM$31)-1)),0,OFFSET($E$31,0,SMALL(IF($E59:$X59&gt;0,COLUMN($A:$T),""),AM$31)-1)))</f>
        <v>生命</v>
      </c>
      <c r="AN59" s="5">
        <f t="array" aca="1" ref="AN59" ca="1">IF(AM$31&gt;$AL59,0,IF(ISERROR(INDEX($E59:$X59,,SMALL(IF($E59:$X59&gt;0,COLUMN($A:$T),""),AN$31))),0,INDEX($E59:$X59,,SMALL(IF($E59:$X59&gt;0,COLUMN($A:$T),""),AN$31))))</f>
        <v>355.39664903322108</v>
      </c>
      <c r="AO59" s="5" t="str">
        <f t="array" aca="1" ref="AO59" ca="1">IF(AO$31&gt;$AL59,0,IF(ISERROR(OFFSET($E$31,0,SMALL(IF($E59:$X59&gt;0,COLUMN($A:$T),""),AO$31)-1)),0,OFFSET($E$31,0,SMALL(IF($E59:$X59&gt;0,COLUMN($A:$T),""),AO$31)-1)))</f>
        <v>闪避值</v>
      </c>
      <c r="AP59" s="5">
        <f t="array" aca="1" ref="AP59" ca="1">IF(AO$31&gt;$AL59,0,IF(ISERROR(INDEX($E59:$X59,,SMALL(IF($E59:$X59&gt;0,COLUMN($A:$T),""),AP$31))),0,INDEX($E59:$X59,,SMALL(IF($E59:$X59&gt;0,COLUMN($A:$T),""),AP$31))))</f>
        <v>47.222222222222229</v>
      </c>
      <c r="AQ59" s="5" t="str">
        <f t="array" aca="1" ref="AQ59" ca="1">IF(AQ$31&gt;$AL59,0,IF(ISERROR(OFFSET($E$31,0,SMALL(IF($E59:$X59&gt;0,COLUMN($A:$T),""),AQ$31)-1)),0,OFFSET($E$31,0,SMALL(IF($E59:$X59&gt;0,COLUMN($A:$T),""),AQ$31)-1)))</f>
        <v>生命</v>
      </c>
      <c r="AR59" s="5">
        <f t="array" aca="1" ref="AR59" ca="1">IF(AQ$31&gt;$AL59,0,IF(ISERROR(INDEX($E59:$X59,,SMALL(IF($E59:$X59&gt;0,COLUMN($A:$T),""),AR$31))),0,INDEX($E59:$X59,,SMALL(IF($E59:$X59&gt;0,COLUMN($A:$T),""),AR$31))))</f>
        <v>111.06145282288159</v>
      </c>
      <c r="AS59" s="5" t="str">
        <f t="array" aca="1" ref="AS59" ca="1">IF(AS$31&gt;$AL59,0,IF(ISERROR(OFFSET($E$31,0,SMALL(IF($E59:$X59&gt;0,COLUMN($A:$T),""),AS$31)-1)),0,OFFSET($E$31,0,SMALL(IF($E59:$X59&gt;0,COLUMN($A:$T),""),AS$31)-1)))</f>
        <v>闪避值</v>
      </c>
      <c r="AT59" s="5">
        <f t="array" aca="1" ref="AT59" ca="1">IF(AS$31&gt;$AL59,0,IF(ISERROR(INDEX($E59:$X59,,SMALL(IF($E59:$X59&gt;0,COLUMN($A:$T),""),AT$31))),0,INDEX($E59:$X59,,SMALL(IF($E59:$X59&gt;0,COLUMN($A:$T),""),AT$31))))</f>
        <v>10.625000000000004</v>
      </c>
      <c r="AU59" s="5" t="str">
        <f t="array" aca="1" ref="AU59" ca="1">IF(AU$31&gt;$AL59,0,IF(ISERROR(OFFSET($E$31,0,SMALL(IF($E59:$X59&gt;0,COLUMN($A:$T),""),AU$31)-1)),0,OFFSET($E$31,0,SMALL(IF($E59:$X59&gt;0,COLUMN($A:$T),""),AU$31)-1)))</f>
        <v>命中值</v>
      </c>
      <c r="AV59" s="5">
        <f t="array" aca="1" ref="AV59" ca="1">IF(AU$31&gt;$AL59,0,IF(ISERROR(INDEX($E59:$X59,,SMALL(IF($E59:$X59&gt;0,COLUMN($A:$T),""),AV$31))),0,INDEX($E59:$X59,,SMALL(IF($E59:$X59&gt;0,COLUMN($A:$T),""),AV$31))))</f>
        <v>8.8541666666666679</v>
      </c>
      <c r="AW59" s="5">
        <f t="array" aca="1" ref="AW59" ca="1">IF(AW$31&gt;$AL59,0,IF(ISERROR(OFFSET($E$31,0,SMALL(IF($E59:$X59&gt;0,COLUMN($A:$T),""),AW$31)-1)),0,OFFSET($E$31,0,SMALL(IF($E59:$X59&gt;0,COLUMN($A:$T),""),AW$31)-1)))</f>
        <v>0</v>
      </c>
      <c r="AX59" s="5">
        <f t="array" ref="AX59">IF(AW$31&gt;$AL59,0,IF(ISERROR(INDEX($E59:$X59,,SMALL(IF($E59:$X59&gt;0,COLUMN($A:$T),""),AX$31))),0,INDEX($E59:$X59,,SMALL(IF($E59:$X59&gt;0,COLUMN($A:$T),""),AX$31))))</f>
        <v>0</v>
      </c>
      <c r="AY59" s="5">
        <f t="array" aca="1" ref="AY59" ca="1">IF(AY$31&gt;$AL59,0,IF(ISERROR(OFFSET($E$31,0,SMALL(IF($E59:$X59&gt;0,COLUMN($A:$T),""),AY$31)-1)),0,OFFSET($E$31,0,SMALL(IF($E59:$X59&gt;0,COLUMN($A:$T),""),AY$31)-1)))</f>
        <v>0</v>
      </c>
      <c r="AZ59" s="5">
        <f t="array" ref="AZ59">IF(AY$31&gt;$AL59,0,IF(ISERROR(INDEX($E59:$X59,,SMALL(IF($E59:$X59&gt;0,COLUMN($A:$T),""),AZ$31))),0,INDEX($E59:$X59,,SMALL(IF($E59:$X59&gt;0,COLUMN($A:$T),""),AZ$31))))</f>
        <v>0</v>
      </c>
      <c r="BA59" s="5">
        <f t="array" aca="1" ref="BA59" ca="1">IF(BA$31&gt;$AL59,0,IF(ISERROR(OFFSET($E$31,0,SMALL(IF($E59:$X59&gt;0,COLUMN($A:$T),""),BA$31)-1)),0,OFFSET($E$31,0,SMALL(IF($E59:$X59&gt;0,COLUMN($A:$T),""),BA$31)-1)))</f>
        <v>0</v>
      </c>
      <c r="BB59" s="5">
        <f t="array" ref="BB59">IF(BA$31&gt;$AL59,0,IF(ISERROR(INDEX($E59:$X59,,SMALL(IF($E59:$X59&gt;0,COLUMN($A:$T),""),BB$31))),0,INDEX($E59:$X59,,SMALL(IF($E59:$X59&gt;0,COLUMN($A:$T),""),BB$31))))</f>
        <v>0</v>
      </c>
      <c r="BC59" s="5">
        <f t="array" aca="1" ref="BC59" ca="1">IF(BC$31&gt;$AL59,0,IF(ISERROR(OFFSET($E$31,0,SMALL(IF($E59:$X59&gt;0,COLUMN($A:$T),""),BC$31)-1)),0,OFFSET($E$31,0,SMALL(IF($E59:$X59&gt;0,COLUMN($A:$T),""),BC$31)-1)))</f>
        <v>0</v>
      </c>
      <c r="BD59" s="5">
        <f t="array" ref="BD59">IF(BC$31&gt;$AL59,0,IF(ISERROR(INDEX($E59:$X59,,SMALL(IF($E59:$X59&gt;0,COLUMN($A:$T),""),BD$31))),0,INDEX($E59:$X59,,SMALL(IF($E59:$X59&gt;0,COLUMN($A:$T),""),BD$31))))</f>
        <v>0</v>
      </c>
      <c r="BE59" s="5">
        <f t="array" aca="1" ref="BE59" ca="1">IF(BE$31&gt;$AL59,0,IF(ISERROR(OFFSET($E$31,0,SMALL(IF($E59:$X59&gt;0,COLUMN($A:$T),""),BE$31)-1)),0,OFFSET($E$31,0,SMALL(IF($E59:$X59&gt;0,COLUMN($A:$T),""),BE$31)-1)))</f>
        <v>0</v>
      </c>
      <c r="BF59" s="5">
        <f t="array" ref="BF59">IF(BE$31&gt;$AL59,0,IF(ISERROR(INDEX($E59:$X59,,SMALL(IF($E59:$X59&gt;0,COLUMN($A:$T),""),BF$31))),0,INDEX($E59:$X59,,SMALL(IF($E59:$X59&gt;0,COLUMN($A:$T),""),BF$31))))</f>
        <v>0</v>
      </c>
      <c r="BH59">
        <f ca="1">SUMPRODUCT(E59:N59,定义数据!$G$14:$P$14)</f>
        <v>30.271421516884402</v>
      </c>
      <c r="BI59">
        <f ca="1">SUMPRODUCT(O59:X59,定义数据!$G$14:$P$14)</f>
        <v>11.6320414462486</v>
      </c>
      <c r="BJ59" s="5">
        <f t="shared" ca="1" si="76"/>
        <v>41.903462963133002</v>
      </c>
      <c r="BK59" s="5" t="str">
        <f>D59&amp;B59&amp;VLOOKUP(C59,定义数据!$E$1:$F$7,2,FALSE)</f>
        <v>1535</v>
      </c>
    </row>
    <row r="60" spans="1:63" x14ac:dyDescent="0.15">
      <c r="A60" s="17" t="str">
        <f>D60&amp;B60&amp;VLOOKUP(C60,定义数据!$E$1:$F$7,2,FALSE)</f>
        <v>1534</v>
      </c>
      <c r="B60" s="18">
        <v>3</v>
      </c>
      <c r="C60" s="18" t="s">
        <v>83</v>
      </c>
      <c r="D60" s="24">
        <v>15</v>
      </c>
      <c r="E60" s="56">
        <f t="shared" ca="1" si="55"/>
        <v>355.39664903322108</v>
      </c>
      <c r="F60" s="56">
        <f t="shared" ca="1" si="56"/>
        <v>0</v>
      </c>
      <c r="G60" s="56">
        <f t="shared" ca="1" si="57"/>
        <v>0</v>
      </c>
      <c r="H60" s="56">
        <f t="shared" ca="1" si="58"/>
        <v>0</v>
      </c>
      <c r="I60" s="56">
        <f t="shared" ca="1" si="59"/>
        <v>0</v>
      </c>
      <c r="J60" s="56">
        <f t="shared" ca="1" si="60"/>
        <v>0</v>
      </c>
      <c r="K60" s="56">
        <f t="shared" ca="1" si="61"/>
        <v>0</v>
      </c>
      <c r="L60" s="56">
        <f t="shared" ca="1" si="62"/>
        <v>41.97530864197531</v>
      </c>
      <c r="M60" s="56">
        <f t="shared" ca="1" si="63"/>
        <v>0</v>
      </c>
      <c r="N60" s="56">
        <f t="shared" ca="1" si="64"/>
        <v>0</v>
      </c>
      <c r="O60" s="65">
        <f t="shared" ca="1" si="65"/>
        <v>222.12290564576318</v>
      </c>
      <c r="P60" s="65">
        <f t="shared" ca="1" si="66"/>
        <v>6.769361454545459</v>
      </c>
      <c r="Q60" s="65">
        <f t="shared" ca="1" si="67"/>
        <v>2.4376479722703639</v>
      </c>
      <c r="R60" s="65">
        <f t="shared" ca="1" si="68"/>
        <v>0</v>
      </c>
      <c r="S60" s="65">
        <f t="shared" ca="1" si="69"/>
        <v>0</v>
      </c>
      <c r="T60" s="65">
        <f t="shared" ca="1" si="70"/>
        <v>0</v>
      </c>
      <c r="U60" s="65">
        <f t="shared" ca="1" si="71"/>
        <v>0</v>
      </c>
      <c r="V60" s="65">
        <f t="shared" ca="1" si="72"/>
        <v>5.2469135802469129</v>
      </c>
      <c r="W60" s="65">
        <f t="shared" ca="1" si="73"/>
        <v>0</v>
      </c>
      <c r="X60" s="65">
        <f t="shared" ca="1" si="74"/>
        <v>0</v>
      </c>
      <c r="Y60" s="21"/>
      <c r="Z60" s="15">
        <f>VLOOKUP($D60&amp;$B60,[3]!装备基础属性表,P$30,FALSE)</f>
        <v>2221.2290564576315</v>
      </c>
      <c r="AA60" s="15">
        <f>VLOOKUP($D60&amp;$B60,[3]!装备基础属性表,Q$30,FALSE)</f>
        <v>112.82269090909095</v>
      </c>
      <c r="AB60" s="15">
        <f>VLOOKUP($D60&amp;$B60,[3]!装备基础属性表,R$30,FALSE)</f>
        <v>48.752959445407278</v>
      </c>
      <c r="AC60" s="15">
        <f>VLOOKUP($D60&amp;$B60,[3]!装备基础属性表,S$30,FALSE)</f>
        <v>88.541666666666671</v>
      </c>
      <c r="AD60" s="15">
        <f>VLOOKUP($D60&amp;$B60,[3]!装备基础属性表,T$30,FALSE)</f>
        <v>88.541666666666671</v>
      </c>
      <c r="AE60" s="15">
        <f>VLOOKUP($D60&amp;$B60,[3]!装备基础属性表,U$30,FALSE)</f>
        <v>52.469135802469133</v>
      </c>
      <c r="AF60" s="15">
        <f>VLOOKUP($D60&amp;$B60,[3]!装备基础属性表,V$30,FALSE)</f>
        <v>0</v>
      </c>
      <c r="AG60" s="15">
        <f>VLOOKUP($D60&amp;$B60,[3]!装备基础属性表,W$30,FALSE)</f>
        <v>52.469135802469133</v>
      </c>
      <c r="AH60" s="15">
        <f>VLOOKUP($D60&amp;$B60,[3]!装备基础属性表,X$30,FALSE)</f>
        <v>0</v>
      </c>
      <c r="AI60" s="15">
        <f>VLOOKUP($D60&amp;$B60,[3]!装备基础属性表,Y$30,FALSE)</f>
        <v>0</v>
      </c>
      <c r="AJ60" s="16" t="str">
        <f>B60&amp;VLOOKUP(C60,定义数据!$E$1:$F$7,2,FALSE)&amp;D60</f>
        <v>3415</v>
      </c>
      <c r="AK60" s="14">
        <f t="shared" si="29"/>
        <v>6</v>
      </c>
      <c r="AL60" s="5">
        <f t="shared" si="75"/>
        <v>5</v>
      </c>
      <c r="AM60" s="5" t="str">
        <f t="array" aca="1" ref="AM60" ca="1">IF(AM$31&gt;$AL60,0,IF(ISERROR(OFFSET($E$31,0,SMALL(IF($E60:$X60&gt;0,COLUMN($A:$T),""),AM$31)-1)),0,OFFSET($E$31,0,SMALL(IF($E60:$X60&gt;0,COLUMN($A:$T),""),AM$31)-1)))</f>
        <v>生命</v>
      </c>
      <c r="AN60" s="5">
        <f t="array" aca="1" ref="AN60" ca="1">IF(AM$31&gt;$AL60,0,IF(ISERROR(INDEX($E60:$X60,,SMALL(IF($E60:$X60&gt;0,COLUMN($A:$T),""),AN$31))),0,INDEX($E60:$X60,,SMALL(IF($E60:$X60&gt;0,COLUMN($A:$T),""),AN$31))))</f>
        <v>355.39664903322108</v>
      </c>
      <c r="AO60" s="5" t="str">
        <f t="array" aca="1" ref="AO60" ca="1">IF(AO$31&gt;$AL60,0,IF(ISERROR(OFFSET($E$31,0,SMALL(IF($E60:$X60&gt;0,COLUMN($A:$T),""),AO$31)-1)),0,OFFSET($E$31,0,SMALL(IF($E60:$X60&gt;0,COLUMN($A:$T),""),AO$31)-1)))</f>
        <v>韧性值</v>
      </c>
      <c r="AP60" s="5">
        <f t="array" aca="1" ref="AP60" ca="1">IF(AO$31&gt;$AL60,0,IF(ISERROR(INDEX($E60:$X60,,SMALL(IF($E60:$X60&gt;0,COLUMN($A:$T),""),AP$31))),0,INDEX($E60:$X60,,SMALL(IF($E60:$X60&gt;0,COLUMN($A:$T),""),AP$31))))</f>
        <v>41.97530864197531</v>
      </c>
      <c r="AQ60" s="5" t="str">
        <f t="array" aca="1" ref="AQ60" ca="1">IF(AQ$31&gt;$AL60,0,IF(ISERROR(OFFSET($E$31,0,SMALL(IF($E60:$X60&gt;0,COLUMN($A:$T),""),AQ$31)-1)),0,OFFSET($E$31,0,SMALL(IF($E60:$X60&gt;0,COLUMN($A:$T),""),AQ$31)-1)))</f>
        <v>生命</v>
      </c>
      <c r="AR60" s="5">
        <f t="array" aca="1" ref="AR60" ca="1">IF(AQ$31&gt;$AL60,0,IF(ISERROR(INDEX($E60:$X60,,SMALL(IF($E60:$X60&gt;0,COLUMN($A:$T),""),AR$31))),0,INDEX($E60:$X60,,SMALL(IF($E60:$X60&gt;0,COLUMN($A:$T),""),AR$31))))</f>
        <v>222.12290564576318</v>
      </c>
      <c r="AS60" s="5" t="str">
        <f t="array" aca="1" ref="AS60" ca="1">IF(AS$31&gt;$AL60,0,IF(ISERROR(OFFSET($E$31,0,SMALL(IF($E60:$X60&gt;0,COLUMN($A:$T),""),AS$31)-1)),0,OFFSET($E$31,0,SMALL(IF($E60:$X60&gt;0,COLUMN($A:$T),""),AS$31)-1)))</f>
        <v>攻击</v>
      </c>
      <c r="AT60" s="5">
        <f t="array" aca="1" ref="AT60" ca="1">IF(AS$31&gt;$AL60,0,IF(ISERROR(INDEX($E60:$X60,,SMALL(IF($E60:$X60&gt;0,COLUMN($A:$T),""),AT$31))),0,INDEX($E60:$X60,,SMALL(IF($E60:$X60&gt;0,COLUMN($A:$T),""),AT$31))))</f>
        <v>6.769361454545459</v>
      </c>
      <c r="AU60" s="5" t="str">
        <f t="array" aca="1" ref="AU60" ca="1">IF(AU$31&gt;$AL60,0,IF(ISERROR(OFFSET($E$31,0,SMALL(IF($E60:$X60&gt;0,COLUMN($A:$T),""),AU$31)-1)),0,OFFSET($E$31,0,SMALL(IF($E60:$X60&gt;0,COLUMN($A:$T),""),AU$31)-1)))</f>
        <v>防御</v>
      </c>
      <c r="AV60" s="5">
        <f t="array" aca="1" ref="AV60" ca="1">IF(AU$31&gt;$AL60,0,IF(ISERROR(INDEX($E60:$X60,,SMALL(IF($E60:$X60&gt;0,COLUMN($A:$T),""),AV$31))),0,INDEX($E60:$X60,,SMALL(IF($E60:$X60&gt;0,COLUMN($A:$T),""),AV$31))))</f>
        <v>2.4376479722703639</v>
      </c>
      <c r="AW60" s="5">
        <f t="array" aca="1" ref="AW60" ca="1">IF(AW$31&gt;$AL60,0,IF(ISERROR(OFFSET($E$31,0,SMALL(IF($E60:$X60&gt;0,COLUMN($A:$T),""),AW$31)-1)),0,OFFSET($E$31,0,SMALL(IF($E60:$X60&gt;0,COLUMN($A:$T),""),AW$31)-1)))</f>
        <v>0</v>
      </c>
      <c r="AX60" s="5">
        <f t="array" ref="AX60">IF(AW$31&gt;$AL60,0,IF(ISERROR(INDEX($E60:$X60,,SMALL(IF($E60:$X60&gt;0,COLUMN($A:$T),""),AX$31))),0,INDEX($E60:$X60,,SMALL(IF($E60:$X60&gt;0,COLUMN($A:$T),""),AX$31))))</f>
        <v>0</v>
      </c>
      <c r="AY60" s="5">
        <f t="array" aca="1" ref="AY60" ca="1">IF(AY$31&gt;$AL60,0,IF(ISERROR(OFFSET($E$31,0,SMALL(IF($E60:$X60&gt;0,COLUMN($A:$T),""),AY$31)-1)),0,OFFSET($E$31,0,SMALL(IF($E60:$X60&gt;0,COLUMN($A:$T),""),AY$31)-1)))</f>
        <v>0</v>
      </c>
      <c r="AZ60" s="5">
        <f t="array" ref="AZ60">IF(AY$31&gt;$AL60,0,IF(ISERROR(INDEX($E60:$X60,,SMALL(IF($E60:$X60&gt;0,COLUMN($A:$T),""),AZ$31))),0,INDEX($E60:$X60,,SMALL(IF($E60:$X60&gt;0,COLUMN($A:$T),""),AZ$31))))</f>
        <v>0</v>
      </c>
      <c r="BA60" s="5">
        <f t="array" aca="1" ref="BA60" ca="1">IF(BA$31&gt;$AL60,0,IF(ISERROR(OFFSET($E$31,0,SMALL(IF($E60:$X60&gt;0,COLUMN($A:$T),""),BA$31)-1)),0,OFFSET($E$31,0,SMALL(IF($E60:$X60&gt;0,COLUMN($A:$T),""),BA$31)-1)))</f>
        <v>0</v>
      </c>
      <c r="BB60" s="5">
        <f t="array" ref="BB60">IF(BA$31&gt;$AL60,0,IF(ISERROR(INDEX($E60:$X60,,SMALL(IF($E60:$X60&gt;0,COLUMN($A:$T),""),BB$31))),0,INDEX($E60:$X60,,SMALL(IF($E60:$X60&gt;0,COLUMN($A:$T),""),BB$31))))</f>
        <v>0</v>
      </c>
      <c r="BC60" s="5">
        <f t="array" aca="1" ref="BC60" ca="1">IF(BC$31&gt;$AL60,0,IF(ISERROR(OFFSET($E$31,0,SMALL(IF($E60:$X60&gt;0,COLUMN($A:$T),""),BC$31)-1)),0,OFFSET($E$31,0,SMALL(IF($E60:$X60&gt;0,COLUMN($A:$T),""),BC$31)-1)))</f>
        <v>0</v>
      </c>
      <c r="BD60" s="5">
        <f t="array" ref="BD60">IF(BC$31&gt;$AL60,0,IF(ISERROR(INDEX($E60:$X60,,SMALL(IF($E60:$X60&gt;0,COLUMN($A:$T),""),BD$31))),0,INDEX($E60:$X60,,SMALL(IF($E60:$X60&gt;0,COLUMN($A:$T),""),BD$31))))</f>
        <v>0</v>
      </c>
      <c r="BE60" s="5">
        <f t="array" aca="1" ref="BE60" ca="1">IF(BE$31&gt;$AL60,0,IF(ISERROR(OFFSET($E$31,0,SMALL(IF($E60:$X60&gt;0,COLUMN($A:$T),""),BE$31)-1)),0,OFFSET($E$31,0,SMALL(IF($E60:$X60&gt;0,COLUMN($A:$T),""),BE$31)-1)))</f>
        <v>0</v>
      </c>
      <c r="BF60" s="5">
        <f t="array" ref="BF60">IF(BE$31&gt;$AL60,0,IF(ISERROR(INDEX($E60:$X60,,SMALL(IF($E60:$X60&gt;0,COLUMN($A:$T),""),BF$31))),0,INDEX($E60:$X60,,SMALL(IF($E60:$X60&gt;0,COLUMN($A:$T),""),BF$31))))</f>
        <v>0</v>
      </c>
      <c r="BH60">
        <f ca="1">SUMPRODUCT(E60:N60,定义数据!$G$14:$P$14)</f>
        <v>21.771421516884399</v>
      </c>
      <c r="BI60">
        <f ca="1">SUMPRODUCT(O60:X60,定义数据!$G$14:$P$14)</f>
        <v>19.036370097090796</v>
      </c>
      <c r="BJ60" s="5">
        <f t="shared" ca="1" si="76"/>
        <v>40.807791613975198</v>
      </c>
      <c r="BK60" s="5" t="str">
        <f>D60&amp;B60&amp;VLOOKUP(C60,定义数据!$E$1:$F$7,2,FALSE)</f>
        <v>1534</v>
      </c>
    </row>
    <row r="61" spans="1:63" x14ac:dyDescent="0.15">
      <c r="A61" s="17" t="str">
        <f>D61&amp;B61&amp;VLOOKUP(C61,定义数据!$E$1:$F$7,2,FALSE)</f>
        <v>1533</v>
      </c>
      <c r="B61" s="18">
        <v>3</v>
      </c>
      <c r="C61" s="18" t="s">
        <v>140</v>
      </c>
      <c r="D61" s="24">
        <v>15</v>
      </c>
      <c r="E61" s="56">
        <f t="shared" ca="1" si="55"/>
        <v>0</v>
      </c>
      <c r="F61" s="56">
        <f t="shared" ca="1" si="56"/>
        <v>22.564538181818193</v>
      </c>
      <c r="G61" s="56">
        <f t="shared" ca="1" si="57"/>
        <v>0</v>
      </c>
      <c r="H61" s="56">
        <f t="shared" ca="1" si="58"/>
        <v>0</v>
      </c>
      <c r="I61" s="56">
        <f t="shared" ca="1" si="59"/>
        <v>70.833333333333343</v>
      </c>
      <c r="J61" s="56">
        <f t="shared" ca="1" si="60"/>
        <v>0</v>
      </c>
      <c r="K61" s="56">
        <f t="shared" ca="1" si="61"/>
        <v>0</v>
      </c>
      <c r="L61" s="56">
        <f t="shared" ca="1" si="62"/>
        <v>0</v>
      </c>
      <c r="M61" s="56">
        <f t="shared" ca="1" si="63"/>
        <v>0</v>
      </c>
      <c r="N61" s="56">
        <f t="shared" ca="1" si="64"/>
        <v>0</v>
      </c>
      <c r="O61" s="65">
        <f t="shared" ca="1" si="65"/>
        <v>0</v>
      </c>
      <c r="P61" s="65">
        <f t="shared" ca="1" si="66"/>
        <v>6.769361454545459</v>
      </c>
      <c r="Q61" s="65">
        <f t="shared" ca="1" si="67"/>
        <v>0</v>
      </c>
      <c r="R61" s="65">
        <f t="shared" ca="1" si="68"/>
        <v>5.3125000000000018</v>
      </c>
      <c r="S61" s="65">
        <f t="shared" ca="1" si="69"/>
        <v>8.8541666666666679</v>
      </c>
      <c r="T61" s="65">
        <f t="shared" ca="1" si="70"/>
        <v>6.2962962962962976</v>
      </c>
      <c r="U61" s="65">
        <f t="shared" ca="1" si="71"/>
        <v>0</v>
      </c>
      <c r="V61" s="65">
        <f t="shared" ca="1" si="72"/>
        <v>0</v>
      </c>
      <c r="W61" s="65">
        <f t="shared" ca="1" si="73"/>
        <v>0</v>
      </c>
      <c r="X61" s="65">
        <f t="shared" ca="1" si="74"/>
        <v>0</v>
      </c>
      <c r="Y61" s="21"/>
      <c r="Z61" s="15">
        <f>VLOOKUP($D61&amp;$B61,[3]!装备基础属性表,P$30,FALSE)</f>
        <v>2221.2290564576315</v>
      </c>
      <c r="AA61" s="15">
        <f>VLOOKUP($D61&amp;$B61,[3]!装备基础属性表,Q$30,FALSE)</f>
        <v>112.82269090909095</v>
      </c>
      <c r="AB61" s="15">
        <f>VLOOKUP($D61&amp;$B61,[3]!装备基础属性表,R$30,FALSE)</f>
        <v>48.752959445407278</v>
      </c>
      <c r="AC61" s="15">
        <f>VLOOKUP($D61&amp;$B61,[3]!装备基础属性表,S$30,FALSE)</f>
        <v>88.541666666666671</v>
      </c>
      <c r="AD61" s="15">
        <f>VLOOKUP($D61&amp;$B61,[3]!装备基础属性表,T$30,FALSE)</f>
        <v>88.541666666666671</v>
      </c>
      <c r="AE61" s="15">
        <f>VLOOKUP($D61&amp;$B61,[3]!装备基础属性表,U$30,FALSE)</f>
        <v>52.469135802469133</v>
      </c>
      <c r="AF61" s="15">
        <f>VLOOKUP($D61&amp;$B61,[3]!装备基础属性表,V$30,FALSE)</f>
        <v>0</v>
      </c>
      <c r="AG61" s="15">
        <f>VLOOKUP($D61&amp;$B61,[3]!装备基础属性表,W$30,FALSE)</f>
        <v>52.469135802469133</v>
      </c>
      <c r="AH61" s="15">
        <f>VLOOKUP($D61&amp;$B61,[3]!装备基础属性表,X$30,FALSE)</f>
        <v>0</v>
      </c>
      <c r="AI61" s="15">
        <f>VLOOKUP($D61&amp;$B61,[3]!装备基础属性表,Y$30,FALSE)</f>
        <v>0</v>
      </c>
      <c r="AJ61" s="16" t="str">
        <f>B61&amp;VLOOKUP(C61,定义数据!$E$1:$F$7,2,FALSE)&amp;D61</f>
        <v>3315</v>
      </c>
      <c r="AK61" s="14">
        <f t="shared" si="29"/>
        <v>6</v>
      </c>
      <c r="AL61" s="5">
        <f t="shared" si="75"/>
        <v>5</v>
      </c>
      <c r="AM61" s="5" t="str">
        <f t="array" aca="1" ref="AM61" ca="1">IF(AM$31&gt;$AL61,0,IF(ISERROR(OFFSET($E$31,0,SMALL(IF($E61:$X61&gt;0,COLUMN($A:$T),""),AM$31)-1)),0,OFFSET($E$31,0,SMALL(IF($E61:$X61&gt;0,COLUMN($A:$T),""),AM$31)-1)))</f>
        <v>攻击</v>
      </c>
      <c r="AN61" s="5">
        <f t="array" aca="1" ref="AN61" ca="1">IF(AM$31&gt;$AL61,0,IF(ISERROR(INDEX($E61:$X61,,SMALL(IF($E61:$X61&gt;0,COLUMN($A:$T),""),AN$31))),0,INDEX($E61:$X61,,SMALL(IF($E61:$X61&gt;0,COLUMN($A:$T),""),AN$31))))</f>
        <v>22.564538181818193</v>
      </c>
      <c r="AO61" s="5" t="str">
        <f t="array" aca="1" ref="AO61" ca="1">IF(AO$31&gt;$AL61,0,IF(ISERROR(OFFSET($E$31,0,SMALL(IF($E61:$X61&gt;0,COLUMN($A:$T),""),AO$31)-1)),0,OFFSET($E$31,0,SMALL(IF($E61:$X61&gt;0,COLUMN($A:$T),""),AO$31)-1)))</f>
        <v>命中值</v>
      </c>
      <c r="AP61" s="5">
        <f t="array" aca="1" ref="AP61" ca="1">IF(AO$31&gt;$AL61,0,IF(ISERROR(INDEX($E61:$X61,,SMALL(IF($E61:$X61&gt;0,COLUMN($A:$T),""),AP$31))),0,INDEX($E61:$X61,,SMALL(IF($E61:$X61&gt;0,COLUMN($A:$T),""),AP$31))))</f>
        <v>70.833333333333343</v>
      </c>
      <c r="AQ61" s="5" t="str">
        <f t="array" aca="1" ref="AQ61" ca="1">IF(AQ$31&gt;$AL61,0,IF(ISERROR(OFFSET($E$31,0,SMALL(IF($E61:$X61&gt;0,COLUMN($A:$T),""),AQ$31)-1)),0,OFFSET($E$31,0,SMALL(IF($E61:$X61&gt;0,COLUMN($A:$T),""),AQ$31)-1)))</f>
        <v>攻击</v>
      </c>
      <c r="AR61" s="5">
        <f t="array" aca="1" ref="AR61" ca="1">IF(AQ$31&gt;$AL61,0,IF(ISERROR(INDEX($E61:$X61,,SMALL(IF($E61:$X61&gt;0,COLUMN($A:$T),""),AR$31))),0,INDEX($E61:$X61,,SMALL(IF($E61:$X61&gt;0,COLUMN($A:$T),""),AR$31))))</f>
        <v>6.769361454545459</v>
      </c>
      <c r="AS61" s="5" t="str">
        <f t="array" aca="1" ref="AS61" ca="1">IF(AS$31&gt;$AL61,0,IF(ISERROR(OFFSET($E$31,0,SMALL(IF($E61:$X61&gt;0,COLUMN($A:$T),""),AS$31)-1)),0,OFFSET($E$31,0,SMALL(IF($E61:$X61&gt;0,COLUMN($A:$T),""),AS$31)-1)))</f>
        <v>闪避值</v>
      </c>
      <c r="AT61" s="5">
        <f t="array" aca="1" ref="AT61" ca="1">IF(AS$31&gt;$AL61,0,IF(ISERROR(INDEX($E61:$X61,,SMALL(IF($E61:$X61&gt;0,COLUMN($A:$T),""),AT$31))),0,INDEX($E61:$X61,,SMALL(IF($E61:$X61&gt;0,COLUMN($A:$T),""),AT$31))))</f>
        <v>5.3125000000000018</v>
      </c>
      <c r="AU61" s="5" t="str">
        <f t="array" aca="1" ref="AU61" ca="1">IF(AU$31&gt;$AL61,0,IF(ISERROR(OFFSET($E$31,0,SMALL(IF($E61:$X61&gt;0,COLUMN($A:$T),""),AU$31)-1)),0,OFFSET($E$31,0,SMALL(IF($E61:$X61&gt;0,COLUMN($A:$T),""),AU$31)-1)))</f>
        <v>命中值</v>
      </c>
      <c r="AV61" s="5">
        <f t="array" aca="1" ref="AV61" ca="1">IF(AU$31&gt;$AL61,0,IF(ISERROR(INDEX($E61:$X61,,SMALL(IF($E61:$X61&gt;0,COLUMN($A:$T),""),AV$31))),0,INDEX($E61:$X61,,SMALL(IF($E61:$X61&gt;0,COLUMN($A:$T),""),AV$31))))</f>
        <v>8.8541666666666679</v>
      </c>
      <c r="AW61" s="5">
        <f t="array" aca="1" ref="AW61" ca="1">IF(AW$31&gt;$AL61,0,IF(ISERROR(OFFSET($E$31,0,SMALL(IF($E61:$X61&gt;0,COLUMN($A:$T),""),AW$31)-1)),0,OFFSET($E$31,0,SMALL(IF($E61:$X61&gt;0,COLUMN($A:$T),""),AW$31)-1)))</f>
        <v>0</v>
      </c>
      <c r="AX61" s="5">
        <f t="array" ref="AX61">IF(AW$31&gt;$AL61,0,IF(ISERROR(INDEX($E61:$X61,,SMALL(IF($E61:$X61&gt;0,COLUMN($A:$T),""),AX$31))),0,INDEX($E61:$X61,,SMALL(IF($E61:$X61&gt;0,COLUMN($A:$T),""),AX$31))))</f>
        <v>0</v>
      </c>
      <c r="AY61" s="5">
        <f t="array" aca="1" ref="AY61" ca="1">IF(AY$31&gt;$AL61,0,IF(ISERROR(OFFSET($E$31,0,SMALL(IF($E61:$X61&gt;0,COLUMN($A:$T),""),AY$31)-1)),0,OFFSET($E$31,0,SMALL(IF($E61:$X61&gt;0,COLUMN($A:$T),""),AY$31)-1)))</f>
        <v>0</v>
      </c>
      <c r="AZ61" s="5">
        <f t="array" ref="AZ61">IF(AY$31&gt;$AL61,0,IF(ISERROR(INDEX($E61:$X61,,SMALL(IF($E61:$X61&gt;0,COLUMN($A:$T),""),AZ$31))),0,INDEX($E61:$X61,,SMALL(IF($E61:$X61&gt;0,COLUMN($A:$T),""),AZ$31))))</f>
        <v>0</v>
      </c>
      <c r="BA61" s="5">
        <f t="array" aca="1" ref="BA61" ca="1">IF(BA$31&gt;$AL61,0,IF(ISERROR(OFFSET($E$31,0,SMALL(IF($E61:$X61&gt;0,COLUMN($A:$T),""),BA$31)-1)),0,OFFSET($E$31,0,SMALL(IF($E61:$X61&gt;0,COLUMN($A:$T),""),BA$31)-1)))</f>
        <v>0</v>
      </c>
      <c r="BB61" s="5">
        <f t="array" ref="BB61">IF(BA$31&gt;$AL61,0,IF(ISERROR(INDEX($E61:$X61,,SMALL(IF($E61:$X61&gt;0,COLUMN($A:$T),""),BB$31))),0,INDEX($E61:$X61,,SMALL(IF($E61:$X61&gt;0,COLUMN($A:$T),""),BB$31))))</f>
        <v>0</v>
      </c>
      <c r="BC61" s="5">
        <f t="array" aca="1" ref="BC61" ca="1">IF(BC$31&gt;$AL61,0,IF(ISERROR(OFFSET($E$31,0,SMALL(IF($E61:$X61&gt;0,COLUMN($A:$T),""),BC$31)-1)),0,OFFSET($E$31,0,SMALL(IF($E61:$X61&gt;0,COLUMN($A:$T),""),BC$31)-1)))</f>
        <v>0</v>
      </c>
      <c r="BD61" s="5">
        <f t="array" ref="BD61">IF(BC$31&gt;$AL61,0,IF(ISERROR(INDEX($E61:$X61,,SMALL(IF($E61:$X61&gt;0,COLUMN($A:$T),""),BD$31))),0,INDEX($E61:$X61,,SMALL(IF($E61:$X61&gt;0,COLUMN($A:$T),""),BD$31))))</f>
        <v>0</v>
      </c>
      <c r="BE61" s="5">
        <f t="array" aca="1" ref="BE61" ca="1">IF(BE$31&gt;$AL61,0,IF(ISERROR(OFFSET($E$31,0,SMALL(IF($E61:$X61&gt;0,COLUMN($A:$T),""),BE$31)-1)),0,OFFSET($E$31,0,SMALL(IF($E61:$X61&gt;0,COLUMN($A:$T),""),BE$31)-1)))</f>
        <v>0</v>
      </c>
      <c r="BF61" s="5">
        <f t="array" ref="BF61">IF(BE$31&gt;$AL61,0,IF(ISERROR(INDEX($E61:$X61,,SMALL(IF($E61:$X61&gt;0,COLUMN($A:$T),""),BF$31))),0,INDEX($E61:$X61,,SMALL(IF($E61:$X61&gt;0,COLUMN($A:$T),""),BF$31))))</f>
        <v>0</v>
      </c>
      <c r="BH61">
        <f ca="1">SUMPRODUCT(E61:N61,定义数据!$G$14:$P$14)</f>
        <v>46.647871515151536</v>
      </c>
      <c r="BI61">
        <f ca="1">SUMPRODUCT(O61:X61,定义数据!$G$14:$P$14)</f>
        <v>12.71936145454546</v>
      </c>
      <c r="BJ61" s="5">
        <f t="shared" ca="1" si="76"/>
        <v>59.367232969697</v>
      </c>
      <c r="BK61" s="5" t="str">
        <f>D61&amp;B61&amp;VLOOKUP(C61,定义数据!$E$1:$F$7,2,FALSE)</f>
        <v>1533</v>
      </c>
    </row>
    <row r="62" spans="1:63" x14ac:dyDescent="0.15">
      <c r="A62" s="17" t="str">
        <f>D62&amp;B62&amp;VLOOKUP(C62,定义数据!$E$1:$F$7,2,FALSE)</f>
        <v>1540</v>
      </c>
      <c r="B62" s="18">
        <v>4</v>
      </c>
      <c r="C62" s="18" t="s">
        <v>141</v>
      </c>
      <c r="D62" s="24">
        <v>15</v>
      </c>
      <c r="E62" s="56">
        <f t="shared" ref="E62:E67" ca="1" si="77">VLOOKUP($C62,$D$4:$O$9,F$2,FALSE)/F$10*Z62*OFFSET($Q$23,0,$B62)</f>
        <v>0</v>
      </c>
      <c r="F62" s="56">
        <f t="shared" ref="F62:F67" ca="1" si="78">VLOOKUP($C62,$D$4:$O$9,G$2,FALSE)/G$10*AA62*OFFSET($Q$23,0,$B62)</f>
        <v>69.684603208556155</v>
      </c>
      <c r="G62" s="56">
        <f t="shared" ref="G62:G67" ca="1" si="79">VLOOKUP($C62,$D$4:$O$9,H$2,FALSE)/H$10*AB62*OFFSET($Q$23,0,$B62)</f>
        <v>0</v>
      </c>
      <c r="H62" s="56">
        <f t="shared" ref="H62:H67" ca="1" si="80">VLOOKUP($C62,$D$4:$O$9,I$2,FALSE)/I$10*AC62*OFFSET($Q$23,0,$B62)</f>
        <v>0</v>
      </c>
      <c r="I62" s="56">
        <f t="shared" ref="I62:I67" ca="1" si="81">VLOOKUP($C62,$D$4:$O$9,J$2,FALSE)/J$10*AD62*OFFSET($Q$23,0,$B62)</f>
        <v>0</v>
      </c>
      <c r="J62" s="56">
        <f t="shared" ref="J62:J67" ca="1" si="82">VLOOKUP($C62,$D$4:$O$9,K$2,FALSE)/K$10*AE62*OFFSET($Q$23,0,$B62)</f>
        <v>43.20987654320988</v>
      </c>
      <c r="K62" s="56">
        <f t="shared" ref="K62:K67" ca="1" si="83">VLOOKUP($C62,$D$4:$O$9,L$2,FALSE)/L$10*AF62*OFFSET($Q$23,0,$B62)</f>
        <v>0</v>
      </c>
      <c r="L62" s="56">
        <f t="shared" ref="L62:L67" ca="1" si="84">VLOOKUP($C62,$D$4:$O$9,M$2,FALSE)/M$10*AG62*OFFSET($Q$23,0,$B62)</f>
        <v>0</v>
      </c>
      <c r="M62" s="56">
        <f t="shared" ref="M62:M67" ca="1" si="85">VLOOKUP($C62,$D$4:$O$9,N$2,FALSE)/N$10*AH62*OFFSET($Q$23,0,$B62)</f>
        <v>0</v>
      </c>
      <c r="N62" s="56">
        <f t="shared" ref="N62:N67" ca="1" si="86">VLOOKUP($C62,$D$4:$O$9,O$2,FALSE)/O$10*AI62*OFFSET($Q$23,0,$B62)</f>
        <v>0</v>
      </c>
      <c r="O62" s="65">
        <f t="shared" ref="O62:O67" ca="1" si="87">VLOOKUP($C62,$D$14:$O$19,F$2,FALSE)/F$20*Z62*OFFSET($Q$24,0,$B62)</f>
        <v>0</v>
      </c>
      <c r="P62" s="65">
        <f t="shared" ref="P62:P67" ca="1" si="88">VLOOKUP($C62,$D$14:$O$19,G$2,FALSE)/G$20*AA62*OFFSET($Q$24,0,$B62)</f>
        <v>31.855818609625675</v>
      </c>
      <c r="Q62" s="65">
        <f t="shared" ref="Q62:Q67" ca="1" si="89">VLOOKUP($C62,$D$14:$O$19,H$2,FALSE)/H$20*AB62*OFFSET($Q$24,0,$B62)</f>
        <v>3.8237615251299832</v>
      </c>
      <c r="R62" s="65">
        <f t="shared" ref="R62:R67" ca="1" si="90">VLOOKUP($C62,$D$14:$O$19,I$2,FALSE)/I$20*AC62*OFFSET($Q$24,0,$B62)</f>
        <v>0</v>
      </c>
      <c r="S62" s="65">
        <f t="shared" ref="S62:S67" ca="1" si="91">VLOOKUP($C62,$D$14:$O$19,J$2,FALSE)/J$20*AD62*OFFSET($Q$24,0,$B62)</f>
        <v>13.888888888888889</v>
      </c>
      <c r="T62" s="65">
        <f t="shared" ref="T62:T67" ca="1" si="92">VLOOKUP($C62,$D$14:$O$19,K$2,FALSE)/K$20*AE62*OFFSET($Q$24,0,$B62)</f>
        <v>9.8765432098765444</v>
      </c>
      <c r="U62" s="65">
        <f t="shared" ref="U62:U67" ca="1" si="93">VLOOKUP($C62,$D$14:$O$19,L$2,FALSE)/L$20*AF62*OFFSET($Q$24,0,$B62)</f>
        <v>0</v>
      </c>
      <c r="V62" s="65">
        <f t="shared" ref="V62:V67" ca="1" si="94">VLOOKUP($C62,$D$14:$O$19,M$2,FALSE)/M$20*AG62*OFFSET($Q$24,0,$B62)</f>
        <v>0</v>
      </c>
      <c r="W62" s="65">
        <f t="shared" ref="W62:W67" ca="1" si="95">VLOOKUP($C62,$D$14:$O$19,N$2,FALSE)/N$20*AH62*OFFSET($Q$24,0,$B62)</f>
        <v>0</v>
      </c>
      <c r="X62" s="65">
        <f t="shared" ref="X62:X67" ca="1" si="96">VLOOKUP($C62,$D$14:$O$19,O$2,FALSE)/O$20*AI62*OFFSET($Q$24,0,$B62)</f>
        <v>0</v>
      </c>
      <c r="Y62" s="21" t="s">
        <v>94</v>
      </c>
      <c r="Z62" s="15">
        <f>VLOOKUP($D62&amp;$B62,[3]!装备基础属性表,P$30,FALSE)</f>
        <v>2613.2106546560367</v>
      </c>
      <c r="AA62" s="15">
        <f>VLOOKUP($D62&amp;$B62,[3]!装备基础属性表,Q$30,FALSE)</f>
        <v>132.73257754010697</v>
      </c>
      <c r="AB62" s="15">
        <f>VLOOKUP($D62&amp;$B62,[3]!装备基础属性表,R$30,FALSE)</f>
        <v>57.35642287694975</v>
      </c>
      <c r="AC62" s="15">
        <f>VLOOKUP($D62&amp;$B62,[3]!装备基础属性表,S$30,FALSE)</f>
        <v>104.16666666666667</v>
      </c>
      <c r="AD62" s="15">
        <f>VLOOKUP($D62&amp;$B62,[3]!装备基础属性表,T$30,FALSE)</f>
        <v>104.16666666666667</v>
      </c>
      <c r="AE62" s="15">
        <f>VLOOKUP($D62&amp;$B62,[3]!装备基础属性表,U$30,FALSE)</f>
        <v>61.728395061728399</v>
      </c>
      <c r="AF62" s="15">
        <f>VLOOKUP($D62&amp;$B62,[3]!装备基础属性表,V$30,FALSE)</f>
        <v>0</v>
      </c>
      <c r="AG62" s="15">
        <f>VLOOKUP($D62&amp;$B62,[3]!装备基础属性表,W$30,FALSE)</f>
        <v>61.728395061728399</v>
      </c>
      <c r="AH62" s="15">
        <f>VLOOKUP($D62&amp;$B62,[3]!装备基础属性表,X$30,FALSE)</f>
        <v>0</v>
      </c>
      <c r="AI62" s="15">
        <f>VLOOKUP($D62&amp;$B62,[3]!装备基础属性表,Y$30,FALSE)</f>
        <v>0</v>
      </c>
      <c r="AJ62" s="16" t="str">
        <f>B62&amp;VLOOKUP(C62,定义数据!$E$1:$F$7,2,FALSE)&amp;D62</f>
        <v>4015</v>
      </c>
      <c r="AK62" s="14">
        <f t="shared" si="29"/>
        <v>7</v>
      </c>
      <c r="AL62" s="5">
        <f t="shared" ref="AL62:AL67" si="97">B62+2</f>
        <v>6</v>
      </c>
      <c r="AM62" s="5" t="str">
        <f t="array" aca="1" ref="AM62" ca="1">IF(AM$31&gt;$AL62,0,IF(ISERROR(OFFSET($E$31,0,SMALL(IF($E62:$X62&gt;0,COLUMN($A:$T),""),AM$31)-1)),0,OFFSET($E$31,0,SMALL(IF($E62:$X62&gt;0,COLUMN($A:$T),""),AM$31)-1)))</f>
        <v>攻击</v>
      </c>
      <c r="AN62" s="5">
        <f t="array" aca="1" ref="AN62" ca="1">IF(AM$31&gt;$AL62,0,IF(ISERROR(INDEX($E62:$X62,,SMALL(IF($E62:$X62&gt;0,COLUMN($A:$T),""),AN$31))),0,INDEX($E62:$X62,,SMALL(IF($E62:$X62&gt;0,COLUMN($A:$T),""),AN$31))))</f>
        <v>69.684603208556155</v>
      </c>
      <c r="AO62" s="5" t="str">
        <f t="array" aca="1" ref="AO62" ca="1">IF(AO$31&gt;$AL62,0,IF(ISERROR(OFFSET($E$31,0,SMALL(IF($E62:$X62&gt;0,COLUMN($A:$T),""),AO$31)-1)),0,OFFSET($E$31,0,SMALL(IF($E62:$X62&gt;0,COLUMN($A:$T),""),AO$31)-1)))</f>
        <v>暴击值</v>
      </c>
      <c r="AP62" s="5">
        <f t="array" aca="1" ref="AP62" ca="1">IF(AO$31&gt;$AL62,0,IF(ISERROR(INDEX($E62:$X62,,SMALL(IF($E62:$X62&gt;0,COLUMN($A:$T),""),AP$31))),0,INDEX($E62:$X62,,SMALL(IF($E62:$X62&gt;0,COLUMN($A:$T),""),AP$31))))</f>
        <v>43.20987654320988</v>
      </c>
      <c r="AQ62" s="5" t="str">
        <f t="array" aca="1" ref="AQ62" ca="1">IF(AQ$31&gt;$AL62,0,IF(ISERROR(OFFSET($E$31,0,SMALL(IF($E62:$X62&gt;0,COLUMN($A:$T),""),AQ$31)-1)),0,OFFSET($E$31,0,SMALL(IF($E62:$X62&gt;0,COLUMN($A:$T),""),AQ$31)-1)))</f>
        <v>攻击</v>
      </c>
      <c r="AR62" s="5">
        <f t="array" aca="1" ref="AR62" ca="1">IF(AQ$31&gt;$AL62,0,IF(ISERROR(INDEX($E62:$X62,,SMALL(IF($E62:$X62&gt;0,COLUMN($A:$T),""),AR$31))),0,INDEX($E62:$X62,,SMALL(IF($E62:$X62&gt;0,COLUMN($A:$T),""),AR$31))))</f>
        <v>31.855818609625675</v>
      </c>
      <c r="AS62" s="5" t="str">
        <f t="array" aca="1" ref="AS62" ca="1">IF(AS$31&gt;$AL62,0,IF(ISERROR(OFFSET($E$31,0,SMALL(IF($E62:$X62&gt;0,COLUMN($A:$T),""),AS$31)-1)),0,OFFSET($E$31,0,SMALL(IF($E62:$X62&gt;0,COLUMN($A:$T),""),AS$31)-1)))</f>
        <v>防御</v>
      </c>
      <c r="AT62" s="5">
        <f t="array" aca="1" ref="AT62" ca="1">IF(AS$31&gt;$AL62,0,IF(ISERROR(INDEX($E62:$X62,,SMALL(IF($E62:$X62&gt;0,COLUMN($A:$T),""),AT$31))),0,INDEX($E62:$X62,,SMALL(IF($E62:$X62&gt;0,COLUMN($A:$T),""),AT$31))))</f>
        <v>3.8237615251299832</v>
      </c>
      <c r="AU62" s="5" t="str">
        <f t="array" aca="1" ref="AU62" ca="1">IF(AU$31&gt;$AL62,0,IF(ISERROR(OFFSET($E$31,0,SMALL(IF($E62:$X62&gt;0,COLUMN($A:$T),""),AU$31)-1)),0,OFFSET($E$31,0,SMALL(IF($E62:$X62&gt;0,COLUMN($A:$T),""),AU$31)-1)))</f>
        <v>命中值</v>
      </c>
      <c r="AV62" s="5">
        <f t="array" aca="1" ref="AV62" ca="1">IF(AU$31&gt;$AL62,0,IF(ISERROR(INDEX($E62:$X62,,SMALL(IF($E62:$X62&gt;0,COLUMN($A:$T),""),AV$31))),0,INDEX($E62:$X62,,SMALL(IF($E62:$X62&gt;0,COLUMN($A:$T),""),AV$31))))</f>
        <v>13.888888888888889</v>
      </c>
      <c r="AW62" s="5" t="str">
        <f t="array" aca="1" ref="AW62" ca="1">IF(AW$31&gt;$AL62,0,IF(ISERROR(OFFSET($E$31,0,SMALL(IF($E62:$X62&gt;0,COLUMN($A:$T),""),AW$31)-1)),0,OFFSET($E$31,0,SMALL(IF($E62:$X62&gt;0,COLUMN($A:$T),""),AW$31)-1)))</f>
        <v>暴击值</v>
      </c>
      <c r="AX62" s="5">
        <f t="array" aca="1" ref="AX62" ca="1">IF(AW$31&gt;$AL62,0,IF(ISERROR(INDEX($E62:$X62,,SMALL(IF($E62:$X62&gt;0,COLUMN($A:$T),""),AX$31))),0,INDEX($E62:$X62,,SMALL(IF($E62:$X62&gt;0,COLUMN($A:$T),""),AX$31))))</f>
        <v>9.8765432098765444</v>
      </c>
      <c r="AY62" s="5">
        <f t="array" aca="1" ref="AY62" ca="1">IF(AY$31&gt;$AL62,0,IF(ISERROR(OFFSET($E$31,0,SMALL(IF($E62:$X62&gt;0,COLUMN($A:$T),""),AY$31)-1)),0,OFFSET($E$31,0,SMALL(IF($E62:$X62&gt;0,COLUMN($A:$T),""),AY$31)-1)))</f>
        <v>0</v>
      </c>
      <c r="AZ62" s="5">
        <f t="array" ref="AZ62">IF(AY$31&gt;$AL62,0,IF(ISERROR(INDEX($E62:$X62,,SMALL(IF($E62:$X62&gt;0,COLUMN($A:$T),""),AZ$31))),0,INDEX($E62:$X62,,SMALL(IF($E62:$X62&gt;0,COLUMN($A:$T),""),AZ$31))))</f>
        <v>0</v>
      </c>
      <c r="BA62" s="5">
        <f t="array" aca="1" ref="BA62" ca="1">IF(BA$31&gt;$AL62,0,IF(ISERROR(OFFSET($E$31,0,SMALL(IF($E62:$X62&gt;0,COLUMN($A:$T),""),BA$31)-1)),0,OFFSET($E$31,0,SMALL(IF($E62:$X62&gt;0,COLUMN($A:$T),""),BA$31)-1)))</f>
        <v>0</v>
      </c>
      <c r="BB62" s="5">
        <f t="array" ref="BB62">IF(BA$31&gt;$AL62,0,IF(ISERROR(INDEX($E62:$X62,,SMALL(IF($E62:$X62&gt;0,COLUMN($A:$T),""),BB$31))),0,INDEX($E62:$X62,,SMALL(IF($E62:$X62&gt;0,COLUMN($A:$T),""),BB$31))))</f>
        <v>0</v>
      </c>
      <c r="BC62" s="5">
        <f t="array" aca="1" ref="BC62" ca="1">IF(BC$31&gt;$AL62,0,IF(ISERROR(OFFSET($E$31,0,SMALL(IF($E62:$X62&gt;0,COLUMN($A:$T),""),BC$31)-1)),0,OFFSET($E$31,0,SMALL(IF($E62:$X62&gt;0,COLUMN($A:$T),""),BC$31)-1)))</f>
        <v>0</v>
      </c>
      <c r="BD62" s="5">
        <f t="array" ref="BD62">IF(BC$31&gt;$AL62,0,IF(ISERROR(INDEX($E62:$X62,,SMALL(IF($E62:$X62&gt;0,COLUMN($A:$T),""),BD$31))),0,INDEX($E62:$X62,,SMALL(IF($E62:$X62&gt;0,COLUMN($A:$T),""),BD$31))))</f>
        <v>0</v>
      </c>
      <c r="BE62" s="5">
        <f t="array" aca="1" ref="BE62" ca="1">IF(BE$31&gt;$AL62,0,IF(ISERROR(OFFSET($E$31,0,SMALL(IF($E62:$X62&gt;0,COLUMN($A:$T),""),BE$31)-1)),0,OFFSET($E$31,0,SMALL(IF($E62:$X62&gt;0,COLUMN($A:$T),""),BE$31)-1)))</f>
        <v>0</v>
      </c>
      <c r="BF62" s="5">
        <f t="array" ref="BF62">IF(BE$31&gt;$AL62,0,IF(ISERROR(INDEX($E62:$X62,,SMALL(IF($E62:$X62&gt;0,COLUMN($A:$T),""),BF$31))),0,INDEX($E62:$X62,,SMALL(IF($E62:$X62&gt;0,COLUMN($A:$T),""),BF$31))))</f>
        <v>0</v>
      </c>
      <c r="BH62">
        <f ca="1">SUMPRODUCT(E62:N62,定义数据!$G$14:$P$14)</f>
        <v>77.462380986333926</v>
      </c>
      <c r="BI62">
        <f ca="1">SUMPRODUCT(O62:X62,定义数据!$G$14:$P$14)</f>
        <v>42.17958013475566</v>
      </c>
      <c r="BJ62" s="5">
        <f t="shared" ref="BJ62:BJ67" ca="1" si="98">SUM(BH62:BI62)</f>
        <v>119.64196112108959</v>
      </c>
      <c r="BK62" s="5" t="str">
        <f>D62&amp;B62&amp;VLOOKUP(C62,定义数据!$E$1:$F$7,2,FALSE)</f>
        <v>1540</v>
      </c>
    </row>
    <row r="63" spans="1:63" x14ac:dyDescent="0.15">
      <c r="A63" s="17" t="str">
        <f>D63&amp;B63&amp;VLOOKUP(C63,定义数据!$E$1:$F$7,2,FALSE)</f>
        <v>1541</v>
      </c>
      <c r="B63" s="18">
        <v>4</v>
      </c>
      <c r="C63" s="18" t="s">
        <v>136</v>
      </c>
      <c r="D63" s="24">
        <v>15</v>
      </c>
      <c r="E63" s="56">
        <f t="shared" ca="1" si="77"/>
        <v>1097.5484749555353</v>
      </c>
      <c r="F63" s="56">
        <f t="shared" ca="1" si="78"/>
        <v>0</v>
      </c>
      <c r="G63" s="56">
        <f t="shared" ca="1" si="79"/>
        <v>24.089697608318893</v>
      </c>
      <c r="H63" s="56">
        <f t="shared" ca="1" si="80"/>
        <v>0</v>
      </c>
      <c r="I63" s="56">
        <f t="shared" ca="1" si="81"/>
        <v>0</v>
      </c>
      <c r="J63" s="56">
        <f t="shared" ca="1" si="82"/>
        <v>0</v>
      </c>
      <c r="K63" s="56">
        <f t="shared" ca="1" si="83"/>
        <v>0</v>
      </c>
      <c r="L63" s="56">
        <f t="shared" ca="1" si="84"/>
        <v>0</v>
      </c>
      <c r="M63" s="56">
        <f t="shared" ca="1" si="85"/>
        <v>0</v>
      </c>
      <c r="N63" s="56">
        <f t="shared" ca="1" si="86"/>
        <v>0</v>
      </c>
      <c r="O63" s="65">
        <f t="shared" ca="1" si="87"/>
        <v>348.42808728747156</v>
      </c>
      <c r="P63" s="65">
        <f t="shared" ca="1" si="88"/>
        <v>0</v>
      </c>
      <c r="Q63" s="65">
        <f t="shared" ca="1" si="89"/>
        <v>11.471284575389951</v>
      </c>
      <c r="R63" s="65">
        <f t="shared" ca="1" si="90"/>
        <v>8.3333333333333339</v>
      </c>
      <c r="S63" s="65">
        <f t="shared" ca="1" si="91"/>
        <v>0</v>
      </c>
      <c r="T63" s="65">
        <f t="shared" ca="1" si="92"/>
        <v>0</v>
      </c>
      <c r="U63" s="65">
        <f t="shared" ca="1" si="93"/>
        <v>0</v>
      </c>
      <c r="V63" s="65">
        <f t="shared" ca="1" si="94"/>
        <v>8.230452674897121</v>
      </c>
      <c r="W63" s="65">
        <f t="shared" ca="1" si="95"/>
        <v>0</v>
      </c>
      <c r="X63" s="65">
        <f t="shared" ca="1" si="96"/>
        <v>0</v>
      </c>
      <c r="Y63" s="21" t="s">
        <v>95</v>
      </c>
      <c r="Z63" s="15">
        <f>VLOOKUP($D63&amp;$B63,[3]!装备基础属性表,P$30,FALSE)</f>
        <v>2613.2106546560367</v>
      </c>
      <c r="AA63" s="15">
        <f>VLOOKUP($D63&amp;$B63,[3]!装备基础属性表,Q$30,FALSE)</f>
        <v>132.73257754010697</v>
      </c>
      <c r="AB63" s="15">
        <f>VLOOKUP($D63&amp;$B63,[3]!装备基础属性表,R$30,FALSE)</f>
        <v>57.35642287694975</v>
      </c>
      <c r="AC63" s="15">
        <f>VLOOKUP($D63&amp;$B63,[3]!装备基础属性表,S$30,FALSE)</f>
        <v>104.16666666666667</v>
      </c>
      <c r="AD63" s="15">
        <f>VLOOKUP($D63&amp;$B63,[3]!装备基础属性表,T$30,FALSE)</f>
        <v>104.16666666666667</v>
      </c>
      <c r="AE63" s="15">
        <f>VLOOKUP($D63&amp;$B63,[3]!装备基础属性表,U$30,FALSE)</f>
        <v>61.728395061728399</v>
      </c>
      <c r="AF63" s="15">
        <f>VLOOKUP($D63&amp;$B63,[3]!装备基础属性表,V$30,FALSE)</f>
        <v>0</v>
      </c>
      <c r="AG63" s="15">
        <f>VLOOKUP($D63&amp;$B63,[3]!装备基础属性表,W$30,FALSE)</f>
        <v>61.728395061728399</v>
      </c>
      <c r="AH63" s="15">
        <f>VLOOKUP($D63&amp;$B63,[3]!装备基础属性表,X$30,FALSE)</f>
        <v>0</v>
      </c>
      <c r="AI63" s="15">
        <f>VLOOKUP($D63&amp;$B63,[3]!装备基础属性表,Y$30,FALSE)</f>
        <v>0</v>
      </c>
      <c r="AJ63" s="16" t="str">
        <f>B63&amp;VLOOKUP(C63,定义数据!$E$1:$F$7,2,FALSE)&amp;D63</f>
        <v>4115</v>
      </c>
      <c r="AK63" s="14">
        <f t="shared" si="29"/>
        <v>7</v>
      </c>
      <c r="AL63" s="5">
        <f t="shared" si="97"/>
        <v>6</v>
      </c>
      <c r="AM63" s="5" t="str">
        <f t="array" aca="1" ref="AM63" ca="1">IF(AM$31&gt;$AL63,0,IF(ISERROR(OFFSET($E$31,0,SMALL(IF($E63:$X63&gt;0,COLUMN($A:$T),""),AM$31)-1)),0,OFFSET($E$31,0,SMALL(IF($E63:$X63&gt;0,COLUMN($A:$T),""),AM$31)-1)))</f>
        <v>生命</v>
      </c>
      <c r="AN63" s="5">
        <f t="array" aca="1" ref="AN63" ca="1">IF(AM$31&gt;$AL63,0,IF(ISERROR(INDEX($E63:$X63,,SMALL(IF($E63:$X63&gt;0,COLUMN($A:$T),""),AN$31))),0,INDEX($E63:$X63,,SMALL(IF($E63:$X63&gt;0,COLUMN($A:$T),""),AN$31))))</f>
        <v>1097.5484749555353</v>
      </c>
      <c r="AO63" s="5" t="str">
        <f t="array" aca="1" ref="AO63" ca="1">IF(AO$31&gt;$AL63,0,IF(ISERROR(OFFSET($E$31,0,SMALL(IF($E63:$X63&gt;0,COLUMN($A:$T),""),AO$31)-1)),0,OFFSET($E$31,0,SMALL(IF($E63:$X63&gt;0,COLUMN($A:$T),""),AO$31)-1)))</f>
        <v>防御</v>
      </c>
      <c r="AP63" s="5">
        <f t="array" aca="1" ref="AP63" ca="1">IF(AO$31&gt;$AL63,0,IF(ISERROR(INDEX($E63:$X63,,SMALL(IF($E63:$X63&gt;0,COLUMN($A:$T),""),AP$31))),0,INDEX($E63:$X63,,SMALL(IF($E63:$X63&gt;0,COLUMN($A:$T),""),AP$31))))</f>
        <v>24.089697608318893</v>
      </c>
      <c r="AQ63" s="5" t="str">
        <f t="array" aca="1" ref="AQ63" ca="1">IF(AQ$31&gt;$AL63,0,IF(ISERROR(OFFSET($E$31,0,SMALL(IF($E63:$X63&gt;0,COLUMN($A:$T),""),AQ$31)-1)),0,OFFSET($E$31,0,SMALL(IF($E63:$X63&gt;0,COLUMN($A:$T),""),AQ$31)-1)))</f>
        <v>生命</v>
      </c>
      <c r="AR63" s="5">
        <f t="array" aca="1" ref="AR63" ca="1">IF(AQ$31&gt;$AL63,0,IF(ISERROR(INDEX($E63:$X63,,SMALL(IF($E63:$X63&gt;0,COLUMN($A:$T),""),AR$31))),0,INDEX($E63:$X63,,SMALL(IF($E63:$X63&gt;0,COLUMN($A:$T),""),AR$31))))</f>
        <v>348.42808728747156</v>
      </c>
      <c r="AS63" s="5" t="str">
        <f t="array" aca="1" ref="AS63" ca="1">IF(AS$31&gt;$AL63,0,IF(ISERROR(OFFSET($E$31,0,SMALL(IF($E63:$X63&gt;0,COLUMN($A:$T),""),AS$31)-1)),0,OFFSET($E$31,0,SMALL(IF($E63:$X63&gt;0,COLUMN($A:$T),""),AS$31)-1)))</f>
        <v>防御</v>
      </c>
      <c r="AT63" s="5">
        <f t="array" aca="1" ref="AT63" ca="1">IF(AS$31&gt;$AL63,0,IF(ISERROR(INDEX($E63:$X63,,SMALL(IF($E63:$X63&gt;0,COLUMN($A:$T),""),AT$31))),0,INDEX($E63:$X63,,SMALL(IF($E63:$X63&gt;0,COLUMN($A:$T),""),AT$31))))</f>
        <v>11.471284575389951</v>
      </c>
      <c r="AU63" s="5" t="str">
        <f t="array" aca="1" ref="AU63" ca="1">IF(AU$31&gt;$AL63,0,IF(ISERROR(OFFSET($E$31,0,SMALL(IF($E63:$X63&gt;0,COLUMN($A:$T),""),AU$31)-1)),0,OFFSET($E$31,0,SMALL(IF($E63:$X63&gt;0,COLUMN($A:$T),""),AU$31)-1)))</f>
        <v>闪避值</v>
      </c>
      <c r="AV63" s="5">
        <f t="array" aca="1" ref="AV63" ca="1">IF(AU$31&gt;$AL63,0,IF(ISERROR(INDEX($E63:$X63,,SMALL(IF($E63:$X63&gt;0,COLUMN($A:$T),""),AV$31))),0,INDEX($E63:$X63,,SMALL(IF($E63:$X63&gt;0,COLUMN($A:$T),""),AV$31))))</f>
        <v>8.3333333333333339</v>
      </c>
      <c r="AW63" s="5" t="str">
        <f t="array" aca="1" ref="AW63" ca="1">IF(AW$31&gt;$AL63,0,IF(ISERROR(OFFSET($E$31,0,SMALL(IF($E63:$X63&gt;0,COLUMN($A:$T),""),AW$31)-1)),0,OFFSET($E$31,0,SMALL(IF($E63:$X63&gt;0,COLUMN($A:$T),""),AW$31)-1)))</f>
        <v>韧性值</v>
      </c>
      <c r="AX63" s="5">
        <f t="array" aca="1" ref="AX63" ca="1">IF(AW$31&gt;$AL63,0,IF(ISERROR(INDEX($E63:$X63,,SMALL(IF($E63:$X63&gt;0,COLUMN($A:$T),""),AX$31))),0,INDEX($E63:$X63,,SMALL(IF($E63:$X63&gt;0,COLUMN($A:$T),""),AX$31))))</f>
        <v>8.230452674897121</v>
      </c>
      <c r="AY63" s="5">
        <f t="array" aca="1" ref="AY63" ca="1">IF(AY$31&gt;$AL63,0,IF(ISERROR(OFFSET($E$31,0,SMALL(IF($E63:$X63&gt;0,COLUMN($A:$T),""),AY$31)-1)),0,OFFSET($E$31,0,SMALL(IF($E63:$X63&gt;0,COLUMN($A:$T),""),AY$31)-1)))</f>
        <v>0</v>
      </c>
      <c r="AZ63" s="5">
        <f t="array" ref="AZ63">IF(AY$31&gt;$AL63,0,IF(ISERROR(INDEX($E63:$X63,,SMALL(IF($E63:$X63&gt;0,COLUMN($A:$T),""),AZ$31))),0,INDEX($E63:$X63,,SMALL(IF($E63:$X63&gt;0,COLUMN($A:$T),""),AZ$31))))</f>
        <v>0</v>
      </c>
      <c r="BA63" s="5">
        <f t="array" aca="1" ref="BA63" ca="1">IF(BA$31&gt;$AL63,0,IF(ISERROR(OFFSET($E$31,0,SMALL(IF($E63:$X63&gt;0,COLUMN($A:$T),""),BA$31)-1)),0,OFFSET($E$31,0,SMALL(IF($E63:$X63&gt;0,COLUMN($A:$T),""),BA$31)-1)))</f>
        <v>0</v>
      </c>
      <c r="BB63" s="5">
        <f t="array" ref="BB63">IF(BA$31&gt;$AL63,0,IF(ISERROR(INDEX($E63:$X63,,SMALL(IF($E63:$X63&gt;0,COLUMN($A:$T),""),BB$31))),0,INDEX($E63:$X63,,SMALL(IF($E63:$X63&gt;0,COLUMN($A:$T),""),BB$31))))</f>
        <v>0</v>
      </c>
      <c r="BC63" s="5">
        <f t="array" aca="1" ref="BC63" ca="1">IF(BC$31&gt;$AL63,0,IF(ISERROR(OFFSET($E$31,0,SMALL(IF($E63:$X63&gt;0,COLUMN($A:$T),""),BC$31)-1)),0,OFFSET($E$31,0,SMALL(IF($E63:$X63&gt;0,COLUMN($A:$T),""),BC$31)-1)))</f>
        <v>0</v>
      </c>
      <c r="BD63" s="5">
        <f t="array" ref="BD63">IF(BC$31&gt;$AL63,0,IF(ISERROR(INDEX($E63:$X63,,SMALL(IF($E63:$X63&gt;0,COLUMN($A:$T),""),BD$31))),0,INDEX($E63:$X63,,SMALL(IF($E63:$X63&gt;0,COLUMN($A:$T),""),BD$31))))</f>
        <v>0</v>
      </c>
      <c r="BE63" s="5">
        <f t="array" aca="1" ref="BE63" ca="1">IF(BE$31&gt;$AL63,0,IF(ISERROR(OFFSET($E$31,0,SMALL(IF($E63:$X63&gt;0,COLUMN($A:$T),""),BE$31)-1)),0,OFFSET($E$31,0,SMALL(IF($E63:$X63&gt;0,COLUMN($A:$T),""),BE$31)-1)))</f>
        <v>0</v>
      </c>
      <c r="BF63" s="5">
        <f t="array" ref="BF63">IF(BE$31&gt;$AL63,0,IF(ISERROR(INDEX($E63:$X63,,SMALL(IF($E63:$X63&gt;0,COLUMN($A:$T),""),BF$31))),0,INDEX($E63:$X63,,SMALL(IF($E63:$X63&gt;0,COLUMN($A:$T),""),BF$31))))</f>
        <v>0</v>
      </c>
      <c r="BH63">
        <f ca="1">SUMPRODUCT(E63:N63,定义数据!$G$14:$P$14)</f>
        <v>67.991636606540311</v>
      </c>
      <c r="BI63">
        <f ca="1">SUMPRODUCT(O63:X63,定义数据!$G$14:$P$14)</f>
        <v>29.723222881703627</v>
      </c>
      <c r="BJ63" s="5">
        <f t="shared" ca="1" si="98"/>
        <v>97.714859488243945</v>
      </c>
      <c r="BK63" s="5" t="str">
        <f>D63&amp;B63&amp;VLOOKUP(C63,定义数据!$E$1:$F$7,2,FALSE)</f>
        <v>1541</v>
      </c>
    </row>
    <row r="64" spans="1:63" x14ac:dyDescent="0.15">
      <c r="A64" s="17" t="str">
        <f>D64&amp;B64&amp;VLOOKUP(C64,定义数据!$E$1:$F$7,2,FALSE)</f>
        <v>1542</v>
      </c>
      <c r="B64" s="18">
        <v>4</v>
      </c>
      <c r="C64" s="18" t="s">
        <v>137</v>
      </c>
      <c r="D64" s="24">
        <v>15</v>
      </c>
      <c r="E64" s="56">
        <f t="shared" ca="1" si="77"/>
        <v>0</v>
      </c>
      <c r="F64" s="56">
        <f t="shared" ca="1" si="78"/>
        <v>0</v>
      </c>
      <c r="G64" s="56">
        <f t="shared" ca="1" si="79"/>
        <v>16.05979840554593</v>
      </c>
      <c r="H64" s="56">
        <f t="shared" ca="1" si="80"/>
        <v>24.305555555555554</v>
      </c>
      <c r="I64" s="56">
        <f t="shared" ca="1" si="81"/>
        <v>0</v>
      </c>
      <c r="J64" s="56">
        <f t="shared" ca="1" si="82"/>
        <v>0</v>
      </c>
      <c r="K64" s="56">
        <f t="shared" ca="1" si="83"/>
        <v>0</v>
      </c>
      <c r="L64" s="56">
        <f t="shared" ca="1" si="84"/>
        <v>0</v>
      </c>
      <c r="M64" s="56">
        <f t="shared" ca="1" si="85"/>
        <v>0</v>
      </c>
      <c r="N64" s="56">
        <f t="shared" ca="1" si="86"/>
        <v>0</v>
      </c>
      <c r="O64" s="65">
        <f t="shared" ca="1" si="87"/>
        <v>174.21404364373578</v>
      </c>
      <c r="P64" s="65">
        <f t="shared" ca="1" si="88"/>
        <v>0</v>
      </c>
      <c r="Q64" s="65">
        <f t="shared" ca="1" si="89"/>
        <v>3.8237615251299832</v>
      </c>
      <c r="R64" s="65">
        <f t="shared" ca="1" si="90"/>
        <v>8.3333333333333339</v>
      </c>
      <c r="S64" s="65">
        <f t="shared" ca="1" si="91"/>
        <v>0</v>
      </c>
      <c r="T64" s="65">
        <f t="shared" ca="1" si="92"/>
        <v>0</v>
      </c>
      <c r="U64" s="65">
        <f t="shared" ca="1" si="93"/>
        <v>0</v>
      </c>
      <c r="V64" s="65">
        <f t="shared" ca="1" si="94"/>
        <v>8.230452674897121</v>
      </c>
      <c r="W64" s="65">
        <f t="shared" ca="1" si="95"/>
        <v>0</v>
      </c>
      <c r="X64" s="65">
        <f t="shared" ca="1" si="96"/>
        <v>0</v>
      </c>
      <c r="Y64" s="21" t="s">
        <v>96</v>
      </c>
      <c r="Z64" s="15">
        <f>VLOOKUP($D64&amp;$B64,[3]!装备基础属性表,P$30,FALSE)</f>
        <v>2613.2106546560367</v>
      </c>
      <c r="AA64" s="15">
        <f>VLOOKUP($D64&amp;$B64,[3]!装备基础属性表,Q$30,FALSE)</f>
        <v>132.73257754010697</v>
      </c>
      <c r="AB64" s="15">
        <f>VLOOKUP($D64&amp;$B64,[3]!装备基础属性表,R$30,FALSE)</f>
        <v>57.35642287694975</v>
      </c>
      <c r="AC64" s="15">
        <f>VLOOKUP($D64&amp;$B64,[3]!装备基础属性表,S$30,FALSE)</f>
        <v>104.16666666666667</v>
      </c>
      <c r="AD64" s="15">
        <f>VLOOKUP($D64&amp;$B64,[3]!装备基础属性表,T$30,FALSE)</f>
        <v>104.16666666666667</v>
      </c>
      <c r="AE64" s="15">
        <f>VLOOKUP($D64&amp;$B64,[3]!装备基础属性表,U$30,FALSE)</f>
        <v>61.728395061728399</v>
      </c>
      <c r="AF64" s="15">
        <f>VLOOKUP($D64&amp;$B64,[3]!装备基础属性表,V$30,FALSE)</f>
        <v>0</v>
      </c>
      <c r="AG64" s="15">
        <f>VLOOKUP($D64&amp;$B64,[3]!装备基础属性表,W$30,FALSE)</f>
        <v>61.728395061728399</v>
      </c>
      <c r="AH64" s="15">
        <f>VLOOKUP($D64&amp;$B64,[3]!装备基础属性表,X$30,FALSE)</f>
        <v>0</v>
      </c>
      <c r="AI64" s="15">
        <f>VLOOKUP($D64&amp;$B64,[3]!装备基础属性表,Y$30,FALSE)</f>
        <v>0</v>
      </c>
      <c r="AJ64" s="16" t="str">
        <f>B64&amp;VLOOKUP(C64,定义数据!$E$1:$F$7,2,FALSE)&amp;D64</f>
        <v>4215</v>
      </c>
      <c r="AK64" s="14">
        <f t="shared" si="29"/>
        <v>7</v>
      </c>
      <c r="AL64" s="5">
        <f t="shared" si="97"/>
        <v>6</v>
      </c>
      <c r="AM64" s="5" t="str">
        <f t="array" aca="1" ref="AM64" ca="1">IF(AM$31&gt;$AL64,0,IF(ISERROR(OFFSET($E$31,0,SMALL(IF($E64:$X64&gt;0,COLUMN($A:$T),""),AM$31)-1)),0,OFFSET($E$31,0,SMALL(IF($E64:$X64&gt;0,COLUMN($A:$T),""),AM$31)-1)))</f>
        <v>防御</v>
      </c>
      <c r="AN64" s="5">
        <f t="array" aca="1" ref="AN64" ca="1">IF(AM$31&gt;$AL64,0,IF(ISERROR(INDEX($E64:$X64,,SMALL(IF($E64:$X64&gt;0,COLUMN($A:$T),""),AN$31))),0,INDEX($E64:$X64,,SMALL(IF($E64:$X64&gt;0,COLUMN($A:$T),""),AN$31))))</f>
        <v>16.05979840554593</v>
      </c>
      <c r="AO64" s="5" t="str">
        <f t="array" aca="1" ref="AO64" ca="1">IF(AO$31&gt;$AL64,0,IF(ISERROR(OFFSET($E$31,0,SMALL(IF($E64:$X64&gt;0,COLUMN($A:$T),""),AO$31)-1)),0,OFFSET($E$31,0,SMALL(IF($E64:$X64&gt;0,COLUMN($A:$T),""),AO$31)-1)))</f>
        <v>闪避值</v>
      </c>
      <c r="AP64" s="5">
        <f t="array" aca="1" ref="AP64" ca="1">IF(AO$31&gt;$AL64,0,IF(ISERROR(INDEX($E64:$X64,,SMALL(IF($E64:$X64&gt;0,COLUMN($A:$T),""),AP$31))),0,INDEX($E64:$X64,,SMALL(IF($E64:$X64&gt;0,COLUMN($A:$T),""),AP$31))))</f>
        <v>24.305555555555554</v>
      </c>
      <c r="AQ64" s="5" t="str">
        <f t="array" aca="1" ref="AQ64" ca="1">IF(AQ$31&gt;$AL64,0,IF(ISERROR(OFFSET($E$31,0,SMALL(IF($E64:$X64&gt;0,COLUMN($A:$T),""),AQ$31)-1)),0,OFFSET($E$31,0,SMALL(IF($E64:$X64&gt;0,COLUMN($A:$T),""),AQ$31)-1)))</f>
        <v>生命</v>
      </c>
      <c r="AR64" s="5">
        <f t="array" aca="1" ref="AR64" ca="1">IF(AQ$31&gt;$AL64,0,IF(ISERROR(INDEX($E64:$X64,,SMALL(IF($E64:$X64&gt;0,COLUMN($A:$T),""),AR$31))),0,INDEX($E64:$X64,,SMALL(IF($E64:$X64&gt;0,COLUMN($A:$T),""),AR$31))))</f>
        <v>174.21404364373578</v>
      </c>
      <c r="AS64" s="5" t="str">
        <f t="array" aca="1" ref="AS64" ca="1">IF(AS$31&gt;$AL64,0,IF(ISERROR(OFFSET($E$31,0,SMALL(IF($E64:$X64&gt;0,COLUMN($A:$T),""),AS$31)-1)),0,OFFSET($E$31,0,SMALL(IF($E64:$X64&gt;0,COLUMN($A:$T),""),AS$31)-1)))</f>
        <v>防御</v>
      </c>
      <c r="AT64" s="5">
        <f t="array" aca="1" ref="AT64" ca="1">IF(AS$31&gt;$AL64,0,IF(ISERROR(INDEX($E64:$X64,,SMALL(IF($E64:$X64&gt;0,COLUMN($A:$T),""),AT$31))),0,INDEX($E64:$X64,,SMALL(IF($E64:$X64&gt;0,COLUMN($A:$T),""),AT$31))))</f>
        <v>3.8237615251299832</v>
      </c>
      <c r="AU64" s="5" t="str">
        <f t="array" aca="1" ref="AU64" ca="1">IF(AU$31&gt;$AL64,0,IF(ISERROR(OFFSET($E$31,0,SMALL(IF($E64:$X64&gt;0,COLUMN($A:$T),""),AU$31)-1)),0,OFFSET($E$31,0,SMALL(IF($E64:$X64&gt;0,COLUMN($A:$T),""),AU$31)-1)))</f>
        <v>闪避值</v>
      </c>
      <c r="AV64" s="5">
        <f t="array" aca="1" ref="AV64" ca="1">IF(AU$31&gt;$AL64,0,IF(ISERROR(INDEX($E64:$X64,,SMALL(IF($E64:$X64&gt;0,COLUMN($A:$T),""),AV$31))),0,INDEX($E64:$X64,,SMALL(IF($E64:$X64&gt;0,COLUMN($A:$T),""),AV$31))))</f>
        <v>8.3333333333333339</v>
      </c>
      <c r="AW64" s="5" t="str">
        <f t="array" aca="1" ref="AW64" ca="1">IF(AW$31&gt;$AL64,0,IF(ISERROR(OFFSET($E$31,0,SMALL(IF($E64:$X64&gt;0,COLUMN($A:$T),""),AW$31)-1)),0,OFFSET($E$31,0,SMALL(IF($E64:$X64&gt;0,COLUMN($A:$T),""),AW$31)-1)))</f>
        <v>韧性值</v>
      </c>
      <c r="AX64" s="5">
        <f t="array" aca="1" ref="AX64" ca="1">IF(AW$31&gt;$AL64,0,IF(ISERROR(INDEX($E64:$X64,,SMALL(IF($E64:$X64&gt;0,COLUMN($A:$T),""),AX$31))),0,INDEX($E64:$X64,,SMALL(IF($E64:$X64&gt;0,COLUMN($A:$T),""),AX$31))))</f>
        <v>8.230452674897121</v>
      </c>
      <c r="AY64" s="5">
        <f t="array" aca="1" ref="AY64" ca="1">IF(AY$31&gt;$AL64,0,IF(ISERROR(OFFSET($E$31,0,SMALL(IF($E64:$X64&gt;0,COLUMN($A:$T),""),AY$31)-1)),0,OFFSET($E$31,0,SMALL(IF($E64:$X64&gt;0,COLUMN($A:$T),""),AY$31)-1)))</f>
        <v>0</v>
      </c>
      <c r="AZ64" s="5">
        <f t="array" ref="AZ64">IF(AY$31&gt;$AL64,0,IF(ISERROR(INDEX($E64:$X64,,SMALL(IF($E64:$X64&gt;0,COLUMN($A:$T),""),AZ$31))),0,INDEX($E64:$X64,,SMALL(IF($E64:$X64&gt;0,COLUMN($A:$T),""),AZ$31))))</f>
        <v>0</v>
      </c>
      <c r="BA64" s="5">
        <f t="array" aca="1" ref="BA64" ca="1">IF(BA$31&gt;$AL64,0,IF(ISERROR(OFFSET($E$31,0,SMALL(IF($E64:$X64&gt;0,COLUMN($A:$T),""),BA$31)-1)),0,OFFSET($E$31,0,SMALL(IF($E64:$X64&gt;0,COLUMN($A:$T),""),BA$31)-1)))</f>
        <v>0</v>
      </c>
      <c r="BB64" s="5">
        <f t="array" ref="BB64">IF(BA$31&gt;$AL64,0,IF(ISERROR(INDEX($E64:$X64,,SMALL(IF($E64:$X64&gt;0,COLUMN($A:$T),""),BB$31))),0,INDEX($E64:$X64,,SMALL(IF($E64:$X64&gt;0,COLUMN($A:$T),""),BB$31))))</f>
        <v>0</v>
      </c>
      <c r="BC64" s="5">
        <f t="array" aca="1" ref="BC64" ca="1">IF(BC$31&gt;$AL64,0,IF(ISERROR(OFFSET($E$31,0,SMALL(IF($E64:$X64&gt;0,COLUMN($A:$T),""),BC$31)-1)),0,OFFSET($E$31,0,SMALL(IF($E64:$X64&gt;0,COLUMN($A:$T),""),BC$31)-1)))</f>
        <v>0</v>
      </c>
      <c r="BD64" s="5">
        <f t="array" ref="BD64">IF(BC$31&gt;$AL64,0,IF(ISERROR(INDEX($E64:$X64,,SMALL(IF($E64:$X64&gt;0,COLUMN($A:$T),""),BD$31))),0,INDEX($E64:$X64,,SMALL(IF($E64:$X64&gt;0,COLUMN($A:$T),""),BD$31))))</f>
        <v>0</v>
      </c>
      <c r="BE64" s="5">
        <f t="array" aca="1" ref="BE64" ca="1">IF(BE$31&gt;$AL64,0,IF(ISERROR(OFFSET($E$31,0,SMALL(IF($E64:$X64&gt;0,COLUMN($A:$T),""),BE$31)-1)),0,OFFSET($E$31,0,SMALL(IF($E64:$X64&gt;0,COLUMN($A:$T),""),BE$31)-1)))</f>
        <v>0</v>
      </c>
      <c r="BF64" s="5">
        <f t="array" ref="BF64">IF(BE$31&gt;$AL64,0,IF(ISERROR(INDEX($E64:$X64,,SMALL(IF($E64:$X64&gt;0,COLUMN($A:$T),""),BF$31))),0,INDEX($E64:$X64,,SMALL(IF($E64:$X64&gt;0,COLUMN($A:$T),""),BF$31))))</f>
        <v>0</v>
      </c>
      <c r="BH64">
        <f ca="1">SUMPRODUCT(E64:N64,定义数据!$G$14:$P$14)</f>
        <v>24.323687294434819</v>
      </c>
      <c r="BI64">
        <f ca="1">SUMPRODUCT(O64:X64,定义数据!$G$14:$P$14)</f>
        <v>15.107138085694229</v>
      </c>
      <c r="BJ64" s="5">
        <f t="shared" ca="1" si="98"/>
        <v>39.43082538012905</v>
      </c>
      <c r="BK64" s="5" t="str">
        <f>D64&amp;B64&amp;VLOOKUP(C64,定义数据!$E$1:$F$7,2,FALSE)</f>
        <v>1542</v>
      </c>
    </row>
    <row r="65" spans="1:63" x14ac:dyDescent="0.15">
      <c r="A65" s="17" t="str">
        <f>D65&amp;B65&amp;VLOOKUP(C65,定义数据!$E$1:$F$7,2,FALSE)</f>
        <v>1545</v>
      </c>
      <c r="B65" s="18">
        <v>4</v>
      </c>
      <c r="C65" s="18" t="s">
        <v>138</v>
      </c>
      <c r="D65" s="24">
        <v>15</v>
      </c>
      <c r="E65" s="56">
        <f t="shared" ca="1" si="77"/>
        <v>365.84949165184514</v>
      </c>
      <c r="F65" s="56">
        <f t="shared" ca="1" si="78"/>
        <v>0</v>
      </c>
      <c r="G65" s="56">
        <f t="shared" ca="1" si="79"/>
        <v>0</v>
      </c>
      <c r="H65" s="56">
        <f t="shared" ca="1" si="80"/>
        <v>48.611111111111107</v>
      </c>
      <c r="I65" s="56">
        <f t="shared" ca="1" si="81"/>
        <v>0</v>
      </c>
      <c r="J65" s="56">
        <f t="shared" ca="1" si="82"/>
        <v>0</v>
      </c>
      <c r="K65" s="56">
        <f t="shared" ca="1" si="83"/>
        <v>0</v>
      </c>
      <c r="L65" s="56">
        <f t="shared" ca="1" si="84"/>
        <v>0</v>
      </c>
      <c r="M65" s="56">
        <f t="shared" ca="1" si="85"/>
        <v>0</v>
      </c>
      <c r="N65" s="56">
        <f t="shared" ca="1" si="86"/>
        <v>0</v>
      </c>
      <c r="O65" s="65">
        <f t="shared" ca="1" si="87"/>
        <v>174.21404364373578</v>
      </c>
      <c r="P65" s="65">
        <f t="shared" ca="1" si="88"/>
        <v>0</v>
      </c>
      <c r="Q65" s="65">
        <f t="shared" ca="1" si="89"/>
        <v>0</v>
      </c>
      <c r="R65" s="65">
        <f t="shared" ca="1" si="90"/>
        <v>16.666666666666668</v>
      </c>
      <c r="S65" s="65">
        <f t="shared" ca="1" si="91"/>
        <v>13.888888888888889</v>
      </c>
      <c r="T65" s="65">
        <f t="shared" ca="1" si="92"/>
        <v>4.9382716049382722</v>
      </c>
      <c r="U65" s="65">
        <f t="shared" ca="1" si="93"/>
        <v>0</v>
      </c>
      <c r="V65" s="65">
        <f t="shared" ca="1" si="94"/>
        <v>0</v>
      </c>
      <c r="W65" s="65">
        <f t="shared" ca="1" si="95"/>
        <v>0</v>
      </c>
      <c r="X65" s="65">
        <f t="shared" ca="1" si="96"/>
        <v>0</v>
      </c>
      <c r="Y65" s="21"/>
      <c r="Z65" s="15">
        <f>VLOOKUP($D65&amp;$B65,[3]!装备基础属性表,P$30,FALSE)</f>
        <v>2613.2106546560367</v>
      </c>
      <c r="AA65" s="15">
        <f>VLOOKUP($D65&amp;$B65,[3]!装备基础属性表,Q$30,FALSE)</f>
        <v>132.73257754010697</v>
      </c>
      <c r="AB65" s="15">
        <f>VLOOKUP($D65&amp;$B65,[3]!装备基础属性表,R$30,FALSE)</f>
        <v>57.35642287694975</v>
      </c>
      <c r="AC65" s="15">
        <f>VLOOKUP($D65&amp;$B65,[3]!装备基础属性表,S$30,FALSE)</f>
        <v>104.16666666666667</v>
      </c>
      <c r="AD65" s="15">
        <f>VLOOKUP($D65&amp;$B65,[3]!装备基础属性表,T$30,FALSE)</f>
        <v>104.16666666666667</v>
      </c>
      <c r="AE65" s="15">
        <f>VLOOKUP($D65&amp;$B65,[3]!装备基础属性表,U$30,FALSE)</f>
        <v>61.728395061728399</v>
      </c>
      <c r="AF65" s="15">
        <f>VLOOKUP($D65&amp;$B65,[3]!装备基础属性表,V$30,FALSE)</f>
        <v>0</v>
      </c>
      <c r="AG65" s="15">
        <f>VLOOKUP($D65&amp;$B65,[3]!装备基础属性表,W$30,FALSE)</f>
        <v>61.728395061728399</v>
      </c>
      <c r="AH65" s="15">
        <f>VLOOKUP($D65&amp;$B65,[3]!装备基础属性表,X$30,FALSE)</f>
        <v>0</v>
      </c>
      <c r="AI65" s="15">
        <f>VLOOKUP($D65&amp;$B65,[3]!装备基础属性表,Y$30,FALSE)</f>
        <v>0</v>
      </c>
      <c r="AJ65" s="16" t="str">
        <f>B65&amp;VLOOKUP(C65,定义数据!$E$1:$F$7,2,FALSE)&amp;D65</f>
        <v>4515</v>
      </c>
      <c r="AK65" s="14">
        <f t="shared" si="29"/>
        <v>7</v>
      </c>
      <c r="AL65" s="5">
        <f t="shared" si="97"/>
        <v>6</v>
      </c>
      <c r="AM65" s="5" t="str">
        <f t="array" aca="1" ref="AM65" ca="1">IF(AM$31&gt;$AL65,0,IF(ISERROR(OFFSET($E$31,0,SMALL(IF($E65:$X65&gt;0,COLUMN($A:$T),""),AM$31)-1)),0,OFFSET($E$31,0,SMALL(IF($E65:$X65&gt;0,COLUMN($A:$T),""),AM$31)-1)))</f>
        <v>生命</v>
      </c>
      <c r="AN65" s="5">
        <f t="array" aca="1" ref="AN65" ca="1">IF(AM$31&gt;$AL65,0,IF(ISERROR(INDEX($E65:$X65,,SMALL(IF($E65:$X65&gt;0,COLUMN($A:$T),""),AN$31))),0,INDEX($E65:$X65,,SMALL(IF($E65:$X65&gt;0,COLUMN($A:$T),""),AN$31))))</f>
        <v>365.84949165184514</v>
      </c>
      <c r="AO65" s="5" t="str">
        <f t="array" aca="1" ref="AO65" ca="1">IF(AO$31&gt;$AL65,0,IF(ISERROR(OFFSET($E$31,0,SMALL(IF($E65:$X65&gt;0,COLUMN($A:$T),""),AO$31)-1)),0,OFFSET($E$31,0,SMALL(IF($E65:$X65&gt;0,COLUMN($A:$T),""),AO$31)-1)))</f>
        <v>闪避值</v>
      </c>
      <c r="AP65" s="5">
        <f t="array" aca="1" ref="AP65" ca="1">IF(AO$31&gt;$AL65,0,IF(ISERROR(INDEX($E65:$X65,,SMALL(IF($E65:$X65&gt;0,COLUMN($A:$T),""),AP$31))),0,INDEX($E65:$X65,,SMALL(IF($E65:$X65&gt;0,COLUMN($A:$T),""),AP$31))))</f>
        <v>48.611111111111107</v>
      </c>
      <c r="AQ65" s="5" t="str">
        <f t="array" aca="1" ref="AQ65" ca="1">IF(AQ$31&gt;$AL65,0,IF(ISERROR(OFFSET($E$31,0,SMALL(IF($E65:$X65&gt;0,COLUMN($A:$T),""),AQ$31)-1)),0,OFFSET($E$31,0,SMALL(IF($E65:$X65&gt;0,COLUMN($A:$T),""),AQ$31)-1)))</f>
        <v>生命</v>
      </c>
      <c r="AR65" s="5">
        <f t="array" aca="1" ref="AR65" ca="1">IF(AQ$31&gt;$AL65,0,IF(ISERROR(INDEX($E65:$X65,,SMALL(IF($E65:$X65&gt;0,COLUMN($A:$T),""),AR$31))),0,INDEX($E65:$X65,,SMALL(IF($E65:$X65&gt;0,COLUMN($A:$T),""),AR$31))))</f>
        <v>174.21404364373578</v>
      </c>
      <c r="AS65" s="5" t="str">
        <f t="array" aca="1" ref="AS65" ca="1">IF(AS$31&gt;$AL65,0,IF(ISERROR(OFFSET($E$31,0,SMALL(IF($E65:$X65&gt;0,COLUMN($A:$T),""),AS$31)-1)),0,OFFSET($E$31,0,SMALL(IF($E65:$X65&gt;0,COLUMN($A:$T),""),AS$31)-1)))</f>
        <v>闪避值</v>
      </c>
      <c r="AT65" s="5">
        <f t="array" aca="1" ref="AT65" ca="1">IF(AS$31&gt;$AL65,0,IF(ISERROR(INDEX($E65:$X65,,SMALL(IF($E65:$X65&gt;0,COLUMN($A:$T),""),AT$31))),0,INDEX($E65:$X65,,SMALL(IF($E65:$X65&gt;0,COLUMN($A:$T),""),AT$31))))</f>
        <v>16.666666666666668</v>
      </c>
      <c r="AU65" s="5" t="str">
        <f t="array" aca="1" ref="AU65" ca="1">IF(AU$31&gt;$AL65,0,IF(ISERROR(OFFSET($E$31,0,SMALL(IF($E65:$X65&gt;0,COLUMN($A:$T),""),AU$31)-1)),0,OFFSET($E$31,0,SMALL(IF($E65:$X65&gt;0,COLUMN($A:$T),""),AU$31)-1)))</f>
        <v>命中值</v>
      </c>
      <c r="AV65" s="5">
        <f t="array" aca="1" ref="AV65" ca="1">IF(AU$31&gt;$AL65,0,IF(ISERROR(INDEX($E65:$X65,,SMALL(IF($E65:$X65&gt;0,COLUMN($A:$T),""),AV$31))),0,INDEX($E65:$X65,,SMALL(IF($E65:$X65&gt;0,COLUMN($A:$T),""),AV$31))))</f>
        <v>13.888888888888889</v>
      </c>
      <c r="AW65" s="5" t="str">
        <f t="array" aca="1" ref="AW65" ca="1">IF(AW$31&gt;$AL65,0,IF(ISERROR(OFFSET($E$31,0,SMALL(IF($E65:$X65&gt;0,COLUMN($A:$T),""),AW$31)-1)),0,OFFSET($E$31,0,SMALL(IF($E65:$X65&gt;0,COLUMN($A:$T),""),AW$31)-1)))</f>
        <v>暴击值</v>
      </c>
      <c r="AX65" s="5">
        <f t="array" aca="1" ref="AX65" ca="1">IF(AW$31&gt;$AL65,0,IF(ISERROR(INDEX($E65:$X65,,SMALL(IF($E65:$X65&gt;0,COLUMN($A:$T),""),AX$31))),0,INDEX($E65:$X65,,SMALL(IF($E65:$X65&gt;0,COLUMN($A:$T),""),AX$31))))</f>
        <v>4.9382716049382722</v>
      </c>
      <c r="AY65" s="5">
        <f t="array" aca="1" ref="AY65" ca="1">IF(AY$31&gt;$AL65,0,IF(ISERROR(OFFSET($E$31,0,SMALL(IF($E65:$X65&gt;0,COLUMN($A:$T),""),AY$31)-1)),0,OFFSET($E$31,0,SMALL(IF($E65:$X65&gt;0,COLUMN($A:$T),""),AY$31)-1)))</f>
        <v>0</v>
      </c>
      <c r="AZ65" s="5">
        <f t="array" ref="AZ65">IF(AY$31&gt;$AL65,0,IF(ISERROR(INDEX($E65:$X65,,SMALL(IF($E65:$X65&gt;0,COLUMN($A:$T),""),AZ$31))),0,INDEX($E65:$X65,,SMALL(IF($E65:$X65&gt;0,COLUMN($A:$T),""),AZ$31))))</f>
        <v>0</v>
      </c>
      <c r="BA65" s="5">
        <f t="array" aca="1" ref="BA65" ca="1">IF(BA$31&gt;$AL65,0,IF(ISERROR(OFFSET($E$31,0,SMALL(IF($E65:$X65&gt;0,COLUMN($A:$T),""),BA$31)-1)),0,OFFSET($E$31,0,SMALL(IF($E65:$X65&gt;0,COLUMN($A:$T),""),BA$31)-1)))</f>
        <v>0</v>
      </c>
      <c r="BB65" s="5">
        <f t="array" ref="BB65">IF(BA$31&gt;$AL65,0,IF(ISERROR(INDEX($E65:$X65,,SMALL(IF($E65:$X65&gt;0,COLUMN($A:$T),""),BB$31))),0,INDEX($E65:$X65,,SMALL(IF($E65:$X65&gt;0,COLUMN($A:$T),""),BB$31))))</f>
        <v>0</v>
      </c>
      <c r="BC65" s="5">
        <f t="array" aca="1" ref="BC65" ca="1">IF(BC$31&gt;$AL65,0,IF(ISERROR(OFFSET($E$31,0,SMALL(IF($E65:$X65&gt;0,COLUMN($A:$T),""),BC$31)-1)),0,OFFSET($E$31,0,SMALL(IF($E65:$X65&gt;0,COLUMN($A:$T),""),BC$31)-1)))</f>
        <v>0</v>
      </c>
      <c r="BD65" s="5">
        <f t="array" ref="BD65">IF(BC$31&gt;$AL65,0,IF(ISERROR(INDEX($E65:$X65,,SMALL(IF($E65:$X65&gt;0,COLUMN($A:$T),""),BD$31))),0,INDEX($E65:$X65,,SMALL(IF($E65:$X65&gt;0,COLUMN($A:$T),""),BD$31))))</f>
        <v>0</v>
      </c>
      <c r="BE65" s="5">
        <f t="array" aca="1" ref="BE65" ca="1">IF(BE$31&gt;$AL65,0,IF(ISERROR(OFFSET($E$31,0,SMALL(IF($E65:$X65&gt;0,COLUMN($A:$T),""),BE$31)-1)),0,OFFSET($E$31,0,SMALL(IF($E65:$X65&gt;0,COLUMN($A:$T),""),BE$31)-1)))</f>
        <v>0</v>
      </c>
      <c r="BF65" s="5">
        <f t="array" ref="BF65">IF(BE$31&gt;$AL65,0,IF(ISERROR(INDEX($E65:$X65,,SMALL(IF($E65:$X65&gt;0,COLUMN($A:$T),""),BF$31))),0,INDEX($E65:$X65,,SMALL(IF($E65:$X65&gt;0,COLUMN($A:$T),""),BF$31))))</f>
        <v>0</v>
      </c>
      <c r="BH65">
        <f ca="1">SUMPRODUCT(E65:N65,定义数据!$G$14:$P$14)</f>
        <v>31.161757443851585</v>
      </c>
      <c r="BI65">
        <f ca="1">SUMPRODUCT(O65:X65,定义数据!$G$14:$P$14)</f>
        <v>18.246339523527212</v>
      </c>
      <c r="BJ65" s="5">
        <f t="shared" ca="1" si="98"/>
        <v>49.408096967378796</v>
      </c>
      <c r="BK65" s="5" t="str">
        <f>D65&amp;B65&amp;VLOOKUP(C65,定义数据!$E$1:$F$7,2,FALSE)</f>
        <v>1545</v>
      </c>
    </row>
    <row r="66" spans="1:63" x14ac:dyDescent="0.15">
      <c r="A66" s="17" t="str">
        <f>D66&amp;B66&amp;VLOOKUP(C66,定义数据!$E$1:$F$7,2,FALSE)</f>
        <v>1544</v>
      </c>
      <c r="B66" s="18">
        <v>4</v>
      </c>
      <c r="C66" s="18" t="s">
        <v>83</v>
      </c>
      <c r="D66" s="24">
        <v>15</v>
      </c>
      <c r="E66" s="56">
        <f t="shared" ca="1" si="77"/>
        <v>365.84949165184514</v>
      </c>
      <c r="F66" s="56">
        <f t="shared" ca="1" si="78"/>
        <v>0</v>
      </c>
      <c r="G66" s="56">
        <f t="shared" ca="1" si="79"/>
        <v>0</v>
      </c>
      <c r="H66" s="56">
        <f t="shared" ca="1" si="80"/>
        <v>0</v>
      </c>
      <c r="I66" s="56">
        <f t="shared" ca="1" si="81"/>
        <v>0</v>
      </c>
      <c r="J66" s="56">
        <f t="shared" ca="1" si="82"/>
        <v>0</v>
      </c>
      <c r="K66" s="56">
        <f t="shared" ca="1" si="83"/>
        <v>0</v>
      </c>
      <c r="L66" s="56">
        <f t="shared" ca="1" si="84"/>
        <v>43.20987654320988</v>
      </c>
      <c r="M66" s="56">
        <f t="shared" ca="1" si="85"/>
        <v>0</v>
      </c>
      <c r="N66" s="56">
        <f t="shared" ca="1" si="86"/>
        <v>0</v>
      </c>
      <c r="O66" s="65">
        <f t="shared" ca="1" si="87"/>
        <v>348.42808728747156</v>
      </c>
      <c r="P66" s="65">
        <f t="shared" ca="1" si="88"/>
        <v>10.618606203208559</v>
      </c>
      <c r="Q66" s="65">
        <f t="shared" ca="1" si="89"/>
        <v>3.8237615251299832</v>
      </c>
      <c r="R66" s="65">
        <f t="shared" ca="1" si="90"/>
        <v>0</v>
      </c>
      <c r="S66" s="65">
        <f t="shared" ca="1" si="91"/>
        <v>0</v>
      </c>
      <c r="T66" s="65">
        <f t="shared" ca="1" si="92"/>
        <v>0</v>
      </c>
      <c r="U66" s="65">
        <f t="shared" ca="1" si="93"/>
        <v>0</v>
      </c>
      <c r="V66" s="65">
        <f t="shared" ca="1" si="94"/>
        <v>8.230452674897121</v>
      </c>
      <c r="W66" s="65">
        <f t="shared" ca="1" si="95"/>
        <v>0</v>
      </c>
      <c r="X66" s="65">
        <f t="shared" ca="1" si="96"/>
        <v>0</v>
      </c>
      <c r="Y66" s="21"/>
      <c r="Z66" s="15">
        <f>VLOOKUP($D66&amp;$B66,[3]!装备基础属性表,P$30,FALSE)</f>
        <v>2613.2106546560367</v>
      </c>
      <c r="AA66" s="15">
        <f>VLOOKUP($D66&amp;$B66,[3]!装备基础属性表,Q$30,FALSE)</f>
        <v>132.73257754010697</v>
      </c>
      <c r="AB66" s="15">
        <f>VLOOKUP($D66&amp;$B66,[3]!装备基础属性表,R$30,FALSE)</f>
        <v>57.35642287694975</v>
      </c>
      <c r="AC66" s="15">
        <f>VLOOKUP($D66&amp;$B66,[3]!装备基础属性表,S$30,FALSE)</f>
        <v>104.16666666666667</v>
      </c>
      <c r="AD66" s="15">
        <f>VLOOKUP($D66&amp;$B66,[3]!装备基础属性表,T$30,FALSE)</f>
        <v>104.16666666666667</v>
      </c>
      <c r="AE66" s="15">
        <f>VLOOKUP($D66&amp;$B66,[3]!装备基础属性表,U$30,FALSE)</f>
        <v>61.728395061728399</v>
      </c>
      <c r="AF66" s="15">
        <f>VLOOKUP($D66&amp;$B66,[3]!装备基础属性表,V$30,FALSE)</f>
        <v>0</v>
      </c>
      <c r="AG66" s="15">
        <f>VLOOKUP($D66&amp;$B66,[3]!装备基础属性表,W$30,FALSE)</f>
        <v>61.728395061728399</v>
      </c>
      <c r="AH66" s="15">
        <f>VLOOKUP($D66&amp;$B66,[3]!装备基础属性表,X$30,FALSE)</f>
        <v>0</v>
      </c>
      <c r="AI66" s="15">
        <f>VLOOKUP($D66&amp;$B66,[3]!装备基础属性表,Y$30,FALSE)</f>
        <v>0</v>
      </c>
      <c r="AJ66" s="16" t="str">
        <f>B66&amp;VLOOKUP(C66,定义数据!$E$1:$F$7,2,FALSE)&amp;D66</f>
        <v>4415</v>
      </c>
      <c r="AK66" s="14">
        <f t="shared" si="29"/>
        <v>7</v>
      </c>
      <c r="AL66" s="5">
        <f t="shared" si="97"/>
        <v>6</v>
      </c>
      <c r="AM66" s="5" t="str">
        <f t="array" aca="1" ref="AM66" ca="1">IF(AM$31&gt;$AL66,0,IF(ISERROR(OFFSET($E$31,0,SMALL(IF($E66:$X66&gt;0,COLUMN($A:$T),""),AM$31)-1)),0,OFFSET($E$31,0,SMALL(IF($E66:$X66&gt;0,COLUMN($A:$T),""),AM$31)-1)))</f>
        <v>生命</v>
      </c>
      <c r="AN66" s="5">
        <f t="array" aca="1" ref="AN66" ca="1">IF(AM$31&gt;$AL66,0,IF(ISERROR(INDEX($E66:$X66,,SMALL(IF($E66:$X66&gt;0,COLUMN($A:$T),""),AN$31))),0,INDEX($E66:$X66,,SMALL(IF($E66:$X66&gt;0,COLUMN($A:$T),""),AN$31))))</f>
        <v>365.84949165184514</v>
      </c>
      <c r="AO66" s="5" t="str">
        <f t="array" aca="1" ref="AO66" ca="1">IF(AO$31&gt;$AL66,0,IF(ISERROR(OFFSET($E$31,0,SMALL(IF($E66:$X66&gt;0,COLUMN($A:$T),""),AO$31)-1)),0,OFFSET($E$31,0,SMALL(IF($E66:$X66&gt;0,COLUMN($A:$T),""),AO$31)-1)))</f>
        <v>韧性值</v>
      </c>
      <c r="AP66" s="5">
        <f t="array" aca="1" ref="AP66" ca="1">IF(AO$31&gt;$AL66,0,IF(ISERROR(INDEX($E66:$X66,,SMALL(IF($E66:$X66&gt;0,COLUMN($A:$T),""),AP$31))),0,INDEX($E66:$X66,,SMALL(IF($E66:$X66&gt;0,COLUMN($A:$T),""),AP$31))))</f>
        <v>43.20987654320988</v>
      </c>
      <c r="AQ66" s="5" t="str">
        <f t="array" aca="1" ref="AQ66" ca="1">IF(AQ$31&gt;$AL66,0,IF(ISERROR(OFFSET($E$31,0,SMALL(IF($E66:$X66&gt;0,COLUMN($A:$T),""),AQ$31)-1)),0,OFFSET($E$31,0,SMALL(IF($E66:$X66&gt;0,COLUMN($A:$T),""),AQ$31)-1)))</f>
        <v>生命</v>
      </c>
      <c r="AR66" s="5">
        <f t="array" aca="1" ref="AR66" ca="1">IF(AQ$31&gt;$AL66,0,IF(ISERROR(INDEX($E66:$X66,,SMALL(IF($E66:$X66&gt;0,COLUMN($A:$T),""),AR$31))),0,INDEX($E66:$X66,,SMALL(IF($E66:$X66&gt;0,COLUMN($A:$T),""),AR$31))))</f>
        <v>348.42808728747156</v>
      </c>
      <c r="AS66" s="5" t="str">
        <f t="array" aca="1" ref="AS66" ca="1">IF(AS$31&gt;$AL66,0,IF(ISERROR(OFFSET($E$31,0,SMALL(IF($E66:$X66&gt;0,COLUMN($A:$T),""),AS$31)-1)),0,OFFSET($E$31,0,SMALL(IF($E66:$X66&gt;0,COLUMN($A:$T),""),AS$31)-1)))</f>
        <v>攻击</v>
      </c>
      <c r="AT66" s="5">
        <f t="array" aca="1" ref="AT66" ca="1">IF(AS$31&gt;$AL66,0,IF(ISERROR(INDEX($E66:$X66,,SMALL(IF($E66:$X66&gt;0,COLUMN($A:$T),""),AT$31))),0,INDEX($E66:$X66,,SMALL(IF($E66:$X66&gt;0,COLUMN($A:$T),""),AT$31))))</f>
        <v>10.618606203208559</v>
      </c>
      <c r="AU66" s="5" t="str">
        <f t="array" aca="1" ref="AU66" ca="1">IF(AU$31&gt;$AL66,0,IF(ISERROR(OFFSET($E$31,0,SMALL(IF($E66:$X66&gt;0,COLUMN($A:$T),""),AU$31)-1)),0,OFFSET($E$31,0,SMALL(IF($E66:$X66&gt;0,COLUMN($A:$T),""),AU$31)-1)))</f>
        <v>防御</v>
      </c>
      <c r="AV66" s="5">
        <f t="array" aca="1" ref="AV66" ca="1">IF(AU$31&gt;$AL66,0,IF(ISERROR(INDEX($E66:$X66,,SMALL(IF($E66:$X66&gt;0,COLUMN($A:$T),""),AV$31))),0,INDEX($E66:$X66,,SMALL(IF($E66:$X66&gt;0,COLUMN($A:$T),""),AV$31))))</f>
        <v>3.8237615251299832</v>
      </c>
      <c r="AW66" s="5" t="str">
        <f t="array" aca="1" ref="AW66" ca="1">IF(AW$31&gt;$AL66,0,IF(ISERROR(OFFSET($E$31,0,SMALL(IF($E66:$X66&gt;0,COLUMN($A:$T),""),AW$31)-1)),0,OFFSET($E$31,0,SMALL(IF($E66:$X66&gt;0,COLUMN($A:$T),""),AW$31)-1)))</f>
        <v>韧性值</v>
      </c>
      <c r="AX66" s="5">
        <f t="array" aca="1" ref="AX66" ca="1">IF(AW$31&gt;$AL66,0,IF(ISERROR(INDEX($E66:$X66,,SMALL(IF($E66:$X66&gt;0,COLUMN($A:$T),""),AX$31))),0,INDEX($E66:$X66,,SMALL(IF($E66:$X66&gt;0,COLUMN($A:$T),""),AX$31))))</f>
        <v>8.230452674897121</v>
      </c>
      <c r="AY66" s="5">
        <f t="array" aca="1" ref="AY66" ca="1">IF(AY$31&gt;$AL66,0,IF(ISERROR(OFFSET($E$31,0,SMALL(IF($E66:$X66&gt;0,COLUMN($A:$T),""),AY$31)-1)),0,OFFSET($E$31,0,SMALL(IF($E66:$X66&gt;0,COLUMN($A:$T),""),AY$31)-1)))</f>
        <v>0</v>
      </c>
      <c r="AZ66" s="5">
        <f t="array" ref="AZ66">IF(AY$31&gt;$AL66,0,IF(ISERROR(INDEX($E66:$X66,,SMALL(IF($E66:$X66&gt;0,COLUMN($A:$T),""),AZ$31))),0,INDEX($E66:$X66,,SMALL(IF($E66:$X66&gt;0,COLUMN($A:$T),""),AZ$31))))</f>
        <v>0</v>
      </c>
      <c r="BA66" s="5">
        <f t="array" aca="1" ref="BA66" ca="1">IF(BA$31&gt;$AL66,0,IF(ISERROR(OFFSET($E$31,0,SMALL(IF($E66:$X66&gt;0,COLUMN($A:$T),""),BA$31)-1)),0,OFFSET($E$31,0,SMALL(IF($E66:$X66&gt;0,COLUMN($A:$T),""),BA$31)-1)))</f>
        <v>0</v>
      </c>
      <c r="BB66" s="5">
        <f t="array" ref="BB66">IF(BA$31&gt;$AL66,0,IF(ISERROR(INDEX($E66:$X66,,SMALL(IF($E66:$X66&gt;0,COLUMN($A:$T),""),BB$31))),0,INDEX($E66:$X66,,SMALL(IF($E66:$X66&gt;0,COLUMN($A:$T),""),BB$31))))</f>
        <v>0</v>
      </c>
      <c r="BC66" s="5">
        <f t="array" aca="1" ref="BC66" ca="1">IF(BC$31&gt;$AL66,0,IF(ISERROR(OFFSET($E$31,0,SMALL(IF($E66:$X66&gt;0,COLUMN($A:$T),""),BC$31)-1)),0,OFFSET($E$31,0,SMALL(IF($E66:$X66&gt;0,COLUMN($A:$T),""),BC$31)-1)))</f>
        <v>0</v>
      </c>
      <c r="BD66" s="5">
        <f t="array" ref="BD66">IF(BC$31&gt;$AL66,0,IF(ISERROR(INDEX($E66:$X66,,SMALL(IF($E66:$X66&gt;0,COLUMN($A:$T),""),BD$31))),0,INDEX($E66:$X66,,SMALL(IF($E66:$X66&gt;0,COLUMN($A:$T),""),BD$31))))</f>
        <v>0</v>
      </c>
      <c r="BE66" s="5">
        <f t="array" aca="1" ref="BE66" ca="1">IF(BE$31&gt;$AL66,0,IF(ISERROR(OFFSET($E$31,0,SMALL(IF($E66:$X66&gt;0,COLUMN($A:$T),""),BE$31)-1)),0,OFFSET($E$31,0,SMALL(IF($E66:$X66&gt;0,COLUMN($A:$T),""),BE$31)-1)))</f>
        <v>0</v>
      </c>
      <c r="BF66" s="5">
        <f t="array" ref="BF66">IF(BE$31&gt;$AL66,0,IF(ISERROR(INDEX($E66:$X66,,SMALL(IF($E66:$X66&gt;0,COLUMN($A:$T),""),BF$31))),0,INDEX($E66:$X66,,SMALL(IF($E66:$X66&gt;0,COLUMN($A:$T),""),BF$31))))</f>
        <v>0</v>
      </c>
      <c r="BH66">
        <f ca="1">SUMPRODUCT(E66:N66,定义数据!$G$14:$P$14)</f>
        <v>22.411757443851585</v>
      </c>
      <c r="BI66">
        <f ca="1">SUMPRODUCT(O66:X66,定义数据!$G$14:$P$14)</f>
        <v>29.860972701318886</v>
      </c>
      <c r="BJ66" s="5">
        <f t="shared" ca="1" si="98"/>
        <v>52.27273014517047</v>
      </c>
      <c r="BK66" s="5" t="str">
        <f>D66&amp;B66&amp;VLOOKUP(C66,定义数据!$E$1:$F$7,2,FALSE)</f>
        <v>1544</v>
      </c>
    </row>
    <row r="67" spans="1:63" x14ac:dyDescent="0.15">
      <c r="A67" s="17" t="str">
        <f>D67&amp;B67&amp;VLOOKUP(C67,定义数据!$E$1:$F$7,2,FALSE)</f>
        <v>1543</v>
      </c>
      <c r="B67" s="18">
        <v>4</v>
      </c>
      <c r="C67" s="18" t="s">
        <v>140</v>
      </c>
      <c r="D67" s="24">
        <v>15</v>
      </c>
      <c r="E67" s="56">
        <f t="shared" ca="1" si="77"/>
        <v>0</v>
      </c>
      <c r="F67" s="56">
        <f t="shared" ca="1" si="78"/>
        <v>23.228201069518718</v>
      </c>
      <c r="G67" s="56">
        <f t="shared" ca="1" si="79"/>
        <v>0</v>
      </c>
      <c r="H67" s="56">
        <f t="shared" ca="1" si="80"/>
        <v>0</v>
      </c>
      <c r="I67" s="56">
        <f t="shared" ca="1" si="81"/>
        <v>72.916666666666671</v>
      </c>
      <c r="J67" s="56">
        <f t="shared" ca="1" si="82"/>
        <v>0</v>
      </c>
      <c r="K67" s="56">
        <f t="shared" ca="1" si="83"/>
        <v>0</v>
      </c>
      <c r="L67" s="56">
        <f t="shared" ca="1" si="84"/>
        <v>0</v>
      </c>
      <c r="M67" s="56">
        <f t="shared" ca="1" si="85"/>
        <v>0</v>
      </c>
      <c r="N67" s="56">
        <f t="shared" ca="1" si="86"/>
        <v>0</v>
      </c>
      <c r="O67" s="65">
        <f t="shared" ca="1" si="87"/>
        <v>0</v>
      </c>
      <c r="P67" s="65">
        <f t="shared" ca="1" si="88"/>
        <v>10.618606203208559</v>
      </c>
      <c r="Q67" s="65">
        <f t="shared" ca="1" si="89"/>
        <v>0</v>
      </c>
      <c r="R67" s="65">
        <f t="shared" ca="1" si="90"/>
        <v>8.3333333333333339</v>
      </c>
      <c r="S67" s="65">
        <f t="shared" ca="1" si="91"/>
        <v>13.888888888888889</v>
      </c>
      <c r="T67" s="65">
        <f t="shared" ca="1" si="92"/>
        <v>9.8765432098765444</v>
      </c>
      <c r="U67" s="65">
        <f t="shared" ca="1" si="93"/>
        <v>0</v>
      </c>
      <c r="V67" s="65">
        <f t="shared" ca="1" si="94"/>
        <v>0</v>
      </c>
      <c r="W67" s="65">
        <f t="shared" ca="1" si="95"/>
        <v>0</v>
      </c>
      <c r="X67" s="65">
        <f t="shared" ca="1" si="96"/>
        <v>0</v>
      </c>
      <c r="Y67" s="21"/>
      <c r="Z67" s="15">
        <f>VLOOKUP($D67&amp;$B67,[3]!装备基础属性表,P$30,FALSE)</f>
        <v>2613.2106546560367</v>
      </c>
      <c r="AA67" s="15">
        <f>VLOOKUP($D67&amp;$B67,[3]!装备基础属性表,Q$30,FALSE)</f>
        <v>132.73257754010697</v>
      </c>
      <c r="AB67" s="15">
        <f>VLOOKUP($D67&amp;$B67,[3]!装备基础属性表,R$30,FALSE)</f>
        <v>57.35642287694975</v>
      </c>
      <c r="AC67" s="15">
        <f>VLOOKUP($D67&amp;$B67,[3]!装备基础属性表,S$30,FALSE)</f>
        <v>104.16666666666667</v>
      </c>
      <c r="AD67" s="15">
        <f>VLOOKUP($D67&amp;$B67,[3]!装备基础属性表,T$30,FALSE)</f>
        <v>104.16666666666667</v>
      </c>
      <c r="AE67" s="15">
        <f>VLOOKUP($D67&amp;$B67,[3]!装备基础属性表,U$30,FALSE)</f>
        <v>61.728395061728399</v>
      </c>
      <c r="AF67" s="15">
        <f>VLOOKUP($D67&amp;$B67,[3]!装备基础属性表,V$30,FALSE)</f>
        <v>0</v>
      </c>
      <c r="AG67" s="15">
        <f>VLOOKUP($D67&amp;$B67,[3]!装备基础属性表,W$30,FALSE)</f>
        <v>61.728395061728399</v>
      </c>
      <c r="AH67" s="15">
        <f>VLOOKUP($D67&amp;$B67,[3]!装备基础属性表,X$30,FALSE)</f>
        <v>0</v>
      </c>
      <c r="AI67" s="15">
        <f>VLOOKUP($D67&amp;$B67,[3]!装备基础属性表,Y$30,FALSE)</f>
        <v>0</v>
      </c>
      <c r="AJ67" s="16" t="str">
        <f>B67&amp;VLOOKUP(C67,定义数据!$E$1:$F$7,2,FALSE)&amp;D67</f>
        <v>4315</v>
      </c>
      <c r="AK67" s="14">
        <f t="shared" si="29"/>
        <v>7</v>
      </c>
      <c r="AL67" s="5">
        <f t="shared" si="97"/>
        <v>6</v>
      </c>
      <c r="AM67" s="5" t="str">
        <f t="array" aca="1" ref="AM67" ca="1">IF(AM$31&gt;$AL67,0,IF(ISERROR(OFFSET($E$31,0,SMALL(IF($E67:$X67&gt;0,COLUMN($A:$T),""),AM$31)-1)),0,OFFSET($E$31,0,SMALL(IF($E67:$X67&gt;0,COLUMN($A:$T),""),AM$31)-1)))</f>
        <v>攻击</v>
      </c>
      <c r="AN67" s="5">
        <f t="array" aca="1" ref="AN67" ca="1">IF(AM$31&gt;$AL67,0,IF(ISERROR(INDEX($E67:$X67,,SMALL(IF($E67:$X67&gt;0,COLUMN($A:$T),""),AN$31))),0,INDEX($E67:$X67,,SMALL(IF($E67:$X67&gt;0,COLUMN($A:$T),""),AN$31))))</f>
        <v>23.228201069518718</v>
      </c>
      <c r="AO67" s="5" t="str">
        <f t="array" aca="1" ref="AO67" ca="1">IF(AO$31&gt;$AL67,0,IF(ISERROR(OFFSET($E$31,0,SMALL(IF($E67:$X67&gt;0,COLUMN($A:$T),""),AO$31)-1)),0,OFFSET($E$31,0,SMALL(IF($E67:$X67&gt;0,COLUMN($A:$T),""),AO$31)-1)))</f>
        <v>命中值</v>
      </c>
      <c r="AP67" s="5">
        <f t="array" aca="1" ref="AP67" ca="1">IF(AO$31&gt;$AL67,0,IF(ISERROR(INDEX($E67:$X67,,SMALL(IF($E67:$X67&gt;0,COLUMN($A:$T),""),AP$31))),0,INDEX($E67:$X67,,SMALL(IF($E67:$X67&gt;0,COLUMN($A:$T),""),AP$31))))</f>
        <v>72.916666666666671</v>
      </c>
      <c r="AQ67" s="5" t="str">
        <f t="array" aca="1" ref="AQ67" ca="1">IF(AQ$31&gt;$AL67,0,IF(ISERROR(OFFSET($E$31,0,SMALL(IF($E67:$X67&gt;0,COLUMN($A:$T),""),AQ$31)-1)),0,OFFSET($E$31,0,SMALL(IF($E67:$X67&gt;0,COLUMN($A:$T),""),AQ$31)-1)))</f>
        <v>攻击</v>
      </c>
      <c r="AR67" s="5">
        <f t="array" aca="1" ref="AR67" ca="1">IF(AQ$31&gt;$AL67,0,IF(ISERROR(INDEX($E67:$X67,,SMALL(IF($E67:$X67&gt;0,COLUMN($A:$T),""),AR$31))),0,INDEX($E67:$X67,,SMALL(IF($E67:$X67&gt;0,COLUMN($A:$T),""),AR$31))))</f>
        <v>10.618606203208559</v>
      </c>
      <c r="AS67" s="5" t="str">
        <f t="array" aca="1" ref="AS67" ca="1">IF(AS$31&gt;$AL67,0,IF(ISERROR(OFFSET($E$31,0,SMALL(IF($E67:$X67&gt;0,COLUMN($A:$T),""),AS$31)-1)),0,OFFSET($E$31,0,SMALL(IF($E67:$X67&gt;0,COLUMN($A:$T),""),AS$31)-1)))</f>
        <v>闪避值</v>
      </c>
      <c r="AT67" s="5">
        <f t="array" aca="1" ref="AT67" ca="1">IF(AS$31&gt;$AL67,0,IF(ISERROR(INDEX($E67:$X67,,SMALL(IF($E67:$X67&gt;0,COLUMN($A:$T),""),AT$31))),0,INDEX($E67:$X67,,SMALL(IF($E67:$X67&gt;0,COLUMN($A:$T),""),AT$31))))</f>
        <v>8.3333333333333339</v>
      </c>
      <c r="AU67" s="5" t="str">
        <f t="array" aca="1" ref="AU67" ca="1">IF(AU$31&gt;$AL67,0,IF(ISERROR(OFFSET($E$31,0,SMALL(IF($E67:$X67&gt;0,COLUMN($A:$T),""),AU$31)-1)),0,OFFSET($E$31,0,SMALL(IF($E67:$X67&gt;0,COLUMN($A:$T),""),AU$31)-1)))</f>
        <v>命中值</v>
      </c>
      <c r="AV67" s="5">
        <f t="array" aca="1" ref="AV67" ca="1">IF(AU$31&gt;$AL67,0,IF(ISERROR(INDEX($E67:$X67,,SMALL(IF($E67:$X67&gt;0,COLUMN($A:$T),""),AV$31))),0,INDEX($E67:$X67,,SMALL(IF($E67:$X67&gt;0,COLUMN($A:$T),""),AV$31))))</f>
        <v>13.888888888888889</v>
      </c>
      <c r="AW67" s="5" t="str">
        <f t="array" aca="1" ref="AW67" ca="1">IF(AW$31&gt;$AL67,0,IF(ISERROR(OFFSET($E$31,0,SMALL(IF($E67:$X67&gt;0,COLUMN($A:$T),""),AW$31)-1)),0,OFFSET($E$31,0,SMALL(IF($E67:$X67&gt;0,COLUMN($A:$T),""),AW$31)-1)))</f>
        <v>暴击值</v>
      </c>
      <c r="AX67" s="5">
        <f t="array" aca="1" ref="AX67" ca="1">IF(AW$31&gt;$AL67,0,IF(ISERROR(INDEX($E67:$X67,,SMALL(IF($E67:$X67&gt;0,COLUMN($A:$T),""),AX$31))),0,INDEX($E67:$X67,,SMALL(IF($E67:$X67&gt;0,COLUMN($A:$T),""),AX$31))))</f>
        <v>9.8765432098765444</v>
      </c>
      <c r="AY67" s="5">
        <f t="array" aca="1" ref="AY67" ca="1">IF(AY$31&gt;$AL67,0,IF(ISERROR(OFFSET($E$31,0,SMALL(IF($E67:$X67&gt;0,COLUMN($A:$T),""),AY$31)-1)),0,OFFSET($E$31,0,SMALL(IF($E67:$X67&gt;0,COLUMN($A:$T),""),AY$31)-1)))</f>
        <v>0</v>
      </c>
      <c r="AZ67" s="5">
        <f t="array" ref="AZ67">IF(AY$31&gt;$AL67,0,IF(ISERROR(INDEX($E67:$X67,,SMALL(IF($E67:$X67&gt;0,COLUMN($A:$T),""),AZ$31))),0,INDEX($E67:$X67,,SMALL(IF($E67:$X67&gt;0,COLUMN($A:$T),""),AZ$31))))</f>
        <v>0</v>
      </c>
      <c r="BA67" s="5">
        <f t="array" aca="1" ref="BA67" ca="1">IF(BA$31&gt;$AL67,0,IF(ISERROR(OFFSET($E$31,0,SMALL(IF($E67:$X67&gt;0,COLUMN($A:$T),""),BA$31)-1)),0,OFFSET($E$31,0,SMALL(IF($E67:$X67&gt;0,COLUMN($A:$T),""),BA$31)-1)))</f>
        <v>0</v>
      </c>
      <c r="BB67" s="5">
        <f t="array" ref="BB67">IF(BA$31&gt;$AL67,0,IF(ISERROR(INDEX($E67:$X67,,SMALL(IF($E67:$X67&gt;0,COLUMN($A:$T),""),BB$31))),0,INDEX($E67:$X67,,SMALL(IF($E67:$X67&gt;0,COLUMN($A:$T),""),BB$31))))</f>
        <v>0</v>
      </c>
      <c r="BC67" s="5">
        <f t="array" aca="1" ref="BC67" ca="1">IF(BC$31&gt;$AL67,0,IF(ISERROR(OFFSET($E$31,0,SMALL(IF($E67:$X67&gt;0,COLUMN($A:$T),""),BC$31)-1)),0,OFFSET($E$31,0,SMALL(IF($E67:$X67&gt;0,COLUMN($A:$T),""),BC$31)-1)))</f>
        <v>0</v>
      </c>
      <c r="BD67" s="5">
        <f t="array" ref="BD67">IF(BC$31&gt;$AL67,0,IF(ISERROR(INDEX($E67:$X67,,SMALL(IF($E67:$X67&gt;0,COLUMN($A:$T),""),BD$31))),0,INDEX($E67:$X67,,SMALL(IF($E67:$X67&gt;0,COLUMN($A:$T),""),BD$31))))</f>
        <v>0</v>
      </c>
      <c r="BE67" s="5">
        <f t="array" aca="1" ref="BE67" ca="1">IF(BE$31&gt;$AL67,0,IF(ISERROR(OFFSET($E$31,0,SMALL(IF($E67:$X67&gt;0,COLUMN($A:$T),""),BE$31)-1)),0,OFFSET($E$31,0,SMALL(IF($E67:$X67&gt;0,COLUMN($A:$T),""),BE$31)-1)))</f>
        <v>0</v>
      </c>
      <c r="BF67" s="5">
        <f t="array" ref="BF67">IF(BE$31&gt;$AL67,0,IF(ISERROR(INDEX($E67:$X67,,SMALL(IF($E67:$X67&gt;0,COLUMN($A:$T),""),BF$31))),0,INDEX($E67:$X67,,SMALL(IF($E67:$X67&gt;0,COLUMN($A:$T),""),BF$31))))</f>
        <v>0</v>
      </c>
      <c r="BH67">
        <f ca="1">SUMPRODUCT(E67:N67,定义数据!$G$14:$P$14)</f>
        <v>48.01986773618539</v>
      </c>
      <c r="BI67">
        <f ca="1">SUMPRODUCT(O67:X67,定义数据!$G$14:$P$14)</f>
        <v>19.951939536541893</v>
      </c>
      <c r="BJ67" s="5">
        <f t="shared" ca="1" si="98"/>
        <v>67.97180727272729</v>
      </c>
      <c r="BK67" s="5" t="str">
        <f>D67&amp;B67&amp;VLOOKUP(C67,定义数据!$E$1:$F$7,2,FALSE)</f>
        <v>1543</v>
      </c>
    </row>
    <row r="68" spans="1:63" x14ac:dyDescent="0.15">
      <c r="A68" s="17" t="str">
        <f>D68&amp;B68&amp;VLOOKUP(C68,定义数据!$E$1:$F$7,2,FALSE)</f>
        <v>3010</v>
      </c>
      <c r="B68" s="18">
        <v>1</v>
      </c>
      <c r="C68" s="18" t="s">
        <v>141</v>
      </c>
      <c r="D68" s="24">
        <v>30</v>
      </c>
      <c r="E68" s="56">
        <f t="shared" ca="1" si="35"/>
        <v>0</v>
      </c>
      <c r="F68" s="56">
        <f t="shared" ca="1" si="36"/>
        <v>89.594489839572219</v>
      </c>
      <c r="G68" s="56">
        <f t="shared" ca="1" si="37"/>
        <v>0</v>
      </c>
      <c r="H68" s="56">
        <f t="shared" ca="1" si="38"/>
        <v>0</v>
      </c>
      <c r="I68" s="56">
        <f t="shared" ca="1" si="39"/>
        <v>0</v>
      </c>
      <c r="J68" s="56">
        <f t="shared" ca="1" si="40"/>
        <v>55.55555555555555</v>
      </c>
      <c r="K68" s="56">
        <f t="shared" ca="1" si="41"/>
        <v>0</v>
      </c>
      <c r="L68" s="56">
        <f t="shared" ca="1" si="42"/>
        <v>0</v>
      </c>
      <c r="M68" s="56">
        <f t="shared" ca="1" si="43"/>
        <v>0</v>
      </c>
      <c r="N68" s="56">
        <f t="shared" ca="1" si="44"/>
        <v>0</v>
      </c>
      <c r="O68" s="65">
        <f t="shared" ca="1" si="54"/>
        <v>0</v>
      </c>
      <c r="P68" s="65">
        <f t="shared" ca="1" si="45"/>
        <v>7.1675591871657778</v>
      </c>
      <c r="Q68" s="65">
        <f t="shared" ca="1" si="46"/>
        <v>0.86034634315424618</v>
      </c>
      <c r="R68" s="65">
        <f t="shared" ca="1" si="47"/>
        <v>0</v>
      </c>
      <c r="S68" s="65">
        <f t="shared" ca="1" si="48"/>
        <v>3.125</v>
      </c>
      <c r="T68" s="65">
        <f t="shared" ca="1" si="49"/>
        <v>2.2222222222222223</v>
      </c>
      <c r="U68" s="65">
        <f t="shared" ca="1" si="50"/>
        <v>0</v>
      </c>
      <c r="V68" s="65">
        <f t="shared" ca="1" si="51"/>
        <v>0</v>
      </c>
      <c r="W68" s="65">
        <f t="shared" ca="1" si="52"/>
        <v>0</v>
      </c>
      <c r="X68" s="65">
        <f t="shared" ca="1" si="53"/>
        <v>0</v>
      </c>
      <c r="Y68" s="21" t="s">
        <v>94</v>
      </c>
      <c r="Z68" s="15">
        <f>VLOOKUP($D68&amp;$B68,[3]!装备基础属性表,P$30,FALSE)</f>
        <v>2351.8895891904335</v>
      </c>
      <c r="AA68" s="15">
        <f>VLOOKUP($D68&amp;$B68,[3]!装备基础属性表,Q$30,FALSE)</f>
        <v>119.45931978609629</v>
      </c>
      <c r="AB68" s="15">
        <f>VLOOKUP($D68&amp;$B68,[3]!装备基础属性表,R$30,FALSE)</f>
        <v>51.620780589254771</v>
      </c>
      <c r="AC68" s="15">
        <f>VLOOKUP($D68&amp;$B68,[3]!装备基础属性表,S$30,FALSE)</f>
        <v>93.75</v>
      </c>
      <c r="AD68" s="15">
        <f>VLOOKUP($D68&amp;$B68,[3]!装备基础属性表,T$30,FALSE)</f>
        <v>93.75</v>
      </c>
      <c r="AE68" s="15">
        <f>VLOOKUP($D68&amp;$B68,[3]!装备基础属性表,U$30,FALSE)</f>
        <v>55.55555555555555</v>
      </c>
      <c r="AF68" s="15">
        <f>VLOOKUP($D68&amp;$B68,[3]!装备基础属性表,V$30,FALSE)</f>
        <v>0</v>
      </c>
      <c r="AG68" s="15">
        <f>VLOOKUP($D68&amp;$B68,[3]!装备基础属性表,W$30,FALSE)</f>
        <v>55.55555555555555</v>
      </c>
      <c r="AH68" s="15">
        <f>VLOOKUP($D68&amp;$B68,[3]!装备基础属性表,X$30,FALSE)</f>
        <v>0</v>
      </c>
      <c r="AI68" s="15">
        <f>VLOOKUP($D68&amp;$B68,[3]!装备基础属性表,Y$30,FALSE)</f>
        <v>0</v>
      </c>
      <c r="AJ68" s="16" t="str">
        <f>B68&amp;VLOOKUP(C68,定义数据!$E$1:$F$7,2,FALSE)&amp;D68</f>
        <v>1030</v>
      </c>
      <c r="AK68" s="14">
        <f t="shared" si="29"/>
        <v>8</v>
      </c>
      <c r="AL68" s="5">
        <f t="shared" si="30"/>
        <v>3</v>
      </c>
      <c r="AM68" s="5" t="str">
        <f t="array" aca="1" ref="AM68" ca="1">IF(AM$31&gt;$AL68,0,IF(ISERROR(OFFSET($E$31,0,SMALL(IF($E68:$X68&gt;0,COLUMN($A:$T),""),AM$31)-1)),0,OFFSET($E$31,0,SMALL(IF($E68:$X68&gt;0,COLUMN($A:$T),""),AM$31)-1)))</f>
        <v>攻击</v>
      </c>
      <c r="AN68" s="5">
        <f t="array" aca="1" ref="AN68" ca="1">IF(AM$31&gt;$AL68,0,IF(ISERROR(INDEX($E68:$X68,,SMALL(IF($E68:$X68&gt;0,COLUMN($A:$T),""),AN$31))),0,INDEX($E68:$X68,,SMALL(IF($E68:$X68&gt;0,COLUMN($A:$T),""),AN$31))))</f>
        <v>89.594489839572219</v>
      </c>
      <c r="AO68" s="5" t="str">
        <f t="array" aca="1" ref="AO68" ca="1">IF(AO$31&gt;$AL68,0,IF(ISERROR(OFFSET($E$31,0,SMALL(IF($E68:$X68&gt;0,COLUMN($A:$T),""),AO$31)-1)),0,OFFSET($E$31,0,SMALL(IF($E68:$X68&gt;0,COLUMN($A:$T),""),AO$31)-1)))</f>
        <v>暴击值</v>
      </c>
      <c r="AP68" s="5">
        <f t="array" aca="1" ref="AP68" ca="1">IF(AO$31&gt;$AL68,0,IF(ISERROR(INDEX($E68:$X68,,SMALL(IF($E68:$X68&gt;0,COLUMN($A:$T),""),AP$31))),0,INDEX($E68:$X68,,SMALL(IF($E68:$X68&gt;0,COLUMN($A:$T),""),AP$31))))</f>
        <v>55.55555555555555</v>
      </c>
      <c r="AQ68" s="5" t="str">
        <f t="array" aca="1" ref="AQ68" ca="1">IF(AQ$31&gt;$AL68,0,IF(ISERROR(OFFSET($E$31,0,SMALL(IF($E68:$X68&gt;0,COLUMN($A:$T),""),AQ$31)-1)),0,OFFSET($E$31,0,SMALL(IF($E68:$X68&gt;0,COLUMN($A:$T),""),AQ$31)-1)))</f>
        <v>攻击</v>
      </c>
      <c r="AR68" s="5">
        <f t="array" aca="1" ref="AR68" ca="1">IF(AQ$31&gt;$AL68,0,IF(ISERROR(INDEX($E68:$X68,,SMALL(IF($E68:$X68&gt;0,COLUMN($A:$T),""),AR$31))),0,INDEX($E68:$X68,,SMALL(IF($E68:$X68&gt;0,COLUMN($A:$T),""),AR$31))))</f>
        <v>7.1675591871657778</v>
      </c>
      <c r="AS68" s="5">
        <f t="array" aca="1" ref="AS68" ca="1">IF(AS$31&gt;$AL68,0,IF(ISERROR(OFFSET($E$31,0,SMALL(IF($E68:$X68&gt;0,COLUMN($A:$T),""),AS$31)-1)),0,OFFSET($E$31,0,SMALL(IF($E68:$X68&gt;0,COLUMN($A:$T),""),AS$31)-1)))</f>
        <v>0</v>
      </c>
      <c r="AT68" s="5">
        <f t="array" ref="AT68">IF(AS$31&gt;$AL68,0,IF(ISERROR(INDEX($E68:$X68,,SMALL(IF($E68:$X68&gt;0,COLUMN($A:$T),""),AT$31))),0,INDEX($E68:$X68,,SMALL(IF($E68:$X68&gt;0,COLUMN($A:$T),""),AT$31))))</f>
        <v>0</v>
      </c>
      <c r="AU68" s="5">
        <f t="array" aca="1" ref="AU68" ca="1">IF(AU$31&gt;$AL68,0,IF(ISERROR(OFFSET($E$31,0,SMALL(IF($E68:$X68&gt;0,COLUMN($A:$T),""),AU$31)-1)),0,OFFSET($E$31,0,SMALL(IF($E68:$X68&gt;0,COLUMN($A:$T),""),AU$31)-1)))</f>
        <v>0</v>
      </c>
      <c r="AV68" s="5">
        <f t="array" ref="AV68">IF(AU$31&gt;$AL68,0,IF(ISERROR(INDEX($E68:$X68,,SMALL(IF($E68:$X68&gt;0,COLUMN($A:$T),""),AV$31))),0,INDEX($E68:$X68,,SMALL(IF($E68:$X68&gt;0,COLUMN($A:$T),""),AV$31))))</f>
        <v>0</v>
      </c>
      <c r="AW68" s="5">
        <f t="array" aca="1" ref="AW68" ca="1">IF(AW$31&gt;$AL68,0,IF(ISERROR(OFFSET($E$31,0,SMALL(IF($E68:$X68&gt;0,COLUMN($A:$T),""),AW$31)-1)),0,OFFSET($E$31,0,SMALL(IF($E68:$X68&gt;0,COLUMN($A:$T),""),AW$31)-1)))</f>
        <v>0</v>
      </c>
      <c r="AX68" s="5">
        <f t="array" ref="AX68">IF(AW$31&gt;$AL68,0,IF(ISERROR(INDEX($E68:$X68,,SMALL(IF($E68:$X68&gt;0,COLUMN($A:$T),""),AX$31))),0,INDEX($E68:$X68,,SMALL(IF($E68:$X68&gt;0,COLUMN($A:$T),""),AX$31))))</f>
        <v>0</v>
      </c>
      <c r="AY68" s="5">
        <f t="array" aca="1" ref="AY68" ca="1">IF(AY$31&gt;$AL68,0,IF(ISERROR(OFFSET($E$31,0,SMALL(IF($E68:$X68&gt;0,COLUMN($A:$T),""),AY$31)-1)),0,OFFSET($E$31,0,SMALL(IF($E68:$X68&gt;0,COLUMN($A:$T),""),AY$31)-1)))</f>
        <v>0</v>
      </c>
      <c r="AZ68" s="5">
        <f t="array" ref="AZ68">IF(AY$31&gt;$AL68,0,IF(ISERROR(INDEX($E68:$X68,,SMALL(IF($E68:$X68&gt;0,COLUMN($A:$T),""),AZ$31))),0,INDEX($E68:$X68,,SMALL(IF($E68:$X68&gt;0,COLUMN($A:$T),""),AZ$31))))</f>
        <v>0</v>
      </c>
      <c r="BA68" s="5">
        <f t="array" aca="1" ref="BA68" ca="1">IF(BA$31&gt;$AL68,0,IF(ISERROR(OFFSET($E$31,0,SMALL(IF($E68:$X68&gt;0,COLUMN($A:$T),""),BA$31)-1)),0,OFFSET($E$31,0,SMALL(IF($E68:$X68&gt;0,COLUMN($A:$T),""),BA$31)-1)))</f>
        <v>0</v>
      </c>
      <c r="BB68" s="5">
        <f t="array" ref="BB68">IF(BA$31&gt;$AL68,0,IF(ISERROR(INDEX($E68:$X68,,SMALL(IF($E68:$X68&gt;0,COLUMN($A:$T),""),BB$31))),0,INDEX($E68:$X68,,SMALL(IF($E68:$X68&gt;0,COLUMN($A:$T),""),BB$31))))</f>
        <v>0</v>
      </c>
      <c r="BC68" s="5">
        <f t="array" aca="1" ref="BC68" ca="1">IF(BC$31&gt;$AL68,0,IF(ISERROR(OFFSET($E$31,0,SMALL(IF($E68:$X68&gt;0,COLUMN($A:$T),""),BC$31)-1)),0,OFFSET($E$31,0,SMALL(IF($E68:$X68&gt;0,COLUMN($A:$T),""),BC$31)-1)))</f>
        <v>0</v>
      </c>
      <c r="BD68" s="5">
        <f t="array" ref="BD68">IF(BC$31&gt;$AL68,0,IF(ISERROR(INDEX($E68:$X68,,SMALL(IF($E68:$X68&gt;0,COLUMN($A:$T),""),BD$31))),0,INDEX($E68:$X68,,SMALL(IF($E68:$X68&gt;0,COLUMN($A:$T),""),BD$31))))</f>
        <v>0</v>
      </c>
      <c r="BE68" s="5">
        <f t="array" aca="1" ref="BE68" ca="1">IF(BE$31&gt;$AL68,0,IF(ISERROR(OFFSET($E$31,0,SMALL(IF($E68:$X68&gt;0,COLUMN($A:$T),""),BE$31)-1)),0,OFFSET($E$31,0,SMALL(IF($E68:$X68&gt;0,COLUMN($A:$T),""),BE$31)-1)))</f>
        <v>0</v>
      </c>
      <c r="BF68" s="5">
        <f t="array" ref="BF68">IF(BE$31&gt;$AL68,0,IF(ISERROR(INDEX($E68:$X68,,SMALL(IF($E68:$X68&gt;0,COLUMN($A:$T),""),BF$31))),0,INDEX($E68:$X68,,SMALL(IF($E68:$X68&gt;0,COLUMN($A:$T),""),BF$31))))</f>
        <v>0</v>
      </c>
      <c r="BH68">
        <f ca="1">SUMPRODUCT(E68:N68,定义数据!$G$14:$P$14)</f>
        <v>99.594489839572219</v>
      </c>
      <c r="BI68">
        <f ca="1">SUMPRODUCT(O68:X68,定义数据!$G$14:$P$14)</f>
        <v>9.4904055303200234</v>
      </c>
      <c r="BJ68" s="5">
        <f t="shared" ca="1" si="18"/>
        <v>109.08489536989224</v>
      </c>
      <c r="BK68" s="5" t="str">
        <f>D68&amp;B68&amp;VLOOKUP(C68,定义数据!$E$1:$F$7,2,FALSE)</f>
        <v>3010</v>
      </c>
    </row>
    <row r="69" spans="1:63" x14ac:dyDescent="0.15">
      <c r="A69" s="17" t="str">
        <f>D69&amp;B69&amp;VLOOKUP(C69,定义数据!$E$1:$F$7,2,FALSE)</f>
        <v>3011</v>
      </c>
      <c r="B69" s="18">
        <v>1</v>
      </c>
      <c r="C69" s="18" t="s">
        <v>136</v>
      </c>
      <c r="D69" s="24">
        <v>30</v>
      </c>
      <c r="E69" s="56">
        <f t="shared" ca="1" si="35"/>
        <v>1411.13375351426</v>
      </c>
      <c r="F69" s="56">
        <f t="shared" ca="1" si="36"/>
        <v>0</v>
      </c>
      <c r="G69" s="56">
        <f t="shared" ca="1" si="37"/>
        <v>30.972468353552863</v>
      </c>
      <c r="H69" s="56">
        <f t="shared" ca="1" si="38"/>
        <v>0</v>
      </c>
      <c r="I69" s="56">
        <f t="shared" ca="1" si="39"/>
        <v>0</v>
      </c>
      <c r="J69" s="56">
        <f t="shared" ca="1" si="40"/>
        <v>0</v>
      </c>
      <c r="K69" s="56">
        <f t="shared" ca="1" si="41"/>
        <v>0</v>
      </c>
      <c r="L69" s="56">
        <f t="shared" ca="1" si="42"/>
        <v>0</v>
      </c>
      <c r="M69" s="56">
        <f t="shared" ca="1" si="43"/>
        <v>0</v>
      </c>
      <c r="N69" s="56">
        <f t="shared" ca="1" si="44"/>
        <v>0</v>
      </c>
      <c r="O69" s="65">
        <f t="shared" ca="1" si="54"/>
        <v>78.39631963968111</v>
      </c>
      <c r="P69" s="65">
        <f t="shared" ca="1" si="45"/>
        <v>0</v>
      </c>
      <c r="Q69" s="65">
        <f t="shared" ca="1" si="46"/>
        <v>2.5810390294627386</v>
      </c>
      <c r="R69" s="65">
        <f t="shared" ca="1" si="47"/>
        <v>1.875</v>
      </c>
      <c r="S69" s="65">
        <f t="shared" ca="1" si="48"/>
        <v>0</v>
      </c>
      <c r="T69" s="65">
        <f t="shared" ca="1" si="49"/>
        <v>0</v>
      </c>
      <c r="U69" s="65">
        <f t="shared" ca="1" si="50"/>
        <v>0</v>
      </c>
      <c r="V69" s="65">
        <f t="shared" ca="1" si="51"/>
        <v>1.8518518518518516</v>
      </c>
      <c r="W69" s="65">
        <f t="shared" ca="1" si="52"/>
        <v>0</v>
      </c>
      <c r="X69" s="65">
        <f t="shared" ca="1" si="53"/>
        <v>0</v>
      </c>
      <c r="Y69" s="21" t="s">
        <v>95</v>
      </c>
      <c r="Z69" s="15">
        <f>VLOOKUP($D69&amp;$B69,[3]!装备基础属性表,P$30,FALSE)</f>
        <v>2351.8895891904335</v>
      </c>
      <c r="AA69" s="15">
        <f>VLOOKUP($D69&amp;$B69,[3]!装备基础属性表,Q$30,FALSE)</f>
        <v>119.45931978609629</v>
      </c>
      <c r="AB69" s="15">
        <f>VLOOKUP($D69&amp;$B69,[3]!装备基础属性表,R$30,FALSE)</f>
        <v>51.620780589254771</v>
      </c>
      <c r="AC69" s="15">
        <f>VLOOKUP($D69&amp;$B69,[3]!装备基础属性表,S$30,FALSE)</f>
        <v>93.75</v>
      </c>
      <c r="AD69" s="15">
        <f>VLOOKUP($D69&amp;$B69,[3]!装备基础属性表,T$30,FALSE)</f>
        <v>93.75</v>
      </c>
      <c r="AE69" s="15">
        <f>VLOOKUP($D69&amp;$B69,[3]!装备基础属性表,U$30,FALSE)</f>
        <v>55.55555555555555</v>
      </c>
      <c r="AF69" s="15">
        <f>VLOOKUP($D69&amp;$B69,[3]!装备基础属性表,V$30,FALSE)</f>
        <v>0</v>
      </c>
      <c r="AG69" s="15">
        <f>VLOOKUP($D69&amp;$B69,[3]!装备基础属性表,W$30,FALSE)</f>
        <v>55.55555555555555</v>
      </c>
      <c r="AH69" s="15">
        <f>VLOOKUP($D69&amp;$B69,[3]!装备基础属性表,X$30,FALSE)</f>
        <v>0</v>
      </c>
      <c r="AI69" s="15">
        <f>VLOOKUP($D69&amp;$B69,[3]!装备基础属性表,Y$30,FALSE)</f>
        <v>0</v>
      </c>
      <c r="AJ69" s="16" t="str">
        <f>B69&amp;VLOOKUP(C69,定义数据!$E$1:$F$7,2,FALSE)&amp;D69</f>
        <v>1130</v>
      </c>
      <c r="AK69" s="14">
        <f t="shared" si="29"/>
        <v>8</v>
      </c>
      <c r="AL69" s="5">
        <f t="shared" si="30"/>
        <v>3</v>
      </c>
      <c r="AM69" s="5" t="str">
        <f t="array" aca="1" ref="AM69" ca="1">IF(AM$31&gt;$AL69,0,IF(ISERROR(OFFSET($E$31,0,SMALL(IF($E69:$X69&gt;0,COLUMN($A:$T),""),AM$31)-1)),0,OFFSET($E$31,0,SMALL(IF($E69:$X69&gt;0,COLUMN($A:$T),""),AM$31)-1)))</f>
        <v>生命</v>
      </c>
      <c r="AN69" s="5">
        <f t="array" aca="1" ref="AN69" ca="1">IF(AM$31&gt;$AL69,0,IF(ISERROR(INDEX($E69:$X69,,SMALL(IF($E69:$X69&gt;0,COLUMN($A:$T),""),AN$31))),0,INDEX($E69:$X69,,SMALL(IF($E69:$X69&gt;0,COLUMN($A:$T),""),AN$31))))</f>
        <v>1411.13375351426</v>
      </c>
      <c r="AO69" s="5" t="str">
        <f t="array" aca="1" ref="AO69" ca="1">IF(AO$31&gt;$AL69,0,IF(ISERROR(OFFSET($E$31,0,SMALL(IF($E69:$X69&gt;0,COLUMN($A:$T),""),AO$31)-1)),0,OFFSET($E$31,0,SMALL(IF($E69:$X69&gt;0,COLUMN($A:$T),""),AO$31)-1)))</f>
        <v>防御</v>
      </c>
      <c r="AP69" s="5">
        <f t="array" aca="1" ref="AP69" ca="1">IF(AO$31&gt;$AL69,0,IF(ISERROR(INDEX($E69:$X69,,SMALL(IF($E69:$X69&gt;0,COLUMN($A:$T),""),AP$31))),0,INDEX($E69:$X69,,SMALL(IF($E69:$X69&gt;0,COLUMN($A:$T),""),AP$31))))</f>
        <v>30.972468353552863</v>
      </c>
      <c r="AQ69" s="5" t="str">
        <f t="array" aca="1" ref="AQ69" ca="1">IF(AQ$31&gt;$AL69,0,IF(ISERROR(OFFSET($E$31,0,SMALL(IF($E69:$X69&gt;0,COLUMN($A:$T),""),AQ$31)-1)),0,OFFSET($E$31,0,SMALL(IF($E69:$X69&gt;0,COLUMN($A:$T),""),AQ$31)-1)))</f>
        <v>生命</v>
      </c>
      <c r="AR69" s="5">
        <f t="array" aca="1" ref="AR69" ca="1">IF(AQ$31&gt;$AL69,0,IF(ISERROR(INDEX($E69:$X69,,SMALL(IF($E69:$X69&gt;0,COLUMN($A:$T),""),AR$31))),0,INDEX($E69:$X69,,SMALL(IF($E69:$X69&gt;0,COLUMN($A:$T),""),AR$31))))</f>
        <v>78.39631963968111</v>
      </c>
      <c r="AS69" s="5">
        <f t="array" aca="1" ref="AS69" ca="1">IF(AS$31&gt;$AL69,0,IF(ISERROR(OFFSET($E$31,0,SMALL(IF($E69:$X69&gt;0,COLUMN($A:$T),""),AS$31)-1)),0,OFFSET($E$31,0,SMALL(IF($E69:$X69&gt;0,COLUMN($A:$T),""),AS$31)-1)))</f>
        <v>0</v>
      </c>
      <c r="AT69" s="5">
        <f t="array" ref="AT69">IF(AS$31&gt;$AL69,0,IF(ISERROR(INDEX($E69:$X69,,SMALL(IF($E69:$X69&gt;0,COLUMN($A:$T),""),AT$31))),0,INDEX($E69:$X69,,SMALL(IF($E69:$X69&gt;0,COLUMN($A:$T),""),AT$31))))</f>
        <v>0</v>
      </c>
      <c r="AU69" s="5">
        <f t="array" aca="1" ref="AU69" ca="1">IF(AU$31&gt;$AL69,0,IF(ISERROR(OFFSET($E$31,0,SMALL(IF($E69:$X69&gt;0,COLUMN($A:$T),""),AU$31)-1)),0,OFFSET($E$31,0,SMALL(IF($E69:$X69&gt;0,COLUMN($A:$T),""),AU$31)-1)))</f>
        <v>0</v>
      </c>
      <c r="AV69" s="5">
        <f t="array" ref="AV69">IF(AU$31&gt;$AL69,0,IF(ISERROR(INDEX($E69:$X69,,SMALL(IF($E69:$X69&gt;0,COLUMN($A:$T),""),AV$31))),0,INDEX($E69:$X69,,SMALL(IF($E69:$X69&gt;0,COLUMN($A:$T),""),AV$31))))</f>
        <v>0</v>
      </c>
      <c r="AW69" s="5">
        <f t="array" aca="1" ref="AW69" ca="1">IF(AW$31&gt;$AL69,0,IF(ISERROR(OFFSET($E$31,0,SMALL(IF($E69:$X69&gt;0,COLUMN($A:$T),""),AW$31)-1)),0,OFFSET($E$31,0,SMALL(IF($E69:$X69&gt;0,COLUMN($A:$T),""),AW$31)-1)))</f>
        <v>0</v>
      </c>
      <c r="AX69" s="5">
        <f t="array" ref="AX69">IF(AW$31&gt;$AL69,0,IF(ISERROR(INDEX($E69:$X69,,SMALL(IF($E69:$X69&gt;0,COLUMN($A:$T),""),AX$31))),0,INDEX($E69:$X69,,SMALL(IF($E69:$X69&gt;0,COLUMN($A:$T),""),AX$31))))</f>
        <v>0</v>
      </c>
      <c r="AY69" s="5">
        <f t="array" aca="1" ref="AY69" ca="1">IF(AY$31&gt;$AL69,0,IF(ISERROR(OFFSET($E$31,0,SMALL(IF($E69:$X69&gt;0,COLUMN($A:$T),""),AY$31)-1)),0,OFFSET($E$31,0,SMALL(IF($E69:$X69&gt;0,COLUMN($A:$T),""),AY$31)-1)))</f>
        <v>0</v>
      </c>
      <c r="AZ69" s="5">
        <f t="array" ref="AZ69">IF(AY$31&gt;$AL69,0,IF(ISERROR(INDEX($E69:$X69,,SMALL(IF($E69:$X69&gt;0,COLUMN($A:$T),""),AZ$31))),0,INDEX($E69:$X69,,SMALL(IF($E69:$X69&gt;0,COLUMN($A:$T),""),AZ$31))))</f>
        <v>0</v>
      </c>
      <c r="BA69" s="5">
        <f t="array" aca="1" ref="BA69" ca="1">IF(BA$31&gt;$AL69,0,IF(ISERROR(OFFSET($E$31,0,SMALL(IF($E69:$X69&gt;0,COLUMN($A:$T),""),BA$31)-1)),0,OFFSET($E$31,0,SMALL(IF($E69:$X69&gt;0,COLUMN($A:$T),""),BA$31)-1)))</f>
        <v>0</v>
      </c>
      <c r="BB69" s="5">
        <f t="array" ref="BB69">IF(BA$31&gt;$AL69,0,IF(ISERROR(INDEX($E69:$X69,,SMALL(IF($E69:$X69&gt;0,COLUMN($A:$T),""),BB$31))),0,INDEX($E69:$X69,,SMALL(IF($E69:$X69&gt;0,COLUMN($A:$T),""),BB$31))))</f>
        <v>0</v>
      </c>
      <c r="BC69" s="5">
        <f t="array" aca="1" ref="BC69" ca="1">IF(BC$31&gt;$AL69,0,IF(ISERROR(OFFSET($E$31,0,SMALL(IF($E69:$X69&gt;0,COLUMN($A:$T),""),BC$31)-1)),0,OFFSET($E$31,0,SMALL(IF($E69:$X69&gt;0,COLUMN($A:$T),""),BC$31)-1)))</f>
        <v>0</v>
      </c>
      <c r="BD69" s="5">
        <f t="array" ref="BD69">IF(BC$31&gt;$AL69,0,IF(ISERROR(INDEX($E69:$X69,,SMALL(IF($E69:$X69&gt;0,COLUMN($A:$T),""),BD$31))),0,INDEX($E69:$X69,,SMALL(IF($E69:$X69&gt;0,COLUMN($A:$T),""),BD$31))))</f>
        <v>0</v>
      </c>
      <c r="BE69" s="5">
        <f t="array" aca="1" ref="BE69" ca="1">IF(BE$31&gt;$AL69,0,IF(ISERROR(OFFSET($E$31,0,SMALL(IF($E69:$X69&gt;0,COLUMN($A:$T),""),BE$31)-1)),0,OFFSET($E$31,0,SMALL(IF($E69:$X69&gt;0,COLUMN($A:$T),""),BE$31)-1)))</f>
        <v>0</v>
      </c>
      <c r="BF69" s="5">
        <f t="array" ref="BF69">IF(BE$31&gt;$AL69,0,IF(ISERROR(INDEX($E69:$X69,,SMALL(IF($E69:$X69&gt;0,COLUMN($A:$T),""),BF$31))),0,INDEX($E69:$X69,,SMALL(IF($E69:$X69&gt;0,COLUMN($A:$T),""),BF$31))))</f>
        <v>0</v>
      </c>
      <c r="BH69">
        <f ca="1">SUMPRODUCT(E69:N69,定义数据!$G$14:$P$14)</f>
        <v>87.417818494123253</v>
      </c>
      <c r="BI69">
        <f ca="1">SUMPRODUCT(O69:X69,定义数据!$G$14:$P$14)</f>
        <v>6.6877251483833167</v>
      </c>
      <c r="BJ69" s="5">
        <f t="shared" ca="1" si="18"/>
        <v>94.105543642506575</v>
      </c>
      <c r="BK69" s="5" t="str">
        <f>D69&amp;B69&amp;VLOOKUP(C69,定义数据!$E$1:$F$7,2,FALSE)</f>
        <v>3011</v>
      </c>
    </row>
    <row r="70" spans="1:63" x14ac:dyDescent="0.15">
      <c r="A70" s="17" t="str">
        <f>D70&amp;B70&amp;VLOOKUP(C70,定义数据!$E$1:$F$7,2,FALSE)</f>
        <v>3012</v>
      </c>
      <c r="B70" s="18">
        <v>1</v>
      </c>
      <c r="C70" s="18" t="s">
        <v>137</v>
      </c>
      <c r="D70" s="24">
        <v>30</v>
      </c>
      <c r="E70" s="56">
        <f t="shared" ca="1" si="35"/>
        <v>0</v>
      </c>
      <c r="F70" s="56">
        <f t="shared" ca="1" si="36"/>
        <v>0</v>
      </c>
      <c r="G70" s="56">
        <f t="shared" ca="1" si="37"/>
        <v>20.648312235701908</v>
      </c>
      <c r="H70" s="56">
        <f t="shared" ca="1" si="38"/>
        <v>31.25</v>
      </c>
      <c r="I70" s="56">
        <f t="shared" ca="1" si="39"/>
        <v>0</v>
      </c>
      <c r="J70" s="56">
        <f t="shared" ca="1" si="40"/>
        <v>0</v>
      </c>
      <c r="K70" s="56">
        <f t="shared" ca="1" si="41"/>
        <v>0</v>
      </c>
      <c r="L70" s="56">
        <f t="shared" ca="1" si="42"/>
        <v>0</v>
      </c>
      <c r="M70" s="56">
        <f t="shared" ca="1" si="43"/>
        <v>0</v>
      </c>
      <c r="N70" s="56">
        <f t="shared" ca="1" si="44"/>
        <v>0</v>
      </c>
      <c r="O70" s="65">
        <f t="shared" ca="1" si="54"/>
        <v>39.198159819840555</v>
      </c>
      <c r="P70" s="65">
        <f t="shared" ca="1" si="45"/>
        <v>0</v>
      </c>
      <c r="Q70" s="65">
        <f t="shared" ca="1" si="46"/>
        <v>0.86034634315424618</v>
      </c>
      <c r="R70" s="65">
        <f t="shared" ca="1" si="47"/>
        <v>1.875</v>
      </c>
      <c r="S70" s="65">
        <f t="shared" ca="1" si="48"/>
        <v>0</v>
      </c>
      <c r="T70" s="65">
        <f t="shared" ca="1" si="49"/>
        <v>0</v>
      </c>
      <c r="U70" s="65">
        <f t="shared" ca="1" si="50"/>
        <v>0</v>
      </c>
      <c r="V70" s="65">
        <f t="shared" ca="1" si="51"/>
        <v>1.8518518518518516</v>
      </c>
      <c r="W70" s="65">
        <f t="shared" ca="1" si="52"/>
        <v>0</v>
      </c>
      <c r="X70" s="65">
        <f t="shared" ca="1" si="53"/>
        <v>0</v>
      </c>
      <c r="Y70" s="21" t="s">
        <v>96</v>
      </c>
      <c r="Z70" s="15">
        <f>VLOOKUP($D70&amp;$B70,[3]!装备基础属性表,P$30,FALSE)</f>
        <v>2351.8895891904335</v>
      </c>
      <c r="AA70" s="15">
        <f>VLOOKUP($D70&amp;$B70,[3]!装备基础属性表,Q$30,FALSE)</f>
        <v>119.45931978609629</v>
      </c>
      <c r="AB70" s="15">
        <f>VLOOKUP($D70&amp;$B70,[3]!装备基础属性表,R$30,FALSE)</f>
        <v>51.620780589254771</v>
      </c>
      <c r="AC70" s="15">
        <f>VLOOKUP($D70&amp;$B70,[3]!装备基础属性表,S$30,FALSE)</f>
        <v>93.75</v>
      </c>
      <c r="AD70" s="15">
        <f>VLOOKUP($D70&amp;$B70,[3]!装备基础属性表,T$30,FALSE)</f>
        <v>93.75</v>
      </c>
      <c r="AE70" s="15">
        <f>VLOOKUP($D70&amp;$B70,[3]!装备基础属性表,U$30,FALSE)</f>
        <v>55.55555555555555</v>
      </c>
      <c r="AF70" s="15">
        <f>VLOOKUP($D70&amp;$B70,[3]!装备基础属性表,V$30,FALSE)</f>
        <v>0</v>
      </c>
      <c r="AG70" s="15">
        <f>VLOOKUP($D70&amp;$B70,[3]!装备基础属性表,W$30,FALSE)</f>
        <v>55.55555555555555</v>
      </c>
      <c r="AH70" s="15">
        <f>VLOOKUP($D70&amp;$B70,[3]!装备基础属性表,X$30,FALSE)</f>
        <v>0</v>
      </c>
      <c r="AI70" s="15">
        <f>VLOOKUP($D70&amp;$B70,[3]!装备基础属性表,Y$30,FALSE)</f>
        <v>0</v>
      </c>
      <c r="AJ70" s="16" t="str">
        <f>B70&amp;VLOOKUP(C70,定义数据!$E$1:$F$7,2,FALSE)&amp;D70</f>
        <v>1230</v>
      </c>
      <c r="AK70" s="14">
        <f t="shared" si="29"/>
        <v>8</v>
      </c>
      <c r="AL70" s="5">
        <f t="shared" si="30"/>
        <v>3</v>
      </c>
      <c r="AM70" s="5" t="str">
        <f t="array" aca="1" ref="AM70" ca="1">IF(AM$31&gt;$AL70,0,IF(ISERROR(OFFSET($E$31,0,SMALL(IF($E70:$X70&gt;0,COLUMN($A:$T),""),AM$31)-1)),0,OFFSET($E$31,0,SMALL(IF($E70:$X70&gt;0,COLUMN($A:$T),""),AM$31)-1)))</f>
        <v>防御</v>
      </c>
      <c r="AN70" s="5">
        <f t="array" aca="1" ref="AN70" ca="1">IF(AM$31&gt;$AL70,0,IF(ISERROR(INDEX($E70:$X70,,SMALL(IF($E70:$X70&gt;0,COLUMN($A:$T),""),AN$31))),0,INDEX($E70:$X70,,SMALL(IF($E70:$X70&gt;0,COLUMN($A:$T),""),AN$31))))</f>
        <v>20.648312235701908</v>
      </c>
      <c r="AO70" s="5" t="str">
        <f t="array" aca="1" ref="AO70" ca="1">IF(AO$31&gt;$AL70,0,IF(ISERROR(OFFSET($E$31,0,SMALL(IF($E70:$X70&gt;0,COLUMN($A:$T),""),AO$31)-1)),0,OFFSET($E$31,0,SMALL(IF($E70:$X70&gt;0,COLUMN($A:$T),""),AO$31)-1)))</f>
        <v>闪避值</v>
      </c>
      <c r="AP70" s="5">
        <f t="array" aca="1" ref="AP70" ca="1">IF(AO$31&gt;$AL70,0,IF(ISERROR(INDEX($E70:$X70,,SMALL(IF($E70:$X70&gt;0,COLUMN($A:$T),""),AP$31))),0,INDEX($E70:$X70,,SMALL(IF($E70:$X70&gt;0,COLUMN($A:$T),""),AP$31))))</f>
        <v>31.25</v>
      </c>
      <c r="AQ70" s="5" t="str">
        <f t="array" aca="1" ref="AQ70" ca="1">IF(AQ$31&gt;$AL70,0,IF(ISERROR(OFFSET($E$31,0,SMALL(IF($E70:$X70&gt;0,COLUMN($A:$T),""),AQ$31)-1)),0,OFFSET($E$31,0,SMALL(IF($E70:$X70&gt;0,COLUMN($A:$T),""),AQ$31)-1)))</f>
        <v>生命</v>
      </c>
      <c r="AR70" s="5">
        <f t="array" aca="1" ref="AR70" ca="1">IF(AQ$31&gt;$AL70,0,IF(ISERROR(INDEX($E70:$X70,,SMALL(IF($E70:$X70&gt;0,COLUMN($A:$T),""),AR$31))),0,INDEX($E70:$X70,,SMALL(IF($E70:$X70&gt;0,COLUMN($A:$T),""),AR$31))))</f>
        <v>39.198159819840555</v>
      </c>
      <c r="AS70" s="5">
        <f t="array" aca="1" ref="AS70" ca="1">IF(AS$31&gt;$AL70,0,IF(ISERROR(OFFSET($E$31,0,SMALL(IF($E70:$X70&gt;0,COLUMN($A:$T),""),AS$31)-1)),0,OFFSET($E$31,0,SMALL(IF($E70:$X70&gt;0,COLUMN($A:$T),""),AS$31)-1)))</f>
        <v>0</v>
      </c>
      <c r="AT70" s="5">
        <f t="array" ref="AT70">IF(AS$31&gt;$AL70,0,IF(ISERROR(INDEX($E70:$X70,,SMALL(IF($E70:$X70&gt;0,COLUMN($A:$T),""),AT$31))),0,INDEX($E70:$X70,,SMALL(IF($E70:$X70&gt;0,COLUMN($A:$T),""),AT$31))))</f>
        <v>0</v>
      </c>
      <c r="AU70" s="5">
        <f t="array" aca="1" ref="AU70" ca="1">IF(AU$31&gt;$AL70,0,IF(ISERROR(OFFSET($E$31,0,SMALL(IF($E70:$X70&gt;0,COLUMN($A:$T),""),AU$31)-1)),0,OFFSET($E$31,0,SMALL(IF($E70:$X70&gt;0,COLUMN($A:$T),""),AU$31)-1)))</f>
        <v>0</v>
      </c>
      <c r="AV70" s="5">
        <f t="array" ref="AV70">IF(AU$31&gt;$AL70,0,IF(ISERROR(INDEX($E70:$X70,,SMALL(IF($E70:$X70&gt;0,COLUMN($A:$T),""),AV$31))),0,INDEX($E70:$X70,,SMALL(IF($E70:$X70&gt;0,COLUMN($A:$T),""),AV$31))))</f>
        <v>0</v>
      </c>
      <c r="AW70" s="5">
        <f t="array" aca="1" ref="AW70" ca="1">IF(AW$31&gt;$AL70,0,IF(ISERROR(OFFSET($E$31,0,SMALL(IF($E70:$X70&gt;0,COLUMN($A:$T),""),AW$31)-1)),0,OFFSET($E$31,0,SMALL(IF($E70:$X70&gt;0,COLUMN($A:$T),""),AW$31)-1)))</f>
        <v>0</v>
      </c>
      <c r="AX70" s="5">
        <f t="array" ref="AX70">IF(AW$31&gt;$AL70,0,IF(ISERROR(INDEX($E70:$X70,,SMALL(IF($E70:$X70&gt;0,COLUMN($A:$T),""),AX$31))),0,INDEX($E70:$X70,,SMALL(IF($E70:$X70&gt;0,COLUMN($A:$T),""),AX$31))))</f>
        <v>0</v>
      </c>
      <c r="AY70" s="5">
        <f t="array" aca="1" ref="AY70" ca="1">IF(AY$31&gt;$AL70,0,IF(ISERROR(OFFSET($E$31,0,SMALL(IF($E70:$X70&gt;0,COLUMN($A:$T),""),AY$31)-1)),0,OFFSET($E$31,0,SMALL(IF($E70:$X70&gt;0,COLUMN($A:$T),""),AY$31)-1)))</f>
        <v>0</v>
      </c>
      <c r="AZ70" s="5">
        <f t="array" ref="AZ70">IF(AY$31&gt;$AL70,0,IF(ISERROR(INDEX($E70:$X70,,SMALL(IF($E70:$X70&gt;0,COLUMN($A:$T),""),AZ$31))),0,INDEX($E70:$X70,,SMALL(IF($E70:$X70&gt;0,COLUMN($A:$T),""),AZ$31))))</f>
        <v>0</v>
      </c>
      <c r="BA70" s="5">
        <f t="array" aca="1" ref="BA70" ca="1">IF(BA$31&gt;$AL70,0,IF(ISERROR(OFFSET($E$31,0,SMALL(IF($E70:$X70&gt;0,COLUMN($A:$T),""),BA$31)-1)),0,OFFSET($E$31,0,SMALL(IF($E70:$X70&gt;0,COLUMN($A:$T),""),BA$31)-1)))</f>
        <v>0</v>
      </c>
      <c r="BB70" s="5">
        <f t="array" ref="BB70">IF(BA$31&gt;$AL70,0,IF(ISERROR(INDEX($E70:$X70,,SMALL(IF($E70:$X70&gt;0,COLUMN($A:$T),""),BB$31))),0,INDEX($E70:$X70,,SMALL(IF($E70:$X70&gt;0,COLUMN($A:$T),""),BB$31))))</f>
        <v>0</v>
      </c>
      <c r="BC70" s="5">
        <f t="array" aca="1" ref="BC70" ca="1">IF(BC$31&gt;$AL70,0,IF(ISERROR(OFFSET($E$31,0,SMALL(IF($E70:$X70&gt;0,COLUMN($A:$T),""),BC$31)-1)),0,OFFSET($E$31,0,SMALL(IF($E70:$X70&gt;0,COLUMN($A:$T),""),BC$31)-1)))</f>
        <v>0</v>
      </c>
      <c r="BD70" s="5">
        <f t="array" ref="BD70">IF(BC$31&gt;$AL70,0,IF(ISERROR(INDEX($E70:$X70,,SMALL(IF($E70:$X70&gt;0,COLUMN($A:$T),""),BD$31))),0,INDEX($E70:$X70,,SMALL(IF($E70:$X70&gt;0,COLUMN($A:$T),""),BD$31))))</f>
        <v>0</v>
      </c>
      <c r="BE70" s="5">
        <f t="array" aca="1" ref="BE70" ca="1">IF(BE$31&gt;$AL70,0,IF(ISERROR(OFFSET($E$31,0,SMALL(IF($E70:$X70&gt;0,COLUMN($A:$T),""),BE$31)-1)),0,OFFSET($E$31,0,SMALL(IF($E70:$X70&gt;0,COLUMN($A:$T),""),BE$31)-1)))</f>
        <v>0</v>
      </c>
      <c r="BF70" s="5">
        <f t="array" ref="BF70">IF(BE$31&gt;$AL70,0,IF(ISERROR(INDEX($E70:$X70,,SMALL(IF($E70:$X70&gt;0,COLUMN($A:$T),""),BF$31))),0,INDEX($E70:$X70,,SMALL(IF($E70:$X70&gt;0,COLUMN($A:$T),""),BF$31))))</f>
        <v>0</v>
      </c>
      <c r="BH70">
        <f ca="1">SUMPRODUCT(E70:N70,定义数据!$G$14:$P$14)</f>
        <v>31.273312235701908</v>
      </c>
      <c r="BI70">
        <f ca="1">SUMPRODUCT(O70:X70,定义数据!$G$14:$P$14)</f>
        <v>3.3991060692812018</v>
      </c>
      <c r="BJ70" s="5">
        <f t="shared" ca="1" si="18"/>
        <v>34.672418304983111</v>
      </c>
      <c r="BK70" s="5" t="str">
        <f>D70&amp;B70&amp;VLOOKUP(C70,定义数据!$E$1:$F$7,2,FALSE)</f>
        <v>3012</v>
      </c>
    </row>
    <row r="71" spans="1:63" x14ac:dyDescent="0.15">
      <c r="A71" s="17" t="str">
        <f>D71&amp;B71&amp;VLOOKUP(C71,定义数据!$E$1:$F$7,2,FALSE)</f>
        <v>3015</v>
      </c>
      <c r="B71" s="18">
        <v>1</v>
      </c>
      <c r="C71" s="18" t="s">
        <v>138</v>
      </c>
      <c r="D71" s="24">
        <v>30</v>
      </c>
      <c r="E71" s="56">
        <f t="shared" ca="1" si="35"/>
        <v>470.37791783808672</v>
      </c>
      <c r="F71" s="56">
        <f t="shared" ca="1" si="36"/>
        <v>0</v>
      </c>
      <c r="G71" s="56">
        <f t="shared" ca="1" si="37"/>
        <v>0</v>
      </c>
      <c r="H71" s="56">
        <f t="shared" ca="1" si="38"/>
        <v>62.5</v>
      </c>
      <c r="I71" s="56">
        <f t="shared" ca="1" si="39"/>
        <v>0</v>
      </c>
      <c r="J71" s="56">
        <f t="shared" ca="1" si="40"/>
        <v>0</v>
      </c>
      <c r="K71" s="56">
        <f t="shared" ca="1" si="41"/>
        <v>0</v>
      </c>
      <c r="L71" s="56">
        <f t="shared" ca="1" si="42"/>
        <v>0</v>
      </c>
      <c r="M71" s="56">
        <f t="shared" ca="1" si="43"/>
        <v>0</v>
      </c>
      <c r="N71" s="56">
        <f t="shared" ca="1" si="44"/>
        <v>0</v>
      </c>
      <c r="O71" s="65">
        <f t="shared" ca="1" si="54"/>
        <v>39.198159819840555</v>
      </c>
      <c r="P71" s="65">
        <f t="shared" ca="1" si="45"/>
        <v>0</v>
      </c>
      <c r="Q71" s="65">
        <f t="shared" ca="1" si="46"/>
        <v>0</v>
      </c>
      <c r="R71" s="65">
        <f t="shared" ca="1" si="47"/>
        <v>3.75</v>
      </c>
      <c r="S71" s="65">
        <f t="shared" ca="1" si="48"/>
        <v>3.125</v>
      </c>
      <c r="T71" s="65">
        <f t="shared" ca="1" si="49"/>
        <v>1.1111111111111112</v>
      </c>
      <c r="U71" s="65">
        <f t="shared" ca="1" si="50"/>
        <v>0</v>
      </c>
      <c r="V71" s="65">
        <f t="shared" ca="1" si="51"/>
        <v>0</v>
      </c>
      <c r="W71" s="65">
        <f t="shared" ca="1" si="52"/>
        <v>0</v>
      </c>
      <c r="X71" s="65">
        <f t="shared" ca="1" si="53"/>
        <v>0</v>
      </c>
      <c r="Y71" s="21"/>
      <c r="Z71" s="15">
        <f>VLOOKUP($D71&amp;$B71,[3]!装备基础属性表,P$30,FALSE)</f>
        <v>2351.8895891904335</v>
      </c>
      <c r="AA71" s="15">
        <f>VLOOKUP($D71&amp;$B71,[3]!装备基础属性表,Q$30,FALSE)</f>
        <v>119.45931978609629</v>
      </c>
      <c r="AB71" s="15">
        <f>VLOOKUP($D71&amp;$B71,[3]!装备基础属性表,R$30,FALSE)</f>
        <v>51.620780589254771</v>
      </c>
      <c r="AC71" s="15">
        <f>VLOOKUP($D71&amp;$B71,[3]!装备基础属性表,S$30,FALSE)</f>
        <v>93.75</v>
      </c>
      <c r="AD71" s="15">
        <f>VLOOKUP($D71&amp;$B71,[3]!装备基础属性表,T$30,FALSE)</f>
        <v>93.75</v>
      </c>
      <c r="AE71" s="15">
        <f>VLOOKUP($D71&amp;$B71,[3]!装备基础属性表,U$30,FALSE)</f>
        <v>55.55555555555555</v>
      </c>
      <c r="AF71" s="15">
        <f>VLOOKUP($D71&amp;$B71,[3]!装备基础属性表,V$30,FALSE)</f>
        <v>0</v>
      </c>
      <c r="AG71" s="15">
        <f>VLOOKUP($D71&amp;$B71,[3]!装备基础属性表,W$30,FALSE)</f>
        <v>55.55555555555555</v>
      </c>
      <c r="AH71" s="15">
        <f>VLOOKUP($D71&amp;$B71,[3]!装备基础属性表,X$30,FALSE)</f>
        <v>0</v>
      </c>
      <c r="AI71" s="15">
        <f>VLOOKUP($D71&amp;$B71,[3]!装备基础属性表,Y$30,FALSE)</f>
        <v>0</v>
      </c>
      <c r="AJ71" s="16" t="str">
        <f>B71&amp;VLOOKUP(C71,定义数据!$E$1:$F$7,2,FALSE)&amp;D71</f>
        <v>1530</v>
      </c>
      <c r="AK71" s="14">
        <f t="shared" si="29"/>
        <v>8</v>
      </c>
      <c r="AL71" s="5">
        <f t="shared" si="30"/>
        <v>3</v>
      </c>
      <c r="AM71" s="5" t="str">
        <f t="array" aca="1" ref="AM71" ca="1">IF(AM$31&gt;$AL71,0,IF(ISERROR(OFFSET($E$31,0,SMALL(IF($E71:$X71&gt;0,COLUMN($A:$T),""),AM$31)-1)),0,OFFSET($E$31,0,SMALL(IF($E71:$X71&gt;0,COLUMN($A:$T),""),AM$31)-1)))</f>
        <v>生命</v>
      </c>
      <c r="AN71" s="5">
        <f t="array" aca="1" ref="AN71" ca="1">IF(AM$31&gt;$AL71,0,IF(ISERROR(INDEX($E71:$X71,,SMALL(IF($E71:$X71&gt;0,COLUMN($A:$T),""),AN$31))),0,INDEX($E71:$X71,,SMALL(IF($E71:$X71&gt;0,COLUMN($A:$T),""),AN$31))))</f>
        <v>470.37791783808672</v>
      </c>
      <c r="AO71" s="5" t="str">
        <f t="array" aca="1" ref="AO71" ca="1">IF(AO$31&gt;$AL71,0,IF(ISERROR(OFFSET($E$31,0,SMALL(IF($E71:$X71&gt;0,COLUMN($A:$T),""),AO$31)-1)),0,OFFSET($E$31,0,SMALL(IF($E71:$X71&gt;0,COLUMN($A:$T),""),AO$31)-1)))</f>
        <v>闪避值</v>
      </c>
      <c r="AP71" s="5">
        <f t="array" aca="1" ref="AP71" ca="1">IF(AO$31&gt;$AL71,0,IF(ISERROR(INDEX($E71:$X71,,SMALL(IF($E71:$X71&gt;0,COLUMN($A:$T),""),AP$31))),0,INDEX($E71:$X71,,SMALL(IF($E71:$X71&gt;0,COLUMN($A:$T),""),AP$31))))</f>
        <v>62.5</v>
      </c>
      <c r="AQ71" s="5" t="str">
        <f t="array" aca="1" ref="AQ71" ca="1">IF(AQ$31&gt;$AL71,0,IF(ISERROR(OFFSET($E$31,0,SMALL(IF($E71:$X71&gt;0,COLUMN($A:$T),""),AQ$31)-1)),0,OFFSET($E$31,0,SMALL(IF($E71:$X71&gt;0,COLUMN($A:$T),""),AQ$31)-1)))</f>
        <v>生命</v>
      </c>
      <c r="AR71" s="5">
        <f t="array" aca="1" ref="AR71" ca="1">IF(AQ$31&gt;$AL71,0,IF(ISERROR(INDEX($E71:$X71,,SMALL(IF($E71:$X71&gt;0,COLUMN($A:$T),""),AR$31))),0,INDEX($E71:$X71,,SMALL(IF($E71:$X71&gt;0,COLUMN($A:$T),""),AR$31))))</f>
        <v>39.198159819840555</v>
      </c>
      <c r="AS71" s="5">
        <f t="array" aca="1" ref="AS71" ca="1">IF(AS$31&gt;$AL71,0,IF(ISERROR(OFFSET($E$31,0,SMALL(IF($E71:$X71&gt;0,COLUMN($A:$T),""),AS$31)-1)),0,OFFSET($E$31,0,SMALL(IF($E71:$X71&gt;0,COLUMN($A:$T),""),AS$31)-1)))</f>
        <v>0</v>
      </c>
      <c r="AT71" s="5">
        <f t="array" ref="AT71">IF(AS$31&gt;$AL71,0,IF(ISERROR(INDEX($E71:$X71,,SMALL(IF($E71:$X71&gt;0,COLUMN($A:$T),""),AT$31))),0,INDEX($E71:$X71,,SMALL(IF($E71:$X71&gt;0,COLUMN($A:$T),""),AT$31))))</f>
        <v>0</v>
      </c>
      <c r="AU71" s="5">
        <f t="array" aca="1" ref="AU71" ca="1">IF(AU$31&gt;$AL71,0,IF(ISERROR(OFFSET($E$31,0,SMALL(IF($E71:$X71&gt;0,COLUMN($A:$T),""),AU$31)-1)),0,OFFSET($E$31,0,SMALL(IF($E71:$X71&gt;0,COLUMN($A:$T),""),AU$31)-1)))</f>
        <v>0</v>
      </c>
      <c r="AV71" s="5">
        <f t="array" ref="AV71">IF(AU$31&gt;$AL71,0,IF(ISERROR(INDEX($E71:$X71,,SMALL(IF($E71:$X71&gt;0,COLUMN($A:$T),""),AV$31))),0,INDEX($E71:$X71,,SMALL(IF($E71:$X71&gt;0,COLUMN($A:$T),""),AV$31))))</f>
        <v>0</v>
      </c>
      <c r="AW71" s="5">
        <f t="array" aca="1" ref="AW71" ca="1">IF(AW$31&gt;$AL71,0,IF(ISERROR(OFFSET($E$31,0,SMALL(IF($E71:$X71&gt;0,COLUMN($A:$T),""),AW$31)-1)),0,OFFSET($E$31,0,SMALL(IF($E71:$X71&gt;0,COLUMN($A:$T),""),AW$31)-1)))</f>
        <v>0</v>
      </c>
      <c r="AX71" s="5">
        <f t="array" ref="AX71">IF(AW$31&gt;$AL71,0,IF(ISERROR(INDEX($E71:$X71,,SMALL(IF($E71:$X71&gt;0,COLUMN($A:$T),""),AX$31))),0,INDEX($E71:$X71,,SMALL(IF($E71:$X71&gt;0,COLUMN($A:$T),""),AX$31))))</f>
        <v>0</v>
      </c>
      <c r="AY71" s="5">
        <f t="array" aca="1" ref="AY71" ca="1">IF(AY$31&gt;$AL71,0,IF(ISERROR(OFFSET($E$31,0,SMALL(IF($E71:$X71&gt;0,COLUMN($A:$T),""),AY$31)-1)),0,OFFSET($E$31,0,SMALL(IF($E71:$X71&gt;0,COLUMN($A:$T),""),AY$31)-1)))</f>
        <v>0</v>
      </c>
      <c r="AZ71" s="5">
        <f t="array" ref="AZ71">IF(AY$31&gt;$AL71,0,IF(ISERROR(INDEX($E71:$X71,,SMALL(IF($E71:$X71&gt;0,COLUMN($A:$T),""),AZ$31))),0,INDEX($E71:$X71,,SMALL(IF($E71:$X71&gt;0,COLUMN($A:$T),""),AZ$31))))</f>
        <v>0</v>
      </c>
      <c r="BA71" s="5">
        <f t="array" aca="1" ref="BA71" ca="1">IF(BA$31&gt;$AL71,0,IF(ISERROR(OFFSET($E$31,0,SMALL(IF($E71:$X71&gt;0,COLUMN($A:$T),""),BA$31)-1)),0,OFFSET($E$31,0,SMALL(IF($E71:$X71&gt;0,COLUMN($A:$T),""),BA$31)-1)))</f>
        <v>0</v>
      </c>
      <c r="BB71" s="5">
        <f t="array" ref="BB71">IF(BA$31&gt;$AL71,0,IF(ISERROR(INDEX($E71:$X71,,SMALL(IF($E71:$X71&gt;0,COLUMN($A:$T),""),BB$31))),0,INDEX($E71:$X71,,SMALL(IF($E71:$X71&gt;0,COLUMN($A:$T),""),BB$31))))</f>
        <v>0</v>
      </c>
      <c r="BC71" s="5">
        <f t="array" aca="1" ref="BC71" ca="1">IF(BC$31&gt;$AL71,0,IF(ISERROR(OFFSET($E$31,0,SMALL(IF($E71:$X71&gt;0,COLUMN($A:$T),""),BC$31)-1)),0,OFFSET($E$31,0,SMALL(IF($E71:$X71&gt;0,COLUMN($A:$T),""),BC$31)-1)))</f>
        <v>0</v>
      </c>
      <c r="BD71" s="5">
        <f t="array" ref="BD71">IF(BC$31&gt;$AL71,0,IF(ISERROR(INDEX($E71:$X71,,SMALL(IF($E71:$X71&gt;0,COLUMN($A:$T),""),BD$31))),0,INDEX($E71:$X71,,SMALL(IF($E71:$X71&gt;0,COLUMN($A:$T),""),BD$31))))</f>
        <v>0</v>
      </c>
      <c r="BE71" s="5">
        <f t="array" aca="1" ref="BE71" ca="1">IF(BE$31&gt;$AL71,0,IF(ISERROR(OFFSET($E$31,0,SMALL(IF($E71:$X71&gt;0,COLUMN($A:$T),""),BE$31)-1)),0,OFFSET($E$31,0,SMALL(IF($E71:$X71&gt;0,COLUMN($A:$T),""),BE$31)-1)))</f>
        <v>0</v>
      </c>
      <c r="BF71" s="5">
        <f t="array" ref="BF71">IF(BE$31&gt;$AL71,0,IF(ISERROR(INDEX($E71:$X71,,SMALL(IF($E71:$X71&gt;0,COLUMN($A:$T),""),BF$31))),0,INDEX($E71:$X71,,SMALL(IF($E71:$X71&gt;0,COLUMN($A:$T),""),BF$31))))</f>
        <v>0</v>
      </c>
      <c r="BH71">
        <f ca="1">SUMPRODUCT(E71:N71,定义数据!$G$14:$P$14)</f>
        <v>40.065116713523466</v>
      </c>
      <c r="BI71">
        <f ca="1">SUMPRODUCT(O71:X71,定义数据!$G$14:$P$14)</f>
        <v>4.1054263927936221</v>
      </c>
      <c r="BJ71" s="5">
        <f t="shared" ca="1" si="18"/>
        <v>44.170543106317091</v>
      </c>
      <c r="BK71" s="5" t="str">
        <f>D71&amp;B71&amp;VLOOKUP(C71,定义数据!$E$1:$F$7,2,FALSE)</f>
        <v>3015</v>
      </c>
    </row>
    <row r="72" spans="1:63" x14ac:dyDescent="0.15">
      <c r="A72" s="17" t="str">
        <f>D72&amp;B72&amp;VLOOKUP(C72,定义数据!$E$1:$F$7,2,FALSE)</f>
        <v>3014</v>
      </c>
      <c r="B72" s="18">
        <v>1</v>
      </c>
      <c r="C72" s="18" t="s">
        <v>139</v>
      </c>
      <c r="D72" s="24">
        <v>30</v>
      </c>
      <c r="E72" s="56">
        <f t="shared" ca="1" si="35"/>
        <v>470.37791783808672</v>
      </c>
      <c r="F72" s="56">
        <f t="shared" ca="1" si="36"/>
        <v>0</v>
      </c>
      <c r="G72" s="56">
        <f t="shared" ca="1" si="37"/>
        <v>0</v>
      </c>
      <c r="H72" s="56">
        <f t="shared" ca="1" si="38"/>
        <v>0</v>
      </c>
      <c r="I72" s="56">
        <f t="shared" ca="1" si="39"/>
        <v>0</v>
      </c>
      <c r="J72" s="56">
        <f t="shared" ca="1" si="40"/>
        <v>0</v>
      </c>
      <c r="K72" s="56">
        <f t="shared" ca="1" si="41"/>
        <v>0</v>
      </c>
      <c r="L72" s="56">
        <f t="shared" ca="1" si="42"/>
        <v>55.55555555555555</v>
      </c>
      <c r="M72" s="56">
        <f t="shared" ca="1" si="43"/>
        <v>0</v>
      </c>
      <c r="N72" s="56">
        <f t="shared" ca="1" si="44"/>
        <v>0</v>
      </c>
      <c r="O72" s="65">
        <f t="shared" ca="1" si="54"/>
        <v>78.39631963968111</v>
      </c>
      <c r="P72" s="65">
        <f t="shared" ca="1" si="45"/>
        <v>2.3891863957219259</v>
      </c>
      <c r="Q72" s="65">
        <f t="shared" ca="1" si="46"/>
        <v>0.86034634315424618</v>
      </c>
      <c r="R72" s="65">
        <f t="shared" ca="1" si="47"/>
        <v>0</v>
      </c>
      <c r="S72" s="65">
        <f t="shared" ca="1" si="48"/>
        <v>0</v>
      </c>
      <c r="T72" s="65">
        <f t="shared" ca="1" si="49"/>
        <v>0</v>
      </c>
      <c r="U72" s="65">
        <f t="shared" ca="1" si="50"/>
        <v>0</v>
      </c>
      <c r="V72" s="65">
        <f t="shared" ca="1" si="51"/>
        <v>1.8518518518518516</v>
      </c>
      <c r="W72" s="65">
        <f t="shared" ca="1" si="52"/>
        <v>0</v>
      </c>
      <c r="X72" s="65">
        <f t="shared" ca="1" si="53"/>
        <v>0</v>
      </c>
      <c r="Y72" s="21"/>
      <c r="Z72" s="15">
        <f>VLOOKUP($D72&amp;$B72,[3]!装备基础属性表,P$30,FALSE)</f>
        <v>2351.8895891904335</v>
      </c>
      <c r="AA72" s="15">
        <f>VLOOKUP($D72&amp;$B72,[3]!装备基础属性表,Q$30,FALSE)</f>
        <v>119.45931978609629</v>
      </c>
      <c r="AB72" s="15">
        <f>VLOOKUP($D72&amp;$B72,[3]!装备基础属性表,R$30,FALSE)</f>
        <v>51.620780589254771</v>
      </c>
      <c r="AC72" s="15">
        <f>VLOOKUP($D72&amp;$B72,[3]!装备基础属性表,S$30,FALSE)</f>
        <v>93.75</v>
      </c>
      <c r="AD72" s="15">
        <f>VLOOKUP($D72&amp;$B72,[3]!装备基础属性表,T$30,FALSE)</f>
        <v>93.75</v>
      </c>
      <c r="AE72" s="15">
        <f>VLOOKUP($D72&amp;$B72,[3]!装备基础属性表,U$30,FALSE)</f>
        <v>55.55555555555555</v>
      </c>
      <c r="AF72" s="15">
        <f>VLOOKUP($D72&amp;$B72,[3]!装备基础属性表,V$30,FALSE)</f>
        <v>0</v>
      </c>
      <c r="AG72" s="15">
        <f>VLOOKUP($D72&amp;$B72,[3]!装备基础属性表,W$30,FALSE)</f>
        <v>55.55555555555555</v>
      </c>
      <c r="AH72" s="15">
        <f>VLOOKUP($D72&amp;$B72,[3]!装备基础属性表,X$30,FALSE)</f>
        <v>0</v>
      </c>
      <c r="AI72" s="15">
        <f>VLOOKUP($D72&amp;$B72,[3]!装备基础属性表,Y$30,FALSE)</f>
        <v>0</v>
      </c>
      <c r="AJ72" s="16" t="str">
        <f>B72&amp;VLOOKUP(C72,定义数据!$E$1:$F$7,2,FALSE)&amp;D72</f>
        <v>1430</v>
      </c>
      <c r="AK72" s="14">
        <f t="shared" si="29"/>
        <v>8</v>
      </c>
      <c r="AL72" s="5">
        <f t="shared" si="30"/>
        <v>3</v>
      </c>
      <c r="AM72" s="5" t="str">
        <f t="array" aca="1" ref="AM72" ca="1">IF(AM$31&gt;$AL72,0,IF(ISERROR(OFFSET($E$31,0,SMALL(IF($E72:$X72&gt;0,COLUMN($A:$T),""),AM$31)-1)),0,OFFSET($E$31,0,SMALL(IF($E72:$X72&gt;0,COLUMN($A:$T),""),AM$31)-1)))</f>
        <v>生命</v>
      </c>
      <c r="AN72" s="5">
        <f t="array" aca="1" ref="AN72" ca="1">IF(AM$31&gt;$AL72,0,IF(ISERROR(INDEX($E72:$X72,,SMALL(IF($E72:$X72&gt;0,COLUMN($A:$T),""),AN$31))),0,INDEX($E72:$X72,,SMALL(IF($E72:$X72&gt;0,COLUMN($A:$T),""),AN$31))))</f>
        <v>470.37791783808672</v>
      </c>
      <c r="AO72" s="5" t="str">
        <f t="array" aca="1" ref="AO72" ca="1">IF(AO$31&gt;$AL72,0,IF(ISERROR(OFFSET($E$31,0,SMALL(IF($E72:$X72&gt;0,COLUMN($A:$T),""),AO$31)-1)),0,OFFSET($E$31,0,SMALL(IF($E72:$X72&gt;0,COLUMN($A:$T),""),AO$31)-1)))</f>
        <v>韧性值</v>
      </c>
      <c r="AP72" s="5">
        <f t="array" aca="1" ref="AP72" ca="1">IF(AO$31&gt;$AL72,0,IF(ISERROR(INDEX($E72:$X72,,SMALL(IF($E72:$X72&gt;0,COLUMN($A:$T),""),AP$31))),0,INDEX($E72:$X72,,SMALL(IF($E72:$X72&gt;0,COLUMN($A:$T),""),AP$31))))</f>
        <v>55.55555555555555</v>
      </c>
      <c r="AQ72" s="5" t="str">
        <f t="array" aca="1" ref="AQ72" ca="1">IF(AQ$31&gt;$AL72,0,IF(ISERROR(OFFSET($E$31,0,SMALL(IF($E72:$X72&gt;0,COLUMN($A:$T),""),AQ$31)-1)),0,OFFSET($E$31,0,SMALL(IF($E72:$X72&gt;0,COLUMN($A:$T),""),AQ$31)-1)))</f>
        <v>生命</v>
      </c>
      <c r="AR72" s="5">
        <f t="array" aca="1" ref="AR72" ca="1">IF(AQ$31&gt;$AL72,0,IF(ISERROR(INDEX($E72:$X72,,SMALL(IF($E72:$X72&gt;0,COLUMN($A:$T),""),AR$31))),0,INDEX($E72:$X72,,SMALL(IF($E72:$X72&gt;0,COLUMN($A:$T),""),AR$31))))</f>
        <v>78.39631963968111</v>
      </c>
      <c r="AS72" s="5">
        <f t="array" aca="1" ref="AS72" ca="1">IF(AS$31&gt;$AL72,0,IF(ISERROR(OFFSET($E$31,0,SMALL(IF($E72:$X72&gt;0,COLUMN($A:$T),""),AS$31)-1)),0,OFFSET($E$31,0,SMALL(IF($E72:$X72&gt;0,COLUMN($A:$T),""),AS$31)-1)))</f>
        <v>0</v>
      </c>
      <c r="AT72" s="5">
        <f t="array" ref="AT72">IF(AS$31&gt;$AL72,0,IF(ISERROR(INDEX($E72:$X72,,SMALL(IF($E72:$X72&gt;0,COLUMN($A:$T),""),AT$31))),0,INDEX($E72:$X72,,SMALL(IF($E72:$X72&gt;0,COLUMN($A:$T),""),AT$31))))</f>
        <v>0</v>
      </c>
      <c r="AU72" s="5">
        <f t="array" aca="1" ref="AU72" ca="1">IF(AU$31&gt;$AL72,0,IF(ISERROR(OFFSET($E$31,0,SMALL(IF($E72:$X72&gt;0,COLUMN($A:$T),""),AU$31)-1)),0,OFFSET($E$31,0,SMALL(IF($E72:$X72&gt;0,COLUMN($A:$T),""),AU$31)-1)))</f>
        <v>0</v>
      </c>
      <c r="AV72" s="5">
        <f t="array" ref="AV72">IF(AU$31&gt;$AL72,0,IF(ISERROR(INDEX($E72:$X72,,SMALL(IF($E72:$X72&gt;0,COLUMN($A:$T),""),AV$31))),0,INDEX($E72:$X72,,SMALL(IF($E72:$X72&gt;0,COLUMN($A:$T),""),AV$31))))</f>
        <v>0</v>
      </c>
      <c r="AW72" s="5">
        <f t="array" aca="1" ref="AW72" ca="1">IF(AW$31&gt;$AL72,0,IF(ISERROR(OFFSET($E$31,0,SMALL(IF($E72:$X72&gt;0,COLUMN($A:$T),""),AW$31)-1)),0,OFFSET($E$31,0,SMALL(IF($E72:$X72&gt;0,COLUMN($A:$T),""),AW$31)-1)))</f>
        <v>0</v>
      </c>
      <c r="AX72" s="5">
        <f t="array" ref="AX72">IF(AW$31&gt;$AL72,0,IF(ISERROR(INDEX($E72:$X72,,SMALL(IF($E72:$X72&gt;0,COLUMN($A:$T),""),AX$31))),0,INDEX($E72:$X72,,SMALL(IF($E72:$X72&gt;0,COLUMN($A:$T),""),AX$31))))</f>
        <v>0</v>
      </c>
      <c r="AY72" s="5">
        <f t="array" aca="1" ref="AY72" ca="1">IF(AY$31&gt;$AL72,0,IF(ISERROR(OFFSET($E$31,0,SMALL(IF($E72:$X72&gt;0,COLUMN($A:$T),""),AY$31)-1)),0,OFFSET($E$31,0,SMALL(IF($E72:$X72&gt;0,COLUMN($A:$T),""),AY$31)-1)))</f>
        <v>0</v>
      </c>
      <c r="AZ72" s="5">
        <f t="array" ref="AZ72">IF(AY$31&gt;$AL72,0,IF(ISERROR(INDEX($E72:$X72,,SMALL(IF($E72:$X72&gt;0,COLUMN($A:$T),""),AZ$31))),0,INDEX($E72:$X72,,SMALL(IF($E72:$X72&gt;0,COLUMN($A:$T),""),AZ$31))))</f>
        <v>0</v>
      </c>
      <c r="BA72" s="5">
        <f t="array" aca="1" ref="BA72" ca="1">IF(BA$31&gt;$AL72,0,IF(ISERROR(OFFSET($E$31,0,SMALL(IF($E72:$X72&gt;0,COLUMN($A:$T),""),BA$31)-1)),0,OFFSET($E$31,0,SMALL(IF($E72:$X72&gt;0,COLUMN($A:$T),""),BA$31)-1)))</f>
        <v>0</v>
      </c>
      <c r="BB72" s="5">
        <f t="array" ref="BB72">IF(BA$31&gt;$AL72,0,IF(ISERROR(INDEX($E72:$X72,,SMALL(IF($E72:$X72&gt;0,COLUMN($A:$T),""),BB$31))),0,INDEX($E72:$X72,,SMALL(IF($E72:$X72&gt;0,COLUMN($A:$T),""),BB$31))))</f>
        <v>0</v>
      </c>
      <c r="BC72" s="5">
        <f t="array" aca="1" ref="BC72" ca="1">IF(BC$31&gt;$AL72,0,IF(ISERROR(OFFSET($E$31,0,SMALL(IF($E72:$X72&gt;0,COLUMN($A:$T),""),BC$31)-1)),0,OFFSET($E$31,0,SMALL(IF($E72:$X72&gt;0,COLUMN($A:$T),""),BC$31)-1)))</f>
        <v>0</v>
      </c>
      <c r="BD72" s="5">
        <f t="array" ref="BD72">IF(BC$31&gt;$AL72,0,IF(ISERROR(INDEX($E72:$X72,,SMALL(IF($E72:$X72&gt;0,COLUMN($A:$T),""),BD$31))),0,INDEX($E72:$X72,,SMALL(IF($E72:$X72&gt;0,COLUMN($A:$T),""),BD$31))))</f>
        <v>0</v>
      </c>
      <c r="BE72" s="5">
        <f t="array" aca="1" ref="BE72" ca="1">IF(BE$31&gt;$AL72,0,IF(ISERROR(OFFSET($E$31,0,SMALL(IF($E72:$X72&gt;0,COLUMN($A:$T),""),BE$31)-1)),0,OFFSET($E$31,0,SMALL(IF($E72:$X72&gt;0,COLUMN($A:$T),""),BE$31)-1)))</f>
        <v>0</v>
      </c>
      <c r="BF72" s="5">
        <f t="array" ref="BF72">IF(BE$31&gt;$AL72,0,IF(ISERROR(INDEX($E72:$X72,,SMALL(IF($E72:$X72&gt;0,COLUMN($A:$T),""),BF$31))),0,INDEX($E72:$X72,,SMALL(IF($E72:$X72&gt;0,COLUMN($A:$T),""),BF$31))))</f>
        <v>0</v>
      </c>
      <c r="BH72">
        <f ca="1">SUMPRODUCT(E72:N72,定义数据!$G$14:$P$14)</f>
        <v>28.815116713523466</v>
      </c>
      <c r="BI72">
        <f ca="1">SUMPRODUCT(O72:X72,定义数据!$G$14:$P$14)</f>
        <v>6.7187188577967492</v>
      </c>
      <c r="BJ72" s="5">
        <f t="shared" ca="1" si="18"/>
        <v>35.533835571320218</v>
      </c>
      <c r="BK72" s="5" t="str">
        <f>D72&amp;B72&amp;VLOOKUP(C72,定义数据!$E$1:$F$7,2,FALSE)</f>
        <v>3014</v>
      </c>
    </row>
    <row r="73" spans="1:63" x14ac:dyDescent="0.15">
      <c r="A73" s="17" t="str">
        <f>D73&amp;B73&amp;VLOOKUP(C73,定义数据!$E$1:$F$7,2,FALSE)</f>
        <v>3013</v>
      </c>
      <c r="B73" s="18">
        <v>1</v>
      </c>
      <c r="C73" s="18" t="s">
        <v>140</v>
      </c>
      <c r="D73" s="24">
        <v>30</v>
      </c>
      <c r="E73" s="56">
        <f t="shared" ca="1" si="35"/>
        <v>0</v>
      </c>
      <c r="F73" s="56">
        <f t="shared" ca="1" si="36"/>
        <v>29.864829946524072</v>
      </c>
      <c r="G73" s="56">
        <f t="shared" ca="1" si="37"/>
        <v>0</v>
      </c>
      <c r="H73" s="56">
        <f t="shared" ca="1" si="38"/>
        <v>0</v>
      </c>
      <c r="I73" s="56">
        <f t="shared" ca="1" si="39"/>
        <v>93.75</v>
      </c>
      <c r="J73" s="56">
        <f t="shared" ca="1" si="40"/>
        <v>0</v>
      </c>
      <c r="K73" s="56">
        <f t="shared" ca="1" si="41"/>
        <v>0</v>
      </c>
      <c r="L73" s="56">
        <f t="shared" ca="1" si="42"/>
        <v>0</v>
      </c>
      <c r="M73" s="56">
        <f t="shared" ca="1" si="43"/>
        <v>0</v>
      </c>
      <c r="N73" s="56">
        <f t="shared" ca="1" si="44"/>
        <v>0</v>
      </c>
      <c r="O73" s="65">
        <f t="shared" ca="1" si="54"/>
        <v>0</v>
      </c>
      <c r="P73" s="65">
        <f t="shared" ca="1" si="45"/>
        <v>2.3891863957219259</v>
      </c>
      <c r="Q73" s="65">
        <f t="shared" ca="1" si="46"/>
        <v>0</v>
      </c>
      <c r="R73" s="65">
        <f t="shared" ca="1" si="47"/>
        <v>1.875</v>
      </c>
      <c r="S73" s="65">
        <f t="shared" ca="1" si="48"/>
        <v>3.125</v>
      </c>
      <c r="T73" s="65">
        <f t="shared" ca="1" si="49"/>
        <v>2.2222222222222223</v>
      </c>
      <c r="U73" s="65">
        <f t="shared" ca="1" si="50"/>
        <v>0</v>
      </c>
      <c r="V73" s="65">
        <f t="shared" ca="1" si="51"/>
        <v>0</v>
      </c>
      <c r="W73" s="65">
        <f t="shared" ca="1" si="52"/>
        <v>0</v>
      </c>
      <c r="X73" s="65">
        <f t="shared" ca="1" si="53"/>
        <v>0</v>
      </c>
      <c r="Y73" s="21"/>
      <c r="Z73" s="15">
        <f>VLOOKUP($D73&amp;$B73,[3]!装备基础属性表,P$30,FALSE)</f>
        <v>2351.8895891904335</v>
      </c>
      <c r="AA73" s="15">
        <f>VLOOKUP($D73&amp;$B73,[3]!装备基础属性表,Q$30,FALSE)</f>
        <v>119.45931978609629</v>
      </c>
      <c r="AB73" s="15">
        <f>VLOOKUP($D73&amp;$B73,[3]!装备基础属性表,R$30,FALSE)</f>
        <v>51.620780589254771</v>
      </c>
      <c r="AC73" s="15">
        <f>VLOOKUP($D73&amp;$B73,[3]!装备基础属性表,S$30,FALSE)</f>
        <v>93.75</v>
      </c>
      <c r="AD73" s="15">
        <f>VLOOKUP($D73&amp;$B73,[3]!装备基础属性表,T$30,FALSE)</f>
        <v>93.75</v>
      </c>
      <c r="AE73" s="15">
        <f>VLOOKUP($D73&amp;$B73,[3]!装备基础属性表,U$30,FALSE)</f>
        <v>55.55555555555555</v>
      </c>
      <c r="AF73" s="15">
        <f>VLOOKUP($D73&amp;$B73,[3]!装备基础属性表,V$30,FALSE)</f>
        <v>0</v>
      </c>
      <c r="AG73" s="15">
        <f>VLOOKUP($D73&amp;$B73,[3]!装备基础属性表,W$30,FALSE)</f>
        <v>55.55555555555555</v>
      </c>
      <c r="AH73" s="15">
        <f>VLOOKUP($D73&amp;$B73,[3]!装备基础属性表,X$30,FALSE)</f>
        <v>0</v>
      </c>
      <c r="AI73" s="15">
        <f>VLOOKUP($D73&amp;$B73,[3]!装备基础属性表,Y$30,FALSE)</f>
        <v>0</v>
      </c>
      <c r="AJ73" s="16" t="str">
        <f>B73&amp;VLOOKUP(C73,定义数据!$E$1:$F$7,2,FALSE)&amp;D73</f>
        <v>1330</v>
      </c>
      <c r="AK73" s="14">
        <f t="shared" si="29"/>
        <v>8</v>
      </c>
      <c r="AL73" s="5">
        <f t="shared" si="30"/>
        <v>3</v>
      </c>
      <c r="AM73" s="5" t="str">
        <f t="array" aca="1" ref="AM73" ca="1">IF(AM$31&gt;$AL73,0,IF(ISERROR(OFFSET($E$31,0,SMALL(IF($E73:$X73&gt;0,COLUMN($A:$T),""),AM$31)-1)),0,OFFSET($E$31,0,SMALL(IF($E73:$X73&gt;0,COLUMN($A:$T),""),AM$31)-1)))</f>
        <v>攻击</v>
      </c>
      <c r="AN73" s="5">
        <f t="array" aca="1" ref="AN73" ca="1">IF(AM$31&gt;$AL73,0,IF(ISERROR(INDEX($E73:$X73,,SMALL(IF($E73:$X73&gt;0,COLUMN($A:$T),""),AN$31))),0,INDEX($E73:$X73,,SMALL(IF($E73:$X73&gt;0,COLUMN($A:$T),""),AN$31))))</f>
        <v>29.864829946524072</v>
      </c>
      <c r="AO73" s="5" t="str">
        <f t="array" aca="1" ref="AO73" ca="1">IF(AO$31&gt;$AL73,0,IF(ISERROR(OFFSET($E$31,0,SMALL(IF($E73:$X73&gt;0,COLUMN($A:$T),""),AO$31)-1)),0,OFFSET($E$31,0,SMALL(IF($E73:$X73&gt;0,COLUMN($A:$T),""),AO$31)-1)))</f>
        <v>命中值</v>
      </c>
      <c r="AP73" s="5">
        <f t="array" aca="1" ref="AP73" ca="1">IF(AO$31&gt;$AL73,0,IF(ISERROR(INDEX($E73:$X73,,SMALL(IF($E73:$X73&gt;0,COLUMN($A:$T),""),AP$31))),0,INDEX($E73:$X73,,SMALL(IF($E73:$X73&gt;0,COLUMN($A:$T),""),AP$31))))</f>
        <v>93.75</v>
      </c>
      <c r="AQ73" s="5" t="str">
        <f t="array" aca="1" ref="AQ73" ca="1">IF(AQ$31&gt;$AL73,0,IF(ISERROR(OFFSET($E$31,0,SMALL(IF($E73:$X73&gt;0,COLUMN($A:$T),""),AQ$31)-1)),0,OFFSET($E$31,0,SMALL(IF($E73:$X73&gt;0,COLUMN($A:$T),""),AQ$31)-1)))</f>
        <v>攻击</v>
      </c>
      <c r="AR73" s="5">
        <f t="array" aca="1" ref="AR73" ca="1">IF(AQ$31&gt;$AL73,0,IF(ISERROR(INDEX($E73:$X73,,SMALL(IF($E73:$X73&gt;0,COLUMN($A:$T),""),AR$31))),0,INDEX($E73:$X73,,SMALL(IF($E73:$X73&gt;0,COLUMN($A:$T),""),AR$31))))</f>
        <v>2.3891863957219259</v>
      </c>
      <c r="AS73" s="5">
        <f t="array" aca="1" ref="AS73" ca="1">IF(AS$31&gt;$AL73,0,IF(ISERROR(OFFSET($E$31,0,SMALL(IF($E73:$X73&gt;0,COLUMN($A:$T),""),AS$31)-1)),0,OFFSET($E$31,0,SMALL(IF($E73:$X73&gt;0,COLUMN($A:$T),""),AS$31)-1)))</f>
        <v>0</v>
      </c>
      <c r="AT73" s="5">
        <f t="array" ref="AT73">IF(AS$31&gt;$AL73,0,IF(ISERROR(INDEX($E73:$X73,,SMALL(IF($E73:$X73&gt;0,COLUMN($A:$T),""),AT$31))),0,INDEX($E73:$X73,,SMALL(IF($E73:$X73&gt;0,COLUMN($A:$T),""),AT$31))))</f>
        <v>0</v>
      </c>
      <c r="AU73" s="5">
        <f t="array" aca="1" ref="AU73" ca="1">IF(AU$31&gt;$AL73,0,IF(ISERROR(OFFSET($E$31,0,SMALL(IF($E73:$X73&gt;0,COLUMN($A:$T),""),AU$31)-1)),0,OFFSET($E$31,0,SMALL(IF($E73:$X73&gt;0,COLUMN($A:$T),""),AU$31)-1)))</f>
        <v>0</v>
      </c>
      <c r="AV73" s="5">
        <f t="array" ref="AV73">IF(AU$31&gt;$AL73,0,IF(ISERROR(INDEX($E73:$X73,,SMALL(IF($E73:$X73&gt;0,COLUMN($A:$T),""),AV$31))),0,INDEX($E73:$X73,,SMALL(IF($E73:$X73&gt;0,COLUMN($A:$T),""),AV$31))))</f>
        <v>0</v>
      </c>
      <c r="AW73" s="5">
        <f t="array" aca="1" ref="AW73" ca="1">IF(AW$31&gt;$AL73,0,IF(ISERROR(OFFSET($E$31,0,SMALL(IF($E73:$X73&gt;0,COLUMN($A:$T),""),AW$31)-1)),0,OFFSET($E$31,0,SMALL(IF($E73:$X73&gt;0,COLUMN($A:$T),""),AW$31)-1)))</f>
        <v>0</v>
      </c>
      <c r="AX73" s="5">
        <f t="array" ref="AX73">IF(AW$31&gt;$AL73,0,IF(ISERROR(INDEX($E73:$X73,,SMALL(IF($E73:$X73&gt;0,COLUMN($A:$T),""),AX$31))),0,INDEX($E73:$X73,,SMALL(IF($E73:$X73&gt;0,COLUMN($A:$T),""),AX$31))))</f>
        <v>0</v>
      </c>
      <c r="AY73" s="5">
        <f t="array" aca="1" ref="AY73" ca="1">IF(AY$31&gt;$AL73,0,IF(ISERROR(OFFSET($E$31,0,SMALL(IF($E73:$X73&gt;0,COLUMN($A:$T),""),AY$31)-1)),0,OFFSET($E$31,0,SMALL(IF($E73:$X73&gt;0,COLUMN($A:$T),""),AY$31)-1)))</f>
        <v>0</v>
      </c>
      <c r="AZ73" s="5">
        <f t="array" ref="AZ73">IF(AY$31&gt;$AL73,0,IF(ISERROR(INDEX($E73:$X73,,SMALL(IF($E73:$X73&gt;0,COLUMN($A:$T),""),AZ$31))),0,INDEX($E73:$X73,,SMALL(IF($E73:$X73&gt;0,COLUMN($A:$T),""),AZ$31))))</f>
        <v>0</v>
      </c>
      <c r="BA73" s="5">
        <f t="array" aca="1" ref="BA73" ca="1">IF(BA$31&gt;$AL73,0,IF(ISERROR(OFFSET($E$31,0,SMALL(IF($E73:$X73&gt;0,COLUMN($A:$T),""),BA$31)-1)),0,OFFSET($E$31,0,SMALL(IF($E73:$X73&gt;0,COLUMN($A:$T),""),BA$31)-1)))</f>
        <v>0</v>
      </c>
      <c r="BB73" s="5">
        <f t="array" ref="BB73">IF(BA$31&gt;$AL73,0,IF(ISERROR(INDEX($E73:$X73,,SMALL(IF($E73:$X73&gt;0,COLUMN($A:$T),""),BB$31))),0,INDEX($E73:$X73,,SMALL(IF($E73:$X73&gt;0,COLUMN($A:$T),""),BB$31))))</f>
        <v>0</v>
      </c>
      <c r="BC73" s="5">
        <f t="array" aca="1" ref="BC73" ca="1">IF(BC$31&gt;$AL73,0,IF(ISERROR(OFFSET($E$31,0,SMALL(IF($E73:$X73&gt;0,COLUMN($A:$T),""),BC$31)-1)),0,OFFSET($E$31,0,SMALL(IF($E73:$X73&gt;0,COLUMN($A:$T),""),BC$31)-1)))</f>
        <v>0</v>
      </c>
      <c r="BD73" s="5">
        <f t="array" ref="BD73">IF(BC$31&gt;$AL73,0,IF(ISERROR(INDEX($E73:$X73,,SMALL(IF($E73:$X73&gt;0,COLUMN($A:$T),""),BD$31))),0,INDEX($E73:$X73,,SMALL(IF($E73:$X73&gt;0,COLUMN($A:$T),""),BD$31))))</f>
        <v>0</v>
      </c>
      <c r="BE73" s="5">
        <f t="array" aca="1" ref="BE73" ca="1">IF(BE$31&gt;$AL73,0,IF(ISERROR(OFFSET($E$31,0,SMALL(IF($E73:$X73&gt;0,COLUMN($A:$T),""),BE$31)-1)),0,OFFSET($E$31,0,SMALL(IF($E73:$X73&gt;0,COLUMN($A:$T),""),BE$31)-1)))</f>
        <v>0</v>
      </c>
      <c r="BF73" s="5">
        <f t="array" ref="BF73">IF(BE$31&gt;$AL73,0,IF(ISERROR(INDEX($E73:$X73,,SMALL(IF($E73:$X73&gt;0,COLUMN($A:$T),""),BF$31))),0,INDEX($E73:$X73,,SMALL(IF($E73:$X73&gt;0,COLUMN($A:$T),""),BF$31))))</f>
        <v>0</v>
      </c>
      <c r="BH73">
        <f ca="1">SUMPRODUCT(E73:N73,定义数据!$G$14:$P$14)</f>
        <v>61.739829946524075</v>
      </c>
      <c r="BI73">
        <f ca="1">SUMPRODUCT(O73:X73,定义数据!$G$14:$P$14)</f>
        <v>4.4891863957219265</v>
      </c>
      <c r="BJ73" s="5">
        <f t="shared" ca="1" si="18"/>
        <v>66.229016342245998</v>
      </c>
      <c r="BK73" s="5" t="str">
        <f>D73&amp;B73&amp;VLOOKUP(C73,定义数据!$E$1:$F$7,2,FALSE)</f>
        <v>3013</v>
      </c>
    </row>
    <row r="74" spans="1:63" x14ac:dyDescent="0.15">
      <c r="A74" s="17" t="str">
        <f>D74&amp;B74&amp;VLOOKUP(C74,定义数据!$E$1:$F$7,2,FALSE)</f>
        <v>3020</v>
      </c>
      <c r="B74" s="18">
        <v>2</v>
      </c>
      <c r="C74" s="18" t="s">
        <v>141</v>
      </c>
      <c r="D74" s="24">
        <v>30</v>
      </c>
      <c r="E74" s="56">
        <f t="shared" ca="1" si="35"/>
        <v>0</v>
      </c>
      <c r="F74" s="56">
        <f t="shared" ca="1" si="36"/>
        <v>116.4728367914439</v>
      </c>
      <c r="G74" s="56">
        <f t="shared" ca="1" si="37"/>
        <v>0</v>
      </c>
      <c r="H74" s="56">
        <f t="shared" ca="1" si="38"/>
        <v>0</v>
      </c>
      <c r="I74" s="56">
        <f t="shared" ca="1" si="39"/>
        <v>0</v>
      </c>
      <c r="J74" s="56">
        <f t="shared" ca="1" si="40"/>
        <v>72.222222222222229</v>
      </c>
      <c r="K74" s="56">
        <f t="shared" ca="1" si="41"/>
        <v>0</v>
      </c>
      <c r="L74" s="56">
        <f t="shared" ca="1" si="42"/>
        <v>0</v>
      </c>
      <c r="M74" s="56">
        <f t="shared" ca="1" si="43"/>
        <v>0</v>
      </c>
      <c r="N74" s="56">
        <f t="shared" ca="1" si="44"/>
        <v>0</v>
      </c>
      <c r="O74" s="65">
        <f t="shared" ca="1" si="54"/>
        <v>0</v>
      </c>
      <c r="P74" s="65">
        <f t="shared" ca="1" si="45"/>
        <v>20.706282096256693</v>
      </c>
      <c r="Q74" s="65">
        <f t="shared" ca="1" si="46"/>
        <v>2.4854449913344889</v>
      </c>
      <c r="R74" s="65">
        <f t="shared" ca="1" si="47"/>
        <v>0</v>
      </c>
      <c r="S74" s="65">
        <f t="shared" ca="1" si="48"/>
        <v>9.0277777777777768</v>
      </c>
      <c r="T74" s="65">
        <f t="shared" ca="1" si="49"/>
        <v>6.419753086419755</v>
      </c>
      <c r="U74" s="65">
        <f t="shared" ca="1" si="50"/>
        <v>0</v>
      </c>
      <c r="V74" s="65">
        <f t="shared" ca="1" si="51"/>
        <v>0</v>
      </c>
      <c r="W74" s="65">
        <f t="shared" ca="1" si="52"/>
        <v>0</v>
      </c>
      <c r="X74" s="65">
        <f t="shared" ca="1" si="53"/>
        <v>0</v>
      </c>
      <c r="Y74" s="21" t="s">
        <v>94</v>
      </c>
      <c r="Z74" s="15">
        <f>VLOOKUP($D74&amp;$B74,[3]!装备基础属性表,P$30,FALSE)</f>
        <v>3397.1738510528485</v>
      </c>
      <c r="AA74" s="15">
        <f>VLOOKUP($D74&amp;$B74,[3]!装备基础属性表,Q$30,FALSE)</f>
        <v>172.5523508021391</v>
      </c>
      <c r="AB74" s="15">
        <f>VLOOKUP($D74&amp;$B74,[3]!装备基础属性表,R$30,FALSE)</f>
        <v>74.563349740034667</v>
      </c>
      <c r="AC74" s="15">
        <f>VLOOKUP($D74&amp;$B74,[3]!装备基础属性表,S$30,FALSE)</f>
        <v>135.41666666666666</v>
      </c>
      <c r="AD74" s="15">
        <f>VLOOKUP($D74&amp;$B74,[3]!装备基础属性表,T$30,FALSE)</f>
        <v>135.41666666666666</v>
      </c>
      <c r="AE74" s="15">
        <f>VLOOKUP($D74&amp;$B74,[3]!装备基础属性表,U$30,FALSE)</f>
        <v>80.246913580246925</v>
      </c>
      <c r="AF74" s="15">
        <f>VLOOKUP($D74&amp;$B74,[3]!装备基础属性表,V$30,FALSE)</f>
        <v>0</v>
      </c>
      <c r="AG74" s="15">
        <f>VLOOKUP($D74&amp;$B74,[3]!装备基础属性表,W$30,FALSE)</f>
        <v>80.246913580246925</v>
      </c>
      <c r="AH74" s="15">
        <f>VLOOKUP($D74&amp;$B74,[3]!装备基础属性表,X$30,FALSE)</f>
        <v>0</v>
      </c>
      <c r="AI74" s="15">
        <f>VLOOKUP($D74&amp;$B74,[3]!装备基础属性表,Y$30,FALSE)</f>
        <v>0</v>
      </c>
      <c r="AJ74" s="16" t="str">
        <f>B74&amp;VLOOKUP(C74,定义数据!$E$1:$F$7,2,FALSE)&amp;D74</f>
        <v>2030</v>
      </c>
      <c r="AK74" s="14">
        <f t="shared" si="29"/>
        <v>9</v>
      </c>
      <c r="AL74" s="5">
        <f t="shared" si="30"/>
        <v>4</v>
      </c>
      <c r="AM74" s="5" t="str">
        <f t="array" aca="1" ref="AM74" ca="1">IF(AM$31&gt;$AL74,0,IF(ISERROR(OFFSET($E$31,0,SMALL(IF($E74:$X74&gt;0,COLUMN($A:$T),""),AM$31)-1)),0,OFFSET($E$31,0,SMALL(IF($E74:$X74&gt;0,COLUMN($A:$T),""),AM$31)-1)))</f>
        <v>攻击</v>
      </c>
      <c r="AN74" s="5">
        <f t="array" aca="1" ref="AN74" ca="1">IF(AM$31&gt;$AL74,0,IF(ISERROR(INDEX($E74:$X74,,SMALL(IF($E74:$X74&gt;0,COLUMN($A:$T),""),AN$31))),0,INDEX($E74:$X74,,SMALL(IF($E74:$X74&gt;0,COLUMN($A:$T),""),AN$31))))</f>
        <v>116.4728367914439</v>
      </c>
      <c r="AO74" s="5" t="str">
        <f t="array" aca="1" ref="AO74" ca="1">IF(AO$31&gt;$AL74,0,IF(ISERROR(OFFSET($E$31,0,SMALL(IF($E74:$X74&gt;0,COLUMN($A:$T),""),AO$31)-1)),0,OFFSET($E$31,0,SMALL(IF($E74:$X74&gt;0,COLUMN($A:$T),""),AO$31)-1)))</f>
        <v>暴击值</v>
      </c>
      <c r="AP74" s="5">
        <f t="array" aca="1" ref="AP74" ca="1">IF(AO$31&gt;$AL74,0,IF(ISERROR(INDEX($E74:$X74,,SMALL(IF($E74:$X74&gt;0,COLUMN($A:$T),""),AP$31))),0,INDEX($E74:$X74,,SMALL(IF($E74:$X74&gt;0,COLUMN($A:$T),""),AP$31))))</f>
        <v>72.222222222222229</v>
      </c>
      <c r="AQ74" s="5" t="str">
        <f t="array" aca="1" ref="AQ74" ca="1">IF(AQ$31&gt;$AL74,0,IF(ISERROR(OFFSET($E$31,0,SMALL(IF($E74:$X74&gt;0,COLUMN($A:$T),""),AQ$31)-1)),0,OFFSET($E$31,0,SMALL(IF($E74:$X74&gt;0,COLUMN($A:$T),""),AQ$31)-1)))</f>
        <v>攻击</v>
      </c>
      <c r="AR74" s="5">
        <f t="array" aca="1" ref="AR74" ca="1">IF(AQ$31&gt;$AL74,0,IF(ISERROR(INDEX($E74:$X74,,SMALL(IF($E74:$X74&gt;0,COLUMN($A:$T),""),AR$31))),0,INDEX($E74:$X74,,SMALL(IF($E74:$X74&gt;0,COLUMN($A:$T),""),AR$31))))</f>
        <v>20.706282096256693</v>
      </c>
      <c r="AS74" s="5" t="str">
        <f t="array" aca="1" ref="AS74" ca="1">IF(AS$31&gt;$AL74,0,IF(ISERROR(OFFSET($E$31,0,SMALL(IF($E74:$X74&gt;0,COLUMN($A:$T),""),AS$31)-1)),0,OFFSET($E$31,0,SMALL(IF($E74:$X74&gt;0,COLUMN($A:$T),""),AS$31)-1)))</f>
        <v>防御</v>
      </c>
      <c r="AT74" s="5">
        <f t="array" aca="1" ref="AT74" ca="1">IF(AS$31&gt;$AL74,0,IF(ISERROR(INDEX($E74:$X74,,SMALL(IF($E74:$X74&gt;0,COLUMN($A:$T),""),AT$31))),0,INDEX($E74:$X74,,SMALL(IF($E74:$X74&gt;0,COLUMN($A:$T),""),AT$31))))</f>
        <v>2.4854449913344889</v>
      </c>
      <c r="AU74" s="5">
        <f t="array" aca="1" ref="AU74" ca="1">IF(AU$31&gt;$AL74,0,IF(ISERROR(OFFSET($E$31,0,SMALL(IF($E74:$X74&gt;0,COLUMN($A:$T),""),AU$31)-1)),0,OFFSET($E$31,0,SMALL(IF($E74:$X74&gt;0,COLUMN($A:$T),""),AU$31)-1)))</f>
        <v>0</v>
      </c>
      <c r="AV74" s="5">
        <f t="array" ref="AV74">IF(AU$31&gt;$AL74,0,IF(ISERROR(INDEX($E74:$X74,,SMALL(IF($E74:$X74&gt;0,COLUMN($A:$T),""),AV$31))),0,INDEX($E74:$X74,,SMALL(IF($E74:$X74&gt;0,COLUMN($A:$T),""),AV$31))))</f>
        <v>0</v>
      </c>
      <c r="AW74" s="5">
        <f t="array" aca="1" ref="AW74" ca="1">IF(AW$31&gt;$AL74,0,IF(ISERROR(OFFSET($E$31,0,SMALL(IF($E74:$X74&gt;0,COLUMN($A:$T),""),AW$31)-1)),0,OFFSET($E$31,0,SMALL(IF($E74:$X74&gt;0,COLUMN($A:$T),""),AW$31)-1)))</f>
        <v>0</v>
      </c>
      <c r="AX74" s="5">
        <f t="array" ref="AX74">IF(AW$31&gt;$AL74,0,IF(ISERROR(INDEX($E74:$X74,,SMALL(IF($E74:$X74&gt;0,COLUMN($A:$T),""),AX$31))),0,INDEX($E74:$X74,,SMALL(IF($E74:$X74&gt;0,COLUMN($A:$T),""),AX$31))))</f>
        <v>0</v>
      </c>
      <c r="AY74" s="5">
        <f t="array" aca="1" ref="AY74" ca="1">IF(AY$31&gt;$AL74,0,IF(ISERROR(OFFSET($E$31,0,SMALL(IF($E74:$X74&gt;0,COLUMN($A:$T),""),AY$31)-1)),0,OFFSET($E$31,0,SMALL(IF($E74:$X74&gt;0,COLUMN($A:$T),""),AY$31)-1)))</f>
        <v>0</v>
      </c>
      <c r="AZ74" s="5">
        <f t="array" ref="AZ74">IF(AY$31&gt;$AL74,0,IF(ISERROR(INDEX($E74:$X74,,SMALL(IF($E74:$X74&gt;0,COLUMN($A:$T),""),AZ$31))),0,INDEX($E74:$X74,,SMALL(IF($E74:$X74&gt;0,COLUMN($A:$T),""),AZ$31))))</f>
        <v>0</v>
      </c>
      <c r="BA74" s="5">
        <f t="array" aca="1" ref="BA74" ca="1">IF(BA$31&gt;$AL74,0,IF(ISERROR(OFFSET($E$31,0,SMALL(IF($E74:$X74&gt;0,COLUMN($A:$T),""),BA$31)-1)),0,OFFSET($E$31,0,SMALL(IF($E74:$X74&gt;0,COLUMN($A:$T),""),BA$31)-1)))</f>
        <v>0</v>
      </c>
      <c r="BB74" s="5">
        <f t="array" ref="BB74">IF(BA$31&gt;$AL74,0,IF(ISERROR(INDEX($E74:$X74,,SMALL(IF($E74:$X74&gt;0,COLUMN($A:$T),""),BB$31))),0,INDEX($E74:$X74,,SMALL(IF($E74:$X74&gt;0,COLUMN($A:$T),""),BB$31))))</f>
        <v>0</v>
      </c>
      <c r="BC74" s="5">
        <f t="array" aca="1" ref="BC74" ca="1">IF(BC$31&gt;$AL74,0,IF(ISERROR(OFFSET($E$31,0,SMALL(IF($E74:$X74&gt;0,COLUMN($A:$T),""),BC$31)-1)),0,OFFSET($E$31,0,SMALL(IF($E74:$X74&gt;0,COLUMN($A:$T),""),BC$31)-1)))</f>
        <v>0</v>
      </c>
      <c r="BD74" s="5">
        <f t="array" ref="BD74">IF(BC$31&gt;$AL74,0,IF(ISERROR(INDEX($E74:$X74,,SMALL(IF($E74:$X74&gt;0,COLUMN($A:$T),""),BD$31))),0,INDEX($E74:$X74,,SMALL(IF($E74:$X74&gt;0,COLUMN($A:$T),""),BD$31))))</f>
        <v>0</v>
      </c>
      <c r="BE74" s="5">
        <f t="array" aca="1" ref="BE74" ca="1">IF(BE$31&gt;$AL74,0,IF(ISERROR(OFFSET($E$31,0,SMALL(IF($E74:$X74&gt;0,COLUMN($A:$T),""),BE$31)-1)),0,OFFSET($E$31,0,SMALL(IF($E74:$X74&gt;0,COLUMN($A:$T),""),BE$31)-1)))</f>
        <v>0</v>
      </c>
      <c r="BF74" s="5">
        <f t="array" ref="BF74">IF(BE$31&gt;$AL74,0,IF(ISERROR(INDEX($E74:$X74,,SMALL(IF($E74:$X74&gt;0,COLUMN($A:$T),""),BF$31))),0,INDEX($E74:$X74,,SMALL(IF($E74:$X74&gt;0,COLUMN($A:$T),""),BF$31))))</f>
        <v>0</v>
      </c>
      <c r="BH74">
        <f ca="1">SUMPRODUCT(E74:N74,定义数据!$G$14:$P$14)</f>
        <v>129.47283679144391</v>
      </c>
      <c r="BI74">
        <f ca="1">SUMPRODUCT(O74:X74,定义数据!$G$14:$P$14)</f>
        <v>27.41672708759118</v>
      </c>
      <c r="BJ74" s="5">
        <f t="shared" ca="1" si="18"/>
        <v>156.88956387903508</v>
      </c>
      <c r="BK74" s="5" t="str">
        <f>D74&amp;B74&amp;VLOOKUP(C74,定义数据!$E$1:$F$7,2,FALSE)</f>
        <v>3020</v>
      </c>
    </row>
    <row r="75" spans="1:63" x14ac:dyDescent="0.15">
      <c r="A75" s="17" t="str">
        <f>D75&amp;B75&amp;VLOOKUP(C75,定义数据!$E$1:$F$7,2,FALSE)</f>
        <v>3021</v>
      </c>
      <c r="B75" s="18">
        <v>2</v>
      </c>
      <c r="C75" s="18" t="s">
        <v>136</v>
      </c>
      <c r="D75" s="24">
        <v>30</v>
      </c>
      <c r="E75" s="56">
        <f t="shared" ca="1" si="35"/>
        <v>1834.4738795685382</v>
      </c>
      <c r="F75" s="56">
        <f t="shared" ca="1" si="36"/>
        <v>0</v>
      </c>
      <c r="G75" s="56">
        <f t="shared" ca="1" si="37"/>
        <v>40.264208859618719</v>
      </c>
      <c r="H75" s="56">
        <f t="shared" ca="1" si="38"/>
        <v>0</v>
      </c>
      <c r="I75" s="56">
        <f t="shared" ca="1" si="39"/>
        <v>0</v>
      </c>
      <c r="J75" s="56">
        <f t="shared" ca="1" si="40"/>
        <v>0</v>
      </c>
      <c r="K75" s="56">
        <f t="shared" ca="1" si="41"/>
        <v>0</v>
      </c>
      <c r="L75" s="56">
        <f t="shared" ca="1" si="42"/>
        <v>0</v>
      </c>
      <c r="M75" s="56">
        <f t="shared" ca="1" si="43"/>
        <v>0</v>
      </c>
      <c r="N75" s="56">
        <f t="shared" ca="1" si="44"/>
        <v>0</v>
      </c>
      <c r="O75" s="65">
        <f t="shared" ca="1" si="54"/>
        <v>226.47825673685657</v>
      </c>
      <c r="P75" s="65">
        <f t="shared" ca="1" si="45"/>
        <v>0</v>
      </c>
      <c r="Q75" s="65">
        <f t="shared" ca="1" si="46"/>
        <v>7.4563349740034672</v>
      </c>
      <c r="R75" s="65">
        <f t="shared" ca="1" si="47"/>
        <v>5.416666666666667</v>
      </c>
      <c r="S75" s="65">
        <f t="shared" ca="1" si="48"/>
        <v>0</v>
      </c>
      <c r="T75" s="65">
        <f t="shared" ca="1" si="49"/>
        <v>0</v>
      </c>
      <c r="U75" s="65">
        <f t="shared" ca="1" si="50"/>
        <v>0</v>
      </c>
      <c r="V75" s="65">
        <f t="shared" ca="1" si="51"/>
        <v>5.3497942386831285</v>
      </c>
      <c r="W75" s="65">
        <f t="shared" ca="1" si="52"/>
        <v>0</v>
      </c>
      <c r="X75" s="65">
        <f t="shared" ca="1" si="53"/>
        <v>0</v>
      </c>
      <c r="Y75" s="21" t="s">
        <v>95</v>
      </c>
      <c r="Z75" s="15">
        <f>VLOOKUP($D75&amp;$B75,[3]!装备基础属性表,P$30,FALSE)</f>
        <v>3397.1738510528485</v>
      </c>
      <c r="AA75" s="15">
        <f>VLOOKUP($D75&amp;$B75,[3]!装备基础属性表,Q$30,FALSE)</f>
        <v>172.5523508021391</v>
      </c>
      <c r="AB75" s="15">
        <f>VLOOKUP($D75&amp;$B75,[3]!装备基础属性表,R$30,FALSE)</f>
        <v>74.563349740034667</v>
      </c>
      <c r="AC75" s="15">
        <f>VLOOKUP($D75&amp;$B75,[3]!装备基础属性表,S$30,FALSE)</f>
        <v>135.41666666666666</v>
      </c>
      <c r="AD75" s="15">
        <f>VLOOKUP($D75&amp;$B75,[3]!装备基础属性表,T$30,FALSE)</f>
        <v>135.41666666666666</v>
      </c>
      <c r="AE75" s="15">
        <f>VLOOKUP($D75&amp;$B75,[3]!装备基础属性表,U$30,FALSE)</f>
        <v>80.246913580246925</v>
      </c>
      <c r="AF75" s="15">
        <f>VLOOKUP($D75&amp;$B75,[3]!装备基础属性表,V$30,FALSE)</f>
        <v>0</v>
      </c>
      <c r="AG75" s="15">
        <f>VLOOKUP($D75&amp;$B75,[3]!装备基础属性表,W$30,FALSE)</f>
        <v>80.246913580246925</v>
      </c>
      <c r="AH75" s="15">
        <f>VLOOKUP($D75&amp;$B75,[3]!装备基础属性表,X$30,FALSE)</f>
        <v>0</v>
      </c>
      <c r="AI75" s="15">
        <f>VLOOKUP($D75&amp;$B75,[3]!装备基础属性表,Y$30,FALSE)</f>
        <v>0</v>
      </c>
      <c r="AJ75" s="16" t="str">
        <f>B75&amp;VLOOKUP(C75,定义数据!$E$1:$F$7,2,FALSE)&amp;D75</f>
        <v>2130</v>
      </c>
      <c r="AK75" s="14">
        <f t="shared" si="29"/>
        <v>9</v>
      </c>
      <c r="AL75" s="5">
        <f t="shared" si="30"/>
        <v>4</v>
      </c>
      <c r="AM75" s="5" t="str">
        <f t="array" aca="1" ref="AM75" ca="1">IF(AM$31&gt;$AL75,0,IF(ISERROR(OFFSET($E$31,0,SMALL(IF($E75:$X75&gt;0,COLUMN($A:$T),""),AM$31)-1)),0,OFFSET($E$31,0,SMALL(IF($E75:$X75&gt;0,COLUMN($A:$T),""),AM$31)-1)))</f>
        <v>生命</v>
      </c>
      <c r="AN75" s="5">
        <f t="array" aca="1" ref="AN75" ca="1">IF(AM$31&gt;$AL75,0,IF(ISERROR(INDEX($E75:$X75,,SMALL(IF($E75:$X75&gt;0,COLUMN($A:$T),""),AN$31))),0,INDEX($E75:$X75,,SMALL(IF($E75:$X75&gt;0,COLUMN($A:$T),""),AN$31))))</f>
        <v>1834.4738795685382</v>
      </c>
      <c r="AO75" s="5" t="str">
        <f t="array" aca="1" ref="AO75" ca="1">IF(AO$31&gt;$AL75,0,IF(ISERROR(OFFSET($E$31,0,SMALL(IF($E75:$X75&gt;0,COLUMN($A:$T),""),AO$31)-1)),0,OFFSET($E$31,0,SMALL(IF($E75:$X75&gt;0,COLUMN($A:$T),""),AO$31)-1)))</f>
        <v>防御</v>
      </c>
      <c r="AP75" s="5">
        <f t="array" aca="1" ref="AP75" ca="1">IF(AO$31&gt;$AL75,0,IF(ISERROR(INDEX($E75:$X75,,SMALL(IF($E75:$X75&gt;0,COLUMN($A:$T),""),AP$31))),0,INDEX($E75:$X75,,SMALL(IF($E75:$X75&gt;0,COLUMN($A:$T),""),AP$31))))</f>
        <v>40.264208859618719</v>
      </c>
      <c r="AQ75" s="5" t="str">
        <f t="array" aca="1" ref="AQ75" ca="1">IF(AQ$31&gt;$AL75,0,IF(ISERROR(OFFSET($E$31,0,SMALL(IF($E75:$X75&gt;0,COLUMN($A:$T),""),AQ$31)-1)),0,OFFSET($E$31,0,SMALL(IF($E75:$X75&gt;0,COLUMN($A:$T),""),AQ$31)-1)))</f>
        <v>生命</v>
      </c>
      <c r="AR75" s="5">
        <f t="array" aca="1" ref="AR75" ca="1">IF(AQ$31&gt;$AL75,0,IF(ISERROR(INDEX($E75:$X75,,SMALL(IF($E75:$X75&gt;0,COLUMN($A:$T),""),AR$31))),0,INDEX($E75:$X75,,SMALL(IF($E75:$X75&gt;0,COLUMN($A:$T),""),AR$31))))</f>
        <v>226.47825673685657</v>
      </c>
      <c r="AS75" s="5" t="str">
        <f t="array" aca="1" ref="AS75" ca="1">IF(AS$31&gt;$AL75,0,IF(ISERROR(OFFSET($E$31,0,SMALL(IF($E75:$X75&gt;0,COLUMN($A:$T),""),AS$31)-1)),0,OFFSET($E$31,0,SMALL(IF($E75:$X75&gt;0,COLUMN($A:$T),""),AS$31)-1)))</f>
        <v>防御</v>
      </c>
      <c r="AT75" s="5">
        <f t="array" aca="1" ref="AT75" ca="1">IF(AS$31&gt;$AL75,0,IF(ISERROR(INDEX($E75:$X75,,SMALL(IF($E75:$X75&gt;0,COLUMN($A:$T),""),AT$31))),0,INDEX($E75:$X75,,SMALL(IF($E75:$X75&gt;0,COLUMN($A:$T),""),AT$31))))</f>
        <v>7.4563349740034672</v>
      </c>
      <c r="AU75" s="5">
        <f t="array" aca="1" ref="AU75" ca="1">IF(AU$31&gt;$AL75,0,IF(ISERROR(OFFSET($E$31,0,SMALL(IF($E75:$X75&gt;0,COLUMN($A:$T),""),AU$31)-1)),0,OFFSET($E$31,0,SMALL(IF($E75:$X75&gt;0,COLUMN($A:$T),""),AU$31)-1)))</f>
        <v>0</v>
      </c>
      <c r="AV75" s="5">
        <f t="array" ref="AV75">IF(AU$31&gt;$AL75,0,IF(ISERROR(INDEX($E75:$X75,,SMALL(IF($E75:$X75&gt;0,COLUMN($A:$T),""),AV$31))),0,INDEX($E75:$X75,,SMALL(IF($E75:$X75&gt;0,COLUMN($A:$T),""),AV$31))))</f>
        <v>0</v>
      </c>
      <c r="AW75" s="5">
        <f t="array" aca="1" ref="AW75" ca="1">IF(AW$31&gt;$AL75,0,IF(ISERROR(OFFSET($E$31,0,SMALL(IF($E75:$X75&gt;0,COLUMN($A:$T),""),AW$31)-1)),0,OFFSET($E$31,0,SMALL(IF($E75:$X75&gt;0,COLUMN($A:$T),""),AW$31)-1)))</f>
        <v>0</v>
      </c>
      <c r="AX75" s="5">
        <f t="array" ref="AX75">IF(AW$31&gt;$AL75,0,IF(ISERROR(INDEX($E75:$X75,,SMALL(IF($E75:$X75&gt;0,COLUMN($A:$T),""),AX$31))),0,INDEX($E75:$X75,,SMALL(IF($E75:$X75&gt;0,COLUMN($A:$T),""),AX$31))))</f>
        <v>0</v>
      </c>
      <c r="AY75" s="5">
        <f t="array" aca="1" ref="AY75" ca="1">IF(AY$31&gt;$AL75,0,IF(ISERROR(OFFSET($E$31,0,SMALL(IF($E75:$X75&gt;0,COLUMN($A:$T),""),AY$31)-1)),0,OFFSET($E$31,0,SMALL(IF($E75:$X75&gt;0,COLUMN($A:$T),""),AY$31)-1)))</f>
        <v>0</v>
      </c>
      <c r="AZ75" s="5">
        <f t="array" ref="AZ75">IF(AY$31&gt;$AL75,0,IF(ISERROR(INDEX($E75:$X75,,SMALL(IF($E75:$X75&gt;0,COLUMN($A:$T),""),AZ$31))),0,INDEX($E75:$X75,,SMALL(IF($E75:$X75&gt;0,COLUMN($A:$T),""),AZ$31))))</f>
        <v>0</v>
      </c>
      <c r="BA75" s="5">
        <f t="array" aca="1" ref="BA75" ca="1">IF(BA$31&gt;$AL75,0,IF(ISERROR(OFFSET($E$31,0,SMALL(IF($E75:$X75&gt;0,COLUMN($A:$T),""),BA$31)-1)),0,OFFSET($E$31,0,SMALL(IF($E75:$X75&gt;0,COLUMN($A:$T),""),BA$31)-1)))</f>
        <v>0</v>
      </c>
      <c r="BB75" s="5">
        <f t="array" ref="BB75">IF(BA$31&gt;$AL75,0,IF(ISERROR(INDEX($E75:$X75,,SMALL(IF($E75:$X75&gt;0,COLUMN($A:$T),""),BB$31))),0,INDEX($E75:$X75,,SMALL(IF($E75:$X75&gt;0,COLUMN($A:$T),""),BB$31))))</f>
        <v>0</v>
      </c>
      <c r="BC75" s="5">
        <f t="array" aca="1" ref="BC75" ca="1">IF(BC$31&gt;$AL75,0,IF(ISERROR(OFFSET($E$31,0,SMALL(IF($E75:$X75&gt;0,COLUMN($A:$T),""),BC$31)-1)),0,OFFSET($E$31,0,SMALL(IF($E75:$X75&gt;0,COLUMN($A:$T),""),BC$31)-1)))</f>
        <v>0</v>
      </c>
      <c r="BD75" s="5">
        <f t="array" ref="BD75">IF(BC$31&gt;$AL75,0,IF(ISERROR(INDEX($E75:$X75,,SMALL(IF($E75:$X75&gt;0,COLUMN($A:$T),""),BD$31))),0,INDEX($E75:$X75,,SMALL(IF($E75:$X75&gt;0,COLUMN($A:$T),""),BD$31))))</f>
        <v>0</v>
      </c>
      <c r="BE75" s="5">
        <f t="array" aca="1" ref="BE75" ca="1">IF(BE$31&gt;$AL75,0,IF(ISERROR(OFFSET($E$31,0,SMALL(IF($E75:$X75&gt;0,COLUMN($A:$T),""),BE$31)-1)),0,OFFSET($E$31,0,SMALL(IF($E75:$X75&gt;0,COLUMN($A:$T),""),BE$31)-1)))</f>
        <v>0</v>
      </c>
      <c r="BF75" s="5">
        <f t="array" ref="BF75">IF(BE$31&gt;$AL75,0,IF(ISERROR(INDEX($E75:$X75,,SMALL(IF($E75:$X75&gt;0,COLUMN($A:$T),""),BF$31))),0,INDEX($E75:$X75,,SMALL(IF($E75:$X75&gt;0,COLUMN($A:$T),""),BF$31))))</f>
        <v>0</v>
      </c>
      <c r="BH75">
        <f ca="1">SUMPRODUCT(E75:N75,定义数据!$G$14:$P$14)</f>
        <v>113.64316404236025</v>
      </c>
      <c r="BI75">
        <f ca="1">SUMPRODUCT(O75:X75,定义数据!$G$14:$P$14)</f>
        <v>19.320094873107362</v>
      </c>
      <c r="BJ75" s="5">
        <f t="shared" ca="1" si="18"/>
        <v>132.96325891546761</v>
      </c>
      <c r="BK75" s="5" t="str">
        <f>D75&amp;B75&amp;VLOOKUP(C75,定义数据!$E$1:$F$7,2,FALSE)</f>
        <v>3021</v>
      </c>
    </row>
    <row r="76" spans="1:63" x14ac:dyDescent="0.15">
      <c r="A76" s="17" t="str">
        <f>D76&amp;B76&amp;VLOOKUP(C76,定义数据!$E$1:$F$7,2,FALSE)</f>
        <v>3022</v>
      </c>
      <c r="B76" s="18">
        <v>2</v>
      </c>
      <c r="C76" s="18" t="s">
        <v>137</v>
      </c>
      <c r="D76" s="24">
        <v>30</v>
      </c>
      <c r="E76" s="56">
        <f t="shared" ca="1" si="35"/>
        <v>0</v>
      </c>
      <c r="F76" s="56">
        <f t="shared" ca="1" si="36"/>
        <v>0</v>
      </c>
      <c r="G76" s="56">
        <f t="shared" ca="1" si="37"/>
        <v>26.842805906412483</v>
      </c>
      <c r="H76" s="56">
        <f t="shared" ca="1" si="38"/>
        <v>40.625</v>
      </c>
      <c r="I76" s="56">
        <f t="shared" ca="1" si="39"/>
        <v>0</v>
      </c>
      <c r="J76" s="56">
        <f t="shared" ca="1" si="40"/>
        <v>0</v>
      </c>
      <c r="K76" s="56">
        <f t="shared" ca="1" si="41"/>
        <v>0</v>
      </c>
      <c r="L76" s="56">
        <f t="shared" ca="1" si="42"/>
        <v>0</v>
      </c>
      <c r="M76" s="56">
        <f t="shared" ca="1" si="43"/>
        <v>0</v>
      </c>
      <c r="N76" s="56">
        <f t="shared" ca="1" si="44"/>
        <v>0</v>
      </c>
      <c r="O76" s="65">
        <f t="shared" ca="1" si="54"/>
        <v>113.23912836842828</v>
      </c>
      <c r="P76" s="65">
        <f t="shared" ca="1" si="45"/>
        <v>0</v>
      </c>
      <c r="Q76" s="65">
        <f t="shared" ca="1" si="46"/>
        <v>2.4854449913344889</v>
      </c>
      <c r="R76" s="65">
        <f t="shared" ca="1" si="47"/>
        <v>5.416666666666667</v>
      </c>
      <c r="S76" s="65">
        <f t="shared" ca="1" si="48"/>
        <v>0</v>
      </c>
      <c r="T76" s="65">
        <f t="shared" ca="1" si="49"/>
        <v>0</v>
      </c>
      <c r="U76" s="65">
        <f t="shared" ca="1" si="50"/>
        <v>0</v>
      </c>
      <c r="V76" s="65">
        <f t="shared" ca="1" si="51"/>
        <v>5.3497942386831285</v>
      </c>
      <c r="W76" s="65">
        <f t="shared" ca="1" si="52"/>
        <v>0</v>
      </c>
      <c r="X76" s="65">
        <f t="shared" ca="1" si="53"/>
        <v>0</v>
      </c>
      <c r="Y76" s="21" t="s">
        <v>96</v>
      </c>
      <c r="Z76" s="15">
        <f>VLOOKUP($D76&amp;$B76,[3]!装备基础属性表,P$30,FALSE)</f>
        <v>3397.1738510528485</v>
      </c>
      <c r="AA76" s="15">
        <f>VLOOKUP($D76&amp;$B76,[3]!装备基础属性表,Q$30,FALSE)</f>
        <v>172.5523508021391</v>
      </c>
      <c r="AB76" s="15">
        <f>VLOOKUP($D76&amp;$B76,[3]!装备基础属性表,R$30,FALSE)</f>
        <v>74.563349740034667</v>
      </c>
      <c r="AC76" s="15">
        <f>VLOOKUP($D76&amp;$B76,[3]!装备基础属性表,S$30,FALSE)</f>
        <v>135.41666666666666</v>
      </c>
      <c r="AD76" s="15">
        <f>VLOOKUP($D76&amp;$B76,[3]!装备基础属性表,T$30,FALSE)</f>
        <v>135.41666666666666</v>
      </c>
      <c r="AE76" s="15">
        <f>VLOOKUP($D76&amp;$B76,[3]!装备基础属性表,U$30,FALSE)</f>
        <v>80.246913580246925</v>
      </c>
      <c r="AF76" s="15">
        <f>VLOOKUP($D76&amp;$B76,[3]!装备基础属性表,V$30,FALSE)</f>
        <v>0</v>
      </c>
      <c r="AG76" s="15">
        <f>VLOOKUP($D76&amp;$B76,[3]!装备基础属性表,W$30,FALSE)</f>
        <v>80.246913580246925</v>
      </c>
      <c r="AH76" s="15">
        <f>VLOOKUP($D76&amp;$B76,[3]!装备基础属性表,X$30,FALSE)</f>
        <v>0</v>
      </c>
      <c r="AI76" s="15">
        <f>VLOOKUP($D76&amp;$B76,[3]!装备基础属性表,Y$30,FALSE)</f>
        <v>0</v>
      </c>
      <c r="AJ76" s="16" t="str">
        <f>B76&amp;VLOOKUP(C76,定义数据!$E$1:$F$7,2,FALSE)&amp;D76</f>
        <v>2230</v>
      </c>
      <c r="AK76" s="14">
        <f t="shared" si="29"/>
        <v>9</v>
      </c>
      <c r="AL76" s="5">
        <f t="shared" si="30"/>
        <v>4</v>
      </c>
      <c r="AM76" s="5" t="str">
        <f t="array" aca="1" ref="AM76" ca="1">IF(AM$31&gt;$AL76,0,IF(ISERROR(OFFSET($E$31,0,SMALL(IF($E76:$X76&gt;0,COLUMN($A:$T),""),AM$31)-1)),0,OFFSET($E$31,0,SMALL(IF($E76:$X76&gt;0,COLUMN($A:$T),""),AM$31)-1)))</f>
        <v>防御</v>
      </c>
      <c r="AN76" s="5">
        <f t="array" aca="1" ref="AN76" ca="1">IF(AM$31&gt;$AL76,0,IF(ISERROR(INDEX($E76:$X76,,SMALL(IF($E76:$X76&gt;0,COLUMN($A:$T),""),AN$31))),0,INDEX($E76:$X76,,SMALL(IF($E76:$X76&gt;0,COLUMN($A:$T),""),AN$31))))</f>
        <v>26.842805906412483</v>
      </c>
      <c r="AO76" s="5" t="str">
        <f t="array" aca="1" ref="AO76" ca="1">IF(AO$31&gt;$AL76,0,IF(ISERROR(OFFSET($E$31,0,SMALL(IF($E76:$X76&gt;0,COLUMN($A:$T),""),AO$31)-1)),0,OFFSET($E$31,0,SMALL(IF($E76:$X76&gt;0,COLUMN($A:$T),""),AO$31)-1)))</f>
        <v>闪避值</v>
      </c>
      <c r="AP76" s="5">
        <f t="array" aca="1" ref="AP76" ca="1">IF(AO$31&gt;$AL76,0,IF(ISERROR(INDEX($E76:$X76,,SMALL(IF($E76:$X76&gt;0,COLUMN($A:$T),""),AP$31))),0,INDEX($E76:$X76,,SMALL(IF($E76:$X76&gt;0,COLUMN($A:$T),""),AP$31))))</f>
        <v>40.625</v>
      </c>
      <c r="AQ76" s="5" t="str">
        <f t="array" aca="1" ref="AQ76" ca="1">IF(AQ$31&gt;$AL76,0,IF(ISERROR(OFFSET($E$31,0,SMALL(IF($E76:$X76&gt;0,COLUMN($A:$T),""),AQ$31)-1)),0,OFFSET($E$31,0,SMALL(IF($E76:$X76&gt;0,COLUMN($A:$T),""),AQ$31)-1)))</f>
        <v>生命</v>
      </c>
      <c r="AR76" s="5">
        <f t="array" aca="1" ref="AR76" ca="1">IF(AQ$31&gt;$AL76,0,IF(ISERROR(INDEX($E76:$X76,,SMALL(IF($E76:$X76&gt;0,COLUMN($A:$T),""),AR$31))),0,INDEX($E76:$X76,,SMALL(IF($E76:$X76&gt;0,COLUMN($A:$T),""),AR$31))))</f>
        <v>113.23912836842828</v>
      </c>
      <c r="AS76" s="5" t="str">
        <f t="array" aca="1" ref="AS76" ca="1">IF(AS$31&gt;$AL76,0,IF(ISERROR(OFFSET($E$31,0,SMALL(IF($E76:$X76&gt;0,COLUMN($A:$T),""),AS$31)-1)),0,OFFSET($E$31,0,SMALL(IF($E76:$X76&gt;0,COLUMN($A:$T),""),AS$31)-1)))</f>
        <v>防御</v>
      </c>
      <c r="AT76" s="5">
        <f t="array" aca="1" ref="AT76" ca="1">IF(AS$31&gt;$AL76,0,IF(ISERROR(INDEX($E76:$X76,,SMALL(IF($E76:$X76&gt;0,COLUMN($A:$T),""),AT$31))),0,INDEX($E76:$X76,,SMALL(IF($E76:$X76&gt;0,COLUMN($A:$T),""),AT$31))))</f>
        <v>2.4854449913344889</v>
      </c>
      <c r="AU76" s="5">
        <f t="array" aca="1" ref="AU76" ca="1">IF(AU$31&gt;$AL76,0,IF(ISERROR(OFFSET($E$31,0,SMALL(IF($E76:$X76&gt;0,COLUMN($A:$T),""),AU$31)-1)),0,OFFSET($E$31,0,SMALL(IF($E76:$X76&gt;0,COLUMN($A:$T),""),AU$31)-1)))</f>
        <v>0</v>
      </c>
      <c r="AV76" s="5">
        <f t="array" ref="AV76">IF(AU$31&gt;$AL76,0,IF(ISERROR(INDEX($E76:$X76,,SMALL(IF($E76:$X76&gt;0,COLUMN($A:$T),""),AV$31))),0,INDEX($E76:$X76,,SMALL(IF($E76:$X76&gt;0,COLUMN($A:$T),""),AV$31))))</f>
        <v>0</v>
      </c>
      <c r="AW76" s="5">
        <f t="array" aca="1" ref="AW76" ca="1">IF(AW$31&gt;$AL76,0,IF(ISERROR(OFFSET($E$31,0,SMALL(IF($E76:$X76&gt;0,COLUMN($A:$T),""),AW$31)-1)),0,OFFSET($E$31,0,SMALL(IF($E76:$X76&gt;0,COLUMN($A:$T),""),AW$31)-1)))</f>
        <v>0</v>
      </c>
      <c r="AX76" s="5">
        <f t="array" ref="AX76">IF(AW$31&gt;$AL76,0,IF(ISERROR(INDEX($E76:$X76,,SMALL(IF($E76:$X76&gt;0,COLUMN($A:$T),""),AX$31))),0,INDEX($E76:$X76,,SMALL(IF($E76:$X76&gt;0,COLUMN($A:$T),""),AX$31))))</f>
        <v>0</v>
      </c>
      <c r="AY76" s="5">
        <f t="array" aca="1" ref="AY76" ca="1">IF(AY$31&gt;$AL76,0,IF(ISERROR(OFFSET($E$31,0,SMALL(IF($E76:$X76&gt;0,COLUMN($A:$T),""),AY$31)-1)),0,OFFSET($E$31,0,SMALL(IF($E76:$X76&gt;0,COLUMN($A:$T),""),AY$31)-1)))</f>
        <v>0</v>
      </c>
      <c r="AZ76" s="5">
        <f t="array" ref="AZ76">IF(AY$31&gt;$AL76,0,IF(ISERROR(INDEX($E76:$X76,,SMALL(IF($E76:$X76&gt;0,COLUMN($A:$T),""),AZ$31))),0,INDEX($E76:$X76,,SMALL(IF($E76:$X76&gt;0,COLUMN($A:$T),""),AZ$31))))</f>
        <v>0</v>
      </c>
      <c r="BA76" s="5">
        <f t="array" aca="1" ref="BA76" ca="1">IF(BA$31&gt;$AL76,0,IF(ISERROR(OFFSET($E$31,0,SMALL(IF($E76:$X76&gt;0,COLUMN($A:$T),""),BA$31)-1)),0,OFFSET($E$31,0,SMALL(IF($E76:$X76&gt;0,COLUMN($A:$T),""),BA$31)-1)))</f>
        <v>0</v>
      </c>
      <c r="BB76" s="5">
        <f t="array" ref="BB76">IF(BA$31&gt;$AL76,0,IF(ISERROR(INDEX($E76:$X76,,SMALL(IF($E76:$X76&gt;0,COLUMN($A:$T),""),BB$31))),0,INDEX($E76:$X76,,SMALL(IF($E76:$X76&gt;0,COLUMN($A:$T),""),BB$31))))</f>
        <v>0</v>
      </c>
      <c r="BC76" s="5">
        <f t="array" aca="1" ref="BC76" ca="1">IF(BC$31&gt;$AL76,0,IF(ISERROR(OFFSET($E$31,0,SMALL(IF($E76:$X76&gt;0,COLUMN($A:$T),""),BC$31)-1)),0,OFFSET($E$31,0,SMALL(IF($E76:$X76&gt;0,COLUMN($A:$T),""),BC$31)-1)))</f>
        <v>0</v>
      </c>
      <c r="BD76" s="5">
        <f t="array" ref="BD76">IF(BC$31&gt;$AL76,0,IF(ISERROR(INDEX($E76:$X76,,SMALL(IF($E76:$X76&gt;0,COLUMN($A:$T),""),BD$31))),0,INDEX($E76:$X76,,SMALL(IF($E76:$X76&gt;0,COLUMN($A:$T),""),BD$31))))</f>
        <v>0</v>
      </c>
      <c r="BE76" s="5">
        <f t="array" aca="1" ref="BE76" ca="1">IF(BE$31&gt;$AL76,0,IF(ISERROR(OFFSET($E$31,0,SMALL(IF($E76:$X76&gt;0,COLUMN($A:$T),""),BE$31)-1)),0,OFFSET($E$31,0,SMALL(IF($E76:$X76&gt;0,COLUMN($A:$T),""),BE$31)-1)))</f>
        <v>0</v>
      </c>
      <c r="BF76" s="5">
        <f t="array" ref="BF76">IF(BE$31&gt;$AL76,0,IF(ISERROR(INDEX($E76:$X76,,SMALL(IF($E76:$X76&gt;0,COLUMN($A:$T),""),BF$31))),0,INDEX($E76:$X76,,SMALL(IF($E76:$X76&gt;0,COLUMN($A:$T),""),BF$31))))</f>
        <v>0</v>
      </c>
      <c r="BH76">
        <f ca="1">SUMPRODUCT(E76:N76,定义数据!$G$14:$P$14)</f>
        <v>40.655305906412487</v>
      </c>
      <c r="BI76">
        <f ca="1">SUMPRODUCT(O76:X76,定义数据!$G$14:$P$14)</f>
        <v>9.8196397557012514</v>
      </c>
      <c r="BJ76" s="5">
        <f t="shared" ca="1" si="18"/>
        <v>50.47494566211374</v>
      </c>
      <c r="BK76" s="5" t="str">
        <f>D76&amp;B76&amp;VLOOKUP(C76,定义数据!$E$1:$F$7,2,FALSE)</f>
        <v>3022</v>
      </c>
    </row>
    <row r="77" spans="1:63" x14ac:dyDescent="0.15">
      <c r="A77" s="17" t="str">
        <f>D77&amp;B77&amp;VLOOKUP(C77,定义数据!$E$1:$F$7,2,FALSE)</f>
        <v>3025</v>
      </c>
      <c r="B77" s="18">
        <v>2</v>
      </c>
      <c r="C77" s="18" t="s">
        <v>138</v>
      </c>
      <c r="D77" s="24">
        <v>30</v>
      </c>
      <c r="E77" s="56">
        <f t="shared" ca="1" si="35"/>
        <v>611.4912931895127</v>
      </c>
      <c r="F77" s="56">
        <f t="shared" ca="1" si="36"/>
        <v>0</v>
      </c>
      <c r="G77" s="56">
        <f t="shared" ca="1" si="37"/>
        <v>0</v>
      </c>
      <c r="H77" s="56">
        <f t="shared" ca="1" si="38"/>
        <v>81.25</v>
      </c>
      <c r="I77" s="56">
        <f t="shared" ca="1" si="39"/>
        <v>0</v>
      </c>
      <c r="J77" s="56">
        <f t="shared" ca="1" si="40"/>
        <v>0</v>
      </c>
      <c r="K77" s="56">
        <f t="shared" ca="1" si="41"/>
        <v>0</v>
      </c>
      <c r="L77" s="56">
        <f t="shared" ca="1" si="42"/>
        <v>0</v>
      </c>
      <c r="M77" s="56">
        <f t="shared" ca="1" si="43"/>
        <v>0</v>
      </c>
      <c r="N77" s="56">
        <f t="shared" ca="1" si="44"/>
        <v>0</v>
      </c>
      <c r="O77" s="65">
        <f t="shared" ca="1" si="54"/>
        <v>113.23912836842828</v>
      </c>
      <c r="P77" s="65">
        <f t="shared" ca="1" si="45"/>
        <v>0</v>
      </c>
      <c r="Q77" s="65">
        <f t="shared" ca="1" si="46"/>
        <v>0</v>
      </c>
      <c r="R77" s="65">
        <f t="shared" ca="1" si="47"/>
        <v>10.833333333333334</v>
      </c>
      <c r="S77" s="65">
        <f t="shared" ca="1" si="48"/>
        <v>9.0277777777777768</v>
      </c>
      <c r="T77" s="65">
        <f t="shared" ca="1" si="49"/>
        <v>3.2098765432098775</v>
      </c>
      <c r="U77" s="65">
        <f t="shared" ca="1" si="50"/>
        <v>0</v>
      </c>
      <c r="V77" s="65">
        <f t="shared" ca="1" si="51"/>
        <v>0</v>
      </c>
      <c r="W77" s="65">
        <f t="shared" ca="1" si="52"/>
        <v>0</v>
      </c>
      <c r="X77" s="65">
        <f t="shared" ca="1" si="53"/>
        <v>0</v>
      </c>
      <c r="Y77" s="21"/>
      <c r="Z77" s="15">
        <f>VLOOKUP($D77&amp;$B77,[3]!装备基础属性表,P$30,FALSE)</f>
        <v>3397.1738510528485</v>
      </c>
      <c r="AA77" s="15">
        <f>VLOOKUP($D77&amp;$B77,[3]!装备基础属性表,Q$30,FALSE)</f>
        <v>172.5523508021391</v>
      </c>
      <c r="AB77" s="15">
        <f>VLOOKUP($D77&amp;$B77,[3]!装备基础属性表,R$30,FALSE)</f>
        <v>74.563349740034667</v>
      </c>
      <c r="AC77" s="15">
        <f>VLOOKUP($D77&amp;$B77,[3]!装备基础属性表,S$30,FALSE)</f>
        <v>135.41666666666666</v>
      </c>
      <c r="AD77" s="15">
        <f>VLOOKUP($D77&amp;$B77,[3]!装备基础属性表,T$30,FALSE)</f>
        <v>135.41666666666666</v>
      </c>
      <c r="AE77" s="15">
        <f>VLOOKUP($D77&amp;$B77,[3]!装备基础属性表,U$30,FALSE)</f>
        <v>80.246913580246925</v>
      </c>
      <c r="AF77" s="15">
        <f>VLOOKUP($D77&amp;$B77,[3]!装备基础属性表,V$30,FALSE)</f>
        <v>0</v>
      </c>
      <c r="AG77" s="15">
        <f>VLOOKUP($D77&amp;$B77,[3]!装备基础属性表,W$30,FALSE)</f>
        <v>80.246913580246925</v>
      </c>
      <c r="AH77" s="15">
        <f>VLOOKUP($D77&amp;$B77,[3]!装备基础属性表,X$30,FALSE)</f>
        <v>0</v>
      </c>
      <c r="AI77" s="15">
        <f>VLOOKUP($D77&amp;$B77,[3]!装备基础属性表,Y$30,FALSE)</f>
        <v>0</v>
      </c>
      <c r="AJ77" s="16" t="str">
        <f>B77&amp;VLOOKUP(C77,定义数据!$E$1:$F$7,2,FALSE)&amp;D77</f>
        <v>2530</v>
      </c>
      <c r="AK77" s="14">
        <f t="shared" si="29"/>
        <v>9</v>
      </c>
      <c r="AL77" s="5">
        <f t="shared" si="30"/>
        <v>4</v>
      </c>
      <c r="AM77" s="5" t="str">
        <f t="array" aca="1" ref="AM77" ca="1">IF(AM$31&gt;$AL77,0,IF(ISERROR(OFFSET($E$31,0,SMALL(IF($E77:$X77&gt;0,COLUMN($A:$T),""),AM$31)-1)),0,OFFSET($E$31,0,SMALL(IF($E77:$X77&gt;0,COLUMN($A:$T),""),AM$31)-1)))</f>
        <v>生命</v>
      </c>
      <c r="AN77" s="5">
        <f t="array" aca="1" ref="AN77" ca="1">IF(AM$31&gt;$AL77,0,IF(ISERROR(INDEX($E77:$X77,,SMALL(IF($E77:$X77&gt;0,COLUMN($A:$T),""),AN$31))),0,INDEX($E77:$X77,,SMALL(IF($E77:$X77&gt;0,COLUMN($A:$T),""),AN$31))))</f>
        <v>611.4912931895127</v>
      </c>
      <c r="AO77" s="5" t="str">
        <f t="array" aca="1" ref="AO77" ca="1">IF(AO$31&gt;$AL77,0,IF(ISERROR(OFFSET($E$31,0,SMALL(IF($E77:$X77&gt;0,COLUMN($A:$T),""),AO$31)-1)),0,OFFSET($E$31,0,SMALL(IF($E77:$X77&gt;0,COLUMN($A:$T),""),AO$31)-1)))</f>
        <v>闪避值</v>
      </c>
      <c r="AP77" s="5">
        <f t="array" aca="1" ref="AP77" ca="1">IF(AO$31&gt;$AL77,0,IF(ISERROR(INDEX($E77:$X77,,SMALL(IF($E77:$X77&gt;0,COLUMN($A:$T),""),AP$31))),0,INDEX($E77:$X77,,SMALL(IF($E77:$X77&gt;0,COLUMN($A:$T),""),AP$31))))</f>
        <v>81.25</v>
      </c>
      <c r="AQ77" s="5" t="str">
        <f t="array" aca="1" ref="AQ77" ca="1">IF(AQ$31&gt;$AL77,0,IF(ISERROR(OFFSET($E$31,0,SMALL(IF($E77:$X77&gt;0,COLUMN($A:$T),""),AQ$31)-1)),0,OFFSET($E$31,0,SMALL(IF($E77:$X77&gt;0,COLUMN($A:$T),""),AQ$31)-1)))</f>
        <v>生命</v>
      </c>
      <c r="AR77" s="5">
        <f t="array" aca="1" ref="AR77" ca="1">IF(AQ$31&gt;$AL77,0,IF(ISERROR(INDEX($E77:$X77,,SMALL(IF($E77:$X77&gt;0,COLUMN($A:$T),""),AR$31))),0,INDEX($E77:$X77,,SMALL(IF($E77:$X77&gt;0,COLUMN($A:$T),""),AR$31))))</f>
        <v>113.23912836842828</v>
      </c>
      <c r="AS77" s="5" t="str">
        <f t="array" aca="1" ref="AS77" ca="1">IF(AS$31&gt;$AL77,0,IF(ISERROR(OFFSET($E$31,0,SMALL(IF($E77:$X77&gt;0,COLUMN($A:$T),""),AS$31)-1)),0,OFFSET($E$31,0,SMALL(IF($E77:$X77&gt;0,COLUMN($A:$T),""),AS$31)-1)))</f>
        <v>闪避值</v>
      </c>
      <c r="AT77" s="5">
        <f t="array" aca="1" ref="AT77" ca="1">IF(AS$31&gt;$AL77,0,IF(ISERROR(INDEX($E77:$X77,,SMALL(IF($E77:$X77&gt;0,COLUMN($A:$T),""),AT$31))),0,INDEX($E77:$X77,,SMALL(IF($E77:$X77&gt;0,COLUMN($A:$T),""),AT$31))))</f>
        <v>10.833333333333334</v>
      </c>
      <c r="AU77" s="5">
        <f t="array" aca="1" ref="AU77" ca="1">IF(AU$31&gt;$AL77,0,IF(ISERROR(OFFSET($E$31,0,SMALL(IF($E77:$X77&gt;0,COLUMN($A:$T),""),AU$31)-1)),0,OFFSET($E$31,0,SMALL(IF($E77:$X77&gt;0,COLUMN($A:$T),""),AU$31)-1)))</f>
        <v>0</v>
      </c>
      <c r="AV77" s="5">
        <f t="array" ref="AV77">IF(AU$31&gt;$AL77,0,IF(ISERROR(INDEX($E77:$X77,,SMALL(IF($E77:$X77&gt;0,COLUMN($A:$T),""),AV$31))),0,INDEX($E77:$X77,,SMALL(IF($E77:$X77&gt;0,COLUMN($A:$T),""),AV$31))))</f>
        <v>0</v>
      </c>
      <c r="AW77" s="5">
        <f t="array" aca="1" ref="AW77" ca="1">IF(AW$31&gt;$AL77,0,IF(ISERROR(OFFSET($E$31,0,SMALL(IF($E77:$X77&gt;0,COLUMN($A:$T),""),AW$31)-1)),0,OFFSET($E$31,0,SMALL(IF($E77:$X77&gt;0,COLUMN($A:$T),""),AW$31)-1)))</f>
        <v>0</v>
      </c>
      <c r="AX77" s="5">
        <f t="array" ref="AX77">IF(AW$31&gt;$AL77,0,IF(ISERROR(INDEX($E77:$X77,,SMALL(IF($E77:$X77&gt;0,COLUMN($A:$T),""),AX$31))),0,INDEX($E77:$X77,,SMALL(IF($E77:$X77&gt;0,COLUMN($A:$T),""),AX$31))))</f>
        <v>0</v>
      </c>
      <c r="AY77" s="5">
        <f t="array" aca="1" ref="AY77" ca="1">IF(AY$31&gt;$AL77,0,IF(ISERROR(OFFSET($E$31,0,SMALL(IF($E77:$X77&gt;0,COLUMN($A:$T),""),AY$31)-1)),0,OFFSET($E$31,0,SMALL(IF($E77:$X77&gt;0,COLUMN($A:$T),""),AY$31)-1)))</f>
        <v>0</v>
      </c>
      <c r="AZ77" s="5">
        <f t="array" ref="AZ77">IF(AY$31&gt;$AL77,0,IF(ISERROR(INDEX($E77:$X77,,SMALL(IF($E77:$X77&gt;0,COLUMN($A:$T),""),AZ$31))),0,INDEX($E77:$X77,,SMALL(IF($E77:$X77&gt;0,COLUMN($A:$T),""),AZ$31))))</f>
        <v>0</v>
      </c>
      <c r="BA77" s="5">
        <f t="array" aca="1" ref="BA77" ca="1">IF(BA$31&gt;$AL77,0,IF(ISERROR(OFFSET($E$31,0,SMALL(IF($E77:$X77&gt;0,COLUMN($A:$T),""),BA$31)-1)),0,OFFSET($E$31,0,SMALL(IF($E77:$X77&gt;0,COLUMN($A:$T),""),BA$31)-1)))</f>
        <v>0</v>
      </c>
      <c r="BB77" s="5">
        <f t="array" ref="BB77">IF(BA$31&gt;$AL77,0,IF(ISERROR(INDEX($E77:$X77,,SMALL(IF($E77:$X77&gt;0,COLUMN($A:$T),""),BB$31))),0,INDEX($E77:$X77,,SMALL(IF($E77:$X77&gt;0,COLUMN($A:$T),""),BB$31))))</f>
        <v>0</v>
      </c>
      <c r="BC77" s="5">
        <f t="array" aca="1" ref="BC77" ca="1">IF(BC$31&gt;$AL77,0,IF(ISERROR(OFFSET($E$31,0,SMALL(IF($E77:$X77&gt;0,COLUMN($A:$T),""),BC$31)-1)),0,OFFSET($E$31,0,SMALL(IF($E77:$X77&gt;0,COLUMN($A:$T),""),BC$31)-1)))</f>
        <v>0</v>
      </c>
      <c r="BD77" s="5">
        <f t="array" ref="BD77">IF(BC$31&gt;$AL77,0,IF(ISERROR(INDEX($E77:$X77,,SMALL(IF($E77:$X77&gt;0,COLUMN($A:$T),""),BD$31))),0,INDEX($E77:$X77,,SMALL(IF($E77:$X77&gt;0,COLUMN($A:$T),""),BD$31))))</f>
        <v>0</v>
      </c>
      <c r="BE77" s="5">
        <f t="array" aca="1" ref="BE77" ca="1">IF(BE$31&gt;$AL77,0,IF(ISERROR(OFFSET($E$31,0,SMALL(IF($E77:$X77&gt;0,COLUMN($A:$T),""),BE$31)-1)),0,OFFSET($E$31,0,SMALL(IF($E77:$X77&gt;0,COLUMN($A:$T),""),BE$31)-1)))</f>
        <v>0</v>
      </c>
      <c r="BF77" s="5">
        <f t="array" ref="BF77">IF(BE$31&gt;$AL77,0,IF(ISERROR(INDEX($E77:$X77,,SMALL(IF($E77:$X77&gt;0,COLUMN($A:$T),""),BF$31))),0,INDEX($E77:$X77,,SMALL(IF($E77:$X77&gt;0,COLUMN($A:$T),""),BF$31))))</f>
        <v>0</v>
      </c>
      <c r="BH77">
        <f ca="1">SUMPRODUCT(E77:N77,定义数据!$G$14:$P$14)</f>
        <v>52.084651727580507</v>
      </c>
      <c r="BI77">
        <f ca="1">SUMPRODUCT(O77:X77,定义数据!$G$14:$P$14)</f>
        <v>11.860120690292687</v>
      </c>
      <c r="BJ77" s="5">
        <f t="shared" ca="1" si="18"/>
        <v>63.944772417873196</v>
      </c>
      <c r="BK77" s="5" t="str">
        <f>D77&amp;B77&amp;VLOOKUP(C77,定义数据!$E$1:$F$7,2,FALSE)</f>
        <v>3025</v>
      </c>
    </row>
    <row r="78" spans="1:63" x14ac:dyDescent="0.15">
      <c r="A78" s="17" t="str">
        <f>D78&amp;B78&amp;VLOOKUP(C78,定义数据!$E$1:$F$7,2,FALSE)</f>
        <v>3024</v>
      </c>
      <c r="B78" s="18">
        <v>2</v>
      </c>
      <c r="C78" s="18" t="s">
        <v>139</v>
      </c>
      <c r="D78" s="24">
        <v>30</v>
      </c>
      <c r="E78" s="56">
        <f t="shared" ca="1" si="35"/>
        <v>611.4912931895127</v>
      </c>
      <c r="F78" s="56">
        <f t="shared" ca="1" si="36"/>
        <v>0</v>
      </c>
      <c r="G78" s="56">
        <f t="shared" ca="1" si="37"/>
        <v>0</v>
      </c>
      <c r="H78" s="56">
        <f t="shared" ca="1" si="38"/>
        <v>0</v>
      </c>
      <c r="I78" s="56">
        <f t="shared" ca="1" si="39"/>
        <v>0</v>
      </c>
      <c r="J78" s="56">
        <f t="shared" ca="1" si="40"/>
        <v>0</v>
      </c>
      <c r="K78" s="56">
        <f t="shared" ca="1" si="41"/>
        <v>0</v>
      </c>
      <c r="L78" s="56">
        <f t="shared" ca="1" si="42"/>
        <v>72.222222222222229</v>
      </c>
      <c r="M78" s="56">
        <f t="shared" ca="1" si="43"/>
        <v>0</v>
      </c>
      <c r="N78" s="56">
        <f t="shared" ca="1" si="44"/>
        <v>0</v>
      </c>
      <c r="O78" s="65">
        <f t="shared" ca="1" si="54"/>
        <v>226.47825673685657</v>
      </c>
      <c r="P78" s="65">
        <f t="shared" ca="1" si="45"/>
        <v>6.9020940320855644</v>
      </c>
      <c r="Q78" s="65">
        <f t="shared" ca="1" si="46"/>
        <v>2.4854449913344889</v>
      </c>
      <c r="R78" s="65">
        <f t="shared" ca="1" si="47"/>
        <v>0</v>
      </c>
      <c r="S78" s="65">
        <f t="shared" ca="1" si="48"/>
        <v>0</v>
      </c>
      <c r="T78" s="65">
        <f t="shared" ca="1" si="49"/>
        <v>0</v>
      </c>
      <c r="U78" s="65">
        <f t="shared" ca="1" si="50"/>
        <v>0</v>
      </c>
      <c r="V78" s="65">
        <f t="shared" ca="1" si="51"/>
        <v>5.3497942386831285</v>
      </c>
      <c r="W78" s="65">
        <f t="shared" ca="1" si="52"/>
        <v>0</v>
      </c>
      <c r="X78" s="65">
        <f t="shared" ca="1" si="53"/>
        <v>0</v>
      </c>
      <c r="Y78" s="21"/>
      <c r="Z78" s="15">
        <f>VLOOKUP($D78&amp;$B78,[3]!装备基础属性表,P$30,FALSE)</f>
        <v>3397.1738510528485</v>
      </c>
      <c r="AA78" s="15">
        <f>VLOOKUP($D78&amp;$B78,[3]!装备基础属性表,Q$30,FALSE)</f>
        <v>172.5523508021391</v>
      </c>
      <c r="AB78" s="15">
        <f>VLOOKUP($D78&amp;$B78,[3]!装备基础属性表,R$30,FALSE)</f>
        <v>74.563349740034667</v>
      </c>
      <c r="AC78" s="15">
        <f>VLOOKUP($D78&amp;$B78,[3]!装备基础属性表,S$30,FALSE)</f>
        <v>135.41666666666666</v>
      </c>
      <c r="AD78" s="15">
        <f>VLOOKUP($D78&amp;$B78,[3]!装备基础属性表,T$30,FALSE)</f>
        <v>135.41666666666666</v>
      </c>
      <c r="AE78" s="15">
        <f>VLOOKUP($D78&amp;$B78,[3]!装备基础属性表,U$30,FALSE)</f>
        <v>80.246913580246925</v>
      </c>
      <c r="AF78" s="15">
        <f>VLOOKUP($D78&amp;$B78,[3]!装备基础属性表,V$30,FALSE)</f>
        <v>0</v>
      </c>
      <c r="AG78" s="15">
        <f>VLOOKUP($D78&amp;$B78,[3]!装备基础属性表,W$30,FALSE)</f>
        <v>80.246913580246925</v>
      </c>
      <c r="AH78" s="15">
        <f>VLOOKUP($D78&amp;$B78,[3]!装备基础属性表,X$30,FALSE)</f>
        <v>0</v>
      </c>
      <c r="AI78" s="15">
        <f>VLOOKUP($D78&amp;$B78,[3]!装备基础属性表,Y$30,FALSE)</f>
        <v>0</v>
      </c>
      <c r="AJ78" s="16" t="str">
        <f>B78&amp;VLOOKUP(C78,定义数据!$E$1:$F$7,2,FALSE)&amp;D78</f>
        <v>2430</v>
      </c>
      <c r="AK78" s="14">
        <f t="shared" si="29"/>
        <v>9</v>
      </c>
      <c r="AL78" s="5">
        <f t="shared" si="30"/>
        <v>4</v>
      </c>
      <c r="AM78" s="5" t="str">
        <f t="array" aca="1" ref="AM78" ca="1">IF(AM$31&gt;$AL78,0,IF(ISERROR(OFFSET($E$31,0,SMALL(IF($E78:$X78&gt;0,COLUMN($A:$T),""),AM$31)-1)),0,OFFSET($E$31,0,SMALL(IF($E78:$X78&gt;0,COLUMN($A:$T),""),AM$31)-1)))</f>
        <v>生命</v>
      </c>
      <c r="AN78" s="5">
        <f t="array" aca="1" ref="AN78" ca="1">IF(AM$31&gt;$AL78,0,IF(ISERROR(INDEX($E78:$X78,,SMALL(IF($E78:$X78&gt;0,COLUMN($A:$T),""),AN$31))),0,INDEX($E78:$X78,,SMALL(IF($E78:$X78&gt;0,COLUMN($A:$T),""),AN$31))))</f>
        <v>611.4912931895127</v>
      </c>
      <c r="AO78" s="5" t="str">
        <f t="array" aca="1" ref="AO78" ca="1">IF(AO$31&gt;$AL78,0,IF(ISERROR(OFFSET($E$31,0,SMALL(IF($E78:$X78&gt;0,COLUMN($A:$T),""),AO$31)-1)),0,OFFSET($E$31,0,SMALL(IF($E78:$X78&gt;0,COLUMN($A:$T),""),AO$31)-1)))</f>
        <v>韧性值</v>
      </c>
      <c r="AP78" s="5">
        <f t="array" aca="1" ref="AP78" ca="1">IF(AO$31&gt;$AL78,0,IF(ISERROR(INDEX($E78:$X78,,SMALL(IF($E78:$X78&gt;0,COLUMN($A:$T),""),AP$31))),0,INDEX($E78:$X78,,SMALL(IF($E78:$X78&gt;0,COLUMN($A:$T),""),AP$31))))</f>
        <v>72.222222222222229</v>
      </c>
      <c r="AQ78" s="5" t="str">
        <f t="array" aca="1" ref="AQ78" ca="1">IF(AQ$31&gt;$AL78,0,IF(ISERROR(OFFSET($E$31,0,SMALL(IF($E78:$X78&gt;0,COLUMN($A:$T),""),AQ$31)-1)),0,OFFSET($E$31,0,SMALL(IF($E78:$X78&gt;0,COLUMN($A:$T),""),AQ$31)-1)))</f>
        <v>生命</v>
      </c>
      <c r="AR78" s="5">
        <f t="array" aca="1" ref="AR78" ca="1">IF(AQ$31&gt;$AL78,0,IF(ISERROR(INDEX($E78:$X78,,SMALL(IF($E78:$X78&gt;0,COLUMN($A:$T),""),AR$31))),0,INDEX($E78:$X78,,SMALL(IF($E78:$X78&gt;0,COLUMN($A:$T),""),AR$31))))</f>
        <v>226.47825673685657</v>
      </c>
      <c r="AS78" s="5" t="str">
        <f t="array" aca="1" ref="AS78" ca="1">IF(AS$31&gt;$AL78,0,IF(ISERROR(OFFSET($E$31,0,SMALL(IF($E78:$X78&gt;0,COLUMN($A:$T),""),AS$31)-1)),0,OFFSET($E$31,0,SMALL(IF($E78:$X78&gt;0,COLUMN($A:$T),""),AS$31)-1)))</f>
        <v>攻击</v>
      </c>
      <c r="AT78" s="5">
        <f t="array" aca="1" ref="AT78" ca="1">IF(AS$31&gt;$AL78,0,IF(ISERROR(INDEX($E78:$X78,,SMALL(IF($E78:$X78&gt;0,COLUMN($A:$T),""),AT$31))),0,INDEX($E78:$X78,,SMALL(IF($E78:$X78&gt;0,COLUMN($A:$T),""),AT$31))))</f>
        <v>6.9020940320855644</v>
      </c>
      <c r="AU78" s="5">
        <f t="array" aca="1" ref="AU78" ca="1">IF(AU$31&gt;$AL78,0,IF(ISERROR(OFFSET($E$31,0,SMALL(IF($E78:$X78&gt;0,COLUMN($A:$T),""),AU$31)-1)),0,OFFSET($E$31,0,SMALL(IF($E78:$X78&gt;0,COLUMN($A:$T),""),AU$31)-1)))</f>
        <v>0</v>
      </c>
      <c r="AV78" s="5">
        <f t="array" ref="AV78">IF(AU$31&gt;$AL78,0,IF(ISERROR(INDEX($E78:$X78,,SMALL(IF($E78:$X78&gt;0,COLUMN($A:$T),""),AV$31))),0,INDEX($E78:$X78,,SMALL(IF($E78:$X78&gt;0,COLUMN($A:$T),""),AV$31))))</f>
        <v>0</v>
      </c>
      <c r="AW78" s="5">
        <f t="array" aca="1" ref="AW78" ca="1">IF(AW$31&gt;$AL78,0,IF(ISERROR(OFFSET($E$31,0,SMALL(IF($E78:$X78&gt;0,COLUMN($A:$T),""),AW$31)-1)),0,OFFSET($E$31,0,SMALL(IF($E78:$X78&gt;0,COLUMN($A:$T),""),AW$31)-1)))</f>
        <v>0</v>
      </c>
      <c r="AX78" s="5">
        <f t="array" ref="AX78">IF(AW$31&gt;$AL78,0,IF(ISERROR(INDEX($E78:$X78,,SMALL(IF($E78:$X78&gt;0,COLUMN($A:$T),""),AX$31))),0,INDEX($E78:$X78,,SMALL(IF($E78:$X78&gt;0,COLUMN($A:$T),""),AX$31))))</f>
        <v>0</v>
      </c>
      <c r="AY78" s="5">
        <f t="array" aca="1" ref="AY78" ca="1">IF(AY$31&gt;$AL78,0,IF(ISERROR(OFFSET($E$31,0,SMALL(IF($E78:$X78&gt;0,COLUMN($A:$T),""),AY$31)-1)),0,OFFSET($E$31,0,SMALL(IF($E78:$X78&gt;0,COLUMN($A:$T),""),AY$31)-1)))</f>
        <v>0</v>
      </c>
      <c r="AZ78" s="5">
        <f t="array" ref="AZ78">IF(AY$31&gt;$AL78,0,IF(ISERROR(INDEX($E78:$X78,,SMALL(IF($E78:$X78&gt;0,COLUMN($A:$T),""),AZ$31))),0,INDEX($E78:$X78,,SMALL(IF($E78:$X78&gt;0,COLUMN($A:$T),""),AZ$31))))</f>
        <v>0</v>
      </c>
      <c r="BA78" s="5">
        <f t="array" aca="1" ref="BA78" ca="1">IF(BA$31&gt;$AL78,0,IF(ISERROR(OFFSET($E$31,0,SMALL(IF($E78:$X78&gt;0,COLUMN($A:$T),""),BA$31)-1)),0,OFFSET($E$31,0,SMALL(IF($E78:$X78&gt;0,COLUMN($A:$T),""),BA$31)-1)))</f>
        <v>0</v>
      </c>
      <c r="BB78" s="5">
        <f t="array" ref="BB78">IF(BA$31&gt;$AL78,0,IF(ISERROR(INDEX($E78:$X78,,SMALL(IF($E78:$X78&gt;0,COLUMN($A:$T),""),BB$31))),0,INDEX($E78:$X78,,SMALL(IF($E78:$X78&gt;0,COLUMN($A:$T),""),BB$31))))</f>
        <v>0</v>
      </c>
      <c r="BC78" s="5">
        <f t="array" aca="1" ref="BC78" ca="1">IF(BC$31&gt;$AL78,0,IF(ISERROR(OFFSET($E$31,0,SMALL(IF($E78:$X78&gt;0,COLUMN($A:$T),""),BC$31)-1)),0,OFFSET($E$31,0,SMALL(IF($E78:$X78&gt;0,COLUMN($A:$T),""),BC$31)-1)))</f>
        <v>0</v>
      </c>
      <c r="BD78" s="5">
        <f t="array" ref="BD78">IF(BC$31&gt;$AL78,0,IF(ISERROR(INDEX($E78:$X78,,SMALL(IF($E78:$X78&gt;0,COLUMN($A:$T),""),BD$31))),0,INDEX($E78:$X78,,SMALL(IF($E78:$X78&gt;0,COLUMN($A:$T),""),BD$31))))</f>
        <v>0</v>
      </c>
      <c r="BE78" s="5">
        <f t="array" aca="1" ref="BE78" ca="1">IF(BE$31&gt;$AL78,0,IF(ISERROR(OFFSET($E$31,0,SMALL(IF($E78:$X78&gt;0,COLUMN($A:$T),""),BE$31)-1)),0,OFFSET($E$31,0,SMALL(IF($E78:$X78&gt;0,COLUMN($A:$T),""),BE$31)-1)))</f>
        <v>0</v>
      </c>
      <c r="BF78" s="5">
        <f t="array" ref="BF78">IF(BE$31&gt;$AL78,0,IF(ISERROR(INDEX($E78:$X78,,SMALL(IF($E78:$X78&gt;0,COLUMN($A:$T),""),BF$31))),0,INDEX($E78:$X78,,SMALL(IF($E78:$X78&gt;0,COLUMN($A:$T),""),BF$31))))</f>
        <v>0</v>
      </c>
      <c r="BH78">
        <f ca="1">SUMPRODUCT(E78:N78,定义数据!$G$14:$P$14)</f>
        <v>37.459651727580507</v>
      </c>
      <c r="BI78">
        <f ca="1">SUMPRODUCT(O78:X78,定义数据!$G$14:$P$14)</f>
        <v>19.409632255857279</v>
      </c>
      <c r="BJ78" s="5">
        <f t="shared" ca="1" si="18"/>
        <v>56.869283983437782</v>
      </c>
      <c r="BK78" s="5" t="str">
        <f>D78&amp;B78&amp;VLOOKUP(C78,定义数据!$E$1:$F$7,2,FALSE)</f>
        <v>3024</v>
      </c>
    </row>
    <row r="79" spans="1:63" x14ac:dyDescent="0.15">
      <c r="A79" s="17" t="str">
        <f>D79&amp;B79&amp;VLOOKUP(C79,定义数据!$E$1:$F$7,2,FALSE)</f>
        <v>3023</v>
      </c>
      <c r="B79" s="18">
        <v>2</v>
      </c>
      <c r="C79" s="18" t="s">
        <v>140</v>
      </c>
      <c r="D79" s="24">
        <v>30</v>
      </c>
      <c r="E79" s="56">
        <f t="shared" ca="1" si="35"/>
        <v>0</v>
      </c>
      <c r="F79" s="56">
        <f t="shared" ca="1" si="36"/>
        <v>38.824278930481299</v>
      </c>
      <c r="G79" s="56">
        <f t="shared" ca="1" si="37"/>
        <v>0</v>
      </c>
      <c r="H79" s="56">
        <f t="shared" ca="1" si="38"/>
        <v>0</v>
      </c>
      <c r="I79" s="56">
        <f t="shared" ca="1" si="39"/>
        <v>121.875</v>
      </c>
      <c r="J79" s="56">
        <f t="shared" ca="1" si="40"/>
        <v>0</v>
      </c>
      <c r="K79" s="56">
        <f t="shared" ca="1" si="41"/>
        <v>0</v>
      </c>
      <c r="L79" s="56">
        <f t="shared" ca="1" si="42"/>
        <v>0</v>
      </c>
      <c r="M79" s="56">
        <f t="shared" ca="1" si="43"/>
        <v>0</v>
      </c>
      <c r="N79" s="56">
        <f t="shared" ca="1" si="44"/>
        <v>0</v>
      </c>
      <c r="O79" s="65">
        <f t="shared" ca="1" si="54"/>
        <v>0</v>
      </c>
      <c r="P79" s="65">
        <f t="shared" ca="1" si="45"/>
        <v>6.9020940320855644</v>
      </c>
      <c r="Q79" s="65">
        <f t="shared" ca="1" si="46"/>
        <v>0</v>
      </c>
      <c r="R79" s="65">
        <f t="shared" ca="1" si="47"/>
        <v>5.416666666666667</v>
      </c>
      <c r="S79" s="65">
        <f t="shared" ca="1" si="48"/>
        <v>9.0277777777777768</v>
      </c>
      <c r="T79" s="65">
        <f t="shared" ca="1" si="49"/>
        <v>6.419753086419755</v>
      </c>
      <c r="U79" s="65">
        <f t="shared" ca="1" si="50"/>
        <v>0</v>
      </c>
      <c r="V79" s="65">
        <f t="shared" ca="1" si="51"/>
        <v>0</v>
      </c>
      <c r="W79" s="65">
        <f t="shared" ca="1" si="52"/>
        <v>0</v>
      </c>
      <c r="X79" s="65">
        <f t="shared" ca="1" si="53"/>
        <v>0</v>
      </c>
      <c r="Y79" s="21"/>
      <c r="Z79" s="15">
        <f>VLOOKUP($D79&amp;$B79,[3]!装备基础属性表,P$30,FALSE)</f>
        <v>3397.1738510528485</v>
      </c>
      <c r="AA79" s="15">
        <f>VLOOKUP($D79&amp;$B79,[3]!装备基础属性表,Q$30,FALSE)</f>
        <v>172.5523508021391</v>
      </c>
      <c r="AB79" s="15">
        <f>VLOOKUP($D79&amp;$B79,[3]!装备基础属性表,R$30,FALSE)</f>
        <v>74.563349740034667</v>
      </c>
      <c r="AC79" s="15">
        <f>VLOOKUP($D79&amp;$B79,[3]!装备基础属性表,S$30,FALSE)</f>
        <v>135.41666666666666</v>
      </c>
      <c r="AD79" s="15">
        <f>VLOOKUP($D79&amp;$B79,[3]!装备基础属性表,T$30,FALSE)</f>
        <v>135.41666666666666</v>
      </c>
      <c r="AE79" s="15">
        <f>VLOOKUP($D79&amp;$B79,[3]!装备基础属性表,U$30,FALSE)</f>
        <v>80.246913580246925</v>
      </c>
      <c r="AF79" s="15">
        <f>VLOOKUP($D79&amp;$B79,[3]!装备基础属性表,V$30,FALSE)</f>
        <v>0</v>
      </c>
      <c r="AG79" s="15">
        <f>VLOOKUP($D79&amp;$B79,[3]!装备基础属性表,W$30,FALSE)</f>
        <v>80.246913580246925</v>
      </c>
      <c r="AH79" s="15">
        <f>VLOOKUP($D79&amp;$B79,[3]!装备基础属性表,X$30,FALSE)</f>
        <v>0</v>
      </c>
      <c r="AI79" s="15">
        <f>VLOOKUP($D79&amp;$B79,[3]!装备基础属性表,Y$30,FALSE)</f>
        <v>0</v>
      </c>
      <c r="AJ79" s="16" t="str">
        <f>B79&amp;VLOOKUP(C79,定义数据!$E$1:$F$7,2,FALSE)&amp;D79</f>
        <v>2330</v>
      </c>
      <c r="AK79" s="14">
        <f t="shared" si="29"/>
        <v>9</v>
      </c>
      <c r="AL79" s="5">
        <f t="shared" si="30"/>
        <v>4</v>
      </c>
      <c r="AM79" s="5" t="str">
        <f t="array" aca="1" ref="AM79" ca="1">IF(AM$31&gt;$AL79,0,IF(ISERROR(OFFSET($E$31,0,SMALL(IF($E79:$X79&gt;0,COLUMN($A:$T),""),AM$31)-1)),0,OFFSET($E$31,0,SMALL(IF($E79:$X79&gt;0,COLUMN($A:$T),""),AM$31)-1)))</f>
        <v>攻击</v>
      </c>
      <c r="AN79" s="5">
        <f t="array" aca="1" ref="AN79" ca="1">IF(AM$31&gt;$AL79,0,IF(ISERROR(INDEX($E79:$X79,,SMALL(IF($E79:$X79&gt;0,COLUMN($A:$T),""),AN$31))),0,INDEX($E79:$X79,,SMALL(IF($E79:$X79&gt;0,COLUMN($A:$T),""),AN$31))))</f>
        <v>38.824278930481299</v>
      </c>
      <c r="AO79" s="5" t="str">
        <f t="array" aca="1" ref="AO79" ca="1">IF(AO$31&gt;$AL79,0,IF(ISERROR(OFFSET($E$31,0,SMALL(IF($E79:$X79&gt;0,COLUMN($A:$T),""),AO$31)-1)),0,OFFSET($E$31,0,SMALL(IF($E79:$X79&gt;0,COLUMN($A:$T),""),AO$31)-1)))</f>
        <v>命中值</v>
      </c>
      <c r="AP79" s="5">
        <f t="array" aca="1" ref="AP79" ca="1">IF(AO$31&gt;$AL79,0,IF(ISERROR(INDEX($E79:$X79,,SMALL(IF($E79:$X79&gt;0,COLUMN($A:$T),""),AP$31))),0,INDEX($E79:$X79,,SMALL(IF($E79:$X79&gt;0,COLUMN($A:$T),""),AP$31))))</f>
        <v>121.875</v>
      </c>
      <c r="AQ79" s="5" t="str">
        <f t="array" aca="1" ref="AQ79" ca="1">IF(AQ$31&gt;$AL79,0,IF(ISERROR(OFFSET($E$31,0,SMALL(IF($E79:$X79&gt;0,COLUMN($A:$T),""),AQ$31)-1)),0,OFFSET($E$31,0,SMALL(IF($E79:$X79&gt;0,COLUMN($A:$T),""),AQ$31)-1)))</f>
        <v>攻击</v>
      </c>
      <c r="AR79" s="5">
        <f t="array" aca="1" ref="AR79" ca="1">IF(AQ$31&gt;$AL79,0,IF(ISERROR(INDEX($E79:$X79,,SMALL(IF($E79:$X79&gt;0,COLUMN($A:$T),""),AR$31))),0,INDEX($E79:$X79,,SMALL(IF($E79:$X79&gt;0,COLUMN($A:$T),""),AR$31))))</f>
        <v>6.9020940320855644</v>
      </c>
      <c r="AS79" s="5" t="str">
        <f t="array" aca="1" ref="AS79" ca="1">IF(AS$31&gt;$AL79,0,IF(ISERROR(OFFSET($E$31,0,SMALL(IF($E79:$X79&gt;0,COLUMN($A:$T),""),AS$31)-1)),0,OFFSET($E$31,0,SMALL(IF($E79:$X79&gt;0,COLUMN($A:$T),""),AS$31)-1)))</f>
        <v>闪避值</v>
      </c>
      <c r="AT79" s="5">
        <f t="array" aca="1" ref="AT79" ca="1">IF(AS$31&gt;$AL79,0,IF(ISERROR(INDEX($E79:$X79,,SMALL(IF($E79:$X79&gt;0,COLUMN($A:$T),""),AT$31))),0,INDEX($E79:$X79,,SMALL(IF($E79:$X79&gt;0,COLUMN($A:$T),""),AT$31))))</f>
        <v>5.416666666666667</v>
      </c>
      <c r="AU79" s="5">
        <f t="array" aca="1" ref="AU79" ca="1">IF(AU$31&gt;$AL79,0,IF(ISERROR(OFFSET($E$31,0,SMALL(IF($E79:$X79&gt;0,COLUMN($A:$T),""),AU$31)-1)),0,OFFSET($E$31,0,SMALL(IF($E79:$X79&gt;0,COLUMN($A:$T),""),AU$31)-1)))</f>
        <v>0</v>
      </c>
      <c r="AV79" s="5">
        <f t="array" ref="AV79">IF(AU$31&gt;$AL79,0,IF(ISERROR(INDEX($E79:$X79,,SMALL(IF($E79:$X79&gt;0,COLUMN($A:$T),""),AV$31))),0,INDEX($E79:$X79,,SMALL(IF($E79:$X79&gt;0,COLUMN($A:$T),""),AV$31))))</f>
        <v>0</v>
      </c>
      <c r="AW79" s="5">
        <f t="array" aca="1" ref="AW79" ca="1">IF(AW$31&gt;$AL79,0,IF(ISERROR(OFFSET($E$31,0,SMALL(IF($E79:$X79&gt;0,COLUMN($A:$T),""),AW$31)-1)),0,OFFSET($E$31,0,SMALL(IF($E79:$X79&gt;0,COLUMN($A:$T),""),AW$31)-1)))</f>
        <v>0</v>
      </c>
      <c r="AX79" s="5">
        <f t="array" ref="AX79">IF(AW$31&gt;$AL79,0,IF(ISERROR(INDEX($E79:$X79,,SMALL(IF($E79:$X79&gt;0,COLUMN($A:$T),""),AX$31))),0,INDEX($E79:$X79,,SMALL(IF($E79:$X79&gt;0,COLUMN($A:$T),""),AX$31))))</f>
        <v>0</v>
      </c>
      <c r="AY79" s="5">
        <f t="array" aca="1" ref="AY79" ca="1">IF(AY$31&gt;$AL79,0,IF(ISERROR(OFFSET($E$31,0,SMALL(IF($E79:$X79&gt;0,COLUMN($A:$T),""),AY$31)-1)),0,OFFSET($E$31,0,SMALL(IF($E79:$X79&gt;0,COLUMN($A:$T),""),AY$31)-1)))</f>
        <v>0</v>
      </c>
      <c r="AZ79" s="5">
        <f t="array" ref="AZ79">IF(AY$31&gt;$AL79,0,IF(ISERROR(INDEX($E79:$X79,,SMALL(IF($E79:$X79&gt;0,COLUMN($A:$T),""),AZ$31))),0,INDEX($E79:$X79,,SMALL(IF($E79:$X79&gt;0,COLUMN($A:$T),""),AZ$31))))</f>
        <v>0</v>
      </c>
      <c r="BA79" s="5">
        <f t="array" aca="1" ref="BA79" ca="1">IF(BA$31&gt;$AL79,0,IF(ISERROR(OFFSET($E$31,0,SMALL(IF($E79:$X79&gt;0,COLUMN($A:$T),""),BA$31)-1)),0,OFFSET($E$31,0,SMALL(IF($E79:$X79&gt;0,COLUMN($A:$T),""),BA$31)-1)))</f>
        <v>0</v>
      </c>
      <c r="BB79" s="5">
        <f t="array" ref="BB79">IF(BA$31&gt;$AL79,0,IF(ISERROR(INDEX($E79:$X79,,SMALL(IF($E79:$X79&gt;0,COLUMN($A:$T),""),BB$31))),0,INDEX($E79:$X79,,SMALL(IF($E79:$X79&gt;0,COLUMN($A:$T),""),BB$31))))</f>
        <v>0</v>
      </c>
      <c r="BC79" s="5">
        <f t="array" aca="1" ref="BC79" ca="1">IF(BC$31&gt;$AL79,0,IF(ISERROR(OFFSET($E$31,0,SMALL(IF($E79:$X79&gt;0,COLUMN($A:$T),""),BC$31)-1)),0,OFFSET($E$31,0,SMALL(IF($E79:$X79&gt;0,COLUMN($A:$T),""),BC$31)-1)))</f>
        <v>0</v>
      </c>
      <c r="BD79" s="5">
        <f t="array" ref="BD79">IF(BC$31&gt;$AL79,0,IF(ISERROR(INDEX($E79:$X79,,SMALL(IF($E79:$X79&gt;0,COLUMN($A:$T),""),BD$31))),0,INDEX($E79:$X79,,SMALL(IF($E79:$X79&gt;0,COLUMN($A:$T),""),BD$31))))</f>
        <v>0</v>
      </c>
      <c r="BE79" s="5">
        <f t="array" aca="1" ref="BE79" ca="1">IF(BE$31&gt;$AL79,0,IF(ISERROR(OFFSET($E$31,0,SMALL(IF($E79:$X79&gt;0,COLUMN($A:$T),""),BE$31)-1)),0,OFFSET($E$31,0,SMALL(IF($E79:$X79&gt;0,COLUMN($A:$T),""),BE$31)-1)))</f>
        <v>0</v>
      </c>
      <c r="BF79" s="5">
        <f t="array" ref="BF79">IF(BE$31&gt;$AL79,0,IF(ISERROR(INDEX($E79:$X79,,SMALL(IF($E79:$X79&gt;0,COLUMN($A:$T),""),BF$31))),0,INDEX($E79:$X79,,SMALL(IF($E79:$X79&gt;0,COLUMN($A:$T),""),BF$31))))</f>
        <v>0</v>
      </c>
      <c r="BH79">
        <f ca="1">SUMPRODUCT(E79:N79,定义数据!$G$14:$P$14)</f>
        <v>80.261778930481299</v>
      </c>
      <c r="BI79">
        <f ca="1">SUMPRODUCT(O79:X79,定义数据!$G$14:$P$14)</f>
        <v>12.968760698752231</v>
      </c>
      <c r="BJ79" s="5">
        <f t="shared" ca="1" si="18"/>
        <v>93.230539629233533</v>
      </c>
      <c r="BK79" s="5" t="str">
        <f>D79&amp;B79&amp;VLOOKUP(C79,定义数据!$E$1:$F$7,2,FALSE)</f>
        <v>3023</v>
      </c>
    </row>
    <row r="80" spans="1:63" x14ac:dyDescent="0.15">
      <c r="A80" s="17" t="str">
        <f>D80&amp;B80&amp;VLOOKUP(C80,定义数据!$E$1:$F$7,2,FALSE)</f>
        <v>3030</v>
      </c>
      <c r="B80" s="18">
        <v>3</v>
      </c>
      <c r="C80" s="18" t="s">
        <v>141</v>
      </c>
      <c r="D80" s="24">
        <v>30</v>
      </c>
      <c r="E80" s="56">
        <f t="shared" ca="1" si="35"/>
        <v>0</v>
      </c>
      <c r="F80" s="56">
        <f t="shared" ca="1" si="36"/>
        <v>135.38722909090913</v>
      </c>
      <c r="G80" s="56">
        <f t="shared" ca="1" si="37"/>
        <v>0</v>
      </c>
      <c r="H80" s="56">
        <f t="shared" ca="1" si="38"/>
        <v>0</v>
      </c>
      <c r="I80" s="56">
        <f t="shared" ca="1" si="39"/>
        <v>0</v>
      </c>
      <c r="J80" s="56">
        <f t="shared" ca="1" si="40"/>
        <v>83.950617283950621</v>
      </c>
      <c r="K80" s="56">
        <f t="shared" ca="1" si="41"/>
        <v>0</v>
      </c>
      <c r="L80" s="56">
        <f t="shared" ca="1" si="42"/>
        <v>0</v>
      </c>
      <c r="M80" s="56">
        <f t="shared" ca="1" si="43"/>
        <v>0</v>
      </c>
      <c r="N80" s="56">
        <f t="shared" ca="1" si="44"/>
        <v>0</v>
      </c>
      <c r="O80" s="65">
        <f t="shared" ca="1" si="54"/>
        <v>0</v>
      </c>
      <c r="P80" s="65">
        <f t="shared" ca="1" si="45"/>
        <v>40.616168727272743</v>
      </c>
      <c r="Q80" s="65">
        <f t="shared" ca="1" si="46"/>
        <v>4.8752959445407278</v>
      </c>
      <c r="R80" s="65">
        <f t="shared" ca="1" si="47"/>
        <v>0</v>
      </c>
      <c r="S80" s="65">
        <f t="shared" ca="1" si="48"/>
        <v>17.708333333333336</v>
      </c>
      <c r="T80" s="65">
        <f t="shared" ca="1" si="49"/>
        <v>12.592592592592595</v>
      </c>
      <c r="U80" s="65">
        <f t="shared" ca="1" si="50"/>
        <v>0</v>
      </c>
      <c r="V80" s="65">
        <f t="shared" ca="1" si="51"/>
        <v>0</v>
      </c>
      <c r="W80" s="65">
        <f t="shared" ca="1" si="52"/>
        <v>0</v>
      </c>
      <c r="X80" s="65">
        <f t="shared" ca="1" si="53"/>
        <v>0</v>
      </c>
      <c r="Y80" s="21" t="s">
        <v>94</v>
      </c>
      <c r="Z80" s="15">
        <f>VLOOKUP($D80&amp;$B80,[3]!装备基础属性表,P$30,FALSE)</f>
        <v>4442.458112915263</v>
      </c>
      <c r="AA80" s="15">
        <f>VLOOKUP($D80&amp;$B80,[3]!装备基础属性表,Q$30,FALSE)</f>
        <v>225.6453818181819</v>
      </c>
      <c r="AB80" s="15">
        <f>VLOOKUP($D80&amp;$B80,[3]!装备基础属性表,R$30,FALSE)</f>
        <v>97.505918890814556</v>
      </c>
      <c r="AC80" s="15">
        <f>VLOOKUP($D80&amp;$B80,[3]!装备基础属性表,S$30,FALSE)</f>
        <v>177.08333333333334</v>
      </c>
      <c r="AD80" s="15">
        <f>VLOOKUP($D80&amp;$B80,[3]!装备基础属性表,T$30,FALSE)</f>
        <v>177.08333333333334</v>
      </c>
      <c r="AE80" s="15">
        <f>VLOOKUP($D80&amp;$B80,[3]!装备基础属性表,U$30,FALSE)</f>
        <v>104.93827160493827</v>
      </c>
      <c r="AF80" s="15">
        <f>VLOOKUP($D80&amp;$B80,[3]!装备基础属性表,V$30,FALSE)</f>
        <v>0</v>
      </c>
      <c r="AG80" s="15">
        <f>VLOOKUP($D80&amp;$B80,[3]!装备基础属性表,W$30,FALSE)</f>
        <v>104.93827160493827</v>
      </c>
      <c r="AH80" s="15">
        <f>VLOOKUP($D80&amp;$B80,[3]!装备基础属性表,X$30,FALSE)</f>
        <v>0</v>
      </c>
      <c r="AI80" s="15">
        <f>VLOOKUP($D80&amp;$B80,[3]!装备基础属性表,Y$30,FALSE)</f>
        <v>0</v>
      </c>
      <c r="AJ80" s="16" t="str">
        <f>B80&amp;VLOOKUP(C80,定义数据!$E$1:$F$7,2,FALSE)&amp;D80</f>
        <v>3030</v>
      </c>
      <c r="AK80" s="14">
        <f t="shared" si="29"/>
        <v>10</v>
      </c>
      <c r="AL80" s="5">
        <f t="shared" ref="AL80:AL143" si="99">B80+2</f>
        <v>5</v>
      </c>
      <c r="AM80" s="5" t="str">
        <f t="array" aca="1" ref="AM80" ca="1">IF(AM$31&gt;$AL80,0,IF(ISERROR(OFFSET($E$31,0,SMALL(IF($E80:$X80&gt;0,COLUMN($A:$T),""),AM$31)-1)),0,OFFSET($E$31,0,SMALL(IF($E80:$X80&gt;0,COLUMN($A:$T),""),AM$31)-1)))</f>
        <v>攻击</v>
      </c>
      <c r="AN80" s="5">
        <f t="array" aca="1" ref="AN80" ca="1">IF(AM$31&gt;$AL80,0,IF(ISERROR(INDEX($E80:$X80,,SMALL(IF($E80:$X80&gt;0,COLUMN($A:$T),""),AN$31))),0,INDEX($E80:$X80,,SMALL(IF($E80:$X80&gt;0,COLUMN($A:$T),""),AN$31))))</f>
        <v>135.38722909090913</v>
      </c>
      <c r="AO80" s="5" t="str">
        <f t="array" aca="1" ref="AO80" ca="1">IF(AO$31&gt;$AL80,0,IF(ISERROR(OFFSET($E$31,0,SMALL(IF($E80:$X80&gt;0,COLUMN($A:$T),""),AO$31)-1)),0,OFFSET($E$31,0,SMALL(IF($E80:$X80&gt;0,COLUMN($A:$T),""),AO$31)-1)))</f>
        <v>暴击值</v>
      </c>
      <c r="AP80" s="5">
        <f t="array" aca="1" ref="AP80" ca="1">IF(AO$31&gt;$AL80,0,IF(ISERROR(INDEX($E80:$X80,,SMALL(IF($E80:$X80&gt;0,COLUMN($A:$T),""),AP$31))),0,INDEX($E80:$X80,,SMALL(IF($E80:$X80&gt;0,COLUMN($A:$T),""),AP$31))))</f>
        <v>83.950617283950621</v>
      </c>
      <c r="AQ80" s="5" t="str">
        <f t="array" aca="1" ref="AQ80" ca="1">IF(AQ$31&gt;$AL80,0,IF(ISERROR(OFFSET($E$31,0,SMALL(IF($E80:$X80&gt;0,COLUMN($A:$T),""),AQ$31)-1)),0,OFFSET($E$31,0,SMALL(IF($E80:$X80&gt;0,COLUMN($A:$T),""),AQ$31)-1)))</f>
        <v>攻击</v>
      </c>
      <c r="AR80" s="5">
        <f t="array" aca="1" ref="AR80" ca="1">IF(AQ$31&gt;$AL80,0,IF(ISERROR(INDEX($E80:$X80,,SMALL(IF($E80:$X80&gt;0,COLUMN($A:$T),""),AR$31))),0,INDEX($E80:$X80,,SMALL(IF($E80:$X80&gt;0,COLUMN($A:$T),""),AR$31))))</f>
        <v>40.616168727272743</v>
      </c>
      <c r="AS80" s="5" t="str">
        <f t="array" aca="1" ref="AS80" ca="1">IF(AS$31&gt;$AL80,0,IF(ISERROR(OFFSET($E$31,0,SMALL(IF($E80:$X80&gt;0,COLUMN($A:$T),""),AS$31)-1)),0,OFFSET($E$31,0,SMALL(IF($E80:$X80&gt;0,COLUMN($A:$T),""),AS$31)-1)))</f>
        <v>防御</v>
      </c>
      <c r="AT80" s="5">
        <f t="array" aca="1" ref="AT80" ca="1">IF(AS$31&gt;$AL80,0,IF(ISERROR(INDEX($E80:$X80,,SMALL(IF($E80:$X80&gt;0,COLUMN($A:$T),""),AT$31))),0,INDEX($E80:$X80,,SMALL(IF($E80:$X80&gt;0,COLUMN($A:$T),""),AT$31))))</f>
        <v>4.8752959445407278</v>
      </c>
      <c r="AU80" s="5" t="str">
        <f t="array" aca="1" ref="AU80" ca="1">IF(AU$31&gt;$AL80,0,IF(ISERROR(OFFSET($E$31,0,SMALL(IF($E80:$X80&gt;0,COLUMN($A:$T),""),AU$31)-1)),0,OFFSET($E$31,0,SMALL(IF($E80:$X80&gt;0,COLUMN($A:$T),""),AU$31)-1)))</f>
        <v>命中值</v>
      </c>
      <c r="AV80" s="5">
        <f t="array" aca="1" ref="AV80" ca="1">IF(AU$31&gt;$AL80,0,IF(ISERROR(INDEX($E80:$X80,,SMALL(IF($E80:$X80&gt;0,COLUMN($A:$T),""),AV$31))),0,INDEX($E80:$X80,,SMALL(IF($E80:$X80&gt;0,COLUMN($A:$T),""),AV$31))))</f>
        <v>17.708333333333336</v>
      </c>
      <c r="AW80" s="5">
        <f t="array" aca="1" ref="AW80" ca="1">IF(AW$31&gt;$AL80,0,IF(ISERROR(OFFSET($E$31,0,SMALL(IF($E80:$X80&gt;0,COLUMN($A:$T),""),AW$31)-1)),0,OFFSET($E$31,0,SMALL(IF($E80:$X80&gt;0,COLUMN($A:$T),""),AW$31)-1)))</f>
        <v>0</v>
      </c>
      <c r="AX80" s="5">
        <f t="array" ref="AX80">IF(AW$31&gt;$AL80,0,IF(ISERROR(INDEX($E80:$X80,,SMALL(IF($E80:$X80&gt;0,COLUMN($A:$T),""),AX$31))),0,INDEX($E80:$X80,,SMALL(IF($E80:$X80&gt;0,COLUMN($A:$T),""),AX$31))))</f>
        <v>0</v>
      </c>
      <c r="AY80" s="5">
        <f t="array" aca="1" ref="AY80" ca="1">IF(AY$31&gt;$AL80,0,IF(ISERROR(OFFSET($E$31,0,SMALL(IF($E80:$X80&gt;0,COLUMN($A:$T),""),AY$31)-1)),0,OFFSET($E$31,0,SMALL(IF($E80:$X80&gt;0,COLUMN($A:$T),""),AY$31)-1)))</f>
        <v>0</v>
      </c>
      <c r="AZ80" s="5">
        <f t="array" ref="AZ80">IF(AY$31&gt;$AL80,0,IF(ISERROR(INDEX($E80:$X80,,SMALL(IF($E80:$X80&gt;0,COLUMN($A:$T),""),AZ$31))),0,INDEX($E80:$X80,,SMALL(IF($E80:$X80&gt;0,COLUMN($A:$T),""),AZ$31))))</f>
        <v>0</v>
      </c>
      <c r="BA80" s="5">
        <f t="array" aca="1" ref="BA80" ca="1">IF(BA$31&gt;$AL80,0,IF(ISERROR(OFFSET($E$31,0,SMALL(IF($E80:$X80&gt;0,COLUMN($A:$T),""),BA$31)-1)),0,OFFSET($E$31,0,SMALL(IF($E80:$X80&gt;0,COLUMN($A:$T),""),BA$31)-1)))</f>
        <v>0</v>
      </c>
      <c r="BB80" s="5">
        <f t="array" ref="BB80">IF(BA$31&gt;$AL80,0,IF(ISERROR(INDEX($E80:$X80,,SMALL(IF($E80:$X80&gt;0,COLUMN($A:$T),""),BB$31))),0,INDEX($E80:$X80,,SMALL(IF($E80:$X80&gt;0,COLUMN($A:$T),""),BB$31))))</f>
        <v>0</v>
      </c>
      <c r="BC80" s="5">
        <f t="array" aca="1" ref="BC80" ca="1">IF(BC$31&gt;$AL80,0,IF(ISERROR(OFFSET($E$31,0,SMALL(IF($E80:$X80&gt;0,COLUMN($A:$T),""),BC$31)-1)),0,OFFSET($E$31,0,SMALL(IF($E80:$X80&gt;0,COLUMN($A:$T),""),BC$31)-1)))</f>
        <v>0</v>
      </c>
      <c r="BD80" s="5">
        <f t="array" ref="BD80">IF(BC$31&gt;$AL80,0,IF(ISERROR(INDEX($E80:$X80,,SMALL(IF($E80:$X80&gt;0,COLUMN($A:$T),""),BD$31))),0,INDEX($E80:$X80,,SMALL(IF($E80:$X80&gt;0,COLUMN($A:$T),""),BD$31))))</f>
        <v>0</v>
      </c>
      <c r="BE80" s="5">
        <f t="array" aca="1" ref="BE80" ca="1">IF(BE$31&gt;$AL80,0,IF(ISERROR(OFFSET($E$31,0,SMALL(IF($E80:$X80&gt;0,COLUMN($A:$T),""),BE$31)-1)),0,OFFSET($E$31,0,SMALL(IF($E80:$X80&gt;0,COLUMN($A:$T),""),BE$31)-1)))</f>
        <v>0</v>
      </c>
      <c r="BF80" s="5">
        <f t="array" ref="BF80">IF(BE$31&gt;$AL80,0,IF(ISERROR(INDEX($E80:$X80,,SMALL(IF($E80:$X80&gt;0,COLUMN($A:$T),""),BF$31))),0,INDEX($E80:$X80,,SMALL(IF($E80:$X80&gt;0,COLUMN($A:$T),""),BF$31))))</f>
        <v>0</v>
      </c>
      <c r="BH80">
        <f ca="1">SUMPRODUCT(E80:N80,定义数据!$G$14:$P$14)</f>
        <v>150.49834020202024</v>
      </c>
      <c r="BI80">
        <f ca="1">SUMPRODUCT(O80:X80,定义数据!$G$14:$P$14)</f>
        <v>53.778964671813476</v>
      </c>
      <c r="BJ80" s="5">
        <f t="shared" ref="BJ80:BJ143" ca="1" si="100">SUM(BH80:BI80)</f>
        <v>204.27730487383371</v>
      </c>
      <c r="BK80" s="5" t="str">
        <f>D80&amp;B80&amp;VLOOKUP(C80,定义数据!$E$1:$F$7,2,FALSE)</f>
        <v>3030</v>
      </c>
    </row>
    <row r="81" spans="1:63" x14ac:dyDescent="0.15">
      <c r="A81" s="17" t="str">
        <f>D81&amp;B81&amp;VLOOKUP(C81,定义数据!$E$1:$F$7,2,FALSE)</f>
        <v>3031</v>
      </c>
      <c r="B81" s="18">
        <v>3</v>
      </c>
      <c r="C81" s="18" t="s">
        <v>136</v>
      </c>
      <c r="D81" s="24">
        <v>30</v>
      </c>
      <c r="E81" s="56">
        <f t="shared" ca="1" si="35"/>
        <v>2132.3798941993259</v>
      </c>
      <c r="F81" s="56">
        <f t="shared" ca="1" si="36"/>
        <v>0</v>
      </c>
      <c r="G81" s="56">
        <f t="shared" ca="1" si="37"/>
        <v>46.80284106759099</v>
      </c>
      <c r="H81" s="56">
        <f t="shared" ca="1" si="38"/>
        <v>0</v>
      </c>
      <c r="I81" s="56">
        <f t="shared" ca="1" si="39"/>
        <v>0</v>
      </c>
      <c r="J81" s="56">
        <f t="shared" ca="1" si="40"/>
        <v>0</v>
      </c>
      <c r="K81" s="56">
        <f t="shared" ca="1" si="41"/>
        <v>0</v>
      </c>
      <c r="L81" s="56">
        <f t="shared" ca="1" si="42"/>
        <v>0</v>
      </c>
      <c r="M81" s="56">
        <f t="shared" ca="1" si="43"/>
        <v>0</v>
      </c>
      <c r="N81" s="56">
        <f t="shared" ca="1" si="44"/>
        <v>0</v>
      </c>
      <c r="O81" s="65">
        <f t="shared" ca="1" si="54"/>
        <v>444.24581129152637</v>
      </c>
      <c r="P81" s="65">
        <f t="shared" ca="1" si="45"/>
        <v>0</v>
      </c>
      <c r="Q81" s="65">
        <f t="shared" ca="1" si="46"/>
        <v>14.625887833622185</v>
      </c>
      <c r="R81" s="65">
        <f t="shared" ca="1" si="47"/>
        <v>10.625000000000004</v>
      </c>
      <c r="S81" s="65">
        <f t="shared" ca="1" si="48"/>
        <v>0</v>
      </c>
      <c r="T81" s="65">
        <f t="shared" ca="1" si="49"/>
        <v>0</v>
      </c>
      <c r="U81" s="65">
        <f t="shared" ca="1" si="50"/>
        <v>0</v>
      </c>
      <c r="V81" s="65">
        <f t="shared" ca="1" si="51"/>
        <v>10.493827160493826</v>
      </c>
      <c r="W81" s="65">
        <f t="shared" ca="1" si="52"/>
        <v>0</v>
      </c>
      <c r="X81" s="65">
        <f t="shared" ca="1" si="53"/>
        <v>0</v>
      </c>
      <c r="Y81" s="21" t="s">
        <v>95</v>
      </c>
      <c r="Z81" s="15">
        <f>VLOOKUP($D81&amp;$B81,[3]!装备基础属性表,P$30,FALSE)</f>
        <v>4442.458112915263</v>
      </c>
      <c r="AA81" s="15">
        <f>VLOOKUP($D81&amp;$B81,[3]!装备基础属性表,Q$30,FALSE)</f>
        <v>225.6453818181819</v>
      </c>
      <c r="AB81" s="15">
        <f>VLOOKUP($D81&amp;$B81,[3]!装备基础属性表,R$30,FALSE)</f>
        <v>97.505918890814556</v>
      </c>
      <c r="AC81" s="15">
        <f>VLOOKUP($D81&amp;$B81,[3]!装备基础属性表,S$30,FALSE)</f>
        <v>177.08333333333334</v>
      </c>
      <c r="AD81" s="15">
        <f>VLOOKUP($D81&amp;$B81,[3]!装备基础属性表,T$30,FALSE)</f>
        <v>177.08333333333334</v>
      </c>
      <c r="AE81" s="15">
        <f>VLOOKUP($D81&amp;$B81,[3]!装备基础属性表,U$30,FALSE)</f>
        <v>104.93827160493827</v>
      </c>
      <c r="AF81" s="15">
        <f>VLOOKUP($D81&amp;$B81,[3]!装备基础属性表,V$30,FALSE)</f>
        <v>0</v>
      </c>
      <c r="AG81" s="15">
        <f>VLOOKUP($D81&amp;$B81,[3]!装备基础属性表,W$30,FALSE)</f>
        <v>104.93827160493827</v>
      </c>
      <c r="AH81" s="15">
        <f>VLOOKUP($D81&amp;$B81,[3]!装备基础属性表,X$30,FALSE)</f>
        <v>0</v>
      </c>
      <c r="AI81" s="15">
        <f>VLOOKUP($D81&amp;$B81,[3]!装备基础属性表,Y$30,FALSE)</f>
        <v>0</v>
      </c>
      <c r="AJ81" s="16" t="str">
        <f>B81&amp;VLOOKUP(C81,定义数据!$E$1:$F$7,2,FALSE)&amp;D81</f>
        <v>3130</v>
      </c>
      <c r="AK81" s="14">
        <f t="shared" si="29"/>
        <v>10</v>
      </c>
      <c r="AL81" s="5">
        <f t="shared" si="99"/>
        <v>5</v>
      </c>
      <c r="AM81" s="5" t="str">
        <f t="array" aca="1" ref="AM81" ca="1">IF(AM$31&gt;$AL81,0,IF(ISERROR(OFFSET($E$31,0,SMALL(IF($E81:$X81&gt;0,COLUMN($A:$T),""),AM$31)-1)),0,OFFSET($E$31,0,SMALL(IF($E81:$X81&gt;0,COLUMN($A:$T),""),AM$31)-1)))</f>
        <v>生命</v>
      </c>
      <c r="AN81" s="5">
        <f t="array" aca="1" ref="AN81" ca="1">IF(AM$31&gt;$AL81,0,IF(ISERROR(INDEX($E81:$X81,,SMALL(IF($E81:$X81&gt;0,COLUMN($A:$T),""),AN$31))),0,INDEX($E81:$X81,,SMALL(IF($E81:$X81&gt;0,COLUMN($A:$T),""),AN$31))))</f>
        <v>2132.3798941993259</v>
      </c>
      <c r="AO81" s="5" t="str">
        <f t="array" aca="1" ref="AO81" ca="1">IF(AO$31&gt;$AL81,0,IF(ISERROR(OFFSET($E$31,0,SMALL(IF($E81:$X81&gt;0,COLUMN($A:$T),""),AO$31)-1)),0,OFFSET($E$31,0,SMALL(IF($E81:$X81&gt;0,COLUMN($A:$T),""),AO$31)-1)))</f>
        <v>防御</v>
      </c>
      <c r="AP81" s="5">
        <f t="array" aca="1" ref="AP81" ca="1">IF(AO$31&gt;$AL81,0,IF(ISERROR(INDEX($E81:$X81,,SMALL(IF($E81:$X81&gt;0,COLUMN($A:$T),""),AP$31))),0,INDEX($E81:$X81,,SMALL(IF($E81:$X81&gt;0,COLUMN($A:$T),""),AP$31))))</f>
        <v>46.80284106759099</v>
      </c>
      <c r="AQ81" s="5" t="str">
        <f t="array" aca="1" ref="AQ81" ca="1">IF(AQ$31&gt;$AL81,0,IF(ISERROR(OFFSET($E$31,0,SMALL(IF($E81:$X81&gt;0,COLUMN($A:$T),""),AQ$31)-1)),0,OFFSET($E$31,0,SMALL(IF($E81:$X81&gt;0,COLUMN($A:$T),""),AQ$31)-1)))</f>
        <v>生命</v>
      </c>
      <c r="AR81" s="5">
        <f t="array" aca="1" ref="AR81" ca="1">IF(AQ$31&gt;$AL81,0,IF(ISERROR(INDEX($E81:$X81,,SMALL(IF($E81:$X81&gt;0,COLUMN($A:$T),""),AR$31))),0,INDEX($E81:$X81,,SMALL(IF($E81:$X81&gt;0,COLUMN($A:$T),""),AR$31))))</f>
        <v>444.24581129152637</v>
      </c>
      <c r="AS81" s="5" t="str">
        <f t="array" aca="1" ref="AS81" ca="1">IF(AS$31&gt;$AL81,0,IF(ISERROR(OFFSET($E$31,0,SMALL(IF($E81:$X81&gt;0,COLUMN($A:$T),""),AS$31)-1)),0,OFFSET($E$31,0,SMALL(IF($E81:$X81&gt;0,COLUMN($A:$T),""),AS$31)-1)))</f>
        <v>防御</v>
      </c>
      <c r="AT81" s="5">
        <f t="array" aca="1" ref="AT81" ca="1">IF(AS$31&gt;$AL81,0,IF(ISERROR(INDEX($E81:$X81,,SMALL(IF($E81:$X81&gt;0,COLUMN($A:$T),""),AT$31))),0,INDEX($E81:$X81,,SMALL(IF($E81:$X81&gt;0,COLUMN($A:$T),""),AT$31))))</f>
        <v>14.625887833622185</v>
      </c>
      <c r="AU81" s="5" t="str">
        <f t="array" aca="1" ref="AU81" ca="1">IF(AU$31&gt;$AL81,0,IF(ISERROR(OFFSET($E$31,0,SMALL(IF($E81:$X81&gt;0,COLUMN($A:$T),""),AU$31)-1)),0,OFFSET($E$31,0,SMALL(IF($E81:$X81&gt;0,COLUMN($A:$T),""),AU$31)-1)))</f>
        <v>闪避值</v>
      </c>
      <c r="AV81" s="5">
        <f t="array" aca="1" ref="AV81" ca="1">IF(AU$31&gt;$AL81,0,IF(ISERROR(INDEX($E81:$X81,,SMALL(IF($E81:$X81&gt;0,COLUMN($A:$T),""),AV$31))),0,INDEX($E81:$X81,,SMALL(IF($E81:$X81&gt;0,COLUMN($A:$T),""),AV$31))))</f>
        <v>10.625000000000004</v>
      </c>
      <c r="AW81" s="5">
        <f t="array" aca="1" ref="AW81" ca="1">IF(AW$31&gt;$AL81,0,IF(ISERROR(OFFSET($E$31,0,SMALL(IF($E81:$X81&gt;0,COLUMN($A:$T),""),AW$31)-1)),0,OFFSET($E$31,0,SMALL(IF($E81:$X81&gt;0,COLUMN($A:$T),""),AW$31)-1)))</f>
        <v>0</v>
      </c>
      <c r="AX81" s="5">
        <f t="array" ref="AX81">IF(AW$31&gt;$AL81,0,IF(ISERROR(INDEX($E81:$X81,,SMALL(IF($E81:$X81&gt;0,COLUMN($A:$T),""),AX$31))),0,INDEX($E81:$X81,,SMALL(IF($E81:$X81&gt;0,COLUMN($A:$T),""),AX$31))))</f>
        <v>0</v>
      </c>
      <c r="AY81" s="5">
        <f t="array" aca="1" ref="AY81" ca="1">IF(AY$31&gt;$AL81,0,IF(ISERROR(OFFSET($E$31,0,SMALL(IF($E81:$X81&gt;0,COLUMN($A:$T),""),AY$31)-1)),0,OFFSET($E$31,0,SMALL(IF($E81:$X81&gt;0,COLUMN($A:$T),""),AY$31)-1)))</f>
        <v>0</v>
      </c>
      <c r="AZ81" s="5">
        <f t="array" ref="AZ81">IF(AY$31&gt;$AL81,0,IF(ISERROR(INDEX($E81:$X81,,SMALL(IF($E81:$X81&gt;0,COLUMN($A:$T),""),AZ$31))),0,INDEX($E81:$X81,,SMALL(IF($E81:$X81&gt;0,COLUMN($A:$T),""),AZ$31))))</f>
        <v>0</v>
      </c>
      <c r="BA81" s="5">
        <f t="array" aca="1" ref="BA81" ca="1">IF(BA$31&gt;$AL81,0,IF(ISERROR(OFFSET($E$31,0,SMALL(IF($E81:$X81&gt;0,COLUMN($A:$T),""),BA$31)-1)),0,OFFSET($E$31,0,SMALL(IF($E81:$X81&gt;0,COLUMN($A:$T),""),BA$31)-1)))</f>
        <v>0</v>
      </c>
      <c r="BB81" s="5">
        <f t="array" ref="BB81">IF(BA$31&gt;$AL81,0,IF(ISERROR(INDEX($E81:$X81,,SMALL(IF($E81:$X81&gt;0,COLUMN($A:$T),""),BB$31))),0,INDEX($E81:$X81,,SMALL(IF($E81:$X81&gt;0,COLUMN($A:$T),""),BB$31))))</f>
        <v>0</v>
      </c>
      <c r="BC81" s="5">
        <f t="array" aca="1" ref="BC81" ca="1">IF(BC$31&gt;$AL81,0,IF(ISERROR(OFFSET($E$31,0,SMALL(IF($E81:$X81&gt;0,COLUMN($A:$T),""),BC$31)-1)),0,OFFSET($E$31,0,SMALL(IF($E81:$X81&gt;0,COLUMN($A:$T),""),BC$31)-1)))</f>
        <v>0</v>
      </c>
      <c r="BD81" s="5">
        <f t="array" ref="BD81">IF(BC$31&gt;$AL81,0,IF(ISERROR(INDEX($E81:$X81,,SMALL(IF($E81:$X81&gt;0,COLUMN($A:$T),""),BD$31))),0,INDEX($E81:$X81,,SMALL(IF($E81:$X81&gt;0,COLUMN($A:$T),""),BD$31))))</f>
        <v>0</v>
      </c>
      <c r="BE81" s="5">
        <f t="array" aca="1" ref="BE81" ca="1">IF(BE$31&gt;$AL81,0,IF(ISERROR(OFFSET($E$31,0,SMALL(IF($E81:$X81&gt;0,COLUMN($A:$T),""),BE$31)-1)),0,OFFSET($E$31,0,SMALL(IF($E81:$X81&gt;0,COLUMN($A:$T),""),BE$31)-1)))</f>
        <v>0</v>
      </c>
      <c r="BF81" s="5">
        <f t="array" ref="BF81">IF(BE$31&gt;$AL81,0,IF(ISERROR(INDEX($E81:$X81,,SMALL(IF($E81:$X81&gt;0,COLUMN($A:$T),""),BF$31))),0,INDEX($E81:$X81,,SMALL(IF($E81:$X81&gt;0,COLUMN($A:$T),""),BF$31))))</f>
        <v>0</v>
      </c>
      <c r="BH81">
        <f ca="1">SUMPRODUCT(E81:N81,定义数据!$G$14:$P$14)</f>
        <v>132.09803683556402</v>
      </c>
      <c r="BI81">
        <f ca="1">SUMPRODUCT(O81:X81,定义数据!$G$14:$P$14)</f>
        <v>37.89710917417213</v>
      </c>
      <c r="BJ81" s="5">
        <f t="shared" ca="1" si="100"/>
        <v>169.99514600973615</v>
      </c>
      <c r="BK81" s="5" t="str">
        <f>D81&amp;B81&amp;VLOOKUP(C81,定义数据!$E$1:$F$7,2,FALSE)</f>
        <v>3031</v>
      </c>
    </row>
    <row r="82" spans="1:63" x14ac:dyDescent="0.15">
      <c r="A82" s="17" t="str">
        <f>D82&amp;B82&amp;VLOOKUP(C82,定义数据!$E$1:$F$7,2,FALSE)</f>
        <v>3032</v>
      </c>
      <c r="B82" s="18">
        <v>3</v>
      </c>
      <c r="C82" s="18" t="s">
        <v>137</v>
      </c>
      <c r="D82" s="24">
        <v>30</v>
      </c>
      <c r="E82" s="56">
        <f t="shared" ca="1" si="35"/>
        <v>0</v>
      </c>
      <c r="F82" s="56">
        <f t="shared" ca="1" si="36"/>
        <v>0</v>
      </c>
      <c r="G82" s="56">
        <f t="shared" ca="1" si="37"/>
        <v>31.201894045060659</v>
      </c>
      <c r="H82" s="56">
        <f t="shared" ca="1" si="38"/>
        <v>47.222222222222229</v>
      </c>
      <c r="I82" s="56">
        <f t="shared" ca="1" si="39"/>
        <v>0</v>
      </c>
      <c r="J82" s="56">
        <f t="shared" ca="1" si="40"/>
        <v>0</v>
      </c>
      <c r="K82" s="56">
        <f t="shared" ca="1" si="41"/>
        <v>0</v>
      </c>
      <c r="L82" s="56">
        <f t="shared" ca="1" si="42"/>
        <v>0</v>
      </c>
      <c r="M82" s="56">
        <f t="shared" ca="1" si="43"/>
        <v>0</v>
      </c>
      <c r="N82" s="56">
        <f t="shared" ca="1" si="44"/>
        <v>0</v>
      </c>
      <c r="O82" s="65">
        <f t="shared" ref="O82:O145" ca="1" si="101">VLOOKUP($C82,$D$14:$O$19,F$2,FALSE)/F$20*Z82*OFFSET($Q$24,0,$B82)</f>
        <v>222.12290564576318</v>
      </c>
      <c r="P82" s="65">
        <f t="shared" ref="P82:P145" ca="1" si="102">VLOOKUP($C82,$D$14:$O$19,G$2,FALSE)/G$20*AA82*OFFSET($Q$24,0,$B82)</f>
        <v>0</v>
      </c>
      <c r="Q82" s="65">
        <f t="shared" ref="Q82:Q145" ca="1" si="103">VLOOKUP($C82,$D$14:$O$19,H$2,FALSE)/H$20*AB82*OFFSET($Q$24,0,$B82)</f>
        <v>4.8752959445407278</v>
      </c>
      <c r="R82" s="65">
        <f t="shared" ref="R82:R145" ca="1" si="104">VLOOKUP($C82,$D$14:$O$19,I$2,FALSE)/I$20*AC82*OFFSET($Q$24,0,$B82)</f>
        <v>10.625000000000004</v>
      </c>
      <c r="S82" s="65">
        <f t="shared" ref="S82:S145" ca="1" si="105">VLOOKUP($C82,$D$14:$O$19,J$2,FALSE)/J$20*AD82*OFFSET($Q$24,0,$B82)</f>
        <v>0</v>
      </c>
      <c r="T82" s="65">
        <f t="shared" ref="T82:T145" ca="1" si="106">VLOOKUP($C82,$D$14:$O$19,K$2,FALSE)/K$20*AE82*OFFSET($Q$24,0,$B82)</f>
        <v>0</v>
      </c>
      <c r="U82" s="65">
        <f t="shared" ref="U82:U145" ca="1" si="107">VLOOKUP($C82,$D$14:$O$19,L$2,FALSE)/L$20*AF82*OFFSET($Q$24,0,$B82)</f>
        <v>0</v>
      </c>
      <c r="V82" s="65">
        <f t="shared" ref="V82:V145" ca="1" si="108">VLOOKUP($C82,$D$14:$O$19,M$2,FALSE)/M$20*AG82*OFFSET($Q$24,0,$B82)</f>
        <v>10.493827160493826</v>
      </c>
      <c r="W82" s="65">
        <f t="shared" ref="W82:W145" ca="1" si="109">VLOOKUP($C82,$D$14:$O$19,N$2,FALSE)/N$20*AH82*OFFSET($Q$24,0,$B82)</f>
        <v>0</v>
      </c>
      <c r="X82" s="65">
        <f t="shared" ref="X82:X145" ca="1" si="110">VLOOKUP($C82,$D$14:$O$19,O$2,FALSE)/O$20*AI82*OFFSET($Q$24,0,$B82)</f>
        <v>0</v>
      </c>
      <c r="Y82" s="21" t="s">
        <v>96</v>
      </c>
      <c r="Z82" s="15">
        <f>VLOOKUP($D82&amp;$B82,[3]!装备基础属性表,P$30,FALSE)</f>
        <v>4442.458112915263</v>
      </c>
      <c r="AA82" s="15">
        <f>VLOOKUP($D82&amp;$B82,[3]!装备基础属性表,Q$30,FALSE)</f>
        <v>225.6453818181819</v>
      </c>
      <c r="AB82" s="15">
        <f>VLOOKUP($D82&amp;$B82,[3]!装备基础属性表,R$30,FALSE)</f>
        <v>97.505918890814556</v>
      </c>
      <c r="AC82" s="15">
        <f>VLOOKUP($D82&amp;$B82,[3]!装备基础属性表,S$30,FALSE)</f>
        <v>177.08333333333334</v>
      </c>
      <c r="AD82" s="15">
        <f>VLOOKUP($D82&amp;$B82,[3]!装备基础属性表,T$30,FALSE)</f>
        <v>177.08333333333334</v>
      </c>
      <c r="AE82" s="15">
        <f>VLOOKUP($D82&amp;$B82,[3]!装备基础属性表,U$30,FALSE)</f>
        <v>104.93827160493827</v>
      </c>
      <c r="AF82" s="15">
        <f>VLOOKUP($D82&amp;$B82,[3]!装备基础属性表,V$30,FALSE)</f>
        <v>0</v>
      </c>
      <c r="AG82" s="15">
        <f>VLOOKUP($D82&amp;$B82,[3]!装备基础属性表,W$30,FALSE)</f>
        <v>104.93827160493827</v>
      </c>
      <c r="AH82" s="15">
        <f>VLOOKUP($D82&amp;$B82,[3]!装备基础属性表,X$30,FALSE)</f>
        <v>0</v>
      </c>
      <c r="AI82" s="15">
        <f>VLOOKUP($D82&amp;$B82,[3]!装备基础属性表,Y$30,FALSE)</f>
        <v>0</v>
      </c>
      <c r="AJ82" s="16" t="str">
        <f>B82&amp;VLOOKUP(C82,定义数据!$E$1:$F$7,2,FALSE)&amp;D82</f>
        <v>3230</v>
      </c>
      <c r="AK82" s="14">
        <f t="shared" si="29"/>
        <v>10</v>
      </c>
      <c r="AL82" s="5">
        <f t="shared" si="99"/>
        <v>5</v>
      </c>
      <c r="AM82" s="5" t="str">
        <f t="array" aca="1" ref="AM82" ca="1">IF(AM$31&gt;$AL82,0,IF(ISERROR(OFFSET($E$31,0,SMALL(IF($E82:$X82&gt;0,COLUMN($A:$T),""),AM$31)-1)),0,OFFSET($E$31,0,SMALL(IF($E82:$X82&gt;0,COLUMN($A:$T),""),AM$31)-1)))</f>
        <v>防御</v>
      </c>
      <c r="AN82" s="5">
        <f t="array" aca="1" ref="AN82" ca="1">IF(AM$31&gt;$AL82,0,IF(ISERROR(INDEX($E82:$X82,,SMALL(IF($E82:$X82&gt;0,COLUMN($A:$T),""),AN$31))),0,INDEX($E82:$X82,,SMALL(IF($E82:$X82&gt;0,COLUMN($A:$T),""),AN$31))))</f>
        <v>31.201894045060659</v>
      </c>
      <c r="AO82" s="5" t="str">
        <f t="array" aca="1" ref="AO82" ca="1">IF(AO$31&gt;$AL82,0,IF(ISERROR(OFFSET($E$31,0,SMALL(IF($E82:$X82&gt;0,COLUMN($A:$T),""),AO$31)-1)),0,OFFSET($E$31,0,SMALL(IF($E82:$X82&gt;0,COLUMN($A:$T),""),AO$31)-1)))</f>
        <v>闪避值</v>
      </c>
      <c r="AP82" s="5">
        <f t="array" aca="1" ref="AP82" ca="1">IF(AO$31&gt;$AL82,0,IF(ISERROR(INDEX($E82:$X82,,SMALL(IF($E82:$X82&gt;0,COLUMN($A:$T),""),AP$31))),0,INDEX($E82:$X82,,SMALL(IF($E82:$X82&gt;0,COLUMN($A:$T),""),AP$31))))</f>
        <v>47.222222222222229</v>
      </c>
      <c r="AQ82" s="5" t="str">
        <f t="array" aca="1" ref="AQ82" ca="1">IF(AQ$31&gt;$AL82,0,IF(ISERROR(OFFSET($E$31,0,SMALL(IF($E82:$X82&gt;0,COLUMN($A:$T),""),AQ$31)-1)),0,OFFSET($E$31,0,SMALL(IF($E82:$X82&gt;0,COLUMN($A:$T),""),AQ$31)-1)))</f>
        <v>生命</v>
      </c>
      <c r="AR82" s="5">
        <f t="array" aca="1" ref="AR82" ca="1">IF(AQ$31&gt;$AL82,0,IF(ISERROR(INDEX($E82:$X82,,SMALL(IF($E82:$X82&gt;0,COLUMN($A:$T),""),AR$31))),0,INDEX($E82:$X82,,SMALL(IF($E82:$X82&gt;0,COLUMN($A:$T),""),AR$31))))</f>
        <v>222.12290564576318</v>
      </c>
      <c r="AS82" s="5" t="str">
        <f t="array" aca="1" ref="AS82" ca="1">IF(AS$31&gt;$AL82,0,IF(ISERROR(OFFSET($E$31,0,SMALL(IF($E82:$X82&gt;0,COLUMN($A:$T),""),AS$31)-1)),0,OFFSET($E$31,0,SMALL(IF($E82:$X82&gt;0,COLUMN($A:$T),""),AS$31)-1)))</f>
        <v>防御</v>
      </c>
      <c r="AT82" s="5">
        <f t="array" aca="1" ref="AT82" ca="1">IF(AS$31&gt;$AL82,0,IF(ISERROR(INDEX($E82:$X82,,SMALL(IF($E82:$X82&gt;0,COLUMN($A:$T),""),AT$31))),0,INDEX($E82:$X82,,SMALL(IF($E82:$X82&gt;0,COLUMN($A:$T),""),AT$31))))</f>
        <v>4.8752959445407278</v>
      </c>
      <c r="AU82" s="5" t="str">
        <f t="array" aca="1" ref="AU82" ca="1">IF(AU$31&gt;$AL82,0,IF(ISERROR(OFFSET($E$31,0,SMALL(IF($E82:$X82&gt;0,COLUMN($A:$T),""),AU$31)-1)),0,OFFSET($E$31,0,SMALL(IF($E82:$X82&gt;0,COLUMN($A:$T),""),AU$31)-1)))</f>
        <v>闪避值</v>
      </c>
      <c r="AV82" s="5">
        <f t="array" aca="1" ref="AV82" ca="1">IF(AU$31&gt;$AL82,0,IF(ISERROR(INDEX($E82:$X82,,SMALL(IF($E82:$X82&gt;0,COLUMN($A:$T),""),AV$31))),0,INDEX($E82:$X82,,SMALL(IF($E82:$X82&gt;0,COLUMN($A:$T),""),AV$31))))</f>
        <v>10.625000000000004</v>
      </c>
      <c r="AW82" s="5">
        <f t="array" aca="1" ref="AW82" ca="1">IF(AW$31&gt;$AL82,0,IF(ISERROR(OFFSET($E$31,0,SMALL(IF($E82:$X82&gt;0,COLUMN($A:$T),""),AW$31)-1)),0,OFFSET($E$31,0,SMALL(IF($E82:$X82&gt;0,COLUMN($A:$T),""),AW$31)-1)))</f>
        <v>0</v>
      </c>
      <c r="AX82" s="5">
        <f t="array" ref="AX82">IF(AW$31&gt;$AL82,0,IF(ISERROR(INDEX($E82:$X82,,SMALL(IF($E82:$X82&gt;0,COLUMN($A:$T),""),AX$31))),0,INDEX($E82:$X82,,SMALL(IF($E82:$X82&gt;0,COLUMN($A:$T),""),AX$31))))</f>
        <v>0</v>
      </c>
      <c r="AY82" s="5">
        <f t="array" aca="1" ref="AY82" ca="1">IF(AY$31&gt;$AL82,0,IF(ISERROR(OFFSET($E$31,0,SMALL(IF($E82:$X82&gt;0,COLUMN($A:$T),""),AY$31)-1)),0,OFFSET($E$31,0,SMALL(IF($E82:$X82&gt;0,COLUMN($A:$T),""),AY$31)-1)))</f>
        <v>0</v>
      </c>
      <c r="AZ82" s="5">
        <f t="array" ref="AZ82">IF(AY$31&gt;$AL82,0,IF(ISERROR(INDEX($E82:$X82,,SMALL(IF($E82:$X82&gt;0,COLUMN($A:$T),""),AZ$31))),0,INDEX($E82:$X82,,SMALL(IF($E82:$X82&gt;0,COLUMN($A:$T),""),AZ$31))))</f>
        <v>0</v>
      </c>
      <c r="BA82" s="5">
        <f t="array" aca="1" ref="BA82" ca="1">IF(BA$31&gt;$AL82,0,IF(ISERROR(OFFSET($E$31,0,SMALL(IF($E82:$X82&gt;0,COLUMN($A:$T),""),BA$31)-1)),0,OFFSET($E$31,0,SMALL(IF($E82:$X82&gt;0,COLUMN($A:$T),""),BA$31)-1)))</f>
        <v>0</v>
      </c>
      <c r="BB82" s="5">
        <f t="array" ref="BB82">IF(BA$31&gt;$AL82,0,IF(ISERROR(INDEX($E82:$X82,,SMALL(IF($E82:$X82&gt;0,COLUMN($A:$T),""),BB$31))),0,INDEX($E82:$X82,,SMALL(IF($E82:$X82&gt;0,COLUMN($A:$T),""),BB$31))))</f>
        <v>0</v>
      </c>
      <c r="BC82" s="5">
        <f t="array" aca="1" ref="BC82" ca="1">IF(BC$31&gt;$AL82,0,IF(ISERROR(OFFSET($E$31,0,SMALL(IF($E82:$X82&gt;0,COLUMN($A:$T),""),BC$31)-1)),0,OFFSET($E$31,0,SMALL(IF($E82:$X82&gt;0,COLUMN($A:$T),""),BC$31)-1)))</f>
        <v>0</v>
      </c>
      <c r="BD82" s="5">
        <f t="array" ref="BD82">IF(BC$31&gt;$AL82,0,IF(ISERROR(INDEX($E82:$X82,,SMALL(IF($E82:$X82&gt;0,COLUMN($A:$T),""),BD$31))),0,INDEX($E82:$X82,,SMALL(IF($E82:$X82&gt;0,COLUMN($A:$T),""),BD$31))))</f>
        <v>0</v>
      </c>
      <c r="BE82" s="5">
        <f t="array" aca="1" ref="BE82" ca="1">IF(BE$31&gt;$AL82,0,IF(ISERROR(OFFSET($E$31,0,SMALL(IF($E82:$X82&gt;0,COLUMN($A:$T),""),BE$31)-1)),0,OFFSET($E$31,0,SMALL(IF($E82:$X82&gt;0,COLUMN($A:$T),""),BE$31)-1)))</f>
        <v>0</v>
      </c>
      <c r="BF82" s="5">
        <f t="array" ref="BF82">IF(BE$31&gt;$AL82,0,IF(ISERROR(INDEX($E82:$X82,,SMALL(IF($E82:$X82&gt;0,COLUMN($A:$T),""),BF$31))),0,INDEX($E82:$X82,,SMALL(IF($E82:$X82&gt;0,COLUMN($A:$T),""),BF$31))))</f>
        <v>0</v>
      </c>
      <c r="BH82">
        <f ca="1">SUMPRODUCT(E82:N82,定义数据!$G$14:$P$14)</f>
        <v>47.257449600616212</v>
      </c>
      <c r="BI82">
        <f ca="1">SUMPRODUCT(O82:X82,定义数据!$G$14:$P$14)</f>
        <v>19.261601059260148</v>
      </c>
      <c r="BJ82" s="5">
        <f t="shared" ca="1" si="100"/>
        <v>66.519050659876356</v>
      </c>
      <c r="BK82" s="5" t="str">
        <f>D82&amp;B82&amp;VLOOKUP(C82,定义数据!$E$1:$F$7,2,FALSE)</f>
        <v>3032</v>
      </c>
    </row>
    <row r="83" spans="1:63" x14ac:dyDescent="0.15">
      <c r="A83" s="17" t="str">
        <f>D83&amp;B83&amp;VLOOKUP(C83,定义数据!$E$1:$F$7,2,FALSE)</f>
        <v>3035</v>
      </c>
      <c r="B83" s="18">
        <v>3</v>
      </c>
      <c r="C83" s="18" t="s">
        <v>138</v>
      </c>
      <c r="D83" s="24">
        <v>30</v>
      </c>
      <c r="E83" s="56">
        <f t="shared" ca="1" si="35"/>
        <v>710.79329806644216</v>
      </c>
      <c r="F83" s="56">
        <f t="shared" ca="1" si="36"/>
        <v>0</v>
      </c>
      <c r="G83" s="56">
        <f t="shared" ca="1" si="37"/>
        <v>0</v>
      </c>
      <c r="H83" s="56">
        <f t="shared" ca="1" si="38"/>
        <v>94.444444444444457</v>
      </c>
      <c r="I83" s="56">
        <f t="shared" ca="1" si="39"/>
        <v>0</v>
      </c>
      <c r="J83" s="56">
        <f t="shared" ca="1" si="40"/>
        <v>0</v>
      </c>
      <c r="K83" s="56">
        <f t="shared" ca="1" si="41"/>
        <v>0</v>
      </c>
      <c r="L83" s="56">
        <f t="shared" ca="1" si="42"/>
        <v>0</v>
      </c>
      <c r="M83" s="56">
        <f t="shared" ca="1" si="43"/>
        <v>0</v>
      </c>
      <c r="N83" s="56">
        <f t="shared" ca="1" si="44"/>
        <v>0</v>
      </c>
      <c r="O83" s="65">
        <f t="shared" ca="1" si="101"/>
        <v>222.12290564576318</v>
      </c>
      <c r="P83" s="65">
        <f t="shared" ca="1" si="102"/>
        <v>0</v>
      </c>
      <c r="Q83" s="65">
        <f t="shared" ca="1" si="103"/>
        <v>0</v>
      </c>
      <c r="R83" s="65">
        <f t="shared" ca="1" si="104"/>
        <v>21.250000000000007</v>
      </c>
      <c r="S83" s="65">
        <f t="shared" ca="1" si="105"/>
        <v>17.708333333333336</v>
      </c>
      <c r="T83" s="65">
        <f t="shared" ca="1" si="106"/>
        <v>6.2962962962962976</v>
      </c>
      <c r="U83" s="65">
        <f t="shared" ca="1" si="107"/>
        <v>0</v>
      </c>
      <c r="V83" s="65">
        <f t="shared" ca="1" si="108"/>
        <v>0</v>
      </c>
      <c r="W83" s="65">
        <f t="shared" ca="1" si="109"/>
        <v>0</v>
      </c>
      <c r="X83" s="65">
        <f t="shared" ca="1" si="110"/>
        <v>0</v>
      </c>
      <c r="Y83" s="21"/>
      <c r="Z83" s="15">
        <f>VLOOKUP($D83&amp;$B83,[3]!装备基础属性表,P$30,FALSE)</f>
        <v>4442.458112915263</v>
      </c>
      <c r="AA83" s="15">
        <f>VLOOKUP($D83&amp;$B83,[3]!装备基础属性表,Q$30,FALSE)</f>
        <v>225.6453818181819</v>
      </c>
      <c r="AB83" s="15">
        <f>VLOOKUP($D83&amp;$B83,[3]!装备基础属性表,R$30,FALSE)</f>
        <v>97.505918890814556</v>
      </c>
      <c r="AC83" s="15">
        <f>VLOOKUP($D83&amp;$B83,[3]!装备基础属性表,S$30,FALSE)</f>
        <v>177.08333333333334</v>
      </c>
      <c r="AD83" s="15">
        <f>VLOOKUP($D83&amp;$B83,[3]!装备基础属性表,T$30,FALSE)</f>
        <v>177.08333333333334</v>
      </c>
      <c r="AE83" s="15">
        <f>VLOOKUP($D83&amp;$B83,[3]!装备基础属性表,U$30,FALSE)</f>
        <v>104.93827160493827</v>
      </c>
      <c r="AF83" s="15">
        <f>VLOOKUP($D83&amp;$B83,[3]!装备基础属性表,V$30,FALSE)</f>
        <v>0</v>
      </c>
      <c r="AG83" s="15">
        <f>VLOOKUP($D83&amp;$B83,[3]!装备基础属性表,W$30,FALSE)</f>
        <v>104.93827160493827</v>
      </c>
      <c r="AH83" s="15">
        <f>VLOOKUP($D83&amp;$B83,[3]!装备基础属性表,X$30,FALSE)</f>
        <v>0</v>
      </c>
      <c r="AI83" s="15">
        <f>VLOOKUP($D83&amp;$B83,[3]!装备基础属性表,Y$30,FALSE)</f>
        <v>0</v>
      </c>
      <c r="AJ83" s="16" t="str">
        <f>B83&amp;VLOOKUP(C83,定义数据!$E$1:$F$7,2,FALSE)&amp;D83</f>
        <v>3530</v>
      </c>
      <c r="AK83" s="14">
        <f t="shared" si="29"/>
        <v>10</v>
      </c>
      <c r="AL83" s="5">
        <f t="shared" si="99"/>
        <v>5</v>
      </c>
      <c r="AM83" s="5" t="str">
        <f t="array" aca="1" ref="AM83" ca="1">IF(AM$31&gt;$AL83,0,IF(ISERROR(OFFSET($E$31,0,SMALL(IF($E83:$X83&gt;0,COLUMN($A:$T),""),AM$31)-1)),0,OFFSET($E$31,0,SMALL(IF($E83:$X83&gt;0,COLUMN($A:$T),""),AM$31)-1)))</f>
        <v>生命</v>
      </c>
      <c r="AN83" s="5">
        <f t="array" aca="1" ref="AN83" ca="1">IF(AM$31&gt;$AL83,0,IF(ISERROR(INDEX($E83:$X83,,SMALL(IF($E83:$X83&gt;0,COLUMN($A:$T),""),AN$31))),0,INDEX($E83:$X83,,SMALL(IF($E83:$X83&gt;0,COLUMN($A:$T),""),AN$31))))</f>
        <v>710.79329806644216</v>
      </c>
      <c r="AO83" s="5" t="str">
        <f t="array" aca="1" ref="AO83" ca="1">IF(AO$31&gt;$AL83,0,IF(ISERROR(OFFSET($E$31,0,SMALL(IF($E83:$X83&gt;0,COLUMN($A:$T),""),AO$31)-1)),0,OFFSET($E$31,0,SMALL(IF($E83:$X83&gt;0,COLUMN($A:$T),""),AO$31)-1)))</f>
        <v>闪避值</v>
      </c>
      <c r="AP83" s="5">
        <f t="array" aca="1" ref="AP83" ca="1">IF(AO$31&gt;$AL83,0,IF(ISERROR(INDEX($E83:$X83,,SMALL(IF($E83:$X83&gt;0,COLUMN($A:$T),""),AP$31))),0,INDEX($E83:$X83,,SMALL(IF($E83:$X83&gt;0,COLUMN($A:$T),""),AP$31))))</f>
        <v>94.444444444444457</v>
      </c>
      <c r="AQ83" s="5" t="str">
        <f t="array" aca="1" ref="AQ83" ca="1">IF(AQ$31&gt;$AL83,0,IF(ISERROR(OFFSET($E$31,0,SMALL(IF($E83:$X83&gt;0,COLUMN($A:$T),""),AQ$31)-1)),0,OFFSET($E$31,0,SMALL(IF($E83:$X83&gt;0,COLUMN($A:$T),""),AQ$31)-1)))</f>
        <v>生命</v>
      </c>
      <c r="AR83" s="5">
        <f t="array" aca="1" ref="AR83" ca="1">IF(AQ$31&gt;$AL83,0,IF(ISERROR(INDEX($E83:$X83,,SMALL(IF($E83:$X83&gt;0,COLUMN($A:$T),""),AR$31))),0,INDEX($E83:$X83,,SMALL(IF($E83:$X83&gt;0,COLUMN($A:$T),""),AR$31))))</f>
        <v>222.12290564576318</v>
      </c>
      <c r="AS83" s="5" t="str">
        <f t="array" aca="1" ref="AS83" ca="1">IF(AS$31&gt;$AL83,0,IF(ISERROR(OFFSET($E$31,0,SMALL(IF($E83:$X83&gt;0,COLUMN($A:$T),""),AS$31)-1)),0,OFFSET($E$31,0,SMALL(IF($E83:$X83&gt;0,COLUMN($A:$T),""),AS$31)-1)))</f>
        <v>闪避值</v>
      </c>
      <c r="AT83" s="5">
        <f t="array" aca="1" ref="AT83" ca="1">IF(AS$31&gt;$AL83,0,IF(ISERROR(INDEX($E83:$X83,,SMALL(IF($E83:$X83&gt;0,COLUMN($A:$T),""),AT$31))),0,INDEX($E83:$X83,,SMALL(IF($E83:$X83&gt;0,COLUMN($A:$T),""),AT$31))))</f>
        <v>21.250000000000007</v>
      </c>
      <c r="AU83" s="5" t="str">
        <f t="array" aca="1" ref="AU83" ca="1">IF(AU$31&gt;$AL83,0,IF(ISERROR(OFFSET($E$31,0,SMALL(IF($E83:$X83&gt;0,COLUMN($A:$T),""),AU$31)-1)),0,OFFSET($E$31,0,SMALL(IF($E83:$X83&gt;0,COLUMN($A:$T),""),AU$31)-1)))</f>
        <v>命中值</v>
      </c>
      <c r="AV83" s="5">
        <f t="array" aca="1" ref="AV83" ca="1">IF(AU$31&gt;$AL83,0,IF(ISERROR(INDEX($E83:$X83,,SMALL(IF($E83:$X83&gt;0,COLUMN($A:$T),""),AV$31))),0,INDEX($E83:$X83,,SMALL(IF($E83:$X83&gt;0,COLUMN($A:$T),""),AV$31))))</f>
        <v>17.708333333333336</v>
      </c>
      <c r="AW83" s="5">
        <f t="array" aca="1" ref="AW83" ca="1">IF(AW$31&gt;$AL83,0,IF(ISERROR(OFFSET($E$31,0,SMALL(IF($E83:$X83&gt;0,COLUMN($A:$T),""),AW$31)-1)),0,OFFSET($E$31,0,SMALL(IF($E83:$X83&gt;0,COLUMN($A:$T),""),AW$31)-1)))</f>
        <v>0</v>
      </c>
      <c r="AX83" s="5">
        <f t="array" ref="AX83">IF(AW$31&gt;$AL83,0,IF(ISERROR(INDEX($E83:$X83,,SMALL(IF($E83:$X83&gt;0,COLUMN($A:$T),""),AX$31))),0,INDEX($E83:$X83,,SMALL(IF($E83:$X83&gt;0,COLUMN($A:$T),""),AX$31))))</f>
        <v>0</v>
      </c>
      <c r="AY83" s="5">
        <f t="array" aca="1" ref="AY83" ca="1">IF(AY$31&gt;$AL83,0,IF(ISERROR(OFFSET($E$31,0,SMALL(IF($E83:$X83&gt;0,COLUMN($A:$T),""),AY$31)-1)),0,OFFSET($E$31,0,SMALL(IF($E83:$X83&gt;0,COLUMN($A:$T),""),AY$31)-1)))</f>
        <v>0</v>
      </c>
      <c r="AZ83" s="5">
        <f t="array" ref="AZ83">IF(AY$31&gt;$AL83,0,IF(ISERROR(INDEX($E83:$X83,,SMALL(IF($E83:$X83&gt;0,COLUMN($A:$T),""),AZ$31))),0,INDEX($E83:$X83,,SMALL(IF($E83:$X83&gt;0,COLUMN($A:$T),""),AZ$31))))</f>
        <v>0</v>
      </c>
      <c r="BA83" s="5">
        <f t="array" aca="1" ref="BA83" ca="1">IF(BA$31&gt;$AL83,0,IF(ISERROR(OFFSET($E$31,0,SMALL(IF($E83:$X83&gt;0,COLUMN($A:$T),""),BA$31)-1)),0,OFFSET($E$31,0,SMALL(IF($E83:$X83&gt;0,COLUMN($A:$T),""),BA$31)-1)))</f>
        <v>0</v>
      </c>
      <c r="BB83" s="5">
        <f t="array" ref="BB83">IF(BA$31&gt;$AL83,0,IF(ISERROR(INDEX($E83:$X83,,SMALL(IF($E83:$X83&gt;0,COLUMN($A:$T),""),BB$31))),0,INDEX($E83:$X83,,SMALL(IF($E83:$X83&gt;0,COLUMN($A:$T),""),BB$31))))</f>
        <v>0</v>
      </c>
      <c r="BC83" s="5">
        <f t="array" aca="1" ref="BC83" ca="1">IF(BC$31&gt;$AL83,0,IF(ISERROR(OFFSET($E$31,0,SMALL(IF($E83:$X83&gt;0,COLUMN($A:$T),""),BC$31)-1)),0,OFFSET($E$31,0,SMALL(IF($E83:$X83&gt;0,COLUMN($A:$T),""),BC$31)-1)))</f>
        <v>0</v>
      </c>
      <c r="BD83" s="5">
        <f t="array" ref="BD83">IF(BC$31&gt;$AL83,0,IF(ISERROR(INDEX($E83:$X83,,SMALL(IF($E83:$X83&gt;0,COLUMN($A:$T),""),BD$31))),0,INDEX($E83:$X83,,SMALL(IF($E83:$X83&gt;0,COLUMN($A:$T),""),BD$31))))</f>
        <v>0</v>
      </c>
      <c r="BE83" s="5">
        <f t="array" aca="1" ref="BE83" ca="1">IF(BE$31&gt;$AL83,0,IF(ISERROR(OFFSET($E$31,0,SMALL(IF($E83:$X83&gt;0,COLUMN($A:$T),""),BE$31)-1)),0,OFFSET($E$31,0,SMALL(IF($E83:$X83&gt;0,COLUMN($A:$T),""),BE$31)-1)))</f>
        <v>0</v>
      </c>
      <c r="BF83" s="5">
        <f t="array" ref="BF83">IF(BE$31&gt;$AL83,0,IF(ISERROR(INDEX($E83:$X83,,SMALL(IF($E83:$X83&gt;0,COLUMN($A:$T),""),BF$31))),0,INDEX($E83:$X83,,SMALL(IF($E83:$X83&gt;0,COLUMN($A:$T),""),BF$31))))</f>
        <v>0</v>
      </c>
      <c r="BH83">
        <f ca="1">SUMPRODUCT(E83:N83,定义数据!$G$14:$P$14)</f>
        <v>60.542843033768804</v>
      </c>
      <c r="BI83">
        <f ca="1">SUMPRODUCT(O83:X83,定义数据!$G$14:$P$14)</f>
        <v>23.2640828924972</v>
      </c>
      <c r="BJ83" s="5">
        <f t="shared" ca="1" si="100"/>
        <v>83.806925926266004</v>
      </c>
      <c r="BK83" s="5" t="str">
        <f>D83&amp;B83&amp;VLOOKUP(C83,定义数据!$E$1:$F$7,2,FALSE)</f>
        <v>3035</v>
      </c>
    </row>
    <row r="84" spans="1:63" x14ac:dyDescent="0.15">
      <c r="A84" s="17" t="str">
        <f>D84&amp;B84&amp;VLOOKUP(C84,定义数据!$E$1:$F$7,2,FALSE)</f>
        <v>3034</v>
      </c>
      <c r="B84" s="18">
        <v>3</v>
      </c>
      <c r="C84" s="18" t="s">
        <v>139</v>
      </c>
      <c r="D84" s="24">
        <v>30</v>
      </c>
      <c r="E84" s="56">
        <f t="shared" ca="1" si="35"/>
        <v>710.79329806644216</v>
      </c>
      <c r="F84" s="56">
        <f t="shared" ca="1" si="36"/>
        <v>0</v>
      </c>
      <c r="G84" s="56">
        <f t="shared" ca="1" si="37"/>
        <v>0</v>
      </c>
      <c r="H84" s="56">
        <f t="shared" ca="1" si="38"/>
        <v>0</v>
      </c>
      <c r="I84" s="56">
        <f t="shared" ca="1" si="39"/>
        <v>0</v>
      </c>
      <c r="J84" s="56">
        <f t="shared" ca="1" si="40"/>
        <v>0</v>
      </c>
      <c r="K84" s="56">
        <f t="shared" ca="1" si="41"/>
        <v>0</v>
      </c>
      <c r="L84" s="56">
        <f t="shared" ca="1" si="42"/>
        <v>83.950617283950621</v>
      </c>
      <c r="M84" s="56">
        <f t="shared" ca="1" si="43"/>
        <v>0</v>
      </c>
      <c r="N84" s="56">
        <f t="shared" ca="1" si="44"/>
        <v>0</v>
      </c>
      <c r="O84" s="65">
        <f t="shared" ca="1" si="101"/>
        <v>444.24581129152637</v>
      </c>
      <c r="P84" s="65">
        <f t="shared" ca="1" si="102"/>
        <v>13.538722909090918</v>
      </c>
      <c r="Q84" s="65">
        <f t="shared" ca="1" si="103"/>
        <v>4.8752959445407278</v>
      </c>
      <c r="R84" s="65">
        <f t="shared" ca="1" si="104"/>
        <v>0</v>
      </c>
      <c r="S84" s="65">
        <f t="shared" ca="1" si="105"/>
        <v>0</v>
      </c>
      <c r="T84" s="65">
        <f t="shared" ca="1" si="106"/>
        <v>0</v>
      </c>
      <c r="U84" s="65">
        <f t="shared" ca="1" si="107"/>
        <v>0</v>
      </c>
      <c r="V84" s="65">
        <f t="shared" ca="1" si="108"/>
        <v>10.493827160493826</v>
      </c>
      <c r="W84" s="65">
        <f t="shared" ca="1" si="109"/>
        <v>0</v>
      </c>
      <c r="X84" s="65">
        <f t="shared" ca="1" si="110"/>
        <v>0</v>
      </c>
      <c r="Y84" s="21"/>
      <c r="Z84" s="15">
        <f>VLOOKUP($D84&amp;$B84,[3]!装备基础属性表,P$30,FALSE)</f>
        <v>4442.458112915263</v>
      </c>
      <c r="AA84" s="15">
        <f>VLOOKUP($D84&amp;$B84,[3]!装备基础属性表,Q$30,FALSE)</f>
        <v>225.6453818181819</v>
      </c>
      <c r="AB84" s="15">
        <f>VLOOKUP($D84&amp;$B84,[3]!装备基础属性表,R$30,FALSE)</f>
        <v>97.505918890814556</v>
      </c>
      <c r="AC84" s="15">
        <f>VLOOKUP($D84&amp;$B84,[3]!装备基础属性表,S$30,FALSE)</f>
        <v>177.08333333333334</v>
      </c>
      <c r="AD84" s="15">
        <f>VLOOKUP($D84&amp;$B84,[3]!装备基础属性表,T$30,FALSE)</f>
        <v>177.08333333333334</v>
      </c>
      <c r="AE84" s="15">
        <f>VLOOKUP($D84&amp;$B84,[3]!装备基础属性表,U$30,FALSE)</f>
        <v>104.93827160493827</v>
      </c>
      <c r="AF84" s="15">
        <f>VLOOKUP($D84&amp;$B84,[3]!装备基础属性表,V$30,FALSE)</f>
        <v>0</v>
      </c>
      <c r="AG84" s="15">
        <f>VLOOKUP($D84&amp;$B84,[3]!装备基础属性表,W$30,FALSE)</f>
        <v>104.93827160493827</v>
      </c>
      <c r="AH84" s="15">
        <f>VLOOKUP($D84&amp;$B84,[3]!装备基础属性表,X$30,FALSE)</f>
        <v>0</v>
      </c>
      <c r="AI84" s="15">
        <f>VLOOKUP($D84&amp;$B84,[3]!装备基础属性表,Y$30,FALSE)</f>
        <v>0</v>
      </c>
      <c r="AJ84" s="16" t="str">
        <f>B84&amp;VLOOKUP(C84,定义数据!$E$1:$F$7,2,FALSE)&amp;D84</f>
        <v>3430</v>
      </c>
      <c r="AK84" s="14">
        <f t="shared" si="29"/>
        <v>10</v>
      </c>
      <c r="AL84" s="5">
        <f t="shared" si="99"/>
        <v>5</v>
      </c>
      <c r="AM84" s="5" t="str">
        <f t="array" aca="1" ref="AM84" ca="1">IF(AM$31&gt;$AL84,0,IF(ISERROR(OFFSET($E$31,0,SMALL(IF($E84:$X84&gt;0,COLUMN($A:$T),""),AM$31)-1)),0,OFFSET($E$31,0,SMALL(IF($E84:$X84&gt;0,COLUMN($A:$T),""),AM$31)-1)))</f>
        <v>生命</v>
      </c>
      <c r="AN84" s="5">
        <f t="array" aca="1" ref="AN84" ca="1">IF(AM$31&gt;$AL84,0,IF(ISERROR(INDEX($E84:$X84,,SMALL(IF($E84:$X84&gt;0,COLUMN($A:$T),""),AN$31))),0,INDEX($E84:$X84,,SMALL(IF($E84:$X84&gt;0,COLUMN($A:$T),""),AN$31))))</f>
        <v>710.79329806644216</v>
      </c>
      <c r="AO84" s="5" t="str">
        <f t="array" aca="1" ref="AO84" ca="1">IF(AO$31&gt;$AL84,0,IF(ISERROR(OFFSET($E$31,0,SMALL(IF($E84:$X84&gt;0,COLUMN($A:$T),""),AO$31)-1)),0,OFFSET($E$31,0,SMALL(IF($E84:$X84&gt;0,COLUMN($A:$T),""),AO$31)-1)))</f>
        <v>韧性值</v>
      </c>
      <c r="AP84" s="5">
        <f t="array" aca="1" ref="AP84" ca="1">IF(AO$31&gt;$AL84,0,IF(ISERROR(INDEX($E84:$X84,,SMALL(IF($E84:$X84&gt;0,COLUMN($A:$T),""),AP$31))),0,INDEX($E84:$X84,,SMALL(IF($E84:$X84&gt;0,COLUMN($A:$T),""),AP$31))))</f>
        <v>83.950617283950621</v>
      </c>
      <c r="AQ84" s="5" t="str">
        <f t="array" aca="1" ref="AQ84" ca="1">IF(AQ$31&gt;$AL84,0,IF(ISERROR(OFFSET($E$31,0,SMALL(IF($E84:$X84&gt;0,COLUMN($A:$T),""),AQ$31)-1)),0,OFFSET($E$31,0,SMALL(IF($E84:$X84&gt;0,COLUMN($A:$T),""),AQ$31)-1)))</f>
        <v>生命</v>
      </c>
      <c r="AR84" s="5">
        <f t="array" aca="1" ref="AR84" ca="1">IF(AQ$31&gt;$AL84,0,IF(ISERROR(INDEX($E84:$X84,,SMALL(IF($E84:$X84&gt;0,COLUMN($A:$T),""),AR$31))),0,INDEX($E84:$X84,,SMALL(IF($E84:$X84&gt;0,COLUMN($A:$T),""),AR$31))))</f>
        <v>444.24581129152637</v>
      </c>
      <c r="AS84" s="5" t="str">
        <f t="array" aca="1" ref="AS84" ca="1">IF(AS$31&gt;$AL84,0,IF(ISERROR(OFFSET($E$31,0,SMALL(IF($E84:$X84&gt;0,COLUMN($A:$T),""),AS$31)-1)),0,OFFSET($E$31,0,SMALL(IF($E84:$X84&gt;0,COLUMN($A:$T),""),AS$31)-1)))</f>
        <v>攻击</v>
      </c>
      <c r="AT84" s="5">
        <f t="array" aca="1" ref="AT84" ca="1">IF(AS$31&gt;$AL84,0,IF(ISERROR(INDEX($E84:$X84,,SMALL(IF($E84:$X84&gt;0,COLUMN($A:$T),""),AT$31))),0,INDEX($E84:$X84,,SMALL(IF($E84:$X84&gt;0,COLUMN($A:$T),""),AT$31))))</f>
        <v>13.538722909090918</v>
      </c>
      <c r="AU84" s="5" t="str">
        <f t="array" aca="1" ref="AU84" ca="1">IF(AU$31&gt;$AL84,0,IF(ISERROR(OFFSET($E$31,0,SMALL(IF($E84:$X84&gt;0,COLUMN($A:$T),""),AU$31)-1)),0,OFFSET($E$31,0,SMALL(IF($E84:$X84&gt;0,COLUMN($A:$T),""),AU$31)-1)))</f>
        <v>防御</v>
      </c>
      <c r="AV84" s="5">
        <f t="array" aca="1" ref="AV84" ca="1">IF(AU$31&gt;$AL84,0,IF(ISERROR(INDEX($E84:$X84,,SMALL(IF($E84:$X84&gt;0,COLUMN($A:$T),""),AV$31))),0,INDEX($E84:$X84,,SMALL(IF($E84:$X84&gt;0,COLUMN($A:$T),""),AV$31))))</f>
        <v>4.8752959445407278</v>
      </c>
      <c r="AW84" s="5">
        <f t="array" aca="1" ref="AW84" ca="1">IF(AW$31&gt;$AL84,0,IF(ISERROR(OFFSET($E$31,0,SMALL(IF($E84:$X84&gt;0,COLUMN($A:$T),""),AW$31)-1)),0,OFFSET($E$31,0,SMALL(IF($E84:$X84&gt;0,COLUMN($A:$T),""),AW$31)-1)))</f>
        <v>0</v>
      </c>
      <c r="AX84" s="5">
        <f t="array" ref="AX84">IF(AW$31&gt;$AL84,0,IF(ISERROR(INDEX($E84:$X84,,SMALL(IF($E84:$X84&gt;0,COLUMN($A:$T),""),AX$31))),0,INDEX($E84:$X84,,SMALL(IF($E84:$X84&gt;0,COLUMN($A:$T),""),AX$31))))</f>
        <v>0</v>
      </c>
      <c r="AY84" s="5">
        <f t="array" aca="1" ref="AY84" ca="1">IF(AY$31&gt;$AL84,0,IF(ISERROR(OFFSET($E$31,0,SMALL(IF($E84:$X84&gt;0,COLUMN($A:$T),""),AY$31)-1)),0,OFFSET($E$31,0,SMALL(IF($E84:$X84&gt;0,COLUMN($A:$T),""),AY$31)-1)))</f>
        <v>0</v>
      </c>
      <c r="AZ84" s="5">
        <f t="array" ref="AZ84">IF(AY$31&gt;$AL84,0,IF(ISERROR(INDEX($E84:$X84,,SMALL(IF($E84:$X84&gt;0,COLUMN($A:$T),""),AZ$31))),0,INDEX($E84:$X84,,SMALL(IF($E84:$X84&gt;0,COLUMN($A:$T),""),AZ$31))))</f>
        <v>0</v>
      </c>
      <c r="BA84" s="5">
        <f t="array" aca="1" ref="BA84" ca="1">IF(BA$31&gt;$AL84,0,IF(ISERROR(OFFSET($E$31,0,SMALL(IF($E84:$X84&gt;0,COLUMN($A:$T),""),BA$31)-1)),0,OFFSET($E$31,0,SMALL(IF($E84:$X84&gt;0,COLUMN($A:$T),""),BA$31)-1)))</f>
        <v>0</v>
      </c>
      <c r="BB84" s="5">
        <f t="array" ref="BB84">IF(BA$31&gt;$AL84,0,IF(ISERROR(INDEX($E84:$X84,,SMALL(IF($E84:$X84&gt;0,COLUMN($A:$T),""),BB$31))),0,INDEX($E84:$X84,,SMALL(IF($E84:$X84&gt;0,COLUMN($A:$T),""),BB$31))))</f>
        <v>0</v>
      </c>
      <c r="BC84" s="5">
        <f t="array" aca="1" ref="BC84" ca="1">IF(BC$31&gt;$AL84,0,IF(ISERROR(OFFSET($E$31,0,SMALL(IF($E84:$X84&gt;0,COLUMN($A:$T),""),BC$31)-1)),0,OFFSET($E$31,0,SMALL(IF($E84:$X84&gt;0,COLUMN($A:$T),""),BC$31)-1)))</f>
        <v>0</v>
      </c>
      <c r="BD84" s="5">
        <f t="array" ref="BD84">IF(BC$31&gt;$AL84,0,IF(ISERROR(INDEX($E84:$X84,,SMALL(IF($E84:$X84&gt;0,COLUMN($A:$T),""),BD$31))),0,INDEX($E84:$X84,,SMALL(IF($E84:$X84&gt;0,COLUMN($A:$T),""),BD$31))))</f>
        <v>0</v>
      </c>
      <c r="BE84" s="5">
        <f t="array" aca="1" ref="BE84" ca="1">IF(BE$31&gt;$AL84,0,IF(ISERROR(OFFSET($E$31,0,SMALL(IF($E84:$X84&gt;0,COLUMN($A:$T),""),BE$31)-1)),0,OFFSET($E$31,0,SMALL(IF($E84:$X84&gt;0,COLUMN($A:$T),""),BE$31)-1)))</f>
        <v>0</v>
      </c>
      <c r="BF84" s="5">
        <f t="array" ref="BF84">IF(BE$31&gt;$AL84,0,IF(ISERROR(INDEX($E84:$X84,,SMALL(IF($E84:$X84&gt;0,COLUMN($A:$T),""),BF$31))),0,INDEX($E84:$X84,,SMALL(IF($E84:$X84&gt;0,COLUMN($A:$T),""),BF$31))))</f>
        <v>0</v>
      </c>
      <c r="BH84">
        <f ca="1">SUMPRODUCT(E84:N84,定义数据!$G$14:$P$14)</f>
        <v>43.542843033768797</v>
      </c>
      <c r="BI84">
        <f ca="1">SUMPRODUCT(O84:X84,定义数据!$G$14:$P$14)</f>
        <v>38.072740194181591</v>
      </c>
      <c r="BJ84" s="5">
        <f t="shared" ca="1" si="100"/>
        <v>81.615583227950395</v>
      </c>
      <c r="BK84" s="5" t="str">
        <f>D84&amp;B84&amp;VLOOKUP(C84,定义数据!$E$1:$F$7,2,FALSE)</f>
        <v>3034</v>
      </c>
    </row>
    <row r="85" spans="1:63" x14ac:dyDescent="0.15">
      <c r="A85" s="17" t="str">
        <f>D85&amp;B85&amp;VLOOKUP(C85,定义数据!$E$1:$F$7,2,FALSE)</f>
        <v>3033</v>
      </c>
      <c r="B85" s="18">
        <v>3</v>
      </c>
      <c r="C85" s="18" t="s">
        <v>140</v>
      </c>
      <c r="D85" s="24">
        <v>30</v>
      </c>
      <c r="E85" s="56">
        <f t="shared" ca="1" si="35"/>
        <v>0</v>
      </c>
      <c r="F85" s="56">
        <f t="shared" ca="1" si="36"/>
        <v>45.129076363636386</v>
      </c>
      <c r="G85" s="56">
        <f t="shared" ca="1" si="37"/>
        <v>0</v>
      </c>
      <c r="H85" s="56">
        <f t="shared" ca="1" si="38"/>
        <v>0</v>
      </c>
      <c r="I85" s="56">
        <f t="shared" ca="1" si="39"/>
        <v>141.66666666666669</v>
      </c>
      <c r="J85" s="56">
        <f t="shared" ca="1" si="40"/>
        <v>0</v>
      </c>
      <c r="K85" s="56">
        <f t="shared" ca="1" si="41"/>
        <v>0</v>
      </c>
      <c r="L85" s="56">
        <f t="shared" ca="1" si="42"/>
        <v>0</v>
      </c>
      <c r="M85" s="56">
        <f t="shared" ca="1" si="43"/>
        <v>0</v>
      </c>
      <c r="N85" s="56">
        <f t="shared" ca="1" si="44"/>
        <v>0</v>
      </c>
      <c r="O85" s="65">
        <f t="shared" ca="1" si="101"/>
        <v>0</v>
      </c>
      <c r="P85" s="65">
        <f t="shared" ca="1" si="102"/>
        <v>13.538722909090918</v>
      </c>
      <c r="Q85" s="65">
        <f t="shared" ca="1" si="103"/>
        <v>0</v>
      </c>
      <c r="R85" s="65">
        <f t="shared" ca="1" si="104"/>
        <v>10.625000000000004</v>
      </c>
      <c r="S85" s="65">
        <f t="shared" ca="1" si="105"/>
        <v>17.708333333333336</v>
      </c>
      <c r="T85" s="65">
        <f t="shared" ca="1" si="106"/>
        <v>12.592592592592595</v>
      </c>
      <c r="U85" s="65">
        <f t="shared" ca="1" si="107"/>
        <v>0</v>
      </c>
      <c r="V85" s="65">
        <f t="shared" ca="1" si="108"/>
        <v>0</v>
      </c>
      <c r="W85" s="65">
        <f t="shared" ca="1" si="109"/>
        <v>0</v>
      </c>
      <c r="X85" s="65">
        <f t="shared" ca="1" si="110"/>
        <v>0</v>
      </c>
      <c r="Y85" s="21"/>
      <c r="Z85" s="15">
        <f>VLOOKUP($D85&amp;$B85,[3]!装备基础属性表,P$30,FALSE)</f>
        <v>4442.458112915263</v>
      </c>
      <c r="AA85" s="15">
        <f>VLOOKUP($D85&amp;$B85,[3]!装备基础属性表,Q$30,FALSE)</f>
        <v>225.6453818181819</v>
      </c>
      <c r="AB85" s="15">
        <f>VLOOKUP($D85&amp;$B85,[3]!装备基础属性表,R$30,FALSE)</f>
        <v>97.505918890814556</v>
      </c>
      <c r="AC85" s="15">
        <f>VLOOKUP($D85&amp;$B85,[3]!装备基础属性表,S$30,FALSE)</f>
        <v>177.08333333333334</v>
      </c>
      <c r="AD85" s="15">
        <f>VLOOKUP($D85&amp;$B85,[3]!装备基础属性表,T$30,FALSE)</f>
        <v>177.08333333333334</v>
      </c>
      <c r="AE85" s="15">
        <f>VLOOKUP($D85&amp;$B85,[3]!装备基础属性表,U$30,FALSE)</f>
        <v>104.93827160493827</v>
      </c>
      <c r="AF85" s="15">
        <f>VLOOKUP($D85&amp;$B85,[3]!装备基础属性表,V$30,FALSE)</f>
        <v>0</v>
      </c>
      <c r="AG85" s="15">
        <f>VLOOKUP($D85&amp;$B85,[3]!装备基础属性表,W$30,FALSE)</f>
        <v>104.93827160493827</v>
      </c>
      <c r="AH85" s="15">
        <f>VLOOKUP($D85&amp;$B85,[3]!装备基础属性表,X$30,FALSE)</f>
        <v>0</v>
      </c>
      <c r="AI85" s="15">
        <f>VLOOKUP($D85&amp;$B85,[3]!装备基础属性表,Y$30,FALSE)</f>
        <v>0</v>
      </c>
      <c r="AJ85" s="16" t="str">
        <f>B85&amp;VLOOKUP(C85,定义数据!$E$1:$F$7,2,FALSE)&amp;D85</f>
        <v>3330</v>
      </c>
      <c r="AK85" s="14">
        <f t="shared" si="29"/>
        <v>10</v>
      </c>
      <c r="AL85" s="5">
        <f t="shared" si="99"/>
        <v>5</v>
      </c>
      <c r="AM85" s="5" t="str">
        <f t="array" aca="1" ref="AM85" ca="1">IF(AM$31&gt;$AL85,0,IF(ISERROR(OFFSET($E$31,0,SMALL(IF($E85:$X85&gt;0,COLUMN($A:$T),""),AM$31)-1)),0,OFFSET($E$31,0,SMALL(IF($E85:$X85&gt;0,COLUMN($A:$T),""),AM$31)-1)))</f>
        <v>攻击</v>
      </c>
      <c r="AN85" s="5">
        <f t="array" aca="1" ref="AN85" ca="1">IF(AM$31&gt;$AL85,0,IF(ISERROR(INDEX($E85:$X85,,SMALL(IF($E85:$X85&gt;0,COLUMN($A:$T),""),AN$31))),0,INDEX($E85:$X85,,SMALL(IF($E85:$X85&gt;0,COLUMN($A:$T),""),AN$31))))</f>
        <v>45.129076363636386</v>
      </c>
      <c r="AO85" s="5" t="str">
        <f t="array" aca="1" ref="AO85" ca="1">IF(AO$31&gt;$AL85,0,IF(ISERROR(OFFSET($E$31,0,SMALL(IF($E85:$X85&gt;0,COLUMN($A:$T),""),AO$31)-1)),0,OFFSET($E$31,0,SMALL(IF($E85:$X85&gt;0,COLUMN($A:$T),""),AO$31)-1)))</f>
        <v>命中值</v>
      </c>
      <c r="AP85" s="5">
        <f t="array" aca="1" ref="AP85" ca="1">IF(AO$31&gt;$AL85,0,IF(ISERROR(INDEX($E85:$X85,,SMALL(IF($E85:$X85&gt;0,COLUMN($A:$T),""),AP$31))),0,INDEX($E85:$X85,,SMALL(IF($E85:$X85&gt;0,COLUMN($A:$T),""),AP$31))))</f>
        <v>141.66666666666669</v>
      </c>
      <c r="AQ85" s="5" t="str">
        <f t="array" aca="1" ref="AQ85" ca="1">IF(AQ$31&gt;$AL85,0,IF(ISERROR(OFFSET($E$31,0,SMALL(IF($E85:$X85&gt;0,COLUMN($A:$T),""),AQ$31)-1)),0,OFFSET($E$31,0,SMALL(IF($E85:$X85&gt;0,COLUMN($A:$T),""),AQ$31)-1)))</f>
        <v>攻击</v>
      </c>
      <c r="AR85" s="5">
        <f t="array" aca="1" ref="AR85" ca="1">IF(AQ$31&gt;$AL85,0,IF(ISERROR(INDEX($E85:$X85,,SMALL(IF($E85:$X85&gt;0,COLUMN($A:$T),""),AR$31))),0,INDEX($E85:$X85,,SMALL(IF($E85:$X85&gt;0,COLUMN($A:$T),""),AR$31))))</f>
        <v>13.538722909090918</v>
      </c>
      <c r="AS85" s="5" t="str">
        <f t="array" aca="1" ref="AS85" ca="1">IF(AS$31&gt;$AL85,0,IF(ISERROR(OFFSET($E$31,0,SMALL(IF($E85:$X85&gt;0,COLUMN($A:$T),""),AS$31)-1)),0,OFFSET($E$31,0,SMALL(IF($E85:$X85&gt;0,COLUMN($A:$T),""),AS$31)-1)))</f>
        <v>闪避值</v>
      </c>
      <c r="AT85" s="5">
        <f t="array" aca="1" ref="AT85" ca="1">IF(AS$31&gt;$AL85,0,IF(ISERROR(INDEX($E85:$X85,,SMALL(IF($E85:$X85&gt;0,COLUMN($A:$T),""),AT$31))),0,INDEX($E85:$X85,,SMALL(IF($E85:$X85&gt;0,COLUMN($A:$T),""),AT$31))))</f>
        <v>10.625000000000004</v>
      </c>
      <c r="AU85" s="5" t="str">
        <f t="array" aca="1" ref="AU85" ca="1">IF(AU$31&gt;$AL85,0,IF(ISERROR(OFFSET($E$31,0,SMALL(IF($E85:$X85&gt;0,COLUMN($A:$T),""),AU$31)-1)),0,OFFSET($E$31,0,SMALL(IF($E85:$X85&gt;0,COLUMN($A:$T),""),AU$31)-1)))</f>
        <v>命中值</v>
      </c>
      <c r="AV85" s="5">
        <f t="array" aca="1" ref="AV85" ca="1">IF(AU$31&gt;$AL85,0,IF(ISERROR(INDEX($E85:$X85,,SMALL(IF($E85:$X85&gt;0,COLUMN($A:$T),""),AV$31))),0,INDEX($E85:$X85,,SMALL(IF($E85:$X85&gt;0,COLUMN($A:$T),""),AV$31))))</f>
        <v>17.708333333333336</v>
      </c>
      <c r="AW85" s="5">
        <f t="array" aca="1" ref="AW85" ca="1">IF(AW$31&gt;$AL85,0,IF(ISERROR(OFFSET($E$31,0,SMALL(IF($E85:$X85&gt;0,COLUMN($A:$T),""),AW$31)-1)),0,OFFSET($E$31,0,SMALL(IF($E85:$X85&gt;0,COLUMN($A:$T),""),AW$31)-1)))</f>
        <v>0</v>
      </c>
      <c r="AX85" s="5">
        <f t="array" ref="AX85">IF(AW$31&gt;$AL85,0,IF(ISERROR(INDEX($E85:$X85,,SMALL(IF($E85:$X85&gt;0,COLUMN($A:$T),""),AX$31))),0,INDEX($E85:$X85,,SMALL(IF($E85:$X85&gt;0,COLUMN($A:$T),""),AX$31))))</f>
        <v>0</v>
      </c>
      <c r="AY85" s="5">
        <f t="array" aca="1" ref="AY85" ca="1">IF(AY$31&gt;$AL85,0,IF(ISERROR(OFFSET($E$31,0,SMALL(IF($E85:$X85&gt;0,COLUMN($A:$T),""),AY$31)-1)),0,OFFSET($E$31,0,SMALL(IF($E85:$X85&gt;0,COLUMN($A:$T),""),AY$31)-1)))</f>
        <v>0</v>
      </c>
      <c r="AZ85" s="5">
        <f t="array" ref="AZ85">IF(AY$31&gt;$AL85,0,IF(ISERROR(INDEX($E85:$X85,,SMALL(IF($E85:$X85&gt;0,COLUMN($A:$T),""),AZ$31))),0,INDEX($E85:$X85,,SMALL(IF($E85:$X85&gt;0,COLUMN($A:$T),""),AZ$31))))</f>
        <v>0</v>
      </c>
      <c r="BA85" s="5">
        <f t="array" aca="1" ref="BA85" ca="1">IF(BA$31&gt;$AL85,0,IF(ISERROR(OFFSET($E$31,0,SMALL(IF($E85:$X85&gt;0,COLUMN($A:$T),""),BA$31)-1)),0,OFFSET($E$31,0,SMALL(IF($E85:$X85&gt;0,COLUMN($A:$T),""),BA$31)-1)))</f>
        <v>0</v>
      </c>
      <c r="BB85" s="5">
        <f t="array" ref="BB85">IF(BA$31&gt;$AL85,0,IF(ISERROR(INDEX($E85:$X85,,SMALL(IF($E85:$X85&gt;0,COLUMN($A:$T),""),BB$31))),0,INDEX($E85:$X85,,SMALL(IF($E85:$X85&gt;0,COLUMN($A:$T),""),BB$31))))</f>
        <v>0</v>
      </c>
      <c r="BC85" s="5">
        <f t="array" aca="1" ref="BC85" ca="1">IF(BC$31&gt;$AL85,0,IF(ISERROR(OFFSET($E$31,0,SMALL(IF($E85:$X85&gt;0,COLUMN($A:$T),""),BC$31)-1)),0,OFFSET($E$31,0,SMALL(IF($E85:$X85&gt;0,COLUMN($A:$T),""),BC$31)-1)))</f>
        <v>0</v>
      </c>
      <c r="BD85" s="5">
        <f t="array" ref="BD85">IF(BC$31&gt;$AL85,0,IF(ISERROR(INDEX($E85:$X85,,SMALL(IF($E85:$X85&gt;0,COLUMN($A:$T),""),BD$31))),0,INDEX($E85:$X85,,SMALL(IF($E85:$X85&gt;0,COLUMN($A:$T),""),BD$31))))</f>
        <v>0</v>
      </c>
      <c r="BE85" s="5">
        <f t="array" aca="1" ref="BE85" ca="1">IF(BE$31&gt;$AL85,0,IF(ISERROR(OFFSET($E$31,0,SMALL(IF($E85:$X85&gt;0,COLUMN($A:$T),""),BE$31)-1)),0,OFFSET($E$31,0,SMALL(IF($E85:$X85&gt;0,COLUMN($A:$T),""),BE$31)-1)))</f>
        <v>0</v>
      </c>
      <c r="BF85" s="5">
        <f t="array" ref="BF85">IF(BE$31&gt;$AL85,0,IF(ISERROR(INDEX($E85:$X85,,SMALL(IF($E85:$X85&gt;0,COLUMN($A:$T),""),BF$31))),0,INDEX($E85:$X85,,SMALL(IF($E85:$X85&gt;0,COLUMN($A:$T),""),BF$31))))</f>
        <v>0</v>
      </c>
      <c r="BH85">
        <f ca="1">SUMPRODUCT(E85:N85,定义数据!$G$14:$P$14)</f>
        <v>93.295743030303072</v>
      </c>
      <c r="BI85">
        <f ca="1">SUMPRODUCT(O85:X85,定义数据!$G$14:$P$14)</f>
        <v>25.43872290909092</v>
      </c>
      <c r="BJ85" s="5">
        <f t="shared" ca="1" si="100"/>
        <v>118.734465939394</v>
      </c>
      <c r="BK85" s="5" t="str">
        <f>D85&amp;B85&amp;VLOOKUP(C85,定义数据!$E$1:$F$7,2,FALSE)</f>
        <v>3033</v>
      </c>
    </row>
    <row r="86" spans="1:63" x14ac:dyDescent="0.15">
      <c r="A86" s="17" t="str">
        <f>D86&amp;B86&amp;VLOOKUP(C86,定义数据!$E$1:$F$7,2,FALSE)</f>
        <v>3040</v>
      </c>
      <c r="B86" s="18">
        <v>4</v>
      </c>
      <c r="C86" s="18" t="s">
        <v>141</v>
      </c>
      <c r="D86" s="24">
        <v>30</v>
      </c>
      <c r="E86" s="56">
        <f t="shared" ca="1" si="35"/>
        <v>0</v>
      </c>
      <c r="F86" s="56">
        <f t="shared" ca="1" si="36"/>
        <v>139.36920641711231</v>
      </c>
      <c r="G86" s="56">
        <f t="shared" ca="1" si="37"/>
        <v>0</v>
      </c>
      <c r="H86" s="56">
        <f t="shared" ca="1" si="38"/>
        <v>0</v>
      </c>
      <c r="I86" s="56">
        <f t="shared" ca="1" si="39"/>
        <v>0</v>
      </c>
      <c r="J86" s="56">
        <f t="shared" ca="1" si="40"/>
        <v>86.41975308641976</v>
      </c>
      <c r="K86" s="56">
        <f t="shared" ca="1" si="41"/>
        <v>0</v>
      </c>
      <c r="L86" s="56">
        <f t="shared" ca="1" si="42"/>
        <v>0</v>
      </c>
      <c r="M86" s="56">
        <f t="shared" ca="1" si="43"/>
        <v>0</v>
      </c>
      <c r="N86" s="56">
        <f t="shared" ca="1" si="44"/>
        <v>0</v>
      </c>
      <c r="O86" s="65">
        <f t="shared" ca="1" si="101"/>
        <v>0</v>
      </c>
      <c r="P86" s="65">
        <f t="shared" ca="1" si="102"/>
        <v>63.711637219251351</v>
      </c>
      <c r="Q86" s="65">
        <f t="shared" ca="1" si="103"/>
        <v>7.6475230502599665</v>
      </c>
      <c r="R86" s="65">
        <f t="shared" ca="1" si="104"/>
        <v>0</v>
      </c>
      <c r="S86" s="65">
        <f t="shared" ca="1" si="105"/>
        <v>27.777777777777779</v>
      </c>
      <c r="T86" s="65">
        <f t="shared" ca="1" si="106"/>
        <v>19.753086419753089</v>
      </c>
      <c r="U86" s="65">
        <f t="shared" ca="1" si="107"/>
        <v>0</v>
      </c>
      <c r="V86" s="65">
        <f t="shared" ca="1" si="108"/>
        <v>0</v>
      </c>
      <c r="W86" s="65">
        <f t="shared" ca="1" si="109"/>
        <v>0</v>
      </c>
      <c r="X86" s="65">
        <f t="shared" ca="1" si="110"/>
        <v>0</v>
      </c>
      <c r="Y86" s="21" t="s">
        <v>94</v>
      </c>
      <c r="Z86" s="15">
        <f>VLOOKUP($D86&amp;$B86,[3]!装备基础属性表,P$30,FALSE)</f>
        <v>5226.4213093120734</v>
      </c>
      <c r="AA86" s="15">
        <f>VLOOKUP($D86&amp;$B86,[3]!装备基础属性表,Q$30,FALSE)</f>
        <v>265.46515508021395</v>
      </c>
      <c r="AB86" s="15">
        <f>VLOOKUP($D86&amp;$B86,[3]!装备基础属性表,R$30,FALSE)</f>
        <v>114.7128457538995</v>
      </c>
      <c r="AC86" s="15">
        <f>VLOOKUP($D86&amp;$B86,[3]!装备基础属性表,S$30,FALSE)</f>
        <v>208.33333333333334</v>
      </c>
      <c r="AD86" s="15">
        <f>VLOOKUP($D86&amp;$B86,[3]!装备基础属性表,T$30,FALSE)</f>
        <v>208.33333333333334</v>
      </c>
      <c r="AE86" s="15">
        <f>VLOOKUP($D86&amp;$B86,[3]!装备基础属性表,U$30,FALSE)</f>
        <v>123.4567901234568</v>
      </c>
      <c r="AF86" s="15">
        <f>VLOOKUP($D86&amp;$B86,[3]!装备基础属性表,V$30,FALSE)</f>
        <v>0</v>
      </c>
      <c r="AG86" s="15">
        <f>VLOOKUP($D86&amp;$B86,[3]!装备基础属性表,W$30,FALSE)</f>
        <v>123.4567901234568</v>
      </c>
      <c r="AH86" s="15">
        <f>VLOOKUP($D86&amp;$B86,[3]!装备基础属性表,X$30,FALSE)</f>
        <v>0</v>
      </c>
      <c r="AI86" s="15">
        <f>VLOOKUP($D86&amp;$B86,[3]!装备基础属性表,Y$30,FALSE)</f>
        <v>0</v>
      </c>
      <c r="AJ86" s="16" t="str">
        <f>B86&amp;VLOOKUP(C86,定义数据!$E$1:$F$7,2,FALSE)&amp;D86</f>
        <v>4030</v>
      </c>
      <c r="AK86" s="14">
        <f t="shared" si="29"/>
        <v>11</v>
      </c>
      <c r="AL86" s="5">
        <f t="shared" si="99"/>
        <v>6</v>
      </c>
      <c r="AM86" s="5" t="str">
        <f t="array" aca="1" ref="AM86" ca="1">IF(AM$31&gt;$AL86,0,IF(ISERROR(OFFSET($E$31,0,SMALL(IF($E86:$X86&gt;0,COLUMN($A:$T),""),AM$31)-1)),0,OFFSET($E$31,0,SMALL(IF($E86:$X86&gt;0,COLUMN($A:$T),""),AM$31)-1)))</f>
        <v>攻击</v>
      </c>
      <c r="AN86" s="5">
        <f t="array" aca="1" ref="AN86" ca="1">IF(AM$31&gt;$AL86,0,IF(ISERROR(INDEX($E86:$X86,,SMALL(IF($E86:$X86&gt;0,COLUMN($A:$T),""),AN$31))),0,INDEX($E86:$X86,,SMALL(IF($E86:$X86&gt;0,COLUMN($A:$T),""),AN$31))))</f>
        <v>139.36920641711231</v>
      </c>
      <c r="AO86" s="5" t="str">
        <f t="array" aca="1" ref="AO86" ca="1">IF(AO$31&gt;$AL86,0,IF(ISERROR(OFFSET($E$31,0,SMALL(IF($E86:$X86&gt;0,COLUMN($A:$T),""),AO$31)-1)),0,OFFSET($E$31,0,SMALL(IF($E86:$X86&gt;0,COLUMN($A:$T),""),AO$31)-1)))</f>
        <v>暴击值</v>
      </c>
      <c r="AP86" s="5">
        <f t="array" aca="1" ref="AP86" ca="1">IF(AO$31&gt;$AL86,0,IF(ISERROR(INDEX($E86:$X86,,SMALL(IF($E86:$X86&gt;0,COLUMN($A:$T),""),AP$31))),0,INDEX($E86:$X86,,SMALL(IF($E86:$X86&gt;0,COLUMN($A:$T),""),AP$31))))</f>
        <v>86.41975308641976</v>
      </c>
      <c r="AQ86" s="5" t="str">
        <f t="array" aca="1" ref="AQ86" ca="1">IF(AQ$31&gt;$AL86,0,IF(ISERROR(OFFSET($E$31,0,SMALL(IF($E86:$X86&gt;0,COLUMN($A:$T),""),AQ$31)-1)),0,OFFSET($E$31,0,SMALL(IF($E86:$X86&gt;0,COLUMN($A:$T),""),AQ$31)-1)))</f>
        <v>攻击</v>
      </c>
      <c r="AR86" s="5">
        <f t="array" aca="1" ref="AR86" ca="1">IF(AQ$31&gt;$AL86,0,IF(ISERROR(INDEX($E86:$X86,,SMALL(IF($E86:$X86&gt;0,COLUMN($A:$T),""),AR$31))),0,INDEX($E86:$X86,,SMALL(IF($E86:$X86&gt;0,COLUMN($A:$T),""),AR$31))))</f>
        <v>63.711637219251351</v>
      </c>
      <c r="AS86" s="5" t="str">
        <f t="array" aca="1" ref="AS86" ca="1">IF(AS$31&gt;$AL86,0,IF(ISERROR(OFFSET($E$31,0,SMALL(IF($E86:$X86&gt;0,COLUMN($A:$T),""),AS$31)-1)),0,OFFSET($E$31,0,SMALL(IF($E86:$X86&gt;0,COLUMN($A:$T),""),AS$31)-1)))</f>
        <v>防御</v>
      </c>
      <c r="AT86" s="5">
        <f t="array" aca="1" ref="AT86" ca="1">IF(AS$31&gt;$AL86,0,IF(ISERROR(INDEX($E86:$X86,,SMALL(IF($E86:$X86&gt;0,COLUMN($A:$T),""),AT$31))),0,INDEX($E86:$X86,,SMALL(IF($E86:$X86&gt;0,COLUMN($A:$T),""),AT$31))))</f>
        <v>7.6475230502599665</v>
      </c>
      <c r="AU86" s="5" t="str">
        <f t="array" aca="1" ref="AU86" ca="1">IF(AU$31&gt;$AL86,0,IF(ISERROR(OFFSET($E$31,0,SMALL(IF($E86:$X86&gt;0,COLUMN($A:$T),""),AU$31)-1)),0,OFFSET($E$31,0,SMALL(IF($E86:$X86&gt;0,COLUMN($A:$T),""),AU$31)-1)))</f>
        <v>命中值</v>
      </c>
      <c r="AV86" s="5">
        <f t="array" aca="1" ref="AV86" ca="1">IF(AU$31&gt;$AL86,0,IF(ISERROR(INDEX($E86:$X86,,SMALL(IF($E86:$X86&gt;0,COLUMN($A:$T),""),AV$31))),0,INDEX($E86:$X86,,SMALL(IF($E86:$X86&gt;0,COLUMN($A:$T),""),AV$31))))</f>
        <v>27.777777777777779</v>
      </c>
      <c r="AW86" s="5" t="str">
        <f t="array" aca="1" ref="AW86" ca="1">IF(AW$31&gt;$AL86,0,IF(ISERROR(OFFSET($E$31,0,SMALL(IF($E86:$X86&gt;0,COLUMN($A:$T),""),AW$31)-1)),0,OFFSET($E$31,0,SMALL(IF($E86:$X86&gt;0,COLUMN($A:$T),""),AW$31)-1)))</f>
        <v>暴击值</v>
      </c>
      <c r="AX86" s="5">
        <f t="array" aca="1" ref="AX86" ca="1">IF(AW$31&gt;$AL86,0,IF(ISERROR(INDEX($E86:$X86,,SMALL(IF($E86:$X86&gt;0,COLUMN($A:$T),""),AX$31))),0,INDEX($E86:$X86,,SMALL(IF($E86:$X86&gt;0,COLUMN($A:$T),""),AX$31))))</f>
        <v>19.753086419753089</v>
      </c>
      <c r="AY86" s="5">
        <f t="array" aca="1" ref="AY86" ca="1">IF(AY$31&gt;$AL86,0,IF(ISERROR(OFFSET($E$31,0,SMALL(IF($E86:$X86&gt;0,COLUMN($A:$T),""),AY$31)-1)),0,OFFSET($E$31,0,SMALL(IF($E86:$X86&gt;0,COLUMN($A:$T),""),AY$31)-1)))</f>
        <v>0</v>
      </c>
      <c r="AZ86" s="5">
        <f t="array" ref="AZ86">IF(AY$31&gt;$AL86,0,IF(ISERROR(INDEX($E86:$X86,,SMALL(IF($E86:$X86&gt;0,COLUMN($A:$T),""),AZ$31))),0,INDEX($E86:$X86,,SMALL(IF($E86:$X86&gt;0,COLUMN($A:$T),""),AZ$31))))</f>
        <v>0</v>
      </c>
      <c r="BA86" s="5">
        <f t="array" aca="1" ref="BA86" ca="1">IF(BA$31&gt;$AL86,0,IF(ISERROR(OFFSET($E$31,0,SMALL(IF($E86:$X86&gt;0,COLUMN($A:$T),""),BA$31)-1)),0,OFFSET($E$31,0,SMALL(IF($E86:$X86&gt;0,COLUMN($A:$T),""),BA$31)-1)))</f>
        <v>0</v>
      </c>
      <c r="BB86" s="5">
        <f t="array" ref="BB86">IF(BA$31&gt;$AL86,0,IF(ISERROR(INDEX($E86:$X86,,SMALL(IF($E86:$X86&gt;0,COLUMN($A:$T),""),BB$31))),0,INDEX($E86:$X86,,SMALL(IF($E86:$X86&gt;0,COLUMN($A:$T),""),BB$31))))</f>
        <v>0</v>
      </c>
      <c r="BC86" s="5">
        <f t="array" aca="1" ref="BC86" ca="1">IF(BC$31&gt;$AL86,0,IF(ISERROR(OFFSET($E$31,0,SMALL(IF($E86:$X86&gt;0,COLUMN($A:$T),""),BC$31)-1)),0,OFFSET($E$31,0,SMALL(IF($E86:$X86&gt;0,COLUMN($A:$T),""),BC$31)-1)))</f>
        <v>0</v>
      </c>
      <c r="BD86" s="5">
        <f t="array" ref="BD86">IF(BC$31&gt;$AL86,0,IF(ISERROR(INDEX($E86:$X86,,SMALL(IF($E86:$X86&gt;0,COLUMN($A:$T),""),BD$31))),0,INDEX($E86:$X86,,SMALL(IF($E86:$X86&gt;0,COLUMN($A:$T),""),BD$31))))</f>
        <v>0</v>
      </c>
      <c r="BE86" s="5">
        <f t="array" aca="1" ref="BE86" ca="1">IF(BE$31&gt;$AL86,0,IF(ISERROR(OFFSET($E$31,0,SMALL(IF($E86:$X86&gt;0,COLUMN($A:$T),""),BE$31)-1)),0,OFFSET($E$31,0,SMALL(IF($E86:$X86&gt;0,COLUMN($A:$T),""),BE$31)-1)))</f>
        <v>0</v>
      </c>
      <c r="BF86" s="5">
        <f t="array" ref="BF86">IF(BE$31&gt;$AL86,0,IF(ISERROR(INDEX($E86:$X86,,SMALL(IF($E86:$X86&gt;0,COLUMN($A:$T),""),BF$31))),0,INDEX($E86:$X86,,SMALL(IF($E86:$X86&gt;0,COLUMN($A:$T),""),BF$31))))</f>
        <v>0</v>
      </c>
      <c r="BH86">
        <f ca="1">SUMPRODUCT(E86:N86,定义数据!$G$14:$P$14)</f>
        <v>154.92476197266785</v>
      </c>
      <c r="BI86">
        <f ca="1">SUMPRODUCT(O86:X86,定义数据!$G$14:$P$14)</f>
        <v>84.359160269511321</v>
      </c>
      <c r="BJ86" s="5">
        <f t="shared" ca="1" si="100"/>
        <v>239.28392224217919</v>
      </c>
      <c r="BK86" s="5" t="str">
        <f>D86&amp;B86&amp;VLOOKUP(C86,定义数据!$E$1:$F$7,2,FALSE)</f>
        <v>3040</v>
      </c>
    </row>
    <row r="87" spans="1:63" x14ac:dyDescent="0.15">
      <c r="A87" s="17" t="str">
        <f>D87&amp;B87&amp;VLOOKUP(C87,定义数据!$E$1:$F$7,2,FALSE)</f>
        <v>3041</v>
      </c>
      <c r="B87" s="18">
        <v>4</v>
      </c>
      <c r="C87" s="18" t="s">
        <v>136</v>
      </c>
      <c r="D87" s="24">
        <v>30</v>
      </c>
      <c r="E87" s="56">
        <f t="shared" ca="1" si="35"/>
        <v>2195.0969499110706</v>
      </c>
      <c r="F87" s="56">
        <f t="shared" ca="1" si="36"/>
        <v>0</v>
      </c>
      <c r="G87" s="56">
        <f t="shared" ca="1" si="37"/>
        <v>48.179395216637786</v>
      </c>
      <c r="H87" s="56">
        <f t="shared" ca="1" si="38"/>
        <v>0</v>
      </c>
      <c r="I87" s="56">
        <f t="shared" ca="1" si="39"/>
        <v>0</v>
      </c>
      <c r="J87" s="56">
        <f t="shared" ca="1" si="40"/>
        <v>0</v>
      </c>
      <c r="K87" s="56">
        <f t="shared" ca="1" si="41"/>
        <v>0</v>
      </c>
      <c r="L87" s="56">
        <f t="shared" ca="1" si="42"/>
        <v>0</v>
      </c>
      <c r="M87" s="56">
        <f t="shared" ca="1" si="43"/>
        <v>0</v>
      </c>
      <c r="N87" s="56">
        <f t="shared" ca="1" si="44"/>
        <v>0</v>
      </c>
      <c r="O87" s="65">
        <f t="shared" ca="1" si="101"/>
        <v>696.85617457494311</v>
      </c>
      <c r="P87" s="65">
        <f t="shared" ca="1" si="102"/>
        <v>0</v>
      </c>
      <c r="Q87" s="65">
        <f t="shared" ca="1" si="103"/>
        <v>22.942569150779903</v>
      </c>
      <c r="R87" s="65">
        <f t="shared" ca="1" si="104"/>
        <v>16.666666666666668</v>
      </c>
      <c r="S87" s="65">
        <f t="shared" ca="1" si="105"/>
        <v>0</v>
      </c>
      <c r="T87" s="65">
        <f t="shared" ca="1" si="106"/>
        <v>0</v>
      </c>
      <c r="U87" s="65">
        <f t="shared" ca="1" si="107"/>
        <v>0</v>
      </c>
      <c r="V87" s="65">
        <f t="shared" ca="1" si="108"/>
        <v>16.460905349794242</v>
      </c>
      <c r="W87" s="65">
        <f t="shared" ca="1" si="109"/>
        <v>0</v>
      </c>
      <c r="X87" s="65">
        <f t="shared" ca="1" si="110"/>
        <v>0</v>
      </c>
      <c r="Y87" s="21" t="s">
        <v>95</v>
      </c>
      <c r="Z87" s="15">
        <f>VLOOKUP($D87&amp;$B87,[3]!装备基础属性表,P$30,FALSE)</f>
        <v>5226.4213093120734</v>
      </c>
      <c r="AA87" s="15">
        <f>VLOOKUP($D87&amp;$B87,[3]!装备基础属性表,Q$30,FALSE)</f>
        <v>265.46515508021395</v>
      </c>
      <c r="AB87" s="15">
        <f>VLOOKUP($D87&amp;$B87,[3]!装备基础属性表,R$30,FALSE)</f>
        <v>114.7128457538995</v>
      </c>
      <c r="AC87" s="15">
        <f>VLOOKUP($D87&amp;$B87,[3]!装备基础属性表,S$30,FALSE)</f>
        <v>208.33333333333334</v>
      </c>
      <c r="AD87" s="15">
        <f>VLOOKUP($D87&amp;$B87,[3]!装备基础属性表,T$30,FALSE)</f>
        <v>208.33333333333334</v>
      </c>
      <c r="AE87" s="15">
        <f>VLOOKUP($D87&amp;$B87,[3]!装备基础属性表,U$30,FALSE)</f>
        <v>123.4567901234568</v>
      </c>
      <c r="AF87" s="15">
        <f>VLOOKUP($D87&amp;$B87,[3]!装备基础属性表,V$30,FALSE)</f>
        <v>0</v>
      </c>
      <c r="AG87" s="15">
        <f>VLOOKUP($D87&amp;$B87,[3]!装备基础属性表,W$30,FALSE)</f>
        <v>123.4567901234568</v>
      </c>
      <c r="AH87" s="15">
        <f>VLOOKUP($D87&amp;$B87,[3]!装备基础属性表,X$30,FALSE)</f>
        <v>0</v>
      </c>
      <c r="AI87" s="15">
        <f>VLOOKUP($D87&amp;$B87,[3]!装备基础属性表,Y$30,FALSE)</f>
        <v>0</v>
      </c>
      <c r="AJ87" s="16" t="str">
        <f>B87&amp;VLOOKUP(C87,定义数据!$E$1:$F$7,2,FALSE)&amp;D87</f>
        <v>4130</v>
      </c>
      <c r="AK87" s="14">
        <f t="shared" si="29"/>
        <v>11</v>
      </c>
      <c r="AL87" s="5">
        <f t="shared" si="99"/>
        <v>6</v>
      </c>
      <c r="AM87" s="5" t="str">
        <f t="array" aca="1" ref="AM87" ca="1">IF(AM$31&gt;$AL87,0,IF(ISERROR(OFFSET($E$31,0,SMALL(IF($E87:$X87&gt;0,COLUMN($A:$T),""),AM$31)-1)),0,OFFSET($E$31,0,SMALL(IF($E87:$X87&gt;0,COLUMN($A:$T),""),AM$31)-1)))</f>
        <v>生命</v>
      </c>
      <c r="AN87" s="5">
        <f t="array" aca="1" ref="AN87" ca="1">IF(AM$31&gt;$AL87,0,IF(ISERROR(INDEX($E87:$X87,,SMALL(IF($E87:$X87&gt;0,COLUMN($A:$T),""),AN$31))),0,INDEX($E87:$X87,,SMALL(IF($E87:$X87&gt;0,COLUMN($A:$T),""),AN$31))))</f>
        <v>2195.0969499110706</v>
      </c>
      <c r="AO87" s="5" t="str">
        <f t="array" aca="1" ref="AO87" ca="1">IF(AO$31&gt;$AL87,0,IF(ISERROR(OFFSET($E$31,0,SMALL(IF($E87:$X87&gt;0,COLUMN($A:$T),""),AO$31)-1)),0,OFFSET($E$31,0,SMALL(IF($E87:$X87&gt;0,COLUMN($A:$T),""),AO$31)-1)))</f>
        <v>防御</v>
      </c>
      <c r="AP87" s="5">
        <f t="array" aca="1" ref="AP87" ca="1">IF(AO$31&gt;$AL87,0,IF(ISERROR(INDEX($E87:$X87,,SMALL(IF($E87:$X87&gt;0,COLUMN($A:$T),""),AP$31))),0,INDEX($E87:$X87,,SMALL(IF($E87:$X87&gt;0,COLUMN($A:$T),""),AP$31))))</f>
        <v>48.179395216637786</v>
      </c>
      <c r="AQ87" s="5" t="str">
        <f t="array" aca="1" ref="AQ87" ca="1">IF(AQ$31&gt;$AL87,0,IF(ISERROR(OFFSET($E$31,0,SMALL(IF($E87:$X87&gt;0,COLUMN($A:$T),""),AQ$31)-1)),0,OFFSET($E$31,0,SMALL(IF($E87:$X87&gt;0,COLUMN($A:$T),""),AQ$31)-1)))</f>
        <v>生命</v>
      </c>
      <c r="AR87" s="5">
        <f t="array" aca="1" ref="AR87" ca="1">IF(AQ$31&gt;$AL87,0,IF(ISERROR(INDEX($E87:$X87,,SMALL(IF($E87:$X87&gt;0,COLUMN($A:$T),""),AR$31))),0,INDEX($E87:$X87,,SMALL(IF($E87:$X87&gt;0,COLUMN($A:$T),""),AR$31))))</f>
        <v>696.85617457494311</v>
      </c>
      <c r="AS87" s="5" t="str">
        <f t="array" aca="1" ref="AS87" ca="1">IF(AS$31&gt;$AL87,0,IF(ISERROR(OFFSET($E$31,0,SMALL(IF($E87:$X87&gt;0,COLUMN($A:$T),""),AS$31)-1)),0,OFFSET($E$31,0,SMALL(IF($E87:$X87&gt;0,COLUMN($A:$T),""),AS$31)-1)))</f>
        <v>防御</v>
      </c>
      <c r="AT87" s="5">
        <f t="array" aca="1" ref="AT87" ca="1">IF(AS$31&gt;$AL87,0,IF(ISERROR(INDEX($E87:$X87,,SMALL(IF($E87:$X87&gt;0,COLUMN($A:$T),""),AT$31))),0,INDEX($E87:$X87,,SMALL(IF($E87:$X87&gt;0,COLUMN($A:$T),""),AT$31))))</f>
        <v>22.942569150779903</v>
      </c>
      <c r="AU87" s="5" t="str">
        <f t="array" aca="1" ref="AU87" ca="1">IF(AU$31&gt;$AL87,0,IF(ISERROR(OFFSET($E$31,0,SMALL(IF($E87:$X87&gt;0,COLUMN($A:$T),""),AU$31)-1)),0,OFFSET($E$31,0,SMALL(IF($E87:$X87&gt;0,COLUMN($A:$T),""),AU$31)-1)))</f>
        <v>闪避值</v>
      </c>
      <c r="AV87" s="5">
        <f t="array" aca="1" ref="AV87" ca="1">IF(AU$31&gt;$AL87,0,IF(ISERROR(INDEX($E87:$X87,,SMALL(IF($E87:$X87&gt;0,COLUMN($A:$T),""),AV$31))),0,INDEX($E87:$X87,,SMALL(IF($E87:$X87&gt;0,COLUMN($A:$T),""),AV$31))))</f>
        <v>16.666666666666668</v>
      </c>
      <c r="AW87" s="5" t="str">
        <f t="array" aca="1" ref="AW87" ca="1">IF(AW$31&gt;$AL87,0,IF(ISERROR(OFFSET($E$31,0,SMALL(IF($E87:$X87&gt;0,COLUMN($A:$T),""),AW$31)-1)),0,OFFSET($E$31,0,SMALL(IF($E87:$X87&gt;0,COLUMN($A:$T),""),AW$31)-1)))</f>
        <v>韧性值</v>
      </c>
      <c r="AX87" s="5">
        <f t="array" aca="1" ref="AX87" ca="1">IF(AW$31&gt;$AL87,0,IF(ISERROR(INDEX($E87:$X87,,SMALL(IF($E87:$X87&gt;0,COLUMN($A:$T),""),AX$31))),0,INDEX($E87:$X87,,SMALL(IF($E87:$X87&gt;0,COLUMN($A:$T),""),AX$31))))</f>
        <v>16.460905349794242</v>
      </c>
      <c r="AY87" s="5">
        <f t="array" aca="1" ref="AY87" ca="1">IF(AY$31&gt;$AL87,0,IF(ISERROR(OFFSET($E$31,0,SMALL(IF($E87:$X87&gt;0,COLUMN($A:$T),""),AY$31)-1)),0,OFFSET($E$31,0,SMALL(IF($E87:$X87&gt;0,COLUMN($A:$T),""),AY$31)-1)))</f>
        <v>0</v>
      </c>
      <c r="AZ87" s="5">
        <f t="array" ref="AZ87">IF(AY$31&gt;$AL87,0,IF(ISERROR(INDEX($E87:$X87,,SMALL(IF($E87:$X87&gt;0,COLUMN($A:$T),""),AZ$31))),0,INDEX($E87:$X87,,SMALL(IF($E87:$X87&gt;0,COLUMN($A:$T),""),AZ$31))))</f>
        <v>0</v>
      </c>
      <c r="BA87" s="5">
        <f t="array" aca="1" ref="BA87" ca="1">IF(BA$31&gt;$AL87,0,IF(ISERROR(OFFSET($E$31,0,SMALL(IF($E87:$X87&gt;0,COLUMN($A:$T),""),BA$31)-1)),0,OFFSET($E$31,0,SMALL(IF($E87:$X87&gt;0,COLUMN($A:$T),""),BA$31)-1)))</f>
        <v>0</v>
      </c>
      <c r="BB87" s="5">
        <f t="array" ref="BB87">IF(BA$31&gt;$AL87,0,IF(ISERROR(INDEX($E87:$X87,,SMALL(IF($E87:$X87&gt;0,COLUMN($A:$T),""),BB$31))),0,INDEX($E87:$X87,,SMALL(IF($E87:$X87&gt;0,COLUMN($A:$T),""),BB$31))))</f>
        <v>0</v>
      </c>
      <c r="BC87" s="5">
        <f t="array" aca="1" ref="BC87" ca="1">IF(BC$31&gt;$AL87,0,IF(ISERROR(OFFSET($E$31,0,SMALL(IF($E87:$X87&gt;0,COLUMN($A:$T),""),BC$31)-1)),0,OFFSET($E$31,0,SMALL(IF($E87:$X87&gt;0,COLUMN($A:$T),""),BC$31)-1)))</f>
        <v>0</v>
      </c>
      <c r="BD87" s="5">
        <f t="array" ref="BD87">IF(BC$31&gt;$AL87,0,IF(ISERROR(INDEX($E87:$X87,,SMALL(IF($E87:$X87&gt;0,COLUMN($A:$T),""),BD$31))),0,INDEX($E87:$X87,,SMALL(IF($E87:$X87&gt;0,COLUMN($A:$T),""),BD$31))))</f>
        <v>0</v>
      </c>
      <c r="BE87" s="5">
        <f t="array" aca="1" ref="BE87" ca="1">IF(BE$31&gt;$AL87,0,IF(ISERROR(OFFSET($E$31,0,SMALL(IF($E87:$X87&gt;0,COLUMN($A:$T),""),BE$31)-1)),0,OFFSET($E$31,0,SMALL(IF($E87:$X87&gt;0,COLUMN($A:$T),""),BE$31)-1)))</f>
        <v>0</v>
      </c>
      <c r="BF87" s="5">
        <f t="array" ref="BF87">IF(BE$31&gt;$AL87,0,IF(ISERROR(INDEX($E87:$X87,,SMALL(IF($E87:$X87&gt;0,COLUMN($A:$T),""),BF$31))),0,INDEX($E87:$X87,,SMALL(IF($E87:$X87&gt;0,COLUMN($A:$T),""),BF$31))))</f>
        <v>0</v>
      </c>
      <c r="BH87">
        <f ca="1">SUMPRODUCT(E87:N87,定义数据!$G$14:$P$14)</f>
        <v>135.98327321308062</v>
      </c>
      <c r="BI87">
        <f ca="1">SUMPRODUCT(O87:X87,定义数据!$G$14:$P$14)</f>
        <v>59.446445763407255</v>
      </c>
      <c r="BJ87" s="5">
        <f t="shared" ca="1" si="100"/>
        <v>195.42971897648789</v>
      </c>
      <c r="BK87" s="5" t="str">
        <f>D87&amp;B87&amp;VLOOKUP(C87,定义数据!$E$1:$F$7,2,FALSE)</f>
        <v>3041</v>
      </c>
    </row>
    <row r="88" spans="1:63" x14ac:dyDescent="0.15">
      <c r="A88" s="17" t="str">
        <f>D88&amp;B88&amp;VLOOKUP(C88,定义数据!$E$1:$F$7,2,FALSE)</f>
        <v>3042</v>
      </c>
      <c r="B88" s="18">
        <v>4</v>
      </c>
      <c r="C88" s="18" t="s">
        <v>137</v>
      </c>
      <c r="D88" s="24">
        <v>30</v>
      </c>
      <c r="E88" s="56">
        <f t="shared" ca="1" si="35"/>
        <v>0</v>
      </c>
      <c r="F88" s="56">
        <f t="shared" ca="1" si="36"/>
        <v>0</v>
      </c>
      <c r="G88" s="56">
        <f t="shared" ca="1" si="37"/>
        <v>32.11959681109186</v>
      </c>
      <c r="H88" s="56">
        <f t="shared" ca="1" si="38"/>
        <v>48.611111111111107</v>
      </c>
      <c r="I88" s="56">
        <f t="shared" ca="1" si="39"/>
        <v>0</v>
      </c>
      <c r="J88" s="56">
        <f t="shared" ca="1" si="40"/>
        <v>0</v>
      </c>
      <c r="K88" s="56">
        <f t="shared" ca="1" si="41"/>
        <v>0</v>
      </c>
      <c r="L88" s="56">
        <f t="shared" ca="1" si="42"/>
        <v>0</v>
      </c>
      <c r="M88" s="56">
        <f t="shared" ca="1" si="43"/>
        <v>0</v>
      </c>
      <c r="N88" s="56">
        <f t="shared" ca="1" si="44"/>
        <v>0</v>
      </c>
      <c r="O88" s="65">
        <f t="shared" ca="1" si="101"/>
        <v>348.42808728747156</v>
      </c>
      <c r="P88" s="65">
        <f t="shared" ca="1" si="102"/>
        <v>0</v>
      </c>
      <c r="Q88" s="65">
        <f t="shared" ca="1" si="103"/>
        <v>7.6475230502599665</v>
      </c>
      <c r="R88" s="65">
        <f t="shared" ca="1" si="104"/>
        <v>16.666666666666668</v>
      </c>
      <c r="S88" s="65">
        <f t="shared" ca="1" si="105"/>
        <v>0</v>
      </c>
      <c r="T88" s="65">
        <f t="shared" ca="1" si="106"/>
        <v>0</v>
      </c>
      <c r="U88" s="65">
        <f t="shared" ca="1" si="107"/>
        <v>0</v>
      </c>
      <c r="V88" s="65">
        <f t="shared" ca="1" si="108"/>
        <v>16.460905349794242</v>
      </c>
      <c r="W88" s="65">
        <f t="shared" ca="1" si="109"/>
        <v>0</v>
      </c>
      <c r="X88" s="65">
        <f t="shared" ca="1" si="110"/>
        <v>0</v>
      </c>
      <c r="Y88" s="21" t="s">
        <v>96</v>
      </c>
      <c r="Z88" s="15">
        <f>VLOOKUP($D88&amp;$B88,[3]!装备基础属性表,P$30,FALSE)</f>
        <v>5226.4213093120734</v>
      </c>
      <c r="AA88" s="15">
        <f>VLOOKUP($D88&amp;$B88,[3]!装备基础属性表,Q$30,FALSE)</f>
        <v>265.46515508021395</v>
      </c>
      <c r="AB88" s="15">
        <f>VLOOKUP($D88&amp;$B88,[3]!装备基础属性表,R$30,FALSE)</f>
        <v>114.7128457538995</v>
      </c>
      <c r="AC88" s="15">
        <f>VLOOKUP($D88&amp;$B88,[3]!装备基础属性表,S$30,FALSE)</f>
        <v>208.33333333333334</v>
      </c>
      <c r="AD88" s="15">
        <f>VLOOKUP($D88&amp;$B88,[3]!装备基础属性表,T$30,FALSE)</f>
        <v>208.33333333333334</v>
      </c>
      <c r="AE88" s="15">
        <f>VLOOKUP($D88&amp;$B88,[3]!装备基础属性表,U$30,FALSE)</f>
        <v>123.4567901234568</v>
      </c>
      <c r="AF88" s="15">
        <f>VLOOKUP($D88&amp;$B88,[3]!装备基础属性表,V$30,FALSE)</f>
        <v>0</v>
      </c>
      <c r="AG88" s="15">
        <f>VLOOKUP($D88&amp;$B88,[3]!装备基础属性表,W$30,FALSE)</f>
        <v>123.4567901234568</v>
      </c>
      <c r="AH88" s="15">
        <f>VLOOKUP($D88&amp;$B88,[3]!装备基础属性表,X$30,FALSE)</f>
        <v>0</v>
      </c>
      <c r="AI88" s="15">
        <f>VLOOKUP($D88&amp;$B88,[3]!装备基础属性表,Y$30,FALSE)</f>
        <v>0</v>
      </c>
      <c r="AJ88" s="16" t="str">
        <f>B88&amp;VLOOKUP(C88,定义数据!$E$1:$F$7,2,FALSE)&amp;D88</f>
        <v>4230</v>
      </c>
      <c r="AK88" s="14">
        <f t="shared" si="29"/>
        <v>11</v>
      </c>
      <c r="AL88" s="5">
        <f t="shared" si="99"/>
        <v>6</v>
      </c>
      <c r="AM88" s="5" t="str">
        <f t="array" aca="1" ref="AM88" ca="1">IF(AM$31&gt;$AL88,0,IF(ISERROR(OFFSET($E$31,0,SMALL(IF($E88:$X88&gt;0,COLUMN($A:$T),""),AM$31)-1)),0,OFFSET($E$31,0,SMALL(IF($E88:$X88&gt;0,COLUMN($A:$T),""),AM$31)-1)))</f>
        <v>防御</v>
      </c>
      <c r="AN88" s="5">
        <f t="array" aca="1" ref="AN88" ca="1">IF(AM$31&gt;$AL88,0,IF(ISERROR(INDEX($E88:$X88,,SMALL(IF($E88:$X88&gt;0,COLUMN($A:$T),""),AN$31))),0,INDEX($E88:$X88,,SMALL(IF($E88:$X88&gt;0,COLUMN($A:$T),""),AN$31))))</f>
        <v>32.11959681109186</v>
      </c>
      <c r="AO88" s="5" t="str">
        <f t="array" aca="1" ref="AO88" ca="1">IF(AO$31&gt;$AL88,0,IF(ISERROR(OFFSET($E$31,0,SMALL(IF($E88:$X88&gt;0,COLUMN($A:$T),""),AO$31)-1)),0,OFFSET($E$31,0,SMALL(IF($E88:$X88&gt;0,COLUMN($A:$T),""),AO$31)-1)))</f>
        <v>闪避值</v>
      </c>
      <c r="AP88" s="5">
        <f t="array" aca="1" ref="AP88" ca="1">IF(AO$31&gt;$AL88,0,IF(ISERROR(INDEX($E88:$X88,,SMALL(IF($E88:$X88&gt;0,COLUMN($A:$T),""),AP$31))),0,INDEX($E88:$X88,,SMALL(IF($E88:$X88&gt;0,COLUMN($A:$T),""),AP$31))))</f>
        <v>48.611111111111107</v>
      </c>
      <c r="AQ88" s="5" t="str">
        <f t="array" aca="1" ref="AQ88" ca="1">IF(AQ$31&gt;$AL88,0,IF(ISERROR(OFFSET($E$31,0,SMALL(IF($E88:$X88&gt;0,COLUMN($A:$T),""),AQ$31)-1)),0,OFFSET($E$31,0,SMALL(IF($E88:$X88&gt;0,COLUMN($A:$T),""),AQ$31)-1)))</f>
        <v>生命</v>
      </c>
      <c r="AR88" s="5">
        <f t="array" aca="1" ref="AR88" ca="1">IF(AQ$31&gt;$AL88,0,IF(ISERROR(INDEX($E88:$X88,,SMALL(IF($E88:$X88&gt;0,COLUMN($A:$T),""),AR$31))),0,INDEX($E88:$X88,,SMALL(IF($E88:$X88&gt;0,COLUMN($A:$T),""),AR$31))))</f>
        <v>348.42808728747156</v>
      </c>
      <c r="AS88" s="5" t="str">
        <f t="array" aca="1" ref="AS88" ca="1">IF(AS$31&gt;$AL88,0,IF(ISERROR(OFFSET($E$31,0,SMALL(IF($E88:$X88&gt;0,COLUMN($A:$T),""),AS$31)-1)),0,OFFSET($E$31,0,SMALL(IF($E88:$X88&gt;0,COLUMN($A:$T),""),AS$31)-1)))</f>
        <v>防御</v>
      </c>
      <c r="AT88" s="5">
        <f t="array" aca="1" ref="AT88" ca="1">IF(AS$31&gt;$AL88,0,IF(ISERROR(INDEX($E88:$X88,,SMALL(IF($E88:$X88&gt;0,COLUMN($A:$T),""),AT$31))),0,INDEX($E88:$X88,,SMALL(IF($E88:$X88&gt;0,COLUMN($A:$T),""),AT$31))))</f>
        <v>7.6475230502599665</v>
      </c>
      <c r="AU88" s="5" t="str">
        <f t="array" aca="1" ref="AU88" ca="1">IF(AU$31&gt;$AL88,0,IF(ISERROR(OFFSET($E$31,0,SMALL(IF($E88:$X88&gt;0,COLUMN($A:$T),""),AU$31)-1)),0,OFFSET($E$31,0,SMALL(IF($E88:$X88&gt;0,COLUMN($A:$T),""),AU$31)-1)))</f>
        <v>闪避值</v>
      </c>
      <c r="AV88" s="5">
        <f t="array" aca="1" ref="AV88" ca="1">IF(AU$31&gt;$AL88,0,IF(ISERROR(INDEX($E88:$X88,,SMALL(IF($E88:$X88&gt;0,COLUMN($A:$T),""),AV$31))),0,INDEX($E88:$X88,,SMALL(IF($E88:$X88&gt;0,COLUMN($A:$T),""),AV$31))))</f>
        <v>16.666666666666668</v>
      </c>
      <c r="AW88" s="5" t="str">
        <f t="array" aca="1" ref="AW88" ca="1">IF(AW$31&gt;$AL88,0,IF(ISERROR(OFFSET($E$31,0,SMALL(IF($E88:$X88&gt;0,COLUMN($A:$T),""),AW$31)-1)),0,OFFSET($E$31,0,SMALL(IF($E88:$X88&gt;0,COLUMN($A:$T),""),AW$31)-1)))</f>
        <v>韧性值</v>
      </c>
      <c r="AX88" s="5">
        <f t="array" aca="1" ref="AX88" ca="1">IF(AW$31&gt;$AL88,0,IF(ISERROR(INDEX($E88:$X88,,SMALL(IF($E88:$X88&gt;0,COLUMN($A:$T),""),AX$31))),0,INDEX($E88:$X88,,SMALL(IF($E88:$X88&gt;0,COLUMN($A:$T),""),AX$31))))</f>
        <v>16.460905349794242</v>
      </c>
      <c r="AY88" s="5">
        <f t="array" aca="1" ref="AY88" ca="1">IF(AY$31&gt;$AL88,0,IF(ISERROR(OFFSET($E$31,0,SMALL(IF($E88:$X88&gt;0,COLUMN($A:$T),""),AY$31)-1)),0,OFFSET($E$31,0,SMALL(IF($E88:$X88&gt;0,COLUMN($A:$T),""),AY$31)-1)))</f>
        <v>0</v>
      </c>
      <c r="AZ88" s="5">
        <f t="array" ref="AZ88">IF(AY$31&gt;$AL88,0,IF(ISERROR(INDEX($E88:$X88,,SMALL(IF($E88:$X88&gt;0,COLUMN($A:$T),""),AZ$31))),0,INDEX($E88:$X88,,SMALL(IF($E88:$X88&gt;0,COLUMN($A:$T),""),AZ$31))))</f>
        <v>0</v>
      </c>
      <c r="BA88" s="5">
        <f t="array" aca="1" ref="BA88" ca="1">IF(BA$31&gt;$AL88,0,IF(ISERROR(OFFSET($E$31,0,SMALL(IF($E88:$X88&gt;0,COLUMN($A:$T),""),BA$31)-1)),0,OFFSET($E$31,0,SMALL(IF($E88:$X88&gt;0,COLUMN($A:$T),""),BA$31)-1)))</f>
        <v>0</v>
      </c>
      <c r="BB88" s="5">
        <f t="array" ref="BB88">IF(BA$31&gt;$AL88,0,IF(ISERROR(INDEX($E88:$X88,,SMALL(IF($E88:$X88&gt;0,COLUMN($A:$T),""),BB$31))),0,INDEX($E88:$X88,,SMALL(IF($E88:$X88&gt;0,COLUMN($A:$T),""),BB$31))))</f>
        <v>0</v>
      </c>
      <c r="BC88" s="5">
        <f t="array" aca="1" ref="BC88" ca="1">IF(BC$31&gt;$AL88,0,IF(ISERROR(OFFSET($E$31,0,SMALL(IF($E88:$X88&gt;0,COLUMN($A:$T),""),BC$31)-1)),0,OFFSET($E$31,0,SMALL(IF($E88:$X88&gt;0,COLUMN($A:$T),""),BC$31)-1)))</f>
        <v>0</v>
      </c>
      <c r="BD88" s="5">
        <f t="array" ref="BD88">IF(BC$31&gt;$AL88,0,IF(ISERROR(INDEX($E88:$X88,,SMALL(IF($E88:$X88&gt;0,COLUMN($A:$T),""),BD$31))),0,INDEX($E88:$X88,,SMALL(IF($E88:$X88&gt;0,COLUMN($A:$T),""),BD$31))))</f>
        <v>0</v>
      </c>
      <c r="BE88" s="5">
        <f t="array" aca="1" ref="BE88" ca="1">IF(BE$31&gt;$AL88,0,IF(ISERROR(OFFSET($E$31,0,SMALL(IF($E88:$X88&gt;0,COLUMN($A:$T),""),BE$31)-1)),0,OFFSET($E$31,0,SMALL(IF($E88:$X88&gt;0,COLUMN($A:$T),""),BE$31)-1)))</f>
        <v>0</v>
      </c>
      <c r="BF88" s="5">
        <f t="array" ref="BF88">IF(BE$31&gt;$AL88,0,IF(ISERROR(INDEX($E88:$X88,,SMALL(IF($E88:$X88&gt;0,COLUMN($A:$T),""),BF$31))),0,INDEX($E88:$X88,,SMALL(IF($E88:$X88&gt;0,COLUMN($A:$T),""),BF$31))))</f>
        <v>0</v>
      </c>
      <c r="BH88">
        <f ca="1">SUMPRODUCT(E88:N88,定义数据!$G$14:$P$14)</f>
        <v>48.647374588869639</v>
      </c>
      <c r="BI88">
        <f ca="1">SUMPRODUCT(O88:X88,定义数据!$G$14:$P$14)</f>
        <v>30.214276171388459</v>
      </c>
      <c r="BJ88" s="5">
        <f t="shared" ca="1" si="100"/>
        <v>78.861650760258101</v>
      </c>
      <c r="BK88" s="5" t="str">
        <f>D88&amp;B88&amp;VLOOKUP(C88,定义数据!$E$1:$F$7,2,FALSE)</f>
        <v>3042</v>
      </c>
    </row>
    <row r="89" spans="1:63" x14ac:dyDescent="0.15">
      <c r="A89" s="17" t="str">
        <f>D89&amp;B89&amp;VLOOKUP(C89,定义数据!$E$1:$F$7,2,FALSE)</f>
        <v>3045</v>
      </c>
      <c r="B89" s="18">
        <v>4</v>
      </c>
      <c r="C89" s="18" t="s">
        <v>138</v>
      </c>
      <c r="D89" s="24">
        <v>30</v>
      </c>
      <c r="E89" s="56">
        <f t="shared" ca="1" si="35"/>
        <v>731.69898330369028</v>
      </c>
      <c r="F89" s="56">
        <f t="shared" ca="1" si="36"/>
        <v>0</v>
      </c>
      <c r="G89" s="56">
        <f t="shared" ca="1" si="37"/>
        <v>0</v>
      </c>
      <c r="H89" s="56">
        <f t="shared" ca="1" si="38"/>
        <v>97.222222222222214</v>
      </c>
      <c r="I89" s="56">
        <f t="shared" ca="1" si="39"/>
        <v>0</v>
      </c>
      <c r="J89" s="56">
        <f t="shared" ca="1" si="40"/>
        <v>0</v>
      </c>
      <c r="K89" s="56">
        <f t="shared" ca="1" si="41"/>
        <v>0</v>
      </c>
      <c r="L89" s="56">
        <f t="shared" ca="1" si="42"/>
        <v>0</v>
      </c>
      <c r="M89" s="56">
        <f t="shared" ca="1" si="43"/>
        <v>0</v>
      </c>
      <c r="N89" s="56">
        <f t="shared" ca="1" si="44"/>
        <v>0</v>
      </c>
      <c r="O89" s="65">
        <f t="shared" ca="1" si="101"/>
        <v>348.42808728747156</v>
      </c>
      <c r="P89" s="65">
        <f t="shared" ca="1" si="102"/>
        <v>0</v>
      </c>
      <c r="Q89" s="65">
        <f t="shared" ca="1" si="103"/>
        <v>0</v>
      </c>
      <c r="R89" s="65">
        <f t="shared" ca="1" si="104"/>
        <v>33.333333333333336</v>
      </c>
      <c r="S89" s="65">
        <f t="shared" ca="1" si="105"/>
        <v>27.777777777777779</v>
      </c>
      <c r="T89" s="65">
        <f t="shared" ca="1" si="106"/>
        <v>9.8765432098765444</v>
      </c>
      <c r="U89" s="65">
        <f t="shared" ca="1" si="107"/>
        <v>0</v>
      </c>
      <c r="V89" s="65">
        <f t="shared" ca="1" si="108"/>
        <v>0</v>
      </c>
      <c r="W89" s="65">
        <f t="shared" ca="1" si="109"/>
        <v>0</v>
      </c>
      <c r="X89" s="65">
        <f t="shared" ca="1" si="110"/>
        <v>0</v>
      </c>
      <c r="Y89" s="21"/>
      <c r="Z89" s="15">
        <f>VLOOKUP($D89&amp;$B89,[3]!装备基础属性表,P$30,FALSE)</f>
        <v>5226.4213093120734</v>
      </c>
      <c r="AA89" s="15">
        <f>VLOOKUP($D89&amp;$B89,[3]!装备基础属性表,Q$30,FALSE)</f>
        <v>265.46515508021395</v>
      </c>
      <c r="AB89" s="15">
        <f>VLOOKUP($D89&amp;$B89,[3]!装备基础属性表,R$30,FALSE)</f>
        <v>114.7128457538995</v>
      </c>
      <c r="AC89" s="15">
        <f>VLOOKUP($D89&amp;$B89,[3]!装备基础属性表,S$30,FALSE)</f>
        <v>208.33333333333334</v>
      </c>
      <c r="AD89" s="15">
        <f>VLOOKUP($D89&amp;$B89,[3]!装备基础属性表,T$30,FALSE)</f>
        <v>208.33333333333334</v>
      </c>
      <c r="AE89" s="15">
        <f>VLOOKUP($D89&amp;$B89,[3]!装备基础属性表,U$30,FALSE)</f>
        <v>123.4567901234568</v>
      </c>
      <c r="AF89" s="15">
        <f>VLOOKUP($D89&amp;$B89,[3]!装备基础属性表,V$30,FALSE)</f>
        <v>0</v>
      </c>
      <c r="AG89" s="15">
        <f>VLOOKUP($D89&amp;$B89,[3]!装备基础属性表,W$30,FALSE)</f>
        <v>123.4567901234568</v>
      </c>
      <c r="AH89" s="15">
        <f>VLOOKUP($D89&amp;$B89,[3]!装备基础属性表,X$30,FALSE)</f>
        <v>0</v>
      </c>
      <c r="AI89" s="15">
        <f>VLOOKUP($D89&amp;$B89,[3]!装备基础属性表,Y$30,FALSE)</f>
        <v>0</v>
      </c>
      <c r="AJ89" s="16" t="str">
        <f>B89&amp;VLOOKUP(C89,定义数据!$E$1:$F$7,2,FALSE)&amp;D89</f>
        <v>4530</v>
      </c>
      <c r="AK89" s="14">
        <f t="shared" si="29"/>
        <v>11</v>
      </c>
      <c r="AL89" s="5">
        <f t="shared" si="99"/>
        <v>6</v>
      </c>
      <c r="AM89" s="5" t="str">
        <f t="array" aca="1" ref="AM89" ca="1">IF(AM$31&gt;$AL89,0,IF(ISERROR(OFFSET($E$31,0,SMALL(IF($E89:$X89&gt;0,COLUMN($A:$T),""),AM$31)-1)),0,OFFSET($E$31,0,SMALL(IF($E89:$X89&gt;0,COLUMN($A:$T),""),AM$31)-1)))</f>
        <v>生命</v>
      </c>
      <c r="AN89" s="5">
        <f t="array" aca="1" ref="AN89" ca="1">IF(AM$31&gt;$AL89,0,IF(ISERROR(INDEX($E89:$X89,,SMALL(IF($E89:$X89&gt;0,COLUMN($A:$T),""),AN$31))),0,INDEX($E89:$X89,,SMALL(IF($E89:$X89&gt;0,COLUMN($A:$T),""),AN$31))))</f>
        <v>731.69898330369028</v>
      </c>
      <c r="AO89" s="5" t="str">
        <f t="array" aca="1" ref="AO89" ca="1">IF(AO$31&gt;$AL89,0,IF(ISERROR(OFFSET($E$31,0,SMALL(IF($E89:$X89&gt;0,COLUMN($A:$T),""),AO$31)-1)),0,OFFSET($E$31,0,SMALL(IF($E89:$X89&gt;0,COLUMN($A:$T),""),AO$31)-1)))</f>
        <v>闪避值</v>
      </c>
      <c r="AP89" s="5">
        <f t="array" aca="1" ref="AP89" ca="1">IF(AO$31&gt;$AL89,0,IF(ISERROR(INDEX($E89:$X89,,SMALL(IF($E89:$X89&gt;0,COLUMN($A:$T),""),AP$31))),0,INDEX($E89:$X89,,SMALL(IF($E89:$X89&gt;0,COLUMN($A:$T),""),AP$31))))</f>
        <v>97.222222222222214</v>
      </c>
      <c r="AQ89" s="5" t="str">
        <f t="array" aca="1" ref="AQ89" ca="1">IF(AQ$31&gt;$AL89,0,IF(ISERROR(OFFSET($E$31,0,SMALL(IF($E89:$X89&gt;0,COLUMN($A:$T),""),AQ$31)-1)),0,OFFSET($E$31,0,SMALL(IF($E89:$X89&gt;0,COLUMN($A:$T),""),AQ$31)-1)))</f>
        <v>生命</v>
      </c>
      <c r="AR89" s="5">
        <f t="array" aca="1" ref="AR89" ca="1">IF(AQ$31&gt;$AL89,0,IF(ISERROR(INDEX($E89:$X89,,SMALL(IF($E89:$X89&gt;0,COLUMN($A:$T),""),AR$31))),0,INDEX($E89:$X89,,SMALL(IF($E89:$X89&gt;0,COLUMN($A:$T),""),AR$31))))</f>
        <v>348.42808728747156</v>
      </c>
      <c r="AS89" s="5" t="str">
        <f t="array" aca="1" ref="AS89" ca="1">IF(AS$31&gt;$AL89,0,IF(ISERROR(OFFSET($E$31,0,SMALL(IF($E89:$X89&gt;0,COLUMN($A:$T),""),AS$31)-1)),0,OFFSET($E$31,0,SMALL(IF($E89:$X89&gt;0,COLUMN($A:$T),""),AS$31)-1)))</f>
        <v>闪避值</v>
      </c>
      <c r="AT89" s="5">
        <f t="array" aca="1" ref="AT89" ca="1">IF(AS$31&gt;$AL89,0,IF(ISERROR(INDEX($E89:$X89,,SMALL(IF($E89:$X89&gt;0,COLUMN($A:$T),""),AT$31))),0,INDEX($E89:$X89,,SMALL(IF($E89:$X89&gt;0,COLUMN($A:$T),""),AT$31))))</f>
        <v>33.333333333333336</v>
      </c>
      <c r="AU89" s="5" t="str">
        <f t="array" aca="1" ref="AU89" ca="1">IF(AU$31&gt;$AL89,0,IF(ISERROR(OFFSET($E$31,0,SMALL(IF($E89:$X89&gt;0,COLUMN($A:$T),""),AU$31)-1)),0,OFFSET($E$31,0,SMALL(IF($E89:$X89&gt;0,COLUMN($A:$T),""),AU$31)-1)))</f>
        <v>命中值</v>
      </c>
      <c r="AV89" s="5">
        <f t="array" aca="1" ref="AV89" ca="1">IF(AU$31&gt;$AL89,0,IF(ISERROR(INDEX($E89:$X89,,SMALL(IF($E89:$X89&gt;0,COLUMN($A:$T),""),AV$31))),0,INDEX($E89:$X89,,SMALL(IF($E89:$X89&gt;0,COLUMN($A:$T),""),AV$31))))</f>
        <v>27.777777777777779</v>
      </c>
      <c r="AW89" s="5" t="str">
        <f t="array" aca="1" ref="AW89" ca="1">IF(AW$31&gt;$AL89,0,IF(ISERROR(OFFSET($E$31,0,SMALL(IF($E89:$X89&gt;0,COLUMN($A:$T),""),AW$31)-1)),0,OFFSET($E$31,0,SMALL(IF($E89:$X89&gt;0,COLUMN($A:$T),""),AW$31)-1)))</f>
        <v>暴击值</v>
      </c>
      <c r="AX89" s="5">
        <f t="array" aca="1" ref="AX89" ca="1">IF(AW$31&gt;$AL89,0,IF(ISERROR(INDEX($E89:$X89,,SMALL(IF($E89:$X89&gt;0,COLUMN($A:$T),""),AX$31))),0,INDEX($E89:$X89,,SMALL(IF($E89:$X89&gt;0,COLUMN($A:$T),""),AX$31))))</f>
        <v>9.8765432098765444</v>
      </c>
      <c r="AY89" s="5">
        <f t="array" aca="1" ref="AY89" ca="1">IF(AY$31&gt;$AL89,0,IF(ISERROR(OFFSET($E$31,0,SMALL(IF($E89:$X89&gt;0,COLUMN($A:$T),""),AY$31)-1)),0,OFFSET($E$31,0,SMALL(IF($E89:$X89&gt;0,COLUMN($A:$T),""),AY$31)-1)))</f>
        <v>0</v>
      </c>
      <c r="AZ89" s="5">
        <f t="array" ref="AZ89">IF(AY$31&gt;$AL89,0,IF(ISERROR(INDEX($E89:$X89,,SMALL(IF($E89:$X89&gt;0,COLUMN($A:$T),""),AZ$31))),0,INDEX($E89:$X89,,SMALL(IF($E89:$X89&gt;0,COLUMN($A:$T),""),AZ$31))))</f>
        <v>0</v>
      </c>
      <c r="BA89" s="5">
        <f t="array" aca="1" ref="BA89" ca="1">IF(BA$31&gt;$AL89,0,IF(ISERROR(OFFSET($E$31,0,SMALL(IF($E89:$X89&gt;0,COLUMN($A:$T),""),BA$31)-1)),0,OFFSET($E$31,0,SMALL(IF($E89:$X89&gt;0,COLUMN($A:$T),""),BA$31)-1)))</f>
        <v>0</v>
      </c>
      <c r="BB89" s="5">
        <f t="array" ref="BB89">IF(BA$31&gt;$AL89,0,IF(ISERROR(INDEX($E89:$X89,,SMALL(IF($E89:$X89&gt;0,COLUMN($A:$T),""),BB$31))),0,INDEX($E89:$X89,,SMALL(IF($E89:$X89&gt;0,COLUMN($A:$T),""),BB$31))))</f>
        <v>0</v>
      </c>
      <c r="BC89" s="5">
        <f t="array" aca="1" ref="BC89" ca="1">IF(BC$31&gt;$AL89,0,IF(ISERROR(OFFSET($E$31,0,SMALL(IF($E89:$X89&gt;0,COLUMN($A:$T),""),BC$31)-1)),0,OFFSET($E$31,0,SMALL(IF($E89:$X89&gt;0,COLUMN($A:$T),""),BC$31)-1)))</f>
        <v>0</v>
      </c>
      <c r="BD89" s="5">
        <f t="array" ref="BD89">IF(BC$31&gt;$AL89,0,IF(ISERROR(INDEX($E89:$X89,,SMALL(IF($E89:$X89&gt;0,COLUMN($A:$T),""),BD$31))),0,INDEX($E89:$X89,,SMALL(IF($E89:$X89&gt;0,COLUMN($A:$T),""),BD$31))))</f>
        <v>0</v>
      </c>
      <c r="BE89" s="5">
        <f t="array" aca="1" ref="BE89" ca="1">IF(BE$31&gt;$AL89,0,IF(ISERROR(OFFSET($E$31,0,SMALL(IF($E89:$X89&gt;0,COLUMN($A:$T),""),BE$31)-1)),0,OFFSET($E$31,0,SMALL(IF($E89:$X89&gt;0,COLUMN($A:$T),""),BE$31)-1)))</f>
        <v>0</v>
      </c>
      <c r="BF89" s="5">
        <f t="array" ref="BF89">IF(BE$31&gt;$AL89,0,IF(ISERROR(INDEX($E89:$X89,,SMALL(IF($E89:$X89&gt;0,COLUMN($A:$T),""),BF$31))),0,INDEX($E89:$X89,,SMALL(IF($E89:$X89&gt;0,COLUMN($A:$T),""),BF$31))))</f>
        <v>0</v>
      </c>
      <c r="BH89">
        <f ca="1">SUMPRODUCT(E89:N89,定义数据!$G$14:$P$14)</f>
        <v>62.323514887703169</v>
      </c>
      <c r="BI89">
        <f ca="1">SUMPRODUCT(O89:X89,定义数据!$G$14:$P$14)</f>
        <v>36.492679047054423</v>
      </c>
      <c r="BJ89" s="5">
        <f t="shared" ca="1" si="100"/>
        <v>98.816193934757592</v>
      </c>
      <c r="BK89" s="5" t="str">
        <f>D89&amp;B89&amp;VLOOKUP(C89,定义数据!$E$1:$F$7,2,FALSE)</f>
        <v>3045</v>
      </c>
    </row>
    <row r="90" spans="1:63" x14ac:dyDescent="0.15">
      <c r="A90" s="17" t="str">
        <f>D90&amp;B90&amp;VLOOKUP(C90,定义数据!$E$1:$F$7,2,FALSE)</f>
        <v>3044</v>
      </c>
      <c r="B90" s="18">
        <v>4</v>
      </c>
      <c r="C90" s="18" t="s">
        <v>139</v>
      </c>
      <c r="D90" s="24">
        <v>30</v>
      </c>
      <c r="E90" s="56">
        <f t="shared" ca="1" si="35"/>
        <v>731.69898330369028</v>
      </c>
      <c r="F90" s="56">
        <f t="shared" ca="1" si="36"/>
        <v>0</v>
      </c>
      <c r="G90" s="56">
        <f t="shared" ca="1" si="37"/>
        <v>0</v>
      </c>
      <c r="H90" s="56">
        <f t="shared" ca="1" si="38"/>
        <v>0</v>
      </c>
      <c r="I90" s="56">
        <f t="shared" ca="1" si="39"/>
        <v>0</v>
      </c>
      <c r="J90" s="56">
        <f t="shared" ca="1" si="40"/>
        <v>0</v>
      </c>
      <c r="K90" s="56">
        <f t="shared" ca="1" si="41"/>
        <v>0</v>
      </c>
      <c r="L90" s="56">
        <f t="shared" ca="1" si="42"/>
        <v>86.41975308641976</v>
      </c>
      <c r="M90" s="56">
        <f t="shared" ca="1" si="43"/>
        <v>0</v>
      </c>
      <c r="N90" s="56">
        <f t="shared" ca="1" si="44"/>
        <v>0</v>
      </c>
      <c r="O90" s="65">
        <f t="shared" ca="1" si="101"/>
        <v>696.85617457494311</v>
      </c>
      <c r="P90" s="65">
        <f t="shared" ca="1" si="102"/>
        <v>21.237212406417118</v>
      </c>
      <c r="Q90" s="65">
        <f t="shared" ca="1" si="103"/>
        <v>7.6475230502599665</v>
      </c>
      <c r="R90" s="65">
        <f t="shared" ca="1" si="104"/>
        <v>0</v>
      </c>
      <c r="S90" s="65">
        <f t="shared" ca="1" si="105"/>
        <v>0</v>
      </c>
      <c r="T90" s="65">
        <f t="shared" ca="1" si="106"/>
        <v>0</v>
      </c>
      <c r="U90" s="65">
        <f t="shared" ca="1" si="107"/>
        <v>0</v>
      </c>
      <c r="V90" s="65">
        <f t="shared" ca="1" si="108"/>
        <v>16.460905349794242</v>
      </c>
      <c r="W90" s="65">
        <f t="shared" ca="1" si="109"/>
        <v>0</v>
      </c>
      <c r="X90" s="65">
        <f t="shared" ca="1" si="110"/>
        <v>0</v>
      </c>
      <c r="Y90" s="21"/>
      <c r="Z90" s="15">
        <f>VLOOKUP($D90&amp;$B90,[3]!装备基础属性表,P$30,FALSE)</f>
        <v>5226.4213093120734</v>
      </c>
      <c r="AA90" s="15">
        <f>VLOOKUP($D90&amp;$B90,[3]!装备基础属性表,Q$30,FALSE)</f>
        <v>265.46515508021395</v>
      </c>
      <c r="AB90" s="15">
        <f>VLOOKUP($D90&amp;$B90,[3]!装备基础属性表,R$30,FALSE)</f>
        <v>114.7128457538995</v>
      </c>
      <c r="AC90" s="15">
        <f>VLOOKUP($D90&amp;$B90,[3]!装备基础属性表,S$30,FALSE)</f>
        <v>208.33333333333334</v>
      </c>
      <c r="AD90" s="15">
        <f>VLOOKUP($D90&amp;$B90,[3]!装备基础属性表,T$30,FALSE)</f>
        <v>208.33333333333334</v>
      </c>
      <c r="AE90" s="15">
        <f>VLOOKUP($D90&amp;$B90,[3]!装备基础属性表,U$30,FALSE)</f>
        <v>123.4567901234568</v>
      </c>
      <c r="AF90" s="15">
        <f>VLOOKUP($D90&amp;$B90,[3]!装备基础属性表,V$30,FALSE)</f>
        <v>0</v>
      </c>
      <c r="AG90" s="15">
        <f>VLOOKUP($D90&amp;$B90,[3]!装备基础属性表,W$30,FALSE)</f>
        <v>123.4567901234568</v>
      </c>
      <c r="AH90" s="15">
        <f>VLOOKUP($D90&amp;$B90,[3]!装备基础属性表,X$30,FALSE)</f>
        <v>0</v>
      </c>
      <c r="AI90" s="15">
        <f>VLOOKUP($D90&amp;$B90,[3]!装备基础属性表,Y$30,FALSE)</f>
        <v>0</v>
      </c>
      <c r="AJ90" s="16" t="str">
        <f>B90&amp;VLOOKUP(C90,定义数据!$E$1:$F$7,2,FALSE)&amp;D90</f>
        <v>4430</v>
      </c>
      <c r="AK90" s="14">
        <f t="shared" si="29"/>
        <v>11</v>
      </c>
      <c r="AL90" s="5">
        <f t="shared" si="99"/>
        <v>6</v>
      </c>
      <c r="AM90" s="5" t="str">
        <f t="array" aca="1" ref="AM90" ca="1">IF(AM$31&gt;$AL90,0,IF(ISERROR(OFFSET($E$31,0,SMALL(IF($E90:$X90&gt;0,COLUMN($A:$T),""),AM$31)-1)),0,OFFSET($E$31,0,SMALL(IF($E90:$X90&gt;0,COLUMN($A:$T),""),AM$31)-1)))</f>
        <v>生命</v>
      </c>
      <c r="AN90" s="5">
        <f t="array" aca="1" ref="AN90" ca="1">IF(AM$31&gt;$AL90,0,IF(ISERROR(INDEX($E90:$X90,,SMALL(IF($E90:$X90&gt;0,COLUMN($A:$T),""),AN$31))),0,INDEX($E90:$X90,,SMALL(IF($E90:$X90&gt;0,COLUMN($A:$T),""),AN$31))))</f>
        <v>731.69898330369028</v>
      </c>
      <c r="AO90" s="5" t="str">
        <f t="array" aca="1" ref="AO90" ca="1">IF(AO$31&gt;$AL90,0,IF(ISERROR(OFFSET($E$31,0,SMALL(IF($E90:$X90&gt;0,COLUMN($A:$T),""),AO$31)-1)),0,OFFSET($E$31,0,SMALL(IF($E90:$X90&gt;0,COLUMN($A:$T),""),AO$31)-1)))</f>
        <v>韧性值</v>
      </c>
      <c r="AP90" s="5">
        <f t="array" aca="1" ref="AP90" ca="1">IF(AO$31&gt;$AL90,0,IF(ISERROR(INDEX($E90:$X90,,SMALL(IF($E90:$X90&gt;0,COLUMN($A:$T),""),AP$31))),0,INDEX($E90:$X90,,SMALL(IF($E90:$X90&gt;0,COLUMN($A:$T),""),AP$31))))</f>
        <v>86.41975308641976</v>
      </c>
      <c r="AQ90" s="5" t="str">
        <f t="array" aca="1" ref="AQ90" ca="1">IF(AQ$31&gt;$AL90,0,IF(ISERROR(OFFSET($E$31,0,SMALL(IF($E90:$X90&gt;0,COLUMN($A:$T),""),AQ$31)-1)),0,OFFSET($E$31,0,SMALL(IF($E90:$X90&gt;0,COLUMN($A:$T),""),AQ$31)-1)))</f>
        <v>生命</v>
      </c>
      <c r="AR90" s="5">
        <f t="array" aca="1" ref="AR90" ca="1">IF(AQ$31&gt;$AL90,0,IF(ISERROR(INDEX($E90:$X90,,SMALL(IF($E90:$X90&gt;0,COLUMN($A:$T),""),AR$31))),0,INDEX($E90:$X90,,SMALL(IF($E90:$X90&gt;0,COLUMN($A:$T),""),AR$31))))</f>
        <v>696.85617457494311</v>
      </c>
      <c r="AS90" s="5" t="str">
        <f t="array" aca="1" ref="AS90" ca="1">IF(AS$31&gt;$AL90,0,IF(ISERROR(OFFSET($E$31,0,SMALL(IF($E90:$X90&gt;0,COLUMN($A:$T),""),AS$31)-1)),0,OFFSET($E$31,0,SMALL(IF($E90:$X90&gt;0,COLUMN($A:$T),""),AS$31)-1)))</f>
        <v>攻击</v>
      </c>
      <c r="AT90" s="5">
        <f t="array" aca="1" ref="AT90" ca="1">IF(AS$31&gt;$AL90,0,IF(ISERROR(INDEX($E90:$X90,,SMALL(IF($E90:$X90&gt;0,COLUMN($A:$T),""),AT$31))),0,INDEX($E90:$X90,,SMALL(IF($E90:$X90&gt;0,COLUMN($A:$T),""),AT$31))))</f>
        <v>21.237212406417118</v>
      </c>
      <c r="AU90" s="5" t="str">
        <f t="array" aca="1" ref="AU90" ca="1">IF(AU$31&gt;$AL90,0,IF(ISERROR(OFFSET($E$31,0,SMALL(IF($E90:$X90&gt;0,COLUMN($A:$T),""),AU$31)-1)),0,OFFSET($E$31,0,SMALL(IF($E90:$X90&gt;0,COLUMN($A:$T),""),AU$31)-1)))</f>
        <v>防御</v>
      </c>
      <c r="AV90" s="5">
        <f t="array" aca="1" ref="AV90" ca="1">IF(AU$31&gt;$AL90,0,IF(ISERROR(INDEX($E90:$X90,,SMALL(IF($E90:$X90&gt;0,COLUMN($A:$T),""),AV$31))),0,INDEX($E90:$X90,,SMALL(IF($E90:$X90&gt;0,COLUMN($A:$T),""),AV$31))))</f>
        <v>7.6475230502599665</v>
      </c>
      <c r="AW90" s="5" t="str">
        <f t="array" aca="1" ref="AW90" ca="1">IF(AW$31&gt;$AL90,0,IF(ISERROR(OFFSET($E$31,0,SMALL(IF($E90:$X90&gt;0,COLUMN($A:$T),""),AW$31)-1)),0,OFFSET($E$31,0,SMALL(IF($E90:$X90&gt;0,COLUMN($A:$T),""),AW$31)-1)))</f>
        <v>韧性值</v>
      </c>
      <c r="AX90" s="5">
        <f t="array" aca="1" ref="AX90" ca="1">IF(AW$31&gt;$AL90,0,IF(ISERROR(INDEX($E90:$X90,,SMALL(IF($E90:$X90&gt;0,COLUMN($A:$T),""),AX$31))),0,INDEX($E90:$X90,,SMALL(IF($E90:$X90&gt;0,COLUMN($A:$T),""),AX$31))))</f>
        <v>16.460905349794242</v>
      </c>
      <c r="AY90" s="5">
        <f t="array" aca="1" ref="AY90" ca="1">IF(AY$31&gt;$AL90,0,IF(ISERROR(OFFSET($E$31,0,SMALL(IF($E90:$X90&gt;0,COLUMN($A:$T),""),AY$31)-1)),0,OFFSET($E$31,0,SMALL(IF($E90:$X90&gt;0,COLUMN($A:$T),""),AY$31)-1)))</f>
        <v>0</v>
      </c>
      <c r="AZ90" s="5">
        <f t="array" ref="AZ90">IF(AY$31&gt;$AL90,0,IF(ISERROR(INDEX($E90:$X90,,SMALL(IF($E90:$X90&gt;0,COLUMN($A:$T),""),AZ$31))),0,INDEX($E90:$X90,,SMALL(IF($E90:$X90&gt;0,COLUMN($A:$T),""),AZ$31))))</f>
        <v>0</v>
      </c>
      <c r="BA90" s="5">
        <f t="array" aca="1" ref="BA90" ca="1">IF(BA$31&gt;$AL90,0,IF(ISERROR(OFFSET($E$31,0,SMALL(IF($E90:$X90&gt;0,COLUMN($A:$T),""),BA$31)-1)),0,OFFSET($E$31,0,SMALL(IF($E90:$X90&gt;0,COLUMN($A:$T),""),BA$31)-1)))</f>
        <v>0</v>
      </c>
      <c r="BB90" s="5">
        <f t="array" ref="BB90">IF(BA$31&gt;$AL90,0,IF(ISERROR(INDEX($E90:$X90,,SMALL(IF($E90:$X90&gt;0,COLUMN($A:$T),""),BB$31))),0,INDEX($E90:$X90,,SMALL(IF($E90:$X90&gt;0,COLUMN($A:$T),""),BB$31))))</f>
        <v>0</v>
      </c>
      <c r="BC90" s="5">
        <f t="array" aca="1" ref="BC90" ca="1">IF(BC$31&gt;$AL90,0,IF(ISERROR(OFFSET($E$31,0,SMALL(IF($E90:$X90&gt;0,COLUMN($A:$T),""),BC$31)-1)),0,OFFSET($E$31,0,SMALL(IF($E90:$X90&gt;0,COLUMN($A:$T),""),BC$31)-1)))</f>
        <v>0</v>
      </c>
      <c r="BD90" s="5">
        <f t="array" ref="BD90">IF(BC$31&gt;$AL90,0,IF(ISERROR(INDEX($E90:$X90,,SMALL(IF($E90:$X90&gt;0,COLUMN($A:$T),""),BD$31))),0,INDEX($E90:$X90,,SMALL(IF($E90:$X90&gt;0,COLUMN($A:$T),""),BD$31))))</f>
        <v>0</v>
      </c>
      <c r="BE90" s="5">
        <f t="array" aca="1" ref="BE90" ca="1">IF(BE$31&gt;$AL90,0,IF(ISERROR(OFFSET($E$31,0,SMALL(IF($E90:$X90&gt;0,COLUMN($A:$T),""),BE$31)-1)),0,OFFSET($E$31,0,SMALL(IF($E90:$X90&gt;0,COLUMN($A:$T),""),BE$31)-1)))</f>
        <v>0</v>
      </c>
      <c r="BF90" s="5">
        <f t="array" ref="BF90">IF(BE$31&gt;$AL90,0,IF(ISERROR(INDEX($E90:$X90,,SMALL(IF($E90:$X90&gt;0,COLUMN($A:$T),""),BF$31))),0,INDEX($E90:$X90,,SMALL(IF($E90:$X90&gt;0,COLUMN($A:$T),""),BF$31))))</f>
        <v>0</v>
      </c>
      <c r="BH90">
        <f ca="1">SUMPRODUCT(E90:N90,定义数据!$G$14:$P$14)</f>
        <v>44.823514887703169</v>
      </c>
      <c r="BI90">
        <f ca="1">SUMPRODUCT(O90:X90,定义数据!$G$14:$P$14)</f>
        <v>59.721945402637772</v>
      </c>
      <c r="BJ90" s="5">
        <f t="shared" ca="1" si="100"/>
        <v>104.54546029034094</v>
      </c>
      <c r="BK90" s="5" t="str">
        <f>D90&amp;B90&amp;VLOOKUP(C90,定义数据!$E$1:$F$7,2,FALSE)</f>
        <v>3044</v>
      </c>
    </row>
    <row r="91" spans="1:63" x14ac:dyDescent="0.15">
      <c r="A91" s="17" t="str">
        <f>D91&amp;B91&amp;VLOOKUP(C91,定义数据!$E$1:$F$7,2,FALSE)</f>
        <v>3043</v>
      </c>
      <c r="B91" s="18">
        <v>4</v>
      </c>
      <c r="C91" s="18" t="s">
        <v>140</v>
      </c>
      <c r="D91" s="24">
        <v>30</v>
      </c>
      <c r="E91" s="56">
        <f t="shared" ca="1" si="35"/>
        <v>0</v>
      </c>
      <c r="F91" s="56">
        <f t="shared" ca="1" si="36"/>
        <v>46.456402139037436</v>
      </c>
      <c r="G91" s="56">
        <f t="shared" ca="1" si="37"/>
        <v>0</v>
      </c>
      <c r="H91" s="56">
        <f t="shared" ca="1" si="38"/>
        <v>0</v>
      </c>
      <c r="I91" s="56">
        <f t="shared" ca="1" si="39"/>
        <v>145.83333333333334</v>
      </c>
      <c r="J91" s="56">
        <f t="shared" ca="1" si="40"/>
        <v>0</v>
      </c>
      <c r="K91" s="56">
        <f t="shared" ca="1" si="41"/>
        <v>0</v>
      </c>
      <c r="L91" s="56">
        <f t="shared" ca="1" si="42"/>
        <v>0</v>
      </c>
      <c r="M91" s="56">
        <f t="shared" ca="1" si="43"/>
        <v>0</v>
      </c>
      <c r="N91" s="56">
        <f t="shared" ca="1" si="44"/>
        <v>0</v>
      </c>
      <c r="O91" s="65">
        <f t="shared" ca="1" si="101"/>
        <v>0</v>
      </c>
      <c r="P91" s="65">
        <f t="shared" ca="1" si="102"/>
        <v>21.237212406417118</v>
      </c>
      <c r="Q91" s="65">
        <f t="shared" ca="1" si="103"/>
        <v>0</v>
      </c>
      <c r="R91" s="65">
        <f t="shared" ca="1" si="104"/>
        <v>16.666666666666668</v>
      </c>
      <c r="S91" s="65">
        <f t="shared" ca="1" si="105"/>
        <v>27.777777777777779</v>
      </c>
      <c r="T91" s="65">
        <f t="shared" ca="1" si="106"/>
        <v>19.753086419753089</v>
      </c>
      <c r="U91" s="65">
        <f t="shared" ca="1" si="107"/>
        <v>0</v>
      </c>
      <c r="V91" s="65">
        <f t="shared" ca="1" si="108"/>
        <v>0</v>
      </c>
      <c r="W91" s="65">
        <f t="shared" ca="1" si="109"/>
        <v>0</v>
      </c>
      <c r="X91" s="65">
        <f t="shared" ca="1" si="110"/>
        <v>0</v>
      </c>
      <c r="Y91" s="21"/>
      <c r="Z91" s="15">
        <f>VLOOKUP($D91&amp;$B91,[3]!装备基础属性表,P$30,FALSE)</f>
        <v>5226.4213093120734</v>
      </c>
      <c r="AA91" s="15">
        <f>VLOOKUP($D91&amp;$B91,[3]!装备基础属性表,Q$30,FALSE)</f>
        <v>265.46515508021395</v>
      </c>
      <c r="AB91" s="15">
        <f>VLOOKUP($D91&amp;$B91,[3]!装备基础属性表,R$30,FALSE)</f>
        <v>114.7128457538995</v>
      </c>
      <c r="AC91" s="15">
        <f>VLOOKUP($D91&amp;$B91,[3]!装备基础属性表,S$30,FALSE)</f>
        <v>208.33333333333334</v>
      </c>
      <c r="AD91" s="15">
        <f>VLOOKUP($D91&amp;$B91,[3]!装备基础属性表,T$30,FALSE)</f>
        <v>208.33333333333334</v>
      </c>
      <c r="AE91" s="15">
        <f>VLOOKUP($D91&amp;$B91,[3]!装备基础属性表,U$30,FALSE)</f>
        <v>123.4567901234568</v>
      </c>
      <c r="AF91" s="15">
        <f>VLOOKUP($D91&amp;$B91,[3]!装备基础属性表,V$30,FALSE)</f>
        <v>0</v>
      </c>
      <c r="AG91" s="15">
        <f>VLOOKUP($D91&amp;$B91,[3]!装备基础属性表,W$30,FALSE)</f>
        <v>123.4567901234568</v>
      </c>
      <c r="AH91" s="15">
        <f>VLOOKUP($D91&amp;$B91,[3]!装备基础属性表,X$30,FALSE)</f>
        <v>0</v>
      </c>
      <c r="AI91" s="15">
        <f>VLOOKUP($D91&amp;$B91,[3]!装备基础属性表,Y$30,FALSE)</f>
        <v>0</v>
      </c>
      <c r="AJ91" s="16" t="str">
        <f>B91&amp;VLOOKUP(C91,定义数据!$E$1:$F$7,2,FALSE)&amp;D91</f>
        <v>4330</v>
      </c>
      <c r="AK91" s="14">
        <f t="shared" si="29"/>
        <v>11</v>
      </c>
      <c r="AL91" s="5">
        <f t="shared" si="99"/>
        <v>6</v>
      </c>
      <c r="AM91" s="5" t="str">
        <f t="array" aca="1" ref="AM91" ca="1">IF(AM$31&gt;$AL91,0,IF(ISERROR(OFFSET($E$31,0,SMALL(IF($E91:$X91&gt;0,COLUMN($A:$T),""),AM$31)-1)),0,OFFSET($E$31,0,SMALL(IF($E91:$X91&gt;0,COLUMN($A:$T),""),AM$31)-1)))</f>
        <v>攻击</v>
      </c>
      <c r="AN91" s="5">
        <f t="array" aca="1" ref="AN91" ca="1">IF(AM$31&gt;$AL91,0,IF(ISERROR(INDEX($E91:$X91,,SMALL(IF($E91:$X91&gt;0,COLUMN($A:$T),""),AN$31))),0,INDEX($E91:$X91,,SMALL(IF($E91:$X91&gt;0,COLUMN($A:$T),""),AN$31))))</f>
        <v>46.456402139037436</v>
      </c>
      <c r="AO91" s="5" t="str">
        <f t="array" aca="1" ref="AO91" ca="1">IF(AO$31&gt;$AL91,0,IF(ISERROR(OFFSET($E$31,0,SMALL(IF($E91:$X91&gt;0,COLUMN($A:$T),""),AO$31)-1)),0,OFFSET($E$31,0,SMALL(IF($E91:$X91&gt;0,COLUMN($A:$T),""),AO$31)-1)))</f>
        <v>命中值</v>
      </c>
      <c r="AP91" s="5">
        <f t="array" aca="1" ref="AP91" ca="1">IF(AO$31&gt;$AL91,0,IF(ISERROR(INDEX($E91:$X91,,SMALL(IF($E91:$X91&gt;0,COLUMN($A:$T),""),AP$31))),0,INDEX($E91:$X91,,SMALL(IF($E91:$X91&gt;0,COLUMN($A:$T),""),AP$31))))</f>
        <v>145.83333333333334</v>
      </c>
      <c r="AQ91" s="5" t="str">
        <f t="array" aca="1" ref="AQ91" ca="1">IF(AQ$31&gt;$AL91,0,IF(ISERROR(OFFSET($E$31,0,SMALL(IF($E91:$X91&gt;0,COLUMN($A:$T),""),AQ$31)-1)),0,OFFSET($E$31,0,SMALL(IF($E91:$X91&gt;0,COLUMN($A:$T),""),AQ$31)-1)))</f>
        <v>攻击</v>
      </c>
      <c r="AR91" s="5">
        <f t="array" aca="1" ref="AR91" ca="1">IF(AQ$31&gt;$AL91,0,IF(ISERROR(INDEX($E91:$X91,,SMALL(IF($E91:$X91&gt;0,COLUMN($A:$T),""),AR$31))),0,INDEX($E91:$X91,,SMALL(IF($E91:$X91&gt;0,COLUMN($A:$T),""),AR$31))))</f>
        <v>21.237212406417118</v>
      </c>
      <c r="AS91" s="5" t="str">
        <f t="array" aca="1" ref="AS91" ca="1">IF(AS$31&gt;$AL91,0,IF(ISERROR(OFFSET($E$31,0,SMALL(IF($E91:$X91&gt;0,COLUMN($A:$T),""),AS$31)-1)),0,OFFSET($E$31,0,SMALL(IF($E91:$X91&gt;0,COLUMN($A:$T),""),AS$31)-1)))</f>
        <v>闪避值</v>
      </c>
      <c r="AT91" s="5">
        <f t="array" aca="1" ref="AT91" ca="1">IF(AS$31&gt;$AL91,0,IF(ISERROR(INDEX($E91:$X91,,SMALL(IF($E91:$X91&gt;0,COLUMN($A:$T),""),AT$31))),0,INDEX($E91:$X91,,SMALL(IF($E91:$X91&gt;0,COLUMN($A:$T),""),AT$31))))</f>
        <v>16.666666666666668</v>
      </c>
      <c r="AU91" s="5" t="str">
        <f t="array" aca="1" ref="AU91" ca="1">IF(AU$31&gt;$AL91,0,IF(ISERROR(OFFSET($E$31,0,SMALL(IF($E91:$X91&gt;0,COLUMN($A:$T),""),AU$31)-1)),0,OFFSET($E$31,0,SMALL(IF($E91:$X91&gt;0,COLUMN($A:$T),""),AU$31)-1)))</f>
        <v>命中值</v>
      </c>
      <c r="AV91" s="5">
        <f t="array" aca="1" ref="AV91" ca="1">IF(AU$31&gt;$AL91,0,IF(ISERROR(INDEX($E91:$X91,,SMALL(IF($E91:$X91&gt;0,COLUMN($A:$T),""),AV$31))),0,INDEX($E91:$X91,,SMALL(IF($E91:$X91&gt;0,COLUMN($A:$T),""),AV$31))))</f>
        <v>27.777777777777779</v>
      </c>
      <c r="AW91" s="5" t="str">
        <f t="array" aca="1" ref="AW91" ca="1">IF(AW$31&gt;$AL91,0,IF(ISERROR(OFFSET($E$31,0,SMALL(IF($E91:$X91&gt;0,COLUMN($A:$T),""),AW$31)-1)),0,OFFSET($E$31,0,SMALL(IF($E91:$X91&gt;0,COLUMN($A:$T),""),AW$31)-1)))</f>
        <v>暴击值</v>
      </c>
      <c r="AX91" s="5">
        <f t="array" aca="1" ref="AX91" ca="1">IF(AW$31&gt;$AL91,0,IF(ISERROR(INDEX($E91:$X91,,SMALL(IF($E91:$X91&gt;0,COLUMN($A:$T),""),AX$31))),0,INDEX($E91:$X91,,SMALL(IF($E91:$X91&gt;0,COLUMN($A:$T),""),AX$31))))</f>
        <v>19.753086419753089</v>
      </c>
      <c r="AY91" s="5">
        <f t="array" aca="1" ref="AY91" ca="1">IF(AY$31&gt;$AL91,0,IF(ISERROR(OFFSET($E$31,0,SMALL(IF($E91:$X91&gt;0,COLUMN($A:$T),""),AY$31)-1)),0,OFFSET($E$31,0,SMALL(IF($E91:$X91&gt;0,COLUMN($A:$T),""),AY$31)-1)))</f>
        <v>0</v>
      </c>
      <c r="AZ91" s="5">
        <f t="array" ref="AZ91">IF(AY$31&gt;$AL91,0,IF(ISERROR(INDEX($E91:$X91,,SMALL(IF($E91:$X91&gt;0,COLUMN($A:$T),""),AZ$31))),0,INDEX($E91:$X91,,SMALL(IF($E91:$X91&gt;0,COLUMN($A:$T),""),AZ$31))))</f>
        <v>0</v>
      </c>
      <c r="BA91" s="5">
        <f t="array" aca="1" ref="BA91" ca="1">IF(BA$31&gt;$AL91,0,IF(ISERROR(OFFSET($E$31,0,SMALL(IF($E91:$X91&gt;0,COLUMN($A:$T),""),BA$31)-1)),0,OFFSET($E$31,0,SMALL(IF($E91:$X91&gt;0,COLUMN($A:$T),""),BA$31)-1)))</f>
        <v>0</v>
      </c>
      <c r="BB91" s="5">
        <f t="array" ref="BB91">IF(BA$31&gt;$AL91,0,IF(ISERROR(INDEX($E91:$X91,,SMALL(IF($E91:$X91&gt;0,COLUMN($A:$T),""),BB$31))),0,INDEX($E91:$X91,,SMALL(IF($E91:$X91&gt;0,COLUMN($A:$T),""),BB$31))))</f>
        <v>0</v>
      </c>
      <c r="BC91" s="5">
        <f t="array" aca="1" ref="BC91" ca="1">IF(BC$31&gt;$AL91,0,IF(ISERROR(OFFSET($E$31,0,SMALL(IF($E91:$X91&gt;0,COLUMN($A:$T),""),BC$31)-1)),0,OFFSET($E$31,0,SMALL(IF($E91:$X91&gt;0,COLUMN($A:$T),""),BC$31)-1)))</f>
        <v>0</v>
      </c>
      <c r="BD91" s="5">
        <f t="array" ref="BD91">IF(BC$31&gt;$AL91,0,IF(ISERROR(INDEX($E91:$X91,,SMALL(IF($E91:$X91&gt;0,COLUMN($A:$T),""),BD$31))),0,INDEX($E91:$X91,,SMALL(IF($E91:$X91&gt;0,COLUMN($A:$T),""),BD$31))))</f>
        <v>0</v>
      </c>
      <c r="BE91" s="5">
        <f t="array" aca="1" ref="BE91" ca="1">IF(BE$31&gt;$AL91,0,IF(ISERROR(OFFSET($E$31,0,SMALL(IF($E91:$X91&gt;0,COLUMN($A:$T),""),BE$31)-1)),0,OFFSET($E$31,0,SMALL(IF($E91:$X91&gt;0,COLUMN($A:$T),""),BE$31)-1)))</f>
        <v>0</v>
      </c>
      <c r="BF91" s="5">
        <f t="array" ref="BF91">IF(BE$31&gt;$AL91,0,IF(ISERROR(INDEX($E91:$X91,,SMALL(IF($E91:$X91&gt;0,COLUMN($A:$T),""),BF$31))),0,INDEX($E91:$X91,,SMALL(IF($E91:$X91&gt;0,COLUMN($A:$T),""),BF$31))))</f>
        <v>0</v>
      </c>
      <c r="BH91">
        <f ca="1">SUMPRODUCT(E91:N91,定义数据!$G$14:$P$14)</f>
        <v>96.039735472370779</v>
      </c>
      <c r="BI91">
        <f ca="1">SUMPRODUCT(O91:X91,定义数据!$G$14:$P$14)</f>
        <v>39.903879073083786</v>
      </c>
      <c r="BJ91" s="5">
        <f t="shared" ca="1" si="100"/>
        <v>135.94361454545458</v>
      </c>
      <c r="BK91" s="5" t="str">
        <f>D91&amp;B91&amp;VLOOKUP(C91,定义数据!$E$1:$F$7,2,FALSE)</f>
        <v>3043</v>
      </c>
    </row>
    <row r="92" spans="1:63" x14ac:dyDescent="0.15">
      <c r="A92" s="17" t="str">
        <f>D92&amp;B92&amp;VLOOKUP(C92,定义数据!$E$1:$F$7,2,FALSE)</f>
        <v>4510</v>
      </c>
      <c r="B92" s="18">
        <v>1</v>
      </c>
      <c r="C92" s="18" t="s">
        <v>141</v>
      </c>
      <c r="D92" s="24">
        <v>45</v>
      </c>
      <c r="E92" s="56">
        <f t="shared" ca="1" si="35"/>
        <v>0</v>
      </c>
      <c r="F92" s="56">
        <f t="shared" ca="1" si="36"/>
        <v>179.18897967914444</v>
      </c>
      <c r="G92" s="56">
        <f t="shared" ca="1" si="37"/>
        <v>0</v>
      </c>
      <c r="H92" s="56">
        <f t="shared" ca="1" si="38"/>
        <v>0</v>
      </c>
      <c r="I92" s="56">
        <f t="shared" ca="1" si="39"/>
        <v>0</v>
      </c>
      <c r="J92" s="56">
        <f t="shared" ca="1" si="40"/>
        <v>111.1111111111111</v>
      </c>
      <c r="K92" s="56">
        <f t="shared" ca="1" si="41"/>
        <v>0</v>
      </c>
      <c r="L92" s="56">
        <f t="shared" ca="1" si="42"/>
        <v>0</v>
      </c>
      <c r="M92" s="56">
        <f t="shared" ca="1" si="43"/>
        <v>0</v>
      </c>
      <c r="N92" s="56">
        <f t="shared" ca="1" si="44"/>
        <v>0</v>
      </c>
      <c r="O92" s="65">
        <f t="shared" ca="1" si="101"/>
        <v>0</v>
      </c>
      <c r="P92" s="65">
        <f t="shared" ca="1" si="102"/>
        <v>14.335118374331556</v>
      </c>
      <c r="Q92" s="65">
        <f t="shared" ca="1" si="103"/>
        <v>1.7206926863084924</v>
      </c>
      <c r="R92" s="65">
        <f t="shared" ca="1" si="104"/>
        <v>0</v>
      </c>
      <c r="S92" s="65">
        <f t="shared" ca="1" si="105"/>
        <v>6.25</v>
      </c>
      <c r="T92" s="65">
        <f t="shared" ca="1" si="106"/>
        <v>4.4444444444444446</v>
      </c>
      <c r="U92" s="65">
        <f t="shared" ca="1" si="107"/>
        <v>0</v>
      </c>
      <c r="V92" s="65">
        <f t="shared" ca="1" si="108"/>
        <v>0</v>
      </c>
      <c r="W92" s="65">
        <f t="shared" ca="1" si="109"/>
        <v>0</v>
      </c>
      <c r="X92" s="65">
        <f t="shared" ca="1" si="110"/>
        <v>0</v>
      </c>
      <c r="Y92" s="21" t="s">
        <v>94</v>
      </c>
      <c r="Z92" s="15">
        <f>VLOOKUP($D92&amp;$B92,[3]!装备基础属性表,P$30,FALSE)</f>
        <v>4703.7791783808671</v>
      </c>
      <c r="AA92" s="15">
        <f>VLOOKUP($D92&amp;$B92,[3]!装备基础属性表,Q$30,FALSE)</f>
        <v>238.91863957219257</v>
      </c>
      <c r="AB92" s="15">
        <f>VLOOKUP($D92&amp;$B92,[3]!装备基础属性表,R$30,FALSE)</f>
        <v>103.24156117850954</v>
      </c>
      <c r="AC92" s="15">
        <f>VLOOKUP($D92&amp;$B92,[3]!装备基础属性表,S$30,FALSE)</f>
        <v>187.5</v>
      </c>
      <c r="AD92" s="15">
        <f>VLOOKUP($D92&amp;$B92,[3]!装备基础属性表,T$30,FALSE)</f>
        <v>187.5</v>
      </c>
      <c r="AE92" s="15">
        <f>VLOOKUP($D92&amp;$B92,[3]!装备基础属性表,U$30,FALSE)</f>
        <v>111.1111111111111</v>
      </c>
      <c r="AF92" s="15">
        <f>VLOOKUP($D92&amp;$B92,[3]!装备基础属性表,V$30,FALSE)</f>
        <v>0</v>
      </c>
      <c r="AG92" s="15">
        <f>VLOOKUP($D92&amp;$B92,[3]!装备基础属性表,W$30,FALSE)</f>
        <v>111.1111111111111</v>
      </c>
      <c r="AH92" s="15">
        <f>VLOOKUP($D92&amp;$B92,[3]!装备基础属性表,X$30,FALSE)</f>
        <v>0</v>
      </c>
      <c r="AI92" s="15">
        <f>VLOOKUP($D92&amp;$B92,[3]!装备基础属性表,Y$30,FALSE)</f>
        <v>0</v>
      </c>
      <c r="AJ92" s="16" t="str">
        <f>B92&amp;VLOOKUP(C92,定义数据!$E$1:$F$7,2,FALSE)&amp;D92</f>
        <v>1045</v>
      </c>
      <c r="AK92" s="14">
        <f t="shared" si="29"/>
        <v>12</v>
      </c>
      <c r="AL92" s="5">
        <f t="shared" si="99"/>
        <v>3</v>
      </c>
      <c r="AM92" s="5" t="str">
        <f t="array" aca="1" ref="AM92" ca="1">IF(AM$31&gt;$AL92,0,IF(ISERROR(OFFSET($E$31,0,SMALL(IF($E92:$X92&gt;0,COLUMN($A:$T),""),AM$31)-1)),0,OFFSET($E$31,0,SMALL(IF($E92:$X92&gt;0,COLUMN($A:$T),""),AM$31)-1)))</f>
        <v>攻击</v>
      </c>
      <c r="AN92" s="5">
        <f t="array" aca="1" ref="AN92" ca="1">IF(AM$31&gt;$AL92,0,IF(ISERROR(INDEX($E92:$X92,,SMALL(IF($E92:$X92&gt;0,COLUMN($A:$T),""),AN$31))),0,INDEX($E92:$X92,,SMALL(IF($E92:$X92&gt;0,COLUMN($A:$T),""),AN$31))))</f>
        <v>179.18897967914444</v>
      </c>
      <c r="AO92" s="5" t="str">
        <f t="array" aca="1" ref="AO92" ca="1">IF(AO$31&gt;$AL92,0,IF(ISERROR(OFFSET($E$31,0,SMALL(IF($E92:$X92&gt;0,COLUMN($A:$T),""),AO$31)-1)),0,OFFSET($E$31,0,SMALL(IF($E92:$X92&gt;0,COLUMN($A:$T),""),AO$31)-1)))</f>
        <v>暴击值</v>
      </c>
      <c r="AP92" s="5">
        <f t="array" aca="1" ref="AP92" ca="1">IF(AO$31&gt;$AL92,0,IF(ISERROR(INDEX($E92:$X92,,SMALL(IF($E92:$X92&gt;0,COLUMN($A:$T),""),AP$31))),0,INDEX($E92:$X92,,SMALL(IF($E92:$X92&gt;0,COLUMN($A:$T),""),AP$31))))</f>
        <v>111.1111111111111</v>
      </c>
      <c r="AQ92" s="5" t="str">
        <f t="array" aca="1" ref="AQ92" ca="1">IF(AQ$31&gt;$AL92,0,IF(ISERROR(OFFSET($E$31,0,SMALL(IF($E92:$X92&gt;0,COLUMN($A:$T),""),AQ$31)-1)),0,OFFSET($E$31,0,SMALL(IF($E92:$X92&gt;0,COLUMN($A:$T),""),AQ$31)-1)))</f>
        <v>攻击</v>
      </c>
      <c r="AR92" s="5">
        <f t="array" aca="1" ref="AR92" ca="1">IF(AQ$31&gt;$AL92,0,IF(ISERROR(INDEX($E92:$X92,,SMALL(IF($E92:$X92&gt;0,COLUMN($A:$T),""),AR$31))),0,INDEX($E92:$X92,,SMALL(IF($E92:$X92&gt;0,COLUMN($A:$T),""),AR$31))))</f>
        <v>14.335118374331556</v>
      </c>
      <c r="AS92" s="5">
        <f t="array" aca="1" ref="AS92" ca="1">IF(AS$31&gt;$AL92,0,IF(ISERROR(OFFSET($E$31,0,SMALL(IF($E92:$X92&gt;0,COLUMN($A:$T),""),AS$31)-1)),0,OFFSET($E$31,0,SMALL(IF($E92:$X92&gt;0,COLUMN($A:$T),""),AS$31)-1)))</f>
        <v>0</v>
      </c>
      <c r="AT92" s="5">
        <f t="array" ref="AT92">IF(AS$31&gt;$AL92,0,IF(ISERROR(INDEX($E92:$X92,,SMALL(IF($E92:$X92&gt;0,COLUMN($A:$T),""),AT$31))),0,INDEX($E92:$X92,,SMALL(IF($E92:$X92&gt;0,COLUMN($A:$T),""),AT$31))))</f>
        <v>0</v>
      </c>
      <c r="AU92" s="5">
        <f t="array" aca="1" ref="AU92" ca="1">IF(AU$31&gt;$AL92,0,IF(ISERROR(OFFSET($E$31,0,SMALL(IF($E92:$X92&gt;0,COLUMN($A:$T),""),AU$31)-1)),0,OFFSET($E$31,0,SMALL(IF($E92:$X92&gt;0,COLUMN($A:$T),""),AU$31)-1)))</f>
        <v>0</v>
      </c>
      <c r="AV92" s="5">
        <f t="array" ref="AV92">IF(AU$31&gt;$AL92,0,IF(ISERROR(INDEX($E92:$X92,,SMALL(IF($E92:$X92&gt;0,COLUMN($A:$T),""),AV$31))),0,INDEX($E92:$X92,,SMALL(IF($E92:$X92&gt;0,COLUMN($A:$T),""),AV$31))))</f>
        <v>0</v>
      </c>
      <c r="AW92" s="5">
        <f t="array" aca="1" ref="AW92" ca="1">IF(AW$31&gt;$AL92,0,IF(ISERROR(OFFSET($E$31,0,SMALL(IF($E92:$X92&gt;0,COLUMN($A:$T),""),AW$31)-1)),0,OFFSET($E$31,0,SMALL(IF($E92:$X92&gt;0,COLUMN($A:$T),""),AW$31)-1)))</f>
        <v>0</v>
      </c>
      <c r="AX92" s="5">
        <f t="array" ref="AX92">IF(AW$31&gt;$AL92,0,IF(ISERROR(INDEX($E92:$X92,,SMALL(IF($E92:$X92&gt;0,COLUMN($A:$T),""),AX$31))),0,INDEX($E92:$X92,,SMALL(IF($E92:$X92&gt;0,COLUMN($A:$T),""),AX$31))))</f>
        <v>0</v>
      </c>
      <c r="AY92" s="5">
        <f t="array" aca="1" ref="AY92" ca="1">IF(AY$31&gt;$AL92,0,IF(ISERROR(OFFSET($E$31,0,SMALL(IF($E92:$X92&gt;0,COLUMN($A:$T),""),AY$31)-1)),0,OFFSET($E$31,0,SMALL(IF($E92:$X92&gt;0,COLUMN($A:$T),""),AY$31)-1)))</f>
        <v>0</v>
      </c>
      <c r="AZ92" s="5">
        <f t="array" ref="AZ92">IF(AY$31&gt;$AL92,0,IF(ISERROR(INDEX($E92:$X92,,SMALL(IF($E92:$X92&gt;0,COLUMN($A:$T),""),AZ$31))),0,INDEX($E92:$X92,,SMALL(IF($E92:$X92&gt;0,COLUMN($A:$T),""),AZ$31))))</f>
        <v>0</v>
      </c>
      <c r="BA92" s="5">
        <f t="array" aca="1" ref="BA92" ca="1">IF(BA$31&gt;$AL92,0,IF(ISERROR(OFFSET($E$31,0,SMALL(IF($E92:$X92&gt;0,COLUMN($A:$T),""),BA$31)-1)),0,OFFSET($E$31,0,SMALL(IF($E92:$X92&gt;0,COLUMN($A:$T),""),BA$31)-1)))</f>
        <v>0</v>
      </c>
      <c r="BB92" s="5">
        <f t="array" ref="BB92">IF(BA$31&gt;$AL92,0,IF(ISERROR(INDEX($E92:$X92,,SMALL(IF($E92:$X92&gt;0,COLUMN($A:$T),""),BB$31))),0,INDEX($E92:$X92,,SMALL(IF($E92:$X92&gt;0,COLUMN($A:$T),""),BB$31))))</f>
        <v>0</v>
      </c>
      <c r="BC92" s="5">
        <f t="array" aca="1" ref="BC92" ca="1">IF(BC$31&gt;$AL92,0,IF(ISERROR(OFFSET($E$31,0,SMALL(IF($E92:$X92&gt;0,COLUMN($A:$T),""),BC$31)-1)),0,OFFSET($E$31,0,SMALL(IF($E92:$X92&gt;0,COLUMN($A:$T),""),BC$31)-1)))</f>
        <v>0</v>
      </c>
      <c r="BD92" s="5">
        <f t="array" ref="BD92">IF(BC$31&gt;$AL92,0,IF(ISERROR(INDEX($E92:$X92,,SMALL(IF($E92:$X92&gt;0,COLUMN($A:$T),""),BD$31))),0,INDEX($E92:$X92,,SMALL(IF($E92:$X92&gt;0,COLUMN($A:$T),""),BD$31))))</f>
        <v>0</v>
      </c>
      <c r="BE92" s="5">
        <f t="array" aca="1" ref="BE92" ca="1">IF(BE$31&gt;$AL92,0,IF(ISERROR(OFFSET($E$31,0,SMALL(IF($E92:$X92&gt;0,COLUMN($A:$T),""),BE$31)-1)),0,OFFSET($E$31,0,SMALL(IF($E92:$X92&gt;0,COLUMN($A:$T),""),BE$31)-1)))</f>
        <v>0</v>
      </c>
      <c r="BF92" s="5">
        <f t="array" ref="BF92">IF(BE$31&gt;$AL92,0,IF(ISERROR(INDEX($E92:$X92,,SMALL(IF($E92:$X92&gt;0,COLUMN($A:$T),""),BF$31))),0,INDEX($E92:$X92,,SMALL(IF($E92:$X92&gt;0,COLUMN($A:$T),""),BF$31))))</f>
        <v>0</v>
      </c>
      <c r="BH92">
        <f ca="1">SUMPRODUCT(E92:N92,定义数据!$G$14:$P$14)</f>
        <v>199.18897967914444</v>
      </c>
      <c r="BI92">
        <f ca="1">SUMPRODUCT(O92:X92,定义数据!$G$14:$P$14)</f>
        <v>18.980811060640047</v>
      </c>
      <c r="BJ92" s="5">
        <f t="shared" ca="1" si="100"/>
        <v>218.16979073978447</v>
      </c>
      <c r="BK92" s="5" t="str">
        <f>D92&amp;B92&amp;VLOOKUP(C92,定义数据!$E$1:$F$7,2,FALSE)</f>
        <v>4510</v>
      </c>
    </row>
    <row r="93" spans="1:63" x14ac:dyDescent="0.15">
      <c r="A93" s="17" t="str">
        <f>D93&amp;B93&amp;VLOOKUP(C93,定义数据!$E$1:$F$7,2,FALSE)</f>
        <v>4511</v>
      </c>
      <c r="B93" s="18">
        <v>1</v>
      </c>
      <c r="C93" s="18" t="s">
        <v>136</v>
      </c>
      <c r="D93" s="24">
        <v>45</v>
      </c>
      <c r="E93" s="56">
        <f t="shared" ca="1" si="35"/>
        <v>2822.26750702852</v>
      </c>
      <c r="F93" s="56">
        <f t="shared" ca="1" si="36"/>
        <v>0</v>
      </c>
      <c r="G93" s="56">
        <f t="shared" ca="1" si="37"/>
        <v>61.944936707105725</v>
      </c>
      <c r="H93" s="56">
        <f t="shared" ca="1" si="38"/>
        <v>0</v>
      </c>
      <c r="I93" s="56">
        <f t="shared" ca="1" si="39"/>
        <v>0</v>
      </c>
      <c r="J93" s="56">
        <f t="shared" ca="1" si="40"/>
        <v>0</v>
      </c>
      <c r="K93" s="56">
        <f t="shared" ca="1" si="41"/>
        <v>0</v>
      </c>
      <c r="L93" s="56">
        <f t="shared" ca="1" si="42"/>
        <v>0</v>
      </c>
      <c r="M93" s="56">
        <f t="shared" ca="1" si="43"/>
        <v>0</v>
      </c>
      <c r="N93" s="56">
        <f t="shared" ca="1" si="44"/>
        <v>0</v>
      </c>
      <c r="O93" s="65">
        <f t="shared" ca="1" si="101"/>
        <v>156.79263927936222</v>
      </c>
      <c r="P93" s="65">
        <f t="shared" ca="1" si="102"/>
        <v>0</v>
      </c>
      <c r="Q93" s="65">
        <f t="shared" ca="1" si="103"/>
        <v>5.1620780589254771</v>
      </c>
      <c r="R93" s="65">
        <f t="shared" ca="1" si="104"/>
        <v>3.75</v>
      </c>
      <c r="S93" s="65">
        <f t="shared" ca="1" si="105"/>
        <v>0</v>
      </c>
      <c r="T93" s="65">
        <f t="shared" ca="1" si="106"/>
        <v>0</v>
      </c>
      <c r="U93" s="65">
        <f t="shared" ca="1" si="107"/>
        <v>0</v>
      </c>
      <c r="V93" s="65">
        <f t="shared" ca="1" si="108"/>
        <v>3.7037037037037033</v>
      </c>
      <c r="W93" s="65">
        <f t="shared" ca="1" si="109"/>
        <v>0</v>
      </c>
      <c r="X93" s="65">
        <f t="shared" ca="1" si="110"/>
        <v>0</v>
      </c>
      <c r="Y93" s="21" t="s">
        <v>95</v>
      </c>
      <c r="Z93" s="15">
        <f>VLOOKUP($D93&amp;$B93,[3]!装备基础属性表,P$30,FALSE)</f>
        <v>4703.7791783808671</v>
      </c>
      <c r="AA93" s="15">
        <f>VLOOKUP($D93&amp;$B93,[3]!装备基础属性表,Q$30,FALSE)</f>
        <v>238.91863957219257</v>
      </c>
      <c r="AB93" s="15">
        <f>VLOOKUP($D93&amp;$B93,[3]!装备基础属性表,R$30,FALSE)</f>
        <v>103.24156117850954</v>
      </c>
      <c r="AC93" s="15">
        <f>VLOOKUP($D93&amp;$B93,[3]!装备基础属性表,S$30,FALSE)</f>
        <v>187.5</v>
      </c>
      <c r="AD93" s="15">
        <f>VLOOKUP($D93&amp;$B93,[3]!装备基础属性表,T$30,FALSE)</f>
        <v>187.5</v>
      </c>
      <c r="AE93" s="15">
        <f>VLOOKUP($D93&amp;$B93,[3]!装备基础属性表,U$30,FALSE)</f>
        <v>111.1111111111111</v>
      </c>
      <c r="AF93" s="15">
        <f>VLOOKUP($D93&amp;$B93,[3]!装备基础属性表,V$30,FALSE)</f>
        <v>0</v>
      </c>
      <c r="AG93" s="15">
        <f>VLOOKUP($D93&amp;$B93,[3]!装备基础属性表,W$30,FALSE)</f>
        <v>111.1111111111111</v>
      </c>
      <c r="AH93" s="15">
        <f>VLOOKUP($D93&amp;$B93,[3]!装备基础属性表,X$30,FALSE)</f>
        <v>0</v>
      </c>
      <c r="AI93" s="15">
        <f>VLOOKUP($D93&amp;$B93,[3]!装备基础属性表,Y$30,FALSE)</f>
        <v>0</v>
      </c>
      <c r="AJ93" s="16" t="str">
        <f>B93&amp;VLOOKUP(C93,定义数据!$E$1:$F$7,2,FALSE)&amp;D93</f>
        <v>1145</v>
      </c>
      <c r="AK93" s="14">
        <f t="shared" si="29"/>
        <v>12</v>
      </c>
      <c r="AL93" s="5">
        <f t="shared" si="99"/>
        <v>3</v>
      </c>
      <c r="AM93" s="5" t="str">
        <f t="array" aca="1" ref="AM93" ca="1">IF(AM$31&gt;$AL93,0,IF(ISERROR(OFFSET($E$31,0,SMALL(IF($E93:$X93&gt;0,COLUMN($A:$T),""),AM$31)-1)),0,OFFSET($E$31,0,SMALL(IF($E93:$X93&gt;0,COLUMN($A:$T),""),AM$31)-1)))</f>
        <v>生命</v>
      </c>
      <c r="AN93" s="5">
        <f t="array" aca="1" ref="AN93" ca="1">IF(AM$31&gt;$AL93,0,IF(ISERROR(INDEX($E93:$X93,,SMALL(IF($E93:$X93&gt;0,COLUMN($A:$T),""),AN$31))),0,INDEX($E93:$X93,,SMALL(IF($E93:$X93&gt;0,COLUMN($A:$T),""),AN$31))))</f>
        <v>2822.26750702852</v>
      </c>
      <c r="AO93" s="5" t="str">
        <f t="array" aca="1" ref="AO93" ca="1">IF(AO$31&gt;$AL93,0,IF(ISERROR(OFFSET($E$31,0,SMALL(IF($E93:$X93&gt;0,COLUMN($A:$T),""),AO$31)-1)),0,OFFSET($E$31,0,SMALL(IF($E93:$X93&gt;0,COLUMN($A:$T),""),AO$31)-1)))</f>
        <v>防御</v>
      </c>
      <c r="AP93" s="5">
        <f t="array" aca="1" ref="AP93" ca="1">IF(AO$31&gt;$AL93,0,IF(ISERROR(INDEX($E93:$X93,,SMALL(IF($E93:$X93&gt;0,COLUMN($A:$T),""),AP$31))),0,INDEX($E93:$X93,,SMALL(IF($E93:$X93&gt;0,COLUMN($A:$T),""),AP$31))))</f>
        <v>61.944936707105725</v>
      </c>
      <c r="AQ93" s="5" t="str">
        <f t="array" aca="1" ref="AQ93" ca="1">IF(AQ$31&gt;$AL93,0,IF(ISERROR(OFFSET($E$31,0,SMALL(IF($E93:$X93&gt;0,COLUMN($A:$T),""),AQ$31)-1)),0,OFFSET($E$31,0,SMALL(IF($E93:$X93&gt;0,COLUMN($A:$T),""),AQ$31)-1)))</f>
        <v>生命</v>
      </c>
      <c r="AR93" s="5">
        <f t="array" aca="1" ref="AR93" ca="1">IF(AQ$31&gt;$AL93,0,IF(ISERROR(INDEX($E93:$X93,,SMALL(IF($E93:$X93&gt;0,COLUMN($A:$T),""),AR$31))),0,INDEX($E93:$X93,,SMALL(IF($E93:$X93&gt;0,COLUMN($A:$T),""),AR$31))))</f>
        <v>156.79263927936222</v>
      </c>
      <c r="AS93" s="5">
        <f t="array" aca="1" ref="AS93" ca="1">IF(AS$31&gt;$AL93,0,IF(ISERROR(OFFSET($E$31,0,SMALL(IF($E93:$X93&gt;0,COLUMN($A:$T),""),AS$31)-1)),0,OFFSET($E$31,0,SMALL(IF($E93:$X93&gt;0,COLUMN($A:$T),""),AS$31)-1)))</f>
        <v>0</v>
      </c>
      <c r="AT93" s="5">
        <f t="array" ref="AT93">IF(AS$31&gt;$AL93,0,IF(ISERROR(INDEX($E93:$X93,,SMALL(IF($E93:$X93&gt;0,COLUMN($A:$T),""),AT$31))),0,INDEX($E93:$X93,,SMALL(IF($E93:$X93&gt;0,COLUMN($A:$T),""),AT$31))))</f>
        <v>0</v>
      </c>
      <c r="AU93" s="5">
        <f t="array" aca="1" ref="AU93" ca="1">IF(AU$31&gt;$AL93,0,IF(ISERROR(OFFSET($E$31,0,SMALL(IF($E93:$X93&gt;0,COLUMN($A:$T),""),AU$31)-1)),0,OFFSET($E$31,0,SMALL(IF($E93:$X93&gt;0,COLUMN($A:$T),""),AU$31)-1)))</f>
        <v>0</v>
      </c>
      <c r="AV93" s="5">
        <f t="array" ref="AV93">IF(AU$31&gt;$AL93,0,IF(ISERROR(INDEX($E93:$X93,,SMALL(IF($E93:$X93&gt;0,COLUMN($A:$T),""),AV$31))),0,INDEX($E93:$X93,,SMALL(IF($E93:$X93&gt;0,COLUMN($A:$T),""),AV$31))))</f>
        <v>0</v>
      </c>
      <c r="AW93" s="5">
        <f t="array" aca="1" ref="AW93" ca="1">IF(AW$31&gt;$AL93,0,IF(ISERROR(OFFSET($E$31,0,SMALL(IF($E93:$X93&gt;0,COLUMN($A:$T),""),AW$31)-1)),0,OFFSET($E$31,0,SMALL(IF($E93:$X93&gt;0,COLUMN($A:$T),""),AW$31)-1)))</f>
        <v>0</v>
      </c>
      <c r="AX93" s="5">
        <f t="array" ref="AX93">IF(AW$31&gt;$AL93,0,IF(ISERROR(INDEX($E93:$X93,,SMALL(IF($E93:$X93&gt;0,COLUMN($A:$T),""),AX$31))),0,INDEX($E93:$X93,,SMALL(IF($E93:$X93&gt;0,COLUMN($A:$T),""),AX$31))))</f>
        <v>0</v>
      </c>
      <c r="AY93" s="5">
        <f t="array" aca="1" ref="AY93" ca="1">IF(AY$31&gt;$AL93,0,IF(ISERROR(OFFSET($E$31,0,SMALL(IF($E93:$X93&gt;0,COLUMN($A:$T),""),AY$31)-1)),0,OFFSET($E$31,0,SMALL(IF($E93:$X93&gt;0,COLUMN($A:$T),""),AY$31)-1)))</f>
        <v>0</v>
      </c>
      <c r="AZ93" s="5">
        <f t="array" ref="AZ93">IF(AY$31&gt;$AL93,0,IF(ISERROR(INDEX($E93:$X93,,SMALL(IF($E93:$X93&gt;0,COLUMN($A:$T),""),AZ$31))),0,INDEX($E93:$X93,,SMALL(IF($E93:$X93&gt;0,COLUMN($A:$T),""),AZ$31))))</f>
        <v>0</v>
      </c>
      <c r="BA93" s="5">
        <f t="array" aca="1" ref="BA93" ca="1">IF(BA$31&gt;$AL93,0,IF(ISERROR(OFFSET($E$31,0,SMALL(IF($E93:$X93&gt;0,COLUMN($A:$T),""),BA$31)-1)),0,OFFSET($E$31,0,SMALL(IF($E93:$X93&gt;0,COLUMN($A:$T),""),BA$31)-1)))</f>
        <v>0</v>
      </c>
      <c r="BB93" s="5">
        <f t="array" ref="BB93">IF(BA$31&gt;$AL93,0,IF(ISERROR(INDEX($E93:$X93,,SMALL(IF($E93:$X93&gt;0,COLUMN($A:$T),""),BB$31))),0,INDEX($E93:$X93,,SMALL(IF($E93:$X93&gt;0,COLUMN($A:$T),""),BB$31))))</f>
        <v>0</v>
      </c>
      <c r="BC93" s="5">
        <f t="array" aca="1" ref="BC93" ca="1">IF(BC$31&gt;$AL93,0,IF(ISERROR(OFFSET($E$31,0,SMALL(IF($E93:$X93&gt;0,COLUMN($A:$T),""),BC$31)-1)),0,OFFSET($E$31,0,SMALL(IF($E93:$X93&gt;0,COLUMN($A:$T),""),BC$31)-1)))</f>
        <v>0</v>
      </c>
      <c r="BD93" s="5">
        <f t="array" ref="BD93">IF(BC$31&gt;$AL93,0,IF(ISERROR(INDEX($E93:$X93,,SMALL(IF($E93:$X93&gt;0,COLUMN($A:$T),""),BD$31))),0,INDEX($E93:$X93,,SMALL(IF($E93:$X93&gt;0,COLUMN($A:$T),""),BD$31))))</f>
        <v>0</v>
      </c>
      <c r="BE93" s="5">
        <f t="array" aca="1" ref="BE93" ca="1">IF(BE$31&gt;$AL93,0,IF(ISERROR(OFFSET($E$31,0,SMALL(IF($E93:$X93&gt;0,COLUMN($A:$T),""),BE$31)-1)),0,OFFSET($E$31,0,SMALL(IF($E93:$X93&gt;0,COLUMN($A:$T),""),BE$31)-1)))</f>
        <v>0</v>
      </c>
      <c r="BF93" s="5">
        <f t="array" ref="BF93">IF(BE$31&gt;$AL93,0,IF(ISERROR(INDEX($E93:$X93,,SMALL(IF($E93:$X93&gt;0,COLUMN($A:$T),""),BF$31))),0,INDEX($E93:$X93,,SMALL(IF($E93:$X93&gt;0,COLUMN($A:$T),""),BF$31))))</f>
        <v>0</v>
      </c>
      <c r="BH93">
        <f ca="1">SUMPRODUCT(E93:N93,定义数据!$G$14:$P$14)</f>
        <v>174.83563698824651</v>
      </c>
      <c r="BI93">
        <f ca="1">SUMPRODUCT(O93:X93,定义数据!$G$14:$P$14)</f>
        <v>13.375450296766633</v>
      </c>
      <c r="BJ93" s="5">
        <f t="shared" ca="1" si="100"/>
        <v>188.21108728501315</v>
      </c>
      <c r="BK93" s="5" t="str">
        <f>D93&amp;B93&amp;VLOOKUP(C93,定义数据!$E$1:$F$7,2,FALSE)</f>
        <v>4511</v>
      </c>
    </row>
    <row r="94" spans="1:63" x14ac:dyDescent="0.15">
      <c r="A94" s="17" t="str">
        <f>D94&amp;B94&amp;VLOOKUP(C94,定义数据!$E$1:$F$7,2,FALSE)</f>
        <v>4512</v>
      </c>
      <c r="B94" s="18">
        <v>1</v>
      </c>
      <c r="C94" s="18" t="s">
        <v>137</v>
      </c>
      <c r="D94" s="24">
        <v>45</v>
      </c>
      <c r="E94" s="56">
        <f t="shared" ca="1" si="35"/>
        <v>0</v>
      </c>
      <c r="F94" s="56">
        <f t="shared" ca="1" si="36"/>
        <v>0</v>
      </c>
      <c r="G94" s="56">
        <f t="shared" ca="1" si="37"/>
        <v>41.296624471403817</v>
      </c>
      <c r="H94" s="56">
        <f t="shared" ca="1" si="38"/>
        <v>62.5</v>
      </c>
      <c r="I94" s="56">
        <f t="shared" ca="1" si="39"/>
        <v>0</v>
      </c>
      <c r="J94" s="56">
        <f t="shared" ca="1" si="40"/>
        <v>0</v>
      </c>
      <c r="K94" s="56">
        <f t="shared" ca="1" si="41"/>
        <v>0</v>
      </c>
      <c r="L94" s="56">
        <f t="shared" ca="1" si="42"/>
        <v>0</v>
      </c>
      <c r="M94" s="56">
        <f t="shared" ca="1" si="43"/>
        <v>0</v>
      </c>
      <c r="N94" s="56">
        <f t="shared" ca="1" si="44"/>
        <v>0</v>
      </c>
      <c r="O94" s="65">
        <f t="shared" ca="1" si="101"/>
        <v>78.39631963968111</v>
      </c>
      <c r="P94" s="65">
        <f t="shared" ca="1" si="102"/>
        <v>0</v>
      </c>
      <c r="Q94" s="65">
        <f t="shared" ca="1" si="103"/>
        <v>1.7206926863084924</v>
      </c>
      <c r="R94" s="65">
        <f t="shared" ca="1" si="104"/>
        <v>3.75</v>
      </c>
      <c r="S94" s="65">
        <f t="shared" ca="1" si="105"/>
        <v>0</v>
      </c>
      <c r="T94" s="65">
        <f t="shared" ca="1" si="106"/>
        <v>0</v>
      </c>
      <c r="U94" s="65">
        <f t="shared" ca="1" si="107"/>
        <v>0</v>
      </c>
      <c r="V94" s="65">
        <f t="shared" ca="1" si="108"/>
        <v>3.7037037037037033</v>
      </c>
      <c r="W94" s="65">
        <f t="shared" ca="1" si="109"/>
        <v>0</v>
      </c>
      <c r="X94" s="65">
        <f t="shared" ca="1" si="110"/>
        <v>0</v>
      </c>
      <c r="Y94" s="21" t="s">
        <v>96</v>
      </c>
      <c r="Z94" s="15">
        <f>VLOOKUP($D94&amp;$B94,[3]!装备基础属性表,P$30,FALSE)</f>
        <v>4703.7791783808671</v>
      </c>
      <c r="AA94" s="15">
        <f>VLOOKUP($D94&amp;$B94,[3]!装备基础属性表,Q$30,FALSE)</f>
        <v>238.91863957219257</v>
      </c>
      <c r="AB94" s="15">
        <f>VLOOKUP($D94&amp;$B94,[3]!装备基础属性表,R$30,FALSE)</f>
        <v>103.24156117850954</v>
      </c>
      <c r="AC94" s="15">
        <f>VLOOKUP($D94&amp;$B94,[3]!装备基础属性表,S$30,FALSE)</f>
        <v>187.5</v>
      </c>
      <c r="AD94" s="15">
        <f>VLOOKUP($D94&amp;$B94,[3]!装备基础属性表,T$30,FALSE)</f>
        <v>187.5</v>
      </c>
      <c r="AE94" s="15">
        <f>VLOOKUP($D94&amp;$B94,[3]!装备基础属性表,U$30,FALSE)</f>
        <v>111.1111111111111</v>
      </c>
      <c r="AF94" s="15">
        <f>VLOOKUP($D94&amp;$B94,[3]!装备基础属性表,V$30,FALSE)</f>
        <v>0</v>
      </c>
      <c r="AG94" s="15">
        <f>VLOOKUP($D94&amp;$B94,[3]!装备基础属性表,W$30,FALSE)</f>
        <v>111.1111111111111</v>
      </c>
      <c r="AH94" s="15">
        <f>VLOOKUP($D94&amp;$B94,[3]!装备基础属性表,X$30,FALSE)</f>
        <v>0</v>
      </c>
      <c r="AI94" s="15">
        <f>VLOOKUP($D94&amp;$B94,[3]!装备基础属性表,Y$30,FALSE)</f>
        <v>0</v>
      </c>
      <c r="AJ94" s="16" t="str">
        <f>B94&amp;VLOOKUP(C94,定义数据!$E$1:$F$7,2,FALSE)&amp;D94</f>
        <v>1245</v>
      </c>
      <c r="AK94" s="14">
        <f t="shared" si="29"/>
        <v>12</v>
      </c>
      <c r="AL94" s="5">
        <f t="shared" si="99"/>
        <v>3</v>
      </c>
      <c r="AM94" s="5" t="str">
        <f t="array" aca="1" ref="AM94" ca="1">IF(AM$31&gt;$AL94,0,IF(ISERROR(OFFSET($E$31,0,SMALL(IF($E94:$X94&gt;0,COLUMN($A:$T),""),AM$31)-1)),0,OFFSET($E$31,0,SMALL(IF($E94:$X94&gt;0,COLUMN($A:$T),""),AM$31)-1)))</f>
        <v>防御</v>
      </c>
      <c r="AN94" s="5">
        <f t="array" aca="1" ref="AN94" ca="1">IF(AM$31&gt;$AL94,0,IF(ISERROR(INDEX($E94:$X94,,SMALL(IF($E94:$X94&gt;0,COLUMN($A:$T),""),AN$31))),0,INDEX($E94:$X94,,SMALL(IF($E94:$X94&gt;0,COLUMN($A:$T),""),AN$31))))</f>
        <v>41.296624471403817</v>
      </c>
      <c r="AO94" s="5" t="str">
        <f t="array" aca="1" ref="AO94" ca="1">IF(AO$31&gt;$AL94,0,IF(ISERROR(OFFSET($E$31,0,SMALL(IF($E94:$X94&gt;0,COLUMN($A:$T),""),AO$31)-1)),0,OFFSET($E$31,0,SMALL(IF($E94:$X94&gt;0,COLUMN($A:$T),""),AO$31)-1)))</f>
        <v>闪避值</v>
      </c>
      <c r="AP94" s="5">
        <f t="array" aca="1" ref="AP94" ca="1">IF(AO$31&gt;$AL94,0,IF(ISERROR(INDEX($E94:$X94,,SMALL(IF($E94:$X94&gt;0,COLUMN($A:$T),""),AP$31))),0,INDEX($E94:$X94,,SMALL(IF($E94:$X94&gt;0,COLUMN($A:$T),""),AP$31))))</f>
        <v>62.5</v>
      </c>
      <c r="AQ94" s="5" t="str">
        <f t="array" aca="1" ref="AQ94" ca="1">IF(AQ$31&gt;$AL94,0,IF(ISERROR(OFFSET($E$31,0,SMALL(IF($E94:$X94&gt;0,COLUMN($A:$T),""),AQ$31)-1)),0,OFFSET($E$31,0,SMALL(IF($E94:$X94&gt;0,COLUMN($A:$T),""),AQ$31)-1)))</f>
        <v>生命</v>
      </c>
      <c r="AR94" s="5">
        <f t="array" aca="1" ref="AR94" ca="1">IF(AQ$31&gt;$AL94,0,IF(ISERROR(INDEX($E94:$X94,,SMALL(IF($E94:$X94&gt;0,COLUMN($A:$T),""),AR$31))),0,INDEX($E94:$X94,,SMALL(IF($E94:$X94&gt;0,COLUMN($A:$T),""),AR$31))))</f>
        <v>78.39631963968111</v>
      </c>
      <c r="AS94" s="5">
        <f t="array" aca="1" ref="AS94" ca="1">IF(AS$31&gt;$AL94,0,IF(ISERROR(OFFSET($E$31,0,SMALL(IF($E94:$X94&gt;0,COLUMN($A:$T),""),AS$31)-1)),0,OFFSET($E$31,0,SMALL(IF($E94:$X94&gt;0,COLUMN($A:$T),""),AS$31)-1)))</f>
        <v>0</v>
      </c>
      <c r="AT94" s="5">
        <f t="array" ref="AT94">IF(AS$31&gt;$AL94,0,IF(ISERROR(INDEX($E94:$X94,,SMALL(IF($E94:$X94&gt;0,COLUMN($A:$T),""),AT$31))),0,INDEX($E94:$X94,,SMALL(IF($E94:$X94&gt;0,COLUMN($A:$T),""),AT$31))))</f>
        <v>0</v>
      </c>
      <c r="AU94" s="5">
        <f t="array" aca="1" ref="AU94" ca="1">IF(AU$31&gt;$AL94,0,IF(ISERROR(OFFSET($E$31,0,SMALL(IF($E94:$X94&gt;0,COLUMN($A:$T),""),AU$31)-1)),0,OFFSET($E$31,0,SMALL(IF($E94:$X94&gt;0,COLUMN($A:$T),""),AU$31)-1)))</f>
        <v>0</v>
      </c>
      <c r="AV94" s="5">
        <f t="array" ref="AV94">IF(AU$31&gt;$AL94,0,IF(ISERROR(INDEX($E94:$X94,,SMALL(IF($E94:$X94&gt;0,COLUMN($A:$T),""),AV$31))),0,INDEX($E94:$X94,,SMALL(IF($E94:$X94&gt;0,COLUMN($A:$T),""),AV$31))))</f>
        <v>0</v>
      </c>
      <c r="AW94" s="5">
        <f t="array" aca="1" ref="AW94" ca="1">IF(AW$31&gt;$AL94,0,IF(ISERROR(OFFSET($E$31,0,SMALL(IF($E94:$X94&gt;0,COLUMN($A:$T),""),AW$31)-1)),0,OFFSET($E$31,0,SMALL(IF($E94:$X94&gt;0,COLUMN($A:$T),""),AW$31)-1)))</f>
        <v>0</v>
      </c>
      <c r="AX94" s="5">
        <f t="array" ref="AX94">IF(AW$31&gt;$AL94,0,IF(ISERROR(INDEX($E94:$X94,,SMALL(IF($E94:$X94&gt;0,COLUMN($A:$T),""),AX$31))),0,INDEX($E94:$X94,,SMALL(IF($E94:$X94&gt;0,COLUMN($A:$T),""),AX$31))))</f>
        <v>0</v>
      </c>
      <c r="AY94" s="5">
        <f t="array" aca="1" ref="AY94" ca="1">IF(AY$31&gt;$AL94,0,IF(ISERROR(OFFSET($E$31,0,SMALL(IF($E94:$X94&gt;0,COLUMN($A:$T),""),AY$31)-1)),0,OFFSET($E$31,0,SMALL(IF($E94:$X94&gt;0,COLUMN($A:$T),""),AY$31)-1)))</f>
        <v>0</v>
      </c>
      <c r="AZ94" s="5">
        <f t="array" ref="AZ94">IF(AY$31&gt;$AL94,0,IF(ISERROR(INDEX($E94:$X94,,SMALL(IF($E94:$X94&gt;0,COLUMN($A:$T),""),AZ$31))),0,INDEX($E94:$X94,,SMALL(IF($E94:$X94&gt;0,COLUMN($A:$T),""),AZ$31))))</f>
        <v>0</v>
      </c>
      <c r="BA94" s="5">
        <f t="array" aca="1" ref="BA94" ca="1">IF(BA$31&gt;$AL94,0,IF(ISERROR(OFFSET($E$31,0,SMALL(IF($E94:$X94&gt;0,COLUMN($A:$T),""),BA$31)-1)),0,OFFSET($E$31,0,SMALL(IF($E94:$X94&gt;0,COLUMN($A:$T),""),BA$31)-1)))</f>
        <v>0</v>
      </c>
      <c r="BB94" s="5">
        <f t="array" ref="BB94">IF(BA$31&gt;$AL94,0,IF(ISERROR(INDEX($E94:$X94,,SMALL(IF($E94:$X94&gt;0,COLUMN($A:$T),""),BB$31))),0,INDEX($E94:$X94,,SMALL(IF($E94:$X94&gt;0,COLUMN($A:$T),""),BB$31))))</f>
        <v>0</v>
      </c>
      <c r="BC94" s="5">
        <f t="array" aca="1" ref="BC94" ca="1">IF(BC$31&gt;$AL94,0,IF(ISERROR(OFFSET($E$31,0,SMALL(IF($E94:$X94&gt;0,COLUMN($A:$T),""),BC$31)-1)),0,OFFSET($E$31,0,SMALL(IF($E94:$X94&gt;0,COLUMN($A:$T),""),BC$31)-1)))</f>
        <v>0</v>
      </c>
      <c r="BD94" s="5">
        <f t="array" ref="BD94">IF(BC$31&gt;$AL94,0,IF(ISERROR(INDEX($E94:$X94,,SMALL(IF($E94:$X94&gt;0,COLUMN($A:$T),""),BD$31))),0,INDEX($E94:$X94,,SMALL(IF($E94:$X94&gt;0,COLUMN($A:$T),""),BD$31))))</f>
        <v>0</v>
      </c>
      <c r="BE94" s="5">
        <f t="array" aca="1" ref="BE94" ca="1">IF(BE$31&gt;$AL94,0,IF(ISERROR(OFFSET($E$31,0,SMALL(IF($E94:$X94&gt;0,COLUMN($A:$T),""),BE$31)-1)),0,OFFSET($E$31,0,SMALL(IF($E94:$X94&gt;0,COLUMN($A:$T),""),BE$31)-1)))</f>
        <v>0</v>
      </c>
      <c r="BF94" s="5">
        <f t="array" ref="BF94">IF(BE$31&gt;$AL94,0,IF(ISERROR(INDEX($E94:$X94,,SMALL(IF($E94:$X94&gt;0,COLUMN($A:$T),""),BF$31))),0,INDEX($E94:$X94,,SMALL(IF($E94:$X94&gt;0,COLUMN($A:$T),""),BF$31))))</f>
        <v>0</v>
      </c>
      <c r="BH94">
        <f ca="1">SUMPRODUCT(E94:N94,定义数据!$G$14:$P$14)</f>
        <v>62.546624471403817</v>
      </c>
      <c r="BI94">
        <f ca="1">SUMPRODUCT(O94:X94,定义数据!$G$14:$P$14)</f>
        <v>6.7982121385624037</v>
      </c>
      <c r="BJ94" s="5">
        <f t="shared" ca="1" si="100"/>
        <v>69.344836609966222</v>
      </c>
      <c r="BK94" s="5" t="str">
        <f>D94&amp;B94&amp;VLOOKUP(C94,定义数据!$E$1:$F$7,2,FALSE)</f>
        <v>4512</v>
      </c>
    </row>
    <row r="95" spans="1:63" x14ac:dyDescent="0.15">
      <c r="A95" s="17" t="str">
        <f>D95&amp;B95&amp;VLOOKUP(C95,定义数据!$E$1:$F$7,2,FALSE)</f>
        <v>4515</v>
      </c>
      <c r="B95" s="18">
        <v>1</v>
      </c>
      <c r="C95" s="18" t="s">
        <v>138</v>
      </c>
      <c r="D95" s="24">
        <v>45</v>
      </c>
      <c r="E95" s="56">
        <f t="shared" ca="1" si="35"/>
        <v>940.75583567617343</v>
      </c>
      <c r="F95" s="56">
        <f t="shared" ca="1" si="36"/>
        <v>0</v>
      </c>
      <c r="G95" s="56">
        <f t="shared" ca="1" si="37"/>
        <v>0</v>
      </c>
      <c r="H95" s="56">
        <f t="shared" ca="1" si="38"/>
        <v>125</v>
      </c>
      <c r="I95" s="56">
        <f t="shared" ca="1" si="39"/>
        <v>0</v>
      </c>
      <c r="J95" s="56">
        <f t="shared" ca="1" si="40"/>
        <v>0</v>
      </c>
      <c r="K95" s="56">
        <f t="shared" ca="1" si="41"/>
        <v>0</v>
      </c>
      <c r="L95" s="56">
        <f t="shared" ca="1" si="42"/>
        <v>0</v>
      </c>
      <c r="M95" s="56">
        <f t="shared" ca="1" si="43"/>
        <v>0</v>
      </c>
      <c r="N95" s="56">
        <f t="shared" ca="1" si="44"/>
        <v>0</v>
      </c>
      <c r="O95" s="65">
        <f t="shared" ca="1" si="101"/>
        <v>78.39631963968111</v>
      </c>
      <c r="P95" s="65">
        <f t="shared" ca="1" si="102"/>
        <v>0</v>
      </c>
      <c r="Q95" s="65">
        <f t="shared" ca="1" si="103"/>
        <v>0</v>
      </c>
      <c r="R95" s="65">
        <f t="shared" ca="1" si="104"/>
        <v>7.5</v>
      </c>
      <c r="S95" s="65">
        <f t="shared" ca="1" si="105"/>
        <v>6.25</v>
      </c>
      <c r="T95" s="65">
        <f t="shared" ca="1" si="106"/>
        <v>2.2222222222222223</v>
      </c>
      <c r="U95" s="65">
        <f t="shared" ca="1" si="107"/>
        <v>0</v>
      </c>
      <c r="V95" s="65">
        <f t="shared" ca="1" si="108"/>
        <v>0</v>
      </c>
      <c r="W95" s="65">
        <f t="shared" ca="1" si="109"/>
        <v>0</v>
      </c>
      <c r="X95" s="65">
        <f t="shared" ca="1" si="110"/>
        <v>0</v>
      </c>
      <c r="Y95" s="21"/>
      <c r="Z95" s="15">
        <f>VLOOKUP($D95&amp;$B95,[3]!装备基础属性表,P$30,FALSE)</f>
        <v>4703.7791783808671</v>
      </c>
      <c r="AA95" s="15">
        <f>VLOOKUP($D95&amp;$B95,[3]!装备基础属性表,Q$30,FALSE)</f>
        <v>238.91863957219257</v>
      </c>
      <c r="AB95" s="15">
        <f>VLOOKUP($D95&amp;$B95,[3]!装备基础属性表,R$30,FALSE)</f>
        <v>103.24156117850954</v>
      </c>
      <c r="AC95" s="15">
        <f>VLOOKUP($D95&amp;$B95,[3]!装备基础属性表,S$30,FALSE)</f>
        <v>187.5</v>
      </c>
      <c r="AD95" s="15">
        <f>VLOOKUP($D95&amp;$B95,[3]!装备基础属性表,T$30,FALSE)</f>
        <v>187.5</v>
      </c>
      <c r="AE95" s="15">
        <f>VLOOKUP($D95&amp;$B95,[3]!装备基础属性表,U$30,FALSE)</f>
        <v>111.1111111111111</v>
      </c>
      <c r="AF95" s="15">
        <f>VLOOKUP($D95&amp;$B95,[3]!装备基础属性表,V$30,FALSE)</f>
        <v>0</v>
      </c>
      <c r="AG95" s="15">
        <f>VLOOKUP($D95&amp;$B95,[3]!装备基础属性表,W$30,FALSE)</f>
        <v>111.1111111111111</v>
      </c>
      <c r="AH95" s="15">
        <f>VLOOKUP($D95&amp;$B95,[3]!装备基础属性表,X$30,FALSE)</f>
        <v>0</v>
      </c>
      <c r="AI95" s="15">
        <f>VLOOKUP($D95&amp;$B95,[3]!装备基础属性表,Y$30,FALSE)</f>
        <v>0</v>
      </c>
      <c r="AJ95" s="16" t="str">
        <f>B95&amp;VLOOKUP(C95,定义数据!$E$1:$F$7,2,FALSE)&amp;D95</f>
        <v>1545</v>
      </c>
      <c r="AK95" s="14">
        <f t="shared" si="29"/>
        <v>12</v>
      </c>
      <c r="AL95" s="5">
        <f t="shared" si="99"/>
        <v>3</v>
      </c>
      <c r="AM95" s="5" t="str">
        <f t="array" aca="1" ref="AM95" ca="1">IF(AM$31&gt;$AL95,0,IF(ISERROR(OFFSET($E$31,0,SMALL(IF($E95:$X95&gt;0,COLUMN($A:$T),""),AM$31)-1)),0,OFFSET($E$31,0,SMALL(IF($E95:$X95&gt;0,COLUMN($A:$T),""),AM$31)-1)))</f>
        <v>生命</v>
      </c>
      <c r="AN95" s="5">
        <f t="array" aca="1" ref="AN95" ca="1">IF(AM$31&gt;$AL95,0,IF(ISERROR(INDEX($E95:$X95,,SMALL(IF($E95:$X95&gt;0,COLUMN($A:$T),""),AN$31))),0,INDEX($E95:$X95,,SMALL(IF($E95:$X95&gt;0,COLUMN($A:$T),""),AN$31))))</f>
        <v>940.75583567617343</v>
      </c>
      <c r="AO95" s="5" t="str">
        <f t="array" aca="1" ref="AO95" ca="1">IF(AO$31&gt;$AL95,0,IF(ISERROR(OFFSET($E$31,0,SMALL(IF($E95:$X95&gt;0,COLUMN($A:$T),""),AO$31)-1)),0,OFFSET($E$31,0,SMALL(IF($E95:$X95&gt;0,COLUMN($A:$T),""),AO$31)-1)))</f>
        <v>闪避值</v>
      </c>
      <c r="AP95" s="5">
        <f t="array" aca="1" ref="AP95" ca="1">IF(AO$31&gt;$AL95,0,IF(ISERROR(INDEX($E95:$X95,,SMALL(IF($E95:$X95&gt;0,COLUMN($A:$T),""),AP$31))),0,INDEX($E95:$X95,,SMALL(IF($E95:$X95&gt;0,COLUMN($A:$T),""),AP$31))))</f>
        <v>125</v>
      </c>
      <c r="AQ95" s="5" t="str">
        <f t="array" aca="1" ref="AQ95" ca="1">IF(AQ$31&gt;$AL95,0,IF(ISERROR(OFFSET($E$31,0,SMALL(IF($E95:$X95&gt;0,COLUMN($A:$T),""),AQ$31)-1)),0,OFFSET($E$31,0,SMALL(IF($E95:$X95&gt;0,COLUMN($A:$T),""),AQ$31)-1)))</f>
        <v>生命</v>
      </c>
      <c r="AR95" s="5">
        <f t="array" aca="1" ref="AR95" ca="1">IF(AQ$31&gt;$AL95,0,IF(ISERROR(INDEX($E95:$X95,,SMALL(IF($E95:$X95&gt;0,COLUMN($A:$T),""),AR$31))),0,INDEX($E95:$X95,,SMALL(IF($E95:$X95&gt;0,COLUMN($A:$T),""),AR$31))))</f>
        <v>78.39631963968111</v>
      </c>
      <c r="AS95" s="5">
        <f t="array" aca="1" ref="AS95" ca="1">IF(AS$31&gt;$AL95,0,IF(ISERROR(OFFSET($E$31,0,SMALL(IF($E95:$X95&gt;0,COLUMN($A:$T),""),AS$31)-1)),0,OFFSET($E$31,0,SMALL(IF($E95:$X95&gt;0,COLUMN($A:$T),""),AS$31)-1)))</f>
        <v>0</v>
      </c>
      <c r="AT95" s="5">
        <f t="array" ref="AT95">IF(AS$31&gt;$AL95,0,IF(ISERROR(INDEX($E95:$X95,,SMALL(IF($E95:$X95&gt;0,COLUMN($A:$T),""),AT$31))),0,INDEX($E95:$X95,,SMALL(IF($E95:$X95&gt;0,COLUMN($A:$T),""),AT$31))))</f>
        <v>0</v>
      </c>
      <c r="AU95" s="5">
        <f t="array" aca="1" ref="AU95" ca="1">IF(AU$31&gt;$AL95,0,IF(ISERROR(OFFSET($E$31,0,SMALL(IF($E95:$X95&gt;0,COLUMN($A:$T),""),AU$31)-1)),0,OFFSET($E$31,0,SMALL(IF($E95:$X95&gt;0,COLUMN($A:$T),""),AU$31)-1)))</f>
        <v>0</v>
      </c>
      <c r="AV95" s="5">
        <f t="array" ref="AV95">IF(AU$31&gt;$AL95,0,IF(ISERROR(INDEX($E95:$X95,,SMALL(IF($E95:$X95&gt;0,COLUMN($A:$T),""),AV$31))),0,INDEX($E95:$X95,,SMALL(IF($E95:$X95&gt;0,COLUMN($A:$T),""),AV$31))))</f>
        <v>0</v>
      </c>
      <c r="AW95" s="5">
        <f t="array" aca="1" ref="AW95" ca="1">IF(AW$31&gt;$AL95,0,IF(ISERROR(OFFSET($E$31,0,SMALL(IF($E95:$X95&gt;0,COLUMN($A:$T),""),AW$31)-1)),0,OFFSET($E$31,0,SMALL(IF($E95:$X95&gt;0,COLUMN($A:$T),""),AW$31)-1)))</f>
        <v>0</v>
      </c>
      <c r="AX95" s="5">
        <f t="array" ref="AX95">IF(AW$31&gt;$AL95,0,IF(ISERROR(INDEX($E95:$X95,,SMALL(IF($E95:$X95&gt;0,COLUMN($A:$T),""),AX$31))),0,INDEX($E95:$X95,,SMALL(IF($E95:$X95&gt;0,COLUMN($A:$T),""),AX$31))))</f>
        <v>0</v>
      </c>
      <c r="AY95" s="5">
        <f t="array" aca="1" ref="AY95" ca="1">IF(AY$31&gt;$AL95,0,IF(ISERROR(OFFSET($E$31,0,SMALL(IF($E95:$X95&gt;0,COLUMN($A:$T),""),AY$31)-1)),0,OFFSET($E$31,0,SMALL(IF($E95:$X95&gt;0,COLUMN($A:$T),""),AY$31)-1)))</f>
        <v>0</v>
      </c>
      <c r="AZ95" s="5">
        <f t="array" ref="AZ95">IF(AY$31&gt;$AL95,0,IF(ISERROR(INDEX($E95:$X95,,SMALL(IF($E95:$X95&gt;0,COLUMN($A:$T),""),AZ$31))),0,INDEX($E95:$X95,,SMALL(IF($E95:$X95&gt;0,COLUMN($A:$T),""),AZ$31))))</f>
        <v>0</v>
      </c>
      <c r="BA95" s="5">
        <f t="array" aca="1" ref="BA95" ca="1">IF(BA$31&gt;$AL95,0,IF(ISERROR(OFFSET($E$31,0,SMALL(IF($E95:$X95&gt;0,COLUMN($A:$T),""),BA$31)-1)),0,OFFSET($E$31,0,SMALL(IF($E95:$X95&gt;0,COLUMN($A:$T),""),BA$31)-1)))</f>
        <v>0</v>
      </c>
      <c r="BB95" s="5">
        <f t="array" ref="BB95">IF(BA$31&gt;$AL95,0,IF(ISERROR(INDEX($E95:$X95,,SMALL(IF($E95:$X95&gt;0,COLUMN($A:$T),""),BB$31))),0,INDEX($E95:$X95,,SMALL(IF($E95:$X95&gt;0,COLUMN($A:$T),""),BB$31))))</f>
        <v>0</v>
      </c>
      <c r="BC95" s="5">
        <f t="array" aca="1" ref="BC95" ca="1">IF(BC$31&gt;$AL95,0,IF(ISERROR(OFFSET($E$31,0,SMALL(IF($E95:$X95&gt;0,COLUMN($A:$T),""),BC$31)-1)),0,OFFSET($E$31,0,SMALL(IF($E95:$X95&gt;0,COLUMN($A:$T),""),BC$31)-1)))</f>
        <v>0</v>
      </c>
      <c r="BD95" s="5">
        <f t="array" ref="BD95">IF(BC$31&gt;$AL95,0,IF(ISERROR(INDEX($E95:$X95,,SMALL(IF($E95:$X95&gt;0,COLUMN($A:$T),""),BD$31))),0,INDEX($E95:$X95,,SMALL(IF($E95:$X95&gt;0,COLUMN($A:$T),""),BD$31))))</f>
        <v>0</v>
      </c>
      <c r="BE95" s="5">
        <f t="array" aca="1" ref="BE95" ca="1">IF(BE$31&gt;$AL95,0,IF(ISERROR(OFFSET($E$31,0,SMALL(IF($E95:$X95&gt;0,COLUMN($A:$T),""),BE$31)-1)),0,OFFSET($E$31,0,SMALL(IF($E95:$X95&gt;0,COLUMN($A:$T),""),BE$31)-1)))</f>
        <v>0</v>
      </c>
      <c r="BF95" s="5">
        <f t="array" ref="BF95">IF(BE$31&gt;$AL95,0,IF(ISERROR(INDEX($E95:$X95,,SMALL(IF($E95:$X95&gt;0,COLUMN($A:$T),""),BF$31))),0,INDEX($E95:$X95,,SMALL(IF($E95:$X95&gt;0,COLUMN($A:$T),""),BF$31))))</f>
        <v>0</v>
      </c>
      <c r="BH95">
        <f ca="1">SUMPRODUCT(E95:N95,定义数据!$G$14:$P$14)</f>
        <v>80.130233427046932</v>
      </c>
      <c r="BI95">
        <f ca="1">SUMPRODUCT(O95:X95,定义数据!$G$14:$P$14)</f>
        <v>8.2108527855872442</v>
      </c>
      <c r="BJ95" s="5">
        <f t="shared" ca="1" si="100"/>
        <v>88.341086212634181</v>
      </c>
      <c r="BK95" s="5" t="str">
        <f>D95&amp;B95&amp;VLOOKUP(C95,定义数据!$E$1:$F$7,2,FALSE)</f>
        <v>4515</v>
      </c>
    </row>
    <row r="96" spans="1:63" x14ac:dyDescent="0.15">
      <c r="A96" s="17" t="str">
        <f>D96&amp;B96&amp;VLOOKUP(C96,定义数据!$E$1:$F$7,2,FALSE)</f>
        <v>4514</v>
      </c>
      <c r="B96" s="18">
        <v>1</v>
      </c>
      <c r="C96" s="18" t="s">
        <v>139</v>
      </c>
      <c r="D96" s="24">
        <v>45</v>
      </c>
      <c r="E96" s="56">
        <f t="shared" ca="1" si="35"/>
        <v>940.75583567617343</v>
      </c>
      <c r="F96" s="56">
        <f t="shared" ca="1" si="36"/>
        <v>0</v>
      </c>
      <c r="G96" s="56">
        <f t="shared" ca="1" si="37"/>
        <v>0</v>
      </c>
      <c r="H96" s="56">
        <f t="shared" ca="1" si="38"/>
        <v>0</v>
      </c>
      <c r="I96" s="56">
        <f t="shared" ca="1" si="39"/>
        <v>0</v>
      </c>
      <c r="J96" s="56">
        <f t="shared" ca="1" si="40"/>
        <v>0</v>
      </c>
      <c r="K96" s="56">
        <f t="shared" ca="1" si="41"/>
        <v>0</v>
      </c>
      <c r="L96" s="56">
        <f t="shared" ca="1" si="42"/>
        <v>111.1111111111111</v>
      </c>
      <c r="M96" s="56">
        <f t="shared" ca="1" si="43"/>
        <v>0</v>
      </c>
      <c r="N96" s="56">
        <f t="shared" ca="1" si="44"/>
        <v>0</v>
      </c>
      <c r="O96" s="65">
        <f t="shared" ca="1" si="101"/>
        <v>156.79263927936222</v>
      </c>
      <c r="P96" s="65">
        <f t="shared" ca="1" si="102"/>
        <v>4.7783727914438519</v>
      </c>
      <c r="Q96" s="65">
        <f t="shared" ca="1" si="103"/>
        <v>1.7206926863084924</v>
      </c>
      <c r="R96" s="65">
        <f t="shared" ca="1" si="104"/>
        <v>0</v>
      </c>
      <c r="S96" s="65">
        <f t="shared" ca="1" si="105"/>
        <v>0</v>
      </c>
      <c r="T96" s="65">
        <f t="shared" ca="1" si="106"/>
        <v>0</v>
      </c>
      <c r="U96" s="65">
        <f t="shared" ca="1" si="107"/>
        <v>0</v>
      </c>
      <c r="V96" s="65">
        <f t="shared" ca="1" si="108"/>
        <v>3.7037037037037033</v>
      </c>
      <c r="W96" s="65">
        <f t="shared" ca="1" si="109"/>
        <v>0</v>
      </c>
      <c r="X96" s="65">
        <f t="shared" ca="1" si="110"/>
        <v>0</v>
      </c>
      <c r="Y96" s="21"/>
      <c r="Z96" s="15">
        <f>VLOOKUP($D96&amp;$B96,[3]!装备基础属性表,P$30,FALSE)</f>
        <v>4703.7791783808671</v>
      </c>
      <c r="AA96" s="15">
        <f>VLOOKUP($D96&amp;$B96,[3]!装备基础属性表,Q$30,FALSE)</f>
        <v>238.91863957219257</v>
      </c>
      <c r="AB96" s="15">
        <f>VLOOKUP($D96&amp;$B96,[3]!装备基础属性表,R$30,FALSE)</f>
        <v>103.24156117850954</v>
      </c>
      <c r="AC96" s="15">
        <f>VLOOKUP($D96&amp;$B96,[3]!装备基础属性表,S$30,FALSE)</f>
        <v>187.5</v>
      </c>
      <c r="AD96" s="15">
        <f>VLOOKUP($D96&amp;$B96,[3]!装备基础属性表,T$30,FALSE)</f>
        <v>187.5</v>
      </c>
      <c r="AE96" s="15">
        <f>VLOOKUP($D96&amp;$B96,[3]!装备基础属性表,U$30,FALSE)</f>
        <v>111.1111111111111</v>
      </c>
      <c r="AF96" s="15">
        <f>VLOOKUP($D96&amp;$B96,[3]!装备基础属性表,V$30,FALSE)</f>
        <v>0</v>
      </c>
      <c r="AG96" s="15">
        <f>VLOOKUP($D96&amp;$B96,[3]!装备基础属性表,W$30,FALSE)</f>
        <v>111.1111111111111</v>
      </c>
      <c r="AH96" s="15">
        <f>VLOOKUP($D96&amp;$B96,[3]!装备基础属性表,X$30,FALSE)</f>
        <v>0</v>
      </c>
      <c r="AI96" s="15">
        <f>VLOOKUP($D96&amp;$B96,[3]!装备基础属性表,Y$30,FALSE)</f>
        <v>0</v>
      </c>
      <c r="AJ96" s="16" t="str">
        <f>B96&amp;VLOOKUP(C96,定义数据!$E$1:$F$7,2,FALSE)&amp;D96</f>
        <v>1445</v>
      </c>
      <c r="AK96" s="14">
        <f t="shared" si="29"/>
        <v>12</v>
      </c>
      <c r="AL96" s="5">
        <f t="shared" si="99"/>
        <v>3</v>
      </c>
      <c r="AM96" s="5" t="str">
        <f t="array" aca="1" ref="AM96" ca="1">IF(AM$31&gt;$AL96,0,IF(ISERROR(OFFSET($E$31,0,SMALL(IF($E96:$X96&gt;0,COLUMN($A:$T),""),AM$31)-1)),0,OFFSET($E$31,0,SMALL(IF($E96:$X96&gt;0,COLUMN($A:$T),""),AM$31)-1)))</f>
        <v>生命</v>
      </c>
      <c r="AN96" s="5">
        <f t="array" aca="1" ref="AN96" ca="1">IF(AM$31&gt;$AL96,0,IF(ISERROR(INDEX($E96:$X96,,SMALL(IF($E96:$X96&gt;0,COLUMN($A:$T),""),AN$31))),0,INDEX($E96:$X96,,SMALL(IF($E96:$X96&gt;0,COLUMN($A:$T),""),AN$31))))</f>
        <v>940.75583567617343</v>
      </c>
      <c r="AO96" s="5" t="str">
        <f t="array" aca="1" ref="AO96" ca="1">IF(AO$31&gt;$AL96,0,IF(ISERROR(OFFSET($E$31,0,SMALL(IF($E96:$X96&gt;0,COLUMN($A:$T),""),AO$31)-1)),0,OFFSET($E$31,0,SMALL(IF($E96:$X96&gt;0,COLUMN($A:$T),""),AO$31)-1)))</f>
        <v>韧性值</v>
      </c>
      <c r="AP96" s="5">
        <f t="array" aca="1" ref="AP96" ca="1">IF(AO$31&gt;$AL96,0,IF(ISERROR(INDEX($E96:$X96,,SMALL(IF($E96:$X96&gt;0,COLUMN($A:$T),""),AP$31))),0,INDEX($E96:$X96,,SMALL(IF($E96:$X96&gt;0,COLUMN($A:$T),""),AP$31))))</f>
        <v>111.1111111111111</v>
      </c>
      <c r="AQ96" s="5" t="str">
        <f t="array" aca="1" ref="AQ96" ca="1">IF(AQ$31&gt;$AL96,0,IF(ISERROR(OFFSET($E$31,0,SMALL(IF($E96:$X96&gt;0,COLUMN($A:$T),""),AQ$31)-1)),0,OFFSET($E$31,0,SMALL(IF($E96:$X96&gt;0,COLUMN($A:$T),""),AQ$31)-1)))</f>
        <v>生命</v>
      </c>
      <c r="AR96" s="5">
        <f t="array" aca="1" ref="AR96" ca="1">IF(AQ$31&gt;$AL96,0,IF(ISERROR(INDEX($E96:$X96,,SMALL(IF($E96:$X96&gt;0,COLUMN($A:$T),""),AR$31))),0,INDEX($E96:$X96,,SMALL(IF($E96:$X96&gt;0,COLUMN($A:$T),""),AR$31))))</f>
        <v>156.79263927936222</v>
      </c>
      <c r="AS96" s="5">
        <f t="array" aca="1" ref="AS96" ca="1">IF(AS$31&gt;$AL96,0,IF(ISERROR(OFFSET($E$31,0,SMALL(IF($E96:$X96&gt;0,COLUMN($A:$T),""),AS$31)-1)),0,OFFSET($E$31,0,SMALL(IF($E96:$X96&gt;0,COLUMN($A:$T),""),AS$31)-1)))</f>
        <v>0</v>
      </c>
      <c r="AT96" s="5">
        <f t="array" ref="AT96">IF(AS$31&gt;$AL96,0,IF(ISERROR(INDEX($E96:$X96,,SMALL(IF($E96:$X96&gt;0,COLUMN($A:$T),""),AT$31))),0,INDEX($E96:$X96,,SMALL(IF($E96:$X96&gt;0,COLUMN($A:$T),""),AT$31))))</f>
        <v>0</v>
      </c>
      <c r="AU96" s="5">
        <f t="array" aca="1" ref="AU96" ca="1">IF(AU$31&gt;$AL96,0,IF(ISERROR(OFFSET($E$31,0,SMALL(IF($E96:$X96&gt;0,COLUMN($A:$T),""),AU$31)-1)),0,OFFSET($E$31,0,SMALL(IF($E96:$X96&gt;0,COLUMN($A:$T),""),AU$31)-1)))</f>
        <v>0</v>
      </c>
      <c r="AV96" s="5">
        <f t="array" ref="AV96">IF(AU$31&gt;$AL96,0,IF(ISERROR(INDEX($E96:$X96,,SMALL(IF($E96:$X96&gt;0,COLUMN($A:$T),""),AV$31))),0,INDEX($E96:$X96,,SMALL(IF($E96:$X96&gt;0,COLUMN($A:$T),""),AV$31))))</f>
        <v>0</v>
      </c>
      <c r="AW96" s="5">
        <f t="array" aca="1" ref="AW96" ca="1">IF(AW$31&gt;$AL96,0,IF(ISERROR(OFFSET($E$31,0,SMALL(IF($E96:$X96&gt;0,COLUMN($A:$T),""),AW$31)-1)),0,OFFSET($E$31,0,SMALL(IF($E96:$X96&gt;0,COLUMN($A:$T),""),AW$31)-1)))</f>
        <v>0</v>
      </c>
      <c r="AX96" s="5">
        <f t="array" ref="AX96">IF(AW$31&gt;$AL96,0,IF(ISERROR(INDEX($E96:$X96,,SMALL(IF($E96:$X96&gt;0,COLUMN($A:$T),""),AX$31))),0,INDEX($E96:$X96,,SMALL(IF($E96:$X96&gt;0,COLUMN($A:$T),""),AX$31))))</f>
        <v>0</v>
      </c>
      <c r="AY96" s="5">
        <f t="array" aca="1" ref="AY96" ca="1">IF(AY$31&gt;$AL96,0,IF(ISERROR(OFFSET($E$31,0,SMALL(IF($E96:$X96&gt;0,COLUMN($A:$T),""),AY$31)-1)),0,OFFSET($E$31,0,SMALL(IF($E96:$X96&gt;0,COLUMN($A:$T),""),AY$31)-1)))</f>
        <v>0</v>
      </c>
      <c r="AZ96" s="5">
        <f t="array" ref="AZ96">IF(AY$31&gt;$AL96,0,IF(ISERROR(INDEX($E96:$X96,,SMALL(IF($E96:$X96&gt;0,COLUMN($A:$T),""),AZ$31))),0,INDEX($E96:$X96,,SMALL(IF($E96:$X96&gt;0,COLUMN($A:$T),""),AZ$31))))</f>
        <v>0</v>
      </c>
      <c r="BA96" s="5">
        <f t="array" aca="1" ref="BA96" ca="1">IF(BA$31&gt;$AL96,0,IF(ISERROR(OFFSET($E$31,0,SMALL(IF($E96:$X96&gt;0,COLUMN($A:$T),""),BA$31)-1)),0,OFFSET($E$31,0,SMALL(IF($E96:$X96&gt;0,COLUMN($A:$T),""),BA$31)-1)))</f>
        <v>0</v>
      </c>
      <c r="BB96" s="5">
        <f t="array" ref="BB96">IF(BA$31&gt;$AL96,0,IF(ISERROR(INDEX($E96:$X96,,SMALL(IF($E96:$X96&gt;0,COLUMN($A:$T),""),BB$31))),0,INDEX($E96:$X96,,SMALL(IF($E96:$X96&gt;0,COLUMN($A:$T),""),BB$31))))</f>
        <v>0</v>
      </c>
      <c r="BC96" s="5">
        <f t="array" aca="1" ref="BC96" ca="1">IF(BC$31&gt;$AL96,0,IF(ISERROR(OFFSET($E$31,0,SMALL(IF($E96:$X96&gt;0,COLUMN($A:$T),""),BC$31)-1)),0,OFFSET($E$31,0,SMALL(IF($E96:$X96&gt;0,COLUMN($A:$T),""),BC$31)-1)))</f>
        <v>0</v>
      </c>
      <c r="BD96" s="5">
        <f t="array" ref="BD96">IF(BC$31&gt;$AL96,0,IF(ISERROR(INDEX($E96:$X96,,SMALL(IF($E96:$X96&gt;0,COLUMN($A:$T),""),BD$31))),0,INDEX($E96:$X96,,SMALL(IF($E96:$X96&gt;0,COLUMN($A:$T),""),BD$31))))</f>
        <v>0</v>
      </c>
      <c r="BE96" s="5">
        <f t="array" aca="1" ref="BE96" ca="1">IF(BE$31&gt;$AL96,0,IF(ISERROR(OFFSET($E$31,0,SMALL(IF($E96:$X96&gt;0,COLUMN($A:$T),""),BE$31)-1)),0,OFFSET($E$31,0,SMALL(IF($E96:$X96&gt;0,COLUMN($A:$T),""),BE$31)-1)))</f>
        <v>0</v>
      </c>
      <c r="BF96" s="5">
        <f t="array" ref="BF96">IF(BE$31&gt;$AL96,0,IF(ISERROR(INDEX($E96:$X96,,SMALL(IF($E96:$X96&gt;0,COLUMN($A:$T),""),BF$31))),0,INDEX($E96:$X96,,SMALL(IF($E96:$X96&gt;0,COLUMN($A:$T),""),BF$31))))</f>
        <v>0</v>
      </c>
      <c r="BH96">
        <f ca="1">SUMPRODUCT(E96:N96,定义数据!$G$14:$P$14)</f>
        <v>57.630233427046932</v>
      </c>
      <c r="BI96">
        <f ca="1">SUMPRODUCT(O96:X96,定义数据!$G$14:$P$14)</f>
        <v>13.437437715593498</v>
      </c>
      <c r="BJ96" s="5">
        <f t="shared" ca="1" si="100"/>
        <v>71.067671142640435</v>
      </c>
      <c r="BK96" s="5" t="str">
        <f>D96&amp;B96&amp;VLOOKUP(C96,定义数据!$E$1:$F$7,2,FALSE)</f>
        <v>4514</v>
      </c>
    </row>
    <row r="97" spans="1:63" x14ac:dyDescent="0.15">
      <c r="A97" s="17" t="str">
        <f>D97&amp;B97&amp;VLOOKUP(C97,定义数据!$E$1:$F$7,2,FALSE)</f>
        <v>4513</v>
      </c>
      <c r="B97" s="18">
        <v>1</v>
      </c>
      <c r="C97" s="18" t="s">
        <v>140</v>
      </c>
      <c r="D97" s="24">
        <v>45</v>
      </c>
      <c r="E97" s="56">
        <f t="shared" ca="1" si="35"/>
        <v>0</v>
      </c>
      <c r="F97" s="56">
        <f t="shared" ca="1" si="36"/>
        <v>59.729659893048144</v>
      </c>
      <c r="G97" s="56">
        <f t="shared" ca="1" si="37"/>
        <v>0</v>
      </c>
      <c r="H97" s="56">
        <f t="shared" ca="1" si="38"/>
        <v>0</v>
      </c>
      <c r="I97" s="56">
        <f t="shared" ca="1" si="39"/>
        <v>187.5</v>
      </c>
      <c r="J97" s="56">
        <f t="shared" ca="1" si="40"/>
        <v>0</v>
      </c>
      <c r="K97" s="56">
        <f t="shared" ca="1" si="41"/>
        <v>0</v>
      </c>
      <c r="L97" s="56">
        <f t="shared" ca="1" si="42"/>
        <v>0</v>
      </c>
      <c r="M97" s="56">
        <f t="shared" ca="1" si="43"/>
        <v>0</v>
      </c>
      <c r="N97" s="56">
        <f t="shared" ca="1" si="44"/>
        <v>0</v>
      </c>
      <c r="O97" s="65">
        <f t="shared" ca="1" si="101"/>
        <v>0</v>
      </c>
      <c r="P97" s="65">
        <f t="shared" ca="1" si="102"/>
        <v>4.7783727914438519</v>
      </c>
      <c r="Q97" s="65">
        <f t="shared" ca="1" si="103"/>
        <v>0</v>
      </c>
      <c r="R97" s="65">
        <f t="shared" ca="1" si="104"/>
        <v>3.75</v>
      </c>
      <c r="S97" s="65">
        <f t="shared" ca="1" si="105"/>
        <v>6.25</v>
      </c>
      <c r="T97" s="65">
        <f t="shared" ca="1" si="106"/>
        <v>4.4444444444444446</v>
      </c>
      <c r="U97" s="65">
        <f t="shared" ca="1" si="107"/>
        <v>0</v>
      </c>
      <c r="V97" s="65">
        <f t="shared" ca="1" si="108"/>
        <v>0</v>
      </c>
      <c r="W97" s="65">
        <f t="shared" ca="1" si="109"/>
        <v>0</v>
      </c>
      <c r="X97" s="65">
        <f t="shared" ca="1" si="110"/>
        <v>0</v>
      </c>
      <c r="Y97" s="21"/>
      <c r="Z97" s="15">
        <f>VLOOKUP($D97&amp;$B97,[3]!装备基础属性表,P$30,FALSE)</f>
        <v>4703.7791783808671</v>
      </c>
      <c r="AA97" s="15">
        <f>VLOOKUP($D97&amp;$B97,[3]!装备基础属性表,Q$30,FALSE)</f>
        <v>238.91863957219257</v>
      </c>
      <c r="AB97" s="15">
        <f>VLOOKUP($D97&amp;$B97,[3]!装备基础属性表,R$30,FALSE)</f>
        <v>103.24156117850954</v>
      </c>
      <c r="AC97" s="15">
        <f>VLOOKUP($D97&amp;$B97,[3]!装备基础属性表,S$30,FALSE)</f>
        <v>187.5</v>
      </c>
      <c r="AD97" s="15">
        <f>VLOOKUP($D97&amp;$B97,[3]!装备基础属性表,T$30,FALSE)</f>
        <v>187.5</v>
      </c>
      <c r="AE97" s="15">
        <f>VLOOKUP($D97&amp;$B97,[3]!装备基础属性表,U$30,FALSE)</f>
        <v>111.1111111111111</v>
      </c>
      <c r="AF97" s="15">
        <f>VLOOKUP($D97&amp;$B97,[3]!装备基础属性表,V$30,FALSE)</f>
        <v>0</v>
      </c>
      <c r="AG97" s="15">
        <f>VLOOKUP($D97&amp;$B97,[3]!装备基础属性表,W$30,FALSE)</f>
        <v>111.1111111111111</v>
      </c>
      <c r="AH97" s="15">
        <f>VLOOKUP($D97&amp;$B97,[3]!装备基础属性表,X$30,FALSE)</f>
        <v>0</v>
      </c>
      <c r="AI97" s="15">
        <f>VLOOKUP($D97&amp;$B97,[3]!装备基础属性表,Y$30,FALSE)</f>
        <v>0</v>
      </c>
      <c r="AJ97" s="16" t="str">
        <f>B97&amp;VLOOKUP(C97,定义数据!$E$1:$F$7,2,FALSE)&amp;D97</f>
        <v>1345</v>
      </c>
      <c r="AK97" s="14">
        <f t="shared" si="29"/>
        <v>12</v>
      </c>
      <c r="AL97" s="5">
        <f t="shared" si="99"/>
        <v>3</v>
      </c>
      <c r="AM97" s="5" t="str">
        <f t="array" aca="1" ref="AM97" ca="1">IF(AM$31&gt;$AL97,0,IF(ISERROR(OFFSET($E$31,0,SMALL(IF($E97:$X97&gt;0,COLUMN($A:$T),""),AM$31)-1)),0,OFFSET($E$31,0,SMALL(IF($E97:$X97&gt;0,COLUMN($A:$T),""),AM$31)-1)))</f>
        <v>攻击</v>
      </c>
      <c r="AN97" s="5">
        <f t="array" aca="1" ref="AN97" ca="1">IF(AM$31&gt;$AL97,0,IF(ISERROR(INDEX($E97:$X97,,SMALL(IF($E97:$X97&gt;0,COLUMN($A:$T),""),AN$31))),0,INDEX($E97:$X97,,SMALL(IF($E97:$X97&gt;0,COLUMN($A:$T),""),AN$31))))</f>
        <v>59.729659893048144</v>
      </c>
      <c r="AO97" s="5" t="str">
        <f t="array" aca="1" ref="AO97" ca="1">IF(AO$31&gt;$AL97,0,IF(ISERROR(OFFSET($E$31,0,SMALL(IF($E97:$X97&gt;0,COLUMN($A:$T),""),AO$31)-1)),0,OFFSET($E$31,0,SMALL(IF($E97:$X97&gt;0,COLUMN($A:$T),""),AO$31)-1)))</f>
        <v>命中值</v>
      </c>
      <c r="AP97" s="5">
        <f t="array" aca="1" ref="AP97" ca="1">IF(AO$31&gt;$AL97,0,IF(ISERROR(INDEX($E97:$X97,,SMALL(IF($E97:$X97&gt;0,COLUMN($A:$T),""),AP$31))),0,INDEX($E97:$X97,,SMALL(IF($E97:$X97&gt;0,COLUMN($A:$T),""),AP$31))))</f>
        <v>187.5</v>
      </c>
      <c r="AQ97" s="5" t="str">
        <f t="array" aca="1" ref="AQ97" ca="1">IF(AQ$31&gt;$AL97,0,IF(ISERROR(OFFSET($E$31,0,SMALL(IF($E97:$X97&gt;0,COLUMN($A:$T),""),AQ$31)-1)),0,OFFSET($E$31,0,SMALL(IF($E97:$X97&gt;0,COLUMN($A:$T),""),AQ$31)-1)))</f>
        <v>攻击</v>
      </c>
      <c r="AR97" s="5">
        <f t="array" aca="1" ref="AR97" ca="1">IF(AQ$31&gt;$AL97,0,IF(ISERROR(INDEX($E97:$X97,,SMALL(IF($E97:$X97&gt;0,COLUMN($A:$T),""),AR$31))),0,INDEX($E97:$X97,,SMALL(IF($E97:$X97&gt;0,COLUMN($A:$T),""),AR$31))))</f>
        <v>4.7783727914438519</v>
      </c>
      <c r="AS97" s="5">
        <f t="array" aca="1" ref="AS97" ca="1">IF(AS$31&gt;$AL97,0,IF(ISERROR(OFFSET($E$31,0,SMALL(IF($E97:$X97&gt;0,COLUMN($A:$T),""),AS$31)-1)),0,OFFSET($E$31,0,SMALL(IF($E97:$X97&gt;0,COLUMN($A:$T),""),AS$31)-1)))</f>
        <v>0</v>
      </c>
      <c r="AT97" s="5">
        <f t="array" ref="AT97">IF(AS$31&gt;$AL97,0,IF(ISERROR(INDEX($E97:$X97,,SMALL(IF($E97:$X97&gt;0,COLUMN($A:$T),""),AT$31))),0,INDEX($E97:$X97,,SMALL(IF($E97:$X97&gt;0,COLUMN($A:$T),""),AT$31))))</f>
        <v>0</v>
      </c>
      <c r="AU97" s="5">
        <f t="array" aca="1" ref="AU97" ca="1">IF(AU$31&gt;$AL97,0,IF(ISERROR(OFFSET($E$31,0,SMALL(IF($E97:$X97&gt;0,COLUMN($A:$T),""),AU$31)-1)),0,OFFSET($E$31,0,SMALL(IF($E97:$X97&gt;0,COLUMN($A:$T),""),AU$31)-1)))</f>
        <v>0</v>
      </c>
      <c r="AV97" s="5">
        <f t="array" ref="AV97">IF(AU$31&gt;$AL97,0,IF(ISERROR(INDEX($E97:$X97,,SMALL(IF($E97:$X97&gt;0,COLUMN($A:$T),""),AV$31))),0,INDEX($E97:$X97,,SMALL(IF($E97:$X97&gt;0,COLUMN($A:$T),""),AV$31))))</f>
        <v>0</v>
      </c>
      <c r="AW97" s="5">
        <f t="array" aca="1" ref="AW97" ca="1">IF(AW$31&gt;$AL97,0,IF(ISERROR(OFFSET($E$31,0,SMALL(IF($E97:$X97&gt;0,COLUMN($A:$T),""),AW$31)-1)),0,OFFSET($E$31,0,SMALL(IF($E97:$X97&gt;0,COLUMN($A:$T),""),AW$31)-1)))</f>
        <v>0</v>
      </c>
      <c r="AX97" s="5">
        <f t="array" ref="AX97">IF(AW$31&gt;$AL97,0,IF(ISERROR(INDEX($E97:$X97,,SMALL(IF($E97:$X97&gt;0,COLUMN($A:$T),""),AX$31))),0,INDEX($E97:$X97,,SMALL(IF($E97:$X97&gt;0,COLUMN($A:$T),""),AX$31))))</f>
        <v>0</v>
      </c>
      <c r="AY97" s="5">
        <f t="array" aca="1" ref="AY97" ca="1">IF(AY$31&gt;$AL97,0,IF(ISERROR(OFFSET($E$31,0,SMALL(IF($E97:$X97&gt;0,COLUMN($A:$T),""),AY$31)-1)),0,OFFSET($E$31,0,SMALL(IF($E97:$X97&gt;0,COLUMN($A:$T),""),AY$31)-1)))</f>
        <v>0</v>
      </c>
      <c r="AZ97" s="5">
        <f t="array" ref="AZ97">IF(AY$31&gt;$AL97,0,IF(ISERROR(INDEX($E97:$X97,,SMALL(IF($E97:$X97&gt;0,COLUMN($A:$T),""),AZ$31))),0,INDEX($E97:$X97,,SMALL(IF($E97:$X97&gt;0,COLUMN($A:$T),""),AZ$31))))</f>
        <v>0</v>
      </c>
      <c r="BA97" s="5">
        <f t="array" aca="1" ref="BA97" ca="1">IF(BA$31&gt;$AL97,0,IF(ISERROR(OFFSET($E$31,0,SMALL(IF($E97:$X97&gt;0,COLUMN($A:$T),""),BA$31)-1)),0,OFFSET($E$31,0,SMALL(IF($E97:$X97&gt;0,COLUMN($A:$T),""),BA$31)-1)))</f>
        <v>0</v>
      </c>
      <c r="BB97" s="5">
        <f t="array" ref="BB97">IF(BA$31&gt;$AL97,0,IF(ISERROR(INDEX($E97:$X97,,SMALL(IF($E97:$X97&gt;0,COLUMN($A:$T),""),BB$31))),0,INDEX($E97:$X97,,SMALL(IF($E97:$X97&gt;0,COLUMN($A:$T),""),BB$31))))</f>
        <v>0</v>
      </c>
      <c r="BC97" s="5">
        <f t="array" aca="1" ref="BC97" ca="1">IF(BC$31&gt;$AL97,0,IF(ISERROR(OFFSET($E$31,0,SMALL(IF($E97:$X97&gt;0,COLUMN($A:$T),""),BC$31)-1)),0,OFFSET($E$31,0,SMALL(IF($E97:$X97&gt;0,COLUMN($A:$T),""),BC$31)-1)))</f>
        <v>0</v>
      </c>
      <c r="BD97" s="5">
        <f t="array" ref="BD97">IF(BC$31&gt;$AL97,0,IF(ISERROR(INDEX($E97:$X97,,SMALL(IF($E97:$X97&gt;0,COLUMN($A:$T),""),BD$31))),0,INDEX($E97:$X97,,SMALL(IF($E97:$X97&gt;0,COLUMN($A:$T),""),BD$31))))</f>
        <v>0</v>
      </c>
      <c r="BE97" s="5">
        <f t="array" aca="1" ref="BE97" ca="1">IF(BE$31&gt;$AL97,0,IF(ISERROR(OFFSET($E$31,0,SMALL(IF($E97:$X97&gt;0,COLUMN($A:$T),""),BE$31)-1)),0,OFFSET($E$31,0,SMALL(IF($E97:$X97&gt;0,COLUMN($A:$T),""),BE$31)-1)))</f>
        <v>0</v>
      </c>
      <c r="BF97" s="5">
        <f t="array" ref="BF97">IF(BE$31&gt;$AL97,0,IF(ISERROR(INDEX($E97:$X97,,SMALL(IF($E97:$X97&gt;0,COLUMN($A:$T),""),BF$31))),0,INDEX($E97:$X97,,SMALL(IF($E97:$X97&gt;0,COLUMN($A:$T),""),BF$31))))</f>
        <v>0</v>
      </c>
      <c r="BH97">
        <f ca="1">SUMPRODUCT(E97:N97,定义数据!$G$14:$P$14)</f>
        <v>123.47965989304815</v>
      </c>
      <c r="BI97">
        <f ca="1">SUMPRODUCT(O97:X97,定义数据!$G$14:$P$14)</f>
        <v>8.9783727914438529</v>
      </c>
      <c r="BJ97" s="5">
        <f t="shared" ca="1" si="100"/>
        <v>132.458032684492</v>
      </c>
      <c r="BK97" s="5" t="str">
        <f>D97&amp;B97&amp;VLOOKUP(C97,定义数据!$E$1:$F$7,2,FALSE)</f>
        <v>4513</v>
      </c>
    </row>
    <row r="98" spans="1:63" x14ac:dyDescent="0.15">
      <c r="A98" s="17" t="str">
        <f>D98&amp;B98&amp;VLOOKUP(C98,定义数据!$E$1:$F$7,2,FALSE)</f>
        <v>4520</v>
      </c>
      <c r="B98" s="18">
        <v>2</v>
      </c>
      <c r="C98" s="18" t="s">
        <v>141</v>
      </c>
      <c r="D98" s="24">
        <v>45</v>
      </c>
      <c r="E98" s="56">
        <f t="shared" ca="1" si="35"/>
        <v>0</v>
      </c>
      <c r="F98" s="56">
        <f t="shared" ca="1" si="36"/>
        <v>232.94567358288779</v>
      </c>
      <c r="G98" s="56">
        <f t="shared" ca="1" si="37"/>
        <v>0</v>
      </c>
      <c r="H98" s="56">
        <f t="shared" ca="1" si="38"/>
        <v>0</v>
      </c>
      <c r="I98" s="56">
        <f t="shared" ca="1" si="39"/>
        <v>0</v>
      </c>
      <c r="J98" s="56">
        <f t="shared" ca="1" si="40"/>
        <v>144.44444444444446</v>
      </c>
      <c r="K98" s="56">
        <f t="shared" ca="1" si="41"/>
        <v>0</v>
      </c>
      <c r="L98" s="56">
        <f t="shared" ca="1" si="42"/>
        <v>0</v>
      </c>
      <c r="M98" s="56">
        <f t="shared" ca="1" si="43"/>
        <v>0</v>
      </c>
      <c r="N98" s="56">
        <f t="shared" ca="1" si="44"/>
        <v>0</v>
      </c>
      <c r="O98" s="65">
        <f t="shared" ca="1" si="101"/>
        <v>0</v>
      </c>
      <c r="P98" s="65">
        <f t="shared" ca="1" si="102"/>
        <v>41.412564192513386</v>
      </c>
      <c r="Q98" s="65">
        <f t="shared" ca="1" si="103"/>
        <v>4.9708899826689779</v>
      </c>
      <c r="R98" s="65">
        <f t="shared" ca="1" si="104"/>
        <v>0</v>
      </c>
      <c r="S98" s="65">
        <f t="shared" ca="1" si="105"/>
        <v>18.055555555555554</v>
      </c>
      <c r="T98" s="65">
        <f t="shared" ca="1" si="106"/>
        <v>12.83950617283951</v>
      </c>
      <c r="U98" s="65">
        <f t="shared" ca="1" si="107"/>
        <v>0</v>
      </c>
      <c r="V98" s="65">
        <f t="shared" ca="1" si="108"/>
        <v>0</v>
      </c>
      <c r="W98" s="65">
        <f t="shared" ca="1" si="109"/>
        <v>0</v>
      </c>
      <c r="X98" s="65">
        <f t="shared" ca="1" si="110"/>
        <v>0</v>
      </c>
      <c r="Y98" s="21" t="s">
        <v>94</v>
      </c>
      <c r="Z98" s="15">
        <f>VLOOKUP($D98&amp;$B98,[3]!装备基础属性表,P$30,FALSE)</f>
        <v>6794.347702105697</v>
      </c>
      <c r="AA98" s="15">
        <f>VLOOKUP($D98&amp;$B98,[3]!装备基础属性表,Q$30,FALSE)</f>
        <v>345.1047016042782</v>
      </c>
      <c r="AB98" s="15">
        <f>VLOOKUP($D98&amp;$B98,[3]!装备基础属性表,R$30,FALSE)</f>
        <v>149.12669948006933</v>
      </c>
      <c r="AC98" s="15">
        <f>VLOOKUP($D98&amp;$B98,[3]!装备基础属性表,S$30,FALSE)</f>
        <v>270.83333333333331</v>
      </c>
      <c r="AD98" s="15">
        <f>VLOOKUP($D98&amp;$B98,[3]!装备基础属性表,T$30,FALSE)</f>
        <v>270.83333333333331</v>
      </c>
      <c r="AE98" s="15">
        <f>VLOOKUP($D98&amp;$B98,[3]!装备基础属性表,U$30,FALSE)</f>
        <v>160.49382716049385</v>
      </c>
      <c r="AF98" s="15">
        <f>VLOOKUP($D98&amp;$B98,[3]!装备基础属性表,V$30,FALSE)</f>
        <v>0</v>
      </c>
      <c r="AG98" s="15">
        <f>VLOOKUP($D98&amp;$B98,[3]!装备基础属性表,W$30,FALSE)</f>
        <v>160.49382716049385</v>
      </c>
      <c r="AH98" s="15">
        <f>VLOOKUP($D98&amp;$B98,[3]!装备基础属性表,X$30,FALSE)</f>
        <v>0</v>
      </c>
      <c r="AI98" s="15">
        <f>VLOOKUP($D98&amp;$B98,[3]!装备基础属性表,Y$30,FALSE)</f>
        <v>0</v>
      </c>
      <c r="AJ98" s="16" t="str">
        <f>B98&amp;VLOOKUP(C98,定义数据!$E$1:$F$7,2,FALSE)&amp;D98</f>
        <v>2045</v>
      </c>
      <c r="AK98" s="14">
        <f t="shared" si="29"/>
        <v>13</v>
      </c>
      <c r="AL98" s="5">
        <f t="shared" si="99"/>
        <v>4</v>
      </c>
      <c r="AM98" s="5" t="str">
        <f t="array" aca="1" ref="AM98" ca="1">IF(AM$31&gt;$AL98,0,IF(ISERROR(OFFSET($E$31,0,SMALL(IF($E98:$X98&gt;0,COLUMN($A:$T),""),AM$31)-1)),0,OFFSET($E$31,0,SMALL(IF($E98:$X98&gt;0,COLUMN($A:$T),""),AM$31)-1)))</f>
        <v>攻击</v>
      </c>
      <c r="AN98" s="5">
        <f t="array" aca="1" ref="AN98" ca="1">IF(AM$31&gt;$AL98,0,IF(ISERROR(INDEX($E98:$X98,,SMALL(IF($E98:$X98&gt;0,COLUMN($A:$T),""),AN$31))),0,INDEX($E98:$X98,,SMALL(IF($E98:$X98&gt;0,COLUMN($A:$T),""),AN$31))))</f>
        <v>232.94567358288779</v>
      </c>
      <c r="AO98" s="5" t="str">
        <f t="array" aca="1" ref="AO98" ca="1">IF(AO$31&gt;$AL98,0,IF(ISERROR(OFFSET($E$31,0,SMALL(IF($E98:$X98&gt;0,COLUMN($A:$T),""),AO$31)-1)),0,OFFSET($E$31,0,SMALL(IF($E98:$X98&gt;0,COLUMN($A:$T),""),AO$31)-1)))</f>
        <v>暴击值</v>
      </c>
      <c r="AP98" s="5">
        <f t="array" aca="1" ref="AP98" ca="1">IF(AO$31&gt;$AL98,0,IF(ISERROR(INDEX($E98:$X98,,SMALL(IF($E98:$X98&gt;0,COLUMN($A:$T),""),AP$31))),0,INDEX($E98:$X98,,SMALL(IF($E98:$X98&gt;0,COLUMN($A:$T),""),AP$31))))</f>
        <v>144.44444444444446</v>
      </c>
      <c r="AQ98" s="5" t="str">
        <f t="array" aca="1" ref="AQ98" ca="1">IF(AQ$31&gt;$AL98,0,IF(ISERROR(OFFSET($E$31,0,SMALL(IF($E98:$X98&gt;0,COLUMN($A:$T),""),AQ$31)-1)),0,OFFSET($E$31,0,SMALL(IF($E98:$X98&gt;0,COLUMN($A:$T),""),AQ$31)-1)))</f>
        <v>攻击</v>
      </c>
      <c r="AR98" s="5">
        <f t="array" aca="1" ref="AR98" ca="1">IF(AQ$31&gt;$AL98,0,IF(ISERROR(INDEX($E98:$X98,,SMALL(IF($E98:$X98&gt;0,COLUMN($A:$T),""),AR$31))),0,INDEX($E98:$X98,,SMALL(IF($E98:$X98&gt;0,COLUMN($A:$T),""),AR$31))))</f>
        <v>41.412564192513386</v>
      </c>
      <c r="AS98" s="5" t="str">
        <f t="array" aca="1" ref="AS98" ca="1">IF(AS$31&gt;$AL98,0,IF(ISERROR(OFFSET($E$31,0,SMALL(IF($E98:$X98&gt;0,COLUMN($A:$T),""),AS$31)-1)),0,OFFSET($E$31,0,SMALL(IF($E98:$X98&gt;0,COLUMN($A:$T),""),AS$31)-1)))</f>
        <v>防御</v>
      </c>
      <c r="AT98" s="5">
        <f t="array" aca="1" ref="AT98" ca="1">IF(AS$31&gt;$AL98,0,IF(ISERROR(INDEX($E98:$X98,,SMALL(IF($E98:$X98&gt;0,COLUMN($A:$T),""),AT$31))),0,INDEX($E98:$X98,,SMALL(IF($E98:$X98&gt;0,COLUMN($A:$T),""),AT$31))))</f>
        <v>4.9708899826689779</v>
      </c>
      <c r="AU98" s="5">
        <f t="array" aca="1" ref="AU98" ca="1">IF(AU$31&gt;$AL98,0,IF(ISERROR(OFFSET($E$31,0,SMALL(IF($E98:$X98&gt;0,COLUMN($A:$T),""),AU$31)-1)),0,OFFSET($E$31,0,SMALL(IF($E98:$X98&gt;0,COLUMN($A:$T),""),AU$31)-1)))</f>
        <v>0</v>
      </c>
      <c r="AV98" s="5">
        <f t="array" ref="AV98">IF(AU$31&gt;$AL98,0,IF(ISERROR(INDEX($E98:$X98,,SMALL(IF($E98:$X98&gt;0,COLUMN($A:$T),""),AV$31))),0,INDEX($E98:$X98,,SMALL(IF($E98:$X98&gt;0,COLUMN($A:$T),""),AV$31))))</f>
        <v>0</v>
      </c>
      <c r="AW98" s="5">
        <f t="array" aca="1" ref="AW98" ca="1">IF(AW$31&gt;$AL98,0,IF(ISERROR(OFFSET($E$31,0,SMALL(IF($E98:$X98&gt;0,COLUMN($A:$T),""),AW$31)-1)),0,OFFSET($E$31,0,SMALL(IF($E98:$X98&gt;0,COLUMN($A:$T),""),AW$31)-1)))</f>
        <v>0</v>
      </c>
      <c r="AX98" s="5">
        <f t="array" ref="AX98">IF(AW$31&gt;$AL98,0,IF(ISERROR(INDEX($E98:$X98,,SMALL(IF($E98:$X98&gt;0,COLUMN($A:$T),""),AX$31))),0,INDEX($E98:$X98,,SMALL(IF($E98:$X98&gt;0,COLUMN($A:$T),""),AX$31))))</f>
        <v>0</v>
      </c>
      <c r="AY98" s="5">
        <f t="array" aca="1" ref="AY98" ca="1">IF(AY$31&gt;$AL98,0,IF(ISERROR(OFFSET($E$31,0,SMALL(IF($E98:$X98&gt;0,COLUMN($A:$T),""),AY$31)-1)),0,OFFSET($E$31,0,SMALL(IF($E98:$X98&gt;0,COLUMN($A:$T),""),AY$31)-1)))</f>
        <v>0</v>
      </c>
      <c r="AZ98" s="5">
        <f t="array" ref="AZ98">IF(AY$31&gt;$AL98,0,IF(ISERROR(INDEX($E98:$X98,,SMALL(IF($E98:$X98&gt;0,COLUMN($A:$T),""),AZ$31))),0,INDEX($E98:$X98,,SMALL(IF($E98:$X98&gt;0,COLUMN($A:$T),""),AZ$31))))</f>
        <v>0</v>
      </c>
      <c r="BA98" s="5">
        <f t="array" aca="1" ref="BA98" ca="1">IF(BA$31&gt;$AL98,0,IF(ISERROR(OFFSET($E$31,0,SMALL(IF($E98:$X98&gt;0,COLUMN($A:$T),""),BA$31)-1)),0,OFFSET($E$31,0,SMALL(IF($E98:$X98&gt;0,COLUMN($A:$T),""),BA$31)-1)))</f>
        <v>0</v>
      </c>
      <c r="BB98" s="5">
        <f t="array" ref="BB98">IF(BA$31&gt;$AL98,0,IF(ISERROR(INDEX($E98:$X98,,SMALL(IF($E98:$X98&gt;0,COLUMN($A:$T),""),BB$31))),0,INDEX($E98:$X98,,SMALL(IF($E98:$X98&gt;0,COLUMN($A:$T),""),BB$31))))</f>
        <v>0</v>
      </c>
      <c r="BC98" s="5">
        <f t="array" aca="1" ref="BC98" ca="1">IF(BC$31&gt;$AL98,0,IF(ISERROR(OFFSET($E$31,0,SMALL(IF($E98:$X98&gt;0,COLUMN($A:$T),""),BC$31)-1)),0,OFFSET($E$31,0,SMALL(IF($E98:$X98&gt;0,COLUMN($A:$T),""),BC$31)-1)))</f>
        <v>0</v>
      </c>
      <c r="BD98" s="5">
        <f t="array" ref="BD98">IF(BC$31&gt;$AL98,0,IF(ISERROR(INDEX($E98:$X98,,SMALL(IF($E98:$X98&gt;0,COLUMN($A:$T),""),BD$31))),0,INDEX($E98:$X98,,SMALL(IF($E98:$X98&gt;0,COLUMN($A:$T),""),BD$31))))</f>
        <v>0</v>
      </c>
      <c r="BE98" s="5">
        <f t="array" aca="1" ref="BE98" ca="1">IF(BE$31&gt;$AL98,0,IF(ISERROR(OFFSET($E$31,0,SMALL(IF($E98:$X98&gt;0,COLUMN($A:$T),""),BE$31)-1)),0,OFFSET($E$31,0,SMALL(IF($E98:$X98&gt;0,COLUMN($A:$T),""),BE$31)-1)))</f>
        <v>0</v>
      </c>
      <c r="BF98" s="5">
        <f t="array" ref="BF98">IF(BE$31&gt;$AL98,0,IF(ISERROR(INDEX($E98:$X98,,SMALL(IF($E98:$X98&gt;0,COLUMN($A:$T),""),BF$31))),0,INDEX($E98:$X98,,SMALL(IF($E98:$X98&gt;0,COLUMN($A:$T),""),BF$31))))</f>
        <v>0</v>
      </c>
      <c r="BH98">
        <f ca="1">SUMPRODUCT(E98:N98,定义数据!$G$14:$P$14)</f>
        <v>258.94567358288782</v>
      </c>
      <c r="BI98">
        <f ca="1">SUMPRODUCT(O98:X98,定义数据!$G$14:$P$14)</f>
        <v>54.833454175182361</v>
      </c>
      <c r="BJ98" s="5">
        <f t="shared" ca="1" si="100"/>
        <v>313.77912775807016</v>
      </c>
      <c r="BK98" s="5" t="str">
        <f>D98&amp;B98&amp;VLOOKUP(C98,定义数据!$E$1:$F$7,2,FALSE)</f>
        <v>4520</v>
      </c>
    </row>
    <row r="99" spans="1:63" x14ac:dyDescent="0.15">
      <c r="A99" s="17" t="str">
        <f>D99&amp;B99&amp;VLOOKUP(C99,定义数据!$E$1:$F$7,2,FALSE)</f>
        <v>4521</v>
      </c>
      <c r="B99" s="18">
        <v>2</v>
      </c>
      <c r="C99" s="18" t="s">
        <v>136</v>
      </c>
      <c r="D99" s="24">
        <v>45</v>
      </c>
      <c r="E99" s="56">
        <f t="shared" ca="1" si="35"/>
        <v>3668.9477591370764</v>
      </c>
      <c r="F99" s="56">
        <f t="shared" ca="1" si="36"/>
        <v>0</v>
      </c>
      <c r="G99" s="56">
        <f t="shared" ca="1" si="37"/>
        <v>80.528417719237439</v>
      </c>
      <c r="H99" s="56">
        <f t="shared" ca="1" si="38"/>
        <v>0</v>
      </c>
      <c r="I99" s="56">
        <f t="shared" ca="1" si="39"/>
        <v>0</v>
      </c>
      <c r="J99" s="56">
        <f t="shared" ca="1" si="40"/>
        <v>0</v>
      </c>
      <c r="K99" s="56">
        <f t="shared" ca="1" si="41"/>
        <v>0</v>
      </c>
      <c r="L99" s="56">
        <f t="shared" ca="1" si="42"/>
        <v>0</v>
      </c>
      <c r="M99" s="56">
        <f t="shared" ca="1" si="43"/>
        <v>0</v>
      </c>
      <c r="N99" s="56">
        <f t="shared" ca="1" si="44"/>
        <v>0</v>
      </c>
      <c r="O99" s="65">
        <f t="shared" ca="1" si="101"/>
        <v>452.95651347371313</v>
      </c>
      <c r="P99" s="65">
        <f t="shared" ca="1" si="102"/>
        <v>0</v>
      </c>
      <c r="Q99" s="65">
        <f t="shared" ca="1" si="103"/>
        <v>14.912669948006934</v>
      </c>
      <c r="R99" s="65">
        <f t="shared" ca="1" si="104"/>
        <v>10.833333333333334</v>
      </c>
      <c r="S99" s="65">
        <f t="shared" ca="1" si="105"/>
        <v>0</v>
      </c>
      <c r="T99" s="65">
        <f t="shared" ca="1" si="106"/>
        <v>0</v>
      </c>
      <c r="U99" s="65">
        <f t="shared" ca="1" si="107"/>
        <v>0</v>
      </c>
      <c r="V99" s="65">
        <f t="shared" ca="1" si="108"/>
        <v>10.699588477366257</v>
      </c>
      <c r="W99" s="65">
        <f t="shared" ca="1" si="109"/>
        <v>0</v>
      </c>
      <c r="X99" s="65">
        <f t="shared" ca="1" si="110"/>
        <v>0</v>
      </c>
      <c r="Y99" s="21" t="s">
        <v>95</v>
      </c>
      <c r="Z99" s="15">
        <f>VLOOKUP($D99&amp;$B99,[3]!装备基础属性表,P$30,FALSE)</f>
        <v>6794.347702105697</v>
      </c>
      <c r="AA99" s="15">
        <f>VLOOKUP($D99&amp;$B99,[3]!装备基础属性表,Q$30,FALSE)</f>
        <v>345.1047016042782</v>
      </c>
      <c r="AB99" s="15">
        <f>VLOOKUP($D99&amp;$B99,[3]!装备基础属性表,R$30,FALSE)</f>
        <v>149.12669948006933</v>
      </c>
      <c r="AC99" s="15">
        <f>VLOOKUP($D99&amp;$B99,[3]!装备基础属性表,S$30,FALSE)</f>
        <v>270.83333333333331</v>
      </c>
      <c r="AD99" s="15">
        <f>VLOOKUP($D99&amp;$B99,[3]!装备基础属性表,T$30,FALSE)</f>
        <v>270.83333333333331</v>
      </c>
      <c r="AE99" s="15">
        <f>VLOOKUP($D99&amp;$B99,[3]!装备基础属性表,U$30,FALSE)</f>
        <v>160.49382716049385</v>
      </c>
      <c r="AF99" s="15">
        <f>VLOOKUP($D99&amp;$B99,[3]!装备基础属性表,V$30,FALSE)</f>
        <v>0</v>
      </c>
      <c r="AG99" s="15">
        <f>VLOOKUP($D99&amp;$B99,[3]!装备基础属性表,W$30,FALSE)</f>
        <v>160.49382716049385</v>
      </c>
      <c r="AH99" s="15">
        <f>VLOOKUP($D99&amp;$B99,[3]!装备基础属性表,X$30,FALSE)</f>
        <v>0</v>
      </c>
      <c r="AI99" s="15">
        <f>VLOOKUP($D99&amp;$B99,[3]!装备基础属性表,Y$30,FALSE)</f>
        <v>0</v>
      </c>
      <c r="AJ99" s="16" t="str">
        <f>B99&amp;VLOOKUP(C99,定义数据!$E$1:$F$7,2,FALSE)&amp;D99</f>
        <v>2145</v>
      </c>
      <c r="AK99" s="14">
        <f t="shared" si="29"/>
        <v>13</v>
      </c>
      <c r="AL99" s="5">
        <f t="shared" si="99"/>
        <v>4</v>
      </c>
      <c r="AM99" s="5" t="str">
        <f t="array" aca="1" ref="AM99" ca="1">IF(AM$31&gt;$AL99,0,IF(ISERROR(OFFSET($E$31,0,SMALL(IF($E99:$X99&gt;0,COLUMN($A:$T),""),AM$31)-1)),0,OFFSET($E$31,0,SMALL(IF($E99:$X99&gt;0,COLUMN($A:$T),""),AM$31)-1)))</f>
        <v>生命</v>
      </c>
      <c r="AN99" s="5">
        <f t="array" aca="1" ref="AN99" ca="1">IF(AM$31&gt;$AL99,0,IF(ISERROR(INDEX($E99:$X99,,SMALL(IF($E99:$X99&gt;0,COLUMN($A:$T),""),AN$31))),0,INDEX($E99:$X99,,SMALL(IF($E99:$X99&gt;0,COLUMN($A:$T),""),AN$31))))</f>
        <v>3668.9477591370764</v>
      </c>
      <c r="AO99" s="5" t="str">
        <f t="array" aca="1" ref="AO99" ca="1">IF(AO$31&gt;$AL99,0,IF(ISERROR(OFFSET($E$31,0,SMALL(IF($E99:$X99&gt;0,COLUMN($A:$T),""),AO$31)-1)),0,OFFSET($E$31,0,SMALL(IF($E99:$X99&gt;0,COLUMN($A:$T),""),AO$31)-1)))</f>
        <v>防御</v>
      </c>
      <c r="AP99" s="5">
        <f t="array" aca="1" ref="AP99" ca="1">IF(AO$31&gt;$AL99,0,IF(ISERROR(INDEX($E99:$X99,,SMALL(IF($E99:$X99&gt;0,COLUMN($A:$T),""),AP$31))),0,INDEX($E99:$X99,,SMALL(IF($E99:$X99&gt;0,COLUMN($A:$T),""),AP$31))))</f>
        <v>80.528417719237439</v>
      </c>
      <c r="AQ99" s="5" t="str">
        <f t="array" aca="1" ref="AQ99" ca="1">IF(AQ$31&gt;$AL99,0,IF(ISERROR(OFFSET($E$31,0,SMALL(IF($E99:$X99&gt;0,COLUMN($A:$T),""),AQ$31)-1)),0,OFFSET($E$31,0,SMALL(IF($E99:$X99&gt;0,COLUMN($A:$T),""),AQ$31)-1)))</f>
        <v>生命</v>
      </c>
      <c r="AR99" s="5">
        <f t="array" aca="1" ref="AR99" ca="1">IF(AQ$31&gt;$AL99,0,IF(ISERROR(INDEX($E99:$X99,,SMALL(IF($E99:$X99&gt;0,COLUMN($A:$T),""),AR$31))),0,INDEX($E99:$X99,,SMALL(IF($E99:$X99&gt;0,COLUMN($A:$T),""),AR$31))))</f>
        <v>452.95651347371313</v>
      </c>
      <c r="AS99" s="5" t="str">
        <f t="array" aca="1" ref="AS99" ca="1">IF(AS$31&gt;$AL99,0,IF(ISERROR(OFFSET($E$31,0,SMALL(IF($E99:$X99&gt;0,COLUMN($A:$T),""),AS$31)-1)),0,OFFSET($E$31,0,SMALL(IF($E99:$X99&gt;0,COLUMN($A:$T),""),AS$31)-1)))</f>
        <v>防御</v>
      </c>
      <c r="AT99" s="5">
        <f t="array" aca="1" ref="AT99" ca="1">IF(AS$31&gt;$AL99,0,IF(ISERROR(INDEX($E99:$X99,,SMALL(IF($E99:$X99&gt;0,COLUMN($A:$T),""),AT$31))),0,INDEX($E99:$X99,,SMALL(IF($E99:$X99&gt;0,COLUMN($A:$T),""),AT$31))))</f>
        <v>14.912669948006934</v>
      </c>
      <c r="AU99" s="5">
        <f t="array" aca="1" ref="AU99" ca="1">IF(AU$31&gt;$AL99,0,IF(ISERROR(OFFSET($E$31,0,SMALL(IF($E99:$X99&gt;0,COLUMN($A:$T),""),AU$31)-1)),0,OFFSET($E$31,0,SMALL(IF($E99:$X99&gt;0,COLUMN($A:$T),""),AU$31)-1)))</f>
        <v>0</v>
      </c>
      <c r="AV99" s="5">
        <f t="array" ref="AV99">IF(AU$31&gt;$AL99,0,IF(ISERROR(INDEX($E99:$X99,,SMALL(IF($E99:$X99&gt;0,COLUMN($A:$T),""),AV$31))),0,INDEX($E99:$X99,,SMALL(IF($E99:$X99&gt;0,COLUMN($A:$T),""),AV$31))))</f>
        <v>0</v>
      </c>
      <c r="AW99" s="5">
        <f t="array" aca="1" ref="AW99" ca="1">IF(AW$31&gt;$AL99,0,IF(ISERROR(OFFSET($E$31,0,SMALL(IF($E99:$X99&gt;0,COLUMN($A:$T),""),AW$31)-1)),0,OFFSET($E$31,0,SMALL(IF($E99:$X99&gt;0,COLUMN($A:$T),""),AW$31)-1)))</f>
        <v>0</v>
      </c>
      <c r="AX99" s="5">
        <f t="array" ref="AX99">IF(AW$31&gt;$AL99,0,IF(ISERROR(INDEX($E99:$X99,,SMALL(IF($E99:$X99&gt;0,COLUMN($A:$T),""),AX$31))),0,INDEX($E99:$X99,,SMALL(IF($E99:$X99&gt;0,COLUMN($A:$T),""),AX$31))))</f>
        <v>0</v>
      </c>
      <c r="AY99" s="5">
        <f t="array" aca="1" ref="AY99" ca="1">IF(AY$31&gt;$AL99,0,IF(ISERROR(OFFSET($E$31,0,SMALL(IF($E99:$X99&gt;0,COLUMN($A:$T),""),AY$31)-1)),0,OFFSET($E$31,0,SMALL(IF($E99:$X99&gt;0,COLUMN($A:$T),""),AY$31)-1)))</f>
        <v>0</v>
      </c>
      <c r="AZ99" s="5">
        <f t="array" ref="AZ99">IF(AY$31&gt;$AL99,0,IF(ISERROR(INDEX($E99:$X99,,SMALL(IF($E99:$X99&gt;0,COLUMN($A:$T),""),AZ$31))),0,INDEX($E99:$X99,,SMALL(IF($E99:$X99&gt;0,COLUMN($A:$T),""),AZ$31))))</f>
        <v>0</v>
      </c>
      <c r="BA99" s="5">
        <f t="array" aca="1" ref="BA99" ca="1">IF(BA$31&gt;$AL99,0,IF(ISERROR(OFFSET($E$31,0,SMALL(IF($E99:$X99&gt;0,COLUMN($A:$T),""),BA$31)-1)),0,OFFSET($E$31,0,SMALL(IF($E99:$X99&gt;0,COLUMN($A:$T),""),BA$31)-1)))</f>
        <v>0</v>
      </c>
      <c r="BB99" s="5">
        <f t="array" ref="BB99">IF(BA$31&gt;$AL99,0,IF(ISERROR(INDEX($E99:$X99,,SMALL(IF($E99:$X99&gt;0,COLUMN($A:$T),""),BB$31))),0,INDEX($E99:$X99,,SMALL(IF($E99:$X99&gt;0,COLUMN($A:$T),""),BB$31))))</f>
        <v>0</v>
      </c>
      <c r="BC99" s="5">
        <f t="array" aca="1" ref="BC99" ca="1">IF(BC$31&gt;$AL99,0,IF(ISERROR(OFFSET($E$31,0,SMALL(IF($E99:$X99&gt;0,COLUMN($A:$T),""),BC$31)-1)),0,OFFSET($E$31,0,SMALL(IF($E99:$X99&gt;0,COLUMN($A:$T),""),BC$31)-1)))</f>
        <v>0</v>
      </c>
      <c r="BD99" s="5">
        <f t="array" ref="BD99">IF(BC$31&gt;$AL99,0,IF(ISERROR(INDEX($E99:$X99,,SMALL(IF($E99:$X99&gt;0,COLUMN($A:$T),""),BD$31))),0,INDEX($E99:$X99,,SMALL(IF($E99:$X99&gt;0,COLUMN($A:$T),""),BD$31))))</f>
        <v>0</v>
      </c>
      <c r="BE99" s="5">
        <f t="array" aca="1" ref="BE99" ca="1">IF(BE$31&gt;$AL99,0,IF(ISERROR(OFFSET($E$31,0,SMALL(IF($E99:$X99&gt;0,COLUMN($A:$T),""),BE$31)-1)),0,OFFSET($E$31,0,SMALL(IF($E99:$X99&gt;0,COLUMN($A:$T),""),BE$31)-1)))</f>
        <v>0</v>
      </c>
      <c r="BF99" s="5">
        <f t="array" ref="BF99">IF(BE$31&gt;$AL99,0,IF(ISERROR(INDEX($E99:$X99,,SMALL(IF($E99:$X99&gt;0,COLUMN($A:$T),""),BF$31))),0,INDEX($E99:$X99,,SMALL(IF($E99:$X99&gt;0,COLUMN($A:$T),""),BF$31))))</f>
        <v>0</v>
      </c>
      <c r="BH99">
        <f ca="1">SUMPRODUCT(E99:N99,定义数据!$G$14:$P$14)</f>
        <v>227.28632808472051</v>
      </c>
      <c r="BI99">
        <f ca="1">SUMPRODUCT(O99:X99,定义数据!$G$14:$P$14)</f>
        <v>38.640189746214723</v>
      </c>
      <c r="BJ99" s="5">
        <f t="shared" ca="1" si="100"/>
        <v>265.92651783093521</v>
      </c>
      <c r="BK99" s="5" t="str">
        <f>D99&amp;B99&amp;VLOOKUP(C99,定义数据!$E$1:$F$7,2,FALSE)</f>
        <v>4521</v>
      </c>
    </row>
    <row r="100" spans="1:63" x14ac:dyDescent="0.15">
      <c r="A100" s="17" t="str">
        <f>D100&amp;B100&amp;VLOOKUP(C100,定义数据!$E$1:$F$7,2,FALSE)</f>
        <v>4522</v>
      </c>
      <c r="B100" s="18">
        <v>2</v>
      </c>
      <c r="C100" s="18" t="s">
        <v>137</v>
      </c>
      <c r="D100" s="24">
        <v>45</v>
      </c>
      <c r="E100" s="56">
        <f t="shared" ca="1" si="35"/>
        <v>0</v>
      </c>
      <c r="F100" s="56">
        <f t="shared" ca="1" si="36"/>
        <v>0</v>
      </c>
      <c r="G100" s="56">
        <f t="shared" ca="1" si="37"/>
        <v>53.685611812824966</v>
      </c>
      <c r="H100" s="56">
        <f t="shared" ca="1" si="38"/>
        <v>81.25</v>
      </c>
      <c r="I100" s="56">
        <f t="shared" ca="1" si="39"/>
        <v>0</v>
      </c>
      <c r="J100" s="56">
        <f t="shared" ca="1" si="40"/>
        <v>0</v>
      </c>
      <c r="K100" s="56">
        <f t="shared" ca="1" si="41"/>
        <v>0</v>
      </c>
      <c r="L100" s="56">
        <f t="shared" ca="1" si="42"/>
        <v>0</v>
      </c>
      <c r="M100" s="56">
        <f t="shared" ca="1" si="43"/>
        <v>0</v>
      </c>
      <c r="N100" s="56">
        <f t="shared" ca="1" si="44"/>
        <v>0</v>
      </c>
      <c r="O100" s="65">
        <f t="shared" ca="1" si="101"/>
        <v>226.47825673685657</v>
      </c>
      <c r="P100" s="65">
        <f t="shared" ca="1" si="102"/>
        <v>0</v>
      </c>
      <c r="Q100" s="65">
        <f t="shared" ca="1" si="103"/>
        <v>4.9708899826689779</v>
      </c>
      <c r="R100" s="65">
        <f t="shared" ca="1" si="104"/>
        <v>10.833333333333334</v>
      </c>
      <c r="S100" s="65">
        <f t="shared" ca="1" si="105"/>
        <v>0</v>
      </c>
      <c r="T100" s="65">
        <f t="shared" ca="1" si="106"/>
        <v>0</v>
      </c>
      <c r="U100" s="65">
        <f t="shared" ca="1" si="107"/>
        <v>0</v>
      </c>
      <c r="V100" s="65">
        <f t="shared" ca="1" si="108"/>
        <v>10.699588477366257</v>
      </c>
      <c r="W100" s="65">
        <f t="shared" ca="1" si="109"/>
        <v>0</v>
      </c>
      <c r="X100" s="65">
        <f t="shared" ca="1" si="110"/>
        <v>0</v>
      </c>
      <c r="Y100" s="21" t="s">
        <v>96</v>
      </c>
      <c r="Z100" s="15">
        <f>VLOOKUP($D100&amp;$B100,[3]!装备基础属性表,P$30,FALSE)</f>
        <v>6794.347702105697</v>
      </c>
      <c r="AA100" s="15">
        <f>VLOOKUP($D100&amp;$B100,[3]!装备基础属性表,Q$30,FALSE)</f>
        <v>345.1047016042782</v>
      </c>
      <c r="AB100" s="15">
        <f>VLOOKUP($D100&amp;$B100,[3]!装备基础属性表,R$30,FALSE)</f>
        <v>149.12669948006933</v>
      </c>
      <c r="AC100" s="15">
        <f>VLOOKUP($D100&amp;$B100,[3]!装备基础属性表,S$30,FALSE)</f>
        <v>270.83333333333331</v>
      </c>
      <c r="AD100" s="15">
        <f>VLOOKUP($D100&amp;$B100,[3]!装备基础属性表,T$30,FALSE)</f>
        <v>270.83333333333331</v>
      </c>
      <c r="AE100" s="15">
        <f>VLOOKUP($D100&amp;$B100,[3]!装备基础属性表,U$30,FALSE)</f>
        <v>160.49382716049385</v>
      </c>
      <c r="AF100" s="15">
        <f>VLOOKUP($D100&amp;$B100,[3]!装备基础属性表,V$30,FALSE)</f>
        <v>0</v>
      </c>
      <c r="AG100" s="15">
        <f>VLOOKUP($D100&amp;$B100,[3]!装备基础属性表,W$30,FALSE)</f>
        <v>160.49382716049385</v>
      </c>
      <c r="AH100" s="15">
        <f>VLOOKUP($D100&amp;$B100,[3]!装备基础属性表,X$30,FALSE)</f>
        <v>0</v>
      </c>
      <c r="AI100" s="15">
        <f>VLOOKUP($D100&amp;$B100,[3]!装备基础属性表,Y$30,FALSE)</f>
        <v>0</v>
      </c>
      <c r="AJ100" s="16" t="str">
        <f>B100&amp;VLOOKUP(C100,定义数据!$E$1:$F$7,2,FALSE)&amp;D100</f>
        <v>2245</v>
      </c>
      <c r="AK100" s="14">
        <f t="shared" si="29"/>
        <v>13</v>
      </c>
      <c r="AL100" s="5">
        <f t="shared" si="99"/>
        <v>4</v>
      </c>
      <c r="AM100" s="5" t="str">
        <f t="array" aca="1" ref="AM100" ca="1">IF(AM$31&gt;$AL100,0,IF(ISERROR(OFFSET($E$31,0,SMALL(IF($E100:$X100&gt;0,COLUMN($A:$T),""),AM$31)-1)),0,OFFSET($E$31,0,SMALL(IF($E100:$X100&gt;0,COLUMN($A:$T),""),AM$31)-1)))</f>
        <v>防御</v>
      </c>
      <c r="AN100" s="5">
        <f t="array" aca="1" ref="AN100" ca="1">IF(AM$31&gt;$AL100,0,IF(ISERROR(INDEX($E100:$X100,,SMALL(IF($E100:$X100&gt;0,COLUMN($A:$T),""),AN$31))),0,INDEX($E100:$X100,,SMALL(IF($E100:$X100&gt;0,COLUMN($A:$T),""),AN$31))))</f>
        <v>53.685611812824966</v>
      </c>
      <c r="AO100" s="5" t="str">
        <f t="array" aca="1" ref="AO100" ca="1">IF(AO$31&gt;$AL100,0,IF(ISERROR(OFFSET($E$31,0,SMALL(IF($E100:$X100&gt;0,COLUMN($A:$T),""),AO$31)-1)),0,OFFSET($E$31,0,SMALL(IF($E100:$X100&gt;0,COLUMN($A:$T),""),AO$31)-1)))</f>
        <v>闪避值</v>
      </c>
      <c r="AP100" s="5">
        <f t="array" aca="1" ref="AP100" ca="1">IF(AO$31&gt;$AL100,0,IF(ISERROR(INDEX($E100:$X100,,SMALL(IF($E100:$X100&gt;0,COLUMN($A:$T),""),AP$31))),0,INDEX($E100:$X100,,SMALL(IF($E100:$X100&gt;0,COLUMN($A:$T),""),AP$31))))</f>
        <v>81.25</v>
      </c>
      <c r="AQ100" s="5" t="str">
        <f t="array" aca="1" ref="AQ100" ca="1">IF(AQ$31&gt;$AL100,0,IF(ISERROR(OFFSET($E$31,0,SMALL(IF($E100:$X100&gt;0,COLUMN($A:$T),""),AQ$31)-1)),0,OFFSET($E$31,0,SMALL(IF($E100:$X100&gt;0,COLUMN($A:$T),""),AQ$31)-1)))</f>
        <v>生命</v>
      </c>
      <c r="AR100" s="5">
        <f t="array" aca="1" ref="AR100" ca="1">IF(AQ$31&gt;$AL100,0,IF(ISERROR(INDEX($E100:$X100,,SMALL(IF($E100:$X100&gt;0,COLUMN($A:$T),""),AR$31))),0,INDEX($E100:$X100,,SMALL(IF($E100:$X100&gt;0,COLUMN($A:$T),""),AR$31))))</f>
        <v>226.47825673685657</v>
      </c>
      <c r="AS100" s="5" t="str">
        <f t="array" aca="1" ref="AS100" ca="1">IF(AS$31&gt;$AL100,0,IF(ISERROR(OFFSET($E$31,0,SMALL(IF($E100:$X100&gt;0,COLUMN($A:$T),""),AS$31)-1)),0,OFFSET($E$31,0,SMALL(IF($E100:$X100&gt;0,COLUMN($A:$T),""),AS$31)-1)))</f>
        <v>防御</v>
      </c>
      <c r="AT100" s="5">
        <f t="array" aca="1" ref="AT100" ca="1">IF(AS$31&gt;$AL100,0,IF(ISERROR(INDEX($E100:$X100,,SMALL(IF($E100:$X100&gt;0,COLUMN($A:$T),""),AT$31))),0,INDEX($E100:$X100,,SMALL(IF($E100:$X100&gt;0,COLUMN($A:$T),""),AT$31))))</f>
        <v>4.9708899826689779</v>
      </c>
      <c r="AU100" s="5">
        <f t="array" aca="1" ref="AU100" ca="1">IF(AU$31&gt;$AL100,0,IF(ISERROR(OFFSET($E$31,0,SMALL(IF($E100:$X100&gt;0,COLUMN($A:$T),""),AU$31)-1)),0,OFFSET($E$31,0,SMALL(IF($E100:$X100&gt;0,COLUMN($A:$T),""),AU$31)-1)))</f>
        <v>0</v>
      </c>
      <c r="AV100" s="5">
        <f t="array" ref="AV100">IF(AU$31&gt;$AL100,0,IF(ISERROR(INDEX($E100:$X100,,SMALL(IF($E100:$X100&gt;0,COLUMN($A:$T),""),AV$31))),0,INDEX($E100:$X100,,SMALL(IF($E100:$X100&gt;0,COLUMN($A:$T),""),AV$31))))</f>
        <v>0</v>
      </c>
      <c r="AW100" s="5">
        <f t="array" aca="1" ref="AW100" ca="1">IF(AW$31&gt;$AL100,0,IF(ISERROR(OFFSET($E$31,0,SMALL(IF($E100:$X100&gt;0,COLUMN($A:$T),""),AW$31)-1)),0,OFFSET($E$31,0,SMALL(IF($E100:$X100&gt;0,COLUMN($A:$T),""),AW$31)-1)))</f>
        <v>0</v>
      </c>
      <c r="AX100" s="5">
        <f t="array" ref="AX100">IF(AW$31&gt;$AL100,0,IF(ISERROR(INDEX($E100:$X100,,SMALL(IF($E100:$X100&gt;0,COLUMN($A:$T),""),AX$31))),0,INDEX($E100:$X100,,SMALL(IF($E100:$X100&gt;0,COLUMN($A:$T),""),AX$31))))</f>
        <v>0</v>
      </c>
      <c r="AY100" s="5">
        <f t="array" aca="1" ref="AY100" ca="1">IF(AY$31&gt;$AL100,0,IF(ISERROR(OFFSET($E$31,0,SMALL(IF($E100:$X100&gt;0,COLUMN($A:$T),""),AY$31)-1)),0,OFFSET($E$31,0,SMALL(IF($E100:$X100&gt;0,COLUMN($A:$T),""),AY$31)-1)))</f>
        <v>0</v>
      </c>
      <c r="AZ100" s="5">
        <f t="array" ref="AZ100">IF(AY$31&gt;$AL100,0,IF(ISERROR(INDEX($E100:$X100,,SMALL(IF($E100:$X100&gt;0,COLUMN($A:$T),""),AZ$31))),0,INDEX($E100:$X100,,SMALL(IF($E100:$X100&gt;0,COLUMN($A:$T),""),AZ$31))))</f>
        <v>0</v>
      </c>
      <c r="BA100" s="5">
        <f t="array" aca="1" ref="BA100" ca="1">IF(BA$31&gt;$AL100,0,IF(ISERROR(OFFSET($E$31,0,SMALL(IF($E100:$X100&gt;0,COLUMN($A:$T),""),BA$31)-1)),0,OFFSET($E$31,0,SMALL(IF($E100:$X100&gt;0,COLUMN($A:$T),""),BA$31)-1)))</f>
        <v>0</v>
      </c>
      <c r="BB100" s="5">
        <f t="array" ref="BB100">IF(BA$31&gt;$AL100,0,IF(ISERROR(INDEX($E100:$X100,,SMALL(IF($E100:$X100&gt;0,COLUMN($A:$T),""),BB$31))),0,INDEX($E100:$X100,,SMALL(IF($E100:$X100&gt;0,COLUMN($A:$T),""),BB$31))))</f>
        <v>0</v>
      </c>
      <c r="BC100" s="5">
        <f t="array" aca="1" ref="BC100" ca="1">IF(BC$31&gt;$AL100,0,IF(ISERROR(OFFSET($E$31,0,SMALL(IF($E100:$X100&gt;0,COLUMN($A:$T),""),BC$31)-1)),0,OFFSET($E$31,0,SMALL(IF($E100:$X100&gt;0,COLUMN($A:$T),""),BC$31)-1)))</f>
        <v>0</v>
      </c>
      <c r="BD100" s="5">
        <f t="array" ref="BD100">IF(BC$31&gt;$AL100,0,IF(ISERROR(INDEX($E100:$X100,,SMALL(IF($E100:$X100&gt;0,COLUMN($A:$T),""),BD$31))),0,INDEX($E100:$X100,,SMALL(IF($E100:$X100&gt;0,COLUMN($A:$T),""),BD$31))))</f>
        <v>0</v>
      </c>
      <c r="BE100" s="5">
        <f t="array" aca="1" ref="BE100" ca="1">IF(BE$31&gt;$AL100,0,IF(ISERROR(OFFSET($E$31,0,SMALL(IF($E100:$X100&gt;0,COLUMN($A:$T),""),BE$31)-1)),0,OFFSET($E$31,0,SMALL(IF($E100:$X100&gt;0,COLUMN($A:$T),""),BE$31)-1)))</f>
        <v>0</v>
      </c>
      <c r="BF100" s="5">
        <f t="array" ref="BF100">IF(BE$31&gt;$AL100,0,IF(ISERROR(INDEX($E100:$X100,,SMALL(IF($E100:$X100&gt;0,COLUMN($A:$T),""),BF$31))),0,INDEX($E100:$X100,,SMALL(IF($E100:$X100&gt;0,COLUMN($A:$T),""),BF$31))))</f>
        <v>0</v>
      </c>
      <c r="BH100">
        <f ca="1">SUMPRODUCT(E100:N100,定义数据!$G$14:$P$14)</f>
        <v>81.310611812824973</v>
      </c>
      <c r="BI100">
        <f ca="1">SUMPRODUCT(O100:X100,定义数据!$G$14:$P$14)</f>
        <v>19.639279511402503</v>
      </c>
      <c r="BJ100" s="5">
        <f t="shared" ca="1" si="100"/>
        <v>100.94989132422748</v>
      </c>
      <c r="BK100" s="5" t="str">
        <f>D100&amp;B100&amp;VLOOKUP(C100,定义数据!$E$1:$F$7,2,FALSE)</f>
        <v>4522</v>
      </c>
    </row>
    <row r="101" spans="1:63" x14ac:dyDescent="0.15">
      <c r="A101" s="17" t="str">
        <f>D101&amp;B101&amp;VLOOKUP(C101,定义数据!$E$1:$F$7,2,FALSE)</f>
        <v>4525</v>
      </c>
      <c r="B101" s="18">
        <v>2</v>
      </c>
      <c r="C101" s="18" t="s">
        <v>138</v>
      </c>
      <c r="D101" s="24">
        <v>45</v>
      </c>
      <c r="E101" s="56">
        <f t="shared" ca="1" si="35"/>
        <v>1222.9825863790254</v>
      </c>
      <c r="F101" s="56">
        <f t="shared" ca="1" si="36"/>
        <v>0</v>
      </c>
      <c r="G101" s="56">
        <f t="shared" ca="1" si="37"/>
        <v>0</v>
      </c>
      <c r="H101" s="56">
        <f t="shared" ca="1" si="38"/>
        <v>162.5</v>
      </c>
      <c r="I101" s="56">
        <f t="shared" ca="1" si="39"/>
        <v>0</v>
      </c>
      <c r="J101" s="56">
        <f t="shared" ca="1" si="40"/>
        <v>0</v>
      </c>
      <c r="K101" s="56">
        <f t="shared" ca="1" si="41"/>
        <v>0</v>
      </c>
      <c r="L101" s="56">
        <f t="shared" ca="1" si="42"/>
        <v>0</v>
      </c>
      <c r="M101" s="56">
        <f t="shared" ca="1" si="43"/>
        <v>0</v>
      </c>
      <c r="N101" s="56">
        <f t="shared" ca="1" si="44"/>
        <v>0</v>
      </c>
      <c r="O101" s="65">
        <f t="shared" ca="1" si="101"/>
        <v>226.47825673685657</v>
      </c>
      <c r="P101" s="65">
        <f t="shared" ca="1" si="102"/>
        <v>0</v>
      </c>
      <c r="Q101" s="65">
        <f t="shared" ca="1" si="103"/>
        <v>0</v>
      </c>
      <c r="R101" s="65">
        <f t="shared" ca="1" si="104"/>
        <v>21.666666666666668</v>
      </c>
      <c r="S101" s="65">
        <f t="shared" ca="1" si="105"/>
        <v>18.055555555555554</v>
      </c>
      <c r="T101" s="65">
        <f t="shared" ca="1" si="106"/>
        <v>6.419753086419755</v>
      </c>
      <c r="U101" s="65">
        <f t="shared" ca="1" si="107"/>
        <v>0</v>
      </c>
      <c r="V101" s="65">
        <f t="shared" ca="1" si="108"/>
        <v>0</v>
      </c>
      <c r="W101" s="65">
        <f t="shared" ca="1" si="109"/>
        <v>0</v>
      </c>
      <c r="X101" s="65">
        <f t="shared" ca="1" si="110"/>
        <v>0</v>
      </c>
      <c r="Y101" s="21"/>
      <c r="Z101" s="15">
        <f>VLOOKUP($D101&amp;$B101,[3]!装备基础属性表,P$30,FALSE)</f>
        <v>6794.347702105697</v>
      </c>
      <c r="AA101" s="15">
        <f>VLOOKUP($D101&amp;$B101,[3]!装备基础属性表,Q$30,FALSE)</f>
        <v>345.1047016042782</v>
      </c>
      <c r="AB101" s="15">
        <f>VLOOKUP($D101&amp;$B101,[3]!装备基础属性表,R$30,FALSE)</f>
        <v>149.12669948006933</v>
      </c>
      <c r="AC101" s="15">
        <f>VLOOKUP($D101&amp;$B101,[3]!装备基础属性表,S$30,FALSE)</f>
        <v>270.83333333333331</v>
      </c>
      <c r="AD101" s="15">
        <f>VLOOKUP($D101&amp;$B101,[3]!装备基础属性表,T$30,FALSE)</f>
        <v>270.83333333333331</v>
      </c>
      <c r="AE101" s="15">
        <f>VLOOKUP($D101&amp;$B101,[3]!装备基础属性表,U$30,FALSE)</f>
        <v>160.49382716049385</v>
      </c>
      <c r="AF101" s="15">
        <f>VLOOKUP($D101&amp;$B101,[3]!装备基础属性表,V$30,FALSE)</f>
        <v>0</v>
      </c>
      <c r="AG101" s="15">
        <f>VLOOKUP($D101&amp;$B101,[3]!装备基础属性表,W$30,FALSE)</f>
        <v>160.49382716049385</v>
      </c>
      <c r="AH101" s="15">
        <f>VLOOKUP($D101&amp;$B101,[3]!装备基础属性表,X$30,FALSE)</f>
        <v>0</v>
      </c>
      <c r="AI101" s="15">
        <f>VLOOKUP($D101&amp;$B101,[3]!装备基础属性表,Y$30,FALSE)</f>
        <v>0</v>
      </c>
      <c r="AJ101" s="16" t="str">
        <f>B101&amp;VLOOKUP(C101,定义数据!$E$1:$F$7,2,FALSE)&amp;D101</f>
        <v>2545</v>
      </c>
      <c r="AK101" s="14">
        <f t="shared" si="29"/>
        <v>13</v>
      </c>
      <c r="AL101" s="5">
        <f t="shared" si="99"/>
        <v>4</v>
      </c>
      <c r="AM101" s="5" t="str">
        <f t="array" aca="1" ref="AM101" ca="1">IF(AM$31&gt;$AL101,0,IF(ISERROR(OFFSET($E$31,0,SMALL(IF($E101:$X101&gt;0,COLUMN($A:$T),""),AM$31)-1)),0,OFFSET($E$31,0,SMALL(IF($E101:$X101&gt;0,COLUMN($A:$T),""),AM$31)-1)))</f>
        <v>生命</v>
      </c>
      <c r="AN101" s="5">
        <f t="array" aca="1" ref="AN101" ca="1">IF(AM$31&gt;$AL101,0,IF(ISERROR(INDEX($E101:$X101,,SMALL(IF($E101:$X101&gt;0,COLUMN($A:$T),""),AN$31))),0,INDEX($E101:$X101,,SMALL(IF($E101:$X101&gt;0,COLUMN($A:$T),""),AN$31))))</f>
        <v>1222.9825863790254</v>
      </c>
      <c r="AO101" s="5" t="str">
        <f t="array" aca="1" ref="AO101" ca="1">IF(AO$31&gt;$AL101,0,IF(ISERROR(OFFSET($E$31,0,SMALL(IF($E101:$X101&gt;0,COLUMN($A:$T),""),AO$31)-1)),0,OFFSET($E$31,0,SMALL(IF($E101:$X101&gt;0,COLUMN($A:$T),""),AO$31)-1)))</f>
        <v>闪避值</v>
      </c>
      <c r="AP101" s="5">
        <f t="array" aca="1" ref="AP101" ca="1">IF(AO$31&gt;$AL101,0,IF(ISERROR(INDEX($E101:$X101,,SMALL(IF($E101:$X101&gt;0,COLUMN($A:$T),""),AP$31))),0,INDEX($E101:$X101,,SMALL(IF($E101:$X101&gt;0,COLUMN($A:$T),""),AP$31))))</f>
        <v>162.5</v>
      </c>
      <c r="AQ101" s="5" t="str">
        <f t="array" aca="1" ref="AQ101" ca="1">IF(AQ$31&gt;$AL101,0,IF(ISERROR(OFFSET($E$31,0,SMALL(IF($E101:$X101&gt;0,COLUMN($A:$T),""),AQ$31)-1)),0,OFFSET($E$31,0,SMALL(IF($E101:$X101&gt;0,COLUMN($A:$T),""),AQ$31)-1)))</f>
        <v>生命</v>
      </c>
      <c r="AR101" s="5">
        <f t="array" aca="1" ref="AR101" ca="1">IF(AQ$31&gt;$AL101,0,IF(ISERROR(INDEX($E101:$X101,,SMALL(IF($E101:$X101&gt;0,COLUMN($A:$T),""),AR$31))),0,INDEX($E101:$X101,,SMALL(IF($E101:$X101&gt;0,COLUMN($A:$T),""),AR$31))))</f>
        <v>226.47825673685657</v>
      </c>
      <c r="AS101" s="5" t="str">
        <f t="array" aca="1" ref="AS101" ca="1">IF(AS$31&gt;$AL101,0,IF(ISERROR(OFFSET($E$31,0,SMALL(IF($E101:$X101&gt;0,COLUMN($A:$T),""),AS$31)-1)),0,OFFSET($E$31,0,SMALL(IF($E101:$X101&gt;0,COLUMN($A:$T),""),AS$31)-1)))</f>
        <v>闪避值</v>
      </c>
      <c r="AT101" s="5">
        <f t="array" aca="1" ref="AT101" ca="1">IF(AS$31&gt;$AL101,0,IF(ISERROR(INDEX($E101:$X101,,SMALL(IF($E101:$X101&gt;0,COLUMN($A:$T),""),AT$31))),0,INDEX($E101:$X101,,SMALL(IF($E101:$X101&gt;0,COLUMN($A:$T),""),AT$31))))</f>
        <v>21.666666666666668</v>
      </c>
      <c r="AU101" s="5">
        <f t="array" aca="1" ref="AU101" ca="1">IF(AU$31&gt;$AL101,0,IF(ISERROR(OFFSET($E$31,0,SMALL(IF($E101:$X101&gt;0,COLUMN($A:$T),""),AU$31)-1)),0,OFFSET($E$31,0,SMALL(IF($E101:$X101&gt;0,COLUMN($A:$T),""),AU$31)-1)))</f>
        <v>0</v>
      </c>
      <c r="AV101" s="5">
        <f t="array" ref="AV101">IF(AU$31&gt;$AL101,0,IF(ISERROR(INDEX($E101:$X101,,SMALL(IF($E101:$X101&gt;0,COLUMN($A:$T),""),AV$31))),0,INDEX($E101:$X101,,SMALL(IF($E101:$X101&gt;0,COLUMN($A:$T),""),AV$31))))</f>
        <v>0</v>
      </c>
      <c r="AW101" s="5">
        <f t="array" aca="1" ref="AW101" ca="1">IF(AW$31&gt;$AL101,0,IF(ISERROR(OFFSET($E$31,0,SMALL(IF($E101:$X101&gt;0,COLUMN($A:$T),""),AW$31)-1)),0,OFFSET($E$31,0,SMALL(IF($E101:$X101&gt;0,COLUMN($A:$T),""),AW$31)-1)))</f>
        <v>0</v>
      </c>
      <c r="AX101" s="5">
        <f t="array" ref="AX101">IF(AW$31&gt;$AL101,0,IF(ISERROR(INDEX($E101:$X101,,SMALL(IF($E101:$X101&gt;0,COLUMN($A:$T),""),AX$31))),0,INDEX($E101:$X101,,SMALL(IF($E101:$X101&gt;0,COLUMN($A:$T),""),AX$31))))</f>
        <v>0</v>
      </c>
      <c r="AY101" s="5">
        <f t="array" aca="1" ref="AY101" ca="1">IF(AY$31&gt;$AL101,0,IF(ISERROR(OFFSET($E$31,0,SMALL(IF($E101:$X101&gt;0,COLUMN($A:$T),""),AY$31)-1)),0,OFFSET($E$31,0,SMALL(IF($E101:$X101&gt;0,COLUMN($A:$T),""),AY$31)-1)))</f>
        <v>0</v>
      </c>
      <c r="AZ101" s="5">
        <f t="array" ref="AZ101">IF(AY$31&gt;$AL101,0,IF(ISERROR(INDEX($E101:$X101,,SMALL(IF($E101:$X101&gt;0,COLUMN($A:$T),""),AZ$31))),0,INDEX($E101:$X101,,SMALL(IF($E101:$X101&gt;0,COLUMN($A:$T),""),AZ$31))))</f>
        <v>0</v>
      </c>
      <c r="BA101" s="5">
        <f t="array" aca="1" ref="BA101" ca="1">IF(BA$31&gt;$AL101,0,IF(ISERROR(OFFSET($E$31,0,SMALL(IF($E101:$X101&gt;0,COLUMN($A:$T),""),BA$31)-1)),0,OFFSET($E$31,0,SMALL(IF($E101:$X101&gt;0,COLUMN($A:$T),""),BA$31)-1)))</f>
        <v>0</v>
      </c>
      <c r="BB101" s="5">
        <f t="array" ref="BB101">IF(BA$31&gt;$AL101,0,IF(ISERROR(INDEX($E101:$X101,,SMALL(IF($E101:$X101&gt;0,COLUMN($A:$T),""),BB$31))),0,INDEX($E101:$X101,,SMALL(IF($E101:$X101&gt;0,COLUMN($A:$T),""),BB$31))))</f>
        <v>0</v>
      </c>
      <c r="BC101" s="5">
        <f t="array" aca="1" ref="BC101" ca="1">IF(BC$31&gt;$AL101,0,IF(ISERROR(OFFSET($E$31,0,SMALL(IF($E101:$X101&gt;0,COLUMN($A:$T),""),BC$31)-1)),0,OFFSET($E$31,0,SMALL(IF($E101:$X101&gt;0,COLUMN($A:$T),""),BC$31)-1)))</f>
        <v>0</v>
      </c>
      <c r="BD101" s="5">
        <f t="array" ref="BD101">IF(BC$31&gt;$AL101,0,IF(ISERROR(INDEX($E101:$X101,,SMALL(IF($E101:$X101&gt;0,COLUMN($A:$T),""),BD$31))),0,INDEX($E101:$X101,,SMALL(IF($E101:$X101&gt;0,COLUMN($A:$T),""),BD$31))))</f>
        <v>0</v>
      </c>
      <c r="BE101" s="5">
        <f t="array" aca="1" ref="BE101" ca="1">IF(BE$31&gt;$AL101,0,IF(ISERROR(OFFSET($E$31,0,SMALL(IF($E101:$X101&gt;0,COLUMN($A:$T),""),BE$31)-1)),0,OFFSET($E$31,0,SMALL(IF($E101:$X101&gt;0,COLUMN($A:$T),""),BE$31)-1)))</f>
        <v>0</v>
      </c>
      <c r="BF101" s="5">
        <f t="array" ref="BF101">IF(BE$31&gt;$AL101,0,IF(ISERROR(INDEX($E101:$X101,,SMALL(IF($E101:$X101&gt;0,COLUMN($A:$T),""),BF$31))),0,INDEX($E101:$X101,,SMALL(IF($E101:$X101&gt;0,COLUMN($A:$T),""),BF$31))))</f>
        <v>0</v>
      </c>
      <c r="BH101">
        <f ca="1">SUMPRODUCT(E101:N101,定义数据!$G$14:$P$14)</f>
        <v>104.16930345516101</v>
      </c>
      <c r="BI101">
        <f ca="1">SUMPRODUCT(O101:X101,定义数据!$G$14:$P$14)</f>
        <v>23.720241380585374</v>
      </c>
      <c r="BJ101" s="5">
        <f t="shared" ca="1" si="100"/>
        <v>127.88954483574639</v>
      </c>
      <c r="BK101" s="5" t="str">
        <f>D101&amp;B101&amp;VLOOKUP(C101,定义数据!$E$1:$F$7,2,FALSE)</f>
        <v>4525</v>
      </c>
    </row>
    <row r="102" spans="1:63" x14ac:dyDescent="0.15">
      <c r="A102" s="17" t="str">
        <f>D102&amp;B102&amp;VLOOKUP(C102,定义数据!$E$1:$F$7,2,FALSE)</f>
        <v>4524</v>
      </c>
      <c r="B102" s="18">
        <v>2</v>
      </c>
      <c r="C102" s="18" t="s">
        <v>139</v>
      </c>
      <c r="D102" s="24">
        <v>45</v>
      </c>
      <c r="E102" s="56">
        <f t="shared" ca="1" si="35"/>
        <v>1222.9825863790254</v>
      </c>
      <c r="F102" s="56">
        <f t="shared" ca="1" si="36"/>
        <v>0</v>
      </c>
      <c r="G102" s="56">
        <f t="shared" ca="1" si="37"/>
        <v>0</v>
      </c>
      <c r="H102" s="56">
        <f t="shared" ca="1" si="38"/>
        <v>0</v>
      </c>
      <c r="I102" s="56">
        <f t="shared" ca="1" si="39"/>
        <v>0</v>
      </c>
      <c r="J102" s="56">
        <f t="shared" ca="1" si="40"/>
        <v>0</v>
      </c>
      <c r="K102" s="56">
        <f t="shared" ca="1" si="41"/>
        <v>0</v>
      </c>
      <c r="L102" s="56">
        <f t="shared" ca="1" si="42"/>
        <v>144.44444444444446</v>
      </c>
      <c r="M102" s="56">
        <f t="shared" ca="1" si="43"/>
        <v>0</v>
      </c>
      <c r="N102" s="56">
        <f t="shared" ca="1" si="44"/>
        <v>0</v>
      </c>
      <c r="O102" s="65">
        <f t="shared" ca="1" si="101"/>
        <v>452.95651347371313</v>
      </c>
      <c r="P102" s="65">
        <f t="shared" ca="1" si="102"/>
        <v>13.804188064171129</v>
      </c>
      <c r="Q102" s="65">
        <f t="shared" ca="1" si="103"/>
        <v>4.9708899826689779</v>
      </c>
      <c r="R102" s="65">
        <f t="shared" ca="1" si="104"/>
        <v>0</v>
      </c>
      <c r="S102" s="65">
        <f t="shared" ca="1" si="105"/>
        <v>0</v>
      </c>
      <c r="T102" s="65">
        <f t="shared" ca="1" si="106"/>
        <v>0</v>
      </c>
      <c r="U102" s="65">
        <f t="shared" ca="1" si="107"/>
        <v>0</v>
      </c>
      <c r="V102" s="65">
        <f t="shared" ca="1" si="108"/>
        <v>10.699588477366257</v>
      </c>
      <c r="W102" s="65">
        <f t="shared" ca="1" si="109"/>
        <v>0</v>
      </c>
      <c r="X102" s="65">
        <f t="shared" ca="1" si="110"/>
        <v>0</v>
      </c>
      <c r="Y102" s="21"/>
      <c r="Z102" s="15">
        <f>VLOOKUP($D102&amp;$B102,[3]!装备基础属性表,P$30,FALSE)</f>
        <v>6794.347702105697</v>
      </c>
      <c r="AA102" s="15">
        <f>VLOOKUP($D102&amp;$B102,[3]!装备基础属性表,Q$30,FALSE)</f>
        <v>345.1047016042782</v>
      </c>
      <c r="AB102" s="15">
        <f>VLOOKUP($D102&amp;$B102,[3]!装备基础属性表,R$30,FALSE)</f>
        <v>149.12669948006933</v>
      </c>
      <c r="AC102" s="15">
        <f>VLOOKUP($D102&amp;$B102,[3]!装备基础属性表,S$30,FALSE)</f>
        <v>270.83333333333331</v>
      </c>
      <c r="AD102" s="15">
        <f>VLOOKUP($D102&amp;$B102,[3]!装备基础属性表,T$30,FALSE)</f>
        <v>270.83333333333331</v>
      </c>
      <c r="AE102" s="15">
        <f>VLOOKUP($D102&amp;$B102,[3]!装备基础属性表,U$30,FALSE)</f>
        <v>160.49382716049385</v>
      </c>
      <c r="AF102" s="15">
        <f>VLOOKUP($D102&amp;$B102,[3]!装备基础属性表,V$30,FALSE)</f>
        <v>0</v>
      </c>
      <c r="AG102" s="15">
        <f>VLOOKUP($D102&amp;$B102,[3]!装备基础属性表,W$30,FALSE)</f>
        <v>160.49382716049385</v>
      </c>
      <c r="AH102" s="15">
        <f>VLOOKUP($D102&amp;$B102,[3]!装备基础属性表,X$30,FALSE)</f>
        <v>0</v>
      </c>
      <c r="AI102" s="15">
        <f>VLOOKUP($D102&amp;$B102,[3]!装备基础属性表,Y$30,FALSE)</f>
        <v>0</v>
      </c>
      <c r="AJ102" s="16" t="str">
        <f>B102&amp;VLOOKUP(C102,定义数据!$E$1:$F$7,2,FALSE)&amp;D102</f>
        <v>2445</v>
      </c>
      <c r="AK102" s="14">
        <f t="shared" si="29"/>
        <v>13</v>
      </c>
      <c r="AL102" s="5">
        <f t="shared" si="99"/>
        <v>4</v>
      </c>
      <c r="AM102" s="5" t="str">
        <f t="array" aca="1" ref="AM102" ca="1">IF(AM$31&gt;$AL102,0,IF(ISERROR(OFFSET($E$31,0,SMALL(IF($E102:$X102&gt;0,COLUMN($A:$T),""),AM$31)-1)),0,OFFSET($E$31,0,SMALL(IF($E102:$X102&gt;0,COLUMN($A:$T),""),AM$31)-1)))</f>
        <v>生命</v>
      </c>
      <c r="AN102" s="5">
        <f t="array" aca="1" ref="AN102" ca="1">IF(AM$31&gt;$AL102,0,IF(ISERROR(INDEX($E102:$X102,,SMALL(IF($E102:$X102&gt;0,COLUMN($A:$T),""),AN$31))),0,INDEX($E102:$X102,,SMALL(IF($E102:$X102&gt;0,COLUMN($A:$T),""),AN$31))))</f>
        <v>1222.9825863790254</v>
      </c>
      <c r="AO102" s="5" t="str">
        <f t="array" aca="1" ref="AO102" ca="1">IF(AO$31&gt;$AL102,0,IF(ISERROR(OFFSET($E$31,0,SMALL(IF($E102:$X102&gt;0,COLUMN($A:$T),""),AO$31)-1)),0,OFFSET($E$31,0,SMALL(IF($E102:$X102&gt;0,COLUMN($A:$T),""),AO$31)-1)))</f>
        <v>韧性值</v>
      </c>
      <c r="AP102" s="5">
        <f t="array" aca="1" ref="AP102" ca="1">IF(AO$31&gt;$AL102,0,IF(ISERROR(INDEX($E102:$X102,,SMALL(IF($E102:$X102&gt;0,COLUMN($A:$T),""),AP$31))),0,INDEX($E102:$X102,,SMALL(IF($E102:$X102&gt;0,COLUMN($A:$T),""),AP$31))))</f>
        <v>144.44444444444446</v>
      </c>
      <c r="AQ102" s="5" t="str">
        <f t="array" aca="1" ref="AQ102" ca="1">IF(AQ$31&gt;$AL102,0,IF(ISERROR(OFFSET($E$31,0,SMALL(IF($E102:$X102&gt;0,COLUMN($A:$T),""),AQ$31)-1)),0,OFFSET($E$31,0,SMALL(IF($E102:$X102&gt;0,COLUMN($A:$T),""),AQ$31)-1)))</f>
        <v>生命</v>
      </c>
      <c r="AR102" s="5">
        <f t="array" aca="1" ref="AR102" ca="1">IF(AQ$31&gt;$AL102,0,IF(ISERROR(INDEX($E102:$X102,,SMALL(IF($E102:$X102&gt;0,COLUMN($A:$T),""),AR$31))),0,INDEX($E102:$X102,,SMALL(IF($E102:$X102&gt;0,COLUMN($A:$T),""),AR$31))))</f>
        <v>452.95651347371313</v>
      </c>
      <c r="AS102" s="5" t="str">
        <f t="array" aca="1" ref="AS102" ca="1">IF(AS$31&gt;$AL102,0,IF(ISERROR(OFFSET($E$31,0,SMALL(IF($E102:$X102&gt;0,COLUMN($A:$T),""),AS$31)-1)),0,OFFSET($E$31,0,SMALL(IF($E102:$X102&gt;0,COLUMN($A:$T),""),AS$31)-1)))</f>
        <v>攻击</v>
      </c>
      <c r="AT102" s="5">
        <f t="array" aca="1" ref="AT102" ca="1">IF(AS$31&gt;$AL102,0,IF(ISERROR(INDEX($E102:$X102,,SMALL(IF($E102:$X102&gt;0,COLUMN($A:$T),""),AT$31))),0,INDEX($E102:$X102,,SMALL(IF($E102:$X102&gt;0,COLUMN($A:$T),""),AT$31))))</f>
        <v>13.804188064171129</v>
      </c>
      <c r="AU102" s="5">
        <f t="array" aca="1" ref="AU102" ca="1">IF(AU$31&gt;$AL102,0,IF(ISERROR(OFFSET($E$31,0,SMALL(IF($E102:$X102&gt;0,COLUMN($A:$T),""),AU$31)-1)),0,OFFSET($E$31,0,SMALL(IF($E102:$X102&gt;0,COLUMN($A:$T),""),AU$31)-1)))</f>
        <v>0</v>
      </c>
      <c r="AV102" s="5">
        <f t="array" ref="AV102">IF(AU$31&gt;$AL102,0,IF(ISERROR(INDEX($E102:$X102,,SMALL(IF($E102:$X102&gt;0,COLUMN($A:$T),""),AV$31))),0,INDEX($E102:$X102,,SMALL(IF($E102:$X102&gt;0,COLUMN($A:$T),""),AV$31))))</f>
        <v>0</v>
      </c>
      <c r="AW102" s="5">
        <f t="array" aca="1" ref="AW102" ca="1">IF(AW$31&gt;$AL102,0,IF(ISERROR(OFFSET($E$31,0,SMALL(IF($E102:$X102&gt;0,COLUMN($A:$T),""),AW$31)-1)),0,OFFSET($E$31,0,SMALL(IF($E102:$X102&gt;0,COLUMN($A:$T),""),AW$31)-1)))</f>
        <v>0</v>
      </c>
      <c r="AX102" s="5">
        <f t="array" ref="AX102">IF(AW$31&gt;$AL102,0,IF(ISERROR(INDEX($E102:$X102,,SMALL(IF($E102:$X102&gt;0,COLUMN($A:$T),""),AX$31))),0,INDEX($E102:$X102,,SMALL(IF($E102:$X102&gt;0,COLUMN($A:$T),""),AX$31))))</f>
        <v>0</v>
      </c>
      <c r="AY102" s="5">
        <f t="array" aca="1" ref="AY102" ca="1">IF(AY$31&gt;$AL102,0,IF(ISERROR(OFFSET($E$31,0,SMALL(IF($E102:$X102&gt;0,COLUMN($A:$T),""),AY$31)-1)),0,OFFSET($E$31,0,SMALL(IF($E102:$X102&gt;0,COLUMN($A:$T),""),AY$31)-1)))</f>
        <v>0</v>
      </c>
      <c r="AZ102" s="5">
        <f t="array" ref="AZ102">IF(AY$31&gt;$AL102,0,IF(ISERROR(INDEX($E102:$X102,,SMALL(IF($E102:$X102&gt;0,COLUMN($A:$T),""),AZ$31))),0,INDEX($E102:$X102,,SMALL(IF($E102:$X102&gt;0,COLUMN($A:$T),""),AZ$31))))</f>
        <v>0</v>
      </c>
      <c r="BA102" s="5">
        <f t="array" aca="1" ref="BA102" ca="1">IF(BA$31&gt;$AL102,0,IF(ISERROR(OFFSET($E$31,0,SMALL(IF($E102:$X102&gt;0,COLUMN($A:$T),""),BA$31)-1)),0,OFFSET($E$31,0,SMALL(IF($E102:$X102&gt;0,COLUMN($A:$T),""),BA$31)-1)))</f>
        <v>0</v>
      </c>
      <c r="BB102" s="5">
        <f t="array" ref="BB102">IF(BA$31&gt;$AL102,0,IF(ISERROR(INDEX($E102:$X102,,SMALL(IF($E102:$X102&gt;0,COLUMN($A:$T),""),BB$31))),0,INDEX($E102:$X102,,SMALL(IF($E102:$X102&gt;0,COLUMN($A:$T),""),BB$31))))</f>
        <v>0</v>
      </c>
      <c r="BC102" s="5">
        <f t="array" aca="1" ref="BC102" ca="1">IF(BC$31&gt;$AL102,0,IF(ISERROR(OFFSET($E$31,0,SMALL(IF($E102:$X102&gt;0,COLUMN($A:$T),""),BC$31)-1)),0,OFFSET($E$31,0,SMALL(IF($E102:$X102&gt;0,COLUMN($A:$T),""),BC$31)-1)))</f>
        <v>0</v>
      </c>
      <c r="BD102" s="5">
        <f t="array" ref="BD102">IF(BC$31&gt;$AL102,0,IF(ISERROR(INDEX($E102:$X102,,SMALL(IF($E102:$X102&gt;0,COLUMN($A:$T),""),BD$31))),0,INDEX($E102:$X102,,SMALL(IF($E102:$X102&gt;0,COLUMN($A:$T),""),BD$31))))</f>
        <v>0</v>
      </c>
      <c r="BE102" s="5">
        <f t="array" aca="1" ref="BE102" ca="1">IF(BE$31&gt;$AL102,0,IF(ISERROR(OFFSET($E$31,0,SMALL(IF($E102:$X102&gt;0,COLUMN($A:$T),""),BE$31)-1)),0,OFFSET($E$31,0,SMALL(IF($E102:$X102&gt;0,COLUMN($A:$T),""),BE$31)-1)))</f>
        <v>0</v>
      </c>
      <c r="BF102" s="5">
        <f t="array" ref="BF102">IF(BE$31&gt;$AL102,0,IF(ISERROR(INDEX($E102:$X102,,SMALL(IF($E102:$X102&gt;0,COLUMN($A:$T),""),BF$31))),0,INDEX($E102:$X102,,SMALL(IF($E102:$X102&gt;0,COLUMN($A:$T),""),BF$31))))</f>
        <v>0</v>
      </c>
      <c r="BH102">
        <f ca="1">SUMPRODUCT(E102:N102,定义数据!$G$14:$P$14)</f>
        <v>74.919303455161014</v>
      </c>
      <c r="BI102">
        <f ca="1">SUMPRODUCT(O102:X102,定义数据!$G$14:$P$14)</f>
        <v>38.819264511714557</v>
      </c>
      <c r="BJ102" s="5">
        <f t="shared" ca="1" si="100"/>
        <v>113.73856796687556</v>
      </c>
      <c r="BK102" s="5" t="str">
        <f>D102&amp;B102&amp;VLOOKUP(C102,定义数据!$E$1:$F$7,2,FALSE)</f>
        <v>4524</v>
      </c>
    </row>
    <row r="103" spans="1:63" x14ac:dyDescent="0.15">
      <c r="A103" s="17" t="str">
        <f>D103&amp;B103&amp;VLOOKUP(C103,定义数据!$E$1:$F$7,2,FALSE)</f>
        <v>4523</v>
      </c>
      <c r="B103" s="18">
        <v>2</v>
      </c>
      <c r="C103" s="18" t="s">
        <v>140</v>
      </c>
      <c r="D103" s="24">
        <v>45</v>
      </c>
      <c r="E103" s="56">
        <f t="shared" ca="1" si="35"/>
        <v>0</v>
      </c>
      <c r="F103" s="56">
        <f t="shared" ca="1" si="36"/>
        <v>77.648557860962597</v>
      </c>
      <c r="G103" s="56">
        <f t="shared" ca="1" si="37"/>
        <v>0</v>
      </c>
      <c r="H103" s="56">
        <f t="shared" ca="1" si="38"/>
        <v>0</v>
      </c>
      <c r="I103" s="56">
        <f t="shared" ca="1" si="39"/>
        <v>243.75</v>
      </c>
      <c r="J103" s="56">
        <f t="shared" ca="1" si="40"/>
        <v>0</v>
      </c>
      <c r="K103" s="56">
        <f t="shared" ca="1" si="41"/>
        <v>0</v>
      </c>
      <c r="L103" s="56">
        <f t="shared" ca="1" si="42"/>
        <v>0</v>
      </c>
      <c r="M103" s="56">
        <f t="shared" ca="1" si="43"/>
        <v>0</v>
      </c>
      <c r="N103" s="56">
        <f t="shared" ca="1" si="44"/>
        <v>0</v>
      </c>
      <c r="O103" s="65">
        <f t="shared" ca="1" si="101"/>
        <v>0</v>
      </c>
      <c r="P103" s="65">
        <f t="shared" ca="1" si="102"/>
        <v>13.804188064171129</v>
      </c>
      <c r="Q103" s="65">
        <f t="shared" ca="1" si="103"/>
        <v>0</v>
      </c>
      <c r="R103" s="65">
        <f t="shared" ca="1" si="104"/>
        <v>10.833333333333334</v>
      </c>
      <c r="S103" s="65">
        <f t="shared" ca="1" si="105"/>
        <v>18.055555555555554</v>
      </c>
      <c r="T103" s="65">
        <f t="shared" ca="1" si="106"/>
        <v>12.83950617283951</v>
      </c>
      <c r="U103" s="65">
        <f t="shared" ca="1" si="107"/>
        <v>0</v>
      </c>
      <c r="V103" s="65">
        <f t="shared" ca="1" si="108"/>
        <v>0</v>
      </c>
      <c r="W103" s="65">
        <f t="shared" ca="1" si="109"/>
        <v>0</v>
      </c>
      <c r="X103" s="65">
        <f t="shared" ca="1" si="110"/>
        <v>0</v>
      </c>
      <c r="Y103" s="21"/>
      <c r="Z103" s="15">
        <f>VLOOKUP($D103&amp;$B103,[3]!装备基础属性表,P$30,FALSE)</f>
        <v>6794.347702105697</v>
      </c>
      <c r="AA103" s="15">
        <f>VLOOKUP($D103&amp;$B103,[3]!装备基础属性表,Q$30,FALSE)</f>
        <v>345.1047016042782</v>
      </c>
      <c r="AB103" s="15">
        <f>VLOOKUP($D103&amp;$B103,[3]!装备基础属性表,R$30,FALSE)</f>
        <v>149.12669948006933</v>
      </c>
      <c r="AC103" s="15">
        <f>VLOOKUP($D103&amp;$B103,[3]!装备基础属性表,S$30,FALSE)</f>
        <v>270.83333333333331</v>
      </c>
      <c r="AD103" s="15">
        <f>VLOOKUP($D103&amp;$B103,[3]!装备基础属性表,T$30,FALSE)</f>
        <v>270.83333333333331</v>
      </c>
      <c r="AE103" s="15">
        <f>VLOOKUP($D103&amp;$B103,[3]!装备基础属性表,U$30,FALSE)</f>
        <v>160.49382716049385</v>
      </c>
      <c r="AF103" s="15">
        <f>VLOOKUP($D103&amp;$B103,[3]!装备基础属性表,V$30,FALSE)</f>
        <v>0</v>
      </c>
      <c r="AG103" s="15">
        <f>VLOOKUP($D103&amp;$B103,[3]!装备基础属性表,W$30,FALSE)</f>
        <v>160.49382716049385</v>
      </c>
      <c r="AH103" s="15">
        <f>VLOOKUP($D103&amp;$B103,[3]!装备基础属性表,X$30,FALSE)</f>
        <v>0</v>
      </c>
      <c r="AI103" s="15">
        <f>VLOOKUP($D103&amp;$B103,[3]!装备基础属性表,Y$30,FALSE)</f>
        <v>0</v>
      </c>
      <c r="AJ103" s="16" t="str">
        <f>B103&amp;VLOOKUP(C103,定义数据!$E$1:$F$7,2,FALSE)&amp;D103</f>
        <v>2345</v>
      </c>
      <c r="AK103" s="14">
        <f t="shared" si="29"/>
        <v>13</v>
      </c>
      <c r="AL103" s="5">
        <f t="shared" si="99"/>
        <v>4</v>
      </c>
      <c r="AM103" s="5" t="str">
        <f t="array" aca="1" ref="AM103" ca="1">IF(AM$31&gt;$AL103,0,IF(ISERROR(OFFSET($E$31,0,SMALL(IF($E103:$X103&gt;0,COLUMN($A:$T),""),AM$31)-1)),0,OFFSET($E$31,0,SMALL(IF($E103:$X103&gt;0,COLUMN($A:$T),""),AM$31)-1)))</f>
        <v>攻击</v>
      </c>
      <c r="AN103" s="5">
        <f t="array" aca="1" ref="AN103" ca="1">IF(AM$31&gt;$AL103,0,IF(ISERROR(INDEX($E103:$X103,,SMALL(IF($E103:$X103&gt;0,COLUMN($A:$T),""),AN$31))),0,INDEX($E103:$X103,,SMALL(IF($E103:$X103&gt;0,COLUMN($A:$T),""),AN$31))))</f>
        <v>77.648557860962597</v>
      </c>
      <c r="AO103" s="5" t="str">
        <f t="array" aca="1" ref="AO103" ca="1">IF(AO$31&gt;$AL103,0,IF(ISERROR(OFFSET($E$31,0,SMALL(IF($E103:$X103&gt;0,COLUMN($A:$T),""),AO$31)-1)),0,OFFSET($E$31,0,SMALL(IF($E103:$X103&gt;0,COLUMN($A:$T),""),AO$31)-1)))</f>
        <v>命中值</v>
      </c>
      <c r="AP103" s="5">
        <f t="array" aca="1" ref="AP103" ca="1">IF(AO$31&gt;$AL103,0,IF(ISERROR(INDEX($E103:$X103,,SMALL(IF($E103:$X103&gt;0,COLUMN($A:$T),""),AP$31))),0,INDEX($E103:$X103,,SMALL(IF($E103:$X103&gt;0,COLUMN($A:$T),""),AP$31))))</f>
        <v>243.75</v>
      </c>
      <c r="AQ103" s="5" t="str">
        <f t="array" aca="1" ref="AQ103" ca="1">IF(AQ$31&gt;$AL103,0,IF(ISERROR(OFFSET($E$31,0,SMALL(IF($E103:$X103&gt;0,COLUMN($A:$T),""),AQ$31)-1)),0,OFFSET($E$31,0,SMALL(IF($E103:$X103&gt;0,COLUMN($A:$T),""),AQ$31)-1)))</f>
        <v>攻击</v>
      </c>
      <c r="AR103" s="5">
        <f t="array" aca="1" ref="AR103" ca="1">IF(AQ$31&gt;$AL103,0,IF(ISERROR(INDEX($E103:$X103,,SMALL(IF($E103:$X103&gt;0,COLUMN($A:$T),""),AR$31))),0,INDEX($E103:$X103,,SMALL(IF($E103:$X103&gt;0,COLUMN($A:$T),""),AR$31))))</f>
        <v>13.804188064171129</v>
      </c>
      <c r="AS103" s="5" t="str">
        <f t="array" aca="1" ref="AS103" ca="1">IF(AS$31&gt;$AL103,0,IF(ISERROR(OFFSET($E$31,0,SMALL(IF($E103:$X103&gt;0,COLUMN($A:$T),""),AS$31)-1)),0,OFFSET($E$31,0,SMALL(IF($E103:$X103&gt;0,COLUMN($A:$T),""),AS$31)-1)))</f>
        <v>闪避值</v>
      </c>
      <c r="AT103" s="5">
        <f t="array" aca="1" ref="AT103" ca="1">IF(AS$31&gt;$AL103,0,IF(ISERROR(INDEX($E103:$X103,,SMALL(IF($E103:$X103&gt;0,COLUMN($A:$T),""),AT$31))),0,INDEX($E103:$X103,,SMALL(IF($E103:$X103&gt;0,COLUMN($A:$T),""),AT$31))))</f>
        <v>10.833333333333334</v>
      </c>
      <c r="AU103" s="5">
        <f t="array" aca="1" ref="AU103" ca="1">IF(AU$31&gt;$AL103,0,IF(ISERROR(OFFSET($E$31,0,SMALL(IF($E103:$X103&gt;0,COLUMN($A:$T),""),AU$31)-1)),0,OFFSET($E$31,0,SMALL(IF($E103:$X103&gt;0,COLUMN($A:$T),""),AU$31)-1)))</f>
        <v>0</v>
      </c>
      <c r="AV103" s="5">
        <f t="array" ref="AV103">IF(AU$31&gt;$AL103,0,IF(ISERROR(INDEX($E103:$X103,,SMALL(IF($E103:$X103&gt;0,COLUMN($A:$T),""),AV$31))),0,INDEX($E103:$X103,,SMALL(IF($E103:$X103&gt;0,COLUMN($A:$T),""),AV$31))))</f>
        <v>0</v>
      </c>
      <c r="AW103" s="5">
        <f t="array" aca="1" ref="AW103" ca="1">IF(AW$31&gt;$AL103,0,IF(ISERROR(OFFSET($E$31,0,SMALL(IF($E103:$X103&gt;0,COLUMN($A:$T),""),AW$31)-1)),0,OFFSET($E$31,0,SMALL(IF($E103:$X103&gt;0,COLUMN($A:$T),""),AW$31)-1)))</f>
        <v>0</v>
      </c>
      <c r="AX103" s="5">
        <f t="array" ref="AX103">IF(AW$31&gt;$AL103,0,IF(ISERROR(INDEX($E103:$X103,,SMALL(IF($E103:$X103&gt;0,COLUMN($A:$T),""),AX$31))),0,INDEX($E103:$X103,,SMALL(IF($E103:$X103&gt;0,COLUMN($A:$T),""),AX$31))))</f>
        <v>0</v>
      </c>
      <c r="AY103" s="5">
        <f t="array" aca="1" ref="AY103" ca="1">IF(AY$31&gt;$AL103,0,IF(ISERROR(OFFSET($E$31,0,SMALL(IF($E103:$X103&gt;0,COLUMN($A:$T),""),AY$31)-1)),0,OFFSET($E$31,0,SMALL(IF($E103:$X103&gt;0,COLUMN($A:$T),""),AY$31)-1)))</f>
        <v>0</v>
      </c>
      <c r="AZ103" s="5">
        <f t="array" ref="AZ103">IF(AY$31&gt;$AL103,0,IF(ISERROR(INDEX($E103:$X103,,SMALL(IF($E103:$X103&gt;0,COLUMN($A:$T),""),AZ$31))),0,INDEX($E103:$X103,,SMALL(IF($E103:$X103&gt;0,COLUMN($A:$T),""),AZ$31))))</f>
        <v>0</v>
      </c>
      <c r="BA103" s="5">
        <f t="array" aca="1" ref="BA103" ca="1">IF(BA$31&gt;$AL103,0,IF(ISERROR(OFFSET($E$31,0,SMALL(IF($E103:$X103&gt;0,COLUMN($A:$T),""),BA$31)-1)),0,OFFSET($E$31,0,SMALL(IF($E103:$X103&gt;0,COLUMN($A:$T),""),BA$31)-1)))</f>
        <v>0</v>
      </c>
      <c r="BB103" s="5">
        <f t="array" ref="BB103">IF(BA$31&gt;$AL103,0,IF(ISERROR(INDEX($E103:$X103,,SMALL(IF($E103:$X103&gt;0,COLUMN($A:$T),""),BB$31))),0,INDEX($E103:$X103,,SMALL(IF($E103:$X103&gt;0,COLUMN($A:$T),""),BB$31))))</f>
        <v>0</v>
      </c>
      <c r="BC103" s="5">
        <f t="array" aca="1" ref="BC103" ca="1">IF(BC$31&gt;$AL103,0,IF(ISERROR(OFFSET($E$31,0,SMALL(IF($E103:$X103&gt;0,COLUMN($A:$T),""),BC$31)-1)),0,OFFSET($E$31,0,SMALL(IF($E103:$X103&gt;0,COLUMN($A:$T),""),BC$31)-1)))</f>
        <v>0</v>
      </c>
      <c r="BD103" s="5">
        <f t="array" ref="BD103">IF(BC$31&gt;$AL103,0,IF(ISERROR(INDEX($E103:$X103,,SMALL(IF($E103:$X103&gt;0,COLUMN($A:$T),""),BD$31))),0,INDEX($E103:$X103,,SMALL(IF($E103:$X103&gt;0,COLUMN($A:$T),""),BD$31))))</f>
        <v>0</v>
      </c>
      <c r="BE103" s="5">
        <f t="array" aca="1" ref="BE103" ca="1">IF(BE$31&gt;$AL103,0,IF(ISERROR(OFFSET($E$31,0,SMALL(IF($E103:$X103&gt;0,COLUMN($A:$T),""),BE$31)-1)),0,OFFSET($E$31,0,SMALL(IF($E103:$X103&gt;0,COLUMN($A:$T),""),BE$31)-1)))</f>
        <v>0</v>
      </c>
      <c r="BF103" s="5">
        <f t="array" ref="BF103">IF(BE$31&gt;$AL103,0,IF(ISERROR(INDEX($E103:$X103,,SMALL(IF($E103:$X103&gt;0,COLUMN($A:$T),""),BF$31))),0,INDEX($E103:$X103,,SMALL(IF($E103:$X103&gt;0,COLUMN($A:$T),""),BF$31))))</f>
        <v>0</v>
      </c>
      <c r="BH103">
        <f ca="1">SUMPRODUCT(E103:N103,定义数据!$G$14:$P$14)</f>
        <v>160.5235578609626</v>
      </c>
      <c r="BI103">
        <f ca="1">SUMPRODUCT(O103:X103,定义数据!$G$14:$P$14)</f>
        <v>25.937521397504462</v>
      </c>
      <c r="BJ103" s="5">
        <f t="shared" ca="1" si="100"/>
        <v>186.46107925846707</v>
      </c>
      <c r="BK103" s="5" t="str">
        <f>D103&amp;B103&amp;VLOOKUP(C103,定义数据!$E$1:$F$7,2,FALSE)</f>
        <v>4523</v>
      </c>
    </row>
    <row r="104" spans="1:63" x14ac:dyDescent="0.15">
      <c r="A104" s="17" t="str">
        <f>D104&amp;B104&amp;VLOOKUP(C104,定义数据!$E$1:$F$7,2,FALSE)</f>
        <v>4530</v>
      </c>
      <c r="B104" s="18">
        <v>3</v>
      </c>
      <c r="C104" s="18" t="s">
        <v>141</v>
      </c>
      <c r="D104" s="24">
        <v>45</v>
      </c>
      <c r="E104" s="56">
        <f t="shared" ca="1" si="35"/>
        <v>0</v>
      </c>
      <c r="F104" s="56">
        <f t="shared" ca="1" si="36"/>
        <v>270.77445818181826</v>
      </c>
      <c r="G104" s="56">
        <f t="shared" ca="1" si="37"/>
        <v>0</v>
      </c>
      <c r="H104" s="56">
        <f t="shared" ca="1" si="38"/>
        <v>0</v>
      </c>
      <c r="I104" s="56">
        <f t="shared" ca="1" si="39"/>
        <v>0</v>
      </c>
      <c r="J104" s="56">
        <f t="shared" ca="1" si="40"/>
        <v>167.90123456790124</v>
      </c>
      <c r="K104" s="56">
        <f t="shared" ca="1" si="41"/>
        <v>0</v>
      </c>
      <c r="L104" s="56">
        <f t="shared" ca="1" si="42"/>
        <v>0</v>
      </c>
      <c r="M104" s="56">
        <f t="shared" ca="1" si="43"/>
        <v>0</v>
      </c>
      <c r="N104" s="56">
        <f t="shared" ca="1" si="44"/>
        <v>0</v>
      </c>
      <c r="O104" s="65">
        <f t="shared" ca="1" si="101"/>
        <v>0</v>
      </c>
      <c r="P104" s="65">
        <f t="shared" ca="1" si="102"/>
        <v>81.232337454545487</v>
      </c>
      <c r="Q104" s="65">
        <f t="shared" ca="1" si="103"/>
        <v>9.7505918890814556</v>
      </c>
      <c r="R104" s="65">
        <f t="shared" ca="1" si="104"/>
        <v>0</v>
      </c>
      <c r="S104" s="65">
        <f t="shared" ca="1" si="105"/>
        <v>35.416666666666671</v>
      </c>
      <c r="T104" s="65">
        <f t="shared" ca="1" si="106"/>
        <v>25.18518518518519</v>
      </c>
      <c r="U104" s="65">
        <f t="shared" ca="1" si="107"/>
        <v>0</v>
      </c>
      <c r="V104" s="65">
        <f t="shared" ca="1" si="108"/>
        <v>0</v>
      </c>
      <c r="W104" s="65">
        <f t="shared" ca="1" si="109"/>
        <v>0</v>
      </c>
      <c r="X104" s="65">
        <f t="shared" ca="1" si="110"/>
        <v>0</v>
      </c>
      <c r="Y104" s="21" t="s">
        <v>94</v>
      </c>
      <c r="Z104" s="15">
        <f>VLOOKUP($D104&amp;$B104,[3]!装备基础属性表,P$30,FALSE)</f>
        <v>8884.9162258305259</v>
      </c>
      <c r="AA104" s="15">
        <f>VLOOKUP($D104&amp;$B104,[3]!装备基础属性表,Q$30,FALSE)</f>
        <v>451.29076363636381</v>
      </c>
      <c r="AB104" s="15">
        <f>VLOOKUP($D104&amp;$B104,[3]!装备基础属性表,R$30,FALSE)</f>
        <v>195.01183778162911</v>
      </c>
      <c r="AC104" s="15">
        <f>VLOOKUP($D104&amp;$B104,[3]!装备基础属性表,S$30,FALSE)</f>
        <v>354.16666666666669</v>
      </c>
      <c r="AD104" s="15">
        <f>VLOOKUP($D104&amp;$B104,[3]!装备基础属性表,T$30,FALSE)</f>
        <v>354.16666666666669</v>
      </c>
      <c r="AE104" s="15">
        <f>VLOOKUP($D104&amp;$B104,[3]!装备基础属性表,U$30,FALSE)</f>
        <v>209.87654320987653</v>
      </c>
      <c r="AF104" s="15">
        <f>VLOOKUP($D104&amp;$B104,[3]!装备基础属性表,V$30,FALSE)</f>
        <v>0</v>
      </c>
      <c r="AG104" s="15">
        <f>VLOOKUP($D104&amp;$B104,[3]!装备基础属性表,W$30,FALSE)</f>
        <v>209.87654320987653</v>
      </c>
      <c r="AH104" s="15">
        <f>VLOOKUP($D104&amp;$B104,[3]!装备基础属性表,X$30,FALSE)</f>
        <v>0</v>
      </c>
      <c r="AI104" s="15">
        <f>VLOOKUP($D104&amp;$B104,[3]!装备基础属性表,Y$30,FALSE)</f>
        <v>0</v>
      </c>
      <c r="AJ104" s="16" t="str">
        <f>B104&amp;VLOOKUP(C104,定义数据!$E$1:$F$7,2,FALSE)&amp;D104</f>
        <v>3045</v>
      </c>
      <c r="AK104" s="14">
        <f t="shared" si="29"/>
        <v>14</v>
      </c>
      <c r="AL104" s="5">
        <f t="shared" si="99"/>
        <v>5</v>
      </c>
      <c r="AM104" s="5" t="str">
        <f t="array" aca="1" ref="AM104" ca="1">IF(AM$31&gt;$AL104,0,IF(ISERROR(OFFSET($E$31,0,SMALL(IF($E104:$X104&gt;0,COLUMN($A:$T),""),AM$31)-1)),0,OFFSET($E$31,0,SMALL(IF($E104:$X104&gt;0,COLUMN($A:$T),""),AM$31)-1)))</f>
        <v>攻击</v>
      </c>
      <c r="AN104" s="5">
        <f t="array" aca="1" ref="AN104" ca="1">IF(AM$31&gt;$AL104,0,IF(ISERROR(INDEX($E104:$X104,,SMALL(IF($E104:$X104&gt;0,COLUMN($A:$T),""),AN$31))),0,INDEX($E104:$X104,,SMALL(IF($E104:$X104&gt;0,COLUMN($A:$T),""),AN$31))))</f>
        <v>270.77445818181826</v>
      </c>
      <c r="AO104" s="5" t="str">
        <f t="array" aca="1" ref="AO104" ca="1">IF(AO$31&gt;$AL104,0,IF(ISERROR(OFFSET($E$31,0,SMALL(IF($E104:$X104&gt;0,COLUMN($A:$T),""),AO$31)-1)),0,OFFSET($E$31,0,SMALL(IF($E104:$X104&gt;0,COLUMN($A:$T),""),AO$31)-1)))</f>
        <v>暴击值</v>
      </c>
      <c r="AP104" s="5">
        <f t="array" aca="1" ref="AP104" ca="1">IF(AO$31&gt;$AL104,0,IF(ISERROR(INDEX($E104:$X104,,SMALL(IF($E104:$X104&gt;0,COLUMN($A:$T),""),AP$31))),0,INDEX($E104:$X104,,SMALL(IF($E104:$X104&gt;0,COLUMN($A:$T),""),AP$31))))</f>
        <v>167.90123456790124</v>
      </c>
      <c r="AQ104" s="5" t="str">
        <f t="array" aca="1" ref="AQ104" ca="1">IF(AQ$31&gt;$AL104,0,IF(ISERROR(OFFSET($E$31,0,SMALL(IF($E104:$X104&gt;0,COLUMN($A:$T),""),AQ$31)-1)),0,OFFSET($E$31,0,SMALL(IF($E104:$X104&gt;0,COLUMN($A:$T),""),AQ$31)-1)))</f>
        <v>攻击</v>
      </c>
      <c r="AR104" s="5">
        <f t="array" aca="1" ref="AR104" ca="1">IF(AQ$31&gt;$AL104,0,IF(ISERROR(INDEX($E104:$X104,,SMALL(IF($E104:$X104&gt;0,COLUMN($A:$T),""),AR$31))),0,INDEX($E104:$X104,,SMALL(IF($E104:$X104&gt;0,COLUMN($A:$T),""),AR$31))))</f>
        <v>81.232337454545487</v>
      </c>
      <c r="AS104" s="5" t="str">
        <f t="array" aca="1" ref="AS104" ca="1">IF(AS$31&gt;$AL104,0,IF(ISERROR(OFFSET($E$31,0,SMALL(IF($E104:$X104&gt;0,COLUMN($A:$T),""),AS$31)-1)),0,OFFSET($E$31,0,SMALL(IF($E104:$X104&gt;0,COLUMN($A:$T),""),AS$31)-1)))</f>
        <v>防御</v>
      </c>
      <c r="AT104" s="5">
        <f t="array" aca="1" ref="AT104" ca="1">IF(AS$31&gt;$AL104,0,IF(ISERROR(INDEX($E104:$X104,,SMALL(IF($E104:$X104&gt;0,COLUMN($A:$T),""),AT$31))),0,INDEX($E104:$X104,,SMALL(IF($E104:$X104&gt;0,COLUMN($A:$T),""),AT$31))))</f>
        <v>9.7505918890814556</v>
      </c>
      <c r="AU104" s="5" t="str">
        <f t="array" aca="1" ref="AU104" ca="1">IF(AU$31&gt;$AL104,0,IF(ISERROR(OFFSET($E$31,0,SMALL(IF($E104:$X104&gt;0,COLUMN($A:$T),""),AU$31)-1)),0,OFFSET($E$31,0,SMALL(IF($E104:$X104&gt;0,COLUMN($A:$T),""),AU$31)-1)))</f>
        <v>命中值</v>
      </c>
      <c r="AV104" s="5">
        <f t="array" aca="1" ref="AV104" ca="1">IF(AU$31&gt;$AL104,0,IF(ISERROR(INDEX($E104:$X104,,SMALL(IF($E104:$X104&gt;0,COLUMN($A:$T),""),AV$31))),0,INDEX($E104:$X104,,SMALL(IF($E104:$X104&gt;0,COLUMN($A:$T),""),AV$31))))</f>
        <v>35.416666666666671</v>
      </c>
      <c r="AW104" s="5">
        <f t="array" aca="1" ref="AW104" ca="1">IF(AW$31&gt;$AL104,0,IF(ISERROR(OFFSET($E$31,0,SMALL(IF($E104:$X104&gt;0,COLUMN($A:$T),""),AW$31)-1)),0,OFFSET($E$31,0,SMALL(IF($E104:$X104&gt;0,COLUMN($A:$T),""),AW$31)-1)))</f>
        <v>0</v>
      </c>
      <c r="AX104" s="5">
        <f t="array" ref="AX104">IF(AW$31&gt;$AL104,0,IF(ISERROR(INDEX($E104:$X104,,SMALL(IF($E104:$X104&gt;0,COLUMN($A:$T),""),AX$31))),0,INDEX($E104:$X104,,SMALL(IF($E104:$X104&gt;0,COLUMN($A:$T),""),AX$31))))</f>
        <v>0</v>
      </c>
      <c r="AY104" s="5">
        <f t="array" aca="1" ref="AY104" ca="1">IF(AY$31&gt;$AL104,0,IF(ISERROR(OFFSET($E$31,0,SMALL(IF($E104:$X104&gt;0,COLUMN($A:$T),""),AY$31)-1)),0,OFFSET($E$31,0,SMALL(IF($E104:$X104&gt;0,COLUMN($A:$T),""),AY$31)-1)))</f>
        <v>0</v>
      </c>
      <c r="AZ104" s="5">
        <f t="array" ref="AZ104">IF(AY$31&gt;$AL104,0,IF(ISERROR(INDEX($E104:$X104,,SMALL(IF($E104:$X104&gt;0,COLUMN($A:$T),""),AZ$31))),0,INDEX($E104:$X104,,SMALL(IF($E104:$X104&gt;0,COLUMN($A:$T),""),AZ$31))))</f>
        <v>0</v>
      </c>
      <c r="BA104" s="5">
        <f t="array" aca="1" ref="BA104" ca="1">IF(BA$31&gt;$AL104,0,IF(ISERROR(OFFSET($E$31,0,SMALL(IF($E104:$X104&gt;0,COLUMN($A:$T),""),BA$31)-1)),0,OFFSET($E$31,0,SMALL(IF($E104:$X104&gt;0,COLUMN($A:$T),""),BA$31)-1)))</f>
        <v>0</v>
      </c>
      <c r="BB104" s="5">
        <f t="array" ref="BB104">IF(BA$31&gt;$AL104,0,IF(ISERROR(INDEX($E104:$X104,,SMALL(IF($E104:$X104&gt;0,COLUMN($A:$T),""),BB$31))),0,INDEX($E104:$X104,,SMALL(IF($E104:$X104&gt;0,COLUMN($A:$T),""),BB$31))))</f>
        <v>0</v>
      </c>
      <c r="BC104" s="5">
        <f t="array" aca="1" ref="BC104" ca="1">IF(BC$31&gt;$AL104,0,IF(ISERROR(OFFSET($E$31,0,SMALL(IF($E104:$X104&gt;0,COLUMN($A:$T),""),BC$31)-1)),0,OFFSET($E$31,0,SMALL(IF($E104:$X104&gt;0,COLUMN($A:$T),""),BC$31)-1)))</f>
        <v>0</v>
      </c>
      <c r="BD104" s="5">
        <f t="array" ref="BD104">IF(BC$31&gt;$AL104,0,IF(ISERROR(INDEX($E104:$X104,,SMALL(IF($E104:$X104&gt;0,COLUMN($A:$T),""),BD$31))),0,INDEX($E104:$X104,,SMALL(IF($E104:$X104&gt;0,COLUMN($A:$T),""),BD$31))))</f>
        <v>0</v>
      </c>
      <c r="BE104" s="5">
        <f t="array" aca="1" ref="BE104" ca="1">IF(BE$31&gt;$AL104,0,IF(ISERROR(OFFSET($E$31,0,SMALL(IF($E104:$X104&gt;0,COLUMN($A:$T),""),BE$31)-1)),0,OFFSET($E$31,0,SMALL(IF($E104:$X104&gt;0,COLUMN($A:$T),""),BE$31)-1)))</f>
        <v>0</v>
      </c>
      <c r="BF104" s="5">
        <f t="array" ref="BF104">IF(BE$31&gt;$AL104,0,IF(ISERROR(INDEX($E104:$X104,,SMALL(IF($E104:$X104&gt;0,COLUMN($A:$T),""),BF$31))),0,INDEX($E104:$X104,,SMALL(IF($E104:$X104&gt;0,COLUMN($A:$T),""),BF$31))))</f>
        <v>0</v>
      </c>
      <c r="BH104">
        <f ca="1">SUMPRODUCT(E104:N104,定义数据!$G$14:$P$14)</f>
        <v>300.99668040404049</v>
      </c>
      <c r="BI104">
        <f ca="1">SUMPRODUCT(O104:X104,定义数据!$G$14:$P$14)</f>
        <v>107.55792934362695</v>
      </c>
      <c r="BJ104" s="5">
        <f t="shared" ca="1" si="100"/>
        <v>408.55460974766743</v>
      </c>
      <c r="BK104" s="5" t="str">
        <f>D104&amp;B104&amp;VLOOKUP(C104,定义数据!$E$1:$F$7,2,FALSE)</f>
        <v>4530</v>
      </c>
    </row>
    <row r="105" spans="1:63" x14ac:dyDescent="0.15">
      <c r="A105" s="17" t="str">
        <f>D105&amp;B105&amp;VLOOKUP(C105,定义数据!$E$1:$F$7,2,FALSE)</f>
        <v>4531</v>
      </c>
      <c r="B105" s="18">
        <v>3</v>
      </c>
      <c r="C105" s="18" t="s">
        <v>136</v>
      </c>
      <c r="D105" s="24">
        <v>45</v>
      </c>
      <c r="E105" s="56">
        <f t="shared" ca="1" si="35"/>
        <v>4264.7597883986518</v>
      </c>
      <c r="F105" s="56">
        <f t="shared" ca="1" si="36"/>
        <v>0</v>
      </c>
      <c r="G105" s="56">
        <f t="shared" ca="1" si="37"/>
        <v>93.605682135181979</v>
      </c>
      <c r="H105" s="56">
        <f t="shared" ca="1" si="38"/>
        <v>0</v>
      </c>
      <c r="I105" s="56">
        <f t="shared" ca="1" si="39"/>
        <v>0</v>
      </c>
      <c r="J105" s="56">
        <f t="shared" ca="1" si="40"/>
        <v>0</v>
      </c>
      <c r="K105" s="56">
        <f t="shared" ca="1" si="41"/>
        <v>0</v>
      </c>
      <c r="L105" s="56">
        <f t="shared" ca="1" si="42"/>
        <v>0</v>
      </c>
      <c r="M105" s="56">
        <f t="shared" ca="1" si="43"/>
        <v>0</v>
      </c>
      <c r="N105" s="56">
        <f t="shared" ca="1" si="44"/>
        <v>0</v>
      </c>
      <c r="O105" s="65">
        <f t="shared" ca="1" si="101"/>
        <v>888.49162258305273</v>
      </c>
      <c r="P105" s="65">
        <f t="shared" ca="1" si="102"/>
        <v>0</v>
      </c>
      <c r="Q105" s="65">
        <f t="shared" ca="1" si="103"/>
        <v>29.25177566724437</v>
      </c>
      <c r="R105" s="65">
        <f t="shared" ca="1" si="104"/>
        <v>21.250000000000007</v>
      </c>
      <c r="S105" s="65">
        <f t="shared" ca="1" si="105"/>
        <v>0</v>
      </c>
      <c r="T105" s="65">
        <f t="shared" ca="1" si="106"/>
        <v>0</v>
      </c>
      <c r="U105" s="65">
        <f t="shared" ca="1" si="107"/>
        <v>0</v>
      </c>
      <c r="V105" s="65">
        <f t="shared" ca="1" si="108"/>
        <v>20.987654320987652</v>
      </c>
      <c r="W105" s="65">
        <f t="shared" ca="1" si="109"/>
        <v>0</v>
      </c>
      <c r="X105" s="65">
        <f t="shared" ca="1" si="110"/>
        <v>0</v>
      </c>
      <c r="Y105" s="21" t="s">
        <v>95</v>
      </c>
      <c r="Z105" s="15">
        <f>VLOOKUP($D105&amp;$B105,[3]!装备基础属性表,P$30,FALSE)</f>
        <v>8884.9162258305259</v>
      </c>
      <c r="AA105" s="15">
        <f>VLOOKUP($D105&amp;$B105,[3]!装备基础属性表,Q$30,FALSE)</f>
        <v>451.29076363636381</v>
      </c>
      <c r="AB105" s="15">
        <f>VLOOKUP($D105&amp;$B105,[3]!装备基础属性表,R$30,FALSE)</f>
        <v>195.01183778162911</v>
      </c>
      <c r="AC105" s="15">
        <f>VLOOKUP($D105&amp;$B105,[3]!装备基础属性表,S$30,FALSE)</f>
        <v>354.16666666666669</v>
      </c>
      <c r="AD105" s="15">
        <f>VLOOKUP($D105&amp;$B105,[3]!装备基础属性表,T$30,FALSE)</f>
        <v>354.16666666666669</v>
      </c>
      <c r="AE105" s="15">
        <f>VLOOKUP($D105&amp;$B105,[3]!装备基础属性表,U$30,FALSE)</f>
        <v>209.87654320987653</v>
      </c>
      <c r="AF105" s="15">
        <f>VLOOKUP($D105&amp;$B105,[3]!装备基础属性表,V$30,FALSE)</f>
        <v>0</v>
      </c>
      <c r="AG105" s="15">
        <f>VLOOKUP($D105&amp;$B105,[3]!装备基础属性表,W$30,FALSE)</f>
        <v>209.87654320987653</v>
      </c>
      <c r="AH105" s="15">
        <f>VLOOKUP($D105&amp;$B105,[3]!装备基础属性表,X$30,FALSE)</f>
        <v>0</v>
      </c>
      <c r="AI105" s="15">
        <f>VLOOKUP($D105&amp;$B105,[3]!装备基础属性表,Y$30,FALSE)</f>
        <v>0</v>
      </c>
      <c r="AJ105" s="16" t="str">
        <f>B105&amp;VLOOKUP(C105,定义数据!$E$1:$F$7,2,FALSE)&amp;D105</f>
        <v>3145</v>
      </c>
      <c r="AK105" s="14">
        <f t="shared" si="29"/>
        <v>14</v>
      </c>
      <c r="AL105" s="5">
        <f t="shared" si="99"/>
        <v>5</v>
      </c>
      <c r="AM105" s="5" t="str">
        <f t="array" aca="1" ref="AM105" ca="1">IF(AM$31&gt;$AL105,0,IF(ISERROR(OFFSET($E$31,0,SMALL(IF($E105:$X105&gt;0,COLUMN($A:$T),""),AM$31)-1)),0,OFFSET($E$31,0,SMALL(IF($E105:$X105&gt;0,COLUMN($A:$T),""),AM$31)-1)))</f>
        <v>生命</v>
      </c>
      <c r="AN105" s="5">
        <f t="array" aca="1" ref="AN105" ca="1">IF(AM$31&gt;$AL105,0,IF(ISERROR(INDEX($E105:$X105,,SMALL(IF($E105:$X105&gt;0,COLUMN($A:$T),""),AN$31))),0,INDEX($E105:$X105,,SMALL(IF($E105:$X105&gt;0,COLUMN($A:$T),""),AN$31))))</f>
        <v>4264.7597883986518</v>
      </c>
      <c r="AO105" s="5" t="str">
        <f t="array" aca="1" ref="AO105" ca="1">IF(AO$31&gt;$AL105,0,IF(ISERROR(OFFSET($E$31,0,SMALL(IF($E105:$X105&gt;0,COLUMN($A:$T),""),AO$31)-1)),0,OFFSET($E$31,0,SMALL(IF($E105:$X105&gt;0,COLUMN($A:$T),""),AO$31)-1)))</f>
        <v>防御</v>
      </c>
      <c r="AP105" s="5">
        <f t="array" aca="1" ref="AP105" ca="1">IF(AO$31&gt;$AL105,0,IF(ISERROR(INDEX($E105:$X105,,SMALL(IF($E105:$X105&gt;0,COLUMN($A:$T),""),AP$31))),0,INDEX($E105:$X105,,SMALL(IF($E105:$X105&gt;0,COLUMN($A:$T),""),AP$31))))</f>
        <v>93.605682135181979</v>
      </c>
      <c r="AQ105" s="5" t="str">
        <f t="array" aca="1" ref="AQ105" ca="1">IF(AQ$31&gt;$AL105,0,IF(ISERROR(OFFSET($E$31,0,SMALL(IF($E105:$X105&gt;0,COLUMN($A:$T),""),AQ$31)-1)),0,OFFSET($E$31,0,SMALL(IF($E105:$X105&gt;0,COLUMN($A:$T),""),AQ$31)-1)))</f>
        <v>生命</v>
      </c>
      <c r="AR105" s="5">
        <f t="array" aca="1" ref="AR105" ca="1">IF(AQ$31&gt;$AL105,0,IF(ISERROR(INDEX($E105:$X105,,SMALL(IF($E105:$X105&gt;0,COLUMN($A:$T),""),AR$31))),0,INDEX($E105:$X105,,SMALL(IF($E105:$X105&gt;0,COLUMN($A:$T),""),AR$31))))</f>
        <v>888.49162258305273</v>
      </c>
      <c r="AS105" s="5" t="str">
        <f t="array" aca="1" ref="AS105" ca="1">IF(AS$31&gt;$AL105,0,IF(ISERROR(OFFSET($E$31,0,SMALL(IF($E105:$X105&gt;0,COLUMN($A:$T),""),AS$31)-1)),0,OFFSET($E$31,0,SMALL(IF($E105:$X105&gt;0,COLUMN($A:$T),""),AS$31)-1)))</f>
        <v>防御</v>
      </c>
      <c r="AT105" s="5">
        <f t="array" aca="1" ref="AT105" ca="1">IF(AS$31&gt;$AL105,0,IF(ISERROR(INDEX($E105:$X105,,SMALL(IF($E105:$X105&gt;0,COLUMN($A:$T),""),AT$31))),0,INDEX($E105:$X105,,SMALL(IF($E105:$X105&gt;0,COLUMN($A:$T),""),AT$31))))</f>
        <v>29.25177566724437</v>
      </c>
      <c r="AU105" s="5" t="str">
        <f t="array" aca="1" ref="AU105" ca="1">IF(AU$31&gt;$AL105,0,IF(ISERROR(OFFSET($E$31,0,SMALL(IF($E105:$X105&gt;0,COLUMN($A:$T),""),AU$31)-1)),0,OFFSET($E$31,0,SMALL(IF($E105:$X105&gt;0,COLUMN($A:$T),""),AU$31)-1)))</f>
        <v>闪避值</v>
      </c>
      <c r="AV105" s="5">
        <f t="array" aca="1" ref="AV105" ca="1">IF(AU$31&gt;$AL105,0,IF(ISERROR(INDEX($E105:$X105,,SMALL(IF($E105:$X105&gt;0,COLUMN($A:$T),""),AV$31))),0,INDEX($E105:$X105,,SMALL(IF($E105:$X105&gt;0,COLUMN($A:$T),""),AV$31))))</f>
        <v>21.250000000000007</v>
      </c>
      <c r="AW105" s="5">
        <f t="array" aca="1" ref="AW105" ca="1">IF(AW$31&gt;$AL105,0,IF(ISERROR(OFFSET($E$31,0,SMALL(IF($E105:$X105&gt;0,COLUMN($A:$T),""),AW$31)-1)),0,OFFSET($E$31,0,SMALL(IF($E105:$X105&gt;0,COLUMN($A:$T),""),AW$31)-1)))</f>
        <v>0</v>
      </c>
      <c r="AX105" s="5">
        <f t="array" ref="AX105">IF(AW$31&gt;$AL105,0,IF(ISERROR(INDEX($E105:$X105,,SMALL(IF($E105:$X105&gt;0,COLUMN($A:$T),""),AX$31))),0,INDEX($E105:$X105,,SMALL(IF($E105:$X105&gt;0,COLUMN($A:$T),""),AX$31))))</f>
        <v>0</v>
      </c>
      <c r="AY105" s="5">
        <f t="array" aca="1" ref="AY105" ca="1">IF(AY$31&gt;$AL105,0,IF(ISERROR(OFFSET($E$31,0,SMALL(IF($E105:$X105&gt;0,COLUMN($A:$T),""),AY$31)-1)),0,OFFSET($E$31,0,SMALL(IF($E105:$X105&gt;0,COLUMN($A:$T),""),AY$31)-1)))</f>
        <v>0</v>
      </c>
      <c r="AZ105" s="5">
        <f t="array" ref="AZ105">IF(AY$31&gt;$AL105,0,IF(ISERROR(INDEX($E105:$X105,,SMALL(IF($E105:$X105&gt;0,COLUMN($A:$T),""),AZ$31))),0,INDEX($E105:$X105,,SMALL(IF($E105:$X105&gt;0,COLUMN($A:$T),""),AZ$31))))</f>
        <v>0</v>
      </c>
      <c r="BA105" s="5">
        <f t="array" aca="1" ref="BA105" ca="1">IF(BA$31&gt;$AL105,0,IF(ISERROR(OFFSET($E$31,0,SMALL(IF($E105:$X105&gt;0,COLUMN($A:$T),""),BA$31)-1)),0,OFFSET($E$31,0,SMALL(IF($E105:$X105&gt;0,COLUMN($A:$T),""),BA$31)-1)))</f>
        <v>0</v>
      </c>
      <c r="BB105" s="5">
        <f t="array" ref="BB105">IF(BA$31&gt;$AL105,0,IF(ISERROR(INDEX($E105:$X105,,SMALL(IF($E105:$X105&gt;0,COLUMN($A:$T),""),BB$31))),0,INDEX($E105:$X105,,SMALL(IF($E105:$X105&gt;0,COLUMN($A:$T),""),BB$31))))</f>
        <v>0</v>
      </c>
      <c r="BC105" s="5">
        <f t="array" aca="1" ref="BC105" ca="1">IF(BC$31&gt;$AL105,0,IF(ISERROR(OFFSET($E$31,0,SMALL(IF($E105:$X105&gt;0,COLUMN($A:$T),""),BC$31)-1)),0,OFFSET($E$31,0,SMALL(IF($E105:$X105&gt;0,COLUMN($A:$T),""),BC$31)-1)))</f>
        <v>0</v>
      </c>
      <c r="BD105" s="5">
        <f t="array" ref="BD105">IF(BC$31&gt;$AL105,0,IF(ISERROR(INDEX($E105:$X105,,SMALL(IF($E105:$X105&gt;0,COLUMN($A:$T),""),BD$31))),0,INDEX($E105:$X105,,SMALL(IF($E105:$X105&gt;0,COLUMN($A:$T),""),BD$31))))</f>
        <v>0</v>
      </c>
      <c r="BE105" s="5">
        <f t="array" aca="1" ref="BE105" ca="1">IF(BE$31&gt;$AL105,0,IF(ISERROR(OFFSET($E$31,0,SMALL(IF($E105:$X105&gt;0,COLUMN($A:$T),""),BE$31)-1)),0,OFFSET($E$31,0,SMALL(IF($E105:$X105&gt;0,COLUMN($A:$T),""),BE$31)-1)))</f>
        <v>0</v>
      </c>
      <c r="BF105" s="5">
        <f t="array" ref="BF105">IF(BE$31&gt;$AL105,0,IF(ISERROR(INDEX($E105:$X105,,SMALL(IF($E105:$X105&gt;0,COLUMN($A:$T),""),BF$31))),0,INDEX($E105:$X105,,SMALL(IF($E105:$X105&gt;0,COLUMN($A:$T),""),BF$31))))</f>
        <v>0</v>
      </c>
      <c r="BH105">
        <f ca="1">SUMPRODUCT(E105:N105,定义数据!$G$14:$P$14)</f>
        <v>264.19607367112803</v>
      </c>
      <c r="BI105">
        <f ca="1">SUMPRODUCT(O105:X105,定义数据!$G$14:$P$14)</f>
        <v>75.794218348344259</v>
      </c>
      <c r="BJ105" s="5">
        <f t="shared" ca="1" si="100"/>
        <v>339.99029201947229</v>
      </c>
      <c r="BK105" s="5" t="str">
        <f>D105&amp;B105&amp;VLOOKUP(C105,定义数据!$E$1:$F$7,2,FALSE)</f>
        <v>4531</v>
      </c>
    </row>
    <row r="106" spans="1:63" x14ac:dyDescent="0.15">
      <c r="A106" s="17" t="str">
        <f>D106&amp;B106&amp;VLOOKUP(C106,定义数据!$E$1:$F$7,2,FALSE)</f>
        <v>4532</v>
      </c>
      <c r="B106" s="18">
        <v>3</v>
      </c>
      <c r="C106" s="18" t="s">
        <v>137</v>
      </c>
      <c r="D106" s="24">
        <v>45</v>
      </c>
      <c r="E106" s="56">
        <f t="shared" ca="1" si="35"/>
        <v>0</v>
      </c>
      <c r="F106" s="56">
        <f t="shared" ca="1" si="36"/>
        <v>0</v>
      </c>
      <c r="G106" s="56">
        <f t="shared" ca="1" si="37"/>
        <v>62.403788090121317</v>
      </c>
      <c r="H106" s="56">
        <f t="shared" ca="1" si="38"/>
        <v>94.444444444444457</v>
      </c>
      <c r="I106" s="56">
        <f t="shared" ca="1" si="39"/>
        <v>0</v>
      </c>
      <c r="J106" s="56">
        <f t="shared" ca="1" si="40"/>
        <v>0</v>
      </c>
      <c r="K106" s="56">
        <f t="shared" ca="1" si="41"/>
        <v>0</v>
      </c>
      <c r="L106" s="56">
        <f t="shared" ca="1" si="42"/>
        <v>0</v>
      </c>
      <c r="M106" s="56">
        <f t="shared" ca="1" si="43"/>
        <v>0</v>
      </c>
      <c r="N106" s="56">
        <f t="shared" ca="1" si="44"/>
        <v>0</v>
      </c>
      <c r="O106" s="65">
        <f t="shared" ca="1" si="101"/>
        <v>444.24581129152637</v>
      </c>
      <c r="P106" s="65">
        <f t="shared" ca="1" si="102"/>
        <v>0</v>
      </c>
      <c r="Q106" s="65">
        <f t="shared" ca="1" si="103"/>
        <v>9.7505918890814556</v>
      </c>
      <c r="R106" s="65">
        <f t="shared" ca="1" si="104"/>
        <v>21.250000000000007</v>
      </c>
      <c r="S106" s="65">
        <f t="shared" ca="1" si="105"/>
        <v>0</v>
      </c>
      <c r="T106" s="65">
        <f t="shared" ca="1" si="106"/>
        <v>0</v>
      </c>
      <c r="U106" s="65">
        <f t="shared" ca="1" si="107"/>
        <v>0</v>
      </c>
      <c r="V106" s="65">
        <f t="shared" ca="1" si="108"/>
        <v>20.987654320987652</v>
      </c>
      <c r="W106" s="65">
        <f t="shared" ca="1" si="109"/>
        <v>0</v>
      </c>
      <c r="X106" s="65">
        <f t="shared" ca="1" si="110"/>
        <v>0</v>
      </c>
      <c r="Y106" s="21" t="s">
        <v>96</v>
      </c>
      <c r="Z106" s="15">
        <f>VLOOKUP($D106&amp;$B106,[3]!装备基础属性表,P$30,FALSE)</f>
        <v>8884.9162258305259</v>
      </c>
      <c r="AA106" s="15">
        <f>VLOOKUP($D106&amp;$B106,[3]!装备基础属性表,Q$30,FALSE)</f>
        <v>451.29076363636381</v>
      </c>
      <c r="AB106" s="15">
        <f>VLOOKUP($D106&amp;$B106,[3]!装备基础属性表,R$30,FALSE)</f>
        <v>195.01183778162911</v>
      </c>
      <c r="AC106" s="15">
        <f>VLOOKUP($D106&amp;$B106,[3]!装备基础属性表,S$30,FALSE)</f>
        <v>354.16666666666669</v>
      </c>
      <c r="AD106" s="15">
        <f>VLOOKUP($D106&amp;$B106,[3]!装备基础属性表,T$30,FALSE)</f>
        <v>354.16666666666669</v>
      </c>
      <c r="AE106" s="15">
        <f>VLOOKUP($D106&amp;$B106,[3]!装备基础属性表,U$30,FALSE)</f>
        <v>209.87654320987653</v>
      </c>
      <c r="AF106" s="15">
        <f>VLOOKUP($D106&amp;$B106,[3]!装备基础属性表,V$30,FALSE)</f>
        <v>0</v>
      </c>
      <c r="AG106" s="15">
        <f>VLOOKUP($D106&amp;$B106,[3]!装备基础属性表,W$30,FALSE)</f>
        <v>209.87654320987653</v>
      </c>
      <c r="AH106" s="15">
        <f>VLOOKUP($D106&amp;$B106,[3]!装备基础属性表,X$30,FALSE)</f>
        <v>0</v>
      </c>
      <c r="AI106" s="15">
        <f>VLOOKUP($D106&amp;$B106,[3]!装备基础属性表,Y$30,FALSE)</f>
        <v>0</v>
      </c>
      <c r="AJ106" s="16" t="str">
        <f>B106&amp;VLOOKUP(C106,定义数据!$E$1:$F$7,2,FALSE)&amp;D106</f>
        <v>3245</v>
      </c>
      <c r="AK106" s="14">
        <f t="shared" si="29"/>
        <v>14</v>
      </c>
      <c r="AL106" s="5">
        <f t="shared" si="99"/>
        <v>5</v>
      </c>
      <c r="AM106" s="5" t="str">
        <f t="array" aca="1" ref="AM106" ca="1">IF(AM$31&gt;$AL106,0,IF(ISERROR(OFFSET($E$31,0,SMALL(IF($E106:$X106&gt;0,COLUMN($A:$T),""),AM$31)-1)),0,OFFSET($E$31,0,SMALL(IF($E106:$X106&gt;0,COLUMN($A:$T),""),AM$31)-1)))</f>
        <v>防御</v>
      </c>
      <c r="AN106" s="5">
        <f t="array" aca="1" ref="AN106" ca="1">IF(AM$31&gt;$AL106,0,IF(ISERROR(INDEX($E106:$X106,,SMALL(IF($E106:$X106&gt;0,COLUMN($A:$T),""),AN$31))),0,INDEX($E106:$X106,,SMALL(IF($E106:$X106&gt;0,COLUMN($A:$T),""),AN$31))))</f>
        <v>62.403788090121317</v>
      </c>
      <c r="AO106" s="5" t="str">
        <f t="array" aca="1" ref="AO106" ca="1">IF(AO$31&gt;$AL106,0,IF(ISERROR(OFFSET($E$31,0,SMALL(IF($E106:$X106&gt;0,COLUMN($A:$T),""),AO$31)-1)),0,OFFSET($E$31,0,SMALL(IF($E106:$X106&gt;0,COLUMN($A:$T),""),AO$31)-1)))</f>
        <v>闪避值</v>
      </c>
      <c r="AP106" s="5">
        <f t="array" aca="1" ref="AP106" ca="1">IF(AO$31&gt;$AL106,0,IF(ISERROR(INDEX($E106:$X106,,SMALL(IF($E106:$X106&gt;0,COLUMN($A:$T),""),AP$31))),0,INDEX($E106:$X106,,SMALL(IF($E106:$X106&gt;0,COLUMN($A:$T),""),AP$31))))</f>
        <v>94.444444444444457</v>
      </c>
      <c r="AQ106" s="5" t="str">
        <f t="array" aca="1" ref="AQ106" ca="1">IF(AQ$31&gt;$AL106,0,IF(ISERROR(OFFSET($E$31,0,SMALL(IF($E106:$X106&gt;0,COLUMN($A:$T),""),AQ$31)-1)),0,OFFSET($E$31,0,SMALL(IF($E106:$X106&gt;0,COLUMN($A:$T),""),AQ$31)-1)))</f>
        <v>生命</v>
      </c>
      <c r="AR106" s="5">
        <f t="array" aca="1" ref="AR106" ca="1">IF(AQ$31&gt;$AL106,0,IF(ISERROR(INDEX($E106:$X106,,SMALL(IF($E106:$X106&gt;0,COLUMN($A:$T),""),AR$31))),0,INDEX($E106:$X106,,SMALL(IF($E106:$X106&gt;0,COLUMN($A:$T),""),AR$31))))</f>
        <v>444.24581129152637</v>
      </c>
      <c r="AS106" s="5" t="str">
        <f t="array" aca="1" ref="AS106" ca="1">IF(AS$31&gt;$AL106,0,IF(ISERROR(OFFSET($E$31,0,SMALL(IF($E106:$X106&gt;0,COLUMN($A:$T),""),AS$31)-1)),0,OFFSET($E$31,0,SMALL(IF($E106:$X106&gt;0,COLUMN($A:$T),""),AS$31)-1)))</f>
        <v>防御</v>
      </c>
      <c r="AT106" s="5">
        <f t="array" aca="1" ref="AT106" ca="1">IF(AS$31&gt;$AL106,0,IF(ISERROR(INDEX($E106:$X106,,SMALL(IF($E106:$X106&gt;0,COLUMN($A:$T),""),AT$31))),0,INDEX($E106:$X106,,SMALL(IF($E106:$X106&gt;0,COLUMN($A:$T),""),AT$31))))</f>
        <v>9.7505918890814556</v>
      </c>
      <c r="AU106" s="5" t="str">
        <f t="array" aca="1" ref="AU106" ca="1">IF(AU$31&gt;$AL106,0,IF(ISERROR(OFFSET($E$31,0,SMALL(IF($E106:$X106&gt;0,COLUMN($A:$T),""),AU$31)-1)),0,OFFSET($E$31,0,SMALL(IF($E106:$X106&gt;0,COLUMN($A:$T),""),AU$31)-1)))</f>
        <v>闪避值</v>
      </c>
      <c r="AV106" s="5">
        <f t="array" aca="1" ref="AV106" ca="1">IF(AU$31&gt;$AL106,0,IF(ISERROR(INDEX($E106:$X106,,SMALL(IF($E106:$X106&gt;0,COLUMN($A:$T),""),AV$31))),0,INDEX($E106:$X106,,SMALL(IF($E106:$X106&gt;0,COLUMN($A:$T),""),AV$31))))</f>
        <v>21.250000000000007</v>
      </c>
      <c r="AW106" s="5">
        <f t="array" aca="1" ref="AW106" ca="1">IF(AW$31&gt;$AL106,0,IF(ISERROR(OFFSET($E$31,0,SMALL(IF($E106:$X106&gt;0,COLUMN($A:$T),""),AW$31)-1)),0,OFFSET($E$31,0,SMALL(IF($E106:$X106&gt;0,COLUMN($A:$T),""),AW$31)-1)))</f>
        <v>0</v>
      </c>
      <c r="AX106" s="5">
        <f t="array" ref="AX106">IF(AW$31&gt;$AL106,0,IF(ISERROR(INDEX($E106:$X106,,SMALL(IF($E106:$X106&gt;0,COLUMN($A:$T),""),AX$31))),0,INDEX($E106:$X106,,SMALL(IF($E106:$X106&gt;0,COLUMN($A:$T),""),AX$31))))</f>
        <v>0</v>
      </c>
      <c r="AY106" s="5">
        <f t="array" aca="1" ref="AY106" ca="1">IF(AY$31&gt;$AL106,0,IF(ISERROR(OFFSET($E$31,0,SMALL(IF($E106:$X106&gt;0,COLUMN($A:$T),""),AY$31)-1)),0,OFFSET($E$31,0,SMALL(IF($E106:$X106&gt;0,COLUMN($A:$T),""),AY$31)-1)))</f>
        <v>0</v>
      </c>
      <c r="AZ106" s="5">
        <f t="array" ref="AZ106">IF(AY$31&gt;$AL106,0,IF(ISERROR(INDEX($E106:$X106,,SMALL(IF($E106:$X106&gt;0,COLUMN($A:$T),""),AZ$31))),0,INDEX($E106:$X106,,SMALL(IF($E106:$X106&gt;0,COLUMN($A:$T),""),AZ$31))))</f>
        <v>0</v>
      </c>
      <c r="BA106" s="5">
        <f t="array" aca="1" ref="BA106" ca="1">IF(BA$31&gt;$AL106,0,IF(ISERROR(OFFSET($E$31,0,SMALL(IF($E106:$X106&gt;0,COLUMN($A:$T),""),BA$31)-1)),0,OFFSET($E$31,0,SMALL(IF($E106:$X106&gt;0,COLUMN($A:$T),""),BA$31)-1)))</f>
        <v>0</v>
      </c>
      <c r="BB106" s="5">
        <f t="array" ref="BB106">IF(BA$31&gt;$AL106,0,IF(ISERROR(INDEX($E106:$X106,,SMALL(IF($E106:$X106&gt;0,COLUMN($A:$T),""),BB$31))),0,INDEX($E106:$X106,,SMALL(IF($E106:$X106&gt;0,COLUMN($A:$T),""),BB$31))))</f>
        <v>0</v>
      </c>
      <c r="BC106" s="5">
        <f t="array" aca="1" ref="BC106" ca="1">IF(BC$31&gt;$AL106,0,IF(ISERROR(OFFSET($E$31,0,SMALL(IF($E106:$X106&gt;0,COLUMN($A:$T),""),BC$31)-1)),0,OFFSET($E$31,0,SMALL(IF($E106:$X106&gt;0,COLUMN($A:$T),""),BC$31)-1)))</f>
        <v>0</v>
      </c>
      <c r="BD106" s="5">
        <f t="array" ref="BD106">IF(BC$31&gt;$AL106,0,IF(ISERROR(INDEX($E106:$X106,,SMALL(IF($E106:$X106&gt;0,COLUMN($A:$T),""),BD$31))),0,INDEX($E106:$X106,,SMALL(IF($E106:$X106&gt;0,COLUMN($A:$T),""),BD$31))))</f>
        <v>0</v>
      </c>
      <c r="BE106" s="5">
        <f t="array" aca="1" ref="BE106" ca="1">IF(BE$31&gt;$AL106,0,IF(ISERROR(OFFSET($E$31,0,SMALL(IF($E106:$X106&gt;0,COLUMN($A:$T),""),BE$31)-1)),0,OFFSET($E$31,0,SMALL(IF($E106:$X106&gt;0,COLUMN($A:$T),""),BE$31)-1)))</f>
        <v>0</v>
      </c>
      <c r="BF106" s="5">
        <f t="array" ref="BF106">IF(BE$31&gt;$AL106,0,IF(ISERROR(INDEX($E106:$X106,,SMALL(IF($E106:$X106&gt;0,COLUMN($A:$T),""),BF$31))),0,INDEX($E106:$X106,,SMALL(IF($E106:$X106&gt;0,COLUMN($A:$T),""),BF$31))))</f>
        <v>0</v>
      </c>
      <c r="BH106">
        <f ca="1">SUMPRODUCT(E106:N106,定义数据!$G$14:$P$14)</f>
        <v>94.514899201232424</v>
      </c>
      <c r="BI106">
        <f ca="1">SUMPRODUCT(O106:X106,定义数据!$G$14:$P$14)</f>
        <v>38.523202118520295</v>
      </c>
      <c r="BJ106" s="5">
        <f t="shared" ca="1" si="100"/>
        <v>133.03810131975271</v>
      </c>
      <c r="BK106" s="5" t="str">
        <f>D106&amp;B106&amp;VLOOKUP(C106,定义数据!$E$1:$F$7,2,FALSE)</f>
        <v>4532</v>
      </c>
    </row>
    <row r="107" spans="1:63" x14ac:dyDescent="0.15">
      <c r="A107" s="17" t="str">
        <f>D107&amp;B107&amp;VLOOKUP(C107,定义数据!$E$1:$F$7,2,FALSE)</f>
        <v>4535</v>
      </c>
      <c r="B107" s="18">
        <v>3</v>
      </c>
      <c r="C107" s="18" t="s">
        <v>138</v>
      </c>
      <c r="D107" s="24">
        <v>45</v>
      </c>
      <c r="E107" s="56">
        <f t="shared" ca="1" si="35"/>
        <v>1421.5865961328843</v>
      </c>
      <c r="F107" s="56">
        <f t="shared" ca="1" si="36"/>
        <v>0</v>
      </c>
      <c r="G107" s="56">
        <f t="shared" ca="1" si="37"/>
        <v>0</v>
      </c>
      <c r="H107" s="56">
        <f t="shared" ca="1" si="38"/>
        <v>188.88888888888891</v>
      </c>
      <c r="I107" s="56">
        <f t="shared" ca="1" si="39"/>
        <v>0</v>
      </c>
      <c r="J107" s="56">
        <f t="shared" ca="1" si="40"/>
        <v>0</v>
      </c>
      <c r="K107" s="56">
        <f t="shared" ca="1" si="41"/>
        <v>0</v>
      </c>
      <c r="L107" s="56">
        <f t="shared" ca="1" si="42"/>
        <v>0</v>
      </c>
      <c r="M107" s="56">
        <f t="shared" ca="1" si="43"/>
        <v>0</v>
      </c>
      <c r="N107" s="56">
        <f t="shared" ca="1" si="44"/>
        <v>0</v>
      </c>
      <c r="O107" s="65">
        <f t="shared" ca="1" si="101"/>
        <v>444.24581129152637</v>
      </c>
      <c r="P107" s="65">
        <f t="shared" ca="1" si="102"/>
        <v>0</v>
      </c>
      <c r="Q107" s="65">
        <f t="shared" ca="1" si="103"/>
        <v>0</v>
      </c>
      <c r="R107" s="65">
        <f t="shared" ca="1" si="104"/>
        <v>42.500000000000014</v>
      </c>
      <c r="S107" s="65">
        <f t="shared" ca="1" si="105"/>
        <v>35.416666666666671</v>
      </c>
      <c r="T107" s="65">
        <f t="shared" ca="1" si="106"/>
        <v>12.592592592592595</v>
      </c>
      <c r="U107" s="65">
        <f t="shared" ca="1" si="107"/>
        <v>0</v>
      </c>
      <c r="V107" s="65">
        <f t="shared" ca="1" si="108"/>
        <v>0</v>
      </c>
      <c r="W107" s="65">
        <f t="shared" ca="1" si="109"/>
        <v>0</v>
      </c>
      <c r="X107" s="65">
        <f t="shared" ca="1" si="110"/>
        <v>0</v>
      </c>
      <c r="Y107" s="21"/>
      <c r="Z107" s="15">
        <f>VLOOKUP($D107&amp;$B107,[3]!装备基础属性表,P$30,FALSE)</f>
        <v>8884.9162258305259</v>
      </c>
      <c r="AA107" s="15">
        <f>VLOOKUP($D107&amp;$B107,[3]!装备基础属性表,Q$30,FALSE)</f>
        <v>451.29076363636381</v>
      </c>
      <c r="AB107" s="15">
        <f>VLOOKUP($D107&amp;$B107,[3]!装备基础属性表,R$30,FALSE)</f>
        <v>195.01183778162911</v>
      </c>
      <c r="AC107" s="15">
        <f>VLOOKUP($D107&amp;$B107,[3]!装备基础属性表,S$30,FALSE)</f>
        <v>354.16666666666669</v>
      </c>
      <c r="AD107" s="15">
        <f>VLOOKUP($D107&amp;$B107,[3]!装备基础属性表,T$30,FALSE)</f>
        <v>354.16666666666669</v>
      </c>
      <c r="AE107" s="15">
        <f>VLOOKUP($D107&amp;$B107,[3]!装备基础属性表,U$30,FALSE)</f>
        <v>209.87654320987653</v>
      </c>
      <c r="AF107" s="15">
        <f>VLOOKUP($D107&amp;$B107,[3]!装备基础属性表,V$30,FALSE)</f>
        <v>0</v>
      </c>
      <c r="AG107" s="15">
        <f>VLOOKUP($D107&amp;$B107,[3]!装备基础属性表,W$30,FALSE)</f>
        <v>209.87654320987653</v>
      </c>
      <c r="AH107" s="15">
        <f>VLOOKUP($D107&amp;$B107,[3]!装备基础属性表,X$30,FALSE)</f>
        <v>0</v>
      </c>
      <c r="AI107" s="15">
        <f>VLOOKUP($D107&amp;$B107,[3]!装备基础属性表,Y$30,FALSE)</f>
        <v>0</v>
      </c>
      <c r="AJ107" s="16" t="str">
        <f>B107&amp;VLOOKUP(C107,定义数据!$E$1:$F$7,2,FALSE)&amp;D107</f>
        <v>3545</v>
      </c>
      <c r="AK107" s="14">
        <f t="shared" si="29"/>
        <v>14</v>
      </c>
      <c r="AL107" s="5">
        <f t="shared" si="99"/>
        <v>5</v>
      </c>
      <c r="AM107" s="5" t="str">
        <f t="array" aca="1" ref="AM107" ca="1">IF(AM$31&gt;$AL107,0,IF(ISERROR(OFFSET($E$31,0,SMALL(IF($E107:$X107&gt;0,COLUMN($A:$T),""),AM$31)-1)),0,OFFSET($E$31,0,SMALL(IF($E107:$X107&gt;0,COLUMN($A:$T),""),AM$31)-1)))</f>
        <v>生命</v>
      </c>
      <c r="AN107" s="5">
        <f t="array" aca="1" ref="AN107" ca="1">IF(AM$31&gt;$AL107,0,IF(ISERROR(INDEX($E107:$X107,,SMALL(IF($E107:$X107&gt;0,COLUMN($A:$T),""),AN$31))),0,INDEX($E107:$X107,,SMALL(IF($E107:$X107&gt;0,COLUMN($A:$T),""),AN$31))))</f>
        <v>1421.5865961328843</v>
      </c>
      <c r="AO107" s="5" t="str">
        <f t="array" aca="1" ref="AO107" ca="1">IF(AO$31&gt;$AL107,0,IF(ISERROR(OFFSET($E$31,0,SMALL(IF($E107:$X107&gt;0,COLUMN($A:$T),""),AO$31)-1)),0,OFFSET($E$31,0,SMALL(IF($E107:$X107&gt;0,COLUMN($A:$T),""),AO$31)-1)))</f>
        <v>闪避值</v>
      </c>
      <c r="AP107" s="5">
        <f t="array" aca="1" ref="AP107" ca="1">IF(AO$31&gt;$AL107,0,IF(ISERROR(INDEX($E107:$X107,,SMALL(IF($E107:$X107&gt;0,COLUMN($A:$T),""),AP$31))),0,INDEX($E107:$X107,,SMALL(IF($E107:$X107&gt;0,COLUMN($A:$T),""),AP$31))))</f>
        <v>188.88888888888891</v>
      </c>
      <c r="AQ107" s="5" t="str">
        <f t="array" aca="1" ref="AQ107" ca="1">IF(AQ$31&gt;$AL107,0,IF(ISERROR(OFFSET($E$31,0,SMALL(IF($E107:$X107&gt;0,COLUMN($A:$T),""),AQ$31)-1)),0,OFFSET($E$31,0,SMALL(IF($E107:$X107&gt;0,COLUMN($A:$T),""),AQ$31)-1)))</f>
        <v>生命</v>
      </c>
      <c r="AR107" s="5">
        <f t="array" aca="1" ref="AR107" ca="1">IF(AQ$31&gt;$AL107,0,IF(ISERROR(INDEX($E107:$X107,,SMALL(IF($E107:$X107&gt;0,COLUMN($A:$T),""),AR$31))),0,INDEX($E107:$X107,,SMALL(IF($E107:$X107&gt;0,COLUMN($A:$T),""),AR$31))))</f>
        <v>444.24581129152637</v>
      </c>
      <c r="AS107" s="5" t="str">
        <f t="array" aca="1" ref="AS107" ca="1">IF(AS$31&gt;$AL107,0,IF(ISERROR(OFFSET($E$31,0,SMALL(IF($E107:$X107&gt;0,COLUMN($A:$T),""),AS$31)-1)),0,OFFSET($E$31,0,SMALL(IF($E107:$X107&gt;0,COLUMN($A:$T),""),AS$31)-1)))</f>
        <v>闪避值</v>
      </c>
      <c r="AT107" s="5">
        <f t="array" aca="1" ref="AT107" ca="1">IF(AS$31&gt;$AL107,0,IF(ISERROR(INDEX($E107:$X107,,SMALL(IF($E107:$X107&gt;0,COLUMN($A:$T),""),AT$31))),0,INDEX($E107:$X107,,SMALL(IF($E107:$X107&gt;0,COLUMN($A:$T),""),AT$31))))</f>
        <v>42.500000000000014</v>
      </c>
      <c r="AU107" s="5" t="str">
        <f t="array" aca="1" ref="AU107" ca="1">IF(AU$31&gt;$AL107,0,IF(ISERROR(OFFSET($E$31,0,SMALL(IF($E107:$X107&gt;0,COLUMN($A:$T),""),AU$31)-1)),0,OFFSET($E$31,0,SMALL(IF($E107:$X107&gt;0,COLUMN($A:$T),""),AU$31)-1)))</f>
        <v>命中值</v>
      </c>
      <c r="AV107" s="5">
        <f t="array" aca="1" ref="AV107" ca="1">IF(AU$31&gt;$AL107,0,IF(ISERROR(INDEX($E107:$X107,,SMALL(IF($E107:$X107&gt;0,COLUMN($A:$T),""),AV$31))),0,INDEX($E107:$X107,,SMALL(IF($E107:$X107&gt;0,COLUMN($A:$T),""),AV$31))))</f>
        <v>35.416666666666671</v>
      </c>
      <c r="AW107" s="5">
        <f t="array" aca="1" ref="AW107" ca="1">IF(AW$31&gt;$AL107,0,IF(ISERROR(OFFSET($E$31,0,SMALL(IF($E107:$X107&gt;0,COLUMN($A:$T),""),AW$31)-1)),0,OFFSET($E$31,0,SMALL(IF($E107:$X107&gt;0,COLUMN($A:$T),""),AW$31)-1)))</f>
        <v>0</v>
      </c>
      <c r="AX107" s="5">
        <f t="array" ref="AX107">IF(AW$31&gt;$AL107,0,IF(ISERROR(INDEX($E107:$X107,,SMALL(IF($E107:$X107&gt;0,COLUMN($A:$T),""),AX$31))),0,INDEX($E107:$X107,,SMALL(IF($E107:$X107&gt;0,COLUMN($A:$T),""),AX$31))))</f>
        <v>0</v>
      </c>
      <c r="AY107" s="5">
        <f t="array" aca="1" ref="AY107" ca="1">IF(AY$31&gt;$AL107,0,IF(ISERROR(OFFSET($E$31,0,SMALL(IF($E107:$X107&gt;0,COLUMN($A:$T),""),AY$31)-1)),0,OFFSET($E$31,0,SMALL(IF($E107:$X107&gt;0,COLUMN($A:$T),""),AY$31)-1)))</f>
        <v>0</v>
      </c>
      <c r="AZ107" s="5">
        <f t="array" ref="AZ107">IF(AY$31&gt;$AL107,0,IF(ISERROR(INDEX($E107:$X107,,SMALL(IF($E107:$X107&gt;0,COLUMN($A:$T),""),AZ$31))),0,INDEX($E107:$X107,,SMALL(IF($E107:$X107&gt;0,COLUMN($A:$T),""),AZ$31))))</f>
        <v>0</v>
      </c>
      <c r="BA107" s="5">
        <f t="array" aca="1" ref="BA107" ca="1">IF(BA$31&gt;$AL107,0,IF(ISERROR(OFFSET($E$31,0,SMALL(IF($E107:$X107&gt;0,COLUMN($A:$T),""),BA$31)-1)),0,OFFSET($E$31,0,SMALL(IF($E107:$X107&gt;0,COLUMN($A:$T),""),BA$31)-1)))</f>
        <v>0</v>
      </c>
      <c r="BB107" s="5">
        <f t="array" ref="BB107">IF(BA$31&gt;$AL107,0,IF(ISERROR(INDEX($E107:$X107,,SMALL(IF($E107:$X107&gt;0,COLUMN($A:$T),""),BB$31))),0,INDEX($E107:$X107,,SMALL(IF($E107:$X107&gt;0,COLUMN($A:$T),""),BB$31))))</f>
        <v>0</v>
      </c>
      <c r="BC107" s="5">
        <f t="array" aca="1" ref="BC107" ca="1">IF(BC$31&gt;$AL107,0,IF(ISERROR(OFFSET($E$31,0,SMALL(IF($E107:$X107&gt;0,COLUMN($A:$T),""),BC$31)-1)),0,OFFSET($E$31,0,SMALL(IF($E107:$X107&gt;0,COLUMN($A:$T),""),BC$31)-1)))</f>
        <v>0</v>
      </c>
      <c r="BD107" s="5">
        <f t="array" ref="BD107">IF(BC$31&gt;$AL107,0,IF(ISERROR(INDEX($E107:$X107,,SMALL(IF($E107:$X107&gt;0,COLUMN($A:$T),""),BD$31))),0,INDEX($E107:$X107,,SMALL(IF($E107:$X107&gt;0,COLUMN($A:$T),""),BD$31))))</f>
        <v>0</v>
      </c>
      <c r="BE107" s="5">
        <f t="array" aca="1" ref="BE107" ca="1">IF(BE$31&gt;$AL107,0,IF(ISERROR(OFFSET($E$31,0,SMALL(IF($E107:$X107&gt;0,COLUMN($A:$T),""),BE$31)-1)),0,OFFSET($E$31,0,SMALL(IF($E107:$X107&gt;0,COLUMN($A:$T),""),BE$31)-1)))</f>
        <v>0</v>
      </c>
      <c r="BF107" s="5">
        <f t="array" ref="BF107">IF(BE$31&gt;$AL107,0,IF(ISERROR(INDEX($E107:$X107,,SMALL(IF($E107:$X107&gt;0,COLUMN($A:$T),""),BF$31))),0,INDEX($E107:$X107,,SMALL(IF($E107:$X107&gt;0,COLUMN($A:$T),""),BF$31))))</f>
        <v>0</v>
      </c>
      <c r="BH107">
        <f ca="1">SUMPRODUCT(E107:N107,定义数据!$G$14:$P$14)</f>
        <v>121.08568606753761</v>
      </c>
      <c r="BI107">
        <f ca="1">SUMPRODUCT(O107:X107,定义数据!$G$14:$P$14)</f>
        <v>46.5281657849944</v>
      </c>
      <c r="BJ107" s="5">
        <f t="shared" ca="1" si="100"/>
        <v>167.61385185253201</v>
      </c>
      <c r="BK107" s="5" t="str">
        <f>D107&amp;B107&amp;VLOOKUP(C107,定义数据!$E$1:$F$7,2,FALSE)</f>
        <v>4535</v>
      </c>
    </row>
    <row r="108" spans="1:63" x14ac:dyDescent="0.15">
      <c r="A108" s="17" t="str">
        <f>D108&amp;B108&amp;VLOOKUP(C108,定义数据!$E$1:$F$7,2,FALSE)</f>
        <v>4534</v>
      </c>
      <c r="B108" s="18">
        <v>3</v>
      </c>
      <c r="C108" s="18" t="s">
        <v>139</v>
      </c>
      <c r="D108" s="24">
        <v>45</v>
      </c>
      <c r="E108" s="56">
        <f t="shared" ca="1" si="35"/>
        <v>1421.5865961328843</v>
      </c>
      <c r="F108" s="56">
        <f t="shared" ca="1" si="36"/>
        <v>0</v>
      </c>
      <c r="G108" s="56">
        <f t="shared" ca="1" si="37"/>
        <v>0</v>
      </c>
      <c r="H108" s="56">
        <f t="shared" ca="1" si="38"/>
        <v>0</v>
      </c>
      <c r="I108" s="56">
        <f t="shared" ca="1" si="39"/>
        <v>0</v>
      </c>
      <c r="J108" s="56">
        <f t="shared" ca="1" si="40"/>
        <v>0</v>
      </c>
      <c r="K108" s="56">
        <f t="shared" ca="1" si="41"/>
        <v>0</v>
      </c>
      <c r="L108" s="56">
        <f t="shared" ca="1" si="42"/>
        <v>167.90123456790124</v>
      </c>
      <c r="M108" s="56">
        <f t="shared" ca="1" si="43"/>
        <v>0</v>
      </c>
      <c r="N108" s="56">
        <f t="shared" ca="1" si="44"/>
        <v>0</v>
      </c>
      <c r="O108" s="65">
        <f t="shared" ca="1" si="101"/>
        <v>888.49162258305273</v>
      </c>
      <c r="P108" s="65">
        <f t="shared" ca="1" si="102"/>
        <v>27.077445818181836</v>
      </c>
      <c r="Q108" s="65">
        <f t="shared" ca="1" si="103"/>
        <v>9.7505918890814556</v>
      </c>
      <c r="R108" s="65">
        <f t="shared" ca="1" si="104"/>
        <v>0</v>
      </c>
      <c r="S108" s="65">
        <f t="shared" ca="1" si="105"/>
        <v>0</v>
      </c>
      <c r="T108" s="65">
        <f t="shared" ca="1" si="106"/>
        <v>0</v>
      </c>
      <c r="U108" s="65">
        <f t="shared" ca="1" si="107"/>
        <v>0</v>
      </c>
      <c r="V108" s="65">
        <f t="shared" ca="1" si="108"/>
        <v>20.987654320987652</v>
      </c>
      <c r="W108" s="65">
        <f t="shared" ca="1" si="109"/>
        <v>0</v>
      </c>
      <c r="X108" s="65">
        <f t="shared" ca="1" si="110"/>
        <v>0</v>
      </c>
      <c r="Y108" s="21"/>
      <c r="Z108" s="15">
        <f>VLOOKUP($D108&amp;$B108,[3]!装备基础属性表,P$30,FALSE)</f>
        <v>8884.9162258305259</v>
      </c>
      <c r="AA108" s="15">
        <f>VLOOKUP($D108&amp;$B108,[3]!装备基础属性表,Q$30,FALSE)</f>
        <v>451.29076363636381</v>
      </c>
      <c r="AB108" s="15">
        <f>VLOOKUP($D108&amp;$B108,[3]!装备基础属性表,R$30,FALSE)</f>
        <v>195.01183778162911</v>
      </c>
      <c r="AC108" s="15">
        <f>VLOOKUP($D108&amp;$B108,[3]!装备基础属性表,S$30,FALSE)</f>
        <v>354.16666666666669</v>
      </c>
      <c r="AD108" s="15">
        <f>VLOOKUP($D108&amp;$B108,[3]!装备基础属性表,T$30,FALSE)</f>
        <v>354.16666666666669</v>
      </c>
      <c r="AE108" s="15">
        <f>VLOOKUP($D108&amp;$B108,[3]!装备基础属性表,U$30,FALSE)</f>
        <v>209.87654320987653</v>
      </c>
      <c r="AF108" s="15">
        <f>VLOOKUP($D108&amp;$B108,[3]!装备基础属性表,V$30,FALSE)</f>
        <v>0</v>
      </c>
      <c r="AG108" s="15">
        <f>VLOOKUP($D108&amp;$B108,[3]!装备基础属性表,W$30,FALSE)</f>
        <v>209.87654320987653</v>
      </c>
      <c r="AH108" s="15">
        <f>VLOOKUP($D108&amp;$B108,[3]!装备基础属性表,X$30,FALSE)</f>
        <v>0</v>
      </c>
      <c r="AI108" s="15">
        <f>VLOOKUP($D108&amp;$B108,[3]!装备基础属性表,Y$30,FALSE)</f>
        <v>0</v>
      </c>
      <c r="AJ108" s="16" t="str">
        <f>B108&amp;VLOOKUP(C108,定义数据!$E$1:$F$7,2,FALSE)&amp;D108</f>
        <v>3445</v>
      </c>
      <c r="AK108" s="14">
        <f t="shared" si="29"/>
        <v>14</v>
      </c>
      <c r="AL108" s="5">
        <f t="shared" si="99"/>
        <v>5</v>
      </c>
      <c r="AM108" s="5" t="str">
        <f t="array" aca="1" ref="AM108" ca="1">IF(AM$31&gt;$AL108,0,IF(ISERROR(OFFSET($E$31,0,SMALL(IF($E108:$X108&gt;0,COLUMN($A:$T),""),AM$31)-1)),0,OFFSET($E$31,0,SMALL(IF($E108:$X108&gt;0,COLUMN($A:$T),""),AM$31)-1)))</f>
        <v>生命</v>
      </c>
      <c r="AN108" s="5">
        <f t="array" aca="1" ref="AN108" ca="1">IF(AM$31&gt;$AL108,0,IF(ISERROR(INDEX($E108:$X108,,SMALL(IF($E108:$X108&gt;0,COLUMN($A:$T),""),AN$31))),0,INDEX($E108:$X108,,SMALL(IF($E108:$X108&gt;0,COLUMN($A:$T),""),AN$31))))</f>
        <v>1421.5865961328843</v>
      </c>
      <c r="AO108" s="5" t="str">
        <f t="array" aca="1" ref="AO108" ca="1">IF(AO$31&gt;$AL108,0,IF(ISERROR(OFFSET($E$31,0,SMALL(IF($E108:$X108&gt;0,COLUMN($A:$T),""),AO$31)-1)),0,OFFSET($E$31,0,SMALL(IF($E108:$X108&gt;0,COLUMN($A:$T),""),AO$31)-1)))</f>
        <v>韧性值</v>
      </c>
      <c r="AP108" s="5">
        <f t="array" aca="1" ref="AP108" ca="1">IF(AO$31&gt;$AL108,0,IF(ISERROR(INDEX($E108:$X108,,SMALL(IF($E108:$X108&gt;0,COLUMN($A:$T),""),AP$31))),0,INDEX($E108:$X108,,SMALL(IF($E108:$X108&gt;0,COLUMN($A:$T),""),AP$31))))</f>
        <v>167.90123456790124</v>
      </c>
      <c r="AQ108" s="5" t="str">
        <f t="array" aca="1" ref="AQ108" ca="1">IF(AQ$31&gt;$AL108,0,IF(ISERROR(OFFSET($E$31,0,SMALL(IF($E108:$X108&gt;0,COLUMN($A:$T),""),AQ$31)-1)),0,OFFSET($E$31,0,SMALL(IF($E108:$X108&gt;0,COLUMN($A:$T),""),AQ$31)-1)))</f>
        <v>生命</v>
      </c>
      <c r="AR108" s="5">
        <f t="array" aca="1" ref="AR108" ca="1">IF(AQ$31&gt;$AL108,0,IF(ISERROR(INDEX($E108:$X108,,SMALL(IF($E108:$X108&gt;0,COLUMN($A:$T),""),AR$31))),0,INDEX($E108:$X108,,SMALL(IF($E108:$X108&gt;0,COLUMN($A:$T),""),AR$31))))</f>
        <v>888.49162258305273</v>
      </c>
      <c r="AS108" s="5" t="str">
        <f t="array" aca="1" ref="AS108" ca="1">IF(AS$31&gt;$AL108,0,IF(ISERROR(OFFSET($E$31,0,SMALL(IF($E108:$X108&gt;0,COLUMN($A:$T),""),AS$31)-1)),0,OFFSET($E$31,0,SMALL(IF($E108:$X108&gt;0,COLUMN($A:$T),""),AS$31)-1)))</f>
        <v>攻击</v>
      </c>
      <c r="AT108" s="5">
        <f t="array" aca="1" ref="AT108" ca="1">IF(AS$31&gt;$AL108,0,IF(ISERROR(INDEX($E108:$X108,,SMALL(IF($E108:$X108&gt;0,COLUMN($A:$T),""),AT$31))),0,INDEX($E108:$X108,,SMALL(IF($E108:$X108&gt;0,COLUMN($A:$T),""),AT$31))))</f>
        <v>27.077445818181836</v>
      </c>
      <c r="AU108" s="5" t="str">
        <f t="array" aca="1" ref="AU108" ca="1">IF(AU$31&gt;$AL108,0,IF(ISERROR(OFFSET($E$31,0,SMALL(IF($E108:$X108&gt;0,COLUMN($A:$T),""),AU$31)-1)),0,OFFSET($E$31,0,SMALL(IF($E108:$X108&gt;0,COLUMN($A:$T),""),AU$31)-1)))</f>
        <v>防御</v>
      </c>
      <c r="AV108" s="5">
        <f t="array" aca="1" ref="AV108" ca="1">IF(AU$31&gt;$AL108,0,IF(ISERROR(INDEX($E108:$X108,,SMALL(IF($E108:$X108&gt;0,COLUMN($A:$T),""),AV$31))),0,INDEX($E108:$X108,,SMALL(IF($E108:$X108&gt;0,COLUMN($A:$T),""),AV$31))))</f>
        <v>9.7505918890814556</v>
      </c>
      <c r="AW108" s="5">
        <f t="array" aca="1" ref="AW108" ca="1">IF(AW$31&gt;$AL108,0,IF(ISERROR(OFFSET($E$31,0,SMALL(IF($E108:$X108&gt;0,COLUMN($A:$T),""),AW$31)-1)),0,OFFSET($E$31,0,SMALL(IF($E108:$X108&gt;0,COLUMN($A:$T),""),AW$31)-1)))</f>
        <v>0</v>
      </c>
      <c r="AX108" s="5">
        <f t="array" ref="AX108">IF(AW$31&gt;$AL108,0,IF(ISERROR(INDEX($E108:$X108,,SMALL(IF($E108:$X108&gt;0,COLUMN($A:$T),""),AX$31))),0,INDEX($E108:$X108,,SMALL(IF($E108:$X108&gt;0,COLUMN($A:$T),""),AX$31))))</f>
        <v>0</v>
      </c>
      <c r="AY108" s="5">
        <f t="array" aca="1" ref="AY108" ca="1">IF(AY$31&gt;$AL108,0,IF(ISERROR(OFFSET($E$31,0,SMALL(IF($E108:$X108&gt;0,COLUMN($A:$T),""),AY$31)-1)),0,OFFSET($E$31,0,SMALL(IF($E108:$X108&gt;0,COLUMN($A:$T),""),AY$31)-1)))</f>
        <v>0</v>
      </c>
      <c r="AZ108" s="5">
        <f t="array" ref="AZ108">IF(AY$31&gt;$AL108,0,IF(ISERROR(INDEX($E108:$X108,,SMALL(IF($E108:$X108&gt;0,COLUMN($A:$T),""),AZ$31))),0,INDEX($E108:$X108,,SMALL(IF($E108:$X108&gt;0,COLUMN($A:$T),""),AZ$31))))</f>
        <v>0</v>
      </c>
      <c r="BA108" s="5">
        <f t="array" aca="1" ref="BA108" ca="1">IF(BA$31&gt;$AL108,0,IF(ISERROR(OFFSET($E$31,0,SMALL(IF($E108:$X108&gt;0,COLUMN($A:$T),""),BA$31)-1)),0,OFFSET($E$31,0,SMALL(IF($E108:$X108&gt;0,COLUMN($A:$T),""),BA$31)-1)))</f>
        <v>0</v>
      </c>
      <c r="BB108" s="5">
        <f t="array" ref="BB108">IF(BA$31&gt;$AL108,0,IF(ISERROR(INDEX($E108:$X108,,SMALL(IF($E108:$X108&gt;0,COLUMN($A:$T),""),BB$31))),0,INDEX($E108:$X108,,SMALL(IF($E108:$X108&gt;0,COLUMN($A:$T),""),BB$31))))</f>
        <v>0</v>
      </c>
      <c r="BC108" s="5">
        <f t="array" aca="1" ref="BC108" ca="1">IF(BC$31&gt;$AL108,0,IF(ISERROR(OFFSET($E$31,0,SMALL(IF($E108:$X108&gt;0,COLUMN($A:$T),""),BC$31)-1)),0,OFFSET($E$31,0,SMALL(IF($E108:$X108&gt;0,COLUMN($A:$T),""),BC$31)-1)))</f>
        <v>0</v>
      </c>
      <c r="BD108" s="5">
        <f t="array" ref="BD108">IF(BC$31&gt;$AL108,0,IF(ISERROR(INDEX($E108:$X108,,SMALL(IF($E108:$X108&gt;0,COLUMN($A:$T),""),BD$31))),0,INDEX($E108:$X108,,SMALL(IF($E108:$X108&gt;0,COLUMN($A:$T),""),BD$31))))</f>
        <v>0</v>
      </c>
      <c r="BE108" s="5">
        <f t="array" aca="1" ref="BE108" ca="1">IF(BE$31&gt;$AL108,0,IF(ISERROR(OFFSET($E$31,0,SMALL(IF($E108:$X108&gt;0,COLUMN($A:$T),""),BE$31)-1)),0,OFFSET($E$31,0,SMALL(IF($E108:$X108&gt;0,COLUMN($A:$T),""),BE$31)-1)))</f>
        <v>0</v>
      </c>
      <c r="BF108" s="5">
        <f t="array" ref="BF108">IF(BE$31&gt;$AL108,0,IF(ISERROR(INDEX($E108:$X108,,SMALL(IF($E108:$X108&gt;0,COLUMN($A:$T),""),BF$31))),0,INDEX($E108:$X108,,SMALL(IF($E108:$X108&gt;0,COLUMN($A:$T),""),BF$31))))</f>
        <v>0</v>
      </c>
      <c r="BH108">
        <f ca="1">SUMPRODUCT(E108:N108,定义数据!$G$14:$P$14)</f>
        <v>87.085686067537594</v>
      </c>
      <c r="BI108">
        <f ca="1">SUMPRODUCT(O108:X108,定义数据!$G$14:$P$14)</f>
        <v>76.145480388363183</v>
      </c>
      <c r="BJ108" s="5">
        <f t="shared" ca="1" si="100"/>
        <v>163.23116645590079</v>
      </c>
      <c r="BK108" s="5" t="str">
        <f>D108&amp;B108&amp;VLOOKUP(C108,定义数据!$E$1:$F$7,2,FALSE)</f>
        <v>4534</v>
      </c>
    </row>
    <row r="109" spans="1:63" x14ac:dyDescent="0.15">
      <c r="A109" s="17" t="str">
        <f>D109&amp;B109&amp;VLOOKUP(C109,定义数据!$E$1:$F$7,2,FALSE)</f>
        <v>4533</v>
      </c>
      <c r="B109" s="18">
        <v>3</v>
      </c>
      <c r="C109" s="18" t="s">
        <v>140</v>
      </c>
      <c r="D109" s="24">
        <v>45</v>
      </c>
      <c r="E109" s="56">
        <f t="shared" ca="1" si="35"/>
        <v>0</v>
      </c>
      <c r="F109" s="56">
        <f t="shared" ca="1" si="36"/>
        <v>90.258152727272773</v>
      </c>
      <c r="G109" s="56">
        <f t="shared" ca="1" si="37"/>
        <v>0</v>
      </c>
      <c r="H109" s="56">
        <f t="shared" ca="1" si="38"/>
        <v>0</v>
      </c>
      <c r="I109" s="56">
        <f t="shared" ca="1" si="39"/>
        <v>283.33333333333337</v>
      </c>
      <c r="J109" s="56">
        <f t="shared" ca="1" si="40"/>
        <v>0</v>
      </c>
      <c r="K109" s="56">
        <f t="shared" ca="1" si="41"/>
        <v>0</v>
      </c>
      <c r="L109" s="56">
        <f t="shared" ca="1" si="42"/>
        <v>0</v>
      </c>
      <c r="M109" s="56">
        <f t="shared" ca="1" si="43"/>
        <v>0</v>
      </c>
      <c r="N109" s="56">
        <f t="shared" ca="1" si="44"/>
        <v>0</v>
      </c>
      <c r="O109" s="65">
        <f t="shared" ca="1" si="101"/>
        <v>0</v>
      </c>
      <c r="P109" s="65">
        <f t="shared" ca="1" si="102"/>
        <v>27.077445818181836</v>
      </c>
      <c r="Q109" s="65">
        <f t="shared" ca="1" si="103"/>
        <v>0</v>
      </c>
      <c r="R109" s="65">
        <f t="shared" ca="1" si="104"/>
        <v>21.250000000000007</v>
      </c>
      <c r="S109" s="65">
        <f t="shared" ca="1" si="105"/>
        <v>35.416666666666671</v>
      </c>
      <c r="T109" s="65">
        <f t="shared" ca="1" si="106"/>
        <v>25.18518518518519</v>
      </c>
      <c r="U109" s="65">
        <f t="shared" ca="1" si="107"/>
        <v>0</v>
      </c>
      <c r="V109" s="65">
        <f t="shared" ca="1" si="108"/>
        <v>0</v>
      </c>
      <c r="W109" s="65">
        <f t="shared" ca="1" si="109"/>
        <v>0</v>
      </c>
      <c r="X109" s="65">
        <f t="shared" ca="1" si="110"/>
        <v>0</v>
      </c>
      <c r="Y109" s="21"/>
      <c r="Z109" s="15">
        <f>VLOOKUP($D109&amp;$B109,[3]!装备基础属性表,P$30,FALSE)</f>
        <v>8884.9162258305259</v>
      </c>
      <c r="AA109" s="15">
        <f>VLOOKUP($D109&amp;$B109,[3]!装备基础属性表,Q$30,FALSE)</f>
        <v>451.29076363636381</v>
      </c>
      <c r="AB109" s="15">
        <f>VLOOKUP($D109&amp;$B109,[3]!装备基础属性表,R$30,FALSE)</f>
        <v>195.01183778162911</v>
      </c>
      <c r="AC109" s="15">
        <f>VLOOKUP($D109&amp;$B109,[3]!装备基础属性表,S$30,FALSE)</f>
        <v>354.16666666666669</v>
      </c>
      <c r="AD109" s="15">
        <f>VLOOKUP($D109&amp;$B109,[3]!装备基础属性表,T$30,FALSE)</f>
        <v>354.16666666666669</v>
      </c>
      <c r="AE109" s="15">
        <f>VLOOKUP($D109&amp;$B109,[3]!装备基础属性表,U$30,FALSE)</f>
        <v>209.87654320987653</v>
      </c>
      <c r="AF109" s="15">
        <f>VLOOKUP($D109&amp;$B109,[3]!装备基础属性表,V$30,FALSE)</f>
        <v>0</v>
      </c>
      <c r="AG109" s="15">
        <f>VLOOKUP($D109&amp;$B109,[3]!装备基础属性表,W$30,FALSE)</f>
        <v>209.87654320987653</v>
      </c>
      <c r="AH109" s="15">
        <f>VLOOKUP($D109&amp;$B109,[3]!装备基础属性表,X$30,FALSE)</f>
        <v>0</v>
      </c>
      <c r="AI109" s="15">
        <f>VLOOKUP($D109&amp;$B109,[3]!装备基础属性表,Y$30,FALSE)</f>
        <v>0</v>
      </c>
      <c r="AJ109" s="16" t="str">
        <f>B109&amp;VLOOKUP(C109,定义数据!$E$1:$F$7,2,FALSE)&amp;D109</f>
        <v>3345</v>
      </c>
      <c r="AK109" s="14">
        <f t="shared" si="29"/>
        <v>14</v>
      </c>
      <c r="AL109" s="5">
        <f t="shared" si="99"/>
        <v>5</v>
      </c>
      <c r="AM109" s="5" t="str">
        <f t="array" aca="1" ref="AM109" ca="1">IF(AM$31&gt;$AL109,0,IF(ISERROR(OFFSET($E$31,0,SMALL(IF($E109:$X109&gt;0,COLUMN($A:$T),""),AM$31)-1)),0,OFFSET($E$31,0,SMALL(IF($E109:$X109&gt;0,COLUMN($A:$T),""),AM$31)-1)))</f>
        <v>攻击</v>
      </c>
      <c r="AN109" s="5">
        <f t="array" aca="1" ref="AN109" ca="1">IF(AM$31&gt;$AL109,0,IF(ISERROR(INDEX($E109:$X109,,SMALL(IF($E109:$X109&gt;0,COLUMN($A:$T),""),AN$31))),0,INDEX($E109:$X109,,SMALL(IF($E109:$X109&gt;0,COLUMN($A:$T),""),AN$31))))</f>
        <v>90.258152727272773</v>
      </c>
      <c r="AO109" s="5" t="str">
        <f t="array" aca="1" ref="AO109" ca="1">IF(AO$31&gt;$AL109,0,IF(ISERROR(OFFSET($E$31,0,SMALL(IF($E109:$X109&gt;0,COLUMN($A:$T),""),AO$31)-1)),0,OFFSET($E$31,0,SMALL(IF($E109:$X109&gt;0,COLUMN($A:$T),""),AO$31)-1)))</f>
        <v>命中值</v>
      </c>
      <c r="AP109" s="5">
        <f t="array" aca="1" ref="AP109" ca="1">IF(AO$31&gt;$AL109,0,IF(ISERROR(INDEX($E109:$X109,,SMALL(IF($E109:$X109&gt;0,COLUMN($A:$T),""),AP$31))),0,INDEX($E109:$X109,,SMALL(IF($E109:$X109&gt;0,COLUMN($A:$T),""),AP$31))))</f>
        <v>283.33333333333337</v>
      </c>
      <c r="AQ109" s="5" t="str">
        <f t="array" aca="1" ref="AQ109" ca="1">IF(AQ$31&gt;$AL109,0,IF(ISERROR(OFFSET($E$31,0,SMALL(IF($E109:$X109&gt;0,COLUMN($A:$T),""),AQ$31)-1)),0,OFFSET($E$31,0,SMALL(IF($E109:$X109&gt;0,COLUMN($A:$T),""),AQ$31)-1)))</f>
        <v>攻击</v>
      </c>
      <c r="AR109" s="5">
        <f t="array" aca="1" ref="AR109" ca="1">IF(AQ$31&gt;$AL109,0,IF(ISERROR(INDEX($E109:$X109,,SMALL(IF($E109:$X109&gt;0,COLUMN($A:$T),""),AR$31))),0,INDEX($E109:$X109,,SMALL(IF($E109:$X109&gt;0,COLUMN($A:$T),""),AR$31))))</f>
        <v>27.077445818181836</v>
      </c>
      <c r="AS109" s="5" t="str">
        <f t="array" aca="1" ref="AS109" ca="1">IF(AS$31&gt;$AL109,0,IF(ISERROR(OFFSET($E$31,0,SMALL(IF($E109:$X109&gt;0,COLUMN($A:$T),""),AS$31)-1)),0,OFFSET($E$31,0,SMALL(IF($E109:$X109&gt;0,COLUMN($A:$T),""),AS$31)-1)))</f>
        <v>闪避值</v>
      </c>
      <c r="AT109" s="5">
        <f t="array" aca="1" ref="AT109" ca="1">IF(AS$31&gt;$AL109,0,IF(ISERROR(INDEX($E109:$X109,,SMALL(IF($E109:$X109&gt;0,COLUMN($A:$T),""),AT$31))),0,INDEX($E109:$X109,,SMALL(IF($E109:$X109&gt;0,COLUMN($A:$T),""),AT$31))))</f>
        <v>21.250000000000007</v>
      </c>
      <c r="AU109" s="5" t="str">
        <f t="array" aca="1" ref="AU109" ca="1">IF(AU$31&gt;$AL109,0,IF(ISERROR(OFFSET($E$31,0,SMALL(IF($E109:$X109&gt;0,COLUMN($A:$T),""),AU$31)-1)),0,OFFSET($E$31,0,SMALL(IF($E109:$X109&gt;0,COLUMN($A:$T),""),AU$31)-1)))</f>
        <v>命中值</v>
      </c>
      <c r="AV109" s="5">
        <f t="array" aca="1" ref="AV109" ca="1">IF(AU$31&gt;$AL109,0,IF(ISERROR(INDEX($E109:$X109,,SMALL(IF($E109:$X109&gt;0,COLUMN($A:$T),""),AV$31))),0,INDEX($E109:$X109,,SMALL(IF($E109:$X109&gt;0,COLUMN($A:$T),""),AV$31))))</f>
        <v>35.416666666666671</v>
      </c>
      <c r="AW109" s="5">
        <f t="array" aca="1" ref="AW109" ca="1">IF(AW$31&gt;$AL109,0,IF(ISERROR(OFFSET($E$31,0,SMALL(IF($E109:$X109&gt;0,COLUMN($A:$T),""),AW$31)-1)),0,OFFSET($E$31,0,SMALL(IF($E109:$X109&gt;0,COLUMN($A:$T),""),AW$31)-1)))</f>
        <v>0</v>
      </c>
      <c r="AX109" s="5">
        <f t="array" ref="AX109">IF(AW$31&gt;$AL109,0,IF(ISERROR(INDEX($E109:$X109,,SMALL(IF($E109:$X109&gt;0,COLUMN($A:$T),""),AX$31))),0,INDEX($E109:$X109,,SMALL(IF($E109:$X109&gt;0,COLUMN($A:$T),""),AX$31))))</f>
        <v>0</v>
      </c>
      <c r="AY109" s="5">
        <f t="array" aca="1" ref="AY109" ca="1">IF(AY$31&gt;$AL109,0,IF(ISERROR(OFFSET($E$31,0,SMALL(IF($E109:$X109&gt;0,COLUMN($A:$T),""),AY$31)-1)),0,OFFSET($E$31,0,SMALL(IF($E109:$X109&gt;0,COLUMN($A:$T),""),AY$31)-1)))</f>
        <v>0</v>
      </c>
      <c r="AZ109" s="5">
        <f t="array" ref="AZ109">IF(AY$31&gt;$AL109,0,IF(ISERROR(INDEX($E109:$X109,,SMALL(IF($E109:$X109&gt;0,COLUMN($A:$T),""),AZ$31))),0,INDEX($E109:$X109,,SMALL(IF($E109:$X109&gt;0,COLUMN($A:$T),""),AZ$31))))</f>
        <v>0</v>
      </c>
      <c r="BA109" s="5">
        <f t="array" aca="1" ref="BA109" ca="1">IF(BA$31&gt;$AL109,0,IF(ISERROR(OFFSET($E$31,0,SMALL(IF($E109:$X109&gt;0,COLUMN($A:$T),""),BA$31)-1)),0,OFFSET($E$31,0,SMALL(IF($E109:$X109&gt;0,COLUMN($A:$T),""),BA$31)-1)))</f>
        <v>0</v>
      </c>
      <c r="BB109" s="5">
        <f t="array" ref="BB109">IF(BA$31&gt;$AL109,0,IF(ISERROR(INDEX($E109:$X109,,SMALL(IF($E109:$X109&gt;0,COLUMN($A:$T),""),BB$31))),0,INDEX($E109:$X109,,SMALL(IF($E109:$X109&gt;0,COLUMN($A:$T),""),BB$31))))</f>
        <v>0</v>
      </c>
      <c r="BC109" s="5">
        <f t="array" aca="1" ref="BC109" ca="1">IF(BC$31&gt;$AL109,0,IF(ISERROR(OFFSET($E$31,0,SMALL(IF($E109:$X109&gt;0,COLUMN($A:$T),""),BC$31)-1)),0,OFFSET($E$31,0,SMALL(IF($E109:$X109&gt;0,COLUMN($A:$T),""),BC$31)-1)))</f>
        <v>0</v>
      </c>
      <c r="BD109" s="5">
        <f t="array" ref="BD109">IF(BC$31&gt;$AL109,0,IF(ISERROR(INDEX($E109:$X109,,SMALL(IF($E109:$X109&gt;0,COLUMN($A:$T),""),BD$31))),0,INDEX($E109:$X109,,SMALL(IF($E109:$X109&gt;0,COLUMN($A:$T),""),BD$31))))</f>
        <v>0</v>
      </c>
      <c r="BE109" s="5">
        <f t="array" aca="1" ref="BE109" ca="1">IF(BE$31&gt;$AL109,0,IF(ISERROR(OFFSET($E$31,0,SMALL(IF($E109:$X109&gt;0,COLUMN($A:$T),""),BE$31)-1)),0,OFFSET($E$31,0,SMALL(IF($E109:$X109&gt;0,COLUMN($A:$T),""),BE$31)-1)))</f>
        <v>0</v>
      </c>
      <c r="BF109" s="5">
        <f t="array" ref="BF109">IF(BE$31&gt;$AL109,0,IF(ISERROR(INDEX($E109:$X109,,SMALL(IF($E109:$X109&gt;0,COLUMN($A:$T),""),BF$31))),0,INDEX($E109:$X109,,SMALL(IF($E109:$X109&gt;0,COLUMN($A:$T),""),BF$31))))</f>
        <v>0</v>
      </c>
      <c r="BH109">
        <f ca="1">SUMPRODUCT(E109:N109,定义数据!$G$14:$P$14)</f>
        <v>186.59148606060614</v>
      </c>
      <c r="BI109">
        <f ca="1">SUMPRODUCT(O109:X109,定义数据!$G$14:$P$14)</f>
        <v>50.87744581818184</v>
      </c>
      <c r="BJ109" s="5">
        <f t="shared" ca="1" si="100"/>
        <v>237.468931878788</v>
      </c>
      <c r="BK109" s="5" t="str">
        <f>D109&amp;B109&amp;VLOOKUP(C109,定义数据!$E$1:$F$7,2,FALSE)</f>
        <v>4533</v>
      </c>
    </row>
    <row r="110" spans="1:63" x14ac:dyDescent="0.15">
      <c r="A110" s="17" t="str">
        <f>D110&amp;B110&amp;VLOOKUP(C110,定义数据!$E$1:$F$7,2,FALSE)</f>
        <v>4540</v>
      </c>
      <c r="B110" s="18">
        <v>4</v>
      </c>
      <c r="C110" s="18" t="s">
        <v>141</v>
      </c>
      <c r="D110" s="24">
        <v>45</v>
      </c>
      <c r="E110" s="56">
        <f t="shared" ca="1" si="35"/>
        <v>0</v>
      </c>
      <c r="F110" s="56">
        <f t="shared" ca="1" si="36"/>
        <v>278.73841283422462</v>
      </c>
      <c r="G110" s="56">
        <f t="shared" ca="1" si="37"/>
        <v>0</v>
      </c>
      <c r="H110" s="56">
        <f t="shared" ca="1" si="38"/>
        <v>0</v>
      </c>
      <c r="I110" s="56">
        <f t="shared" ca="1" si="39"/>
        <v>0</v>
      </c>
      <c r="J110" s="56">
        <f t="shared" ca="1" si="40"/>
        <v>172.83950617283952</v>
      </c>
      <c r="K110" s="56">
        <f t="shared" ca="1" si="41"/>
        <v>0</v>
      </c>
      <c r="L110" s="56">
        <f t="shared" ca="1" si="42"/>
        <v>0</v>
      </c>
      <c r="M110" s="56">
        <f t="shared" ca="1" si="43"/>
        <v>0</v>
      </c>
      <c r="N110" s="56">
        <f t="shared" ca="1" si="44"/>
        <v>0</v>
      </c>
      <c r="O110" s="65">
        <f t="shared" ca="1" si="101"/>
        <v>0</v>
      </c>
      <c r="P110" s="65">
        <f t="shared" ca="1" si="102"/>
        <v>127.4232744385027</v>
      </c>
      <c r="Q110" s="65">
        <f t="shared" ca="1" si="103"/>
        <v>15.295046100519933</v>
      </c>
      <c r="R110" s="65">
        <f t="shared" ca="1" si="104"/>
        <v>0</v>
      </c>
      <c r="S110" s="65">
        <f t="shared" ca="1" si="105"/>
        <v>55.555555555555557</v>
      </c>
      <c r="T110" s="65">
        <f t="shared" ca="1" si="106"/>
        <v>39.506172839506178</v>
      </c>
      <c r="U110" s="65">
        <f t="shared" ca="1" si="107"/>
        <v>0</v>
      </c>
      <c r="V110" s="65">
        <f t="shared" ca="1" si="108"/>
        <v>0</v>
      </c>
      <c r="W110" s="65">
        <f t="shared" ca="1" si="109"/>
        <v>0</v>
      </c>
      <c r="X110" s="65">
        <f t="shared" ca="1" si="110"/>
        <v>0</v>
      </c>
      <c r="Y110" s="21" t="s">
        <v>94</v>
      </c>
      <c r="Z110" s="15">
        <f>VLOOKUP($D110&amp;$B110,[3]!装备基础属性表,P$30,FALSE)</f>
        <v>10452.842618624147</v>
      </c>
      <c r="AA110" s="15">
        <f>VLOOKUP($D110&amp;$B110,[3]!装备基础属性表,Q$30,FALSE)</f>
        <v>530.93031016042789</v>
      </c>
      <c r="AB110" s="15">
        <f>VLOOKUP($D110&amp;$B110,[3]!装备基础属性表,R$30,FALSE)</f>
        <v>229.425691507799</v>
      </c>
      <c r="AC110" s="15">
        <f>VLOOKUP($D110&amp;$B110,[3]!装备基础属性表,S$30,FALSE)</f>
        <v>416.66666666666669</v>
      </c>
      <c r="AD110" s="15">
        <f>VLOOKUP($D110&amp;$B110,[3]!装备基础属性表,T$30,FALSE)</f>
        <v>416.66666666666669</v>
      </c>
      <c r="AE110" s="15">
        <f>VLOOKUP($D110&amp;$B110,[3]!装备基础属性表,U$30,FALSE)</f>
        <v>246.9135802469136</v>
      </c>
      <c r="AF110" s="15">
        <f>VLOOKUP($D110&amp;$B110,[3]!装备基础属性表,V$30,FALSE)</f>
        <v>0</v>
      </c>
      <c r="AG110" s="15">
        <f>VLOOKUP($D110&amp;$B110,[3]!装备基础属性表,W$30,FALSE)</f>
        <v>246.9135802469136</v>
      </c>
      <c r="AH110" s="15">
        <f>VLOOKUP($D110&amp;$B110,[3]!装备基础属性表,X$30,FALSE)</f>
        <v>0</v>
      </c>
      <c r="AI110" s="15">
        <f>VLOOKUP($D110&amp;$B110,[3]!装备基础属性表,Y$30,FALSE)</f>
        <v>0</v>
      </c>
      <c r="AJ110" s="16" t="str">
        <f>B110&amp;VLOOKUP(C110,定义数据!$E$1:$F$7,2,FALSE)&amp;D110</f>
        <v>4045</v>
      </c>
      <c r="AK110" s="14">
        <f t="shared" si="29"/>
        <v>15</v>
      </c>
      <c r="AL110" s="5">
        <f t="shared" si="99"/>
        <v>6</v>
      </c>
      <c r="AM110" s="5" t="str">
        <f t="array" aca="1" ref="AM110" ca="1">IF(AM$31&gt;$AL110,0,IF(ISERROR(OFFSET($E$31,0,SMALL(IF($E110:$X110&gt;0,COLUMN($A:$T),""),AM$31)-1)),0,OFFSET($E$31,0,SMALL(IF($E110:$X110&gt;0,COLUMN($A:$T),""),AM$31)-1)))</f>
        <v>攻击</v>
      </c>
      <c r="AN110" s="5">
        <f t="array" aca="1" ref="AN110" ca="1">IF(AM$31&gt;$AL110,0,IF(ISERROR(INDEX($E110:$X110,,SMALL(IF($E110:$X110&gt;0,COLUMN($A:$T),""),AN$31))),0,INDEX($E110:$X110,,SMALL(IF($E110:$X110&gt;0,COLUMN($A:$T),""),AN$31))))</f>
        <v>278.73841283422462</v>
      </c>
      <c r="AO110" s="5" t="str">
        <f t="array" aca="1" ref="AO110" ca="1">IF(AO$31&gt;$AL110,0,IF(ISERROR(OFFSET($E$31,0,SMALL(IF($E110:$X110&gt;0,COLUMN($A:$T),""),AO$31)-1)),0,OFFSET($E$31,0,SMALL(IF($E110:$X110&gt;0,COLUMN($A:$T),""),AO$31)-1)))</f>
        <v>暴击值</v>
      </c>
      <c r="AP110" s="5">
        <f t="array" aca="1" ref="AP110" ca="1">IF(AO$31&gt;$AL110,0,IF(ISERROR(INDEX($E110:$X110,,SMALL(IF($E110:$X110&gt;0,COLUMN($A:$T),""),AP$31))),0,INDEX($E110:$X110,,SMALL(IF($E110:$X110&gt;0,COLUMN($A:$T),""),AP$31))))</f>
        <v>172.83950617283952</v>
      </c>
      <c r="AQ110" s="5" t="str">
        <f t="array" aca="1" ref="AQ110" ca="1">IF(AQ$31&gt;$AL110,0,IF(ISERROR(OFFSET($E$31,0,SMALL(IF($E110:$X110&gt;0,COLUMN($A:$T),""),AQ$31)-1)),0,OFFSET($E$31,0,SMALL(IF($E110:$X110&gt;0,COLUMN($A:$T),""),AQ$31)-1)))</f>
        <v>攻击</v>
      </c>
      <c r="AR110" s="5">
        <f t="array" aca="1" ref="AR110" ca="1">IF(AQ$31&gt;$AL110,0,IF(ISERROR(INDEX($E110:$X110,,SMALL(IF($E110:$X110&gt;0,COLUMN($A:$T),""),AR$31))),0,INDEX($E110:$X110,,SMALL(IF($E110:$X110&gt;0,COLUMN($A:$T),""),AR$31))))</f>
        <v>127.4232744385027</v>
      </c>
      <c r="AS110" s="5" t="str">
        <f t="array" aca="1" ref="AS110" ca="1">IF(AS$31&gt;$AL110,0,IF(ISERROR(OFFSET($E$31,0,SMALL(IF($E110:$X110&gt;0,COLUMN($A:$T),""),AS$31)-1)),0,OFFSET($E$31,0,SMALL(IF($E110:$X110&gt;0,COLUMN($A:$T),""),AS$31)-1)))</f>
        <v>防御</v>
      </c>
      <c r="AT110" s="5">
        <f t="array" aca="1" ref="AT110" ca="1">IF(AS$31&gt;$AL110,0,IF(ISERROR(INDEX($E110:$X110,,SMALL(IF($E110:$X110&gt;0,COLUMN($A:$T),""),AT$31))),0,INDEX($E110:$X110,,SMALL(IF($E110:$X110&gt;0,COLUMN($A:$T),""),AT$31))))</f>
        <v>15.295046100519933</v>
      </c>
      <c r="AU110" s="5" t="str">
        <f t="array" aca="1" ref="AU110" ca="1">IF(AU$31&gt;$AL110,0,IF(ISERROR(OFFSET($E$31,0,SMALL(IF($E110:$X110&gt;0,COLUMN($A:$T),""),AU$31)-1)),0,OFFSET($E$31,0,SMALL(IF($E110:$X110&gt;0,COLUMN($A:$T),""),AU$31)-1)))</f>
        <v>命中值</v>
      </c>
      <c r="AV110" s="5">
        <f t="array" aca="1" ref="AV110" ca="1">IF(AU$31&gt;$AL110,0,IF(ISERROR(INDEX($E110:$X110,,SMALL(IF($E110:$X110&gt;0,COLUMN($A:$T),""),AV$31))),0,INDEX($E110:$X110,,SMALL(IF($E110:$X110&gt;0,COLUMN($A:$T),""),AV$31))))</f>
        <v>55.555555555555557</v>
      </c>
      <c r="AW110" s="5" t="str">
        <f t="array" aca="1" ref="AW110" ca="1">IF(AW$31&gt;$AL110,0,IF(ISERROR(OFFSET($E$31,0,SMALL(IF($E110:$X110&gt;0,COLUMN($A:$T),""),AW$31)-1)),0,OFFSET($E$31,0,SMALL(IF($E110:$X110&gt;0,COLUMN($A:$T),""),AW$31)-1)))</f>
        <v>暴击值</v>
      </c>
      <c r="AX110" s="5">
        <f t="array" aca="1" ref="AX110" ca="1">IF(AW$31&gt;$AL110,0,IF(ISERROR(INDEX($E110:$X110,,SMALL(IF($E110:$X110&gt;0,COLUMN($A:$T),""),AX$31))),0,INDEX($E110:$X110,,SMALL(IF($E110:$X110&gt;0,COLUMN($A:$T),""),AX$31))))</f>
        <v>39.506172839506178</v>
      </c>
      <c r="AY110" s="5">
        <f t="array" aca="1" ref="AY110" ca="1">IF(AY$31&gt;$AL110,0,IF(ISERROR(OFFSET($E$31,0,SMALL(IF($E110:$X110&gt;0,COLUMN($A:$T),""),AY$31)-1)),0,OFFSET($E$31,0,SMALL(IF($E110:$X110&gt;0,COLUMN($A:$T),""),AY$31)-1)))</f>
        <v>0</v>
      </c>
      <c r="AZ110" s="5">
        <f t="array" ref="AZ110">IF(AY$31&gt;$AL110,0,IF(ISERROR(INDEX($E110:$X110,,SMALL(IF($E110:$X110&gt;0,COLUMN($A:$T),""),AZ$31))),0,INDEX($E110:$X110,,SMALL(IF($E110:$X110&gt;0,COLUMN($A:$T),""),AZ$31))))</f>
        <v>0</v>
      </c>
      <c r="BA110" s="5">
        <f t="array" aca="1" ref="BA110" ca="1">IF(BA$31&gt;$AL110,0,IF(ISERROR(OFFSET($E$31,0,SMALL(IF($E110:$X110&gt;0,COLUMN($A:$T),""),BA$31)-1)),0,OFFSET($E$31,0,SMALL(IF($E110:$X110&gt;0,COLUMN($A:$T),""),BA$31)-1)))</f>
        <v>0</v>
      </c>
      <c r="BB110" s="5">
        <f t="array" ref="BB110">IF(BA$31&gt;$AL110,0,IF(ISERROR(INDEX($E110:$X110,,SMALL(IF($E110:$X110&gt;0,COLUMN($A:$T),""),BB$31))),0,INDEX($E110:$X110,,SMALL(IF($E110:$X110&gt;0,COLUMN($A:$T),""),BB$31))))</f>
        <v>0</v>
      </c>
      <c r="BC110" s="5">
        <f t="array" aca="1" ref="BC110" ca="1">IF(BC$31&gt;$AL110,0,IF(ISERROR(OFFSET($E$31,0,SMALL(IF($E110:$X110&gt;0,COLUMN($A:$T),""),BC$31)-1)),0,OFFSET($E$31,0,SMALL(IF($E110:$X110&gt;0,COLUMN($A:$T),""),BC$31)-1)))</f>
        <v>0</v>
      </c>
      <c r="BD110" s="5">
        <f t="array" ref="BD110">IF(BC$31&gt;$AL110,0,IF(ISERROR(INDEX($E110:$X110,,SMALL(IF($E110:$X110&gt;0,COLUMN($A:$T),""),BD$31))),0,INDEX($E110:$X110,,SMALL(IF($E110:$X110&gt;0,COLUMN($A:$T),""),BD$31))))</f>
        <v>0</v>
      </c>
      <c r="BE110" s="5">
        <f t="array" aca="1" ref="BE110" ca="1">IF(BE$31&gt;$AL110,0,IF(ISERROR(OFFSET($E$31,0,SMALL(IF($E110:$X110&gt;0,COLUMN($A:$T),""),BE$31)-1)),0,OFFSET($E$31,0,SMALL(IF($E110:$X110&gt;0,COLUMN($A:$T),""),BE$31)-1)))</f>
        <v>0</v>
      </c>
      <c r="BF110" s="5">
        <f t="array" ref="BF110">IF(BE$31&gt;$AL110,0,IF(ISERROR(INDEX($E110:$X110,,SMALL(IF($E110:$X110&gt;0,COLUMN($A:$T),""),BF$31))),0,INDEX($E110:$X110,,SMALL(IF($E110:$X110&gt;0,COLUMN($A:$T),""),BF$31))))</f>
        <v>0</v>
      </c>
      <c r="BH110">
        <f ca="1">SUMPRODUCT(E110:N110,定义数据!$G$14:$P$14)</f>
        <v>309.8495239453357</v>
      </c>
      <c r="BI110">
        <f ca="1">SUMPRODUCT(O110:X110,定义数据!$G$14:$P$14)</f>
        <v>168.71832053902264</v>
      </c>
      <c r="BJ110" s="5">
        <f t="shared" ca="1" si="100"/>
        <v>478.56784448435837</v>
      </c>
      <c r="BK110" s="5" t="str">
        <f>D110&amp;B110&amp;VLOOKUP(C110,定义数据!$E$1:$F$7,2,FALSE)</f>
        <v>4540</v>
      </c>
    </row>
    <row r="111" spans="1:63" x14ac:dyDescent="0.15">
      <c r="A111" s="17" t="str">
        <f>D111&amp;B111&amp;VLOOKUP(C111,定义数据!$E$1:$F$7,2,FALSE)</f>
        <v>4541</v>
      </c>
      <c r="B111" s="18">
        <v>4</v>
      </c>
      <c r="C111" s="18" t="s">
        <v>136</v>
      </c>
      <c r="D111" s="24">
        <v>45</v>
      </c>
      <c r="E111" s="56">
        <f t="shared" ca="1" si="35"/>
        <v>4390.1938998221412</v>
      </c>
      <c r="F111" s="56">
        <f t="shared" ca="1" si="36"/>
        <v>0</v>
      </c>
      <c r="G111" s="56">
        <f t="shared" ca="1" si="37"/>
        <v>96.358790433275573</v>
      </c>
      <c r="H111" s="56">
        <f t="shared" ca="1" si="38"/>
        <v>0</v>
      </c>
      <c r="I111" s="56">
        <f t="shared" ca="1" si="39"/>
        <v>0</v>
      </c>
      <c r="J111" s="56">
        <f t="shared" ca="1" si="40"/>
        <v>0</v>
      </c>
      <c r="K111" s="56">
        <f t="shared" ca="1" si="41"/>
        <v>0</v>
      </c>
      <c r="L111" s="56">
        <f t="shared" ca="1" si="42"/>
        <v>0</v>
      </c>
      <c r="M111" s="56">
        <f t="shared" ca="1" si="43"/>
        <v>0</v>
      </c>
      <c r="N111" s="56">
        <f t="shared" ca="1" si="44"/>
        <v>0</v>
      </c>
      <c r="O111" s="65">
        <f t="shared" ca="1" si="101"/>
        <v>1393.7123491498862</v>
      </c>
      <c r="P111" s="65">
        <f t="shared" ca="1" si="102"/>
        <v>0</v>
      </c>
      <c r="Q111" s="65">
        <f t="shared" ca="1" si="103"/>
        <v>45.885138301559806</v>
      </c>
      <c r="R111" s="65">
        <f t="shared" ca="1" si="104"/>
        <v>33.333333333333336</v>
      </c>
      <c r="S111" s="65">
        <f t="shared" ca="1" si="105"/>
        <v>0</v>
      </c>
      <c r="T111" s="65">
        <f t="shared" ca="1" si="106"/>
        <v>0</v>
      </c>
      <c r="U111" s="65">
        <f t="shared" ca="1" si="107"/>
        <v>0</v>
      </c>
      <c r="V111" s="65">
        <f t="shared" ca="1" si="108"/>
        <v>32.921810699588484</v>
      </c>
      <c r="W111" s="65">
        <f t="shared" ca="1" si="109"/>
        <v>0</v>
      </c>
      <c r="X111" s="65">
        <f t="shared" ca="1" si="110"/>
        <v>0</v>
      </c>
      <c r="Y111" s="21" t="s">
        <v>95</v>
      </c>
      <c r="Z111" s="15">
        <f>VLOOKUP($D111&amp;$B111,[3]!装备基础属性表,P$30,FALSE)</f>
        <v>10452.842618624147</v>
      </c>
      <c r="AA111" s="15">
        <f>VLOOKUP($D111&amp;$B111,[3]!装备基础属性表,Q$30,FALSE)</f>
        <v>530.93031016042789</v>
      </c>
      <c r="AB111" s="15">
        <f>VLOOKUP($D111&amp;$B111,[3]!装备基础属性表,R$30,FALSE)</f>
        <v>229.425691507799</v>
      </c>
      <c r="AC111" s="15">
        <f>VLOOKUP($D111&amp;$B111,[3]!装备基础属性表,S$30,FALSE)</f>
        <v>416.66666666666669</v>
      </c>
      <c r="AD111" s="15">
        <f>VLOOKUP($D111&amp;$B111,[3]!装备基础属性表,T$30,FALSE)</f>
        <v>416.66666666666669</v>
      </c>
      <c r="AE111" s="15">
        <f>VLOOKUP($D111&amp;$B111,[3]!装备基础属性表,U$30,FALSE)</f>
        <v>246.9135802469136</v>
      </c>
      <c r="AF111" s="15">
        <f>VLOOKUP($D111&amp;$B111,[3]!装备基础属性表,V$30,FALSE)</f>
        <v>0</v>
      </c>
      <c r="AG111" s="15">
        <f>VLOOKUP($D111&amp;$B111,[3]!装备基础属性表,W$30,FALSE)</f>
        <v>246.9135802469136</v>
      </c>
      <c r="AH111" s="15">
        <f>VLOOKUP($D111&amp;$B111,[3]!装备基础属性表,X$30,FALSE)</f>
        <v>0</v>
      </c>
      <c r="AI111" s="15">
        <f>VLOOKUP($D111&amp;$B111,[3]!装备基础属性表,Y$30,FALSE)</f>
        <v>0</v>
      </c>
      <c r="AJ111" s="16" t="str">
        <f>B111&amp;VLOOKUP(C111,定义数据!$E$1:$F$7,2,FALSE)&amp;D111</f>
        <v>4145</v>
      </c>
      <c r="AK111" s="14">
        <f t="shared" si="29"/>
        <v>15</v>
      </c>
      <c r="AL111" s="5">
        <f t="shared" si="99"/>
        <v>6</v>
      </c>
      <c r="AM111" s="5" t="str">
        <f t="array" aca="1" ref="AM111" ca="1">IF(AM$31&gt;$AL111,0,IF(ISERROR(OFFSET($E$31,0,SMALL(IF($E111:$X111&gt;0,COLUMN($A:$T),""),AM$31)-1)),0,OFFSET($E$31,0,SMALL(IF($E111:$X111&gt;0,COLUMN($A:$T),""),AM$31)-1)))</f>
        <v>生命</v>
      </c>
      <c r="AN111" s="5">
        <f t="array" aca="1" ref="AN111" ca="1">IF(AM$31&gt;$AL111,0,IF(ISERROR(INDEX($E111:$X111,,SMALL(IF($E111:$X111&gt;0,COLUMN($A:$T),""),AN$31))),0,INDEX($E111:$X111,,SMALL(IF($E111:$X111&gt;0,COLUMN($A:$T),""),AN$31))))</f>
        <v>4390.1938998221412</v>
      </c>
      <c r="AO111" s="5" t="str">
        <f t="array" aca="1" ref="AO111" ca="1">IF(AO$31&gt;$AL111,0,IF(ISERROR(OFFSET($E$31,0,SMALL(IF($E111:$X111&gt;0,COLUMN($A:$T),""),AO$31)-1)),0,OFFSET($E$31,0,SMALL(IF($E111:$X111&gt;0,COLUMN($A:$T),""),AO$31)-1)))</f>
        <v>防御</v>
      </c>
      <c r="AP111" s="5">
        <f t="array" aca="1" ref="AP111" ca="1">IF(AO$31&gt;$AL111,0,IF(ISERROR(INDEX($E111:$X111,,SMALL(IF($E111:$X111&gt;0,COLUMN($A:$T),""),AP$31))),0,INDEX($E111:$X111,,SMALL(IF($E111:$X111&gt;0,COLUMN($A:$T),""),AP$31))))</f>
        <v>96.358790433275573</v>
      </c>
      <c r="AQ111" s="5" t="str">
        <f t="array" aca="1" ref="AQ111" ca="1">IF(AQ$31&gt;$AL111,0,IF(ISERROR(OFFSET($E$31,0,SMALL(IF($E111:$X111&gt;0,COLUMN($A:$T),""),AQ$31)-1)),0,OFFSET($E$31,0,SMALL(IF($E111:$X111&gt;0,COLUMN($A:$T),""),AQ$31)-1)))</f>
        <v>生命</v>
      </c>
      <c r="AR111" s="5">
        <f t="array" aca="1" ref="AR111" ca="1">IF(AQ$31&gt;$AL111,0,IF(ISERROR(INDEX($E111:$X111,,SMALL(IF($E111:$X111&gt;0,COLUMN($A:$T),""),AR$31))),0,INDEX($E111:$X111,,SMALL(IF($E111:$X111&gt;0,COLUMN($A:$T),""),AR$31))))</f>
        <v>1393.7123491498862</v>
      </c>
      <c r="AS111" s="5" t="str">
        <f t="array" aca="1" ref="AS111" ca="1">IF(AS$31&gt;$AL111,0,IF(ISERROR(OFFSET($E$31,0,SMALL(IF($E111:$X111&gt;0,COLUMN($A:$T),""),AS$31)-1)),0,OFFSET($E$31,0,SMALL(IF($E111:$X111&gt;0,COLUMN($A:$T),""),AS$31)-1)))</f>
        <v>防御</v>
      </c>
      <c r="AT111" s="5">
        <f t="array" aca="1" ref="AT111" ca="1">IF(AS$31&gt;$AL111,0,IF(ISERROR(INDEX($E111:$X111,,SMALL(IF($E111:$X111&gt;0,COLUMN($A:$T),""),AT$31))),0,INDEX($E111:$X111,,SMALL(IF($E111:$X111&gt;0,COLUMN($A:$T),""),AT$31))))</f>
        <v>45.885138301559806</v>
      </c>
      <c r="AU111" s="5" t="str">
        <f t="array" aca="1" ref="AU111" ca="1">IF(AU$31&gt;$AL111,0,IF(ISERROR(OFFSET($E$31,0,SMALL(IF($E111:$X111&gt;0,COLUMN($A:$T),""),AU$31)-1)),0,OFFSET($E$31,0,SMALL(IF($E111:$X111&gt;0,COLUMN($A:$T),""),AU$31)-1)))</f>
        <v>闪避值</v>
      </c>
      <c r="AV111" s="5">
        <f t="array" aca="1" ref="AV111" ca="1">IF(AU$31&gt;$AL111,0,IF(ISERROR(INDEX($E111:$X111,,SMALL(IF($E111:$X111&gt;0,COLUMN($A:$T),""),AV$31))),0,INDEX($E111:$X111,,SMALL(IF($E111:$X111&gt;0,COLUMN($A:$T),""),AV$31))))</f>
        <v>33.333333333333336</v>
      </c>
      <c r="AW111" s="5" t="str">
        <f t="array" aca="1" ref="AW111" ca="1">IF(AW$31&gt;$AL111,0,IF(ISERROR(OFFSET($E$31,0,SMALL(IF($E111:$X111&gt;0,COLUMN($A:$T),""),AW$31)-1)),0,OFFSET($E$31,0,SMALL(IF($E111:$X111&gt;0,COLUMN($A:$T),""),AW$31)-1)))</f>
        <v>韧性值</v>
      </c>
      <c r="AX111" s="5">
        <f t="array" aca="1" ref="AX111" ca="1">IF(AW$31&gt;$AL111,0,IF(ISERROR(INDEX($E111:$X111,,SMALL(IF($E111:$X111&gt;0,COLUMN($A:$T),""),AX$31))),0,INDEX($E111:$X111,,SMALL(IF($E111:$X111&gt;0,COLUMN($A:$T),""),AX$31))))</f>
        <v>32.921810699588484</v>
      </c>
      <c r="AY111" s="5">
        <f t="array" aca="1" ref="AY111" ca="1">IF(AY$31&gt;$AL111,0,IF(ISERROR(OFFSET($E$31,0,SMALL(IF($E111:$X111&gt;0,COLUMN($A:$T),""),AY$31)-1)),0,OFFSET($E$31,0,SMALL(IF($E111:$X111&gt;0,COLUMN($A:$T),""),AY$31)-1)))</f>
        <v>0</v>
      </c>
      <c r="AZ111" s="5">
        <f t="array" ref="AZ111">IF(AY$31&gt;$AL111,0,IF(ISERROR(INDEX($E111:$X111,,SMALL(IF($E111:$X111&gt;0,COLUMN($A:$T),""),AZ$31))),0,INDEX($E111:$X111,,SMALL(IF($E111:$X111&gt;0,COLUMN($A:$T),""),AZ$31))))</f>
        <v>0</v>
      </c>
      <c r="BA111" s="5">
        <f t="array" aca="1" ref="BA111" ca="1">IF(BA$31&gt;$AL111,0,IF(ISERROR(OFFSET($E$31,0,SMALL(IF($E111:$X111&gt;0,COLUMN($A:$T),""),BA$31)-1)),0,OFFSET($E$31,0,SMALL(IF($E111:$X111&gt;0,COLUMN($A:$T),""),BA$31)-1)))</f>
        <v>0</v>
      </c>
      <c r="BB111" s="5">
        <f t="array" ref="BB111">IF(BA$31&gt;$AL111,0,IF(ISERROR(INDEX($E111:$X111,,SMALL(IF($E111:$X111&gt;0,COLUMN($A:$T),""),BB$31))),0,INDEX($E111:$X111,,SMALL(IF($E111:$X111&gt;0,COLUMN($A:$T),""),BB$31))))</f>
        <v>0</v>
      </c>
      <c r="BC111" s="5">
        <f t="array" aca="1" ref="BC111" ca="1">IF(BC$31&gt;$AL111,0,IF(ISERROR(OFFSET($E$31,0,SMALL(IF($E111:$X111&gt;0,COLUMN($A:$T),""),BC$31)-1)),0,OFFSET($E$31,0,SMALL(IF($E111:$X111&gt;0,COLUMN($A:$T),""),BC$31)-1)))</f>
        <v>0</v>
      </c>
      <c r="BD111" s="5">
        <f t="array" ref="BD111">IF(BC$31&gt;$AL111,0,IF(ISERROR(INDEX($E111:$X111,,SMALL(IF($E111:$X111&gt;0,COLUMN($A:$T),""),BD$31))),0,INDEX($E111:$X111,,SMALL(IF($E111:$X111&gt;0,COLUMN($A:$T),""),BD$31))))</f>
        <v>0</v>
      </c>
      <c r="BE111" s="5">
        <f t="array" aca="1" ref="BE111" ca="1">IF(BE$31&gt;$AL111,0,IF(ISERROR(OFFSET($E$31,0,SMALL(IF($E111:$X111&gt;0,COLUMN($A:$T),""),BE$31)-1)),0,OFFSET($E$31,0,SMALL(IF($E111:$X111&gt;0,COLUMN($A:$T),""),BE$31)-1)))</f>
        <v>0</v>
      </c>
      <c r="BF111" s="5">
        <f t="array" ref="BF111">IF(BE$31&gt;$AL111,0,IF(ISERROR(INDEX($E111:$X111,,SMALL(IF($E111:$X111&gt;0,COLUMN($A:$T),""),BF$31))),0,INDEX($E111:$X111,,SMALL(IF($E111:$X111&gt;0,COLUMN($A:$T),""),BF$31))))</f>
        <v>0</v>
      </c>
      <c r="BH111">
        <f ca="1">SUMPRODUCT(E111:N111,定义数据!$G$14:$P$14)</f>
        <v>271.96654642616124</v>
      </c>
      <c r="BI111">
        <f ca="1">SUMPRODUCT(O111:X111,定义数据!$G$14:$P$14)</f>
        <v>118.89289152681451</v>
      </c>
      <c r="BJ111" s="5">
        <f t="shared" ca="1" si="100"/>
        <v>390.85943795297578</v>
      </c>
      <c r="BK111" s="5" t="str">
        <f>D111&amp;B111&amp;VLOOKUP(C111,定义数据!$E$1:$F$7,2,FALSE)</f>
        <v>4541</v>
      </c>
    </row>
    <row r="112" spans="1:63" x14ac:dyDescent="0.15">
      <c r="A112" s="17" t="str">
        <f>D112&amp;B112&amp;VLOOKUP(C112,定义数据!$E$1:$F$7,2,FALSE)</f>
        <v>4542</v>
      </c>
      <c r="B112" s="18">
        <v>4</v>
      </c>
      <c r="C112" s="18" t="s">
        <v>137</v>
      </c>
      <c r="D112" s="24">
        <v>45</v>
      </c>
      <c r="E112" s="56">
        <f t="shared" ca="1" si="35"/>
        <v>0</v>
      </c>
      <c r="F112" s="56">
        <f t="shared" ca="1" si="36"/>
        <v>0</v>
      </c>
      <c r="G112" s="56">
        <f t="shared" ca="1" si="37"/>
        <v>64.23919362218372</v>
      </c>
      <c r="H112" s="56">
        <f t="shared" ca="1" si="38"/>
        <v>97.222222222222214</v>
      </c>
      <c r="I112" s="56">
        <f t="shared" ca="1" si="39"/>
        <v>0</v>
      </c>
      <c r="J112" s="56">
        <f t="shared" ca="1" si="40"/>
        <v>0</v>
      </c>
      <c r="K112" s="56">
        <f t="shared" ca="1" si="41"/>
        <v>0</v>
      </c>
      <c r="L112" s="56">
        <f t="shared" ca="1" si="42"/>
        <v>0</v>
      </c>
      <c r="M112" s="56">
        <f t="shared" ca="1" si="43"/>
        <v>0</v>
      </c>
      <c r="N112" s="56">
        <f t="shared" ca="1" si="44"/>
        <v>0</v>
      </c>
      <c r="O112" s="65">
        <f t="shared" ca="1" si="101"/>
        <v>696.85617457494311</v>
      </c>
      <c r="P112" s="65">
        <f t="shared" ca="1" si="102"/>
        <v>0</v>
      </c>
      <c r="Q112" s="65">
        <f t="shared" ca="1" si="103"/>
        <v>15.295046100519933</v>
      </c>
      <c r="R112" s="65">
        <f t="shared" ca="1" si="104"/>
        <v>33.333333333333336</v>
      </c>
      <c r="S112" s="65">
        <f t="shared" ca="1" si="105"/>
        <v>0</v>
      </c>
      <c r="T112" s="65">
        <f t="shared" ca="1" si="106"/>
        <v>0</v>
      </c>
      <c r="U112" s="65">
        <f t="shared" ca="1" si="107"/>
        <v>0</v>
      </c>
      <c r="V112" s="65">
        <f t="shared" ca="1" si="108"/>
        <v>32.921810699588484</v>
      </c>
      <c r="W112" s="65">
        <f t="shared" ca="1" si="109"/>
        <v>0</v>
      </c>
      <c r="X112" s="65">
        <f t="shared" ca="1" si="110"/>
        <v>0</v>
      </c>
      <c r="Y112" s="21" t="s">
        <v>96</v>
      </c>
      <c r="Z112" s="15">
        <f>VLOOKUP($D112&amp;$B112,[3]!装备基础属性表,P$30,FALSE)</f>
        <v>10452.842618624147</v>
      </c>
      <c r="AA112" s="15">
        <f>VLOOKUP($D112&amp;$B112,[3]!装备基础属性表,Q$30,FALSE)</f>
        <v>530.93031016042789</v>
      </c>
      <c r="AB112" s="15">
        <f>VLOOKUP($D112&amp;$B112,[3]!装备基础属性表,R$30,FALSE)</f>
        <v>229.425691507799</v>
      </c>
      <c r="AC112" s="15">
        <f>VLOOKUP($D112&amp;$B112,[3]!装备基础属性表,S$30,FALSE)</f>
        <v>416.66666666666669</v>
      </c>
      <c r="AD112" s="15">
        <f>VLOOKUP($D112&amp;$B112,[3]!装备基础属性表,T$30,FALSE)</f>
        <v>416.66666666666669</v>
      </c>
      <c r="AE112" s="15">
        <f>VLOOKUP($D112&amp;$B112,[3]!装备基础属性表,U$30,FALSE)</f>
        <v>246.9135802469136</v>
      </c>
      <c r="AF112" s="15">
        <f>VLOOKUP($D112&amp;$B112,[3]!装备基础属性表,V$30,FALSE)</f>
        <v>0</v>
      </c>
      <c r="AG112" s="15">
        <f>VLOOKUP($D112&amp;$B112,[3]!装备基础属性表,W$30,FALSE)</f>
        <v>246.9135802469136</v>
      </c>
      <c r="AH112" s="15">
        <f>VLOOKUP($D112&amp;$B112,[3]!装备基础属性表,X$30,FALSE)</f>
        <v>0</v>
      </c>
      <c r="AI112" s="15">
        <f>VLOOKUP($D112&amp;$B112,[3]!装备基础属性表,Y$30,FALSE)</f>
        <v>0</v>
      </c>
      <c r="AJ112" s="16" t="str">
        <f>B112&amp;VLOOKUP(C112,定义数据!$E$1:$F$7,2,FALSE)&amp;D112</f>
        <v>4245</v>
      </c>
      <c r="AK112" s="14">
        <f t="shared" si="29"/>
        <v>15</v>
      </c>
      <c r="AL112" s="5">
        <f t="shared" si="99"/>
        <v>6</v>
      </c>
      <c r="AM112" s="5" t="str">
        <f t="array" aca="1" ref="AM112" ca="1">IF(AM$31&gt;$AL112,0,IF(ISERROR(OFFSET($E$31,0,SMALL(IF($E112:$X112&gt;0,COLUMN($A:$T),""),AM$31)-1)),0,OFFSET($E$31,0,SMALL(IF($E112:$X112&gt;0,COLUMN($A:$T),""),AM$31)-1)))</f>
        <v>防御</v>
      </c>
      <c r="AN112" s="5">
        <f t="array" aca="1" ref="AN112" ca="1">IF(AM$31&gt;$AL112,0,IF(ISERROR(INDEX($E112:$X112,,SMALL(IF($E112:$X112&gt;0,COLUMN($A:$T),""),AN$31))),0,INDEX($E112:$X112,,SMALL(IF($E112:$X112&gt;0,COLUMN($A:$T),""),AN$31))))</f>
        <v>64.23919362218372</v>
      </c>
      <c r="AO112" s="5" t="str">
        <f t="array" aca="1" ref="AO112" ca="1">IF(AO$31&gt;$AL112,0,IF(ISERROR(OFFSET($E$31,0,SMALL(IF($E112:$X112&gt;0,COLUMN($A:$T),""),AO$31)-1)),0,OFFSET($E$31,0,SMALL(IF($E112:$X112&gt;0,COLUMN($A:$T),""),AO$31)-1)))</f>
        <v>闪避值</v>
      </c>
      <c r="AP112" s="5">
        <f t="array" aca="1" ref="AP112" ca="1">IF(AO$31&gt;$AL112,0,IF(ISERROR(INDEX($E112:$X112,,SMALL(IF($E112:$X112&gt;0,COLUMN($A:$T),""),AP$31))),0,INDEX($E112:$X112,,SMALL(IF($E112:$X112&gt;0,COLUMN($A:$T),""),AP$31))))</f>
        <v>97.222222222222214</v>
      </c>
      <c r="AQ112" s="5" t="str">
        <f t="array" aca="1" ref="AQ112" ca="1">IF(AQ$31&gt;$AL112,0,IF(ISERROR(OFFSET($E$31,0,SMALL(IF($E112:$X112&gt;0,COLUMN($A:$T),""),AQ$31)-1)),0,OFFSET($E$31,0,SMALL(IF($E112:$X112&gt;0,COLUMN($A:$T),""),AQ$31)-1)))</f>
        <v>生命</v>
      </c>
      <c r="AR112" s="5">
        <f t="array" aca="1" ref="AR112" ca="1">IF(AQ$31&gt;$AL112,0,IF(ISERROR(INDEX($E112:$X112,,SMALL(IF($E112:$X112&gt;0,COLUMN($A:$T),""),AR$31))),0,INDEX($E112:$X112,,SMALL(IF($E112:$X112&gt;0,COLUMN($A:$T),""),AR$31))))</f>
        <v>696.85617457494311</v>
      </c>
      <c r="AS112" s="5" t="str">
        <f t="array" aca="1" ref="AS112" ca="1">IF(AS$31&gt;$AL112,0,IF(ISERROR(OFFSET($E$31,0,SMALL(IF($E112:$X112&gt;0,COLUMN($A:$T),""),AS$31)-1)),0,OFFSET($E$31,0,SMALL(IF($E112:$X112&gt;0,COLUMN($A:$T),""),AS$31)-1)))</f>
        <v>防御</v>
      </c>
      <c r="AT112" s="5">
        <f t="array" aca="1" ref="AT112" ca="1">IF(AS$31&gt;$AL112,0,IF(ISERROR(INDEX($E112:$X112,,SMALL(IF($E112:$X112&gt;0,COLUMN($A:$T),""),AT$31))),0,INDEX($E112:$X112,,SMALL(IF($E112:$X112&gt;0,COLUMN($A:$T),""),AT$31))))</f>
        <v>15.295046100519933</v>
      </c>
      <c r="AU112" s="5" t="str">
        <f t="array" aca="1" ref="AU112" ca="1">IF(AU$31&gt;$AL112,0,IF(ISERROR(OFFSET($E$31,0,SMALL(IF($E112:$X112&gt;0,COLUMN($A:$T),""),AU$31)-1)),0,OFFSET($E$31,0,SMALL(IF($E112:$X112&gt;0,COLUMN($A:$T),""),AU$31)-1)))</f>
        <v>闪避值</v>
      </c>
      <c r="AV112" s="5">
        <f t="array" aca="1" ref="AV112" ca="1">IF(AU$31&gt;$AL112,0,IF(ISERROR(INDEX($E112:$X112,,SMALL(IF($E112:$X112&gt;0,COLUMN($A:$T),""),AV$31))),0,INDEX($E112:$X112,,SMALL(IF($E112:$X112&gt;0,COLUMN($A:$T),""),AV$31))))</f>
        <v>33.333333333333336</v>
      </c>
      <c r="AW112" s="5" t="str">
        <f t="array" aca="1" ref="AW112" ca="1">IF(AW$31&gt;$AL112,0,IF(ISERROR(OFFSET($E$31,0,SMALL(IF($E112:$X112&gt;0,COLUMN($A:$T),""),AW$31)-1)),0,OFFSET($E$31,0,SMALL(IF($E112:$X112&gt;0,COLUMN($A:$T),""),AW$31)-1)))</f>
        <v>韧性值</v>
      </c>
      <c r="AX112" s="5">
        <f t="array" aca="1" ref="AX112" ca="1">IF(AW$31&gt;$AL112,0,IF(ISERROR(INDEX($E112:$X112,,SMALL(IF($E112:$X112&gt;0,COLUMN($A:$T),""),AX$31))),0,INDEX($E112:$X112,,SMALL(IF($E112:$X112&gt;0,COLUMN($A:$T),""),AX$31))))</f>
        <v>32.921810699588484</v>
      </c>
      <c r="AY112" s="5">
        <f t="array" aca="1" ref="AY112" ca="1">IF(AY$31&gt;$AL112,0,IF(ISERROR(OFFSET($E$31,0,SMALL(IF($E112:$X112&gt;0,COLUMN($A:$T),""),AY$31)-1)),0,OFFSET($E$31,0,SMALL(IF($E112:$X112&gt;0,COLUMN($A:$T),""),AY$31)-1)))</f>
        <v>0</v>
      </c>
      <c r="AZ112" s="5">
        <f t="array" ref="AZ112">IF(AY$31&gt;$AL112,0,IF(ISERROR(INDEX($E112:$X112,,SMALL(IF($E112:$X112&gt;0,COLUMN($A:$T),""),AZ$31))),0,INDEX($E112:$X112,,SMALL(IF($E112:$X112&gt;0,COLUMN($A:$T),""),AZ$31))))</f>
        <v>0</v>
      </c>
      <c r="BA112" s="5">
        <f t="array" aca="1" ref="BA112" ca="1">IF(BA$31&gt;$AL112,0,IF(ISERROR(OFFSET($E$31,0,SMALL(IF($E112:$X112&gt;0,COLUMN($A:$T),""),BA$31)-1)),0,OFFSET($E$31,0,SMALL(IF($E112:$X112&gt;0,COLUMN($A:$T),""),BA$31)-1)))</f>
        <v>0</v>
      </c>
      <c r="BB112" s="5">
        <f t="array" ref="BB112">IF(BA$31&gt;$AL112,0,IF(ISERROR(INDEX($E112:$X112,,SMALL(IF($E112:$X112&gt;0,COLUMN($A:$T),""),BB$31))),0,INDEX($E112:$X112,,SMALL(IF($E112:$X112&gt;0,COLUMN($A:$T),""),BB$31))))</f>
        <v>0</v>
      </c>
      <c r="BC112" s="5">
        <f t="array" aca="1" ref="BC112" ca="1">IF(BC$31&gt;$AL112,0,IF(ISERROR(OFFSET($E$31,0,SMALL(IF($E112:$X112&gt;0,COLUMN($A:$T),""),BC$31)-1)),0,OFFSET($E$31,0,SMALL(IF($E112:$X112&gt;0,COLUMN($A:$T),""),BC$31)-1)))</f>
        <v>0</v>
      </c>
      <c r="BD112" s="5">
        <f t="array" ref="BD112">IF(BC$31&gt;$AL112,0,IF(ISERROR(INDEX($E112:$X112,,SMALL(IF($E112:$X112&gt;0,COLUMN($A:$T),""),BD$31))),0,INDEX($E112:$X112,,SMALL(IF($E112:$X112&gt;0,COLUMN($A:$T),""),BD$31))))</f>
        <v>0</v>
      </c>
      <c r="BE112" s="5">
        <f t="array" aca="1" ref="BE112" ca="1">IF(BE$31&gt;$AL112,0,IF(ISERROR(OFFSET($E$31,0,SMALL(IF($E112:$X112&gt;0,COLUMN($A:$T),""),BE$31)-1)),0,OFFSET($E$31,0,SMALL(IF($E112:$X112&gt;0,COLUMN($A:$T),""),BE$31)-1)))</f>
        <v>0</v>
      </c>
      <c r="BF112" s="5">
        <f t="array" ref="BF112">IF(BE$31&gt;$AL112,0,IF(ISERROR(INDEX($E112:$X112,,SMALL(IF($E112:$X112&gt;0,COLUMN($A:$T),""),BF$31))),0,INDEX($E112:$X112,,SMALL(IF($E112:$X112&gt;0,COLUMN($A:$T),""),BF$31))))</f>
        <v>0</v>
      </c>
      <c r="BH112">
        <f ca="1">SUMPRODUCT(E112:N112,定义数据!$G$14:$P$14)</f>
        <v>97.294749177739277</v>
      </c>
      <c r="BI112">
        <f ca="1">SUMPRODUCT(O112:X112,定义数据!$G$14:$P$14)</f>
        <v>60.428552342776918</v>
      </c>
      <c r="BJ112" s="5">
        <f t="shared" ca="1" si="100"/>
        <v>157.7233015205162</v>
      </c>
      <c r="BK112" s="5" t="str">
        <f>D112&amp;B112&amp;VLOOKUP(C112,定义数据!$E$1:$F$7,2,FALSE)</f>
        <v>4542</v>
      </c>
    </row>
    <row r="113" spans="1:63" x14ac:dyDescent="0.15">
      <c r="A113" s="17" t="str">
        <f>D113&amp;B113&amp;VLOOKUP(C113,定义数据!$E$1:$F$7,2,FALSE)</f>
        <v>4545</v>
      </c>
      <c r="B113" s="18">
        <v>4</v>
      </c>
      <c r="C113" s="18" t="s">
        <v>138</v>
      </c>
      <c r="D113" s="24">
        <v>45</v>
      </c>
      <c r="E113" s="56">
        <f t="shared" ca="1" si="35"/>
        <v>1463.3979666073806</v>
      </c>
      <c r="F113" s="56">
        <f t="shared" ca="1" si="36"/>
        <v>0</v>
      </c>
      <c r="G113" s="56">
        <f t="shared" ca="1" si="37"/>
        <v>0</v>
      </c>
      <c r="H113" s="56">
        <f t="shared" ca="1" si="38"/>
        <v>194.44444444444443</v>
      </c>
      <c r="I113" s="56">
        <f t="shared" ca="1" si="39"/>
        <v>0</v>
      </c>
      <c r="J113" s="56">
        <f t="shared" ca="1" si="40"/>
        <v>0</v>
      </c>
      <c r="K113" s="56">
        <f t="shared" ca="1" si="41"/>
        <v>0</v>
      </c>
      <c r="L113" s="56">
        <f t="shared" ca="1" si="42"/>
        <v>0</v>
      </c>
      <c r="M113" s="56">
        <f t="shared" ca="1" si="43"/>
        <v>0</v>
      </c>
      <c r="N113" s="56">
        <f t="shared" ca="1" si="44"/>
        <v>0</v>
      </c>
      <c r="O113" s="65">
        <f t="shared" ca="1" si="101"/>
        <v>696.85617457494311</v>
      </c>
      <c r="P113" s="65">
        <f t="shared" ca="1" si="102"/>
        <v>0</v>
      </c>
      <c r="Q113" s="65">
        <f t="shared" ca="1" si="103"/>
        <v>0</v>
      </c>
      <c r="R113" s="65">
        <f t="shared" ca="1" si="104"/>
        <v>66.666666666666671</v>
      </c>
      <c r="S113" s="65">
        <f t="shared" ca="1" si="105"/>
        <v>55.555555555555557</v>
      </c>
      <c r="T113" s="65">
        <f t="shared" ca="1" si="106"/>
        <v>19.753086419753089</v>
      </c>
      <c r="U113" s="65">
        <f t="shared" ca="1" si="107"/>
        <v>0</v>
      </c>
      <c r="V113" s="65">
        <f t="shared" ca="1" si="108"/>
        <v>0</v>
      </c>
      <c r="W113" s="65">
        <f t="shared" ca="1" si="109"/>
        <v>0</v>
      </c>
      <c r="X113" s="65">
        <f t="shared" ca="1" si="110"/>
        <v>0</v>
      </c>
      <c r="Y113" s="21"/>
      <c r="Z113" s="15">
        <f>VLOOKUP($D113&amp;$B113,[3]!装备基础属性表,P$30,FALSE)</f>
        <v>10452.842618624147</v>
      </c>
      <c r="AA113" s="15">
        <f>VLOOKUP($D113&amp;$B113,[3]!装备基础属性表,Q$30,FALSE)</f>
        <v>530.93031016042789</v>
      </c>
      <c r="AB113" s="15">
        <f>VLOOKUP($D113&amp;$B113,[3]!装备基础属性表,R$30,FALSE)</f>
        <v>229.425691507799</v>
      </c>
      <c r="AC113" s="15">
        <f>VLOOKUP($D113&amp;$B113,[3]!装备基础属性表,S$30,FALSE)</f>
        <v>416.66666666666669</v>
      </c>
      <c r="AD113" s="15">
        <f>VLOOKUP($D113&amp;$B113,[3]!装备基础属性表,T$30,FALSE)</f>
        <v>416.66666666666669</v>
      </c>
      <c r="AE113" s="15">
        <f>VLOOKUP($D113&amp;$B113,[3]!装备基础属性表,U$30,FALSE)</f>
        <v>246.9135802469136</v>
      </c>
      <c r="AF113" s="15">
        <f>VLOOKUP($D113&amp;$B113,[3]!装备基础属性表,V$30,FALSE)</f>
        <v>0</v>
      </c>
      <c r="AG113" s="15">
        <f>VLOOKUP($D113&amp;$B113,[3]!装备基础属性表,W$30,FALSE)</f>
        <v>246.9135802469136</v>
      </c>
      <c r="AH113" s="15">
        <f>VLOOKUP($D113&amp;$B113,[3]!装备基础属性表,X$30,FALSE)</f>
        <v>0</v>
      </c>
      <c r="AI113" s="15">
        <f>VLOOKUP($D113&amp;$B113,[3]!装备基础属性表,Y$30,FALSE)</f>
        <v>0</v>
      </c>
      <c r="AJ113" s="16" t="str">
        <f>B113&amp;VLOOKUP(C113,定义数据!$E$1:$F$7,2,FALSE)&amp;D113</f>
        <v>4545</v>
      </c>
      <c r="AK113" s="14">
        <f t="shared" si="29"/>
        <v>15</v>
      </c>
      <c r="AL113" s="5">
        <f t="shared" si="99"/>
        <v>6</v>
      </c>
      <c r="AM113" s="5" t="str">
        <f t="array" aca="1" ref="AM113" ca="1">IF(AM$31&gt;$AL113,0,IF(ISERROR(OFFSET($E$31,0,SMALL(IF($E113:$X113&gt;0,COLUMN($A:$T),""),AM$31)-1)),0,OFFSET($E$31,0,SMALL(IF($E113:$X113&gt;0,COLUMN($A:$T),""),AM$31)-1)))</f>
        <v>生命</v>
      </c>
      <c r="AN113" s="5">
        <f t="array" aca="1" ref="AN113" ca="1">IF(AM$31&gt;$AL113,0,IF(ISERROR(INDEX($E113:$X113,,SMALL(IF($E113:$X113&gt;0,COLUMN($A:$T),""),AN$31))),0,INDEX($E113:$X113,,SMALL(IF($E113:$X113&gt;0,COLUMN($A:$T),""),AN$31))))</f>
        <v>1463.3979666073806</v>
      </c>
      <c r="AO113" s="5" t="str">
        <f t="array" aca="1" ref="AO113" ca="1">IF(AO$31&gt;$AL113,0,IF(ISERROR(OFFSET($E$31,0,SMALL(IF($E113:$X113&gt;0,COLUMN($A:$T),""),AO$31)-1)),0,OFFSET($E$31,0,SMALL(IF($E113:$X113&gt;0,COLUMN($A:$T),""),AO$31)-1)))</f>
        <v>闪避值</v>
      </c>
      <c r="AP113" s="5">
        <f t="array" aca="1" ref="AP113" ca="1">IF(AO$31&gt;$AL113,0,IF(ISERROR(INDEX($E113:$X113,,SMALL(IF($E113:$X113&gt;0,COLUMN($A:$T),""),AP$31))),0,INDEX($E113:$X113,,SMALL(IF($E113:$X113&gt;0,COLUMN($A:$T),""),AP$31))))</f>
        <v>194.44444444444443</v>
      </c>
      <c r="AQ113" s="5" t="str">
        <f t="array" aca="1" ref="AQ113" ca="1">IF(AQ$31&gt;$AL113,0,IF(ISERROR(OFFSET($E$31,0,SMALL(IF($E113:$X113&gt;0,COLUMN($A:$T),""),AQ$31)-1)),0,OFFSET($E$31,0,SMALL(IF($E113:$X113&gt;0,COLUMN($A:$T),""),AQ$31)-1)))</f>
        <v>生命</v>
      </c>
      <c r="AR113" s="5">
        <f t="array" aca="1" ref="AR113" ca="1">IF(AQ$31&gt;$AL113,0,IF(ISERROR(INDEX($E113:$X113,,SMALL(IF($E113:$X113&gt;0,COLUMN($A:$T),""),AR$31))),0,INDEX($E113:$X113,,SMALL(IF($E113:$X113&gt;0,COLUMN($A:$T),""),AR$31))))</f>
        <v>696.85617457494311</v>
      </c>
      <c r="AS113" s="5" t="str">
        <f t="array" aca="1" ref="AS113" ca="1">IF(AS$31&gt;$AL113,0,IF(ISERROR(OFFSET($E$31,0,SMALL(IF($E113:$X113&gt;0,COLUMN($A:$T),""),AS$31)-1)),0,OFFSET($E$31,0,SMALL(IF($E113:$X113&gt;0,COLUMN($A:$T),""),AS$31)-1)))</f>
        <v>闪避值</v>
      </c>
      <c r="AT113" s="5">
        <f t="array" aca="1" ref="AT113" ca="1">IF(AS$31&gt;$AL113,0,IF(ISERROR(INDEX($E113:$X113,,SMALL(IF($E113:$X113&gt;0,COLUMN($A:$T),""),AT$31))),0,INDEX($E113:$X113,,SMALL(IF($E113:$X113&gt;0,COLUMN($A:$T),""),AT$31))))</f>
        <v>66.666666666666671</v>
      </c>
      <c r="AU113" s="5" t="str">
        <f t="array" aca="1" ref="AU113" ca="1">IF(AU$31&gt;$AL113,0,IF(ISERROR(OFFSET($E$31,0,SMALL(IF($E113:$X113&gt;0,COLUMN($A:$T),""),AU$31)-1)),0,OFFSET($E$31,0,SMALL(IF($E113:$X113&gt;0,COLUMN($A:$T),""),AU$31)-1)))</f>
        <v>命中值</v>
      </c>
      <c r="AV113" s="5">
        <f t="array" aca="1" ref="AV113" ca="1">IF(AU$31&gt;$AL113,0,IF(ISERROR(INDEX($E113:$X113,,SMALL(IF($E113:$X113&gt;0,COLUMN($A:$T),""),AV$31))),0,INDEX($E113:$X113,,SMALL(IF($E113:$X113&gt;0,COLUMN($A:$T),""),AV$31))))</f>
        <v>55.555555555555557</v>
      </c>
      <c r="AW113" s="5" t="str">
        <f t="array" aca="1" ref="AW113" ca="1">IF(AW$31&gt;$AL113,0,IF(ISERROR(OFFSET($E$31,0,SMALL(IF($E113:$X113&gt;0,COLUMN($A:$T),""),AW$31)-1)),0,OFFSET($E$31,0,SMALL(IF($E113:$X113&gt;0,COLUMN($A:$T),""),AW$31)-1)))</f>
        <v>暴击值</v>
      </c>
      <c r="AX113" s="5">
        <f t="array" aca="1" ref="AX113" ca="1">IF(AW$31&gt;$AL113,0,IF(ISERROR(INDEX($E113:$X113,,SMALL(IF($E113:$X113&gt;0,COLUMN($A:$T),""),AX$31))),0,INDEX($E113:$X113,,SMALL(IF($E113:$X113&gt;0,COLUMN($A:$T),""),AX$31))))</f>
        <v>19.753086419753089</v>
      </c>
      <c r="AY113" s="5">
        <f t="array" aca="1" ref="AY113" ca="1">IF(AY$31&gt;$AL113,0,IF(ISERROR(OFFSET($E$31,0,SMALL(IF($E113:$X113&gt;0,COLUMN($A:$T),""),AY$31)-1)),0,OFFSET($E$31,0,SMALL(IF($E113:$X113&gt;0,COLUMN($A:$T),""),AY$31)-1)))</f>
        <v>0</v>
      </c>
      <c r="AZ113" s="5">
        <f t="array" ref="AZ113">IF(AY$31&gt;$AL113,0,IF(ISERROR(INDEX($E113:$X113,,SMALL(IF($E113:$X113&gt;0,COLUMN($A:$T),""),AZ$31))),0,INDEX($E113:$X113,,SMALL(IF($E113:$X113&gt;0,COLUMN($A:$T),""),AZ$31))))</f>
        <v>0</v>
      </c>
      <c r="BA113" s="5">
        <f t="array" aca="1" ref="BA113" ca="1">IF(BA$31&gt;$AL113,0,IF(ISERROR(OFFSET($E$31,0,SMALL(IF($E113:$X113&gt;0,COLUMN($A:$T),""),BA$31)-1)),0,OFFSET($E$31,0,SMALL(IF($E113:$X113&gt;0,COLUMN($A:$T),""),BA$31)-1)))</f>
        <v>0</v>
      </c>
      <c r="BB113" s="5">
        <f t="array" ref="BB113">IF(BA$31&gt;$AL113,0,IF(ISERROR(INDEX($E113:$X113,,SMALL(IF($E113:$X113&gt;0,COLUMN($A:$T),""),BB$31))),0,INDEX($E113:$X113,,SMALL(IF($E113:$X113&gt;0,COLUMN($A:$T),""),BB$31))))</f>
        <v>0</v>
      </c>
      <c r="BC113" s="5">
        <f t="array" aca="1" ref="BC113" ca="1">IF(BC$31&gt;$AL113,0,IF(ISERROR(OFFSET($E$31,0,SMALL(IF($E113:$X113&gt;0,COLUMN($A:$T),""),BC$31)-1)),0,OFFSET($E$31,0,SMALL(IF($E113:$X113&gt;0,COLUMN($A:$T),""),BC$31)-1)))</f>
        <v>0</v>
      </c>
      <c r="BD113" s="5">
        <f t="array" ref="BD113">IF(BC$31&gt;$AL113,0,IF(ISERROR(INDEX($E113:$X113,,SMALL(IF($E113:$X113&gt;0,COLUMN($A:$T),""),BD$31))),0,INDEX($E113:$X113,,SMALL(IF($E113:$X113&gt;0,COLUMN($A:$T),""),BD$31))))</f>
        <v>0</v>
      </c>
      <c r="BE113" s="5">
        <f t="array" aca="1" ref="BE113" ca="1">IF(BE$31&gt;$AL113,0,IF(ISERROR(OFFSET($E$31,0,SMALL(IF($E113:$X113&gt;0,COLUMN($A:$T),""),BE$31)-1)),0,OFFSET($E$31,0,SMALL(IF($E113:$X113&gt;0,COLUMN($A:$T),""),BE$31)-1)))</f>
        <v>0</v>
      </c>
      <c r="BF113" s="5">
        <f t="array" ref="BF113">IF(BE$31&gt;$AL113,0,IF(ISERROR(INDEX($E113:$X113,,SMALL(IF($E113:$X113&gt;0,COLUMN($A:$T),""),BF$31))),0,INDEX($E113:$X113,,SMALL(IF($E113:$X113&gt;0,COLUMN($A:$T),""),BF$31))))</f>
        <v>0</v>
      </c>
      <c r="BH113">
        <f ca="1">SUMPRODUCT(E113:N113,定义数据!$G$14:$P$14)</f>
        <v>124.64702977540634</v>
      </c>
      <c r="BI113">
        <f ca="1">SUMPRODUCT(O113:X113,定义数据!$G$14:$P$14)</f>
        <v>72.985358094108847</v>
      </c>
      <c r="BJ113" s="5">
        <f t="shared" ca="1" si="100"/>
        <v>197.63238786951518</v>
      </c>
      <c r="BK113" s="5" t="str">
        <f>D113&amp;B113&amp;VLOOKUP(C113,定义数据!$E$1:$F$7,2,FALSE)</f>
        <v>4545</v>
      </c>
    </row>
    <row r="114" spans="1:63" x14ac:dyDescent="0.15">
      <c r="A114" s="17" t="str">
        <f>D114&amp;B114&amp;VLOOKUP(C114,定义数据!$E$1:$F$7,2,FALSE)</f>
        <v>4544</v>
      </c>
      <c r="B114" s="18">
        <v>4</v>
      </c>
      <c r="C114" s="18" t="s">
        <v>139</v>
      </c>
      <c r="D114" s="24">
        <v>45</v>
      </c>
      <c r="E114" s="56">
        <f t="shared" ca="1" si="35"/>
        <v>1463.3979666073806</v>
      </c>
      <c r="F114" s="56">
        <f t="shared" ca="1" si="36"/>
        <v>0</v>
      </c>
      <c r="G114" s="56">
        <f t="shared" ca="1" si="37"/>
        <v>0</v>
      </c>
      <c r="H114" s="56">
        <f t="shared" ca="1" si="38"/>
        <v>0</v>
      </c>
      <c r="I114" s="56">
        <f t="shared" ca="1" si="39"/>
        <v>0</v>
      </c>
      <c r="J114" s="56">
        <f t="shared" ca="1" si="40"/>
        <v>0</v>
      </c>
      <c r="K114" s="56">
        <f t="shared" ca="1" si="41"/>
        <v>0</v>
      </c>
      <c r="L114" s="56">
        <f t="shared" ca="1" si="42"/>
        <v>172.83950617283952</v>
      </c>
      <c r="M114" s="56">
        <f t="shared" ca="1" si="43"/>
        <v>0</v>
      </c>
      <c r="N114" s="56">
        <f t="shared" ca="1" si="44"/>
        <v>0</v>
      </c>
      <c r="O114" s="65">
        <f t="shared" ca="1" si="101"/>
        <v>1393.7123491498862</v>
      </c>
      <c r="P114" s="65">
        <f t="shared" ca="1" si="102"/>
        <v>42.474424812834236</v>
      </c>
      <c r="Q114" s="65">
        <f t="shared" ca="1" si="103"/>
        <v>15.295046100519933</v>
      </c>
      <c r="R114" s="65">
        <f t="shared" ca="1" si="104"/>
        <v>0</v>
      </c>
      <c r="S114" s="65">
        <f t="shared" ca="1" si="105"/>
        <v>0</v>
      </c>
      <c r="T114" s="65">
        <f t="shared" ca="1" si="106"/>
        <v>0</v>
      </c>
      <c r="U114" s="65">
        <f t="shared" ca="1" si="107"/>
        <v>0</v>
      </c>
      <c r="V114" s="65">
        <f t="shared" ca="1" si="108"/>
        <v>32.921810699588484</v>
      </c>
      <c r="W114" s="65">
        <f t="shared" ca="1" si="109"/>
        <v>0</v>
      </c>
      <c r="X114" s="65">
        <f t="shared" ca="1" si="110"/>
        <v>0</v>
      </c>
      <c r="Y114" s="21"/>
      <c r="Z114" s="15">
        <f>VLOOKUP($D114&amp;$B114,[3]!装备基础属性表,P$30,FALSE)</f>
        <v>10452.842618624147</v>
      </c>
      <c r="AA114" s="15">
        <f>VLOOKUP($D114&amp;$B114,[3]!装备基础属性表,Q$30,FALSE)</f>
        <v>530.93031016042789</v>
      </c>
      <c r="AB114" s="15">
        <f>VLOOKUP($D114&amp;$B114,[3]!装备基础属性表,R$30,FALSE)</f>
        <v>229.425691507799</v>
      </c>
      <c r="AC114" s="15">
        <f>VLOOKUP($D114&amp;$B114,[3]!装备基础属性表,S$30,FALSE)</f>
        <v>416.66666666666669</v>
      </c>
      <c r="AD114" s="15">
        <f>VLOOKUP($D114&amp;$B114,[3]!装备基础属性表,T$30,FALSE)</f>
        <v>416.66666666666669</v>
      </c>
      <c r="AE114" s="15">
        <f>VLOOKUP($D114&amp;$B114,[3]!装备基础属性表,U$30,FALSE)</f>
        <v>246.9135802469136</v>
      </c>
      <c r="AF114" s="15">
        <f>VLOOKUP($D114&amp;$B114,[3]!装备基础属性表,V$30,FALSE)</f>
        <v>0</v>
      </c>
      <c r="AG114" s="15">
        <f>VLOOKUP($D114&amp;$B114,[3]!装备基础属性表,W$30,FALSE)</f>
        <v>246.9135802469136</v>
      </c>
      <c r="AH114" s="15">
        <f>VLOOKUP($D114&amp;$B114,[3]!装备基础属性表,X$30,FALSE)</f>
        <v>0</v>
      </c>
      <c r="AI114" s="15">
        <f>VLOOKUP($D114&amp;$B114,[3]!装备基础属性表,Y$30,FALSE)</f>
        <v>0</v>
      </c>
      <c r="AJ114" s="16" t="str">
        <f>B114&amp;VLOOKUP(C114,定义数据!$E$1:$F$7,2,FALSE)&amp;D114</f>
        <v>4445</v>
      </c>
      <c r="AK114" s="14">
        <f t="shared" si="29"/>
        <v>15</v>
      </c>
      <c r="AL114" s="5">
        <f t="shared" si="99"/>
        <v>6</v>
      </c>
      <c r="AM114" s="5" t="str">
        <f t="array" aca="1" ref="AM114" ca="1">IF(AM$31&gt;$AL114,0,IF(ISERROR(OFFSET($E$31,0,SMALL(IF($E114:$X114&gt;0,COLUMN($A:$T),""),AM$31)-1)),0,OFFSET($E$31,0,SMALL(IF($E114:$X114&gt;0,COLUMN($A:$T),""),AM$31)-1)))</f>
        <v>生命</v>
      </c>
      <c r="AN114" s="5">
        <f t="array" aca="1" ref="AN114" ca="1">IF(AM$31&gt;$AL114,0,IF(ISERROR(INDEX($E114:$X114,,SMALL(IF($E114:$X114&gt;0,COLUMN($A:$T),""),AN$31))),0,INDEX($E114:$X114,,SMALL(IF($E114:$X114&gt;0,COLUMN($A:$T),""),AN$31))))</f>
        <v>1463.3979666073806</v>
      </c>
      <c r="AO114" s="5" t="str">
        <f t="array" aca="1" ref="AO114" ca="1">IF(AO$31&gt;$AL114,0,IF(ISERROR(OFFSET($E$31,0,SMALL(IF($E114:$X114&gt;0,COLUMN($A:$T),""),AO$31)-1)),0,OFFSET($E$31,0,SMALL(IF($E114:$X114&gt;0,COLUMN($A:$T),""),AO$31)-1)))</f>
        <v>韧性值</v>
      </c>
      <c r="AP114" s="5">
        <f t="array" aca="1" ref="AP114" ca="1">IF(AO$31&gt;$AL114,0,IF(ISERROR(INDEX($E114:$X114,,SMALL(IF($E114:$X114&gt;0,COLUMN($A:$T),""),AP$31))),0,INDEX($E114:$X114,,SMALL(IF($E114:$X114&gt;0,COLUMN($A:$T),""),AP$31))))</f>
        <v>172.83950617283952</v>
      </c>
      <c r="AQ114" s="5" t="str">
        <f t="array" aca="1" ref="AQ114" ca="1">IF(AQ$31&gt;$AL114,0,IF(ISERROR(OFFSET($E$31,0,SMALL(IF($E114:$X114&gt;0,COLUMN($A:$T),""),AQ$31)-1)),0,OFFSET($E$31,0,SMALL(IF($E114:$X114&gt;0,COLUMN($A:$T),""),AQ$31)-1)))</f>
        <v>生命</v>
      </c>
      <c r="AR114" s="5">
        <f t="array" aca="1" ref="AR114" ca="1">IF(AQ$31&gt;$AL114,0,IF(ISERROR(INDEX($E114:$X114,,SMALL(IF($E114:$X114&gt;0,COLUMN($A:$T),""),AR$31))),0,INDEX($E114:$X114,,SMALL(IF($E114:$X114&gt;0,COLUMN($A:$T),""),AR$31))))</f>
        <v>1393.7123491498862</v>
      </c>
      <c r="AS114" s="5" t="str">
        <f t="array" aca="1" ref="AS114" ca="1">IF(AS$31&gt;$AL114,0,IF(ISERROR(OFFSET($E$31,0,SMALL(IF($E114:$X114&gt;0,COLUMN($A:$T),""),AS$31)-1)),0,OFFSET($E$31,0,SMALL(IF($E114:$X114&gt;0,COLUMN($A:$T),""),AS$31)-1)))</f>
        <v>攻击</v>
      </c>
      <c r="AT114" s="5">
        <f t="array" aca="1" ref="AT114" ca="1">IF(AS$31&gt;$AL114,0,IF(ISERROR(INDEX($E114:$X114,,SMALL(IF($E114:$X114&gt;0,COLUMN($A:$T),""),AT$31))),0,INDEX($E114:$X114,,SMALL(IF($E114:$X114&gt;0,COLUMN($A:$T),""),AT$31))))</f>
        <v>42.474424812834236</v>
      </c>
      <c r="AU114" s="5" t="str">
        <f t="array" aca="1" ref="AU114" ca="1">IF(AU$31&gt;$AL114,0,IF(ISERROR(OFFSET($E$31,0,SMALL(IF($E114:$X114&gt;0,COLUMN($A:$T),""),AU$31)-1)),0,OFFSET($E$31,0,SMALL(IF($E114:$X114&gt;0,COLUMN($A:$T),""),AU$31)-1)))</f>
        <v>防御</v>
      </c>
      <c r="AV114" s="5">
        <f t="array" aca="1" ref="AV114" ca="1">IF(AU$31&gt;$AL114,0,IF(ISERROR(INDEX($E114:$X114,,SMALL(IF($E114:$X114&gt;0,COLUMN($A:$T),""),AV$31))),0,INDEX($E114:$X114,,SMALL(IF($E114:$X114&gt;0,COLUMN($A:$T),""),AV$31))))</f>
        <v>15.295046100519933</v>
      </c>
      <c r="AW114" s="5" t="str">
        <f t="array" aca="1" ref="AW114" ca="1">IF(AW$31&gt;$AL114,0,IF(ISERROR(OFFSET($E$31,0,SMALL(IF($E114:$X114&gt;0,COLUMN($A:$T),""),AW$31)-1)),0,OFFSET($E$31,0,SMALL(IF($E114:$X114&gt;0,COLUMN($A:$T),""),AW$31)-1)))</f>
        <v>韧性值</v>
      </c>
      <c r="AX114" s="5">
        <f t="array" aca="1" ref="AX114" ca="1">IF(AW$31&gt;$AL114,0,IF(ISERROR(INDEX($E114:$X114,,SMALL(IF($E114:$X114&gt;0,COLUMN($A:$T),""),AX$31))),0,INDEX($E114:$X114,,SMALL(IF($E114:$X114&gt;0,COLUMN($A:$T),""),AX$31))))</f>
        <v>32.921810699588484</v>
      </c>
      <c r="AY114" s="5">
        <f t="array" aca="1" ref="AY114" ca="1">IF(AY$31&gt;$AL114,0,IF(ISERROR(OFFSET($E$31,0,SMALL(IF($E114:$X114&gt;0,COLUMN($A:$T),""),AY$31)-1)),0,OFFSET($E$31,0,SMALL(IF($E114:$X114&gt;0,COLUMN($A:$T),""),AY$31)-1)))</f>
        <v>0</v>
      </c>
      <c r="AZ114" s="5">
        <f t="array" ref="AZ114">IF(AY$31&gt;$AL114,0,IF(ISERROR(INDEX($E114:$X114,,SMALL(IF($E114:$X114&gt;0,COLUMN($A:$T),""),AZ$31))),0,INDEX($E114:$X114,,SMALL(IF($E114:$X114&gt;0,COLUMN($A:$T),""),AZ$31))))</f>
        <v>0</v>
      </c>
      <c r="BA114" s="5">
        <f t="array" aca="1" ref="BA114" ca="1">IF(BA$31&gt;$AL114,0,IF(ISERROR(OFFSET($E$31,0,SMALL(IF($E114:$X114&gt;0,COLUMN($A:$T),""),BA$31)-1)),0,OFFSET($E$31,0,SMALL(IF($E114:$X114&gt;0,COLUMN($A:$T),""),BA$31)-1)))</f>
        <v>0</v>
      </c>
      <c r="BB114" s="5">
        <f t="array" ref="BB114">IF(BA$31&gt;$AL114,0,IF(ISERROR(INDEX($E114:$X114,,SMALL(IF($E114:$X114&gt;0,COLUMN($A:$T),""),BB$31))),0,INDEX($E114:$X114,,SMALL(IF($E114:$X114&gt;0,COLUMN($A:$T),""),BB$31))))</f>
        <v>0</v>
      </c>
      <c r="BC114" s="5">
        <f t="array" aca="1" ref="BC114" ca="1">IF(BC$31&gt;$AL114,0,IF(ISERROR(OFFSET($E$31,0,SMALL(IF($E114:$X114&gt;0,COLUMN($A:$T),""),BC$31)-1)),0,OFFSET($E$31,0,SMALL(IF($E114:$X114&gt;0,COLUMN($A:$T),""),BC$31)-1)))</f>
        <v>0</v>
      </c>
      <c r="BD114" s="5">
        <f t="array" ref="BD114">IF(BC$31&gt;$AL114,0,IF(ISERROR(INDEX($E114:$X114,,SMALL(IF($E114:$X114&gt;0,COLUMN($A:$T),""),BD$31))),0,INDEX($E114:$X114,,SMALL(IF($E114:$X114&gt;0,COLUMN($A:$T),""),BD$31))))</f>
        <v>0</v>
      </c>
      <c r="BE114" s="5">
        <f t="array" aca="1" ref="BE114" ca="1">IF(BE$31&gt;$AL114,0,IF(ISERROR(OFFSET($E$31,0,SMALL(IF($E114:$X114&gt;0,COLUMN($A:$T),""),BE$31)-1)),0,OFFSET($E$31,0,SMALL(IF($E114:$X114&gt;0,COLUMN($A:$T),""),BE$31)-1)))</f>
        <v>0</v>
      </c>
      <c r="BF114" s="5">
        <f t="array" ref="BF114">IF(BE$31&gt;$AL114,0,IF(ISERROR(INDEX($E114:$X114,,SMALL(IF($E114:$X114&gt;0,COLUMN($A:$T),""),BF$31))),0,INDEX($E114:$X114,,SMALL(IF($E114:$X114&gt;0,COLUMN($A:$T),""),BF$31))))</f>
        <v>0</v>
      </c>
      <c r="BH114">
        <f ca="1">SUMPRODUCT(E114:N114,定义数据!$G$14:$P$14)</f>
        <v>89.647029775406338</v>
      </c>
      <c r="BI114">
        <f ca="1">SUMPRODUCT(O114:X114,定义数据!$G$14:$P$14)</f>
        <v>119.44389080527554</v>
      </c>
      <c r="BJ114" s="5">
        <f t="shared" ca="1" si="100"/>
        <v>209.09092058068188</v>
      </c>
      <c r="BK114" s="5" t="str">
        <f>D114&amp;B114&amp;VLOOKUP(C114,定义数据!$E$1:$F$7,2,FALSE)</f>
        <v>4544</v>
      </c>
    </row>
    <row r="115" spans="1:63" x14ac:dyDescent="0.15">
      <c r="A115" s="17" t="str">
        <f>D115&amp;B115&amp;VLOOKUP(C115,定义数据!$E$1:$F$7,2,FALSE)</f>
        <v>4543</v>
      </c>
      <c r="B115" s="18">
        <v>4</v>
      </c>
      <c r="C115" s="18" t="s">
        <v>140</v>
      </c>
      <c r="D115" s="24">
        <v>45</v>
      </c>
      <c r="E115" s="56">
        <f t="shared" ref="E115:E178" ca="1" si="111">VLOOKUP($C115,$D$4:$O$9,F$2,FALSE)/F$10*Z115*OFFSET($Q$23,0,$B115)</f>
        <v>0</v>
      </c>
      <c r="F115" s="56">
        <f t="shared" ref="F115:F178" ca="1" si="112">VLOOKUP($C115,$D$4:$O$9,G$2,FALSE)/G$10*AA115*OFFSET($Q$23,0,$B115)</f>
        <v>92.912804278074873</v>
      </c>
      <c r="G115" s="56">
        <f t="shared" ref="G115:G178" ca="1" si="113">VLOOKUP($C115,$D$4:$O$9,H$2,FALSE)/H$10*AB115*OFFSET($Q$23,0,$B115)</f>
        <v>0</v>
      </c>
      <c r="H115" s="56">
        <f t="shared" ref="H115:H178" ca="1" si="114">VLOOKUP($C115,$D$4:$O$9,I$2,FALSE)/I$10*AC115*OFFSET($Q$23,0,$B115)</f>
        <v>0</v>
      </c>
      <c r="I115" s="56">
        <f t="shared" ref="I115:I178" ca="1" si="115">VLOOKUP($C115,$D$4:$O$9,J$2,FALSE)/J$10*AD115*OFFSET($Q$23,0,$B115)</f>
        <v>291.66666666666669</v>
      </c>
      <c r="J115" s="56">
        <f t="shared" ref="J115:J178" ca="1" si="116">VLOOKUP($C115,$D$4:$O$9,K$2,FALSE)/K$10*AE115*OFFSET($Q$23,0,$B115)</f>
        <v>0</v>
      </c>
      <c r="K115" s="56">
        <f t="shared" ref="K115:K178" ca="1" si="117">VLOOKUP($C115,$D$4:$O$9,L$2,FALSE)/L$10*AF115*OFFSET($Q$23,0,$B115)</f>
        <v>0</v>
      </c>
      <c r="L115" s="56">
        <f t="shared" ref="L115:L178" ca="1" si="118">VLOOKUP($C115,$D$4:$O$9,M$2,FALSE)/M$10*AG115*OFFSET($Q$23,0,$B115)</f>
        <v>0</v>
      </c>
      <c r="M115" s="56">
        <f t="shared" ref="M115:M178" ca="1" si="119">VLOOKUP($C115,$D$4:$O$9,N$2,FALSE)/N$10*AH115*OFFSET($Q$23,0,$B115)</f>
        <v>0</v>
      </c>
      <c r="N115" s="56">
        <f t="shared" ref="N115:N178" ca="1" si="120">VLOOKUP($C115,$D$4:$O$9,O$2,FALSE)/O$10*AI115*OFFSET($Q$23,0,$B115)</f>
        <v>0</v>
      </c>
      <c r="O115" s="65">
        <f t="shared" ca="1" si="101"/>
        <v>0</v>
      </c>
      <c r="P115" s="65">
        <f t="shared" ca="1" si="102"/>
        <v>42.474424812834236</v>
      </c>
      <c r="Q115" s="65">
        <f t="shared" ca="1" si="103"/>
        <v>0</v>
      </c>
      <c r="R115" s="65">
        <f t="shared" ca="1" si="104"/>
        <v>33.333333333333336</v>
      </c>
      <c r="S115" s="65">
        <f t="shared" ca="1" si="105"/>
        <v>55.555555555555557</v>
      </c>
      <c r="T115" s="65">
        <f t="shared" ca="1" si="106"/>
        <v>39.506172839506178</v>
      </c>
      <c r="U115" s="65">
        <f t="shared" ca="1" si="107"/>
        <v>0</v>
      </c>
      <c r="V115" s="65">
        <f t="shared" ca="1" si="108"/>
        <v>0</v>
      </c>
      <c r="W115" s="65">
        <f t="shared" ca="1" si="109"/>
        <v>0</v>
      </c>
      <c r="X115" s="65">
        <f t="shared" ca="1" si="110"/>
        <v>0</v>
      </c>
      <c r="Y115" s="21"/>
      <c r="Z115" s="15">
        <f>VLOOKUP($D115&amp;$B115,[3]!装备基础属性表,P$30,FALSE)</f>
        <v>10452.842618624147</v>
      </c>
      <c r="AA115" s="15">
        <f>VLOOKUP($D115&amp;$B115,[3]!装备基础属性表,Q$30,FALSE)</f>
        <v>530.93031016042789</v>
      </c>
      <c r="AB115" s="15">
        <f>VLOOKUP($D115&amp;$B115,[3]!装备基础属性表,R$30,FALSE)</f>
        <v>229.425691507799</v>
      </c>
      <c r="AC115" s="15">
        <f>VLOOKUP($D115&amp;$B115,[3]!装备基础属性表,S$30,FALSE)</f>
        <v>416.66666666666669</v>
      </c>
      <c r="AD115" s="15">
        <f>VLOOKUP($D115&amp;$B115,[3]!装备基础属性表,T$30,FALSE)</f>
        <v>416.66666666666669</v>
      </c>
      <c r="AE115" s="15">
        <f>VLOOKUP($D115&amp;$B115,[3]!装备基础属性表,U$30,FALSE)</f>
        <v>246.9135802469136</v>
      </c>
      <c r="AF115" s="15">
        <f>VLOOKUP($D115&amp;$B115,[3]!装备基础属性表,V$30,FALSE)</f>
        <v>0</v>
      </c>
      <c r="AG115" s="15">
        <f>VLOOKUP($D115&amp;$B115,[3]!装备基础属性表,W$30,FALSE)</f>
        <v>246.9135802469136</v>
      </c>
      <c r="AH115" s="15">
        <f>VLOOKUP($D115&amp;$B115,[3]!装备基础属性表,X$30,FALSE)</f>
        <v>0</v>
      </c>
      <c r="AI115" s="15">
        <f>VLOOKUP($D115&amp;$B115,[3]!装备基础属性表,Y$30,FALSE)</f>
        <v>0</v>
      </c>
      <c r="AJ115" s="16" t="str">
        <f>B115&amp;VLOOKUP(C115,定义数据!$E$1:$F$7,2,FALSE)&amp;D115</f>
        <v>4345</v>
      </c>
      <c r="AK115" s="14">
        <f t="shared" si="29"/>
        <v>15</v>
      </c>
      <c r="AL115" s="5">
        <f t="shared" si="99"/>
        <v>6</v>
      </c>
      <c r="AM115" s="5" t="str">
        <f t="array" aca="1" ref="AM115" ca="1">IF(AM$31&gt;$AL115,0,IF(ISERROR(OFFSET($E$31,0,SMALL(IF($E115:$X115&gt;0,COLUMN($A:$T),""),AM$31)-1)),0,OFFSET($E$31,0,SMALL(IF($E115:$X115&gt;0,COLUMN($A:$T),""),AM$31)-1)))</f>
        <v>攻击</v>
      </c>
      <c r="AN115" s="5">
        <f t="array" aca="1" ref="AN115" ca="1">IF(AM$31&gt;$AL115,0,IF(ISERROR(INDEX($E115:$X115,,SMALL(IF($E115:$X115&gt;0,COLUMN($A:$T),""),AN$31))),0,INDEX($E115:$X115,,SMALL(IF($E115:$X115&gt;0,COLUMN($A:$T),""),AN$31))))</f>
        <v>92.912804278074873</v>
      </c>
      <c r="AO115" s="5" t="str">
        <f t="array" aca="1" ref="AO115" ca="1">IF(AO$31&gt;$AL115,0,IF(ISERROR(OFFSET($E$31,0,SMALL(IF($E115:$X115&gt;0,COLUMN($A:$T),""),AO$31)-1)),0,OFFSET($E$31,0,SMALL(IF($E115:$X115&gt;0,COLUMN($A:$T),""),AO$31)-1)))</f>
        <v>命中值</v>
      </c>
      <c r="AP115" s="5">
        <f t="array" aca="1" ref="AP115" ca="1">IF(AO$31&gt;$AL115,0,IF(ISERROR(INDEX($E115:$X115,,SMALL(IF($E115:$X115&gt;0,COLUMN($A:$T),""),AP$31))),0,INDEX($E115:$X115,,SMALL(IF($E115:$X115&gt;0,COLUMN($A:$T),""),AP$31))))</f>
        <v>291.66666666666669</v>
      </c>
      <c r="AQ115" s="5" t="str">
        <f t="array" aca="1" ref="AQ115" ca="1">IF(AQ$31&gt;$AL115,0,IF(ISERROR(OFFSET($E$31,0,SMALL(IF($E115:$X115&gt;0,COLUMN($A:$T),""),AQ$31)-1)),0,OFFSET($E$31,0,SMALL(IF($E115:$X115&gt;0,COLUMN($A:$T),""),AQ$31)-1)))</f>
        <v>攻击</v>
      </c>
      <c r="AR115" s="5">
        <f t="array" aca="1" ref="AR115" ca="1">IF(AQ$31&gt;$AL115,0,IF(ISERROR(INDEX($E115:$X115,,SMALL(IF($E115:$X115&gt;0,COLUMN($A:$T),""),AR$31))),0,INDEX($E115:$X115,,SMALL(IF($E115:$X115&gt;0,COLUMN($A:$T),""),AR$31))))</f>
        <v>42.474424812834236</v>
      </c>
      <c r="AS115" s="5" t="str">
        <f t="array" aca="1" ref="AS115" ca="1">IF(AS$31&gt;$AL115,0,IF(ISERROR(OFFSET($E$31,0,SMALL(IF($E115:$X115&gt;0,COLUMN($A:$T),""),AS$31)-1)),0,OFFSET($E$31,0,SMALL(IF($E115:$X115&gt;0,COLUMN($A:$T),""),AS$31)-1)))</f>
        <v>闪避值</v>
      </c>
      <c r="AT115" s="5">
        <f t="array" aca="1" ref="AT115" ca="1">IF(AS$31&gt;$AL115,0,IF(ISERROR(INDEX($E115:$X115,,SMALL(IF($E115:$X115&gt;0,COLUMN($A:$T),""),AT$31))),0,INDEX($E115:$X115,,SMALL(IF($E115:$X115&gt;0,COLUMN($A:$T),""),AT$31))))</f>
        <v>33.333333333333336</v>
      </c>
      <c r="AU115" s="5" t="str">
        <f t="array" aca="1" ref="AU115" ca="1">IF(AU$31&gt;$AL115,0,IF(ISERROR(OFFSET($E$31,0,SMALL(IF($E115:$X115&gt;0,COLUMN($A:$T),""),AU$31)-1)),0,OFFSET($E$31,0,SMALL(IF($E115:$X115&gt;0,COLUMN($A:$T),""),AU$31)-1)))</f>
        <v>命中值</v>
      </c>
      <c r="AV115" s="5">
        <f t="array" aca="1" ref="AV115" ca="1">IF(AU$31&gt;$AL115,0,IF(ISERROR(INDEX($E115:$X115,,SMALL(IF($E115:$X115&gt;0,COLUMN($A:$T),""),AV$31))),0,INDEX($E115:$X115,,SMALL(IF($E115:$X115&gt;0,COLUMN($A:$T),""),AV$31))))</f>
        <v>55.555555555555557</v>
      </c>
      <c r="AW115" s="5" t="str">
        <f t="array" aca="1" ref="AW115" ca="1">IF(AW$31&gt;$AL115,0,IF(ISERROR(OFFSET($E$31,0,SMALL(IF($E115:$X115&gt;0,COLUMN($A:$T),""),AW$31)-1)),0,OFFSET($E$31,0,SMALL(IF($E115:$X115&gt;0,COLUMN($A:$T),""),AW$31)-1)))</f>
        <v>暴击值</v>
      </c>
      <c r="AX115" s="5">
        <f t="array" aca="1" ref="AX115" ca="1">IF(AW$31&gt;$AL115,0,IF(ISERROR(INDEX($E115:$X115,,SMALL(IF($E115:$X115&gt;0,COLUMN($A:$T),""),AX$31))),0,INDEX($E115:$X115,,SMALL(IF($E115:$X115&gt;0,COLUMN($A:$T),""),AX$31))))</f>
        <v>39.506172839506178</v>
      </c>
      <c r="AY115" s="5">
        <f t="array" aca="1" ref="AY115" ca="1">IF(AY$31&gt;$AL115,0,IF(ISERROR(OFFSET($E$31,0,SMALL(IF($E115:$X115&gt;0,COLUMN($A:$T),""),AY$31)-1)),0,OFFSET($E$31,0,SMALL(IF($E115:$X115&gt;0,COLUMN($A:$T),""),AY$31)-1)))</f>
        <v>0</v>
      </c>
      <c r="AZ115" s="5">
        <f t="array" ref="AZ115">IF(AY$31&gt;$AL115,0,IF(ISERROR(INDEX($E115:$X115,,SMALL(IF($E115:$X115&gt;0,COLUMN($A:$T),""),AZ$31))),0,INDEX($E115:$X115,,SMALL(IF($E115:$X115&gt;0,COLUMN($A:$T),""),AZ$31))))</f>
        <v>0</v>
      </c>
      <c r="BA115" s="5">
        <f t="array" aca="1" ref="BA115" ca="1">IF(BA$31&gt;$AL115,0,IF(ISERROR(OFFSET($E$31,0,SMALL(IF($E115:$X115&gt;0,COLUMN($A:$T),""),BA$31)-1)),0,OFFSET($E$31,0,SMALL(IF($E115:$X115&gt;0,COLUMN($A:$T),""),BA$31)-1)))</f>
        <v>0</v>
      </c>
      <c r="BB115" s="5">
        <f t="array" ref="BB115">IF(BA$31&gt;$AL115,0,IF(ISERROR(INDEX($E115:$X115,,SMALL(IF($E115:$X115&gt;0,COLUMN($A:$T),""),BB$31))),0,INDEX($E115:$X115,,SMALL(IF($E115:$X115&gt;0,COLUMN($A:$T),""),BB$31))))</f>
        <v>0</v>
      </c>
      <c r="BC115" s="5">
        <f t="array" aca="1" ref="BC115" ca="1">IF(BC$31&gt;$AL115,0,IF(ISERROR(OFFSET($E$31,0,SMALL(IF($E115:$X115&gt;0,COLUMN($A:$T),""),BC$31)-1)),0,OFFSET($E$31,0,SMALL(IF($E115:$X115&gt;0,COLUMN($A:$T),""),BC$31)-1)))</f>
        <v>0</v>
      </c>
      <c r="BD115" s="5">
        <f t="array" ref="BD115">IF(BC$31&gt;$AL115,0,IF(ISERROR(INDEX($E115:$X115,,SMALL(IF($E115:$X115&gt;0,COLUMN($A:$T),""),BD$31))),0,INDEX($E115:$X115,,SMALL(IF($E115:$X115&gt;0,COLUMN($A:$T),""),BD$31))))</f>
        <v>0</v>
      </c>
      <c r="BE115" s="5">
        <f t="array" aca="1" ref="BE115" ca="1">IF(BE$31&gt;$AL115,0,IF(ISERROR(OFFSET($E$31,0,SMALL(IF($E115:$X115&gt;0,COLUMN($A:$T),""),BE$31)-1)),0,OFFSET($E$31,0,SMALL(IF($E115:$X115&gt;0,COLUMN($A:$T),""),BE$31)-1)))</f>
        <v>0</v>
      </c>
      <c r="BF115" s="5">
        <f t="array" ref="BF115">IF(BE$31&gt;$AL115,0,IF(ISERROR(INDEX($E115:$X115,,SMALL(IF($E115:$X115&gt;0,COLUMN($A:$T),""),BF$31))),0,INDEX($E115:$X115,,SMALL(IF($E115:$X115&gt;0,COLUMN($A:$T),""),BF$31))))</f>
        <v>0</v>
      </c>
      <c r="BH115">
        <f ca="1">SUMPRODUCT(E115:N115,定义数据!$G$14:$P$14)</f>
        <v>192.07947094474156</v>
      </c>
      <c r="BI115">
        <f ca="1">SUMPRODUCT(O115:X115,定义数据!$G$14:$P$14)</f>
        <v>79.807758146167572</v>
      </c>
      <c r="BJ115" s="5">
        <f t="shared" ca="1" si="100"/>
        <v>271.88722909090916</v>
      </c>
      <c r="BK115" s="5" t="str">
        <f>D115&amp;B115&amp;VLOOKUP(C115,定义数据!$E$1:$F$7,2,FALSE)</f>
        <v>4543</v>
      </c>
    </row>
    <row r="116" spans="1:63" x14ac:dyDescent="0.15">
      <c r="A116" s="17" t="str">
        <f>D116&amp;B116&amp;VLOOKUP(C116,定义数据!$E$1:$F$7,2,FALSE)</f>
        <v>6010</v>
      </c>
      <c r="B116" s="18">
        <v>1</v>
      </c>
      <c r="C116" s="18" t="s">
        <v>141</v>
      </c>
      <c r="D116" s="24">
        <v>60</v>
      </c>
      <c r="E116" s="56">
        <f t="shared" ca="1" si="111"/>
        <v>0</v>
      </c>
      <c r="F116" s="56">
        <f t="shared" ca="1" si="112"/>
        <v>268.78346951871663</v>
      </c>
      <c r="G116" s="56">
        <f t="shared" ca="1" si="113"/>
        <v>0</v>
      </c>
      <c r="H116" s="56">
        <f t="shared" ca="1" si="114"/>
        <v>0</v>
      </c>
      <c r="I116" s="56">
        <f t="shared" ca="1" si="115"/>
        <v>0</v>
      </c>
      <c r="J116" s="56">
        <f t="shared" ca="1" si="116"/>
        <v>166.66666666666666</v>
      </c>
      <c r="K116" s="56">
        <f t="shared" ca="1" si="117"/>
        <v>0</v>
      </c>
      <c r="L116" s="56">
        <f t="shared" ca="1" si="118"/>
        <v>0</v>
      </c>
      <c r="M116" s="56">
        <f t="shared" ca="1" si="119"/>
        <v>0</v>
      </c>
      <c r="N116" s="56">
        <f t="shared" ca="1" si="120"/>
        <v>0</v>
      </c>
      <c r="O116" s="65">
        <f t="shared" ca="1" si="101"/>
        <v>0</v>
      </c>
      <c r="P116" s="65">
        <f t="shared" ca="1" si="102"/>
        <v>21.502677561497329</v>
      </c>
      <c r="Q116" s="65">
        <f t="shared" ca="1" si="103"/>
        <v>2.5810390294627386</v>
      </c>
      <c r="R116" s="65">
        <f t="shared" ca="1" si="104"/>
        <v>0</v>
      </c>
      <c r="S116" s="65">
        <f t="shared" ca="1" si="105"/>
        <v>9.375</v>
      </c>
      <c r="T116" s="65">
        <f t="shared" ca="1" si="106"/>
        <v>6.6666666666666679</v>
      </c>
      <c r="U116" s="65">
        <f t="shared" ca="1" si="107"/>
        <v>0</v>
      </c>
      <c r="V116" s="65">
        <f t="shared" ca="1" si="108"/>
        <v>0</v>
      </c>
      <c r="W116" s="65">
        <f t="shared" ca="1" si="109"/>
        <v>0</v>
      </c>
      <c r="X116" s="65">
        <f t="shared" ca="1" si="110"/>
        <v>0</v>
      </c>
      <c r="Y116" s="21" t="s">
        <v>94</v>
      </c>
      <c r="Z116" s="15">
        <f>VLOOKUP($D116&amp;$B116,[3]!装备基础属性表,P$30,FALSE)</f>
        <v>7055.6687675713001</v>
      </c>
      <c r="AA116" s="15">
        <f>VLOOKUP($D116&amp;$B116,[3]!装备基础属性表,Q$30,FALSE)</f>
        <v>358.37795935828882</v>
      </c>
      <c r="AB116" s="15">
        <f>VLOOKUP($D116&amp;$B116,[3]!装备基础属性表,R$30,FALSE)</f>
        <v>154.86234176776432</v>
      </c>
      <c r="AC116" s="15">
        <f>VLOOKUP($D116&amp;$B116,[3]!装备基础属性表,S$30,FALSE)</f>
        <v>281.25</v>
      </c>
      <c r="AD116" s="15">
        <f>VLOOKUP($D116&amp;$B116,[3]!装备基础属性表,T$30,FALSE)</f>
        <v>281.25</v>
      </c>
      <c r="AE116" s="15">
        <f>VLOOKUP($D116&amp;$B116,[3]!装备基础属性表,U$30,FALSE)</f>
        <v>166.66666666666666</v>
      </c>
      <c r="AF116" s="15">
        <f>VLOOKUP($D116&amp;$B116,[3]!装备基础属性表,V$30,FALSE)</f>
        <v>0</v>
      </c>
      <c r="AG116" s="15">
        <f>VLOOKUP($D116&amp;$B116,[3]!装备基础属性表,W$30,FALSE)</f>
        <v>166.66666666666666</v>
      </c>
      <c r="AH116" s="15">
        <f>VLOOKUP($D116&amp;$B116,[3]!装备基础属性表,X$30,FALSE)</f>
        <v>0</v>
      </c>
      <c r="AI116" s="15">
        <f>VLOOKUP($D116&amp;$B116,[3]!装备基础属性表,Y$30,FALSE)</f>
        <v>0</v>
      </c>
      <c r="AJ116" s="16" t="str">
        <f>B116&amp;VLOOKUP(C116,定义数据!$E$1:$F$7,2,FALSE)&amp;D116</f>
        <v>1060</v>
      </c>
      <c r="AK116" s="14">
        <f t="shared" si="29"/>
        <v>16</v>
      </c>
      <c r="AL116" s="5">
        <f t="shared" si="99"/>
        <v>3</v>
      </c>
      <c r="AM116" s="5" t="str">
        <f t="array" aca="1" ref="AM116" ca="1">IF(AM$31&gt;$AL116,0,IF(ISERROR(OFFSET($E$31,0,SMALL(IF($E116:$X116&gt;0,COLUMN($A:$T),""),AM$31)-1)),0,OFFSET($E$31,0,SMALL(IF($E116:$X116&gt;0,COLUMN($A:$T),""),AM$31)-1)))</f>
        <v>攻击</v>
      </c>
      <c r="AN116" s="5">
        <f t="array" aca="1" ref="AN116" ca="1">IF(AM$31&gt;$AL116,0,IF(ISERROR(INDEX($E116:$X116,,SMALL(IF($E116:$X116&gt;0,COLUMN($A:$T),""),AN$31))),0,INDEX($E116:$X116,,SMALL(IF($E116:$X116&gt;0,COLUMN($A:$T),""),AN$31))))</f>
        <v>268.78346951871663</v>
      </c>
      <c r="AO116" s="5" t="str">
        <f t="array" aca="1" ref="AO116" ca="1">IF(AO$31&gt;$AL116,0,IF(ISERROR(OFFSET($E$31,0,SMALL(IF($E116:$X116&gt;0,COLUMN($A:$T),""),AO$31)-1)),0,OFFSET($E$31,0,SMALL(IF($E116:$X116&gt;0,COLUMN($A:$T),""),AO$31)-1)))</f>
        <v>暴击值</v>
      </c>
      <c r="AP116" s="5">
        <f t="array" aca="1" ref="AP116" ca="1">IF(AO$31&gt;$AL116,0,IF(ISERROR(INDEX($E116:$X116,,SMALL(IF($E116:$X116&gt;0,COLUMN($A:$T),""),AP$31))),0,INDEX($E116:$X116,,SMALL(IF($E116:$X116&gt;0,COLUMN($A:$T),""),AP$31))))</f>
        <v>166.66666666666666</v>
      </c>
      <c r="AQ116" s="5" t="str">
        <f t="array" aca="1" ref="AQ116" ca="1">IF(AQ$31&gt;$AL116,0,IF(ISERROR(OFFSET($E$31,0,SMALL(IF($E116:$X116&gt;0,COLUMN($A:$T),""),AQ$31)-1)),0,OFFSET($E$31,0,SMALL(IF($E116:$X116&gt;0,COLUMN($A:$T),""),AQ$31)-1)))</f>
        <v>攻击</v>
      </c>
      <c r="AR116" s="5">
        <f t="array" aca="1" ref="AR116" ca="1">IF(AQ$31&gt;$AL116,0,IF(ISERROR(INDEX($E116:$X116,,SMALL(IF($E116:$X116&gt;0,COLUMN($A:$T),""),AR$31))),0,INDEX($E116:$X116,,SMALL(IF($E116:$X116&gt;0,COLUMN($A:$T),""),AR$31))))</f>
        <v>21.502677561497329</v>
      </c>
      <c r="AS116" s="5">
        <f t="array" aca="1" ref="AS116" ca="1">IF(AS$31&gt;$AL116,0,IF(ISERROR(OFFSET($E$31,0,SMALL(IF($E116:$X116&gt;0,COLUMN($A:$T),""),AS$31)-1)),0,OFFSET($E$31,0,SMALL(IF($E116:$X116&gt;0,COLUMN($A:$T),""),AS$31)-1)))</f>
        <v>0</v>
      </c>
      <c r="AT116" s="5">
        <f t="array" ref="AT116">IF(AS$31&gt;$AL116,0,IF(ISERROR(INDEX($E116:$X116,,SMALL(IF($E116:$X116&gt;0,COLUMN($A:$T),""),AT$31))),0,INDEX($E116:$X116,,SMALL(IF($E116:$X116&gt;0,COLUMN($A:$T),""),AT$31))))</f>
        <v>0</v>
      </c>
      <c r="AU116" s="5">
        <f t="array" aca="1" ref="AU116" ca="1">IF(AU$31&gt;$AL116,0,IF(ISERROR(OFFSET($E$31,0,SMALL(IF($E116:$X116&gt;0,COLUMN($A:$T),""),AU$31)-1)),0,OFFSET($E$31,0,SMALL(IF($E116:$X116&gt;0,COLUMN($A:$T),""),AU$31)-1)))</f>
        <v>0</v>
      </c>
      <c r="AV116" s="5">
        <f t="array" ref="AV116">IF(AU$31&gt;$AL116,0,IF(ISERROR(INDEX($E116:$X116,,SMALL(IF($E116:$X116&gt;0,COLUMN($A:$T),""),AV$31))),0,INDEX($E116:$X116,,SMALL(IF($E116:$X116&gt;0,COLUMN($A:$T),""),AV$31))))</f>
        <v>0</v>
      </c>
      <c r="AW116" s="5">
        <f t="array" aca="1" ref="AW116" ca="1">IF(AW$31&gt;$AL116,0,IF(ISERROR(OFFSET($E$31,0,SMALL(IF($E116:$X116&gt;0,COLUMN($A:$T),""),AW$31)-1)),0,OFFSET($E$31,0,SMALL(IF($E116:$X116&gt;0,COLUMN($A:$T),""),AW$31)-1)))</f>
        <v>0</v>
      </c>
      <c r="AX116" s="5">
        <f t="array" ref="AX116">IF(AW$31&gt;$AL116,0,IF(ISERROR(INDEX($E116:$X116,,SMALL(IF($E116:$X116&gt;0,COLUMN($A:$T),""),AX$31))),0,INDEX($E116:$X116,,SMALL(IF($E116:$X116&gt;0,COLUMN($A:$T),""),AX$31))))</f>
        <v>0</v>
      </c>
      <c r="AY116" s="5">
        <f t="array" aca="1" ref="AY116" ca="1">IF(AY$31&gt;$AL116,0,IF(ISERROR(OFFSET($E$31,0,SMALL(IF($E116:$X116&gt;0,COLUMN($A:$T),""),AY$31)-1)),0,OFFSET($E$31,0,SMALL(IF($E116:$X116&gt;0,COLUMN($A:$T),""),AY$31)-1)))</f>
        <v>0</v>
      </c>
      <c r="AZ116" s="5">
        <f t="array" ref="AZ116">IF(AY$31&gt;$AL116,0,IF(ISERROR(INDEX($E116:$X116,,SMALL(IF($E116:$X116&gt;0,COLUMN($A:$T),""),AZ$31))),0,INDEX($E116:$X116,,SMALL(IF($E116:$X116&gt;0,COLUMN($A:$T),""),AZ$31))))</f>
        <v>0</v>
      </c>
      <c r="BA116" s="5">
        <f t="array" aca="1" ref="BA116" ca="1">IF(BA$31&gt;$AL116,0,IF(ISERROR(OFFSET($E$31,0,SMALL(IF($E116:$X116&gt;0,COLUMN($A:$T),""),BA$31)-1)),0,OFFSET($E$31,0,SMALL(IF($E116:$X116&gt;0,COLUMN($A:$T),""),BA$31)-1)))</f>
        <v>0</v>
      </c>
      <c r="BB116" s="5">
        <f t="array" ref="BB116">IF(BA$31&gt;$AL116,0,IF(ISERROR(INDEX($E116:$X116,,SMALL(IF($E116:$X116&gt;0,COLUMN($A:$T),""),BB$31))),0,INDEX($E116:$X116,,SMALL(IF($E116:$X116&gt;0,COLUMN($A:$T),""),BB$31))))</f>
        <v>0</v>
      </c>
      <c r="BC116" s="5">
        <f t="array" aca="1" ref="BC116" ca="1">IF(BC$31&gt;$AL116,0,IF(ISERROR(OFFSET($E$31,0,SMALL(IF($E116:$X116&gt;0,COLUMN($A:$T),""),BC$31)-1)),0,OFFSET($E$31,0,SMALL(IF($E116:$X116&gt;0,COLUMN($A:$T),""),BC$31)-1)))</f>
        <v>0</v>
      </c>
      <c r="BD116" s="5">
        <f t="array" ref="BD116">IF(BC$31&gt;$AL116,0,IF(ISERROR(INDEX($E116:$X116,,SMALL(IF($E116:$X116&gt;0,COLUMN($A:$T),""),BD$31))),0,INDEX($E116:$X116,,SMALL(IF($E116:$X116&gt;0,COLUMN($A:$T),""),BD$31))))</f>
        <v>0</v>
      </c>
      <c r="BE116" s="5">
        <f t="array" aca="1" ref="BE116" ca="1">IF(BE$31&gt;$AL116,0,IF(ISERROR(OFFSET($E$31,0,SMALL(IF($E116:$X116&gt;0,COLUMN($A:$T),""),BE$31)-1)),0,OFFSET($E$31,0,SMALL(IF($E116:$X116&gt;0,COLUMN($A:$T),""),BE$31)-1)))</f>
        <v>0</v>
      </c>
      <c r="BF116" s="5">
        <f t="array" ref="BF116">IF(BE$31&gt;$AL116,0,IF(ISERROR(INDEX($E116:$X116,,SMALL(IF($E116:$X116&gt;0,COLUMN($A:$T),""),BF$31))),0,INDEX($E116:$X116,,SMALL(IF($E116:$X116&gt;0,COLUMN($A:$T),""),BF$31))))</f>
        <v>0</v>
      </c>
      <c r="BH116">
        <f ca="1">SUMPRODUCT(E116:N116,定义数据!$G$14:$P$14)</f>
        <v>298.78346951871663</v>
      </c>
      <c r="BI116">
        <f ca="1">SUMPRODUCT(O116:X116,定义数据!$G$14:$P$14)</f>
        <v>28.471216590960065</v>
      </c>
      <c r="BJ116" s="5">
        <f t="shared" ca="1" si="100"/>
        <v>327.2546861096767</v>
      </c>
      <c r="BK116" s="5" t="str">
        <f>D116&amp;B116&amp;VLOOKUP(C116,定义数据!$E$1:$F$7,2,FALSE)</f>
        <v>6010</v>
      </c>
    </row>
    <row r="117" spans="1:63" x14ac:dyDescent="0.15">
      <c r="A117" s="17" t="str">
        <f>D117&amp;B117&amp;VLOOKUP(C117,定义数据!$E$1:$F$7,2,FALSE)</f>
        <v>6011</v>
      </c>
      <c r="B117" s="18">
        <v>1</v>
      </c>
      <c r="C117" s="18" t="s">
        <v>136</v>
      </c>
      <c r="D117" s="24">
        <v>60</v>
      </c>
      <c r="E117" s="56">
        <f t="shared" ca="1" si="111"/>
        <v>4233.4012605427797</v>
      </c>
      <c r="F117" s="56">
        <f t="shared" ca="1" si="112"/>
        <v>0</v>
      </c>
      <c r="G117" s="56">
        <f t="shared" ca="1" si="113"/>
        <v>92.917405060658595</v>
      </c>
      <c r="H117" s="56">
        <f t="shared" ca="1" si="114"/>
        <v>0</v>
      </c>
      <c r="I117" s="56">
        <f t="shared" ca="1" si="115"/>
        <v>0</v>
      </c>
      <c r="J117" s="56">
        <f t="shared" ca="1" si="116"/>
        <v>0</v>
      </c>
      <c r="K117" s="56">
        <f t="shared" ca="1" si="117"/>
        <v>0</v>
      </c>
      <c r="L117" s="56">
        <f t="shared" ca="1" si="118"/>
        <v>0</v>
      </c>
      <c r="M117" s="56">
        <f t="shared" ca="1" si="119"/>
        <v>0</v>
      </c>
      <c r="N117" s="56">
        <f t="shared" ca="1" si="120"/>
        <v>0</v>
      </c>
      <c r="O117" s="65">
        <f t="shared" ca="1" si="101"/>
        <v>235.18895891904333</v>
      </c>
      <c r="P117" s="65">
        <f t="shared" ca="1" si="102"/>
        <v>0</v>
      </c>
      <c r="Q117" s="65">
        <f t="shared" ca="1" si="103"/>
        <v>7.7431170883882166</v>
      </c>
      <c r="R117" s="65">
        <f t="shared" ca="1" si="104"/>
        <v>5.625</v>
      </c>
      <c r="S117" s="65">
        <f t="shared" ca="1" si="105"/>
        <v>0</v>
      </c>
      <c r="T117" s="65">
        <f t="shared" ca="1" si="106"/>
        <v>0</v>
      </c>
      <c r="U117" s="65">
        <f t="shared" ca="1" si="107"/>
        <v>0</v>
      </c>
      <c r="V117" s="65">
        <f t="shared" ca="1" si="108"/>
        <v>5.5555555555555554</v>
      </c>
      <c r="W117" s="65">
        <f t="shared" ca="1" si="109"/>
        <v>0</v>
      </c>
      <c r="X117" s="65">
        <f t="shared" ca="1" si="110"/>
        <v>0</v>
      </c>
      <c r="Y117" s="21" t="s">
        <v>95</v>
      </c>
      <c r="Z117" s="15">
        <f>VLOOKUP($D117&amp;$B117,[3]!装备基础属性表,P$30,FALSE)</f>
        <v>7055.6687675713001</v>
      </c>
      <c r="AA117" s="15">
        <f>VLOOKUP($D117&amp;$B117,[3]!装备基础属性表,Q$30,FALSE)</f>
        <v>358.37795935828882</v>
      </c>
      <c r="AB117" s="15">
        <f>VLOOKUP($D117&amp;$B117,[3]!装备基础属性表,R$30,FALSE)</f>
        <v>154.86234176776432</v>
      </c>
      <c r="AC117" s="15">
        <f>VLOOKUP($D117&amp;$B117,[3]!装备基础属性表,S$30,FALSE)</f>
        <v>281.25</v>
      </c>
      <c r="AD117" s="15">
        <f>VLOOKUP($D117&amp;$B117,[3]!装备基础属性表,T$30,FALSE)</f>
        <v>281.25</v>
      </c>
      <c r="AE117" s="15">
        <f>VLOOKUP($D117&amp;$B117,[3]!装备基础属性表,U$30,FALSE)</f>
        <v>166.66666666666666</v>
      </c>
      <c r="AF117" s="15">
        <f>VLOOKUP($D117&amp;$B117,[3]!装备基础属性表,V$30,FALSE)</f>
        <v>0</v>
      </c>
      <c r="AG117" s="15">
        <f>VLOOKUP($D117&amp;$B117,[3]!装备基础属性表,W$30,FALSE)</f>
        <v>166.66666666666666</v>
      </c>
      <c r="AH117" s="15">
        <f>VLOOKUP($D117&amp;$B117,[3]!装备基础属性表,X$30,FALSE)</f>
        <v>0</v>
      </c>
      <c r="AI117" s="15">
        <f>VLOOKUP($D117&amp;$B117,[3]!装备基础属性表,Y$30,FALSE)</f>
        <v>0</v>
      </c>
      <c r="AJ117" s="16" t="str">
        <f>B117&amp;VLOOKUP(C117,定义数据!$E$1:$F$7,2,FALSE)&amp;D117</f>
        <v>1160</v>
      </c>
      <c r="AK117" s="14">
        <f t="shared" si="29"/>
        <v>16</v>
      </c>
      <c r="AL117" s="5">
        <f t="shared" si="99"/>
        <v>3</v>
      </c>
      <c r="AM117" s="5" t="str">
        <f t="array" aca="1" ref="AM117" ca="1">IF(AM$31&gt;$AL117,0,IF(ISERROR(OFFSET($E$31,0,SMALL(IF($E117:$X117&gt;0,COLUMN($A:$T),""),AM$31)-1)),0,OFFSET($E$31,0,SMALL(IF($E117:$X117&gt;0,COLUMN($A:$T),""),AM$31)-1)))</f>
        <v>生命</v>
      </c>
      <c r="AN117" s="5">
        <f t="array" aca="1" ref="AN117" ca="1">IF(AM$31&gt;$AL117,0,IF(ISERROR(INDEX($E117:$X117,,SMALL(IF($E117:$X117&gt;0,COLUMN($A:$T),""),AN$31))),0,INDEX($E117:$X117,,SMALL(IF($E117:$X117&gt;0,COLUMN($A:$T),""),AN$31))))</f>
        <v>4233.4012605427797</v>
      </c>
      <c r="AO117" s="5" t="str">
        <f t="array" aca="1" ref="AO117" ca="1">IF(AO$31&gt;$AL117,0,IF(ISERROR(OFFSET($E$31,0,SMALL(IF($E117:$X117&gt;0,COLUMN($A:$T),""),AO$31)-1)),0,OFFSET($E$31,0,SMALL(IF($E117:$X117&gt;0,COLUMN($A:$T),""),AO$31)-1)))</f>
        <v>防御</v>
      </c>
      <c r="AP117" s="5">
        <f t="array" aca="1" ref="AP117" ca="1">IF(AO$31&gt;$AL117,0,IF(ISERROR(INDEX($E117:$X117,,SMALL(IF($E117:$X117&gt;0,COLUMN($A:$T),""),AP$31))),0,INDEX($E117:$X117,,SMALL(IF($E117:$X117&gt;0,COLUMN($A:$T),""),AP$31))))</f>
        <v>92.917405060658595</v>
      </c>
      <c r="AQ117" s="5" t="str">
        <f t="array" aca="1" ref="AQ117" ca="1">IF(AQ$31&gt;$AL117,0,IF(ISERROR(OFFSET($E$31,0,SMALL(IF($E117:$X117&gt;0,COLUMN($A:$T),""),AQ$31)-1)),0,OFFSET($E$31,0,SMALL(IF($E117:$X117&gt;0,COLUMN($A:$T),""),AQ$31)-1)))</f>
        <v>生命</v>
      </c>
      <c r="AR117" s="5">
        <f t="array" aca="1" ref="AR117" ca="1">IF(AQ$31&gt;$AL117,0,IF(ISERROR(INDEX($E117:$X117,,SMALL(IF($E117:$X117&gt;0,COLUMN($A:$T),""),AR$31))),0,INDEX($E117:$X117,,SMALL(IF($E117:$X117&gt;0,COLUMN($A:$T),""),AR$31))))</f>
        <v>235.18895891904333</v>
      </c>
      <c r="AS117" s="5">
        <f t="array" aca="1" ref="AS117" ca="1">IF(AS$31&gt;$AL117,0,IF(ISERROR(OFFSET($E$31,0,SMALL(IF($E117:$X117&gt;0,COLUMN($A:$T),""),AS$31)-1)),0,OFFSET($E$31,0,SMALL(IF($E117:$X117&gt;0,COLUMN($A:$T),""),AS$31)-1)))</f>
        <v>0</v>
      </c>
      <c r="AT117" s="5">
        <f t="array" ref="AT117">IF(AS$31&gt;$AL117,0,IF(ISERROR(INDEX($E117:$X117,,SMALL(IF($E117:$X117&gt;0,COLUMN($A:$T),""),AT$31))),0,INDEX($E117:$X117,,SMALL(IF($E117:$X117&gt;0,COLUMN($A:$T),""),AT$31))))</f>
        <v>0</v>
      </c>
      <c r="AU117" s="5">
        <f t="array" aca="1" ref="AU117" ca="1">IF(AU$31&gt;$AL117,0,IF(ISERROR(OFFSET($E$31,0,SMALL(IF($E117:$X117&gt;0,COLUMN($A:$T),""),AU$31)-1)),0,OFFSET($E$31,0,SMALL(IF($E117:$X117&gt;0,COLUMN($A:$T),""),AU$31)-1)))</f>
        <v>0</v>
      </c>
      <c r="AV117" s="5">
        <f t="array" ref="AV117">IF(AU$31&gt;$AL117,0,IF(ISERROR(INDEX($E117:$X117,,SMALL(IF($E117:$X117&gt;0,COLUMN($A:$T),""),AV$31))),0,INDEX($E117:$X117,,SMALL(IF($E117:$X117&gt;0,COLUMN($A:$T),""),AV$31))))</f>
        <v>0</v>
      </c>
      <c r="AW117" s="5">
        <f t="array" aca="1" ref="AW117" ca="1">IF(AW$31&gt;$AL117,0,IF(ISERROR(OFFSET($E$31,0,SMALL(IF($E117:$X117&gt;0,COLUMN($A:$T),""),AW$31)-1)),0,OFFSET($E$31,0,SMALL(IF($E117:$X117&gt;0,COLUMN($A:$T),""),AW$31)-1)))</f>
        <v>0</v>
      </c>
      <c r="AX117" s="5">
        <f t="array" ref="AX117">IF(AW$31&gt;$AL117,0,IF(ISERROR(INDEX($E117:$X117,,SMALL(IF($E117:$X117&gt;0,COLUMN($A:$T),""),AX$31))),0,INDEX($E117:$X117,,SMALL(IF($E117:$X117&gt;0,COLUMN($A:$T),""),AX$31))))</f>
        <v>0</v>
      </c>
      <c r="AY117" s="5">
        <f t="array" aca="1" ref="AY117" ca="1">IF(AY$31&gt;$AL117,0,IF(ISERROR(OFFSET($E$31,0,SMALL(IF($E117:$X117&gt;0,COLUMN($A:$T),""),AY$31)-1)),0,OFFSET($E$31,0,SMALL(IF($E117:$X117&gt;0,COLUMN($A:$T),""),AY$31)-1)))</f>
        <v>0</v>
      </c>
      <c r="AZ117" s="5">
        <f t="array" ref="AZ117">IF(AY$31&gt;$AL117,0,IF(ISERROR(INDEX($E117:$X117,,SMALL(IF($E117:$X117&gt;0,COLUMN($A:$T),""),AZ$31))),0,INDEX($E117:$X117,,SMALL(IF($E117:$X117&gt;0,COLUMN($A:$T),""),AZ$31))))</f>
        <v>0</v>
      </c>
      <c r="BA117" s="5">
        <f t="array" aca="1" ref="BA117" ca="1">IF(BA$31&gt;$AL117,0,IF(ISERROR(OFFSET($E$31,0,SMALL(IF($E117:$X117&gt;0,COLUMN($A:$T),""),BA$31)-1)),0,OFFSET($E$31,0,SMALL(IF($E117:$X117&gt;0,COLUMN($A:$T),""),BA$31)-1)))</f>
        <v>0</v>
      </c>
      <c r="BB117" s="5">
        <f t="array" ref="BB117">IF(BA$31&gt;$AL117,0,IF(ISERROR(INDEX($E117:$X117,,SMALL(IF($E117:$X117&gt;0,COLUMN($A:$T),""),BB$31))),0,INDEX($E117:$X117,,SMALL(IF($E117:$X117&gt;0,COLUMN($A:$T),""),BB$31))))</f>
        <v>0</v>
      </c>
      <c r="BC117" s="5">
        <f t="array" aca="1" ref="BC117" ca="1">IF(BC$31&gt;$AL117,0,IF(ISERROR(OFFSET($E$31,0,SMALL(IF($E117:$X117&gt;0,COLUMN($A:$T),""),BC$31)-1)),0,OFFSET($E$31,0,SMALL(IF($E117:$X117&gt;0,COLUMN($A:$T),""),BC$31)-1)))</f>
        <v>0</v>
      </c>
      <c r="BD117" s="5">
        <f t="array" ref="BD117">IF(BC$31&gt;$AL117,0,IF(ISERROR(INDEX($E117:$X117,,SMALL(IF($E117:$X117&gt;0,COLUMN($A:$T),""),BD$31))),0,INDEX($E117:$X117,,SMALL(IF($E117:$X117&gt;0,COLUMN($A:$T),""),BD$31))))</f>
        <v>0</v>
      </c>
      <c r="BE117" s="5">
        <f t="array" aca="1" ref="BE117" ca="1">IF(BE$31&gt;$AL117,0,IF(ISERROR(OFFSET($E$31,0,SMALL(IF($E117:$X117&gt;0,COLUMN($A:$T),""),BE$31)-1)),0,OFFSET($E$31,0,SMALL(IF($E117:$X117&gt;0,COLUMN($A:$T),""),BE$31)-1)))</f>
        <v>0</v>
      </c>
      <c r="BF117" s="5">
        <f t="array" ref="BF117">IF(BE$31&gt;$AL117,0,IF(ISERROR(INDEX($E117:$X117,,SMALL(IF($E117:$X117&gt;0,COLUMN($A:$T),""),BF$31))),0,INDEX($E117:$X117,,SMALL(IF($E117:$X117&gt;0,COLUMN($A:$T),""),BF$31))))</f>
        <v>0</v>
      </c>
      <c r="BH117">
        <f ca="1">SUMPRODUCT(E117:N117,定义数据!$G$14:$P$14)</f>
        <v>262.25345548236976</v>
      </c>
      <c r="BI117">
        <f ca="1">SUMPRODUCT(O117:X117,定义数据!$G$14:$P$14)</f>
        <v>20.063175445149952</v>
      </c>
      <c r="BJ117" s="5">
        <f t="shared" ca="1" si="100"/>
        <v>282.31663092751972</v>
      </c>
      <c r="BK117" s="5" t="str">
        <f>D117&amp;B117&amp;VLOOKUP(C117,定义数据!$E$1:$F$7,2,FALSE)</f>
        <v>6011</v>
      </c>
    </row>
    <row r="118" spans="1:63" x14ac:dyDescent="0.15">
      <c r="A118" s="17" t="str">
        <f>D118&amp;B118&amp;VLOOKUP(C118,定义数据!$E$1:$F$7,2,FALSE)</f>
        <v>6012</v>
      </c>
      <c r="B118" s="18">
        <v>1</v>
      </c>
      <c r="C118" s="18" t="s">
        <v>137</v>
      </c>
      <c r="D118" s="24">
        <v>60</v>
      </c>
      <c r="E118" s="56">
        <f t="shared" ca="1" si="111"/>
        <v>0</v>
      </c>
      <c r="F118" s="56">
        <f t="shared" ca="1" si="112"/>
        <v>0</v>
      </c>
      <c r="G118" s="56">
        <f t="shared" ca="1" si="113"/>
        <v>61.944936707105732</v>
      </c>
      <c r="H118" s="56">
        <f t="shared" ca="1" si="114"/>
        <v>93.75</v>
      </c>
      <c r="I118" s="56">
        <f t="shared" ca="1" si="115"/>
        <v>0</v>
      </c>
      <c r="J118" s="56">
        <f t="shared" ca="1" si="116"/>
        <v>0</v>
      </c>
      <c r="K118" s="56">
        <f t="shared" ca="1" si="117"/>
        <v>0</v>
      </c>
      <c r="L118" s="56">
        <f t="shared" ca="1" si="118"/>
        <v>0</v>
      </c>
      <c r="M118" s="56">
        <f t="shared" ca="1" si="119"/>
        <v>0</v>
      </c>
      <c r="N118" s="56">
        <f t="shared" ca="1" si="120"/>
        <v>0</v>
      </c>
      <c r="O118" s="65">
        <f t="shared" ca="1" si="101"/>
        <v>117.59447945952166</v>
      </c>
      <c r="P118" s="65">
        <f t="shared" ca="1" si="102"/>
        <v>0</v>
      </c>
      <c r="Q118" s="65">
        <f t="shared" ca="1" si="103"/>
        <v>2.5810390294627386</v>
      </c>
      <c r="R118" s="65">
        <f t="shared" ca="1" si="104"/>
        <v>5.625</v>
      </c>
      <c r="S118" s="65">
        <f t="shared" ca="1" si="105"/>
        <v>0</v>
      </c>
      <c r="T118" s="65">
        <f t="shared" ca="1" si="106"/>
        <v>0</v>
      </c>
      <c r="U118" s="65">
        <f t="shared" ca="1" si="107"/>
        <v>0</v>
      </c>
      <c r="V118" s="65">
        <f t="shared" ca="1" si="108"/>
        <v>5.5555555555555554</v>
      </c>
      <c r="W118" s="65">
        <f t="shared" ca="1" si="109"/>
        <v>0</v>
      </c>
      <c r="X118" s="65">
        <f t="shared" ca="1" si="110"/>
        <v>0</v>
      </c>
      <c r="Y118" s="21" t="s">
        <v>96</v>
      </c>
      <c r="Z118" s="15">
        <f>VLOOKUP($D118&amp;$B118,[3]!装备基础属性表,P$30,FALSE)</f>
        <v>7055.6687675713001</v>
      </c>
      <c r="AA118" s="15">
        <f>VLOOKUP($D118&amp;$B118,[3]!装备基础属性表,Q$30,FALSE)</f>
        <v>358.37795935828882</v>
      </c>
      <c r="AB118" s="15">
        <f>VLOOKUP($D118&amp;$B118,[3]!装备基础属性表,R$30,FALSE)</f>
        <v>154.86234176776432</v>
      </c>
      <c r="AC118" s="15">
        <f>VLOOKUP($D118&amp;$B118,[3]!装备基础属性表,S$30,FALSE)</f>
        <v>281.25</v>
      </c>
      <c r="AD118" s="15">
        <f>VLOOKUP($D118&amp;$B118,[3]!装备基础属性表,T$30,FALSE)</f>
        <v>281.25</v>
      </c>
      <c r="AE118" s="15">
        <f>VLOOKUP($D118&amp;$B118,[3]!装备基础属性表,U$30,FALSE)</f>
        <v>166.66666666666666</v>
      </c>
      <c r="AF118" s="15">
        <f>VLOOKUP($D118&amp;$B118,[3]!装备基础属性表,V$30,FALSE)</f>
        <v>0</v>
      </c>
      <c r="AG118" s="15">
        <f>VLOOKUP($D118&amp;$B118,[3]!装备基础属性表,W$30,FALSE)</f>
        <v>166.66666666666666</v>
      </c>
      <c r="AH118" s="15">
        <f>VLOOKUP($D118&amp;$B118,[3]!装备基础属性表,X$30,FALSE)</f>
        <v>0</v>
      </c>
      <c r="AI118" s="15">
        <f>VLOOKUP($D118&amp;$B118,[3]!装备基础属性表,Y$30,FALSE)</f>
        <v>0</v>
      </c>
      <c r="AJ118" s="16" t="str">
        <f>B118&amp;VLOOKUP(C118,定义数据!$E$1:$F$7,2,FALSE)&amp;D118</f>
        <v>1260</v>
      </c>
      <c r="AK118" s="14">
        <f t="shared" si="29"/>
        <v>16</v>
      </c>
      <c r="AL118" s="5">
        <f t="shared" si="99"/>
        <v>3</v>
      </c>
      <c r="AM118" s="5" t="str">
        <f t="array" aca="1" ref="AM118" ca="1">IF(AM$31&gt;$AL118,0,IF(ISERROR(OFFSET($E$31,0,SMALL(IF($E118:$X118&gt;0,COLUMN($A:$T),""),AM$31)-1)),0,OFFSET($E$31,0,SMALL(IF($E118:$X118&gt;0,COLUMN($A:$T),""),AM$31)-1)))</f>
        <v>防御</v>
      </c>
      <c r="AN118" s="5">
        <f t="array" aca="1" ref="AN118" ca="1">IF(AM$31&gt;$AL118,0,IF(ISERROR(INDEX($E118:$X118,,SMALL(IF($E118:$X118&gt;0,COLUMN($A:$T),""),AN$31))),0,INDEX($E118:$X118,,SMALL(IF($E118:$X118&gt;0,COLUMN($A:$T),""),AN$31))))</f>
        <v>61.944936707105732</v>
      </c>
      <c r="AO118" s="5" t="str">
        <f t="array" aca="1" ref="AO118" ca="1">IF(AO$31&gt;$AL118,0,IF(ISERROR(OFFSET($E$31,0,SMALL(IF($E118:$X118&gt;0,COLUMN($A:$T),""),AO$31)-1)),0,OFFSET($E$31,0,SMALL(IF($E118:$X118&gt;0,COLUMN($A:$T),""),AO$31)-1)))</f>
        <v>闪避值</v>
      </c>
      <c r="AP118" s="5">
        <f t="array" aca="1" ref="AP118" ca="1">IF(AO$31&gt;$AL118,0,IF(ISERROR(INDEX($E118:$X118,,SMALL(IF($E118:$X118&gt;0,COLUMN($A:$T),""),AP$31))),0,INDEX($E118:$X118,,SMALL(IF($E118:$X118&gt;0,COLUMN($A:$T),""),AP$31))))</f>
        <v>93.75</v>
      </c>
      <c r="AQ118" s="5" t="str">
        <f t="array" aca="1" ref="AQ118" ca="1">IF(AQ$31&gt;$AL118,0,IF(ISERROR(OFFSET($E$31,0,SMALL(IF($E118:$X118&gt;0,COLUMN($A:$T),""),AQ$31)-1)),0,OFFSET($E$31,0,SMALL(IF($E118:$X118&gt;0,COLUMN($A:$T),""),AQ$31)-1)))</f>
        <v>生命</v>
      </c>
      <c r="AR118" s="5">
        <f t="array" aca="1" ref="AR118" ca="1">IF(AQ$31&gt;$AL118,0,IF(ISERROR(INDEX($E118:$X118,,SMALL(IF($E118:$X118&gt;0,COLUMN($A:$T),""),AR$31))),0,INDEX($E118:$X118,,SMALL(IF($E118:$X118&gt;0,COLUMN($A:$T),""),AR$31))))</f>
        <v>117.59447945952166</v>
      </c>
      <c r="AS118" s="5">
        <f t="array" aca="1" ref="AS118" ca="1">IF(AS$31&gt;$AL118,0,IF(ISERROR(OFFSET($E$31,0,SMALL(IF($E118:$X118&gt;0,COLUMN($A:$T),""),AS$31)-1)),0,OFFSET($E$31,0,SMALL(IF($E118:$X118&gt;0,COLUMN($A:$T),""),AS$31)-1)))</f>
        <v>0</v>
      </c>
      <c r="AT118" s="5">
        <f t="array" ref="AT118">IF(AS$31&gt;$AL118,0,IF(ISERROR(INDEX($E118:$X118,,SMALL(IF($E118:$X118&gt;0,COLUMN($A:$T),""),AT$31))),0,INDEX($E118:$X118,,SMALL(IF($E118:$X118&gt;0,COLUMN($A:$T),""),AT$31))))</f>
        <v>0</v>
      </c>
      <c r="AU118" s="5">
        <f t="array" aca="1" ref="AU118" ca="1">IF(AU$31&gt;$AL118,0,IF(ISERROR(OFFSET($E$31,0,SMALL(IF($E118:$X118&gt;0,COLUMN($A:$T),""),AU$31)-1)),0,OFFSET($E$31,0,SMALL(IF($E118:$X118&gt;0,COLUMN($A:$T),""),AU$31)-1)))</f>
        <v>0</v>
      </c>
      <c r="AV118" s="5">
        <f t="array" ref="AV118">IF(AU$31&gt;$AL118,0,IF(ISERROR(INDEX($E118:$X118,,SMALL(IF($E118:$X118&gt;0,COLUMN($A:$T),""),AV$31))),0,INDEX($E118:$X118,,SMALL(IF($E118:$X118&gt;0,COLUMN($A:$T),""),AV$31))))</f>
        <v>0</v>
      </c>
      <c r="AW118" s="5">
        <f t="array" aca="1" ref="AW118" ca="1">IF(AW$31&gt;$AL118,0,IF(ISERROR(OFFSET($E$31,0,SMALL(IF($E118:$X118&gt;0,COLUMN($A:$T),""),AW$31)-1)),0,OFFSET($E$31,0,SMALL(IF($E118:$X118&gt;0,COLUMN($A:$T),""),AW$31)-1)))</f>
        <v>0</v>
      </c>
      <c r="AX118" s="5">
        <f t="array" ref="AX118">IF(AW$31&gt;$AL118,0,IF(ISERROR(INDEX($E118:$X118,,SMALL(IF($E118:$X118&gt;0,COLUMN($A:$T),""),AX$31))),0,INDEX($E118:$X118,,SMALL(IF($E118:$X118&gt;0,COLUMN($A:$T),""),AX$31))))</f>
        <v>0</v>
      </c>
      <c r="AY118" s="5">
        <f t="array" aca="1" ref="AY118" ca="1">IF(AY$31&gt;$AL118,0,IF(ISERROR(OFFSET($E$31,0,SMALL(IF($E118:$X118&gt;0,COLUMN($A:$T),""),AY$31)-1)),0,OFFSET($E$31,0,SMALL(IF($E118:$X118&gt;0,COLUMN($A:$T),""),AY$31)-1)))</f>
        <v>0</v>
      </c>
      <c r="AZ118" s="5">
        <f t="array" ref="AZ118">IF(AY$31&gt;$AL118,0,IF(ISERROR(INDEX($E118:$X118,,SMALL(IF($E118:$X118&gt;0,COLUMN($A:$T),""),AZ$31))),0,INDEX($E118:$X118,,SMALL(IF($E118:$X118&gt;0,COLUMN($A:$T),""),AZ$31))))</f>
        <v>0</v>
      </c>
      <c r="BA118" s="5">
        <f t="array" aca="1" ref="BA118" ca="1">IF(BA$31&gt;$AL118,0,IF(ISERROR(OFFSET($E$31,0,SMALL(IF($E118:$X118&gt;0,COLUMN($A:$T),""),BA$31)-1)),0,OFFSET($E$31,0,SMALL(IF($E118:$X118&gt;0,COLUMN($A:$T),""),BA$31)-1)))</f>
        <v>0</v>
      </c>
      <c r="BB118" s="5">
        <f t="array" ref="BB118">IF(BA$31&gt;$AL118,0,IF(ISERROR(INDEX($E118:$X118,,SMALL(IF($E118:$X118&gt;0,COLUMN($A:$T),""),BB$31))),0,INDEX($E118:$X118,,SMALL(IF($E118:$X118&gt;0,COLUMN($A:$T),""),BB$31))))</f>
        <v>0</v>
      </c>
      <c r="BC118" s="5">
        <f t="array" aca="1" ref="BC118" ca="1">IF(BC$31&gt;$AL118,0,IF(ISERROR(OFFSET($E$31,0,SMALL(IF($E118:$X118&gt;0,COLUMN($A:$T),""),BC$31)-1)),0,OFFSET($E$31,0,SMALL(IF($E118:$X118&gt;0,COLUMN($A:$T),""),BC$31)-1)))</f>
        <v>0</v>
      </c>
      <c r="BD118" s="5">
        <f t="array" ref="BD118">IF(BC$31&gt;$AL118,0,IF(ISERROR(INDEX($E118:$X118,,SMALL(IF($E118:$X118&gt;0,COLUMN($A:$T),""),BD$31))),0,INDEX($E118:$X118,,SMALL(IF($E118:$X118&gt;0,COLUMN($A:$T),""),BD$31))))</f>
        <v>0</v>
      </c>
      <c r="BE118" s="5">
        <f t="array" aca="1" ref="BE118" ca="1">IF(BE$31&gt;$AL118,0,IF(ISERROR(OFFSET($E$31,0,SMALL(IF($E118:$X118&gt;0,COLUMN($A:$T),""),BE$31)-1)),0,OFFSET($E$31,0,SMALL(IF($E118:$X118&gt;0,COLUMN($A:$T),""),BE$31)-1)))</f>
        <v>0</v>
      </c>
      <c r="BF118" s="5">
        <f t="array" ref="BF118">IF(BE$31&gt;$AL118,0,IF(ISERROR(INDEX($E118:$X118,,SMALL(IF($E118:$X118&gt;0,COLUMN($A:$T),""),BF$31))),0,INDEX($E118:$X118,,SMALL(IF($E118:$X118&gt;0,COLUMN($A:$T),""),BF$31))))</f>
        <v>0</v>
      </c>
      <c r="BH118">
        <f ca="1">SUMPRODUCT(E118:N118,定义数据!$G$14:$P$14)</f>
        <v>93.81993670710574</v>
      </c>
      <c r="BI118">
        <f ca="1">SUMPRODUCT(O118:X118,定义数据!$G$14:$P$14)</f>
        <v>10.197318207843605</v>
      </c>
      <c r="BJ118" s="5">
        <f t="shared" ca="1" si="100"/>
        <v>104.01725491494935</v>
      </c>
      <c r="BK118" s="5" t="str">
        <f>D118&amp;B118&amp;VLOOKUP(C118,定义数据!$E$1:$F$7,2,FALSE)</f>
        <v>6012</v>
      </c>
    </row>
    <row r="119" spans="1:63" x14ac:dyDescent="0.15">
      <c r="A119" s="17" t="str">
        <f>D119&amp;B119&amp;VLOOKUP(C119,定义数据!$E$1:$F$7,2,FALSE)</f>
        <v>6015</v>
      </c>
      <c r="B119" s="18">
        <v>1</v>
      </c>
      <c r="C119" s="18" t="s">
        <v>138</v>
      </c>
      <c r="D119" s="24">
        <v>60</v>
      </c>
      <c r="E119" s="56">
        <f t="shared" ca="1" si="111"/>
        <v>1411.1337535142602</v>
      </c>
      <c r="F119" s="56">
        <f t="shared" ca="1" si="112"/>
        <v>0</v>
      </c>
      <c r="G119" s="56">
        <f t="shared" ca="1" si="113"/>
        <v>0</v>
      </c>
      <c r="H119" s="56">
        <f t="shared" ca="1" si="114"/>
        <v>187.5</v>
      </c>
      <c r="I119" s="56">
        <f t="shared" ca="1" si="115"/>
        <v>0</v>
      </c>
      <c r="J119" s="56">
        <f t="shared" ca="1" si="116"/>
        <v>0</v>
      </c>
      <c r="K119" s="56">
        <f t="shared" ca="1" si="117"/>
        <v>0</v>
      </c>
      <c r="L119" s="56">
        <f t="shared" ca="1" si="118"/>
        <v>0</v>
      </c>
      <c r="M119" s="56">
        <f t="shared" ca="1" si="119"/>
        <v>0</v>
      </c>
      <c r="N119" s="56">
        <f t="shared" ca="1" si="120"/>
        <v>0</v>
      </c>
      <c r="O119" s="65">
        <f t="shared" ca="1" si="101"/>
        <v>117.59447945952166</v>
      </c>
      <c r="P119" s="65">
        <f t="shared" ca="1" si="102"/>
        <v>0</v>
      </c>
      <c r="Q119" s="65">
        <f t="shared" ca="1" si="103"/>
        <v>0</v>
      </c>
      <c r="R119" s="65">
        <f t="shared" ca="1" si="104"/>
        <v>11.25</v>
      </c>
      <c r="S119" s="65">
        <f t="shared" ca="1" si="105"/>
        <v>9.375</v>
      </c>
      <c r="T119" s="65">
        <f t="shared" ca="1" si="106"/>
        <v>3.3333333333333339</v>
      </c>
      <c r="U119" s="65">
        <f t="shared" ca="1" si="107"/>
        <v>0</v>
      </c>
      <c r="V119" s="65">
        <f t="shared" ca="1" si="108"/>
        <v>0</v>
      </c>
      <c r="W119" s="65">
        <f t="shared" ca="1" si="109"/>
        <v>0</v>
      </c>
      <c r="X119" s="65">
        <f t="shared" ca="1" si="110"/>
        <v>0</v>
      </c>
      <c r="Y119" s="21"/>
      <c r="Z119" s="15">
        <f>VLOOKUP($D119&amp;$B119,[3]!装备基础属性表,P$30,FALSE)</f>
        <v>7055.6687675713001</v>
      </c>
      <c r="AA119" s="15">
        <f>VLOOKUP($D119&amp;$B119,[3]!装备基础属性表,Q$30,FALSE)</f>
        <v>358.37795935828882</v>
      </c>
      <c r="AB119" s="15">
        <f>VLOOKUP($D119&amp;$B119,[3]!装备基础属性表,R$30,FALSE)</f>
        <v>154.86234176776432</v>
      </c>
      <c r="AC119" s="15">
        <f>VLOOKUP($D119&amp;$B119,[3]!装备基础属性表,S$30,FALSE)</f>
        <v>281.25</v>
      </c>
      <c r="AD119" s="15">
        <f>VLOOKUP($D119&amp;$B119,[3]!装备基础属性表,T$30,FALSE)</f>
        <v>281.25</v>
      </c>
      <c r="AE119" s="15">
        <f>VLOOKUP($D119&amp;$B119,[3]!装备基础属性表,U$30,FALSE)</f>
        <v>166.66666666666666</v>
      </c>
      <c r="AF119" s="15">
        <f>VLOOKUP($D119&amp;$B119,[3]!装备基础属性表,V$30,FALSE)</f>
        <v>0</v>
      </c>
      <c r="AG119" s="15">
        <f>VLOOKUP($D119&amp;$B119,[3]!装备基础属性表,W$30,FALSE)</f>
        <v>166.66666666666666</v>
      </c>
      <c r="AH119" s="15">
        <f>VLOOKUP($D119&amp;$B119,[3]!装备基础属性表,X$30,FALSE)</f>
        <v>0</v>
      </c>
      <c r="AI119" s="15">
        <f>VLOOKUP($D119&amp;$B119,[3]!装备基础属性表,Y$30,FALSE)</f>
        <v>0</v>
      </c>
      <c r="AJ119" s="16" t="str">
        <f>B119&amp;VLOOKUP(C119,定义数据!$E$1:$F$7,2,FALSE)&amp;D119</f>
        <v>1560</v>
      </c>
      <c r="AK119" s="14">
        <f t="shared" si="29"/>
        <v>16</v>
      </c>
      <c r="AL119" s="5">
        <f t="shared" si="99"/>
        <v>3</v>
      </c>
      <c r="AM119" s="5" t="str">
        <f t="array" aca="1" ref="AM119" ca="1">IF(AM$31&gt;$AL119,0,IF(ISERROR(OFFSET($E$31,0,SMALL(IF($E119:$X119&gt;0,COLUMN($A:$T),""),AM$31)-1)),0,OFFSET($E$31,0,SMALL(IF($E119:$X119&gt;0,COLUMN($A:$T),""),AM$31)-1)))</f>
        <v>生命</v>
      </c>
      <c r="AN119" s="5">
        <f t="array" aca="1" ref="AN119" ca="1">IF(AM$31&gt;$AL119,0,IF(ISERROR(INDEX($E119:$X119,,SMALL(IF($E119:$X119&gt;0,COLUMN($A:$T),""),AN$31))),0,INDEX($E119:$X119,,SMALL(IF($E119:$X119&gt;0,COLUMN($A:$T),""),AN$31))))</f>
        <v>1411.1337535142602</v>
      </c>
      <c r="AO119" s="5" t="str">
        <f t="array" aca="1" ref="AO119" ca="1">IF(AO$31&gt;$AL119,0,IF(ISERROR(OFFSET($E$31,0,SMALL(IF($E119:$X119&gt;0,COLUMN($A:$T),""),AO$31)-1)),0,OFFSET($E$31,0,SMALL(IF($E119:$X119&gt;0,COLUMN($A:$T),""),AO$31)-1)))</f>
        <v>闪避值</v>
      </c>
      <c r="AP119" s="5">
        <f t="array" aca="1" ref="AP119" ca="1">IF(AO$31&gt;$AL119,0,IF(ISERROR(INDEX($E119:$X119,,SMALL(IF($E119:$X119&gt;0,COLUMN($A:$T),""),AP$31))),0,INDEX($E119:$X119,,SMALL(IF($E119:$X119&gt;0,COLUMN($A:$T),""),AP$31))))</f>
        <v>187.5</v>
      </c>
      <c r="AQ119" s="5" t="str">
        <f t="array" aca="1" ref="AQ119" ca="1">IF(AQ$31&gt;$AL119,0,IF(ISERROR(OFFSET($E$31,0,SMALL(IF($E119:$X119&gt;0,COLUMN($A:$T),""),AQ$31)-1)),0,OFFSET($E$31,0,SMALL(IF($E119:$X119&gt;0,COLUMN($A:$T),""),AQ$31)-1)))</f>
        <v>生命</v>
      </c>
      <c r="AR119" s="5">
        <f t="array" aca="1" ref="AR119" ca="1">IF(AQ$31&gt;$AL119,0,IF(ISERROR(INDEX($E119:$X119,,SMALL(IF($E119:$X119&gt;0,COLUMN($A:$T),""),AR$31))),0,INDEX($E119:$X119,,SMALL(IF($E119:$X119&gt;0,COLUMN($A:$T),""),AR$31))))</f>
        <v>117.59447945952166</v>
      </c>
      <c r="AS119" s="5">
        <f t="array" aca="1" ref="AS119" ca="1">IF(AS$31&gt;$AL119,0,IF(ISERROR(OFFSET($E$31,0,SMALL(IF($E119:$X119&gt;0,COLUMN($A:$T),""),AS$31)-1)),0,OFFSET($E$31,0,SMALL(IF($E119:$X119&gt;0,COLUMN($A:$T),""),AS$31)-1)))</f>
        <v>0</v>
      </c>
      <c r="AT119" s="5">
        <f t="array" ref="AT119">IF(AS$31&gt;$AL119,0,IF(ISERROR(INDEX($E119:$X119,,SMALL(IF($E119:$X119&gt;0,COLUMN($A:$T),""),AT$31))),0,INDEX($E119:$X119,,SMALL(IF($E119:$X119&gt;0,COLUMN($A:$T),""),AT$31))))</f>
        <v>0</v>
      </c>
      <c r="AU119" s="5">
        <f t="array" aca="1" ref="AU119" ca="1">IF(AU$31&gt;$AL119,0,IF(ISERROR(OFFSET($E$31,0,SMALL(IF($E119:$X119&gt;0,COLUMN($A:$T),""),AU$31)-1)),0,OFFSET($E$31,0,SMALL(IF($E119:$X119&gt;0,COLUMN($A:$T),""),AU$31)-1)))</f>
        <v>0</v>
      </c>
      <c r="AV119" s="5">
        <f t="array" ref="AV119">IF(AU$31&gt;$AL119,0,IF(ISERROR(INDEX($E119:$X119,,SMALL(IF($E119:$X119&gt;0,COLUMN($A:$T),""),AV$31))),0,INDEX($E119:$X119,,SMALL(IF($E119:$X119&gt;0,COLUMN($A:$T),""),AV$31))))</f>
        <v>0</v>
      </c>
      <c r="AW119" s="5">
        <f t="array" aca="1" ref="AW119" ca="1">IF(AW$31&gt;$AL119,0,IF(ISERROR(OFFSET($E$31,0,SMALL(IF($E119:$X119&gt;0,COLUMN($A:$T),""),AW$31)-1)),0,OFFSET($E$31,0,SMALL(IF($E119:$X119&gt;0,COLUMN($A:$T),""),AW$31)-1)))</f>
        <v>0</v>
      </c>
      <c r="AX119" s="5">
        <f t="array" ref="AX119">IF(AW$31&gt;$AL119,0,IF(ISERROR(INDEX($E119:$X119,,SMALL(IF($E119:$X119&gt;0,COLUMN($A:$T),""),AX$31))),0,INDEX($E119:$X119,,SMALL(IF($E119:$X119&gt;0,COLUMN($A:$T),""),AX$31))))</f>
        <v>0</v>
      </c>
      <c r="AY119" s="5">
        <f t="array" aca="1" ref="AY119" ca="1">IF(AY$31&gt;$AL119,0,IF(ISERROR(OFFSET($E$31,0,SMALL(IF($E119:$X119&gt;0,COLUMN($A:$T),""),AY$31)-1)),0,OFFSET($E$31,0,SMALL(IF($E119:$X119&gt;0,COLUMN($A:$T),""),AY$31)-1)))</f>
        <v>0</v>
      </c>
      <c r="AZ119" s="5">
        <f t="array" ref="AZ119">IF(AY$31&gt;$AL119,0,IF(ISERROR(INDEX($E119:$X119,,SMALL(IF($E119:$X119&gt;0,COLUMN($A:$T),""),AZ$31))),0,INDEX($E119:$X119,,SMALL(IF($E119:$X119&gt;0,COLUMN($A:$T),""),AZ$31))))</f>
        <v>0</v>
      </c>
      <c r="BA119" s="5">
        <f t="array" aca="1" ref="BA119" ca="1">IF(BA$31&gt;$AL119,0,IF(ISERROR(OFFSET($E$31,0,SMALL(IF($E119:$X119&gt;0,COLUMN($A:$T),""),BA$31)-1)),0,OFFSET($E$31,0,SMALL(IF($E119:$X119&gt;0,COLUMN($A:$T),""),BA$31)-1)))</f>
        <v>0</v>
      </c>
      <c r="BB119" s="5">
        <f t="array" ref="BB119">IF(BA$31&gt;$AL119,0,IF(ISERROR(INDEX($E119:$X119,,SMALL(IF($E119:$X119&gt;0,COLUMN($A:$T),""),BB$31))),0,INDEX($E119:$X119,,SMALL(IF($E119:$X119&gt;0,COLUMN($A:$T),""),BB$31))))</f>
        <v>0</v>
      </c>
      <c r="BC119" s="5">
        <f t="array" aca="1" ref="BC119" ca="1">IF(BC$31&gt;$AL119,0,IF(ISERROR(OFFSET($E$31,0,SMALL(IF($E119:$X119&gt;0,COLUMN($A:$T),""),BC$31)-1)),0,OFFSET($E$31,0,SMALL(IF($E119:$X119&gt;0,COLUMN($A:$T),""),BC$31)-1)))</f>
        <v>0</v>
      </c>
      <c r="BD119" s="5">
        <f t="array" ref="BD119">IF(BC$31&gt;$AL119,0,IF(ISERROR(INDEX($E119:$X119,,SMALL(IF($E119:$X119&gt;0,COLUMN($A:$T),""),BD$31))),0,INDEX($E119:$X119,,SMALL(IF($E119:$X119&gt;0,COLUMN($A:$T),""),BD$31))))</f>
        <v>0</v>
      </c>
      <c r="BE119" s="5">
        <f t="array" aca="1" ref="BE119" ca="1">IF(BE$31&gt;$AL119,0,IF(ISERROR(OFFSET($E$31,0,SMALL(IF($E119:$X119&gt;0,COLUMN($A:$T),""),BE$31)-1)),0,OFFSET($E$31,0,SMALL(IF($E119:$X119&gt;0,COLUMN($A:$T),""),BE$31)-1)))</f>
        <v>0</v>
      </c>
      <c r="BF119" s="5">
        <f t="array" ref="BF119">IF(BE$31&gt;$AL119,0,IF(ISERROR(INDEX($E119:$X119,,SMALL(IF($E119:$X119&gt;0,COLUMN($A:$T),""),BF$31))),0,INDEX($E119:$X119,,SMALL(IF($E119:$X119&gt;0,COLUMN($A:$T),""),BF$31))))</f>
        <v>0</v>
      </c>
      <c r="BH119">
        <f ca="1">SUMPRODUCT(E119:N119,定义数据!$G$14:$P$14)</f>
        <v>120.19535014057041</v>
      </c>
      <c r="BI119">
        <f ca="1">SUMPRODUCT(O119:X119,定义数据!$G$14:$P$14)</f>
        <v>12.316279178380865</v>
      </c>
      <c r="BJ119" s="5">
        <f t="shared" ca="1" si="100"/>
        <v>132.51162931895126</v>
      </c>
      <c r="BK119" s="5" t="str">
        <f>D119&amp;B119&amp;VLOOKUP(C119,定义数据!$E$1:$F$7,2,FALSE)</f>
        <v>6015</v>
      </c>
    </row>
    <row r="120" spans="1:63" x14ac:dyDescent="0.15">
      <c r="A120" s="17" t="str">
        <f>D120&amp;B120&amp;VLOOKUP(C120,定义数据!$E$1:$F$7,2,FALSE)</f>
        <v>6014</v>
      </c>
      <c r="B120" s="18">
        <v>1</v>
      </c>
      <c r="C120" s="18" t="s">
        <v>139</v>
      </c>
      <c r="D120" s="24">
        <v>60</v>
      </c>
      <c r="E120" s="56">
        <f t="shared" ca="1" si="111"/>
        <v>1411.1337535142602</v>
      </c>
      <c r="F120" s="56">
        <f t="shared" ca="1" si="112"/>
        <v>0</v>
      </c>
      <c r="G120" s="56">
        <f t="shared" ca="1" si="113"/>
        <v>0</v>
      </c>
      <c r="H120" s="56">
        <f t="shared" ca="1" si="114"/>
        <v>0</v>
      </c>
      <c r="I120" s="56">
        <f t="shared" ca="1" si="115"/>
        <v>0</v>
      </c>
      <c r="J120" s="56">
        <f t="shared" ca="1" si="116"/>
        <v>0</v>
      </c>
      <c r="K120" s="56">
        <f t="shared" ca="1" si="117"/>
        <v>0</v>
      </c>
      <c r="L120" s="56">
        <f t="shared" ca="1" si="118"/>
        <v>166.66666666666666</v>
      </c>
      <c r="M120" s="56">
        <f t="shared" ca="1" si="119"/>
        <v>0</v>
      </c>
      <c r="N120" s="56">
        <f t="shared" ca="1" si="120"/>
        <v>0</v>
      </c>
      <c r="O120" s="65">
        <f t="shared" ca="1" si="101"/>
        <v>235.18895891904333</v>
      </c>
      <c r="P120" s="65">
        <f t="shared" ca="1" si="102"/>
        <v>7.1675591871657778</v>
      </c>
      <c r="Q120" s="65">
        <f t="shared" ca="1" si="103"/>
        <v>2.5810390294627386</v>
      </c>
      <c r="R120" s="65">
        <f t="shared" ca="1" si="104"/>
        <v>0</v>
      </c>
      <c r="S120" s="65">
        <f t="shared" ca="1" si="105"/>
        <v>0</v>
      </c>
      <c r="T120" s="65">
        <f t="shared" ca="1" si="106"/>
        <v>0</v>
      </c>
      <c r="U120" s="65">
        <f t="shared" ca="1" si="107"/>
        <v>0</v>
      </c>
      <c r="V120" s="65">
        <f t="shared" ca="1" si="108"/>
        <v>5.5555555555555554</v>
      </c>
      <c r="W120" s="65">
        <f t="shared" ca="1" si="109"/>
        <v>0</v>
      </c>
      <c r="X120" s="65">
        <f t="shared" ca="1" si="110"/>
        <v>0</v>
      </c>
      <c r="Y120" s="21"/>
      <c r="Z120" s="15">
        <f>VLOOKUP($D120&amp;$B120,[3]!装备基础属性表,P$30,FALSE)</f>
        <v>7055.6687675713001</v>
      </c>
      <c r="AA120" s="15">
        <f>VLOOKUP($D120&amp;$B120,[3]!装备基础属性表,Q$30,FALSE)</f>
        <v>358.37795935828882</v>
      </c>
      <c r="AB120" s="15">
        <f>VLOOKUP($D120&amp;$B120,[3]!装备基础属性表,R$30,FALSE)</f>
        <v>154.86234176776432</v>
      </c>
      <c r="AC120" s="15">
        <f>VLOOKUP($D120&amp;$B120,[3]!装备基础属性表,S$30,FALSE)</f>
        <v>281.25</v>
      </c>
      <c r="AD120" s="15">
        <f>VLOOKUP($D120&amp;$B120,[3]!装备基础属性表,T$30,FALSE)</f>
        <v>281.25</v>
      </c>
      <c r="AE120" s="15">
        <f>VLOOKUP($D120&amp;$B120,[3]!装备基础属性表,U$30,FALSE)</f>
        <v>166.66666666666666</v>
      </c>
      <c r="AF120" s="15">
        <f>VLOOKUP($D120&amp;$B120,[3]!装备基础属性表,V$30,FALSE)</f>
        <v>0</v>
      </c>
      <c r="AG120" s="15">
        <f>VLOOKUP($D120&amp;$B120,[3]!装备基础属性表,W$30,FALSE)</f>
        <v>166.66666666666666</v>
      </c>
      <c r="AH120" s="15">
        <f>VLOOKUP($D120&amp;$B120,[3]!装备基础属性表,X$30,FALSE)</f>
        <v>0</v>
      </c>
      <c r="AI120" s="15">
        <f>VLOOKUP($D120&amp;$B120,[3]!装备基础属性表,Y$30,FALSE)</f>
        <v>0</v>
      </c>
      <c r="AJ120" s="16" t="str">
        <f>B120&amp;VLOOKUP(C120,定义数据!$E$1:$F$7,2,FALSE)&amp;D120</f>
        <v>1460</v>
      </c>
      <c r="AK120" s="14">
        <f t="shared" si="29"/>
        <v>16</v>
      </c>
      <c r="AL120" s="5">
        <f t="shared" si="99"/>
        <v>3</v>
      </c>
      <c r="AM120" s="5" t="str">
        <f t="array" aca="1" ref="AM120" ca="1">IF(AM$31&gt;$AL120,0,IF(ISERROR(OFFSET($E$31,0,SMALL(IF($E120:$X120&gt;0,COLUMN($A:$T),""),AM$31)-1)),0,OFFSET($E$31,0,SMALL(IF($E120:$X120&gt;0,COLUMN($A:$T),""),AM$31)-1)))</f>
        <v>生命</v>
      </c>
      <c r="AN120" s="5">
        <f t="array" aca="1" ref="AN120" ca="1">IF(AM$31&gt;$AL120,0,IF(ISERROR(INDEX($E120:$X120,,SMALL(IF($E120:$X120&gt;0,COLUMN($A:$T),""),AN$31))),0,INDEX($E120:$X120,,SMALL(IF($E120:$X120&gt;0,COLUMN($A:$T),""),AN$31))))</f>
        <v>1411.1337535142602</v>
      </c>
      <c r="AO120" s="5" t="str">
        <f t="array" aca="1" ref="AO120" ca="1">IF(AO$31&gt;$AL120,0,IF(ISERROR(OFFSET($E$31,0,SMALL(IF($E120:$X120&gt;0,COLUMN($A:$T),""),AO$31)-1)),0,OFFSET($E$31,0,SMALL(IF($E120:$X120&gt;0,COLUMN($A:$T),""),AO$31)-1)))</f>
        <v>韧性值</v>
      </c>
      <c r="AP120" s="5">
        <f t="array" aca="1" ref="AP120" ca="1">IF(AO$31&gt;$AL120,0,IF(ISERROR(INDEX($E120:$X120,,SMALL(IF($E120:$X120&gt;0,COLUMN($A:$T),""),AP$31))),0,INDEX($E120:$X120,,SMALL(IF($E120:$X120&gt;0,COLUMN($A:$T),""),AP$31))))</f>
        <v>166.66666666666666</v>
      </c>
      <c r="AQ120" s="5" t="str">
        <f t="array" aca="1" ref="AQ120" ca="1">IF(AQ$31&gt;$AL120,0,IF(ISERROR(OFFSET($E$31,0,SMALL(IF($E120:$X120&gt;0,COLUMN($A:$T),""),AQ$31)-1)),0,OFFSET($E$31,0,SMALL(IF($E120:$X120&gt;0,COLUMN($A:$T),""),AQ$31)-1)))</f>
        <v>生命</v>
      </c>
      <c r="AR120" s="5">
        <f t="array" aca="1" ref="AR120" ca="1">IF(AQ$31&gt;$AL120,0,IF(ISERROR(INDEX($E120:$X120,,SMALL(IF($E120:$X120&gt;0,COLUMN($A:$T),""),AR$31))),0,INDEX($E120:$X120,,SMALL(IF($E120:$X120&gt;0,COLUMN($A:$T),""),AR$31))))</f>
        <v>235.18895891904333</v>
      </c>
      <c r="AS120" s="5">
        <f t="array" aca="1" ref="AS120" ca="1">IF(AS$31&gt;$AL120,0,IF(ISERROR(OFFSET($E$31,0,SMALL(IF($E120:$X120&gt;0,COLUMN($A:$T),""),AS$31)-1)),0,OFFSET($E$31,0,SMALL(IF($E120:$X120&gt;0,COLUMN($A:$T),""),AS$31)-1)))</f>
        <v>0</v>
      </c>
      <c r="AT120" s="5">
        <f t="array" ref="AT120">IF(AS$31&gt;$AL120,0,IF(ISERROR(INDEX($E120:$X120,,SMALL(IF($E120:$X120&gt;0,COLUMN($A:$T),""),AT$31))),0,INDEX($E120:$X120,,SMALL(IF($E120:$X120&gt;0,COLUMN($A:$T),""),AT$31))))</f>
        <v>0</v>
      </c>
      <c r="AU120" s="5">
        <f t="array" aca="1" ref="AU120" ca="1">IF(AU$31&gt;$AL120,0,IF(ISERROR(OFFSET($E$31,0,SMALL(IF($E120:$X120&gt;0,COLUMN($A:$T),""),AU$31)-1)),0,OFFSET($E$31,0,SMALL(IF($E120:$X120&gt;0,COLUMN($A:$T),""),AU$31)-1)))</f>
        <v>0</v>
      </c>
      <c r="AV120" s="5">
        <f t="array" ref="AV120">IF(AU$31&gt;$AL120,0,IF(ISERROR(INDEX($E120:$X120,,SMALL(IF($E120:$X120&gt;0,COLUMN($A:$T),""),AV$31))),0,INDEX($E120:$X120,,SMALL(IF($E120:$X120&gt;0,COLUMN($A:$T),""),AV$31))))</f>
        <v>0</v>
      </c>
      <c r="AW120" s="5">
        <f t="array" aca="1" ref="AW120" ca="1">IF(AW$31&gt;$AL120,0,IF(ISERROR(OFFSET($E$31,0,SMALL(IF($E120:$X120&gt;0,COLUMN($A:$T),""),AW$31)-1)),0,OFFSET($E$31,0,SMALL(IF($E120:$X120&gt;0,COLUMN($A:$T),""),AW$31)-1)))</f>
        <v>0</v>
      </c>
      <c r="AX120" s="5">
        <f t="array" ref="AX120">IF(AW$31&gt;$AL120,0,IF(ISERROR(INDEX($E120:$X120,,SMALL(IF($E120:$X120&gt;0,COLUMN($A:$T),""),AX$31))),0,INDEX($E120:$X120,,SMALL(IF($E120:$X120&gt;0,COLUMN($A:$T),""),AX$31))))</f>
        <v>0</v>
      </c>
      <c r="AY120" s="5">
        <f t="array" aca="1" ref="AY120" ca="1">IF(AY$31&gt;$AL120,0,IF(ISERROR(OFFSET($E$31,0,SMALL(IF($E120:$X120&gt;0,COLUMN($A:$T),""),AY$31)-1)),0,OFFSET($E$31,0,SMALL(IF($E120:$X120&gt;0,COLUMN($A:$T),""),AY$31)-1)))</f>
        <v>0</v>
      </c>
      <c r="AZ120" s="5">
        <f t="array" ref="AZ120">IF(AY$31&gt;$AL120,0,IF(ISERROR(INDEX($E120:$X120,,SMALL(IF($E120:$X120&gt;0,COLUMN($A:$T),""),AZ$31))),0,INDEX($E120:$X120,,SMALL(IF($E120:$X120&gt;0,COLUMN($A:$T),""),AZ$31))))</f>
        <v>0</v>
      </c>
      <c r="BA120" s="5">
        <f t="array" aca="1" ref="BA120" ca="1">IF(BA$31&gt;$AL120,0,IF(ISERROR(OFFSET($E$31,0,SMALL(IF($E120:$X120&gt;0,COLUMN($A:$T),""),BA$31)-1)),0,OFFSET($E$31,0,SMALL(IF($E120:$X120&gt;0,COLUMN($A:$T),""),BA$31)-1)))</f>
        <v>0</v>
      </c>
      <c r="BB120" s="5">
        <f t="array" ref="BB120">IF(BA$31&gt;$AL120,0,IF(ISERROR(INDEX($E120:$X120,,SMALL(IF($E120:$X120&gt;0,COLUMN($A:$T),""),BB$31))),0,INDEX($E120:$X120,,SMALL(IF($E120:$X120&gt;0,COLUMN($A:$T),""),BB$31))))</f>
        <v>0</v>
      </c>
      <c r="BC120" s="5">
        <f t="array" aca="1" ref="BC120" ca="1">IF(BC$31&gt;$AL120,0,IF(ISERROR(OFFSET($E$31,0,SMALL(IF($E120:$X120&gt;0,COLUMN($A:$T),""),BC$31)-1)),0,OFFSET($E$31,0,SMALL(IF($E120:$X120&gt;0,COLUMN($A:$T),""),BC$31)-1)))</f>
        <v>0</v>
      </c>
      <c r="BD120" s="5">
        <f t="array" ref="BD120">IF(BC$31&gt;$AL120,0,IF(ISERROR(INDEX($E120:$X120,,SMALL(IF($E120:$X120&gt;0,COLUMN($A:$T),""),BD$31))),0,INDEX($E120:$X120,,SMALL(IF($E120:$X120&gt;0,COLUMN($A:$T),""),BD$31))))</f>
        <v>0</v>
      </c>
      <c r="BE120" s="5">
        <f t="array" aca="1" ref="BE120" ca="1">IF(BE$31&gt;$AL120,0,IF(ISERROR(OFFSET($E$31,0,SMALL(IF($E120:$X120&gt;0,COLUMN($A:$T),""),BE$31)-1)),0,OFFSET($E$31,0,SMALL(IF($E120:$X120&gt;0,COLUMN($A:$T),""),BE$31)-1)))</f>
        <v>0</v>
      </c>
      <c r="BF120" s="5">
        <f t="array" ref="BF120">IF(BE$31&gt;$AL120,0,IF(ISERROR(INDEX($E120:$X120,,SMALL(IF($E120:$X120&gt;0,COLUMN($A:$T),""),BF$31))),0,INDEX($E120:$X120,,SMALL(IF($E120:$X120&gt;0,COLUMN($A:$T),""),BF$31))))</f>
        <v>0</v>
      </c>
      <c r="BH120">
        <f ca="1">SUMPRODUCT(E120:N120,定义数据!$G$14:$P$14)</f>
        <v>86.445350140570412</v>
      </c>
      <c r="BI120">
        <f ca="1">SUMPRODUCT(O120:X120,定义数据!$G$14:$P$14)</f>
        <v>20.156156573390248</v>
      </c>
      <c r="BJ120" s="5">
        <f t="shared" ca="1" si="100"/>
        <v>106.60150671396066</v>
      </c>
      <c r="BK120" s="5" t="str">
        <f>D120&amp;B120&amp;VLOOKUP(C120,定义数据!$E$1:$F$7,2,FALSE)</f>
        <v>6014</v>
      </c>
    </row>
    <row r="121" spans="1:63" x14ac:dyDescent="0.15">
      <c r="A121" s="17" t="str">
        <f>D121&amp;B121&amp;VLOOKUP(C121,定义数据!$E$1:$F$7,2,FALSE)</f>
        <v>6013</v>
      </c>
      <c r="B121" s="18">
        <v>1</v>
      </c>
      <c r="C121" s="18" t="s">
        <v>140</v>
      </c>
      <c r="D121" s="24">
        <v>60</v>
      </c>
      <c r="E121" s="56">
        <f t="shared" ca="1" si="111"/>
        <v>0</v>
      </c>
      <c r="F121" s="56">
        <f t="shared" ca="1" si="112"/>
        <v>89.594489839572205</v>
      </c>
      <c r="G121" s="56">
        <f t="shared" ca="1" si="113"/>
        <v>0</v>
      </c>
      <c r="H121" s="56">
        <f t="shared" ca="1" si="114"/>
        <v>0</v>
      </c>
      <c r="I121" s="56">
        <f t="shared" ca="1" si="115"/>
        <v>281.25</v>
      </c>
      <c r="J121" s="56">
        <f t="shared" ca="1" si="116"/>
        <v>0</v>
      </c>
      <c r="K121" s="56">
        <f t="shared" ca="1" si="117"/>
        <v>0</v>
      </c>
      <c r="L121" s="56">
        <f t="shared" ca="1" si="118"/>
        <v>0</v>
      </c>
      <c r="M121" s="56">
        <f t="shared" ca="1" si="119"/>
        <v>0</v>
      </c>
      <c r="N121" s="56">
        <f t="shared" ca="1" si="120"/>
        <v>0</v>
      </c>
      <c r="O121" s="65">
        <f t="shared" ca="1" si="101"/>
        <v>0</v>
      </c>
      <c r="P121" s="65">
        <f t="shared" ca="1" si="102"/>
        <v>7.1675591871657778</v>
      </c>
      <c r="Q121" s="65">
        <f t="shared" ca="1" si="103"/>
        <v>0</v>
      </c>
      <c r="R121" s="65">
        <f t="shared" ca="1" si="104"/>
        <v>5.625</v>
      </c>
      <c r="S121" s="65">
        <f t="shared" ca="1" si="105"/>
        <v>9.375</v>
      </c>
      <c r="T121" s="65">
        <f t="shared" ca="1" si="106"/>
        <v>6.6666666666666679</v>
      </c>
      <c r="U121" s="65">
        <f t="shared" ca="1" si="107"/>
        <v>0</v>
      </c>
      <c r="V121" s="65">
        <f t="shared" ca="1" si="108"/>
        <v>0</v>
      </c>
      <c r="W121" s="65">
        <f t="shared" ca="1" si="109"/>
        <v>0</v>
      </c>
      <c r="X121" s="65">
        <f t="shared" ca="1" si="110"/>
        <v>0</v>
      </c>
      <c r="Y121" s="21"/>
      <c r="Z121" s="15">
        <f>VLOOKUP($D121&amp;$B121,[3]!装备基础属性表,P$30,FALSE)</f>
        <v>7055.6687675713001</v>
      </c>
      <c r="AA121" s="15">
        <f>VLOOKUP($D121&amp;$B121,[3]!装备基础属性表,Q$30,FALSE)</f>
        <v>358.37795935828882</v>
      </c>
      <c r="AB121" s="15">
        <f>VLOOKUP($D121&amp;$B121,[3]!装备基础属性表,R$30,FALSE)</f>
        <v>154.86234176776432</v>
      </c>
      <c r="AC121" s="15">
        <f>VLOOKUP($D121&amp;$B121,[3]!装备基础属性表,S$30,FALSE)</f>
        <v>281.25</v>
      </c>
      <c r="AD121" s="15">
        <f>VLOOKUP($D121&amp;$B121,[3]!装备基础属性表,T$30,FALSE)</f>
        <v>281.25</v>
      </c>
      <c r="AE121" s="15">
        <f>VLOOKUP($D121&amp;$B121,[3]!装备基础属性表,U$30,FALSE)</f>
        <v>166.66666666666666</v>
      </c>
      <c r="AF121" s="15">
        <f>VLOOKUP($D121&amp;$B121,[3]!装备基础属性表,V$30,FALSE)</f>
        <v>0</v>
      </c>
      <c r="AG121" s="15">
        <f>VLOOKUP($D121&amp;$B121,[3]!装备基础属性表,W$30,FALSE)</f>
        <v>166.66666666666666</v>
      </c>
      <c r="AH121" s="15">
        <f>VLOOKUP($D121&amp;$B121,[3]!装备基础属性表,X$30,FALSE)</f>
        <v>0</v>
      </c>
      <c r="AI121" s="15">
        <f>VLOOKUP($D121&amp;$B121,[3]!装备基础属性表,Y$30,FALSE)</f>
        <v>0</v>
      </c>
      <c r="AJ121" s="16" t="str">
        <f>B121&amp;VLOOKUP(C121,定义数据!$E$1:$F$7,2,FALSE)&amp;D121</f>
        <v>1360</v>
      </c>
      <c r="AK121" s="14">
        <f t="shared" si="29"/>
        <v>16</v>
      </c>
      <c r="AL121" s="5">
        <f t="shared" si="99"/>
        <v>3</v>
      </c>
      <c r="AM121" s="5" t="str">
        <f t="array" aca="1" ref="AM121" ca="1">IF(AM$31&gt;$AL121,0,IF(ISERROR(OFFSET($E$31,0,SMALL(IF($E121:$X121&gt;0,COLUMN($A:$T),""),AM$31)-1)),0,OFFSET($E$31,0,SMALL(IF($E121:$X121&gt;0,COLUMN($A:$T),""),AM$31)-1)))</f>
        <v>攻击</v>
      </c>
      <c r="AN121" s="5">
        <f t="array" aca="1" ref="AN121" ca="1">IF(AM$31&gt;$AL121,0,IF(ISERROR(INDEX($E121:$X121,,SMALL(IF($E121:$X121&gt;0,COLUMN($A:$T),""),AN$31))),0,INDEX($E121:$X121,,SMALL(IF($E121:$X121&gt;0,COLUMN($A:$T),""),AN$31))))</f>
        <v>89.594489839572205</v>
      </c>
      <c r="AO121" s="5" t="str">
        <f t="array" aca="1" ref="AO121" ca="1">IF(AO$31&gt;$AL121,0,IF(ISERROR(OFFSET($E$31,0,SMALL(IF($E121:$X121&gt;0,COLUMN($A:$T),""),AO$31)-1)),0,OFFSET($E$31,0,SMALL(IF($E121:$X121&gt;0,COLUMN($A:$T),""),AO$31)-1)))</f>
        <v>命中值</v>
      </c>
      <c r="AP121" s="5">
        <f t="array" aca="1" ref="AP121" ca="1">IF(AO$31&gt;$AL121,0,IF(ISERROR(INDEX($E121:$X121,,SMALL(IF($E121:$X121&gt;0,COLUMN($A:$T),""),AP$31))),0,INDEX($E121:$X121,,SMALL(IF($E121:$X121&gt;0,COLUMN($A:$T),""),AP$31))))</f>
        <v>281.25</v>
      </c>
      <c r="AQ121" s="5" t="str">
        <f t="array" aca="1" ref="AQ121" ca="1">IF(AQ$31&gt;$AL121,0,IF(ISERROR(OFFSET($E$31,0,SMALL(IF($E121:$X121&gt;0,COLUMN($A:$T),""),AQ$31)-1)),0,OFFSET($E$31,0,SMALL(IF($E121:$X121&gt;0,COLUMN($A:$T),""),AQ$31)-1)))</f>
        <v>攻击</v>
      </c>
      <c r="AR121" s="5">
        <f t="array" aca="1" ref="AR121" ca="1">IF(AQ$31&gt;$AL121,0,IF(ISERROR(INDEX($E121:$X121,,SMALL(IF($E121:$X121&gt;0,COLUMN($A:$T),""),AR$31))),0,INDEX($E121:$X121,,SMALL(IF($E121:$X121&gt;0,COLUMN($A:$T),""),AR$31))))</f>
        <v>7.1675591871657778</v>
      </c>
      <c r="AS121" s="5">
        <f t="array" aca="1" ref="AS121" ca="1">IF(AS$31&gt;$AL121,0,IF(ISERROR(OFFSET($E$31,0,SMALL(IF($E121:$X121&gt;0,COLUMN($A:$T),""),AS$31)-1)),0,OFFSET($E$31,0,SMALL(IF($E121:$X121&gt;0,COLUMN($A:$T),""),AS$31)-1)))</f>
        <v>0</v>
      </c>
      <c r="AT121" s="5">
        <f t="array" ref="AT121">IF(AS$31&gt;$AL121,0,IF(ISERROR(INDEX($E121:$X121,,SMALL(IF($E121:$X121&gt;0,COLUMN($A:$T),""),AT$31))),0,INDEX($E121:$X121,,SMALL(IF($E121:$X121&gt;0,COLUMN($A:$T),""),AT$31))))</f>
        <v>0</v>
      </c>
      <c r="AU121" s="5">
        <f t="array" aca="1" ref="AU121" ca="1">IF(AU$31&gt;$AL121,0,IF(ISERROR(OFFSET($E$31,0,SMALL(IF($E121:$X121&gt;0,COLUMN($A:$T),""),AU$31)-1)),0,OFFSET($E$31,0,SMALL(IF($E121:$X121&gt;0,COLUMN($A:$T),""),AU$31)-1)))</f>
        <v>0</v>
      </c>
      <c r="AV121" s="5">
        <f t="array" ref="AV121">IF(AU$31&gt;$AL121,0,IF(ISERROR(INDEX($E121:$X121,,SMALL(IF($E121:$X121&gt;0,COLUMN($A:$T),""),AV$31))),0,INDEX($E121:$X121,,SMALL(IF($E121:$X121&gt;0,COLUMN($A:$T),""),AV$31))))</f>
        <v>0</v>
      </c>
      <c r="AW121" s="5">
        <f t="array" aca="1" ref="AW121" ca="1">IF(AW$31&gt;$AL121,0,IF(ISERROR(OFFSET($E$31,0,SMALL(IF($E121:$X121&gt;0,COLUMN($A:$T),""),AW$31)-1)),0,OFFSET($E$31,0,SMALL(IF($E121:$X121&gt;0,COLUMN($A:$T),""),AW$31)-1)))</f>
        <v>0</v>
      </c>
      <c r="AX121" s="5">
        <f t="array" ref="AX121">IF(AW$31&gt;$AL121,0,IF(ISERROR(INDEX($E121:$X121,,SMALL(IF($E121:$X121&gt;0,COLUMN($A:$T),""),AX$31))),0,INDEX($E121:$X121,,SMALL(IF($E121:$X121&gt;0,COLUMN($A:$T),""),AX$31))))</f>
        <v>0</v>
      </c>
      <c r="AY121" s="5">
        <f t="array" aca="1" ref="AY121" ca="1">IF(AY$31&gt;$AL121,0,IF(ISERROR(OFFSET($E$31,0,SMALL(IF($E121:$X121&gt;0,COLUMN($A:$T),""),AY$31)-1)),0,OFFSET($E$31,0,SMALL(IF($E121:$X121&gt;0,COLUMN($A:$T),""),AY$31)-1)))</f>
        <v>0</v>
      </c>
      <c r="AZ121" s="5">
        <f t="array" ref="AZ121">IF(AY$31&gt;$AL121,0,IF(ISERROR(INDEX($E121:$X121,,SMALL(IF($E121:$X121&gt;0,COLUMN($A:$T),""),AZ$31))),0,INDEX($E121:$X121,,SMALL(IF($E121:$X121&gt;0,COLUMN($A:$T),""),AZ$31))))</f>
        <v>0</v>
      </c>
      <c r="BA121" s="5">
        <f t="array" aca="1" ref="BA121" ca="1">IF(BA$31&gt;$AL121,0,IF(ISERROR(OFFSET($E$31,0,SMALL(IF($E121:$X121&gt;0,COLUMN($A:$T),""),BA$31)-1)),0,OFFSET($E$31,0,SMALL(IF($E121:$X121&gt;0,COLUMN($A:$T),""),BA$31)-1)))</f>
        <v>0</v>
      </c>
      <c r="BB121" s="5">
        <f t="array" ref="BB121">IF(BA$31&gt;$AL121,0,IF(ISERROR(INDEX($E121:$X121,,SMALL(IF($E121:$X121&gt;0,COLUMN($A:$T),""),BB$31))),0,INDEX($E121:$X121,,SMALL(IF($E121:$X121&gt;0,COLUMN($A:$T),""),BB$31))))</f>
        <v>0</v>
      </c>
      <c r="BC121" s="5">
        <f t="array" aca="1" ref="BC121" ca="1">IF(BC$31&gt;$AL121,0,IF(ISERROR(OFFSET($E$31,0,SMALL(IF($E121:$X121&gt;0,COLUMN($A:$T),""),BC$31)-1)),0,OFFSET($E$31,0,SMALL(IF($E121:$X121&gt;0,COLUMN($A:$T),""),BC$31)-1)))</f>
        <v>0</v>
      </c>
      <c r="BD121" s="5">
        <f t="array" ref="BD121">IF(BC$31&gt;$AL121,0,IF(ISERROR(INDEX($E121:$X121,,SMALL(IF($E121:$X121&gt;0,COLUMN($A:$T),""),BD$31))),0,INDEX($E121:$X121,,SMALL(IF($E121:$X121&gt;0,COLUMN($A:$T),""),BD$31))))</f>
        <v>0</v>
      </c>
      <c r="BE121" s="5">
        <f t="array" aca="1" ref="BE121" ca="1">IF(BE$31&gt;$AL121,0,IF(ISERROR(OFFSET($E$31,0,SMALL(IF($E121:$X121&gt;0,COLUMN($A:$T),""),BE$31)-1)),0,OFFSET($E$31,0,SMALL(IF($E121:$X121&gt;0,COLUMN($A:$T),""),BE$31)-1)))</f>
        <v>0</v>
      </c>
      <c r="BF121" s="5">
        <f t="array" ref="BF121">IF(BE$31&gt;$AL121,0,IF(ISERROR(INDEX($E121:$X121,,SMALL(IF($E121:$X121&gt;0,COLUMN($A:$T),""),BF$31))),0,INDEX($E121:$X121,,SMALL(IF($E121:$X121&gt;0,COLUMN($A:$T),""),BF$31))))</f>
        <v>0</v>
      </c>
      <c r="BH121">
        <f ca="1">SUMPRODUCT(E121:N121,定义数据!$G$14:$P$14)</f>
        <v>185.21948983957219</v>
      </c>
      <c r="BI121">
        <f ca="1">SUMPRODUCT(O121:X121,定义数据!$G$14:$P$14)</f>
        <v>13.467559187165779</v>
      </c>
      <c r="BJ121" s="5">
        <f t="shared" ca="1" si="100"/>
        <v>198.68704902673798</v>
      </c>
      <c r="BK121" s="5" t="str">
        <f>D121&amp;B121&amp;VLOOKUP(C121,定义数据!$E$1:$F$7,2,FALSE)</f>
        <v>6013</v>
      </c>
    </row>
    <row r="122" spans="1:63" x14ac:dyDescent="0.15">
      <c r="A122" s="17" t="str">
        <f>D122&amp;B122&amp;VLOOKUP(C122,定义数据!$E$1:$F$7,2,FALSE)</f>
        <v>6020</v>
      </c>
      <c r="B122" s="18">
        <v>2</v>
      </c>
      <c r="C122" s="18" t="s">
        <v>141</v>
      </c>
      <c r="D122" s="24">
        <v>60</v>
      </c>
      <c r="E122" s="56">
        <f t="shared" ca="1" si="111"/>
        <v>0</v>
      </c>
      <c r="F122" s="56">
        <f t="shared" ca="1" si="112"/>
        <v>349.41851037433167</v>
      </c>
      <c r="G122" s="56">
        <f t="shared" ca="1" si="113"/>
        <v>0</v>
      </c>
      <c r="H122" s="56">
        <f t="shared" ca="1" si="114"/>
        <v>0</v>
      </c>
      <c r="I122" s="56">
        <f t="shared" ca="1" si="115"/>
        <v>0</v>
      </c>
      <c r="J122" s="56">
        <f t="shared" ca="1" si="116"/>
        <v>216.66666666666669</v>
      </c>
      <c r="K122" s="56">
        <f t="shared" ca="1" si="117"/>
        <v>0</v>
      </c>
      <c r="L122" s="56">
        <f t="shared" ca="1" si="118"/>
        <v>0</v>
      </c>
      <c r="M122" s="56">
        <f t="shared" ca="1" si="119"/>
        <v>0</v>
      </c>
      <c r="N122" s="56">
        <f t="shared" ca="1" si="120"/>
        <v>0</v>
      </c>
      <c r="O122" s="65">
        <f t="shared" ca="1" si="101"/>
        <v>0</v>
      </c>
      <c r="P122" s="65">
        <f t="shared" ca="1" si="102"/>
        <v>62.118846288770072</v>
      </c>
      <c r="Q122" s="65">
        <f t="shared" ca="1" si="103"/>
        <v>7.4563349740034672</v>
      </c>
      <c r="R122" s="65">
        <f t="shared" ca="1" si="104"/>
        <v>0</v>
      </c>
      <c r="S122" s="65">
        <f t="shared" ca="1" si="105"/>
        <v>27.083333333333332</v>
      </c>
      <c r="T122" s="65">
        <f t="shared" ca="1" si="106"/>
        <v>19.259259259259263</v>
      </c>
      <c r="U122" s="65">
        <f t="shared" ca="1" si="107"/>
        <v>0</v>
      </c>
      <c r="V122" s="65">
        <f t="shared" ca="1" si="108"/>
        <v>0</v>
      </c>
      <c r="W122" s="65">
        <f t="shared" ca="1" si="109"/>
        <v>0</v>
      </c>
      <c r="X122" s="65">
        <f t="shared" ca="1" si="110"/>
        <v>0</v>
      </c>
      <c r="Y122" s="21" t="s">
        <v>94</v>
      </c>
      <c r="Z122" s="15">
        <f>VLOOKUP($D122&amp;$B122,[3]!装备基础属性表,P$30,FALSE)</f>
        <v>10191.521553158544</v>
      </c>
      <c r="AA122" s="15">
        <f>VLOOKUP($D122&amp;$B122,[3]!装备基础属性表,Q$30,FALSE)</f>
        <v>517.65705240641728</v>
      </c>
      <c r="AB122" s="15">
        <f>VLOOKUP($D122&amp;$B122,[3]!装备基础属性表,R$30,FALSE)</f>
        <v>223.69004922010402</v>
      </c>
      <c r="AC122" s="15">
        <f>VLOOKUP($D122&amp;$B122,[3]!装备基础属性表,S$30,FALSE)</f>
        <v>406.25</v>
      </c>
      <c r="AD122" s="15">
        <f>VLOOKUP($D122&amp;$B122,[3]!装备基础属性表,T$30,FALSE)</f>
        <v>406.25</v>
      </c>
      <c r="AE122" s="15">
        <f>VLOOKUP($D122&amp;$B122,[3]!装备基础属性表,U$30,FALSE)</f>
        <v>240.74074074074076</v>
      </c>
      <c r="AF122" s="15">
        <f>VLOOKUP($D122&amp;$B122,[3]!装备基础属性表,V$30,FALSE)</f>
        <v>0</v>
      </c>
      <c r="AG122" s="15">
        <f>VLOOKUP($D122&amp;$B122,[3]!装备基础属性表,W$30,FALSE)</f>
        <v>240.74074074074076</v>
      </c>
      <c r="AH122" s="15">
        <f>VLOOKUP($D122&amp;$B122,[3]!装备基础属性表,X$30,FALSE)</f>
        <v>0</v>
      </c>
      <c r="AI122" s="15">
        <f>VLOOKUP($D122&amp;$B122,[3]!装备基础属性表,Y$30,FALSE)</f>
        <v>0</v>
      </c>
      <c r="AJ122" s="16" t="str">
        <f>B122&amp;VLOOKUP(C122,定义数据!$E$1:$F$7,2,FALSE)&amp;D122</f>
        <v>2060</v>
      </c>
      <c r="AK122" s="14">
        <f t="shared" si="29"/>
        <v>17</v>
      </c>
      <c r="AL122" s="5">
        <f t="shared" si="99"/>
        <v>4</v>
      </c>
      <c r="AM122" s="5" t="str">
        <f t="array" aca="1" ref="AM122" ca="1">IF(AM$31&gt;$AL122,0,IF(ISERROR(OFFSET($E$31,0,SMALL(IF($E122:$X122&gt;0,COLUMN($A:$T),""),AM$31)-1)),0,OFFSET($E$31,0,SMALL(IF($E122:$X122&gt;0,COLUMN($A:$T),""),AM$31)-1)))</f>
        <v>攻击</v>
      </c>
      <c r="AN122" s="5">
        <f t="array" aca="1" ref="AN122" ca="1">IF(AM$31&gt;$AL122,0,IF(ISERROR(INDEX($E122:$X122,,SMALL(IF($E122:$X122&gt;0,COLUMN($A:$T),""),AN$31))),0,INDEX($E122:$X122,,SMALL(IF($E122:$X122&gt;0,COLUMN($A:$T),""),AN$31))))</f>
        <v>349.41851037433167</v>
      </c>
      <c r="AO122" s="5" t="str">
        <f t="array" aca="1" ref="AO122" ca="1">IF(AO$31&gt;$AL122,0,IF(ISERROR(OFFSET($E$31,0,SMALL(IF($E122:$X122&gt;0,COLUMN($A:$T),""),AO$31)-1)),0,OFFSET($E$31,0,SMALL(IF($E122:$X122&gt;0,COLUMN($A:$T),""),AO$31)-1)))</f>
        <v>暴击值</v>
      </c>
      <c r="AP122" s="5">
        <f t="array" aca="1" ref="AP122" ca="1">IF(AO$31&gt;$AL122,0,IF(ISERROR(INDEX($E122:$X122,,SMALL(IF($E122:$X122&gt;0,COLUMN($A:$T),""),AP$31))),0,INDEX($E122:$X122,,SMALL(IF($E122:$X122&gt;0,COLUMN($A:$T),""),AP$31))))</f>
        <v>216.66666666666669</v>
      </c>
      <c r="AQ122" s="5" t="str">
        <f t="array" aca="1" ref="AQ122" ca="1">IF(AQ$31&gt;$AL122,0,IF(ISERROR(OFFSET($E$31,0,SMALL(IF($E122:$X122&gt;0,COLUMN($A:$T),""),AQ$31)-1)),0,OFFSET($E$31,0,SMALL(IF($E122:$X122&gt;0,COLUMN($A:$T),""),AQ$31)-1)))</f>
        <v>攻击</v>
      </c>
      <c r="AR122" s="5">
        <f t="array" aca="1" ref="AR122" ca="1">IF(AQ$31&gt;$AL122,0,IF(ISERROR(INDEX($E122:$X122,,SMALL(IF($E122:$X122&gt;0,COLUMN($A:$T),""),AR$31))),0,INDEX($E122:$X122,,SMALL(IF($E122:$X122&gt;0,COLUMN($A:$T),""),AR$31))))</f>
        <v>62.118846288770072</v>
      </c>
      <c r="AS122" s="5" t="str">
        <f t="array" aca="1" ref="AS122" ca="1">IF(AS$31&gt;$AL122,0,IF(ISERROR(OFFSET($E$31,0,SMALL(IF($E122:$X122&gt;0,COLUMN($A:$T),""),AS$31)-1)),0,OFFSET($E$31,0,SMALL(IF($E122:$X122&gt;0,COLUMN($A:$T),""),AS$31)-1)))</f>
        <v>防御</v>
      </c>
      <c r="AT122" s="5">
        <f t="array" aca="1" ref="AT122" ca="1">IF(AS$31&gt;$AL122,0,IF(ISERROR(INDEX($E122:$X122,,SMALL(IF($E122:$X122&gt;0,COLUMN($A:$T),""),AT$31))),0,INDEX($E122:$X122,,SMALL(IF($E122:$X122&gt;0,COLUMN($A:$T),""),AT$31))))</f>
        <v>7.4563349740034672</v>
      </c>
      <c r="AU122" s="5">
        <f t="array" aca="1" ref="AU122" ca="1">IF(AU$31&gt;$AL122,0,IF(ISERROR(OFFSET($E$31,0,SMALL(IF($E122:$X122&gt;0,COLUMN($A:$T),""),AU$31)-1)),0,OFFSET($E$31,0,SMALL(IF($E122:$X122&gt;0,COLUMN($A:$T),""),AU$31)-1)))</f>
        <v>0</v>
      </c>
      <c r="AV122" s="5">
        <f t="array" ref="AV122">IF(AU$31&gt;$AL122,0,IF(ISERROR(INDEX($E122:$X122,,SMALL(IF($E122:$X122&gt;0,COLUMN($A:$T),""),AV$31))),0,INDEX($E122:$X122,,SMALL(IF($E122:$X122&gt;0,COLUMN($A:$T),""),AV$31))))</f>
        <v>0</v>
      </c>
      <c r="AW122" s="5">
        <f t="array" aca="1" ref="AW122" ca="1">IF(AW$31&gt;$AL122,0,IF(ISERROR(OFFSET($E$31,0,SMALL(IF($E122:$X122&gt;0,COLUMN($A:$T),""),AW$31)-1)),0,OFFSET($E$31,0,SMALL(IF($E122:$X122&gt;0,COLUMN($A:$T),""),AW$31)-1)))</f>
        <v>0</v>
      </c>
      <c r="AX122" s="5">
        <f t="array" ref="AX122">IF(AW$31&gt;$AL122,0,IF(ISERROR(INDEX($E122:$X122,,SMALL(IF($E122:$X122&gt;0,COLUMN($A:$T),""),AX$31))),0,INDEX($E122:$X122,,SMALL(IF($E122:$X122&gt;0,COLUMN($A:$T),""),AX$31))))</f>
        <v>0</v>
      </c>
      <c r="AY122" s="5">
        <f t="array" aca="1" ref="AY122" ca="1">IF(AY$31&gt;$AL122,0,IF(ISERROR(OFFSET($E$31,0,SMALL(IF($E122:$X122&gt;0,COLUMN($A:$T),""),AY$31)-1)),0,OFFSET($E$31,0,SMALL(IF($E122:$X122&gt;0,COLUMN($A:$T),""),AY$31)-1)))</f>
        <v>0</v>
      </c>
      <c r="AZ122" s="5">
        <f t="array" ref="AZ122">IF(AY$31&gt;$AL122,0,IF(ISERROR(INDEX($E122:$X122,,SMALL(IF($E122:$X122&gt;0,COLUMN($A:$T),""),AZ$31))),0,INDEX($E122:$X122,,SMALL(IF($E122:$X122&gt;0,COLUMN($A:$T),""),AZ$31))))</f>
        <v>0</v>
      </c>
      <c r="BA122" s="5">
        <f t="array" aca="1" ref="BA122" ca="1">IF(BA$31&gt;$AL122,0,IF(ISERROR(OFFSET($E$31,0,SMALL(IF($E122:$X122&gt;0,COLUMN($A:$T),""),BA$31)-1)),0,OFFSET($E$31,0,SMALL(IF($E122:$X122&gt;0,COLUMN($A:$T),""),BA$31)-1)))</f>
        <v>0</v>
      </c>
      <c r="BB122" s="5">
        <f t="array" ref="BB122">IF(BA$31&gt;$AL122,0,IF(ISERROR(INDEX($E122:$X122,,SMALL(IF($E122:$X122&gt;0,COLUMN($A:$T),""),BB$31))),0,INDEX($E122:$X122,,SMALL(IF($E122:$X122&gt;0,COLUMN($A:$T),""),BB$31))))</f>
        <v>0</v>
      </c>
      <c r="BC122" s="5">
        <f t="array" aca="1" ref="BC122" ca="1">IF(BC$31&gt;$AL122,0,IF(ISERROR(OFFSET($E$31,0,SMALL(IF($E122:$X122&gt;0,COLUMN($A:$T),""),BC$31)-1)),0,OFFSET($E$31,0,SMALL(IF($E122:$X122&gt;0,COLUMN($A:$T),""),BC$31)-1)))</f>
        <v>0</v>
      </c>
      <c r="BD122" s="5">
        <f t="array" ref="BD122">IF(BC$31&gt;$AL122,0,IF(ISERROR(INDEX($E122:$X122,,SMALL(IF($E122:$X122&gt;0,COLUMN($A:$T),""),BD$31))),0,INDEX($E122:$X122,,SMALL(IF($E122:$X122&gt;0,COLUMN($A:$T),""),BD$31))))</f>
        <v>0</v>
      </c>
      <c r="BE122" s="5">
        <f t="array" aca="1" ref="BE122" ca="1">IF(BE$31&gt;$AL122,0,IF(ISERROR(OFFSET($E$31,0,SMALL(IF($E122:$X122&gt;0,COLUMN($A:$T),""),BE$31)-1)),0,OFFSET($E$31,0,SMALL(IF($E122:$X122&gt;0,COLUMN($A:$T),""),BE$31)-1)))</f>
        <v>0</v>
      </c>
      <c r="BF122" s="5">
        <f t="array" ref="BF122">IF(BE$31&gt;$AL122,0,IF(ISERROR(INDEX($E122:$X122,,SMALL(IF($E122:$X122&gt;0,COLUMN($A:$T),""),BF$31))),0,INDEX($E122:$X122,,SMALL(IF($E122:$X122&gt;0,COLUMN($A:$T),""),BF$31))))</f>
        <v>0</v>
      </c>
      <c r="BH122">
        <f ca="1">SUMPRODUCT(E122:N122,定义数据!$G$14:$P$14)</f>
        <v>388.41851037433167</v>
      </c>
      <c r="BI122">
        <f ca="1">SUMPRODUCT(O122:X122,定义数据!$G$14:$P$14)</f>
        <v>82.250181262773538</v>
      </c>
      <c r="BJ122" s="5">
        <f t="shared" ca="1" si="100"/>
        <v>470.66869163710521</v>
      </c>
      <c r="BK122" s="5" t="str">
        <f>D122&amp;B122&amp;VLOOKUP(C122,定义数据!$E$1:$F$7,2,FALSE)</f>
        <v>6020</v>
      </c>
    </row>
    <row r="123" spans="1:63" x14ac:dyDescent="0.15">
      <c r="A123" s="17" t="str">
        <f>D123&amp;B123&amp;VLOOKUP(C123,定义数据!$E$1:$F$7,2,FALSE)</f>
        <v>6021</v>
      </c>
      <c r="B123" s="18">
        <v>2</v>
      </c>
      <c r="C123" s="18" t="s">
        <v>136</v>
      </c>
      <c r="D123" s="24">
        <v>60</v>
      </c>
      <c r="E123" s="56">
        <f t="shared" ca="1" si="111"/>
        <v>5503.421638705614</v>
      </c>
      <c r="F123" s="56">
        <f t="shared" ca="1" si="112"/>
        <v>0</v>
      </c>
      <c r="G123" s="56">
        <f t="shared" ca="1" si="113"/>
        <v>120.79262657885616</v>
      </c>
      <c r="H123" s="56">
        <f t="shared" ca="1" si="114"/>
        <v>0</v>
      </c>
      <c r="I123" s="56">
        <f t="shared" ca="1" si="115"/>
        <v>0</v>
      </c>
      <c r="J123" s="56">
        <f t="shared" ca="1" si="116"/>
        <v>0</v>
      </c>
      <c r="K123" s="56">
        <f t="shared" ca="1" si="117"/>
        <v>0</v>
      </c>
      <c r="L123" s="56">
        <f t="shared" ca="1" si="118"/>
        <v>0</v>
      </c>
      <c r="M123" s="56">
        <f t="shared" ca="1" si="119"/>
        <v>0</v>
      </c>
      <c r="N123" s="56">
        <f t="shared" ca="1" si="120"/>
        <v>0</v>
      </c>
      <c r="O123" s="65">
        <f t="shared" ca="1" si="101"/>
        <v>679.43477021056958</v>
      </c>
      <c r="P123" s="65">
        <f t="shared" ca="1" si="102"/>
        <v>0</v>
      </c>
      <c r="Q123" s="65">
        <f t="shared" ca="1" si="103"/>
        <v>22.369004922010404</v>
      </c>
      <c r="R123" s="65">
        <f t="shared" ca="1" si="104"/>
        <v>16.25</v>
      </c>
      <c r="S123" s="65">
        <f t="shared" ca="1" si="105"/>
        <v>0</v>
      </c>
      <c r="T123" s="65">
        <f t="shared" ca="1" si="106"/>
        <v>0</v>
      </c>
      <c r="U123" s="65">
        <f t="shared" ca="1" si="107"/>
        <v>0</v>
      </c>
      <c r="V123" s="65">
        <f t="shared" ca="1" si="108"/>
        <v>16.049382716049383</v>
      </c>
      <c r="W123" s="65">
        <f t="shared" ca="1" si="109"/>
        <v>0</v>
      </c>
      <c r="X123" s="65">
        <f t="shared" ca="1" si="110"/>
        <v>0</v>
      </c>
      <c r="Y123" s="21" t="s">
        <v>95</v>
      </c>
      <c r="Z123" s="15">
        <f>VLOOKUP($D123&amp;$B123,[3]!装备基础属性表,P$30,FALSE)</f>
        <v>10191.521553158544</v>
      </c>
      <c r="AA123" s="15">
        <f>VLOOKUP($D123&amp;$B123,[3]!装备基础属性表,Q$30,FALSE)</f>
        <v>517.65705240641728</v>
      </c>
      <c r="AB123" s="15">
        <f>VLOOKUP($D123&amp;$B123,[3]!装备基础属性表,R$30,FALSE)</f>
        <v>223.69004922010402</v>
      </c>
      <c r="AC123" s="15">
        <f>VLOOKUP($D123&amp;$B123,[3]!装备基础属性表,S$30,FALSE)</f>
        <v>406.25</v>
      </c>
      <c r="AD123" s="15">
        <f>VLOOKUP($D123&amp;$B123,[3]!装备基础属性表,T$30,FALSE)</f>
        <v>406.25</v>
      </c>
      <c r="AE123" s="15">
        <f>VLOOKUP($D123&amp;$B123,[3]!装备基础属性表,U$30,FALSE)</f>
        <v>240.74074074074076</v>
      </c>
      <c r="AF123" s="15">
        <f>VLOOKUP($D123&amp;$B123,[3]!装备基础属性表,V$30,FALSE)</f>
        <v>0</v>
      </c>
      <c r="AG123" s="15">
        <f>VLOOKUP($D123&amp;$B123,[3]!装备基础属性表,W$30,FALSE)</f>
        <v>240.74074074074076</v>
      </c>
      <c r="AH123" s="15">
        <f>VLOOKUP($D123&amp;$B123,[3]!装备基础属性表,X$30,FALSE)</f>
        <v>0</v>
      </c>
      <c r="AI123" s="15">
        <f>VLOOKUP($D123&amp;$B123,[3]!装备基础属性表,Y$30,FALSE)</f>
        <v>0</v>
      </c>
      <c r="AJ123" s="16" t="str">
        <f>B123&amp;VLOOKUP(C123,定义数据!$E$1:$F$7,2,FALSE)&amp;D123</f>
        <v>2160</v>
      </c>
      <c r="AK123" s="14">
        <f t="shared" si="29"/>
        <v>17</v>
      </c>
      <c r="AL123" s="5">
        <f t="shared" si="99"/>
        <v>4</v>
      </c>
      <c r="AM123" s="5" t="str">
        <f t="array" aca="1" ref="AM123" ca="1">IF(AM$31&gt;$AL123,0,IF(ISERROR(OFFSET($E$31,0,SMALL(IF($E123:$X123&gt;0,COLUMN($A:$T),""),AM$31)-1)),0,OFFSET($E$31,0,SMALL(IF($E123:$X123&gt;0,COLUMN($A:$T),""),AM$31)-1)))</f>
        <v>生命</v>
      </c>
      <c r="AN123" s="5">
        <f t="array" aca="1" ref="AN123" ca="1">IF(AM$31&gt;$AL123,0,IF(ISERROR(INDEX($E123:$X123,,SMALL(IF($E123:$X123&gt;0,COLUMN($A:$T),""),AN$31))),0,INDEX($E123:$X123,,SMALL(IF($E123:$X123&gt;0,COLUMN($A:$T),""),AN$31))))</f>
        <v>5503.421638705614</v>
      </c>
      <c r="AO123" s="5" t="str">
        <f t="array" aca="1" ref="AO123" ca="1">IF(AO$31&gt;$AL123,0,IF(ISERROR(OFFSET($E$31,0,SMALL(IF($E123:$X123&gt;0,COLUMN($A:$T),""),AO$31)-1)),0,OFFSET($E$31,0,SMALL(IF($E123:$X123&gt;0,COLUMN($A:$T),""),AO$31)-1)))</f>
        <v>防御</v>
      </c>
      <c r="AP123" s="5">
        <f t="array" aca="1" ref="AP123" ca="1">IF(AO$31&gt;$AL123,0,IF(ISERROR(INDEX($E123:$X123,,SMALL(IF($E123:$X123&gt;0,COLUMN($A:$T),""),AP$31))),0,INDEX($E123:$X123,,SMALL(IF($E123:$X123&gt;0,COLUMN($A:$T),""),AP$31))))</f>
        <v>120.79262657885616</v>
      </c>
      <c r="AQ123" s="5" t="str">
        <f t="array" aca="1" ref="AQ123" ca="1">IF(AQ$31&gt;$AL123,0,IF(ISERROR(OFFSET($E$31,0,SMALL(IF($E123:$X123&gt;0,COLUMN($A:$T),""),AQ$31)-1)),0,OFFSET($E$31,0,SMALL(IF($E123:$X123&gt;0,COLUMN($A:$T),""),AQ$31)-1)))</f>
        <v>生命</v>
      </c>
      <c r="AR123" s="5">
        <f t="array" aca="1" ref="AR123" ca="1">IF(AQ$31&gt;$AL123,0,IF(ISERROR(INDEX($E123:$X123,,SMALL(IF($E123:$X123&gt;0,COLUMN($A:$T),""),AR$31))),0,INDEX($E123:$X123,,SMALL(IF($E123:$X123&gt;0,COLUMN($A:$T),""),AR$31))))</f>
        <v>679.43477021056958</v>
      </c>
      <c r="AS123" s="5" t="str">
        <f t="array" aca="1" ref="AS123" ca="1">IF(AS$31&gt;$AL123,0,IF(ISERROR(OFFSET($E$31,0,SMALL(IF($E123:$X123&gt;0,COLUMN($A:$T),""),AS$31)-1)),0,OFFSET($E$31,0,SMALL(IF($E123:$X123&gt;0,COLUMN($A:$T),""),AS$31)-1)))</f>
        <v>防御</v>
      </c>
      <c r="AT123" s="5">
        <f t="array" aca="1" ref="AT123" ca="1">IF(AS$31&gt;$AL123,0,IF(ISERROR(INDEX($E123:$X123,,SMALL(IF($E123:$X123&gt;0,COLUMN($A:$T),""),AT$31))),0,INDEX($E123:$X123,,SMALL(IF($E123:$X123&gt;0,COLUMN($A:$T),""),AT$31))))</f>
        <v>22.369004922010404</v>
      </c>
      <c r="AU123" s="5">
        <f t="array" aca="1" ref="AU123" ca="1">IF(AU$31&gt;$AL123,0,IF(ISERROR(OFFSET($E$31,0,SMALL(IF($E123:$X123&gt;0,COLUMN($A:$T),""),AU$31)-1)),0,OFFSET($E$31,0,SMALL(IF($E123:$X123&gt;0,COLUMN($A:$T),""),AU$31)-1)))</f>
        <v>0</v>
      </c>
      <c r="AV123" s="5">
        <f t="array" ref="AV123">IF(AU$31&gt;$AL123,0,IF(ISERROR(INDEX($E123:$X123,,SMALL(IF($E123:$X123&gt;0,COLUMN($A:$T),""),AV$31))),0,INDEX($E123:$X123,,SMALL(IF($E123:$X123&gt;0,COLUMN($A:$T),""),AV$31))))</f>
        <v>0</v>
      </c>
      <c r="AW123" s="5">
        <f t="array" aca="1" ref="AW123" ca="1">IF(AW$31&gt;$AL123,0,IF(ISERROR(OFFSET($E$31,0,SMALL(IF($E123:$X123&gt;0,COLUMN($A:$T),""),AW$31)-1)),0,OFFSET($E$31,0,SMALL(IF($E123:$X123&gt;0,COLUMN($A:$T),""),AW$31)-1)))</f>
        <v>0</v>
      </c>
      <c r="AX123" s="5">
        <f t="array" ref="AX123">IF(AW$31&gt;$AL123,0,IF(ISERROR(INDEX($E123:$X123,,SMALL(IF($E123:$X123&gt;0,COLUMN($A:$T),""),AX$31))),0,INDEX($E123:$X123,,SMALL(IF($E123:$X123&gt;0,COLUMN($A:$T),""),AX$31))))</f>
        <v>0</v>
      </c>
      <c r="AY123" s="5">
        <f t="array" aca="1" ref="AY123" ca="1">IF(AY$31&gt;$AL123,0,IF(ISERROR(OFFSET($E$31,0,SMALL(IF($E123:$X123&gt;0,COLUMN($A:$T),""),AY$31)-1)),0,OFFSET($E$31,0,SMALL(IF($E123:$X123&gt;0,COLUMN($A:$T),""),AY$31)-1)))</f>
        <v>0</v>
      </c>
      <c r="AZ123" s="5">
        <f t="array" ref="AZ123">IF(AY$31&gt;$AL123,0,IF(ISERROR(INDEX($E123:$X123,,SMALL(IF($E123:$X123&gt;0,COLUMN($A:$T),""),AZ$31))),0,INDEX($E123:$X123,,SMALL(IF($E123:$X123&gt;0,COLUMN($A:$T),""),AZ$31))))</f>
        <v>0</v>
      </c>
      <c r="BA123" s="5">
        <f t="array" aca="1" ref="BA123" ca="1">IF(BA$31&gt;$AL123,0,IF(ISERROR(OFFSET($E$31,0,SMALL(IF($E123:$X123&gt;0,COLUMN($A:$T),""),BA$31)-1)),0,OFFSET($E$31,0,SMALL(IF($E123:$X123&gt;0,COLUMN($A:$T),""),BA$31)-1)))</f>
        <v>0</v>
      </c>
      <c r="BB123" s="5">
        <f t="array" ref="BB123">IF(BA$31&gt;$AL123,0,IF(ISERROR(INDEX($E123:$X123,,SMALL(IF($E123:$X123&gt;0,COLUMN($A:$T),""),BB$31))),0,INDEX($E123:$X123,,SMALL(IF($E123:$X123&gt;0,COLUMN($A:$T),""),BB$31))))</f>
        <v>0</v>
      </c>
      <c r="BC123" s="5">
        <f t="array" aca="1" ref="BC123" ca="1">IF(BC$31&gt;$AL123,0,IF(ISERROR(OFFSET($E$31,0,SMALL(IF($E123:$X123&gt;0,COLUMN($A:$T),""),BC$31)-1)),0,OFFSET($E$31,0,SMALL(IF($E123:$X123&gt;0,COLUMN($A:$T),""),BC$31)-1)))</f>
        <v>0</v>
      </c>
      <c r="BD123" s="5">
        <f t="array" ref="BD123">IF(BC$31&gt;$AL123,0,IF(ISERROR(INDEX($E123:$X123,,SMALL(IF($E123:$X123&gt;0,COLUMN($A:$T),""),BD$31))),0,INDEX($E123:$X123,,SMALL(IF($E123:$X123&gt;0,COLUMN($A:$T),""),BD$31))))</f>
        <v>0</v>
      </c>
      <c r="BE123" s="5">
        <f t="array" aca="1" ref="BE123" ca="1">IF(BE$31&gt;$AL123,0,IF(ISERROR(OFFSET($E$31,0,SMALL(IF($E123:$X123&gt;0,COLUMN($A:$T),""),BE$31)-1)),0,OFFSET($E$31,0,SMALL(IF($E123:$X123&gt;0,COLUMN($A:$T),""),BE$31)-1)))</f>
        <v>0</v>
      </c>
      <c r="BF123" s="5">
        <f t="array" ref="BF123">IF(BE$31&gt;$AL123,0,IF(ISERROR(INDEX($E123:$X123,,SMALL(IF($E123:$X123&gt;0,COLUMN($A:$T),""),BF$31))),0,INDEX($E123:$X123,,SMALL(IF($E123:$X123&gt;0,COLUMN($A:$T),""),BF$31))))</f>
        <v>0</v>
      </c>
      <c r="BH123">
        <f ca="1">SUMPRODUCT(E123:N123,定义数据!$G$14:$P$14)</f>
        <v>340.92949212708072</v>
      </c>
      <c r="BI123">
        <f ca="1">SUMPRODUCT(O123:X123,定义数据!$G$14:$P$14)</f>
        <v>57.960284619322074</v>
      </c>
      <c r="BJ123" s="5">
        <f t="shared" ca="1" si="100"/>
        <v>398.88977674640279</v>
      </c>
      <c r="BK123" s="5" t="str">
        <f>D123&amp;B123&amp;VLOOKUP(C123,定义数据!$E$1:$F$7,2,FALSE)</f>
        <v>6021</v>
      </c>
    </row>
    <row r="124" spans="1:63" x14ac:dyDescent="0.15">
      <c r="A124" s="17" t="str">
        <f>D124&amp;B124&amp;VLOOKUP(C124,定义数据!$E$1:$F$7,2,FALSE)</f>
        <v>6022</v>
      </c>
      <c r="B124" s="18">
        <v>2</v>
      </c>
      <c r="C124" s="18" t="s">
        <v>137</v>
      </c>
      <c r="D124" s="24">
        <v>60</v>
      </c>
      <c r="E124" s="56">
        <f t="shared" ca="1" si="111"/>
        <v>0</v>
      </c>
      <c r="F124" s="56">
        <f t="shared" ca="1" si="112"/>
        <v>0</v>
      </c>
      <c r="G124" s="56">
        <f t="shared" ca="1" si="113"/>
        <v>80.528417719237453</v>
      </c>
      <c r="H124" s="56">
        <f t="shared" ca="1" si="114"/>
        <v>121.875</v>
      </c>
      <c r="I124" s="56">
        <f t="shared" ca="1" si="115"/>
        <v>0</v>
      </c>
      <c r="J124" s="56">
        <f t="shared" ca="1" si="116"/>
        <v>0</v>
      </c>
      <c r="K124" s="56">
        <f t="shared" ca="1" si="117"/>
        <v>0</v>
      </c>
      <c r="L124" s="56">
        <f t="shared" ca="1" si="118"/>
        <v>0</v>
      </c>
      <c r="M124" s="56">
        <f t="shared" ca="1" si="119"/>
        <v>0</v>
      </c>
      <c r="N124" s="56">
        <f t="shared" ca="1" si="120"/>
        <v>0</v>
      </c>
      <c r="O124" s="65">
        <f t="shared" ca="1" si="101"/>
        <v>339.71738510528479</v>
      </c>
      <c r="P124" s="65">
        <f t="shared" ca="1" si="102"/>
        <v>0</v>
      </c>
      <c r="Q124" s="65">
        <f t="shared" ca="1" si="103"/>
        <v>7.4563349740034672</v>
      </c>
      <c r="R124" s="65">
        <f t="shared" ca="1" si="104"/>
        <v>16.25</v>
      </c>
      <c r="S124" s="65">
        <f t="shared" ca="1" si="105"/>
        <v>0</v>
      </c>
      <c r="T124" s="65">
        <f t="shared" ca="1" si="106"/>
        <v>0</v>
      </c>
      <c r="U124" s="65">
        <f t="shared" ca="1" si="107"/>
        <v>0</v>
      </c>
      <c r="V124" s="65">
        <f t="shared" ca="1" si="108"/>
        <v>16.049382716049383</v>
      </c>
      <c r="W124" s="65">
        <f t="shared" ca="1" si="109"/>
        <v>0</v>
      </c>
      <c r="X124" s="65">
        <f t="shared" ca="1" si="110"/>
        <v>0</v>
      </c>
      <c r="Y124" s="21" t="s">
        <v>96</v>
      </c>
      <c r="Z124" s="15">
        <f>VLOOKUP($D124&amp;$B124,[3]!装备基础属性表,P$30,FALSE)</f>
        <v>10191.521553158544</v>
      </c>
      <c r="AA124" s="15">
        <f>VLOOKUP($D124&amp;$B124,[3]!装备基础属性表,Q$30,FALSE)</f>
        <v>517.65705240641728</v>
      </c>
      <c r="AB124" s="15">
        <f>VLOOKUP($D124&amp;$B124,[3]!装备基础属性表,R$30,FALSE)</f>
        <v>223.69004922010402</v>
      </c>
      <c r="AC124" s="15">
        <f>VLOOKUP($D124&amp;$B124,[3]!装备基础属性表,S$30,FALSE)</f>
        <v>406.25</v>
      </c>
      <c r="AD124" s="15">
        <f>VLOOKUP($D124&amp;$B124,[3]!装备基础属性表,T$30,FALSE)</f>
        <v>406.25</v>
      </c>
      <c r="AE124" s="15">
        <f>VLOOKUP($D124&amp;$B124,[3]!装备基础属性表,U$30,FALSE)</f>
        <v>240.74074074074076</v>
      </c>
      <c r="AF124" s="15">
        <f>VLOOKUP($D124&amp;$B124,[3]!装备基础属性表,V$30,FALSE)</f>
        <v>0</v>
      </c>
      <c r="AG124" s="15">
        <f>VLOOKUP($D124&amp;$B124,[3]!装备基础属性表,W$30,FALSE)</f>
        <v>240.74074074074076</v>
      </c>
      <c r="AH124" s="15">
        <f>VLOOKUP($D124&amp;$B124,[3]!装备基础属性表,X$30,FALSE)</f>
        <v>0</v>
      </c>
      <c r="AI124" s="15">
        <f>VLOOKUP($D124&amp;$B124,[3]!装备基础属性表,Y$30,FALSE)</f>
        <v>0</v>
      </c>
      <c r="AJ124" s="16" t="str">
        <f>B124&amp;VLOOKUP(C124,定义数据!$E$1:$F$7,2,FALSE)&amp;D124</f>
        <v>2260</v>
      </c>
      <c r="AK124" s="14">
        <f t="shared" si="29"/>
        <v>17</v>
      </c>
      <c r="AL124" s="5">
        <f t="shared" si="99"/>
        <v>4</v>
      </c>
      <c r="AM124" s="5" t="str">
        <f t="array" aca="1" ref="AM124" ca="1">IF(AM$31&gt;$AL124,0,IF(ISERROR(OFFSET($E$31,0,SMALL(IF($E124:$X124&gt;0,COLUMN($A:$T),""),AM$31)-1)),0,OFFSET($E$31,0,SMALL(IF($E124:$X124&gt;0,COLUMN($A:$T),""),AM$31)-1)))</f>
        <v>防御</v>
      </c>
      <c r="AN124" s="5">
        <f t="array" aca="1" ref="AN124" ca="1">IF(AM$31&gt;$AL124,0,IF(ISERROR(INDEX($E124:$X124,,SMALL(IF($E124:$X124&gt;0,COLUMN($A:$T),""),AN$31))),0,INDEX($E124:$X124,,SMALL(IF($E124:$X124&gt;0,COLUMN($A:$T),""),AN$31))))</f>
        <v>80.528417719237453</v>
      </c>
      <c r="AO124" s="5" t="str">
        <f t="array" aca="1" ref="AO124" ca="1">IF(AO$31&gt;$AL124,0,IF(ISERROR(OFFSET($E$31,0,SMALL(IF($E124:$X124&gt;0,COLUMN($A:$T),""),AO$31)-1)),0,OFFSET($E$31,0,SMALL(IF($E124:$X124&gt;0,COLUMN($A:$T),""),AO$31)-1)))</f>
        <v>闪避值</v>
      </c>
      <c r="AP124" s="5">
        <f t="array" aca="1" ref="AP124" ca="1">IF(AO$31&gt;$AL124,0,IF(ISERROR(INDEX($E124:$X124,,SMALL(IF($E124:$X124&gt;0,COLUMN($A:$T),""),AP$31))),0,INDEX($E124:$X124,,SMALL(IF($E124:$X124&gt;0,COLUMN($A:$T),""),AP$31))))</f>
        <v>121.875</v>
      </c>
      <c r="AQ124" s="5" t="str">
        <f t="array" aca="1" ref="AQ124" ca="1">IF(AQ$31&gt;$AL124,0,IF(ISERROR(OFFSET($E$31,0,SMALL(IF($E124:$X124&gt;0,COLUMN($A:$T),""),AQ$31)-1)),0,OFFSET($E$31,0,SMALL(IF($E124:$X124&gt;0,COLUMN($A:$T),""),AQ$31)-1)))</f>
        <v>生命</v>
      </c>
      <c r="AR124" s="5">
        <f t="array" aca="1" ref="AR124" ca="1">IF(AQ$31&gt;$AL124,0,IF(ISERROR(INDEX($E124:$X124,,SMALL(IF($E124:$X124&gt;0,COLUMN($A:$T),""),AR$31))),0,INDEX($E124:$X124,,SMALL(IF($E124:$X124&gt;0,COLUMN($A:$T),""),AR$31))))</f>
        <v>339.71738510528479</v>
      </c>
      <c r="AS124" s="5" t="str">
        <f t="array" aca="1" ref="AS124" ca="1">IF(AS$31&gt;$AL124,0,IF(ISERROR(OFFSET($E$31,0,SMALL(IF($E124:$X124&gt;0,COLUMN($A:$T),""),AS$31)-1)),0,OFFSET($E$31,0,SMALL(IF($E124:$X124&gt;0,COLUMN($A:$T),""),AS$31)-1)))</f>
        <v>防御</v>
      </c>
      <c r="AT124" s="5">
        <f t="array" aca="1" ref="AT124" ca="1">IF(AS$31&gt;$AL124,0,IF(ISERROR(INDEX($E124:$X124,,SMALL(IF($E124:$X124&gt;0,COLUMN($A:$T),""),AT$31))),0,INDEX($E124:$X124,,SMALL(IF($E124:$X124&gt;0,COLUMN($A:$T),""),AT$31))))</f>
        <v>7.4563349740034672</v>
      </c>
      <c r="AU124" s="5">
        <f t="array" aca="1" ref="AU124" ca="1">IF(AU$31&gt;$AL124,0,IF(ISERROR(OFFSET($E$31,0,SMALL(IF($E124:$X124&gt;0,COLUMN($A:$T),""),AU$31)-1)),0,OFFSET($E$31,0,SMALL(IF($E124:$X124&gt;0,COLUMN($A:$T),""),AU$31)-1)))</f>
        <v>0</v>
      </c>
      <c r="AV124" s="5">
        <f t="array" ref="AV124">IF(AU$31&gt;$AL124,0,IF(ISERROR(INDEX($E124:$X124,,SMALL(IF($E124:$X124&gt;0,COLUMN($A:$T),""),AV$31))),0,INDEX($E124:$X124,,SMALL(IF($E124:$X124&gt;0,COLUMN($A:$T),""),AV$31))))</f>
        <v>0</v>
      </c>
      <c r="AW124" s="5">
        <f t="array" aca="1" ref="AW124" ca="1">IF(AW$31&gt;$AL124,0,IF(ISERROR(OFFSET($E$31,0,SMALL(IF($E124:$X124&gt;0,COLUMN($A:$T),""),AW$31)-1)),0,OFFSET($E$31,0,SMALL(IF($E124:$X124&gt;0,COLUMN($A:$T),""),AW$31)-1)))</f>
        <v>0</v>
      </c>
      <c r="AX124" s="5">
        <f t="array" ref="AX124">IF(AW$31&gt;$AL124,0,IF(ISERROR(INDEX($E124:$X124,,SMALL(IF($E124:$X124&gt;0,COLUMN($A:$T),""),AX$31))),0,INDEX($E124:$X124,,SMALL(IF($E124:$X124&gt;0,COLUMN($A:$T),""),AX$31))))</f>
        <v>0</v>
      </c>
      <c r="AY124" s="5">
        <f t="array" aca="1" ref="AY124" ca="1">IF(AY$31&gt;$AL124,0,IF(ISERROR(OFFSET($E$31,0,SMALL(IF($E124:$X124&gt;0,COLUMN($A:$T),""),AY$31)-1)),0,OFFSET($E$31,0,SMALL(IF($E124:$X124&gt;0,COLUMN($A:$T),""),AY$31)-1)))</f>
        <v>0</v>
      </c>
      <c r="AZ124" s="5">
        <f t="array" ref="AZ124">IF(AY$31&gt;$AL124,0,IF(ISERROR(INDEX($E124:$X124,,SMALL(IF($E124:$X124&gt;0,COLUMN($A:$T),""),AZ$31))),0,INDEX($E124:$X124,,SMALL(IF($E124:$X124&gt;0,COLUMN($A:$T),""),AZ$31))))</f>
        <v>0</v>
      </c>
      <c r="BA124" s="5">
        <f t="array" aca="1" ref="BA124" ca="1">IF(BA$31&gt;$AL124,0,IF(ISERROR(OFFSET($E$31,0,SMALL(IF($E124:$X124&gt;0,COLUMN($A:$T),""),BA$31)-1)),0,OFFSET($E$31,0,SMALL(IF($E124:$X124&gt;0,COLUMN($A:$T),""),BA$31)-1)))</f>
        <v>0</v>
      </c>
      <c r="BB124" s="5">
        <f t="array" ref="BB124">IF(BA$31&gt;$AL124,0,IF(ISERROR(INDEX($E124:$X124,,SMALL(IF($E124:$X124&gt;0,COLUMN($A:$T),""),BB$31))),0,INDEX($E124:$X124,,SMALL(IF($E124:$X124&gt;0,COLUMN($A:$T),""),BB$31))))</f>
        <v>0</v>
      </c>
      <c r="BC124" s="5">
        <f t="array" aca="1" ref="BC124" ca="1">IF(BC$31&gt;$AL124,0,IF(ISERROR(OFFSET($E$31,0,SMALL(IF($E124:$X124&gt;0,COLUMN($A:$T),""),BC$31)-1)),0,OFFSET($E$31,0,SMALL(IF($E124:$X124&gt;0,COLUMN($A:$T),""),BC$31)-1)))</f>
        <v>0</v>
      </c>
      <c r="BD124" s="5">
        <f t="array" ref="BD124">IF(BC$31&gt;$AL124,0,IF(ISERROR(INDEX($E124:$X124,,SMALL(IF($E124:$X124&gt;0,COLUMN($A:$T),""),BD$31))),0,INDEX($E124:$X124,,SMALL(IF($E124:$X124&gt;0,COLUMN($A:$T),""),BD$31))))</f>
        <v>0</v>
      </c>
      <c r="BE124" s="5">
        <f t="array" aca="1" ref="BE124" ca="1">IF(BE$31&gt;$AL124,0,IF(ISERROR(OFFSET($E$31,0,SMALL(IF($E124:$X124&gt;0,COLUMN($A:$T),""),BE$31)-1)),0,OFFSET($E$31,0,SMALL(IF($E124:$X124&gt;0,COLUMN($A:$T),""),BE$31)-1)))</f>
        <v>0</v>
      </c>
      <c r="BF124" s="5">
        <f t="array" ref="BF124">IF(BE$31&gt;$AL124,0,IF(ISERROR(INDEX($E124:$X124,,SMALL(IF($E124:$X124&gt;0,COLUMN($A:$T),""),BF$31))),0,INDEX($E124:$X124,,SMALL(IF($E124:$X124&gt;0,COLUMN($A:$T),""),BF$31))))</f>
        <v>0</v>
      </c>
      <c r="BH124">
        <f ca="1">SUMPRODUCT(E124:N124,定义数据!$G$14:$P$14)</f>
        <v>121.96591771923745</v>
      </c>
      <c r="BI124">
        <f ca="1">SUMPRODUCT(O124:X124,定义数据!$G$14:$P$14)</f>
        <v>29.458919267103749</v>
      </c>
      <c r="BJ124" s="5">
        <f t="shared" ca="1" si="100"/>
        <v>151.42483698634121</v>
      </c>
      <c r="BK124" s="5" t="str">
        <f>D124&amp;B124&amp;VLOOKUP(C124,定义数据!$E$1:$F$7,2,FALSE)</f>
        <v>6022</v>
      </c>
    </row>
    <row r="125" spans="1:63" x14ac:dyDescent="0.15">
      <c r="A125" s="17" t="str">
        <f>D125&amp;B125&amp;VLOOKUP(C125,定义数据!$E$1:$F$7,2,FALSE)</f>
        <v>6025</v>
      </c>
      <c r="B125" s="18">
        <v>2</v>
      </c>
      <c r="C125" s="18" t="s">
        <v>138</v>
      </c>
      <c r="D125" s="24">
        <v>60</v>
      </c>
      <c r="E125" s="56">
        <f t="shared" ca="1" si="111"/>
        <v>1834.473879568538</v>
      </c>
      <c r="F125" s="56">
        <f t="shared" ca="1" si="112"/>
        <v>0</v>
      </c>
      <c r="G125" s="56">
        <f t="shared" ca="1" si="113"/>
        <v>0</v>
      </c>
      <c r="H125" s="56">
        <f t="shared" ca="1" si="114"/>
        <v>243.75</v>
      </c>
      <c r="I125" s="56">
        <f t="shared" ca="1" si="115"/>
        <v>0</v>
      </c>
      <c r="J125" s="56">
        <f t="shared" ca="1" si="116"/>
        <v>0</v>
      </c>
      <c r="K125" s="56">
        <f t="shared" ca="1" si="117"/>
        <v>0</v>
      </c>
      <c r="L125" s="56">
        <f t="shared" ca="1" si="118"/>
        <v>0</v>
      </c>
      <c r="M125" s="56">
        <f t="shared" ca="1" si="119"/>
        <v>0</v>
      </c>
      <c r="N125" s="56">
        <f t="shared" ca="1" si="120"/>
        <v>0</v>
      </c>
      <c r="O125" s="65">
        <f t="shared" ca="1" si="101"/>
        <v>339.71738510528479</v>
      </c>
      <c r="P125" s="65">
        <f t="shared" ca="1" si="102"/>
        <v>0</v>
      </c>
      <c r="Q125" s="65">
        <f t="shared" ca="1" si="103"/>
        <v>0</v>
      </c>
      <c r="R125" s="65">
        <f t="shared" ca="1" si="104"/>
        <v>32.5</v>
      </c>
      <c r="S125" s="65">
        <f t="shared" ca="1" si="105"/>
        <v>27.083333333333332</v>
      </c>
      <c r="T125" s="65">
        <f t="shared" ca="1" si="106"/>
        <v>9.6296296296296315</v>
      </c>
      <c r="U125" s="65">
        <f t="shared" ca="1" si="107"/>
        <v>0</v>
      </c>
      <c r="V125" s="65">
        <f t="shared" ca="1" si="108"/>
        <v>0</v>
      </c>
      <c r="W125" s="65">
        <f t="shared" ca="1" si="109"/>
        <v>0</v>
      </c>
      <c r="X125" s="65">
        <f t="shared" ca="1" si="110"/>
        <v>0</v>
      </c>
      <c r="Y125" s="21"/>
      <c r="Z125" s="15">
        <f>VLOOKUP($D125&amp;$B125,[3]!装备基础属性表,P$30,FALSE)</f>
        <v>10191.521553158544</v>
      </c>
      <c r="AA125" s="15">
        <f>VLOOKUP($D125&amp;$B125,[3]!装备基础属性表,Q$30,FALSE)</f>
        <v>517.65705240641728</v>
      </c>
      <c r="AB125" s="15">
        <f>VLOOKUP($D125&amp;$B125,[3]!装备基础属性表,R$30,FALSE)</f>
        <v>223.69004922010402</v>
      </c>
      <c r="AC125" s="15">
        <f>VLOOKUP($D125&amp;$B125,[3]!装备基础属性表,S$30,FALSE)</f>
        <v>406.25</v>
      </c>
      <c r="AD125" s="15">
        <f>VLOOKUP($D125&amp;$B125,[3]!装备基础属性表,T$30,FALSE)</f>
        <v>406.25</v>
      </c>
      <c r="AE125" s="15">
        <f>VLOOKUP($D125&amp;$B125,[3]!装备基础属性表,U$30,FALSE)</f>
        <v>240.74074074074076</v>
      </c>
      <c r="AF125" s="15">
        <f>VLOOKUP($D125&amp;$B125,[3]!装备基础属性表,V$30,FALSE)</f>
        <v>0</v>
      </c>
      <c r="AG125" s="15">
        <f>VLOOKUP($D125&amp;$B125,[3]!装备基础属性表,W$30,FALSE)</f>
        <v>240.74074074074076</v>
      </c>
      <c r="AH125" s="15">
        <f>VLOOKUP($D125&amp;$B125,[3]!装备基础属性表,X$30,FALSE)</f>
        <v>0</v>
      </c>
      <c r="AI125" s="15">
        <f>VLOOKUP($D125&amp;$B125,[3]!装备基础属性表,Y$30,FALSE)</f>
        <v>0</v>
      </c>
      <c r="AJ125" s="16" t="str">
        <f>B125&amp;VLOOKUP(C125,定义数据!$E$1:$F$7,2,FALSE)&amp;D125</f>
        <v>2560</v>
      </c>
      <c r="AK125" s="14">
        <f t="shared" si="29"/>
        <v>17</v>
      </c>
      <c r="AL125" s="5">
        <f t="shared" si="99"/>
        <v>4</v>
      </c>
      <c r="AM125" s="5" t="str">
        <f t="array" aca="1" ref="AM125" ca="1">IF(AM$31&gt;$AL125,0,IF(ISERROR(OFFSET($E$31,0,SMALL(IF($E125:$X125&gt;0,COLUMN($A:$T),""),AM$31)-1)),0,OFFSET($E$31,0,SMALL(IF($E125:$X125&gt;0,COLUMN($A:$T),""),AM$31)-1)))</f>
        <v>生命</v>
      </c>
      <c r="AN125" s="5">
        <f t="array" aca="1" ref="AN125" ca="1">IF(AM$31&gt;$AL125,0,IF(ISERROR(INDEX($E125:$X125,,SMALL(IF($E125:$X125&gt;0,COLUMN($A:$T),""),AN$31))),0,INDEX($E125:$X125,,SMALL(IF($E125:$X125&gt;0,COLUMN($A:$T),""),AN$31))))</f>
        <v>1834.473879568538</v>
      </c>
      <c r="AO125" s="5" t="str">
        <f t="array" aca="1" ref="AO125" ca="1">IF(AO$31&gt;$AL125,0,IF(ISERROR(OFFSET($E$31,0,SMALL(IF($E125:$X125&gt;0,COLUMN($A:$T),""),AO$31)-1)),0,OFFSET($E$31,0,SMALL(IF($E125:$X125&gt;0,COLUMN($A:$T),""),AO$31)-1)))</f>
        <v>闪避值</v>
      </c>
      <c r="AP125" s="5">
        <f t="array" aca="1" ref="AP125" ca="1">IF(AO$31&gt;$AL125,0,IF(ISERROR(INDEX($E125:$X125,,SMALL(IF($E125:$X125&gt;0,COLUMN($A:$T),""),AP$31))),0,INDEX($E125:$X125,,SMALL(IF($E125:$X125&gt;0,COLUMN($A:$T),""),AP$31))))</f>
        <v>243.75</v>
      </c>
      <c r="AQ125" s="5" t="str">
        <f t="array" aca="1" ref="AQ125" ca="1">IF(AQ$31&gt;$AL125,0,IF(ISERROR(OFFSET($E$31,0,SMALL(IF($E125:$X125&gt;0,COLUMN($A:$T),""),AQ$31)-1)),0,OFFSET($E$31,0,SMALL(IF($E125:$X125&gt;0,COLUMN($A:$T),""),AQ$31)-1)))</f>
        <v>生命</v>
      </c>
      <c r="AR125" s="5">
        <f t="array" aca="1" ref="AR125" ca="1">IF(AQ$31&gt;$AL125,0,IF(ISERROR(INDEX($E125:$X125,,SMALL(IF($E125:$X125&gt;0,COLUMN($A:$T),""),AR$31))),0,INDEX($E125:$X125,,SMALL(IF($E125:$X125&gt;0,COLUMN($A:$T),""),AR$31))))</f>
        <v>339.71738510528479</v>
      </c>
      <c r="AS125" s="5" t="str">
        <f t="array" aca="1" ref="AS125" ca="1">IF(AS$31&gt;$AL125,0,IF(ISERROR(OFFSET($E$31,0,SMALL(IF($E125:$X125&gt;0,COLUMN($A:$T),""),AS$31)-1)),0,OFFSET($E$31,0,SMALL(IF($E125:$X125&gt;0,COLUMN($A:$T),""),AS$31)-1)))</f>
        <v>闪避值</v>
      </c>
      <c r="AT125" s="5">
        <f t="array" aca="1" ref="AT125" ca="1">IF(AS$31&gt;$AL125,0,IF(ISERROR(INDEX($E125:$X125,,SMALL(IF($E125:$X125&gt;0,COLUMN($A:$T),""),AT$31))),0,INDEX($E125:$X125,,SMALL(IF($E125:$X125&gt;0,COLUMN($A:$T),""),AT$31))))</f>
        <v>32.5</v>
      </c>
      <c r="AU125" s="5">
        <f t="array" aca="1" ref="AU125" ca="1">IF(AU$31&gt;$AL125,0,IF(ISERROR(OFFSET($E$31,0,SMALL(IF($E125:$X125&gt;0,COLUMN($A:$T),""),AU$31)-1)),0,OFFSET($E$31,0,SMALL(IF($E125:$X125&gt;0,COLUMN($A:$T),""),AU$31)-1)))</f>
        <v>0</v>
      </c>
      <c r="AV125" s="5">
        <f t="array" ref="AV125">IF(AU$31&gt;$AL125,0,IF(ISERROR(INDEX($E125:$X125,,SMALL(IF($E125:$X125&gt;0,COLUMN($A:$T),""),AV$31))),0,INDEX($E125:$X125,,SMALL(IF($E125:$X125&gt;0,COLUMN($A:$T),""),AV$31))))</f>
        <v>0</v>
      </c>
      <c r="AW125" s="5">
        <f t="array" aca="1" ref="AW125" ca="1">IF(AW$31&gt;$AL125,0,IF(ISERROR(OFFSET($E$31,0,SMALL(IF($E125:$X125&gt;0,COLUMN($A:$T),""),AW$31)-1)),0,OFFSET($E$31,0,SMALL(IF($E125:$X125&gt;0,COLUMN($A:$T),""),AW$31)-1)))</f>
        <v>0</v>
      </c>
      <c r="AX125" s="5">
        <f t="array" ref="AX125">IF(AW$31&gt;$AL125,0,IF(ISERROR(INDEX($E125:$X125,,SMALL(IF($E125:$X125&gt;0,COLUMN($A:$T),""),AX$31))),0,INDEX($E125:$X125,,SMALL(IF($E125:$X125&gt;0,COLUMN($A:$T),""),AX$31))))</f>
        <v>0</v>
      </c>
      <c r="AY125" s="5">
        <f t="array" aca="1" ref="AY125" ca="1">IF(AY$31&gt;$AL125,0,IF(ISERROR(OFFSET($E$31,0,SMALL(IF($E125:$X125&gt;0,COLUMN($A:$T),""),AY$31)-1)),0,OFFSET($E$31,0,SMALL(IF($E125:$X125&gt;0,COLUMN($A:$T),""),AY$31)-1)))</f>
        <v>0</v>
      </c>
      <c r="AZ125" s="5">
        <f t="array" ref="AZ125">IF(AY$31&gt;$AL125,0,IF(ISERROR(INDEX($E125:$X125,,SMALL(IF($E125:$X125&gt;0,COLUMN($A:$T),""),AZ$31))),0,INDEX($E125:$X125,,SMALL(IF($E125:$X125&gt;0,COLUMN($A:$T),""),AZ$31))))</f>
        <v>0</v>
      </c>
      <c r="BA125" s="5">
        <f t="array" aca="1" ref="BA125" ca="1">IF(BA$31&gt;$AL125,0,IF(ISERROR(OFFSET($E$31,0,SMALL(IF($E125:$X125&gt;0,COLUMN($A:$T),""),BA$31)-1)),0,OFFSET($E$31,0,SMALL(IF($E125:$X125&gt;0,COLUMN($A:$T),""),BA$31)-1)))</f>
        <v>0</v>
      </c>
      <c r="BB125" s="5">
        <f t="array" ref="BB125">IF(BA$31&gt;$AL125,0,IF(ISERROR(INDEX($E125:$X125,,SMALL(IF($E125:$X125&gt;0,COLUMN($A:$T),""),BB$31))),0,INDEX($E125:$X125,,SMALL(IF($E125:$X125&gt;0,COLUMN($A:$T),""),BB$31))))</f>
        <v>0</v>
      </c>
      <c r="BC125" s="5">
        <f t="array" aca="1" ref="BC125" ca="1">IF(BC$31&gt;$AL125,0,IF(ISERROR(OFFSET($E$31,0,SMALL(IF($E125:$X125&gt;0,COLUMN($A:$T),""),BC$31)-1)),0,OFFSET($E$31,0,SMALL(IF($E125:$X125&gt;0,COLUMN($A:$T),""),BC$31)-1)))</f>
        <v>0</v>
      </c>
      <c r="BD125" s="5">
        <f t="array" ref="BD125">IF(BC$31&gt;$AL125,0,IF(ISERROR(INDEX($E125:$X125,,SMALL(IF($E125:$X125&gt;0,COLUMN($A:$T),""),BD$31))),0,INDEX($E125:$X125,,SMALL(IF($E125:$X125&gt;0,COLUMN($A:$T),""),BD$31))))</f>
        <v>0</v>
      </c>
      <c r="BE125" s="5">
        <f t="array" aca="1" ref="BE125" ca="1">IF(BE$31&gt;$AL125,0,IF(ISERROR(OFFSET($E$31,0,SMALL(IF($E125:$X125&gt;0,COLUMN($A:$T),""),BE$31)-1)),0,OFFSET($E$31,0,SMALL(IF($E125:$X125&gt;0,COLUMN($A:$T),""),BE$31)-1)))</f>
        <v>0</v>
      </c>
      <c r="BF125" s="5">
        <f t="array" ref="BF125">IF(BE$31&gt;$AL125,0,IF(ISERROR(INDEX($E125:$X125,,SMALL(IF($E125:$X125&gt;0,COLUMN($A:$T),""),BF$31))),0,INDEX($E125:$X125,,SMALL(IF($E125:$X125&gt;0,COLUMN($A:$T),""),BF$31))))</f>
        <v>0</v>
      </c>
      <c r="BH125">
        <f ca="1">SUMPRODUCT(E125:N125,定义数据!$G$14:$P$14)</f>
        <v>156.25395518274152</v>
      </c>
      <c r="BI125">
        <f ca="1">SUMPRODUCT(O125:X125,定义数据!$G$14:$P$14)</f>
        <v>35.58036207087806</v>
      </c>
      <c r="BJ125" s="5">
        <f t="shared" ca="1" si="100"/>
        <v>191.83431725361959</v>
      </c>
      <c r="BK125" s="5" t="str">
        <f>D125&amp;B125&amp;VLOOKUP(C125,定义数据!$E$1:$F$7,2,FALSE)</f>
        <v>6025</v>
      </c>
    </row>
    <row r="126" spans="1:63" x14ac:dyDescent="0.15">
      <c r="A126" s="17" t="str">
        <f>D126&amp;B126&amp;VLOOKUP(C126,定义数据!$E$1:$F$7,2,FALSE)</f>
        <v>6024</v>
      </c>
      <c r="B126" s="18">
        <v>2</v>
      </c>
      <c r="C126" s="18" t="s">
        <v>139</v>
      </c>
      <c r="D126" s="24">
        <v>60</v>
      </c>
      <c r="E126" s="56">
        <f t="shared" ca="1" si="111"/>
        <v>1834.473879568538</v>
      </c>
      <c r="F126" s="56">
        <f t="shared" ca="1" si="112"/>
        <v>0</v>
      </c>
      <c r="G126" s="56">
        <f t="shared" ca="1" si="113"/>
        <v>0</v>
      </c>
      <c r="H126" s="56">
        <f t="shared" ca="1" si="114"/>
        <v>0</v>
      </c>
      <c r="I126" s="56">
        <f t="shared" ca="1" si="115"/>
        <v>0</v>
      </c>
      <c r="J126" s="56">
        <f t="shared" ca="1" si="116"/>
        <v>0</v>
      </c>
      <c r="K126" s="56">
        <f t="shared" ca="1" si="117"/>
        <v>0</v>
      </c>
      <c r="L126" s="56">
        <f t="shared" ca="1" si="118"/>
        <v>216.66666666666669</v>
      </c>
      <c r="M126" s="56">
        <f t="shared" ca="1" si="119"/>
        <v>0</v>
      </c>
      <c r="N126" s="56">
        <f t="shared" ca="1" si="120"/>
        <v>0</v>
      </c>
      <c r="O126" s="65">
        <f t="shared" ca="1" si="101"/>
        <v>679.43477021056958</v>
      </c>
      <c r="P126" s="65">
        <f t="shared" ca="1" si="102"/>
        <v>20.706282096256693</v>
      </c>
      <c r="Q126" s="65">
        <f t="shared" ca="1" si="103"/>
        <v>7.4563349740034672</v>
      </c>
      <c r="R126" s="65">
        <f t="shared" ca="1" si="104"/>
        <v>0</v>
      </c>
      <c r="S126" s="65">
        <f t="shared" ca="1" si="105"/>
        <v>0</v>
      </c>
      <c r="T126" s="65">
        <f t="shared" ca="1" si="106"/>
        <v>0</v>
      </c>
      <c r="U126" s="65">
        <f t="shared" ca="1" si="107"/>
        <v>0</v>
      </c>
      <c r="V126" s="65">
        <f t="shared" ca="1" si="108"/>
        <v>16.049382716049383</v>
      </c>
      <c r="W126" s="65">
        <f t="shared" ca="1" si="109"/>
        <v>0</v>
      </c>
      <c r="X126" s="65">
        <f t="shared" ca="1" si="110"/>
        <v>0</v>
      </c>
      <c r="Y126" s="21"/>
      <c r="Z126" s="15">
        <f>VLOOKUP($D126&amp;$B126,[3]!装备基础属性表,P$30,FALSE)</f>
        <v>10191.521553158544</v>
      </c>
      <c r="AA126" s="15">
        <f>VLOOKUP($D126&amp;$B126,[3]!装备基础属性表,Q$30,FALSE)</f>
        <v>517.65705240641728</v>
      </c>
      <c r="AB126" s="15">
        <f>VLOOKUP($D126&amp;$B126,[3]!装备基础属性表,R$30,FALSE)</f>
        <v>223.69004922010402</v>
      </c>
      <c r="AC126" s="15">
        <f>VLOOKUP($D126&amp;$B126,[3]!装备基础属性表,S$30,FALSE)</f>
        <v>406.25</v>
      </c>
      <c r="AD126" s="15">
        <f>VLOOKUP($D126&amp;$B126,[3]!装备基础属性表,T$30,FALSE)</f>
        <v>406.25</v>
      </c>
      <c r="AE126" s="15">
        <f>VLOOKUP($D126&amp;$B126,[3]!装备基础属性表,U$30,FALSE)</f>
        <v>240.74074074074076</v>
      </c>
      <c r="AF126" s="15">
        <f>VLOOKUP($D126&amp;$B126,[3]!装备基础属性表,V$30,FALSE)</f>
        <v>0</v>
      </c>
      <c r="AG126" s="15">
        <f>VLOOKUP($D126&amp;$B126,[3]!装备基础属性表,W$30,FALSE)</f>
        <v>240.74074074074076</v>
      </c>
      <c r="AH126" s="15">
        <f>VLOOKUP($D126&amp;$B126,[3]!装备基础属性表,X$30,FALSE)</f>
        <v>0</v>
      </c>
      <c r="AI126" s="15">
        <f>VLOOKUP($D126&amp;$B126,[3]!装备基础属性表,Y$30,FALSE)</f>
        <v>0</v>
      </c>
      <c r="AJ126" s="16" t="str">
        <f>B126&amp;VLOOKUP(C126,定义数据!$E$1:$F$7,2,FALSE)&amp;D126</f>
        <v>2460</v>
      </c>
      <c r="AK126" s="14">
        <f t="shared" si="29"/>
        <v>17</v>
      </c>
      <c r="AL126" s="5">
        <f t="shared" si="99"/>
        <v>4</v>
      </c>
      <c r="AM126" s="5" t="str">
        <f t="array" aca="1" ref="AM126" ca="1">IF(AM$31&gt;$AL126,0,IF(ISERROR(OFFSET($E$31,0,SMALL(IF($E126:$X126&gt;0,COLUMN($A:$T),""),AM$31)-1)),0,OFFSET($E$31,0,SMALL(IF($E126:$X126&gt;0,COLUMN($A:$T),""),AM$31)-1)))</f>
        <v>生命</v>
      </c>
      <c r="AN126" s="5">
        <f t="array" aca="1" ref="AN126" ca="1">IF(AM$31&gt;$AL126,0,IF(ISERROR(INDEX($E126:$X126,,SMALL(IF($E126:$X126&gt;0,COLUMN($A:$T),""),AN$31))),0,INDEX($E126:$X126,,SMALL(IF($E126:$X126&gt;0,COLUMN($A:$T),""),AN$31))))</f>
        <v>1834.473879568538</v>
      </c>
      <c r="AO126" s="5" t="str">
        <f t="array" aca="1" ref="AO126" ca="1">IF(AO$31&gt;$AL126,0,IF(ISERROR(OFFSET($E$31,0,SMALL(IF($E126:$X126&gt;0,COLUMN($A:$T),""),AO$31)-1)),0,OFFSET($E$31,0,SMALL(IF($E126:$X126&gt;0,COLUMN($A:$T),""),AO$31)-1)))</f>
        <v>韧性值</v>
      </c>
      <c r="AP126" s="5">
        <f t="array" aca="1" ref="AP126" ca="1">IF(AO$31&gt;$AL126,0,IF(ISERROR(INDEX($E126:$X126,,SMALL(IF($E126:$X126&gt;0,COLUMN($A:$T),""),AP$31))),0,INDEX($E126:$X126,,SMALL(IF($E126:$X126&gt;0,COLUMN($A:$T),""),AP$31))))</f>
        <v>216.66666666666669</v>
      </c>
      <c r="AQ126" s="5" t="str">
        <f t="array" aca="1" ref="AQ126" ca="1">IF(AQ$31&gt;$AL126,0,IF(ISERROR(OFFSET($E$31,0,SMALL(IF($E126:$X126&gt;0,COLUMN($A:$T),""),AQ$31)-1)),0,OFFSET($E$31,0,SMALL(IF($E126:$X126&gt;0,COLUMN($A:$T),""),AQ$31)-1)))</f>
        <v>生命</v>
      </c>
      <c r="AR126" s="5">
        <f t="array" aca="1" ref="AR126" ca="1">IF(AQ$31&gt;$AL126,0,IF(ISERROR(INDEX($E126:$X126,,SMALL(IF($E126:$X126&gt;0,COLUMN($A:$T),""),AR$31))),0,INDEX($E126:$X126,,SMALL(IF($E126:$X126&gt;0,COLUMN($A:$T),""),AR$31))))</f>
        <v>679.43477021056958</v>
      </c>
      <c r="AS126" s="5" t="str">
        <f t="array" aca="1" ref="AS126" ca="1">IF(AS$31&gt;$AL126,0,IF(ISERROR(OFFSET($E$31,0,SMALL(IF($E126:$X126&gt;0,COLUMN($A:$T),""),AS$31)-1)),0,OFFSET($E$31,0,SMALL(IF($E126:$X126&gt;0,COLUMN($A:$T),""),AS$31)-1)))</f>
        <v>攻击</v>
      </c>
      <c r="AT126" s="5">
        <f t="array" aca="1" ref="AT126" ca="1">IF(AS$31&gt;$AL126,0,IF(ISERROR(INDEX($E126:$X126,,SMALL(IF($E126:$X126&gt;0,COLUMN($A:$T),""),AT$31))),0,INDEX($E126:$X126,,SMALL(IF($E126:$X126&gt;0,COLUMN($A:$T),""),AT$31))))</f>
        <v>20.706282096256693</v>
      </c>
      <c r="AU126" s="5">
        <f t="array" aca="1" ref="AU126" ca="1">IF(AU$31&gt;$AL126,0,IF(ISERROR(OFFSET($E$31,0,SMALL(IF($E126:$X126&gt;0,COLUMN($A:$T),""),AU$31)-1)),0,OFFSET($E$31,0,SMALL(IF($E126:$X126&gt;0,COLUMN($A:$T),""),AU$31)-1)))</f>
        <v>0</v>
      </c>
      <c r="AV126" s="5">
        <f t="array" ref="AV126">IF(AU$31&gt;$AL126,0,IF(ISERROR(INDEX($E126:$X126,,SMALL(IF($E126:$X126&gt;0,COLUMN($A:$T),""),AV$31))),0,INDEX($E126:$X126,,SMALL(IF($E126:$X126&gt;0,COLUMN($A:$T),""),AV$31))))</f>
        <v>0</v>
      </c>
      <c r="AW126" s="5">
        <f t="array" aca="1" ref="AW126" ca="1">IF(AW$31&gt;$AL126,0,IF(ISERROR(OFFSET($E$31,0,SMALL(IF($E126:$X126&gt;0,COLUMN($A:$T),""),AW$31)-1)),0,OFFSET($E$31,0,SMALL(IF($E126:$X126&gt;0,COLUMN($A:$T),""),AW$31)-1)))</f>
        <v>0</v>
      </c>
      <c r="AX126" s="5">
        <f t="array" ref="AX126">IF(AW$31&gt;$AL126,0,IF(ISERROR(INDEX($E126:$X126,,SMALL(IF($E126:$X126&gt;0,COLUMN($A:$T),""),AX$31))),0,INDEX($E126:$X126,,SMALL(IF($E126:$X126&gt;0,COLUMN($A:$T),""),AX$31))))</f>
        <v>0</v>
      </c>
      <c r="AY126" s="5">
        <f t="array" aca="1" ref="AY126" ca="1">IF(AY$31&gt;$AL126,0,IF(ISERROR(OFFSET($E$31,0,SMALL(IF($E126:$X126&gt;0,COLUMN($A:$T),""),AY$31)-1)),0,OFFSET($E$31,0,SMALL(IF($E126:$X126&gt;0,COLUMN($A:$T),""),AY$31)-1)))</f>
        <v>0</v>
      </c>
      <c r="AZ126" s="5">
        <f t="array" ref="AZ126">IF(AY$31&gt;$AL126,0,IF(ISERROR(INDEX($E126:$X126,,SMALL(IF($E126:$X126&gt;0,COLUMN($A:$T),""),AZ$31))),0,INDEX($E126:$X126,,SMALL(IF($E126:$X126&gt;0,COLUMN($A:$T),""),AZ$31))))</f>
        <v>0</v>
      </c>
      <c r="BA126" s="5">
        <f t="array" aca="1" ref="BA126" ca="1">IF(BA$31&gt;$AL126,0,IF(ISERROR(OFFSET($E$31,0,SMALL(IF($E126:$X126&gt;0,COLUMN($A:$T),""),BA$31)-1)),0,OFFSET($E$31,0,SMALL(IF($E126:$X126&gt;0,COLUMN($A:$T),""),BA$31)-1)))</f>
        <v>0</v>
      </c>
      <c r="BB126" s="5">
        <f t="array" ref="BB126">IF(BA$31&gt;$AL126,0,IF(ISERROR(INDEX($E126:$X126,,SMALL(IF($E126:$X126&gt;0,COLUMN($A:$T),""),BB$31))),0,INDEX($E126:$X126,,SMALL(IF($E126:$X126&gt;0,COLUMN($A:$T),""),BB$31))))</f>
        <v>0</v>
      </c>
      <c r="BC126" s="5">
        <f t="array" aca="1" ref="BC126" ca="1">IF(BC$31&gt;$AL126,0,IF(ISERROR(OFFSET($E$31,0,SMALL(IF($E126:$X126&gt;0,COLUMN($A:$T),""),BC$31)-1)),0,OFFSET($E$31,0,SMALL(IF($E126:$X126&gt;0,COLUMN($A:$T),""),BC$31)-1)))</f>
        <v>0</v>
      </c>
      <c r="BD126" s="5">
        <f t="array" ref="BD126">IF(BC$31&gt;$AL126,0,IF(ISERROR(INDEX($E126:$X126,,SMALL(IF($E126:$X126&gt;0,COLUMN($A:$T),""),BD$31))),0,INDEX($E126:$X126,,SMALL(IF($E126:$X126&gt;0,COLUMN($A:$T),""),BD$31))))</f>
        <v>0</v>
      </c>
      <c r="BE126" s="5">
        <f t="array" aca="1" ref="BE126" ca="1">IF(BE$31&gt;$AL126,0,IF(ISERROR(OFFSET($E$31,0,SMALL(IF($E126:$X126&gt;0,COLUMN($A:$T),""),BE$31)-1)),0,OFFSET($E$31,0,SMALL(IF($E126:$X126&gt;0,COLUMN($A:$T),""),BE$31)-1)))</f>
        <v>0</v>
      </c>
      <c r="BF126" s="5">
        <f t="array" ref="BF126">IF(BE$31&gt;$AL126,0,IF(ISERROR(INDEX($E126:$X126,,SMALL(IF($E126:$X126&gt;0,COLUMN($A:$T),""),BF$31))),0,INDEX($E126:$X126,,SMALL(IF($E126:$X126&gt;0,COLUMN($A:$T),""),BF$31))))</f>
        <v>0</v>
      </c>
      <c r="BH126">
        <f ca="1">SUMPRODUCT(E126:N126,定义数据!$G$14:$P$14)</f>
        <v>112.37895518274152</v>
      </c>
      <c r="BI126">
        <f ca="1">SUMPRODUCT(O126:X126,定义数据!$G$14:$P$14)</f>
        <v>58.228896767571833</v>
      </c>
      <c r="BJ126" s="5">
        <f t="shared" ca="1" si="100"/>
        <v>170.60785195031335</v>
      </c>
      <c r="BK126" s="5" t="str">
        <f>D126&amp;B126&amp;VLOOKUP(C126,定义数据!$E$1:$F$7,2,FALSE)</f>
        <v>6024</v>
      </c>
    </row>
    <row r="127" spans="1:63" x14ac:dyDescent="0.15">
      <c r="A127" s="17" t="str">
        <f>D127&amp;B127&amp;VLOOKUP(C127,定义数据!$E$1:$F$7,2,FALSE)</f>
        <v>6023</v>
      </c>
      <c r="B127" s="18">
        <v>2</v>
      </c>
      <c r="C127" s="18" t="s">
        <v>140</v>
      </c>
      <c r="D127" s="24">
        <v>60</v>
      </c>
      <c r="E127" s="56">
        <f t="shared" ca="1" si="111"/>
        <v>0</v>
      </c>
      <c r="F127" s="56">
        <f t="shared" ca="1" si="112"/>
        <v>116.4728367914439</v>
      </c>
      <c r="G127" s="56">
        <f t="shared" ca="1" si="113"/>
        <v>0</v>
      </c>
      <c r="H127" s="56">
        <f t="shared" ca="1" si="114"/>
        <v>0</v>
      </c>
      <c r="I127" s="56">
        <f t="shared" ca="1" si="115"/>
        <v>365.625</v>
      </c>
      <c r="J127" s="56">
        <f t="shared" ca="1" si="116"/>
        <v>0</v>
      </c>
      <c r="K127" s="56">
        <f t="shared" ca="1" si="117"/>
        <v>0</v>
      </c>
      <c r="L127" s="56">
        <f t="shared" ca="1" si="118"/>
        <v>0</v>
      </c>
      <c r="M127" s="56">
        <f t="shared" ca="1" si="119"/>
        <v>0</v>
      </c>
      <c r="N127" s="56">
        <f t="shared" ca="1" si="120"/>
        <v>0</v>
      </c>
      <c r="O127" s="65">
        <f t="shared" ca="1" si="101"/>
        <v>0</v>
      </c>
      <c r="P127" s="65">
        <f t="shared" ca="1" si="102"/>
        <v>20.706282096256693</v>
      </c>
      <c r="Q127" s="65">
        <f t="shared" ca="1" si="103"/>
        <v>0</v>
      </c>
      <c r="R127" s="65">
        <f t="shared" ca="1" si="104"/>
        <v>16.25</v>
      </c>
      <c r="S127" s="65">
        <f t="shared" ca="1" si="105"/>
        <v>27.083333333333332</v>
      </c>
      <c r="T127" s="65">
        <f t="shared" ca="1" si="106"/>
        <v>19.259259259259263</v>
      </c>
      <c r="U127" s="65">
        <f t="shared" ca="1" si="107"/>
        <v>0</v>
      </c>
      <c r="V127" s="65">
        <f t="shared" ca="1" si="108"/>
        <v>0</v>
      </c>
      <c r="W127" s="65">
        <f t="shared" ca="1" si="109"/>
        <v>0</v>
      </c>
      <c r="X127" s="65">
        <f t="shared" ca="1" si="110"/>
        <v>0</v>
      </c>
      <c r="Y127" s="21"/>
      <c r="Z127" s="15">
        <f>VLOOKUP($D127&amp;$B127,[3]!装备基础属性表,P$30,FALSE)</f>
        <v>10191.521553158544</v>
      </c>
      <c r="AA127" s="15">
        <f>VLOOKUP($D127&amp;$B127,[3]!装备基础属性表,Q$30,FALSE)</f>
        <v>517.65705240641728</v>
      </c>
      <c r="AB127" s="15">
        <f>VLOOKUP($D127&amp;$B127,[3]!装备基础属性表,R$30,FALSE)</f>
        <v>223.69004922010402</v>
      </c>
      <c r="AC127" s="15">
        <f>VLOOKUP($D127&amp;$B127,[3]!装备基础属性表,S$30,FALSE)</f>
        <v>406.25</v>
      </c>
      <c r="AD127" s="15">
        <f>VLOOKUP($D127&amp;$B127,[3]!装备基础属性表,T$30,FALSE)</f>
        <v>406.25</v>
      </c>
      <c r="AE127" s="15">
        <f>VLOOKUP($D127&amp;$B127,[3]!装备基础属性表,U$30,FALSE)</f>
        <v>240.74074074074076</v>
      </c>
      <c r="AF127" s="15">
        <f>VLOOKUP($D127&amp;$B127,[3]!装备基础属性表,V$30,FALSE)</f>
        <v>0</v>
      </c>
      <c r="AG127" s="15">
        <f>VLOOKUP($D127&amp;$B127,[3]!装备基础属性表,W$30,FALSE)</f>
        <v>240.74074074074076</v>
      </c>
      <c r="AH127" s="15">
        <f>VLOOKUP($D127&amp;$B127,[3]!装备基础属性表,X$30,FALSE)</f>
        <v>0</v>
      </c>
      <c r="AI127" s="15">
        <f>VLOOKUP($D127&amp;$B127,[3]!装备基础属性表,Y$30,FALSE)</f>
        <v>0</v>
      </c>
      <c r="AJ127" s="16" t="str">
        <f>B127&amp;VLOOKUP(C127,定义数据!$E$1:$F$7,2,FALSE)&amp;D127</f>
        <v>2360</v>
      </c>
      <c r="AK127" s="14">
        <f t="shared" si="29"/>
        <v>17</v>
      </c>
      <c r="AL127" s="5">
        <f t="shared" si="99"/>
        <v>4</v>
      </c>
      <c r="AM127" s="5" t="str">
        <f t="array" aca="1" ref="AM127" ca="1">IF(AM$31&gt;$AL127,0,IF(ISERROR(OFFSET($E$31,0,SMALL(IF($E127:$X127&gt;0,COLUMN($A:$T),""),AM$31)-1)),0,OFFSET($E$31,0,SMALL(IF($E127:$X127&gt;0,COLUMN($A:$T),""),AM$31)-1)))</f>
        <v>攻击</v>
      </c>
      <c r="AN127" s="5">
        <f t="array" aca="1" ref="AN127" ca="1">IF(AM$31&gt;$AL127,0,IF(ISERROR(INDEX($E127:$X127,,SMALL(IF($E127:$X127&gt;0,COLUMN($A:$T),""),AN$31))),0,INDEX($E127:$X127,,SMALL(IF($E127:$X127&gt;0,COLUMN($A:$T),""),AN$31))))</f>
        <v>116.4728367914439</v>
      </c>
      <c r="AO127" s="5" t="str">
        <f t="array" aca="1" ref="AO127" ca="1">IF(AO$31&gt;$AL127,0,IF(ISERROR(OFFSET($E$31,0,SMALL(IF($E127:$X127&gt;0,COLUMN($A:$T),""),AO$31)-1)),0,OFFSET($E$31,0,SMALL(IF($E127:$X127&gt;0,COLUMN($A:$T),""),AO$31)-1)))</f>
        <v>命中值</v>
      </c>
      <c r="AP127" s="5">
        <f t="array" aca="1" ref="AP127" ca="1">IF(AO$31&gt;$AL127,0,IF(ISERROR(INDEX($E127:$X127,,SMALL(IF($E127:$X127&gt;0,COLUMN($A:$T),""),AP$31))),0,INDEX($E127:$X127,,SMALL(IF($E127:$X127&gt;0,COLUMN($A:$T),""),AP$31))))</f>
        <v>365.625</v>
      </c>
      <c r="AQ127" s="5" t="str">
        <f t="array" aca="1" ref="AQ127" ca="1">IF(AQ$31&gt;$AL127,0,IF(ISERROR(OFFSET($E$31,0,SMALL(IF($E127:$X127&gt;0,COLUMN($A:$T),""),AQ$31)-1)),0,OFFSET($E$31,0,SMALL(IF($E127:$X127&gt;0,COLUMN($A:$T),""),AQ$31)-1)))</f>
        <v>攻击</v>
      </c>
      <c r="AR127" s="5">
        <f t="array" aca="1" ref="AR127" ca="1">IF(AQ$31&gt;$AL127,0,IF(ISERROR(INDEX($E127:$X127,,SMALL(IF($E127:$X127&gt;0,COLUMN($A:$T),""),AR$31))),0,INDEX($E127:$X127,,SMALL(IF($E127:$X127&gt;0,COLUMN($A:$T),""),AR$31))))</f>
        <v>20.706282096256693</v>
      </c>
      <c r="AS127" s="5" t="str">
        <f t="array" aca="1" ref="AS127" ca="1">IF(AS$31&gt;$AL127,0,IF(ISERROR(OFFSET($E$31,0,SMALL(IF($E127:$X127&gt;0,COLUMN($A:$T),""),AS$31)-1)),0,OFFSET($E$31,0,SMALL(IF($E127:$X127&gt;0,COLUMN($A:$T),""),AS$31)-1)))</f>
        <v>闪避值</v>
      </c>
      <c r="AT127" s="5">
        <f t="array" aca="1" ref="AT127" ca="1">IF(AS$31&gt;$AL127,0,IF(ISERROR(INDEX($E127:$X127,,SMALL(IF($E127:$X127&gt;0,COLUMN($A:$T),""),AT$31))),0,INDEX($E127:$X127,,SMALL(IF($E127:$X127&gt;0,COLUMN($A:$T),""),AT$31))))</f>
        <v>16.25</v>
      </c>
      <c r="AU127" s="5">
        <f t="array" aca="1" ref="AU127" ca="1">IF(AU$31&gt;$AL127,0,IF(ISERROR(OFFSET($E$31,0,SMALL(IF($E127:$X127&gt;0,COLUMN($A:$T),""),AU$31)-1)),0,OFFSET($E$31,0,SMALL(IF($E127:$X127&gt;0,COLUMN($A:$T),""),AU$31)-1)))</f>
        <v>0</v>
      </c>
      <c r="AV127" s="5">
        <f t="array" ref="AV127">IF(AU$31&gt;$AL127,0,IF(ISERROR(INDEX($E127:$X127,,SMALL(IF($E127:$X127&gt;0,COLUMN($A:$T),""),AV$31))),0,INDEX($E127:$X127,,SMALL(IF($E127:$X127&gt;0,COLUMN($A:$T),""),AV$31))))</f>
        <v>0</v>
      </c>
      <c r="AW127" s="5">
        <f t="array" aca="1" ref="AW127" ca="1">IF(AW$31&gt;$AL127,0,IF(ISERROR(OFFSET($E$31,0,SMALL(IF($E127:$X127&gt;0,COLUMN($A:$T),""),AW$31)-1)),0,OFFSET($E$31,0,SMALL(IF($E127:$X127&gt;0,COLUMN($A:$T),""),AW$31)-1)))</f>
        <v>0</v>
      </c>
      <c r="AX127" s="5">
        <f t="array" ref="AX127">IF(AW$31&gt;$AL127,0,IF(ISERROR(INDEX($E127:$X127,,SMALL(IF($E127:$X127&gt;0,COLUMN($A:$T),""),AX$31))),0,INDEX($E127:$X127,,SMALL(IF($E127:$X127&gt;0,COLUMN($A:$T),""),AX$31))))</f>
        <v>0</v>
      </c>
      <c r="AY127" s="5">
        <f t="array" aca="1" ref="AY127" ca="1">IF(AY$31&gt;$AL127,0,IF(ISERROR(OFFSET($E$31,0,SMALL(IF($E127:$X127&gt;0,COLUMN($A:$T),""),AY$31)-1)),0,OFFSET($E$31,0,SMALL(IF($E127:$X127&gt;0,COLUMN($A:$T),""),AY$31)-1)))</f>
        <v>0</v>
      </c>
      <c r="AZ127" s="5">
        <f t="array" ref="AZ127">IF(AY$31&gt;$AL127,0,IF(ISERROR(INDEX($E127:$X127,,SMALL(IF($E127:$X127&gt;0,COLUMN($A:$T),""),AZ$31))),0,INDEX($E127:$X127,,SMALL(IF($E127:$X127&gt;0,COLUMN($A:$T),""),AZ$31))))</f>
        <v>0</v>
      </c>
      <c r="BA127" s="5">
        <f t="array" aca="1" ref="BA127" ca="1">IF(BA$31&gt;$AL127,0,IF(ISERROR(OFFSET($E$31,0,SMALL(IF($E127:$X127&gt;0,COLUMN($A:$T),""),BA$31)-1)),0,OFFSET($E$31,0,SMALL(IF($E127:$X127&gt;0,COLUMN($A:$T),""),BA$31)-1)))</f>
        <v>0</v>
      </c>
      <c r="BB127" s="5">
        <f t="array" ref="BB127">IF(BA$31&gt;$AL127,0,IF(ISERROR(INDEX($E127:$X127,,SMALL(IF($E127:$X127&gt;0,COLUMN($A:$T),""),BB$31))),0,INDEX($E127:$X127,,SMALL(IF($E127:$X127&gt;0,COLUMN($A:$T),""),BB$31))))</f>
        <v>0</v>
      </c>
      <c r="BC127" s="5">
        <f t="array" aca="1" ref="BC127" ca="1">IF(BC$31&gt;$AL127,0,IF(ISERROR(OFFSET($E$31,0,SMALL(IF($E127:$X127&gt;0,COLUMN($A:$T),""),BC$31)-1)),0,OFFSET($E$31,0,SMALL(IF($E127:$X127&gt;0,COLUMN($A:$T),""),BC$31)-1)))</f>
        <v>0</v>
      </c>
      <c r="BD127" s="5">
        <f t="array" ref="BD127">IF(BC$31&gt;$AL127,0,IF(ISERROR(INDEX($E127:$X127,,SMALL(IF($E127:$X127&gt;0,COLUMN($A:$T),""),BD$31))),0,INDEX($E127:$X127,,SMALL(IF($E127:$X127&gt;0,COLUMN($A:$T),""),BD$31))))</f>
        <v>0</v>
      </c>
      <c r="BE127" s="5">
        <f t="array" aca="1" ref="BE127" ca="1">IF(BE$31&gt;$AL127,0,IF(ISERROR(OFFSET($E$31,0,SMALL(IF($E127:$X127&gt;0,COLUMN($A:$T),""),BE$31)-1)),0,OFFSET($E$31,0,SMALL(IF($E127:$X127&gt;0,COLUMN($A:$T),""),BE$31)-1)))</f>
        <v>0</v>
      </c>
      <c r="BF127" s="5">
        <f t="array" ref="BF127">IF(BE$31&gt;$AL127,0,IF(ISERROR(INDEX($E127:$X127,,SMALL(IF($E127:$X127&gt;0,COLUMN($A:$T),""),BF$31))),0,INDEX($E127:$X127,,SMALL(IF($E127:$X127&gt;0,COLUMN($A:$T),""),BF$31))))</f>
        <v>0</v>
      </c>
      <c r="BH127">
        <f ca="1">SUMPRODUCT(E127:N127,定义数据!$G$14:$P$14)</f>
        <v>240.78533679144391</v>
      </c>
      <c r="BI127">
        <f ca="1">SUMPRODUCT(O127:X127,定义数据!$G$14:$P$14)</f>
        <v>38.906282096256696</v>
      </c>
      <c r="BJ127" s="5">
        <f t="shared" ca="1" si="100"/>
        <v>279.6916188877006</v>
      </c>
      <c r="BK127" s="5" t="str">
        <f>D127&amp;B127&amp;VLOOKUP(C127,定义数据!$E$1:$F$7,2,FALSE)</f>
        <v>6023</v>
      </c>
    </row>
    <row r="128" spans="1:63" x14ac:dyDescent="0.15">
      <c r="A128" s="17" t="str">
        <f>D128&amp;B128&amp;VLOOKUP(C128,定义数据!$E$1:$F$7,2,FALSE)</f>
        <v>6030</v>
      </c>
      <c r="B128" s="18">
        <v>3</v>
      </c>
      <c r="C128" s="18" t="s">
        <v>141</v>
      </c>
      <c r="D128" s="24">
        <v>60</v>
      </c>
      <c r="E128" s="56">
        <f t="shared" ca="1" si="111"/>
        <v>0</v>
      </c>
      <c r="F128" s="56">
        <f t="shared" ca="1" si="112"/>
        <v>406.16168727272736</v>
      </c>
      <c r="G128" s="56">
        <f t="shared" ca="1" si="113"/>
        <v>0</v>
      </c>
      <c r="H128" s="56">
        <f t="shared" ca="1" si="114"/>
        <v>0</v>
      </c>
      <c r="I128" s="56">
        <f t="shared" ca="1" si="115"/>
        <v>0</v>
      </c>
      <c r="J128" s="56">
        <f t="shared" ca="1" si="116"/>
        <v>251.85185185185185</v>
      </c>
      <c r="K128" s="56">
        <f t="shared" ca="1" si="117"/>
        <v>0</v>
      </c>
      <c r="L128" s="56">
        <f t="shared" ca="1" si="118"/>
        <v>0</v>
      </c>
      <c r="M128" s="56">
        <f t="shared" ca="1" si="119"/>
        <v>0</v>
      </c>
      <c r="N128" s="56">
        <f t="shared" ca="1" si="120"/>
        <v>0</v>
      </c>
      <c r="O128" s="65">
        <f t="shared" ca="1" si="101"/>
        <v>0</v>
      </c>
      <c r="P128" s="65">
        <f t="shared" ca="1" si="102"/>
        <v>121.84850618181821</v>
      </c>
      <c r="Q128" s="65">
        <f t="shared" ca="1" si="103"/>
        <v>14.625887833622185</v>
      </c>
      <c r="R128" s="65">
        <f t="shared" ca="1" si="104"/>
        <v>0</v>
      </c>
      <c r="S128" s="65">
        <f t="shared" ca="1" si="105"/>
        <v>53.124999999999993</v>
      </c>
      <c r="T128" s="65">
        <f t="shared" ca="1" si="106"/>
        <v>37.777777777777786</v>
      </c>
      <c r="U128" s="65">
        <f t="shared" ca="1" si="107"/>
        <v>0</v>
      </c>
      <c r="V128" s="65">
        <f t="shared" ca="1" si="108"/>
        <v>0</v>
      </c>
      <c r="W128" s="65">
        <f t="shared" ca="1" si="109"/>
        <v>0</v>
      </c>
      <c r="X128" s="65">
        <f t="shared" ca="1" si="110"/>
        <v>0</v>
      </c>
      <c r="Y128" s="21" t="s">
        <v>94</v>
      </c>
      <c r="Z128" s="15">
        <f>VLOOKUP($D128&amp;$B128,[3]!装备基础属性表,P$30,FALSE)</f>
        <v>13327.374338745787</v>
      </c>
      <c r="AA128" s="15">
        <f>VLOOKUP($D128&amp;$B128,[3]!装备基础属性表,Q$30,FALSE)</f>
        <v>676.93614545454557</v>
      </c>
      <c r="AB128" s="15">
        <f>VLOOKUP($D128&amp;$B128,[3]!装备基础属性表,R$30,FALSE)</f>
        <v>292.51775667244368</v>
      </c>
      <c r="AC128" s="15">
        <f>VLOOKUP($D128&amp;$B128,[3]!装备基础属性表,S$30,FALSE)</f>
        <v>531.24999999999989</v>
      </c>
      <c r="AD128" s="15">
        <f>VLOOKUP($D128&amp;$B128,[3]!装备基础属性表,T$30,FALSE)</f>
        <v>531.24999999999989</v>
      </c>
      <c r="AE128" s="15">
        <f>VLOOKUP($D128&amp;$B128,[3]!装备基础属性表,U$30,FALSE)</f>
        <v>314.81481481481478</v>
      </c>
      <c r="AF128" s="15">
        <f>VLOOKUP($D128&amp;$B128,[3]!装备基础属性表,V$30,FALSE)</f>
        <v>0</v>
      </c>
      <c r="AG128" s="15">
        <f>VLOOKUP($D128&amp;$B128,[3]!装备基础属性表,W$30,FALSE)</f>
        <v>314.81481481481478</v>
      </c>
      <c r="AH128" s="15">
        <f>VLOOKUP($D128&amp;$B128,[3]!装备基础属性表,X$30,FALSE)</f>
        <v>0</v>
      </c>
      <c r="AI128" s="15">
        <f>VLOOKUP($D128&amp;$B128,[3]!装备基础属性表,Y$30,FALSE)</f>
        <v>0</v>
      </c>
      <c r="AJ128" s="16" t="str">
        <f>B128&amp;VLOOKUP(C128,定义数据!$E$1:$F$7,2,FALSE)&amp;D128</f>
        <v>3060</v>
      </c>
      <c r="AK128" s="14">
        <f t="shared" si="29"/>
        <v>18</v>
      </c>
      <c r="AL128" s="5">
        <f t="shared" si="99"/>
        <v>5</v>
      </c>
      <c r="AM128" s="5" t="str">
        <f t="array" aca="1" ref="AM128" ca="1">IF(AM$31&gt;$AL128,0,IF(ISERROR(OFFSET($E$31,0,SMALL(IF($E128:$X128&gt;0,COLUMN($A:$T),""),AM$31)-1)),0,OFFSET($E$31,0,SMALL(IF($E128:$X128&gt;0,COLUMN($A:$T),""),AM$31)-1)))</f>
        <v>攻击</v>
      </c>
      <c r="AN128" s="5">
        <f t="array" aca="1" ref="AN128" ca="1">IF(AM$31&gt;$AL128,0,IF(ISERROR(INDEX($E128:$X128,,SMALL(IF($E128:$X128&gt;0,COLUMN($A:$T),""),AN$31))),0,INDEX($E128:$X128,,SMALL(IF($E128:$X128&gt;0,COLUMN($A:$T),""),AN$31))))</f>
        <v>406.16168727272736</v>
      </c>
      <c r="AO128" s="5" t="str">
        <f t="array" aca="1" ref="AO128" ca="1">IF(AO$31&gt;$AL128,0,IF(ISERROR(OFFSET($E$31,0,SMALL(IF($E128:$X128&gt;0,COLUMN($A:$T),""),AO$31)-1)),0,OFFSET($E$31,0,SMALL(IF($E128:$X128&gt;0,COLUMN($A:$T),""),AO$31)-1)))</f>
        <v>暴击值</v>
      </c>
      <c r="AP128" s="5">
        <f t="array" aca="1" ref="AP128" ca="1">IF(AO$31&gt;$AL128,0,IF(ISERROR(INDEX($E128:$X128,,SMALL(IF($E128:$X128&gt;0,COLUMN($A:$T),""),AP$31))),0,INDEX($E128:$X128,,SMALL(IF($E128:$X128&gt;0,COLUMN($A:$T),""),AP$31))))</f>
        <v>251.85185185185185</v>
      </c>
      <c r="AQ128" s="5" t="str">
        <f t="array" aca="1" ref="AQ128" ca="1">IF(AQ$31&gt;$AL128,0,IF(ISERROR(OFFSET($E$31,0,SMALL(IF($E128:$X128&gt;0,COLUMN($A:$T),""),AQ$31)-1)),0,OFFSET($E$31,0,SMALL(IF($E128:$X128&gt;0,COLUMN($A:$T),""),AQ$31)-1)))</f>
        <v>攻击</v>
      </c>
      <c r="AR128" s="5">
        <f t="array" aca="1" ref="AR128" ca="1">IF(AQ$31&gt;$AL128,0,IF(ISERROR(INDEX($E128:$X128,,SMALL(IF($E128:$X128&gt;0,COLUMN($A:$T),""),AR$31))),0,INDEX($E128:$X128,,SMALL(IF($E128:$X128&gt;0,COLUMN($A:$T),""),AR$31))))</f>
        <v>121.84850618181821</v>
      </c>
      <c r="AS128" s="5" t="str">
        <f t="array" aca="1" ref="AS128" ca="1">IF(AS$31&gt;$AL128,0,IF(ISERROR(OFFSET($E$31,0,SMALL(IF($E128:$X128&gt;0,COLUMN($A:$T),""),AS$31)-1)),0,OFFSET($E$31,0,SMALL(IF($E128:$X128&gt;0,COLUMN($A:$T),""),AS$31)-1)))</f>
        <v>防御</v>
      </c>
      <c r="AT128" s="5">
        <f t="array" aca="1" ref="AT128" ca="1">IF(AS$31&gt;$AL128,0,IF(ISERROR(INDEX($E128:$X128,,SMALL(IF($E128:$X128&gt;0,COLUMN($A:$T),""),AT$31))),0,INDEX($E128:$X128,,SMALL(IF($E128:$X128&gt;0,COLUMN($A:$T),""),AT$31))))</f>
        <v>14.625887833622185</v>
      </c>
      <c r="AU128" s="5" t="str">
        <f t="array" aca="1" ref="AU128" ca="1">IF(AU$31&gt;$AL128,0,IF(ISERROR(OFFSET($E$31,0,SMALL(IF($E128:$X128&gt;0,COLUMN($A:$T),""),AU$31)-1)),0,OFFSET($E$31,0,SMALL(IF($E128:$X128&gt;0,COLUMN($A:$T),""),AU$31)-1)))</f>
        <v>命中值</v>
      </c>
      <c r="AV128" s="5">
        <f t="array" aca="1" ref="AV128" ca="1">IF(AU$31&gt;$AL128,0,IF(ISERROR(INDEX($E128:$X128,,SMALL(IF($E128:$X128&gt;0,COLUMN($A:$T),""),AV$31))),0,INDEX($E128:$X128,,SMALL(IF($E128:$X128&gt;0,COLUMN($A:$T),""),AV$31))))</f>
        <v>53.124999999999993</v>
      </c>
      <c r="AW128" s="5">
        <f t="array" aca="1" ref="AW128" ca="1">IF(AW$31&gt;$AL128,0,IF(ISERROR(OFFSET($E$31,0,SMALL(IF($E128:$X128&gt;0,COLUMN($A:$T),""),AW$31)-1)),0,OFFSET($E$31,0,SMALL(IF($E128:$X128&gt;0,COLUMN($A:$T),""),AW$31)-1)))</f>
        <v>0</v>
      </c>
      <c r="AX128" s="5">
        <f t="array" ref="AX128">IF(AW$31&gt;$AL128,0,IF(ISERROR(INDEX($E128:$X128,,SMALL(IF($E128:$X128&gt;0,COLUMN($A:$T),""),AX$31))),0,INDEX($E128:$X128,,SMALL(IF($E128:$X128&gt;0,COLUMN($A:$T),""),AX$31))))</f>
        <v>0</v>
      </c>
      <c r="AY128" s="5">
        <f t="array" aca="1" ref="AY128" ca="1">IF(AY$31&gt;$AL128,0,IF(ISERROR(OFFSET($E$31,0,SMALL(IF($E128:$X128&gt;0,COLUMN($A:$T),""),AY$31)-1)),0,OFFSET($E$31,0,SMALL(IF($E128:$X128&gt;0,COLUMN($A:$T),""),AY$31)-1)))</f>
        <v>0</v>
      </c>
      <c r="AZ128" s="5">
        <f t="array" ref="AZ128">IF(AY$31&gt;$AL128,0,IF(ISERROR(INDEX($E128:$X128,,SMALL(IF($E128:$X128&gt;0,COLUMN($A:$T),""),AZ$31))),0,INDEX($E128:$X128,,SMALL(IF($E128:$X128&gt;0,COLUMN($A:$T),""),AZ$31))))</f>
        <v>0</v>
      </c>
      <c r="BA128" s="5">
        <f t="array" aca="1" ref="BA128" ca="1">IF(BA$31&gt;$AL128,0,IF(ISERROR(OFFSET($E$31,0,SMALL(IF($E128:$X128&gt;0,COLUMN($A:$T),""),BA$31)-1)),0,OFFSET($E$31,0,SMALL(IF($E128:$X128&gt;0,COLUMN($A:$T),""),BA$31)-1)))</f>
        <v>0</v>
      </c>
      <c r="BB128" s="5">
        <f t="array" ref="BB128">IF(BA$31&gt;$AL128,0,IF(ISERROR(INDEX($E128:$X128,,SMALL(IF($E128:$X128&gt;0,COLUMN($A:$T),""),BB$31))),0,INDEX($E128:$X128,,SMALL(IF($E128:$X128&gt;0,COLUMN($A:$T),""),BB$31))))</f>
        <v>0</v>
      </c>
      <c r="BC128" s="5">
        <f t="array" aca="1" ref="BC128" ca="1">IF(BC$31&gt;$AL128,0,IF(ISERROR(OFFSET($E$31,0,SMALL(IF($E128:$X128&gt;0,COLUMN($A:$T),""),BC$31)-1)),0,OFFSET($E$31,0,SMALL(IF($E128:$X128&gt;0,COLUMN($A:$T),""),BC$31)-1)))</f>
        <v>0</v>
      </c>
      <c r="BD128" s="5">
        <f t="array" ref="BD128">IF(BC$31&gt;$AL128,0,IF(ISERROR(INDEX($E128:$X128,,SMALL(IF($E128:$X128&gt;0,COLUMN($A:$T),""),BD$31))),0,INDEX($E128:$X128,,SMALL(IF($E128:$X128&gt;0,COLUMN($A:$T),""),BD$31))))</f>
        <v>0</v>
      </c>
      <c r="BE128" s="5">
        <f t="array" aca="1" ref="BE128" ca="1">IF(BE$31&gt;$AL128,0,IF(ISERROR(OFFSET($E$31,0,SMALL(IF($E128:$X128&gt;0,COLUMN($A:$T),""),BE$31)-1)),0,OFFSET($E$31,0,SMALL(IF($E128:$X128&gt;0,COLUMN($A:$T),""),BE$31)-1)))</f>
        <v>0</v>
      </c>
      <c r="BF128" s="5">
        <f t="array" ref="BF128">IF(BE$31&gt;$AL128,0,IF(ISERROR(INDEX($E128:$X128,,SMALL(IF($E128:$X128&gt;0,COLUMN($A:$T),""),BF$31))),0,INDEX($E128:$X128,,SMALL(IF($E128:$X128&gt;0,COLUMN($A:$T),""),BF$31))))</f>
        <v>0</v>
      </c>
      <c r="BH128">
        <f ca="1">SUMPRODUCT(E128:N128,定义数据!$G$14:$P$14)</f>
        <v>451.49502060606068</v>
      </c>
      <c r="BI128">
        <f ca="1">SUMPRODUCT(O128:X128,定义数据!$G$14:$P$14)</f>
        <v>161.33689401544041</v>
      </c>
      <c r="BJ128" s="5">
        <f t="shared" ca="1" si="100"/>
        <v>612.83191462150103</v>
      </c>
      <c r="BK128" s="5" t="str">
        <f>D128&amp;B128&amp;VLOOKUP(C128,定义数据!$E$1:$F$7,2,FALSE)</f>
        <v>6030</v>
      </c>
    </row>
    <row r="129" spans="1:63" x14ac:dyDescent="0.15">
      <c r="A129" s="17" t="str">
        <f>D129&amp;B129&amp;VLOOKUP(C129,定义数据!$E$1:$F$7,2,FALSE)</f>
        <v>6031</v>
      </c>
      <c r="B129" s="18">
        <v>3</v>
      </c>
      <c r="C129" s="18" t="s">
        <v>136</v>
      </c>
      <c r="D129" s="24">
        <v>60</v>
      </c>
      <c r="E129" s="56">
        <f t="shared" ca="1" si="111"/>
        <v>6397.1396825979782</v>
      </c>
      <c r="F129" s="56">
        <f t="shared" ca="1" si="112"/>
        <v>0</v>
      </c>
      <c r="G129" s="56">
        <f t="shared" ca="1" si="113"/>
        <v>140.40852320277298</v>
      </c>
      <c r="H129" s="56">
        <f t="shared" ca="1" si="114"/>
        <v>0</v>
      </c>
      <c r="I129" s="56">
        <f t="shared" ca="1" si="115"/>
        <v>0</v>
      </c>
      <c r="J129" s="56">
        <f t="shared" ca="1" si="116"/>
        <v>0</v>
      </c>
      <c r="K129" s="56">
        <f t="shared" ca="1" si="117"/>
        <v>0</v>
      </c>
      <c r="L129" s="56">
        <f t="shared" ca="1" si="118"/>
        <v>0</v>
      </c>
      <c r="M129" s="56">
        <f t="shared" ca="1" si="119"/>
        <v>0</v>
      </c>
      <c r="N129" s="56">
        <f t="shared" ca="1" si="120"/>
        <v>0</v>
      </c>
      <c r="O129" s="65">
        <f t="shared" ca="1" si="101"/>
        <v>1332.7374338745788</v>
      </c>
      <c r="P129" s="65">
        <f t="shared" ca="1" si="102"/>
        <v>0</v>
      </c>
      <c r="Q129" s="65">
        <f t="shared" ca="1" si="103"/>
        <v>43.877663500866561</v>
      </c>
      <c r="R129" s="65">
        <f t="shared" ca="1" si="104"/>
        <v>31.875</v>
      </c>
      <c r="S129" s="65">
        <f t="shared" ca="1" si="105"/>
        <v>0</v>
      </c>
      <c r="T129" s="65">
        <f t="shared" ca="1" si="106"/>
        <v>0</v>
      </c>
      <c r="U129" s="65">
        <f t="shared" ca="1" si="107"/>
        <v>0</v>
      </c>
      <c r="V129" s="65">
        <f t="shared" ca="1" si="108"/>
        <v>31.481481481481481</v>
      </c>
      <c r="W129" s="65">
        <f t="shared" ca="1" si="109"/>
        <v>0</v>
      </c>
      <c r="X129" s="65">
        <f t="shared" ca="1" si="110"/>
        <v>0</v>
      </c>
      <c r="Y129" s="21" t="s">
        <v>95</v>
      </c>
      <c r="Z129" s="15">
        <f>VLOOKUP($D129&amp;$B129,[3]!装备基础属性表,P$30,FALSE)</f>
        <v>13327.374338745787</v>
      </c>
      <c r="AA129" s="15">
        <f>VLOOKUP($D129&amp;$B129,[3]!装备基础属性表,Q$30,FALSE)</f>
        <v>676.93614545454557</v>
      </c>
      <c r="AB129" s="15">
        <f>VLOOKUP($D129&amp;$B129,[3]!装备基础属性表,R$30,FALSE)</f>
        <v>292.51775667244368</v>
      </c>
      <c r="AC129" s="15">
        <f>VLOOKUP($D129&amp;$B129,[3]!装备基础属性表,S$30,FALSE)</f>
        <v>531.24999999999989</v>
      </c>
      <c r="AD129" s="15">
        <f>VLOOKUP($D129&amp;$B129,[3]!装备基础属性表,T$30,FALSE)</f>
        <v>531.24999999999989</v>
      </c>
      <c r="AE129" s="15">
        <f>VLOOKUP($D129&amp;$B129,[3]!装备基础属性表,U$30,FALSE)</f>
        <v>314.81481481481478</v>
      </c>
      <c r="AF129" s="15">
        <f>VLOOKUP($D129&amp;$B129,[3]!装备基础属性表,V$30,FALSE)</f>
        <v>0</v>
      </c>
      <c r="AG129" s="15">
        <f>VLOOKUP($D129&amp;$B129,[3]!装备基础属性表,W$30,FALSE)</f>
        <v>314.81481481481478</v>
      </c>
      <c r="AH129" s="15">
        <f>VLOOKUP($D129&amp;$B129,[3]!装备基础属性表,X$30,FALSE)</f>
        <v>0</v>
      </c>
      <c r="AI129" s="15">
        <f>VLOOKUP($D129&amp;$B129,[3]!装备基础属性表,Y$30,FALSE)</f>
        <v>0</v>
      </c>
      <c r="AJ129" s="16" t="str">
        <f>B129&amp;VLOOKUP(C129,定义数据!$E$1:$F$7,2,FALSE)&amp;D129</f>
        <v>3160</v>
      </c>
      <c r="AK129" s="14">
        <f t="shared" si="29"/>
        <v>18</v>
      </c>
      <c r="AL129" s="5">
        <f t="shared" si="99"/>
        <v>5</v>
      </c>
      <c r="AM129" s="5" t="str">
        <f t="array" aca="1" ref="AM129" ca="1">IF(AM$31&gt;$AL129,0,IF(ISERROR(OFFSET($E$31,0,SMALL(IF($E129:$X129&gt;0,COLUMN($A:$T),""),AM$31)-1)),0,OFFSET($E$31,0,SMALL(IF($E129:$X129&gt;0,COLUMN($A:$T),""),AM$31)-1)))</f>
        <v>生命</v>
      </c>
      <c r="AN129" s="5">
        <f t="array" aca="1" ref="AN129" ca="1">IF(AM$31&gt;$AL129,0,IF(ISERROR(INDEX($E129:$X129,,SMALL(IF($E129:$X129&gt;0,COLUMN($A:$T),""),AN$31))),0,INDEX($E129:$X129,,SMALL(IF($E129:$X129&gt;0,COLUMN($A:$T),""),AN$31))))</f>
        <v>6397.1396825979782</v>
      </c>
      <c r="AO129" s="5" t="str">
        <f t="array" aca="1" ref="AO129" ca="1">IF(AO$31&gt;$AL129,0,IF(ISERROR(OFFSET($E$31,0,SMALL(IF($E129:$X129&gt;0,COLUMN($A:$T),""),AO$31)-1)),0,OFFSET($E$31,0,SMALL(IF($E129:$X129&gt;0,COLUMN($A:$T),""),AO$31)-1)))</f>
        <v>防御</v>
      </c>
      <c r="AP129" s="5">
        <f t="array" aca="1" ref="AP129" ca="1">IF(AO$31&gt;$AL129,0,IF(ISERROR(INDEX($E129:$X129,,SMALL(IF($E129:$X129&gt;0,COLUMN($A:$T),""),AP$31))),0,INDEX($E129:$X129,,SMALL(IF($E129:$X129&gt;0,COLUMN($A:$T),""),AP$31))))</f>
        <v>140.40852320277298</v>
      </c>
      <c r="AQ129" s="5" t="str">
        <f t="array" aca="1" ref="AQ129" ca="1">IF(AQ$31&gt;$AL129,0,IF(ISERROR(OFFSET($E$31,0,SMALL(IF($E129:$X129&gt;0,COLUMN($A:$T),""),AQ$31)-1)),0,OFFSET($E$31,0,SMALL(IF($E129:$X129&gt;0,COLUMN($A:$T),""),AQ$31)-1)))</f>
        <v>生命</v>
      </c>
      <c r="AR129" s="5">
        <f t="array" aca="1" ref="AR129" ca="1">IF(AQ$31&gt;$AL129,0,IF(ISERROR(INDEX($E129:$X129,,SMALL(IF($E129:$X129&gt;0,COLUMN($A:$T),""),AR$31))),0,INDEX($E129:$X129,,SMALL(IF($E129:$X129&gt;0,COLUMN($A:$T),""),AR$31))))</f>
        <v>1332.7374338745788</v>
      </c>
      <c r="AS129" s="5" t="str">
        <f t="array" aca="1" ref="AS129" ca="1">IF(AS$31&gt;$AL129,0,IF(ISERROR(OFFSET($E$31,0,SMALL(IF($E129:$X129&gt;0,COLUMN($A:$T),""),AS$31)-1)),0,OFFSET($E$31,0,SMALL(IF($E129:$X129&gt;0,COLUMN($A:$T),""),AS$31)-1)))</f>
        <v>防御</v>
      </c>
      <c r="AT129" s="5">
        <f t="array" aca="1" ref="AT129" ca="1">IF(AS$31&gt;$AL129,0,IF(ISERROR(INDEX($E129:$X129,,SMALL(IF($E129:$X129&gt;0,COLUMN($A:$T),""),AT$31))),0,INDEX($E129:$X129,,SMALL(IF($E129:$X129&gt;0,COLUMN($A:$T),""),AT$31))))</f>
        <v>43.877663500866561</v>
      </c>
      <c r="AU129" s="5" t="str">
        <f t="array" aca="1" ref="AU129" ca="1">IF(AU$31&gt;$AL129,0,IF(ISERROR(OFFSET($E$31,0,SMALL(IF($E129:$X129&gt;0,COLUMN($A:$T),""),AU$31)-1)),0,OFFSET($E$31,0,SMALL(IF($E129:$X129&gt;0,COLUMN($A:$T),""),AU$31)-1)))</f>
        <v>闪避值</v>
      </c>
      <c r="AV129" s="5">
        <f t="array" aca="1" ref="AV129" ca="1">IF(AU$31&gt;$AL129,0,IF(ISERROR(INDEX($E129:$X129,,SMALL(IF($E129:$X129&gt;0,COLUMN($A:$T),""),AV$31))),0,INDEX($E129:$X129,,SMALL(IF($E129:$X129&gt;0,COLUMN($A:$T),""),AV$31))))</f>
        <v>31.875</v>
      </c>
      <c r="AW129" s="5">
        <f t="array" aca="1" ref="AW129" ca="1">IF(AW$31&gt;$AL129,0,IF(ISERROR(OFFSET($E$31,0,SMALL(IF($E129:$X129&gt;0,COLUMN($A:$T),""),AW$31)-1)),0,OFFSET($E$31,0,SMALL(IF($E129:$X129&gt;0,COLUMN($A:$T),""),AW$31)-1)))</f>
        <v>0</v>
      </c>
      <c r="AX129" s="5">
        <f t="array" ref="AX129">IF(AW$31&gt;$AL129,0,IF(ISERROR(INDEX($E129:$X129,,SMALL(IF($E129:$X129&gt;0,COLUMN($A:$T),""),AX$31))),0,INDEX($E129:$X129,,SMALL(IF($E129:$X129&gt;0,COLUMN($A:$T),""),AX$31))))</f>
        <v>0</v>
      </c>
      <c r="AY129" s="5">
        <f t="array" aca="1" ref="AY129" ca="1">IF(AY$31&gt;$AL129,0,IF(ISERROR(OFFSET($E$31,0,SMALL(IF($E129:$X129&gt;0,COLUMN($A:$T),""),AY$31)-1)),0,OFFSET($E$31,0,SMALL(IF($E129:$X129&gt;0,COLUMN($A:$T),""),AY$31)-1)))</f>
        <v>0</v>
      </c>
      <c r="AZ129" s="5">
        <f t="array" ref="AZ129">IF(AY$31&gt;$AL129,0,IF(ISERROR(INDEX($E129:$X129,,SMALL(IF($E129:$X129&gt;0,COLUMN($A:$T),""),AZ$31))),0,INDEX($E129:$X129,,SMALL(IF($E129:$X129&gt;0,COLUMN($A:$T),""),AZ$31))))</f>
        <v>0</v>
      </c>
      <c r="BA129" s="5">
        <f t="array" aca="1" ref="BA129" ca="1">IF(BA$31&gt;$AL129,0,IF(ISERROR(OFFSET($E$31,0,SMALL(IF($E129:$X129&gt;0,COLUMN($A:$T),""),BA$31)-1)),0,OFFSET($E$31,0,SMALL(IF($E129:$X129&gt;0,COLUMN($A:$T),""),BA$31)-1)))</f>
        <v>0</v>
      </c>
      <c r="BB129" s="5">
        <f t="array" ref="BB129">IF(BA$31&gt;$AL129,0,IF(ISERROR(INDEX($E129:$X129,,SMALL(IF($E129:$X129&gt;0,COLUMN($A:$T),""),BB$31))),0,INDEX($E129:$X129,,SMALL(IF($E129:$X129&gt;0,COLUMN($A:$T),""),BB$31))))</f>
        <v>0</v>
      </c>
      <c r="BC129" s="5">
        <f t="array" aca="1" ref="BC129" ca="1">IF(BC$31&gt;$AL129,0,IF(ISERROR(OFFSET($E$31,0,SMALL(IF($E129:$X129&gt;0,COLUMN($A:$T),""),BC$31)-1)),0,OFFSET($E$31,0,SMALL(IF($E129:$X129&gt;0,COLUMN($A:$T),""),BC$31)-1)))</f>
        <v>0</v>
      </c>
      <c r="BD129" s="5">
        <f t="array" ref="BD129">IF(BC$31&gt;$AL129,0,IF(ISERROR(INDEX($E129:$X129,,SMALL(IF($E129:$X129&gt;0,COLUMN($A:$T),""),BD$31))),0,INDEX($E129:$X129,,SMALL(IF($E129:$X129&gt;0,COLUMN($A:$T),""),BD$31))))</f>
        <v>0</v>
      </c>
      <c r="BE129" s="5">
        <f t="array" aca="1" ref="BE129" ca="1">IF(BE$31&gt;$AL129,0,IF(ISERROR(OFFSET($E$31,0,SMALL(IF($E129:$X129&gt;0,COLUMN($A:$T),""),BE$31)-1)),0,OFFSET($E$31,0,SMALL(IF($E129:$X129&gt;0,COLUMN($A:$T),""),BE$31)-1)))</f>
        <v>0</v>
      </c>
      <c r="BF129" s="5">
        <f t="array" ref="BF129">IF(BE$31&gt;$AL129,0,IF(ISERROR(INDEX($E129:$X129,,SMALL(IF($E129:$X129&gt;0,COLUMN($A:$T),""),BF$31))),0,INDEX($E129:$X129,,SMALL(IF($E129:$X129&gt;0,COLUMN($A:$T),""),BF$31))))</f>
        <v>0</v>
      </c>
      <c r="BH129">
        <f ca="1">SUMPRODUCT(E129:N129,定义数据!$G$14:$P$14)</f>
        <v>396.29411050669211</v>
      </c>
      <c r="BI129">
        <f ca="1">SUMPRODUCT(O129:X129,定义数据!$G$14:$P$14)</f>
        <v>113.69132752251639</v>
      </c>
      <c r="BJ129" s="5">
        <f t="shared" ca="1" si="100"/>
        <v>509.98543802920847</v>
      </c>
      <c r="BK129" s="5" t="str">
        <f>D129&amp;B129&amp;VLOOKUP(C129,定义数据!$E$1:$F$7,2,FALSE)</f>
        <v>6031</v>
      </c>
    </row>
    <row r="130" spans="1:63" x14ac:dyDescent="0.15">
      <c r="A130" s="17" t="str">
        <f>D130&amp;B130&amp;VLOOKUP(C130,定义数据!$E$1:$F$7,2,FALSE)</f>
        <v>6032</v>
      </c>
      <c r="B130" s="18">
        <v>3</v>
      </c>
      <c r="C130" s="18" t="s">
        <v>137</v>
      </c>
      <c r="D130" s="24">
        <v>60</v>
      </c>
      <c r="E130" s="56">
        <f t="shared" ca="1" si="111"/>
        <v>0</v>
      </c>
      <c r="F130" s="56">
        <f t="shared" ca="1" si="112"/>
        <v>0</v>
      </c>
      <c r="G130" s="56">
        <f t="shared" ca="1" si="113"/>
        <v>93.605682135181993</v>
      </c>
      <c r="H130" s="56">
        <f t="shared" ca="1" si="114"/>
        <v>141.66666666666663</v>
      </c>
      <c r="I130" s="56">
        <f t="shared" ca="1" si="115"/>
        <v>0</v>
      </c>
      <c r="J130" s="56">
        <f t="shared" ca="1" si="116"/>
        <v>0</v>
      </c>
      <c r="K130" s="56">
        <f t="shared" ca="1" si="117"/>
        <v>0</v>
      </c>
      <c r="L130" s="56">
        <f t="shared" ca="1" si="118"/>
        <v>0</v>
      </c>
      <c r="M130" s="56">
        <f t="shared" ca="1" si="119"/>
        <v>0</v>
      </c>
      <c r="N130" s="56">
        <f t="shared" ca="1" si="120"/>
        <v>0</v>
      </c>
      <c r="O130" s="65">
        <f t="shared" ca="1" si="101"/>
        <v>666.36871693728938</v>
      </c>
      <c r="P130" s="65">
        <f t="shared" ca="1" si="102"/>
        <v>0</v>
      </c>
      <c r="Q130" s="65">
        <f t="shared" ca="1" si="103"/>
        <v>14.625887833622185</v>
      </c>
      <c r="R130" s="65">
        <f t="shared" ca="1" si="104"/>
        <v>31.875</v>
      </c>
      <c r="S130" s="65">
        <f t="shared" ca="1" si="105"/>
        <v>0</v>
      </c>
      <c r="T130" s="65">
        <f t="shared" ca="1" si="106"/>
        <v>0</v>
      </c>
      <c r="U130" s="65">
        <f t="shared" ca="1" si="107"/>
        <v>0</v>
      </c>
      <c r="V130" s="65">
        <f t="shared" ca="1" si="108"/>
        <v>31.481481481481481</v>
      </c>
      <c r="W130" s="65">
        <f t="shared" ca="1" si="109"/>
        <v>0</v>
      </c>
      <c r="X130" s="65">
        <f t="shared" ca="1" si="110"/>
        <v>0</v>
      </c>
      <c r="Y130" s="21" t="s">
        <v>96</v>
      </c>
      <c r="Z130" s="15">
        <f>VLOOKUP($D130&amp;$B130,[3]!装备基础属性表,P$30,FALSE)</f>
        <v>13327.374338745787</v>
      </c>
      <c r="AA130" s="15">
        <f>VLOOKUP($D130&amp;$B130,[3]!装备基础属性表,Q$30,FALSE)</f>
        <v>676.93614545454557</v>
      </c>
      <c r="AB130" s="15">
        <f>VLOOKUP($D130&amp;$B130,[3]!装备基础属性表,R$30,FALSE)</f>
        <v>292.51775667244368</v>
      </c>
      <c r="AC130" s="15">
        <f>VLOOKUP($D130&amp;$B130,[3]!装备基础属性表,S$30,FALSE)</f>
        <v>531.24999999999989</v>
      </c>
      <c r="AD130" s="15">
        <f>VLOOKUP($D130&amp;$B130,[3]!装备基础属性表,T$30,FALSE)</f>
        <v>531.24999999999989</v>
      </c>
      <c r="AE130" s="15">
        <f>VLOOKUP($D130&amp;$B130,[3]!装备基础属性表,U$30,FALSE)</f>
        <v>314.81481481481478</v>
      </c>
      <c r="AF130" s="15">
        <f>VLOOKUP($D130&amp;$B130,[3]!装备基础属性表,V$30,FALSE)</f>
        <v>0</v>
      </c>
      <c r="AG130" s="15">
        <f>VLOOKUP($D130&amp;$B130,[3]!装备基础属性表,W$30,FALSE)</f>
        <v>314.81481481481478</v>
      </c>
      <c r="AH130" s="15">
        <f>VLOOKUP($D130&amp;$B130,[3]!装备基础属性表,X$30,FALSE)</f>
        <v>0</v>
      </c>
      <c r="AI130" s="15">
        <f>VLOOKUP($D130&amp;$B130,[3]!装备基础属性表,Y$30,FALSE)</f>
        <v>0</v>
      </c>
      <c r="AJ130" s="16" t="str">
        <f>B130&amp;VLOOKUP(C130,定义数据!$E$1:$F$7,2,FALSE)&amp;D130</f>
        <v>3260</v>
      </c>
      <c r="AK130" s="14">
        <f t="shared" si="29"/>
        <v>18</v>
      </c>
      <c r="AL130" s="5">
        <f t="shared" si="99"/>
        <v>5</v>
      </c>
      <c r="AM130" s="5" t="str">
        <f t="array" aca="1" ref="AM130" ca="1">IF(AM$31&gt;$AL130,0,IF(ISERROR(OFFSET($E$31,0,SMALL(IF($E130:$X130&gt;0,COLUMN($A:$T),""),AM$31)-1)),0,OFFSET($E$31,0,SMALL(IF($E130:$X130&gt;0,COLUMN($A:$T),""),AM$31)-1)))</f>
        <v>防御</v>
      </c>
      <c r="AN130" s="5">
        <f t="array" aca="1" ref="AN130" ca="1">IF(AM$31&gt;$AL130,0,IF(ISERROR(INDEX($E130:$X130,,SMALL(IF($E130:$X130&gt;0,COLUMN($A:$T),""),AN$31))),0,INDEX($E130:$X130,,SMALL(IF($E130:$X130&gt;0,COLUMN($A:$T),""),AN$31))))</f>
        <v>93.605682135181993</v>
      </c>
      <c r="AO130" s="5" t="str">
        <f t="array" aca="1" ref="AO130" ca="1">IF(AO$31&gt;$AL130,0,IF(ISERROR(OFFSET($E$31,0,SMALL(IF($E130:$X130&gt;0,COLUMN($A:$T),""),AO$31)-1)),0,OFFSET($E$31,0,SMALL(IF($E130:$X130&gt;0,COLUMN($A:$T),""),AO$31)-1)))</f>
        <v>闪避值</v>
      </c>
      <c r="AP130" s="5">
        <f t="array" aca="1" ref="AP130" ca="1">IF(AO$31&gt;$AL130,0,IF(ISERROR(INDEX($E130:$X130,,SMALL(IF($E130:$X130&gt;0,COLUMN($A:$T),""),AP$31))),0,INDEX($E130:$X130,,SMALL(IF($E130:$X130&gt;0,COLUMN($A:$T),""),AP$31))))</f>
        <v>141.66666666666663</v>
      </c>
      <c r="AQ130" s="5" t="str">
        <f t="array" aca="1" ref="AQ130" ca="1">IF(AQ$31&gt;$AL130,0,IF(ISERROR(OFFSET($E$31,0,SMALL(IF($E130:$X130&gt;0,COLUMN($A:$T),""),AQ$31)-1)),0,OFFSET($E$31,0,SMALL(IF($E130:$X130&gt;0,COLUMN($A:$T),""),AQ$31)-1)))</f>
        <v>生命</v>
      </c>
      <c r="AR130" s="5">
        <f t="array" aca="1" ref="AR130" ca="1">IF(AQ$31&gt;$AL130,0,IF(ISERROR(INDEX($E130:$X130,,SMALL(IF($E130:$X130&gt;0,COLUMN($A:$T),""),AR$31))),0,INDEX($E130:$X130,,SMALL(IF($E130:$X130&gt;0,COLUMN($A:$T),""),AR$31))))</f>
        <v>666.36871693728938</v>
      </c>
      <c r="AS130" s="5" t="str">
        <f t="array" aca="1" ref="AS130" ca="1">IF(AS$31&gt;$AL130,0,IF(ISERROR(OFFSET($E$31,0,SMALL(IF($E130:$X130&gt;0,COLUMN($A:$T),""),AS$31)-1)),0,OFFSET($E$31,0,SMALL(IF($E130:$X130&gt;0,COLUMN($A:$T),""),AS$31)-1)))</f>
        <v>防御</v>
      </c>
      <c r="AT130" s="5">
        <f t="array" aca="1" ref="AT130" ca="1">IF(AS$31&gt;$AL130,0,IF(ISERROR(INDEX($E130:$X130,,SMALL(IF($E130:$X130&gt;0,COLUMN($A:$T),""),AT$31))),0,INDEX($E130:$X130,,SMALL(IF($E130:$X130&gt;0,COLUMN($A:$T),""),AT$31))))</f>
        <v>14.625887833622185</v>
      </c>
      <c r="AU130" s="5" t="str">
        <f t="array" aca="1" ref="AU130" ca="1">IF(AU$31&gt;$AL130,0,IF(ISERROR(OFFSET($E$31,0,SMALL(IF($E130:$X130&gt;0,COLUMN($A:$T),""),AU$31)-1)),0,OFFSET($E$31,0,SMALL(IF($E130:$X130&gt;0,COLUMN($A:$T),""),AU$31)-1)))</f>
        <v>闪避值</v>
      </c>
      <c r="AV130" s="5">
        <f t="array" aca="1" ref="AV130" ca="1">IF(AU$31&gt;$AL130,0,IF(ISERROR(INDEX($E130:$X130,,SMALL(IF($E130:$X130&gt;0,COLUMN($A:$T),""),AV$31))),0,INDEX($E130:$X130,,SMALL(IF($E130:$X130&gt;0,COLUMN($A:$T),""),AV$31))))</f>
        <v>31.875</v>
      </c>
      <c r="AW130" s="5">
        <f t="array" aca="1" ref="AW130" ca="1">IF(AW$31&gt;$AL130,0,IF(ISERROR(OFFSET($E$31,0,SMALL(IF($E130:$X130&gt;0,COLUMN($A:$T),""),AW$31)-1)),0,OFFSET($E$31,0,SMALL(IF($E130:$X130&gt;0,COLUMN($A:$T),""),AW$31)-1)))</f>
        <v>0</v>
      </c>
      <c r="AX130" s="5">
        <f t="array" ref="AX130">IF(AW$31&gt;$AL130,0,IF(ISERROR(INDEX($E130:$X130,,SMALL(IF($E130:$X130&gt;0,COLUMN($A:$T),""),AX$31))),0,INDEX($E130:$X130,,SMALL(IF($E130:$X130&gt;0,COLUMN($A:$T),""),AX$31))))</f>
        <v>0</v>
      </c>
      <c r="AY130" s="5">
        <f t="array" aca="1" ref="AY130" ca="1">IF(AY$31&gt;$AL130,0,IF(ISERROR(OFFSET($E$31,0,SMALL(IF($E130:$X130&gt;0,COLUMN($A:$T),""),AY$31)-1)),0,OFFSET($E$31,0,SMALL(IF($E130:$X130&gt;0,COLUMN($A:$T),""),AY$31)-1)))</f>
        <v>0</v>
      </c>
      <c r="AZ130" s="5">
        <f t="array" ref="AZ130">IF(AY$31&gt;$AL130,0,IF(ISERROR(INDEX($E130:$X130,,SMALL(IF($E130:$X130&gt;0,COLUMN($A:$T),""),AZ$31))),0,INDEX($E130:$X130,,SMALL(IF($E130:$X130&gt;0,COLUMN($A:$T),""),AZ$31))))</f>
        <v>0</v>
      </c>
      <c r="BA130" s="5">
        <f t="array" aca="1" ref="BA130" ca="1">IF(BA$31&gt;$AL130,0,IF(ISERROR(OFFSET($E$31,0,SMALL(IF($E130:$X130&gt;0,COLUMN($A:$T),""),BA$31)-1)),0,OFFSET($E$31,0,SMALL(IF($E130:$X130&gt;0,COLUMN($A:$T),""),BA$31)-1)))</f>
        <v>0</v>
      </c>
      <c r="BB130" s="5">
        <f t="array" ref="BB130">IF(BA$31&gt;$AL130,0,IF(ISERROR(INDEX($E130:$X130,,SMALL(IF($E130:$X130&gt;0,COLUMN($A:$T),""),BB$31))),0,INDEX($E130:$X130,,SMALL(IF($E130:$X130&gt;0,COLUMN($A:$T),""),BB$31))))</f>
        <v>0</v>
      </c>
      <c r="BC130" s="5">
        <f t="array" aca="1" ref="BC130" ca="1">IF(BC$31&gt;$AL130,0,IF(ISERROR(OFFSET($E$31,0,SMALL(IF($E130:$X130&gt;0,COLUMN($A:$T),""),BC$31)-1)),0,OFFSET($E$31,0,SMALL(IF($E130:$X130&gt;0,COLUMN($A:$T),""),BC$31)-1)))</f>
        <v>0</v>
      </c>
      <c r="BD130" s="5">
        <f t="array" ref="BD130">IF(BC$31&gt;$AL130,0,IF(ISERROR(INDEX($E130:$X130,,SMALL(IF($E130:$X130&gt;0,COLUMN($A:$T),""),BD$31))),0,INDEX($E130:$X130,,SMALL(IF($E130:$X130&gt;0,COLUMN($A:$T),""),BD$31))))</f>
        <v>0</v>
      </c>
      <c r="BE130" s="5">
        <f t="array" aca="1" ref="BE130" ca="1">IF(BE$31&gt;$AL130,0,IF(ISERROR(OFFSET($E$31,0,SMALL(IF($E130:$X130&gt;0,COLUMN($A:$T),""),BE$31)-1)),0,OFFSET($E$31,0,SMALL(IF($E130:$X130&gt;0,COLUMN($A:$T),""),BE$31)-1)))</f>
        <v>0</v>
      </c>
      <c r="BF130" s="5">
        <f t="array" ref="BF130">IF(BE$31&gt;$AL130,0,IF(ISERROR(INDEX($E130:$X130,,SMALL(IF($E130:$X130&gt;0,COLUMN($A:$T),""),BF$31))),0,INDEX($E130:$X130,,SMALL(IF($E130:$X130&gt;0,COLUMN($A:$T),""),BF$31))))</f>
        <v>0</v>
      </c>
      <c r="BH130">
        <f ca="1">SUMPRODUCT(E130:N130,定义数据!$G$14:$P$14)</f>
        <v>141.77234880184864</v>
      </c>
      <c r="BI130">
        <f ca="1">SUMPRODUCT(O130:X130,定义数据!$G$14:$P$14)</f>
        <v>57.784803177780425</v>
      </c>
      <c r="BJ130" s="5">
        <f t="shared" ca="1" si="100"/>
        <v>199.55715197962905</v>
      </c>
      <c r="BK130" s="5" t="str">
        <f>D130&amp;B130&amp;VLOOKUP(C130,定义数据!$E$1:$F$7,2,FALSE)</f>
        <v>6032</v>
      </c>
    </row>
    <row r="131" spans="1:63" x14ac:dyDescent="0.15">
      <c r="A131" s="17" t="str">
        <f>D131&amp;B131&amp;VLOOKUP(C131,定义数据!$E$1:$F$7,2,FALSE)</f>
        <v>6035</v>
      </c>
      <c r="B131" s="18">
        <v>3</v>
      </c>
      <c r="C131" s="18" t="s">
        <v>138</v>
      </c>
      <c r="D131" s="24">
        <v>60</v>
      </c>
      <c r="E131" s="56">
        <f t="shared" ca="1" si="111"/>
        <v>2132.3798941993259</v>
      </c>
      <c r="F131" s="56">
        <f t="shared" ca="1" si="112"/>
        <v>0</v>
      </c>
      <c r="G131" s="56">
        <f t="shared" ca="1" si="113"/>
        <v>0</v>
      </c>
      <c r="H131" s="56">
        <f t="shared" ca="1" si="114"/>
        <v>283.33333333333326</v>
      </c>
      <c r="I131" s="56">
        <f t="shared" ca="1" si="115"/>
        <v>0</v>
      </c>
      <c r="J131" s="56">
        <f t="shared" ca="1" si="116"/>
        <v>0</v>
      </c>
      <c r="K131" s="56">
        <f t="shared" ca="1" si="117"/>
        <v>0</v>
      </c>
      <c r="L131" s="56">
        <f t="shared" ca="1" si="118"/>
        <v>0</v>
      </c>
      <c r="M131" s="56">
        <f t="shared" ca="1" si="119"/>
        <v>0</v>
      </c>
      <c r="N131" s="56">
        <f t="shared" ca="1" si="120"/>
        <v>0</v>
      </c>
      <c r="O131" s="65">
        <f t="shared" ca="1" si="101"/>
        <v>666.36871693728938</v>
      </c>
      <c r="P131" s="65">
        <f t="shared" ca="1" si="102"/>
        <v>0</v>
      </c>
      <c r="Q131" s="65">
        <f t="shared" ca="1" si="103"/>
        <v>0</v>
      </c>
      <c r="R131" s="65">
        <f t="shared" ca="1" si="104"/>
        <v>63.75</v>
      </c>
      <c r="S131" s="65">
        <f t="shared" ca="1" si="105"/>
        <v>53.124999999999993</v>
      </c>
      <c r="T131" s="65">
        <f t="shared" ca="1" si="106"/>
        <v>18.888888888888893</v>
      </c>
      <c r="U131" s="65">
        <f t="shared" ca="1" si="107"/>
        <v>0</v>
      </c>
      <c r="V131" s="65">
        <f t="shared" ca="1" si="108"/>
        <v>0</v>
      </c>
      <c r="W131" s="65">
        <f t="shared" ca="1" si="109"/>
        <v>0</v>
      </c>
      <c r="X131" s="65">
        <f t="shared" ca="1" si="110"/>
        <v>0</v>
      </c>
      <c r="Y131" s="21"/>
      <c r="Z131" s="15">
        <f>VLOOKUP($D131&amp;$B131,[3]!装备基础属性表,P$30,FALSE)</f>
        <v>13327.374338745787</v>
      </c>
      <c r="AA131" s="15">
        <f>VLOOKUP($D131&amp;$B131,[3]!装备基础属性表,Q$30,FALSE)</f>
        <v>676.93614545454557</v>
      </c>
      <c r="AB131" s="15">
        <f>VLOOKUP($D131&amp;$B131,[3]!装备基础属性表,R$30,FALSE)</f>
        <v>292.51775667244368</v>
      </c>
      <c r="AC131" s="15">
        <f>VLOOKUP($D131&amp;$B131,[3]!装备基础属性表,S$30,FALSE)</f>
        <v>531.24999999999989</v>
      </c>
      <c r="AD131" s="15">
        <f>VLOOKUP($D131&amp;$B131,[3]!装备基础属性表,T$30,FALSE)</f>
        <v>531.24999999999989</v>
      </c>
      <c r="AE131" s="15">
        <f>VLOOKUP($D131&amp;$B131,[3]!装备基础属性表,U$30,FALSE)</f>
        <v>314.81481481481478</v>
      </c>
      <c r="AF131" s="15">
        <f>VLOOKUP($D131&amp;$B131,[3]!装备基础属性表,V$30,FALSE)</f>
        <v>0</v>
      </c>
      <c r="AG131" s="15">
        <f>VLOOKUP($D131&amp;$B131,[3]!装备基础属性表,W$30,FALSE)</f>
        <v>314.81481481481478</v>
      </c>
      <c r="AH131" s="15">
        <f>VLOOKUP($D131&amp;$B131,[3]!装备基础属性表,X$30,FALSE)</f>
        <v>0</v>
      </c>
      <c r="AI131" s="15">
        <f>VLOOKUP($D131&amp;$B131,[3]!装备基础属性表,Y$30,FALSE)</f>
        <v>0</v>
      </c>
      <c r="AJ131" s="16" t="str">
        <f>B131&amp;VLOOKUP(C131,定义数据!$E$1:$F$7,2,FALSE)&amp;D131</f>
        <v>3560</v>
      </c>
      <c r="AK131" s="14">
        <f t="shared" si="29"/>
        <v>18</v>
      </c>
      <c r="AL131" s="5">
        <f t="shared" si="99"/>
        <v>5</v>
      </c>
      <c r="AM131" s="5" t="str">
        <f t="array" aca="1" ref="AM131" ca="1">IF(AM$31&gt;$AL131,0,IF(ISERROR(OFFSET($E$31,0,SMALL(IF($E131:$X131&gt;0,COLUMN($A:$T),""),AM$31)-1)),0,OFFSET($E$31,0,SMALL(IF($E131:$X131&gt;0,COLUMN($A:$T),""),AM$31)-1)))</f>
        <v>生命</v>
      </c>
      <c r="AN131" s="5">
        <f t="array" aca="1" ref="AN131" ca="1">IF(AM$31&gt;$AL131,0,IF(ISERROR(INDEX($E131:$X131,,SMALL(IF($E131:$X131&gt;0,COLUMN($A:$T),""),AN$31))),0,INDEX($E131:$X131,,SMALL(IF($E131:$X131&gt;0,COLUMN($A:$T),""),AN$31))))</f>
        <v>2132.3798941993259</v>
      </c>
      <c r="AO131" s="5" t="str">
        <f t="array" aca="1" ref="AO131" ca="1">IF(AO$31&gt;$AL131,0,IF(ISERROR(OFFSET($E$31,0,SMALL(IF($E131:$X131&gt;0,COLUMN($A:$T),""),AO$31)-1)),0,OFFSET($E$31,0,SMALL(IF($E131:$X131&gt;0,COLUMN($A:$T),""),AO$31)-1)))</f>
        <v>闪避值</v>
      </c>
      <c r="AP131" s="5">
        <f t="array" aca="1" ref="AP131" ca="1">IF(AO$31&gt;$AL131,0,IF(ISERROR(INDEX($E131:$X131,,SMALL(IF($E131:$X131&gt;0,COLUMN($A:$T),""),AP$31))),0,INDEX($E131:$X131,,SMALL(IF($E131:$X131&gt;0,COLUMN($A:$T),""),AP$31))))</f>
        <v>283.33333333333326</v>
      </c>
      <c r="AQ131" s="5" t="str">
        <f t="array" aca="1" ref="AQ131" ca="1">IF(AQ$31&gt;$AL131,0,IF(ISERROR(OFFSET($E$31,0,SMALL(IF($E131:$X131&gt;0,COLUMN($A:$T),""),AQ$31)-1)),0,OFFSET($E$31,0,SMALL(IF($E131:$X131&gt;0,COLUMN($A:$T),""),AQ$31)-1)))</f>
        <v>生命</v>
      </c>
      <c r="AR131" s="5">
        <f t="array" aca="1" ref="AR131" ca="1">IF(AQ$31&gt;$AL131,0,IF(ISERROR(INDEX($E131:$X131,,SMALL(IF($E131:$X131&gt;0,COLUMN($A:$T),""),AR$31))),0,INDEX($E131:$X131,,SMALL(IF($E131:$X131&gt;0,COLUMN($A:$T),""),AR$31))))</f>
        <v>666.36871693728938</v>
      </c>
      <c r="AS131" s="5" t="str">
        <f t="array" aca="1" ref="AS131" ca="1">IF(AS$31&gt;$AL131,0,IF(ISERROR(OFFSET($E$31,0,SMALL(IF($E131:$X131&gt;0,COLUMN($A:$T),""),AS$31)-1)),0,OFFSET($E$31,0,SMALL(IF($E131:$X131&gt;0,COLUMN($A:$T),""),AS$31)-1)))</f>
        <v>闪避值</v>
      </c>
      <c r="AT131" s="5">
        <f t="array" aca="1" ref="AT131" ca="1">IF(AS$31&gt;$AL131,0,IF(ISERROR(INDEX($E131:$X131,,SMALL(IF($E131:$X131&gt;0,COLUMN($A:$T),""),AT$31))),0,INDEX($E131:$X131,,SMALL(IF($E131:$X131&gt;0,COLUMN($A:$T),""),AT$31))))</f>
        <v>63.75</v>
      </c>
      <c r="AU131" s="5" t="str">
        <f t="array" aca="1" ref="AU131" ca="1">IF(AU$31&gt;$AL131,0,IF(ISERROR(OFFSET($E$31,0,SMALL(IF($E131:$X131&gt;0,COLUMN($A:$T),""),AU$31)-1)),0,OFFSET($E$31,0,SMALL(IF($E131:$X131&gt;0,COLUMN($A:$T),""),AU$31)-1)))</f>
        <v>命中值</v>
      </c>
      <c r="AV131" s="5">
        <f t="array" aca="1" ref="AV131" ca="1">IF(AU$31&gt;$AL131,0,IF(ISERROR(INDEX($E131:$X131,,SMALL(IF($E131:$X131&gt;0,COLUMN($A:$T),""),AV$31))),0,INDEX($E131:$X131,,SMALL(IF($E131:$X131&gt;0,COLUMN($A:$T),""),AV$31))))</f>
        <v>53.124999999999993</v>
      </c>
      <c r="AW131" s="5">
        <f t="array" aca="1" ref="AW131" ca="1">IF(AW$31&gt;$AL131,0,IF(ISERROR(OFFSET($E$31,0,SMALL(IF($E131:$X131&gt;0,COLUMN($A:$T),""),AW$31)-1)),0,OFFSET($E$31,0,SMALL(IF($E131:$X131&gt;0,COLUMN($A:$T),""),AW$31)-1)))</f>
        <v>0</v>
      </c>
      <c r="AX131" s="5">
        <f t="array" ref="AX131">IF(AW$31&gt;$AL131,0,IF(ISERROR(INDEX($E131:$X131,,SMALL(IF($E131:$X131&gt;0,COLUMN($A:$T),""),AX$31))),0,INDEX($E131:$X131,,SMALL(IF($E131:$X131&gt;0,COLUMN($A:$T),""),AX$31))))</f>
        <v>0</v>
      </c>
      <c r="AY131" s="5">
        <f t="array" aca="1" ref="AY131" ca="1">IF(AY$31&gt;$AL131,0,IF(ISERROR(OFFSET($E$31,0,SMALL(IF($E131:$X131&gt;0,COLUMN($A:$T),""),AY$31)-1)),0,OFFSET($E$31,0,SMALL(IF($E131:$X131&gt;0,COLUMN($A:$T),""),AY$31)-1)))</f>
        <v>0</v>
      </c>
      <c r="AZ131" s="5">
        <f t="array" ref="AZ131">IF(AY$31&gt;$AL131,0,IF(ISERROR(INDEX($E131:$X131,,SMALL(IF($E131:$X131&gt;0,COLUMN($A:$T),""),AZ$31))),0,INDEX($E131:$X131,,SMALL(IF($E131:$X131&gt;0,COLUMN($A:$T),""),AZ$31))))</f>
        <v>0</v>
      </c>
      <c r="BA131" s="5">
        <f t="array" aca="1" ref="BA131" ca="1">IF(BA$31&gt;$AL131,0,IF(ISERROR(OFFSET($E$31,0,SMALL(IF($E131:$X131&gt;0,COLUMN($A:$T),""),BA$31)-1)),0,OFFSET($E$31,0,SMALL(IF($E131:$X131&gt;0,COLUMN($A:$T),""),BA$31)-1)))</f>
        <v>0</v>
      </c>
      <c r="BB131" s="5">
        <f t="array" ref="BB131">IF(BA$31&gt;$AL131,0,IF(ISERROR(INDEX($E131:$X131,,SMALL(IF($E131:$X131&gt;0,COLUMN($A:$T),""),BB$31))),0,INDEX($E131:$X131,,SMALL(IF($E131:$X131&gt;0,COLUMN($A:$T),""),BB$31))))</f>
        <v>0</v>
      </c>
      <c r="BC131" s="5">
        <f t="array" aca="1" ref="BC131" ca="1">IF(BC$31&gt;$AL131,0,IF(ISERROR(OFFSET($E$31,0,SMALL(IF($E131:$X131&gt;0,COLUMN($A:$T),""),BC$31)-1)),0,OFFSET($E$31,0,SMALL(IF($E131:$X131&gt;0,COLUMN($A:$T),""),BC$31)-1)))</f>
        <v>0</v>
      </c>
      <c r="BD131" s="5">
        <f t="array" ref="BD131">IF(BC$31&gt;$AL131,0,IF(ISERROR(INDEX($E131:$X131,,SMALL(IF($E131:$X131&gt;0,COLUMN($A:$T),""),BD$31))),0,INDEX($E131:$X131,,SMALL(IF($E131:$X131&gt;0,COLUMN($A:$T),""),BD$31))))</f>
        <v>0</v>
      </c>
      <c r="BE131" s="5">
        <f t="array" aca="1" ref="BE131" ca="1">IF(BE$31&gt;$AL131,0,IF(ISERROR(OFFSET($E$31,0,SMALL(IF($E131:$X131&gt;0,COLUMN($A:$T),""),BE$31)-1)),0,OFFSET($E$31,0,SMALL(IF($E131:$X131&gt;0,COLUMN($A:$T),""),BE$31)-1)))</f>
        <v>0</v>
      </c>
      <c r="BF131" s="5">
        <f t="array" ref="BF131">IF(BE$31&gt;$AL131,0,IF(ISERROR(INDEX($E131:$X131,,SMALL(IF($E131:$X131&gt;0,COLUMN($A:$T),""),BF$31))),0,INDEX($E131:$X131,,SMALL(IF($E131:$X131&gt;0,COLUMN($A:$T),""),BF$31))))</f>
        <v>0</v>
      </c>
      <c r="BH131">
        <f ca="1">SUMPRODUCT(E131:N131,定义数据!$G$14:$P$14)</f>
        <v>181.62852910130636</v>
      </c>
      <c r="BI131">
        <f ca="1">SUMPRODUCT(O131:X131,定义数据!$G$14:$P$14)</f>
        <v>69.792248677491585</v>
      </c>
      <c r="BJ131" s="5">
        <f t="shared" ca="1" si="100"/>
        <v>251.42077777879794</v>
      </c>
      <c r="BK131" s="5" t="str">
        <f>D131&amp;B131&amp;VLOOKUP(C131,定义数据!$E$1:$F$7,2,FALSE)</f>
        <v>6035</v>
      </c>
    </row>
    <row r="132" spans="1:63" x14ac:dyDescent="0.15">
      <c r="A132" s="17" t="str">
        <f>D132&amp;B132&amp;VLOOKUP(C132,定义数据!$E$1:$F$7,2,FALSE)</f>
        <v>6034</v>
      </c>
      <c r="B132" s="18">
        <v>3</v>
      </c>
      <c r="C132" s="18" t="s">
        <v>139</v>
      </c>
      <c r="D132" s="24">
        <v>60</v>
      </c>
      <c r="E132" s="56">
        <f t="shared" ca="1" si="111"/>
        <v>2132.3798941993259</v>
      </c>
      <c r="F132" s="56">
        <f t="shared" ca="1" si="112"/>
        <v>0</v>
      </c>
      <c r="G132" s="56">
        <f t="shared" ca="1" si="113"/>
        <v>0</v>
      </c>
      <c r="H132" s="56">
        <f t="shared" ca="1" si="114"/>
        <v>0</v>
      </c>
      <c r="I132" s="56">
        <f t="shared" ca="1" si="115"/>
        <v>0</v>
      </c>
      <c r="J132" s="56">
        <f t="shared" ca="1" si="116"/>
        <v>0</v>
      </c>
      <c r="K132" s="56">
        <f t="shared" ca="1" si="117"/>
        <v>0</v>
      </c>
      <c r="L132" s="56">
        <f t="shared" ca="1" si="118"/>
        <v>251.85185185185185</v>
      </c>
      <c r="M132" s="56">
        <f t="shared" ca="1" si="119"/>
        <v>0</v>
      </c>
      <c r="N132" s="56">
        <f t="shared" ca="1" si="120"/>
        <v>0</v>
      </c>
      <c r="O132" s="65">
        <f t="shared" ca="1" si="101"/>
        <v>1332.7374338745788</v>
      </c>
      <c r="P132" s="65">
        <f t="shared" ca="1" si="102"/>
        <v>40.616168727272743</v>
      </c>
      <c r="Q132" s="65">
        <f t="shared" ca="1" si="103"/>
        <v>14.625887833622185</v>
      </c>
      <c r="R132" s="65">
        <f t="shared" ca="1" si="104"/>
        <v>0</v>
      </c>
      <c r="S132" s="65">
        <f t="shared" ca="1" si="105"/>
        <v>0</v>
      </c>
      <c r="T132" s="65">
        <f t="shared" ca="1" si="106"/>
        <v>0</v>
      </c>
      <c r="U132" s="65">
        <f t="shared" ca="1" si="107"/>
        <v>0</v>
      </c>
      <c r="V132" s="65">
        <f t="shared" ca="1" si="108"/>
        <v>31.481481481481481</v>
      </c>
      <c r="W132" s="65">
        <f t="shared" ca="1" si="109"/>
        <v>0</v>
      </c>
      <c r="X132" s="65">
        <f t="shared" ca="1" si="110"/>
        <v>0</v>
      </c>
      <c r="Y132" s="21"/>
      <c r="Z132" s="15">
        <f>VLOOKUP($D132&amp;$B132,[3]!装备基础属性表,P$30,FALSE)</f>
        <v>13327.374338745787</v>
      </c>
      <c r="AA132" s="15">
        <f>VLOOKUP($D132&amp;$B132,[3]!装备基础属性表,Q$30,FALSE)</f>
        <v>676.93614545454557</v>
      </c>
      <c r="AB132" s="15">
        <f>VLOOKUP($D132&amp;$B132,[3]!装备基础属性表,R$30,FALSE)</f>
        <v>292.51775667244368</v>
      </c>
      <c r="AC132" s="15">
        <f>VLOOKUP($D132&amp;$B132,[3]!装备基础属性表,S$30,FALSE)</f>
        <v>531.24999999999989</v>
      </c>
      <c r="AD132" s="15">
        <f>VLOOKUP($D132&amp;$B132,[3]!装备基础属性表,T$30,FALSE)</f>
        <v>531.24999999999989</v>
      </c>
      <c r="AE132" s="15">
        <f>VLOOKUP($D132&amp;$B132,[3]!装备基础属性表,U$30,FALSE)</f>
        <v>314.81481481481478</v>
      </c>
      <c r="AF132" s="15">
        <f>VLOOKUP($D132&amp;$B132,[3]!装备基础属性表,V$30,FALSE)</f>
        <v>0</v>
      </c>
      <c r="AG132" s="15">
        <f>VLOOKUP($D132&amp;$B132,[3]!装备基础属性表,W$30,FALSE)</f>
        <v>314.81481481481478</v>
      </c>
      <c r="AH132" s="15">
        <f>VLOOKUP($D132&amp;$B132,[3]!装备基础属性表,X$30,FALSE)</f>
        <v>0</v>
      </c>
      <c r="AI132" s="15">
        <f>VLOOKUP($D132&amp;$B132,[3]!装备基础属性表,Y$30,FALSE)</f>
        <v>0</v>
      </c>
      <c r="AJ132" s="16" t="str">
        <f>B132&amp;VLOOKUP(C132,定义数据!$E$1:$F$7,2,FALSE)&amp;D132</f>
        <v>3460</v>
      </c>
      <c r="AK132" s="14">
        <f t="shared" si="29"/>
        <v>18</v>
      </c>
      <c r="AL132" s="5">
        <f t="shared" si="99"/>
        <v>5</v>
      </c>
      <c r="AM132" s="5" t="str">
        <f t="array" aca="1" ref="AM132" ca="1">IF(AM$31&gt;$AL132,0,IF(ISERROR(OFFSET($E$31,0,SMALL(IF($E132:$X132&gt;0,COLUMN($A:$T),""),AM$31)-1)),0,OFFSET($E$31,0,SMALL(IF($E132:$X132&gt;0,COLUMN($A:$T),""),AM$31)-1)))</f>
        <v>生命</v>
      </c>
      <c r="AN132" s="5">
        <f t="array" aca="1" ref="AN132" ca="1">IF(AM$31&gt;$AL132,0,IF(ISERROR(INDEX($E132:$X132,,SMALL(IF($E132:$X132&gt;0,COLUMN($A:$T),""),AN$31))),0,INDEX($E132:$X132,,SMALL(IF($E132:$X132&gt;0,COLUMN($A:$T),""),AN$31))))</f>
        <v>2132.3798941993259</v>
      </c>
      <c r="AO132" s="5" t="str">
        <f t="array" aca="1" ref="AO132" ca="1">IF(AO$31&gt;$AL132,0,IF(ISERROR(OFFSET($E$31,0,SMALL(IF($E132:$X132&gt;0,COLUMN($A:$T),""),AO$31)-1)),0,OFFSET($E$31,0,SMALL(IF($E132:$X132&gt;0,COLUMN($A:$T),""),AO$31)-1)))</f>
        <v>韧性值</v>
      </c>
      <c r="AP132" s="5">
        <f t="array" aca="1" ref="AP132" ca="1">IF(AO$31&gt;$AL132,0,IF(ISERROR(INDEX($E132:$X132,,SMALL(IF($E132:$X132&gt;0,COLUMN($A:$T),""),AP$31))),0,INDEX($E132:$X132,,SMALL(IF($E132:$X132&gt;0,COLUMN($A:$T),""),AP$31))))</f>
        <v>251.85185185185185</v>
      </c>
      <c r="AQ132" s="5" t="str">
        <f t="array" aca="1" ref="AQ132" ca="1">IF(AQ$31&gt;$AL132,0,IF(ISERROR(OFFSET($E$31,0,SMALL(IF($E132:$X132&gt;0,COLUMN($A:$T),""),AQ$31)-1)),0,OFFSET($E$31,0,SMALL(IF($E132:$X132&gt;0,COLUMN($A:$T),""),AQ$31)-1)))</f>
        <v>生命</v>
      </c>
      <c r="AR132" s="5">
        <f t="array" aca="1" ref="AR132" ca="1">IF(AQ$31&gt;$AL132,0,IF(ISERROR(INDEX($E132:$X132,,SMALL(IF($E132:$X132&gt;0,COLUMN($A:$T),""),AR$31))),0,INDEX($E132:$X132,,SMALL(IF($E132:$X132&gt;0,COLUMN($A:$T),""),AR$31))))</f>
        <v>1332.7374338745788</v>
      </c>
      <c r="AS132" s="5" t="str">
        <f t="array" aca="1" ref="AS132" ca="1">IF(AS$31&gt;$AL132,0,IF(ISERROR(OFFSET($E$31,0,SMALL(IF($E132:$X132&gt;0,COLUMN($A:$T),""),AS$31)-1)),0,OFFSET($E$31,0,SMALL(IF($E132:$X132&gt;0,COLUMN($A:$T),""),AS$31)-1)))</f>
        <v>攻击</v>
      </c>
      <c r="AT132" s="5">
        <f t="array" aca="1" ref="AT132" ca="1">IF(AS$31&gt;$AL132,0,IF(ISERROR(INDEX($E132:$X132,,SMALL(IF($E132:$X132&gt;0,COLUMN($A:$T),""),AT$31))),0,INDEX($E132:$X132,,SMALL(IF($E132:$X132&gt;0,COLUMN($A:$T),""),AT$31))))</f>
        <v>40.616168727272743</v>
      </c>
      <c r="AU132" s="5" t="str">
        <f t="array" aca="1" ref="AU132" ca="1">IF(AU$31&gt;$AL132,0,IF(ISERROR(OFFSET($E$31,0,SMALL(IF($E132:$X132&gt;0,COLUMN($A:$T),""),AU$31)-1)),0,OFFSET($E$31,0,SMALL(IF($E132:$X132&gt;0,COLUMN($A:$T),""),AU$31)-1)))</f>
        <v>防御</v>
      </c>
      <c r="AV132" s="5">
        <f t="array" aca="1" ref="AV132" ca="1">IF(AU$31&gt;$AL132,0,IF(ISERROR(INDEX($E132:$X132,,SMALL(IF($E132:$X132&gt;0,COLUMN($A:$T),""),AV$31))),0,INDEX($E132:$X132,,SMALL(IF($E132:$X132&gt;0,COLUMN($A:$T),""),AV$31))))</f>
        <v>14.625887833622185</v>
      </c>
      <c r="AW132" s="5">
        <f t="array" aca="1" ref="AW132" ca="1">IF(AW$31&gt;$AL132,0,IF(ISERROR(OFFSET($E$31,0,SMALL(IF($E132:$X132&gt;0,COLUMN($A:$T),""),AW$31)-1)),0,OFFSET($E$31,0,SMALL(IF($E132:$X132&gt;0,COLUMN($A:$T),""),AW$31)-1)))</f>
        <v>0</v>
      </c>
      <c r="AX132" s="5">
        <f t="array" ref="AX132">IF(AW$31&gt;$AL132,0,IF(ISERROR(INDEX($E132:$X132,,SMALL(IF($E132:$X132&gt;0,COLUMN($A:$T),""),AX$31))),0,INDEX($E132:$X132,,SMALL(IF($E132:$X132&gt;0,COLUMN($A:$T),""),AX$31))))</f>
        <v>0</v>
      </c>
      <c r="AY132" s="5">
        <f t="array" aca="1" ref="AY132" ca="1">IF(AY$31&gt;$AL132,0,IF(ISERROR(OFFSET($E$31,0,SMALL(IF($E132:$X132&gt;0,COLUMN($A:$T),""),AY$31)-1)),0,OFFSET($E$31,0,SMALL(IF($E132:$X132&gt;0,COLUMN($A:$T),""),AY$31)-1)))</f>
        <v>0</v>
      </c>
      <c r="AZ132" s="5">
        <f t="array" ref="AZ132">IF(AY$31&gt;$AL132,0,IF(ISERROR(INDEX($E132:$X132,,SMALL(IF($E132:$X132&gt;0,COLUMN($A:$T),""),AZ$31))),0,INDEX($E132:$X132,,SMALL(IF($E132:$X132&gt;0,COLUMN($A:$T),""),AZ$31))))</f>
        <v>0</v>
      </c>
      <c r="BA132" s="5">
        <f t="array" aca="1" ref="BA132" ca="1">IF(BA$31&gt;$AL132,0,IF(ISERROR(OFFSET($E$31,0,SMALL(IF($E132:$X132&gt;0,COLUMN($A:$T),""),BA$31)-1)),0,OFFSET($E$31,0,SMALL(IF($E132:$X132&gt;0,COLUMN($A:$T),""),BA$31)-1)))</f>
        <v>0</v>
      </c>
      <c r="BB132" s="5">
        <f t="array" ref="BB132">IF(BA$31&gt;$AL132,0,IF(ISERROR(INDEX($E132:$X132,,SMALL(IF($E132:$X132&gt;0,COLUMN($A:$T),""),BB$31))),0,INDEX($E132:$X132,,SMALL(IF($E132:$X132&gt;0,COLUMN($A:$T),""),BB$31))))</f>
        <v>0</v>
      </c>
      <c r="BC132" s="5">
        <f t="array" aca="1" ref="BC132" ca="1">IF(BC$31&gt;$AL132,0,IF(ISERROR(OFFSET($E$31,0,SMALL(IF($E132:$X132&gt;0,COLUMN($A:$T),""),BC$31)-1)),0,OFFSET($E$31,0,SMALL(IF($E132:$X132&gt;0,COLUMN($A:$T),""),BC$31)-1)))</f>
        <v>0</v>
      </c>
      <c r="BD132" s="5">
        <f t="array" ref="BD132">IF(BC$31&gt;$AL132,0,IF(ISERROR(INDEX($E132:$X132,,SMALL(IF($E132:$X132&gt;0,COLUMN($A:$T),""),BD$31))),0,INDEX($E132:$X132,,SMALL(IF($E132:$X132&gt;0,COLUMN($A:$T),""),BD$31))))</f>
        <v>0</v>
      </c>
      <c r="BE132" s="5">
        <f t="array" aca="1" ref="BE132" ca="1">IF(BE$31&gt;$AL132,0,IF(ISERROR(OFFSET($E$31,0,SMALL(IF($E132:$X132&gt;0,COLUMN($A:$T),""),BE$31)-1)),0,OFFSET($E$31,0,SMALL(IF($E132:$X132&gt;0,COLUMN($A:$T),""),BE$31)-1)))</f>
        <v>0</v>
      </c>
      <c r="BF132" s="5">
        <f t="array" ref="BF132">IF(BE$31&gt;$AL132,0,IF(ISERROR(INDEX($E132:$X132,,SMALL(IF($E132:$X132&gt;0,COLUMN($A:$T),""),BF$31))),0,INDEX($E132:$X132,,SMALL(IF($E132:$X132&gt;0,COLUMN($A:$T),""),BF$31))))</f>
        <v>0</v>
      </c>
      <c r="BH132">
        <f ca="1">SUMPRODUCT(E132:N132,定义数据!$G$14:$P$14)</f>
        <v>130.62852910130636</v>
      </c>
      <c r="BI132">
        <f ca="1">SUMPRODUCT(O132:X132,定义数据!$G$14:$P$14)</f>
        <v>114.21822058254476</v>
      </c>
      <c r="BJ132" s="5">
        <f t="shared" ca="1" si="100"/>
        <v>244.8467496838511</v>
      </c>
      <c r="BK132" s="5" t="str">
        <f>D132&amp;B132&amp;VLOOKUP(C132,定义数据!$E$1:$F$7,2,FALSE)</f>
        <v>6034</v>
      </c>
    </row>
    <row r="133" spans="1:63" x14ac:dyDescent="0.15">
      <c r="A133" s="17" t="str">
        <f>D133&amp;B133&amp;VLOOKUP(C133,定义数据!$E$1:$F$7,2,FALSE)</f>
        <v>6033</v>
      </c>
      <c r="B133" s="18">
        <v>3</v>
      </c>
      <c r="C133" s="18" t="s">
        <v>140</v>
      </c>
      <c r="D133" s="24">
        <v>60</v>
      </c>
      <c r="E133" s="56">
        <f t="shared" ca="1" si="111"/>
        <v>0</v>
      </c>
      <c r="F133" s="56">
        <f t="shared" ca="1" si="112"/>
        <v>135.38722909090913</v>
      </c>
      <c r="G133" s="56">
        <f t="shared" ca="1" si="113"/>
        <v>0</v>
      </c>
      <c r="H133" s="56">
        <f t="shared" ca="1" si="114"/>
        <v>0</v>
      </c>
      <c r="I133" s="56">
        <f t="shared" ca="1" si="115"/>
        <v>424.99999999999994</v>
      </c>
      <c r="J133" s="56">
        <f t="shared" ca="1" si="116"/>
        <v>0</v>
      </c>
      <c r="K133" s="56">
        <f t="shared" ca="1" si="117"/>
        <v>0</v>
      </c>
      <c r="L133" s="56">
        <f t="shared" ca="1" si="118"/>
        <v>0</v>
      </c>
      <c r="M133" s="56">
        <f t="shared" ca="1" si="119"/>
        <v>0</v>
      </c>
      <c r="N133" s="56">
        <f t="shared" ca="1" si="120"/>
        <v>0</v>
      </c>
      <c r="O133" s="65">
        <f t="shared" ca="1" si="101"/>
        <v>0</v>
      </c>
      <c r="P133" s="65">
        <f t="shared" ca="1" si="102"/>
        <v>40.616168727272743</v>
      </c>
      <c r="Q133" s="65">
        <f t="shared" ca="1" si="103"/>
        <v>0</v>
      </c>
      <c r="R133" s="65">
        <f t="shared" ca="1" si="104"/>
        <v>31.875</v>
      </c>
      <c r="S133" s="65">
        <f t="shared" ca="1" si="105"/>
        <v>53.124999999999993</v>
      </c>
      <c r="T133" s="65">
        <f t="shared" ca="1" si="106"/>
        <v>37.777777777777786</v>
      </c>
      <c r="U133" s="65">
        <f t="shared" ca="1" si="107"/>
        <v>0</v>
      </c>
      <c r="V133" s="65">
        <f t="shared" ca="1" si="108"/>
        <v>0</v>
      </c>
      <c r="W133" s="65">
        <f t="shared" ca="1" si="109"/>
        <v>0</v>
      </c>
      <c r="X133" s="65">
        <f t="shared" ca="1" si="110"/>
        <v>0</v>
      </c>
      <c r="Y133" s="21"/>
      <c r="Z133" s="15">
        <f>VLOOKUP($D133&amp;$B133,[3]!装备基础属性表,P$30,FALSE)</f>
        <v>13327.374338745787</v>
      </c>
      <c r="AA133" s="15">
        <f>VLOOKUP($D133&amp;$B133,[3]!装备基础属性表,Q$30,FALSE)</f>
        <v>676.93614545454557</v>
      </c>
      <c r="AB133" s="15">
        <f>VLOOKUP($D133&amp;$B133,[3]!装备基础属性表,R$30,FALSE)</f>
        <v>292.51775667244368</v>
      </c>
      <c r="AC133" s="15">
        <f>VLOOKUP($D133&amp;$B133,[3]!装备基础属性表,S$30,FALSE)</f>
        <v>531.24999999999989</v>
      </c>
      <c r="AD133" s="15">
        <f>VLOOKUP($D133&amp;$B133,[3]!装备基础属性表,T$30,FALSE)</f>
        <v>531.24999999999989</v>
      </c>
      <c r="AE133" s="15">
        <f>VLOOKUP($D133&amp;$B133,[3]!装备基础属性表,U$30,FALSE)</f>
        <v>314.81481481481478</v>
      </c>
      <c r="AF133" s="15">
        <f>VLOOKUP($D133&amp;$B133,[3]!装备基础属性表,V$30,FALSE)</f>
        <v>0</v>
      </c>
      <c r="AG133" s="15">
        <f>VLOOKUP($D133&amp;$B133,[3]!装备基础属性表,W$30,FALSE)</f>
        <v>314.81481481481478</v>
      </c>
      <c r="AH133" s="15">
        <f>VLOOKUP($D133&amp;$B133,[3]!装备基础属性表,X$30,FALSE)</f>
        <v>0</v>
      </c>
      <c r="AI133" s="15">
        <f>VLOOKUP($D133&amp;$B133,[3]!装备基础属性表,Y$30,FALSE)</f>
        <v>0</v>
      </c>
      <c r="AJ133" s="16" t="str">
        <f>B133&amp;VLOOKUP(C133,定义数据!$E$1:$F$7,2,FALSE)&amp;D133</f>
        <v>3360</v>
      </c>
      <c r="AK133" s="14">
        <f t="shared" si="29"/>
        <v>18</v>
      </c>
      <c r="AL133" s="5">
        <f t="shared" si="99"/>
        <v>5</v>
      </c>
      <c r="AM133" s="5" t="str">
        <f t="array" aca="1" ref="AM133" ca="1">IF(AM$31&gt;$AL133,0,IF(ISERROR(OFFSET($E$31,0,SMALL(IF($E133:$X133&gt;0,COLUMN($A:$T),""),AM$31)-1)),0,OFFSET($E$31,0,SMALL(IF($E133:$X133&gt;0,COLUMN($A:$T),""),AM$31)-1)))</f>
        <v>攻击</v>
      </c>
      <c r="AN133" s="5">
        <f t="array" aca="1" ref="AN133" ca="1">IF(AM$31&gt;$AL133,0,IF(ISERROR(INDEX($E133:$X133,,SMALL(IF($E133:$X133&gt;0,COLUMN($A:$T),""),AN$31))),0,INDEX($E133:$X133,,SMALL(IF($E133:$X133&gt;0,COLUMN($A:$T),""),AN$31))))</f>
        <v>135.38722909090913</v>
      </c>
      <c r="AO133" s="5" t="str">
        <f t="array" aca="1" ref="AO133" ca="1">IF(AO$31&gt;$AL133,0,IF(ISERROR(OFFSET($E$31,0,SMALL(IF($E133:$X133&gt;0,COLUMN($A:$T),""),AO$31)-1)),0,OFFSET($E$31,0,SMALL(IF($E133:$X133&gt;0,COLUMN($A:$T),""),AO$31)-1)))</f>
        <v>命中值</v>
      </c>
      <c r="AP133" s="5">
        <f t="array" aca="1" ref="AP133" ca="1">IF(AO$31&gt;$AL133,0,IF(ISERROR(INDEX($E133:$X133,,SMALL(IF($E133:$X133&gt;0,COLUMN($A:$T),""),AP$31))),0,INDEX($E133:$X133,,SMALL(IF($E133:$X133&gt;0,COLUMN($A:$T),""),AP$31))))</f>
        <v>424.99999999999994</v>
      </c>
      <c r="AQ133" s="5" t="str">
        <f t="array" aca="1" ref="AQ133" ca="1">IF(AQ$31&gt;$AL133,0,IF(ISERROR(OFFSET($E$31,0,SMALL(IF($E133:$X133&gt;0,COLUMN($A:$T),""),AQ$31)-1)),0,OFFSET($E$31,0,SMALL(IF($E133:$X133&gt;0,COLUMN($A:$T),""),AQ$31)-1)))</f>
        <v>攻击</v>
      </c>
      <c r="AR133" s="5">
        <f t="array" aca="1" ref="AR133" ca="1">IF(AQ$31&gt;$AL133,0,IF(ISERROR(INDEX($E133:$X133,,SMALL(IF($E133:$X133&gt;0,COLUMN($A:$T),""),AR$31))),0,INDEX($E133:$X133,,SMALL(IF($E133:$X133&gt;0,COLUMN($A:$T),""),AR$31))))</f>
        <v>40.616168727272743</v>
      </c>
      <c r="AS133" s="5" t="str">
        <f t="array" aca="1" ref="AS133" ca="1">IF(AS$31&gt;$AL133,0,IF(ISERROR(OFFSET($E$31,0,SMALL(IF($E133:$X133&gt;0,COLUMN($A:$T),""),AS$31)-1)),0,OFFSET($E$31,0,SMALL(IF($E133:$X133&gt;0,COLUMN($A:$T),""),AS$31)-1)))</f>
        <v>闪避值</v>
      </c>
      <c r="AT133" s="5">
        <f t="array" aca="1" ref="AT133" ca="1">IF(AS$31&gt;$AL133,0,IF(ISERROR(INDEX($E133:$X133,,SMALL(IF($E133:$X133&gt;0,COLUMN($A:$T),""),AT$31))),0,INDEX($E133:$X133,,SMALL(IF($E133:$X133&gt;0,COLUMN($A:$T),""),AT$31))))</f>
        <v>31.875</v>
      </c>
      <c r="AU133" s="5" t="str">
        <f t="array" aca="1" ref="AU133" ca="1">IF(AU$31&gt;$AL133,0,IF(ISERROR(OFFSET($E$31,0,SMALL(IF($E133:$X133&gt;0,COLUMN($A:$T),""),AU$31)-1)),0,OFFSET($E$31,0,SMALL(IF($E133:$X133&gt;0,COLUMN($A:$T),""),AU$31)-1)))</f>
        <v>命中值</v>
      </c>
      <c r="AV133" s="5">
        <f t="array" aca="1" ref="AV133" ca="1">IF(AU$31&gt;$AL133,0,IF(ISERROR(INDEX($E133:$X133,,SMALL(IF($E133:$X133&gt;0,COLUMN($A:$T),""),AV$31))),0,INDEX($E133:$X133,,SMALL(IF($E133:$X133&gt;0,COLUMN($A:$T),""),AV$31))))</f>
        <v>53.124999999999993</v>
      </c>
      <c r="AW133" s="5">
        <f t="array" aca="1" ref="AW133" ca="1">IF(AW$31&gt;$AL133,0,IF(ISERROR(OFFSET($E$31,0,SMALL(IF($E133:$X133&gt;0,COLUMN($A:$T),""),AW$31)-1)),0,OFFSET($E$31,0,SMALL(IF($E133:$X133&gt;0,COLUMN($A:$T),""),AW$31)-1)))</f>
        <v>0</v>
      </c>
      <c r="AX133" s="5">
        <f t="array" ref="AX133">IF(AW$31&gt;$AL133,0,IF(ISERROR(INDEX($E133:$X133,,SMALL(IF($E133:$X133&gt;0,COLUMN($A:$T),""),AX$31))),0,INDEX($E133:$X133,,SMALL(IF($E133:$X133&gt;0,COLUMN($A:$T),""),AX$31))))</f>
        <v>0</v>
      </c>
      <c r="AY133" s="5">
        <f t="array" aca="1" ref="AY133" ca="1">IF(AY$31&gt;$AL133,0,IF(ISERROR(OFFSET($E$31,0,SMALL(IF($E133:$X133&gt;0,COLUMN($A:$T),""),AY$31)-1)),0,OFFSET($E$31,0,SMALL(IF($E133:$X133&gt;0,COLUMN($A:$T),""),AY$31)-1)))</f>
        <v>0</v>
      </c>
      <c r="AZ133" s="5">
        <f t="array" ref="AZ133">IF(AY$31&gt;$AL133,0,IF(ISERROR(INDEX($E133:$X133,,SMALL(IF($E133:$X133&gt;0,COLUMN($A:$T),""),AZ$31))),0,INDEX($E133:$X133,,SMALL(IF($E133:$X133&gt;0,COLUMN($A:$T),""),AZ$31))))</f>
        <v>0</v>
      </c>
      <c r="BA133" s="5">
        <f t="array" aca="1" ref="BA133" ca="1">IF(BA$31&gt;$AL133,0,IF(ISERROR(OFFSET($E$31,0,SMALL(IF($E133:$X133&gt;0,COLUMN($A:$T),""),BA$31)-1)),0,OFFSET($E$31,0,SMALL(IF($E133:$X133&gt;0,COLUMN($A:$T),""),BA$31)-1)))</f>
        <v>0</v>
      </c>
      <c r="BB133" s="5">
        <f t="array" ref="BB133">IF(BA$31&gt;$AL133,0,IF(ISERROR(INDEX($E133:$X133,,SMALL(IF($E133:$X133&gt;0,COLUMN($A:$T),""),BB$31))),0,INDEX($E133:$X133,,SMALL(IF($E133:$X133&gt;0,COLUMN($A:$T),""),BB$31))))</f>
        <v>0</v>
      </c>
      <c r="BC133" s="5">
        <f t="array" aca="1" ref="BC133" ca="1">IF(BC$31&gt;$AL133,0,IF(ISERROR(OFFSET($E$31,0,SMALL(IF($E133:$X133&gt;0,COLUMN($A:$T),""),BC$31)-1)),0,OFFSET($E$31,0,SMALL(IF($E133:$X133&gt;0,COLUMN($A:$T),""),BC$31)-1)))</f>
        <v>0</v>
      </c>
      <c r="BD133" s="5">
        <f t="array" ref="BD133">IF(BC$31&gt;$AL133,0,IF(ISERROR(INDEX($E133:$X133,,SMALL(IF($E133:$X133&gt;0,COLUMN($A:$T),""),BD$31))),0,INDEX($E133:$X133,,SMALL(IF($E133:$X133&gt;0,COLUMN($A:$T),""),BD$31))))</f>
        <v>0</v>
      </c>
      <c r="BE133" s="5">
        <f t="array" aca="1" ref="BE133" ca="1">IF(BE$31&gt;$AL133,0,IF(ISERROR(OFFSET($E$31,0,SMALL(IF($E133:$X133&gt;0,COLUMN($A:$T),""),BE$31)-1)),0,OFFSET($E$31,0,SMALL(IF($E133:$X133&gt;0,COLUMN($A:$T),""),BE$31)-1)))</f>
        <v>0</v>
      </c>
      <c r="BF133" s="5">
        <f t="array" ref="BF133">IF(BE$31&gt;$AL133,0,IF(ISERROR(INDEX($E133:$X133,,SMALL(IF($E133:$X133&gt;0,COLUMN($A:$T),""),BF$31))),0,INDEX($E133:$X133,,SMALL(IF($E133:$X133&gt;0,COLUMN($A:$T),""),BF$31))))</f>
        <v>0</v>
      </c>
      <c r="BH133">
        <f ca="1">SUMPRODUCT(E133:N133,定义数据!$G$14:$P$14)</f>
        <v>279.88722909090916</v>
      </c>
      <c r="BI133">
        <f ca="1">SUMPRODUCT(O133:X133,定义数据!$G$14:$P$14)</f>
        <v>76.316168727272739</v>
      </c>
      <c r="BJ133" s="5">
        <f t="shared" ca="1" si="100"/>
        <v>356.20339781818188</v>
      </c>
      <c r="BK133" s="5" t="str">
        <f>D133&amp;B133&amp;VLOOKUP(C133,定义数据!$E$1:$F$7,2,FALSE)</f>
        <v>6033</v>
      </c>
    </row>
    <row r="134" spans="1:63" x14ac:dyDescent="0.15">
      <c r="A134" s="17" t="str">
        <f>D134&amp;B134&amp;VLOOKUP(C134,定义数据!$E$1:$F$7,2,FALSE)</f>
        <v>6040</v>
      </c>
      <c r="B134" s="18">
        <v>4</v>
      </c>
      <c r="C134" s="18" t="s">
        <v>141</v>
      </c>
      <c r="D134" s="24">
        <v>60</v>
      </c>
      <c r="E134" s="56">
        <f t="shared" ca="1" si="111"/>
        <v>0</v>
      </c>
      <c r="F134" s="56">
        <f t="shared" ca="1" si="112"/>
        <v>418.10761925133698</v>
      </c>
      <c r="G134" s="56">
        <f t="shared" ca="1" si="113"/>
        <v>0</v>
      </c>
      <c r="H134" s="56">
        <f t="shared" ca="1" si="114"/>
        <v>0</v>
      </c>
      <c r="I134" s="56">
        <f t="shared" ca="1" si="115"/>
        <v>0</v>
      </c>
      <c r="J134" s="56">
        <f t="shared" ca="1" si="116"/>
        <v>259.25925925925924</v>
      </c>
      <c r="K134" s="56">
        <f t="shared" ca="1" si="117"/>
        <v>0</v>
      </c>
      <c r="L134" s="56">
        <f t="shared" ca="1" si="118"/>
        <v>0</v>
      </c>
      <c r="M134" s="56">
        <f t="shared" ca="1" si="119"/>
        <v>0</v>
      </c>
      <c r="N134" s="56">
        <f t="shared" ca="1" si="120"/>
        <v>0</v>
      </c>
      <c r="O134" s="65">
        <f t="shared" ca="1" si="101"/>
        <v>0</v>
      </c>
      <c r="P134" s="65">
        <f t="shared" ca="1" si="102"/>
        <v>191.13491165775406</v>
      </c>
      <c r="Q134" s="65">
        <f t="shared" ca="1" si="103"/>
        <v>22.942569150779896</v>
      </c>
      <c r="R134" s="65">
        <f t="shared" ca="1" si="104"/>
        <v>0</v>
      </c>
      <c r="S134" s="65">
        <f t="shared" ca="1" si="105"/>
        <v>83.333333333333314</v>
      </c>
      <c r="T134" s="65">
        <f t="shared" ca="1" si="106"/>
        <v>59.259259259259267</v>
      </c>
      <c r="U134" s="65">
        <f t="shared" ca="1" si="107"/>
        <v>0</v>
      </c>
      <c r="V134" s="65">
        <f t="shared" ca="1" si="108"/>
        <v>0</v>
      </c>
      <c r="W134" s="65">
        <f t="shared" ca="1" si="109"/>
        <v>0</v>
      </c>
      <c r="X134" s="65">
        <f t="shared" ca="1" si="110"/>
        <v>0</v>
      </c>
      <c r="Y134" s="21" t="s">
        <v>94</v>
      </c>
      <c r="Z134" s="15">
        <f>VLOOKUP($D134&amp;$B134,[3]!装备基础属性表,P$30,FALSE)</f>
        <v>15679.263927936221</v>
      </c>
      <c r="AA134" s="15">
        <f>VLOOKUP($D134&amp;$B134,[3]!装备基础属性表,Q$30,FALSE)</f>
        <v>796.3954652406419</v>
      </c>
      <c r="AB134" s="15">
        <f>VLOOKUP($D134&amp;$B134,[3]!装备基础属性表,R$30,FALSE)</f>
        <v>344.13853726169845</v>
      </c>
      <c r="AC134" s="15">
        <f>VLOOKUP($D134&amp;$B134,[3]!装备基础属性表,S$30,FALSE)</f>
        <v>624.99999999999989</v>
      </c>
      <c r="AD134" s="15">
        <f>VLOOKUP($D134&amp;$B134,[3]!装备基础属性表,T$30,FALSE)</f>
        <v>624.99999999999989</v>
      </c>
      <c r="AE134" s="15">
        <f>VLOOKUP($D134&amp;$B134,[3]!装备基础属性表,U$30,FALSE)</f>
        <v>370.37037037037038</v>
      </c>
      <c r="AF134" s="15">
        <f>VLOOKUP($D134&amp;$B134,[3]!装备基础属性表,V$30,FALSE)</f>
        <v>0</v>
      </c>
      <c r="AG134" s="15">
        <f>VLOOKUP($D134&amp;$B134,[3]!装备基础属性表,W$30,FALSE)</f>
        <v>370.37037037037038</v>
      </c>
      <c r="AH134" s="15">
        <f>VLOOKUP($D134&amp;$B134,[3]!装备基础属性表,X$30,FALSE)</f>
        <v>0</v>
      </c>
      <c r="AI134" s="15">
        <f>VLOOKUP($D134&amp;$B134,[3]!装备基础属性表,Y$30,FALSE)</f>
        <v>0</v>
      </c>
      <c r="AJ134" s="16" t="str">
        <f>B134&amp;VLOOKUP(C134,定义数据!$E$1:$F$7,2,FALSE)&amp;D134</f>
        <v>4060</v>
      </c>
      <c r="AK134" s="14">
        <f t="shared" si="29"/>
        <v>19</v>
      </c>
      <c r="AL134" s="5">
        <f t="shared" si="99"/>
        <v>6</v>
      </c>
      <c r="AM134" s="5" t="str">
        <f t="array" aca="1" ref="AM134" ca="1">IF(AM$31&gt;$AL134,0,IF(ISERROR(OFFSET($E$31,0,SMALL(IF($E134:$X134&gt;0,COLUMN($A:$T),""),AM$31)-1)),0,OFFSET($E$31,0,SMALL(IF($E134:$X134&gt;0,COLUMN($A:$T),""),AM$31)-1)))</f>
        <v>攻击</v>
      </c>
      <c r="AN134" s="5">
        <f t="array" aca="1" ref="AN134" ca="1">IF(AM$31&gt;$AL134,0,IF(ISERROR(INDEX($E134:$X134,,SMALL(IF($E134:$X134&gt;0,COLUMN($A:$T),""),AN$31))),0,INDEX($E134:$X134,,SMALL(IF($E134:$X134&gt;0,COLUMN($A:$T),""),AN$31))))</f>
        <v>418.10761925133698</v>
      </c>
      <c r="AO134" s="5" t="str">
        <f t="array" aca="1" ref="AO134" ca="1">IF(AO$31&gt;$AL134,0,IF(ISERROR(OFFSET($E$31,0,SMALL(IF($E134:$X134&gt;0,COLUMN($A:$T),""),AO$31)-1)),0,OFFSET($E$31,0,SMALL(IF($E134:$X134&gt;0,COLUMN($A:$T),""),AO$31)-1)))</f>
        <v>暴击值</v>
      </c>
      <c r="AP134" s="5">
        <f t="array" aca="1" ref="AP134" ca="1">IF(AO$31&gt;$AL134,0,IF(ISERROR(INDEX($E134:$X134,,SMALL(IF($E134:$X134&gt;0,COLUMN($A:$T),""),AP$31))),0,INDEX($E134:$X134,,SMALL(IF($E134:$X134&gt;0,COLUMN($A:$T),""),AP$31))))</f>
        <v>259.25925925925924</v>
      </c>
      <c r="AQ134" s="5" t="str">
        <f t="array" aca="1" ref="AQ134" ca="1">IF(AQ$31&gt;$AL134,0,IF(ISERROR(OFFSET($E$31,0,SMALL(IF($E134:$X134&gt;0,COLUMN($A:$T),""),AQ$31)-1)),0,OFFSET($E$31,0,SMALL(IF($E134:$X134&gt;0,COLUMN($A:$T),""),AQ$31)-1)))</f>
        <v>攻击</v>
      </c>
      <c r="AR134" s="5">
        <f t="array" aca="1" ref="AR134" ca="1">IF(AQ$31&gt;$AL134,0,IF(ISERROR(INDEX($E134:$X134,,SMALL(IF($E134:$X134&gt;0,COLUMN($A:$T),""),AR$31))),0,INDEX($E134:$X134,,SMALL(IF($E134:$X134&gt;0,COLUMN($A:$T),""),AR$31))))</f>
        <v>191.13491165775406</v>
      </c>
      <c r="AS134" s="5" t="str">
        <f t="array" aca="1" ref="AS134" ca="1">IF(AS$31&gt;$AL134,0,IF(ISERROR(OFFSET($E$31,0,SMALL(IF($E134:$X134&gt;0,COLUMN($A:$T),""),AS$31)-1)),0,OFFSET($E$31,0,SMALL(IF($E134:$X134&gt;0,COLUMN($A:$T),""),AS$31)-1)))</f>
        <v>防御</v>
      </c>
      <c r="AT134" s="5">
        <f t="array" aca="1" ref="AT134" ca="1">IF(AS$31&gt;$AL134,0,IF(ISERROR(INDEX($E134:$X134,,SMALL(IF($E134:$X134&gt;0,COLUMN($A:$T),""),AT$31))),0,INDEX($E134:$X134,,SMALL(IF($E134:$X134&gt;0,COLUMN($A:$T),""),AT$31))))</f>
        <v>22.942569150779896</v>
      </c>
      <c r="AU134" s="5" t="str">
        <f t="array" aca="1" ref="AU134" ca="1">IF(AU$31&gt;$AL134,0,IF(ISERROR(OFFSET($E$31,0,SMALL(IF($E134:$X134&gt;0,COLUMN($A:$T),""),AU$31)-1)),0,OFFSET($E$31,0,SMALL(IF($E134:$X134&gt;0,COLUMN($A:$T),""),AU$31)-1)))</f>
        <v>命中值</v>
      </c>
      <c r="AV134" s="5">
        <f t="array" aca="1" ref="AV134" ca="1">IF(AU$31&gt;$AL134,0,IF(ISERROR(INDEX($E134:$X134,,SMALL(IF($E134:$X134&gt;0,COLUMN($A:$T),""),AV$31))),0,INDEX($E134:$X134,,SMALL(IF($E134:$X134&gt;0,COLUMN($A:$T),""),AV$31))))</f>
        <v>83.333333333333314</v>
      </c>
      <c r="AW134" s="5" t="str">
        <f t="array" aca="1" ref="AW134" ca="1">IF(AW$31&gt;$AL134,0,IF(ISERROR(OFFSET($E$31,0,SMALL(IF($E134:$X134&gt;0,COLUMN($A:$T),""),AW$31)-1)),0,OFFSET($E$31,0,SMALL(IF($E134:$X134&gt;0,COLUMN($A:$T),""),AW$31)-1)))</f>
        <v>暴击值</v>
      </c>
      <c r="AX134" s="5">
        <f t="array" aca="1" ref="AX134" ca="1">IF(AW$31&gt;$AL134,0,IF(ISERROR(INDEX($E134:$X134,,SMALL(IF($E134:$X134&gt;0,COLUMN($A:$T),""),AX$31))),0,INDEX($E134:$X134,,SMALL(IF($E134:$X134&gt;0,COLUMN($A:$T),""),AX$31))))</f>
        <v>59.259259259259267</v>
      </c>
      <c r="AY134" s="5">
        <f t="array" aca="1" ref="AY134" ca="1">IF(AY$31&gt;$AL134,0,IF(ISERROR(OFFSET($E$31,0,SMALL(IF($E134:$X134&gt;0,COLUMN($A:$T),""),AY$31)-1)),0,OFFSET($E$31,0,SMALL(IF($E134:$X134&gt;0,COLUMN($A:$T),""),AY$31)-1)))</f>
        <v>0</v>
      </c>
      <c r="AZ134" s="5">
        <f t="array" ref="AZ134">IF(AY$31&gt;$AL134,0,IF(ISERROR(INDEX($E134:$X134,,SMALL(IF($E134:$X134&gt;0,COLUMN($A:$T),""),AZ$31))),0,INDEX($E134:$X134,,SMALL(IF($E134:$X134&gt;0,COLUMN($A:$T),""),AZ$31))))</f>
        <v>0</v>
      </c>
      <c r="BA134" s="5">
        <f t="array" aca="1" ref="BA134" ca="1">IF(BA$31&gt;$AL134,0,IF(ISERROR(OFFSET($E$31,0,SMALL(IF($E134:$X134&gt;0,COLUMN($A:$T),""),BA$31)-1)),0,OFFSET($E$31,0,SMALL(IF($E134:$X134&gt;0,COLUMN($A:$T),""),BA$31)-1)))</f>
        <v>0</v>
      </c>
      <c r="BB134" s="5">
        <f t="array" ref="BB134">IF(BA$31&gt;$AL134,0,IF(ISERROR(INDEX($E134:$X134,,SMALL(IF($E134:$X134&gt;0,COLUMN($A:$T),""),BB$31))),0,INDEX($E134:$X134,,SMALL(IF($E134:$X134&gt;0,COLUMN($A:$T),""),BB$31))))</f>
        <v>0</v>
      </c>
      <c r="BC134" s="5">
        <f t="array" aca="1" ref="BC134" ca="1">IF(BC$31&gt;$AL134,0,IF(ISERROR(OFFSET($E$31,0,SMALL(IF($E134:$X134&gt;0,COLUMN($A:$T),""),BC$31)-1)),0,OFFSET($E$31,0,SMALL(IF($E134:$X134&gt;0,COLUMN($A:$T),""),BC$31)-1)))</f>
        <v>0</v>
      </c>
      <c r="BD134" s="5">
        <f t="array" ref="BD134">IF(BC$31&gt;$AL134,0,IF(ISERROR(INDEX($E134:$X134,,SMALL(IF($E134:$X134&gt;0,COLUMN($A:$T),""),BD$31))),0,INDEX($E134:$X134,,SMALL(IF($E134:$X134&gt;0,COLUMN($A:$T),""),BD$31))))</f>
        <v>0</v>
      </c>
      <c r="BE134" s="5">
        <f t="array" aca="1" ref="BE134" ca="1">IF(BE$31&gt;$AL134,0,IF(ISERROR(OFFSET($E$31,0,SMALL(IF($E134:$X134&gt;0,COLUMN($A:$T),""),BE$31)-1)),0,OFFSET($E$31,0,SMALL(IF($E134:$X134&gt;0,COLUMN($A:$T),""),BE$31)-1)))</f>
        <v>0</v>
      </c>
      <c r="BF134" s="5">
        <f t="array" ref="BF134">IF(BE$31&gt;$AL134,0,IF(ISERROR(INDEX($E134:$X134,,SMALL(IF($E134:$X134&gt;0,COLUMN($A:$T),""),BF$31))),0,INDEX($E134:$X134,,SMALL(IF($E134:$X134&gt;0,COLUMN($A:$T),""),BF$31))))</f>
        <v>0</v>
      </c>
      <c r="BH134">
        <f ca="1">SUMPRODUCT(E134:N134,定义数据!$G$14:$P$14)</f>
        <v>464.77428591800367</v>
      </c>
      <c r="BI134">
        <f ca="1">SUMPRODUCT(O134:X134,定义数据!$G$14:$P$14)</f>
        <v>253.07748080853392</v>
      </c>
      <c r="BJ134" s="5">
        <f t="shared" ca="1" si="100"/>
        <v>717.85176672653756</v>
      </c>
      <c r="BK134" s="5" t="str">
        <f>D134&amp;B134&amp;VLOOKUP(C134,定义数据!$E$1:$F$7,2,FALSE)</f>
        <v>6040</v>
      </c>
    </row>
    <row r="135" spans="1:63" x14ac:dyDescent="0.15">
      <c r="A135" s="17" t="str">
        <f>D135&amp;B135&amp;VLOOKUP(C135,定义数据!$E$1:$F$7,2,FALSE)</f>
        <v>6041</v>
      </c>
      <c r="B135" s="18">
        <v>4</v>
      </c>
      <c r="C135" s="18" t="s">
        <v>136</v>
      </c>
      <c r="D135" s="24">
        <v>60</v>
      </c>
      <c r="E135" s="56">
        <f t="shared" ca="1" si="111"/>
        <v>6585.2908497332119</v>
      </c>
      <c r="F135" s="56">
        <f t="shared" ca="1" si="112"/>
        <v>0</v>
      </c>
      <c r="G135" s="56">
        <f t="shared" ca="1" si="113"/>
        <v>144.53818564991332</v>
      </c>
      <c r="H135" s="56">
        <f t="shared" ca="1" si="114"/>
        <v>0</v>
      </c>
      <c r="I135" s="56">
        <f t="shared" ca="1" si="115"/>
        <v>0</v>
      </c>
      <c r="J135" s="56">
        <f t="shared" ca="1" si="116"/>
        <v>0</v>
      </c>
      <c r="K135" s="56">
        <f t="shared" ca="1" si="117"/>
        <v>0</v>
      </c>
      <c r="L135" s="56">
        <f t="shared" ca="1" si="118"/>
        <v>0</v>
      </c>
      <c r="M135" s="56">
        <f t="shared" ca="1" si="119"/>
        <v>0</v>
      </c>
      <c r="N135" s="56">
        <f t="shared" ca="1" si="120"/>
        <v>0</v>
      </c>
      <c r="O135" s="65">
        <f t="shared" ca="1" si="101"/>
        <v>2090.5685237248294</v>
      </c>
      <c r="P135" s="65">
        <f t="shared" ca="1" si="102"/>
        <v>0</v>
      </c>
      <c r="Q135" s="65">
        <f t="shared" ca="1" si="103"/>
        <v>68.827707452339695</v>
      </c>
      <c r="R135" s="65">
        <f t="shared" ca="1" si="104"/>
        <v>50</v>
      </c>
      <c r="S135" s="65">
        <f t="shared" ca="1" si="105"/>
        <v>0</v>
      </c>
      <c r="T135" s="65">
        <f t="shared" ca="1" si="106"/>
        <v>0</v>
      </c>
      <c r="U135" s="65">
        <f t="shared" ca="1" si="107"/>
        <v>0</v>
      </c>
      <c r="V135" s="65">
        <f t="shared" ca="1" si="108"/>
        <v>49.382716049382715</v>
      </c>
      <c r="W135" s="65">
        <f t="shared" ca="1" si="109"/>
        <v>0</v>
      </c>
      <c r="X135" s="65">
        <f t="shared" ca="1" si="110"/>
        <v>0</v>
      </c>
      <c r="Y135" s="21" t="s">
        <v>95</v>
      </c>
      <c r="Z135" s="15">
        <f>VLOOKUP($D135&amp;$B135,[3]!装备基础属性表,P$30,FALSE)</f>
        <v>15679.263927936221</v>
      </c>
      <c r="AA135" s="15">
        <f>VLOOKUP($D135&amp;$B135,[3]!装备基础属性表,Q$30,FALSE)</f>
        <v>796.3954652406419</v>
      </c>
      <c r="AB135" s="15">
        <f>VLOOKUP($D135&amp;$B135,[3]!装备基础属性表,R$30,FALSE)</f>
        <v>344.13853726169845</v>
      </c>
      <c r="AC135" s="15">
        <f>VLOOKUP($D135&amp;$B135,[3]!装备基础属性表,S$30,FALSE)</f>
        <v>624.99999999999989</v>
      </c>
      <c r="AD135" s="15">
        <f>VLOOKUP($D135&amp;$B135,[3]!装备基础属性表,T$30,FALSE)</f>
        <v>624.99999999999989</v>
      </c>
      <c r="AE135" s="15">
        <f>VLOOKUP($D135&amp;$B135,[3]!装备基础属性表,U$30,FALSE)</f>
        <v>370.37037037037038</v>
      </c>
      <c r="AF135" s="15">
        <f>VLOOKUP($D135&amp;$B135,[3]!装备基础属性表,V$30,FALSE)</f>
        <v>0</v>
      </c>
      <c r="AG135" s="15">
        <f>VLOOKUP($D135&amp;$B135,[3]!装备基础属性表,W$30,FALSE)</f>
        <v>370.37037037037038</v>
      </c>
      <c r="AH135" s="15">
        <f>VLOOKUP($D135&amp;$B135,[3]!装备基础属性表,X$30,FALSE)</f>
        <v>0</v>
      </c>
      <c r="AI135" s="15">
        <f>VLOOKUP($D135&amp;$B135,[3]!装备基础属性表,Y$30,FALSE)</f>
        <v>0</v>
      </c>
      <c r="AJ135" s="16" t="str">
        <f>B135&amp;VLOOKUP(C135,定义数据!$E$1:$F$7,2,FALSE)&amp;D135</f>
        <v>4160</v>
      </c>
      <c r="AK135" s="14">
        <f t="shared" si="29"/>
        <v>19</v>
      </c>
      <c r="AL135" s="5">
        <f t="shared" si="99"/>
        <v>6</v>
      </c>
      <c r="AM135" s="5" t="str">
        <f t="array" aca="1" ref="AM135" ca="1">IF(AM$31&gt;$AL135,0,IF(ISERROR(OFFSET($E$31,0,SMALL(IF($E135:$X135&gt;0,COLUMN($A:$T),""),AM$31)-1)),0,OFFSET($E$31,0,SMALL(IF($E135:$X135&gt;0,COLUMN($A:$T),""),AM$31)-1)))</f>
        <v>生命</v>
      </c>
      <c r="AN135" s="5">
        <f t="array" aca="1" ref="AN135" ca="1">IF(AM$31&gt;$AL135,0,IF(ISERROR(INDEX($E135:$X135,,SMALL(IF($E135:$X135&gt;0,COLUMN($A:$T),""),AN$31))),0,INDEX($E135:$X135,,SMALL(IF($E135:$X135&gt;0,COLUMN($A:$T),""),AN$31))))</f>
        <v>6585.2908497332119</v>
      </c>
      <c r="AO135" s="5" t="str">
        <f t="array" aca="1" ref="AO135" ca="1">IF(AO$31&gt;$AL135,0,IF(ISERROR(OFFSET($E$31,0,SMALL(IF($E135:$X135&gt;0,COLUMN($A:$T),""),AO$31)-1)),0,OFFSET($E$31,0,SMALL(IF($E135:$X135&gt;0,COLUMN($A:$T),""),AO$31)-1)))</f>
        <v>防御</v>
      </c>
      <c r="AP135" s="5">
        <f t="array" aca="1" ref="AP135" ca="1">IF(AO$31&gt;$AL135,0,IF(ISERROR(INDEX($E135:$X135,,SMALL(IF($E135:$X135&gt;0,COLUMN($A:$T),""),AP$31))),0,INDEX($E135:$X135,,SMALL(IF($E135:$X135&gt;0,COLUMN($A:$T),""),AP$31))))</f>
        <v>144.53818564991332</v>
      </c>
      <c r="AQ135" s="5" t="str">
        <f t="array" aca="1" ref="AQ135" ca="1">IF(AQ$31&gt;$AL135,0,IF(ISERROR(OFFSET($E$31,0,SMALL(IF($E135:$X135&gt;0,COLUMN($A:$T),""),AQ$31)-1)),0,OFFSET($E$31,0,SMALL(IF($E135:$X135&gt;0,COLUMN($A:$T),""),AQ$31)-1)))</f>
        <v>生命</v>
      </c>
      <c r="AR135" s="5">
        <f t="array" aca="1" ref="AR135" ca="1">IF(AQ$31&gt;$AL135,0,IF(ISERROR(INDEX($E135:$X135,,SMALL(IF($E135:$X135&gt;0,COLUMN($A:$T),""),AR$31))),0,INDEX($E135:$X135,,SMALL(IF($E135:$X135&gt;0,COLUMN($A:$T),""),AR$31))))</f>
        <v>2090.5685237248294</v>
      </c>
      <c r="AS135" s="5" t="str">
        <f t="array" aca="1" ref="AS135" ca="1">IF(AS$31&gt;$AL135,0,IF(ISERROR(OFFSET($E$31,0,SMALL(IF($E135:$X135&gt;0,COLUMN($A:$T),""),AS$31)-1)),0,OFFSET($E$31,0,SMALL(IF($E135:$X135&gt;0,COLUMN($A:$T),""),AS$31)-1)))</f>
        <v>防御</v>
      </c>
      <c r="AT135" s="5">
        <f t="array" aca="1" ref="AT135" ca="1">IF(AS$31&gt;$AL135,0,IF(ISERROR(INDEX($E135:$X135,,SMALL(IF($E135:$X135&gt;0,COLUMN($A:$T),""),AT$31))),0,INDEX($E135:$X135,,SMALL(IF($E135:$X135&gt;0,COLUMN($A:$T),""),AT$31))))</f>
        <v>68.827707452339695</v>
      </c>
      <c r="AU135" s="5" t="str">
        <f t="array" aca="1" ref="AU135" ca="1">IF(AU$31&gt;$AL135,0,IF(ISERROR(OFFSET($E$31,0,SMALL(IF($E135:$X135&gt;0,COLUMN($A:$T),""),AU$31)-1)),0,OFFSET($E$31,0,SMALL(IF($E135:$X135&gt;0,COLUMN($A:$T),""),AU$31)-1)))</f>
        <v>闪避值</v>
      </c>
      <c r="AV135" s="5">
        <f t="array" aca="1" ref="AV135" ca="1">IF(AU$31&gt;$AL135,0,IF(ISERROR(INDEX($E135:$X135,,SMALL(IF($E135:$X135&gt;0,COLUMN($A:$T),""),AV$31))),0,INDEX($E135:$X135,,SMALL(IF($E135:$X135&gt;0,COLUMN($A:$T),""),AV$31))))</f>
        <v>50</v>
      </c>
      <c r="AW135" s="5" t="str">
        <f t="array" aca="1" ref="AW135" ca="1">IF(AW$31&gt;$AL135,0,IF(ISERROR(OFFSET($E$31,0,SMALL(IF($E135:$X135&gt;0,COLUMN($A:$T),""),AW$31)-1)),0,OFFSET($E$31,0,SMALL(IF($E135:$X135&gt;0,COLUMN($A:$T),""),AW$31)-1)))</f>
        <v>韧性值</v>
      </c>
      <c r="AX135" s="5">
        <f t="array" aca="1" ref="AX135" ca="1">IF(AW$31&gt;$AL135,0,IF(ISERROR(INDEX($E135:$X135,,SMALL(IF($E135:$X135&gt;0,COLUMN($A:$T),""),AX$31))),0,INDEX($E135:$X135,,SMALL(IF($E135:$X135&gt;0,COLUMN($A:$T),""),AX$31))))</f>
        <v>49.382716049382715</v>
      </c>
      <c r="AY135" s="5">
        <f t="array" aca="1" ref="AY135" ca="1">IF(AY$31&gt;$AL135,0,IF(ISERROR(OFFSET($E$31,0,SMALL(IF($E135:$X135&gt;0,COLUMN($A:$T),""),AY$31)-1)),0,OFFSET($E$31,0,SMALL(IF($E135:$X135&gt;0,COLUMN($A:$T),""),AY$31)-1)))</f>
        <v>0</v>
      </c>
      <c r="AZ135" s="5">
        <f t="array" ref="AZ135">IF(AY$31&gt;$AL135,0,IF(ISERROR(INDEX($E135:$X135,,SMALL(IF($E135:$X135&gt;0,COLUMN($A:$T),""),AZ$31))),0,INDEX($E135:$X135,,SMALL(IF($E135:$X135&gt;0,COLUMN($A:$T),""),AZ$31))))</f>
        <v>0</v>
      </c>
      <c r="BA135" s="5">
        <f t="array" aca="1" ref="BA135" ca="1">IF(BA$31&gt;$AL135,0,IF(ISERROR(OFFSET($E$31,0,SMALL(IF($E135:$X135&gt;0,COLUMN($A:$T),""),BA$31)-1)),0,OFFSET($E$31,0,SMALL(IF($E135:$X135&gt;0,COLUMN($A:$T),""),BA$31)-1)))</f>
        <v>0</v>
      </c>
      <c r="BB135" s="5">
        <f t="array" ref="BB135">IF(BA$31&gt;$AL135,0,IF(ISERROR(INDEX($E135:$X135,,SMALL(IF($E135:$X135&gt;0,COLUMN($A:$T),""),BB$31))),0,INDEX($E135:$X135,,SMALL(IF($E135:$X135&gt;0,COLUMN($A:$T),""),BB$31))))</f>
        <v>0</v>
      </c>
      <c r="BC135" s="5">
        <f t="array" aca="1" ref="BC135" ca="1">IF(BC$31&gt;$AL135,0,IF(ISERROR(OFFSET($E$31,0,SMALL(IF($E135:$X135&gt;0,COLUMN($A:$T),""),BC$31)-1)),0,OFFSET($E$31,0,SMALL(IF($E135:$X135&gt;0,COLUMN($A:$T),""),BC$31)-1)))</f>
        <v>0</v>
      </c>
      <c r="BD135" s="5">
        <f t="array" ref="BD135">IF(BC$31&gt;$AL135,0,IF(ISERROR(INDEX($E135:$X135,,SMALL(IF($E135:$X135&gt;0,COLUMN($A:$T),""),BD$31))),0,INDEX($E135:$X135,,SMALL(IF($E135:$X135&gt;0,COLUMN($A:$T),""),BD$31))))</f>
        <v>0</v>
      </c>
      <c r="BE135" s="5">
        <f t="array" aca="1" ref="BE135" ca="1">IF(BE$31&gt;$AL135,0,IF(ISERROR(OFFSET($E$31,0,SMALL(IF($E135:$X135&gt;0,COLUMN($A:$T),""),BE$31)-1)),0,OFFSET($E$31,0,SMALL(IF($E135:$X135&gt;0,COLUMN($A:$T),""),BE$31)-1)))</f>
        <v>0</v>
      </c>
      <c r="BF135" s="5">
        <f t="array" ref="BF135">IF(BE$31&gt;$AL135,0,IF(ISERROR(INDEX($E135:$X135,,SMALL(IF($E135:$X135&gt;0,COLUMN($A:$T),""),BF$31))),0,INDEX($E135:$X135,,SMALL(IF($E135:$X135&gt;0,COLUMN($A:$T),""),BF$31))))</f>
        <v>0</v>
      </c>
      <c r="BH135">
        <f ca="1">SUMPRODUCT(E135:N135,定义数据!$G$14:$P$14)</f>
        <v>407.94981963924181</v>
      </c>
      <c r="BI135">
        <f ca="1">SUMPRODUCT(O135:X135,定义数据!$G$14:$P$14)</f>
        <v>178.33933729022178</v>
      </c>
      <c r="BJ135" s="5">
        <f t="shared" ca="1" si="100"/>
        <v>586.28915692946362</v>
      </c>
      <c r="BK135" s="5" t="str">
        <f>D135&amp;B135&amp;VLOOKUP(C135,定义数据!$E$1:$F$7,2,FALSE)</f>
        <v>6041</v>
      </c>
    </row>
    <row r="136" spans="1:63" x14ac:dyDescent="0.15">
      <c r="A136" s="17" t="str">
        <f>D136&amp;B136&amp;VLOOKUP(C136,定义数据!$E$1:$F$7,2,FALSE)</f>
        <v>6042</v>
      </c>
      <c r="B136" s="18">
        <v>4</v>
      </c>
      <c r="C136" s="18" t="s">
        <v>137</v>
      </c>
      <c r="D136" s="24">
        <v>60</v>
      </c>
      <c r="E136" s="56">
        <f t="shared" ca="1" si="111"/>
        <v>0</v>
      </c>
      <c r="F136" s="56">
        <f t="shared" ca="1" si="112"/>
        <v>0</v>
      </c>
      <c r="G136" s="56">
        <f t="shared" ca="1" si="113"/>
        <v>96.358790433275573</v>
      </c>
      <c r="H136" s="56">
        <f t="shared" ca="1" si="114"/>
        <v>145.83333333333329</v>
      </c>
      <c r="I136" s="56">
        <f t="shared" ca="1" si="115"/>
        <v>0</v>
      </c>
      <c r="J136" s="56">
        <f t="shared" ca="1" si="116"/>
        <v>0</v>
      </c>
      <c r="K136" s="56">
        <f t="shared" ca="1" si="117"/>
        <v>0</v>
      </c>
      <c r="L136" s="56">
        <f t="shared" ca="1" si="118"/>
        <v>0</v>
      </c>
      <c r="M136" s="56">
        <f t="shared" ca="1" si="119"/>
        <v>0</v>
      </c>
      <c r="N136" s="56">
        <f t="shared" ca="1" si="120"/>
        <v>0</v>
      </c>
      <c r="O136" s="65">
        <f t="shared" ca="1" si="101"/>
        <v>1045.2842618624147</v>
      </c>
      <c r="P136" s="65">
        <f t="shared" ca="1" si="102"/>
        <v>0</v>
      </c>
      <c r="Q136" s="65">
        <f t="shared" ca="1" si="103"/>
        <v>22.942569150779896</v>
      </c>
      <c r="R136" s="65">
        <f t="shared" ca="1" si="104"/>
        <v>50</v>
      </c>
      <c r="S136" s="65">
        <f t="shared" ca="1" si="105"/>
        <v>0</v>
      </c>
      <c r="T136" s="65">
        <f t="shared" ca="1" si="106"/>
        <v>0</v>
      </c>
      <c r="U136" s="65">
        <f t="shared" ca="1" si="107"/>
        <v>0</v>
      </c>
      <c r="V136" s="65">
        <f t="shared" ca="1" si="108"/>
        <v>49.382716049382715</v>
      </c>
      <c r="W136" s="65">
        <f t="shared" ca="1" si="109"/>
        <v>0</v>
      </c>
      <c r="X136" s="65">
        <f t="shared" ca="1" si="110"/>
        <v>0</v>
      </c>
      <c r="Y136" s="21" t="s">
        <v>96</v>
      </c>
      <c r="Z136" s="15">
        <f>VLOOKUP($D136&amp;$B136,[3]!装备基础属性表,P$30,FALSE)</f>
        <v>15679.263927936221</v>
      </c>
      <c r="AA136" s="15">
        <f>VLOOKUP($D136&amp;$B136,[3]!装备基础属性表,Q$30,FALSE)</f>
        <v>796.3954652406419</v>
      </c>
      <c r="AB136" s="15">
        <f>VLOOKUP($D136&amp;$B136,[3]!装备基础属性表,R$30,FALSE)</f>
        <v>344.13853726169845</v>
      </c>
      <c r="AC136" s="15">
        <f>VLOOKUP($D136&amp;$B136,[3]!装备基础属性表,S$30,FALSE)</f>
        <v>624.99999999999989</v>
      </c>
      <c r="AD136" s="15">
        <f>VLOOKUP($D136&amp;$B136,[3]!装备基础属性表,T$30,FALSE)</f>
        <v>624.99999999999989</v>
      </c>
      <c r="AE136" s="15">
        <f>VLOOKUP($D136&amp;$B136,[3]!装备基础属性表,U$30,FALSE)</f>
        <v>370.37037037037038</v>
      </c>
      <c r="AF136" s="15">
        <f>VLOOKUP($D136&amp;$B136,[3]!装备基础属性表,V$30,FALSE)</f>
        <v>0</v>
      </c>
      <c r="AG136" s="15">
        <f>VLOOKUP($D136&amp;$B136,[3]!装备基础属性表,W$30,FALSE)</f>
        <v>370.37037037037038</v>
      </c>
      <c r="AH136" s="15">
        <f>VLOOKUP($D136&amp;$B136,[3]!装备基础属性表,X$30,FALSE)</f>
        <v>0</v>
      </c>
      <c r="AI136" s="15">
        <f>VLOOKUP($D136&amp;$B136,[3]!装备基础属性表,Y$30,FALSE)</f>
        <v>0</v>
      </c>
      <c r="AJ136" s="16" t="str">
        <f>B136&amp;VLOOKUP(C136,定义数据!$E$1:$F$7,2,FALSE)&amp;D136</f>
        <v>4260</v>
      </c>
      <c r="AK136" s="14">
        <f t="shared" si="29"/>
        <v>19</v>
      </c>
      <c r="AL136" s="5">
        <f t="shared" si="99"/>
        <v>6</v>
      </c>
      <c r="AM136" s="5" t="str">
        <f t="array" aca="1" ref="AM136" ca="1">IF(AM$31&gt;$AL136,0,IF(ISERROR(OFFSET($E$31,0,SMALL(IF($E136:$X136&gt;0,COLUMN($A:$T),""),AM$31)-1)),0,OFFSET($E$31,0,SMALL(IF($E136:$X136&gt;0,COLUMN($A:$T),""),AM$31)-1)))</f>
        <v>防御</v>
      </c>
      <c r="AN136" s="5">
        <f t="array" aca="1" ref="AN136" ca="1">IF(AM$31&gt;$AL136,0,IF(ISERROR(INDEX($E136:$X136,,SMALL(IF($E136:$X136&gt;0,COLUMN($A:$T),""),AN$31))),0,INDEX($E136:$X136,,SMALL(IF($E136:$X136&gt;0,COLUMN($A:$T),""),AN$31))))</f>
        <v>96.358790433275573</v>
      </c>
      <c r="AO136" s="5" t="str">
        <f t="array" aca="1" ref="AO136" ca="1">IF(AO$31&gt;$AL136,0,IF(ISERROR(OFFSET($E$31,0,SMALL(IF($E136:$X136&gt;0,COLUMN($A:$T),""),AO$31)-1)),0,OFFSET($E$31,0,SMALL(IF($E136:$X136&gt;0,COLUMN($A:$T),""),AO$31)-1)))</f>
        <v>闪避值</v>
      </c>
      <c r="AP136" s="5">
        <f t="array" aca="1" ref="AP136" ca="1">IF(AO$31&gt;$AL136,0,IF(ISERROR(INDEX($E136:$X136,,SMALL(IF($E136:$X136&gt;0,COLUMN($A:$T),""),AP$31))),0,INDEX($E136:$X136,,SMALL(IF($E136:$X136&gt;0,COLUMN($A:$T),""),AP$31))))</f>
        <v>145.83333333333329</v>
      </c>
      <c r="AQ136" s="5" t="str">
        <f t="array" aca="1" ref="AQ136" ca="1">IF(AQ$31&gt;$AL136,0,IF(ISERROR(OFFSET($E$31,0,SMALL(IF($E136:$X136&gt;0,COLUMN($A:$T),""),AQ$31)-1)),0,OFFSET($E$31,0,SMALL(IF($E136:$X136&gt;0,COLUMN($A:$T),""),AQ$31)-1)))</f>
        <v>生命</v>
      </c>
      <c r="AR136" s="5">
        <f t="array" aca="1" ref="AR136" ca="1">IF(AQ$31&gt;$AL136,0,IF(ISERROR(INDEX($E136:$X136,,SMALL(IF($E136:$X136&gt;0,COLUMN($A:$T),""),AR$31))),0,INDEX($E136:$X136,,SMALL(IF($E136:$X136&gt;0,COLUMN($A:$T),""),AR$31))))</f>
        <v>1045.2842618624147</v>
      </c>
      <c r="AS136" s="5" t="str">
        <f t="array" aca="1" ref="AS136" ca="1">IF(AS$31&gt;$AL136,0,IF(ISERROR(OFFSET($E$31,0,SMALL(IF($E136:$X136&gt;0,COLUMN($A:$T),""),AS$31)-1)),0,OFFSET($E$31,0,SMALL(IF($E136:$X136&gt;0,COLUMN($A:$T),""),AS$31)-1)))</f>
        <v>防御</v>
      </c>
      <c r="AT136" s="5">
        <f t="array" aca="1" ref="AT136" ca="1">IF(AS$31&gt;$AL136,0,IF(ISERROR(INDEX($E136:$X136,,SMALL(IF($E136:$X136&gt;0,COLUMN($A:$T),""),AT$31))),0,INDEX($E136:$X136,,SMALL(IF($E136:$X136&gt;0,COLUMN($A:$T),""),AT$31))))</f>
        <v>22.942569150779896</v>
      </c>
      <c r="AU136" s="5" t="str">
        <f t="array" aca="1" ref="AU136" ca="1">IF(AU$31&gt;$AL136,0,IF(ISERROR(OFFSET($E$31,0,SMALL(IF($E136:$X136&gt;0,COLUMN($A:$T),""),AU$31)-1)),0,OFFSET($E$31,0,SMALL(IF($E136:$X136&gt;0,COLUMN($A:$T),""),AU$31)-1)))</f>
        <v>闪避值</v>
      </c>
      <c r="AV136" s="5">
        <f t="array" aca="1" ref="AV136" ca="1">IF(AU$31&gt;$AL136,0,IF(ISERROR(INDEX($E136:$X136,,SMALL(IF($E136:$X136&gt;0,COLUMN($A:$T),""),AV$31))),0,INDEX($E136:$X136,,SMALL(IF($E136:$X136&gt;0,COLUMN($A:$T),""),AV$31))))</f>
        <v>50</v>
      </c>
      <c r="AW136" s="5" t="str">
        <f t="array" aca="1" ref="AW136" ca="1">IF(AW$31&gt;$AL136,0,IF(ISERROR(OFFSET($E$31,0,SMALL(IF($E136:$X136&gt;0,COLUMN($A:$T),""),AW$31)-1)),0,OFFSET($E$31,0,SMALL(IF($E136:$X136&gt;0,COLUMN($A:$T),""),AW$31)-1)))</f>
        <v>韧性值</v>
      </c>
      <c r="AX136" s="5">
        <f t="array" aca="1" ref="AX136" ca="1">IF(AW$31&gt;$AL136,0,IF(ISERROR(INDEX($E136:$X136,,SMALL(IF($E136:$X136&gt;0,COLUMN($A:$T),""),AX$31))),0,INDEX($E136:$X136,,SMALL(IF($E136:$X136&gt;0,COLUMN($A:$T),""),AX$31))))</f>
        <v>49.382716049382715</v>
      </c>
      <c r="AY136" s="5">
        <f t="array" aca="1" ref="AY136" ca="1">IF(AY$31&gt;$AL136,0,IF(ISERROR(OFFSET($E$31,0,SMALL(IF($E136:$X136&gt;0,COLUMN($A:$T),""),AY$31)-1)),0,OFFSET($E$31,0,SMALL(IF($E136:$X136&gt;0,COLUMN($A:$T),""),AY$31)-1)))</f>
        <v>0</v>
      </c>
      <c r="AZ136" s="5">
        <f t="array" ref="AZ136">IF(AY$31&gt;$AL136,0,IF(ISERROR(INDEX($E136:$X136,,SMALL(IF($E136:$X136&gt;0,COLUMN($A:$T),""),AZ$31))),0,INDEX($E136:$X136,,SMALL(IF($E136:$X136&gt;0,COLUMN($A:$T),""),AZ$31))))</f>
        <v>0</v>
      </c>
      <c r="BA136" s="5">
        <f t="array" aca="1" ref="BA136" ca="1">IF(BA$31&gt;$AL136,0,IF(ISERROR(OFFSET($E$31,0,SMALL(IF($E136:$X136&gt;0,COLUMN($A:$T),""),BA$31)-1)),0,OFFSET($E$31,0,SMALL(IF($E136:$X136&gt;0,COLUMN($A:$T),""),BA$31)-1)))</f>
        <v>0</v>
      </c>
      <c r="BB136" s="5">
        <f t="array" ref="BB136">IF(BA$31&gt;$AL136,0,IF(ISERROR(INDEX($E136:$X136,,SMALL(IF($E136:$X136&gt;0,COLUMN($A:$T),""),BB$31))),0,INDEX($E136:$X136,,SMALL(IF($E136:$X136&gt;0,COLUMN($A:$T),""),BB$31))))</f>
        <v>0</v>
      </c>
      <c r="BC136" s="5">
        <f t="array" aca="1" ref="BC136" ca="1">IF(BC$31&gt;$AL136,0,IF(ISERROR(OFFSET($E$31,0,SMALL(IF($E136:$X136&gt;0,COLUMN($A:$T),""),BC$31)-1)),0,OFFSET($E$31,0,SMALL(IF($E136:$X136&gt;0,COLUMN($A:$T),""),BC$31)-1)))</f>
        <v>0</v>
      </c>
      <c r="BD136" s="5">
        <f t="array" ref="BD136">IF(BC$31&gt;$AL136,0,IF(ISERROR(INDEX($E136:$X136,,SMALL(IF($E136:$X136&gt;0,COLUMN($A:$T),""),BD$31))),0,INDEX($E136:$X136,,SMALL(IF($E136:$X136&gt;0,COLUMN($A:$T),""),BD$31))))</f>
        <v>0</v>
      </c>
      <c r="BE136" s="5">
        <f t="array" aca="1" ref="BE136" ca="1">IF(BE$31&gt;$AL136,0,IF(ISERROR(OFFSET($E$31,0,SMALL(IF($E136:$X136&gt;0,COLUMN($A:$T),""),BE$31)-1)),0,OFFSET($E$31,0,SMALL(IF($E136:$X136&gt;0,COLUMN($A:$T),""),BE$31)-1)))</f>
        <v>0</v>
      </c>
      <c r="BF136" s="5">
        <f t="array" ref="BF136">IF(BE$31&gt;$AL136,0,IF(ISERROR(INDEX($E136:$X136,,SMALL(IF($E136:$X136&gt;0,COLUMN($A:$T),""),BF$31))),0,INDEX($E136:$X136,,SMALL(IF($E136:$X136&gt;0,COLUMN($A:$T),""),BF$31))))</f>
        <v>0</v>
      </c>
      <c r="BH136">
        <f ca="1">SUMPRODUCT(E136:N136,定义数据!$G$14:$P$14)</f>
        <v>145.94212376660889</v>
      </c>
      <c r="BI136">
        <f ca="1">SUMPRODUCT(O136:X136,定义数据!$G$14:$P$14)</f>
        <v>90.642828514165373</v>
      </c>
      <c r="BJ136" s="5">
        <f t="shared" ca="1" si="100"/>
        <v>236.58495228077425</v>
      </c>
      <c r="BK136" s="5" t="str">
        <f>D136&amp;B136&amp;VLOOKUP(C136,定义数据!$E$1:$F$7,2,FALSE)</f>
        <v>6042</v>
      </c>
    </row>
    <row r="137" spans="1:63" x14ac:dyDescent="0.15">
      <c r="A137" s="17" t="str">
        <f>D137&amp;B137&amp;VLOOKUP(C137,定义数据!$E$1:$F$7,2,FALSE)</f>
        <v>6045</v>
      </c>
      <c r="B137" s="18">
        <v>4</v>
      </c>
      <c r="C137" s="18" t="s">
        <v>138</v>
      </c>
      <c r="D137" s="24">
        <v>60</v>
      </c>
      <c r="E137" s="56">
        <f t="shared" ca="1" si="111"/>
        <v>2195.0969499110711</v>
      </c>
      <c r="F137" s="56">
        <f t="shared" ca="1" si="112"/>
        <v>0</v>
      </c>
      <c r="G137" s="56">
        <f t="shared" ca="1" si="113"/>
        <v>0</v>
      </c>
      <c r="H137" s="56">
        <f t="shared" ca="1" si="114"/>
        <v>291.66666666666657</v>
      </c>
      <c r="I137" s="56">
        <f t="shared" ca="1" si="115"/>
        <v>0</v>
      </c>
      <c r="J137" s="56">
        <f t="shared" ca="1" si="116"/>
        <v>0</v>
      </c>
      <c r="K137" s="56">
        <f t="shared" ca="1" si="117"/>
        <v>0</v>
      </c>
      <c r="L137" s="56">
        <f t="shared" ca="1" si="118"/>
        <v>0</v>
      </c>
      <c r="M137" s="56">
        <f t="shared" ca="1" si="119"/>
        <v>0</v>
      </c>
      <c r="N137" s="56">
        <f t="shared" ca="1" si="120"/>
        <v>0</v>
      </c>
      <c r="O137" s="65">
        <f t="shared" ca="1" si="101"/>
        <v>1045.2842618624147</v>
      </c>
      <c r="P137" s="65">
        <f t="shared" ca="1" si="102"/>
        <v>0</v>
      </c>
      <c r="Q137" s="65">
        <f t="shared" ca="1" si="103"/>
        <v>0</v>
      </c>
      <c r="R137" s="65">
        <f t="shared" ca="1" si="104"/>
        <v>100</v>
      </c>
      <c r="S137" s="65">
        <f t="shared" ca="1" si="105"/>
        <v>83.333333333333314</v>
      </c>
      <c r="T137" s="65">
        <f t="shared" ca="1" si="106"/>
        <v>29.629629629629633</v>
      </c>
      <c r="U137" s="65">
        <f t="shared" ca="1" si="107"/>
        <v>0</v>
      </c>
      <c r="V137" s="65">
        <f t="shared" ca="1" si="108"/>
        <v>0</v>
      </c>
      <c r="W137" s="65">
        <f t="shared" ca="1" si="109"/>
        <v>0</v>
      </c>
      <c r="X137" s="65">
        <f t="shared" ca="1" si="110"/>
        <v>0</v>
      </c>
      <c r="Y137" s="21"/>
      <c r="Z137" s="15">
        <f>VLOOKUP($D137&amp;$B137,[3]!装备基础属性表,P$30,FALSE)</f>
        <v>15679.263927936221</v>
      </c>
      <c r="AA137" s="15">
        <f>VLOOKUP($D137&amp;$B137,[3]!装备基础属性表,Q$30,FALSE)</f>
        <v>796.3954652406419</v>
      </c>
      <c r="AB137" s="15">
        <f>VLOOKUP($D137&amp;$B137,[3]!装备基础属性表,R$30,FALSE)</f>
        <v>344.13853726169845</v>
      </c>
      <c r="AC137" s="15">
        <f>VLOOKUP($D137&amp;$B137,[3]!装备基础属性表,S$30,FALSE)</f>
        <v>624.99999999999989</v>
      </c>
      <c r="AD137" s="15">
        <f>VLOOKUP($D137&amp;$B137,[3]!装备基础属性表,T$30,FALSE)</f>
        <v>624.99999999999989</v>
      </c>
      <c r="AE137" s="15">
        <f>VLOOKUP($D137&amp;$B137,[3]!装备基础属性表,U$30,FALSE)</f>
        <v>370.37037037037038</v>
      </c>
      <c r="AF137" s="15">
        <f>VLOOKUP($D137&amp;$B137,[3]!装备基础属性表,V$30,FALSE)</f>
        <v>0</v>
      </c>
      <c r="AG137" s="15">
        <f>VLOOKUP($D137&amp;$B137,[3]!装备基础属性表,W$30,FALSE)</f>
        <v>370.37037037037038</v>
      </c>
      <c r="AH137" s="15">
        <f>VLOOKUP($D137&amp;$B137,[3]!装备基础属性表,X$30,FALSE)</f>
        <v>0</v>
      </c>
      <c r="AI137" s="15">
        <f>VLOOKUP($D137&amp;$B137,[3]!装备基础属性表,Y$30,FALSE)</f>
        <v>0</v>
      </c>
      <c r="AJ137" s="16" t="str">
        <f>B137&amp;VLOOKUP(C137,定义数据!$E$1:$F$7,2,FALSE)&amp;D137</f>
        <v>4560</v>
      </c>
      <c r="AK137" s="14">
        <f t="shared" si="29"/>
        <v>19</v>
      </c>
      <c r="AL137" s="5">
        <f t="shared" si="99"/>
        <v>6</v>
      </c>
      <c r="AM137" s="5" t="str">
        <f t="array" aca="1" ref="AM137" ca="1">IF(AM$31&gt;$AL137,0,IF(ISERROR(OFFSET($E$31,0,SMALL(IF($E137:$X137&gt;0,COLUMN($A:$T),""),AM$31)-1)),0,OFFSET($E$31,0,SMALL(IF($E137:$X137&gt;0,COLUMN($A:$T),""),AM$31)-1)))</f>
        <v>生命</v>
      </c>
      <c r="AN137" s="5">
        <f t="array" aca="1" ref="AN137" ca="1">IF(AM$31&gt;$AL137,0,IF(ISERROR(INDEX($E137:$X137,,SMALL(IF($E137:$X137&gt;0,COLUMN($A:$T),""),AN$31))),0,INDEX($E137:$X137,,SMALL(IF($E137:$X137&gt;0,COLUMN($A:$T),""),AN$31))))</f>
        <v>2195.0969499110711</v>
      </c>
      <c r="AO137" s="5" t="str">
        <f t="array" aca="1" ref="AO137" ca="1">IF(AO$31&gt;$AL137,0,IF(ISERROR(OFFSET($E$31,0,SMALL(IF($E137:$X137&gt;0,COLUMN($A:$T),""),AO$31)-1)),0,OFFSET($E$31,0,SMALL(IF($E137:$X137&gt;0,COLUMN($A:$T),""),AO$31)-1)))</f>
        <v>闪避值</v>
      </c>
      <c r="AP137" s="5">
        <f t="array" aca="1" ref="AP137" ca="1">IF(AO$31&gt;$AL137,0,IF(ISERROR(INDEX($E137:$X137,,SMALL(IF($E137:$X137&gt;0,COLUMN($A:$T),""),AP$31))),0,INDEX($E137:$X137,,SMALL(IF($E137:$X137&gt;0,COLUMN($A:$T),""),AP$31))))</f>
        <v>291.66666666666657</v>
      </c>
      <c r="AQ137" s="5" t="str">
        <f t="array" aca="1" ref="AQ137" ca="1">IF(AQ$31&gt;$AL137,0,IF(ISERROR(OFFSET($E$31,0,SMALL(IF($E137:$X137&gt;0,COLUMN($A:$T),""),AQ$31)-1)),0,OFFSET($E$31,0,SMALL(IF($E137:$X137&gt;0,COLUMN($A:$T),""),AQ$31)-1)))</f>
        <v>生命</v>
      </c>
      <c r="AR137" s="5">
        <f t="array" aca="1" ref="AR137" ca="1">IF(AQ$31&gt;$AL137,0,IF(ISERROR(INDEX($E137:$X137,,SMALL(IF($E137:$X137&gt;0,COLUMN($A:$T),""),AR$31))),0,INDEX($E137:$X137,,SMALL(IF($E137:$X137&gt;0,COLUMN($A:$T),""),AR$31))))</f>
        <v>1045.2842618624147</v>
      </c>
      <c r="AS137" s="5" t="str">
        <f t="array" aca="1" ref="AS137" ca="1">IF(AS$31&gt;$AL137,0,IF(ISERROR(OFFSET($E$31,0,SMALL(IF($E137:$X137&gt;0,COLUMN($A:$T),""),AS$31)-1)),0,OFFSET($E$31,0,SMALL(IF($E137:$X137&gt;0,COLUMN($A:$T),""),AS$31)-1)))</f>
        <v>闪避值</v>
      </c>
      <c r="AT137" s="5">
        <f t="array" aca="1" ref="AT137" ca="1">IF(AS$31&gt;$AL137,0,IF(ISERROR(INDEX($E137:$X137,,SMALL(IF($E137:$X137&gt;0,COLUMN($A:$T),""),AT$31))),0,INDEX($E137:$X137,,SMALL(IF($E137:$X137&gt;0,COLUMN($A:$T),""),AT$31))))</f>
        <v>100</v>
      </c>
      <c r="AU137" s="5" t="str">
        <f t="array" aca="1" ref="AU137" ca="1">IF(AU$31&gt;$AL137,0,IF(ISERROR(OFFSET($E$31,0,SMALL(IF($E137:$X137&gt;0,COLUMN($A:$T),""),AU$31)-1)),0,OFFSET($E$31,0,SMALL(IF($E137:$X137&gt;0,COLUMN($A:$T),""),AU$31)-1)))</f>
        <v>命中值</v>
      </c>
      <c r="AV137" s="5">
        <f t="array" aca="1" ref="AV137" ca="1">IF(AU$31&gt;$AL137,0,IF(ISERROR(INDEX($E137:$X137,,SMALL(IF($E137:$X137&gt;0,COLUMN($A:$T),""),AV$31))),0,INDEX($E137:$X137,,SMALL(IF($E137:$X137&gt;0,COLUMN($A:$T),""),AV$31))))</f>
        <v>83.333333333333314</v>
      </c>
      <c r="AW137" s="5" t="str">
        <f t="array" aca="1" ref="AW137" ca="1">IF(AW$31&gt;$AL137,0,IF(ISERROR(OFFSET($E$31,0,SMALL(IF($E137:$X137&gt;0,COLUMN($A:$T),""),AW$31)-1)),0,OFFSET($E$31,0,SMALL(IF($E137:$X137&gt;0,COLUMN($A:$T),""),AW$31)-1)))</f>
        <v>暴击值</v>
      </c>
      <c r="AX137" s="5">
        <f t="array" aca="1" ref="AX137" ca="1">IF(AW$31&gt;$AL137,0,IF(ISERROR(INDEX($E137:$X137,,SMALL(IF($E137:$X137&gt;0,COLUMN($A:$T),""),AX$31))),0,INDEX($E137:$X137,,SMALL(IF($E137:$X137&gt;0,COLUMN($A:$T),""),AX$31))))</f>
        <v>29.629629629629633</v>
      </c>
      <c r="AY137" s="5">
        <f t="array" aca="1" ref="AY137" ca="1">IF(AY$31&gt;$AL137,0,IF(ISERROR(OFFSET($E$31,0,SMALL(IF($E137:$X137&gt;0,COLUMN($A:$T),""),AY$31)-1)),0,OFFSET($E$31,0,SMALL(IF($E137:$X137&gt;0,COLUMN($A:$T),""),AY$31)-1)))</f>
        <v>0</v>
      </c>
      <c r="AZ137" s="5">
        <f t="array" ref="AZ137">IF(AY$31&gt;$AL137,0,IF(ISERROR(INDEX($E137:$X137,,SMALL(IF($E137:$X137&gt;0,COLUMN($A:$T),""),AZ$31))),0,INDEX($E137:$X137,,SMALL(IF($E137:$X137&gt;0,COLUMN($A:$T),""),AZ$31))))</f>
        <v>0</v>
      </c>
      <c r="BA137" s="5">
        <f t="array" aca="1" ref="BA137" ca="1">IF(BA$31&gt;$AL137,0,IF(ISERROR(OFFSET($E$31,0,SMALL(IF($E137:$X137&gt;0,COLUMN($A:$T),""),BA$31)-1)),0,OFFSET($E$31,0,SMALL(IF($E137:$X137&gt;0,COLUMN($A:$T),""),BA$31)-1)))</f>
        <v>0</v>
      </c>
      <c r="BB137" s="5">
        <f t="array" ref="BB137">IF(BA$31&gt;$AL137,0,IF(ISERROR(INDEX($E137:$X137,,SMALL(IF($E137:$X137&gt;0,COLUMN($A:$T),""),BB$31))),0,INDEX($E137:$X137,,SMALL(IF($E137:$X137&gt;0,COLUMN($A:$T),""),BB$31))))</f>
        <v>0</v>
      </c>
      <c r="BC137" s="5">
        <f t="array" aca="1" ref="BC137" ca="1">IF(BC$31&gt;$AL137,0,IF(ISERROR(OFFSET($E$31,0,SMALL(IF($E137:$X137&gt;0,COLUMN($A:$T),""),BC$31)-1)),0,OFFSET($E$31,0,SMALL(IF($E137:$X137&gt;0,COLUMN($A:$T),""),BC$31)-1)))</f>
        <v>0</v>
      </c>
      <c r="BD137" s="5">
        <f t="array" ref="BD137">IF(BC$31&gt;$AL137,0,IF(ISERROR(INDEX($E137:$X137,,SMALL(IF($E137:$X137&gt;0,COLUMN($A:$T),""),BD$31))),0,INDEX($E137:$X137,,SMALL(IF($E137:$X137&gt;0,COLUMN($A:$T),""),BD$31))))</f>
        <v>0</v>
      </c>
      <c r="BE137" s="5">
        <f t="array" aca="1" ref="BE137" ca="1">IF(BE$31&gt;$AL137,0,IF(ISERROR(OFFSET($E$31,0,SMALL(IF($E137:$X137&gt;0,COLUMN($A:$T),""),BE$31)-1)),0,OFFSET($E$31,0,SMALL(IF($E137:$X137&gt;0,COLUMN($A:$T),""),BE$31)-1)))</f>
        <v>0</v>
      </c>
      <c r="BF137" s="5">
        <f t="array" ref="BF137">IF(BE$31&gt;$AL137,0,IF(ISERROR(INDEX($E137:$X137,,SMALL(IF($E137:$X137&gt;0,COLUMN($A:$T),""),BF$31))),0,INDEX($E137:$X137,,SMALL(IF($E137:$X137&gt;0,COLUMN($A:$T),""),BF$31))))</f>
        <v>0</v>
      </c>
      <c r="BH137">
        <f ca="1">SUMPRODUCT(E137:N137,定义数据!$G$14:$P$14)</f>
        <v>186.97054466310948</v>
      </c>
      <c r="BI137">
        <f ca="1">SUMPRODUCT(O137:X137,定义数据!$G$14:$P$14)</f>
        <v>109.47803714116324</v>
      </c>
      <c r="BJ137" s="5">
        <f t="shared" ca="1" si="100"/>
        <v>296.44858180427275</v>
      </c>
      <c r="BK137" s="5" t="str">
        <f>D137&amp;B137&amp;VLOOKUP(C137,定义数据!$E$1:$F$7,2,FALSE)</f>
        <v>6045</v>
      </c>
    </row>
    <row r="138" spans="1:63" x14ac:dyDescent="0.15">
      <c r="A138" s="17" t="str">
        <f>D138&amp;B138&amp;VLOOKUP(C138,定义数据!$E$1:$F$7,2,FALSE)</f>
        <v>6044</v>
      </c>
      <c r="B138" s="18">
        <v>4</v>
      </c>
      <c r="C138" s="18" t="s">
        <v>139</v>
      </c>
      <c r="D138" s="24">
        <v>60</v>
      </c>
      <c r="E138" s="56">
        <f t="shared" ca="1" si="111"/>
        <v>2195.0969499110711</v>
      </c>
      <c r="F138" s="56">
        <f t="shared" ca="1" si="112"/>
        <v>0</v>
      </c>
      <c r="G138" s="56">
        <f t="shared" ca="1" si="113"/>
        <v>0</v>
      </c>
      <c r="H138" s="56">
        <f t="shared" ca="1" si="114"/>
        <v>0</v>
      </c>
      <c r="I138" s="56">
        <f t="shared" ca="1" si="115"/>
        <v>0</v>
      </c>
      <c r="J138" s="56">
        <f t="shared" ca="1" si="116"/>
        <v>0</v>
      </c>
      <c r="K138" s="56">
        <f t="shared" ca="1" si="117"/>
        <v>0</v>
      </c>
      <c r="L138" s="56">
        <f t="shared" ca="1" si="118"/>
        <v>259.25925925925924</v>
      </c>
      <c r="M138" s="56">
        <f t="shared" ca="1" si="119"/>
        <v>0</v>
      </c>
      <c r="N138" s="56">
        <f t="shared" ca="1" si="120"/>
        <v>0</v>
      </c>
      <c r="O138" s="65">
        <f t="shared" ca="1" si="101"/>
        <v>2090.5685237248294</v>
      </c>
      <c r="P138" s="65">
        <f t="shared" ca="1" si="102"/>
        <v>63.711637219251365</v>
      </c>
      <c r="Q138" s="65">
        <f t="shared" ca="1" si="103"/>
        <v>22.942569150779896</v>
      </c>
      <c r="R138" s="65">
        <f t="shared" ca="1" si="104"/>
        <v>0</v>
      </c>
      <c r="S138" s="65">
        <f t="shared" ca="1" si="105"/>
        <v>0</v>
      </c>
      <c r="T138" s="65">
        <f t="shared" ca="1" si="106"/>
        <v>0</v>
      </c>
      <c r="U138" s="65">
        <f t="shared" ca="1" si="107"/>
        <v>0</v>
      </c>
      <c r="V138" s="65">
        <f t="shared" ca="1" si="108"/>
        <v>49.382716049382715</v>
      </c>
      <c r="W138" s="65">
        <f t="shared" ca="1" si="109"/>
        <v>0</v>
      </c>
      <c r="X138" s="65">
        <f t="shared" ca="1" si="110"/>
        <v>0</v>
      </c>
      <c r="Y138" s="21"/>
      <c r="Z138" s="15">
        <f>VLOOKUP($D138&amp;$B138,[3]!装备基础属性表,P$30,FALSE)</f>
        <v>15679.263927936221</v>
      </c>
      <c r="AA138" s="15">
        <f>VLOOKUP($D138&amp;$B138,[3]!装备基础属性表,Q$30,FALSE)</f>
        <v>796.3954652406419</v>
      </c>
      <c r="AB138" s="15">
        <f>VLOOKUP($D138&amp;$B138,[3]!装备基础属性表,R$30,FALSE)</f>
        <v>344.13853726169845</v>
      </c>
      <c r="AC138" s="15">
        <f>VLOOKUP($D138&amp;$B138,[3]!装备基础属性表,S$30,FALSE)</f>
        <v>624.99999999999989</v>
      </c>
      <c r="AD138" s="15">
        <f>VLOOKUP($D138&amp;$B138,[3]!装备基础属性表,T$30,FALSE)</f>
        <v>624.99999999999989</v>
      </c>
      <c r="AE138" s="15">
        <f>VLOOKUP($D138&amp;$B138,[3]!装备基础属性表,U$30,FALSE)</f>
        <v>370.37037037037038</v>
      </c>
      <c r="AF138" s="15">
        <f>VLOOKUP($D138&amp;$B138,[3]!装备基础属性表,V$30,FALSE)</f>
        <v>0</v>
      </c>
      <c r="AG138" s="15">
        <f>VLOOKUP($D138&amp;$B138,[3]!装备基础属性表,W$30,FALSE)</f>
        <v>370.37037037037038</v>
      </c>
      <c r="AH138" s="15">
        <f>VLOOKUP($D138&amp;$B138,[3]!装备基础属性表,X$30,FALSE)</f>
        <v>0</v>
      </c>
      <c r="AI138" s="15">
        <f>VLOOKUP($D138&amp;$B138,[3]!装备基础属性表,Y$30,FALSE)</f>
        <v>0</v>
      </c>
      <c r="AJ138" s="16" t="str">
        <f>B138&amp;VLOOKUP(C138,定义数据!$E$1:$F$7,2,FALSE)&amp;D138</f>
        <v>4460</v>
      </c>
      <c r="AK138" s="14">
        <f t="shared" si="29"/>
        <v>19</v>
      </c>
      <c r="AL138" s="5">
        <f t="shared" si="99"/>
        <v>6</v>
      </c>
      <c r="AM138" s="5" t="str">
        <f t="array" aca="1" ref="AM138" ca="1">IF(AM$31&gt;$AL138,0,IF(ISERROR(OFFSET($E$31,0,SMALL(IF($E138:$X138&gt;0,COLUMN($A:$T),""),AM$31)-1)),0,OFFSET($E$31,0,SMALL(IF($E138:$X138&gt;0,COLUMN($A:$T),""),AM$31)-1)))</f>
        <v>生命</v>
      </c>
      <c r="AN138" s="5">
        <f t="array" aca="1" ref="AN138" ca="1">IF(AM$31&gt;$AL138,0,IF(ISERROR(INDEX($E138:$X138,,SMALL(IF($E138:$X138&gt;0,COLUMN($A:$T),""),AN$31))),0,INDEX($E138:$X138,,SMALL(IF($E138:$X138&gt;0,COLUMN($A:$T),""),AN$31))))</f>
        <v>2195.0969499110711</v>
      </c>
      <c r="AO138" s="5" t="str">
        <f t="array" aca="1" ref="AO138" ca="1">IF(AO$31&gt;$AL138,0,IF(ISERROR(OFFSET($E$31,0,SMALL(IF($E138:$X138&gt;0,COLUMN($A:$T),""),AO$31)-1)),0,OFFSET($E$31,0,SMALL(IF($E138:$X138&gt;0,COLUMN($A:$T),""),AO$31)-1)))</f>
        <v>韧性值</v>
      </c>
      <c r="AP138" s="5">
        <f t="array" aca="1" ref="AP138" ca="1">IF(AO$31&gt;$AL138,0,IF(ISERROR(INDEX($E138:$X138,,SMALL(IF($E138:$X138&gt;0,COLUMN($A:$T),""),AP$31))),0,INDEX($E138:$X138,,SMALL(IF($E138:$X138&gt;0,COLUMN($A:$T),""),AP$31))))</f>
        <v>259.25925925925924</v>
      </c>
      <c r="AQ138" s="5" t="str">
        <f t="array" aca="1" ref="AQ138" ca="1">IF(AQ$31&gt;$AL138,0,IF(ISERROR(OFFSET($E$31,0,SMALL(IF($E138:$X138&gt;0,COLUMN($A:$T),""),AQ$31)-1)),0,OFFSET($E$31,0,SMALL(IF($E138:$X138&gt;0,COLUMN($A:$T),""),AQ$31)-1)))</f>
        <v>生命</v>
      </c>
      <c r="AR138" s="5">
        <f t="array" aca="1" ref="AR138" ca="1">IF(AQ$31&gt;$AL138,0,IF(ISERROR(INDEX($E138:$X138,,SMALL(IF($E138:$X138&gt;0,COLUMN($A:$T),""),AR$31))),0,INDEX($E138:$X138,,SMALL(IF($E138:$X138&gt;0,COLUMN($A:$T),""),AR$31))))</f>
        <v>2090.5685237248294</v>
      </c>
      <c r="AS138" s="5" t="str">
        <f t="array" aca="1" ref="AS138" ca="1">IF(AS$31&gt;$AL138,0,IF(ISERROR(OFFSET($E$31,0,SMALL(IF($E138:$X138&gt;0,COLUMN($A:$T),""),AS$31)-1)),0,OFFSET($E$31,0,SMALL(IF($E138:$X138&gt;0,COLUMN($A:$T),""),AS$31)-1)))</f>
        <v>攻击</v>
      </c>
      <c r="AT138" s="5">
        <f t="array" aca="1" ref="AT138" ca="1">IF(AS$31&gt;$AL138,0,IF(ISERROR(INDEX($E138:$X138,,SMALL(IF($E138:$X138&gt;0,COLUMN($A:$T),""),AT$31))),0,INDEX($E138:$X138,,SMALL(IF($E138:$X138&gt;0,COLUMN($A:$T),""),AT$31))))</f>
        <v>63.711637219251365</v>
      </c>
      <c r="AU138" s="5" t="str">
        <f t="array" aca="1" ref="AU138" ca="1">IF(AU$31&gt;$AL138,0,IF(ISERROR(OFFSET($E$31,0,SMALL(IF($E138:$X138&gt;0,COLUMN($A:$T),""),AU$31)-1)),0,OFFSET($E$31,0,SMALL(IF($E138:$X138&gt;0,COLUMN($A:$T),""),AU$31)-1)))</f>
        <v>防御</v>
      </c>
      <c r="AV138" s="5">
        <f t="array" aca="1" ref="AV138" ca="1">IF(AU$31&gt;$AL138,0,IF(ISERROR(INDEX($E138:$X138,,SMALL(IF($E138:$X138&gt;0,COLUMN($A:$T),""),AV$31))),0,INDEX($E138:$X138,,SMALL(IF($E138:$X138&gt;0,COLUMN($A:$T),""),AV$31))))</f>
        <v>22.942569150779896</v>
      </c>
      <c r="AW138" s="5" t="str">
        <f t="array" aca="1" ref="AW138" ca="1">IF(AW$31&gt;$AL138,0,IF(ISERROR(OFFSET($E$31,0,SMALL(IF($E138:$X138&gt;0,COLUMN($A:$T),""),AW$31)-1)),0,OFFSET($E$31,0,SMALL(IF($E138:$X138&gt;0,COLUMN($A:$T),""),AW$31)-1)))</f>
        <v>韧性值</v>
      </c>
      <c r="AX138" s="5">
        <f t="array" aca="1" ref="AX138" ca="1">IF(AW$31&gt;$AL138,0,IF(ISERROR(INDEX($E138:$X138,,SMALL(IF($E138:$X138&gt;0,COLUMN($A:$T),""),AX$31))),0,INDEX($E138:$X138,,SMALL(IF($E138:$X138&gt;0,COLUMN($A:$T),""),AX$31))))</f>
        <v>49.382716049382715</v>
      </c>
      <c r="AY138" s="5">
        <f t="array" aca="1" ref="AY138" ca="1">IF(AY$31&gt;$AL138,0,IF(ISERROR(OFFSET($E$31,0,SMALL(IF($E138:$X138&gt;0,COLUMN($A:$T),""),AY$31)-1)),0,OFFSET($E$31,0,SMALL(IF($E138:$X138&gt;0,COLUMN($A:$T),""),AY$31)-1)))</f>
        <v>0</v>
      </c>
      <c r="AZ138" s="5">
        <f t="array" ref="AZ138">IF(AY$31&gt;$AL138,0,IF(ISERROR(INDEX($E138:$X138,,SMALL(IF($E138:$X138&gt;0,COLUMN($A:$T),""),AZ$31))),0,INDEX($E138:$X138,,SMALL(IF($E138:$X138&gt;0,COLUMN($A:$T),""),AZ$31))))</f>
        <v>0</v>
      </c>
      <c r="BA138" s="5">
        <f t="array" aca="1" ref="BA138" ca="1">IF(BA$31&gt;$AL138,0,IF(ISERROR(OFFSET($E$31,0,SMALL(IF($E138:$X138&gt;0,COLUMN($A:$T),""),BA$31)-1)),0,OFFSET($E$31,0,SMALL(IF($E138:$X138&gt;0,COLUMN($A:$T),""),BA$31)-1)))</f>
        <v>0</v>
      </c>
      <c r="BB138" s="5">
        <f t="array" ref="BB138">IF(BA$31&gt;$AL138,0,IF(ISERROR(INDEX($E138:$X138,,SMALL(IF($E138:$X138&gt;0,COLUMN($A:$T),""),BB$31))),0,INDEX($E138:$X138,,SMALL(IF($E138:$X138&gt;0,COLUMN($A:$T),""),BB$31))))</f>
        <v>0</v>
      </c>
      <c r="BC138" s="5">
        <f t="array" aca="1" ref="BC138" ca="1">IF(BC$31&gt;$AL138,0,IF(ISERROR(OFFSET($E$31,0,SMALL(IF($E138:$X138&gt;0,COLUMN($A:$T),""),BC$31)-1)),0,OFFSET($E$31,0,SMALL(IF($E138:$X138&gt;0,COLUMN($A:$T),""),BC$31)-1)))</f>
        <v>0</v>
      </c>
      <c r="BD138" s="5">
        <f t="array" ref="BD138">IF(BC$31&gt;$AL138,0,IF(ISERROR(INDEX($E138:$X138,,SMALL(IF($E138:$X138&gt;0,COLUMN($A:$T),""),BD$31))),0,INDEX($E138:$X138,,SMALL(IF($E138:$X138&gt;0,COLUMN($A:$T),""),BD$31))))</f>
        <v>0</v>
      </c>
      <c r="BE138" s="5">
        <f t="array" aca="1" ref="BE138" ca="1">IF(BE$31&gt;$AL138,0,IF(ISERROR(OFFSET($E$31,0,SMALL(IF($E138:$X138&gt;0,COLUMN($A:$T),""),BE$31)-1)),0,OFFSET($E$31,0,SMALL(IF($E138:$X138&gt;0,COLUMN($A:$T),""),BE$31)-1)))</f>
        <v>0</v>
      </c>
      <c r="BF138" s="5">
        <f t="array" ref="BF138">IF(BE$31&gt;$AL138,0,IF(ISERROR(INDEX($E138:$X138,,SMALL(IF($E138:$X138&gt;0,COLUMN($A:$T),""),BF$31))),0,INDEX($E138:$X138,,SMALL(IF($E138:$X138&gt;0,COLUMN($A:$T),""),BF$31))))</f>
        <v>0</v>
      </c>
      <c r="BH138">
        <f ca="1">SUMPRODUCT(E138:N138,定义数据!$G$14:$P$14)</f>
        <v>134.47054466310951</v>
      </c>
      <c r="BI138">
        <f ca="1">SUMPRODUCT(O138:X138,定义数据!$G$14:$P$14)</f>
        <v>179.16583620791332</v>
      </c>
      <c r="BJ138" s="5">
        <f t="shared" ca="1" si="100"/>
        <v>313.63638087102282</v>
      </c>
      <c r="BK138" s="5" t="str">
        <f>D138&amp;B138&amp;VLOOKUP(C138,定义数据!$E$1:$F$7,2,FALSE)</f>
        <v>6044</v>
      </c>
    </row>
    <row r="139" spans="1:63" x14ac:dyDescent="0.15">
      <c r="A139" s="17" t="str">
        <f>D139&amp;B139&amp;VLOOKUP(C139,定义数据!$E$1:$F$7,2,FALSE)</f>
        <v>6043</v>
      </c>
      <c r="B139" s="18">
        <v>4</v>
      </c>
      <c r="C139" s="18" t="s">
        <v>140</v>
      </c>
      <c r="D139" s="24">
        <v>60</v>
      </c>
      <c r="E139" s="56">
        <f t="shared" ca="1" si="111"/>
        <v>0</v>
      </c>
      <c r="F139" s="56">
        <f t="shared" ca="1" si="112"/>
        <v>139.36920641711231</v>
      </c>
      <c r="G139" s="56">
        <f t="shared" ca="1" si="113"/>
        <v>0</v>
      </c>
      <c r="H139" s="56">
        <f t="shared" ca="1" si="114"/>
        <v>0</v>
      </c>
      <c r="I139" s="56">
        <f t="shared" ca="1" si="115"/>
        <v>437.49999999999989</v>
      </c>
      <c r="J139" s="56">
        <f t="shared" ca="1" si="116"/>
        <v>0</v>
      </c>
      <c r="K139" s="56">
        <f t="shared" ca="1" si="117"/>
        <v>0</v>
      </c>
      <c r="L139" s="56">
        <f t="shared" ca="1" si="118"/>
        <v>0</v>
      </c>
      <c r="M139" s="56">
        <f t="shared" ca="1" si="119"/>
        <v>0</v>
      </c>
      <c r="N139" s="56">
        <f t="shared" ca="1" si="120"/>
        <v>0</v>
      </c>
      <c r="O139" s="65">
        <f t="shared" ca="1" si="101"/>
        <v>0</v>
      </c>
      <c r="P139" s="65">
        <f t="shared" ca="1" si="102"/>
        <v>63.711637219251365</v>
      </c>
      <c r="Q139" s="65">
        <f t="shared" ca="1" si="103"/>
        <v>0</v>
      </c>
      <c r="R139" s="65">
        <f t="shared" ca="1" si="104"/>
        <v>50</v>
      </c>
      <c r="S139" s="65">
        <f t="shared" ca="1" si="105"/>
        <v>83.333333333333314</v>
      </c>
      <c r="T139" s="65">
        <f t="shared" ca="1" si="106"/>
        <v>59.259259259259267</v>
      </c>
      <c r="U139" s="65">
        <f t="shared" ca="1" si="107"/>
        <v>0</v>
      </c>
      <c r="V139" s="65">
        <f t="shared" ca="1" si="108"/>
        <v>0</v>
      </c>
      <c r="W139" s="65">
        <f t="shared" ca="1" si="109"/>
        <v>0</v>
      </c>
      <c r="X139" s="65">
        <f t="shared" ca="1" si="110"/>
        <v>0</v>
      </c>
      <c r="Y139" s="21"/>
      <c r="Z139" s="15">
        <f>VLOOKUP($D139&amp;$B139,[3]!装备基础属性表,P$30,FALSE)</f>
        <v>15679.263927936221</v>
      </c>
      <c r="AA139" s="15">
        <f>VLOOKUP($D139&amp;$B139,[3]!装备基础属性表,Q$30,FALSE)</f>
        <v>796.3954652406419</v>
      </c>
      <c r="AB139" s="15">
        <f>VLOOKUP($D139&amp;$B139,[3]!装备基础属性表,R$30,FALSE)</f>
        <v>344.13853726169845</v>
      </c>
      <c r="AC139" s="15">
        <f>VLOOKUP($D139&amp;$B139,[3]!装备基础属性表,S$30,FALSE)</f>
        <v>624.99999999999989</v>
      </c>
      <c r="AD139" s="15">
        <f>VLOOKUP($D139&amp;$B139,[3]!装备基础属性表,T$30,FALSE)</f>
        <v>624.99999999999989</v>
      </c>
      <c r="AE139" s="15">
        <f>VLOOKUP($D139&amp;$B139,[3]!装备基础属性表,U$30,FALSE)</f>
        <v>370.37037037037038</v>
      </c>
      <c r="AF139" s="15">
        <f>VLOOKUP($D139&amp;$B139,[3]!装备基础属性表,V$30,FALSE)</f>
        <v>0</v>
      </c>
      <c r="AG139" s="15">
        <f>VLOOKUP($D139&amp;$B139,[3]!装备基础属性表,W$30,FALSE)</f>
        <v>370.37037037037038</v>
      </c>
      <c r="AH139" s="15">
        <f>VLOOKUP($D139&amp;$B139,[3]!装备基础属性表,X$30,FALSE)</f>
        <v>0</v>
      </c>
      <c r="AI139" s="15">
        <f>VLOOKUP($D139&amp;$B139,[3]!装备基础属性表,Y$30,FALSE)</f>
        <v>0</v>
      </c>
      <c r="AJ139" s="16" t="str">
        <f>B139&amp;VLOOKUP(C139,定义数据!$E$1:$F$7,2,FALSE)&amp;D139</f>
        <v>4360</v>
      </c>
      <c r="AK139" s="14">
        <f t="shared" si="29"/>
        <v>19</v>
      </c>
      <c r="AL139" s="5">
        <f t="shared" si="99"/>
        <v>6</v>
      </c>
      <c r="AM139" s="5" t="str">
        <f t="array" aca="1" ref="AM139" ca="1">IF(AM$31&gt;$AL139,0,IF(ISERROR(OFFSET($E$31,0,SMALL(IF($E139:$X139&gt;0,COLUMN($A:$T),""),AM$31)-1)),0,OFFSET($E$31,0,SMALL(IF($E139:$X139&gt;0,COLUMN($A:$T),""),AM$31)-1)))</f>
        <v>攻击</v>
      </c>
      <c r="AN139" s="5">
        <f t="array" aca="1" ref="AN139" ca="1">IF(AM$31&gt;$AL139,0,IF(ISERROR(INDEX($E139:$X139,,SMALL(IF($E139:$X139&gt;0,COLUMN($A:$T),""),AN$31))),0,INDEX($E139:$X139,,SMALL(IF($E139:$X139&gt;0,COLUMN($A:$T),""),AN$31))))</f>
        <v>139.36920641711231</v>
      </c>
      <c r="AO139" s="5" t="str">
        <f t="array" aca="1" ref="AO139" ca="1">IF(AO$31&gt;$AL139,0,IF(ISERROR(OFFSET($E$31,0,SMALL(IF($E139:$X139&gt;0,COLUMN($A:$T),""),AO$31)-1)),0,OFFSET($E$31,0,SMALL(IF($E139:$X139&gt;0,COLUMN($A:$T),""),AO$31)-1)))</f>
        <v>命中值</v>
      </c>
      <c r="AP139" s="5">
        <f t="array" aca="1" ref="AP139" ca="1">IF(AO$31&gt;$AL139,0,IF(ISERROR(INDEX($E139:$X139,,SMALL(IF($E139:$X139&gt;0,COLUMN($A:$T),""),AP$31))),0,INDEX($E139:$X139,,SMALL(IF($E139:$X139&gt;0,COLUMN($A:$T),""),AP$31))))</f>
        <v>437.49999999999989</v>
      </c>
      <c r="AQ139" s="5" t="str">
        <f t="array" aca="1" ref="AQ139" ca="1">IF(AQ$31&gt;$AL139,0,IF(ISERROR(OFFSET($E$31,0,SMALL(IF($E139:$X139&gt;0,COLUMN($A:$T),""),AQ$31)-1)),0,OFFSET($E$31,0,SMALL(IF($E139:$X139&gt;0,COLUMN($A:$T),""),AQ$31)-1)))</f>
        <v>攻击</v>
      </c>
      <c r="AR139" s="5">
        <f t="array" aca="1" ref="AR139" ca="1">IF(AQ$31&gt;$AL139,0,IF(ISERROR(INDEX($E139:$X139,,SMALL(IF($E139:$X139&gt;0,COLUMN($A:$T),""),AR$31))),0,INDEX($E139:$X139,,SMALL(IF($E139:$X139&gt;0,COLUMN($A:$T),""),AR$31))))</f>
        <v>63.711637219251365</v>
      </c>
      <c r="AS139" s="5" t="str">
        <f t="array" aca="1" ref="AS139" ca="1">IF(AS$31&gt;$AL139,0,IF(ISERROR(OFFSET($E$31,0,SMALL(IF($E139:$X139&gt;0,COLUMN($A:$T),""),AS$31)-1)),0,OFFSET($E$31,0,SMALL(IF($E139:$X139&gt;0,COLUMN($A:$T),""),AS$31)-1)))</f>
        <v>闪避值</v>
      </c>
      <c r="AT139" s="5">
        <f t="array" aca="1" ref="AT139" ca="1">IF(AS$31&gt;$AL139,0,IF(ISERROR(INDEX($E139:$X139,,SMALL(IF($E139:$X139&gt;0,COLUMN($A:$T),""),AT$31))),0,INDEX($E139:$X139,,SMALL(IF($E139:$X139&gt;0,COLUMN($A:$T),""),AT$31))))</f>
        <v>50</v>
      </c>
      <c r="AU139" s="5" t="str">
        <f t="array" aca="1" ref="AU139" ca="1">IF(AU$31&gt;$AL139,0,IF(ISERROR(OFFSET($E$31,0,SMALL(IF($E139:$X139&gt;0,COLUMN($A:$T),""),AU$31)-1)),0,OFFSET($E$31,0,SMALL(IF($E139:$X139&gt;0,COLUMN($A:$T),""),AU$31)-1)))</f>
        <v>命中值</v>
      </c>
      <c r="AV139" s="5">
        <f t="array" aca="1" ref="AV139" ca="1">IF(AU$31&gt;$AL139,0,IF(ISERROR(INDEX($E139:$X139,,SMALL(IF($E139:$X139&gt;0,COLUMN($A:$T),""),AV$31))),0,INDEX($E139:$X139,,SMALL(IF($E139:$X139&gt;0,COLUMN($A:$T),""),AV$31))))</f>
        <v>83.333333333333314</v>
      </c>
      <c r="AW139" s="5" t="str">
        <f t="array" aca="1" ref="AW139" ca="1">IF(AW$31&gt;$AL139,0,IF(ISERROR(OFFSET($E$31,0,SMALL(IF($E139:$X139&gt;0,COLUMN($A:$T),""),AW$31)-1)),0,OFFSET($E$31,0,SMALL(IF($E139:$X139&gt;0,COLUMN($A:$T),""),AW$31)-1)))</f>
        <v>暴击值</v>
      </c>
      <c r="AX139" s="5">
        <f t="array" aca="1" ref="AX139" ca="1">IF(AW$31&gt;$AL139,0,IF(ISERROR(INDEX($E139:$X139,,SMALL(IF($E139:$X139&gt;0,COLUMN($A:$T),""),AX$31))),0,INDEX($E139:$X139,,SMALL(IF($E139:$X139&gt;0,COLUMN($A:$T),""),AX$31))))</f>
        <v>59.259259259259267</v>
      </c>
      <c r="AY139" s="5">
        <f t="array" aca="1" ref="AY139" ca="1">IF(AY$31&gt;$AL139,0,IF(ISERROR(OFFSET($E$31,0,SMALL(IF($E139:$X139&gt;0,COLUMN($A:$T),""),AY$31)-1)),0,OFFSET($E$31,0,SMALL(IF($E139:$X139&gt;0,COLUMN($A:$T),""),AY$31)-1)))</f>
        <v>0</v>
      </c>
      <c r="AZ139" s="5">
        <f t="array" ref="AZ139">IF(AY$31&gt;$AL139,0,IF(ISERROR(INDEX($E139:$X139,,SMALL(IF($E139:$X139&gt;0,COLUMN($A:$T),""),AZ$31))),0,INDEX($E139:$X139,,SMALL(IF($E139:$X139&gt;0,COLUMN($A:$T),""),AZ$31))))</f>
        <v>0</v>
      </c>
      <c r="BA139" s="5">
        <f t="array" aca="1" ref="BA139" ca="1">IF(BA$31&gt;$AL139,0,IF(ISERROR(OFFSET($E$31,0,SMALL(IF($E139:$X139&gt;0,COLUMN($A:$T),""),BA$31)-1)),0,OFFSET($E$31,0,SMALL(IF($E139:$X139&gt;0,COLUMN($A:$T),""),BA$31)-1)))</f>
        <v>0</v>
      </c>
      <c r="BB139" s="5">
        <f t="array" ref="BB139">IF(BA$31&gt;$AL139,0,IF(ISERROR(INDEX($E139:$X139,,SMALL(IF($E139:$X139&gt;0,COLUMN($A:$T),""),BB$31))),0,INDEX($E139:$X139,,SMALL(IF($E139:$X139&gt;0,COLUMN($A:$T),""),BB$31))))</f>
        <v>0</v>
      </c>
      <c r="BC139" s="5">
        <f t="array" aca="1" ref="BC139" ca="1">IF(BC$31&gt;$AL139,0,IF(ISERROR(OFFSET($E$31,0,SMALL(IF($E139:$X139&gt;0,COLUMN($A:$T),""),BC$31)-1)),0,OFFSET($E$31,0,SMALL(IF($E139:$X139&gt;0,COLUMN($A:$T),""),BC$31)-1)))</f>
        <v>0</v>
      </c>
      <c r="BD139" s="5">
        <f t="array" ref="BD139">IF(BC$31&gt;$AL139,0,IF(ISERROR(INDEX($E139:$X139,,SMALL(IF($E139:$X139&gt;0,COLUMN($A:$T),""),BD$31))),0,INDEX($E139:$X139,,SMALL(IF($E139:$X139&gt;0,COLUMN($A:$T),""),BD$31))))</f>
        <v>0</v>
      </c>
      <c r="BE139" s="5">
        <f t="array" aca="1" ref="BE139" ca="1">IF(BE$31&gt;$AL139,0,IF(ISERROR(OFFSET($E$31,0,SMALL(IF($E139:$X139&gt;0,COLUMN($A:$T),""),BE$31)-1)),0,OFFSET($E$31,0,SMALL(IF($E139:$X139&gt;0,COLUMN($A:$T),""),BE$31)-1)))</f>
        <v>0</v>
      </c>
      <c r="BF139" s="5">
        <f t="array" ref="BF139">IF(BE$31&gt;$AL139,0,IF(ISERROR(INDEX($E139:$X139,,SMALL(IF($E139:$X139&gt;0,COLUMN($A:$T),""),BF$31))),0,INDEX($E139:$X139,,SMALL(IF($E139:$X139&gt;0,COLUMN($A:$T),""),BF$31))))</f>
        <v>0</v>
      </c>
      <c r="BH139">
        <f ca="1">SUMPRODUCT(E139:N139,定义数据!$G$14:$P$14)</f>
        <v>288.11920641711231</v>
      </c>
      <c r="BI139">
        <f ca="1">SUMPRODUCT(O139:X139,定义数据!$G$14:$P$14)</f>
        <v>119.71163721925137</v>
      </c>
      <c r="BJ139" s="5">
        <f t="shared" ca="1" si="100"/>
        <v>407.83084363636368</v>
      </c>
      <c r="BK139" s="5" t="str">
        <f>D139&amp;B139&amp;VLOOKUP(C139,定义数据!$E$1:$F$7,2,FALSE)</f>
        <v>6043</v>
      </c>
    </row>
    <row r="140" spans="1:63" x14ac:dyDescent="0.15">
      <c r="A140" s="17" t="str">
        <f>D140&amp;B140&amp;VLOOKUP(C140,定义数据!$E$1:$F$7,2,FALSE)</f>
        <v>7010</v>
      </c>
      <c r="B140" s="18">
        <v>1</v>
      </c>
      <c r="C140" s="18" t="s">
        <v>276</v>
      </c>
      <c r="D140" s="24">
        <v>70</v>
      </c>
      <c r="E140" s="56">
        <f t="shared" ca="1" si="111"/>
        <v>0</v>
      </c>
      <c r="F140" s="56">
        <f t="shared" ca="1" si="112"/>
        <v>358.37795935828888</v>
      </c>
      <c r="G140" s="56">
        <f t="shared" ca="1" si="113"/>
        <v>0</v>
      </c>
      <c r="H140" s="56">
        <f t="shared" ca="1" si="114"/>
        <v>0</v>
      </c>
      <c r="I140" s="56">
        <f t="shared" ca="1" si="115"/>
        <v>0</v>
      </c>
      <c r="J140" s="56">
        <f t="shared" ca="1" si="116"/>
        <v>222.2222222222222</v>
      </c>
      <c r="K140" s="56">
        <f t="shared" ca="1" si="117"/>
        <v>0</v>
      </c>
      <c r="L140" s="56">
        <f t="shared" ca="1" si="118"/>
        <v>0</v>
      </c>
      <c r="M140" s="56">
        <f t="shared" ca="1" si="119"/>
        <v>0</v>
      </c>
      <c r="N140" s="56">
        <f t="shared" ca="1" si="120"/>
        <v>0</v>
      </c>
      <c r="O140" s="65">
        <f t="shared" ca="1" si="101"/>
        <v>0</v>
      </c>
      <c r="P140" s="65">
        <f t="shared" ca="1" si="102"/>
        <v>28.670236748663111</v>
      </c>
      <c r="Q140" s="65">
        <f t="shared" ca="1" si="103"/>
        <v>3.4413853726169847</v>
      </c>
      <c r="R140" s="65">
        <f t="shared" ca="1" si="104"/>
        <v>0</v>
      </c>
      <c r="S140" s="65">
        <f t="shared" ca="1" si="105"/>
        <v>12.5</v>
      </c>
      <c r="T140" s="65">
        <f t="shared" ca="1" si="106"/>
        <v>8.8888888888888893</v>
      </c>
      <c r="U140" s="65">
        <f t="shared" ca="1" si="107"/>
        <v>0</v>
      </c>
      <c r="V140" s="65">
        <f t="shared" ca="1" si="108"/>
        <v>0</v>
      </c>
      <c r="W140" s="65">
        <f t="shared" ca="1" si="109"/>
        <v>0</v>
      </c>
      <c r="X140" s="65">
        <f t="shared" ca="1" si="110"/>
        <v>0</v>
      </c>
      <c r="Y140" s="21" t="s">
        <v>94</v>
      </c>
      <c r="Z140" s="15">
        <f>VLOOKUP($D140&amp;$B140,[3]!装备基础属性表,P$30,FALSE)</f>
        <v>9407.5583567617341</v>
      </c>
      <c r="AA140" s="15">
        <f>VLOOKUP($D140&amp;$B140,[3]!装备基础属性表,Q$30,FALSE)</f>
        <v>477.83727914438515</v>
      </c>
      <c r="AB140" s="15">
        <f>VLOOKUP($D140&amp;$B140,[3]!装备基础属性表,R$30,FALSE)</f>
        <v>206.48312235701908</v>
      </c>
      <c r="AC140" s="15">
        <f>VLOOKUP($D140&amp;$B140,[3]!装备基础属性表,S$30,FALSE)</f>
        <v>375</v>
      </c>
      <c r="AD140" s="15">
        <f>VLOOKUP($D140&amp;$B140,[3]!装备基础属性表,T$30,FALSE)</f>
        <v>375</v>
      </c>
      <c r="AE140" s="15">
        <f>VLOOKUP($D140&amp;$B140,[3]!装备基础属性表,U$30,FALSE)</f>
        <v>222.2222222222222</v>
      </c>
      <c r="AF140" s="15">
        <f>VLOOKUP($D140&amp;$B140,[3]!装备基础属性表,V$30,FALSE)</f>
        <v>0</v>
      </c>
      <c r="AG140" s="15">
        <f>VLOOKUP($D140&amp;$B140,[3]!装备基础属性表,W$30,FALSE)</f>
        <v>222.2222222222222</v>
      </c>
      <c r="AH140" s="15">
        <f>VLOOKUP($D140&amp;$B140,[3]!装备基础属性表,X$30,FALSE)</f>
        <v>0</v>
      </c>
      <c r="AI140" s="15">
        <f>VLOOKUP($D140&amp;$B140,[3]!装备基础属性表,Y$30,FALSE)</f>
        <v>0</v>
      </c>
      <c r="AJ140" s="16" t="str">
        <f>B140&amp;VLOOKUP(C140,定义数据!$E$1:$F$7,2,FALSE)&amp;D140</f>
        <v>1070</v>
      </c>
      <c r="AK140" s="14">
        <f t="shared" si="29"/>
        <v>20</v>
      </c>
      <c r="AL140" s="5">
        <f t="shared" si="99"/>
        <v>3</v>
      </c>
      <c r="AM140" s="5" t="str">
        <f t="array" aca="1" ref="AM140" ca="1">IF(AM$31&gt;$AL140,0,IF(ISERROR(OFFSET($E$31,0,SMALL(IF($E140:$X140&gt;0,COLUMN($A:$T),""),AM$31)-1)),0,OFFSET($E$31,0,SMALL(IF($E140:$X140&gt;0,COLUMN($A:$T),""),AM$31)-1)))</f>
        <v>攻击</v>
      </c>
      <c r="AN140" s="5">
        <f t="array" aca="1" ref="AN140" ca="1">IF(AM$31&gt;$AL140,0,IF(ISERROR(INDEX($E140:$X140,,SMALL(IF($E140:$X140&gt;0,COLUMN($A:$T),""),AN$31))),0,INDEX($E140:$X140,,SMALL(IF($E140:$X140&gt;0,COLUMN($A:$T),""),AN$31))))</f>
        <v>358.37795935828888</v>
      </c>
      <c r="AO140" s="5" t="str">
        <f t="array" aca="1" ref="AO140" ca="1">IF(AO$31&gt;$AL140,0,IF(ISERROR(OFFSET($E$31,0,SMALL(IF($E140:$X140&gt;0,COLUMN($A:$T),""),AO$31)-1)),0,OFFSET($E$31,0,SMALL(IF($E140:$X140&gt;0,COLUMN($A:$T),""),AO$31)-1)))</f>
        <v>暴击值</v>
      </c>
      <c r="AP140" s="5">
        <f t="array" aca="1" ref="AP140" ca="1">IF(AO$31&gt;$AL140,0,IF(ISERROR(INDEX($E140:$X140,,SMALL(IF($E140:$X140&gt;0,COLUMN($A:$T),""),AP$31))),0,INDEX($E140:$X140,,SMALL(IF($E140:$X140&gt;0,COLUMN($A:$T),""),AP$31))))</f>
        <v>222.2222222222222</v>
      </c>
      <c r="AQ140" s="5" t="str">
        <f t="array" aca="1" ref="AQ140" ca="1">IF(AQ$31&gt;$AL140,0,IF(ISERROR(OFFSET($E$31,0,SMALL(IF($E140:$X140&gt;0,COLUMN($A:$T),""),AQ$31)-1)),0,OFFSET($E$31,0,SMALL(IF($E140:$X140&gt;0,COLUMN($A:$T),""),AQ$31)-1)))</f>
        <v>攻击</v>
      </c>
      <c r="AR140" s="5">
        <f t="array" aca="1" ref="AR140" ca="1">IF(AQ$31&gt;$AL140,0,IF(ISERROR(INDEX($E140:$X140,,SMALL(IF($E140:$X140&gt;0,COLUMN($A:$T),""),AR$31))),0,INDEX($E140:$X140,,SMALL(IF($E140:$X140&gt;0,COLUMN($A:$T),""),AR$31))))</f>
        <v>28.670236748663111</v>
      </c>
      <c r="AS140" s="5">
        <f t="array" aca="1" ref="AS140" ca="1">IF(AS$31&gt;$AL140,0,IF(ISERROR(OFFSET($E$31,0,SMALL(IF($E140:$X140&gt;0,COLUMN($A:$T),""),AS$31)-1)),0,OFFSET($E$31,0,SMALL(IF($E140:$X140&gt;0,COLUMN($A:$T),""),AS$31)-1)))</f>
        <v>0</v>
      </c>
      <c r="AT140" s="5">
        <f t="array" ref="AT140">IF(AS$31&gt;$AL140,0,IF(ISERROR(INDEX($E140:$X140,,SMALL(IF($E140:$X140&gt;0,COLUMN($A:$T),""),AT$31))),0,INDEX($E140:$X140,,SMALL(IF($E140:$X140&gt;0,COLUMN($A:$T),""),AT$31))))</f>
        <v>0</v>
      </c>
      <c r="AU140" s="5">
        <f t="array" aca="1" ref="AU140" ca="1">IF(AU$31&gt;$AL140,0,IF(ISERROR(OFFSET($E$31,0,SMALL(IF($E140:$X140&gt;0,COLUMN($A:$T),""),AU$31)-1)),0,OFFSET($E$31,0,SMALL(IF($E140:$X140&gt;0,COLUMN($A:$T),""),AU$31)-1)))</f>
        <v>0</v>
      </c>
      <c r="AV140" s="5">
        <f t="array" ref="AV140">IF(AU$31&gt;$AL140,0,IF(ISERROR(INDEX($E140:$X140,,SMALL(IF($E140:$X140&gt;0,COLUMN($A:$T),""),AV$31))),0,INDEX($E140:$X140,,SMALL(IF($E140:$X140&gt;0,COLUMN($A:$T),""),AV$31))))</f>
        <v>0</v>
      </c>
      <c r="AW140" s="5">
        <f t="array" aca="1" ref="AW140" ca="1">IF(AW$31&gt;$AL140,0,IF(ISERROR(OFFSET($E$31,0,SMALL(IF($E140:$X140&gt;0,COLUMN($A:$T),""),AW$31)-1)),0,OFFSET($E$31,0,SMALL(IF($E140:$X140&gt;0,COLUMN($A:$T),""),AW$31)-1)))</f>
        <v>0</v>
      </c>
      <c r="AX140" s="5">
        <f t="array" ref="AX140">IF(AW$31&gt;$AL140,0,IF(ISERROR(INDEX($E140:$X140,,SMALL(IF($E140:$X140&gt;0,COLUMN($A:$T),""),AX$31))),0,INDEX($E140:$X140,,SMALL(IF($E140:$X140&gt;0,COLUMN($A:$T),""),AX$31))))</f>
        <v>0</v>
      </c>
      <c r="AY140" s="5">
        <f t="array" aca="1" ref="AY140" ca="1">IF(AY$31&gt;$AL140,0,IF(ISERROR(OFFSET($E$31,0,SMALL(IF($E140:$X140&gt;0,COLUMN($A:$T),""),AY$31)-1)),0,OFFSET($E$31,0,SMALL(IF($E140:$X140&gt;0,COLUMN($A:$T),""),AY$31)-1)))</f>
        <v>0</v>
      </c>
      <c r="AZ140" s="5">
        <f t="array" ref="AZ140">IF(AY$31&gt;$AL140,0,IF(ISERROR(INDEX($E140:$X140,,SMALL(IF($E140:$X140&gt;0,COLUMN($A:$T),""),AZ$31))),0,INDEX($E140:$X140,,SMALL(IF($E140:$X140&gt;0,COLUMN($A:$T),""),AZ$31))))</f>
        <v>0</v>
      </c>
      <c r="BA140" s="5">
        <f t="array" aca="1" ref="BA140" ca="1">IF(BA$31&gt;$AL140,0,IF(ISERROR(OFFSET($E$31,0,SMALL(IF($E140:$X140&gt;0,COLUMN($A:$T),""),BA$31)-1)),0,OFFSET($E$31,0,SMALL(IF($E140:$X140&gt;0,COLUMN($A:$T),""),BA$31)-1)))</f>
        <v>0</v>
      </c>
      <c r="BB140" s="5">
        <f t="array" ref="BB140">IF(BA$31&gt;$AL140,0,IF(ISERROR(INDEX($E140:$X140,,SMALL(IF($E140:$X140&gt;0,COLUMN($A:$T),""),BB$31))),0,INDEX($E140:$X140,,SMALL(IF($E140:$X140&gt;0,COLUMN($A:$T),""),BB$31))))</f>
        <v>0</v>
      </c>
      <c r="BC140" s="5">
        <f t="array" aca="1" ref="BC140" ca="1">IF(BC$31&gt;$AL140,0,IF(ISERROR(OFFSET($E$31,0,SMALL(IF($E140:$X140&gt;0,COLUMN($A:$T),""),BC$31)-1)),0,OFFSET($E$31,0,SMALL(IF($E140:$X140&gt;0,COLUMN($A:$T),""),BC$31)-1)))</f>
        <v>0</v>
      </c>
      <c r="BD140" s="5">
        <f t="array" ref="BD140">IF(BC$31&gt;$AL140,0,IF(ISERROR(INDEX($E140:$X140,,SMALL(IF($E140:$X140&gt;0,COLUMN($A:$T),""),BD$31))),0,INDEX($E140:$X140,,SMALL(IF($E140:$X140&gt;0,COLUMN($A:$T),""),BD$31))))</f>
        <v>0</v>
      </c>
      <c r="BE140" s="5">
        <f t="array" aca="1" ref="BE140" ca="1">IF(BE$31&gt;$AL140,0,IF(ISERROR(OFFSET($E$31,0,SMALL(IF($E140:$X140&gt;0,COLUMN($A:$T),""),BE$31)-1)),0,OFFSET($E$31,0,SMALL(IF($E140:$X140&gt;0,COLUMN($A:$T),""),BE$31)-1)))</f>
        <v>0</v>
      </c>
      <c r="BF140" s="5">
        <f t="array" ref="BF140">IF(BE$31&gt;$AL140,0,IF(ISERROR(INDEX($E140:$X140,,SMALL(IF($E140:$X140&gt;0,COLUMN($A:$T),""),BF$31))),0,INDEX($E140:$X140,,SMALL(IF($E140:$X140&gt;0,COLUMN($A:$T),""),BF$31))))</f>
        <v>0</v>
      </c>
      <c r="BH140">
        <f ca="1">SUMPRODUCT(E140:N140,定义数据!$G$14:$P$14)</f>
        <v>398.37795935828888</v>
      </c>
      <c r="BI140">
        <f ca="1">SUMPRODUCT(O140:X140,定义数据!$G$14:$P$14)</f>
        <v>37.961622121280094</v>
      </c>
      <c r="BJ140" s="5">
        <f t="shared" ca="1" si="100"/>
        <v>436.33958147956895</v>
      </c>
      <c r="BK140" s="5" t="str">
        <f>D140&amp;B140&amp;VLOOKUP(C140,定义数据!$E$1:$F$7,2,FALSE)</f>
        <v>7010</v>
      </c>
    </row>
    <row r="141" spans="1:63" x14ac:dyDescent="0.15">
      <c r="A141" s="17" t="str">
        <f>D141&amp;B141&amp;VLOOKUP(C141,定义数据!$E$1:$F$7,2,FALSE)</f>
        <v>7011</v>
      </c>
      <c r="B141" s="18">
        <v>1</v>
      </c>
      <c r="C141" s="18" t="s">
        <v>277</v>
      </c>
      <c r="D141" s="24">
        <v>70</v>
      </c>
      <c r="E141" s="56">
        <f t="shared" ca="1" si="111"/>
        <v>5644.5350140570399</v>
      </c>
      <c r="F141" s="56">
        <f t="shared" ca="1" si="112"/>
        <v>0</v>
      </c>
      <c r="G141" s="56">
        <f t="shared" ca="1" si="113"/>
        <v>123.88987341421145</v>
      </c>
      <c r="H141" s="56">
        <f t="shared" ca="1" si="114"/>
        <v>0</v>
      </c>
      <c r="I141" s="56">
        <f t="shared" ca="1" si="115"/>
        <v>0</v>
      </c>
      <c r="J141" s="56">
        <f t="shared" ca="1" si="116"/>
        <v>0</v>
      </c>
      <c r="K141" s="56">
        <f t="shared" ca="1" si="117"/>
        <v>0</v>
      </c>
      <c r="L141" s="56">
        <f t="shared" ca="1" si="118"/>
        <v>0</v>
      </c>
      <c r="M141" s="56">
        <f t="shared" ca="1" si="119"/>
        <v>0</v>
      </c>
      <c r="N141" s="56">
        <f t="shared" ca="1" si="120"/>
        <v>0</v>
      </c>
      <c r="O141" s="65">
        <f t="shared" ca="1" si="101"/>
        <v>313.58527855872444</v>
      </c>
      <c r="P141" s="65">
        <f t="shared" ca="1" si="102"/>
        <v>0</v>
      </c>
      <c r="Q141" s="65">
        <f t="shared" ca="1" si="103"/>
        <v>10.324156117850954</v>
      </c>
      <c r="R141" s="65">
        <f t="shared" ca="1" si="104"/>
        <v>7.5</v>
      </c>
      <c r="S141" s="65">
        <f t="shared" ca="1" si="105"/>
        <v>0</v>
      </c>
      <c r="T141" s="65">
        <f t="shared" ca="1" si="106"/>
        <v>0</v>
      </c>
      <c r="U141" s="65">
        <f t="shared" ca="1" si="107"/>
        <v>0</v>
      </c>
      <c r="V141" s="65">
        <f t="shared" ca="1" si="108"/>
        <v>7.4074074074074066</v>
      </c>
      <c r="W141" s="65">
        <f t="shared" ca="1" si="109"/>
        <v>0</v>
      </c>
      <c r="X141" s="65">
        <f t="shared" ca="1" si="110"/>
        <v>0</v>
      </c>
      <c r="Y141" s="21" t="s">
        <v>95</v>
      </c>
      <c r="Z141" s="15">
        <f>VLOOKUP($D141&amp;$B141,[3]!装备基础属性表,P$30,FALSE)</f>
        <v>9407.5583567617341</v>
      </c>
      <c r="AA141" s="15">
        <f>VLOOKUP($D141&amp;$B141,[3]!装备基础属性表,Q$30,FALSE)</f>
        <v>477.83727914438515</v>
      </c>
      <c r="AB141" s="15">
        <f>VLOOKUP($D141&amp;$B141,[3]!装备基础属性表,R$30,FALSE)</f>
        <v>206.48312235701908</v>
      </c>
      <c r="AC141" s="15">
        <f>VLOOKUP($D141&amp;$B141,[3]!装备基础属性表,S$30,FALSE)</f>
        <v>375</v>
      </c>
      <c r="AD141" s="15">
        <f>VLOOKUP($D141&amp;$B141,[3]!装备基础属性表,T$30,FALSE)</f>
        <v>375</v>
      </c>
      <c r="AE141" s="15">
        <f>VLOOKUP($D141&amp;$B141,[3]!装备基础属性表,U$30,FALSE)</f>
        <v>222.2222222222222</v>
      </c>
      <c r="AF141" s="15">
        <f>VLOOKUP($D141&amp;$B141,[3]!装备基础属性表,V$30,FALSE)</f>
        <v>0</v>
      </c>
      <c r="AG141" s="15">
        <f>VLOOKUP($D141&amp;$B141,[3]!装备基础属性表,W$30,FALSE)</f>
        <v>222.2222222222222</v>
      </c>
      <c r="AH141" s="15">
        <f>VLOOKUP($D141&amp;$B141,[3]!装备基础属性表,X$30,FALSE)</f>
        <v>0</v>
      </c>
      <c r="AI141" s="15">
        <f>VLOOKUP($D141&amp;$B141,[3]!装备基础属性表,Y$30,FALSE)</f>
        <v>0</v>
      </c>
      <c r="AJ141" s="16" t="str">
        <f>B141&amp;VLOOKUP(C141,定义数据!$E$1:$F$7,2,FALSE)&amp;D141</f>
        <v>1170</v>
      </c>
      <c r="AK141" s="14">
        <f t="shared" si="29"/>
        <v>20</v>
      </c>
      <c r="AL141" s="5">
        <f t="shared" si="99"/>
        <v>3</v>
      </c>
      <c r="AM141" s="5" t="str">
        <f t="array" aca="1" ref="AM141" ca="1">IF(AM$31&gt;$AL141,0,IF(ISERROR(OFFSET($E$31,0,SMALL(IF($E141:$X141&gt;0,COLUMN($A:$T),""),AM$31)-1)),0,OFFSET($E$31,0,SMALL(IF($E141:$X141&gt;0,COLUMN($A:$T),""),AM$31)-1)))</f>
        <v>生命</v>
      </c>
      <c r="AN141" s="5">
        <f t="array" aca="1" ref="AN141" ca="1">IF(AM$31&gt;$AL141,0,IF(ISERROR(INDEX($E141:$X141,,SMALL(IF($E141:$X141&gt;0,COLUMN($A:$T),""),AN$31))),0,INDEX($E141:$X141,,SMALL(IF($E141:$X141&gt;0,COLUMN($A:$T),""),AN$31))))</f>
        <v>5644.5350140570399</v>
      </c>
      <c r="AO141" s="5" t="str">
        <f t="array" aca="1" ref="AO141" ca="1">IF(AO$31&gt;$AL141,0,IF(ISERROR(OFFSET($E$31,0,SMALL(IF($E141:$X141&gt;0,COLUMN($A:$T),""),AO$31)-1)),0,OFFSET($E$31,0,SMALL(IF($E141:$X141&gt;0,COLUMN($A:$T),""),AO$31)-1)))</f>
        <v>防御</v>
      </c>
      <c r="AP141" s="5">
        <f t="array" aca="1" ref="AP141" ca="1">IF(AO$31&gt;$AL141,0,IF(ISERROR(INDEX($E141:$X141,,SMALL(IF($E141:$X141&gt;0,COLUMN($A:$T),""),AP$31))),0,INDEX($E141:$X141,,SMALL(IF($E141:$X141&gt;0,COLUMN($A:$T),""),AP$31))))</f>
        <v>123.88987341421145</v>
      </c>
      <c r="AQ141" s="5" t="str">
        <f t="array" aca="1" ref="AQ141" ca="1">IF(AQ$31&gt;$AL141,0,IF(ISERROR(OFFSET($E$31,0,SMALL(IF($E141:$X141&gt;0,COLUMN($A:$T),""),AQ$31)-1)),0,OFFSET($E$31,0,SMALL(IF($E141:$X141&gt;0,COLUMN($A:$T),""),AQ$31)-1)))</f>
        <v>生命</v>
      </c>
      <c r="AR141" s="5">
        <f t="array" aca="1" ref="AR141" ca="1">IF(AQ$31&gt;$AL141,0,IF(ISERROR(INDEX($E141:$X141,,SMALL(IF($E141:$X141&gt;0,COLUMN($A:$T),""),AR$31))),0,INDEX($E141:$X141,,SMALL(IF($E141:$X141&gt;0,COLUMN($A:$T),""),AR$31))))</f>
        <v>313.58527855872444</v>
      </c>
      <c r="AS141" s="5">
        <f t="array" aca="1" ref="AS141" ca="1">IF(AS$31&gt;$AL141,0,IF(ISERROR(OFFSET($E$31,0,SMALL(IF($E141:$X141&gt;0,COLUMN($A:$T),""),AS$31)-1)),0,OFFSET($E$31,0,SMALL(IF($E141:$X141&gt;0,COLUMN($A:$T),""),AS$31)-1)))</f>
        <v>0</v>
      </c>
      <c r="AT141" s="5">
        <f t="array" ref="AT141">IF(AS$31&gt;$AL141,0,IF(ISERROR(INDEX($E141:$X141,,SMALL(IF($E141:$X141&gt;0,COLUMN($A:$T),""),AT$31))),0,INDEX($E141:$X141,,SMALL(IF($E141:$X141&gt;0,COLUMN($A:$T),""),AT$31))))</f>
        <v>0</v>
      </c>
      <c r="AU141" s="5">
        <f t="array" aca="1" ref="AU141" ca="1">IF(AU$31&gt;$AL141,0,IF(ISERROR(OFFSET($E$31,0,SMALL(IF($E141:$X141&gt;0,COLUMN($A:$T),""),AU$31)-1)),0,OFFSET($E$31,0,SMALL(IF($E141:$X141&gt;0,COLUMN($A:$T),""),AU$31)-1)))</f>
        <v>0</v>
      </c>
      <c r="AV141" s="5">
        <f t="array" ref="AV141">IF(AU$31&gt;$AL141,0,IF(ISERROR(INDEX($E141:$X141,,SMALL(IF($E141:$X141&gt;0,COLUMN($A:$T),""),AV$31))),0,INDEX($E141:$X141,,SMALL(IF($E141:$X141&gt;0,COLUMN($A:$T),""),AV$31))))</f>
        <v>0</v>
      </c>
      <c r="AW141" s="5">
        <f t="array" aca="1" ref="AW141" ca="1">IF(AW$31&gt;$AL141,0,IF(ISERROR(OFFSET($E$31,0,SMALL(IF($E141:$X141&gt;0,COLUMN($A:$T),""),AW$31)-1)),0,OFFSET($E$31,0,SMALL(IF($E141:$X141&gt;0,COLUMN($A:$T),""),AW$31)-1)))</f>
        <v>0</v>
      </c>
      <c r="AX141" s="5">
        <f t="array" ref="AX141">IF(AW$31&gt;$AL141,0,IF(ISERROR(INDEX($E141:$X141,,SMALL(IF($E141:$X141&gt;0,COLUMN($A:$T),""),AX$31))),0,INDEX($E141:$X141,,SMALL(IF($E141:$X141&gt;0,COLUMN($A:$T),""),AX$31))))</f>
        <v>0</v>
      </c>
      <c r="AY141" s="5">
        <f t="array" aca="1" ref="AY141" ca="1">IF(AY$31&gt;$AL141,0,IF(ISERROR(OFFSET($E$31,0,SMALL(IF($E141:$X141&gt;0,COLUMN($A:$T),""),AY$31)-1)),0,OFFSET($E$31,0,SMALL(IF($E141:$X141&gt;0,COLUMN($A:$T),""),AY$31)-1)))</f>
        <v>0</v>
      </c>
      <c r="AZ141" s="5">
        <f t="array" ref="AZ141">IF(AY$31&gt;$AL141,0,IF(ISERROR(INDEX($E141:$X141,,SMALL(IF($E141:$X141&gt;0,COLUMN($A:$T),""),AZ$31))),0,INDEX($E141:$X141,,SMALL(IF($E141:$X141&gt;0,COLUMN($A:$T),""),AZ$31))))</f>
        <v>0</v>
      </c>
      <c r="BA141" s="5">
        <f t="array" aca="1" ref="BA141" ca="1">IF(BA$31&gt;$AL141,0,IF(ISERROR(OFFSET($E$31,0,SMALL(IF($E141:$X141&gt;0,COLUMN($A:$T),""),BA$31)-1)),0,OFFSET($E$31,0,SMALL(IF($E141:$X141&gt;0,COLUMN($A:$T),""),BA$31)-1)))</f>
        <v>0</v>
      </c>
      <c r="BB141" s="5">
        <f t="array" ref="BB141">IF(BA$31&gt;$AL141,0,IF(ISERROR(INDEX($E141:$X141,,SMALL(IF($E141:$X141&gt;0,COLUMN($A:$T),""),BB$31))),0,INDEX($E141:$X141,,SMALL(IF($E141:$X141&gt;0,COLUMN($A:$T),""),BB$31))))</f>
        <v>0</v>
      </c>
      <c r="BC141" s="5">
        <f t="array" aca="1" ref="BC141" ca="1">IF(BC$31&gt;$AL141,0,IF(ISERROR(OFFSET($E$31,0,SMALL(IF($E141:$X141&gt;0,COLUMN($A:$T),""),BC$31)-1)),0,OFFSET($E$31,0,SMALL(IF($E141:$X141&gt;0,COLUMN($A:$T),""),BC$31)-1)))</f>
        <v>0</v>
      </c>
      <c r="BD141" s="5">
        <f t="array" ref="BD141">IF(BC$31&gt;$AL141,0,IF(ISERROR(INDEX($E141:$X141,,SMALL(IF($E141:$X141&gt;0,COLUMN($A:$T),""),BD$31))),0,INDEX($E141:$X141,,SMALL(IF($E141:$X141&gt;0,COLUMN($A:$T),""),BD$31))))</f>
        <v>0</v>
      </c>
      <c r="BE141" s="5">
        <f t="array" aca="1" ref="BE141" ca="1">IF(BE$31&gt;$AL141,0,IF(ISERROR(OFFSET($E$31,0,SMALL(IF($E141:$X141&gt;0,COLUMN($A:$T),""),BE$31)-1)),0,OFFSET($E$31,0,SMALL(IF($E141:$X141&gt;0,COLUMN($A:$T),""),BE$31)-1)))</f>
        <v>0</v>
      </c>
      <c r="BF141" s="5">
        <f t="array" ref="BF141">IF(BE$31&gt;$AL141,0,IF(ISERROR(INDEX($E141:$X141,,SMALL(IF($E141:$X141&gt;0,COLUMN($A:$T),""),BF$31))),0,INDEX($E141:$X141,,SMALL(IF($E141:$X141&gt;0,COLUMN($A:$T),""),BF$31))))</f>
        <v>0</v>
      </c>
      <c r="BH141">
        <f ca="1">SUMPRODUCT(E141:N141,定义数据!$G$14:$P$14)</f>
        <v>349.67127397649301</v>
      </c>
      <c r="BI141">
        <f ca="1">SUMPRODUCT(O141:X141,定义数据!$G$14:$P$14)</f>
        <v>26.750900593533267</v>
      </c>
      <c r="BJ141" s="5">
        <f t="shared" ca="1" si="100"/>
        <v>376.4221745700263</v>
      </c>
      <c r="BK141" s="5" t="str">
        <f>D141&amp;B141&amp;VLOOKUP(C141,定义数据!$E$1:$F$7,2,FALSE)</f>
        <v>7011</v>
      </c>
    </row>
    <row r="142" spans="1:63" x14ac:dyDescent="0.15">
      <c r="A142" s="17" t="str">
        <f>D142&amp;B142&amp;VLOOKUP(C142,定义数据!$E$1:$F$7,2,FALSE)</f>
        <v>7012</v>
      </c>
      <c r="B142" s="18">
        <v>1</v>
      </c>
      <c r="C142" s="18" t="s">
        <v>278</v>
      </c>
      <c r="D142" s="24">
        <v>70</v>
      </c>
      <c r="E142" s="56">
        <f t="shared" ca="1" si="111"/>
        <v>0</v>
      </c>
      <c r="F142" s="56">
        <f t="shared" ca="1" si="112"/>
        <v>0</v>
      </c>
      <c r="G142" s="56">
        <f t="shared" ca="1" si="113"/>
        <v>82.593248942807634</v>
      </c>
      <c r="H142" s="56">
        <f t="shared" ca="1" si="114"/>
        <v>125</v>
      </c>
      <c r="I142" s="56">
        <f t="shared" ca="1" si="115"/>
        <v>0</v>
      </c>
      <c r="J142" s="56">
        <f t="shared" ca="1" si="116"/>
        <v>0</v>
      </c>
      <c r="K142" s="56">
        <f t="shared" ca="1" si="117"/>
        <v>0</v>
      </c>
      <c r="L142" s="56">
        <f t="shared" ca="1" si="118"/>
        <v>0</v>
      </c>
      <c r="M142" s="56">
        <f t="shared" ca="1" si="119"/>
        <v>0</v>
      </c>
      <c r="N142" s="56">
        <f t="shared" ca="1" si="120"/>
        <v>0</v>
      </c>
      <c r="O142" s="65">
        <f t="shared" ca="1" si="101"/>
        <v>156.79263927936222</v>
      </c>
      <c r="P142" s="65">
        <f t="shared" ca="1" si="102"/>
        <v>0</v>
      </c>
      <c r="Q142" s="65">
        <f t="shared" ca="1" si="103"/>
        <v>3.4413853726169847</v>
      </c>
      <c r="R142" s="65">
        <f t="shared" ca="1" si="104"/>
        <v>7.5</v>
      </c>
      <c r="S142" s="65">
        <f t="shared" ca="1" si="105"/>
        <v>0</v>
      </c>
      <c r="T142" s="65">
        <f t="shared" ca="1" si="106"/>
        <v>0</v>
      </c>
      <c r="U142" s="65">
        <f t="shared" ca="1" si="107"/>
        <v>0</v>
      </c>
      <c r="V142" s="65">
        <f t="shared" ca="1" si="108"/>
        <v>7.4074074074074066</v>
      </c>
      <c r="W142" s="65">
        <f t="shared" ca="1" si="109"/>
        <v>0</v>
      </c>
      <c r="X142" s="65">
        <f t="shared" ca="1" si="110"/>
        <v>0</v>
      </c>
      <c r="Y142" s="21" t="s">
        <v>96</v>
      </c>
      <c r="Z142" s="15">
        <f>VLOOKUP($D142&amp;$B142,[3]!装备基础属性表,P$30,FALSE)</f>
        <v>9407.5583567617341</v>
      </c>
      <c r="AA142" s="15">
        <f>VLOOKUP($D142&amp;$B142,[3]!装备基础属性表,Q$30,FALSE)</f>
        <v>477.83727914438515</v>
      </c>
      <c r="AB142" s="15">
        <f>VLOOKUP($D142&amp;$B142,[3]!装备基础属性表,R$30,FALSE)</f>
        <v>206.48312235701908</v>
      </c>
      <c r="AC142" s="15">
        <f>VLOOKUP($D142&amp;$B142,[3]!装备基础属性表,S$30,FALSE)</f>
        <v>375</v>
      </c>
      <c r="AD142" s="15">
        <f>VLOOKUP($D142&amp;$B142,[3]!装备基础属性表,T$30,FALSE)</f>
        <v>375</v>
      </c>
      <c r="AE142" s="15">
        <f>VLOOKUP($D142&amp;$B142,[3]!装备基础属性表,U$30,FALSE)</f>
        <v>222.2222222222222</v>
      </c>
      <c r="AF142" s="15">
        <f>VLOOKUP($D142&amp;$B142,[3]!装备基础属性表,V$30,FALSE)</f>
        <v>0</v>
      </c>
      <c r="AG142" s="15">
        <f>VLOOKUP($D142&amp;$B142,[3]!装备基础属性表,W$30,FALSE)</f>
        <v>222.2222222222222</v>
      </c>
      <c r="AH142" s="15">
        <f>VLOOKUP($D142&amp;$B142,[3]!装备基础属性表,X$30,FALSE)</f>
        <v>0</v>
      </c>
      <c r="AI142" s="15">
        <f>VLOOKUP($D142&amp;$B142,[3]!装备基础属性表,Y$30,FALSE)</f>
        <v>0</v>
      </c>
      <c r="AJ142" s="16" t="str">
        <f>B142&amp;VLOOKUP(C142,定义数据!$E$1:$F$7,2,FALSE)&amp;D142</f>
        <v>1270</v>
      </c>
      <c r="AK142" s="14">
        <f t="shared" si="29"/>
        <v>20</v>
      </c>
      <c r="AL142" s="5">
        <f t="shared" si="99"/>
        <v>3</v>
      </c>
      <c r="AM142" s="5" t="str">
        <f t="array" aca="1" ref="AM142" ca="1">IF(AM$31&gt;$AL142,0,IF(ISERROR(OFFSET($E$31,0,SMALL(IF($E142:$X142&gt;0,COLUMN($A:$T),""),AM$31)-1)),0,OFFSET($E$31,0,SMALL(IF($E142:$X142&gt;0,COLUMN($A:$T),""),AM$31)-1)))</f>
        <v>防御</v>
      </c>
      <c r="AN142" s="5">
        <f t="array" aca="1" ref="AN142" ca="1">IF(AM$31&gt;$AL142,0,IF(ISERROR(INDEX($E142:$X142,,SMALL(IF($E142:$X142&gt;0,COLUMN($A:$T),""),AN$31))),0,INDEX($E142:$X142,,SMALL(IF($E142:$X142&gt;0,COLUMN($A:$T),""),AN$31))))</f>
        <v>82.593248942807634</v>
      </c>
      <c r="AO142" s="5" t="str">
        <f t="array" aca="1" ref="AO142" ca="1">IF(AO$31&gt;$AL142,0,IF(ISERROR(OFFSET($E$31,0,SMALL(IF($E142:$X142&gt;0,COLUMN($A:$T),""),AO$31)-1)),0,OFFSET($E$31,0,SMALL(IF($E142:$X142&gt;0,COLUMN($A:$T),""),AO$31)-1)))</f>
        <v>闪避值</v>
      </c>
      <c r="AP142" s="5">
        <f t="array" aca="1" ref="AP142" ca="1">IF(AO$31&gt;$AL142,0,IF(ISERROR(INDEX($E142:$X142,,SMALL(IF($E142:$X142&gt;0,COLUMN($A:$T),""),AP$31))),0,INDEX($E142:$X142,,SMALL(IF($E142:$X142&gt;0,COLUMN($A:$T),""),AP$31))))</f>
        <v>125</v>
      </c>
      <c r="AQ142" s="5" t="str">
        <f t="array" aca="1" ref="AQ142" ca="1">IF(AQ$31&gt;$AL142,0,IF(ISERROR(OFFSET($E$31,0,SMALL(IF($E142:$X142&gt;0,COLUMN($A:$T),""),AQ$31)-1)),0,OFFSET($E$31,0,SMALL(IF($E142:$X142&gt;0,COLUMN($A:$T),""),AQ$31)-1)))</f>
        <v>生命</v>
      </c>
      <c r="AR142" s="5">
        <f t="array" aca="1" ref="AR142" ca="1">IF(AQ$31&gt;$AL142,0,IF(ISERROR(INDEX($E142:$X142,,SMALL(IF($E142:$X142&gt;0,COLUMN($A:$T),""),AR$31))),0,INDEX($E142:$X142,,SMALL(IF($E142:$X142&gt;0,COLUMN($A:$T),""),AR$31))))</f>
        <v>156.79263927936222</v>
      </c>
      <c r="AS142" s="5">
        <f t="array" aca="1" ref="AS142" ca="1">IF(AS$31&gt;$AL142,0,IF(ISERROR(OFFSET($E$31,0,SMALL(IF($E142:$X142&gt;0,COLUMN($A:$T),""),AS$31)-1)),0,OFFSET($E$31,0,SMALL(IF($E142:$X142&gt;0,COLUMN($A:$T),""),AS$31)-1)))</f>
        <v>0</v>
      </c>
      <c r="AT142" s="5">
        <f t="array" ref="AT142">IF(AS$31&gt;$AL142,0,IF(ISERROR(INDEX($E142:$X142,,SMALL(IF($E142:$X142&gt;0,COLUMN($A:$T),""),AT$31))),0,INDEX($E142:$X142,,SMALL(IF($E142:$X142&gt;0,COLUMN($A:$T),""),AT$31))))</f>
        <v>0</v>
      </c>
      <c r="AU142" s="5">
        <f t="array" aca="1" ref="AU142" ca="1">IF(AU$31&gt;$AL142,0,IF(ISERROR(OFFSET($E$31,0,SMALL(IF($E142:$X142&gt;0,COLUMN($A:$T),""),AU$31)-1)),0,OFFSET($E$31,0,SMALL(IF($E142:$X142&gt;0,COLUMN($A:$T),""),AU$31)-1)))</f>
        <v>0</v>
      </c>
      <c r="AV142" s="5">
        <f t="array" ref="AV142">IF(AU$31&gt;$AL142,0,IF(ISERROR(INDEX($E142:$X142,,SMALL(IF($E142:$X142&gt;0,COLUMN($A:$T),""),AV$31))),0,INDEX($E142:$X142,,SMALL(IF($E142:$X142&gt;0,COLUMN($A:$T),""),AV$31))))</f>
        <v>0</v>
      </c>
      <c r="AW142" s="5">
        <f t="array" aca="1" ref="AW142" ca="1">IF(AW$31&gt;$AL142,0,IF(ISERROR(OFFSET($E$31,0,SMALL(IF($E142:$X142&gt;0,COLUMN($A:$T),""),AW$31)-1)),0,OFFSET($E$31,0,SMALL(IF($E142:$X142&gt;0,COLUMN($A:$T),""),AW$31)-1)))</f>
        <v>0</v>
      </c>
      <c r="AX142" s="5">
        <f t="array" ref="AX142">IF(AW$31&gt;$AL142,0,IF(ISERROR(INDEX($E142:$X142,,SMALL(IF($E142:$X142&gt;0,COLUMN($A:$T),""),AX$31))),0,INDEX($E142:$X142,,SMALL(IF($E142:$X142&gt;0,COLUMN($A:$T),""),AX$31))))</f>
        <v>0</v>
      </c>
      <c r="AY142" s="5">
        <f t="array" aca="1" ref="AY142" ca="1">IF(AY$31&gt;$AL142,0,IF(ISERROR(OFFSET($E$31,0,SMALL(IF($E142:$X142&gt;0,COLUMN($A:$T),""),AY$31)-1)),0,OFFSET($E$31,0,SMALL(IF($E142:$X142&gt;0,COLUMN($A:$T),""),AY$31)-1)))</f>
        <v>0</v>
      </c>
      <c r="AZ142" s="5">
        <f t="array" ref="AZ142">IF(AY$31&gt;$AL142,0,IF(ISERROR(INDEX($E142:$X142,,SMALL(IF($E142:$X142&gt;0,COLUMN($A:$T),""),AZ$31))),0,INDEX($E142:$X142,,SMALL(IF($E142:$X142&gt;0,COLUMN($A:$T),""),AZ$31))))</f>
        <v>0</v>
      </c>
      <c r="BA142" s="5">
        <f t="array" aca="1" ref="BA142" ca="1">IF(BA$31&gt;$AL142,0,IF(ISERROR(OFFSET($E$31,0,SMALL(IF($E142:$X142&gt;0,COLUMN($A:$T),""),BA$31)-1)),0,OFFSET($E$31,0,SMALL(IF($E142:$X142&gt;0,COLUMN($A:$T),""),BA$31)-1)))</f>
        <v>0</v>
      </c>
      <c r="BB142" s="5">
        <f t="array" ref="BB142">IF(BA$31&gt;$AL142,0,IF(ISERROR(INDEX($E142:$X142,,SMALL(IF($E142:$X142&gt;0,COLUMN($A:$T),""),BB$31))),0,INDEX($E142:$X142,,SMALL(IF($E142:$X142&gt;0,COLUMN($A:$T),""),BB$31))))</f>
        <v>0</v>
      </c>
      <c r="BC142" s="5">
        <f t="array" aca="1" ref="BC142" ca="1">IF(BC$31&gt;$AL142,0,IF(ISERROR(OFFSET($E$31,0,SMALL(IF($E142:$X142&gt;0,COLUMN($A:$T),""),BC$31)-1)),0,OFFSET($E$31,0,SMALL(IF($E142:$X142&gt;0,COLUMN($A:$T),""),BC$31)-1)))</f>
        <v>0</v>
      </c>
      <c r="BD142" s="5">
        <f t="array" ref="BD142">IF(BC$31&gt;$AL142,0,IF(ISERROR(INDEX($E142:$X142,,SMALL(IF($E142:$X142&gt;0,COLUMN($A:$T),""),BD$31))),0,INDEX($E142:$X142,,SMALL(IF($E142:$X142&gt;0,COLUMN($A:$T),""),BD$31))))</f>
        <v>0</v>
      </c>
      <c r="BE142" s="5">
        <f t="array" aca="1" ref="BE142" ca="1">IF(BE$31&gt;$AL142,0,IF(ISERROR(OFFSET($E$31,0,SMALL(IF($E142:$X142&gt;0,COLUMN($A:$T),""),BE$31)-1)),0,OFFSET($E$31,0,SMALL(IF($E142:$X142&gt;0,COLUMN($A:$T),""),BE$31)-1)))</f>
        <v>0</v>
      </c>
      <c r="BF142" s="5">
        <f t="array" ref="BF142">IF(BE$31&gt;$AL142,0,IF(ISERROR(INDEX($E142:$X142,,SMALL(IF($E142:$X142&gt;0,COLUMN($A:$T),""),BF$31))),0,INDEX($E142:$X142,,SMALL(IF($E142:$X142&gt;0,COLUMN($A:$T),""),BF$31))))</f>
        <v>0</v>
      </c>
      <c r="BH142">
        <f ca="1">SUMPRODUCT(E142:N142,定义数据!$G$14:$P$14)</f>
        <v>125.09324894280763</v>
      </c>
      <c r="BI142">
        <f ca="1">SUMPRODUCT(O142:X142,定义数据!$G$14:$P$14)</f>
        <v>13.596424277124807</v>
      </c>
      <c r="BJ142" s="5">
        <f t="shared" ca="1" si="100"/>
        <v>138.68967321993244</v>
      </c>
      <c r="BK142" s="5" t="str">
        <f>D142&amp;B142&amp;VLOOKUP(C142,定义数据!$E$1:$F$7,2,FALSE)</f>
        <v>7012</v>
      </c>
    </row>
    <row r="143" spans="1:63" x14ac:dyDescent="0.15">
      <c r="A143" s="17" t="str">
        <f>D143&amp;B143&amp;VLOOKUP(C143,定义数据!$E$1:$F$7,2,FALSE)</f>
        <v>7015</v>
      </c>
      <c r="B143" s="18">
        <v>1</v>
      </c>
      <c r="C143" s="18" t="s">
        <v>279</v>
      </c>
      <c r="D143" s="24">
        <v>70</v>
      </c>
      <c r="E143" s="56">
        <f t="shared" ca="1" si="111"/>
        <v>1881.5116713523469</v>
      </c>
      <c r="F143" s="56">
        <f t="shared" ca="1" si="112"/>
        <v>0</v>
      </c>
      <c r="G143" s="56">
        <f t="shared" ca="1" si="113"/>
        <v>0</v>
      </c>
      <c r="H143" s="56">
        <f t="shared" ca="1" si="114"/>
        <v>250</v>
      </c>
      <c r="I143" s="56">
        <f t="shared" ca="1" si="115"/>
        <v>0</v>
      </c>
      <c r="J143" s="56">
        <f t="shared" ca="1" si="116"/>
        <v>0</v>
      </c>
      <c r="K143" s="56">
        <f t="shared" ca="1" si="117"/>
        <v>0</v>
      </c>
      <c r="L143" s="56">
        <f t="shared" ca="1" si="118"/>
        <v>0</v>
      </c>
      <c r="M143" s="56">
        <f t="shared" ca="1" si="119"/>
        <v>0</v>
      </c>
      <c r="N143" s="56">
        <f t="shared" ca="1" si="120"/>
        <v>0</v>
      </c>
      <c r="O143" s="65">
        <f t="shared" ca="1" si="101"/>
        <v>156.79263927936222</v>
      </c>
      <c r="P143" s="65">
        <f t="shared" ca="1" si="102"/>
        <v>0</v>
      </c>
      <c r="Q143" s="65">
        <f t="shared" ca="1" si="103"/>
        <v>0</v>
      </c>
      <c r="R143" s="65">
        <f t="shared" ca="1" si="104"/>
        <v>15</v>
      </c>
      <c r="S143" s="65">
        <f t="shared" ca="1" si="105"/>
        <v>12.5</v>
      </c>
      <c r="T143" s="65">
        <f t="shared" ca="1" si="106"/>
        <v>4.4444444444444446</v>
      </c>
      <c r="U143" s="65">
        <f t="shared" ca="1" si="107"/>
        <v>0</v>
      </c>
      <c r="V143" s="65">
        <f t="shared" ca="1" si="108"/>
        <v>0</v>
      </c>
      <c r="W143" s="65">
        <f t="shared" ca="1" si="109"/>
        <v>0</v>
      </c>
      <c r="X143" s="65">
        <f t="shared" ca="1" si="110"/>
        <v>0</v>
      </c>
      <c r="Y143" s="21"/>
      <c r="Z143" s="15">
        <f>VLOOKUP($D143&amp;$B143,[3]!装备基础属性表,P$30,FALSE)</f>
        <v>9407.5583567617341</v>
      </c>
      <c r="AA143" s="15">
        <f>VLOOKUP($D143&amp;$B143,[3]!装备基础属性表,Q$30,FALSE)</f>
        <v>477.83727914438515</v>
      </c>
      <c r="AB143" s="15">
        <f>VLOOKUP($D143&amp;$B143,[3]!装备基础属性表,R$30,FALSE)</f>
        <v>206.48312235701908</v>
      </c>
      <c r="AC143" s="15">
        <f>VLOOKUP($D143&amp;$B143,[3]!装备基础属性表,S$30,FALSE)</f>
        <v>375</v>
      </c>
      <c r="AD143" s="15">
        <f>VLOOKUP($D143&amp;$B143,[3]!装备基础属性表,T$30,FALSE)</f>
        <v>375</v>
      </c>
      <c r="AE143" s="15">
        <f>VLOOKUP($D143&amp;$B143,[3]!装备基础属性表,U$30,FALSE)</f>
        <v>222.2222222222222</v>
      </c>
      <c r="AF143" s="15">
        <f>VLOOKUP($D143&amp;$B143,[3]!装备基础属性表,V$30,FALSE)</f>
        <v>0</v>
      </c>
      <c r="AG143" s="15">
        <f>VLOOKUP($D143&amp;$B143,[3]!装备基础属性表,W$30,FALSE)</f>
        <v>222.2222222222222</v>
      </c>
      <c r="AH143" s="15">
        <f>VLOOKUP($D143&amp;$B143,[3]!装备基础属性表,X$30,FALSE)</f>
        <v>0</v>
      </c>
      <c r="AI143" s="15">
        <f>VLOOKUP($D143&amp;$B143,[3]!装备基础属性表,Y$30,FALSE)</f>
        <v>0</v>
      </c>
      <c r="AJ143" s="16" t="str">
        <f>B143&amp;VLOOKUP(C143,定义数据!$E$1:$F$7,2,FALSE)&amp;D143</f>
        <v>1570</v>
      </c>
      <c r="AK143" s="14">
        <f t="shared" si="29"/>
        <v>20</v>
      </c>
      <c r="AL143" s="5">
        <f t="shared" si="99"/>
        <v>3</v>
      </c>
      <c r="AM143" s="5" t="str">
        <f t="array" aca="1" ref="AM143" ca="1">IF(AM$31&gt;$AL143,0,IF(ISERROR(OFFSET($E$31,0,SMALL(IF($E143:$X143&gt;0,COLUMN($A:$T),""),AM$31)-1)),0,OFFSET($E$31,0,SMALL(IF($E143:$X143&gt;0,COLUMN($A:$T),""),AM$31)-1)))</f>
        <v>生命</v>
      </c>
      <c r="AN143" s="5">
        <f t="array" aca="1" ref="AN143" ca="1">IF(AM$31&gt;$AL143,0,IF(ISERROR(INDEX($E143:$X143,,SMALL(IF($E143:$X143&gt;0,COLUMN($A:$T),""),AN$31))),0,INDEX($E143:$X143,,SMALL(IF($E143:$X143&gt;0,COLUMN($A:$T),""),AN$31))))</f>
        <v>1881.5116713523469</v>
      </c>
      <c r="AO143" s="5" t="str">
        <f t="array" aca="1" ref="AO143" ca="1">IF(AO$31&gt;$AL143,0,IF(ISERROR(OFFSET($E$31,0,SMALL(IF($E143:$X143&gt;0,COLUMN($A:$T),""),AO$31)-1)),0,OFFSET($E$31,0,SMALL(IF($E143:$X143&gt;0,COLUMN($A:$T),""),AO$31)-1)))</f>
        <v>闪避值</v>
      </c>
      <c r="AP143" s="5">
        <f t="array" aca="1" ref="AP143" ca="1">IF(AO$31&gt;$AL143,0,IF(ISERROR(INDEX($E143:$X143,,SMALL(IF($E143:$X143&gt;0,COLUMN($A:$T),""),AP$31))),0,INDEX($E143:$X143,,SMALL(IF($E143:$X143&gt;0,COLUMN($A:$T),""),AP$31))))</f>
        <v>250</v>
      </c>
      <c r="AQ143" s="5" t="str">
        <f t="array" aca="1" ref="AQ143" ca="1">IF(AQ$31&gt;$AL143,0,IF(ISERROR(OFFSET($E$31,0,SMALL(IF($E143:$X143&gt;0,COLUMN($A:$T),""),AQ$31)-1)),0,OFFSET($E$31,0,SMALL(IF($E143:$X143&gt;0,COLUMN($A:$T),""),AQ$31)-1)))</f>
        <v>生命</v>
      </c>
      <c r="AR143" s="5">
        <f t="array" aca="1" ref="AR143" ca="1">IF(AQ$31&gt;$AL143,0,IF(ISERROR(INDEX($E143:$X143,,SMALL(IF($E143:$X143&gt;0,COLUMN($A:$T),""),AR$31))),0,INDEX($E143:$X143,,SMALL(IF($E143:$X143&gt;0,COLUMN($A:$T),""),AR$31))))</f>
        <v>156.79263927936222</v>
      </c>
      <c r="AS143" s="5">
        <f t="array" aca="1" ref="AS143" ca="1">IF(AS$31&gt;$AL143,0,IF(ISERROR(OFFSET($E$31,0,SMALL(IF($E143:$X143&gt;0,COLUMN($A:$T),""),AS$31)-1)),0,OFFSET($E$31,0,SMALL(IF($E143:$X143&gt;0,COLUMN($A:$T),""),AS$31)-1)))</f>
        <v>0</v>
      </c>
      <c r="AT143" s="5">
        <f t="array" ref="AT143">IF(AS$31&gt;$AL143,0,IF(ISERROR(INDEX($E143:$X143,,SMALL(IF($E143:$X143&gt;0,COLUMN($A:$T),""),AT$31))),0,INDEX($E143:$X143,,SMALL(IF($E143:$X143&gt;0,COLUMN($A:$T),""),AT$31))))</f>
        <v>0</v>
      </c>
      <c r="AU143" s="5">
        <f t="array" aca="1" ref="AU143" ca="1">IF(AU$31&gt;$AL143,0,IF(ISERROR(OFFSET($E$31,0,SMALL(IF($E143:$X143&gt;0,COLUMN($A:$T),""),AU$31)-1)),0,OFFSET($E$31,0,SMALL(IF($E143:$X143&gt;0,COLUMN($A:$T),""),AU$31)-1)))</f>
        <v>0</v>
      </c>
      <c r="AV143" s="5">
        <f t="array" ref="AV143">IF(AU$31&gt;$AL143,0,IF(ISERROR(INDEX($E143:$X143,,SMALL(IF($E143:$X143&gt;0,COLUMN($A:$T),""),AV$31))),0,INDEX($E143:$X143,,SMALL(IF($E143:$X143&gt;0,COLUMN($A:$T),""),AV$31))))</f>
        <v>0</v>
      </c>
      <c r="AW143" s="5">
        <f t="array" aca="1" ref="AW143" ca="1">IF(AW$31&gt;$AL143,0,IF(ISERROR(OFFSET($E$31,0,SMALL(IF($E143:$X143&gt;0,COLUMN($A:$T),""),AW$31)-1)),0,OFFSET($E$31,0,SMALL(IF($E143:$X143&gt;0,COLUMN($A:$T),""),AW$31)-1)))</f>
        <v>0</v>
      </c>
      <c r="AX143" s="5">
        <f t="array" ref="AX143">IF(AW$31&gt;$AL143,0,IF(ISERROR(INDEX($E143:$X143,,SMALL(IF($E143:$X143&gt;0,COLUMN($A:$T),""),AX$31))),0,INDEX($E143:$X143,,SMALL(IF($E143:$X143&gt;0,COLUMN($A:$T),""),AX$31))))</f>
        <v>0</v>
      </c>
      <c r="AY143" s="5">
        <f t="array" aca="1" ref="AY143" ca="1">IF(AY$31&gt;$AL143,0,IF(ISERROR(OFFSET($E$31,0,SMALL(IF($E143:$X143&gt;0,COLUMN($A:$T),""),AY$31)-1)),0,OFFSET($E$31,0,SMALL(IF($E143:$X143&gt;0,COLUMN($A:$T),""),AY$31)-1)))</f>
        <v>0</v>
      </c>
      <c r="AZ143" s="5">
        <f t="array" ref="AZ143">IF(AY$31&gt;$AL143,0,IF(ISERROR(INDEX($E143:$X143,,SMALL(IF($E143:$X143&gt;0,COLUMN($A:$T),""),AZ$31))),0,INDEX($E143:$X143,,SMALL(IF($E143:$X143&gt;0,COLUMN($A:$T),""),AZ$31))))</f>
        <v>0</v>
      </c>
      <c r="BA143" s="5">
        <f t="array" aca="1" ref="BA143" ca="1">IF(BA$31&gt;$AL143,0,IF(ISERROR(OFFSET($E$31,0,SMALL(IF($E143:$X143&gt;0,COLUMN($A:$T),""),BA$31)-1)),0,OFFSET($E$31,0,SMALL(IF($E143:$X143&gt;0,COLUMN($A:$T),""),BA$31)-1)))</f>
        <v>0</v>
      </c>
      <c r="BB143" s="5">
        <f t="array" ref="BB143">IF(BA$31&gt;$AL143,0,IF(ISERROR(INDEX($E143:$X143,,SMALL(IF($E143:$X143&gt;0,COLUMN($A:$T),""),BB$31))),0,INDEX($E143:$X143,,SMALL(IF($E143:$X143&gt;0,COLUMN($A:$T),""),BB$31))))</f>
        <v>0</v>
      </c>
      <c r="BC143" s="5">
        <f t="array" aca="1" ref="BC143" ca="1">IF(BC$31&gt;$AL143,0,IF(ISERROR(OFFSET($E$31,0,SMALL(IF($E143:$X143&gt;0,COLUMN($A:$T),""),BC$31)-1)),0,OFFSET($E$31,0,SMALL(IF($E143:$X143&gt;0,COLUMN($A:$T),""),BC$31)-1)))</f>
        <v>0</v>
      </c>
      <c r="BD143" s="5">
        <f t="array" ref="BD143">IF(BC$31&gt;$AL143,0,IF(ISERROR(INDEX($E143:$X143,,SMALL(IF($E143:$X143&gt;0,COLUMN($A:$T),""),BD$31))),0,INDEX($E143:$X143,,SMALL(IF($E143:$X143&gt;0,COLUMN($A:$T),""),BD$31))))</f>
        <v>0</v>
      </c>
      <c r="BE143" s="5">
        <f t="array" aca="1" ref="BE143" ca="1">IF(BE$31&gt;$AL143,0,IF(ISERROR(OFFSET($E$31,0,SMALL(IF($E143:$X143&gt;0,COLUMN($A:$T),""),BE$31)-1)),0,OFFSET($E$31,0,SMALL(IF($E143:$X143&gt;0,COLUMN($A:$T),""),BE$31)-1)))</f>
        <v>0</v>
      </c>
      <c r="BF143" s="5">
        <f t="array" ref="BF143">IF(BE$31&gt;$AL143,0,IF(ISERROR(INDEX($E143:$X143,,SMALL(IF($E143:$X143&gt;0,COLUMN($A:$T),""),BF$31))),0,INDEX($E143:$X143,,SMALL(IF($E143:$X143&gt;0,COLUMN($A:$T),""),BF$31))))</f>
        <v>0</v>
      </c>
      <c r="BH143">
        <f ca="1">SUMPRODUCT(E143:N143,定义数据!$G$14:$P$14)</f>
        <v>160.26046685409386</v>
      </c>
      <c r="BI143">
        <f ca="1">SUMPRODUCT(O143:X143,定义数据!$G$14:$P$14)</f>
        <v>16.421705571174488</v>
      </c>
      <c r="BJ143" s="5">
        <f t="shared" ca="1" si="100"/>
        <v>176.68217242526836</v>
      </c>
      <c r="BK143" s="5" t="str">
        <f>D143&amp;B143&amp;VLOOKUP(C143,定义数据!$E$1:$F$7,2,FALSE)</f>
        <v>7015</v>
      </c>
    </row>
    <row r="144" spans="1:63" x14ac:dyDescent="0.15">
      <c r="A144" s="17" t="str">
        <f>D144&amp;B144&amp;VLOOKUP(C144,定义数据!$E$1:$F$7,2,FALSE)</f>
        <v>7014</v>
      </c>
      <c r="B144" s="18">
        <v>1</v>
      </c>
      <c r="C144" s="18" t="s">
        <v>280</v>
      </c>
      <c r="D144" s="24">
        <v>70</v>
      </c>
      <c r="E144" s="56">
        <f t="shared" ca="1" si="111"/>
        <v>1881.5116713523469</v>
      </c>
      <c r="F144" s="56">
        <f t="shared" ca="1" si="112"/>
        <v>0</v>
      </c>
      <c r="G144" s="56">
        <f t="shared" ca="1" si="113"/>
        <v>0</v>
      </c>
      <c r="H144" s="56">
        <f t="shared" ca="1" si="114"/>
        <v>0</v>
      </c>
      <c r="I144" s="56">
        <f t="shared" ca="1" si="115"/>
        <v>0</v>
      </c>
      <c r="J144" s="56">
        <f t="shared" ca="1" si="116"/>
        <v>0</v>
      </c>
      <c r="K144" s="56">
        <f t="shared" ca="1" si="117"/>
        <v>0</v>
      </c>
      <c r="L144" s="56">
        <f t="shared" ca="1" si="118"/>
        <v>222.2222222222222</v>
      </c>
      <c r="M144" s="56">
        <f t="shared" ca="1" si="119"/>
        <v>0</v>
      </c>
      <c r="N144" s="56">
        <f t="shared" ca="1" si="120"/>
        <v>0</v>
      </c>
      <c r="O144" s="65">
        <f t="shared" ca="1" si="101"/>
        <v>313.58527855872444</v>
      </c>
      <c r="P144" s="65">
        <f t="shared" ca="1" si="102"/>
        <v>9.5567455828877037</v>
      </c>
      <c r="Q144" s="65">
        <f t="shared" ca="1" si="103"/>
        <v>3.4413853726169847</v>
      </c>
      <c r="R144" s="65">
        <f t="shared" ca="1" si="104"/>
        <v>0</v>
      </c>
      <c r="S144" s="65">
        <f t="shared" ca="1" si="105"/>
        <v>0</v>
      </c>
      <c r="T144" s="65">
        <f t="shared" ca="1" si="106"/>
        <v>0</v>
      </c>
      <c r="U144" s="65">
        <f t="shared" ca="1" si="107"/>
        <v>0</v>
      </c>
      <c r="V144" s="65">
        <f t="shared" ca="1" si="108"/>
        <v>7.4074074074074066</v>
      </c>
      <c r="W144" s="65">
        <f t="shared" ca="1" si="109"/>
        <v>0</v>
      </c>
      <c r="X144" s="65">
        <f t="shared" ca="1" si="110"/>
        <v>0</v>
      </c>
      <c r="Y144" s="21"/>
      <c r="Z144" s="15">
        <f>VLOOKUP($D144&amp;$B144,[3]!装备基础属性表,P$30,FALSE)</f>
        <v>9407.5583567617341</v>
      </c>
      <c r="AA144" s="15">
        <f>VLOOKUP($D144&amp;$B144,[3]!装备基础属性表,Q$30,FALSE)</f>
        <v>477.83727914438515</v>
      </c>
      <c r="AB144" s="15">
        <f>VLOOKUP($D144&amp;$B144,[3]!装备基础属性表,R$30,FALSE)</f>
        <v>206.48312235701908</v>
      </c>
      <c r="AC144" s="15">
        <f>VLOOKUP($D144&amp;$B144,[3]!装备基础属性表,S$30,FALSE)</f>
        <v>375</v>
      </c>
      <c r="AD144" s="15">
        <f>VLOOKUP($D144&amp;$B144,[3]!装备基础属性表,T$30,FALSE)</f>
        <v>375</v>
      </c>
      <c r="AE144" s="15">
        <f>VLOOKUP($D144&amp;$B144,[3]!装备基础属性表,U$30,FALSE)</f>
        <v>222.2222222222222</v>
      </c>
      <c r="AF144" s="15">
        <f>VLOOKUP($D144&amp;$B144,[3]!装备基础属性表,V$30,FALSE)</f>
        <v>0</v>
      </c>
      <c r="AG144" s="15">
        <f>VLOOKUP($D144&amp;$B144,[3]!装备基础属性表,W$30,FALSE)</f>
        <v>222.2222222222222</v>
      </c>
      <c r="AH144" s="15">
        <f>VLOOKUP($D144&amp;$B144,[3]!装备基础属性表,X$30,FALSE)</f>
        <v>0</v>
      </c>
      <c r="AI144" s="15">
        <f>VLOOKUP($D144&amp;$B144,[3]!装备基础属性表,Y$30,FALSE)</f>
        <v>0</v>
      </c>
      <c r="AJ144" s="16" t="str">
        <f>B144&amp;VLOOKUP(C144,定义数据!$E$1:$F$7,2,FALSE)&amp;D144</f>
        <v>1470</v>
      </c>
      <c r="AK144" s="14">
        <f t="shared" si="29"/>
        <v>20</v>
      </c>
      <c r="AL144" s="5">
        <f t="shared" ref="AL144:AL187" si="121">B144+2</f>
        <v>3</v>
      </c>
      <c r="AM144" s="5" t="str">
        <f t="array" aca="1" ref="AM144" ca="1">IF(AM$31&gt;$AL144,0,IF(ISERROR(OFFSET($E$31,0,SMALL(IF($E144:$X144&gt;0,COLUMN($A:$T),""),AM$31)-1)),0,OFFSET($E$31,0,SMALL(IF($E144:$X144&gt;0,COLUMN($A:$T),""),AM$31)-1)))</f>
        <v>生命</v>
      </c>
      <c r="AN144" s="5">
        <f t="array" aca="1" ref="AN144" ca="1">IF(AM$31&gt;$AL144,0,IF(ISERROR(INDEX($E144:$X144,,SMALL(IF($E144:$X144&gt;0,COLUMN($A:$T),""),AN$31))),0,INDEX($E144:$X144,,SMALL(IF($E144:$X144&gt;0,COLUMN($A:$T),""),AN$31))))</f>
        <v>1881.5116713523469</v>
      </c>
      <c r="AO144" s="5" t="str">
        <f t="array" aca="1" ref="AO144" ca="1">IF(AO$31&gt;$AL144,0,IF(ISERROR(OFFSET($E$31,0,SMALL(IF($E144:$X144&gt;0,COLUMN($A:$T),""),AO$31)-1)),0,OFFSET($E$31,0,SMALL(IF($E144:$X144&gt;0,COLUMN($A:$T),""),AO$31)-1)))</f>
        <v>韧性值</v>
      </c>
      <c r="AP144" s="5">
        <f t="array" aca="1" ref="AP144" ca="1">IF(AO$31&gt;$AL144,0,IF(ISERROR(INDEX($E144:$X144,,SMALL(IF($E144:$X144&gt;0,COLUMN($A:$T),""),AP$31))),0,INDEX($E144:$X144,,SMALL(IF($E144:$X144&gt;0,COLUMN($A:$T),""),AP$31))))</f>
        <v>222.2222222222222</v>
      </c>
      <c r="AQ144" s="5" t="str">
        <f t="array" aca="1" ref="AQ144" ca="1">IF(AQ$31&gt;$AL144,0,IF(ISERROR(OFFSET($E$31,0,SMALL(IF($E144:$X144&gt;0,COLUMN($A:$T),""),AQ$31)-1)),0,OFFSET($E$31,0,SMALL(IF($E144:$X144&gt;0,COLUMN($A:$T),""),AQ$31)-1)))</f>
        <v>生命</v>
      </c>
      <c r="AR144" s="5">
        <f t="array" aca="1" ref="AR144" ca="1">IF(AQ$31&gt;$AL144,0,IF(ISERROR(INDEX($E144:$X144,,SMALL(IF($E144:$X144&gt;0,COLUMN($A:$T),""),AR$31))),0,INDEX($E144:$X144,,SMALL(IF($E144:$X144&gt;0,COLUMN($A:$T),""),AR$31))))</f>
        <v>313.58527855872444</v>
      </c>
      <c r="AS144" s="5">
        <f t="array" aca="1" ref="AS144" ca="1">IF(AS$31&gt;$AL144,0,IF(ISERROR(OFFSET($E$31,0,SMALL(IF($E144:$X144&gt;0,COLUMN($A:$T),""),AS$31)-1)),0,OFFSET($E$31,0,SMALL(IF($E144:$X144&gt;0,COLUMN($A:$T),""),AS$31)-1)))</f>
        <v>0</v>
      </c>
      <c r="AT144" s="5">
        <f t="array" ref="AT144">IF(AS$31&gt;$AL144,0,IF(ISERROR(INDEX($E144:$X144,,SMALL(IF($E144:$X144&gt;0,COLUMN($A:$T),""),AT$31))),0,INDEX($E144:$X144,,SMALL(IF($E144:$X144&gt;0,COLUMN($A:$T),""),AT$31))))</f>
        <v>0</v>
      </c>
      <c r="AU144" s="5">
        <f t="array" aca="1" ref="AU144" ca="1">IF(AU$31&gt;$AL144,0,IF(ISERROR(OFFSET($E$31,0,SMALL(IF($E144:$X144&gt;0,COLUMN($A:$T),""),AU$31)-1)),0,OFFSET($E$31,0,SMALL(IF($E144:$X144&gt;0,COLUMN($A:$T),""),AU$31)-1)))</f>
        <v>0</v>
      </c>
      <c r="AV144" s="5">
        <f t="array" ref="AV144">IF(AU$31&gt;$AL144,0,IF(ISERROR(INDEX($E144:$X144,,SMALL(IF($E144:$X144&gt;0,COLUMN($A:$T),""),AV$31))),0,INDEX($E144:$X144,,SMALL(IF($E144:$X144&gt;0,COLUMN($A:$T),""),AV$31))))</f>
        <v>0</v>
      </c>
      <c r="AW144" s="5">
        <f t="array" aca="1" ref="AW144" ca="1">IF(AW$31&gt;$AL144,0,IF(ISERROR(OFFSET($E$31,0,SMALL(IF($E144:$X144&gt;0,COLUMN($A:$T),""),AW$31)-1)),0,OFFSET($E$31,0,SMALL(IF($E144:$X144&gt;0,COLUMN($A:$T),""),AW$31)-1)))</f>
        <v>0</v>
      </c>
      <c r="AX144" s="5">
        <f t="array" ref="AX144">IF(AW$31&gt;$AL144,0,IF(ISERROR(INDEX($E144:$X144,,SMALL(IF($E144:$X144&gt;0,COLUMN($A:$T),""),AX$31))),0,INDEX($E144:$X144,,SMALL(IF($E144:$X144&gt;0,COLUMN($A:$T),""),AX$31))))</f>
        <v>0</v>
      </c>
      <c r="AY144" s="5">
        <f t="array" aca="1" ref="AY144" ca="1">IF(AY$31&gt;$AL144,0,IF(ISERROR(OFFSET($E$31,0,SMALL(IF($E144:$X144&gt;0,COLUMN($A:$T),""),AY$31)-1)),0,OFFSET($E$31,0,SMALL(IF($E144:$X144&gt;0,COLUMN($A:$T),""),AY$31)-1)))</f>
        <v>0</v>
      </c>
      <c r="AZ144" s="5">
        <f t="array" ref="AZ144">IF(AY$31&gt;$AL144,0,IF(ISERROR(INDEX($E144:$X144,,SMALL(IF($E144:$X144&gt;0,COLUMN($A:$T),""),AZ$31))),0,INDEX($E144:$X144,,SMALL(IF($E144:$X144&gt;0,COLUMN($A:$T),""),AZ$31))))</f>
        <v>0</v>
      </c>
      <c r="BA144" s="5">
        <f t="array" aca="1" ref="BA144" ca="1">IF(BA$31&gt;$AL144,0,IF(ISERROR(OFFSET($E$31,0,SMALL(IF($E144:$X144&gt;0,COLUMN($A:$T),""),BA$31)-1)),0,OFFSET($E$31,0,SMALL(IF($E144:$X144&gt;0,COLUMN($A:$T),""),BA$31)-1)))</f>
        <v>0</v>
      </c>
      <c r="BB144" s="5">
        <f t="array" ref="BB144">IF(BA$31&gt;$AL144,0,IF(ISERROR(INDEX($E144:$X144,,SMALL(IF($E144:$X144&gt;0,COLUMN($A:$T),""),BB$31))),0,INDEX($E144:$X144,,SMALL(IF($E144:$X144&gt;0,COLUMN($A:$T),""),BB$31))))</f>
        <v>0</v>
      </c>
      <c r="BC144" s="5">
        <f t="array" aca="1" ref="BC144" ca="1">IF(BC$31&gt;$AL144,0,IF(ISERROR(OFFSET($E$31,0,SMALL(IF($E144:$X144&gt;0,COLUMN($A:$T),""),BC$31)-1)),0,OFFSET($E$31,0,SMALL(IF($E144:$X144&gt;0,COLUMN($A:$T),""),BC$31)-1)))</f>
        <v>0</v>
      </c>
      <c r="BD144" s="5">
        <f t="array" ref="BD144">IF(BC$31&gt;$AL144,0,IF(ISERROR(INDEX($E144:$X144,,SMALL(IF($E144:$X144&gt;0,COLUMN($A:$T),""),BD$31))),0,INDEX($E144:$X144,,SMALL(IF($E144:$X144&gt;0,COLUMN($A:$T),""),BD$31))))</f>
        <v>0</v>
      </c>
      <c r="BE144" s="5">
        <f t="array" aca="1" ref="BE144" ca="1">IF(BE$31&gt;$AL144,0,IF(ISERROR(OFFSET($E$31,0,SMALL(IF($E144:$X144&gt;0,COLUMN($A:$T),""),BE$31)-1)),0,OFFSET($E$31,0,SMALL(IF($E144:$X144&gt;0,COLUMN($A:$T),""),BE$31)-1)))</f>
        <v>0</v>
      </c>
      <c r="BF144" s="5">
        <f t="array" ref="BF144">IF(BE$31&gt;$AL144,0,IF(ISERROR(INDEX($E144:$X144,,SMALL(IF($E144:$X144&gt;0,COLUMN($A:$T),""),BF$31))),0,INDEX($E144:$X144,,SMALL(IF($E144:$X144&gt;0,COLUMN($A:$T),""),BF$31))))</f>
        <v>0</v>
      </c>
      <c r="BH144">
        <f ca="1">SUMPRODUCT(E144:N144,定义数据!$G$14:$P$14)</f>
        <v>115.26046685409386</v>
      </c>
      <c r="BI144">
        <f ca="1">SUMPRODUCT(O144:X144,定义数据!$G$14:$P$14)</f>
        <v>26.874875431186997</v>
      </c>
      <c r="BJ144" s="5">
        <f t="shared" ref="BJ144:BJ187" ca="1" si="122">SUM(BH144:BI144)</f>
        <v>142.13534228528087</v>
      </c>
      <c r="BK144" s="5" t="str">
        <f>D144&amp;B144&amp;VLOOKUP(C144,定义数据!$E$1:$F$7,2,FALSE)</f>
        <v>7014</v>
      </c>
    </row>
    <row r="145" spans="1:63" x14ac:dyDescent="0.15">
      <c r="A145" s="17" t="str">
        <f>D145&amp;B145&amp;VLOOKUP(C145,定义数据!$E$1:$F$7,2,FALSE)</f>
        <v>7013</v>
      </c>
      <c r="B145" s="18">
        <v>1</v>
      </c>
      <c r="C145" s="18" t="s">
        <v>281</v>
      </c>
      <c r="D145" s="24">
        <v>70</v>
      </c>
      <c r="E145" s="56">
        <f t="shared" ca="1" si="111"/>
        <v>0</v>
      </c>
      <c r="F145" s="56">
        <f t="shared" ca="1" si="112"/>
        <v>119.45931978609629</v>
      </c>
      <c r="G145" s="56">
        <f t="shared" ca="1" si="113"/>
        <v>0</v>
      </c>
      <c r="H145" s="56">
        <f t="shared" ca="1" si="114"/>
        <v>0</v>
      </c>
      <c r="I145" s="56">
        <f t="shared" ca="1" si="115"/>
        <v>375</v>
      </c>
      <c r="J145" s="56">
        <f t="shared" ca="1" si="116"/>
        <v>0</v>
      </c>
      <c r="K145" s="56">
        <f t="shared" ca="1" si="117"/>
        <v>0</v>
      </c>
      <c r="L145" s="56">
        <f t="shared" ca="1" si="118"/>
        <v>0</v>
      </c>
      <c r="M145" s="56">
        <f t="shared" ca="1" si="119"/>
        <v>0</v>
      </c>
      <c r="N145" s="56">
        <f t="shared" ca="1" si="120"/>
        <v>0</v>
      </c>
      <c r="O145" s="65">
        <f t="shared" ca="1" si="101"/>
        <v>0</v>
      </c>
      <c r="P145" s="65">
        <f t="shared" ca="1" si="102"/>
        <v>9.5567455828877037</v>
      </c>
      <c r="Q145" s="65">
        <f t="shared" ca="1" si="103"/>
        <v>0</v>
      </c>
      <c r="R145" s="65">
        <f t="shared" ca="1" si="104"/>
        <v>7.5</v>
      </c>
      <c r="S145" s="65">
        <f t="shared" ca="1" si="105"/>
        <v>12.5</v>
      </c>
      <c r="T145" s="65">
        <f t="shared" ca="1" si="106"/>
        <v>8.8888888888888893</v>
      </c>
      <c r="U145" s="65">
        <f t="shared" ca="1" si="107"/>
        <v>0</v>
      </c>
      <c r="V145" s="65">
        <f t="shared" ca="1" si="108"/>
        <v>0</v>
      </c>
      <c r="W145" s="65">
        <f t="shared" ca="1" si="109"/>
        <v>0</v>
      </c>
      <c r="X145" s="65">
        <f t="shared" ca="1" si="110"/>
        <v>0</v>
      </c>
      <c r="Y145" s="21"/>
      <c r="Z145" s="15">
        <f>VLOOKUP($D145&amp;$B145,[3]!装备基础属性表,P$30,FALSE)</f>
        <v>9407.5583567617341</v>
      </c>
      <c r="AA145" s="15">
        <f>VLOOKUP($D145&amp;$B145,[3]!装备基础属性表,Q$30,FALSE)</f>
        <v>477.83727914438515</v>
      </c>
      <c r="AB145" s="15">
        <f>VLOOKUP($D145&amp;$B145,[3]!装备基础属性表,R$30,FALSE)</f>
        <v>206.48312235701908</v>
      </c>
      <c r="AC145" s="15">
        <f>VLOOKUP($D145&amp;$B145,[3]!装备基础属性表,S$30,FALSE)</f>
        <v>375</v>
      </c>
      <c r="AD145" s="15">
        <f>VLOOKUP($D145&amp;$B145,[3]!装备基础属性表,T$30,FALSE)</f>
        <v>375</v>
      </c>
      <c r="AE145" s="15">
        <f>VLOOKUP($D145&amp;$B145,[3]!装备基础属性表,U$30,FALSE)</f>
        <v>222.2222222222222</v>
      </c>
      <c r="AF145" s="15">
        <f>VLOOKUP($D145&amp;$B145,[3]!装备基础属性表,V$30,FALSE)</f>
        <v>0</v>
      </c>
      <c r="AG145" s="15">
        <f>VLOOKUP($D145&amp;$B145,[3]!装备基础属性表,W$30,FALSE)</f>
        <v>222.2222222222222</v>
      </c>
      <c r="AH145" s="15">
        <f>VLOOKUP($D145&amp;$B145,[3]!装备基础属性表,X$30,FALSE)</f>
        <v>0</v>
      </c>
      <c r="AI145" s="15">
        <f>VLOOKUP($D145&amp;$B145,[3]!装备基础属性表,Y$30,FALSE)</f>
        <v>0</v>
      </c>
      <c r="AJ145" s="16" t="str">
        <f>B145&amp;VLOOKUP(C145,定义数据!$E$1:$F$7,2,FALSE)&amp;D145</f>
        <v>1370</v>
      </c>
      <c r="AK145" s="14">
        <f t="shared" si="29"/>
        <v>20</v>
      </c>
      <c r="AL145" s="5">
        <f t="shared" si="121"/>
        <v>3</v>
      </c>
      <c r="AM145" s="5" t="str">
        <f t="array" aca="1" ref="AM145" ca="1">IF(AM$31&gt;$AL145,0,IF(ISERROR(OFFSET($E$31,0,SMALL(IF($E145:$X145&gt;0,COLUMN($A:$T),""),AM$31)-1)),0,OFFSET($E$31,0,SMALL(IF($E145:$X145&gt;0,COLUMN($A:$T),""),AM$31)-1)))</f>
        <v>攻击</v>
      </c>
      <c r="AN145" s="5">
        <f t="array" aca="1" ref="AN145" ca="1">IF(AM$31&gt;$AL145,0,IF(ISERROR(INDEX($E145:$X145,,SMALL(IF($E145:$X145&gt;0,COLUMN($A:$T),""),AN$31))),0,INDEX($E145:$X145,,SMALL(IF($E145:$X145&gt;0,COLUMN($A:$T),""),AN$31))))</f>
        <v>119.45931978609629</v>
      </c>
      <c r="AO145" s="5" t="str">
        <f t="array" aca="1" ref="AO145" ca="1">IF(AO$31&gt;$AL145,0,IF(ISERROR(OFFSET($E$31,0,SMALL(IF($E145:$X145&gt;0,COLUMN($A:$T),""),AO$31)-1)),0,OFFSET($E$31,0,SMALL(IF($E145:$X145&gt;0,COLUMN($A:$T),""),AO$31)-1)))</f>
        <v>命中值</v>
      </c>
      <c r="AP145" s="5">
        <f t="array" aca="1" ref="AP145" ca="1">IF(AO$31&gt;$AL145,0,IF(ISERROR(INDEX($E145:$X145,,SMALL(IF($E145:$X145&gt;0,COLUMN($A:$T),""),AP$31))),0,INDEX($E145:$X145,,SMALL(IF($E145:$X145&gt;0,COLUMN($A:$T),""),AP$31))))</f>
        <v>375</v>
      </c>
      <c r="AQ145" s="5" t="str">
        <f t="array" aca="1" ref="AQ145" ca="1">IF(AQ$31&gt;$AL145,0,IF(ISERROR(OFFSET($E$31,0,SMALL(IF($E145:$X145&gt;0,COLUMN($A:$T),""),AQ$31)-1)),0,OFFSET($E$31,0,SMALL(IF($E145:$X145&gt;0,COLUMN($A:$T),""),AQ$31)-1)))</f>
        <v>攻击</v>
      </c>
      <c r="AR145" s="5">
        <f t="array" aca="1" ref="AR145" ca="1">IF(AQ$31&gt;$AL145,0,IF(ISERROR(INDEX($E145:$X145,,SMALL(IF($E145:$X145&gt;0,COLUMN($A:$T),""),AR$31))),0,INDEX($E145:$X145,,SMALL(IF($E145:$X145&gt;0,COLUMN($A:$T),""),AR$31))))</f>
        <v>9.5567455828877037</v>
      </c>
      <c r="AS145" s="5">
        <f t="array" aca="1" ref="AS145" ca="1">IF(AS$31&gt;$AL145,0,IF(ISERROR(OFFSET($E$31,0,SMALL(IF($E145:$X145&gt;0,COLUMN($A:$T),""),AS$31)-1)),0,OFFSET($E$31,0,SMALL(IF($E145:$X145&gt;0,COLUMN($A:$T),""),AS$31)-1)))</f>
        <v>0</v>
      </c>
      <c r="AT145" s="5">
        <f t="array" ref="AT145">IF(AS$31&gt;$AL145,0,IF(ISERROR(INDEX($E145:$X145,,SMALL(IF($E145:$X145&gt;0,COLUMN($A:$T),""),AT$31))),0,INDEX($E145:$X145,,SMALL(IF($E145:$X145&gt;0,COLUMN($A:$T),""),AT$31))))</f>
        <v>0</v>
      </c>
      <c r="AU145" s="5">
        <f t="array" aca="1" ref="AU145" ca="1">IF(AU$31&gt;$AL145,0,IF(ISERROR(OFFSET($E$31,0,SMALL(IF($E145:$X145&gt;0,COLUMN($A:$T),""),AU$31)-1)),0,OFFSET($E$31,0,SMALL(IF($E145:$X145&gt;0,COLUMN($A:$T),""),AU$31)-1)))</f>
        <v>0</v>
      </c>
      <c r="AV145" s="5">
        <f t="array" ref="AV145">IF(AU$31&gt;$AL145,0,IF(ISERROR(INDEX($E145:$X145,,SMALL(IF($E145:$X145&gt;0,COLUMN($A:$T),""),AV$31))),0,INDEX($E145:$X145,,SMALL(IF($E145:$X145&gt;0,COLUMN($A:$T),""),AV$31))))</f>
        <v>0</v>
      </c>
      <c r="AW145" s="5">
        <f t="array" aca="1" ref="AW145" ca="1">IF(AW$31&gt;$AL145,0,IF(ISERROR(OFFSET($E$31,0,SMALL(IF($E145:$X145&gt;0,COLUMN($A:$T),""),AW$31)-1)),0,OFFSET($E$31,0,SMALL(IF($E145:$X145&gt;0,COLUMN($A:$T),""),AW$31)-1)))</f>
        <v>0</v>
      </c>
      <c r="AX145" s="5">
        <f t="array" ref="AX145">IF(AW$31&gt;$AL145,0,IF(ISERROR(INDEX($E145:$X145,,SMALL(IF($E145:$X145&gt;0,COLUMN($A:$T),""),AX$31))),0,INDEX($E145:$X145,,SMALL(IF($E145:$X145&gt;0,COLUMN($A:$T),""),AX$31))))</f>
        <v>0</v>
      </c>
      <c r="AY145" s="5">
        <f t="array" aca="1" ref="AY145" ca="1">IF(AY$31&gt;$AL145,0,IF(ISERROR(OFFSET($E$31,0,SMALL(IF($E145:$X145&gt;0,COLUMN($A:$T),""),AY$31)-1)),0,OFFSET($E$31,0,SMALL(IF($E145:$X145&gt;0,COLUMN($A:$T),""),AY$31)-1)))</f>
        <v>0</v>
      </c>
      <c r="AZ145" s="5">
        <f t="array" ref="AZ145">IF(AY$31&gt;$AL145,0,IF(ISERROR(INDEX($E145:$X145,,SMALL(IF($E145:$X145&gt;0,COLUMN($A:$T),""),AZ$31))),0,INDEX($E145:$X145,,SMALL(IF($E145:$X145&gt;0,COLUMN($A:$T),""),AZ$31))))</f>
        <v>0</v>
      </c>
      <c r="BA145" s="5">
        <f t="array" aca="1" ref="BA145" ca="1">IF(BA$31&gt;$AL145,0,IF(ISERROR(OFFSET($E$31,0,SMALL(IF($E145:$X145&gt;0,COLUMN($A:$T),""),BA$31)-1)),0,OFFSET($E$31,0,SMALL(IF($E145:$X145&gt;0,COLUMN($A:$T),""),BA$31)-1)))</f>
        <v>0</v>
      </c>
      <c r="BB145" s="5">
        <f t="array" ref="BB145">IF(BA$31&gt;$AL145,0,IF(ISERROR(INDEX($E145:$X145,,SMALL(IF($E145:$X145&gt;0,COLUMN($A:$T),""),BB$31))),0,INDEX($E145:$X145,,SMALL(IF($E145:$X145&gt;0,COLUMN($A:$T),""),BB$31))))</f>
        <v>0</v>
      </c>
      <c r="BC145" s="5">
        <f t="array" aca="1" ref="BC145" ca="1">IF(BC$31&gt;$AL145,0,IF(ISERROR(OFFSET($E$31,0,SMALL(IF($E145:$X145&gt;0,COLUMN($A:$T),""),BC$31)-1)),0,OFFSET($E$31,0,SMALL(IF($E145:$X145&gt;0,COLUMN($A:$T),""),BC$31)-1)))</f>
        <v>0</v>
      </c>
      <c r="BD145" s="5">
        <f t="array" ref="BD145">IF(BC$31&gt;$AL145,0,IF(ISERROR(INDEX($E145:$X145,,SMALL(IF($E145:$X145&gt;0,COLUMN($A:$T),""),BD$31))),0,INDEX($E145:$X145,,SMALL(IF($E145:$X145&gt;0,COLUMN($A:$T),""),BD$31))))</f>
        <v>0</v>
      </c>
      <c r="BE145" s="5">
        <f t="array" aca="1" ref="BE145" ca="1">IF(BE$31&gt;$AL145,0,IF(ISERROR(OFFSET($E$31,0,SMALL(IF($E145:$X145&gt;0,COLUMN($A:$T),""),BE$31)-1)),0,OFFSET($E$31,0,SMALL(IF($E145:$X145&gt;0,COLUMN($A:$T),""),BE$31)-1)))</f>
        <v>0</v>
      </c>
      <c r="BF145" s="5">
        <f t="array" ref="BF145">IF(BE$31&gt;$AL145,0,IF(ISERROR(INDEX($E145:$X145,,SMALL(IF($E145:$X145&gt;0,COLUMN($A:$T),""),BF$31))),0,INDEX($E145:$X145,,SMALL(IF($E145:$X145&gt;0,COLUMN($A:$T),""),BF$31))))</f>
        <v>0</v>
      </c>
      <c r="BH145">
        <f ca="1">SUMPRODUCT(E145:N145,定义数据!$G$14:$P$14)</f>
        <v>246.9593197860963</v>
      </c>
      <c r="BI145">
        <f ca="1">SUMPRODUCT(O145:X145,定义数据!$G$14:$P$14)</f>
        <v>17.956745582887706</v>
      </c>
      <c r="BJ145" s="5">
        <f t="shared" ca="1" si="122"/>
        <v>264.91606536898399</v>
      </c>
      <c r="BK145" s="5" t="str">
        <f>D145&amp;B145&amp;VLOOKUP(C145,定义数据!$E$1:$F$7,2,FALSE)</f>
        <v>7013</v>
      </c>
    </row>
    <row r="146" spans="1:63" x14ac:dyDescent="0.15">
      <c r="A146" s="17" t="str">
        <f>D146&amp;B146&amp;VLOOKUP(C146,定义数据!$E$1:$F$7,2,FALSE)</f>
        <v>7020</v>
      </c>
      <c r="B146" s="18">
        <v>2</v>
      </c>
      <c r="C146" s="18" t="s">
        <v>141</v>
      </c>
      <c r="D146" s="24">
        <v>70</v>
      </c>
      <c r="E146" s="56">
        <f t="shared" ca="1" si="111"/>
        <v>0</v>
      </c>
      <c r="F146" s="56">
        <f t="shared" ca="1" si="112"/>
        <v>465.89134716577558</v>
      </c>
      <c r="G146" s="56">
        <f t="shared" ca="1" si="113"/>
        <v>0</v>
      </c>
      <c r="H146" s="56">
        <f t="shared" ca="1" si="114"/>
        <v>0</v>
      </c>
      <c r="I146" s="56">
        <f t="shared" ca="1" si="115"/>
        <v>0</v>
      </c>
      <c r="J146" s="56">
        <f t="shared" ca="1" si="116"/>
        <v>288.88888888888891</v>
      </c>
      <c r="K146" s="56">
        <f t="shared" ca="1" si="117"/>
        <v>0</v>
      </c>
      <c r="L146" s="56">
        <f t="shared" ca="1" si="118"/>
        <v>0</v>
      </c>
      <c r="M146" s="56">
        <f t="shared" ca="1" si="119"/>
        <v>0</v>
      </c>
      <c r="N146" s="56">
        <f t="shared" ca="1" si="120"/>
        <v>0</v>
      </c>
      <c r="O146" s="65">
        <f t="shared" ref="O146:O187" ca="1" si="123">VLOOKUP($C146,$D$14:$O$19,F$2,FALSE)/F$20*Z146*OFFSET($Q$24,0,$B146)</f>
        <v>0</v>
      </c>
      <c r="P146" s="65">
        <f t="shared" ref="P146:P187" ca="1" si="124">VLOOKUP($C146,$D$14:$O$19,G$2,FALSE)/G$20*AA146*OFFSET($Q$24,0,$B146)</f>
        <v>82.825128385026773</v>
      </c>
      <c r="Q146" s="65">
        <f t="shared" ref="Q146:Q187" ca="1" si="125">VLOOKUP($C146,$D$14:$O$19,H$2,FALSE)/H$20*AB146*OFFSET($Q$24,0,$B146)</f>
        <v>9.9417799653379557</v>
      </c>
      <c r="R146" s="65">
        <f t="shared" ref="R146:R187" ca="1" si="126">VLOOKUP($C146,$D$14:$O$19,I$2,FALSE)/I$20*AC146*OFFSET($Q$24,0,$B146)</f>
        <v>0</v>
      </c>
      <c r="S146" s="65">
        <f t="shared" ref="S146:S187" ca="1" si="127">VLOOKUP($C146,$D$14:$O$19,J$2,FALSE)/J$20*AD146*OFFSET($Q$24,0,$B146)</f>
        <v>36.111111111111107</v>
      </c>
      <c r="T146" s="65">
        <f t="shared" ref="T146:T187" ca="1" si="128">VLOOKUP($C146,$D$14:$O$19,K$2,FALSE)/K$20*AE146*OFFSET($Q$24,0,$B146)</f>
        <v>25.67901234567902</v>
      </c>
      <c r="U146" s="65">
        <f t="shared" ref="U146:U187" ca="1" si="129">VLOOKUP($C146,$D$14:$O$19,L$2,FALSE)/L$20*AF146*OFFSET($Q$24,0,$B146)</f>
        <v>0</v>
      </c>
      <c r="V146" s="65">
        <f t="shared" ref="V146:V187" ca="1" si="130">VLOOKUP($C146,$D$14:$O$19,M$2,FALSE)/M$20*AG146*OFFSET($Q$24,0,$B146)</f>
        <v>0</v>
      </c>
      <c r="W146" s="65">
        <f t="shared" ref="W146:W187" ca="1" si="131">VLOOKUP($C146,$D$14:$O$19,N$2,FALSE)/N$20*AH146*OFFSET($Q$24,0,$B146)</f>
        <v>0</v>
      </c>
      <c r="X146" s="65">
        <f t="shared" ref="X146:X187" ca="1" si="132">VLOOKUP($C146,$D$14:$O$19,O$2,FALSE)/O$20*AI146*OFFSET($Q$24,0,$B146)</f>
        <v>0</v>
      </c>
      <c r="Y146" s="21" t="s">
        <v>94</v>
      </c>
      <c r="Z146" s="15">
        <f>VLOOKUP($D146&amp;$B146,[3]!装备基础属性表,P$30,FALSE)</f>
        <v>13588.695404211394</v>
      </c>
      <c r="AA146" s="15">
        <f>VLOOKUP($D146&amp;$B146,[3]!装备基础属性表,Q$30,FALSE)</f>
        <v>690.20940320855641</v>
      </c>
      <c r="AB146" s="15">
        <f>VLOOKUP($D146&amp;$B146,[3]!装备基础属性表,R$30,FALSE)</f>
        <v>298.25339896013867</v>
      </c>
      <c r="AC146" s="15">
        <f>VLOOKUP($D146&amp;$B146,[3]!装备基础属性表,S$30,FALSE)</f>
        <v>541.66666666666663</v>
      </c>
      <c r="AD146" s="15">
        <f>VLOOKUP($D146&amp;$B146,[3]!装备基础属性表,T$30,FALSE)</f>
        <v>541.66666666666663</v>
      </c>
      <c r="AE146" s="15">
        <f>VLOOKUP($D146&amp;$B146,[3]!装备基础属性表,U$30,FALSE)</f>
        <v>320.9876543209877</v>
      </c>
      <c r="AF146" s="15">
        <f>VLOOKUP($D146&amp;$B146,[3]!装备基础属性表,V$30,FALSE)</f>
        <v>0</v>
      </c>
      <c r="AG146" s="15">
        <f>VLOOKUP($D146&amp;$B146,[3]!装备基础属性表,W$30,FALSE)</f>
        <v>320.9876543209877</v>
      </c>
      <c r="AH146" s="15">
        <f>VLOOKUP($D146&amp;$B146,[3]!装备基础属性表,X$30,FALSE)</f>
        <v>0</v>
      </c>
      <c r="AI146" s="15">
        <f>VLOOKUP($D146&amp;$B146,[3]!装备基础属性表,Y$30,FALSE)</f>
        <v>0</v>
      </c>
      <c r="AJ146" s="16" t="str">
        <f>B146&amp;VLOOKUP(C146,定义数据!$E$1:$F$7,2,FALSE)&amp;D146</f>
        <v>2070</v>
      </c>
      <c r="AK146" s="14">
        <f t="shared" si="29"/>
        <v>21</v>
      </c>
      <c r="AL146" s="5">
        <f t="shared" si="121"/>
        <v>4</v>
      </c>
      <c r="AM146" s="5" t="str">
        <f t="array" aca="1" ref="AM146" ca="1">IF(AM$31&gt;$AL146,0,IF(ISERROR(OFFSET($E$31,0,SMALL(IF($E146:$X146&gt;0,COLUMN($A:$T),""),AM$31)-1)),0,OFFSET($E$31,0,SMALL(IF($E146:$X146&gt;0,COLUMN($A:$T),""),AM$31)-1)))</f>
        <v>攻击</v>
      </c>
      <c r="AN146" s="5">
        <f t="array" aca="1" ref="AN146" ca="1">IF(AM$31&gt;$AL146,0,IF(ISERROR(INDEX($E146:$X146,,SMALL(IF($E146:$X146&gt;0,COLUMN($A:$T),""),AN$31))),0,INDEX($E146:$X146,,SMALL(IF($E146:$X146&gt;0,COLUMN($A:$T),""),AN$31))))</f>
        <v>465.89134716577558</v>
      </c>
      <c r="AO146" s="5" t="str">
        <f t="array" aca="1" ref="AO146" ca="1">IF(AO$31&gt;$AL146,0,IF(ISERROR(OFFSET($E$31,0,SMALL(IF($E146:$X146&gt;0,COLUMN($A:$T),""),AO$31)-1)),0,OFFSET($E$31,0,SMALL(IF($E146:$X146&gt;0,COLUMN($A:$T),""),AO$31)-1)))</f>
        <v>暴击值</v>
      </c>
      <c r="AP146" s="5">
        <f t="array" aca="1" ref="AP146" ca="1">IF(AO$31&gt;$AL146,0,IF(ISERROR(INDEX($E146:$X146,,SMALL(IF($E146:$X146&gt;0,COLUMN($A:$T),""),AP$31))),0,INDEX($E146:$X146,,SMALL(IF($E146:$X146&gt;0,COLUMN($A:$T),""),AP$31))))</f>
        <v>288.88888888888891</v>
      </c>
      <c r="AQ146" s="5" t="str">
        <f t="array" aca="1" ref="AQ146" ca="1">IF(AQ$31&gt;$AL146,0,IF(ISERROR(OFFSET($E$31,0,SMALL(IF($E146:$X146&gt;0,COLUMN($A:$T),""),AQ$31)-1)),0,OFFSET($E$31,0,SMALL(IF($E146:$X146&gt;0,COLUMN($A:$T),""),AQ$31)-1)))</f>
        <v>攻击</v>
      </c>
      <c r="AR146" s="5">
        <f t="array" aca="1" ref="AR146" ca="1">IF(AQ$31&gt;$AL146,0,IF(ISERROR(INDEX($E146:$X146,,SMALL(IF($E146:$X146&gt;0,COLUMN($A:$T),""),AR$31))),0,INDEX($E146:$X146,,SMALL(IF($E146:$X146&gt;0,COLUMN($A:$T),""),AR$31))))</f>
        <v>82.825128385026773</v>
      </c>
      <c r="AS146" s="5" t="str">
        <f t="array" aca="1" ref="AS146" ca="1">IF(AS$31&gt;$AL146,0,IF(ISERROR(OFFSET($E$31,0,SMALL(IF($E146:$X146&gt;0,COLUMN($A:$T),""),AS$31)-1)),0,OFFSET($E$31,0,SMALL(IF($E146:$X146&gt;0,COLUMN($A:$T),""),AS$31)-1)))</f>
        <v>防御</v>
      </c>
      <c r="AT146" s="5">
        <f t="array" aca="1" ref="AT146" ca="1">IF(AS$31&gt;$AL146,0,IF(ISERROR(INDEX($E146:$X146,,SMALL(IF($E146:$X146&gt;0,COLUMN($A:$T),""),AT$31))),0,INDEX($E146:$X146,,SMALL(IF($E146:$X146&gt;0,COLUMN($A:$T),""),AT$31))))</f>
        <v>9.9417799653379557</v>
      </c>
      <c r="AU146" s="5">
        <f t="array" aca="1" ref="AU146" ca="1">IF(AU$31&gt;$AL146,0,IF(ISERROR(OFFSET($E$31,0,SMALL(IF($E146:$X146&gt;0,COLUMN($A:$T),""),AU$31)-1)),0,OFFSET($E$31,0,SMALL(IF($E146:$X146&gt;0,COLUMN($A:$T),""),AU$31)-1)))</f>
        <v>0</v>
      </c>
      <c r="AV146" s="5">
        <f t="array" ref="AV146">IF(AU$31&gt;$AL146,0,IF(ISERROR(INDEX($E146:$X146,,SMALL(IF($E146:$X146&gt;0,COLUMN($A:$T),""),AV$31))),0,INDEX($E146:$X146,,SMALL(IF($E146:$X146&gt;0,COLUMN($A:$T),""),AV$31))))</f>
        <v>0</v>
      </c>
      <c r="AW146" s="5">
        <f t="array" aca="1" ref="AW146" ca="1">IF(AW$31&gt;$AL146,0,IF(ISERROR(OFFSET($E$31,0,SMALL(IF($E146:$X146&gt;0,COLUMN($A:$T),""),AW$31)-1)),0,OFFSET($E$31,0,SMALL(IF($E146:$X146&gt;0,COLUMN($A:$T),""),AW$31)-1)))</f>
        <v>0</v>
      </c>
      <c r="AX146" s="5">
        <f t="array" ref="AX146">IF(AW$31&gt;$AL146,0,IF(ISERROR(INDEX($E146:$X146,,SMALL(IF($E146:$X146&gt;0,COLUMN($A:$T),""),AX$31))),0,INDEX($E146:$X146,,SMALL(IF($E146:$X146&gt;0,COLUMN($A:$T),""),AX$31))))</f>
        <v>0</v>
      </c>
      <c r="AY146" s="5">
        <f t="array" aca="1" ref="AY146" ca="1">IF(AY$31&gt;$AL146,0,IF(ISERROR(OFFSET($E$31,0,SMALL(IF($E146:$X146&gt;0,COLUMN($A:$T),""),AY$31)-1)),0,OFFSET($E$31,0,SMALL(IF($E146:$X146&gt;0,COLUMN($A:$T),""),AY$31)-1)))</f>
        <v>0</v>
      </c>
      <c r="AZ146" s="5">
        <f t="array" ref="AZ146">IF(AY$31&gt;$AL146,0,IF(ISERROR(INDEX($E146:$X146,,SMALL(IF($E146:$X146&gt;0,COLUMN($A:$T),""),AZ$31))),0,INDEX($E146:$X146,,SMALL(IF($E146:$X146&gt;0,COLUMN($A:$T),""),AZ$31))))</f>
        <v>0</v>
      </c>
      <c r="BA146" s="5">
        <f t="array" aca="1" ref="BA146" ca="1">IF(BA$31&gt;$AL146,0,IF(ISERROR(OFFSET($E$31,0,SMALL(IF($E146:$X146&gt;0,COLUMN($A:$T),""),BA$31)-1)),0,OFFSET($E$31,0,SMALL(IF($E146:$X146&gt;0,COLUMN($A:$T),""),BA$31)-1)))</f>
        <v>0</v>
      </c>
      <c r="BB146" s="5">
        <f t="array" ref="BB146">IF(BA$31&gt;$AL146,0,IF(ISERROR(INDEX($E146:$X146,,SMALL(IF($E146:$X146&gt;0,COLUMN($A:$T),""),BB$31))),0,INDEX($E146:$X146,,SMALL(IF($E146:$X146&gt;0,COLUMN($A:$T),""),BB$31))))</f>
        <v>0</v>
      </c>
      <c r="BC146" s="5">
        <f t="array" aca="1" ref="BC146" ca="1">IF(BC$31&gt;$AL146,0,IF(ISERROR(OFFSET($E$31,0,SMALL(IF($E146:$X146&gt;0,COLUMN($A:$T),""),BC$31)-1)),0,OFFSET($E$31,0,SMALL(IF($E146:$X146&gt;0,COLUMN($A:$T),""),BC$31)-1)))</f>
        <v>0</v>
      </c>
      <c r="BD146" s="5">
        <f t="array" ref="BD146">IF(BC$31&gt;$AL146,0,IF(ISERROR(INDEX($E146:$X146,,SMALL(IF($E146:$X146&gt;0,COLUMN($A:$T),""),BD$31))),0,INDEX($E146:$X146,,SMALL(IF($E146:$X146&gt;0,COLUMN($A:$T),""),BD$31))))</f>
        <v>0</v>
      </c>
      <c r="BE146" s="5">
        <f t="array" aca="1" ref="BE146" ca="1">IF(BE$31&gt;$AL146,0,IF(ISERROR(OFFSET($E$31,0,SMALL(IF($E146:$X146&gt;0,COLUMN($A:$T),""),BE$31)-1)),0,OFFSET($E$31,0,SMALL(IF($E146:$X146&gt;0,COLUMN($A:$T),""),BE$31)-1)))</f>
        <v>0</v>
      </c>
      <c r="BF146" s="5">
        <f t="array" ref="BF146">IF(BE$31&gt;$AL146,0,IF(ISERROR(INDEX($E146:$X146,,SMALL(IF($E146:$X146&gt;0,COLUMN($A:$T),""),BF$31))),0,INDEX($E146:$X146,,SMALL(IF($E146:$X146&gt;0,COLUMN($A:$T),""),BF$31))))</f>
        <v>0</v>
      </c>
      <c r="BH146">
        <f ca="1">SUMPRODUCT(E146:N146,定义数据!$G$14:$P$14)</f>
        <v>517.89134716577564</v>
      </c>
      <c r="BI146">
        <f ca="1">SUMPRODUCT(O146:X146,定义数据!$G$14:$P$14)</f>
        <v>109.66690835036472</v>
      </c>
      <c r="BJ146" s="5">
        <f t="shared" ca="1" si="122"/>
        <v>627.55825551614032</v>
      </c>
      <c r="BK146" s="5" t="str">
        <f>D146&amp;B146&amp;VLOOKUP(C146,定义数据!$E$1:$F$7,2,FALSE)</f>
        <v>7020</v>
      </c>
    </row>
    <row r="147" spans="1:63" x14ac:dyDescent="0.15">
      <c r="A147" s="17" t="str">
        <f>D147&amp;B147&amp;VLOOKUP(C147,定义数据!$E$1:$F$7,2,FALSE)</f>
        <v>7021</v>
      </c>
      <c r="B147" s="18">
        <v>2</v>
      </c>
      <c r="C147" s="18" t="s">
        <v>136</v>
      </c>
      <c r="D147" s="24">
        <v>70</v>
      </c>
      <c r="E147" s="56">
        <f t="shared" ca="1" si="111"/>
        <v>7337.8955182741529</v>
      </c>
      <c r="F147" s="56">
        <f t="shared" ca="1" si="112"/>
        <v>0</v>
      </c>
      <c r="G147" s="56">
        <f t="shared" ca="1" si="113"/>
        <v>161.05683543847488</v>
      </c>
      <c r="H147" s="56">
        <f t="shared" ca="1" si="114"/>
        <v>0</v>
      </c>
      <c r="I147" s="56">
        <f t="shared" ca="1" si="115"/>
        <v>0</v>
      </c>
      <c r="J147" s="56">
        <f t="shared" ca="1" si="116"/>
        <v>0</v>
      </c>
      <c r="K147" s="56">
        <f t="shared" ca="1" si="117"/>
        <v>0</v>
      </c>
      <c r="L147" s="56">
        <f t="shared" ca="1" si="118"/>
        <v>0</v>
      </c>
      <c r="M147" s="56">
        <f t="shared" ca="1" si="119"/>
        <v>0</v>
      </c>
      <c r="N147" s="56">
        <f t="shared" ca="1" si="120"/>
        <v>0</v>
      </c>
      <c r="O147" s="65">
        <f t="shared" ca="1" si="123"/>
        <v>905.91302694742626</v>
      </c>
      <c r="P147" s="65">
        <f t="shared" ca="1" si="124"/>
        <v>0</v>
      </c>
      <c r="Q147" s="65">
        <f t="shared" ca="1" si="125"/>
        <v>29.825339896013869</v>
      </c>
      <c r="R147" s="65">
        <f t="shared" ca="1" si="126"/>
        <v>21.666666666666668</v>
      </c>
      <c r="S147" s="65">
        <f t="shared" ca="1" si="127"/>
        <v>0</v>
      </c>
      <c r="T147" s="65">
        <f t="shared" ca="1" si="128"/>
        <v>0</v>
      </c>
      <c r="U147" s="65">
        <f t="shared" ca="1" si="129"/>
        <v>0</v>
      </c>
      <c r="V147" s="65">
        <f t="shared" ca="1" si="130"/>
        <v>21.399176954732514</v>
      </c>
      <c r="W147" s="65">
        <f t="shared" ca="1" si="131"/>
        <v>0</v>
      </c>
      <c r="X147" s="65">
        <f t="shared" ca="1" si="132"/>
        <v>0</v>
      </c>
      <c r="Y147" s="21" t="s">
        <v>95</v>
      </c>
      <c r="Z147" s="15">
        <f>VLOOKUP($D147&amp;$B147,[3]!装备基础属性表,P$30,FALSE)</f>
        <v>13588.695404211394</v>
      </c>
      <c r="AA147" s="15">
        <f>VLOOKUP($D147&amp;$B147,[3]!装备基础属性表,Q$30,FALSE)</f>
        <v>690.20940320855641</v>
      </c>
      <c r="AB147" s="15">
        <f>VLOOKUP($D147&amp;$B147,[3]!装备基础属性表,R$30,FALSE)</f>
        <v>298.25339896013867</v>
      </c>
      <c r="AC147" s="15">
        <f>VLOOKUP($D147&amp;$B147,[3]!装备基础属性表,S$30,FALSE)</f>
        <v>541.66666666666663</v>
      </c>
      <c r="AD147" s="15">
        <f>VLOOKUP($D147&amp;$B147,[3]!装备基础属性表,T$30,FALSE)</f>
        <v>541.66666666666663</v>
      </c>
      <c r="AE147" s="15">
        <f>VLOOKUP($D147&amp;$B147,[3]!装备基础属性表,U$30,FALSE)</f>
        <v>320.9876543209877</v>
      </c>
      <c r="AF147" s="15">
        <f>VLOOKUP($D147&amp;$B147,[3]!装备基础属性表,V$30,FALSE)</f>
        <v>0</v>
      </c>
      <c r="AG147" s="15">
        <f>VLOOKUP($D147&amp;$B147,[3]!装备基础属性表,W$30,FALSE)</f>
        <v>320.9876543209877</v>
      </c>
      <c r="AH147" s="15">
        <f>VLOOKUP($D147&amp;$B147,[3]!装备基础属性表,X$30,FALSE)</f>
        <v>0</v>
      </c>
      <c r="AI147" s="15">
        <f>VLOOKUP($D147&amp;$B147,[3]!装备基础属性表,Y$30,FALSE)</f>
        <v>0</v>
      </c>
      <c r="AJ147" s="16" t="str">
        <f>B147&amp;VLOOKUP(C147,定义数据!$E$1:$F$7,2,FALSE)&amp;D147</f>
        <v>2170</v>
      </c>
      <c r="AK147" s="14">
        <f t="shared" si="29"/>
        <v>21</v>
      </c>
      <c r="AL147" s="5">
        <f t="shared" si="121"/>
        <v>4</v>
      </c>
      <c r="AM147" s="5" t="str">
        <f t="array" aca="1" ref="AM147" ca="1">IF(AM$31&gt;$AL147,0,IF(ISERROR(OFFSET($E$31,0,SMALL(IF($E147:$X147&gt;0,COLUMN($A:$T),""),AM$31)-1)),0,OFFSET($E$31,0,SMALL(IF($E147:$X147&gt;0,COLUMN($A:$T),""),AM$31)-1)))</f>
        <v>生命</v>
      </c>
      <c r="AN147" s="5">
        <f t="array" aca="1" ref="AN147" ca="1">IF(AM$31&gt;$AL147,0,IF(ISERROR(INDEX($E147:$X147,,SMALL(IF($E147:$X147&gt;0,COLUMN($A:$T),""),AN$31))),0,INDEX($E147:$X147,,SMALL(IF($E147:$X147&gt;0,COLUMN($A:$T),""),AN$31))))</f>
        <v>7337.8955182741529</v>
      </c>
      <c r="AO147" s="5" t="str">
        <f t="array" aca="1" ref="AO147" ca="1">IF(AO$31&gt;$AL147,0,IF(ISERROR(OFFSET($E$31,0,SMALL(IF($E147:$X147&gt;0,COLUMN($A:$T),""),AO$31)-1)),0,OFFSET($E$31,0,SMALL(IF($E147:$X147&gt;0,COLUMN($A:$T),""),AO$31)-1)))</f>
        <v>防御</v>
      </c>
      <c r="AP147" s="5">
        <f t="array" aca="1" ref="AP147" ca="1">IF(AO$31&gt;$AL147,0,IF(ISERROR(INDEX($E147:$X147,,SMALL(IF($E147:$X147&gt;0,COLUMN($A:$T),""),AP$31))),0,INDEX($E147:$X147,,SMALL(IF($E147:$X147&gt;0,COLUMN($A:$T),""),AP$31))))</f>
        <v>161.05683543847488</v>
      </c>
      <c r="AQ147" s="5" t="str">
        <f t="array" aca="1" ref="AQ147" ca="1">IF(AQ$31&gt;$AL147,0,IF(ISERROR(OFFSET($E$31,0,SMALL(IF($E147:$X147&gt;0,COLUMN($A:$T),""),AQ$31)-1)),0,OFFSET($E$31,0,SMALL(IF($E147:$X147&gt;0,COLUMN($A:$T),""),AQ$31)-1)))</f>
        <v>生命</v>
      </c>
      <c r="AR147" s="5">
        <f t="array" aca="1" ref="AR147" ca="1">IF(AQ$31&gt;$AL147,0,IF(ISERROR(INDEX($E147:$X147,,SMALL(IF($E147:$X147&gt;0,COLUMN($A:$T),""),AR$31))),0,INDEX($E147:$X147,,SMALL(IF($E147:$X147&gt;0,COLUMN($A:$T),""),AR$31))))</f>
        <v>905.91302694742626</v>
      </c>
      <c r="AS147" s="5" t="str">
        <f t="array" aca="1" ref="AS147" ca="1">IF(AS$31&gt;$AL147,0,IF(ISERROR(OFFSET($E$31,0,SMALL(IF($E147:$X147&gt;0,COLUMN($A:$T),""),AS$31)-1)),0,OFFSET($E$31,0,SMALL(IF($E147:$X147&gt;0,COLUMN($A:$T),""),AS$31)-1)))</f>
        <v>防御</v>
      </c>
      <c r="AT147" s="5">
        <f t="array" aca="1" ref="AT147" ca="1">IF(AS$31&gt;$AL147,0,IF(ISERROR(INDEX($E147:$X147,,SMALL(IF($E147:$X147&gt;0,COLUMN($A:$T),""),AT$31))),0,INDEX($E147:$X147,,SMALL(IF($E147:$X147&gt;0,COLUMN($A:$T),""),AT$31))))</f>
        <v>29.825339896013869</v>
      </c>
      <c r="AU147" s="5">
        <f t="array" aca="1" ref="AU147" ca="1">IF(AU$31&gt;$AL147,0,IF(ISERROR(OFFSET($E$31,0,SMALL(IF($E147:$X147&gt;0,COLUMN($A:$T),""),AU$31)-1)),0,OFFSET($E$31,0,SMALL(IF($E147:$X147&gt;0,COLUMN($A:$T),""),AU$31)-1)))</f>
        <v>0</v>
      </c>
      <c r="AV147" s="5">
        <f t="array" ref="AV147">IF(AU$31&gt;$AL147,0,IF(ISERROR(INDEX($E147:$X147,,SMALL(IF($E147:$X147&gt;0,COLUMN($A:$T),""),AV$31))),0,INDEX($E147:$X147,,SMALL(IF($E147:$X147&gt;0,COLUMN($A:$T),""),AV$31))))</f>
        <v>0</v>
      </c>
      <c r="AW147" s="5">
        <f t="array" aca="1" ref="AW147" ca="1">IF(AW$31&gt;$AL147,0,IF(ISERROR(OFFSET($E$31,0,SMALL(IF($E147:$X147&gt;0,COLUMN($A:$T),""),AW$31)-1)),0,OFFSET($E$31,0,SMALL(IF($E147:$X147&gt;0,COLUMN($A:$T),""),AW$31)-1)))</f>
        <v>0</v>
      </c>
      <c r="AX147" s="5">
        <f t="array" ref="AX147">IF(AW$31&gt;$AL147,0,IF(ISERROR(INDEX($E147:$X147,,SMALL(IF($E147:$X147&gt;0,COLUMN($A:$T),""),AX$31))),0,INDEX($E147:$X147,,SMALL(IF($E147:$X147&gt;0,COLUMN($A:$T),""),AX$31))))</f>
        <v>0</v>
      </c>
      <c r="AY147" s="5">
        <f t="array" aca="1" ref="AY147" ca="1">IF(AY$31&gt;$AL147,0,IF(ISERROR(OFFSET($E$31,0,SMALL(IF($E147:$X147&gt;0,COLUMN($A:$T),""),AY$31)-1)),0,OFFSET($E$31,0,SMALL(IF($E147:$X147&gt;0,COLUMN($A:$T),""),AY$31)-1)))</f>
        <v>0</v>
      </c>
      <c r="AZ147" s="5">
        <f t="array" ref="AZ147">IF(AY$31&gt;$AL147,0,IF(ISERROR(INDEX($E147:$X147,,SMALL(IF($E147:$X147&gt;0,COLUMN($A:$T),""),AZ$31))),0,INDEX($E147:$X147,,SMALL(IF($E147:$X147&gt;0,COLUMN($A:$T),""),AZ$31))))</f>
        <v>0</v>
      </c>
      <c r="BA147" s="5">
        <f t="array" aca="1" ref="BA147" ca="1">IF(BA$31&gt;$AL147,0,IF(ISERROR(OFFSET($E$31,0,SMALL(IF($E147:$X147&gt;0,COLUMN($A:$T),""),BA$31)-1)),0,OFFSET($E$31,0,SMALL(IF($E147:$X147&gt;0,COLUMN($A:$T),""),BA$31)-1)))</f>
        <v>0</v>
      </c>
      <c r="BB147" s="5">
        <f t="array" ref="BB147">IF(BA$31&gt;$AL147,0,IF(ISERROR(INDEX($E147:$X147,,SMALL(IF($E147:$X147&gt;0,COLUMN($A:$T),""),BB$31))),0,INDEX($E147:$X147,,SMALL(IF($E147:$X147&gt;0,COLUMN($A:$T),""),BB$31))))</f>
        <v>0</v>
      </c>
      <c r="BC147" s="5">
        <f t="array" aca="1" ref="BC147" ca="1">IF(BC$31&gt;$AL147,0,IF(ISERROR(OFFSET($E$31,0,SMALL(IF($E147:$X147&gt;0,COLUMN($A:$T),""),BC$31)-1)),0,OFFSET($E$31,0,SMALL(IF($E147:$X147&gt;0,COLUMN($A:$T),""),BC$31)-1)))</f>
        <v>0</v>
      </c>
      <c r="BD147" s="5">
        <f t="array" ref="BD147">IF(BC$31&gt;$AL147,0,IF(ISERROR(INDEX($E147:$X147,,SMALL(IF($E147:$X147&gt;0,COLUMN($A:$T),""),BD$31))),0,INDEX($E147:$X147,,SMALL(IF($E147:$X147&gt;0,COLUMN($A:$T),""),BD$31))))</f>
        <v>0</v>
      </c>
      <c r="BE147" s="5">
        <f t="array" aca="1" ref="BE147" ca="1">IF(BE$31&gt;$AL147,0,IF(ISERROR(OFFSET($E$31,0,SMALL(IF($E147:$X147&gt;0,COLUMN($A:$T),""),BE$31)-1)),0,OFFSET($E$31,0,SMALL(IF($E147:$X147&gt;0,COLUMN($A:$T),""),BE$31)-1)))</f>
        <v>0</v>
      </c>
      <c r="BF147" s="5">
        <f t="array" ref="BF147">IF(BE$31&gt;$AL147,0,IF(ISERROR(INDEX($E147:$X147,,SMALL(IF($E147:$X147&gt;0,COLUMN($A:$T),""),BF$31))),0,INDEX($E147:$X147,,SMALL(IF($E147:$X147&gt;0,COLUMN($A:$T),""),BF$31))))</f>
        <v>0</v>
      </c>
      <c r="BH147">
        <f ca="1">SUMPRODUCT(E147:N147,定义数据!$G$14:$P$14)</f>
        <v>454.57265616944102</v>
      </c>
      <c r="BI147">
        <f ca="1">SUMPRODUCT(O147:X147,定义数据!$G$14:$P$14)</f>
        <v>77.280379492429446</v>
      </c>
      <c r="BJ147" s="5">
        <f t="shared" ca="1" si="122"/>
        <v>531.85303566187042</v>
      </c>
      <c r="BK147" s="5" t="str">
        <f>D147&amp;B147&amp;VLOOKUP(C147,定义数据!$E$1:$F$7,2,FALSE)</f>
        <v>7021</v>
      </c>
    </row>
    <row r="148" spans="1:63" x14ac:dyDescent="0.15">
      <c r="A148" s="17" t="str">
        <f>D148&amp;B148&amp;VLOOKUP(C148,定义数据!$E$1:$F$7,2,FALSE)</f>
        <v>7022</v>
      </c>
      <c r="B148" s="18">
        <v>2</v>
      </c>
      <c r="C148" s="18" t="s">
        <v>137</v>
      </c>
      <c r="D148" s="24">
        <v>70</v>
      </c>
      <c r="E148" s="56">
        <f t="shared" ca="1" si="111"/>
        <v>0</v>
      </c>
      <c r="F148" s="56">
        <f t="shared" ca="1" si="112"/>
        <v>0</v>
      </c>
      <c r="G148" s="56">
        <f t="shared" ca="1" si="113"/>
        <v>107.37122362564993</v>
      </c>
      <c r="H148" s="56">
        <f t="shared" ca="1" si="114"/>
        <v>162.5</v>
      </c>
      <c r="I148" s="56">
        <f t="shared" ca="1" si="115"/>
        <v>0</v>
      </c>
      <c r="J148" s="56">
        <f t="shared" ca="1" si="116"/>
        <v>0</v>
      </c>
      <c r="K148" s="56">
        <f t="shared" ca="1" si="117"/>
        <v>0</v>
      </c>
      <c r="L148" s="56">
        <f t="shared" ca="1" si="118"/>
        <v>0</v>
      </c>
      <c r="M148" s="56">
        <f t="shared" ca="1" si="119"/>
        <v>0</v>
      </c>
      <c r="N148" s="56">
        <f t="shared" ca="1" si="120"/>
        <v>0</v>
      </c>
      <c r="O148" s="65">
        <f t="shared" ca="1" si="123"/>
        <v>452.95651347371313</v>
      </c>
      <c r="P148" s="65">
        <f t="shared" ca="1" si="124"/>
        <v>0</v>
      </c>
      <c r="Q148" s="65">
        <f t="shared" ca="1" si="125"/>
        <v>9.9417799653379557</v>
      </c>
      <c r="R148" s="65">
        <f t="shared" ca="1" si="126"/>
        <v>21.666666666666668</v>
      </c>
      <c r="S148" s="65">
        <f t="shared" ca="1" si="127"/>
        <v>0</v>
      </c>
      <c r="T148" s="65">
        <f t="shared" ca="1" si="128"/>
        <v>0</v>
      </c>
      <c r="U148" s="65">
        <f t="shared" ca="1" si="129"/>
        <v>0</v>
      </c>
      <c r="V148" s="65">
        <f t="shared" ca="1" si="130"/>
        <v>21.399176954732514</v>
      </c>
      <c r="W148" s="65">
        <f t="shared" ca="1" si="131"/>
        <v>0</v>
      </c>
      <c r="X148" s="65">
        <f t="shared" ca="1" si="132"/>
        <v>0</v>
      </c>
      <c r="Y148" s="21" t="s">
        <v>96</v>
      </c>
      <c r="Z148" s="15">
        <f>VLOOKUP($D148&amp;$B148,[3]!装备基础属性表,P$30,FALSE)</f>
        <v>13588.695404211394</v>
      </c>
      <c r="AA148" s="15">
        <f>VLOOKUP($D148&amp;$B148,[3]!装备基础属性表,Q$30,FALSE)</f>
        <v>690.20940320855641</v>
      </c>
      <c r="AB148" s="15">
        <f>VLOOKUP($D148&amp;$B148,[3]!装备基础属性表,R$30,FALSE)</f>
        <v>298.25339896013867</v>
      </c>
      <c r="AC148" s="15">
        <f>VLOOKUP($D148&amp;$B148,[3]!装备基础属性表,S$30,FALSE)</f>
        <v>541.66666666666663</v>
      </c>
      <c r="AD148" s="15">
        <f>VLOOKUP($D148&amp;$B148,[3]!装备基础属性表,T$30,FALSE)</f>
        <v>541.66666666666663</v>
      </c>
      <c r="AE148" s="15">
        <f>VLOOKUP($D148&amp;$B148,[3]!装备基础属性表,U$30,FALSE)</f>
        <v>320.9876543209877</v>
      </c>
      <c r="AF148" s="15">
        <f>VLOOKUP($D148&amp;$B148,[3]!装备基础属性表,V$30,FALSE)</f>
        <v>0</v>
      </c>
      <c r="AG148" s="15">
        <f>VLOOKUP($D148&amp;$B148,[3]!装备基础属性表,W$30,FALSE)</f>
        <v>320.9876543209877</v>
      </c>
      <c r="AH148" s="15">
        <f>VLOOKUP($D148&amp;$B148,[3]!装备基础属性表,X$30,FALSE)</f>
        <v>0</v>
      </c>
      <c r="AI148" s="15">
        <f>VLOOKUP($D148&amp;$B148,[3]!装备基础属性表,Y$30,FALSE)</f>
        <v>0</v>
      </c>
      <c r="AJ148" s="16" t="str">
        <f>B148&amp;VLOOKUP(C148,定义数据!$E$1:$F$7,2,FALSE)&amp;D148</f>
        <v>2270</v>
      </c>
      <c r="AK148" s="14">
        <f t="shared" si="29"/>
        <v>21</v>
      </c>
      <c r="AL148" s="5">
        <f t="shared" si="121"/>
        <v>4</v>
      </c>
      <c r="AM148" s="5" t="str">
        <f t="array" aca="1" ref="AM148" ca="1">IF(AM$31&gt;$AL148,0,IF(ISERROR(OFFSET($E$31,0,SMALL(IF($E148:$X148&gt;0,COLUMN($A:$T),""),AM$31)-1)),0,OFFSET($E$31,0,SMALL(IF($E148:$X148&gt;0,COLUMN($A:$T),""),AM$31)-1)))</f>
        <v>防御</v>
      </c>
      <c r="AN148" s="5">
        <f t="array" aca="1" ref="AN148" ca="1">IF(AM$31&gt;$AL148,0,IF(ISERROR(INDEX($E148:$X148,,SMALL(IF($E148:$X148&gt;0,COLUMN($A:$T),""),AN$31))),0,INDEX($E148:$X148,,SMALL(IF($E148:$X148&gt;0,COLUMN($A:$T),""),AN$31))))</f>
        <v>107.37122362564993</v>
      </c>
      <c r="AO148" s="5" t="str">
        <f t="array" aca="1" ref="AO148" ca="1">IF(AO$31&gt;$AL148,0,IF(ISERROR(OFFSET($E$31,0,SMALL(IF($E148:$X148&gt;0,COLUMN($A:$T),""),AO$31)-1)),0,OFFSET($E$31,0,SMALL(IF($E148:$X148&gt;0,COLUMN($A:$T),""),AO$31)-1)))</f>
        <v>闪避值</v>
      </c>
      <c r="AP148" s="5">
        <f t="array" aca="1" ref="AP148" ca="1">IF(AO$31&gt;$AL148,0,IF(ISERROR(INDEX($E148:$X148,,SMALL(IF($E148:$X148&gt;0,COLUMN($A:$T),""),AP$31))),0,INDEX($E148:$X148,,SMALL(IF($E148:$X148&gt;0,COLUMN($A:$T),""),AP$31))))</f>
        <v>162.5</v>
      </c>
      <c r="AQ148" s="5" t="str">
        <f t="array" aca="1" ref="AQ148" ca="1">IF(AQ$31&gt;$AL148,0,IF(ISERROR(OFFSET($E$31,0,SMALL(IF($E148:$X148&gt;0,COLUMN($A:$T),""),AQ$31)-1)),0,OFFSET($E$31,0,SMALL(IF($E148:$X148&gt;0,COLUMN($A:$T),""),AQ$31)-1)))</f>
        <v>生命</v>
      </c>
      <c r="AR148" s="5">
        <f t="array" aca="1" ref="AR148" ca="1">IF(AQ$31&gt;$AL148,0,IF(ISERROR(INDEX($E148:$X148,,SMALL(IF($E148:$X148&gt;0,COLUMN($A:$T),""),AR$31))),0,INDEX($E148:$X148,,SMALL(IF($E148:$X148&gt;0,COLUMN($A:$T),""),AR$31))))</f>
        <v>452.95651347371313</v>
      </c>
      <c r="AS148" s="5" t="str">
        <f t="array" aca="1" ref="AS148" ca="1">IF(AS$31&gt;$AL148,0,IF(ISERROR(OFFSET($E$31,0,SMALL(IF($E148:$X148&gt;0,COLUMN($A:$T),""),AS$31)-1)),0,OFFSET($E$31,0,SMALL(IF($E148:$X148&gt;0,COLUMN($A:$T),""),AS$31)-1)))</f>
        <v>防御</v>
      </c>
      <c r="AT148" s="5">
        <f t="array" aca="1" ref="AT148" ca="1">IF(AS$31&gt;$AL148,0,IF(ISERROR(INDEX($E148:$X148,,SMALL(IF($E148:$X148&gt;0,COLUMN($A:$T),""),AT$31))),0,INDEX($E148:$X148,,SMALL(IF($E148:$X148&gt;0,COLUMN($A:$T),""),AT$31))))</f>
        <v>9.9417799653379557</v>
      </c>
      <c r="AU148" s="5">
        <f t="array" aca="1" ref="AU148" ca="1">IF(AU$31&gt;$AL148,0,IF(ISERROR(OFFSET($E$31,0,SMALL(IF($E148:$X148&gt;0,COLUMN($A:$T),""),AU$31)-1)),0,OFFSET($E$31,0,SMALL(IF($E148:$X148&gt;0,COLUMN($A:$T),""),AU$31)-1)))</f>
        <v>0</v>
      </c>
      <c r="AV148" s="5">
        <f t="array" ref="AV148">IF(AU$31&gt;$AL148,0,IF(ISERROR(INDEX($E148:$X148,,SMALL(IF($E148:$X148&gt;0,COLUMN($A:$T),""),AV$31))),0,INDEX($E148:$X148,,SMALL(IF($E148:$X148&gt;0,COLUMN($A:$T),""),AV$31))))</f>
        <v>0</v>
      </c>
      <c r="AW148" s="5">
        <f t="array" aca="1" ref="AW148" ca="1">IF(AW$31&gt;$AL148,0,IF(ISERROR(OFFSET($E$31,0,SMALL(IF($E148:$X148&gt;0,COLUMN($A:$T),""),AW$31)-1)),0,OFFSET($E$31,0,SMALL(IF($E148:$X148&gt;0,COLUMN($A:$T),""),AW$31)-1)))</f>
        <v>0</v>
      </c>
      <c r="AX148" s="5">
        <f t="array" ref="AX148">IF(AW$31&gt;$AL148,0,IF(ISERROR(INDEX($E148:$X148,,SMALL(IF($E148:$X148&gt;0,COLUMN($A:$T),""),AX$31))),0,INDEX($E148:$X148,,SMALL(IF($E148:$X148&gt;0,COLUMN($A:$T),""),AX$31))))</f>
        <v>0</v>
      </c>
      <c r="AY148" s="5">
        <f t="array" aca="1" ref="AY148" ca="1">IF(AY$31&gt;$AL148,0,IF(ISERROR(OFFSET($E$31,0,SMALL(IF($E148:$X148&gt;0,COLUMN($A:$T),""),AY$31)-1)),0,OFFSET($E$31,0,SMALL(IF($E148:$X148&gt;0,COLUMN($A:$T),""),AY$31)-1)))</f>
        <v>0</v>
      </c>
      <c r="AZ148" s="5">
        <f t="array" ref="AZ148">IF(AY$31&gt;$AL148,0,IF(ISERROR(INDEX($E148:$X148,,SMALL(IF($E148:$X148&gt;0,COLUMN($A:$T),""),AZ$31))),0,INDEX($E148:$X148,,SMALL(IF($E148:$X148&gt;0,COLUMN($A:$T),""),AZ$31))))</f>
        <v>0</v>
      </c>
      <c r="BA148" s="5">
        <f t="array" aca="1" ref="BA148" ca="1">IF(BA$31&gt;$AL148,0,IF(ISERROR(OFFSET($E$31,0,SMALL(IF($E148:$X148&gt;0,COLUMN($A:$T),""),BA$31)-1)),0,OFFSET($E$31,0,SMALL(IF($E148:$X148&gt;0,COLUMN($A:$T),""),BA$31)-1)))</f>
        <v>0</v>
      </c>
      <c r="BB148" s="5">
        <f t="array" ref="BB148">IF(BA$31&gt;$AL148,0,IF(ISERROR(INDEX($E148:$X148,,SMALL(IF($E148:$X148&gt;0,COLUMN($A:$T),""),BB$31))),0,INDEX($E148:$X148,,SMALL(IF($E148:$X148&gt;0,COLUMN($A:$T),""),BB$31))))</f>
        <v>0</v>
      </c>
      <c r="BC148" s="5">
        <f t="array" aca="1" ref="BC148" ca="1">IF(BC$31&gt;$AL148,0,IF(ISERROR(OFFSET($E$31,0,SMALL(IF($E148:$X148&gt;0,COLUMN($A:$T),""),BC$31)-1)),0,OFFSET($E$31,0,SMALL(IF($E148:$X148&gt;0,COLUMN($A:$T),""),BC$31)-1)))</f>
        <v>0</v>
      </c>
      <c r="BD148" s="5">
        <f t="array" ref="BD148">IF(BC$31&gt;$AL148,0,IF(ISERROR(INDEX($E148:$X148,,SMALL(IF($E148:$X148&gt;0,COLUMN($A:$T),""),BD$31))),0,INDEX($E148:$X148,,SMALL(IF($E148:$X148&gt;0,COLUMN($A:$T),""),BD$31))))</f>
        <v>0</v>
      </c>
      <c r="BE148" s="5">
        <f t="array" aca="1" ref="BE148" ca="1">IF(BE$31&gt;$AL148,0,IF(ISERROR(OFFSET($E$31,0,SMALL(IF($E148:$X148&gt;0,COLUMN($A:$T),""),BE$31)-1)),0,OFFSET($E$31,0,SMALL(IF($E148:$X148&gt;0,COLUMN($A:$T),""),BE$31)-1)))</f>
        <v>0</v>
      </c>
      <c r="BF148" s="5">
        <f t="array" ref="BF148">IF(BE$31&gt;$AL148,0,IF(ISERROR(INDEX($E148:$X148,,SMALL(IF($E148:$X148&gt;0,COLUMN($A:$T),""),BF$31))),0,INDEX($E148:$X148,,SMALL(IF($E148:$X148&gt;0,COLUMN($A:$T),""),BF$31))))</f>
        <v>0</v>
      </c>
      <c r="BH148">
        <f ca="1">SUMPRODUCT(E148:N148,定义数据!$G$14:$P$14)</f>
        <v>162.62122362564995</v>
      </c>
      <c r="BI148">
        <f ca="1">SUMPRODUCT(O148:X148,定义数据!$G$14:$P$14)</f>
        <v>39.278559022805005</v>
      </c>
      <c r="BJ148" s="5">
        <f t="shared" ca="1" si="122"/>
        <v>201.89978264845496</v>
      </c>
      <c r="BK148" s="5" t="str">
        <f>D148&amp;B148&amp;VLOOKUP(C148,定义数据!$E$1:$F$7,2,FALSE)</f>
        <v>7022</v>
      </c>
    </row>
    <row r="149" spans="1:63" x14ac:dyDescent="0.15">
      <c r="A149" s="17" t="str">
        <f>D149&amp;B149&amp;VLOOKUP(C149,定义数据!$E$1:$F$7,2,FALSE)</f>
        <v>7025</v>
      </c>
      <c r="B149" s="18">
        <v>2</v>
      </c>
      <c r="C149" s="18" t="s">
        <v>138</v>
      </c>
      <c r="D149" s="24">
        <v>70</v>
      </c>
      <c r="E149" s="56">
        <f t="shared" ca="1" si="111"/>
        <v>2445.9651727580508</v>
      </c>
      <c r="F149" s="56">
        <f t="shared" ca="1" si="112"/>
        <v>0</v>
      </c>
      <c r="G149" s="56">
        <f t="shared" ca="1" si="113"/>
        <v>0</v>
      </c>
      <c r="H149" s="56">
        <f t="shared" ca="1" si="114"/>
        <v>325</v>
      </c>
      <c r="I149" s="56">
        <f t="shared" ca="1" si="115"/>
        <v>0</v>
      </c>
      <c r="J149" s="56">
        <f t="shared" ca="1" si="116"/>
        <v>0</v>
      </c>
      <c r="K149" s="56">
        <f t="shared" ca="1" si="117"/>
        <v>0</v>
      </c>
      <c r="L149" s="56">
        <f t="shared" ca="1" si="118"/>
        <v>0</v>
      </c>
      <c r="M149" s="56">
        <f t="shared" ca="1" si="119"/>
        <v>0</v>
      </c>
      <c r="N149" s="56">
        <f t="shared" ca="1" si="120"/>
        <v>0</v>
      </c>
      <c r="O149" s="65">
        <f t="shared" ca="1" si="123"/>
        <v>452.95651347371313</v>
      </c>
      <c r="P149" s="65">
        <f t="shared" ca="1" si="124"/>
        <v>0</v>
      </c>
      <c r="Q149" s="65">
        <f t="shared" ca="1" si="125"/>
        <v>0</v>
      </c>
      <c r="R149" s="65">
        <f t="shared" ca="1" si="126"/>
        <v>43.333333333333336</v>
      </c>
      <c r="S149" s="65">
        <f t="shared" ca="1" si="127"/>
        <v>36.111111111111107</v>
      </c>
      <c r="T149" s="65">
        <f t="shared" ca="1" si="128"/>
        <v>12.83950617283951</v>
      </c>
      <c r="U149" s="65">
        <f t="shared" ca="1" si="129"/>
        <v>0</v>
      </c>
      <c r="V149" s="65">
        <f t="shared" ca="1" si="130"/>
        <v>0</v>
      </c>
      <c r="W149" s="65">
        <f t="shared" ca="1" si="131"/>
        <v>0</v>
      </c>
      <c r="X149" s="65">
        <f t="shared" ca="1" si="132"/>
        <v>0</v>
      </c>
      <c r="Y149" s="21"/>
      <c r="Z149" s="15">
        <f>VLOOKUP($D149&amp;$B149,[3]!装备基础属性表,P$30,FALSE)</f>
        <v>13588.695404211394</v>
      </c>
      <c r="AA149" s="15">
        <f>VLOOKUP($D149&amp;$B149,[3]!装备基础属性表,Q$30,FALSE)</f>
        <v>690.20940320855641</v>
      </c>
      <c r="AB149" s="15">
        <f>VLOOKUP($D149&amp;$B149,[3]!装备基础属性表,R$30,FALSE)</f>
        <v>298.25339896013867</v>
      </c>
      <c r="AC149" s="15">
        <f>VLOOKUP($D149&amp;$B149,[3]!装备基础属性表,S$30,FALSE)</f>
        <v>541.66666666666663</v>
      </c>
      <c r="AD149" s="15">
        <f>VLOOKUP($D149&amp;$B149,[3]!装备基础属性表,T$30,FALSE)</f>
        <v>541.66666666666663</v>
      </c>
      <c r="AE149" s="15">
        <f>VLOOKUP($D149&amp;$B149,[3]!装备基础属性表,U$30,FALSE)</f>
        <v>320.9876543209877</v>
      </c>
      <c r="AF149" s="15">
        <f>VLOOKUP($D149&amp;$B149,[3]!装备基础属性表,V$30,FALSE)</f>
        <v>0</v>
      </c>
      <c r="AG149" s="15">
        <f>VLOOKUP($D149&amp;$B149,[3]!装备基础属性表,W$30,FALSE)</f>
        <v>320.9876543209877</v>
      </c>
      <c r="AH149" s="15">
        <f>VLOOKUP($D149&amp;$B149,[3]!装备基础属性表,X$30,FALSE)</f>
        <v>0</v>
      </c>
      <c r="AI149" s="15">
        <f>VLOOKUP($D149&amp;$B149,[3]!装备基础属性表,Y$30,FALSE)</f>
        <v>0</v>
      </c>
      <c r="AJ149" s="16" t="str">
        <f>B149&amp;VLOOKUP(C149,定义数据!$E$1:$F$7,2,FALSE)&amp;D149</f>
        <v>2570</v>
      </c>
      <c r="AK149" s="14">
        <f t="shared" si="29"/>
        <v>21</v>
      </c>
      <c r="AL149" s="5">
        <f t="shared" si="121"/>
        <v>4</v>
      </c>
      <c r="AM149" s="5" t="str">
        <f t="array" aca="1" ref="AM149" ca="1">IF(AM$31&gt;$AL149,0,IF(ISERROR(OFFSET($E$31,0,SMALL(IF($E149:$X149&gt;0,COLUMN($A:$T),""),AM$31)-1)),0,OFFSET($E$31,0,SMALL(IF($E149:$X149&gt;0,COLUMN($A:$T),""),AM$31)-1)))</f>
        <v>生命</v>
      </c>
      <c r="AN149" s="5">
        <f t="array" aca="1" ref="AN149" ca="1">IF(AM$31&gt;$AL149,0,IF(ISERROR(INDEX($E149:$X149,,SMALL(IF($E149:$X149&gt;0,COLUMN($A:$T),""),AN$31))),0,INDEX($E149:$X149,,SMALL(IF($E149:$X149&gt;0,COLUMN($A:$T),""),AN$31))))</f>
        <v>2445.9651727580508</v>
      </c>
      <c r="AO149" s="5" t="str">
        <f t="array" aca="1" ref="AO149" ca="1">IF(AO$31&gt;$AL149,0,IF(ISERROR(OFFSET($E$31,0,SMALL(IF($E149:$X149&gt;0,COLUMN($A:$T),""),AO$31)-1)),0,OFFSET($E$31,0,SMALL(IF($E149:$X149&gt;0,COLUMN($A:$T),""),AO$31)-1)))</f>
        <v>闪避值</v>
      </c>
      <c r="AP149" s="5">
        <f t="array" aca="1" ref="AP149" ca="1">IF(AO$31&gt;$AL149,0,IF(ISERROR(INDEX($E149:$X149,,SMALL(IF($E149:$X149&gt;0,COLUMN($A:$T),""),AP$31))),0,INDEX($E149:$X149,,SMALL(IF($E149:$X149&gt;0,COLUMN($A:$T),""),AP$31))))</f>
        <v>325</v>
      </c>
      <c r="AQ149" s="5" t="str">
        <f t="array" aca="1" ref="AQ149" ca="1">IF(AQ$31&gt;$AL149,0,IF(ISERROR(OFFSET($E$31,0,SMALL(IF($E149:$X149&gt;0,COLUMN($A:$T),""),AQ$31)-1)),0,OFFSET($E$31,0,SMALL(IF($E149:$X149&gt;0,COLUMN($A:$T),""),AQ$31)-1)))</f>
        <v>生命</v>
      </c>
      <c r="AR149" s="5">
        <f t="array" aca="1" ref="AR149" ca="1">IF(AQ$31&gt;$AL149,0,IF(ISERROR(INDEX($E149:$X149,,SMALL(IF($E149:$X149&gt;0,COLUMN($A:$T),""),AR$31))),0,INDEX($E149:$X149,,SMALL(IF($E149:$X149&gt;0,COLUMN($A:$T),""),AR$31))))</f>
        <v>452.95651347371313</v>
      </c>
      <c r="AS149" s="5" t="str">
        <f t="array" aca="1" ref="AS149" ca="1">IF(AS$31&gt;$AL149,0,IF(ISERROR(OFFSET($E$31,0,SMALL(IF($E149:$X149&gt;0,COLUMN($A:$T),""),AS$31)-1)),0,OFFSET($E$31,0,SMALL(IF($E149:$X149&gt;0,COLUMN($A:$T),""),AS$31)-1)))</f>
        <v>闪避值</v>
      </c>
      <c r="AT149" s="5">
        <f t="array" aca="1" ref="AT149" ca="1">IF(AS$31&gt;$AL149,0,IF(ISERROR(INDEX($E149:$X149,,SMALL(IF($E149:$X149&gt;0,COLUMN($A:$T),""),AT$31))),0,INDEX($E149:$X149,,SMALL(IF($E149:$X149&gt;0,COLUMN($A:$T),""),AT$31))))</f>
        <v>43.333333333333336</v>
      </c>
      <c r="AU149" s="5">
        <f t="array" aca="1" ref="AU149" ca="1">IF(AU$31&gt;$AL149,0,IF(ISERROR(OFFSET($E$31,0,SMALL(IF($E149:$X149&gt;0,COLUMN($A:$T),""),AU$31)-1)),0,OFFSET($E$31,0,SMALL(IF($E149:$X149&gt;0,COLUMN($A:$T),""),AU$31)-1)))</f>
        <v>0</v>
      </c>
      <c r="AV149" s="5">
        <f t="array" ref="AV149">IF(AU$31&gt;$AL149,0,IF(ISERROR(INDEX($E149:$X149,,SMALL(IF($E149:$X149&gt;0,COLUMN($A:$T),""),AV$31))),0,INDEX($E149:$X149,,SMALL(IF($E149:$X149&gt;0,COLUMN($A:$T),""),AV$31))))</f>
        <v>0</v>
      </c>
      <c r="AW149" s="5">
        <f t="array" aca="1" ref="AW149" ca="1">IF(AW$31&gt;$AL149,0,IF(ISERROR(OFFSET($E$31,0,SMALL(IF($E149:$X149&gt;0,COLUMN($A:$T),""),AW$31)-1)),0,OFFSET($E$31,0,SMALL(IF($E149:$X149&gt;0,COLUMN($A:$T),""),AW$31)-1)))</f>
        <v>0</v>
      </c>
      <c r="AX149" s="5">
        <f t="array" ref="AX149">IF(AW$31&gt;$AL149,0,IF(ISERROR(INDEX($E149:$X149,,SMALL(IF($E149:$X149&gt;0,COLUMN($A:$T),""),AX$31))),0,INDEX($E149:$X149,,SMALL(IF($E149:$X149&gt;0,COLUMN($A:$T),""),AX$31))))</f>
        <v>0</v>
      </c>
      <c r="AY149" s="5">
        <f t="array" aca="1" ref="AY149" ca="1">IF(AY$31&gt;$AL149,0,IF(ISERROR(OFFSET($E$31,0,SMALL(IF($E149:$X149&gt;0,COLUMN($A:$T),""),AY$31)-1)),0,OFFSET($E$31,0,SMALL(IF($E149:$X149&gt;0,COLUMN($A:$T),""),AY$31)-1)))</f>
        <v>0</v>
      </c>
      <c r="AZ149" s="5">
        <f t="array" ref="AZ149">IF(AY$31&gt;$AL149,0,IF(ISERROR(INDEX($E149:$X149,,SMALL(IF($E149:$X149&gt;0,COLUMN($A:$T),""),AZ$31))),0,INDEX($E149:$X149,,SMALL(IF($E149:$X149&gt;0,COLUMN($A:$T),""),AZ$31))))</f>
        <v>0</v>
      </c>
      <c r="BA149" s="5">
        <f t="array" aca="1" ref="BA149" ca="1">IF(BA$31&gt;$AL149,0,IF(ISERROR(OFFSET($E$31,0,SMALL(IF($E149:$X149&gt;0,COLUMN($A:$T),""),BA$31)-1)),0,OFFSET($E$31,0,SMALL(IF($E149:$X149&gt;0,COLUMN($A:$T),""),BA$31)-1)))</f>
        <v>0</v>
      </c>
      <c r="BB149" s="5">
        <f t="array" ref="BB149">IF(BA$31&gt;$AL149,0,IF(ISERROR(INDEX($E149:$X149,,SMALL(IF($E149:$X149&gt;0,COLUMN($A:$T),""),BB$31))),0,INDEX($E149:$X149,,SMALL(IF($E149:$X149&gt;0,COLUMN($A:$T),""),BB$31))))</f>
        <v>0</v>
      </c>
      <c r="BC149" s="5">
        <f t="array" aca="1" ref="BC149" ca="1">IF(BC$31&gt;$AL149,0,IF(ISERROR(OFFSET($E$31,0,SMALL(IF($E149:$X149&gt;0,COLUMN($A:$T),""),BC$31)-1)),0,OFFSET($E$31,0,SMALL(IF($E149:$X149&gt;0,COLUMN($A:$T),""),BC$31)-1)))</f>
        <v>0</v>
      </c>
      <c r="BD149" s="5">
        <f t="array" ref="BD149">IF(BC$31&gt;$AL149,0,IF(ISERROR(INDEX($E149:$X149,,SMALL(IF($E149:$X149&gt;0,COLUMN($A:$T),""),BD$31))),0,INDEX($E149:$X149,,SMALL(IF($E149:$X149&gt;0,COLUMN($A:$T),""),BD$31))))</f>
        <v>0</v>
      </c>
      <c r="BE149" s="5">
        <f t="array" aca="1" ref="BE149" ca="1">IF(BE$31&gt;$AL149,0,IF(ISERROR(OFFSET($E$31,0,SMALL(IF($E149:$X149&gt;0,COLUMN($A:$T),""),BE$31)-1)),0,OFFSET($E$31,0,SMALL(IF($E149:$X149&gt;0,COLUMN($A:$T),""),BE$31)-1)))</f>
        <v>0</v>
      </c>
      <c r="BF149" s="5">
        <f t="array" ref="BF149">IF(BE$31&gt;$AL149,0,IF(ISERROR(INDEX($E149:$X149,,SMALL(IF($E149:$X149&gt;0,COLUMN($A:$T),""),BF$31))),0,INDEX($E149:$X149,,SMALL(IF($E149:$X149&gt;0,COLUMN($A:$T),""),BF$31))))</f>
        <v>0</v>
      </c>
      <c r="BH149">
        <f ca="1">SUMPRODUCT(E149:N149,定义数据!$G$14:$P$14)</f>
        <v>208.33860691032203</v>
      </c>
      <c r="BI149">
        <f ca="1">SUMPRODUCT(O149:X149,定义数据!$G$14:$P$14)</f>
        <v>47.440482761170749</v>
      </c>
      <c r="BJ149" s="5">
        <f t="shared" ca="1" si="122"/>
        <v>255.77908967149278</v>
      </c>
      <c r="BK149" s="5" t="str">
        <f>D149&amp;B149&amp;VLOOKUP(C149,定义数据!$E$1:$F$7,2,FALSE)</f>
        <v>7025</v>
      </c>
    </row>
    <row r="150" spans="1:63" x14ac:dyDescent="0.15">
      <c r="A150" s="17" t="str">
        <f>D150&amp;B150&amp;VLOOKUP(C150,定义数据!$E$1:$F$7,2,FALSE)</f>
        <v>7024</v>
      </c>
      <c r="B150" s="18">
        <v>2</v>
      </c>
      <c r="C150" s="18" t="s">
        <v>139</v>
      </c>
      <c r="D150" s="24">
        <v>70</v>
      </c>
      <c r="E150" s="56">
        <f t="shared" ca="1" si="111"/>
        <v>2445.9651727580508</v>
      </c>
      <c r="F150" s="56">
        <f t="shared" ca="1" si="112"/>
        <v>0</v>
      </c>
      <c r="G150" s="56">
        <f t="shared" ca="1" si="113"/>
        <v>0</v>
      </c>
      <c r="H150" s="56">
        <f t="shared" ca="1" si="114"/>
        <v>0</v>
      </c>
      <c r="I150" s="56">
        <f t="shared" ca="1" si="115"/>
        <v>0</v>
      </c>
      <c r="J150" s="56">
        <f t="shared" ca="1" si="116"/>
        <v>0</v>
      </c>
      <c r="K150" s="56">
        <f t="shared" ca="1" si="117"/>
        <v>0</v>
      </c>
      <c r="L150" s="56">
        <f t="shared" ca="1" si="118"/>
        <v>288.88888888888891</v>
      </c>
      <c r="M150" s="56">
        <f t="shared" ca="1" si="119"/>
        <v>0</v>
      </c>
      <c r="N150" s="56">
        <f t="shared" ca="1" si="120"/>
        <v>0</v>
      </c>
      <c r="O150" s="65">
        <f t="shared" ca="1" si="123"/>
        <v>905.91302694742626</v>
      </c>
      <c r="P150" s="65">
        <f t="shared" ca="1" si="124"/>
        <v>27.608376128342258</v>
      </c>
      <c r="Q150" s="65">
        <f t="shared" ca="1" si="125"/>
        <v>9.9417799653379557</v>
      </c>
      <c r="R150" s="65">
        <f t="shared" ca="1" si="126"/>
        <v>0</v>
      </c>
      <c r="S150" s="65">
        <f t="shared" ca="1" si="127"/>
        <v>0</v>
      </c>
      <c r="T150" s="65">
        <f t="shared" ca="1" si="128"/>
        <v>0</v>
      </c>
      <c r="U150" s="65">
        <f t="shared" ca="1" si="129"/>
        <v>0</v>
      </c>
      <c r="V150" s="65">
        <f t="shared" ca="1" si="130"/>
        <v>21.399176954732514</v>
      </c>
      <c r="W150" s="65">
        <f t="shared" ca="1" si="131"/>
        <v>0</v>
      </c>
      <c r="X150" s="65">
        <f t="shared" ca="1" si="132"/>
        <v>0</v>
      </c>
      <c r="Y150" s="21"/>
      <c r="Z150" s="15">
        <f>VLOOKUP($D150&amp;$B150,[3]!装备基础属性表,P$30,FALSE)</f>
        <v>13588.695404211394</v>
      </c>
      <c r="AA150" s="15">
        <f>VLOOKUP($D150&amp;$B150,[3]!装备基础属性表,Q$30,FALSE)</f>
        <v>690.20940320855641</v>
      </c>
      <c r="AB150" s="15">
        <f>VLOOKUP($D150&amp;$B150,[3]!装备基础属性表,R$30,FALSE)</f>
        <v>298.25339896013867</v>
      </c>
      <c r="AC150" s="15">
        <f>VLOOKUP($D150&amp;$B150,[3]!装备基础属性表,S$30,FALSE)</f>
        <v>541.66666666666663</v>
      </c>
      <c r="AD150" s="15">
        <f>VLOOKUP($D150&amp;$B150,[3]!装备基础属性表,T$30,FALSE)</f>
        <v>541.66666666666663</v>
      </c>
      <c r="AE150" s="15">
        <f>VLOOKUP($D150&amp;$B150,[3]!装备基础属性表,U$30,FALSE)</f>
        <v>320.9876543209877</v>
      </c>
      <c r="AF150" s="15">
        <f>VLOOKUP($D150&amp;$B150,[3]!装备基础属性表,V$30,FALSE)</f>
        <v>0</v>
      </c>
      <c r="AG150" s="15">
        <f>VLOOKUP($D150&amp;$B150,[3]!装备基础属性表,W$30,FALSE)</f>
        <v>320.9876543209877</v>
      </c>
      <c r="AH150" s="15">
        <f>VLOOKUP($D150&amp;$B150,[3]!装备基础属性表,X$30,FALSE)</f>
        <v>0</v>
      </c>
      <c r="AI150" s="15">
        <f>VLOOKUP($D150&amp;$B150,[3]!装备基础属性表,Y$30,FALSE)</f>
        <v>0</v>
      </c>
      <c r="AJ150" s="16" t="str">
        <f>B150&amp;VLOOKUP(C150,定义数据!$E$1:$F$7,2,FALSE)&amp;D150</f>
        <v>2470</v>
      </c>
      <c r="AK150" s="14">
        <f t="shared" si="29"/>
        <v>21</v>
      </c>
      <c r="AL150" s="5">
        <f t="shared" si="121"/>
        <v>4</v>
      </c>
      <c r="AM150" s="5" t="str">
        <f t="array" aca="1" ref="AM150" ca="1">IF(AM$31&gt;$AL150,0,IF(ISERROR(OFFSET($E$31,0,SMALL(IF($E150:$X150&gt;0,COLUMN($A:$T),""),AM$31)-1)),0,OFFSET($E$31,0,SMALL(IF($E150:$X150&gt;0,COLUMN($A:$T),""),AM$31)-1)))</f>
        <v>生命</v>
      </c>
      <c r="AN150" s="5">
        <f t="array" aca="1" ref="AN150" ca="1">IF(AM$31&gt;$AL150,0,IF(ISERROR(INDEX($E150:$X150,,SMALL(IF($E150:$X150&gt;0,COLUMN($A:$T),""),AN$31))),0,INDEX($E150:$X150,,SMALL(IF($E150:$X150&gt;0,COLUMN($A:$T),""),AN$31))))</f>
        <v>2445.9651727580508</v>
      </c>
      <c r="AO150" s="5" t="str">
        <f t="array" aca="1" ref="AO150" ca="1">IF(AO$31&gt;$AL150,0,IF(ISERROR(OFFSET($E$31,0,SMALL(IF($E150:$X150&gt;0,COLUMN($A:$T),""),AO$31)-1)),0,OFFSET($E$31,0,SMALL(IF($E150:$X150&gt;0,COLUMN($A:$T),""),AO$31)-1)))</f>
        <v>韧性值</v>
      </c>
      <c r="AP150" s="5">
        <f t="array" aca="1" ref="AP150" ca="1">IF(AO$31&gt;$AL150,0,IF(ISERROR(INDEX($E150:$X150,,SMALL(IF($E150:$X150&gt;0,COLUMN($A:$T),""),AP$31))),0,INDEX($E150:$X150,,SMALL(IF($E150:$X150&gt;0,COLUMN($A:$T),""),AP$31))))</f>
        <v>288.88888888888891</v>
      </c>
      <c r="AQ150" s="5" t="str">
        <f t="array" aca="1" ref="AQ150" ca="1">IF(AQ$31&gt;$AL150,0,IF(ISERROR(OFFSET($E$31,0,SMALL(IF($E150:$X150&gt;0,COLUMN($A:$T),""),AQ$31)-1)),0,OFFSET($E$31,0,SMALL(IF($E150:$X150&gt;0,COLUMN($A:$T),""),AQ$31)-1)))</f>
        <v>生命</v>
      </c>
      <c r="AR150" s="5">
        <f t="array" aca="1" ref="AR150" ca="1">IF(AQ$31&gt;$AL150,0,IF(ISERROR(INDEX($E150:$X150,,SMALL(IF($E150:$X150&gt;0,COLUMN($A:$T),""),AR$31))),0,INDEX($E150:$X150,,SMALL(IF($E150:$X150&gt;0,COLUMN($A:$T),""),AR$31))))</f>
        <v>905.91302694742626</v>
      </c>
      <c r="AS150" s="5" t="str">
        <f t="array" aca="1" ref="AS150" ca="1">IF(AS$31&gt;$AL150,0,IF(ISERROR(OFFSET($E$31,0,SMALL(IF($E150:$X150&gt;0,COLUMN($A:$T),""),AS$31)-1)),0,OFFSET($E$31,0,SMALL(IF($E150:$X150&gt;0,COLUMN($A:$T),""),AS$31)-1)))</f>
        <v>攻击</v>
      </c>
      <c r="AT150" s="5">
        <f t="array" aca="1" ref="AT150" ca="1">IF(AS$31&gt;$AL150,0,IF(ISERROR(INDEX($E150:$X150,,SMALL(IF($E150:$X150&gt;0,COLUMN($A:$T),""),AT$31))),0,INDEX($E150:$X150,,SMALL(IF($E150:$X150&gt;0,COLUMN($A:$T),""),AT$31))))</f>
        <v>27.608376128342258</v>
      </c>
      <c r="AU150" s="5">
        <f t="array" aca="1" ref="AU150" ca="1">IF(AU$31&gt;$AL150,0,IF(ISERROR(OFFSET($E$31,0,SMALL(IF($E150:$X150&gt;0,COLUMN($A:$T),""),AU$31)-1)),0,OFFSET($E$31,0,SMALL(IF($E150:$X150&gt;0,COLUMN($A:$T),""),AU$31)-1)))</f>
        <v>0</v>
      </c>
      <c r="AV150" s="5">
        <f t="array" ref="AV150">IF(AU$31&gt;$AL150,0,IF(ISERROR(INDEX($E150:$X150,,SMALL(IF($E150:$X150&gt;0,COLUMN($A:$T),""),AV$31))),0,INDEX($E150:$X150,,SMALL(IF($E150:$X150&gt;0,COLUMN($A:$T),""),AV$31))))</f>
        <v>0</v>
      </c>
      <c r="AW150" s="5">
        <f t="array" aca="1" ref="AW150" ca="1">IF(AW$31&gt;$AL150,0,IF(ISERROR(OFFSET($E$31,0,SMALL(IF($E150:$X150&gt;0,COLUMN($A:$T),""),AW$31)-1)),0,OFFSET($E$31,0,SMALL(IF($E150:$X150&gt;0,COLUMN($A:$T),""),AW$31)-1)))</f>
        <v>0</v>
      </c>
      <c r="AX150" s="5">
        <f t="array" ref="AX150">IF(AW$31&gt;$AL150,0,IF(ISERROR(INDEX($E150:$X150,,SMALL(IF($E150:$X150&gt;0,COLUMN($A:$T),""),AX$31))),0,INDEX($E150:$X150,,SMALL(IF($E150:$X150&gt;0,COLUMN($A:$T),""),AX$31))))</f>
        <v>0</v>
      </c>
      <c r="AY150" s="5">
        <f t="array" aca="1" ref="AY150" ca="1">IF(AY$31&gt;$AL150,0,IF(ISERROR(OFFSET($E$31,0,SMALL(IF($E150:$X150&gt;0,COLUMN($A:$T),""),AY$31)-1)),0,OFFSET($E$31,0,SMALL(IF($E150:$X150&gt;0,COLUMN($A:$T),""),AY$31)-1)))</f>
        <v>0</v>
      </c>
      <c r="AZ150" s="5">
        <f t="array" ref="AZ150">IF(AY$31&gt;$AL150,0,IF(ISERROR(INDEX($E150:$X150,,SMALL(IF($E150:$X150&gt;0,COLUMN($A:$T),""),AZ$31))),0,INDEX($E150:$X150,,SMALL(IF($E150:$X150&gt;0,COLUMN($A:$T),""),AZ$31))))</f>
        <v>0</v>
      </c>
      <c r="BA150" s="5">
        <f t="array" aca="1" ref="BA150" ca="1">IF(BA$31&gt;$AL150,0,IF(ISERROR(OFFSET($E$31,0,SMALL(IF($E150:$X150&gt;0,COLUMN($A:$T),""),BA$31)-1)),0,OFFSET($E$31,0,SMALL(IF($E150:$X150&gt;0,COLUMN($A:$T),""),BA$31)-1)))</f>
        <v>0</v>
      </c>
      <c r="BB150" s="5">
        <f t="array" ref="BB150">IF(BA$31&gt;$AL150,0,IF(ISERROR(INDEX($E150:$X150,,SMALL(IF($E150:$X150&gt;0,COLUMN($A:$T),""),BB$31))),0,INDEX($E150:$X150,,SMALL(IF($E150:$X150&gt;0,COLUMN($A:$T),""),BB$31))))</f>
        <v>0</v>
      </c>
      <c r="BC150" s="5">
        <f t="array" aca="1" ref="BC150" ca="1">IF(BC$31&gt;$AL150,0,IF(ISERROR(OFFSET($E$31,0,SMALL(IF($E150:$X150&gt;0,COLUMN($A:$T),""),BC$31)-1)),0,OFFSET($E$31,0,SMALL(IF($E150:$X150&gt;0,COLUMN($A:$T),""),BC$31)-1)))</f>
        <v>0</v>
      </c>
      <c r="BD150" s="5">
        <f t="array" ref="BD150">IF(BC$31&gt;$AL150,0,IF(ISERROR(INDEX($E150:$X150,,SMALL(IF($E150:$X150&gt;0,COLUMN($A:$T),""),BD$31))),0,INDEX($E150:$X150,,SMALL(IF($E150:$X150&gt;0,COLUMN($A:$T),""),BD$31))))</f>
        <v>0</v>
      </c>
      <c r="BE150" s="5">
        <f t="array" aca="1" ref="BE150" ca="1">IF(BE$31&gt;$AL150,0,IF(ISERROR(OFFSET($E$31,0,SMALL(IF($E150:$X150&gt;0,COLUMN($A:$T),""),BE$31)-1)),0,OFFSET($E$31,0,SMALL(IF($E150:$X150&gt;0,COLUMN($A:$T),""),BE$31)-1)))</f>
        <v>0</v>
      </c>
      <c r="BF150" s="5">
        <f t="array" ref="BF150">IF(BE$31&gt;$AL150,0,IF(ISERROR(INDEX($E150:$X150,,SMALL(IF($E150:$X150&gt;0,COLUMN($A:$T),""),BF$31))),0,INDEX($E150:$X150,,SMALL(IF($E150:$X150&gt;0,COLUMN($A:$T),""),BF$31))))</f>
        <v>0</v>
      </c>
      <c r="BH150">
        <f ca="1">SUMPRODUCT(E150:N150,定义数据!$G$14:$P$14)</f>
        <v>149.83860691032203</v>
      </c>
      <c r="BI150">
        <f ca="1">SUMPRODUCT(O150:X150,定义数据!$G$14:$P$14)</f>
        <v>77.638529023429115</v>
      </c>
      <c r="BJ150" s="5">
        <f t="shared" ca="1" si="122"/>
        <v>227.47713593375113</v>
      </c>
      <c r="BK150" s="5" t="str">
        <f>D150&amp;B150&amp;VLOOKUP(C150,定义数据!$E$1:$F$7,2,FALSE)</f>
        <v>7024</v>
      </c>
    </row>
    <row r="151" spans="1:63" x14ac:dyDescent="0.15">
      <c r="A151" s="17" t="str">
        <f>D151&amp;B151&amp;VLOOKUP(C151,定义数据!$E$1:$F$7,2,FALSE)</f>
        <v>7023</v>
      </c>
      <c r="B151" s="18">
        <v>2</v>
      </c>
      <c r="C151" s="18" t="s">
        <v>140</v>
      </c>
      <c r="D151" s="24">
        <v>70</v>
      </c>
      <c r="E151" s="56">
        <f t="shared" ca="1" si="111"/>
        <v>0</v>
      </c>
      <c r="F151" s="56">
        <f t="shared" ca="1" si="112"/>
        <v>155.29711572192519</v>
      </c>
      <c r="G151" s="56">
        <f t="shared" ca="1" si="113"/>
        <v>0</v>
      </c>
      <c r="H151" s="56">
        <f t="shared" ca="1" si="114"/>
        <v>0</v>
      </c>
      <c r="I151" s="56">
        <f t="shared" ca="1" si="115"/>
        <v>487.5</v>
      </c>
      <c r="J151" s="56">
        <f t="shared" ca="1" si="116"/>
        <v>0</v>
      </c>
      <c r="K151" s="56">
        <f t="shared" ca="1" si="117"/>
        <v>0</v>
      </c>
      <c r="L151" s="56">
        <f t="shared" ca="1" si="118"/>
        <v>0</v>
      </c>
      <c r="M151" s="56">
        <f t="shared" ca="1" si="119"/>
        <v>0</v>
      </c>
      <c r="N151" s="56">
        <f t="shared" ca="1" si="120"/>
        <v>0</v>
      </c>
      <c r="O151" s="65">
        <f t="shared" ca="1" si="123"/>
        <v>0</v>
      </c>
      <c r="P151" s="65">
        <f t="shared" ca="1" si="124"/>
        <v>27.608376128342258</v>
      </c>
      <c r="Q151" s="65">
        <f t="shared" ca="1" si="125"/>
        <v>0</v>
      </c>
      <c r="R151" s="65">
        <f t="shared" ca="1" si="126"/>
        <v>21.666666666666668</v>
      </c>
      <c r="S151" s="65">
        <f t="shared" ca="1" si="127"/>
        <v>36.111111111111107</v>
      </c>
      <c r="T151" s="65">
        <f t="shared" ca="1" si="128"/>
        <v>25.67901234567902</v>
      </c>
      <c r="U151" s="65">
        <f t="shared" ca="1" si="129"/>
        <v>0</v>
      </c>
      <c r="V151" s="65">
        <f t="shared" ca="1" si="130"/>
        <v>0</v>
      </c>
      <c r="W151" s="65">
        <f t="shared" ca="1" si="131"/>
        <v>0</v>
      </c>
      <c r="X151" s="65">
        <f t="shared" ca="1" si="132"/>
        <v>0</v>
      </c>
      <c r="Y151" s="21"/>
      <c r="Z151" s="15">
        <f>VLOOKUP($D151&amp;$B151,[3]!装备基础属性表,P$30,FALSE)</f>
        <v>13588.695404211394</v>
      </c>
      <c r="AA151" s="15">
        <f>VLOOKUP($D151&amp;$B151,[3]!装备基础属性表,Q$30,FALSE)</f>
        <v>690.20940320855641</v>
      </c>
      <c r="AB151" s="15">
        <f>VLOOKUP($D151&amp;$B151,[3]!装备基础属性表,R$30,FALSE)</f>
        <v>298.25339896013867</v>
      </c>
      <c r="AC151" s="15">
        <f>VLOOKUP($D151&amp;$B151,[3]!装备基础属性表,S$30,FALSE)</f>
        <v>541.66666666666663</v>
      </c>
      <c r="AD151" s="15">
        <f>VLOOKUP($D151&amp;$B151,[3]!装备基础属性表,T$30,FALSE)</f>
        <v>541.66666666666663</v>
      </c>
      <c r="AE151" s="15">
        <f>VLOOKUP($D151&amp;$B151,[3]!装备基础属性表,U$30,FALSE)</f>
        <v>320.9876543209877</v>
      </c>
      <c r="AF151" s="15">
        <f>VLOOKUP($D151&amp;$B151,[3]!装备基础属性表,V$30,FALSE)</f>
        <v>0</v>
      </c>
      <c r="AG151" s="15">
        <f>VLOOKUP($D151&amp;$B151,[3]!装备基础属性表,W$30,FALSE)</f>
        <v>320.9876543209877</v>
      </c>
      <c r="AH151" s="15">
        <f>VLOOKUP($D151&amp;$B151,[3]!装备基础属性表,X$30,FALSE)</f>
        <v>0</v>
      </c>
      <c r="AI151" s="15">
        <f>VLOOKUP($D151&amp;$B151,[3]!装备基础属性表,Y$30,FALSE)</f>
        <v>0</v>
      </c>
      <c r="AJ151" s="16" t="str">
        <f>B151&amp;VLOOKUP(C151,定义数据!$E$1:$F$7,2,FALSE)&amp;D151</f>
        <v>2370</v>
      </c>
      <c r="AK151" s="14">
        <f t="shared" si="29"/>
        <v>21</v>
      </c>
      <c r="AL151" s="5">
        <f t="shared" si="121"/>
        <v>4</v>
      </c>
      <c r="AM151" s="5" t="str">
        <f t="array" aca="1" ref="AM151" ca="1">IF(AM$31&gt;$AL151,0,IF(ISERROR(OFFSET($E$31,0,SMALL(IF($E151:$X151&gt;0,COLUMN($A:$T),""),AM$31)-1)),0,OFFSET($E$31,0,SMALL(IF($E151:$X151&gt;0,COLUMN($A:$T),""),AM$31)-1)))</f>
        <v>攻击</v>
      </c>
      <c r="AN151" s="5">
        <f t="array" aca="1" ref="AN151" ca="1">IF(AM$31&gt;$AL151,0,IF(ISERROR(INDEX($E151:$X151,,SMALL(IF($E151:$X151&gt;0,COLUMN($A:$T),""),AN$31))),0,INDEX($E151:$X151,,SMALL(IF($E151:$X151&gt;0,COLUMN($A:$T),""),AN$31))))</f>
        <v>155.29711572192519</v>
      </c>
      <c r="AO151" s="5" t="str">
        <f t="array" aca="1" ref="AO151" ca="1">IF(AO$31&gt;$AL151,0,IF(ISERROR(OFFSET($E$31,0,SMALL(IF($E151:$X151&gt;0,COLUMN($A:$T),""),AO$31)-1)),0,OFFSET($E$31,0,SMALL(IF($E151:$X151&gt;0,COLUMN($A:$T),""),AO$31)-1)))</f>
        <v>命中值</v>
      </c>
      <c r="AP151" s="5">
        <f t="array" aca="1" ref="AP151" ca="1">IF(AO$31&gt;$AL151,0,IF(ISERROR(INDEX($E151:$X151,,SMALL(IF($E151:$X151&gt;0,COLUMN($A:$T),""),AP$31))),0,INDEX($E151:$X151,,SMALL(IF($E151:$X151&gt;0,COLUMN($A:$T),""),AP$31))))</f>
        <v>487.5</v>
      </c>
      <c r="AQ151" s="5" t="str">
        <f t="array" aca="1" ref="AQ151" ca="1">IF(AQ$31&gt;$AL151,0,IF(ISERROR(OFFSET($E$31,0,SMALL(IF($E151:$X151&gt;0,COLUMN($A:$T),""),AQ$31)-1)),0,OFFSET($E$31,0,SMALL(IF($E151:$X151&gt;0,COLUMN($A:$T),""),AQ$31)-1)))</f>
        <v>攻击</v>
      </c>
      <c r="AR151" s="5">
        <f t="array" aca="1" ref="AR151" ca="1">IF(AQ$31&gt;$AL151,0,IF(ISERROR(INDEX($E151:$X151,,SMALL(IF($E151:$X151&gt;0,COLUMN($A:$T),""),AR$31))),0,INDEX($E151:$X151,,SMALL(IF($E151:$X151&gt;0,COLUMN($A:$T),""),AR$31))))</f>
        <v>27.608376128342258</v>
      </c>
      <c r="AS151" s="5" t="str">
        <f t="array" aca="1" ref="AS151" ca="1">IF(AS$31&gt;$AL151,0,IF(ISERROR(OFFSET($E$31,0,SMALL(IF($E151:$X151&gt;0,COLUMN($A:$T),""),AS$31)-1)),0,OFFSET($E$31,0,SMALL(IF($E151:$X151&gt;0,COLUMN($A:$T),""),AS$31)-1)))</f>
        <v>闪避值</v>
      </c>
      <c r="AT151" s="5">
        <f t="array" aca="1" ref="AT151" ca="1">IF(AS$31&gt;$AL151,0,IF(ISERROR(INDEX($E151:$X151,,SMALL(IF($E151:$X151&gt;0,COLUMN($A:$T),""),AT$31))),0,INDEX($E151:$X151,,SMALL(IF($E151:$X151&gt;0,COLUMN($A:$T),""),AT$31))))</f>
        <v>21.666666666666668</v>
      </c>
      <c r="AU151" s="5">
        <f t="array" aca="1" ref="AU151" ca="1">IF(AU$31&gt;$AL151,0,IF(ISERROR(OFFSET($E$31,0,SMALL(IF($E151:$X151&gt;0,COLUMN($A:$T),""),AU$31)-1)),0,OFFSET($E$31,0,SMALL(IF($E151:$X151&gt;0,COLUMN($A:$T),""),AU$31)-1)))</f>
        <v>0</v>
      </c>
      <c r="AV151" s="5">
        <f t="array" ref="AV151">IF(AU$31&gt;$AL151,0,IF(ISERROR(INDEX($E151:$X151,,SMALL(IF($E151:$X151&gt;0,COLUMN($A:$T),""),AV$31))),0,INDEX($E151:$X151,,SMALL(IF($E151:$X151&gt;0,COLUMN($A:$T),""),AV$31))))</f>
        <v>0</v>
      </c>
      <c r="AW151" s="5">
        <f t="array" aca="1" ref="AW151" ca="1">IF(AW$31&gt;$AL151,0,IF(ISERROR(OFFSET($E$31,0,SMALL(IF($E151:$X151&gt;0,COLUMN($A:$T),""),AW$31)-1)),0,OFFSET($E$31,0,SMALL(IF($E151:$X151&gt;0,COLUMN($A:$T),""),AW$31)-1)))</f>
        <v>0</v>
      </c>
      <c r="AX151" s="5">
        <f t="array" ref="AX151">IF(AW$31&gt;$AL151,0,IF(ISERROR(INDEX($E151:$X151,,SMALL(IF($E151:$X151&gt;0,COLUMN($A:$T),""),AX$31))),0,INDEX($E151:$X151,,SMALL(IF($E151:$X151&gt;0,COLUMN($A:$T),""),AX$31))))</f>
        <v>0</v>
      </c>
      <c r="AY151" s="5">
        <f t="array" aca="1" ref="AY151" ca="1">IF(AY$31&gt;$AL151,0,IF(ISERROR(OFFSET($E$31,0,SMALL(IF($E151:$X151&gt;0,COLUMN($A:$T),""),AY$31)-1)),0,OFFSET($E$31,0,SMALL(IF($E151:$X151&gt;0,COLUMN($A:$T),""),AY$31)-1)))</f>
        <v>0</v>
      </c>
      <c r="AZ151" s="5">
        <f t="array" ref="AZ151">IF(AY$31&gt;$AL151,0,IF(ISERROR(INDEX($E151:$X151,,SMALL(IF($E151:$X151&gt;0,COLUMN($A:$T),""),AZ$31))),0,INDEX($E151:$X151,,SMALL(IF($E151:$X151&gt;0,COLUMN($A:$T),""),AZ$31))))</f>
        <v>0</v>
      </c>
      <c r="BA151" s="5">
        <f t="array" aca="1" ref="BA151" ca="1">IF(BA$31&gt;$AL151,0,IF(ISERROR(OFFSET($E$31,0,SMALL(IF($E151:$X151&gt;0,COLUMN($A:$T),""),BA$31)-1)),0,OFFSET($E$31,0,SMALL(IF($E151:$X151&gt;0,COLUMN($A:$T),""),BA$31)-1)))</f>
        <v>0</v>
      </c>
      <c r="BB151" s="5">
        <f t="array" ref="BB151">IF(BA$31&gt;$AL151,0,IF(ISERROR(INDEX($E151:$X151,,SMALL(IF($E151:$X151&gt;0,COLUMN($A:$T),""),BB$31))),0,INDEX($E151:$X151,,SMALL(IF($E151:$X151&gt;0,COLUMN($A:$T),""),BB$31))))</f>
        <v>0</v>
      </c>
      <c r="BC151" s="5">
        <f t="array" aca="1" ref="BC151" ca="1">IF(BC$31&gt;$AL151,0,IF(ISERROR(OFFSET($E$31,0,SMALL(IF($E151:$X151&gt;0,COLUMN($A:$T),""),BC$31)-1)),0,OFFSET($E$31,0,SMALL(IF($E151:$X151&gt;0,COLUMN($A:$T),""),BC$31)-1)))</f>
        <v>0</v>
      </c>
      <c r="BD151" s="5">
        <f t="array" ref="BD151">IF(BC$31&gt;$AL151,0,IF(ISERROR(INDEX($E151:$X151,,SMALL(IF($E151:$X151&gt;0,COLUMN($A:$T),""),BD$31))),0,INDEX($E151:$X151,,SMALL(IF($E151:$X151&gt;0,COLUMN($A:$T),""),BD$31))))</f>
        <v>0</v>
      </c>
      <c r="BE151" s="5">
        <f t="array" aca="1" ref="BE151" ca="1">IF(BE$31&gt;$AL151,0,IF(ISERROR(OFFSET($E$31,0,SMALL(IF($E151:$X151&gt;0,COLUMN($A:$T),""),BE$31)-1)),0,OFFSET($E$31,0,SMALL(IF($E151:$X151&gt;0,COLUMN($A:$T),""),BE$31)-1)))</f>
        <v>0</v>
      </c>
      <c r="BF151" s="5">
        <f t="array" ref="BF151">IF(BE$31&gt;$AL151,0,IF(ISERROR(INDEX($E151:$X151,,SMALL(IF($E151:$X151&gt;0,COLUMN($A:$T),""),BF$31))),0,INDEX($E151:$X151,,SMALL(IF($E151:$X151&gt;0,COLUMN($A:$T),""),BF$31))))</f>
        <v>0</v>
      </c>
      <c r="BH151">
        <f ca="1">SUMPRODUCT(E151:N151,定义数据!$G$14:$P$14)</f>
        <v>321.04711572192519</v>
      </c>
      <c r="BI151">
        <f ca="1">SUMPRODUCT(O151:X151,定义数据!$G$14:$P$14)</f>
        <v>51.875042795008923</v>
      </c>
      <c r="BJ151" s="5">
        <f t="shared" ca="1" si="122"/>
        <v>372.92215851693413</v>
      </c>
      <c r="BK151" s="5" t="str">
        <f>D151&amp;B151&amp;VLOOKUP(C151,定义数据!$E$1:$F$7,2,FALSE)</f>
        <v>7023</v>
      </c>
    </row>
    <row r="152" spans="1:63" x14ac:dyDescent="0.15">
      <c r="A152" s="17" t="str">
        <f>D152&amp;B152&amp;VLOOKUP(C152,定义数据!$E$1:$F$7,2,FALSE)</f>
        <v>7030</v>
      </c>
      <c r="B152" s="18">
        <v>3</v>
      </c>
      <c r="C152" s="18" t="s">
        <v>141</v>
      </c>
      <c r="D152" s="24">
        <v>70</v>
      </c>
      <c r="E152" s="56">
        <f t="shared" ca="1" si="111"/>
        <v>0</v>
      </c>
      <c r="F152" s="56">
        <f t="shared" ca="1" si="112"/>
        <v>541.54891636363652</v>
      </c>
      <c r="G152" s="56">
        <f t="shared" ca="1" si="113"/>
        <v>0</v>
      </c>
      <c r="H152" s="56">
        <f t="shared" ca="1" si="114"/>
        <v>0</v>
      </c>
      <c r="I152" s="56">
        <f t="shared" ca="1" si="115"/>
        <v>0</v>
      </c>
      <c r="J152" s="56">
        <f t="shared" ca="1" si="116"/>
        <v>335.80246913580248</v>
      </c>
      <c r="K152" s="56">
        <f t="shared" ca="1" si="117"/>
        <v>0</v>
      </c>
      <c r="L152" s="56">
        <f t="shared" ca="1" si="118"/>
        <v>0</v>
      </c>
      <c r="M152" s="56">
        <f t="shared" ca="1" si="119"/>
        <v>0</v>
      </c>
      <c r="N152" s="56">
        <f t="shared" ca="1" si="120"/>
        <v>0</v>
      </c>
      <c r="O152" s="65">
        <f t="shared" ca="1" si="123"/>
        <v>0</v>
      </c>
      <c r="P152" s="65">
        <f t="shared" ca="1" si="124"/>
        <v>162.46467490909097</v>
      </c>
      <c r="Q152" s="65">
        <f t="shared" ca="1" si="125"/>
        <v>19.501183778162911</v>
      </c>
      <c r="R152" s="65">
        <f t="shared" ca="1" si="126"/>
        <v>0</v>
      </c>
      <c r="S152" s="65">
        <f t="shared" ca="1" si="127"/>
        <v>70.833333333333343</v>
      </c>
      <c r="T152" s="65">
        <f t="shared" ca="1" si="128"/>
        <v>50.370370370370381</v>
      </c>
      <c r="U152" s="65">
        <f t="shared" ca="1" si="129"/>
        <v>0</v>
      </c>
      <c r="V152" s="65">
        <f t="shared" ca="1" si="130"/>
        <v>0</v>
      </c>
      <c r="W152" s="65">
        <f t="shared" ca="1" si="131"/>
        <v>0</v>
      </c>
      <c r="X152" s="65">
        <f t="shared" ca="1" si="132"/>
        <v>0</v>
      </c>
      <c r="Y152" s="21" t="s">
        <v>94</v>
      </c>
      <c r="Z152" s="15">
        <f>VLOOKUP($D152&amp;$B152,[3]!装备基础属性表,P$30,FALSE)</f>
        <v>17769.832451661052</v>
      </c>
      <c r="AA152" s="15">
        <f>VLOOKUP($D152&amp;$B152,[3]!装备基础属性表,Q$30,FALSE)</f>
        <v>902.58152727272761</v>
      </c>
      <c r="AB152" s="15">
        <f>VLOOKUP($D152&amp;$B152,[3]!装备基础属性表,R$30,FALSE)</f>
        <v>390.02367556325822</v>
      </c>
      <c r="AC152" s="15">
        <f>VLOOKUP($D152&amp;$B152,[3]!装备基础属性表,S$30,FALSE)</f>
        <v>708.33333333333337</v>
      </c>
      <c r="AD152" s="15">
        <f>VLOOKUP($D152&amp;$B152,[3]!装备基础属性表,T$30,FALSE)</f>
        <v>708.33333333333337</v>
      </c>
      <c r="AE152" s="15">
        <f>VLOOKUP($D152&amp;$B152,[3]!装备基础属性表,U$30,FALSE)</f>
        <v>419.75308641975306</v>
      </c>
      <c r="AF152" s="15">
        <f>VLOOKUP($D152&amp;$B152,[3]!装备基础属性表,V$30,FALSE)</f>
        <v>0</v>
      </c>
      <c r="AG152" s="15">
        <f>VLOOKUP($D152&amp;$B152,[3]!装备基础属性表,W$30,FALSE)</f>
        <v>419.75308641975306</v>
      </c>
      <c r="AH152" s="15">
        <f>VLOOKUP($D152&amp;$B152,[3]!装备基础属性表,X$30,FALSE)</f>
        <v>0</v>
      </c>
      <c r="AI152" s="15">
        <f>VLOOKUP($D152&amp;$B152,[3]!装备基础属性表,Y$30,FALSE)</f>
        <v>0</v>
      </c>
      <c r="AJ152" s="16" t="str">
        <f>B152&amp;VLOOKUP(C152,定义数据!$E$1:$F$7,2,FALSE)&amp;D152</f>
        <v>3070</v>
      </c>
      <c r="AK152" s="14">
        <f t="shared" si="29"/>
        <v>22</v>
      </c>
      <c r="AL152" s="5">
        <f t="shared" si="121"/>
        <v>5</v>
      </c>
      <c r="AM152" s="5" t="str">
        <f t="array" aca="1" ref="AM152" ca="1">IF(AM$31&gt;$AL152,0,IF(ISERROR(OFFSET($E$31,0,SMALL(IF($E152:$X152&gt;0,COLUMN($A:$T),""),AM$31)-1)),0,OFFSET($E$31,0,SMALL(IF($E152:$X152&gt;0,COLUMN($A:$T),""),AM$31)-1)))</f>
        <v>攻击</v>
      </c>
      <c r="AN152" s="5">
        <f t="array" aca="1" ref="AN152" ca="1">IF(AM$31&gt;$AL152,0,IF(ISERROR(INDEX($E152:$X152,,SMALL(IF($E152:$X152&gt;0,COLUMN($A:$T),""),AN$31))),0,INDEX($E152:$X152,,SMALL(IF($E152:$X152&gt;0,COLUMN($A:$T),""),AN$31))))</f>
        <v>541.54891636363652</v>
      </c>
      <c r="AO152" s="5" t="str">
        <f t="array" aca="1" ref="AO152" ca="1">IF(AO$31&gt;$AL152,0,IF(ISERROR(OFFSET($E$31,0,SMALL(IF($E152:$X152&gt;0,COLUMN($A:$T),""),AO$31)-1)),0,OFFSET($E$31,0,SMALL(IF($E152:$X152&gt;0,COLUMN($A:$T),""),AO$31)-1)))</f>
        <v>暴击值</v>
      </c>
      <c r="AP152" s="5">
        <f t="array" aca="1" ref="AP152" ca="1">IF(AO$31&gt;$AL152,0,IF(ISERROR(INDEX($E152:$X152,,SMALL(IF($E152:$X152&gt;0,COLUMN($A:$T),""),AP$31))),0,INDEX($E152:$X152,,SMALL(IF($E152:$X152&gt;0,COLUMN($A:$T),""),AP$31))))</f>
        <v>335.80246913580248</v>
      </c>
      <c r="AQ152" s="5" t="str">
        <f t="array" aca="1" ref="AQ152" ca="1">IF(AQ$31&gt;$AL152,0,IF(ISERROR(OFFSET($E$31,0,SMALL(IF($E152:$X152&gt;0,COLUMN($A:$T),""),AQ$31)-1)),0,OFFSET($E$31,0,SMALL(IF($E152:$X152&gt;0,COLUMN($A:$T),""),AQ$31)-1)))</f>
        <v>攻击</v>
      </c>
      <c r="AR152" s="5">
        <f t="array" aca="1" ref="AR152" ca="1">IF(AQ$31&gt;$AL152,0,IF(ISERROR(INDEX($E152:$X152,,SMALL(IF($E152:$X152&gt;0,COLUMN($A:$T),""),AR$31))),0,INDEX($E152:$X152,,SMALL(IF($E152:$X152&gt;0,COLUMN($A:$T),""),AR$31))))</f>
        <v>162.46467490909097</v>
      </c>
      <c r="AS152" s="5" t="str">
        <f t="array" aca="1" ref="AS152" ca="1">IF(AS$31&gt;$AL152,0,IF(ISERROR(OFFSET($E$31,0,SMALL(IF($E152:$X152&gt;0,COLUMN($A:$T),""),AS$31)-1)),0,OFFSET($E$31,0,SMALL(IF($E152:$X152&gt;0,COLUMN($A:$T),""),AS$31)-1)))</f>
        <v>防御</v>
      </c>
      <c r="AT152" s="5">
        <f t="array" aca="1" ref="AT152" ca="1">IF(AS$31&gt;$AL152,0,IF(ISERROR(INDEX($E152:$X152,,SMALL(IF($E152:$X152&gt;0,COLUMN($A:$T),""),AT$31))),0,INDEX($E152:$X152,,SMALL(IF($E152:$X152&gt;0,COLUMN($A:$T),""),AT$31))))</f>
        <v>19.501183778162911</v>
      </c>
      <c r="AU152" s="5" t="str">
        <f t="array" aca="1" ref="AU152" ca="1">IF(AU$31&gt;$AL152,0,IF(ISERROR(OFFSET($E$31,0,SMALL(IF($E152:$X152&gt;0,COLUMN($A:$T),""),AU$31)-1)),0,OFFSET($E$31,0,SMALL(IF($E152:$X152&gt;0,COLUMN($A:$T),""),AU$31)-1)))</f>
        <v>命中值</v>
      </c>
      <c r="AV152" s="5">
        <f t="array" aca="1" ref="AV152" ca="1">IF(AU$31&gt;$AL152,0,IF(ISERROR(INDEX($E152:$X152,,SMALL(IF($E152:$X152&gt;0,COLUMN($A:$T),""),AV$31))),0,INDEX($E152:$X152,,SMALL(IF($E152:$X152&gt;0,COLUMN($A:$T),""),AV$31))))</f>
        <v>70.833333333333343</v>
      </c>
      <c r="AW152" s="5">
        <f t="array" aca="1" ref="AW152" ca="1">IF(AW$31&gt;$AL152,0,IF(ISERROR(OFFSET($E$31,0,SMALL(IF($E152:$X152&gt;0,COLUMN($A:$T),""),AW$31)-1)),0,OFFSET($E$31,0,SMALL(IF($E152:$X152&gt;0,COLUMN($A:$T),""),AW$31)-1)))</f>
        <v>0</v>
      </c>
      <c r="AX152" s="5">
        <f t="array" ref="AX152">IF(AW$31&gt;$AL152,0,IF(ISERROR(INDEX($E152:$X152,,SMALL(IF($E152:$X152&gt;0,COLUMN($A:$T),""),AX$31))),0,INDEX($E152:$X152,,SMALL(IF($E152:$X152&gt;0,COLUMN($A:$T),""),AX$31))))</f>
        <v>0</v>
      </c>
      <c r="AY152" s="5">
        <f t="array" aca="1" ref="AY152" ca="1">IF(AY$31&gt;$AL152,0,IF(ISERROR(OFFSET($E$31,0,SMALL(IF($E152:$X152&gt;0,COLUMN($A:$T),""),AY$31)-1)),0,OFFSET($E$31,0,SMALL(IF($E152:$X152&gt;0,COLUMN($A:$T),""),AY$31)-1)))</f>
        <v>0</v>
      </c>
      <c r="AZ152" s="5">
        <f t="array" ref="AZ152">IF(AY$31&gt;$AL152,0,IF(ISERROR(INDEX($E152:$X152,,SMALL(IF($E152:$X152&gt;0,COLUMN($A:$T),""),AZ$31))),0,INDEX($E152:$X152,,SMALL(IF($E152:$X152&gt;0,COLUMN($A:$T),""),AZ$31))))</f>
        <v>0</v>
      </c>
      <c r="BA152" s="5">
        <f t="array" aca="1" ref="BA152" ca="1">IF(BA$31&gt;$AL152,0,IF(ISERROR(OFFSET($E$31,0,SMALL(IF($E152:$X152&gt;0,COLUMN($A:$T),""),BA$31)-1)),0,OFFSET($E$31,0,SMALL(IF($E152:$X152&gt;0,COLUMN($A:$T),""),BA$31)-1)))</f>
        <v>0</v>
      </c>
      <c r="BB152" s="5">
        <f t="array" ref="BB152">IF(BA$31&gt;$AL152,0,IF(ISERROR(INDEX($E152:$X152,,SMALL(IF($E152:$X152&gt;0,COLUMN($A:$T),""),BB$31))),0,INDEX($E152:$X152,,SMALL(IF($E152:$X152&gt;0,COLUMN($A:$T),""),BB$31))))</f>
        <v>0</v>
      </c>
      <c r="BC152" s="5">
        <f t="array" aca="1" ref="BC152" ca="1">IF(BC$31&gt;$AL152,0,IF(ISERROR(OFFSET($E$31,0,SMALL(IF($E152:$X152&gt;0,COLUMN($A:$T),""),BC$31)-1)),0,OFFSET($E$31,0,SMALL(IF($E152:$X152&gt;0,COLUMN($A:$T),""),BC$31)-1)))</f>
        <v>0</v>
      </c>
      <c r="BD152" s="5">
        <f t="array" ref="BD152">IF(BC$31&gt;$AL152,0,IF(ISERROR(INDEX($E152:$X152,,SMALL(IF($E152:$X152&gt;0,COLUMN($A:$T),""),BD$31))),0,INDEX($E152:$X152,,SMALL(IF($E152:$X152&gt;0,COLUMN($A:$T),""),BD$31))))</f>
        <v>0</v>
      </c>
      <c r="BE152" s="5">
        <f t="array" aca="1" ref="BE152" ca="1">IF(BE$31&gt;$AL152,0,IF(ISERROR(OFFSET($E$31,0,SMALL(IF($E152:$X152&gt;0,COLUMN($A:$T),""),BE$31)-1)),0,OFFSET($E$31,0,SMALL(IF($E152:$X152&gt;0,COLUMN($A:$T),""),BE$31)-1)))</f>
        <v>0</v>
      </c>
      <c r="BF152" s="5">
        <f t="array" ref="BF152">IF(BE$31&gt;$AL152,0,IF(ISERROR(INDEX($E152:$X152,,SMALL(IF($E152:$X152&gt;0,COLUMN($A:$T),""),BF$31))),0,INDEX($E152:$X152,,SMALL(IF($E152:$X152&gt;0,COLUMN($A:$T),""),BF$31))))</f>
        <v>0</v>
      </c>
      <c r="BH152">
        <f ca="1">SUMPRODUCT(E152:N152,定义数据!$G$14:$P$14)</f>
        <v>601.99336080808098</v>
      </c>
      <c r="BI152">
        <f ca="1">SUMPRODUCT(O152:X152,定义数据!$G$14:$P$14)</f>
        <v>215.1158586872539</v>
      </c>
      <c r="BJ152" s="5">
        <f t="shared" ca="1" si="122"/>
        <v>817.10921949533486</v>
      </c>
      <c r="BK152" s="5" t="str">
        <f>D152&amp;B152&amp;VLOOKUP(C152,定义数据!$E$1:$F$7,2,FALSE)</f>
        <v>7030</v>
      </c>
    </row>
    <row r="153" spans="1:63" x14ac:dyDescent="0.15">
      <c r="A153" s="17" t="str">
        <f>D153&amp;B153&amp;VLOOKUP(C153,定义数据!$E$1:$F$7,2,FALSE)</f>
        <v>7031</v>
      </c>
      <c r="B153" s="18">
        <v>3</v>
      </c>
      <c r="C153" s="18" t="s">
        <v>136</v>
      </c>
      <c r="D153" s="24">
        <v>70</v>
      </c>
      <c r="E153" s="56">
        <f t="shared" ca="1" si="111"/>
        <v>8529.5195767973037</v>
      </c>
      <c r="F153" s="56">
        <f t="shared" ca="1" si="112"/>
        <v>0</v>
      </c>
      <c r="G153" s="56">
        <f t="shared" ca="1" si="113"/>
        <v>187.21136427036396</v>
      </c>
      <c r="H153" s="56">
        <f t="shared" ca="1" si="114"/>
        <v>0</v>
      </c>
      <c r="I153" s="56">
        <f t="shared" ca="1" si="115"/>
        <v>0</v>
      </c>
      <c r="J153" s="56">
        <f t="shared" ca="1" si="116"/>
        <v>0</v>
      </c>
      <c r="K153" s="56">
        <f t="shared" ca="1" si="117"/>
        <v>0</v>
      </c>
      <c r="L153" s="56">
        <f t="shared" ca="1" si="118"/>
        <v>0</v>
      </c>
      <c r="M153" s="56">
        <f t="shared" ca="1" si="119"/>
        <v>0</v>
      </c>
      <c r="N153" s="56">
        <f t="shared" ca="1" si="120"/>
        <v>0</v>
      </c>
      <c r="O153" s="65">
        <f t="shared" ca="1" si="123"/>
        <v>1776.9832451661055</v>
      </c>
      <c r="P153" s="65">
        <f t="shared" ca="1" si="124"/>
        <v>0</v>
      </c>
      <c r="Q153" s="65">
        <f t="shared" ca="1" si="125"/>
        <v>58.503551334488741</v>
      </c>
      <c r="R153" s="65">
        <f t="shared" ca="1" si="126"/>
        <v>42.500000000000014</v>
      </c>
      <c r="S153" s="65">
        <f t="shared" ca="1" si="127"/>
        <v>0</v>
      </c>
      <c r="T153" s="65">
        <f t="shared" ca="1" si="128"/>
        <v>0</v>
      </c>
      <c r="U153" s="65">
        <f t="shared" ca="1" si="129"/>
        <v>0</v>
      </c>
      <c r="V153" s="65">
        <f t="shared" ca="1" si="130"/>
        <v>41.975308641975303</v>
      </c>
      <c r="W153" s="65">
        <f t="shared" ca="1" si="131"/>
        <v>0</v>
      </c>
      <c r="X153" s="65">
        <f t="shared" ca="1" si="132"/>
        <v>0</v>
      </c>
      <c r="Y153" s="21" t="s">
        <v>95</v>
      </c>
      <c r="Z153" s="15">
        <f>VLOOKUP($D153&amp;$B153,[3]!装备基础属性表,P$30,FALSE)</f>
        <v>17769.832451661052</v>
      </c>
      <c r="AA153" s="15">
        <f>VLOOKUP($D153&amp;$B153,[3]!装备基础属性表,Q$30,FALSE)</f>
        <v>902.58152727272761</v>
      </c>
      <c r="AB153" s="15">
        <f>VLOOKUP($D153&amp;$B153,[3]!装备基础属性表,R$30,FALSE)</f>
        <v>390.02367556325822</v>
      </c>
      <c r="AC153" s="15">
        <f>VLOOKUP($D153&amp;$B153,[3]!装备基础属性表,S$30,FALSE)</f>
        <v>708.33333333333337</v>
      </c>
      <c r="AD153" s="15">
        <f>VLOOKUP($D153&amp;$B153,[3]!装备基础属性表,T$30,FALSE)</f>
        <v>708.33333333333337</v>
      </c>
      <c r="AE153" s="15">
        <f>VLOOKUP($D153&amp;$B153,[3]!装备基础属性表,U$30,FALSE)</f>
        <v>419.75308641975306</v>
      </c>
      <c r="AF153" s="15">
        <f>VLOOKUP($D153&amp;$B153,[3]!装备基础属性表,V$30,FALSE)</f>
        <v>0</v>
      </c>
      <c r="AG153" s="15">
        <f>VLOOKUP($D153&amp;$B153,[3]!装备基础属性表,W$30,FALSE)</f>
        <v>419.75308641975306</v>
      </c>
      <c r="AH153" s="15">
        <f>VLOOKUP($D153&amp;$B153,[3]!装备基础属性表,X$30,FALSE)</f>
        <v>0</v>
      </c>
      <c r="AI153" s="15">
        <f>VLOOKUP($D153&amp;$B153,[3]!装备基础属性表,Y$30,FALSE)</f>
        <v>0</v>
      </c>
      <c r="AJ153" s="16" t="str">
        <f>B153&amp;VLOOKUP(C153,定义数据!$E$1:$F$7,2,FALSE)&amp;D153</f>
        <v>3170</v>
      </c>
      <c r="AK153" s="14">
        <f t="shared" si="29"/>
        <v>22</v>
      </c>
      <c r="AL153" s="5">
        <f t="shared" si="121"/>
        <v>5</v>
      </c>
      <c r="AM153" s="5" t="str">
        <f t="array" aca="1" ref="AM153" ca="1">IF(AM$31&gt;$AL153,0,IF(ISERROR(OFFSET($E$31,0,SMALL(IF($E153:$X153&gt;0,COLUMN($A:$T),""),AM$31)-1)),0,OFFSET($E$31,0,SMALL(IF($E153:$X153&gt;0,COLUMN($A:$T),""),AM$31)-1)))</f>
        <v>生命</v>
      </c>
      <c r="AN153" s="5">
        <f t="array" aca="1" ref="AN153" ca="1">IF(AM$31&gt;$AL153,0,IF(ISERROR(INDEX($E153:$X153,,SMALL(IF($E153:$X153&gt;0,COLUMN($A:$T),""),AN$31))),0,INDEX($E153:$X153,,SMALL(IF($E153:$X153&gt;0,COLUMN($A:$T),""),AN$31))))</f>
        <v>8529.5195767973037</v>
      </c>
      <c r="AO153" s="5" t="str">
        <f t="array" aca="1" ref="AO153" ca="1">IF(AO$31&gt;$AL153,0,IF(ISERROR(OFFSET($E$31,0,SMALL(IF($E153:$X153&gt;0,COLUMN($A:$T),""),AO$31)-1)),0,OFFSET($E$31,0,SMALL(IF($E153:$X153&gt;0,COLUMN($A:$T),""),AO$31)-1)))</f>
        <v>防御</v>
      </c>
      <c r="AP153" s="5">
        <f t="array" aca="1" ref="AP153" ca="1">IF(AO$31&gt;$AL153,0,IF(ISERROR(INDEX($E153:$X153,,SMALL(IF($E153:$X153&gt;0,COLUMN($A:$T),""),AP$31))),0,INDEX($E153:$X153,,SMALL(IF($E153:$X153&gt;0,COLUMN($A:$T),""),AP$31))))</f>
        <v>187.21136427036396</v>
      </c>
      <c r="AQ153" s="5" t="str">
        <f t="array" aca="1" ref="AQ153" ca="1">IF(AQ$31&gt;$AL153,0,IF(ISERROR(OFFSET($E$31,0,SMALL(IF($E153:$X153&gt;0,COLUMN($A:$T),""),AQ$31)-1)),0,OFFSET($E$31,0,SMALL(IF($E153:$X153&gt;0,COLUMN($A:$T),""),AQ$31)-1)))</f>
        <v>生命</v>
      </c>
      <c r="AR153" s="5">
        <f t="array" aca="1" ref="AR153" ca="1">IF(AQ$31&gt;$AL153,0,IF(ISERROR(INDEX($E153:$X153,,SMALL(IF($E153:$X153&gt;0,COLUMN($A:$T),""),AR$31))),0,INDEX($E153:$X153,,SMALL(IF($E153:$X153&gt;0,COLUMN($A:$T),""),AR$31))))</f>
        <v>1776.9832451661055</v>
      </c>
      <c r="AS153" s="5" t="str">
        <f t="array" aca="1" ref="AS153" ca="1">IF(AS$31&gt;$AL153,0,IF(ISERROR(OFFSET($E$31,0,SMALL(IF($E153:$X153&gt;0,COLUMN($A:$T),""),AS$31)-1)),0,OFFSET($E$31,0,SMALL(IF($E153:$X153&gt;0,COLUMN($A:$T),""),AS$31)-1)))</f>
        <v>防御</v>
      </c>
      <c r="AT153" s="5">
        <f t="array" aca="1" ref="AT153" ca="1">IF(AS$31&gt;$AL153,0,IF(ISERROR(INDEX($E153:$X153,,SMALL(IF($E153:$X153&gt;0,COLUMN($A:$T),""),AT$31))),0,INDEX($E153:$X153,,SMALL(IF($E153:$X153&gt;0,COLUMN($A:$T),""),AT$31))))</f>
        <v>58.503551334488741</v>
      </c>
      <c r="AU153" s="5" t="str">
        <f t="array" aca="1" ref="AU153" ca="1">IF(AU$31&gt;$AL153,0,IF(ISERROR(OFFSET($E$31,0,SMALL(IF($E153:$X153&gt;0,COLUMN($A:$T),""),AU$31)-1)),0,OFFSET($E$31,0,SMALL(IF($E153:$X153&gt;0,COLUMN($A:$T),""),AU$31)-1)))</f>
        <v>闪避值</v>
      </c>
      <c r="AV153" s="5">
        <f t="array" aca="1" ref="AV153" ca="1">IF(AU$31&gt;$AL153,0,IF(ISERROR(INDEX($E153:$X153,,SMALL(IF($E153:$X153&gt;0,COLUMN($A:$T),""),AV$31))),0,INDEX($E153:$X153,,SMALL(IF($E153:$X153&gt;0,COLUMN($A:$T),""),AV$31))))</f>
        <v>42.500000000000014</v>
      </c>
      <c r="AW153" s="5">
        <f t="array" aca="1" ref="AW153" ca="1">IF(AW$31&gt;$AL153,0,IF(ISERROR(OFFSET($E$31,0,SMALL(IF($E153:$X153&gt;0,COLUMN($A:$T),""),AW$31)-1)),0,OFFSET($E$31,0,SMALL(IF($E153:$X153&gt;0,COLUMN($A:$T),""),AW$31)-1)))</f>
        <v>0</v>
      </c>
      <c r="AX153" s="5">
        <f t="array" ref="AX153">IF(AW$31&gt;$AL153,0,IF(ISERROR(INDEX($E153:$X153,,SMALL(IF($E153:$X153&gt;0,COLUMN($A:$T),""),AX$31))),0,INDEX($E153:$X153,,SMALL(IF($E153:$X153&gt;0,COLUMN($A:$T),""),AX$31))))</f>
        <v>0</v>
      </c>
      <c r="AY153" s="5">
        <f t="array" aca="1" ref="AY153" ca="1">IF(AY$31&gt;$AL153,0,IF(ISERROR(OFFSET($E$31,0,SMALL(IF($E153:$X153&gt;0,COLUMN($A:$T),""),AY$31)-1)),0,OFFSET($E$31,0,SMALL(IF($E153:$X153&gt;0,COLUMN($A:$T),""),AY$31)-1)))</f>
        <v>0</v>
      </c>
      <c r="AZ153" s="5">
        <f t="array" ref="AZ153">IF(AY$31&gt;$AL153,0,IF(ISERROR(INDEX($E153:$X153,,SMALL(IF($E153:$X153&gt;0,COLUMN($A:$T),""),AZ$31))),0,INDEX($E153:$X153,,SMALL(IF($E153:$X153&gt;0,COLUMN($A:$T),""),AZ$31))))</f>
        <v>0</v>
      </c>
      <c r="BA153" s="5">
        <f t="array" aca="1" ref="BA153" ca="1">IF(BA$31&gt;$AL153,0,IF(ISERROR(OFFSET($E$31,0,SMALL(IF($E153:$X153&gt;0,COLUMN($A:$T),""),BA$31)-1)),0,OFFSET($E$31,0,SMALL(IF($E153:$X153&gt;0,COLUMN($A:$T),""),BA$31)-1)))</f>
        <v>0</v>
      </c>
      <c r="BB153" s="5">
        <f t="array" ref="BB153">IF(BA$31&gt;$AL153,0,IF(ISERROR(INDEX($E153:$X153,,SMALL(IF($E153:$X153&gt;0,COLUMN($A:$T),""),BB$31))),0,INDEX($E153:$X153,,SMALL(IF($E153:$X153&gt;0,COLUMN($A:$T),""),BB$31))))</f>
        <v>0</v>
      </c>
      <c r="BC153" s="5">
        <f t="array" aca="1" ref="BC153" ca="1">IF(BC$31&gt;$AL153,0,IF(ISERROR(OFFSET($E$31,0,SMALL(IF($E153:$X153&gt;0,COLUMN($A:$T),""),BC$31)-1)),0,OFFSET($E$31,0,SMALL(IF($E153:$X153&gt;0,COLUMN($A:$T),""),BC$31)-1)))</f>
        <v>0</v>
      </c>
      <c r="BD153" s="5">
        <f t="array" ref="BD153">IF(BC$31&gt;$AL153,0,IF(ISERROR(INDEX($E153:$X153,,SMALL(IF($E153:$X153&gt;0,COLUMN($A:$T),""),BD$31))),0,INDEX($E153:$X153,,SMALL(IF($E153:$X153&gt;0,COLUMN($A:$T),""),BD$31))))</f>
        <v>0</v>
      </c>
      <c r="BE153" s="5">
        <f t="array" aca="1" ref="BE153" ca="1">IF(BE$31&gt;$AL153,0,IF(ISERROR(OFFSET($E$31,0,SMALL(IF($E153:$X153&gt;0,COLUMN($A:$T),""),BE$31)-1)),0,OFFSET($E$31,0,SMALL(IF($E153:$X153&gt;0,COLUMN($A:$T),""),BE$31)-1)))</f>
        <v>0</v>
      </c>
      <c r="BF153" s="5">
        <f t="array" ref="BF153">IF(BE$31&gt;$AL153,0,IF(ISERROR(INDEX($E153:$X153,,SMALL(IF($E153:$X153&gt;0,COLUMN($A:$T),""),BF$31))),0,INDEX($E153:$X153,,SMALL(IF($E153:$X153&gt;0,COLUMN($A:$T),""),BF$31))))</f>
        <v>0</v>
      </c>
      <c r="BH153">
        <f ca="1">SUMPRODUCT(E153:N153,定义数据!$G$14:$P$14)</f>
        <v>528.39214734225607</v>
      </c>
      <c r="BI153">
        <f ca="1">SUMPRODUCT(O153:X153,定义数据!$G$14:$P$14)</f>
        <v>151.58843669668852</v>
      </c>
      <c r="BJ153" s="5">
        <f t="shared" ca="1" si="122"/>
        <v>679.98058403894458</v>
      </c>
      <c r="BK153" s="5" t="str">
        <f>D153&amp;B153&amp;VLOOKUP(C153,定义数据!$E$1:$F$7,2,FALSE)</f>
        <v>7031</v>
      </c>
    </row>
    <row r="154" spans="1:63" x14ac:dyDescent="0.15">
      <c r="A154" s="17" t="str">
        <f>D154&amp;B154&amp;VLOOKUP(C154,定义数据!$E$1:$F$7,2,FALSE)</f>
        <v>7032</v>
      </c>
      <c r="B154" s="18">
        <v>3</v>
      </c>
      <c r="C154" s="18" t="s">
        <v>137</v>
      </c>
      <c r="D154" s="24">
        <v>70</v>
      </c>
      <c r="E154" s="56">
        <f t="shared" ca="1" si="111"/>
        <v>0</v>
      </c>
      <c r="F154" s="56">
        <f t="shared" ca="1" si="112"/>
        <v>0</v>
      </c>
      <c r="G154" s="56">
        <f t="shared" ca="1" si="113"/>
        <v>124.80757618024263</v>
      </c>
      <c r="H154" s="56">
        <f t="shared" ca="1" si="114"/>
        <v>188.88888888888891</v>
      </c>
      <c r="I154" s="56">
        <f t="shared" ca="1" si="115"/>
        <v>0</v>
      </c>
      <c r="J154" s="56">
        <f t="shared" ca="1" si="116"/>
        <v>0</v>
      </c>
      <c r="K154" s="56">
        <f t="shared" ca="1" si="117"/>
        <v>0</v>
      </c>
      <c r="L154" s="56">
        <f t="shared" ca="1" si="118"/>
        <v>0</v>
      </c>
      <c r="M154" s="56">
        <f t="shared" ca="1" si="119"/>
        <v>0</v>
      </c>
      <c r="N154" s="56">
        <f t="shared" ca="1" si="120"/>
        <v>0</v>
      </c>
      <c r="O154" s="65">
        <f t="shared" ca="1" si="123"/>
        <v>888.49162258305273</v>
      </c>
      <c r="P154" s="65">
        <f t="shared" ca="1" si="124"/>
        <v>0</v>
      </c>
      <c r="Q154" s="65">
        <f t="shared" ca="1" si="125"/>
        <v>19.501183778162911</v>
      </c>
      <c r="R154" s="65">
        <f t="shared" ca="1" si="126"/>
        <v>42.500000000000014</v>
      </c>
      <c r="S154" s="65">
        <f t="shared" ca="1" si="127"/>
        <v>0</v>
      </c>
      <c r="T154" s="65">
        <f t="shared" ca="1" si="128"/>
        <v>0</v>
      </c>
      <c r="U154" s="65">
        <f t="shared" ca="1" si="129"/>
        <v>0</v>
      </c>
      <c r="V154" s="65">
        <f t="shared" ca="1" si="130"/>
        <v>41.975308641975303</v>
      </c>
      <c r="W154" s="65">
        <f t="shared" ca="1" si="131"/>
        <v>0</v>
      </c>
      <c r="X154" s="65">
        <f t="shared" ca="1" si="132"/>
        <v>0</v>
      </c>
      <c r="Y154" s="21" t="s">
        <v>96</v>
      </c>
      <c r="Z154" s="15">
        <f>VLOOKUP($D154&amp;$B154,[3]!装备基础属性表,P$30,FALSE)</f>
        <v>17769.832451661052</v>
      </c>
      <c r="AA154" s="15">
        <f>VLOOKUP($D154&amp;$B154,[3]!装备基础属性表,Q$30,FALSE)</f>
        <v>902.58152727272761</v>
      </c>
      <c r="AB154" s="15">
        <f>VLOOKUP($D154&amp;$B154,[3]!装备基础属性表,R$30,FALSE)</f>
        <v>390.02367556325822</v>
      </c>
      <c r="AC154" s="15">
        <f>VLOOKUP($D154&amp;$B154,[3]!装备基础属性表,S$30,FALSE)</f>
        <v>708.33333333333337</v>
      </c>
      <c r="AD154" s="15">
        <f>VLOOKUP($D154&amp;$B154,[3]!装备基础属性表,T$30,FALSE)</f>
        <v>708.33333333333337</v>
      </c>
      <c r="AE154" s="15">
        <f>VLOOKUP($D154&amp;$B154,[3]!装备基础属性表,U$30,FALSE)</f>
        <v>419.75308641975306</v>
      </c>
      <c r="AF154" s="15">
        <f>VLOOKUP($D154&amp;$B154,[3]!装备基础属性表,V$30,FALSE)</f>
        <v>0</v>
      </c>
      <c r="AG154" s="15">
        <f>VLOOKUP($D154&amp;$B154,[3]!装备基础属性表,W$30,FALSE)</f>
        <v>419.75308641975306</v>
      </c>
      <c r="AH154" s="15">
        <f>VLOOKUP($D154&amp;$B154,[3]!装备基础属性表,X$30,FALSE)</f>
        <v>0</v>
      </c>
      <c r="AI154" s="15">
        <f>VLOOKUP($D154&amp;$B154,[3]!装备基础属性表,Y$30,FALSE)</f>
        <v>0</v>
      </c>
      <c r="AJ154" s="16" t="str">
        <f>B154&amp;VLOOKUP(C154,定义数据!$E$1:$F$7,2,FALSE)&amp;D154</f>
        <v>3270</v>
      </c>
      <c r="AK154" s="14">
        <f t="shared" si="29"/>
        <v>22</v>
      </c>
      <c r="AL154" s="5">
        <f t="shared" si="121"/>
        <v>5</v>
      </c>
      <c r="AM154" s="5" t="str">
        <f t="array" aca="1" ref="AM154" ca="1">IF(AM$31&gt;$AL154,0,IF(ISERROR(OFFSET($E$31,0,SMALL(IF($E154:$X154&gt;0,COLUMN($A:$T),""),AM$31)-1)),0,OFFSET($E$31,0,SMALL(IF($E154:$X154&gt;0,COLUMN($A:$T),""),AM$31)-1)))</f>
        <v>防御</v>
      </c>
      <c r="AN154" s="5">
        <f t="array" aca="1" ref="AN154" ca="1">IF(AM$31&gt;$AL154,0,IF(ISERROR(INDEX($E154:$X154,,SMALL(IF($E154:$X154&gt;0,COLUMN($A:$T),""),AN$31))),0,INDEX($E154:$X154,,SMALL(IF($E154:$X154&gt;0,COLUMN($A:$T),""),AN$31))))</f>
        <v>124.80757618024263</v>
      </c>
      <c r="AO154" s="5" t="str">
        <f t="array" aca="1" ref="AO154" ca="1">IF(AO$31&gt;$AL154,0,IF(ISERROR(OFFSET($E$31,0,SMALL(IF($E154:$X154&gt;0,COLUMN($A:$T),""),AO$31)-1)),0,OFFSET($E$31,0,SMALL(IF($E154:$X154&gt;0,COLUMN($A:$T),""),AO$31)-1)))</f>
        <v>闪避值</v>
      </c>
      <c r="AP154" s="5">
        <f t="array" aca="1" ref="AP154" ca="1">IF(AO$31&gt;$AL154,0,IF(ISERROR(INDEX($E154:$X154,,SMALL(IF($E154:$X154&gt;0,COLUMN($A:$T),""),AP$31))),0,INDEX($E154:$X154,,SMALL(IF($E154:$X154&gt;0,COLUMN($A:$T),""),AP$31))))</f>
        <v>188.88888888888891</v>
      </c>
      <c r="AQ154" s="5" t="str">
        <f t="array" aca="1" ref="AQ154" ca="1">IF(AQ$31&gt;$AL154,0,IF(ISERROR(OFFSET($E$31,0,SMALL(IF($E154:$X154&gt;0,COLUMN($A:$T),""),AQ$31)-1)),0,OFFSET($E$31,0,SMALL(IF($E154:$X154&gt;0,COLUMN($A:$T),""),AQ$31)-1)))</f>
        <v>生命</v>
      </c>
      <c r="AR154" s="5">
        <f t="array" aca="1" ref="AR154" ca="1">IF(AQ$31&gt;$AL154,0,IF(ISERROR(INDEX($E154:$X154,,SMALL(IF($E154:$X154&gt;0,COLUMN($A:$T),""),AR$31))),0,INDEX($E154:$X154,,SMALL(IF($E154:$X154&gt;0,COLUMN($A:$T),""),AR$31))))</f>
        <v>888.49162258305273</v>
      </c>
      <c r="AS154" s="5" t="str">
        <f t="array" aca="1" ref="AS154" ca="1">IF(AS$31&gt;$AL154,0,IF(ISERROR(OFFSET($E$31,0,SMALL(IF($E154:$X154&gt;0,COLUMN($A:$T),""),AS$31)-1)),0,OFFSET($E$31,0,SMALL(IF($E154:$X154&gt;0,COLUMN($A:$T),""),AS$31)-1)))</f>
        <v>防御</v>
      </c>
      <c r="AT154" s="5">
        <f t="array" aca="1" ref="AT154" ca="1">IF(AS$31&gt;$AL154,0,IF(ISERROR(INDEX($E154:$X154,,SMALL(IF($E154:$X154&gt;0,COLUMN($A:$T),""),AT$31))),0,INDEX($E154:$X154,,SMALL(IF($E154:$X154&gt;0,COLUMN($A:$T),""),AT$31))))</f>
        <v>19.501183778162911</v>
      </c>
      <c r="AU154" s="5" t="str">
        <f t="array" aca="1" ref="AU154" ca="1">IF(AU$31&gt;$AL154,0,IF(ISERROR(OFFSET($E$31,0,SMALL(IF($E154:$X154&gt;0,COLUMN($A:$T),""),AU$31)-1)),0,OFFSET($E$31,0,SMALL(IF($E154:$X154&gt;0,COLUMN($A:$T),""),AU$31)-1)))</f>
        <v>闪避值</v>
      </c>
      <c r="AV154" s="5">
        <f t="array" aca="1" ref="AV154" ca="1">IF(AU$31&gt;$AL154,0,IF(ISERROR(INDEX($E154:$X154,,SMALL(IF($E154:$X154&gt;0,COLUMN($A:$T),""),AV$31))),0,INDEX($E154:$X154,,SMALL(IF($E154:$X154&gt;0,COLUMN($A:$T),""),AV$31))))</f>
        <v>42.500000000000014</v>
      </c>
      <c r="AW154" s="5">
        <f t="array" aca="1" ref="AW154" ca="1">IF(AW$31&gt;$AL154,0,IF(ISERROR(OFFSET($E$31,0,SMALL(IF($E154:$X154&gt;0,COLUMN($A:$T),""),AW$31)-1)),0,OFFSET($E$31,0,SMALL(IF($E154:$X154&gt;0,COLUMN($A:$T),""),AW$31)-1)))</f>
        <v>0</v>
      </c>
      <c r="AX154" s="5">
        <f t="array" ref="AX154">IF(AW$31&gt;$AL154,0,IF(ISERROR(INDEX($E154:$X154,,SMALL(IF($E154:$X154&gt;0,COLUMN($A:$T),""),AX$31))),0,INDEX($E154:$X154,,SMALL(IF($E154:$X154&gt;0,COLUMN($A:$T),""),AX$31))))</f>
        <v>0</v>
      </c>
      <c r="AY154" s="5">
        <f t="array" aca="1" ref="AY154" ca="1">IF(AY$31&gt;$AL154,0,IF(ISERROR(OFFSET($E$31,0,SMALL(IF($E154:$X154&gt;0,COLUMN($A:$T),""),AY$31)-1)),0,OFFSET($E$31,0,SMALL(IF($E154:$X154&gt;0,COLUMN($A:$T),""),AY$31)-1)))</f>
        <v>0</v>
      </c>
      <c r="AZ154" s="5">
        <f t="array" ref="AZ154">IF(AY$31&gt;$AL154,0,IF(ISERROR(INDEX($E154:$X154,,SMALL(IF($E154:$X154&gt;0,COLUMN($A:$T),""),AZ$31))),0,INDEX($E154:$X154,,SMALL(IF($E154:$X154&gt;0,COLUMN($A:$T),""),AZ$31))))</f>
        <v>0</v>
      </c>
      <c r="BA154" s="5">
        <f t="array" aca="1" ref="BA154" ca="1">IF(BA$31&gt;$AL154,0,IF(ISERROR(OFFSET($E$31,0,SMALL(IF($E154:$X154&gt;0,COLUMN($A:$T),""),BA$31)-1)),0,OFFSET($E$31,0,SMALL(IF($E154:$X154&gt;0,COLUMN($A:$T),""),BA$31)-1)))</f>
        <v>0</v>
      </c>
      <c r="BB154" s="5">
        <f t="array" ref="BB154">IF(BA$31&gt;$AL154,0,IF(ISERROR(INDEX($E154:$X154,,SMALL(IF($E154:$X154&gt;0,COLUMN($A:$T),""),BB$31))),0,INDEX($E154:$X154,,SMALL(IF($E154:$X154&gt;0,COLUMN($A:$T),""),BB$31))))</f>
        <v>0</v>
      </c>
      <c r="BC154" s="5">
        <f t="array" aca="1" ref="BC154" ca="1">IF(BC$31&gt;$AL154,0,IF(ISERROR(OFFSET($E$31,0,SMALL(IF($E154:$X154&gt;0,COLUMN($A:$T),""),BC$31)-1)),0,OFFSET($E$31,0,SMALL(IF($E154:$X154&gt;0,COLUMN($A:$T),""),BC$31)-1)))</f>
        <v>0</v>
      </c>
      <c r="BD154" s="5">
        <f t="array" ref="BD154">IF(BC$31&gt;$AL154,0,IF(ISERROR(INDEX($E154:$X154,,SMALL(IF($E154:$X154&gt;0,COLUMN($A:$T),""),BD$31))),0,INDEX($E154:$X154,,SMALL(IF($E154:$X154&gt;0,COLUMN($A:$T),""),BD$31))))</f>
        <v>0</v>
      </c>
      <c r="BE154" s="5">
        <f t="array" aca="1" ref="BE154" ca="1">IF(BE$31&gt;$AL154,0,IF(ISERROR(OFFSET($E$31,0,SMALL(IF($E154:$X154&gt;0,COLUMN($A:$T),""),BE$31)-1)),0,OFFSET($E$31,0,SMALL(IF($E154:$X154&gt;0,COLUMN($A:$T),""),BE$31)-1)))</f>
        <v>0</v>
      </c>
      <c r="BF154" s="5">
        <f t="array" ref="BF154">IF(BE$31&gt;$AL154,0,IF(ISERROR(INDEX($E154:$X154,,SMALL(IF($E154:$X154&gt;0,COLUMN($A:$T),""),BF$31))),0,INDEX($E154:$X154,,SMALL(IF($E154:$X154&gt;0,COLUMN($A:$T),""),BF$31))))</f>
        <v>0</v>
      </c>
      <c r="BH154">
        <f ca="1">SUMPRODUCT(E154:N154,定义数据!$G$14:$P$14)</f>
        <v>189.02979840246485</v>
      </c>
      <c r="BI154">
        <f ca="1">SUMPRODUCT(O154:X154,定义数据!$G$14:$P$14)</f>
        <v>77.046404237040591</v>
      </c>
      <c r="BJ154" s="5">
        <f t="shared" ca="1" si="122"/>
        <v>266.07620263950542</v>
      </c>
      <c r="BK154" s="5" t="str">
        <f>D154&amp;B154&amp;VLOOKUP(C154,定义数据!$E$1:$F$7,2,FALSE)</f>
        <v>7032</v>
      </c>
    </row>
    <row r="155" spans="1:63" x14ac:dyDescent="0.15">
      <c r="A155" s="17" t="str">
        <f>D155&amp;B155&amp;VLOOKUP(C155,定义数据!$E$1:$F$7,2,FALSE)</f>
        <v>7035</v>
      </c>
      <c r="B155" s="18">
        <v>3</v>
      </c>
      <c r="C155" s="18" t="s">
        <v>138</v>
      </c>
      <c r="D155" s="24">
        <v>70</v>
      </c>
      <c r="E155" s="56">
        <f t="shared" ca="1" si="111"/>
        <v>2843.1731922657686</v>
      </c>
      <c r="F155" s="56">
        <f t="shared" ca="1" si="112"/>
        <v>0</v>
      </c>
      <c r="G155" s="56">
        <f t="shared" ca="1" si="113"/>
        <v>0</v>
      </c>
      <c r="H155" s="56">
        <f t="shared" ca="1" si="114"/>
        <v>377.77777777777783</v>
      </c>
      <c r="I155" s="56">
        <f t="shared" ca="1" si="115"/>
        <v>0</v>
      </c>
      <c r="J155" s="56">
        <f t="shared" ca="1" si="116"/>
        <v>0</v>
      </c>
      <c r="K155" s="56">
        <f t="shared" ca="1" si="117"/>
        <v>0</v>
      </c>
      <c r="L155" s="56">
        <f t="shared" ca="1" si="118"/>
        <v>0</v>
      </c>
      <c r="M155" s="56">
        <f t="shared" ca="1" si="119"/>
        <v>0</v>
      </c>
      <c r="N155" s="56">
        <f t="shared" ca="1" si="120"/>
        <v>0</v>
      </c>
      <c r="O155" s="65">
        <f t="shared" ca="1" si="123"/>
        <v>888.49162258305273</v>
      </c>
      <c r="P155" s="65">
        <f t="shared" ca="1" si="124"/>
        <v>0</v>
      </c>
      <c r="Q155" s="65">
        <f t="shared" ca="1" si="125"/>
        <v>0</v>
      </c>
      <c r="R155" s="65">
        <f t="shared" ca="1" si="126"/>
        <v>85.000000000000028</v>
      </c>
      <c r="S155" s="65">
        <f t="shared" ca="1" si="127"/>
        <v>70.833333333333343</v>
      </c>
      <c r="T155" s="65">
        <f t="shared" ca="1" si="128"/>
        <v>25.18518518518519</v>
      </c>
      <c r="U155" s="65">
        <f t="shared" ca="1" si="129"/>
        <v>0</v>
      </c>
      <c r="V155" s="65">
        <f t="shared" ca="1" si="130"/>
        <v>0</v>
      </c>
      <c r="W155" s="65">
        <f t="shared" ca="1" si="131"/>
        <v>0</v>
      </c>
      <c r="X155" s="65">
        <f t="shared" ca="1" si="132"/>
        <v>0</v>
      </c>
      <c r="Y155" s="21"/>
      <c r="Z155" s="15">
        <f>VLOOKUP($D155&amp;$B155,[3]!装备基础属性表,P$30,FALSE)</f>
        <v>17769.832451661052</v>
      </c>
      <c r="AA155" s="15">
        <f>VLOOKUP($D155&amp;$B155,[3]!装备基础属性表,Q$30,FALSE)</f>
        <v>902.58152727272761</v>
      </c>
      <c r="AB155" s="15">
        <f>VLOOKUP($D155&amp;$B155,[3]!装备基础属性表,R$30,FALSE)</f>
        <v>390.02367556325822</v>
      </c>
      <c r="AC155" s="15">
        <f>VLOOKUP($D155&amp;$B155,[3]!装备基础属性表,S$30,FALSE)</f>
        <v>708.33333333333337</v>
      </c>
      <c r="AD155" s="15">
        <f>VLOOKUP($D155&amp;$B155,[3]!装备基础属性表,T$30,FALSE)</f>
        <v>708.33333333333337</v>
      </c>
      <c r="AE155" s="15">
        <f>VLOOKUP($D155&amp;$B155,[3]!装备基础属性表,U$30,FALSE)</f>
        <v>419.75308641975306</v>
      </c>
      <c r="AF155" s="15">
        <f>VLOOKUP($D155&amp;$B155,[3]!装备基础属性表,V$30,FALSE)</f>
        <v>0</v>
      </c>
      <c r="AG155" s="15">
        <f>VLOOKUP($D155&amp;$B155,[3]!装备基础属性表,W$30,FALSE)</f>
        <v>419.75308641975306</v>
      </c>
      <c r="AH155" s="15">
        <f>VLOOKUP($D155&amp;$B155,[3]!装备基础属性表,X$30,FALSE)</f>
        <v>0</v>
      </c>
      <c r="AI155" s="15">
        <f>VLOOKUP($D155&amp;$B155,[3]!装备基础属性表,Y$30,FALSE)</f>
        <v>0</v>
      </c>
      <c r="AJ155" s="16" t="str">
        <f>B155&amp;VLOOKUP(C155,定义数据!$E$1:$F$7,2,FALSE)&amp;D155</f>
        <v>3570</v>
      </c>
      <c r="AK155" s="14">
        <f t="shared" si="29"/>
        <v>22</v>
      </c>
      <c r="AL155" s="5">
        <f t="shared" si="121"/>
        <v>5</v>
      </c>
      <c r="AM155" s="5" t="str">
        <f t="array" aca="1" ref="AM155" ca="1">IF(AM$31&gt;$AL155,0,IF(ISERROR(OFFSET($E$31,0,SMALL(IF($E155:$X155&gt;0,COLUMN($A:$T),""),AM$31)-1)),0,OFFSET($E$31,0,SMALL(IF($E155:$X155&gt;0,COLUMN($A:$T),""),AM$31)-1)))</f>
        <v>生命</v>
      </c>
      <c r="AN155" s="5">
        <f t="array" aca="1" ref="AN155" ca="1">IF(AM$31&gt;$AL155,0,IF(ISERROR(INDEX($E155:$X155,,SMALL(IF($E155:$X155&gt;0,COLUMN($A:$T),""),AN$31))),0,INDEX($E155:$X155,,SMALL(IF($E155:$X155&gt;0,COLUMN($A:$T),""),AN$31))))</f>
        <v>2843.1731922657686</v>
      </c>
      <c r="AO155" s="5" t="str">
        <f t="array" aca="1" ref="AO155" ca="1">IF(AO$31&gt;$AL155,0,IF(ISERROR(OFFSET($E$31,0,SMALL(IF($E155:$X155&gt;0,COLUMN($A:$T),""),AO$31)-1)),0,OFFSET($E$31,0,SMALL(IF($E155:$X155&gt;0,COLUMN($A:$T),""),AO$31)-1)))</f>
        <v>闪避值</v>
      </c>
      <c r="AP155" s="5">
        <f t="array" aca="1" ref="AP155" ca="1">IF(AO$31&gt;$AL155,0,IF(ISERROR(INDEX($E155:$X155,,SMALL(IF($E155:$X155&gt;0,COLUMN($A:$T),""),AP$31))),0,INDEX($E155:$X155,,SMALL(IF($E155:$X155&gt;0,COLUMN($A:$T),""),AP$31))))</f>
        <v>377.77777777777783</v>
      </c>
      <c r="AQ155" s="5" t="str">
        <f t="array" aca="1" ref="AQ155" ca="1">IF(AQ$31&gt;$AL155,0,IF(ISERROR(OFFSET($E$31,0,SMALL(IF($E155:$X155&gt;0,COLUMN($A:$T),""),AQ$31)-1)),0,OFFSET($E$31,0,SMALL(IF($E155:$X155&gt;0,COLUMN($A:$T),""),AQ$31)-1)))</f>
        <v>生命</v>
      </c>
      <c r="AR155" s="5">
        <f t="array" aca="1" ref="AR155" ca="1">IF(AQ$31&gt;$AL155,0,IF(ISERROR(INDEX($E155:$X155,,SMALL(IF($E155:$X155&gt;0,COLUMN($A:$T),""),AR$31))),0,INDEX($E155:$X155,,SMALL(IF($E155:$X155&gt;0,COLUMN($A:$T),""),AR$31))))</f>
        <v>888.49162258305273</v>
      </c>
      <c r="AS155" s="5" t="str">
        <f t="array" aca="1" ref="AS155" ca="1">IF(AS$31&gt;$AL155,0,IF(ISERROR(OFFSET($E$31,0,SMALL(IF($E155:$X155&gt;0,COLUMN($A:$T),""),AS$31)-1)),0,OFFSET($E$31,0,SMALL(IF($E155:$X155&gt;0,COLUMN($A:$T),""),AS$31)-1)))</f>
        <v>闪避值</v>
      </c>
      <c r="AT155" s="5">
        <f t="array" aca="1" ref="AT155" ca="1">IF(AS$31&gt;$AL155,0,IF(ISERROR(INDEX($E155:$X155,,SMALL(IF($E155:$X155&gt;0,COLUMN($A:$T),""),AT$31))),0,INDEX($E155:$X155,,SMALL(IF($E155:$X155&gt;0,COLUMN($A:$T),""),AT$31))))</f>
        <v>85.000000000000028</v>
      </c>
      <c r="AU155" s="5" t="str">
        <f t="array" aca="1" ref="AU155" ca="1">IF(AU$31&gt;$AL155,0,IF(ISERROR(OFFSET($E$31,0,SMALL(IF($E155:$X155&gt;0,COLUMN($A:$T),""),AU$31)-1)),0,OFFSET($E$31,0,SMALL(IF($E155:$X155&gt;0,COLUMN($A:$T),""),AU$31)-1)))</f>
        <v>命中值</v>
      </c>
      <c r="AV155" s="5">
        <f t="array" aca="1" ref="AV155" ca="1">IF(AU$31&gt;$AL155,0,IF(ISERROR(INDEX($E155:$X155,,SMALL(IF($E155:$X155&gt;0,COLUMN($A:$T),""),AV$31))),0,INDEX($E155:$X155,,SMALL(IF($E155:$X155&gt;0,COLUMN($A:$T),""),AV$31))))</f>
        <v>70.833333333333343</v>
      </c>
      <c r="AW155" s="5">
        <f t="array" aca="1" ref="AW155" ca="1">IF(AW$31&gt;$AL155,0,IF(ISERROR(OFFSET($E$31,0,SMALL(IF($E155:$X155&gt;0,COLUMN($A:$T),""),AW$31)-1)),0,OFFSET($E$31,0,SMALL(IF($E155:$X155&gt;0,COLUMN($A:$T),""),AW$31)-1)))</f>
        <v>0</v>
      </c>
      <c r="AX155" s="5">
        <f t="array" ref="AX155">IF(AW$31&gt;$AL155,0,IF(ISERROR(INDEX($E155:$X155,,SMALL(IF($E155:$X155&gt;0,COLUMN($A:$T),""),AX$31))),0,INDEX($E155:$X155,,SMALL(IF($E155:$X155&gt;0,COLUMN($A:$T),""),AX$31))))</f>
        <v>0</v>
      </c>
      <c r="AY155" s="5">
        <f t="array" aca="1" ref="AY155" ca="1">IF(AY$31&gt;$AL155,0,IF(ISERROR(OFFSET($E$31,0,SMALL(IF($E155:$X155&gt;0,COLUMN($A:$T),""),AY$31)-1)),0,OFFSET($E$31,0,SMALL(IF($E155:$X155&gt;0,COLUMN($A:$T),""),AY$31)-1)))</f>
        <v>0</v>
      </c>
      <c r="AZ155" s="5">
        <f t="array" ref="AZ155">IF(AY$31&gt;$AL155,0,IF(ISERROR(INDEX($E155:$X155,,SMALL(IF($E155:$X155&gt;0,COLUMN($A:$T),""),AZ$31))),0,INDEX($E155:$X155,,SMALL(IF($E155:$X155&gt;0,COLUMN($A:$T),""),AZ$31))))</f>
        <v>0</v>
      </c>
      <c r="BA155" s="5">
        <f t="array" aca="1" ref="BA155" ca="1">IF(BA$31&gt;$AL155,0,IF(ISERROR(OFFSET($E$31,0,SMALL(IF($E155:$X155&gt;0,COLUMN($A:$T),""),BA$31)-1)),0,OFFSET($E$31,0,SMALL(IF($E155:$X155&gt;0,COLUMN($A:$T),""),BA$31)-1)))</f>
        <v>0</v>
      </c>
      <c r="BB155" s="5">
        <f t="array" ref="BB155">IF(BA$31&gt;$AL155,0,IF(ISERROR(INDEX($E155:$X155,,SMALL(IF($E155:$X155&gt;0,COLUMN($A:$T),""),BB$31))),0,INDEX($E155:$X155,,SMALL(IF($E155:$X155&gt;0,COLUMN($A:$T),""),BB$31))))</f>
        <v>0</v>
      </c>
      <c r="BC155" s="5">
        <f t="array" aca="1" ref="BC155" ca="1">IF(BC$31&gt;$AL155,0,IF(ISERROR(OFFSET($E$31,0,SMALL(IF($E155:$X155&gt;0,COLUMN($A:$T),""),BC$31)-1)),0,OFFSET($E$31,0,SMALL(IF($E155:$X155&gt;0,COLUMN($A:$T),""),BC$31)-1)))</f>
        <v>0</v>
      </c>
      <c r="BD155" s="5">
        <f t="array" ref="BD155">IF(BC$31&gt;$AL155,0,IF(ISERROR(INDEX($E155:$X155,,SMALL(IF($E155:$X155&gt;0,COLUMN($A:$T),""),BD$31))),0,INDEX($E155:$X155,,SMALL(IF($E155:$X155&gt;0,COLUMN($A:$T),""),BD$31))))</f>
        <v>0</v>
      </c>
      <c r="BE155" s="5">
        <f t="array" aca="1" ref="BE155" ca="1">IF(BE$31&gt;$AL155,0,IF(ISERROR(OFFSET($E$31,0,SMALL(IF($E155:$X155&gt;0,COLUMN($A:$T),""),BE$31)-1)),0,OFFSET($E$31,0,SMALL(IF($E155:$X155&gt;0,COLUMN($A:$T),""),BE$31)-1)))</f>
        <v>0</v>
      </c>
      <c r="BF155" s="5">
        <f t="array" ref="BF155">IF(BE$31&gt;$AL155,0,IF(ISERROR(INDEX($E155:$X155,,SMALL(IF($E155:$X155&gt;0,COLUMN($A:$T),""),BF$31))),0,INDEX($E155:$X155,,SMALL(IF($E155:$X155&gt;0,COLUMN($A:$T),""),BF$31))))</f>
        <v>0</v>
      </c>
      <c r="BH155">
        <f ca="1">SUMPRODUCT(E155:N155,定义数据!$G$14:$P$14)</f>
        <v>242.17137213507522</v>
      </c>
      <c r="BI155">
        <f ca="1">SUMPRODUCT(O155:X155,定义数据!$G$14:$P$14)</f>
        <v>93.056331569988799</v>
      </c>
      <c r="BJ155" s="5">
        <f t="shared" ca="1" si="122"/>
        <v>335.22770370506402</v>
      </c>
      <c r="BK155" s="5" t="str">
        <f>D155&amp;B155&amp;VLOOKUP(C155,定义数据!$E$1:$F$7,2,FALSE)</f>
        <v>7035</v>
      </c>
    </row>
    <row r="156" spans="1:63" x14ac:dyDescent="0.15">
      <c r="A156" s="17" t="str">
        <f>D156&amp;B156&amp;VLOOKUP(C156,定义数据!$E$1:$F$7,2,FALSE)</f>
        <v>7034</v>
      </c>
      <c r="B156" s="18">
        <v>3</v>
      </c>
      <c r="C156" s="18" t="s">
        <v>139</v>
      </c>
      <c r="D156" s="24">
        <v>70</v>
      </c>
      <c r="E156" s="56">
        <f t="shared" ca="1" si="111"/>
        <v>2843.1731922657686</v>
      </c>
      <c r="F156" s="56">
        <f t="shared" ca="1" si="112"/>
        <v>0</v>
      </c>
      <c r="G156" s="56">
        <f t="shared" ca="1" si="113"/>
        <v>0</v>
      </c>
      <c r="H156" s="56">
        <f t="shared" ca="1" si="114"/>
        <v>0</v>
      </c>
      <c r="I156" s="56">
        <f t="shared" ca="1" si="115"/>
        <v>0</v>
      </c>
      <c r="J156" s="56">
        <f t="shared" ca="1" si="116"/>
        <v>0</v>
      </c>
      <c r="K156" s="56">
        <f t="shared" ca="1" si="117"/>
        <v>0</v>
      </c>
      <c r="L156" s="56">
        <f t="shared" ca="1" si="118"/>
        <v>335.80246913580248</v>
      </c>
      <c r="M156" s="56">
        <f t="shared" ca="1" si="119"/>
        <v>0</v>
      </c>
      <c r="N156" s="56">
        <f t="shared" ca="1" si="120"/>
        <v>0</v>
      </c>
      <c r="O156" s="65">
        <f t="shared" ca="1" si="123"/>
        <v>1776.9832451661055</v>
      </c>
      <c r="P156" s="65">
        <f t="shared" ca="1" si="124"/>
        <v>54.154891636363672</v>
      </c>
      <c r="Q156" s="65">
        <f t="shared" ca="1" si="125"/>
        <v>19.501183778162911</v>
      </c>
      <c r="R156" s="65">
        <f t="shared" ca="1" si="126"/>
        <v>0</v>
      </c>
      <c r="S156" s="65">
        <f t="shared" ca="1" si="127"/>
        <v>0</v>
      </c>
      <c r="T156" s="65">
        <f t="shared" ca="1" si="128"/>
        <v>0</v>
      </c>
      <c r="U156" s="65">
        <f t="shared" ca="1" si="129"/>
        <v>0</v>
      </c>
      <c r="V156" s="65">
        <f t="shared" ca="1" si="130"/>
        <v>41.975308641975303</v>
      </c>
      <c r="W156" s="65">
        <f t="shared" ca="1" si="131"/>
        <v>0</v>
      </c>
      <c r="X156" s="65">
        <f t="shared" ca="1" si="132"/>
        <v>0</v>
      </c>
      <c r="Y156" s="21"/>
      <c r="Z156" s="15">
        <f>VLOOKUP($D156&amp;$B156,[3]!装备基础属性表,P$30,FALSE)</f>
        <v>17769.832451661052</v>
      </c>
      <c r="AA156" s="15">
        <f>VLOOKUP($D156&amp;$B156,[3]!装备基础属性表,Q$30,FALSE)</f>
        <v>902.58152727272761</v>
      </c>
      <c r="AB156" s="15">
        <f>VLOOKUP($D156&amp;$B156,[3]!装备基础属性表,R$30,FALSE)</f>
        <v>390.02367556325822</v>
      </c>
      <c r="AC156" s="15">
        <f>VLOOKUP($D156&amp;$B156,[3]!装备基础属性表,S$30,FALSE)</f>
        <v>708.33333333333337</v>
      </c>
      <c r="AD156" s="15">
        <f>VLOOKUP($D156&amp;$B156,[3]!装备基础属性表,T$30,FALSE)</f>
        <v>708.33333333333337</v>
      </c>
      <c r="AE156" s="15">
        <f>VLOOKUP($D156&amp;$B156,[3]!装备基础属性表,U$30,FALSE)</f>
        <v>419.75308641975306</v>
      </c>
      <c r="AF156" s="15">
        <f>VLOOKUP($D156&amp;$B156,[3]!装备基础属性表,V$30,FALSE)</f>
        <v>0</v>
      </c>
      <c r="AG156" s="15">
        <f>VLOOKUP($D156&amp;$B156,[3]!装备基础属性表,W$30,FALSE)</f>
        <v>419.75308641975306</v>
      </c>
      <c r="AH156" s="15">
        <f>VLOOKUP($D156&amp;$B156,[3]!装备基础属性表,X$30,FALSE)</f>
        <v>0</v>
      </c>
      <c r="AI156" s="15">
        <f>VLOOKUP($D156&amp;$B156,[3]!装备基础属性表,Y$30,FALSE)</f>
        <v>0</v>
      </c>
      <c r="AJ156" s="16" t="str">
        <f>B156&amp;VLOOKUP(C156,定义数据!$E$1:$F$7,2,FALSE)&amp;D156</f>
        <v>3470</v>
      </c>
      <c r="AK156" s="14">
        <f t="shared" si="29"/>
        <v>22</v>
      </c>
      <c r="AL156" s="5">
        <f t="shared" si="121"/>
        <v>5</v>
      </c>
      <c r="AM156" s="5" t="str">
        <f t="array" aca="1" ref="AM156" ca="1">IF(AM$31&gt;$AL156,0,IF(ISERROR(OFFSET($E$31,0,SMALL(IF($E156:$X156&gt;0,COLUMN($A:$T),""),AM$31)-1)),0,OFFSET($E$31,0,SMALL(IF($E156:$X156&gt;0,COLUMN($A:$T),""),AM$31)-1)))</f>
        <v>生命</v>
      </c>
      <c r="AN156" s="5">
        <f t="array" aca="1" ref="AN156" ca="1">IF(AM$31&gt;$AL156,0,IF(ISERROR(INDEX($E156:$X156,,SMALL(IF($E156:$X156&gt;0,COLUMN($A:$T),""),AN$31))),0,INDEX($E156:$X156,,SMALL(IF($E156:$X156&gt;0,COLUMN($A:$T),""),AN$31))))</f>
        <v>2843.1731922657686</v>
      </c>
      <c r="AO156" s="5" t="str">
        <f t="array" aca="1" ref="AO156" ca="1">IF(AO$31&gt;$AL156,0,IF(ISERROR(OFFSET($E$31,0,SMALL(IF($E156:$X156&gt;0,COLUMN($A:$T),""),AO$31)-1)),0,OFFSET($E$31,0,SMALL(IF($E156:$X156&gt;0,COLUMN($A:$T),""),AO$31)-1)))</f>
        <v>韧性值</v>
      </c>
      <c r="AP156" s="5">
        <f t="array" aca="1" ref="AP156" ca="1">IF(AO$31&gt;$AL156,0,IF(ISERROR(INDEX($E156:$X156,,SMALL(IF($E156:$X156&gt;0,COLUMN($A:$T),""),AP$31))),0,INDEX($E156:$X156,,SMALL(IF($E156:$X156&gt;0,COLUMN($A:$T),""),AP$31))))</f>
        <v>335.80246913580248</v>
      </c>
      <c r="AQ156" s="5" t="str">
        <f t="array" aca="1" ref="AQ156" ca="1">IF(AQ$31&gt;$AL156,0,IF(ISERROR(OFFSET($E$31,0,SMALL(IF($E156:$X156&gt;0,COLUMN($A:$T),""),AQ$31)-1)),0,OFFSET($E$31,0,SMALL(IF($E156:$X156&gt;0,COLUMN($A:$T),""),AQ$31)-1)))</f>
        <v>生命</v>
      </c>
      <c r="AR156" s="5">
        <f t="array" aca="1" ref="AR156" ca="1">IF(AQ$31&gt;$AL156,0,IF(ISERROR(INDEX($E156:$X156,,SMALL(IF($E156:$X156&gt;0,COLUMN($A:$T),""),AR$31))),0,INDEX($E156:$X156,,SMALL(IF($E156:$X156&gt;0,COLUMN($A:$T),""),AR$31))))</f>
        <v>1776.9832451661055</v>
      </c>
      <c r="AS156" s="5" t="str">
        <f t="array" aca="1" ref="AS156" ca="1">IF(AS$31&gt;$AL156,0,IF(ISERROR(OFFSET($E$31,0,SMALL(IF($E156:$X156&gt;0,COLUMN($A:$T),""),AS$31)-1)),0,OFFSET($E$31,0,SMALL(IF($E156:$X156&gt;0,COLUMN($A:$T),""),AS$31)-1)))</f>
        <v>攻击</v>
      </c>
      <c r="AT156" s="5">
        <f t="array" aca="1" ref="AT156" ca="1">IF(AS$31&gt;$AL156,0,IF(ISERROR(INDEX($E156:$X156,,SMALL(IF($E156:$X156&gt;0,COLUMN($A:$T),""),AT$31))),0,INDEX($E156:$X156,,SMALL(IF($E156:$X156&gt;0,COLUMN($A:$T),""),AT$31))))</f>
        <v>54.154891636363672</v>
      </c>
      <c r="AU156" s="5" t="str">
        <f t="array" aca="1" ref="AU156" ca="1">IF(AU$31&gt;$AL156,0,IF(ISERROR(OFFSET($E$31,0,SMALL(IF($E156:$X156&gt;0,COLUMN($A:$T),""),AU$31)-1)),0,OFFSET($E$31,0,SMALL(IF($E156:$X156&gt;0,COLUMN($A:$T),""),AU$31)-1)))</f>
        <v>防御</v>
      </c>
      <c r="AV156" s="5">
        <f t="array" aca="1" ref="AV156" ca="1">IF(AU$31&gt;$AL156,0,IF(ISERROR(INDEX($E156:$X156,,SMALL(IF($E156:$X156&gt;0,COLUMN($A:$T),""),AV$31))),0,INDEX($E156:$X156,,SMALL(IF($E156:$X156&gt;0,COLUMN($A:$T),""),AV$31))))</f>
        <v>19.501183778162911</v>
      </c>
      <c r="AW156" s="5">
        <f t="array" aca="1" ref="AW156" ca="1">IF(AW$31&gt;$AL156,0,IF(ISERROR(OFFSET($E$31,0,SMALL(IF($E156:$X156&gt;0,COLUMN($A:$T),""),AW$31)-1)),0,OFFSET($E$31,0,SMALL(IF($E156:$X156&gt;0,COLUMN($A:$T),""),AW$31)-1)))</f>
        <v>0</v>
      </c>
      <c r="AX156" s="5">
        <f t="array" ref="AX156">IF(AW$31&gt;$AL156,0,IF(ISERROR(INDEX($E156:$X156,,SMALL(IF($E156:$X156&gt;0,COLUMN($A:$T),""),AX$31))),0,INDEX($E156:$X156,,SMALL(IF($E156:$X156&gt;0,COLUMN($A:$T),""),AX$31))))</f>
        <v>0</v>
      </c>
      <c r="AY156" s="5">
        <f t="array" aca="1" ref="AY156" ca="1">IF(AY$31&gt;$AL156,0,IF(ISERROR(OFFSET($E$31,0,SMALL(IF($E156:$X156&gt;0,COLUMN($A:$T),""),AY$31)-1)),0,OFFSET($E$31,0,SMALL(IF($E156:$X156&gt;0,COLUMN($A:$T),""),AY$31)-1)))</f>
        <v>0</v>
      </c>
      <c r="AZ156" s="5">
        <f t="array" ref="AZ156">IF(AY$31&gt;$AL156,0,IF(ISERROR(INDEX($E156:$X156,,SMALL(IF($E156:$X156&gt;0,COLUMN($A:$T),""),AZ$31))),0,INDEX($E156:$X156,,SMALL(IF($E156:$X156&gt;0,COLUMN($A:$T),""),AZ$31))))</f>
        <v>0</v>
      </c>
      <c r="BA156" s="5">
        <f t="array" aca="1" ref="BA156" ca="1">IF(BA$31&gt;$AL156,0,IF(ISERROR(OFFSET($E$31,0,SMALL(IF($E156:$X156&gt;0,COLUMN($A:$T),""),BA$31)-1)),0,OFFSET($E$31,0,SMALL(IF($E156:$X156&gt;0,COLUMN($A:$T),""),BA$31)-1)))</f>
        <v>0</v>
      </c>
      <c r="BB156" s="5">
        <f t="array" ref="BB156">IF(BA$31&gt;$AL156,0,IF(ISERROR(INDEX($E156:$X156,,SMALL(IF($E156:$X156&gt;0,COLUMN($A:$T),""),BB$31))),0,INDEX($E156:$X156,,SMALL(IF($E156:$X156&gt;0,COLUMN($A:$T),""),BB$31))))</f>
        <v>0</v>
      </c>
      <c r="BC156" s="5">
        <f t="array" aca="1" ref="BC156" ca="1">IF(BC$31&gt;$AL156,0,IF(ISERROR(OFFSET($E$31,0,SMALL(IF($E156:$X156&gt;0,COLUMN($A:$T),""),BC$31)-1)),0,OFFSET($E$31,0,SMALL(IF($E156:$X156&gt;0,COLUMN($A:$T),""),BC$31)-1)))</f>
        <v>0</v>
      </c>
      <c r="BD156" s="5">
        <f t="array" ref="BD156">IF(BC$31&gt;$AL156,0,IF(ISERROR(INDEX($E156:$X156,,SMALL(IF($E156:$X156&gt;0,COLUMN($A:$T),""),BD$31))),0,INDEX($E156:$X156,,SMALL(IF($E156:$X156&gt;0,COLUMN($A:$T),""),BD$31))))</f>
        <v>0</v>
      </c>
      <c r="BE156" s="5">
        <f t="array" aca="1" ref="BE156" ca="1">IF(BE$31&gt;$AL156,0,IF(ISERROR(OFFSET($E$31,0,SMALL(IF($E156:$X156&gt;0,COLUMN($A:$T),""),BE$31)-1)),0,OFFSET($E$31,0,SMALL(IF($E156:$X156&gt;0,COLUMN($A:$T),""),BE$31)-1)))</f>
        <v>0</v>
      </c>
      <c r="BF156" s="5">
        <f t="array" ref="BF156">IF(BE$31&gt;$AL156,0,IF(ISERROR(INDEX($E156:$X156,,SMALL(IF($E156:$X156&gt;0,COLUMN($A:$T),""),BF$31))),0,INDEX($E156:$X156,,SMALL(IF($E156:$X156&gt;0,COLUMN($A:$T),""),BF$31))))</f>
        <v>0</v>
      </c>
      <c r="BH156">
        <f ca="1">SUMPRODUCT(E156:N156,定义数据!$G$14:$P$14)</f>
        <v>174.17137213507519</v>
      </c>
      <c r="BI156">
        <f ca="1">SUMPRODUCT(O156:X156,定义数据!$G$14:$P$14)</f>
        <v>152.29096077672637</v>
      </c>
      <c r="BJ156" s="5">
        <f t="shared" ca="1" si="122"/>
        <v>326.46233291180158</v>
      </c>
      <c r="BK156" s="5" t="str">
        <f>D156&amp;B156&amp;VLOOKUP(C156,定义数据!$E$1:$F$7,2,FALSE)</f>
        <v>7034</v>
      </c>
    </row>
    <row r="157" spans="1:63" x14ac:dyDescent="0.15">
      <c r="A157" s="17" t="str">
        <f>D157&amp;B157&amp;VLOOKUP(C157,定义数据!$E$1:$F$7,2,FALSE)</f>
        <v>7033</v>
      </c>
      <c r="B157" s="18">
        <v>3</v>
      </c>
      <c r="C157" s="18" t="s">
        <v>140</v>
      </c>
      <c r="D157" s="24">
        <v>70</v>
      </c>
      <c r="E157" s="56">
        <f t="shared" ca="1" si="111"/>
        <v>0</v>
      </c>
      <c r="F157" s="56">
        <f t="shared" ca="1" si="112"/>
        <v>180.51630545454555</v>
      </c>
      <c r="G157" s="56">
        <f t="shared" ca="1" si="113"/>
        <v>0</v>
      </c>
      <c r="H157" s="56">
        <f t="shared" ca="1" si="114"/>
        <v>0</v>
      </c>
      <c r="I157" s="56">
        <f t="shared" ca="1" si="115"/>
        <v>566.66666666666674</v>
      </c>
      <c r="J157" s="56">
        <f t="shared" ca="1" si="116"/>
        <v>0</v>
      </c>
      <c r="K157" s="56">
        <f t="shared" ca="1" si="117"/>
        <v>0</v>
      </c>
      <c r="L157" s="56">
        <f t="shared" ca="1" si="118"/>
        <v>0</v>
      </c>
      <c r="M157" s="56">
        <f t="shared" ca="1" si="119"/>
        <v>0</v>
      </c>
      <c r="N157" s="56">
        <f t="shared" ca="1" si="120"/>
        <v>0</v>
      </c>
      <c r="O157" s="65">
        <f t="shared" ca="1" si="123"/>
        <v>0</v>
      </c>
      <c r="P157" s="65">
        <f t="shared" ca="1" si="124"/>
        <v>54.154891636363672</v>
      </c>
      <c r="Q157" s="65">
        <f t="shared" ca="1" si="125"/>
        <v>0</v>
      </c>
      <c r="R157" s="65">
        <f t="shared" ca="1" si="126"/>
        <v>42.500000000000014</v>
      </c>
      <c r="S157" s="65">
        <f t="shared" ca="1" si="127"/>
        <v>70.833333333333343</v>
      </c>
      <c r="T157" s="65">
        <f t="shared" ca="1" si="128"/>
        <v>50.370370370370381</v>
      </c>
      <c r="U157" s="65">
        <f t="shared" ca="1" si="129"/>
        <v>0</v>
      </c>
      <c r="V157" s="65">
        <f t="shared" ca="1" si="130"/>
        <v>0</v>
      </c>
      <c r="W157" s="65">
        <f t="shared" ca="1" si="131"/>
        <v>0</v>
      </c>
      <c r="X157" s="65">
        <f t="shared" ca="1" si="132"/>
        <v>0</v>
      </c>
      <c r="Y157" s="21"/>
      <c r="Z157" s="15">
        <f>VLOOKUP($D157&amp;$B157,[3]!装备基础属性表,P$30,FALSE)</f>
        <v>17769.832451661052</v>
      </c>
      <c r="AA157" s="15">
        <f>VLOOKUP($D157&amp;$B157,[3]!装备基础属性表,Q$30,FALSE)</f>
        <v>902.58152727272761</v>
      </c>
      <c r="AB157" s="15">
        <f>VLOOKUP($D157&amp;$B157,[3]!装备基础属性表,R$30,FALSE)</f>
        <v>390.02367556325822</v>
      </c>
      <c r="AC157" s="15">
        <f>VLOOKUP($D157&amp;$B157,[3]!装备基础属性表,S$30,FALSE)</f>
        <v>708.33333333333337</v>
      </c>
      <c r="AD157" s="15">
        <f>VLOOKUP($D157&amp;$B157,[3]!装备基础属性表,T$30,FALSE)</f>
        <v>708.33333333333337</v>
      </c>
      <c r="AE157" s="15">
        <f>VLOOKUP($D157&amp;$B157,[3]!装备基础属性表,U$30,FALSE)</f>
        <v>419.75308641975306</v>
      </c>
      <c r="AF157" s="15">
        <f>VLOOKUP($D157&amp;$B157,[3]!装备基础属性表,V$30,FALSE)</f>
        <v>0</v>
      </c>
      <c r="AG157" s="15">
        <f>VLOOKUP($D157&amp;$B157,[3]!装备基础属性表,W$30,FALSE)</f>
        <v>419.75308641975306</v>
      </c>
      <c r="AH157" s="15">
        <f>VLOOKUP($D157&amp;$B157,[3]!装备基础属性表,X$30,FALSE)</f>
        <v>0</v>
      </c>
      <c r="AI157" s="15">
        <f>VLOOKUP($D157&amp;$B157,[3]!装备基础属性表,Y$30,FALSE)</f>
        <v>0</v>
      </c>
      <c r="AJ157" s="16" t="str">
        <f>B157&amp;VLOOKUP(C157,定义数据!$E$1:$F$7,2,FALSE)&amp;D157</f>
        <v>3370</v>
      </c>
      <c r="AK157" s="14">
        <f t="shared" si="29"/>
        <v>22</v>
      </c>
      <c r="AL157" s="5">
        <f t="shared" si="121"/>
        <v>5</v>
      </c>
      <c r="AM157" s="5" t="str">
        <f t="array" aca="1" ref="AM157" ca="1">IF(AM$31&gt;$AL157,0,IF(ISERROR(OFFSET($E$31,0,SMALL(IF($E157:$X157&gt;0,COLUMN($A:$T),""),AM$31)-1)),0,OFFSET($E$31,0,SMALL(IF($E157:$X157&gt;0,COLUMN($A:$T),""),AM$31)-1)))</f>
        <v>攻击</v>
      </c>
      <c r="AN157" s="5">
        <f t="array" aca="1" ref="AN157" ca="1">IF(AM$31&gt;$AL157,0,IF(ISERROR(INDEX($E157:$X157,,SMALL(IF($E157:$X157&gt;0,COLUMN($A:$T),""),AN$31))),0,INDEX($E157:$X157,,SMALL(IF($E157:$X157&gt;0,COLUMN($A:$T),""),AN$31))))</f>
        <v>180.51630545454555</v>
      </c>
      <c r="AO157" s="5" t="str">
        <f t="array" aca="1" ref="AO157" ca="1">IF(AO$31&gt;$AL157,0,IF(ISERROR(OFFSET($E$31,0,SMALL(IF($E157:$X157&gt;0,COLUMN($A:$T),""),AO$31)-1)),0,OFFSET($E$31,0,SMALL(IF($E157:$X157&gt;0,COLUMN($A:$T),""),AO$31)-1)))</f>
        <v>命中值</v>
      </c>
      <c r="AP157" s="5">
        <f t="array" aca="1" ref="AP157" ca="1">IF(AO$31&gt;$AL157,0,IF(ISERROR(INDEX($E157:$X157,,SMALL(IF($E157:$X157&gt;0,COLUMN($A:$T),""),AP$31))),0,INDEX($E157:$X157,,SMALL(IF($E157:$X157&gt;0,COLUMN($A:$T),""),AP$31))))</f>
        <v>566.66666666666674</v>
      </c>
      <c r="AQ157" s="5" t="str">
        <f t="array" aca="1" ref="AQ157" ca="1">IF(AQ$31&gt;$AL157,0,IF(ISERROR(OFFSET($E$31,0,SMALL(IF($E157:$X157&gt;0,COLUMN($A:$T),""),AQ$31)-1)),0,OFFSET($E$31,0,SMALL(IF($E157:$X157&gt;0,COLUMN($A:$T),""),AQ$31)-1)))</f>
        <v>攻击</v>
      </c>
      <c r="AR157" s="5">
        <f t="array" aca="1" ref="AR157" ca="1">IF(AQ$31&gt;$AL157,0,IF(ISERROR(INDEX($E157:$X157,,SMALL(IF($E157:$X157&gt;0,COLUMN($A:$T),""),AR$31))),0,INDEX($E157:$X157,,SMALL(IF($E157:$X157&gt;0,COLUMN($A:$T),""),AR$31))))</f>
        <v>54.154891636363672</v>
      </c>
      <c r="AS157" s="5" t="str">
        <f t="array" aca="1" ref="AS157" ca="1">IF(AS$31&gt;$AL157,0,IF(ISERROR(OFFSET($E$31,0,SMALL(IF($E157:$X157&gt;0,COLUMN($A:$T),""),AS$31)-1)),0,OFFSET($E$31,0,SMALL(IF($E157:$X157&gt;0,COLUMN($A:$T),""),AS$31)-1)))</f>
        <v>闪避值</v>
      </c>
      <c r="AT157" s="5">
        <f t="array" aca="1" ref="AT157" ca="1">IF(AS$31&gt;$AL157,0,IF(ISERROR(INDEX($E157:$X157,,SMALL(IF($E157:$X157&gt;0,COLUMN($A:$T),""),AT$31))),0,INDEX($E157:$X157,,SMALL(IF($E157:$X157&gt;0,COLUMN($A:$T),""),AT$31))))</f>
        <v>42.500000000000014</v>
      </c>
      <c r="AU157" s="5" t="str">
        <f t="array" aca="1" ref="AU157" ca="1">IF(AU$31&gt;$AL157,0,IF(ISERROR(OFFSET($E$31,0,SMALL(IF($E157:$X157&gt;0,COLUMN($A:$T),""),AU$31)-1)),0,OFFSET($E$31,0,SMALL(IF($E157:$X157&gt;0,COLUMN($A:$T),""),AU$31)-1)))</f>
        <v>命中值</v>
      </c>
      <c r="AV157" s="5">
        <f t="array" aca="1" ref="AV157" ca="1">IF(AU$31&gt;$AL157,0,IF(ISERROR(INDEX($E157:$X157,,SMALL(IF($E157:$X157&gt;0,COLUMN($A:$T),""),AV$31))),0,INDEX($E157:$X157,,SMALL(IF($E157:$X157&gt;0,COLUMN($A:$T),""),AV$31))))</f>
        <v>70.833333333333343</v>
      </c>
      <c r="AW157" s="5">
        <f t="array" aca="1" ref="AW157" ca="1">IF(AW$31&gt;$AL157,0,IF(ISERROR(OFFSET($E$31,0,SMALL(IF($E157:$X157&gt;0,COLUMN($A:$T),""),AW$31)-1)),0,OFFSET($E$31,0,SMALL(IF($E157:$X157&gt;0,COLUMN($A:$T),""),AW$31)-1)))</f>
        <v>0</v>
      </c>
      <c r="AX157" s="5">
        <f t="array" ref="AX157">IF(AW$31&gt;$AL157,0,IF(ISERROR(INDEX($E157:$X157,,SMALL(IF($E157:$X157&gt;0,COLUMN($A:$T),""),AX$31))),0,INDEX($E157:$X157,,SMALL(IF($E157:$X157&gt;0,COLUMN($A:$T),""),AX$31))))</f>
        <v>0</v>
      </c>
      <c r="AY157" s="5">
        <f t="array" aca="1" ref="AY157" ca="1">IF(AY$31&gt;$AL157,0,IF(ISERROR(OFFSET($E$31,0,SMALL(IF($E157:$X157&gt;0,COLUMN($A:$T),""),AY$31)-1)),0,OFFSET($E$31,0,SMALL(IF($E157:$X157&gt;0,COLUMN($A:$T),""),AY$31)-1)))</f>
        <v>0</v>
      </c>
      <c r="AZ157" s="5">
        <f t="array" ref="AZ157">IF(AY$31&gt;$AL157,0,IF(ISERROR(INDEX($E157:$X157,,SMALL(IF($E157:$X157&gt;0,COLUMN($A:$T),""),AZ$31))),0,INDEX($E157:$X157,,SMALL(IF($E157:$X157&gt;0,COLUMN($A:$T),""),AZ$31))))</f>
        <v>0</v>
      </c>
      <c r="BA157" s="5">
        <f t="array" aca="1" ref="BA157" ca="1">IF(BA$31&gt;$AL157,0,IF(ISERROR(OFFSET($E$31,0,SMALL(IF($E157:$X157&gt;0,COLUMN($A:$T),""),BA$31)-1)),0,OFFSET($E$31,0,SMALL(IF($E157:$X157&gt;0,COLUMN($A:$T),""),BA$31)-1)))</f>
        <v>0</v>
      </c>
      <c r="BB157" s="5">
        <f t="array" ref="BB157">IF(BA$31&gt;$AL157,0,IF(ISERROR(INDEX($E157:$X157,,SMALL(IF($E157:$X157&gt;0,COLUMN($A:$T),""),BB$31))),0,INDEX($E157:$X157,,SMALL(IF($E157:$X157&gt;0,COLUMN($A:$T),""),BB$31))))</f>
        <v>0</v>
      </c>
      <c r="BC157" s="5">
        <f t="array" aca="1" ref="BC157" ca="1">IF(BC$31&gt;$AL157,0,IF(ISERROR(OFFSET($E$31,0,SMALL(IF($E157:$X157&gt;0,COLUMN($A:$T),""),BC$31)-1)),0,OFFSET($E$31,0,SMALL(IF($E157:$X157&gt;0,COLUMN($A:$T),""),BC$31)-1)))</f>
        <v>0</v>
      </c>
      <c r="BD157" s="5">
        <f t="array" ref="BD157">IF(BC$31&gt;$AL157,0,IF(ISERROR(INDEX($E157:$X157,,SMALL(IF($E157:$X157&gt;0,COLUMN($A:$T),""),BD$31))),0,INDEX($E157:$X157,,SMALL(IF($E157:$X157&gt;0,COLUMN($A:$T),""),BD$31))))</f>
        <v>0</v>
      </c>
      <c r="BE157" s="5">
        <f t="array" aca="1" ref="BE157" ca="1">IF(BE$31&gt;$AL157,0,IF(ISERROR(OFFSET($E$31,0,SMALL(IF($E157:$X157&gt;0,COLUMN($A:$T),""),BE$31)-1)),0,OFFSET($E$31,0,SMALL(IF($E157:$X157&gt;0,COLUMN($A:$T),""),BE$31)-1)))</f>
        <v>0</v>
      </c>
      <c r="BF157" s="5">
        <f t="array" ref="BF157">IF(BE$31&gt;$AL157,0,IF(ISERROR(INDEX($E157:$X157,,SMALL(IF($E157:$X157&gt;0,COLUMN($A:$T),""),BF$31))),0,INDEX($E157:$X157,,SMALL(IF($E157:$X157&gt;0,COLUMN($A:$T),""),BF$31))))</f>
        <v>0</v>
      </c>
      <c r="BH157">
        <f ca="1">SUMPRODUCT(E157:N157,定义数据!$G$14:$P$14)</f>
        <v>373.18297212121229</v>
      </c>
      <c r="BI157">
        <f ca="1">SUMPRODUCT(O157:X157,定义数据!$G$14:$P$14)</f>
        <v>101.75489163636368</v>
      </c>
      <c r="BJ157" s="5">
        <f t="shared" ca="1" si="122"/>
        <v>474.937863757576</v>
      </c>
      <c r="BK157" s="5" t="str">
        <f>D157&amp;B157&amp;VLOOKUP(C157,定义数据!$E$1:$F$7,2,FALSE)</f>
        <v>7033</v>
      </c>
    </row>
    <row r="158" spans="1:63" x14ac:dyDescent="0.15">
      <c r="A158" s="17" t="str">
        <f>D158&amp;B158&amp;VLOOKUP(C158,定义数据!$E$1:$F$7,2,FALSE)</f>
        <v>7040</v>
      </c>
      <c r="B158" s="18">
        <v>4</v>
      </c>
      <c r="C158" s="18" t="s">
        <v>141</v>
      </c>
      <c r="D158" s="24">
        <v>70</v>
      </c>
      <c r="E158" s="56">
        <f t="shared" ca="1" si="111"/>
        <v>0</v>
      </c>
      <c r="F158" s="56">
        <f t="shared" ca="1" si="112"/>
        <v>557.47682566844924</v>
      </c>
      <c r="G158" s="56">
        <f t="shared" ca="1" si="113"/>
        <v>0</v>
      </c>
      <c r="H158" s="56">
        <f t="shared" ca="1" si="114"/>
        <v>0</v>
      </c>
      <c r="I158" s="56">
        <f t="shared" ca="1" si="115"/>
        <v>0</v>
      </c>
      <c r="J158" s="56">
        <f t="shared" ca="1" si="116"/>
        <v>345.67901234567904</v>
      </c>
      <c r="K158" s="56">
        <f t="shared" ca="1" si="117"/>
        <v>0</v>
      </c>
      <c r="L158" s="56">
        <f t="shared" ca="1" si="118"/>
        <v>0</v>
      </c>
      <c r="M158" s="56">
        <f t="shared" ca="1" si="119"/>
        <v>0</v>
      </c>
      <c r="N158" s="56">
        <f t="shared" ca="1" si="120"/>
        <v>0</v>
      </c>
      <c r="O158" s="65">
        <f t="shared" ca="1" si="123"/>
        <v>0</v>
      </c>
      <c r="P158" s="65">
        <f t="shared" ca="1" si="124"/>
        <v>254.8465488770054</v>
      </c>
      <c r="Q158" s="65">
        <f t="shared" ca="1" si="125"/>
        <v>30.590092201039866</v>
      </c>
      <c r="R158" s="65">
        <f t="shared" ca="1" si="126"/>
        <v>0</v>
      </c>
      <c r="S158" s="65">
        <f t="shared" ca="1" si="127"/>
        <v>111.11111111111111</v>
      </c>
      <c r="T158" s="65">
        <f t="shared" ca="1" si="128"/>
        <v>79.012345679012356</v>
      </c>
      <c r="U158" s="65">
        <f t="shared" ca="1" si="129"/>
        <v>0</v>
      </c>
      <c r="V158" s="65">
        <f t="shared" ca="1" si="130"/>
        <v>0</v>
      </c>
      <c r="W158" s="65">
        <f t="shared" ca="1" si="131"/>
        <v>0</v>
      </c>
      <c r="X158" s="65">
        <f t="shared" ca="1" si="132"/>
        <v>0</v>
      </c>
      <c r="Y158" s="21" t="s">
        <v>94</v>
      </c>
      <c r="Z158" s="15">
        <f>VLOOKUP($D158&amp;$B158,[3]!装备基础属性表,P$30,FALSE)</f>
        <v>20905.685237248294</v>
      </c>
      <c r="AA158" s="15">
        <f>VLOOKUP($D158&amp;$B158,[3]!装备基础属性表,Q$30,FALSE)</f>
        <v>1061.8606203208558</v>
      </c>
      <c r="AB158" s="15">
        <f>VLOOKUP($D158&amp;$B158,[3]!装备基础属性表,R$30,FALSE)</f>
        <v>458.851383015598</v>
      </c>
      <c r="AC158" s="15">
        <f>VLOOKUP($D158&amp;$B158,[3]!装备基础属性表,S$30,FALSE)</f>
        <v>833.33333333333337</v>
      </c>
      <c r="AD158" s="15">
        <f>VLOOKUP($D158&amp;$B158,[3]!装备基础属性表,T$30,FALSE)</f>
        <v>833.33333333333337</v>
      </c>
      <c r="AE158" s="15">
        <f>VLOOKUP($D158&amp;$B158,[3]!装备基础属性表,U$30,FALSE)</f>
        <v>493.82716049382719</v>
      </c>
      <c r="AF158" s="15">
        <f>VLOOKUP($D158&amp;$B158,[3]!装备基础属性表,V$30,FALSE)</f>
        <v>0</v>
      </c>
      <c r="AG158" s="15">
        <f>VLOOKUP($D158&amp;$B158,[3]!装备基础属性表,W$30,FALSE)</f>
        <v>493.82716049382719</v>
      </c>
      <c r="AH158" s="15">
        <f>VLOOKUP($D158&amp;$B158,[3]!装备基础属性表,X$30,FALSE)</f>
        <v>0</v>
      </c>
      <c r="AI158" s="15">
        <f>VLOOKUP($D158&amp;$B158,[3]!装备基础属性表,Y$30,FALSE)</f>
        <v>0</v>
      </c>
      <c r="AJ158" s="16" t="str">
        <f>B158&amp;VLOOKUP(C158,定义数据!$E$1:$F$7,2,FALSE)&amp;D158</f>
        <v>4070</v>
      </c>
      <c r="AK158" s="14">
        <f t="shared" si="29"/>
        <v>23</v>
      </c>
      <c r="AL158" s="5">
        <f t="shared" si="121"/>
        <v>6</v>
      </c>
      <c r="AM158" s="5" t="str">
        <f t="array" aca="1" ref="AM158" ca="1">IF(AM$31&gt;$AL158,0,IF(ISERROR(OFFSET($E$31,0,SMALL(IF($E158:$X158&gt;0,COLUMN($A:$T),""),AM$31)-1)),0,OFFSET($E$31,0,SMALL(IF($E158:$X158&gt;0,COLUMN($A:$T),""),AM$31)-1)))</f>
        <v>攻击</v>
      </c>
      <c r="AN158" s="5">
        <f t="array" aca="1" ref="AN158" ca="1">IF(AM$31&gt;$AL158,0,IF(ISERROR(INDEX($E158:$X158,,SMALL(IF($E158:$X158&gt;0,COLUMN($A:$T),""),AN$31))),0,INDEX($E158:$X158,,SMALL(IF($E158:$X158&gt;0,COLUMN($A:$T),""),AN$31))))</f>
        <v>557.47682566844924</v>
      </c>
      <c r="AO158" s="5" t="str">
        <f t="array" aca="1" ref="AO158" ca="1">IF(AO$31&gt;$AL158,0,IF(ISERROR(OFFSET($E$31,0,SMALL(IF($E158:$X158&gt;0,COLUMN($A:$T),""),AO$31)-1)),0,OFFSET($E$31,0,SMALL(IF($E158:$X158&gt;0,COLUMN($A:$T),""),AO$31)-1)))</f>
        <v>暴击值</v>
      </c>
      <c r="AP158" s="5">
        <f t="array" aca="1" ref="AP158" ca="1">IF(AO$31&gt;$AL158,0,IF(ISERROR(INDEX($E158:$X158,,SMALL(IF($E158:$X158&gt;0,COLUMN($A:$T),""),AP$31))),0,INDEX($E158:$X158,,SMALL(IF($E158:$X158&gt;0,COLUMN($A:$T),""),AP$31))))</f>
        <v>345.67901234567904</v>
      </c>
      <c r="AQ158" s="5" t="str">
        <f t="array" aca="1" ref="AQ158" ca="1">IF(AQ$31&gt;$AL158,0,IF(ISERROR(OFFSET($E$31,0,SMALL(IF($E158:$X158&gt;0,COLUMN($A:$T),""),AQ$31)-1)),0,OFFSET($E$31,0,SMALL(IF($E158:$X158&gt;0,COLUMN($A:$T),""),AQ$31)-1)))</f>
        <v>攻击</v>
      </c>
      <c r="AR158" s="5">
        <f t="array" aca="1" ref="AR158" ca="1">IF(AQ$31&gt;$AL158,0,IF(ISERROR(INDEX($E158:$X158,,SMALL(IF($E158:$X158&gt;0,COLUMN($A:$T),""),AR$31))),0,INDEX($E158:$X158,,SMALL(IF($E158:$X158&gt;0,COLUMN($A:$T),""),AR$31))))</f>
        <v>254.8465488770054</v>
      </c>
      <c r="AS158" s="5" t="str">
        <f t="array" aca="1" ref="AS158" ca="1">IF(AS$31&gt;$AL158,0,IF(ISERROR(OFFSET($E$31,0,SMALL(IF($E158:$X158&gt;0,COLUMN($A:$T),""),AS$31)-1)),0,OFFSET($E$31,0,SMALL(IF($E158:$X158&gt;0,COLUMN($A:$T),""),AS$31)-1)))</f>
        <v>防御</v>
      </c>
      <c r="AT158" s="5">
        <f t="array" aca="1" ref="AT158" ca="1">IF(AS$31&gt;$AL158,0,IF(ISERROR(INDEX($E158:$X158,,SMALL(IF($E158:$X158&gt;0,COLUMN($A:$T),""),AT$31))),0,INDEX($E158:$X158,,SMALL(IF($E158:$X158&gt;0,COLUMN($A:$T),""),AT$31))))</f>
        <v>30.590092201039866</v>
      </c>
      <c r="AU158" s="5" t="str">
        <f t="array" aca="1" ref="AU158" ca="1">IF(AU$31&gt;$AL158,0,IF(ISERROR(OFFSET($E$31,0,SMALL(IF($E158:$X158&gt;0,COLUMN($A:$T),""),AU$31)-1)),0,OFFSET($E$31,0,SMALL(IF($E158:$X158&gt;0,COLUMN($A:$T),""),AU$31)-1)))</f>
        <v>命中值</v>
      </c>
      <c r="AV158" s="5">
        <f t="array" aca="1" ref="AV158" ca="1">IF(AU$31&gt;$AL158,0,IF(ISERROR(INDEX($E158:$X158,,SMALL(IF($E158:$X158&gt;0,COLUMN($A:$T),""),AV$31))),0,INDEX($E158:$X158,,SMALL(IF($E158:$X158&gt;0,COLUMN($A:$T),""),AV$31))))</f>
        <v>111.11111111111111</v>
      </c>
      <c r="AW158" s="5" t="str">
        <f t="array" aca="1" ref="AW158" ca="1">IF(AW$31&gt;$AL158,0,IF(ISERROR(OFFSET($E$31,0,SMALL(IF($E158:$X158&gt;0,COLUMN($A:$T),""),AW$31)-1)),0,OFFSET($E$31,0,SMALL(IF($E158:$X158&gt;0,COLUMN($A:$T),""),AW$31)-1)))</f>
        <v>暴击值</v>
      </c>
      <c r="AX158" s="5">
        <f t="array" aca="1" ref="AX158" ca="1">IF(AW$31&gt;$AL158,0,IF(ISERROR(INDEX($E158:$X158,,SMALL(IF($E158:$X158&gt;0,COLUMN($A:$T),""),AX$31))),0,INDEX($E158:$X158,,SMALL(IF($E158:$X158&gt;0,COLUMN($A:$T),""),AX$31))))</f>
        <v>79.012345679012356</v>
      </c>
      <c r="AY158" s="5">
        <f t="array" aca="1" ref="AY158" ca="1">IF(AY$31&gt;$AL158,0,IF(ISERROR(OFFSET($E$31,0,SMALL(IF($E158:$X158&gt;0,COLUMN($A:$T),""),AY$31)-1)),0,OFFSET($E$31,0,SMALL(IF($E158:$X158&gt;0,COLUMN($A:$T),""),AY$31)-1)))</f>
        <v>0</v>
      </c>
      <c r="AZ158" s="5">
        <f t="array" ref="AZ158">IF(AY$31&gt;$AL158,0,IF(ISERROR(INDEX($E158:$X158,,SMALL(IF($E158:$X158&gt;0,COLUMN($A:$T),""),AZ$31))),0,INDEX($E158:$X158,,SMALL(IF($E158:$X158&gt;0,COLUMN($A:$T),""),AZ$31))))</f>
        <v>0</v>
      </c>
      <c r="BA158" s="5">
        <f t="array" aca="1" ref="BA158" ca="1">IF(BA$31&gt;$AL158,0,IF(ISERROR(OFFSET($E$31,0,SMALL(IF($E158:$X158&gt;0,COLUMN($A:$T),""),BA$31)-1)),0,OFFSET($E$31,0,SMALL(IF($E158:$X158&gt;0,COLUMN($A:$T),""),BA$31)-1)))</f>
        <v>0</v>
      </c>
      <c r="BB158" s="5">
        <f t="array" ref="BB158">IF(BA$31&gt;$AL158,0,IF(ISERROR(INDEX($E158:$X158,,SMALL(IF($E158:$X158&gt;0,COLUMN($A:$T),""),BB$31))),0,INDEX($E158:$X158,,SMALL(IF($E158:$X158&gt;0,COLUMN($A:$T),""),BB$31))))</f>
        <v>0</v>
      </c>
      <c r="BC158" s="5">
        <f t="array" aca="1" ref="BC158" ca="1">IF(BC$31&gt;$AL158,0,IF(ISERROR(OFFSET($E$31,0,SMALL(IF($E158:$X158&gt;0,COLUMN($A:$T),""),BC$31)-1)),0,OFFSET($E$31,0,SMALL(IF($E158:$X158&gt;0,COLUMN($A:$T),""),BC$31)-1)))</f>
        <v>0</v>
      </c>
      <c r="BD158" s="5">
        <f t="array" ref="BD158">IF(BC$31&gt;$AL158,0,IF(ISERROR(INDEX($E158:$X158,,SMALL(IF($E158:$X158&gt;0,COLUMN($A:$T),""),BD$31))),0,INDEX($E158:$X158,,SMALL(IF($E158:$X158&gt;0,COLUMN($A:$T),""),BD$31))))</f>
        <v>0</v>
      </c>
      <c r="BE158" s="5">
        <f t="array" aca="1" ref="BE158" ca="1">IF(BE$31&gt;$AL158,0,IF(ISERROR(OFFSET($E$31,0,SMALL(IF($E158:$X158&gt;0,COLUMN($A:$T),""),BE$31)-1)),0,OFFSET($E$31,0,SMALL(IF($E158:$X158&gt;0,COLUMN($A:$T),""),BE$31)-1)))</f>
        <v>0</v>
      </c>
      <c r="BF158" s="5">
        <f t="array" ref="BF158">IF(BE$31&gt;$AL158,0,IF(ISERROR(INDEX($E158:$X158,,SMALL(IF($E158:$X158&gt;0,COLUMN($A:$T),""),BF$31))),0,INDEX($E158:$X158,,SMALL(IF($E158:$X158&gt;0,COLUMN($A:$T),""),BF$31))))</f>
        <v>0</v>
      </c>
      <c r="BH158">
        <f ca="1">SUMPRODUCT(E158:N158,定义数据!$G$14:$P$14)</f>
        <v>619.69904789067141</v>
      </c>
      <c r="BI158">
        <f ca="1">SUMPRODUCT(O158:X158,定义数据!$G$14:$P$14)</f>
        <v>337.43664107804528</v>
      </c>
      <c r="BJ158" s="5">
        <f t="shared" ca="1" si="122"/>
        <v>957.13568896871675</v>
      </c>
      <c r="BK158" s="5" t="str">
        <f>D158&amp;B158&amp;VLOOKUP(C158,定义数据!$E$1:$F$7,2,FALSE)</f>
        <v>7040</v>
      </c>
    </row>
    <row r="159" spans="1:63" x14ac:dyDescent="0.15">
      <c r="A159" s="17" t="str">
        <f>D159&amp;B159&amp;VLOOKUP(C159,定义数据!$E$1:$F$7,2,FALSE)</f>
        <v>7041</v>
      </c>
      <c r="B159" s="18">
        <v>4</v>
      </c>
      <c r="C159" s="18" t="s">
        <v>136</v>
      </c>
      <c r="D159" s="24">
        <v>70</v>
      </c>
      <c r="E159" s="56">
        <f t="shared" ca="1" si="111"/>
        <v>8780.3877996442825</v>
      </c>
      <c r="F159" s="56">
        <f t="shared" ca="1" si="112"/>
        <v>0</v>
      </c>
      <c r="G159" s="56">
        <f t="shared" ca="1" si="113"/>
        <v>192.71758086655115</v>
      </c>
      <c r="H159" s="56">
        <f t="shared" ca="1" si="114"/>
        <v>0</v>
      </c>
      <c r="I159" s="56">
        <f t="shared" ca="1" si="115"/>
        <v>0</v>
      </c>
      <c r="J159" s="56">
        <f t="shared" ca="1" si="116"/>
        <v>0</v>
      </c>
      <c r="K159" s="56">
        <f t="shared" ca="1" si="117"/>
        <v>0</v>
      </c>
      <c r="L159" s="56">
        <f t="shared" ca="1" si="118"/>
        <v>0</v>
      </c>
      <c r="M159" s="56">
        <f t="shared" ca="1" si="119"/>
        <v>0</v>
      </c>
      <c r="N159" s="56">
        <f t="shared" ca="1" si="120"/>
        <v>0</v>
      </c>
      <c r="O159" s="65">
        <f t="shared" ca="1" si="123"/>
        <v>2787.4246982997724</v>
      </c>
      <c r="P159" s="65">
        <f t="shared" ca="1" si="124"/>
        <v>0</v>
      </c>
      <c r="Q159" s="65">
        <f t="shared" ca="1" si="125"/>
        <v>91.770276603119612</v>
      </c>
      <c r="R159" s="65">
        <f t="shared" ca="1" si="126"/>
        <v>66.666666666666671</v>
      </c>
      <c r="S159" s="65">
        <f t="shared" ca="1" si="127"/>
        <v>0</v>
      </c>
      <c r="T159" s="65">
        <f t="shared" ca="1" si="128"/>
        <v>0</v>
      </c>
      <c r="U159" s="65">
        <f t="shared" ca="1" si="129"/>
        <v>0</v>
      </c>
      <c r="V159" s="65">
        <f t="shared" ca="1" si="130"/>
        <v>65.843621399176968</v>
      </c>
      <c r="W159" s="65">
        <f t="shared" ca="1" si="131"/>
        <v>0</v>
      </c>
      <c r="X159" s="65">
        <f t="shared" ca="1" si="132"/>
        <v>0</v>
      </c>
      <c r="Y159" s="21" t="s">
        <v>95</v>
      </c>
      <c r="Z159" s="15">
        <f>VLOOKUP($D159&amp;$B159,[3]!装备基础属性表,P$30,FALSE)</f>
        <v>20905.685237248294</v>
      </c>
      <c r="AA159" s="15">
        <f>VLOOKUP($D159&amp;$B159,[3]!装备基础属性表,Q$30,FALSE)</f>
        <v>1061.8606203208558</v>
      </c>
      <c r="AB159" s="15">
        <f>VLOOKUP($D159&amp;$B159,[3]!装备基础属性表,R$30,FALSE)</f>
        <v>458.851383015598</v>
      </c>
      <c r="AC159" s="15">
        <f>VLOOKUP($D159&amp;$B159,[3]!装备基础属性表,S$30,FALSE)</f>
        <v>833.33333333333337</v>
      </c>
      <c r="AD159" s="15">
        <f>VLOOKUP($D159&amp;$B159,[3]!装备基础属性表,T$30,FALSE)</f>
        <v>833.33333333333337</v>
      </c>
      <c r="AE159" s="15">
        <f>VLOOKUP($D159&amp;$B159,[3]!装备基础属性表,U$30,FALSE)</f>
        <v>493.82716049382719</v>
      </c>
      <c r="AF159" s="15">
        <f>VLOOKUP($D159&amp;$B159,[3]!装备基础属性表,V$30,FALSE)</f>
        <v>0</v>
      </c>
      <c r="AG159" s="15">
        <f>VLOOKUP($D159&amp;$B159,[3]!装备基础属性表,W$30,FALSE)</f>
        <v>493.82716049382719</v>
      </c>
      <c r="AH159" s="15">
        <f>VLOOKUP($D159&amp;$B159,[3]!装备基础属性表,X$30,FALSE)</f>
        <v>0</v>
      </c>
      <c r="AI159" s="15">
        <f>VLOOKUP($D159&amp;$B159,[3]!装备基础属性表,Y$30,FALSE)</f>
        <v>0</v>
      </c>
      <c r="AJ159" s="16" t="str">
        <f>B159&amp;VLOOKUP(C159,定义数据!$E$1:$F$7,2,FALSE)&amp;D159</f>
        <v>4170</v>
      </c>
      <c r="AK159" s="14">
        <f t="shared" si="29"/>
        <v>23</v>
      </c>
      <c r="AL159" s="5">
        <f t="shared" si="121"/>
        <v>6</v>
      </c>
      <c r="AM159" s="5" t="str">
        <f t="array" aca="1" ref="AM159" ca="1">IF(AM$31&gt;$AL159,0,IF(ISERROR(OFFSET($E$31,0,SMALL(IF($E159:$X159&gt;0,COLUMN($A:$T),""),AM$31)-1)),0,OFFSET($E$31,0,SMALL(IF($E159:$X159&gt;0,COLUMN($A:$T),""),AM$31)-1)))</f>
        <v>生命</v>
      </c>
      <c r="AN159" s="5">
        <f t="array" aca="1" ref="AN159" ca="1">IF(AM$31&gt;$AL159,0,IF(ISERROR(INDEX($E159:$X159,,SMALL(IF($E159:$X159&gt;0,COLUMN($A:$T),""),AN$31))),0,INDEX($E159:$X159,,SMALL(IF($E159:$X159&gt;0,COLUMN($A:$T),""),AN$31))))</f>
        <v>8780.3877996442825</v>
      </c>
      <c r="AO159" s="5" t="str">
        <f t="array" aca="1" ref="AO159" ca="1">IF(AO$31&gt;$AL159,0,IF(ISERROR(OFFSET($E$31,0,SMALL(IF($E159:$X159&gt;0,COLUMN($A:$T),""),AO$31)-1)),0,OFFSET($E$31,0,SMALL(IF($E159:$X159&gt;0,COLUMN($A:$T),""),AO$31)-1)))</f>
        <v>防御</v>
      </c>
      <c r="AP159" s="5">
        <f t="array" aca="1" ref="AP159" ca="1">IF(AO$31&gt;$AL159,0,IF(ISERROR(INDEX($E159:$X159,,SMALL(IF($E159:$X159&gt;0,COLUMN($A:$T),""),AP$31))),0,INDEX($E159:$X159,,SMALL(IF($E159:$X159&gt;0,COLUMN($A:$T),""),AP$31))))</f>
        <v>192.71758086655115</v>
      </c>
      <c r="AQ159" s="5" t="str">
        <f t="array" aca="1" ref="AQ159" ca="1">IF(AQ$31&gt;$AL159,0,IF(ISERROR(OFFSET($E$31,0,SMALL(IF($E159:$X159&gt;0,COLUMN($A:$T),""),AQ$31)-1)),0,OFFSET($E$31,0,SMALL(IF($E159:$X159&gt;0,COLUMN($A:$T),""),AQ$31)-1)))</f>
        <v>生命</v>
      </c>
      <c r="AR159" s="5">
        <f t="array" aca="1" ref="AR159" ca="1">IF(AQ$31&gt;$AL159,0,IF(ISERROR(INDEX($E159:$X159,,SMALL(IF($E159:$X159&gt;0,COLUMN($A:$T),""),AR$31))),0,INDEX($E159:$X159,,SMALL(IF($E159:$X159&gt;0,COLUMN($A:$T),""),AR$31))))</f>
        <v>2787.4246982997724</v>
      </c>
      <c r="AS159" s="5" t="str">
        <f t="array" aca="1" ref="AS159" ca="1">IF(AS$31&gt;$AL159,0,IF(ISERROR(OFFSET($E$31,0,SMALL(IF($E159:$X159&gt;0,COLUMN($A:$T),""),AS$31)-1)),0,OFFSET($E$31,0,SMALL(IF($E159:$X159&gt;0,COLUMN($A:$T),""),AS$31)-1)))</f>
        <v>防御</v>
      </c>
      <c r="AT159" s="5">
        <f t="array" aca="1" ref="AT159" ca="1">IF(AS$31&gt;$AL159,0,IF(ISERROR(INDEX($E159:$X159,,SMALL(IF($E159:$X159&gt;0,COLUMN($A:$T),""),AT$31))),0,INDEX($E159:$X159,,SMALL(IF($E159:$X159&gt;0,COLUMN($A:$T),""),AT$31))))</f>
        <v>91.770276603119612</v>
      </c>
      <c r="AU159" s="5" t="str">
        <f t="array" aca="1" ref="AU159" ca="1">IF(AU$31&gt;$AL159,0,IF(ISERROR(OFFSET($E$31,0,SMALL(IF($E159:$X159&gt;0,COLUMN($A:$T),""),AU$31)-1)),0,OFFSET($E$31,0,SMALL(IF($E159:$X159&gt;0,COLUMN($A:$T),""),AU$31)-1)))</f>
        <v>闪避值</v>
      </c>
      <c r="AV159" s="5">
        <f t="array" aca="1" ref="AV159" ca="1">IF(AU$31&gt;$AL159,0,IF(ISERROR(INDEX($E159:$X159,,SMALL(IF($E159:$X159&gt;0,COLUMN($A:$T),""),AV$31))),0,INDEX($E159:$X159,,SMALL(IF($E159:$X159&gt;0,COLUMN($A:$T),""),AV$31))))</f>
        <v>66.666666666666671</v>
      </c>
      <c r="AW159" s="5" t="str">
        <f t="array" aca="1" ref="AW159" ca="1">IF(AW$31&gt;$AL159,0,IF(ISERROR(OFFSET($E$31,0,SMALL(IF($E159:$X159&gt;0,COLUMN($A:$T),""),AW$31)-1)),0,OFFSET($E$31,0,SMALL(IF($E159:$X159&gt;0,COLUMN($A:$T),""),AW$31)-1)))</f>
        <v>韧性值</v>
      </c>
      <c r="AX159" s="5">
        <f t="array" aca="1" ref="AX159" ca="1">IF(AW$31&gt;$AL159,0,IF(ISERROR(INDEX($E159:$X159,,SMALL(IF($E159:$X159&gt;0,COLUMN($A:$T),""),AX$31))),0,INDEX($E159:$X159,,SMALL(IF($E159:$X159&gt;0,COLUMN($A:$T),""),AX$31))))</f>
        <v>65.843621399176968</v>
      </c>
      <c r="AY159" s="5">
        <f t="array" aca="1" ref="AY159" ca="1">IF(AY$31&gt;$AL159,0,IF(ISERROR(OFFSET($E$31,0,SMALL(IF($E159:$X159&gt;0,COLUMN($A:$T),""),AY$31)-1)),0,OFFSET($E$31,0,SMALL(IF($E159:$X159&gt;0,COLUMN($A:$T),""),AY$31)-1)))</f>
        <v>0</v>
      </c>
      <c r="AZ159" s="5">
        <f t="array" ref="AZ159">IF(AY$31&gt;$AL159,0,IF(ISERROR(INDEX($E159:$X159,,SMALL(IF($E159:$X159&gt;0,COLUMN($A:$T),""),AZ$31))),0,INDEX($E159:$X159,,SMALL(IF($E159:$X159&gt;0,COLUMN($A:$T),""),AZ$31))))</f>
        <v>0</v>
      </c>
      <c r="BA159" s="5">
        <f t="array" aca="1" ref="BA159" ca="1">IF(BA$31&gt;$AL159,0,IF(ISERROR(OFFSET($E$31,0,SMALL(IF($E159:$X159&gt;0,COLUMN($A:$T),""),BA$31)-1)),0,OFFSET($E$31,0,SMALL(IF($E159:$X159&gt;0,COLUMN($A:$T),""),BA$31)-1)))</f>
        <v>0</v>
      </c>
      <c r="BB159" s="5">
        <f t="array" ref="BB159">IF(BA$31&gt;$AL159,0,IF(ISERROR(INDEX($E159:$X159,,SMALL(IF($E159:$X159&gt;0,COLUMN($A:$T),""),BB$31))),0,INDEX($E159:$X159,,SMALL(IF($E159:$X159&gt;0,COLUMN($A:$T),""),BB$31))))</f>
        <v>0</v>
      </c>
      <c r="BC159" s="5">
        <f t="array" aca="1" ref="BC159" ca="1">IF(BC$31&gt;$AL159,0,IF(ISERROR(OFFSET($E$31,0,SMALL(IF($E159:$X159&gt;0,COLUMN($A:$T),""),BC$31)-1)),0,OFFSET($E$31,0,SMALL(IF($E159:$X159&gt;0,COLUMN($A:$T),""),BC$31)-1)))</f>
        <v>0</v>
      </c>
      <c r="BD159" s="5">
        <f t="array" ref="BD159">IF(BC$31&gt;$AL159,0,IF(ISERROR(INDEX($E159:$X159,,SMALL(IF($E159:$X159&gt;0,COLUMN($A:$T),""),BD$31))),0,INDEX($E159:$X159,,SMALL(IF($E159:$X159&gt;0,COLUMN($A:$T),""),BD$31))))</f>
        <v>0</v>
      </c>
      <c r="BE159" s="5">
        <f t="array" aca="1" ref="BE159" ca="1">IF(BE$31&gt;$AL159,0,IF(ISERROR(OFFSET($E$31,0,SMALL(IF($E159:$X159&gt;0,COLUMN($A:$T),""),BE$31)-1)),0,OFFSET($E$31,0,SMALL(IF($E159:$X159&gt;0,COLUMN($A:$T),""),BE$31)-1)))</f>
        <v>0</v>
      </c>
      <c r="BF159" s="5">
        <f t="array" ref="BF159">IF(BE$31&gt;$AL159,0,IF(ISERROR(INDEX($E159:$X159,,SMALL(IF($E159:$X159&gt;0,COLUMN($A:$T),""),BF$31))),0,INDEX($E159:$X159,,SMALL(IF($E159:$X159&gt;0,COLUMN($A:$T),""),BF$31))))</f>
        <v>0</v>
      </c>
      <c r="BH159">
        <f ca="1">SUMPRODUCT(E159:N159,定义数据!$G$14:$P$14)</f>
        <v>543.93309285232249</v>
      </c>
      <c r="BI159">
        <f ca="1">SUMPRODUCT(O159:X159,定义数据!$G$14:$P$14)</f>
        <v>237.78578305362902</v>
      </c>
      <c r="BJ159" s="5">
        <f t="shared" ca="1" si="122"/>
        <v>781.71887590595156</v>
      </c>
      <c r="BK159" s="5" t="str">
        <f>D159&amp;B159&amp;VLOOKUP(C159,定义数据!$E$1:$F$7,2,FALSE)</f>
        <v>7041</v>
      </c>
    </row>
    <row r="160" spans="1:63" x14ac:dyDescent="0.15">
      <c r="A160" s="17" t="str">
        <f>D160&amp;B160&amp;VLOOKUP(C160,定义数据!$E$1:$F$7,2,FALSE)</f>
        <v>7042</v>
      </c>
      <c r="B160" s="18">
        <v>4</v>
      </c>
      <c r="C160" s="18" t="s">
        <v>137</v>
      </c>
      <c r="D160" s="24">
        <v>70</v>
      </c>
      <c r="E160" s="56">
        <f t="shared" ca="1" si="111"/>
        <v>0</v>
      </c>
      <c r="F160" s="56">
        <f t="shared" ca="1" si="112"/>
        <v>0</v>
      </c>
      <c r="G160" s="56">
        <f t="shared" ca="1" si="113"/>
        <v>128.47838724436744</v>
      </c>
      <c r="H160" s="56">
        <f t="shared" ca="1" si="114"/>
        <v>194.44444444444443</v>
      </c>
      <c r="I160" s="56">
        <f t="shared" ca="1" si="115"/>
        <v>0</v>
      </c>
      <c r="J160" s="56">
        <f t="shared" ca="1" si="116"/>
        <v>0</v>
      </c>
      <c r="K160" s="56">
        <f t="shared" ca="1" si="117"/>
        <v>0</v>
      </c>
      <c r="L160" s="56">
        <f t="shared" ca="1" si="118"/>
        <v>0</v>
      </c>
      <c r="M160" s="56">
        <f t="shared" ca="1" si="119"/>
        <v>0</v>
      </c>
      <c r="N160" s="56">
        <f t="shared" ca="1" si="120"/>
        <v>0</v>
      </c>
      <c r="O160" s="65">
        <f t="shared" ca="1" si="123"/>
        <v>1393.7123491498862</v>
      </c>
      <c r="P160" s="65">
        <f t="shared" ca="1" si="124"/>
        <v>0</v>
      </c>
      <c r="Q160" s="65">
        <f t="shared" ca="1" si="125"/>
        <v>30.590092201039866</v>
      </c>
      <c r="R160" s="65">
        <f t="shared" ca="1" si="126"/>
        <v>66.666666666666671</v>
      </c>
      <c r="S160" s="65">
        <f t="shared" ca="1" si="127"/>
        <v>0</v>
      </c>
      <c r="T160" s="65">
        <f t="shared" ca="1" si="128"/>
        <v>0</v>
      </c>
      <c r="U160" s="65">
        <f t="shared" ca="1" si="129"/>
        <v>0</v>
      </c>
      <c r="V160" s="65">
        <f t="shared" ca="1" si="130"/>
        <v>65.843621399176968</v>
      </c>
      <c r="W160" s="65">
        <f t="shared" ca="1" si="131"/>
        <v>0</v>
      </c>
      <c r="X160" s="65">
        <f t="shared" ca="1" si="132"/>
        <v>0</v>
      </c>
      <c r="Y160" s="21" t="s">
        <v>96</v>
      </c>
      <c r="Z160" s="15">
        <f>VLOOKUP($D160&amp;$B160,[3]!装备基础属性表,P$30,FALSE)</f>
        <v>20905.685237248294</v>
      </c>
      <c r="AA160" s="15">
        <f>VLOOKUP($D160&amp;$B160,[3]!装备基础属性表,Q$30,FALSE)</f>
        <v>1061.8606203208558</v>
      </c>
      <c r="AB160" s="15">
        <f>VLOOKUP($D160&amp;$B160,[3]!装备基础属性表,R$30,FALSE)</f>
        <v>458.851383015598</v>
      </c>
      <c r="AC160" s="15">
        <f>VLOOKUP($D160&amp;$B160,[3]!装备基础属性表,S$30,FALSE)</f>
        <v>833.33333333333337</v>
      </c>
      <c r="AD160" s="15">
        <f>VLOOKUP($D160&amp;$B160,[3]!装备基础属性表,T$30,FALSE)</f>
        <v>833.33333333333337</v>
      </c>
      <c r="AE160" s="15">
        <f>VLOOKUP($D160&amp;$B160,[3]!装备基础属性表,U$30,FALSE)</f>
        <v>493.82716049382719</v>
      </c>
      <c r="AF160" s="15">
        <f>VLOOKUP($D160&amp;$B160,[3]!装备基础属性表,V$30,FALSE)</f>
        <v>0</v>
      </c>
      <c r="AG160" s="15">
        <f>VLOOKUP($D160&amp;$B160,[3]!装备基础属性表,W$30,FALSE)</f>
        <v>493.82716049382719</v>
      </c>
      <c r="AH160" s="15">
        <f>VLOOKUP($D160&amp;$B160,[3]!装备基础属性表,X$30,FALSE)</f>
        <v>0</v>
      </c>
      <c r="AI160" s="15">
        <f>VLOOKUP($D160&amp;$B160,[3]!装备基础属性表,Y$30,FALSE)</f>
        <v>0</v>
      </c>
      <c r="AJ160" s="16" t="str">
        <f>B160&amp;VLOOKUP(C160,定义数据!$E$1:$F$7,2,FALSE)&amp;D160</f>
        <v>4270</v>
      </c>
      <c r="AK160" s="14">
        <f t="shared" si="29"/>
        <v>23</v>
      </c>
      <c r="AL160" s="5">
        <f t="shared" si="121"/>
        <v>6</v>
      </c>
      <c r="AM160" s="5" t="str">
        <f t="array" aca="1" ref="AM160" ca="1">IF(AM$31&gt;$AL160,0,IF(ISERROR(OFFSET($E$31,0,SMALL(IF($E160:$X160&gt;0,COLUMN($A:$T),""),AM$31)-1)),0,OFFSET($E$31,0,SMALL(IF($E160:$X160&gt;0,COLUMN($A:$T),""),AM$31)-1)))</f>
        <v>防御</v>
      </c>
      <c r="AN160" s="5">
        <f t="array" aca="1" ref="AN160" ca="1">IF(AM$31&gt;$AL160,0,IF(ISERROR(INDEX($E160:$X160,,SMALL(IF($E160:$X160&gt;0,COLUMN($A:$T),""),AN$31))),0,INDEX($E160:$X160,,SMALL(IF($E160:$X160&gt;0,COLUMN($A:$T),""),AN$31))))</f>
        <v>128.47838724436744</v>
      </c>
      <c r="AO160" s="5" t="str">
        <f t="array" aca="1" ref="AO160" ca="1">IF(AO$31&gt;$AL160,0,IF(ISERROR(OFFSET($E$31,0,SMALL(IF($E160:$X160&gt;0,COLUMN($A:$T),""),AO$31)-1)),0,OFFSET($E$31,0,SMALL(IF($E160:$X160&gt;0,COLUMN($A:$T),""),AO$31)-1)))</f>
        <v>闪避值</v>
      </c>
      <c r="AP160" s="5">
        <f t="array" aca="1" ref="AP160" ca="1">IF(AO$31&gt;$AL160,0,IF(ISERROR(INDEX($E160:$X160,,SMALL(IF($E160:$X160&gt;0,COLUMN($A:$T),""),AP$31))),0,INDEX($E160:$X160,,SMALL(IF($E160:$X160&gt;0,COLUMN($A:$T),""),AP$31))))</f>
        <v>194.44444444444443</v>
      </c>
      <c r="AQ160" s="5" t="str">
        <f t="array" aca="1" ref="AQ160" ca="1">IF(AQ$31&gt;$AL160,0,IF(ISERROR(OFFSET($E$31,0,SMALL(IF($E160:$X160&gt;0,COLUMN($A:$T),""),AQ$31)-1)),0,OFFSET($E$31,0,SMALL(IF($E160:$X160&gt;0,COLUMN($A:$T),""),AQ$31)-1)))</f>
        <v>生命</v>
      </c>
      <c r="AR160" s="5">
        <f t="array" aca="1" ref="AR160" ca="1">IF(AQ$31&gt;$AL160,0,IF(ISERROR(INDEX($E160:$X160,,SMALL(IF($E160:$X160&gt;0,COLUMN($A:$T),""),AR$31))),0,INDEX($E160:$X160,,SMALL(IF($E160:$X160&gt;0,COLUMN($A:$T),""),AR$31))))</f>
        <v>1393.7123491498862</v>
      </c>
      <c r="AS160" s="5" t="str">
        <f t="array" aca="1" ref="AS160" ca="1">IF(AS$31&gt;$AL160,0,IF(ISERROR(OFFSET($E$31,0,SMALL(IF($E160:$X160&gt;0,COLUMN($A:$T),""),AS$31)-1)),0,OFFSET($E$31,0,SMALL(IF($E160:$X160&gt;0,COLUMN($A:$T),""),AS$31)-1)))</f>
        <v>防御</v>
      </c>
      <c r="AT160" s="5">
        <f t="array" aca="1" ref="AT160" ca="1">IF(AS$31&gt;$AL160,0,IF(ISERROR(INDEX($E160:$X160,,SMALL(IF($E160:$X160&gt;0,COLUMN($A:$T),""),AT$31))),0,INDEX($E160:$X160,,SMALL(IF($E160:$X160&gt;0,COLUMN($A:$T),""),AT$31))))</f>
        <v>30.590092201039866</v>
      </c>
      <c r="AU160" s="5" t="str">
        <f t="array" aca="1" ref="AU160" ca="1">IF(AU$31&gt;$AL160,0,IF(ISERROR(OFFSET($E$31,0,SMALL(IF($E160:$X160&gt;0,COLUMN($A:$T),""),AU$31)-1)),0,OFFSET($E$31,0,SMALL(IF($E160:$X160&gt;0,COLUMN($A:$T),""),AU$31)-1)))</f>
        <v>闪避值</v>
      </c>
      <c r="AV160" s="5">
        <f t="array" aca="1" ref="AV160" ca="1">IF(AU$31&gt;$AL160,0,IF(ISERROR(INDEX($E160:$X160,,SMALL(IF($E160:$X160&gt;0,COLUMN($A:$T),""),AV$31))),0,INDEX($E160:$X160,,SMALL(IF($E160:$X160&gt;0,COLUMN($A:$T),""),AV$31))))</f>
        <v>66.666666666666671</v>
      </c>
      <c r="AW160" s="5" t="str">
        <f t="array" aca="1" ref="AW160" ca="1">IF(AW$31&gt;$AL160,0,IF(ISERROR(OFFSET($E$31,0,SMALL(IF($E160:$X160&gt;0,COLUMN($A:$T),""),AW$31)-1)),0,OFFSET($E$31,0,SMALL(IF($E160:$X160&gt;0,COLUMN($A:$T),""),AW$31)-1)))</f>
        <v>韧性值</v>
      </c>
      <c r="AX160" s="5">
        <f t="array" aca="1" ref="AX160" ca="1">IF(AW$31&gt;$AL160,0,IF(ISERROR(INDEX($E160:$X160,,SMALL(IF($E160:$X160&gt;0,COLUMN($A:$T),""),AX$31))),0,INDEX($E160:$X160,,SMALL(IF($E160:$X160&gt;0,COLUMN($A:$T),""),AX$31))))</f>
        <v>65.843621399176968</v>
      </c>
      <c r="AY160" s="5">
        <f t="array" aca="1" ref="AY160" ca="1">IF(AY$31&gt;$AL160,0,IF(ISERROR(OFFSET($E$31,0,SMALL(IF($E160:$X160&gt;0,COLUMN($A:$T),""),AY$31)-1)),0,OFFSET($E$31,0,SMALL(IF($E160:$X160&gt;0,COLUMN($A:$T),""),AY$31)-1)))</f>
        <v>0</v>
      </c>
      <c r="AZ160" s="5">
        <f t="array" ref="AZ160">IF(AY$31&gt;$AL160,0,IF(ISERROR(INDEX($E160:$X160,,SMALL(IF($E160:$X160&gt;0,COLUMN($A:$T),""),AZ$31))),0,INDEX($E160:$X160,,SMALL(IF($E160:$X160&gt;0,COLUMN($A:$T),""),AZ$31))))</f>
        <v>0</v>
      </c>
      <c r="BA160" s="5">
        <f t="array" aca="1" ref="BA160" ca="1">IF(BA$31&gt;$AL160,0,IF(ISERROR(OFFSET($E$31,0,SMALL(IF($E160:$X160&gt;0,COLUMN($A:$T),""),BA$31)-1)),0,OFFSET($E$31,0,SMALL(IF($E160:$X160&gt;0,COLUMN($A:$T),""),BA$31)-1)))</f>
        <v>0</v>
      </c>
      <c r="BB160" s="5">
        <f t="array" ref="BB160">IF(BA$31&gt;$AL160,0,IF(ISERROR(INDEX($E160:$X160,,SMALL(IF($E160:$X160&gt;0,COLUMN($A:$T),""),BB$31))),0,INDEX($E160:$X160,,SMALL(IF($E160:$X160&gt;0,COLUMN($A:$T),""),BB$31))))</f>
        <v>0</v>
      </c>
      <c r="BC160" s="5">
        <f t="array" aca="1" ref="BC160" ca="1">IF(BC$31&gt;$AL160,0,IF(ISERROR(OFFSET($E$31,0,SMALL(IF($E160:$X160&gt;0,COLUMN($A:$T),""),BC$31)-1)),0,OFFSET($E$31,0,SMALL(IF($E160:$X160&gt;0,COLUMN($A:$T),""),BC$31)-1)))</f>
        <v>0</v>
      </c>
      <c r="BD160" s="5">
        <f t="array" ref="BD160">IF(BC$31&gt;$AL160,0,IF(ISERROR(INDEX($E160:$X160,,SMALL(IF($E160:$X160&gt;0,COLUMN($A:$T),""),BD$31))),0,INDEX($E160:$X160,,SMALL(IF($E160:$X160&gt;0,COLUMN($A:$T),""),BD$31))))</f>
        <v>0</v>
      </c>
      <c r="BE160" s="5">
        <f t="array" aca="1" ref="BE160" ca="1">IF(BE$31&gt;$AL160,0,IF(ISERROR(OFFSET($E$31,0,SMALL(IF($E160:$X160&gt;0,COLUMN($A:$T),""),BE$31)-1)),0,OFFSET($E$31,0,SMALL(IF($E160:$X160&gt;0,COLUMN($A:$T),""),BE$31)-1)))</f>
        <v>0</v>
      </c>
      <c r="BF160" s="5">
        <f t="array" ref="BF160">IF(BE$31&gt;$AL160,0,IF(ISERROR(INDEX($E160:$X160,,SMALL(IF($E160:$X160&gt;0,COLUMN($A:$T),""),BF$31))),0,INDEX($E160:$X160,,SMALL(IF($E160:$X160&gt;0,COLUMN($A:$T),""),BF$31))))</f>
        <v>0</v>
      </c>
      <c r="BH160">
        <f ca="1">SUMPRODUCT(E160:N160,定义数据!$G$14:$P$14)</f>
        <v>194.58949835547855</v>
      </c>
      <c r="BI160">
        <f ca="1">SUMPRODUCT(O160:X160,定义数据!$G$14:$P$14)</f>
        <v>120.85710468555384</v>
      </c>
      <c r="BJ160" s="5">
        <f t="shared" ca="1" si="122"/>
        <v>315.4466030410324</v>
      </c>
      <c r="BK160" s="5" t="str">
        <f>D160&amp;B160&amp;VLOOKUP(C160,定义数据!$E$1:$F$7,2,FALSE)</f>
        <v>7042</v>
      </c>
    </row>
    <row r="161" spans="1:63" x14ac:dyDescent="0.15">
      <c r="A161" s="17" t="str">
        <f>D161&amp;B161&amp;VLOOKUP(C161,定义数据!$E$1:$F$7,2,FALSE)</f>
        <v>7045</v>
      </c>
      <c r="B161" s="18">
        <v>4</v>
      </c>
      <c r="C161" s="18" t="s">
        <v>138</v>
      </c>
      <c r="D161" s="24">
        <v>70</v>
      </c>
      <c r="E161" s="56">
        <f t="shared" ca="1" si="111"/>
        <v>2926.7959332147611</v>
      </c>
      <c r="F161" s="56">
        <f t="shared" ca="1" si="112"/>
        <v>0</v>
      </c>
      <c r="G161" s="56">
        <f t="shared" ca="1" si="113"/>
        <v>0</v>
      </c>
      <c r="H161" s="56">
        <f t="shared" ca="1" si="114"/>
        <v>388.88888888888886</v>
      </c>
      <c r="I161" s="56">
        <f t="shared" ca="1" si="115"/>
        <v>0</v>
      </c>
      <c r="J161" s="56">
        <f t="shared" ca="1" si="116"/>
        <v>0</v>
      </c>
      <c r="K161" s="56">
        <f t="shared" ca="1" si="117"/>
        <v>0</v>
      </c>
      <c r="L161" s="56">
        <f t="shared" ca="1" si="118"/>
        <v>0</v>
      </c>
      <c r="M161" s="56">
        <f t="shared" ca="1" si="119"/>
        <v>0</v>
      </c>
      <c r="N161" s="56">
        <f t="shared" ca="1" si="120"/>
        <v>0</v>
      </c>
      <c r="O161" s="65">
        <f t="shared" ca="1" si="123"/>
        <v>1393.7123491498862</v>
      </c>
      <c r="P161" s="65">
        <f t="shared" ca="1" si="124"/>
        <v>0</v>
      </c>
      <c r="Q161" s="65">
        <f t="shared" ca="1" si="125"/>
        <v>0</v>
      </c>
      <c r="R161" s="65">
        <f t="shared" ca="1" si="126"/>
        <v>133.33333333333334</v>
      </c>
      <c r="S161" s="65">
        <f t="shared" ca="1" si="127"/>
        <v>111.11111111111111</v>
      </c>
      <c r="T161" s="65">
        <f t="shared" ca="1" si="128"/>
        <v>39.506172839506178</v>
      </c>
      <c r="U161" s="65">
        <f t="shared" ca="1" si="129"/>
        <v>0</v>
      </c>
      <c r="V161" s="65">
        <f t="shared" ca="1" si="130"/>
        <v>0</v>
      </c>
      <c r="W161" s="65">
        <f t="shared" ca="1" si="131"/>
        <v>0</v>
      </c>
      <c r="X161" s="65">
        <f t="shared" ca="1" si="132"/>
        <v>0</v>
      </c>
      <c r="Y161" s="21"/>
      <c r="Z161" s="15">
        <f>VLOOKUP($D161&amp;$B161,[3]!装备基础属性表,P$30,FALSE)</f>
        <v>20905.685237248294</v>
      </c>
      <c r="AA161" s="15">
        <f>VLOOKUP($D161&amp;$B161,[3]!装备基础属性表,Q$30,FALSE)</f>
        <v>1061.8606203208558</v>
      </c>
      <c r="AB161" s="15">
        <f>VLOOKUP($D161&amp;$B161,[3]!装备基础属性表,R$30,FALSE)</f>
        <v>458.851383015598</v>
      </c>
      <c r="AC161" s="15">
        <f>VLOOKUP($D161&amp;$B161,[3]!装备基础属性表,S$30,FALSE)</f>
        <v>833.33333333333337</v>
      </c>
      <c r="AD161" s="15">
        <f>VLOOKUP($D161&amp;$B161,[3]!装备基础属性表,T$30,FALSE)</f>
        <v>833.33333333333337</v>
      </c>
      <c r="AE161" s="15">
        <f>VLOOKUP($D161&amp;$B161,[3]!装备基础属性表,U$30,FALSE)</f>
        <v>493.82716049382719</v>
      </c>
      <c r="AF161" s="15">
        <f>VLOOKUP($D161&amp;$B161,[3]!装备基础属性表,V$30,FALSE)</f>
        <v>0</v>
      </c>
      <c r="AG161" s="15">
        <f>VLOOKUP($D161&amp;$B161,[3]!装备基础属性表,W$30,FALSE)</f>
        <v>493.82716049382719</v>
      </c>
      <c r="AH161" s="15">
        <f>VLOOKUP($D161&amp;$B161,[3]!装备基础属性表,X$30,FALSE)</f>
        <v>0</v>
      </c>
      <c r="AI161" s="15">
        <f>VLOOKUP($D161&amp;$B161,[3]!装备基础属性表,Y$30,FALSE)</f>
        <v>0</v>
      </c>
      <c r="AJ161" s="16" t="str">
        <f>B161&amp;VLOOKUP(C161,定义数据!$E$1:$F$7,2,FALSE)&amp;D161</f>
        <v>4570</v>
      </c>
      <c r="AK161" s="14">
        <f t="shared" si="29"/>
        <v>23</v>
      </c>
      <c r="AL161" s="5">
        <f t="shared" si="121"/>
        <v>6</v>
      </c>
      <c r="AM161" s="5" t="str">
        <f t="array" aca="1" ref="AM161" ca="1">IF(AM$31&gt;$AL161,0,IF(ISERROR(OFFSET($E$31,0,SMALL(IF($E161:$X161&gt;0,COLUMN($A:$T),""),AM$31)-1)),0,OFFSET($E$31,0,SMALL(IF($E161:$X161&gt;0,COLUMN($A:$T),""),AM$31)-1)))</f>
        <v>生命</v>
      </c>
      <c r="AN161" s="5">
        <f t="array" aca="1" ref="AN161" ca="1">IF(AM$31&gt;$AL161,0,IF(ISERROR(INDEX($E161:$X161,,SMALL(IF($E161:$X161&gt;0,COLUMN($A:$T),""),AN$31))),0,INDEX($E161:$X161,,SMALL(IF($E161:$X161&gt;0,COLUMN($A:$T),""),AN$31))))</f>
        <v>2926.7959332147611</v>
      </c>
      <c r="AO161" s="5" t="str">
        <f t="array" aca="1" ref="AO161" ca="1">IF(AO$31&gt;$AL161,0,IF(ISERROR(OFFSET($E$31,0,SMALL(IF($E161:$X161&gt;0,COLUMN($A:$T),""),AO$31)-1)),0,OFFSET($E$31,0,SMALL(IF($E161:$X161&gt;0,COLUMN($A:$T),""),AO$31)-1)))</f>
        <v>闪避值</v>
      </c>
      <c r="AP161" s="5">
        <f t="array" aca="1" ref="AP161" ca="1">IF(AO$31&gt;$AL161,0,IF(ISERROR(INDEX($E161:$X161,,SMALL(IF($E161:$X161&gt;0,COLUMN($A:$T),""),AP$31))),0,INDEX($E161:$X161,,SMALL(IF($E161:$X161&gt;0,COLUMN($A:$T),""),AP$31))))</f>
        <v>388.88888888888886</v>
      </c>
      <c r="AQ161" s="5" t="str">
        <f t="array" aca="1" ref="AQ161" ca="1">IF(AQ$31&gt;$AL161,0,IF(ISERROR(OFFSET($E$31,0,SMALL(IF($E161:$X161&gt;0,COLUMN($A:$T),""),AQ$31)-1)),0,OFFSET($E$31,0,SMALL(IF($E161:$X161&gt;0,COLUMN($A:$T),""),AQ$31)-1)))</f>
        <v>生命</v>
      </c>
      <c r="AR161" s="5">
        <f t="array" aca="1" ref="AR161" ca="1">IF(AQ$31&gt;$AL161,0,IF(ISERROR(INDEX($E161:$X161,,SMALL(IF($E161:$X161&gt;0,COLUMN($A:$T),""),AR$31))),0,INDEX($E161:$X161,,SMALL(IF($E161:$X161&gt;0,COLUMN($A:$T),""),AR$31))))</f>
        <v>1393.7123491498862</v>
      </c>
      <c r="AS161" s="5" t="str">
        <f t="array" aca="1" ref="AS161" ca="1">IF(AS$31&gt;$AL161,0,IF(ISERROR(OFFSET($E$31,0,SMALL(IF($E161:$X161&gt;0,COLUMN($A:$T),""),AS$31)-1)),0,OFFSET($E$31,0,SMALL(IF($E161:$X161&gt;0,COLUMN($A:$T),""),AS$31)-1)))</f>
        <v>闪避值</v>
      </c>
      <c r="AT161" s="5">
        <f t="array" aca="1" ref="AT161" ca="1">IF(AS$31&gt;$AL161,0,IF(ISERROR(INDEX($E161:$X161,,SMALL(IF($E161:$X161&gt;0,COLUMN($A:$T),""),AT$31))),0,INDEX($E161:$X161,,SMALL(IF($E161:$X161&gt;0,COLUMN($A:$T),""),AT$31))))</f>
        <v>133.33333333333334</v>
      </c>
      <c r="AU161" s="5" t="str">
        <f t="array" aca="1" ref="AU161" ca="1">IF(AU$31&gt;$AL161,0,IF(ISERROR(OFFSET($E$31,0,SMALL(IF($E161:$X161&gt;0,COLUMN($A:$T),""),AU$31)-1)),0,OFFSET($E$31,0,SMALL(IF($E161:$X161&gt;0,COLUMN($A:$T),""),AU$31)-1)))</f>
        <v>命中值</v>
      </c>
      <c r="AV161" s="5">
        <f t="array" aca="1" ref="AV161" ca="1">IF(AU$31&gt;$AL161,0,IF(ISERROR(INDEX($E161:$X161,,SMALL(IF($E161:$X161&gt;0,COLUMN($A:$T),""),AV$31))),0,INDEX($E161:$X161,,SMALL(IF($E161:$X161&gt;0,COLUMN($A:$T),""),AV$31))))</f>
        <v>111.11111111111111</v>
      </c>
      <c r="AW161" s="5" t="str">
        <f t="array" aca="1" ref="AW161" ca="1">IF(AW$31&gt;$AL161,0,IF(ISERROR(OFFSET($E$31,0,SMALL(IF($E161:$X161&gt;0,COLUMN($A:$T),""),AW$31)-1)),0,OFFSET($E$31,0,SMALL(IF($E161:$X161&gt;0,COLUMN($A:$T),""),AW$31)-1)))</f>
        <v>暴击值</v>
      </c>
      <c r="AX161" s="5">
        <f t="array" aca="1" ref="AX161" ca="1">IF(AW$31&gt;$AL161,0,IF(ISERROR(INDEX($E161:$X161,,SMALL(IF($E161:$X161&gt;0,COLUMN($A:$T),""),AX$31))),0,INDEX($E161:$X161,,SMALL(IF($E161:$X161&gt;0,COLUMN($A:$T),""),AX$31))))</f>
        <v>39.506172839506178</v>
      </c>
      <c r="AY161" s="5">
        <f t="array" aca="1" ref="AY161" ca="1">IF(AY$31&gt;$AL161,0,IF(ISERROR(OFFSET($E$31,0,SMALL(IF($E161:$X161&gt;0,COLUMN($A:$T),""),AY$31)-1)),0,OFFSET($E$31,0,SMALL(IF($E161:$X161&gt;0,COLUMN($A:$T),""),AY$31)-1)))</f>
        <v>0</v>
      </c>
      <c r="AZ161" s="5">
        <f t="array" ref="AZ161">IF(AY$31&gt;$AL161,0,IF(ISERROR(INDEX($E161:$X161,,SMALL(IF($E161:$X161&gt;0,COLUMN($A:$T),""),AZ$31))),0,INDEX($E161:$X161,,SMALL(IF($E161:$X161&gt;0,COLUMN($A:$T),""),AZ$31))))</f>
        <v>0</v>
      </c>
      <c r="BA161" s="5">
        <f t="array" aca="1" ref="BA161" ca="1">IF(BA$31&gt;$AL161,0,IF(ISERROR(OFFSET($E$31,0,SMALL(IF($E161:$X161&gt;0,COLUMN($A:$T),""),BA$31)-1)),0,OFFSET($E$31,0,SMALL(IF($E161:$X161&gt;0,COLUMN($A:$T),""),BA$31)-1)))</f>
        <v>0</v>
      </c>
      <c r="BB161" s="5">
        <f t="array" ref="BB161">IF(BA$31&gt;$AL161,0,IF(ISERROR(INDEX($E161:$X161,,SMALL(IF($E161:$X161&gt;0,COLUMN($A:$T),""),BB$31))),0,INDEX($E161:$X161,,SMALL(IF($E161:$X161&gt;0,COLUMN($A:$T),""),BB$31))))</f>
        <v>0</v>
      </c>
      <c r="BC161" s="5">
        <f t="array" aca="1" ref="BC161" ca="1">IF(BC$31&gt;$AL161,0,IF(ISERROR(OFFSET($E$31,0,SMALL(IF($E161:$X161&gt;0,COLUMN($A:$T),""),BC$31)-1)),0,OFFSET($E$31,0,SMALL(IF($E161:$X161&gt;0,COLUMN($A:$T),""),BC$31)-1)))</f>
        <v>0</v>
      </c>
      <c r="BD161" s="5">
        <f t="array" ref="BD161">IF(BC$31&gt;$AL161,0,IF(ISERROR(INDEX($E161:$X161,,SMALL(IF($E161:$X161&gt;0,COLUMN($A:$T),""),BD$31))),0,INDEX($E161:$X161,,SMALL(IF($E161:$X161&gt;0,COLUMN($A:$T),""),BD$31))))</f>
        <v>0</v>
      </c>
      <c r="BE161" s="5">
        <f t="array" aca="1" ref="BE161" ca="1">IF(BE$31&gt;$AL161,0,IF(ISERROR(OFFSET($E$31,0,SMALL(IF($E161:$X161&gt;0,COLUMN($A:$T),""),BE$31)-1)),0,OFFSET($E$31,0,SMALL(IF($E161:$X161&gt;0,COLUMN($A:$T),""),BE$31)-1)))</f>
        <v>0</v>
      </c>
      <c r="BF161" s="5">
        <f t="array" ref="BF161">IF(BE$31&gt;$AL161,0,IF(ISERROR(INDEX($E161:$X161,,SMALL(IF($E161:$X161&gt;0,COLUMN($A:$T),""),BF$31))),0,INDEX($E161:$X161,,SMALL(IF($E161:$X161&gt;0,COLUMN($A:$T),""),BF$31))))</f>
        <v>0</v>
      </c>
      <c r="BH161">
        <f ca="1">SUMPRODUCT(E161:N161,定义数据!$G$14:$P$14)</f>
        <v>249.29405955081268</v>
      </c>
      <c r="BI161">
        <f ca="1">SUMPRODUCT(O161:X161,定义数据!$G$14:$P$14)</f>
        <v>145.97071618821769</v>
      </c>
      <c r="BJ161" s="5">
        <f t="shared" ca="1" si="122"/>
        <v>395.26477573903037</v>
      </c>
      <c r="BK161" s="5" t="str">
        <f>D161&amp;B161&amp;VLOOKUP(C161,定义数据!$E$1:$F$7,2,FALSE)</f>
        <v>7045</v>
      </c>
    </row>
    <row r="162" spans="1:63" x14ac:dyDescent="0.15">
      <c r="A162" s="17" t="str">
        <f>D162&amp;B162&amp;VLOOKUP(C162,定义数据!$E$1:$F$7,2,FALSE)</f>
        <v>7044</v>
      </c>
      <c r="B162" s="18">
        <v>4</v>
      </c>
      <c r="C162" s="18" t="s">
        <v>139</v>
      </c>
      <c r="D162" s="24">
        <v>70</v>
      </c>
      <c r="E162" s="56">
        <f t="shared" ca="1" si="111"/>
        <v>2926.7959332147611</v>
      </c>
      <c r="F162" s="56">
        <f t="shared" ca="1" si="112"/>
        <v>0</v>
      </c>
      <c r="G162" s="56">
        <f t="shared" ca="1" si="113"/>
        <v>0</v>
      </c>
      <c r="H162" s="56">
        <f t="shared" ca="1" si="114"/>
        <v>0</v>
      </c>
      <c r="I162" s="56">
        <f t="shared" ca="1" si="115"/>
        <v>0</v>
      </c>
      <c r="J162" s="56">
        <f t="shared" ca="1" si="116"/>
        <v>0</v>
      </c>
      <c r="K162" s="56">
        <f t="shared" ca="1" si="117"/>
        <v>0</v>
      </c>
      <c r="L162" s="56">
        <f t="shared" ca="1" si="118"/>
        <v>345.67901234567904</v>
      </c>
      <c r="M162" s="56">
        <f t="shared" ca="1" si="119"/>
        <v>0</v>
      </c>
      <c r="N162" s="56">
        <f t="shared" ca="1" si="120"/>
        <v>0</v>
      </c>
      <c r="O162" s="65">
        <f t="shared" ca="1" si="123"/>
        <v>2787.4246982997724</v>
      </c>
      <c r="P162" s="65">
        <f t="shared" ca="1" si="124"/>
        <v>84.948849625668473</v>
      </c>
      <c r="Q162" s="65">
        <f t="shared" ca="1" si="125"/>
        <v>30.590092201039866</v>
      </c>
      <c r="R162" s="65">
        <f t="shared" ca="1" si="126"/>
        <v>0</v>
      </c>
      <c r="S162" s="65">
        <f t="shared" ca="1" si="127"/>
        <v>0</v>
      </c>
      <c r="T162" s="65">
        <f t="shared" ca="1" si="128"/>
        <v>0</v>
      </c>
      <c r="U162" s="65">
        <f t="shared" ca="1" si="129"/>
        <v>0</v>
      </c>
      <c r="V162" s="65">
        <f t="shared" ca="1" si="130"/>
        <v>65.843621399176968</v>
      </c>
      <c r="W162" s="65">
        <f t="shared" ca="1" si="131"/>
        <v>0</v>
      </c>
      <c r="X162" s="65">
        <f t="shared" ca="1" si="132"/>
        <v>0</v>
      </c>
      <c r="Y162" s="21"/>
      <c r="Z162" s="15">
        <f>VLOOKUP($D162&amp;$B162,[3]!装备基础属性表,P$30,FALSE)</f>
        <v>20905.685237248294</v>
      </c>
      <c r="AA162" s="15">
        <f>VLOOKUP($D162&amp;$B162,[3]!装备基础属性表,Q$30,FALSE)</f>
        <v>1061.8606203208558</v>
      </c>
      <c r="AB162" s="15">
        <f>VLOOKUP($D162&amp;$B162,[3]!装备基础属性表,R$30,FALSE)</f>
        <v>458.851383015598</v>
      </c>
      <c r="AC162" s="15">
        <f>VLOOKUP($D162&amp;$B162,[3]!装备基础属性表,S$30,FALSE)</f>
        <v>833.33333333333337</v>
      </c>
      <c r="AD162" s="15">
        <f>VLOOKUP($D162&amp;$B162,[3]!装备基础属性表,T$30,FALSE)</f>
        <v>833.33333333333337</v>
      </c>
      <c r="AE162" s="15">
        <f>VLOOKUP($D162&amp;$B162,[3]!装备基础属性表,U$30,FALSE)</f>
        <v>493.82716049382719</v>
      </c>
      <c r="AF162" s="15">
        <f>VLOOKUP($D162&amp;$B162,[3]!装备基础属性表,V$30,FALSE)</f>
        <v>0</v>
      </c>
      <c r="AG162" s="15">
        <f>VLOOKUP($D162&amp;$B162,[3]!装备基础属性表,W$30,FALSE)</f>
        <v>493.82716049382719</v>
      </c>
      <c r="AH162" s="15">
        <f>VLOOKUP($D162&amp;$B162,[3]!装备基础属性表,X$30,FALSE)</f>
        <v>0</v>
      </c>
      <c r="AI162" s="15">
        <f>VLOOKUP($D162&amp;$B162,[3]!装备基础属性表,Y$30,FALSE)</f>
        <v>0</v>
      </c>
      <c r="AJ162" s="16" t="str">
        <f>B162&amp;VLOOKUP(C162,定义数据!$E$1:$F$7,2,FALSE)&amp;D162</f>
        <v>4470</v>
      </c>
      <c r="AK162" s="14">
        <f t="shared" si="29"/>
        <v>23</v>
      </c>
      <c r="AL162" s="5">
        <f t="shared" si="121"/>
        <v>6</v>
      </c>
      <c r="AM162" s="5" t="str">
        <f t="array" aca="1" ref="AM162" ca="1">IF(AM$31&gt;$AL162,0,IF(ISERROR(OFFSET($E$31,0,SMALL(IF($E162:$X162&gt;0,COLUMN($A:$T),""),AM$31)-1)),0,OFFSET($E$31,0,SMALL(IF($E162:$X162&gt;0,COLUMN($A:$T),""),AM$31)-1)))</f>
        <v>生命</v>
      </c>
      <c r="AN162" s="5">
        <f t="array" aca="1" ref="AN162" ca="1">IF(AM$31&gt;$AL162,0,IF(ISERROR(INDEX($E162:$X162,,SMALL(IF($E162:$X162&gt;0,COLUMN($A:$T),""),AN$31))),0,INDEX($E162:$X162,,SMALL(IF($E162:$X162&gt;0,COLUMN($A:$T),""),AN$31))))</f>
        <v>2926.7959332147611</v>
      </c>
      <c r="AO162" s="5" t="str">
        <f t="array" aca="1" ref="AO162" ca="1">IF(AO$31&gt;$AL162,0,IF(ISERROR(OFFSET($E$31,0,SMALL(IF($E162:$X162&gt;0,COLUMN($A:$T),""),AO$31)-1)),0,OFFSET($E$31,0,SMALL(IF($E162:$X162&gt;0,COLUMN($A:$T),""),AO$31)-1)))</f>
        <v>韧性值</v>
      </c>
      <c r="AP162" s="5">
        <f t="array" aca="1" ref="AP162" ca="1">IF(AO$31&gt;$AL162,0,IF(ISERROR(INDEX($E162:$X162,,SMALL(IF($E162:$X162&gt;0,COLUMN($A:$T),""),AP$31))),0,INDEX($E162:$X162,,SMALL(IF($E162:$X162&gt;0,COLUMN($A:$T),""),AP$31))))</f>
        <v>345.67901234567904</v>
      </c>
      <c r="AQ162" s="5" t="str">
        <f t="array" aca="1" ref="AQ162" ca="1">IF(AQ$31&gt;$AL162,0,IF(ISERROR(OFFSET($E$31,0,SMALL(IF($E162:$X162&gt;0,COLUMN($A:$T),""),AQ$31)-1)),0,OFFSET($E$31,0,SMALL(IF($E162:$X162&gt;0,COLUMN($A:$T),""),AQ$31)-1)))</f>
        <v>生命</v>
      </c>
      <c r="AR162" s="5">
        <f t="array" aca="1" ref="AR162" ca="1">IF(AQ$31&gt;$AL162,0,IF(ISERROR(INDEX($E162:$X162,,SMALL(IF($E162:$X162&gt;0,COLUMN($A:$T),""),AR$31))),0,INDEX($E162:$X162,,SMALL(IF($E162:$X162&gt;0,COLUMN($A:$T),""),AR$31))))</f>
        <v>2787.4246982997724</v>
      </c>
      <c r="AS162" s="5" t="str">
        <f t="array" aca="1" ref="AS162" ca="1">IF(AS$31&gt;$AL162,0,IF(ISERROR(OFFSET($E$31,0,SMALL(IF($E162:$X162&gt;0,COLUMN($A:$T),""),AS$31)-1)),0,OFFSET($E$31,0,SMALL(IF($E162:$X162&gt;0,COLUMN($A:$T),""),AS$31)-1)))</f>
        <v>攻击</v>
      </c>
      <c r="AT162" s="5">
        <f t="array" aca="1" ref="AT162" ca="1">IF(AS$31&gt;$AL162,0,IF(ISERROR(INDEX($E162:$X162,,SMALL(IF($E162:$X162&gt;0,COLUMN($A:$T),""),AT$31))),0,INDEX($E162:$X162,,SMALL(IF($E162:$X162&gt;0,COLUMN($A:$T),""),AT$31))))</f>
        <v>84.948849625668473</v>
      </c>
      <c r="AU162" s="5" t="str">
        <f t="array" aca="1" ref="AU162" ca="1">IF(AU$31&gt;$AL162,0,IF(ISERROR(OFFSET($E$31,0,SMALL(IF($E162:$X162&gt;0,COLUMN($A:$T),""),AU$31)-1)),0,OFFSET($E$31,0,SMALL(IF($E162:$X162&gt;0,COLUMN($A:$T),""),AU$31)-1)))</f>
        <v>防御</v>
      </c>
      <c r="AV162" s="5">
        <f t="array" aca="1" ref="AV162" ca="1">IF(AU$31&gt;$AL162,0,IF(ISERROR(INDEX($E162:$X162,,SMALL(IF($E162:$X162&gt;0,COLUMN($A:$T),""),AV$31))),0,INDEX($E162:$X162,,SMALL(IF($E162:$X162&gt;0,COLUMN($A:$T),""),AV$31))))</f>
        <v>30.590092201039866</v>
      </c>
      <c r="AW162" s="5" t="str">
        <f t="array" aca="1" ref="AW162" ca="1">IF(AW$31&gt;$AL162,0,IF(ISERROR(OFFSET($E$31,0,SMALL(IF($E162:$X162&gt;0,COLUMN($A:$T),""),AW$31)-1)),0,OFFSET($E$31,0,SMALL(IF($E162:$X162&gt;0,COLUMN($A:$T),""),AW$31)-1)))</f>
        <v>韧性值</v>
      </c>
      <c r="AX162" s="5">
        <f t="array" aca="1" ref="AX162" ca="1">IF(AW$31&gt;$AL162,0,IF(ISERROR(INDEX($E162:$X162,,SMALL(IF($E162:$X162&gt;0,COLUMN($A:$T),""),AX$31))),0,INDEX($E162:$X162,,SMALL(IF($E162:$X162&gt;0,COLUMN($A:$T),""),AX$31))))</f>
        <v>65.843621399176968</v>
      </c>
      <c r="AY162" s="5">
        <f t="array" aca="1" ref="AY162" ca="1">IF(AY$31&gt;$AL162,0,IF(ISERROR(OFFSET($E$31,0,SMALL(IF($E162:$X162&gt;0,COLUMN($A:$T),""),AY$31)-1)),0,OFFSET($E$31,0,SMALL(IF($E162:$X162&gt;0,COLUMN($A:$T),""),AY$31)-1)))</f>
        <v>0</v>
      </c>
      <c r="AZ162" s="5">
        <f t="array" ref="AZ162">IF(AY$31&gt;$AL162,0,IF(ISERROR(INDEX($E162:$X162,,SMALL(IF($E162:$X162&gt;0,COLUMN($A:$T),""),AZ$31))),0,INDEX($E162:$X162,,SMALL(IF($E162:$X162&gt;0,COLUMN($A:$T),""),AZ$31))))</f>
        <v>0</v>
      </c>
      <c r="BA162" s="5">
        <f t="array" aca="1" ref="BA162" ca="1">IF(BA$31&gt;$AL162,0,IF(ISERROR(OFFSET($E$31,0,SMALL(IF($E162:$X162&gt;0,COLUMN($A:$T),""),BA$31)-1)),0,OFFSET($E$31,0,SMALL(IF($E162:$X162&gt;0,COLUMN($A:$T),""),BA$31)-1)))</f>
        <v>0</v>
      </c>
      <c r="BB162" s="5">
        <f t="array" ref="BB162">IF(BA$31&gt;$AL162,0,IF(ISERROR(INDEX($E162:$X162,,SMALL(IF($E162:$X162&gt;0,COLUMN($A:$T),""),BB$31))),0,INDEX($E162:$X162,,SMALL(IF($E162:$X162&gt;0,COLUMN($A:$T),""),BB$31))))</f>
        <v>0</v>
      </c>
      <c r="BC162" s="5">
        <f t="array" aca="1" ref="BC162" ca="1">IF(BC$31&gt;$AL162,0,IF(ISERROR(OFFSET($E$31,0,SMALL(IF($E162:$X162&gt;0,COLUMN($A:$T),""),BC$31)-1)),0,OFFSET($E$31,0,SMALL(IF($E162:$X162&gt;0,COLUMN($A:$T),""),BC$31)-1)))</f>
        <v>0</v>
      </c>
      <c r="BD162" s="5">
        <f t="array" ref="BD162">IF(BC$31&gt;$AL162,0,IF(ISERROR(INDEX($E162:$X162,,SMALL(IF($E162:$X162&gt;0,COLUMN($A:$T),""),BD$31))),0,INDEX($E162:$X162,,SMALL(IF($E162:$X162&gt;0,COLUMN($A:$T),""),BD$31))))</f>
        <v>0</v>
      </c>
      <c r="BE162" s="5">
        <f t="array" aca="1" ref="BE162" ca="1">IF(BE$31&gt;$AL162,0,IF(ISERROR(OFFSET($E$31,0,SMALL(IF($E162:$X162&gt;0,COLUMN($A:$T),""),BE$31)-1)),0,OFFSET($E$31,0,SMALL(IF($E162:$X162&gt;0,COLUMN($A:$T),""),BE$31)-1)))</f>
        <v>0</v>
      </c>
      <c r="BF162" s="5">
        <f t="array" ref="BF162">IF(BE$31&gt;$AL162,0,IF(ISERROR(INDEX($E162:$X162,,SMALL(IF($E162:$X162&gt;0,COLUMN($A:$T),""),BF$31))),0,INDEX($E162:$X162,,SMALL(IF($E162:$X162&gt;0,COLUMN($A:$T),""),BF$31))))</f>
        <v>0</v>
      </c>
      <c r="BH162">
        <f ca="1">SUMPRODUCT(E162:N162,定义数据!$G$14:$P$14)</f>
        <v>179.29405955081268</v>
      </c>
      <c r="BI162">
        <f ca="1">SUMPRODUCT(O162:X162,定义数据!$G$14:$P$14)</f>
        <v>238.88778161055109</v>
      </c>
      <c r="BJ162" s="5">
        <f t="shared" ca="1" si="122"/>
        <v>418.18184116136376</v>
      </c>
      <c r="BK162" s="5" t="str">
        <f>D162&amp;B162&amp;VLOOKUP(C162,定义数据!$E$1:$F$7,2,FALSE)</f>
        <v>7044</v>
      </c>
    </row>
    <row r="163" spans="1:63" x14ac:dyDescent="0.15">
      <c r="A163" s="17" t="str">
        <f>D163&amp;B163&amp;VLOOKUP(C163,定义数据!$E$1:$F$7,2,FALSE)</f>
        <v>7043</v>
      </c>
      <c r="B163" s="18">
        <v>4</v>
      </c>
      <c r="C163" s="18" t="s">
        <v>140</v>
      </c>
      <c r="D163" s="24">
        <v>70</v>
      </c>
      <c r="E163" s="56">
        <f t="shared" ca="1" si="111"/>
        <v>0</v>
      </c>
      <c r="F163" s="56">
        <f t="shared" ca="1" si="112"/>
        <v>185.82560855614975</v>
      </c>
      <c r="G163" s="56">
        <f t="shared" ca="1" si="113"/>
        <v>0</v>
      </c>
      <c r="H163" s="56">
        <f t="shared" ca="1" si="114"/>
        <v>0</v>
      </c>
      <c r="I163" s="56">
        <f t="shared" ca="1" si="115"/>
        <v>583.33333333333337</v>
      </c>
      <c r="J163" s="56">
        <f t="shared" ca="1" si="116"/>
        <v>0</v>
      </c>
      <c r="K163" s="56">
        <f t="shared" ca="1" si="117"/>
        <v>0</v>
      </c>
      <c r="L163" s="56">
        <f t="shared" ca="1" si="118"/>
        <v>0</v>
      </c>
      <c r="M163" s="56">
        <f t="shared" ca="1" si="119"/>
        <v>0</v>
      </c>
      <c r="N163" s="56">
        <f t="shared" ca="1" si="120"/>
        <v>0</v>
      </c>
      <c r="O163" s="65">
        <f t="shared" ca="1" si="123"/>
        <v>0</v>
      </c>
      <c r="P163" s="65">
        <f t="shared" ca="1" si="124"/>
        <v>84.948849625668473</v>
      </c>
      <c r="Q163" s="65">
        <f t="shared" ca="1" si="125"/>
        <v>0</v>
      </c>
      <c r="R163" s="65">
        <f t="shared" ca="1" si="126"/>
        <v>66.666666666666671</v>
      </c>
      <c r="S163" s="65">
        <f t="shared" ca="1" si="127"/>
        <v>111.11111111111111</v>
      </c>
      <c r="T163" s="65">
        <f t="shared" ca="1" si="128"/>
        <v>79.012345679012356</v>
      </c>
      <c r="U163" s="65">
        <f t="shared" ca="1" si="129"/>
        <v>0</v>
      </c>
      <c r="V163" s="65">
        <f t="shared" ca="1" si="130"/>
        <v>0</v>
      </c>
      <c r="W163" s="65">
        <f t="shared" ca="1" si="131"/>
        <v>0</v>
      </c>
      <c r="X163" s="65">
        <f t="shared" ca="1" si="132"/>
        <v>0</v>
      </c>
      <c r="Y163" s="21"/>
      <c r="Z163" s="15">
        <f>VLOOKUP($D163&amp;$B163,[3]!装备基础属性表,P$30,FALSE)</f>
        <v>20905.685237248294</v>
      </c>
      <c r="AA163" s="15">
        <f>VLOOKUP($D163&amp;$B163,[3]!装备基础属性表,Q$30,FALSE)</f>
        <v>1061.8606203208558</v>
      </c>
      <c r="AB163" s="15">
        <f>VLOOKUP($D163&amp;$B163,[3]!装备基础属性表,R$30,FALSE)</f>
        <v>458.851383015598</v>
      </c>
      <c r="AC163" s="15">
        <f>VLOOKUP($D163&amp;$B163,[3]!装备基础属性表,S$30,FALSE)</f>
        <v>833.33333333333337</v>
      </c>
      <c r="AD163" s="15">
        <f>VLOOKUP($D163&amp;$B163,[3]!装备基础属性表,T$30,FALSE)</f>
        <v>833.33333333333337</v>
      </c>
      <c r="AE163" s="15">
        <f>VLOOKUP($D163&amp;$B163,[3]!装备基础属性表,U$30,FALSE)</f>
        <v>493.82716049382719</v>
      </c>
      <c r="AF163" s="15">
        <f>VLOOKUP($D163&amp;$B163,[3]!装备基础属性表,V$30,FALSE)</f>
        <v>0</v>
      </c>
      <c r="AG163" s="15">
        <f>VLOOKUP($D163&amp;$B163,[3]!装备基础属性表,W$30,FALSE)</f>
        <v>493.82716049382719</v>
      </c>
      <c r="AH163" s="15">
        <f>VLOOKUP($D163&amp;$B163,[3]!装备基础属性表,X$30,FALSE)</f>
        <v>0</v>
      </c>
      <c r="AI163" s="15">
        <f>VLOOKUP($D163&amp;$B163,[3]!装备基础属性表,Y$30,FALSE)</f>
        <v>0</v>
      </c>
      <c r="AJ163" s="16" t="str">
        <f>B163&amp;VLOOKUP(C163,定义数据!$E$1:$F$7,2,FALSE)&amp;D163</f>
        <v>4370</v>
      </c>
      <c r="AK163" s="14">
        <f t="shared" si="29"/>
        <v>23</v>
      </c>
      <c r="AL163" s="5">
        <f t="shared" si="121"/>
        <v>6</v>
      </c>
      <c r="AM163" s="5" t="str">
        <f t="array" aca="1" ref="AM163" ca="1">IF(AM$31&gt;$AL163,0,IF(ISERROR(OFFSET($E$31,0,SMALL(IF($E163:$X163&gt;0,COLUMN($A:$T),""),AM$31)-1)),0,OFFSET($E$31,0,SMALL(IF($E163:$X163&gt;0,COLUMN($A:$T),""),AM$31)-1)))</f>
        <v>攻击</v>
      </c>
      <c r="AN163" s="5">
        <f t="array" aca="1" ref="AN163" ca="1">IF(AM$31&gt;$AL163,0,IF(ISERROR(INDEX($E163:$X163,,SMALL(IF($E163:$X163&gt;0,COLUMN($A:$T),""),AN$31))),0,INDEX($E163:$X163,,SMALL(IF($E163:$X163&gt;0,COLUMN($A:$T),""),AN$31))))</f>
        <v>185.82560855614975</v>
      </c>
      <c r="AO163" s="5" t="str">
        <f t="array" aca="1" ref="AO163" ca="1">IF(AO$31&gt;$AL163,0,IF(ISERROR(OFFSET($E$31,0,SMALL(IF($E163:$X163&gt;0,COLUMN($A:$T),""),AO$31)-1)),0,OFFSET($E$31,0,SMALL(IF($E163:$X163&gt;0,COLUMN($A:$T),""),AO$31)-1)))</f>
        <v>命中值</v>
      </c>
      <c r="AP163" s="5">
        <f t="array" aca="1" ref="AP163" ca="1">IF(AO$31&gt;$AL163,0,IF(ISERROR(INDEX($E163:$X163,,SMALL(IF($E163:$X163&gt;0,COLUMN($A:$T),""),AP$31))),0,INDEX($E163:$X163,,SMALL(IF($E163:$X163&gt;0,COLUMN($A:$T),""),AP$31))))</f>
        <v>583.33333333333337</v>
      </c>
      <c r="AQ163" s="5" t="str">
        <f t="array" aca="1" ref="AQ163" ca="1">IF(AQ$31&gt;$AL163,0,IF(ISERROR(OFFSET($E$31,0,SMALL(IF($E163:$X163&gt;0,COLUMN($A:$T),""),AQ$31)-1)),0,OFFSET($E$31,0,SMALL(IF($E163:$X163&gt;0,COLUMN($A:$T),""),AQ$31)-1)))</f>
        <v>攻击</v>
      </c>
      <c r="AR163" s="5">
        <f t="array" aca="1" ref="AR163" ca="1">IF(AQ$31&gt;$AL163,0,IF(ISERROR(INDEX($E163:$X163,,SMALL(IF($E163:$X163&gt;0,COLUMN($A:$T),""),AR$31))),0,INDEX($E163:$X163,,SMALL(IF($E163:$X163&gt;0,COLUMN($A:$T),""),AR$31))))</f>
        <v>84.948849625668473</v>
      </c>
      <c r="AS163" s="5" t="str">
        <f t="array" aca="1" ref="AS163" ca="1">IF(AS$31&gt;$AL163,0,IF(ISERROR(OFFSET($E$31,0,SMALL(IF($E163:$X163&gt;0,COLUMN($A:$T),""),AS$31)-1)),0,OFFSET($E$31,0,SMALL(IF($E163:$X163&gt;0,COLUMN($A:$T),""),AS$31)-1)))</f>
        <v>闪避值</v>
      </c>
      <c r="AT163" s="5">
        <f t="array" aca="1" ref="AT163" ca="1">IF(AS$31&gt;$AL163,0,IF(ISERROR(INDEX($E163:$X163,,SMALL(IF($E163:$X163&gt;0,COLUMN($A:$T),""),AT$31))),0,INDEX($E163:$X163,,SMALL(IF($E163:$X163&gt;0,COLUMN($A:$T),""),AT$31))))</f>
        <v>66.666666666666671</v>
      </c>
      <c r="AU163" s="5" t="str">
        <f t="array" aca="1" ref="AU163" ca="1">IF(AU$31&gt;$AL163,0,IF(ISERROR(OFFSET($E$31,0,SMALL(IF($E163:$X163&gt;0,COLUMN($A:$T),""),AU$31)-1)),0,OFFSET($E$31,0,SMALL(IF($E163:$X163&gt;0,COLUMN($A:$T),""),AU$31)-1)))</f>
        <v>命中值</v>
      </c>
      <c r="AV163" s="5">
        <f t="array" aca="1" ref="AV163" ca="1">IF(AU$31&gt;$AL163,0,IF(ISERROR(INDEX($E163:$X163,,SMALL(IF($E163:$X163&gt;0,COLUMN($A:$T),""),AV$31))),0,INDEX($E163:$X163,,SMALL(IF($E163:$X163&gt;0,COLUMN($A:$T),""),AV$31))))</f>
        <v>111.11111111111111</v>
      </c>
      <c r="AW163" s="5" t="str">
        <f t="array" aca="1" ref="AW163" ca="1">IF(AW$31&gt;$AL163,0,IF(ISERROR(OFFSET($E$31,0,SMALL(IF($E163:$X163&gt;0,COLUMN($A:$T),""),AW$31)-1)),0,OFFSET($E$31,0,SMALL(IF($E163:$X163&gt;0,COLUMN($A:$T),""),AW$31)-1)))</f>
        <v>暴击值</v>
      </c>
      <c r="AX163" s="5">
        <f t="array" aca="1" ref="AX163" ca="1">IF(AW$31&gt;$AL163,0,IF(ISERROR(INDEX($E163:$X163,,SMALL(IF($E163:$X163&gt;0,COLUMN($A:$T),""),AX$31))),0,INDEX($E163:$X163,,SMALL(IF($E163:$X163&gt;0,COLUMN($A:$T),""),AX$31))))</f>
        <v>79.012345679012356</v>
      </c>
      <c r="AY163" s="5">
        <f t="array" aca="1" ref="AY163" ca="1">IF(AY$31&gt;$AL163,0,IF(ISERROR(OFFSET($E$31,0,SMALL(IF($E163:$X163&gt;0,COLUMN($A:$T),""),AY$31)-1)),0,OFFSET($E$31,0,SMALL(IF($E163:$X163&gt;0,COLUMN($A:$T),""),AY$31)-1)))</f>
        <v>0</v>
      </c>
      <c r="AZ163" s="5">
        <f t="array" ref="AZ163">IF(AY$31&gt;$AL163,0,IF(ISERROR(INDEX($E163:$X163,,SMALL(IF($E163:$X163&gt;0,COLUMN($A:$T),""),AZ$31))),0,INDEX($E163:$X163,,SMALL(IF($E163:$X163&gt;0,COLUMN($A:$T),""),AZ$31))))</f>
        <v>0</v>
      </c>
      <c r="BA163" s="5">
        <f t="array" aca="1" ref="BA163" ca="1">IF(BA$31&gt;$AL163,0,IF(ISERROR(OFFSET($E$31,0,SMALL(IF($E163:$X163&gt;0,COLUMN($A:$T),""),BA$31)-1)),0,OFFSET($E$31,0,SMALL(IF($E163:$X163&gt;0,COLUMN($A:$T),""),BA$31)-1)))</f>
        <v>0</v>
      </c>
      <c r="BB163" s="5">
        <f t="array" ref="BB163">IF(BA$31&gt;$AL163,0,IF(ISERROR(INDEX($E163:$X163,,SMALL(IF($E163:$X163&gt;0,COLUMN($A:$T),""),BB$31))),0,INDEX($E163:$X163,,SMALL(IF($E163:$X163&gt;0,COLUMN($A:$T),""),BB$31))))</f>
        <v>0</v>
      </c>
      <c r="BC163" s="5">
        <f t="array" aca="1" ref="BC163" ca="1">IF(BC$31&gt;$AL163,0,IF(ISERROR(OFFSET($E$31,0,SMALL(IF($E163:$X163&gt;0,COLUMN($A:$T),""),BC$31)-1)),0,OFFSET($E$31,0,SMALL(IF($E163:$X163&gt;0,COLUMN($A:$T),""),BC$31)-1)))</f>
        <v>0</v>
      </c>
      <c r="BD163" s="5">
        <f t="array" ref="BD163">IF(BC$31&gt;$AL163,0,IF(ISERROR(INDEX($E163:$X163,,SMALL(IF($E163:$X163&gt;0,COLUMN($A:$T),""),BD$31))),0,INDEX($E163:$X163,,SMALL(IF($E163:$X163&gt;0,COLUMN($A:$T),""),BD$31))))</f>
        <v>0</v>
      </c>
      <c r="BE163" s="5">
        <f t="array" aca="1" ref="BE163" ca="1">IF(BE$31&gt;$AL163,0,IF(ISERROR(OFFSET($E$31,0,SMALL(IF($E163:$X163&gt;0,COLUMN($A:$T),""),BE$31)-1)),0,OFFSET($E$31,0,SMALL(IF($E163:$X163&gt;0,COLUMN($A:$T),""),BE$31)-1)))</f>
        <v>0</v>
      </c>
      <c r="BF163" s="5">
        <f t="array" ref="BF163">IF(BE$31&gt;$AL163,0,IF(ISERROR(INDEX($E163:$X163,,SMALL(IF($E163:$X163&gt;0,COLUMN($A:$T),""),BF$31))),0,INDEX($E163:$X163,,SMALL(IF($E163:$X163&gt;0,COLUMN($A:$T),""),BF$31))))</f>
        <v>0</v>
      </c>
      <c r="BH163">
        <f ca="1">SUMPRODUCT(E163:N163,定义数据!$G$14:$P$14)</f>
        <v>384.15894188948312</v>
      </c>
      <c r="BI163">
        <f ca="1">SUMPRODUCT(O163:X163,定义数据!$G$14:$P$14)</f>
        <v>159.61551629233514</v>
      </c>
      <c r="BJ163" s="5">
        <f t="shared" ca="1" si="122"/>
        <v>543.77445818181832</v>
      </c>
      <c r="BK163" s="5" t="str">
        <f>D163&amp;B163&amp;VLOOKUP(C163,定义数据!$E$1:$F$7,2,FALSE)</f>
        <v>7043</v>
      </c>
    </row>
    <row r="164" spans="1:63" x14ac:dyDescent="0.15">
      <c r="A164" s="17" t="str">
        <f>D164&amp;B164&amp;VLOOKUP(C164,定义数据!$E$1:$F$7,2,FALSE)</f>
        <v>8010</v>
      </c>
      <c r="B164" s="18">
        <v>1</v>
      </c>
      <c r="C164" s="18" t="s">
        <v>276</v>
      </c>
      <c r="D164" s="24">
        <v>80</v>
      </c>
      <c r="E164" s="56">
        <f t="shared" ca="1" si="111"/>
        <v>0</v>
      </c>
      <c r="F164" s="56">
        <f t="shared" ca="1" si="112"/>
        <v>447.97244919786107</v>
      </c>
      <c r="G164" s="56">
        <f t="shared" ca="1" si="113"/>
        <v>0</v>
      </c>
      <c r="H164" s="56">
        <f t="shared" ca="1" si="114"/>
        <v>0</v>
      </c>
      <c r="I164" s="56">
        <f t="shared" ca="1" si="115"/>
        <v>0</v>
      </c>
      <c r="J164" s="56">
        <f t="shared" ca="1" si="116"/>
        <v>277.77777777777777</v>
      </c>
      <c r="K164" s="56">
        <f t="shared" ca="1" si="117"/>
        <v>0</v>
      </c>
      <c r="L164" s="56">
        <f t="shared" ca="1" si="118"/>
        <v>0</v>
      </c>
      <c r="M164" s="56">
        <f t="shared" ca="1" si="119"/>
        <v>0</v>
      </c>
      <c r="N164" s="56">
        <f t="shared" ca="1" si="120"/>
        <v>0</v>
      </c>
      <c r="O164" s="65">
        <f t="shared" ca="1" si="123"/>
        <v>0</v>
      </c>
      <c r="P164" s="65">
        <f t="shared" ca="1" si="124"/>
        <v>35.837795935828886</v>
      </c>
      <c r="Q164" s="65">
        <f t="shared" ca="1" si="125"/>
        <v>4.3017317157712318</v>
      </c>
      <c r="R164" s="65">
        <f t="shared" ca="1" si="126"/>
        <v>0</v>
      </c>
      <c r="S164" s="65">
        <f t="shared" ca="1" si="127"/>
        <v>15.625</v>
      </c>
      <c r="T164" s="65">
        <f t="shared" ca="1" si="128"/>
        <v>11.111111111111112</v>
      </c>
      <c r="U164" s="65">
        <f t="shared" ca="1" si="129"/>
        <v>0</v>
      </c>
      <c r="V164" s="65">
        <f t="shared" ca="1" si="130"/>
        <v>0</v>
      </c>
      <c r="W164" s="65">
        <f t="shared" ca="1" si="131"/>
        <v>0</v>
      </c>
      <c r="X164" s="65">
        <f t="shared" ca="1" si="132"/>
        <v>0</v>
      </c>
      <c r="Y164" s="21" t="s">
        <v>94</v>
      </c>
      <c r="Z164" s="15">
        <f>VLOOKUP($D164&amp;$B164,[3]!装备基础属性表,P$30,FALSE)</f>
        <v>11759.447945952166</v>
      </c>
      <c r="AA164" s="15">
        <f>VLOOKUP($D164&amp;$B164,[3]!装备基础属性表,Q$30,FALSE)</f>
        <v>597.29659893048142</v>
      </c>
      <c r="AB164" s="15">
        <f>VLOOKUP($D164&amp;$B164,[3]!装备基础属性表,R$30,FALSE)</f>
        <v>258.10390294627388</v>
      </c>
      <c r="AC164" s="15">
        <f>VLOOKUP($D164&amp;$B164,[3]!装备基础属性表,S$30,FALSE)</f>
        <v>468.75</v>
      </c>
      <c r="AD164" s="15">
        <f>VLOOKUP($D164&amp;$B164,[3]!装备基础属性表,T$30,FALSE)</f>
        <v>468.75</v>
      </c>
      <c r="AE164" s="15">
        <f>VLOOKUP($D164&amp;$B164,[3]!装备基础属性表,U$30,FALSE)</f>
        <v>277.77777777777777</v>
      </c>
      <c r="AF164" s="15">
        <f>VLOOKUP($D164&amp;$B164,[3]!装备基础属性表,V$30,FALSE)</f>
        <v>0</v>
      </c>
      <c r="AG164" s="15">
        <f>VLOOKUP($D164&amp;$B164,[3]!装备基础属性表,W$30,FALSE)</f>
        <v>277.77777777777777</v>
      </c>
      <c r="AH164" s="15">
        <f>VLOOKUP($D164&amp;$B164,[3]!装备基础属性表,X$30,FALSE)</f>
        <v>0</v>
      </c>
      <c r="AI164" s="15">
        <f>VLOOKUP($D164&amp;$B164,[3]!装备基础属性表,Y$30,FALSE)</f>
        <v>0</v>
      </c>
      <c r="AJ164" s="16" t="str">
        <f>B164&amp;VLOOKUP(C164,定义数据!$E$1:$F$7,2,FALSE)&amp;D164</f>
        <v>1080</v>
      </c>
      <c r="AK164" s="14">
        <f t="shared" si="29"/>
        <v>24</v>
      </c>
      <c r="AL164" s="5">
        <f t="shared" si="121"/>
        <v>3</v>
      </c>
      <c r="AM164" s="5" t="str">
        <f t="array" aca="1" ref="AM164" ca="1">IF(AM$31&gt;$AL164,0,IF(ISERROR(OFFSET($E$31,0,SMALL(IF($E164:$X164&gt;0,COLUMN($A:$T),""),AM$31)-1)),0,OFFSET($E$31,0,SMALL(IF($E164:$X164&gt;0,COLUMN($A:$T),""),AM$31)-1)))</f>
        <v>攻击</v>
      </c>
      <c r="AN164" s="5">
        <f t="array" aca="1" ref="AN164" ca="1">IF(AM$31&gt;$AL164,0,IF(ISERROR(INDEX($E164:$X164,,SMALL(IF($E164:$X164&gt;0,COLUMN($A:$T),""),AN$31))),0,INDEX($E164:$X164,,SMALL(IF($E164:$X164&gt;0,COLUMN($A:$T),""),AN$31))))</f>
        <v>447.97244919786107</v>
      </c>
      <c r="AO164" s="5" t="str">
        <f t="array" aca="1" ref="AO164" ca="1">IF(AO$31&gt;$AL164,0,IF(ISERROR(OFFSET($E$31,0,SMALL(IF($E164:$X164&gt;0,COLUMN($A:$T),""),AO$31)-1)),0,OFFSET($E$31,0,SMALL(IF($E164:$X164&gt;0,COLUMN($A:$T),""),AO$31)-1)))</f>
        <v>暴击值</v>
      </c>
      <c r="AP164" s="5">
        <f t="array" aca="1" ref="AP164" ca="1">IF(AO$31&gt;$AL164,0,IF(ISERROR(INDEX($E164:$X164,,SMALL(IF($E164:$X164&gt;0,COLUMN($A:$T),""),AP$31))),0,INDEX($E164:$X164,,SMALL(IF($E164:$X164&gt;0,COLUMN($A:$T),""),AP$31))))</f>
        <v>277.77777777777777</v>
      </c>
      <c r="AQ164" s="5" t="str">
        <f t="array" aca="1" ref="AQ164" ca="1">IF(AQ$31&gt;$AL164,0,IF(ISERROR(OFFSET($E$31,0,SMALL(IF($E164:$X164&gt;0,COLUMN($A:$T),""),AQ$31)-1)),0,OFFSET($E$31,0,SMALL(IF($E164:$X164&gt;0,COLUMN($A:$T),""),AQ$31)-1)))</f>
        <v>攻击</v>
      </c>
      <c r="AR164" s="5">
        <f t="array" aca="1" ref="AR164" ca="1">IF(AQ$31&gt;$AL164,0,IF(ISERROR(INDEX($E164:$X164,,SMALL(IF($E164:$X164&gt;0,COLUMN($A:$T),""),AR$31))),0,INDEX($E164:$X164,,SMALL(IF($E164:$X164&gt;0,COLUMN($A:$T),""),AR$31))))</f>
        <v>35.837795935828886</v>
      </c>
      <c r="AS164" s="5">
        <f t="array" aca="1" ref="AS164" ca="1">IF(AS$31&gt;$AL164,0,IF(ISERROR(OFFSET($E$31,0,SMALL(IF($E164:$X164&gt;0,COLUMN($A:$T),""),AS$31)-1)),0,OFFSET($E$31,0,SMALL(IF($E164:$X164&gt;0,COLUMN($A:$T),""),AS$31)-1)))</f>
        <v>0</v>
      </c>
      <c r="AT164" s="5">
        <f t="array" ref="AT164">IF(AS$31&gt;$AL164,0,IF(ISERROR(INDEX($E164:$X164,,SMALL(IF($E164:$X164&gt;0,COLUMN($A:$T),""),AT$31))),0,INDEX($E164:$X164,,SMALL(IF($E164:$X164&gt;0,COLUMN($A:$T),""),AT$31))))</f>
        <v>0</v>
      </c>
      <c r="AU164" s="5">
        <f t="array" aca="1" ref="AU164" ca="1">IF(AU$31&gt;$AL164,0,IF(ISERROR(OFFSET($E$31,0,SMALL(IF($E164:$X164&gt;0,COLUMN($A:$T),""),AU$31)-1)),0,OFFSET($E$31,0,SMALL(IF($E164:$X164&gt;0,COLUMN($A:$T),""),AU$31)-1)))</f>
        <v>0</v>
      </c>
      <c r="AV164" s="5">
        <f t="array" ref="AV164">IF(AU$31&gt;$AL164,0,IF(ISERROR(INDEX($E164:$X164,,SMALL(IF($E164:$X164&gt;0,COLUMN($A:$T),""),AV$31))),0,INDEX($E164:$X164,,SMALL(IF($E164:$X164&gt;0,COLUMN($A:$T),""),AV$31))))</f>
        <v>0</v>
      </c>
      <c r="AW164" s="5">
        <f t="array" aca="1" ref="AW164" ca="1">IF(AW$31&gt;$AL164,0,IF(ISERROR(OFFSET($E$31,0,SMALL(IF($E164:$X164&gt;0,COLUMN($A:$T),""),AW$31)-1)),0,OFFSET($E$31,0,SMALL(IF($E164:$X164&gt;0,COLUMN($A:$T),""),AW$31)-1)))</f>
        <v>0</v>
      </c>
      <c r="AX164" s="5">
        <f t="array" ref="AX164">IF(AW$31&gt;$AL164,0,IF(ISERROR(INDEX($E164:$X164,,SMALL(IF($E164:$X164&gt;0,COLUMN($A:$T),""),AX$31))),0,INDEX($E164:$X164,,SMALL(IF($E164:$X164&gt;0,COLUMN($A:$T),""),AX$31))))</f>
        <v>0</v>
      </c>
      <c r="AY164" s="5">
        <f t="array" aca="1" ref="AY164" ca="1">IF(AY$31&gt;$AL164,0,IF(ISERROR(OFFSET($E$31,0,SMALL(IF($E164:$X164&gt;0,COLUMN($A:$T),""),AY$31)-1)),0,OFFSET($E$31,0,SMALL(IF($E164:$X164&gt;0,COLUMN($A:$T),""),AY$31)-1)))</f>
        <v>0</v>
      </c>
      <c r="AZ164" s="5">
        <f t="array" ref="AZ164">IF(AY$31&gt;$AL164,0,IF(ISERROR(INDEX($E164:$X164,,SMALL(IF($E164:$X164&gt;0,COLUMN($A:$T),""),AZ$31))),0,INDEX($E164:$X164,,SMALL(IF($E164:$X164&gt;0,COLUMN($A:$T),""),AZ$31))))</f>
        <v>0</v>
      </c>
      <c r="BA164" s="5">
        <f t="array" aca="1" ref="BA164" ca="1">IF(BA$31&gt;$AL164,0,IF(ISERROR(OFFSET($E$31,0,SMALL(IF($E164:$X164&gt;0,COLUMN($A:$T),""),BA$31)-1)),0,OFFSET($E$31,0,SMALL(IF($E164:$X164&gt;0,COLUMN($A:$T),""),BA$31)-1)))</f>
        <v>0</v>
      </c>
      <c r="BB164" s="5">
        <f t="array" ref="BB164">IF(BA$31&gt;$AL164,0,IF(ISERROR(INDEX($E164:$X164,,SMALL(IF($E164:$X164&gt;0,COLUMN($A:$T),""),BB$31))),0,INDEX($E164:$X164,,SMALL(IF($E164:$X164&gt;0,COLUMN($A:$T),""),BB$31))))</f>
        <v>0</v>
      </c>
      <c r="BC164" s="5">
        <f t="array" aca="1" ref="BC164" ca="1">IF(BC$31&gt;$AL164,0,IF(ISERROR(OFFSET($E$31,0,SMALL(IF($E164:$X164&gt;0,COLUMN($A:$T),""),BC$31)-1)),0,OFFSET($E$31,0,SMALL(IF($E164:$X164&gt;0,COLUMN($A:$T),""),BC$31)-1)))</f>
        <v>0</v>
      </c>
      <c r="BD164" s="5">
        <f t="array" ref="BD164">IF(BC$31&gt;$AL164,0,IF(ISERROR(INDEX($E164:$X164,,SMALL(IF($E164:$X164&gt;0,COLUMN($A:$T),""),BD$31))),0,INDEX($E164:$X164,,SMALL(IF($E164:$X164&gt;0,COLUMN($A:$T),""),BD$31))))</f>
        <v>0</v>
      </c>
      <c r="BE164" s="5">
        <f t="array" aca="1" ref="BE164" ca="1">IF(BE$31&gt;$AL164,0,IF(ISERROR(OFFSET($E$31,0,SMALL(IF($E164:$X164&gt;0,COLUMN($A:$T),""),BE$31)-1)),0,OFFSET($E$31,0,SMALL(IF($E164:$X164&gt;0,COLUMN($A:$T),""),BE$31)-1)))</f>
        <v>0</v>
      </c>
      <c r="BF164" s="5">
        <f t="array" ref="BF164">IF(BE$31&gt;$AL164,0,IF(ISERROR(INDEX($E164:$X164,,SMALL(IF($E164:$X164&gt;0,COLUMN($A:$T),""),BF$31))),0,INDEX($E164:$X164,,SMALL(IF($E164:$X164&gt;0,COLUMN($A:$T),""),BF$31))))</f>
        <v>0</v>
      </c>
      <c r="BH164">
        <f ca="1">SUMPRODUCT(E164:N164,定义数据!$G$14:$P$14)</f>
        <v>497.97244919786107</v>
      </c>
      <c r="BI164">
        <f ca="1">SUMPRODUCT(O164:X164,定义数据!$G$14:$P$14)</f>
        <v>47.452027651600119</v>
      </c>
      <c r="BJ164" s="5">
        <f t="shared" ca="1" si="122"/>
        <v>545.42447684946114</v>
      </c>
      <c r="BK164" s="5" t="str">
        <f>D164&amp;B164&amp;VLOOKUP(C164,定义数据!$E$1:$F$7,2,FALSE)</f>
        <v>8010</v>
      </c>
    </row>
    <row r="165" spans="1:63" x14ac:dyDescent="0.15">
      <c r="A165" s="17" t="str">
        <f>D165&amp;B165&amp;VLOOKUP(C165,定义数据!$E$1:$F$7,2,FALSE)</f>
        <v>8011</v>
      </c>
      <c r="B165" s="18">
        <v>1</v>
      </c>
      <c r="C165" s="18" t="s">
        <v>277</v>
      </c>
      <c r="D165" s="24">
        <v>80</v>
      </c>
      <c r="E165" s="56">
        <f t="shared" ca="1" si="111"/>
        <v>7055.6687675712992</v>
      </c>
      <c r="F165" s="56">
        <f t="shared" ca="1" si="112"/>
        <v>0</v>
      </c>
      <c r="G165" s="56">
        <f t="shared" ca="1" si="113"/>
        <v>154.86234176776432</v>
      </c>
      <c r="H165" s="56">
        <f t="shared" ca="1" si="114"/>
        <v>0</v>
      </c>
      <c r="I165" s="56">
        <f t="shared" ca="1" si="115"/>
        <v>0</v>
      </c>
      <c r="J165" s="56">
        <f t="shared" ca="1" si="116"/>
        <v>0</v>
      </c>
      <c r="K165" s="56">
        <f t="shared" ca="1" si="117"/>
        <v>0</v>
      </c>
      <c r="L165" s="56">
        <f t="shared" ca="1" si="118"/>
        <v>0</v>
      </c>
      <c r="M165" s="56">
        <f t="shared" ca="1" si="119"/>
        <v>0</v>
      </c>
      <c r="N165" s="56">
        <f t="shared" ca="1" si="120"/>
        <v>0</v>
      </c>
      <c r="O165" s="65">
        <f t="shared" ca="1" si="123"/>
        <v>391.98159819840555</v>
      </c>
      <c r="P165" s="65">
        <f t="shared" ca="1" si="124"/>
        <v>0</v>
      </c>
      <c r="Q165" s="65">
        <f t="shared" ca="1" si="125"/>
        <v>12.905195147313695</v>
      </c>
      <c r="R165" s="65">
        <f t="shared" ca="1" si="126"/>
        <v>9.375</v>
      </c>
      <c r="S165" s="65">
        <f t="shared" ca="1" si="127"/>
        <v>0</v>
      </c>
      <c r="T165" s="65">
        <f t="shared" ca="1" si="128"/>
        <v>0</v>
      </c>
      <c r="U165" s="65">
        <f t="shared" ca="1" si="129"/>
        <v>0</v>
      </c>
      <c r="V165" s="65">
        <f t="shared" ca="1" si="130"/>
        <v>9.2592592592592577</v>
      </c>
      <c r="W165" s="65">
        <f t="shared" ca="1" si="131"/>
        <v>0</v>
      </c>
      <c r="X165" s="65">
        <f t="shared" ca="1" si="132"/>
        <v>0</v>
      </c>
      <c r="Y165" s="21" t="s">
        <v>95</v>
      </c>
      <c r="Z165" s="15">
        <f>VLOOKUP($D165&amp;$B165,[3]!装备基础属性表,P$30,FALSE)</f>
        <v>11759.447945952166</v>
      </c>
      <c r="AA165" s="15">
        <f>VLOOKUP($D165&amp;$B165,[3]!装备基础属性表,Q$30,FALSE)</f>
        <v>597.29659893048142</v>
      </c>
      <c r="AB165" s="15">
        <f>VLOOKUP($D165&amp;$B165,[3]!装备基础属性表,R$30,FALSE)</f>
        <v>258.10390294627388</v>
      </c>
      <c r="AC165" s="15">
        <f>VLOOKUP($D165&amp;$B165,[3]!装备基础属性表,S$30,FALSE)</f>
        <v>468.75</v>
      </c>
      <c r="AD165" s="15">
        <f>VLOOKUP($D165&amp;$B165,[3]!装备基础属性表,T$30,FALSE)</f>
        <v>468.75</v>
      </c>
      <c r="AE165" s="15">
        <f>VLOOKUP($D165&amp;$B165,[3]!装备基础属性表,U$30,FALSE)</f>
        <v>277.77777777777777</v>
      </c>
      <c r="AF165" s="15">
        <f>VLOOKUP($D165&amp;$B165,[3]!装备基础属性表,V$30,FALSE)</f>
        <v>0</v>
      </c>
      <c r="AG165" s="15">
        <f>VLOOKUP($D165&amp;$B165,[3]!装备基础属性表,W$30,FALSE)</f>
        <v>277.77777777777777</v>
      </c>
      <c r="AH165" s="15">
        <f>VLOOKUP($D165&amp;$B165,[3]!装备基础属性表,X$30,FALSE)</f>
        <v>0</v>
      </c>
      <c r="AI165" s="15">
        <f>VLOOKUP($D165&amp;$B165,[3]!装备基础属性表,Y$30,FALSE)</f>
        <v>0</v>
      </c>
      <c r="AJ165" s="16" t="str">
        <f>B165&amp;VLOOKUP(C165,定义数据!$E$1:$F$7,2,FALSE)&amp;D165</f>
        <v>1180</v>
      </c>
      <c r="AK165" s="14">
        <f t="shared" si="29"/>
        <v>24</v>
      </c>
      <c r="AL165" s="5">
        <f t="shared" si="121"/>
        <v>3</v>
      </c>
      <c r="AM165" s="5" t="str">
        <f t="array" aca="1" ref="AM165" ca="1">IF(AM$31&gt;$AL165,0,IF(ISERROR(OFFSET($E$31,0,SMALL(IF($E165:$X165&gt;0,COLUMN($A:$T),""),AM$31)-1)),0,OFFSET($E$31,0,SMALL(IF($E165:$X165&gt;0,COLUMN($A:$T),""),AM$31)-1)))</f>
        <v>生命</v>
      </c>
      <c r="AN165" s="5">
        <f t="array" aca="1" ref="AN165" ca="1">IF(AM$31&gt;$AL165,0,IF(ISERROR(INDEX($E165:$X165,,SMALL(IF($E165:$X165&gt;0,COLUMN($A:$T),""),AN$31))),0,INDEX($E165:$X165,,SMALL(IF($E165:$X165&gt;0,COLUMN($A:$T),""),AN$31))))</f>
        <v>7055.6687675712992</v>
      </c>
      <c r="AO165" s="5" t="str">
        <f t="array" aca="1" ref="AO165" ca="1">IF(AO$31&gt;$AL165,0,IF(ISERROR(OFFSET($E$31,0,SMALL(IF($E165:$X165&gt;0,COLUMN($A:$T),""),AO$31)-1)),0,OFFSET($E$31,0,SMALL(IF($E165:$X165&gt;0,COLUMN($A:$T),""),AO$31)-1)))</f>
        <v>防御</v>
      </c>
      <c r="AP165" s="5">
        <f t="array" aca="1" ref="AP165" ca="1">IF(AO$31&gt;$AL165,0,IF(ISERROR(INDEX($E165:$X165,,SMALL(IF($E165:$X165&gt;0,COLUMN($A:$T),""),AP$31))),0,INDEX($E165:$X165,,SMALL(IF($E165:$X165&gt;0,COLUMN($A:$T),""),AP$31))))</f>
        <v>154.86234176776432</v>
      </c>
      <c r="AQ165" s="5" t="str">
        <f t="array" aca="1" ref="AQ165" ca="1">IF(AQ$31&gt;$AL165,0,IF(ISERROR(OFFSET($E$31,0,SMALL(IF($E165:$X165&gt;0,COLUMN($A:$T),""),AQ$31)-1)),0,OFFSET($E$31,0,SMALL(IF($E165:$X165&gt;0,COLUMN($A:$T),""),AQ$31)-1)))</f>
        <v>生命</v>
      </c>
      <c r="AR165" s="5">
        <f t="array" aca="1" ref="AR165" ca="1">IF(AQ$31&gt;$AL165,0,IF(ISERROR(INDEX($E165:$X165,,SMALL(IF($E165:$X165&gt;0,COLUMN($A:$T),""),AR$31))),0,INDEX($E165:$X165,,SMALL(IF($E165:$X165&gt;0,COLUMN($A:$T),""),AR$31))))</f>
        <v>391.98159819840555</v>
      </c>
      <c r="AS165" s="5">
        <f t="array" aca="1" ref="AS165" ca="1">IF(AS$31&gt;$AL165,0,IF(ISERROR(OFFSET($E$31,0,SMALL(IF($E165:$X165&gt;0,COLUMN($A:$T),""),AS$31)-1)),0,OFFSET($E$31,0,SMALL(IF($E165:$X165&gt;0,COLUMN($A:$T),""),AS$31)-1)))</f>
        <v>0</v>
      </c>
      <c r="AT165" s="5">
        <f t="array" ref="AT165">IF(AS$31&gt;$AL165,0,IF(ISERROR(INDEX($E165:$X165,,SMALL(IF($E165:$X165&gt;0,COLUMN($A:$T),""),AT$31))),0,INDEX($E165:$X165,,SMALL(IF($E165:$X165&gt;0,COLUMN($A:$T),""),AT$31))))</f>
        <v>0</v>
      </c>
      <c r="AU165" s="5">
        <f t="array" aca="1" ref="AU165" ca="1">IF(AU$31&gt;$AL165,0,IF(ISERROR(OFFSET($E$31,0,SMALL(IF($E165:$X165&gt;0,COLUMN($A:$T),""),AU$31)-1)),0,OFFSET($E$31,0,SMALL(IF($E165:$X165&gt;0,COLUMN($A:$T),""),AU$31)-1)))</f>
        <v>0</v>
      </c>
      <c r="AV165" s="5">
        <f t="array" ref="AV165">IF(AU$31&gt;$AL165,0,IF(ISERROR(INDEX($E165:$X165,,SMALL(IF($E165:$X165&gt;0,COLUMN($A:$T),""),AV$31))),0,INDEX($E165:$X165,,SMALL(IF($E165:$X165&gt;0,COLUMN($A:$T),""),AV$31))))</f>
        <v>0</v>
      </c>
      <c r="AW165" s="5">
        <f t="array" aca="1" ref="AW165" ca="1">IF(AW$31&gt;$AL165,0,IF(ISERROR(OFFSET($E$31,0,SMALL(IF($E165:$X165&gt;0,COLUMN($A:$T),""),AW$31)-1)),0,OFFSET($E$31,0,SMALL(IF($E165:$X165&gt;0,COLUMN($A:$T),""),AW$31)-1)))</f>
        <v>0</v>
      </c>
      <c r="AX165" s="5">
        <f t="array" ref="AX165">IF(AW$31&gt;$AL165,0,IF(ISERROR(INDEX($E165:$X165,,SMALL(IF($E165:$X165&gt;0,COLUMN($A:$T),""),AX$31))),0,INDEX($E165:$X165,,SMALL(IF($E165:$X165&gt;0,COLUMN($A:$T),""),AX$31))))</f>
        <v>0</v>
      </c>
      <c r="AY165" s="5">
        <f t="array" aca="1" ref="AY165" ca="1">IF(AY$31&gt;$AL165,0,IF(ISERROR(OFFSET($E$31,0,SMALL(IF($E165:$X165&gt;0,COLUMN($A:$T),""),AY$31)-1)),0,OFFSET($E$31,0,SMALL(IF($E165:$X165&gt;0,COLUMN($A:$T),""),AY$31)-1)))</f>
        <v>0</v>
      </c>
      <c r="AZ165" s="5">
        <f t="array" ref="AZ165">IF(AY$31&gt;$AL165,0,IF(ISERROR(INDEX($E165:$X165,,SMALL(IF($E165:$X165&gt;0,COLUMN($A:$T),""),AZ$31))),0,INDEX($E165:$X165,,SMALL(IF($E165:$X165&gt;0,COLUMN($A:$T),""),AZ$31))))</f>
        <v>0</v>
      </c>
      <c r="BA165" s="5">
        <f t="array" aca="1" ref="BA165" ca="1">IF(BA$31&gt;$AL165,0,IF(ISERROR(OFFSET($E$31,0,SMALL(IF($E165:$X165&gt;0,COLUMN($A:$T),""),BA$31)-1)),0,OFFSET($E$31,0,SMALL(IF($E165:$X165&gt;0,COLUMN($A:$T),""),BA$31)-1)))</f>
        <v>0</v>
      </c>
      <c r="BB165" s="5">
        <f t="array" ref="BB165">IF(BA$31&gt;$AL165,0,IF(ISERROR(INDEX($E165:$X165,,SMALL(IF($E165:$X165&gt;0,COLUMN($A:$T),""),BB$31))),0,INDEX($E165:$X165,,SMALL(IF($E165:$X165&gt;0,COLUMN($A:$T),""),BB$31))))</f>
        <v>0</v>
      </c>
      <c r="BC165" s="5">
        <f t="array" aca="1" ref="BC165" ca="1">IF(BC$31&gt;$AL165,0,IF(ISERROR(OFFSET($E$31,0,SMALL(IF($E165:$X165&gt;0,COLUMN($A:$T),""),BC$31)-1)),0,OFFSET($E$31,0,SMALL(IF($E165:$X165&gt;0,COLUMN($A:$T),""),BC$31)-1)))</f>
        <v>0</v>
      </c>
      <c r="BD165" s="5">
        <f t="array" ref="BD165">IF(BC$31&gt;$AL165,0,IF(ISERROR(INDEX($E165:$X165,,SMALL(IF($E165:$X165&gt;0,COLUMN($A:$T),""),BD$31))),0,INDEX($E165:$X165,,SMALL(IF($E165:$X165&gt;0,COLUMN($A:$T),""),BD$31))))</f>
        <v>0</v>
      </c>
      <c r="BE165" s="5">
        <f t="array" aca="1" ref="BE165" ca="1">IF(BE$31&gt;$AL165,0,IF(ISERROR(OFFSET($E$31,0,SMALL(IF($E165:$X165&gt;0,COLUMN($A:$T),""),BE$31)-1)),0,OFFSET($E$31,0,SMALL(IF($E165:$X165&gt;0,COLUMN($A:$T),""),BE$31)-1)))</f>
        <v>0</v>
      </c>
      <c r="BF165" s="5">
        <f t="array" ref="BF165">IF(BE$31&gt;$AL165,0,IF(ISERROR(INDEX($E165:$X165,,SMALL(IF($E165:$X165&gt;0,COLUMN($A:$T),""),BF$31))),0,INDEX($E165:$X165,,SMALL(IF($E165:$X165&gt;0,COLUMN($A:$T),""),BF$31))))</f>
        <v>0</v>
      </c>
      <c r="BH165">
        <f ca="1">SUMPRODUCT(E165:N165,定义数据!$G$14:$P$14)</f>
        <v>437.08909247061627</v>
      </c>
      <c r="BI165">
        <f ca="1">SUMPRODUCT(O165:X165,定义数据!$G$14:$P$14)</f>
        <v>33.438625741916582</v>
      </c>
      <c r="BJ165" s="5">
        <f t="shared" ca="1" si="122"/>
        <v>470.52771821253282</v>
      </c>
      <c r="BK165" s="5" t="str">
        <f>D165&amp;B165&amp;VLOOKUP(C165,定义数据!$E$1:$F$7,2,FALSE)</f>
        <v>8011</v>
      </c>
    </row>
    <row r="166" spans="1:63" x14ac:dyDescent="0.15">
      <c r="A166" s="17" t="str">
        <f>D166&amp;B166&amp;VLOOKUP(C166,定义数据!$E$1:$F$7,2,FALSE)</f>
        <v>8012</v>
      </c>
      <c r="B166" s="18">
        <v>1</v>
      </c>
      <c r="C166" s="18" t="s">
        <v>278</v>
      </c>
      <c r="D166" s="24">
        <v>80</v>
      </c>
      <c r="E166" s="56">
        <f t="shared" ca="1" si="111"/>
        <v>0</v>
      </c>
      <c r="F166" s="56">
        <f t="shared" ca="1" si="112"/>
        <v>0</v>
      </c>
      <c r="G166" s="56">
        <f t="shared" ca="1" si="113"/>
        <v>103.24156117850956</v>
      </c>
      <c r="H166" s="56">
        <f t="shared" ca="1" si="114"/>
        <v>156.25</v>
      </c>
      <c r="I166" s="56">
        <f t="shared" ca="1" si="115"/>
        <v>0</v>
      </c>
      <c r="J166" s="56">
        <f t="shared" ca="1" si="116"/>
        <v>0</v>
      </c>
      <c r="K166" s="56">
        <f t="shared" ca="1" si="117"/>
        <v>0</v>
      </c>
      <c r="L166" s="56">
        <f t="shared" ca="1" si="118"/>
        <v>0</v>
      </c>
      <c r="M166" s="56">
        <f t="shared" ca="1" si="119"/>
        <v>0</v>
      </c>
      <c r="N166" s="56">
        <f t="shared" ca="1" si="120"/>
        <v>0</v>
      </c>
      <c r="O166" s="65">
        <f t="shared" ca="1" si="123"/>
        <v>195.99079909920277</v>
      </c>
      <c r="P166" s="65">
        <f t="shared" ca="1" si="124"/>
        <v>0</v>
      </c>
      <c r="Q166" s="65">
        <f t="shared" ca="1" si="125"/>
        <v>4.3017317157712318</v>
      </c>
      <c r="R166" s="65">
        <f t="shared" ca="1" si="126"/>
        <v>9.375</v>
      </c>
      <c r="S166" s="65">
        <f t="shared" ca="1" si="127"/>
        <v>0</v>
      </c>
      <c r="T166" s="65">
        <f t="shared" ca="1" si="128"/>
        <v>0</v>
      </c>
      <c r="U166" s="65">
        <f t="shared" ca="1" si="129"/>
        <v>0</v>
      </c>
      <c r="V166" s="65">
        <f t="shared" ca="1" si="130"/>
        <v>9.2592592592592577</v>
      </c>
      <c r="W166" s="65">
        <f t="shared" ca="1" si="131"/>
        <v>0</v>
      </c>
      <c r="X166" s="65">
        <f t="shared" ca="1" si="132"/>
        <v>0</v>
      </c>
      <c r="Y166" s="21" t="s">
        <v>96</v>
      </c>
      <c r="Z166" s="15">
        <f>VLOOKUP($D166&amp;$B166,[3]!装备基础属性表,P$30,FALSE)</f>
        <v>11759.447945952166</v>
      </c>
      <c r="AA166" s="15">
        <f>VLOOKUP($D166&amp;$B166,[3]!装备基础属性表,Q$30,FALSE)</f>
        <v>597.29659893048142</v>
      </c>
      <c r="AB166" s="15">
        <f>VLOOKUP($D166&amp;$B166,[3]!装备基础属性表,R$30,FALSE)</f>
        <v>258.10390294627388</v>
      </c>
      <c r="AC166" s="15">
        <f>VLOOKUP($D166&amp;$B166,[3]!装备基础属性表,S$30,FALSE)</f>
        <v>468.75</v>
      </c>
      <c r="AD166" s="15">
        <f>VLOOKUP($D166&amp;$B166,[3]!装备基础属性表,T$30,FALSE)</f>
        <v>468.75</v>
      </c>
      <c r="AE166" s="15">
        <f>VLOOKUP($D166&amp;$B166,[3]!装备基础属性表,U$30,FALSE)</f>
        <v>277.77777777777777</v>
      </c>
      <c r="AF166" s="15">
        <f>VLOOKUP($D166&amp;$B166,[3]!装备基础属性表,V$30,FALSE)</f>
        <v>0</v>
      </c>
      <c r="AG166" s="15">
        <f>VLOOKUP($D166&amp;$B166,[3]!装备基础属性表,W$30,FALSE)</f>
        <v>277.77777777777777</v>
      </c>
      <c r="AH166" s="15">
        <f>VLOOKUP($D166&amp;$B166,[3]!装备基础属性表,X$30,FALSE)</f>
        <v>0</v>
      </c>
      <c r="AI166" s="15">
        <f>VLOOKUP($D166&amp;$B166,[3]!装备基础属性表,Y$30,FALSE)</f>
        <v>0</v>
      </c>
      <c r="AJ166" s="16" t="str">
        <f>B166&amp;VLOOKUP(C166,定义数据!$E$1:$F$7,2,FALSE)&amp;D166</f>
        <v>1280</v>
      </c>
      <c r="AK166" s="14">
        <f t="shared" si="29"/>
        <v>24</v>
      </c>
      <c r="AL166" s="5">
        <f t="shared" si="121"/>
        <v>3</v>
      </c>
      <c r="AM166" s="5" t="str">
        <f t="array" aca="1" ref="AM166" ca="1">IF(AM$31&gt;$AL166,0,IF(ISERROR(OFFSET($E$31,0,SMALL(IF($E166:$X166&gt;0,COLUMN($A:$T),""),AM$31)-1)),0,OFFSET($E$31,0,SMALL(IF($E166:$X166&gt;0,COLUMN($A:$T),""),AM$31)-1)))</f>
        <v>防御</v>
      </c>
      <c r="AN166" s="5">
        <f t="array" aca="1" ref="AN166" ca="1">IF(AM$31&gt;$AL166,0,IF(ISERROR(INDEX($E166:$X166,,SMALL(IF($E166:$X166&gt;0,COLUMN($A:$T),""),AN$31))),0,INDEX($E166:$X166,,SMALL(IF($E166:$X166&gt;0,COLUMN($A:$T),""),AN$31))))</f>
        <v>103.24156117850956</v>
      </c>
      <c r="AO166" s="5" t="str">
        <f t="array" aca="1" ref="AO166" ca="1">IF(AO$31&gt;$AL166,0,IF(ISERROR(OFFSET($E$31,0,SMALL(IF($E166:$X166&gt;0,COLUMN($A:$T),""),AO$31)-1)),0,OFFSET($E$31,0,SMALL(IF($E166:$X166&gt;0,COLUMN($A:$T),""),AO$31)-1)))</f>
        <v>闪避值</v>
      </c>
      <c r="AP166" s="5">
        <f t="array" aca="1" ref="AP166" ca="1">IF(AO$31&gt;$AL166,0,IF(ISERROR(INDEX($E166:$X166,,SMALL(IF($E166:$X166&gt;0,COLUMN($A:$T),""),AP$31))),0,INDEX($E166:$X166,,SMALL(IF($E166:$X166&gt;0,COLUMN($A:$T),""),AP$31))))</f>
        <v>156.25</v>
      </c>
      <c r="AQ166" s="5" t="str">
        <f t="array" aca="1" ref="AQ166" ca="1">IF(AQ$31&gt;$AL166,0,IF(ISERROR(OFFSET($E$31,0,SMALL(IF($E166:$X166&gt;0,COLUMN($A:$T),""),AQ$31)-1)),0,OFFSET($E$31,0,SMALL(IF($E166:$X166&gt;0,COLUMN($A:$T),""),AQ$31)-1)))</f>
        <v>生命</v>
      </c>
      <c r="AR166" s="5">
        <f t="array" aca="1" ref="AR166" ca="1">IF(AQ$31&gt;$AL166,0,IF(ISERROR(INDEX($E166:$X166,,SMALL(IF($E166:$X166&gt;0,COLUMN($A:$T),""),AR$31))),0,INDEX($E166:$X166,,SMALL(IF($E166:$X166&gt;0,COLUMN($A:$T),""),AR$31))))</f>
        <v>195.99079909920277</v>
      </c>
      <c r="AS166" s="5">
        <f t="array" aca="1" ref="AS166" ca="1">IF(AS$31&gt;$AL166,0,IF(ISERROR(OFFSET($E$31,0,SMALL(IF($E166:$X166&gt;0,COLUMN($A:$T),""),AS$31)-1)),0,OFFSET($E$31,0,SMALL(IF($E166:$X166&gt;0,COLUMN($A:$T),""),AS$31)-1)))</f>
        <v>0</v>
      </c>
      <c r="AT166" s="5">
        <f t="array" ref="AT166">IF(AS$31&gt;$AL166,0,IF(ISERROR(INDEX($E166:$X166,,SMALL(IF($E166:$X166&gt;0,COLUMN($A:$T),""),AT$31))),0,INDEX($E166:$X166,,SMALL(IF($E166:$X166&gt;0,COLUMN($A:$T),""),AT$31))))</f>
        <v>0</v>
      </c>
      <c r="AU166" s="5">
        <f t="array" aca="1" ref="AU166" ca="1">IF(AU$31&gt;$AL166,0,IF(ISERROR(OFFSET($E$31,0,SMALL(IF($E166:$X166&gt;0,COLUMN($A:$T),""),AU$31)-1)),0,OFFSET($E$31,0,SMALL(IF($E166:$X166&gt;0,COLUMN($A:$T),""),AU$31)-1)))</f>
        <v>0</v>
      </c>
      <c r="AV166" s="5">
        <f t="array" ref="AV166">IF(AU$31&gt;$AL166,0,IF(ISERROR(INDEX($E166:$X166,,SMALL(IF($E166:$X166&gt;0,COLUMN($A:$T),""),AV$31))),0,INDEX($E166:$X166,,SMALL(IF($E166:$X166&gt;0,COLUMN($A:$T),""),AV$31))))</f>
        <v>0</v>
      </c>
      <c r="AW166" s="5">
        <f t="array" aca="1" ref="AW166" ca="1">IF(AW$31&gt;$AL166,0,IF(ISERROR(OFFSET($E$31,0,SMALL(IF($E166:$X166&gt;0,COLUMN($A:$T),""),AW$31)-1)),0,OFFSET($E$31,0,SMALL(IF($E166:$X166&gt;0,COLUMN($A:$T),""),AW$31)-1)))</f>
        <v>0</v>
      </c>
      <c r="AX166" s="5">
        <f t="array" ref="AX166">IF(AW$31&gt;$AL166,0,IF(ISERROR(INDEX($E166:$X166,,SMALL(IF($E166:$X166&gt;0,COLUMN($A:$T),""),AX$31))),0,INDEX($E166:$X166,,SMALL(IF($E166:$X166&gt;0,COLUMN($A:$T),""),AX$31))))</f>
        <v>0</v>
      </c>
      <c r="AY166" s="5">
        <f t="array" aca="1" ref="AY166" ca="1">IF(AY$31&gt;$AL166,0,IF(ISERROR(OFFSET($E$31,0,SMALL(IF($E166:$X166&gt;0,COLUMN($A:$T),""),AY$31)-1)),0,OFFSET($E$31,0,SMALL(IF($E166:$X166&gt;0,COLUMN($A:$T),""),AY$31)-1)))</f>
        <v>0</v>
      </c>
      <c r="AZ166" s="5">
        <f t="array" ref="AZ166">IF(AY$31&gt;$AL166,0,IF(ISERROR(INDEX($E166:$X166,,SMALL(IF($E166:$X166&gt;0,COLUMN($A:$T),""),AZ$31))),0,INDEX($E166:$X166,,SMALL(IF($E166:$X166&gt;0,COLUMN($A:$T),""),AZ$31))))</f>
        <v>0</v>
      </c>
      <c r="BA166" s="5">
        <f t="array" aca="1" ref="BA166" ca="1">IF(BA$31&gt;$AL166,0,IF(ISERROR(OFFSET($E$31,0,SMALL(IF($E166:$X166&gt;0,COLUMN($A:$T),""),BA$31)-1)),0,OFFSET($E$31,0,SMALL(IF($E166:$X166&gt;0,COLUMN($A:$T),""),BA$31)-1)))</f>
        <v>0</v>
      </c>
      <c r="BB166" s="5">
        <f t="array" ref="BB166">IF(BA$31&gt;$AL166,0,IF(ISERROR(INDEX($E166:$X166,,SMALL(IF($E166:$X166&gt;0,COLUMN($A:$T),""),BB$31))),0,INDEX($E166:$X166,,SMALL(IF($E166:$X166&gt;0,COLUMN($A:$T),""),BB$31))))</f>
        <v>0</v>
      </c>
      <c r="BC166" s="5">
        <f t="array" aca="1" ref="BC166" ca="1">IF(BC$31&gt;$AL166,0,IF(ISERROR(OFFSET($E$31,0,SMALL(IF($E166:$X166&gt;0,COLUMN($A:$T),""),BC$31)-1)),0,OFFSET($E$31,0,SMALL(IF($E166:$X166&gt;0,COLUMN($A:$T),""),BC$31)-1)))</f>
        <v>0</v>
      </c>
      <c r="BD166" s="5">
        <f t="array" ref="BD166">IF(BC$31&gt;$AL166,0,IF(ISERROR(INDEX($E166:$X166,,SMALL(IF($E166:$X166&gt;0,COLUMN($A:$T),""),BD$31))),0,INDEX($E166:$X166,,SMALL(IF($E166:$X166&gt;0,COLUMN($A:$T),""),BD$31))))</f>
        <v>0</v>
      </c>
      <c r="BE166" s="5">
        <f t="array" aca="1" ref="BE166" ca="1">IF(BE$31&gt;$AL166,0,IF(ISERROR(OFFSET($E$31,0,SMALL(IF($E166:$X166&gt;0,COLUMN($A:$T),""),BE$31)-1)),0,OFFSET($E$31,0,SMALL(IF($E166:$X166&gt;0,COLUMN($A:$T),""),BE$31)-1)))</f>
        <v>0</v>
      </c>
      <c r="BF166" s="5">
        <f t="array" ref="BF166">IF(BE$31&gt;$AL166,0,IF(ISERROR(INDEX($E166:$X166,,SMALL(IF($E166:$X166&gt;0,COLUMN($A:$T),""),BF$31))),0,INDEX($E166:$X166,,SMALL(IF($E166:$X166&gt;0,COLUMN($A:$T),""),BF$31))))</f>
        <v>0</v>
      </c>
      <c r="BH166">
        <f ca="1">SUMPRODUCT(E166:N166,定义数据!$G$14:$P$14)</f>
        <v>156.36656117850956</v>
      </c>
      <c r="BI166">
        <f ca="1">SUMPRODUCT(O166:X166,定义数据!$G$14:$P$14)</f>
        <v>16.99553034640601</v>
      </c>
      <c r="BJ166" s="5">
        <f t="shared" ca="1" si="122"/>
        <v>173.36209152491557</v>
      </c>
      <c r="BK166" s="5" t="str">
        <f>D166&amp;B166&amp;VLOOKUP(C166,定义数据!$E$1:$F$7,2,FALSE)</f>
        <v>8012</v>
      </c>
    </row>
    <row r="167" spans="1:63" x14ac:dyDescent="0.15">
      <c r="A167" s="17" t="str">
        <f>D167&amp;B167&amp;VLOOKUP(C167,定义数据!$E$1:$F$7,2,FALSE)</f>
        <v>8015</v>
      </c>
      <c r="B167" s="18">
        <v>1</v>
      </c>
      <c r="C167" s="18" t="s">
        <v>279</v>
      </c>
      <c r="D167" s="24">
        <v>80</v>
      </c>
      <c r="E167" s="56">
        <f t="shared" ca="1" si="111"/>
        <v>2351.8895891904335</v>
      </c>
      <c r="F167" s="56">
        <f t="shared" ca="1" si="112"/>
        <v>0</v>
      </c>
      <c r="G167" s="56">
        <f t="shared" ca="1" si="113"/>
        <v>0</v>
      </c>
      <c r="H167" s="56">
        <f t="shared" ca="1" si="114"/>
        <v>312.5</v>
      </c>
      <c r="I167" s="56">
        <f t="shared" ca="1" si="115"/>
        <v>0</v>
      </c>
      <c r="J167" s="56">
        <f t="shared" ca="1" si="116"/>
        <v>0</v>
      </c>
      <c r="K167" s="56">
        <f t="shared" ca="1" si="117"/>
        <v>0</v>
      </c>
      <c r="L167" s="56">
        <f t="shared" ca="1" si="118"/>
        <v>0</v>
      </c>
      <c r="M167" s="56">
        <f t="shared" ca="1" si="119"/>
        <v>0</v>
      </c>
      <c r="N167" s="56">
        <f t="shared" ca="1" si="120"/>
        <v>0</v>
      </c>
      <c r="O167" s="65">
        <f t="shared" ca="1" si="123"/>
        <v>195.99079909920277</v>
      </c>
      <c r="P167" s="65">
        <f t="shared" ca="1" si="124"/>
        <v>0</v>
      </c>
      <c r="Q167" s="65">
        <f t="shared" ca="1" si="125"/>
        <v>0</v>
      </c>
      <c r="R167" s="65">
        <f t="shared" ca="1" si="126"/>
        <v>18.75</v>
      </c>
      <c r="S167" s="65">
        <f t="shared" ca="1" si="127"/>
        <v>15.625</v>
      </c>
      <c r="T167" s="65">
        <f t="shared" ca="1" si="128"/>
        <v>5.5555555555555562</v>
      </c>
      <c r="U167" s="65">
        <f t="shared" ca="1" si="129"/>
        <v>0</v>
      </c>
      <c r="V167" s="65">
        <f t="shared" ca="1" si="130"/>
        <v>0</v>
      </c>
      <c r="W167" s="65">
        <f t="shared" ca="1" si="131"/>
        <v>0</v>
      </c>
      <c r="X167" s="65">
        <f t="shared" ca="1" si="132"/>
        <v>0</v>
      </c>
      <c r="Y167" s="21"/>
      <c r="Z167" s="15">
        <f>VLOOKUP($D167&amp;$B167,[3]!装备基础属性表,P$30,FALSE)</f>
        <v>11759.447945952166</v>
      </c>
      <c r="AA167" s="15">
        <f>VLOOKUP($D167&amp;$B167,[3]!装备基础属性表,Q$30,FALSE)</f>
        <v>597.29659893048142</v>
      </c>
      <c r="AB167" s="15">
        <f>VLOOKUP($D167&amp;$B167,[3]!装备基础属性表,R$30,FALSE)</f>
        <v>258.10390294627388</v>
      </c>
      <c r="AC167" s="15">
        <f>VLOOKUP($D167&amp;$B167,[3]!装备基础属性表,S$30,FALSE)</f>
        <v>468.75</v>
      </c>
      <c r="AD167" s="15">
        <f>VLOOKUP($D167&amp;$B167,[3]!装备基础属性表,T$30,FALSE)</f>
        <v>468.75</v>
      </c>
      <c r="AE167" s="15">
        <f>VLOOKUP($D167&amp;$B167,[3]!装备基础属性表,U$30,FALSE)</f>
        <v>277.77777777777777</v>
      </c>
      <c r="AF167" s="15">
        <f>VLOOKUP($D167&amp;$B167,[3]!装备基础属性表,V$30,FALSE)</f>
        <v>0</v>
      </c>
      <c r="AG167" s="15">
        <f>VLOOKUP($D167&amp;$B167,[3]!装备基础属性表,W$30,FALSE)</f>
        <v>277.77777777777777</v>
      </c>
      <c r="AH167" s="15">
        <f>VLOOKUP($D167&amp;$B167,[3]!装备基础属性表,X$30,FALSE)</f>
        <v>0</v>
      </c>
      <c r="AI167" s="15">
        <f>VLOOKUP($D167&amp;$B167,[3]!装备基础属性表,Y$30,FALSE)</f>
        <v>0</v>
      </c>
      <c r="AJ167" s="16" t="str">
        <f>B167&amp;VLOOKUP(C167,定义数据!$E$1:$F$7,2,FALSE)&amp;D167</f>
        <v>1580</v>
      </c>
      <c r="AK167" s="14">
        <f t="shared" si="29"/>
        <v>24</v>
      </c>
      <c r="AL167" s="5">
        <f t="shared" si="121"/>
        <v>3</v>
      </c>
      <c r="AM167" s="5" t="str">
        <f t="array" aca="1" ref="AM167" ca="1">IF(AM$31&gt;$AL167,0,IF(ISERROR(OFFSET($E$31,0,SMALL(IF($E167:$X167&gt;0,COLUMN($A:$T),""),AM$31)-1)),0,OFFSET($E$31,0,SMALL(IF($E167:$X167&gt;0,COLUMN($A:$T),""),AM$31)-1)))</f>
        <v>生命</v>
      </c>
      <c r="AN167" s="5">
        <f t="array" aca="1" ref="AN167" ca="1">IF(AM$31&gt;$AL167,0,IF(ISERROR(INDEX($E167:$X167,,SMALL(IF($E167:$X167&gt;0,COLUMN($A:$T),""),AN$31))),0,INDEX($E167:$X167,,SMALL(IF($E167:$X167&gt;0,COLUMN($A:$T),""),AN$31))))</f>
        <v>2351.8895891904335</v>
      </c>
      <c r="AO167" s="5" t="str">
        <f t="array" aca="1" ref="AO167" ca="1">IF(AO$31&gt;$AL167,0,IF(ISERROR(OFFSET($E$31,0,SMALL(IF($E167:$X167&gt;0,COLUMN($A:$T),""),AO$31)-1)),0,OFFSET($E$31,0,SMALL(IF($E167:$X167&gt;0,COLUMN($A:$T),""),AO$31)-1)))</f>
        <v>闪避值</v>
      </c>
      <c r="AP167" s="5">
        <f t="array" aca="1" ref="AP167" ca="1">IF(AO$31&gt;$AL167,0,IF(ISERROR(INDEX($E167:$X167,,SMALL(IF($E167:$X167&gt;0,COLUMN($A:$T),""),AP$31))),0,INDEX($E167:$X167,,SMALL(IF($E167:$X167&gt;0,COLUMN($A:$T),""),AP$31))))</f>
        <v>312.5</v>
      </c>
      <c r="AQ167" s="5" t="str">
        <f t="array" aca="1" ref="AQ167" ca="1">IF(AQ$31&gt;$AL167,0,IF(ISERROR(OFFSET($E$31,0,SMALL(IF($E167:$X167&gt;0,COLUMN($A:$T),""),AQ$31)-1)),0,OFFSET($E$31,0,SMALL(IF($E167:$X167&gt;0,COLUMN($A:$T),""),AQ$31)-1)))</f>
        <v>生命</v>
      </c>
      <c r="AR167" s="5">
        <f t="array" aca="1" ref="AR167" ca="1">IF(AQ$31&gt;$AL167,0,IF(ISERROR(INDEX($E167:$X167,,SMALL(IF($E167:$X167&gt;0,COLUMN($A:$T),""),AR$31))),0,INDEX($E167:$X167,,SMALL(IF($E167:$X167&gt;0,COLUMN($A:$T),""),AR$31))))</f>
        <v>195.99079909920277</v>
      </c>
      <c r="AS167" s="5">
        <f t="array" aca="1" ref="AS167" ca="1">IF(AS$31&gt;$AL167,0,IF(ISERROR(OFFSET($E$31,0,SMALL(IF($E167:$X167&gt;0,COLUMN($A:$T),""),AS$31)-1)),0,OFFSET($E$31,0,SMALL(IF($E167:$X167&gt;0,COLUMN($A:$T),""),AS$31)-1)))</f>
        <v>0</v>
      </c>
      <c r="AT167" s="5">
        <f t="array" ref="AT167">IF(AS$31&gt;$AL167,0,IF(ISERROR(INDEX($E167:$X167,,SMALL(IF($E167:$X167&gt;0,COLUMN($A:$T),""),AT$31))),0,INDEX($E167:$X167,,SMALL(IF($E167:$X167&gt;0,COLUMN($A:$T),""),AT$31))))</f>
        <v>0</v>
      </c>
      <c r="AU167" s="5">
        <f t="array" aca="1" ref="AU167" ca="1">IF(AU$31&gt;$AL167,0,IF(ISERROR(OFFSET($E$31,0,SMALL(IF($E167:$X167&gt;0,COLUMN($A:$T),""),AU$31)-1)),0,OFFSET($E$31,0,SMALL(IF($E167:$X167&gt;0,COLUMN($A:$T),""),AU$31)-1)))</f>
        <v>0</v>
      </c>
      <c r="AV167" s="5">
        <f t="array" ref="AV167">IF(AU$31&gt;$AL167,0,IF(ISERROR(INDEX($E167:$X167,,SMALL(IF($E167:$X167&gt;0,COLUMN($A:$T),""),AV$31))),0,INDEX($E167:$X167,,SMALL(IF($E167:$X167&gt;0,COLUMN($A:$T),""),AV$31))))</f>
        <v>0</v>
      </c>
      <c r="AW167" s="5">
        <f t="array" aca="1" ref="AW167" ca="1">IF(AW$31&gt;$AL167,0,IF(ISERROR(OFFSET($E$31,0,SMALL(IF($E167:$X167&gt;0,COLUMN($A:$T),""),AW$31)-1)),0,OFFSET($E$31,0,SMALL(IF($E167:$X167&gt;0,COLUMN($A:$T),""),AW$31)-1)))</f>
        <v>0</v>
      </c>
      <c r="AX167" s="5">
        <f t="array" ref="AX167">IF(AW$31&gt;$AL167,0,IF(ISERROR(INDEX($E167:$X167,,SMALL(IF($E167:$X167&gt;0,COLUMN($A:$T),""),AX$31))),0,INDEX($E167:$X167,,SMALL(IF($E167:$X167&gt;0,COLUMN($A:$T),""),AX$31))))</f>
        <v>0</v>
      </c>
      <c r="AY167" s="5">
        <f t="array" aca="1" ref="AY167" ca="1">IF(AY$31&gt;$AL167,0,IF(ISERROR(OFFSET($E$31,0,SMALL(IF($E167:$X167&gt;0,COLUMN($A:$T),""),AY$31)-1)),0,OFFSET($E$31,0,SMALL(IF($E167:$X167&gt;0,COLUMN($A:$T),""),AY$31)-1)))</f>
        <v>0</v>
      </c>
      <c r="AZ167" s="5">
        <f t="array" ref="AZ167">IF(AY$31&gt;$AL167,0,IF(ISERROR(INDEX($E167:$X167,,SMALL(IF($E167:$X167&gt;0,COLUMN($A:$T),""),AZ$31))),0,INDEX($E167:$X167,,SMALL(IF($E167:$X167&gt;0,COLUMN($A:$T),""),AZ$31))))</f>
        <v>0</v>
      </c>
      <c r="BA167" s="5">
        <f t="array" aca="1" ref="BA167" ca="1">IF(BA$31&gt;$AL167,0,IF(ISERROR(OFFSET($E$31,0,SMALL(IF($E167:$X167&gt;0,COLUMN($A:$T),""),BA$31)-1)),0,OFFSET($E$31,0,SMALL(IF($E167:$X167&gt;0,COLUMN($A:$T),""),BA$31)-1)))</f>
        <v>0</v>
      </c>
      <c r="BB167" s="5">
        <f t="array" ref="BB167">IF(BA$31&gt;$AL167,0,IF(ISERROR(INDEX($E167:$X167,,SMALL(IF($E167:$X167&gt;0,COLUMN($A:$T),""),BB$31))),0,INDEX($E167:$X167,,SMALL(IF($E167:$X167&gt;0,COLUMN($A:$T),""),BB$31))))</f>
        <v>0</v>
      </c>
      <c r="BC167" s="5">
        <f t="array" aca="1" ref="BC167" ca="1">IF(BC$31&gt;$AL167,0,IF(ISERROR(OFFSET($E$31,0,SMALL(IF($E167:$X167&gt;0,COLUMN($A:$T),""),BC$31)-1)),0,OFFSET($E$31,0,SMALL(IF($E167:$X167&gt;0,COLUMN($A:$T),""),BC$31)-1)))</f>
        <v>0</v>
      </c>
      <c r="BD167" s="5">
        <f t="array" ref="BD167">IF(BC$31&gt;$AL167,0,IF(ISERROR(INDEX($E167:$X167,,SMALL(IF($E167:$X167&gt;0,COLUMN($A:$T),""),BD$31))),0,INDEX($E167:$X167,,SMALL(IF($E167:$X167&gt;0,COLUMN($A:$T),""),BD$31))))</f>
        <v>0</v>
      </c>
      <c r="BE167" s="5">
        <f t="array" aca="1" ref="BE167" ca="1">IF(BE$31&gt;$AL167,0,IF(ISERROR(OFFSET($E$31,0,SMALL(IF($E167:$X167&gt;0,COLUMN($A:$T),""),BE$31)-1)),0,OFFSET($E$31,0,SMALL(IF($E167:$X167&gt;0,COLUMN($A:$T),""),BE$31)-1)))</f>
        <v>0</v>
      </c>
      <c r="BF167" s="5">
        <f t="array" ref="BF167">IF(BE$31&gt;$AL167,0,IF(ISERROR(INDEX($E167:$X167,,SMALL(IF($E167:$X167&gt;0,COLUMN($A:$T),""),BF$31))),0,INDEX($E167:$X167,,SMALL(IF($E167:$X167&gt;0,COLUMN($A:$T),""),BF$31))))</f>
        <v>0</v>
      </c>
      <c r="BH167">
        <f ca="1">SUMPRODUCT(E167:N167,定义数据!$G$14:$P$14)</f>
        <v>200.32558356761734</v>
      </c>
      <c r="BI167">
        <f ca="1">SUMPRODUCT(O167:X167,定义数据!$G$14:$P$14)</f>
        <v>20.527131963968113</v>
      </c>
      <c r="BJ167" s="5">
        <f t="shared" ca="1" si="122"/>
        <v>220.85271553158546</v>
      </c>
      <c r="BK167" s="5" t="str">
        <f>D167&amp;B167&amp;VLOOKUP(C167,定义数据!$E$1:$F$7,2,FALSE)</f>
        <v>8015</v>
      </c>
    </row>
    <row r="168" spans="1:63" x14ac:dyDescent="0.15">
      <c r="A168" s="17" t="str">
        <f>D168&amp;B168&amp;VLOOKUP(C168,定义数据!$E$1:$F$7,2,FALSE)</f>
        <v>8014</v>
      </c>
      <c r="B168" s="18">
        <v>1</v>
      </c>
      <c r="C168" s="18" t="s">
        <v>280</v>
      </c>
      <c r="D168" s="24">
        <v>80</v>
      </c>
      <c r="E168" s="56">
        <f t="shared" ca="1" si="111"/>
        <v>2351.8895891904335</v>
      </c>
      <c r="F168" s="56">
        <f t="shared" ca="1" si="112"/>
        <v>0</v>
      </c>
      <c r="G168" s="56">
        <f t="shared" ca="1" si="113"/>
        <v>0</v>
      </c>
      <c r="H168" s="56">
        <f t="shared" ca="1" si="114"/>
        <v>0</v>
      </c>
      <c r="I168" s="56">
        <f t="shared" ca="1" si="115"/>
        <v>0</v>
      </c>
      <c r="J168" s="56">
        <f t="shared" ca="1" si="116"/>
        <v>0</v>
      </c>
      <c r="K168" s="56">
        <f t="shared" ca="1" si="117"/>
        <v>0</v>
      </c>
      <c r="L168" s="56">
        <f t="shared" ca="1" si="118"/>
        <v>277.77777777777777</v>
      </c>
      <c r="M168" s="56">
        <f t="shared" ca="1" si="119"/>
        <v>0</v>
      </c>
      <c r="N168" s="56">
        <f t="shared" ca="1" si="120"/>
        <v>0</v>
      </c>
      <c r="O168" s="65">
        <f t="shared" ca="1" si="123"/>
        <v>391.98159819840555</v>
      </c>
      <c r="P168" s="65">
        <f t="shared" ca="1" si="124"/>
        <v>11.945931978609629</v>
      </c>
      <c r="Q168" s="65">
        <f t="shared" ca="1" si="125"/>
        <v>4.3017317157712318</v>
      </c>
      <c r="R168" s="65">
        <f t="shared" ca="1" si="126"/>
        <v>0</v>
      </c>
      <c r="S168" s="65">
        <f t="shared" ca="1" si="127"/>
        <v>0</v>
      </c>
      <c r="T168" s="65">
        <f t="shared" ca="1" si="128"/>
        <v>0</v>
      </c>
      <c r="U168" s="65">
        <f t="shared" ca="1" si="129"/>
        <v>0</v>
      </c>
      <c r="V168" s="65">
        <f t="shared" ca="1" si="130"/>
        <v>9.2592592592592577</v>
      </c>
      <c r="W168" s="65">
        <f t="shared" ca="1" si="131"/>
        <v>0</v>
      </c>
      <c r="X168" s="65">
        <f t="shared" ca="1" si="132"/>
        <v>0</v>
      </c>
      <c r="Y168" s="21"/>
      <c r="Z168" s="15">
        <f>VLOOKUP($D168&amp;$B168,[3]!装备基础属性表,P$30,FALSE)</f>
        <v>11759.447945952166</v>
      </c>
      <c r="AA168" s="15">
        <f>VLOOKUP($D168&amp;$B168,[3]!装备基础属性表,Q$30,FALSE)</f>
        <v>597.29659893048142</v>
      </c>
      <c r="AB168" s="15">
        <f>VLOOKUP($D168&amp;$B168,[3]!装备基础属性表,R$30,FALSE)</f>
        <v>258.10390294627388</v>
      </c>
      <c r="AC168" s="15">
        <f>VLOOKUP($D168&amp;$B168,[3]!装备基础属性表,S$30,FALSE)</f>
        <v>468.75</v>
      </c>
      <c r="AD168" s="15">
        <f>VLOOKUP($D168&amp;$B168,[3]!装备基础属性表,T$30,FALSE)</f>
        <v>468.75</v>
      </c>
      <c r="AE168" s="15">
        <f>VLOOKUP($D168&amp;$B168,[3]!装备基础属性表,U$30,FALSE)</f>
        <v>277.77777777777777</v>
      </c>
      <c r="AF168" s="15">
        <f>VLOOKUP($D168&amp;$B168,[3]!装备基础属性表,V$30,FALSE)</f>
        <v>0</v>
      </c>
      <c r="AG168" s="15">
        <f>VLOOKUP($D168&amp;$B168,[3]!装备基础属性表,W$30,FALSE)</f>
        <v>277.77777777777777</v>
      </c>
      <c r="AH168" s="15">
        <f>VLOOKUP($D168&amp;$B168,[3]!装备基础属性表,X$30,FALSE)</f>
        <v>0</v>
      </c>
      <c r="AI168" s="15">
        <f>VLOOKUP($D168&amp;$B168,[3]!装备基础属性表,Y$30,FALSE)</f>
        <v>0</v>
      </c>
      <c r="AJ168" s="16" t="str">
        <f>B168&amp;VLOOKUP(C168,定义数据!$E$1:$F$7,2,FALSE)&amp;D168</f>
        <v>1480</v>
      </c>
      <c r="AK168" s="14">
        <f t="shared" si="29"/>
        <v>24</v>
      </c>
      <c r="AL168" s="5">
        <f t="shared" si="121"/>
        <v>3</v>
      </c>
      <c r="AM168" s="5" t="str">
        <f t="array" aca="1" ref="AM168" ca="1">IF(AM$31&gt;$AL168,0,IF(ISERROR(OFFSET($E$31,0,SMALL(IF($E168:$X168&gt;0,COLUMN($A:$T),""),AM$31)-1)),0,OFFSET($E$31,0,SMALL(IF($E168:$X168&gt;0,COLUMN($A:$T),""),AM$31)-1)))</f>
        <v>生命</v>
      </c>
      <c r="AN168" s="5">
        <f t="array" aca="1" ref="AN168" ca="1">IF(AM$31&gt;$AL168,0,IF(ISERROR(INDEX($E168:$X168,,SMALL(IF($E168:$X168&gt;0,COLUMN($A:$T),""),AN$31))),0,INDEX($E168:$X168,,SMALL(IF($E168:$X168&gt;0,COLUMN($A:$T),""),AN$31))))</f>
        <v>2351.8895891904335</v>
      </c>
      <c r="AO168" s="5" t="str">
        <f t="array" aca="1" ref="AO168" ca="1">IF(AO$31&gt;$AL168,0,IF(ISERROR(OFFSET($E$31,0,SMALL(IF($E168:$X168&gt;0,COLUMN($A:$T),""),AO$31)-1)),0,OFFSET($E$31,0,SMALL(IF($E168:$X168&gt;0,COLUMN($A:$T),""),AO$31)-1)))</f>
        <v>韧性值</v>
      </c>
      <c r="AP168" s="5">
        <f t="array" aca="1" ref="AP168" ca="1">IF(AO$31&gt;$AL168,0,IF(ISERROR(INDEX($E168:$X168,,SMALL(IF($E168:$X168&gt;0,COLUMN($A:$T),""),AP$31))),0,INDEX($E168:$X168,,SMALL(IF($E168:$X168&gt;0,COLUMN($A:$T),""),AP$31))))</f>
        <v>277.77777777777777</v>
      </c>
      <c r="AQ168" s="5" t="str">
        <f t="array" aca="1" ref="AQ168" ca="1">IF(AQ$31&gt;$AL168,0,IF(ISERROR(OFFSET($E$31,0,SMALL(IF($E168:$X168&gt;0,COLUMN($A:$T),""),AQ$31)-1)),0,OFFSET($E$31,0,SMALL(IF($E168:$X168&gt;0,COLUMN($A:$T),""),AQ$31)-1)))</f>
        <v>生命</v>
      </c>
      <c r="AR168" s="5">
        <f t="array" aca="1" ref="AR168" ca="1">IF(AQ$31&gt;$AL168,0,IF(ISERROR(INDEX($E168:$X168,,SMALL(IF($E168:$X168&gt;0,COLUMN($A:$T),""),AR$31))),0,INDEX($E168:$X168,,SMALL(IF($E168:$X168&gt;0,COLUMN($A:$T),""),AR$31))))</f>
        <v>391.98159819840555</v>
      </c>
      <c r="AS168" s="5">
        <f t="array" aca="1" ref="AS168" ca="1">IF(AS$31&gt;$AL168,0,IF(ISERROR(OFFSET($E$31,0,SMALL(IF($E168:$X168&gt;0,COLUMN($A:$T),""),AS$31)-1)),0,OFFSET($E$31,0,SMALL(IF($E168:$X168&gt;0,COLUMN($A:$T),""),AS$31)-1)))</f>
        <v>0</v>
      </c>
      <c r="AT168" s="5">
        <f t="array" ref="AT168">IF(AS$31&gt;$AL168,0,IF(ISERROR(INDEX($E168:$X168,,SMALL(IF($E168:$X168&gt;0,COLUMN($A:$T),""),AT$31))),0,INDEX($E168:$X168,,SMALL(IF($E168:$X168&gt;0,COLUMN($A:$T),""),AT$31))))</f>
        <v>0</v>
      </c>
      <c r="AU168" s="5">
        <f t="array" aca="1" ref="AU168" ca="1">IF(AU$31&gt;$AL168,0,IF(ISERROR(OFFSET($E$31,0,SMALL(IF($E168:$X168&gt;0,COLUMN($A:$T),""),AU$31)-1)),0,OFFSET($E$31,0,SMALL(IF($E168:$X168&gt;0,COLUMN($A:$T),""),AU$31)-1)))</f>
        <v>0</v>
      </c>
      <c r="AV168" s="5">
        <f t="array" ref="AV168">IF(AU$31&gt;$AL168,0,IF(ISERROR(INDEX($E168:$X168,,SMALL(IF($E168:$X168&gt;0,COLUMN($A:$T),""),AV$31))),0,INDEX($E168:$X168,,SMALL(IF($E168:$X168&gt;0,COLUMN($A:$T),""),AV$31))))</f>
        <v>0</v>
      </c>
      <c r="AW168" s="5">
        <f t="array" aca="1" ref="AW168" ca="1">IF(AW$31&gt;$AL168,0,IF(ISERROR(OFFSET($E$31,0,SMALL(IF($E168:$X168&gt;0,COLUMN($A:$T),""),AW$31)-1)),0,OFFSET($E$31,0,SMALL(IF($E168:$X168&gt;0,COLUMN($A:$T),""),AW$31)-1)))</f>
        <v>0</v>
      </c>
      <c r="AX168" s="5">
        <f t="array" ref="AX168">IF(AW$31&gt;$AL168,0,IF(ISERROR(INDEX($E168:$X168,,SMALL(IF($E168:$X168&gt;0,COLUMN($A:$T),""),AX$31))),0,INDEX($E168:$X168,,SMALL(IF($E168:$X168&gt;0,COLUMN($A:$T),""),AX$31))))</f>
        <v>0</v>
      </c>
      <c r="AY168" s="5">
        <f t="array" aca="1" ref="AY168" ca="1">IF(AY$31&gt;$AL168,0,IF(ISERROR(OFFSET($E$31,0,SMALL(IF($E168:$X168&gt;0,COLUMN($A:$T),""),AY$31)-1)),0,OFFSET($E$31,0,SMALL(IF($E168:$X168&gt;0,COLUMN($A:$T),""),AY$31)-1)))</f>
        <v>0</v>
      </c>
      <c r="AZ168" s="5">
        <f t="array" ref="AZ168">IF(AY$31&gt;$AL168,0,IF(ISERROR(INDEX($E168:$X168,,SMALL(IF($E168:$X168&gt;0,COLUMN($A:$T),""),AZ$31))),0,INDEX($E168:$X168,,SMALL(IF($E168:$X168&gt;0,COLUMN($A:$T),""),AZ$31))))</f>
        <v>0</v>
      </c>
      <c r="BA168" s="5">
        <f t="array" aca="1" ref="BA168" ca="1">IF(BA$31&gt;$AL168,0,IF(ISERROR(OFFSET($E$31,0,SMALL(IF($E168:$X168&gt;0,COLUMN($A:$T),""),BA$31)-1)),0,OFFSET($E$31,0,SMALL(IF($E168:$X168&gt;0,COLUMN($A:$T),""),BA$31)-1)))</f>
        <v>0</v>
      </c>
      <c r="BB168" s="5">
        <f t="array" ref="BB168">IF(BA$31&gt;$AL168,0,IF(ISERROR(INDEX($E168:$X168,,SMALL(IF($E168:$X168&gt;0,COLUMN($A:$T),""),BB$31))),0,INDEX($E168:$X168,,SMALL(IF($E168:$X168&gt;0,COLUMN($A:$T),""),BB$31))))</f>
        <v>0</v>
      </c>
      <c r="BC168" s="5">
        <f t="array" aca="1" ref="BC168" ca="1">IF(BC$31&gt;$AL168,0,IF(ISERROR(OFFSET($E$31,0,SMALL(IF($E168:$X168&gt;0,COLUMN($A:$T),""),BC$31)-1)),0,OFFSET($E$31,0,SMALL(IF($E168:$X168&gt;0,COLUMN($A:$T),""),BC$31)-1)))</f>
        <v>0</v>
      </c>
      <c r="BD168" s="5">
        <f t="array" ref="BD168">IF(BC$31&gt;$AL168,0,IF(ISERROR(INDEX($E168:$X168,,SMALL(IF($E168:$X168&gt;0,COLUMN($A:$T),""),BD$31))),0,INDEX($E168:$X168,,SMALL(IF($E168:$X168&gt;0,COLUMN($A:$T),""),BD$31))))</f>
        <v>0</v>
      </c>
      <c r="BE168" s="5">
        <f t="array" aca="1" ref="BE168" ca="1">IF(BE$31&gt;$AL168,0,IF(ISERROR(OFFSET($E$31,0,SMALL(IF($E168:$X168&gt;0,COLUMN($A:$T),""),BE$31)-1)),0,OFFSET($E$31,0,SMALL(IF($E168:$X168&gt;0,COLUMN($A:$T),""),BE$31)-1)))</f>
        <v>0</v>
      </c>
      <c r="BF168" s="5">
        <f t="array" ref="BF168">IF(BE$31&gt;$AL168,0,IF(ISERROR(INDEX($E168:$X168,,SMALL(IF($E168:$X168&gt;0,COLUMN($A:$T),""),BF$31))),0,INDEX($E168:$X168,,SMALL(IF($E168:$X168&gt;0,COLUMN($A:$T),""),BF$31))))</f>
        <v>0</v>
      </c>
      <c r="BH168">
        <f ca="1">SUMPRODUCT(E168:N168,定义数据!$G$14:$P$14)</f>
        <v>144.07558356761734</v>
      </c>
      <c r="BI168">
        <f ca="1">SUMPRODUCT(O168:X168,定义数据!$G$14:$P$14)</f>
        <v>33.593594288983752</v>
      </c>
      <c r="BJ168" s="5">
        <f t="shared" ca="1" si="122"/>
        <v>177.6691778566011</v>
      </c>
      <c r="BK168" s="5" t="str">
        <f>D168&amp;B168&amp;VLOOKUP(C168,定义数据!$E$1:$F$7,2,FALSE)</f>
        <v>8014</v>
      </c>
    </row>
    <row r="169" spans="1:63" x14ac:dyDescent="0.15">
      <c r="A169" s="17" t="str">
        <f>D169&amp;B169&amp;VLOOKUP(C169,定义数据!$E$1:$F$7,2,FALSE)</f>
        <v>8013</v>
      </c>
      <c r="B169" s="18">
        <v>1</v>
      </c>
      <c r="C169" s="18" t="s">
        <v>281</v>
      </c>
      <c r="D169" s="24">
        <v>80</v>
      </c>
      <c r="E169" s="56">
        <f t="shared" ca="1" si="111"/>
        <v>0</v>
      </c>
      <c r="F169" s="56">
        <f t="shared" ca="1" si="112"/>
        <v>149.32414973262036</v>
      </c>
      <c r="G169" s="56">
        <f t="shared" ca="1" si="113"/>
        <v>0</v>
      </c>
      <c r="H169" s="56">
        <f t="shared" ca="1" si="114"/>
        <v>0</v>
      </c>
      <c r="I169" s="56">
        <f t="shared" ca="1" si="115"/>
        <v>468.75</v>
      </c>
      <c r="J169" s="56">
        <f t="shared" ca="1" si="116"/>
        <v>0</v>
      </c>
      <c r="K169" s="56">
        <f t="shared" ca="1" si="117"/>
        <v>0</v>
      </c>
      <c r="L169" s="56">
        <f t="shared" ca="1" si="118"/>
        <v>0</v>
      </c>
      <c r="M169" s="56">
        <f t="shared" ca="1" si="119"/>
        <v>0</v>
      </c>
      <c r="N169" s="56">
        <f t="shared" ca="1" si="120"/>
        <v>0</v>
      </c>
      <c r="O169" s="65">
        <f t="shared" ca="1" si="123"/>
        <v>0</v>
      </c>
      <c r="P169" s="65">
        <f t="shared" ca="1" si="124"/>
        <v>11.945931978609629</v>
      </c>
      <c r="Q169" s="65">
        <f t="shared" ca="1" si="125"/>
        <v>0</v>
      </c>
      <c r="R169" s="65">
        <f t="shared" ca="1" si="126"/>
        <v>9.375</v>
      </c>
      <c r="S169" s="65">
        <f t="shared" ca="1" si="127"/>
        <v>15.625</v>
      </c>
      <c r="T169" s="65">
        <f t="shared" ca="1" si="128"/>
        <v>11.111111111111112</v>
      </c>
      <c r="U169" s="65">
        <f t="shared" ca="1" si="129"/>
        <v>0</v>
      </c>
      <c r="V169" s="65">
        <f t="shared" ca="1" si="130"/>
        <v>0</v>
      </c>
      <c r="W169" s="65">
        <f t="shared" ca="1" si="131"/>
        <v>0</v>
      </c>
      <c r="X169" s="65">
        <f t="shared" ca="1" si="132"/>
        <v>0</v>
      </c>
      <c r="Y169" s="21"/>
      <c r="Z169" s="15">
        <f>VLOOKUP($D169&amp;$B169,[3]!装备基础属性表,P$30,FALSE)</f>
        <v>11759.447945952166</v>
      </c>
      <c r="AA169" s="15">
        <f>VLOOKUP($D169&amp;$B169,[3]!装备基础属性表,Q$30,FALSE)</f>
        <v>597.29659893048142</v>
      </c>
      <c r="AB169" s="15">
        <f>VLOOKUP($D169&amp;$B169,[3]!装备基础属性表,R$30,FALSE)</f>
        <v>258.10390294627388</v>
      </c>
      <c r="AC169" s="15">
        <f>VLOOKUP($D169&amp;$B169,[3]!装备基础属性表,S$30,FALSE)</f>
        <v>468.75</v>
      </c>
      <c r="AD169" s="15">
        <f>VLOOKUP($D169&amp;$B169,[3]!装备基础属性表,T$30,FALSE)</f>
        <v>468.75</v>
      </c>
      <c r="AE169" s="15">
        <f>VLOOKUP($D169&amp;$B169,[3]!装备基础属性表,U$30,FALSE)</f>
        <v>277.77777777777777</v>
      </c>
      <c r="AF169" s="15">
        <f>VLOOKUP($D169&amp;$B169,[3]!装备基础属性表,V$30,FALSE)</f>
        <v>0</v>
      </c>
      <c r="AG169" s="15">
        <f>VLOOKUP($D169&amp;$B169,[3]!装备基础属性表,W$30,FALSE)</f>
        <v>277.77777777777777</v>
      </c>
      <c r="AH169" s="15">
        <f>VLOOKUP($D169&amp;$B169,[3]!装备基础属性表,X$30,FALSE)</f>
        <v>0</v>
      </c>
      <c r="AI169" s="15">
        <f>VLOOKUP($D169&amp;$B169,[3]!装备基础属性表,Y$30,FALSE)</f>
        <v>0</v>
      </c>
      <c r="AJ169" s="16" t="str">
        <f>B169&amp;VLOOKUP(C169,定义数据!$E$1:$F$7,2,FALSE)&amp;D169</f>
        <v>1380</v>
      </c>
      <c r="AK169" s="14">
        <f t="shared" si="29"/>
        <v>24</v>
      </c>
      <c r="AL169" s="5">
        <f t="shared" si="121"/>
        <v>3</v>
      </c>
      <c r="AM169" s="5" t="str">
        <f t="array" aca="1" ref="AM169" ca="1">IF(AM$31&gt;$AL169,0,IF(ISERROR(OFFSET($E$31,0,SMALL(IF($E169:$X169&gt;0,COLUMN($A:$T),""),AM$31)-1)),0,OFFSET($E$31,0,SMALL(IF($E169:$X169&gt;0,COLUMN($A:$T),""),AM$31)-1)))</f>
        <v>攻击</v>
      </c>
      <c r="AN169" s="5">
        <f t="array" aca="1" ref="AN169" ca="1">IF(AM$31&gt;$AL169,0,IF(ISERROR(INDEX($E169:$X169,,SMALL(IF($E169:$X169&gt;0,COLUMN($A:$T),""),AN$31))),0,INDEX($E169:$X169,,SMALL(IF($E169:$X169&gt;0,COLUMN($A:$T),""),AN$31))))</f>
        <v>149.32414973262036</v>
      </c>
      <c r="AO169" s="5" t="str">
        <f t="array" aca="1" ref="AO169" ca="1">IF(AO$31&gt;$AL169,0,IF(ISERROR(OFFSET($E$31,0,SMALL(IF($E169:$X169&gt;0,COLUMN($A:$T),""),AO$31)-1)),0,OFFSET($E$31,0,SMALL(IF($E169:$X169&gt;0,COLUMN($A:$T),""),AO$31)-1)))</f>
        <v>命中值</v>
      </c>
      <c r="AP169" s="5">
        <f t="array" aca="1" ref="AP169" ca="1">IF(AO$31&gt;$AL169,0,IF(ISERROR(INDEX($E169:$X169,,SMALL(IF($E169:$X169&gt;0,COLUMN($A:$T),""),AP$31))),0,INDEX($E169:$X169,,SMALL(IF($E169:$X169&gt;0,COLUMN($A:$T),""),AP$31))))</f>
        <v>468.75</v>
      </c>
      <c r="AQ169" s="5" t="str">
        <f t="array" aca="1" ref="AQ169" ca="1">IF(AQ$31&gt;$AL169,0,IF(ISERROR(OFFSET($E$31,0,SMALL(IF($E169:$X169&gt;0,COLUMN($A:$T),""),AQ$31)-1)),0,OFFSET($E$31,0,SMALL(IF($E169:$X169&gt;0,COLUMN($A:$T),""),AQ$31)-1)))</f>
        <v>攻击</v>
      </c>
      <c r="AR169" s="5">
        <f t="array" aca="1" ref="AR169" ca="1">IF(AQ$31&gt;$AL169,0,IF(ISERROR(INDEX($E169:$X169,,SMALL(IF($E169:$X169&gt;0,COLUMN($A:$T),""),AR$31))),0,INDEX($E169:$X169,,SMALL(IF($E169:$X169&gt;0,COLUMN($A:$T),""),AR$31))))</f>
        <v>11.945931978609629</v>
      </c>
      <c r="AS169" s="5">
        <f t="array" aca="1" ref="AS169" ca="1">IF(AS$31&gt;$AL169,0,IF(ISERROR(OFFSET($E$31,0,SMALL(IF($E169:$X169&gt;0,COLUMN($A:$T),""),AS$31)-1)),0,OFFSET($E$31,0,SMALL(IF($E169:$X169&gt;0,COLUMN($A:$T),""),AS$31)-1)))</f>
        <v>0</v>
      </c>
      <c r="AT169" s="5">
        <f t="array" ref="AT169">IF(AS$31&gt;$AL169,0,IF(ISERROR(INDEX($E169:$X169,,SMALL(IF($E169:$X169&gt;0,COLUMN($A:$T),""),AT$31))),0,INDEX($E169:$X169,,SMALL(IF($E169:$X169&gt;0,COLUMN($A:$T),""),AT$31))))</f>
        <v>0</v>
      </c>
      <c r="AU169" s="5">
        <f t="array" aca="1" ref="AU169" ca="1">IF(AU$31&gt;$AL169,0,IF(ISERROR(OFFSET($E$31,0,SMALL(IF($E169:$X169&gt;0,COLUMN($A:$T),""),AU$31)-1)),0,OFFSET($E$31,0,SMALL(IF($E169:$X169&gt;0,COLUMN($A:$T),""),AU$31)-1)))</f>
        <v>0</v>
      </c>
      <c r="AV169" s="5">
        <f t="array" ref="AV169">IF(AU$31&gt;$AL169,0,IF(ISERROR(INDEX($E169:$X169,,SMALL(IF($E169:$X169&gt;0,COLUMN($A:$T),""),AV$31))),0,INDEX($E169:$X169,,SMALL(IF($E169:$X169&gt;0,COLUMN($A:$T),""),AV$31))))</f>
        <v>0</v>
      </c>
      <c r="AW169" s="5">
        <f t="array" aca="1" ref="AW169" ca="1">IF(AW$31&gt;$AL169,0,IF(ISERROR(OFFSET($E$31,0,SMALL(IF($E169:$X169&gt;0,COLUMN($A:$T),""),AW$31)-1)),0,OFFSET($E$31,0,SMALL(IF($E169:$X169&gt;0,COLUMN($A:$T),""),AW$31)-1)))</f>
        <v>0</v>
      </c>
      <c r="AX169" s="5">
        <f t="array" ref="AX169">IF(AW$31&gt;$AL169,0,IF(ISERROR(INDEX($E169:$X169,,SMALL(IF($E169:$X169&gt;0,COLUMN($A:$T),""),AX$31))),0,INDEX($E169:$X169,,SMALL(IF($E169:$X169&gt;0,COLUMN($A:$T),""),AX$31))))</f>
        <v>0</v>
      </c>
      <c r="AY169" s="5">
        <f t="array" aca="1" ref="AY169" ca="1">IF(AY$31&gt;$AL169,0,IF(ISERROR(OFFSET($E$31,0,SMALL(IF($E169:$X169&gt;0,COLUMN($A:$T),""),AY$31)-1)),0,OFFSET($E$31,0,SMALL(IF($E169:$X169&gt;0,COLUMN($A:$T),""),AY$31)-1)))</f>
        <v>0</v>
      </c>
      <c r="AZ169" s="5">
        <f t="array" ref="AZ169">IF(AY$31&gt;$AL169,0,IF(ISERROR(INDEX($E169:$X169,,SMALL(IF($E169:$X169&gt;0,COLUMN($A:$T),""),AZ$31))),0,INDEX($E169:$X169,,SMALL(IF($E169:$X169&gt;0,COLUMN($A:$T),""),AZ$31))))</f>
        <v>0</v>
      </c>
      <c r="BA169" s="5">
        <f t="array" aca="1" ref="BA169" ca="1">IF(BA$31&gt;$AL169,0,IF(ISERROR(OFFSET($E$31,0,SMALL(IF($E169:$X169&gt;0,COLUMN($A:$T),""),BA$31)-1)),0,OFFSET($E$31,0,SMALL(IF($E169:$X169&gt;0,COLUMN($A:$T),""),BA$31)-1)))</f>
        <v>0</v>
      </c>
      <c r="BB169" s="5">
        <f t="array" ref="BB169">IF(BA$31&gt;$AL169,0,IF(ISERROR(INDEX($E169:$X169,,SMALL(IF($E169:$X169&gt;0,COLUMN($A:$T),""),BB$31))),0,INDEX($E169:$X169,,SMALL(IF($E169:$X169&gt;0,COLUMN($A:$T),""),BB$31))))</f>
        <v>0</v>
      </c>
      <c r="BC169" s="5">
        <f t="array" aca="1" ref="BC169" ca="1">IF(BC$31&gt;$AL169,0,IF(ISERROR(OFFSET($E$31,0,SMALL(IF($E169:$X169&gt;0,COLUMN($A:$T),""),BC$31)-1)),0,OFFSET($E$31,0,SMALL(IF($E169:$X169&gt;0,COLUMN($A:$T),""),BC$31)-1)))</f>
        <v>0</v>
      </c>
      <c r="BD169" s="5">
        <f t="array" ref="BD169">IF(BC$31&gt;$AL169,0,IF(ISERROR(INDEX($E169:$X169,,SMALL(IF($E169:$X169&gt;0,COLUMN($A:$T),""),BD$31))),0,INDEX($E169:$X169,,SMALL(IF($E169:$X169&gt;0,COLUMN($A:$T),""),BD$31))))</f>
        <v>0</v>
      </c>
      <c r="BE169" s="5">
        <f t="array" aca="1" ref="BE169" ca="1">IF(BE$31&gt;$AL169,0,IF(ISERROR(OFFSET($E$31,0,SMALL(IF($E169:$X169&gt;0,COLUMN($A:$T),""),BE$31)-1)),0,OFFSET($E$31,0,SMALL(IF($E169:$X169&gt;0,COLUMN($A:$T),""),BE$31)-1)))</f>
        <v>0</v>
      </c>
      <c r="BF169" s="5">
        <f t="array" ref="BF169">IF(BE$31&gt;$AL169,0,IF(ISERROR(INDEX($E169:$X169,,SMALL(IF($E169:$X169&gt;0,COLUMN($A:$T),""),BF$31))),0,INDEX($E169:$X169,,SMALL(IF($E169:$X169&gt;0,COLUMN($A:$T),""),BF$31))))</f>
        <v>0</v>
      </c>
      <c r="BH169">
        <f ca="1">SUMPRODUCT(E169:N169,定义数据!$G$14:$P$14)</f>
        <v>308.69914973262036</v>
      </c>
      <c r="BI169">
        <f ca="1">SUMPRODUCT(O169:X169,定义数据!$G$14:$P$14)</f>
        <v>22.445931978609629</v>
      </c>
      <c r="BJ169" s="5">
        <f t="shared" ca="1" si="122"/>
        <v>331.14508171122998</v>
      </c>
      <c r="BK169" s="5" t="str">
        <f>D169&amp;B169&amp;VLOOKUP(C169,定义数据!$E$1:$F$7,2,FALSE)</f>
        <v>8013</v>
      </c>
    </row>
    <row r="170" spans="1:63" x14ac:dyDescent="0.15">
      <c r="A170" s="17" t="str">
        <f>D170&amp;B170&amp;VLOOKUP(C170,定义数据!$E$1:$F$7,2,FALSE)</f>
        <v>8020</v>
      </c>
      <c r="B170" s="18">
        <v>2</v>
      </c>
      <c r="C170" s="18" t="s">
        <v>276</v>
      </c>
      <c r="D170" s="24">
        <v>80</v>
      </c>
      <c r="E170" s="56">
        <f t="shared" ca="1" si="111"/>
        <v>0</v>
      </c>
      <c r="F170" s="56">
        <f t="shared" ca="1" si="112"/>
        <v>582.36418395721944</v>
      </c>
      <c r="G170" s="56">
        <f t="shared" ca="1" si="113"/>
        <v>0</v>
      </c>
      <c r="H170" s="56">
        <f t="shared" ca="1" si="114"/>
        <v>0</v>
      </c>
      <c r="I170" s="56">
        <f t="shared" ca="1" si="115"/>
        <v>0</v>
      </c>
      <c r="J170" s="56">
        <f t="shared" ca="1" si="116"/>
        <v>361.11111111111114</v>
      </c>
      <c r="K170" s="56">
        <f t="shared" ca="1" si="117"/>
        <v>0</v>
      </c>
      <c r="L170" s="56">
        <f t="shared" ca="1" si="118"/>
        <v>0</v>
      </c>
      <c r="M170" s="56">
        <f t="shared" ca="1" si="119"/>
        <v>0</v>
      </c>
      <c r="N170" s="56">
        <f t="shared" ca="1" si="120"/>
        <v>0</v>
      </c>
      <c r="O170" s="65">
        <f t="shared" ca="1" si="123"/>
        <v>0</v>
      </c>
      <c r="P170" s="65">
        <f t="shared" ca="1" si="124"/>
        <v>103.53141048128346</v>
      </c>
      <c r="Q170" s="65">
        <f t="shared" ca="1" si="125"/>
        <v>12.427224956672447</v>
      </c>
      <c r="R170" s="65">
        <f t="shared" ca="1" si="126"/>
        <v>0</v>
      </c>
      <c r="S170" s="65">
        <f t="shared" ca="1" si="127"/>
        <v>45.138888888888893</v>
      </c>
      <c r="T170" s="65">
        <f t="shared" ca="1" si="128"/>
        <v>32.098765432098773</v>
      </c>
      <c r="U170" s="65">
        <f t="shared" ca="1" si="129"/>
        <v>0</v>
      </c>
      <c r="V170" s="65">
        <f t="shared" ca="1" si="130"/>
        <v>0</v>
      </c>
      <c r="W170" s="65">
        <f t="shared" ca="1" si="131"/>
        <v>0</v>
      </c>
      <c r="X170" s="65">
        <f t="shared" ca="1" si="132"/>
        <v>0</v>
      </c>
      <c r="Y170" s="21" t="s">
        <v>94</v>
      </c>
      <c r="Z170" s="15">
        <f>VLOOKUP($D170&amp;$B170,[3]!装备基础属性表,P$30,FALSE)</f>
        <v>16985.869255264242</v>
      </c>
      <c r="AA170" s="15">
        <f>VLOOKUP($D170&amp;$B170,[3]!装备基础属性表,Q$30,FALSE)</f>
        <v>862.76175401069543</v>
      </c>
      <c r="AB170" s="15">
        <f>VLOOKUP($D170&amp;$B170,[3]!装备基础属性表,R$30,FALSE)</f>
        <v>372.81674870017338</v>
      </c>
      <c r="AC170" s="15">
        <f>VLOOKUP($D170&amp;$B170,[3]!装备基础属性表,S$30,FALSE)</f>
        <v>677.08333333333337</v>
      </c>
      <c r="AD170" s="15">
        <f>VLOOKUP($D170&amp;$B170,[3]!装备基础属性表,T$30,FALSE)</f>
        <v>677.08333333333337</v>
      </c>
      <c r="AE170" s="15">
        <f>VLOOKUP($D170&amp;$B170,[3]!装备基础属性表,U$30,FALSE)</f>
        <v>401.23456790123458</v>
      </c>
      <c r="AF170" s="15">
        <f>VLOOKUP($D170&amp;$B170,[3]!装备基础属性表,V$30,FALSE)</f>
        <v>0</v>
      </c>
      <c r="AG170" s="15">
        <f>VLOOKUP($D170&amp;$B170,[3]!装备基础属性表,W$30,FALSE)</f>
        <v>401.23456790123458</v>
      </c>
      <c r="AH170" s="15">
        <f>VLOOKUP($D170&amp;$B170,[3]!装备基础属性表,X$30,FALSE)</f>
        <v>0</v>
      </c>
      <c r="AI170" s="15">
        <f>VLOOKUP($D170&amp;$B170,[3]!装备基础属性表,Y$30,FALSE)</f>
        <v>0</v>
      </c>
      <c r="AJ170" s="16" t="str">
        <f>B170&amp;VLOOKUP(C170,定义数据!$E$1:$F$7,2,FALSE)&amp;D170</f>
        <v>2080</v>
      </c>
      <c r="AK170" s="14">
        <f t="shared" si="29"/>
        <v>25</v>
      </c>
      <c r="AL170" s="5">
        <f t="shared" si="121"/>
        <v>4</v>
      </c>
      <c r="AM170" s="5" t="str">
        <f t="array" aca="1" ref="AM170" ca="1">IF(AM$31&gt;$AL170,0,IF(ISERROR(OFFSET($E$31,0,SMALL(IF($E170:$X170&gt;0,COLUMN($A:$T),""),AM$31)-1)),0,OFFSET($E$31,0,SMALL(IF($E170:$X170&gt;0,COLUMN($A:$T),""),AM$31)-1)))</f>
        <v>攻击</v>
      </c>
      <c r="AN170" s="5">
        <f t="array" aca="1" ref="AN170" ca="1">IF(AM$31&gt;$AL170,0,IF(ISERROR(INDEX($E170:$X170,,SMALL(IF($E170:$X170&gt;0,COLUMN($A:$T),""),AN$31))),0,INDEX($E170:$X170,,SMALL(IF($E170:$X170&gt;0,COLUMN($A:$T),""),AN$31))))</f>
        <v>582.36418395721944</v>
      </c>
      <c r="AO170" s="5" t="str">
        <f t="array" aca="1" ref="AO170" ca="1">IF(AO$31&gt;$AL170,0,IF(ISERROR(OFFSET($E$31,0,SMALL(IF($E170:$X170&gt;0,COLUMN($A:$T),""),AO$31)-1)),0,OFFSET($E$31,0,SMALL(IF($E170:$X170&gt;0,COLUMN($A:$T),""),AO$31)-1)))</f>
        <v>暴击值</v>
      </c>
      <c r="AP170" s="5">
        <f t="array" aca="1" ref="AP170" ca="1">IF(AO$31&gt;$AL170,0,IF(ISERROR(INDEX($E170:$X170,,SMALL(IF($E170:$X170&gt;0,COLUMN($A:$T),""),AP$31))),0,INDEX($E170:$X170,,SMALL(IF($E170:$X170&gt;0,COLUMN($A:$T),""),AP$31))))</f>
        <v>361.11111111111114</v>
      </c>
      <c r="AQ170" s="5" t="str">
        <f t="array" aca="1" ref="AQ170" ca="1">IF(AQ$31&gt;$AL170,0,IF(ISERROR(OFFSET($E$31,0,SMALL(IF($E170:$X170&gt;0,COLUMN($A:$T),""),AQ$31)-1)),0,OFFSET($E$31,0,SMALL(IF($E170:$X170&gt;0,COLUMN($A:$T),""),AQ$31)-1)))</f>
        <v>攻击</v>
      </c>
      <c r="AR170" s="5">
        <f t="array" aca="1" ref="AR170" ca="1">IF(AQ$31&gt;$AL170,0,IF(ISERROR(INDEX($E170:$X170,,SMALL(IF($E170:$X170&gt;0,COLUMN($A:$T),""),AR$31))),0,INDEX($E170:$X170,,SMALL(IF($E170:$X170&gt;0,COLUMN($A:$T),""),AR$31))))</f>
        <v>103.53141048128346</v>
      </c>
      <c r="AS170" s="5" t="str">
        <f t="array" aca="1" ref="AS170" ca="1">IF(AS$31&gt;$AL170,0,IF(ISERROR(OFFSET($E$31,0,SMALL(IF($E170:$X170&gt;0,COLUMN($A:$T),""),AS$31)-1)),0,OFFSET($E$31,0,SMALL(IF($E170:$X170&gt;0,COLUMN($A:$T),""),AS$31)-1)))</f>
        <v>防御</v>
      </c>
      <c r="AT170" s="5">
        <f t="array" aca="1" ref="AT170" ca="1">IF(AS$31&gt;$AL170,0,IF(ISERROR(INDEX($E170:$X170,,SMALL(IF($E170:$X170&gt;0,COLUMN($A:$T),""),AT$31))),0,INDEX($E170:$X170,,SMALL(IF($E170:$X170&gt;0,COLUMN($A:$T),""),AT$31))))</f>
        <v>12.427224956672447</v>
      </c>
      <c r="AU170" s="5">
        <f t="array" aca="1" ref="AU170" ca="1">IF(AU$31&gt;$AL170,0,IF(ISERROR(OFFSET($E$31,0,SMALL(IF($E170:$X170&gt;0,COLUMN($A:$T),""),AU$31)-1)),0,OFFSET($E$31,0,SMALL(IF($E170:$X170&gt;0,COLUMN($A:$T),""),AU$31)-1)))</f>
        <v>0</v>
      </c>
      <c r="AV170" s="5">
        <f t="array" ref="AV170">IF(AU$31&gt;$AL170,0,IF(ISERROR(INDEX($E170:$X170,,SMALL(IF($E170:$X170&gt;0,COLUMN($A:$T),""),AV$31))),0,INDEX($E170:$X170,,SMALL(IF($E170:$X170&gt;0,COLUMN($A:$T),""),AV$31))))</f>
        <v>0</v>
      </c>
      <c r="AW170" s="5">
        <f t="array" aca="1" ref="AW170" ca="1">IF(AW$31&gt;$AL170,0,IF(ISERROR(OFFSET($E$31,0,SMALL(IF($E170:$X170&gt;0,COLUMN($A:$T),""),AW$31)-1)),0,OFFSET($E$31,0,SMALL(IF($E170:$X170&gt;0,COLUMN($A:$T),""),AW$31)-1)))</f>
        <v>0</v>
      </c>
      <c r="AX170" s="5">
        <f t="array" ref="AX170">IF(AW$31&gt;$AL170,0,IF(ISERROR(INDEX($E170:$X170,,SMALL(IF($E170:$X170&gt;0,COLUMN($A:$T),""),AX$31))),0,INDEX($E170:$X170,,SMALL(IF($E170:$X170&gt;0,COLUMN($A:$T),""),AX$31))))</f>
        <v>0</v>
      </c>
      <c r="AY170" s="5">
        <f t="array" aca="1" ref="AY170" ca="1">IF(AY$31&gt;$AL170,0,IF(ISERROR(OFFSET($E$31,0,SMALL(IF($E170:$X170&gt;0,COLUMN($A:$T),""),AY$31)-1)),0,OFFSET($E$31,0,SMALL(IF($E170:$X170&gt;0,COLUMN($A:$T),""),AY$31)-1)))</f>
        <v>0</v>
      </c>
      <c r="AZ170" s="5">
        <f t="array" ref="AZ170">IF(AY$31&gt;$AL170,0,IF(ISERROR(INDEX($E170:$X170,,SMALL(IF($E170:$X170&gt;0,COLUMN($A:$T),""),AZ$31))),0,INDEX($E170:$X170,,SMALL(IF($E170:$X170&gt;0,COLUMN($A:$T),""),AZ$31))))</f>
        <v>0</v>
      </c>
      <c r="BA170" s="5">
        <f t="array" aca="1" ref="BA170" ca="1">IF(BA$31&gt;$AL170,0,IF(ISERROR(OFFSET($E$31,0,SMALL(IF($E170:$X170&gt;0,COLUMN($A:$T),""),BA$31)-1)),0,OFFSET($E$31,0,SMALL(IF($E170:$X170&gt;0,COLUMN($A:$T),""),BA$31)-1)))</f>
        <v>0</v>
      </c>
      <c r="BB170" s="5">
        <f t="array" ref="BB170">IF(BA$31&gt;$AL170,0,IF(ISERROR(INDEX($E170:$X170,,SMALL(IF($E170:$X170&gt;0,COLUMN($A:$T),""),BB$31))),0,INDEX($E170:$X170,,SMALL(IF($E170:$X170&gt;0,COLUMN($A:$T),""),BB$31))))</f>
        <v>0</v>
      </c>
      <c r="BC170" s="5">
        <f t="array" aca="1" ref="BC170" ca="1">IF(BC$31&gt;$AL170,0,IF(ISERROR(OFFSET($E$31,0,SMALL(IF($E170:$X170&gt;0,COLUMN($A:$T),""),BC$31)-1)),0,OFFSET($E$31,0,SMALL(IF($E170:$X170&gt;0,COLUMN($A:$T),""),BC$31)-1)))</f>
        <v>0</v>
      </c>
      <c r="BD170" s="5">
        <f t="array" ref="BD170">IF(BC$31&gt;$AL170,0,IF(ISERROR(INDEX($E170:$X170,,SMALL(IF($E170:$X170&gt;0,COLUMN($A:$T),""),BD$31))),0,INDEX($E170:$X170,,SMALL(IF($E170:$X170&gt;0,COLUMN($A:$T),""),BD$31))))</f>
        <v>0</v>
      </c>
      <c r="BE170" s="5">
        <f t="array" aca="1" ref="BE170" ca="1">IF(BE$31&gt;$AL170,0,IF(ISERROR(OFFSET($E$31,0,SMALL(IF($E170:$X170&gt;0,COLUMN($A:$T),""),BE$31)-1)),0,OFFSET($E$31,0,SMALL(IF($E170:$X170&gt;0,COLUMN($A:$T),""),BE$31)-1)))</f>
        <v>0</v>
      </c>
      <c r="BF170" s="5">
        <f t="array" ref="BF170">IF(BE$31&gt;$AL170,0,IF(ISERROR(INDEX($E170:$X170,,SMALL(IF($E170:$X170&gt;0,COLUMN($A:$T),""),BF$31))),0,INDEX($E170:$X170,,SMALL(IF($E170:$X170&gt;0,COLUMN($A:$T),""),BF$31))))</f>
        <v>0</v>
      </c>
      <c r="BH170">
        <f ca="1">SUMPRODUCT(E170:N170,定义数据!$G$14:$P$14)</f>
        <v>647.36418395721944</v>
      </c>
      <c r="BI170">
        <f ca="1">SUMPRODUCT(O170:X170,定义数据!$G$14:$P$14)</f>
        <v>137.08363543795591</v>
      </c>
      <c r="BJ170" s="5">
        <f t="shared" ca="1" si="122"/>
        <v>784.44781939517532</v>
      </c>
      <c r="BK170" s="5" t="str">
        <f>D170&amp;B170&amp;VLOOKUP(C170,定义数据!$E$1:$F$7,2,FALSE)</f>
        <v>8020</v>
      </c>
    </row>
    <row r="171" spans="1:63" x14ac:dyDescent="0.15">
      <c r="A171" s="17" t="str">
        <f>D171&amp;B171&amp;VLOOKUP(C171,定义数据!$E$1:$F$7,2,FALSE)</f>
        <v>8021</v>
      </c>
      <c r="B171" s="18">
        <v>2</v>
      </c>
      <c r="C171" s="18" t="s">
        <v>277</v>
      </c>
      <c r="D171" s="24">
        <v>80</v>
      </c>
      <c r="E171" s="56">
        <f t="shared" ca="1" si="111"/>
        <v>9172.3693978426909</v>
      </c>
      <c r="F171" s="56">
        <f t="shared" ca="1" si="112"/>
        <v>0</v>
      </c>
      <c r="G171" s="56">
        <f t="shared" ca="1" si="113"/>
        <v>201.32104429809363</v>
      </c>
      <c r="H171" s="56">
        <f t="shared" ca="1" si="114"/>
        <v>0</v>
      </c>
      <c r="I171" s="56">
        <f t="shared" ca="1" si="115"/>
        <v>0</v>
      </c>
      <c r="J171" s="56">
        <f t="shared" ca="1" si="116"/>
        <v>0</v>
      </c>
      <c r="K171" s="56">
        <f t="shared" ca="1" si="117"/>
        <v>0</v>
      </c>
      <c r="L171" s="56">
        <f t="shared" ca="1" si="118"/>
        <v>0</v>
      </c>
      <c r="M171" s="56">
        <f t="shared" ca="1" si="119"/>
        <v>0</v>
      </c>
      <c r="N171" s="56">
        <f t="shared" ca="1" si="120"/>
        <v>0</v>
      </c>
      <c r="O171" s="65">
        <f t="shared" ca="1" si="123"/>
        <v>1132.3912836842828</v>
      </c>
      <c r="P171" s="65">
        <f t="shared" ca="1" si="124"/>
        <v>0</v>
      </c>
      <c r="Q171" s="65">
        <f t="shared" ca="1" si="125"/>
        <v>37.281674870017341</v>
      </c>
      <c r="R171" s="65">
        <f t="shared" ca="1" si="126"/>
        <v>27.083333333333339</v>
      </c>
      <c r="S171" s="65">
        <f t="shared" ca="1" si="127"/>
        <v>0</v>
      </c>
      <c r="T171" s="65">
        <f t="shared" ca="1" si="128"/>
        <v>0</v>
      </c>
      <c r="U171" s="65">
        <f t="shared" ca="1" si="129"/>
        <v>0</v>
      </c>
      <c r="V171" s="65">
        <f t="shared" ca="1" si="130"/>
        <v>26.748971193415642</v>
      </c>
      <c r="W171" s="65">
        <f t="shared" ca="1" si="131"/>
        <v>0</v>
      </c>
      <c r="X171" s="65">
        <f t="shared" ca="1" si="132"/>
        <v>0</v>
      </c>
      <c r="Y171" s="21" t="s">
        <v>95</v>
      </c>
      <c r="Z171" s="15">
        <f>VLOOKUP($D171&amp;$B171,[3]!装备基础属性表,P$30,FALSE)</f>
        <v>16985.869255264242</v>
      </c>
      <c r="AA171" s="15">
        <f>VLOOKUP($D171&amp;$B171,[3]!装备基础属性表,Q$30,FALSE)</f>
        <v>862.76175401069543</v>
      </c>
      <c r="AB171" s="15">
        <f>VLOOKUP($D171&amp;$B171,[3]!装备基础属性表,R$30,FALSE)</f>
        <v>372.81674870017338</v>
      </c>
      <c r="AC171" s="15">
        <f>VLOOKUP($D171&amp;$B171,[3]!装备基础属性表,S$30,FALSE)</f>
        <v>677.08333333333337</v>
      </c>
      <c r="AD171" s="15">
        <f>VLOOKUP($D171&amp;$B171,[3]!装备基础属性表,T$30,FALSE)</f>
        <v>677.08333333333337</v>
      </c>
      <c r="AE171" s="15">
        <f>VLOOKUP($D171&amp;$B171,[3]!装备基础属性表,U$30,FALSE)</f>
        <v>401.23456790123458</v>
      </c>
      <c r="AF171" s="15">
        <f>VLOOKUP($D171&amp;$B171,[3]!装备基础属性表,V$30,FALSE)</f>
        <v>0</v>
      </c>
      <c r="AG171" s="15">
        <f>VLOOKUP($D171&amp;$B171,[3]!装备基础属性表,W$30,FALSE)</f>
        <v>401.23456790123458</v>
      </c>
      <c r="AH171" s="15">
        <f>VLOOKUP($D171&amp;$B171,[3]!装备基础属性表,X$30,FALSE)</f>
        <v>0</v>
      </c>
      <c r="AI171" s="15">
        <f>VLOOKUP($D171&amp;$B171,[3]!装备基础属性表,Y$30,FALSE)</f>
        <v>0</v>
      </c>
      <c r="AJ171" s="16" t="str">
        <f>B171&amp;VLOOKUP(C171,定义数据!$E$1:$F$7,2,FALSE)&amp;D171</f>
        <v>2180</v>
      </c>
      <c r="AK171" s="14">
        <f t="shared" si="29"/>
        <v>25</v>
      </c>
      <c r="AL171" s="5">
        <f t="shared" si="121"/>
        <v>4</v>
      </c>
      <c r="AM171" s="5" t="str">
        <f t="array" aca="1" ref="AM171" ca="1">IF(AM$31&gt;$AL171,0,IF(ISERROR(OFFSET($E$31,0,SMALL(IF($E171:$X171&gt;0,COLUMN($A:$T),""),AM$31)-1)),0,OFFSET($E$31,0,SMALL(IF($E171:$X171&gt;0,COLUMN($A:$T),""),AM$31)-1)))</f>
        <v>生命</v>
      </c>
      <c r="AN171" s="5">
        <f t="array" aca="1" ref="AN171" ca="1">IF(AM$31&gt;$AL171,0,IF(ISERROR(INDEX($E171:$X171,,SMALL(IF($E171:$X171&gt;0,COLUMN($A:$T),""),AN$31))),0,INDEX($E171:$X171,,SMALL(IF($E171:$X171&gt;0,COLUMN($A:$T),""),AN$31))))</f>
        <v>9172.3693978426909</v>
      </c>
      <c r="AO171" s="5" t="str">
        <f t="array" aca="1" ref="AO171" ca="1">IF(AO$31&gt;$AL171,0,IF(ISERROR(OFFSET($E$31,0,SMALL(IF($E171:$X171&gt;0,COLUMN($A:$T),""),AO$31)-1)),0,OFFSET($E$31,0,SMALL(IF($E171:$X171&gt;0,COLUMN($A:$T),""),AO$31)-1)))</f>
        <v>防御</v>
      </c>
      <c r="AP171" s="5">
        <f t="array" aca="1" ref="AP171" ca="1">IF(AO$31&gt;$AL171,0,IF(ISERROR(INDEX($E171:$X171,,SMALL(IF($E171:$X171&gt;0,COLUMN($A:$T),""),AP$31))),0,INDEX($E171:$X171,,SMALL(IF($E171:$X171&gt;0,COLUMN($A:$T),""),AP$31))))</f>
        <v>201.32104429809363</v>
      </c>
      <c r="AQ171" s="5" t="str">
        <f t="array" aca="1" ref="AQ171" ca="1">IF(AQ$31&gt;$AL171,0,IF(ISERROR(OFFSET($E$31,0,SMALL(IF($E171:$X171&gt;0,COLUMN($A:$T),""),AQ$31)-1)),0,OFFSET($E$31,0,SMALL(IF($E171:$X171&gt;0,COLUMN($A:$T),""),AQ$31)-1)))</f>
        <v>生命</v>
      </c>
      <c r="AR171" s="5">
        <f t="array" aca="1" ref="AR171" ca="1">IF(AQ$31&gt;$AL171,0,IF(ISERROR(INDEX($E171:$X171,,SMALL(IF($E171:$X171&gt;0,COLUMN($A:$T),""),AR$31))),0,INDEX($E171:$X171,,SMALL(IF($E171:$X171&gt;0,COLUMN($A:$T),""),AR$31))))</f>
        <v>1132.3912836842828</v>
      </c>
      <c r="AS171" s="5" t="str">
        <f t="array" aca="1" ref="AS171" ca="1">IF(AS$31&gt;$AL171,0,IF(ISERROR(OFFSET($E$31,0,SMALL(IF($E171:$X171&gt;0,COLUMN($A:$T),""),AS$31)-1)),0,OFFSET($E$31,0,SMALL(IF($E171:$X171&gt;0,COLUMN($A:$T),""),AS$31)-1)))</f>
        <v>防御</v>
      </c>
      <c r="AT171" s="5">
        <f t="array" aca="1" ref="AT171" ca="1">IF(AS$31&gt;$AL171,0,IF(ISERROR(INDEX($E171:$X171,,SMALL(IF($E171:$X171&gt;0,COLUMN($A:$T),""),AT$31))),0,INDEX($E171:$X171,,SMALL(IF($E171:$X171&gt;0,COLUMN($A:$T),""),AT$31))))</f>
        <v>37.281674870017341</v>
      </c>
      <c r="AU171" s="5">
        <f t="array" aca="1" ref="AU171" ca="1">IF(AU$31&gt;$AL171,0,IF(ISERROR(OFFSET($E$31,0,SMALL(IF($E171:$X171&gt;0,COLUMN($A:$T),""),AU$31)-1)),0,OFFSET($E$31,0,SMALL(IF($E171:$X171&gt;0,COLUMN($A:$T),""),AU$31)-1)))</f>
        <v>0</v>
      </c>
      <c r="AV171" s="5">
        <f t="array" ref="AV171">IF(AU$31&gt;$AL171,0,IF(ISERROR(INDEX($E171:$X171,,SMALL(IF($E171:$X171&gt;0,COLUMN($A:$T),""),AV$31))),0,INDEX($E171:$X171,,SMALL(IF($E171:$X171&gt;0,COLUMN($A:$T),""),AV$31))))</f>
        <v>0</v>
      </c>
      <c r="AW171" s="5">
        <f t="array" aca="1" ref="AW171" ca="1">IF(AW$31&gt;$AL171,0,IF(ISERROR(OFFSET($E$31,0,SMALL(IF($E171:$X171&gt;0,COLUMN($A:$T),""),AW$31)-1)),0,OFFSET($E$31,0,SMALL(IF($E171:$X171&gt;0,COLUMN($A:$T),""),AW$31)-1)))</f>
        <v>0</v>
      </c>
      <c r="AX171" s="5">
        <f t="array" ref="AX171">IF(AW$31&gt;$AL171,0,IF(ISERROR(INDEX($E171:$X171,,SMALL(IF($E171:$X171&gt;0,COLUMN($A:$T),""),AX$31))),0,INDEX($E171:$X171,,SMALL(IF($E171:$X171&gt;0,COLUMN($A:$T),""),AX$31))))</f>
        <v>0</v>
      </c>
      <c r="AY171" s="5">
        <f t="array" aca="1" ref="AY171" ca="1">IF(AY$31&gt;$AL171,0,IF(ISERROR(OFFSET($E$31,0,SMALL(IF($E171:$X171&gt;0,COLUMN($A:$T),""),AY$31)-1)),0,OFFSET($E$31,0,SMALL(IF($E171:$X171&gt;0,COLUMN($A:$T),""),AY$31)-1)))</f>
        <v>0</v>
      </c>
      <c r="AZ171" s="5">
        <f t="array" ref="AZ171">IF(AY$31&gt;$AL171,0,IF(ISERROR(INDEX($E171:$X171,,SMALL(IF($E171:$X171&gt;0,COLUMN($A:$T),""),AZ$31))),0,INDEX($E171:$X171,,SMALL(IF($E171:$X171&gt;0,COLUMN($A:$T),""),AZ$31))))</f>
        <v>0</v>
      </c>
      <c r="BA171" s="5">
        <f t="array" aca="1" ref="BA171" ca="1">IF(BA$31&gt;$AL171,0,IF(ISERROR(OFFSET($E$31,0,SMALL(IF($E171:$X171&gt;0,COLUMN($A:$T),""),BA$31)-1)),0,OFFSET($E$31,0,SMALL(IF($E171:$X171&gt;0,COLUMN($A:$T),""),BA$31)-1)))</f>
        <v>0</v>
      </c>
      <c r="BB171" s="5">
        <f t="array" ref="BB171">IF(BA$31&gt;$AL171,0,IF(ISERROR(INDEX($E171:$X171,,SMALL(IF($E171:$X171&gt;0,COLUMN($A:$T),""),BB$31))),0,INDEX($E171:$X171,,SMALL(IF($E171:$X171&gt;0,COLUMN($A:$T),""),BB$31))))</f>
        <v>0</v>
      </c>
      <c r="BC171" s="5">
        <f t="array" aca="1" ref="BC171" ca="1">IF(BC$31&gt;$AL171,0,IF(ISERROR(OFFSET($E$31,0,SMALL(IF($E171:$X171&gt;0,COLUMN($A:$T),""),BC$31)-1)),0,OFFSET($E$31,0,SMALL(IF($E171:$X171&gt;0,COLUMN($A:$T),""),BC$31)-1)))</f>
        <v>0</v>
      </c>
      <c r="BD171" s="5">
        <f t="array" ref="BD171">IF(BC$31&gt;$AL171,0,IF(ISERROR(INDEX($E171:$X171,,SMALL(IF($E171:$X171&gt;0,COLUMN($A:$T),""),BD$31))),0,INDEX($E171:$X171,,SMALL(IF($E171:$X171&gt;0,COLUMN($A:$T),""),BD$31))))</f>
        <v>0</v>
      </c>
      <c r="BE171" s="5">
        <f t="array" aca="1" ref="BE171" ca="1">IF(BE$31&gt;$AL171,0,IF(ISERROR(OFFSET($E$31,0,SMALL(IF($E171:$X171&gt;0,COLUMN($A:$T),""),BE$31)-1)),0,OFFSET($E$31,0,SMALL(IF($E171:$X171&gt;0,COLUMN($A:$T),""),BE$31)-1)))</f>
        <v>0</v>
      </c>
      <c r="BF171" s="5">
        <f t="array" ref="BF171">IF(BE$31&gt;$AL171,0,IF(ISERROR(INDEX($E171:$X171,,SMALL(IF($E171:$X171&gt;0,COLUMN($A:$T),""),BF$31))),0,INDEX($E171:$X171,,SMALL(IF($E171:$X171&gt;0,COLUMN($A:$T),""),BF$31))))</f>
        <v>0</v>
      </c>
      <c r="BH171">
        <f ca="1">SUMPRODUCT(E171:N171,定义数据!$G$14:$P$14)</f>
        <v>568.2158202118012</v>
      </c>
      <c r="BI171">
        <f ca="1">SUMPRODUCT(O171:X171,定义数据!$G$14:$P$14)</f>
        <v>96.600474365536797</v>
      </c>
      <c r="BJ171" s="5">
        <f t="shared" ca="1" si="122"/>
        <v>664.816294577338</v>
      </c>
      <c r="BK171" s="5" t="str">
        <f>D171&amp;B171&amp;VLOOKUP(C171,定义数据!$E$1:$F$7,2,FALSE)</f>
        <v>8021</v>
      </c>
    </row>
    <row r="172" spans="1:63" x14ac:dyDescent="0.15">
      <c r="A172" s="17" t="str">
        <f>D172&amp;B172&amp;VLOOKUP(C172,定义数据!$E$1:$F$7,2,FALSE)</f>
        <v>8022</v>
      </c>
      <c r="B172" s="18">
        <v>2</v>
      </c>
      <c r="C172" s="18" t="s">
        <v>278</v>
      </c>
      <c r="D172" s="24">
        <v>80</v>
      </c>
      <c r="E172" s="56">
        <f t="shared" ca="1" si="111"/>
        <v>0</v>
      </c>
      <c r="F172" s="56">
        <f t="shared" ca="1" si="112"/>
        <v>0</v>
      </c>
      <c r="G172" s="56">
        <f t="shared" ca="1" si="113"/>
        <v>134.21402953206243</v>
      </c>
      <c r="H172" s="56">
        <f t="shared" ca="1" si="114"/>
        <v>203.12500000000003</v>
      </c>
      <c r="I172" s="56">
        <f t="shared" ca="1" si="115"/>
        <v>0</v>
      </c>
      <c r="J172" s="56">
        <f t="shared" ca="1" si="116"/>
        <v>0</v>
      </c>
      <c r="K172" s="56">
        <f t="shared" ca="1" si="117"/>
        <v>0</v>
      </c>
      <c r="L172" s="56">
        <f t="shared" ca="1" si="118"/>
        <v>0</v>
      </c>
      <c r="M172" s="56">
        <f t="shared" ca="1" si="119"/>
        <v>0</v>
      </c>
      <c r="N172" s="56">
        <f t="shared" ca="1" si="120"/>
        <v>0</v>
      </c>
      <c r="O172" s="65">
        <f t="shared" ca="1" si="123"/>
        <v>566.19564184214141</v>
      </c>
      <c r="P172" s="65">
        <f t="shared" ca="1" si="124"/>
        <v>0</v>
      </c>
      <c r="Q172" s="65">
        <f t="shared" ca="1" si="125"/>
        <v>12.427224956672447</v>
      </c>
      <c r="R172" s="65">
        <f t="shared" ca="1" si="126"/>
        <v>27.083333333333339</v>
      </c>
      <c r="S172" s="65">
        <f t="shared" ca="1" si="127"/>
        <v>0</v>
      </c>
      <c r="T172" s="65">
        <f t="shared" ca="1" si="128"/>
        <v>0</v>
      </c>
      <c r="U172" s="65">
        <f t="shared" ca="1" si="129"/>
        <v>0</v>
      </c>
      <c r="V172" s="65">
        <f t="shared" ca="1" si="130"/>
        <v>26.748971193415642</v>
      </c>
      <c r="W172" s="65">
        <f t="shared" ca="1" si="131"/>
        <v>0</v>
      </c>
      <c r="X172" s="65">
        <f t="shared" ca="1" si="132"/>
        <v>0</v>
      </c>
      <c r="Y172" s="21" t="s">
        <v>96</v>
      </c>
      <c r="Z172" s="15">
        <f>VLOOKUP($D172&amp;$B172,[3]!装备基础属性表,P$30,FALSE)</f>
        <v>16985.869255264242</v>
      </c>
      <c r="AA172" s="15">
        <f>VLOOKUP($D172&amp;$B172,[3]!装备基础属性表,Q$30,FALSE)</f>
        <v>862.76175401069543</v>
      </c>
      <c r="AB172" s="15">
        <f>VLOOKUP($D172&amp;$B172,[3]!装备基础属性表,R$30,FALSE)</f>
        <v>372.81674870017338</v>
      </c>
      <c r="AC172" s="15">
        <f>VLOOKUP($D172&amp;$B172,[3]!装备基础属性表,S$30,FALSE)</f>
        <v>677.08333333333337</v>
      </c>
      <c r="AD172" s="15">
        <f>VLOOKUP($D172&amp;$B172,[3]!装备基础属性表,T$30,FALSE)</f>
        <v>677.08333333333337</v>
      </c>
      <c r="AE172" s="15">
        <f>VLOOKUP($D172&amp;$B172,[3]!装备基础属性表,U$30,FALSE)</f>
        <v>401.23456790123458</v>
      </c>
      <c r="AF172" s="15">
        <f>VLOOKUP($D172&amp;$B172,[3]!装备基础属性表,V$30,FALSE)</f>
        <v>0</v>
      </c>
      <c r="AG172" s="15">
        <f>VLOOKUP($D172&amp;$B172,[3]!装备基础属性表,W$30,FALSE)</f>
        <v>401.23456790123458</v>
      </c>
      <c r="AH172" s="15">
        <f>VLOOKUP($D172&amp;$B172,[3]!装备基础属性表,X$30,FALSE)</f>
        <v>0</v>
      </c>
      <c r="AI172" s="15">
        <f>VLOOKUP($D172&amp;$B172,[3]!装备基础属性表,Y$30,FALSE)</f>
        <v>0</v>
      </c>
      <c r="AJ172" s="16" t="str">
        <f>B172&amp;VLOOKUP(C172,定义数据!$E$1:$F$7,2,FALSE)&amp;D172</f>
        <v>2280</v>
      </c>
      <c r="AK172" s="14">
        <f t="shared" si="29"/>
        <v>25</v>
      </c>
      <c r="AL172" s="5">
        <f t="shared" si="121"/>
        <v>4</v>
      </c>
      <c r="AM172" s="5" t="str">
        <f t="array" aca="1" ref="AM172" ca="1">IF(AM$31&gt;$AL172,0,IF(ISERROR(OFFSET($E$31,0,SMALL(IF($E172:$X172&gt;0,COLUMN($A:$T),""),AM$31)-1)),0,OFFSET($E$31,0,SMALL(IF($E172:$X172&gt;0,COLUMN($A:$T),""),AM$31)-1)))</f>
        <v>防御</v>
      </c>
      <c r="AN172" s="5">
        <f t="array" aca="1" ref="AN172" ca="1">IF(AM$31&gt;$AL172,0,IF(ISERROR(INDEX($E172:$X172,,SMALL(IF($E172:$X172&gt;0,COLUMN($A:$T),""),AN$31))),0,INDEX($E172:$X172,,SMALL(IF($E172:$X172&gt;0,COLUMN($A:$T),""),AN$31))))</f>
        <v>134.21402953206243</v>
      </c>
      <c r="AO172" s="5" t="str">
        <f t="array" aca="1" ref="AO172" ca="1">IF(AO$31&gt;$AL172,0,IF(ISERROR(OFFSET($E$31,0,SMALL(IF($E172:$X172&gt;0,COLUMN($A:$T),""),AO$31)-1)),0,OFFSET($E$31,0,SMALL(IF($E172:$X172&gt;0,COLUMN($A:$T),""),AO$31)-1)))</f>
        <v>闪避值</v>
      </c>
      <c r="AP172" s="5">
        <f t="array" aca="1" ref="AP172" ca="1">IF(AO$31&gt;$AL172,0,IF(ISERROR(INDEX($E172:$X172,,SMALL(IF($E172:$X172&gt;0,COLUMN($A:$T),""),AP$31))),0,INDEX($E172:$X172,,SMALL(IF($E172:$X172&gt;0,COLUMN($A:$T),""),AP$31))))</f>
        <v>203.12500000000003</v>
      </c>
      <c r="AQ172" s="5" t="str">
        <f t="array" aca="1" ref="AQ172" ca="1">IF(AQ$31&gt;$AL172,0,IF(ISERROR(OFFSET($E$31,0,SMALL(IF($E172:$X172&gt;0,COLUMN($A:$T),""),AQ$31)-1)),0,OFFSET($E$31,0,SMALL(IF($E172:$X172&gt;0,COLUMN($A:$T),""),AQ$31)-1)))</f>
        <v>生命</v>
      </c>
      <c r="AR172" s="5">
        <f t="array" aca="1" ref="AR172" ca="1">IF(AQ$31&gt;$AL172,0,IF(ISERROR(INDEX($E172:$X172,,SMALL(IF($E172:$X172&gt;0,COLUMN($A:$T),""),AR$31))),0,INDEX($E172:$X172,,SMALL(IF($E172:$X172&gt;0,COLUMN($A:$T),""),AR$31))))</f>
        <v>566.19564184214141</v>
      </c>
      <c r="AS172" s="5" t="str">
        <f t="array" aca="1" ref="AS172" ca="1">IF(AS$31&gt;$AL172,0,IF(ISERROR(OFFSET($E$31,0,SMALL(IF($E172:$X172&gt;0,COLUMN($A:$T),""),AS$31)-1)),0,OFFSET($E$31,0,SMALL(IF($E172:$X172&gt;0,COLUMN($A:$T),""),AS$31)-1)))</f>
        <v>防御</v>
      </c>
      <c r="AT172" s="5">
        <f t="array" aca="1" ref="AT172" ca="1">IF(AS$31&gt;$AL172,0,IF(ISERROR(INDEX($E172:$X172,,SMALL(IF($E172:$X172&gt;0,COLUMN($A:$T),""),AT$31))),0,INDEX($E172:$X172,,SMALL(IF($E172:$X172&gt;0,COLUMN($A:$T),""),AT$31))))</f>
        <v>12.427224956672447</v>
      </c>
      <c r="AU172" s="5">
        <f t="array" aca="1" ref="AU172" ca="1">IF(AU$31&gt;$AL172,0,IF(ISERROR(OFFSET($E$31,0,SMALL(IF($E172:$X172&gt;0,COLUMN($A:$T),""),AU$31)-1)),0,OFFSET($E$31,0,SMALL(IF($E172:$X172&gt;0,COLUMN($A:$T),""),AU$31)-1)))</f>
        <v>0</v>
      </c>
      <c r="AV172" s="5">
        <f t="array" ref="AV172">IF(AU$31&gt;$AL172,0,IF(ISERROR(INDEX($E172:$X172,,SMALL(IF($E172:$X172&gt;0,COLUMN($A:$T),""),AV$31))),0,INDEX($E172:$X172,,SMALL(IF($E172:$X172&gt;0,COLUMN($A:$T),""),AV$31))))</f>
        <v>0</v>
      </c>
      <c r="AW172" s="5">
        <f t="array" aca="1" ref="AW172" ca="1">IF(AW$31&gt;$AL172,0,IF(ISERROR(OFFSET($E$31,0,SMALL(IF($E172:$X172&gt;0,COLUMN($A:$T),""),AW$31)-1)),0,OFFSET($E$31,0,SMALL(IF($E172:$X172&gt;0,COLUMN($A:$T),""),AW$31)-1)))</f>
        <v>0</v>
      </c>
      <c r="AX172" s="5">
        <f t="array" ref="AX172">IF(AW$31&gt;$AL172,0,IF(ISERROR(INDEX($E172:$X172,,SMALL(IF($E172:$X172&gt;0,COLUMN($A:$T),""),AX$31))),0,INDEX($E172:$X172,,SMALL(IF($E172:$X172&gt;0,COLUMN($A:$T),""),AX$31))))</f>
        <v>0</v>
      </c>
      <c r="AY172" s="5">
        <f t="array" aca="1" ref="AY172" ca="1">IF(AY$31&gt;$AL172,0,IF(ISERROR(OFFSET($E$31,0,SMALL(IF($E172:$X172&gt;0,COLUMN($A:$T),""),AY$31)-1)),0,OFFSET($E$31,0,SMALL(IF($E172:$X172&gt;0,COLUMN($A:$T),""),AY$31)-1)))</f>
        <v>0</v>
      </c>
      <c r="AZ172" s="5">
        <f t="array" ref="AZ172">IF(AY$31&gt;$AL172,0,IF(ISERROR(INDEX($E172:$X172,,SMALL(IF($E172:$X172&gt;0,COLUMN($A:$T),""),AZ$31))),0,INDEX($E172:$X172,,SMALL(IF($E172:$X172&gt;0,COLUMN($A:$T),""),AZ$31))))</f>
        <v>0</v>
      </c>
      <c r="BA172" s="5">
        <f t="array" aca="1" ref="BA172" ca="1">IF(BA$31&gt;$AL172,0,IF(ISERROR(OFFSET($E$31,0,SMALL(IF($E172:$X172&gt;0,COLUMN($A:$T),""),BA$31)-1)),0,OFFSET($E$31,0,SMALL(IF($E172:$X172&gt;0,COLUMN($A:$T),""),BA$31)-1)))</f>
        <v>0</v>
      </c>
      <c r="BB172" s="5">
        <f t="array" ref="BB172">IF(BA$31&gt;$AL172,0,IF(ISERROR(INDEX($E172:$X172,,SMALL(IF($E172:$X172&gt;0,COLUMN($A:$T),""),BB$31))),0,INDEX($E172:$X172,,SMALL(IF($E172:$X172&gt;0,COLUMN($A:$T),""),BB$31))))</f>
        <v>0</v>
      </c>
      <c r="BC172" s="5">
        <f t="array" aca="1" ref="BC172" ca="1">IF(BC$31&gt;$AL172,0,IF(ISERROR(OFFSET($E$31,0,SMALL(IF($E172:$X172&gt;0,COLUMN($A:$T),""),BC$31)-1)),0,OFFSET($E$31,0,SMALL(IF($E172:$X172&gt;0,COLUMN($A:$T),""),BC$31)-1)))</f>
        <v>0</v>
      </c>
      <c r="BD172" s="5">
        <f t="array" ref="BD172">IF(BC$31&gt;$AL172,0,IF(ISERROR(INDEX($E172:$X172,,SMALL(IF($E172:$X172&gt;0,COLUMN($A:$T),""),BD$31))),0,INDEX($E172:$X172,,SMALL(IF($E172:$X172&gt;0,COLUMN($A:$T),""),BD$31))))</f>
        <v>0</v>
      </c>
      <c r="BE172" s="5">
        <f t="array" aca="1" ref="BE172" ca="1">IF(BE$31&gt;$AL172,0,IF(ISERROR(OFFSET($E$31,0,SMALL(IF($E172:$X172&gt;0,COLUMN($A:$T),""),BE$31)-1)),0,OFFSET($E$31,0,SMALL(IF($E172:$X172&gt;0,COLUMN($A:$T),""),BE$31)-1)))</f>
        <v>0</v>
      </c>
      <c r="BF172" s="5">
        <f t="array" ref="BF172">IF(BE$31&gt;$AL172,0,IF(ISERROR(INDEX($E172:$X172,,SMALL(IF($E172:$X172&gt;0,COLUMN($A:$T),""),BF$31))),0,INDEX($E172:$X172,,SMALL(IF($E172:$X172&gt;0,COLUMN($A:$T),""),BF$31))))</f>
        <v>0</v>
      </c>
      <c r="BH172">
        <f ca="1">SUMPRODUCT(E172:N172,定义数据!$G$14:$P$14)</f>
        <v>203.27652953206245</v>
      </c>
      <c r="BI172">
        <f ca="1">SUMPRODUCT(O172:X172,定义数据!$G$14:$P$14)</f>
        <v>49.098198778506259</v>
      </c>
      <c r="BJ172" s="5">
        <f t="shared" ca="1" si="122"/>
        <v>252.37472831056871</v>
      </c>
      <c r="BK172" s="5" t="str">
        <f>D172&amp;B172&amp;VLOOKUP(C172,定义数据!$E$1:$F$7,2,FALSE)</f>
        <v>8022</v>
      </c>
    </row>
    <row r="173" spans="1:63" x14ac:dyDescent="0.15">
      <c r="A173" s="17" t="str">
        <f>D173&amp;B173&amp;VLOOKUP(C173,定义数据!$E$1:$F$7,2,FALSE)</f>
        <v>8025</v>
      </c>
      <c r="B173" s="18">
        <v>2</v>
      </c>
      <c r="C173" s="18" t="s">
        <v>279</v>
      </c>
      <c r="D173" s="24">
        <v>80</v>
      </c>
      <c r="E173" s="56">
        <f t="shared" ca="1" si="111"/>
        <v>3057.4564659475636</v>
      </c>
      <c r="F173" s="56">
        <f t="shared" ca="1" si="112"/>
        <v>0</v>
      </c>
      <c r="G173" s="56">
        <f t="shared" ca="1" si="113"/>
        <v>0</v>
      </c>
      <c r="H173" s="56">
        <f t="shared" ca="1" si="114"/>
        <v>406.25000000000006</v>
      </c>
      <c r="I173" s="56">
        <f t="shared" ca="1" si="115"/>
        <v>0</v>
      </c>
      <c r="J173" s="56">
        <f t="shared" ca="1" si="116"/>
        <v>0</v>
      </c>
      <c r="K173" s="56">
        <f t="shared" ca="1" si="117"/>
        <v>0</v>
      </c>
      <c r="L173" s="56">
        <f t="shared" ca="1" si="118"/>
        <v>0</v>
      </c>
      <c r="M173" s="56">
        <f t="shared" ca="1" si="119"/>
        <v>0</v>
      </c>
      <c r="N173" s="56">
        <f t="shared" ca="1" si="120"/>
        <v>0</v>
      </c>
      <c r="O173" s="65">
        <f t="shared" ca="1" si="123"/>
        <v>566.19564184214141</v>
      </c>
      <c r="P173" s="65">
        <f t="shared" ca="1" si="124"/>
        <v>0</v>
      </c>
      <c r="Q173" s="65">
        <f t="shared" ca="1" si="125"/>
        <v>0</v>
      </c>
      <c r="R173" s="65">
        <f t="shared" ca="1" si="126"/>
        <v>54.166666666666679</v>
      </c>
      <c r="S173" s="65">
        <f t="shared" ca="1" si="127"/>
        <v>45.138888888888893</v>
      </c>
      <c r="T173" s="65">
        <f t="shared" ca="1" si="128"/>
        <v>16.049382716049386</v>
      </c>
      <c r="U173" s="65">
        <f t="shared" ca="1" si="129"/>
        <v>0</v>
      </c>
      <c r="V173" s="65">
        <f t="shared" ca="1" si="130"/>
        <v>0</v>
      </c>
      <c r="W173" s="65">
        <f t="shared" ca="1" si="131"/>
        <v>0</v>
      </c>
      <c r="X173" s="65">
        <f t="shared" ca="1" si="132"/>
        <v>0</v>
      </c>
      <c r="Y173" s="21"/>
      <c r="Z173" s="15">
        <f>VLOOKUP($D173&amp;$B173,[3]!装备基础属性表,P$30,FALSE)</f>
        <v>16985.869255264242</v>
      </c>
      <c r="AA173" s="15">
        <f>VLOOKUP($D173&amp;$B173,[3]!装备基础属性表,Q$30,FALSE)</f>
        <v>862.76175401069543</v>
      </c>
      <c r="AB173" s="15">
        <f>VLOOKUP($D173&amp;$B173,[3]!装备基础属性表,R$30,FALSE)</f>
        <v>372.81674870017338</v>
      </c>
      <c r="AC173" s="15">
        <f>VLOOKUP($D173&amp;$B173,[3]!装备基础属性表,S$30,FALSE)</f>
        <v>677.08333333333337</v>
      </c>
      <c r="AD173" s="15">
        <f>VLOOKUP($D173&amp;$B173,[3]!装备基础属性表,T$30,FALSE)</f>
        <v>677.08333333333337</v>
      </c>
      <c r="AE173" s="15">
        <f>VLOOKUP($D173&amp;$B173,[3]!装备基础属性表,U$30,FALSE)</f>
        <v>401.23456790123458</v>
      </c>
      <c r="AF173" s="15">
        <f>VLOOKUP($D173&amp;$B173,[3]!装备基础属性表,V$30,FALSE)</f>
        <v>0</v>
      </c>
      <c r="AG173" s="15">
        <f>VLOOKUP($D173&amp;$B173,[3]!装备基础属性表,W$30,FALSE)</f>
        <v>401.23456790123458</v>
      </c>
      <c r="AH173" s="15">
        <f>VLOOKUP($D173&amp;$B173,[3]!装备基础属性表,X$30,FALSE)</f>
        <v>0</v>
      </c>
      <c r="AI173" s="15">
        <f>VLOOKUP($D173&amp;$B173,[3]!装备基础属性表,Y$30,FALSE)</f>
        <v>0</v>
      </c>
      <c r="AJ173" s="16" t="str">
        <f>B173&amp;VLOOKUP(C173,定义数据!$E$1:$F$7,2,FALSE)&amp;D173</f>
        <v>2580</v>
      </c>
      <c r="AK173" s="14">
        <f t="shared" si="29"/>
        <v>25</v>
      </c>
      <c r="AL173" s="5">
        <f t="shared" si="121"/>
        <v>4</v>
      </c>
      <c r="AM173" s="5" t="str">
        <f t="array" aca="1" ref="AM173" ca="1">IF(AM$31&gt;$AL173,0,IF(ISERROR(OFFSET($E$31,0,SMALL(IF($E173:$X173&gt;0,COLUMN($A:$T),""),AM$31)-1)),0,OFFSET($E$31,0,SMALL(IF($E173:$X173&gt;0,COLUMN($A:$T),""),AM$31)-1)))</f>
        <v>生命</v>
      </c>
      <c r="AN173" s="5">
        <f t="array" aca="1" ref="AN173" ca="1">IF(AM$31&gt;$AL173,0,IF(ISERROR(INDEX($E173:$X173,,SMALL(IF($E173:$X173&gt;0,COLUMN($A:$T),""),AN$31))),0,INDEX($E173:$X173,,SMALL(IF($E173:$X173&gt;0,COLUMN($A:$T),""),AN$31))))</f>
        <v>3057.4564659475636</v>
      </c>
      <c r="AO173" s="5" t="str">
        <f t="array" aca="1" ref="AO173" ca="1">IF(AO$31&gt;$AL173,0,IF(ISERROR(OFFSET($E$31,0,SMALL(IF($E173:$X173&gt;0,COLUMN($A:$T),""),AO$31)-1)),0,OFFSET($E$31,0,SMALL(IF($E173:$X173&gt;0,COLUMN($A:$T),""),AO$31)-1)))</f>
        <v>闪避值</v>
      </c>
      <c r="AP173" s="5">
        <f t="array" aca="1" ref="AP173" ca="1">IF(AO$31&gt;$AL173,0,IF(ISERROR(INDEX($E173:$X173,,SMALL(IF($E173:$X173&gt;0,COLUMN($A:$T),""),AP$31))),0,INDEX($E173:$X173,,SMALL(IF($E173:$X173&gt;0,COLUMN($A:$T),""),AP$31))))</f>
        <v>406.25000000000006</v>
      </c>
      <c r="AQ173" s="5" t="str">
        <f t="array" aca="1" ref="AQ173" ca="1">IF(AQ$31&gt;$AL173,0,IF(ISERROR(OFFSET($E$31,0,SMALL(IF($E173:$X173&gt;0,COLUMN($A:$T),""),AQ$31)-1)),0,OFFSET($E$31,0,SMALL(IF($E173:$X173&gt;0,COLUMN($A:$T),""),AQ$31)-1)))</f>
        <v>生命</v>
      </c>
      <c r="AR173" s="5">
        <f t="array" aca="1" ref="AR173" ca="1">IF(AQ$31&gt;$AL173,0,IF(ISERROR(INDEX($E173:$X173,,SMALL(IF($E173:$X173&gt;0,COLUMN($A:$T),""),AR$31))),0,INDEX($E173:$X173,,SMALL(IF($E173:$X173&gt;0,COLUMN($A:$T),""),AR$31))))</f>
        <v>566.19564184214141</v>
      </c>
      <c r="AS173" s="5" t="str">
        <f t="array" aca="1" ref="AS173" ca="1">IF(AS$31&gt;$AL173,0,IF(ISERROR(OFFSET($E$31,0,SMALL(IF($E173:$X173&gt;0,COLUMN($A:$T),""),AS$31)-1)),0,OFFSET($E$31,0,SMALL(IF($E173:$X173&gt;0,COLUMN($A:$T),""),AS$31)-1)))</f>
        <v>闪避值</v>
      </c>
      <c r="AT173" s="5">
        <f t="array" aca="1" ref="AT173" ca="1">IF(AS$31&gt;$AL173,0,IF(ISERROR(INDEX($E173:$X173,,SMALL(IF($E173:$X173&gt;0,COLUMN($A:$T),""),AT$31))),0,INDEX($E173:$X173,,SMALL(IF($E173:$X173&gt;0,COLUMN($A:$T),""),AT$31))))</f>
        <v>54.166666666666679</v>
      </c>
      <c r="AU173" s="5">
        <f t="array" aca="1" ref="AU173" ca="1">IF(AU$31&gt;$AL173,0,IF(ISERROR(OFFSET($E$31,0,SMALL(IF($E173:$X173&gt;0,COLUMN($A:$T),""),AU$31)-1)),0,OFFSET($E$31,0,SMALL(IF($E173:$X173&gt;0,COLUMN($A:$T),""),AU$31)-1)))</f>
        <v>0</v>
      </c>
      <c r="AV173" s="5">
        <f t="array" ref="AV173">IF(AU$31&gt;$AL173,0,IF(ISERROR(INDEX($E173:$X173,,SMALL(IF($E173:$X173&gt;0,COLUMN($A:$T),""),AV$31))),0,INDEX($E173:$X173,,SMALL(IF($E173:$X173&gt;0,COLUMN($A:$T),""),AV$31))))</f>
        <v>0</v>
      </c>
      <c r="AW173" s="5">
        <f t="array" aca="1" ref="AW173" ca="1">IF(AW$31&gt;$AL173,0,IF(ISERROR(OFFSET($E$31,0,SMALL(IF($E173:$X173&gt;0,COLUMN($A:$T),""),AW$31)-1)),0,OFFSET($E$31,0,SMALL(IF($E173:$X173&gt;0,COLUMN($A:$T),""),AW$31)-1)))</f>
        <v>0</v>
      </c>
      <c r="AX173" s="5">
        <f t="array" ref="AX173">IF(AW$31&gt;$AL173,0,IF(ISERROR(INDEX($E173:$X173,,SMALL(IF($E173:$X173&gt;0,COLUMN($A:$T),""),AX$31))),0,INDEX($E173:$X173,,SMALL(IF($E173:$X173&gt;0,COLUMN($A:$T),""),AX$31))))</f>
        <v>0</v>
      </c>
      <c r="AY173" s="5">
        <f t="array" aca="1" ref="AY173" ca="1">IF(AY$31&gt;$AL173,0,IF(ISERROR(OFFSET($E$31,0,SMALL(IF($E173:$X173&gt;0,COLUMN($A:$T),""),AY$31)-1)),0,OFFSET($E$31,0,SMALL(IF($E173:$X173&gt;0,COLUMN($A:$T),""),AY$31)-1)))</f>
        <v>0</v>
      </c>
      <c r="AZ173" s="5">
        <f t="array" ref="AZ173">IF(AY$31&gt;$AL173,0,IF(ISERROR(INDEX($E173:$X173,,SMALL(IF($E173:$X173&gt;0,COLUMN($A:$T),""),AZ$31))),0,INDEX($E173:$X173,,SMALL(IF($E173:$X173&gt;0,COLUMN($A:$T),""),AZ$31))))</f>
        <v>0</v>
      </c>
      <c r="BA173" s="5">
        <f t="array" aca="1" ref="BA173" ca="1">IF(BA$31&gt;$AL173,0,IF(ISERROR(OFFSET($E$31,0,SMALL(IF($E173:$X173&gt;0,COLUMN($A:$T),""),BA$31)-1)),0,OFFSET($E$31,0,SMALL(IF($E173:$X173&gt;0,COLUMN($A:$T),""),BA$31)-1)))</f>
        <v>0</v>
      </c>
      <c r="BB173" s="5">
        <f t="array" ref="BB173">IF(BA$31&gt;$AL173,0,IF(ISERROR(INDEX($E173:$X173,,SMALL(IF($E173:$X173&gt;0,COLUMN($A:$T),""),BB$31))),0,INDEX($E173:$X173,,SMALL(IF($E173:$X173&gt;0,COLUMN($A:$T),""),BB$31))))</f>
        <v>0</v>
      </c>
      <c r="BC173" s="5">
        <f t="array" aca="1" ref="BC173" ca="1">IF(BC$31&gt;$AL173,0,IF(ISERROR(OFFSET($E$31,0,SMALL(IF($E173:$X173&gt;0,COLUMN($A:$T),""),BC$31)-1)),0,OFFSET($E$31,0,SMALL(IF($E173:$X173&gt;0,COLUMN($A:$T),""),BC$31)-1)))</f>
        <v>0</v>
      </c>
      <c r="BD173" s="5">
        <f t="array" ref="BD173">IF(BC$31&gt;$AL173,0,IF(ISERROR(INDEX($E173:$X173,,SMALL(IF($E173:$X173&gt;0,COLUMN($A:$T),""),BD$31))),0,INDEX($E173:$X173,,SMALL(IF($E173:$X173&gt;0,COLUMN($A:$T),""),BD$31))))</f>
        <v>0</v>
      </c>
      <c r="BE173" s="5">
        <f t="array" aca="1" ref="BE173" ca="1">IF(BE$31&gt;$AL173,0,IF(ISERROR(OFFSET($E$31,0,SMALL(IF($E173:$X173&gt;0,COLUMN($A:$T),""),BE$31)-1)),0,OFFSET($E$31,0,SMALL(IF($E173:$X173&gt;0,COLUMN($A:$T),""),BE$31)-1)))</f>
        <v>0</v>
      </c>
      <c r="BF173" s="5">
        <f t="array" ref="BF173">IF(BE$31&gt;$AL173,0,IF(ISERROR(INDEX($E173:$X173,,SMALL(IF($E173:$X173&gt;0,COLUMN($A:$T),""),BF$31))),0,INDEX($E173:$X173,,SMALL(IF($E173:$X173&gt;0,COLUMN($A:$T),""),BF$31))))</f>
        <v>0</v>
      </c>
      <c r="BH173">
        <f ca="1">SUMPRODUCT(E173:N173,定义数据!$G$14:$P$14)</f>
        <v>260.42325863790256</v>
      </c>
      <c r="BI173">
        <f ca="1">SUMPRODUCT(O173:X173,定义数据!$G$14:$P$14)</f>
        <v>59.300603451463445</v>
      </c>
      <c r="BJ173" s="5">
        <f t="shared" ca="1" si="122"/>
        <v>319.72386208936598</v>
      </c>
      <c r="BK173" s="5" t="str">
        <f>D173&amp;B173&amp;VLOOKUP(C173,定义数据!$E$1:$F$7,2,FALSE)</f>
        <v>8025</v>
      </c>
    </row>
    <row r="174" spans="1:63" x14ac:dyDescent="0.15">
      <c r="A174" s="17" t="str">
        <f>D174&amp;B174&amp;VLOOKUP(C174,定义数据!$E$1:$F$7,2,FALSE)</f>
        <v>8024</v>
      </c>
      <c r="B174" s="18">
        <v>2</v>
      </c>
      <c r="C174" s="18" t="s">
        <v>280</v>
      </c>
      <c r="D174" s="24">
        <v>80</v>
      </c>
      <c r="E174" s="56">
        <f t="shared" ca="1" si="111"/>
        <v>3057.4564659475636</v>
      </c>
      <c r="F174" s="56">
        <f t="shared" ca="1" si="112"/>
        <v>0</v>
      </c>
      <c r="G174" s="56">
        <f t="shared" ca="1" si="113"/>
        <v>0</v>
      </c>
      <c r="H174" s="56">
        <f t="shared" ca="1" si="114"/>
        <v>0</v>
      </c>
      <c r="I174" s="56">
        <f t="shared" ca="1" si="115"/>
        <v>0</v>
      </c>
      <c r="J174" s="56">
        <f t="shared" ca="1" si="116"/>
        <v>0</v>
      </c>
      <c r="K174" s="56">
        <f t="shared" ca="1" si="117"/>
        <v>0</v>
      </c>
      <c r="L174" s="56">
        <f t="shared" ca="1" si="118"/>
        <v>361.11111111111114</v>
      </c>
      <c r="M174" s="56">
        <f t="shared" ca="1" si="119"/>
        <v>0</v>
      </c>
      <c r="N174" s="56">
        <f t="shared" ca="1" si="120"/>
        <v>0</v>
      </c>
      <c r="O174" s="65">
        <f t="shared" ca="1" si="123"/>
        <v>1132.3912836842828</v>
      </c>
      <c r="P174" s="65">
        <f t="shared" ca="1" si="124"/>
        <v>34.510470160427822</v>
      </c>
      <c r="Q174" s="65">
        <f t="shared" ca="1" si="125"/>
        <v>12.427224956672447</v>
      </c>
      <c r="R174" s="65">
        <f t="shared" ca="1" si="126"/>
        <v>0</v>
      </c>
      <c r="S174" s="65">
        <f t="shared" ca="1" si="127"/>
        <v>0</v>
      </c>
      <c r="T174" s="65">
        <f t="shared" ca="1" si="128"/>
        <v>0</v>
      </c>
      <c r="U174" s="65">
        <f t="shared" ca="1" si="129"/>
        <v>0</v>
      </c>
      <c r="V174" s="65">
        <f t="shared" ca="1" si="130"/>
        <v>26.748971193415642</v>
      </c>
      <c r="W174" s="65">
        <f t="shared" ca="1" si="131"/>
        <v>0</v>
      </c>
      <c r="X174" s="65">
        <f t="shared" ca="1" si="132"/>
        <v>0</v>
      </c>
      <c r="Y174" s="21"/>
      <c r="Z174" s="15">
        <f>VLOOKUP($D174&amp;$B174,[3]!装备基础属性表,P$30,FALSE)</f>
        <v>16985.869255264242</v>
      </c>
      <c r="AA174" s="15">
        <f>VLOOKUP($D174&amp;$B174,[3]!装备基础属性表,Q$30,FALSE)</f>
        <v>862.76175401069543</v>
      </c>
      <c r="AB174" s="15">
        <f>VLOOKUP($D174&amp;$B174,[3]!装备基础属性表,R$30,FALSE)</f>
        <v>372.81674870017338</v>
      </c>
      <c r="AC174" s="15">
        <f>VLOOKUP($D174&amp;$B174,[3]!装备基础属性表,S$30,FALSE)</f>
        <v>677.08333333333337</v>
      </c>
      <c r="AD174" s="15">
        <f>VLOOKUP($D174&amp;$B174,[3]!装备基础属性表,T$30,FALSE)</f>
        <v>677.08333333333337</v>
      </c>
      <c r="AE174" s="15">
        <f>VLOOKUP($D174&amp;$B174,[3]!装备基础属性表,U$30,FALSE)</f>
        <v>401.23456790123458</v>
      </c>
      <c r="AF174" s="15">
        <f>VLOOKUP($D174&amp;$B174,[3]!装备基础属性表,V$30,FALSE)</f>
        <v>0</v>
      </c>
      <c r="AG174" s="15">
        <f>VLOOKUP($D174&amp;$B174,[3]!装备基础属性表,W$30,FALSE)</f>
        <v>401.23456790123458</v>
      </c>
      <c r="AH174" s="15">
        <f>VLOOKUP($D174&amp;$B174,[3]!装备基础属性表,X$30,FALSE)</f>
        <v>0</v>
      </c>
      <c r="AI174" s="15">
        <f>VLOOKUP($D174&amp;$B174,[3]!装备基础属性表,Y$30,FALSE)</f>
        <v>0</v>
      </c>
      <c r="AJ174" s="16" t="str">
        <f>B174&amp;VLOOKUP(C174,定义数据!$E$1:$F$7,2,FALSE)&amp;D174</f>
        <v>2480</v>
      </c>
      <c r="AK174" s="14">
        <f t="shared" si="29"/>
        <v>25</v>
      </c>
      <c r="AL174" s="5">
        <f t="shared" si="121"/>
        <v>4</v>
      </c>
      <c r="AM174" s="5" t="str">
        <f t="array" aca="1" ref="AM174" ca="1">IF(AM$31&gt;$AL174,0,IF(ISERROR(OFFSET($E$31,0,SMALL(IF($E174:$X174&gt;0,COLUMN($A:$T),""),AM$31)-1)),0,OFFSET($E$31,0,SMALL(IF($E174:$X174&gt;0,COLUMN($A:$T),""),AM$31)-1)))</f>
        <v>生命</v>
      </c>
      <c r="AN174" s="5">
        <f t="array" aca="1" ref="AN174" ca="1">IF(AM$31&gt;$AL174,0,IF(ISERROR(INDEX($E174:$X174,,SMALL(IF($E174:$X174&gt;0,COLUMN($A:$T),""),AN$31))),0,INDEX($E174:$X174,,SMALL(IF($E174:$X174&gt;0,COLUMN($A:$T),""),AN$31))))</f>
        <v>3057.4564659475636</v>
      </c>
      <c r="AO174" s="5" t="str">
        <f t="array" aca="1" ref="AO174" ca="1">IF(AO$31&gt;$AL174,0,IF(ISERROR(OFFSET($E$31,0,SMALL(IF($E174:$X174&gt;0,COLUMN($A:$T),""),AO$31)-1)),0,OFFSET($E$31,0,SMALL(IF($E174:$X174&gt;0,COLUMN($A:$T),""),AO$31)-1)))</f>
        <v>韧性值</v>
      </c>
      <c r="AP174" s="5">
        <f t="array" aca="1" ref="AP174" ca="1">IF(AO$31&gt;$AL174,0,IF(ISERROR(INDEX($E174:$X174,,SMALL(IF($E174:$X174&gt;0,COLUMN($A:$T),""),AP$31))),0,INDEX($E174:$X174,,SMALL(IF($E174:$X174&gt;0,COLUMN($A:$T),""),AP$31))))</f>
        <v>361.11111111111114</v>
      </c>
      <c r="AQ174" s="5" t="str">
        <f t="array" aca="1" ref="AQ174" ca="1">IF(AQ$31&gt;$AL174,0,IF(ISERROR(OFFSET($E$31,0,SMALL(IF($E174:$X174&gt;0,COLUMN($A:$T),""),AQ$31)-1)),0,OFFSET($E$31,0,SMALL(IF($E174:$X174&gt;0,COLUMN($A:$T),""),AQ$31)-1)))</f>
        <v>生命</v>
      </c>
      <c r="AR174" s="5">
        <f t="array" aca="1" ref="AR174" ca="1">IF(AQ$31&gt;$AL174,0,IF(ISERROR(INDEX($E174:$X174,,SMALL(IF($E174:$X174&gt;0,COLUMN($A:$T),""),AR$31))),0,INDEX($E174:$X174,,SMALL(IF($E174:$X174&gt;0,COLUMN($A:$T),""),AR$31))))</f>
        <v>1132.3912836842828</v>
      </c>
      <c r="AS174" s="5" t="str">
        <f t="array" aca="1" ref="AS174" ca="1">IF(AS$31&gt;$AL174,0,IF(ISERROR(OFFSET($E$31,0,SMALL(IF($E174:$X174&gt;0,COLUMN($A:$T),""),AS$31)-1)),0,OFFSET($E$31,0,SMALL(IF($E174:$X174&gt;0,COLUMN($A:$T),""),AS$31)-1)))</f>
        <v>攻击</v>
      </c>
      <c r="AT174" s="5">
        <f t="array" aca="1" ref="AT174" ca="1">IF(AS$31&gt;$AL174,0,IF(ISERROR(INDEX($E174:$X174,,SMALL(IF($E174:$X174&gt;0,COLUMN($A:$T),""),AT$31))),0,INDEX($E174:$X174,,SMALL(IF($E174:$X174&gt;0,COLUMN($A:$T),""),AT$31))))</f>
        <v>34.510470160427822</v>
      </c>
      <c r="AU174" s="5">
        <f t="array" aca="1" ref="AU174" ca="1">IF(AU$31&gt;$AL174,0,IF(ISERROR(OFFSET($E$31,0,SMALL(IF($E174:$X174&gt;0,COLUMN($A:$T),""),AU$31)-1)),0,OFFSET($E$31,0,SMALL(IF($E174:$X174&gt;0,COLUMN($A:$T),""),AU$31)-1)))</f>
        <v>0</v>
      </c>
      <c r="AV174" s="5">
        <f t="array" ref="AV174">IF(AU$31&gt;$AL174,0,IF(ISERROR(INDEX($E174:$X174,,SMALL(IF($E174:$X174&gt;0,COLUMN($A:$T),""),AV$31))),0,INDEX($E174:$X174,,SMALL(IF($E174:$X174&gt;0,COLUMN($A:$T),""),AV$31))))</f>
        <v>0</v>
      </c>
      <c r="AW174" s="5">
        <f t="array" aca="1" ref="AW174" ca="1">IF(AW$31&gt;$AL174,0,IF(ISERROR(OFFSET($E$31,0,SMALL(IF($E174:$X174&gt;0,COLUMN($A:$T),""),AW$31)-1)),0,OFFSET($E$31,0,SMALL(IF($E174:$X174&gt;0,COLUMN($A:$T),""),AW$31)-1)))</f>
        <v>0</v>
      </c>
      <c r="AX174" s="5">
        <f t="array" ref="AX174">IF(AW$31&gt;$AL174,0,IF(ISERROR(INDEX($E174:$X174,,SMALL(IF($E174:$X174&gt;0,COLUMN($A:$T),""),AX$31))),0,INDEX($E174:$X174,,SMALL(IF($E174:$X174&gt;0,COLUMN($A:$T),""),AX$31))))</f>
        <v>0</v>
      </c>
      <c r="AY174" s="5">
        <f t="array" aca="1" ref="AY174" ca="1">IF(AY$31&gt;$AL174,0,IF(ISERROR(OFFSET($E$31,0,SMALL(IF($E174:$X174&gt;0,COLUMN($A:$T),""),AY$31)-1)),0,OFFSET($E$31,0,SMALL(IF($E174:$X174&gt;0,COLUMN($A:$T),""),AY$31)-1)))</f>
        <v>0</v>
      </c>
      <c r="AZ174" s="5">
        <f t="array" ref="AZ174">IF(AY$31&gt;$AL174,0,IF(ISERROR(INDEX($E174:$X174,,SMALL(IF($E174:$X174&gt;0,COLUMN($A:$T),""),AZ$31))),0,INDEX($E174:$X174,,SMALL(IF($E174:$X174&gt;0,COLUMN($A:$T),""),AZ$31))))</f>
        <v>0</v>
      </c>
      <c r="BA174" s="5">
        <f t="array" aca="1" ref="BA174" ca="1">IF(BA$31&gt;$AL174,0,IF(ISERROR(OFFSET($E$31,0,SMALL(IF($E174:$X174&gt;0,COLUMN($A:$T),""),BA$31)-1)),0,OFFSET($E$31,0,SMALL(IF($E174:$X174&gt;0,COLUMN($A:$T),""),BA$31)-1)))</f>
        <v>0</v>
      </c>
      <c r="BB174" s="5">
        <f t="array" ref="BB174">IF(BA$31&gt;$AL174,0,IF(ISERROR(INDEX($E174:$X174,,SMALL(IF($E174:$X174&gt;0,COLUMN($A:$T),""),BB$31))),0,INDEX($E174:$X174,,SMALL(IF($E174:$X174&gt;0,COLUMN($A:$T),""),BB$31))))</f>
        <v>0</v>
      </c>
      <c r="BC174" s="5">
        <f t="array" aca="1" ref="BC174" ca="1">IF(BC$31&gt;$AL174,0,IF(ISERROR(OFFSET($E$31,0,SMALL(IF($E174:$X174&gt;0,COLUMN($A:$T),""),BC$31)-1)),0,OFFSET($E$31,0,SMALL(IF($E174:$X174&gt;0,COLUMN($A:$T),""),BC$31)-1)))</f>
        <v>0</v>
      </c>
      <c r="BD174" s="5">
        <f t="array" ref="BD174">IF(BC$31&gt;$AL174,0,IF(ISERROR(INDEX($E174:$X174,,SMALL(IF($E174:$X174&gt;0,COLUMN($A:$T),""),BD$31))),0,INDEX($E174:$X174,,SMALL(IF($E174:$X174&gt;0,COLUMN($A:$T),""),BD$31))))</f>
        <v>0</v>
      </c>
      <c r="BE174" s="5">
        <f t="array" aca="1" ref="BE174" ca="1">IF(BE$31&gt;$AL174,0,IF(ISERROR(OFFSET($E$31,0,SMALL(IF($E174:$X174&gt;0,COLUMN($A:$T),""),BE$31)-1)),0,OFFSET($E$31,0,SMALL(IF($E174:$X174&gt;0,COLUMN($A:$T),""),BE$31)-1)))</f>
        <v>0</v>
      </c>
      <c r="BF174" s="5">
        <f t="array" ref="BF174">IF(BE$31&gt;$AL174,0,IF(ISERROR(INDEX($E174:$X174,,SMALL(IF($E174:$X174&gt;0,COLUMN($A:$T),""),BF$31))),0,INDEX($E174:$X174,,SMALL(IF($E174:$X174&gt;0,COLUMN($A:$T),""),BF$31))))</f>
        <v>0</v>
      </c>
      <c r="BH174">
        <f ca="1">SUMPRODUCT(E174:N174,定义数据!$G$14:$P$14)</f>
        <v>187.29825863790256</v>
      </c>
      <c r="BI174">
        <f ca="1">SUMPRODUCT(O174:X174,定义数据!$G$14:$P$14)</f>
        <v>97.04816127928639</v>
      </c>
      <c r="BJ174" s="5">
        <f t="shared" ca="1" si="122"/>
        <v>284.34641991718894</v>
      </c>
      <c r="BK174" s="5" t="str">
        <f>D174&amp;B174&amp;VLOOKUP(C174,定义数据!$E$1:$F$7,2,FALSE)</f>
        <v>8024</v>
      </c>
    </row>
    <row r="175" spans="1:63" x14ac:dyDescent="0.15">
      <c r="A175" s="17" t="str">
        <f>D175&amp;B175&amp;VLOOKUP(C175,定义数据!$E$1:$F$7,2,FALSE)</f>
        <v>8023</v>
      </c>
      <c r="B175" s="18">
        <v>2</v>
      </c>
      <c r="C175" s="18" t="s">
        <v>281</v>
      </c>
      <c r="D175" s="24">
        <v>80</v>
      </c>
      <c r="E175" s="56">
        <f t="shared" ca="1" si="111"/>
        <v>0</v>
      </c>
      <c r="F175" s="56">
        <f t="shared" ca="1" si="112"/>
        <v>194.12139465240648</v>
      </c>
      <c r="G175" s="56">
        <f t="shared" ca="1" si="113"/>
        <v>0</v>
      </c>
      <c r="H175" s="56">
        <f t="shared" ca="1" si="114"/>
        <v>0</v>
      </c>
      <c r="I175" s="56">
        <f t="shared" ca="1" si="115"/>
        <v>609.375</v>
      </c>
      <c r="J175" s="56">
        <f t="shared" ca="1" si="116"/>
        <v>0</v>
      </c>
      <c r="K175" s="56">
        <f t="shared" ca="1" si="117"/>
        <v>0</v>
      </c>
      <c r="L175" s="56">
        <f t="shared" ca="1" si="118"/>
        <v>0</v>
      </c>
      <c r="M175" s="56">
        <f t="shared" ca="1" si="119"/>
        <v>0</v>
      </c>
      <c r="N175" s="56">
        <f t="shared" ca="1" si="120"/>
        <v>0</v>
      </c>
      <c r="O175" s="65">
        <f t="shared" ca="1" si="123"/>
        <v>0</v>
      </c>
      <c r="P175" s="65">
        <f t="shared" ca="1" si="124"/>
        <v>34.510470160427822</v>
      </c>
      <c r="Q175" s="65">
        <f t="shared" ca="1" si="125"/>
        <v>0</v>
      </c>
      <c r="R175" s="65">
        <f t="shared" ca="1" si="126"/>
        <v>27.083333333333339</v>
      </c>
      <c r="S175" s="65">
        <f t="shared" ca="1" si="127"/>
        <v>45.138888888888893</v>
      </c>
      <c r="T175" s="65">
        <f t="shared" ca="1" si="128"/>
        <v>32.098765432098773</v>
      </c>
      <c r="U175" s="65">
        <f t="shared" ca="1" si="129"/>
        <v>0</v>
      </c>
      <c r="V175" s="65">
        <f t="shared" ca="1" si="130"/>
        <v>0</v>
      </c>
      <c r="W175" s="65">
        <f t="shared" ca="1" si="131"/>
        <v>0</v>
      </c>
      <c r="X175" s="65">
        <f t="shared" ca="1" si="132"/>
        <v>0</v>
      </c>
      <c r="Y175" s="21"/>
      <c r="Z175" s="15">
        <f>VLOOKUP($D175&amp;$B175,[3]!装备基础属性表,P$30,FALSE)</f>
        <v>16985.869255264242</v>
      </c>
      <c r="AA175" s="15">
        <f>VLOOKUP($D175&amp;$B175,[3]!装备基础属性表,Q$30,FALSE)</f>
        <v>862.76175401069543</v>
      </c>
      <c r="AB175" s="15">
        <f>VLOOKUP($D175&amp;$B175,[3]!装备基础属性表,R$30,FALSE)</f>
        <v>372.81674870017338</v>
      </c>
      <c r="AC175" s="15">
        <f>VLOOKUP($D175&amp;$B175,[3]!装备基础属性表,S$30,FALSE)</f>
        <v>677.08333333333337</v>
      </c>
      <c r="AD175" s="15">
        <f>VLOOKUP($D175&amp;$B175,[3]!装备基础属性表,T$30,FALSE)</f>
        <v>677.08333333333337</v>
      </c>
      <c r="AE175" s="15">
        <f>VLOOKUP($D175&amp;$B175,[3]!装备基础属性表,U$30,FALSE)</f>
        <v>401.23456790123458</v>
      </c>
      <c r="AF175" s="15">
        <f>VLOOKUP($D175&amp;$B175,[3]!装备基础属性表,V$30,FALSE)</f>
        <v>0</v>
      </c>
      <c r="AG175" s="15">
        <f>VLOOKUP($D175&amp;$B175,[3]!装备基础属性表,W$30,FALSE)</f>
        <v>401.23456790123458</v>
      </c>
      <c r="AH175" s="15">
        <f>VLOOKUP($D175&amp;$B175,[3]!装备基础属性表,X$30,FALSE)</f>
        <v>0</v>
      </c>
      <c r="AI175" s="15">
        <f>VLOOKUP($D175&amp;$B175,[3]!装备基础属性表,Y$30,FALSE)</f>
        <v>0</v>
      </c>
      <c r="AJ175" s="16" t="str">
        <f>B175&amp;VLOOKUP(C175,定义数据!$E$1:$F$7,2,FALSE)&amp;D175</f>
        <v>2380</v>
      </c>
      <c r="AK175" s="14">
        <f t="shared" si="29"/>
        <v>25</v>
      </c>
      <c r="AL175" s="5">
        <f t="shared" si="121"/>
        <v>4</v>
      </c>
      <c r="AM175" s="5" t="str">
        <f t="array" aca="1" ref="AM175" ca="1">IF(AM$31&gt;$AL175,0,IF(ISERROR(OFFSET($E$31,0,SMALL(IF($E175:$X175&gt;0,COLUMN($A:$T),""),AM$31)-1)),0,OFFSET($E$31,0,SMALL(IF($E175:$X175&gt;0,COLUMN($A:$T),""),AM$31)-1)))</f>
        <v>攻击</v>
      </c>
      <c r="AN175" s="5">
        <f t="array" aca="1" ref="AN175" ca="1">IF(AM$31&gt;$AL175,0,IF(ISERROR(INDEX($E175:$X175,,SMALL(IF($E175:$X175&gt;0,COLUMN($A:$T),""),AN$31))),0,INDEX($E175:$X175,,SMALL(IF($E175:$X175&gt;0,COLUMN($A:$T),""),AN$31))))</f>
        <v>194.12139465240648</v>
      </c>
      <c r="AO175" s="5" t="str">
        <f t="array" aca="1" ref="AO175" ca="1">IF(AO$31&gt;$AL175,0,IF(ISERROR(OFFSET($E$31,0,SMALL(IF($E175:$X175&gt;0,COLUMN($A:$T),""),AO$31)-1)),0,OFFSET($E$31,0,SMALL(IF($E175:$X175&gt;0,COLUMN($A:$T),""),AO$31)-1)))</f>
        <v>命中值</v>
      </c>
      <c r="AP175" s="5">
        <f t="array" aca="1" ref="AP175" ca="1">IF(AO$31&gt;$AL175,0,IF(ISERROR(INDEX($E175:$X175,,SMALL(IF($E175:$X175&gt;0,COLUMN($A:$T),""),AP$31))),0,INDEX($E175:$X175,,SMALL(IF($E175:$X175&gt;0,COLUMN($A:$T),""),AP$31))))</f>
        <v>609.375</v>
      </c>
      <c r="AQ175" s="5" t="str">
        <f t="array" aca="1" ref="AQ175" ca="1">IF(AQ$31&gt;$AL175,0,IF(ISERROR(OFFSET($E$31,0,SMALL(IF($E175:$X175&gt;0,COLUMN($A:$T),""),AQ$31)-1)),0,OFFSET($E$31,0,SMALL(IF($E175:$X175&gt;0,COLUMN($A:$T),""),AQ$31)-1)))</f>
        <v>攻击</v>
      </c>
      <c r="AR175" s="5">
        <f t="array" aca="1" ref="AR175" ca="1">IF(AQ$31&gt;$AL175,0,IF(ISERROR(INDEX($E175:$X175,,SMALL(IF($E175:$X175&gt;0,COLUMN($A:$T),""),AR$31))),0,INDEX($E175:$X175,,SMALL(IF($E175:$X175&gt;0,COLUMN($A:$T),""),AR$31))))</f>
        <v>34.510470160427822</v>
      </c>
      <c r="AS175" s="5" t="str">
        <f t="array" aca="1" ref="AS175" ca="1">IF(AS$31&gt;$AL175,0,IF(ISERROR(OFFSET($E$31,0,SMALL(IF($E175:$X175&gt;0,COLUMN($A:$T),""),AS$31)-1)),0,OFFSET($E$31,0,SMALL(IF($E175:$X175&gt;0,COLUMN($A:$T),""),AS$31)-1)))</f>
        <v>闪避值</v>
      </c>
      <c r="AT175" s="5">
        <f t="array" aca="1" ref="AT175" ca="1">IF(AS$31&gt;$AL175,0,IF(ISERROR(INDEX($E175:$X175,,SMALL(IF($E175:$X175&gt;0,COLUMN($A:$T),""),AT$31))),0,INDEX($E175:$X175,,SMALL(IF($E175:$X175&gt;0,COLUMN($A:$T),""),AT$31))))</f>
        <v>27.083333333333339</v>
      </c>
      <c r="AU175" s="5">
        <f t="array" aca="1" ref="AU175" ca="1">IF(AU$31&gt;$AL175,0,IF(ISERROR(OFFSET($E$31,0,SMALL(IF($E175:$X175&gt;0,COLUMN($A:$T),""),AU$31)-1)),0,OFFSET($E$31,0,SMALL(IF($E175:$X175&gt;0,COLUMN($A:$T),""),AU$31)-1)))</f>
        <v>0</v>
      </c>
      <c r="AV175" s="5">
        <f t="array" ref="AV175">IF(AU$31&gt;$AL175,0,IF(ISERROR(INDEX($E175:$X175,,SMALL(IF($E175:$X175&gt;0,COLUMN($A:$T),""),AV$31))),0,INDEX($E175:$X175,,SMALL(IF($E175:$X175&gt;0,COLUMN($A:$T),""),AV$31))))</f>
        <v>0</v>
      </c>
      <c r="AW175" s="5">
        <f t="array" aca="1" ref="AW175" ca="1">IF(AW$31&gt;$AL175,0,IF(ISERROR(OFFSET($E$31,0,SMALL(IF($E175:$X175&gt;0,COLUMN($A:$T),""),AW$31)-1)),0,OFFSET($E$31,0,SMALL(IF($E175:$X175&gt;0,COLUMN($A:$T),""),AW$31)-1)))</f>
        <v>0</v>
      </c>
      <c r="AX175" s="5">
        <f t="array" ref="AX175">IF(AW$31&gt;$AL175,0,IF(ISERROR(INDEX($E175:$X175,,SMALL(IF($E175:$X175&gt;0,COLUMN($A:$T),""),AX$31))),0,INDEX($E175:$X175,,SMALL(IF($E175:$X175&gt;0,COLUMN($A:$T),""),AX$31))))</f>
        <v>0</v>
      </c>
      <c r="AY175" s="5">
        <f t="array" aca="1" ref="AY175" ca="1">IF(AY$31&gt;$AL175,0,IF(ISERROR(OFFSET($E$31,0,SMALL(IF($E175:$X175&gt;0,COLUMN($A:$T),""),AY$31)-1)),0,OFFSET($E$31,0,SMALL(IF($E175:$X175&gt;0,COLUMN($A:$T),""),AY$31)-1)))</f>
        <v>0</v>
      </c>
      <c r="AZ175" s="5">
        <f t="array" ref="AZ175">IF(AY$31&gt;$AL175,0,IF(ISERROR(INDEX($E175:$X175,,SMALL(IF($E175:$X175&gt;0,COLUMN($A:$T),""),AZ$31))),0,INDEX($E175:$X175,,SMALL(IF($E175:$X175&gt;0,COLUMN($A:$T),""),AZ$31))))</f>
        <v>0</v>
      </c>
      <c r="BA175" s="5">
        <f t="array" aca="1" ref="BA175" ca="1">IF(BA$31&gt;$AL175,0,IF(ISERROR(OFFSET($E$31,0,SMALL(IF($E175:$X175&gt;0,COLUMN($A:$T),""),BA$31)-1)),0,OFFSET($E$31,0,SMALL(IF($E175:$X175&gt;0,COLUMN($A:$T),""),BA$31)-1)))</f>
        <v>0</v>
      </c>
      <c r="BB175" s="5">
        <f t="array" ref="BB175">IF(BA$31&gt;$AL175,0,IF(ISERROR(INDEX($E175:$X175,,SMALL(IF($E175:$X175&gt;0,COLUMN($A:$T),""),BB$31))),0,INDEX($E175:$X175,,SMALL(IF($E175:$X175&gt;0,COLUMN($A:$T),""),BB$31))))</f>
        <v>0</v>
      </c>
      <c r="BC175" s="5">
        <f t="array" aca="1" ref="BC175" ca="1">IF(BC$31&gt;$AL175,0,IF(ISERROR(OFFSET($E$31,0,SMALL(IF($E175:$X175&gt;0,COLUMN($A:$T),""),BC$31)-1)),0,OFFSET($E$31,0,SMALL(IF($E175:$X175&gt;0,COLUMN($A:$T),""),BC$31)-1)))</f>
        <v>0</v>
      </c>
      <c r="BD175" s="5">
        <f t="array" ref="BD175">IF(BC$31&gt;$AL175,0,IF(ISERROR(INDEX($E175:$X175,,SMALL(IF($E175:$X175&gt;0,COLUMN($A:$T),""),BD$31))),0,INDEX($E175:$X175,,SMALL(IF($E175:$X175&gt;0,COLUMN($A:$T),""),BD$31))))</f>
        <v>0</v>
      </c>
      <c r="BE175" s="5">
        <f t="array" aca="1" ref="BE175" ca="1">IF(BE$31&gt;$AL175,0,IF(ISERROR(OFFSET($E$31,0,SMALL(IF($E175:$X175&gt;0,COLUMN($A:$T),""),BE$31)-1)),0,OFFSET($E$31,0,SMALL(IF($E175:$X175&gt;0,COLUMN($A:$T),""),BE$31)-1)))</f>
        <v>0</v>
      </c>
      <c r="BF175" s="5">
        <f t="array" ref="BF175">IF(BE$31&gt;$AL175,0,IF(ISERROR(INDEX($E175:$X175,,SMALL(IF($E175:$X175&gt;0,COLUMN($A:$T),""),BF$31))),0,INDEX($E175:$X175,,SMALL(IF($E175:$X175&gt;0,COLUMN($A:$T),""),BF$31))))</f>
        <v>0</v>
      </c>
      <c r="BH175">
        <f ca="1">SUMPRODUCT(E175:N175,定义数据!$G$14:$P$14)</f>
        <v>401.30889465240648</v>
      </c>
      <c r="BI175">
        <f ca="1">SUMPRODUCT(O175:X175,定义数据!$G$14:$P$14)</f>
        <v>64.843803493761158</v>
      </c>
      <c r="BJ175" s="5">
        <f t="shared" ca="1" si="122"/>
        <v>466.15269814616761</v>
      </c>
      <c r="BK175" s="5" t="str">
        <f>D175&amp;B175&amp;VLOOKUP(C175,定义数据!$E$1:$F$7,2,FALSE)</f>
        <v>8023</v>
      </c>
    </row>
    <row r="176" spans="1:63" x14ac:dyDescent="0.15">
      <c r="A176" s="17" t="str">
        <f>D176&amp;B176&amp;VLOOKUP(C176,定义数据!$E$1:$F$7,2,FALSE)</f>
        <v>8030</v>
      </c>
      <c r="B176" s="18">
        <v>3</v>
      </c>
      <c r="C176" s="18" t="s">
        <v>141</v>
      </c>
      <c r="D176" s="24">
        <v>80</v>
      </c>
      <c r="E176" s="56">
        <f t="shared" ca="1" si="111"/>
        <v>0</v>
      </c>
      <c r="F176" s="56">
        <f t="shared" ca="1" si="112"/>
        <v>676.93614545454568</v>
      </c>
      <c r="G176" s="56">
        <f t="shared" ca="1" si="113"/>
        <v>0</v>
      </c>
      <c r="H176" s="56">
        <f t="shared" ca="1" si="114"/>
        <v>0</v>
      </c>
      <c r="I176" s="56">
        <f t="shared" ca="1" si="115"/>
        <v>0</v>
      </c>
      <c r="J176" s="56">
        <f t="shared" ca="1" si="116"/>
        <v>419.75308641975312</v>
      </c>
      <c r="K176" s="56">
        <f t="shared" ca="1" si="117"/>
        <v>0</v>
      </c>
      <c r="L176" s="56">
        <f t="shared" ca="1" si="118"/>
        <v>0</v>
      </c>
      <c r="M176" s="56">
        <f t="shared" ca="1" si="119"/>
        <v>0</v>
      </c>
      <c r="N176" s="56">
        <f t="shared" ca="1" si="120"/>
        <v>0</v>
      </c>
      <c r="O176" s="65">
        <f t="shared" ca="1" si="123"/>
        <v>0</v>
      </c>
      <c r="P176" s="65">
        <f t="shared" ca="1" si="124"/>
        <v>203.08084363636374</v>
      </c>
      <c r="Q176" s="65">
        <f t="shared" ca="1" si="125"/>
        <v>24.376479722703642</v>
      </c>
      <c r="R176" s="65">
        <f t="shared" ca="1" si="126"/>
        <v>0</v>
      </c>
      <c r="S176" s="65">
        <f t="shared" ca="1" si="127"/>
        <v>88.541666666666671</v>
      </c>
      <c r="T176" s="65">
        <f t="shared" ca="1" si="128"/>
        <v>62.962962962962976</v>
      </c>
      <c r="U176" s="65">
        <f t="shared" ca="1" si="129"/>
        <v>0</v>
      </c>
      <c r="V176" s="65">
        <f t="shared" ca="1" si="130"/>
        <v>0</v>
      </c>
      <c r="W176" s="65">
        <f t="shared" ca="1" si="131"/>
        <v>0</v>
      </c>
      <c r="X176" s="65">
        <f t="shared" ca="1" si="132"/>
        <v>0</v>
      </c>
      <c r="Y176" s="21" t="s">
        <v>94</v>
      </c>
      <c r="Z176" s="15">
        <f>VLOOKUP($D176&amp;$B176,[3]!装备基础属性表,P$30,FALSE)</f>
        <v>22212.290564576313</v>
      </c>
      <c r="AA176" s="15">
        <f>VLOOKUP($D176&amp;$B176,[3]!装备基础属性表,Q$30,FALSE)</f>
        <v>1128.2269090909094</v>
      </c>
      <c r="AB176" s="15">
        <f>VLOOKUP($D176&amp;$B176,[3]!装备基础属性表,R$30,FALSE)</f>
        <v>487.52959445407282</v>
      </c>
      <c r="AC176" s="15">
        <f>VLOOKUP($D176&amp;$B176,[3]!装备基础属性表,S$30,FALSE)</f>
        <v>885.41666666666663</v>
      </c>
      <c r="AD176" s="15">
        <f>VLOOKUP($D176&amp;$B176,[3]!装备基础属性表,T$30,FALSE)</f>
        <v>885.41666666666663</v>
      </c>
      <c r="AE176" s="15">
        <f>VLOOKUP($D176&amp;$B176,[3]!装备基础属性表,U$30,FALSE)</f>
        <v>524.69135802469134</v>
      </c>
      <c r="AF176" s="15">
        <f>VLOOKUP($D176&amp;$B176,[3]!装备基础属性表,V$30,FALSE)</f>
        <v>0</v>
      </c>
      <c r="AG176" s="15">
        <f>VLOOKUP($D176&amp;$B176,[3]!装备基础属性表,W$30,FALSE)</f>
        <v>524.69135802469134</v>
      </c>
      <c r="AH176" s="15">
        <f>VLOOKUP($D176&amp;$B176,[3]!装备基础属性表,X$30,FALSE)</f>
        <v>0</v>
      </c>
      <c r="AI176" s="15">
        <f>VLOOKUP($D176&amp;$B176,[3]!装备基础属性表,Y$30,FALSE)</f>
        <v>0</v>
      </c>
      <c r="AJ176" s="16" t="str">
        <f>B176&amp;VLOOKUP(C176,定义数据!$E$1:$F$7,2,FALSE)&amp;D176</f>
        <v>3080</v>
      </c>
      <c r="AK176" s="14">
        <f t="shared" si="29"/>
        <v>26</v>
      </c>
      <c r="AL176" s="5">
        <f t="shared" si="121"/>
        <v>5</v>
      </c>
      <c r="AM176" s="5" t="str">
        <f t="array" aca="1" ref="AM176" ca="1">IF(AM$31&gt;$AL176,0,IF(ISERROR(OFFSET($E$31,0,SMALL(IF($E176:$X176&gt;0,COLUMN($A:$T),""),AM$31)-1)),0,OFFSET($E$31,0,SMALL(IF($E176:$X176&gt;0,COLUMN($A:$T),""),AM$31)-1)))</f>
        <v>攻击</v>
      </c>
      <c r="AN176" s="5">
        <f t="array" aca="1" ref="AN176" ca="1">IF(AM$31&gt;$AL176,0,IF(ISERROR(INDEX($E176:$X176,,SMALL(IF($E176:$X176&gt;0,COLUMN($A:$T),""),AN$31))),0,INDEX($E176:$X176,,SMALL(IF($E176:$X176&gt;0,COLUMN($A:$T),""),AN$31))))</f>
        <v>676.93614545454568</v>
      </c>
      <c r="AO176" s="5" t="str">
        <f t="array" aca="1" ref="AO176" ca="1">IF(AO$31&gt;$AL176,0,IF(ISERROR(OFFSET($E$31,0,SMALL(IF($E176:$X176&gt;0,COLUMN($A:$T),""),AO$31)-1)),0,OFFSET($E$31,0,SMALL(IF($E176:$X176&gt;0,COLUMN($A:$T),""),AO$31)-1)))</f>
        <v>暴击值</v>
      </c>
      <c r="AP176" s="5">
        <f t="array" aca="1" ref="AP176" ca="1">IF(AO$31&gt;$AL176,0,IF(ISERROR(INDEX($E176:$X176,,SMALL(IF($E176:$X176&gt;0,COLUMN($A:$T),""),AP$31))),0,INDEX($E176:$X176,,SMALL(IF($E176:$X176&gt;0,COLUMN($A:$T),""),AP$31))))</f>
        <v>419.75308641975312</v>
      </c>
      <c r="AQ176" s="5" t="str">
        <f t="array" aca="1" ref="AQ176" ca="1">IF(AQ$31&gt;$AL176,0,IF(ISERROR(OFFSET($E$31,0,SMALL(IF($E176:$X176&gt;0,COLUMN($A:$T),""),AQ$31)-1)),0,OFFSET($E$31,0,SMALL(IF($E176:$X176&gt;0,COLUMN($A:$T),""),AQ$31)-1)))</f>
        <v>攻击</v>
      </c>
      <c r="AR176" s="5">
        <f t="array" aca="1" ref="AR176" ca="1">IF(AQ$31&gt;$AL176,0,IF(ISERROR(INDEX($E176:$X176,,SMALL(IF($E176:$X176&gt;0,COLUMN($A:$T),""),AR$31))),0,INDEX($E176:$X176,,SMALL(IF($E176:$X176&gt;0,COLUMN($A:$T),""),AR$31))))</f>
        <v>203.08084363636374</v>
      </c>
      <c r="AS176" s="5" t="str">
        <f t="array" aca="1" ref="AS176" ca="1">IF(AS$31&gt;$AL176,0,IF(ISERROR(OFFSET($E$31,0,SMALL(IF($E176:$X176&gt;0,COLUMN($A:$T),""),AS$31)-1)),0,OFFSET($E$31,0,SMALL(IF($E176:$X176&gt;0,COLUMN($A:$T),""),AS$31)-1)))</f>
        <v>防御</v>
      </c>
      <c r="AT176" s="5">
        <f t="array" aca="1" ref="AT176" ca="1">IF(AS$31&gt;$AL176,0,IF(ISERROR(INDEX($E176:$X176,,SMALL(IF($E176:$X176&gt;0,COLUMN($A:$T),""),AT$31))),0,INDEX($E176:$X176,,SMALL(IF($E176:$X176&gt;0,COLUMN($A:$T),""),AT$31))))</f>
        <v>24.376479722703642</v>
      </c>
      <c r="AU176" s="5" t="str">
        <f t="array" aca="1" ref="AU176" ca="1">IF(AU$31&gt;$AL176,0,IF(ISERROR(OFFSET($E$31,0,SMALL(IF($E176:$X176&gt;0,COLUMN($A:$T),""),AU$31)-1)),0,OFFSET($E$31,0,SMALL(IF($E176:$X176&gt;0,COLUMN($A:$T),""),AU$31)-1)))</f>
        <v>命中值</v>
      </c>
      <c r="AV176" s="5">
        <f t="array" aca="1" ref="AV176" ca="1">IF(AU$31&gt;$AL176,0,IF(ISERROR(INDEX($E176:$X176,,SMALL(IF($E176:$X176&gt;0,COLUMN($A:$T),""),AV$31))),0,INDEX($E176:$X176,,SMALL(IF($E176:$X176&gt;0,COLUMN($A:$T),""),AV$31))))</f>
        <v>88.541666666666671</v>
      </c>
      <c r="AW176" s="5">
        <f t="array" aca="1" ref="AW176" ca="1">IF(AW$31&gt;$AL176,0,IF(ISERROR(OFFSET($E$31,0,SMALL(IF($E176:$X176&gt;0,COLUMN($A:$T),""),AW$31)-1)),0,OFFSET($E$31,0,SMALL(IF($E176:$X176&gt;0,COLUMN($A:$T),""),AW$31)-1)))</f>
        <v>0</v>
      </c>
      <c r="AX176" s="5">
        <f t="array" ref="AX176">IF(AW$31&gt;$AL176,0,IF(ISERROR(INDEX($E176:$X176,,SMALL(IF($E176:$X176&gt;0,COLUMN($A:$T),""),AX$31))),0,INDEX($E176:$X176,,SMALL(IF($E176:$X176&gt;0,COLUMN($A:$T),""),AX$31))))</f>
        <v>0</v>
      </c>
      <c r="AY176" s="5">
        <f t="array" aca="1" ref="AY176" ca="1">IF(AY$31&gt;$AL176,0,IF(ISERROR(OFFSET($E$31,0,SMALL(IF($E176:$X176&gt;0,COLUMN($A:$T),""),AY$31)-1)),0,OFFSET($E$31,0,SMALL(IF($E176:$X176&gt;0,COLUMN($A:$T),""),AY$31)-1)))</f>
        <v>0</v>
      </c>
      <c r="AZ176" s="5">
        <f t="array" ref="AZ176">IF(AY$31&gt;$AL176,0,IF(ISERROR(INDEX($E176:$X176,,SMALL(IF($E176:$X176&gt;0,COLUMN($A:$T),""),AZ$31))),0,INDEX($E176:$X176,,SMALL(IF($E176:$X176&gt;0,COLUMN($A:$T),""),AZ$31))))</f>
        <v>0</v>
      </c>
      <c r="BA176" s="5">
        <f t="array" aca="1" ref="BA176" ca="1">IF(BA$31&gt;$AL176,0,IF(ISERROR(OFFSET($E$31,0,SMALL(IF($E176:$X176&gt;0,COLUMN($A:$T),""),BA$31)-1)),0,OFFSET($E$31,0,SMALL(IF($E176:$X176&gt;0,COLUMN($A:$T),""),BA$31)-1)))</f>
        <v>0</v>
      </c>
      <c r="BB176" s="5">
        <f t="array" ref="BB176">IF(BA$31&gt;$AL176,0,IF(ISERROR(INDEX($E176:$X176,,SMALL(IF($E176:$X176&gt;0,COLUMN($A:$T),""),BB$31))),0,INDEX($E176:$X176,,SMALL(IF($E176:$X176&gt;0,COLUMN($A:$T),""),BB$31))))</f>
        <v>0</v>
      </c>
      <c r="BC176" s="5">
        <f t="array" aca="1" ref="BC176" ca="1">IF(BC$31&gt;$AL176,0,IF(ISERROR(OFFSET($E$31,0,SMALL(IF($E176:$X176&gt;0,COLUMN($A:$T),""),BC$31)-1)),0,OFFSET($E$31,0,SMALL(IF($E176:$X176&gt;0,COLUMN($A:$T),""),BC$31)-1)))</f>
        <v>0</v>
      </c>
      <c r="BD176" s="5">
        <f t="array" ref="BD176">IF(BC$31&gt;$AL176,0,IF(ISERROR(INDEX($E176:$X176,,SMALL(IF($E176:$X176&gt;0,COLUMN($A:$T),""),BD$31))),0,INDEX($E176:$X176,,SMALL(IF($E176:$X176&gt;0,COLUMN($A:$T),""),BD$31))))</f>
        <v>0</v>
      </c>
      <c r="BE176" s="5">
        <f t="array" aca="1" ref="BE176" ca="1">IF(BE$31&gt;$AL176,0,IF(ISERROR(OFFSET($E$31,0,SMALL(IF($E176:$X176&gt;0,COLUMN($A:$T),""),BE$31)-1)),0,OFFSET($E$31,0,SMALL(IF($E176:$X176&gt;0,COLUMN($A:$T),""),BE$31)-1)))</f>
        <v>0</v>
      </c>
      <c r="BF176" s="5">
        <f t="array" ref="BF176">IF(BE$31&gt;$AL176,0,IF(ISERROR(INDEX($E176:$X176,,SMALL(IF($E176:$X176&gt;0,COLUMN($A:$T),""),BF$31))),0,INDEX($E176:$X176,,SMALL(IF($E176:$X176&gt;0,COLUMN($A:$T),""),BF$31))))</f>
        <v>0</v>
      </c>
      <c r="BH176">
        <f ca="1">SUMPRODUCT(E176:N176,定义数据!$G$14:$P$14)</f>
        <v>752.49170101010122</v>
      </c>
      <c r="BI176">
        <f ca="1">SUMPRODUCT(O176:X176,定义数据!$G$14:$P$14)</f>
        <v>268.89482335906735</v>
      </c>
      <c r="BJ176" s="5">
        <f t="shared" ca="1" si="122"/>
        <v>1021.3865243691686</v>
      </c>
      <c r="BK176" s="5" t="str">
        <f>D176&amp;B176&amp;VLOOKUP(C176,定义数据!$E$1:$F$7,2,FALSE)</f>
        <v>8030</v>
      </c>
    </row>
    <row r="177" spans="1:63" x14ac:dyDescent="0.15">
      <c r="A177" s="17" t="str">
        <f>D177&amp;B177&amp;VLOOKUP(C177,定义数据!$E$1:$F$7,2,FALSE)</f>
        <v>8031</v>
      </c>
      <c r="B177" s="18">
        <v>3</v>
      </c>
      <c r="C177" s="18" t="s">
        <v>136</v>
      </c>
      <c r="D177" s="24">
        <v>80</v>
      </c>
      <c r="E177" s="56">
        <f t="shared" ca="1" si="111"/>
        <v>10661.89947099663</v>
      </c>
      <c r="F177" s="56">
        <f t="shared" ca="1" si="112"/>
        <v>0</v>
      </c>
      <c r="G177" s="56">
        <f t="shared" ca="1" si="113"/>
        <v>234.01420533795496</v>
      </c>
      <c r="H177" s="56">
        <f t="shared" ca="1" si="114"/>
        <v>0</v>
      </c>
      <c r="I177" s="56">
        <f t="shared" ca="1" si="115"/>
        <v>0</v>
      </c>
      <c r="J177" s="56">
        <f t="shared" ca="1" si="116"/>
        <v>0</v>
      </c>
      <c r="K177" s="56">
        <f t="shared" ca="1" si="117"/>
        <v>0</v>
      </c>
      <c r="L177" s="56">
        <f t="shared" ca="1" si="118"/>
        <v>0</v>
      </c>
      <c r="M177" s="56">
        <f t="shared" ca="1" si="119"/>
        <v>0</v>
      </c>
      <c r="N177" s="56">
        <f t="shared" ca="1" si="120"/>
        <v>0</v>
      </c>
      <c r="O177" s="65">
        <f t="shared" ca="1" si="123"/>
        <v>2221.2290564576315</v>
      </c>
      <c r="P177" s="65">
        <f t="shared" ca="1" si="124"/>
        <v>0</v>
      </c>
      <c r="Q177" s="65">
        <f t="shared" ca="1" si="125"/>
        <v>73.129439168110935</v>
      </c>
      <c r="R177" s="65">
        <f t="shared" ca="1" si="126"/>
        <v>53.125000000000014</v>
      </c>
      <c r="S177" s="65">
        <f t="shared" ca="1" si="127"/>
        <v>0</v>
      </c>
      <c r="T177" s="65">
        <f t="shared" ca="1" si="128"/>
        <v>0</v>
      </c>
      <c r="U177" s="65">
        <f t="shared" ca="1" si="129"/>
        <v>0</v>
      </c>
      <c r="V177" s="65">
        <f t="shared" ca="1" si="130"/>
        <v>52.46913580246914</v>
      </c>
      <c r="W177" s="65">
        <f t="shared" ca="1" si="131"/>
        <v>0</v>
      </c>
      <c r="X177" s="65">
        <f t="shared" ca="1" si="132"/>
        <v>0</v>
      </c>
      <c r="Y177" s="21" t="s">
        <v>95</v>
      </c>
      <c r="Z177" s="15">
        <f>VLOOKUP($D177&amp;$B177,[3]!装备基础属性表,P$30,FALSE)</f>
        <v>22212.290564576313</v>
      </c>
      <c r="AA177" s="15">
        <f>VLOOKUP($D177&amp;$B177,[3]!装备基础属性表,Q$30,FALSE)</f>
        <v>1128.2269090909094</v>
      </c>
      <c r="AB177" s="15">
        <f>VLOOKUP($D177&amp;$B177,[3]!装备基础属性表,R$30,FALSE)</f>
        <v>487.52959445407282</v>
      </c>
      <c r="AC177" s="15">
        <f>VLOOKUP($D177&amp;$B177,[3]!装备基础属性表,S$30,FALSE)</f>
        <v>885.41666666666663</v>
      </c>
      <c r="AD177" s="15">
        <f>VLOOKUP($D177&amp;$B177,[3]!装备基础属性表,T$30,FALSE)</f>
        <v>885.41666666666663</v>
      </c>
      <c r="AE177" s="15">
        <f>VLOOKUP($D177&amp;$B177,[3]!装备基础属性表,U$30,FALSE)</f>
        <v>524.69135802469134</v>
      </c>
      <c r="AF177" s="15">
        <f>VLOOKUP($D177&amp;$B177,[3]!装备基础属性表,V$30,FALSE)</f>
        <v>0</v>
      </c>
      <c r="AG177" s="15">
        <f>VLOOKUP($D177&amp;$B177,[3]!装备基础属性表,W$30,FALSE)</f>
        <v>524.69135802469134</v>
      </c>
      <c r="AH177" s="15">
        <f>VLOOKUP($D177&amp;$B177,[3]!装备基础属性表,X$30,FALSE)</f>
        <v>0</v>
      </c>
      <c r="AI177" s="15">
        <f>VLOOKUP($D177&amp;$B177,[3]!装备基础属性表,Y$30,FALSE)</f>
        <v>0</v>
      </c>
      <c r="AJ177" s="16" t="str">
        <f>B177&amp;VLOOKUP(C177,定义数据!$E$1:$F$7,2,FALSE)&amp;D177</f>
        <v>3180</v>
      </c>
      <c r="AK177" s="14">
        <f t="shared" si="29"/>
        <v>26</v>
      </c>
      <c r="AL177" s="5">
        <f t="shared" si="121"/>
        <v>5</v>
      </c>
      <c r="AM177" s="5" t="str">
        <f t="array" aca="1" ref="AM177" ca="1">IF(AM$31&gt;$AL177,0,IF(ISERROR(OFFSET($E$31,0,SMALL(IF($E177:$X177&gt;0,COLUMN($A:$T),""),AM$31)-1)),0,OFFSET($E$31,0,SMALL(IF($E177:$X177&gt;0,COLUMN($A:$T),""),AM$31)-1)))</f>
        <v>生命</v>
      </c>
      <c r="AN177" s="5">
        <f t="array" aca="1" ref="AN177" ca="1">IF(AM$31&gt;$AL177,0,IF(ISERROR(INDEX($E177:$X177,,SMALL(IF($E177:$X177&gt;0,COLUMN($A:$T),""),AN$31))),0,INDEX($E177:$X177,,SMALL(IF($E177:$X177&gt;0,COLUMN($A:$T),""),AN$31))))</f>
        <v>10661.89947099663</v>
      </c>
      <c r="AO177" s="5" t="str">
        <f t="array" aca="1" ref="AO177" ca="1">IF(AO$31&gt;$AL177,0,IF(ISERROR(OFFSET($E$31,0,SMALL(IF($E177:$X177&gt;0,COLUMN($A:$T),""),AO$31)-1)),0,OFFSET($E$31,0,SMALL(IF($E177:$X177&gt;0,COLUMN($A:$T),""),AO$31)-1)))</f>
        <v>防御</v>
      </c>
      <c r="AP177" s="5">
        <f t="array" aca="1" ref="AP177" ca="1">IF(AO$31&gt;$AL177,0,IF(ISERROR(INDEX($E177:$X177,,SMALL(IF($E177:$X177&gt;0,COLUMN($A:$T),""),AP$31))),0,INDEX($E177:$X177,,SMALL(IF($E177:$X177&gt;0,COLUMN($A:$T),""),AP$31))))</f>
        <v>234.01420533795496</v>
      </c>
      <c r="AQ177" s="5" t="str">
        <f t="array" aca="1" ref="AQ177" ca="1">IF(AQ$31&gt;$AL177,0,IF(ISERROR(OFFSET($E$31,0,SMALL(IF($E177:$X177&gt;0,COLUMN($A:$T),""),AQ$31)-1)),0,OFFSET($E$31,0,SMALL(IF($E177:$X177&gt;0,COLUMN($A:$T),""),AQ$31)-1)))</f>
        <v>生命</v>
      </c>
      <c r="AR177" s="5">
        <f t="array" aca="1" ref="AR177" ca="1">IF(AQ$31&gt;$AL177,0,IF(ISERROR(INDEX($E177:$X177,,SMALL(IF($E177:$X177&gt;0,COLUMN($A:$T),""),AR$31))),0,INDEX($E177:$X177,,SMALL(IF($E177:$X177&gt;0,COLUMN($A:$T),""),AR$31))))</f>
        <v>2221.2290564576315</v>
      </c>
      <c r="AS177" s="5" t="str">
        <f t="array" aca="1" ref="AS177" ca="1">IF(AS$31&gt;$AL177,0,IF(ISERROR(OFFSET($E$31,0,SMALL(IF($E177:$X177&gt;0,COLUMN($A:$T),""),AS$31)-1)),0,OFFSET($E$31,0,SMALL(IF($E177:$X177&gt;0,COLUMN($A:$T),""),AS$31)-1)))</f>
        <v>防御</v>
      </c>
      <c r="AT177" s="5">
        <f t="array" aca="1" ref="AT177" ca="1">IF(AS$31&gt;$AL177,0,IF(ISERROR(INDEX($E177:$X177,,SMALL(IF($E177:$X177&gt;0,COLUMN($A:$T),""),AT$31))),0,INDEX($E177:$X177,,SMALL(IF($E177:$X177&gt;0,COLUMN($A:$T),""),AT$31))))</f>
        <v>73.129439168110935</v>
      </c>
      <c r="AU177" s="5" t="str">
        <f t="array" aca="1" ref="AU177" ca="1">IF(AU$31&gt;$AL177,0,IF(ISERROR(OFFSET($E$31,0,SMALL(IF($E177:$X177&gt;0,COLUMN($A:$T),""),AU$31)-1)),0,OFFSET($E$31,0,SMALL(IF($E177:$X177&gt;0,COLUMN($A:$T),""),AU$31)-1)))</f>
        <v>闪避值</v>
      </c>
      <c r="AV177" s="5">
        <f t="array" aca="1" ref="AV177" ca="1">IF(AU$31&gt;$AL177,0,IF(ISERROR(INDEX($E177:$X177,,SMALL(IF($E177:$X177&gt;0,COLUMN($A:$T),""),AV$31))),0,INDEX($E177:$X177,,SMALL(IF($E177:$X177&gt;0,COLUMN($A:$T),""),AV$31))))</f>
        <v>53.125000000000014</v>
      </c>
      <c r="AW177" s="5">
        <f t="array" aca="1" ref="AW177" ca="1">IF(AW$31&gt;$AL177,0,IF(ISERROR(OFFSET($E$31,0,SMALL(IF($E177:$X177&gt;0,COLUMN($A:$T),""),AW$31)-1)),0,OFFSET($E$31,0,SMALL(IF($E177:$X177&gt;0,COLUMN($A:$T),""),AW$31)-1)))</f>
        <v>0</v>
      </c>
      <c r="AX177" s="5">
        <f t="array" ref="AX177">IF(AW$31&gt;$AL177,0,IF(ISERROR(INDEX($E177:$X177,,SMALL(IF($E177:$X177&gt;0,COLUMN($A:$T),""),AX$31))),0,INDEX($E177:$X177,,SMALL(IF($E177:$X177&gt;0,COLUMN($A:$T),""),AX$31))))</f>
        <v>0</v>
      </c>
      <c r="AY177" s="5">
        <f t="array" aca="1" ref="AY177" ca="1">IF(AY$31&gt;$AL177,0,IF(ISERROR(OFFSET($E$31,0,SMALL(IF($E177:$X177&gt;0,COLUMN($A:$T),""),AY$31)-1)),0,OFFSET($E$31,0,SMALL(IF($E177:$X177&gt;0,COLUMN($A:$T),""),AY$31)-1)))</f>
        <v>0</v>
      </c>
      <c r="AZ177" s="5">
        <f t="array" ref="AZ177">IF(AY$31&gt;$AL177,0,IF(ISERROR(INDEX($E177:$X177,,SMALL(IF($E177:$X177&gt;0,COLUMN($A:$T),""),AZ$31))),0,INDEX($E177:$X177,,SMALL(IF($E177:$X177&gt;0,COLUMN($A:$T),""),AZ$31))))</f>
        <v>0</v>
      </c>
      <c r="BA177" s="5">
        <f t="array" aca="1" ref="BA177" ca="1">IF(BA$31&gt;$AL177,0,IF(ISERROR(OFFSET($E$31,0,SMALL(IF($E177:$X177&gt;0,COLUMN($A:$T),""),BA$31)-1)),0,OFFSET($E$31,0,SMALL(IF($E177:$X177&gt;0,COLUMN($A:$T),""),BA$31)-1)))</f>
        <v>0</v>
      </c>
      <c r="BB177" s="5">
        <f t="array" ref="BB177">IF(BA$31&gt;$AL177,0,IF(ISERROR(INDEX($E177:$X177,,SMALL(IF($E177:$X177&gt;0,COLUMN($A:$T),""),BB$31))),0,INDEX($E177:$X177,,SMALL(IF($E177:$X177&gt;0,COLUMN($A:$T),""),BB$31))))</f>
        <v>0</v>
      </c>
      <c r="BC177" s="5">
        <f t="array" aca="1" ref="BC177" ca="1">IF(BC$31&gt;$AL177,0,IF(ISERROR(OFFSET($E$31,0,SMALL(IF($E177:$X177&gt;0,COLUMN($A:$T),""),BC$31)-1)),0,OFFSET($E$31,0,SMALL(IF($E177:$X177&gt;0,COLUMN($A:$T),""),BC$31)-1)))</f>
        <v>0</v>
      </c>
      <c r="BD177" s="5">
        <f t="array" ref="BD177">IF(BC$31&gt;$AL177,0,IF(ISERROR(INDEX($E177:$X177,,SMALL(IF($E177:$X177&gt;0,COLUMN($A:$T),""),BD$31))),0,INDEX($E177:$X177,,SMALL(IF($E177:$X177&gt;0,COLUMN($A:$T),""),BD$31))))</f>
        <v>0</v>
      </c>
      <c r="BE177" s="5">
        <f t="array" aca="1" ref="BE177" ca="1">IF(BE$31&gt;$AL177,0,IF(ISERROR(OFFSET($E$31,0,SMALL(IF($E177:$X177&gt;0,COLUMN($A:$T),""),BE$31)-1)),0,OFFSET($E$31,0,SMALL(IF($E177:$X177&gt;0,COLUMN($A:$T),""),BE$31)-1)))</f>
        <v>0</v>
      </c>
      <c r="BF177" s="5">
        <f t="array" ref="BF177">IF(BE$31&gt;$AL177,0,IF(ISERROR(INDEX($E177:$X177,,SMALL(IF($E177:$X177&gt;0,COLUMN($A:$T),""),BF$31))),0,INDEX($E177:$X177,,SMALL(IF($E177:$X177&gt;0,COLUMN($A:$T),""),BF$31))))</f>
        <v>0</v>
      </c>
      <c r="BH177">
        <f ca="1">SUMPRODUCT(E177:N177,定义数据!$G$14:$P$14)</f>
        <v>660.4901841778202</v>
      </c>
      <c r="BI177">
        <f ca="1">SUMPRODUCT(O177:X177,定义数据!$G$14:$P$14)</f>
        <v>189.48554587086065</v>
      </c>
      <c r="BJ177" s="5">
        <f t="shared" ca="1" si="122"/>
        <v>849.97573004868082</v>
      </c>
      <c r="BK177" s="5" t="str">
        <f>D177&amp;B177&amp;VLOOKUP(C177,定义数据!$E$1:$F$7,2,FALSE)</f>
        <v>8031</v>
      </c>
    </row>
    <row r="178" spans="1:63" x14ac:dyDescent="0.15">
      <c r="A178" s="17" t="str">
        <f>D178&amp;B178&amp;VLOOKUP(C178,定义数据!$E$1:$F$7,2,FALSE)</f>
        <v>8032</v>
      </c>
      <c r="B178" s="18">
        <v>3</v>
      </c>
      <c r="C178" s="18" t="s">
        <v>137</v>
      </c>
      <c r="D178" s="24">
        <v>80</v>
      </c>
      <c r="E178" s="56">
        <f t="shared" ca="1" si="111"/>
        <v>0</v>
      </c>
      <c r="F178" s="56">
        <f t="shared" ca="1" si="112"/>
        <v>0</v>
      </c>
      <c r="G178" s="56">
        <f t="shared" ca="1" si="113"/>
        <v>156.00947022530332</v>
      </c>
      <c r="H178" s="56">
        <f t="shared" ca="1" si="114"/>
        <v>236.11111111111109</v>
      </c>
      <c r="I178" s="56">
        <f t="shared" ca="1" si="115"/>
        <v>0</v>
      </c>
      <c r="J178" s="56">
        <f t="shared" ca="1" si="116"/>
        <v>0</v>
      </c>
      <c r="K178" s="56">
        <f t="shared" ca="1" si="117"/>
        <v>0</v>
      </c>
      <c r="L178" s="56">
        <f t="shared" ca="1" si="118"/>
        <v>0</v>
      </c>
      <c r="M178" s="56">
        <f t="shared" ca="1" si="119"/>
        <v>0</v>
      </c>
      <c r="N178" s="56">
        <f t="shared" ca="1" si="120"/>
        <v>0</v>
      </c>
      <c r="O178" s="65">
        <f t="shared" ca="1" si="123"/>
        <v>1110.6145282288157</v>
      </c>
      <c r="P178" s="65">
        <f t="shared" ca="1" si="124"/>
        <v>0</v>
      </c>
      <c r="Q178" s="65">
        <f t="shared" ca="1" si="125"/>
        <v>24.376479722703642</v>
      </c>
      <c r="R178" s="65">
        <f t="shared" ca="1" si="126"/>
        <v>53.125000000000014</v>
      </c>
      <c r="S178" s="65">
        <f t="shared" ca="1" si="127"/>
        <v>0</v>
      </c>
      <c r="T178" s="65">
        <f t="shared" ca="1" si="128"/>
        <v>0</v>
      </c>
      <c r="U178" s="65">
        <f t="shared" ca="1" si="129"/>
        <v>0</v>
      </c>
      <c r="V178" s="65">
        <f t="shared" ca="1" si="130"/>
        <v>52.46913580246914</v>
      </c>
      <c r="W178" s="65">
        <f t="shared" ca="1" si="131"/>
        <v>0</v>
      </c>
      <c r="X178" s="65">
        <f t="shared" ca="1" si="132"/>
        <v>0</v>
      </c>
      <c r="Y178" s="21" t="s">
        <v>96</v>
      </c>
      <c r="Z178" s="15">
        <f>VLOOKUP($D178&amp;$B178,[3]!装备基础属性表,P$30,FALSE)</f>
        <v>22212.290564576313</v>
      </c>
      <c r="AA178" s="15">
        <f>VLOOKUP($D178&amp;$B178,[3]!装备基础属性表,Q$30,FALSE)</f>
        <v>1128.2269090909094</v>
      </c>
      <c r="AB178" s="15">
        <f>VLOOKUP($D178&amp;$B178,[3]!装备基础属性表,R$30,FALSE)</f>
        <v>487.52959445407282</v>
      </c>
      <c r="AC178" s="15">
        <f>VLOOKUP($D178&amp;$B178,[3]!装备基础属性表,S$30,FALSE)</f>
        <v>885.41666666666663</v>
      </c>
      <c r="AD178" s="15">
        <f>VLOOKUP($D178&amp;$B178,[3]!装备基础属性表,T$30,FALSE)</f>
        <v>885.41666666666663</v>
      </c>
      <c r="AE178" s="15">
        <f>VLOOKUP($D178&amp;$B178,[3]!装备基础属性表,U$30,FALSE)</f>
        <v>524.69135802469134</v>
      </c>
      <c r="AF178" s="15">
        <f>VLOOKUP($D178&amp;$B178,[3]!装备基础属性表,V$30,FALSE)</f>
        <v>0</v>
      </c>
      <c r="AG178" s="15">
        <f>VLOOKUP($D178&amp;$B178,[3]!装备基础属性表,W$30,FALSE)</f>
        <v>524.69135802469134</v>
      </c>
      <c r="AH178" s="15">
        <f>VLOOKUP($D178&amp;$B178,[3]!装备基础属性表,X$30,FALSE)</f>
        <v>0</v>
      </c>
      <c r="AI178" s="15">
        <f>VLOOKUP($D178&amp;$B178,[3]!装备基础属性表,Y$30,FALSE)</f>
        <v>0</v>
      </c>
      <c r="AJ178" s="16" t="str">
        <f>B178&amp;VLOOKUP(C178,定义数据!$E$1:$F$7,2,FALSE)&amp;D178</f>
        <v>3280</v>
      </c>
      <c r="AK178" s="14">
        <f t="shared" si="29"/>
        <v>26</v>
      </c>
      <c r="AL178" s="5">
        <f t="shared" si="121"/>
        <v>5</v>
      </c>
      <c r="AM178" s="5" t="str">
        <f t="array" aca="1" ref="AM178" ca="1">IF(AM$31&gt;$AL178,0,IF(ISERROR(OFFSET($E$31,0,SMALL(IF($E178:$X178&gt;0,COLUMN($A:$T),""),AM$31)-1)),0,OFFSET($E$31,0,SMALL(IF($E178:$X178&gt;0,COLUMN($A:$T),""),AM$31)-1)))</f>
        <v>防御</v>
      </c>
      <c r="AN178" s="5">
        <f t="array" aca="1" ref="AN178" ca="1">IF(AM$31&gt;$AL178,0,IF(ISERROR(INDEX($E178:$X178,,SMALL(IF($E178:$X178&gt;0,COLUMN($A:$T),""),AN$31))),0,INDEX($E178:$X178,,SMALL(IF($E178:$X178&gt;0,COLUMN($A:$T),""),AN$31))))</f>
        <v>156.00947022530332</v>
      </c>
      <c r="AO178" s="5" t="str">
        <f t="array" aca="1" ref="AO178" ca="1">IF(AO$31&gt;$AL178,0,IF(ISERROR(OFFSET($E$31,0,SMALL(IF($E178:$X178&gt;0,COLUMN($A:$T),""),AO$31)-1)),0,OFFSET($E$31,0,SMALL(IF($E178:$X178&gt;0,COLUMN($A:$T),""),AO$31)-1)))</f>
        <v>闪避值</v>
      </c>
      <c r="AP178" s="5">
        <f t="array" aca="1" ref="AP178" ca="1">IF(AO$31&gt;$AL178,0,IF(ISERROR(INDEX($E178:$X178,,SMALL(IF($E178:$X178&gt;0,COLUMN($A:$T),""),AP$31))),0,INDEX($E178:$X178,,SMALL(IF($E178:$X178&gt;0,COLUMN($A:$T),""),AP$31))))</f>
        <v>236.11111111111109</v>
      </c>
      <c r="AQ178" s="5" t="str">
        <f t="array" aca="1" ref="AQ178" ca="1">IF(AQ$31&gt;$AL178,0,IF(ISERROR(OFFSET($E$31,0,SMALL(IF($E178:$X178&gt;0,COLUMN($A:$T),""),AQ$31)-1)),0,OFFSET($E$31,0,SMALL(IF($E178:$X178&gt;0,COLUMN($A:$T),""),AQ$31)-1)))</f>
        <v>生命</v>
      </c>
      <c r="AR178" s="5">
        <f t="array" aca="1" ref="AR178" ca="1">IF(AQ$31&gt;$AL178,0,IF(ISERROR(INDEX($E178:$X178,,SMALL(IF($E178:$X178&gt;0,COLUMN($A:$T),""),AR$31))),0,INDEX($E178:$X178,,SMALL(IF($E178:$X178&gt;0,COLUMN($A:$T),""),AR$31))))</f>
        <v>1110.6145282288157</v>
      </c>
      <c r="AS178" s="5" t="str">
        <f t="array" aca="1" ref="AS178" ca="1">IF(AS$31&gt;$AL178,0,IF(ISERROR(OFFSET($E$31,0,SMALL(IF($E178:$X178&gt;0,COLUMN($A:$T),""),AS$31)-1)),0,OFFSET($E$31,0,SMALL(IF($E178:$X178&gt;0,COLUMN($A:$T),""),AS$31)-1)))</f>
        <v>防御</v>
      </c>
      <c r="AT178" s="5">
        <f t="array" aca="1" ref="AT178" ca="1">IF(AS$31&gt;$AL178,0,IF(ISERROR(INDEX($E178:$X178,,SMALL(IF($E178:$X178&gt;0,COLUMN($A:$T),""),AT$31))),0,INDEX($E178:$X178,,SMALL(IF($E178:$X178&gt;0,COLUMN($A:$T),""),AT$31))))</f>
        <v>24.376479722703642</v>
      </c>
      <c r="AU178" s="5" t="str">
        <f t="array" aca="1" ref="AU178" ca="1">IF(AU$31&gt;$AL178,0,IF(ISERROR(OFFSET($E$31,0,SMALL(IF($E178:$X178&gt;0,COLUMN($A:$T),""),AU$31)-1)),0,OFFSET($E$31,0,SMALL(IF($E178:$X178&gt;0,COLUMN($A:$T),""),AU$31)-1)))</f>
        <v>闪避值</v>
      </c>
      <c r="AV178" s="5">
        <f t="array" aca="1" ref="AV178" ca="1">IF(AU$31&gt;$AL178,0,IF(ISERROR(INDEX($E178:$X178,,SMALL(IF($E178:$X178&gt;0,COLUMN($A:$T),""),AV$31))),0,INDEX($E178:$X178,,SMALL(IF($E178:$X178&gt;0,COLUMN($A:$T),""),AV$31))))</f>
        <v>53.125000000000014</v>
      </c>
      <c r="AW178" s="5">
        <f t="array" aca="1" ref="AW178" ca="1">IF(AW$31&gt;$AL178,0,IF(ISERROR(OFFSET($E$31,0,SMALL(IF($E178:$X178&gt;0,COLUMN($A:$T),""),AW$31)-1)),0,OFFSET($E$31,0,SMALL(IF($E178:$X178&gt;0,COLUMN($A:$T),""),AW$31)-1)))</f>
        <v>0</v>
      </c>
      <c r="AX178" s="5">
        <f t="array" ref="AX178">IF(AW$31&gt;$AL178,0,IF(ISERROR(INDEX($E178:$X178,,SMALL(IF($E178:$X178&gt;0,COLUMN($A:$T),""),AX$31))),0,INDEX($E178:$X178,,SMALL(IF($E178:$X178&gt;0,COLUMN($A:$T),""),AX$31))))</f>
        <v>0</v>
      </c>
      <c r="AY178" s="5">
        <f t="array" aca="1" ref="AY178" ca="1">IF(AY$31&gt;$AL178,0,IF(ISERROR(OFFSET($E$31,0,SMALL(IF($E178:$X178&gt;0,COLUMN($A:$T),""),AY$31)-1)),0,OFFSET($E$31,0,SMALL(IF($E178:$X178&gt;0,COLUMN($A:$T),""),AY$31)-1)))</f>
        <v>0</v>
      </c>
      <c r="AZ178" s="5">
        <f t="array" ref="AZ178">IF(AY$31&gt;$AL178,0,IF(ISERROR(INDEX($E178:$X178,,SMALL(IF($E178:$X178&gt;0,COLUMN($A:$T),""),AZ$31))),0,INDEX($E178:$X178,,SMALL(IF($E178:$X178&gt;0,COLUMN($A:$T),""),AZ$31))))</f>
        <v>0</v>
      </c>
      <c r="BA178" s="5">
        <f t="array" aca="1" ref="BA178" ca="1">IF(BA$31&gt;$AL178,0,IF(ISERROR(OFFSET($E$31,0,SMALL(IF($E178:$X178&gt;0,COLUMN($A:$T),""),BA$31)-1)),0,OFFSET($E$31,0,SMALL(IF($E178:$X178&gt;0,COLUMN($A:$T),""),BA$31)-1)))</f>
        <v>0</v>
      </c>
      <c r="BB178" s="5">
        <f t="array" ref="BB178">IF(BA$31&gt;$AL178,0,IF(ISERROR(INDEX($E178:$X178,,SMALL(IF($E178:$X178&gt;0,COLUMN($A:$T),""),BB$31))),0,INDEX($E178:$X178,,SMALL(IF($E178:$X178&gt;0,COLUMN($A:$T),""),BB$31))))</f>
        <v>0</v>
      </c>
      <c r="BC178" s="5">
        <f t="array" aca="1" ref="BC178" ca="1">IF(BC$31&gt;$AL178,0,IF(ISERROR(OFFSET($E$31,0,SMALL(IF($E178:$X178&gt;0,COLUMN($A:$T),""),BC$31)-1)),0,OFFSET($E$31,0,SMALL(IF($E178:$X178&gt;0,COLUMN($A:$T),""),BC$31)-1)))</f>
        <v>0</v>
      </c>
      <c r="BD178" s="5">
        <f t="array" ref="BD178">IF(BC$31&gt;$AL178,0,IF(ISERROR(INDEX($E178:$X178,,SMALL(IF($E178:$X178&gt;0,COLUMN($A:$T),""),BD$31))),0,INDEX($E178:$X178,,SMALL(IF($E178:$X178&gt;0,COLUMN($A:$T),""),BD$31))))</f>
        <v>0</v>
      </c>
      <c r="BE178" s="5">
        <f t="array" aca="1" ref="BE178" ca="1">IF(BE$31&gt;$AL178,0,IF(ISERROR(OFFSET($E$31,0,SMALL(IF($E178:$X178&gt;0,COLUMN($A:$T),""),BE$31)-1)),0,OFFSET($E$31,0,SMALL(IF($E178:$X178&gt;0,COLUMN($A:$T),""),BE$31)-1)))</f>
        <v>0</v>
      </c>
      <c r="BF178" s="5">
        <f t="array" ref="BF178">IF(BE$31&gt;$AL178,0,IF(ISERROR(INDEX($E178:$X178,,SMALL(IF($E178:$X178&gt;0,COLUMN($A:$T),""),BF$31))),0,INDEX($E178:$X178,,SMALL(IF($E178:$X178&gt;0,COLUMN($A:$T),""),BF$31))))</f>
        <v>0</v>
      </c>
      <c r="BH178">
        <f ca="1">SUMPRODUCT(E178:N178,定义数据!$G$14:$P$14)</f>
        <v>236.28724800308109</v>
      </c>
      <c r="BI178">
        <f ca="1">SUMPRODUCT(O178:X178,定义数据!$G$14:$P$14)</f>
        <v>96.30800529630072</v>
      </c>
      <c r="BJ178" s="5">
        <f t="shared" ca="1" si="122"/>
        <v>332.5952532993818</v>
      </c>
      <c r="BK178" s="5" t="str">
        <f>D178&amp;B178&amp;VLOOKUP(C178,定义数据!$E$1:$F$7,2,FALSE)</f>
        <v>8032</v>
      </c>
    </row>
    <row r="179" spans="1:63" x14ac:dyDescent="0.15">
      <c r="A179" s="17" t="str">
        <f>D179&amp;B179&amp;VLOOKUP(C179,定义数据!$E$1:$F$7,2,FALSE)</f>
        <v>8035</v>
      </c>
      <c r="B179" s="18">
        <v>3</v>
      </c>
      <c r="C179" s="18" t="s">
        <v>138</v>
      </c>
      <c r="D179" s="24">
        <v>80</v>
      </c>
      <c r="E179" s="56">
        <f t="shared" ref="E179:E187" ca="1" si="133">VLOOKUP($C179,$D$4:$O$9,F$2,FALSE)/F$10*Z179*OFFSET($Q$23,0,$B179)</f>
        <v>3553.9664903322105</v>
      </c>
      <c r="F179" s="56">
        <f t="shared" ref="F179:F187" ca="1" si="134">VLOOKUP($C179,$D$4:$O$9,G$2,FALSE)/G$10*AA179*OFFSET($Q$23,0,$B179)</f>
        <v>0</v>
      </c>
      <c r="G179" s="56">
        <f t="shared" ref="G179:G187" ca="1" si="135">VLOOKUP($C179,$D$4:$O$9,H$2,FALSE)/H$10*AB179*OFFSET($Q$23,0,$B179)</f>
        <v>0</v>
      </c>
      <c r="H179" s="56">
        <f t="shared" ref="H179:H187" ca="1" si="136">VLOOKUP($C179,$D$4:$O$9,I$2,FALSE)/I$10*AC179*OFFSET($Q$23,0,$B179)</f>
        <v>472.22222222222217</v>
      </c>
      <c r="I179" s="56">
        <f t="shared" ref="I179:I187" ca="1" si="137">VLOOKUP($C179,$D$4:$O$9,J$2,FALSE)/J$10*AD179*OFFSET($Q$23,0,$B179)</f>
        <v>0</v>
      </c>
      <c r="J179" s="56">
        <f t="shared" ref="J179:J187" ca="1" si="138">VLOOKUP($C179,$D$4:$O$9,K$2,FALSE)/K$10*AE179*OFFSET($Q$23,0,$B179)</f>
        <v>0</v>
      </c>
      <c r="K179" s="56">
        <f t="shared" ref="K179:K187" ca="1" si="139">VLOOKUP($C179,$D$4:$O$9,L$2,FALSE)/L$10*AF179*OFFSET($Q$23,0,$B179)</f>
        <v>0</v>
      </c>
      <c r="L179" s="56">
        <f t="shared" ref="L179:L187" ca="1" si="140">VLOOKUP($C179,$D$4:$O$9,M$2,FALSE)/M$10*AG179*OFFSET($Q$23,0,$B179)</f>
        <v>0</v>
      </c>
      <c r="M179" s="56">
        <f t="shared" ref="M179:M187" ca="1" si="141">VLOOKUP($C179,$D$4:$O$9,N$2,FALSE)/N$10*AH179*OFFSET($Q$23,0,$B179)</f>
        <v>0</v>
      </c>
      <c r="N179" s="56">
        <f t="shared" ref="N179:N187" ca="1" si="142">VLOOKUP($C179,$D$4:$O$9,O$2,FALSE)/O$10*AI179*OFFSET($Q$23,0,$B179)</f>
        <v>0</v>
      </c>
      <c r="O179" s="65">
        <f t="shared" ca="1" si="123"/>
        <v>1110.6145282288157</v>
      </c>
      <c r="P179" s="65">
        <f t="shared" ca="1" si="124"/>
        <v>0</v>
      </c>
      <c r="Q179" s="65">
        <f t="shared" ca="1" si="125"/>
        <v>0</v>
      </c>
      <c r="R179" s="65">
        <f t="shared" ca="1" si="126"/>
        <v>106.25000000000003</v>
      </c>
      <c r="S179" s="65">
        <f t="shared" ca="1" si="127"/>
        <v>88.541666666666671</v>
      </c>
      <c r="T179" s="65">
        <f t="shared" ca="1" si="128"/>
        <v>31.481481481481488</v>
      </c>
      <c r="U179" s="65">
        <f t="shared" ca="1" si="129"/>
        <v>0</v>
      </c>
      <c r="V179" s="65">
        <f t="shared" ca="1" si="130"/>
        <v>0</v>
      </c>
      <c r="W179" s="65">
        <f t="shared" ca="1" si="131"/>
        <v>0</v>
      </c>
      <c r="X179" s="65">
        <f t="shared" ca="1" si="132"/>
        <v>0</v>
      </c>
      <c r="Y179" s="21"/>
      <c r="Z179" s="15">
        <f>VLOOKUP($D179&amp;$B179,[3]!装备基础属性表,P$30,FALSE)</f>
        <v>22212.290564576313</v>
      </c>
      <c r="AA179" s="15">
        <f>VLOOKUP($D179&amp;$B179,[3]!装备基础属性表,Q$30,FALSE)</f>
        <v>1128.2269090909094</v>
      </c>
      <c r="AB179" s="15">
        <f>VLOOKUP($D179&amp;$B179,[3]!装备基础属性表,R$30,FALSE)</f>
        <v>487.52959445407282</v>
      </c>
      <c r="AC179" s="15">
        <f>VLOOKUP($D179&amp;$B179,[3]!装备基础属性表,S$30,FALSE)</f>
        <v>885.41666666666663</v>
      </c>
      <c r="AD179" s="15">
        <f>VLOOKUP($D179&amp;$B179,[3]!装备基础属性表,T$30,FALSE)</f>
        <v>885.41666666666663</v>
      </c>
      <c r="AE179" s="15">
        <f>VLOOKUP($D179&amp;$B179,[3]!装备基础属性表,U$30,FALSE)</f>
        <v>524.69135802469134</v>
      </c>
      <c r="AF179" s="15">
        <f>VLOOKUP($D179&amp;$B179,[3]!装备基础属性表,V$30,FALSE)</f>
        <v>0</v>
      </c>
      <c r="AG179" s="15">
        <f>VLOOKUP($D179&amp;$B179,[3]!装备基础属性表,W$30,FALSE)</f>
        <v>524.69135802469134</v>
      </c>
      <c r="AH179" s="15">
        <f>VLOOKUP($D179&amp;$B179,[3]!装备基础属性表,X$30,FALSE)</f>
        <v>0</v>
      </c>
      <c r="AI179" s="15">
        <f>VLOOKUP($D179&amp;$B179,[3]!装备基础属性表,Y$30,FALSE)</f>
        <v>0</v>
      </c>
      <c r="AJ179" s="16" t="str">
        <f>B179&amp;VLOOKUP(C179,定义数据!$E$1:$F$7,2,FALSE)&amp;D179</f>
        <v>3580</v>
      </c>
      <c r="AK179" s="14">
        <f t="shared" si="29"/>
        <v>26</v>
      </c>
      <c r="AL179" s="5">
        <f t="shared" si="121"/>
        <v>5</v>
      </c>
      <c r="AM179" s="5" t="str">
        <f t="array" aca="1" ref="AM179" ca="1">IF(AM$31&gt;$AL179,0,IF(ISERROR(OFFSET($E$31,0,SMALL(IF($E179:$X179&gt;0,COLUMN($A:$T),""),AM$31)-1)),0,OFFSET($E$31,0,SMALL(IF($E179:$X179&gt;0,COLUMN($A:$T),""),AM$31)-1)))</f>
        <v>生命</v>
      </c>
      <c r="AN179" s="5">
        <f t="array" aca="1" ref="AN179" ca="1">IF(AM$31&gt;$AL179,0,IF(ISERROR(INDEX($E179:$X179,,SMALL(IF($E179:$X179&gt;0,COLUMN($A:$T),""),AN$31))),0,INDEX($E179:$X179,,SMALL(IF($E179:$X179&gt;0,COLUMN($A:$T),""),AN$31))))</f>
        <v>3553.9664903322105</v>
      </c>
      <c r="AO179" s="5" t="str">
        <f t="array" aca="1" ref="AO179" ca="1">IF(AO$31&gt;$AL179,0,IF(ISERROR(OFFSET($E$31,0,SMALL(IF($E179:$X179&gt;0,COLUMN($A:$T),""),AO$31)-1)),0,OFFSET($E$31,0,SMALL(IF($E179:$X179&gt;0,COLUMN($A:$T),""),AO$31)-1)))</f>
        <v>闪避值</v>
      </c>
      <c r="AP179" s="5">
        <f t="array" aca="1" ref="AP179" ca="1">IF(AO$31&gt;$AL179,0,IF(ISERROR(INDEX($E179:$X179,,SMALL(IF($E179:$X179&gt;0,COLUMN($A:$T),""),AP$31))),0,INDEX($E179:$X179,,SMALL(IF($E179:$X179&gt;0,COLUMN($A:$T),""),AP$31))))</f>
        <v>472.22222222222217</v>
      </c>
      <c r="AQ179" s="5" t="str">
        <f t="array" aca="1" ref="AQ179" ca="1">IF(AQ$31&gt;$AL179,0,IF(ISERROR(OFFSET($E$31,0,SMALL(IF($E179:$X179&gt;0,COLUMN($A:$T),""),AQ$31)-1)),0,OFFSET($E$31,0,SMALL(IF($E179:$X179&gt;0,COLUMN($A:$T),""),AQ$31)-1)))</f>
        <v>生命</v>
      </c>
      <c r="AR179" s="5">
        <f t="array" aca="1" ref="AR179" ca="1">IF(AQ$31&gt;$AL179,0,IF(ISERROR(INDEX($E179:$X179,,SMALL(IF($E179:$X179&gt;0,COLUMN($A:$T),""),AR$31))),0,INDEX($E179:$X179,,SMALL(IF($E179:$X179&gt;0,COLUMN($A:$T),""),AR$31))))</f>
        <v>1110.6145282288157</v>
      </c>
      <c r="AS179" s="5" t="str">
        <f t="array" aca="1" ref="AS179" ca="1">IF(AS$31&gt;$AL179,0,IF(ISERROR(OFFSET($E$31,0,SMALL(IF($E179:$X179&gt;0,COLUMN($A:$T),""),AS$31)-1)),0,OFFSET($E$31,0,SMALL(IF($E179:$X179&gt;0,COLUMN($A:$T),""),AS$31)-1)))</f>
        <v>闪避值</v>
      </c>
      <c r="AT179" s="5">
        <f t="array" aca="1" ref="AT179" ca="1">IF(AS$31&gt;$AL179,0,IF(ISERROR(INDEX($E179:$X179,,SMALL(IF($E179:$X179&gt;0,COLUMN($A:$T),""),AT$31))),0,INDEX($E179:$X179,,SMALL(IF($E179:$X179&gt;0,COLUMN($A:$T),""),AT$31))))</f>
        <v>106.25000000000003</v>
      </c>
      <c r="AU179" s="5" t="str">
        <f t="array" aca="1" ref="AU179" ca="1">IF(AU$31&gt;$AL179,0,IF(ISERROR(OFFSET($E$31,0,SMALL(IF($E179:$X179&gt;0,COLUMN($A:$T),""),AU$31)-1)),0,OFFSET($E$31,0,SMALL(IF($E179:$X179&gt;0,COLUMN($A:$T),""),AU$31)-1)))</f>
        <v>命中值</v>
      </c>
      <c r="AV179" s="5">
        <f t="array" aca="1" ref="AV179" ca="1">IF(AU$31&gt;$AL179,0,IF(ISERROR(INDEX($E179:$X179,,SMALL(IF($E179:$X179&gt;0,COLUMN($A:$T),""),AV$31))),0,INDEX($E179:$X179,,SMALL(IF($E179:$X179&gt;0,COLUMN($A:$T),""),AV$31))))</f>
        <v>88.541666666666671</v>
      </c>
      <c r="AW179" s="5">
        <f t="array" aca="1" ref="AW179" ca="1">IF(AW$31&gt;$AL179,0,IF(ISERROR(OFFSET($E$31,0,SMALL(IF($E179:$X179&gt;0,COLUMN($A:$T),""),AW$31)-1)),0,OFFSET($E$31,0,SMALL(IF($E179:$X179&gt;0,COLUMN($A:$T),""),AW$31)-1)))</f>
        <v>0</v>
      </c>
      <c r="AX179" s="5">
        <f t="array" ref="AX179">IF(AW$31&gt;$AL179,0,IF(ISERROR(INDEX($E179:$X179,,SMALL(IF($E179:$X179&gt;0,COLUMN($A:$T),""),AX$31))),0,INDEX($E179:$X179,,SMALL(IF($E179:$X179&gt;0,COLUMN($A:$T),""),AX$31))))</f>
        <v>0</v>
      </c>
      <c r="AY179" s="5">
        <f t="array" aca="1" ref="AY179" ca="1">IF(AY$31&gt;$AL179,0,IF(ISERROR(OFFSET($E$31,0,SMALL(IF($E179:$X179&gt;0,COLUMN($A:$T),""),AY$31)-1)),0,OFFSET($E$31,0,SMALL(IF($E179:$X179&gt;0,COLUMN($A:$T),""),AY$31)-1)))</f>
        <v>0</v>
      </c>
      <c r="AZ179" s="5">
        <f t="array" ref="AZ179">IF(AY$31&gt;$AL179,0,IF(ISERROR(INDEX($E179:$X179,,SMALL(IF($E179:$X179&gt;0,COLUMN($A:$T),""),AZ$31))),0,INDEX($E179:$X179,,SMALL(IF($E179:$X179&gt;0,COLUMN($A:$T),""),AZ$31))))</f>
        <v>0</v>
      </c>
      <c r="BA179" s="5">
        <f t="array" aca="1" ref="BA179" ca="1">IF(BA$31&gt;$AL179,0,IF(ISERROR(OFFSET($E$31,0,SMALL(IF($E179:$X179&gt;0,COLUMN($A:$T),""),BA$31)-1)),0,OFFSET($E$31,0,SMALL(IF($E179:$X179&gt;0,COLUMN($A:$T),""),BA$31)-1)))</f>
        <v>0</v>
      </c>
      <c r="BB179" s="5">
        <f t="array" ref="BB179">IF(BA$31&gt;$AL179,0,IF(ISERROR(INDEX($E179:$X179,,SMALL(IF($E179:$X179&gt;0,COLUMN($A:$T),""),BB$31))),0,INDEX($E179:$X179,,SMALL(IF($E179:$X179&gt;0,COLUMN($A:$T),""),BB$31))))</f>
        <v>0</v>
      </c>
      <c r="BC179" s="5">
        <f t="array" aca="1" ref="BC179" ca="1">IF(BC$31&gt;$AL179,0,IF(ISERROR(OFFSET($E$31,0,SMALL(IF($E179:$X179&gt;0,COLUMN($A:$T),""),BC$31)-1)),0,OFFSET($E$31,0,SMALL(IF($E179:$X179&gt;0,COLUMN($A:$T),""),BC$31)-1)))</f>
        <v>0</v>
      </c>
      <c r="BD179" s="5">
        <f t="array" ref="BD179">IF(BC$31&gt;$AL179,0,IF(ISERROR(INDEX($E179:$X179,,SMALL(IF($E179:$X179&gt;0,COLUMN($A:$T),""),BD$31))),0,INDEX($E179:$X179,,SMALL(IF($E179:$X179&gt;0,COLUMN($A:$T),""),BD$31))))</f>
        <v>0</v>
      </c>
      <c r="BE179" s="5">
        <f t="array" aca="1" ref="BE179" ca="1">IF(BE$31&gt;$AL179,0,IF(ISERROR(OFFSET($E$31,0,SMALL(IF($E179:$X179&gt;0,COLUMN($A:$T),""),BE$31)-1)),0,OFFSET($E$31,0,SMALL(IF($E179:$X179&gt;0,COLUMN($A:$T),""),BE$31)-1)))</f>
        <v>0</v>
      </c>
      <c r="BF179" s="5">
        <f t="array" ref="BF179">IF(BE$31&gt;$AL179,0,IF(ISERROR(INDEX($E179:$X179,,SMALL(IF($E179:$X179&gt;0,COLUMN($A:$T),""),BF$31))),0,INDEX($E179:$X179,,SMALL(IF($E179:$X179&gt;0,COLUMN($A:$T),""),BF$31))))</f>
        <v>0</v>
      </c>
      <c r="BH179">
        <f ca="1">SUMPRODUCT(E179:N179,定义数据!$G$14:$P$14)</f>
        <v>302.71421516884396</v>
      </c>
      <c r="BI179">
        <f ca="1">SUMPRODUCT(O179:X179,定义数据!$G$14:$P$14)</f>
        <v>116.32041446248599</v>
      </c>
      <c r="BJ179" s="5">
        <f t="shared" ca="1" si="122"/>
        <v>419.03462963132995</v>
      </c>
      <c r="BK179" s="5" t="str">
        <f>D179&amp;B179&amp;VLOOKUP(C179,定义数据!$E$1:$F$7,2,FALSE)</f>
        <v>8035</v>
      </c>
    </row>
    <row r="180" spans="1:63" x14ac:dyDescent="0.15">
      <c r="A180" s="17" t="str">
        <f>D180&amp;B180&amp;VLOOKUP(C180,定义数据!$E$1:$F$7,2,FALSE)</f>
        <v>8034</v>
      </c>
      <c r="B180" s="18">
        <v>3</v>
      </c>
      <c r="C180" s="18" t="s">
        <v>139</v>
      </c>
      <c r="D180" s="24">
        <v>80</v>
      </c>
      <c r="E180" s="56">
        <f t="shared" ca="1" si="133"/>
        <v>3553.9664903322105</v>
      </c>
      <c r="F180" s="56">
        <f t="shared" ca="1" si="134"/>
        <v>0</v>
      </c>
      <c r="G180" s="56">
        <f t="shared" ca="1" si="135"/>
        <v>0</v>
      </c>
      <c r="H180" s="56">
        <f t="shared" ca="1" si="136"/>
        <v>0</v>
      </c>
      <c r="I180" s="56">
        <f t="shared" ca="1" si="137"/>
        <v>0</v>
      </c>
      <c r="J180" s="56">
        <f t="shared" ca="1" si="138"/>
        <v>0</v>
      </c>
      <c r="K180" s="56">
        <f t="shared" ca="1" si="139"/>
        <v>0</v>
      </c>
      <c r="L180" s="56">
        <f t="shared" ca="1" si="140"/>
        <v>419.75308641975312</v>
      </c>
      <c r="M180" s="56">
        <f t="shared" ca="1" si="141"/>
        <v>0</v>
      </c>
      <c r="N180" s="56">
        <f t="shared" ca="1" si="142"/>
        <v>0</v>
      </c>
      <c r="O180" s="65">
        <f t="shared" ca="1" si="123"/>
        <v>2221.2290564576315</v>
      </c>
      <c r="P180" s="65">
        <f t="shared" ca="1" si="124"/>
        <v>67.693614545454579</v>
      </c>
      <c r="Q180" s="65">
        <f t="shared" ca="1" si="125"/>
        <v>24.376479722703642</v>
      </c>
      <c r="R180" s="65">
        <f t="shared" ca="1" si="126"/>
        <v>0</v>
      </c>
      <c r="S180" s="65">
        <f t="shared" ca="1" si="127"/>
        <v>0</v>
      </c>
      <c r="T180" s="65">
        <f t="shared" ca="1" si="128"/>
        <v>0</v>
      </c>
      <c r="U180" s="65">
        <f t="shared" ca="1" si="129"/>
        <v>0</v>
      </c>
      <c r="V180" s="65">
        <f t="shared" ca="1" si="130"/>
        <v>52.46913580246914</v>
      </c>
      <c r="W180" s="65">
        <f t="shared" ca="1" si="131"/>
        <v>0</v>
      </c>
      <c r="X180" s="65">
        <f t="shared" ca="1" si="132"/>
        <v>0</v>
      </c>
      <c r="Y180" s="21"/>
      <c r="Z180" s="15">
        <f>VLOOKUP($D180&amp;$B180,[3]!装备基础属性表,P$30,FALSE)</f>
        <v>22212.290564576313</v>
      </c>
      <c r="AA180" s="15">
        <f>VLOOKUP($D180&amp;$B180,[3]!装备基础属性表,Q$30,FALSE)</f>
        <v>1128.2269090909094</v>
      </c>
      <c r="AB180" s="15">
        <f>VLOOKUP($D180&amp;$B180,[3]!装备基础属性表,R$30,FALSE)</f>
        <v>487.52959445407282</v>
      </c>
      <c r="AC180" s="15">
        <f>VLOOKUP($D180&amp;$B180,[3]!装备基础属性表,S$30,FALSE)</f>
        <v>885.41666666666663</v>
      </c>
      <c r="AD180" s="15">
        <f>VLOOKUP($D180&amp;$B180,[3]!装备基础属性表,T$30,FALSE)</f>
        <v>885.41666666666663</v>
      </c>
      <c r="AE180" s="15">
        <f>VLOOKUP($D180&amp;$B180,[3]!装备基础属性表,U$30,FALSE)</f>
        <v>524.69135802469134</v>
      </c>
      <c r="AF180" s="15">
        <f>VLOOKUP($D180&amp;$B180,[3]!装备基础属性表,V$30,FALSE)</f>
        <v>0</v>
      </c>
      <c r="AG180" s="15">
        <f>VLOOKUP($D180&amp;$B180,[3]!装备基础属性表,W$30,FALSE)</f>
        <v>524.69135802469134</v>
      </c>
      <c r="AH180" s="15">
        <f>VLOOKUP($D180&amp;$B180,[3]!装备基础属性表,X$30,FALSE)</f>
        <v>0</v>
      </c>
      <c r="AI180" s="15">
        <f>VLOOKUP($D180&amp;$B180,[3]!装备基础属性表,Y$30,FALSE)</f>
        <v>0</v>
      </c>
      <c r="AJ180" s="16" t="str">
        <f>B180&amp;VLOOKUP(C180,定义数据!$E$1:$F$7,2,FALSE)&amp;D180</f>
        <v>3480</v>
      </c>
      <c r="AK180" s="14">
        <f t="shared" si="29"/>
        <v>26</v>
      </c>
      <c r="AL180" s="5">
        <f t="shared" si="121"/>
        <v>5</v>
      </c>
      <c r="AM180" s="5" t="str">
        <f t="array" aca="1" ref="AM180" ca="1">IF(AM$31&gt;$AL180,0,IF(ISERROR(OFFSET($E$31,0,SMALL(IF($E180:$X180&gt;0,COLUMN($A:$T),""),AM$31)-1)),0,OFFSET($E$31,0,SMALL(IF($E180:$X180&gt;0,COLUMN($A:$T),""),AM$31)-1)))</f>
        <v>生命</v>
      </c>
      <c r="AN180" s="5">
        <f t="array" aca="1" ref="AN180" ca="1">IF(AM$31&gt;$AL180,0,IF(ISERROR(INDEX($E180:$X180,,SMALL(IF($E180:$X180&gt;0,COLUMN($A:$T),""),AN$31))),0,INDEX($E180:$X180,,SMALL(IF($E180:$X180&gt;0,COLUMN($A:$T),""),AN$31))))</f>
        <v>3553.9664903322105</v>
      </c>
      <c r="AO180" s="5" t="str">
        <f t="array" aca="1" ref="AO180" ca="1">IF(AO$31&gt;$AL180,0,IF(ISERROR(OFFSET($E$31,0,SMALL(IF($E180:$X180&gt;0,COLUMN($A:$T),""),AO$31)-1)),0,OFFSET($E$31,0,SMALL(IF($E180:$X180&gt;0,COLUMN($A:$T),""),AO$31)-1)))</f>
        <v>韧性值</v>
      </c>
      <c r="AP180" s="5">
        <f t="array" aca="1" ref="AP180" ca="1">IF(AO$31&gt;$AL180,0,IF(ISERROR(INDEX($E180:$X180,,SMALL(IF($E180:$X180&gt;0,COLUMN($A:$T),""),AP$31))),0,INDEX($E180:$X180,,SMALL(IF($E180:$X180&gt;0,COLUMN($A:$T),""),AP$31))))</f>
        <v>419.75308641975312</v>
      </c>
      <c r="AQ180" s="5" t="str">
        <f t="array" aca="1" ref="AQ180" ca="1">IF(AQ$31&gt;$AL180,0,IF(ISERROR(OFFSET($E$31,0,SMALL(IF($E180:$X180&gt;0,COLUMN($A:$T),""),AQ$31)-1)),0,OFFSET($E$31,0,SMALL(IF($E180:$X180&gt;0,COLUMN($A:$T),""),AQ$31)-1)))</f>
        <v>生命</v>
      </c>
      <c r="AR180" s="5">
        <f t="array" aca="1" ref="AR180" ca="1">IF(AQ$31&gt;$AL180,0,IF(ISERROR(INDEX($E180:$X180,,SMALL(IF($E180:$X180&gt;0,COLUMN($A:$T),""),AR$31))),0,INDEX($E180:$X180,,SMALL(IF($E180:$X180&gt;0,COLUMN($A:$T),""),AR$31))))</f>
        <v>2221.2290564576315</v>
      </c>
      <c r="AS180" s="5" t="str">
        <f t="array" aca="1" ref="AS180" ca="1">IF(AS$31&gt;$AL180,0,IF(ISERROR(OFFSET($E$31,0,SMALL(IF($E180:$X180&gt;0,COLUMN($A:$T),""),AS$31)-1)),0,OFFSET($E$31,0,SMALL(IF($E180:$X180&gt;0,COLUMN($A:$T),""),AS$31)-1)))</f>
        <v>攻击</v>
      </c>
      <c r="AT180" s="5">
        <f t="array" aca="1" ref="AT180" ca="1">IF(AS$31&gt;$AL180,0,IF(ISERROR(INDEX($E180:$X180,,SMALL(IF($E180:$X180&gt;0,COLUMN($A:$T),""),AT$31))),0,INDEX($E180:$X180,,SMALL(IF($E180:$X180&gt;0,COLUMN($A:$T),""),AT$31))))</f>
        <v>67.693614545454579</v>
      </c>
      <c r="AU180" s="5" t="str">
        <f t="array" aca="1" ref="AU180" ca="1">IF(AU$31&gt;$AL180,0,IF(ISERROR(OFFSET($E$31,0,SMALL(IF($E180:$X180&gt;0,COLUMN($A:$T),""),AU$31)-1)),0,OFFSET($E$31,0,SMALL(IF($E180:$X180&gt;0,COLUMN($A:$T),""),AU$31)-1)))</f>
        <v>防御</v>
      </c>
      <c r="AV180" s="5">
        <f t="array" aca="1" ref="AV180" ca="1">IF(AU$31&gt;$AL180,0,IF(ISERROR(INDEX($E180:$X180,,SMALL(IF($E180:$X180&gt;0,COLUMN($A:$T),""),AV$31))),0,INDEX($E180:$X180,,SMALL(IF($E180:$X180&gt;0,COLUMN($A:$T),""),AV$31))))</f>
        <v>24.376479722703642</v>
      </c>
      <c r="AW180" s="5">
        <f t="array" aca="1" ref="AW180" ca="1">IF(AW$31&gt;$AL180,0,IF(ISERROR(OFFSET($E$31,0,SMALL(IF($E180:$X180&gt;0,COLUMN($A:$T),""),AW$31)-1)),0,OFFSET($E$31,0,SMALL(IF($E180:$X180&gt;0,COLUMN($A:$T),""),AW$31)-1)))</f>
        <v>0</v>
      </c>
      <c r="AX180" s="5">
        <f t="array" ref="AX180">IF(AW$31&gt;$AL180,0,IF(ISERROR(INDEX($E180:$X180,,SMALL(IF($E180:$X180&gt;0,COLUMN($A:$T),""),AX$31))),0,INDEX($E180:$X180,,SMALL(IF($E180:$X180&gt;0,COLUMN($A:$T),""),AX$31))))</f>
        <v>0</v>
      </c>
      <c r="AY180" s="5">
        <f t="array" aca="1" ref="AY180" ca="1">IF(AY$31&gt;$AL180,0,IF(ISERROR(OFFSET($E$31,0,SMALL(IF($E180:$X180&gt;0,COLUMN($A:$T),""),AY$31)-1)),0,OFFSET($E$31,0,SMALL(IF($E180:$X180&gt;0,COLUMN($A:$T),""),AY$31)-1)))</f>
        <v>0</v>
      </c>
      <c r="AZ180" s="5">
        <f t="array" ref="AZ180">IF(AY$31&gt;$AL180,0,IF(ISERROR(INDEX($E180:$X180,,SMALL(IF($E180:$X180&gt;0,COLUMN($A:$T),""),AZ$31))),0,INDEX($E180:$X180,,SMALL(IF($E180:$X180&gt;0,COLUMN($A:$T),""),AZ$31))))</f>
        <v>0</v>
      </c>
      <c r="BA180" s="5">
        <f t="array" aca="1" ref="BA180" ca="1">IF(BA$31&gt;$AL180,0,IF(ISERROR(OFFSET($E$31,0,SMALL(IF($E180:$X180&gt;0,COLUMN($A:$T),""),BA$31)-1)),0,OFFSET($E$31,0,SMALL(IF($E180:$X180&gt;0,COLUMN($A:$T),""),BA$31)-1)))</f>
        <v>0</v>
      </c>
      <c r="BB180" s="5">
        <f t="array" ref="BB180">IF(BA$31&gt;$AL180,0,IF(ISERROR(INDEX($E180:$X180,,SMALL(IF($E180:$X180&gt;0,COLUMN($A:$T),""),BB$31))),0,INDEX($E180:$X180,,SMALL(IF($E180:$X180&gt;0,COLUMN($A:$T),""),BB$31))))</f>
        <v>0</v>
      </c>
      <c r="BC180" s="5">
        <f t="array" aca="1" ref="BC180" ca="1">IF(BC$31&gt;$AL180,0,IF(ISERROR(OFFSET($E$31,0,SMALL(IF($E180:$X180&gt;0,COLUMN($A:$T),""),BC$31)-1)),0,OFFSET($E$31,0,SMALL(IF($E180:$X180&gt;0,COLUMN($A:$T),""),BC$31)-1)))</f>
        <v>0</v>
      </c>
      <c r="BD180" s="5">
        <f t="array" ref="BD180">IF(BC$31&gt;$AL180,0,IF(ISERROR(INDEX($E180:$X180,,SMALL(IF($E180:$X180&gt;0,COLUMN($A:$T),""),BD$31))),0,INDEX($E180:$X180,,SMALL(IF($E180:$X180&gt;0,COLUMN($A:$T),""),BD$31))))</f>
        <v>0</v>
      </c>
      <c r="BE180" s="5">
        <f t="array" aca="1" ref="BE180" ca="1">IF(BE$31&gt;$AL180,0,IF(ISERROR(OFFSET($E$31,0,SMALL(IF($E180:$X180&gt;0,COLUMN($A:$T),""),BE$31)-1)),0,OFFSET($E$31,0,SMALL(IF($E180:$X180&gt;0,COLUMN($A:$T),""),BE$31)-1)))</f>
        <v>0</v>
      </c>
      <c r="BF180" s="5">
        <f t="array" ref="BF180">IF(BE$31&gt;$AL180,0,IF(ISERROR(INDEX($E180:$X180,,SMALL(IF($E180:$X180&gt;0,COLUMN($A:$T),""),BF$31))),0,INDEX($E180:$X180,,SMALL(IF($E180:$X180&gt;0,COLUMN($A:$T),""),BF$31))))</f>
        <v>0</v>
      </c>
      <c r="BH180">
        <f ca="1">SUMPRODUCT(E180:N180,定义数据!$G$14:$P$14)</f>
        <v>217.71421516884396</v>
      </c>
      <c r="BI180">
        <f ca="1">SUMPRODUCT(O180:X180,定义数据!$G$14:$P$14)</f>
        <v>190.36370097090793</v>
      </c>
      <c r="BJ180" s="5">
        <f t="shared" ca="1" si="122"/>
        <v>408.07791613975189</v>
      </c>
      <c r="BK180" s="5" t="str">
        <f>D180&amp;B180&amp;VLOOKUP(C180,定义数据!$E$1:$F$7,2,FALSE)</f>
        <v>8034</v>
      </c>
    </row>
    <row r="181" spans="1:63" x14ac:dyDescent="0.15">
      <c r="A181" s="17" t="str">
        <f>D181&amp;B181&amp;VLOOKUP(C181,定义数据!$E$1:$F$7,2,FALSE)</f>
        <v>8033</v>
      </c>
      <c r="B181" s="18">
        <v>3</v>
      </c>
      <c r="C181" s="18" t="s">
        <v>140</v>
      </c>
      <c r="D181" s="24">
        <v>80</v>
      </c>
      <c r="E181" s="56">
        <f t="shared" ca="1" si="133"/>
        <v>0</v>
      </c>
      <c r="F181" s="56">
        <f t="shared" ca="1" si="134"/>
        <v>225.6453818181819</v>
      </c>
      <c r="G181" s="56">
        <f t="shared" ca="1" si="135"/>
        <v>0</v>
      </c>
      <c r="H181" s="56">
        <f t="shared" ca="1" si="136"/>
        <v>0</v>
      </c>
      <c r="I181" s="56">
        <f t="shared" ca="1" si="137"/>
        <v>708.33333333333337</v>
      </c>
      <c r="J181" s="56">
        <f t="shared" ca="1" si="138"/>
        <v>0</v>
      </c>
      <c r="K181" s="56">
        <f t="shared" ca="1" si="139"/>
        <v>0</v>
      </c>
      <c r="L181" s="56">
        <f t="shared" ca="1" si="140"/>
        <v>0</v>
      </c>
      <c r="M181" s="56">
        <f t="shared" ca="1" si="141"/>
        <v>0</v>
      </c>
      <c r="N181" s="56">
        <f t="shared" ca="1" si="142"/>
        <v>0</v>
      </c>
      <c r="O181" s="65">
        <f t="shared" ca="1" si="123"/>
        <v>0</v>
      </c>
      <c r="P181" s="65">
        <f t="shared" ca="1" si="124"/>
        <v>67.693614545454579</v>
      </c>
      <c r="Q181" s="65">
        <f t="shared" ca="1" si="125"/>
        <v>0</v>
      </c>
      <c r="R181" s="65">
        <f t="shared" ca="1" si="126"/>
        <v>53.125000000000014</v>
      </c>
      <c r="S181" s="65">
        <f t="shared" ca="1" si="127"/>
        <v>88.541666666666671</v>
      </c>
      <c r="T181" s="65">
        <f t="shared" ca="1" si="128"/>
        <v>62.962962962962976</v>
      </c>
      <c r="U181" s="65">
        <f t="shared" ca="1" si="129"/>
        <v>0</v>
      </c>
      <c r="V181" s="65">
        <f t="shared" ca="1" si="130"/>
        <v>0</v>
      </c>
      <c r="W181" s="65">
        <f t="shared" ca="1" si="131"/>
        <v>0</v>
      </c>
      <c r="X181" s="65">
        <f t="shared" ca="1" si="132"/>
        <v>0</v>
      </c>
      <c r="Y181" s="21"/>
      <c r="Z181" s="15">
        <f>VLOOKUP($D181&amp;$B181,[3]!装备基础属性表,P$30,FALSE)</f>
        <v>22212.290564576313</v>
      </c>
      <c r="AA181" s="15">
        <f>VLOOKUP($D181&amp;$B181,[3]!装备基础属性表,Q$30,FALSE)</f>
        <v>1128.2269090909094</v>
      </c>
      <c r="AB181" s="15">
        <f>VLOOKUP($D181&amp;$B181,[3]!装备基础属性表,R$30,FALSE)</f>
        <v>487.52959445407282</v>
      </c>
      <c r="AC181" s="15">
        <f>VLOOKUP($D181&amp;$B181,[3]!装备基础属性表,S$30,FALSE)</f>
        <v>885.41666666666663</v>
      </c>
      <c r="AD181" s="15">
        <f>VLOOKUP($D181&amp;$B181,[3]!装备基础属性表,T$30,FALSE)</f>
        <v>885.41666666666663</v>
      </c>
      <c r="AE181" s="15">
        <f>VLOOKUP($D181&amp;$B181,[3]!装备基础属性表,U$30,FALSE)</f>
        <v>524.69135802469134</v>
      </c>
      <c r="AF181" s="15">
        <f>VLOOKUP($D181&amp;$B181,[3]!装备基础属性表,V$30,FALSE)</f>
        <v>0</v>
      </c>
      <c r="AG181" s="15">
        <f>VLOOKUP($D181&amp;$B181,[3]!装备基础属性表,W$30,FALSE)</f>
        <v>524.69135802469134</v>
      </c>
      <c r="AH181" s="15">
        <f>VLOOKUP($D181&amp;$B181,[3]!装备基础属性表,X$30,FALSE)</f>
        <v>0</v>
      </c>
      <c r="AI181" s="15">
        <f>VLOOKUP($D181&amp;$B181,[3]!装备基础属性表,Y$30,FALSE)</f>
        <v>0</v>
      </c>
      <c r="AJ181" s="16" t="str">
        <f>B181&amp;VLOOKUP(C181,定义数据!$E$1:$F$7,2,FALSE)&amp;D181</f>
        <v>3380</v>
      </c>
      <c r="AK181" s="14">
        <f t="shared" si="29"/>
        <v>26</v>
      </c>
      <c r="AL181" s="5">
        <f t="shared" si="121"/>
        <v>5</v>
      </c>
      <c r="AM181" s="5" t="str">
        <f t="array" aca="1" ref="AM181" ca="1">IF(AM$31&gt;$AL181,0,IF(ISERROR(OFFSET($E$31,0,SMALL(IF($E181:$X181&gt;0,COLUMN($A:$T),""),AM$31)-1)),0,OFFSET($E$31,0,SMALL(IF($E181:$X181&gt;0,COLUMN($A:$T),""),AM$31)-1)))</f>
        <v>攻击</v>
      </c>
      <c r="AN181" s="5">
        <f t="array" aca="1" ref="AN181" ca="1">IF(AM$31&gt;$AL181,0,IF(ISERROR(INDEX($E181:$X181,,SMALL(IF($E181:$X181&gt;0,COLUMN($A:$T),""),AN$31))),0,INDEX($E181:$X181,,SMALL(IF($E181:$X181&gt;0,COLUMN($A:$T),""),AN$31))))</f>
        <v>225.6453818181819</v>
      </c>
      <c r="AO181" s="5" t="str">
        <f t="array" aca="1" ref="AO181" ca="1">IF(AO$31&gt;$AL181,0,IF(ISERROR(OFFSET($E$31,0,SMALL(IF($E181:$X181&gt;0,COLUMN($A:$T),""),AO$31)-1)),0,OFFSET($E$31,0,SMALL(IF($E181:$X181&gt;0,COLUMN($A:$T),""),AO$31)-1)))</f>
        <v>命中值</v>
      </c>
      <c r="AP181" s="5">
        <f t="array" aca="1" ref="AP181" ca="1">IF(AO$31&gt;$AL181,0,IF(ISERROR(INDEX($E181:$X181,,SMALL(IF($E181:$X181&gt;0,COLUMN($A:$T),""),AP$31))),0,INDEX($E181:$X181,,SMALL(IF($E181:$X181&gt;0,COLUMN($A:$T),""),AP$31))))</f>
        <v>708.33333333333337</v>
      </c>
      <c r="AQ181" s="5" t="str">
        <f t="array" aca="1" ref="AQ181" ca="1">IF(AQ$31&gt;$AL181,0,IF(ISERROR(OFFSET($E$31,0,SMALL(IF($E181:$X181&gt;0,COLUMN($A:$T),""),AQ$31)-1)),0,OFFSET($E$31,0,SMALL(IF($E181:$X181&gt;0,COLUMN($A:$T),""),AQ$31)-1)))</f>
        <v>攻击</v>
      </c>
      <c r="AR181" s="5">
        <f t="array" aca="1" ref="AR181" ca="1">IF(AQ$31&gt;$AL181,0,IF(ISERROR(INDEX($E181:$X181,,SMALL(IF($E181:$X181&gt;0,COLUMN($A:$T),""),AR$31))),0,INDEX($E181:$X181,,SMALL(IF($E181:$X181&gt;0,COLUMN($A:$T),""),AR$31))))</f>
        <v>67.693614545454579</v>
      </c>
      <c r="AS181" s="5" t="str">
        <f t="array" aca="1" ref="AS181" ca="1">IF(AS$31&gt;$AL181,0,IF(ISERROR(OFFSET($E$31,0,SMALL(IF($E181:$X181&gt;0,COLUMN($A:$T),""),AS$31)-1)),0,OFFSET($E$31,0,SMALL(IF($E181:$X181&gt;0,COLUMN($A:$T),""),AS$31)-1)))</f>
        <v>闪避值</v>
      </c>
      <c r="AT181" s="5">
        <f t="array" aca="1" ref="AT181" ca="1">IF(AS$31&gt;$AL181,0,IF(ISERROR(INDEX($E181:$X181,,SMALL(IF($E181:$X181&gt;0,COLUMN($A:$T),""),AT$31))),0,INDEX($E181:$X181,,SMALL(IF($E181:$X181&gt;0,COLUMN($A:$T),""),AT$31))))</f>
        <v>53.125000000000014</v>
      </c>
      <c r="AU181" s="5" t="str">
        <f t="array" aca="1" ref="AU181" ca="1">IF(AU$31&gt;$AL181,0,IF(ISERROR(OFFSET($E$31,0,SMALL(IF($E181:$X181&gt;0,COLUMN($A:$T),""),AU$31)-1)),0,OFFSET($E$31,0,SMALL(IF($E181:$X181&gt;0,COLUMN($A:$T),""),AU$31)-1)))</f>
        <v>命中值</v>
      </c>
      <c r="AV181" s="5">
        <f t="array" aca="1" ref="AV181" ca="1">IF(AU$31&gt;$AL181,0,IF(ISERROR(INDEX($E181:$X181,,SMALL(IF($E181:$X181&gt;0,COLUMN($A:$T),""),AV$31))),0,INDEX($E181:$X181,,SMALL(IF($E181:$X181&gt;0,COLUMN($A:$T),""),AV$31))))</f>
        <v>88.541666666666671</v>
      </c>
      <c r="AW181" s="5">
        <f t="array" aca="1" ref="AW181" ca="1">IF(AW$31&gt;$AL181,0,IF(ISERROR(OFFSET($E$31,0,SMALL(IF($E181:$X181&gt;0,COLUMN($A:$T),""),AW$31)-1)),0,OFFSET($E$31,0,SMALL(IF($E181:$X181&gt;0,COLUMN($A:$T),""),AW$31)-1)))</f>
        <v>0</v>
      </c>
      <c r="AX181" s="5">
        <f t="array" ref="AX181">IF(AW$31&gt;$AL181,0,IF(ISERROR(INDEX($E181:$X181,,SMALL(IF($E181:$X181&gt;0,COLUMN($A:$T),""),AX$31))),0,INDEX($E181:$X181,,SMALL(IF($E181:$X181&gt;0,COLUMN($A:$T),""),AX$31))))</f>
        <v>0</v>
      </c>
      <c r="AY181" s="5">
        <f t="array" aca="1" ref="AY181" ca="1">IF(AY$31&gt;$AL181,0,IF(ISERROR(OFFSET($E$31,0,SMALL(IF($E181:$X181&gt;0,COLUMN($A:$T),""),AY$31)-1)),0,OFFSET($E$31,0,SMALL(IF($E181:$X181&gt;0,COLUMN($A:$T),""),AY$31)-1)))</f>
        <v>0</v>
      </c>
      <c r="AZ181" s="5">
        <f t="array" ref="AZ181">IF(AY$31&gt;$AL181,0,IF(ISERROR(INDEX($E181:$X181,,SMALL(IF($E181:$X181&gt;0,COLUMN($A:$T),""),AZ$31))),0,INDEX($E181:$X181,,SMALL(IF($E181:$X181&gt;0,COLUMN($A:$T),""),AZ$31))))</f>
        <v>0</v>
      </c>
      <c r="BA181" s="5">
        <f t="array" aca="1" ref="BA181" ca="1">IF(BA$31&gt;$AL181,0,IF(ISERROR(OFFSET($E$31,0,SMALL(IF($E181:$X181&gt;0,COLUMN($A:$T),""),BA$31)-1)),0,OFFSET($E$31,0,SMALL(IF($E181:$X181&gt;0,COLUMN($A:$T),""),BA$31)-1)))</f>
        <v>0</v>
      </c>
      <c r="BB181" s="5">
        <f t="array" ref="BB181">IF(BA$31&gt;$AL181,0,IF(ISERROR(INDEX($E181:$X181,,SMALL(IF($E181:$X181&gt;0,COLUMN($A:$T),""),BB$31))),0,INDEX($E181:$X181,,SMALL(IF($E181:$X181&gt;0,COLUMN($A:$T),""),BB$31))))</f>
        <v>0</v>
      </c>
      <c r="BC181" s="5">
        <f t="array" aca="1" ref="BC181" ca="1">IF(BC$31&gt;$AL181,0,IF(ISERROR(OFFSET($E$31,0,SMALL(IF($E181:$X181&gt;0,COLUMN($A:$T),""),BC$31)-1)),0,OFFSET($E$31,0,SMALL(IF($E181:$X181&gt;0,COLUMN($A:$T),""),BC$31)-1)))</f>
        <v>0</v>
      </c>
      <c r="BD181" s="5">
        <f t="array" ref="BD181">IF(BC$31&gt;$AL181,0,IF(ISERROR(INDEX($E181:$X181,,SMALL(IF($E181:$X181&gt;0,COLUMN($A:$T),""),BD$31))),0,INDEX($E181:$X181,,SMALL(IF($E181:$X181&gt;0,COLUMN($A:$T),""),BD$31))))</f>
        <v>0</v>
      </c>
      <c r="BE181" s="5">
        <f t="array" aca="1" ref="BE181" ca="1">IF(BE$31&gt;$AL181,0,IF(ISERROR(OFFSET($E$31,0,SMALL(IF($E181:$X181&gt;0,COLUMN($A:$T),""),BE$31)-1)),0,OFFSET($E$31,0,SMALL(IF($E181:$X181&gt;0,COLUMN($A:$T),""),BE$31)-1)))</f>
        <v>0</v>
      </c>
      <c r="BF181" s="5">
        <f t="array" ref="BF181">IF(BE$31&gt;$AL181,0,IF(ISERROR(INDEX($E181:$X181,,SMALL(IF($E181:$X181&gt;0,COLUMN($A:$T),""),BF$31))),0,INDEX($E181:$X181,,SMALL(IF($E181:$X181&gt;0,COLUMN($A:$T),""),BF$31))))</f>
        <v>0</v>
      </c>
      <c r="BH181">
        <f ca="1">SUMPRODUCT(E181:N181,定义数据!$G$14:$P$14)</f>
        <v>466.4787151515153</v>
      </c>
      <c r="BI181">
        <f ca="1">SUMPRODUCT(O181:X181,定义数据!$G$14:$P$14)</f>
        <v>127.19361454545458</v>
      </c>
      <c r="BJ181" s="5">
        <f t="shared" ca="1" si="122"/>
        <v>593.67232969696988</v>
      </c>
      <c r="BK181" s="5" t="str">
        <f>D181&amp;B181&amp;VLOOKUP(C181,定义数据!$E$1:$F$7,2,FALSE)</f>
        <v>8033</v>
      </c>
    </row>
    <row r="182" spans="1:63" x14ac:dyDescent="0.15">
      <c r="A182" s="17" t="str">
        <f>D182&amp;B182&amp;VLOOKUP(C182,定义数据!$E$1:$F$7,2,FALSE)</f>
        <v>8040</v>
      </c>
      <c r="B182" s="18">
        <v>4</v>
      </c>
      <c r="C182" s="18" t="s">
        <v>141</v>
      </c>
      <c r="D182" s="24">
        <v>80</v>
      </c>
      <c r="E182" s="56">
        <f t="shared" ca="1" si="133"/>
        <v>0</v>
      </c>
      <c r="F182" s="56">
        <f t="shared" ca="1" si="134"/>
        <v>696.84603208556166</v>
      </c>
      <c r="G182" s="56">
        <f t="shared" ca="1" si="135"/>
        <v>0</v>
      </c>
      <c r="H182" s="56">
        <f t="shared" ca="1" si="136"/>
        <v>0</v>
      </c>
      <c r="I182" s="56">
        <f t="shared" ca="1" si="137"/>
        <v>0</v>
      </c>
      <c r="J182" s="56">
        <f t="shared" ca="1" si="138"/>
        <v>432.09876543209873</v>
      </c>
      <c r="K182" s="56">
        <f t="shared" ca="1" si="139"/>
        <v>0</v>
      </c>
      <c r="L182" s="56">
        <f t="shared" ca="1" si="140"/>
        <v>0</v>
      </c>
      <c r="M182" s="56">
        <f t="shared" ca="1" si="141"/>
        <v>0</v>
      </c>
      <c r="N182" s="56">
        <f t="shared" ca="1" si="142"/>
        <v>0</v>
      </c>
      <c r="O182" s="65">
        <f t="shared" ca="1" si="123"/>
        <v>0</v>
      </c>
      <c r="P182" s="65">
        <f t="shared" ca="1" si="124"/>
        <v>318.5581860962568</v>
      </c>
      <c r="Q182" s="65">
        <f t="shared" ca="1" si="125"/>
        <v>38.237615251299829</v>
      </c>
      <c r="R182" s="65">
        <f t="shared" ca="1" si="126"/>
        <v>0</v>
      </c>
      <c r="S182" s="65">
        <f t="shared" ca="1" si="127"/>
        <v>138.88888888888889</v>
      </c>
      <c r="T182" s="65">
        <f t="shared" ca="1" si="128"/>
        <v>98.765432098765444</v>
      </c>
      <c r="U182" s="65">
        <f t="shared" ca="1" si="129"/>
        <v>0</v>
      </c>
      <c r="V182" s="65">
        <f t="shared" ca="1" si="130"/>
        <v>0</v>
      </c>
      <c r="W182" s="65">
        <f t="shared" ca="1" si="131"/>
        <v>0</v>
      </c>
      <c r="X182" s="65">
        <f t="shared" ca="1" si="132"/>
        <v>0</v>
      </c>
      <c r="Y182" s="21" t="s">
        <v>94</v>
      </c>
      <c r="Z182" s="15">
        <f>VLOOKUP($D182&amp;$B182,[3]!装备基础属性表,P$30,FALSE)</f>
        <v>26132.106546560371</v>
      </c>
      <c r="AA182" s="15">
        <f>VLOOKUP($D182&amp;$B182,[3]!装备基础属性表,Q$30,FALSE)</f>
        <v>1327.3257754010699</v>
      </c>
      <c r="AB182" s="15">
        <f>VLOOKUP($D182&amp;$B182,[3]!装备基础属性表,R$30,FALSE)</f>
        <v>573.56422876949739</v>
      </c>
      <c r="AC182" s="15">
        <f>VLOOKUP($D182&amp;$B182,[3]!装备基础属性表,S$30,FALSE)</f>
        <v>1041.6666666666667</v>
      </c>
      <c r="AD182" s="15">
        <f>VLOOKUP($D182&amp;$B182,[3]!装备基础属性表,T$30,FALSE)</f>
        <v>1041.6666666666667</v>
      </c>
      <c r="AE182" s="15">
        <f>VLOOKUP($D182&amp;$B182,[3]!装备基础属性表,U$30,FALSE)</f>
        <v>617.28395061728395</v>
      </c>
      <c r="AF182" s="15">
        <f>VLOOKUP($D182&amp;$B182,[3]!装备基础属性表,V$30,FALSE)</f>
        <v>0</v>
      </c>
      <c r="AG182" s="15">
        <f>VLOOKUP($D182&amp;$B182,[3]!装备基础属性表,W$30,FALSE)</f>
        <v>617.28395061728395</v>
      </c>
      <c r="AH182" s="15">
        <f>VLOOKUP($D182&amp;$B182,[3]!装备基础属性表,X$30,FALSE)</f>
        <v>0</v>
      </c>
      <c r="AI182" s="15">
        <f>VLOOKUP($D182&amp;$B182,[3]!装备基础属性表,Y$30,FALSE)</f>
        <v>0</v>
      </c>
      <c r="AJ182" s="16" t="str">
        <f>B182&amp;VLOOKUP(C182,定义数据!$E$1:$F$7,2,FALSE)&amp;D182</f>
        <v>4080</v>
      </c>
      <c r="AK182" s="14">
        <f t="shared" si="29"/>
        <v>27</v>
      </c>
      <c r="AL182" s="5">
        <f t="shared" si="121"/>
        <v>6</v>
      </c>
      <c r="AM182" s="5" t="str">
        <f t="array" aca="1" ref="AM182" ca="1">IF(AM$31&gt;$AL182,0,IF(ISERROR(OFFSET($E$31,0,SMALL(IF($E182:$X182&gt;0,COLUMN($A:$T),""),AM$31)-1)),0,OFFSET($E$31,0,SMALL(IF($E182:$X182&gt;0,COLUMN($A:$T),""),AM$31)-1)))</f>
        <v>攻击</v>
      </c>
      <c r="AN182" s="5">
        <f t="array" aca="1" ref="AN182" ca="1">IF(AM$31&gt;$AL182,0,IF(ISERROR(INDEX($E182:$X182,,SMALL(IF($E182:$X182&gt;0,COLUMN($A:$T),""),AN$31))),0,INDEX($E182:$X182,,SMALL(IF($E182:$X182&gt;0,COLUMN($A:$T),""),AN$31))))</f>
        <v>696.84603208556166</v>
      </c>
      <c r="AO182" s="5" t="str">
        <f t="array" aca="1" ref="AO182" ca="1">IF(AO$31&gt;$AL182,0,IF(ISERROR(OFFSET($E$31,0,SMALL(IF($E182:$X182&gt;0,COLUMN($A:$T),""),AO$31)-1)),0,OFFSET($E$31,0,SMALL(IF($E182:$X182&gt;0,COLUMN($A:$T),""),AO$31)-1)))</f>
        <v>暴击值</v>
      </c>
      <c r="AP182" s="5">
        <f t="array" aca="1" ref="AP182" ca="1">IF(AO$31&gt;$AL182,0,IF(ISERROR(INDEX($E182:$X182,,SMALL(IF($E182:$X182&gt;0,COLUMN($A:$T),""),AP$31))),0,INDEX($E182:$X182,,SMALL(IF($E182:$X182&gt;0,COLUMN($A:$T),""),AP$31))))</f>
        <v>432.09876543209873</v>
      </c>
      <c r="AQ182" s="5" t="str">
        <f t="array" aca="1" ref="AQ182" ca="1">IF(AQ$31&gt;$AL182,0,IF(ISERROR(OFFSET($E$31,0,SMALL(IF($E182:$X182&gt;0,COLUMN($A:$T),""),AQ$31)-1)),0,OFFSET($E$31,0,SMALL(IF($E182:$X182&gt;0,COLUMN($A:$T),""),AQ$31)-1)))</f>
        <v>攻击</v>
      </c>
      <c r="AR182" s="5">
        <f t="array" aca="1" ref="AR182" ca="1">IF(AQ$31&gt;$AL182,0,IF(ISERROR(INDEX($E182:$X182,,SMALL(IF($E182:$X182&gt;0,COLUMN($A:$T),""),AR$31))),0,INDEX($E182:$X182,,SMALL(IF($E182:$X182&gt;0,COLUMN($A:$T),""),AR$31))))</f>
        <v>318.5581860962568</v>
      </c>
      <c r="AS182" s="5" t="str">
        <f t="array" aca="1" ref="AS182" ca="1">IF(AS$31&gt;$AL182,0,IF(ISERROR(OFFSET($E$31,0,SMALL(IF($E182:$X182&gt;0,COLUMN($A:$T),""),AS$31)-1)),0,OFFSET($E$31,0,SMALL(IF($E182:$X182&gt;0,COLUMN($A:$T),""),AS$31)-1)))</f>
        <v>防御</v>
      </c>
      <c r="AT182" s="5">
        <f t="array" aca="1" ref="AT182" ca="1">IF(AS$31&gt;$AL182,0,IF(ISERROR(INDEX($E182:$X182,,SMALL(IF($E182:$X182&gt;0,COLUMN($A:$T),""),AT$31))),0,INDEX($E182:$X182,,SMALL(IF($E182:$X182&gt;0,COLUMN($A:$T),""),AT$31))))</f>
        <v>38.237615251299829</v>
      </c>
      <c r="AU182" s="5" t="str">
        <f t="array" aca="1" ref="AU182" ca="1">IF(AU$31&gt;$AL182,0,IF(ISERROR(OFFSET($E$31,0,SMALL(IF($E182:$X182&gt;0,COLUMN($A:$T),""),AU$31)-1)),0,OFFSET($E$31,0,SMALL(IF($E182:$X182&gt;0,COLUMN($A:$T),""),AU$31)-1)))</f>
        <v>命中值</v>
      </c>
      <c r="AV182" s="5">
        <f t="array" aca="1" ref="AV182" ca="1">IF(AU$31&gt;$AL182,0,IF(ISERROR(INDEX($E182:$X182,,SMALL(IF($E182:$X182&gt;0,COLUMN($A:$T),""),AV$31))),0,INDEX($E182:$X182,,SMALL(IF($E182:$X182&gt;0,COLUMN($A:$T),""),AV$31))))</f>
        <v>138.88888888888889</v>
      </c>
      <c r="AW182" s="5" t="str">
        <f t="array" aca="1" ref="AW182" ca="1">IF(AW$31&gt;$AL182,0,IF(ISERROR(OFFSET($E$31,0,SMALL(IF($E182:$X182&gt;0,COLUMN($A:$T),""),AW$31)-1)),0,OFFSET($E$31,0,SMALL(IF($E182:$X182&gt;0,COLUMN($A:$T),""),AW$31)-1)))</f>
        <v>暴击值</v>
      </c>
      <c r="AX182" s="5">
        <f t="array" aca="1" ref="AX182" ca="1">IF(AW$31&gt;$AL182,0,IF(ISERROR(INDEX($E182:$X182,,SMALL(IF($E182:$X182&gt;0,COLUMN($A:$T),""),AX$31))),0,INDEX($E182:$X182,,SMALL(IF($E182:$X182&gt;0,COLUMN($A:$T),""),AX$31))))</f>
        <v>98.765432098765444</v>
      </c>
      <c r="AY182" s="5">
        <f t="array" aca="1" ref="AY182" ca="1">IF(AY$31&gt;$AL182,0,IF(ISERROR(OFFSET($E$31,0,SMALL(IF($E182:$X182&gt;0,COLUMN($A:$T),""),AY$31)-1)),0,OFFSET($E$31,0,SMALL(IF($E182:$X182&gt;0,COLUMN($A:$T),""),AY$31)-1)))</f>
        <v>0</v>
      </c>
      <c r="AZ182" s="5">
        <f t="array" ref="AZ182">IF(AY$31&gt;$AL182,0,IF(ISERROR(INDEX($E182:$X182,,SMALL(IF($E182:$X182&gt;0,COLUMN($A:$T),""),AZ$31))),0,INDEX($E182:$X182,,SMALL(IF($E182:$X182&gt;0,COLUMN($A:$T),""),AZ$31))))</f>
        <v>0</v>
      </c>
      <c r="BA182" s="5">
        <f t="array" aca="1" ref="BA182" ca="1">IF(BA$31&gt;$AL182,0,IF(ISERROR(OFFSET($E$31,0,SMALL(IF($E182:$X182&gt;0,COLUMN($A:$T),""),BA$31)-1)),0,OFFSET($E$31,0,SMALL(IF($E182:$X182&gt;0,COLUMN($A:$T),""),BA$31)-1)))</f>
        <v>0</v>
      </c>
      <c r="BB182" s="5">
        <f t="array" ref="BB182">IF(BA$31&gt;$AL182,0,IF(ISERROR(INDEX($E182:$X182,,SMALL(IF($E182:$X182&gt;0,COLUMN($A:$T),""),BB$31))),0,INDEX($E182:$X182,,SMALL(IF($E182:$X182&gt;0,COLUMN($A:$T),""),BB$31))))</f>
        <v>0</v>
      </c>
      <c r="BC182" s="5">
        <f t="array" aca="1" ref="BC182" ca="1">IF(BC$31&gt;$AL182,0,IF(ISERROR(OFFSET($E$31,0,SMALL(IF($E182:$X182&gt;0,COLUMN($A:$T),""),BC$31)-1)),0,OFFSET($E$31,0,SMALL(IF($E182:$X182&gt;0,COLUMN($A:$T),""),BC$31)-1)))</f>
        <v>0</v>
      </c>
      <c r="BD182" s="5">
        <f t="array" ref="BD182">IF(BC$31&gt;$AL182,0,IF(ISERROR(INDEX($E182:$X182,,SMALL(IF($E182:$X182&gt;0,COLUMN($A:$T),""),BD$31))),0,INDEX($E182:$X182,,SMALL(IF($E182:$X182&gt;0,COLUMN($A:$T),""),BD$31))))</f>
        <v>0</v>
      </c>
      <c r="BE182" s="5">
        <f t="array" aca="1" ref="BE182" ca="1">IF(BE$31&gt;$AL182,0,IF(ISERROR(OFFSET($E$31,0,SMALL(IF($E182:$X182&gt;0,COLUMN($A:$T),""),BE$31)-1)),0,OFFSET($E$31,0,SMALL(IF($E182:$X182&gt;0,COLUMN($A:$T),""),BE$31)-1)))</f>
        <v>0</v>
      </c>
      <c r="BF182" s="5">
        <f t="array" ref="BF182">IF(BE$31&gt;$AL182,0,IF(ISERROR(INDEX($E182:$X182,,SMALL(IF($E182:$X182&gt;0,COLUMN($A:$T),""),BF$31))),0,INDEX($E182:$X182,,SMALL(IF($E182:$X182&gt;0,COLUMN($A:$T),""),BF$31))))</f>
        <v>0</v>
      </c>
      <c r="BH182">
        <f ca="1">SUMPRODUCT(E182:N182,定义数据!$G$14:$P$14)</f>
        <v>774.62380986333937</v>
      </c>
      <c r="BI182">
        <f ca="1">SUMPRODUCT(O182:X182,定义数据!$G$14:$P$14)</f>
        <v>421.79580134755662</v>
      </c>
      <c r="BJ182" s="5">
        <f t="shared" ca="1" si="122"/>
        <v>1196.4196112108959</v>
      </c>
      <c r="BK182" s="5" t="str">
        <f>D182&amp;B182&amp;VLOOKUP(C182,定义数据!$E$1:$F$7,2,FALSE)</f>
        <v>8040</v>
      </c>
    </row>
    <row r="183" spans="1:63" x14ac:dyDescent="0.15">
      <c r="A183" s="17" t="str">
        <f>D183&amp;B183&amp;VLOOKUP(C183,定义数据!$E$1:$F$7,2,FALSE)</f>
        <v>8041</v>
      </c>
      <c r="B183" s="18">
        <v>4</v>
      </c>
      <c r="C183" s="18" t="s">
        <v>136</v>
      </c>
      <c r="D183" s="24">
        <v>80</v>
      </c>
      <c r="E183" s="56">
        <f t="shared" ca="1" si="133"/>
        <v>10975.484749555355</v>
      </c>
      <c r="F183" s="56">
        <f t="shared" ca="1" si="134"/>
        <v>0</v>
      </c>
      <c r="G183" s="56">
        <f t="shared" ca="1" si="135"/>
        <v>240.89697608318889</v>
      </c>
      <c r="H183" s="56">
        <f t="shared" ca="1" si="136"/>
        <v>0</v>
      </c>
      <c r="I183" s="56">
        <f t="shared" ca="1" si="137"/>
        <v>0</v>
      </c>
      <c r="J183" s="56">
        <f t="shared" ca="1" si="138"/>
        <v>0</v>
      </c>
      <c r="K183" s="56">
        <f t="shared" ca="1" si="139"/>
        <v>0</v>
      </c>
      <c r="L183" s="56">
        <f t="shared" ca="1" si="140"/>
        <v>0</v>
      </c>
      <c r="M183" s="56">
        <f t="shared" ca="1" si="141"/>
        <v>0</v>
      </c>
      <c r="N183" s="56">
        <f t="shared" ca="1" si="142"/>
        <v>0</v>
      </c>
      <c r="O183" s="65">
        <f t="shared" ca="1" si="123"/>
        <v>3484.2808728747159</v>
      </c>
      <c r="P183" s="65">
        <f t="shared" ca="1" si="124"/>
        <v>0</v>
      </c>
      <c r="Q183" s="65">
        <f t="shared" ca="1" si="125"/>
        <v>114.71284575389949</v>
      </c>
      <c r="R183" s="65">
        <f t="shared" ca="1" si="126"/>
        <v>83.333333333333357</v>
      </c>
      <c r="S183" s="65">
        <f t="shared" ca="1" si="127"/>
        <v>0</v>
      </c>
      <c r="T183" s="65">
        <f t="shared" ca="1" si="128"/>
        <v>0</v>
      </c>
      <c r="U183" s="65">
        <f t="shared" ca="1" si="129"/>
        <v>0</v>
      </c>
      <c r="V183" s="65">
        <f t="shared" ca="1" si="130"/>
        <v>82.304526748971199</v>
      </c>
      <c r="W183" s="65">
        <f t="shared" ca="1" si="131"/>
        <v>0</v>
      </c>
      <c r="X183" s="65">
        <f t="shared" ca="1" si="132"/>
        <v>0</v>
      </c>
      <c r="Y183" s="21" t="s">
        <v>95</v>
      </c>
      <c r="Z183" s="15">
        <f>VLOOKUP($D183&amp;$B183,[3]!装备基础属性表,P$30,FALSE)</f>
        <v>26132.106546560371</v>
      </c>
      <c r="AA183" s="15">
        <f>VLOOKUP($D183&amp;$B183,[3]!装备基础属性表,Q$30,FALSE)</f>
        <v>1327.3257754010699</v>
      </c>
      <c r="AB183" s="15">
        <f>VLOOKUP($D183&amp;$B183,[3]!装备基础属性表,R$30,FALSE)</f>
        <v>573.56422876949739</v>
      </c>
      <c r="AC183" s="15">
        <f>VLOOKUP($D183&amp;$B183,[3]!装备基础属性表,S$30,FALSE)</f>
        <v>1041.6666666666667</v>
      </c>
      <c r="AD183" s="15">
        <f>VLOOKUP($D183&amp;$B183,[3]!装备基础属性表,T$30,FALSE)</f>
        <v>1041.6666666666667</v>
      </c>
      <c r="AE183" s="15">
        <f>VLOOKUP($D183&amp;$B183,[3]!装备基础属性表,U$30,FALSE)</f>
        <v>617.28395061728395</v>
      </c>
      <c r="AF183" s="15">
        <f>VLOOKUP($D183&amp;$B183,[3]!装备基础属性表,V$30,FALSE)</f>
        <v>0</v>
      </c>
      <c r="AG183" s="15">
        <f>VLOOKUP($D183&amp;$B183,[3]!装备基础属性表,W$30,FALSE)</f>
        <v>617.28395061728395</v>
      </c>
      <c r="AH183" s="15">
        <f>VLOOKUP($D183&amp;$B183,[3]!装备基础属性表,X$30,FALSE)</f>
        <v>0</v>
      </c>
      <c r="AI183" s="15">
        <f>VLOOKUP($D183&amp;$B183,[3]!装备基础属性表,Y$30,FALSE)</f>
        <v>0</v>
      </c>
      <c r="AJ183" s="16" t="str">
        <f>B183&amp;VLOOKUP(C183,定义数据!$E$1:$F$7,2,FALSE)&amp;D183</f>
        <v>4180</v>
      </c>
      <c r="AK183" s="14">
        <f t="shared" si="29"/>
        <v>27</v>
      </c>
      <c r="AL183" s="5">
        <f t="shared" si="121"/>
        <v>6</v>
      </c>
      <c r="AM183" s="5" t="str">
        <f t="array" aca="1" ref="AM183" ca="1">IF(AM$31&gt;$AL183,0,IF(ISERROR(OFFSET($E$31,0,SMALL(IF($E183:$X183&gt;0,COLUMN($A:$T),""),AM$31)-1)),0,OFFSET($E$31,0,SMALL(IF($E183:$X183&gt;0,COLUMN($A:$T),""),AM$31)-1)))</f>
        <v>生命</v>
      </c>
      <c r="AN183" s="5">
        <f t="array" aca="1" ref="AN183" ca="1">IF(AM$31&gt;$AL183,0,IF(ISERROR(INDEX($E183:$X183,,SMALL(IF($E183:$X183&gt;0,COLUMN($A:$T),""),AN$31))),0,INDEX($E183:$X183,,SMALL(IF($E183:$X183&gt;0,COLUMN($A:$T),""),AN$31))))</f>
        <v>10975.484749555355</v>
      </c>
      <c r="AO183" s="5" t="str">
        <f t="array" aca="1" ref="AO183" ca="1">IF(AO$31&gt;$AL183,0,IF(ISERROR(OFFSET($E$31,0,SMALL(IF($E183:$X183&gt;0,COLUMN($A:$T),""),AO$31)-1)),0,OFFSET($E$31,0,SMALL(IF($E183:$X183&gt;0,COLUMN($A:$T),""),AO$31)-1)))</f>
        <v>防御</v>
      </c>
      <c r="AP183" s="5">
        <f t="array" aca="1" ref="AP183" ca="1">IF(AO$31&gt;$AL183,0,IF(ISERROR(INDEX($E183:$X183,,SMALL(IF($E183:$X183&gt;0,COLUMN($A:$T),""),AP$31))),0,INDEX($E183:$X183,,SMALL(IF($E183:$X183&gt;0,COLUMN($A:$T),""),AP$31))))</f>
        <v>240.89697608318889</v>
      </c>
      <c r="AQ183" s="5" t="str">
        <f t="array" aca="1" ref="AQ183" ca="1">IF(AQ$31&gt;$AL183,0,IF(ISERROR(OFFSET($E$31,0,SMALL(IF($E183:$X183&gt;0,COLUMN($A:$T),""),AQ$31)-1)),0,OFFSET($E$31,0,SMALL(IF($E183:$X183&gt;0,COLUMN($A:$T),""),AQ$31)-1)))</f>
        <v>生命</v>
      </c>
      <c r="AR183" s="5">
        <f t="array" aca="1" ref="AR183" ca="1">IF(AQ$31&gt;$AL183,0,IF(ISERROR(INDEX($E183:$X183,,SMALL(IF($E183:$X183&gt;0,COLUMN($A:$T),""),AR$31))),0,INDEX($E183:$X183,,SMALL(IF($E183:$X183&gt;0,COLUMN($A:$T),""),AR$31))))</f>
        <v>3484.2808728747159</v>
      </c>
      <c r="AS183" s="5" t="str">
        <f t="array" aca="1" ref="AS183" ca="1">IF(AS$31&gt;$AL183,0,IF(ISERROR(OFFSET($E$31,0,SMALL(IF($E183:$X183&gt;0,COLUMN($A:$T),""),AS$31)-1)),0,OFFSET($E$31,0,SMALL(IF($E183:$X183&gt;0,COLUMN($A:$T),""),AS$31)-1)))</f>
        <v>防御</v>
      </c>
      <c r="AT183" s="5">
        <f t="array" aca="1" ref="AT183" ca="1">IF(AS$31&gt;$AL183,0,IF(ISERROR(INDEX($E183:$X183,,SMALL(IF($E183:$X183&gt;0,COLUMN($A:$T),""),AT$31))),0,INDEX($E183:$X183,,SMALL(IF($E183:$X183&gt;0,COLUMN($A:$T),""),AT$31))))</f>
        <v>114.71284575389949</v>
      </c>
      <c r="AU183" s="5" t="str">
        <f t="array" aca="1" ref="AU183" ca="1">IF(AU$31&gt;$AL183,0,IF(ISERROR(OFFSET($E$31,0,SMALL(IF($E183:$X183&gt;0,COLUMN($A:$T),""),AU$31)-1)),0,OFFSET($E$31,0,SMALL(IF($E183:$X183&gt;0,COLUMN($A:$T),""),AU$31)-1)))</f>
        <v>闪避值</v>
      </c>
      <c r="AV183" s="5">
        <f t="array" aca="1" ref="AV183" ca="1">IF(AU$31&gt;$AL183,0,IF(ISERROR(INDEX($E183:$X183,,SMALL(IF($E183:$X183&gt;0,COLUMN($A:$T),""),AV$31))),0,INDEX($E183:$X183,,SMALL(IF($E183:$X183&gt;0,COLUMN($A:$T),""),AV$31))))</f>
        <v>83.333333333333357</v>
      </c>
      <c r="AW183" s="5" t="str">
        <f t="array" aca="1" ref="AW183" ca="1">IF(AW$31&gt;$AL183,0,IF(ISERROR(OFFSET($E$31,0,SMALL(IF($E183:$X183&gt;0,COLUMN($A:$T),""),AW$31)-1)),0,OFFSET($E$31,0,SMALL(IF($E183:$X183&gt;0,COLUMN($A:$T),""),AW$31)-1)))</f>
        <v>韧性值</v>
      </c>
      <c r="AX183" s="5">
        <f t="array" aca="1" ref="AX183" ca="1">IF(AW$31&gt;$AL183,0,IF(ISERROR(INDEX($E183:$X183,,SMALL(IF($E183:$X183&gt;0,COLUMN($A:$T),""),AX$31))),0,INDEX($E183:$X183,,SMALL(IF($E183:$X183&gt;0,COLUMN($A:$T),""),AX$31))))</f>
        <v>82.304526748971199</v>
      </c>
      <c r="AY183" s="5">
        <f t="array" aca="1" ref="AY183" ca="1">IF(AY$31&gt;$AL183,0,IF(ISERROR(OFFSET($E$31,0,SMALL(IF($E183:$X183&gt;0,COLUMN($A:$T),""),AY$31)-1)),0,OFFSET($E$31,0,SMALL(IF($E183:$X183&gt;0,COLUMN($A:$T),""),AY$31)-1)))</f>
        <v>0</v>
      </c>
      <c r="AZ183" s="5">
        <f t="array" ref="AZ183">IF(AY$31&gt;$AL183,0,IF(ISERROR(INDEX($E183:$X183,,SMALL(IF($E183:$X183&gt;0,COLUMN($A:$T),""),AZ$31))),0,INDEX($E183:$X183,,SMALL(IF($E183:$X183&gt;0,COLUMN($A:$T),""),AZ$31))))</f>
        <v>0</v>
      </c>
      <c r="BA183" s="5">
        <f t="array" aca="1" ref="BA183" ca="1">IF(BA$31&gt;$AL183,0,IF(ISERROR(OFFSET($E$31,0,SMALL(IF($E183:$X183&gt;0,COLUMN($A:$T),""),BA$31)-1)),0,OFFSET($E$31,0,SMALL(IF($E183:$X183&gt;0,COLUMN($A:$T),""),BA$31)-1)))</f>
        <v>0</v>
      </c>
      <c r="BB183" s="5">
        <f t="array" ref="BB183">IF(BA$31&gt;$AL183,0,IF(ISERROR(INDEX($E183:$X183,,SMALL(IF($E183:$X183&gt;0,COLUMN($A:$T),""),BB$31))),0,INDEX($E183:$X183,,SMALL(IF($E183:$X183&gt;0,COLUMN($A:$T),""),BB$31))))</f>
        <v>0</v>
      </c>
      <c r="BC183" s="5">
        <f t="array" aca="1" ref="BC183" ca="1">IF(BC$31&gt;$AL183,0,IF(ISERROR(OFFSET($E$31,0,SMALL(IF($E183:$X183&gt;0,COLUMN($A:$T),""),BC$31)-1)),0,OFFSET($E$31,0,SMALL(IF($E183:$X183&gt;0,COLUMN($A:$T),""),BC$31)-1)))</f>
        <v>0</v>
      </c>
      <c r="BD183" s="5">
        <f t="array" ref="BD183">IF(BC$31&gt;$AL183,0,IF(ISERROR(INDEX($E183:$X183,,SMALL(IF($E183:$X183&gt;0,COLUMN($A:$T),""),BD$31))),0,INDEX($E183:$X183,,SMALL(IF($E183:$X183&gt;0,COLUMN($A:$T),""),BD$31))))</f>
        <v>0</v>
      </c>
      <c r="BE183" s="5">
        <f t="array" aca="1" ref="BE183" ca="1">IF(BE$31&gt;$AL183,0,IF(ISERROR(OFFSET($E$31,0,SMALL(IF($E183:$X183&gt;0,COLUMN($A:$T),""),BE$31)-1)),0,OFFSET($E$31,0,SMALL(IF($E183:$X183&gt;0,COLUMN($A:$T),""),BE$31)-1)))</f>
        <v>0</v>
      </c>
      <c r="BF183" s="5">
        <f t="array" ref="BF183">IF(BE$31&gt;$AL183,0,IF(ISERROR(INDEX($E183:$X183,,SMALL(IF($E183:$X183&gt;0,COLUMN($A:$T),""),BF$31))),0,INDEX($E183:$X183,,SMALL(IF($E183:$X183&gt;0,COLUMN($A:$T),""),BF$31))))</f>
        <v>0</v>
      </c>
      <c r="BH183">
        <f ca="1">SUMPRODUCT(E183:N183,定义数据!$G$14:$P$14)</f>
        <v>679.91636606540305</v>
      </c>
      <c r="BI183">
        <f ca="1">SUMPRODUCT(O183:X183,定义数据!$G$14:$P$14)</f>
        <v>297.23222881703629</v>
      </c>
      <c r="BJ183" s="5">
        <f t="shared" ca="1" si="122"/>
        <v>977.14859488243928</v>
      </c>
      <c r="BK183" s="5" t="str">
        <f>D183&amp;B183&amp;VLOOKUP(C183,定义数据!$E$1:$F$7,2,FALSE)</f>
        <v>8041</v>
      </c>
    </row>
    <row r="184" spans="1:63" x14ac:dyDescent="0.15">
      <c r="A184" s="17" t="str">
        <f>D184&amp;B184&amp;VLOOKUP(C184,定义数据!$E$1:$F$7,2,FALSE)</f>
        <v>8042</v>
      </c>
      <c r="B184" s="18">
        <v>4</v>
      </c>
      <c r="C184" s="18" t="s">
        <v>137</v>
      </c>
      <c r="D184" s="24">
        <v>80</v>
      </c>
      <c r="E184" s="56">
        <f t="shared" ca="1" si="133"/>
        <v>0</v>
      </c>
      <c r="F184" s="56">
        <f t="shared" ca="1" si="134"/>
        <v>0</v>
      </c>
      <c r="G184" s="56">
        <f t="shared" ca="1" si="135"/>
        <v>160.59798405545928</v>
      </c>
      <c r="H184" s="56">
        <f t="shared" ca="1" si="136"/>
        <v>243.05555555555554</v>
      </c>
      <c r="I184" s="56">
        <f t="shared" ca="1" si="137"/>
        <v>0</v>
      </c>
      <c r="J184" s="56">
        <f t="shared" ca="1" si="138"/>
        <v>0</v>
      </c>
      <c r="K184" s="56">
        <f t="shared" ca="1" si="139"/>
        <v>0</v>
      </c>
      <c r="L184" s="56">
        <f t="shared" ca="1" si="140"/>
        <v>0</v>
      </c>
      <c r="M184" s="56">
        <f t="shared" ca="1" si="141"/>
        <v>0</v>
      </c>
      <c r="N184" s="56">
        <f t="shared" ca="1" si="142"/>
        <v>0</v>
      </c>
      <c r="O184" s="65">
        <f t="shared" ca="1" si="123"/>
        <v>1742.1404364373579</v>
      </c>
      <c r="P184" s="65">
        <f t="shared" ca="1" si="124"/>
        <v>0</v>
      </c>
      <c r="Q184" s="65">
        <f t="shared" ca="1" si="125"/>
        <v>38.237615251299829</v>
      </c>
      <c r="R184" s="65">
        <f t="shared" ca="1" si="126"/>
        <v>83.333333333333357</v>
      </c>
      <c r="S184" s="65">
        <f t="shared" ca="1" si="127"/>
        <v>0</v>
      </c>
      <c r="T184" s="65">
        <f t="shared" ca="1" si="128"/>
        <v>0</v>
      </c>
      <c r="U184" s="65">
        <f t="shared" ca="1" si="129"/>
        <v>0</v>
      </c>
      <c r="V184" s="65">
        <f t="shared" ca="1" si="130"/>
        <v>82.304526748971199</v>
      </c>
      <c r="W184" s="65">
        <f t="shared" ca="1" si="131"/>
        <v>0</v>
      </c>
      <c r="X184" s="65">
        <f t="shared" ca="1" si="132"/>
        <v>0</v>
      </c>
      <c r="Y184" s="21" t="s">
        <v>96</v>
      </c>
      <c r="Z184" s="15">
        <f>VLOOKUP($D184&amp;$B184,[3]!装备基础属性表,P$30,FALSE)</f>
        <v>26132.106546560371</v>
      </c>
      <c r="AA184" s="15">
        <f>VLOOKUP($D184&amp;$B184,[3]!装备基础属性表,Q$30,FALSE)</f>
        <v>1327.3257754010699</v>
      </c>
      <c r="AB184" s="15">
        <f>VLOOKUP($D184&amp;$B184,[3]!装备基础属性表,R$30,FALSE)</f>
        <v>573.56422876949739</v>
      </c>
      <c r="AC184" s="15">
        <f>VLOOKUP($D184&amp;$B184,[3]!装备基础属性表,S$30,FALSE)</f>
        <v>1041.6666666666667</v>
      </c>
      <c r="AD184" s="15">
        <f>VLOOKUP($D184&amp;$B184,[3]!装备基础属性表,T$30,FALSE)</f>
        <v>1041.6666666666667</v>
      </c>
      <c r="AE184" s="15">
        <f>VLOOKUP($D184&amp;$B184,[3]!装备基础属性表,U$30,FALSE)</f>
        <v>617.28395061728395</v>
      </c>
      <c r="AF184" s="15">
        <f>VLOOKUP($D184&amp;$B184,[3]!装备基础属性表,V$30,FALSE)</f>
        <v>0</v>
      </c>
      <c r="AG184" s="15">
        <f>VLOOKUP($D184&amp;$B184,[3]!装备基础属性表,W$30,FALSE)</f>
        <v>617.28395061728395</v>
      </c>
      <c r="AH184" s="15">
        <f>VLOOKUP($D184&amp;$B184,[3]!装备基础属性表,X$30,FALSE)</f>
        <v>0</v>
      </c>
      <c r="AI184" s="15">
        <f>VLOOKUP($D184&amp;$B184,[3]!装备基础属性表,Y$30,FALSE)</f>
        <v>0</v>
      </c>
      <c r="AJ184" s="16" t="str">
        <f>B184&amp;VLOOKUP(C184,定义数据!$E$1:$F$7,2,FALSE)&amp;D184</f>
        <v>4280</v>
      </c>
      <c r="AK184" s="14">
        <f t="shared" si="29"/>
        <v>27</v>
      </c>
      <c r="AL184" s="5">
        <f t="shared" si="121"/>
        <v>6</v>
      </c>
      <c r="AM184" s="5" t="str">
        <f t="array" aca="1" ref="AM184" ca="1">IF(AM$31&gt;$AL184,0,IF(ISERROR(OFFSET($E$31,0,SMALL(IF($E184:$X184&gt;0,COLUMN($A:$T),""),AM$31)-1)),0,OFFSET($E$31,0,SMALL(IF($E184:$X184&gt;0,COLUMN($A:$T),""),AM$31)-1)))</f>
        <v>防御</v>
      </c>
      <c r="AN184" s="5">
        <f t="array" aca="1" ref="AN184" ca="1">IF(AM$31&gt;$AL184,0,IF(ISERROR(INDEX($E184:$X184,,SMALL(IF($E184:$X184&gt;0,COLUMN($A:$T),""),AN$31))),0,INDEX($E184:$X184,,SMALL(IF($E184:$X184&gt;0,COLUMN($A:$T),""),AN$31))))</f>
        <v>160.59798405545928</v>
      </c>
      <c r="AO184" s="5" t="str">
        <f t="array" aca="1" ref="AO184" ca="1">IF(AO$31&gt;$AL184,0,IF(ISERROR(OFFSET($E$31,0,SMALL(IF($E184:$X184&gt;0,COLUMN($A:$T),""),AO$31)-1)),0,OFFSET($E$31,0,SMALL(IF($E184:$X184&gt;0,COLUMN($A:$T),""),AO$31)-1)))</f>
        <v>闪避值</v>
      </c>
      <c r="AP184" s="5">
        <f t="array" aca="1" ref="AP184" ca="1">IF(AO$31&gt;$AL184,0,IF(ISERROR(INDEX($E184:$X184,,SMALL(IF($E184:$X184&gt;0,COLUMN($A:$T),""),AP$31))),0,INDEX($E184:$X184,,SMALL(IF($E184:$X184&gt;0,COLUMN($A:$T),""),AP$31))))</f>
        <v>243.05555555555554</v>
      </c>
      <c r="AQ184" s="5" t="str">
        <f t="array" aca="1" ref="AQ184" ca="1">IF(AQ$31&gt;$AL184,0,IF(ISERROR(OFFSET($E$31,0,SMALL(IF($E184:$X184&gt;0,COLUMN($A:$T),""),AQ$31)-1)),0,OFFSET($E$31,0,SMALL(IF($E184:$X184&gt;0,COLUMN($A:$T),""),AQ$31)-1)))</f>
        <v>生命</v>
      </c>
      <c r="AR184" s="5">
        <f t="array" aca="1" ref="AR184" ca="1">IF(AQ$31&gt;$AL184,0,IF(ISERROR(INDEX($E184:$X184,,SMALL(IF($E184:$X184&gt;0,COLUMN($A:$T),""),AR$31))),0,INDEX($E184:$X184,,SMALL(IF($E184:$X184&gt;0,COLUMN($A:$T),""),AR$31))))</f>
        <v>1742.1404364373579</v>
      </c>
      <c r="AS184" s="5" t="str">
        <f t="array" aca="1" ref="AS184" ca="1">IF(AS$31&gt;$AL184,0,IF(ISERROR(OFFSET($E$31,0,SMALL(IF($E184:$X184&gt;0,COLUMN($A:$T),""),AS$31)-1)),0,OFFSET($E$31,0,SMALL(IF($E184:$X184&gt;0,COLUMN($A:$T),""),AS$31)-1)))</f>
        <v>防御</v>
      </c>
      <c r="AT184" s="5">
        <f t="array" aca="1" ref="AT184" ca="1">IF(AS$31&gt;$AL184,0,IF(ISERROR(INDEX($E184:$X184,,SMALL(IF($E184:$X184&gt;0,COLUMN($A:$T),""),AT$31))),0,INDEX($E184:$X184,,SMALL(IF($E184:$X184&gt;0,COLUMN($A:$T),""),AT$31))))</f>
        <v>38.237615251299829</v>
      </c>
      <c r="AU184" s="5" t="str">
        <f t="array" aca="1" ref="AU184" ca="1">IF(AU$31&gt;$AL184,0,IF(ISERROR(OFFSET($E$31,0,SMALL(IF($E184:$X184&gt;0,COLUMN($A:$T),""),AU$31)-1)),0,OFFSET($E$31,0,SMALL(IF($E184:$X184&gt;0,COLUMN($A:$T),""),AU$31)-1)))</f>
        <v>闪避值</v>
      </c>
      <c r="AV184" s="5">
        <f t="array" aca="1" ref="AV184" ca="1">IF(AU$31&gt;$AL184,0,IF(ISERROR(INDEX($E184:$X184,,SMALL(IF($E184:$X184&gt;0,COLUMN($A:$T),""),AV$31))),0,INDEX($E184:$X184,,SMALL(IF($E184:$X184&gt;0,COLUMN($A:$T),""),AV$31))))</f>
        <v>83.333333333333357</v>
      </c>
      <c r="AW184" s="5" t="str">
        <f t="array" aca="1" ref="AW184" ca="1">IF(AW$31&gt;$AL184,0,IF(ISERROR(OFFSET($E$31,0,SMALL(IF($E184:$X184&gt;0,COLUMN($A:$T),""),AW$31)-1)),0,OFFSET($E$31,0,SMALL(IF($E184:$X184&gt;0,COLUMN($A:$T),""),AW$31)-1)))</f>
        <v>韧性值</v>
      </c>
      <c r="AX184" s="5">
        <f t="array" aca="1" ref="AX184" ca="1">IF(AW$31&gt;$AL184,0,IF(ISERROR(INDEX($E184:$X184,,SMALL(IF($E184:$X184&gt;0,COLUMN($A:$T),""),AX$31))),0,INDEX($E184:$X184,,SMALL(IF($E184:$X184&gt;0,COLUMN($A:$T),""),AX$31))))</f>
        <v>82.304526748971199</v>
      </c>
      <c r="AY184" s="5">
        <f t="array" aca="1" ref="AY184" ca="1">IF(AY$31&gt;$AL184,0,IF(ISERROR(OFFSET($E$31,0,SMALL(IF($E184:$X184&gt;0,COLUMN($A:$T),""),AY$31)-1)),0,OFFSET($E$31,0,SMALL(IF($E184:$X184&gt;0,COLUMN($A:$T),""),AY$31)-1)))</f>
        <v>0</v>
      </c>
      <c r="AZ184" s="5">
        <f t="array" ref="AZ184">IF(AY$31&gt;$AL184,0,IF(ISERROR(INDEX($E184:$X184,,SMALL(IF($E184:$X184&gt;0,COLUMN($A:$T),""),AZ$31))),0,INDEX($E184:$X184,,SMALL(IF($E184:$X184&gt;0,COLUMN($A:$T),""),AZ$31))))</f>
        <v>0</v>
      </c>
      <c r="BA184" s="5">
        <f t="array" aca="1" ref="BA184" ca="1">IF(BA$31&gt;$AL184,0,IF(ISERROR(OFFSET($E$31,0,SMALL(IF($E184:$X184&gt;0,COLUMN($A:$T),""),BA$31)-1)),0,OFFSET($E$31,0,SMALL(IF($E184:$X184&gt;0,COLUMN($A:$T),""),BA$31)-1)))</f>
        <v>0</v>
      </c>
      <c r="BB184" s="5">
        <f t="array" ref="BB184">IF(BA$31&gt;$AL184,0,IF(ISERROR(INDEX($E184:$X184,,SMALL(IF($E184:$X184&gt;0,COLUMN($A:$T),""),BB$31))),0,INDEX($E184:$X184,,SMALL(IF($E184:$X184&gt;0,COLUMN($A:$T),""),BB$31))))</f>
        <v>0</v>
      </c>
      <c r="BC184" s="5">
        <f t="array" aca="1" ref="BC184" ca="1">IF(BC$31&gt;$AL184,0,IF(ISERROR(OFFSET($E$31,0,SMALL(IF($E184:$X184&gt;0,COLUMN($A:$T),""),BC$31)-1)),0,OFFSET($E$31,0,SMALL(IF($E184:$X184&gt;0,COLUMN($A:$T),""),BC$31)-1)))</f>
        <v>0</v>
      </c>
      <c r="BD184" s="5">
        <f t="array" ref="BD184">IF(BC$31&gt;$AL184,0,IF(ISERROR(INDEX($E184:$X184,,SMALL(IF($E184:$X184&gt;0,COLUMN($A:$T),""),BD$31))),0,INDEX($E184:$X184,,SMALL(IF($E184:$X184&gt;0,COLUMN($A:$T),""),BD$31))))</f>
        <v>0</v>
      </c>
      <c r="BE184" s="5">
        <f t="array" aca="1" ref="BE184" ca="1">IF(BE$31&gt;$AL184,0,IF(ISERROR(OFFSET($E$31,0,SMALL(IF($E184:$X184&gt;0,COLUMN($A:$T),""),BE$31)-1)),0,OFFSET($E$31,0,SMALL(IF($E184:$X184&gt;0,COLUMN($A:$T),""),BE$31)-1)))</f>
        <v>0</v>
      </c>
      <c r="BF184" s="5">
        <f t="array" ref="BF184">IF(BE$31&gt;$AL184,0,IF(ISERROR(INDEX($E184:$X184,,SMALL(IF($E184:$X184&gt;0,COLUMN($A:$T),""),BF$31))),0,INDEX($E184:$X184,,SMALL(IF($E184:$X184&gt;0,COLUMN($A:$T),""),BF$31))))</f>
        <v>0</v>
      </c>
      <c r="BH184">
        <f ca="1">SUMPRODUCT(E184:N184,定义数据!$G$14:$P$14)</f>
        <v>243.23687294434816</v>
      </c>
      <c r="BI184">
        <f ca="1">SUMPRODUCT(O184:X184,定义数据!$G$14:$P$14)</f>
        <v>151.07138085694228</v>
      </c>
      <c r="BJ184" s="5">
        <f t="shared" ca="1" si="122"/>
        <v>394.30825380129045</v>
      </c>
      <c r="BK184" s="5" t="str">
        <f>D184&amp;B184&amp;VLOOKUP(C184,定义数据!$E$1:$F$7,2,FALSE)</f>
        <v>8042</v>
      </c>
    </row>
    <row r="185" spans="1:63" x14ac:dyDescent="0.15">
      <c r="A185" s="17" t="str">
        <f>D185&amp;B185&amp;VLOOKUP(C185,定义数据!$E$1:$F$7,2,FALSE)</f>
        <v>8045</v>
      </c>
      <c r="B185" s="18">
        <v>4</v>
      </c>
      <c r="C185" s="18" t="s">
        <v>138</v>
      </c>
      <c r="D185" s="24">
        <v>80</v>
      </c>
      <c r="E185" s="56">
        <f t="shared" ca="1" si="133"/>
        <v>3658.4949165184516</v>
      </c>
      <c r="F185" s="56">
        <f t="shared" ca="1" si="134"/>
        <v>0</v>
      </c>
      <c r="G185" s="56">
        <f t="shared" ca="1" si="135"/>
        <v>0</v>
      </c>
      <c r="H185" s="56">
        <f t="shared" ca="1" si="136"/>
        <v>486.11111111111109</v>
      </c>
      <c r="I185" s="56">
        <f t="shared" ca="1" si="137"/>
        <v>0</v>
      </c>
      <c r="J185" s="56">
        <f t="shared" ca="1" si="138"/>
        <v>0</v>
      </c>
      <c r="K185" s="56">
        <f t="shared" ca="1" si="139"/>
        <v>0</v>
      </c>
      <c r="L185" s="56">
        <f t="shared" ca="1" si="140"/>
        <v>0</v>
      </c>
      <c r="M185" s="56">
        <f t="shared" ca="1" si="141"/>
        <v>0</v>
      </c>
      <c r="N185" s="56">
        <f t="shared" ca="1" si="142"/>
        <v>0</v>
      </c>
      <c r="O185" s="65">
        <f t="shared" ca="1" si="123"/>
        <v>1742.1404364373579</v>
      </c>
      <c r="P185" s="65">
        <f t="shared" ca="1" si="124"/>
        <v>0</v>
      </c>
      <c r="Q185" s="65">
        <f t="shared" ca="1" si="125"/>
        <v>0</v>
      </c>
      <c r="R185" s="65">
        <f t="shared" ca="1" si="126"/>
        <v>166.66666666666671</v>
      </c>
      <c r="S185" s="65">
        <f t="shared" ca="1" si="127"/>
        <v>138.88888888888889</v>
      </c>
      <c r="T185" s="65">
        <f t="shared" ca="1" si="128"/>
        <v>49.382716049382722</v>
      </c>
      <c r="U185" s="65">
        <f t="shared" ca="1" si="129"/>
        <v>0</v>
      </c>
      <c r="V185" s="65">
        <f t="shared" ca="1" si="130"/>
        <v>0</v>
      </c>
      <c r="W185" s="65">
        <f t="shared" ca="1" si="131"/>
        <v>0</v>
      </c>
      <c r="X185" s="65">
        <f t="shared" ca="1" si="132"/>
        <v>0</v>
      </c>
      <c r="Y185" s="21"/>
      <c r="Z185" s="15">
        <f>VLOOKUP($D185&amp;$B185,[3]!装备基础属性表,P$30,FALSE)</f>
        <v>26132.106546560371</v>
      </c>
      <c r="AA185" s="15">
        <f>VLOOKUP($D185&amp;$B185,[3]!装备基础属性表,Q$30,FALSE)</f>
        <v>1327.3257754010699</v>
      </c>
      <c r="AB185" s="15">
        <f>VLOOKUP($D185&amp;$B185,[3]!装备基础属性表,R$30,FALSE)</f>
        <v>573.56422876949739</v>
      </c>
      <c r="AC185" s="15">
        <f>VLOOKUP($D185&amp;$B185,[3]!装备基础属性表,S$30,FALSE)</f>
        <v>1041.6666666666667</v>
      </c>
      <c r="AD185" s="15">
        <f>VLOOKUP($D185&amp;$B185,[3]!装备基础属性表,T$30,FALSE)</f>
        <v>1041.6666666666667</v>
      </c>
      <c r="AE185" s="15">
        <f>VLOOKUP($D185&amp;$B185,[3]!装备基础属性表,U$30,FALSE)</f>
        <v>617.28395061728395</v>
      </c>
      <c r="AF185" s="15">
        <f>VLOOKUP($D185&amp;$B185,[3]!装备基础属性表,V$30,FALSE)</f>
        <v>0</v>
      </c>
      <c r="AG185" s="15">
        <f>VLOOKUP($D185&amp;$B185,[3]!装备基础属性表,W$30,FALSE)</f>
        <v>617.28395061728395</v>
      </c>
      <c r="AH185" s="15">
        <f>VLOOKUP($D185&amp;$B185,[3]!装备基础属性表,X$30,FALSE)</f>
        <v>0</v>
      </c>
      <c r="AI185" s="15">
        <f>VLOOKUP($D185&amp;$B185,[3]!装备基础属性表,Y$30,FALSE)</f>
        <v>0</v>
      </c>
      <c r="AJ185" s="16" t="str">
        <f>B185&amp;VLOOKUP(C185,定义数据!$E$1:$F$7,2,FALSE)&amp;D185</f>
        <v>4580</v>
      </c>
      <c r="AK185" s="14">
        <f t="shared" si="29"/>
        <v>27</v>
      </c>
      <c r="AL185" s="5">
        <f t="shared" si="121"/>
        <v>6</v>
      </c>
      <c r="AM185" s="5" t="str">
        <f t="array" aca="1" ref="AM185" ca="1">IF(AM$31&gt;$AL185,0,IF(ISERROR(OFFSET($E$31,0,SMALL(IF($E185:$X185&gt;0,COLUMN($A:$T),""),AM$31)-1)),0,OFFSET($E$31,0,SMALL(IF($E185:$X185&gt;0,COLUMN($A:$T),""),AM$31)-1)))</f>
        <v>生命</v>
      </c>
      <c r="AN185" s="5">
        <f t="array" aca="1" ref="AN185" ca="1">IF(AM$31&gt;$AL185,0,IF(ISERROR(INDEX($E185:$X185,,SMALL(IF($E185:$X185&gt;0,COLUMN($A:$T),""),AN$31))),0,INDEX($E185:$X185,,SMALL(IF($E185:$X185&gt;0,COLUMN($A:$T),""),AN$31))))</f>
        <v>3658.4949165184516</v>
      </c>
      <c r="AO185" s="5" t="str">
        <f t="array" aca="1" ref="AO185" ca="1">IF(AO$31&gt;$AL185,0,IF(ISERROR(OFFSET($E$31,0,SMALL(IF($E185:$X185&gt;0,COLUMN($A:$T),""),AO$31)-1)),0,OFFSET($E$31,0,SMALL(IF($E185:$X185&gt;0,COLUMN($A:$T),""),AO$31)-1)))</f>
        <v>闪避值</v>
      </c>
      <c r="AP185" s="5">
        <f t="array" aca="1" ref="AP185" ca="1">IF(AO$31&gt;$AL185,0,IF(ISERROR(INDEX($E185:$X185,,SMALL(IF($E185:$X185&gt;0,COLUMN($A:$T),""),AP$31))),0,INDEX($E185:$X185,,SMALL(IF($E185:$X185&gt;0,COLUMN($A:$T),""),AP$31))))</f>
        <v>486.11111111111109</v>
      </c>
      <c r="AQ185" s="5" t="str">
        <f t="array" aca="1" ref="AQ185" ca="1">IF(AQ$31&gt;$AL185,0,IF(ISERROR(OFFSET($E$31,0,SMALL(IF($E185:$X185&gt;0,COLUMN($A:$T),""),AQ$31)-1)),0,OFFSET($E$31,0,SMALL(IF($E185:$X185&gt;0,COLUMN($A:$T),""),AQ$31)-1)))</f>
        <v>生命</v>
      </c>
      <c r="AR185" s="5">
        <f t="array" aca="1" ref="AR185" ca="1">IF(AQ$31&gt;$AL185,0,IF(ISERROR(INDEX($E185:$X185,,SMALL(IF($E185:$X185&gt;0,COLUMN($A:$T),""),AR$31))),0,INDEX($E185:$X185,,SMALL(IF($E185:$X185&gt;0,COLUMN($A:$T),""),AR$31))))</f>
        <v>1742.1404364373579</v>
      </c>
      <c r="AS185" s="5" t="str">
        <f t="array" aca="1" ref="AS185" ca="1">IF(AS$31&gt;$AL185,0,IF(ISERROR(OFFSET($E$31,0,SMALL(IF($E185:$X185&gt;0,COLUMN($A:$T),""),AS$31)-1)),0,OFFSET($E$31,0,SMALL(IF($E185:$X185&gt;0,COLUMN($A:$T),""),AS$31)-1)))</f>
        <v>闪避值</v>
      </c>
      <c r="AT185" s="5">
        <f t="array" aca="1" ref="AT185" ca="1">IF(AS$31&gt;$AL185,0,IF(ISERROR(INDEX($E185:$X185,,SMALL(IF($E185:$X185&gt;0,COLUMN($A:$T),""),AT$31))),0,INDEX($E185:$X185,,SMALL(IF($E185:$X185&gt;0,COLUMN($A:$T),""),AT$31))))</f>
        <v>166.66666666666671</v>
      </c>
      <c r="AU185" s="5" t="str">
        <f t="array" aca="1" ref="AU185" ca="1">IF(AU$31&gt;$AL185,0,IF(ISERROR(OFFSET($E$31,0,SMALL(IF($E185:$X185&gt;0,COLUMN($A:$T),""),AU$31)-1)),0,OFFSET($E$31,0,SMALL(IF($E185:$X185&gt;0,COLUMN($A:$T),""),AU$31)-1)))</f>
        <v>命中值</v>
      </c>
      <c r="AV185" s="5">
        <f t="array" aca="1" ref="AV185" ca="1">IF(AU$31&gt;$AL185,0,IF(ISERROR(INDEX($E185:$X185,,SMALL(IF($E185:$X185&gt;0,COLUMN($A:$T),""),AV$31))),0,INDEX($E185:$X185,,SMALL(IF($E185:$X185&gt;0,COLUMN($A:$T),""),AV$31))))</f>
        <v>138.88888888888889</v>
      </c>
      <c r="AW185" s="5" t="str">
        <f t="array" aca="1" ref="AW185" ca="1">IF(AW$31&gt;$AL185,0,IF(ISERROR(OFFSET($E$31,0,SMALL(IF($E185:$X185&gt;0,COLUMN($A:$T),""),AW$31)-1)),0,OFFSET($E$31,0,SMALL(IF($E185:$X185&gt;0,COLUMN($A:$T),""),AW$31)-1)))</f>
        <v>暴击值</v>
      </c>
      <c r="AX185" s="5">
        <f t="array" aca="1" ref="AX185" ca="1">IF(AW$31&gt;$AL185,0,IF(ISERROR(INDEX($E185:$X185,,SMALL(IF($E185:$X185&gt;0,COLUMN($A:$T),""),AX$31))),0,INDEX($E185:$X185,,SMALL(IF($E185:$X185&gt;0,COLUMN($A:$T),""),AX$31))))</f>
        <v>49.382716049382722</v>
      </c>
      <c r="AY185" s="5">
        <f t="array" aca="1" ref="AY185" ca="1">IF(AY$31&gt;$AL185,0,IF(ISERROR(OFFSET($E$31,0,SMALL(IF($E185:$X185&gt;0,COLUMN($A:$T),""),AY$31)-1)),0,OFFSET($E$31,0,SMALL(IF($E185:$X185&gt;0,COLUMN($A:$T),""),AY$31)-1)))</f>
        <v>0</v>
      </c>
      <c r="AZ185" s="5">
        <f t="array" ref="AZ185">IF(AY$31&gt;$AL185,0,IF(ISERROR(INDEX($E185:$X185,,SMALL(IF($E185:$X185&gt;0,COLUMN($A:$T),""),AZ$31))),0,INDEX($E185:$X185,,SMALL(IF($E185:$X185&gt;0,COLUMN($A:$T),""),AZ$31))))</f>
        <v>0</v>
      </c>
      <c r="BA185" s="5">
        <f t="array" aca="1" ref="BA185" ca="1">IF(BA$31&gt;$AL185,0,IF(ISERROR(OFFSET($E$31,0,SMALL(IF($E185:$X185&gt;0,COLUMN($A:$T),""),BA$31)-1)),0,OFFSET($E$31,0,SMALL(IF($E185:$X185&gt;0,COLUMN($A:$T),""),BA$31)-1)))</f>
        <v>0</v>
      </c>
      <c r="BB185" s="5">
        <f t="array" ref="BB185">IF(BA$31&gt;$AL185,0,IF(ISERROR(INDEX($E185:$X185,,SMALL(IF($E185:$X185&gt;0,COLUMN($A:$T),""),BB$31))),0,INDEX($E185:$X185,,SMALL(IF($E185:$X185&gt;0,COLUMN($A:$T),""),BB$31))))</f>
        <v>0</v>
      </c>
      <c r="BC185" s="5">
        <f t="array" aca="1" ref="BC185" ca="1">IF(BC$31&gt;$AL185,0,IF(ISERROR(OFFSET($E$31,0,SMALL(IF($E185:$X185&gt;0,COLUMN($A:$T),""),BC$31)-1)),0,OFFSET($E$31,0,SMALL(IF($E185:$X185&gt;0,COLUMN($A:$T),""),BC$31)-1)))</f>
        <v>0</v>
      </c>
      <c r="BD185" s="5">
        <f t="array" ref="BD185">IF(BC$31&gt;$AL185,0,IF(ISERROR(INDEX($E185:$X185,,SMALL(IF($E185:$X185&gt;0,COLUMN($A:$T),""),BD$31))),0,INDEX($E185:$X185,,SMALL(IF($E185:$X185&gt;0,COLUMN($A:$T),""),BD$31))))</f>
        <v>0</v>
      </c>
      <c r="BE185" s="5">
        <f t="array" aca="1" ref="BE185" ca="1">IF(BE$31&gt;$AL185,0,IF(ISERROR(OFFSET($E$31,0,SMALL(IF($E185:$X185&gt;0,COLUMN($A:$T),""),BE$31)-1)),0,OFFSET($E$31,0,SMALL(IF($E185:$X185&gt;0,COLUMN($A:$T),""),BE$31)-1)))</f>
        <v>0</v>
      </c>
      <c r="BF185" s="5">
        <f t="array" ref="BF185">IF(BE$31&gt;$AL185,0,IF(ISERROR(INDEX($E185:$X185,,SMALL(IF($E185:$X185&gt;0,COLUMN($A:$T),""),BF$31))),0,INDEX($E185:$X185,,SMALL(IF($E185:$X185&gt;0,COLUMN($A:$T),""),BF$31))))</f>
        <v>0</v>
      </c>
      <c r="BH185">
        <f ca="1">SUMPRODUCT(E185:N185,定义数据!$G$14:$P$14)</f>
        <v>311.61757443851582</v>
      </c>
      <c r="BI185">
        <f ca="1">SUMPRODUCT(O185:X185,定义数据!$G$14:$P$14)</f>
        <v>182.46339523527212</v>
      </c>
      <c r="BJ185" s="5">
        <f t="shared" ca="1" si="122"/>
        <v>494.08096967378793</v>
      </c>
      <c r="BK185" s="5" t="str">
        <f>D185&amp;B185&amp;VLOOKUP(C185,定义数据!$E$1:$F$7,2,FALSE)</f>
        <v>8045</v>
      </c>
    </row>
    <row r="186" spans="1:63" x14ac:dyDescent="0.15">
      <c r="A186" s="17" t="str">
        <f>D186&amp;B186&amp;VLOOKUP(C186,定义数据!$E$1:$F$7,2,FALSE)</f>
        <v>8044</v>
      </c>
      <c r="B186" s="18">
        <v>4</v>
      </c>
      <c r="C186" s="18" t="s">
        <v>139</v>
      </c>
      <c r="D186" s="24">
        <v>80</v>
      </c>
      <c r="E186" s="56">
        <f t="shared" ca="1" si="133"/>
        <v>3658.4949165184516</v>
      </c>
      <c r="F186" s="56">
        <f t="shared" ca="1" si="134"/>
        <v>0</v>
      </c>
      <c r="G186" s="56">
        <f t="shared" ca="1" si="135"/>
        <v>0</v>
      </c>
      <c r="H186" s="56">
        <f t="shared" ca="1" si="136"/>
        <v>0</v>
      </c>
      <c r="I186" s="56">
        <f t="shared" ca="1" si="137"/>
        <v>0</v>
      </c>
      <c r="J186" s="56">
        <f t="shared" ca="1" si="138"/>
        <v>0</v>
      </c>
      <c r="K186" s="56">
        <f t="shared" ca="1" si="139"/>
        <v>0</v>
      </c>
      <c r="L186" s="56">
        <f t="shared" ca="1" si="140"/>
        <v>432.09876543209873</v>
      </c>
      <c r="M186" s="56">
        <f t="shared" ca="1" si="141"/>
        <v>0</v>
      </c>
      <c r="N186" s="56">
        <f t="shared" ca="1" si="142"/>
        <v>0</v>
      </c>
      <c r="O186" s="65">
        <f t="shared" ca="1" si="123"/>
        <v>3484.2808728747159</v>
      </c>
      <c r="P186" s="65">
        <f t="shared" ca="1" si="124"/>
        <v>106.1860620320856</v>
      </c>
      <c r="Q186" s="65">
        <f t="shared" ca="1" si="125"/>
        <v>38.237615251299829</v>
      </c>
      <c r="R186" s="65">
        <f t="shared" ca="1" si="126"/>
        <v>0</v>
      </c>
      <c r="S186" s="65">
        <f t="shared" ca="1" si="127"/>
        <v>0</v>
      </c>
      <c r="T186" s="65">
        <f t="shared" ca="1" si="128"/>
        <v>0</v>
      </c>
      <c r="U186" s="65">
        <f t="shared" ca="1" si="129"/>
        <v>0</v>
      </c>
      <c r="V186" s="65">
        <f t="shared" ca="1" si="130"/>
        <v>82.304526748971199</v>
      </c>
      <c r="W186" s="65">
        <f t="shared" ca="1" si="131"/>
        <v>0</v>
      </c>
      <c r="X186" s="65">
        <f t="shared" ca="1" si="132"/>
        <v>0</v>
      </c>
      <c r="Y186" s="21"/>
      <c r="Z186" s="15">
        <f>VLOOKUP($D186&amp;$B186,[3]!装备基础属性表,P$30,FALSE)</f>
        <v>26132.106546560371</v>
      </c>
      <c r="AA186" s="15">
        <f>VLOOKUP($D186&amp;$B186,[3]!装备基础属性表,Q$30,FALSE)</f>
        <v>1327.3257754010699</v>
      </c>
      <c r="AB186" s="15">
        <f>VLOOKUP($D186&amp;$B186,[3]!装备基础属性表,R$30,FALSE)</f>
        <v>573.56422876949739</v>
      </c>
      <c r="AC186" s="15">
        <f>VLOOKUP($D186&amp;$B186,[3]!装备基础属性表,S$30,FALSE)</f>
        <v>1041.6666666666667</v>
      </c>
      <c r="AD186" s="15">
        <f>VLOOKUP($D186&amp;$B186,[3]!装备基础属性表,T$30,FALSE)</f>
        <v>1041.6666666666667</v>
      </c>
      <c r="AE186" s="15">
        <f>VLOOKUP($D186&amp;$B186,[3]!装备基础属性表,U$30,FALSE)</f>
        <v>617.28395061728395</v>
      </c>
      <c r="AF186" s="15">
        <f>VLOOKUP($D186&amp;$B186,[3]!装备基础属性表,V$30,FALSE)</f>
        <v>0</v>
      </c>
      <c r="AG186" s="15">
        <f>VLOOKUP($D186&amp;$B186,[3]!装备基础属性表,W$30,FALSE)</f>
        <v>617.28395061728395</v>
      </c>
      <c r="AH186" s="15">
        <f>VLOOKUP($D186&amp;$B186,[3]!装备基础属性表,X$30,FALSE)</f>
        <v>0</v>
      </c>
      <c r="AI186" s="15">
        <f>VLOOKUP($D186&amp;$B186,[3]!装备基础属性表,Y$30,FALSE)</f>
        <v>0</v>
      </c>
      <c r="AJ186" s="16" t="str">
        <f>B186&amp;VLOOKUP(C186,定义数据!$E$1:$F$7,2,FALSE)&amp;D186</f>
        <v>4480</v>
      </c>
      <c r="AK186" s="14">
        <f t="shared" si="29"/>
        <v>27</v>
      </c>
      <c r="AL186" s="5">
        <f t="shared" si="121"/>
        <v>6</v>
      </c>
      <c r="AM186" s="5" t="str">
        <f t="array" aca="1" ref="AM186" ca="1">IF(AM$31&gt;$AL186,0,IF(ISERROR(OFFSET($E$31,0,SMALL(IF($E186:$X186&gt;0,COLUMN($A:$T),""),AM$31)-1)),0,OFFSET($E$31,0,SMALL(IF($E186:$X186&gt;0,COLUMN($A:$T),""),AM$31)-1)))</f>
        <v>生命</v>
      </c>
      <c r="AN186" s="5">
        <f t="array" aca="1" ref="AN186" ca="1">IF(AM$31&gt;$AL186,0,IF(ISERROR(INDEX($E186:$X186,,SMALL(IF($E186:$X186&gt;0,COLUMN($A:$T),""),AN$31))),0,INDEX($E186:$X186,,SMALL(IF($E186:$X186&gt;0,COLUMN($A:$T),""),AN$31))))</f>
        <v>3658.4949165184516</v>
      </c>
      <c r="AO186" s="5" t="str">
        <f t="array" aca="1" ref="AO186" ca="1">IF(AO$31&gt;$AL186,0,IF(ISERROR(OFFSET($E$31,0,SMALL(IF($E186:$X186&gt;0,COLUMN($A:$T),""),AO$31)-1)),0,OFFSET($E$31,0,SMALL(IF($E186:$X186&gt;0,COLUMN($A:$T),""),AO$31)-1)))</f>
        <v>韧性值</v>
      </c>
      <c r="AP186" s="5">
        <f t="array" aca="1" ref="AP186" ca="1">IF(AO$31&gt;$AL186,0,IF(ISERROR(INDEX($E186:$X186,,SMALL(IF($E186:$X186&gt;0,COLUMN($A:$T),""),AP$31))),0,INDEX($E186:$X186,,SMALL(IF($E186:$X186&gt;0,COLUMN($A:$T),""),AP$31))))</f>
        <v>432.09876543209873</v>
      </c>
      <c r="AQ186" s="5" t="str">
        <f t="array" aca="1" ref="AQ186" ca="1">IF(AQ$31&gt;$AL186,0,IF(ISERROR(OFFSET($E$31,0,SMALL(IF($E186:$X186&gt;0,COLUMN($A:$T),""),AQ$31)-1)),0,OFFSET($E$31,0,SMALL(IF($E186:$X186&gt;0,COLUMN($A:$T),""),AQ$31)-1)))</f>
        <v>生命</v>
      </c>
      <c r="AR186" s="5">
        <f t="array" aca="1" ref="AR186" ca="1">IF(AQ$31&gt;$AL186,0,IF(ISERROR(INDEX($E186:$X186,,SMALL(IF($E186:$X186&gt;0,COLUMN($A:$T),""),AR$31))),0,INDEX($E186:$X186,,SMALL(IF($E186:$X186&gt;0,COLUMN($A:$T),""),AR$31))))</f>
        <v>3484.2808728747159</v>
      </c>
      <c r="AS186" s="5" t="str">
        <f t="array" aca="1" ref="AS186" ca="1">IF(AS$31&gt;$AL186,0,IF(ISERROR(OFFSET($E$31,0,SMALL(IF($E186:$X186&gt;0,COLUMN($A:$T),""),AS$31)-1)),0,OFFSET($E$31,0,SMALL(IF($E186:$X186&gt;0,COLUMN($A:$T),""),AS$31)-1)))</f>
        <v>攻击</v>
      </c>
      <c r="AT186" s="5">
        <f t="array" aca="1" ref="AT186" ca="1">IF(AS$31&gt;$AL186,0,IF(ISERROR(INDEX($E186:$X186,,SMALL(IF($E186:$X186&gt;0,COLUMN($A:$T),""),AT$31))),0,INDEX($E186:$X186,,SMALL(IF($E186:$X186&gt;0,COLUMN($A:$T),""),AT$31))))</f>
        <v>106.1860620320856</v>
      </c>
      <c r="AU186" s="5" t="str">
        <f t="array" aca="1" ref="AU186" ca="1">IF(AU$31&gt;$AL186,0,IF(ISERROR(OFFSET($E$31,0,SMALL(IF($E186:$X186&gt;0,COLUMN($A:$T),""),AU$31)-1)),0,OFFSET($E$31,0,SMALL(IF($E186:$X186&gt;0,COLUMN($A:$T),""),AU$31)-1)))</f>
        <v>防御</v>
      </c>
      <c r="AV186" s="5">
        <f t="array" aca="1" ref="AV186" ca="1">IF(AU$31&gt;$AL186,0,IF(ISERROR(INDEX($E186:$X186,,SMALL(IF($E186:$X186&gt;0,COLUMN($A:$T),""),AV$31))),0,INDEX($E186:$X186,,SMALL(IF($E186:$X186&gt;0,COLUMN($A:$T),""),AV$31))))</f>
        <v>38.237615251299829</v>
      </c>
      <c r="AW186" s="5" t="str">
        <f t="array" aca="1" ref="AW186" ca="1">IF(AW$31&gt;$AL186,0,IF(ISERROR(OFFSET($E$31,0,SMALL(IF($E186:$X186&gt;0,COLUMN($A:$T),""),AW$31)-1)),0,OFFSET($E$31,0,SMALL(IF($E186:$X186&gt;0,COLUMN($A:$T),""),AW$31)-1)))</f>
        <v>韧性值</v>
      </c>
      <c r="AX186" s="5">
        <f t="array" aca="1" ref="AX186" ca="1">IF(AW$31&gt;$AL186,0,IF(ISERROR(INDEX($E186:$X186,,SMALL(IF($E186:$X186&gt;0,COLUMN($A:$T),""),AX$31))),0,INDEX($E186:$X186,,SMALL(IF($E186:$X186&gt;0,COLUMN($A:$T),""),AX$31))))</f>
        <v>82.304526748971199</v>
      </c>
      <c r="AY186" s="5">
        <f t="array" aca="1" ref="AY186" ca="1">IF(AY$31&gt;$AL186,0,IF(ISERROR(OFFSET($E$31,0,SMALL(IF($E186:$X186&gt;0,COLUMN($A:$T),""),AY$31)-1)),0,OFFSET($E$31,0,SMALL(IF($E186:$X186&gt;0,COLUMN($A:$T),""),AY$31)-1)))</f>
        <v>0</v>
      </c>
      <c r="AZ186" s="5">
        <f t="array" ref="AZ186">IF(AY$31&gt;$AL186,0,IF(ISERROR(INDEX($E186:$X186,,SMALL(IF($E186:$X186&gt;0,COLUMN($A:$T),""),AZ$31))),0,INDEX($E186:$X186,,SMALL(IF($E186:$X186&gt;0,COLUMN($A:$T),""),AZ$31))))</f>
        <v>0</v>
      </c>
      <c r="BA186" s="5">
        <f t="array" aca="1" ref="BA186" ca="1">IF(BA$31&gt;$AL186,0,IF(ISERROR(OFFSET($E$31,0,SMALL(IF($E186:$X186&gt;0,COLUMN($A:$T),""),BA$31)-1)),0,OFFSET($E$31,0,SMALL(IF($E186:$X186&gt;0,COLUMN($A:$T),""),BA$31)-1)))</f>
        <v>0</v>
      </c>
      <c r="BB186" s="5">
        <f t="array" ref="BB186">IF(BA$31&gt;$AL186,0,IF(ISERROR(INDEX($E186:$X186,,SMALL(IF($E186:$X186&gt;0,COLUMN($A:$T),""),BB$31))),0,INDEX($E186:$X186,,SMALL(IF($E186:$X186&gt;0,COLUMN($A:$T),""),BB$31))))</f>
        <v>0</v>
      </c>
      <c r="BC186" s="5">
        <f t="array" aca="1" ref="BC186" ca="1">IF(BC$31&gt;$AL186,0,IF(ISERROR(OFFSET($E$31,0,SMALL(IF($E186:$X186&gt;0,COLUMN($A:$T),""),BC$31)-1)),0,OFFSET($E$31,0,SMALL(IF($E186:$X186&gt;0,COLUMN($A:$T),""),BC$31)-1)))</f>
        <v>0</v>
      </c>
      <c r="BD186" s="5">
        <f t="array" ref="BD186">IF(BC$31&gt;$AL186,0,IF(ISERROR(INDEX($E186:$X186,,SMALL(IF($E186:$X186&gt;0,COLUMN($A:$T),""),BD$31))),0,INDEX($E186:$X186,,SMALL(IF($E186:$X186&gt;0,COLUMN($A:$T),""),BD$31))))</f>
        <v>0</v>
      </c>
      <c r="BE186" s="5">
        <f t="array" aca="1" ref="BE186" ca="1">IF(BE$31&gt;$AL186,0,IF(ISERROR(OFFSET($E$31,0,SMALL(IF($E186:$X186&gt;0,COLUMN($A:$T),""),BE$31)-1)),0,OFFSET($E$31,0,SMALL(IF($E186:$X186&gt;0,COLUMN($A:$T),""),BE$31)-1)))</f>
        <v>0</v>
      </c>
      <c r="BF186" s="5">
        <f t="array" ref="BF186">IF(BE$31&gt;$AL186,0,IF(ISERROR(INDEX($E186:$X186,,SMALL(IF($E186:$X186&gt;0,COLUMN($A:$T),""),BF$31))),0,INDEX($E186:$X186,,SMALL(IF($E186:$X186&gt;0,COLUMN($A:$T),""),BF$31))))</f>
        <v>0</v>
      </c>
      <c r="BH186">
        <f ca="1">SUMPRODUCT(E186:N186,定义数据!$G$14:$P$14)</f>
        <v>224.11757443851585</v>
      </c>
      <c r="BI186">
        <f ca="1">SUMPRODUCT(O186:X186,定义数据!$G$14:$P$14)</f>
        <v>298.60972701318889</v>
      </c>
      <c r="BJ186" s="5">
        <f t="shared" ca="1" si="122"/>
        <v>522.72730145170476</v>
      </c>
      <c r="BK186" s="5" t="str">
        <f>D186&amp;B186&amp;VLOOKUP(C186,定义数据!$E$1:$F$7,2,FALSE)</f>
        <v>8044</v>
      </c>
    </row>
    <row r="187" spans="1:63" x14ac:dyDescent="0.15">
      <c r="A187" s="17" t="str">
        <f>D187&amp;B187&amp;VLOOKUP(C187,定义数据!$E$1:$F$7,2,FALSE)</f>
        <v>8043</v>
      </c>
      <c r="B187" s="18">
        <v>4</v>
      </c>
      <c r="C187" s="18" t="s">
        <v>140</v>
      </c>
      <c r="D187" s="24">
        <v>80</v>
      </c>
      <c r="E187" s="56">
        <f t="shared" ca="1" si="133"/>
        <v>0</v>
      </c>
      <c r="F187" s="56">
        <f t="shared" ca="1" si="134"/>
        <v>232.28201069518721</v>
      </c>
      <c r="G187" s="56">
        <f t="shared" ca="1" si="135"/>
        <v>0</v>
      </c>
      <c r="H187" s="56">
        <f t="shared" ca="1" si="136"/>
        <v>0</v>
      </c>
      <c r="I187" s="56">
        <f t="shared" ca="1" si="137"/>
        <v>729.16666666666663</v>
      </c>
      <c r="J187" s="56">
        <f t="shared" ca="1" si="138"/>
        <v>0</v>
      </c>
      <c r="K187" s="56">
        <f t="shared" ca="1" si="139"/>
        <v>0</v>
      </c>
      <c r="L187" s="56">
        <f t="shared" ca="1" si="140"/>
        <v>0</v>
      </c>
      <c r="M187" s="56">
        <f t="shared" ca="1" si="141"/>
        <v>0</v>
      </c>
      <c r="N187" s="56">
        <f t="shared" ca="1" si="142"/>
        <v>0</v>
      </c>
      <c r="O187" s="65">
        <f t="shared" ca="1" si="123"/>
        <v>0</v>
      </c>
      <c r="P187" s="65">
        <f t="shared" ca="1" si="124"/>
        <v>106.1860620320856</v>
      </c>
      <c r="Q187" s="65">
        <f t="shared" ca="1" si="125"/>
        <v>0</v>
      </c>
      <c r="R187" s="65">
        <f t="shared" ca="1" si="126"/>
        <v>83.333333333333357</v>
      </c>
      <c r="S187" s="65">
        <f t="shared" ca="1" si="127"/>
        <v>138.88888888888889</v>
      </c>
      <c r="T187" s="65">
        <f t="shared" ca="1" si="128"/>
        <v>98.765432098765444</v>
      </c>
      <c r="U187" s="65">
        <f t="shared" ca="1" si="129"/>
        <v>0</v>
      </c>
      <c r="V187" s="65">
        <f t="shared" ca="1" si="130"/>
        <v>0</v>
      </c>
      <c r="W187" s="65">
        <f t="shared" ca="1" si="131"/>
        <v>0</v>
      </c>
      <c r="X187" s="65">
        <f t="shared" ca="1" si="132"/>
        <v>0</v>
      </c>
      <c r="Y187" s="21"/>
      <c r="Z187" s="15">
        <f>VLOOKUP($D187&amp;$B187,[3]!装备基础属性表,P$30,FALSE)</f>
        <v>26132.106546560371</v>
      </c>
      <c r="AA187" s="15">
        <f>VLOOKUP($D187&amp;$B187,[3]!装备基础属性表,Q$30,FALSE)</f>
        <v>1327.3257754010699</v>
      </c>
      <c r="AB187" s="15">
        <f>VLOOKUP($D187&amp;$B187,[3]!装备基础属性表,R$30,FALSE)</f>
        <v>573.56422876949739</v>
      </c>
      <c r="AC187" s="15">
        <f>VLOOKUP($D187&amp;$B187,[3]!装备基础属性表,S$30,FALSE)</f>
        <v>1041.6666666666667</v>
      </c>
      <c r="AD187" s="15">
        <f>VLOOKUP($D187&amp;$B187,[3]!装备基础属性表,T$30,FALSE)</f>
        <v>1041.6666666666667</v>
      </c>
      <c r="AE187" s="15">
        <f>VLOOKUP($D187&amp;$B187,[3]!装备基础属性表,U$30,FALSE)</f>
        <v>617.28395061728395</v>
      </c>
      <c r="AF187" s="15">
        <f>VLOOKUP($D187&amp;$B187,[3]!装备基础属性表,V$30,FALSE)</f>
        <v>0</v>
      </c>
      <c r="AG187" s="15">
        <f>VLOOKUP($D187&amp;$B187,[3]!装备基础属性表,W$30,FALSE)</f>
        <v>617.28395061728395</v>
      </c>
      <c r="AH187" s="15">
        <f>VLOOKUP($D187&amp;$B187,[3]!装备基础属性表,X$30,FALSE)</f>
        <v>0</v>
      </c>
      <c r="AI187" s="15">
        <f>VLOOKUP($D187&amp;$B187,[3]!装备基础属性表,Y$30,FALSE)</f>
        <v>0</v>
      </c>
      <c r="AJ187" s="16" t="str">
        <f>B187&amp;VLOOKUP(C187,定义数据!$E$1:$F$7,2,FALSE)&amp;D187</f>
        <v>4380</v>
      </c>
      <c r="AK187" s="14">
        <f t="shared" si="29"/>
        <v>27</v>
      </c>
      <c r="AL187" s="5">
        <f t="shared" si="121"/>
        <v>6</v>
      </c>
      <c r="AM187" s="5" t="str">
        <f t="array" aca="1" ref="AM187" ca="1">IF(AM$31&gt;$AL187,0,IF(ISERROR(OFFSET($E$31,0,SMALL(IF($E187:$X187&gt;0,COLUMN($A:$T),""),AM$31)-1)),0,OFFSET($E$31,0,SMALL(IF($E187:$X187&gt;0,COLUMN($A:$T),""),AM$31)-1)))</f>
        <v>攻击</v>
      </c>
      <c r="AN187" s="5">
        <f t="array" aca="1" ref="AN187" ca="1">IF(AM$31&gt;$AL187,0,IF(ISERROR(INDEX($E187:$X187,,SMALL(IF($E187:$X187&gt;0,COLUMN($A:$T),""),AN$31))),0,INDEX($E187:$X187,,SMALL(IF($E187:$X187&gt;0,COLUMN($A:$T),""),AN$31))))</f>
        <v>232.28201069518721</v>
      </c>
      <c r="AO187" s="5" t="str">
        <f t="array" aca="1" ref="AO187" ca="1">IF(AO$31&gt;$AL187,0,IF(ISERROR(OFFSET($E$31,0,SMALL(IF($E187:$X187&gt;0,COLUMN($A:$T),""),AO$31)-1)),0,OFFSET($E$31,0,SMALL(IF($E187:$X187&gt;0,COLUMN($A:$T),""),AO$31)-1)))</f>
        <v>命中值</v>
      </c>
      <c r="AP187" s="5">
        <f t="array" aca="1" ref="AP187" ca="1">IF(AO$31&gt;$AL187,0,IF(ISERROR(INDEX($E187:$X187,,SMALL(IF($E187:$X187&gt;0,COLUMN($A:$T),""),AP$31))),0,INDEX($E187:$X187,,SMALL(IF($E187:$X187&gt;0,COLUMN($A:$T),""),AP$31))))</f>
        <v>729.16666666666663</v>
      </c>
      <c r="AQ187" s="5" t="str">
        <f t="array" aca="1" ref="AQ187" ca="1">IF(AQ$31&gt;$AL187,0,IF(ISERROR(OFFSET($E$31,0,SMALL(IF($E187:$X187&gt;0,COLUMN($A:$T),""),AQ$31)-1)),0,OFFSET($E$31,0,SMALL(IF($E187:$X187&gt;0,COLUMN($A:$T),""),AQ$31)-1)))</f>
        <v>攻击</v>
      </c>
      <c r="AR187" s="5">
        <f t="array" aca="1" ref="AR187" ca="1">IF(AQ$31&gt;$AL187,0,IF(ISERROR(INDEX($E187:$X187,,SMALL(IF($E187:$X187&gt;0,COLUMN($A:$T),""),AR$31))),0,INDEX($E187:$X187,,SMALL(IF($E187:$X187&gt;0,COLUMN($A:$T),""),AR$31))))</f>
        <v>106.1860620320856</v>
      </c>
      <c r="AS187" s="5" t="str">
        <f t="array" aca="1" ref="AS187" ca="1">IF(AS$31&gt;$AL187,0,IF(ISERROR(OFFSET($E$31,0,SMALL(IF($E187:$X187&gt;0,COLUMN($A:$T),""),AS$31)-1)),0,OFFSET($E$31,0,SMALL(IF($E187:$X187&gt;0,COLUMN($A:$T),""),AS$31)-1)))</f>
        <v>闪避值</v>
      </c>
      <c r="AT187" s="5">
        <f t="array" aca="1" ref="AT187" ca="1">IF(AS$31&gt;$AL187,0,IF(ISERROR(INDEX($E187:$X187,,SMALL(IF($E187:$X187&gt;0,COLUMN($A:$T),""),AT$31))),0,INDEX($E187:$X187,,SMALL(IF($E187:$X187&gt;0,COLUMN($A:$T),""),AT$31))))</f>
        <v>83.333333333333357</v>
      </c>
      <c r="AU187" s="5" t="str">
        <f t="array" aca="1" ref="AU187" ca="1">IF(AU$31&gt;$AL187,0,IF(ISERROR(OFFSET($E$31,0,SMALL(IF($E187:$X187&gt;0,COLUMN($A:$T),""),AU$31)-1)),0,OFFSET($E$31,0,SMALL(IF($E187:$X187&gt;0,COLUMN($A:$T),""),AU$31)-1)))</f>
        <v>命中值</v>
      </c>
      <c r="AV187" s="5">
        <f t="array" aca="1" ref="AV187" ca="1">IF(AU$31&gt;$AL187,0,IF(ISERROR(INDEX($E187:$X187,,SMALL(IF($E187:$X187&gt;0,COLUMN($A:$T),""),AV$31))),0,INDEX($E187:$X187,,SMALL(IF($E187:$X187&gt;0,COLUMN($A:$T),""),AV$31))))</f>
        <v>138.88888888888889</v>
      </c>
      <c r="AW187" s="5" t="str">
        <f t="array" aca="1" ref="AW187" ca="1">IF(AW$31&gt;$AL187,0,IF(ISERROR(OFFSET($E$31,0,SMALL(IF($E187:$X187&gt;0,COLUMN($A:$T),""),AW$31)-1)),0,OFFSET($E$31,0,SMALL(IF($E187:$X187&gt;0,COLUMN($A:$T),""),AW$31)-1)))</f>
        <v>暴击值</v>
      </c>
      <c r="AX187" s="5">
        <f t="array" aca="1" ref="AX187" ca="1">IF(AW$31&gt;$AL187,0,IF(ISERROR(INDEX($E187:$X187,,SMALL(IF($E187:$X187&gt;0,COLUMN($A:$T),""),AX$31))),0,INDEX($E187:$X187,,SMALL(IF($E187:$X187&gt;0,COLUMN($A:$T),""),AX$31))))</f>
        <v>98.765432098765444</v>
      </c>
      <c r="AY187" s="5">
        <f t="array" aca="1" ref="AY187" ca="1">IF(AY$31&gt;$AL187,0,IF(ISERROR(OFFSET($E$31,0,SMALL(IF($E187:$X187&gt;0,COLUMN($A:$T),""),AY$31)-1)),0,OFFSET($E$31,0,SMALL(IF($E187:$X187&gt;0,COLUMN($A:$T),""),AY$31)-1)))</f>
        <v>0</v>
      </c>
      <c r="AZ187" s="5">
        <f t="array" ref="AZ187">IF(AY$31&gt;$AL187,0,IF(ISERROR(INDEX($E187:$X187,,SMALL(IF($E187:$X187&gt;0,COLUMN($A:$T),""),AZ$31))),0,INDEX($E187:$X187,,SMALL(IF($E187:$X187&gt;0,COLUMN($A:$T),""),AZ$31))))</f>
        <v>0</v>
      </c>
      <c r="BA187" s="5">
        <f t="array" aca="1" ref="BA187" ca="1">IF(BA$31&gt;$AL187,0,IF(ISERROR(OFFSET($E$31,0,SMALL(IF($E187:$X187&gt;0,COLUMN($A:$T),""),BA$31)-1)),0,OFFSET($E$31,0,SMALL(IF($E187:$X187&gt;0,COLUMN($A:$T),""),BA$31)-1)))</f>
        <v>0</v>
      </c>
      <c r="BB187" s="5">
        <f t="array" ref="BB187">IF(BA$31&gt;$AL187,0,IF(ISERROR(INDEX($E187:$X187,,SMALL(IF($E187:$X187&gt;0,COLUMN($A:$T),""),BB$31))),0,INDEX($E187:$X187,,SMALL(IF($E187:$X187&gt;0,COLUMN($A:$T),""),BB$31))))</f>
        <v>0</v>
      </c>
      <c r="BC187" s="5">
        <f t="array" aca="1" ref="BC187" ca="1">IF(BC$31&gt;$AL187,0,IF(ISERROR(OFFSET($E$31,0,SMALL(IF($E187:$X187&gt;0,COLUMN($A:$T),""),BC$31)-1)),0,OFFSET($E$31,0,SMALL(IF($E187:$X187&gt;0,COLUMN($A:$T),""),BC$31)-1)))</f>
        <v>0</v>
      </c>
      <c r="BD187" s="5">
        <f t="array" ref="BD187">IF(BC$31&gt;$AL187,0,IF(ISERROR(INDEX($E187:$X187,,SMALL(IF($E187:$X187&gt;0,COLUMN($A:$T),""),BD$31))),0,INDEX($E187:$X187,,SMALL(IF($E187:$X187&gt;0,COLUMN($A:$T),""),BD$31))))</f>
        <v>0</v>
      </c>
      <c r="BE187" s="5">
        <f t="array" aca="1" ref="BE187" ca="1">IF(BE$31&gt;$AL187,0,IF(ISERROR(OFFSET($E$31,0,SMALL(IF($E187:$X187&gt;0,COLUMN($A:$T),""),BE$31)-1)),0,OFFSET($E$31,0,SMALL(IF($E187:$X187&gt;0,COLUMN($A:$T),""),BE$31)-1)))</f>
        <v>0</v>
      </c>
      <c r="BF187" s="5">
        <f t="array" ref="BF187">IF(BE$31&gt;$AL187,0,IF(ISERROR(INDEX($E187:$X187,,SMALL(IF($E187:$X187&gt;0,COLUMN($A:$T),""),BF$31))),0,INDEX($E187:$X187,,SMALL(IF($E187:$X187&gt;0,COLUMN($A:$T),""),BF$31))))</f>
        <v>0</v>
      </c>
      <c r="BH187">
        <f ca="1">SUMPRODUCT(E187:N187,定义数据!$G$14:$P$14)</f>
        <v>480.19867736185392</v>
      </c>
      <c r="BI187">
        <f ca="1">SUMPRODUCT(O187:X187,定义数据!$G$14:$P$14)</f>
        <v>199.51939536541894</v>
      </c>
      <c r="BJ187" s="5">
        <f t="shared" ca="1" si="122"/>
        <v>679.7180727272729</v>
      </c>
      <c r="BK187" s="5" t="str">
        <f>D187&amp;B187&amp;VLOOKUP(C187,定义数据!$E$1:$F$7,2,FALSE)</f>
        <v>8043</v>
      </c>
    </row>
  </sheetData>
  <autoFilter ref="B31:D187"/>
  <mergeCells count="2">
    <mergeCell ref="B29:C29"/>
    <mergeCell ref="O29:Y29"/>
  </mergeCells>
  <phoneticPr fontId="1" type="noConversion"/>
  <conditionalFormatting sqref="E32:N55 E68:N187">
    <cfRule type="cellIs" dxfId="235" priority="94" operator="greaterThan">
      <formula>0</formula>
    </cfRule>
  </conditionalFormatting>
  <conditionalFormatting sqref="F4:O9">
    <cfRule type="cellIs" dxfId="234" priority="92" operator="greaterThan">
      <formula>0</formula>
    </cfRule>
  </conditionalFormatting>
  <conditionalFormatting sqref="O32:X37 O44:X55 O68:X187">
    <cfRule type="cellIs" dxfId="233" priority="82" operator="greaterThan">
      <formula>0</formula>
    </cfRule>
  </conditionalFormatting>
  <conditionalFormatting sqref="F14:O19">
    <cfRule type="cellIs" dxfId="232" priority="81" operator="greaterThan">
      <formula>0</formula>
    </cfRule>
  </conditionalFormatting>
  <conditionalFormatting sqref="Q22:U22">
    <cfRule type="cellIs" dxfId="231" priority="76" operator="equal">
      <formula>5</formula>
    </cfRule>
    <cfRule type="cellIs" dxfId="230" priority="77" operator="equal">
      <formula>4</formula>
    </cfRule>
    <cfRule type="cellIs" dxfId="229" priority="78" operator="equal">
      <formula>3</formula>
    </cfRule>
    <cfRule type="cellIs" dxfId="228" priority="79" operator="equal">
      <formula>1</formula>
    </cfRule>
    <cfRule type="cellIs" dxfId="227" priority="80" operator="equal">
      <formula>2</formula>
    </cfRule>
  </conditionalFormatting>
  <conditionalFormatting sqref="E32:X55 E68:X187">
    <cfRule type="cellIs" dxfId="226" priority="65" stopIfTrue="1" operator="greaterThan">
      <formula>0</formula>
    </cfRule>
    <cfRule type="expression" dxfId="225" priority="66">
      <formula>$B32=4</formula>
    </cfRule>
    <cfRule type="expression" dxfId="224" priority="67">
      <formula>$B32=3</formula>
    </cfRule>
    <cfRule type="expression" dxfId="223" priority="68">
      <formula>$B32=2</formula>
    </cfRule>
    <cfRule type="expression" dxfId="222" priority="69">
      <formula>$B32=1</formula>
    </cfRule>
    <cfRule type="expression" dxfId="221" priority="70">
      <formula>$B32=0</formula>
    </cfRule>
  </conditionalFormatting>
  <conditionalFormatting sqref="B32:D55 B68:D187">
    <cfRule type="expression" dxfId="220" priority="60">
      <formula>$B32=4</formula>
    </cfRule>
    <cfRule type="expression" dxfId="219" priority="61">
      <formula>$B32=3</formula>
    </cfRule>
    <cfRule type="expression" dxfId="218" priority="62">
      <formula>$B32=2</formula>
    </cfRule>
    <cfRule type="expression" dxfId="217" priority="63">
      <formula>$B32=1</formula>
    </cfRule>
    <cfRule type="expression" dxfId="216" priority="64">
      <formula>$B32=0</formula>
    </cfRule>
  </conditionalFormatting>
  <conditionalFormatting sqref="E56:N61">
    <cfRule type="cellIs" dxfId="215" priority="26" operator="greaterThan">
      <formula>0</formula>
    </cfRule>
  </conditionalFormatting>
  <conditionalFormatting sqref="O56:X61">
    <cfRule type="cellIs" dxfId="214" priority="25" operator="greaterThan">
      <formula>0</formula>
    </cfRule>
  </conditionalFormatting>
  <conditionalFormatting sqref="E56:X61">
    <cfRule type="cellIs" dxfId="213" priority="19" stopIfTrue="1" operator="greaterThan">
      <formula>0</formula>
    </cfRule>
    <cfRule type="expression" dxfId="212" priority="20">
      <formula>$B56=4</formula>
    </cfRule>
    <cfRule type="expression" dxfId="211" priority="21">
      <formula>$B56=3</formula>
    </cfRule>
    <cfRule type="expression" dxfId="210" priority="22">
      <formula>$B56=2</formula>
    </cfRule>
    <cfRule type="expression" dxfId="209" priority="23">
      <formula>$B56=1</formula>
    </cfRule>
    <cfRule type="expression" dxfId="208" priority="24">
      <formula>$B56=0</formula>
    </cfRule>
  </conditionalFormatting>
  <conditionalFormatting sqref="B56:D61">
    <cfRule type="expression" dxfId="207" priority="14">
      <formula>$B56=4</formula>
    </cfRule>
    <cfRule type="expression" dxfId="206" priority="15">
      <formula>$B56=3</formula>
    </cfRule>
    <cfRule type="expression" dxfId="205" priority="16">
      <formula>$B56=2</formula>
    </cfRule>
    <cfRule type="expression" dxfId="204" priority="17">
      <formula>$B56=1</formula>
    </cfRule>
    <cfRule type="expression" dxfId="203" priority="18">
      <formula>$B56=0</formula>
    </cfRule>
  </conditionalFormatting>
  <conditionalFormatting sqref="E62:N67">
    <cfRule type="cellIs" dxfId="202" priority="13" operator="greaterThan">
      <formula>0</formula>
    </cfRule>
  </conditionalFormatting>
  <conditionalFormatting sqref="O62:X67">
    <cfRule type="cellIs" dxfId="201" priority="12" operator="greaterThan">
      <formula>0</formula>
    </cfRule>
  </conditionalFormatting>
  <conditionalFormatting sqref="E62:X67">
    <cfRule type="cellIs" dxfId="200" priority="6" stopIfTrue="1" operator="greaterThan">
      <formula>0</formula>
    </cfRule>
    <cfRule type="expression" dxfId="199" priority="7">
      <formula>$B62=4</formula>
    </cfRule>
    <cfRule type="expression" dxfId="198" priority="8">
      <formula>$B62=3</formula>
    </cfRule>
    <cfRule type="expression" dxfId="197" priority="9">
      <formula>$B62=2</formula>
    </cfRule>
    <cfRule type="expression" dxfId="196" priority="10">
      <formula>$B62=1</formula>
    </cfRule>
    <cfRule type="expression" dxfId="195" priority="11">
      <formula>$B62=0</formula>
    </cfRule>
  </conditionalFormatting>
  <conditionalFormatting sqref="B62:D67">
    <cfRule type="expression" dxfId="194" priority="1">
      <formula>$B62=4</formula>
    </cfRule>
    <cfRule type="expression" dxfId="193" priority="2">
      <formula>$B62=3</formula>
    </cfRule>
    <cfRule type="expression" dxfId="192" priority="3">
      <formula>$B62=2</formula>
    </cfRule>
    <cfRule type="expression" dxfId="191" priority="4">
      <formula>$B62=1</formula>
    </cfRule>
    <cfRule type="expression" dxfId="190" priority="5">
      <formula>$B62=0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194"/>
  <sheetViews>
    <sheetView topLeftCell="D31" workbookViewId="0">
      <selection activeCell="V83" sqref="V83"/>
    </sheetView>
  </sheetViews>
  <sheetFormatPr defaultRowHeight="13.5" x14ac:dyDescent="0.15"/>
  <cols>
    <col min="9" max="9" width="13.875" bestFit="1" customWidth="1"/>
    <col min="13" max="13" width="16.125" bestFit="1" customWidth="1"/>
    <col min="17" max="17" width="9.5" bestFit="1" customWidth="1"/>
    <col min="18" max="18" width="12.875" bestFit="1" customWidth="1"/>
    <col min="19" max="19" width="14" bestFit="1" customWidth="1"/>
    <col min="20" max="20" width="12.75" bestFit="1" customWidth="1"/>
    <col min="21" max="21" width="16.5" customWidth="1"/>
    <col min="22" max="25" width="14.125" customWidth="1"/>
    <col min="26" max="26" width="14.5" customWidth="1"/>
    <col min="27" max="27" width="10.75" customWidth="1"/>
    <col min="28" max="28" width="14.5" customWidth="1"/>
    <col min="29" max="29" width="12.75" bestFit="1" customWidth="1"/>
  </cols>
  <sheetData>
    <row r="1" spans="5:40" x14ac:dyDescent="0.15">
      <c r="I1" s="5" t="s">
        <v>131</v>
      </c>
      <c r="J1" s="5">
        <f>[3]装备规划!K34</f>
        <v>0.12</v>
      </c>
      <c r="K1" s="5">
        <f>[3]装备规划!L34</f>
        <v>0.18000000000000002</v>
      </c>
      <c r="L1" s="5">
        <f>[3]装备规划!M34</f>
        <v>0.26</v>
      </c>
      <c r="M1" s="5">
        <f>[3]装备规划!N34</f>
        <v>0.34</v>
      </c>
      <c r="N1" s="5">
        <f>[3]装备规划!O34</f>
        <v>0.4</v>
      </c>
    </row>
    <row r="2" spans="5:40" x14ac:dyDescent="0.15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  <c r="R2">
        <v>13</v>
      </c>
      <c r="S2">
        <v>14</v>
      </c>
      <c r="T2">
        <v>15</v>
      </c>
    </row>
    <row r="3" spans="5:40" x14ac:dyDescent="0.15">
      <c r="E3" s="99" t="s">
        <v>132</v>
      </c>
      <c r="F3" s="5" t="str">
        <f>[3]装备规划!D79</f>
        <v>搜索值</v>
      </c>
      <c r="G3" s="5" t="str">
        <f>[3]装备规划!E79</f>
        <v>装备等级</v>
      </c>
      <c r="H3" s="5" t="str">
        <f>[3]装备规划!F79</f>
        <v>品质</v>
      </c>
      <c r="I3" s="5" t="str">
        <f>[3]装备规划!G79</f>
        <v>属性</v>
      </c>
      <c r="J3" s="2" t="str">
        <f>G35</f>
        <v>生命</v>
      </c>
      <c r="K3" s="2" t="str">
        <f t="shared" ref="K3:S3" si="0">H35</f>
        <v>攻击</v>
      </c>
      <c r="L3" s="2" t="str">
        <f t="shared" si="0"/>
        <v>防御</v>
      </c>
      <c r="M3" s="2" t="str">
        <f t="shared" si="0"/>
        <v>闪避值</v>
      </c>
      <c r="N3" s="2" t="str">
        <f t="shared" si="0"/>
        <v>命中值</v>
      </c>
      <c r="O3" s="2" t="str">
        <f t="shared" si="0"/>
        <v>暴击值</v>
      </c>
      <c r="P3" s="2" t="str">
        <f t="shared" si="0"/>
        <v>暴击倍数</v>
      </c>
      <c r="Q3" s="2" t="str">
        <f t="shared" si="0"/>
        <v>韧性值</v>
      </c>
      <c r="R3" s="2" t="str">
        <f t="shared" si="0"/>
        <v>伤害减免</v>
      </c>
      <c r="S3" s="2" t="str">
        <f t="shared" si="0"/>
        <v>伤害加深</v>
      </c>
      <c r="T3" s="5" t="s">
        <v>143</v>
      </c>
      <c r="AE3" s="7" t="s">
        <v>21</v>
      </c>
      <c r="AF3" s="2"/>
      <c r="AG3" s="2"/>
      <c r="AH3" s="2"/>
      <c r="AI3" s="8"/>
      <c r="AJ3" s="9"/>
      <c r="AK3" s="10"/>
      <c r="AL3" s="10"/>
      <c r="AM3" s="10"/>
      <c r="AN3" s="5">
        <v>1</v>
      </c>
    </row>
    <row r="4" spans="5:40" x14ac:dyDescent="0.15">
      <c r="E4" s="100"/>
      <c r="F4" s="5" t="str">
        <f>[3]装备规划!D80</f>
        <v>50</v>
      </c>
      <c r="G4" s="5">
        <f>[3]装备规划!E80</f>
        <v>5</v>
      </c>
      <c r="H4" s="14">
        <f>[3]装备规划!F80</f>
        <v>0</v>
      </c>
      <c r="I4" s="5">
        <f>[3]装备规划!G80</f>
        <v>0.12</v>
      </c>
      <c r="J4" s="12">
        <f>[3]装备规划!H80</f>
        <v>58.79723972976084</v>
      </c>
      <c r="K4" s="12">
        <f>[3]装备规划!I80</f>
        <v>2.9864829946524072</v>
      </c>
      <c r="L4" s="12">
        <f>[3]装备规划!J80</f>
        <v>1.2905195147313693</v>
      </c>
      <c r="M4" s="12">
        <f>[3]装备规划!K80</f>
        <v>2.34375</v>
      </c>
      <c r="N4" s="12">
        <f>[3]装备规划!L80</f>
        <v>2.34375</v>
      </c>
      <c r="O4" s="12">
        <f>[3]装备规划!M80</f>
        <v>1.3888888888888888</v>
      </c>
      <c r="P4" s="12">
        <f>[3]装备规划!N80</f>
        <v>0</v>
      </c>
      <c r="Q4" s="12">
        <f>[3]装备规划!O80</f>
        <v>1.3888888888888888</v>
      </c>
      <c r="R4" s="12">
        <f>[3]装备规划!P80</f>
        <v>0</v>
      </c>
      <c r="S4" s="12">
        <f>[3]装备规划!Q80</f>
        <v>0</v>
      </c>
      <c r="T4" s="5">
        <f>SUMPRODUCT(J4:S4,定义数据!$G$14:$P$14)</f>
        <v>8.7226420985742106</v>
      </c>
      <c r="AE4" s="7"/>
      <c r="AF4" s="2" t="s">
        <v>22</v>
      </c>
      <c r="AG4" s="2"/>
      <c r="AH4" s="2"/>
      <c r="AI4" s="8" t="s">
        <v>18</v>
      </c>
      <c r="AJ4" s="9"/>
      <c r="AK4" s="10"/>
      <c r="AL4" s="10"/>
      <c r="AM4" s="10"/>
      <c r="AN4" s="5">
        <v>2</v>
      </c>
    </row>
    <row r="5" spans="5:40" x14ac:dyDescent="0.15">
      <c r="E5" s="100"/>
      <c r="F5" s="5" t="str">
        <f>[3]装备规划!D81</f>
        <v>51</v>
      </c>
      <c r="G5" s="5">
        <f>[3]装备规划!E81</f>
        <v>5</v>
      </c>
      <c r="H5" s="14">
        <f>[3]装备规划!F81</f>
        <v>1</v>
      </c>
      <c r="I5" s="5">
        <f>[3]装备规划!G81</f>
        <v>0.18000000000000002</v>
      </c>
      <c r="J5" s="12">
        <f>[3]装备规划!H81</f>
        <v>88.195859594641263</v>
      </c>
      <c r="K5" s="12">
        <f>[3]装备规划!I81</f>
        <v>4.4797244919786117</v>
      </c>
      <c r="L5" s="12">
        <f>[3]装备规划!J81</f>
        <v>1.9357792720970539</v>
      </c>
      <c r="M5" s="12">
        <f>[3]装备规划!K81</f>
        <v>3.5156250000000009</v>
      </c>
      <c r="N5" s="12">
        <f>[3]装备规划!L81</f>
        <v>3.5156250000000009</v>
      </c>
      <c r="O5" s="12">
        <f>[3]装备规划!M81</f>
        <v>2.0833333333333335</v>
      </c>
      <c r="P5" s="12">
        <f>[3]装备规划!N81</f>
        <v>0</v>
      </c>
      <c r="Q5" s="12">
        <f>[3]装备规划!O81</f>
        <v>2.0833333333333335</v>
      </c>
      <c r="R5" s="12">
        <f>[3]装备规划!P81</f>
        <v>0</v>
      </c>
      <c r="S5" s="12">
        <f>[3]装备规划!Q81</f>
        <v>0</v>
      </c>
      <c r="T5" s="5">
        <f>SUMPRODUCT(J5:S5,定义数据!$G$14:$P$14)</f>
        <v>13.083963147861317</v>
      </c>
      <c r="AE5" s="7"/>
      <c r="AF5" s="2" t="s">
        <v>23</v>
      </c>
      <c r="AG5" s="2"/>
      <c r="AH5" s="2"/>
      <c r="AI5" s="8" t="s">
        <v>24</v>
      </c>
      <c r="AJ5" s="9"/>
      <c r="AK5" s="10"/>
      <c r="AL5" s="10"/>
      <c r="AM5" s="10"/>
      <c r="AN5" s="5">
        <v>2</v>
      </c>
    </row>
    <row r="6" spans="5:40" x14ac:dyDescent="0.15">
      <c r="E6" s="100"/>
      <c r="F6" s="5" t="str">
        <f>[3]装备规划!D82</f>
        <v>151</v>
      </c>
      <c r="G6" s="5">
        <f>[3]装备规划!E82</f>
        <v>15</v>
      </c>
      <c r="H6" s="14">
        <f>[3]装备规划!F82</f>
        <v>1</v>
      </c>
      <c r="I6" s="5">
        <f>[3]装备规划!G82</f>
        <v>0.36000000000000004</v>
      </c>
      <c r="J6" s="12">
        <f>[3]装备规划!H82</f>
        <v>176.39171918928253</v>
      </c>
      <c r="K6" s="12">
        <f>[3]装备规划!I82</f>
        <v>8.9594489839572233</v>
      </c>
      <c r="L6" s="12">
        <f>[3]装备规划!J82</f>
        <v>3.8715585441941078</v>
      </c>
      <c r="M6" s="12">
        <f>[3]装备规划!K82</f>
        <v>7.0312500000000018</v>
      </c>
      <c r="N6" s="12">
        <f>[3]装备规划!L82</f>
        <v>7.0312500000000018</v>
      </c>
      <c r="O6" s="12">
        <f>[3]装备规划!M82</f>
        <v>4.166666666666667</v>
      </c>
      <c r="P6" s="12">
        <f>[3]装备规划!N82</f>
        <v>0</v>
      </c>
      <c r="Q6" s="12">
        <f>[3]装备规划!O82</f>
        <v>4.166666666666667</v>
      </c>
      <c r="R6" s="12">
        <f>[3]装备规划!P82</f>
        <v>0</v>
      </c>
      <c r="S6" s="12">
        <f>[3]装备规划!Q82</f>
        <v>0</v>
      </c>
      <c r="T6" s="5">
        <f>SUMPRODUCT(J6:S6,定义数据!$G$14:$P$14)</f>
        <v>26.167926295722634</v>
      </c>
      <c r="AE6" s="7"/>
      <c r="AF6" s="2"/>
      <c r="AG6" s="2"/>
      <c r="AH6" s="2"/>
      <c r="AI6" s="8" t="s">
        <v>25</v>
      </c>
      <c r="AJ6" s="9" t="s">
        <v>26</v>
      </c>
      <c r="AK6" s="10"/>
      <c r="AL6" s="10"/>
      <c r="AM6" s="10"/>
      <c r="AN6" s="5">
        <v>2</v>
      </c>
    </row>
    <row r="7" spans="5:40" x14ac:dyDescent="0.15">
      <c r="E7" s="100"/>
      <c r="F7" s="5" t="str">
        <f>[3]装备规划!D83</f>
        <v>152</v>
      </c>
      <c r="G7" s="5">
        <f>[3]装备规划!E83</f>
        <v>15</v>
      </c>
      <c r="H7" s="14">
        <f>[3]装备规划!F83</f>
        <v>2</v>
      </c>
      <c r="I7" s="5">
        <f>[3]装备规划!G83</f>
        <v>0.52</v>
      </c>
      <c r="J7" s="12">
        <f>[3]装备规划!H83</f>
        <v>254.78803882896358</v>
      </c>
      <c r="K7" s="12">
        <f>[3]装备规划!I83</f>
        <v>12.941426310160432</v>
      </c>
      <c r="L7" s="12">
        <f>[3]装备规划!J83</f>
        <v>5.5922512305026002</v>
      </c>
      <c r="M7" s="12">
        <f>[3]装备规划!K83</f>
        <v>10.15625</v>
      </c>
      <c r="N7" s="12">
        <f>[3]装备规划!L83</f>
        <v>10.15625</v>
      </c>
      <c r="O7" s="12">
        <f>[3]装备规划!M83</f>
        <v>6.018518518518519</v>
      </c>
      <c r="P7" s="12">
        <f>[3]装备规划!N83</f>
        <v>0</v>
      </c>
      <c r="Q7" s="12">
        <f>[3]装备规划!O83</f>
        <v>6.018518518518519</v>
      </c>
      <c r="R7" s="12">
        <f>[3]装备规划!P83</f>
        <v>0</v>
      </c>
      <c r="S7" s="12">
        <f>[3]装备规划!Q83</f>
        <v>0</v>
      </c>
      <c r="T7" s="5">
        <f>SUMPRODUCT(J7:S7,定义数据!$G$14:$P$14)</f>
        <v>37.798115760488251</v>
      </c>
      <c r="AE7" s="7"/>
      <c r="AF7" s="2"/>
      <c r="AG7" s="2"/>
      <c r="AH7" s="2"/>
      <c r="AI7" s="8" t="s">
        <v>27</v>
      </c>
      <c r="AJ7" s="9" t="s">
        <v>28</v>
      </c>
      <c r="AK7" s="10" t="s">
        <v>29</v>
      </c>
      <c r="AL7" s="10"/>
      <c r="AM7" s="10"/>
      <c r="AN7" s="5">
        <v>3</v>
      </c>
    </row>
    <row r="8" spans="5:40" x14ac:dyDescent="0.15">
      <c r="E8" s="100"/>
      <c r="F8" s="5" t="str">
        <f>[3]装备规划!D84</f>
        <v>153</v>
      </c>
      <c r="G8" s="5">
        <f>[3]装备规划!E84</f>
        <v>15</v>
      </c>
      <c r="H8" s="14">
        <f>[3]装备规划!F84</f>
        <v>3</v>
      </c>
      <c r="I8" s="5">
        <f>[3]装备规划!G84</f>
        <v>0.68</v>
      </c>
      <c r="J8" s="12">
        <f>[3]装备规划!H84</f>
        <v>333.18435846864475</v>
      </c>
      <c r="K8" s="12">
        <f>[3]装备规划!I84</f>
        <v>16.923403636363641</v>
      </c>
      <c r="L8" s="12">
        <f>[3]装备规划!J84</f>
        <v>7.3129439168110935</v>
      </c>
      <c r="M8" s="12">
        <f>[3]装备规划!K84</f>
        <v>13.281250000000004</v>
      </c>
      <c r="N8" s="12">
        <f>[3]装备规划!L84</f>
        <v>13.281250000000004</v>
      </c>
      <c r="O8" s="12">
        <f>[3]装备规划!M84</f>
        <v>7.8703703703703711</v>
      </c>
      <c r="P8" s="12">
        <f>[3]装备规划!N84</f>
        <v>0</v>
      </c>
      <c r="Q8" s="12">
        <f>[3]装备规划!O84</f>
        <v>7.8703703703703711</v>
      </c>
      <c r="R8" s="12">
        <f>[3]装备规划!P84</f>
        <v>0</v>
      </c>
      <c r="S8" s="12">
        <f>[3]装备规划!Q84</f>
        <v>0</v>
      </c>
      <c r="T8" s="5">
        <f>SUMPRODUCT(J8:S8,定义数据!$G$14:$P$14)</f>
        <v>49.428305225253851</v>
      </c>
      <c r="AE8" s="7"/>
      <c r="AF8" s="2"/>
      <c r="AG8" s="2"/>
      <c r="AH8" s="2"/>
      <c r="AI8" s="8" t="s">
        <v>30</v>
      </c>
      <c r="AJ8" s="9" t="s">
        <v>31</v>
      </c>
      <c r="AK8" s="10" t="s">
        <v>19</v>
      </c>
      <c r="AL8" s="10"/>
      <c r="AM8" s="10"/>
      <c r="AN8" s="5">
        <v>3</v>
      </c>
    </row>
    <row r="9" spans="5:40" x14ac:dyDescent="0.15">
      <c r="E9" s="100"/>
      <c r="F9" s="5" t="str">
        <f>[3]装备规划!D85</f>
        <v>154</v>
      </c>
      <c r="G9" s="5">
        <f>[3]装备规划!E85</f>
        <v>15</v>
      </c>
      <c r="H9" s="14">
        <f>[3]装备规划!F85</f>
        <v>4</v>
      </c>
      <c r="I9" s="5">
        <f>[3]装备规划!G85</f>
        <v>0.8</v>
      </c>
      <c r="J9" s="12">
        <f>[3]装备规划!H85</f>
        <v>391.98159819840561</v>
      </c>
      <c r="K9" s="12">
        <f>[3]装备规划!I85</f>
        <v>19.90988663101605</v>
      </c>
      <c r="L9" s="12">
        <f>[3]装备规划!J85</f>
        <v>8.6034634315424618</v>
      </c>
      <c r="M9" s="12">
        <f>[3]装备规划!K85</f>
        <v>15.625</v>
      </c>
      <c r="N9" s="12">
        <f>[3]装备规划!L85</f>
        <v>15.625</v>
      </c>
      <c r="O9" s="12">
        <f>[3]装备规划!M85</f>
        <v>9.2592592592592595</v>
      </c>
      <c r="P9" s="12">
        <f>[3]装备规划!N85</f>
        <v>0</v>
      </c>
      <c r="Q9" s="12">
        <f>[3]装备规划!O85</f>
        <v>9.2592592592592595</v>
      </c>
      <c r="R9" s="12">
        <f>[3]装备规划!P85</f>
        <v>0</v>
      </c>
      <c r="S9" s="12">
        <f>[3]装备规划!Q85</f>
        <v>0</v>
      </c>
      <c r="T9" s="5">
        <f>SUMPRODUCT(J9:S9,定义数据!$G$14:$P$14)</f>
        <v>58.150947323828063</v>
      </c>
      <c r="AE9" s="5"/>
      <c r="AF9" s="5"/>
      <c r="AG9" s="5"/>
      <c r="AH9" s="5"/>
      <c r="AI9" s="5"/>
      <c r="AJ9" s="9" t="s">
        <v>32</v>
      </c>
      <c r="AK9" s="10" t="s">
        <v>20</v>
      </c>
      <c r="AL9" s="10"/>
      <c r="AM9" s="10"/>
      <c r="AN9" s="5">
        <v>2</v>
      </c>
    </row>
    <row r="10" spans="5:40" x14ac:dyDescent="0.15">
      <c r="E10" s="100"/>
      <c r="F10" s="5" t="str">
        <f>[3]装备规划!D86</f>
        <v>301</v>
      </c>
      <c r="G10" s="5">
        <f>[3]装备规划!E86</f>
        <v>30</v>
      </c>
      <c r="H10" s="14">
        <f>[3]装备规划!F86</f>
        <v>1</v>
      </c>
      <c r="I10" s="5">
        <f>[3]装备规划!G86</f>
        <v>0.72000000000000008</v>
      </c>
      <c r="J10" s="12">
        <f>[3]装备规划!H86</f>
        <v>352.78343837856505</v>
      </c>
      <c r="K10" s="12">
        <f>[3]装备规划!I86</f>
        <v>17.918897967914447</v>
      </c>
      <c r="L10" s="12">
        <f>[3]装备规划!J86</f>
        <v>7.7431170883882157</v>
      </c>
      <c r="M10" s="12">
        <f>[3]装备规划!K86</f>
        <v>14.062500000000004</v>
      </c>
      <c r="N10" s="12">
        <f>[3]装备规划!L86</f>
        <v>14.062500000000004</v>
      </c>
      <c r="O10" s="12">
        <f>[3]装备规划!M86</f>
        <v>8.3333333333333339</v>
      </c>
      <c r="P10" s="12">
        <f>[3]装备规划!N86</f>
        <v>0</v>
      </c>
      <c r="Q10" s="12">
        <f>[3]装备规划!O86</f>
        <v>8.3333333333333339</v>
      </c>
      <c r="R10" s="12">
        <f>[3]装备规划!P86</f>
        <v>0</v>
      </c>
      <c r="S10" s="12">
        <f>[3]装备规划!Q86</f>
        <v>0</v>
      </c>
      <c r="T10" s="5">
        <f>SUMPRODUCT(J10:S10,定义数据!$G$14:$P$14)</f>
        <v>52.335852591445267</v>
      </c>
      <c r="AK10" s="1" t="s">
        <v>33</v>
      </c>
      <c r="AL10" s="1"/>
      <c r="AM10" s="1"/>
      <c r="AN10" s="1">
        <v>15</v>
      </c>
    </row>
    <row r="11" spans="5:40" x14ac:dyDescent="0.15">
      <c r="E11" s="100"/>
      <c r="F11" s="5" t="str">
        <f>[3]装备规划!D87</f>
        <v>302</v>
      </c>
      <c r="G11" s="5">
        <f>[3]装备规划!E87</f>
        <v>30</v>
      </c>
      <c r="H11" s="14">
        <f>[3]装备规划!F87</f>
        <v>2</v>
      </c>
      <c r="I11" s="5">
        <f>[3]装备规划!G87</f>
        <v>1.04</v>
      </c>
      <c r="J11" s="12">
        <f>[3]装备规划!H87</f>
        <v>509.57607765792716</v>
      </c>
      <c r="K11" s="12">
        <f>[3]装备规划!I87</f>
        <v>25.882852620320865</v>
      </c>
      <c r="L11" s="12">
        <f>[3]装备规划!J87</f>
        <v>11.1845024610052</v>
      </c>
      <c r="M11" s="12">
        <f>[3]装备规划!K87</f>
        <v>20.3125</v>
      </c>
      <c r="N11" s="12">
        <f>[3]装备规划!L87</f>
        <v>20.3125</v>
      </c>
      <c r="O11" s="12">
        <f>[3]装备规划!M87</f>
        <v>12.037037037037038</v>
      </c>
      <c r="P11" s="12">
        <f>[3]装备规划!N87</f>
        <v>0</v>
      </c>
      <c r="Q11" s="12">
        <f>[3]装备规划!O87</f>
        <v>12.037037037037038</v>
      </c>
      <c r="R11" s="12">
        <f>[3]装备规划!P87</f>
        <v>0</v>
      </c>
      <c r="S11" s="12">
        <f>[3]装备规划!Q87</f>
        <v>0</v>
      </c>
      <c r="T11" s="5">
        <f>SUMPRODUCT(J11:S11,定义数据!$G$14:$P$14)</f>
        <v>75.596231520976502</v>
      </c>
    </row>
    <row r="12" spans="5:40" x14ac:dyDescent="0.15">
      <c r="E12" s="100"/>
      <c r="F12" s="5" t="str">
        <f>[3]装备规划!D88</f>
        <v>303</v>
      </c>
      <c r="G12" s="5">
        <f>[3]装备规划!E88</f>
        <v>30</v>
      </c>
      <c r="H12" s="14">
        <f>[3]装备规划!F88</f>
        <v>3</v>
      </c>
      <c r="I12" s="5">
        <f>[3]装备规划!G88</f>
        <v>1.36</v>
      </c>
      <c r="J12" s="12">
        <f>[3]装备规划!H88</f>
        <v>666.36871693728949</v>
      </c>
      <c r="K12" s="12">
        <f>[3]装备规划!I88</f>
        <v>33.846807272727283</v>
      </c>
      <c r="L12" s="12">
        <f>[3]装备规划!J88</f>
        <v>14.625887833622187</v>
      </c>
      <c r="M12" s="12">
        <f>[3]装备规划!K88</f>
        <v>26.562500000000007</v>
      </c>
      <c r="N12" s="12">
        <f>[3]装备规划!L88</f>
        <v>26.562500000000007</v>
      </c>
      <c r="O12" s="12">
        <f>[3]装备规划!M88</f>
        <v>15.740740740740742</v>
      </c>
      <c r="P12" s="12">
        <f>[3]装备规划!N88</f>
        <v>0</v>
      </c>
      <c r="Q12" s="12">
        <f>[3]装备规划!O88</f>
        <v>15.740740740740742</v>
      </c>
      <c r="R12" s="12">
        <f>[3]装备规划!P88</f>
        <v>0</v>
      </c>
      <c r="S12" s="12">
        <f>[3]装备规划!Q88</f>
        <v>0</v>
      </c>
      <c r="T12" s="5">
        <f>SUMPRODUCT(J12:S12,定义数据!$G$14:$P$14)</f>
        <v>98.856610450507702</v>
      </c>
    </row>
    <row r="13" spans="5:40" x14ac:dyDescent="0.15">
      <c r="E13" s="100"/>
      <c r="F13" s="5" t="str">
        <f>[3]装备规划!D89</f>
        <v>304</v>
      </c>
      <c r="G13" s="5">
        <f>[3]装备规划!E89</f>
        <v>30</v>
      </c>
      <c r="H13" s="14">
        <f>[3]装备规划!F89</f>
        <v>4</v>
      </c>
      <c r="I13" s="5">
        <f>[3]装备规划!G89</f>
        <v>1.6</v>
      </c>
      <c r="J13" s="12">
        <f>[3]装备规划!H89</f>
        <v>783.96319639681121</v>
      </c>
      <c r="K13" s="12">
        <f>[3]装备规划!I89</f>
        <v>39.819773262032101</v>
      </c>
      <c r="L13" s="12">
        <f>[3]装备规划!J89</f>
        <v>17.206926863084924</v>
      </c>
      <c r="M13" s="12">
        <f>[3]装备规划!K89</f>
        <v>31.25</v>
      </c>
      <c r="N13" s="12">
        <f>[3]装备规划!L89</f>
        <v>31.25</v>
      </c>
      <c r="O13" s="12">
        <f>[3]装备规划!M89</f>
        <v>18.518518518518519</v>
      </c>
      <c r="P13" s="12">
        <f>[3]装备规划!N89</f>
        <v>0</v>
      </c>
      <c r="Q13" s="12">
        <f>[3]装备规划!O89</f>
        <v>18.518518518518519</v>
      </c>
      <c r="R13" s="12">
        <f>[3]装备规划!P89</f>
        <v>0</v>
      </c>
      <c r="S13" s="12">
        <f>[3]装备规划!Q89</f>
        <v>0</v>
      </c>
      <c r="T13" s="5">
        <f>SUMPRODUCT(J13:S13,定义数据!$G$14:$P$14)</f>
        <v>116.30189464765613</v>
      </c>
    </row>
    <row r="14" spans="5:40" x14ac:dyDescent="0.15">
      <c r="E14" s="100"/>
      <c r="F14" s="5" t="str">
        <f>[3]装备规划!D90</f>
        <v>451</v>
      </c>
      <c r="G14" s="5">
        <f>[3]装备规划!E90</f>
        <v>45</v>
      </c>
      <c r="H14" s="14">
        <f>[3]装备规划!F90</f>
        <v>1</v>
      </c>
      <c r="I14" s="5">
        <f>[3]装备规划!G90</f>
        <v>1.4400000000000002</v>
      </c>
      <c r="J14" s="12">
        <f>[3]装备规划!H90</f>
        <v>705.5668767571301</v>
      </c>
      <c r="K14" s="12">
        <f>[3]装备规划!I90</f>
        <v>35.837795935828893</v>
      </c>
      <c r="L14" s="12">
        <f>[3]装备规划!J90</f>
        <v>15.486234176776431</v>
      </c>
      <c r="M14" s="12">
        <f>[3]装备规划!K90</f>
        <v>28.125000000000007</v>
      </c>
      <c r="N14" s="12">
        <f>[3]装备规划!L90</f>
        <v>28.125000000000007</v>
      </c>
      <c r="O14" s="12">
        <f>[3]装备规划!M90</f>
        <v>16.666666666666668</v>
      </c>
      <c r="P14" s="12">
        <f>[3]装备规划!N90</f>
        <v>0</v>
      </c>
      <c r="Q14" s="12">
        <f>[3]装备规划!O90</f>
        <v>16.666666666666668</v>
      </c>
      <c r="R14" s="12">
        <f>[3]装备规划!P90</f>
        <v>0</v>
      </c>
      <c r="S14" s="12">
        <f>[3]装备规划!Q90</f>
        <v>0</v>
      </c>
      <c r="T14" s="5">
        <f>SUMPRODUCT(J14:S14,定义数据!$G$14:$P$14)</f>
        <v>104.67170518289053</v>
      </c>
    </row>
    <row r="15" spans="5:40" x14ac:dyDescent="0.15">
      <c r="E15" s="100"/>
      <c r="F15" s="5" t="str">
        <f>[3]装备规划!D91</f>
        <v>452</v>
      </c>
      <c r="G15" s="5">
        <f>[3]装备规划!E91</f>
        <v>45</v>
      </c>
      <c r="H15" s="14">
        <f>[3]装备规划!F91</f>
        <v>2</v>
      </c>
      <c r="I15" s="5">
        <f>[3]装备规划!G91</f>
        <v>2.08</v>
      </c>
      <c r="J15" s="12">
        <f>[3]装备规划!H91</f>
        <v>1019.1521553158543</v>
      </c>
      <c r="K15" s="12">
        <f>[3]装备规划!I91</f>
        <v>51.765705240641729</v>
      </c>
      <c r="L15" s="12">
        <f>[3]装备规划!J91</f>
        <v>22.369004922010401</v>
      </c>
      <c r="M15" s="12">
        <f>[3]装备规划!K91</f>
        <v>40.625</v>
      </c>
      <c r="N15" s="12">
        <f>[3]装备规划!L91</f>
        <v>40.625</v>
      </c>
      <c r="O15" s="12">
        <f>[3]装备规划!M91</f>
        <v>24.074074074074076</v>
      </c>
      <c r="P15" s="12">
        <f>[3]装备规划!N91</f>
        <v>0</v>
      </c>
      <c r="Q15" s="12">
        <f>[3]装备规划!O91</f>
        <v>24.074074074074076</v>
      </c>
      <c r="R15" s="12">
        <f>[3]装备规划!P91</f>
        <v>0</v>
      </c>
      <c r="S15" s="12">
        <f>[3]装备规划!Q91</f>
        <v>0</v>
      </c>
      <c r="T15" s="5">
        <f>SUMPRODUCT(J15:S15,定义数据!$G$14:$P$14)</f>
        <v>151.192463041953</v>
      </c>
    </row>
    <row r="16" spans="5:40" x14ac:dyDescent="0.15">
      <c r="E16" s="100"/>
      <c r="F16" s="5" t="str">
        <f>[3]装备规划!D92</f>
        <v>453</v>
      </c>
      <c r="G16" s="5">
        <f>[3]装备规划!E92</f>
        <v>45</v>
      </c>
      <c r="H16" s="14">
        <f>[3]装备规划!F92</f>
        <v>3</v>
      </c>
      <c r="I16" s="5">
        <f>[3]装备规划!G92</f>
        <v>2.72</v>
      </c>
      <c r="J16" s="12">
        <f>[3]装备规划!H92</f>
        <v>1332.737433874579</v>
      </c>
      <c r="K16" s="12">
        <f>[3]装备规划!I92</f>
        <v>67.693614545454565</v>
      </c>
      <c r="L16" s="12">
        <f>[3]装备规划!J92</f>
        <v>29.251775667244374</v>
      </c>
      <c r="M16" s="12">
        <f>[3]装备规划!K92</f>
        <v>53.125000000000014</v>
      </c>
      <c r="N16" s="12">
        <f>[3]装备规划!L92</f>
        <v>53.125000000000014</v>
      </c>
      <c r="O16" s="12">
        <f>[3]装备规划!M92</f>
        <v>31.481481481481485</v>
      </c>
      <c r="P16" s="12">
        <f>[3]装备规划!N92</f>
        <v>0</v>
      </c>
      <c r="Q16" s="12">
        <f>[3]装备规划!O92</f>
        <v>31.481481481481485</v>
      </c>
      <c r="R16" s="12">
        <f>[3]装备规划!P92</f>
        <v>0</v>
      </c>
      <c r="S16" s="12">
        <f>[3]装备规划!Q92</f>
        <v>0</v>
      </c>
      <c r="T16" s="5">
        <f>SUMPRODUCT(J16:S16,定义数据!$G$14:$P$14)</f>
        <v>197.7132209010154</v>
      </c>
    </row>
    <row r="17" spans="1:45" x14ac:dyDescent="0.15">
      <c r="E17" s="100"/>
      <c r="F17" s="5" t="str">
        <f>[3]装备规划!D93</f>
        <v>454</v>
      </c>
      <c r="G17" s="5">
        <f>[3]装备规划!E93</f>
        <v>45</v>
      </c>
      <c r="H17" s="14">
        <f>[3]装备规划!F93</f>
        <v>4</v>
      </c>
      <c r="I17" s="5">
        <f>[3]装备规划!G93</f>
        <v>3.2</v>
      </c>
      <c r="J17" s="12">
        <f>[3]装备规划!H93</f>
        <v>1567.9263927936224</v>
      </c>
      <c r="K17" s="12">
        <f>[3]装备规划!I93</f>
        <v>79.639546524064201</v>
      </c>
      <c r="L17" s="12">
        <f>[3]装备规划!J93</f>
        <v>34.413853726169847</v>
      </c>
      <c r="M17" s="12">
        <f>[3]装备规划!K93</f>
        <v>62.5</v>
      </c>
      <c r="N17" s="12">
        <f>[3]装备规划!L93</f>
        <v>62.5</v>
      </c>
      <c r="O17" s="12">
        <f>[3]装备规划!M93</f>
        <v>37.037037037037038</v>
      </c>
      <c r="P17" s="12">
        <f>[3]装备规划!N93</f>
        <v>0</v>
      </c>
      <c r="Q17" s="12">
        <f>[3]装备规划!O93</f>
        <v>37.037037037037038</v>
      </c>
      <c r="R17" s="12">
        <f>[3]装备规划!P93</f>
        <v>0</v>
      </c>
      <c r="S17" s="12">
        <f>[3]装备规划!Q93</f>
        <v>0</v>
      </c>
      <c r="T17" s="5">
        <f>SUMPRODUCT(J17:S17,定义数据!$G$14:$P$14)</f>
        <v>232.60378929531225</v>
      </c>
      <c r="AF17" s="5" t="s">
        <v>175</v>
      </c>
      <c r="AG17" s="5" t="s">
        <v>174</v>
      </c>
    </row>
    <row r="18" spans="1:45" x14ac:dyDescent="0.15">
      <c r="E18" s="100"/>
      <c r="F18" s="5" t="str">
        <f>[3]装备规划!D94</f>
        <v>601</v>
      </c>
      <c r="G18" s="5">
        <f>[3]装备规划!E94</f>
        <v>60</v>
      </c>
      <c r="H18" s="14">
        <f>[3]装备规划!F94</f>
        <v>1</v>
      </c>
      <c r="I18" s="5">
        <f>[3]装备规划!G94</f>
        <v>2.16</v>
      </c>
      <c r="J18" s="12">
        <f>[3]装备规划!H94</f>
        <v>1058.3503151356949</v>
      </c>
      <c r="K18" s="12">
        <f>[3]装备规划!I94</f>
        <v>53.75669390374334</v>
      </c>
      <c r="L18" s="12">
        <f>[3]装备规划!J94</f>
        <v>23.229351265164645</v>
      </c>
      <c r="M18" s="12">
        <f>[3]装备规划!K94</f>
        <v>42.1875</v>
      </c>
      <c r="N18" s="12">
        <f>[3]装备规划!L94</f>
        <v>42.1875</v>
      </c>
      <c r="O18" s="12">
        <f>[3]装备规划!M94</f>
        <v>25.000000000000004</v>
      </c>
      <c r="P18" s="12">
        <f>[3]装备规划!N94</f>
        <v>0</v>
      </c>
      <c r="Q18" s="12">
        <f>[3]装备规划!O94</f>
        <v>25.000000000000004</v>
      </c>
      <c r="R18" s="12">
        <f>[3]装备规划!P94</f>
        <v>0</v>
      </c>
      <c r="S18" s="12">
        <f>[3]装备规划!Q94</f>
        <v>0</v>
      </c>
      <c r="T18" s="5">
        <f>SUMPRODUCT(J18:S18,定义数据!$G$14:$P$14)</f>
        <v>157.00755777433577</v>
      </c>
      <c r="AF18" s="5">
        <v>1</v>
      </c>
      <c r="AG18" s="5">
        <v>1.3</v>
      </c>
    </row>
    <row r="19" spans="1:45" x14ac:dyDescent="0.15">
      <c r="E19" s="100"/>
      <c r="F19" s="5" t="str">
        <f>[3]装备规划!D95</f>
        <v>602</v>
      </c>
      <c r="G19" s="5">
        <f>[3]装备规划!E95</f>
        <v>60</v>
      </c>
      <c r="H19" s="14">
        <f>[3]装备规划!F95</f>
        <v>2</v>
      </c>
      <c r="I19" s="5">
        <f>[3]装备规划!G95</f>
        <v>3.12</v>
      </c>
      <c r="J19" s="12">
        <f>[3]装备规划!H95</f>
        <v>1528.7282329737818</v>
      </c>
      <c r="K19" s="12">
        <f>[3]装备规划!I95</f>
        <v>77.648557860962597</v>
      </c>
      <c r="L19" s="12">
        <f>[3]装备规划!J95</f>
        <v>33.553507383015599</v>
      </c>
      <c r="M19" s="12">
        <f>[3]装备规划!K95</f>
        <v>60.9375</v>
      </c>
      <c r="N19" s="12">
        <f>[3]装备规划!L95</f>
        <v>60.9375</v>
      </c>
      <c r="O19" s="12">
        <f>[3]装备规划!M95</f>
        <v>36.111111111111114</v>
      </c>
      <c r="P19" s="12">
        <f>[3]装备规划!N95</f>
        <v>0</v>
      </c>
      <c r="Q19" s="12">
        <f>[3]装备规划!O95</f>
        <v>36.111111111111114</v>
      </c>
      <c r="R19" s="12">
        <f>[3]装备规划!P95</f>
        <v>0</v>
      </c>
      <c r="S19" s="12">
        <f>[3]装备规划!Q95</f>
        <v>0</v>
      </c>
      <c r="T19" s="5">
        <f>SUMPRODUCT(J19:S19,定义数据!$G$14:$P$14)</f>
        <v>226.78869456292949</v>
      </c>
      <c r="AF19" s="5">
        <v>2</v>
      </c>
      <c r="AG19" s="5">
        <v>1.31</v>
      </c>
    </row>
    <row r="20" spans="1:45" x14ac:dyDescent="0.15">
      <c r="E20" s="100"/>
      <c r="F20" s="5" t="str">
        <f>[3]装备规划!D96</f>
        <v>603</v>
      </c>
      <c r="G20" s="5">
        <f>[3]装备规划!E96</f>
        <v>60</v>
      </c>
      <c r="H20" s="14">
        <f>[3]装备规划!F96</f>
        <v>3</v>
      </c>
      <c r="I20" s="5">
        <f>[3]装备规划!G96</f>
        <v>4.08</v>
      </c>
      <c r="J20" s="12">
        <f>[3]装备规划!H96</f>
        <v>1999.1061508118685</v>
      </c>
      <c r="K20" s="12">
        <f>[3]装备规划!I96</f>
        <v>101.54042181818185</v>
      </c>
      <c r="L20" s="12">
        <f>[3]装备规划!J96</f>
        <v>43.877663500866561</v>
      </c>
      <c r="M20" s="12">
        <f>[3]装备规划!K96</f>
        <v>79.6875</v>
      </c>
      <c r="N20" s="12">
        <f>[3]装备规划!L96</f>
        <v>79.6875</v>
      </c>
      <c r="O20" s="12">
        <f>[3]装备规划!M96</f>
        <v>47.222222222222221</v>
      </c>
      <c r="P20" s="12">
        <f>[3]装备规划!N96</f>
        <v>0</v>
      </c>
      <c r="Q20" s="12">
        <f>[3]装备规划!O96</f>
        <v>47.222222222222221</v>
      </c>
      <c r="R20" s="12">
        <f>[3]装备规划!P96</f>
        <v>0</v>
      </c>
      <c r="S20" s="12">
        <f>[3]装备规划!Q96</f>
        <v>0</v>
      </c>
      <c r="T20" s="5">
        <f>SUMPRODUCT(J20:S20,定义数据!$G$14:$P$14)</f>
        <v>296.56983135152319</v>
      </c>
      <c r="AF20" s="5">
        <v>3</v>
      </c>
      <c r="AG20" s="5">
        <v>1.33</v>
      </c>
    </row>
    <row r="21" spans="1:45" x14ac:dyDescent="0.15">
      <c r="F21" s="5" t="str">
        <f>[3]装备规划!D97</f>
        <v>604</v>
      </c>
      <c r="G21" s="5">
        <f>[3]装备规划!E97</f>
        <v>60</v>
      </c>
      <c r="H21" s="14">
        <f>[3]装备规划!F97</f>
        <v>4</v>
      </c>
      <c r="I21" s="5">
        <f>[3]装备规划!G97</f>
        <v>4.8</v>
      </c>
      <c r="J21" s="12">
        <f>[3]装备规划!H97</f>
        <v>2351.8895891904331</v>
      </c>
      <c r="K21" s="12">
        <f>[3]装备规划!I97</f>
        <v>119.45931978609629</v>
      </c>
      <c r="L21" s="12">
        <f>[3]装备规划!J97</f>
        <v>51.620780589254778</v>
      </c>
      <c r="M21" s="12">
        <f>[3]装备规划!K97</f>
        <v>93.75</v>
      </c>
      <c r="N21" s="12">
        <f>[3]装备规划!L97</f>
        <v>93.75</v>
      </c>
      <c r="O21" s="12">
        <f>[3]装备规划!M97</f>
        <v>55.555555555555557</v>
      </c>
      <c r="P21" s="12">
        <f>[3]装备规划!N97</f>
        <v>0</v>
      </c>
      <c r="Q21" s="12">
        <f>[3]装备规划!O97</f>
        <v>55.555555555555557</v>
      </c>
      <c r="R21" s="12">
        <f>[3]装备规划!P97</f>
        <v>0</v>
      </c>
      <c r="S21" s="12">
        <f>[3]装备规划!Q97</f>
        <v>0</v>
      </c>
      <c r="T21" s="5">
        <f>SUMPRODUCT(J21:S21,定义数据!$G$14:$P$14)</f>
        <v>348.90568394296838</v>
      </c>
      <c r="AF21" s="5">
        <v>4</v>
      </c>
      <c r="AG21" s="5">
        <v>1.337</v>
      </c>
    </row>
    <row r="22" spans="1:45" x14ac:dyDescent="0.15">
      <c r="F22" s="5" t="str">
        <f>[3]装备规划!D98</f>
        <v>701</v>
      </c>
      <c r="G22" s="5">
        <f>[3]装备规划!E98</f>
        <v>70</v>
      </c>
      <c r="H22" s="14">
        <f>[3]装备规划!F98</f>
        <v>1</v>
      </c>
      <c r="I22" s="5">
        <f>[3]装备规划!G98</f>
        <v>2.8800000000000003</v>
      </c>
      <c r="J22" s="12">
        <f>[3]装备规划!H98</f>
        <v>1411.1337535142602</v>
      </c>
      <c r="K22" s="12">
        <f>[3]装备规划!I98</f>
        <v>71.675591871657787</v>
      </c>
      <c r="L22" s="12">
        <f>[3]装备规划!J98</f>
        <v>30.972468353552863</v>
      </c>
      <c r="M22" s="12">
        <f>[3]装备规划!K98</f>
        <v>56.250000000000014</v>
      </c>
      <c r="N22" s="12">
        <f>[3]装备规划!L98</f>
        <v>56.250000000000014</v>
      </c>
      <c r="O22" s="12">
        <f>[3]装备规划!M98</f>
        <v>33.333333333333336</v>
      </c>
      <c r="P22" s="12">
        <f>[3]装备规划!N98</f>
        <v>0</v>
      </c>
      <c r="Q22" s="12">
        <f>[3]装备规划!O98</f>
        <v>33.333333333333336</v>
      </c>
      <c r="R22" s="12">
        <f>[3]装备规划!P98</f>
        <v>0</v>
      </c>
      <c r="S22" s="12">
        <f>[3]装备规划!Q98</f>
        <v>0</v>
      </c>
      <c r="T22" s="5">
        <f>SUMPRODUCT(J22:S22,定义数据!$G$14:$P$14)</f>
        <v>209.34341036578107</v>
      </c>
      <c r="AF22" s="5"/>
      <c r="AG22" s="5"/>
    </row>
    <row r="23" spans="1:45" x14ac:dyDescent="0.15">
      <c r="F23" s="5" t="str">
        <f>[3]装备规划!D99</f>
        <v>702</v>
      </c>
      <c r="G23" s="5">
        <f>[3]装备规划!E99</f>
        <v>70</v>
      </c>
      <c r="H23" s="14">
        <f>[3]装备规划!F99</f>
        <v>2</v>
      </c>
      <c r="I23" s="5">
        <f>[3]装备规划!G99</f>
        <v>4.16</v>
      </c>
      <c r="J23" s="12">
        <f>[3]装备规划!H99</f>
        <v>2038.3043106317086</v>
      </c>
      <c r="K23" s="12">
        <f>[3]装备规划!I99</f>
        <v>103.53141048128346</v>
      </c>
      <c r="L23" s="12">
        <f>[3]装备规划!J99</f>
        <v>44.738009844020802</v>
      </c>
      <c r="M23" s="12">
        <f>[3]装备规划!K99</f>
        <v>81.25</v>
      </c>
      <c r="N23" s="12">
        <f>[3]装备规划!L99</f>
        <v>81.25</v>
      </c>
      <c r="O23" s="12">
        <f>[3]装备规划!M99</f>
        <v>48.148148148148152</v>
      </c>
      <c r="P23" s="12">
        <f>[3]装备规划!N99</f>
        <v>0</v>
      </c>
      <c r="Q23" s="12">
        <f>[3]装备规划!O99</f>
        <v>48.148148148148152</v>
      </c>
      <c r="R23" s="12">
        <f>[3]装备规划!P99</f>
        <v>0</v>
      </c>
      <c r="S23" s="12">
        <f>[3]装备规划!Q99</f>
        <v>0</v>
      </c>
      <c r="T23" s="5">
        <f>SUMPRODUCT(J23:S23,定义数据!$G$14:$P$14)</f>
        <v>302.38492608390601</v>
      </c>
      <c r="AF23" s="5"/>
      <c r="AG23" s="5"/>
    </row>
    <row r="24" spans="1:45" x14ac:dyDescent="0.15">
      <c r="F24" s="5" t="str">
        <f>[3]装备规划!D100</f>
        <v>703</v>
      </c>
      <c r="G24" s="5">
        <f>[3]装备规划!E100</f>
        <v>70</v>
      </c>
      <c r="H24" s="14">
        <f>[3]装备规划!F100</f>
        <v>3</v>
      </c>
      <c r="I24" s="5">
        <f>[3]装备规划!G100</f>
        <v>5.44</v>
      </c>
      <c r="J24" s="12">
        <f>[3]装备规划!H100</f>
        <v>2665.474867749158</v>
      </c>
      <c r="K24" s="12">
        <f>[3]装备规划!I100</f>
        <v>135.38722909090913</v>
      </c>
      <c r="L24" s="12">
        <f>[3]装备规划!J100</f>
        <v>58.503551334488748</v>
      </c>
      <c r="M24" s="12">
        <f>[3]装备规划!K100</f>
        <v>106.25000000000003</v>
      </c>
      <c r="N24" s="12">
        <f>[3]装备规划!L100</f>
        <v>106.25000000000003</v>
      </c>
      <c r="O24" s="12">
        <f>[3]装备规划!M100</f>
        <v>62.962962962962969</v>
      </c>
      <c r="P24" s="12">
        <f>[3]装备规划!N100</f>
        <v>0</v>
      </c>
      <c r="Q24" s="12">
        <f>[3]装备规划!O100</f>
        <v>62.962962962962969</v>
      </c>
      <c r="R24" s="12">
        <f>[3]装备规划!P100</f>
        <v>0</v>
      </c>
      <c r="S24" s="12">
        <f>[3]装备规划!Q100</f>
        <v>0</v>
      </c>
      <c r="T24" s="5">
        <f>SUMPRODUCT(J24:S24,定义数据!$G$14:$P$14)</f>
        <v>395.42644180203081</v>
      </c>
      <c r="AF24" s="5"/>
      <c r="AG24" s="5"/>
    </row>
    <row r="25" spans="1:45" x14ac:dyDescent="0.15">
      <c r="F25" s="5" t="str">
        <f>[3]装备规划!D101</f>
        <v>704</v>
      </c>
      <c r="G25" s="5">
        <f>[3]装备规划!E101</f>
        <v>70</v>
      </c>
      <c r="H25" s="14">
        <f>[3]装备规划!F101</f>
        <v>4</v>
      </c>
      <c r="I25" s="5">
        <f>[3]装备规划!G101</f>
        <v>6.4</v>
      </c>
      <c r="J25" s="12">
        <f>[3]装备规划!H101</f>
        <v>3135.8527855872449</v>
      </c>
      <c r="K25" s="12">
        <f>[3]装备规划!I101</f>
        <v>159.2790930481284</v>
      </c>
      <c r="L25" s="12">
        <f>[3]装备规划!J101</f>
        <v>68.827707452339695</v>
      </c>
      <c r="M25" s="12">
        <f>[3]装备规划!K101</f>
        <v>125</v>
      </c>
      <c r="N25" s="12">
        <f>[3]装备规划!L101</f>
        <v>125</v>
      </c>
      <c r="O25" s="12">
        <f>[3]装备规划!M101</f>
        <v>74.074074074074076</v>
      </c>
      <c r="P25" s="12">
        <f>[3]装备规划!N101</f>
        <v>0</v>
      </c>
      <c r="Q25" s="12">
        <f>[3]装备规划!O101</f>
        <v>74.074074074074076</v>
      </c>
      <c r="R25" s="12">
        <f>[3]装备规划!P101</f>
        <v>0</v>
      </c>
      <c r="S25" s="12">
        <f>[3]装备规划!Q101</f>
        <v>0</v>
      </c>
      <c r="T25" s="5">
        <f>SUMPRODUCT(J25:S25,定义数据!$G$14:$P$14)</f>
        <v>465.20757859062451</v>
      </c>
      <c r="AF25" s="5"/>
      <c r="AG25" s="5"/>
    </row>
    <row r="26" spans="1:45" x14ac:dyDescent="0.15">
      <c r="F26" s="5" t="str">
        <f>[3]装备规划!D102</f>
        <v>801</v>
      </c>
      <c r="G26" s="5">
        <f>[3]装备规划!E102</f>
        <v>80</v>
      </c>
      <c r="H26" s="14">
        <f>[3]装备规划!F102</f>
        <v>1</v>
      </c>
      <c r="I26" s="5">
        <f>[3]装备规划!G102</f>
        <v>3.6</v>
      </c>
      <c r="J26" s="12">
        <f>[3]装备规划!H102</f>
        <v>1763.9171918928248</v>
      </c>
      <c r="K26" s="12">
        <f>[3]装备规划!I102</f>
        <v>89.594489839572219</v>
      </c>
      <c r="L26" s="12">
        <f>[3]装备规划!J102</f>
        <v>38.715585441941087</v>
      </c>
      <c r="M26" s="12">
        <f>[3]装备规划!K102</f>
        <v>70.3125</v>
      </c>
      <c r="N26" s="12">
        <f>[3]装备规划!L102</f>
        <v>70.3125</v>
      </c>
      <c r="O26" s="12">
        <f>[3]装备规划!M102</f>
        <v>41.666666666666671</v>
      </c>
      <c r="P26" s="12">
        <f>[3]装备规划!N102</f>
        <v>0</v>
      </c>
      <c r="Q26" s="12">
        <f>[3]装备规划!O102</f>
        <v>41.666666666666671</v>
      </c>
      <c r="R26" s="12">
        <f>[3]装备规划!P102</f>
        <v>0</v>
      </c>
      <c r="S26" s="12">
        <f>[3]装备规划!Q102</f>
        <v>0</v>
      </c>
      <c r="T26" s="5">
        <f>SUMPRODUCT(J26:S26,定义数据!$G$14:$P$14)</f>
        <v>261.67926295722629</v>
      </c>
      <c r="V26" s="34"/>
      <c r="AF26" s="5"/>
      <c r="AG26" s="5"/>
    </row>
    <row r="27" spans="1:45" x14ac:dyDescent="0.15">
      <c r="F27" s="5" t="str">
        <f>[3]装备规划!D103</f>
        <v>802</v>
      </c>
      <c r="G27" s="5">
        <f>[3]装备规划!E103</f>
        <v>80</v>
      </c>
      <c r="H27" s="14">
        <f>[3]装备规划!F103</f>
        <v>2</v>
      </c>
      <c r="I27" s="5">
        <f>[3]装备规划!G103</f>
        <v>5.2</v>
      </c>
      <c r="J27" s="12">
        <f>[3]装备规划!H103</f>
        <v>2547.8803882896364</v>
      </c>
      <c r="K27" s="12">
        <f>[3]装备规划!I103</f>
        <v>129.41426310160432</v>
      </c>
      <c r="L27" s="12">
        <f>[3]装备规划!J103</f>
        <v>55.922512305026011</v>
      </c>
      <c r="M27" s="12">
        <f>[3]装备规划!K103</f>
        <v>101.5625</v>
      </c>
      <c r="N27" s="12">
        <f>[3]装备规划!L103</f>
        <v>101.5625</v>
      </c>
      <c r="O27" s="12">
        <f>[3]装备规划!M103</f>
        <v>60.185185185185183</v>
      </c>
      <c r="P27" s="12">
        <f>[3]装备规划!N103</f>
        <v>0</v>
      </c>
      <c r="Q27" s="12">
        <f>[3]装备规划!O103</f>
        <v>60.185185185185183</v>
      </c>
      <c r="R27" s="12">
        <f>[3]装备规划!P103</f>
        <v>0</v>
      </c>
      <c r="S27" s="12">
        <f>[3]装备规划!Q103</f>
        <v>0</v>
      </c>
      <c r="T27" s="5">
        <f>SUMPRODUCT(J27:S27,定义数据!$G$14:$P$14)</f>
        <v>377.98115760488241</v>
      </c>
      <c r="V27" s="5"/>
      <c r="AF27" s="5"/>
      <c r="AG27" s="5"/>
    </row>
    <row r="28" spans="1:45" x14ac:dyDescent="0.15">
      <c r="F28" s="5" t="str">
        <f>[3]装备规划!D104</f>
        <v>803</v>
      </c>
      <c r="G28" s="5">
        <f>[3]装备规划!E104</f>
        <v>80</v>
      </c>
      <c r="H28" s="14">
        <f>[3]装备规划!F104</f>
        <v>3</v>
      </c>
      <c r="I28" s="5">
        <f>[3]装备规划!G104</f>
        <v>6.8</v>
      </c>
      <c r="J28" s="12">
        <f>[3]装备规划!H104</f>
        <v>3331.8435846864472</v>
      </c>
      <c r="K28" s="12">
        <f>[3]装备规划!I104</f>
        <v>169.23403636363639</v>
      </c>
      <c r="L28" s="12">
        <f>[3]装备规划!J104</f>
        <v>73.12943916811092</v>
      </c>
      <c r="M28" s="12">
        <f>[3]装备规划!K104</f>
        <v>132.8125</v>
      </c>
      <c r="N28" s="12">
        <f>[3]装备规划!L104</f>
        <v>132.8125</v>
      </c>
      <c r="O28" s="12">
        <f>[3]装备规划!M104</f>
        <v>78.703703703703709</v>
      </c>
      <c r="P28" s="12">
        <f>[3]装备规划!N104</f>
        <v>0</v>
      </c>
      <c r="Q28" s="12">
        <f>[3]装备规划!O104</f>
        <v>78.703703703703709</v>
      </c>
      <c r="R28" s="12">
        <f>[3]装备规划!P104</f>
        <v>0</v>
      </c>
      <c r="S28" s="12">
        <f>[3]装备规划!Q104</f>
        <v>0</v>
      </c>
      <c r="T28" s="5">
        <f>SUMPRODUCT(J28:S28,定义数据!$G$14:$P$14)</f>
        <v>494.2830522525386</v>
      </c>
      <c r="AF28" s="1">
        <v>5</v>
      </c>
      <c r="AG28" s="1">
        <v>1.34</v>
      </c>
    </row>
    <row r="29" spans="1:45" x14ac:dyDescent="0.15">
      <c r="F29" s="5" t="str">
        <f>[3]装备规划!D105</f>
        <v>804</v>
      </c>
      <c r="G29" s="5">
        <f>[3]装备规划!E105</f>
        <v>80</v>
      </c>
      <c r="H29" s="14">
        <f>[3]装备规划!F105</f>
        <v>4</v>
      </c>
      <c r="I29" s="5">
        <f>[3]装备规划!G105</f>
        <v>8</v>
      </c>
      <c r="J29" s="12">
        <f>[3]装备规划!H105</f>
        <v>3919.8159819840557</v>
      </c>
      <c r="K29" s="12">
        <f>[3]装备规划!I105</f>
        <v>199.0988663101605</v>
      </c>
      <c r="L29" s="12">
        <f>[3]装备规划!J105</f>
        <v>86.034634315424626</v>
      </c>
      <c r="M29" s="12">
        <f>[3]装备规划!K105</f>
        <v>156.25</v>
      </c>
      <c r="N29" s="12">
        <f>[3]装备规划!L105</f>
        <v>156.25</v>
      </c>
      <c r="O29" s="12">
        <f>[3]装备规划!M105</f>
        <v>92.592592592592595</v>
      </c>
      <c r="P29" s="12">
        <f>[3]装备规划!N105</f>
        <v>0</v>
      </c>
      <c r="Q29" s="12">
        <f>[3]装备规划!O105</f>
        <v>92.592592592592595</v>
      </c>
      <c r="R29" s="12">
        <f>[3]装备规划!P105</f>
        <v>0</v>
      </c>
      <c r="S29" s="12">
        <f>[3]装备规划!Q105</f>
        <v>0</v>
      </c>
      <c r="T29" s="5">
        <f>SUMPRODUCT(J29:S29,定义数据!$G$14:$P$14)</f>
        <v>581.50947323828063</v>
      </c>
      <c r="W29" t="s">
        <v>252</v>
      </c>
      <c r="X29" t="s">
        <v>250</v>
      </c>
      <c r="Y29" t="s">
        <v>251</v>
      </c>
    </row>
    <row r="30" spans="1:45" x14ac:dyDescent="0.15">
      <c r="F30" s="69"/>
      <c r="G30" s="69"/>
    </row>
    <row r="31" spans="1:45" x14ac:dyDescent="0.15">
      <c r="G31" s="69"/>
      <c r="K31" t="s">
        <v>145</v>
      </c>
      <c r="L31" t="s">
        <v>179</v>
      </c>
      <c r="Q31" s="5" t="s">
        <v>181</v>
      </c>
      <c r="R31" s="5">
        <f>'[1]0、经济设定'!$C$18</f>
        <v>50</v>
      </c>
      <c r="T31">
        <f>Q36/S36</f>
        <v>0.02</v>
      </c>
      <c r="W31">
        <f>'价值&amp;消耗'!H171</f>
        <v>200</v>
      </c>
      <c r="X31">
        <f>'价值&amp;消耗'!H172</f>
        <v>1000</v>
      </c>
      <c r="Y31">
        <f>'价值&amp;消耗'!H173</f>
        <v>5000</v>
      </c>
      <c r="AD31" t="s">
        <v>173</v>
      </c>
      <c r="AE31" s="41">
        <v>5</v>
      </c>
      <c r="AF31" s="41">
        <v>15</v>
      </c>
      <c r="AG31" s="41">
        <v>15</v>
      </c>
      <c r="AH31" s="41">
        <v>30</v>
      </c>
      <c r="AI31" s="41">
        <v>30</v>
      </c>
      <c r="AJ31" s="41">
        <v>45</v>
      </c>
      <c r="AK31" s="41">
        <v>45</v>
      </c>
      <c r="AL31" s="41">
        <v>60</v>
      </c>
      <c r="AM31" s="41">
        <v>60</v>
      </c>
      <c r="AN31" s="41">
        <v>60</v>
      </c>
      <c r="AO31" s="42">
        <v>70</v>
      </c>
      <c r="AP31" s="42">
        <v>70</v>
      </c>
      <c r="AQ31" s="42">
        <v>70</v>
      </c>
      <c r="AR31" s="42">
        <v>80</v>
      </c>
      <c r="AS31" s="42">
        <v>80</v>
      </c>
    </row>
    <row r="32" spans="1:45" x14ac:dyDescent="0.15">
      <c r="A32" t="s">
        <v>224</v>
      </c>
      <c r="Q32" s="5" t="s">
        <v>172</v>
      </c>
      <c r="R32" s="5">
        <v>50</v>
      </c>
      <c r="AD32" t="s">
        <v>177</v>
      </c>
      <c r="AE32" s="5">
        <f>AE31/5</f>
        <v>1</v>
      </c>
      <c r="AF32" s="5">
        <f t="shared" ref="AF32:AN32" si="1">AF31/5</f>
        <v>3</v>
      </c>
      <c r="AG32" s="5">
        <f t="shared" si="1"/>
        <v>3</v>
      </c>
      <c r="AH32" s="5">
        <f t="shared" si="1"/>
        <v>6</v>
      </c>
      <c r="AI32" s="5">
        <f t="shared" si="1"/>
        <v>6</v>
      </c>
      <c r="AJ32" s="5">
        <f t="shared" si="1"/>
        <v>9</v>
      </c>
      <c r="AK32" s="5">
        <f t="shared" si="1"/>
        <v>9</v>
      </c>
      <c r="AL32" s="5">
        <f t="shared" ref="AL32" si="2">AL31/5</f>
        <v>12</v>
      </c>
      <c r="AM32" s="5">
        <f t="shared" ref="AM32" si="3">AM31/5</f>
        <v>12</v>
      </c>
      <c r="AN32" s="5">
        <f t="shared" si="1"/>
        <v>12</v>
      </c>
      <c r="AO32" s="5">
        <f t="shared" ref="AO32" si="4">AO31/5</f>
        <v>14</v>
      </c>
      <c r="AP32" s="5">
        <f t="shared" ref="AP32" si="5">AP31/5</f>
        <v>14</v>
      </c>
      <c r="AQ32" s="5">
        <f t="shared" ref="AQ32" si="6">AQ31/5</f>
        <v>14</v>
      </c>
      <c r="AR32" s="5">
        <f t="shared" ref="AR32" si="7">AR31/5</f>
        <v>16</v>
      </c>
      <c r="AS32" s="5">
        <f t="shared" ref="AS32" si="8">AS31/5</f>
        <v>16</v>
      </c>
    </row>
    <row r="33" spans="1:45" x14ac:dyDescent="0.15">
      <c r="B33" s="5">
        <v>1</v>
      </c>
      <c r="C33" s="5">
        <v>2</v>
      </c>
      <c r="D33" s="5">
        <v>3</v>
      </c>
      <c r="E33" s="5">
        <v>4</v>
      </c>
      <c r="F33" s="5">
        <v>5</v>
      </c>
      <c r="G33" s="5">
        <v>6</v>
      </c>
      <c r="H33" s="5">
        <v>7</v>
      </c>
      <c r="I33" s="5">
        <v>8</v>
      </c>
      <c r="J33" s="5">
        <v>9</v>
      </c>
      <c r="K33" s="5">
        <v>10</v>
      </c>
      <c r="L33" s="5">
        <v>11</v>
      </c>
      <c r="M33" s="5">
        <v>12</v>
      </c>
      <c r="N33" s="5">
        <v>13</v>
      </c>
      <c r="O33" s="5">
        <v>14</v>
      </c>
      <c r="P33" s="5">
        <v>15</v>
      </c>
      <c r="AD33" t="s">
        <v>176</v>
      </c>
      <c r="AE33" s="5">
        <f>VLOOKUP(AE34,$AF$18:$AG$28,2,FALSE)</f>
        <v>1.3</v>
      </c>
      <c r="AF33" s="5">
        <f t="shared" ref="AF33:AS33" si="9">VLOOKUP(AF34,$AF$18:$AG$28,2,FALSE)</f>
        <v>1.31</v>
      </c>
      <c r="AG33" s="5">
        <f t="shared" si="9"/>
        <v>1.33</v>
      </c>
      <c r="AH33" s="5">
        <f t="shared" si="9"/>
        <v>1.31</v>
      </c>
      <c r="AI33" s="5">
        <f t="shared" si="9"/>
        <v>1.33</v>
      </c>
      <c r="AJ33" s="5">
        <f t="shared" si="9"/>
        <v>1.33</v>
      </c>
      <c r="AK33" s="5">
        <f t="shared" si="9"/>
        <v>1.337</v>
      </c>
      <c r="AL33" s="5">
        <f t="shared" si="9"/>
        <v>1.33</v>
      </c>
      <c r="AM33" s="5">
        <f t="shared" si="9"/>
        <v>1.337</v>
      </c>
      <c r="AN33" s="5">
        <f t="shared" si="9"/>
        <v>1.34</v>
      </c>
      <c r="AO33" s="5">
        <f t="shared" si="9"/>
        <v>1.33</v>
      </c>
      <c r="AP33" s="5">
        <f t="shared" si="9"/>
        <v>1.337</v>
      </c>
      <c r="AQ33" s="5">
        <f t="shared" si="9"/>
        <v>1.34</v>
      </c>
      <c r="AR33" s="5">
        <f t="shared" si="9"/>
        <v>1.337</v>
      </c>
      <c r="AS33" s="5">
        <f t="shared" si="9"/>
        <v>1.34</v>
      </c>
    </row>
    <row r="34" spans="1:45" x14ac:dyDescent="0.15">
      <c r="B34" s="5"/>
      <c r="C34" s="5"/>
      <c r="D34" s="5"/>
      <c r="E34" s="5"/>
      <c r="F34" s="5"/>
      <c r="G34" s="5">
        <v>5</v>
      </c>
      <c r="H34" s="5">
        <v>6</v>
      </c>
      <c r="I34" s="5">
        <v>7</v>
      </c>
      <c r="J34" s="5">
        <v>8</v>
      </c>
      <c r="K34" s="5">
        <v>9</v>
      </c>
      <c r="L34" s="5">
        <v>10</v>
      </c>
      <c r="M34" s="5">
        <v>11</v>
      </c>
      <c r="N34" s="5">
        <v>12</v>
      </c>
      <c r="O34" s="5">
        <v>13</v>
      </c>
      <c r="P34" s="5">
        <v>14</v>
      </c>
      <c r="U34" t="s">
        <v>651</v>
      </c>
      <c r="AD34" s="2" t="s">
        <v>144</v>
      </c>
      <c r="AE34" s="28">
        <v>1</v>
      </c>
      <c r="AF34" s="28">
        <v>2</v>
      </c>
      <c r="AG34" s="28">
        <v>3</v>
      </c>
      <c r="AH34" s="28">
        <v>2</v>
      </c>
      <c r="AI34" s="28">
        <v>3</v>
      </c>
      <c r="AJ34" s="28">
        <v>3</v>
      </c>
      <c r="AK34" s="28">
        <v>4</v>
      </c>
      <c r="AL34" s="28">
        <v>3</v>
      </c>
      <c r="AM34" s="28">
        <v>4</v>
      </c>
      <c r="AN34" s="28">
        <v>5</v>
      </c>
      <c r="AO34" s="28">
        <v>3</v>
      </c>
      <c r="AP34" s="28">
        <v>4</v>
      </c>
      <c r="AQ34" s="28">
        <v>5</v>
      </c>
      <c r="AR34" s="28">
        <v>4</v>
      </c>
      <c r="AS34" s="28">
        <v>5</v>
      </c>
    </row>
    <row r="35" spans="1:45" x14ac:dyDescent="0.15">
      <c r="A35" s="5" t="s">
        <v>134</v>
      </c>
      <c r="B35" s="5" t="s">
        <v>126</v>
      </c>
      <c r="C35" s="5" t="s">
        <v>130</v>
      </c>
      <c r="D35" s="5" t="s">
        <v>128</v>
      </c>
      <c r="E35" s="5" t="s">
        <v>129</v>
      </c>
      <c r="F35" s="5" t="s">
        <v>127</v>
      </c>
      <c r="G35" s="2" t="str">
        <f>[3]各种公式!C12</f>
        <v>生命</v>
      </c>
      <c r="H35" s="2" t="str">
        <f>[3]各种公式!D12</f>
        <v>攻击</v>
      </c>
      <c r="I35" s="2" t="str">
        <f>[3]各种公式!E12</f>
        <v>防御</v>
      </c>
      <c r="J35" s="2" t="str">
        <f>[3]各种公式!F12</f>
        <v>闪避值</v>
      </c>
      <c r="K35" s="2" t="str">
        <f>[3]各种公式!G12</f>
        <v>命中值</v>
      </c>
      <c r="L35" s="2" t="str">
        <f>[3]各种公式!H12</f>
        <v>暴击值</v>
      </c>
      <c r="M35" s="2" t="str">
        <f>[3]各种公式!I12</f>
        <v>暴击倍数</v>
      </c>
      <c r="N35" s="2" t="str">
        <f>[3]各种公式!J12</f>
        <v>韧性值</v>
      </c>
      <c r="O35" s="2" t="str">
        <f>[3]各种公式!K12</f>
        <v>伤害减免</v>
      </c>
      <c r="P35" s="43" t="str">
        <f>[3]各种公式!L12</f>
        <v>伤害加深</v>
      </c>
      <c r="Q35" s="5" t="s">
        <v>171</v>
      </c>
      <c r="R35" s="5" t="s">
        <v>178</v>
      </c>
      <c r="S35" s="90" t="s">
        <v>180</v>
      </c>
      <c r="T35" s="1" t="s">
        <v>183</v>
      </c>
      <c r="U35" s="1" t="s">
        <v>184</v>
      </c>
      <c r="W35" t="s">
        <v>256</v>
      </c>
      <c r="X35" t="s">
        <v>256</v>
      </c>
      <c r="Y35" t="s">
        <v>256</v>
      </c>
      <c r="Z35" t="str">
        <f>W29&amp;"数量"</f>
        <v>初级强化石数量</v>
      </c>
      <c r="AA35" t="str">
        <f t="shared" ref="AA35:AB35" si="10">X29&amp;"数量"</f>
        <v>中级强化石数量</v>
      </c>
      <c r="AB35" t="str">
        <f t="shared" si="10"/>
        <v>高级强化石数量</v>
      </c>
      <c r="AC35" t="s">
        <v>264</v>
      </c>
      <c r="AD35">
        <v>1</v>
      </c>
      <c r="AE35" s="5">
        <f>AE$32*$AD35^AE$33</f>
        <v>1</v>
      </c>
      <c r="AF35" s="5">
        <f t="shared" ref="AF35:AS50" si="11">AF$32*$AD35^AF$33</f>
        <v>3</v>
      </c>
      <c r="AG35" s="5">
        <f t="shared" si="11"/>
        <v>3</v>
      </c>
      <c r="AH35" s="5">
        <f t="shared" si="11"/>
        <v>6</v>
      </c>
      <c r="AI35" s="5">
        <f t="shared" si="11"/>
        <v>6</v>
      </c>
      <c r="AJ35" s="5">
        <f t="shared" si="11"/>
        <v>9</v>
      </c>
      <c r="AK35" s="5">
        <f t="shared" si="11"/>
        <v>9</v>
      </c>
      <c r="AL35" s="5">
        <f t="shared" si="11"/>
        <v>12</v>
      </c>
      <c r="AM35" s="5">
        <f t="shared" si="11"/>
        <v>12</v>
      </c>
      <c r="AN35" s="5">
        <f t="shared" si="11"/>
        <v>12</v>
      </c>
      <c r="AO35" s="5">
        <f t="shared" si="11"/>
        <v>14</v>
      </c>
      <c r="AP35" s="5">
        <f t="shared" si="11"/>
        <v>14</v>
      </c>
      <c r="AQ35" s="5">
        <f t="shared" si="11"/>
        <v>14</v>
      </c>
      <c r="AR35" s="5">
        <f t="shared" si="11"/>
        <v>16</v>
      </c>
      <c r="AS35" s="5">
        <f t="shared" si="11"/>
        <v>16</v>
      </c>
    </row>
    <row r="36" spans="1:45" x14ac:dyDescent="0.15">
      <c r="A36" s="28" t="str">
        <f>F36&amp;D36&amp;VLOOKUP(E36,定义数据!$E$1:$F$7,2,FALSE)</f>
        <v>500</v>
      </c>
      <c r="B36" s="28" t="str">
        <f>A36</f>
        <v>500</v>
      </c>
      <c r="C36" s="28">
        <f>装备属性计算表!AK32</f>
        <v>2</v>
      </c>
      <c r="D36" s="28">
        <f>装备属性计算表!B32</f>
        <v>0</v>
      </c>
      <c r="E36" s="28" t="str">
        <f>装备属性计算表!C32</f>
        <v>武器</v>
      </c>
      <c r="F36" s="28">
        <f>装备属性计算表!D32</f>
        <v>5</v>
      </c>
      <c r="G36" s="28">
        <f>ROUNDUP(VLOOKUP($E36,装备属性计算表!$D$4:$O$9,装备属性计算表!F$2,FALSE)/装备属性计算表!F$10*VLOOKUP($F36&amp;$D36,$F$4:$S$29,G$34,FALSE),0)</f>
        <v>0</v>
      </c>
      <c r="H36" s="28">
        <f>ROUNDUP(VLOOKUP($E36,装备属性计算表!$D$4:$O$9,装备属性计算表!G$2,FALSE)/装备属性计算表!G$10*VLOOKUP($F36&amp;$D36,$F$4:$S$29,H$34,FALSE),0)</f>
        <v>3</v>
      </c>
      <c r="I36" s="28">
        <f>ROUNDUP(VLOOKUP($E36,装备属性计算表!$D$4:$O$9,装备属性计算表!H$2,FALSE)/装备属性计算表!H$10*VLOOKUP($F36&amp;$D36,$F$4:$S$29,I$34,FALSE),0)</f>
        <v>0</v>
      </c>
      <c r="J36" s="28">
        <f>ROUNDUP(VLOOKUP($E36,装备属性计算表!$D$4:$O$9,装备属性计算表!I$2,FALSE)/装备属性计算表!I$10*VLOOKUP($F36&amp;$D36,$F$4:$S$29,J$34,FALSE),0)</f>
        <v>0</v>
      </c>
      <c r="K36" s="28">
        <f>ROUNDUP(VLOOKUP($E36,装备属性计算表!$D$4:$O$9,装备属性计算表!J$2,FALSE)/装备属性计算表!J$10*VLOOKUP($F36&amp;$D36,$F$4:$S$29,K$34,FALSE),0)</f>
        <v>0</v>
      </c>
      <c r="L36" s="28">
        <f>ROUNDUP(VLOOKUP($E36,装备属性计算表!$D$4:$O$9,装备属性计算表!K$2,FALSE)/装备属性计算表!K$10*VLOOKUP($F36&amp;$D36,$F$4:$S$29,L$34,FALSE),0)</f>
        <v>2</v>
      </c>
      <c r="M36" s="28">
        <f>ROUNDUP(VLOOKUP($E36,装备属性计算表!$D$4:$O$9,装备属性计算表!L$2,FALSE)/装备属性计算表!L$10*VLOOKUP($F36&amp;$D36,$F$4:$S$29,M$34,FALSE),0)</f>
        <v>0</v>
      </c>
      <c r="N36" s="28">
        <f>ROUNDUP(VLOOKUP($E36,装备属性计算表!$D$4:$O$9,装备属性计算表!M$2,FALSE)/装备属性计算表!M$10*VLOOKUP($F36&amp;$D36,$F$4:$S$29,N$34,FALSE),0)</f>
        <v>0</v>
      </c>
      <c r="O36" s="28">
        <f>ROUNDUP(VLOOKUP($E36,装备属性计算表!$D$4:$O$9,装备属性计算表!N$2,FALSE)/装备属性计算表!N$10*VLOOKUP($F36&amp;$D36,$F$4:$S$29,O$34,FALSE),0)</f>
        <v>0</v>
      </c>
      <c r="P36" s="28">
        <f>ROUNDUP(VLOOKUP($E36,装备属性计算表!$D$4:$O$9,装备属性计算表!O$2,FALSE)/装备属性计算表!O$10*VLOOKUP($F36&amp;$D36,$F$4:$S$29,P$34,FALSE),0)</f>
        <v>0</v>
      </c>
      <c r="Q36" s="28">
        <f>SUMPRODUCT(G36:P36,定义数据!$G$14:$P$14)</f>
        <v>3.36</v>
      </c>
      <c r="R36" s="28">
        <f>ROUND(Q36*$R$32,0)</f>
        <v>168</v>
      </c>
      <c r="S36" s="91">
        <f>ROUND(Q36*$R$31,0)</f>
        <v>168</v>
      </c>
      <c r="T36" s="28">
        <f>(1+F36)*F36/2*R36</f>
        <v>2520</v>
      </c>
      <c r="U36" s="89">
        <f>VLOOKUP(F36,D_装备金币参考表!$A$2:$C$81,3,FALSE)*Q36</f>
        <v>1041.5999999999999</v>
      </c>
      <c r="W36">
        <f>IF(ROUNDDOWN(X$31/$R36,0)&gt;$F36,$F36,ROUNDDOWN(X$31/$R36,0))</f>
        <v>5</v>
      </c>
      <c r="X36">
        <f>IF(ROUNDDOWN(Y$31/$R36,0)&gt;$F36,$F36,ROUNDDOWN(Y$31/$R36,0))</f>
        <v>5</v>
      </c>
      <c r="Y36">
        <f>IF(X36&gt;$F36,F36,F36)</f>
        <v>5</v>
      </c>
      <c r="Z36" s="25">
        <f>ROUNDUP(IF(W36=0,0,W36*(W36+1)/2*$R36/W$31),0)</f>
        <v>13</v>
      </c>
      <c r="AA36" s="25">
        <f>ROUNDUP(IF(X36&gt;$F36,(($F36*($F36+1)/2)-(W36+1)*W36/2)*$R36/X$31,((X36*(X36+1)/2)-(W36+1)*W36/2)*$R36/X$31),0)</f>
        <v>0</v>
      </c>
      <c r="AB36" s="25">
        <f>ROUNDUP(IF(Y36&gt;$F36,(($F36*($F36+1)/2)-(X36+1)*X36/2)*$R36/Y$31,((Y36*(Y36+1)/2)-(X36+1)*X36/2)*$R36/Y$31),0)</f>
        <v>0</v>
      </c>
      <c r="AC36" s="25">
        <f>SUMPRODUCT(Z36:AB36,$W$31:$Y$31)-T36</f>
        <v>80</v>
      </c>
      <c r="AD36">
        <v>2</v>
      </c>
      <c r="AE36" s="5">
        <f t="shared" ref="AE36:AN111" si="12">AE$32*$AD36^AE$33</f>
        <v>2.4622888266898326</v>
      </c>
      <c r="AF36" s="5">
        <f t="shared" si="11"/>
        <v>7.4382461996339195</v>
      </c>
      <c r="AG36" s="5">
        <f t="shared" si="11"/>
        <v>7.5420802471309702</v>
      </c>
      <c r="AH36" s="5">
        <f t="shared" si="11"/>
        <v>14.876492399267839</v>
      </c>
      <c r="AI36" s="5">
        <f t="shared" si="11"/>
        <v>15.08416049426194</v>
      </c>
      <c r="AJ36" s="5">
        <f t="shared" si="11"/>
        <v>22.626240741392913</v>
      </c>
      <c r="AK36" s="5">
        <f t="shared" si="11"/>
        <v>22.736290713224381</v>
      </c>
      <c r="AL36" s="5">
        <f t="shared" si="11"/>
        <v>30.168320988523881</v>
      </c>
      <c r="AM36" s="5">
        <f t="shared" si="11"/>
        <v>30.315054284299173</v>
      </c>
      <c r="AN36" s="5">
        <f t="shared" si="11"/>
        <v>30.378158255286721</v>
      </c>
      <c r="AO36" s="5">
        <f t="shared" si="11"/>
        <v>35.196374486611191</v>
      </c>
      <c r="AP36" s="5">
        <f t="shared" si="11"/>
        <v>35.367563331682369</v>
      </c>
      <c r="AQ36" s="5">
        <f t="shared" si="11"/>
        <v>35.441184631167836</v>
      </c>
      <c r="AR36" s="5">
        <f t="shared" si="11"/>
        <v>40.420072379065566</v>
      </c>
      <c r="AS36" s="5">
        <f t="shared" si="11"/>
        <v>40.504211007048958</v>
      </c>
    </row>
    <row r="37" spans="1:45" x14ac:dyDescent="0.15">
      <c r="A37" s="28" t="str">
        <f>F37&amp;D37&amp;VLOOKUP(E37,定义数据!$E$1:$F$7,2,FALSE)</f>
        <v>501</v>
      </c>
      <c r="B37" s="28" t="str">
        <f t="shared" ref="B37:B112" si="13">A37</f>
        <v>501</v>
      </c>
      <c r="C37" s="28">
        <f>装备属性计算表!AK33</f>
        <v>2</v>
      </c>
      <c r="D37" s="28">
        <f>装备属性计算表!B33</f>
        <v>0</v>
      </c>
      <c r="E37" s="28" t="str">
        <f>装备属性计算表!C33</f>
        <v>衣服</v>
      </c>
      <c r="F37" s="28">
        <f>装备属性计算表!D33</f>
        <v>5</v>
      </c>
      <c r="G37" s="28">
        <f>ROUNDUP(VLOOKUP($E37,装备属性计算表!$D$4:$O$9,装备属性计算表!F$2,FALSE)/装备属性计算表!F$10*VLOOKUP($F37&amp;$D37,$F$4:$S$29,G$34,FALSE),0)</f>
        <v>36</v>
      </c>
      <c r="H37" s="28">
        <f>ROUNDUP(VLOOKUP($E37,装备属性计算表!$D$4:$O$9,装备属性计算表!G$2,FALSE)/装备属性计算表!G$10*VLOOKUP($F37&amp;$D37,$F$4:$S$29,H$34,FALSE),0)</f>
        <v>0</v>
      </c>
      <c r="I37" s="28">
        <f>ROUNDUP(VLOOKUP($E37,装备属性计算表!$D$4:$O$9,装备属性计算表!H$2,FALSE)/装备属性计算表!H$10*VLOOKUP($F37&amp;$D37,$F$4:$S$29,I$34,FALSE),0)</f>
        <v>1</v>
      </c>
      <c r="J37" s="28">
        <f>ROUNDUP(VLOOKUP($E37,装备属性计算表!$D$4:$O$9,装备属性计算表!I$2,FALSE)/装备属性计算表!I$10*VLOOKUP($F37&amp;$D37,$F$4:$S$29,J$34,FALSE),0)</f>
        <v>0</v>
      </c>
      <c r="K37" s="28">
        <f>ROUNDUP(VLOOKUP($E37,装备属性计算表!$D$4:$O$9,装备属性计算表!J$2,FALSE)/装备属性计算表!J$10*VLOOKUP($F37&amp;$D37,$F$4:$S$29,K$34,FALSE),0)</f>
        <v>0</v>
      </c>
      <c r="L37" s="28">
        <f>ROUNDUP(VLOOKUP($E37,装备属性计算表!$D$4:$O$9,装备属性计算表!K$2,FALSE)/装备属性计算表!K$10*VLOOKUP($F37&amp;$D37,$F$4:$S$29,L$34,FALSE),0)</f>
        <v>0</v>
      </c>
      <c r="M37" s="28">
        <f>ROUNDUP(VLOOKUP($E37,装备属性计算表!$D$4:$O$9,装备属性计算表!L$2,FALSE)/装备属性计算表!L$10*VLOOKUP($F37&amp;$D37,$F$4:$S$29,M$34,FALSE),0)</f>
        <v>0</v>
      </c>
      <c r="N37" s="28">
        <f>ROUNDUP(VLOOKUP($E37,装备属性计算表!$D$4:$O$9,装备属性计算表!M$2,FALSE)/装备属性计算表!M$10*VLOOKUP($F37&amp;$D37,$F$4:$S$29,N$34,FALSE),0)</f>
        <v>0</v>
      </c>
      <c r="O37" s="28">
        <f>ROUNDUP(VLOOKUP($E37,装备属性计算表!$D$4:$O$9,装备属性计算表!N$2,FALSE)/装备属性计算表!N$10*VLOOKUP($F37&amp;$D37,$F$4:$S$29,O$34,FALSE),0)</f>
        <v>0</v>
      </c>
      <c r="P37" s="28">
        <f>ROUNDUP(VLOOKUP($E37,装备属性计算表!$D$4:$O$9,装备属性计算表!O$2,FALSE)/装备属性计算表!O$10*VLOOKUP($F37&amp;$D37,$F$4:$S$29,P$34,FALSE),0)</f>
        <v>0</v>
      </c>
      <c r="Q37" s="28">
        <f>SUMPRODUCT(G37:P37,定义数据!$G$14:$P$14)</f>
        <v>2.44</v>
      </c>
      <c r="R37" s="28">
        <f t="shared" ref="R37:R112" si="14">ROUND(Q37*$R$32,0)</f>
        <v>122</v>
      </c>
      <c r="S37" s="91">
        <f t="shared" ref="S37:S112" si="15">ROUND(Q37*$R$31,0)</f>
        <v>122</v>
      </c>
      <c r="T37" s="28">
        <f t="shared" ref="T37:T112" si="16">(1+F37)*F37/2*R37</f>
        <v>1830</v>
      </c>
      <c r="U37" s="89">
        <f>VLOOKUP(F37,D_装备金币参考表!$A$2:$C$81,3,FALSE)*Q37</f>
        <v>756.4</v>
      </c>
      <c r="W37">
        <f t="shared" ref="W37:W112" si="17">IF(ROUNDDOWN(X$31/$R37,0)&gt;$F37,$F37,ROUNDDOWN(X$31/$R37,0))</f>
        <v>5</v>
      </c>
      <c r="X37">
        <f t="shared" ref="X37:X112" si="18">IF(ROUNDDOWN(Y$31/$R37,0)&gt;$F37,$F37,ROUNDDOWN(Y$31/$R37,0))</f>
        <v>5</v>
      </c>
      <c r="Y37">
        <f t="shared" ref="Y37:Y112" si="19">IF(X37&gt;$F37,0,F37)</f>
        <v>5</v>
      </c>
      <c r="Z37" s="25">
        <f t="shared" ref="Z37:Z112" si="20">ROUNDUP(IF(W37=0,0,W37*(W37+1)/2*R37/W$31),0)</f>
        <v>10</v>
      </c>
      <c r="AA37" s="25">
        <f t="shared" ref="AA37:AA112" si="21">ROUNDUP(IF(X37&gt;$F37,(($F37*($F37+1)/2)-(W37+1)*W37/2)*$R37/X$31,((X37*(X37+1)/2)-(W37+1)*W37/2)*$R37/X$31),0)</f>
        <v>0</v>
      </c>
      <c r="AB37" s="25">
        <f t="shared" ref="AB37:AB112" si="22">ROUNDUP(IF(Y37&gt;$F37,(($F37*($F37+1)/2)-(X37+1)*X37/2)*$R37/Y$31,((Y37*(Y37+1)/2)-(X37+1)*X37/2)*$R37/Y$31),0)</f>
        <v>0</v>
      </c>
      <c r="AC37" s="25">
        <f t="shared" ref="AC37:AC112" si="23">SUMPRODUCT(Z37:AB37,$W$31:$Y$31)-T37</f>
        <v>170</v>
      </c>
      <c r="AD37">
        <v>3</v>
      </c>
      <c r="AE37" s="5">
        <f t="shared" si="12"/>
        <v>4.1711675109477282</v>
      </c>
      <c r="AF37" s="5">
        <f t="shared" si="11"/>
        <v>12.651735340387056</v>
      </c>
      <c r="AG37" s="5">
        <f t="shared" si="11"/>
        <v>12.932798869663667</v>
      </c>
      <c r="AH37" s="5">
        <f t="shared" si="11"/>
        <v>25.303470680774112</v>
      </c>
      <c r="AI37" s="5">
        <f t="shared" si="11"/>
        <v>25.865597739327335</v>
      </c>
      <c r="AJ37" s="5">
        <f t="shared" si="11"/>
        <v>38.798396608990998</v>
      </c>
      <c r="AK37" s="5">
        <f t="shared" si="11"/>
        <v>39.097917600956208</v>
      </c>
      <c r="AL37" s="5">
        <f t="shared" si="11"/>
        <v>51.731195478654669</v>
      </c>
      <c r="AM37" s="5">
        <f t="shared" si="11"/>
        <v>52.130556801274949</v>
      </c>
      <c r="AN37" s="5">
        <f t="shared" si="11"/>
        <v>52.302654058684254</v>
      </c>
      <c r="AO37" s="5">
        <f t="shared" si="11"/>
        <v>60.353061391763781</v>
      </c>
      <c r="AP37" s="5">
        <f t="shared" si="11"/>
        <v>60.818982934820774</v>
      </c>
      <c r="AQ37" s="5">
        <f t="shared" si="11"/>
        <v>61.019763068464961</v>
      </c>
      <c r="AR37" s="5">
        <f t="shared" si="11"/>
        <v>69.507409068366599</v>
      </c>
      <c r="AS37" s="5">
        <f t="shared" si="11"/>
        <v>69.736872078245668</v>
      </c>
    </row>
    <row r="38" spans="1:45" x14ac:dyDescent="0.15">
      <c r="A38" s="28" t="str">
        <f>F38&amp;D38&amp;VLOOKUP(E38,定义数据!$E$1:$F$7,2,FALSE)</f>
        <v>502</v>
      </c>
      <c r="B38" s="28" t="str">
        <f t="shared" si="13"/>
        <v>502</v>
      </c>
      <c r="C38" s="28">
        <f>装备属性计算表!AK34</f>
        <v>2</v>
      </c>
      <c r="D38" s="28">
        <f>装备属性计算表!B34</f>
        <v>0</v>
      </c>
      <c r="E38" s="28" t="str">
        <f>装备属性计算表!C34</f>
        <v>裤子</v>
      </c>
      <c r="F38" s="28">
        <f>装备属性计算表!D34</f>
        <v>5</v>
      </c>
      <c r="G38" s="28">
        <f>ROUNDUP(VLOOKUP($E38,装备属性计算表!$D$4:$O$9,装备属性计算表!F$2,FALSE)/装备属性计算表!F$10*VLOOKUP($F38&amp;$D38,$F$4:$S$29,G$34,FALSE),0)</f>
        <v>0</v>
      </c>
      <c r="H38" s="28">
        <f>ROUNDUP(VLOOKUP($E38,装备属性计算表!$D$4:$O$9,装备属性计算表!G$2,FALSE)/装备属性计算表!G$10*VLOOKUP($F38&amp;$D38,$F$4:$S$29,H$34,FALSE),0)</f>
        <v>0</v>
      </c>
      <c r="I38" s="28">
        <f>ROUNDUP(VLOOKUP($E38,装备属性计算表!$D$4:$O$9,装备属性计算表!H$2,FALSE)/装备属性计算表!H$10*VLOOKUP($F38&amp;$D38,$F$4:$S$29,I$34,FALSE),0)</f>
        <v>1</v>
      </c>
      <c r="J38" s="28">
        <f>ROUNDUP(VLOOKUP($E38,装备属性计算表!$D$4:$O$9,装备属性计算表!I$2,FALSE)/装备属性计算表!I$10*VLOOKUP($F38&amp;$D38,$F$4:$S$29,J$34,FALSE),0)</f>
        <v>1</v>
      </c>
      <c r="K38" s="28">
        <f>ROUNDUP(VLOOKUP($E38,装备属性计算表!$D$4:$O$9,装备属性计算表!J$2,FALSE)/装备属性计算表!J$10*VLOOKUP($F38&amp;$D38,$F$4:$S$29,K$34,FALSE),0)</f>
        <v>0</v>
      </c>
      <c r="L38" s="28">
        <f>ROUNDUP(VLOOKUP($E38,装备属性计算表!$D$4:$O$9,装备属性计算表!K$2,FALSE)/装备属性计算表!K$10*VLOOKUP($F38&amp;$D38,$F$4:$S$29,L$34,FALSE),0)</f>
        <v>0</v>
      </c>
      <c r="M38" s="28">
        <f>ROUNDUP(VLOOKUP($E38,装备属性计算表!$D$4:$O$9,装备属性计算表!L$2,FALSE)/装备属性计算表!L$10*VLOOKUP($F38&amp;$D38,$F$4:$S$29,M$34,FALSE),0)</f>
        <v>0</v>
      </c>
      <c r="N38" s="28">
        <f>ROUNDUP(VLOOKUP($E38,装备属性计算表!$D$4:$O$9,装备属性计算表!M$2,FALSE)/装备属性计算表!M$10*VLOOKUP($F38&amp;$D38,$F$4:$S$29,N$34,FALSE),0)</f>
        <v>0</v>
      </c>
      <c r="O38" s="28">
        <f>ROUNDUP(VLOOKUP($E38,装备属性计算表!$D$4:$O$9,装备属性计算表!N$2,FALSE)/装备属性计算表!N$10*VLOOKUP($F38&amp;$D38,$F$4:$S$29,O$34,FALSE),0)</f>
        <v>0</v>
      </c>
      <c r="P38" s="28">
        <f>ROUNDUP(VLOOKUP($E38,装备属性计算表!$D$4:$O$9,装备属性计算表!O$2,FALSE)/装备属性计算表!O$10*VLOOKUP($F38&amp;$D38,$F$4:$S$29,P$34,FALSE),0)</f>
        <v>0</v>
      </c>
      <c r="Q38" s="28">
        <f>SUMPRODUCT(G38:P38,定义数据!$G$14:$P$14)</f>
        <v>1.34</v>
      </c>
      <c r="R38" s="28">
        <f t="shared" si="14"/>
        <v>67</v>
      </c>
      <c r="S38" s="91">
        <f t="shared" si="15"/>
        <v>67</v>
      </c>
      <c r="T38" s="28">
        <f t="shared" si="16"/>
        <v>1005</v>
      </c>
      <c r="U38" s="89">
        <f>VLOOKUP(F38,D_装备金币参考表!$A$2:$C$81,3,FALSE)*Q38</f>
        <v>415.40000000000003</v>
      </c>
      <c r="W38">
        <f t="shared" si="17"/>
        <v>5</v>
      </c>
      <c r="X38">
        <f t="shared" si="18"/>
        <v>5</v>
      </c>
      <c r="Y38">
        <f t="shared" si="19"/>
        <v>5</v>
      </c>
      <c r="Z38" s="25">
        <f t="shared" si="20"/>
        <v>6</v>
      </c>
      <c r="AA38" s="25">
        <f t="shared" si="21"/>
        <v>0</v>
      </c>
      <c r="AB38" s="25">
        <f t="shared" si="22"/>
        <v>0</v>
      </c>
      <c r="AC38" s="25">
        <f t="shared" si="23"/>
        <v>195</v>
      </c>
      <c r="AD38">
        <v>4</v>
      </c>
      <c r="AE38" s="5">
        <f t="shared" si="12"/>
        <v>6.062866266041592</v>
      </c>
      <c r="AF38" s="5">
        <f t="shared" si="11"/>
        <v>18.442502175456152</v>
      </c>
      <c r="AG38" s="5">
        <f t="shared" si="11"/>
        <v>18.960991484721053</v>
      </c>
      <c r="AH38" s="5">
        <f t="shared" si="11"/>
        <v>36.885004350912304</v>
      </c>
      <c r="AI38" s="5">
        <f t="shared" si="11"/>
        <v>37.921982969442105</v>
      </c>
      <c r="AJ38" s="5">
        <f t="shared" si="11"/>
        <v>56.882974454163161</v>
      </c>
      <c r="AK38" s="5">
        <f t="shared" si="11"/>
        <v>57.437657266250369</v>
      </c>
      <c r="AL38" s="5">
        <f t="shared" si="11"/>
        <v>75.84396593888421</v>
      </c>
      <c r="AM38" s="5">
        <f t="shared" si="11"/>
        <v>76.583543021667154</v>
      </c>
      <c r="AN38" s="5">
        <f t="shared" si="11"/>
        <v>76.90270824860373</v>
      </c>
      <c r="AO38" s="5">
        <f t="shared" si="11"/>
        <v>88.484626928698248</v>
      </c>
      <c r="AP38" s="5">
        <f t="shared" si="11"/>
        <v>89.347466858611682</v>
      </c>
      <c r="AQ38" s="5">
        <f t="shared" si="11"/>
        <v>89.719826290037687</v>
      </c>
      <c r="AR38" s="5">
        <f t="shared" si="11"/>
        <v>102.11139069555621</v>
      </c>
      <c r="AS38" s="5">
        <f t="shared" si="11"/>
        <v>102.53694433147164</v>
      </c>
    </row>
    <row r="39" spans="1:45" x14ac:dyDescent="0.15">
      <c r="A39" s="28" t="str">
        <f>F39&amp;D39&amp;VLOOKUP(E39,定义数据!$E$1:$F$7,2,FALSE)</f>
        <v>505</v>
      </c>
      <c r="B39" s="28" t="str">
        <f t="shared" si="13"/>
        <v>505</v>
      </c>
      <c r="C39" s="28">
        <f>装备属性计算表!AK35</f>
        <v>2</v>
      </c>
      <c r="D39" s="28">
        <f>装备属性计算表!B35</f>
        <v>0</v>
      </c>
      <c r="E39" s="28" t="str">
        <f>装备属性计算表!C35</f>
        <v>鞋子</v>
      </c>
      <c r="F39" s="28">
        <f>装备属性计算表!D35</f>
        <v>5</v>
      </c>
      <c r="G39" s="28">
        <f>ROUNDUP(VLOOKUP($E39,装备属性计算表!$D$4:$O$9,装备属性计算表!F$2,FALSE)/装备属性计算表!F$10*VLOOKUP($F39&amp;$D39,$F$4:$S$29,G$34,FALSE),0)</f>
        <v>12</v>
      </c>
      <c r="H39" s="28">
        <f>ROUNDUP(VLOOKUP($E39,装备属性计算表!$D$4:$O$9,装备属性计算表!G$2,FALSE)/装备属性计算表!G$10*VLOOKUP($F39&amp;$D39,$F$4:$S$29,H$34,FALSE),0)</f>
        <v>0</v>
      </c>
      <c r="I39" s="28">
        <f>ROUNDUP(VLOOKUP($E39,装备属性计算表!$D$4:$O$9,装备属性计算表!H$2,FALSE)/装备属性计算表!H$10*VLOOKUP($F39&amp;$D39,$F$4:$S$29,I$34,FALSE),0)</f>
        <v>0</v>
      </c>
      <c r="J39" s="28">
        <f>ROUNDUP(VLOOKUP($E39,装备属性计算表!$D$4:$O$9,装备属性计算表!I$2,FALSE)/装备属性计算表!I$10*VLOOKUP($F39&amp;$D39,$F$4:$S$29,J$34,FALSE),0)</f>
        <v>2</v>
      </c>
      <c r="K39" s="28">
        <f>ROUNDUP(VLOOKUP($E39,装备属性计算表!$D$4:$O$9,装备属性计算表!J$2,FALSE)/装备属性计算表!J$10*VLOOKUP($F39&amp;$D39,$F$4:$S$29,K$34,FALSE),0)</f>
        <v>0</v>
      </c>
      <c r="L39" s="28">
        <f>ROUNDUP(VLOOKUP($E39,装备属性计算表!$D$4:$O$9,装备属性计算表!K$2,FALSE)/装备属性计算表!K$10*VLOOKUP($F39&amp;$D39,$F$4:$S$29,L$34,FALSE),0)</f>
        <v>0</v>
      </c>
      <c r="M39" s="28">
        <f>ROUNDUP(VLOOKUP($E39,装备属性计算表!$D$4:$O$9,装备属性计算表!L$2,FALSE)/装备属性计算表!L$10*VLOOKUP($F39&amp;$D39,$F$4:$S$29,M$34,FALSE),0)</f>
        <v>0</v>
      </c>
      <c r="N39" s="28">
        <f>ROUNDUP(VLOOKUP($E39,装备属性计算表!$D$4:$O$9,装备属性计算表!M$2,FALSE)/装备属性计算表!M$10*VLOOKUP($F39&amp;$D39,$F$4:$S$29,N$34,FALSE),0)</f>
        <v>0</v>
      </c>
      <c r="O39" s="28">
        <f>ROUNDUP(VLOOKUP($E39,装备属性计算表!$D$4:$O$9,装备属性计算表!N$2,FALSE)/装备属性计算表!N$10*VLOOKUP($F39&amp;$D39,$F$4:$S$29,O$34,FALSE),0)</f>
        <v>0</v>
      </c>
      <c r="P39" s="28">
        <f>ROUNDUP(VLOOKUP($E39,装备属性计算表!$D$4:$O$9,装备属性计算表!O$2,FALSE)/装备属性计算表!O$10*VLOOKUP($F39&amp;$D39,$F$4:$S$29,P$34,FALSE),0)</f>
        <v>0</v>
      </c>
      <c r="Q39" s="28">
        <f>SUMPRODUCT(G39:P39,定义数据!$G$14:$P$14)</f>
        <v>1.1600000000000001</v>
      </c>
      <c r="R39" s="28">
        <f t="shared" si="14"/>
        <v>58</v>
      </c>
      <c r="S39" s="91">
        <f t="shared" si="15"/>
        <v>58</v>
      </c>
      <c r="T39" s="28">
        <f t="shared" si="16"/>
        <v>870</v>
      </c>
      <c r="U39" s="89">
        <f>VLOOKUP(F39,D_装备金币参考表!$A$2:$C$81,3,FALSE)*Q39</f>
        <v>359.6</v>
      </c>
      <c r="W39">
        <f t="shared" si="17"/>
        <v>5</v>
      </c>
      <c r="X39">
        <f t="shared" si="18"/>
        <v>5</v>
      </c>
      <c r="Y39">
        <f t="shared" si="19"/>
        <v>5</v>
      </c>
      <c r="Z39" s="25">
        <f t="shared" si="20"/>
        <v>5</v>
      </c>
      <c r="AA39" s="25">
        <f t="shared" si="21"/>
        <v>0</v>
      </c>
      <c r="AB39" s="25">
        <f t="shared" si="22"/>
        <v>0</v>
      </c>
      <c r="AC39" s="25">
        <f t="shared" si="23"/>
        <v>130</v>
      </c>
      <c r="AD39">
        <v>5</v>
      </c>
      <c r="AE39" s="5">
        <f t="shared" si="12"/>
        <v>8.1032829834638118</v>
      </c>
      <c r="AF39" s="5">
        <f t="shared" si="11"/>
        <v>24.704266313381964</v>
      </c>
      <c r="AG39" s="5">
        <f t="shared" si="11"/>
        <v>25.51240264625887</v>
      </c>
      <c r="AH39" s="5">
        <f t="shared" si="11"/>
        <v>49.408532626763929</v>
      </c>
      <c r="AI39" s="5">
        <f t="shared" si="11"/>
        <v>51.02480529251774</v>
      </c>
      <c r="AJ39" s="5">
        <f t="shared" si="11"/>
        <v>76.537207938776618</v>
      </c>
      <c r="AK39" s="5">
        <f t="shared" si="11"/>
        <v>77.404356633072425</v>
      </c>
      <c r="AL39" s="5">
        <f t="shared" si="11"/>
        <v>102.04961058503548</v>
      </c>
      <c r="AM39" s="5">
        <f t="shared" si="11"/>
        <v>103.20580884409657</v>
      </c>
      <c r="AN39" s="5">
        <f t="shared" si="11"/>
        <v>103.70532380576739</v>
      </c>
      <c r="AO39" s="5">
        <f t="shared" si="11"/>
        <v>119.05787901587473</v>
      </c>
      <c r="AP39" s="5">
        <f t="shared" si="11"/>
        <v>120.40677698477933</v>
      </c>
      <c r="AQ39" s="5">
        <f t="shared" si="11"/>
        <v>120.98954444006196</v>
      </c>
      <c r="AR39" s="5">
        <f t="shared" si="11"/>
        <v>137.60774512546209</v>
      </c>
      <c r="AS39" s="5">
        <f t="shared" si="11"/>
        <v>138.27376507435653</v>
      </c>
    </row>
    <row r="40" spans="1:45" x14ac:dyDescent="0.15">
      <c r="A40" s="28" t="str">
        <f>F40&amp;D40&amp;VLOOKUP(E40,定义数据!$E$1:$F$7,2,FALSE)</f>
        <v>504</v>
      </c>
      <c r="B40" s="28" t="str">
        <f t="shared" si="13"/>
        <v>504</v>
      </c>
      <c r="C40" s="28">
        <f>装备属性计算表!AK36</f>
        <v>2</v>
      </c>
      <c r="D40" s="28">
        <f>装备属性计算表!B36</f>
        <v>0</v>
      </c>
      <c r="E40" s="28" t="str">
        <f>装备属性计算表!C36</f>
        <v>腰带</v>
      </c>
      <c r="F40" s="28">
        <f>装备属性计算表!D36</f>
        <v>5</v>
      </c>
      <c r="G40" s="28">
        <f>ROUNDUP(VLOOKUP($E40,装备属性计算表!$D$4:$O$9,装备属性计算表!F$2,FALSE)/装备属性计算表!F$10*VLOOKUP($F40&amp;$D40,$F$4:$S$29,G$34,FALSE),0)</f>
        <v>12</v>
      </c>
      <c r="H40" s="28">
        <f>ROUNDUP(VLOOKUP($E40,装备属性计算表!$D$4:$O$9,装备属性计算表!G$2,FALSE)/装备属性计算表!G$10*VLOOKUP($F40&amp;$D40,$F$4:$S$29,H$34,FALSE),0)</f>
        <v>0</v>
      </c>
      <c r="I40" s="28">
        <f>ROUNDUP(VLOOKUP($E40,装备属性计算表!$D$4:$O$9,装备属性计算表!H$2,FALSE)/装备属性计算表!H$10*VLOOKUP($F40&amp;$D40,$F$4:$S$29,I$34,FALSE),0)</f>
        <v>0</v>
      </c>
      <c r="J40" s="28">
        <f>ROUNDUP(VLOOKUP($E40,装备属性计算表!$D$4:$O$9,装备属性计算表!I$2,FALSE)/装备属性计算表!I$10*VLOOKUP($F40&amp;$D40,$F$4:$S$29,J$34,FALSE),0)</f>
        <v>0</v>
      </c>
      <c r="K40" s="28">
        <f>ROUNDUP(VLOOKUP($E40,装备属性计算表!$D$4:$O$9,装备属性计算表!J$2,FALSE)/装备属性计算表!J$10*VLOOKUP($F40&amp;$D40,$F$4:$S$29,K$34,FALSE),0)</f>
        <v>0</v>
      </c>
      <c r="L40" s="28">
        <f>ROUNDUP(VLOOKUP($E40,装备属性计算表!$D$4:$O$9,装备属性计算表!K$2,FALSE)/装备属性计算表!K$10*VLOOKUP($F40&amp;$D40,$F$4:$S$29,L$34,FALSE),0)</f>
        <v>0</v>
      </c>
      <c r="M40" s="28">
        <f>ROUNDUP(VLOOKUP($E40,装备属性计算表!$D$4:$O$9,装备属性计算表!L$2,FALSE)/装备属性计算表!L$10*VLOOKUP($F40&amp;$D40,$F$4:$S$29,M$34,FALSE),0)</f>
        <v>0</v>
      </c>
      <c r="N40" s="28">
        <f>ROUNDUP(VLOOKUP($E40,装备属性计算表!$D$4:$O$9,装备属性计算表!M$2,FALSE)/装备属性计算表!M$10*VLOOKUP($F40&amp;$D40,$F$4:$S$29,N$34,FALSE),0)</f>
        <v>2</v>
      </c>
      <c r="O40" s="28">
        <f>ROUNDUP(VLOOKUP($E40,装备属性计算表!$D$4:$O$9,装备属性计算表!N$2,FALSE)/装备属性计算表!N$10*VLOOKUP($F40&amp;$D40,$F$4:$S$29,O$34,FALSE),0)</f>
        <v>0</v>
      </c>
      <c r="P40" s="28">
        <f>ROUNDUP(VLOOKUP($E40,装备属性计算表!$D$4:$O$9,装备属性计算表!O$2,FALSE)/装备属性计算表!O$10*VLOOKUP($F40&amp;$D40,$F$4:$S$29,P$34,FALSE),0)</f>
        <v>0</v>
      </c>
      <c r="Q40" s="28">
        <f>SUMPRODUCT(G40:P40,定义数据!$G$14:$P$14)</f>
        <v>0.84</v>
      </c>
      <c r="R40" s="28">
        <f t="shared" si="14"/>
        <v>42</v>
      </c>
      <c r="S40" s="91">
        <f>ROUND(Q40*$R$31,0)</f>
        <v>42</v>
      </c>
      <c r="T40" s="28">
        <f t="shared" si="16"/>
        <v>630</v>
      </c>
      <c r="U40" s="89">
        <f>VLOOKUP(F40,D_装备金币参考表!$A$2:$C$81,3,FALSE)*Q40</f>
        <v>260.39999999999998</v>
      </c>
      <c r="W40">
        <f t="shared" si="17"/>
        <v>5</v>
      </c>
      <c r="X40">
        <f t="shared" si="18"/>
        <v>5</v>
      </c>
      <c r="Y40">
        <f t="shared" si="19"/>
        <v>5</v>
      </c>
      <c r="Z40" s="25">
        <f t="shared" si="20"/>
        <v>4</v>
      </c>
      <c r="AA40" s="25">
        <f t="shared" si="21"/>
        <v>0</v>
      </c>
      <c r="AB40" s="25">
        <f t="shared" si="22"/>
        <v>0</v>
      </c>
      <c r="AC40" s="25">
        <f t="shared" si="23"/>
        <v>170</v>
      </c>
      <c r="AD40">
        <v>6</v>
      </c>
      <c r="AE40" s="5">
        <f t="shared" si="12"/>
        <v>10.270619156458231</v>
      </c>
      <c r="AF40" s="5">
        <f t="shared" si="11"/>
        <v>31.368907438136048</v>
      </c>
      <c r="AG40" s="5">
        <f t="shared" si="11"/>
        <v>32.513402298336032</v>
      </c>
      <c r="AH40" s="5">
        <f t="shared" si="11"/>
        <v>62.737814876272097</v>
      </c>
      <c r="AI40" s="5">
        <f t="shared" si="11"/>
        <v>65.026804596672065</v>
      </c>
      <c r="AJ40" s="5">
        <f t="shared" si="11"/>
        <v>97.540206895008097</v>
      </c>
      <c r="AK40" s="5">
        <f t="shared" si="11"/>
        <v>98.771291206336969</v>
      </c>
      <c r="AL40" s="5">
        <f t="shared" si="11"/>
        <v>130.05360919334413</v>
      </c>
      <c r="AM40" s="5">
        <f t="shared" si="11"/>
        <v>131.69505494178262</v>
      </c>
      <c r="AN40" s="5">
        <f t="shared" si="11"/>
        <v>132.40485851385205</v>
      </c>
      <c r="AO40" s="5">
        <f t="shared" si="11"/>
        <v>151.72921072556815</v>
      </c>
      <c r="AP40" s="5">
        <f t="shared" si="11"/>
        <v>153.64423076541306</v>
      </c>
      <c r="AQ40" s="5">
        <f t="shared" si="11"/>
        <v>154.47233493282738</v>
      </c>
      <c r="AR40" s="5">
        <f t="shared" si="11"/>
        <v>175.5934065890435</v>
      </c>
      <c r="AS40" s="5">
        <f t="shared" si="11"/>
        <v>176.53981135180271</v>
      </c>
    </row>
    <row r="41" spans="1:45" x14ac:dyDescent="0.15">
      <c r="A41" s="28" t="str">
        <f>F41&amp;D41&amp;VLOOKUP(E41,定义数据!$E$1:$F$7,2,FALSE)</f>
        <v>503</v>
      </c>
      <c r="B41" s="28" t="str">
        <f t="shared" si="13"/>
        <v>503</v>
      </c>
      <c r="C41" s="28">
        <f>装备属性计算表!AK37</f>
        <v>2</v>
      </c>
      <c r="D41" s="28">
        <f>装备属性计算表!B37</f>
        <v>0</v>
      </c>
      <c r="E41" s="28" t="str">
        <f>装备属性计算表!C37</f>
        <v>项链</v>
      </c>
      <c r="F41" s="28">
        <f>装备属性计算表!D37</f>
        <v>5</v>
      </c>
      <c r="G41" s="28">
        <f>ROUNDUP(VLOOKUP($E41,装备属性计算表!$D$4:$O$9,装备属性计算表!F$2,FALSE)/装备属性计算表!F$10*VLOOKUP($F41&amp;$D41,$F$4:$S$29,G$34,FALSE),0)</f>
        <v>0</v>
      </c>
      <c r="H41" s="28">
        <f>ROUNDUP(VLOOKUP($E41,装备属性计算表!$D$4:$O$9,装备属性计算表!G$2,FALSE)/装备属性计算表!G$10*VLOOKUP($F41&amp;$D41,$F$4:$S$29,H$34,FALSE),0)</f>
        <v>1</v>
      </c>
      <c r="I41" s="28">
        <f>ROUNDUP(VLOOKUP($E41,装备属性计算表!$D$4:$O$9,装备属性计算表!H$2,FALSE)/装备属性计算表!H$10*VLOOKUP($F41&amp;$D41,$F$4:$S$29,I$34,FALSE),0)</f>
        <v>0</v>
      </c>
      <c r="J41" s="28">
        <f>ROUNDUP(VLOOKUP($E41,装备属性计算表!$D$4:$O$9,装备属性计算表!I$2,FALSE)/装备属性计算表!I$10*VLOOKUP($F41&amp;$D41,$F$4:$S$29,J$34,FALSE),0)</f>
        <v>0</v>
      </c>
      <c r="K41" s="28">
        <f>ROUNDUP(VLOOKUP($E41,装备属性计算表!$D$4:$O$9,装备属性计算表!J$2,FALSE)/装备属性计算表!J$10*VLOOKUP($F41&amp;$D41,$F$4:$S$29,K$34,FALSE),0)</f>
        <v>3</v>
      </c>
      <c r="L41" s="28">
        <f>ROUNDUP(VLOOKUP($E41,装备属性计算表!$D$4:$O$9,装备属性计算表!K$2,FALSE)/装备属性计算表!K$10*VLOOKUP($F41&amp;$D41,$F$4:$S$29,L$34,FALSE),0)</f>
        <v>0</v>
      </c>
      <c r="M41" s="28">
        <f>ROUNDUP(VLOOKUP($E41,装备属性计算表!$D$4:$O$9,装备属性计算表!L$2,FALSE)/装备属性计算表!L$10*VLOOKUP($F41&amp;$D41,$F$4:$S$29,M$34,FALSE),0)</f>
        <v>0</v>
      </c>
      <c r="N41" s="28">
        <f>ROUNDUP(VLOOKUP($E41,装备属性计算表!$D$4:$O$9,装备属性计算表!M$2,FALSE)/装备属性计算表!M$10*VLOOKUP($F41&amp;$D41,$F$4:$S$29,N$34,FALSE),0)</f>
        <v>0</v>
      </c>
      <c r="O41" s="28">
        <f>ROUNDUP(VLOOKUP($E41,装备属性计算表!$D$4:$O$9,装备属性计算表!N$2,FALSE)/装备属性计算表!N$10*VLOOKUP($F41&amp;$D41,$F$4:$S$29,O$34,FALSE),0)</f>
        <v>0</v>
      </c>
      <c r="P41" s="28">
        <f>ROUNDUP(VLOOKUP($E41,装备属性计算表!$D$4:$O$9,装备属性计算表!O$2,FALSE)/装备属性计算表!O$10*VLOOKUP($F41&amp;$D41,$F$4:$S$29,P$34,FALSE),0)</f>
        <v>0</v>
      </c>
      <c r="Q41" s="28">
        <f>SUMPRODUCT(G41:P41,定义数据!$G$14:$P$14)</f>
        <v>2.02</v>
      </c>
      <c r="R41" s="28">
        <f t="shared" si="14"/>
        <v>101</v>
      </c>
      <c r="S41" s="91">
        <f t="shared" si="15"/>
        <v>101</v>
      </c>
      <c r="T41" s="28">
        <f t="shared" si="16"/>
        <v>1515</v>
      </c>
      <c r="U41" s="89">
        <f>VLOOKUP(F41,D_装备金币参考表!$A$2:$C$81,3,FALSE)*Q41</f>
        <v>626.20000000000005</v>
      </c>
      <c r="V41" s="25">
        <f>SUM(U36:U41)</f>
        <v>3459.6000000000004</v>
      </c>
      <c r="W41">
        <f t="shared" si="17"/>
        <v>5</v>
      </c>
      <c r="X41">
        <f t="shared" si="18"/>
        <v>5</v>
      </c>
      <c r="Y41">
        <f t="shared" si="19"/>
        <v>5</v>
      </c>
      <c r="Z41" s="25">
        <f t="shared" si="20"/>
        <v>8</v>
      </c>
      <c r="AA41" s="25">
        <f t="shared" si="21"/>
        <v>0</v>
      </c>
      <c r="AB41" s="25">
        <f t="shared" si="22"/>
        <v>0</v>
      </c>
      <c r="AC41" s="25">
        <f t="shared" si="23"/>
        <v>85</v>
      </c>
      <c r="AD41">
        <v>7</v>
      </c>
      <c r="AE41" s="5">
        <f t="shared" si="12"/>
        <v>12.549529737646981</v>
      </c>
      <c r="AF41" s="5">
        <f t="shared" si="11"/>
        <v>38.388371335645147</v>
      </c>
      <c r="AG41" s="5">
        <f t="shared" si="11"/>
        <v>39.911830627917936</v>
      </c>
      <c r="AH41" s="5">
        <f t="shared" si="11"/>
        <v>76.776742671290293</v>
      </c>
      <c r="AI41" s="5">
        <f t="shared" si="11"/>
        <v>79.823661255835873</v>
      </c>
      <c r="AJ41" s="5">
        <f t="shared" si="11"/>
        <v>119.73549188375381</v>
      </c>
      <c r="AK41" s="5">
        <f t="shared" si="11"/>
        <v>121.37761201952338</v>
      </c>
      <c r="AL41" s="5">
        <f t="shared" si="11"/>
        <v>159.64732251167175</v>
      </c>
      <c r="AM41" s="5">
        <f t="shared" si="11"/>
        <v>161.83681602603119</v>
      </c>
      <c r="AN41" s="5">
        <f t="shared" si="11"/>
        <v>162.7843387346098</v>
      </c>
      <c r="AO41" s="5">
        <f t="shared" si="11"/>
        <v>186.25520959695035</v>
      </c>
      <c r="AP41" s="5">
        <f t="shared" si="11"/>
        <v>188.8096186970364</v>
      </c>
      <c r="AQ41" s="5">
        <f t="shared" si="11"/>
        <v>189.91506185704478</v>
      </c>
      <c r="AR41" s="5">
        <f t="shared" si="11"/>
        <v>215.78242136804158</v>
      </c>
      <c r="AS41" s="5">
        <f t="shared" si="11"/>
        <v>217.04578497947975</v>
      </c>
    </row>
    <row r="42" spans="1:45" x14ac:dyDescent="0.15">
      <c r="A42" s="28" t="str">
        <f>F42&amp;D42&amp;VLOOKUP(E42,定义数据!$E$1:$F$7,2,FALSE)</f>
        <v>510</v>
      </c>
      <c r="B42" s="28" t="str">
        <f t="shared" si="13"/>
        <v>510</v>
      </c>
      <c r="C42" s="28">
        <f>装备属性计算表!AK38</f>
        <v>3</v>
      </c>
      <c r="D42" s="28">
        <f>装备属性计算表!B38</f>
        <v>1</v>
      </c>
      <c r="E42" s="28" t="str">
        <f>装备属性计算表!C38</f>
        <v>武器</v>
      </c>
      <c r="F42" s="28">
        <f>装备属性计算表!D38</f>
        <v>5</v>
      </c>
      <c r="G42" s="28">
        <f>ROUNDUP(VLOOKUP($E42,装备属性计算表!$D$4:$O$9,装备属性计算表!F$2,FALSE)/装备属性计算表!F$10*VLOOKUP($F42&amp;$D42,$F$4:$S$29,G$34,FALSE),0)</f>
        <v>0</v>
      </c>
      <c r="H42" s="28">
        <f>ROUNDUP(VLOOKUP($E42,装备属性计算表!$D$4:$O$9,装备属性计算表!G$2,FALSE)/装备属性计算表!G$10*VLOOKUP($F42&amp;$D42,$F$4:$S$29,H$34,FALSE),0)</f>
        <v>4</v>
      </c>
      <c r="I42" s="28">
        <f>ROUNDUP(VLOOKUP($E42,装备属性计算表!$D$4:$O$9,装备属性计算表!H$2,FALSE)/装备属性计算表!H$10*VLOOKUP($F42&amp;$D42,$F$4:$S$29,I$34,FALSE),0)</f>
        <v>0</v>
      </c>
      <c r="J42" s="28">
        <f>ROUNDUP(VLOOKUP($E42,装备属性计算表!$D$4:$O$9,装备属性计算表!I$2,FALSE)/装备属性计算表!I$10*VLOOKUP($F42&amp;$D42,$F$4:$S$29,J$34,FALSE),0)</f>
        <v>0</v>
      </c>
      <c r="K42" s="28">
        <f>ROUNDUP(VLOOKUP($E42,装备属性计算表!$D$4:$O$9,装备属性计算表!J$2,FALSE)/装备属性计算表!J$10*VLOOKUP($F42&amp;$D42,$F$4:$S$29,K$34,FALSE),0)</f>
        <v>0</v>
      </c>
      <c r="L42" s="28">
        <f>ROUNDUP(VLOOKUP($E42,装备属性计算表!$D$4:$O$9,装备属性计算表!K$2,FALSE)/装备属性计算表!K$10*VLOOKUP($F42&amp;$D42,$F$4:$S$29,L$34,FALSE),0)</f>
        <v>3</v>
      </c>
      <c r="M42" s="28">
        <f>ROUNDUP(VLOOKUP($E42,装备属性计算表!$D$4:$O$9,装备属性计算表!L$2,FALSE)/装备属性计算表!L$10*VLOOKUP($F42&amp;$D42,$F$4:$S$29,M$34,FALSE),0)</f>
        <v>0</v>
      </c>
      <c r="N42" s="28">
        <f>ROUNDUP(VLOOKUP($E42,装备属性计算表!$D$4:$O$9,装备属性计算表!M$2,FALSE)/装备属性计算表!M$10*VLOOKUP($F42&amp;$D42,$F$4:$S$29,N$34,FALSE),0)</f>
        <v>0</v>
      </c>
      <c r="O42" s="28">
        <f>ROUNDUP(VLOOKUP($E42,装备属性计算表!$D$4:$O$9,装备属性计算表!N$2,FALSE)/装备属性计算表!N$10*VLOOKUP($F42&amp;$D42,$F$4:$S$29,O$34,FALSE),0)</f>
        <v>0</v>
      </c>
      <c r="P42" s="28">
        <f>ROUNDUP(VLOOKUP($E42,装备属性计算表!$D$4:$O$9,装备属性计算表!O$2,FALSE)/装备属性计算表!O$10*VLOOKUP($F42&amp;$D42,$F$4:$S$29,P$34,FALSE),0)</f>
        <v>0</v>
      </c>
      <c r="Q42" s="28">
        <f>SUMPRODUCT(G42:P42,定义数据!$G$14:$P$14)</f>
        <v>4.54</v>
      </c>
      <c r="R42" s="28">
        <f t="shared" si="14"/>
        <v>227</v>
      </c>
      <c r="S42" s="91">
        <f t="shared" si="15"/>
        <v>227</v>
      </c>
      <c r="T42" s="28">
        <f t="shared" si="16"/>
        <v>3405</v>
      </c>
      <c r="U42" s="89">
        <f>VLOOKUP(F42,D_装备金币参考表!$A$2:$C$81,3,FALSE)*Q42</f>
        <v>1407.4</v>
      </c>
      <c r="W42">
        <f t="shared" si="17"/>
        <v>4</v>
      </c>
      <c r="X42">
        <f t="shared" si="18"/>
        <v>5</v>
      </c>
      <c r="Y42">
        <f t="shared" si="19"/>
        <v>5</v>
      </c>
      <c r="Z42" s="25">
        <f t="shared" si="20"/>
        <v>12</v>
      </c>
      <c r="AA42" s="25">
        <f>ROUNDUP(IF(X42&gt;$F42,(($F42*($F42+1)/2)-(W42+1)*W42/2)*$R42/X$31,((X42*(X42+1)/2)-(W42+1)*W42/2)*$R42/X$31),0)</f>
        <v>2</v>
      </c>
      <c r="AB42" s="25">
        <f t="shared" si="22"/>
        <v>0</v>
      </c>
      <c r="AC42" s="25">
        <f t="shared" si="23"/>
        <v>995</v>
      </c>
      <c r="AD42">
        <v>8</v>
      </c>
      <c r="AE42" s="5">
        <f t="shared" si="12"/>
        <v>14.928527864588917</v>
      </c>
      <c r="AF42" s="5">
        <f t="shared" si="11"/>
        <v>45.726623906108983</v>
      </c>
      <c r="AG42" s="5">
        <f t="shared" si="11"/>
        <v>47.668439780977728</v>
      </c>
      <c r="AH42" s="5">
        <f t="shared" si="11"/>
        <v>91.453247812217967</v>
      </c>
      <c r="AI42" s="5">
        <f t="shared" si="11"/>
        <v>95.336879561955456</v>
      </c>
      <c r="AJ42" s="5">
        <f t="shared" si="11"/>
        <v>143.00531934293318</v>
      </c>
      <c r="AK42" s="5">
        <f t="shared" si="11"/>
        <v>145.10214149911255</v>
      </c>
      <c r="AL42" s="5">
        <f t="shared" si="11"/>
        <v>190.67375912391091</v>
      </c>
      <c r="AM42" s="5">
        <f t="shared" si="11"/>
        <v>193.46952199881673</v>
      </c>
      <c r="AN42" s="5">
        <f t="shared" si="11"/>
        <v>194.6802201196856</v>
      </c>
      <c r="AO42" s="5">
        <f t="shared" si="11"/>
        <v>222.45271897789607</v>
      </c>
      <c r="AP42" s="5">
        <f t="shared" si="11"/>
        <v>225.71444233195285</v>
      </c>
      <c r="AQ42" s="5">
        <f t="shared" si="11"/>
        <v>227.12692347296652</v>
      </c>
      <c r="AR42" s="5">
        <f t="shared" si="11"/>
        <v>257.95936266508897</v>
      </c>
      <c r="AS42" s="5">
        <f t="shared" si="11"/>
        <v>259.57362682624745</v>
      </c>
    </row>
    <row r="43" spans="1:45" x14ac:dyDescent="0.15">
      <c r="A43" s="28" t="str">
        <f>F43&amp;D43&amp;VLOOKUP(E43,定义数据!$E$1:$F$7,2,FALSE)</f>
        <v>511</v>
      </c>
      <c r="B43" s="28" t="str">
        <f t="shared" si="13"/>
        <v>511</v>
      </c>
      <c r="C43" s="28">
        <f>装备属性计算表!AK39</f>
        <v>3</v>
      </c>
      <c r="D43" s="28">
        <f>装备属性计算表!B39</f>
        <v>1</v>
      </c>
      <c r="E43" s="28" t="str">
        <f>装备属性计算表!C39</f>
        <v>衣服</v>
      </c>
      <c r="F43" s="28">
        <f>装备属性计算表!D39</f>
        <v>5</v>
      </c>
      <c r="G43" s="28">
        <f>ROUNDUP(VLOOKUP($E43,装备属性计算表!$D$4:$O$9,装备属性计算表!F$2,FALSE)/装备属性计算表!F$10*VLOOKUP($F43&amp;$D43,$F$4:$S$29,G$34,FALSE),0)</f>
        <v>53</v>
      </c>
      <c r="H43" s="28">
        <f>ROUNDUP(VLOOKUP($E43,装备属性计算表!$D$4:$O$9,装备属性计算表!G$2,FALSE)/装备属性计算表!G$10*VLOOKUP($F43&amp;$D43,$F$4:$S$29,H$34,FALSE),0)</f>
        <v>0</v>
      </c>
      <c r="I43" s="28">
        <f>ROUNDUP(VLOOKUP($E43,装备属性计算表!$D$4:$O$9,装备属性计算表!H$2,FALSE)/装备属性计算表!H$10*VLOOKUP($F43&amp;$D43,$F$4:$S$29,I$34,FALSE),0)</f>
        <v>2</v>
      </c>
      <c r="J43" s="28">
        <f>ROUNDUP(VLOOKUP($E43,装备属性计算表!$D$4:$O$9,装备属性计算表!I$2,FALSE)/装备属性计算表!I$10*VLOOKUP($F43&amp;$D43,$F$4:$S$29,J$34,FALSE),0)</f>
        <v>0</v>
      </c>
      <c r="K43" s="28">
        <f>ROUNDUP(VLOOKUP($E43,装备属性计算表!$D$4:$O$9,装备属性计算表!J$2,FALSE)/装备属性计算表!J$10*VLOOKUP($F43&amp;$D43,$F$4:$S$29,K$34,FALSE),0)</f>
        <v>0</v>
      </c>
      <c r="L43" s="28">
        <f>ROUNDUP(VLOOKUP($E43,装备属性计算表!$D$4:$O$9,装备属性计算表!K$2,FALSE)/装备属性计算表!K$10*VLOOKUP($F43&amp;$D43,$F$4:$S$29,L$34,FALSE),0)</f>
        <v>0</v>
      </c>
      <c r="M43" s="28">
        <f>ROUNDUP(VLOOKUP($E43,装备属性计算表!$D$4:$O$9,装备属性计算表!L$2,FALSE)/装备属性计算表!L$10*VLOOKUP($F43&amp;$D43,$F$4:$S$29,M$34,FALSE),0)</f>
        <v>0</v>
      </c>
      <c r="N43" s="28">
        <f>ROUNDUP(VLOOKUP($E43,装备属性计算表!$D$4:$O$9,装备属性计算表!M$2,FALSE)/装备属性计算表!M$10*VLOOKUP($F43&amp;$D43,$F$4:$S$29,N$34,FALSE),0)</f>
        <v>0</v>
      </c>
      <c r="O43" s="28">
        <f>ROUNDUP(VLOOKUP($E43,装备属性计算表!$D$4:$O$9,装备属性计算表!N$2,FALSE)/装备属性计算表!N$10*VLOOKUP($F43&amp;$D43,$F$4:$S$29,O$34,FALSE),0)</f>
        <v>0</v>
      </c>
      <c r="P43" s="28">
        <f>ROUNDUP(VLOOKUP($E43,装备属性计算表!$D$4:$O$9,装备属性计算表!O$2,FALSE)/装备属性计算表!O$10*VLOOKUP($F43&amp;$D43,$F$4:$S$29,P$34,FALSE),0)</f>
        <v>0</v>
      </c>
      <c r="Q43" s="28">
        <f>SUMPRODUCT(G43:P43,定义数据!$G$14:$P$14)</f>
        <v>4.12</v>
      </c>
      <c r="R43" s="28">
        <f t="shared" si="14"/>
        <v>206</v>
      </c>
      <c r="S43" s="91">
        <f t="shared" si="15"/>
        <v>206</v>
      </c>
      <c r="T43" s="28">
        <f t="shared" si="16"/>
        <v>3090</v>
      </c>
      <c r="U43" s="89">
        <f>VLOOKUP(F43,D_装备金币参考表!$A$2:$C$81,3,FALSE)*Q43</f>
        <v>1277.2</v>
      </c>
      <c r="W43">
        <f t="shared" si="17"/>
        <v>4</v>
      </c>
      <c r="X43">
        <f t="shared" si="18"/>
        <v>5</v>
      </c>
      <c r="Y43">
        <f t="shared" si="19"/>
        <v>5</v>
      </c>
      <c r="Z43" s="25">
        <f t="shared" si="20"/>
        <v>11</v>
      </c>
      <c r="AA43" s="25">
        <f t="shared" si="21"/>
        <v>2</v>
      </c>
      <c r="AB43" s="25">
        <f t="shared" si="22"/>
        <v>0</v>
      </c>
      <c r="AC43" s="25">
        <f t="shared" si="23"/>
        <v>1110</v>
      </c>
      <c r="AD43">
        <v>9</v>
      </c>
      <c r="AE43" s="5">
        <f t="shared" si="12"/>
        <v>17.398638404385867</v>
      </c>
      <c r="AF43" s="5">
        <f t="shared" si="11"/>
        <v>53.355469041066264</v>
      </c>
      <c r="AG43" s="5">
        <f t="shared" si="11"/>
        <v>55.752428867724618</v>
      </c>
      <c r="AH43" s="5">
        <f t="shared" si="11"/>
        <v>106.71093808213253</v>
      </c>
      <c r="AI43" s="5">
        <f t="shared" si="11"/>
        <v>111.50485773544924</v>
      </c>
      <c r="AJ43" s="5">
        <f t="shared" si="11"/>
        <v>167.25728660317384</v>
      </c>
      <c r="AK43" s="5">
        <f t="shared" si="11"/>
        <v>169.84968452568461</v>
      </c>
      <c r="AL43" s="5">
        <f t="shared" si="11"/>
        <v>223.00971547089847</v>
      </c>
      <c r="AM43" s="5">
        <f t="shared" si="11"/>
        <v>226.46624603424613</v>
      </c>
      <c r="AN43" s="5">
        <f t="shared" si="11"/>
        <v>227.96396846520003</v>
      </c>
      <c r="AO43" s="5">
        <f t="shared" si="11"/>
        <v>260.17800138271491</v>
      </c>
      <c r="AP43" s="5">
        <f t="shared" si="11"/>
        <v>264.21062037328716</v>
      </c>
      <c r="AQ43" s="5">
        <f t="shared" si="11"/>
        <v>265.95796320940002</v>
      </c>
      <c r="AR43" s="5">
        <f t="shared" si="11"/>
        <v>301.95499471232819</v>
      </c>
      <c r="AS43" s="5">
        <f t="shared" si="11"/>
        <v>303.95195795360002</v>
      </c>
    </row>
    <row r="44" spans="1:45" x14ac:dyDescent="0.15">
      <c r="A44" s="28" t="str">
        <f>F44&amp;D44&amp;VLOOKUP(E44,定义数据!$E$1:$F$7,2,FALSE)</f>
        <v>512</v>
      </c>
      <c r="B44" s="28" t="str">
        <f t="shared" si="13"/>
        <v>512</v>
      </c>
      <c r="C44" s="28">
        <f>装备属性计算表!AK40</f>
        <v>3</v>
      </c>
      <c r="D44" s="28">
        <f>装备属性计算表!B40</f>
        <v>1</v>
      </c>
      <c r="E44" s="28" t="str">
        <f>装备属性计算表!C40</f>
        <v>裤子</v>
      </c>
      <c r="F44" s="28">
        <f>装备属性计算表!D40</f>
        <v>5</v>
      </c>
      <c r="G44" s="28">
        <f>ROUNDUP(VLOOKUP($E44,装备属性计算表!$D$4:$O$9,装备属性计算表!F$2,FALSE)/装备属性计算表!F$10*VLOOKUP($F44&amp;$D44,$F$4:$S$29,G$34,FALSE),0)</f>
        <v>0</v>
      </c>
      <c r="H44" s="28">
        <f>ROUNDUP(VLOOKUP($E44,装备属性计算表!$D$4:$O$9,装备属性计算表!G$2,FALSE)/装备属性计算表!G$10*VLOOKUP($F44&amp;$D44,$F$4:$S$29,H$34,FALSE),0)</f>
        <v>0</v>
      </c>
      <c r="I44" s="28">
        <f>ROUNDUP(VLOOKUP($E44,装备属性计算表!$D$4:$O$9,装备属性计算表!H$2,FALSE)/装备属性计算表!H$10*VLOOKUP($F44&amp;$D44,$F$4:$S$29,I$34,FALSE),0)</f>
        <v>1</v>
      </c>
      <c r="J44" s="28">
        <f>ROUNDUP(VLOOKUP($E44,装备属性计算表!$D$4:$O$9,装备属性计算表!I$2,FALSE)/装备属性计算表!I$10*VLOOKUP($F44&amp;$D44,$F$4:$S$29,J$34,FALSE),0)</f>
        <v>2</v>
      </c>
      <c r="K44" s="28">
        <f>ROUNDUP(VLOOKUP($E44,装备属性计算表!$D$4:$O$9,装备属性计算表!J$2,FALSE)/装备属性计算表!J$10*VLOOKUP($F44&amp;$D44,$F$4:$S$29,K$34,FALSE),0)</f>
        <v>0</v>
      </c>
      <c r="L44" s="28">
        <f>ROUNDUP(VLOOKUP($E44,装备属性计算表!$D$4:$O$9,装备属性计算表!K$2,FALSE)/装备属性计算表!K$10*VLOOKUP($F44&amp;$D44,$F$4:$S$29,L$34,FALSE),0)</f>
        <v>0</v>
      </c>
      <c r="M44" s="28">
        <f>ROUNDUP(VLOOKUP($E44,装备属性计算表!$D$4:$O$9,装备属性计算表!L$2,FALSE)/装备属性计算表!L$10*VLOOKUP($F44&amp;$D44,$F$4:$S$29,M$34,FALSE),0)</f>
        <v>0</v>
      </c>
      <c r="N44" s="28">
        <f>ROUNDUP(VLOOKUP($E44,装备属性计算表!$D$4:$O$9,装备属性计算表!M$2,FALSE)/装备属性计算表!M$10*VLOOKUP($F44&amp;$D44,$F$4:$S$29,N$34,FALSE),0)</f>
        <v>0</v>
      </c>
      <c r="O44" s="28">
        <f>ROUNDUP(VLOOKUP($E44,装备属性计算表!$D$4:$O$9,装备属性计算表!N$2,FALSE)/装备属性计算表!N$10*VLOOKUP($F44&amp;$D44,$F$4:$S$29,O$34,FALSE),0)</f>
        <v>0</v>
      </c>
      <c r="P44" s="28">
        <f>ROUNDUP(VLOOKUP($E44,装备属性计算表!$D$4:$O$9,装备属性计算表!O$2,FALSE)/装备属性计算表!O$10*VLOOKUP($F44&amp;$D44,$F$4:$S$29,P$34,FALSE),0)</f>
        <v>0</v>
      </c>
      <c r="Q44" s="28">
        <f>SUMPRODUCT(G44:P44,定义数据!$G$14:$P$14)</f>
        <v>1.6800000000000002</v>
      </c>
      <c r="R44" s="28">
        <f t="shared" si="14"/>
        <v>84</v>
      </c>
      <c r="S44" s="91">
        <f t="shared" si="15"/>
        <v>84</v>
      </c>
      <c r="T44" s="28">
        <f t="shared" si="16"/>
        <v>1260</v>
      </c>
      <c r="U44" s="89">
        <f>VLOOKUP(F44,D_装备金币参考表!$A$2:$C$81,3,FALSE)*Q44</f>
        <v>520.80000000000007</v>
      </c>
      <c r="W44">
        <f t="shared" si="17"/>
        <v>5</v>
      </c>
      <c r="X44">
        <f t="shared" si="18"/>
        <v>5</v>
      </c>
      <c r="Y44">
        <f t="shared" si="19"/>
        <v>5</v>
      </c>
      <c r="Z44" s="25">
        <f t="shared" si="20"/>
        <v>7</v>
      </c>
      <c r="AA44" s="25">
        <f t="shared" si="21"/>
        <v>0</v>
      </c>
      <c r="AB44" s="25">
        <f t="shared" si="22"/>
        <v>0</v>
      </c>
      <c r="AC44" s="25">
        <f t="shared" si="23"/>
        <v>140</v>
      </c>
      <c r="AD44">
        <v>10</v>
      </c>
      <c r="AE44" s="5">
        <f t="shared" si="12"/>
        <v>19.952623149688804</v>
      </c>
      <c r="AF44" s="5">
        <f t="shared" si="11"/>
        <v>61.252138340085899</v>
      </c>
      <c r="AG44" s="5">
        <f t="shared" si="11"/>
        <v>64.138862685067011</v>
      </c>
      <c r="AH44" s="5">
        <f t="shared" si="11"/>
        <v>122.5042766801718</v>
      </c>
      <c r="AI44" s="5">
        <f t="shared" si="11"/>
        <v>128.27772537013402</v>
      </c>
      <c r="AJ44" s="5">
        <f t="shared" si="11"/>
        <v>192.416588055201</v>
      </c>
      <c r="AK44" s="5">
        <f t="shared" si="11"/>
        <v>195.54310609773705</v>
      </c>
      <c r="AL44" s="5">
        <f t="shared" si="11"/>
        <v>256.55545074026804</v>
      </c>
      <c r="AM44" s="5">
        <f t="shared" si="11"/>
        <v>260.7241414636494</v>
      </c>
      <c r="AN44" s="5">
        <f t="shared" si="11"/>
        <v>262.53139487394645</v>
      </c>
      <c r="AO44" s="5">
        <f t="shared" si="11"/>
        <v>299.3146925303127</v>
      </c>
      <c r="AP44" s="5">
        <f t="shared" si="11"/>
        <v>304.17816504092434</v>
      </c>
      <c r="AQ44" s="5">
        <f t="shared" si="11"/>
        <v>306.28662735293756</v>
      </c>
      <c r="AR44" s="5">
        <f t="shared" si="11"/>
        <v>347.63218861819922</v>
      </c>
      <c r="AS44" s="5">
        <f t="shared" si="11"/>
        <v>350.0418598319286</v>
      </c>
    </row>
    <row r="45" spans="1:45" x14ac:dyDescent="0.15">
      <c r="A45" s="28" t="str">
        <f>F45&amp;D45&amp;VLOOKUP(E45,定义数据!$E$1:$F$7,2,FALSE)</f>
        <v>515</v>
      </c>
      <c r="B45" s="28" t="str">
        <f t="shared" si="13"/>
        <v>515</v>
      </c>
      <c r="C45" s="28">
        <f>装备属性计算表!AK41</f>
        <v>3</v>
      </c>
      <c r="D45" s="28">
        <f>装备属性计算表!B41</f>
        <v>1</v>
      </c>
      <c r="E45" s="28" t="str">
        <f>装备属性计算表!C41</f>
        <v>鞋子</v>
      </c>
      <c r="F45" s="28">
        <f>装备属性计算表!D41</f>
        <v>5</v>
      </c>
      <c r="G45" s="28">
        <f>ROUNDUP(VLOOKUP($E45,装备属性计算表!$D$4:$O$9,装备属性计算表!F$2,FALSE)/装备属性计算表!F$10*VLOOKUP($F45&amp;$D45,$F$4:$S$29,G$34,FALSE),0)</f>
        <v>18</v>
      </c>
      <c r="H45" s="28">
        <f>ROUNDUP(VLOOKUP($E45,装备属性计算表!$D$4:$O$9,装备属性计算表!G$2,FALSE)/装备属性计算表!G$10*VLOOKUP($F45&amp;$D45,$F$4:$S$29,H$34,FALSE),0)</f>
        <v>0</v>
      </c>
      <c r="I45" s="28">
        <f>ROUNDUP(VLOOKUP($E45,装备属性计算表!$D$4:$O$9,装备属性计算表!H$2,FALSE)/装备属性计算表!H$10*VLOOKUP($F45&amp;$D45,$F$4:$S$29,I$34,FALSE),0)</f>
        <v>0</v>
      </c>
      <c r="J45" s="28">
        <f>ROUNDUP(VLOOKUP($E45,装备属性计算表!$D$4:$O$9,装备属性计算表!I$2,FALSE)/装备属性计算表!I$10*VLOOKUP($F45&amp;$D45,$F$4:$S$29,J$34,FALSE),0)</f>
        <v>3</v>
      </c>
      <c r="K45" s="28">
        <f>ROUNDUP(VLOOKUP($E45,装备属性计算表!$D$4:$O$9,装备属性计算表!J$2,FALSE)/装备属性计算表!J$10*VLOOKUP($F45&amp;$D45,$F$4:$S$29,K$34,FALSE),0)</f>
        <v>0</v>
      </c>
      <c r="L45" s="28">
        <f>ROUNDUP(VLOOKUP($E45,装备属性计算表!$D$4:$O$9,装备属性计算表!K$2,FALSE)/装备属性计算表!K$10*VLOOKUP($F45&amp;$D45,$F$4:$S$29,L$34,FALSE),0)</f>
        <v>0</v>
      </c>
      <c r="M45" s="28">
        <f>ROUNDUP(VLOOKUP($E45,装备属性计算表!$D$4:$O$9,装备属性计算表!L$2,FALSE)/装备属性计算表!L$10*VLOOKUP($F45&amp;$D45,$F$4:$S$29,M$34,FALSE),0)</f>
        <v>0</v>
      </c>
      <c r="N45" s="28">
        <f>ROUNDUP(VLOOKUP($E45,装备属性计算表!$D$4:$O$9,装备属性计算表!M$2,FALSE)/装备属性计算表!M$10*VLOOKUP($F45&amp;$D45,$F$4:$S$29,N$34,FALSE),0)</f>
        <v>0</v>
      </c>
      <c r="O45" s="28">
        <f>ROUNDUP(VLOOKUP($E45,装备属性计算表!$D$4:$O$9,装备属性计算表!N$2,FALSE)/装备属性计算表!N$10*VLOOKUP($F45&amp;$D45,$F$4:$S$29,O$34,FALSE),0)</f>
        <v>0</v>
      </c>
      <c r="P45" s="28">
        <f>ROUNDUP(VLOOKUP($E45,装备属性计算表!$D$4:$O$9,装备属性计算表!O$2,FALSE)/装备属性计算表!O$10*VLOOKUP($F45&amp;$D45,$F$4:$S$29,P$34,FALSE),0)</f>
        <v>0</v>
      </c>
      <c r="Q45" s="28">
        <f>SUMPRODUCT(G45:P45,定义数据!$G$14:$P$14)</f>
        <v>1.74</v>
      </c>
      <c r="R45" s="28">
        <f t="shared" si="14"/>
        <v>87</v>
      </c>
      <c r="S45" s="91">
        <f t="shared" si="15"/>
        <v>87</v>
      </c>
      <c r="T45" s="28">
        <f t="shared" si="16"/>
        <v>1305</v>
      </c>
      <c r="U45" s="89">
        <f>VLOOKUP(F45,D_装备金币参考表!$A$2:$C$81,3,FALSE)*Q45</f>
        <v>539.4</v>
      </c>
      <c r="W45">
        <f t="shared" si="17"/>
        <v>5</v>
      </c>
      <c r="X45">
        <f t="shared" si="18"/>
        <v>5</v>
      </c>
      <c r="Y45">
        <f t="shared" si="19"/>
        <v>5</v>
      </c>
      <c r="Z45" s="25">
        <f t="shared" si="20"/>
        <v>7</v>
      </c>
      <c r="AA45" s="25">
        <f t="shared" si="21"/>
        <v>0</v>
      </c>
      <c r="AB45" s="25">
        <f t="shared" si="22"/>
        <v>0</v>
      </c>
      <c r="AC45" s="25">
        <f t="shared" si="23"/>
        <v>95</v>
      </c>
      <c r="AD45">
        <v>11</v>
      </c>
      <c r="AE45" s="5">
        <f t="shared" si="12"/>
        <v>22.584500550247295</v>
      </c>
      <c r="AF45" s="5">
        <f t="shared" si="11"/>
        <v>69.397795094399186</v>
      </c>
      <c r="AG45" s="5">
        <f t="shared" si="11"/>
        <v>72.807065312541255</v>
      </c>
      <c r="AH45" s="5">
        <f t="shared" si="11"/>
        <v>138.79559018879837</v>
      </c>
      <c r="AI45" s="5">
        <f t="shared" si="11"/>
        <v>145.61413062508251</v>
      </c>
      <c r="AJ45" s="5">
        <f t="shared" si="11"/>
        <v>218.42119593762376</v>
      </c>
      <c r="AK45" s="5">
        <f t="shared" si="11"/>
        <v>222.11839645359157</v>
      </c>
      <c r="AL45" s="5">
        <f t="shared" si="11"/>
        <v>291.22826125016502</v>
      </c>
      <c r="AM45" s="5">
        <f t="shared" si="11"/>
        <v>296.1578619381221</v>
      </c>
      <c r="AN45" s="5">
        <f t="shared" si="11"/>
        <v>298.29600991133134</v>
      </c>
      <c r="AO45" s="5">
        <f t="shared" si="11"/>
        <v>339.76630479185923</v>
      </c>
      <c r="AP45" s="5">
        <f t="shared" si="11"/>
        <v>345.51750559447578</v>
      </c>
      <c r="AQ45" s="5">
        <f t="shared" si="11"/>
        <v>348.01201156321986</v>
      </c>
      <c r="AR45" s="5">
        <f t="shared" si="11"/>
        <v>394.87714925082946</v>
      </c>
      <c r="AS45" s="5">
        <f t="shared" si="11"/>
        <v>397.72801321510843</v>
      </c>
    </row>
    <row r="46" spans="1:45" x14ac:dyDescent="0.15">
      <c r="A46" s="28" t="str">
        <f>F46&amp;D46&amp;VLOOKUP(E46,定义数据!$E$1:$F$7,2,FALSE)</f>
        <v>514</v>
      </c>
      <c r="B46" s="28" t="str">
        <f t="shared" si="13"/>
        <v>514</v>
      </c>
      <c r="C46" s="28">
        <f>装备属性计算表!AK42</f>
        <v>3</v>
      </c>
      <c r="D46" s="28">
        <f>装备属性计算表!B42</f>
        <v>1</v>
      </c>
      <c r="E46" s="28" t="str">
        <f>装备属性计算表!C42</f>
        <v>腰带</v>
      </c>
      <c r="F46" s="28">
        <f>装备属性计算表!D42</f>
        <v>5</v>
      </c>
      <c r="G46" s="28">
        <f>ROUNDUP(VLOOKUP($E46,装备属性计算表!$D$4:$O$9,装备属性计算表!F$2,FALSE)/装备属性计算表!F$10*VLOOKUP($F46&amp;$D46,$F$4:$S$29,G$34,FALSE),0)</f>
        <v>18</v>
      </c>
      <c r="H46" s="28">
        <f>ROUNDUP(VLOOKUP($E46,装备属性计算表!$D$4:$O$9,装备属性计算表!G$2,FALSE)/装备属性计算表!G$10*VLOOKUP($F46&amp;$D46,$F$4:$S$29,H$34,FALSE),0)</f>
        <v>0</v>
      </c>
      <c r="I46" s="28">
        <f>ROUNDUP(VLOOKUP($E46,装备属性计算表!$D$4:$O$9,装备属性计算表!H$2,FALSE)/装备属性计算表!H$10*VLOOKUP($F46&amp;$D46,$F$4:$S$29,I$34,FALSE),0)</f>
        <v>0</v>
      </c>
      <c r="J46" s="28">
        <f>ROUNDUP(VLOOKUP($E46,装备属性计算表!$D$4:$O$9,装备属性计算表!I$2,FALSE)/装备属性计算表!I$10*VLOOKUP($F46&amp;$D46,$F$4:$S$29,J$34,FALSE),0)</f>
        <v>0</v>
      </c>
      <c r="K46" s="28">
        <f>ROUNDUP(VLOOKUP($E46,装备属性计算表!$D$4:$O$9,装备属性计算表!J$2,FALSE)/装备属性计算表!J$10*VLOOKUP($F46&amp;$D46,$F$4:$S$29,K$34,FALSE),0)</f>
        <v>0</v>
      </c>
      <c r="L46" s="28">
        <f>ROUNDUP(VLOOKUP($E46,装备属性计算表!$D$4:$O$9,装备属性计算表!K$2,FALSE)/装备属性计算表!K$10*VLOOKUP($F46&amp;$D46,$F$4:$S$29,L$34,FALSE),0)</f>
        <v>0</v>
      </c>
      <c r="M46" s="28">
        <f>ROUNDUP(VLOOKUP($E46,装备属性计算表!$D$4:$O$9,装备属性计算表!L$2,FALSE)/装备属性计算表!L$10*VLOOKUP($F46&amp;$D46,$F$4:$S$29,M$34,FALSE),0)</f>
        <v>0</v>
      </c>
      <c r="N46" s="28">
        <f>ROUNDUP(VLOOKUP($E46,装备属性计算表!$D$4:$O$9,装备属性计算表!M$2,FALSE)/装备属性计算表!M$10*VLOOKUP($F46&amp;$D46,$F$4:$S$29,N$34,FALSE),0)</f>
        <v>3</v>
      </c>
      <c r="O46" s="28">
        <f>ROUNDUP(VLOOKUP($E46,装备属性计算表!$D$4:$O$9,装备属性计算表!N$2,FALSE)/装备属性计算表!N$10*VLOOKUP($F46&amp;$D46,$F$4:$S$29,O$34,FALSE),0)</f>
        <v>0</v>
      </c>
      <c r="P46" s="28">
        <f>ROUNDUP(VLOOKUP($E46,装备属性计算表!$D$4:$O$9,装备属性计算表!O$2,FALSE)/装备属性计算表!O$10*VLOOKUP($F46&amp;$D46,$F$4:$S$29,P$34,FALSE),0)</f>
        <v>0</v>
      </c>
      <c r="Q46" s="28">
        <f>SUMPRODUCT(G46:P46,定义数据!$G$14:$P$14)</f>
        <v>1.26</v>
      </c>
      <c r="R46" s="28">
        <f t="shared" si="14"/>
        <v>63</v>
      </c>
      <c r="S46" s="91">
        <f t="shared" si="15"/>
        <v>63</v>
      </c>
      <c r="T46" s="28">
        <f t="shared" si="16"/>
        <v>945</v>
      </c>
      <c r="U46" s="89">
        <f>VLOOKUP(F46,D_装备金币参考表!$A$2:$C$81,3,FALSE)*Q46</f>
        <v>390.6</v>
      </c>
      <c r="W46">
        <f t="shared" si="17"/>
        <v>5</v>
      </c>
      <c r="X46">
        <f t="shared" si="18"/>
        <v>5</v>
      </c>
      <c r="Y46">
        <f t="shared" si="19"/>
        <v>5</v>
      </c>
      <c r="Z46" s="25">
        <f t="shared" si="20"/>
        <v>5</v>
      </c>
      <c r="AA46" s="25">
        <f t="shared" si="21"/>
        <v>0</v>
      </c>
      <c r="AB46" s="25">
        <f t="shared" si="22"/>
        <v>0</v>
      </c>
      <c r="AC46" s="25">
        <f t="shared" si="23"/>
        <v>55</v>
      </c>
      <c r="AD46">
        <v>12</v>
      </c>
      <c r="AE46" s="5">
        <f t="shared" si="12"/>
        <v>25.289230792133658</v>
      </c>
      <c r="AF46" s="5">
        <f t="shared" si="11"/>
        <v>77.776552179461248</v>
      </c>
      <c r="AG46" s="5">
        <f t="shared" si="11"/>
        <v>81.739563080434294</v>
      </c>
      <c r="AH46" s="5">
        <f t="shared" si="11"/>
        <v>155.5531043589225</v>
      </c>
      <c r="AI46" s="5">
        <f t="shared" si="11"/>
        <v>163.47912616086859</v>
      </c>
      <c r="AJ46" s="5">
        <f t="shared" si="11"/>
        <v>245.21868924130285</v>
      </c>
      <c r="AK46" s="5">
        <f t="shared" si="11"/>
        <v>249.52142122086889</v>
      </c>
      <c r="AL46" s="5">
        <f t="shared" si="11"/>
        <v>326.95825232173718</v>
      </c>
      <c r="AM46" s="5">
        <f t="shared" si="11"/>
        <v>332.69522829449187</v>
      </c>
      <c r="AN46" s="5">
        <f t="shared" si="11"/>
        <v>335.18464547522029</v>
      </c>
      <c r="AO46" s="5">
        <f t="shared" si="11"/>
        <v>381.45129437536002</v>
      </c>
      <c r="AP46" s="5">
        <f t="shared" si="11"/>
        <v>388.1444330102405</v>
      </c>
      <c r="AQ46" s="5">
        <f t="shared" si="11"/>
        <v>391.04875305442368</v>
      </c>
      <c r="AR46" s="5">
        <f t="shared" si="11"/>
        <v>443.59363772598914</v>
      </c>
      <c r="AS46" s="5">
        <f t="shared" si="11"/>
        <v>446.91286063362708</v>
      </c>
    </row>
    <row r="47" spans="1:45" x14ac:dyDescent="0.15">
      <c r="A47" s="28" t="str">
        <f>F47&amp;D47&amp;VLOOKUP(E47,定义数据!$E$1:$F$7,2,FALSE)</f>
        <v>513</v>
      </c>
      <c r="B47" s="28" t="str">
        <f t="shared" si="13"/>
        <v>513</v>
      </c>
      <c r="C47" s="28">
        <f>装备属性计算表!AK43</f>
        <v>3</v>
      </c>
      <c r="D47" s="28">
        <f>装备属性计算表!B43</f>
        <v>1</v>
      </c>
      <c r="E47" s="28" t="str">
        <f>装备属性计算表!C43</f>
        <v>项链</v>
      </c>
      <c r="F47" s="28">
        <f>装备属性计算表!D43</f>
        <v>5</v>
      </c>
      <c r="G47" s="28">
        <f>ROUNDUP(VLOOKUP($E47,装备属性计算表!$D$4:$O$9,装备属性计算表!F$2,FALSE)/装备属性计算表!F$10*VLOOKUP($F47&amp;$D47,$F$4:$S$29,G$34,FALSE),0)</f>
        <v>0</v>
      </c>
      <c r="H47" s="28">
        <f>ROUNDUP(VLOOKUP($E47,装备属性计算表!$D$4:$O$9,装备属性计算表!G$2,FALSE)/装备属性计算表!G$10*VLOOKUP($F47&amp;$D47,$F$4:$S$29,H$34,FALSE),0)</f>
        <v>2</v>
      </c>
      <c r="I47" s="28">
        <f>ROUNDUP(VLOOKUP($E47,装备属性计算表!$D$4:$O$9,装备属性计算表!H$2,FALSE)/装备属性计算表!H$10*VLOOKUP($F47&amp;$D47,$F$4:$S$29,I$34,FALSE),0)</f>
        <v>0</v>
      </c>
      <c r="J47" s="28">
        <f>ROUNDUP(VLOOKUP($E47,装备属性计算表!$D$4:$O$9,装备属性计算表!I$2,FALSE)/装备属性计算表!I$10*VLOOKUP($F47&amp;$D47,$F$4:$S$29,J$34,FALSE),0)</f>
        <v>0</v>
      </c>
      <c r="K47" s="28">
        <f>ROUNDUP(VLOOKUP($E47,装备属性计算表!$D$4:$O$9,装备属性计算表!J$2,FALSE)/装备属性计算表!J$10*VLOOKUP($F47&amp;$D47,$F$4:$S$29,K$34,FALSE),0)</f>
        <v>4</v>
      </c>
      <c r="L47" s="28">
        <f>ROUNDUP(VLOOKUP($E47,装备属性计算表!$D$4:$O$9,装备属性计算表!K$2,FALSE)/装备属性计算表!K$10*VLOOKUP($F47&amp;$D47,$F$4:$S$29,L$34,FALSE),0)</f>
        <v>0</v>
      </c>
      <c r="M47" s="28">
        <f>ROUNDUP(VLOOKUP($E47,装备属性计算表!$D$4:$O$9,装备属性计算表!L$2,FALSE)/装备属性计算表!L$10*VLOOKUP($F47&amp;$D47,$F$4:$S$29,M$34,FALSE),0)</f>
        <v>0</v>
      </c>
      <c r="N47" s="28">
        <f>ROUNDUP(VLOOKUP($E47,装备属性计算表!$D$4:$O$9,装备属性计算表!M$2,FALSE)/装备属性计算表!M$10*VLOOKUP($F47&amp;$D47,$F$4:$S$29,N$34,FALSE),0)</f>
        <v>0</v>
      </c>
      <c r="O47" s="28">
        <f>ROUNDUP(VLOOKUP($E47,装备属性计算表!$D$4:$O$9,装备属性计算表!N$2,FALSE)/装备属性计算表!N$10*VLOOKUP($F47&amp;$D47,$F$4:$S$29,O$34,FALSE),0)</f>
        <v>0</v>
      </c>
      <c r="P47" s="28">
        <f>ROUNDUP(VLOOKUP($E47,装备属性计算表!$D$4:$O$9,装备属性计算表!O$2,FALSE)/装备属性计算表!O$10*VLOOKUP($F47&amp;$D47,$F$4:$S$29,P$34,FALSE),0)</f>
        <v>0</v>
      </c>
      <c r="Q47" s="28">
        <f>SUMPRODUCT(G47:P47,定义数据!$G$14:$P$14)</f>
        <v>3.3600000000000003</v>
      </c>
      <c r="R47" s="28">
        <f t="shared" si="14"/>
        <v>168</v>
      </c>
      <c r="S47" s="91">
        <f t="shared" si="15"/>
        <v>168</v>
      </c>
      <c r="T47" s="28">
        <f t="shared" si="16"/>
        <v>2520</v>
      </c>
      <c r="U47" s="89">
        <f>VLOOKUP(F47,D_装备金币参考表!$A$2:$C$81,3,FALSE)*Q47</f>
        <v>1041.6000000000001</v>
      </c>
      <c r="V47" s="25">
        <f>SUM(U42:U47)</f>
        <v>5177.0000000000009</v>
      </c>
      <c r="W47">
        <f t="shared" si="17"/>
        <v>5</v>
      </c>
      <c r="X47">
        <f t="shared" si="18"/>
        <v>5</v>
      </c>
      <c r="Y47">
        <f t="shared" si="19"/>
        <v>5</v>
      </c>
      <c r="Z47" s="25">
        <f t="shared" si="20"/>
        <v>13</v>
      </c>
      <c r="AA47" s="25">
        <f t="shared" si="21"/>
        <v>0</v>
      </c>
      <c r="AB47" s="25">
        <f t="shared" si="22"/>
        <v>0</v>
      </c>
      <c r="AC47" s="25">
        <f t="shared" si="23"/>
        <v>80</v>
      </c>
      <c r="AD47">
        <v>13</v>
      </c>
      <c r="AE47" s="5">
        <f t="shared" si="12"/>
        <v>28.062499977480542</v>
      </c>
      <c r="AF47" s="5">
        <f t="shared" si="11"/>
        <v>86.374798302076542</v>
      </c>
      <c r="AG47" s="5">
        <f t="shared" si="11"/>
        <v>90.921357910124243</v>
      </c>
      <c r="AH47" s="5">
        <f t="shared" si="11"/>
        <v>172.74959660415308</v>
      </c>
      <c r="AI47" s="5">
        <f t="shared" si="11"/>
        <v>181.84271582024849</v>
      </c>
      <c r="AJ47" s="5">
        <f t="shared" si="11"/>
        <v>272.76407373037273</v>
      </c>
      <c r="AK47" s="5">
        <f t="shared" si="11"/>
        <v>277.70568567399118</v>
      </c>
      <c r="AL47" s="5">
        <f t="shared" si="11"/>
        <v>363.68543164049697</v>
      </c>
      <c r="AM47" s="5">
        <f t="shared" si="11"/>
        <v>370.27424756532162</v>
      </c>
      <c r="AN47" s="5">
        <f t="shared" si="11"/>
        <v>373.13444191310975</v>
      </c>
      <c r="AO47" s="5">
        <f t="shared" si="11"/>
        <v>424.29967024724647</v>
      </c>
      <c r="AP47" s="5">
        <f t="shared" si="11"/>
        <v>431.98662215954187</v>
      </c>
      <c r="AQ47" s="5">
        <f t="shared" si="11"/>
        <v>435.32351556529471</v>
      </c>
      <c r="AR47" s="5">
        <f t="shared" si="11"/>
        <v>493.69899675376212</v>
      </c>
      <c r="AS47" s="5">
        <f t="shared" si="11"/>
        <v>497.51258921747967</v>
      </c>
    </row>
    <row r="48" spans="1:45" x14ac:dyDescent="0.15">
      <c r="A48" s="28" t="str">
        <f>F48&amp;D48&amp;VLOOKUP(E48,定义数据!$E$1:$F$7,2,FALSE)</f>
        <v>1510</v>
      </c>
      <c r="B48" s="28" t="str">
        <f t="shared" si="13"/>
        <v>1510</v>
      </c>
      <c r="C48" s="28">
        <f>装备属性计算表!AK44</f>
        <v>4</v>
      </c>
      <c r="D48" s="28">
        <f>装备属性计算表!B44</f>
        <v>1</v>
      </c>
      <c r="E48" s="28" t="str">
        <f>装备属性计算表!C44</f>
        <v>武器</v>
      </c>
      <c r="F48" s="28">
        <f>装备属性计算表!D44</f>
        <v>15</v>
      </c>
      <c r="G48" s="28">
        <f>ROUNDUP(VLOOKUP($E48,装备属性计算表!$D$4:$O$9,装备属性计算表!F$2,FALSE)/装备属性计算表!F$10*VLOOKUP($F48&amp;$D48,$F$4:$S$29,G$34,FALSE),0)</f>
        <v>0</v>
      </c>
      <c r="H48" s="28">
        <f>ROUNDUP(VLOOKUP($E48,装备属性计算表!$D$4:$O$9,装备属性计算表!G$2,FALSE)/装备属性计算表!G$10*VLOOKUP($F48&amp;$D48,$F$4:$S$29,H$34,FALSE),0)</f>
        <v>7</v>
      </c>
      <c r="I48" s="28">
        <f>ROUNDUP(VLOOKUP($E48,装备属性计算表!$D$4:$O$9,装备属性计算表!H$2,FALSE)/装备属性计算表!H$10*VLOOKUP($F48&amp;$D48,$F$4:$S$29,I$34,FALSE),0)</f>
        <v>0</v>
      </c>
      <c r="J48" s="28">
        <f>ROUNDUP(VLOOKUP($E48,装备属性计算表!$D$4:$O$9,装备属性计算表!I$2,FALSE)/装备属性计算表!I$10*VLOOKUP($F48&amp;$D48,$F$4:$S$29,J$34,FALSE),0)</f>
        <v>0</v>
      </c>
      <c r="K48" s="28">
        <f>ROUNDUP(VLOOKUP($E48,装备属性计算表!$D$4:$O$9,装备属性计算表!J$2,FALSE)/装备属性计算表!J$10*VLOOKUP($F48&amp;$D48,$F$4:$S$29,K$34,FALSE),0)</f>
        <v>0</v>
      </c>
      <c r="L48" s="28">
        <f>ROUNDUP(VLOOKUP($E48,装备属性计算表!$D$4:$O$9,装备属性计算表!K$2,FALSE)/装备属性计算表!K$10*VLOOKUP($F48&amp;$D48,$F$4:$S$29,L$34,FALSE),0)</f>
        <v>5</v>
      </c>
      <c r="M48" s="28">
        <f>ROUNDUP(VLOOKUP($E48,装备属性计算表!$D$4:$O$9,装备属性计算表!L$2,FALSE)/装备属性计算表!L$10*VLOOKUP($F48&amp;$D48,$F$4:$S$29,M$34,FALSE),0)</f>
        <v>0</v>
      </c>
      <c r="N48" s="28">
        <f>ROUNDUP(VLOOKUP($E48,装备属性计算表!$D$4:$O$9,装备属性计算表!M$2,FALSE)/装备属性计算表!M$10*VLOOKUP($F48&amp;$D48,$F$4:$S$29,N$34,FALSE),0)</f>
        <v>0</v>
      </c>
      <c r="O48" s="28">
        <f>ROUNDUP(VLOOKUP($E48,装备属性计算表!$D$4:$O$9,装备属性计算表!N$2,FALSE)/装备属性计算表!N$10*VLOOKUP($F48&amp;$D48,$F$4:$S$29,O$34,FALSE),0)</f>
        <v>0</v>
      </c>
      <c r="P48" s="28">
        <f>ROUNDUP(VLOOKUP($E48,装备属性计算表!$D$4:$O$9,装备属性计算表!O$2,FALSE)/装备属性计算表!O$10*VLOOKUP($F48&amp;$D48,$F$4:$S$29,P$34,FALSE),0)</f>
        <v>0</v>
      </c>
      <c r="Q48" s="28">
        <f>SUMPRODUCT(G48:P48,定义数据!$G$14:$P$14)</f>
        <v>7.9</v>
      </c>
      <c r="R48" s="28">
        <f t="shared" si="14"/>
        <v>395</v>
      </c>
      <c r="S48" s="91">
        <f t="shared" si="15"/>
        <v>395</v>
      </c>
      <c r="T48" s="28">
        <f t="shared" si="16"/>
        <v>47400</v>
      </c>
      <c r="U48" s="89">
        <f>VLOOKUP(F48,D_装备金币参考表!$A$2:$C$81,3,FALSE)*Q48-VLOOKUP(F42,D_装备金币参考表!$A$2:$C$81,3,FALSE)*Q48+U42</f>
        <v>9860.4</v>
      </c>
      <c r="W48">
        <f t="shared" si="17"/>
        <v>2</v>
      </c>
      <c r="X48">
        <f t="shared" si="18"/>
        <v>12</v>
      </c>
      <c r="Y48">
        <f t="shared" si="19"/>
        <v>15</v>
      </c>
      <c r="Z48" s="25">
        <f t="shared" si="20"/>
        <v>6</v>
      </c>
      <c r="AA48" s="25">
        <f t="shared" si="21"/>
        <v>30</v>
      </c>
      <c r="AB48" s="25">
        <f t="shared" si="22"/>
        <v>4</v>
      </c>
      <c r="AC48" s="25">
        <f t="shared" si="23"/>
        <v>3800</v>
      </c>
      <c r="AD48">
        <v>14</v>
      </c>
      <c r="AE48" s="5">
        <f t="shared" si="12"/>
        <v>30.900566853219935</v>
      </c>
      <c r="AF48" s="5">
        <f t="shared" si="11"/>
        <v>95.180719065832733</v>
      </c>
      <c r="AG48" s="5">
        <f t="shared" si="11"/>
        <v>100.33940980188552</v>
      </c>
      <c r="AH48" s="5">
        <f t="shared" si="11"/>
        <v>190.36143813166547</v>
      </c>
      <c r="AI48" s="5">
        <f t="shared" si="11"/>
        <v>200.67881960377105</v>
      </c>
      <c r="AJ48" s="5">
        <f t="shared" si="11"/>
        <v>301.0182294056566</v>
      </c>
      <c r="AK48" s="5">
        <f t="shared" si="11"/>
        <v>306.6307414392046</v>
      </c>
      <c r="AL48" s="5">
        <f t="shared" si="11"/>
        <v>401.35763920754209</v>
      </c>
      <c r="AM48" s="5">
        <f t="shared" si="11"/>
        <v>408.84098858560617</v>
      </c>
      <c r="AN48" s="5">
        <f t="shared" si="11"/>
        <v>412.09070029684796</v>
      </c>
      <c r="AO48" s="5">
        <f t="shared" si="11"/>
        <v>468.25057907546579</v>
      </c>
      <c r="AP48" s="5">
        <f t="shared" si="11"/>
        <v>476.98115334987386</v>
      </c>
      <c r="AQ48" s="5">
        <f t="shared" si="11"/>
        <v>480.77248367965592</v>
      </c>
      <c r="AR48" s="5">
        <f t="shared" si="11"/>
        <v>545.12131811414156</v>
      </c>
      <c r="AS48" s="5">
        <f t="shared" si="11"/>
        <v>549.45426706246394</v>
      </c>
    </row>
    <row r="49" spans="1:45" x14ac:dyDescent="0.15">
      <c r="A49" s="28" t="str">
        <f>F49&amp;D49&amp;VLOOKUP(E49,定义数据!$E$1:$F$7,2,FALSE)</f>
        <v>1511</v>
      </c>
      <c r="B49" s="28" t="str">
        <f t="shared" si="13"/>
        <v>1511</v>
      </c>
      <c r="C49" s="28">
        <f>装备属性计算表!AK45</f>
        <v>4</v>
      </c>
      <c r="D49" s="28">
        <f>装备属性计算表!B45</f>
        <v>1</v>
      </c>
      <c r="E49" s="28" t="str">
        <f>装备属性计算表!C45</f>
        <v>衣服</v>
      </c>
      <c r="F49" s="28">
        <f>装备属性计算表!D45</f>
        <v>15</v>
      </c>
      <c r="G49" s="28">
        <f>ROUNDUP(VLOOKUP($E49,装备属性计算表!$D$4:$O$9,装备属性计算表!F$2,FALSE)/装备属性计算表!F$10*VLOOKUP($F49&amp;$D49,$F$4:$S$29,G$34,FALSE),0)</f>
        <v>106</v>
      </c>
      <c r="H49" s="28">
        <f>ROUNDUP(VLOOKUP($E49,装备属性计算表!$D$4:$O$9,装备属性计算表!G$2,FALSE)/装备属性计算表!G$10*VLOOKUP($F49&amp;$D49,$F$4:$S$29,H$34,FALSE),0)</f>
        <v>0</v>
      </c>
      <c r="I49" s="28">
        <f>ROUNDUP(VLOOKUP($E49,装备属性计算表!$D$4:$O$9,装备属性计算表!H$2,FALSE)/装备属性计算表!H$10*VLOOKUP($F49&amp;$D49,$F$4:$S$29,I$34,FALSE),0)</f>
        <v>3</v>
      </c>
      <c r="J49" s="28">
        <f>ROUNDUP(VLOOKUP($E49,装备属性计算表!$D$4:$O$9,装备属性计算表!I$2,FALSE)/装备属性计算表!I$10*VLOOKUP($F49&amp;$D49,$F$4:$S$29,J$34,FALSE),0)</f>
        <v>0</v>
      </c>
      <c r="K49" s="28">
        <f>ROUNDUP(VLOOKUP($E49,装备属性计算表!$D$4:$O$9,装备属性计算表!J$2,FALSE)/装备属性计算表!J$10*VLOOKUP($F49&amp;$D49,$F$4:$S$29,K$34,FALSE),0)</f>
        <v>0</v>
      </c>
      <c r="L49" s="28">
        <f>ROUNDUP(VLOOKUP($E49,装备属性计算表!$D$4:$O$9,装备属性计算表!K$2,FALSE)/装备属性计算表!K$10*VLOOKUP($F49&amp;$D49,$F$4:$S$29,L$34,FALSE),0)</f>
        <v>0</v>
      </c>
      <c r="M49" s="28">
        <f>ROUNDUP(VLOOKUP($E49,装备属性计算表!$D$4:$O$9,装备属性计算表!L$2,FALSE)/装备属性计算表!L$10*VLOOKUP($F49&amp;$D49,$F$4:$S$29,M$34,FALSE),0)</f>
        <v>0</v>
      </c>
      <c r="N49" s="28">
        <f>ROUNDUP(VLOOKUP($E49,装备属性计算表!$D$4:$O$9,装备属性计算表!M$2,FALSE)/装备属性计算表!M$10*VLOOKUP($F49&amp;$D49,$F$4:$S$29,N$34,FALSE),0)</f>
        <v>0</v>
      </c>
      <c r="O49" s="28">
        <f>ROUNDUP(VLOOKUP($E49,装备属性计算表!$D$4:$O$9,装备属性计算表!N$2,FALSE)/装备属性计算表!N$10*VLOOKUP($F49&amp;$D49,$F$4:$S$29,O$34,FALSE),0)</f>
        <v>0</v>
      </c>
      <c r="P49" s="28">
        <f>ROUNDUP(VLOOKUP($E49,装备属性计算表!$D$4:$O$9,装备属性计算表!O$2,FALSE)/装备属性计算表!O$10*VLOOKUP($F49&amp;$D49,$F$4:$S$29,P$34,FALSE),0)</f>
        <v>0</v>
      </c>
      <c r="Q49" s="28">
        <f>SUMPRODUCT(G49:P49,定义数据!$G$14:$P$14)</f>
        <v>7.24</v>
      </c>
      <c r="R49" s="28">
        <f t="shared" si="14"/>
        <v>362</v>
      </c>
      <c r="S49" s="91">
        <f t="shared" si="15"/>
        <v>362</v>
      </c>
      <c r="T49" s="28">
        <f t="shared" si="16"/>
        <v>43440</v>
      </c>
      <c r="U49" s="89">
        <f>VLOOKUP(F49,D_装备金币参考表!$A$2:$C$81,3,FALSE)*Q49-VLOOKUP(F43,D_装备金币参考表!$A$2:$C$81,3,FALSE)*Q49+U43</f>
        <v>9024.0000000000018</v>
      </c>
      <c r="W49">
        <f t="shared" si="17"/>
        <v>2</v>
      </c>
      <c r="X49">
        <f t="shared" si="18"/>
        <v>13</v>
      </c>
      <c r="Y49">
        <f t="shared" si="19"/>
        <v>15</v>
      </c>
      <c r="Z49" s="25">
        <f t="shared" si="20"/>
        <v>6</v>
      </c>
      <c r="AA49" s="25">
        <f t="shared" si="21"/>
        <v>32</v>
      </c>
      <c r="AB49" s="25">
        <f t="shared" si="22"/>
        <v>3</v>
      </c>
      <c r="AC49" s="25">
        <f t="shared" si="23"/>
        <v>4760</v>
      </c>
      <c r="AD49">
        <v>15</v>
      </c>
      <c r="AE49" s="5">
        <f t="shared" si="12"/>
        <v>33.800150712639834</v>
      </c>
      <c r="AF49" s="5">
        <f t="shared" si="11"/>
        <v>104.18394639178264</v>
      </c>
      <c r="AG49" s="5">
        <f t="shared" si="11"/>
        <v>109.98225736864703</v>
      </c>
      <c r="AH49" s="5">
        <f t="shared" si="11"/>
        <v>208.36789278356528</v>
      </c>
      <c r="AI49" s="5">
        <f t="shared" si="11"/>
        <v>219.96451473729405</v>
      </c>
      <c r="AJ49" s="5">
        <f t="shared" si="11"/>
        <v>329.94677210594108</v>
      </c>
      <c r="AK49" s="5">
        <f t="shared" si="11"/>
        <v>336.26101751054381</v>
      </c>
      <c r="AL49" s="5">
        <f t="shared" si="11"/>
        <v>439.92902947458811</v>
      </c>
      <c r="AM49" s="5">
        <f t="shared" si="11"/>
        <v>448.34802334739175</v>
      </c>
      <c r="AN49" s="5">
        <f t="shared" si="11"/>
        <v>452.00530625474045</v>
      </c>
      <c r="AO49" s="5">
        <f t="shared" si="11"/>
        <v>513.25053438701946</v>
      </c>
      <c r="AP49" s="5">
        <f t="shared" si="11"/>
        <v>523.07269390529029</v>
      </c>
      <c r="AQ49" s="5">
        <f t="shared" si="11"/>
        <v>527.33952396386383</v>
      </c>
      <c r="AR49" s="5">
        <f t="shared" si="11"/>
        <v>597.79736446318896</v>
      </c>
      <c r="AS49" s="5">
        <f t="shared" si="11"/>
        <v>602.67374167298726</v>
      </c>
    </row>
    <row r="50" spans="1:45" x14ac:dyDescent="0.15">
      <c r="A50" s="28" t="str">
        <f>F50&amp;D50&amp;VLOOKUP(E50,定义数据!$E$1:$F$7,2,FALSE)</f>
        <v>1512</v>
      </c>
      <c r="B50" s="28" t="str">
        <f t="shared" si="13"/>
        <v>1512</v>
      </c>
      <c r="C50" s="28">
        <f>装备属性计算表!AK46</f>
        <v>4</v>
      </c>
      <c r="D50" s="28">
        <f>装备属性计算表!B46</f>
        <v>1</v>
      </c>
      <c r="E50" s="28" t="str">
        <f>装备属性计算表!C46</f>
        <v>裤子</v>
      </c>
      <c r="F50" s="28">
        <f>装备属性计算表!D46</f>
        <v>15</v>
      </c>
      <c r="G50" s="28">
        <f>ROUNDUP(VLOOKUP($E50,装备属性计算表!$D$4:$O$9,装备属性计算表!F$2,FALSE)/装备属性计算表!F$10*VLOOKUP($F50&amp;$D50,$F$4:$S$29,G$34,FALSE),0)</f>
        <v>0</v>
      </c>
      <c r="H50" s="28">
        <f>ROUNDUP(VLOOKUP($E50,装备属性计算表!$D$4:$O$9,装备属性计算表!G$2,FALSE)/装备属性计算表!G$10*VLOOKUP($F50&amp;$D50,$F$4:$S$29,H$34,FALSE),0)</f>
        <v>0</v>
      </c>
      <c r="I50" s="28">
        <f>ROUNDUP(VLOOKUP($E50,装备属性计算表!$D$4:$O$9,装备属性计算表!H$2,FALSE)/装备属性计算表!H$10*VLOOKUP($F50&amp;$D50,$F$4:$S$29,I$34,FALSE),0)</f>
        <v>2</v>
      </c>
      <c r="J50" s="28">
        <f>ROUNDUP(VLOOKUP($E50,装备属性计算表!$D$4:$O$9,装备属性计算表!I$2,FALSE)/装备属性计算表!I$10*VLOOKUP($F50&amp;$D50,$F$4:$S$29,J$34,FALSE),0)</f>
        <v>3</v>
      </c>
      <c r="K50" s="28">
        <f>ROUNDUP(VLOOKUP($E50,装备属性计算表!$D$4:$O$9,装备属性计算表!J$2,FALSE)/装备属性计算表!J$10*VLOOKUP($F50&amp;$D50,$F$4:$S$29,K$34,FALSE),0)</f>
        <v>0</v>
      </c>
      <c r="L50" s="28">
        <f>ROUNDUP(VLOOKUP($E50,装备属性计算表!$D$4:$O$9,装备属性计算表!K$2,FALSE)/装备属性计算表!K$10*VLOOKUP($F50&amp;$D50,$F$4:$S$29,L$34,FALSE),0)</f>
        <v>0</v>
      </c>
      <c r="M50" s="28">
        <f>ROUNDUP(VLOOKUP($E50,装备属性计算表!$D$4:$O$9,装备属性计算表!L$2,FALSE)/装备属性计算表!L$10*VLOOKUP($F50&amp;$D50,$F$4:$S$29,M$34,FALSE),0)</f>
        <v>0</v>
      </c>
      <c r="N50" s="28">
        <f>ROUNDUP(VLOOKUP($E50,装备属性计算表!$D$4:$O$9,装备属性计算表!M$2,FALSE)/装备属性计算表!M$10*VLOOKUP($F50&amp;$D50,$F$4:$S$29,N$34,FALSE),0)</f>
        <v>0</v>
      </c>
      <c r="O50" s="28">
        <f>ROUNDUP(VLOOKUP($E50,装备属性计算表!$D$4:$O$9,装备属性计算表!N$2,FALSE)/装备属性计算表!N$10*VLOOKUP($F50&amp;$D50,$F$4:$S$29,O$34,FALSE),0)</f>
        <v>0</v>
      </c>
      <c r="P50" s="28">
        <f>ROUNDUP(VLOOKUP($E50,装备属性计算表!$D$4:$O$9,装备属性计算表!O$2,FALSE)/装备属性计算表!O$10*VLOOKUP($F50&amp;$D50,$F$4:$S$29,P$34,FALSE),0)</f>
        <v>0</v>
      </c>
      <c r="Q50" s="28">
        <f>SUMPRODUCT(G50:P50,定义数据!$G$14:$P$14)</f>
        <v>3.02</v>
      </c>
      <c r="R50" s="28">
        <f t="shared" si="14"/>
        <v>151</v>
      </c>
      <c r="S50" s="91">
        <f t="shared" si="15"/>
        <v>151</v>
      </c>
      <c r="T50" s="28">
        <f t="shared" si="16"/>
        <v>18120</v>
      </c>
      <c r="U50" s="89">
        <f>VLOOKUP(F50,D_装备金币参考表!$A$2:$C$81,3,FALSE)*Q50-VLOOKUP(F44,D_装备金币参考表!$A$2:$C$81,3,FALSE)*Q50+U44</f>
        <v>3752.2000000000007</v>
      </c>
      <c r="W50">
        <f t="shared" si="17"/>
        <v>6</v>
      </c>
      <c r="X50">
        <f t="shared" si="18"/>
        <v>15</v>
      </c>
      <c r="Y50">
        <f t="shared" si="19"/>
        <v>15</v>
      </c>
      <c r="Z50" s="25">
        <f t="shared" si="20"/>
        <v>16</v>
      </c>
      <c r="AA50" s="25">
        <f t="shared" si="21"/>
        <v>15</v>
      </c>
      <c r="AB50" s="25">
        <f t="shared" si="22"/>
        <v>0</v>
      </c>
      <c r="AC50" s="25">
        <f t="shared" si="23"/>
        <v>80</v>
      </c>
      <c r="AD50">
        <v>16</v>
      </c>
      <c r="AE50" s="5">
        <f t="shared" si="12"/>
        <v>36.758347359905123</v>
      </c>
      <c r="AF50" s="5">
        <f t="shared" si="11"/>
        <v>113.37529549723493</v>
      </c>
      <c r="AG50" s="5">
        <f t="shared" si="11"/>
        <v>119.83973269455475</v>
      </c>
      <c r="AH50" s="5">
        <f t="shared" si="11"/>
        <v>226.75059099446986</v>
      </c>
      <c r="AI50" s="5">
        <f t="shared" si="11"/>
        <v>239.67946538910951</v>
      </c>
      <c r="AJ50" s="5">
        <f t="shared" si="11"/>
        <v>359.51919808366426</v>
      </c>
      <c r="AK50" s="5">
        <f t="shared" si="11"/>
        <v>366.5649413594715</v>
      </c>
      <c r="AL50" s="5">
        <f t="shared" si="11"/>
        <v>479.35893077821902</v>
      </c>
      <c r="AM50" s="5">
        <f t="shared" si="11"/>
        <v>488.75325514596199</v>
      </c>
      <c r="AN50" s="5">
        <f t="shared" si="11"/>
        <v>492.83554466415535</v>
      </c>
      <c r="AO50" s="5">
        <f t="shared" si="11"/>
        <v>559.25208590792226</v>
      </c>
      <c r="AP50" s="5">
        <f t="shared" si="11"/>
        <v>570.21213100362229</v>
      </c>
      <c r="AQ50" s="5">
        <f t="shared" si="11"/>
        <v>574.97480210818117</v>
      </c>
      <c r="AR50" s="5">
        <f t="shared" si="11"/>
        <v>651.67100686128265</v>
      </c>
      <c r="AS50" s="5">
        <f t="shared" si="11"/>
        <v>657.1140595522071</v>
      </c>
    </row>
    <row r="51" spans="1:45" x14ac:dyDescent="0.15">
      <c r="A51" s="28" t="str">
        <f>F51&amp;D51&amp;VLOOKUP(E51,定义数据!$E$1:$F$7,2,FALSE)</f>
        <v>1515</v>
      </c>
      <c r="B51" s="28" t="str">
        <f t="shared" si="13"/>
        <v>1515</v>
      </c>
      <c r="C51" s="28">
        <f>装备属性计算表!AK47</f>
        <v>4</v>
      </c>
      <c r="D51" s="28">
        <f>装备属性计算表!B47</f>
        <v>1</v>
      </c>
      <c r="E51" s="28" t="str">
        <f>装备属性计算表!C47</f>
        <v>鞋子</v>
      </c>
      <c r="F51" s="28">
        <f>装备属性计算表!D47</f>
        <v>15</v>
      </c>
      <c r="G51" s="28">
        <f>ROUNDUP(VLOOKUP($E51,装备属性计算表!$D$4:$O$9,装备属性计算表!F$2,FALSE)/装备属性计算表!F$10*VLOOKUP($F51&amp;$D51,$F$4:$S$29,G$34,FALSE),0)</f>
        <v>36</v>
      </c>
      <c r="H51" s="28">
        <f>ROUNDUP(VLOOKUP($E51,装备属性计算表!$D$4:$O$9,装备属性计算表!G$2,FALSE)/装备属性计算表!G$10*VLOOKUP($F51&amp;$D51,$F$4:$S$29,H$34,FALSE),0)</f>
        <v>0</v>
      </c>
      <c r="I51" s="28">
        <f>ROUNDUP(VLOOKUP($E51,装备属性计算表!$D$4:$O$9,装备属性计算表!H$2,FALSE)/装备属性计算表!H$10*VLOOKUP($F51&amp;$D51,$F$4:$S$29,I$34,FALSE),0)</f>
        <v>0</v>
      </c>
      <c r="J51" s="28">
        <f>ROUNDUP(VLOOKUP($E51,装备属性计算表!$D$4:$O$9,装备属性计算表!I$2,FALSE)/装备属性计算表!I$10*VLOOKUP($F51&amp;$D51,$F$4:$S$29,J$34,FALSE),0)</f>
        <v>5</v>
      </c>
      <c r="K51" s="28">
        <f>ROUNDUP(VLOOKUP($E51,装备属性计算表!$D$4:$O$9,装备属性计算表!J$2,FALSE)/装备属性计算表!J$10*VLOOKUP($F51&amp;$D51,$F$4:$S$29,K$34,FALSE),0)</f>
        <v>0</v>
      </c>
      <c r="L51" s="28">
        <f>ROUNDUP(VLOOKUP($E51,装备属性计算表!$D$4:$O$9,装备属性计算表!K$2,FALSE)/装备属性计算表!K$10*VLOOKUP($F51&amp;$D51,$F$4:$S$29,L$34,FALSE),0)</f>
        <v>0</v>
      </c>
      <c r="M51" s="28">
        <f>ROUNDUP(VLOOKUP($E51,装备属性计算表!$D$4:$O$9,装备属性计算表!L$2,FALSE)/装备属性计算表!L$10*VLOOKUP($F51&amp;$D51,$F$4:$S$29,M$34,FALSE),0)</f>
        <v>0</v>
      </c>
      <c r="N51" s="28">
        <f>ROUNDUP(VLOOKUP($E51,装备属性计算表!$D$4:$O$9,装备属性计算表!M$2,FALSE)/装备属性计算表!M$10*VLOOKUP($F51&amp;$D51,$F$4:$S$29,N$34,FALSE),0)</f>
        <v>0</v>
      </c>
      <c r="O51" s="28">
        <f>ROUNDUP(VLOOKUP($E51,装备属性计算表!$D$4:$O$9,装备属性计算表!N$2,FALSE)/装备属性计算表!N$10*VLOOKUP($F51&amp;$D51,$F$4:$S$29,O$34,FALSE),0)</f>
        <v>0</v>
      </c>
      <c r="P51" s="28">
        <f>ROUNDUP(VLOOKUP($E51,装备属性计算表!$D$4:$O$9,装备属性计算表!O$2,FALSE)/装备属性计算表!O$10*VLOOKUP($F51&amp;$D51,$F$4:$S$29,P$34,FALSE),0)</f>
        <v>0</v>
      </c>
      <c r="Q51" s="28">
        <f>SUMPRODUCT(G51:P51,定义数据!$G$14:$P$14)</f>
        <v>3.14</v>
      </c>
      <c r="R51" s="28">
        <f t="shared" si="14"/>
        <v>157</v>
      </c>
      <c r="S51" s="91">
        <f t="shared" si="15"/>
        <v>157</v>
      </c>
      <c r="T51" s="28">
        <f t="shared" si="16"/>
        <v>18840</v>
      </c>
      <c r="U51" s="89">
        <f>VLOOKUP(F51,D_装备金币参考表!$A$2:$C$81,3,FALSE)*Q51-VLOOKUP(F45,D_装备金币参考表!$A$2:$C$81,3,FALSE)*Q51+U45</f>
        <v>3899.2</v>
      </c>
      <c r="W51">
        <f t="shared" si="17"/>
        <v>6</v>
      </c>
      <c r="X51">
        <f t="shared" si="18"/>
        <v>15</v>
      </c>
      <c r="Y51">
        <f t="shared" si="19"/>
        <v>15</v>
      </c>
      <c r="Z51" s="25">
        <f t="shared" si="20"/>
        <v>17</v>
      </c>
      <c r="AA51" s="25">
        <f t="shared" si="21"/>
        <v>16</v>
      </c>
      <c r="AB51" s="25">
        <f t="shared" si="22"/>
        <v>0</v>
      </c>
      <c r="AC51" s="25">
        <f t="shared" si="23"/>
        <v>560</v>
      </c>
      <c r="AD51">
        <v>17</v>
      </c>
      <c r="AE51" s="5">
        <f t="shared" si="12"/>
        <v>39.77256477258468</v>
      </c>
      <c r="AF51" s="5">
        <f t="shared" si="12"/>
        <v>122.74656338040762</v>
      </c>
      <c r="AG51" s="5">
        <f t="shared" ref="AG51:AH126" si="24">AG$32*$AD51^AG$33</f>
        <v>129.90274255391455</v>
      </c>
      <c r="AH51" s="5">
        <f t="shared" si="24"/>
        <v>245.49312676081524</v>
      </c>
      <c r="AI51" s="5">
        <f t="shared" si="12"/>
        <v>259.8054851078291</v>
      </c>
      <c r="AJ51" s="5">
        <f t="shared" ref="AJ51:AJ126" si="25">AJ$32*$AD51^AJ$33</f>
        <v>389.70822766174365</v>
      </c>
      <c r="AK51" s="5">
        <f t="shared" si="12"/>
        <v>397.51426424331419</v>
      </c>
      <c r="AL51" s="5">
        <f t="shared" ref="AL51:AM126" si="26">AL$32*$AD51^AL$33</f>
        <v>519.6109702156582</v>
      </c>
      <c r="AM51" s="5">
        <f t="shared" si="26"/>
        <v>530.01901899108555</v>
      </c>
      <c r="AN51" s="5">
        <f t="shared" si="12"/>
        <v>534.54318953631559</v>
      </c>
      <c r="AO51" s="5">
        <f t="shared" ref="AO51:AR126" si="27">AO$32*$AD51^AO$33</f>
        <v>606.21279858493449</v>
      </c>
      <c r="AP51" s="5">
        <f t="shared" si="27"/>
        <v>618.35552215626649</v>
      </c>
      <c r="AQ51" s="5">
        <f t="shared" si="27"/>
        <v>623.63372112570153</v>
      </c>
      <c r="AR51" s="5">
        <f t="shared" si="27"/>
        <v>706.69202532144743</v>
      </c>
      <c r="AS51" s="5">
        <f t="shared" ref="AS51:AS126" si="28">AS$32*$AD51^AS$33</f>
        <v>712.72425271508746</v>
      </c>
    </row>
    <row r="52" spans="1:45" x14ac:dyDescent="0.15">
      <c r="A52" s="28" t="str">
        <f>F52&amp;D52&amp;VLOOKUP(E52,定义数据!$E$1:$F$7,2,FALSE)</f>
        <v>1514</v>
      </c>
      <c r="B52" s="28" t="str">
        <f t="shared" si="13"/>
        <v>1514</v>
      </c>
      <c r="C52" s="28">
        <f>装备属性计算表!AK48</f>
        <v>4</v>
      </c>
      <c r="D52" s="28">
        <f>装备属性计算表!B48</f>
        <v>1</v>
      </c>
      <c r="E52" s="28" t="str">
        <f>装备属性计算表!C48</f>
        <v>腰带</v>
      </c>
      <c r="F52" s="28">
        <f>装备属性计算表!D48</f>
        <v>15</v>
      </c>
      <c r="G52" s="28">
        <f>ROUNDUP(VLOOKUP($E52,装备属性计算表!$D$4:$O$9,装备属性计算表!F$2,FALSE)/装备属性计算表!F$10*VLOOKUP($F52&amp;$D52,$F$4:$S$29,G$34,FALSE),0)</f>
        <v>36</v>
      </c>
      <c r="H52" s="28">
        <f>ROUNDUP(VLOOKUP($E52,装备属性计算表!$D$4:$O$9,装备属性计算表!G$2,FALSE)/装备属性计算表!G$10*VLOOKUP($F52&amp;$D52,$F$4:$S$29,H$34,FALSE),0)</f>
        <v>0</v>
      </c>
      <c r="I52" s="28">
        <f>ROUNDUP(VLOOKUP($E52,装备属性计算表!$D$4:$O$9,装备属性计算表!H$2,FALSE)/装备属性计算表!H$10*VLOOKUP($F52&amp;$D52,$F$4:$S$29,I$34,FALSE),0)</f>
        <v>0</v>
      </c>
      <c r="J52" s="28">
        <f>ROUNDUP(VLOOKUP($E52,装备属性计算表!$D$4:$O$9,装备属性计算表!I$2,FALSE)/装备属性计算表!I$10*VLOOKUP($F52&amp;$D52,$F$4:$S$29,J$34,FALSE),0)</f>
        <v>0</v>
      </c>
      <c r="K52" s="28">
        <f>ROUNDUP(VLOOKUP($E52,装备属性计算表!$D$4:$O$9,装备属性计算表!J$2,FALSE)/装备属性计算表!J$10*VLOOKUP($F52&amp;$D52,$F$4:$S$29,K$34,FALSE),0)</f>
        <v>0</v>
      </c>
      <c r="L52" s="28">
        <f>ROUNDUP(VLOOKUP($E52,装备属性计算表!$D$4:$O$9,装备属性计算表!K$2,FALSE)/装备属性计算表!K$10*VLOOKUP($F52&amp;$D52,$F$4:$S$29,L$34,FALSE),0)</f>
        <v>0</v>
      </c>
      <c r="M52" s="28">
        <f>ROUNDUP(VLOOKUP($E52,装备属性计算表!$D$4:$O$9,装备属性计算表!L$2,FALSE)/装备属性计算表!L$10*VLOOKUP($F52&amp;$D52,$F$4:$S$29,M$34,FALSE),0)</f>
        <v>0</v>
      </c>
      <c r="N52" s="28">
        <f>ROUNDUP(VLOOKUP($E52,装备属性计算表!$D$4:$O$9,装备属性计算表!M$2,FALSE)/装备属性计算表!M$10*VLOOKUP($F52&amp;$D52,$F$4:$S$29,N$34,FALSE),0)</f>
        <v>5</v>
      </c>
      <c r="O52" s="28">
        <f>ROUNDUP(VLOOKUP($E52,装备属性计算表!$D$4:$O$9,装备属性计算表!N$2,FALSE)/装备属性计算表!N$10*VLOOKUP($F52&amp;$D52,$F$4:$S$29,O$34,FALSE),0)</f>
        <v>0</v>
      </c>
      <c r="P52" s="28">
        <f>ROUNDUP(VLOOKUP($E52,装备属性计算表!$D$4:$O$9,装备属性计算表!O$2,FALSE)/装备属性计算表!O$10*VLOOKUP($F52&amp;$D52,$F$4:$S$29,P$34,FALSE),0)</f>
        <v>0</v>
      </c>
      <c r="Q52" s="28">
        <f>SUMPRODUCT(G52:P52,定义数据!$G$14:$P$14)</f>
        <v>2.34</v>
      </c>
      <c r="R52" s="28">
        <f t="shared" si="14"/>
        <v>117</v>
      </c>
      <c r="S52" s="91">
        <f t="shared" si="15"/>
        <v>117</v>
      </c>
      <c r="T52" s="28">
        <f t="shared" si="16"/>
        <v>14040</v>
      </c>
      <c r="U52" s="89">
        <f>VLOOKUP(F52,D_装备金币参考表!$A$2:$C$81,3,FALSE)*Q52-VLOOKUP(F46,D_装备金币参考表!$A$2:$C$81,3,FALSE)*Q52+U46</f>
        <v>2894.3999999999996</v>
      </c>
      <c r="W52">
        <f t="shared" si="17"/>
        <v>8</v>
      </c>
      <c r="X52">
        <f t="shared" si="18"/>
        <v>15</v>
      </c>
      <c r="Y52">
        <f t="shared" si="19"/>
        <v>15</v>
      </c>
      <c r="Z52" s="25">
        <f t="shared" si="20"/>
        <v>22</v>
      </c>
      <c r="AA52" s="25">
        <f t="shared" si="21"/>
        <v>10</v>
      </c>
      <c r="AB52" s="25">
        <f t="shared" si="22"/>
        <v>0</v>
      </c>
      <c r="AC52" s="25">
        <f t="shared" si="23"/>
        <v>360</v>
      </c>
      <c r="AD52">
        <v>18</v>
      </c>
      <c r="AE52" s="5">
        <f t="shared" si="12"/>
        <v>42.840472942735929</v>
      </c>
      <c r="AF52" s="5">
        <f t="shared" si="12"/>
        <v>132.29037160813206</v>
      </c>
      <c r="AG52" s="5">
        <f t="shared" si="24"/>
        <v>140.16309749761336</v>
      </c>
      <c r="AH52" s="5">
        <f t="shared" si="24"/>
        <v>264.58074321626412</v>
      </c>
      <c r="AI52" s="5">
        <f t="shared" si="12"/>
        <v>280.32619499522673</v>
      </c>
      <c r="AJ52" s="5">
        <f t="shared" si="25"/>
        <v>420.48929249284009</v>
      </c>
      <c r="AK52" s="5">
        <f t="shared" si="12"/>
        <v>429.08353388060129</v>
      </c>
      <c r="AL52" s="5">
        <f t="shared" si="26"/>
        <v>560.65238999045346</v>
      </c>
      <c r="AM52" s="5">
        <f t="shared" si="26"/>
        <v>572.11137850746843</v>
      </c>
      <c r="AN52" s="5">
        <f t="shared" si="12"/>
        <v>577.09379254491967</v>
      </c>
      <c r="AO52" s="5">
        <f t="shared" si="27"/>
        <v>654.09445498886237</v>
      </c>
      <c r="AP52" s="5">
        <f t="shared" si="27"/>
        <v>667.46327492537989</v>
      </c>
      <c r="AQ52" s="5">
        <f t="shared" si="27"/>
        <v>673.27609130240626</v>
      </c>
      <c r="AR52" s="5">
        <f t="shared" si="27"/>
        <v>762.81517134329124</v>
      </c>
      <c r="AS52" s="5">
        <f t="shared" si="28"/>
        <v>769.45839005989285</v>
      </c>
    </row>
    <row r="53" spans="1:45" x14ac:dyDescent="0.15">
      <c r="A53" s="28" t="str">
        <f>F53&amp;D53&amp;VLOOKUP(E53,定义数据!$E$1:$F$7,2,FALSE)</f>
        <v>1513</v>
      </c>
      <c r="B53" s="28" t="str">
        <f t="shared" si="13"/>
        <v>1513</v>
      </c>
      <c r="C53" s="28">
        <f>装备属性计算表!AK49</f>
        <v>4</v>
      </c>
      <c r="D53" s="28">
        <f>装备属性计算表!B49</f>
        <v>1</v>
      </c>
      <c r="E53" s="28" t="str">
        <f>装备属性计算表!C49</f>
        <v>项链</v>
      </c>
      <c r="F53" s="28">
        <f>装备属性计算表!D49</f>
        <v>15</v>
      </c>
      <c r="G53" s="28">
        <f>ROUNDUP(VLOOKUP($E53,装备属性计算表!$D$4:$O$9,装备属性计算表!F$2,FALSE)/装备属性计算表!F$10*VLOOKUP($F53&amp;$D53,$F$4:$S$29,G$34,FALSE),0)</f>
        <v>0</v>
      </c>
      <c r="H53" s="28">
        <f>ROUNDUP(VLOOKUP($E53,装备属性计算表!$D$4:$O$9,装备属性计算表!G$2,FALSE)/装备属性计算表!G$10*VLOOKUP($F53&amp;$D53,$F$4:$S$29,H$34,FALSE),0)</f>
        <v>3</v>
      </c>
      <c r="I53" s="28">
        <f>ROUNDUP(VLOOKUP($E53,装备属性计算表!$D$4:$O$9,装备属性计算表!H$2,FALSE)/装备属性计算表!H$10*VLOOKUP($F53&amp;$D53,$F$4:$S$29,I$34,FALSE),0)</f>
        <v>0</v>
      </c>
      <c r="J53" s="28">
        <f>ROUNDUP(VLOOKUP($E53,装备属性计算表!$D$4:$O$9,装备属性计算表!I$2,FALSE)/装备属性计算表!I$10*VLOOKUP($F53&amp;$D53,$F$4:$S$29,J$34,FALSE),0)</f>
        <v>0</v>
      </c>
      <c r="K53" s="28">
        <f>ROUNDUP(VLOOKUP($E53,装备属性计算表!$D$4:$O$9,装备属性计算表!J$2,FALSE)/装备属性计算表!J$10*VLOOKUP($F53&amp;$D53,$F$4:$S$29,K$34,FALSE),0)</f>
        <v>8</v>
      </c>
      <c r="L53" s="28">
        <f>ROUNDUP(VLOOKUP($E53,装备属性计算表!$D$4:$O$9,装备属性计算表!K$2,FALSE)/装备属性计算表!K$10*VLOOKUP($F53&amp;$D53,$F$4:$S$29,L$34,FALSE),0)</f>
        <v>0</v>
      </c>
      <c r="M53" s="28">
        <f>ROUNDUP(VLOOKUP($E53,装备属性计算表!$D$4:$O$9,装备属性计算表!L$2,FALSE)/装备属性计算表!L$10*VLOOKUP($F53&amp;$D53,$F$4:$S$29,M$34,FALSE),0)</f>
        <v>0</v>
      </c>
      <c r="N53" s="28">
        <f>ROUNDUP(VLOOKUP($E53,装备属性计算表!$D$4:$O$9,装备属性计算表!M$2,FALSE)/装备属性计算表!M$10*VLOOKUP($F53&amp;$D53,$F$4:$S$29,N$34,FALSE),0)</f>
        <v>0</v>
      </c>
      <c r="O53" s="28">
        <f>ROUNDUP(VLOOKUP($E53,装备属性计算表!$D$4:$O$9,装备属性计算表!N$2,FALSE)/装备属性计算表!N$10*VLOOKUP($F53&amp;$D53,$F$4:$S$29,O$34,FALSE),0)</f>
        <v>0</v>
      </c>
      <c r="P53" s="28">
        <f>ROUNDUP(VLOOKUP($E53,装备属性计算表!$D$4:$O$9,装备属性计算表!O$2,FALSE)/装备属性计算表!O$10*VLOOKUP($F53&amp;$D53,$F$4:$S$29,P$34,FALSE),0)</f>
        <v>0</v>
      </c>
      <c r="Q53" s="28">
        <f>SUMPRODUCT(G53:P53,定义数据!$G$14:$P$14)</f>
        <v>5.7200000000000006</v>
      </c>
      <c r="R53" s="28">
        <f t="shared" si="14"/>
        <v>286</v>
      </c>
      <c r="S53" s="91">
        <f t="shared" si="15"/>
        <v>286</v>
      </c>
      <c r="T53" s="28">
        <f t="shared" si="16"/>
        <v>34320</v>
      </c>
      <c r="U53" s="89">
        <f>VLOOKUP(F53,D_装备金币参考表!$A$2:$C$81,3,FALSE)*Q53-VLOOKUP(F47,D_装备金币参考表!$A$2:$C$81,3,FALSE)*Q53+U47</f>
        <v>7162.0000000000018</v>
      </c>
      <c r="V53" s="25">
        <f>SUM(U48:U53)</f>
        <v>36592.200000000004</v>
      </c>
      <c r="W53">
        <f t="shared" si="17"/>
        <v>3</v>
      </c>
      <c r="X53">
        <f t="shared" si="18"/>
        <v>15</v>
      </c>
      <c r="Y53">
        <f t="shared" si="19"/>
        <v>15</v>
      </c>
      <c r="Z53" s="25">
        <f t="shared" si="20"/>
        <v>9</v>
      </c>
      <c r="AA53" s="25">
        <f t="shared" si="21"/>
        <v>33</v>
      </c>
      <c r="AB53" s="25">
        <f t="shared" si="22"/>
        <v>0</v>
      </c>
      <c r="AC53" s="25">
        <f t="shared" si="23"/>
        <v>480</v>
      </c>
      <c r="AD53">
        <v>19</v>
      </c>
      <c r="AE53" s="5">
        <f t="shared" si="12"/>
        <v>45.959964148264163</v>
      </c>
      <c r="AF53" s="5">
        <f t="shared" si="12"/>
        <v>142.00004171603993</v>
      </c>
      <c r="AG53" s="5">
        <f t="shared" si="24"/>
        <v>150.61337622240831</v>
      </c>
      <c r="AH53" s="5">
        <f t="shared" si="24"/>
        <v>284.00008343207986</v>
      </c>
      <c r="AI53" s="5">
        <f t="shared" si="12"/>
        <v>301.22675244481661</v>
      </c>
      <c r="AJ53" s="5">
        <f t="shared" si="25"/>
        <v>451.84012866722492</v>
      </c>
      <c r="AK53" s="5">
        <f t="shared" si="12"/>
        <v>461.24967579994876</v>
      </c>
      <c r="AL53" s="5">
        <f t="shared" si="26"/>
        <v>602.45350488963322</v>
      </c>
      <c r="AM53" s="5">
        <f t="shared" si="26"/>
        <v>614.99956773326494</v>
      </c>
      <c r="AN53" s="5">
        <f t="shared" si="12"/>
        <v>620.45611807070588</v>
      </c>
      <c r="AO53" s="5">
        <f t="shared" si="27"/>
        <v>702.86242237123884</v>
      </c>
      <c r="AP53" s="5">
        <f t="shared" si="27"/>
        <v>717.49949568880913</v>
      </c>
      <c r="AQ53" s="5">
        <f t="shared" si="27"/>
        <v>723.86547108249022</v>
      </c>
      <c r="AR53" s="5">
        <f t="shared" si="27"/>
        <v>819.99942364435333</v>
      </c>
      <c r="AS53" s="5">
        <f t="shared" si="28"/>
        <v>827.27482409427455</v>
      </c>
    </row>
    <row r="54" spans="1:45" x14ac:dyDescent="0.15">
      <c r="A54" s="28" t="str">
        <f>F54&amp;D54&amp;VLOOKUP(E54,定义数据!$E$1:$F$7,2,FALSE)</f>
        <v>1520</v>
      </c>
      <c r="B54" s="28" t="str">
        <f t="shared" si="13"/>
        <v>1520</v>
      </c>
      <c r="C54" s="28">
        <f>装备属性计算表!AK50</f>
        <v>5</v>
      </c>
      <c r="D54" s="28">
        <f>装备属性计算表!B50</f>
        <v>2</v>
      </c>
      <c r="E54" s="28" t="str">
        <f>装备属性计算表!C50</f>
        <v>武器</v>
      </c>
      <c r="F54" s="28">
        <f>装备属性计算表!D50</f>
        <v>15</v>
      </c>
      <c r="G54" s="28">
        <f>ROUND(VLOOKUP($E54,装备属性计算表!$D$4:$O$9,装备属性计算表!F$2,FALSE)/装备属性计算表!F$10*VLOOKUP($F54&amp;$D54,$F$4:$S$29,G$34,FALSE),0)</f>
        <v>0</v>
      </c>
      <c r="H54" s="28">
        <f>ROUND(VLOOKUP($E54,装备属性计算表!$D$4:$O$9,装备属性计算表!G$2,FALSE)/装备属性计算表!G$10*VLOOKUP($F54&amp;$D54,$F$4:$S$29,H$34,FALSE),0)</f>
        <v>10</v>
      </c>
      <c r="I54" s="28">
        <f>ROUND(VLOOKUP($E54,装备属性计算表!$D$4:$O$9,装备属性计算表!H$2,FALSE)/装备属性计算表!H$10*VLOOKUP($F54&amp;$D54,$F$4:$S$29,I$34,FALSE),0)</f>
        <v>0</v>
      </c>
      <c r="J54" s="28">
        <f>ROUND(VLOOKUP($E54,装备属性计算表!$D$4:$O$9,装备属性计算表!I$2,FALSE)/装备属性计算表!I$10*VLOOKUP($F54&amp;$D54,$F$4:$S$29,J$34,FALSE),0)</f>
        <v>0</v>
      </c>
      <c r="K54" s="28">
        <f>ROUND(VLOOKUP($E54,装备属性计算表!$D$4:$O$9,装备属性计算表!J$2,FALSE)/装备属性计算表!J$10*VLOOKUP($F54&amp;$D54,$F$4:$S$29,K$34,FALSE),0)</f>
        <v>0</v>
      </c>
      <c r="L54" s="28">
        <f>ROUND(VLOOKUP($E54,装备属性计算表!$D$4:$O$9,装备属性计算表!K$2,FALSE)/装备属性计算表!K$10*VLOOKUP($F54&amp;$D54,$F$4:$S$29,L$34,FALSE),0)</f>
        <v>6</v>
      </c>
      <c r="M54" s="28">
        <f>ROUND(VLOOKUP($E54,装备属性计算表!$D$4:$O$9,装备属性计算表!L$2,FALSE)/装备属性计算表!L$10*VLOOKUP($F54&amp;$D54,$F$4:$S$29,M$34,FALSE),0)</f>
        <v>0</v>
      </c>
      <c r="N54" s="28">
        <f>ROUND(VLOOKUP($E54,装备属性计算表!$D$4:$O$9,装备属性计算表!M$2,FALSE)/装备属性计算表!M$10*VLOOKUP($F54&amp;$D54,$F$4:$S$29,N$34,FALSE),0)</f>
        <v>0</v>
      </c>
      <c r="O54" s="28">
        <f>ROUND(VLOOKUP($E54,装备属性计算表!$D$4:$O$9,装备属性计算表!N$2,FALSE)/装备属性计算表!N$10*VLOOKUP($F54&amp;$D54,$F$4:$S$29,O$34,FALSE),0)</f>
        <v>0</v>
      </c>
      <c r="P54" s="28">
        <f>ROUND(VLOOKUP($E54,装备属性计算表!$D$4:$O$9,装备属性计算表!O$2,FALSE)/装备属性计算表!O$10*VLOOKUP($F54&amp;$D54,$F$4:$S$29,P$34,FALSE),0)</f>
        <v>0</v>
      </c>
      <c r="Q54" s="28">
        <f>SUMPRODUCT(G54:P54,定义数据!$G$14:$P$14)</f>
        <v>11.08</v>
      </c>
      <c r="R54" s="28">
        <f t="shared" si="14"/>
        <v>554</v>
      </c>
      <c r="S54" s="91">
        <f t="shared" si="15"/>
        <v>554</v>
      </c>
      <c r="T54" s="28">
        <f t="shared" si="16"/>
        <v>66480</v>
      </c>
      <c r="U54" s="89">
        <f>VLOOKUP(F54,D_装备金币参考表!$A$2:$C$81,3,FALSE)*Q54-VLOOKUP(F42,D_装备金币参考表!$A$2:$C$81,3,FALSE)*Q54+U42</f>
        <v>13262.999999999998</v>
      </c>
      <c r="W54">
        <f t="shared" si="17"/>
        <v>1</v>
      </c>
      <c r="X54">
        <f t="shared" si="18"/>
        <v>9</v>
      </c>
      <c r="Y54">
        <f t="shared" si="19"/>
        <v>15</v>
      </c>
      <c r="Z54" s="25">
        <f t="shared" si="20"/>
        <v>3</v>
      </c>
      <c r="AA54" s="25">
        <f t="shared" si="21"/>
        <v>25</v>
      </c>
      <c r="AB54" s="25">
        <f t="shared" si="22"/>
        <v>9</v>
      </c>
      <c r="AC54" s="25">
        <f t="shared" si="23"/>
        <v>4120</v>
      </c>
      <c r="AD54">
        <v>20</v>
      </c>
      <c r="AE54" s="5">
        <f t="shared" si="12"/>
        <v>49.129121044631624</v>
      </c>
      <c r="AF54" s="5">
        <f t="shared" si="12"/>
        <v>151.86949507586496</v>
      </c>
      <c r="AG54" s="5">
        <f t="shared" si="24"/>
        <v>161.24681644349641</v>
      </c>
      <c r="AH54" s="5">
        <f t="shared" si="24"/>
        <v>303.73899015172992</v>
      </c>
      <c r="AI54" s="5">
        <f t="shared" si="12"/>
        <v>322.49363288699283</v>
      </c>
      <c r="AJ54" s="5">
        <f t="shared" si="25"/>
        <v>483.74044933048924</v>
      </c>
      <c r="AK54" s="5">
        <f t="shared" si="12"/>
        <v>493.99165635611405</v>
      </c>
      <c r="AL54" s="5">
        <f t="shared" si="26"/>
        <v>644.98726577398565</v>
      </c>
      <c r="AM54" s="5">
        <f t="shared" si="26"/>
        <v>658.65554180815207</v>
      </c>
      <c r="AN54" s="5">
        <f t="shared" si="12"/>
        <v>664.60168837182573</v>
      </c>
      <c r="AO54" s="5">
        <f t="shared" si="27"/>
        <v>752.48514340298334</v>
      </c>
      <c r="AP54" s="5">
        <f t="shared" si="27"/>
        <v>768.431465442844</v>
      </c>
      <c r="AQ54" s="5">
        <f t="shared" si="27"/>
        <v>775.36863643379661</v>
      </c>
      <c r="AR54" s="5">
        <f t="shared" si="27"/>
        <v>878.20738907753605</v>
      </c>
      <c r="AS54" s="5">
        <f t="shared" si="28"/>
        <v>886.1355844957676</v>
      </c>
    </row>
    <row r="55" spans="1:45" x14ac:dyDescent="0.15">
      <c r="A55" s="28" t="str">
        <f>F55&amp;D55&amp;VLOOKUP(E55,定义数据!$E$1:$F$7,2,FALSE)</f>
        <v>1521</v>
      </c>
      <c r="B55" s="28" t="str">
        <f t="shared" si="13"/>
        <v>1521</v>
      </c>
      <c r="C55" s="28">
        <f>装备属性计算表!AK51</f>
        <v>5</v>
      </c>
      <c r="D55" s="28">
        <f>装备属性计算表!B51</f>
        <v>2</v>
      </c>
      <c r="E55" s="28" t="str">
        <f>装备属性计算表!C51</f>
        <v>衣服</v>
      </c>
      <c r="F55" s="28">
        <f>装备属性计算表!D51</f>
        <v>15</v>
      </c>
      <c r="G55" s="28">
        <f>ROUND(VLOOKUP($E55,装备属性计算表!$D$4:$O$9,装备属性计算表!F$2,FALSE)/装备属性计算表!F$10*VLOOKUP($F55&amp;$D55,$F$4:$S$29,G$34,FALSE),0)</f>
        <v>153</v>
      </c>
      <c r="H55" s="28">
        <f>ROUND(VLOOKUP($E55,装备属性计算表!$D$4:$O$9,装备属性计算表!G$2,FALSE)/装备属性计算表!G$10*VLOOKUP($F55&amp;$D55,$F$4:$S$29,H$34,FALSE),0)</f>
        <v>0</v>
      </c>
      <c r="I55" s="28">
        <f>ROUND(VLOOKUP($E55,装备属性计算表!$D$4:$O$9,装备属性计算表!H$2,FALSE)/装备属性计算表!H$10*VLOOKUP($F55&amp;$D55,$F$4:$S$29,I$34,FALSE),0)</f>
        <v>3</v>
      </c>
      <c r="J55" s="28">
        <f>ROUND(VLOOKUP($E55,装备属性计算表!$D$4:$O$9,装备属性计算表!I$2,FALSE)/装备属性计算表!I$10*VLOOKUP($F55&amp;$D55,$F$4:$S$29,J$34,FALSE),0)</f>
        <v>0</v>
      </c>
      <c r="K55" s="28">
        <f>ROUND(VLOOKUP($E55,装备属性计算表!$D$4:$O$9,装备属性计算表!J$2,FALSE)/装备属性计算表!J$10*VLOOKUP($F55&amp;$D55,$F$4:$S$29,K$34,FALSE),0)</f>
        <v>0</v>
      </c>
      <c r="L55" s="28">
        <f>ROUND(VLOOKUP($E55,装备属性计算表!$D$4:$O$9,装备属性计算表!K$2,FALSE)/装备属性计算表!K$10*VLOOKUP($F55&amp;$D55,$F$4:$S$29,L$34,FALSE),0)</f>
        <v>0</v>
      </c>
      <c r="M55" s="28">
        <f>ROUND(VLOOKUP($E55,装备属性计算表!$D$4:$O$9,装备属性计算表!L$2,FALSE)/装备属性计算表!L$10*VLOOKUP($F55&amp;$D55,$F$4:$S$29,M$34,FALSE),0)</f>
        <v>0</v>
      </c>
      <c r="N55" s="28">
        <f>ROUND(VLOOKUP($E55,装备属性计算表!$D$4:$O$9,装备属性计算表!M$2,FALSE)/装备属性计算表!M$10*VLOOKUP($F55&amp;$D55,$F$4:$S$29,N$34,FALSE),0)</f>
        <v>0</v>
      </c>
      <c r="O55" s="28">
        <f>ROUND(VLOOKUP($E55,装备属性计算表!$D$4:$O$9,装备属性计算表!N$2,FALSE)/装备属性计算表!N$10*VLOOKUP($F55&amp;$D55,$F$4:$S$29,O$34,FALSE),0)</f>
        <v>0</v>
      </c>
      <c r="P55" s="28">
        <f>ROUND(VLOOKUP($E55,装备属性计算表!$D$4:$O$9,装备属性计算表!O$2,FALSE)/装备属性计算表!O$10*VLOOKUP($F55&amp;$D55,$F$4:$S$29,P$34,FALSE),0)</f>
        <v>0</v>
      </c>
      <c r="Q55" s="28">
        <f>SUMPRODUCT(G55:P55,定义数据!$G$14:$P$14)</f>
        <v>9.120000000000001</v>
      </c>
      <c r="R55" s="28">
        <f t="shared" si="14"/>
        <v>456</v>
      </c>
      <c r="S55" s="91">
        <f t="shared" si="15"/>
        <v>456</v>
      </c>
      <c r="T55" s="28">
        <f t="shared" si="16"/>
        <v>54720</v>
      </c>
      <c r="U55" s="89">
        <f>VLOOKUP(F55,D_装备金币参考表!$A$2:$C$81,3,FALSE)*Q55-VLOOKUP(F43,D_装备金币参考表!$A$2:$C$81,3,FALSE)*Q55+U43</f>
        <v>11035.600000000002</v>
      </c>
      <c r="W55">
        <f t="shared" si="17"/>
        <v>2</v>
      </c>
      <c r="X55">
        <f t="shared" si="18"/>
        <v>10</v>
      </c>
      <c r="Y55">
        <f t="shared" si="19"/>
        <v>15</v>
      </c>
      <c r="Z55" s="25">
        <f t="shared" si="20"/>
        <v>7</v>
      </c>
      <c r="AA55" s="25">
        <f t="shared" si="21"/>
        <v>24</v>
      </c>
      <c r="AB55" s="25">
        <f t="shared" si="22"/>
        <v>6</v>
      </c>
      <c r="AC55" s="25">
        <f t="shared" si="23"/>
        <v>680</v>
      </c>
      <c r="AD55">
        <v>21</v>
      </c>
      <c r="AE55" s="5">
        <f t="shared" si="12"/>
        <v>52.346190719345465</v>
      </c>
      <c r="AF55" s="5">
        <f t="shared" si="12"/>
        <v>161.89317142902769</v>
      </c>
      <c r="AG55" s="5">
        <f t="shared" si="24"/>
        <v>172.05722601031485</v>
      </c>
      <c r="AH55" s="5">
        <f t="shared" si="24"/>
        <v>323.78634285805538</v>
      </c>
      <c r="AI55" s="5">
        <f t="shared" si="12"/>
        <v>344.1144520206297</v>
      </c>
      <c r="AJ55" s="5">
        <f t="shared" si="25"/>
        <v>516.17167803094458</v>
      </c>
      <c r="AK55" s="5">
        <f t="shared" si="12"/>
        <v>527.29020814890669</v>
      </c>
      <c r="AL55" s="5">
        <f t="shared" si="26"/>
        <v>688.2289040412594</v>
      </c>
      <c r="AM55" s="5">
        <f t="shared" si="26"/>
        <v>703.05361086520884</v>
      </c>
      <c r="AN55" s="5">
        <f t="shared" si="12"/>
        <v>709.5044129173308</v>
      </c>
      <c r="AO55" s="5">
        <f t="shared" si="27"/>
        <v>802.93372138146924</v>
      </c>
      <c r="AP55" s="5">
        <f t="shared" si="27"/>
        <v>820.22921267607705</v>
      </c>
      <c r="AQ55" s="5">
        <f t="shared" si="27"/>
        <v>827.75514840355254</v>
      </c>
      <c r="AR55" s="5">
        <f t="shared" si="27"/>
        <v>937.40481448694516</v>
      </c>
      <c r="AS55" s="5">
        <f t="shared" si="28"/>
        <v>946.0058838897744</v>
      </c>
    </row>
    <row r="56" spans="1:45" x14ac:dyDescent="0.15">
      <c r="A56" s="28" t="str">
        <f>F56&amp;D56&amp;VLOOKUP(E56,定义数据!$E$1:$F$7,2,FALSE)</f>
        <v>1522</v>
      </c>
      <c r="B56" s="28" t="str">
        <f t="shared" si="13"/>
        <v>1522</v>
      </c>
      <c r="C56" s="28">
        <f>装备属性计算表!AK52</f>
        <v>5</v>
      </c>
      <c r="D56" s="28">
        <f>装备属性计算表!B52</f>
        <v>2</v>
      </c>
      <c r="E56" s="28" t="str">
        <f>装备属性计算表!C52</f>
        <v>裤子</v>
      </c>
      <c r="F56" s="28">
        <f>装备属性计算表!D52</f>
        <v>15</v>
      </c>
      <c r="G56" s="28">
        <f>ROUND(VLOOKUP($E56,装备属性计算表!$D$4:$O$9,装备属性计算表!F$2,FALSE)/装备属性计算表!F$10*VLOOKUP($F56&amp;$D56,$F$4:$S$29,G$34,FALSE),0)</f>
        <v>0</v>
      </c>
      <c r="H56" s="28">
        <f>ROUND(VLOOKUP($E56,装备属性计算表!$D$4:$O$9,装备属性计算表!G$2,FALSE)/装备属性计算表!G$10*VLOOKUP($F56&amp;$D56,$F$4:$S$29,H$34,FALSE),0)</f>
        <v>0</v>
      </c>
      <c r="I56" s="28">
        <f>ROUND(VLOOKUP($E56,装备属性计算表!$D$4:$O$9,装备属性计算表!H$2,FALSE)/装备属性计算表!H$10*VLOOKUP($F56&amp;$D56,$F$4:$S$29,I$34,FALSE),0)</f>
        <v>2</v>
      </c>
      <c r="J56" s="28">
        <f>ROUND(VLOOKUP($E56,装备属性计算表!$D$4:$O$9,装备属性计算表!I$2,FALSE)/装备属性计算表!I$10*VLOOKUP($F56&amp;$D56,$F$4:$S$29,J$34,FALSE),0)</f>
        <v>3</v>
      </c>
      <c r="K56" s="28">
        <f>ROUND(VLOOKUP($E56,装备属性计算表!$D$4:$O$9,装备属性计算表!J$2,FALSE)/装备属性计算表!J$10*VLOOKUP($F56&amp;$D56,$F$4:$S$29,K$34,FALSE),0)</f>
        <v>0</v>
      </c>
      <c r="L56" s="28">
        <f>ROUND(VLOOKUP($E56,装备属性计算表!$D$4:$O$9,装备属性计算表!K$2,FALSE)/装备属性计算表!K$10*VLOOKUP($F56&amp;$D56,$F$4:$S$29,L$34,FALSE),0)</f>
        <v>0</v>
      </c>
      <c r="M56" s="28">
        <f>ROUND(VLOOKUP($E56,装备属性计算表!$D$4:$O$9,装备属性计算表!L$2,FALSE)/装备属性计算表!L$10*VLOOKUP($F56&amp;$D56,$F$4:$S$29,M$34,FALSE),0)</f>
        <v>0</v>
      </c>
      <c r="N56" s="28">
        <f>ROUND(VLOOKUP($E56,装备属性计算表!$D$4:$O$9,装备属性计算表!M$2,FALSE)/装备属性计算表!M$10*VLOOKUP($F56&amp;$D56,$F$4:$S$29,N$34,FALSE),0)</f>
        <v>0</v>
      </c>
      <c r="O56" s="28">
        <f>ROUND(VLOOKUP($E56,装备属性计算表!$D$4:$O$9,装备属性计算表!N$2,FALSE)/装备属性计算表!N$10*VLOOKUP($F56&amp;$D56,$F$4:$S$29,O$34,FALSE),0)</f>
        <v>0</v>
      </c>
      <c r="P56" s="28">
        <f>ROUND(VLOOKUP($E56,装备属性计算表!$D$4:$O$9,装备属性计算表!O$2,FALSE)/装备属性计算表!O$10*VLOOKUP($F56&amp;$D56,$F$4:$S$29,P$34,FALSE),0)</f>
        <v>0</v>
      </c>
      <c r="Q56" s="28">
        <f>SUMPRODUCT(G56:P56,定义数据!$G$14:$P$14)</f>
        <v>3.02</v>
      </c>
      <c r="R56" s="28">
        <f t="shared" si="14"/>
        <v>151</v>
      </c>
      <c r="S56" s="91">
        <f t="shared" si="15"/>
        <v>151</v>
      </c>
      <c r="T56" s="28">
        <f t="shared" si="16"/>
        <v>18120</v>
      </c>
      <c r="U56" s="89">
        <f>VLOOKUP(F56,D_装备金币参考表!$A$2:$C$81,3,FALSE)*Q56-VLOOKUP(F44,D_装备金币参考表!$A$2:$C$81,3,FALSE)*Q56+U44</f>
        <v>3752.2000000000007</v>
      </c>
      <c r="W56">
        <f t="shared" si="17"/>
        <v>6</v>
      </c>
      <c r="X56">
        <f t="shared" si="18"/>
        <v>15</v>
      </c>
      <c r="Y56">
        <f t="shared" si="19"/>
        <v>15</v>
      </c>
      <c r="Z56" s="25">
        <f t="shared" si="20"/>
        <v>16</v>
      </c>
      <c r="AA56" s="25">
        <f t="shared" si="21"/>
        <v>15</v>
      </c>
      <c r="AB56" s="25">
        <f t="shared" si="22"/>
        <v>0</v>
      </c>
      <c r="AC56" s="25">
        <f t="shared" si="23"/>
        <v>80</v>
      </c>
      <c r="AD56">
        <v>22</v>
      </c>
      <c r="AE56" s="5">
        <f t="shared" si="12"/>
        <v>55.60956336124427</v>
      </c>
      <c r="AF56" s="5">
        <f t="shared" si="12"/>
        <v>172.06596187462947</v>
      </c>
      <c r="AG56" s="5">
        <f t="shared" si="24"/>
        <v>183.03890971509728</v>
      </c>
      <c r="AH56" s="5">
        <f t="shared" si="24"/>
        <v>344.13192374925893</v>
      </c>
      <c r="AI56" s="5">
        <f t="shared" si="12"/>
        <v>366.07781943019455</v>
      </c>
      <c r="AJ56" s="5">
        <f t="shared" si="25"/>
        <v>549.11672914529186</v>
      </c>
      <c r="AK56" s="5">
        <f t="shared" si="12"/>
        <v>561.12760383600983</v>
      </c>
      <c r="AL56" s="5">
        <f t="shared" si="26"/>
        <v>732.1556388603891</v>
      </c>
      <c r="AM56" s="5">
        <f t="shared" si="26"/>
        <v>748.17013844801306</v>
      </c>
      <c r="AN56" s="5">
        <f t="shared" si="12"/>
        <v>755.14028300058317</v>
      </c>
      <c r="AO56" s="5">
        <f t="shared" si="27"/>
        <v>854.18157867045397</v>
      </c>
      <c r="AP56" s="5">
        <f t="shared" si="27"/>
        <v>872.86516152268189</v>
      </c>
      <c r="AQ56" s="5">
        <f t="shared" si="27"/>
        <v>880.99699683401366</v>
      </c>
      <c r="AR56" s="5">
        <f t="shared" si="27"/>
        <v>997.56018459735071</v>
      </c>
      <c r="AS56" s="5">
        <f t="shared" si="28"/>
        <v>1006.8537106674441</v>
      </c>
    </row>
    <row r="57" spans="1:45" x14ac:dyDescent="0.15">
      <c r="A57" s="28" t="str">
        <f>F57&amp;D57&amp;VLOOKUP(E57,定义数据!$E$1:$F$7,2,FALSE)</f>
        <v>1525</v>
      </c>
      <c r="B57" s="28" t="str">
        <f t="shared" si="13"/>
        <v>1525</v>
      </c>
      <c r="C57" s="28">
        <f>装备属性计算表!AK53</f>
        <v>5</v>
      </c>
      <c r="D57" s="28">
        <f>装备属性计算表!B53</f>
        <v>2</v>
      </c>
      <c r="E57" s="28" t="str">
        <f>装备属性计算表!C53</f>
        <v>鞋子</v>
      </c>
      <c r="F57" s="28">
        <f>装备属性计算表!D53</f>
        <v>15</v>
      </c>
      <c r="G57" s="28">
        <f>ROUND(VLOOKUP($E57,装备属性计算表!$D$4:$O$9,装备属性计算表!F$2,FALSE)/装备属性计算表!F$10*VLOOKUP($F57&amp;$D57,$F$4:$S$29,G$34,FALSE),0)</f>
        <v>51</v>
      </c>
      <c r="H57" s="28">
        <f>ROUND(VLOOKUP($E57,装备属性计算表!$D$4:$O$9,装备属性计算表!G$2,FALSE)/装备属性计算表!G$10*VLOOKUP($F57&amp;$D57,$F$4:$S$29,H$34,FALSE),0)</f>
        <v>0</v>
      </c>
      <c r="I57" s="28">
        <f>ROUND(VLOOKUP($E57,装备属性计算表!$D$4:$O$9,装备属性计算表!H$2,FALSE)/装备属性计算表!H$10*VLOOKUP($F57&amp;$D57,$F$4:$S$29,I$34,FALSE),0)</f>
        <v>0</v>
      </c>
      <c r="J57" s="28">
        <f>ROUND(VLOOKUP($E57,装备属性计算表!$D$4:$O$9,装备属性计算表!I$2,FALSE)/装备属性计算表!I$10*VLOOKUP($F57&amp;$D57,$F$4:$S$29,J$34,FALSE),0)</f>
        <v>7</v>
      </c>
      <c r="K57" s="28">
        <f>ROUND(VLOOKUP($E57,装备属性计算表!$D$4:$O$9,装备属性计算表!J$2,FALSE)/装备属性计算表!J$10*VLOOKUP($F57&amp;$D57,$F$4:$S$29,K$34,FALSE),0)</f>
        <v>0</v>
      </c>
      <c r="L57" s="28">
        <f>ROUND(VLOOKUP($E57,装备属性计算表!$D$4:$O$9,装备属性计算表!K$2,FALSE)/装备属性计算表!K$10*VLOOKUP($F57&amp;$D57,$F$4:$S$29,L$34,FALSE),0)</f>
        <v>0</v>
      </c>
      <c r="M57" s="28">
        <f>ROUND(VLOOKUP($E57,装备属性计算表!$D$4:$O$9,装备属性计算表!L$2,FALSE)/装备属性计算表!L$10*VLOOKUP($F57&amp;$D57,$F$4:$S$29,M$34,FALSE),0)</f>
        <v>0</v>
      </c>
      <c r="N57" s="28">
        <f>ROUND(VLOOKUP($E57,装备属性计算表!$D$4:$O$9,装备属性计算表!M$2,FALSE)/装备属性计算表!M$10*VLOOKUP($F57&amp;$D57,$F$4:$S$29,N$34,FALSE),0)</f>
        <v>0</v>
      </c>
      <c r="O57" s="28">
        <f>ROUND(VLOOKUP($E57,装备属性计算表!$D$4:$O$9,装备属性计算表!N$2,FALSE)/装备属性计算表!N$10*VLOOKUP($F57&amp;$D57,$F$4:$S$29,O$34,FALSE),0)</f>
        <v>0</v>
      </c>
      <c r="P57" s="28">
        <f>ROUND(VLOOKUP($E57,装备属性计算表!$D$4:$O$9,装备属性计算表!O$2,FALSE)/装备属性计算表!O$10*VLOOKUP($F57&amp;$D57,$F$4:$S$29,P$34,FALSE),0)</f>
        <v>0</v>
      </c>
      <c r="Q57" s="28">
        <f>SUMPRODUCT(G57:P57,定义数据!$G$14:$P$14)</f>
        <v>4.42</v>
      </c>
      <c r="R57" s="28">
        <f t="shared" si="14"/>
        <v>221</v>
      </c>
      <c r="S57" s="91">
        <f t="shared" si="15"/>
        <v>221</v>
      </c>
      <c r="T57" s="28">
        <f t="shared" si="16"/>
        <v>26520</v>
      </c>
      <c r="U57" s="89">
        <f>VLOOKUP(F57,D_装备金币参考表!$A$2:$C$81,3,FALSE)*Q57-VLOOKUP(F45,D_装备金币参考表!$A$2:$C$81,3,FALSE)*Q57+U45</f>
        <v>5268.7999999999993</v>
      </c>
      <c r="W57">
        <f t="shared" si="17"/>
        <v>4</v>
      </c>
      <c r="X57">
        <f t="shared" si="18"/>
        <v>15</v>
      </c>
      <c r="Y57">
        <f t="shared" si="19"/>
        <v>15</v>
      </c>
      <c r="Z57" s="25">
        <f t="shared" si="20"/>
        <v>12</v>
      </c>
      <c r="AA57" s="25">
        <f t="shared" si="21"/>
        <v>25</v>
      </c>
      <c r="AB57" s="25">
        <f t="shared" si="22"/>
        <v>0</v>
      </c>
      <c r="AC57" s="25">
        <f t="shared" si="23"/>
        <v>880</v>
      </c>
      <c r="AD57">
        <v>23</v>
      </c>
      <c r="AE57" s="5">
        <f t="shared" si="12"/>
        <v>58.917754549353702</v>
      </c>
      <c r="AF57" s="5">
        <f t="shared" si="12"/>
        <v>182.38315320050842</v>
      </c>
      <c r="AG57" s="5">
        <f t="shared" si="24"/>
        <v>194.18660842909708</v>
      </c>
      <c r="AH57" s="5">
        <f t="shared" si="24"/>
        <v>364.76630640101683</v>
      </c>
      <c r="AI57" s="5">
        <f t="shared" si="12"/>
        <v>388.37321685819416</v>
      </c>
      <c r="AJ57" s="5">
        <f t="shared" si="25"/>
        <v>582.55982528729123</v>
      </c>
      <c r="AK57" s="5">
        <f t="shared" si="12"/>
        <v>595.48746797617832</v>
      </c>
      <c r="AL57" s="5">
        <f t="shared" si="26"/>
        <v>776.74643371638831</v>
      </c>
      <c r="AM57" s="5">
        <f t="shared" si="26"/>
        <v>793.98329063490439</v>
      </c>
      <c r="AN57" s="5">
        <f t="shared" si="12"/>
        <v>801.48711766091674</v>
      </c>
      <c r="AO57" s="5">
        <f t="shared" si="27"/>
        <v>906.20417266911966</v>
      </c>
      <c r="AP57" s="5">
        <f t="shared" si="27"/>
        <v>926.31383907405507</v>
      </c>
      <c r="AQ57" s="5">
        <f t="shared" si="27"/>
        <v>935.06830393773623</v>
      </c>
      <c r="AR57" s="5">
        <f t="shared" si="27"/>
        <v>1058.6443875132059</v>
      </c>
      <c r="AS57" s="5">
        <f t="shared" si="28"/>
        <v>1068.6494902145557</v>
      </c>
    </row>
    <row r="58" spans="1:45" x14ac:dyDescent="0.15">
      <c r="A58" s="28" t="str">
        <f>F58&amp;D58&amp;VLOOKUP(E58,定义数据!$E$1:$F$7,2,FALSE)</f>
        <v>1524</v>
      </c>
      <c r="B58" s="28" t="str">
        <f t="shared" si="13"/>
        <v>1524</v>
      </c>
      <c r="C58" s="28">
        <f>装备属性计算表!AK54</f>
        <v>5</v>
      </c>
      <c r="D58" s="28">
        <f>装备属性计算表!B54</f>
        <v>2</v>
      </c>
      <c r="E58" s="28" t="str">
        <f>装备属性计算表!C54</f>
        <v>腰带</v>
      </c>
      <c r="F58" s="28">
        <f>装备属性计算表!D54</f>
        <v>15</v>
      </c>
      <c r="G58" s="28">
        <f>ROUND(VLOOKUP($E58,装备属性计算表!$D$4:$O$9,装备属性计算表!F$2,FALSE)/装备属性计算表!F$10*VLOOKUP($F58&amp;$D58,$F$4:$S$29,G$34,FALSE),0)</f>
        <v>51</v>
      </c>
      <c r="H58" s="28">
        <f>ROUND(VLOOKUP($E58,装备属性计算表!$D$4:$O$9,装备属性计算表!G$2,FALSE)/装备属性计算表!G$10*VLOOKUP($F58&amp;$D58,$F$4:$S$29,H$34,FALSE),0)</f>
        <v>0</v>
      </c>
      <c r="I58" s="28">
        <f>ROUND(VLOOKUP($E58,装备属性计算表!$D$4:$O$9,装备属性计算表!H$2,FALSE)/装备属性计算表!H$10*VLOOKUP($F58&amp;$D58,$F$4:$S$29,I$34,FALSE),0)</f>
        <v>0</v>
      </c>
      <c r="J58" s="28">
        <f>ROUND(VLOOKUP($E58,装备属性计算表!$D$4:$O$9,装备属性计算表!I$2,FALSE)/装备属性计算表!I$10*VLOOKUP($F58&amp;$D58,$F$4:$S$29,J$34,FALSE),0)</f>
        <v>0</v>
      </c>
      <c r="K58" s="28">
        <f>ROUND(VLOOKUP($E58,装备属性计算表!$D$4:$O$9,装备属性计算表!J$2,FALSE)/装备属性计算表!J$10*VLOOKUP($F58&amp;$D58,$F$4:$S$29,K$34,FALSE),0)</f>
        <v>0</v>
      </c>
      <c r="L58" s="28">
        <f>ROUND(VLOOKUP($E58,装备属性计算表!$D$4:$O$9,装备属性计算表!K$2,FALSE)/装备属性计算表!K$10*VLOOKUP($F58&amp;$D58,$F$4:$S$29,L$34,FALSE),0)</f>
        <v>0</v>
      </c>
      <c r="M58" s="28">
        <f>ROUND(VLOOKUP($E58,装备属性计算表!$D$4:$O$9,装备属性计算表!L$2,FALSE)/装备属性计算表!L$10*VLOOKUP($F58&amp;$D58,$F$4:$S$29,M$34,FALSE),0)</f>
        <v>0</v>
      </c>
      <c r="N58" s="28">
        <f>ROUND(VLOOKUP($E58,装备属性计算表!$D$4:$O$9,装备属性计算表!M$2,FALSE)/装备属性计算表!M$10*VLOOKUP($F58&amp;$D58,$F$4:$S$29,N$34,FALSE),0)</f>
        <v>6</v>
      </c>
      <c r="O58" s="28">
        <f>ROUND(VLOOKUP($E58,装备属性计算表!$D$4:$O$9,装备属性计算表!N$2,FALSE)/装备属性计算表!N$10*VLOOKUP($F58&amp;$D58,$F$4:$S$29,O$34,FALSE),0)</f>
        <v>0</v>
      </c>
      <c r="P58" s="28">
        <f>ROUND(VLOOKUP($E58,装备属性计算表!$D$4:$O$9,装备属性计算表!O$2,FALSE)/装备属性计算表!O$10*VLOOKUP($F58&amp;$D58,$F$4:$S$29,P$34,FALSE),0)</f>
        <v>0</v>
      </c>
      <c r="Q58" s="28">
        <f>SUMPRODUCT(G58:P58,定义数据!$G$14:$P$14)</f>
        <v>3.12</v>
      </c>
      <c r="R58" s="28">
        <f t="shared" si="14"/>
        <v>156</v>
      </c>
      <c r="S58" s="91">
        <f t="shared" si="15"/>
        <v>156</v>
      </c>
      <c r="T58" s="28">
        <f t="shared" si="16"/>
        <v>18720</v>
      </c>
      <c r="U58" s="89">
        <f>VLOOKUP(F58,D_装备金币参考表!$A$2:$C$81,3,FALSE)*Q58-VLOOKUP(F46,D_装备金币参考表!$A$2:$C$81,3,FALSE)*Q58+U46</f>
        <v>3729.0000000000005</v>
      </c>
      <c r="W58">
        <f t="shared" si="17"/>
        <v>6</v>
      </c>
      <c r="X58">
        <f t="shared" si="18"/>
        <v>15</v>
      </c>
      <c r="Y58">
        <f t="shared" si="19"/>
        <v>15</v>
      </c>
      <c r="Z58" s="25">
        <f t="shared" si="20"/>
        <v>17</v>
      </c>
      <c r="AA58" s="25">
        <f t="shared" si="21"/>
        <v>16</v>
      </c>
      <c r="AB58" s="25">
        <f t="shared" si="22"/>
        <v>0</v>
      </c>
      <c r="AC58" s="25">
        <f t="shared" si="23"/>
        <v>680</v>
      </c>
      <c r="AD58">
        <v>24</v>
      </c>
      <c r="AE58" s="5">
        <f t="shared" si="12"/>
        <v>62.269390415051205</v>
      </c>
      <c r="AF58" s="5">
        <f t="shared" si="12"/>
        <v>192.840381223169</v>
      </c>
      <c r="AG58" s="5">
        <f t="shared" si="24"/>
        <v>205.49544803935322</v>
      </c>
      <c r="AH58" s="5">
        <f t="shared" si="24"/>
        <v>385.68076244633801</v>
      </c>
      <c r="AI58" s="5">
        <f t="shared" si="12"/>
        <v>410.99089607870644</v>
      </c>
      <c r="AJ58" s="5">
        <f t="shared" si="25"/>
        <v>616.48634411805961</v>
      </c>
      <c r="AK58" s="5">
        <f t="shared" si="12"/>
        <v>630.35461911717675</v>
      </c>
      <c r="AL58" s="5">
        <f t="shared" si="26"/>
        <v>821.98179215741288</v>
      </c>
      <c r="AM58" s="5">
        <f t="shared" si="26"/>
        <v>840.472825489569</v>
      </c>
      <c r="AN58" s="5">
        <f t="shared" si="12"/>
        <v>848.52435041570197</v>
      </c>
      <c r="AO58" s="5">
        <f t="shared" si="27"/>
        <v>958.97875751698166</v>
      </c>
      <c r="AP58" s="5">
        <f t="shared" si="27"/>
        <v>980.55162973783047</v>
      </c>
      <c r="AQ58" s="5">
        <f t="shared" si="27"/>
        <v>989.94507548498564</v>
      </c>
      <c r="AR58" s="5">
        <f t="shared" si="27"/>
        <v>1120.6304339860919</v>
      </c>
      <c r="AS58" s="5">
        <f t="shared" si="28"/>
        <v>1131.3658005542693</v>
      </c>
    </row>
    <row r="59" spans="1:45" x14ac:dyDescent="0.15">
      <c r="A59" s="28" t="str">
        <f>F59&amp;D59&amp;VLOOKUP(E59,定义数据!$E$1:$F$7,2,FALSE)</f>
        <v>1523</v>
      </c>
      <c r="B59" s="28" t="str">
        <f t="shared" si="13"/>
        <v>1523</v>
      </c>
      <c r="C59" s="28">
        <f>装备属性计算表!AK55</f>
        <v>5</v>
      </c>
      <c r="D59" s="28">
        <f>装备属性计算表!B55</f>
        <v>2</v>
      </c>
      <c r="E59" s="28" t="str">
        <f>装备属性计算表!C55</f>
        <v>项链</v>
      </c>
      <c r="F59" s="28">
        <f>装备属性计算表!D55</f>
        <v>15</v>
      </c>
      <c r="G59" s="28">
        <f>ROUND(VLOOKUP($E59,装备属性计算表!$D$4:$O$9,装备属性计算表!F$2,FALSE)/装备属性计算表!F$10*VLOOKUP($F59&amp;$D59,$F$4:$S$29,G$34,FALSE),0)</f>
        <v>0</v>
      </c>
      <c r="H59" s="28">
        <f>ROUND(VLOOKUP($E59,装备属性计算表!$D$4:$O$9,装备属性计算表!G$2,FALSE)/装备属性计算表!G$10*VLOOKUP($F59&amp;$D59,$F$4:$S$29,H$34,FALSE),0)</f>
        <v>3</v>
      </c>
      <c r="I59" s="28">
        <f>ROUND(VLOOKUP($E59,装备属性计算表!$D$4:$O$9,装备属性计算表!H$2,FALSE)/装备属性计算表!H$10*VLOOKUP($F59&amp;$D59,$F$4:$S$29,I$34,FALSE),0)</f>
        <v>0</v>
      </c>
      <c r="J59" s="28">
        <f>ROUND(VLOOKUP($E59,装备属性计算表!$D$4:$O$9,装备属性计算表!I$2,FALSE)/装备属性计算表!I$10*VLOOKUP($F59&amp;$D59,$F$4:$S$29,J$34,FALSE),0)</f>
        <v>0</v>
      </c>
      <c r="K59" s="28">
        <f>ROUND(VLOOKUP($E59,装备属性计算表!$D$4:$O$9,装备属性计算表!J$2,FALSE)/装备属性计算表!J$10*VLOOKUP($F59&amp;$D59,$F$4:$S$29,K$34,FALSE),0)</f>
        <v>10</v>
      </c>
      <c r="L59" s="28">
        <f>ROUND(VLOOKUP($E59,装备属性计算表!$D$4:$O$9,装备属性计算表!K$2,FALSE)/装备属性计算表!K$10*VLOOKUP($F59&amp;$D59,$F$4:$S$29,L$34,FALSE),0)</f>
        <v>0</v>
      </c>
      <c r="M59" s="28">
        <f>ROUND(VLOOKUP($E59,装备属性计算表!$D$4:$O$9,装备属性计算表!L$2,FALSE)/装备属性计算表!L$10*VLOOKUP($F59&amp;$D59,$F$4:$S$29,M$34,FALSE),0)</f>
        <v>0</v>
      </c>
      <c r="N59" s="28">
        <f>ROUND(VLOOKUP($E59,装备属性计算表!$D$4:$O$9,装备属性计算表!M$2,FALSE)/装备属性计算表!M$10*VLOOKUP($F59&amp;$D59,$F$4:$S$29,N$34,FALSE),0)</f>
        <v>0</v>
      </c>
      <c r="O59" s="28">
        <f>ROUND(VLOOKUP($E59,装备属性计算表!$D$4:$O$9,装备属性计算表!N$2,FALSE)/装备属性计算表!N$10*VLOOKUP($F59&amp;$D59,$F$4:$S$29,O$34,FALSE),0)</f>
        <v>0</v>
      </c>
      <c r="P59" s="28">
        <f>ROUND(VLOOKUP($E59,装备属性计算表!$D$4:$O$9,装备属性计算表!O$2,FALSE)/装备属性计算表!O$10*VLOOKUP($F59&amp;$D59,$F$4:$S$29,P$34,FALSE),0)</f>
        <v>0</v>
      </c>
      <c r="Q59" s="28">
        <f>SUMPRODUCT(G59:P59,定义数据!$G$14:$P$14)</f>
        <v>6.4</v>
      </c>
      <c r="R59" s="28">
        <f t="shared" si="14"/>
        <v>320</v>
      </c>
      <c r="S59" s="91">
        <f t="shared" si="15"/>
        <v>320</v>
      </c>
      <c r="T59" s="28">
        <f t="shared" si="16"/>
        <v>38400</v>
      </c>
      <c r="U59" s="89">
        <f>VLOOKUP(F59,D_装备金币参考表!$A$2:$C$81,3,FALSE)*Q59-VLOOKUP(F47,D_装备金币参考表!$A$2:$C$81,3,FALSE)*Q59+U47</f>
        <v>7889.6</v>
      </c>
      <c r="V59" s="25">
        <f>SUM(U54:U59)</f>
        <v>44938.2</v>
      </c>
      <c r="W59">
        <f t="shared" si="17"/>
        <v>3</v>
      </c>
      <c r="X59">
        <f t="shared" si="18"/>
        <v>15</v>
      </c>
      <c r="Y59">
        <f t="shared" si="19"/>
        <v>15</v>
      </c>
      <c r="Z59" s="25">
        <f t="shared" si="20"/>
        <v>10</v>
      </c>
      <c r="AA59" s="25">
        <f t="shared" si="21"/>
        <v>37</v>
      </c>
      <c r="AB59" s="25">
        <f t="shared" si="22"/>
        <v>0</v>
      </c>
      <c r="AC59" s="25">
        <f t="shared" si="23"/>
        <v>600</v>
      </c>
      <c r="AD59">
        <v>25</v>
      </c>
      <c r="AE59" s="5">
        <f t="shared" si="12"/>
        <v>65.663195110094165</v>
      </c>
      <c r="AF59" s="5">
        <f t="shared" si="12"/>
        <v>203.43359136083291</v>
      </c>
      <c r="AG59" s="5">
        <f t="shared" si="24"/>
        <v>216.96089626161219</v>
      </c>
      <c r="AH59" s="5">
        <f t="shared" si="24"/>
        <v>406.86718272166581</v>
      </c>
      <c r="AI59" s="5">
        <f t="shared" si="12"/>
        <v>433.92179252322438</v>
      </c>
      <c r="AJ59" s="5">
        <f t="shared" si="25"/>
        <v>650.88268878483655</v>
      </c>
      <c r="AK59" s="5">
        <f t="shared" si="12"/>
        <v>665.71493619776265</v>
      </c>
      <c r="AL59" s="5">
        <f t="shared" si="26"/>
        <v>867.84358504644877</v>
      </c>
      <c r="AM59" s="5">
        <f t="shared" si="26"/>
        <v>887.61991493035021</v>
      </c>
      <c r="AN59" s="5">
        <f t="shared" si="12"/>
        <v>896.23284880492201</v>
      </c>
      <c r="AO59" s="5">
        <f t="shared" si="27"/>
        <v>1012.4841825541903</v>
      </c>
      <c r="AP59" s="5">
        <f t="shared" si="27"/>
        <v>1035.5565674187419</v>
      </c>
      <c r="AQ59" s="5">
        <f t="shared" si="27"/>
        <v>1045.6049902724092</v>
      </c>
      <c r="AR59" s="5">
        <f t="shared" si="27"/>
        <v>1183.4932199071336</v>
      </c>
      <c r="AS59" s="5">
        <f t="shared" si="28"/>
        <v>1194.9771317398961</v>
      </c>
    </row>
    <row r="60" spans="1:45" x14ac:dyDescent="0.15">
      <c r="A60" s="28" t="str">
        <f>F60&amp;D60&amp;VLOOKUP(E60,定义数据!$E$1:$F$7,2,FALSE)</f>
        <v>1530</v>
      </c>
      <c r="B60" s="28" t="str">
        <f t="shared" ref="B60:B65" si="29">A60</f>
        <v>1530</v>
      </c>
      <c r="C60" s="28">
        <f>装备属性计算表!AK56</f>
        <v>6</v>
      </c>
      <c r="D60" s="28">
        <f>装备属性计算表!B56</f>
        <v>3</v>
      </c>
      <c r="E60" s="28" t="str">
        <f>装备属性计算表!C56</f>
        <v>武器</v>
      </c>
      <c r="F60" s="28">
        <f>装备属性计算表!D56</f>
        <v>15</v>
      </c>
      <c r="G60" s="28">
        <f>ROUND(VLOOKUP($E60,装备属性计算表!$D$4:$O$9,装备属性计算表!F$2,FALSE)/装备属性计算表!F$10*VLOOKUP($F60&amp;$D60,$F$4:$S$29,G$34,FALSE),0)</f>
        <v>0</v>
      </c>
      <c r="H60" s="28">
        <f>ROUND(VLOOKUP($E60,装备属性计算表!$D$4:$O$9,装备属性计算表!G$2,FALSE)/装备属性计算表!G$10*VLOOKUP($F60&amp;$D60,$F$4:$S$29,H$34,FALSE),0)</f>
        <v>13</v>
      </c>
      <c r="I60" s="28">
        <f>ROUND(VLOOKUP($E60,装备属性计算表!$D$4:$O$9,装备属性计算表!H$2,FALSE)/装备属性计算表!H$10*VLOOKUP($F60&amp;$D60,$F$4:$S$29,I$34,FALSE),0)</f>
        <v>0</v>
      </c>
      <c r="J60" s="28">
        <f>ROUND(VLOOKUP($E60,装备属性计算表!$D$4:$O$9,装备属性计算表!I$2,FALSE)/装备属性计算表!I$10*VLOOKUP($F60&amp;$D60,$F$4:$S$29,J$34,FALSE),0)</f>
        <v>0</v>
      </c>
      <c r="K60" s="28">
        <f>ROUND(VLOOKUP($E60,装备属性计算表!$D$4:$O$9,装备属性计算表!J$2,FALSE)/装备属性计算表!J$10*VLOOKUP($F60&amp;$D60,$F$4:$S$29,K$34,FALSE),0)</f>
        <v>0</v>
      </c>
      <c r="L60" s="28">
        <f>ROUND(VLOOKUP($E60,装备属性计算表!$D$4:$O$9,装备属性计算表!K$2,FALSE)/装备属性计算表!K$10*VLOOKUP($F60&amp;$D60,$F$4:$S$29,L$34,FALSE),0)</f>
        <v>8</v>
      </c>
      <c r="M60" s="28">
        <f>ROUND(VLOOKUP($E60,装备属性计算表!$D$4:$O$9,装备属性计算表!L$2,FALSE)/装备属性计算表!L$10*VLOOKUP($F60&amp;$D60,$F$4:$S$29,M$34,FALSE),0)</f>
        <v>0</v>
      </c>
      <c r="N60" s="28">
        <f>ROUND(VLOOKUP($E60,装备属性计算表!$D$4:$O$9,装备属性计算表!M$2,FALSE)/装备属性计算表!M$10*VLOOKUP($F60&amp;$D60,$F$4:$S$29,N$34,FALSE),0)</f>
        <v>0</v>
      </c>
      <c r="O60" s="28">
        <f>ROUND(VLOOKUP($E60,装备属性计算表!$D$4:$O$9,装备属性计算表!N$2,FALSE)/装备属性计算表!N$10*VLOOKUP($F60&amp;$D60,$F$4:$S$29,O$34,FALSE),0)</f>
        <v>0</v>
      </c>
      <c r="P60" s="28">
        <f>ROUND(VLOOKUP($E60,装备属性计算表!$D$4:$O$9,装备属性计算表!O$2,FALSE)/装备属性计算表!O$10*VLOOKUP($F60&amp;$D60,$F$4:$S$29,P$34,FALSE),0)</f>
        <v>0</v>
      </c>
      <c r="Q60" s="28">
        <f>SUMPRODUCT(G60:P60,定义数据!$G$14:$P$14)</f>
        <v>14.44</v>
      </c>
      <c r="R60" s="28">
        <f t="shared" ref="R60:R65" si="30">ROUND(Q60*$R$32,0)</f>
        <v>722</v>
      </c>
      <c r="S60" s="91">
        <f t="shared" ref="S60:S65" si="31">ROUND(Q60*$R$31,0)</f>
        <v>722</v>
      </c>
      <c r="T60" s="28">
        <f t="shared" ref="T60:T65" si="32">(1+F60)*F60/2*R60</f>
        <v>86640</v>
      </c>
      <c r="U60" s="89">
        <f>VLOOKUP(F60,D_装备金币参考表!$A$2:$C$81,3,FALSE)*Q60-VLOOKUP(F42,D_装备金币参考表!$A$2:$C$81,3,FALSE)*Q60+U42</f>
        <v>16858.2</v>
      </c>
      <c r="W60">
        <f t="shared" ref="W60:W65" si="33">IF(ROUNDDOWN(X$31/$R60,0)&gt;$F60,$F60,ROUNDDOWN(X$31/$R60,0))</f>
        <v>1</v>
      </c>
      <c r="X60">
        <f t="shared" ref="X60:X65" si="34">IF(ROUNDDOWN(Y$31/$R60,0)&gt;$F60,$F60,ROUNDDOWN(Y$31/$R60,0))</f>
        <v>6</v>
      </c>
      <c r="Y60">
        <f t="shared" ref="Y60:Y65" si="35">IF(X60&gt;$F60,0,F60)</f>
        <v>15</v>
      </c>
      <c r="Z60" s="25">
        <f t="shared" ref="Z60:Z65" si="36">ROUNDUP(IF(W60=0,0,W60*(W60+1)/2*R60/W$31),0)</f>
        <v>4</v>
      </c>
      <c r="AA60" s="25">
        <f t="shared" ref="AA60:AA65" si="37">ROUNDUP(IF(X60&gt;$F60,(($F60*($F60+1)/2)-(W60+1)*W60/2)*$R60/X$31,((X60*(X60+1)/2)-(W60+1)*W60/2)*$R60/X$31),0)</f>
        <v>15</v>
      </c>
      <c r="AB60" s="25">
        <f t="shared" ref="AB60:AB65" si="38">ROUNDUP(IF(Y60&gt;$F60,(($F60*($F60+1)/2)-(X60+1)*X60/2)*$R60/Y$31,((Y60*(Y60+1)/2)-(X60+1)*X60/2)*$R60/Y$31),0)</f>
        <v>15</v>
      </c>
      <c r="AC60" s="25">
        <f t="shared" ref="AC60:AC65" si="39">SUMPRODUCT(Z60:AB60,$W$31:$Y$31)-T60</f>
        <v>4160</v>
      </c>
      <c r="AD60">
        <v>20</v>
      </c>
      <c r="AE60" s="5">
        <f t="shared" ref="AE60:AR71" si="40">AE$32*$AD60^AE$33</f>
        <v>49.129121044631624</v>
      </c>
      <c r="AF60" s="5">
        <f t="shared" si="40"/>
        <v>151.86949507586496</v>
      </c>
      <c r="AG60" s="5">
        <f t="shared" si="24"/>
        <v>161.24681644349641</v>
      </c>
      <c r="AH60" s="5">
        <f t="shared" si="24"/>
        <v>303.73899015172992</v>
      </c>
      <c r="AI60" s="5">
        <f t="shared" si="40"/>
        <v>322.49363288699283</v>
      </c>
      <c r="AJ60" s="5">
        <f t="shared" si="25"/>
        <v>483.74044933048924</v>
      </c>
      <c r="AK60" s="5">
        <f t="shared" si="40"/>
        <v>493.99165635611405</v>
      </c>
      <c r="AL60" s="5">
        <f t="shared" si="26"/>
        <v>644.98726577398565</v>
      </c>
      <c r="AM60" s="5">
        <f t="shared" si="26"/>
        <v>658.65554180815207</v>
      </c>
      <c r="AN60" s="5">
        <f t="shared" si="40"/>
        <v>664.60168837182573</v>
      </c>
      <c r="AO60" s="5">
        <f t="shared" si="40"/>
        <v>752.48514340298334</v>
      </c>
      <c r="AP60" s="5">
        <f t="shared" si="40"/>
        <v>768.431465442844</v>
      </c>
      <c r="AQ60" s="5">
        <f t="shared" si="40"/>
        <v>775.36863643379661</v>
      </c>
      <c r="AR60" s="5">
        <f t="shared" si="40"/>
        <v>878.20738907753605</v>
      </c>
      <c r="AS60" s="5">
        <f t="shared" si="28"/>
        <v>886.1355844957676</v>
      </c>
    </row>
    <row r="61" spans="1:45" x14ac:dyDescent="0.15">
      <c r="A61" s="28" t="str">
        <f>F61&amp;D61&amp;VLOOKUP(E61,定义数据!$E$1:$F$7,2,FALSE)</f>
        <v>1531</v>
      </c>
      <c r="B61" s="28" t="str">
        <f t="shared" si="29"/>
        <v>1531</v>
      </c>
      <c r="C61" s="28">
        <f>装备属性计算表!AK57</f>
        <v>6</v>
      </c>
      <c r="D61" s="28">
        <f>装备属性计算表!B57</f>
        <v>3</v>
      </c>
      <c r="E61" s="28" t="str">
        <f>装备属性计算表!C57</f>
        <v>衣服</v>
      </c>
      <c r="F61" s="28">
        <f>装备属性计算表!D57</f>
        <v>15</v>
      </c>
      <c r="G61" s="28">
        <f>ROUND(VLOOKUP($E61,装备属性计算表!$D$4:$O$9,装备属性计算表!F$2,FALSE)/装备属性计算表!F$10*VLOOKUP($F61&amp;$D61,$F$4:$S$29,G$34,FALSE),0)</f>
        <v>200</v>
      </c>
      <c r="H61" s="28">
        <f>ROUND(VLOOKUP($E61,装备属性计算表!$D$4:$O$9,装备属性计算表!G$2,FALSE)/装备属性计算表!G$10*VLOOKUP($F61&amp;$D61,$F$4:$S$29,H$34,FALSE),0)</f>
        <v>0</v>
      </c>
      <c r="I61" s="28">
        <f>ROUND(VLOOKUP($E61,装备属性计算表!$D$4:$O$9,装备属性计算表!H$2,FALSE)/装备属性计算表!H$10*VLOOKUP($F61&amp;$D61,$F$4:$S$29,I$34,FALSE),0)</f>
        <v>4</v>
      </c>
      <c r="J61" s="28">
        <f>ROUND(VLOOKUP($E61,装备属性计算表!$D$4:$O$9,装备属性计算表!I$2,FALSE)/装备属性计算表!I$10*VLOOKUP($F61&amp;$D61,$F$4:$S$29,J$34,FALSE),0)</f>
        <v>0</v>
      </c>
      <c r="K61" s="28">
        <f>ROUND(VLOOKUP($E61,装备属性计算表!$D$4:$O$9,装备属性计算表!J$2,FALSE)/装备属性计算表!J$10*VLOOKUP($F61&amp;$D61,$F$4:$S$29,K$34,FALSE),0)</f>
        <v>0</v>
      </c>
      <c r="L61" s="28">
        <f>ROUND(VLOOKUP($E61,装备属性计算表!$D$4:$O$9,装备属性计算表!K$2,FALSE)/装备属性计算表!K$10*VLOOKUP($F61&amp;$D61,$F$4:$S$29,L$34,FALSE),0)</f>
        <v>0</v>
      </c>
      <c r="M61" s="28">
        <f>ROUND(VLOOKUP($E61,装备属性计算表!$D$4:$O$9,装备属性计算表!L$2,FALSE)/装备属性计算表!L$10*VLOOKUP($F61&amp;$D61,$F$4:$S$29,M$34,FALSE),0)</f>
        <v>0</v>
      </c>
      <c r="N61" s="28">
        <f>ROUND(VLOOKUP($E61,装备属性计算表!$D$4:$O$9,装备属性计算表!M$2,FALSE)/装备属性计算表!M$10*VLOOKUP($F61&amp;$D61,$F$4:$S$29,N$34,FALSE),0)</f>
        <v>0</v>
      </c>
      <c r="O61" s="28">
        <f>ROUND(VLOOKUP($E61,装备属性计算表!$D$4:$O$9,装备属性计算表!N$2,FALSE)/装备属性计算表!N$10*VLOOKUP($F61&amp;$D61,$F$4:$S$29,O$34,FALSE),0)</f>
        <v>0</v>
      </c>
      <c r="P61" s="28">
        <f>ROUND(VLOOKUP($E61,装备属性计算表!$D$4:$O$9,装备属性计算表!O$2,FALSE)/装备属性计算表!O$10*VLOOKUP($F61&amp;$D61,$F$4:$S$29,P$34,FALSE),0)</f>
        <v>0</v>
      </c>
      <c r="Q61" s="28">
        <f>SUMPRODUCT(G61:P61,定义数据!$G$14:$P$14)</f>
        <v>12</v>
      </c>
      <c r="R61" s="28">
        <f t="shared" si="30"/>
        <v>600</v>
      </c>
      <c r="S61" s="91">
        <f t="shared" si="31"/>
        <v>600</v>
      </c>
      <c r="T61" s="28">
        <f t="shared" si="32"/>
        <v>72000</v>
      </c>
      <c r="U61" s="89">
        <f>VLOOKUP(F61,D_装备金币参考表!$A$2:$C$81,3,FALSE)*Q61-VLOOKUP(F43,D_装备金币参考表!$A$2:$C$81,3,FALSE)*Q61+U43</f>
        <v>14117.2</v>
      </c>
      <c r="W61">
        <f t="shared" si="33"/>
        <v>1</v>
      </c>
      <c r="X61">
        <f t="shared" si="34"/>
        <v>8</v>
      </c>
      <c r="Y61">
        <f t="shared" si="35"/>
        <v>15</v>
      </c>
      <c r="Z61" s="25">
        <f t="shared" si="36"/>
        <v>3</v>
      </c>
      <c r="AA61" s="25">
        <f t="shared" si="37"/>
        <v>21</v>
      </c>
      <c r="AB61" s="25">
        <f t="shared" si="38"/>
        <v>11</v>
      </c>
      <c r="AC61" s="25">
        <f t="shared" si="39"/>
        <v>4600</v>
      </c>
      <c r="AD61">
        <v>21</v>
      </c>
      <c r="AE61" s="5">
        <f t="shared" si="40"/>
        <v>52.346190719345465</v>
      </c>
      <c r="AF61" s="5">
        <f t="shared" si="40"/>
        <v>161.89317142902769</v>
      </c>
      <c r="AG61" s="5">
        <f t="shared" si="24"/>
        <v>172.05722601031485</v>
      </c>
      <c r="AH61" s="5">
        <f t="shared" si="24"/>
        <v>323.78634285805538</v>
      </c>
      <c r="AI61" s="5">
        <f t="shared" si="40"/>
        <v>344.1144520206297</v>
      </c>
      <c r="AJ61" s="5">
        <f t="shared" si="25"/>
        <v>516.17167803094458</v>
      </c>
      <c r="AK61" s="5">
        <f t="shared" si="40"/>
        <v>527.29020814890669</v>
      </c>
      <c r="AL61" s="5">
        <f t="shared" si="26"/>
        <v>688.2289040412594</v>
      </c>
      <c r="AM61" s="5">
        <f t="shared" si="26"/>
        <v>703.05361086520884</v>
      </c>
      <c r="AN61" s="5">
        <f t="shared" si="40"/>
        <v>709.5044129173308</v>
      </c>
      <c r="AO61" s="5">
        <f t="shared" si="40"/>
        <v>802.93372138146924</v>
      </c>
      <c r="AP61" s="5">
        <f t="shared" si="40"/>
        <v>820.22921267607705</v>
      </c>
      <c r="AQ61" s="5">
        <f t="shared" si="40"/>
        <v>827.75514840355254</v>
      </c>
      <c r="AR61" s="5">
        <f t="shared" si="40"/>
        <v>937.40481448694516</v>
      </c>
      <c r="AS61" s="5">
        <f t="shared" si="28"/>
        <v>946.0058838897744</v>
      </c>
    </row>
    <row r="62" spans="1:45" x14ac:dyDescent="0.15">
      <c r="A62" s="28" t="str">
        <f>F62&amp;D62&amp;VLOOKUP(E62,定义数据!$E$1:$F$7,2,FALSE)</f>
        <v>1532</v>
      </c>
      <c r="B62" s="28" t="str">
        <f t="shared" si="29"/>
        <v>1532</v>
      </c>
      <c r="C62" s="28">
        <f>装备属性计算表!AK58</f>
        <v>6</v>
      </c>
      <c r="D62" s="28">
        <f>装备属性计算表!B58</f>
        <v>3</v>
      </c>
      <c r="E62" s="28" t="str">
        <f>装备属性计算表!C58</f>
        <v>裤子</v>
      </c>
      <c r="F62" s="28">
        <f>装备属性计算表!D58</f>
        <v>15</v>
      </c>
      <c r="G62" s="28">
        <f>ROUND(VLOOKUP($E62,装备属性计算表!$D$4:$O$9,装备属性计算表!F$2,FALSE)/装备属性计算表!F$10*VLOOKUP($F62&amp;$D62,$F$4:$S$29,G$34,FALSE),0)</f>
        <v>0</v>
      </c>
      <c r="H62" s="28">
        <f>ROUND(VLOOKUP($E62,装备属性计算表!$D$4:$O$9,装备属性计算表!G$2,FALSE)/装备属性计算表!G$10*VLOOKUP($F62&amp;$D62,$F$4:$S$29,H$34,FALSE),0)</f>
        <v>0</v>
      </c>
      <c r="I62" s="28">
        <f>ROUND(VLOOKUP($E62,装备属性计算表!$D$4:$O$9,装备属性计算表!H$2,FALSE)/装备属性计算表!H$10*VLOOKUP($F62&amp;$D62,$F$4:$S$29,I$34,FALSE),0)</f>
        <v>3</v>
      </c>
      <c r="J62" s="28">
        <f>ROUND(VLOOKUP($E62,装备属性计算表!$D$4:$O$9,装备属性计算表!I$2,FALSE)/装备属性计算表!I$10*VLOOKUP($F62&amp;$D62,$F$4:$S$29,J$34,FALSE),0)</f>
        <v>4</v>
      </c>
      <c r="K62" s="28">
        <f>ROUND(VLOOKUP($E62,装备属性计算表!$D$4:$O$9,装备属性计算表!J$2,FALSE)/装备属性计算表!J$10*VLOOKUP($F62&amp;$D62,$F$4:$S$29,K$34,FALSE),0)</f>
        <v>0</v>
      </c>
      <c r="L62" s="28">
        <f>ROUND(VLOOKUP($E62,装备属性计算表!$D$4:$O$9,装备属性计算表!K$2,FALSE)/装备属性计算表!K$10*VLOOKUP($F62&amp;$D62,$F$4:$S$29,L$34,FALSE),0)</f>
        <v>0</v>
      </c>
      <c r="M62" s="28">
        <f>ROUND(VLOOKUP($E62,装备属性计算表!$D$4:$O$9,装备属性计算表!L$2,FALSE)/装备属性计算表!L$10*VLOOKUP($F62&amp;$D62,$F$4:$S$29,M$34,FALSE),0)</f>
        <v>0</v>
      </c>
      <c r="N62" s="28">
        <f>ROUND(VLOOKUP($E62,装备属性计算表!$D$4:$O$9,装备属性计算表!M$2,FALSE)/装备属性计算表!M$10*VLOOKUP($F62&amp;$D62,$F$4:$S$29,N$34,FALSE),0)</f>
        <v>0</v>
      </c>
      <c r="O62" s="28">
        <f>ROUND(VLOOKUP($E62,装备属性计算表!$D$4:$O$9,装备属性计算表!N$2,FALSE)/装备属性计算表!N$10*VLOOKUP($F62&amp;$D62,$F$4:$S$29,O$34,FALSE),0)</f>
        <v>0</v>
      </c>
      <c r="P62" s="28">
        <f>ROUND(VLOOKUP($E62,装备属性计算表!$D$4:$O$9,装备属性计算表!O$2,FALSE)/装备属性计算表!O$10*VLOOKUP($F62&amp;$D62,$F$4:$S$29,P$34,FALSE),0)</f>
        <v>0</v>
      </c>
      <c r="Q62" s="28">
        <f>SUMPRODUCT(G62:P62,定义数据!$G$14:$P$14)</f>
        <v>4.3600000000000003</v>
      </c>
      <c r="R62" s="28">
        <f t="shared" si="30"/>
        <v>218</v>
      </c>
      <c r="S62" s="91">
        <f t="shared" si="31"/>
        <v>218</v>
      </c>
      <c r="T62" s="28">
        <f t="shared" si="32"/>
        <v>26160</v>
      </c>
      <c r="U62" s="89">
        <f>VLOOKUP(F62,D_装备金币参考表!$A$2:$C$81,3,FALSE)*Q62-VLOOKUP(F44,D_装备金币参考表!$A$2:$C$81,3,FALSE)*Q62+U44</f>
        <v>5186</v>
      </c>
      <c r="W62">
        <f t="shared" si="33"/>
        <v>4</v>
      </c>
      <c r="X62">
        <f t="shared" si="34"/>
        <v>15</v>
      </c>
      <c r="Y62">
        <f t="shared" si="35"/>
        <v>15</v>
      </c>
      <c r="Z62" s="25">
        <f t="shared" si="36"/>
        <v>11</v>
      </c>
      <c r="AA62" s="25">
        <f t="shared" si="37"/>
        <v>24</v>
      </c>
      <c r="AB62" s="25">
        <f t="shared" si="38"/>
        <v>0</v>
      </c>
      <c r="AC62" s="25">
        <f t="shared" si="39"/>
        <v>40</v>
      </c>
      <c r="AD62">
        <v>22</v>
      </c>
      <c r="AE62" s="5">
        <f t="shared" si="40"/>
        <v>55.60956336124427</v>
      </c>
      <c r="AF62" s="5">
        <f t="shared" si="40"/>
        <v>172.06596187462947</v>
      </c>
      <c r="AG62" s="5">
        <f t="shared" si="24"/>
        <v>183.03890971509728</v>
      </c>
      <c r="AH62" s="5">
        <f t="shared" si="24"/>
        <v>344.13192374925893</v>
      </c>
      <c r="AI62" s="5">
        <f t="shared" si="40"/>
        <v>366.07781943019455</v>
      </c>
      <c r="AJ62" s="5">
        <f t="shared" si="25"/>
        <v>549.11672914529186</v>
      </c>
      <c r="AK62" s="5">
        <f t="shared" si="40"/>
        <v>561.12760383600983</v>
      </c>
      <c r="AL62" s="5">
        <f t="shared" si="26"/>
        <v>732.1556388603891</v>
      </c>
      <c r="AM62" s="5">
        <f t="shared" si="26"/>
        <v>748.17013844801306</v>
      </c>
      <c r="AN62" s="5">
        <f t="shared" si="40"/>
        <v>755.14028300058317</v>
      </c>
      <c r="AO62" s="5">
        <f t="shared" si="40"/>
        <v>854.18157867045397</v>
      </c>
      <c r="AP62" s="5">
        <f t="shared" si="40"/>
        <v>872.86516152268189</v>
      </c>
      <c r="AQ62" s="5">
        <f t="shared" si="40"/>
        <v>880.99699683401366</v>
      </c>
      <c r="AR62" s="5">
        <f t="shared" si="40"/>
        <v>997.56018459735071</v>
      </c>
      <c r="AS62" s="5">
        <f t="shared" si="28"/>
        <v>1006.8537106674441</v>
      </c>
    </row>
    <row r="63" spans="1:45" x14ac:dyDescent="0.15">
      <c r="A63" s="28" t="str">
        <f>F63&amp;D63&amp;VLOOKUP(E63,定义数据!$E$1:$F$7,2,FALSE)</f>
        <v>1535</v>
      </c>
      <c r="B63" s="28" t="str">
        <f t="shared" si="29"/>
        <v>1535</v>
      </c>
      <c r="C63" s="28">
        <f>装备属性计算表!AK59</f>
        <v>6</v>
      </c>
      <c r="D63" s="28">
        <f>装备属性计算表!B59</f>
        <v>3</v>
      </c>
      <c r="E63" s="28" t="str">
        <f>装备属性计算表!C59</f>
        <v>鞋子</v>
      </c>
      <c r="F63" s="28">
        <f>装备属性计算表!D59</f>
        <v>15</v>
      </c>
      <c r="G63" s="28">
        <f>ROUND(VLOOKUP($E63,装备属性计算表!$D$4:$O$9,装备属性计算表!F$2,FALSE)/装备属性计算表!F$10*VLOOKUP($F63&amp;$D63,$F$4:$S$29,G$34,FALSE),0)</f>
        <v>67</v>
      </c>
      <c r="H63" s="28">
        <f>ROUND(VLOOKUP($E63,装备属性计算表!$D$4:$O$9,装备属性计算表!G$2,FALSE)/装备属性计算表!G$10*VLOOKUP($F63&amp;$D63,$F$4:$S$29,H$34,FALSE),0)</f>
        <v>0</v>
      </c>
      <c r="I63" s="28">
        <f>ROUND(VLOOKUP($E63,装备属性计算表!$D$4:$O$9,装备属性计算表!H$2,FALSE)/装备属性计算表!H$10*VLOOKUP($F63&amp;$D63,$F$4:$S$29,I$34,FALSE),0)</f>
        <v>0</v>
      </c>
      <c r="J63" s="28">
        <f>ROUND(VLOOKUP($E63,装备属性计算表!$D$4:$O$9,装备属性计算表!I$2,FALSE)/装备属性计算表!I$10*VLOOKUP($F63&amp;$D63,$F$4:$S$29,J$34,FALSE),0)</f>
        <v>9</v>
      </c>
      <c r="K63" s="28">
        <f>ROUND(VLOOKUP($E63,装备属性计算表!$D$4:$O$9,装备属性计算表!J$2,FALSE)/装备属性计算表!J$10*VLOOKUP($F63&amp;$D63,$F$4:$S$29,K$34,FALSE),0)</f>
        <v>0</v>
      </c>
      <c r="L63" s="28">
        <f>ROUND(VLOOKUP($E63,装备属性计算表!$D$4:$O$9,装备属性计算表!K$2,FALSE)/装备属性计算表!K$10*VLOOKUP($F63&amp;$D63,$F$4:$S$29,L$34,FALSE),0)</f>
        <v>0</v>
      </c>
      <c r="M63" s="28">
        <f>ROUND(VLOOKUP($E63,装备属性计算表!$D$4:$O$9,装备属性计算表!L$2,FALSE)/装备属性计算表!L$10*VLOOKUP($F63&amp;$D63,$F$4:$S$29,M$34,FALSE),0)</f>
        <v>0</v>
      </c>
      <c r="N63" s="28">
        <f>ROUND(VLOOKUP($E63,装备属性计算表!$D$4:$O$9,装备属性计算表!M$2,FALSE)/装备属性计算表!M$10*VLOOKUP($F63&amp;$D63,$F$4:$S$29,N$34,FALSE),0)</f>
        <v>0</v>
      </c>
      <c r="O63" s="28">
        <f>ROUND(VLOOKUP($E63,装备属性计算表!$D$4:$O$9,装备属性计算表!N$2,FALSE)/装备属性计算表!N$10*VLOOKUP($F63&amp;$D63,$F$4:$S$29,O$34,FALSE),0)</f>
        <v>0</v>
      </c>
      <c r="P63" s="28">
        <f>ROUND(VLOOKUP($E63,装备属性计算表!$D$4:$O$9,装备属性计算表!O$2,FALSE)/装备属性计算表!O$10*VLOOKUP($F63&amp;$D63,$F$4:$S$29,P$34,FALSE),0)</f>
        <v>0</v>
      </c>
      <c r="Q63" s="28">
        <f>SUMPRODUCT(G63:P63,定义数据!$G$14:$P$14)</f>
        <v>5.74</v>
      </c>
      <c r="R63" s="28">
        <f t="shared" si="30"/>
        <v>287</v>
      </c>
      <c r="S63" s="91">
        <f t="shared" si="31"/>
        <v>287</v>
      </c>
      <c r="T63" s="28">
        <f t="shared" si="32"/>
        <v>34440</v>
      </c>
      <c r="U63" s="89">
        <f>VLOOKUP(F63,D_装备金币参考表!$A$2:$C$81,3,FALSE)*Q63-VLOOKUP(F45,D_装备金币参考表!$A$2:$C$81,3,FALSE)*Q63+U45</f>
        <v>6681.2000000000007</v>
      </c>
      <c r="W63">
        <f t="shared" si="33"/>
        <v>3</v>
      </c>
      <c r="X63">
        <f t="shared" si="34"/>
        <v>15</v>
      </c>
      <c r="Y63">
        <f t="shared" si="35"/>
        <v>15</v>
      </c>
      <c r="Z63" s="25">
        <f t="shared" si="36"/>
        <v>9</v>
      </c>
      <c r="AA63" s="25">
        <f t="shared" si="37"/>
        <v>33</v>
      </c>
      <c r="AB63" s="25">
        <f t="shared" si="38"/>
        <v>0</v>
      </c>
      <c r="AC63" s="25">
        <f t="shared" si="39"/>
        <v>360</v>
      </c>
      <c r="AD63">
        <v>23</v>
      </c>
      <c r="AE63" s="5">
        <f t="shared" si="40"/>
        <v>58.917754549353702</v>
      </c>
      <c r="AF63" s="5">
        <f t="shared" si="40"/>
        <v>182.38315320050842</v>
      </c>
      <c r="AG63" s="5">
        <f t="shared" si="24"/>
        <v>194.18660842909708</v>
      </c>
      <c r="AH63" s="5">
        <f t="shared" si="24"/>
        <v>364.76630640101683</v>
      </c>
      <c r="AI63" s="5">
        <f t="shared" si="40"/>
        <v>388.37321685819416</v>
      </c>
      <c r="AJ63" s="5">
        <f t="shared" si="25"/>
        <v>582.55982528729123</v>
      </c>
      <c r="AK63" s="5">
        <f t="shared" si="40"/>
        <v>595.48746797617832</v>
      </c>
      <c r="AL63" s="5">
        <f t="shared" si="26"/>
        <v>776.74643371638831</v>
      </c>
      <c r="AM63" s="5">
        <f t="shared" si="26"/>
        <v>793.98329063490439</v>
      </c>
      <c r="AN63" s="5">
        <f t="shared" si="40"/>
        <v>801.48711766091674</v>
      </c>
      <c r="AO63" s="5">
        <f t="shared" si="40"/>
        <v>906.20417266911966</v>
      </c>
      <c r="AP63" s="5">
        <f t="shared" si="40"/>
        <v>926.31383907405507</v>
      </c>
      <c r="AQ63" s="5">
        <f t="shared" si="40"/>
        <v>935.06830393773623</v>
      </c>
      <c r="AR63" s="5">
        <f t="shared" si="40"/>
        <v>1058.6443875132059</v>
      </c>
      <c r="AS63" s="5">
        <f t="shared" si="28"/>
        <v>1068.6494902145557</v>
      </c>
    </row>
    <row r="64" spans="1:45" x14ac:dyDescent="0.15">
      <c r="A64" s="28" t="str">
        <f>F64&amp;D64&amp;VLOOKUP(E64,定义数据!$E$1:$F$7,2,FALSE)</f>
        <v>1534</v>
      </c>
      <c r="B64" s="28" t="str">
        <f t="shared" si="29"/>
        <v>1534</v>
      </c>
      <c r="C64" s="28">
        <f>装备属性计算表!AK60</f>
        <v>6</v>
      </c>
      <c r="D64" s="28">
        <f>装备属性计算表!B60</f>
        <v>3</v>
      </c>
      <c r="E64" s="28" t="str">
        <f>装备属性计算表!C60</f>
        <v>腰带</v>
      </c>
      <c r="F64" s="28">
        <f>装备属性计算表!D60</f>
        <v>15</v>
      </c>
      <c r="G64" s="28">
        <f>ROUND(VLOOKUP($E64,装备属性计算表!$D$4:$O$9,装备属性计算表!F$2,FALSE)/装备属性计算表!F$10*VLOOKUP($F64&amp;$D64,$F$4:$S$29,G$34,FALSE),0)</f>
        <v>67</v>
      </c>
      <c r="H64" s="28">
        <f>ROUND(VLOOKUP($E64,装备属性计算表!$D$4:$O$9,装备属性计算表!G$2,FALSE)/装备属性计算表!G$10*VLOOKUP($F64&amp;$D64,$F$4:$S$29,H$34,FALSE),0)</f>
        <v>0</v>
      </c>
      <c r="I64" s="28">
        <f>ROUND(VLOOKUP($E64,装备属性计算表!$D$4:$O$9,装备属性计算表!H$2,FALSE)/装备属性计算表!H$10*VLOOKUP($F64&amp;$D64,$F$4:$S$29,I$34,FALSE),0)</f>
        <v>0</v>
      </c>
      <c r="J64" s="28">
        <f>ROUND(VLOOKUP($E64,装备属性计算表!$D$4:$O$9,装备属性计算表!I$2,FALSE)/装备属性计算表!I$10*VLOOKUP($F64&amp;$D64,$F$4:$S$29,J$34,FALSE),0)</f>
        <v>0</v>
      </c>
      <c r="K64" s="28">
        <f>ROUND(VLOOKUP($E64,装备属性计算表!$D$4:$O$9,装备属性计算表!J$2,FALSE)/装备属性计算表!J$10*VLOOKUP($F64&amp;$D64,$F$4:$S$29,K$34,FALSE),0)</f>
        <v>0</v>
      </c>
      <c r="L64" s="28">
        <f>ROUND(VLOOKUP($E64,装备属性计算表!$D$4:$O$9,装备属性计算表!K$2,FALSE)/装备属性计算表!K$10*VLOOKUP($F64&amp;$D64,$F$4:$S$29,L$34,FALSE),0)</f>
        <v>0</v>
      </c>
      <c r="M64" s="28">
        <f>ROUND(VLOOKUP($E64,装备属性计算表!$D$4:$O$9,装备属性计算表!L$2,FALSE)/装备属性计算表!L$10*VLOOKUP($F64&amp;$D64,$F$4:$S$29,M$34,FALSE),0)</f>
        <v>0</v>
      </c>
      <c r="N64" s="28">
        <f>ROUND(VLOOKUP($E64,装备属性计算表!$D$4:$O$9,装备属性计算表!M$2,FALSE)/装备属性计算表!M$10*VLOOKUP($F64&amp;$D64,$F$4:$S$29,N$34,FALSE),0)</f>
        <v>8</v>
      </c>
      <c r="O64" s="28">
        <f>ROUND(VLOOKUP($E64,装备属性计算表!$D$4:$O$9,装备属性计算表!N$2,FALSE)/装备属性计算表!N$10*VLOOKUP($F64&amp;$D64,$F$4:$S$29,O$34,FALSE),0)</f>
        <v>0</v>
      </c>
      <c r="P64" s="28">
        <f>ROUND(VLOOKUP($E64,装备属性计算表!$D$4:$O$9,装备属性计算表!O$2,FALSE)/装备属性计算表!O$10*VLOOKUP($F64&amp;$D64,$F$4:$S$29,P$34,FALSE),0)</f>
        <v>0</v>
      </c>
      <c r="Q64" s="28">
        <f>SUMPRODUCT(G64:P64,定义数据!$G$14:$P$14)</f>
        <v>4.12</v>
      </c>
      <c r="R64" s="28">
        <f t="shared" si="30"/>
        <v>206</v>
      </c>
      <c r="S64" s="91">
        <f t="shared" si="31"/>
        <v>206</v>
      </c>
      <c r="T64" s="28">
        <f t="shared" si="32"/>
        <v>24720</v>
      </c>
      <c r="U64" s="89">
        <f>VLOOKUP(F64,D_装备金币参考表!$A$2:$C$81,3,FALSE)*Q64-VLOOKUP(F46,D_装备金币参考表!$A$2:$C$81,3,FALSE)*Q64+U46</f>
        <v>4799.0000000000009</v>
      </c>
      <c r="W64">
        <f t="shared" si="33"/>
        <v>4</v>
      </c>
      <c r="X64">
        <f t="shared" si="34"/>
        <v>15</v>
      </c>
      <c r="Y64">
        <f t="shared" si="35"/>
        <v>15</v>
      </c>
      <c r="Z64" s="25">
        <f t="shared" si="36"/>
        <v>11</v>
      </c>
      <c r="AA64" s="25">
        <f t="shared" si="37"/>
        <v>23</v>
      </c>
      <c r="AB64" s="25">
        <f t="shared" si="38"/>
        <v>0</v>
      </c>
      <c r="AC64" s="25">
        <f t="shared" si="39"/>
        <v>480</v>
      </c>
      <c r="AD64">
        <v>24</v>
      </c>
      <c r="AE64" s="5">
        <f t="shared" si="40"/>
        <v>62.269390415051205</v>
      </c>
      <c r="AF64" s="5">
        <f t="shared" si="40"/>
        <v>192.840381223169</v>
      </c>
      <c r="AG64" s="5">
        <f t="shared" si="24"/>
        <v>205.49544803935322</v>
      </c>
      <c r="AH64" s="5">
        <f t="shared" si="24"/>
        <v>385.68076244633801</v>
      </c>
      <c r="AI64" s="5">
        <f t="shared" si="40"/>
        <v>410.99089607870644</v>
      </c>
      <c r="AJ64" s="5">
        <f t="shared" si="25"/>
        <v>616.48634411805961</v>
      </c>
      <c r="AK64" s="5">
        <f t="shared" si="40"/>
        <v>630.35461911717675</v>
      </c>
      <c r="AL64" s="5">
        <f t="shared" si="26"/>
        <v>821.98179215741288</v>
      </c>
      <c r="AM64" s="5">
        <f t="shared" si="26"/>
        <v>840.472825489569</v>
      </c>
      <c r="AN64" s="5">
        <f t="shared" si="40"/>
        <v>848.52435041570197</v>
      </c>
      <c r="AO64" s="5">
        <f t="shared" si="40"/>
        <v>958.97875751698166</v>
      </c>
      <c r="AP64" s="5">
        <f t="shared" si="40"/>
        <v>980.55162973783047</v>
      </c>
      <c r="AQ64" s="5">
        <f t="shared" si="40"/>
        <v>989.94507548498564</v>
      </c>
      <c r="AR64" s="5">
        <f t="shared" si="40"/>
        <v>1120.6304339860919</v>
      </c>
      <c r="AS64" s="5">
        <f t="shared" si="28"/>
        <v>1131.3658005542693</v>
      </c>
    </row>
    <row r="65" spans="1:45" x14ac:dyDescent="0.15">
      <c r="A65" s="28" t="str">
        <f>F65&amp;D65&amp;VLOOKUP(E65,定义数据!$E$1:$F$7,2,FALSE)</f>
        <v>1533</v>
      </c>
      <c r="B65" s="28" t="str">
        <f t="shared" si="29"/>
        <v>1533</v>
      </c>
      <c r="C65" s="28">
        <f>装备属性计算表!AK61</f>
        <v>6</v>
      </c>
      <c r="D65" s="28">
        <f>装备属性计算表!B61</f>
        <v>3</v>
      </c>
      <c r="E65" s="28" t="str">
        <f>装备属性计算表!C61</f>
        <v>项链</v>
      </c>
      <c r="F65" s="28">
        <f>装备属性计算表!D61</f>
        <v>15</v>
      </c>
      <c r="G65" s="28">
        <f>ROUND(VLOOKUP($E65,装备属性计算表!$D$4:$O$9,装备属性计算表!F$2,FALSE)/装备属性计算表!F$10*VLOOKUP($F65&amp;$D65,$F$4:$S$29,G$34,FALSE),0)</f>
        <v>0</v>
      </c>
      <c r="H65" s="28">
        <f>ROUND(VLOOKUP($E65,装备属性计算表!$D$4:$O$9,装备属性计算表!G$2,FALSE)/装备属性计算表!G$10*VLOOKUP($F65&amp;$D65,$F$4:$S$29,H$34,FALSE),0)</f>
        <v>4</v>
      </c>
      <c r="I65" s="28">
        <f>ROUND(VLOOKUP($E65,装备属性计算表!$D$4:$O$9,装备属性计算表!H$2,FALSE)/装备属性计算表!H$10*VLOOKUP($F65&amp;$D65,$F$4:$S$29,I$34,FALSE),0)</f>
        <v>0</v>
      </c>
      <c r="J65" s="28">
        <f>ROUND(VLOOKUP($E65,装备属性计算表!$D$4:$O$9,装备属性计算表!I$2,FALSE)/装备属性计算表!I$10*VLOOKUP($F65&amp;$D65,$F$4:$S$29,J$34,FALSE),0)</f>
        <v>0</v>
      </c>
      <c r="K65" s="28">
        <f>ROUND(VLOOKUP($E65,装备属性计算表!$D$4:$O$9,装备属性计算表!J$2,FALSE)/装备属性计算表!J$10*VLOOKUP($F65&amp;$D65,$F$4:$S$29,K$34,FALSE),0)</f>
        <v>13</v>
      </c>
      <c r="L65" s="28">
        <f>ROUND(VLOOKUP($E65,装备属性计算表!$D$4:$O$9,装备属性计算表!K$2,FALSE)/装备属性计算表!K$10*VLOOKUP($F65&amp;$D65,$F$4:$S$29,L$34,FALSE),0)</f>
        <v>0</v>
      </c>
      <c r="M65" s="28">
        <f>ROUND(VLOOKUP($E65,装备属性计算表!$D$4:$O$9,装备属性计算表!L$2,FALSE)/装备属性计算表!L$10*VLOOKUP($F65&amp;$D65,$F$4:$S$29,M$34,FALSE),0)</f>
        <v>0</v>
      </c>
      <c r="N65" s="28">
        <f>ROUND(VLOOKUP($E65,装备属性计算表!$D$4:$O$9,装备属性计算表!M$2,FALSE)/装备属性计算表!M$10*VLOOKUP($F65&amp;$D65,$F$4:$S$29,N$34,FALSE),0)</f>
        <v>0</v>
      </c>
      <c r="O65" s="28">
        <f>ROUND(VLOOKUP($E65,装备属性计算表!$D$4:$O$9,装备属性计算表!N$2,FALSE)/装备属性计算表!N$10*VLOOKUP($F65&amp;$D65,$F$4:$S$29,O$34,FALSE),0)</f>
        <v>0</v>
      </c>
      <c r="P65" s="28">
        <f>ROUND(VLOOKUP($E65,装备属性计算表!$D$4:$O$9,装备属性计算表!O$2,FALSE)/装备属性计算表!O$10*VLOOKUP($F65&amp;$D65,$F$4:$S$29,P$34,FALSE),0)</f>
        <v>0</v>
      </c>
      <c r="Q65" s="28">
        <f>SUMPRODUCT(G65:P65,定义数据!$G$14:$P$14)</f>
        <v>8.42</v>
      </c>
      <c r="R65" s="28">
        <f t="shared" si="30"/>
        <v>421</v>
      </c>
      <c r="S65" s="91">
        <f t="shared" si="31"/>
        <v>421</v>
      </c>
      <c r="T65" s="28">
        <f t="shared" si="32"/>
        <v>50520</v>
      </c>
      <c r="U65" s="89">
        <f>VLOOKUP(F65,D_装备金币参考表!$A$2:$C$81,3,FALSE)*Q65-VLOOKUP(F47,D_装备金币参考表!$A$2:$C$81,3,FALSE)*Q65+U47</f>
        <v>10051.000000000002</v>
      </c>
      <c r="V65" s="25">
        <f>SUM(U60:U65)</f>
        <v>57692.600000000006</v>
      </c>
      <c r="W65">
        <f t="shared" si="33"/>
        <v>2</v>
      </c>
      <c r="X65">
        <f t="shared" si="34"/>
        <v>11</v>
      </c>
      <c r="Y65">
        <f t="shared" si="35"/>
        <v>15</v>
      </c>
      <c r="Z65" s="25">
        <f t="shared" si="36"/>
        <v>7</v>
      </c>
      <c r="AA65" s="25">
        <f t="shared" si="37"/>
        <v>27</v>
      </c>
      <c r="AB65" s="25">
        <f t="shared" si="38"/>
        <v>5</v>
      </c>
      <c r="AC65" s="25">
        <f t="shared" si="39"/>
        <v>2880</v>
      </c>
      <c r="AD65">
        <v>25</v>
      </c>
      <c r="AE65" s="5">
        <f t="shared" si="40"/>
        <v>65.663195110094165</v>
      </c>
      <c r="AF65" s="5">
        <f t="shared" si="40"/>
        <v>203.43359136083291</v>
      </c>
      <c r="AG65" s="5">
        <f t="shared" si="24"/>
        <v>216.96089626161219</v>
      </c>
      <c r="AH65" s="5">
        <f t="shared" si="24"/>
        <v>406.86718272166581</v>
      </c>
      <c r="AI65" s="5">
        <f t="shared" si="40"/>
        <v>433.92179252322438</v>
      </c>
      <c r="AJ65" s="5">
        <f t="shared" si="25"/>
        <v>650.88268878483655</v>
      </c>
      <c r="AK65" s="5">
        <f t="shared" si="40"/>
        <v>665.71493619776265</v>
      </c>
      <c r="AL65" s="5">
        <f t="shared" si="26"/>
        <v>867.84358504644877</v>
      </c>
      <c r="AM65" s="5">
        <f t="shared" si="26"/>
        <v>887.61991493035021</v>
      </c>
      <c r="AN65" s="5">
        <f t="shared" si="40"/>
        <v>896.23284880492201</v>
      </c>
      <c r="AO65" s="5">
        <f t="shared" si="40"/>
        <v>1012.4841825541903</v>
      </c>
      <c r="AP65" s="5">
        <f t="shared" si="40"/>
        <v>1035.5565674187419</v>
      </c>
      <c r="AQ65" s="5">
        <f t="shared" si="40"/>
        <v>1045.6049902724092</v>
      </c>
      <c r="AR65" s="5">
        <f t="shared" si="40"/>
        <v>1183.4932199071336</v>
      </c>
      <c r="AS65" s="5">
        <f t="shared" si="28"/>
        <v>1194.9771317398961</v>
      </c>
    </row>
    <row r="66" spans="1:45" x14ac:dyDescent="0.15">
      <c r="A66" s="28" t="str">
        <f>F66&amp;D66&amp;VLOOKUP(E66,定义数据!$E$1:$F$7,2,FALSE)</f>
        <v>1540</v>
      </c>
      <c r="B66" s="28" t="str">
        <f t="shared" ref="B66:B71" si="41">A66</f>
        <v>1540</v>
      </c>
      <c r="C66" s="28">
        <f>装备属性计算表!AK62</f>
        <v>7</v>
      </c>
      <c r="D66" s="28">
        <f>装备属性计算表!B62</f>
        <v>4</v>
      </c>
      <c r="E66" s="28" t="str">
        <f>装备属性计算表!C62</f>
        <v>武器</v>
      </c>
      <c r="F66" s="28">
        <f>装备属性计算表!D62</f>
        <v>15</v>
      </c>
      <c r="G66" s="28">
        <f>ROUND(VLOOKUP($E66,装备属性计算表!$D$4:$O$9,装备属性计算表!F$2,FALSE)/装备属性计算表!F$10*VLOOKUP($F66&amp;$D66,$F$4:$S$29,G$34,FALSE),0)</f>
        <v>0</v>
      </c>
      <c r="H66" s="28">
        <f>ROUND(VLOOKUP($E66,装备属性计算表!$D$4:$O$9,装备属性计算表!G$2,FALSE)/装备属性计算表!G$10*VLOOKUP($F66&amp;$D66,$F$4:$S$29,H$34,FALSE),0)</f>
        <v>15</v>
      </c>
      <c r="I66" s="28">
        <f>ROUND(VLOOKUP($E66,装备属性计算表!$D$4:$O$9,装备属性计算表!H$2,FALSE)/装备属性计算表!H$10*VLOOKUP($F66&amp;$D66,$F$4:$S$29,I$34,FALSE),0)</f>
        <v>0</v>
      </c>
      <c r="J66" s="28">
        <f>ROUND(VLOOKUP($E66,装备属性计算表!$D$4:$O$9,装备属性计算表!I$2,FALSE)/装备属性计算表!I$10*VLOOKUP($F66&amp;$D66,$F$4:$S$29,J$34,FALSE),0)</f>
        <v>0</v>
      </c>
      <c r="K66" s="28">
        <f>ROUND(VLOOKUP($E66,装备属性计算表!$D$4:$O$9,装备属性计算表!J$2,FALSE)/装备属性计算表!J$10*VLOOKUP($F66&amp;$D66,$F$4:$S$29,K$34,FALSE),0)</f>
        <v>0</v>
      </c>
      <c r="L66" s="28">
        <f>ROUND(VLOOKUP($E66,装备属性计算表!$D$4:$O$9,装备属性计算表!K$2,FALSE)/装备属性计算表!K$10*VLOOKUP($F66&amp;$D66,$F$4:$S$29,L$34,FALSE),0)</f>
        <v>9</v>
      </c>
      <c r="M66" s="28">
        <f>ROUND(VLOOKUP($E66,装备属性计算表!$D$4:$O$9,装备属性计算表!L$2,FALSE)/装备属性计算表!L$10*VLOOKUP($F66&amp;$D66,$F$4:$S$29,M$34,FALSE),0)</f>
        <v>0</v>
      </c>
      <c r="N66" s="28">
        <f>ROUND(VLOOKUP($E66,装备属性计算表!$D$4:$O$9,装备属性计算表!M$2,FALSE)/装备属性计算表!M$10*VLOOKUP($F66&amp;$D66,$F$4:$S$29,N$34,FALSE),0)</f>
        <v>0</v>
      </c>
      <c r="O66" s="28">
        <f>ROUND(VLOOKUP($E66,装备属性计算表!$D$4:$O$9,装备属性计算表!N$2,FALSE)/装备属性计算表!N$10*VLOOKUP($F66&amp;$D66,$F$4:$S$29,O$34,FALSE),0)</f>
        <v>0</v>
      </c>
      <c r="P66" s="28">
        <f>ROUND(VLOOKUP($E66,装备属性计算表!$D$4:$O$9,装备属性计算表!O$2,FALSE)/装备属性计算表!O$10*VLOOKUP($F66&amp;$D66,$F$4:$S$29,P$34,FALSE),0)</f>
        <v>0</v>
      </c>
      <c r="Q66" s="28">
        <f>SUMPRODUCT(G66:P66,定义数据!$G$14:$P$14)</f>
        <v>16.62</v>
      </c>
      <c r="R66" s="28">
        <f t="shared" ref="R66:R71" si="42">ROUND(Q66*$R$32,0)</f>
        <v>831</v>
      </c>
      <c r="S66" s="91">
        <f t="shared" ref="S66:S71" si="43">ROUND(Q66*$R$31,0)</f>
        <v>831</v>
      </c>
      <c r="T66" s="28">
        <f t="shared" ref="T66:T71" si="44">(1+F66)*F66/2*R66</f>
        <v>99720</v>
      </c>
      <c r="U66" s="89">
        <f>VLOOKUP(F66,D_装备金币参考表!$A$2:$C$81,3,FALSE)*Q66-VLOOKUP(F42,D_装备金币参考表!$A$2:$C$81,3,FALSE)*Q66+U42</f>
        <v>19190.800000000003</v>
      </c>
      <c r="W66">
        <f t="shared" ref="W66:W71" si="45">IF(ROUNDDOWN(X$31/$R66,0)&gt;$F66,$F66,ROUNDDOWN(X$31/$R66,0))</f>
        <v>1</v>
      </c>
      <c r="X66">
        <f t="shared" ref="X66:X71" si="46">IF(ROUNDDOWN(Y$31/$R66,0)&gt;$F66,$F66,ROUNDDOWN(Y$31/$R66,0))</f>
        <v>6</v>
      </c>
      <c r="Y66">
        <f t="shared" ref="Y66:Y71" si="47">IF(X66&gt;$F66,0,F66)</f>
        <v>15</v>
      </c>
      <c r="Z66" s="25">
        <f t="shared" ref="Z66:Z71" si="48">ROUNDUP(IF(W66=0,0,W66*(W66+1)/2*R66/W$31),0)</f>
        <v>5</v>
      </c>
      <c r="AA66" s="25">
        <f t="shared" ref="AA66:AA71" si="49">ROUNDUP(IF(X66&gt;$F66,(($F66*($F66+1)/2)-(W66+1)*W66/2)*$R66/X$31,((X66*(X66+1)/2)-(W66+1)*W66/2)*$R66/X$31),0)</f>
        <v>17</v>
      </c>
      <c r="AB66" s="25">
        <f t="shared" ref="AB66:AB71" si="50">ROUNDUP(IF(Y66&gt;$F66,(($F66*($F66+1)/2)-(X66+1)*X66/2)*$R66/Y$31,((Y66*(Y66+1)/2)-(X66+1)*X66/2)*$R66/Y$31),0)</f>
        <v>17</v>
      </c>
      <c r="AC66" s="25">
        <f t="shared" ref="AC66:AC71" si="51">SUMPRODUCT(Z66:AB66,$W$31:$Y$31)-T66</f>
        <v>3280</v>
      </c>
      <c r="AD66">
        <v>20</v>
      </c>
      <c r="AE66" s="5">
        <f t="shared" si="40"/>
        <v>49.129121044631624</v>
      </c>
      <c r="AF66" s="5">
        <f t="shared" si="40"/>
        <v>151.86949507586496</v>
      </c>
      <c r="AG66" s="5">
        <f t="shared" si="24"/>
        <v>161.24681644349641</v>
      </c>
      <c r="AH66" s="5">
        <f t="shared" si="24"/>
        <v>303.73899015172992</v>
      </c>
      <c r="AI66" s="5">
        <f t="shared" si="40"/>
        <v>322.49363288699283</v>
      </c>
      <c r="AJ66" s="5">
        <f t="shared" si="25"/>
        <v>483.74044933048924</v>
      </c>
      <c r="AK66" s="5">
        <f t="shared" si="40"/>
        <v>493.99165635611405</v>
      </c>
      <c r="AL66" s="5">
        <f t="shared" si="26"/>
        <v>644.98726577398565</v>
      </c>
      <c r="AM66" s="5">
        <f t="shared" si="26"/>
        <v>658.65554180815207</v>
      </c>
      <c r="AN66" s="5">
        <f t="shared" si="40"/>
        <v>664.60168837182573</v>
      </c>
      <c r="AO66" s="5">
        <f t="shared" si="40"/>
        <v>752.48514340298334</v>
      </c>
      <c r="AP66" s="5">
        <f t="shared" si="40"/>
        <v>768.431465442844</v>
      </c>
      <c r="AQ66" s="5">
        <f t="shared" si="40"/>
        <v>775.36863643379661</v>
      </c>
      <c r="AR66" s="5">
        <f t="shared" si="40"/>
        <v>878.20738907753605</v>
      </c>
      <c r="AS66" s="5">
        <f t="shared" si="28"/>
        <v>886.1355844957676</v>
      </c>
    </row>
    <row r="67" spans="1:45" x14ac:dyDescent="0.15">
      <c r="A67" s="28" t="str">
        <f>F67&amp;D67&amp;VLOOKUP(E67,定义数据!$E$1:$F$7,2,FALSE)</f>
        <v>1541</v>
      </c>
      <c r="B67" s="28" t="str">
        <f t="shared" si="41"/>
        <v>1541</v>
      </c>
      <c r="C67" s="28">
        <f>装备属性计算表!AK63</f>
        <v>7</v>
      </c>
      <c r="D67" s="28">
        <f>装备属性计算表!B63</f>
        <v>4</v>
      </c>
      <c r="E67" s="28" t="str">
        <f>装备属性计算表!C63</f>
        <v>衣服</v>
      </c>
      <c r="F67" s="28">
        <f>装备属性计算表!D63</f>
        <v>15</v>
      </c>
      <c r="G67" s="28">
        <f>ROUND(VLOOKUP($E67,装备属性计算表!$D$4:$O$9,装备属性计算表!F$2,FALSE)/装备属性计算表!F$10*VLOOKUP($F67&amp;$D67,$F$4:$S$29,G$34,FALSE),0)</f>
        <v>235</v>
      </c>
      <c r="H67" s="28">
        <f>ROUND(VLOOKUP($E67,装备属性计算表!$D$4:$O$9,装备属性计算表!G$2,FALSE)/装备属性计算表!G$10*VLOOKUP($F67&amp;$D67,$F$4:$S$29,H$34,FALSE),0)</f>
        <v>0</v>
      </c>
      <c r="I67" s="28">
        <f>ROUND(VLOOKUP($E67,装备属性计算表!$D$4:$O$9,装备属性计算表!H$2,FALSE)/装备属性计算表!H$10*VLOOKUP($F67&amp;$D67,$F$4:$S$29,I$34,FALSE),0)</f>
        <v>5</v>
      </c>
      <c r="J67" s="28">
        <f>ROUND(VLOOKUP($E67,装备属性计算表!$D$4:$O$9,装备属性计算表!I$2,FALSE)/装备属性计算表!I$10*VLOOKUP($F67&amp;$D67,$F$4:$S$29,J$34,FALSE),0)</f>
        <v>0</v>
      </c>
      <c r="K67" s="28">
        <f>ROUND(VLOOKUP($E67,装备属性计算表!$D$4:$O$9,装备属性计算表!J$2,FALSE)/装备属性计算表!J$10*VLOOKUP($F67&amp;$D67,$F$4:$S$29,K$34,FALSE),0)</f>
        <v>0</v>
      </c>
      <c r="L67" s="28">
        <f>ROUND(VLOOKUP($E67,装备属性计算表!$D$4:$O$9,装备属性计算表!K$2,FALSE)/装备属性计算表!K$10*VLOOKUP($F67&amp;$D67,$F$4:$S$29,L$34,FALSE),0)</f>
        <v>0</v>
      </c>
      <c r="M67" s="28">
        <f>ROUND(VLOOKUP($E67,装备属性计算表!$D$4:$O$9,装备属性计算表!L$2,FALSE)/装备属性计算表!L$10*VLOOKUP($F67&amp;$D67,$F$4:$S$29,M$34,FALSE),0)</f>
        <v>0</v>
      </c>
      <c r="N67" s="28">
        <f>ROUND(VLOOKUP($E67,装备属性计算表!$D$4:$O$9,装备属性计算表!M$2,FALSE)/装备属性计算表!M$10*VLOOKUP($F67&amp;$D67,$F$4:$S$29,N$34,FALSE),0)</f>
        <v>0</v>
      </c>
      <c r="O67" s="28">
        <f>ROUND(VLOOKUP($E67,装备属性计算表!$D$4:$O$9,装备属性计算表!N$2,FALSE)/装备属性计算表!N$10*VLOOKUP($F67&amp;$D67,$F$4:$S$29,O$34,FALSE),0)</f>
        <v>0</v>
      </c>
      <c r="P67" s="28">
        <f>ROUND(VLOOKUP($E67,装备属性计算表!$D$4:$O$9,装备属性计算表!O$2,FALSE)/装备属性计算表!O$10*VLOOKUP($F67&amp;$D67,$F$4:$S$29,P$34,FALSE),0)</f>
        <v>0</v>
      </c>
      <c r="Q67" s="28">
        <f>SUMPRODUCT(G67:P67,定义数据!$G$14:$P$14)</f>
        <v>14.4</v>
      </c>
      <c r="R67" s="28">
        <f t="shared" si="42"/>
        <v>720</v>
      </c>
      <c r="S67" s="91">
        <f t="shared" si="43"/>
        <v>720</v>
      </c>
      <c r="T67" s="28">
        <f t="shared" si="44"/>
        <v>86400</v>
      </c>
      <c r="U67" s="89">
        <f>VLOOKUP(F67,D_装备金币参考表!$A$2:$C$81,3,FALSE)*Q67-VLOOKUP(F43,D_装备金币参考表!$A$2:$C$81,3,FALSE)*Q67+U43</f>
        <v>16685.2</v>
      </c>
      <c r="W67">
        <f t="shared" si="45"/>
        <v>1</v>
      </c>
      <c r="X67">
        <f t="shared" si="46"/>
        <v>6</v>
      </c>
      <c r="Y67">
        <f t="shared" si="47"/>
        <v>15</v>
      </c>
      <c r="Z67" s="25">
        <f t="shared" si="48"/>
        <v>4</v>
      </c>
      <c r="AA67" s="25">
        <f t="shared" si="49"/>
        <v>15</v>
      </c>
      <c r="AB67" s="25">
        <f t="shared" si="50"/>
        <v>15</v>
      </c>
      <c r="AC67" s="25">
        <f t="shared" si="51"/>
        <v>4400</v>
      </c>
      <c r="AD67">
        <v>21</v>
      </c>
      <c r="AE67" s="5">
        <f t="shared" si="40"/>
        <v>52.346190719345465</v>
      </c>
      <c r="AF67" s="5">
        <f t="shared" si="40"/>
        <v>161.89317142902769</v>
      </c>
      <c r="AG67" s="5">
        <f t="shared" si="24"/>
        <v>172.05722601031485</v>
      </c>
      <c r="AH67" s="5">
        <f t="shared" si="24"/>
        <v>323.78634285805538</v>
      </c>
      <c r="AI67" s="5">
        <f t="shared" si="40"/>
        <v>344.1144520206297</v>
      </c>
      <c r="AJ67" s="5">
        <f t="shared" si="25"/>
        <v>516.17167803094458</v>
      </c>
      <c r="AK67" s="5">
        <f t="shared" si="40"/>
        <v>527.29020814890669</v>
      </c>
      <c r="AL67" s="5">
        <f t="shared" si="26"/>
        <v>688.2289040412594</v>
      </c>
      <c r="AM67" s="5">
        <f t="shared" si="26"/>
        <v>703.05361086520884</v>
      </c>
      <c r="AN67" s="5">
        <f t="shared" si="40"/>
        <v>709.5044129173308</v>
      </c>
      <c r="AO67" s="5">
        <f t="shared" si="40"/>
        <v>802.93372138146924</v>
      </c>
      <c r="AP67" s="5">
        <f t="shared" si="40"/>
        <v>820.22921267607705</v>
      </c>
      <c r="AQ67" s="5">
        <f t="shared" si="40"/>
        <v>827.75514840355254</v>
      </c>
      <c r="AR67" s="5">
        <f t="shared" si="40"/>
        <v>937.40481448694516</v>
      </c>
      <c r="AS67" s="5">
        <f t="shared" si="28"/>
        <v>946.0058838897744</v>
      </c>
    </row>
    <row r="68" spans="1:45" x14ac:dyDescent="0.15">
      <c r="A68" s="28" t="str">
        <f>F68&amp;D68&amp;VLOOKUP(E68,定义数据!$E$1:$F$7,2,FALSE)</f>
        <v>1542</v>
      </c>
      <c r="B68" s="28" t="str">
        <f t="shared" si="41"/>
        <v>1542</v>
      </c>
      <c r="C68" s="28">
        <f>装备属性计算表!AK64</f>
        <v>7</v>
      </c>
      <c r="D68" s="28">
        <f>装备属性计算表!B64</f>
        <v>4</v>
      </c>
      <c r="E68" s="28" t="str">
        <f>装备属性计算表!C64</f>
        <v>裤子</v>
      </c>
      <c r="F68" s="28">
        <f>装备属性计算表!D64</f>
        <v>15</v>
      </c>
      <c r="G68" s="28">
        <f>ROUND(VLOOKUP($E68,装备属性计算表!$D$4:$O$9,装备属性计算表!F$2,FALSE)/装备属性计算表!F$10*VLOOKUP($F68&amp;$D68,$F$4:$S$29,G$34,FALSE),0)</f>
        <v>0</v>
      </c>
      <c r="H68" s="28">
        <f>ROUND(VLOOKUP($E68,装备属性计算表!$D$4:$O$9,装备属性计算表!G$2,FALSE)/装备属性计算表!G$10*VLOOKUP($F68&amp;$D68,$F$4:$S$29,H$34,FALSE),0)</f>
        <v>0</v>
      </c>
      <c r="I68" s="28">
        <f>ROUND(VLOOKUP($E68,装备属性计算表!$D$4:$O$9,装备属性计算表!H$2,FALSE)/装备属性计算表!H$10*VLOOKUP($F68&amp;$D68,$F$4:$S$29,I$34,FALSE),0)</f>
        <v>3</v>
      </c>
      <c r="J68" s="28">
        <f>ROUND(VLOOKUP($E68,装备属性计算表!$D$4:$O$9,装备属性计算表!I$2,FALSE)/装备属性计算表!I$10*VLOOKUP($F68&amp;$D68,$F$4:$S$29,J$34,FALSE),0)</f>
        <v>5</v>
      </c>
      <c r="K68" s="28">
        <f>ROUND(VLOOKUP($E68,装备属性计算表!$D$4:$O$9,装备属性计算表!J$2,FALSE)/装备属性计算表!J$10*VLOOKUP($F68&amp;$D68,$F$4:$S$29,K$34,FALSE),0)</f>
        <v>0</v>
      </c>
      <c r="L68" s="28">
        <f>ROUND(VLOOKUP($E68,装备属性计算表!$D$4:$O$9,装备属性计算表!K$2,FALSE)/装备属性计算表!K$10*VLOOKUP($F68&amp;$D68,$F$4:$S$29,L$34,FALSE),0)</f>
        <v>0</v>
      </c>
      <c r="M68" s="28">
        <f>ROUND(VLOOKUP($E68,装备属性计算表!$D$4:$O$9,装备属性计算表!L$2,FALSE)/装备属性计算表!L$10*VLOOKUP($F68&amp;$D68,$F$4:$S$29,M$34,FALSE),0)</f>
        <v>0</v>
      </c>
      <c r="N68" s="28">
        <f>ROUND(VLOOKUP($E68,装备属性计算表!$D$4:$O$9,装备属性计算表!M$2,FALSE)/装备属性计算表!M$10*VLOOKUP($F68&amp;$D68,$F$4:$S$29,N$34,FALSE),0)</f>
        <v>0</v>
      </c>
      <c r="O68" s="28">
        <f>ROUND(VLOOKUP($E68,装备属性计算表!$D$4:$O$9,装备属性计算表!N$2,FALSE)/装备属性计算表!N$10*VLOOKUP($F68&amp;$D68,$F$4:$S$29,O$34,FALSE),0)</f>
        <v>0</v>
      </c>
      <c r="P68" s="28">
        <f>ROUND(VLOOKUP($E68,装备属性计算表!$D$4:$O$9,装备属性计算表!O$2,FALSE)/装备属性计算表!O$10*VLOOKUP($F68&amp;$D68,$F$4:$S$29,P$34,FALSE),0)</f>
        <v>0</v>
      </c>
      <c r="Q68" s="28">
        <f>SUMPRODUCT(G68:P68,定义数据!$G$14:$P$14)</f>
        <v>4.7</v>
      </c>
      <c r="R68" s="28">
        <f t="shared" si="42"/>
        <v>235</v>
      </c>
      <c r="S68" s="91">
        <f t="shared" si="43"/>
        <v>235</v>
      </c>
      <c r="T68" s="28">
        <f t="shared" si="44"/>
        <v>28200</v>
      </c>
      <c r="U68" s="89">
        <f>VLOOKUP(F68,D_装备金币参考表!$A$2:$C$81,3,FALSE)*Q68-VLOOKUP(F44,D_装备金币参考表!$A$2:$C$81,3,FALSE)*Q68+U44</f>
        <v>5549.8</v>
      </c>
      <c r="W68">
        <f t="shared" si="45"/>
        <v>4</v>
      </c>
      <c r="X68">
        <f t="shared" si="46"/>
        <v>15</v>
      </c>
      <c r="Y68">
        <f t="shared" si="47"/>
        <v>15</v>
      </c>
      <c r="Z68" s="25">
        <f t="shared" si="48"/>
        <v>12</v>
      </c>
      <c r="AA68" s="25">
        <f t="shared" si="49"/>
        <v>26</v>
      </c>
      <c r="AB68" s="25">
        <f t="shared" si="50"/>
        <v>0</v>
      </c>
      <c r="AC68" s="25">
        <f t="shared" si="51"/>
        <v>200</v>
      </c>
      <c r="AD68">
        <v>22</v>
      </c>
      <c r="AE68" s="5">
        <f t="shared" si="40"/>
        <v>55.60956336124427</v>
      </c>
      <c r="AF68" s="5">
        <f t="shared" si="40"/>
        <v>172.06596187462947</v>
      </c>
      <c r="AG68" s="5">
        <f t="shared" si="24"/>
        <v>183.03890971509728</v>
      </c>
      <c r="AH68" s="5">
        <f t="shared" si="24"/>
        <v>344.13192374925893</v>
      </c>
      <c r="AI68" s="5">
        <f t="shared" si="40"/>
        <v>366.07781943019455</v>
      </c>
      <c r="AJ68" s="5">
        <f t="shared" si="25"/>
        <v>549.11672914529186</v>
      </c>
      <c r="AK68" s="5">
        <f t="shared" si="40"/>
        <v>561.12760383600983</v>
      </c>
      <c r="AL68" s="5">
        <f t="shared" si="26"/>
        <v>732.1556388603891</v>
      </c>
      <c r="AM68" s="5">
        <f t="shared" si="26"/>
        <v>748.17013844801306</v>
      </c>
      <c r="AN68" s="5">
        <f t="shared" si="40"/>
        <v>755.14028300058317</v>
      </c>
      <c r="AO68" s="5">
        <f t="shared" si="40"/>
        <v>854.18157867045397</v>
      </c>
      <c r="AP68" s="5">
        <f t="shared" si="40"/>
        <v>872.86516152268189</v>
      </c>
      <c r="AQ68" s="5">
        <f t="shared" si="40"/>
        <v>880.99699683401366</v>
      </c>
      <c r="AR68" s="5">
        <f t="shared" si="40"/>
        <v>997.56018459735071</v>
      </c>
      <c r="AS68" s="5">
        <f t="shared" si="28"/>
        <v>1006.8537106674441</v>
      </c>
    </row>
    <row r="69" spans="1:45" x14ac:dyDescent="0.15">
      <c r="A69" s="28" t="str">
        <f>F69&amp;D69&amp;VLOOKUP(E69,定义数据!$E$1:$F$7,2,FALSE)</f>
        <v>1545</v>
      </c>
      <c r="B69" s="28" t="str">
        <f t="shared" si="41"/>
        <v>1545</v>
      </c>
      <c r="C69" s="28">
        <f>装备属性计算表!AK65</f>
        <v>7</v>
      </c>
      <c r="D69" s="28">
        <f>装备属性计算表!B65</f>
        <v>4</v>
      </c>
      <c r="E69" s="28" t="str">
        <f>装备属性计算表!C65</f>
        <v>鞋子</v>
      </c>
      <c r="F69" s="28">
        <f>装备属性计算表!D65</f>
        <v>15</v>
      </c>
      <c r="G69" s="28">
        <f>ROUND(VLOOKUP($E69,装备属性计算表!$D$4:$O$9,装备属性计算表!F$2,FALSE)/装备属性计算表!F$10*VLOOKUP($F69&amp;$D69,$F$4:$S$29,G$34,FALSE),0)</f>
        <v>78</v>
      </c>
      <c r="H69" s="28">
        <f>ROUND(VLOOKUP($E69,装备属性计算表!$D$4:$O$9,装备属性计算表!G$2,FALSE)/装备属性计算表!G$10*VLOOKUP($F69&amp;$D69,$F$4:$S$29,H$34,FALSE),0)</f>
        <v>0</v>
      </c>
      <c r="I69" s="28">
        <f>ROUND(VLOOKUP($E69,装备属性计算表!$D$4:$O$9,装备属性计算表!H$2,FALSE)/装备属性计算表!H$10*VLOOKUP($F69&amp;$D69,$F$4:$S$29,I$34,FALSE),0)</f>
        <v>0</v>
      </c>
      <c r="J69" s="28">
        <f>ROUND(VLOOKUP($E69,装备属性计算表!$D$4:$O$9,装备属性计算表!I$2,FALSE)/装备属性计算表!I$10*VLOOKUP($F69&amp;$D69,$F$4:$S$29,J$34,FALSE),0)</f>
        <v>10</v>
      </c>
      <c r="K69" s="28">
        <f>ROUND(VLOOKUP($E69,装备属性计算表!$D$4:$O$9,装备属性计算表!J$2,FALSE)/装备属性计算表!J$10*VLOOKUP($F69&amp;$D69,$F$4:$S$29,K$34,FALSE),0)</f>
        <v>0</v>
      </c>
      <c r="L69" s="28">
        <f>ROUND(VLOOKUP($E69,装备属性计算表!$D$4:$O$9,装备属性计算表!K$2,FALSE)/装备属性计算表!K$10*VLOOKUP($F69&amp;$D69,$F$4:$S$29,L$34,FALSE),0)</f>
        <v>0</v>
      </c>
      <c r="M69" s="28">
        <f>ROUND(VLOOKUP($E69,装备属性计算表!$D$4:$O$9,装备属性计算表!L$2,FALSE)/装备属性计算表!L$10*VLOOKUP($F69&amp;$D69,$F$4:$S$29,M$34,FALSE),0)</f>
        <v>0</v>
      </c>
      <c r="N69" s="28">
        <f>ROUND(VLOOKUP($E69,装备属性计算表!$D$4:$O$9,装备属性计算表!M$2,FALSE)/装备属性计算表!M$10*VLOOKUP($F69&amp;$D69,$F$4:$S$29,N$34,FALSE),0)</f>
        <v>0</v>
      </c>
      <c r="O69" s="28">
        <f>ROUND(VLOOKUP($E69,装备属性计算表!$D$4:$O$9,装备属性计算表!N$2,FALSE)/装备属性计算表!N$10*VLOOKUP($F69&amp;$D69,$F$4:$S$29,O$34,FALSE),0)</f>
        <v>0</v>
      </c>
      <c r="P69" s="28">
        <f>ROUND(VLOOKUP($E69,装备属性计算表!$D$4:$O$9,装备属性计算表!O$2,FALSE)/装备属性计算表!O$10*VLOOKUP($F69&amp;$D69,$F$4:$S$29,P$34,FALSE),0)</f>
        <v>0</v>
      </c>
      <c r="Q69" s="28">
        <f>SUMPRODUCT(G69:P69,定义数据!$G$14:$P$14)</f>
        <v>6.5200000000000005</v>
      </c>
      <c r="R69" s="28">
        <f t="shared" si="42"/>
        <v>326</v>
      </c>
      <c r="S69" s="91">
        <f t="shared" si="43"/>
        <v>326</v>
      </c>
      <c r="T69" s="28">
        <f t="shared" si="44"/>
        <v>39120</v>
      </c>
      <c r="U69" s="89">
        <f>VLOOKUP(F69,D_装备金币参考表!$A$2:$C$81,3,FALSE)*Q69-VLOOKUP(F45,D_装备金币参考表!$A$2:$C$81,3,FALSE)*Q69+U45</f>
        <v>7515.8</v>
      </c>
      <c r="W69">
        <f t="shared" si="45"/>
        <v>3</v>
      </c>
      <c r="X69">
        <f t="shared" si="46"/>
        <v>15</v>
      </c>
      <c r="Y69">
        <f t="shared" si="47"/>
        <v>15</v>
      </c>
      <c r="Z69" s="25">
        <f t="shared" si="48"/>
        <v>10</v>
      </c>
      <c r="AA69" s="25">
        <f t="shared" si="49"/>
        <v>38</v>
      </c>
      <c r="AB69" s="25">
        <f t="shared" si="50"/>
        <v>0</v>
      </c>
      <c r="AC69" s="25">
        <f t="shared" si="51"/>
        <v>880</v>
      </c>
      <c r="AD69">
        <v>23</v>
      </c>
      <c r="AE69" s="5">
        <f t="shared" si="40"/>
        <v>58.917754549353702</v>
      </c>
      <c r="AF69" s="5">
        <f t="shared" si="40"/>
        <v>182.38315320050842</v>
      </c>
      <c r="AG69" s="5">
        <f t="shared" si="24"/>
        <v>194.18660842909708</v>
      </c>
      <c r="AH69" s="5">
        <f t="shared" si="24"/>
        <v>364.76630640101683</v>
      </c>
      <c r="AI69" s="5">
        <f t="shared" si="40"/>
        <v>388.37321685819416</v>
      </c>
      <c r="AJ69" s="5">
        <f t="shared" si="25"/>
        <v>582.55982528729123</v>
      </c>
      <c r="AK69" s="5">
        <f t="shared" si="40"/>
        <v>595.48746797617832</v>
      </c>
      <c r="AL69" s="5">
        <f t="shared" si="26"/>
        <v>776.74643371638831</v>
      </c>
      <c r="AM69" s="5">
        <f t="shared" si="26"/>
        <v>793.98329063490439</v>
      </c>
      <c r="AN69" s="5">
        <f t="shared" si="40"/>
        <v>801.48711766091674</v>
      </c>
      <c r="AO69" s="5">
        <f t="shared" si="40"/>
        <v>906.20417266911966</v>
      </c>
      <c r="AP69" s="5">
        <f t="shared" si="40"/>
        <v>926.31383907405507</v>
      </c>
      <c r="AQ69" s="5">
        <f t="shared" si="40"/>
        <v>935.06830393773623</v>
      </c>
      <c r="AR69" s="5">
        <f t="shared" si="40"/>
        <v>1058.6443875132059</v>
      </c>
      <c r="AS69" s="5">
        <f t="shared" si="28"/>
        <v>1068.6494902145557</v>
      </c>
    </row>
    <row r="70" spans="1:45" x14ac:dyDescent="0.15">
      <c r="A70" s="28" t="str">
        <f>F70&amp;D70&amp;VLOOKUP(E70,定义数据!$E$1:$F$7,2,FALSE)</f>
        <v>1544</v>
      </c>
      <c r="B70" s="28" t="str">
        <f t="shared" si="41"/>
        <v>1544</v>
      </c>
      <c r="C70" s="28">
        <f>装备属性计算表!AK66</f>
        <v>7</v>
      </c>
      <c r="D70" s="28">
        <f>装备属性计算表!B66</f>
        <v>4</v>
      </c>
      <c r="E70" s="28" t="str">
        <f>装备属性计算表!C66</f>
        <v>腰带</v>
      </c>
      <c r="F70" s="28">
        <f>装备属性计算表!D66</f>
        <v>15</v>
      </c>
      <c r="G70" s="28">
        <f>ROUND(VLOOKUP($E70,装备属性计算表!$D$4:$O$9,装备属性计算表!F$2,FALSE)/装备属性计算表!F$10*VLOOKUP($F70&amp;$D70,$F$4:$S$29,G$34,FALSE),0)</f>
        <v>78</v>
      </c>
      <c r="H70" s="28">
        <f>ROUND(VLOOKUP($E70,装备属性计算表!$D$4:$O$9,装备属性计算表!G$2,FALSE)/装备属性计算表!G$10*VLOOKUP($F70&amp;$D70,$F$4:$S$29,H$34,FALSE),0)</f>
        <v>0</v>
      </c>
      <c r="I70" s="28">
        <f>ROUND(VLOOKUP($E70,装备属性计算表!$D$4:$O$9,装备属性计算表!H$2,FALSE)/装备属性计算表!H$10*VLOOKUP($F70&amp;$D70,$F$4:$S$29,I$34,FALSE),0)</f>
        <v>0</v>
      </c>
      <c r="J70" s="28">
        <f>ROUND(VLOOKUP($E70,装备属性计算表!$D$4:$O$9,装备属性计算表!I$2,FALSE)/装备属性计算表!I$10*VLOOKUP($F70&amp;$D70,$F$4:$S$29,J$34,FALSE),0)</f>
        <v>0</v>
      </c>
      <c r="K70" s="28">
        <f>ROUND(VLOOKUP($E70,装备属性计算表!$D$4:$O$9,装备属性计算表!J$2,FALSE)/装备属性计算表!J$10*VLOOKUP($F70&amp;$D70,$F$4:$S$29,K$34,FALSE),0)</f>
        <v>0</v>
      </c>
      <c r="L70" s="28">
        <f>ROUND(VLOOKUP($E70,装备属性计算表!$D$4:$O$9,装备属性计算表!K$2,FALSE)/装备属性计算表!K$10*VLOOKUP($F70&amp;$D70,$F$4:$S$29,L$34,FALSE),0)</f>
        <v>0</v>
      </c>
      <c r="M70" s="28">
        <f>ROUND(VLOOKUP($E70,装备属性计算表!$D$4:$O$9,装备属性计算表!L$2,FALSE)/装备属性计算表!L$10*VLOOKUP($F70&amp;$D70,$F$4:$S$29,M$34,FALSE),0)</f>
        <v>0</v>
      </c>
      <c r="N70" s="28">
        <f>ROUND(VLOOKUP($E70,装备属性计算表!$D$4:$O$9,装备属性计算表!M$2,FALSE)/装备属性计算表!M$10*VLOOKUP($F70&amp;$D70,$F$4:$S$29,N$34,FALSE),0)</f>
        <v>9</v>
      </c>
      <c r="O70" s="28">
        <f>ROUND(VLOOKUP($E70,装备属性计算表!$D$4:$O$9,装备属性计算表!N$2,FALSE)/装备属性计算表!N$10*VLOOKUP($F70&amp;$D70,$F$4:$S$29,O$34,FALSE),0)</f>
        <v>0</v>
      </c>
      <c r="P70" s="28">
        <f>ROUND(VLOOKUP($E70,装备属性计算表!$D$4:$O$9,装备属性计算表!O$2,FALSE)/装备属性计算表!O$10*VLOOKUP($F70&amp;$D70,$F$4:$S$29,P$34,FALSE),0)</f>
        <v>0</v>
      </c>
      <c r="Q70" s="28">
        <f>SUMPRODUCT(G70:P70,定义数据!$G$14:$P$14)</f>
        <v>4.74</v>
      </c>
      <c r="R70" s="28">
        <f t="shared" si="42"/>
        <v>237</v>
      </c>
      <c r="S70" s="91">
        <f t="shared" si="43"/>
        <v>237</v>
      </c>
      <c r="T70" s="28">
        <f t="shared" si="44"/>
        <v>28440</v>
      </c>
      <c r="U70" s="89">
        <f>VLOOKUP(F70,D_装备金币参考表!$A$2:$C$81,3,FALSE)*Q70-VLOOKUP(F46,D_装备金币参考表!$A$2:$C$81,3,FALSE)*Q70+U46</f>
        <v>5462.4000000000015</v>
      </c>
      <c r="W70">
        <f t="shared" si="45"/>
        <v>4</v>
      </c>
      <c r="X70">
        <f t="shared" si="46"/>
        <v>15</v>
      </c>
      <c r="Y70">
        <f t="shared" si="47"/>
        <v>15</v>
      </c>
      <c r="Z70" s="25">
        <f t="shared" si="48"/>
        <v>12</v>
      </c>
      <c r="AA70" s="25">
        <f t="shared" si="49"/>
        <v>27</v>
      </c>
      <c r="AB70" s="25">
        <f t="shared" si="50"/>
        <v>0</v>
      </c>
      <c r="AC70" s="25">
        <f t="shared" si="51"/>
        <v>960</v>
      </c>
      <c r="AD70">
        <v>24</v>
      </c>
      <c r="AE70" s="5">
        <f t="shared" si="40"/>
        <v>62.269390415051205</v>
      </c>
      <c r="AF70" s="5">
        <f t="shared" si="40"/>
        <v>192.840381223169</v>
      </c>
      <c r="AG70" s="5">
        <f t="shared" si="24"/>
        <v>205.49544803935322</v>
      </c>
      <c r="AH70" s="5">
        <f t="shared" si="24"/>
        <v>385.68076244633801</v>
      </c>
      <c r="AI70" s="5">
        <f t="shared" si="40"/>
        <v>410.99089607870644</v>
      </c>
      <c r="AJ70" s="5">
        <f t="shared" si="25"/>
        <v>616.48634411805961</v>
      </c>
      <c r="AK70" s="5">
        <f t="shared" si="40"/>
        <v>630.35461911717675</v>
      </c>
      <c r="AL70" s="5">
        <f t="shared" si="26"/>
        <v>821.98179215741288</v>
      </c>
      <c r="AM70" s="5">
        <f t="shared" si="26"/>
        <v>840.472825489569</v>
      </c>
      <c r="AN70" s="5">
        <f t="shared" si="40"/>
        <v>848.52435041570197</v>
      </c>
      <c r="AO70" s="5">
        <f t="shared" si="40"/>
        <v>958.97875751698166</v>
      </c>
      <c r="AP70" s="5">
        <f t="shared" si="40"/>
        <v>980.55162973783047</v>
      </c>
      <c r="AQ70" s="5">
        <f t="shared" si="40"/>
        <v>989.94507548498564</v>
      </c>
      <c r="AR70" s="5">
        <f t="shared" si="40"/>
        <v>1120.6304339860919</v>
      </c>
      <c r="AS70" s="5">
        <f t="shared" si="28"/>
        <v>1131.3658005542693</v>
      </c>
    </row>
    <row r="71" spans="1:45" x14ac:dyDescent="0.15">
      <c r="A71" s="28" t="str">
        <f>F71&amp;D71&amp;VLOOKUP(E71,定义数据!$E$1:$F$7,2,FALSE)</f>
        <v>1543</v>
      </c>
      <c r="B71" s="28" t="str">
        <f t="shared" si="41"/>
        <v>1543</v>
      </c>
      <c r="C71" s="28">
        <f>装备属性计算表!AK67</f>
        <v>7</v>
      </c>
      <c r="D71" s="28">
        <f>装备属性计算表!B67</f>
        <v>4</v>
      </c>
      <c r="E71" s="28" t="str">
        <f>装备属性计算表!C67</f>
        <v>项链</v>
      </c>
      <c r="F71" s="28">
        <f>装备属性计算表!D67</f>
        <v>15</v>
      </c>
      <c r="G71" s="28">
        <f>ROUND(VLOOKUP($E71,装备属性计算表!$D$4:$O$9,装备属性计算表!F$2,FALSE)/装备属性计算表!F$10*VLOOKUP($F71&amp;$D71,$F$4:$S$29,G$34,FALSE),0)</f>
        <v>0</v>
      </c>
      <c r="H71" s="28">
        <f>ROUND(VLOOKUP($E71,装备属性计算表!$D$4:$O$9,装备属性计算表!G$2,FALSE)/装备属性计算表!G$10*VLOOKUP($F71&amp;$D71,$F$4:$S$29,H$34,FALSE),0)</f>
        <v>5</v>
      </c>
      <c r="I71" s="28">
        <f>ROUND(VLOOKUP($E71,装备属性计算表!$D$4:$O$9,装备属性计算表!H$2,FALSE)/装备属性计算表!H$10*VLOOKUP($F71&amp;$D71,$F$4:$S$29,I$34,FALSE),0)</f>
        <v>0</v>
      </c>
      <c r="J71" s="28">
        <f>ROUND(VLOOKUP($E71,装备属性计算表!$D$4:$O$9,装备属性计算表!I$2,FALSE)/装备属性计算表!I$10*VLOOKUP($F71&amp;$D71,$F$4:$S$29,J$34,FALSE),0)</f>
        <v>0</v>
      </c>
      <c r="K71" s="28">
        <f>ROUND(VLOOKUP($E71,装备属性计算表!$D$4:$O$9,装备属性计算表!J$2,FALSE)/装备属性计算表!J$10*VLOOKUP($F71&amp;$D71,$F$4:$S$29,K$34,FALSE),0)</f>
        <v>16</v>
      </c>
      <c r="L71" s="28">
        <f>ROUND(VLOOKUP($E71,装备属性计算表!$D$4:$O$9,装备属性计算表!K$2,FALSE)/装备属性计算表!K$10*VLOOKUP($F71&amp;$D71,$F$4:$S$29,L$34,FALSE),0)</f>
        <v>0</v>
      </c>
      <c r="M71" s="28">
        <f>ROUND(VLOOKUP($E71,装备属性计算表!$D$4:$O$9,装备属性计算表!L$2,FALSE)/装备属性计算表!L$10*VLOOKUP($F71&amp;$D71,$F$4:$S$29,M$34,FALSE),0)</f>
        <v>0</v>
      </c>
      <c r="N71" s="28">
        <f>ROUND(VLOOKUP($E71,装备属性计算表!$D$4:$O$9,装备属性计算表!M$2,FALSE)/装备属性计算表!M$10*VLOOKUP($F71&amp;$D71,$F$4:$S$29,N$34,FALSE),0)</f>
        <v>0</v>
      </c>
      <c r="O71" s="28">
        <f>ROUND(VLOOKUP($E71,装备属性计算表!$D$4:$O$9,装备属性计算表!N$2,FALSE)/装备属性计算表!N$10*VLOOKUP($F71&amp;$D71,$F$4:$S$29,O$34,FALSE),0)</f>
        <v>0</v>
      </c>
      <c r="P71" s="28">
        <f>ROUND(VLOOKUP($E71,装备属性计算表!$D$4:$O$9,装备属性计算表!O$2,FALSE)/装备属性计算表!O$10*VLOOKUP($F71&amp;$D71,$F$4:$S$29,P$34,FALSE),0)</f>
        <v>0</v>
      </c>
      <c r="Q71" s="28">
        <f>SUMPRODUCT(G71:P71,定义数据!$G$14:$P$14)</f>
        <v>10.440000000000001</v>
      </c>
      <c r="R71" s="28">
        <f t="shared" si="42"/>
        <v>522</v>
      </c>
      <c r="S71" s="91">
        <f t="shared" si="43"/>
        <v>522</v>
      </c>
      <c r="T71" s="28">
        <f t="shared" si="44"/>
        <v>62640</v>
      </c>
      <c r="U71" s="89">
        <f>VLOOKUP(F71,D_装备金币参考表!$A$2:$C$81,3,FALSE)*Q71-VLOOKUP(F47,D_装备金币参考表!$A$2:$C$81,3,FALSE)*Q71+U47</f>
        <v>12212.400000000003</v>
      </c>
      <c r="V71" s="25">
        <f>SUM(U66:U71)</f>
        <v>66616.400000000009</v>
      </c>
      <c r="W71">
        <f t="shared" si="45"/>
        <v>1</v>
      </c>
      <c r="X71">
        <f t="shared" si="46"/>
        <v>9</v>
      </c>
      <c r="Y71">
        <f t="shared" si="47"/>
        <v>15</v>
      </c>
      <c r="Z71" s="25">
        <f t="shared" si="48"/>
        <v>3</v>
      </c>
      <c r="AA71" s="25">
        <f t="shared" si="49"/>
        <v>23</v>
      </c>
      <c r="AB71" s="25">
        <f t="shared" si="50"/>
        <v>8</v>
      </c>
      <c r="AC71" s="25">
        <f t="shared" si="51"/>
        <v>960</v>
      </c>
      <c r="AD71">
        <v>25</v>
      </c>
      <c r="AE71" s="5">
        <f t="shared" si="40"/>
        <v>65.663195110094165</v>
      </c>
      <c r="AF71" s="5">
        <f t="shared" si="40"/>
        <v>203.43359136083291</v>
      </c>
      <c r="AG71" s="5">
        <f t="shared" si="24"/>
        <v>216.96089626161219</v>
      </c>
      <c r="AH71" s="5">
        <f t="shared" si="24"/>
        <v>406.86718272166581</v>
      </c>
      <c r="AI71" s="5">
        <f t="shared" si="40"/>
        <v>433.92179252322438</v>
      </c>
      <c r="AJ71" s="5">
        <f t="shared" si="25"/>
        <v>650.88268878483655</v>
      </c>
      <c r="AK71" s="5">
        <f t="shared" si="40"/>
        <v>665.71493619776265</v>
      </c>
      <c r="AL71" s="5">
        <f t="shared" si="26"/>
        <v>867.84358504644877</v>
      </c>
      <c r="AM71" s="5">
        <f t="shared" si="26"/>
        <v>887.61991493035021</v>
      </c>
      <c r="AN71" s="5">
        <f t="shared" si="40"/>
        <v>896.23284880492201</v>
      </c>
      <c r="AO71" s="5">
        <f t="shared" si="40"/>
        <v>1012.4841825541903</v>
      </c>
      <c r="AP71" s="5">
        <f t="shared" si="40"/>
        <v>1035.5565674187419</v>
      </c>
      <c r="AQ71" s="5">
        <f t="shared" si="40"/>
        <v>1045.6049902724092</v>
      </c>
      <c r="AR71" s="5">
        <f t="shared" si="40"/>
        <v>1183.4932199071336</v>
      </c>
      <c r="AS71" s="5">
        <f t="shared" si="28"/>
        <v>1194.9771317398961</v>
      </c>
    </row>
    <row r="72" spans="1:45" x14ac:dyDescent="0.15">
      <c r="A72" s="28" t="str">
        <f>F72&amp;D72&amp;VLOOKUP(E72,定义数据!$E$1:$F$7,2,FALSE)</f>
        <v>3010</v>
      </c>
      <c r="B72" s="28" t="str">
        <f t="shared" si="13"/>
        <v>3010</v>
      </c>
      <c r="C72" s="28">
        <f>装备属性计算表!AK68</f>
        <v>8</v>
      </c>
      <c r="D72" s="28">
        <f>装备属性计算表!B68</f>
        <v>1</v>
      </c>
      <c r="E72" s="28" t="str">
        <f>装备属性计算表!C68</f>
        <v>武器</v>
      </c>
      <c r="F72" s="28">
        <f>装备属性计算表!D68</f>
        <v>30</v>
      </c>
      <c r="G72" s="28">
        <f>ROUND(VLOOKUP($E72,装备属性计算表!$D$4:$O$9,装备属性计算表!F$2,FALSE)/装备属性计算表!F$10*VLOOKUP($F72&amp;$D72,$F$4:$S$29,G$34,FALSE),0)</f>
        <v>0</v>
      </c>
      <c r="H72" s="28">
        <f>ROUND(VLOOKUP($E72,装备属性计算表!$D$4:$O$9,装备属性计算表!G$2,FALSE)/装备属性计算表!G$10*VLOOKUP($F72&amp;$D72,$F$4:$S$29,H$34,FALSE),0)</f>
        <v>13</v>
      </c>
      <c r="I72" s="28">
        <f>ROUND(VLOOKUP($E72,装备属性计算表!$D$4:$O$9,装备属性计算表!H$2,FALSE)/装备属性计算表!H$10*VLOOKUP($F72&amp;$D72,$F$4:$S$29,I$34,FALSE),0)</f>
        <v>0</v>
      </c>
      <c r="J72" s="28">
        <f>ROUND(VLOOKUP($E72,装备属性计算表!$D$4:$O$9,装备属性计算表!I$2,FALSE)/装备属性计算表!I$10*VLOOKUP($F72&amp;$D72,$F$4:$S$29,J$34,FALSE),0)</f>
        <v>0</v>
      </c>
      <c r="K72" s="28">
        <f>ROUND(VLOOKUP($E72,装备属性计算表!$D$4:$O$9,装备属性计算表!J$2,FALSE)/装备属性计算表!J$10*VLOOKUP($F72&amp;$D72,$F$4:$S$29,K$34,FALSE),0)</f>
        <v>0</v>
      </c>
      <c r="L72" s="28">
        <f>ROUND(VLOOKUP($E72,装备属性计算表!$D$4:$O$9,装备属性计算表!K$2,FALSE)/装备属性计算表!K$10*VLOOKUP($F72&amp;$D72,$F$4:$S$29,L$34,FALSE),0)</f>
        <v>8</v>
      </c>
      <c r="M72" s="28">
        <f>ROUND(VLOOKUP($E72,装备属性计算表!$D$4:$O$9,装备属性计算表!L$2,FALSE)/装备属性计算表!L$10*VLOOKUP($F72&amp;$D72,$F$4:$S$29,M$34,FALSE),0)</f>
        <v>0</v>
      </c>
      <c r="N72" s="28">
        <f>ROUND(VLOOKUP($E72,装备属性计算表!$D$4:$O$9,装备属性计算表!M$2,FALSE)/装备属性计算表!M$10*VLOOKUP($F72&amp;$D72,$F$4:$S$29,N$34,FALSE),0)</f>
        <v>0</v>
      </c>
      <c r="O72" s="28">
        <f>ROUND(VLOOKUP($E72,装备属性计算表!$D$4:$O$9,装备属性计算表!N$2,FALSE)/装备属性计算表!N$10*VLOOKUP($F72&amp;$D72,$F$4:$S$29,O$34,FALSE),0)</f>
        <v>0</v>
      </c>
      <c r="P72" s="28">
        <f>ROUND(VLOOKUP($E72,装备属性计算表!$D$4:$O$9,装备属性计算表!O$2,FALSE)/装备属性计算表!O$10*VLOOKUP($F72&amp;$D72,$F$4:$S$29,P$34,FALSE),0)</f>
        <v>0</v>
      </c>
      <c r="Q72" s="28">
        <f>SUMPRODUCT(G72:P72,定义数据!$G$14:$P$14)</f>
        <v>14.44</v>
      </c>
      <c r="R72" s="28">
        <f t="shared" si="14"/>
        <v>722</v>
      </c>
      <c r="S72" s="91">
        <f t="shared" si="15"/>
        <v>722</v>
      </c>
      <c r="T72" s="28">
        <f t="shared" si="16"/>
        <v>335730</v>
      </c>
      <c r="U72" s="89">
        <f>VLOOKUP(F72,D_装备金币参考表!$A$2:$C$81,3,FALSE)*Q72-VLOOKUP(F48,D_装备金币参考表!$A$2:$C$81,3,FALSE)*Q72+U48</f>
        <v>72775.48</v>
      </c>
      <c r="W72">
        <f t="shared" si="17"/>
        <v>1</v>
      </c>
      <c r="X72">
        <f t="shared" si="18"/>
        <v>6</v>
      </c>
      <c r="Y72">
        <f t="shared" si="19"/>
        <v>30</v>
      </c>
      <c r="Z72" s="25">
        <f t="shared" si="20"/>
        <v>4</v>
      </c>
      <c r="AA72" s="25">
        <f t="shared" si="21"/>
        <v>15</v>
      </c>
      <c r="AB72" s="25">
        <f t="shared" si="22"/>
        <v>65</v>
      </c>
      <c r="AC72" s="25">
        <f t="shared" si="23"/>
        <v>5070</v>
      </c>
      <c r="AD72">
        <v>26</v>
      </c>
      <c r="AE72" s="5">
        <f t="shared" si="12"/>
        <v>69.097980143534002</v>
      </c>
      <c r="AF72" s="5">
        <f t="shared" si="12"/>
        <v>214.15900507152242</v>
      </c>
      <c r="AG72" s="5">
        <f t="shared" si="24"/>
        <v>228.57872584542443</v>
      </c>
      <c r="AH72" s="5">
        <f t="shared" si="24"/>
        <v>428.31801014304483</v>
      </c>
      <c r="AI72" s="5">
        <f t="shared" si="12"/>
        <v>457.15745169084886</v>
      </c>
      <c r="AJ72" s="5">
        <f t="shared" si="25"/>
        <v>685.73617753627332</v>
      </c>
      <c r="AK72" s="5">
        <f t="shared" si="12"/>
        <v>701.55524468879753</v>
      </c>
      <c r="AL72" s="5">
        <f t="shared" si="26"/>
        <v>914.31490338169772</v>
      </c>
      <c r="AM72" s="5">
        <f t="shared" si="26"/>
        <v>935.40699291839678</v>
      </c>
      <c r="AN72" s="5">
        <f t="shared" si="12"/>
        <v>944.59476057787833</v>
      </c>
      <c r="AO72" s="5">
        <f t="shared" si="27"/>
        <v>1066.7007206119806</v>
      </c>
      <c r="AP72" s="5">
        <f t="shared" si="27"/>
        <v>1091.3081584047964</v>
      </c>
      <c r="AQ72" s="5">
        <f t="shared" si="27"/>
        <v>1102.0272206741915</v>
      </c>
      <c r="AR72" s="5">
        <f t="shared" si="27"/>
        <v>1247.2093238911957</v>
      </c>
      <c r="AS72" s="5">
        <f t="shared" si="28"/>
        <v>1259.4596807705045</v>
      </c>
    </row>
    <row r="73" spans="1:45" x14ac:dyDescent="0.15">
      <c r="A73" s="28" t="str">
        <f>F73&amp;D73&amp;VLOOKUP(E73,定义数据!$E$1:$F$7,2,FALSE)</f>
        <v>3011</v>
      </c>
      <c r="B73" s="28" t="str">
        <f t="shared" si="13"/>
        <v>3011</v>
      </c>
      <c r="C73" s="28">
        <f>装备属性计算表!AK69</f>
        <v>8</v>
      </c>
      <c r="D73" s="28">
        <f>装备属性计算表!B69</f>
        <v>1</v>
      </c>
      <c r="E73" s="28" t="str">
        <f>装备属性计算表!C69</f>
        <v>衣服</v>
      </c>
      <c r="F73" s="28">
        <f>装备属性计算表!D69</f>
        <v>30</v>
      </c>
      <c r="G73" s="28">
        <f>ROUND(VLOOKUP($E73,装备属性计算表!$D$4:$O$9,装备属性计算表!F$2,FALSE)/装备属性计算表!F$10*VLOOKUP($F73&amp;$D73,$F$4:$S$29,G$34,FALSE),0)</f>
        <v>212</v>
      </c>
      <c r="H73" s="28">
        <f>ROUND(VLOOKUP($E73,装备属性计算表!$D$4:$O$9,装备属性计算表!G$2,FALSE)/装备属性计算表!G$10*VLOOKUP($F73&amp;$D73,$F$4:$S$29,H$34,FALSE),0)</f>
        <v>0</v>
      </c>
      <c r="I73" s="28">
        <f>ROUND(VLOOKUP($E73,装备属性计算表!$D$4:$O$9,装备属性计算表!H$2,FALSE)/装备属性计算表!H$10*VLOOKUP($F73&amp;$D73,$F$4:$S$29,I$34,FALSE),0)</f>
        <v>5</v>
      </c>
      <c r="J73" s="28">
        <f>ROUND(VLOOKUP($E73,装备属性计算表!$D$4:$O$9,装备属性计算表!I$2,FALSE)/装备属性计算表!I$10*VLOOKUP($F73&amp;$D73,$F$4:$S$29,J$34,FALSE),0)</f>
        <v>0</v>
      </c>
      <c r="K73" s="28">
        <f>ROUND(VLOOKUP($E73,装备属性计算表!$D$4:$O$9,装备属性计算表!J$2,FALSE)/装备属性计算表!J$10*VLOOKUP($F73&amp;$D73,$F$4:$S$29,K$34,FALSE),0)</f>
        <v>0</v>
      </c>
      <c r="L73" s="28">
        <f>ROUND(VLOOKUP($E73,装备属性计算表!$D$4:$O$9,装备属性计算表!K$2,FALSE)/装备属性计算表!K$10*VLOOKUP($F73&amp;$D73,$F$4:$S$29,L$34,FALSE),0)</f>
        <v>0</v>
      </c>
      <c r="M73" s="28">
        <f>ROUND(VLOOKUP($E73,装备属性计算表!$D$4:$O$9,装备属性计算表!L$2,FALSE)/装备属性计算表!L$10*VLOOKUP($F73&amp;$D73,$F$4:$S$29,M$34,FALSE),0)</f>
        <v>0</v>
      </c>
      <c r="N73" s="28">
        <f>ROUND(VLOOKUP($E73,装备属性计算表!$D$4:$O$9,装备属性计算表!M$2,FALSE)/装备属性计算表!M$10*VLOOKUP($F73&amp;$D73,$F$4:$S$29,N$34,FALSE),0)</f>
        <v>0</v>
      </c>
      <c r="O73" s="28">
        <f>ROUND(VLOOKUP($E73,装备属性计算表!$D$4:$O$9,装备属性计算表!N$2,FALSE)/装备属性计算表!N$10*VLOOKUP($F73&amp;$D73,$F$4:$S$29,O$34,FALSE),0)</f>
        <v>0</v>
      </c>
      <c r="P73" s="28">
        <f>ROUND(VLOOKUP($E73,装备属性计算表!$D$4:$O$9,装备属性计算表!O$2,FALSE)/装备属性计算表!O$10*VLOOKUP($F73&amp;$D73,$F$4:$S$29,P$34,FALSE),0)</f>
        <v>0</v>
      </c>
      <c r="Q73" s="28">
        <f>SUMPRODUCT(G73:P73,定义数据!$G$14:$P$14)</f>
        <v>13.48</v>
      </c>
      <c r="R73" s="28">
        <f t="shared" si="14"/>
        <v>674</v>
      </c>
      <c r="S73" s="91">
        <f t="shared" si="15"/>
        <v>674</v>
      </c>
      <c r="T73" s="28">
        <f t="shared" si="16"/>
        <v>313410</v>
      </c>
      <c r="U73" s="89">
        <f>VLOOKUP(F73,D_装备金币参考表!$A$2:$C$81,3,FALSE)*Q73-VLOOKUP(F49,D_装备金币参考表!$A$2:$C$81,3,FALSE)*Q73+U49</f>
        <v>67756.360000000015</v>
      </c>
      <c r="W73">
        <f t="shared" si="17"/>
        <v>1</v>
      </c>
      <c r="X73">
        <f t="shared" si="18"/>
        <v>7</v>
      </c>
      <c r="Y73">
        <f t="shared" si="19"/>
        <v>30</v>
      </c>
      <c r="Z73" s="25">
        <f t="shared" si="20"/>
        <v>4</v>
      </c>
      <c r="AA73" s="25">
        <f t="shared" si="21"/>
        <v>19</v>
      </c>
      <c r="AB73" s="25">
        <f t="shared" si="22"/>
        <v>59</v>
      </c>
      <c r="AC73" s="25">
        <f t="shared" si="23"/>
        <v>1390</v>
      </c>
      <c r="AD73">
        <v>27</v>
      </c>
      <c r="AE73" s="5">
        <f t="shared" si="12"/>
        <v>72.572635247101744</v>
      </c>
      <c r="AF73" s="5">
        <f t="shared" si="12"/>
        <v>225.01309108992842</v>
      </c>
      <c r="AG73" s="5">
        <f t="shared" si="24"/>
        <v>240.34498301383752</v>
      </c>
      <c r="AH73" s="5">
        <f t="shared" si="24"/>
        <v>450.02618217985685</v>
      </c>
      <c r="AI73" s="5">
        <f t="shared" si="12"/>
        <v>480.68996602767504</v>
      </c>
      <c r="AJ73" s="5">
        <f t="shared" si="25"/>
        <v>721.03494904151262</v>
      </c>
      <c r="AK73" s="5">
        <f t="shared" si="12"/>
        <v>737.86321890373563</v>
      </c>
      <c r="AL73" s="5">
        <f t="shared" si="26"/>
        <v>961.37993205535008</v>
      </c>
      <c r="AM73" s="5">
        <f t="shared" si="26"/>
        <v>983.8176252049808</v>
      </c>
      <c r="AN73" s="5">
        <f t="shared" si="12"/>
        <v>993.59338170668025</v>
      </c>
      <c r="AO73" s="5">
        <f t="shared" si="27"/>
        <v>1121.6099207312418</v>
      </c>
      <c r="AP73" s="5">
        <f t="shared" si="27"/>
        <v>1147.7872294058109</v>
      </c>
      <c r="AQ73" s="5">
        <f t="shared" si="27"/>
        <v>1159.1922786577936</v>
      </c>
      <c r="AR73" s="5">
        <f t="shared" si="27"/>
        <v>1311.7568336066411</v>
      </c>
      <c r="AS73" s="5">
        <f t="shared" si="28"/>
        <v>1324.791175608907</v>
      </c>
    </row>
    <row r="74" spans="1:45" x14ac:dyDescent="0.15">
      <c r="A74" s="28" t="str">
        <f>F74&amp;D74&amp;VLOOKUP(E74,定义数据!$E$1:$F$7,2,FALSE)</f>
        <v>3012</v>
      </c>
      <c r="B74" s="28" t="str">
        <f t="shared" si="13"/>
        <v>3012</v>
      </c>
      <c r="C74" s="28">
        <f>装备属性计算表!AK70</f>
        <v>8</v>
      </c>
      <c r="D74" s="28">
        <f>装备属性计算表!B70</f>
        <v>1</v>
      </c>
      <c r="E74" s="28" t="str">
        <f>装备属性计算表!C70</f>
        <v>裤子</v>
      </c>
      <c r="F74" s="28">
        <f>装备属性计算表!D70</f>
        <v>30</v>
      </c>
      <c r="G74" s="28">
        <f>ROUND(VLOOKUP($E74,装备属性计算表!$D$4:$O$9,装备属性计算表!F$2,FALSE)/装备属性计算表!F$10*VLOOKUP($F74&amp;$D74,$F$4:$S$29,G$34,FALSE),0)</f>
        <v>0</v>
      </c>
      <c r="H74" s="28">
        <f>ROUND(VLOOKUP($E74,装备属性计算表!$D$4:$O$9,装备属性计算表!G$2,FALSE)/装备属性计算表!G$10*VLOOKUP($F74&amp;$D74,$F$4:$S$29,H$34,FALSE),0)</f>
        <v>0</v>
      </c>
      <c r="I74" s="28">
        <f>ROUND(VLOOKUP($E74,装备属性计算表!$D$4:$O$9,装备属性计算表!H$2,FALSE)/装备属性计算表!H$10*VLOOKUP($F74&amp;$D74,$F$4:$S$29,I$34,FALSE),0)</f>
        <v>3</v>
      </c>
      <c r="J74" s="28">
        <f>ROUND(VLOOKUP($E74,装备属性计算表!$D$4:$O$9,装备属性计算表!I$2,FALSE)/装备属性计算表!I$10*VLOOKUP($F74&amp;$D74,$F$4:$S$29,J$34,FALSE),0)</f>
        <v>5</v>
      </c>
      <c r="K74" s="28">
        <f>ROUND(VLOOKUP($E74,装备属性计算表!$D$4:$O$9,装备属性计算表!J$2,FALSE)/装备属性计算表!J$10*VLOOKUP($F74&amp;$D74,$F$4:$S$29,K$34,FALSE),0)</f>
        <v>0</v>
      </c>
      <c r="L74" s="28">
        <f>ROUND(VLOOKUP($E74,装备属性计算表!$D$4:$O$9,装备属性计算表!K$2,FALSE)/装备属性计算表!K$10*VLOOKUP($F74&amp;$D74,$F$4:$S$29,L$34,FALSE),0)</f>
        <v>0</v>
      </c>
      <c r="M74" s="28">
        <f>ROUND(VLOOKUP($E74,装备属性计算表!$D$4:$O$9,装备属性计算表!L$2,FALSE)/装备属性计算表!L$10*VLOOKUP($F74&amp;$D74,$F$4:$S$29,M$34,FALSE),0)</f>
        <v>0</v>
      </c>
      <c r="N74" s="28">
        <f>ROUND(VLOOKUP($E74,装备属性计算表!$D$4:$O$9,装备属性计算表!M$2,FALSE)/装备属性计算表!M$10*VLOOKUP($F74&amp;$D74,$F$4:$S$29,N$34,FALSE),0)</f>
        <v>0</v>
      </c>
      <c r="O74" s="28">
        <f>ROUND(VLOOKUP($E74,装备属性计算表!$D$4:$O$9,装备属性计算表!N$2,FALSE)/装备属性计算表!N$10*VLOOKUP($F74&amp;$D74,$F$4:$S$29,O$34,FALSE),0)</f>
        <v>0</v>
      </c>
      <c r="P74" s="28">
        <f>ROUND(VLOOKUP($E74,装备属性计算表!$D$4:$O$9,装备属性计算表!O$2,FALSE)/装备属性计算表!O$10*VLOOKUP($F74&amp;$D74,$F$4:$S$29,P$34,FALSE),0)</f>
        <v>0</v>
      </c>
      <c r="Q74" s="28">
        <f>SUMPRODUCT(G74:P74,定义数据!$G$14:$P$14)</f>
        <v>4.7</v>
      </c>
      <c r="R74" s="28">
        <f t="shared" si="14"/>
        <v>235</v>
      </c>
      <c r="S74" s="91">
        <f t="shared" si="15"/>
        <v>235</v>
      </c>
      <c r="T74" s="28">
        <f t="shared" si="16"/>
        <v>109275</v>
      </c>
      <c r="U74" s="89">
        <f>VLOOKUP(F74,D_装备金币参考表!$A$2:$C$81,3,FALSE)*Q74-VLOOKUP(F50,D_装备金币参考表!$A$2:$C$81,3,FALSE)*Q74+U50</f>
        <v>24230.100000000002</v>
      </c>
      <c r="W74">
        <f t="shared" si="17"/>
        <v>4</v>
      </c>
      <c r="X74">
        <f t="shared" si="18"/>
        <v>21</v>
      </c>
      <c r="Y74">
        <f t="shared" si="19"/>
        <v>30</v>
      </c>
      <c r="Z74" s="25">
        <f t="shared" si="20"/>
        <v>12</v>
      </c>
      <c r="AA74" s="25">
        <f t="shared" si="21"/>
        <v>52</v>
      </c>
      <c r="AB74" s="25">
        <f t="shared" si="22"/>
        <v>11</v>
      </c>
      <c r="AC74" s="25">
        <f t="shared" si="23"/>
        <v>125</v>
      </c>
      <c r="AD74">
        <v>28</v>
      </c>
      <c r="AE74" s="5">
        <f t="shared" si="12"/>
        <v>76.086120501065693</v>
      </c>
      <c r="AF74" s="5">
        <f t="shared" si="12"/>
        <v>235.99254062328464</v>
      </c>
      <c r="AG74" s="5">
        <f t="shared" si="24"/>
        <v>252.25596022519358</v>
      </c>
      <c r="AH74" s="5">
        <f t="shared" si="24"/>
        <v>471.98508124656928</v>
      </c>
      <c r="AI74" s="5">
        <f t="shared" si="12"/>
        <v>504.51192045038715</v>
      </c>
      <c r="AJ74" s="5">
        <f t="shared" si="25"/>
        <v>756.76788067558073</v>
      </c>
      <c r="AK74" s="5">
        <f t="shared" si="12"/>
        <v>774.62729766369932</v>
      </c>
      <c r="AL74" s="5">
        <f t="shared" si="26"/>
        <v>1009.0238409007743</v>
      </c>
      <c r="AM74" s="5">
        <f t="shared" si="26"/>
        <v>1032.8363968849326</v>
      </c>
      <c r="AN74" s="5">
        <f t="shared" si="12"/>
        <v>1043.2130424291313</v>
      </c>
      <c r="AO74" s="5">
        <f t="shared" si="27"/>
        <v>1177.1944810509035</v>
      </c>
      <c r="AP74" s="5">
        <f t="shared" si="27"/>
        <v>1204.9757963657546</v>
      </c>
      <c r="AQ74" s="5">
        <f t="shared" si="27"/>
        <v>1217.0818828339864</v>
      </c>
      <c r="AR74" s="5">
        <f t="shared" si="27"/>
        <v>1377.1151958465766</v>
      </c>
      <c r="AS74" s="5">
        <f t="shared" si="28"/>
        <v>1390.9507232388416</v>
      </c>
    </row>
    <row r="75" spans="1:45" x14ac:dyDescent="0.15">
      <c r="A75" s="28" t="str">
        <f>F75&amp;D75&amp;VLOOKUP(E75,定义数据!$E$1:$F$7,2,FALSE)</f>
        <v>3015</v>
      </c>
      <c r="B75" s="28" t="str">
        <f t="shared" si="13"/>
        <v>3015</v>
      </c>
      <c r="C75" s="28">
        <f>装备属性计算表!AK71</f>
        <v>8</v>
      </c>
      <c r="D75" s="28">
        <f>装备属性计算表!B71</f>
        <v>1</v>
      </c>
      <c r="E75" s="28" t="str">
        <f>装备属性计算表!C71</f>
        <v>鞋子</v>
      </c>
      <c r="F75" s="28">
        <f>装备属性计算表!D71</f>
        <v>30</v>
      </c>
      <c r="G75" s="28">
        <f>ROUND(VLOOKUP($E75,装备属性计算表!$D$4:$O$9,装备属性计算表!F$2,FALSE)/装备属性计算表!F$10*VLOOKUP($F75&amp;$D75,$F$4:$S$29,G$34,FALSE),0)</f>
        <v>71</v>
      </c>
      <c r="H75" s="28">
        <f>ROUND(VLOOKUP($E75,装备属性计算表!$D$4:$O$9,装备属性计算表!G$2,FALSE)/装备属性计算表!G$10*VLOOKUP($F75&amp;$D75,$F$4:$S$29,H$34,FALSE),0)</f>
        <v>0</v>
      </c>
      <c r="I75" s="28">
        <f>ROUND(VLOOKUP($E75,装备属性计算表!$D$4:$O$9,装备属性计算表!H$2,FALSE)/装备属性计算表!H$10*VLOOKUP($F75&amp;$D75,$F$4:$S$29,I$34,FALSE),0)</f>
        <v>0</v>
      </c>
      <c r="J75" s="28">
        <f>ROUND(VLOOKUP($E75,装备属性计算表!$D$4:$O$9,装备属性计算表!I$2,FALSE)/装备属性计算表!I$10*VLOOKUP($F75&amp;$D75,$F$4:$S$29,J$34,FALSE),0)</f>
        <v>9</v>
      </c>
      <c r="K75" s="28">
        <f>ROUND(VLOOKUP($E75,装备属性计算表!$D$4:$O$9,装备属性计算表!J$2,FALSE)/装备属性计算表!J$10*VLOOKUP($F75&amp;$D75,$F$4:$S$29,K$34,FALSE),0)</f>
        <v>0</v>
      </c>
      <c r="L75" s="28">
        <f>ROUND(VLOOKUP($E75,装备属性计算表!$D$4:$O$9,装备属性计算表!K$2,FALSE)/装备属性计算表!K$10*VLOOKUP($F75&amp;$D75,$F$4:$S$29,L$34,FALSE),0)</f>
        <v>0</v>
      </c>
      <c r="M75" s="28">
        <f>ROUND(VLOOKUP($E75,装备属性计算表!$D$4:$O$9,装备属性计算表!L$2,FALSE)/装备属性计算表!L$10*VLOOKUP($F75&amp;$D75,$F$4:$S$29,M$34,FALSE),0)</f>
        <v>0</v>
      </c>
      <c r="N75" s="28">
        <f>ROUND(VLOOKUP($E75,装备属性计算表!$D$4:$O$9,装备属性计算表!M$2,FALSE)/装备属性计算表!M$10*VLOOKUP($F75&amp;$D75,$F$4:$S$29,N$34,FALSE),0)</f>
        <v>0</v>
      </c>
      <c r="O75" s="28">
        <f>ROUND(VLOOKUP($E75,装备属性计算表!$D$4:$O$9,装备属性计算表!N$2,FALSE)/装备属性计算表!N$10*VLOOKUP($F75&amp;$D75,$F$4:$S$29,O$34,FALSE),0)</f>
        <v>0</v>
      </c>
      <c r="P75" s="28">
        <f>ROUND(VLOOKUP($E75,装备属性计算表!$D$4:$O$9,装备属性计算表!O$2,FALSE)/装备属性计算表!O$10*VLOOKUP($F75&amp;$D75,$F$4:$S$29,P$34,FALSE),0)</f>
        <v>0</v>
      </c>
      <c r="Q75" s="28">
        <f>SUMPRODUCT(G75:P75,定义数据!$G$14:$P$14)</f>
        <v>5.9</v>
      </c>
      <c r="R75" s="28">
        <f t="shared" si="14"/>
        <v>295</v>
      </c>
      <c r="S75" s="91">
        <f t="shared" si="15"/>
        <v>295</v>
      </c>
      <c r="T75" s="28">
        <f t="shared" si="16"/>
        <v>137175</v>
      </c>
      <c r="U75" s="89">
        <f>VLOOKUP(F75,D_装备金币参考表!$A$2:$C$81,3,FALSE)*Q75-VLOOKUP(F51,D_装备金币参考表!$A$2:$C$81,3,FALSE)*Q75+U51</f>
        <v>29605.500000000004</v>
      </c>
      <c r="W75">
        <f t="shared" si="17"/>
        <v>3</v>
      </c>
      <c r="X75">
        <f t="shared" si="18"/>
        <v>16</v>
      </c>
      <c r="Y75">
        <f t="shared" si="19"/>
        <v>30</v>
      </c>
      <c r="Z75" s="25">
        <f t="shared" si="20"/>
        <v>9</v>
      </c>
      <c r="AA75" s="25">
        <f t="shared" si="21"/>
        <v>39</v>
      </c>
      <c r="AB75" s="25">
        <f t="shared" si="22"/>
        <v>20</v>
      </c>
      <c r="AC75" s="25">
        <f t="shared" si="23"/>
        <v>3625</v>
      </c>
      <c r="AD75">
        <v>29</v>
      </c>
      <c r="AE75" s="5">
        <f t="shared" si="12"/>
        <v>79.63745950751192</v>
      </c>
      <c r="AF75" s="5">
        <f t="shared" si="12"/>
        <v>247.09424583838367</v>
      </c>
      <c r="AG75" s="5">
        <f t="shared" si="24"/>
        <v>264.30817253076009</v>
      </c>
      <c r="AH75" s="5">
        <f t="shared" si="24"/>
        <v>494.18849167676734</v>
      </c>
      <c r="AI75" s="5">
        <f t="shared" si="12"/>
        <v>528.61634506152018</v>
      </c>
      <c r="AJ75" s="5">
        <f t="shared" si="25"/>
        <v>792.92451759228015</v>
      </c>
      <c r="AK75" s="5">
        <f t="shared" si="12"/>
        <v>811.83661107615592</v>
      </c>
      <c r="AL75" s="5">
        <f t="shared" si="26"/>
        <v>1057.2326901230404</v>
      </c>
      <c r="AM75" s="5">
        <f t="shared" si="26"/>
        <v>1082.4488147682077</v>
      </c>
      <c r="AN75" s="5">
        <f t="shared" si="12"/>
        <v>1093.4390082973316</v>
      </c>
      <c r="AO75" s="5">
        <f t="shared" si="27"/>
        <v>1233.4381384768803</v>
      </c>
      <c r="AP75" s="5">
        <f t="shared" si="27"/>
        <v>1262.8569505629091</v>
      </c>
      <c r="AQ75" s="5">
        <f t="shared" si="27"/>
        <v>1275.6788430135534</v>
      </c>
      <c r="AR75" s="5">
        <f t="shared" si="27"/>
        <v>1443.2650863576105</v>
      </c>
      <c r="AS75" s="5">
        <f t="shared" si="28"/>
        <v>1457.9186777297755</v>
      </c>
    </row>
    <row r="76" spans="1:45" x14ac:dyDescent="0.15">
      <c r="A76" s="28" t="str">
        <f>F76&amp;D76&amp;VLOOKUP(E76,定义数据!$E$1:$F$7,2,FALSE)</f>
        <v>3014</v>
      </c>
      <c r="B76" s="28" t="str">
        <f t="shared" si="13"/>
        <v>3014</v>
      </c>
      <c r="C76" s="28">
        <f>装备属性计算表!AK72</f>
        <v>8</v>
      </c>
      <c r="D76" s="28">
        <f>装备属性计算表!B72</f>
        <v>1</v>
      </c>
      <c r="E76" s="28" t="str">
        <f>装备属性计算表!C72</f>
        <v>腰带</v>
      </c>
      <c r="F76" s="28">
        <f>装备属性计算表!D72</f>
        <v>30</v>
      </c>
      <c r="G76" s="28">
        <f>ROUND(VLOOKUP($E76,装备属性计算表!$D$4:$O$9,装备属性计算表!F$2,FALSE)/装备属性计算表!F$10*VLOOKUP($F76&amp;$D76,$F$4:$S$29,G$34,FALSE),0)</f>
        <v>71</v>
      </c>
      <c r="H76" s="28">
        <f>ROUND(VLOOKUP($E76,装备属性计算表!$D$4:$O$9,装备属性计算表!G$2,FALSE)/装备属性计算表!G$10*VLOOKUP($F76&amp;$D76,$F$4:$S$29,H$34,FALSE),0)</f>
        <v>0</v>
      </c>
      <c r="I76" s="28">
        <f>ROUND(VLOOKUP($E76,装备属性计算表!$D$4:$O$9,装备属性计算表!H$2,FALSE)/装备属性计算表!H$10*VLOOKUP($F76&amp;$D76,$F$4:$S$29,I$34,FALSE),0)</f>
        <v>0</v>
      </c>
      <c r="J76" s="28">
        <f>ROUND(VLOOKUP($E76,装备属性计算表!$D$4:$O$9,装备属性计算表!I$2,FALSE)/装备属性计算表!I$10*VLOOKUP($F76&amp;$D76,$F$4:$S$29,J$34,FALSE),0)</f>
        <v>0</v>
      </c>
      <c r="K76" s="28">
        <f>ROUND(VLOOKUP($E76,装备属性计算表!$D$4:$O$9,装备属性计算表!J$2,FALSE)/装备属性计算表!J$10*VLOOKUP($F76&amp;$D76,$F$4:$S$29,K$34,FALSE),0)</f>
        <v>0</v>
      </c>
      <c r="L76" s="28">
        <f>ROUND(VLOOKUP($E76,装备属性计算表!$D$4:$O$9,装备属性计算表!K$2,FALSE)/装备属性计算表!K$10*VLOOKUP($F76&amp;$D76,$F$4:$S$29,L$34,FALSE),0)</f>
        <v>0</v>
      </c>
      <c r="M76" s="28">
        <f>ROUND(VLOOKUP($E76,装备属性计算表!$D$4:$O$9,装备属性计算表!L$2,FALSE)/装备属性计算表!L$10*VLOOKUP($F76&amp;$D76,$F$4:$S$29,M$34,FALSE),0)</f>
        <v>0</v>
      </c>
      <c r="N76" s="28">
        <f>ROUND(VLOOKUP($E76,装备属性计算表!$D$4:$O$9,装备属性计算表!M$2,FALSE)/装备属性计算表!M$10*VLOOKUP($F76&amp;$D76,$F$4:$S$29,N$34,FALSE),0)</f>
        <v>8</v>
      </c>
      <c r="O76" s="28">
        <f>ROUND(VLOOKUP($E76,装备属性计算表!$D$4:$O$9,装备属性计算表!N$2,FALSE)/装备属性计算表!N$10*VLOOKUP($F76&amp;$D76,$F$4:$S$29,O$34,FALSE),0)</f>
        <v>0</v>
      </c>
      <c r="P76" s="28">
        <f>ROUND(VLOOKUP($E76,装备属性计算表!$D$4:$O$9,装备属性计算表!O$2,FALSE)/装备属性计算表!O$10*VLOOKUP($F76&amp;$D76,$F$4:$S$29,P$34,FALSE),0)</f>
        <v>0</v>
      </c>
      <c r="Q76" s="28">
        <f>SUMPRODUCT(G76:P76,定义数据!$G$14:$P$14)</f>
        <v>4.2799999999999994</v>
      </c>
      <c r="R76" s="28">
        <f t="shared" si="14"/>
        <v>214</v>
      </c>
      <c r="S76" s="91">
        <f t="shared" si="15"/>
        <v>214</v>
      </c>
      <c r="T76" s="28">
        <f t="shared" si="16"/>
        <v>99510</v>
      </c>
      <c r="U76" s="89">
        <f>VLOOKUP(F76,D_装备金币参考表!$A$2:$C$81,3,FALSE)*Q76-VLOOKUP(F52,D_装备金币参考表!$A$2:$C$81,3,FALSE)*Q76+U52</f>
        <v>21542.36</v>
      </c>
      <c r="W76">
        <f t="shared" si="17"/>
        <v>4</v>
      </c>
      <c r="X76">
        <f t="shared" si="18"/>
        <v>23</v>
      </c>
      <c r="Y76">
        <f t="shared" si="19"/>
        <v>30</v>
      </c>
      <c r="Z76" s="25">
        <f t="shared" si="20"/>
        <v>11</v>
      </c>
      <c r="AA76" s="25">
        <f t="shared" si="21"/>
        <v>57</v>
      </c>
      <c r="AB76" s="25">
        <f t="shared" si="22"/>
        <v>9</v>
      </c>
      <c r="AC76" s="25">
        <f t="shared" si="23"/>
        <v>4690</v>
      </c>
      <c r="AD76">
        <v>30</v>
      </c>
      <c r="AE76" s="5">
        <f t="shared" si="12"/>
        <v>83.225733440165456</v>
      </c>
      <c r="AF76" s="5">
        <f t="shared" si="12"/>
        <v>258.31528110384721</v>
      </c>
      <c r="AG76" s="5">
        <f t="shared" si="24"/>
        <v>276.49833694498244</v>
      </c>
      <c r="AH76" s="5">
        <f t="shared" si="24"/>
        <v>516.63056220769442</v>
      </c>
      <c r="AI76" s="5">
        <f t="shared" si="12"/>
        <v>552.99667388996488</v>
      </c>
      <c r="AJ76" s="5">
        <f t="shared" si="25"/>
        <v>829.49501083494738</v>
      </c>
      <c r="AK76" s="5">
        <f t="shared" si="12"/>
        <v>849.4809166271508</v>
      </c>
      <c r="AL76" s="5">
        <f t="shared" si="26"/>
        <v>1105.9933477799298</v>
      </c>
      <c r="AM76" s="5">
        <f t="shared" si="26"/>
        <v>1132.6412221695343</v>
      </c>
      <c r="AN76" s="5">
        <f t="shared" si="12"/>
        <v>1144.2573938029873</v>
      </c>
      <c r="AO76" s="5">
        <f t="shared" si="27"/>
        <v>1290.3255724099181</v>
      </c>
      <c r="AP76" s="5">
        <f t="shared" si="27"/>
        <v>1321.4147591977901</v>
      </c>
      <c r="AQ76" s="5">
        <f t="shared" si="27"/>
        <v>1334.9669594368186</v>
      </c>
      <c r="AR76" s="5">
        <f t="shared" si="27"/>
        <v>1510.1882962260458</v>
      </c>
      <c r="AS76" s="5">
        <f t="shared" si="28"/>
        <v>1525.6765250706499</v>
      </c>
    </row>
    <row r="77" spans="1:45" x14ac:dyDescent="0.15">
      <c r="A77" s="28" t="str">
        <f>F77&amp;D77&amp;VLOOKUP(E77,定义数据!$E$1:$F$7,2,FALSE)</f>
        <v>3013</v>
      </c>
      <c r="B77" s="28" t="str">
        <f t="shared" si="13"/>
        <v>3013</v>
      </c>
      <c r="C77" s="28">
        <f>装备属性计算表!AK73</f>
        <v>8</v>
      </c>
      <c r="D77" s="28">
        <f>装备属性计算表!B73</f>
        <v>1</v>
      </c>
      <c r="E77" s="28" t="str">
        <f>装备属性计算表!C73</f>
        <v>项链</v>
      </c>
      <c r="F77" s="28">
        <f>装备属性计算表!D73</f>
        <v>30</v>
      </c>
      <c r="G77" s="28">
        <f>ROUND(VLOOKUP($E77,装备属性计算表!$D$4:$O$9,装备属性计算表!F$2,FALSE)/装备属性计算表!F$10*VLOOKUP($F77&amp;$D77,$F$4:$S$29,G$34,FALSE),0)</f>
        <v>0</v>
      </c>
      <c r="H77" s="28">
        <f>ROUND(VLOOKUP($E77,装备属性计算表!$D$4:$O$9,装备属性计算表!G$2,FALSE)/装备属性计算表!G$10*VLOOKUP($F77&amp;$D77,$F$4:$S$29,H$34,FALSE),0)</f>
        <v>4</v>
      </c>
      <c r="I77" s="28">
        <f>ROUND(VLOOKUP($E77,装备属性计算表!$D$4:$O$9,装备属性计算表!H$2,FALSE)/装备属性计算表!H$10*VLOOKUP($F77&amp;$D77,$F$4:$S$29,I$34,FALSE),0)</f>
        <v>0</v>
      </c>
      <c r="J77" s="28">
        <f>ROUND(VLOOKUP($E77,装备属性计算表!$D$4:$O$9,装备属性计算表!I$2,FALSE)/装备属性计算表!I$10*VLOOKUP($F77&amp;$D77,$F$4:$S$29,J$34,FALSE),0)</f>
        <v>0</v>
      </c>
      <c r="K77" s="28">
        <f>ROUND(VLOOKUP($E77,装备属性计算表!$D$4:$O$9,装备属性计算表!J$2,FALSE)/装备属性计算表!J$10*VLOOKUP($F77&amp;$D77,$F$4:$S$29,K$34,FALSE),0)</f>
        <v>14</v>
      </c>
      <c r="L77" s="28">
        <f>ROUND(VLOOKUP($E77,装备属性计算表!$D$4:$O$9,装备属性计算表!K$2,FALSE)/装备属性计算表!K$10*VLOOKUP($F77&amp;$D77,$F$4:$S$29,L$34,FALSE),0)</f>
        <v>0</v>
      </c>
      <c r="M77" s="28">
        <f>ROUND(VLOOKUP($E77,装备属性计算表!$D$4:$O$9,装备属性计算表!L$2,FALSE)/装备属性计算表!L$10*VLOOKUP($F77&amp;$D77,$F$4:$S$29,M$34,FALSE),0)</f>
        <v>0</v>
      </c>
      <c r="N77" s="28">
        <f>ROUND(VLOOKUP($E77,装备属性计算表!$D$4:$O$9,装备属性计算表!M$2,FALSE)/装备属性计算表!M$10*VLOOKUP($F77&amp;$D77,$F$4:$S$29,N$34,FALSE),0)</f>
        <v>0</v>
      </c>
      <c r="O77" s="28">
        <f>ROUND(VLOOKUP($E77,装备属性计算表!$D$4:$O$9,装备属性计算表!N$2,FALSE)/装备属性计算表!N$10*VLOOKUP($F77&amp;$D77,$F$4:$S$29,O$34,FALSE),0)</f>
        <v>0</v>
      </c>
      <c r="P77" s="28">
        <f>ROUND(VLOOKUP($E77,装备属性计算表!$D$4:$O$9,装备属性计算表!O$2,FALSE)/装备属性计算表!O$10*VLOOKUP($F77&amp;$D77,$F$4:$S$29,P$34,FALSE),0)</f>
        <v>0</v>
      </c>
      <c r="Q77" s="28">
        <f>SUMPRODUCT(G77:P77,定义数据!$G$14:$P$14)</f>
        <v>8.7600000000000016</v>
      </c>
      <c r="R77" s="28">
        <f t="shared" si="14"/>
        <v>438</v>
      </c>
      <c r="S77" s="91">
        <f t="shared" si="15"/>
        <v>438</v>
      </c>
      <c r="T77" s="28">
        <f t="shared" si="16"/>
        <v>203670</v>
      </c>
      <c r="U77" s="89">
        <f>VLOOKUP(F77,D_装备金币参考表!$A$2:$C$81,3,FALSE)*Q77-VLOOKUP(F53,D_装备金币参考表!$A$2:$C$81,3,FALSE)*Q77+U53</f>
        <v>45329.320000000007</v>
      </c>
      <c r="V77" s="25">
        <f>SUM(U72:U77)</f>
        <v>261239.12000000005</v>
      </c>
      <c r="W77">
        <f t="shared" si="17"/>
        <v>2</v>
      </c>
      <c r="X77">
        <f t="shared" si="18"/>
        <v>11</v>
      </c>
      <c r="Y77">
        <f t="shared" si="19"/>
        <v>30</v>
      </c>
      <c r="Z77" s="25">
        <f t="shared" si="20"/>
        <v>7</v>
      </c>
      <c r="AA77" s="25">
        <f t="shared" si="21"/>
        <v>28</v>
      </c>
      <c r="AB77" s="25">
        <f t="shared" si="22"/>
        <v>35</v>
      </c>
      <c r="AC77" s="25">
        <f t="shared" si="23"/>
        <v>730</v>
      </c>
      <c r="AD77">
        <v>31</v>
      </c>
      <c r="AE77" s="5">
        <f t="shared" si="12"/>
        <v>86.850075832552719</v>
      </c>
      <c r="AF77" s="5">
        <f t="shared" si="12"/>
        <v>269.65288655409597</v>
      </c>
      <c r="AG77" s="5">
        <f t="shared" si="24"/>
        <v>288.8233543561667</v>
      </c>
      <c r="AH77" s="5">
        <f t="shared" si="24"/>
        <v>539.30577310819194</v>
      </c>
      <c r="AI77" s="5">
        <f t="shared" si="12"/>
        <v>577.64670871233341</v>
      </c>
      <c r="AJ77" s="5">
        <f t="shared" si="25"/>
        <v>866.47006306850017</v>
      </c>
      <c r="AK77" s="5">
        <f t="shared" si="12"/>
        <v>887.55054312932975</v>
      </c>
      <c r="AL77" s="5">
        <f t="shared" si="26"/>
        <v>1155.2934174246668</v>
      </c>
      <c r="AM77" s="5">
        <f t="shared" si="26"/>
        <v>1183.4007241724396</v>
      </c>
      <c r="AN77" s="5">
        <f t="shared" si="12"/>
        <v>1195.6550866120722</v>
      </c>
      <c r="AO77" s="5">
        <f t="shared" si="27"/>
        <v>1347.842320328778</v>
      </c>
      <c r="AP77" s="5">
        <f t="shared" si="27"/>
        <v>1380.6341782011796</v>
      </c>
      <c r="AQ77" s="5">
        <f t="shared" si="27"/>
        <v>1394.9309343807508</v>
      </c>
      <c r="AR77" s="5">
        <f t="shared" si="27"/>
        <v>1577.8676322299195</v>
      </c>
      <c r="AS77" s="5">
        <f t="shared" si="28"/>
        <v>1594.2067821494295</v>
      </c>
    </row>
    <row r="78" spans="1:45" x14ac:dyDescent="0.15">
      <c r="A78" s="28" t="str">
        <f>F78&amp;D78&amp;VLOOKUP(E78,定义数据!$E$1:$F$7,2,FALSE)</f>
        <v>3020</v>
      </c>
      <c r="B78" s="28" t="str">
        <f t="shared" si="13"/>
        <v>3020</v>
      </c>
      <c r="C78" s="28">
        <f>装备属性计算表!AK74</f>
        <v>9</v>
      </c>
      <c r="D78" s="28">
        <f>装备属性计算表!B74</f>
        <v>2</v>
      </c>
      <c r="E78" s="28" t="str">
        <f>装备属性计算表!C74</f>
        <v>武器</v>
      </c>
      <c r="F78" s="28">
        <f>装备属性计算表!D74</f>
        <v>30</v>
      </c>
      <c r="G78" s="28">
        <f>ROUND(VLOOKUP($E78,装备属性计算表!$D$4:$O$9,装备属性计算表!F$2,FALSE)/装备属性计算表!F$10*VLOOKUP($F78&amp;$D78,$F$4:$S$29,G$34,FALSE),0)</f>
        <v>0</v>
      </c>
      <c r="H78" s="28">
        <f>ROUND(VLOOKUP($E78,装备属性计算表!$D$4:$O$9,装备属性计算表!G$2,FALSE)/装备属性计算表!G$10*VLOOKUP($F78&amp;$D78,$F$4:$S$29,H$34,FALSE),0)</f>
        <v>19</v>
      </c>
      <c r="I78" s="28">
        <f>ROUND(VLOOKUP($E78,装备属性计算表!$D$4:$O$9,装备属性计算表!H$2,FALSE)/装备属性计算表!H$10*VLOOKUP($F78&amp;$D78,$F$4:$S$29,I$34,FALSE),0)</f>
        <v>0</v>
      </c>
      <c r="J78" s="28">
        <f>ROUND(VLOOKUP($E78,装备属性计算表!$D$4:$O$9,装备属性计算表!I$2,FALSE)/装备属性计算表!I$10*VLOOKUP($F78&amp;$D78,$F$4:$S$29,J$34,FALSE),0)</f>
        <v>0</v>
      </c>
      <c r="K78" s="28">
        <f>ROUND(VLOOKUP($E78,装备属性计算表!$D$4:$O$9,装备属性计算表!J$2,FALSE)/装备属性计算表!J$10*VLOOKUP($F78&amp;$D78,$F$4:$S$29,K$34,FALSE),0)</f>
        <v>0</v>
      </c>
      <c r="L78" s="28">
        <f>ROUND(VLOOKUP($E78,装备属性计算表!$D$4:$O$9,装备属性计算表!K$2,FALSE)/装备属性计算表!K$10*VLOOKUP($F78&amp;$D78,$F$4:$S$29,L$34,FALSE),0)</f>
        <v>12</v>
      </c>
      <c r="M78" s="28">
        <f>ROUND(VLOOKUP($E78,装备属性计算表!$D$4:$O$9,装备属性计算表!L$2,FALSE)/装备属性计算表!L$10*VLOOKUP($F78&amp;$D78,$F$4:$S$29,M$34,FALSE),0)</f>
        <v>0</v>
      </c>
      <c r="N78" s="28">
        <f>ROUND(VLOOKUP($E78,装备属性计算表!$D$4:$O$9,装备属性计算表!M$2,FALSE)/装备属性计算表!M$10*VLOOKUP($F78&amp;$D78,$F$4:$S$29,N$34,FALSE),0)</f>
        <v>0</v>
      </c>
      <c r="O78" s="28">
        <f>ROUND(VLOOKUP($E78,装备属性计算表!$D$4:$O$9,装备属性计算表!N$2,FALSE)/装备属性计算表!N$10*VLOOKUP($F78&amp;$D78,$F$4:$S$29,O$34,FALSE),0)</f>
        <v>0</v>
      </c>
      <c r="P78" s="28">
        <f>ROUND(VLOOKUP($E78,装备属性计算表!$D$4:$O$9,装备属性计算表!O$2,FALSE)/装备属性计算表!O$10*VLOOKUP($F78&amp;$D78,$F$4:$S$29,P$34,FALSE),0)</f>
        <v>0</v>
      </c>
      <c r="Q78" s="28">
        <f>SUMPRODUCT(G78:P78,定义数据!$G$14:$P$14)</f>
        <v>21.16</v>
      </c>
      <c r="R78" s="28">
        <f t="shared" si="14"/>
        <v>1058</v>
      </c>
      <c r="S78" s="91">
        <f t="shared" si="15"/>
        <v>1058</v>
      </c>
      <c r="T78" s="28">
        <f t="shared" si="16"/>
        <v>491970</v>
      </c>
      <c r="U78" s="89">
        <f>VLOOKUP(F78,D_装备金币参考表!$A$2:$C$81,3,FALSE)*Q78-VLOOKUP(F54,D_装备金币参考表!$A$2:$C$81,3,FALSE)*Q78+U54</f>
        <v>105457.12</v>
      </c>
      <c r="W78">
        <f t="shared" si="17"/>
        <v>0</v>
      </c>
      <c r="X78">
        <f t="shared" si="18"/>
        <v>4</v>
      </c>
      <c r="Y78">
        <f t="shared" si="19"/>
        <v>30</v>
      </c>
      <c r="Z78" s="25">
        <f t="shared" si="20"/>
        <v>0</v>
      </c>
      <c r="AA78" s="25">
        <f t="shared" si="21"/>
        <v>11</v>
      </c>
      <c r="AB78" s="25">
        <f t="shared" si="22"/>
        <v>97</v>
      </c>
      <c r="AC78" s="25">
        <f t="shared" si="23"/>
        <v>4030</v>
      </c>
      <c r="AD78">
        <v>32</v>
      </c>
      <c r="AE78" s="5">
        <f t="shared" si="12"/>
        <v>90.509667991878132</v>
      </c>
      <c r="AF78" s="5">
        <f t="shared" si="12"/>
        <v>281.10445362156014</v>
      </c>
      <c r="AG78" s="5">
        <f t="shared" si="24"/>
        <v>301.28029359235234</v>
      </c>
      <c r="AH78" s="5">
        <f t="shared" si="24"/>
        <v>562.20890724312028</v>
      </c>
      <c r="AI78" s="5">
        <f t="shared" si="12"/>
        <v>602.56058718470467</v>
      </c>
      <c r="AJ78" s="5">
        <f t="shared" si="25"/>
        <v>903.84088077705701</v>
      </c>
      <c r="AK78" s="5">
        <f t="shared" si="12"/>
        <v>926.03634133611024</v>
      </c>
      <c r="AL78" s="5">
        <f t="shared" si="26"/>
        <v>1205.1211743694093</v>
      </c>
      <c r="AM78" s="5">
        <f t="shared" si="26"/>
        <v>1234.7151217814803</v>
      </c>
      <c r="AN78" s="5">
        <f t="shared" si="12"/>
        <v>1247.6196808031787</v>
      </c>
      <c r="AO78" s="5">
        <f t="shared" si="27"/>
        <v>1405.9747034309776</v>
      </c>
      <c r="AP78" s="5">
        <f t="shared" si="27"/>
        <v>1440.500975411727</v>
      </c>
      <c r="AQ78" s="5">
        <f t="shared" si="27"/>
        <v>1455.556294270375</v>
      </c>
      <c r="AR78" s="5">
        <f t="shared" si="27"/>
        <v>1646.2868290419738</v>
      </c>
      <c r="AS78" s="5">
        <f t="shared" si="28"/>
        <v>1663.4929077375714</v>
      </c>
    </row>
    <row r="79" spans="1:45" x14ac:dyDescent="0.15">
      <c r="A79" s="28" t="str">
        <f>F79&amp;D79&amp;VLOOKUP(E79,定义数据!$E$1:$F$7,2,FALSE)</f>
        <v>3021</v>
      </c>
      <c r="B79" s="28" t="str">
        <f t="shared" si="13"/>
        <v>3021</v>
      </c>
      <c r="C79" s="28">
        <f>装备属性计算表!AK75</f>
        <v>9</v>
      </c>
      <c r="D79" s="28">
        <f>装备属性计算表!B75</f>
        <v>2</v>
      </c>
      <c r="E79" s="28" t="str">
        <f>装备属性计算表!C75</f>
        <v>衣服</v>
      </c>
      <c r="F79" s="28">
        <f>装备属性计算表!D75</f>
        <v>30</v>
      </c>
      <c r="G79" s="28">
        <f>ROUND(VLOOKUP($E79,装备属性计算表!$D$4:$O$9,装备属性计算表!F$2,FALSE)/装备属性计算表!F$10*VLOOKUP($F79&amp;$D79,$F$4:$S$29,G$34,FALSE),0)</f>
        <v>306</v>
      </c>
      <c r="H79" s="28">
        <f>ROUND(VLOOKUP($E79,装备属性计算表!$D$4:$O$9,装备属性计算表!G$2,FALSE)/装备属性计算表!G$10*VLOOKUP($F79&amp;$D79,$F$4:$S$29,H$34,FALSE),0)</f>
        <v>0</v>
      </c>
      <c r="I79" s="28">
        <f>ROUND(VLOOKUP($E79,装备属性计算表!$D$4:$O$9,装备属性计算表!H$2,FALSE)/装备属性计算表!H$10*VLOOKUP($F79&amp;$D79,$F$4:$S$29,I$34,FALSE),0)</f>
        <v>7</v>
      </c>
      <c r="J79" s="28">
        <f>ROUND(VLOOKUP($E79,装备属性计算表!$D$4:$O$9,装备属性计算表!I$2,FALSE)/装备属性计算表!I$10*VLOOKUP($F79&amp;$D79,$F$4:$S$29,J$34,FALSE),0)</f>
        <v>0</v>
      </c>
      <c r="K79" s="28">
        <f>ROUND(VLOOKUP($E79,装备属性计算表!$D$4:$O$9,装备属性计算表!J$2,FALSE)/装备属性计算表!J$10*VLOOKUP($F79&amp;$D79,$F$4:$S$29,K$34,FALSE),0)</f>
        <v>0</v>
      </c>
      <c r="L79" s="28">
        <f>ROUND(VLOOKUP($E79,装备属性计算表!$D$4:$O$9,装备属性计算表!K$2,FALSE)/装备属性计算表!K$10*VLOOKUP($F79&amp;$D79,$F$4:$S$29,L$34,FALSE),0)</f>
        <v>0</v>
      </c>
      <c r="M79" s="28">
        <f>ROUND(VLOOKUP($E79,装备属性计算表!$D$4:$O$9,装备属性计算表!L$2,FALSE)/装备属性计算表!L$10*VLOOKUP($F79&amp;$D79,$F$4:$S$29,M$34,FALSE),0)</f>
        <v>0</v>
      </c>
      <c r="N79" s="28">
        <f>ROUND(VLOOKUP($E79,装备属性计算表!$D$4:$O$9,装备属性计算表!M$2,FALSE)/装备属性计算表!M$10*VLOOKUP($F79&amp;$D79,$F$4:$S$29,N$34,FALSE),0)</f>
        <v>0</v>
      </c>
      <c r="O79" s="28">
        <f>ROUND(VLOOKUP($E79,装备属性计算表!$D$4:$O$9,装备属性计算表!N$2,FALSE)/装备属性计算表!N$10*VLOOKUP($F79&amp;$D79,$F$4:$S$29,O$34,FALSE),0)</f>
        <v>0</v>
      </c>
      <c r="P79" s="28">
        <f>ROUND(VLOOKUP($E79,装备属性计算表!$D$4:$O$9,装备属性计算表!O$2,FALSE)/装备属性计算表!O$10*VLOOKUP($F79&amp;$D79,$F$4:$S$29,P$34,FALSE),0)</f>
        <v>0</v>
      </c>
      <c r="Q79" s="28">
        <f>SUMPRODUCT(G79:P79,定义数据!$G$14:$P$14)</f>
        <v>19.240000000000002</v>
      </c>
      <c r="R79" s="28">
        <f t="shared" si="14"/>
        <v>962</v>
      </c>
      <c r="S79" s="91">
        <f t="shared" si="15"/>
        <v>962</v>
      </c>
      <c r="T79" s="28">
        <f t="shared" si="16"/>
        <v>447330</v>
      </c>
      <c r="U79" s="89">
        <f>VLOOKUP(F79,D_装备金币参考表!$A$2:$C$81,3,FALSE)*Q79-VLOOKUP(F55,D_装备金币参考表!$A$2:$C$81,3,FALSE)*Q79+U55</f>
        <v>94864.28</v>
      </c>
      <c r="W79">
        <f t="shared" si="17"/>
        <v>1</v>
      </c>
      <c r="X79">
        <f t="shared" si="18"/>
        <v>5</v>
      </c>
      <c r="Y79">
        <f t="shared" si="19"/>
        <v>30</v>
      </c>
      <c r="Z79" s="25">
        <f t="shared" si="20"/>
        <v>5</v>
      </c>
      <c r="AA79" s="25">
        <f t="shared" si="21"/>
        <v>14</v>
      </c>
      <c r="AB79" s="25">
        <f t="shared" si="22"/>
        <v>87</v>
      </c>
      <c r="AC79" s="25">
        <f t="shared" si="23"/>
        <v>2670</v>
      </c>
      <c r="AD79">
        <v>33</v>
      </c>
      <c r="AE79" s="5">
        <f t="shared" si="12"/>
        <v>94.203734946172588</v>
      </c>
      <c r="AF79" s="5">
        <f t="shared" si="12"/>
        <v>292.66751224691632</v>
      </c>
      <c r="AG79" s="5">
        <f t="shared" si="24"/>
        <v>313.86637732585399</v>
      </c>
      <c r="AH79" s="5">
        <f t="shared" si="24"/>
        <v>585.33502449383263</v>
      </c>
      <c r="AI79" s="5">
        <f t="shared" si="12"/>
        <v>627.73275465170798</v>
      </c>
      <c r="AJ79" s="5">
        <f t="shared" si="25"/>
        <v>941.59913197756191</v>
      </c>
      <c r="AK79" s="5">
        <f t="shared" si="12"/>
        <v>964.92964024433832</v>
      </c>
      <c r="AL79" s="5">
        <f t="shared" si="26"/>
        <v>1255.465509303416</v>
      </c>
      <c r="AM79" s="5">
        <f t="shared" si="26"/>
        <v>1286.5728536591178</v>
      </c>
      <c r="AN79" s="5">
        <f t="shared" si="12"/>
        <v>1300.1394177898512</v>
      </c>
      <c r="AO79" s="5">
        <f t="shared" si="27"/>
        <v>1464.7097608539852</v>
      </c>
      <c r="AP79" s="5">
        <f t="shared" si="27"/>
        <v>1501.0016626023039</v>
      </c>
      <c r="AQ79" s="5">
        <f t="shared" si="27"/>
        <v>1516.8293207548263</v>
      </c>
      <c r="AR79" s="5">
        <f t="shared" si="27"/>
        <v>1715.4304715454903</v>
      </c>
      <c r="AS79" s="5">
        <f t="shared" si="28"/>
        <v>1733.5192237198016</v>
      </c>
    </row>
    <row r="80" spans="1:45" x14ac:dyDescent="0.15">
      <c r="A80" s="28" t="str">
        <f>F80&amp;D80&amp;VLOOKUP(E80,定义数据!$E$1:$F$7,2,FALSE)</f>
        <v>3022</v>
      </c>
      <c r="B80" s="28" t="str">
        <f t="shared" si="13"/>
        <v>3022</v>
      </c>
      <c r="C80" s="28">
        <f>装备属性计算表!AK76</f>
        <v>9</v>
      </c>
      <c r="D80" s="28">
        <f>装备属性计算表!B76</f>
        <v>2</v>
      </c>
      <c r="E80" s="28" t="str">
        <f>装备属性计算表!C76</f>
        <v>裤子</v>
      </c>
      <c r="F80" s="28">
        <f>装备属性计算表!D76</f>
        <v>30</v>
      </c>
      <c r="G80" s="28">
        <f>ROUND(VLOOKUP($E80,装备属性计算表!$D$4:$O$9,装备属性计算表!F$2,FALSE)/装备属性计算表!F$10*VLOOKUP($F80&amp;$D80,$F$4:$S$29,G$34,FALSE),0)</f>
        <v>0</v>
      </c>
      <c r="H80" s="28">
        <f>ROUND(VLOOKUP($E80,装备属性计算表!$D$4:$O$9,装备属性计算表!G$2,FALSE)/装备属性计算表!G$10*VLOOKUP($F80&amp;$D80,$F$4:$S$29,H$34,FALSE),0)</f>
        <v>0</v>
      </c>
      <c r="I80" s="28">
        <f>ROUND(VLOOKUP($E80,装备属性计算表!$D$4:$O$9,装备属性计算表!H$2,FALSE)/装备属性计算表!H$10*VLOOKUP($F80&amp;$D80,$F$4:$S$29,I$34,FALSE),0)</f>
        <v>4</v>
      </c>
      <c r="J80" s="28">
        <f>ROUND(VLOOKUP($E80,装备属性计算表!$D$4:$O$9,装备属性计算表!I$2,FALSE)/装备属性计算表!I$10*VLOOKUP($F80&amp;$D80,$F$4:$S$29,J$34,FALSE),0)</f>
        <v>7</v>
      </c>
      <c r="K80" s="28">
        <f>ROUND(VLOOKUP($E80,装备属性计算表!$D$4:$O$9,装备属性计算表!J$2,FALSE)/装备属性计算表!J$10*VLOOKUP($F80&amp;$D80,$F$4:$S$29,K$34,FALSE),0)</f>
        <v>0</v>
      </c>
      <c r="L80" s="28">
        <f>ROUND(VLOOKUP($E80,装备属性计算表!$D$4:$O$9,装备属性计算表!K$2,FALSE)/装备属性计算表!K$10*VLOOKUP($F80&amp;$D80,$F$4:$S$29,L$34,FALSE),0)</f>
        <v>0</v>
      </c>
      <c r="M80" s="28">
        <f>ROUND(VLOOKUP($E80,装备属性计算表!$D$4:$O$9,装备属性计算表!L$2,FALSE)/装备属性计算表!L$10*VLOOKUP($F80&amp;$D80,$F$4:$S$29,M$34,FALSE),0)</f>
        <v>0</v>
      </c>
      <c r="N80" s="28">
        <f>ROUND(VLOOKUP($E80,装备属性计算表!$D$4:$O$9,装备属性计算表!M$2,FALSE)/装备属性计算表!M$10*VLOOKUP($F80&amp;$D80,$F$4:$S$29,N$34,FALSE),0)</f>
        <v>0</v>
      </c>
      <c r="O80" s="28">
        <f>ROUND(VLOOKUP($E80,装备属性计算表!$D$4:$O$9,装备属性计算表!N$2,FALSE)/装备属性计算表!N$10*VLOOKUP($F80&amp;$D80,$F$4:$S$29,O$34,FALSE),0)</f>
        <v>0</v>
      </c>
      <c r="P80" s="28">
        <f>ROUND(VLOOKUP($E80,装备属性计算表!$D$4:$O$9,装备属性计算表!O$2,FALSE)/装备属性计算表!O$10*VLOOKUP($F80&amp;$D80,$F$4:$S$29,P$34,FALSE),0)</f>
        <v>0</v>
      </c>
      <c r="Q80" s="28">
        <f>SUMPRODUCT(G80:P80,定义数据!$G$14:$P$14)</f>
        <v>6.3800000000000008</v>
      </c>
      <c r="R80" s="28">
        <f t="shared" si="14"/>
        <v>319</v>
      </c>
      <c r="S80" s="91">
        <f t="shared" si="15"/>
        <v>319</v>
      </c>
      <c r="T80" s="28">
        <f t="shared" si="16"/>
        <v>148335</v>
      </c>
      <c r="U80" s="89">
        <f>VLOOKUP(F80,D_装备金币参考表!$A$2:$C$81,3,FALSE)*Q80-VLOOKUP(F56,D_装备金币参考表!$A$2:$C$81,3,FALSE)*Q80+U56</f>
        <v>31549.860000000004</v>
      </c>
      <c r="W80">
        <f t="shared" si="17"/>
        <v>3</v>
      </c>
      <c r="X80">
        <f t="shared" si="18"/>
        <v>15</v>
      </c>
      <c r="Y80">
        <f t="shared" si="19"/>
        <v>30</v>
      </c>
      <c r="Z80" s="25">
        <f t="shared" si="20"/>
        <v>10</v>
      </c>
      <c r="AA80" s="25">
        <f t="shared" si="21"/>
        <v>37</v>
      </c>
      <c r="AB80" s="25">
        <f t="shared" si="22"/>
        <v>23</v>
      </c>
      <c r="AC80" s="25">
        <f t="shared" si="23"/>
        <v>5665</v>
      </c>
      <c r="AD80">
        <v>34</v>
      </c>
      <c r="AE80" s="5">
        <f t="shared" si="12"/>
        <v>97.931541848332913</v>
      </c>
      <c r="AF80" s="5">
        <f t="shared" si="12"/>
        <v>304.33971952748044</v>
      </c>
      <c r="AG80" s="5">
        <f t="shared" si="24"/>
        <v>326.57896955467271</v>
      </c>
      <c r="AH80" s="5">
        <f t="shared" si="24"/>
        <v>608.67943905496088</v>
      </c>
      <c r="AI80" s="5">
        <f t="shared" si="12"/>
        <v>653.15793910934542</v>
      </c>
      <c r="AJ80" s="5">
        <f t="shared" si="25"/>
        <v>979.73690866401819</v>
      </c>
      <c r="AK80" s="5">
        <f t="shared" si="12"/>
        <v>1004.2222082766101</v>
      </c>
      <c r="AL80" s="5">
        <f t="shared" si="26"/>
        <v>1306.3158782186908</v>
      </c>
      <c r="AM80" s="5">
        <f t="shared" si="26"/>
        <v>1338.9629443688136</v>
      </c>
      <c r="AN80" s="5">
        <f t="shared" si="12"/>
        <v>1353.2031338349934</v>
      </c>
      <c r="AO80" s="5">
        <f t="shared" si="27"/>
        <v>1524.0351912551394</v>
      </c>
      <c r="AP80" s="5">
        <f t="shared" si="27"/>
        <v>1562.1234350969492</v>
      </c>
      <c r="AQ80" s="5">
        <f t="shared" si="27"/>
        <v>1578.7369894741591</v>
      </c>
      <c r="AR80" s="5">
        <f t="shared" si="27"/>
        <v>1785.2839258250847</v>
      </c>
      <c r="AS80" s="5">
        <f t="shared" si="28"/>
        <v>1804.2708451133246</v>
      </c>
    </row>
    <row r="81" spans="1:45" x14ac:dyDescent="0.15">
      <c r="A81" s="28" t="str">
        <f>F81&amp;D81&amp;VLOOKUP(E81,定义数据!$E$1:$F$7,2,FALSE)</f>
        <v>3025</v>
      </c>
      <c r="B81" s="28" t="str">
        <f t="shared" si="13"/>
        <v>3025</v>
      </c>
      <c r="C81" s="28">
        <f>装备属性计算表!AK77</f>
        <v>9</v>
      </c>
      <c r="D81" s="28">
        <f>装备属性计算表!B77</f>
        <v>2</v>
      </c>
      <c r="E81" s="28" t="str">
        <f>装备属性计算表!C77</f>
        <v>鞋子</v>
      </c>
      <c r="F81" s="28">
        <f>装备属性计算表!D77</f>
        <v>30</v>
      </c>
      <c r="G81" s="28">
        <f>ROUND(VLOOKUP($E81,装备属性计算表!$D$4:$O$9,装备属性计算表!F$2,FALSE)/装备属性计算表!F$10*VLOOKUP($F81&amp;$D81,$F$4:$S$29,G$34,FALSE),0)</f>
        <v>102</v>
      </c>
      <c r="H81" s="28">
        <f>ROUND(VLOOKUP($E81,装备属性计算表!$D$4:$O$9,装备属性计算表!G$2,FALSE)/装备属性计算表!G$10*VLOOKUP($F81&amp;$D81,$F$4:$S$29,H$34,FALSE),0)</f>
        <v>0</v>
      </c>
      <c r="I81" s="28">
        <f>ROUND(VLOOKUP($E81,装备属性计算表!$D$4:$O$9,装备属性计算表!H$2,FALSE)/装备属性计算表!H$10*VLOOKUP($F81&amp;$D81,$F$4:$S$29,I$34,FALSE),0)</f>
        <v>0</v>
      </c>
      <c r="J81" s="28">
        <f>ROUND(VLOOKUP($E81,装备属性计算表!$D$4:$O$9,装备属性计算表!I$2,FALSE)/装备属性计算表!I$10*VLOOKUP($F81&amp;$D81,$F$4:$S$29,J$34,FALSE),0)</f>
        <v>14</v>
      </c>
      <c r="K81" s="28">
        <f>ROUND(VLOOKUP($E81,装备属性计算表!$D$4:$O$9,装备属性计算表!J$2,FALSE)/装备属性计算表!J$10*VLOOKUP($F81&amp;$D81,$F$4:$S$29,K$34,FALSE),0)</f>
        <v>0</v>
      </c>
      <c r="L81" s="28">
        <f>ROUND(VLOOKUP($E81,装备属性计算表!$D$4:$O$9,装备属性计算表!K$2,FALSE)/装备属性计算表!K$10*VLOOKUP($F81&amp;$D81,$F$4:$S$29,L$34,FALSE),0)</f>
        <v>0</v>
      </c>
      <c r="M81" s="28">
        <f>ROUND(VLOOKUP($E81,装备属性计算表!$D$4:$O$9,装备属性计算表!L$2,FALSE)/装备属性计算表!L$10*VLOOKUP($F81&amp;$D81,$F$4:$S$29,M$34,FALSE),0)</f>
        <v>0</v>
      </c>
      <c r="N81" s="28">
        <f>ROUND(VLOOKUP($E81,装备属性计算表!$D$4:$O$9,装备属性计算表!M$2,FALSE)/装备属性计算表!M$10*VLOOKUP($F81&amp;$D81,$F$4:$S$29,N$34,FALSE),0)</f>
        <v>0</v>
      </c>
      <c r="O81" s="28">
        <f>ROUND(VLOOKUP($E81,装备属性计算表!$D$4:$O$9,装备属性计算表!N$2,FALSE)/装备属性计算表!N$10*VLOOKUP($F81&amp;$D81,$F$4:$S$29,O$34,FALSE),0)</f>
        <v>0</v>
      </c>
      <c r="P81" s="28">
        <f>ROUND(VLOOKUP($E81,装备属性计算表!$D$4:$O$9,装备属性计算表!O$2,FALSE)/装备属性计算表!O$10*VLOOKUP($F81&amp;$D81,$F$4:$S$29,P$34,FALSE),0)</f>
        <v>0</v>
      </c>
      <c r="Q81" s="28">
        <f>SUMPRODUCT(G81:P81,定义数据!$G$14:$P$14)</f>
        <v>8.84</v>
      </c>
      <c r="R81" s="28">
        <f t="shared" si="14"/>
        <v>442</v>
      </c>
      <c r="S81" s="91">
        <f t="shared" si="15"/>
        <v>442</v>
      </c>
      <c r="T81" s="28">
        <f t="shared" si="16"/>
        <v>205530</v>
      </c>
      <c r="U81" s="89">
        <f>VLOOKUP(F81,D_装备金币参考表!$A$2:$C$81,3,FALSE)*Q81-VLOOKUP(F57,D_装备金币参考表!$A$2:$C$81,3,FALSE)*Q81+U57</f>
        <v>43784.680000000008</v>
      </c>
      <c r="W81">
        <f t="shared" si="17"/>
        <v>2</v>
      </c>
      <c r="X81">
        <f t="shared" si="18"/>
        <v>11</v>
      </c>
      <c r="Y81">
        <f t="shared" si="19"/>
        <v>30</v>
      </c>
      <c r="Z81" s="25">
        <f t="shared" si="20"/>
        <v>7</v>
      </c>
      <c r="AA81" s="25">
        <f t="shared" si="21"/>
        <v>28</v>
      </c>
      <c r="AB81" s="25">
        <f t="shared" si="22"/>
        <v>36</v>
      </c>
      <c r="AC81" s="25">
        <f t="shared" si="23"/>
        <v>3870</v>
      </c>
      <c r="AD81">
        <v>35</v>
      </c>
      <c r="AE81" s="5">
        <f t="shared" si="12"/>
        <v>101.69239077354784</v>
      </c>
      <c r="AF81" s="5">
        <f t="shared" si="12"/>
        <v>316.11884960425857</v>
      </c>
      <c r="AG81" s="5">
        <f t="shared" si="24"/>
        <v>339.41556444290961</v>
      </c>
      <c r="AH81" s="5">
        <f t="shared" si="24"/>
        <v>632.23769920851714</v>
      </c>
      <c r="AI81" s="5">
        <f t="shared" si="12"/>
        <v>678.83112888581923</v>
      </c>
      <c r="AJ81" s="5">
        <f t="shared" si="25"/>
        <v>1018.2466933287288</v>
      </c>
      <c r="AK81" s="5">
        <f t="shared" si="12"/>
        <v>1043.9062186699875</v>
      </c>
      <c r="AL81" s="5">
        <f t="shared" si="26"/>
        <v>1357.6622577716385</v>
      </c>
      <c r="AM81" s="5">
        <f t="shared" si="26"/>
        <v>1391.8749582266501</v>
      </c>
      <c r="AN81" s="5">
        <f t="shared" si="12"/>
        <v>1406.8002132483703</v>
      </c>
      <c r="AO81" s="5">
        <f t="shared" si="27"/>
        <v>1583.9393007335782</v>
      </c>
      <c r="AP81" s="5">
        <f t="shared" si="27"/>
        <v>1623.8541179310919</v>
      </c>
      <c r="AQ81" s="5">
        <f t="shared" si="27"/>
        <v>1641.2669154564319</v>
      </c>
      <c r="AR81" s="5">
        <f t="shared" si="27"/>
        <v>1855.8332776355335</v>
      </c>
      <c r="AS81" s="5">
        <f t="shared" si="28"/>
        <v>1875.7336176644935</v>
      </c>
    </row>
    <row r="82" spans="1:45" x14ac:dyDescent="0.15">
      <c r="A82" s="28" t="str">
        <f>F82&amp;D82&amp;VLOOKUP(E82,定义数据!$E$1:$F$7,2,FALSE)</f>
        <v>3024</v>
      </c>
      <c r="B82" s="28" t="str">
        <f t="shared" si="13"/>
        <v>3024</v>
      </c>
      <c r="C82" s="28">
        <f>装备属性计算表!AK78</f>
        <v>9</v>
      </c>
      <c r="D82" s="28">
        <f>装备属性计算表!B78</f>
        <v>2</v>
      </c>
      <c r="E82" s="28" t="str">
        <f>装备属性计算表!C78</f>
        <v>腰带</v>
      </c>
      <c r="F82" s="28">
        <f>装备属性计算表!D78</f>
        <v>30</v>
      </c>
      <c r="G82" s="28">
        <f>ROUND(VLOOKUP($E82,装备属性计算表!$D$4:$O$9,装备属性计算表!F$2,FALSE)/装备属性计算表!F$10*VLOOKUP($F82&amp;$D82,$F$4:$S$29,G$34,FALSE),0)</f>
        <v>102</v>
      </c>
      <c r="H82" s="28">
        <f>ROUND(VLOOKUP($E82,装备属性计算表!$D$4:$O$9,装备属性计算表!G$2,FALSE)/装备属性计算表!G$10*VLOOKUP($F82&amp;$D82,$F$4:$S$29,H$34,FALSE),0)</f>
        <v>0</v>
      </c>
      <c r="I82" s="28">
        <f>ROUND(VLOOKUP($E82,装备属性计算表!$D$4:$O$9,装备属性计算表!H$2,FALSE)/装备属性计算表!H$10*VLOOKUP($F82&amp;$D82,$F$4:$S$29,I$34,FALSE),0)</f>
        <v>0</v>
      </c>
      <c r="J82" s="28">
        <f>ROUND(VLOOKUP($E82,装备属性计算表!$D$4:$O$9,装备属性计算表!I$2,FALSE)/装备属性计算表!I$10*VLOOKUP($F82&amp;$D82,$F$4:$S$29,J$34,FALSE),0)</f>
        <v>0</v>
      </c>
      <c r="K82" s="28">
        <f>ROUND(VLOOKUP($E82,装备属性计算表!$D$4:$O$9,装备属性计算表!J$2,FALSE)/装备属性计算表!J$10*VLOOKUP($F82&amp;$D82,$F$4:$S$29,K$34,FALSE),0)</f>
        <v>0</v>
      </c>
      <c r="L82" s="28">
        <f>ROUND(VLOOKUP($E82,装备属性计算表!$D$4:$O$9,装备属性计算表!K$2,FALSE)/装备属性计算表!K$10*VLOOKUP($F82&amp;$D82,$F$4:$S$29,L$34,FALSE),0)</f>
        <v>0</v>
      </c>
      <c r="M82" s="28">
        <f>ROUND(VLOOKUP($E82,装备属性计算表!$D$4:$O$9,装备属性计算表!L$2,FALSE)/装备属性计算表!L$10*VLOOKUP($F82&amp;$D82,$F$4:$S$29,M$34,FALSE),0)</f>
        <v>0</v>
      </c>
      <c r="N82" s="28">
        <f>ROUND(VLOOKUP($E82,装备属性计算表!$D$4:$O$9,装备属性计算表!M$2,FALSE)/装备属性计算表!M$10*VLOOKUP($F82&amp;$D82,$F$4:$S$29,N$34,FALSE),0)</f>
        <v>12</v>
      </c>
      <c r="O82" s="28">
        <f>ROUND(VLOOKUP($E82,装备属性计算表!$D$4:$O$9,装备属性计算表!N$2,FALSE)/装备属性计算表!N$10*VLOOKUP($F82&amp;$D82,$F$4:$S$29,O$34,FALSE),0)</f>
        <v>0</v>
      </c>
      <c r="P82" s="28">
        <f>ROUND(VLOOKUP($E82,装备属性计算表!$D$4:$O$9,装备属性计算表!O$2,FALSE)/装备属性计算表!O$10*VLOOKUP($F82&amp;$D82,$F$4:$S$29,P$34,FALSE),0)</f>
        <v>0</v>
      </c>
      <c r="Q82" s="28">
        <f>SUMPRODUCT(G82:P82,定义数据!$G$14:$P$14)</f>
        <v>6.24</v>
      </c>
      <c r="R82" s="28">
        <f t="shared" si="14"/>
        <v>312</v>
      </c>
      <c r="S82" s="91">
        <f t="shared" si="15"/>
        <v>312</v>
      </c>
      <c r="T82" s="28">
        <f t="shared" si="16"/>
        <v>145080</v>
      </c>
      <c r="U82" s="89">
        <f>VLOOKUP(F82,D_装备金币参考表!$A$2:$C$81,3,FALSE)*Q82-VLOOKUP(F58,D_装备金币参考表!$A$2:$C$81,3,FALSE)*Q82+U58</f>
        <v>30916.680000000004</v>
      </c>
      <c r="W82">
        <f t="shared" si="17"/>
        <v>3</v>
      </c>
      <c r="X82">
        <f t="shared" si="18"/>
        <v>16</v>
      </c>
      <c r="Y82">
        <f t="shared" si="19"/>
        <v>30</v>
      </c>
      <c r="Z82" s="25">
        <f t="shared" si="20"/>
        <v>10</v>
      </c>
      <c r="AA82" s="25">
        <f t="shared" si="21"/>
        <v>41</v>
      </c>
      <c r="AB82" s="25">
        <f t="shared" si="22"/>
        <v>21</v>
      </c>
      <c r="AC82" s="25">
        <f t="shared" si="23"/>
        <v>2920</v>
      </c>
      <c r="AD82">
        <v>36</v>
      </c>
      <c r="AE82" s="5">
        <f t="shared" si="12"/>
        <v>105.48561785700677</v>
      </c>
      <c r="AF82" s="5">
        <f t="shared" si="12"/>
        <v>328.00278462078234</v>
      </c>
      <c r="AG82" s="5">
        <f t="shared" si="24"/>
        <v>352.37377633781421</v>
      </c>
      <c r="AH82" s="5">
        <f t="shared" si="24"/>
        <v>656.00556924156467</v>
      </c>
      <c r="AI82" s="5">
        <f t="shared" si="12"/>
        <v>704.74755267562841</v>
      </c>
      <c r="AJ82" s="5">
        <f t="shared" si="25"/>
        <v>1057.1213290134426</v>
      </c>
      <c r="AK82" s="5">
        <f t="shared" si="12"/>
        <v>1083.9742185074465</v>
      </c>
      <c r="AL82" s="5">
        <f t="shared" si="26"/>
        <v>1409.4951053512568</v>
      </c>
      <c r="AM82" s="5">
        <f t="shared" si="26"/>
        <v>1445.2989580099286</v>
      </c>
      <c r="AN82" s="5">
        <f t="shared" si="12"/>
        <v>1460.9205465060982</v>
      </c>
      <c r="AO82" s="5">
        <f t="shared" si="27"/>
        <v>1644.4109562431331</v>
      </c>
      <c r="AP82" s="5">
        <f t="shared" si="27"/>
        <v>1686.1821176782501</v>
      </c>
      <c r="AQ82" s="5">
        <f t="shared" si="27"/>
        <v>1704.4073042571144</v>
      </c>
      <c r="AR82" s="5">
        <f t="shared" si="27"/>
        <v>1927.0652773465715</v>
      </c>
      <c r="AS82" s="5">
        <f t="shared" si="28"/>
        <v>1947.8940620081307</v>
      </c>
    </row>
    <row r="83" spans="1:45" x14ac:dyDescent="0.15">
      <c r="A83" s="28" t="str">
        <f>F83&amp;D83&amp;VLOOKUP(E83,定义数据!$E$1:$F$7,2,FALSE)</f>
        <v>3023</v>
      </c>
      <c r="B83" s="28" t="str">
        <f t="shared" si="13"/>
        <v>3023</v>
      </c>
      <c r="C83" s="28">
        <f>装备属性计算表!AK79</f>
        <v>9</v>
      </c>
      <c r="D83" s="28">
        <f>装备属性计算表!B79</f>
        <v>2</v>
      </c>
      <c r="E83" s="28" t="str">
        <f>装备属性计算表!C79</f>
        <v>项链</v>
      </c>
      <c r="F83" s="28">
        <f>装备属性计算表!D79</f>
        <v>30</v>
      </c>
      <c r="G83" s="28">
        <f>ROUND(VLOOKUP($E83,装备属性计算表!$D$4:$O$9,装备属性计算表!F$2,FALSE)/装备属性计算表!F$10*VLOOKUP($F83&amp;$D83,$F$4:$S$29,G$34,FALSE),0)</f>
        <v>0</v>
      </c>
      <c r="H83" s="28">
        <f>ROUND(VLOOKUP($E83,装备属性计算表!$D$4:$O$9,装备属性计算表!G$2,FALSE)/装备属性计算表!G$10*VLOOKUP($F83&amp;$D83,$F$4:$S$29,H$34,FALSE),0)</f>
        <v>6</v>
      </c>
      <c r="I83" s="28">
        <f>ROUND(VLOOKUP($E83,装备属性计算表!$D$4:$O$9,装备属性计算表!H$2,FALSE)/装备属性计算表!H$10*VLOOKUP($F83&amp;$D83,$F$4:$S$29,I$34,FALSE),0)</f>
        <v>0</v>
      </c>
      <c r="J83" s="28">
        <f>ROUND(VLOOKUP($E83,装备属性计算表!$D$4:$O$9,装备属性计算表!I$2,FALSE)/装备属性计算表!I$10*VLOOKUP($F83&amp;$D83,$F$4:$S$29,J$34,FALSE),0)</f>
        <v>0</v>
      </c>
      <c r="K83" s="28">
        <f>ROUND(VLOOKUP($E83,装备属性计算表!$D$4:$O$9,装备属性计算表!J$2,FALSE)/装备属性计算表!J$10*VLOOKUP($F83&amp;$D83,$F$4:$S$29,K$34,FALSE),0)</f>
        <v>20</v>
      </c>
      <c r="L83" s="28">
        <f>ROUND(VLOOKUP($E83,装备属性计算表!$D$4:$O$9,装备属性计算表!K$2,FALSE)/装备属性计算表!K$10*VLOOKUP($F83&amp;$D83,$F$4:$S$29,L$34,FALSE),0)</f>
        <v>0</v>
      </c>
      <c r="M83" s="28">
        <f>ROUND(VLOOKUP($E83,装备属性计算表!$D$4:$O$9,装备属性计算表!L$2,FALSE)/装备属性计算表!L$10*VLOOKUP($F83&amp;$D83,$F$4:$S$29,M$34,FALSE),0)</f>
        <v>0</v>
      </c>
      <c r="N83" s="28">
        <f>ROUND(VLOOKUP($E83,装备属性计算表!$D$4:$O$9,装备属性计算表!M$2,FALSE)/装备属性计算表!M$10*VLOOKUP($F83&amp;$D83,$F$4:$S$29,N$34,FALSE),0)</f>
        <v>0</v>
      </c>
      <c r="O83" s="28">
        <f>ROUND(VLOOKUP($E83,装备属性计算表!$D$4:$O$9,装备属性计算表!N$2,FALSE)/装备属性计算表!N$10*VLOOKUP($F83&amp;$D83,$F$4:$S$29,O$34,FALSE),0)</f>
        <v>0</v>
      </c>
      <c r="P83" s="28">
        <f>ROUND(VLOOKUP($E83,装备属性计算表!$D$4:$O$9,装备属性计算表!O$2,FALSE)/装备属性计算表!O$10*VLOOKUP($F83&amp;$D83,$F$4:$S$29,P$34,FALSE),0)</f>
        <v>0</v>
      </c>
      <c r="Q83" s="28">
        <f>SUMPRODUCT(G83:P83,定义数据!$G$14:$P$14)</f>
        <v>12.8</v>
      </c>
      <c r="R83" s="28">
        <f t="shared" si="14"/>
        <v>640</v>
      </c>
      <c r="S83" s="91">
        <f t="shared" si="15"/>
        <v>640</v>
      </c>
      <c r="T83" s="28">
        <f t="shared" si="16"/>
        <v>297600</v>
      </c>
      <c r="U83" s="89">
        <f>VLOOKUP(F83,D_装备金币参考表!$A$2:$C$81,3,FALSE)*Q83-VLOOKUP(F59,D_装备金币参考表!$A$2:$C$81,3,FALSE)*Q83+U59</f>
        <v>63659.200000000004</v>
      </c>
      <c r="V83" s="25">
        <f>SUM(U78:U83)</f>
        <v>370231.82</v>
      </c>
      <c r="W83">
        <f t="shared" si="17"/>
        <v>1</v>
      </c>
      <c r="X83">
        <f t="shared" si="18"/>
        <v>7</v>
      </c>
      <c r="Y83">
        <f t="shared" si="19"/>
        <v>30</v>
      </c>
      <c r="Z83" s="25">
        <f t="shared" si="20"/>
        <v>4</v>
      </c>
      <c r="AA83" s="25">
        <f t="shared" si="21"/>
        <v>18</v>
      </c>
      <c r="AB83" s="25">
        <f t="shared" si="22"/>
        <v>56</v>
      </c>
      <c r="AC83" s="25">
        <f t="shared" si="23"/>
        <v>1200</v>
      </c>
      <c r="AD83">
        <v>37</v>
      </c>
      <c r="AE83" s="5">
        <f t="shared" si="12"/>
        <v>109.31059072723752</v>
      </c>
      <c r="AF83" s="5">
        <f t="shared" si="12"/>
        <v>339.98950661335596</v>
      </c>
      <c r="AG83" s="5">
        <f t="shared" si="24"/>
        <v>365.45133080998704</v>
      </c>
      <c r="AH83" s="5">
        <f t="shared" si="24"/>
        <v>679.97901322671191</v>
      </c>
      <c r="AI83" s="5">
        <f t="shared" si="12"/>
        <v>730.90266161997408</v>
      </c>
      <c r="AJ83" s="5">
        <f t="shared" si="25"/>
        <v>1096.3539924299612</v>
      </c>
      <c r="AK83" s="5">
        <f t="shared" si="12"/>
        <v>1124.4191009175493</v>
      </c>
      <c r="AL83" s="5">
        <f t="shared" si="26"/>
        <v>1461.8053232399482</v>
      </c>
      <c r="AM83" s="5">
        <f t="shared" si="26"/>
        <v>1499.2254678900656</v>
      </c>
      <c r="AN83" s="5">
        <f t="shared" si="12"/>
        <v>1515.5544926513921</v>
      </c>
      <c r="AO83" s="5">
        <f t="shared" si="27"/>
        <v>1705.4395437799394</v>
      </c>
      <c r="AP83" s="5">
        <f t="shared" si="27"/>
        <v>1749.0963792050766</v>
      </c>
      <c r="AQ83" s="5">
        <f t="shared" si="27"/>
        <v>1768.1469080932909</v>
      </c>
      <c r="AR83" s="5">
        <f t="shared" si="27"/>
        <v>1998.9672905200875</v>
      </c>
      <c r="AS83" s="5">
        <f t="shared" si="28"/>
        <v>2020.7393235351897</v>
      </c>
    </row>
    <row r="84" spans="1:45" x14ac:dyDescent="0.15">
      <c r="A84" s="28" t="str">
        <f>F84&amp;D84&amp;VLOOKUP(E84,定义数据!$E$1:$F$7,2,FALSE)</f>
        <v>3030</v>
      </c>
      <c r="B84" s="28" t="str">
        <f t="shared" si="13"/>
        <v>3030</v>
      </c>
      <c r="C84" s="28">
        <f>装备属性计算表!AK80</f>
        <v>10</v>
      </c>
      <c r="D84" s="28">
        <f>装备属性计算表!B80</f>
        <v>3</v>
      </c>
      <c r="E84" s="28" t="str">
        <f>装备属性计算表!C80</f>
        <v>武器</v>
      </c>
      <c r="F84" s="28">
        <f>装备属性计算表!D80</f>
        <v>30</v>
      </c>
      <c r="G84" s="28">
        <f>ROUND(VLOOKUP($E84,装备属性计算表!$D$4:$O$9,装备属性计算表!F$2,FALSE)/装备属性计算表!F$10*VLOOKUP($F84&amp;$D84,$F$4:$S$29,G$34,FALSE),0)</f>
        <v>0</v>
      </c>
      <c r="H84" s="28">
        <f>ROUND(VLOOKUP($E84,装备属性计算表!$D$4:$O$9,装备属性计算表!G$2,FALSE)/装备属性计算表!G$10*VLOOKUP($F84&amp;$D84,$F$4:$S$29,H$34,FALSE),0)</f>
        <v>25</v>
      </c>
      <c r="I84" s="28">
        <f>ROUND(VLOOKUP($E84,装备属性计算表!$D$4:$O$9,装备属性计算表!H$2,FALSE)/装备属性计算表!H$10*VLOOKUP($F84&amp;$D84,$F$4:$S$29,I$34,FALSE),0)</f>
        <v>0</v>
      </c>
      <c r="J84" s="28">
        <f>ROUND(VLOOKUP($E84,装备属性计算表!$D$4:$O$9,装备属性计算表!I$2,FALSE)/装备属性计算表!I$10*VLOOKUP($F84&amp;$D84,$F$4:$S$29,J$34,FALSE),0)</f>
        <v>0</v>
      </c>
      <c r="K84" s="28">
        <f>ROUND(VLOOKUP($E84,装备属性计算表!$D$4:$O$9,装备属性计算表!J$2,FALSE)/装备属性计算表!J$10*VLOOKUP($F84&amp;$D84,$F$4:$S$29,K$34,FALSE),0)</f>
        <v>0</v>
      </c>
      <c r="L84" s="28">
        <f>ROUND(VLOOKUP($E84,装备属性计算表!$D$4:$O$9,装备属性计算表!K$2,FALSE)/装备属性计算表!K$10*VLOOKUP($F84&amp;$D84,$F$4:$S$29,L$34,FALSE),0)</f>
        <v>16</v>
      </c>
      <c r="M84" s="28">
        <f>ROUND(VLOOKUP($E84,装备属性计算表!$D$4:$O$9,装备属性计算表!L$2,FALSE)/装备属性计算表!L$10*VLOOKUP($F84&amp;$D84,$F$4:$S$29,M$34,FALSE),0)</f>
        <v>0</v>
      </c>
      <c r="N84" s="28">
        <f>ROUND(VLOOKUP($E84,装备属性计算表!$D$4:$O$9,装备属性计算表!M$2,FALSE)/装备属性计算表!M$10*VLOOKUP($F84&amp;$D84,$F$4:$S$29,N$34,FALSE),0)</f>
        <v>0</v>
      </c>
      <c r="O84" s="28">
        <f>ROUND(VLOOKUP($E84,装备属性计算表!$D$4:$O$9,装备属性计算表!N$2,FALSE)/装备属性计算表!N$10*VLOOKUP($F84&amp;$D84,$F$4:$S$29,O$34,FALSE),0)</f>
        <v>0</v>
      </c>
      <c r="P84" s="28">
        <f>ROUND(VLOOKUP($E84,装备属性计算表!$D$4:$O$9,装备属性计算表!O$2,FALSE)/装备属性计算表!O$10*VLOOKUP($F84&amp;$D84,$F$4:$S$29,P$34,FALSE),0)</f>
        <v>0</v>
      </c>
      <c r="Q84" s="28">
        <f>SUMPRODUCT(G84:P84,定义数据!$G$14:$P$14)</f>
        <v>27.88</v>
      </c>
      <c r="R84" s="28">
        <f t="shared" si="14"/>
        <v>1394</v>
      </c>
      <c r="S84" s="91">
        <f t="shared" si="15"/>
        <v>1394</v>
      </c>
      <c r="T84" s="28">
        <f t="shared" si="16"/>
        <v>648210</v>
      </c>
      <c r="U84" s="89">
        <f>VLOOKUP(F84,D_装备金币参考表!$A$2:$C$81,3,FALSE)*Q84-VLOOKUP(F54,D_装备金币参考表!$A$2:$C$81,3,FALSE)*Q84+U60</f>
        <v>138331.36000000002</v>
      </c>
      <c r="W84">
        <f t="shared" si="17"/>
        <v>0</v>
      </c>
      <c r="X84">
        <f t="shared" si="18"/>
        <v>3</v>
      </c>
      <c r="Y84">
        <f t="shared" si="19"/>
        <v>30</v>
      </c>
      <c r="Z84" s="25">
        <f t="shared" si="20"/>
        <v>0</v>
      </c>
      <c r="AA84" s="25">
        <f t="shared" si="21"/>
        <v>9</v>
      </c>
      <c r="AB84" s="25">
        <f t="shared" si="22"/>
        <v>128</v>
      </c>
      <c r="AC84" s="25">
        <f t="shared" si="23"/>
        <v>790</v>
      </c>
      <c r="AD84">
        <v>38</v>
      </c>
      <c r="AE84" s="5">
        <f t="shared" si="12"/>
        <v>113.16670619733614</v>
      </c>
      <c r="AF84" s="5">
        <f t="shared" si="12"/>
        <v>352.07709021406419</v>
      </c>
      <c r="AG84" s="5">
        <f t="shared" si="24"/>
        <v>378.6460565869105</v>
      </c>
      <c r="AH84" s="5">
        <f t="shared" si="24"/>
        <v>704.15418042812837</v>
      </c>
      <c r="AI84" s="5">
        <f t="shared" si="12"/>
        <v>757.29211317382101</v>
      </c>
      <c r="AJ84" s="5">
        <f t="shared" si="25"/>
        <v>1135.9381697607316</v>
      </c>
      <c r="AK84" s="5">
        <f t="shared" si="12"/>
        <v>1165.2340800409033</v>
      </c>
      <c r="AL84" s="5">
        <f t="shared" si="26"/>
        <v>1514.584226347642</v>
      </c>
      <c r="AM84" s="5">
        <f t="shared" si="26"/>
        <v>1553.6454400545379</v>
      </c>
      <c r="AN84" s="5">
        <f t="shared" si="12"/>
        <v>1570.692845434397</v>
      </c>
      <c r="AO84" s="5">
        <f t="shared" si="27"/>
        <v>1767.0149307389158</v>
      </c>
      <c r="AP84" s="5">
        <f t="shared" si="27"/>
        <v>1812.5863467302943</v>
      </c>
      <c r="AQ84" s="5">
        <f t="shared" si="27"/>
        <v>1832.4749863401298</v>
      </c>
      <c r="AR84" s="5">
        <f t="shared" si="27"/>
        <v>2071.5272534060505</v>
      </c>
      <c r="AS84" s="5">
        <f t="shared" si="28"/>
        <v>2094.2571272458626</v>
      </c>
    </row>
    <row r="85" spans="1:45" x14ac:dyDescent="0.15">
      <c r="A85" s="28" t="str">
        <f>F85&amp;D85&amp;VLOOKUP(E85,定义数据!$E$1:$F$7,2,FALSE)</f>
        <v>3031</v>
      </c>
      <c r="B85" s="28" t="str">
        <f t="shared" si="13"/>
        <v>3031</v>
      </c>
      <c r="C85" s="28">
        <f>装备属性计算表!AK81</f>
        <v>10</v>
      </c>
      <c r="D85" s="28">
        <f>装备属性计算表!B81</f>
        <v>3</v>
      </c>
      <c r="E85" s="28" t="str">
        <f>装备属性计算表!C81</f>
        <v>衣服</v>
      </c>
      <c r="F85" s="28">
        <f>装备属性计算表!D81</f>
        <v>30</v>
      </c>
      <c r="G85" s="28">
        <f>ROUND(VLOOKUP($E85,装备属性计算表!$D$4:$O$9,装备属性计算表!F$2,FALSE)/装备属性计算表!F$10*VLOOKUP($F85&amp;$D85,$F$4:$S$29,G$34,FALSE),0)</f>
        <v>400</v>
      </c>
      <c r="H85" s="28">
        <f>ROUND(VLOOKUP($E85,装备属性计算表!$D$4:$O$9,装备属性计算表!G$2,FALSE)/装备属性计算表!G$10*VLOOKUP($F85&amp;$D85,$F$4:$S$29,H$34,FALSE),0)</f>
        <v>0</v>
      </c>
      <c r="I85" s="28">
        <f>ROUND(VLOOKUP($E85,装备属性计算表!$D$4:$O$9,装备属性计算表!H$2,FALSE)/装备属性计算表!H$10*VLOOKUP($F85&amp;$D85,$F$4:$S$29,I$34,FALSE),0)</f>
        <v>9</v>
      </c>
      <c r="J85" s="28">
        <f>ROUND(VLOOKUP($E85,装备属性计算表!$D$4:$O$9,装备属性计算表!I$2,FALSE)/装备属性计算表!I$10*VLOOKUP($F85&amp;$D85,$F$4:$S$29,J$34,FALSE),0)</f>
        <v>0</v>
      </c>
      <c r="K85" s="28">
        <f>ROUND(VLOOKUP($E85,装备属性计算表!$D$4:$O$9,装备属性计算表!J$2,FALSE)/装备属性计算表!J$10*VLOOKUP($F85&amp;$D85,$F$4:$S$29,K$34,FALSE),0)</f>
        <v>0</v>
      </c>
      <c r="L85" s="28">
        <f>ROUND(VLOOKUP($E85,装备属性计算表!$D$4:$O$9,装备属性计算表!K$2,FALSE)/装备属性计算表!K$10*VLOOKUP($F85&amp;$D85,$F$4:$S$29,L$34,FALSE),0)</f>
        <v>0</v>
      </c>
      <c r="M85" s="28">
        <f>ROUND(VLOOKUP($E85,装备属性计算表!$D$4:$O$9,装备属性计算表!L$2,FALSE)/装备属性计算表!L$10*VLOOKUP($F85&amp;$D85,$F$4:$S$29,M$34,FALSE),0)</f>
        <v>0</v>
      </c>
      <c r="N85" s="28">
        <f>ROUND(VLOOKUP($E85,装备属性计算表!$D$4:$O$9,装备属性计算表!M$2,FALSE)/装备属性计算表!M$10*VLOOKUP($F85&amp;$D85,$F$4:$S$29,N$34,FALSE),0)</f>
        <v>0</v>
      </c>
      <c r="O85" s="28">
        <f>ROUND(VLOOKUP($E85,装备属性计算表!$D$4:$O$9,装备属性计算表!N$2,FALSE)/装备属性计算表!N$10*VLOOKUP($F85&amp;$D85,$F$4:$S$29,O$34,FALSE),0)</f>
        <v>0</v>
      </c>
      <c r="P85" s="28">
        <f>ROUND(VLOOKUP($E85,装备属性计算表!$D$4:$O$9,装备属性计算表!O$2,FALSE)/装备属性计算表!O$10*VLOOKUP($F85&amp;$D85,$F$4:$S$29,P$34,FALSE),0)</f>
        <v>0</v>
      </c>
      <c r="Q85" s="28">
        <f>SUMPRODUCT(G85:P85,定义数据!$G$14:$P$14)</f>
        <v>25</v>
      </c>
      <c r="R85" s="28">
        <f t="shared" si="14"/>
        <v>1250</v>
      </c>
      <c r="S85" s="91">
        <f t="shared" si="15"/>
        <v>1250</v>
      </c>
      <c r="T85" s="28">
        <f t="shared" si="16"/>
        <v>581250</v>
      </c>
      <c r="U85" s="89">
        <f>VLOOKUP(F85,D_装备金币参考表!$A$2:$C$81,3,FALSE)*Q85-VLOOKUP(F55,D_装备金币参考表!$A$2:$C$81,3,FALSE)*Q85+U61</f>
        <v>123042.2</v>
      </c>
      <c r="W85">
        <f t="shared" si="17"/>
        <v>0</v>
      </c>
      <c r="X85">
        <f t="shared" si="18"/>
        <v>4</v>
      </c>
      <c r="Y85">
        <f t="shared" si="19"/>
        <v>30</v>
      </c>
      <c r="Z85" s="25">
        <f t="shared" si="20"/>
        <v>0</v>
      </c>
      <c r="AA85" s="25">
        <f t="shared" si="21"/>
        <v>13</v>
      </c>
      <c r="AB85" s="25">
        <f t="shared" si="22"/>
        <v>114</v>
      </c>
      <c r="AC85" s="25">
        <f t="shared" si="23"/>
        <v>1750</v>
      </c>
      <c r="AD85">
        <v>39</v>
      </c>
      <c r="AE85" s="5">
        <f t="shared" si="12"/>
        <v>117.05338818203818</v>
      </c>
      <c r="AF85" s="5">
        <f t="shared" si="12"/>
        <v>364.26369606572848</v>
      </c>
      <c r="AG85" s="5">
        <f t="shared" si="24"/>
        <v>391.95587826944666</v>
      </c>
      <c r="AH85" s="5">
        <f t="shared" si="24"/>
        <v>728.52739213145696</v>
      </c>
      <c r="AI85" s="5">
        <f t="shared" si="12"/>
        <v>783.91175653889331</v>
      </c>
      <c r="AJ85" s="5">
        <f t="shared" si="25"/>
        <v>1175.86763480834</v>
      </c>
      <c r="AK85" s="5">
        <f t="shared" si="12"/>
        <v>1206.412668422083</v>
      </c>
      <c r="AL85" s="5">
        <f t="shared" si="26"/>
        <v>1567.8235130777866</v>
      </c>
      <c r="AM85" s="5">
        <f t="shared" si="26"/>
        <v>1608.5502245627774</v>
      </c>
      <c r="AN85" s="5">
        <f t="shared" si="12"/>
        <v>1626.3268027301324</v>
      </c>
      <c r="AO85" s="5">
        <f t="shared" si="27"/>
        <v>1829.1274319240845</v>
      </c>
      <c r="AP85" s="5">
        <f t="shared" si="27"/>
        <v>1876.6419286565738</v>
      </c>
      <c r="AQ85" s="5">
        <f t="shared" si="27"/>
        <v>1897.3812698518211</v>
      </c>
      <c r="AR85" s="5">
        <f t="shared" si="27"/>
        <v>2144.7336327503699</v>
      </c>
      <c r="AS85" s="5">
        <f t="shared" si="28"/>
        <v>2168.4357369735098</v>
      </c>
    </row>
    <row r="86" spans="1:45" x14ac:dyDescent="0.15">
      <c r="A86" s="28" t="str">
        <f>F86&amp;D86&amp;VLOOKUP(E86,定义数据!$E$1:$F$7,2,FALSE)</f>
        <v>3032</v>
      </c>
      <c r="B86" s="28" t="str">
        <f t="shared" si="13"/>
        <v>3032</v>
      </c>
      <c r="C86" s="28">
        <f>装备属性计算表!AK82</f>
        <v>10</v>
      </c>
      <c r="D86" s="28">
        <f>装备属性计算表!B82</f>
        <v>3</v>
      </c>
      <c r="E86" s="28" t="str">
        <f>装备属性计算表!C82</f>
        <v>裤子</v>
      </c>
      <c r="F86" s="28">
        <f>装备属性计算表!D82</f>
        <v>30</v>
      </c>
      <c r="G86" s="28">
        <f>ROUND(VLOOKUP($E86,装备属性计算表!$D$4:$O$9,装备属性计算表!F$2,FALSE)/装备属性计算表!F$10*VLOOKUP($F86&amp;$D86,$F$4:$S$29,G$34,FALSE),0)</f>
        <v>0</v>
      </c>
      <c r="H86" s="28">
        <f>ROUND(VLOOKUP($E86,装备属性计算表!$D$4:$O$9,装备属性计算表!G$2,FALSE)/装备属性计算表!G$10*VLOOKUP($F86&amp;$D86,$F$4:$S$29,H$34,FALSE),0)</f>
        <v>0</v>
      </c>
      <c r="I86" s="28">
        <f>ROUND(VLOOKUP($E86,装备属性计算表!$D$4:$O$9,装备属性计算表!H$2,FALSE)/装备属性计算表!H$10*VLOOKUP($F86&amp;$D86,$F$4:$S$29,I$34,FALSE),0)</f>
        <v>6</v>
      </c>
      <c r="J86" s="28">
        <f>ROUND(VLOOKUP($E86,装备属性计算表!$D$4:$O$9,装备属性计算表!I$2,FALSE)/装备属性计算表!I$10*VLOOKUP($F86&amp;$D86,$F$4:$S$29,J$34,FALSE),0)</f>
        <v>9</v>
      </c>
      <c r="K86" s="28">
        <f>ROUND(VLOOKUP($E86,装备属性计算表!$D$4:$O$9,装备属性计算表!J$2,FALSE)/装备属性计算表!J$10*VLOOKUP($F86&amp;$D86,$F$4:$S$29,K$34,FALSE),0)</f>
        <v>0</v>
      </c>
      <c r="L86" s="28">
        <f>ROUND(VLOOKUP($E86,装备属性计算表!$D$4:$O$9,装备属性计算表!K$2,FALSE)/装备属性计算表!K$10*VLOOKUP($F86&amp;$D86,$F$4:$S$29,L$34,FALSE),0)</f>
        <v>0</v>
      </c>
      <c r="M86" s="28">
        <f>ROUND(VLOOKUP($E86,装备属性计算表!$D$4:$O$9,装备属性计算表!L$2,FALSE)/装备属性计算表!L$10*VLOOKUP($F86&amp;$D86,$F$4:$S$29,M$34,FALSE),0)</f>
        <v>0</v>
      </c>
      <c r="N86" s="28">
        <f>ROUND(VLOOKUP($E86,装备属性计算表!$D$4:$O$9,装备属性计算表!M$2,FALSE)/装备属性计算表!M$10*VLOOKUP($F86&amp;$D86,$F$4:$S$29,N$34,FALSE),0)</f>
        <v>0</v>
      </c>
      <c r="O86" s="28">
        <f>ROUND(VLOOKUP($E86,装备属性计算表!$D$4:$O$9,装备属性计算表!N$2,FALSE)/装备属性计算表!N$10*VLOOKUP($F86&amp;$D86,$F$4:$S$29,O$34,FALSE),0)</f>
        <v>0</v>
      </c>
      <c r="P86" s="28">
        <f>ROUND(VLOOKUP($E86,装备属性计算表!$D$4:$O$9,装备属性计算表!O$2,FALSE)/装备属性计算表!O$10*VLOOKUP($F86&amp;$D86,$F$4:$S$29,P$34,FALSE),0)</f>
        <v>0</v>
      </c>
      <c r="Q86" s="28">
        <f>SUMPRODUCT(G86:P86,定义数据!$G$14:$P$14)</f>
        <v>9.06</v>
      </c>
      <c r="R86" s="28">
        <f t="shared" si="14"/>
        <v>453</v>
      </c>
      <c r="S86" s="91">
        <f t="shared" si="15"/>
        <v>453</v>
      </c>
      <c r="T86" s="28">
        <f t="shared" si="16"/>
        <v>210645</v>
      </c>
      <c r="U86" s="89">
        <f>VLOOKUP(F86,D_装备金币参考表!$A$2:$C$81,3,FALSE)*Q86-VLOOKUP(F56,D_装备金币参考表!$A$2:$C$81,3,FALSE)*Q86+U62</f>
        <v>44660.42</v>
      </c>
      <c r="W86">
        <f t="shared" si="17"/>
        <v>2</v>
      </c>
      <c r="X86">
        <f t="shared" si="18"/>
        <v>11</v>
      </c>
      <c r="Y86">
        <f t="shared" si="19"/>
        <v>30</v>
      </c>
      <c r="Z86" s="25">
        <f t="shared" si="20"/>
        <v>7</v>
      </c>
      <c r="AA86" s="25">
        <f t="shared" si="21"/>
        <v>29</v>
      </c>
      <c r="AB86" s="25">
        <f t="shared" si="22"/>
        <v>37</v>
      </c>
      <c r="AC86" s="25">
        <f t="shared" si="23"/>
        <v>4755</v>
      </c>
      <c r="AD86">
        <v>40</v>
      </c>
      <c r="AE86" s="5">
        <f t="shared" si="12"/>
        <v>120.97008581328878</v>
      </c>
      <c r="AF86" s="5">
        <f t="shared" si="12"/>
        <v>376.54756486279155</v>
      </c>
      <c r="AG86" s="5">
        <f t="shared" si="24"/>
        <v>405.37880973708241</v>
      </c>
      <c r="AH86" s="5">
        <f t="shared" si="24"/>
        <v>753.09512972558309</v>
      </c>
      <c r="AI86" s="5">
        <f t="shared" si="12"/>
        <v>810.75761947416481</v>
      </c>
      <c r="AJ86" s="5">
        <f t="shared" si="25"/>
        <v>1216.1364292112473</v>
      </c>
      <c r="AK86" s="5">
        <f t="shared" si="12"/>
        <v>1247.9486565355392</v>
      </c>
      <c r="AL86" s="5">
        <f t="shared" si="26"/>
        <v>1621.5152389483296</v>
      </c>
      <c r="AM86" s="5">
        <f t="shared" si="26"/>
        <v>1663.9315420473854</v>
      </c>
      <c r="AN86" s="5">
        <f t="shared" si="12"/>
        <v>1682.4479388408395</v>
      </c>
      <c r="AO86" s="5">
        <f t="shared" si="27"/>
        <v>1891.7677787730513</v>
      </c>
      <c r="AP86" s="5">
        <f t="shared" si="27"/>
        <v>1941.2534657219496</v>
      </c>
      <c r="AQ86" s="5">
        <f t="shared" si="27"/>
        <v>1962.8559286476461</v>
      </c>
      <c r="AR86" s="5">
        <f t="shared" si="27"/>
        <v>2218.5753893965139</v>
      </c>
      <c r="AS86" s="5">
        <f t="shared" si="28"/>
        <v>2243.2639184544528</v>
      </c>
    </row>
    <row r="87" spans="1:45" x14ac:dyDescent="0.15">
      <c r="A87" s="28" t="str">
        <f>F87&amp;D87&amp;VLOOKUP(E87,定义数据!$E$1:$F$7,2,FALSE)</f>
        <v>3035</v>
      </c>
      <c r="B87" s="28" t="str">
        <f t="shared" si="13"/>
        <v>3035</v>
      </c>
      <c r="C87" s="28">
        <f>装备属性计算表!AK83</f>
        <v>10</v>
      </c>
      <c r="D87" s="28">
        <f>装备属性计算表!B83</f>
        <v>3</v>
      </c>
      <c r="E87" s="28" t="str">
        <f>装备属性计算表!C83</f>
        <v>鞋子</v>
      </c>
      <c r="F87" s="28">
        <f>装备属性计算表!D83</f>
        <v>30</v>
      </c>
      <c r="G87" s="28">
        <f>ROUND(VLOOKUP($E87,装备属性计算表!$D$4:$O$9,装备属性计算表!F$2,FALSE)/装备属性计算表!F$10*VLOOKUP($F87&amp;$D87,$F$4:$S$29,G$34,FALSE),0)</f>
        <v>133</v>
      </c>
      <c r="H87" s="28">
        <f>ROUND(VLOOKUP($E87,装备属性计算表!$D$4:$O$9,装备属性计算表!G$2,FALSE)/装备属性计算表!G$10*VLOOKUP($F87&amp;$D87,$F$4:$S$29,H$34,FALSE),0)</f>
        <v>0</v>
      </c>
      <c r="I87" s="28">
        <f>ROUND(VLOOKUP($E87,装备属性计算表!$D$4:$O$9,装备属性计算表!H$2,FALSE)/装备属性计算表!H$10*VLOOKUP($F87&amp;$D87,$F$4:$S$29,I$34,FALSE),0)</f>
        <v>0</v>
      </c>
      <c r="J87" s="28">
        <f>ROUND(VLOOKUP($E87,装备属性计算表!$D$4:$O$9,装备属性计算表!I$2,FALSE)/装备属性计算表!I$10*VLOOKUP($F87&amp;$D87,$F$4:$S$29,J$34,FALSE),0)</f>
        <v>18</v>
      </c>
      <c r="K87" s="28">
        <f>ROUND(VLOOKUP($E87,装备属性计算表!$D$4:$O$9,装备属性计算表!J$2,FALSE)/装备属性计算表!J$10*VLOOKUP($F87&amp;$D87,$F$4:$S$29,K$34,FALSE),0)</f>
        <v>0</v>
      </c>
      <c r="L87" s="28">
        <f>ROUND(VLOOKUP($E87,装备属性计算表!$D$4:$O$9,装备属性计算表!K$2,FALSE)/装备属性计算表!K$10*VLOOKUP($F87&amp;$D87,$F$4:$S$29,L$34,FALSE),0)</f>
        <v>0</v>
      </c>
      <c r="M87" s="28">
        <f>ROUND(VLOOKUP($E87,装备属性计算表!$D$4:$O$9,装备属性计算表!L$2,FALSE)/装备属性计算表!L$10*VLOOKUP($F87&amp;$D87,$F$4:$S$29,M$34,FALSE),0)</f>
        <v>0</v>
      </c>
      <c r="N87" s="28">
        <f>ROUND(VLOOKUP($E87,装备属性计算表!$D$4:$O$9,装备属性计算表!M$2,FALSE)/装备属性计算表!M$10*VLOOKUP($F87&amp;$D87,$F$4:$S$29,N$34,FALSE),0)</f>
        <v>0</v>
      </c>
      <c r="O87" s="28">
        <f>ROUND(VLOOKUP($E87,装备属性计算表!$D$4:$O$9,装备属性计算表!N$2,FALSE)/装备属性计算表!N$10*VLOOKUP($F87&amp;$D87,$F$4:$S$29,O$34,FALSE),0)</f>
        <v>0</v>
      </c>
      <c r="P87" s="28">
        <f>ROUND(VLOOKUP($E87,装备属性计算表!$D$4:$O$9,装备属性计算表!O$2,FALSE)/装备属性计算表!O$10*VLOOKUP($F87&amp;$D87,$F$4:$S$29,P$34,FALSE),0)</f>
        <v>0</v>
      </c>
      <c r="Q87" s="28">
        <f>SUMPRODUCT(G87:P87,定义数据!$G$14:$P$14)</f>
        <v>11.440000000000001</v>
      </c>
      <c r="R87" s="28">
        <f t="shared" si="14"/>
        <v>572</v>
      </c>
      <c r="S87" s="91">
        <f t="shared" si="15"/>
        <v>572</v>
      </c>
      <c r="T87" s="28">
        <f t="shared" si="16"/>
        <v>265980</v>
      </c>
      <c r="U87" s="89">
        <f>VLOOKUP(F87,D_装备金币参考表!$A$2:$C$81,3,FALSE)*Q87-VLOOKUP(F57,D_装备金币参考表!$A$2:$C$81,3,FALSE)*Q87+U63</f>
        <v>56525.280000000013</v>
      </c>
      <c r="W87">
        <f t="shared" si="17"/>
        <v>1</v>
      </c>
      <c r="X87">
        <f t="shared" si="18"/>
        <v>8</v>
      </c>
      <c r="Y87">
        <f t="shared" si="19"/>
        <v>30</v>
      </c>
      <c r="Z87" s="25">
        <f t="shared" si="20"/>
        <v>3</v>
      </c>
      <c r="AA87" s="25">
        <f t="shared" si="21"/>
        <v>21</v>
      </c>
      <c r="AB87" s="25">
        <f t="shared" si="22"/>
        <v>50</v>
      </c>
      <c r="AC87" s="25">
        <f t="shared" si="23"/>
        <v>5620</v>
      </c>
      <c r="AD87">
        <v>41</v>
      </c>
      <c r="AE87" s="5">
        <f t="shared" si="12"/>
        <v>124.9162717308829</v>
      </c>
      <c r="AF87" s="5">
        <f t="shared" si="12"/>
        <v>388.92701194439712</v>
      </c>
      <c r="AG87" s="5">
        <f t="shared" si="24"/>
        <v>418.91294816111122</v>
      </c>
      <c r="AH87" s="5">
        <f t="shared" si="24"/>
        <v>777.85402388879425</v>
      </c>
      <c r="AI87" s="5">
        <f t="shared" si="12"/>
        <v>837.82589632222243</v>
      </c>
      <c r="AJ87" s="5">
        <f t="shared" si="25"/>
        <v>1256.7388444833337</v>
      </c>
      <c r="AK87" s="5">
        <f t="shared" si="12"/>
        <v>1289.8360941954843</v>
      </c>
      <c r="AL87" s="5">
        <f t="shared" si="26"/>
        <v>1675.6517926444449</v>
      </c>
      <c r="AM87" s="5">
        <f t="shared" si="26"/>
        <v>1719.7814589273125</v>
      </c>
      <c r="AN87" s="5">
        <f t="shared" si="12"/>
        <v>1739.0481793450131</v>
      </c>
      <c r="AO87" s="5">
        <f t="shared" si="27"/>
        <v>1954.927091418519</v>
      </c>
      <c r="AP87" s="5">
        <f t="shared" si="27"/>
        <v>2006.4117020818646</v>
      </c>
      <c r="AQ87" s="5">
        <f t="shared" si="27"/>
        <v>2028.8895425691819</v>
      </c>
      <c r="AR87" s="5">
        <f t="shared" si="27"/>
        <v>2293.0419452364167</v>
      </c>
      <c r="AS87" s="5">
        <f t="shared" si="28"/>
        <v>2318.7309057933508</v>
      </c>
    </row>
    <row r="88" spans="1:45" x14ac:dyDescent="0.15">
      <c r="A88" s="28" t="str">
        <f>F88&amp;D88&amp;VLOOKUP(E88,定义数据!$E$1:$F$7,2,FALSE)</f>
        <v>3034</v>
      </c>
      <c r="B88" s="28" t="str">
        <f t="shared" si="13"/>
        <v>3034</v>
      </c>
      <c r="C88" s="28">
        <f>装备属性计算表!AK84</f>
        <v>10</v>
      </c>
      <c r="D88" s="28">
        <f>装备属性计算表!B84</f>
        <v>3</v>
      </c>
      <c r="E88" s="28" t="str">
        <f>装备属性计算表!C84</f>
        <v>腰带</v>
      </c>
      <c r="F88" s="28">
        <f>装备属性计算表!D84</f>
        <v>30</v>
      </c>
      <c r="G88" s="28">
        <f>ROUND(VLOOKUP($E88,装备属性计算表!$D$4:$O$9,装备属性计算表!F$2,FALSE)/装备属性计算表!F$10*VLOOKUP($F88&amp;$D88,$F$4:$S$29,G$34,FALSE),0)</f>
        <v>133</v>
      </c>
      <c r="H88" s="28">
        <f>ROUND(VLOOKUP($E88,装备属性计算表!$D$4:$O$9,装备属性计算表!G$2,FALSE)/装备属性计算表!G$10*VLOOKUP($F88&amp;$D88,$F$4:$S$29,H$34,FALSE),0)</f>
        <v>0</v>
      </c>
      <c r="I88" s="28">
        <f>ROUND(VLOOKUP($E88,装备属性计算表!$D$4:$O$9,装备属性计算表!H$2,FALSE)/装备属性计算表!H$10*VLOOKUP($F88&amp;$D88,$F$4:$S$29,I$34,FALSE),0)</f>
        <v>0</v>
      </c>
      <c r="J88" s="28">
        <f>ROUND(VLOOKUP($E88,装备属性计算表!$D$4:$O$9,装备属性计算表!I$2,FALSE)/装备属性计算表!I$10*VLOOKUP($F88&amp;$D88,$F$4:$S$29,J$34,FALSE),0)</f>
        <v>0</v>
      </c>
      <c r="K88" s="28">
        <f>ROUND(VLOOKUP($E88,装备属性计算表!$D$4:$O$9,装备属性计算表!J$2,FALSE)/装备属性计算表!J$10*VLOOKUP($F88&amp;$D88,$F$4:$S$29,K$34,FALSE),0)</f>
        <v>0</v>
      </c>
      <c r="L88" s="28">
        <f>ROUND(VLOOKUP($E88,装备属性计算表!$D$4:$O$9,装备属性计算表!K$2,FALSE)/装备属性计算表!K$10*VLOOKUP($F88&amp;$D88,$F$4:$S$29,L$34,FALSE),0)</f>
        <v>0</v>
      </c>
      <c r="M88" s="28">
        <f>ROUND(VLOOKUP($E88,装备属性计算表!$D$4:$O$9,装备属性计算表!L$2,FALSE)/装备属性计算表!L$10*VLOOKUP($F88&amp;$D88,$F$4:$S$29,M$34,FALSE),0)</f>
        <v>0</v>
      </c>
      <c r="N88" s="28">
        <f>ROUND(VLOOKUP($E88,装备属性计算表!$D$4:$O$9,装备属性计算表!M$2,FALSE)/装备属性计算表!M$10*VLOOKUP($F88&amp;$D88,$F$4:$S$29,N$34,FALSE),0)</f>
        <v>16</v>
      </c>
      <c r="O88" s="28">
        <f>ROUND(VLOOKUP($E88,装备属性计算表!$D$4:$O$9,装备属性计算表!N$2,FALSE)/装备属性计算表!N$10*VLOOKUP($F88&amp;$D88,$F$4:$S$29,O$34,FALSE),0)</f>
        <v>0</v>
      </c>
      <c r="P88" s="28">
        <f>ROUND(VLOOKUP($E88,装备属性计算表!$D$4:$O$9,装备属性计算表!O$2,FALSE)/装备属性计算表!O$10*VLOOKUP($F88&amp;$D88,$F$4:$S$29,P$34,FALSE),0)</f>
        <v>0</v>
      </c>
      <c r="Q88" s="28">
        <f>SUMPRODUCT(G88:P88,定义数据!$G$14:$P$14)</f>
        <v>8.1999999999999993</v>
      </c>
      <c r="R88" s="28">
        <f t="shared" si="14"/>
        <v>410</v>
      </c>
      <c r="S88" s="91">
        <f t="shared" si="15"/>
        <v>410</v>
      </c>
      <c r="T88" s="28">
        <f t="shared" si="16"/>
        <v>190650</v>
      </c>
      <c r="U88" s="89">
        <f>VLOOKUP(F88,D_装备金币参考表!$A$2:$C$81,3,FALSE)*Q88-VLOOKUP(F58,D_装备金币参考表!$A$2:$C$81,3,FALSE)*Q88+U64</f>
        <v>40526.399999999994</v>
      </c>
      <c r="W88">
        <f t="shared" si="17"/>
        <v>2</v>
      </c>
      <c r="X88">
        <f t="shared" si="18"/>
        <v>12</v>
      </c>
      <c r="Y88">
        <f t="shared" si="19"/>
        <v>30</v>
      </c>
      <c r="Z88" s="25">
        <f t="shared" si="20"/>
        <v>7</v>
      </c>
      <c r="AA88" s="25">
        <f t="shared" si="21"/>
        <v>31</v>
      </c>
      <c r="AB88" s="25">
        <f t="shared" si="22"/>
        <v>32</v>
      </c>
      <c r="AC88" s="25">
        <f t="shared" si="23"/>
        <v>1750</v>
      </c>
      <c r="AD88">
        <v>42</v>
      </c>
      <c r="AE88" s="5">
        <f t="shared" si="12"/>
        <v>128.89144052801936</v>
      </c>
      <c r="AF88" s="5">
        <f t="shared" si="12"/>
        <v>401.40042237621594</v>
      </c>
      <c r="AG88" s="5">
        <f t="shared" si="24"/>
        <v>432.55646855618158</v>
      </c>
      <c r="AH88" s="5">
        <f t="shared" si="24"/>
        <v>802.80084475243189</v>
      </c>
      <c r="AI88" s="5">
        <f t="shared" si="12"/>
        <v>865.11293711236317</v>
      </c>
      <c r="AJ88" s="5">
        <f t="shared" si="25"/>
        <v>1297.6694056685446</v>
      </c>
      <c r="AK88" s="5">
        <f t="shared" si="12"/>
        <v>1332.069273634459</v>
      </c>
      <c r="AL88" s="5">
        <f t="shared" si="26"/>
        <v>1730.2258742247263</v>
      </c>
      <c r="AM88" s="5">
        <f t="shared" si="26"/>
        <v>1776.0923648459454</v>
      </c>
      <c r="AN88" s="5">
        <f t="shared" si="12"/>
        <v>1796.1197782022477</v>
      </c>
      <c r="AO88" s="5">
        <f t="shared" si="27"/>
        <v>2018.5968532621807</v>
      </c>
      <c r="AP88" s="5">
        <f t="shared" si="27"/>
        <v>2072.1077589869365</v>
      </c>
      <c r="AQ88" s="5">
        <f t="shared" si="27"/>
        <v>2095.4730745692891</v>
      </c>
      <c r="AR88" s="5">
        <f t="shared" si="27"/>
        <v>2368.1231531279273</v>
      </c>
      <c r="AS88" s="5">
        <f t="shared" si="28"/>
        <v>2394.8263709363305</v>
      </c>
    </row>
    <row r="89" spans="1:45" x14ac:dyDescent="0.15">
      <c r="A89" s="28" t="str">
        <f>F89&amp;D89&amp;VLOOKUP(E89,定义数据!$E$1:$F$7,2,FALSE)</f>
        <v>3033</v>
      </c>
      <c r="B89" s="28" t="str">
        <f t="shared" si="13"/>
        <v>3033</v>
      </c>
      <c r="C89" s="28">
        <f>装备属性计算表!AK85</f>
        <v>10</v>
      </c>
      <c r="D89" s="28">
        <f>装备属性计算表!B85</f>
        <v>3</v>
      </c>
      <c r="E89" s="28" t="str">
        <f>装备属性计算表!C85</f>
        <v>项链</v>
      </c>
      <c r="F89" s="28">
        <f>装备属性计算表!D85</f>
        <v>30</v>
      </c>
      <c r="G89" s="28">
        <f>ROUND(VLOOKUP($E89,装备属性计算表!$D$4:$O$9,装备属性计算表!F$2,FALSE)/装备属性计算表!F$10*VLOOKUP($F89&amp;$D89,$F$4:$S$29,G$34,FALSE),0)</f>
        <v>0</v>
      </c>
      <c r="H89" s="28">
        <f>ROUND(VLOOKUP($E89,装备属性计算表!$D$4:$O$9,装备属性计算表!G$2,FALSE)/装备属性计算表!G$10*VLOOKUP($F89&amp;$D89,$F$4:$S$29,H$34,FALSE),0)</f>
        <v>8</v>
      </c>
      <c r="I89" s="28">
        <f>ROUND(VLOOKUP($E89,装备属性计算表!$D$4:$O$9,装备属性计算表!H$2,FALSE)/装备属性计算表!H$10*VLOOKUP($F89&amp;$D89,$F$4:$S$29,I$34,FALSE),0)</f>
        <v>0</v>
      </c>
      <c r="J89" s="28">
        <f>ROUND(VLOOKUP($E89,装备属性计算表!$D$4:$O$9,装备属性计算表!I$2,FALSE)/装备属性计算表!I$10*VLOOKUP($F89&amp;$D89,$F$4:$S$29,J$34,FALSE),0)</f>
        <v>0</v>
      </c>
      <c r="K89" s="28">
        <f>ROUND(VLOOKUP($E89,装备属性计算表!$D$4:$O$9,装备属性计算表!J$2,FALSE)/装备属性计算表!J$10*VLOOKUP($F89&amp;$D89,$F$4:$S$29,K$34,FALSE),0)</f>
        <v>27</v>
      </c>
      <c r="L89" s="28">
        <f>ROUND(VLOOKUP($E89,装备属性计算表!$D$4:$O$9,装备属性计算表!K$2,FALSE)/装备属性计算表!K$10*VLOOKUP($F89&amp;$D89,$F$4:$S$29,L$34,FALSE),0)</f>
        <v>0</v>
      </c>
      <c r="M89" s="28">
        <f>ROUND(VLOOKUP($E89,装备属性计算表!$D$4:$O$9,装备属性计算表!L$2,FALSE)/装备属性计算表!L$10*VLOOKUP($F89&amp;$D89,$F$4:$S$29,M$34,FALSE),0)</f>
        <v>0</v>
      </c>
      <c r="N89" s="28">
        <f>ROUND(VLOOKUP($E89,装备属性计算表!$D$4:$O$9,装备属性计算表!M$2,FALSE)/装备属性计算表!M$10*VLOOKUP($F89&amp;$D89,$F$4:$S$29,N$34,FALSE),0)</f>
        <v>0</v>
      </c>
      <c r="O89" s="28">
        <f>ROUND(VLOOKUP($E89,装备属性计算表!$D$4:$O$9,装备属性计算表!N$2,FALSE)/装备属性计算表!N$10*VLOOKUP($F89&amp;$D89,$F$4:$S$29,O$34,FALSE),0)</f>
        <v>0</v>
      </c>
      <c r="P89" s="28">
        <f>ROUND(VLOOKUP($E89,装备属性计算表!$D$4:$O$9,装备属性计算表!O$2,FALSE)/装备属性计算表!O$10*VLOOKUP($F89&amp;$D89,$F$4:$S$29,P$34,FALSE),0)</f>
        <v>0</v>
      </c>
      <c r="Q89" s="28">
        <f>SUMPRODUCT(G89:P89,定义数据!$G$14:$P$14)</f>
        <v>17.18</v>
      </c>
      <c r="R89" s="28">
        <f t="shared" si="14"/>
        <v>859</v>
      </c>
      <c r="S89" s="91">
        <f t="shared" si="15"/>
        <v>859</v>
      </c>
      <c r="T89" s="28">
        <f t="shared" si="16"/>
        <v>399435</v>
      </c>
      <c r="U89" s="89">
        <f>VLOOKUP(F89,D_装备金币参考表!$A$2:$C$81,3,FALSE)*Q89-VLOOKUP(F59,D_装备金币参考表!$A$2:$C$81,3,FALSE)*Q89+U65</f>
        <v>84904.260000000009</v>
      </c>
      <c r="V89" s="25">
        <f>SUM(U84:U89)</f>
        <v>487989.92000000004</v>
      </c>
      <c r="W89">
        <f t="shared" si="17"/>
        <v>1</v>
      </c>
      <c r="X89">
        <f t="shared" si="18"/>
        <v>5</v>
      </c>
      <c r="Y89">
        <f t="shared" si="19"/>
        <v>30</v>
      </c>
      <c r="Z89" s="25">
        <f t="shared" si="20"/>
        <v>5</v>
      </c>
      <c r="AA89" s="25">
        <f t="shared" si="21"/>
        <v>13</v>
      </c>
      <c r="AB89" s="25">
        <f t="shared" si="22"/>
        <v>78</v>
      </c>
      <c r="AC89" s="25">
        <f t="shared" si="23"/>
        <v>4565</v>
      </c>
      <c r="AD89">
        <v>43</v>
      </c>
      <c r="AE89" s="5">
        <f t="shared" si="12"/>
        <v>132.89510733435822</v>
      </c>
      <c r="AF89" s="5">
        <f t="shared" si="12"/>
        <v>413.96624646620631</v>
      </c>
      <c r="AG89" s="5">
        <f t="shared" si="24"/>
        <v>446.30761881007584</v>
      </c>
      <c r="AH89" s="5">
        <f t="shared" si="24"/>
        <v>827.93249293241263</v>
      </c>
      <c r="AI89" s="5">
        <f t="shared" si="12"/>
        <v>892.61523762015167</v>
      </c>
      <c r="AJ89" s="5">
        <f t="shared" si="25"/>
        <v>1338.9228564302275</v>
      </c>
      <c r="AK89" s="5">
        <f t="shared" si="12"/>
        <v>1374.642714064433</v>
      </c>
      <c r="AL89" s="5">
        <f t="shared" si="26"/>
        <v>1785.2304752403033</v>
      </c>
      <c r="AM89" s="5">
        <f t="shared" si="26"/>
        <v>1832.8569520859107</v>
      </c>
      <c r="AN89" s="5">
        <f t="shared" si="12"/>
        <v>1853.6552968624464</v>
      </c>
      <c r="AO89" s="5">
        <f t="shared" si="27"/>
        <v>2082.7688877803539</v>
      </c>
      <c r="AP89" s="5">
        <f t="shared" si="27"/>
        <v>2138.333110766896</v>
      </c>
      <c r="AQ89" s="5">
        <f t="shared" si="27"/>
        <v>2162.5978463395209</v>
      </c>
      <c r="AR89" s="5">
        <f t="shared" si="27"/>
        <v>2443.809269447881</v>
      </c>
      <c r="AS89" s="5">
        <f t="shared" si="28"/>
        <v>2471.5403958165953</v>
      </c>
    </row>
    <row r="90" spans="1:45" x14ac:dyDescent="0.15">
      <c r="A90" s="28" t="str">
        <f>F90&amp;D90&amp;VLOOKUP(E90,定义数据!$E$1:$F$7,2,FALSE)</f>
        <v>3040</v>
      </c>
      <c r="B90" s="28" t="str">
        <f t="shared" si="13"/>
        <v>3040</v>
      </c>
      <c r="C90" s="28">
        <f>装备属性计算表!AK86</f>
        <v>11</v>
      </c>
      <c r="D90" s="28">
        <f>装备属性计算表!B86</f>
        <v>4</v>
      </c>
      <c r="E90" s="28" t="str">
        <f>装备属性计算表!C86</f>
        <v>武器</v>
      </c>
      <c r="F90" s="28">
        <f>装备属性计算表!D86</f>
        <v>30</v>
      </c>
      <c r="G90" s="28">
        <f>ROUND(VLOOKUP($E90,装备属性计算表!$D$4:$O$9,装备属性计算表!F$2,FALSE)/装备属性计算表!F$10*VLOOKUP($F90&amp;$D90,$F$4:$S$29,G$34,FALSE),0)</f>
        <v>0</v>
      </c>
      <c r="H90" s="28">
        <f>ROUND(VLOOKUP($E90,装备属性计算表!$D$4:$O$9,装备属性计算表!G$2,FALSE)/装备属性计算表!G$10*VLOOKUP($F90&amp;$D90,$F$4:$S$29,H$34,FALSE),0)</f>
        <v>30</v>
      </c>
      <c r="I90" s="28">
        <f>ROUND(VLOOKUP($E90,装备属性计算表!$D$4:$O$9,装备属性计算表!H$2,FALSE)/装备属性计算表!H$10*VLOOKUP($F90&amp;$D90,$F$4:$S$29,I$34,FALSE),0)</f>
        <v>0</v>
      </c>
      <c r="J90" s="28">
        <f>ROUND(VLOOKUP($E90,装备属性计算表!$D$4:$O$9,装备属性计算表!I$2,FALSE)/装备属性计算表!I$10*VLOOKUP($F90&amp;$D90,$F$4:$S$29,J$34,FALSE),0)</f>
        <v>0</v>
      </c>
      <c r="K90" s="28">
        <f>ROUND(VLOOKUP($E90,装备属性计算表!$D$4:$O$9,装备属性计算表!J$2,FALSE)/装备属性计算表!J$10*VLOOKUP($F90&amp;$D90,$F$4:$S$29,K$34,FALSE),0)</f>
        <v>0</v>
      </c>
      <c r="L90" s="28">
        <f>ROUND(VLOOKUP($E90,装备属性计算表!$D$4:$O$9,装备属性计算表!K$2,FALSE)/装备属性计算表!K$10*VLOOKUP($F90&amp;$D90,$F$4:$S$29,L$34,FALSE),0)</f>
        <v>19</v>
      </c>
      <c r="M90" s="28">
        <f>ROUND(VLOOKUP($E90,装备属性计算表!$D$4:$O$9,装备属性计算表!L$2,FALSE)/装备属性计算表!L$10*VLOOKUP($F90&amp;$D90,$F$4:$S$29,M$34,FALSE),0)</f>
        <v>0</v>
      </c>
      <c r="N90" s="28">
        <f>ROUND(VLOOKUP($E90,装备属性计算表!$D$4:$O$9,装备属性计算表!M$2,FALSE)/装备属性计算表!M$10*VLOOKUP($F90&amp;$D90,$F$4:$S$29,N$34,FALSE),0)</f>
        <v>0</v>
      </c>
      <c r="O90" s="28">
        <f>ROUND(VLOOKUP($E90,装备属性计算表!$D$4:$O$9,装备属性计算表!N$2,FALSE)/装备属性计算表!N$10*VLOOKUP($F90&amp;$D90,$F$4:$S$29,O$34,FALSE),0)</f>
        <v>0</v>
      </c>
      <c r="P90" s="28">
        <f>ROUND(VLOOKUP($E90,装备属性计算表!$D$4:$O$9,装备属性计算表!O$2,FALSE)/装备属性计算表!O$10*VLOOKUP($F90&amp;$D90,$F$4:$S$29,P$34,FALSE),0)</f>
        <v>0</v>
      </c>
      <c r="Q90" s="28">
        <f>SUMPRODUCT(G90:P90,定义数据!$G$14:$P$14)</f>
        <v>33.42</v>
      </c>
      <c r="R90" s="28">
        <f t="shared" si="14"/>
        <v>1671</v>
      </c>
      <c r="S90" s="91">
        <f t="shared" si="15"/>
        <v>1671</v>
      </c>
      <c r="T90" s="28">
        <f t="shared" si="16"/>
        <v>777015</v>
      </c>
      <c r="U90" s="89">
        <f>VLOOKUP(F90,D_装备金币参考表!$A$2:$C$81,3,FALSE)*Q90-VLOOKUP(F66,D_装备金币参考表!$A$2:$C$81,3,FALSE)*Q90+U66</f>
        <v>164801.74</v>
      </c>
      <c r="W90">
        <f t="shared" si="17"/>
        <v>0</v>
      </c>
      <c r="X90">
        <f t="shared" si="18"/>
        <v>2</v>
      </c>
      <c r="Y90">
        <f t="shared" si="19"/>
        <v>30</v>
      </c>
      <c r="Z90" s="25">
        <f t="shared" si="20"/>
        <v>0</v>
      </c>
      <c r="AA90" s="25">
        <f t="shared" si="21"/>
        <v>6</v>
      </c>
      <c r="AB90" s="25">
        <f t="shared" si="22"/>
        <v>155</v>
      </c>
      <c r="AC90" s="25">
        <f t="shared" si="23"/>
        <v>3985</v>
      </c>
      <c r="AD90">
        <v>44</v>
      </c>
      <c r="AE90" s="5">
        <f t="shared" si="12"/>
        <v>136.92680652149207</v>
      </c>
      <c r="AF90" s="5">
        <f t="shared" si="12"/>
        <v>426.62299566677223</v>
      </c>
      <c r="AG90" s="5">
        <f t="shared" si="24"/>
        <v>460.16471513954139</v>
      </c>
      <c r="AH90" s="5">
        <f t="shared" si="24"/>
        <v>853.24599133354445</v>
      </c>
      <c r="AI90" s="5">
        <f t="shared" si="12"/>
        <v>920.32943027908277</v>
      </c>
      <c r="AJ90" s="5">
        <f t="shared" si="25"/>
        <v>1380.4941454186242</v>
      </c>
      <c r="AK90" s="5">
        <f t="shared" si="12"/>
        <v>1417.5511475589458</v>
      </c>
      <c r="AL90" s="5">
        <f t="shared" si="26"/>
        <v>1840.6588605581655</v>
      </c>
      <c r="AM90" s="5">
        <f t="shared" si="26"/>
        <v>1890.068196745261</v>
      </c>
      <c r="AN90" s="5">
        <f t="shared" si="12"/>
        <v>1911.6475851611433</v>
      </c>
      <c r="AO90" s="5">
        <f t="shared" si="27"/>
        <v>2147.4353373178601</v>
      </c>
      <c r="AP90" s="5">
        <f t="shared" si="27"/>
        <v>2205.0795628694709</v>
      </c>
      <c r="AQ90" s="5">
        <f t="shared" si="27"/>
        <v>2230.2555160213337</v>
      </c>
      <c r="AR90" s="5">
        <f t="shared" si="27"/>
        <v>2520.0909289936812</v>
      </c>
      <c r="AS90" s="5">
        <f t="shared" si="28"/>
        <v>2548.8634468815244</v>
      </c>
    </row>
    <row r="91" spans="1:45" x14ac:dyDescent="0.15">
      <c r="A91" s="28" t="str">
        <f>F91&amp;D91&amp;VLOOKUP(E91,定义数据!$E$1:$F$7,2,FALSE)</f>
        <v>3041</v>
      </c>
      <c r="B91" s="28" t="str">
        <f t="shared" si="13"/>
        <v>3041</v>
      </c>
      <c r="C91" s="28">
        <f>装备属性计算表!AK87</f>
        <v>11</v>
      </c>
      <c r="D91" s="28">
        <f>装备属性计算表!B87</f>
        <v>4</v>
      </c>
      <c r="E91" s="28" t="str">
        <f>装备属性计算表!C87</f>
        <v>衣服</v>
      </c>
      <c r="F91" s="28">
        <f>装备属性计算表!D87</f>
        <v>30</v>
      </c>
      <c r="G91" s="28">
        <f>ROUND(VLOOKUP($E91,装备属性计算表!$D$4:$O$9,装备属性计算表!F$2,FALSE)/装备属性计算表!F$10*VLOOKUP($F91&amp;$D91,$F$4:$S$29,G$34,FALSE),0)</f>
        <v>470</v>
      </c>
      <c r="H91" s="28">
        <f>ROUND(VLOOKUP($E91,装备属性计算表!$D$4:$O$9,装备属性计算表!G$2,FALSE)/装备属性计算表!G$10*VLOOKUP($F91&amp;$D91,$F$4:$S$29,H$34,FALSE),0)</f>
        <v>0</v>
      </c>
      <c r="I91" s="28">
        <f>ROUND(VLOOKUP($E91,装备属性计算表!$D$4:$O$9,装备属性计算表!H$2,FALSE)/装备属性计算表!H$10*VLOOKUP($F91&amp;$D91,$F$4:$S$29,I$34,FALSE),0)</f>
        <v>10</v>
      </c>
      <c r="J91" s="28">
        <f>ROUND(VLOOKUP($E91,装备属性计算表!$D$4:$O$9,装备属性计算表!I$2,FALSE)/装备属性计算表!I$10*VLOOKUP($F91&amp;$D91,$F$4:$S$29,J$34,FALSE),0)</f>
        <v>0</v>
      </c>
      <c r="K91" s="28">
        <f>ROUND(VLOOKUP($E91,装备属性计算表!$D$4:$O$9,装备属性计算表!J$2,FALSE)/装备属性计算表!J$10*VLOOKUP($F91&amp;$D91,$F$4:$S$29,K$34,FALSE),0)</f>
        <v>0</v>
      </c>
      <c r="L91" s="28">
        <f>ROUND(VLOOKUP($E91,装备属性计算表!$D$4:$O$9,装备属性计算表!K$2,FALSE)/装备属性计算表!K$10*VLOOKUP($F91&amp;$D91,$F$4:$S$29,L$34,FALSE),0)</f>
        <v>0</v>
      </c>
      <c r="M91" s="28">
        <f>ROUND(VLOOKUP($E91,装备属性计算表!$D$4:$O$9,装备属性计算表!L$2,FALSE)/装备属性计算表!L$10*VLOOKUP($F91&amp;$D91,$F$4:$S$29,M$34,FALSE),0)</f>
        <v>0</v>
      </c>
      <c r="N91" s="28">
        <f>ROUND(VLOOKUP($E91,装备属性计算表!$D$4:$O$9,装备属性计算表!M$2,FALSE)/装备属性计算表!M$10*VLOOKUP($F91&amp;$D91,$F$4:$S$29,N$34,FALSE),0)</f>
        <v>0</v>
      </c>
      <c r="O91" s="28">
        <f>ROUND(VLOOKUP($E91,装备属性计算表!$D$4:$O$9,装备属性计算表!N$2,FALSE)/装备属性计算表!N$10*VLOOKUP($F91&amp;$D91,$F$4:$S$29,O$34,FALSE),0)</f>
        <v>0</v>
      </c>
      <c r="P91" s="28">
        <f>ROUND(VLOOKUP($E91,装备属性计算表!$D$4:$O$9,装备属性计算表!O$2,FALSE)/装备属性计算表!O$10*VLOOKUP($F91&amp;$D91,$F$4:$S$29,P$34,FALSE),0)</f>
        <v>0</v>
      </c>
      <c r="Q91" s="28">
        <f>SUMPRODUCT(G91:P91,定义数据!$G$14:$P$14)</f>
        <v>28.8</v>
      </c>
      <c r="R91" s="28">
        <f t="shared" si="14"/>
        <v>1440</v>
      </c>
      <c r="S91" s="91">
        <f t="shared" si="15"/>
        <v>1440</v>
      </c>
      <c r="T91" s="28">
        <f t="shared" si="16"/>
        <v>669600</v>
      </c>
      <c r="U91" s="89">
        <f>VLOOKUP(F91,D_装备金币参考表!$A$2:$C$81,3,FALSE)*Q91-VLOOKUP(F67,D_装备金币参考表!$A$2:$C$81,3,FALSE)*Q91+U67</f>
        <v>142166.80000000002</v>
      </c>
      <c r="W91">
        <f t="shared" si="17"/>
        <v>0</v>
      </c>
      <c r="X91">
        <f t="shared" si="18"/>
        <v>3</v>
      </c>
      <c r="Y91">
        <f t="shared" si="19"/>
        <v>30</v>
      </c>
      <c r="Z91" s="25">
        <f t="shared" si="20"/>
        <v>0</v>
      </c>
      <c r="AA91" s="25">
        <f t="shared" si="21"/>
        <v>9</v>
      </c>
      <c r="AB91" s="25">
        <f t="shared" si="22"/>
        <v>133</v>
      </c>
      <c r="AC91" s="25">
        <f t="shared" si="23"/>
        <v>4400</v>
      </c>
      <c r="AD91">
        <v>45</v>
      </c>
      <c r="AE91" s="5">
        <f t="shared" si="12"/>
        <v>140.98609051769989</v>
      </c>
      <c r="AF91" s="5">
        <f t="shared" si="12"/>
        <v>439.36923882196913</v>
      </c>
      <c r="AG91" s="5">
        <f t="shared" si="24"/>
        <v>474.12613792676541</v>
      </c>
      <c r="AH91" s="5">
        <f t="shared" si="24"/>
        <v>878.73847764393827</v>
      </c>
      <c r="AI91" s="5">
        <f t="shared" si="12"/>
        <v>948.25227585353082</v>
      </c>
      <c r="AJ91" s="5">
        <f t="shared" si="25"/>
        <v>1422.3784137802963</v>
      </c>
      <c r="AK91" s="5">
        <f t="shared" si="12"/>
        <v>1460.7895061156582</v>
      </c>
      <c r="AL91" s="5">
        <f t="shared" si="26"/>
        <v>1896.5045517070616</v>
      </c>
      <c r="AM91" s="5">
        <f t="shared" si="26"/>
        <v>1947.7193414875442</v>
      </c>
      <c r="AN91" s="5">
        <f t="shared" si="12"/>
        <v>1970.0897638109427</v>
      </c>
      <c r="AO91" s="5">
        <f t="shared" si="27"/>
        <v>2212.5886436582387</v>
      </c>
      <c r="AP91" s="5">
        <f t="shared" si="27"/>
        <v>2272.3392317354683</v>
      </c>
      <c r="AQ91" s="5">
        <f t="shared" si="27"/>
        <v>2298.4380577794332</v>
      </c>
      <c r="AR91" s="5">
        <f t="shared" si="27"/>
        <v>2596.9591219833924</v>
      </c>
      <c r="AS91" s="5">
        <f t="shared" si="28"/>
        <v>2626.7863517479236</v>
      </c>
    </row>
    <row r="92" spans="1:45" x14ac:dyDescent="0.15">
      <c r="A92" s="28" t="str">
        <f>F92&amp;D92&amp;VLOOKUP(E92,定义数据!$E$1:$F$7,2,FALSE)</f>
        <v>3042</v>
      </c>
      <c r="B92" s="28" t="str">
        <f t="shared" si="13"/>
        <v>3042</v>
      </c>
      <c r="C92" s="28">
        <f>装备属性计算表!AK88</f>
        <v>11</v>
      </c>
      <c r="D92" s="28">
        <f>装备属性计算表!B88</f>
        <v>4</v>
      </c>
      <c r="E92" s="28" t="str">
        <f>装备属性计算表!C88</f>
        <v>裤子</v>
      </c>
      <c r="F92" s="28">
        <f>装备属性计算表!D88</f>
        <v>30</v>
      </c>
      <c r="G92" s="28">
        <f>ROUND(VLOOKUP($E92,装备属性计算表!$D$4:$O$9,装备属性计算表!F$2,FALSE)/装备属性计算表!F$10*VLOOKUP($F92&amp;$D92,$F$4:$S$29,G$34,FALSE),0)</f>
        <v>0</v>
      </c>
      <c r="H92" s="28">
        <f>ROUND(VLOOKUP($E92,装备属性计算表!$D$4:$O$9,装备属性计算表!G$2,FALSE)/装备属性计算表!G$10*VLOOKUP($F92&amp;$D92,$F$4:$S$29,H$34,FALSE),0)</f>
        <v>0</v>
      </c>
      <c r="I92" s="28">
        <f>ROUND(VLOOKUP($E92,装备属性计算表!$D$4:$O$9,装备属性计算表!H$2,FALSE)/装备属性计算表!H$10*VLOOKUP($F92&amp;$D92,$F$4:$S$29,I$34,FALSE),0)</f>
        <v>7</v>
      </c>
      <c r="J92" s="28">
        <f>ROUND(VLOOKUP($E92,装备属性计算表!$D$4:$O$9,装备属性计算表!I$2,FALSE)/装备属性计算表!I$10*VLOOKUP($F92&amp;$D92,$F$4:$S$29,J$34,FALSE),0)</f>
        <v>10</v>
      </c>
      <c r="K92" s="28">
        <f>ROUND(VLOOKUP($E92,装备属性计算表!$D$4:$O$9,装备属性计算表!J$2,FALSE)/装备属性计算表!J$10*VLOOKUP($F92&amp;$D92,$F$4:$S$29,K$34,FALSE),0)</f>
        <v>0</v>
      </c>
      <c r="L92" s="28">
        <f>ROUND(VLOOKUP($E92,装备属性计算表!$D$4:$O$9,装备属性计算表!K$2,FALSE)/装备属性计算表!K$10*VLOOKUP($F92&amp;$D92,$F$4:$S$29,L$34,FALSE),0)</f>
        <v>0</v>
      </c>
      <c r="M92" s="28">
        <f>ROUND(VLOOKUP($E92,装备属性计算表!$D$4:$O$9,装备属性计算表!L$2,FALSE)/装备属性计算表!L$10*VLOOKUP($F92&amp;$D92,$F$4:$S$29,M$34,FALSE),0)</f>
        <v>0</v>
      </c>
      <c r="N92" s="28">
        <f>ROUND(VLOOKUP($E92,装备属性计算表!$D$4:$O$9,装备属性计算表!M$2,FALSE)/装备属性计算表!M$10*VLOOKUP($F92&amp;$D92,$F$4:$S$29,N$34,FALSE),0)</f>
        <v>0</v>
      </c>
      <c r="O92" s="28">
        <f>ROUND(VLOOKUP($E92,装备属性计算表!$D$4:$O$9,装备属性计算表!N$2,FALSE)/装备属性计算表!N$10*VLOOKUP($F92&amp;$D92,$F$4:$S$29,O$34,FALSE),0)</f>
        <v>0</v>
      </c>
      <c r="P92" s="28">
        <f>ROUND(VLOOKUP($E92,装备属性计算表!$D$4:$O$9,装备属性计算表!O$2,FALSE)/装备属性计算表!O$10*VLOOKUP($F92&amp;$D92,$F$4:$S$29,P$34,FALSE),0)</f>
        <v>0</v>
      </c>
      <c r="Q92" s="28">
        <f>SUMPRODUCT(G92:P92,定义数据!$G$14:$P$14)</f>
        <v>10.4</v>
      </c>
      <c r="R92" s="28">
        <f t="shared" si="14"/>
        <v>520</v>
      </c>
      <c r="S92" s="91">
        <f t="shared" si="15"/>
        <v>520</v>
      </c>
      <c r="T92" s="28">
        <f t="shared" si="16"/>
        <v>241800</v>
      </c>
      <c r="U92" s="89">
        <f>VLOOKUP(F92,D_装备金币参考表!$A$2:$C$81,3,FALSE)*Q92-VLOOKUP(F68,D_装备金币参考表!$A$2:$C$81,3,FALSE)*Q92+U68</f>
        <v>50862.600000000006</v>
      </c>
      <c r="W92">
        <f t="shared" si="17"/>
        <v>1</v>
      </c>
      <c r="X92">
        <f t="shared" si="18"/>
        <v>9</v>
      </c>
      <c r="Y92">
        <f t="shared" si="19"/>
        <v>30</v>
      </c>
      <c r="Z92" s="25">
        <f t="shared" si="20"/>
        <v>3</v>
      </c>
      <c r="AA92" s="25">
        <f t="shared" si="21"/>
        <v>23</v>
      </c>
      <c r="AB92" s="25">
        <f t="shared" si="22"/>
        <v>44</v>
      </c>
      <c r="AC92" s="25">
        <f t="shared" si="23"/>
        <v>1800</v>
      </c>
      <c r="AD92">
        <v>46</v>
      </c>
      <c r="AE92" s="5">
        <f t="shared" si="12"/>
        <v>145.07252872052769</v>
      </c>
      <c r="AF92" s="5">
        <f t="shared" si="12"/>
        <v>452.2035987236444</v>
      </c>
      <c r="AG92" s="5">
        <f t="shared" si="24"/>
        <v>488.19032789681648</v>
      </c>
      <c r="AH92" s="5">
        <f t="shared" si="24"/>
        <v>904.40719744728881</v>
      </c>
      <c r="AI92" s="5">
        <f t="shared" si="12"/>
        <v>976.38065579363297</v>
      </c>
      <c r="AJ92" s="5">
        <f t="shared" si="25"/>
        <v>1464.5709836904493</v>
      </c>
      <c r="AK92" s="5">
        <f t="shared" si="12"/>
        <v>1504.3529097764754</v>
      </c>
      <c r="AL92" s="5">
        <f t="shared" si="26"/>
        <v>1952.7613115872659</v>
      </c>
      <c r="AM92" s="5">
        <f t="shared" si="26"/>
        <v>2005.8038797019672</v>
      </c>
      <c r="AN92" s="5">
        <f t="shared" si="12"/>
        <v>2028.9752083230787</v>
      </c>
      <c r="AO92" s="5">
        <f t="shared" si="27"/>
        <v>2278.2215301851438</v>
      </c>
      <c r="AP92" s="5">
        <f t="shared" si="27"/>
        <v>2340.1045263189617</v>
      </c>
      <c r="AQ92" s="5">
        <f t="shared" si="27"/>
        <v>2367.1377430435919</v>
      </c>
      <c r="AR92" s="5">
        <f t="shared" si="27"/>
        <v>2674.4051729359562</v>
      </c>
      <c r="AS92" s="5">
        <f t="shared" si="28"/>
        <v>2705.300277764105</v>
      </c>
    </row>
    <row r="93" spans="1:45" x14ac:dyDescent="0.15">
      <c r="A93" s="28" t="str">
        <f>F93&amp;D93&amp;VLOOKUP(E93,定义数据!$E$1:$F$7,2,FALSE)</f>
        <v>3045</v>
      </c>
      <c r="B93" s="28" t="str">
        <f t="shared" si="13"/>
        <v>3045</v>
      </c>
      <c r="C93" s="28">
        <f>装备属性计算表!AK89</f>
        <v>11</v>
      </c>
      <c r="D93" s="28">
        <f>装备属性计算表!B89</f>
        <v>4</v>
      </c>
      <c r="E93" s="28" t="str">
        <f>装备属性计算表!C89</f>
        <v>鞋子</v>
      </c>
      <c r="F93" s="28">
        <f>装备属性计算表!D89</f>
        <v>30</v>
      </c>
      <c r="G93" s="28">
        <f>ROUND(VLOOKUP($E93,装备属性计算表!$D$4:$O$9,装备属性计算表!F$2,FALSE)/装备属性计算表!F$10*VLOOKUP($F93&amp;$D93,$F$4:$S$29,G$34,FALSE),0)</f>
        <v>157</v>
      </c>
      <c r="H93" s="28">
        <f>ROUND(VLOOKUP($E93,装备属性计算表!$D$4:$O$9,装备属性计算表!G$2,FALSE)/装备属性计算表!G$10*VLOOKUP($F93&amp;$D93,$F$4:$S$29,H$34,FALSE),0)</f>
        <v>0</v>
      </c>
      <c r="I93" s="28">
        <f>ROUND(VLOOKUP($E93,装备属性计算表!$D$4:$O$9,装备属性计算表!H$2,FALSE)/装备属性计算表!H$10*VLOOKUP($F93&amp;$D93,$F$4:$S$29,I$34,FALSE),0)</f>
        <v>0</v>
      </c>
      <c r="J93" s="28">
        <f>ROUND(VLOOKUP($E93,装备属性计算表!$D$4:$O$9,装备属性计算表!I$2,FALSE)/装备属性计算表!I$10*VLOOKUP($F93&amp;$D93,$F$4:$S$29,J$34,FALSE),0)</f>
        <v>21</v>
      </c>
      <c r="K93" s="28">
        <f>ROUND(VLOOKUP($E93,装备属性计算表!$D$4:$O$9,装备属性计算表!J$2,FALSE)/装备属性计算表!J$10*VLOOKUP($F93&amp;$D93,$F$4:$S$29,K$34,FALSE),0)</f>
        <v>0</v>
      </c>
      <c r="L93" s="28">
        <f>ROUND(VLOOKUP($E93,装备属性计算表!$D$4:$O$9,装备属性计算表!K$2,FALSE)/装备属性计算表!K$10*VLOOKUP($F93&amp;$D93,$F$4:$S$29,L$34,FALSE),0)</f>
        <v>0</v>
      </c>
      <c r="M93" s="28">
        <f>ROUND(VLOOKUP($E93,装备属性计算表!$D$4:$O$9,装备属性计算表!L$2,FALSE)/装备属性计算表!L$10*VLOOKUP($F93&amp;$D93,$F$4:$S$29,M$34,FALSE),0)</f>
        <v>0</v>
      </c>
      <c r="N93" s="28">
        <f>ROUND(VLOOKUP($E93,装备属性计算表!$D$4:$O$9,装备属性计算表!M$2,FALSE)/装备属性计算表!M$10*VLOOKUP($F93&amp;$D93,$F$4:$S$29,N$34,FALSE),0)</f>
        <v>0</v>
      </c>
      <c r="O93" s="28">
        <f>ROUND(VLOOKUP($E93,装备属性计算表!$D$4:$O$9,装备属性计算表!N$2,FALSE)/装备属性计算表!N$10*VLOOKUP($F93&amp;$D93,$F$4:$S$29,O$34,FALSE),0)</f>
        <v>0</v>
      </c>
      <c r="P93" s="28">
        <f>ROUND(VLOOKUP($E93,装备属性计算表!$D$4:$O$9,装备属性计算表!O$2,FALSE)/装备属性计算表!O$10*VLOOKUP($F93&amp;$D93,$F$4:$S$29,P$34,FALSE),0)</f>
        <v>0</v>
      </c>
      <c r="Q93" s="28">
        <f>SUMPRODUCT(G93:P93,定义数据!$G$14:$P$14)</f>
        <v>13.420000000000002</v>
      </c>
      <c r="R93" s="28">
        <f t="shared" si="14"/>
        <v>671</v>
      </c>
      <c r="S93" s="91">
        <f t="shared" si="15"/>
        <v>671</v>
      </c>
      <c r="T93" s="28">
        <f t="shared" si="16"/>
        <v>312015</v>
      </c>
      <c r="U93" s="89">
        <f>VLOOKUP(F93,D_装备金币参考表!$A$2:$C$81,3,FALSE)*Q93-VLOOKUP(F69,D_装备金币参考表!$A$2:$C$81,3,FALSE)*Q93+U69</f>
        <v>65986.740000000005</v>
      </c>
      <c r="W93">
        <f t="shared" si="17"/>
        <v>1</v>
      </c>
      <c r="X93">
        <f t="shared" si="18"/>
        <v>7</v>
      </c>
      <c r="Y93">
        <f t="shared" si="19"/>
        <v>30</v>
      </c>
      <c r="Z93" s="25">
        <f t="shared" si="20"/>
        <v>4</v>
      </c>
      <c r="AA93" s="25">
        <f t="shared" si="21"/>
        <v>19</v>
      </c>
      <c r="AB93" s="25">
        <f t="shared" si="22"/>
        <v>59</v>
      </c>
      <c r="AC93" s="25">
        <f t="shared" si="23"/>
        <v>2785</v>
      </c>
      <c r="AD93">
        <v>47</v>
      </c>
      <c r="AE93" s="5">
        <f t="shared" si="12"/>
        <v>149.18570649715895</v>
      </c>
      <c r="AF93" s="5">
        <f t="shared" si="12"/>
        <v>465.1247489448952</v>
      </c>
      <c r="AG93" s="5">
        <f t="shared" si="24"/>
        <v>502.35578260129449</v>
      </c>
      <c r="AH93" s="5">
        <f t="shared" si="24"/>
        <v>930.2494978897904</v>
      </c>
      <c r="AI93" s="5">
        <f t="shared" si="12"/>
        <v>1004.711565202589</v>
      </c>
      <c r="AJ93" s="5">
        <f t="shared" si="25"/>
        <v>1507.0673478038834</v>
      </c>
      <c r="AK93" s="5">
        <f t="shared" si="12"/>
        <v>1548.2366556975651</v>
      </c>
      <c r="AL93" s="5">
        <f t="shared" si="26"/>
        <v>2009.423130405178</v>
      </c>
      <c r="AM93" s="5">
        <f t="shared" si="26"/>
        <v>2064.3155409300866</v>
      </c>
      <c r="AN93" s="5">
        <f t="shared" si="12"/>
        <v>2088.2975342135578</v>
      </c>
      <c r="AO93" s="5">
        <f t="shared" si="27"/>
        <v>2344.3269854727077</v>
      </c>
      <c r="AP93" s="5">
        <f t="shared" si="27"/>
        <v>2408.3681310851011</v>
      </c>
      <c r="AQ93" s="5">
        <f t="shared" si="27"/>
        <v>2436.3471232491511</v>
      </c>
      <c r="AR93" s="5">
        <f t="shared" si="27"/>
        <v>2752.4207212401157</v>
      </c>
      <c r="AS93" s="5">
        <f t="shared" si="28"/>
        <v>2784.3967122847439</v>
      </c>
    </row>
    <row r="94" spans="1:45" x14ac:dyDescent="0.15">
      <c r="A94" s="28" t="str">
        <f>F94&amp;D94&amp;VLOOKUP(E94,定义数据!$E$1:$F$7,2,FALSE)</f>
        <v>3044</v>
      </c>
      <c r="B94" s="28" t="str">
        <f t="shared" si="13"/>
        <v>3044</v>
      </c>
      <c r="C94" s="28">
        <f>装备属性计算表!AK90</f>
        <v>11</v>
      </c>
      <c r="D94" s="28">
        <f>装备属性计算表!B90</f>
        <v>4</v>
      </c>
      <c r="E94" s="28" t="str">
        <f>装备属性计算表!C90</f>
        <v>腰带</v>
      </c>
      <c r="F94" s="28">
        <f>装备属性计算表!D90</f>
        <v>30</v>
      </c>
      <c r="G94" s="28">
        <f>ROUND(VLOOKUP($E94,装备属性计算表!$D$4:$O$9,装备属性计算表!F$2,FALSE)/装备属性计算表!F$10*VLOOKUP($F94&amp;$D94,$F$4:$S$29,G$34,FALSE),0)</f>
        <v>157</v>
      </c>
      <c r="H94" s="28">
        <f>ROUND(VLOOKUP($E94,装备属性计算表!$D$4:$O$9,装备属性计算表!G$2,FALSE)/装备属性计算表!G$10*VLOOKUP($F94&amp;$D94,$F$4:$S$29,H$34,FALSE),0)</f>
        <v>0</v>
      </c>
      <c r="I94" s="28">
        <f>ROUND(VLOOKUP($E94,装备属性计算表!$D$4:$O$9,装备属性计算表!H$2,FALSE)/装备属性计算表!H$10*VLOOKUP($F94&amp;$D94,$F$4:$S$29,I$34,FALSE),0)</f>
        <v>0</v>
      </c>
      <c r="J94" s="28">
        <f>ROUND(VLOOKUP($E94,装备属性计算表!$D$4:$O$9,装备属性计算表!I$2,FALSE)/装备属性计算表!I$10*VLOOKUP($F94&amp;$D94,$F$4:$S$29,J$34,FALSE),0)</f>
        <v>0</v>
      </c>
      <c r="K94" s="28">
        <f>ROUND(VLOOKUP($E94,装备属性计算表!$D$4:$O$9,装备属性计算表!J$2,FALSE)/装备属性计算表!J$10*VLOOKUP($F94&amp;$D94,$F$4:$S$29,K$34,FALSE),0)</f>
        <v>0</v>
      </c>
      <c r="L94" s="28">
        <f>ROUND(VLOOKUP($E94,装备属性计算表!$D$4:$O$9,装备属性计算表!K$2,FALSE)/装备属性计算表!K$10*VLOOKUP($F94&amp;$D94,$F$4:$S$29,L$34,FALSE),0)</f>
        <v>0</v>
      </c>
      <c r="M94" s="28">
        <f>ROUND(VLOOKUP($E94,装备属性计算表!$D$4:$O$9,装备属性计算表!L$2,FALSE)/装备属性计算表!L$10*VLOOKUP($F94&amp;$D94,$F$4:$S$29,M$34,FALSE),0)</f>
        <v>0</v>
      </c>
      <c r="N94" s="28">
        <f>ROUND(VLOOKUP($E94,装备属性计算表!$D$4:$O$9,装备属性计算表!M$2,FALSE)/装备属性计算表!M$10*VLOOKUP($F94&amp;$D94,$F$4:$S$29,N$34,FALSE),0)</f>
        <v>19</v>
      </c>
      <c r="O94" s="28">
        <f>ROUND(VLOOKUP($E94,装备属性计算表!$D$4:$O$9,装备属性计算表!N$2,FALSE)/装备属性计算表!N$10*VLOOKUP($F94&amp;$D94,$F$4:$S$29,O$34,FALSE),0)</f>
        <v>0</v>
      </c>
      <c r="P94" s="28">
        <f>ROUND(VLOOKUP($E94,装备属性计算表!$D$4:$O$9,装备属性计算表!O$2,FALSE)/装备属性计算表!O$10*VLOOKUP($F94&amp;$D94,$F$4:$S$29,P$34,FALSE),0)</f>
        <v>0</v>
      </c>
      <c r="Q94" s="28">
        <f>SUMPRODUCT(G94:P94,定义数据!$G$14:$P$14)</f>
        <v>9.6999999999999993</v>
      </c>
      <c r="R94" s="28">
        <f t="shared" si="14"/>
        <v>485</v>
      </c>
      <c r="S94" s="91">
        <f t="shared" si="15"/>
        <v>485</v>
      </c>
      <c r="T94" s="28">
        <f t="shared" si="16"/>
        <v>225525</v>
      </c>
      <c r="U94" s="89">
        <f>VLOOKUP(F94,D_装备金币参考表!$A$2:$C$81,3,FALSE)*Q94-VLOOKUP(F70,D_装备金币参考表!$A$2:$C$81,3,FALSE)*Q94+U70</f>
        <v>47725.299999999996</v>
      </c>
      <c r="W94">
        <f t="shared" si="17"/>
        <v>2</v>
      </c>
      <c r="X94">
        <f t="shared" si="18"/>
        <v>10</v>
      </c>
      <c r="Y94">
        <f t="shared" si="19"/>
        <v>30</v>
      </c>
      <c r="Z94" s="25">
        <f t="shared" si="20"/>
        <v>8</v>
      </c>
      <c r="AA94" s="25">
        <f t="shared" si="21"/>
        <v>26</v>
      </c>
      <c r="AB94" s="25">
        <f t="shared" si="22"/>
        <v>40</v>
      </c>
      <c r="AC94" s="25">
        <f t="shared" si="23"/>
        <v>2075</v>
      </c>
      <c r="AD94">
        <v>48</v>
      </c>
      <c r="AE94" s="5">
        <f t="shared" si="12"/>
        <v>153.32522426376755</v>
      </c>
      <c r="AF94" s="5">
        <f t="shared" si="12"/>
        <v>478.13141092306421</v>
      </c>
      <c r="AG94" s="5">
        <f t="shared" si="24"/>
        <v>516.62105317764485</v>
      </c>
      <c r="AH94" s="5">
        <f t="shared" si="24"/>
        <v>956.26282184612842</v>
      </c>
      <c r="AI94" s="5">
        <f t="shared" si="12"/>
        <v>1033.2421063552897</v>
      </c>
      <c r="AJ94" s="5">
        <f t="shared" si="25"/>
        <v>1549.8631595329346</v>
      </c>
      <c r="AK94" s="5">
        <f t="shared" si="12"/>
        <v>1592.4362080746625</v>
      </c>
      <c r="AL94" s="5">
        <f t="shared" si="26"/>
        <v>2066.4842127105794</v>
      </c>
      <c r="AM94" s="5">
        <f t="shared" si="26"/>
        <v>2123.2482774328837</v>
      </c>
      <c r="AN94" s="5">
        <f t="shared" si="12"/>
        <v>2148.050583366045</v>
      </c>
      <c r="AO94" s="5">
        <f t="shared" si="27"/>
        <v>2410.898248162343</v>
      </c>
      <c r="AP94" s="5">
        <f t="shared" si="27"/>
        <v>2477.1229903383642</v>
      </c>
      <c r="AQ94" s="5">
        <f t="shared" si="27"/>
        <v>2506.0590139270525</v>
      </c>
      <c r="AR94" s="5">
        <f t="shared" si="27"/>
        <v>2830.9977032438446</v>
      </c>
      <c r="AS94" s="5">
        <f t="shared" si="28"/>
        <v>2864.0674444880601</v>
      </c>
    </row>
    <row r="95" spans="1:45" x14ac:dyDescent="0.15">
      <c r="A95" s="28" t="str">
        <f>F95&amp;D95&amp;VLOOKUP(E95,定义数据!$E$1:$F$7,2,FALSE)</f>
        <v>3043</v>
      </c>
      <c r="B95" s="28" t="str">
        <f t="shared" si="13"/>
        <v>3043</v>
      </c>
      <c r="C95" s="28">
        <f>装备属性计算表!AK91</f>
        <v>11</v>
      </c>
      <c r="D95" s="28">
        <f>装备属性计算表!B91</f>
        <v>4</v>
      </c>
      <c r="E95" s="28" t="str">
        <f>装备属性计算表!C91</f>
        <v>项链</v>
      </c>
      <c r="F95" s="28">
        <f>装备属性计算表!D91</f>
        <v>30</v>
      </c>
      <c r="G95" s="28">
        <f>ROUND(VLOOKUP($E95,装备属性计算表!$D$4:$O$9,装备属性计算表!F$2,FALSE)/装备属性计算表!F$10*VLOOKUP($F95&amp;$D95,$F$4:$S$29,G$34,FALSE),0)</f>
        <v>0</v>
      </c>
      <c r="H95" s="28">
        <f>ROUND(VLOOKUP($E95,装备属性计算表!$D$4:$O$9,装备属性计算表!G$2,FALSE)/装备属性计算表!G$10*VLOOKUP($F95&amp;$D95,$F$4:$S$29,H$34,FALSE),0)</f>
        <v>10</v>
      </c>
      <c r="I95" s="28">
        <f>ROUND(VLOOKUP($E95,装备属性计算表!$D$4:$O$9,装备属性计算表!H$2,FALSE)/装备属性计算表!H$10*VLOOKUP($F95&amp;$D95,$F$4:$S$29,I$34,FALSE),0)</f>
        <v>0</v>
      </c>
      <c r="J95" s="28">
        <f>ROUND(VLOOKUP($E95,装备属性计算表!$D$4:$O$9,装备属性计算表!I$2,FALSE)/装备属性计算表!I$10*VLOOKUP($F95&amp;$D95,$F$4:$S$29,J$34,FALSE),0)</f>
        <v>0</v>
      </c>
      <c r="K95" s="28">
        <f>ROUND(VLOOKUP($E95,装备属性计算表!$D$4:$O$9,装备属性计算表!J$2,FALSE)/装备属性计算表!J$10*VLOOKUP($F95&amp;$D95,$F$4:$S$29,K$34,FALSE),0)</f>
        <v>31</v>
      </c>
      <c r="L95" s="28">
        <f>ROUND(VLOOKUP($E95,装备属性计算表!$D$4:$O$9,装备属性计算表!K$2,FALSE)/装备属性计算表!K$10*VLOOKUP($F95&amp;$D95,$F$4:$S$29,L$34,FALSE),0)</f>
        <v>0</v>
      </c>
      <c r="M95" s="28">
        <f>ROUND(VLOOKUP($E95,装备属性计算表!$D$4:$O$9,装备属性计算表!L$2,FALSE)/装备属性计算表!L$10*VLOOKUP($F95&amp;$D95,$F$4:$S$29,M$34,FALSE),0)</f>
        <v>0</v>
      </c>
      <c r="N95" s="28">
        <f>ROUND(VLOOKUP($E95,装备属性计算表!$D$4:$O$9,装备属性计算表!M$2,FALSE)/装备属性计算表!M$10*VLOOKUP($F95&amp;$D95,$F$4:$S$29,N$34,FALSE),0)</f>
        <v>0</v>
      </c>
      <c r="O95" s="28">
        <f>ROUND(VLOOKUP($E95,装备属性计算表!$D$4:$O$9,装备属性计算表!N$2,FALSE)/装备属性计算表!N$10*VLOOKUP($F95&amp;$D95,$F$4:$S$29,O$34,FALSE),0)</f>
        <v>0</v>
      </c>
      <c r="P95" s="28">
        <f>ROUND(VLOOKUP($E95,装备属性计算表!$D$4:$O$9,装备属性计算表!O$2,FALSE)/装备属性计算表!O$10*VLOOKUP($F95&amp;$D95,$F$4:$S$29,P$34,FALSE),0)</f>
        <v>0</v>
      </c>
      <c r="Q95" s="28">
        <f>SUMPRODUCT(G95:P95,定义数据!$G$14:$P$14)</f>
        <v>20.54</v>
      </c>
      <c r="R95" s="28">
        <f t="shared" si="14"/>
        <v>1027</v>
      </c>
      <c r="S95" s="91">
        <f t="shared" si="15"/>
        <v>1027</v>
      </c>
      <c r="T95" s="28">
        <f t="shared" si="16"/>
        <v>477555</v>
      </c>
      <c r="U95" s="89">
        <f>VLOOKUP(F95,D_装备金币参考表!$A$2:$C$81,3,FALSE)*Q95-VLOOKUP(F71,D_装备金币参考表!$A$2:$C$81,3,FALSE)*Q95+U71</f>
        <v>101705.18000000001</v>
      </c>
      <c r="V95" s="25">
        <f>SUM(U90:U95)</f>
        <v>573248.36</v>
      </c>
      <c r="W95">
        <f t="shared" si="17"/>
        <v>0</v>
      </c>
      <c r="X95">
        <f t="shared" si="18"/>
        <v>4</v>
      </c>
      <c r="Y95">
        <f t="shared" si="19"/>
        <v>30</v>
      </c>
      <c r="Z95" s="25">
        <f t="shared" si="20"/>
        <v>0</v>
      </c>
      <c r="AA95" s="25">
        <f t="shared" si="21"/>
        <v>11</v>
      </c>
      <c r="AB95" s="25">
        <f t="shared" si="22"/>
        <v>94</v>
      </c>
      <c r="AC95" s="25">
        <f t="shared" si="23"/>
        <v>3445</v>
      </c>
      <c r="AD95">
        <v>49</v>
      </c>
      <c r="AE95" s="5">
        <f t="shared" si="12"/>
        <v>157.49069663608589</v>
      </c>
      <c r="AF95" s="5">
        <f t="shared" si="12"/>
        <v>491.22235126779395</v>
      </c>
      <c r="AG95" s="5">
        <f t="shared" si="24"/>
        <v>530.98474135720267</v>
      </c>
      <c r="AH95" s="5">
        <f t="shared" si="24"/>
        <v>982.44470253558791</v>
      </c>
      <c r="AI95" s="5">
        <f t="shared" si="12"/>
        <v>1061.9694827144053</v>
      </c>
      <c r="AJ95" s="5">
        <f t="shared" si="25"/>
        <v>1592.954224071608</v>
      </c>
      <c r="AK95" s="5">
        <f t="shared" si="12"/>
        <v>1636.9471888402168</v>
      </c>
      <c r="AL95" s="5">
        <f t="shared" si="26"/>
        <v>2123.9389654288107</v>
      </c>
      <c r="AM95" s="5">
        <f t="shared" si="26"/>
        <v>2182.5962517869557</v>
      </c>
      <c r="AN95" s="5">
        <f t="shared" si="12"/>
        <v>2208.2284114386821</v>
      </c>
      <c r="AO95" s="5">
        <f t="shared" si="27"/>
        <v>2477.9287930002788</v>
      </c>
      <c r="AP95" s="5">
        <f t="shared" si="27"/>
        <v>2546.3622937514483</v>
      </c>
      <c r="AQ95" s="5">
        <f t="shared" si="27"/>
        <v>2576.2664800117959</v>
      </c>
      <c r="AR95" s="5">
        <f t="shared" si="27"/>
        <v>2910.1283357159409</v>
      </c>
      <c r="AS95" s="5">
        <f t="shared" si="28"/>
        <v>2944.3045485849098</v>
      </c>
    </row>
    <row r="96" spans="1:45" x14ac:dyDescent="0.15">
      <c r="A96" s="28" t="str">
        <f>F96&amp;D96&amp;VLOOKUP(E96,定义数据!$E$1:$F$7,2,FALSE)</f>
        <v>4510</v>
      </c>
      <c r="B96" s="28" t="str">
        <f t="shared" si="13"/>
        <v>4510</v>
      </c>
      <c r="C96" s="28">
        <f>装备属性计算表!AK92</f>
        <v>12</v>
      </c>
      <c r="D96" s="28">
        <f>装备属性计算表!B92</f>
        <v>1</v>
      </c>
      <c r="E96" s="28" t="str">
        <f>装备属性计算表!C92</f>
        <v>武器</v>
      </c>
      <c r="F96" s="28">
        <f>装备属性计算表!D92</f>
        <v>45</v>
      </c>
      <c r="G96" s="28">
        <f>ROUND(VLOOKUP($E96,装备属性计算表!$D$4:$O$9,装备属性计算表!F$2,FALSE)/装备属性计算表!F$10*VLOOKUP($F96&amp;$D96,$F$4:$S$29,G$34,FALSE),0)</f>
        <v>0</v>
      </c>
      <c r="H96" s="28">
        <f>ROUND(VLOOKUP($E96,装备属性计算表!$D$4:$O$9,装备属性计算表!G$2,FALSE)/装备属性计算表!G$10*VLOOKUP($F96&amp;$D96,$F$4:$S$29,H$34,FALSE),0)</f>
        <v>27</v>
      </c>
      <c r="I96" s="28">
        <f>ROUND(VLOOKUP($E96,装备属性计算表!$D$4:$O$9,装备属性计算表!H$2,FALSE)/装备属性计算表!H$10*VLOOKUP($F96&amp;$D96,$F$4:$S$29,I$34,FALSE),0)</f>
        <v>0</v>
      </c>
      <c r="J96" s="28">
        <f>ROUND(VLOOKUP($E96,装备属性计算表!$D$4:$O$9,装备属性计算表!I$2,FALSE)/装备属性计算表!I$10*VLOOKUP($F96&amp;$D96,$F$4:$S$29,J$34,FALSE),0)</f>
        <v>0</v>
      </c>
      <c r="K96" s="28">
        <f>ROUND(VLOOKUP($E96,装备属性计算表!$D$4:$O$9,装备属性计算表!J$2,FALSE)/装备属性计算表!J$10*VLOOKUP($F96&amp;$D96,$F$4:$S$29,K$34,FALSE),0)</f>
        <v>0</v>
      </c>
      <c r="L96" s="28">
        <f>ROUND(VLOOKUP($E96,装备属性计算表!$D$4:$O$9,装备属性计算表!K$2,FALSE)/装备属性计算表!K$10*VLOOKUP($F96&amp;$D96,$F$4:$S$29,L$34,FALSE),0)</f>
        <v>17</v>
      </c>
      <c r="M96" s="28">
        <f>ROUND(VLOOKUP($E96,装备属性计算表!$D$4:$O$9,装备属性计算表!L$2,FALSE)/装备属性计算表!L$10*VLOOKUP($F96&amp;$D96,$F$4:$S$29,M$34,FALSE),0)</f>
        <v>0</v>
      </c>
      <c r="N96" s="28">
        <f>ROUND(VLOOKUP($E96,装备属性计算表!$D$4:$O$9,装备属性计算表!M$2,FALSE)/装备属性计算表!M$10*VLOOKUP($F96&amp;$D96,$F$4:$S$29,N$34,FALSE),0)</f>
        <v>0</v>
      </c>
      <c r="O96" s="28">
        <f>ROUND(VLOOKUP($E96,装备属性计算表!$D$4:$O$9,装备属性计算表!N$2,FALSE)/装备属性计算表!N$10*VLOOKUP($F96&amp;$D96,$F$4:$S$29,O$34,FALSE),0)</f>
        <v>0</v>
      </c>
      <c r="P96" s="28">
        <f>ROUND(VLOOKUP($E96,装备属性计算表!$D$4:$O$9,装备属性计算表!O$2,FALSE)/装备属性计算表!O$10*VLOOKUP($F96&amp;$D96,$F$4:$S$29,P$34,FALSE),0)</f>
        <v>0</v>
      </c>
      <c r="Q96" s="28">
        <f>SUMPRODUCT(G96:P96,定义数据!$G$14:$P$14)</f>
        <v>30.06</v>
      </c>
      <c r="R96" s="28">
        <f t="shared" si="14"/>
        <v>1503</v>
      </c>
      <c r="S96" s="91">
        <f t="shared" si="15"/>
        <v>1503</v>
      </c>
      <c r="T96" s="28">
        <f t="shared" si="16"/>
        <v>1555605</v>
      </c>
      <c r="U96" s="89">
        <f>VLOOKUP(F96,D_装备金币参考表!$A$2:$C$81,3,FALSE)*Q96-VLOOKUP(F72,D_装备金币参考表!$A$2:$C$81,3,FALSE)*Q96+U72</f>
        <v>480629.55999999994</v>
      </c>
      <c r="W96">
        <f t="shared" si="17"/>
        <v>0</v>
      </c>
      <c r="X96">
        <f t="shared" si="18"/>
        <v>3</v>
      </c>
      <c r="Y96">
        <f t="shared" si="19"/>
        <v>45</v>
      </c>
      <c r="Z96" s="25">
        <f t="shared" si="20"/>
        <v>0</v>
      </c>
      <c r="AA96" s="25">
        <f t="shared" si="21"/>
        <v>10</v>
      </c>
      <c r="AB96" s="25">
        <f t="shared" si="22"/>
        <v>310</v>
      </c>
      <c r="AC96" s="25">
        <f t="shared" si="23"/>
        <v>4395</v>
      </c>
      <c r="AD96">
        <v>50</v>
      </c>
      <c r="AE96" s="5">
        <f t="shared" si="12"/>
        <v>161.68175164433933</v>
      </c>
      <c r="AF96" s="5">
        <f t="shared" si="12"/>
        <v>504.39637927253199</v>
      </c>
      <c r="AG96" s="5">
        <f t="shared" si="24"/>
        <v>545.445496698179</v>
      </c>
      <c r="AH96" s="5">
        <f t="shared" si="24"/>
        <v>1008.792758545064</v>
      </c>
      <c r="AI96" s="5">
        <f t="shared" si="12"/>
        <v>1090.890993396358</v>
      </c>
      <c r="AJ96" s="5">
        <f t="shared" si="25"/>
        <v>1636.3364900945371</v>
      </c>
      <c r="AK96" s="5">
        <f t="shared" si="12"/>
        <v>1681.7653690586621</v>
      </c>
      <c r="AL96" s="5">
        <f t="shared" si="26"/>
        <v>2181.781986792716</v>
      </c>
      <c r="AM96" s="5">
        <f t="shared" si="26"/>
        <v>2242.3538254115497</v>
      </c>
      <c r="AN96" s="5">
        <f t="shared" si="12"/>
        <v>2268.8252762151988</v>
      </c>
      <c r="AO96" s="5">
        <f t="shared" si="27"/>
        <v>2545.4123179248354</v>
      </c>
      <c r="AP96" s="5">
        <f t="shared" si="27"/>
        <v>2616.0794629801412</v>
      </c>
      <c r="AQ96" s="5">
        <f t="shared" si="27"/>
        <v>2646.9628222510655</v>
      </c>
      <c r="AR96" s="5">
        <f t="shared" si="27"/>
        <v>2989.8051005487328</v>
      </c>
      <c r="AS96" s="5">
        <f t="shared" si="28"/>
        <v>3025.1003682869318</v>
      </c>
    </row>
    <row r="97" spans="1:45" x14ac:dyDescent="0.15">
      <c r="A97" s="28" t="str">
        <f>F97&amp;D97&amp;VLOOKUP(E97,定义数据!$E$1:$F$7,2,FALSE)</f>
        <v>4511</v>
      </c>
      <c r="B97" s="28" t="str">
        <f t="shared" si="13"/>
        <v>4511</v>
      </c>
      <c r="C97" s="28">
        <f>装备属性计算表!AK93</f>
        <v>12</v>
      </c>
      <c r="D97" s="28">
        <f>装备属性计算表!B93</f>
        <v>1</v>
      </c>
      <c r="E97" s="28" t="str">
        <f>装备属性计算表!C93</f>
        <v>衣服</v>
      </c>
      <c r="F97" s="28">
        <f>装备属性计算表!D93</f>
        <v>45</v>
      </c>
      <c r="G97" s="28">
        <f>ROUND(VLOOKUP($E97,装备属性计算表!$D$4:$O$9,装备属性计算表!F$2,FALSE)/装备属性计算表!F$10*VLOOKUP($F97&amp;$D97,$F$4:$S$29,G$34,FALSE),0)</f>
        <v>423</v>
      </c>
      <c r="H97" s="28">
        <f>ROUND(VLOOKUP($E97,装备属性计算表!$D$4:$O$9,装备属性计算表!G$2,FALSE)/装备属性计算表!G$10*VLOOKUP($F97&amp;$D97,$F$4:$S$29,H$34,FALSE),0)</f>
        <v>0</v>
      </c>
      <c r="I97" s="28">
        <f>ROUND(VLOOKUP($E97,装备属性计算表!$D$4:$O$9,装备属性计算表!H$2,FALSE)/装备属性计算表!H$10*VLOOKUP($F97&amp;$D97,$F$4:$S$29,I$34,FALSE),0)</f>
        <v>9</v>
      </c>
      <c r="J97" s="28">
        <f>ROUND(VLOOKUP($E97,装备属性计算表!$D$4:$O$9,装备属性计算表!I$2,FALSE)/装备属性计算表!I$10*VLOOKUP($F97&amp;$D97,$F$4:$S$29,J$34,FALSE),0)</f>
        <v>0</v>
      </c>
      <c r="K97" s="28">
        <f>ROUND(VLOOKUP($E97,装备属性计算表!$D$4:$O$9,装备属性计算表!J$2,FALSE)/装备属性计算表!J$10*VLOOKUP($F97&amp;$D97,$F$4:$S$29,K$34,FALSE),0)</f>
        <v>0</v>
      </c>
      <c r="L97" s="28">
        <f>ROUND(VLOOKUP($E97,装备属性计算表!$D$4:$O$9,装备属性计算表!K$2,FALSE)/装备属性计算表!K$10*VLOOKUP($F97&amp;$D97,$F$4:$S$29,L$34,FALSE),0)</f>
        <v>0</v>
      </c>
      <c r="M97" s="28">
        <f>ROUND(VLOOKUP($E97,装备属性计算表!$D$4:$O$9,装备属性计算表!L$2,FALSE)/装备属性计算表!L$10*VLOOKUP($F97&amp;$D97,$F$4:$S$29,M$34,FALSE),0)</f>
        <v>0</v>
      </c>
      <c r="N97" s="28">
        <f>ROUND(VLOOKUP($E97,装备属性计算表!$D$4:$O$9,装备属性计算表!M$2,FALSE)/装备属性计算表!M$10*VLOOKUP($F97&amp;$D97,$F$4:$S$29,N$34,FALSE),0)</f>
        <v>0</v>
      </c>
      <c r="O97" s="28">
        <f>ROUND(VLOOKUP($E97,装备属性计算表!$D$4:$O$9,装备属性计算表!N$2,FALSE)/装备属性计算表!N$10*VLOOKUP($F97&amp;$D97,$F$4:$S$29,O$34,FALSE),0)</f>
        <v>0</v>
      </c>
      <c r="P97" s="28">
        <f>ROUND(VLOOKUP($E97,装备属性计算表!$D$4:$O$9,装备属性计算表!O$2,FALSE)/装备属性计算表!O$10*VLOOKUP($F97&amp;$D97,$F$4:$S$29,P$34,FALSE),0)</f>
        <v>0</v>
      </c>
      <c r="Q97" s="28">
        <f>SUMPRODUCT(G97:P97,定义数据!$G$14:$P$14)</f>
        <v>25.92</v>
      </c>
      <c r="R97" s="28">
        <f t="shared" si="14"/>
        <v>1296</v>
      </c>
      <c r="S97" s="91">
        <f t="shared" si="15"/>
        <v>1296</v>
      </c>
      <c r="T97" s="28">
        <f t="shared" si="16"/>
        <v>1341360</v>
      </c>
      <c r="U97" s="89">
        <f>VLOOKUP(F97,D_装备金币参考表!$A$2:$C$81,3,FALSE)*Q97-VLOOKUP(F73,D_装备金币参考表!$A$2:$C$81,3,FALSE)*Q97+U73</f>
        <v>419438.92000000004</v>
      </c>
      <c r="W97">
        <f t="shared" si="17"/>
        <v>0</v>
      </c>
      <c r="X97">
        <f t="shared" si="18"/>
        <v>3</v>
      </c>
      <c r="Y97">
        <f t="shared" si="19"/>
        <v>45</v>
      </c>
      <c r="Z97" s="25">
        <f t="shared" si="20"/>
        <v>0</v>
      </c>
      <c r="AA97" s="25">
        <f t="shared" si="21"/>
        <v>8</v>
      </c>
      <c r="AB97" s="25">
        <f t="shared" si="22"/>
        <v>267</v>
      </c>
      <c r="AC97" s="25">
        <f t="shared" si="23"/>
        <v>1640</v>
      </c>
      <c r="AD97">
        <v>51</v>
      </c>
      <c r="AE97" s="5">
        <f t="shared" si="12"/>
        <v>165.89803000646938</v>
      </c>
      <c r="AF97" s="5">
        <f t="shared" si="12"/>
        <v>517.6523446103206</v>
      </c>
      <c r="AG97" s="5">
        <f t="shared" si="24"/>
        <v>560.00201402249172</v>
      </c>
      <c r="AH97" s="5">
        <f t="shared" si="24"/>
        <v>1035.3046892206412</v>
      </c>
      <c r="AI97" s="5">
        <f t="shared" si="12"/>
        <v>1120.0040280449834</v>
      </c>
      <c r="AJ97" s="5">
        <f t="shared" si="25"/>
        <v>1680.0060420674749</v>
      </c>
      <c r="AK97" s="5">
        <f t="shared" si="12"/>
        <v>1726.886660954425</v>
      </c>
      <c r="AL97" s="5">
        <f t="shared" si="26"/>
        <v>2240.0080560899669</v>
      </c>
      <c r="AM97" s="5">
        <f t="shared" si="26"/>
        <v>2302.5155479392333</v>
      </c>
      <c r="AN97" s="5">
        <f t="shared" si="12"/>
        <v>2329.835626811966</v>
      </c>
      <c r="AO97" s="5">
        <f t="shared" si="27"/>
        <v>2613.3427321049612</v>
      </c>
      <c r="AP97" s="5">
        <f t="shared" si="27"/>
        <v>2686.2681392624386</v>
      </c>
      <c r="AQ97" s="5">
        <f t="shared" si="27"/>
        <v>2718.1415646139603</v>
      </c>
      <c r="AR97" s="5">
        <f t="shared" si="27"/>
        <v>3070.0207305856443</v>
      </c>
      <c r="AS97" s="5">
        <f t="shared" si="28"/>
        <v>3106.4475024159547</v>
      </c>
    </row>
    <row r="98" spans="1:45" x14ac:dyDescent="0.15">
      <c r="A98" s="28" t="str">
        <f>F98&amp;D98&amp;VLOOKUP(E98,定义数据!$E$1:$F$7,2,FALSE)</f>
        <v>4512</v>
      </c>
      <c r="B98" s="28" t="str">
        <f t="shared" si="13"/>
        <v>4512</v>
      </c>
      <c r="C98" s="28">
        <f>装备属性计算表!AK94</f>
        <v>12</v>
      </c>
      <c r="D98" s="28">
        <f>装备属性计算表!B94</f>
        <v>1</v>
      </c>
      <c r="E98" s="28" t="str">
        <f>装备属性计算表!C94</f>
        <v>裤子</v>
      </c>
      <c r="F98" s="28">
        <f>装备属性计算表!D94</f>
        <v>45</v>
      </c>
      <c r="G98" s="28">
        <f>ROUND(VLOOKUP($E98,装备属性计算表!$D$4:$O$9,装备属性计算表!F$2,FALSE)/装备属性计算表!F$10*VLOOKUP($F98&amp;$D98,$F$4:$S$29,G$34,FALSE),0)</f>
        <v>0</v>
      </c>
      <c r="H98" s="28">
        <f>ROUND(VLOOKUP($E98,装备属性计算表!$D$4:$O$9,装备属性计算表!G$2,FALSE)/装备属性计算表!G$10*VLOOKUP($F98&amp;$D98,$F$4:$S$29,H$34,FALSE),0)</f>
        <v>0</v>
      </c>
      <c r="I98" s="28">
        <f>ROUND(VLOOKUP($E98,装备属性计算表!$D$4:$O$9,装备属性计算表!H$2,FALSE)/装备属性计算表!H$10*VLOOKUP($F98&amp;$D98,$F$4:$S$29,I$34,FALSE),0)</f>
        <v>6</v>
      </c>
      <c r="J98" s="28">
        <f>ROUND(VLOOKUP($E98,装备属性计算表!$D$4:$O$9,装备属性计算表!I$2,FALSE)/装备属性计算表!I$10*VLOOKUP($F98&amp;$D98,$F$4:$S$29,J$34,FALSE),0)</f>
        <v>9</v>
      </c>
      <c r="K98" s="28">
        <f>ROUND(VLOOKUP($E98,装备属性计算表!$D$4:$O$9,装备属性计算表!J$2,FALSE)/装备属性计算表!J$10*VLOOKUP($F98&amp;$D98,$F$4:$S$29,K$34,FALSE),0)</f>
        <v>0</v>
      </c>
      <c r="L98" s="28">
        <f>ROUND(VLOOKUP($E98,装备属性计算表!$D$4:$O$9,装备属性计算表!K$2,FALSE)/装备属性计算表!K$10*VLOOKUP($F98&amp;$D98,$F$4:$S$29,L$34,FALSE),0)</f>
        <v>0</v>
      </c>
      <c r="M98" s="28">
        <f>ROUND(VLOOKUP($E98,装备属性计算表!$D$4:$O$9,装备属性计算表!L$2,FALSE)/装备属性计算表!L$10*VLOOKUP($F98&amp;$D98,$F$4:$S$29,M$34,FALSE),0)</f>
        <v>0</v>
      </c>
      <c r="N98" s="28">
        <f>ROUND(VLOOKUP($E98,装备属性计算表!$D$4:$O$9,装备属性计算表!M$2,FALSE)/装备属性计算表!M$10*VLOOKUP($F98&amp;$D98,$F$4:$S$29,N$34,FALSE),0)</f>
        <v>0</v>
      </c>
      <c r="O98" s="28">
        <f>ROUND(VLOOKUP($E98,装备属性计算表!$D$4:$O$9,装备属性计算表!N$2,FALSE)/装备属性计算表!N$10*VLOOKUP($F98&amp;$D98,$F$4:$S$29,O$34,FALSE),0)</f>
        <v>0</v>
      </c>
      <c r="P98" s="28">
        <f>ROUND(VLOOKUP($E98,装备属性计算表!$D$4:$O$9,装备属性计算表!O$2,FALSE)/装备属性计算表!O$10*VLOOKUP($F98&amp;$D98,$F$4:$S$29,P$34,FALSE),0)</f>
        <v>0</v>
      </c>
      <c r="Q98" s="28">
        <f>SUMPRODUCT(G98:P98,定义数据!$G$14:$P$14)</f>
        <v>9.06</v>
      </c>
      <c r="R98" s="28">
        <f t="shared" si="14"/>
        <v>453</v>
      </c>
      <c r="S98" s="91">
        <f t="shared" si="15"/>
        <v>453</v>
      </c>
      <c r="T98" s="28">
        <f t="shared" si="16"/>
        <v>468855</v>
      </c>
      <c r="U98" s="89">
        <f>VLOOKUP(F98,D_装备金币参考表!$A$2:$C$81,3,FALSE)*Q98-VLOOKUP(F74,D_装备金币参考表!$A$2:$C$81,3,FALSE)*Q98+U74</f>
        <v>147156.18000000002</v>
      </c>
      <c r="W98">
        <f t="shared" si="17"/>
        <v>2</v>
      </c>
      <c r="X98">
        <f t="shared" si="18"/>
        <v>11</v>
      </c>
      <c r="Y98">
        <f t="shared" si="19"/>
        <v>45</v>
      </c>
      <c r="Z98" s="25">
        <f t="shared" si="20"/>
        <v>7</v>
      </c>
      <c r="AA98" s="25">
        <f t="shared" si="21"/>
        <v>29</v>
      </c>
      <c r="AB98" s="25">
        <f t="shared" si="22"/>
        <v>88</v>
      </c>
      <c r="AC98" s="25">
        <f t="shared" si="23"/>
        <v>1545</v>
      </c>
      <c r="AD98">
        <v>52</v>
      </c>
      <c r="AE98" s="5">
        <f t="shared" si="12"/>
        <v>170.13918445425969</v>
      </c>
      <c r="AF98" s="5">
        <f t="shared" si="12"/>
        <v>530.98913519687778</v>
      </c>
      <c r="AG98" s="5">
        <f t="shared" si="24"/>
        <v>574.65303103771407</v>
      </c>
      <c r="AH98" s="5">
        <f t="shared" si="24"/>
        <v>1061.9782703937556</v>
      </c>
      <c r="AI98" s="5">
        <f t="shared" si="12"/>
        <v>1149.3060620754281</v>
      </c>
      <c r="AJ98" s="5">
        <f t="shared" si="25"/>
        <v>1723.9590931131422</v>
      </c>
      <c r="AK98" s="5">
        <f t="shared" si="12"/>
        <v>1772.3071105146398</v>
      </c>
      <c r="AL98" s="5">
        <f t="shared" si="26"/>
        <v>2298.6121241508563</v>
      </c>
      <c r="AM98" s="5">
        <f t="shared" si="26"/>
        <v>2363.0761473528528</v>
      </c>
      <c r="AN98" s="5">
        <f t="shared" si="12"/>
        <v>2391.2540936624559</v>
      </c>
      <c r="AO98" s="5">
        <f t="shared" si="27"/>
        <v>2681.714144842666</v>
      </c>
      <c r="AP98" s="5">
        <f t="shared" si="27"/>
        <v>2756.9221719116617</v>
      </c>
      <c r="AQ98" s="5">
        <f t="shared" si="27"/>
        <v>2789.7964426061985</v>
      </c>
      <c r="AR98" s="5">
        <f t="shared" si="27"/>
        <v>3150.7681964704707</v>
      </c>
      <c r="AS98" s="5">
        <f t="shared" si="28"/>
        <v>3188.3387915499411</v>
      </c>
    </row>
    <row r="99" spans="1:45" x14ac:dyDescent="0.15">
      <c r="A99" s="28" t="str">
        <f>F99&amp;D99&amp;VLOOKUP(E99,定义数据!$E$1:$F$7,2,FALSE)</f>
        <v>4515</v>
      </c>
      <c r="B99" s="28" t="str">
        <f t="shared" si="13"/>
        <v>4515</v>
      </c>
      <c r="C99" s="28">
        <f>装备属性计算表!AK95</f>
        <v>12</v>
      </c>
      <c r="D99" s="28">
        <f>装备属性计算表!B95</f>
        <v>1</v>
      </c>
      <c r="E99" s="28" t="str">
        <f>装备属性计算表!C95</f>
        <v>鞋子</v>
      </c>
      <c r="F99" s="28">
        <f>装备属性计算表!D95</f>
        <v>45</v>
      </c>
      <c r="G99" s="28">
        <f>ROUND(VLOOKUP($E99,装备属性计算表!$D$4:$O$9,装备属性计算表!F$2,FALSE)/装备属性计算表!F$10*VLOOKUP($F99&amp;$D99,$F$4:$S$29,G$34,FALSE),0)</f>
        <v>141</v>
      </c>
      <c r="H99" s="28">
        <f>ROUND(VLOOKUP($E99,装备属性计算表!$D$4:$O$9,装备属性计算表!G$2,FALSE)/装备属性计算表!G$10*VLOOKUP($F99&amp;$D99,$F$4:$S$29,H$34,FALSE),0)</f>
        <v>0</v>
      </c>
      <c r="I99" s="28">
        <f>ROUND(VLOOKUP($E99,装备属性计算表!$D$4:$O$9,装备属性计算表!H$2,FALSE)/装备属性计算表!H$10*VLOOKUP($F99&amp;$D99,$F$4:$S$29,I$34,FALSE),0)</f>
        <v>0</v>
      </c>
      <c r="J99" s="28">
        <f>ROUND(VLOOKUP($E99,装备属性计算表!$D$4:$O$9,装备属性计算表!I$2,FALSE)/装备属性计算表!I$10*VLOOKUP($F99&amp;$D99,$F$4:$S$29,J$34,FALSE),0)</f>
        <v>19</v>
      </c>
      <c r="K99" s="28">
        <f>ROUND(VLOOKUP($E99,装备属性计算表!$D$4:$O$9,装备属性计算表!J$2,FALSE)/装备属性计算表!J$10*VLOOKUP($F99&amp;$D99,$F$4:$S$29,K$34,FALSE),0)</f>
        <v>0</v>
      </c>
      <c r="L99" s="28">
        <f>ROUND(VLOOKUP($E99,装备属性计算表!$D$4:$O$9,装备属性计算表!K$2,FALSE)/装备属性计算表!K$10*VLOOKUP($F99&amp;$D99,$F$4:$S$29,L$34,FALSE),0)</f>
        <v>0</v>
      </c>
      <c r="M99" s="28">
        <f>ROUND(VLOOKUP($E99,装备属性计算表!$D$4:$O$9,装备属性计算表!L$2,FALSE)/装备属性计算表!L$10*VLOOKUP($F99&amp;$D99,$F$4:$S$29,M$34,FALSE),0)</f>
        <v>0</v>
      </c>
      <c r="N99" s="28">
        <f>ROUND(VLOOKUP($E99,装备属性计算表!$D$4:$O$9,装备属性计算表!M$2,FALSE)/装备属性计算表!M$10*VLOOKUP($F99&amp;$D99,$F$4:$S$29,N$34,FALSE),0)</f>
        <v>0</v>
      </c>
      <c r="O99" s="28">
        <f>ROUND(VLOOKUP($E99,装备属性计算表!$D$4:$O$9,装备属性计算表!N$2,FALSE)/装备属性计算表!N$10*VLOOKUP($F99&amp;$D99,$F$4:$S$29,O$34,FALSE),0)</f>
        <v>0</v>
      </c>
      <c r="P99" s="28">
        <f>ROUND(VLOOKUP($E99,装备属性计算表!$D$4:$O$9,装备属性计算表!O$2,FALSE)/装备属性计算表!O$10*VLOOKUP($F99&amp;$D99,$F$4:$S$29,P$34,FALSE),0)</f>
        <v>0</v>
      </c>
      <c r="Q99" s="28">
        <f>SUMPRODUCT(G99:P99,定义数据!$G$14:$P$14)</f>
        <v>12.100000000000001</v>
      </c>
      <c r="R99" s="28">
        <f t="shared" si="14"/>
        <v>605</v>
      </c>
      <c r="S99" s="91">
        <f t="shared" si="15"/>
        <v>605</v>
      </c>
      <c r="T99" s="28">
        <f t="shared" si="16"/>
        <v>626175</v>
      </c>
      <c r="U99" s="89">
        <f>VLOOKUP(F99,D_装备金币参考表!$A$2:$C$81,3,FALSE)*Q99-VLOOKUP(F75,D_装备金币参考表!$A$2:$C$81,3,FALSE)*Q99+U75</f>
        <v>193778.30000000002</v>
      </c>
      <c r="W99">
        <f t="shared" si="17"/>
        <v>1</v>
      </c>
      <c r="X99">
        <f t="shared" si="18"/>
        <v>8</v>
      </c>
      <c r="Y99">
        <f t="shared" si="19"/>
        <v>45</v>
      </c>
      <c r="Z99" s="25">
        <f t="shared" si="20"/>
        <v>4</v>
      </c>
      <c r="AA99" s="25">
        <f t="shared" si="21"/>
        <v>22</v>
      </c>
      <c r="AB99" s="25">
        <f t="shared" si="22"/>
        <v>121</v>
      </c>
      <c r="AC99" s="25">
        <f t="shared" si="23"/>
        <v>1625</v>
      </c>
      <c r="AD99">
        <v>53</v>
      </c>
      <c r="AE99" s="5">
        <f t="shared" si="12"/>
        <v>174.40487910756718</v>
      </c>
      <c r="AF99" s="5">
        <f t="shared" si="12"/>
        <v>544.4056752058176</v>
      </c>
      <c r="AG99" s="5">
        <f t="shared" si="24"/>
        <v>589.39732612744638</v>
      </c>
      <c r="AH99" s="5">
        <f t="shared" si="24"/>
        <v>1088.8113504116352</v>
      </c>
      <c r="AI99" s="5">
        <f t="shared" si="12"/>
        <v>1178.7946522548928</v>
      </c>
      <c r="AJ99" s="5">
        <f t="shared" si="25"/>
        <v>1768.1919783823389</v>
      </c>
      <c r="AK99" s="5">
        <f t="shared" si="12"/>
        <v>1818.0228906147995</v>
      </c>
      <c r="AL99" s="5">
        <f t="shared" si="26"/>
        <v>2357.5893045097855</v>
      </c>
      <c r="AM99" s="5">
        <f t="shared" si="26"/>
        <v>2424.0305208197328</v>
      </c>
      <c r="AN99" s="5">
        <f t="shared" si="12"/>
        <v>2453.0754792092166</v>
      </c>
      <c r="AO99" s="5">
        <f t="shared" si="27"/>
        <v>2750.5208552614163</v>
      </c>
      <c r="AP99" s="5">
        <f t="shared" si="27"/>
        <v>2828.0356076230219</v>
      </c>
      <c r="AQ99" s="5">
        <f t="shared" si="27"/>
        <v>2861.9213924107526</v>
      </c>
      <c r="AR99" s="5">
        <f t="shared" si="27"/>
        <v>3232.0406944263104</v>
      </c>
      <c r="AS99" s="5">
        <f t="shared" si="28"/>
        <v>3270.7673056122885</v>
      </c>
    </row>
    <row r="100" spans="1:45" x14ac:dyDescent="0.15">
      <c r="A100" s="28" t="str">
        <f>F100&amp;D100&amp;VLOOKUP(E100,定义数据!$E$1:$F$7,2,FALSE)</f>
        <v>4514</v>
      </c>
      <c r="B100" s="28" t="str">
        <f t="shared" si="13"/>
        <v>4514</v>
      </c>
      <c r="C100" s="28">
        <f>装备属性计算表!AK96</f>
        <v>12</v>
      </c>
      <c r="D100" s="28">
        <f>装备属性计算表!B96</f>
        <v>1</v>
      </c>
      <c r="E100" s="28" t="str">
        <f>装备属性计算表!C96</f>
        <v>腰带</v>
      </c>
      <c r="F100" s="28">
        <f>装备属性计算表!D96</f>
        <v>45</v>
      </c>
      <c r="G100" s="28">
        <f>ROUND(VLOOKUP($E100,装备属性计算表!$D$4:$O$9,装备属性计算表!F$2,FALSE)/装备属性计算表!F$10*VLOOKUP($F100&amp;$D100,$F$4:$S$29,G$34,FALSE),0)</f>
        <v>141</v>
      </c>
      <c r="H100" s="28">
        <f>ROUND(VLOOKUP($E100,装备属性计算表!$D$4:$O$9,装备属性计算表!G$2,FALSE)/装备属性计算表!G$10*VLOOKUP($F100&amp;$D100,$F$4:$S$29,H$34,FALSE),0)</f>
        <v>0</v>
      </c>
      <c r="I100" s="28">
        <f>ROUND(VLOOKUP($E100,装备属性计算表!$D$4:$O$9,装备属性计算表!H$2,FALSE)/装备属性计算表!H$10*VLOOKUP($F100&amp;$D100,$F$4:$S$29,I$34,FALSE),0)</f>
        <v>0</v>
      </c>
      <c r="J100" s="28">
        <f>ROUND(VLOOKUP($E100,装备属性计算表!$D$4:$O$9,装备属性计算表!I$2,FALSE)/装备属性计算表!I$10*VLOOKUP($F100&amp;$D100,$F$4:$S$29,J$34,FALSE),0)</f>
        <v>0</v>
      </c>
      <c r="K100" s="28">
        <f>ROUND(VLOOKUP($E100,装备属性计算表!$D$4:$O$9,装备属性计算表!J$2,FALSE)/装备属性计算表!J$10*VLOOKUP($F100&amp;$D100,$F$4:$S$29,K$34,FALSE),0)</f>
        <v>0</v>
      </c>
      <c r="L100" s="28">
        <f>ROUND(VLOOKUP($E100,装备属性计算表!$D$4:$O$9,装备属性计算表!K$2,FALSE)/装备属性计算表!K$10*VLOOKUP($F100&amp;$D100,$F$4:$S$29,L$34,FALSE),0)</f>
        <v>0</v>
      </c>
      <c r="M100" s="28">
        <f>ROUND(VLOOKUP($E100,装备属性计算表!$D$4:$O$9,装备属性计算表!L$2,FALSE)/装备属性计算表!L$10*VLOOKUP($F100&amp;$D100,$F$4:$S$29,M$34,FALSE),0)</f>
        <v>0</v>
      </c>
      <c r="N100" s="28">
        <f>ROUND(VLOOKUP($E100,装备属性计算表!$D$4:$O$9,装备属性计算表!M$2,FALSE)/装备属性计算表!M$10*VLOOKUP($F100&amp;$D100,$F$4:$S$29,N$34,FALSE),0)</f>
        <v>17</v>
      </c>
      <c r="O100" s="28">
        <f>ROUND(VLOOKUP($E100,装备属性计算表!$D$4:$O$9,装备属性计算表!N$2,FALSE)/装备属性计算表!N$10*VLOOKUP($F100&amp;$D100,$F$4:$S$29,O$34,FALSE),0)</f>
        <v>0</v>
      </c>
      <c r="P100" s="28">
        <f>ROUND(VLOOKUP($E100,装备属性计算表!$D$4:$O$9,装备属性计算表!O$2,FALSE)/装备属性计算表!O$10*VLOOKUP($F100&amp;$D100,$F$4:$S$29,P$34,FALSE),0)</f>
        <v>0</v>
      </c>
      <c r="Q100" s="28">
        <f>SUMPRODUCT(G100:P100,定义数据!$G$14:$P$14)</f>
        <v>8.6999999999999993</v>
      </c>
      <c r="R100" s="28">
        <f t="shared" si="14"/>
        <v>435</v>
      </c>
      <c r="S100" s="91">
        <f t="shared" si="15"/>
        <v>435</v>
      </c>
      <c r="T100" s="28">
        <f t="shared" si="16"/>
        <v>450225</v>
      </c>
      <c r="U100" s="89">
        <f>VLOOKUP(F100,D_装备金币参考表!$A$2:$C$81,3,FALSE)*Q100-VLOOKUP(F76,D_装备金币参考表!$A$2:$C$81,3,FALSE)*Q100+U76</f>
        <v>139583.96000000002</v>
      </c>
      <c r="W100">
        <f t="shared" si="17"/>
        <v>2</v>
      </c>
      <c r="X100">
        <f t="shared" si="18"/>
        <v>11</v>
      </c>
      <c r="Y100">
        <f t="shared" si="19"/>
        <v>45</v>
      </c>
      <c r="Z100" s="25">
        <f t="shared" si="20"/>
        <v>7</v>
      </c>
      <c r="AA100" s="25">
        <f t="shared" si="21"/>
        <v>28</v>
      </c>
      <c r="AB100" s="25">
        <f t="shared" si="22"/>
        <v>85</v>
      </c>
      <c r="AC100" s="25">
        <f t="shared" si="23"/>
        <v>4175</v>
      </c>
      <c r="AD100">
        <v>54</v>
      </c>
      <c r="AE100" s="5">
        <f t="shared" si="12"/>
        <v>178.69478889237536</v>
      </c>
      <c r="AF100" s="5">
        <f t="shared" si="12"/>
        <v>557.90092322251394</v>
      </c>
      <c r="AG100" s="5">
        <f t="shared" si="24"/>
        <v>604.23371629523092</v>
      </c>
      <c r="AH100" s="5">
        <f t="shared" si="24"/>
        <v>1115.8018464450279</v>
      </c>
      <c r="AI100" s="5">
        <f t="shared" si="12"/>
        <v>1208.4674325904618</v>
      </c>
      <c r="AJ100" s="5">
        <f t="shared" si="25"/>
        <v>1812.7011488856929</v>
      </c>
      <c r="AK100" s="5">
        <f t="shared" si="12"/>
        <v>1864.0302946212066</v>
      </c>
      <c r="AL100" s="5">
        <f t="shared" si="26"/>
        <v>2416.9348651809237</v>
      </c>
      <c r="AM100" s="5">
        <f t="shared" si="26"/>
        <v>2485.3737261616088</v>
      </c>
      <c r="AN100" s="5">
        <f t="shared" si="12"/>
        <v>2515.2947492409203</v>
      </c>
      <c r="AO100" s="5">
        <f t="shared" si="27"/>
        <v>2819.7573427110774</v>
      </c>
      <c r="AP100" s="5">
        <f t="shared" si="27"/>
        <v>2899.6026805218767</v>
      </c>
      <c r="AQ100" s="5">
        <f t="shared" si="27"/>
        <v>2934.5105407810738</v>
      </c>
      <c r="AR100" s="5">
        <f t="shared" si="27"/>
        <v>3313.831634882145</v>
      </c>
      <c r="AS100" s="5">
        <f t="shared" si="28"/>
        <v>3353.7263323212273</v>
      </c>
    </row>
    <row r="101" spans="1:45" x14ac:dyDescent="0.15">
      <c r="A101" s="28" t="str">
        <f>F101&amp;D101&amp;VLOOKUP(E101,定义数据!$E$1:$F$7,2,FALSE)</f>
        <v>4513</v>
      </c>
      <c r="B101" s="28" t="str">
        <f t="shared" si="13"/>
        <v>4513</v>
      </c>
      <c r="C101" s="28">
        <f>装备属性计算表!AK97</f>
        <v>12</v>
      </c>
      <c r="D101" s="28">
        <f>装备属性计算表!B97</f>
        <v>1</v>
      </c>
      <c r="E101" s="28" t="str">
        <f>装备属性计算表!C97</f>
        <v>项链</v>
      </c>
      <c r="F101" s="28">
        <f>装备属性计算表!D97</f>
        <v>45</v>
      </c>
      <c r="G101" s="28">
        <f>ROUND(VLOOKUP($E101,装备属性计算表!$D$4:$O$9,装备属性计算表!F$2,FALSE)/装备属性计算表!F$10*VLOOKUP($F101&amp;$D101,$F$4:$S$29,G$34,FALSE),0)</f>
        <v>0</v>
      </c>
      <c r="H101" s="28">
        <f>ROUND(VLOOKUP($E101,装备属性计算表!$D$4:$O$9,装备属性计算表!G$2,FALSE)/装备属性计算表!G$10*VLOOKUP($F101&amp;$D101,$F$4:$S$29,H$34,FALSE),0)</f>
        <v>9</v>
      </c>
      <c r="I101" s="28">
        <f>ROUND(VLOOKUP($E101,装备属性计算表!$D$4:$O$9,装备属性计算表!H$2,FALSE)/装备属性计算表!H$10*VLOOKUP($F101&amp;$D101,$F$4:$S$29,I$34,FALSE),0)</f>
        <v>0</v>
      </c>
      <c r="J101" s="28">
        <f>ROUND(VLOOKUP($E101,装备属性计算表!$D$4:$O$9,装备属性计算表!I$2,FALSE)/装备属性计算表!I$10*VLOOKUP($F101&amp;$D101,$F$4:$S$29,J$34,FALSE),0)</f>
        <v>0</v>
      </c>
      <c r="K101" s="28">
        <f>ROUND(VLOOKUP($E101,装备属性计算表!$D$4:$O$9,装备属性计算表!J$2,FALSE)/装备属性计算表!J$10*VLOOKUP($F101&amp;$D101,$F$4:$S$29,K$34,FALSE),0)</f>
        <v>28</v>
      </c>
      <c r="L101" s="28">
        <f>ROUND(VLOOKUP($E101,装备属性计算表!$D$4:$O$9,装备属性计算表!K$2,FALSE)/装备属性计算表!K$10*VLOOKUP($F101&amp;$D101,$F$4:$S$29,L$34,FALSE),0)</f>
        <v>0</v>
      </c>
      <c r="M101" s="28">
        <f>ROUND(VLOOKUP($E101,装备属性计算表!$D$4:$O$9,装备属性计算表!L$2,FALSE)/装备属性计算表!L$10*VLOOKUP($F101&amp;$D101,$F$4:$S$29,M$34,FALSE),0)</f>
        <v>0</v>
      </c>
      <c r="N101" s="28">
        <f>ROUND(VLOOKUP($E101,装备属性计算表!$D$4:$O$9,装备属性计算表!M$2,FALSE)/装备属性计算表!M$10*VLOOKUP($F101&amp;$D101,$F$4:$S$29,N$34,FALSE),0)</f>
        <v>0</v>
      </c>
      <c r="O101" s="28">
        <f>ROUND(VLOOKUP($E101,装备属性计算表!$D$4:$O$9,装备属性计算表!N$2,FALSE)/装备属性计算表!N$10*VLOOKUP($F101&amp;$D101,$F$4:$S$29,O$34,FALSE),0)</f>
        <v>0</v>
      </c>
      <c r="P101" s="28">
        <f>ROUND(VLOOKUP($E101,装备属性计算表!$D$4:$O$9,装备属性计算表!O$2,FALSE)/装备属性计算表!O$10*VLOOKUP($F101&amp;$D101,$F$4:$S$29,P$34,FALSE),0)</f>
        <v>0</v>
      </c>
      <c r="Q101" s="28">
        <f>SUMPRODUCT(G101:P101,定义数据!$G$14:$P$14)</f>
        <v>18.520000000000003</v>
      </c>
      <c r="R101" s="28">
        <f t="shared" si="14"/>
        <v>926</v>
      </c>
      <c r="S101" s="91">
        <f t="shared" si="15"/>
        <v>926</v>
      </c>
      <c r="T101" s="28">
        <f t="shared" si="16"/>
        <v>958410</v>
      </c>
      <c r="U101" s="89">
        <f>VLOOKUP(F101,D_装备金币参考表!$A$2:$C$81,3,FALSE)*Q101-VLOOKUP(F77,D_装备金币参考表!$A$2:$C$81,3,FALSE)*Q101+U77</f>
        <v>296608.68000000005</v>
      </c>
      <c r="V101" s="25">
        <f>SUM(U96:U101)</f>
        <v>1677195.6</v>
      </c>
      <c r="W101">
        <f t="shared" si="17"/>
        <v>1</v>
      </c>
      <c r="X101">
        <f t="shared" si="18"/>
        <v>5</v>
      </c>
      <c r="Y101">
        <f t="shared" si="19"/>
        <v>45</v>
      </c>
      <c r="Z101" s="25">
        <f t="shared" si="20"/>
        <v>5</v>
      </c>
      <c r="AA101" s="25">
        <f t="shared" si="21"/>
        <v>13</v>
      </c>
      <c r="AB101" s="25">
        <f t="shared" si="22"/>
        <v>189</v>
      </c>
      <c r="AC101" s="25">
        <f t="shared" si="23"/>
        <v>590</v>
      </c>
      <c r="AD101">
        <v>55</v>
      </c>
      <c r="AE101" s="5">
        <f t="shared" si="12"/>
        <v>183.00859899884807</v>
      </c>
      <c r="AF101" s="5">
        <f t="shared" si="12"/>
        <v>571.47387052451677</v>
      </c>
      <c r="AG101" s="5">
        <f t="shared" si="24"/>
        <v>619.16105524867362</v>
      </c>
      <c r="AH101" s="5">
        <f t="shared" si="24"/>
        <v>1142.9477410490335</v>
      </c>
      <c r="AI101" s="5">
        <f t="shared" si="12"/>
        <v>1238.3221104973472</v>
      </c>
      <c r="AJ101" s="5">
        <f t="shared" si="25"/>
        <v>1857.4831657460206</v>
      </c>
      <c r="AK101" s="5">
        <f t="shared" si="12"/>
        <v>1910.3257304288859</v>
      </c>
      <c r="AL101" s="5">
        <f t="shared" si="26"/>
        <v>2476.6442209946945</v>
      </c>
      <c r="AM101" s="5">
        <f t="shared" si="26"/>
        <v>2547.1009739051815</v>
      </c>
      <c r="AN101" s="5">
        <f t="shared" si="12"/>
        <v>2577.9070248185872</v>
      </c>
      <c r="AO101" s="5">
        <f t="shared" si="27"/>
        <v>2889.4182578271434</v>
      </c>
      <c r="AP101" s="5">
        <f t="shared" si="27"/>
        <v>2971.6178028893783</v>
      </c>
      <c r="AQ101" s="5">
        <f t="shared" si="27"/>
        <v>3007.5581956216847</v>
      </c>
      <c r="AR101" s="5">
        <f t="shared" si="27"/>
        <v>3396.134631873575</v>
      </c>
      <c r="AS101" s="5">
        <f t="shared" si="28"/>
        <v>3437.2093664247827</v>
      </c>
    </row>
    <row r="102" spans="1:45" x14ac:dyDescent="0.15">
      <c r="A102" s="28" t="str">
        <f>F102&amp;D102&amp;VLOOKUP(E102,定义数据!$E$1:$F$7,2,FALSE)</f>
        <v>4520</v>
      </c>
      <c r="B102" s="28" t="str">
        <f t="shared" si="13"/>
        <v>4520</v>
      </c>
      <c r="C102" s="28">
        <f>装备属性计算表!AK98</f>
        <v>13</v>
      </c>
      <c r="D102" s="28">
        <f>装备属性计算表!B98</f>
        <v>2</v>
      </c>
      <c r="E102" s="28" t="str">
        <f>装备属性计算表!C98</f>
        <v>武器</v>
      </c>
      <c r="F102" s="28">
        <f>装备属性计算表!D98</f>
        <v>45</v>
      </c>
      <c r="G102" s="28">
        <f>ROUND(VLOOKUP($E102,装备属性计算表!$D$4:$O$9,装备属性计算表!F$2,FALSE)/装备属性计算表!F$10*VLOOKUP($F102&amp;$D102,$F$4:$S$29,G$34,FALSE),0)</f>
        <v>0</v>
      </c>
      <c r="H102" s="28">
        <f>ROUND(VLOOKUP($E102,装备属性计算表!$D$4:$O$9,装备属性计算表!G$2,FALSE)/装备属性计算表!G$10*VLOOKUP($F102&amp;$D102,$F$4:$S$29,H$34,FALSE),0)</f>
        <v>39</v>
      </c>
      <c r="I102" s="28">
        <f>ROUND(VLOOKUP($E102,装备属性计算表!$D$4:$O$9,装备属性计算表!H$2,FALSE)/装备属性计算表!H$10*VLOOKUP($F102&amp;$D102,$F$4:$S$29,I$34,FALSE),0)</f>
        <v>0</v>
      </c>
      <c r="J102" s="28">
        <f>ROUND(VLOOKUP($E102,装备属性计算表!$D$4:$O$9,装备属性计算表!I$2,FALSE)/装备属性计算表!I$10*VLOOKUP($F102&amp;$D102,$F$4:$S$29,J$34,FALSE),0)</f>
        <v>0</v>
      </c>
      <c r="K102" s="28">
        <f>ROUND(VLOOKUP($E102,装备属性计算表!$D$4:$O$9,装备属性计算表!J$2,FALSE)/装备属性计算表!J$10*VLOOKUP($F102&amp;$D102,$F$4:$S$29,K$34,FALSE),0)</f>
        <v>0</v>
      </c>
      <c r="L102" s="28">
        <f>ROUND(VLOOKUP($E102,装备属性计算表!$D$4:$O$9,装备属性计算表!K$2,FALSE)/装备属性计算表!K$10*VLOOKUP($F102&amp;$D102,$F$4:$S$29,L$34,FALSE),0)</f>
        <v>24</v>
      </c>
      <c r="M102" s="28">
        <f>ROUND(VLOOKUP($E102,装备属性计算表!$D$4:$O$9,装备属性计算表!L$2,FALSE)/装备属性计算表!L$10*VLOOKUP($F102&amp;$D102,$F$4:$S$29,M$34,FALSE),0)</f>
        <v>0</v>
      </c>
      <c r="N102" s="28">
        <f>ROUND(VLOOKUP($E102,装备属性计算表!$D$4:$O$9,装备属性计算表!M$2,FALSE)/装备属性计算表!M$10*VLOOKUP($F102&amp;$D102,$F$4:$S$29,N$34,FALSE),0)</f>
        <v>0</v>
      </c>
      <c r="O102" s="28">
        <f>ROUND(VLOOKUP($E102,装备属性计算表!$D$4:$O$9,装备属性计算表!N$2,FALSE)/装备属性计算表!N$10*VLOOKUP($F102&amp;$D102,$F$4:$S$29,O$34,FALSE),0)</f>
        <v>0</v>
      </c>
      <c r="P102" s="28">
        <f>ROUND(VLOOKUP($E102,装备属性计算表!$D$4:$O$9,装备属性计算表!O$2,FALSE)/装备属性计算表!O$10*VLOOKUP($F102&amp;$D102,$F$4:$S$29,P$34,FALSE),0)</f>
        <v>0</v>
      </c>
      <c r="Q102" s="28">
        <f>SUMPRODUCT(G102:P102,定义数据!$G$14:$P$14)</f>
        <v>43.32</v>
      </c>
      <c r="R102" s="28">
        <f t="shared" si="14"/>
        <v>2166</v>
      </c>
      <c r="S102" s="91">
        <f t="shared" si="15"/>
        <v>2166</v>
      </c>
      <c r="T102" s="28">
        <f t="shared" si="16"/>
        <v>2241810</v>
      </c>
      <c r="U102" s="89">
        <f>VLOOKUP(F102,D_装备金币参考表!$A$2:$C$81,3,FALSE)*Q102-VLOOKUP(F78,D_装备金币参考表!$A$2:$C$81,3,FALSE)*Q102+U78</f>
        <v>693222.88</v>
      </c>
      <c r="W102">
        <f t="shared" si="17"/>
        <v>0</v>
      </c>
      <c r="X102">
        <f t="shared" si="18"/>
        <v>2</v>
      </c>
      <c r="Y102">
        <f t="shared" si="19"/>
        <v>45</v>
      </c>
      <c r="Z102" s="25">
        <f t="shared" si="20"/>
        <v>0</v>
      </c>
      <c r="AA102" s="25">
        <f t="shared" si="21"/>
        <v>7</v>
      </c>
      <c r="AB102" s="25">
        <f t="shared" si="22"/>
        <v>448</v>
      </c>
      <c r="AC102" s="25">
        <f t="shared" si="23"/>
        <v>5190</v>
      </c>
      <c r="AD102">
        <v>56</v>
      </c>
      <c r="AE102" s="5">
        <f t="shared" si="12"/>
        <v>187.34600437595029</v>
      </c>
      <c r="AF102" s="5">
        <f t="shared" si="12"/>
        <v>585.12353947770032</v>
      </c>
      <c r="AG102" s="5">
        <f t="shared" si="24"/>
        <v>634.17823161183003</v>
      </c>
      <c r="AH102" s="5">
        <f t="shared" si="24"/>
        <v>1170.2470789554006</v>
      </c>
      <c r="AI102" s="5">
        <f t="shared" si="12"/>
        <v>1268.3564632236601</v>
      </c>
      <c r="AJ102" s="5">
        <f t="shared" si="25"/>
        <v>1902.5346948354902</v>
      </c>
      <c r="AK102" s="5">
        <f t="shared" si="12"/>
        <v>1956.9057148979209</v>
      </c>
      <c r="AL102" s="5">
        <f t="shared" si="26"/>
        <v>2536.7129264473201</v>
      </c>
      <c r="AM102" s="5">
        <f t="shared" si="26"/>
        <v>2609.2076198638947</v>
      </c>
      <c r="AN102" s="5">
        <f t="shared" si="12"/>
        <v>2640.9075747409438</v>
      </c>
      <c r="AO102" s="5">
        <f t="shared" si="27"/>
        <v>2959.4984141885402</v>
      </c>
      <c r="AP102" s="5">
        <f t="shared" si="27"/>
        <v>3044.0755565078771</v>
      </c>
      <c r="AQ102" s="5">
        <f t="shared" si="27"/>
        <v>3081.0588371977678</v>
      </c>
      <c r="AR102" s="5">
        <f t="shared" si="27"/>
        <v>3478.9434931518595</v>
      </c>
      <c r="AS102" s="5">
        <f t="shared" si="28"/>
        <v>3521.2100996545919</v>
      </c>
    </row>
    <row r="103" spans="1:45" x14ac:dyDescent="0.15">
      <c r="A103" s="28" t="str">
        <f>F103&amp;D103&amp;VLOOKUP(E103,定义数据!$E$1:$F$7,2,FALSE)</f>
        <v>4521</v>
      </c>
      <c r="B103" s="28" t="str">
        <f t="shared" si="13"/>
        <v>4521</v>
      </c>
      <c r="C103" s="28">
        <f>装备属性计算表!AK99</f>
        <v>13</v>
      </c>
      <c r="D103" s="28">
        <f>装备属性计算表!B99</f>
        <v>2</v>
      </c>
      <c r="E103" s="28" t="str">
        <f>装备属性计算表!C99</f>
        <v>衣服</v>
      </c>
      <c r="F103" s="28">
        <f>装备属性计算表!D99</f>
        <v>45</v>
      </c>
      <c r="G103" s="28">
        <f>ROUND(VLOOKUP($E103,装备属性计算表!$D$4:$O$9,装备属性计算表!F$2,FALSE)/装备属性计算表!F$10*VLOOKUP($F103&amp;$D103,$F$4:$S$29,G$34,FALSE),0)</f>
        <v>611</v>
      </c>
      <c r="H103" s="28">
        <f>ROUND(VLOOKUP($E103,装备属性计算表!$D$4:$O$9,装备属性计算表!G$2,FALSE)/装备属性计算表!G$10*VLOOKUP($F103&amp;$D103,$F$4:$S$29,H$34,FALSE),0)</f>
        <v>0</v>
      </c>
      <c r="I103" s="28">
        <f>ROUND(VLOOKUP($E103,装备属性计算表!$D$4:$O$9,装备属性计算表!H$2,FALSE)/装备属性计算表!H$10*VLOOKUP($F103&amp;$D103,$F$4:$S$29,I$34,FALSE),0)</f>
        <v>13</v>
      </c>
      <c r="J103" s="28">
        <f>ROUND(VLOOKUP($E103,装备属性计算表!$D$4:$O$9,装备属性计算表!I$2,FALSE)/装备属性计算表!I$10*VLOOKUP($F103&amp;$D103,$F$4:$S$29,J$34,FALSE),0)</f>
        <v>0</v>
      </c>
      <c r="K103" s="28">
        <f>ROUND(VLOOKUP($E103,装备属性计算表!$D$4:$O$9,装备属性计算表!J$2,FALSE)/装备属性计算表!J$10*VLOOKUP($F103&amp;$D103,$F$4:$S$29,K$34,FALSE),0)</f>
        <v>0</v>
      </c>
      <c r="L103" s="28">
        <f>ROUND(VLOOKUP($E103,装备属性计算表!$D$4:$O$9,装备属性计算表!K$2,FALSE)/装备属性计算表!K$10*VLOOKUP($F103&amp;$D103,$F$4:$S$29,L$34,FALSE),0)</f>
        <v>0</v>
      </c>
      <c r="M103" s="28">
        <f>ROUND(VLOOKUP($E103,装备属性计算表!$D$4:$O$9,装备属性计算表!L$2,FALSE)/装备属性计算表!L$10*VLOOKUP($F103&amp;$D103,$F$4:$S$29,M$34,FALSE),0)</f>
        <v>0</v>
      </c>
      <c r="N103" s="28">
        <f>ROUND(VLOOKUP($E103,装备属性计算表!$D$4:$O$9,装备属性计算表!M$2,FALSE)/装备属性计算表!M$10*VLOOKUP($F103&amp;$D103,$F$4:$S$29,N$34,FALSE),0)</f>
        <v>0</v>
      </c>
      <c r="O103" s="28">
        <f>ROUND(VLOOKUP($E103,装备属性计算表!$D$4:$O$9,装备属性计算表!N$2,FALSE)/装备属性计算表!N$10*VLOOKUP($F103&amp;$D103,$F$4:$S$29,O$34,FALSE),0)</f>
        <v>0</v>
      </c>
      <c r="P103" s="28">
        <f>ROUND(VLOOKUP($E103,装备属性计算表!$D$4:$O$9,装备属性计算表!O$2,FALSE)/装备属性计算表!O$10*VLOOKUP($F103&amp;$D103,$F$4:$S$29,P$34,FALSE),0)</f>
        <v>0</v>
      </c>
      <c r="Q103" s="28">
        <f>SUMPRODUCT(G103:P103,定义数据!$G$14:$P$14)</f>
        <v>37.44</v>
      </c>
      <c r="R103" s="28">
        <f t="shared" si="14"/>
        <v>1872</v>
      </c>
      <c r="S103" s="91">
        <f t="shared" si="15"/>
        <v>1872</v>
      </c>
      <c r="T103" s="28">
        <f t="shared" si="16"/>
        <v>1937520</v>
      </c>
      <c r="U103" s="89">
        <f>VLOOKUP(F103,D_装备金币参考表!$A$2:$C$81,3,FALSE)*Q103-VLOOKUP(F79,D_装备金币参考表!$A$2:$C$81,3,FALSE)*Q103+U79</f>
        <v>602850.19999999995</v>
      </c>
      <c r="W103">
        <f t="shared" si="17"/>
        <v>0</v>
      </c>
      <c r="X103">
        <f t="shared" si="18"/>
        <v>2</v>
      </c>
      <c r="Y103">
        <f t="shared" si="19"/>
        <v>45</v>
      </c>
      <c r="Z103" s="25">
        <f t="shared" si="20"/>
        <v>0</v>
      </c>
      <c r="AA103" s="25">
        <f t="shared" si="21"/>
        <v>6</v>
      </c>
      <c r="AB103" s="25">
        <f t="shared" si="22"/>
        <v>387</v>
      </c>
      <c r="AC103" s="25">
        <f t="shared" si="23"/>
        <v>3480</v>
      </c>
      <c r="AD103">
        <v>57</v>
      </c>
      <c r="AE103" s="5">
        <f t="shared" si="12"/>
        <v>191.7067092595619</v>
      </c>
      <c r="AF103" s="5">
        <f t="shared" si="12"/>
        <v>598.84898203841976</v>
      </c>
      <c r="AG103" s="5">
        <f t="shared" si="24"/>
        <v>649.28416725513034</v>
      </c>
      <c r="AH103" s="5">
        <f t="shared" si="24"/>
        <v>1197.6979640768395</v>
      </c>
      <c r="AI103" s="5">
        <f t="shared" si="12"/>
        <v>1298.5683345102607</v>
      </c>
      <c r="AJ103" s="5">
        <f t="shared" si="25"/>
        <v>1947.852501765391</v>
      </c>
      <c r="AK103" s="5">
        <f t="shared" si="12"/>
        <v>2003.7668686549071</v>
      </c>
      <c r="AL103" s="5">
        <f t="shared" si="26"/>
        <v>2597.1366690205214</v>
      </c>
      <c r="AM103" s="5">
        <f t="shared" si="26"/>
        <v>2671.6891582065427</v>
      </c>
      <c r="AN103" s="5">
        <f t="shared" si="12"/>
        <v>2704.2918085038573</v>
      </c>
      <c r="AO103" s="5">
        <f t="shared" si="27"/>
        <v>3029.9927805239413</v>
      </c>
      <c r="AP103" s="5">
        <f t="shared" si="27"/>
        <v>3116.9706845742999</v>
      </c>
      <c r="AQ103" s="5">
        <f t="shared" si="27"/>
        <v>3155.0071099211668</v>
      </c>
      <c r="AR103" s="5">
        <f t="shared" si="27"/>
        <v>3562.252210942057</v>
      </c>
      <c r="AS103" s="5">
        <f t="shared" si="28"/>
        <v>3605.7224113384764</v>
      </c>
    </row>
    <row r="104" spans="1:45" x14ac:dyDescent="0.15">
      <c r="A104" s="28" t="str">
        <f>F104&amp;D104&amp;VLOOKUP(E104,定义数据!$E$1:$F$7,2,FALSE)</f>
        <v>4522</v>
      </c>
      <c r="B104" s="28" t="str">
        <f t="shared" si="13"/>
        <v>4522</v>
      </c>
      <c r="C104" s="28">
        <f>装备属性计算表!AK100</f>
        <v>13</v>
      </c>
      <c r="D104" s="28">
        <f>装备属性计算表!B100</f>
        <v>2</v>
      </c>
      <c r="E104" s="28" t="str">
        <f>装备属性计算表!C100</f>
        <v>裤子</v>
      </c>
      <c r="F104" s="28">
        <f>装备属性计算表!D100</f>
        <v>45</v>
      </c>
      <c r="G104" s="28">
        <f>ROUND(VLOOKUP($E104,装备属性计算表!$D$4:$O$9,装备属性计算表!F$2,FALSE)/装备属性计算表!F$10*VLOOKUP($F104&amp;$D104,$F$4:$S$29,G$34,FALSE),0)</f>
        <v>0</v>
      </c>
      <c r="H104" s="28">
        <f>ROUND(VLOOKUP($E104,装备属性计算表!$D$4:$O$9,装备属性计算表!G$2,FALSE)/装备属性计算表!G$10*VLOOKUP($F104&amp;$D104,$F$4:$S$29,H$34,FALSE),0)</f>
        <v>0</v>
      </c>
      <c r="I104" s="28">
        <f>ROUND(VLOOKUP($E104,装备属性计算表!$D$4:$O$9,装备属性计算表!H$2,FALSE)/装备属性计算表!H$10*VLOOKUP($F104&amp;$D104,$F$4:$S$29,I$34,FALSE),0)</f>
        <v>9</v>
      </c>
      <c r="J104" s="28">
        <f>ROUND(VLOOKUP($E104,装备属性计算表!$D$4:$O$9,装备属性计算表!I$2,FALSE)/装备属性计算表!I$10*VLOOKUP($F104&amp;$D104,$F$4:$S$29,J$34,FALSE),0)</f>
        <v>14</v>
      </c>
      <c r="K104" s="28">
        <f>ROUND(VLOOKUP($E104,装备属性计算表!$D$4:$O$9,装备属性计算表!J$2,FALSE)/装备属性计算表!J$10*VLOOKUP($F104&amp;$D104,$F$4:$S$29,K$34,FALSE),0)</f>
        <v>0</v>
      </c>
      <c r="L104" s="28">
        <f>ROUND(VLOOKUP($E104,装备属性计算表!$D$4:$O$9,装备属性计算表!K$2,FALSE)/装备属性计算表!K$10*VLOOKUP($F104&amp;$D104,$F$4:$S$29,L$34,FALSE),0)</f>
        <v>0</v>
      </c>
      <c r="M104" s="28">
        <f>ROUND(VLOOKUP($E104,装备属性计算表!$D$4:$O$9,装备属性计算表!L$2,FALSE)/装备属性计算表!L$10*VLOOKUP($F104&amp;$D104,$F$4:$S$29,M$34,FALSE),0)</f>
        <v>0</v>
      </c>
      <c r="N104" s="28">
        <f>ROUND(VLOOKUP($E104,装备属性计算表!$D$4:$O$9,装备属性计算表!M$2,FALSE)/装备属性计算表!M$10*VLOOKUP($F104&amp;$D104,$F$4:$S$29,N$34,FALSE),0)</f>
        <v>0</v>
      </c>
      <c r="O104" s="28">
        <f>ROUND(VLOOKUP($E104,装备属性计算表!$D$4:$O$9,装备属性计算表!N$2,FALSE)/装备属性计算表!N$10*VLOOKUP($F104&amp;$D104,$F$4:$S$29,O$34,FALSE),0)</f>
        <v>0</v>
      </c>
      <c r="P104" s="28">
        <f>ROUND(VLOOKUP($E104,装备属性计算表!$D$4:$O$9,装备属性计算表!O$2,FALSE)/装备属性计算表!O$10*VLOOKUP($F104&amp;$D104,$F$4:$S$29,P$34,FALSE),0)</f>
        <v>0</v>
      </c>
      <c r="Q104" s="28">
        <f>SUMPRODUCT(G104:P104,定义数据!$G$14:$P$14)</f>
        <v>13.760000000000002</v>
      </c>
      <c r="R104" s="28">
        <f t="shared" si="14"/>
        <v>688</v>
      </c>
      <c r="S104" s="91">
        <f t="shared" si="15"/>
        <v>688</v>
      </c>
      <c r="T104" s="28">
        <f t="shared" si="16"/>
        <v>712080</v>
      </c>
      <c r="U104" s="89">
        <f>VLOOKUP(F104,D_装备金币参考表!$A$2:$C$81,3,FALSE)*Q104-VLOOKUP(F80,D_装备金币参考表!$A$2:$C$81,3,FALSE)*Q104+U80</f>
        <v>218245.54000000007</v>
      </c>
      <c r="W104">
        <f t="shared" si="17"/>
        <v>1</v>
      </c>
      <c r="X104">
        <f t="shared" si="18"/>
        <v>7</v>
      </c>
      <c r="Y104">
        <f t="shared" si="19"/>
        <v>45</v>
      </c>
      <c r="Z104" s="25">
        <f t="shared" si="20"/>
        <v>4</v>
      </c>
      <c r="AA104" s="25">
        <f t="shared" si="21"/>
        <v>19</v>
      </c>
      <c r="AB104" s="25">
        <f t="shared" si="22"/>
        <v>139</v>
      </c>
      <c r="AC104" s="25">
        <f t="shared" si="23"/>
        <v>2720</v>
      </c>
      <c r="AD104">
        <v>58</v>
      </c>
      <c r="AE104" s="5">
        <f t="shared" si="12"/>
        <v>196.0904267313104</v>
      </c>
      <c r="AF104" s="5">
        <f t="shared" si="12"/>
        <v>612.64927835292201</v>
      </c>
      <c r="AG104" s="5">
        <f t="shared" si="24"/>
        <v>664.47781573317604</v>
      </c>
      <c r="AH104" s="5">
        <f t="shared" si="24"/>
        <v>1225.298556705844</v>
      </c>
      <c r="AI104" s="5">
        <f t="shared" si="12"/>
        <v>1328.9556314663521</v>
      </c>
      <c r="AJ104" s="5">
        <f t="shared" si="25"/>
        <v>1993.4334471995282</v>
      </c>
      <c r="AK104" s="5">
        <f t="shared" si="12"/>
        <v>2050.905911229594</v>
      </c>
      <c r="AL104" s="5">
        <f t="shared" si="26"/>
        <v>2657.9112629327042</v>
      </c>
      <c r="AM104" s="5">
        <f t="shared" si="26"/>
        <v>2734.5412149727922</v>
      </c>
      <c r="AN104" s="5">
        <f t="shared" si="12"/>
        <v>2768.0552697133407</v>
      </c>
      <c r="AO104" s="5">
        <f t="shared" si="27"/>
        <v>3100.8964734214883</v>
      </c>
      <c r="AP104" s="5">
        <f t="shared" si="27"/>
        <v>3190.2980841349245</v>
      </c>
      <c r="AQ104" s="5">
        <f t="shared" si="27"/>
        <v>3229.3978146655645</v>
      </c>
      <c r="AR104" s="5">
        <f t="shared" si="27"/>
        <v>3646.0549532970563</v>
      </c>
      <c r="AS104" s="5">
        <f t="shared" si="28"/>
        <v>3690.7403596177878</v>
      </c>
    </row>
    <row r="105" spans="1:45" x14ac:dyDescent="0.15">
      <c r="A105" s="28" t="str">
        <f>F105&amp;D105&amp;VLOOKUP(E105,定义数据!$E$1:$F$7,2,FALSE)</f>
        <v>4525</v>
      </c>
      <c r="B105" s="28" t="str">
        <f t="shared" si="13"/>
        <v>4525</v>
      </c>
      <c r="C105" s="28">
        <f>装备属性计算表!AK101</f>
        <v>13</v>
      </c>
      <c r="D105" s="28">
        <f>装备属性计算表!B101</f>
        <v>2</v>
      </c>
      <c r="E105" s="28" t="str">
        <f>装备属性计算表!C101</f>
        <v>鞋子</v>
      </c>
      <c r="F105" s="28">
        <f>装备属性计算表!D101</f>
        <v>45</v>
      </c>
      <c r="G105" s="28">
        <f>ROUND(VLOOKUP($E105,装备属性计算表!$D$4:$O$9,装备属性计算表!F$2,FALSE)/装备属性计算表!F$10*VLOOKUP($F105&amp;$D105,$F$4:$S$29,G$34,FALSE),0)</f>
        <v>204</v>
      </c>
      <c r="H105" s="28">
        <f>ROUND(VLOOKUP($E105,装备属性计算表!$D$4:$O$9,装备属性计算表!G$2,FALSE)/装备属性计算表!G$10*VLOOKUP($F105&amp;$D105,$F$4:$S$29,H$34,FALSE),0)</f>
        <v>0</v>
      </c>
      <c r="I105" s="28">
        <f>ROUND(VLOOKUP($E105,装备属性计算表!$D$4:$O$9,装备属性计算表!H$2,FALSE)/装备属性计算表!H$10*VLOOKUP($F105&amp;$D105,$F$4:$S$29,I$34,FALSE),0)</f>
        <v>0</v>
      </c>
      <c r="J105" s="28">
        <f>ROUND(VLOOKUP($E105,装备属性计算表!$D$4:$O$9,装备属性计算表!I$2,FALSE)/装备属性计算表!I$10*VLOOKUP($F105&amp;$D105,$F$4:$S$29,J$34,FALSE),0)</f>
        <v>27</v>
      </c>
      <c r="K105" s="28">
        <f>ROUND(VLOOKUP($E105,装备属性计算表!$D$4:$O$9,装备属性计算表!J$2,FALSE)/装备属性计算表!J$10*VLOOKUP($F105&amp;$D105,$F$4:$S$29,K$34,FALSE),0)</f>
        <v>0</v>
      </c>
      <c r="L105" s="28">
        <f>ROUND(VLOOKUP($E105,装备属性计算表!$D$4:$O$9,装备属性计算表!K$2,FALSE)/装备属性计算表!K$10*VLOOKUP($F105&amp;$D105,$F$4:$S$29,L$34,FALSE),0)</f>
        <v>0</v>
      </c>
      <c r="M105" s="28">
        <f>ROUND(VLOOKUP($E105,装备属性计算表!$D$4:$O$9,装备属性计算表!L$2,FALSE)/装备属性计算表!L$10*VLOOKUP($F105&amp;$D105,$F$4:$S$29,M$34,FALSE),0)</f>
        <v>0</v>
      </c>
      <c r="N105" s="28">
        <f>ROUND(VLOOKUP($E105,装备属性计算表!$D$4:$O$9,装备属性计算表!M$2,FALSE)/装备属性计算表!M$10*VLOOKUP($F105&amp;$D105,$F$4:$S$29,N$34,FALSE),0)</f>
        <v>0</v>
      </c>
      <c r="O105" s="28">
        <f>ROUND(VLOOKUP($E105,装备属性计算表!$D$4:$O$9,装备属性计算表!N$2,FALSE)/装备属性计算表!N$10*VLOOKUP($F105&amp;$D105,$F$4:$S$29,O$34,FALSE),0)</f>
        <v>0</v>
      </c>
      <c r="P105" s="28">
        <f>ROUND(VLOOKUP($E105,装备属性计算表!$D$4:$O$9,装备属性计算表!O$2,FALSE)/装备属性计算表!O$10*VLOOKUP($F105&amp;$D105,$F$4:$S$29,P$34,FALSE),0)</f>
        <v>0</v>
      </c>
      <c r="Q105" s="28">
        <f>SUMPRODUCT(G105:P105,定义数据!$G$14:$P$14)</f>
        <v>17.340000000000003</v>
      </c>
      <c r="R105" s="28">
        <f t="shared" si="14"/>
        <v>867</v>
      </c>
      <c r="S105" s="91">
        <f t="shared" si="15"/>
        <v>867</v>
      </c>
      <c r="T105" s="28">
        <f t="shared" si="16"/>
        <v>897345</v>
      </c>
      <c r="U105" s="89">
        <f>VLOOKUP(F105,D_装备金币参考表!$A$2:$C$81,3,FALSE)*Q105-VLOOKUP(F81,D_装备金币参考表!$A$2:$C$81,3,FALSE)*Q105+U81</f>
        <v>279053.80000000005</v>
      </c>
      <c r="W105">
        <f t="shared" si="17"/>
        <v>1</v>
      </c>
      <c r="X105">
        <f t="shared" si="18"/>
        <v>5</v>
      </c>
      <c r="Y105">
        <f t="shared" si="19"/>
        <v>45</v>
      </c>
      <c r="Z105" s="25">
        <f t="shared" si="20"/>
        <v>5</v>
      </c>
      <c r="AA105" s="25">
        <f t="shared" si="21"/>
        <v>13</v>
      </c>
      <c r="AB105" s="25">
        <f t="shared" si="22"/>
        <v>177</v>
      </c>
      <c r="AC105" s="25">
        <f t="shared" si="23"/>
        <v>1655</v>
      </c>
      <c r="AD105">
        <v>59</v>
      </c>
      <c r="AE105" s="5">
        <f t="shared" si="12"/>
        <v>200.49687830562982</v>
      </c>
      <c r="AF105" s="5">
        <f t="shared" si="12"/>
        <v>626.52353544613425</v>
      </c>
      <c r="AG105" s="5">
        <f t="shared" si="24"/>
        <v>679.75816082169285</v>
      </c>
      <c r="AH105" s="5">
        <f t="shared" si="24"/>
        <v>1253.0470708922685</v>
      </c>
      <c r="AI105" s="5">
        <f t="shared" si="12"/>
        <v>1359.5163216433857</v>
      </c>
      <c r="AJ105" s="5">
        <f t="shared" si="25"/>
        <v>2039.2744824650786</v>
      </c>
      <c r="AK105" s="5">
        <f t="shared" si="12"/>
        <v>2098.3196564996324</v>
      </c>
      <c r="AL105" s="5">
        <f t="shared" si="26"/>
        <v>2719.0326432867714</v>
      </c>
      <c r="AM105" s="5">
        <f t="shared" si="26"/>
        <v>2797.75954199951</v>
      </c>
      <c r="AN105" s="5">
        <f t="shared" si="12"/>
        <v>2832.1936299155554</v>
      </c>
      <c r="AO105" s="5">
        <f t="shared" si="27"/>
        <v>3172.2047505012333</v>
      </c>
      <c r="AP105" s="5">
        <f t="shared" si="27"/>
        <v>3264.0527989994284</v>
      </c>
      <c r="AQ105" s="5">
        <f t="shared" si="27"/>
        <v>3304.2259015681479</v>
      </c>
      <c r="AR105" s="5">
        <f t="shared" si="27"/>
        <v>3730.3460559993468</v>
      </c>
      <c r="AS105" s="5">
        <f t="shared" si="28"/>
        <v>3776.2581732207404</v>
      </c>
    </row>
    <row r="106" spans="1:45" x14ac:dyDescent="0.15">
      <c r="A106" s="28" t="str">
        <f>F106&amp;D106&amp;VLOOKUP(E106,定义数据!$E$1:$F$7,2,FALSE)</f>
        <v>4524</v>
      </c>
      <c r="B106" s="28" t="str">
        <f t="shared" si="13"/>
        <v>4524</v>
      </c>
      <c r="C106" s="28">
        <f>装备属性计算表!AK102</f>
        <v>13</v>
      </c>
      <c r="D106" s="28">
        <f>装备属性计算表!B102</f>
        <v>2</v>
      </c>
      <c r="E106" s="28" t="str">
        <f>装备属性计算表!C102</f>
        <v>腰带</v>
      </c>
      <c r="F106" s="28">
        <f>装备属性计算表!D102</f>
        <v>45</v>
      </c>
      <c r="G106" s="28">
        <f>ROUND(VLOOKUP($E106,装备属性计算表!$D$4:$O$9,装备属性计算表!F$2,FALSE)/装备属性计算表!F$10*VLOOKUP($F106&amp;$D106,$F$4:$S$29,G$34,FALSE),0)</f>
        <v>204</v>
      </c>
      <c r="H106" s="28">
        <f>ROUND(VLOOKUP($E106,装备属性计算表!$D$4:$O$9,装备属性计算表!G$2,FALSE)/装备属性计算表!G$10*VLOOKUP($F106&amp;$D106,$F$4:$S$29,H$34,FALSE),0)</f>
        <v>0</v>
      </c>
      <c r="I106" s="28">
        <f>ROUND(VLOOKUP($E106,装备属性计算表!$D$4:$O$9,装备属性计算表!H$2,FALSE)/装备属性计算表!H$10*VLOOKUP($F106&amp;$D106,$F$4:$S$29,I$34,FALSE),0)</f>
        <v>0</v>
      </c>
      <c r="J106" s="28">
        <f>ROUND(VLOOKUP($E106,装备属性计算表!$D$4:$O$9,装备属性计算表!I$2,FALSE)/装备属性计算表!I$10*VLOOKUP($F106&amp;$D106,$F$4:$S$29,J$34,FALSE),0)</f>
        <v>0</v>
      </c>
      <c r="K106" s="28">
        <f>ROUND(VLOOKUP($E106,装备属性计算表!$D$4:$O$9,装备属性计算表!J$2,FALSE)/装备属性计算表!J$10*VLOOKUP($F106&amp;$D106,$F$4:$S$29,K$34,FALSE),0)</f>
        <v>0</v>
      </c>
      <c r="L106" s="28">
        <f>ROUND(VLOOKUP($E106,装备属性计算表!$D$4:$O$9,装备属性计算表!K$2,FALSE)/装备属性计算表!K$10*VLOOKUP($F106&amp;$D106,$F$4:$S$29,L$34,FALSE),0)</f>
        <v>0</v>
      </c>
      <c r="M106" s="28">
        <f>ROUND(VLOOKUP($E106,装备属性计算表!$D$4:$O$9,装备属性计算表!L$2,FALSE)/装备属性计算表!L$10*VLOOKUP($F106&amp;$D106,$F$4:$S$29,M$34,FALSE),0)</f>
        <v>0</v>
      </c>
      <c r="N106" s="28">
        <f>ROUND(VLOOKUP($E106,装备属性计算表!$D$4:$O$9,装备属性计算表!M$2,FALSE)/装备属性计算表!M$10*VLOOKUP($F106&amp;$D106,$F$4:$S$29,N$34,FALSE),0)</f>
        <v>24</v>
      </c>
      <c r="O106" s="28">
        <f>ROUND(VLOOKUP($E106,装备属性计算表!$D$4:$O$9,装备属性计算表!N$2,FALSE)/装备属性计算表!N$10*VLOOKUP($F106&amp;$D106,$F$4:$S$29,O$34,FALSE),0)</f>
        <v>0</v>
      </c>
      <c r="P106" s="28">
        <f>ROUND(VLOOKUP($E106,装备属性计算表!$D$4:$O$9,装备属性计算表!O$2,FALSE)/装备属性计算表!O$10*VLOOKUP($F106&amp;$D106,$F$4:$S$29,P$34,FALSE),0)</f>
        <v>0</v>
      </c>
      <c r="Q106" s="28">
        <f>SUMPRODUCT(G106:P106,定义数据!$G$14:$P$14)</f>
        <v>12.48</v>
      </c>
      <c r="R106" s="28">
        <f t="shared" si="14"/>
        <v>624</v>
      </c>
      <c r="S106" s="91">
        <f t="shared" si="15"/>
        <v>624</v>
      </c>
      <c r="T106" s="28">
        <f t="shared" si="16"/>
        <v>645840</v>
      </c>
      <c r="U106" s="89">
        <f>VLOOKUP(F106,D_装备金币参考表!$A$2:$C$81,3,FALSE)*Q106-VLOOKUP(F82,D_装备金币参考表!$A$2:$C$81,3,FALSE)*Q106+U82</f>
        <v>200245.31999999998</v>
      </c>
      <c r="W106">
        <f t="shared" si="17"/>
        <v>1</v>
      </c>
      <c r="X106">
        <f t="shared" si="18"/>
        <v>8</v>
      </c>
      <c r="Y106">
        <f t="shared" si="19"/>
        <v>45</v>
      </c>
      <c r="Z106" s="25">
        <f t="shared" si="20"/>
        <v>4</v>
      </c>
      <c r="AA106" s="25">
        <f t="shared" si="21"/>
        <v>22</v>
      </c>
      <c r="AB106" s="25">
        <f t="shared" si="22"/>
        <v>125</v>
      </c>
      <c r="AC106" s="25">
        <f t="shared" si="23"/>
        <v>1960</v>
      </c>
      <c r="AD106">
        <v>60</v>
      </c>
      <c r="AE106" s="5">
        <f t="shared" si="12"/>
        <v>204.92579354278561</v>
      </c>
      <c r="AF106" s="5">
        <f t="shared" si="12"/>
        <v>640.47088599268591</v>
      </c>
      <c r="AG106" s="5">
        <f t="shared" si="24"/>
        <v>695.12421514577125</v>
      </c>
      <c r="AH106" s="5">
        <f t="shared" si="24"/>
        <v>1280.9417719853718</v>
      </c>
      <c r="AI106" s="5">
        <f t="shared" si="12"/>
        <v>1390.2484302915425</v>
      </c>
      <c r="AJ106" s="5">
        <f t="shared" si="25"/>
        <v>2085.3726454373136</v>
      </c>
      <c r="AK106" s="5">
        <f t="shared" si="12"/>
        <v>2146.0050084190239</v>
      </c>
      <c r="AL106" s="5">
        <f t="shared" si="26"/>
        <v>2780.496860583085</v>
      </c>
      <c r="AM106" s="5">
        <f t="shared" si="26"/>
        <v>2861.3400112253653</v>
      </c>
      <c r="AN106" s="5">
        <f t="shared" si="12"/>
        <v>2896.7026828107555</v>
      </c>
      <c r="AO106" s="5">
        <f t="shared" si="27"/>
        <v>3243.9130040135992</v>
      </c>
      <c r="AP106" s="5">
        <f t="shared" si="27"/>
        <v>3338.2300130962594</v>
      </c>
      <c r="AQ106" s="5">
        <f t="shared" si="27"/>
        <v>3379.4864632792151</v>
      </c>
      <c r="AR106" s="5">
        <f t="shared" si="27"/>
        <v>3815.1200149671536</v>
      </c>
      <c r="AS106" s="5">
        <f t="shared" si="28"/>
        <v>3862.2702437476742</v>
      </c>
    </row>
    <row r="107" spans="1:45" x14ac:dyDescent="0.15">
      <c r="A107" s="28" t="str">
        <f>F107&amp;D107&amp;VLOOKUP(E107,定义数据!$E$1:$F$7,2,FALSE)</f>
        <v>4523</v>
      </c>
      <c r="B107" s="28" t="str">
        <f t="shared" si="13"/>
        <v>4523</v>
      </c>
      <c r="C107" s="28">
        <f>装备属性计算表!AK103</f>
        <v>13</v>
      </c>
      <c r="D107" s="28">
        <f>装备属性计算表!B103</f>
        <v>2</v>
      </c>
      <c r="E107" s="28" t="str">
        <f>装备属性计算表!C103</f>
        <v>项链</v>
      </c>
      <c r="F107" s="28">
        <f>装备属性计算表!D103</f>
        <v>45</v>
      </c>
      <c r="G107" s="28">
        <f>ROUND(VLOOKUP($E107,装备属性计算表!$D$4:$O$9,装备属性计算表!F$2,FALSE)/装备属性计算表!F$10*VLOOKUP($F107&amp;$D107,$F$4:$S$29,G$34,FALSE),0)</f>
        <v>0</v>
      </c>
      <c r="H107" s="28">
        <f>ROUND(VLOOKUP($E107,装备属性计算表!$D$4:$O$9,装备属性计算表!G$2,FALSE)/装备属性计算表!G$10*VLOOKUP($F107&amp;$D107,$F$4:$S$29,H$34,FALSE),0)</f>
        <v>13</v>
      </c>
      <c r="I107" s="28">
        <f>ROUND(VLOOKUP($E107,装备属性计算表!$D$4:$O$9,装备属性计算表!H$2,FALSE)/装备属性计算表!H$10*VLOOKUP($F107&amp;$D107,$F$4:$S$29,I$34,FALSE),0)</f>
        <v>0</v>
      </c>
      <c r="J107" s="28">
        <f>ROUND(VLOOKUP($E107,装备属性计算表!$D$4:$O$9,装备属性计算表!I$2,FALSE)/装备属性计算表!I$10*VLOOKUP($F107&amp;$D107,$F$4:$S$29,J$34,FALSE),0)</f>
        <v>0</v>
      </c>
      <c r="K107" s="28">
        <f>ROUND(VLOOKUP($E107,装备属性计算表!$D$4:$O$9,装备属性计算表!J$2,FALSE)/装备属性计算表!J$10*VLOOKUP($F107&amp;$D107,$F$4:$S$29,K$34,FALSE),0)</f>
        <v>41</v>
      </c>
      <c r="L107" s="28">
        <f>ROUND(VLOOKUP($E107,装备属性计算表!$D$4:$O$9,装备属性计算表!K$2,FALSE)/装备属性计算表!K$10*VLOOKUP($F107&amp;$D107,$F$4:$S$29,L$34,FALSE),0)</f>
        <v>0</v>
      </c>
      <c r="M107" s="28">
        <f>ROUND(VLOOKUP($E107,装备属性计算表!$D$4:$O$9,装备属性计算表!L$2,FALSE)/装备属性计算表!L$10*VLOOKUP($F107&amp;$D107,$F$4:$S$29,M$34,FALSE),0)</f>
        <v>0</v>
      </c>
      <c r="N107" s="28">
        <f>ROUND(VLOOKUP($E107,装备属性计算表!$D$4:$O$9,装备属性计算表!M$2,FALSE)/装备属性计算表!M$10*VLOOKUP($F107&amp;$D107,$F$4:$S$29,N$34,FALSE),0)</f>
        <v>0</v>
      </c>
      <c r="O107" s="28">
        <f>ROUND(VLOOKUP($E107,装备属性计算表!$D$4:$O$9,装备属性计算表!N$2,FALSE)/装备属性计算表!N$10*VLOOKUP($F107&amp;$D107,$F$4:$S$29,O$34,FALSE),0)</f>
        <v>0</v>
      </c>
      <c r="P107" s="28">
        <f>ROUND(VLOOKUP($E107,装备属性计算表!$D$4:$O$9,装备属性计算表!O$2,FALSE)/装备属性计算表!O$10*VLOOKUP($F107&amp;$D107,$F$4:$S$29,P$34,FALSE),0)</f>
        <v>0</v>
      </c>
      <c r="Q107" s="28">
        <f>SUMPRODUCT(G107:P107,定义数据!$G$14:$P$14)</f>
        <v>26.94</v>
      </c>
      <c r="R107" s="28">
        <f t="shared" si="14"/>
        <v>1347</v>
      </c>
      <c r="S107" s="91">
        <f t="shared" si="15"/>
        <v>1347</v>
      </c>
      <c r="T107" s="28">
        <f t="shared" si="16"/>
        <v>1394145</v>
      </c>
      <c r="U107" s="89">
        <f>VLOOKUP(F107,D_装备金币参考表!$A$2:$C$81,3,FALSE)*Q107-VLOOKUP(F83,D_装备金币参考表!$A$2:$C$81,3,FALSE)*Q107+U83</f>
        <v>429181.12000000005</v>
      </c>
      <c r="V107" s="25">
        <f>SUM(U102:U107)</f>
        <v>2422798.8600000003</v>
      </c>
      <c r="W107">
        <f t="shared" si="17"/>
        <v>0</v>
      </c>
      <c r="X107">
        <f t="shared" si="18"/>
        <v>3</v>
      </c>
      <c r="Y107">
        <f t="shared" si="19"/>
        <v>45</v>
      </c>
      <c r="Z107" s="25">
        <f t="shared" si="20"/>
        <v>0</v>
      </c>
      <c r="AA107" s="25">
        <f t="shared" si="21"/>
        <v>9</v>
      </c>
      <c r="AB107" s="25">
        <f t="shared" si="22"/>
        <v>278</v>
      </c>
      <c r="AC107" s="25">
        <f t="shared" si="23"/>
        <v>4855</v>
      </c>
      <c r="AD107">
        <v>61</v>
      </c>
      <c r="AE107" s="5">
        <f t="shared" si="12"/>
        <v>209.37690968583479</v>
      </c>
      <c r="AF107" s="5">
        <f t="shared" si="12"/>
        <v>654.49048716374182</v>
      </c>
      <c r="AG107" s="5">
        <f t="shared" si="24"/>
        <v>710.57501889227194</v>
      </c>
      <c r="AH107" s="5">
        <f t="shared" si="24"/>
        <v>1308.9809743274836</v>
      </c>
      <c r="AI107" s="5">
        <f t="shared" si="12"/>
        <v>1421.1500377845439</v>
      </c>
      <c r="AJ107" s="5">
        <f t="shared" si="25"/>
        <v>2131.7250566768157</v>
      </c>
      <c r="AK107" s="5">
        <f t="shared" si="12"/>
        <v>2193.958957008168</v>
      </c>
      <c r="AL107" s="5">
        <f t="shared" si="26"/>
        <v>2842.3000755690878</v>
      </c>
      <c r="AM107" s="5">
        <f t="shared" si="26"/>
        <v>2925.2786093442237</v>
      </c>
      <c r="AN107" s="5">
        <f t="shared" ref="AN107:AQ146" si="52">AN$32*$AD107^AN$33</f>
        <v>2961.5783388213263</v>
      </c>
      <c r="AO107" s="5">
        <f t="shared" si="27"/>
        <v>3316.0167548306026</v>
      </c>
      <c r="AP107" s="5">
        <f t="shared" si="27"/>
        <v>3412.8250442349276</v>
      </c>
      <c r="AQ107" s="5">
        <f t="shared" si="27"/>
        <v>3455.1747286248806</v>
      </c>
      <c r="AR107" s="5">
        <f t="shared" si="27"/>
        <v>3900.3714791256316</v>
      </c>
      <c r="AS107" s="5">
        <f t="shared" si="28"/>
        <v>3948.7711184284349</v>
      </c>
    </row>
    <row r="108" spans="1:45" x14ac:dyDescent="0.15">
      <c r="A108" s="28" t="str">
        <f>F108&amp;D108&amp;VLOOKUP(E108,定义数据!$E$1:$F$7,2,FALSE)</f>
        <v>4530</v>
      </c>
      <c r="B108" s="28" t="str">
        <f t="shared" si="13"/>
        <v>4530</v>
      </c>
      <c r="C108" s="28">
        <f>装备属性计算表!AK104</f>
        <v>14</v>
      </c>
      <c r="D108" s="28">
        <f>装备属性计算表!B104</f>
        <v>3</v>
      </c>
      <c r="E108" s="28" t="str">
        <f>装备属性计算表!C104</f>
        <v>武器</v>
      </c>
      <c r="F108" s="28">
        <f>装备属性计算表!D104</f>
        <v>45</v>
      </c>
      <c r="G108" s="28">
        <f>ROUND(VLOOKUP($E108,装备属性计算表!$D$4:$O$9,装备属性计算表!F$2,FALSE)/装备属性计算表!F$10*VLOOKUP($F108&amp;$D108,$F$4:$S$29,G$34,FALSE),0)</f>
        <v>0</v>
      </c>
      <c r="H108" s="28">
        <f>ROUND(VLOOKUP($E108,装备属性计算表!$D$4:$O$9,装备属性计算表!G$2,FALSE)/装备属性计算表!G$10*VLOOKUP($F108&amp;$D108,$F$4:$S$29,H$34,FALSE),0)</f>
        <v>51</v>
      </c>
      <c r="I108" s="28">
        <f>ROUND(VLOOKUP($E108,装备属性计算表!$D$4:$O$9,装备属性计算表!H$2,FALSE)/装备属性计算表!H$10*VLOOKUP($F108&amp;$D108,$F$4:$S$29,I$34,FALSE),0)</f>
        <v>0</v>
      </c>
      <c r="J108" s="28">
        <f>ROUND(VLOOKUP($E108,装备属性计算表!$D$4:$O$9,装备属性计算表!I$2,FALSE)/装备属性计算表!I$10*VLOOKUP($F108&amp;$D108,$F$4:$S$29,J$34,FALSE),0)</f>
        <v>0</v>
      </c>
      <c r="K108" s="28">
        <f>ROUND(VLOOKUP($E108,装备属性计算表!$D$4:$O$9,装备属性计算表!J$2,FALSE)/装备属性计算表!J$10*VLOOKUP($F108&amp;$D108,$F$4:$S$29,K$34,FALSE),0)</f>
        <v>0</v>
      </c>
      <c r="L108" s="28">
        <f>ROUND(VLOOKUP($E108,装备属性计算表!$D$4:$O$9,装备属性计算表!K$2,FALSE)/装备属性计算表!K$10*VLOOKUP($F108&amp;$D108,$F$4:$S$29,L$34,FALSE),0)</f>
        <v>31</v>
      </c>
      <c r="M108" s="28">
        <f>ROUND(VLOOKUP($E108,装备属性计算表!$D$4:$O$9,装备属性计算表!L$2,FALSE)/装备属性计算表!L$10*VLOOKUP($F108&amp;$D108,$F$4:$S$29,M$34,FALSE),0)</f>
        <v>0</v>
      </c>
      <c r="N108" s="28">
        <f>ROUND(VLOOKUP($E108,装备属性计算表!$D$4:$O$9,装备属性计算表!M$2,FALSE)/装备属性计算表!M$10*VLOOKUP($F108&amp;$D108,$F$4:$S$29,N$34,FALSE),0)</f>
        <v>0</v>
      </c>
      <c r="O108" s="28">
        <f>ROUND(VLOOKUP($E108,装备属性计算表!$D$4:$O$9,装备属性计算表!N$2,FALSE)/装备属性计算表!N$10*VLOOKUP($F108&amp;$D108,$F$4:$S$29,O$34,FALSE),0)</f>
        <v>0</v>
      </c>
      <c r="P108" s="28">
        <f>ROUND(VLOOKUP($E108,装备属性计算表!$D$4:$O$9,装备属性计算表!O$2,FALSE)/装备属性计算表!O$10*VLOOKUP($F108&amp;$D108,$F$4:$S$29,P$34,FALSE),0)</f>
        <v>0</v>
      </c>
      <c r="Q108" s="28">
        <f>SUMPRODUCT(G108:P108,定义数据!$G$14:$P$14)</f>
        <v>56.58</v>
      </c>
      <c r="R108" s="28">
        <f t="shared" si="14"/>
        <v>2829</v>
      </c>
      <c r="S108" s="91">
        <f t="shared" si="15"/>
        <v>2829</v>
      </c>
      <c r="T108" s="28">
        <f t="shared" si="16"/>
        <v>2928015</v>
      </c>
      <c r="U108" s="89">
        <f>VLOOKUP(F108,D_装备金币参考表!$A$2:$C$81,3,FALSE)*Q108-VLOOKUP(F84,D_装备金币参考表!$A$2:$C$81,3,FALSE)*Q108+U84</f>
        <v>906008.79999999993</v>
      </c>
      <c r="W108">
        <f t="shared" si="17"/>
        <v>0</v>
      </c>
      <c r="X108">
        <f t="shared" si="18"/>
        <v>1</v>
      </c>
      <c r="Y108">
        <f t="shared" si="19"/>
        <v>45</v>
      </c>
      <c r="Z108" s="25">
        <f t="shared" si="20"/>
        <v>0</v>
      </c>
      <c r="AA108" s="25">
        <f t="shared" si="21"/>
        <v>3</v>
      </c>
      <c r="AB108" s="25">
        <f t="shared" si="22"/>
        <v>586</v>
      </c>
      <c r="AC108" s="25">
        <f t="shared" si="23"/>
        <v>4985</v>
      </c>
      <c r="AD108">
        <v>62</v>
      </c>
      <c r="AE108" s="5">
        <f t="shared" si="12"/>
        <v>213.84997131965926</v>
      </c>
      <c r="AF108" s="5">
        <f t="shared" si="12"/>
        <v>668.58151954377388</v>
      </c>
      <c r="AG108" s="5">
        <f t="shared" si="24"/>
        <v>726.10963859991784</v>
      </c>
      <c r="AH108" s="5">
        <f t="shared" si="24"/>
        <v>1337.1630390875478</v>
      </c>
      <c r="AI108" s="5">
        <f t="shared" si="12"/>
        <v>1452.2192771998357</v>
      </c>
      <c r="AJ108" s="5">
        <f t="shared" si="25"/>
        <v>2178.3289157997538</v>
      </c>
      <c r="AK108" s="5">
        <f t="shared" si="12"/>
        <v>2242.1785745854049</v>
      </c>
      <c r="AL108" s="5">
        <f t="shared" si="26"/>
        <v>2904.4385543996714</v>
      </c>
      <c r="AM108" s="5">
        <f t="shared" si="26"/>
        <v>2989.5714327805399</v>
      </c>
      <c r="AN108" s="5">
        <f t="shared" si="52"/>
        <v>3026.816619986671</v>
      </c>
      <c r="AO108" s="5">
        <f t="shared" si="27"/>
        <v>3388.5116467996168</v>
      </c>
      <c r="AP108" s="5">
        <f t="shared" si="27"/>
        <v>3487.8333382439632</v>
      </c>
      <c r="AQ108" s="5">
        <f t="shared" si="27"/>
        <v>3531.2860566511163</v>
      </c>
      <c r="AR108" s="5">
        <f t="shared" si="27"/>
        <v>3986.0952437073865</v>
      </c>
      <c r="AS108" s="5">
        <f t="shared" si="28"/>
        <v>4035.7554933155616</v>
      </c>
    </row>
    <row r="109" spans="1:45" x14ac:dyDescent="0.15">
      <c r="A109" s="28" t="str">
        <f>F109&amp;D109&amp;VLOOKUP(E109,定义数据!$E$1:$F$7,2,FALSE)</f>
        <v>4531</v>
      </c>
      <c r="B109" s="28" t="str">
        <f t="shared" si="13"/>
        <v>4531</v>
      </c>
      <c r="C109" s="28">
        <f>装备属性计算表!AK105</f>
        <v>14</v>
      </c>
      <c r="D109" s="28">
        <f>装备属性计算表!B105</f>
        <v>3</v>
      </c>
      <c r="E109" s="28" t="str">
        <f>装备属性计算表!C105</f>
        <v>衣服</v>
      </c>
      <c r="F109" s="28">
        <f>装备属性计算表!D105</f>
        <v>45</v>
      </c>
      <c r="G109" s="28">
        <f>ROUND(VLOOKUP($E109,装备属性计算表!$D$4:$O$9,装备属性计算表!F$2,FALSE)/装备属性计算表!F$10*VLOOKUP($F109&amp;$D109,$F$4:$S$29,G$34,FALSE),0)</f>
        <v>800</v>
      </c>
      <c r="H109" s="28">
        <f>ROUND(VLOOKUP($E109,装备属性计算表!$D$4:$O$9,装备属性计算表!G$2,FALSE)/装备属性计算表!G$10*VLOOKUP($F109&amp;$D109,$F$4:$S$29,H$34,FALSE),0)</f>
        <v>0</v>
      </c>
      <c r="I109" s="28">
        <f>ROUND(VLOOKUP($E109,装备属性计算表!$D$4:$O$9,装备属性计算表!H$2,FALSE)/装备属性计算表!H$10*VLOOKUP($F109&amp;$D109,$F$4:$S$29,I$34,FALSE),0)</f>
        <v>18</v>
      </c>
      <c r="J109" s="28">
        <f>ROUND(VLOOKUP($E109,装备属性计算表!$D$4:$O$9,装备属性计算表!I$2,FALSE)/装备属性计算表!I$10*VLOOKUP($F109&amp;$D109,$F$4:$S$29,J$34,FALSE),0)</f>
        <v>0</v>
      </c>
      <c r="K109" s="28">
        <f>ROUND(VLOOKUP($E109,装备属性计算表!$D$4:$O$9,装备属性计算表!J$2,FALSE)/装备属性计算表!J$10*VLOOKUP($F109&amp;$D109,$F$4:$S$29,K$34,FALSE),0)</f>
        <v>0</v>
      </c>
      <c r="L109" s="28">
        <f>ROUND(VLOOKUP($E109,装备属性计算表!$D$4:$O$9,装备属性计算表!K$2,FALSE)/装备属性计算表!K$10*VLOOKUP($F109&amp;$D109,$F$4:$S$29,L$34,FALSE),0)</f>
        <v>0</v>
      </c>
      <c r="M109" s="28">
        <f>ROUND(VLOOKUP($E109,装备属性计算表!$D$4:$O$9,装备属性计算表!L$2,FALSE)/装备属性计算表!L$10*VLOOKUP($F109&amp;$D109,$F$4:$S$29,M$34,FALSE),0)</f>
        <v>0</v>
      </c>
      <c r="N109" s="28">
        <f>ROUND(VLOOKUP($E109,装备属性计算表!$D$4:$O$9,装备属性计算表!M$2,FALSE)/装备属性计算表!M$10*VLOOKUP($F109&amp;$D109,$F$4:$S$29,N$34,FALSE),0)</f>
        <v>0</v>
      </c>
      <c r="O109" s="28">
        <f>ROUND(VLOOKUP($E109,装备属性计算表!$D$4:$O$9,装备属性计算表!N$2,FALSE)/装备属性计算表!N$10*VLOOKUP($F109&amp;$D109,$F$4:$S$29,O$34,FALSE),0)</f>
        <v>0</v>
      </c>
      <c r="P109" s="28">
        <f>ROUND(VLOOKUP($E109,装备属性计算表!$D$4:$O$9,装备属性计算表!O$2,FALSE)/装备属性计算表!O$10*VLOOKUP($F109&amp;$D109,$F$4:$S$29,P$34,FALSE),0)</f>
        <v>0</v>
      </c>
      <c r="Q109" s="28">
        <f>SUMPRODUCT(G109:P109,定义数据!$G$14:$P$14)</f>
        <v>50</v>
      </c>
      <c r="R109" s="28">
        <f t="shared" si="14"/>
        <v>2500</v>
      </c>
      <c r="S109" s="91">
        <f t="shared" si="15"/>
        <v>2500</v>
      </c>
      <c r="T109" s="28">
        <f t="shared" si="16"/>
        <v>2587500</v>
      </c>
      <c r="U109" s="89">
        <f>VLOOKUP(F109,D_装备金币参考表!$A$2:$C$81,3,FALSE)*Q109-VLOOKUP(F85,D_装备金币参考表!$A$2:$C$81,3,FALSE)*Q109+U85</f>
        <v>801442.2</v>
      </c>
      <c r="W109">
        <f t="shared" si="17"/>
        <v>0</v>
      </c>
      <c r="X109">
        <f t="shared" si="18"/>
        <v>2</v>
      </c>
      <c r="Y109">
        <f t="shared" si="19"/>
        <v>45</v>
      </c>
      <c r="Z109" s="25">
        <f t="shared" si="20"/>
        <v>0</v>
      </c>
      <c r="AA109" s="25">
        <f t="shared" si="21"/>
        <v>8</v>
      </c>
      <c r="AB109" s="25">
        <f t="shared" si="22"/>
        <v>516</v>
      </c>
      <c r="AC109" s="25">
        <f t="shared" si="23"/>
        <v>500</v>
      </c>
      <c r="AD109">
        <v>63</v>
      </c>
      <c r="AE109" s="5">
        <f t="shared" si="12"/>
        <v>218.34473005040718</v>
      </c>
      <c r="AF109" s="5">
        <f t="shared" si="12"/>
        <v>682.74318611198964</v>
      </c>
      <c r="AG109" s="5">
        <f t="shared" si="24"/>
        <v>741.72716602122171</v>
      </c>
      <c r="AH109" s="5">
        <f t="shared" si="24"/>
        <v>1365.4863722239793</v>
      </c>
      <c r="AI109" s="5">
        <f t="shared" si="12"/>
        <v>1483.4543320424434</v>
      </c>
      <c r="AJ109" s="5">
        <f t="shared" si="25"/>
        <v>2225.181498063665</v>
      </c>
      <c r="AK109" s="5">
        <f t="shared" si="12"/>
        <v>2290.6610122218881</v>
      </c>
      <c r="AL109" s="5">
        <f t="shared" si="26"/>
        <v>2966.9086640848868</v>
      </c>
      <c r="AM109" s="5">
        <f t="shared" si="26"/>
        <v>3054.2146829625171</v>
      </c>
      <c r="AN109" s="5">
        <f t="shared" si="52"/>
        <v>3092.413655160417</v>
      </c>
      <c r="AO109" s="5">
        <f t="shared" si="27"/>
        <v>3461.393441432368</v>
      </c>
      <c r="AP109" s="5">
        <f t="shared" si="27"/>
        <v>3563.2504634562702</v>
      </c>
      <c r="AQ109" s="5">
        <f t="shared" si="27"/>
        <v>3607.8159310204865</v>
      </c>
      <c r="AR109" s="5">
        <f t="shared" si="27"/>
        <v>4072.2862439500232</v>
      </c>
      <c r="AS109" s="5">
        <f t="shared" si="28"/>
        <v>4123.218206880556</v>
      </c>
    </row>
    <row r="110" spans="1:45" x14ac:dyDescent="0.15">
      <c r="A110" s="28" t="str">
        <f>F110&amp;D110&amp;VLOOKUP(E110,定义数据!$E$1:$F$7,2,FALSE)</f>
        <v>4532</v>
      </c>
      <c r="B110" s="28" t="str">
        <f t="shared" si="13"/>
        <v>4532</v>
      </c>
      <c r="C110" s="28">
        <f>装备属性计算表!AK106</f>
        <v>14</v>
      </c>
      <c r="D110" s="28">
        <f>装备属性计算表!B106</f>
        <v>3</v>
      </c>
      <c r="E110" s="28" t="str">
        <f>装备属性计算表!C106</f>
        <v>裤子</v>
      </c>
      <c r="F110" s="28">
        <f>装备属性计算表!D106</f>
        <v>45</v>
      </c>
      <c r="G110" s="28">
        <f>ROUND(VLOOKUP($E110,装备属性计算表!$D$4:$O$9,装备属性计算表!F$2,FALSE)/装备属性计算表!F$10*VLOOKUP($F110&amp;$D110,$F$4:$S$29,G$34,FALSE),0)</f>
        <v>0</v>
      </c>
      <c r="H110" s="28">
        <f>ROUND(VLOOKUP($E110,装备属性计算表!$D$4:$O$9,装备属性计算表!G$2,FALSE)/装备属性计算表!G$10*VLOOKUP($F110&amp;$D110,$F$4:$S$29,H$34,FALSE),0)</f>
        <v>0</v>
      </c>
      <c r="I110" s="28">
        <f>ROUND(VLOOKUP($E110,装备属性计算表!$D$4:$O$9,装备属性计算表!H$2,FALSE)/装备属性计算表!H$10*VLOOKUP($F110&amp;$D110,$F$4:$S$29,I$34,FALSE),0)</f>
        <v>12</v>
      </c>
      <c r="J110" s="28">
        <f>ROUND(VLOOKUP($E110,装备属性计算表!$D$4:$O$9,装备属性计算表!I$2,FALSE)/装备属性计算表!I$10*VLOOKUP($F110&amp;$D110,$F$4:$S$29,J$34,FALSE),0)</f>
        <v>18</v>
      </c>
      <c r="K110" s="28">
        <f>ROUND(VLOOKUP($E110,装备属性计算表!$D$4:$O$9,装备属性计算表!J$2,FALSE)/装备属性计算表!J$10*VLOOKUP($F110&amp;$D110,$F$4:$S$29,K$34,FALSE),0)</f>
        <v>0</v>
      </c>
      <c r="L110" s="28">
        <f>ROUND(VLOOKUP($E110,装备属性计算表!$D$4:$O$9,装备属性计算表!K$2,FALSE)/装备属性计算表!K$10*VLOOKUP($F110&amp;$D110,$F$4:$S$29,L$34,FALSE),0)</f>
        <v>0</v>
      </c>
      <c r="M110" s="28">
        <f>ROUND(VLOOKUP($E110,装备属性计算表!$D$4:$O$9,装备属性计算表!L$2,FALSE)/装备属性计算表!L$10*VLOOKUP($F110&amp;$D110,$F$4:$S$29,M$34,FALSE),0)</f>
        <v>0</v>
      </c>
      <c r="N110" s="28">
        <f>ROUND(VLOOKUP($E110,装备属性计算表!$D$4:$O$9,装备属性计算表!M$2,FALSE)/装备属性计算表!M$10*VLOOKUP($F110&amp;$D110,$F$4:$S$29,N$34,FALSE),0)</f>
        <v>0</v>
      </c>
      <c r="O110" s="28">
        <f>ROUND(VLOOKUP($E110,装备属性计算表!$D$4:$O$9,装备属性计算表!N$2,FALSE)/装备属性计算表!N$10*VLOOKUP($F110&amp;$D110,$F$4:$S$29,O$34,FALSE),0)</f>
        <v>0</v>
      </c>
      <c r="P110" s="28">
        <f>ROUND(VLOOKUP($E110,装备属性计算表!$D$4:$O$9,装备属性计算表!O$2,FALSE)/装备属性计算表!O$10*VLOOKUP($F110&amp;$D110,$F$4:$S$29,P$34,FALSE),0)</f>
        <v>0</v>
      </c>
      <c r="Q110" s="28">
        <f>SUMPRODUCT(G110:P110,定义数据!$G$14:$P$14)</f>
        <v>18.12</v>
      </c>
      <c r="R110" s="28">
        <f t="shared" si="14"/>
        <v>906</v>
      </c>
      <c r="S110" s="91">
        <f t="shared" si="15"/>
        <v>906</v>
      </c>
      <c r="T110" s="28">
        <f t="shared" si="16"/>
        <v>937710</v>
      </c>
      <c r="U110" s="89">
        <f>VLOOKUP(F110,D_装备金币参考表!$A$2:$C$81,3,FALSE)*Q110-VLOOKUP(F86,D_装备金币参考表!$A$2:$C$81,3,FALSE)*Q110+U86</f>
        <v>290512.58</v>
      </c>
      <c r="W110">
        <f t="shared" si="17"/>
        <v>1</v>
      </c>
      <c r="X110">
        <f t="shared" si="18"/>
        <v>5</v>
      </c>
      <c r="Y110">
        <f t="shared" si="19"/>
        <v>45</v>
      </c>
      <c r="Z110" s="25">
        <f t="shared" si="20"/>
        <v>5</v>
      </c>
      <c r="AA110" s="25">
        <f t="shared" si="21"/>
        <v>13</v>
      </c>
      <c r="AB110" s="25">
        <f t="shared" si="22"/>
        <v>185</v>
      </c>
      <c r="AC110" s="25">
        <f t="shared" si="23"/>
        <v>1290</v>
      </c>
      <c r="AD110">
        <v>64</v>
      </c>
      <c r="AE110" s="5">
        <f t="shared" si="12"/>
        <v>222.86094420380775</v>
      </c>
      <c r="AF110" s="5">
        <f t="shared" si="12"/>
        <v>696.97471128357927</v>
      </c>
      <c r="AG110" s="5">
        <f t="shared" si="24"/>
        <v>757.42671705089992</v>
      </c>
      <c r="AH110" s="5">
        <f t="shared" si="24"/>
        <v>1393.9494225671585</v>
      </c>
      <c r="AI110" s="5">
        <f t="shared" si="12"/>
        <v>1514.8534341017998</v>
      </c>
      <c r="AJ110" s="5">
        <f t="shared" si="25"/>
        <v>2272.2801511527</v>
      </c>
      <c r="AK110" s="5">
        <f t="shared" si="12"/>
        <v>2339.4034964031639</v>
      </c>
      <c r="AL110" s="5">
        <f t="shared" si="26"/>
        <v>3029.7068682035997</v>
      </c>
      <c r="AM110" s="5">
        <f t="shared" si="26"/>
        <v>3119.2046618708855</v>
      </c>
      <c r="AN110" s="5">
        <f t="shared" si="52"/>
        <v>3158.3656754874364</v>
      </c>
      <c r="AO110" s="5">
        <f t="shared" si="27"/>
        <v>3534.6580129041999</v>
      </c>
      <c r="AP110" s="5">
        <f t="shared" si="27"/>
        <v>3639.0721055160329</v>
      </c>
      <c r="AQ110" s="5">
        <f t="shared" si="27"/>
        <v>3684.7599547353425</v>
      </c>
      <c r="AR110" s="5">
        <f t="shared" si="27"/>
        <v>4158.9395491611804</v>
      </c>
      <c r="AS110" s="5">
        <f t="shared" si="28"/>
        <v>4211.1542339832486</v>
      </c>
    </row>
    <row r="111" spans="1:45" x14ac:dyDescent="0.15">
      <c r="A111" s="28" t="str">
        <f>F111&amp;D111&amp;VLOOKUP(E111,定义数据!$E$1:$F$7,2,FALSE)</f>
        <v>4535</v>
      </c>
      <c r="B111" s="28" t="str">
        <f t="shared" si="13"/>
        <v>4535</v>
      </c>
      <c r="C111" s="28">
        <f>装备属性计算表!AK107</f>
        <v>14</v>
      </c>
      <c r="D111" s="28">
        <f>装备属性计算表!B107</f>
        <v>3</v>
      </c>
      <c r="E111" s="28" t="str">
        <f>装备属性计算表!C107</f>
        <v>鞋子</v>
      </c>
      <c r="F111" s="28">
        <f>装备属性计算表!D107</f>
        <v>45</v>
      </c>
      <c r="G111" s="28">
        <f>ROUND(VLOOKUP($E111,装备属性计算表!$D$4:$O$9,装备属性计算表!F$2,FALSE)/装备属性计算表!F$10*VLOOKUP($F111&amp;$D111,$F$4:$S$29,G$34,FALSE),0)</f>
        <v>267</v>
      </c>
      <c r="H111" s="28">
        <f>ROUND(VLOOKUP($E111,装备属性计算表!$D$4:$O$9,装备属性计算表!G$2,FALSE)/装备属性计算表!G$10*VLOOKUP($F111&amp;$D111,$F$4:$S$29,H$34,FALSE),0)</f>
        <v>0</v>
      </c>
      <c r="I111" s="28">
        <f>ROUND(VLOOKUP($E111,装备属性计算表!$D$4:$O$9,装备属性计算表!H$2,FALSE)/装备属性计算表!H$10*VLOOKUP($F111&amp;$D111,$F$4:$S$29,I$34,FALSE),0)</f>
        <v>0</v>
      </c>
      <c r="J111" s="28">
        <f>ROUND(VLOOKUP($E111,装备属性计算表!$D$4:$O$9,装备属性计算表!I$2,FALSE)/装备属性计算表!I$10*VLOOKUP($F111&amp;$D111,$F$4:$S$29,J$34,FALSE),0)</f>
        <v>35</v>
      </c>
      <c r="K111" s="28">
        <f>ROUND(VLOOKUP($E111,装备属性计算表!$D$4:$O$9,装备属性计算表!J$2,FALSE)/装备属性计算表!J$10*VLOOKUP($F111&amp;$D111,$F$4:$S$29,K$34,FALSE),0)</f>
        <v>0</v>
      </c>
      <c r="L111" s="28">
        <f>ROUND(VLOOKUP($E111,装备属性计算表!$D$4:$O$9,装备属性计算表!K$2,FALSE)/装备属性计算表!K$10*VLOOKUP($F111&amp;$D111,$F$4:$S$29,L$34,FALSE),0)</f>
        <v>0</v>
      </c>
      <c r="M111" s="28">
        <f>ROUND(VLOOKUP($E111,装备属性计算表!$D$4:$O$9,装备属性计算表!L$2,FALSE)/装备属性计算表!L$10*VLOOKUP($F111&amp;$D111,$F$4:$S$29,M$34,FALSE),0)</f>
        <v>0</v>
      </c>
      <c r="N111" s="28">
        <f>ROUND(VLOOKUP($E111,装备属性计算表!$D$4:$O$9,装备属性计算表!M$2,FALSE)/装备属性计算表!M$10*VLOOKUP($F111&amp;$D111,$F$4:$S$29,N$34,FALSE),0)</f>
        <v>0</v>
      </c>
      <c r="O111" s="28">
        <f>ROUND(VLOOKUP($E111,装备属性计算表!$D$4:$O$9,装备属性计算表!N$2,FALSE)/装备属性计算表!N$10*VLOOKUP($F111&amp;$D111,$F$4:$S$29,O$34,FALSE),0)</f>
        <v>0</v>
      </c>
      <c r="P111" s="28">
        <f>ROUND(VLOOKUP($E111,装备属性计算表!$D$4:$O$9,装备属性计算表!O$2,FALSE)/装备属性计算表!O$10*VLOOKUP($F111&amp;$D111,$F$4:$S$29,P$34,FALSE),0)</f>
        <v>0</v>
      </c>
      <c r="Q111" s="28">
        <f>SUMPRODUCT(G111:P111,定义数据!$G$14:$P$14)</f>
        <v>22.58</v>
      </c>
      <c r="R111" s="28">
        <f t="shared" si="14"/>
        <v>1129</v>
      </c>
      <c r="S111" s="91">
        <f t="shared" si="15"/>
        <v>1129</v>
      </c>
      <c r="T111" s="28">
        <f t="shared" si="16"/>
        <v>1168515</v>
      </c>
      <c r="U111" s="89">
        <f>VLOOKUP(F111,D_装备金币参考表!$A$2:$C$81,3,FALSE)*Q111-VLOOKUP(F87,D_装备金币参考表!$A$2:$C$81,3,FALSE)*Q111+U87</f>
        <v>362890.72</v>
      </c>
      <c r="W111">
        <f t="shared" si="17"/>
        <v>0</v>
      </c>
      <c r="X111">
        <f t="shared" si="18"/>
        <v>4</v>
      </c>
      <c r="Y111">
        <f t="shared" si="19"/>
        <v>45</v>
      </c>
      <c r="Z111" s="25">
        <f t="shared" si="20"/>
        <v>0</v>
      </c>
      <c r="AA111" s="25">
        <f t="shared" si="21"/>
        <v>12</v>
      </c>
      <c r="AB111" s="25">
        <f t="shared" si="22"/>
        <v>232</v>
      </c>
      <c r="AC111" s="25">
        <f t="shared" si="23"/>
        <v>3485</v>
      </c>
      <c r="AD111">
        <v>65</v>
      </c>
      <c r="AE111" s="5">
        <f t="shared" si="12"/>
        <v>227.39837854097158</v>
      </c>
      <c r="AF111" s="5">
        <f t="shared" si="12"/>
        <v>711.27534000638309</v>
      </c>
      <c r="AG111" s="5">
        <f t="shared" si="24"/>
        <v>773.20743071590095</v>
      </c>
      <c r="AH111" s="5">
        <f t="shared" si="24"/>
        <v>1422.5506800127662</v>
      </c>
      <c r="AI111" s="5">
        <f t="shared" si="12"/>
        <v>1546.4148614318019</v>
      </c>
      <c r="AJ111" s="5">
        <f t="shared" si="25"/>
        <v>2319.6222921477029</v>
      </c>
      <c r="AK111" s="5">
        <f t="shared" si="12"/>
        <v>2388.4033258823902</v>
      </c>
      <c r="AL111" s="5">
        <f t="shared" si="26"/>
        <v>3092.8297228636038</v>
      </c>
      <c r="AM111" s="5">
        <f t="shared" si="26"/>
        <v>3184.5377678431869</v>
      </c>
      <c r="AN111" s="5">
        <f t="shared" si="52"/>
        <v>3224.669010140281</v>
      </c>
      <c r="AO111" s="5">
        <f t="shared" si="27"/>
        <v>3608.301343340871</v>
      </c>
      <c r="AP111" s="5">
        <f t="shared" si="27"/>
        <v>3715.2940624837179</v>
      </c>
      <c r="AQ111" s="5">
        <f t="shared" si="27"/>
        <v>3762.1138451636612</v>
      </c>
      <c r="AR111" s="5">
        <f t="shared" si="27"/>
        <v>4246.0503571242489</v>
      </c>
      <c r="AS111" s="5">
        <f t="shared" si="28"/>
        <v>4299.5586801870413</v>
      </c>
    </row>
    <row r="112" spans="1:45" x14ac:dyDescent="0.15">
      <c r="A112" s="28" t="str">
        <f>F112&amp;D112&amp;VLOOKUP(E112,定义数据!$E$1:$F$7,2,FALSE)</f>
        <v>4534</v>
      </c>
      <c r="B112" s="28" t="str">
        <f t="shared" si="13"/>
        <v>4534</v>
      </c>
      <c r="C112" s="28">
        <f>装备属性计算表!AK108</f>
        <v>14</v>
      </c>
      <c r="D112" s="28">
        <f>装备属性计算表!B108</f>
        <v>3</v>
      </c>
      <c r="E112" s="28" t="str">
        <f>装备属性计算表!C108</f>
        <v>腰带</v>
      </c>
      <c r="F112" s="28">
        <f>装备属性计算表!D108</f>
        <v>45</v>
      </c>
      <c r="G112" s="28">
        <f>ROUND(VLOOKUP($E112,装备属性计算表!$D$4:$O$9,装备属性计算表!F$2,FALSE)/装备属性计算表!F$10*VLOOKUP($F112&amp;$D112,$F$4:$S$29,G$34,FALSE),0)</f>
        <v>267</v>
      </c>
      <c r="H112" s="28">
        <f>ROUND(VLOOKUP($E112,装备属性计算表!$D$4:$O$9,装备属性计算表!G$2,FALSE)/装备属性计算表!G$10*VLOOKUP($F112&amp;$D112,$F$4:$S$29,H$34,FALSE),0)</f>
        <v>0</v>
      </c>
      <c r="I112" s="28">
        <f>ROUND(VLOOKUP($E112,装备属性计算表!$D$4:$O$9,装备属性计算表!H$2,FALSE)/装备属性计算表!H$10*VLOOKUP($F112&amp;$D112,$F$4:$S$29,I$34,FALSE),0)</f>
        <v>0</v>
      </c>
      <c r="J112" s="28">
        <f>ROUND(VLOOKUP($E112,装备属性计算表!$D$4:$O$9,装备属性计算表!I$2,FALSE)/装备属性计算表!I$10*VLOOKUP($F112&amp;$D112,$F$4:$S$29,J$34,FALSE),0)</f>
        <v>0</v>
      </c>
      <c r="K112" s="28">
        <f>ROUND(VLOOKUP($E112,装备属性计算表!$D$4:$O$9,装备属性计算表!J$2,FALSE)/装备属性计算表!J$10*VLOOKUP($F112&amp;$D112,$F$4:$S$29,K$34,FALSE),0)</f>
        <v>0</v>
      </c>
      <c r="L112" s="28">
        <f>ROUND(VLOOKUP($E112,装备属性计算表!$D$4:$O$9,装备属性计算表!K$2,FALSE)/装备属性计算表!K$10*VLOOKUP($F112&amp;$D112,$F$4:$S$29,L$34,FALSE),0)</f>
        <v>0</v>
      </c>
      <c r="M112" s="28">
        <f>ROUND(VLOOKUP($E112,装备属性计算表!$D$4:$O$9,装备属性计算表!L$2,FALSE)/装备属性计算表!L$10*VLOOKUP($F112&amp;$D112,$F$4:$S$29,M$34,FALSE),0)</f>
        <v>0</v>
      </c>
      <c r="N112" s="28">
        <f>ROUND(VLOOKUP($E112,装备属性计算表!$D$4:$O$9,装备属性计算表!M$2,FALSE)/装备属性计算表!M$10*VLOOKUP($F112&amp;$D112,$F$4:$S$29,N$34,FALSE),0)</f>
        <v>31</v>
      </c>
      <c r="O112" s="28">
        <f>ROUND(VLOOKUP($E112,装备属性计算表!$D$4:$O$9,装备属性计算表!N$2,FALSE)/装备属性计算表!N$10*VLOOKUP($F112&amp;$D112,$F$4:$S$29,O$34,FALSE),0)</f>
        <v>0</v>
      </c>
      <c r="P112" s="28">
        <f>ROUND(VLOOKUP($E112,装备属性计算表!$D$4:$O$9,装备属性计算表!O$2,FALSE)/装备属性计算表!O$10*VLOOKUP($F112&amp;$D112,$F$4:$S$29,P$34,FALSE),0)</f>
        <v>0</v>
      </c>
      <c r="Q112" s="28">
        <f>SUMPRODUCT(G112:P112,定义数据!$G$14:$P$14)</f>
        <v>16.259999999999998</v>
      </c>
      <c r="R112" s="28">
        <f t="shared" si="14"/>
        <v>813</v>
      </c>
      <c r="S112" s="91">
        <f t="shared" si="15"/>
        <v>813</v>
      </c>
      <c r="T112" s="28">
        <f t="shared" si="16"/>
        <v>841455</v>
      </c>
      <c r="U112" s="89">
        <f>VLOOKUP(F112,D_装备金币参考表!$A$2:$C$81,3,FALSE)*Q112-VLOOKUP(F88,D_装备金币参考表!$A$2:$C$81,3,FALSE)*Q112+U88</f>
        <v>261142.08</v>
      </c>
      <c r="W112">
        <f t="shared" si="17"/>
        <v>1</v>
      </c>
      <c r="X112">
        <f t="shared" si="18"/>
        <v>6</v>
      </c>
      <c r="Y112">
        <f t="shared" si="19"/>
        <v>45</v>
      </c>
      <c r="Z112" s="25">
        <f t="shared" si="20"/>
        <v>5</v>
      </c>
      <c r="AA112" s="25">
        <f t="shared" si="21"/>
        <v>17</v>
      </c>
      <c r="AB112" s="25">
        <f t="shared" si="22"/>
        <v>165</v>
      </c>
      <c r="AC112" s="25">
        <f t="shared" si="23"/>
        <v>1545</v>
      </c>
      <c r="AD112">
        <v>66</v>
      </c>
      <c r="AE112" s="5">
        <f t="shared" ref="AE112:AM146" si="53">AE$32*$AD112^AE$33</f>
        <v>231.95680399041112</v>
      </c>
      <c r="AF112" s="5">
        <f t="shared" si="53"/>
        <v>725.64433690897931</v>
      </c>
      <c r="AG112" s="5">
        <f t="shared" si="24"/>
        <v>789.06846822262651</v>
      </c>
      <c r="AH112" s="5">
        <f t="shared" si="24"/>
        <v>1451.2886738179586</v>
      </c>
      <c r="AI112" s="5">
        <f t="shared" si="53"/>
        <v>1578.136936445253</v>
      </c>
      <c r="AJ112" s="5">
        <f t="shared" si="25"/>
        <v>2367.2054046678795</v>
      </c>
      <c r="AK112" s="5">
        <f t="shared" si="53"/>
        <v>2437.6578687113642</v>
      </c>
      <c r="AL112" s="5">
        <f t="shared" si="26"/>
        <v>3156.273872890506</v>
      </c>
      <c r="AM112" s="5">
        <f t="shared" si="26"/>
        <v>3250.2104916151525</v>
      </c>
      <c r="AN112" s="5">
        <f t="shared" si="52"/>
        <v>3291.3200822963672</v>
      </c>
      <c r="AO112" s="5">
        <f t="shared" si="27"/>
        <v>3682.3195183722569</v>
      </c>
      <c r="AP112" s="5">
        <f t="shared" si="27"/>
        <v>3791.9122402176781</v>
      </c>
      <c r="AQ112" s="5">
        <f t="shared" si="27"/>
        <v>3839.8734293457619</v>
      </c>
      <c r="AR112" s="5">
        <f t="shared" si="27"/>
        <v>4333.6139888202033</v>
      </c>
      <c r="AS112" s="5">
        <f t="shared" si="28"/>
        <v>4388.4267763951566</v>
      </c>
    </row>
    <row r="113" spans="1:45" x14ac:dyDescent="0.15">
      <c r="A113" s="28" t="str">
        <f>F113&amp;D113&amp;VLOOKUP(E113,定义数据!$E$1:$F$7,2,FALSE)</f>
        <v>4533</v>
      </c>
      <c r="B113" s="28" t="str">
        <f t="shared" ref="B113:B137" si="54">A113</f>
        <v>4533</v>
      </c>
      <c r="C113" s="28">
        <f>装备属性计算表!AK109</f>
        <v>14</v>
      </c>
      <c r="D113" s="28">
        <f>装备属性计算表!B109</f>
        <v>3</v>
      </c>
      <c r="E113" s="28" t="str">
        <f>装备属性计算表!C109</f>
        <v>项链</v>
      </c>
      <c r="F113" s="28">
        <f>装备属性计算表!D109</f>
        <v>45</v>
      </c>
      <c r="G113" s="28">
        <f>ROUND(VLOOKUP($E113,装备属性计算表!$D$4:$O$9,装备属性计算表!F$2,FALSE)/装备属性计算表!F$10*VLOOKUP($F113&amp;$D113,$F$4:$S$29,G$34,FALSE),0)</f>
        <v>0</v>
      </c>
      <c r="H113" s="28">
        <f>ROUND(VLOOKUP($E113,装备属性计算表!$D$4:$O$9,装备属性计算表!G$2,FALSE)/装备属性计算表!G$10*VLOOKUP($F113&amp;$D113,$F$4:$S$29,H$34,FALSE),0)</f>
        <v>17</v>
      </c>
      <c r="I113" s="28">
        <f>ROUND(VLOOKUP($E113,装备属性计算表!$D$4:$O$9,装备属性计算表!H$2,FALSE)/装备属性计算表!H$10*VLOOKUP($F113&amp;$D113,$F$4:$S$29,I$34,FALSE),0)</f>
        <v>0</v>
      </c>
      <c r="J113" s="28">
        <f>ROUND(VLOOKUP($E113,装备属性计算表!$D$4:$O$9,装备属性计算表!I$2,FALSE)/装备属性计算表!I$10*VLOOKUP($F113&amp;$D113,$F$4:$S$29,J$34,FALSE),0)</f>
        <v>0</v>
      </c>
      <c r="K113" s="28">
        <f>ROUND(VLOOKUP($E113,装备属性计算表!$D$4:$O$9,装备属性计算表!J$2,FALSE)/装备属性计算表!J$10*VLOOKUP($F113&amp;$D113,$F$4:$S$29,K$34,FALSE),0)</f>
        <v>53</v>
      </c>
      <c r="L113" s="28">
        <f>ROUND(VLOOKUP($E113,装备属性计算表!$D$4:$O$9,装备属性计算表!K$2,FALSE)/装备属性计算表!K$10*VLOOKUP($F113&amp;$D113,$F$4:$S$29,L$34,FALSE),0)</f>
        <v>0</v>
      </c>
      <c r="M113" s="28">
        <f>ROUND(VLOOKUP($E113,装备属性计算表!$D$4:$O$9,装备属性计算表!L$2,FALSE)/装备属性计算表!L$10*VLOOKUP($F113&amp;$D113,$F$4:$S$29,M$34,FALSE),0)</f>
        <v>0</v>
      </c>
      <c r="N113" s="28">
        <f>ROUND(VLOOKUP($E113,装备属性计算表!$D$4:$O$9,装备属性计算表!M$2,FALSE)/装备属性计算表!M$10*VLOOKUP($F113&amp;$D113,$F$4:$S$29,N$34,FALSE),0)</f>
        <v>0</v>
      </c>
      <c r="O113" s="28">
        <f>ROUND(VLOOKUP($E113,装备属性计算表!$D$4:$O$9,装备属性计算表!N$2,FALSE)/装备属性计算表!N$10*VLOOKUP($F113&amp;$D113,$F$4:$S$29,O$34,FALSE),0)</f>
        <v>0</v>
      </c>
      <c r="P113" s="28">
        <f>ROUND(VLOOKUP($E113,装备属性计算表!$D$4:$O$9,装备属性计算表!O$2,FALSE)/装备属性计算表!O$10*VLOOKUP($F113&amp;$D113,$F$4:$S$29,P$34,FALSE),0)</f>
        <v>0</v>
      </c>
      <c r="Q113" s="28">
        <f>SUMPRODUCT(G113:P113,定义数据!$G$14:$P$14)</f>
        <v>35.019999999999996</v>
      </c>
      <c r="R113" s="28">
        <f t="shared" ref="R113:R176" si="55">ROUND(Q113*$R$32,0)</f>
        <v>1751</v>
      </c>
      <c r="S113" s="91">
        <f t="shared" ref="S113:S176" si="56">ROUND(Q113*$R$31,0)</f>
        <v>1751</v>
      </c>
      <c r="T113" s="28">
        <f t="shared" ref="T113:T143" si="57">(1+F113)*F113/2*R113</f>
        <v>1812285</v>
      </c>
      <c r="U113" s="89">
        <f>VLOOKUP(F113,D_装备金币参考表!$A$2:$C$81,3,FALSE)*Q113-VLOOKUP(F89,D_装备金币参考表!$A$2:$C$81,3,FALSE)*Q113+U89</f>
        <v>560055.62</v>
      </c>
      <c r="V113" s="25">
        <f>SUM(U108:U113)</f>
        <v>3182052</v>
      </c>
      <c r="W113">
        <f t="shared" ref="W113:W136" si="58">IF(ROUNDDOWN(X$31/$R113,0)&gt;$F113,$F113,ROUNDDOWN(X$31/$R113,0))</f>
        <v>0</v>
      </c>
      <c r="X113">
        <f t="shared" ref="X113:X136" si="59">IF(ROUNDDOWN(Y$31/$R113,0)&gt;$F113,$F113,ROUNDDOWN(Y$31/$R113,0))</f>
        <v>2</v>
      </c>
      <c r="Y113">
        <f t="shared" ref="Y113:Y136" si="60">IF(X113&gt;$F113,0,F113)</f>
        <v>45</v>
      </c>
      <c r="Z113" s="25">
        <f t="shared" ref="Z113:Z137" si="61">ROUNDUP(IF(W113=0,0,W113*(W113+1)/2*R113/W$31),0)</f>
        <v>0</v>
      </c>
      <c r="AA113" s="25">
        <f t="shared" ref="AA113:AA136" si="62">ROUNDUP(IF(X113&gt;$F113,(($F113*($F113+1)/2)-(W113+1)*W113/2)*$R113/X$31,((X113*(X113+1)/2)-(W113+1)*W113/2)*$R113/X$31),0)</f>
        <v>6</v>
      </c>
      <c r="AB113" s="25">
        <f t="shared" ref="AB113:AB136" si="63">ROUNDUP(IF(Y113&gt;$F113,(($F113*($F113+1)/2)-(X113+1)*X113/2)*$R113/Y$31,((Y113*(Y113+1)/2)-(X113+1)*X113/2)*$R113/Y$31),0)</f>
        <v>362</v>
      </c>
      <c r="AC113" s="25">
        <f t="shared" ref="AC113:AC176" si="64">SUMPRODUCT(Z113:AB113,$W$31:$Y$31)-T113</f>
        <v>3715</v>
      </c>
      <c r="AD113">
        <v>67</v>
      </c>
      <c r="AE113" s="5">
        <f t="shared" si="53"/>
        <v>236.53599739512057</v>
      </c>
      <c r="AF113" s="5">
        <f t="shared" si="53"/>
        <v>740.08098549652163</v>
      </c>
      <c r="AG113" s="5">
        <f t="shared" si="24"/>
        <v>805.00901205726746</v>
      </c>
      <c r="AH113" s="5">
        <f t="shared" si="24"/>
        <v>1480.1619709930433</v>
      </c>
      <c r="AI113" s="5">
        <f t="shared" si="53"/>
        <v>1610.0180241145349</v>
      </c>
      <c r="AJ113" s="5">
        <f t="shared" si="25"/>
        <v>2415.0270361718026</v>
      </c>
      <c r="AK113" s="5">
        <f t="shared" si="53"/>
        <v>2487.164559436811</v>
      </c>
      <c r="AL113" s="5">
        <f t="shared" si="26"/>
        <v>3220.0360482290698</v>
      </c>
      <c r="AM113" s="5">
        <f t="shared" si="26"/>
        <v>3316.2194125824144</v>
      </c>
      <c r="AN113" s="5">
        <f t="shared" si="52"/>
        <v>3358.3154053388844</v>
      </c>
      <c r="AO113" s="5">
        <f t="shared" si="27"/>
        <v>3756.7087229339149</v>
      </c>
      <c r="AP113" s="5">
        <f t="shared" si="27"/>
        <v>3868.9226480128168</v>
      </c>
      <c r="AQ113" s="5">
        <f t="shared" si="27"/>
        <v>3918.0346395620318</v>
      </c>
      <c r="AR113" s="5">
        <f t="shared" si="27"/>
        <v>4421.6258834432192</v>
      </c>
      <c r="AS113" s="5">
        <f t="shared" si="28"/>
        <v>4477.7538737851792</v>
      </c>
    </row>
    <row r="114" spans="1:45" x14ac:dyDescent="0.15">
      <c r="A114" s="28" t="str">
        <f>F114&amp;D114&amp;VLOOKUP(E114,定义数据!$E$1:$F$7,2,FALSE)</f>
        <v>4540</v>
      </c>
      <c r="B114" s="28" t="str">
        <f t="shared" si="54"/>
        <v>4540</v>
      </c>
      <c r="C114" s="28">
        <f>装备属性计算表!AK110</f>
        <v>15</v>
      </c>
      <c r="D114" s="28">
        <f>装备属性计算表!B110</f>
        <v>4</v>
      </c>
      <c r="E114" s="28" t="str">
        <f>装备属性计算表!C110</f>
        <v>武器</v>
      </c>
      <c r="F114" s="28">
        <f>装备属性计算表!D110</f>
        <v>45</v>
      </c>
      <c r="G114" s="28">
        <f>ROUND(VLOOKUP($E114,装备属性计算表!$D$4:$O$9,装备属性计算表!F$2,FALSE)/装备属性计算表!F$10*VLOOKUP($F114&amp;$D114,$F$4:$S$29,G$34,FALSE),0)</f>
        <v>0</v>
      </c>
      <c r="H114" s="28">
        <f>ROUND(VLOOKUP($E114,装备属性计算表!$D$4:$O$9,装备属性计算表!G$2,FALSE)/装备属性计算表!G$10*VLOOKUP($F114&amp;$D114,$F$4:$S$29,H$34,FALSE),0)</f>
        <v>60</v>
      </c>
      <c r="I114" s="28">
        <f>ROUND(VLOOKUP($E114,装备属性计算表!$D$4:$O$9,装备属性计算表!H$2,FALSE)/装备属性计算表!H$10*VLOOKUP($F114&amp;$D114,$F$4:$S$29,I$34,FALSE),0)</f>
        <v>0</v>
      </c>
      <c r="J114" s="28">
        <f>ROUND(VLOOKUP($E114,装备属性计算表!$D$4:$O$9,装备属性计算表!I$2,FALSE)/装备属性计算表!I$10*VLOOKUP($F114&amp;$D114,$F$4:$S$29,J$34,FALSE),0)</f>
        <v>0</v>
      </c>
      <c r="K114" s="28">
        <f>ROUND(VLOOKUP($E114,装备属性计算表!$D$4:$O$9,装备属性计算表!J$2,FALSE)/装备属性计算表!J$10*VLOOKUP($F114&amp;$D114,$F$4:$S$29,K$34,FALSE),0)</f>
        <v>0</v>
      </c>
      <c r="L114" s="28">
        <f>ROUND(VLOOKUP($E114,装备属性计算表!$D$4:$O$9,装备属性计算表!K$2,FALSE)/装备属性计算表!K$10*VLOOKUP($F114&amp;$D114,$F$4:$S$29,L$34,FALSE),0)</f>
        <v>37</v>
      </c>
      <c r="M114" s="28">
        <f>ROUND(VLOOKUP($E114,装备属性计算表!$D$4:$O$9,装备属性计算表!L$2,FALSE)/装备属性计算表!L$10*VLOOKUP($F114&amp;$D114,$F$4:$S$29,M$34,FALSE),0)</f>
        <v>0</v>
      </c>
      <c r="N114" s="28">
        <f>ROUND(VLOOKUP($E114,装备属性计算表!$D$4:$O$9,装备属性计算表!M$2,FALSE)/装备属性计算表!M$10*VLOOKUP($F114&amp;$D114,$F$4:$S$29,N$34,FALSE),0)</f>
        <v>0</v>
      </c>
      <c r="O114" s="28">
        <f>ROUND(VLOOKUP($E114,装备属性计算表!$D$4:$O$9,装备属性计算表!N$2,FALSE)/装备属性计算表!N$10*VLOOKUP($F114&amp;$D114,$F$4:$S$29,O$34,FALSE),0)</f>
        <v>0</v>
      </c>
      <c r="P114" s="28">
        <f>ROUND(VLOOKUP($E114,装备属性计算表!$D$4:$O$9,装备属性计算表!O$2,FALSE)/装备属性计算表!O$10*VLOOKUP($F114&amp;$D114,$F$4:$S$29,P$34,FALSE),0)</f>
        <v>0</v>
      </c>
      <c r="Q114" s="28">
        <f>SUMPRODUCT(G114:P114,定义数据!$G$14:$P$14)</f>
        <v>66.66</v>
      </c>
      <c r="R114" s="28">
        <f t="shared" si="55"/>
        <v>3333</v>
      </c>
      <c r="S114" s="91">
        <f t="shared" si="56"/>
        <v>3333</v>
      </c>
      <c r="T114" s="28">
        <f t="shared" si="57"/>
        <v>3449655</v>
      </c>
      <c r="U114" s="89">
        <f>VLOOKUP(F114,D_装备金币参考表!$A$2:$C$81,3,FALSE)*Q114-VLOOKUP(F90,D_装备金币参考表!$A$2:$C$81,3,FALSE)*Q114+U90</f>
        <v>1069244.6200000001</v>
      </c>
      <c r="W114">
        <f t="shared" si="58"/>
        <v>0</v>
      </c>
      <c r="X114">
        <f t="shared" si="59"/>
        <v>1</v>
      </c>
      <c r="Y114">
        <f t="shared" si="60"/>
        <v>45</v>
      </c>
      <c r="Z114" s="25">
        <f t="shared" si="61"/>
        <v>0</v>
      </c>
      <c r="AA114" s="25">
        <f t="shared" si="62"/>
        <v>4</v>
      </c>
      <c r="AB114" s="25">
        <f t="shared" si="63"/>
        <v>690</v>
      </c>
      <c r="AC114" s="25">
        <f t="shared" si="64"/>
        <v>4345</v>
      </c>
      <c r="AD114">
        <v>68</v>
      </c>
      <c r="AE114" s="5">
        <f t="shared" si="53"/>
        <v>241.13574127365791</v>
      </c>
      <c r="AF114" s="5">
        <f t="shared" si="53"/>
        <v>754.58458739097773</v>
      </c>
      <c r="AG114" s="5">
        <f t="shared" si="24"/>
        <v>821.02826513556192</v>
      </c>
      <c r="AH114" s="5">
        <f t="shared" si="24"/>
        <v>1509.1691747819555</v>
      </c>
      <c r="AI114" s="5">
        <f t="shared" si="53"/>
        <v>1642.0565302711238</v>
      </c>
      <c r="AJ114" s="5">
        <f t="shared" si="25"/>
        <v>2463.0847954066858</v>
      </c>
      <c r="AK114" s="5">
        <f t="shared" si="53"/>
        <v>2536.9208964503532</v>
      </c>
      <c r="AL114" s="5">
        <f t="shared" si="26"/>
        <v>3284.1130605422477</v>
      </c>
      <c r="AM114" s="5">
        <f t="shared" si="26"/>
        <v>3382.5611952671379</v>
      </c>
      <c r="AN114" s="5">
        <f t="shared" si="52"/>
        <v>3425.6515792657819</v>
      </c>
      <c r="AO114" s="5">
        <f t="shared" si="27"/>
        <v>3831.4652372992891</v>
      </c>
      <c r="AP114" s="5">
        <f t="shared" si="27"/>
        <v>3946.3213944783274</v>
      </c>
      <c r="AQ114" s="5">
        <f t="shared" si="27"/>
        <v>3996.5935091434121</v>
      </c>
      <c r="AR114" s="5">
        <f t="shared" si="27"/>
        <v>4510.0815936895169</v>
      </c>
      <c r="AS114" s="5">
        <f t="shared" si="28"/>
        <v>4567.5354390210423</v>
      </c>
    </row>
    <row r="115" spans="1:45" x14ac:dyDescent="0.15">
      <c r="A115" s="28" t="str">
        <f>F115&amp;D115&amp;VLOOKUP(E115,定义数据!$E$1:$F$7,2,FALSE)</f>
        <v>4541</v>
      </c>
      <c r="B115" s="28" t="str">
        <f t="shared" si="54"/>
        <v>4541</v>
      </c>
      <c r="C115" s="28">
        <f>装备属性计算表!AK111</f>
        <v>15</v>
      </c>
      <c r="D115" s="28">
        <f>装备属性计算表!B111</f>
        <v>4</v>
      </c>
      <c r="E115" s="28" t="str">
        <f>装备属性计算表!C111</f>
        <v>衣服</v>
      </c>
      <c r="F115" s="28">
        <f>装备属性计算表!D111</f>
        <v>45</v>
      </c>
      <c r="G115" s="28">
        <f>ROUND(VLOOKUP($E115,装备属性计算表!$D$4:$O$9,装备属性计算表!F$2,FALSE)/装备属性计算表!F$10*VLOOKUP($F115&amp;$D115,$F$4:$S$29,G$34,FALSE),0)</f>
        <v>941</v>
      </c>
      <c r="H115" s="28">
        <f>ROUND(VLOOKUP($E115,装备属性计算表!$D$4:$O$9,装备属性计算表!G$2,FALSE)/装备属性计算表!G$10*VLOOKUP($F115&amp;$D115,$F$4:$S$29,H$34,FALSE),0)</f>
        <v>0</v>
      </c>
      <c r="I115" s="28">
        <f>ROUND(VLOOKUP($E115,装备属性计算表!$D$4:$O$9,装备属性计算表!H$2,FALSE)/装备属性计算表!H$10*VLOOKUP($F115&amp;$D115,$F$4:$S$29,I$34,FALSE),0)</f>
        <v>21</v>
      </c>
      <c r="J115" s="28">
        <f>ROUND(VLOOKUP($E115,装备属性计算表!$D$4:$O$9,装备属性计算表!I$2,FALSE)/装备属性计算表!I$10*VLOOKUP($F115&amp;$D115,$F$4:$S$29,J$34,FALSE),0)</f>
        <v>0</v>
      </c>
      <c r="K115" s="28">
        <f>ROUND(VLOOKUP($E115,装备属性计算表!$D$4:$O$9,装备属性计算表!J$2,FALSE)/装备属性计算表!J$10*VLOOKUP($F115&amp;$D115,$F$4:$S$29,K$34,FALSE),0)</f>
        <v>0</v>
      </c>
      <c r="L115" s="28">
        <f>ROUND(VLOOKUP($E115,装备属性计算表!$D$4:$O$9,装备属性计算表!K$2,FALSE)/装备属性计算表!K$10*VLOOKUP($F115&amp;$D115,$F$4:$S$29,L$34,FALSE),0)</f>
        <v>0</v>
      </c>
      <c r="M115" s="28">
        <f>ROUND(VLOOKUP($E115,装备属性计算表!$D$4:$O$9,装备属性计算表!L$2,FALSE)/装备属性计算表!L$10*VLOOKUP($F115&amp;$D115,$F$4:$S$29,M$34,FALSE),0)</f>
        <v>0</v>
      </c>
      <c r="N115" s="28">
        <f>ROUND(VLOOKUP($E115,装备属性计算表!$D$4:$O$9,装备属性计算表!M$2,FALSE)/装备属性计算表!M$10*VLOOKUP($F115&amp;$D115,$F$4:$S$29,N$34,FALSE),0)</f>
        <v>0</v>
      </c>
      <c r="O115" s="28">
        <f>ROUND(VLOOKUP($E115,装备属性计算表!$D$4:$O$9,装备属性计算表!N$2,FALSE)/装备属性计算表!N$10*VLOOKUP($F115&amp;$D115,$F$4:$S$29,O$34,FALSE),0)</f>
        <v>0</v>
      </c>
      <c r="P115" s="28">
        <f>ROUND(VLOOKUP($E115,装备属性计算表!$D$4:$O$9,装备属性计算表!O$2,FALSE)/装备属性计算表!O$10*VLOOKUP($F115&amp;$D115,$F$4:$S$29,P$34,FALSE),0)</f>
        <v>0</v>
      </c>
      <c r="Q115" s="28">
        <f>SUMPRODUCT(G115:P115,定义数据!$G$14:$P$14)</f>
        <v>58.64</v>
      </c>
      <c r="R115" s="28">
        <f t="shared" si="55"/>
        <v>2932</v>
      </c>
      <c r="S115" s="91">
        <f t="shared" si="56"/>
        <v>2932</v>
      </c>
      <c r="T115" s="28">
        <f t="shared" si="57"/>
        <v>3034620</v>
      </c>
      <c r="U115" s="89">
        <f>VLOOKUP(F115,D_装备金币参考表!$A$2:$C$81,3,FALSE)*Q115-VLOOKUP(F91,D_装备金币参考表!$A$2:$C$81,3,FALSE)*Q115+U91</f>
        <v>937794.32000000007</v>
      </c>
      <c r="W115">
        <f t="shared" si="58"/>
        <v>0</v>
      </c>
      <c r="X115">
        <f t="shared" si="59"/>
        <v>1</v>
      </c>
      <c r="Y115">
        <f t="shared" si="60"/>
        <v>45</v>
      </c>
      <c r="Z115" s="25">
        <f t="shared" si="61"/>
        <v>0</v>
      </c>
      <c r="AA115" s="25">
        <f t="shared" si="62"/>
        <v>3</v>
      </c>
      <c r="AB115" s="25">
        <f t="shared" si="63"/>
        <v>607</v>
      </c>
      <c r="AC115" s="25">
        <f t="shared" si="64"/>
        <v>3380</v>
      </c>
      <c r="AD115">
        <v>69</v>
      </c>
      <c r="AE115" s="5">
        <f t="shared" si="53"/>
        <v>245.75582359425692</v>
      </c>
      <c r="AF115" s="5">
        <f t="shared" si="53"/>
        <v>769.15446161269983</v>
      </c>
      <c r="AG115" s="5">
        <f t="shared" si="24"/>
        <v>837.1254499985489</v>
      </c>
      <c r="AH115" s="5">
        <f t="shared" si="24"/>
        <v>1538.3089232253997</v>
      </c>
      <c r="AI115" s="5">
        <f t="shared" si="53"/>
        <v>1674.2508999970978</v>
      </c>
      <c r="AJ115" s="5">
        <f t="shared" si="25"/>
        <v>2511.3763499956467</v>
      </c>
      <c r="AK115" s="5">
        <f t="shared" si="53"/>
        <v>2586.9244394816292</v>
      </c>
      <c r="AL115" s="5">
        <f t="shared" si="26"/>
        <v>3348.5017999941956</v>
      </c>
      <c r="AM115" s="5">
        <f t="shared" si="26"/>
        <v>3449.2325859755056</v>
      </c>
      <c r="AN115" s="5">
        <f t="shared" si="52"/>
        <v>3493.3252872925732</v>
      </c>
      <c r="AO115" s="5">
        <f t="shared" si="27"/>
        <v>3906.5854333265615</v>
      </c>
      <c r="AP115" s="5">
        <f t="shared" si="27"/>
        <v>4024.1046836380897</v>
      </c>
      <c r="AQ115" s="5">
        <f t="shared" si="27"/>
        <v>4075.5461685080022</v>
      </c>
      <c r="AR115" s="5">
        <f t="shared" si="27"/>
        <v>4598.9767813006738</v>
      </c>
      <c r="AS115" s="5">
        <f t="shared" si="28"/>
        <v>4657.7670497234312</v>
      </c>
    </row>
    <row r="116" spans="1:45" x14ac:dyDescent="0.15">
      <c r="A116" s="28" t="str">
        <f>F116&amp;D116&amp;VLOOKUP(E116,定义数据!$E$1:$F$7,2,FALSE)</f>
        <v>4542</v>
      </c>
      <c r="B116" s="28" t="str">
        <f t="shared" si="54"/>
        <v>4542</v>
      </c>
      <c r="C116" s="28">
        <f>装备属性计算表!AK112</f>
        <v>15</v>
      </c>
      <c r="D116" s="28">
        <f>装备属性计算表!B112</f>
        <v>4</v>
      </c>
      <c r="E116" s="28" t="str">
        <f>装备属性计算表!C112</f>
        <v>裤子</v>
      </c>
      <c r="F116" s="28">
        <f>装备属性计算表!D112</f>
        <v>45</v>
      </c>
      <c r="G116" s="28">
        <f>ROUND(VLOOKUP($E116,装备属性计算表!$D$4:$O$9,装备属性计算表!F$2,FALSE)/装备属性计算表!F$10*VLOOKUP($F116&amp;$D116,$F$4:$S$29,G$34,FALSE),0)</f>
        <v>0</v>
      </c>
      <c r="H116" s="28">
        <f>ROUND(VLOOKUP($E116,装备属性计算表!$D$4:$O$9,装备属性计算表!G$2,FALSE)/装备属性计算表!G$10*VLOOKUP($F116&amp;$D116,$F$4:$S$29,H$34,FALSE),0)</f>
        <v>0</v>
      </c>
      <c r="I116" s="28">
        <f>ROUND(VLOOKUP($E116,装备属性计算表!$D$4:$O$9,装备属性计算表!H$2,FALSE)/装备属性计算表!H$10*VLOOKUP($F116&amp;$D116,$F$4:$S$29,I$34,FALSE),0)</f>
        <v>14</v>
      </c>
      <c r="J116" s="28">
        <f>ROUND(VLOOKUP($E116,装备属性计算表!$D$4:$O$9,装备属性计算表!I$2,FALSE)/装备属性计算表!I$10*VLOOKUP($F116&amp;$D116,$F$4:$S$29,J$34,FALSE),0)</f>
        <v>21</v>
      </c>
      <c r="K116" s="28">
        <f>ROUND(VLOOKUP($E116,装备属性计算表!$D$4:$O$9,装备属性计算表!J$2,FALSE)/装备属性计算表!J$10*VLOOKUP($F116&amp;$D116,$F$4:$S$29,K$34,FALSE),0)</f>
        <v>0</v>
      </c>
      <c r="L116" s="28">
        <f>ROUND(VLOOKUP($E116,装备属性计算表!$D$4:$O$9,装备属性计算表!K$2,FALSE)/装备属性计算表!K$10*VLOOKUP($F116&amp;$D116,$F$4:$S$29,L$34,FALSE),0)</f>
        <v>0</v>
      </c>
      <c r="M116" s="28">
        <f>ROUND(VLOOKUP($E116,装备属性计算表!$D$4:$O$9,装备属性计算表!L$2,FALSE)/装备属性计算表!L$10*VLOOKUP($F116&amp;$D116,$F$4:$S$29,M$34,FALSE),0)</f>
        <v>0</v>
      </c>
      <c r="N116" s="28">
        <f>ROUND(VLOOKUP($E116,装备属性计算表!$D$4:$O$9,装备属性计算表!M$2,FALSE)/装备属性计算表!M$10*VLOOKUP($F116&amp;$D116,$F$4:$S$29,N$34,FALSE),0)</f>
        <v>0</v>
      </c>
      <c r="O116" s="28">
        <f>ROUND(VLOOKUP($E116,装备属性计算表!$D$4:$O$9,装备属性计算表!N$2,FALSE)/装备属性计算表!N$10*VLOOKUP($F116&amp;$D116,$F$4:$S$29,O$34,FALSE),0)</f>
        <v>0</v>
      </c>
      <c r="P116" s="28">
        <f>ROUND(VLOOKUP($E116,装备属性计算表!$D$4:$O$9,装备属性计算表!O$2,FALSE)/装备属性计算表!O$10*VLOOKUP($F116&amp;$D116,$F$4:$S$29,P$34,FALSE),0)</f>
        <v>0</v>
      </c>
      <c r="Q116" s="28">
        <f>SUMPRODUCT(G116:P116,定义数据!$G$14:$P$14)</f>
        <v>21.14</v>
      </c>
      <c r="R116" s="28">
        <f t="shared" si="55"/>
        <v>1057</v>
      </c>
      <c r="S116" s="91">
        <f t="shared" si="56"/>
        <v>1057</v>
      </c>
      <c r="T116" s="28">
        <f t="shared" si="57"/>
        <v>1093995</v>
      </c>
      <c r="U116" s="89">
        <f>VLOOKUP(F116,D_装备金币参考表!$A$2:$C$81,3,FALSE)*Q116-VLOOKUP(F92,D_装备金币参考表!$A$2:$C$81,3,FALSE)*Q116+U92</f>
        <v>337690.12</v>
      </c>
      <c r="W116">
        <f t="shared" si="58"/>
        <v>0</v>
      </c>
      <c r="X116">
        <f t="shared" si="59"/>
        <v>4</v>
      </c>
      <c r="Y116">
        <f t="shared" si="60"/>
        <v>45</v>
      </c>
      <c r="Z116" s="25">
        <f t="shared" si="61"/>
        <v>0</v>
      </c>
      <c r="AA116" s="25">
        <f t="shared" si="62"/>
        <v>11</v>
      </c>
      <c r="AB116" s="25">
        <f t="shared" si="63"/>
        <v>217</v>
      </c>
      <c r="AC116" s="25">
        <f t="shared" si="64"/>
        <v>2005</v>
      </c>
      <c r="AD116">
        <v>70</v>
      </c>
      <c r="AE116" s="5">
        <f t="shared" si="53"/>
        <v>250.39603756108335</v>
      </c>
      <c r="AF116" s="5">
        <f t="shared" si="53"/>
        <v>783.78994390050866</v>
      </c>
      <c r="AG116" s="5">
        <f t="shared" si="24"/>
        <v>853.29980805122659</v>
      </c>
      <c r="AH116" s="5">
        <f t="shared" si="24"/>
        <v>1567.5798878010173</v>
      </c>
      <c r="AI116" s="5">
        <f t="shared" si="53"/>
        <v>1706.5996161024532</v>
      </c>
      <c r="AJ116" s="5">
        <f t="shared" si="25"/>
        <v>2559.8994241536798</v>
      </c>
      <c r="AK116" s="5">
        <f t="shared" si="53"/>
        <v>2637.1728072248475</v>
      </c>
      <c r="AL116" s="5">
        <f t="shared" si="26"/>
        <v>3413.1992322049064</v>
      </c>
      <c r="AM116" s="5">
        <f t="shared" si="26"/>
        <v>3516.23040963313</v>
      </c>
      <c r="AN116" s="5">
        <f t="shared" si="52"/>
        <v>3561.3332926358421</v>
      </c>
      <c r="AO116" s="5">
        <f t="shared" si="27"/>
        <v>3982.0657709057241</v>
      </c>
      <c r="AP116" s="5">
        <f t="shared" si="27"/>
        <v>4102.2688112386522</v>
      </c>
      <c r="AQ116" s="5">
        <f t="shared" si="27"/>
        <v>4154.8888414084822</v>
      </c>
      <c r="AR116" s="5">
        <f t="shared" si="27"/>
        <v>4688.3072128441736</v>
      </c>
      <c r="AS116" s="5">
        <f t="shared" si="28"/>
        <v>4748.4443901811228</v>
      </c>
    </row>
    <row r="117" spans="1:45" x14ac:dyDescent="0.15">
      <c r="A117" s="28" t="str">
        <f>F117&amp;D117&amp;VLOOKUP(E117,定义数据!$E$1:$F$7,2,FALSE)</f>
        <v>4545</v>
      </c>
      <c r="B117" s="28" t="str">
        <f t="shared" si="54"/>
        <v>4545</v>
      </c>
      <c r="C117" s="28">
        <f>装备属性计算表!AK113</f>
        <v>15</v>
      </c>
      <c r="D117" s="28">
        <f>装备属性计算表!B113</f>
        <v>4</v>
      </c>
      <c r="E117" s="28" t="str">
        <f>装备属性计算表!C113</f>
        <v>鞋子</v>
      </c>
      <c r="F117" s="28">
        <f>装备属性计算表!D113</f>
        <v>45</v>
      </c>
      <c r="G117" s="28">
        <f>ROUND(VLOOKUP($E117,装备属性计算表!$D$4:$O$9,装备属性计算表!F$2,FALSE)/装备属性计算表!F$10*VLOOKUP($F117&amp;$D117,$F$4:$S$29,G$34,FALSE),0)</f>
        <v>314</v>
      </c>
      <c r="H117" s="28">
        <f>ROUND(VLOOKUP($E117,装备属性计算表!$D$4:$O$9,装备属性计算表!G$2,FALSE)/装备属性计算表!G$10*VLOOKUP($F117&amp;$D117,$F$4:$S$29,H$34,FALSE),0)</f>
        <v>0</v>
      </c>
      <c r="I117" s="28">
        <f>ROUND(VLOOKUP($E117,装备属性计算表!$D$4:$O$9,装备属性计算表!H$2,FALSE)/装备属性计算表!H$10*VLOOKUP($F117&amp;$D117,$F$4:$S$29,I$34,FALSE),0)</f>
        <v>0</v>
      </c>
      <c r="J117" s="28">
        <f>ROUND(VLOOKUP($E117,装备属性计算表!$D$4:$O$9,装备属性计算表!I$2,FALSE)/装备属性计算表!I$10*VLOOKUP($F117&amp;$D117,$F$4:$S$29,J$34,FALSE),0)</f>
        <v>42</v>
      </c>
      <c r="K117" s="28">
        <f>ROUND(VLOOKUP($E117,装备属性计算表!$D$4:$O$9,装备属性计算表!J$2,FALSE)/装备属性计算表!J$10*VLOOKUP($F117&amp;$D117,$F$4:$S$29,K$34,FALSE),0)</f>
        <v>0</v>
      </c>
      <c r="L117" s="28">
        <f>ROUND(VLOOKUP($E117,装备属性计算表!$D$4:$O$9,装备属性计算表!K$2,FALSE)/装备属性计算表!K$10*VLOOKUP($F117&amp;$D117,$F$4:$S$29,L$34,FALSE),0)</f>
        <v>0</v>
      </c>
      <c r="M117" s="28">
        <f>ROUND(VLOOKUP($E117,装备属性计算表!$D$4:$O$9,装备属性计算表!L$2,FALSE)/装备属性计算表!L$10*VLOOKUP($F117&amp;$D117,$F$4:$S$29,M$34,FALSE),0)</f>
        <v>0</v>
      </c>
      <c r="N117" s="28">
        <f>ROUND(VLOOKUP($E117,装备属性计算表!$D$4:$O$9,装备属性计算表!M$2,FALSE)/装备属性计算表!M$10*VLOOKUP($F117&amp;$D117,$F$4:$S$29,N$34,FALSE),0)</f>
        <v>0</v>
      </c>
      <c r="O117" s="28">
        <f>ROUND(VLOOKUP($E117,装备属性计算表!$D$4:$O$9,装备属性计算表!N$2,FALSE)/装备属性计算表!N$10*VLOOKUP($F117&amp;$D117,$F$4:$S$29,O$34,FALSE),0)</f>
        <v>0</v>
      </c>
      <c r="P117" s="28">
        <f>ROUND(VLOOKUP($E117,装备属性计算表!$D$4:$O$9,装备属性计算表!O$2,FALSE)/装备属性计算表!O$10*VLOOKUP($F117&amp;$D117,$F$4:$S$29,P$34,FALSE),0)</f>
        <v>0</v>
      </c>
      <c r="Q117" s="28">
        <f>SUMPRODUCT(G117:P117,定义数据!$G$14:$P$14)</f>
        <v>26.840000000000003</v>
      </c>
      <c r="R117" s="28">
        <f t="shared" si="55"/>
        <v>1342</v>
      </c>
      <c r="S117" s="91">
        <f t="shared" si="56"/>
        <v>1342</v>
      </c>
      <c r="T117" s="28">
        <f t="shared" si="57"/>
        <v>1388970</v>
      </c>
      <c r="U117" s="89">
        <f>VLOOKUP(F117,D_装备金币参考表!$A$2:$C$81,3,FALSE)*Q117-VLOOKUP(F93,D_装备金币参考表!$A$2:$C$81,3,FALSE)*Q117+U93</f>
        <v>430151.86000000004</v>
      </c>
      <c r="W117">
        <f t="shared" si="58"/>
        <v>0</v>
      </c>
      <c r="X117">
        <f t="shared" si="59"/>
        <v>3</v>
      </c>
      <c r="Y117">
        <f t="shared" si="60"/>
        <v>45</v>
      </c>
      <c r="Z117" s="25">
        <f t="shared" si="61"/>
        <v>0</v>
      </c>
      <c r="AA117" s="25">
        <f t="shared" si="62"/>
        <v>9</v>
      </c>
      <c r="AB117" s="25">
        <f t="shared" si="63"/>
        <v>277</v>
      </c>
      <c r="AC117" s="25">
        <f t="shared" si="64"/>
        <v>5030</v>
      </c>
      <c r="AD117">
        <v>71</v>
      </c>
      <c r="AE117" s="5">
        <f t="shared" si="53"/>
        <v>255.05618141181225</v>
      </c>
      <c r="AF117" s="5">
        <f t="shared" si="53"/>
        <v>798.49038606770318</v>
      </c>
      <c r="AG117" s="5">
        <f t="shared" si="24"/>
        <v>869.55059884121135</v>
      </c>
      <c r="AH117" s="5">
        <f t="shared" si="24"/>
        <v>1596.9807721354064</v>
      </c>
      <c r="AI117" s="5">
        <f t="shared" si="53"/>
        <v>1739.1011976824227</v>
      </c>
      <c r="AJ117" s="5">
        <f t="shared" si="25"/>
        <v>2608.6517965236339</v>
      </c>
      <c r="AK117" s="5">
        <f t="shared" si="53"/>
        <v>2687.6636750898479</v>
      </c>
      <c r="AL117" s="5">
        <f t="shared" si="26"/>
        <v>3478.2023953648454</v>
      </c>
      <c r="AM117" s="5">
        <f t="shared" si="26"/>
        <v>3583.5515667864638</v>
      </c>
      <c r="AN117" s="5">
        <f t="shared" si="52"/>
        <v>3629.6724354653161</v>
      </c>
      <c r="AO117" s="5">
        <f t="shared" si="27"/>
        <v>4057.9027945923199</v>
      </c>
      <c r="AP117" s="5">
        <f t="shared" si="27"/>
        <v>4180.8101612508744</v>
      </c>
      <c r="AQ117" s="5">
        <f t="shared" si="27"/>
        <v>4234.6178413762027</v>
      </c>
      <c r="AR117" s="5">
        <f t="shared" si="27"/>
        <v>4778.0687557152851</v>
      </c>
      <c r="AS117" s="5">
        <f t="shared" si="28"/>
        <v>4839.5632472870884</v>
      </c>
    </row>
    <row r="118" spans="1:45" x14ac:dyDescent="0.15">
      <c r="A118" s="28" t="str">
        <f>F118&amp;D118&amp;VLOOKUP(E118,定义数据!$E$1:$F$7,2,FALSE)</f>
        <v>4544</v>
      </c>
      <c r="B118" s="28" t="str">
        <f t="shared" si="54"/>
        <v>4544</v>
      </c>
      <c r="C118" s="28">
        <f>装备属性计算表!AK114</f>
        <v>15</v>
      </c>
      <c r="D118" s="28">
        <f>装备属性计算表!B114</f>
        <v>4</v>
      </c>
      <c r="E118" s="28" t="str">
        <f>装备属性计算表!C114</f>
        <v>腰带</v>
      </c>
      <c r="F118" s="28">
        <f>装备属性计算表!D114</f>
        <v>45</v>
      </c>
      <c r="G118" s="28">
        <f>ROUND(VLOOKUP($E118,装备属性计算表!$D$4:$O$9,装备属性计算表!F$2,FALSE)/装备属性计算表!F$10*VLOOKUP($F118&amp;$D118,$F$4:$S$29,G$34,FALSE),0)</f>
        <v>314</v>
      </c>
      <c r="H118" s="28">
        <f>ROUND(VLOOKUP($E118,装备属性计算表!$D$4:$O$9,装备属性计算表!G$2,FALSE)/装备属性计算表!G$10*VLOOKUP($F118&amp;$D118,$F$4:$S$29,H$34,FALSE),0)</f>
        <v>0</v>
      </c>
      <c r="I118" s="28">
        <f>ROUND(VLOOKUP($E118,装备属性计算表!$D$4:$O$9,装备属性计算表!H$2,FALSE)/装备属性计算表!H$10*VLOOKUP($F118&amp;$D118,$F$4:$S$29,I$34,FALSE),0)</f>
        <v>0</v>
      </c>
      <c r="J118" s="28">
        <f>ROUND(VLOOKUP($E118,装备属性计算表!$D$4:$O$9,装备属性计算表!I$2,FALSE)/装备属性计算表!I$10*VLOOKUP($F118&amp;$D118,$F$4:$S$29,J$34,FALSE),0)</f>
        <v>0</v>
      </c>
      <c r="K118" s="28">
        <f>ROUND(VLOOKUP($E118,装备属性计算表!$D$4:$O$9,装备属性计算表!J$2,FALSE)/装备属性计算表!J$10*VLOOKUP($F118&amp;$D118,$F$4:$S$29,K$34,FALSE),0)</f>
        <v>0</v>
      </c>
      <c r="L118" s="28">
        <f>ROUND(VLOOKUP($E118,装备属性计算表!$D$4:$O$9,装备属性计算表!K$2,FALSE)/装备属性计算表!K$10*VLOOKUP($F118&amp;$D118,$F$4:$S$29,L$34,FALSE),0)</f>
        <v>0</v>
      </c>
      <c r="M118" s="28">
        <f>ROUND(VLOOKUP($E118,装备属性计算表!$D$4:$O$9,装备属性计算表!L$2,FALSE)/装备属性计算表!L$10*VLOOKUP($F118&amp;$D118,$F$4:$S$29,M$34,FALSE),0)</f>
        <v>0</v>
      </c>
      <c r="N118" s="28">
        <f>ROUND(VLOOKUP($E118,装备属性计算表!$D$4:$O$9,装备属性计算表!M$2,FALSE)/装备属性计算表!M$10*VLOOKUP($F118&amp;$D118,$F$4:$S$29,N$34,FALSE),0)</f>
        <v>37</v>
      </c>
      <c r="O118" s="28">
        <f>ROUND(VLOOKUP($E118,装备属性计算表!$D$4:$O$9,装备属性计算表!N$2,FALSE)/装备属性计算表!N$10*VLOOKUP($F118&amp;$D118,$F$4:$S$29,O$34,FALSE),0)</f>
        <v>0</v>
      </c>
      <c r="P118" s="28">
        <f>ROUND(VLOOKUP($E118,装备属性计算表!$D$4:$O$9,装备属性计算表!O$2,FALSE)/装备属性计算表!O$10*VLOOKUP($F118&amp;$D118,$F$4:$S$29,P$34,FALSE),0)</f>
        <v>0</v>
      </c>
      <c r="Q118" s="28">
        <f>SUMPRODUCT(G118:P118,定义数据!$G$14:$P$14)</f>
        <v>19.22</v>
      </c>
      <c r="R118" s="28">
        <f t="shared" si="55"/>
        <v>961</v>
      </c>
      <c r="S118" s="91">
        <f t="shared" si="56"/>
        <v>961</v>
      </c>
      <c r="T118" s="28">
        <f t="shared" si="57"/>
        <v>994635</v>
      </c>
      <c r="U118" s="89">
        <f>VLOOKUP(F118,D_装备金币参考表!$A$2:$C$81,3,FALSE)*Q118-VLOOKUP(F94,D_装备金币参考表!$A$2:$C$81,3,FALSE)*Q118+U94</f>
        <v>308502.25999999995</v>
      </c>
      <c r="W118">
        <f t="shared" si="58"/>
        <v>1</v>
      </c>
      <c r="X118">
        <f t="shared" si="59"/>
        <v>5</v>
      </c>
      <c r="Y118">
        <f t="shared" si="60"/>
        <v>45</v>
      </c>
      <c r="Z118" s="25">
        <f t="shared" si="61"/>
        <v>5</v>
      </c>
      <c r="AA118" s="25">
        <f t="shared" si="62"/>
        <v>14</v>
      </c>
      <c r="AB118" s="25">
        <f t="shared" si="63"/>
        <v>197</v>
      </c>
      <c r="AC118" s="25">
        <f t="shared" si="64"/>
        <v>5365</v>
      </c>
      <c r="AD118">
        <v>72</v>
      </c>
      <c r="AE118" s="5">
        <f t="shared" si="53"/>
        <v>259.73605822578128</v>
      </c>
      <c r="AF118" s="5">
        <f t="shared" si="53"/>
        <v>813.25515539162598</v>
      </c>
      <c r="AG118" s="5">
        <f t="shared" si="24"/>
        <v>885.87709937479167</v>
      </c>
      <c r="AH118" s="5">
        <f t="shared" si="24"/>
        <v>1626.510310783252</v>
      </c>
      <c r="AI118" s="5">
        <f t="shared" si="53"/>
        <v>1771.7541987495833</v>
      </c>
      <c r="AJ118" s="5">
        <f t="shared" si="25"/>
        <v>2657.631298124375</v>
      </c>
      <c r="AK118" s="5">
        <f t="shared" si="53"/>
        <v>2738.3947730695027</v>
      </c>
      <c r="AL118" s="5">
        <f t="shared" si="26"/>
        <v>3543.5083974991667</v>
      </c>
      <c r="AM118" s="5">
        <f t="shared" si="26"/>
        <v>3651.1930307593366</v>
      </c>
      <c r="AN118" s="5">
        <f t="shared" si="52"/>
        <v>3698.3396300135182</v>
      </c>
      <c r="AO118" s="5">
        <f t="shared" si="27"/>
        <v>4134.0931304156938</v>
      </c>
      <c r="AP118" s="5">
        <f t="shared" si="27"/>
        <v>4259.7252025525595</v>
      </c>
      <c r="AQ118" s="5">
        <f t="shared" si="27"/>
        <v>4314.7295683491047</v>
      </c>
      <c r="AR118" s="5">
        <f t="shared" si="27"/>
        <v>4868.2573743457824</v>
      </c>
      <c r="AS118" s="5">
        <f t="shared" si="28"/>
        <v>4931.1195066846913</v>
      </c>
    </row>
    <row r="119" spans="1:45" x14ac:dyDescent="0.15">
      <c r="A119" s="28" t="str">
        <f>F119&amp;D119&amp;VLOOKUP(E119,定义数据!$E$1:$F$7,2,FALSE)</f>
        <v>4543</v>
      </c>
      <c r="B119" s="28" t="str">
        <f t="shared" si="54"/>
        <v>4543</v>
      </c>
      <c r="C119" s="28">
        <f>装备属性计算表!AK115</f>
        <v>15</v>
      </c>
      <c r="D119" s="28">
        <f>装备属性计算表!B115</f>
        <v>4</v>
      </c>
      <c r="E119" s="28" t="str">
        <f>装备属性计算表!C115</f>
        <v>项链</v>
      </c>
      <c r="F119" s="28">
        <f>装备属性计算表!D115</f>
        <v>45</v>
      </c>
      <c r="G119" s="28">
        <f>ROUND(VLOOKUP($E119,装备属性计算表!$D$4:$O$9,装备属性计算表!F$2,FALSE)/装备属性计算表!F$10*VLOOKUP($F119&amp;$D119,$F$4:$S$29,G$34,FALSE),0)</f>
        <v>0</v>
      </c>
      <c r="H119" s="28">
        <f>ROUND(VLOOKUP($E119,装备属性计算表!$D$4:$O$9,装备属性计算表!G$2,FALSE)/装备属性计算表!G$10*VLOOKUP($F119&amp;$D119,$F$4:$S$29,H$34,FALSE),0)</f>
        <v>20</v>
      </c>
      <c r="I119" s="28">
        <f>ROUND(VLOOKUP($E119,装备属性计算表!$D$4:$O$9,装备属性计算表!H$2,FALSE)/装备属性计算表!H$10*VLOOKUP($F119&amp;$D119,$F$4:$S$29,I$34,FALSE),0)</f>
        <v>0</v>
      </c>
      <c r="J119" s="28">
        <f>ROUND(VLOOKUP($E119,装备属性计算表!$D$4:$O$9,装备属性计算表!I$2,FALSE)/装备属性计算表!I$10*VLOOKUP($F119&amp;$D119,$F$4:$S$29,J$34,FALSE),0)</f>
        <v>0</v>
      </c>
      <c r="K119" s="28">
        <f>ROUND(VLOOKUP($E119,装备属性计算表!$D$4:$O$9,装备属性计算表!J$2,FALSE)/装备属性计算表!J$10*VLOOKUP($F119&amp;$D119,$F$4:$S$29,K$34,FALSE),0)</f>
        <v>63</v>
      </c>
      <c r="L119" s="28">
        <f>ROUND(VLOOKUP($E119,装备属性计算表!$D$4:$O$9,装备属性计算表!K$2,FALSE)/装备属性计算表!K$10*VLOOKUP($F119&amp;$D119,$F$4:$S$29,L$34,FALSE),0)</f>
        <v>0</v>
      </c>
      <c r="M119" s="28">
        <f>ROUND(VLOOKUP($E119,装备属性计算表!$D$4:$O$9,装备属性计算表!L$2,FALSE)/装备属性计算表!L$10*VLOOKUP($F119&amp;$D119,$F$4:$S$29,M$34,FALSE),0)</f>
        <v>0</v>
      </c>
      <c r="N119" s="28">
        <f>ROUND(VLOOKUP($E119,装备属性计算表!$D$4:$O$9,装备属性计算表!M$2,FALSE)/装备属性计算表!M$10*VLOOKUP($F119&amp;$D119,$F$4:$S$29,N$34,FALSE),0)</f>
        <v>0</v>
      </c>
      <c r="O119" s="28">
        <f>ROUND(VLOOKUP($E119,装备属性计算表!$D$4:$O$9,装备属性计算表!N$2,FALSE)/装备属性计算表!N$10*VLOOKUP($F119&amp;$D119,$F$4:$S$29,O$34,FALSE),0)</f>
        <v>0</v>
      </c>
      <c r="P119" s="28">
        <f>ROUND(VLOOKUP($E119,装备属性计算表!$D$4:$O$9,装备属性计算表!O$2,FALSE)/装备属性计算表!O$10*VLOOKUP($F119&amp;$D119,$F$4:$S$29,P$34,FALSE),0)</f>
        <v>0</v>
      </c>
      <c r="Q119" s="28">
        <f>SUMPRODUCT(G119:P119,定义数据!$G$14:$P$14)</f>
        <v>41.42</v>
      </c>
      <c r="R119" s="28">
        <f t="shared" si="55"/>
        <v>2071</v>
      </c>
      <c r="S119" s="91">
        <f t="shared" si="56"/>
        <v>2071</v>
      </c>
      <c r="T119" s="28">
        <f t="shared" si="57"/>
        <v>2143485</v>
      </c>
      <c r="U119" s="89">
        <f>VLOOKUP(F119,D_装备金币参考表!$A$2:$C$81,3,FALSE)*Q119-VLOOKUP(F95,D_装备金币参考表!$A$2:$C$81,3,FALSE)*Q119+U95</f>
        <v>663691.74</v>
      </c>
      <c r="V119" s="25">
        <f>SUM(U114:U119)</f>
        <v>3747074.92</v>
      </c>
      <c r="W119">
        <f t="shared" si="58"/>
        <v>0</v>
      </c>
      <c r="X119">
        <f t="shared" si="59"/>
        <v>2</v>
      </c>
      <c r="Y119">
        <f t="shared" si="60"/>
        <v>45</v>
      </c>
      <c r="Z119" s="25">
        <f t="shared" si="61"/>
        <v>0</v>
      </c>
      <c r="AA119" s="25">
        <f t="shared" si="62"/>
        <v>7</v>
      </c>
      <c r="AB119" s="25">
        <f t="shared" si="63"/>
        <v>428</v>
      </c>
      <c r="AC119" s="25">
        <f t="shared" si="64"/>
        <v>3515</v>
      </c>
      <c r="AD119">
        <v>73</v>
      </c>
      <c r="AE119" s="5">
        <f t="shared" si="53"/>
        <v>264.43547574202307</v>
      </c>
      <c r="AF119" s="5">
        <f t="shared" si="53"/>
        <v>828.08363403457611</v>
      </c>
      <c r="AG119" s="5">
        <f t="shared" si="24"/>
        <v>902.27860346791726</v>
      </c>
      <c r="AH119" s="5">
        <f t="shared" si="24"/>
        <v>1656.1672680691522</v>
      </c>
      <c r="AI119" s="5">
        <f t="shared" si="53"/>
        <v>1804.5572069358345</v>
      </c>
      <c r="AJ119" s="5">
        <f t="shared" si="25"/>
        <v>2706.8358104037516</v>
      </c>
      <c r="AK119" s="5">
        <f t="shared" si="53"/>
        <v>2789.3638837158737</v>
      </c>
      <c r="AL119" s="5">
        <f t="shared" si="26"/>
        <v>3609.1144138716691</v>
      </c>
      <c r="AM119" s="5">
        <f t="shared" si="26"/>
        <v>3719.1518449544983</v>
      </c>
      <c r="AN119" s="5">
        <f t="shared" si="52"/>
        <v>3767.3318618326825</v>
      </c>
      <c r="AO119" s="5">
        <f t="shared" si="27"/>
        <v>4210.6334828502804</v>
      </c>
      <c r="AP119" s="5">
        <f t="shared" si="27"/>
        <v>4339.010485780248</v>
      </c>
      <c r="AQ119" s="5">
        <f t="shared" si="27"/>
        <v>4395.2205054714632</v>
      </c>
      <c r="AR119" s="5">
        <f t="shared" si="27"/>
        <v>4958.8691266059977</v>
      </c>
      <c r="AS119" s="5">
        <f t="shared" si="28"/>
        <v>5023.1091491102434</v>
      </c>
    </row>
    <row r="120" spans="1:45" x14ac:dyDescent="0.15">
      <c r="A120" s="28" t="str">
        <f>F120&amp;D120&amp;VLOOKUP(E120,定义数据!$E$1:$F$7,2,FALSE)</f>
        <v>6010</v>
      </c>
      <c r="B120" s="28" t="str">
        <f t="shared" si="54"/>
        <v>6010</v>
      </c>
      <c r="C120" s="28">
        <f>装备属性计算表!AK116</f>
        <v>16</v>
      </c>
      <c r="D120" s="28">
        <f>装备属性计算表!B116</f>
        <v>1</v>
      </c>
      <c r="E120" s="28" t="str">
        <f>装备属性计算表!C116</f>
        <v>武器</v>
      </c>
      <c r="F120" s="28">
        <f>装备属性计算表!D116</f>
        <v>60</v>
      </c>
      <c r="G120" s="28">
        <f>ROUND(VLOOKUP($E120,装备属性计算表!$D$4:$O$9,装备属性计算表!F$2,FALSE)/装备属性计算表!F$10*VLOOKUP($F120&amp;$D120,$F$4:$S$29,G$34,FALSE),0)</f>
        <v>0</v>
      </c>
      <c r="H120" s="28">
        <f>ROUND(VLOOKUP($E120,装备属性计算表!$D$4:$O$9,装备属性计算表!G$2,FALSE)/装备属性计算表!G$10*VLOOKUP($F120&amp;$D120,$F$4:$S$29,H$34,FALSE),0)</f>
        <v>40</v>
      </c>
      <c r="I120" s="28">
        <f>ROUND(VLOOKUP($E120,装备属性计算表!$D$4:$O$9,装备属性计算表!H$2,FALSE)/装备属性计算表!H$10*VLOOKUP($F120&amp;$D120,$F$4:$S$29,I$34,FALSE),0)</f>
        <v>0</v>
      </c>
      <c r="J120" s="28">
        <f>ROUND(VLOOKUP($E120,装备属性计算表!$D$4:$O$9,装备属性计算表!I$2,FALSE)/装备属性计算表!I$10*VLOOKUP($F120&amp;$D120,$F$4:$S$29,J$34,FALSE),0)</f>
        <v>0</v>
      </c>
      <c r="K120" s="28">
        <f>ROUND(VLOOKUP($E120,装备属性计算表!$D$4:$O$9,装备属性计算表!J$2,FALSE)/装备属性计算表!J$10*VLOOKUP($F120&amp;$D120,$F$4:$S$29,K$34,FALSE),0)</f>
        <v>0</v>
      </c>
      <c r="L120" s="28">
        <f>ROUND(VLOOKUP($E120,装备属性计算表!$D$4:$O$9,装备属性计算表!K$2,FALSE)/装备属性计算表!K$10*VLOOKUP($F120&amp;$D120,$F$4:$S$29,L$34,FALSE),0)</f>
        <v>25</v>
      </c>
      <c r="M120" s="28">
        <f>ROUND(VLOOKUP($E120,装备属性计算表!$D$4:$O$9,装备属性计算表!L$2,FALSE)/装备属性计算表!L$10*VLOOKUP($F120&amp;$D120,$F$4:$S$29,M$34,FALSE),0)</f>
        <v>0</v>
      </c>
      <c r="N120" s="28">
        <f>ROUND(VLOOKUP($E120,装备属性计算表!$D$4:$O$9,装备属性计算表!M$2,FALSE)/装备属性计算表!M$10*VLOOKUP($F120&amp;$D120,$F$4:$S$29,N$34,FALSE),0)</f>
        <v>0</v>
      </c>
      <c r="O120" s="28">
        <f>ROUND(VLOOKUP($E120,装备属性计算表!$D$4:$O$9,装备属性计算表!N$2,FALSE)/装备属性计算表!N$10*VLOOKUP($F120&amp;$D120,$F$4:$S$29,O$34,FALSE),0)</f>
        <v>0</v>
      </c>
      <c r="P120" s="28">
        <f>ROUND(VLOOKUP($E120,装备属性计算表!$D$4:$O$9,装备属性计算表!O$2,FALSE)/装备属性计算表!O$10*VLOOKUP($F120&amp;$D120,$F$4:$S$29,P$34,FALSE),0)</f>
        <v>0</v>
      </c>
      <c r="Q120" s="28">
        <f>SUMPRODUCT(G120:P120,定义数据!$G$14:$P$14)</f>
        <v>44.5</v>
      </c>
      <c r="R120" s="28">
        <f t="shared" si="55"/>
        <v>2225</v>
      </c>
      <c r="S120" s="91">
        <f t="shared" si="56"/>
        <v>2225</v>
      </c>
      <c r="T120" s="28">
        <f t="shared" si="57"/>
        <v>4071750</v>
      </c>
      <c r="U120" s="89">
        <f>VLOOKUP(F120,D_装备金币参考表!$A$2:$C$81,3,FALSE)*Q120-VLOOKUP(F96,D_装备金币参考表!$A$2:$C$81,3,FALSE)*Q120+U96</f>
        <v>1704068.06</v>
      </c>
      <c r="W120">
        <f t="shared" si="58"/>
        <v>0</v>
      </c>
      <c r="X120">
        <f t="shared" si="59"/>
        <v>2</v>
      </c>
      <c r="Y120">
        <f t="shared" si="60"/>
        <v>60</v>
      </c>
      <c r="Z120" s="25">
        <f t="shared" si="61"/>
        <v>0</v>
      </c>
      <c r="AA120" s="25">
        <f t="shared" si="62"/>
        <v>7</v>
      </c>
      <c r="AB120" s="25">
        <f t="shared" si="63"/>
        <v>814</v>
      </c>
      <c r="AC120" s="25">
        <f t="shared" si="64"/>
        <v>5250</v>
      </c>
      <c r="AD120">
        <v>74</v>
      </c>
      <c r="AE120" s="5">
        <f t="shared" si="53"/>
        <v>269.15424618654242</v>
      </c>
      <c r="AF120" s="5">
        <f t="shared" si="53"/>
        <v>842.97521849406917</v>
      </c>
      <c r="AG120" s="5">
        <f t="shared" si="24"/>
        <v>918.7544211299105</v>
      </c>
      <c r="AH120" s="5">
        <f t="shared" si="24"/>
        <v>1685.9504369881383</v>
      </c>
      <c r="AI120" s="5">
        <f t="shared" si="53"/>
        <v>1837.508842259821</v>
      </c>
      <c r="AJ120" s="5">
        <f t="shared" si="25"/>
        <v>2756.2632633897315</v>
      </c>
      <c r="AK120" s="5">
        <f t="shared" si="53"/>
        <v>2840.5688402181991</v>
      </c>
      <c r="AL120" s="5">
        <f t="shared" si="26"/>
        <v>3675.017684519642</v>
      </c>
      <c r="AM120" s="5">
        <f t="shared" si="26"/>
        <v>3787.4251202909322</v>
      </c>
      <c r="AN120" s="5">
        <f t="shared" si="52"/>
        <v>3836.6461851895647</v>
      </c>
      <c r="AO120" s="5">
        <f t="shared" si="27"/>
        <v>4287.5206319395829</v>
      </c>
      <c r="AP120" s="5">
        <f t="shared" si="27"/>
        <v>4418.6626403394212</v>
      </c>
      <c r="AQ120" s="5">
        <f t="shared" si="27"/>
        <v>4476.0872160544923</v>
      </c>
      <c r="AR120" s="5">
        <f t="shared" si="27"/>
        <v>5049.9001603879096</v>
      </c>
      <c r="AS120" s="5">
        <f t="shared" si="28"/>
        <v>5115.5282469194199</v>
      </c>
    </row>
    <row r="121" spans="1:45" x14ac:dyDescent="0.15">
      <c r="A121" s="28" t="str">
        <f>F121&amp;D121&amp;VLOOKUP(E121,定义数据!$E$1:$F$7,2,FALSE)</f>
        <v>6011</v>
      </c>
      <c r="B121" s="28" t="str">
        <f t="shared" si="54"/>
        <v>6011</v>
      </c>
      <c r="C121" s="28">
        <f>装备属性计算表!AK117</f>
        <v>16</v>
      </c>
      <c r="D121" s="28">
        <f>装备属性计算表!B117</f>
        <v>1</v>
      </c>
      <c r="E121" s="28" t="str">
        <f>装备属性计算表!C117</f>
        <v>衣服</v>
      </c>
      <c r="F121" s="28">
        <f>装备属性计算表!D117</f>
        <v>60</v>
      </c>
      <c r="G121" s="28">
        <f>ROUND(VLOOKUP($E121,装备属性计算表!$D$4:$O$9,装备属性计算表!F$2,FALSE)/装备属性计算表!F$10*VLOOKUP($F121&amp;$D121,$F$4:$S$29,G$34,FALSE),0)</f>
        <v>635</v>
      </c>
      <c r="H121" s="28">
        <f>ROUND(VLOOKUP($E121,装备属性计算表!$D$4:$O$9,装备属性计算表!G$2,FALSE)/装备属性计算表!G$10*VLOOKUP($F121&amp;$D121,$F$4:$S$29,H$34,FALSE),0)</f>
        <v>0</v>
      </c>
      <c r="I121" s="28">
        <f>ROUND(VLOOKUP($E121,装备属性计算表!$D$4:$O$9,装备属性计算表!H$2,FALSE)/装备属性计算表!H$10*VLOOKUP($F121&amp;$D121,$F$4:$S$29,I$34,FALSE),0)</f>
        <v>14</v>
      </c>
      <c r="J121" s="28">
        <f>ROUND(VLOOKUP($E121,装备属性计算表!$D$4:$O$9,装备属性计算表!I$2,FALSE)/装备属性计算表!I$10*VLOOKUP($F121&amp;$D121,$F$4:$S$29,J$34,FALSE),0)</f>
        <v>0</v>
      </c>
      <c r="K121" s="28">
        <f>ROUND(VLOOKUP($E121,装备属性计算表!$D$4:$O$9,装备属性计算表!J$2,FALSE)/装备属性计算表!J$10*VLOOKUP($F121&amp;$D121,$F$4:$S$29,K$34,FALSE),0)</f>
        <v>0</v>
      </c>
      <c r="L121" s="28">
        <f>ROUND(VLOOKUP($E121,装备属性计算表!$D$4:$O$9,装备属性计算表!K$2,FALSE)/装备属性计算表!K$10*VLOOKUP($F121&amp;$D121,$F$4:$S$29,L$34,FALSE),0)</f>
        <v>0</v>
      </c>
      <c r="M121" s="28">
        <f>ROUND(VLOOKUP($E121,装备属性计算表!$D$4:$O$9,装备属性计算表!L$2,FALSE)/装备属性计算表!L$10*VLOOKUP($F121&amp;$D121,$F$4:$S$29,M$34,FALSE),0)</f>
        <v>0</v>
      </c>
      <c r="N121" s="28">
        <f>ROUND(VLOOKUP($E121,装备属性计算表!$D$4:$O$9,装备属性计算表!M$2,FALSE)/装备属性计算表!M$10*VLOOKUP($F121&amp;$D121,$F$4:$S$29,N$34,FALSE),0)</f>
        <v>0</v>
      </c>
      <c r="O121" s="28">
        <f>ROUND(VLOOKUP($E121,装备属性计算表!$D$4:$O$9,装备属性计算表!N$2,FALSE)/装备属性计算表!N$10*VLOOKUP($F121&amp;$D121,$F$4:$S$29,O$34,FALSE),0)</f>
        <v>0</v>
      </c>
      <c r="P121" s="28">
        <f>ROUND(VLOOKUP($E121,装备属性计算表!$D$4:$O$9,装备属性计算表!O$2,FALSE)/装备属性计算表!O$10*VLOOKUP($F121&amp;$D121,$F$4:$S$29,P$34,FALSE),0)</f>
        <v>0</v>
      </c>
      <c r="Q121" s="28">
        <f>SUMPRODUCT(G121:P121,定义数据!$G$14:$P$14)</f>
        <v>39.400000000000006</v>
      </c>
      <c r="R121" s="28">
        <f t="shared" si="55"/>
        <v>1970</v>
      </c>
      <c r="S121" s="91">
        <f t="shared" si="56"/>
        <v>1970</v>
      </c>
      <c r="T121" s="28">
        <f t="shared" si="57"/>
        <v>3605100</v>
      </c>
      <c r="U121" s="89">
        <f>VLOOKUP(F121,D_装备金币参考表!$A$2:$C$81,3,FALSE)*Q121-VLOOKUP(F97,D_装备金币参考表!$A$2:$C$81,3,FALSE)*Q121+U97</f>
        <v>1502663.12</v>
      </c>
      <c r="W121">
        <f t="shared" si="58"/>
        <v>0</v>
      </c>
      <c r="X121">
        <f t="shared" si="59"/>
        <v>2</v>
      </c>
      <c r="Y121">
        <f t="shared" si="60"/>
        <v>60</v>
      </c>
      <c r="Z121" s="25">
        <f t="shared" si="61"/>
        <v>0</v>
      </c>
      <c r="AA121" s="25">
        <f t="shared" si="62"/>
        <v>6</v>
      </c>
      <c r="AB121" s="25">
        <f t="shared" si="63"/>
        <v>720</v>
      </c>
      <c r="AC121" s="25">
        <f t="shared" si="64"/>
        <v>900</v>
      </c>
      <c r="AD121">
        <v>75</v>
      </c>
      <c r="AE121" s="5">
        <f t="shared" si="53"/>
        <v>273.89218610824662</v>
      </c>
      <c r="AF121" s="5">
        <f t="shared" si="53"/>
        <v>857.92931908056914</v>
      </c>
      <c r="AG121" s="5">
        <f t="shared" si="24"/>
        <v>935.30387797779781</v>
      </c>
      <c r="AH121" s="5">
        <f t="shared" si="24"/>
        <v>1715.8586381611383</v>
      </c>
      <c r="AI121" s="5">
        <f t="shared" si="53"/>
        <v>1870.6077559555956</v>
      </c>
      <c r="AJ121" s="5">
        <f t="shared" si="25"/>
        <v>2805.9116339333937</v>
      </c>
      <c r="AK121" s="5">
        <f t="shared" si="53"/>
        <v>2892.0075245762146</v>
      </c>
      <c r="AL121" s="5">
        <f t="shared" si="26"/>
        <v>3741.2155119111912</v>
      </c>
      <c r="AM121" s="5">
        <f t="shared" si="26"/>
        <v>3856.0100327682862</v>
      </c>
      <c r="AN121" s="5">
        <f t="shared" si="52"/>
        <v>3906.2797205894112</v>
      </c>
      <c r="AO121" s="5">
        <f t="shared" si="27"/>
        <v>4364.7514305630566</v>
      </c>
      <c r="AP121" s="5">
        <f t="shared" si="27"/>
        <v>4498.6783715630008</v>
      </c>
      <c r="AQ121" s="5">
        <f t="shared" si="27"/>
        <v>4557.3263406876458</v>
      </c>
      <c r="AR121" s="5">
        <f t="shared" si="27"/>
        <v>5141.346710357715</v>
      </c>
      <c r="AS121" s="5">
        <f t="shared" si="28"/>
        <v>5208.3729607858813</v>
      </c>
    </row>
    <row r="122" spans="1:45" x14ac:dyDescent="0.15">
      <c r="A122" s="28" t="str">
        <f>F122&amp;D122&amp;VLOOKUP(E122,定义数据!$E$1:$F$7,2,FALSE)</f>
        <v>6012</v>
      </c>
      <c r="B122" s="28" t="str">
        <f t="shared" si="54"/>
        <v>6012</v>
      </c>
      <c r="C122" s="28">
        <f>装备属性计算表!AK118</f>
        <v>16</v>
      </c>
      <c r="D122" s="28">
        <f>装备属性计算表!B118</f>
        <v>1</v>
      </c>
      <c r="E122" s="28" t="str">
        <f>装备属性计算表!C118</f>
        <v>裤子</v>
      </c>
      <c r="F122" s="28">
        <f>装备属性计算表!D118</f>
        <v>60</v>
      </c>
      <c r="G122" s="28">
        <f>ROUND(VLOOKUP($E122,装备属性计算表!$D$4:$O$9,装备属性计算表!F$2,FALSE)/装备属性计算表!F$10*VLOOKUP($F122&amp;$D122,$F$4:$S$29,G$34,FALSE),0)</f>
        <v>0</v>
      </c>
      <c r="H122" s="28">
        <f>ROUND(VLOOKUP($E122,装备属性计算表!$D$4:$O$9,装备属性计算表!G$2,FALSE)/装备属性计算表!G$10*VLOOKUP($F122&amp;$D122,$F$4:$S$29,H$34,FALSE),0)</f>
        <v>0</v>
      </c>
      <c r="I122" s="28">
        <f>ROUND(VLOOKUP($E122,装备属性计算表!$D$4:$O$9,装备属性计算表!H$2,FALSE)/装备属性计算表!H$10*VLOOKUP($F122&amp;$D122,$F$4:$S$29,I$34,FALSE),0)</f>
        <v>9</v>
      </c>
      <c r="J122" s="28">
        <f>ROUND(VLOOKUP($E122,装备属性计算表!$D$4:$O$9,装备属性计算表!I$2,FALSE)/装备属性计算表!I$10*VLOOKUP($F122&amp;$D122,$F$4:$S$29,J$34,FALSE),0)</f>
        <v>14</v>
      </c>
      <c r="K122" s="28">
        <f>ROUND(VLOOKUP($E122,装备属性计算表!$D$4:$O$9,装备属性计算表!J$2,FALSE)/装备属性计算表!J$10*VLOOKUP($F122&amp;$D122,$F$4:$S$29,K$34,FALSE),0)</f>
        <v>0</v>
      </c>
      <c r="L122" s="28">
        <f>ROUND(VLOOKUP($E122,装备属性计算表!$D$4:$O$9,装备属性计算表!K$2,FALSE)/装备属性计算表!K$10*VLOOKUP($F122&amp;$D122,$F$4:$S$29,L$34,FALSE),0)</f>
        <v>0</v>
      </c>
      <c r="M122" s="28">
        <f>ROUND(VLOOKUP($E122,装备属性计算表!$D$4:$O$9,装备属性计算表!L$2,FALSE)/装备属性计算表!L$10*VLOOKUP($F122&amp;$D122,$F$4:$S$29,M$34,FALSE),0)</f>
        <v>0</v>
      </c>
      <c r="N122" s="28">
        <f>ROUND(VLOOKUP($E122,装备属性计算表!$D$4:$O$9,装备属性计算表!M$2,FALSE)/装备属性计算表!M$10*VLOOKUP($F122&amp;$D122,$F$4:$S$29,N$34,FALSE),0)</f>
        <v>0</v>
      </c>
      <c r="O122" s="28">
        <f>ROUND(VLOOKUP($E122,装备属性计算表!$D$4:$O$9,装备属性计算表!N$2,FALSE)/装备属性计算表!N$10*VLOOKUP($F122&amp;$D122,$F$4:$S$29,O$34,FALSE),0)</f>
        <v>0</v>
      </c>
      <c r="P122" s="28">
        <f>ROUND(VLOOKUP($E122,装备属性计算表!$D$4:$O$9,装备属性计算表!O$2,FALSE)/装备属性计算表!O$10*VLOOKUP($F122&amp;$D122,$F$4:$S$29,P$34,FALSE),0)</f>
        <v>0</v>
      </c>
      <c r="Q122" s="28">
        <f>SUMPRODUCT(G122:P122,定义数据!$G$14:$P$14)</f>
        <v>13.760000000000002</v>
      </c>
      <c r="R122" s="28">
        <f t="shared" si="55"/>
        <v>688</v>
      </c>
      <c r="S122" s="91">
        <f t="shared" si="56"/>
        <v>688</v>
      </c>
      <c r="T122" s="28">
        <f t="shared" si="57"/>
        <v>1259040</v>
      </c>
      <c r="U122" s="89">
        <f>VLOOKUP(F122,D_装备金币参考表!$A$2:$C$81,3,FALSE)*Q122-VLOOKUP(F98,D_装备金币参考表!$A$2:$C$81,3,FALSE)*Q122+U98</f>
        <v>525459.8600000001</v>
      </c>
      <c r="W122">
        <f t="shared" si="58"/>
        <v>1</v>
      </c>
      <c r="X122">
        <f t="shared" si="59"/>
        <v>7</v>
      </c>
      <c r="Y122">
        <f t="shared" si="60"/>
        <v>60</v>
      </c>
      <c r="Z122" s="25">
        <f t="shared" si="61"/>
        <v>4</v>
      </c>
      <c r="AA122" s="25">
        <f t="shared" si="62"/>
        <v>19</v>
      </c>
      <c r="AB122" s="25">
        <f t="shared" si="63"/>
        <v>248</v>
      </c>
      <c r="AC122" s="25">
        <f t="shared" si="64"/>
        <v>760</v>
      </c>
      <c r="AD122">
        <v>76</v>
      </c>
      <c r="AE122" s="5">
        <f t="shared" si="53"/>
        <v>278.64911622299184</v>
      </c>
      <c r="AF122" s="5">
        <f t="shared" si="53"/>
        <v>872.94535942097662</v>
      </c>
      <c r="AG122" s="5">
        <f t="shared" si="24"/>
        <v>951.92631467939111</v>
      </c>
      <c r="AH122" s="5">
        <f t="shared" si="24"/>
        <v>1745.8907188419532</v>
      </c>
      <c r="AI122" s="5">
        <f t="shared" si="53"/>
        <v>1903.8526293587822</v>
      </c>
      <c r="AJ122" s="5">
        <f t="shared" si="25"/>
        <v>2855.7789440381734</v>
      </c>
      <c r="AK122" s="5">
        <f t="shared" si="53"/>
        <v>2943.677865862951</v>
      </c>
      <c r="AL122" s="5">
        <f t="shared" si="26"/>
        <v>3807.7052587175644</v>
      </c>
      <c r="AM122" s="5">
        <f t="shared" si="26"/>
        <v>3924.9038211506013</v>
      </c>
      <c r="AN122" s="5">
        <f t="shared" si="52"/>
        <v>3976.2296524210601</v>
      </c>
      <c r="AO122" s="5">
        <f t="shared" si="27"/>
        <v>4442.3228018371583</v>
      </c>
      <c r="AP122" s="5">
        <f t="shared" si="27"/>
        <v>4579.0544580090354</v>
      </c>
      <c r="AQ122" s="5">
        <f t="shared" si="27"/>
        <v>4638.9345944912366</v>
      </c>
      <c r="AR122" s="5">
        <f t="shared" si="27"/>
        <v>5233.2050948674687</v>
      </c>
      <c r="AS122" s="5">
        <f t="shared" si="28"/>
        <v>5301.6395365614135</v>
      </c>
    </row>
    <row r="123" spans="1:45" x14ac:dyDescent="0.15">
      <c r="A123" s="28" t="str">
        <f>F123&amp;D123&amp;VLOOKUP(E123,定义数据!$E$1:$F$7,2,FALSE)</f>
        <v>6015</v>
      </c>
      <c r="B123" s="28" t="str">
        <f t="shared" si="54"/>
        <v>6015</v>
      </c>
      <c r="C123" s="28">
        <f>装备属性计算表!AK119</f>
        <v>16</v>
      </c>
      <c r="D123" s="28">
        <f>装备属性计算表!B119</f>
        <v>1</v>
      </c>
      <c r="E123" s="28" t="str">
        <f>装备属性计算表!C119</f>
        <v>鞋子</v>
      </c>
      <c r="F123" s="28">
        <f>装备属性计算表!D119</f>
        <v>60</v>
      </c>
      <c r="G123" s="28">
        <f>ROUND(VLOOKUP($E123,装备属性计算表!$D$4:$O$9,装备属性计算表!F$2,FALSE)/装备属性计算表!F$10*VLOOKUP($F123&amp;$D123,$F$4:$S$29,G$34,FALSE),0)</f>
        <v>212</v>
      </c>
      <c r="H123" s="28">
        <f>ROUND(VLOOKUP($E123,装备属性计算表!$D$4:$O$9,装备属性计算表!G$2,FALSE)/装备属性计算表!G$10*VLOOKUP($F123&amp;$D123,$F$4:$S$29,H$34,FALSE),0)</f>
        <v>0</v>
      </c>
      <c r="I123" s="28">
        <f>ROUND(VLOOKUP($E123,装备属性计算表!$D$4:$O$9,装备属性计算表!H$2,FALSE)/装备属性计算表!H$10*VLOOKUP($F123&amp;$D123,$F$4:$S$29,I$34,FALSE),0)</f>
        <v>0</v>
      </c>
      <c r="J123" s="28">
        <f>ROUND(VLOOKUP($E123,装备属性计算表!$D$4:$O$9,装备属性计算表!I$2,FALSE)/装备属性计算表!I$10*VLOOKUP($F123&amp;$D123,$F$4:$S$29,J$34,FALSE),0)</f>
        <v>28</v>
      </c>
      <c r="K123" s="28">
        <f>ROUND(VLOOKUP($E123,装备属性计算表!$D$4:$O$9,装备属性计算表!J$2,FALSE)/装备属性计算表!J$10*VLOOKUP($F123&amp;$D123,$F$4:$S$29,K$34,FALSE),0)</f>
        <v>0</v>
      </c>
      <c r="L123" s="28">
        <f>ROUND(VLOOKUP($E123,装备属性计算表!$D$4:$O$9,装备属性计算表!K$2,FALSE)/装备属性计算表!K$10*VLOOKUP($F123&amp;$D123,$F$4:$S$29,L$34,FALSE),0)</f>
        <v>0</v>
      </c>
      <c r="M123" s="28">
        <f>ROUND(VLOOKUP($E123,装备属性计算表!$D$4:$O$9,装备属性计算表!L$2,FALSE)/装备属性计算表!L$10*VLOOKUP($F123&amp;$D123,$F$4:$S$29,M$34,FALSE),0)</f>
        <v>0</v>
      </c>
      <c r="N123" s="28">
        <f>ROUND(VLOOKUP($E123,装备属性计算表!$D$4:$O$9,装备属性计算表!M$2,FALSE)/装备属性计算表!M$10*VLOOKUP($F123&amp;$D123,$F$4:$S$29,N$34,FALSE),0)</f>
        <v>0</v>
      </c>
      <c r="O123" s="28">
        <f>ROUND(VLOOKUP($E123,装备属性计算表!$D$4:$O$9,装备属性计算表!N$2,FALSE)/装备属性计算表!N$10*VLOOKUP($F123&amp;$D123,$F$4:$S$29,O$34,FALSE),0)</f>
        <v>0</v>
      </c>
      <c r="P123" s="28">
        <f>ROUND(VLOOKUP($E123,装备属性计算表!$D$4:$O$9,装备属性计算表!O$2,FALSE)/装备属性计算表!O$10*VLOOKUP($F123&amp;$D123,$F$4:$S$29,P$34,FALSE),0)</f>
        <v>0</v>
      </c>
      <c r="Q123" s="28">
        <f>SUMPRODUCT(G123:P123,定义数据!$G$14:$P$14)</f>
        <v>18</v>
      </c>
      <c r="R123" s="28">
        <f t="shared" si="55"/>
        <v>900</v>
      </c>
      <c r="S123" s="91">
        <f t="shared" si="56"/>
        <v>900</v>
      </c>
      <c r="T123" s="28">
        <f t="shared" si="57"/>
        <v>1647000</v>
      </c>
      <c r="U123" s="89">
        <f>VLOOKUP(F123,D_装备金币参考表!$A$2:$C$81,3,FALSE)*Q123-VLOOKUP(F99,D_装备金币参考表!$A$2:$C$81,3,FALSE)*Q123+U99</f>
        <v>688652.3</v>
      </c>
      <c r="W123">
        <f t="shared" si="58"/>
        <v>1</v>
      </c>
      <c r="X123">
        <f t="shared" si="59"/>
        <v>5</v>
      </c>
      <c r="Y123">
        <f t="shared" si="60"/>
        <v>60</v>
      </c>
      <c r="Z123" s="25">
        <f t="shared" si="61"/>
        <v>5</v>
      </c>
      <c r="AA123" s="25">
        <f t="shared" si="62"/>
        <v>13</v>
      </c>
      <c r="AB123" s="25">
        <f t="shared" si="63"/>
        <v>327</v>
      </c>
      <c r="AC123" s="25">
        <f t="shared" si="64"/>
        <v>2000</v>
      </c>
      <c r="AD123">
        <v>77</v>
      </c>
      <c r="AE123" s="5">
        <f t="shared" si="53"/>
        <v>283.42486126523318</v>
      </c>
      <c r="AF123" s="5">
        <f t="shared" si="53"/>
        <v>888.02277598626961</v>
      </c>
      <c r="AG123" s="5">
        <f t="shared" si="24"/>
        <v>968.62108642330179</v>
      </c>
      <c r="AH123" s="5">
        <f t="shared" si="24"/>
        <v>1776.0455519725392</v>
      </c>
      <c r="AI123" s="5">
        <f t="shared" si="53"/>
        <v>1937.2421728466036</v>
      </c>
      <c r="AJ123" s="5">
        <f t="shared" si="25"/>
        <v>2905.8632592699055</v>
      </c>
      <c r="AK123" s="5">
        <f t="shared" si="53"/>
        <v>2995.5778385714161</v>
      </c>
      <c r="AL123" s="5">
        <f t="shared" si="26"/>
        <v>3874.4843456932072</v>
      </c>
      <c r="AM123" s="5">
        <f t="shared" si="26"/>
        <v>3994.1037847618882</v>
      </c>
      <c r="AN123" s="5">
        <f t="shared" si="52"/>
        <v>4046.4932267157255</v>
      </c>
      <c r="AO123" s="5">
        <f t="shared" si="27"/>
        <v>4520.2317366420748</v>
      </c>
      <c r="AP123" s="5">
        <f t="shared" si="27"/>
        <v>4659.7877488888689</v>
      </c>
      <c r="AQ123" s="5">
        <f t="shared" si="27"/>
        <v>4720.9087645016798</v>
      </c>
      <c r="AR123" s="5">
        <f t="shared" si="27"/>
        <v>5325.4717130158506</v>
      </c>
      <c r="AS123" s="5">
        <f t="shared" si="28"/>
        <v>5395.3243022876341</v>
      </c>
    </row>
    <row r="124" spans="1:45" x14ac:dyDescent="0.15">
      <c r="A124" s="28" t="str">
        <f>F124&amp;D124&amp;VLOOKUP(E124,定义数据!$E$1:$F$7,2,FALSE)</f>
        <v>6014</v>
      </c>
      <c r="B124" s="28" t="str">
        <f t="shared" si="54"/>
        <v>6014</v>
      </c>
      <c r="C124" s="28">
        <f>装备属性计算表!AK120</f>
        <v>16</v>
      </c>
      <c r="D124" s="28">
        <f>装备属性计算表!B120</f>
        <v>1</v>
      </c>
      <c r="E124" s="28" t="str">
        <f>装备属性计算表!C120</f>
        <v>腰带</v>
      </c>
      <c r="F124" s="28">
        <f>装备属性计算表!D120</f>
        <v>60</v>
      </c>
      <c r="G124" s="28">
        <f>ROUND(VLOOKUP($E124,装备属性计算表!$D$4:$O$9,装备属性计算表!F$2,FALSE)/装备属性计算表!F$10*VLOOKUP($F124&amp;$D124,$F$4:$S$29,G$34,FALSE),0)</f>
        <v>212</v>
      </c>
      <c r="H124" s="28">
        <f>ROUND(VLOOKUP($E124,装备属性计算表!$D$4:$O$9,装备属性计算表!G$2,FALSE)/装备属性计算表!G$10*VLOOKUP($F124&amp;$D124,$F$4:$S$29,H$34,FALSE),0)</f>
        <v>0</v>
      </c>
      <c r="I124" s="28">
        <f>ROUND(VLOOKUP($E124,装备属性计算表!$D$4:$O$9,装备属性计算表!H$2,FALSE)/装备属性计算表!H$10*VLOOKUP($F124&amp;$D124,$F$4:$S$29,I$34,FALSE),0)</f>
        <v>0</v>
      </c>
      <c r="J124" s="28">
        <f>ROUND(VLOOKUP($E124,装备属性计算表!$D$4:$O$9,装备属性计算表!I$2,FALSE)/装备属性计算表!I$10*VLOOKUP($F124&amp;$D124,$F$4:$S$29,J$34,FALSE),0)</f>
        <v>0</v>
      </c>
      <c r="K124" s="28">
        <f>ROUND(VLOOKUP($E124,装备属性计算表!$D$4:$O$9,装备属性计算表!J$2,FALSE)/装备属性计算表!J$10*VLOOKUP($F124&amp;$D124,$F$4:$S$29,K$34,FALSE),0)</f>
        <v>0</v>
      </c>
      <c r="L124" s="28">
        <f>ROUND(VLOOKUP($E124,装备属性计算表!$D$4:$O$9,装备属性计算表!K$2,FALSE)/装备属性计算表!K$10*VLOOKUP($F124&amp;$D124,$F$4:$S$29,L$34,FALSE),0)</f>
        <v>0</v>
      </c>
      <c r="M124" s="28">
        <f>ROUND(VLOOKUP($E124,装备属性计算表!$D$4:$O$9,装备属性计算表!L$2,FALSE)/装备属性计算表!L$10*VLOOKUP($F124&amp;$D124,$F$4:$S$29,M$34,FALSE),0)</f>
        <v>0</v>
      </c>
      <c r="N124" s="28">
        <f>ROUND(VLOOKUP($E124,装备属性计算表!$D$4:$O$9,装备属性计算表!M$2,FALSE)/装备属性计算表!M$10*VLOOKUP($F124&amp;$D124,$F$4:$S$29,N$34,FALSE),0)</f>
        <v>25</v>
      </c>
      <c r="O124" s="28">
        <f>ROUND(VLOOKUP($E124,装备属性计算表!$D$4:$O$9,装备属性计算表!N$2,FALSE)/装备属性计算表!N$10*VLOOKUP($F124&amp;$D124,$F$4:$S$29,O$34,FALSE),0)</f>
        <v>0</v>
      </c>
      <c r="P124" s="28">
        <f>ROUND(VLOOKUP($E124,装备属性计算表!$D$4:$O$9,装备属性计算表!O$2,FALSE)/装备属性计算表!O$10*VLOOKUP($F124&amp;$D124,$F$4:$S$29,P$34,FALSE),0)</f>
        <v>0</v>
      </c>
      <c r="Q124" s="28">
        <f>SUMPRODUCT(G124:P124,定义数据!$G$14:$P$14)</f>
        <v>12.98</v>
      </c>
      <c r="R124" s="28">
        <f t="shared" si="55"/>
        <v>649</v>
      </c>
      <c r="S124" s="91">
        <f t="shared" si="56"/>
        <v>649</v>
      </c>
      <c r="T124" s="28">
        <f t="shared" si="57"/>
        <v>1187670</v>
      </c>
      <c r="U124" s="89">
        <f>VLOOKUP(F124,D_装备金币参考表!$A$2:$C$81,3,FALSE)*Q124-VLOOKUP(F100,D_装备金币参考表!$A$2:$C$81,3,FALSE)*Q124+U100</f>
        <v>496443.10000000003</v>
      </c>
      <c r="W124">
        <f t="shared" si="58"/>
        <v>1</v>
      </c>
      <c r="X124">
        <f t="shared" si="59"/>
        <v>7</v>
      </c>
      <c r="Y124">
        <f t="shared" si="60"/>
        <v>60</v>
      </c>
      <c r="Z124" s="25">
        <f t="shared" si="61"/>
        <v>4</v>
      </c>
      <c r="AA124" s="25">
        <f t="shared" si="62"/>
        <v>18</v>
      </c>
      <c r="AB124" s="25">
        <f t="shared" si="63"/>
        <v>234</v>
      </c>
      <c r="AC124" s="25">
        <f t="shared" si="64"/>
        <v>1130</v>
      </c>
      <c r="AD124">
        <v>78</v>
      </c>
      <c r="AE124" s="5">
        <f t="shared" si="53"/>
        <v>288.21924984682033</v>
      </c>
      <c r="AF124" s="5">
        <f t="shared" si="53"/>
        <v>903.16101764183622</v>
      </c>
      <c r="AG124" s="5">
        <f t="shared" si="24"/>
        <v>985.38756241428928</v>
      </c>
      <c r="AH124" s="5">
        <f t="shared" si="24"/>
        <v>1806.3220352836724</v>
      </c>
      <c r="AI124" s="5">
        <f t="shared" si="53"/>
        <v>1970.7751248285786</v>
      </c>
      <c r="AJ124" s="5">
        <f t="shared" si="25"/>
        <v>2956.1626872428678</v>
      </c>
      <c r="AK124" s="5">
        <f t="shared" si="53"/>
        <v>3047.7054610401406</v>
      </c>
      <c r="AL124" s="5">
        <f t="shared" si="26"/>
        <v>3941.5502496571571</v>
      </c>
      <c r="AM124" s="5">
        <f t="shared" si="26"/>
        <v>4063.6072813868541</v>
      </c>
      <c r="AN124" s="5">
        <f t="shared" si="52"/>
        <v>4117.0677490125363</v>
      </c>
      <c r="AO124" s="5">
        <f t="shared" si="27"/>
        <v>4598.4752912666827</v>
      </c>
      <c r="AP124" s="5">
        <f t="shared" si="27"/>
        <v>4740.875161617997</v>
      </c>
      <c r="AQ124" s="5">
        <f t="shared" si="27"/>
        <v>4803.2457071812923</v>
      </c>
      <c r="AR124" s="5">
        <f t="shared" si="27"/>
        <v>5418.1430418491391</v>
      </c>
      <c r="AS124" s="5">
        <f t="shared" si="28"/>
        <v>5489.4236653500484</v>
      </c>
    </row>
    <row r="125" spans="1:45" x14ac:dyDescent="0.15">
      <c r="A125" s="28" t="str">
        <f>F125&amp;D125&amp;VLOOKUP(E125,定义数据!$E$1:$F$7,2,FALSE)</f>
        <v>6013</v>
      </c>
      <c r="B125" s="28" t="str">
        <f t="shared" si="54"/>
        <v>6013</v>
      </c>
      <c r="C125" s="28">
        <f>装备属性计算表!AK121</f>
        <v>16</v>
      </c>
      <c r="D125" s="28">
        <f>装备属性计算表!B121</f>
        <v>1</v>
      </c>
      <c r="E125" s="28" t="str">
        <f>装备属性计算表!C121</f>
        <v>项链</v>
      </c>
      <c r="F125" s="28">
        <f>装备属性计算表!D121</f>
        <v>60</v>
      </c>
      <c r="G125" s="28">
        <f>ROUND(VLOOKUP($E125,装备属性计算表!$D$4:$O$9,装备属性计算表!F$2,FALSE)/装备属性计算表!F$10*VLOOKUP($F125&amp;$D125,$F$4:$S$29,G$34,FALSE),0)</f>
        <v>0</v>
      </c>
      <c r="H125" s="28">
        <f>ROUND(VLOOKUP($E125,装备属性计算表!$D$4:$O$9,装备属性计算表!G$2,FALSE)/装备属性计算表!G$10*VLOOKUP($F125&amp;$D125,$F$4:$S$29,H$34,FALSE),0)</f>
        <v>13</v>
      </c>
      <c r="I125" s="28">
        <f>ROUND(VLOOKUP($E125,装备属性计算表!$D$4:$O$9,装备属性计算表!H$2,FALSE)/装备属性计算表!H$10*VLOOKUP($F125&amp;$D125,$F$4:$S$29,I$34,FALSE),0)</f>
        <v>0</v>
      </c>
      <c r="J125" s="28">
        <f>ROUND(VLOOKUP($E125,装备属性计算表!$D$4:$O$9,装备属性计算表!I$2,FALSE)/装备属性计算表!I$10*VLOOKUP($F125&amp;$D125,$F$4:$S$29,J$34,FALSE),0)</f>
        <v>0</v>
      </c>
      <c r="K125" s="28">
        <f>ROUND(VLOOKUP($E125,装备属性计算表!$D$4:$O$9,装备属性计算表!J$2,FALSE)/装备属性计算表!J$10*VLOOKUP($F125&amp;$D125,$F$4:$S$29,K$34,FALSE),0)</f>
        <v>42</v>
      </c>
      <c r="L125" s="28">
        <f>ROUND(VLOOKUP($E125,装备属性计算表!$D$4:$O$9,装备属性计算表!K$2,FALSE)/装备属性计算表!K$10*VLOOKUP($F125&amp;$D125,$F$4:$S$29,L$34,FALSE),0)</f>
        <v>0</v>
      </c>
      <c r="M125" s="28">
        <f>ROUND(VLOOKUP($E125,装备属性计算表!$D$4:$O$9,装备属性计算表!L$2,FALSE)/装备属性计算表!L$10*VLOOKUP($F125&amp;$D125,$F$4:$S$29,M$34,FALSE),0)</f>
        <v>0</v>
      </c>
      <c r="N125" s="28">
        <f>ROUND(VLOOKUP($E125,装备属性计算表!$D$4:$O$9,装备属性计算表!M$2,FALSE)/装备属性计算表!M$10*VLOOKUP($F125&amp;$D125,$F$4:$S$29,N$34,FALSE),0)</f>
        <v>0</v>
      </c>
      <c r="O125" s="28">
        <f>ROUND(VLOOKUP($E125,装备属性计算表!$D$4:$O$9,装备属性计算表!N$2,FALSE)/装备属性计算表!N$10*VLOOKUP($F125&amp;$D125,$F$4:$S$29,O$34,FALSE),0)</f>
        <v>0</v>
      </c>
      <c r="P125" s="28">
        <f>ROUND(VLOOKUP($E125,装备属性计算表!$D$4:$O$9,装备属性计算表!O$2,FALSE)/装备属性计算表!O$10*VLOOKUP($F125&amp;$D125,$F$4:$S$29,P$34,FALSE),0)</f>
        <v>0</v>
      </c>
      <c r="Q125" s="28">
        <f>SUMPRODUCT(G125:P125,定义数据!$G$14:$P$14)</f>
        <v>27.28</v>
      </c>
      <c r="R125" s="28">
        <f t="shared" si="55"/>
        <v>1364</v>
      </c>
      <c r="S125" s="91">
        <f t="shared" si="56"/>
        <v>1364</v>
      </c>
      <c r="T125" s="28">
        <f t="shared" si="57"/>
        <v>2496120</v>
      </c>
      <c r="U125" s="89">
        <f>VLOOKUP(F125,D_装备金币参考表!$A$2:$C$81,3,FALSE)*Q125-VLOOKUP(F101,D_装备金币参考表!$A$2:$C$81,3,FALSE)*Q125+U101</f>
        <v>1046617.72</v>
      </c>
      <c r="V125" s="25">
        <f>SUM(U120:U125)</f>
        <v>5963904.1599999992</v>
      </c>
      <c r="W125">
        <f t="shared" si="58"/>
        <v>0</v>
      </c>
      <c r="X125">
        <f t="shared" si="59"/>
        <v>3</v>
      </c>
      <c r="Y125">
        <f t="shared" si="60"/>
        <v>60</v>
      </c>
      <c r="Z125" s="25">
        <f t="shared" si="61"/>
        <v>0</v>
      </c>
      <c r="AA125" s="25">
        <f t="shared" si="62"/>
        <v>9</v>
      </c>
      <c r="AB125" s="25">
        <f t="shared" si="63"/>
        <v>498</v>
      </c>
      <c r="AC125" s="25">
        <f t="shared" si="64"/>
        <v>2880</v>
      </c>
      <c r="AD125">
        <v>79</v>
      </c>
      <c r="AE125" s="5">
        <f t="shared" si="53"/>
        <v>293.03211432250754</v>
      </c>
      <c r="AF125" s="5">
        <f t="shared" si="53"/>
        <v>918.35954521912845</v>
      </c>
      <c r="AG125" s="5">
        <f t="shared" si="24"/>
        <v>1002.2251253924009</v>
      </c>
      <c r="AH125" s="5">
        <f t="shared" si="24"/>
        <v>1836.7190904382569</v>
      </c>
      <c r="AI125" s="5">
        <f t="shared" si="53"/>
        <v>2004.4502507848017</v>
      </c>
      <c r="AJ125" s="5">
        <f t="shared" si="25"/>
        <v>3006.6753761772025</v>
      </c>
      <c r="AK125" s="5">
        <f t="shared" si="53"/>
        <v>3100.0587939528382</v>
      </c>
      <c r="AL125" s="5">
        <f t="shared" si="26"/>
        <v>4008.9005015696034</v>
      </c>
      <c r="AM125" s="5">
        <f t="shared" si="26"/>
        <v>4133.4117252704509</v>
      </c>
      <c r="AN125" s="5">
        <f t="shared" si="52"/>
        <v>4187.9505823245254</v>
      </c>
      <c r="AO125" s="5">
        <f t="shared" si="27"/>
        <v>4677.0505851645376</v>
      </c>
      <c r="AP125" s="5">
        <f t="shared" si="27"/>
        <v>4822.3136794821921</v>
      </c>
      <c r="AQ125" s="5">
        <f t="shared" si="27"/>
        <v>4885.942346045279</v>
      </c>
      <c r="AR125" s="5">
        <f t="shared" si="27"/>
        <v>5511.2156336939343</v>
      </c>
      <c r="AS125" s="5">
        <f t="shared" si="28"/>
        <v>5583.9341097660335</v>
      </c>
    </row>
    <row r="126" spans="1:45" x14ac:dyDescent="0.15">
      <c r="A126" s="28" t="str">
        <f>F126&amp;D126&amp;VLOOKUP(E126,定义数据!$E$1:$F$7,2,FALSE)</f>
        <v>6020</v>
      </c>
      <c r="B126" s="28" t="str">
        <f t="shared" si="54"/>
        <v>6020</v>
      </c>
      <c r="C126" s="28">
        <f>装备属性计算表!AK122</f>
        <v>17</v>
      </c>
      <c r="D126" s="28">
        <f>装备属性计算表!B122</f>
        <v>2</v>
      </c>
      <c r="E126" s="28" t="str">
        <f>装备属性计算表!C122</f>
        <v>武器</v>
      </c>
      <c r="F126" s="28">
        <f>装备属性计算表!D122</f>
        <v>60</v>
      </c>
      <c r="G126" s="28">
        <f>ROUND(VLOOKUP($E126,装备属性计算表!$D$4:$O$9,装备属性计算表!F$2,FALSE)/装备属性计算表!F$10*VLOOKUP($F126&amp;$D126,$F$4:$S$29,G$34,FALSE),0)</f>
        <v>0</v>
      </c>
      <c r="H126" s="28">
        <f>ROUND(VLOOKUP($E126,装备属性计算表!$D$4:$O$9,装备属性计算表!G$2,FALSE)/装备属性计算表!G$10*VLOOKUP($F126&amp;$D126,$F$4:$S$29,H$34,FALSE),0)</f>
        <v>58</v>
      </c>
      <c r="I126" s="28">
        <f>ROUND(VLOOKUP($E126,装备属性计算表!$D$4:$O$9,装备属性计算表!H$2,FALSE)/装备属性计算表!H$10*VLOOKUP($F126&amp;$D126,$F$4:$S$29,I$34,FALSE),0)</f>
        <v>0</v>
      </c>
      <c r="J126" s="28">
        <f>ROUND(VLOOKUP($E126,装备属性计算表!$D$4:$O$9,装备属性计算表!I$2,FALSE)/装备属性计算表!I$10*VLOOKUP($F126&amp;$D126,$F$4:$S$29,J$34,FALSE),0)</f>
        <v>0</v>
      </c>
      <c r="K126" s="28">
        <f>ROUND(VLOOKUP($E126,装备属性计算表!$D$4:$O$9,装备属性计算表!J$2,FALSE)/装备属性计算表!J$10*VLOOKUP($F126&amp;$D126,$F$4:$S$29,K$34,FALSE),0)</f>
        <v>0</v>
      </c>
      <c r="L126" s="28">
        <f>ROUND(VLOOKUP($E126,装备属性计算表!$D$4:$O$9,装备属性计算表!K$2,FALSE)/装备属性计算表!K$10*VLOOKUP($F126&amp;$D126,$F$4:$S$29,L$34,FALSE),0)</f>
        <v>36</v>
      </c>
      <c r="M126" s="28">
        <f>ROUND(VLOOKUP($E126,装备属性计算表!$D$4:$O$9,装备属性计算表!L$2,FALSE)/装备属性计算表!L$10*VLOOKUP($F126&amp;$D126,$F$4:$S$29,M$34,FALSE),0)</f>
        <v>0</v>
      </c>
      <c r="N126" s="28">
        <f>ROUND(VLOOKUP($E126,装备属性计算表!$D$4:$O$9,装备属性计算表!M$2,FALSE)/装备属性计算表!M$10*VLOOKUP($F126&amp;$D126,$F$4:$S$29,N$34,FALSE),0)</f>
        <v>0</v>
      </c>
      <c r="O126" s="28">
        <f>ROUND(VLOOKUP($E126,装备属性计算表!$D$4:$O$9,装备属性计算表!N$2,FALSE)/装备属性计算表!N$10*VLOOKUP($F126&amp;$D126,$F$4:$S$29,O$34,FALSE),0)</f>
        <v>0</v>
      </c>
      <c r="P126" s="28">
        <f>ROUND(VLOOKUP($E126,装备属性计算表!$D$4:$O$9,装备属性计算表!O$2,FALSE)/装备属性计算表!O$10*VLOOKUP($F126&amp;$D126,$F$4:$S$29,P$34,FALSE),0)</f>
        <v>0</v>
      </c>
      <c r="Q126" s="28">
        <f>SUMPRODUCT(G126:P126,定义数据!$G$14:$P$14)</f>
        <v>64.48</v>
      </c>
      <c r="R126" s="28">
        <f t="shared" si="55"/>
        <v>3224</v>
      </c>
      <c r="S126" s="91">
        <f t="shared" si="56"/>
        <v>3224</v>
      </c>
      <c r="T126" s="28">
        <f t="shared" si="57"/>
        <v>5899920</v>
      </c>
      <c r="U126" s="89">
        <f>VLOOKUP(F126,D_装备金币参考表!$A$2:$C$81,3,FALSE)*Q126-VLOOKUP(F102,D_装备金币参考表!$A$2:$C$81,3,FALSE)*Q126+U102</f>
        <v>2465971.52</v>
      </c>
      <c r="W126">
        <f t="shared" si="58"/>
        <v>0</v>
      </c>
      <c r="X126">
        <f t="shared" si="59"/>
        <v>1</v>
      </c>
      <c r="Y126">
        <f t="shared" si="60"/>
        <v>60</v>
      </c>
      <c r="Z126" s="25">
        <f t="shared" si="61"/>
        <v>0</v>
      </c>
      <c r="AA126" s="25">
        <f t="shared" si="62"/>
        <v>4</v>
      </c>
      <c r="AB126" s="25">
        <f t="shared" si="63"/>
        <v>1180</v>
      </c>
      <c r="AC126" s="25">
        <f t="shared" si="64"/>
        <v>4080</v>
      </c>
      <c r="AD126">
        <v>80</v>
      </c>
      <c r="AE126" s="5">
        <f t="shared" si="53"/>
        <v>297.86329066177098</v>
      </c>
      <c r="AF126" s="5">
        <f t="shared" si="53"/>
        <v>933.61783110735473</v>
      </c>
      <c r="AG126" s="5">
        <f t="shared" si="24"/>
        <v>1019.1331711745045</v>
      </c>
      <c r="AH126" s="5">
        <f t="shared" si="24"/>
        <v>1867.2356622147095</v>
      </c>
      <c r="AI126" s="5">
        <f t="shared" si="53"/>
        <v>2038.2663423490089</v>
      </c>
      <c r="AJ126" s="5">
        <f t="shared" si="25"/>
        <v>3057.3995135235132</v>
      </c>
      <c r="AK126" s="5">
        <f t="shared" si="53"/>
        <v>3152.6359389077561</v>
      </c>
      <c r="AL126" s="5">
        <f t="shared" si="26"/>
        <v>4076.5326846980179</v>
      </c>
      <c r="AM126" s="5">
        <f t="shared" si="26"/>
        <v>4203.5145852103415</v>
      </c>
      <c r="AN126" s="5">
        <f t="shared" si="52"/>
        <v>4259.1391451989957</v>
      </c>
      <c r="AO126" s="5">
        <f t="shared" si="27"/>
        <v>4755.954798814354</v>
      </c>
      <c r="AP126" s="5">
        <f t="shared" si="27"/>
        <v>4904.100349412065</v>
      </c>
      <c r="AQ126" s="5">
        <f t="shared" si="27"/>
        <v>4968.9956693988279</v>
      </c>
      <c r="AR126" s="5">
        <f t="shared" ref="AR126:AS146" si="65">AR$32*$AD126^AR$33</f>
        <v>5604.6861136137886</v>
      </c>
      <c r="AS126" s="5">
        <f t="shared" si="28"/>
        <v>5678.852193598661</v>
      </c>
    </row>
    <row r="127" spans="1:45" x14ac:dyDescent="0.15">
      <c r="A127" s="28" t="str">
        <f>F127&amp;D127&amp;VLOOKUP(E127,定义数据!$E$1:$F$7,2,FALSE)</f>
        <v>6021</v>
      </c>
      <c r="B127" s="28" t="str">
        <f t="shared" si="54"/>
        <v>6021</v>
      </c>
      <c r="C127" s="28">
        <f>装备属性计算表!AK123</f>
        <v>17</v>
      </c>
      <c r="D127" s="28">
        <f>装备属性计算表!B123</f>
        <v>2</v>
      </c>
      <c r="E127" s="28" t="str">
        <f>装备属性计算表!C123</f>
        <v>衣服</v>
      </c>
      <c r="F127" s="28">
        <f>装备属性计算表!D123</f>
        <v>60</v>
      </c>
      <c r="G127" s="28">
        <f>ROUND(VLOOKUP($E127,装备属性计算表!$D$4:$O$9,装备属性计算表!F$2,FALSE)/装备属性计算表!F$10*VLOOKUP($F127&amp;$D127,$F$4:$S$29,G$34,FALSE),0)</f>
        <v>917</v>
      </c>
      <c r="H127" s="28">
        <f>ROUND(VLOOKUP($E127,装备属性计算表!$D$4:$O$9,装备属性计算表!G$2,FALSE)/装备属性计算表!G$10*VLOOKUP($F127&amp;$D127,$F$4:$S$29,H$34,FALSE),0)</f>
        <v>0</v>
      </c>
      <c r="I127" s="28">
        <f>ROUND(VLOOKUP($E127,装备属性计算表!$D$4:$O$9,装备属性计算表!H$2,FALSE)/装备属性计算表!H$10*VLOOKUP($F127&amp;$D127,$F$4:$S$29,I$34,FALSE),0)</f>
        <v>20</v>
      </c>
      <c r="J127" s="28">
        <f>ROUND(VLOOKUP($E127,装备属性计算表!$D$4:$O$9,装备属性计算表!I$2,FALSE)/装备属性计算表!I$10*VLOOKUP($F127&amp;$D127,$F$4:$S$29,J$34,FALSE),0)</f>
        <v>0</v>
      </c>
      <c r="K127" s="28">
        <f>ROUND(VLOOKUP($E127,装备属性计算表!$D$4:$O$9,装备属性计算表!J$2,FALSE)/装备属性计算表!J$10*VLOOKUP($F127&amp;$D127,$F$4:$S$29,K$34,FALSE),0)</f>
        <v>0</v>
      </c>
      <c r="L127" s="28">
        <f>ROUND(VLOOKUP($E127,装备属性计算表!$D$4:$O$9,装备属性计算表!K$2,FALSE)/装备属性计算表!K$10*VLOOKUP($F127&amp;$D127,$F$4:$S$29,L$34,FALSE),0)</f>
        <v>0</v>
      </c>
      <c r="M127" s="28">
        <f>ROUND(VLOOKUP($E127,装备属性计算表!$D$4:$O$9,装备属性计算表!L$2,FALSE)/装备属性计算表!L$10*VLOOKUP($F127&amp;$D127,$F$4:$S$29,M$34,FALSE),0)</f>
        <v>0</v>
      </c>
      <c r="N127" s="28">
        <f>ROUND(VLOOKUP($E127,装备属性计算表!$D$4:$O$9,装备属性计算表!M$2,FALSE)/装备属性计算表!M$10*VLOOKUP($F127&amp;$D127,$F$4:$S$29,N$34,FALSE),0)</f>
        <v>0</v>
      </c>
      <c r="O127" s="28">
        <f>ROUND(VLOOKUP($E127,装备属性计算表!$D$4:$O$9,装备属性计算表!N$2,FALSE)/装备属性计算表!N$10*VLOOKUP($F127&amp;$D127,$F$4:$S$29,O$34,FALSE),0)</f>
        <v>0</v>
      </c>
      <c r="P127" s="28">
        <f>ROUND(VLOOKUP($E127,装备属性计算表!$D$4:$O$9,装备属性计算表!O$2,FALSE)/装备属性计算表!O$10*VLOOKUP($F127&amp;$D127,$F$4:$S$29,P$34,FALSE),0)</f>
        <v>0</v>
      </c>
      <c r="Q127" s="28">
        <f>SUMPRODUCT(G127:P127,定义数据!$G$14:$P$14)</f>
        <v>56.68</v>
      </c>
      <c r="R127" s="28">
        <f t="shared" si="55"/>
        <v>2834</v>
      </c>
      <c r="S127" s="91">
        <f t="shared" si="56"/>
        <v>2834</v>
      </c>
      <c r="T127" s="28">
        <f t="shared" si="57"/>
        <v>5186220</v>
      </c>
      <c r="U127" s="89">
        <f>VLOOKUP(F127,D_装备金币参考表!$A$2:$C$81,3,FALSE)*Q127-VLOOKUP(F103,D_装备金币参考表!$A$2:$C$81,3,FALSE)*Q127+U103</f>
        <v>2161153.4400000004</v>
      </c>
      <c r="W127">
        <f t="shared" si="58"/>
        <v>0</v>
      </c>
      <c r="X127">
        <f t="shared" si="59"/>
        <v>1</v>
      </c>
      <c r="Y127">
        <f t="shared" si="60"/>
        <v>60</v>
      </c>
      <c r="Z127" s="25">
        <f t="shared" si="61"/>
        <v>0</v>
      </c>
      <c r="AA127" s="25">
        <f t="shared" si="62"/>
        <v>3</v>
      </c>
      <c r="AB127" s="25">
        <f t="shared" si="63"/>
        <v>1037</v>
      </c>
      <c r="AC127" s="25">
        <f t="shared" si="64"/>
        <v>1780</v>
      </c>
      <c r="AD127">
        <v>81</v>
      </c>
      <c r="AE127" s="5">
        <f t="shared" si="53"/>
        <v>302.71261832657081</v>
      </c>
      <c r="AF127" s="5">
        <f t="shared" si="53"/>
        <v>948.93535886406005</v>
      </c>
      <c r="AG127" s="5">
        <f t="shared" si="53"/>
        <v>1036.1111082168977</v>
      </c>
      <c r="AH127" s="5">
        <f t="shared" si="53"/>
        <v>1897.8707177281201</v>
      </c>
      <c r="AI127" s="5">
        <f t="shared" si="53"/>
        <v>2072.2222164337954</v>
      </c>
      <c r="AJ127" s="5">
        <f t="shared" si="53"/>
        <v>3108.3333246506932</v>
      </c>
      <c r="AK127" s="5">
        <f t="shared" si="53"/>
        <v>3205.4350370527313</v>
      </c>
      <c r="AL127" s="5">
        <f t="shared" si="53"/>
        <v>4144.4444328675909</v>
      </c>
      <c r="AM127" s="5">
        <f t="shared" si="53"/>
        <v>4273.9133827369751</v>
      </c>
      <c r="AN127" s="5">
        <f t="shared" si="52"/>
        <v>4330.6309098668917</v>
      </c>
      <c r="AO127" s="5">
        <f t="shared" si="52"/>
        <v>4835.185171678856</v>
      </c>
      <c r="AP127" s="5">
        <f t="shared" si="52"/>
        <v>4986.2322798598043</v>
      </c>
      <c r="AQ127" s="5">
        <f t="shared" si="52"/>
        <v>5052.40272817804</v>
      </c>
      <c r="AR127" s="5">
        <f t="shared" si="65"/>
        <v>5698.5511769826335</v>
      </c>
      <c r="AS127" s="5">
        <f t="shared" si="65"/>
        <v>5774.1745464891883</v>
      </c>
    </row>
    <row r="128" spans="1:45" x14ac:dyDescent="0.15">
      <c r="A128" s="28" t="str">
        <f>F128&amp;D128&amp;VLOOKUP(E128,定义数据!$E$1:$F$7,2,FALSE)</f>
        <v>6022</v>
      </c>
      <c r="B128" s="28" t="str">
        <f t="shared" si="54"/>
        <v>6022</v>
      </c>
      <c r="C128" s="28">
        <f>装备属性计算表!AK124</f>
        <v>17</v>
      </c>
      <c r="D128" s="28">
        <f>装备属性计算表!B124</f>
        <v>2</v>
      </c>
      <c r="E128" s="28" t="str">
        <f>装备属性计算表!C124</f>
        <v>裤子</v>
      </c>
      <c r="F128" s="28">
        <f>装备属性计算表!D124</f>
        <v>60</v>
      </c>
      <c r="G128" s="28">
        <f>ROUND(VLOOKUP($E128,装备属性计算表!$D$4:$O$9,装备属性计算表!F$2,FALSE)/装备属性计算表!F$10*VLOOKUP($F128&amp;$D128,$F$4:$S$29,G$34,FALSE),0)</f>
        <v>0</v>
      </c>
      <c r="H128" s="28">
        <f>ROUND(VLOOKUP($E128,装备属性计算表!$D$4:$O$9,装备属性计算表!G$2,FALSE)/装备属性计算表!G$10*VLOOKUP($F128&amp;$D128,$F$4:$S$29,H$34,FALSE),0)</f>
        <v>0</v>
      </c>
      <c r="I128" s="28">
        <f>ROUND(VLOOKUP($E128,装备属性计算表!$D$4:$O$9,装备属性计算表!H$2,FALSE)/装备属性计算表!H$10*VLOOKUP($F128&amp;$D128,$F$4:$S$29,I$34,FALSE),0)</f>
        <v>13</v>
      </c>
      <c r="J128" s="28">
        <f>ROUND(VLOOKUP($E128,装备属性计算表!$D$4:$O$9,装备属性计算表!I$2,FALSE)/装备属性计算表!I$10*VLOOKUP($F128&amp;$D128,$F$4:$S$29,J$34,FALSE),0)</f>
        <v>20</v>
      </c>
      <c r="K128" s="28">
        <f>ROUND(VLOOKUP($E128,装备属性计算表!$D$4:$O$9,装备属性计算表!J$2,FALSE)/装备属性计算表!J$10*VLOOKUP($F128&amp;$D128,$F$4:$S$29,K$34,FALSE),0)</f>
        <v>0</v>
      </c>
      <c r="L128" s="28">
        <f>ROUND(VLOOKUP($E128,装备属性计算表!$D$4:$O$9,装备属性计算表!K$2,FALSE)/装备属性计算表!K$10*VLOOKUP($F128&amp;$D128,$F$4:$S$29,L$34,FALSE),0)</f>
        <v>0</v>
      </c>
      <c r="M128" s="28">
        <f>ROUND(VLOOKUP($E128,装备属性计算表!$D$4:$O$9,装备属性计算表!L$2,FALSE)/装备属性计算表!L$10*VLOOKUP($F128&amp;$D128,$F$4:$S$29,M$34,FALSE),0)</f>
        <v>0</v>
      </c>
      <c r="N128" s="28">
        <f>ROUND(VLOOKUP($E128,装备属性计算表!$D$4:$O$9,装备属性计算表!M$2,FALSE)/装备属性计算表!M$10*VLOOKUP($F128&amp;$D128,$F$4:$S$29,N$34,FALSE),0)</f>
        <v>0</v>
      </c>
      <c r="O128" s="28">
        <f>ROUND(VLOOKUP($E128,装备属性计算表!$D$4:$O$9,装备属性计算表!N$2,FALSE)/装备属性计算表!N$10*VLOOKUP($F128&amp;$D128,$F$4:$S$29,O$34,FALSE),0)</f>
        <v>0</v>
      </c>
      <c r="P128" s="28">
        <f>ROUND(VLOOKUP($E128,装备属性计算表!$D$4:$O$9,装备属性计算表!O$2,FALSE)/装备属性计算表!O$10*VLOOKUP($F128&amp;$D128,$F$4:$S$29,P$34,FALSE),0)</f>
        <v>0</v>
      </c>
      <c r="Q128" s="28">
        <f>SUMPRODUCT(G128:P128,定义数据!$G$14:$P$14)</f>
        <v>19.8</v>
      </c>
      <c r="R128" s="28">
        <f t="shared" si="55"/>
        <v>990</v>
      </c>
      <c r="S128" s="91">
        <f t="shared" si="56"/>
        <v>990</v>
      </c>
      <c r="T128" s="28">
        <f t="shared" si="57"/>
        <v>1811700</v>
      </c>
      <c r="U128" s="89">
        <f>VLOOKUP(F128,D_装备金币参考表!$A$2:$C$81,3,FALSE)*Q128-VLOOKUP(F104,D_装备金币参考表!$A$2:$C$81,3,FALSE)*Q128+U104</f>
        <v>762606.94000000006</v>
      </c>
      <c r="W128">
        <f t="shared" si="58"/>
        <v>1</v>
      </c>
      <c r="X128">
        <f t="shared" si="59"/>
        <v>5</v>
      </c>
      <c r="Y128">
        <f t="shared" si="60"/>
        <v>60</v>
      </c>
      <c r="Z128" s="25">
        <f t="shared" si="61"/>
        <v>5</v>
      </c>
      <c r="AA128" s="25">
        <f t="shared" si="62"/>
        <v>14</v>
      </c>
      <c r="AB128" s="25">
        <f t="shared" si="63"/>
        <v>360</v>
      </c>
      <c r="AC128" s="25">
        <f t="shared" si="64"/>
        <v>3300</v>
      </c>
      <c r="AD128">
        <v>82</v>
      </c>
      <c r="AE128" s="5">
        <f t="shared" si="53"/>
        <v>307.57994015470427</v>
      </c>
      <c r="AF128" s="5">
        <f t="shared" si="53"/>
        <v>964.31162284346294</v>
      </c>
      <c r="AG128" s="5">
        <f t="shared" si="53"/>
        <v>1053.1583571977721</v>
      </c>
      <c r="AH128" s="5">
        <f t="shared" si="53"/>
        <v>1928.6232456869259</v>
      </c>
      <c r="AI128" s="5">
        <f t="shared" si="53"/>
        <v>2106.3167143955443</v>
      </c>
      <c r="AJ128" s="5">
        <f t="shared" si="53"/>
        <v>3159.4750715933164</v>
      </c>
      <c r="AK128" s="5">
        <f t="shared" si="53"/>
        <v>3258.4542677820464</v>
      </c>
      <c r="AL128" s="5">
        <f t="shared" si="53"/>
        <v>4212.6334287910886</v>
      </c>
      <c r="AM128" s="5">
        <f t="shared" si="53"/>
        <v>4344.6056903760618</v>
      </c>
      <c r="AN128" s="5">
        <f t="shared" si="52"/>
        <v>4402.4234004759219</v>
      </c>
      <c r="AO128" s="5">
        <f t="shared" si="52"/>
        <v>4914.7390002562706</v>
      </c>
      <c r="AP128" s="5">
        <f t="shared" si="52"/>
        <v>5068.7066387720715</v>
      </c>
      <c r="AQ128" s="5">
        <f t="shared" si="52"/>
        <v>5136.1606338885749</v>
      </c>
      <c r="AR128" s="5">
        <f t="shared" si="65"/>
        <v>5792.8075871680821</v>
      </c>
      <c r="AS128" s="5">
        <f t="shared" si="65"/>
        <v>5869.8978673012289</v>
      </c>
    </row>
    <row r="129" spans="1:45" x14ac:dyDescent="0.15">
      <c r="A129" s="28" t="str">
        <f>F129&amp;D129&amp;VLOOKUP(E129,定义数据!$E$1:$F$7,2,FALSE)</f>
        <v>6025</v>
      </c>
      <c r="B129" s="28" t="str">
        <f t="shared" si="54"/>
        <v>6025</v>
      </c>
      <c r="C129" s="28">
        <f>装备属性计算表!AK125</f>
        <v>17</v>
      </c>
      <c r="D129" s="28">
        <f>装备属性计算表!B125</f>
        <v>2</v>
      </c>
      <c r="E129" s="28" t="str">
        <f>装备属性计算表!C125</f>
        <v>鞋子</v>
      </c>
      <c r="F129" s="28">
        <f>装备属性计算表!D125</f>
        <v>60</v>
      </c>
      <c r="G129" s="28">
        <f>ROUND(VLOOKUP($E129,装备属性计算表!$D$4:$O$9,装备属性计算表!F$2,FALSE)/装备属性计算表!F$10*VLOOKUP($F129&amp;$D129,$F$4:$S$29,G$34,FALSE),0)</f>
        <v>306</v>
      </c>
      <c r="H129" s="28">
        <f>ROUND(VLOOKUP($E129,装备属性计算表!$D$4:$O$9,装备属性计算表!G$2,FALSE)/装备属性计算表!G$10*VLOOKUP($F129&amp;$D129,$F$4:$S$29,H$34,FALSE),0)</f>
        <v>0</v>
      </c>
      <c r="I129" s="28">
        <f>ROUND(VLOOKUP($E129,装备属性计算表!$D$4:$O$9,装备属性计算表!H$2,FALSE)/装备属性计算表!H$10*VLOOKUP($F129&amp;$D129,$F$4:$S$29,I$34,FALSE),0)</f>
        <v>0</v>
      </c>
      <c r="J129" s="28">
        <f>ROUND(VLOOKUP($E129,装备属性计算表!$D$4:$O$9,装备属性计算表!I$2,FALSE)/装备属性计算表!I$10*VLOOKUP($F129&amp;$D129,$F$4:$S$29,J$34,FALSE),0)</f>
        <v>41</v>
      </c>
      <c r="K129" s="28">
        <f>ROUND(VLOOKUP($E129,装备属性计算表!$D$4:$O$9,装备属性计算表!J$2,FALSE)/装备属性计算表!J$10*VLOOKUP($F129&amp;$D129,$F$4:$S$29,K$34,FALSE),0)</f>
        <v>0</v>
      </c>
      <c r="L129" s="28">
        <f>ROUND(VLOOKUP($E129,装备属性计算表!$D$4:$O$9,装备属性计算表!K$2,FALSE)/装备属性计算表!K$10*VLOOKUP($F129&amp;$D129,$F$4:$S$29,L$34,FALSE),0)</f>
        <v>0</v>
      </c>
      <c r="M129" s="28">
        <f>ROUND(VLOOKUP($E129,装备属性计算表!$D$4:$O$9,装备属性计算表!L$2,FALSE)/装备属性计算表!L$10*VLOOKUP($F129&amp;$D129,$F$4:$S$29,M$34,FALSE),0)</f>
        <v>0</v>
      </c>
      <c r="N129" s="28">
        <f>ROUND(VLOOKUP($E129,装备属性计算表!$D$4:$O$9,装备属性计算表!M$2,FALSE)/装备属性计算表!M$10*VLOOKUP($F129&amp;$D129,$F$4:$S$29,N$34,FALSE),0)</f>
        <v>0</v>
      </c>
      <c r="O129" s="28">
        <f>ROUND(VLOOKUP($E129,装备属性计算表!$D$4:$O$9,装备属性计算表!N$2,FALSE)/装备属性计算表!N$10*VLOOKUP($F129&amp;$D129,$F$4:$S$29,O$34,FALSE),0)</f>
        <v>0</v>
      </c>
      <c r="P129" s="28">
        <f>ROUND(VLOOKUP($E129,装备属性计算表!$D$4:$O$9,装备属性计算表!O$2,FALSE)/装备属性计算表!O$10*VLOOKUP($F129&amp;$D129,$F$4:$S$29,P$34,FALSE),0)</f>
        <v>0</v>
      </c>
      <c r="Q129" s="28">
        <f>SUMPRODUCT(G129:P129,定义数据!$G$14:$P$14)</f>
        <v>26.18</v>
      </c>
      <c r="R129" s="28">
        <f t="shared" si="55"/>
        <v>1309</v>
      </c>
      <c r="S129" s="91">
        <f t="shared" si="56"/>
        <v>1309</v>
      </c>
      <c r="T129" s="28">
        <f t="shared" si="57"/>
        <v>2395470</v>
      </c>
      <c r="U129" s="89">
        <f>VLOOKUP(F129,D_装备金币参考表!$A$2:$C$81,3,FALSE)*Q129-VLOOKUP(F105,D_装备金币参考表!$A$2:$C$81,3,FALSE)*Q129+U105</f>
        <v>998820.53999999992</v>
      </c>
      <c r="W129">
        <f t="shared" si="58"/>
        <v>0</v>
      </c>
      <c r="X129">
        <f t="shared" si="59"/>
        <v>3</v>
      </c>
      <c r="Y129">
        <f t="shared" si="60"/>
        <v>60</v>
      </c>
      <c r="Z129" s="25">
        <f t="shared" si="61"/>
        <v>0</v>
      </c>
      <c r="AA129" s="25">
        <f t="shared" si="62"/>
        <v>8</v>
      </c>
      <c r="AB129" s="25">
        <f t="shared" si="63"/>
        <v>478</v>
      </c>
      <c r="AC129" s="25">
        <f t="shared" si="64"/>
        <v>2530</v>
      </c>
      <c r="AD129">
        <v>83</v>
      </c>
      <c r="AE129" s="5">
        <f t="shared" si="53"/>
        <v>312.46510224843541</v>
      </c>
      <c r="AF129" s="5">
        <f t="shared" si="53"/>
        <v>979.74612784157557</v>
      </c>
      <c r="AG129" s="5">
        <f t="shared" si="53"/>
        <v>1070.274350618422</v>
      </c>
      <c r="AH129" s="5">
        <f t="shared" si="53"/>
        <v>1959.4922556831511</v>
      </c>
      <c r="AI129" s="5">
        <f t="shared" si="53"/>
        <v>2140.548701236844</v>
      </c>
      <c r="AJ129" s="5">
        <f t="shared" si="53"/>
        <v>3210.8230518552659</v>
      </c>
      <c r="AK129" s="5">
        <f t="shared" si="53"/>
        <v>3311.6918474916915</v>
      </c>
      <c r="AL129" s="5">
        <f t="shared" si="53"/>
        <v>4281.0974024736879</v>
      </c>
      <c r="AM129" s="5">
        <f t="shared" si="53"/>
        <v>4415.5891299889227</v>
      </c>
      <c r="AN129" s="5">
        <f t="shared" si="52"/>
        <v>4474.5141914027663</v>
      </c>
      <c r="AO129" s="5">
        <f t="shared" si="52"/>
        <v>4994.613636219302</v>
      </c>
      <c r="AP129" s="5">
        <f t="shared" si="52"/>
        <v>5151.5206516537428</v>
      </c>
      <c r="AQ129" s="5">
        <f t="shared" si="52"/>
        <v>5220.2665566365613</v>
      </c>
      <c r="AR129" s="5">
        <f t="shared" si="65"/>
        <v>5887.4521733185629</v>
      </c>
      <c r="AS129" s="5">
        <f t="shared" si="65"/>
        <v>5966.0189218703554</v>
      </c>
    </row>
    <row r="130" spans="1:45" x14ac:dyDescent="0.15">
      <c r="A130" s="28" t="str">
        <f>F130&amp;D130&amp;VLOOKUP(E130,定义数据!$E$1:$F$7,2,FALSE)</f>
        <v>6024</v>
      </c>
      <c r="B130" s="28" t="str">
        <f t="shared" si="54"/>
        <v>6024</v>
      </c>
      <c r="C130" s="28">
        <f>装备属性计算表!AK126</f>
        <v>17</v>
      </c>
      <c r="D130" s="28">
        <f>装备属性计算表!B126</f>
        <v>2</v>
      </c>
      <c r="E130" s="28" t="str">
        <f>装备属性计算表!C126</f>
        <v>腰带</v>
      </c>
      <c r="F130" s="28">
        <f>装备属性计算表!D126</f>
        <v>60</v>
      </c>
      <c r="G130" s="28">
        <f>ROUND(VLOOKUP($E130,装备属性计算表!$D$4:$O$9,装备属性计算表!F$2,FALSE)/装备属性计算表!F$10*VLOOKUP($F130&amp;$D130,$F$4:$S$29,G$34,FALSE),0)</f>
        <v>306</v>
      </c>
      <c r="H130" s="28">
        <f>ROUND(VLOOKUP($E130,装备属性计算表!$D$4:$O$9,装备属性计算表!G$2,FALSE)/装备属性计算表!G$10*VLOOKUP($F130&amp;$D130,$F$4:$S$29,H$34,FALSE),0)</f>
        <v>0</v>
      </c>
      <c r="I130" s="28">
        <f>ROUND(VLOOKUP($E130,装备属性计算表!$D$4:$O$9,装备属性计算表!H$2,FALSE)/装备属性计算表!H$10*VLOOKUP($F130&amp;$D130,$F$4:$S$29,I$34,FALSE),0)</f>
        <v>0</v>
      </c>
      <c r="J130" s="28">
        <f>ROUND(VLOOKUP($E130,装备属性计算表!$D$4:$O$9,装备属性计算表!I$2,FALSE)/装备属性计算表!I$10*VLOOKUP($F130&amp;$D130,$F$4:$S$29,J$34,FALSE),0)</f>
        <v>0</v>
      </c>
      <c r="K130" s="28">
        <f>ROUND(VLOOKUP($E130,装备属性计算表!$D$4:$O$9,装备属性计算表!J$2,FALSE)/装备属性计算表!J$10*VLOOKUP($F130&amp;$D130,$F$4:$S$29,K$34,FALSE),0)</f>
        <v>0</v>
      </c>
      <c r="L130" s="28">
        <f>ROUND(VLOOKUP($E130,装备属性计算表!$D$4:$O$9,装备属性计算表!K$2,FALSE)/装备属性计算表!K$10*VLOOKUP($F130&amp;$D130,$F$4:$S$29,L$34,FALSE),0)</f>
        <v>0</v>
      </c>
      <c r="M130" s="28">
        <f>ROUND(VLOOKUP($E130,装备属性计算表!$D$4:$O$9,装备属性计算表!L$2,FALSE)/装备属性计算表!L$10*VLOOKUP($F130&amp;$D130,$F$4:$S$29,M$34,FALSE),0)</f>
        <v>0</v>
      </c>
      <c r="N130" s="28">
        <f>ROUND(VLOOKUP($E130,装备属性计算表!$D$4:$O$9,装备属性计算表!M$2,FALSE)/装备属性计算表!M$10*VLOOKUP($F130&amp;$D130,$F$4:$S$29,N$34,FALSE),0)</f>
        <v>36</v>
      </c>
      <c r="O130" s="28">
        <f>ROUND(VLOOKUP($E130,装备属性计算表!$D$4:$O$9,装备属性计算表!N$2,FALSE)/装备属性计算表!N$10*VLOOKUP($F130&amp;$D130,$F$4:$S$29,O$34,FALSE),0)</f>
        <v>0</v>
      </c>
      <c r="P130" s="28">
        <f>ROUND(VLOOKUP($E130,装备属性计算表!$D$4:$O$9,装备属性计算表!O$2,FALSE)/装备属性计算表!O$10*VLOOKUP($F130&amp;$D130,$F$4:$S$29,P$34,FALSE),0)</f>
        <v>0</v>
      </c>
      <c r="Q130" s="28">
        <f>SUMPRODUCT(G130:P130,定义数据!$G$14:$P$14)</f>
        <v>18.72</v>
      </c>
      <c r="R130" s="28">
        <f t="shared" si="55"/>
        <v>936</v>
      </c>
      <c r="S130" s="91">
        <f t="shared" si="56"/>
        <v>936</v>
      </c>
      <c r="T130" s="28">
        <f t="shared" si="57"/>
        <v>1712880</v>
      </c>
      <c r="U130" s="89">
        <f>VLOOKUP(F130,D_装备金币参考表!$A$2:$C$81,3,FALSE)*Q130-VLOOKUP(F106,D_装备金币参考表!$A$2:$C$81,3,FALSE)*Q130+U106</f>
        <v>714914.27999999991</v>
      </c>
      <c r="W130">
        <f t="shared" si="58"/>
        <v>1</v>
      </c>
      <c r="X130">
        <f t="shared" si="59"/>
        <v>5</v>
      </c>
      <c r="Y130">
        <f t="shared" si="60"/>
        <v>60</v>
      </c>
      <c r="Z130" s="25">
        <f t="shared" si="61"/>
        <v>5</v>
      </c>
      <c r="AA130" s="25">
        <f t="shared" si="62"/>
        <v>14</v>
      </c>
      <c r="AB130" s="25">
        <f t="shared" si="63"/>
        <v>340</v>
      </c>
      <c r="AC130" s="25">
        <f t="shared" si="64"/>
        <v>2120</v>
      </c>
      <c r="AD130">
        <v>84</v>
      </c>
      <c r="AE130" s="5">
        <f t="shared" si="53"/>
        <v>317.36795386809888</v>
      </c>
      <c r="AF130" s="5">
        <f t="shared" si="53"/>
        <v>995.23838875711226</v>
      </c>
      <c r="AG130" s="5">
        <f t="shared" si="53"/>
        <v>1087.4585324221021</v>
      </c>
      <c r="AH130" s="5">
        <f t="shared" si="53"/>
        <v>1990.4767775142245</v>
      </c>
      <c r="AI130" s="5">
        <f t="shared" si="53"/>
        <v>2174.9170648442041</v>
      </c>
      <c r="AJ130" s="5">
        <f t="shared" si="53"/>
        <v>3262.3755972663057</v>
      </c>
      <c r="AK130" s="5">
        <f t="shared" si="53"/>
        <v>3365.1460283896313</v>
      </c>
      <c r="AL130" s="5">
        <f t="shared" si="53"/>
        <v>4349.8341296884082</v>
      </c>
      <c r="AM130" s="5">
        <f t="shared" si="53"/>
        <v>4486.8613711861753</v>
      </c>
      <c r="AN130" s="5">
        <f t="shared" si="52"/>
        <v>4546.9009056398609</v>
      </c>
      <c r="AO130" s="5">
        <f t="shared" si="52"/>
        <v>5074.8064846364759</v>
      </c>
      <c r="AP130" s="5">
        <f t="shared" si="52"/>
        <v>5234.671599717205</v>
      </c>
      <c r="AQ130" s="5">
        <f t="shared" si="52"/>
        <v>5304.7177232465046</v>
      </c>
      <c r="AR130" s="5">
        <f t="shared" si="65"/>
        <v>5982.4818282482338</v>
      </c>
      <c r="AS130" s="5">
        <f t="shared" si="65"/>
        <v>6062.5345408531484</v>
      </c>
    </row>
    <row r="131" spans="1:45" x14ac:dyDescent="0.15">
      <c r="A131" s="28" t="str">
        <f>F131&amp;D131&amp;VLOOKUP(E131,定义数据!$E$1:$F$7,2,FALSE)</f>
        <v>6023</v>
      </c>
      <c r="B131" s="28" t="str">
        <f t="shared" si="54"/>
        <v>6023</v>
      </c>
      <c r="C131" s="28">
        <f>装备属性计算表!AK127</f>
        <v>17</v>
      </c>
      <c r="D131" s="28">
        <f>装备属性计算表!B127</f>
        <v>2</v>
      </c>
      <c r="E131" s="28" t="str">
        <f>装备属性计算表!C127</f>
        <v>项链</v>
      </c>
      <c r="F131" s="28">
        <f>装备属性计算表!D127</f>
        <v>60</v>
      </c>
      <c r="G131" s="28">
        <f>ROUND(VLOOKUP($E131,装备属性计算表!$D$4:$O$9,装备属性计算表!F$2,FALSE)/装备属性计算表!F$10*VLOOKUP($F131&amp;$D131,$F$4:$S$29,G$34,FALSE),0)</f>
        <v>0</v>
      </c>
      <c r="H131" s="28">
        <f>ROUND(VLOOKUP($E131,装备属性计算表!$D$4:$O$9,装备属性计算表!G$2,FALSE)/装备属性计算表!G$10*VLOOKUP($F131&amp;$D131,$F$4:$S$29,H$34,FALSE),0)</f>
        <v>19</v>
      </c>
      <c r="I131" s="28">
        <f>ROUND(VLOOKUP($E131,装备属性计算表!$D$4:$O$9,装备属性计算表!H$2,FALSE)/装备属性计算表!H$10*VLOOKUP($F131&amp;$D131,$F$4:$S$29,I$34,FALSE),0)</f>
        <v>0</v>
      </c>
      <c r="J131" s="28">
        <f>ROUND(VLOOKUP($E131,装备属性计算表!$D$4:$O$9,装备属性计算表!I$2,FALSE)/装备属性计算表!I$10*VLOOKUP($F131&amp;$D131,$F$4:$S$29,J$34,FALSE),0)</f>
        <v>0</v>
      </c>
      <c r="K131" s="28">
        <f>ROUND(VLOOKUP($E131,装备属性计算表!$D$4:$O$9,装备属性计算表!J$2,FALSE)/装备属性计算表!J$10*VLOOKUP($F131&amp;$D131,$F$4:$S$29,K$34,FALSE),0)</f>
        <v>61</v>
      </c>
      <c r="L131" s="28">
        <f>ROUND(VLOOKUP($E131,装备属性计算表!$D$4:$O$9,装备属性计算表!K$2,FALSE)/装备属性计算表!K$10*VLOOKUP($F131&amp;$D131,$F$4:$S$29,L$34,FALSE),0)</f>
        <v>0</v>
      </c>
      <c r="M131" s="28">
        <f>ROUND(VLOOKUP($E131,装备属性计算表!$D$4:$O$9,装备属性计算表!L$2,FALSE)/装备属性计算表!L$10*VLOOKUP($F131&amp;$D131,$F$4:$S$29,M$34,FALSE),0)</f>
        <v>0</v>
      </c>
      <c r="N131" s="28">
        <f>ROUND(VLOOKUP($E131,装备属性计算表!$D$4:$O$9,装备属性计算表!M$2,FALSE)/装备属性计算表!M$10*VLOOKUP($F131&amp;$D131,$F$4:$S$29,N$34,FALSE),0)</f>
        <v>0</v>
      </c>
      <c r="O131" s="28">
        <f>ROUND(VLOOKUP($E131,装备属性计算表!$D$4:$O$9,装备属性计算表!N$2,FALSE)/装备属性计算表!N$10*VLOOKUP($F131&amp;$D131,$F$4:$S$29,O$34,FALSE),0)</f>
        <v>0</v>
      </c>
      <c r="P131" s="28">
        <f>ROUND(VLOOKUP($E131,装备属性计算表!$D$4:$O$9,装备属性计算表!O$2,FALSE)/装备属性计算表!O$10*VLOOKUP($F131&amp;$D131,$F$4:$S$29,P$34,FALSE),0)</f>
        <v>0</v>
      </c>
      <c r="Q131" s="28">
        <f>SUMPRODUCT(G131:P131,定义数据!$G$14:$P$14)</f>
        <v>39.74</v>
      </c>
      <c r="R131" s="28">
        <f t="shared" si="55"/>
        <v>1987</v>
      </c>
      <c r="S131" s="91">
        <f t="shared" si="56"/>
        <v>1987</v>
      </c>
      <c r="T131" s="28">
        <f t="shared" si="57"/>
        <v>3636210</v>
      </c>
      <c r="U131" s="89">
        <f>VLOOKUP(F131,D_装备金币参考表!$A$2:$C$81,3,FALSE)*Q131-VLOOKUP(F107,D_装备金币参考表!$A$2:$C$81,3,FALSE)*Q131+U107</f>
        <v>1521752.94</v>
      </c>
      <c r="V131" s="25">
        <f>SUM(U126:U131)</f>
        <v>8625219.660000002</v>
      </c>
      <c r="W131">
        <f t="shared" si="58"/>
        <v>0</v>
      </c>
      <c r="X131">
        <f t="shared" si="59"/>
        <v>2</v>
      </c>
      <c r="Y131">
        <f t="shared" si="60"/>
        <v>60</v>
      </c>
      <c r="Z131" s="25">
        <f t="shared" si="61"/>
        <v>0</v>
      </c>
      <c r="AA131" s="25">
        <f t="shared" si="62"/>
        <v>6</v>
      </c>
      <c r="AB131" s="25">
        <f t="shared" si="63"/>
        <v>727</v>
      </c>
      <c r="AC131" s="25">
        <f t="shared" si="64"/>
        <v>4790</v>
      </c>
      <c r="AD131">
        <v>85</v>
      </c>
      <c r="AE131" s="5">
        <f t="shared" si="53"/>
        <v>322.2883473303977</v>
      </c>
      <c r="AF131" s="5">
        <f t="shared" si="53"/>
        <v>1010.7879302673365</v>
      </c>
      <c r="AG131" s="5">
        <f t="shared" si="53"/>
        <v>1104.7103576295913</v>
      </c>
      <c r="AH131" s="5">
        <f t="shared" si="53"/>
        <v>2021.575860534673</v>
      </c>
      <c r="AI131" s="5">
        <f t="shared" si="53"/>
        <v>2209.4207152591825</v>
      </c>
      <c r="AJ131" s="5">
        <f t="shared" si="53"/>
        <v>3314.1310728887743</v>
      </c>
      <c r="AK131" s="5">
        <f t="shared" si="53"/>
        <v>3418.8150973580982</v>
      </c>
      <c r="AL131" s="5">
        <f t="shared" si="53"/>
        <v>4418.8414305183651</v>
      </c>
      <c r="AM131" s="5">
        <f t="shared" si="53"/>
        <v>4558.4201298107982</v>
      </c>
      <c r="AN131" s="5">
        <f t="shared" si="52"/>
        <v>4619.5812132526098</v>
      </c>
      <c r="AO131" s="5">
        <f t="shared" si="52"/>
        <v>5155.3150022714262</v>
      </c>
      <c r="AP131" s="5">
        <f t="shared" si="52"/>
        <v>5318.1568181125976</v>
      </c>
      <c r="AQ131" s="5">
        <f t="shared" si="52"/>
        <v>5389.5114154613784</v>
      </c>
      <c r="AR131" s="5">
        <f t="shared" si="65"/>
        <v>6077.8935064143971</v>
      </c>
      <c r="AS131" s="5">
        <f t="shared" si="65"/>
        <v>6159.441617670147</v>
      </c>
    </row>
    <row r="132" spans="1:45" x14ac:dyDescent="0.15">
      <c r="A132" s="28" t="str">
        <f>F132&amp;D132&amp;VLOOKUP(E132,定义数据!$E$1:$F$7,2,FALSE)</f>
        <v>6030</v>
      </c>
      <c r="B132" s="28" t="str">
        <f t="shared" si="54"/>
        <v>6030</v>
      </c>
      <c r="C132" s="28">
        <f>装备属性计算表!AK128</f>
        <v>18</v>
      </c>
      <c r="D132" s="28">
        <f>装备属性计算表!B128</f>
        <v>3</v>
      </c>
      <c r="E132" s="28" t="str">
        <f>装备属性计算表!C128</f>
        <v>武器</v>
      </c>
      <c r="F132" s="28">
        <f>装备属性计算表!D128</f>
        <v>60</v>
      </c>
      <c r="G132" s="28">
        <f>ROUND(VLOOKUP($E132,装备属性计算表!$D$4:$O$9,装备属性计算表!F$2,FALSE)/装备属性计算表!F$10*VLOOKUP($F132&amp;$D132,$F$4:$S$29,G$34,FALSE),0)</f>
        <v>0</v>
      </c>
      <c r="H132" s="28">
        <f>ROUND(VLOOKUP($E132,装备属性计算表!$D$4:$O$9,装备属性计算表!G$2,FALSE)/装备属性计算表!G$10*VLOOKUP($F132&amp;$D132,$F$4:$S$29,H$34,FALSE),0)</f>
        <v>76</v>
      </c>
      <c r="I132" s="28">
        <f>ROUND(VLOOKUP($E132,装备属性计算表!$D$4:$O$9,装备属性计算表!H$2,FALSE)/装备属性计算表!H$10*VLOOKUP($F132&amp;$D132,$F$4:$S$29,I$34,FALSE),0)</f>
        <v>0</v>
      </c>
      <c r="J132" s="28">
        <f>ROUND(VLOOKUP($E132,装备属性计算表!$D$4:$O$9,装备属性计算表!I$2,FALSE)/装备属性计算表!I$10*VLOOKUP($F132&amp;$D132,$F$4:$S$29,J$34,FALSE),0)</f>
        <v>0</v>
      </c>
      <c r="K132" s="28">
        <f>ROUND(VLOOKUP($E132,装备属性计算表!$D$4:$O$9,装备属性计算表!J$2,FALSE)/装备属性计算表!J$10*VLOOKUP($F132&amp;$D132,$F$4:$S$29,K$34,FALSE),0)</f>
        <v>0</v>
      </c>
      <c r="L132" s="28">
        <f>ROUND(VLOOKUP($E132,装备属性计算表!$D$4:$O$9,装备属性计算表!K$2,FALSE)/装备属性计算表!K$10*VLOOKUP($F132&amp;$D132,$F$4:$S$29,L$34,FALSE),0)</f>
        <v>47</v>
      </c>
      <c r="M132" s="28">
        <f>ROUND(VLOOKUP($E132,装备属性计算表!$D$4:$O$9,装备属性计算表!L$2,FALSE)/装备属性计算表!L$10*VLOOKUP($F132&amp;$D132,$F$4:$S$29,M$34,FALSE),0)</f>
        <v>0</v>
      </c>
      <c r="N132" s="28">
        <f>ROUND(VLOOKUP($E132,装备属性计算表!$D$4:$O$9,装备属性计算表!M$2,FALSE)/装备属性计算表!M$10*VLOOKUP($F132&amp;$D132,$F$4:$S$29,N$34,FALSE),0)</f>
        <v>0</v>
      </c>
      <c r="O132" s="28">
        <f>ROUND(VLOOKUP($E132,装备属性计算表!$D$4:$O$9,装备属性计算表!N$2,FALSE)/装备属性计算表!N$10*VLOOKUP($F132&amp;$D132,$F$4:$S$29,O$34,FALSE),0)</f>
        <v>0</v>
      </c>
      <c r="P132" s="28">
        <f>ROUND(VLOOKUP($E132,装备属性计算表!$D$4:$O$9,装备属性计算表!O$2,FALSE)/装备属性计算表!O$10*VLOOKUP($F132&amp;$D132,$F$4:$S$29,P$34,FALSE),0)</f>
        <v>0</v>
      </c>
      <c r="Q132" s="28">
        <f>SUMPRODUCT(G132:P132,定义数据!$G$14:$P$14)</f>
        <v>84.46</v>
      </c>
      <c r="R132" s="28">
        <f t="shared" si="55"/>
        <v>4223</v>
      </c>
      <c r="S132" s="91">
        <f t="shared" si="56"/>
        <v>4223</v>
      </c>
      <c r="T132" s="28">
        <f t="shared" si="57"/>
        <v>7728090</v>
      </c>
      <c r="U132" s="89">
        <f>VLOOKUP(F132,D_装备金币参考表!$A$2:$C$81,3,FALSE)*Q132-VLOOKUP(F108,D_装备金币参考表!$A$2:$C$81,3,FALSE)*Q132+U108</f>
        <v>3228067.5799999996</v>
      </c>
      <c r="W132">
        <f t="shared" si="58"/>
        <v>0</v>
      </c>
      <c r="X132">
        <f t="shared" si="59"/>
        <v>1</v>
      </c>
      <c r="Y132">
        <f t="shared" si="60"/>
        <v>60</v>
      </c>
      <c r="Z132" s="25">
        <f t="shared" si="61"/>
        <v>0</v>
      </c>
      <c r="AA132" s="25">
        <f t="shared" si="62"/>
        <v>5</v>
      </c>
      <c r="AB132" s="25">
        <f t="shared" si="63"/>
        <v>1545</v>
      </c>
      <c r="AC132" s="25">
        <f t="shared" si="64"/>
        <v>1910</v>
      </c>
      <c r="AD132">
        <v>86</v>
      </c>
      <c r="AE132" s="5">
        <f t="shared" si="53"/>
        <v>327.22613791113628</v>
      </c>
      <c r="AF132" s="5">
        <f t="shared" si="53"/>
        <v>1026.394286517992</v>
      </c>
      <c r="AG132" s="5">
        <f t="shared" si="53"/>
        <v>1122.0292919905096</v>
      </c>
      <c r="AH132" s="5">
        <f t="shared" si="53"/>
        <v>2052.788573035984</v>
      </c>
      <c r="AI132" s="5">
        <f t="shared" si="53"/>
        <v>2244.0585839810192</v>
      </c>
      <c r="AJ132" s="5">
        <f t="shared" si="53"/>
        <v>3366.0878759715288</v>
      </c>
      <c r="AK132" s="5">
        <f t="shared" si="53"/>
        <v>3472.697374864968</v>
      </c>
      <c r="AL132" s="5">
        <f t="shared" si="53"/>
        <v>4488.1171679620384</v>
      </c>
      <c r="AM132" s="5">
        <f t="shared" si="53"/>
        <v>4630.263166486624</v>
      </c>
      <c r="AN132" s="5">
        <f t="shared" si="52"/>
        <v>4692.5528299031585</v>
      </c>
      <c r="AO132" s="5">
        <f t="shared" si="52"/>
        <v>5236.1366959557108</v>
      </c>
      <c r="AP132" s="5">
        <f t="shared" si="52"/>
        <v>5401.9736942343952</v>
      </c>
      <c r="AQ132" s="5">
        <f t="shared" si="52"/>
        <v>5474.6449682203511</v>
      </c>
      <c r="AR132" s="5">
        <f t="shared" si="65"/>
        <v>6173.6842219821656</v>
      </c>
      <c r="AS132" s="5">
        <f t="shared" si="65"/>
        <v>6256.7371065375446</v>
      </c>
    </row>
    <row r="133" spans="1:45" x14ac:dyDescent="0.15">
      <c r="A133" s="28" t="str">
        <f>F133&amp;D133&amp;VLOOKUP(E133,定义数据!$E$1:$F$7,2,FALSE)</f>
        <v>6031</v>
      </c>
      <c r="B133" s="28" t="str">
        <f t="shared" si="54"/>
        <v>6031</v>
      </c>
      <c r="C133" s="28">
        <f>装备属性计算表!AK129</f>
        <v>18</v>
      </c>
      <c r="D133" s="28">
        <f>装备属性计算表!B129</f>
        <v>3</v>
      </c>
      <c r="E133" s="28" t="str">
        <f>装备属性计算表!C129</f>
        <v>衣服</v>
      </c>
      <c r="F133" s="28">
        <f>装备属性计算表!D129</f>
        <v>60</v>
      </c>
      <c r="G133" s="28">
        <f>ROUND(VLOOKUP($E133,装备属性计算表!$D$4:$O$9,装备属性计算表!F$2,FALSE)/装备属性计算表!F$10*VLOOKUP($F133&amp;$D133,$F$4:$S$29,G$34,FALSE),0)</f>
        <v>1199</v>
      </c>
      <c r="H133" s="28">
        <f>ROUND(VLOOKUP($E133,装备属性计算表!$D$4:$O$9,装备属性计算表!G$2,FALSE)/装备属性计算表!G$10*VLOOKUP($F133&amp;$D133,$F$4:$S$29,H$34,FALSE),0)</f>
        <v>0</v>
      </c>
      <c r="I133" s="28">
        <f>ROUND(VLOOKUP($E133,装备属性计算表!$D$4:$O$9,装备属性计算表!H$2,FALSE)/装备属性计算表!H$10*VLOOKUP($F133&amp;$D133,$F$4:$S$29,I$34,FALSE),0)</f>
        <v>26</v>
      </c>
      <c r="J133" s="28">
        <f>ROUND(VLOOKUP($E133,装备属性计算表!$D$4:$O$9,装备属性计算表!I$2,FALSE)/装备属性计算表!I$10*VLOOKUP($F133&amp;$D133,$F$4:$S$29,J$34,FALSE),0)</f>
        <v>0</v>
      </c>
      <c r="K133" s="28">
        <f>ROUND(VLOOKUP($E133,装备属性计算表!$D$4:$O$9,装备属性计算表!J$2,FALSE)/装备属性计算表!J$10*VLOOKUP($F133&amp;$D133,$F$4:$S$29,K$34,FALSE),0)</f>
        <v>0</v>
      </c>
      <c r="L133" s="28">
        <f>ROUND(VLOOKUP($E133,装备属性计算表!$D$4:$O$9,装备属性计算表!K$2,FALSE)/装备属性计算表!K$10*VLOOKUP($F133&amp;$D133,$F$4:$S$29,L$34,FALSE),0)</f>
        <v>0</v>
      </c>
      <c r="M133" s="28">
        <f>ROUND(VLOOKUP($E133,装备属性计算表!$D$4:$O$9,装备属性计算表!L$2,FALSE)/装备属性计算表!L$10*VLOOKUP($F133&amp;$D133,$F$4:$S$29,M$34,FALSE),0)</f>
        <v>0</v>
      </c>
      <c r="N133" s="28">
        <f>ROUND(VLOOKUP($E133,装备属性计算表!$D$4:$O$9,装备属性计算表!M$2,FALSE)/装备属性计算表!M$10*VLOOKUP($F133&amp;$D133,$F$4:$S$29,N$34,FALSE),0)</f>
        <v>0</v>
      </c>
      <c r="O133" s="28">
        <f>ROUND(VLOOKUP($E133,装备属性计算表!$D$4:$O$9,装备属性计算表!N$2,FALSE)/装备属性计算表!N$10*VLOOKUP($F133&amp;$D133,$F$4:$S$29,O$34,FALSE),0)</f>
        <v>0</v>
      </c>
      <c r="P133" s="28">
        <f>ROUND(VLOOKUP($E133,装备属性计算表!$D$4:$O$9,装备属性计算表!O$2,FALSE)/装备属性计算表!O$10*VLOOKUP($F133&amp;$D133,$F$4:$S$29,P$34,FALSE),0)</f>
        <v>0</v>
      </c>
      <c r="Q133" s="28">
        <f>SUMPRODUCT(G133:P133,定义数据!$G$14:$P$14)</f>
        <v>73.960000000000008</v>
      </c>
      <c r="R133" s="28">
        <f t="shared" si="55"/>
        <v>3698</v>
      </c>
      <c r="S133" s="91">
        <f t="shared" si="56"/>
        <v>3698</v>
      </c>
      <c r="T133" s="28">
        <f t="shared" si="57"/>
        <v>6767340</v>
      </c>
      <c r="U133" s="89">
        <f>VLOOKUP(F133,D_装备金币参考表!$A$2:$C$81,3,FALSE)*Q133-VLOOKUP(F109,D_装备金币参考表!$A$2:$C$81,3,FALSE)*Q133+U109</f>
        <v>2834824.4800000004</v>
      </c>
      <c r="W133">
        <f t="shared" si="58"/>
        <v>0</v>
      </c>
      <c r="X133">
        <f t="shared" si="59"/>
        <v>1</v>
      </c>
      <c r="Y133">
        <f t="shared" si="60"/>
        <v>60</v>
      </c>
      <c r="Z133" s="25">
        <f t="shared" si="61"/>
        <v>0</v>
      </c>
      <c r="AA133" s="25">
        <f t="shared" si="62"/>
        <v>4</v>
      </c>
      <c r="AB133" s="25">
        <f>ROUNDUP(IF(Y133&gt;$F133,(($F133*($F133+1)/2)-(X133+1)*X133/2)*$R133/Y$31,((Y133*(Y133+1)/2)-(X133+1)*X133/2)*$R133/Y$31),0)</f>
        <v>1353</v>
      </c>
      <c r="AC133" s="25">
        <f t="shared" si="64"/>
        <v>1660</v>
      </c>
      <c r="AD133">
        <v>87</v>
      </c>
      <c r="AE133" s="5">
        <f t="shared" si="53"/>
        <v>332.18118375214874</v>
      </c>
      <c r="AF133" s="5">
        <f t="shared" si="53"/>
        <v>1042.057000826589</v>
      </c>
      <c r="AG133" s="5">
        <f t="shared" si="53"/>
        <v>1139.4148116495608</v>
      </c>
      <c r="AH133" s="5">
        <f t="shared" si="53"/>
        <v>2084.1140016531781</v>
      </c>
      <c r="AI133" s="5">
        <f t="shared" si="53"/>
        <v>2278.8296232991215</v>
      </c>
      <c r="AJ133" s="5">
        <f t="shared" si="53"/>
        <v>3418.2444349486818</v>
      </c>
      <c r="AK133" s="5">
        <f t="shared" si="53"/>
        <v>3526.7912139216733</v>
      </c>
      <c r="AL133" s="5">
        <f t="shared" si="53"/>
        <v>4557.659246598243</v>
      </c>
      <c r="AM133" s="5">
        <f t="shared" si="53"/>
        <v>4702.388285228898</v>
      </c>
      <c r="AN133" s="5">
        <f t="shared" si="52"/>
        <v>4765.8135154371748</v>
      </c>
      <c r="AO133" s="5">
        <f t="shared" si="52"/>
        <v>5317.2691210312832</v>
      </c>
      <c r="AP133" s="5">
        <f t="shared" si="52"/>
        <v>5486.1196661003814</v>
      </c>
      <c r="AQ133" s="5">
        <f t="shared" si="52"/>
        <v>5560.1157680100368</v>
      </c>
      <c r="AR133" s="5">
        <f t="shared" si="65"/>
        <v>6269.851046971864</v>
      </c>
      <c r="AS133" s="5">
        <f t="shared" si="65"/>
        <v>6354.4180205828998</v>
      </c>
    </row>
    <row r="134" spans="1:45" x14ac:dyDescent="0.15">
      <c r="A134" s="28" t="str">
        <f>F134&amp;D134&amp;VLOOKUP(E134,定义数据!$E$1:$F$7,2,FALSE)</f>
        <v>6032</v>
      </c>
      <c r="B134" s="28" t="str">
        <f t="shared" si="54"/>
        <v>6032</v>
      </c>
      <c r="C134" s="28">
        <f>装备属性计算表!AK130</f>
        <v>18</v>
      </c>
      <c r="D134" s="28">
        <f>装备属性计算表!B130</f>
        <v>3</v>
      </c>
      <c r="E134" s="28" t="str">
        <f>装备属性计算表!C130</f>
        <v>裤子</v>
      </c>
      <c r="F134" s="28">
        <f>装备属性计算表!D130</f>
        <v>60</v>
      </c>
      <c r="G134" s="28">
        <f>ROUND(VLOOKUP($E134,装备属性计算表!$D$4:$O$9,装备属性计算表!F$2,FALSE)/装备属性计算表!F$10*VLOOKUP($F134&amp;$D134,$F$4:$S$29,G$34,FALSE),0)</f>
        <v>0</v>
      </c>
      <c r="H134" s="28">
        <f>ROUND(VLOOKUP($E134,装备属性计算表!$D$4:$O$9,装备属性计算表!G$2,FALSE)/装备属性计算表!G$10*VLOOKUP($F134&amp;$D134,$F$4:$S$29,H$34,FALSE),0)</f>
        <v>0</v>
      </c>
      <c r="I134" s="28">
        <f>ROUND(VLOOKUP($E134,装备属性计算表!$D$4:$O$9,装备属性计算表!H$2,FALSE)/装备属性计算表!H$10*VLOOKUP($F134&amp;$D134,$F$4:$S$29,I$34,FALSE),0)</f>
        <v>18</v>
      </c>
      <c r="J134" s="28">
        <f>ROUND(VLOOKUP($E134,装备属性计算表!$D$4:$O$9,装备属性计算表!I$2,FALSE)/装备属性计算表!I$10*VLOOKUP($F134&amp;$D134,$F$4:$S$29,J$34,FALSE),0)</f>
        <v>27</v>
      </c>
      <c r="K134" s="28">
        <f>ROUND(VLOOKUP($E134,装备属性计算表!$D$4:$O$9,装备属性计算表!J$2,FALSE)/装备属性计算表!J$10*VLOOKUP($F134&amp;$D134,$F$4:$S$29,K$34,FALSE),0)</f>
        <v>0</v>
      </c>
      <c r="L134" s="28">
        <f>ROUND(VLOOKUP($E134,装备属性计算表!$D$4:$O$9,装备属性计算表!K$2,FALSE)/装备属性计算表!K$10*VLOOKUP($F134&amp;$D134,$F$4:$S$29,L$34,FALSE),0)</f>
        <v>0</v>
      </c>
      <c r="M134" s="28">
        <f>ROUND(VLOOKUP($E134,装备属性计算表!$D$4:$O$9,装备属性计算表!L$2,FALSE)/装备属性计算表!L$10*VLOOKUP($F134&amp;$D134,$F$4:$S$29,M$34,FALSE),0)</f>
        <v>0</v>
      </c>
      <c r="N134" s="28">
        <f>ROUND(VLOOKUP($E134,装备属性计算表!$D$4:$O$9,装备属性计算表!M$2,FALSE)/装备属性计算表!M$10*VLOOKUP($F134&amp;$D134,$F$4:$S$29,N$34,FALSE),0)</f>
        <v>0</v>
      </c>
      <c r="O134" s="28">
        <f>ROUND(VLOOKUP($E134,装备属性计算表!$D$4:$O$9,装备属性计算表!N$2,FALSE)/装备属性计算表!N$10*VLOOKUP($F134&amp;$D134,$F$4:$S$29,O$34,FALSE),0)</f>
        <v>0</v>
      </c>
      <c r="P134" s="28">
        <f>ROUND(VLOOKUP($E134,装备属性计算表!$D$4:$O$9,装备属性计算表!O$2,FALSE)/装备属性计算表!O$10*VLOOKUP($F134&amp;$D134,$F$4:$S$29,P$34,FALSE),0)</f>
        <v>0</v>
      </c>
      <c r="Q134" s="28">
        <f>SUMPRODUCT(G134:P134,定义数据!$G$14:$P$14)</f>
        <v>27.18</v>
      </c>
      <c r="R134" s="28">
        <f t="shared" si="55"/>
        <v>1359</v>
      </c>
      <c r="S134" s="91">
        <f t="shared" si="56"/>
        <v>1359</v>
      </c>
      <c r="T134" s="28">
        <f t="shared" si="57"/>
        <v>2486970</v>
      </c>
      <c r="U134" s="89">
        <f>VLOOKUP(F134,D_装备金币参考表!$A$2:$C$81,3,FALSE)*Q134-VLOOKUP(F110,D_装备金币参考表!$A$2:$C$81,3,FALSE)*Q134+U110</f>
        <v>1037772.3199999998</v>
      </c>
      <c r="W134">
        <f t="shared" si="58"/>
        <v>0</v>
      </c>
      <c r="X134">
        <f t="shared" si="59"/>
        <v>3</v>
      </c>
      <c r="Y134">
        <f t="shared" si="60"/>
        <v>60</v>
      </c>
      <c r="Z134" s="25">
        <f t="shared" si="61"/>
        <v>0</v>
      </c>
      <c r="AA134" s="25">
        <f t="shared" si="62"/>
        <v>9</v>
      </c>
      <c r="AB134" s="25">
        <f t="shared" si="63"/>
        <v>496</v>
      </c>
      <c r="AC134" s="25">
        <f t="shared" si="64"/>
        <v>2030</v>
      </c>
      <c r="AD134">
        <v>88</v>
      </c>
      <c r="AE134" s="5">
        <f t="shared" si="53"/>
        <v>337.15334577219045</v>
      </c>
      <c r="AF134" s="5">
        <f t="shared" si="53"/>
        <v>1057.7756253982693</v>
      </c>
      <c r="AG134" s="5">
        <f t="shared" si="53"/>
        <v>1156.8664028268618</v>
      </c>
      <c r="AH134" s="5">
        <f t="shared" si="53"/>
        <v>2115.5512507965386</v>
      </c>
      <c r="AI134" s="5">
        <f t="shared" si="53"/>
        <v>2313.7328056537235</v>
      </c>
      <c r="AJ134" s="5">
        <f t="shared" si="53"/>
        <v>3470.5992084805853</v>
      </c>
      <c r="AK134" s="5">
        <f t="shared" si="53"/>
        <v>3581.094999085004</v>
      </c>
      <c r="AL134" s="5">
        <f t="shared" si="53"/>
        <v>4627.465611307447</v>
      </c>
      <c r="AM134" s="5">
        <f t="shared" si="53"/>
        <v>4774.7933321133387</v>
      </c>
      <c r="AN134" s="5">
        <f t="shared" si="52"/>
        <v>4839.3610725301605</v>
      </c>
      <c r="AO134" s="5">
        <f t="shared" si="52"/>
        <v>5398.7098798586876</v>
      </c>
      <c r="AP134" s="5">
        <f t="shared" si="52"/>
        <v>5570.5922207988951</v>
      </c>
      <c r="AQ134" s="5">
        <f t="shared" si="52"/>
        <v>5645.9212512851873</v>
      </c>
      <c r="AR134" s="5">
        <f t="shared" si="65"/>
        <v>6366.3911094844516</v>
      </c>
      <c r="AS134" s="5">
        <f t="shared" si="65"/>
        <v>6452.481430040214</v>
      </c>
    </row>
    <row r="135" spans="1:45" x14ac:dyDescent="0.15">
      <c r="A135" s="28" t="str">
        <f>F135&amp;D135&amp;VLOOKUP(E135,定义数据!$E$1:$F$7,2,FALSE)</f>
        <v>6035</v>
      </c>
      <c r="B135" s="28" t="str">
        <f t="shared" si="54"/>
        <v>6035</v>
      </c>
      <c r="C135" s="28">
        <f>装备属性计算表!AK131</f>
        <v>18</v>
      </c>
      <c r="D135" s="28">
        <f>装备属性计算表!B131</f>
        <v>3</v>
      </c>
      <c r="E135" s="28" t="str">
        <f>装备属性计算表!C131</f>
        <v>鞋子</v>
      </c>
      <c r="F135" s="28">
        <f>装备属性计算表!D131</f>
        <v>60</v>
      </c>
      <c r="G135" s="28">
        <f>ROUND(VLOOKUP($E135,装备属性计算表!$D$4:$O$9,装备属性计算表!F$2,FALSE)/装备属性计算表!F$10*VLOOKUP($F135&amp;$D135,$F$4:$S$29,G$34,FALSE),0)</f>
        <v>400</v>
      </c>
      <c r="H135" s="28">
        <f>ROUND(VLOOKUP($E135,装备属性计算表!$D$4:$O$9,装备属性计算表!G$2,FALSE)/装备属性计算表!G$10*VLOOKUP($F135&amp;$D135,$F$4:$S$29,H$34,FALSE),0)</f>
        <v>0</v>
      </c>
      <c r="I135" s="28">
        <f>ROUND(VLOOKUP($E135,装备属性计算表!$D$4:$O$9,装备属性计算表!H$2,FALSE)/装备属性计算表!H$10*VLOOKUP($F135&amp;$D135,$F$4:$S$29,I$34,FALSE),0)</f>
        <v>0</v>
      </c>
      <c r="J135" s="28">
        <f>ROUND(VLOOKUP($E135,装备属性计算表!$D$4:$O$9,装备属性计算表!I$2,FALSE)/装备属性计算表!I$10*VLOOKUP($F135&amp;$D135,$F$4:$S$29,J$34,FALSE),0)</f>
        <v>53</v>
      </c>
      <c r="K135" s="28">
        <f>ROUND(VLOOKUP($E135,装备属性计算表!$D$4:$O$9,装备属性计算表!J$2,FALSE)/装备属性计算表!J$10*VLOOKUP($F135&amp;$D135,$F$4:$S$29,K$34,FALSE),0)</f>
        <v>0</v>
      </c>
      <c r="L135" s="28">
        <f>ROUND(VLOOKUP($E135,装备属性计算表!$D$4:$O$9,装备属性计算表!K$2,FALSE)/装备属性计算表!K$10*VLOOKUP($F135&amp;$D135,$F$4:$S$29,L$34,FALSE),0)</f>
        <v>0</v>
      </c>
      <c r="M135" s="28">
        <f>ROUND(VLOOKUP($E135,装备属性计算表!$D$4:$O$9,装备属性计算表!L$2,FALSE)/装备属性计算表!L$10*VLOOKUP($F135&amp;$D135,$F$4:$S$29,M$34,FALSE),0)</f>
        <v>0</v>
      </c>
      <c r="N135" s="28">
        <f>ROUND(VLOOKUP($E135,装备属性计算表!$D$4:$O$9,装备属性计算表!M$2,FALSE)/装备属性计算表!M$10*VLOOKUP($F135&amp;$D135,$F$4:$S$29,N$34,FALSE),0)</f>
        <v>0</v>
      </c>
      <c r="O135" s="28">
        <f>ROUND(VLOOKUP($E135,装备属性计算表!$D$4:$O$9,装备属性计算表!N$2,FALSE)/装备属性计算表!N$10*VLOOKUP($F135&amp;$D135,$F$4:$S$29,O$34,FALSE),0)</f>
        <v>0</v>
      </c>
      <c r="P135" s="28">
        <f>ROUND(VLOOKUP($E135,装备属性计算表!$D$4:$O$9,装备属性计算表!O$2,FALSE)/装备属性计算表!O$10*VLOOKUP($F135&amp;$D135,$F$4:$S$29,P$34,FALSE),0)</f>
        <v>0</v>
      </c>
      <c r="Q135" s="28">
        <f>SUMPRODUCT(G135:P135,定义数据!$G$14:$P$14)</f>
        <v>34.019999999999996</v>
      </c>
      <c r="R135" s="28">
        <f t="shared" si="55"/>
        <v>1701</v>
      </c>
      <c r="S135" s="91">
        <f t="shared" si="56"/>
        <v>1701</v>
      </c>
      <c r="T135" s="28">
        <f t="shared" si="57"/>
        <v>3112830</v>
      </c>
      <c r="U135" s="89">
        <f>VLOOKUP(F135,D_装备金币参考表!$A$2:$C$81,3,FALSE)*Q135-VLOOKUP(F111,D_装备金币参考表!$A$2:$C$81,3,FALSE)*Q135+U111</f>
        <v>1298202.5799999996</v>
      </c>
      <c r="W135">
        <f t="shared" si="58"/>
        <v>0</v>
      </c>
      <c r="X135">
        <f t="shared" si="59"/>
        <v>2</v>
      </c>
      <c r="Y135">
        <f t="shared" si="60"/>
        <v>60</v>
      </c>
      <c r="Z135" s="25">
        <f t="shared" si="61"/>
        <v>0</v>
      </c>
      <c r="AA135" s="25">
        <f t="shared" si="62"/>
        <v>6</v>
      </c>
      <c r="AB135" s="25">
        <f t="shared" si="63"/>
        <v>622</v>
      </c>
      <c r="AC135" s="25">
        <f t="shared" si="64"/>
        <v>3170</v>
      </c>
      <c r="AD135">
        <v>89</v>
      </c>
      <c r="AE135" s="5">
        <f t="shared" si="53"/>
        <v>342.14248758158243</v>
      </c>
      <c r="AF135" s="5">
        <f t="shared" si="53"/>
        <v>1073.5497210536321</v>
      </c>
      <c r="AG135" s="5">
        <f t="shared" si="53"/>
        <v>1174.3835615116527</v>
      </c>
      <c r="AH135" s="5">
        <f t="shared" si="53"/>
        <v>2147.0994421072642</v>
      </c>
      <c r="AI135" s="5">
        <f t="shared" si="53"/>
        <v>2348.7671230233054</v>
      </c>
      <c r="AJ135" s="5">
        <f t="shared" si="53"/>
        <v>3523.1506845349586</v>
      </c>
      <c r="AK135" s="5">
        <f t="shared" si="53"/>
        <v>3635.6071455006077</v>
      </c>
      <c r="AL135" s="5">
        <f t="shared" si="53"/>
        <v>4697.5342460466109</v>
      </c>
      <c r="AM135" s="5">
        <f t="shared" si="53"/>
        <v>4847.4761940008102</v>
      </c>
      <c r="AN135" s="5">
        <f t="shared" si="52"/>
        <v>4913.1933453901838</v>
      </c>
      <c r="AO135" s="5">
        <f t="shared" si="52"/>
        <v>5480.456620387713</v>
      </c>
      <c r="AP135" s="5">
        <f t="shared" si="52"/>
        <v>5655.3888930009452</v>
      </c>
      <c r="AQ135" s="5">
        <f t="shared" si="52"/>
        <v>5732.0589029552148</v>
      </c>
      <c r="AR135" s="5">
        <f t="shared" si="65"/>
        <v>6463.3015920010803</v>
      </c>
      <c r="AS135" s="5">
        <f t="shared" si="65"/>
        <v>6550.9244605202457</v>
      </c>
    </row>
    <row r="136" spans="1:45" x14ac:dyDescent="0.15">
      <c r="A136" s="28" t="str">
        <f>F136&amp;D136&amp;VLOOKUP(E136,定义数据!$E$1:$F$7,2,FALSE)</f>
        <v>6034</v>
      </c>
      <c r="B136" s="28" t="str">
        <f t="shared" si="54"/>
        <v>6034</v>
      </c>
      <c r="C136" s="28">
        <f>装备属性计算表!AK132</f>
        <v>18</v>
      </c>
      <c r="D136" s="28">
        <f>装备属性计算表!B132</f>
        <v>3</v>
      </c>
      <c r="E136" s="28" t="str">
        <f>装备属性计算表!C132</f>
        <v>腰带</v>
      </c>
      <c r="F136" s="28">
        <f>装备属性计算表!D132</f>
        <v>60</v>
      </c>
      <c r="G136" s="28">
        <f>ROUND(VLOOKUP($E136,装备属性计算表!$D$4:$O$9,装备属性计算表!F$2,FALSE)/装备属性计算表!F$10*VLOOKUP($F136&amp;$D136,$F$4:$S$29,G$34,FALSE),0)</f>
        <v>400</v>
      </c>
      <c r="H136" s="28">
        <f>ROUND(VLOOKUP($E136,装备属性计算表!$D$4:$O$9,装备属性计算表!G$2,FALSE)/装备属性计算表!G$10*VLOOKUP($F136&amp;$D136,$F$4:$S$29,H$34,FALSE),0)</f>
        <v>0</v>
      </c>
      <c r="I136" s="28">
        <f>ROUND(VLOOKUP($E136,装备属性计算表!$D$4:$O$9,装备属性计算表!H$2,FALSE)/装备属性计算表!H$10*VLOOKUP($F136&amp;$D136,$F$4:$S$29,I$34,FALSE),0)</f>
        <v>0</v>
      </c>
      <c r="J136" s="28">
        <f>ROUND(VLOOKUP($E136,装备属性计算表!$D$4:$O$9,装备属性计算表!I$2,FALSE)/装备属性计算表!I$10*VLOOKUP($F136&amp;$D136,$F$4:$S$29,J$34,FALSE),0)</f>
        <v>0</v>
      </c>
      <c r="K136" s="28">
        <f>ROUND(VLOOKUP($E136,装备属性计算表!$D$4:$O$9,装备属性计算表!J$2,FALSE)/装备属性计算表!J$10*VLOOKUP($F136&amp;$D136,$F$4:$S$29,K$34,FALSE),0)</f>
        <v>0</v>
      </c>
      <c r="L136" s="28">
        <f>ROUND(VLOOKUP($E136,装备属性计算表!$D$4:$O$9,装备属性计算表!K$2,FALSE)/装备属性计算表!K$10*VLOOKUP($F136&amp;$D136,$F$4:$S$29,L$34,FALSE),0)</f>
        <v>0</v>
      </c>
      <c r="M136" s="28">
        <f>ROUND(VLOOKUP($E136,装备属性计算表!$D$4:$O$9,装备属性计算表!L$2,FALSE)/装备属性计算表!L$10*VLOOKUP($F136&amp;$D136,$F$4:$S$29,M$34,FALSE),0)</f>
        <v>0</v>
      </c>
      <c r="N136" s="28">
        <f>ROUND(VLOOKUP($E136,装备属性计算表!$D$4:$O$9,装备属性计算表!M$2,FALSE)/装备属性计算表!M$10*VLOOKUP($F136&amp;$D136,$F$4:$S$29,N$34,FALSE),0)</f>
        <v>47</v>
      </c>
      <c r="O136" s="28">
        <f>ROUND(VLOOKUP($E136,装备属性计算表!$D$4:$O$9,装备属性计算表!N$2,FALSE)/装备属性计算表!N$10*VLOOKUP($F136&amp;$D136,$F$4:$S$29,O$34,FALSE),0)</f>
        <v>0</v>
      </c>
      <c r="P136" s="28">
        <f>ROUND(VLOOKUP($E136,装备属性计算表!$D$4:$O$9,装备属性计算表!O$2,FALSE)/装备属性计算表!O$10*VLOOKUP($F136&amp;$D136,$F$4:$S$29,P$34,FALSE),0)</f>
        <v>0</v>
      </c>
      <c r="Q136" s="28">
        <f>SUMPRODUCT(G136:P136,定义数据!$G$14:$P$14)</f>
        <v>24.46</v>
      </c>
      <c r="R136" s="28">
        <f t="shared" si="55"/>
        <v>1223</v>
      </c>
      <c r="S136" s="91">
        <f t="shared" si="56"/>
        <v>1223</v>
      </c>
      <c r="T136" s="28">
        <f t="shared" si="57"/>
        <v>2238090</v>
      </c>
      <c r="U136" s="89">
        <f>VLOOKUP(F136,D_装备金币参考表!$A$2:$C$81,3,FALSE)*Q136-VLOOKUP(F112,D_装备金币参考表!$A$2:$C$81,3,FALSE)*Q136+U112</f>
        <v>933620.86</v>
      </c>
      <c r="W136">
        <f t="shared" si="58"/>
        <v>0</v>
      </c>
      <c r="X136">
        <f t="shared" si="59"/>
        <v>4</v>
      </c>
      <c r="Y136">
        <f t="shared" si="60"/>
        <v>60</v>
      </c>
      <c r="Z136" s="25">
        <f t="shared" si="61"/>
        <v>0</v>
      </c>
      <c r="AA136" s="25">
        <f t="shared" si="62"/>
        <v>13</v>
      </c>
      <c r="AB136" s="25">
        <f t="shared" si="63"/>
        <v>446</v>
      </c>
      <c r="AC136" s="25">
        <f t="shared" si="64"/>
        <v>4910</v>
      </c>
      <c r="AD136">
        <v>90</v>
      </c>
      <c r="AE136" s="5">
        <f t="shared" si="53"/>
        <v>347.14847540041387</v>
      </c>
      <c r="AF136" s="5">
        <f t="shared" si="53"/>
        <v>1089.3788569678527</v>
      </c>
      <c r="AG136" s="5">
        <f t="shared" si="53"/>
        <v>1191.9657931686506</v>
      </c>
      <c r="AH136" s="5">
        <f t="shared" si="53"/>
        <v>2178.7577139357054</v>
      </c>
      <c r="AI136" s="5">
        <f t="shared" si="53"/>
        <v>2383.9315863373013</v>
      </c>
      <c r="AJ136" s="5">
        <f t="shared" si="53"/>
        <v>3575.8973795059514</v>
      </c>
      <c r="AK136" s="5">
        <f t="shared" si="53"/>
        <v>3690.3260979858978</v>
      </c>
      <c r="AL136" s="5">
        <f t="shared" si="53"/>
        <v>4767.8631726746025</v>
      </c>
      <c r="AM136" s="5">
        <f t="shared" si="53"/>
        <v>4920.4347973145304</v>
      </c>
      <c r="AN136" s="5">
        <f t="shared" si="52"/>
        <v>4987.3082185141056</v>
      </c>
      <c r="AO136" s="5">
        <f t="shared" si="52"/>
        <v>5562.507034787036</v>
      </c>
      <c r="AP136" s="5">
        <f t="shared" si="52"/>
        <v>5740.5072635336182</v>
      </c>
      <c r="AQ136" s="5">
        <f t="shared" si="52"/>
        <v>5818.5262549331237</v>
      </c>
      <c r="AR136" s="5">
        <f t="shared" si="65"/>
        <v>6560.579729752707</v>
      </c>
      <c r="AS136" s="5">
        <f t="shared" si="65"/>
        <v>6649.7442913521409</v>
      </c>
    </row>
    <row r="137" spans="1:45" x14ac:dyDescent="0.15">
      <c r="A137" s="28" t="str">
        <f>F137&amp;D137&amp;VLOOKUP(E137,定义数据!$E$1:$F$7,2,FALSE)</f>
        <v>6033</v>
      </c>
      <c r="B137" s="28" t="str">
        <f t="shared" si="54"/>
        <v>6033</v>
      </c>
      <c r="C137" s="28">
        <f>装备属性计算表!AK133</f>
        <v>18</v>
      </c>
      <c r="D137" s="28">
        <f>装备属性计算表!B133</f>
        <v>3</v>
      </c>
      <c r="E137" s="28" t="str">
        <f>装备属性计算表!C133</f>
        <v>项链</v>
      </c>
      <c r="F137" s="28">
        <f>装备属性计算表!D133</f>
        <v>60</v>
      </c>
      <c r="G137" s="28">
        <f>ROUND(VLOOKUP($E137,装备属性计算表!$D$4:$O$9,装备属性计算表!F$2,FALSE)/装备属性计算表!F$10*VLOOKUP($F137&amp;$D137,$F$4:$S$29,G$34,FALSE),0)</f>
        <v>0</v>
      </c>
      <c r="H137" s="28">
        <f>ROUND(VLOOKUP($E137,装备属性计算表!$D$4:$O$9,装备属性计算表!G$2,FALSE)/装备属性计算表!G$10*VLOOKUP($F137&amp;$D137,$F$4:$S$29,H$34,FALSE),0)</f>
        <v>25</v>
      </c>
      <c r="I137" s="28">
        <f>ROUND(VLOOKUP($E137,装备属性计算表!$D$4:$O$9,装备属性计算表!H$2,FALSE)/装备属性计算表!H$10*VLOOKUP($F137&amp;$D137,$F$4:$S$29,I$34,FALSE),0)</f>
        <v>0</v>
      </c>
      <c r="J137" s="28">
        <f>ROUND(VLOOKUP($E137,装备属性计算表!$D$4:$O$9,装备属性计算表!I$2,FALSE)/装备属性计算表!I$10*VLOOKUP($F137&amp;$D137,$F$4:$S$29,J$34,FALSE),0)</f>
        <v>0</v>
      </c>
      <c r="K137" s="28">
        <f>ROUND(VLOOKUP($E137,装备属性计算表!$D$4:$O$9,装备属性计算表!J$2,FALSE)/装备属性计算表!J$10*VLOOKUP($F137&amp;$D137,$F$4:$S$29,K$34,FALSE),0)</f>
        <v>80</v>
      </c>
      <c r="L137" s="28">
        <f>ROUND(VLOOKUP($E137,装备属性计算表!$D$4:$O$9,装备属性计算表!K$2,FALSE)/装备属性计算表!K$10*VLOOKUP($F137&amp;$D137,$F$4:$S$29,L$34,FALSE),0)</f>
        <v>0</v>
      </c>
      <c r="M137" s="28">
        <f>ROUND(VLOOKUP($E137,装备属性计算表!$D$4:$O$9,装备属性计算表!L$2,FALSE)/装备属性计算表!L$10*VLOOKUP($F137&amp;$D137,$F$4:$S$29,M$34,FALSE),0)</f>
        <v>0</v>
      </c>
      <c r="N137" s="28">
        <f>ROUND(VLOOKUP($E137,装备属性计算表!$D$4:$O$9,装备属性计算表!M$2,FALSE)/装备属性计算表!M$10*VLOOKUP($F137&amp;$D137,$F$4:$S$29,N$34,FALSE),0)</f>
        <v>0</v>
      </c>
      <c r="O137" s="28">
        <f>ROUND(VLOOKUP($E137,装备属性计算表!$D$4:$O$9,装备属性计算表!N$2,FALSE)/装备属性计算表!N$10*VLOOKUP($F137&amp;$D137,$F$4:$S$29,O$34,FALSE),0)</f>
        <v>0</v>
      </c>
      <c r="P137" s="28">
        <f>ROUND(VLOOKUP($E137,装备属性计算表!$D$4:$O$9,装备属性计算表!O$2,FALSE)/装备属性计算表!O$10*VLOOKUP($F137&amp;$D137,$F$4:$S$29,P$34,FALSE),0)</f>
        <v>0</v>
      </c>
      <c r="Q137" s="28">
        <f>SUMPRODUCT(G137:P137,定义数据!$G$14:$P$14)</f>
        <v>52.2</v>
      </c>
      <c r="R137" s="28">
        <f t="shared" si="55"/>
        <v>2610</v>
      </c>
      <c r="S137" s="91">
        <f t="shared" si="56"/>
        <v>2610</v>
      </c>
      <c r="T137" s="28">
        <f t="shared" si="57"/>
        <v>4776300</v>
      </c>
      <c r="U137" s="89">
        <f>VLOOKUP(F137,D_装备金币参考表!$A$2:$C$81,3,FALSE)*Q137-VLOOKUP(F113,D_装备金币参考表!$A$2:$C$81,3,FALSE)*Q137+U113</f>
        <v>1995190.2200000002</v>
      </c>
      <c r="V137" s="25">
        <f>SUM(U132:U137)</f>
        <v>11327678.040000001</v>
      </c>
      <c r="W137">
        <f>IF(ROUNDDOWN(X$31/$R137,0)&gt;$F137,$F137,ROUNDDOWN(X$31/$R137,0))</f>
        <v>0</v>
      </c>
      <c r="X137">
        <f>IF(ROUNDDOWN(Y$31/$R137,0)&gt;$F137,$F137,ROUNDDOWN(Y$31/$R137,0))</f>
        <v>1</v>
      </c>
      <c r="Y137">
        <f>IF(X137&gt;$F137,0,F137)</f>
        <v>60</v>
      </c>
      <c r="Z137" s="25">
        <f t="shared" si="61"/>
        <v>0</v>
      </c>
      <c r="AA137" s="25">
        <f>ROUNDUP(IF(X137&gt;$F137,(($F137*($F137+1)/2)-(W137+1)*W137/2)*$R137/X$31,((X137*(X137+1)/2)-(W137+1)*W137/2)*$R137/X$31),0)</f>
        <v>3</v>
      </c>
      <c r="AB137" s="25">
        <f>ROUNDUP(IF(Y137&gt;$F137,(($F137*($F137+1)/2)-(X137+1)*X137/2)*$R137/Y$31,((Y137*(Y137+1)/2)-(X137+1)*X137/2)*$R137/Y$31),0)</f>
        <v>955</v>
      </c>
      <c r="AC137" s="25">
        <f t="shared" si="64"/>
        <v>1700</v>
      </c>
      <c r="AD137">
        <v>91</v>
      </c>
      <c r="AE137" s="5">
        <f t="shared" si="53"/>
        <v>352.17117798010963</v>
      </c>
      <c r="AF137" s="5">
        <f t="shared" si="53"/>
        <v>1105.2626104205215</v>
      </c>
      <c r="AG137" s="5">
        <f t="shared" si="53"/>
        <v>1209.612612456395</v>
      </c>
      <c r="AH137" s="5">
        <f t="shared" si="53"/>
        <v>2210.5252208410429</v>
      </c>
      <c r="AI137" s="5">
        <f t="shared" si="53"/>
        <v>2419.2252249127901</v>
      </c>
      <c r="AJ137" s="5">
        <f t="shared" si="53"/>
        <v>3628.8378373691853</v>
      </c>
      <c r="AK137" s="5">
        <f t="shared" si="53"/>
        <v>3745.2503301503798</v>
      </c>
      <c r="AL137" s="5">
        <f t="shared" si="53"/>
        <v>4838.4504498255801</v>
      </c>
      <c r="AM137" s="5">
        <f t="shared" si="53"/>
        <v>4993.6671068671731</v>
      </c>
      <c r="AN137" s="5">
        <f t="shared" si="52"/>
        <v>5061.7036154944371</v>
      </c>
      <c r="AO137" s="5">
        <f t="shared" si="52"/>
        <v>5644.8588581298436</v>
      </c>
      <c r="AP137" s="5">
        <f t="shared" si="52"/>
        <v>5825.9449580117025</v>
      </c>
      <c r="AQ137" s="5">
        <f t="shared" si="52"/>
        <v>5905.3208847435099</v>
      </c>
      <c r="AR137" s="5">
        <f t="shared" si="65"/>
        <v>6658.2228091562311</v>
      </c>
      <c r="AS137" s="5">
        <f t="shared" si="65"/>
        <v>6748.9381539925826</v>
      </c>
    </row>
    <row r="138" spans="1:45" x14ac:dyDescent="0.15">
      <c r="A138" s="28" t="str">
        <f>F138&amp;D138&amp;VLOOKUP(E138,定义数据!$E$1:$F$7,2,FALSE)</f>
        <v>6040</v>
      </c>
      <c r="B138" s="28" t="str">
        <f t="shared" ref="B138:B191" si="66">A138</f>
        <v>6040</v>
      </c>
      <c r="C138" s="28">
        <f>装备属性计算表!AK134</f>
        <v>19</v>
      </c>
      <c r="D138" s="28">
        <f>装备属性计算表!B134</f>
        <v>4</v>
      </c>
      <c r="E138" s="28" t="str">
        <f>装备属性计算表!C134</f>
        <v>武器</v>
      </c>
      <c r="F138" s="28">
        <f>装备属性计算表!D134</f>
        <v>60</v>
      </c>
      <c r="G138" s="28">
        <f>ROUND(VLOOKUP($E138,装备属性计算表!$D$4:$O$9,装备属性计算表!F$2,FALSE)/装备属性计算表!F$10*VLOOKUP($F138&amp;$D138,$F$4:$S$29,G$34,FALSE),0)</f>
        <v>0</v>
      </c>
      <c r="H138" s="28">
        <f>ROUND(VLOOKUP($E138,装备属性计算表!$D$4:$O$9,装备属性计算表!G$2,FALSE)/装备属性计算表!G$10*VLOOKUP($F138&amp;$D138,$F$4:$S$29,H$34,FALSE),0)</f>
        <v>90</v>
      </c>
      <c r="I138" s="28">
        <f>ROUND(VLOOKUP($E138,装备属性计算表!$D$4:$O$9,装备属性计算表!H$2,FALSE)/装备属性计算表!H$10*VLOOKUP($F138&amp;$D138,$F$4:$S$29,I$34,FALSE),0)</f>
        <v>0</v>
      </c>
      <c r="J138" s="28">
        <f>ROUND(VLOOKUP($E138,装备属性计算表!$D$4:$O$9,装备属性计算表!I$2,FALSE)/装备属性计算表!I$10*VLOOKUP($F138&amp;$D138,$F$4:$S$29,J$34,FALSE),0)</f>
        <v>0</v>
      </c>
      <c r="K138" s="28">
        <f>ROUND(VLOOKUP($E138,装备属性计算表!$D$4:$O$9,装备属性计算表!J$2,FALSE)/装备属性计算表!J$10*VLOOKUP($F138&amp;$D138,$F$4:$S$29,K$34,FALSE),0)</f>
        <v>0</v>
      </c>
      <c r="L138" s="28">
        <f>ROUND(VLOOKUP($E138,装备属性计算表!$D$4:$O$9,装备属性计算表!K$2,FALSE)/装备属性计算表!K$10*VLOOKUP($F138&amp;$D138,$F$4:$S$29,L$34,FALSE),0)</f>
        <v>56</v>
      </c>
      <c r="M138" s="28">
        <f>ROUND(VLOOKUP($E138,装备属性计算表!$D$4:$O$9,装备属性计算表!L$2,FALSE)/装备属性计算表!L$10*VLOOKUP($F138&amp;$D138,$F$4:$S$29,M$34,FALSE),0)</f>
        <v>0</v>
      </c>
      <c r="N138" s="28">
        <f>ROUND(VLOOKUP($E138,装备属性计算表!$D$4:$O$9,装备属性计算表!M$2,FALSE)/装备属性计算表!M$10*VLOOKUP($F138&amp;$D138,$F$4:$S$29,N$34,FALSE),0)</f>
        <v>0</v>
      </c>
      <c r="O138" s="28">
        <f>ROUND(VLOOKUP($E138,装备属性计算表!$D$4:$O$9,装备属性计算表!N$2,FALSE)/装备属性计算表!N$10*VLOOKUP($F138&amp;$D138,$F$4:$S$29,O$34,FALSE),0)</f>
        <v>0</v>
      </c>
      <c r="P138" s="28">
        <f>ROUND(VLOOKUP($E138,装备属性计算表!$D$4:$O$9,装备属性计算表!O$2,FALSE)/装备属性计算表!O$10*VLOOKUP($F138&amp;$D138,$F$4:$S$29,P$34,FALSE),0)</f>
        <v>0</v>
      </c>
      <c r="Q138" s="28">
        <f>SUMPRODUCT(G138:P138,定义数据!$G$14:$P$14)</f>
        <v>100.08</v>
      </c>
      <c r="R138" s="28">
        <f t="shared" si="55"/>
        <v>5004</v>
      </c>
      <c r="S138" s="91">
        <f t="shared" si="56"/>
        <v>5004</v>
      </c>
      <c r="T138" s="28">
        <f t="shared" si="57"/>
        <v>9157320</v>
      </c>
      <c r="U138" s="89">
        <f>VLOOKUP(F138,D_装备金币参考表!$A$2:$C$81,3,FALSE)*Q138-VLOOKUP(F114,D_装备金币参考表!$A$2:$C$81,3,FALSE)*Q138+U114</f>
        <v>3820744.06</v>
      </c>
      <c r="W138">
        <f t="shared" ref="W138:X138" si="67">IF(ROUNDDOWN(X$31/$R138,0)&gt;$F138,$F138,ROUNDDOWN(X$31/$R138,0))</f>
        <v>0</v>
      </c>
      <c r="X138">
        <f t="shared" si="67"/>
        <v>0</v>
      </c>
      <c r="Y138">
        <f t="shared" ref="Y138:Y191" si="68">IF(X138&gt;$F138,0,F138)</f>
        <v>60</v>
      </c>
      <c r="Z138" s="25">
        <f t="shared" ref="Z138:Z191" si="69">ROUNDUP(IF(W138=0,0,W138*(W138+1)/2*R138/W$31),0)</f>
        <v>0</v>
      </c>
      <c r="AA138" s="25">
        <f t="shared" ref="AA138:AA191" si="70">ROUNDUP(IF(X138&gt;$F138,(($F138*($F138+1)/2)-(W138+1)*W138/2)*$R138/X$31,((X138*(X138+1)/2)-(W138+1)*W138/2)*$R138/X$31),0)</f>
        <v>0</v>
      </c>
      <c r="AB138" s="25">
        <f t="shared" ref="AB138:AB191" si="71">ROUNDUP(IF(Y138&gt;$F138,(($F138*($F138+1)/2)-(X138+1)*X138/2)*$R138/Y$31,((Y138*(Y138+1)/2)-(X138+1)*X138/2)*$R138/Y$31),0)</f>
        <v>1832</v>
      </c>
      <c r="AC138" s="25">
        <f t="shared" si="64"/>
        <v>2680</v>
      </c>
      <c r="AD138">
        <v>92</v>
      </c>
      <c r="AE138" s="5">
        <f t="shared" si="53"/>
        <v>357.21046652819518</v>
      </c>
      <c r="AF138" s="5">
        <f t="shared" si="53"/>
        <v>1121.2005665556437</v>
      </c>
      <c r="AG138" s="5">
        <f t="shared" si="53"/>
        <v>1227.3235429569904</v>
      </c>
      <c r="AH138" s="5">
        <f t="shared" si="53"/>
        <v>2242.4011331112874</v>
      </c>
      <c r="AI138" s="5">
        <f t="shared" si="53"/>
        <v>2454.6470859139808</v>
      </c>
      <c r="AJ138" s="5">
        <f t="shared" si="53"/>
        <v>3681.9706288709713</v>
      </c>
      <c r="AK138" s="5">
        <f t="shared" si="53"/>
        <v>3800.3783435514406</v>
      </c>
      <c r="AL138" s="5">
        <f t="shared" si="53"/>
        <v>4909.2941718279617</v>
      </c>
      <c r="AM138" s="5">
        <f t="shared" si="53"/>
        <v>5067.1711247352541</v>
      </c>
      <c r="AN138" s="5">
        <f t="shared" si="52"/>
        <v>5136.3774978743158</v>
      </c>
      <c r="AO138" s="5">
        <f t="shared" si="52"/>
        <v>5727.5098671326214</v>
      </c>
      <c r="AP138" s="5">
        <f t="shared" si="52"/>
        <v>5911.6996455244625</v>
      </c>
      <c r="AQ138" s="5">
        <f t="shared" si="52"/>
        <v>5992.4404141867017</v>
      </c>
      <c r="AR138" s="5">
        <f t="shared" si="65"/>
        <v>6756.2281663136719</v>
      </c>
      <c r="AS138" s="5">
        <f t="shared" si="65"/>
        <v>6848.5033304990875</v>
      </c>
    </row>
    <row r="139" spans="1:45" x14ac:dyDescent="0.15">
      <c r="A139" s="28" t="str">
        <f>F139&amp;D139&amp;VLOOKUP(E139,定义数据!$E$1:$F$7,2,FALSE)</f>
        <v>6041</v>
      </c>
      <c r="B139" s="28" t="str">
        <f t="shared" si="66"/>
        <v>6041</v>
      </c>
      <c r="C139" s="28">
        <f>装备属性计算表!AK135</f>
        <v>19</v>
      </c>
      <c r="D139" s="28">
        <f>装备属性计算表!B135</f>
        <v>4</v>
      </c>
      <c r="E139" s="28" t="str">
        <f>装备属性计算表!C135</f>
        <v>衣服</v>
      </c>
      <c r="F139" s="28">
        <f>装备属性计算表!D135</f>
        <v>60</v>
      </c>
      <c r="G139" s="28">
        <f>ROUND(VLOOKUP($E139,装备属性计算表!$D$4:$O$9,装备属性计算表!F$2,FALSE)/装备属性计算表!F$10*VLOOKUP($F139&amp;$D139,$F$4:$S$29,G$34,FALSE),0)</f>
        <v>1411</v>
      </c>
      <c r="H139" s="28">
        <f>ROUND(VLOOKUP($E139,装备属性计算表!$D$4:$O$9,装备属性计算表!G$2,FALSE)/装备属性计算表!G$10*VLOOKUP($F139&amp;$D139,$F$4:$S$29,H$34,FALSE),0)</f>
        <v>0</v>
      </c>
      <c r="I139" s="28">
        <f>ROUND(VLOOKUP($E139,装备属性计算表!$D$4:$O$9,装备属性计算表!H$2,FALSE)/装备属性计算表!H$10*VLOOKUP($F139&amp;$D139,$F$4:$S$29,I$34,FALSE),0)</f>
        <v>31</v>
      </c>
      <c r="J139" s="28">
        <f>ROUND(VLOOKUP($E139,装备属性计算表!$D$4:$O$9,装备属性计算表!I$2,FALSE)/装备属性计算表!I$10*VLOOKUP($F139&amp;$D139,$F$4:$S$29,J$34,FALSE),0)</f>
        <v>0</v>
      </c>
      <c r="K139" s="28">
        <f>ROUND(VLOOKUP($E139,装备属性计算表!$D$4:$O$9,装备属性计算表!J$2,FALSE)/装备属性计算表!J$10*VLOOKUP($F139&amp;$D139,$F$4:$S$29,K$34,FALSE),0)</f>
        <v>0</v>
      </c>
      <c r="L139" s="28">
        <f>ROUND(VLOOKUP($E139,装备属性计算表!$D$4:$O$9,装备属性计算表!K$2,FALSE)/装备属性计算表!K$10*VLOOKUP($F139&amp;$D139,$F$4:$S$29,L$34,FALSE),0)</f>
        <v>0</v>
      </c>
      <c r="M139" s="28">
        <f>ROUND(VLOOKUP($E139,装备属性计算表!$D$4:$O$9,装备属性计算表!L$2,FALSE)/装备属性计算表!L$10*VLOOKUP($F139&amp;$D139,$F$4:$S$29,M$34,FALSE),0)</f>
        <v>0</v>
      </c>
      <c r="N139" s="28">
        <f>ROUND(VLOOKUP($E139,装备属性计算表!$D$4:$O$9,装备属性计算表!M$2,FALSE)/装备属性计算表!M$10*VLOOKUP($F139&amp;$D139,$F$4:$S$29,N$34,FALSE),0)</f>
        <v>0</v>
      </c>
      <c r="O139" s="28">
        <f>ROUND(VLOOKUP($E139,装备属性计算表!$D$4:$O$9,装备属性计算表!N$2,FALSE)/装备属性计算表!N$10*VLOOKUP($F139&amp;$D139,$F$4:$S$29,O$34,FALSE),0)</f>
        <v>0</v>
      </c>
      <c r="P139" s="28">
        <f>ROUND(VLOOKUP($E139,装备属性计算表!$D$4:$O$9,装备属性计算表!O$2,FALSE)/装备属性计算表!O$10*VLOOKUP($F139&amp;$D139,$F$4:$S$29,P$34,FALSE),0)</f>
        <v>0</v>
      </c>
      <c r="Q139" s="28">
        <f>SUMPRODUCT(G139:P139,定义数据!$G$14:$P$14)</f>
        <v>87.44</v>
      </c>
      <c r="R139" s="28">
        <f t="shared" si="55"/>
        <v>4372</v>
      </c>
      <c r="S139" s="91">
        <f t="shared" si="56"/>
        <v>4372</v>
      </c>
      <c r="T139" s="28">
        <f t="shared" si="57"/>
        <v>8000760</v>
      </c>
      <c r="U139" s="89">
        <f>VLOOKUP(F139,D_装备金币参考表!$A$2:$C$81,3,FALSE)*Q139-VLOOKUP(F115,D_装备金币参考表!$A$2:$C$81,3,FALSE)*Q139+U115</f>
        <v>3341782.24</v>
      </c>
      <c r="W139">
        <f t="shared" ref="W139:X139" si="72">IF(ROUNDDOWN(X$31/$R139,0)&gt;$F139,$F139,ROUNDDOWN(X$31/$R139,0))</f>
        <v>0</v>
      </c>
      <c r="X139">
        <f t="shared" si="72"/>
        <v>1</v>
      </c>
      <c r="Y139">
        <f t="shared" si="68"/>
        <v>60</v>
      </c>
      <c r="Z139" s="25">
        <f t="shared" si="69"/>
        <v>0</v>
      </c>
      <c r="AA139" s="25">
        <f t="shared" si="70"/>
        <v>5</v>
      </c>
      <c r="AB139" s="25">
        <f t="shared" si="71"/>
        <v>1600</v>
      </c>
      <c r="AC139" s="25">
        <f t="shared" si="64"/>
        <v>4240</v>
      </c>
      <c r="AD139">
        <v>93</v>
      </c>
      <c r="AE139" s="5">
        <f t="shared" si="53"/>
        <v>362.26621463609047</v>
      </c>
      <c r="AF139" s="5">
        <f t="shared" si="53"/>
        <v>1137.1923181512796</v>
      </c>
      <c r="AG139" s="5">
        <f t="shared" si="53"/>
        <v>1245.0981169166334</v>
      </c>
      <c r="AH139" s="5">
        <f t="shared" si="53"/>
        <v>2274.3846363025591</v>
      </c>
      <c r="AI139" s="5">
        <f t="shared" si="53"/>
        <v>2490.1962338332669</v>
      </c>
      <c r="AJ139" s="5">
        <f t="shared" si="53"/>
        <v>3735.2943507499003</v>
      </c>
      <c r="AK139" s="5">
        <f t="shared" si="53"/>
        <v>3855.7086668838315</v>
      </c>
      <c r="AL139" s="5">
        <f t="shared" si="53"/>
        <v>4980.3924676665338</v>
      </c>
      <c r="AM139" s="5">
        <f t="shared" si="53"/>
        <v>5140.9448891784423</v>
      </c>
      <c r="AN139" s="5">
        <f t="shared" si="52"/>
        <v>5211.3278640481121</v>
      </c>
      <c r="AO139" s="5">
        <f t="shared" si="52"/>
        <v>5810.4578789442894</v>
      </c>
      <c r="AP139" s="5">
        <f t="shared" si="52"/>
        <v>5997.7690373748492</v>
      </c>
      <c r="AQ139" s="5">
        <f t="shared" si="52"/>
        <v>6079.882508056131</v>
      </c>
      <c r="AR139" s="5">
        <f t="shared" si="65"/>
        <v>6854.5931855712561</v>
      </c>
      <c r="AS139" s="5">
        <f t="shared" si="65"/>
        <v>6948.4371520641498</v>
      </c>
    </row>
    <row r="140" spans="1:45" x14ac:dyDescent="0.15">
      <c r="A140" s="28" t="str">
        <f>F140&amp;D140&amp;VLOOKUP(E140,定义数据!$E$1:$F$7,2,FALSE)</f>
        <v>6042</v>
      </c>
      <c r="B140" s="28" t="str">
        <f t="shared" si="66"/>
        <v>6042</v>
      </c>
      <c r="C140" s="28">
        <f>装备属性计算表!AK136</f>
        <v>19</v>
      </c>
      <c r="D140" s="28">
        <f>装备属性计算表!B136</f>
        <v>4</v>
      </c>
      <c r="E140" s="28" t="str">
        <f>装备属性计算表!C136</f>
        <v>裤子</v>
      </c>
      <c r="F140" s="28">
        <f>装备属性计算表!D136</f>
        <v>60</v>
      </c>
      <c r="G140" s="28">
        <f>ROUND(VLOOKUP($E140,装备属性计算表!$D$4:$O$9,装备属性计算表!F$2,FALSE)/装备属性计算表!F$10*VLOOKUP($F140&amp;$D140,$F$4:$S$29,G$34,FALSE),0)</f>
        <v>0</v>
      </c>
      <c r="H140" s="28">
        <f>ROUND(VLOOKUP($E140,装备属性计算表!$D$4:$O$9,装备属性计算表!G$2,FALSE)/装备属性计算表!G$10*VLOOKUP($F140&amp;$D140,$F$4:$S$29,H$34,FALSE),0)</f>
        <v>0</v>
      </c>
      <c r="I140" s="28">
        <f>ROUND(VLOOKUP($E140,装备属性计算表!$D$4:$O$9,装备属性计算表!H$2,FALSE)/装备属性计算表!H$10*VLOOKUP($F140&amp;$D140,$F$4:$S$29,I$34,FALSE),0)</f>
        <v>21</v>
      </c>
      <c r="J140" s="28">
        <f>ROUND(VLOOKUP($E140,装备属性计算表!$D$4:$O$9,装备属性计算表!I$2,FALSE)/装备属性计算表!I$10*VLOOKUP($F140&amp;$D140,$F$4:$S$29,J$34,FALSE),0)</f>
        <v>31</v>
      </c>
      <c r="K140" s="28">
        <f>ROUND(VLOOKUP($E140,装备属性计算表!$D$4:$O$9,装备属性计算表!J$2,FALSE)/装备属性计算表!J$10*VLOOKUP($F140&amp;$D140,$F$4:$S$29,K$34,FALSE),0)</f>
        <v>0</v>
      </c>
      <c r="L140" s="28">
        <f>ROUND(VLOOKUP($E140,装备属性计算表!$D$4:$O$9,装备属性计算表!K$2,FALSE)/装备属性计算表!K$10*VLOOKUP($F140&amp;$D140,$F$4:$S$29,L$34,FALSE),0)</f>
        <v>0</v>
      </c>
      <c r="M140" s="28">
        <f>ROUND(VLOOKUP($E140,装备属性计算表!$D$4:$O$9,装备属性计算表!L$2,FALSE)/装备属性计算表!L$10*VLOOKUP($F140&amp;$D140,$F$4:$S$29,M$34,FALSE),0)</f>
        <v>0</v>
      </c>
      <c r="N140" s="28">
        <f>ROUND(VLOOKUP($E140,装备属性计算表!$D$4:$O$9,装备属性计算表!M$2,FALSE)/装备属性计算表!M$10*VLOOKUP($F140&amp;$D140,$F$4:$S$29,N$34,FALSE),0)</f>
        <v>0</v>
      </c>
      <c r="O140" s="28">
        <f>ROUND(VLOOKUP($E140,装备属性计算表!$D$4:$O$9,装备属性计算表!N$2,FALSE)/装备属性计算表!N$10*VLOOKUP($F140&amp;$D140,$F$4:$S$29,O$34,FALSE),0)</f>
        <v>0</v>
      </c>
      <c r="P140" s="28">
        <f>ROUND(VLOOKUP($E140,装备属性计算表!$D$4:$O$9,装备属性计算表!O$2,FALSE)/装备属性计算表!O$10*VLOOKUP($F140&amp;$D140,$F$4:$S$29,P$34,FALSE),0)</f>
        <v>0</v>
      </c>
      <c r="Q140" s="28">
        <f>SUMPRODUCT(G140:P140,定义数据!$G$14:$P$14)</f>
        <v>31.54</v>
      </c>
      <c r="R140" s="28">
        <f t="shared" si="55"/>
        <v>1577</v>
      </c>
      <c r="S140" s="91">
        <f t="shared" si="56"/>
        <v>1577</v>
      </c>
      <c r="T140" s="28">
        <f t="shared" si="57"/>
        <v>2885910</v>
      </c>
      <c r="U140" s="89">
        <f>VLOOKUP(F140,D_装备金币参考表!$A$2:$C$81,3,FALSE)*Q140-VLOOKUP(F116,D_装备金币参考表!$A$2:$C$81,3,FALSE)*Q140+U116</f>
        <v>1204819.3399999999</v>
      </c>
      <c r="W140">
        <f t="shared" ref="W140:X140" si="73">IF(ROUNDDOWN(X$31/$R140,0)&gt;$F140,$F140,ROUNDDOWN(X$31/$R140,0))</f>
        <v>0</v>
      </c>
      <c r="X140">
        <f t="shared" si="73"/>
        <v>3</v>
      </c>
      <c r="Y140">
        <f t="shared" si="68"/>
        <v>60</v>
      </c>
      <c r="Z140" s="25">
        <f t="shared" si="69"/>
        <v>0</v>
      </c>
      <c r="AA140" s="25">
        <f t="shared" si="70"/>
        <v>10</v>
      </c>
      <c r="AB140" s="25">
        <f t="shared" si="71"/>
        <v>576</v>
      </c>
      <c r="AC140" s="25">
        <f t="shared" si="64"/>
        <v>4090</v>
      </c>
      <c r="AD140">
        <v>94</v>
      </c>
      <c r="AE140" s="5">
        <f t="shared" si="53"/>
        <v>367.33829820978326</v>
      </c>
      <c r="AF140" s="5">
        <f t="shared" si="53"/>
        <v>1153.2374653983497</v>
      </c>
      <c r="AG140" s="5">
        <f t="shared" si="53"/>
        <v>1262.9358749964144</v>
      </c>
      <c r="AH140" s="5">
        <f t="shared" si="53"/>
        <v>2306.4749307966995</v>
      </c>
      <c r="AI140" s="5">
        <f t="shared" si="53"/>
        <v>2525.8717499928289</v>
      </c>
      <c r="AJ140" s="5">
        <f t="shared" si="53"/>
        <v>3788.8076249892429</v>
      </c>
      <c r="AK140" s="5">
        <f t="shared" si="53"/>
        <v>3911.2398552011259</v>
      </c>
      <c r="AL140" s="5">
        <f t="shared" si="53"/>
        <v>5051.7434999856578</v>
      </c>
      <c r="AM140" s="5">
        <f t="shared" si="53"/>
        <v>5214.9864736015015</v>
      </c>
      <c r="AN140" s="5">
        <f t="shared" si="52"/>
        <v>5286.5527482053767</v>
      </c>
      <c r="AO140" s="5">
        <f t="shared" si="52"/>
        <v>5893.7007499832671</v>
      </c>
      <c r="AP140" s="5">
        <f t="shared" si="52"/>
        <v>6084.1508858684183</v>
      </c>
      <c r="AQ140" s="5">
        <f t="shared" si="52"/>
        <v>6167.6448729062722</v>
      </c>
      <c r="AR140" s="5">
        <f t="shared" si="65"/>
        <v>6953.3152981353351</v>
      </c>
      <c r="AS140" s="5">
        <f t="shared" si="65"/>
        <v>7048.7369976071686</v>
      </c>
    </row>
    <row r="141" spans="1:45" x14ac:dyDescent="0.15">
      <c r="A141" s="28" t="str">
        <f>F141&amp;D141&amp;VLOOKUP(E141,定义数据!$E$1:$F$7,2,FALSE)</f>
        <v>6045</v>
      </c>
      <c r="B141" s="28" t="str">
        <f t="shared" si="66"/>
        <v>6045</v>
      </c>
      <c r="C141" s="28">
        <f>装备属性计算表!AK137</f>
        <v>19</v>
      </c>
      <c r="D141" s="28">
        <f>装备属性计算表!B137</f>
        <v>4</v>
      </c>
      <c r="E141" s="28" t="str">
        <f>装备属性计算表!C137</f>
        <v>鞋子</v>
      </c>
      <c r="F141" s="28">
        <f>装备属性计算表!D137</f>
        <v>60</v>
      </c>
      <c r="G141" s="28">
        <f>ROUND(VLOOKUP($E141,装备属性计算表!$D$4:$O$9,装备属性计算表!F$2,FALSE)/装备属性计算表!F$10*VLOOKUP($F141&amp;$D141,$F$4:$S$29,G$34,FALSE),0)</f>
        <v>470</v>
      </c>
      <c r="H141" s="28">
        <f>ROUND(VLOOKUP($E141,装备属性计算表!$D$4:$O$9,装备属性计算表!G$2,FALSE)/装备属性计算表!G$10*VLOOKUP($F141&amp;$D141,$F$4:$S$29,H$34,FALSE),0)</f>
        <v>0</v>
      </c>
      <c r="I141" s="28">
        <f>ROUND(VLOOKUP($E141,装备属性计算表!$D$4:$O$9,装备属性计算表!H$2,FALSE)/装备属性计算表!H$10*VLOOKUP($F141&amp;$D141,$F$4:$S$29,I$34,FALSE),0)</f>
        <v>0</v>
      </c>
      <c r="J141" s="28">
        <f>ROUND(VLOOKUP($E141,装备属性计算表!$D$4:$O$9,装备属性计算表!I$2,FALSE)/装备属性计算表!I$10*VLOOKUP($F141&amp;$D141,$F$4:$S$29,J$34,FALSE),0)</f>
        <v>63</v>
      </c>
      <c r="K141" s="28">
        <f>ROUND(VLOOKUP($E141,装备属性计算表!$D$4:$O$9,装备属性计算表!J$2,FALSE)/装备属性计算表!J$10*VLOOKUP($F141&amp;$D141,$F$4:$S$29,K$34,FALSE),0)</f>
        <v>0</v>
      </c>
      <c r="L141" s="28">
        <f>ROUND(VLOOKUP($E141,装备属性计算表!$D$4:$O$9,装备属性计算表!K$2,FALSE)/装备属性计算表!K$10*VLOOKUP($F141&amp;$D141,$F$4:$S$29,L$34,FALSE),0)</f>
        <v>0</v>
      </c>
      <c r="M141" s="28">
        <f>ROUND(VLOOKUP($E141,装备属性计算表!$D$4:$O$9,装备属性计算表!L$2,FALSE)/装备属性计算表!L$10*VLOOKUP($F141&amp;$D141,$F$4:$S$29,M$34,FALSE),0)</f>
        <v>0</v>
      </c>
      <c r="N141" s="28">
        <f>ROUND(VLOOKUP($E141,装备属性计算表!$D$4:$O$9,装备属性计算表!M$2,FALSE)/装备属性计算表!M$10*VLOOKUP($F141&amp;$D141,$F$4:$S$29,N$34,FALSE),0)</f>
        <v>0</v>
      </c>
      <c r="O141" s="28">
        <f>ROUND(VLOOKUP($E141,装备属性计算表!$D$4:$O$9,装备属性计算表!N$2,FALSE)/装备属性计算表!N$10*VLOOKUP($F141&amp;$D141,$F$4:$S$29,O$34,FALSE),0)</f>
        <v>0</v>
      </c>
      <c r="P141" s="28">
        <f>ROUND(VLOOKUP($E141,装备属性计算表!$D$4:$O$9,装备属性计算表!O$2,FALSE)/装备属性计算表!O$10*VLOOKUP($F141&amp;$D141,$F$4:$S$29,P$34,FALSE),0)</f>
        <v>0</v>
      </c>
      <c r="Q141" s="28">
        <f>SUMPRODUCT(G141:P141,定义数据!$G$14:$P$14)</f>
        <v>40.22</v>
      </c>
      <c r="R141" s="28">
        <f t="shared" si="55"/>
        <v>2011</v>
      </c>
      <c r="S141" s="91">
        <f t="shared" si="56"/>
        <v>2011</v>
      </c>
      <c r="T141" s="28">
        <f t="shared" si="57"/>
        <v>3680130</v>
      </c>
      <c r="U141" s="89">
        <f>VLOOKUP(F141,D_装备金币参考表!$A$2:$C$81,3,FALSE)*Q141-VLOOKUP(F117,D_装备金币参考表!$A$2:$C$81,3,FALSE)*Q141+U117</f>
        <v>1535920.32</v>
      </c>
      <c r="W141">
        <f t="shared" ref="W141:X141" si="74">IF(ROUNDDOWN(X$31/$R141,0)&gt;$F141,$F141,ROUNDDOWN(X$31/$R141,0))</f>
        <v>0</v>
      </c>
      <c r="X141">
        <f t="shared" si="74"/>
        <v>2</v>
      </c>
      <c r="Y141">
        <f t="shared" si="68"/>
        <v>60</v>
      </c>
      <c r="Z141" s="25">
        <f t="shared" si="69"/>
        <v>0</v>
      </c>
      <c r="AA141" s="25">
        <f t="shared" si="70"/>
        <v>7</v>
      </c>
      <c r="AB141" s="25">
        <f t="shared" si="71"/>
        <v>735</v>
      </c>
      <c r="AC141" s="25">
        <f t="shared" si="64"/>
        <v>1870</v>
      </c>
      <c r="AD141">
        <v>95</v>
      </c>
      <c r="AE141" s="5">
        <f t="shared" si="53"/>
        <v>372.42659540323581</v>
      </c>
      <c r="AF141" s="5">
        <f t="shared" si="53"/>
        <v>1169.3356156881334</v>
      </c>
      <c r="AG141" s="5">
        <f t="shared" si="53"/>
        <v>1280.8363660328509</v>
      </c>
      <c r="AH141" s="5">
        <f t="shared" si="53"/>
        <v>2338.6712313762669</v>
      </c>
      <c r="AI141" s="5">
        <f t="shared" si="53"/>
        <v>2561.6727320657019</v>
      </c>
      <c r="AJ141" s="5">
        <f t="shared" si="53"/>
        <v>3842.5090980985528</v>
      </c>
      <c r="AK141" s="5">
        <f t="shared" si="53"/>
        <v>3966.9704891675879</v>
      </c>
      <c r="AL141" s="5">
        <f t="shared" si="53"/>
        <v>5123.3454641314038</v>
      </c>
      <c r="AM141" s="5">
        <f t="shared" si="53"/>
        <v>5289.2939855567838</v>
      </c>
      <c r="AN141" s="5">
        <f t="shared" si="52"/>
        <v>5362.0502193160046</v>
      </c>
      <c r="AO141" s="5">
        <f t="shared" si="52"/>
        <v>5977.2363748199705</v>
      </c>
      <c r="AP141" s="5">
        <f t="shared" si="52"/>
        <v>6170.8429831495805</v>
      </c>
      <c r="AQ141" s="5">
        <f t="shared" si="52"/>
        <v>6255.7252558686714</v>
      </c>
      <c r="AR141" s="5">
        <f t="shared" si="65"/>
        <v>7052.3919807423781</v>
      </c>
      <c r="AS141" s="5">
        <f t="shared" si="65"/>
        <v>7149.4002924213391</v>
      </c>
    </row>
    <row r="142" spans="1:45" x14ac:dyDescent="0.15">
      <c r="A142" s="28" t="str">
        <f>F142&amp;D142&amp;VLOOKUP(E142,定义数据!$E$1:$F$7,2,FALSE)</f>
        <v>6044</v>
      </c>
      <c r="B142" s="28" t="str">
        <f t="shared" si="66"/>
        <v>6044</v>
      </c>
      <c r="C142" s="28">
        <f>装备属性计算表!AK138</f>
        <v>19</v>
      </c>
      <c r="D142" s="28">
        <f>装备属性计算表!B138</f>
        <v>4</v>
      </c>
      <c r="E142" s="28" t="str">
        <f>装备属性计算表!C138</f>
        <v>腰带</v>
      </c>
      <c r="F142" s="28">
        <f>装备属性计算表!D138</f>
        <v>60</v>
      </c>
      <c r="G142" s="28">
        <f>ROUND(VLOOKUP($E142,装备属性计算表!$D$4:$O$9,装备属性计算表!F$2,FALSE)/装备属性计算表!F$10*VLOOKUP($F142&amp;$D142,$F$4:$S$29,G$34,FALSE),0)</f>
        <v>470</v>
      </c>
      <c r="H142" s="28">
        <f>ROUND(VLOOKUP($E142,装备属性计算表!$D$4:$O$9,装备属性计算表!G$2,FALSE)/装备属性计算表!G$10*VLOOKUP($F142&amp;$D142,$F$4:$S$29,H$34,FALSE),0)</f>
        <v>0</v>
      </c>
      <c r="I142" s="28">
        <f>ROUND(VLOOKUP($E142,装备属性计算表!$D$4:$O$9,装备属性计算表!H$2,FALSE)/装备属性计算表!H$10*VLOOKUP($F142&amp;$D142,$F$4:$S$29,I$34,FALSE),0)</f>
        <v>0</v>
      </c>
      <c r="J142" s="28">
        <f>ROUND(VLOOKUP($E142,装备属性计算表!$D$4:$O$9,装备属性计算表!I$2,FALSE)/装备属性计算表!I$10*VLOOKUP($F142&amp;$D142,$F$4:$S$29,J$34,FALSE),0)</f>
        <v>0</v>
      </c>
      <c r="K142" s="28">
        <f>ROUND(VLOOKUP($E142,装备属性计算表!$D$4:$O$9,装备属性计算表!J$2,FALSE)/装备属性计算表!J$10*VLOOKUP($F142&amp;$D142,$F$4:$S$29,K$34,FALSE),0)</f>
        <v>0</v>
      </c>
      <c r="L142" s="28">
        <f>ROUND(VLOOKUP($E142,装备属性计算表!$D$4:$O$9,装备属性计算表!K$2,FALSE)/装备属性计算表!K$10*VLOOKUP($F142&amp;$D142,$F$4:$S$29,L$34,FALSE),0)</f>
        <v>0</v>
      </c>
      <c r="M142" s="28">
        <f>ROUND(VLOOKUP($E142,装备属性计算表!$D$4:$O$9,装备属性计算表!L$2,FALSE)/装备属性计算表!L$10*VLOOKUP($F142&amp;$D142,$F$4:$S$29,M$34,FALSE),0)</f>
        <v>0</v>
      </c>
      <c r="N142" s="28">
        <f>ROUND(VLOOKUP($E142,装备属性计算表!$D$4:$O$9,装备属性计算表!M$2,FALSE)/装备属性计算表!M$10*VLOOKUP($F142&amp;$D142,$F$4:$S$29,N$34,FALSE),0)</f>
        <v>56</v>
      </c>
      <c r="O142" s="28">
        <f>ROUND(VLOOKUP($E142,装备属性计算表!$D$4:$O$9,装备属性计算表!N$2,FALSE)/装备属性计算表!N$10*VLOOKUP($F142&amp;$D142,$F$4:$S$29,O$34,FALSE),0)</f>
        <v>0</v>
      </c>
      <c r="P142" s="28">
        <f>ROUND(VLOOKUP($E142,装备属性计算表!$D$4:$O$9,装备属性计算表!O$2,FALSE)/装备属性计算表!O$10*VLOOKUP($F142&amp;$D142,$F$4:$S$29,P$34,FALSE),0)</f>
        <v>0</v>
      </c>
      <c r="Q142" s="28">
        <f>SUMPRODUCT(G142:P142,定义数据!$G$14:$P$14)</f>
        <v>28.880000000000003</v>
      </c>
      <c r="R142" s="28">
        <f t="shared" si="55"/>
        <v>1444</v>
      </c>
      <c r="S142" s="91">
        <f t="shared" si="56"/>
        <v>1444</v>
      </c>
      <c r="T142" s="28">
        <f t="shared" si="57"/>
        <v>2642520</v>
      </c>
      <c r="U142" s="89">
        <f>VLOOKUP(F142,D_装备金币参考表!$A$2:$C$81,3,FALSE)*Q142-VLOOKUP(F118,D_装备金币参考表!$A$2:$C$81,3,FALSE)*Q142+U118</f>
        <v>1102500.1000000001</v>
      </c>
      <c r="W142">
        <f t="shared" ref="W142:X142" si="75">IF(ROUNDDOWN(X$31/$R142,0)&gt;$F142,$F142,ROUNDDOWN(X$31/$R142,0))</f>
        <v>0</v>
      </c>
      <c r="X142">
        <f t="shared" si="75"/>
        <v>3</v>
      </c>
      <c r="Y142">
        <f t="shared" si="68"/>
        <v>60</v>
      </c>
      <c r="Z142" s="25">
        <f t="shared" si="69"/>
        <v>0</v>
      </c>
      <c r="AA142" s="25">
        <f t="shared" si="70"/>
        <v>9</v>
      </c>
      <c r="AB142" s="25">
        <f t="shared" si="71"/>
        <v>527</v>
      </c>
      <c r="AC142" s="25">
        <f t="shared" si="64"/>
        <v>1480</v>
      </c>
      <c r="AD142">
        <v>96</v>
      </c>
      <c r="AE142" s="5">
        <f t="shared" si="53"/>
        <v>377.53098655438737</v>
      </c>
      <c r="AF142" s="5">
        <f t="shared" si="53"/>
        <v>1185.4863834080279</v>
      </c>
      <c r="AG142" s="5">
        <f t="shared" si="53"/>
        <v>1298.7991468077034</v>
      </c>
      <c r="AH142" s="5">
        <f t="shared" si="53"/>
        <v>2370.9727668160558</v>
      </c>
      <c r="AI142" s="5">
        <f t="shared" si="53"/>
        <v>2597.5982936154069</v>
      </c>
      <c r="AJ142" s="5">
        <f t="shared" si="53"/>
        <v>3896.3974404231108</v>
      </c>
      <c r="AK142" s="5">
        <f t="shared" si="53"/>
        <v>4022.8991743389092</v>
      </c>
      <c r="AL142" s="5">
        <f t="shared" si="53"/>
        <v>5195.1965872308137</v>
      </c>
      <c r="AM142" s="5">
        <f t="shared" si="53"/>
        <v>5363.8655657852123</v>
      </c>
      <c r="AN142" s="5">
        <f t="shared" si="52"/>
        <v>5437.8183801545583</v>
      </c>
      <c r="AO142" s="5">
        <f t="shared" si="52"/>
        <v>6061.0626851026163</v>
      </c>
      <c r="AP142" s="5">
        <f t="shared" si="52"/>
        <v>6257.8431600827471</v>
      </c>
      <c r="AQ142" s="5">
        <f t="shared" si="52"/>
        <v>6344.1214435136508</v>
      </c>
      <c r="AR142" s="5">
        <f t="shared" si="65"/>
        <v>7151.8207543802828</v>
      </c>
      <c r="AS142" s="5">
        <f t="shared" si="65"/>
        <v>7250.4245068727441</v>
      </c>
    </row>
    <row r="143" spans="1:45" x14ac:dyDescent="0.15">
      <c r="A143" s="28" t="str">
        <f>F143&amp;D143&amp;VLOOKUP(E143,定义数据!$E$1:$F$7,2,FALSE)</f>
        <v>6043</v>
      </c>
      <c r="B143" s="28" t="str">
        <f t="shared" si="66"/>
        <v>6043</v>
      </c>
      <c r="C143" s="28">
        <f>装备属性计算表!AK139</f>
        <v>19</v>
      </c>
      <c r="D143" s="28">
        <f>装备属性计算表!B139</f>
        <v>4</v>
      </c>
      <c r="E143" s="28" t="str">
        <f>装备属性计算表!C139</f>
        <v>项链</v>
      </c>
      <c r="F143" s="28">
        <f>装备属性计算表!D139</f>
        <v>60</v>
      </c>
      <c r="G143" s="28">
        <f>ROUND(VLOOKUP($E143,装备属性计算表!$D$4:$O$9,装备属性计算表!F$2,FALSE)/装备属性计算表!F$10*VLOOKUP($F143&amp;$D143,$F$4:$S$29,G$34,FALSE),0)</f>
        <v>0</v>
      </c>
      <c r="H143" s="28">
        <f>ROUND(VLOOKUP($E143,装备属性计算表!$D$4:$O$9,装备属性计算表!G$2,FALSE)/装备属性计算表!G$10*VLOOKUP($F143&amp;$D143,$F$4:$S$29,H$34,FALSE),0)</f>
        <v>30</v>
      </c>
      <c r="I143" s="28">
        <f>ROUND(VLOOKUP($E143,装备属性计算表!$D$4:$O$9,装备属性计算表!H$2,FALSE)/装备属性计算表!H$10*VLOOKUP($F143&amp;$D143,$F$4:$S$29,I$34,FALSE),0)</f>
        <v>0</v>
      </c>
      <c r="J143" s="28">
        <f>ROUND(VLOOKUP($E143,装备属性计算表!$D$4:$O$9,装备属性计算表!I$2,FALSE)/装备属性计算表!I$10*VLOOKUP($F143&amp;$D143,$F$4:$S$29,J$34,FALSE),0)</f>
        <v>0</v>
      </c>
      <c r="K143" s="28">
        <f>ROUND(VLOOKUP($E143,装备属性计算表!$D$4:$O$9,装备属性计算表!J$2,FALSE)/装备属性计算表!J$10*VLOOKUP($F143&amp;$D143,$F$4:$S$29,K$34,FALSE),0)</f>
        <v>94</v>
      </c>
      <c r="L143" s="28">
        <f>ROUND(VLOOKUP($E143,装备属性计算表!$D$4:$O$9,装备属性计算表!K$2,FALSE)/装备属性计算表!K$10*VLOOKUP($F143&amp;$D143,$F$4:$S$29,L$34,FALSE),0)</f>
        <v>0</v>
      </c>
      <c r="M143" s="28">
        <f>ROUND(VLOOKUP($E143,装备属性计算表!$D$4:$O$9,装备属性计算表!L$2,FALSE)/装备属性计算表!L$10*VLOOKUP($F143&amp;$D143,$F$4:$S$29,M$34,FALSE),0)</f>
        <v>0</v>
      </c>
      <c r="N143" s="28">
        <f>ROUND(VLOOKUP($E143,装备属性计算表!$D$4:$O$9,装备属性计算表!M$2,FALSE)/装备属性计算表!M$10*VLOOKUP($F143&amp;$D143,$F$4:$S$29,N$34,FALSE),0)</f>
        <v>0</v>
      </c>
      <c r="O143" s="28">
        <f>ROUND(VLOOKUP($E143,装备属性计算表!$D$4:$O$9,装备属性计算表!N$2,FALSE)/装备属性计算表!N$10*VLOOKUP($F143&amp;$D143,$F$4:$S$29,O$34,FALSE),0)</f>
        <v>0</v>
      </c>
      <c r="P143" s="28">
        <f>ROUND(VLOOKUP($E143,装备属性计算表!$D$4:$O$9,装备属性计算表!O$2,FALSE)/装备属性计算表!O$10*VLOOKUP($F143&amp;$D143,$F$4:$S$29,P$34,FALSE),0)</f>
        <v>0</v>
      </c>
      <c r="Q143" s="28">
        <f>SUMPRODUCT(G143:P143,定义数据!$G$14:$P$14)</f>
        <v>61.96</v>
      </c>
      <c r="R143" s="28">
        <f t="shared" si="55"/>
        <v>3098</v>
      </c>
      <c r="S143" s="91">
        <f t="shared" si="56"/>
        <v>3098</v>
      </c>
      <c r="T143" s="28">
        <f t="shared" si="57"/>
        <v>5669340</v>
      </c>
      <c r="U143" s="89">
        <f>VLOOKUP(F143,D_装备金币参考表!$A$2:$C$81,3,FALSE)*Q143-VLOOKUP(F119,D_装备金币参考表!$A$2:$C$81,3,FALSE)*Q143+U119</f>
        <v>2367158.02</v>
      </c>
      <c r="V143" s="25">
        <f>SUM(U138:U143)</f>
        <v>13372924.08</v>
      </c>
      <c r="W143">
        <f t="shared" ref="W143:X158" si="76">IF(ROUNDDOWN(X$31/$R143,0)&gt;$F143,$F143,ROUNDDOWN(X$31/$R143,0))</f>
        <v>0</v>
      </c>
      <c r="X143">
        <f t="shared" si="76"/>
        <v>1</v>
      </c>
      <c r="Y143">
        <f t="shared" si="68"/>
        <v>60</v>
      </c>
      <c r="Z143" s="25">
        <f t="shared" si="69"/>
        <v>0</v>
      </c>
      <c r="AA143" s="25">
        <f t="shared" si="70"/>
        <v>4</v>
      </c>
      <c r="AB143" s="25">
        <f t="shared" si="71"/>
        <v>1134</v>
      </c>
      <c r="AC143" s="25" t="s">
        <v>298</v>
      </c>
      <c r="AD143">
        <v>97</v>
      </c>
      <c r="AE143" s="5">
        <f t="shared" si="53"/>
        <v>382.6513541236298</v>
      </c>
      <c r="AF143" s="5">
        <f t="shared" si="53"/>
        <v>1201.6893897451901</v>
      </c>
      <c r="AG143" s="5">
        <f t="shared" si="53"/>
        <v>1316.8237818265964</v>
      </c>
      <c r="AH143" s="5">
        <f t="shared" si="53"/>
        <v>2403.3787794903801</v>
      </c>
      <c r="AI143" s="5">
        <f t="shared" si="53"/>
        <v>2633.6475636531927</v>
      </c>
      <c r="AJ143" s="5">
        <f t="shared" si="53"/>
        <v>3950.4713454797889</v>
      </c>
      <c r="AK143" s="5">
        <f t="shared" si="53"/>
        <v>4079.024540470492</v>
      </c>
      <c r="AL143" s="5">
        <f t="shared" si="53"/>
        <v>5267.2951273063854</v>
      </c>
      <c r="AM143" s="5">
        <f t="shared" si="53"/>
        <v>5438.6993872939893</v>
      </c>
      <c r="AN143" s="5">
        <f t="shared" si="52"/>
        <v>5513.8553663618568</v>
      </c>
      <c r="AO143" s="5">
        <f t="shared" si="52"/>
        <v>6145.1776485241162</v>
      </c>
      <c r="AP143" s="5">
        <f t="shared" si="52"/>
        <v>6345.1492851763214</v>
      </c>
      <c r="AQ143" s="5">
        <f t="shared" si="52"/>
        <v>6432.8312607554999</v>
      </c>
      <c r="AR143" s="5">
        <f t="shared" si="65"/>
        <v>7251.5991830586527</v>
      </c>
      <c r="AS143" s="5">
        <f t="shared" si="65"/>
        <v>7351.807155149143</v>
      </c>
    </row>
    <row r="144" spans="1:45" x14ac:dyDescent="0.15">
      <c r="A144" s="28" t="str">
        <f>F144&amp;D144&amp;VLOOKUP(E144,定义数据!$E$1:$F$7,2,FALSE)</f>
        <v>7010</v>
      </c>
      <c r="B144" s="28" t="str">
        <f t="shared" si="66"/>
        <v>7010</v>
      </c>
      <c r="C144" s="28">
        <f>装备属性计算表!AK140</f>
        <v>20</v>
      </c>
      <c r="D144" s="28">
        <f>装备属性计算表!B140</f>
        <v>1</v>
      </c>
      <c r="E144" s="28" t="str">
        <f>装备属性计算表!C140</f>
        <v>武器</v>
      </c>
      <c r="F144" s="28">
        <f>装备属性计算表!D140</f>
        <v>70</v>
      </c>
      <c r="G144" s="28">
        <f>ROUND(VLOOKUP($E144,装备属性计算表!$D$4:$O$9,装备属性计算表!F$2,FALSE)/装备属性计算表!F$10*VLOOKUP($F144&amp;$D144,$F$4:$S$29,G$34,FALSE),0)</f>
        <v>0</v>
      </c>
      <c r="H144" s="28">
        <f>ROUND(VLOOKUP($E144,装备属性计算表!$D$4:$O$9,装备属性计算表!G$2,FALSE)/装备属性计算表!G$10*VLOOKUP($F144&amp;$D144,$F$4:$S$29,H$34,FALSE),0)</f>
        <v>54</v>
      </c>
      <c r="I144" s="28">
        <f>ROUND(VLOOKUP($E144,装备属性计算表!$D$4:$O$9,装备属性计算表!H$2,FALSE)/装备属性计算表!H$10*VLOOKUP($F144&amp;$D144,$F$4:$S$29,I$34,FALSE),0)</f>
        <v>0</v>
      </c>
      <c r="J144" s="28">
        <f>ROUND(VLOOKUP($E144,装备属性计算表!$D$4:$O$9,装备属性计算表!I$2,FALSE)/装备属性计算表!I$10*VLOOKUP($F144&amp;$D144,$F$4:$S$29,J$34,FALSE),0)</f>
        <v>0</v>
      </c>
      <c r="K144" s="28">
        <f>ROUND(VLOOKUP($E144,装备属性计算表!$D$4:$O$9,装备属性计算表!J$2,FALSE)/装备属性计算表!J$10*VLOOKUP($F144&amp;$D144,$F$4:$S$29,K$34,FALSE),0)</f>
        <v>0</v>
      </c>
      <c r="L144" s="28">
        <f>ROUND(VLOOKUP($E144,装备属性计算表!$D$4:$O$9,装备属性计算表!K$2,FALSE)/装备属性计算表!K$10*VLOOKUP($F144&amp;$D144,$F$4:$S$29,L$34,FALSE),0)</f>
        <v>33</v>
      </c>
      <c r="M144" s="28">
        <f>ROUND(VLOOKUP($E144,装备属性计算表!$D$4:$O$9,装备属性计算表!L$2,FALSE)/装备属性计算表!L$10*VLOOKUP($F144&amp;$D144,$F$4:$S$29,M$34,FALSE),0)</f>
        <v>0</v>
      </c>
      <c r="N144" s="28">
        <f>ROUND(VLOOKUP($E144,装备属性计算表!$D$4:$O$9,装备属性计算表!M$2,FALSE)/装备属性计算表!M$10*VLOOKUP($F144&amp;$D144,$F$4:$S$29,N$34,FALSE),0)</f>
        <v>0</v>
      </c>
      <c r="O144" s="28">
        <f>ROUND(VLOOKUP($E144,装备属性计算表!$D$4:$O$9,装备属性计算表!N$2,FALSE)/装备属性计算表!N$10*VLOOKUP($F144&amp;$D144,$F$4:$S$29,O$34,FALSE),0)</f>
        <v>0</v>
      </c>
      <c r="P144" s="28">
        <f>ROUND(VLOOKUP($E144,装备属性计算表!$D$4:$O$9,装备属性计算表!O$2,FALSE)/装备属性计算表!O$10*VLOOKUP($F144&amp;$D144,$F$4:$S$29,P$34,FALSE),0)</f>
        <v>0</v>
      </c>
      <c r="Q144" s="28">
        <f>SUMPRODUCT(G144:P144,定义数据!$G$14:$P$14)</f>
        <v>59.94</v>
      </c>
      <c r="R144" s="28">
        <f t="shared" si="55"/>
        <v>2997</v>
      </c>
      <c r="S144" s="91">
        <f t="shared" si="56"/>
        <v>2997</v>
      </c>
      <c r="T144" s="28">
        <f>(1+F144)*F144/2*R144</f>
        <v>7447545</v>
      </c>
      <c r="U144" s="89">
        <f>VLOOKUP(F144,D_装备金币参考表!$A$2:$C$81,3,FALSE)*Q144-VLOOKUP(F120,D_装备金币参考表!$A$2:$C$81,3,FALSE)*Q144+U120</f>
        <v>3402108.32</v>
      </c>
      <c r="W144">
        <f t="shared" si="76"/>
        <v>0</v>
      </c>
      <c r="X144">
        <f t="shared" si="76"/>
        <v>1</v>
      </c>
      <c r="Y144">
        <f t="shared" si="68"/>
        <v>70</v>
      </c>
      <c r="Z144" s="25">
        <f t="shared" si="69"/>
        <v>0</v>
      </c>
      <c r="AA144" s="25">
        <f t="shared" si="70"/>
        <v>3</v>
      </c>
      <c r="AB144" s="25">
        <f t="shared" si="71"/>
        <v>1489</v>
      </c>
      <c r="AC144" s="25">
        <f t="shared" si="64"/>
        <v>455</v>
      </c>
      <c r="AD144">
        <v>98</v>
      </c>
      <c r="AE144" s="5">
        <f t="shared" si="53"/>
        <v>387.78758263463271</v>
      </c>
      <c r="AF144" s="5">
        <f t="shared" si="53"/>
        <v>1217.9442624976361</v>
      </c>
      <c r="AG144" s="5">
        <f t="shared" si="53"/>
        <v>1334.9098431060361</v>
      </c>
      <c r="AH144" s="5">
        <f t="shared" si="53"/>
        <v>2435.8885249952723</v>
      </c>
      <c r="AI144" s="5">
        <f t="shared" si="53"/>
        <v>2669.8196862120722</v>
      </c>
      <c r="AJ144" s="5">
        <f t="shared" si="53"/>
        <v>4004.7295293181087</v>
      </c>
      <c r="AK144" s="5">
        <f t="shared" si="53"/>
        <v>4135.3452408518478</v>
      </c>
      <c r="AL144" s="5">
        <f t="shared" si="53"/>
        <v>5339.6393724241443</v>
      </c>
      <c r="AM144" s="5">
        <f t="shared" si="53"/>
        <v>5513.7936544691302</v>
      </c>
      <c r="AN144" s="5">
        <f t="shared" si="52"/>
        <v>5590.1593455420589</v>
      </c>
      <c r="AO144" s="5">
        <f t="shared" si="52"/>
        <v>6229.5792678281687</v>
      </c>
      <c r="AP144" s="5">
        <f t="shared" si="52"/>
        <v>6432.7592635473184</v>
      </c>
      <c r="AQ144" s="5">
        <f t="shared" si="52"/>
        <v>6521.8525697990681</v>
      </c>
      <c r="AR144" s="5">
        <f t="shared" si="65"/>
        <v>7351.7248726255066</v>
      </c>
      <c r="AS144" s="5">
        <f t="shared" si="65"/>
        <v>7453.5457940560782</v>
      </c>
    </row>
    <row r="145" spans="1:45" x14ac:dyDescent="0.15">
      <c r="A145" s="28" t="str">
        <f>F145&amp;D145&amp;VLOOKUP(E145,定义数据!$E$1:$F$7,2,FALSE)</f>
        <v>7011</v>
      </c>
      <c r="B145" s="28" t="str">
        <f t="shared" si="66"/>
        <v>7011</v>
      </c>
      <c r="C145" s="28">
        <f>装备属性计算表!AK141</f>
        <v>20</v>
      </c>
      <c r="D145" s="28">
        <f>装备属性计算表!B141</f>
        <v>1</v>
      </c>
      <c r="E145" s="28" t="str">
        <f>装备属性计算表!C141</f>
        <v>衣服</v>
      </c>
      <c r="F145" s="28">
        <f>装备属性计算表!D141</f>
        <v>70</v>
      </c>
      <c r="G145" s="28">
        <f>ROUND(VLOOKUP($E145,装备属性计算表!$D$4:$O$9,装备属性计算表!F$2,FALSE)/装备属性计算表!F$10*VLOOKUP($F145&amp;$D145,$F$4:$S$29,G$34,FALSE),0)</f>
        <v>847</v>
      </c>
      <c r="H145" s="28">
        <f>ROUND(VLOOKUP($E145,装备属性计算表!$D$4:$O$9,装备属性计算表!G$2,FALSE)/装备属性计算表!G$10*VLOOKUP($F145&amp;$D145,$F$4:$S$29,H$34,FALSE),0)</f>
        <v>0</v>
      </c>
      <c r="I145" s="28">
        <f>ROUND(VLOOKUP($E145,装备属性计算表!$D$4:$O$9,装备属性计算表!H$2,FALSE)/装备属性计算表!H$10*VLOOKUP($F145&amp;$D145,$F$4:$S$29,I$34,FALSE),0)</f>
        <v>19</v>
      </c>
      <c r="J145" s="28">
        <f>ROUND(VLOOKUP($E145,装备属性计算表!$D$4:$O$9,装备属性计算表!I$2,FALSE)/装备属性计算表!I$10*VLOOKUP($F145&amp;$D145,$F$4:$S$29,J$34,FALSE),0)</f>
        <v>0</v>
      </c>
      <c r="K145" s="28">
        <f>ROUND(VLOOKUP($E145,装备属性计算表!$D$4:$O$9,装备属性计算表!J$2,FALSE)/装备属性计算表!J$10*VLOOKUP($F145&amp;$D145,$F$4:$S$29,K$34,FALSE),0)</f>
        <v>0</v>
      </c>
      <c r="L145" s="28">
        <f>ROUND(VLOOKUP($E145,装备属性计算表!$D$4:$O$9,装备属性计算表!K$2,FALSE)/装备属性计算表!K$10*VLOOKUP($F145&amp;$D145,$F$4:$S$29,L$34,FALSE),0)</f>
        <v>0</v>
      </c>
      <c r="M145" s="28">
        <f>ROUND(VLOOKUP($E145,装备属性计算表!$D$4:$O$9,装备属性计算表!L$2,FALSE)/装备属性计算表!L$10*VLOOKUP($F145&amp;$D145,$F$4:$S$29,M$34,FALSE),0)</f>
        <v>0</v>
      </c>
      <c r="N145" s="28">
        <f>ROUND(VLOOKUP($E145,装备属性计算表!$D$4:$O$9,装备属性计算表!M$2,FALSE)/装备属性计算表!M$10*VLOOKUP($F145&amp;$D145,$F$4:$S$29,N$34,FALSE),0)</f>
        <v>0</v>
      </c>
      <c r="O145" s="28">
        <f>ROUND(VLOOKUP($E145,装备属性计算表!$D$4:$O$9,装备属性计算表!N$2,FALSE)/装备属性计算表!N$10*VLOOKUP($F145&amp;$D145,$F$4:$S$29,O$34,FALSE),0)</f>
        <v>0</v>
      </c>
      <c r="P145" s="28">
        <f>ROUND(VLOOKUP($E145,装备属性计算表!$D$4:$O$9,装备属性计算表!O$2,FALSE)/装备属性计算表!O$10*VLOOKUP($F145&amp;$D145,$F$4:$S$29,P$34,FALSE),0)</f>
        <v>0</v>
      </c>
      <c r="Q145" s="28">
        <f>SUMPRODUCT(G145:P145,定义数据!$G$14:$P$14)</f>
        <v>52.88</v>
      </c>
      <c r="R145" s="28">
        <f t="shared" si="55"/>
        <v>2644</v>
      </c>
      <c r="S145" s="91">
        <f t="shared" si="56"/>
        <v>2644</v>
      </c>
      <c r="T145" s="28">
        <f t="shared" ref="T145:T191" si="77">(1+F145)*F145/2*R145</f>
        <v>6570340</v>
      </c>
      <c r="U145" s="89">
        <f>VLOOKUP(F145,D_装备金币参考表!$A$2:$C$81,3,FALSE)*Q145-VLOOKUP(F121,D_装备金币参考表!$A$2:$C$81,3,FALSE)*Q145+U121</f>
        <v>3000700.64</v>
      </c>
      <c r="W145">
        <f t="shared" si="76"/>
        <v>0</v>
      </c>
      <c r="X145">
        <f t="shared" si="76"/>
        <v>1</v>
      </c>
      <c r="Y145">
        <f t="shared" si="68"/>
        <v>70</v>
      </c>
      <c r="Z145" s="25">
        <f t="shared" si="69"/>
        <v>0</v>
      </c>
      <c r="AA145" s="25">
        <f t="shared" si="70"/>
        <v>3</v>
      </c>
      <c r="AB145" s="25">
        <f t="shared" si="71"/>
        <v>1314</v>
      </c>
      <c r="AC145" s="25">
        <f t="shared" si="64"/>
        <v>2660</v>
      </c>
      <c r="AD145">
        <v>99</v>
      </c>
      <c r="AE145" s="5">
        <f t="shared" si="53"/>
        <v>392.93955861740602</v>
      </c>
      <c r="AF145" s="5">
        <f t="shared" si="53"/>
        <v>1234.2506358924911</v>
      </c>
      <c r="AG145" s="5">
        <f t="shared" si="53"/>
        <v>1353.056909968411</v>
      </c>
      <c r="AH145" s="5">
        <f t="shared" si="53"/>
        <v>2468.5012717849822</v>
      </c>
      <c r="AI145" s="5">
        <f t="shared" si="53"/>
        <v>2706.113819936822</v>
      </c>
      <c r="AJ145" s="5">
        <f t="shared" si="53"/>
        <v>4059.1707299052332</v>
      </c>
      <c r="AK145" s="5">
        <f t="shared" si="53"/>
        <v>4191.8599516659378</v>
      </c>
      <c r="AL145" s="5">
        <f t="shared" si="53"/>
        <v>5412.227639873644</v>
      </c>
      <c r="AM145" s="5">
        <f t="shared" si="53"/>
        <v>5589.1466022212499</v>
      </c>
      <c r="AN145" s="5">
        <f t="shared" si="52"/>
        <v>5666.7285163934766</v>
      </c>
      <c r="AO145" s="5">
        <f t="shared" si="52"/>
        <v>6314.2655798525848</v>
      </c>
      <c r="AP145" s="5">
        <f t="shared" si="52"/>
        <v>6520.6710359247918</v>
      </c>
      <c r="AQ145" s="5">
        <f t="shared" si="52"/>
        <v>6611.1832691257223</v>
      </c>
      <c r="AR145" s="5">
        <f t="shared" si="65"/>
        <v>7452.1954696283337</v>
      </c>
      <c r="AS145" s="5">
        <f t="shared" si="65"/>
        <v>7555.6380218579689</v>
      </c>
    </row>
    <row r="146" spans="1:45" x14ac:dyDescent="0.15">
      <c r="A146" s="28" t="str">
        <f>F146&amp;D146&amp;VLOOKUP(E146,定义数据!$E$1:$F$7,2,FALSE)</f>
        <v>7012</v>
      </c>
      <c r="B146" s="28" t="str">
        <f t="shared" si="66"/>
        <v>7012</v>
      </c>
      <c r="C146" s="28">
        <f>装备属性计算表!AK142</f>
        <v>20</v>
      </c>
      <c r="D146" s="28">
        <f>装备属性计算表!B142</f>
        <v>1</v>
      </c>
      <c r="E146" s="28" t="str">
        <f>装备属性计算表!C142</f>
        <v>裤子</v>
      </c>
      <c r="F146" s="28">
        <f>装备属性计算表!D142</f>
        <v>70</v>
      </c>
      <c r="G146" s="28">
        <f>ROUND(VLOOKUP($E146,装备属性计算表!$D$4:$O$9,装备属性计算表!F$2,FALSE)/装备属性计算表!F$10*VLOOKUP($F146&amp;$D146,$F$4:$S$29,G$34,FALSE),0)</f>
        <v>0</v>
      </c>
      <c r="H146" s="28">
        <f>ROUND(VLOOKUP($E146,装备属性计算表!$D$4:$O$9,装备属性计算表!G$2,FALSE)/装备属性计算表!G$10*VLOOKUP($F146&amp;$D146,$F$4:$S$29,H$34,FALSE),0)</f>
        <v>0</v>
      </c>
      <c r="I146" s="28">
        <f>ROUND(VLOOKUP($E146,装备属性计算表!$D$4:$O$9,装备属性计算表!H$2,FALSE)/装备属性计算表!H$10*VLOOKUP($F146&amp;$D146,$F$4:$S$29,I$34,FALSE),0)</f>
        <v>12</v>
      </c>
      <c r="J146" s="28">
        <f>ROUND(VLOOKUP($E146,装备属性计算表!$D$4:$O$9,装备属性计算表!I$2,FALSE)/装备属性计算表!I$10*VLOOKUP($F146&amp;$D146,$F$4:$S$29,J$34,FALSE),0)</f>
        <v>19</v>
      </c>
      <c r="K146" s="28">
        <f>ROUND(VLOOKUP($E146,装备属性计算表!$D$4:$O$9,装备属性计算表!J$2,FALSE)/装备属性计算表!J$10*VLOOKUP($F146&amp;$D146,$F$4:$S$29,K$34,FALSE),0)</f>
        <v>0</v>
      </c>
      <c r="L146" s="28">
        <f>ROUND(VLOOKUP($E146,装备属性计算表!$D$4:$O$9,装备属性计算表!K$2,FALSE)/装备属性计算表!K$10*VLOOKUP($F146&amp;$D146,$F$4:$S$29,L$34,FALSE),0)</f>
        <v>0</v>
      </c>
      <c r="M146" s="28">
        <f>ROUND(VLOOKUP($E146,装备属性计算表!$D$4:$O$9,装备属性计算表!L$2,FALSE)/装备属性计算表!L$10*VLOOKUP($F146&amp;$D146,$F$4:$S$29,M$34,FALSE),0)</f>
        <v>0</v>
      </c>
      <c r="N146" s="28">
        <f>ROUND(VLOOKUP($E146,装备属性计算表!$D$4:$O$9,装备属性计算表!M$2,FALSE)/装备属性计算表!M$10*VLOOKUP($F146&amp;$D146,$F$4:$S$29,N$34,FALSE),0)</f>
        <v>0</v>
      </c>
      <c r="O146" s="28">
        <f>ROUND(VLOOKUP($E146,装备属性计算表!$D$4:$O$9,装备属性计算表!N$2,FALSE)/装备属性计算表!N$10*VLOOKUP($F146&amp;$D146,$F$4:$S$29,O$34,FALSE),0)</f>
        <v>0</v>
      </c>
      <c r="P146" s="28">
        <f>ROUND(VLOOKUP($E146,装备属性计算表!$D$4:$O$9,装备属性计算表!O$2,FALSE)/装备属性计算表!O$10*VLOOKUP($F146&amp;$D146,$F$4:$S$29,P$34,FALSE),0)</f>
        <v>0</v>
      </c>
      <c r="Q146" s="28">
        <f>SUMPRODUCT(G146:P146,定义数据!$G$14:$P$14)</f>
        <v>18.46</v>
      </c>
      <c r="R146" s="28">
        <f t="shared" si="55"/>
        <v>923</v>
      </c>
      <c r="S146" s="91">
        <f t="shared" si="56"/>
        <v>923</v>
      </c>
      <c r="T146" s="28">
        <f t="shared" si="77"/>
        <v>2293655</v>
      </c>
      <c r="U146" s="89">
        <f>VLOOKUP(F146,D_装备金币参考表!$A$2:$C$81,3,FALSE)*Q146-VLOOKUP(F122,D_装备金币参考表!$A$2:$C$81,3,FALSE)*Q146+U122</f>
        <v>1048413.2000000002</v>
      </c>
      <c r="W146">
        <f t="shared" si="76"/>
        <v>1</v>
      </c>
      <c r="X146">
        <f t="shared" si="76"/>
        <v>5</v>
      </c>
      <c r="Y146">
        <f t="shared" si="68"/>
        <v>70</v>
      </c>
      <c r="Z146" s="25">
        <f t="shared" si="69"/>
        <v>5</v>
      </c>
      <c r="AA146" s="25">
        <f t="shared" si="70"/>
        <v>13</v>
      </c>
      <c r="AB146" s="25">
        <f t="shared" si="71"/>
        <v>456</v>
      </c>
      <c r="AC146" s="25">
        <f t="shared" si="64"/>
        <v>345</v>
      </c>
      <c r="AD146">
        <v>100</v>
      </c>
      <c r="AE146" s="5">
        <f t="shared" si="53"/>
        <v>398.10717055349761</v>
      </c>
      <c r="AF146" s="5">
        <f t="shared" si="53"/>
        <v>1250.608150411007</v>
      </c>
      <c r="AG146" s="5">
        <f t="shared" si="53"/>
        <v>1371.2645688446269</v>
      </c>
      <c r="AH146" s="5">
        <f t="shared" si="53"/>
        <v>2501.2163008220141</v>
      </c>
      <c r="AI146" s="5">
        <f t="shared" si="53"/>
        <v>2742.5291376892537</v>
      </c>
      <c r="AJ146" s="5">
        <f t="shared" si="53"/>
        <v>4113.7937065338801</v>
      </c>
      <c r="AK146" s="5">
        <f t="shared" si="53"/>
        <v>4248.5673713723163</v>
      </c>
      <c r="AL146" s="5">
        <f t="shared" si="53"/>
        <v>5485.0582753785075</v>
      </c>
      <c r="AM146" s="5">
        <f t="shared" si="53"/>
        <v>5664.7564951630884</v>
      </c>
      <c r="AN146" s="5">
        <f t="shared" si="52"/>
        <v>5743.5611078716665</v>
      </c>
      <c r="AO146" s="5">
        <f t="shared" si="52"/>
        <v>6399.2346546082581</v>
      </c>
      <c r="AP146" s="5">
        <f t="shared" si="52"/>
        <v>6608.8825776902704</v>
      </c>
      <c r="AQ146" s="5">
        <f t="shared" si="52"/>
        <v>6700.8212925169437</v>
      </c>
      <c r="AR146" s="5">
        <f t="shared" si="65"/>
        <v>7553.0086602174515</v>
      </c>
      <c r="AS146" s="5">
        <f t="shared" si="65"/>
        <v>7658.0814771622217</v>
      </c>
    </row>
    <row r="147" spans="1:45" x14ac:dyDescent="0.15">
      <c r="A147" s="28" t="str">
        <f>F147&amp;D147&amp;VLOOKUP(E147,定义数据!$E$1:$F$7,2,FALSE)</f>
        <v>7015</v>
      </c>
      <c r="B147" s="28" t="str">
        <f t="shared" si="66"/>
        <v>7015</v>
      </c>
      <c r="C147" s="28">
        <f>装备属性计算表!AK143</f>
        <v>20</v>
      </c>
      <c r="D147" s="28">
        <f>装备属性计算表!B143</f>
        <v>1</v>
      </c>
      <c r="E147" s="28" t="str">
        <f>装备属性计算表!C143</f>
        <v>鞋子</v>
      </c>
      <c r="F147" s="28">
        <f>装备属性计算表!D143</f>
        <v>70</v>
      </c>
      <c r="G147" s="28">
        <f>ROUND(VLOOKUP($E147,装备属性计算表!$D$4:$O$9,装备属性计算表!F$2,FALSE)/装备属性计算表!F$10*VLOOKUP($F147&amp;$D147,$F$4:$S$29,G$34,FALSE),0)</f>
        <v>282</v>
      </c>
      <c r="H147" s="28">
        <f>ROUND(VLOOKUP($E147,装备属性计算表!$D$4:$O$9,装备属性计算表!G$2,FALSE)/装备属性计算表!G$10*VLOOKUP($F147&amp;$D147,$F$4:$S$29,H$34,FALSE),0)</f>
        <v>0</v>
      </c>
      <c r="I147" s="28">
        <f>ROUND(VLOOKUP($E147,装备属性计算表!$D$4:$O$9,装备属性计算表!H$2,FALSE)/装备属性计算表!H$10*VLOOKUP($F147&amp;$D147,$F$4:$S$29,I$34,FALSE),0)</f>
        <v>0</v>
      </c>
      <c r="J147" s="28">
        <f>ROUND(VLOOKUP($E147,装备属性计算表!$D$4:$O$9,装备属性计算表!I$2,FALSE)/装备属性计算表!I$10*VLOOKUP($F147&amp;$D147,$F$4:$S$29,J$34,FALSE),0)</f>
        <v>38</v>
      </c>
      <c r="K147" s="28">
        <f>ROUND(VLOOKUP($E147,装备属性计算表!$D$4:$O$9,装备属性计算表!J$2,FALSE)/装备属性计算表!J$10*VLOOKUP($F147&amp;$D147,$F$4:$S$29,K$34,FALSE),0)</f>
        <v>0</v>
      </c>
      <c r="L147" s="28">
        <f>ROUND(VLOOKUP($E147,装备属性计算表!$D$4:$O$9,装备属性计算表!K$2,FALSE)/装备属性计算表!K$10*VLOOKUP($F147&amp;$D147,$F$4:$S$29,L$34,FALSE),0)</f>
        <v>0</v>
      </c>
      <c r="M147" s="28">
        <f>ROUND(VLOOKUP($E147,装备属性计算表!$D$4:$O$9,装备属性计算表!L$2,FALSE)/装备属性计算表!L$10*VLOOKUP($F147&amp;$D147,$F$4:$S$29,M$34,FALSE),0)</f>
        <v>0</v>
      </c>
      <c r="N147" s="28">
        <f>ROUND(VLOOKUP($E147,装备属性计算表!$D$4:$O$9,装备属性计算表!M$2,FALSE)/装备属性计算表!M$10*VLOOKUP($F147&amp;$D147,$F$4:$S$29,N$34,FALSE),0)</f>
        <v>0</v>
      </c>
      <c r="O147" s="28">
        <f>ROUND(VLOOKUP($E147,装备属性计算表!$D$4:$O$9,装备属性计算表!N$2,FALSE)/装备属性计算表!N$10*VLOOKUP($F147&amp;$D147,$F$4:$S$29,O$34,FALSE),0)</f>
        <v>0</v>
      </c>
      <c r="P147" s="28">
        <f>ROUND(VLOOKUP($E147,装备属性计算表!$D$4:$O$9,装备属性计算表!O$2,FALSE)/装备属性计算表!O$10*VLOOKUP($F147&amp;$D147,$F$4:$S$29,P$34,FALSE),0)</f>
        <v>0</v>
      </c>
      <c r="Q147" s="28">
        <f>SUMPRODUCT(G147:P147,定义数据!$G$14:$P$14)</f>
        <v>24.200000000000003</v>
      </c>
      <c r="R147" s="28">
        <f t="shared" si="55"/>
        <v>1210</v>
      </c>
      <c r="S147" s="91">
        <f t="shared" si="56"/>
        <v>1210</v>
      </c>
      <c r="T147" s="28">
        <f t="shared" si="77"/>
        <v>3006850</v>
      </c>
      <c r="U147" s="89">
        <f>VLOOKUP(F147,D_装备金币参考表!$A$2:$C$81,3,FALSE)*Q147-VLOOKUP(F123,D_装备金币参考表!$A$2:$C$81,3,FALSE)*Q147+U123</f>
        <v>1374214.1</v>
      </c>
      <c r="W147">
        <f t="shared" si="76"/>
        <v>0</v>
      </c>
      <c r="X147">
        <f t="shared" si="76"/>
        <v>4</v>
      </c>
      <c r="Y147">
        <f t="shared" si="68"/>
        <v>70</v>
      </c>
      <c r="Z147" s="25">
        <f t="shared" si="69"/>
        <v>0</v>
      </c>
      <c r="AA147" s="25">
        <f t="shared" si="70"/>
        <v>13</v>
      </c>
      <c r="AB147" s="25">
        <f t="shared" si="71"/>
        <v>599</v>
      </c>
      <c r="AC147" s="25">
        <f t="shared" si="64"/>
        <v>1150</v>
      </c>
      <c r="AE147" s="5">
        <f t="shared" ref="AE147:AS147" si="78">SUM(AE35:AE146)</f>
        <v>18196.319249881737</v>
      </c>
      <c r="AF147" s="5">
        <f t="shared" si="78"/>
        <v>56894.394527320197</v>
      </c>
      <c r="AG147" s="5">
        <f t="shared" si="78"/>
        <v>61805.559334609861</v>
      </c>
      <c r="AH147" s="5">
        <f t="shared" si="78"/>
        <v>113788.78905464039</v>
      </c>
      <c r="AI147" s="5">
        <f t="shared" si="78"/>
        <v>123611.11866921972</v>
      </c>
      <c r="AJ147" s="5">
        <f t="shared" si="78"/>
        <v>185416.6780038295</v>
      </c>
      <c r="AK147" s="5">
        <f t="shared" si="78"/>
        <v>190872.37269442793</v>
      </c>
      <c r="AL147" s="5">
        <f t="shared" si="78"/>
        <v>247222.23733843945</v>
      </c>
      <c r="AM147" s="5">
        <f t="shared" si="78"/>
        <v>254496.49692590383</v>
      </c>
      <c r="AN147" s="5">
        <f t="shared" si="78"/>
        <v>257680.03217775174</v>
      </c>
      <c r="AO147" s="5">
        <f t="shared" si="78"/>
        <v>288425.94356151239</v>
      </c>
      <c r="AP147" s="5">
        <f t="shared" si="78"/>
        <v>296912.57974688784</v>
      </c>
      <c r="AQ147" s="5">
        <f t="shared" si="78"/>
        <v>300626.70420737693</v>
      </c>
      <c r="AR147" s="5">
        <f t="shared" si="78"/>
        <v>339328.66256787186</v>
      </c>
      <c r="AS147" s="5">
        <f t="shared" si="78"/>
        <v>343573.37623700226</v>
      </c>
    </row>
    <row r="148" spans="1:45" x14ac:dyDescent="0.15">
      <c r="A148" s="28" t="str">
        <f>F148&amp;D148&amp;VLOOKUP(E148,定义数据!$E$1:$F$7,2,FALSE)</f>
        <v>7014</v>
      </c>
      <c r="B148" s="28" t="str">
        <f t="shared" si="66"/>
        <v>7014</v>
      </c>
      <c r="C148" s="28">
        <f>装备属性计算表!AK144</f>
        <v>20</v>
      </c>
      <c r="D148" s="28">
        <f>装备属性计算表!B144</f>
        <v>1</v>
      </c>
      <c r="E148" s="28" t="str">
        <f>装备属性计算表!C144</f>
        <v>腰带</v>
      </c>
      <c r="F148" s="28">
        <f>装备属性计算表!D144</f>
        <v>70</v>
      </c>
      <c r="G148" s="28">
        <f>ROUND(VLOOKUP($E148,装备属性计算表!$D$4:$O$9,装备属性计算表!F$2,FALSE)/装备属性计算表!F$10*VLOOKUP($F148&amp;$D148,$F$4:$S$29,G$34,FALSE),0)</f>
        <v>282</v>
      </c>
      <c r="H148" s="28">
        <f>ROUND(VLOOKUP($E148,装备属性计算表!$D$4:$O$9,装备属性计算表!G$2,FALSE)/装备属性计算表!G$10*VLOOKUP($F148&amp;$D148,$F$4:$S$29,H$34,FALSE),0)</f>
        <v>0</v>
      </c>
      <c r="I148" s="28">
        <f>ROUND(VLOOKUP($E148,装备属性计算表!$D$4:$O$9,装备属性计算表!H$2,FALSE)/装备属性计算表!H$10*VLOOKUP($F148&amp;$D148,$F$4:$S$29,I$34,FALSE),0)</f>
        <v>0</v>
      </c>
      <c r="J148" s="28">
        <f>ROUND(VLOOKUP($E148,装备属性计算表!$D$4:$O$9,装备属性计算表!I$2,FALSE)/装备属性计算表!I$10*VLOOKUP($F148&amp;$D148,$F$4:$S$29,J$34,FALSE),0)</f>
        <v>0</v>
      </c>
      <c r="K148" s="28">
        <f>ROUND(VLOOKUP($E148,装备属性计算表!$D$4:$O$9,装备属性计算表!J$2,FALSE)/装备属性计算表!J$10*VLOOKUP($F148&amp;$D148,$F$4:$S$29,K$34,FALSE),0)</f>
        <v>0</v>
      </c>
      <c r="L148" s="28">
        <f>ROUND(VLOOKUP($E148,装备属性计算表!$D$4:$O$9,装备属性计算表!K$2,FALSE)/装备属性计算表!K$10*VLOOKUP($F148&amp;$D148,$F$4:$S$29,L$34,FALSE),0)</f>
        <v>0</v>
      </c>
      <c r="M148" s="28">
        <f>ROUND(VLOOKUP($E148,装备属性计算表!$D$4:$O$9,装备属性计算表!L$2,FALSE)/装备属性计算表!L$10*VLOOKUP($F148&amp;$D148,$F$4:$S$29,M$34,FALSE),0)</f>
        <v>0</v>
      </c>
      <c r="N148" s="28">
        <f>ROUND(VLOOKUP($E148,装备属性计算表!$D$4:$O$9,装备属性计算表!M$2,FALSE)/装备属性计算表!M$10*VLOOKUP($F148&amp;$D148,$F$4:$S$29,N$34,FALSE),0)</f>
        <v>33</v>
      </c>
      <c r="O148" s="28">
        <f>ROUND(VLOOKUP($E148,装备属性计算表!$D$4:$O$9,装备属性计算表!N$2,FALSE)/装备属性计算表!N$10*VLOOKUP($F148&amp;$D148,$F$4:$S$29,O$34,FALSE),0)</f>
        <v>0</v>
      </c>
      <c r="P148" s="28">
        <f>ROUND(VLOOKUP($E148,装备属性计算表!$D$4:$O$9,装备属性计算表!O$2,FALSE)/装备属性计算表!O$10*VLOOKUP($F148&amp;$D148,$F$4:$S$29,P$34,FALSE),0)</f>
        <v>0</v>
      </c>
      <c r="Q148" s="28">
        <f>SUMPRODUCT(G148:P148,定义数据!$G$14:$P$14)</f>
        <v>17.22</v>
      </c>
      <c r="R148" s="28">
        <f t="shared" si="55"/>
        <v>861</v>
      </c>
      <c r="S148" s="91">
        <f t="shared" si="56"/>
        <v>861</v>
      </c>
      <c r="T148" s="28">
        <f t="shared" si="77"/>
        <v>2139585</v>
      </c>
      <c r="U148" s="89">
        <f>VLOOKUP(F148,D_装备金币参考表!$A$2:$C$81,3,FALSE)*Q148-VLOOKUP(F124,D_装备金币参考表!$A$2:$C$81,3,FALSE)*Q148+U124</f>
        <v>984268.48</v>
      </c>
      <c r="W148">
        <f t="shared" si="76"/>
        <v>1</v>
      </c>
      <c r="X148">
        <f t="shared" si="76"/>
        <v>5</v>
      </c>
      <c r="Y148">
        <f t="shared" si="68"/>
        <v>70</v>
      </c>
      <c r="Z148" s="25">
        <f t="shared" si="69"/>
        <v>5</v>
      </c>
      <c r="AA148" s="25">
        <f t="shared" si="70"/>
        <v>13</v>
      </c>
      <c r="AB148" s="25">
        <f t="shared" si="71"/>
        <v>426</v>
      </c>
      <c r="AC148" s="25">
        <f t="shared" si="64"/>
        <v>4415</v>
      </c>
    </row>
    <row r="149" spans="1:45" x14ac:dyDescent="0.15">
      <c r="A149" s="28" t="str">
        <f>F149&amp;D149&amp;VLOOKUP(E149,定义数据!$E$1:$F$7,2,FALSE)</f>
        <v>7013</v>
      </c>
      <c r="B149" s="28" t="str">
        <f t="shared" si="66"/>
        <v>7013</v>
      </c>
      <c r="C149" s="28">
        <f>装备属性计算表!AK145</f>
        <v>20</v>
      </c>
      <c r="D149" s="28">
        <f>装备属性计算表!B145</f>
        <v>1</v>
      </c>
      <c r="E149" s="28" t="str">
        <f>装备属性计算表!C145</f>
        <v>项链</v>
      </c>
      <c r="F149" s="28">
        <f>装备属性计算表!D145</f>
        <v>70</v>
      </c>
      <c r="G149" s="28">
        <f>ROUND(VLOOKUP($E149,装备属性计算表!$D$4:$O$9,装备属性计算表!F$2,FALSE)/装备属性计算表!F$10*VLOOKUP($F149&amp;$D149,$F$4:$S$29,G$34,FALSE),0)</f>
        <v>0</v>
      </c>
      <c r="H149" s="28">
        <f>ROUND(VLOOKUP($E149,装备属性计算表!$D$4:$O$9,装备属性计算表!G$2,FALSE)/装备属性计算表!G$10*VLOOKUP($F149&amp;$D149,$F$4:$S$29,H$34,FALSE),0)</f>
        <v>18</v>
      </c>
      <c r="I149" s="28">
        <f>ROUND(VLOOKUP($E149,装备属性计算表!$D$4:$O$9,装备属性计算表!H$2,FALSE)/装备属性计算表!H$10*VLOOKUP($F149&amp;$D149,$F$4:$S$29,I$34,FALSE),0)</f>
        <v>0</v>
      </c>
      <c r="J149" s="28">
        <f>ROUND(VLOOKUP($E149,装备属性计算表!$D$4:$O$9,装备属性计算表!I$2,FALSE)/装备属性计算表!I$10*VLOOKUP($F149&amp;$D149,$F$4:$S$29,J$34,FALSE),0)</f>
        <v>0</v>
      </c>
      <c r="K149" s="28">
        <f>ROUND(VLOOKUP($E149,装备属性计算表!$D$4:$O$9,装备属性计算表!J$2,FALSE)/装备属性计算表!J$10*VLOOKUP($F149&amp;$D149,$F$4:$S$29,K$34,FALSE),0)</f>
        <v>56</v>
      </c>
      <c r="L149" s="28">
        <f>ROUND(VLOOKUP($E149,装备属性计算表!$D$4:$O$9,装备属性计算表!K$2,FALSE)/装备属性计算表!K$10*VLOOKUP($F149&amp;$D149,$F$4:$S$29,L$34,FALSE),0)</f>
        <v>0</v>
      </c>
      <c r="M149" s="28">
        <f>ROUND(VLOOKUP($E149,装备属性计算表!$D$4:$O$9,装备属性计算表!L$2,FALSE)/装备属性计算表!L$10*VLOOKUP($F149&amp;$D149,$F$4:$S$29,M$34,FALSE),0)</f>
        <v>0</v>
      </c>
      <c r="N149" s="28">
        <f>ROUND(VLOOKUP($E149,装备属性计算表!$D$4:$O$9,装备属性计算表!M$2,FALSE)/装备属性计算表!M$10*VLOOKUP($F149&amp;$D149,$F$4:$S$29,N$34,FALSE),0)</f>
        <v>0</v>
      </c>
      <c r="O149" s="28">
        <f>ROUND(VLOOKUP($E149,装备属性计算表!$D$4:$O$9,装备属性计算表!N$2,FALSE)/装备属性计算表!N$10*VLOOKUP($F149&amp;$D149,$F$4:$S$29,O$34,FALSE),0)</f>
        <v>0</v>
      </c>
      <c r="P149" s="28">
        <f>ROUND(VLOOKUP($E149,装备属性计算表!$D$4:$O$9,装备属性计算表!O$2,FALSE)/装备属性计算表!O$10*VLOOKUP($F149&amp;$D149,$F$4:$S$29,P$34,FALSE),0)</f>
        <v>0</v>
      </c>
      <c r="Q149" s="28">
        <f>SUMPRODUCT(G149:P149,定义数据!$G$14:$P$14)</f>
        <v>37.040000000000006</v>
      </c>
      <c r="R149" s="28">
        <f t="shared" si="55"/>
        <v>1852</v>
      </c>
      <c r="S149" s="91">
        <f t="shared" si="56"/>
        <v>1852</v>
      </c>
      <c r="T149" s="28">
        <f t="shared" si="77"/>
        <v>4602220</v>
      </c>
      <c r="U149" s="89">
        <f>VLOOKUP(F149,D_装备金币参考表!$A$2:$C$81,3,FALSE)*Q149-VLOOKUP(F125,D_装备金币参考表!$A$2:$C$81,3,FALSE)*Q149+U125</f>
        <v>2095923.8800000001</v>
      </c>
      <c r="V149" s="25">
        <f>SUM(U144:U149)</f>
        <v>11905628.620000001</v>
      </c>
      <c r="W149">
        <f t="shared" si="76"/>
        <v>0</v>
      </c>
      <c r="X149">
        <f t="shared" si="76"/>
        <v>2</v>
      </c>
      <c r="Y149">
        <f t="shared" si="68"/>
        <v>70</v>
      </c>
      <c r="Z149" s="25">
        <f t="shared" si="69"/>
        <v>0</v>
      </c>
      <c r="AA149" s="25">
        <f t="shared" si="70"/>
        <v>6</v>
      </c>
      <c r="AB149" s="25">
        <f t="shared" si="71"/>
        <v>920</v>
      </c>
      <c r="AC149" s="25">
        <f t="shared" si="64"/>
        <v>3780</v>
      </c>
    </row>
    <row r="150" spans="1:45" x14ac:dyDescent="0.15">
      <c r="A150" s="28" t="str">
        <f>F150&amp;D150&amp;VLOOKUP(E150,定义数据!$E$1:$F$7,2,FALSE)</f>
        <v>7020</v>
      </c>
      <c r="B150" s="28" t="str">
        <f t="shared" si="66"/>
        <v>7020</v>
      </c>
      <c r="C150" s="28">
        <f>装备属性计算表!AK146</f>
        <v>21</v>
      </c>
      <c r="D150" s="28">
        <f>装备属性计算表!B146</f>
        <v>2</v>
      </c>
      <c r="E150" s="28" t="str">
        <f>装备属性计算表!C146</f>
        <v>武器</v>
      </c>
      <c r="F150" s="28">
        <f>装备属性计算表!D146</f>
        <v>70</v>
      </c>
      <c r="G150" s="28">
        <f>ROUND(VLOOKUP($E150,装备属性计算表!$D$4:$O$9,装备属性计算表!F$2,FALSE)/装备属性计算表!F$10*VLOOKUP($F150&amp;$D150,$F$4:$S$29,G$34,FALSE),0)</f>
        <v>0</v>
      </c>
      <c r="H150" s="28">
        <f>ROUND(VLOOKUP($E150,装备属性计算表!$D$4:$O$9,装备属性计算表!G$2,FALSE)/装备属性计算表!G$10*VLOOKUP($F150&amp;$D150,$F$4:$S$29,H$34,FALSE),0)</f>
        <v>78</v>
      </c>
      <c r="I150" s="28">
        <f>ROUND(VLOOKUP($E150,装备属性计算表!$D$4:$O$9,装备属性计算表!H$2,FALSE)/装备属性计算表!H$10*VLOOKUP($F150&amp;$D150,$F$4:$S$29,I$34,FALSE),0)</f>
        <v>0</v>
      </c>
      <c r="J150" s="28">
        <f>ROUND(VLOOKUP($E150,装备属性计算表!$D$4:$O$9,装备属性计算表!I$2,FALSE)/装备属性计算表!I$10*VLOOKUP($F150&amp;$D150,$F$4:$S$29,J$34,FALSE),0)</f>
        <v>0</v>
      </c>
      <c r="K150" s="28">
        <f>ROUND(VLOOKUP($E150,装备属性计算表!$D$4:$O$9,装备属性计算表!J$2,FALSE)/装备属性计算表!J$10*VLOOKUP($F150&amp;$D150,$F$4:$S$29,K$34,FALSE),0)</f>
        <v>0</v>
      </c>
      <c r="L150" s="28">
        <f>ROUND(VLOOKUP($E150,装备属性计算表!$D$4:$O$9,装备属性计算表!K$2,FALSE)/装备属性计算表!K$10*VLOOKUP($F150&amp;$D150,$F$4:$S$29,L$34,FALSE),0)</f>
        <v>48</v>
      </c>
      <c r="M150" s="28">
        <f>ROUND(VLOOKUP($E150,装备属性计算表!$D$4:$O$9,装备属性计算表!L$2,FALSE)/装备属性计算表!L$10*VLOOKUP($F150&amp;$D150,$F$4:$S$29,M$34,FALSE),0)</f>
        <v>0</v>
      </c>
      <c r="N150" s="28">
        <f>ROUND(VLOOKUP($E150,装备属性计算表!$D$4:$O$9,装备属性计算表!M$2,FALSE)/装备属性计算表!M$10*VLOOKUP($F150&amp;$D150,$F$4:$S$29,N$34,FALSE),0)</f>
        <v>0</v>
      </c>
      <c r="O150" s="28">
        <f>ROUND(VLOOKUP($E150,装备属性计算表!$D$4:$O$9,装备属性计算表!N$2,FALSE)/装备属性计算表!N$10*VLOOKUP($F150&amp;$D150,$F$4:$S$29,O$34,FALSE),0)</f>
        <v>0</v>
      </c>
      <c r="P150" s="28">
        <f>ROUND(VLOOKUP($E150,装备属性计算表!$D$4:$O$9,装备属性计算表!O$2,FALSE)/装备属性计算表!O$10*VLOOKUP($F150&amp;$D150,$F$4:$S$29,P$34,FALSE),0)</f>
        <v>0</v>
      </c>
      <c r="Q150" s="28">
        <f>SUMPRODUCT(G150:P150,定义数据!$G$14:$P$14)</f>
        <v>86.64</v>
      </c>
      <c r="R150" s="28">
        <f t="shared" si="55"/>
        <v>4332</v>
      </c>
      <c r="S150" s="91">
        <f t="shared" si="56"/>
        <v>4332</v>
      </c>
      <c r="T150" s="28">
        <f t="shared" si="77"/>
        <v>10765020</v>
      </c>
      <c r="U150" s="89">
        <f>VLOOKUP(F150,D_装备金币参考表!$A$2:$C$81,3,FALSE)*Q150-VLOOKUP(F126,D_装备金币参考表!$A$2:$C$81,3,FALSE)*Q150+U126</f>
        <v>4920396.08</v>
      </c>
      <c r="W150">
        <f t="shared" si="76"/>
        <v>0</v>
      </c>
      <c r="X150">
        <f t="shared" si="76"/>
        <v>1</v>
      </c>
      <c r="Y150">
        <f t="shared" si="68"/>
        <v>70</v>
      </c>
      <c r="Z150" s="25">
        <f t="shared" si="69"/>
        <v>0</v>
      </c>
      <c r="AA150" s="25">
        <f t="shared" si="70"/>
        <v>5</v>
      </c>
      <c r="AB150" s="25">
        <f t="shared" si="71"/>
        <v>2153</v>
      </c>
      <c r="AC150" s="25">
        <f t="shared" si="64"/>
        <v>4980</v>
      </c>
    </row>
    <row r="151" spans="1:45" x14ac:dyDescent="0.15">
      <c r="A151" s="28" t="str">
        <f>F151&amp;D151&amp;VLOOKUP(E151,定义数据!$E$1:$F$7,2,FALSE)</f>
        <v>7021</v>
      </c>
      <c r="B151" s="28" t="str">
        <f t="shared" si="66"/>
        <v>7021</v>
      </c>
      <c r="C151" s="28">
        <f>装备属性计算表!AK147</f>
        <v>21</v>
      </c>
      <c r="D151" s="28">
        <f>装备属性计算表!B147</f>
        <v>2</v>
      </c>
      <c r="E151" s="28" t="str">
        <f>装备属性计算表!C147</f>
        <v>衣服</v>
      </c>
      <c r="F151" s="28">
        <f>装备属性计算表!D147</f>
        <v>70</v>
      </c>
      <c r="G151" s="28">
        <f>ROUND(VLOOKUP($E151,装备属性计算表!$D$4:$O$9,装备属性计算表!F$2,FALSE)/装备属性计算表!F$10*VLOOKUP($F151&amp;$D151,$F$4:$S$29,G$34,FALSE),0)</f>
        <v>1223</v>
      </c>
      <c r="H151" s="28">
        <f>ROUND(VLOOKUP($E151,装备属性计算表!$D$4:$O$9,装备属性计算表!G$2,FALSE)/装备属性计算表!G$10*VLOOKUP($F151&amp;$D151,$F$4:$S$29,H$34,FALSE),0)</f>
        <v>0</v>
      </c>
      <c r="I151" s="28">
        <f>ROUND(VLOOKUP($E151,装备属性计算表!$D$4:$O$9,装备属性计算表!H$2,FALSE)/装备属性计算表!H$10*VLOOKUP($F151&amp;$D151,$F$4:$S$29,I$34,FALSE),0)</f>
        <v>27</v>
      </c>
      <c r="J151" s="28">
        <f>ROUND(VLOOKUP($E151,装备属性计算表!$D$4:$O$9,装备属性计算表!I$2,FALSE)/装备属性计算表!I$10*VLOOKUP($F151&amp;$D151,$F$4:$S$29,J$34,FALSE),0)</f>
        <v>0</v>
      </c>
      <c r="K151" s="28">
        <f>ROUND(VLOOKUP($E151,装备属性计算表!$D$4:$O$9,装备属性计算表!J$2,FALSE)/装备属性计算表!J$10*VLOOKUP($F151&amp;$D151,$F$4:$S$29,K$34,FALSE),0)</f>
        <v>0</v>
      </c>
      <c r="L151" s="28">
        <f>ROUND(VLOOKUP($E151,装备属性计算表!$D$4:$O$9,装备属性计算表!K$2,FALSE)/装备属性计算表!K$10*VLOOKUP($F151&amp;$D151,$F$4:$S$29,L$34,FALSE),0)</f>
        <v>0</v>
      </c>
      <c r="M151" s="28">
        <f>ROUND(VLOOKUP($E151,装备属性计算表!$D$4:$O$9,装备属性计算表!L$2,FALSE)/装备属性计算表!L$10*VLOOKUP($F151&amp;$D151,$F$4:$S$29,M$34,FALSE),0)</f>
        <v>0</v>
      </c>
      <c r="N151" s="28">
        <f>ROUND(VLOOKUP($E151,装备属性计算表!$D$4:$O$9,装备属性计算表!M$2,FALSE)/装备属性计算表!M$10*VLOOKUP($F151&amp;$D151,$F$4:$S$29,N$34,FALSE),0)</f>
        <v>0</v>
      </c>
      <c r="O151" s="28">
        <f>ROUND(VLOOKUP($E151,装备属性计算表!$D$4:$O$9,装备属性计算表!N$2,FALSE)/装备属性计算表!N$10*VLOOKUP($F151&amp;$D151,$F$4:$S$29,O$34,FALSE),0)</f>
        <v>0</v>
      </c>
      <c r="P151" s="28">
        <f>ROUND(VLOOKUP($E151,装备属性计算表!$D$4:$O$9,装备属性计算表!O$2,FALSE)/装备属性计算表!O$10*VLOOKUP($F151&amp;$D151,$F$4:$S$29,P$34,FALSE),0)</f>
        <v>0</v>
      </c>
      <c r="Q151" s="28">
        <f>SUMPRODUCT(G151:P151,定义数据!$G$14:$P$14)</f>
        <v>75.92</v>
      </c>
      <c r="R151" s="28">
        <f t="shared" si="55"/>
        <v>3796</v>
      </c>
      <c r="S151" s="91">
        <f t="shared" si="56"/>
        <v>3796</v>
      </c>
      <c r="T151" s="28">
        <f t="shared" si="77"/>
        <v>9433060</v>
      </c>
      <c r="U151" s="89">
        <f>VLOOKUP(F151,D_装备金币参考表!$A$2:$C$81,3,FALSE)*Q151-VLOOKUP(F127,D_装备金币参考表!$A$2:$C$81,3,FALSE)*Q151+U127</f>
        <v>4311891.12</v>
      </c>
      <c r="W151">
        <f t="shared" si="76"/>
        <v>0</v>
      </c>
      <c r="X151">
        <f t="shared" si="76"/>
        <v>1</v>
      </c>
      <c r="Y151">
        <f t="shared" si="68"/>
        <v>70</v>
      </c>
      <c r="Z151" s="25">
        <f t="shared" si="69"/>
        <v>0</v>
      </c>
      <c r="AA151" s="25">
        <f t="shared" si="70"/>
        <v>4</v>
      </c>
      <c r="AB151" s="25">
        <f t="shared" si="71"/>
        <v>1886</v>
      </c>
      <c r="AC151" s="25">
        <f t="shared" si="64"/>
        <v>940</v>
      </c>
    </row>
    <row r="152" spans="1:45" x14ac:dyDescent="0.15">
      <c r="A152" s="28" t="str">
        <f>F152&amp;D152&amp;VLOOKUP(E152,定义数据!$E$1:$F$7,2,FALSE)</f>
        <v>7022</v>
      </c>
      <c r="B152" s="28" t="str">
        <f t="shared" si="66"/>
        <v>7022</v>
      </c>
      <c r="C152" s="28">
        <f>装备属性计算表!AK148</f>
        <v>21</v>
      </c>
      <c r="D152" s="28">
        <f>装备属性计算表!B148</f>
        <v>2</v>
      </c>
      <c r="E152" s="28" t="str">
        <f>装备属性计算表!C148</f>
        <v>裤子</v>
      </c>
      <c r="F152" s="28">
        <f>装备属性计算表!D148</f>
        <v>70</v>
      </c>
      <c r="G152" s="28">
        <f>ROUND(VLOOKUP($E152,装备属性计算表!$D$4:$O$9,装备属性计算表!F$2,FALSE)/装备属性计算表!F$10*VLOOKUP($F152&amp;$D152,$F$4:$S$29,G$34,FALSE),0)</f>
        <v>0</v>
      </c>
      <c r="H152" s="28">
        <f>ROUND(VLOOKUP($E152,装备属性计算表!$D$4:$O$9,装备属性计算表!G$2,FALSE)/装备属性计算表!G$10*VLOOKUP($F152&amp;$D152,$F$4:$S$29,H$34,FALSE),0)</f>
        <v>0</v>
      </c>
      <c r="I152" s="28">
        <f>ROUND(VLOOKUP($E152,装备属性计算表!$D$4:$O$9,装备属性计算表!H$2,FALSE)/装备属性计算表!H$10*VLOOKUP($F152&amp;$D152,$F$4:$S$29,I$34,FALSE),0)</f>
        <v>18</v>
      </c>
      <c r="J152" s="28">
        <f>ROUND(VLOOKUP($E152,装备属性计算表!$D$4:$O$9,装备属性计算表!I$2,FALSE)/装备属性计算表!I$10*VLOOKUP($F152&amp;$D152,$F$4:$S$29,J$34,FALSE),0)</f>
        <v>27</v>
      </c>
      <c r="K152" s="28">
        <f>ROUND(VLOOKUP($E152,装备属性计算表!$D$4:$O$9,装备属性计算表!J$2,FALSE)/装备属性计算表!J$10*VLOOKUP($F152&amp;$D152,$F$4:$S$29,K$34,FALSE),0)</f>
        <v>0</v>
      </c>
      <c r="L152" s="28">
        <f>ROUND(VLOOKUP($E152,装备属性计算表!$D$4:$O$9,装备属性计算表!K$2,FALSE)/装备属性计算表!K$10*VLOOKUP($F152&amp;$D152,$F$4:$S$29,L$34,FALSE),0)</f>
        <v>0</v>
      </c>
      <c r="M152" s="28">
        <f>ROUND(VLOOKUP($E152,装备属性计算表!$D$4:$O$9,装备属性计算表!L$2,FALSE)/装备属性计算表!L$10*VLOOKUP($F152&amp;$D152,$F$4:$S$29,M$34,FALSE),0)</f>
        <v>0</v>
      </c>
      <c r="N152" s="28">
        <f>ROUND(VLOOKUP($E152,装备属性计算表!$D$4:$O$9,装备属性计算表!M$2,FALSE)/装备属性计算表!M$10*VLOOKUP($F152&amp;$D152,$F$4:$S$29,N$34,FALSE),0)</f>
        <v>0</v>
      </c>
      <c r="O152" s="28">
        <f>ROUND(VLOOKUP($E152,装备属性计算表!$D$4:$O$9,装备属性计算表!N$2,FALSE)/装备属性计算表!N$10*VLOOKUP($F152&amp;$D152,$F$4:$S$29,O$34,FALSE),0)</f>
        <v>0</v>
      </c>
      <c r="P152" s="28">
        <f>ROUND(VLOOKUP($E152,装备属性计算表!$D$4:$O$9,装备属性计算表!O$2,FALSE)/装备属性计算表!O$10*VLOOKUP($F152&amp;$D152,$F$4:$S$29,P$34,FALSE),0)</f>
        <v>0</v>
      </c>
      <c r="Q152" s="28">
        <f>SUMPRODUCT(G152:P152,定义数据!$G$14:$P$14)</f>
        <v>27.18</v>
      </c>
      <c r="R152" s="28">
        <f t="shared" si="55"/>
        <v>1359</v>
      </c>
      <c r="S152" s="91">
        <f t="shared" si="56"/>
        <v>1359</v>
      </c>
      <c r="T152" s="28">
        <f t="shared" si="77"/>
        <v>3377115</v>
      </c>
      <c r="U152" s="89">
        <f>VLOOKUP(F152,D_装备金币参考表!$A$2:$C$81,3,FALSE)*Q152-VLOOKUP(F128,D_装备金币参考表!$A$2:$C$81,3,FALSE)*Q152+U128</f>
        <v>1532589.1600000001</v>
      </c>
      <c r="W152">
        <f t="shared" si="76"/>
        <v>0</v>
      </c>
      <c r="X152">
        <f t="shared" si="76"/>
        <v>3</v>
      </c>
      <c r="Y152">
        <f t="shared" si="68"/>
        <v>70</v>
      </c>
      <c r="Z152" s="25">
        <f t="shared" si="69"/>
        <v>0</v>
      </c>
      <c r="AA152" s="25">
        <f t="shared" si="70"/>
        <v>9</v>
      </c>
      <c r="AB152" s="25">
        <f t="shared" si="71"/>
        <v>674</v>
      </c>
      <c r="AC152" s="25">
        <f t="shared" si="64"/>
        <v>1885</v>
      </c>
    </row>
    <row r="153" spans="1:45" x14ac:dyDescent="0.15">
      <c r="A153" s="28" t="str">
        <f>F153&amp;D153&amp;VLOOKUP(E153,定义数据!$E$1:$F$7,2,FALSE)</f>
        <v>7025</v>
      </c>
      <c r="B153" s="28" t="str">
        <f t="shared" si="66"/>
        <v>7025</v>
      </c>
      <c r="C153" s="28">
        <f>装备属性计算表!AK149</f>
        <v>21</v>
      </c>
      <c r="D153" s="28">
        <f>装备属性计算表!B149</f>
        <v>2</v>
      </c>
      <c r="E153" s="28" t="str">
        <f>装备属性计算表!C149</f>
        <v>鞋子</v>
      </c>
      <c r="F153" s="28">
        <f>装备属性计算表!D149</f>
        <v>70</v>
      </c>
      <c r="G153" s="28">
        <f>ROUND(VLOOKUP($E153,装备属性计算表!$D$4:$O$9,装备属性计算表!F$2,FALSE)/装备属性计算表!F$10*VLOOKUP($F153&amp;$D153,$F$4:$S$29,G$34,FALSE),0)</f>
        <v>408</v>
      </c>
      <c r="H153" s="28">
        <f>ROUND(VLOOKUP($E153,装备属性计算表!$D$4:$O$9,装备属性计算表!G$2,FALSE)/装备属性计算表!G$10*VLOOKUP($F153&amp;$D153,$F$4:$S$29,H$34,FALSE),0)</f>
        <v>0</v>
      </c>
      <c r="I153" s="28">
        <f>ROUND(VLOOKUP($E153,装备属性计算表!$D$4:$O$9,装备属性计算表!H$2,FALSE)/装备属性计算表!H$10*VLOOKUP($F153&amp;$D153,$F$4:$S$29,I$34,FALSE),0)</f>
        <v>0</v>
      </c>
      <c r="J153" s="28">
        <f>ROUND(VLOOKUP($E153,装备属性计算表!$D$4:$O$9,装备属性计算表!I$2,FALSE)/装备属性计算表!I$10*VLOOKUP($F153&amp;$D153,$F$4:$S$29,J$34,FALSE),0)</f>
        <v>54</v>
      </c>
      <c r="K153" s="28">
        <f>ROUND(VLOOKUP($E153,装备属性计算表!$D$4:$O$9,装备属性计算表!J$2,FALSE)/装备属性计算表!J$10*VLOOKUP($F153&amp;$D153,$F$4:$S$29,K$34,FALSE),0)</f>
        <v>0</v>
      </c>
      <c r="L153" s="28">
        <f>ROUND(VLOOKUP($E153,装备属性计算表!$D$4:$O$9,装备属性计算表!K$2,FALSE)/装备属性计算表!K$10*VLOOKUP($F153&amp;$D153,$F$4:$S$29,L$34,FALSE),0)</f>
        <v>0</v>
      </c>
      <c r="M153" s="28">
        <f>ROUND(VLOOKUP($E153,装备属性计算表!$D$4:$O$9,装备属性计算表!L$2,FALSE)/装备属性计算表!L$10*VLOOKUP($F153&amp;$D153,$F$4:$S$29,M$34,FALSE),0)</f>
        <v>0</v>
      </c>
      <c r="N153" s="28">
        <f>ROUND(VLOOKUP($E153,装备属性计算表!$D$4:$O$9,装备属性计算表!M$2,FALSE)/装备属性计算表!M$10*VLOOKUP($F153&amp;$D153,$F$4:$S$29,N$34,FALSE),0)</f>
        <v>0</v>
      </c>
      <c r="O153" s="28">
        <f>ROUND(VLOOKUP($E153,装备属性计算表!$D$4:$O$9,装备属性计算表!N$2,FALSE)/装备属性计算表!N$10*VLOOKUP($F153&amp;$D153,$F$4:$S$29,O$34,FALSE),0)</f>
        <v>0</v>
      </c>
      <c r="P153" s="28">
        <f>ROUND(VLOOKUP($E153,装备属性计算表!$D$4:$O$9,装备属性计算表!O$2,FALSE)/装备属性计算表!O$10*VLOOKUP($F153&amp;$D153,$F$4:$S$29,P$34,FALSE),0)</f>
        <v>0</v>
      </c>
      <c r="Q153" s="28">
        <f>SUMPRODUCT(G153:P153,定义数据!$G$14:$P$14)</f>
        <v>34.680000000000007</v>
      </c>
      <c r="R153" s="28">
        <f t="shared" si="55"/>
        <v>1734</v>
      </c>
      <c r="S153" s="91">
        <f t="shared" si="56"/>
        <v>1734</v>
      </c>
      <c r="T153" s="28">
        <f t="shared" si="77"/>
        <v>4308990</v>
      </c>
      <c r="U153" s="89">
        <f>VLOOKUP(F153,D_装备金币参考表!$A$2:$C$81,3,FALSE)*Q153-VLOOKUP(F129,D_装备金币参考表!$A$2:$C$81,3,FALSE)*Q153+U129</f>
        <v>1981270.2599999998</v>
      </c>
      <c r="W153">
        <f t="shared" si="76"/>
        <v>0</v>
      </c>
      <c r="X153">
        <f t="shared" si="76"/>
        <v>2</v>
      </c>
      <c r="Y153">
        <f t="shared" si="68"/>
        <v>70</v>
      </c>
      <c r="Z153" s="25">
        <f t="shared" si="69"/>
        <v>0</v>
      </c>
      <c r="AA153" s="25">
        <f t="shared" si="70"/>
        <v>6</v>
      </c>
      <c r="AB153" s="25">
        <f t="shared" si="71"/>
        <v>861</v>
      </c>
      <c r="AC153" s="25">
        <f t="shared" si="64"/>
        <v>2010</v>
      </c>
    </row>
    <row r="154" spans="1:45" x14ac:dyDescent="0.15">
      <c r="A154" s="28" t="str">
        <f>F154&amp;D154&amp;VLOOKUP(E154,定义数据!$E$1:$F$7,2,FALSE)</f>
        <v>7024</v>
      </c>
      <c r="B154" s="28" t="str">
        <f t="shared" si="66"/>
        <v>7024</v>
      </c>
      <c r="C154" s="28">
        <f>装备属性计算表!AK150</f>
        <v>21</v>
      </c>
      <c r="D154" s="28">
        <f>装备属性计算表!B150</f>
        <v>2</v>
      </c>
      <c r="E154" s="28" t="str">
        <f>装备属性计算表!C150</f>
        <v>腰带</v>
      </c>
      <c r="F154" s="28">
        <f>装备属性计算表!D150</f>
        <v>70</v>
      </c>
      <c r="G154" s="28">
        <f>ROUND(VLOOKUP($E154,装备属性计算表!$D$4:$O$9,装备属性计算表!F$2,FALSE)/装备属性计算表!F$10*VLOOKUP($F154&amp;$D154,$F$4:$S$29,G$34,FALSE),0)</f>
        <v>408</v>
      </c>
      <c r="H154" s="28">
        <f>ROUND(VLOOKUP($E154,装备属性计算表!$D$4:$O$9,装备属性计算表!G$2,FALSE)/装备属性计算表!G$10*VLOOKUP($F154&amp;$D154,$F$4:$S$29,H$34,FALSE),0)</f>
        <v>0</v>
      </c>
      <c r="I154" s="28">
        <f>ROUND(VLOOKUP($E154,装备属性计算表!$D$4:$O$9,装备属性计算表!H$2,FALSE)/装备属性计算表!H$10*VLOOKUP($F154&amp;$D154,$F$4:$S$29,I$34,FALSE),0)</f>
        <v>0</v>
      </c>
      <c r="J154" s="28">
        <f>ROUND(VLOOKUP($E154,装备属性计算表!$D$4:$O$9,装备属性计算表!I$2,FALSE)/装备属性计算表!I$10*VLOOKUP($F154&amp;$D154,$F$4:$S$29,J$34,FALSE),0)</f>
        <v>0</v>
      </c>
      <c r="K154" s="28">
        <f>ROUND(VLOOKUP($E154,装备属性计算表!$D$4:$O$9,装备属性计算表!J$2,FALSE)/装备属性计算表!J$10*VLOOKUP($F154&amp;$D154,$F$4:$S$29,K$34,FALSE),0)</f>
        <v>0</v>
      </c>
      <c r="L154" s="28">
        <f>ROUND(VLOOKUP($E154,装备属性计算表!$D$4:$O$9,装备属性计算表!K$2,FALSE)/装备属性计算表!K$10*VLOOKUP($F154&amp;$D154,$F$4:$S$29,L$34,FALSE),0)</f>
        <v>0</v>
      </c>
      <c r="M154" s="28">
        <f>ROUND(VLOOKUP($E154,装备属性计算表!$D$4:$O$9,装备属性计算表!L$2,FALSE)/装备属性计算表!L$10*VLOOKUP($F154&amp;$D154,$F$4:$S$29,M$34,FALSE),0)</f>
        <v>0</v>
      </c>
      <c r="N154" s="28">
        <f>ROUND(VLOOKUP($E154,装备属性计算表!$D$4:$O$9,装备属性计算表!M$2,FALSE)/装备属性计算表!M$10*VLOOKUP($F154&amp;$D154,$F$4:$S$29,N$34,FALSE),0)</f>
        <v>48</v>
      </c>
      <c r="O154" s="28">
        <f>ROUND(VLOOKUP($E154,装备属性计算表!$D$4:$O$9,装备属性计算表!N$2,FALSE)/装备属性计算表!N$10*VLOOKUP($F154&amp;$D154,$F$4:$S$29,O$34,FALSE),0)</f>
        <v>0</v>
      </c>
      <c r="P154" s="28">
        <f>ROUND(VLOOKUP($E154,装备属性计算表!$D$4:$O$9,装备属性计算表!O$2,FALSE)/装备属性计算表!O$10*VLOOKUP($F154&amp;$D154,$F$4:$S$29,P$34,FALSE),0)</f>
        <v>0</v>
      </c>
      <c r="Q154" s="28">
        <f>SUMPRODUCT(G154:P154,定义数据!$G$14:$P$14)</f>
        <v>24.96</v>
      </c>
      <c r="R154" s="28">
        <f t="shared" si="55"/>
        <v>1248</v>
      </c>
      <c r="S154" s="91">
        <f t="shared" si="56"/>
        <v>1248</v>
      </c>
      <c r="T154" s="28">
        <f t="shared" si="77"/>
        <v>3101280</v>
      </c>
      <c r="U154" s="89">
        <f>VLOOKUP(F154,D_装备金币参考表!$A$2:$C$81,3,FALSE)*Q154-VLOOKUP(F130,D_装备金币参考表!$A$2:$C$81,3,FALSE)*Q154+U130</f>
        <v>1422006.12</v>
      </c>
      <c r="W154">
        <f t="shared" si="76"/>
        <v>0</v>
      </c>
      <c r="X154">
        <f t="shared" si="76"/>
        <v>4</v>
      </c>
      <c r="Y154">
        <f t="shared" si="68"/>
        <v>70</v>
      </c>
      <c r="Z154" s="25">
        <f t="shared" si="69"/>
        <v>0</v>
      </c>
      <c r="AA154" s="25">
        <f t="shared" si="70"/>
        <v>13</v>
      </c>
      <c r="AB154" s="25">
        <f t="shared" si="71"/>
        <v>618</v>
      </c>
      <c r="AC154" s="25">
        <f t="shared" si="64"/>
        <v>1720</v>
      </c>
    </row>
    <row r="155" spans="1:45" x14ac:dyDescent="0.15">
      <c r="A155" s="28" t="str">
        <f>F155&amp;D155&amp;VLOOKUP(E155,定义数据!$E$1:$F$7,2,FALSE)</f>
        <v>7023</v>
      </c>
      <c r="B155" s="28" t="str">
        <f t="shared" si="66"/>
        <v>7023</v>
      </c>
      <c r="C155" s="28">
        <f>装备属性计算表!AK151</f>
        <v>21</v>
      </c>
      <c r="D155" s="28">
        <f>装备属性计算表!B151</f>
        <v>2</v>
      </c>
      <c r="E155" s="28" t="str">
        <f>装备属性计算表!C151</f>
        <v>项链</v>
      </c>
      <c r="F155" s="28">
        <f>装备属性计算表!D151</f>
        <v>70</v>
      </c>
      <c r="G155" s="28">
        <f>ROUND(VLOOKUP($E155,装备属性计算表!$D$4:$O$9,装备属性计算表!F$2,FALSE)/装备属性计算表!F$10*VLOOKUP($F155&amp;$D155,$F$4:$S$29,G$34,FALSE),0)</f>
        <v>0</v>
      </c>
      <c r="H155" s="28">
        <f>ROUND(VLOOKUP($E155,装备属性计算表!$D$4:$O$9,装备属性计算表!G$2,FALSE)/装备属性计算表!G$10*VLOOKUP($F155&amp;$D155,$F$4:$S$29,H$34,FALSE),0)</f>
        <v>26</v>
      </c>
      <c r="I155" s="28">
        <f>ROUND(VLOOKUP($E155,装备属性计算表!$D$4:$O$9,装备属性计算表!H$2,FALSE)/装备属性计算表!H$10*VLOOKUP($F155&amp;$D155,$F$4:$S$29,I$34,FALSE),0)</f>
        <v>0</v>
      </c>
      <c r="J155" s="28">
        <f>ROUND(VLOOKUP($E155,装备属性计算表!$D$4:$O$9,装备属性计算表!I$2,FALSE)/装备属性计算表!I$10*VLOOKUP($F155&amp;$D155,$F$4:$S$29,J$34,FALSE),0)</f>
        <v>0</v>
      </c>
      <c r="K155" s="28">
        <f>ROUND(VLOOKUP($E155,装备属性计算表!$D$4:$O$9,装备属性计算表!J$2,FALSE)/装备属性计算表!J$10*VLOOKUP($F155&amp;$D155,$F$4:$S$29,K$34,FALSE),0)</f>
        <v>81</v>
      </c>
      <c r="L155" s="28">
        <f>ROUND(VLOOKUP($E155,装备属性计算表!$D$4:$O$9,装备属性计算表!K$2,FALSE)/装备属性计算表!K$10*VLOOKUP($F155&amp;$D155,$F$4:$S$29,L$34,FALSE),0)</f>
        <v>0</v>
      </c>
      <c r="M155" s="28">
        <f>ROUND(VLOOKUP($E155,装备属性计算表!$D$4:$O$9,装备属性计算表!L$2,FALSE)/装备属性计算表!L$10*VLOOKUP($F155&amp;$D155,$F$4:$S$29,M$34,FALSE),0)</f>
        <v>0</v>
      </c>
      <c r="N155" s="28">
        <f>ROUND(VLOOKUP($E155,装备属性计算表!$D$4:$O$9,装备属性计算表!M$2,FALSE)/装备属性计算表!M$10*VLOOKUP($F155&amp;$D155,$F$4:$S$29,N$34,FALSE),0)</f>
        <v>0</v>
      </c>
      <c r="O155" s="28">
        <f>ROUND(VLOOKUP($E155,装备属性计算表!$D$4:$O$9,装备属性计算表!N$2,FALSE)/装备属性计算表!N$10*VLOOKUP($F155&amp;$D155,$F$4:$S$29,O$34,FALSE),0)</f>
        <v>0</v>
      </c>
      <c r="P155" s="28">
        <f>ROUND(VLOOKUP($E155,装备属性计算表!$D$4:$O$9,装备属性计算表!O$2,FALSE)/装备属性计算表!O$10*VLOOKUP($F155&amp;$D155,$F$4:$S$29,P$34,FALSE),0)</f>
        <v>0</v>
      </c>
      <c r="Q155" s="28">
        <f>SUMPRODUCT(G155:P155,定义数据!$G$14:$P$14)</f>
        <v>53.540000000000006</v>
      </c>
      <c r="R155" s="28">
        <f t="shared" si="55"/>
        <v>2677</v>
      </c>
      <c r="S155" s="91">
        <f t="shared" si="56"/>
        <v>2677</v>
      </c>
      <c r="T155" s="28">
        <f t="shared" si="77"/>
        <v>6652345</v>
      </c>
      <c r="U155" s="89">
        <f>VLOOKUP(F155,D_装备金币参考表!$A$2:$C$81,3,FALSE)*Q155-VLOOKUP(F131,D_装备金币参考表!$A$2:$C$81,3,FALSE)*Q155+U131</f>
        <v>3038487.6</v>
      </c>
      <c r="V155" s="25">
        <f>SUM(U150:U155)</f>
        <v>17206640.34</v>
      </c>
      <c r="W155">
        <f t="shared" si="76"/>
        <v>0</v>
      </c>
      <c r="X155">
        <f t="shared" si="76"/>
        <v>1</v>
      </c>
      <c r="Y155">
        <f t="shared" si="68"/>
        <v>70</v>
      </c>
      <c r="Z155" s="25">
        <f t="shared" si="69"/>
        <v>0</v>
      </c>
      <c r="AA155" s="25">
        <f t="shared" si="70"/>
        <v>3</v>
      </c>
      <c r="AB155" s="25">
        <f t="shared" si="71"/>
        <v>1330</v>
      </c>
      <c r="AC155" s="25">
        <f t="shared" si="64"/>
        <v>655</v>
      </c>
    </row>
    <row r="156" spans="1:45" x14ac:dyDescent="0.15">
      <c r="A156" s="28" t="str">
        <f>F156&amp;D156&amp;VLOOKUP(E156,定义数据!$E$1:$F$7,2,FALSE)</f>
        <v>7030</v>
      </c>
      <c r="B156" s="28" t="str">
        <f t="shared" si="66"/>
        <v>7030</v>
      </c>
      <c r="C156" s="28">
        <f>装备属性计算表!AK152</f>
        <v>22</v>
      </c>
      <c r="D156" s="28">
        <f>装备属性计算表!B152</f>
        <v>3</v>
      </c>
      <c r="E156" s="28" t="str">
        <f>装备属性计算表!C152</f>
        <v>武器</v>
      </c>
      <c r="F156" s="28">
        <f>装备属性计算表!D152</f>
        <v>70</v>
      </c>
      <c r="G156" s="28">
        <f>ROUND(VLOOKUP($E156,装备属性计算表!$D$4:$O$9,装备属性计算表!F$2,FALSE)/装备属性计算表!F$10*VLOOKUP($F156&amp;$D156,$F$4:$S$29,G$34,FALSE),0)</f>
        <v>0</v>
      </c>
      <c r="H156" s="28">
        <f>ROUND(VLOOKUP($E156,装备属性计算表!$D$4:$O$9,装备属性计算表!G$2,FALSE)/装备属性计算表!G$10*VLOOKUP($F156&amp;$D156,$F$4:$S$29,H$34,FALSE),0)</f>
        <v>102</v>
      </c>
      <c r="I156" s="28">
        <f>ROUND(VLOOKUP($E156,装备属性计算表!$D$4:$O$9,装备属性计算表!H$2,FALSE)/装备属性计算表!H$10*VLOOKUP($F156&amp;$D156,$F$4:$S$29,I$34,FALSE),0)</f>
        <v>0</v>
      </c>
      <c r="J156" s="28">
        <f>ROUND(VLOOKUP($E156,装备属性计算表!$D$4:$O$9,装备属性计算表!I$2,FALSE)/装备属性计算表!I$10*VLOOKUP($F156&amp;$D156,$F$4:$S$29,J$34,FALSE),0)</f>
        <v>0</v>
      </c>
      <c r="K156" s="28">
        <f>ROUND(VLOOKUP($E156,装备属性计算表!$D$4:$O$9,装备属性计算表!J$2,FALSE)/装备属性计算表!J$10*VLOOKUP($F156&amp;$D156,$F$4:$S$29,K$34,FALSE),0)</f>
        <v>0</v>
      </c>
      <c r="L156" s="28">
        <f>ROUND(VLOOKUP($E156,装备属性计算表!$D$4:$O$9,装备属性计算表!K$2,FALSE)/装备属性计算表!K$10*VLOOKUP($F156&amp;$D156,$F$4:$S$29,L$34,FALSE),0)</f>
        <v>63</v>
      </c>
      <c r="M156" s="28">
        <f>ROUND(VLOOKUP($E156,装备属性计算表!$D$4:$O$9,装备属性计算表!L$2,FALSE)/装备属性计算表!L$10*VLOOKUP($F156&amp;$D156,$F$4:$S$29,M$34,FALSE),0)</f>
        <v>0</v>
      </c>
      <c r="N156" s="28">
        <f>ROUND(VLOOKUP($E156,装备属性计算表!$D$4:$O$9,装备属性计算表!M$2,FALSE)/装备属性计算表!M$10*VLOOKUP($F156&amp;$D156,$F$4:$S$29,N$34,FALSE),0)</f>
        <v>0</v>
      </c>
      <c r="O156" s="28">
        <f>ROUND(VLOOKUP($E156,装备属性计算表!$D$4:$O$9,装备属性计算表!N$2,FALSE)/装备属性计算表!N$10*VLOOKUP($F156&amp;$D156,$F$4:$S$29,O$34,FALSE),0)</f>
        <v>0</v>
      </c>
      <c r="P156" s="28">
        <f>ROUND(VLOOKUP($E156,装备属性计算表!$D$4:$O$9,装备属性计算表!O$2,FALSE)/装备属性计算表!O$10*VLOOKUP($F156&amp;$D156,$F$4:$S$29,P$34,FALSE),0)</f>
        <v>0</v>
      </c>
      <c r="Q156" s="28">
        <f>SUMPRODUCT(G156:P156,定义数据!$G$14:$P$14)</f>
        <v>113.34</v>
      </c>
      <c r="R156" s="28">
        <f t="shared" si="55"/>
        <v>5667</v>
      </c>
      <c r="S156" s="91">
        <f t="shared" si="56"/>
        <v>5667</v>
      </c>
      <c r="T156" s="28">
        <f t="shared" si="77"/>
        <v>14082495</v>
      </c>
      <c r="U156" s="89">
        <f>VLOOKUP(F156,D_装备金币参考表!$A$2:$C$81,3,FALSE)*Q156-VLOOKUP(F132,D_装备金币参考表!$A$2:$C$81,3,FALSE)*Q156+U132</f>
        <v>6438876.4399999995</v>
      </c>
      <c r="W156">
        <f t="shared" si="76"/>
        <v>0</v>
      </c>
      <c r="X156">
        <f t="shared" si="76"/>
        <v>0</v>
      </c>
      <c r="Y156">
        <f t="shared" si="68"/>
        <v>70</v>
      </c>
      <c r="Z156" s="25">
        <f t="shared" si="69"/>
        <v>0</v>
      </c>
      <c r="AA156" s="25">
        <f t="shared" si="70"/>
        <v>0</v>
      </c>
      <c r="AB156" s="25">
        <f t="shared" si="71"/>
        <v>2817</v>
      </c>
      <c r="AC156" s="25">
        <f t="shared" si="64"/>
        <v>2505</v>
      </c>
    </row>
    <row r="157" spans="1:45" x14ac:dyDescent="0.15">
      <c r="A157" s="28" t="str">
        <f>F157&amp;D157&amp;VLOOKUP(E157,定义数据!$E$1:$F$7,2,FALSE)</f>
        <v>7031</v>
      </c>
      <c r="B157" s="28" t="str">
        <f t="shared" si="66"/>
        <v>7031</v>
      </c>
      <c r="C157" s="28">
        <f>装备属性计算表!AK153</f>
        <v>22</v>
      </c>
      <c r="D157" s="28">
        <f>装备属性计算表!B153</f>
        <v>3</v>
      </c>
      <c r="E157" s="28" t="str">
        <f>装备属性计算表!C153</f>
        <v>衣服</v>
      </c>
      <c r="F157" s="28">
        <f>装备属性计算表!D153</f>
        <v>70</v>
      </c>
      <c r="G157" s="28">
        <f>ROUND(VLOOKUP($E157,装备属性计算表!$D$4:$O$9,装备属性计算表!F$2,FALSE)/装备属性计算表!F$10*VLOOKUP($F157&amp;$D157,$F$4:$S$29,G$34,FALSE),0)</f>
        <v>1599</v>
      </c>
      <c r="H157" s="28">
        <f>ROUND(VLOOKUP($E157,装备属性计算表!$D$4:$O$9,装备属性计算表!G$2,FALSE)/装备属性计算表!G$10*VLOOKUP($F157&amp;$D157,$F$4:$S$29,H$34,FALSE),0)</f>
        <v>0</v>
      </c>
      <c r="I157" s="28">
        <f>ROUND(VLOOKUP($E157,装备属性计算表!$D$4:$O$9,装备属性计算表!H$2,FALSE)/装备属性计算表!H$10*VLOOKUP($F157&amp;$D157,$F$4:$S$29,I$34,FALSE),0)</f>
        <v>35</v>
      </c>
      <c r="J157" s="28">
        <f>ROUND(VLOOKUP($E157,装备属性计算表!$D$4:$O$9,装备属性计算表!I$2,FALSE)/装备属性计算表!I$10*VLOOKUP($F157&amp;$D157,$F$4:$S$29,J$34,FALSE),0)</f>
        <v>0</v>
      </c>
      <c r="K157" s="28">
        <f>ROUND(VLOOKUP($E157,装备属性计算表!$D$4:$O$9,装备属性计算表!J$2,FALSE)/装备属性计算表!J$10*VLOOKUP($F157&amp;$D157,$F$4:$S$29,K$34,FALSE),0)</f>
        <v>0</v>
      </c>
      <c r="L157" s="28">
        <f>ROUND(VLOOKUP($E157,装备属性计算表!$D$4:$O$9,装备属性计算表!K$2,FALSE)/装备属性计算表!K$10*VLOOKUP($F157&amp;$D157,$F$4:$S$29,L$34,FALSE),0)</f>
        <v>0</v>
      </c>
      <c r="M157" s="28">
        <f>ROUND(VLOOKUP($E157,装备属性计算表!$D$4:$O$9,装备属性计算表!L$2,FALSE)/装备属性计算表!L$10*VLOOKUP($F157&amp;$D157,$F$4:$S$29,M$34,FALSE),0)</f>
        <v>0</v>
      </c>
      <c r="N157" s="28">
        <f>ROUND(VLOOKUP($E157,装备属性计算表!$D$4:$O$9,装备属性计算表!M$2,FALSE)/装备属性计算表!M$10*VLOOKUP($F157&amp;$D157,$F$4:$S$29,N$34,FALSE),0)</f>
        <v>0</v>
      </c>
      <c r="O157" s="28">
        <f>ROUND(VLOOKUP($E157,装备属性计算表!$D$4:$O$9,装备属性计算表!N$2,FALSE)/装备属性计算表!N$10*VLOOKUP($F157&amp;$D157,$F$4:$S$29,O$34,FALSE),0)</f>
        <v>0</v>
      </c>
      <c r="P157" s="28">
        <f>ROUND(VLOOKUP($E157,装备属性计算表!$D$4:$O$9,装备属性计算表!O$2,FALSE)/装备属性计算表!O$10*VLOOKUP($F157&amp;$D157,$F$4:$S$29,P$34,FALSE),0)</f>
        <v>0</v>
      </c>
      <c r="Q157" s="28">
        <f>SUMPRODUCT(G157:P157,定义数据!$G$14:$P$14)</f>
        <v>98.960000000000008</v>
      </c>
      <c r="R157" s="28">
        <f t="shared" si="55"/>
        <v>4948</v>
      </c>
      <c r="S157" s="91">
        <f t="shared" si="56"/>
        <v>4948</v>
      </c>
      <c r="T157" s="28">
        <f t="shared" si="77"/>
        <v>12295780</v>
      </c>
      <c r="U157" s="89">
        <f>VLOOKUP(F157,D_装备金币参考表!$A$2:$C$81,3,FALSE)*Q157-VLOOKUP(F133,D_装备金币参考表!$A$2:$C$81,3,FALSE)*Q157+U133</f>
        <v>5638262.3200000012</v>
      </c>
      <c r="W157">
        <f t="shared" si="76"/>
        <v>0</v>
      </c>
      <c r="X157">
        <f t="shared" si="76"/>
        <v>1</v>
      </c>
      <c r="Y157">
        <f t="shared" si="68"/>
        <v>70</v>
      </c>
      <c r="Z157" s="25">
        <f t="shared" si="69"/>
        <v>0</v>
      </c>
      <c r="AA157" s="25">
        <f t="shared" si="70"/>
        <v>5</v>
      </c>
      <c r="AB157" s="25">
        <f t="shared" si="71"/>
        <v>2459</v>
      </c>
      <c r="AC157" s="25">
        <f t="shared" si="64"/>
        <v>4220</v>
      </c>
    </row>
    <row r="158" spans="1:45" x14ac:dyDescent="0.15">
      <c r="A158" s="28" t="str">
        <f>F158&amp;D158&amp;VLOOKUP(E158,定义数据!$E$1:$F$7,2,FALSE)</f>
        <v>7032</v>
      </c>
      <c r="B158" s="28" t="str">
        <f t="shared" si="66"/>
        <v>7032</v>
      </c>
      <c r="C158" s="28">
        <f>装备属性计算表!AK154</f>
        <v>22</v>
      </c>
      <c r="D158" s="28">
        <f>装备属性计算表!B154</f>
        <v>3</v>
      </c>
      <c r="E158" s="28" t="str">
        <f>装备属性计算表!C154</f>
        <v>裤子</v>
      </c>
      <c r="F158" s="28">
        <f>装备属性计算表!D154</f>
        <v>70</v>
      </c>
      <c r="G158" s="28">
        <f>ROUND(VLOOKUP($E158,装备属性计算表!$D$4:$O$9,装备属性计算表!F$2,FALSE)/装备属性计算表!F$10*VLOOKUP($F158&amp;$D158,$F$4:$S$29,G$34,FALSE),0)</f>
        <v>0</v>
      </c>
      <c r="H158" s="28">
        <f>ROUND(VLOOKUP($E158,装备属性计算表!$D$4:$O$9,装备属性计算表!G$2,FALSE)/装备属性计算表!G$10*VLOOKUP($F158&amp;$D158,$F$4:$S$29,H$34,FALSE),0)</f>
        <v>0</v>
      </c>
      <c r="I158" s="28">
        <f>ROUND(VLOOKUP($E158,装备属性计算表!$D$4:$O$9,装备属性计算表!H$2,FALSE)/装备属性计算表!H$10*VLOOKUP($F158&amp;$D158,$F$4:$S$29,I$34,FALSE),0)</f>
        <v>23</v>
      </c>
      <c r="J158" s="28">
        <f>ROUND(VLOOKUP($E158,装备属性计算表!$D$4:$O$9,装备属性计算表!I$2,FALSE)/装备属性计算表!I$10*VLOOKUP($F158&amp;$D158,$F$4:$S$29,J$34,FALSE),0)</f>
        <v>35</v>
      </c>
      <c r="K158" s="28">
        <f>ROUND(VLOOKUP($E158,装备属性计算表!$D$4:$O$9,装备属性计算表!J$2,FALSE)/装备属性计算表!J$10*VLOOKUP($F158&amp;$D158,$F$4:$S$29,K$34,FALSE),0)</f>
        <v>0</v>
      </c>
      <c r="L158" s="28">
        <f>ROUND(VLOOKUP($E158,装备属性计算表!$D$4:$O$9,装备属性计算表!K$2,FALSE)/装备属性计算表!K$10*VLOOKUP($F158&amp;$D158,$F$4:$S$29,L$34,FALSE),0)</f>
        <v>0</v>
      </c>
      <c r="M158" s="28">
        <f>ROUND(VLOOKUP($E158,装备属性计算表!$D$4:$O$9,装备属性计算表!L$2,FALSE)/装备属性计算表!L$10*VLOOKUP($F158&amp;$D158,$F$4:$S$29,M$34,FALSE),0)</f>
        <v>0</v>
      </c>
      <c r="N158" s="28">
        <f>ROUND(VLOOKUP($E158,装备属性计算表!$D$4:$O$9,装备属性计算表!M$2,FALSE)/装备属性计算表!M$10*VLOOKUP($F158&amp;$D158,$F$4:$S$29,N$34,FALSE),0)</f>
        <v>0</v>
      </c>
      <c r="O158" s="28">
        <f>ROUND(VLOOKUP($E158,装备属性计算表!$D$4:$O$9,装备属性计算表!N$2,FALSE)/装备属性计算表!N$10*VLOOKUP($F158&amp;$D158,$F$4:$S$29,O$34,FALSE),0)</f>
        <v>0</v>
      </c>
      <c r="P158" s="28">
        <f>ROUND(VLOOKUP($E158,装备属性计算表!$D$4:$O$9,装备属性计算表!O$2,FALSE)/装备属性计算表!O$10*VLOOKUP($F158&amp;$D158,$F$4:$S$29,P$34,FALSE),0)</f>
        <v>0</v>
      </c>
      <c r="Q158" s="28">
        <f>SUMPRODUCT(G158:P158,定义数据!$G$14:$P$14)</f>
        <v>34.9</v>
      </c>
      <c r="R158" s="28">
        <f t="shared" si="55"/>
        <v>1745</v>
      </c>
      <c r="S158" s="91">
        <f t="shared" si="56"/>
        <v>1745</v>
      </c>
      <c r="T158" s="28">
        <f t="shared" si="77"/>
        <v>4336325</v>
      </c>
      <c r="U158" s="89">
        <f>VLOOKUP(F158,D_装备金币参考表!$A$2:$C$81,3,FALSE)*Q158-VLOOKUP(F134,D_装备金币参考表!$A$2:$C$81,3,FALSE)*Q158+U134</f>
        <v>2026454.4199999997</v>
      </c>
      <c r="W158">
        <f t="shared" si="76"/>
        <v>0</v>
      </c>
      <c r="X158">
        <f t="shared" si="76"/>
        <v>2</v>
      </c>
      <c r="Y158">
        <f t="shared" si="68"/>
        <v>70</v>
      </c>
      <c r="Z158" s="25">
        <f t="shared" si="69"/>
        <v>0</v>
      </c>
      <c r="AA158" s="25">
        <f t="shared" si="70"/>
        <v>6</v>
      </c>
      <c r="AB158" s="25">
        <f t="shared" si="71"/>
        <v>867</v>
      </c>
      <c r="AC158" s="25">
        <f t="shared" si="64"/>
        <v>4675</v>
      </c>
    </row>
    <row r="159" spans="1:45" x14ac:dyDescent="0.15">
      <c r="A159" s="28" t="str">
        <f>F159&amp;D159&amp;VLOOKUP(E159,定义数据!$E$1:$F$7,2,FALSE)</f>
        <v>7035</v>
      </c>
      <c r="B159" s="28" t="str">
        <f t="shared" si="66"/>
        <v>7035</v>
      </c>
      <c r="C159" s="28">
        <f>装备属性计算表!AK155</f>
        <v>22</v>
      </c>
      <c r="D159" s="28">
        <f>装备属性计算表!B155</f>
        <v>3</v>
      </c>
      <c r="E159" s="28" t="str">
        <f>装备属性计算表!C155</f>
        <v>鞋子</v>
      </c>
      <c r="F159" s="28">
        <f>装备属性计算表!D155</f>
        <v>70</v>
      </c>
      <c r="G159" s="28">
        <f>ROUND(VLOOKUP($E159,装备属性计算表!$D$4:$O$9,装备属性计算表!F$2,FALSE)/装备属性计算表!F$10*VLOOKUP($F159&amp;$D159,$F$4:$S$29,G$34,FALSE),0)</f>
        <v>533</v>
      </c>
      <c r="H159" s="28">
        <f>ROUND(VLOOKUP($E159,装备属性计算表!$D$4:$O$9,装备属性计算表!G$2,FALSE)/装备属性计算表!G$10*VLOOKUP($F159&amp;$D159,$F$4:$S$29,H$34,FALSE),0)</f>
        <v>0</v>
      </c>
      <c r="I159" s="28">
        <f>ROUND(VLOOKUP($E159,装备属性计算表!$D$4:$O$9,装备属性计算表!H$2,FALSE)/装备属性计算表!H$10*VLOOKUP($F159&amp;$D159,$F$4:$S$29,I$34,FALSE),0)</f>
        <v>0</v>
      </c>
      <c r="J159" s="28">
        <f>ROUND(VLOOKUP($E159,装备属性计算表!$D$4:$O$9,装备属性计算表!I$2,FALSE)/装备属性计算表!I$10*VLOOKUP($F159&amp;$D159,$F$4:$S$29,J$34,FALSE),0)</f>
        <v>71</v>
      </c>
      <c r="K159" s="28">
        <f>ROUND(VLOOKUP($E159,装备属性计算表!$D$4:$O$9,装备属性计算表!J$2,FALSE)/装备属性计算表!J$10*VLOOKUP($F159&amp;$D159,$F$4:$S$29,K$34,FALSE),0)</f>
        <v>0</v>
      </c>
      <c r="L159" s="28">
        <f>ROUND(VLOOKUP($E159,装备属性计算表!$D$4:$O$9,装备属性计算表!K$2,FALSE)/装备属性计算表!K$10*VLOOKUP($F159&amp;$D159,$F$4:$S$29,L$34,FALSE),0)</f>
        <v>0</v>
      </c>
      <c r="M159" s="28">
        <f>ROUND(VLOOKUP($E159,装备属性计算表!$D$4:$O$9,装备属性计算表!L$2,FALSE)/装备属性计算表!L$10*VLOOKUP($F159&amp;$D159,$F$4:$S$29,M$34,FALSE),0)</f>
        <v>0</v>
      </c>
      <c r="N159" s="28">
        <f>ROUND(VLOOKUP($E159,装备属性计算表!$D$4:$O$9,装备属性计算表!M$2,FALSE)/装备属性计算表!M$10*VLOOKUP($F159&amp;$D159,$F$4:$S$29,N$34,FALSE),0)</f>
        <v>0</v>
      </c>
      <c r="O159" s="28">
        <f>ROUND(VLOOKUP($E159,装备属性计算表!$D$4:$O$9,装备属性计算表!N$2,FALSE)/装备属性计算表!N$10*VLOOKUP($F159&amp;$D159,$F$4:$S$29,O$34,FALSE),0)</f>
        <v>0</v>
      </c>
      <c r="P159" s="28">
        <f>ROUND(VLOOKUP($E159,装备属性计算表!$D$4:$O$9,装备属性计算表!O$2,FALSE)/装备属性计算表!O$10*VLOOKUP($F159&amp;$D159,$F$4:$S$29,P$34,FALSE),0)</f>
        <v>0</v>
      </c>
      <c r="Q159" s="28">
        <f>SUMPRODUCT(G159:P159,定义数据!$G$14:$P$14)</f>
        <v>45.46</v>
      </c>
      <c r="R159" s="28">
        <f t="shared" si="55"/>
        <v>2273</v>
      </c>
      <c r="S159" s="91">
        <f t="shared" si="56"/>
        <v>2273</v>
      </c>
      <c r="T159" s="28">
        <f t="shared" si="77"/>
        <v>5648405</v>
      </c>
      <c r="U159" s="89">
        <f>VLOOKUP(F159,D_装备金币参考表!$A$2:$C$81,3,FALSE)*Q159-VLOOKUP(F135,D_装备金币参考表!$A$2:$C$81,3,FALSE)*Q159+U135</f>
        <v>2586038.9199999995</v>
      </c>
      <c r="W159">
        <f t="shared" ref="W159:X191" si="79">IF(ROUNDDOWN(X$31/$R159,0)&gt;$F159,$F159,ROUNDDOWN(X$31/$R159,0))</f>
        <v>0</v>
      </c>
      <c r="X159">
        <f t="shared" si="79"/>
        <v>2</v>
      </c>
      <c r="Y159">
        <f t="shared" si="68"/>
        <v>70</v>
      </c>
      <c r="Z159" s="25">
        <f t="shared" si="69"/>
        <v>0</v>
      </c>
      <c r="AA159" s="25">
        <f t="shared" si="70"/>
        <v>7</v>
      </c>
      <c r="AB159" s="25">
        <f t="shared" si="71"/>
        <v>1129</v>
      </c>
      <c r="AC159" s="25">
        <f t="shared" si="64"/>
        <v>3595</v>
      </c>
    </row>
    <row r="160" spans="1:45" x14ac:dyDescent="0.15">
      <c r="A160" s="28" t="str">
        <f>F160&amp;D160&amp;VLOOKUP(E160,定义数据!$E$1:$F$7,2,FALSE)</f>
        <v>7034</v>
      </c>
      <c r="B160" s="28" t="str">
        <f t="shared" si="66"/>
        <v>7034</v>
      </c>
      <c r="C160" s="28">
        <f>装备属性计算表!AK156</f>
        <v>22</v>
      </c>
      <c r="D160" s="28">
        <f>装备属性计算表!B156</f>
        <v>3</v>
      </c>
      <c r="E160" s="28" t="str">
        <f>装备属性计算表!C156</f>
        <v>腰带</v>
      </c>
      <c r="F160" s="28">
        <f>装备属性计算表!D156</f>
        <v>70</v>
      </c>
      <c r="G160" s="28">
        <f>ROUND(VLOOKUP($E160,装备属性计算表!$D$4:$O$9,装备属性计算表!F$2,FALSE)/装备属性计算表!F$10*VLOOKUP($F160&amp;$D160,$F$4:$S$29,G$34,FALSE),0)</f>
        <v>533</v>
      </c>
      <c r="H160" s="28">
        <f>ROUND(VLOOKUP($E160,装备属性计算表!$D$4:$O$9,装备属性计算表!G$2,FALSE)/装备属性计算表!G$10*VLOOKUP($F160&amp;$D160,$F$4:$S$29,H$34,FALSE),0)</f>
        <v>0</v>
      </c>
      <c r="I160" s="28">
        <f>ROUND(VLOOKUP($E160,装备属性计算表!$D$4:$O$9,装备属性计算表!H$2,FALSE)/装备属性计算表!H$10*VLOOKUP($F160&amp;$D160,$F$4:$S$29,I$34,FALSE),0)</f>
        <v>0</v>
      </c>
      <c r="J160" s="28">
        <f>ROUND(VLOOKUP($E160,装备属性计算表!$D$4:$O$9,装备属性计算表!I$2,FALSE)/装备属性计算表!I$10*VLOOKUP($F160&amp;$D160,$F$4:$S$29,J$34,FALSE),0)</f>
        <v>0</v>
      </c>
      <c r="K160" s="28">
        <f>ROUND(VLOOKUP($E160,装备属性计算表!$D$4:$O$9,装备属性计算表!J$2,FALSE)/装备属性计算表!J$10*VLOOKUP($F160&amp;$D160,$F$4:$S$29,K$34,FALSE),0)</f>
        <v>0</v>
      </c>
      <c r="L160" s="28">
        <f>ROUND(VLOOKUP($E160,装备属性计算表!$D$4:$O$9,装备属性计算表!K$2,FALSE)/装备属性计算表!K$10*VLOOKUP($F160&amp;$D160,$F$4:$S$29,L$34,FALSE),0)</f>
        <v>0</v>
      </c>
      <c r="M160" s="28">
        <f>ROUND(VLOOKUP($E160,装备属性计算表!$D$4:$O$9,装备属性计算表!L$2,FALSE)/装备属性计算表!L$10*VLOOKUP($F160&amp;$D160,$F$4:$S$29,M$34,FALSE),0)</f>
        <v>0</v>
      </c>
      <c r="N160" s="28">
        <f>ROUND(VLOOKUP($E160,装备属性计算表!$D$4:$O$9,装备属性计算表!M$2,FALSE)/装备属性计算表!M$10*VLOOKUP($F160&amp;$D160,$F$4:$S$29,N$34,FALSE),0)</f>
        <v>63</v>
      </c>
      <c r="O160" s="28">
        <f>ROUND(VLOOKUP($E160,装备属性计算表!$D$4:$O$9,装备属性计算表!N$2,FALSE)/装备属性计算表!N$10*VLOOKUP($F160&amp;$D160,$F$4:$S$29,O$34,FALSE),0)</f>
        <v>0</v>
      </c>
      <c r="P160" s="28">
        <f>ROUND(VLOOKUP($E160,装备属性计算表!$D$4:$O$9,装备属性计算表!O$2,FALSE)/装备属性计算表!O$10*VLOOKUP($F160&amp;$D160,$F$4:$S$29,P$34,FALSE),0)</f>
        <v>0</v>
      </c>
      <c r="Q160" s="28">
        <f>SUMPRODUCT(G160:P160,定义数据!$G$14:$P$14)</f>
        <v>32.659999999999997</v>
      </c>
      <c r="R160" s="28">
        <f t="shared" si="55"/>
        <v>1633</v>
      </c>
      <c r="S160" s="91">
        <f t="shared" si="56"/>
        <v>1633</v>
      </c>
      <c r="T160" s="28">
        <f t="shared" si="77"/>
        <v>4058005</v>
      </c>
      <c r="U160" s="89">
        <f>VLOOKUP(F160,D_装备金币参考表!$A$2:$C$81,3,FALSE)*Q160-VLOOKUP(F136,D_装备金币参考表!$A$2:$C$81,3,FALSE)*Q160+U136</f>
        <v>1858846</v>
      </c>
      <c r="W160">
        <f t="shared" si="79"/>
        <v>0</v>
      </c>
      <c r="X160">
        <f t="shared" si="79"/>
        <v>3</v>
      </c>
      <c r="Y160">
        <f t="shared" si="68"/>
        <v>70</v>
      </c>
      <c r="Z160" s="25">
        <f t="shared" si="69"/>
        <v>0</v>
      </c>
      <c r="AA160" s="25">
        <f t="shared" si="70"/>
        <v>10</v>
      </c>
      <c r="AB160" s="25">
        <f t="shared" si="71"/>
        <v>810</v>
      </c>
      <c r="AC160" s="25">
        <f t="shared" si="64"/>
        <v>1995</v>
      </c>
    </row>
    <row r="161" spans="1:29" x14ac:dyDescent="0.15">
      <c r="A161" s="28" t="str">
        <f>F161&amp;D161&amp;VLOOKUP(E161,定义数据!$E$1:$F$7,2,FALSE)</f>
        <v>7033</v>
      </c>
      <c r="B161" s="28" t="str">
        <f t="shared" si="66"/>
        <v>7033</v>
      </c>
      <c r="C161" s="28">
        <f>装备属性计算表!AK157</f>
        <v>22</v>
      </c>
      <c r="D161" s="28">
        <f>装备属性计算表!B157</f>
        <v>3</v>
      </c>
      <c r="E161" s="28" t="str">
        <f>装备属性计算表!C157</f>
        <v>项链</v>
      </c>
      <c r="F161" s="28">
        <f>装备属性计算表!D157</f>
        <v>70</v>
      </c>
      <c r="G161" s="28">
        <f>ROUND(VLOOKUP($E161,装备属性计算表!$D$4:$O$9,装备属性计算表!F$2,FALSE)/装备属性计算表!F$10*VLOOKUP($F161&amp;$D161,$F$4:$S$29,G$34,FALSE),0)</f>
        <v>0</v>
      </c>
      <c r="H161" s="28">
        <f>ROUND(VLOOKUP($E161,装备属性计算表!$D$4:$O$9,装备属性计算表!G$2,FALSE)/装备属性计算表!G$10*VLOOKUP($F161&amp;$D161,$F$4:$S$29,H$34,FALSE),0)</f>
        <v>34</v>
      </c>
      <c r="I161" s="28">
        <f>ROUND(VLOOKUP($E161,装备属性计算表!$D$4:$O$9,装备属性计算表!H$2,FALSE)/装备属性计算表!H$10*VLOOKUP($F161&amp;$D161,$F$4:$S$29,I$34,FALSE),0)</f>
        <v>0</v>
      </c>
      <c r="J161" s="28">
        <f>ROUND(VLOOKUP($E161,装备属性计算表!$D$4:$O$9,装备属性计算表!I$2,FALSE)/装备属性计算表!I$10*VLOOKUP($F161&amp;$D161,$F$4:$S$29,J$34,FALSE),0)</f>
        <v>0</v>
      </c>
      <c r="K161" s="28">
        <f>ROUND(VLOOKUP($E161,装备属性计算表!$D$4:$O$9,装备属性计算表!J$2,FALSE)/装备属性计算表!J$10*VLOOKUP($F161&amp;$D161,$F$4:$S$29,K$34,FALSE),0)</f>
        <v>106</v>
      </c>
      <c r="L161" s="28">
        <f>ROUND(VLOOKUP($E161,装备属性计算表!$D$4:$O$9,装备属性计算表!K$2,FALSE)/装备属性计算表!K$10*VLOOKUP($F161&amp;$D161,$F$4:$S$29,L$34,FALSE),0)</f>
        <v>0</v>
      </c>
      <c r="M161" s="28">
        <f>ROUND(VLOOKUP($E161,装备属性计算表!$D$4:$O$9,装备属性计算表!L$2,FALSE)/装备属性计算表!L$10*VLOOKUP($F161&amp;$D161,$F$4:$S$29,M$34,FALSE),0)</f>
        <v>0</v>
      </c>
      <c r="N161" s="28">
        <f>ROUND(VLOOKUP($E161,装备属性计算表!$D$4:$O$9,装备属性计算表!M$2,FALSE)/装备属性计算表!M$10*VLOOKUP($F161&amp;$D161,$F$4:$S$29,N$34,FALSE),0)</f>
        <v>0</v>
      </c>
      <c r="O161" s="28">
        <f>ROUND(VLOOKUP($E161,装备属性计算表!$D$4:$O$9,装备属性计算表!N$2,FALSE)/装备属性计算表!N$10*VLOOKUP($F161&amp;$D161,$F$4:$S$29,O$34,FALSE),0)</f>
        <v>0</v>
      </c>
      <c r="P161" s="28">
        <f>ROUND(VLOOKUP($E161,装备属性计算表!$D$4:$O$9,装备属性计算表!O$2,FALSE)/装备属性计算表!O$10*VLOOKUP($F161&amp;$D161,$F$4:$S$29,P$34,FALSE),0)</f>
        <v>0</v>
      </c>
      <c r="Q161" s="28">
        <f>SUMPRODUCT(G161:P161,定义数据!$G$14:$P$14)</f>
        <v>70.039999999999992</v>
      </c>
      <c r="R161" s="28">
        <f t="shared" si="55"/>
        <v>3502</v>
      </c>
      <c r="S161" s="91">
        <f t="shared" si="56"/>
        <v>3502</v>
      </c>
      <c r="T161" s="28">
        <f t="shared" si="77"/>
        <v>8702470</v>
      </c>
      <c r="U161" s="89">
        <f>VLOOKUP(F161,D_装备金币参考表!$A$2:$C$81,3,FALSE)*Q161-VLOOKUP(F137,D_装备金币参考表!$A$2:$C$81,3,FALSE)*Q161+U137</f>
        <v>3979353.38</v>
      </c>
      <c r="V161" s="25">
        <f>SUM(U156:U161)</f>
        <v>22527831.48</v>
      </c>
      <c r="W161">
        <f t="shared" si="79"/>
        <v>0</v>
      </c>
      <c r="X161">
        <f t="shared" si="79"/>
        <v>1</v>
      </c>
      <c r="Y161">
        <f t="shared" si="68"/>
        <v>70</v>
      </c>
      <c r="Z161" s="25">
        <f t="shared" si="69"/>
        <v>0</v>
      </c>
      <c r="AA161" s="25">
        <f t="shared" si="70"/>
        <v>4</v>
      </c>
      <c r="AB161" s="25">
        <f t="shared" si="71"/>
        <v>1740</v>
      </c>
      <c r="AC161" s="25">
        <f t="shared" si="64"/>
        <v>1530</v>
      </c>
    </row>
    <row r="162" spans="1:29" x14ac:dyDescent="0.15">
      <c r="A162" s="28" t="str">
        <f>F162&amp;D162&amp;VLOOKUP(E162,定义数据!$E$1:$F$7,2,FALSE)</f>
        <v>7040</v>
      </c>
      <c r="B162" s="28" t="str">
        <f t="shared" si="66"/>
        <v>7040</v>
      </c>
      <c r="C162" s="28">
        <f>装备属性计算表!AK158</f>
        <v>23</v>
      </c>
      <c r="D162" s="28">
        <f>装备属性计算表!B158</f>
        <v>4</v>
      </c>
      <c r="E162" s="28" t="str">
        <f>装备属性计算表!C158</f>
        <v>武器</v>
      </c>
      <c r="F162" s="28">
        <f>装备属性计算表!D158</f>
        <v>70</v>
      </c>
      <c r="G162" s="28">
        <f>ROUND(VLOOKUP($E162,装备属性计算表!$D$4:$O$9,装备属性计算表!F$2,FALSE)/装备属性计算表!F$10*VLOOKUP($F162&amp;$D162,$F$4:$S$29,G$34,FALSE),0)</f>
        <v>0</v>
      </c>
      <c r="H162" s="28">
        <f>ROUND(VLOOKUP($E162,装备属性计算表!$D$4:$O$9,装备属性计算表!G$2,FALSE)/装备属性计算表!G$10*VLOOKUP($F162&amp;$D162,$F$4:$S$29,H$34,FALSE),0)</f>
        <v>119</v>
      </c>
      <c r="I162" s="28">
        <f>ROUND(VLOOKUP($E162,装备属性计算表!$D$4:$O$9,装备属性计算表!H$2,FALSE)/装备属性计算表!H$10*VLOOKUP($F162&amp;$D162,$F$4:$S$29,I$34,FALSE),0)</f>
        <v>0</v>
      </c>
      <c r="J162" s="28">
        <f>ROUND(VLOOKUP($E162,装备属性计算表!$D$4:$O$9,装备属性计算表!I$2,FALSE)/装备属性计算表!I$10*VLOOKUP($F162&amp;$D162,$F$4:$S$29,J$34,FALSE),0)</f>
        <v>0</v>
      </c>
      <c r="K162" s="28">
        <f>ROUND(VLOOKUP($E162,装备属性计算表!$D$4:$O$9,装备属性计算表!J$2,FALSE)/装备属性计算表!J$10*VLOOKUP($F162&amp;$D162,$F$4:$S$29,K$34,FALSE),0)</f>
        <v>0</v>
      </c>
      <c r="L162" s="28">
        <f>ROUND(VLOOKUP($E162,装备属性计算表!$D$4:$O$9,装备属性计算表!K$2,FALSE)/装备属性计算表!K$10*VLOOKUP($F162&amp;$D162,$F$4:$S$29,L$34,FALSE),0)</f>
        <v>74</v>
      </c>
      <c r="M162" s="28">
        <f>ROUND(VLOOKUP($E162,装备属性计算表!$D$4:$O$9,装备属性计算表!L$2,FALSE)/装备属性计算表!L$10*VLOOKUP($F162&amp;$D162,$F$4:$S$29,M$34,FALSE),0)</f>
        <v>0</v>
      </c>
      <c r="N162" s="28">
        <f>ROUND(VLOOKUP($E162,装备属性计算表!$D$4:$O$9,装备属性计算表!M$2,FALSE)/装备属性计算表!M$10*VLOOKUP($F162&amp;$D162,$F$4:$S$29,N$34,FALSE),0)</f>
        <v>0</v>
      </c>
      <c r="O162" s="28">
        <f>ROUND(VLOOKUP($E162,装备属性计算表!$D$4:$O$9,装备属性计算表!N$2,FALSE)/装备属性计算表!N$10*VLOOKUP($F162&amp;$D162,$F$4:$S$29,O$34,FALSE),0)</f>
        <v>0</v>
      </c>
      <c r="P162" s="28">
        <f>ROUND(VLOOKUP($E162,装备属性计算表!$D$4:$O$9,装备属性计算表!O$2,FALSE)/装备属性计算表!O$10*VLOOKUP($F162&amp;$D162,$F$4:$S$29,P$34,FALSE),0)</f>
        <v>0</v>
      </c>
      <c r="Q162" s="28">
        <f>SUMPRODUCT(G162:P162,定义数据!$G$14:$P$14)</f>
        <v>132.32</v>
      </c>
      <c r="R162" s="28">
        <f t="shared" si="55"/>
        <v>6616</v>
      </c>
      <c r="S162" s="91">
        <f t="shared" si="56"/>
        <v>6616</v>
      </c>
      <c r="T162" s="28">
        <f t="shared" si="77"/>
        <v>16440760</v>
      </c>
      <c r="U162" s="89">
        <f>VLOOKUP(F162,D_装备金币参考表!$A$2:$C$81,3,FALSE)*Q162-VLOOKUP(F138,D_装备金币参考表!$A$2:$C$81,3,FALSE)*Q162+U138</f>
        <v>7569237.3399999999</v>
      </c>
      <c r="W162">
        <f t="shared" si="79"/>
        <v>0</v>
      </c>
      <c r="X162">
        <f t="shared" si="79"/>
        <v>0</v>
      </c>
      <c r="Y162">
        <f t="shared" si="68"/>
        <v>70</v>
      </c>
      <c r="Z162" s="25">
        <f t="shared" si="69"/>
        <v>0</v>
      </c>
      <c r="AA162" s="25">
        <f t="shared" si="70"/>
        <v>0</v>
      </c>
      <c r="AB162" s="25">
        <f t="shared" si="71"/>
        <v>3289</v>
      </c>
      <c r="AC162" s="25">
        <f t="shared" si="64"/>
        <v>4240</v>
      </c>
    </row>
    <row r="163" spans="1:29" x14ac:dyDescent="0.15">
      <c r="A163" s="28" t="str">
        <f>F163&amp;D163&amp;VLOOKUP(E163,定义数据!$E$1:$F$7,2,FALSE)</f>
        <v>7041</v>
      </c>
      <c r="B163" s="28" t="str">
        <f t="shared" si="66"/>
        <v>7041</v>
      </c>
      <c r="C163" s="28">
        <f>装备属性计算表!AK159</f>
        <v>23</v>
      </c>
      <c r="D163" s="28">
        <f>装备属性计算表!B159</f>
        <v>4</v>
      </c>
      <c r="E163" s="28" t="str">
        <f>装备属性计算表!C159</f>
        <v>衣服</v>
      </c>
      <c r="F163" s="28">
        <f>装备属性计算表!D159</f>
        <v>70</v>
      </c>
      <c r="G163" s="28">
        <f>ROUND(VLOOKUP($E163,装备属性计算表!$D$4:$O$9,装备属性计算表!F$2,FALSE)/装备属性计算表!F$10*VLOOKUP($F163&amp;$D163,$F$4:$S$29,G$34,FALSE),0)</f>
        <v>1882</v>
      </c>
      <c r="H163" s="28">
        <f>ROUND(VLOOKUP($E163,装备属性计算表!$D$4:$O$9,装备属性计算表!G$2,FALSE)/装备属性计算表!G$10*VLOOKUP($F163&amp;$D163,$F$4:$S$29,H$34,FALSE),0)</f>
        <v>0</v>
      </c>
      <c r="I163" s="28">
        <f>ROUND(VLOOKUP($E163,装备属性计算表!$D$4:$O$9,装备属性计算表!H$2,FALSE)/装备属性计算表!H$10*VLOOKUP($F163&amp;$D163,$F$4:$S$29,I$34,FALSE),0)</f>
        <v>41</v>
      </c>
      <c r="J163" s="28">
        <f>ROUND(VLOOKUP($E163,装备属性计算表!$D$4:$O$9,装备属性计算表!I$2,FALSE)/装备属性计算表!I$10*VLOOKUP($F163&amp;$D163,$F$4:$S$29,J$34,FALSE),0)</f>
        <v>0</v>
      </c>
      <c r="K163" s="28">
        <f>ROUND(VLOOKUP($E163,装备属性计算表!$D$4:$O$9,装备属性计算表!J$2,FALSE)/装备属性计算表!J$10*VLOOKUP($F163&amp;$D163,$F$4:$S$29,K$34,FALSE),0)</f>
        <v>0</v>
      </c>
      <c r="L163" s="28">
        <f>ROUND(VLOOKUP($E163,装备属性计算表!$D$4:$O$9,装备属性计算表!K$2,FALSE)/装备属性计算表!K$10*VLOOKUP($F163&amp;$D163,$F$4:$S$29,L$34,FALSE),0)</f>
        <v>0</v>
      </c>
      <c r="M163" s="28">
        <f>ROUND(VLOOKUP($E163,装备属性计算表!$D$4:$O$9,装备属性计算表!L$2,FALSE)/装备属性计算表!L$10*VLOOKUP($F163&amp;$D163,$F$4:$S$29,M$34,FALSE),0)</f>
        <v>0</v>
      </c>
      <c r="N163" s="28">
        <f>ROUND(VLOOKUP($E163,装备属性计算表!$D$4:$O$9,装备属性计算表!M$2,FALSE)/装备属性计算表!M$10*VLOOKUP($F163&amp;$D163,$F$4:$S$29,N$34,FALSE),0)</f>
        <v>0</v>
      </c>
      <c r="O163" s="28">
        <f>ROUND(VLOOKUP($E163,装备属性计算表!$D$4:$O$9,装备属性计算表!N$2,FALSE)/装备属性计算表!N$10*VLOOKUP($F163&amp;$D163,$F$4:$S$29,O$34,FALSE),0)</f>
        <v>0</v>
      </c>
      <c r="P163" s="28">
        <f>ROUND(VLOOKUP($E163,装备属性计算表!$D$4:$O$9,装备属性计算表!O$2,FALSE)/装备属性计算表!O$10*VLOOKUP($F163&amp;$D163,$F$4:$S$29,P$34,FALSE),0)</f>
        <v>0</v>
      </c>
      <c r="Q163" s="28">
        <f>SUMPRODUCT(G163:P163,定义数据!$G$14:$P$14)</f>
        <v>116.28</v>
      </c>
      <c r="R163" s="28">
        <f t="shared" si="55"/>
        <v>5814</v>
      </c>
      <c r="S163" s="91">
        <f t="shared" si="56"/>
        <v>5814</v>
      </c>
      <c r="T163" s="28">
        <f t="shared" si="77"/>
        <v>14447790</v>
      </c>
      <c r="U163" s="89">
        <f>VLOOKUP(F163,D_装备金币参考表!$A$2:$C$81,3,FALSE)*Q163-VLOOKUP(F139,D_装备金币参考表!$A$2:$C$81,3,FALSE)*Q163+U139</f>
        <v>6635878.3600000003</v>
      </c>
      <c r="W163">
        <f t="shared" si="79"/>
        <v>0</v>
      </c>
      <c r="X163">
        <f t="shared" si="79"/>
        <v>0</v>
      </c>
      <c r="Y163">
        <f t="shared" si="68"/>
        <v>70</v>
      </c>
      <c r="Z163" s="25">
        <f t="shared" si="69"/>
        <v>0</v>
      </c>
      <c r="AA163" s="25">
        <f t="shared" si="70"/>
        <v>0</v>
      </c>
      <c r="AB163" s="25">
        <f t="shared" si="71"/>
        <v>2890</v>
      </c>
      <c r="AC163" s="25">
        <f t="shared" si="64"/>
        <v>2210</v>
      </c>
    </row>
    <row r="164" spans="1:29" x14ac:dyDescent="0.15">
      <c r="A164" s="28" t="str">
        <f>F164&amp;D164&amp;VLOOKUP(E164,定义数据!$E$1:$F$7,2,FALSE)</f>
        <v>7042</v>
      </c>
      <c r="B164" s="28" t="str">
        <f t="shared" si="66"/>
        <v>7042</v>
      </c>
      <c r="C164" s="28">
        <f>装备属性计算表!AK160</f>
        <v>23</v>
      </c>
      <c r="D164" s="28">
        <f>装备属性计算表!B160</f>
        <v>4</v>
      </c>
      <c r="E164" s="28" t="str">
        <f>装备属性计算表!C160</f>
        <v>裤子</v>
      </c>
      <c r="F164" s="28">
        <f>装备属性计算表!D160</f>
        <v>70</v>
      </c>
      <c r="G164" s="28">
        <f>ROUND(VLOOKUP($E164,装备属性计算表!$D$4:$O$9,装备属性计算表!F$2,FALSE)/装备属性计算表!F$10*VLOOKUP($F164&amp;$D164,$F$4:$S$29,G$34,FALSE),0)</f>
        <v>0</v>
      </c>
      <c r="H164" s="28">
        <f>ROUND(VLOOKUP($E164,装备属性计算表!$D$4:$O$9,装备属性计算表!G$2,FALSE)/装备属性计算表!G$10*VLOOKUP($F164&amp;$D164,$F$4:$S$29,H$34,FALSE),0)</f>
        <v>0</v>
      </c>
      <c r="I164" s="28">
        <f>ROUND(VLOOKUP($E164,装备属性计算表!$D$4:$O$9,装备属性计算表!H$2,FALSE)/装备属性计算表!H$10*VLOOKUP($F164&amp;$D164,$F$4:$S$29,I$34,FALSE),0)</f>
        <v>28</v>
      </c>
      <c r="J164" s="28">
        <f>ROUND(VLOOKUP($E164,装备属性计算表!$D$4:$O$9,装备属性计算表!I$2,FALSE)/装备属性计算表!I$10*VLOOKUP($F164&amp;$D164,$F$4:$S$29,J$34,FALSE),0)</f>
        <v>42</v>
      </c>
      <c r="K164" s="28">
        <f>ROUND(VLOOKUP($E164,装备属性计算表!$D$4:$O$9,装备属性计算表!J$2,FALSE)/装备属性计算表!J$10*VLOOKUP($F164&amp;$D164,$F$4:$S$29,K$34,FALSE),0)</f>
        <v>0</v>
      </c>
      <c r="L164" s="28">
        <f>ROUND(VLOOKUP($E164,装备属性计算表!$D$4:$O$9,装备属性计算表!K$2,FALSE)/装备属性计算表!K$10*VLOOKUP($F164&amp;$D164,$F$4:$S$29,L$34,FALSE),0)</f>
        <v>0</v>
      </c>
      <c r="M164" s="28">
        <f>ROUND(VLOOKUP($E164,装备属性计算表!$D$4:$O$9,装备属性计算表!L$2,FALSE)/装备属性计算表!L$10*VLOOKUP($F164&amp;$D164,$F$4:$S$29,M$34,FALSE),0)</f>
        <v>0</v>
      </c>
      <c r="N164" s="28">
        <f>ROUND(VLOOKUP($E164,装备属性计算表!$D$4:$O$9,装备属性计算表!M$2,FALSE)/装备属性计算表!M$10*VLOOKUP($F164&amp;$D164,$F$4:$S$29,N$34,FALSE),0)</f>
        <v>0</v>
      </c>
      <c r="O164" s="28">
        <f>ROUND(VLOOKUP($E164,装备属性计算表!$D$4:$O$9,装备属性计算表!N$2,FALSE)/装备属性计算表!N$10*VLOOKUP($F164&amp;$D164,$F$4:$S$29,O$34,FALSE),0)</f>
        <v>0</v>
      </c>
      <c r="P164" s="28">
        <f>ROUND(VLOOKUP($E164,装备属性计算表!$D$4:$O$9,装备属性计算表!O$2,FALSE)/装备属性计算表!O$10*VLOOKUP($F164&amp;$D164,$F$4:$S$29,P$34,FALSE),0)</f>
        <v>0</v>
      </c>
      <c r="Q164" s="28">
        <f>SUMPRODUCT(G164:P164,定义数据!$G$14:$P$14)</f>
        <v>42.28</v>
      </c>
      <c r="R164" s="28">
        <f t="shared" si="55"/>
        <v>2114</v>
      </c>
      <c r="S164" s="91">
        <f t="shared" si="56"/>
        <v>2114</v>
      </c>
      <c r="T164" s="28">
        <f t="shared" si="77"/>
        <v>5253290</v>
      </c>
      <c r="U164" s="89">
        <f>VLOOKUP(F164,D_装备金币参考表!$A$2:$C$81,3,FALSE)*Q164-VLOOKUP(F140,D_装备金币参考表!$A$2:$C$81,3,FALSE)*Q164+U140</f>
        <v>2402569.46</v>
      </c>
      <c r="W164">
        <f t="shared" si="79"/>
        <v>0</v>
      </c>
      <c r="X164">
        <f t="shared" si="79"/>
        <v>2</v>
      </c>
      <c r="Y164">
        <f t="shared" si="68"/>
        <v>70</v>
      </c>
      <c r="Z164" s="25">
        <f t="shared" si="69"/>
        <v>0</v>
      </c>
      <c r="AA164" s="25">
        <f t="shared" si="70"/>
        <v>7</v>
      </c>
      <c r="AB164" s="25">
        <f t="shared" si="71"/>
        <v>1050</v>
      </c>
      <c r="AC164" s="25">
        <f t="shared" si="64"/>
        <v>3710</v>
      </c>
    </row>
    <row r="165" spans="1:29" x14ac:dyDescent="0.15">
      <c r="A165" s="28" t="str">
        <f>F165&amp;D165&amp;VLOOKUP(E165,定义数据!$E$1:$F$7,2,FALSE)</f>
        <v>7045</v>
      </c>
      <c r="B165" s="28" t="str">
        <f t="shared" si="66"/>
        <v>7045</v>
      </c>
      <c r="C165" s="28">
        <f>装备属性计算表!AK161</f>
        <v>23</v>
      </c>
      <c r="D165" s="28">
        <f>装备属性计算表!B161</f>
        <v>4</v>
      </c>
      <c r="E165" s="28" t="str">
        <f>装备属性计算表!C161</f>
        <v>鞋子</v>
      </c>
      <c r="F165" s="28">
        <f>装备属性计算表!D161</f>
        <v>70</v>
      </c>
      <c r="G165" s="28">
        <f>ROUND(VLOOKUP($E165,装备属性计算表!$D$4:$O$9,装备属性计算表!F$2,FALSE)/装备属性计算表!F$10*VLOOKUP($F165&amp;$D165,$F$4:$S$29,G$34,FALSE),0)</f>
        <v>627</v>
      </c>
      <c r="H165" s="28">
        <f>ROUND(VLOOKUP($E165,装备属性计算表!$D$4:$O$9,装备属性计算表!G$2,FALSE)/装备属性计算表!G$10*VLOOKUP($F165&amp;$D165,$F$4:$S$29,H$34,FALSE),0)</f>
        <v>0</v>
      </c>
      <c r="I165" s="28">
        <f>ROUND(VLOOKUP($E165,装备属性计算表!$D$4:$O$9,装备属性计算表!H$2,FALSE)/装备属性计算表!H$10*VLOOKUP($F165&amp;$D165,$F$4:$S$29,I$34,FALSE),0)</f>
        <v>0</v>
      </c>
      <c r="J165" s="28">
        <f>ROUND(VLOOKUP($E165,装备属性计算表!$D$4:$O$9,装备属性计算表!I$2,FALSE)/装备属性计算表!I$10*VLOOKUP($F165&amp;$D165,$F$4:$S$29,J$34,FALSE),0)</f>
        <v>83</v>
      </c>
      <c r="K165" s="28">
        <f>ROUND(VLOOKUP($E165,装备属性计算表!$D$4:$O$9,装备属性计算表!J$2,FALSE)/装备属性计算表!J$10*VLOOKUP($F165&amp;$D165,$F$4:$S$29,K$34,FALSE),0)</f>
        <v>0</v>
      </c>
      <c r="L165" s="28">
        <f>ROUND(VLOOKUP($E165,装备属性计算表!$D$4:$O$9,装备属性计算表!K$2,FALSE)/装备属性计算表!K$10*VLOOKUP($F165&amp;$D165,$F$4:$S$29,L$34,FALSE),0)</f>
        <v>0</v>
      </c>
      <c r="M165" s="28">
        <f>ROUND(VLOOKUP($E165,装备属性计算表!$D$4:$O$9,装备属性计算表!L$2,FALSE)/装备属性计算表!L$10*VLOOKUP($F165&amp;$D165,$F$4:$S$29,M$34,FALSE),0)</f>
        <v>0</v>
      </c>
      <c r="N165" s="28">
        <f>ROUND(VLOOKUP($E165,装备属性计算表!$D$4:$O$9,装备属性计算表!M$2,FALSE)/装备属性计算表!M$10*VLOOKUP($F165&amp;$D165,$F$4:$S$29,N$34,FALSE),0)</f>
        <v>0</v>
      </c>
      <c r="O165" s="28">
        <f>ROUND(VLOOKUP($E165,装备属性计算表!$D$4:$O$9,装备属性计算表!N$2,FALSE)/装备属性计算表!N$10*VLOOKUP($F165&amp;$D165,$F$4:$S$29,O$34,FALSE),0)</f>
        <v>0</v>
      </c>
      <c r="P165" s="28">
        <f>ROUND(VLOOKUP($E165,装备属性计算表!$D$4:$O$9,装备属性计算表!O$2,FALSE)/装备属性计算表!O$10*VLOOKUP($F165&amp;$D165,$F$4:$S$29,P$34,FALSE),0)</f>
        <v>0</v>
      </c>
      <c r="Q165" s="28">
        <f>SUMPRODUCT(G165:P165,定义数据!$G$14:$P$14)</f>
        <v>53.300000000000004</v>
      </c>
      <c r="R165" s="28">
        <f t="shared" si="55"/>
        <v>2665</v>
      </c>
      <c r="S165" s="91">
        <f t="shared" si="56"/>
        <v>2665</v>
      </c>
      <c r="T165" s="28">
        <f t="shared" si="77"/>
        <v>6622525</v>
      </c>
      <c r="U165" s="89">
        <f>VLOOKUP(F165,D_装备金币参考表!$A$2:$C$81,3,FALSE)*Q165-VLOOKUP(F141,D_装备金币参考表!$A$2:$C$81,3,FALSE)*Q165+U141</f>
        <v>3045856.0199999996</v>
      </c>
      <c r="W165">
        <f t="shared" si="79"/>
        <v>0</v>
      </c>
      <c r="X165">
        <f t="shared" si="79"/>
        <v>1</v>
      </c>
      <c r="Y165">
        <f t="shared" si="68"/>
        <v>70</v>
      </c>
      <c r="Z165" s="25">
        <f t="shared" si="69"/>
        <v>0</v>
      </c>
      <c r="AA165" s="25">
        <f t="shared" si="70"/>
        <v>3</v>
      </c>
      <c r="AB165" s="25">
        <f t="shared" si="71"/>
        <v>1324</v>
      </c>
      <c r="AC165" s="25">
        <f t="shared" si="64"/>
        <v>475</v>
      </c>
    </row>
    <row r="166" spans="1:29" x14ac:dyDescent="0.15">
      <c r="A166" s="28" t="str">
        <f>F166&amp;D166&amp;VLOOKUP(E166,定义数据!$E$1:$F$7,2,FALSE)</f>
        <v>7044</v>
      </c>
      <c r="B166" s="28" t="str">
        <f t="shared" si="66"/>
        <v>7044</v>
      </c>
      <c r="C166" s="28">
        <f>装备属性计算表!AK162</f>
        <v>23</v>
      </c>
      <c r="D166" s="28">
        <f>装备属性计算表!B162</f>
        <v>4</v>
      </c>
      <c r="E166" s="28" t="str">
        <f>装备属性计算表!C162</f>
        <v>腰带</v>
      </c>
      <c r="F166" s="28">
        <f>装备属性计算表!D162</f>
        <v>70</v>
      </c>
      <c r="G166" s="28">
        <f>ROUND(VLOOKUP($E166,装备属性计算表!$D$4:$O$9,装备属性计算表!F$2,FALSE)/装备属性计算表!F$10*VLOOKUP($F166&amp;$D166,$F$4:$S$29,G$34,FALSE),0)</f>
        <v>627</v>
      </c>
      <c r="H166" s="28">
        <f>ROUND(VLOOKUP($E166,装备属性计算表!$D$4:$O$9,装备属性计算表!G$2,FALSE)/装备属性计算表!G$10*VLOOKUP($F166&amp;$D166,$F$4:$S$29,H$34,FALSE),0)</f>
        <v>0</v>
      </c>
      <c r="I166" s="28">
        <f>ROUND(VLOOKUP($E166,装备属性计算表!$D$4:$O$9,装备属性计算表!H$2,FALSE)/装备属性计算表!H$10*VLOOKUP($F166&amp;$D166,$F$4:$S$29,I$34,FALSE),0)</f>
        <v>0</v>
      </c>
      <c r="J166" s="28">
        <f>ROUND(VLOOKUP($E166,装备属性计算表!$D$4:$O$9,装备属性计算表!I$2,FALSE)/装备属性计算表!I$10*VLOOKUP($F166&amp;$D166,$F$4:$S$29,J$34,FALSE),0)</f>
        <v>0</v>
      </c>
      <c r="K166" s="28">
        <f>ROUND(VLOOKUP($E166,装备属性计算表!$D$4:$O$9,装备属性计算表!J$2,FALSE)/装备属性计算表!J$10*VLOOKUP($F166&amp;$D166,$F$4:$S$29,K$34,FALSE),0)</f>
        <v>0</v>
      </c>
      <c r="L166" s="28">
        <f>ROUND(VLOOKUP($E166,装备属性计算表!$D$4:$O$9,装备属性计算表!K$2,FALSE)/装备属性计算表!K$10*VLOOKUP($F166&amp;$D166,$F$4:$S$29,L$34,FALSE),0)</f>
        <v>0</v>
      </c>
      <c r="M166" s="28">
        <f>ROUND(VLOOKUP($E166,装备属性计算表!$D$4:$O$9,装备属性计算表!L$2,FALSE)/装备属性计算表!L$10*VLOOKUP($F166&amp;$D166,$F$4:$S$29,M$34,FALSE),0)</f>
        <v>0</v>
      </c>
      <c r="N166" s="28">
        <f>ROUND(VLOOKUP($E166,装备属性计算表!$D$4:$O$9,装备属性计算表!M$2,FALSE)/装备属性计算表!M$10*VLOOKUP($F166&amp;$D166,$F$4:$S$29,N$34,FALSE),0)</f>
        <v>74</v>
      </c>
      <c r="O166" s="28">
        <f>ROUND(VLOOKUP($E166,装备属性计算表!$D$4:$O$9,装备属性计算表!N$2,FALSE)/装备属性计算表!N$10*VLOOKUP($F166&amp;$D166,$F$4:$S$29,O$34,FALSE),0)</f>
        <v>0</v>
      </c>
      <c r="P166" s="28">
        <f>ROUND(VLOOKUP($E166,装备属性计算表!$D$4:$O$9,装备属性计算表!O$2,FALSE)/装备属性计算表!O$10*VLOOKUP($F166&amp;$D166,$F$4:$S$29,P$34,FALSE),0)</f>
        <v>0</v>
      </c>
      <c r="Q166" s="28">
        <f>SUMPRODUCT(G166:P166,定义数据!$G$14:$P$14)</f>
        <v>38.400000000000006</v>
      </c>
      <c r="R166" s="28">
        <f t="shared" si="55"/>
        <v>1920</v>
      </c>
      <c r="S166" s="91">
        <f t="shared" si="56"/>
        <v>1920</v>
      </c>
      <c r="T166" s="28">
        <f t="shared" si="77"/>
        <v>4771200</v>
      </c>
      <c r="U166" s="89">
        <f>VLOOKUP(F166,D_装备金币参考表!$A$2:$C$81,3,FALSE)*Q166-VLOOKUP(F142,D_装备金币参考表!$A$2:$C$81,3,FALSE)*Q166+U142</f>
        <v>2190333.7000000002</v>
      </c>
      <c r="W166">
        <f t="shared" si="79"/>
        <v>0</v>
      </c>
      <c r="X166">
        <f t="shared" si="79"/>
        <v>2</v>
      </c>
      <c r="Y166">
        <f t="shared" si="68"/>
        <v>70</v>
      </c>
      <c r="Z166" s="25">
        <f t="shared" si="69"/>
        <v>0</v>
      </c>
      <c r="AA166" s="25">
        <f t="shared" si="70"/>
        <v>6</v>
      </c>
      <c r="AB166" s="25">
        <f t="shared" si="71"/>
        <v>954</v>
      </c>
      <c r="AC166" s="25">
        <f t="shared" si="64"/>
        <v>4800</v>
      </c>
    </row>
    <row r="167" spans="1:29" x14ac:dyDescent="0.15">
      <c r="A167" s="28" t="str">
        <f>F167&amp;D167&amp;VLOOKUP(E167,定义数据!$E$1:$F$7,2,FALSE)</f>
        <v>7043</v>
      </c>
      <c r="B167" s="28" t="str">
        <f t="shared" si="66"/>
        <v>7043</v>
      </c>
      <c r="C167" s="28">
        <f>装备属性计算表!AK163</f>
        <v>23</v>
      </c>
      <c r="D167" s="28">
        <f>装备属性计算表!B163</f>
        <v>4</v>
      </c>
      <c r="E167" s="28" t="str">
        <f>装备属性计算表!C163</f>
        <v>项链</v>
      </c>
      <c r="F167" s="28">
        <f>装备属性计算表!D163</f>
        <v>70</v>
      </c>
      <c r="G167" s="28">
        <f>ROUND(VLOOKUP($E167,装备属性计算表!$D$4:$O$9,装备属性计算表!F$2,FALSE)/装备属性计算表!F$10*VLOOKUP($F167&amp;$D167,$F$4:$S$29,G$34,FALSE),0)</f>
        <v>0</v>
      </c>
      <c r="H167" s="28">
        <f>ROUND(VLOOKUP($E167,装备属性计算表!$D$4:$O$9,装备属性计算表!G$2,FALSE)/装备属性计算表!G$10*VLOOKUP($F167&amp;$D167,$F$4:$S$29,H$34,FALSE),0)</f>
        <v>40</v>
      </c>
      <c r="I167" s="28">
        <f>ROUND(VLOOKUP($E167,装备属性计算表!$D$4:$O$9,装备属性计算表!H$2,FALSE)/装备属性计算表!H$10*VLOOKUP($F167&amp;$D167,$F$4:$S$29,I$34,FALSE),0)</f>
        <v>0</v>
      </c>
      <c r="J167" s="28">
        <f>ROUND(VLOOKUP($E167,装备属性计算表!$D$4:$O$9,装备属性计算表!I$2,FALSE)/装备属性计算表!I$10*VLOOKUP($F167&amp;$D167,$F$4:$S$29,J$34,FALSE),0)</f>
        <v>0</v>
      </c>
      <c r="K167" s="28">
        <f>ROUND(VLOOKUP($E167,装备属性计算表!$D$4:$O$9,装备属性计算表!J$2,FALSE)/装备属性计算表!J$10*VLOOKUP($F167&amp;$D167,$F$4:$S$29,K$34,FALSE),0)</f>
        <v>125</v>
      </c>
      <c r="L167" s="28">
        <f>ROUND(VLOOKUP($E167,装备属性计算表!$D$4:$O$9,装备属性计算表!K$2,FALSE)/装备属性计算表!K$10*VLOOKUP($F167&amp;$D167,$F$4:$S$29,L$34,FALSE),0)</f>
        <v>0</v>
      </c>
      <c r="M167" s="28">
        <f>ROUND(VLOOKUP($E167,装备属性计算表!$D$4:$O$9,装备属性计算表!L$2,FALSE)/装备属性计算表!L$10*VLOOKUP($F167&amp;$D167,$F$4:$S$29,M$34,FALSE),0)</f>
        <v>0</v>
      </c>
      <c r="N167" s="28">
        <f>ROUND(VLOOKUP($E167,装备属性计算表!$D$4:$O$9,装备属性计算表!M$2,FALSE)/装备属性计算表!M$10*VLOOKUP($F167&amp;$D167,$F$4:$S$29,N$34,FALSE),0)</f>
        <v>0</v>
      </c>
      <c r="O167" s="28">
        <f>ROUND(VLOOKUP($E167,装备属性计算表!$D$4:$O$9,装备属性计算表!N$2,FALSE)/装备属性计算表!N$10*VLOOKUP($F167&amp;$D167,$F$4:$S$29,O$34,FALSE),0)</f>
        <v>0</v>
      </c>
      <c r="P167" s="28">
        <f>ROUND(VLOOKUP($E167,装备属性计算表!$D$4:$O$9,装备属性计算表!O$2,FALSE)/装备属性计算表!O$10*VLOOKUP($F167&amp;$D167,$F$4:$S$29,P$34,FALSE),0)</f>
        <v>0</v>
      </c>
      <c r="Q167" s="28">
        <f>SUMPRODUCT(G167:P167,定义数据!$G$14:$P$14)</f>
        <v>82.5</v>
      </c>
      <c r="R167" s="28">
        <f t="shared" si="55"/>
        <v>4125</v>
      </c>
      <c r="S167" s="91">
        <f t="shared" si="56"/>
        <v>4125</v>
      </c>
      <c r="T167" s="28">
        <f t="shared" si="77"/>
        <v>10250625</v>
      </c>
      <c r="U167" s="89">
        <f>VLOOKUP(F167,D_装备金币参考表!$A$2:$C$81,3,FALSE)*Q167-VLOOKUP(F143,D_装备金币参考表!$A$2:$C$81,3,FALSE)*Q167+U143</f>
        <v>4704300.5199999996</v>
      </c>
      <c r="V167" s="25">
        <f>SUM(U162:U167)</f>
        <v>26548175.399999999</v>
      </c>
      <c r="W167">
        <f t="shared" si="79"/>
        <v>0</v>
      </c>
      <c r="X167">
        <f t="shared" si="79"/>
        <v>1</v>
      </c>
      <c r="Y167">
        <f t="shared" si="68"/>
        <v>70</v>
      </c>
      <c r="Z167" s="25">
        <f t="shared" si="69"/>
        <v>0</v>
      </c>
      <c r="AA167" s="25">
        <f t="shared" si="70"/>
        <v>5</v>
      </c>
      <c r="AB167" s="25">
        <f t="shared" si="71"/>
        <v>2050</v>
      </c>
      <c r="AC167" s="25">
        <f t="shared" si="64"/>
        <v>4375</v>
      </c>
    </row>
    <row r="168" spans="1:29" x14ac:dyDescent="0.15">
      <c r="A168" s="28" t="str">
        <f>F168&amp;D168&amp;VLOOKUP(E168,定义数据!$E$1:$F$7,2,FALSE)</f>
        <v>8010</v>
      </c>
      <c r="B168" s="28" t="str">
        <f t="shared" si="66"/>
        <v>8010</v>
      </c>
      <c r="C168" s="28">
        <f>装备属性计算表!AK164</f>
        <v>24</v>
      </c>
      <c r="D168" s="28">
        <f>装备属性计算表!B164</f>
        <v>1</v>
      </c>
      <c r="E168" s="28" t="str">
        <f>装备属性计算表!C164</f>
        <v>武器</v>
      </c>
      <c r="F168" s="28">
        <f>装备属性计算表!D164</f>
        <v>80</v>
      </c>
      <c r="G168" s="28">
        <f>ROUND(VLOOKUP($E168,装备属性计算表!$D$4:$O$9,装备属性计算表!F$2,FALSE)/装备属性计算表!F$10*VLOOKUP($F168&amp;$D168,$F$4:$S$29,G$34,FALSE),0)</f>
        <v>0</v>
      </c>
      <c r="H168" s="28">
        <f>ROUND(VLOOKUP($E168,装备属性计算表!$D$4:$O$9,装备属性计算表!G$2,FALSE)/装备属性计算表!G$10*VLOOKUP($F168&amp;$D168,$F$4:$S$29,H$34,FALSE),0)</f>
        <v>67</v>
      </c>
      <c r="I168" s="28">
        <f>ROUND(VLOOKUP($E168,装备属性计算表!$D$4:$O$9,装备属性计算表!H$2,FALSE)/装备属性计算表!H$10*VLOOKUP($F168&amp;$D168,$F$4:$S$29,I$34,FALSE),0)</f>
        <v>0</v>
      </c>
      <c r="J168" s="28">
        <f>ROUND(VLOOKUP($E168,装备属性计算表!$D$4:$O$9,装备属性计算表!I$2,FALSE)/装备属性计算表!I$10*VLOOKUP($F168&amp;$D168,$F$4:$S$29,J$34,FALSE),0)</f>
        <v>0</v>
      </c>
      <c r="K168" s="28">
        <f>ROUND(VLOOKUP($E168,装备属性计算表!$D$4:$O$9,装备属性计算表!J$2,FALSE)/装备属性计算表!J$10*VLOOKUP($F168&amp;$D168,$F$4:$S$29,K$34,FALSE),0)</f>
        <v>0</v>
      </c>
      <c r="L168" s="28">
        <f>ROUND(VLOOKUP($E168,装备属性计算表!$D$4:$O$9,装备属性计算表!K$2,FALSE)/装备属性计算表!K$10*VLOOKUP($F168&amp;$D168,$F$4:$S$29,L$34,FALSE),0)</f>
        <v>42</v>
      </c>
      <c r="M168" s="28">
        <f>ROUND(VLOOKUP($E168,装备属性计算表!$D$4:$O$9,装备属性计算表!L$2,FALSE)/装备属性计算表!L$10*VLOOKUP($F168&amp;$D168,$F$4:$S$29,M$34,FALSE),0)</f>
        <v>0</v>
      </c>
      <c r="N168" s="28">
        <f>ROUND(VLOOKUP($E168,装备属性计算表!$D$4:$O$9,装备属性计算表!M$2,FALSE)/装备属性计算表!M$10*VLOOKUP($F168&amp;$D168,$F$4:$S$29,N$34,FALSE),0)</f>
        <v>0</v>
      </c>
      <c r="O168" s="28">
        <f>ROUND(VLOOKUP($E168,装备属性计算表!$D$4:$O$9,装备属性计算表!N$2,FALSE)/装备属性计算表!N$10*VLOOKUP($F168&amp;$D168,$F$4:$S$29,O$34,FALSE),0)</f>
        <v>0</v>
      </c>
      <c r="P168" s="28">
        <f>ROUND(VLOOKUP($E168,装备属性计算表!$D$4:$O$9,装备属性计算表!O$2,FALSE)/装备属性计算表!O$10*VLOOKUP($F168&amp;$D168,$F$4:$S$29,P$34,FALSE),0)</f>
        <v>0</v>
      </c>
      <c r="Q168" s="28">
        <f>SUMPRODUCT(G168:P168,定义数据!$G$14:$P$14)</f>
        <v>74.56</v>
      </c>
      <c r="R168" s="28">
        <f t="shared" si="55"/>
        <v>3728</v>
      </c>
      <c r="S168" s="91">
        <f t="shared" si="56"/>
        <v>3728</v>
      </c>
      <c r="T168" s="28">
        <f t="shared" si="77"/>
        <v>12078720</v>
      </c>
      <c r="U168" s="89">
        <f>VLOOKUP(F168,D_装备金币参考表!$A$2:$C$81,3,FALSE)*Q168-VLOOKUP(F144,D_装备金币参考表!$A$2:$C$81,3,FALSE)*Q168+U144</f>
        <v>6229348.959999999</v>
      </c>
      <c r="W168">
        <f t="shared" si="79"/>
        <v>0</v>
      </c>
      <c r="X168">
        <f t="shared" si="79"/>
        <v>1</v>
      </c>
      <c r="Y168">
        <f t="shared" si="68"/>
        <v>80</v>
      </c>
      <c r="Z168" s="25">
        <f t="shared" si="69"/>
        <v>0</v>
      </c>
      <c r="AA168" s="25">
        <f t="shared" si="70"/>
        <v>4</v>
      </c>
      <c r="AB168" s="25">
        <f t="shared" si="71"/>
        <v>2415</v>
      </c>
      <c r="AC168" s="25">
        <f t="shared" si="64"/>
        <v>280</v>
      </c>
    </row>
    <row r="169" spans="1:29" x14ac:dyDescent="0.15">
      <c r="A169" s="28" t="str">
        <f>F169&amp;D169&amp;VLOOKUP(E169,定义数据!$E$1:$F$7,2,FALSE)</f>
        <v>8011</v>
      </c>
      <c r="B169" s="28" t="str">
        <f t="shared" si="66"/>
        <v>8011</v>
      </c>
      <c r="C169" s="28">
        <f>装备属性计算表!AK165</f>
        <v>24</v>
      </c>
      <c r="D169" s="28">
        <f>装备属性计算表!B165</f>
        <v>1</v>
      </c>
      <c r="E169" s="28" t="str">
        <f>装备属性计算表!C165</f>
        <v>衣服</v>
      </c>
      <c r="F169" s="28">
        <f>装备属性计算表!D165</f>
        <v>80</v>
      </c>
      <c r="G169" s="28">
        <f>ROUND(VLOOKUP($E169,装备属性计算表!$D$4:$O$9,装备属性计算表!F$2,FALSE)/装备属性计算表!F$10*VLOOKUP($F169&amp;$D169,$F$4:$S$29,G$34,FALSE),0)</f>
        <v>1058</v>
      </c>
      <c r="H169" s="28">
        <f>ROUND(VLOOKUP($E169,装备属性计算表!$D$4:$O$9,装备属性计算表!G$2,FALSE)/装备属性计算表!G$10*VLOOKUP($F169&amp;$D169,$F$4:$S$29,H$34,FALSE),0)</f>
        <v>0</v>
      </c>
      <c r="I169" s="28">
        <f>ROUND(VLOOKUP($E169,装备属性计算表!$D$4:$O$9,装备属性计算表!H$2,FALSE)/装备属性计算表!H$10*VLOOKUP($F169&amp;$D169,$F$4:$S$29,I$34,FALSE),0)</f>
        <v>23</v>
      </c>
      <c r="J169" s="28">
        <f>ROUND(VLOOKUP($E169,装备属性计算表!$D$4:$O$9,装备属性计算表!I$2,FALSE)/装备属性计算表!I$10*VLOOKUP($F169&amp;$D169,$F$4:$S$29,J$34,FALSE),0)</f>
        <v>0</v>
      </c>
      <c r="K169" s="28">
        <f>ROUND(VLOOKUP($E169,装备属性计算表!$D$4:$O$9,装备属性计算表!J$2,FALSE)/装备属性计算表!J$10*VLOOKUP($F169&amp;$D169,$F$4:$S$29,K$34,FALSE),0)</f>
        <v>0</v>
      </c>
      <c r="L169" s="28">
        <f>ROUND(VLOOKUP($E169,装备属性计算表!$D$4:$O$9,装备属性计算表!K$2,FALSE)/装备属性计算表!K$10*VLOOKUP($F169&amp;$D169,$F$4:$S$29,L$34,FALSE),0)</f>
        <v>0</v>
      </c>
      <c r="M169" s="28">
        <f>ROUND(VLOOKUP($E169,装备属性计算表!$D$4:$O$9,装备属性计算表!L$2,FALSE)/装备属性计算表!L$10*VLOOKUP($F169&amp;$D169,$F$4:$S$29,M$34,FALSE),0)</f>
        <v>0</v>
      </c>
      <c r="N169" s="28">
        <f>ROUND(VLOOKUP($E169,装备属性计算表!$D$4:$O$9,装备属性计算表!M$2,FALSE)/装备属性计算表!M$10*VLOOKUP($F169&amp;$D169,$F$4:$S$29,N$34,FALSE),0)</f>
        <v>0</v>
      </c>
      <c r="O169" s="28">
        <f>ROUND(VLOOKUP($E169,装备属性计算表!$D$4:$O$9,装备属性计算表!N$2,FALSE)/装备属性计算表!N$10*VLOOKUP($F169&amp;$D169,$F$4:$S$29,O$34,FALSE),0)</f>
        <v>0</v>
      </c>
      <c r="P169" s="28">
        <f>ROUND(VLOOKUP($E169,装备属性计算表!$D$4:$O$9,装备属性计算表!O$2,FALSE)/装备属性计算表!O$10*VLOOKUP($F169&amp;$D169,$F$4:$S$29,P$34,FALSE),0)</f>
        <v>0</v>
      </c>
      <c r="Q169" s="28">
        <f>SUMPRODUCT(G169:P169,定义数据!$G$14:$P$14)</f>
        <v>65.319999999999993</v>
      </c>
      <c r="R169" s="28">
        <f t="shared" si="55"/>
        <v>3266</v>
      </c>
      <c r="S169" s="91">
        <f t="shared" si="56"/>
        <v>3266</v>
      </c>
      <c r="T169" s="28">
        <f t="shared" si="77"/>
        <v>10581840</v>
      </c>
      <c r="U169" s="89">
        <f>VLOOKUP(F169,D_装备金币参考表!$A$2:$C$81,3,FALSE)*Q169-VLOOKUP(F145,D_装备金币参考表!$A$2:$C$81,3,FALSE)*Q169+U145</f>
        <v>5477569.7199999988</v>
      </c>
      <c r="W169">
        <f t="shared" si="79"/>
        <v>0</v>
      </c>
      <c r="X169">
        <f t="shared" si="79"/>
        <v>1</v>
      </c>
      <c r="Y169">
        <f t="shared" si="68"/>
        <v>80</v>
      </c>
      <c r="Z169" s="25">
        <f t="shared" si="69"/>
        <v>0</v>
      </c>
      <c r="AA169" s="25">
        <f t="shared" si="70"/>
        <v>4</v>
      </c>
      <c r="AB169" s="25">
        <f t="shared" si="71"/>
        <v>2116</v>
      </c>
      <c r="AC169" s="25">
        <f t="shared" si="64"/>
        <v>2160</v>
      </c>
    </row>
    <row r="170" spans="1:29" x14ac:dyDescent="0.15">
      <c r="A170" s="28" t="str">
        <f>F170&amp;D170&amp;VLOOKUP(E170,定义数据!$E$1:$F$7,2,FALSE)</f>
        <v>8012</v>
      </c>
      <c r="B170" s="28" t="str">
        <f t="shared" si="66"/>
        <v>8012</v>
      </c>
      <c r="C170" s="28">
        <f>装备属性计算表!AK166</f>
        <v>24</v>
      </c>
      <c r="D170" s="28">
        <f>装备属性计算表!B166</f>
        <v>1</v>
      </c>
      <c r="E170" s="28" t="str">
        <f>装备属性计算表!C166</f>
        <v>裤子</v>
      </c>
      <c r="F170" s="28">
        <f>装备属性计算表!D166</f>
        <v>80</v>
      </c>
      <c r="G170" s="28">
        <f>ROUND(VLOOKUP($E170,装备属性计算表!$D$4:$O$9,装备属性计算表!F$2,FALSE)/装备属性计算表!F$10*VLOOKUP($F170&amp;$D170,$F$4:$S$29,G$34,FALSE),0)</f>
        <v>0</v>
      </c>
      <c r="H170" s="28">
        <f>ROUND(VLOOKUP($E170,装备属性计算表!$D$4:$O$9,装备属性计算表!G$2,FALSE)/装备属性计算表!G$10*VLOOKUP($F170&amp;$D170,$F$4:$S$29,H$34,FALSE),0)</f>
        <v>0</v>
      </c>
      <c r="I170" s="28">
        <f>ROUND(VLOOKUP($E170,装备属性计算表!$D$4:$O$9,装备属性计算表!H$2,FALSE)/装备属性计算表!H$10*VLOOKUP($F170&amp;$D170,$F$4:$S$29,I$34,FALSE),0)</f>
        <v>15</v>
      </c>
      <c r="J170" s="28">
        <f>ROUND(VLOOKUP($E170,装备属性计算表!$D$4:$O$9,装备属性计算表!I$2,FALSE)/装备属性计算表!I$10*VLOOKUP($F170&amp;$D170,$F$4:$S$29,J$34,FALSE),0)</f>
        <v>23</v>
      </c>
      <c r="K170" s="28">
        <f>ROUND(VLOOKUP($E170,装备属性计算表!$D$4:$O$9,装备属性计算表!J$2,FALSE)/装备属性计算表!J$10*VLOOKUP($F170&amp;$D170,$F$4:$S$29,K$34,FALSE),0)</f>
        <v>0</v>
      </c>
      <c r="L170" s="28">
        <f>ROUND(VLOOKUP($E170,装备属性计算表!$D$4:$O$9,装备属性计算表!K$2,FALSE)/装备属性计算表!K$10*VLOOKUP($F170&amp;$D170,$F$4:$S$29,L$34,FALSE),0)</f>
        <v>0</v>
      </c>
      <c r="M170" s="28">
        <f>ROUND(VLOOKUP($E170,装备属性计算表!$D$4:$O$9,装备属性计算表!L$2,FALSE)/装备属性计算表!L$10*VLOOKUP($F170&amp;$D170,$F$4:$S$29,M$34,FALSE),0)</f>
        <v>0</v>
      </c>
      <c r="N170" s="28">
        <f>ROUND(VLOOKUP($E170,装备属性计算表!$D$4:$O$9,装备属性计算表!M$2,FALSE)/装备属性计算表!M$10*VLOOKUP($F170&amp;$D170,$F$4:$S$29,N$34,FALSE),0)</f>
        <v>0</v>
      </c>
      <c r="O170" s="28">
        <f>ROUND(VLOOKUP($E170,装备属性计算表!$D$4:$O$9,装备属性计算表!N$2,FALSE)/装备属性计算表!N$10*VLOOKUP($F170&amp;$D170,$F$4:$S$29,O$34,FALSE),0)</f>
        <v>0</v>
      </c>
      <c r="P170" s="28">
        <f>ROUND(VLOOKUP($E170,装备属性计算表!$D$4:$O$9,装备属性计算表!O$2,FALSE)/装备属性计算表!O$10*VLOOKUP($F170&amp;$D170,$F$4:$S$29,P$34,FALSE),0)</f>
        <v>0</v>
      </c>
      <c r="Q170" s="28">
        <f>SUMPRODUCT(G170:P170,定义数据!$G$14:$P$14)</f>
        <v>22.82</v>
      </c>
      <c r="R170" s="28">
        <f t="shared" si="55"/>
        <v>1141</v>
      </c>
      <c r="S170" s="91">
        <f t="shared" si="56"/>
        <v>1141</v>
      </c>
      <c r="T170" s="28">
        <f t="shared" si="77"/>
        <v>3696840</v>
      </c>
      <c r="U170" s="89">
        <f>VLOOKUP(F170,D_装备金币参考表!$A$2:$C$81,3,FALSE)*Q170-VLOOKUP(F146,D_装备金币参考表!$A$2:$C$81,3,FALSE)*Q170+U146</f>
        <v>1913724.7800000003</v>
      </c>
      <c r="W170">
        <f t="shared" si="79"/>
        <v>0</v>
      </c>
      <c r="X170">
        <f t="shared" si="79"/>
        <v>4</v>
      </c>
      <c r="Y170">
        <f t="shared" si="68"/>
        <v>80</v>
      </c>
      <c r="Z170" s="25">
        <f t="shared" si="69"/>
        <v>0</v>
      </c>
      <c r="AA170" s="25">
        <f t="shared" si="70"/>
        <v>12</v>
      </c>
      <c r="AB170" s="25">
        <f t="shared" si="71"/>
        <v>738</v>
      </c>
      <c r="AC170" s="25">
        <f t="shared" si="64"/>
        <v>5160</v>
      </c>
    </row>
    <row r="171" spans="1:29" x14ac:dyDescent="0.15">
      <c r="A171" s="28" t="str">
        <f>F171&amp;D171&amp;VLOOKUP(E171,定义数据!$E$1:$F$7,2,FALSE)</f>
        <v>8015</v>
      </c>
      <c r="B171" s="28" t="str">
        <f t="shared" si="66"/>
        <v>8015</v>
      </c>
      <c r="C171" s="28">
        <f>装备属性计算表!AK167</f>
        <v>24</v>
      </c>
      <c r="D171" s="28">
        <f>装备属性计算表!B167</f>
        <v>1</v>
      </c>
      <c r="E171" s="28" t="str">
        <f>装备属性计算表!C167</f>
        <v>鞋子</v>
      </c>
      <c r="F171" s="28">
        <f>装备属性计算表!D167</f>
        <v>80</v>
      </c>
      <c r="G171" s="28">
        <f>ROUND(VLOOKUP($E171,装备属性计算表!$D$4:$O$9,装备属性计算表!F$2,FALSE)/装备属性计算表!F$10*VLOOKUP($F171&amp;$D171,$F$4:$S$29,G$34,FALSE),0)</f>
        <v>353</v>
      </c>
      <c r="H171" s="28">
        <f>ROUND(VLOOKUP($E171,装备属性计算表!$D$4:$O$9,装备属性计算表!G$2,FALSE)/装备属性计算表!G$10*VLOOKUP($F171&amp;$D171,$F$4:$S$29,H$34,FALSE),0)</f>
        <v>0</v>
      </c>
      <c r="I171" s="28">
        <f>ROUND(VLOOKUP($E171,装备属性计算表!$D$4:$O$9,装备属性计算表!H$2,FALSE)/装备属性计算表!H$10*VLOOKUP($F171&amp;$D171,$F$4:$S$29,I$34,FALSE),0)</f>
        <v>0</v>
      </c>
      <c r="J171" s="28">
        <f>ROUND(VLOOKUP($E171,装备属性计算表!$D$4:$O$9,装备属性计算表!I$2,FALSE)/装备属性计算表!I$10*VLOOKUP($F171&amp;$D171,$F$4:$S$29,J$34,FALSE),0)</f>
        <v>47</v>
      </c>
      <c r="K171" s="28">
        <f>ROUND(VLOOKUP($E171,装备属性计算表!$D$4:$O$9,装备属性计算表!J$2,FALSE)/装备属性计算表!J$10*VLOOKUP($F171&amp;$D171,$F$4:$S$29,K$34,FALSE),0)</f>
        <v>0</v>
      </c>
      <c r="L171" s="28">
        <f>ROUND(VLOOKUP($E171,装备属性计算表!$D$4:$O$9,装备属性计算表!K$2,FALSE)/装备属性计算表!K$10*VLOOKUP($F171&amp;$D171,$F$4:$S$29,L$34,FALSE),0)</f>
        <v>0</v>
      </c>
      <c r="M171" s="28">
        <f>ROUND(VLOOKUP($E171,装备属性计算表!$D$4:$O$9,装备属性计算表!L$2,FALSE)/装备属性计算表!L$10*VLOOKUP($F171&amp;$D171,$F$4:$S$29,M$34,FALSE),0)</f>
        <v>0</v>
      </c>
      <c r="N171" s="28">
        <f>ROUND(VLOOKUP($E171,装备属性计算表!$D$4:$O$9,装备属性计算表!M$2,FALSE)/装备属性计算表!M$10*VLOOKUP($F171&amp;$D171,$F$4:$S$29,N$34,FALSE),0)</f>
        <v>0</v>
      </c>
      <c r="O171" s="28">
        <f>ROUND(VLOOKUP($E171,装备属性计算表!$D$4:$O$9,装备属性计算表!N$2,FALSE)/装备属性计算表!N$10*VLOOKUP($F171&amp;$D171,$F$4:$S$29,O$34,FALSE),0)</f>
        <v>0</v>
      </c>
      <c r="P171" s="28">
        <f>ROUND(VLOOKUP($E171,装备属性计算表!$D$4:$O$9,装备属性计算表!O$2,FALSE)/装备属性计算表!O$10*VLOOKUP($F171&amp;$D171,$F$4:$S$29,P$34,FALSE),0)</f>
        <v>0</v>
      </c>
      <c r="Q171" s="28">
        <f>SUMPRODUCT(G171:P171,定义数据!$G$14:$P$14)</f>
        <v>30.1</v>
      </c>
      <c r="R171" s="28">
        <f t="shared" si="55"/>
        <v>1505</v>
      </c>
      <c r="S171" s="91">
        <f t="shared" si="56"/>
        <v>1505</v>
      </c>
      <c r="T171" s="28">
        <f t="shared" si="77"/>
        <v>4876200</v>
      </c>
      <c r="U171" s="89">
        <f>VLOOKUP(F171,D_装备金币参考表!$A$2:$C$81,3,FALSE)*Q171-VLOOKUP(F147,D_装备金币参考表!$A$2:$C$81,3,FALSE)*Q171+U147</f>
        <v>2515576</v>
      </c>
      <c r="W171">
        <f t="shared" si="79"/>
        <v>0</v>
      </c>
      <c r="X171">
        <f t="shared" si="79"/>
        <v>3</v>
      </c>
      <c r="Y171">
        <f t="shared" si="68"/>
        <v>80</v>
      </c>
      <c r="Z171" s="25">
        <f t="shared" si="69"/>
        <v>0</v>
      </c>
      <c r="AA171" s="25">
        <f t="shared" si="70"/>
        <v>10</v>
      </c>
      <c r="AB171" s="25">
        <f t="shared" si="71"/>
        <v>974</v>
      </c>
      <c r="AC171" s="25">
        <f t="shared" si="64"/>
        <v>3800</v>
      </c>
    </row>
    <row r="172" spans="1:29" x14ac:dyDescent="0.15">
      <c r="A172" s="28" t="str">
        <f>F172&amp;D172&amp;VLOOKUP(E172,定义数据!$E$1:$F$7,2,FALSE)</f>
        <v>8014</v>
      </c>
      <c r="B172" s="28" t="str">
        <f t="shared" si="66"/>
        <v>8014</v>
      </c>
      <c r="C172" s="28">
        <f>装备属性计算表!AK168</f>
        <v>24</v>
      </c>
      <c r="D172" s="28">
        <f>装备属性计算表!B168</f>
        <v>1</v>
      </c>
      <c r="E172" s="28" t="str">
        <f>装备属性计算表!C168</f>
        <v>腰带</v>
      </c>
      <c r="F172" s="28">
        <f>装备属性计算表!D168</f>
        <v>80</v>
      </c>
      <c r="G172" s="28">
        <f>ROUND(VLOOKUP($E172,装备属性计算表!$D$4:$O$9,装备属性计算表!F$2,FALSE)/装备属性计算表!F$10*VLOOKUP($F172&amp;$D172,$F$4:$S$29,G$34,FALSE),0)</f>
        <v>353</v>
      </c>
      <c r="H172" s="28">
        <f>ROUND(VLOOKUP($E172,装备属性计算表!$D$4:$O$9,装备属性计算表!G$2,FALSE)/装备属性计算表!G$10*VLOOKUP($F172&amp;$D172,$F$4:$S$29,H$34,FALSE),0)</f>
        <v>0</v>
      </c>
      <c r="I172" s="28">
        <f>ROUND(VLOOKUP($E172,装备属性计算表!$D$4:$O$9,装备属性计算表!H$2,FALSE)/装备属性计算表!H$10*VLOOKUP($F172&amp;$D172,$F$4:$S$29,I$34,FALSE),0)</f>
        <v>0</v>
      </c>
      <c r="J172" s="28">
        <f>ROUND(VLOOKUP($E172,装备属性计算表!$D$4:$O$9,装备属性计算表!I$2,FALSE)/装备属性计算表!I$10*VLOOKUP($F172&amp;$D172,$F$4:$S$29,J$34,FALSE),0)</f>
        <v>0</v>
      </c>
      <c r="K172" s="28">
        <f>ROUND(VLOOKUP($E172,装备属性计算表!$D$4:$O$9,装备属性计算表!J$2,FALSE)/装备属性计算表!J$10*VLOOKUP($F172&amp;$D172,$F$4:$S$29,K$34,FALSE),0)</f>
        <v>0</v>
      </c>
      <c r="L172" s="28">
        <f>ROUND(VLOOKUP($E172,装备属性计算表!$D$4:$O$9,装备属性计算表!K$2,FALSE)/装备属性计算表!K$10*VLOOKUP($F172&amp;$D172,$F$4:$S$29,L$34,FALSE),0)</f>
        <v>0</v>
      </c>
      <c r="M172" s="28">
        <f>ROUND(VLOOKUP($E172,装备属性计算表!$D$4:$O$9,装备属性计算表!L$2,FALSE)/装备属性计算表!L$10*VLOOKUP($F172&amp;$D172,$F$4:$S$29,M$34,FALSE),0)</f>
        <v>0</v>
      </c>
      <c r="N172" s="28">
        <f>ROUND(VLOOKUP($E172,装备属性计算表!$D$4:$O$9,装备属性计算表!M$2,FALSE)/装备属性计算表!M$10*VLOOKUP($F172&amp;$D172,$F$4:$S$29,N$34,FALSE),0)</f>
        <v>42</v>
      </c>
      <c r="O172" s="28">
        <f>ROUND(VLOOKUP($E172,装备属性计算表!$D$4:$O$9,装备属性计算表!N$2,FALSE)/装备属性计算表!N$10*VLOOKUP($F172&amp;$D172,$F$4:$S$29,O$34,FALSE),0)</f>
        <v>0</v>
      </c>
      <c r="P172" s="28">
        <f>ROUND(VLOOKUP($E172,装备属性计算表!$D$4:$O$9,装备属性计算表!O$2,FALSE)/装备属性计算表!O$10*VLOOKUP($F172&amp;$D172,$F$4:$S$29,P$34,FALSE),0)</f>
        <v>0</v>
      </c>
      <c r="Q172" s="28">
        <f>SUMPRODUCT(G172:P172,定义数据!$G$14:$P$14)</f>
        <v>21.68</v>
      </c>
      <c r="R172" s="28">
        <f t="shared" si="55"/>
        <v>1084</v>
      </c>
      <c r="S172" s="91">
        <f t="shared" si="56"/>
        <v>1084</v>
      </c>
      <c r="T172" s="28">
        <f t="shared" si="77"/>
        <v>3512160</v>
      </c>
      <c r="U172" s="89">
        <f>VLOOKUP(F172,D_装备金币参考表!$A$2:$C$81,3,FALSE)*Q172-VLOOKUP(F148,D_装备金币参考表!$A$2:$C$81,3,FALSE)*Q172+U148</f>
        <v>1806352.4</v>
      </c>
      <c r="W172">
        <f t="shared" si="79"/>
        <v>0</v>
      </c>
      <c r="X172">
        <f t="shared" si="79"/>
        <v>4</v>
      </c>
      <c r="Y172">
        <f t="shared" si="68"/>
        <v>80</v>
      </c>
      <c r="Z172" s="25">
        <f t="shared" si="69"/>
        <v>0</v>
      </c>
      <c r="AA172" s="25">
        <f t="shared" si="70"/>
        <v>11</v>
      </c>
      <c r="AB172" s="25">
        <f t="shared" si="71"/>
        <v>701</v>
      </c>
      <c r="AC172" s="25">
        <f t="shared" si="64"/>
        <v>3840</v>
      </c>
    </row>
    <row r="173" spans="1:29" x14ac:dyDescent="0.15">
      <c r="A173" s="28" t="str">
        <f>F173&amp;D173&amp;VLOOKUP(E173,定义数据!$E$1:$F$7,2,FALSE)</f>
        <v>8013</v>
      </c>
      <c r="B173" s="28" t="str">
        <f t="shared" si="66"/>
        <v>8013</v>
      </c>
      <c r="C173" s="28">
        <f>装备属性计算表!AK169</f>
        <v>24</v>
      </c>
      <c r="D173" s="28">
        <f>装备属性计算表!B169</f>
        <v>1</v>
      </c>
      <c r="E173" s="28" t="str">
        <f>装备属性计算表!C169</f>
        <v>项链</v>
      </c>
      <c r="F173" s="28">
        <f>装备属性计算表!D169</f>
        <v>80</v>
      </c>
      <c r="G173" s="28">
        <f>ROUND(VLOOKUP($E173,装备属性计算表!$D$4:$O$9,装备属性计算表!F$2,FALSE)/装备属性计算表!F$10*VLOOKUP($F173&amp;$D173,$F$4:$S$29,G$34,FALSE),0)</f>
        <v>0</v>
      </c>
      <c r="H173" s="28">
        <f>ROUND(VLOOKUP($E173,装备属性计算表!$D$4:$O$9,装备属性计算表!G$2,FALSE)/装备属性计算表!G$10*VLOOKUP($F173&amp;$D173,$F$4:$S$29,H$34,FALSE),0)</f>
        <v>22</v>
      </c>
      <c r="I173" s="28">
        <f>ROUND(VLOOKUP($E173,装备属性计算表!$D$4:$O$9,装备属性计算表!H$2,FALSE)/装备属性计算表!H$10*VLOOKUP($F173&amp;$D173,$F$4:$S$29,I$34,FALSE),0)</f>
        <v>0</v>
      </c>
      <c r="J173" s="28">
        <f>ROUND(VLOOKUP($E173,装备属性计算表!$D$4:$O$9,装备属性计算表!I$2,FALSE)/装备属性计算表!I$10*VLOOKUP($F173&amp;$D173,$F$4:$S$29,J$34,FALSE),0)</f>
        <v>0</v>
      </c>
      <c r="K173" s="28">
        <f>ROUND(VLOOKUP($E173,装备属性计算表!$D$4:$O$9,装备属性计算表!J$2,FALSE)/装备属性计算表!J$10*VLOOKUP($F173&amp;$D173,$F$4:$S$29,K$34,FALSE),0)</f>
        <v>70</v>
      </c>
      <c r="L173" s="28">
        <f>ROUND(VLOOKUP($E173,装备属性计算表!$D$4:$O$9,装备属性计算表!K$2,FALSE)/装备属性计算表!K$10*VLOOKUP($F173&amp;$D173,$F$4:$S$29,L$34,FALSE),0)</f>
        <v>0</v>
      </c>
      <c r="M173" s="28">
        <f>ROUND(VLOOKUP($E173,装备属性计算表!$D$4:$O$9,装备属性计算表!L$2,FALSE)/装备属性计算表!L$10*VLOOKUP($F173&amp;$D173,$F$4:$S$29,M$34,FALSE),0)</f>
        <v>0</v>
      </c>
      <c r="N173" s="28">
        <f>ROUND(VLOOKUP($E173,装备属性计算表!$D$4:$O$9,装备属性计算表!M$2,FALSE)/装备属性计算表!M$10*VLOOKUP($F173&amp;$D173,$F$4:$S$29,N$34,FALSE),0)</f>
        <v>0</v>
      </c>
      <c r="O173" s="28">
        <f>ROUND(VLOOKUP($E173,装备属性计算表!$D$4:$O$9,装备属性计算表!N$2,FALSE)/装备属性计算表!N$10*VLOOKUP($F173&amp;$D173,$F$4:$S$29,O$34,FALSE),0)</f>
        <v>0</v>
      </c>
      <c r="P173" s="28">
        <f>ROUND(VLOOKUP($E173,装备属性计算表!$D$4:$O$9,装备属性计算表!O$2,FALSE)/装备属性计算表!O$10*VLOOKUP($F173&amp;$D173,$F$4:$S$29,P$34,FALSE),0)</f>
        <v>0</v>
      </c>
      <c r="Q173" s="28">
        <f>SUMPRODUCT(G173:P173,定义数据!$G$14:$P$14)</f>
        <v>45.8</v>
      </c>
      <c r="R173" s="28">
        <f t="shared" si="55"/>
        <v>2290</v>
      </c>
      <c r="S173" s="91">
        <f t="shared" si="56"/>
        <v>2290</v>
      </c>
      <c r="T173" s="28">
        <f t="shared" si="77"/>
        <v>7419600</v>
      </c>
      <c r="U173" s="89">
        <f>VLOOKUP(F173,D_装备金币参考表!$A$2:$C$81,3,FALSE)*Q173-VLOOKUP(F149,D_装备金币参考表!$A$2:$C$81,3,FALSE)*Q173+U149</f>
        <v>3832614.08</v>
      </c>
      <c r="V173" s="25">
        <f>SUM(U168:U173)</f>
        <v>21775185.939999998</v>
      </c>
      <c r="W173">
        <f t="shared" si="79"/>
        <v>0</v>
      </c>
      <c r="X173">
        <f t="shared" si="79"/>
        <v>2</v>
      </c>
      <c r="Y173">
        <f t="shared" si="68"/>
        <v>80</v>
      </c>
      <c r="Z173" s="25">
        <f t="shared" si="69"/>
        <v>0</v>
      </c>
      <c r="AA173" s="25">
        <f t="shared" si="70"/>
        <v>7</v>
      </c>
      <c r="AB173" s="25">
        <f t="shared" si="71"/>
        <v>1483</v>
      </c>
      <c r="AC173" s="25">
        <f t="shared" si="64"/>
        <v>2400</v>
      </c>
    </row>
    <row r="174" spans="1:29" x14ac:dyDescent="0.15">
      <c r="A174" s="28" t="str">
        <f>F174&amp;D174&amp;VLOOKUP(E174,定义数据!$E$1:$F$7,2,FALSE)</f>
        <v>8020</v>
      </c>
      <c r="B174" s="28" t="str">
        <f t="shared" si="66"/>
        <v>8020</v>
      </c>
      <c r="C174" s="28">
        <f>装备属性计算表!AK170</f>
        <v>25</v>
      </c>
      <c r="D174" s="28">
        <f>装备属性计算表!B170</f>
        <v>2</v>
      </c>
      <c r="E174" s="28" t="str">
        <f>装备属性计算表!C170</f>
        <v>武器</v>
      </c>
      <c r="F174" s="28">
        <f>装备属性计算表!D170</f>
        <v>80</v>
      </c>
      <c r="G174" s="28">
        <f>ROUND(VLOOKUP($E174,装备属性计算表!$D$4:$O$9,装备属性计算表!F$2,FALSE)/装备属性计算表!F$10*VLOOKUP($F174&amp;$D174,$F$4:$S$29,G$34,FALSE),0)</f>
        <v>0</v>
      </c>
      <c r="H174" s="28">
        <f>ROUND(VLOOKUP($E174,装备属性计算表!$D$4:$O$9,装备属性计算表!G$2,FALSE)/装备属性计算表!G$10*VLOOKUP($F174&amp;$D174,$F$4:$S$29,H$34,FALSE),0)</f>
        <v>97</v>
      </c>
      <c r="I174" s="28">
        <f>ROUND(VLOOKUP($E174,装备属性计算表!$D$4:$O$9,装备属性计算表!H$2,FALSE)/装备属性计算表!H$10*VLOOKUP($F174&amp;$D174,$F$4:$S$29,I$34,FALSE),0)</f>
        <v>0</v>
      </c>
      <c r="J174" s="28">
        <f>ROUND(VLOOKUP($E174,装备属性计算表!$D$4:$O$9,装备属性计算表!I$2,FALSE)/装备属性计算表!I$10*VLOOKUP($F174&amp;$D174,$F$4:$S$29,J$34,FALSE),0)</f>
        <v>0</v>
      </c>
      <c r="K174" s="28">
        <f>ROUND(VLOOKUP($E174,装备属性计算表!$D$4:$O$9,装备属性计算表!J$2,FALSE)/装备属性计算表!J$10*VLOOKUP($F174&amp;$D174,$F$4:$S$29,K$34,FALSE),0)</f>
        <v>0</v>
      </c>
      <c r="L174" s="28">
        <f>ROUND(VLOOKUP($E174,装备属性计算表!$D$4:$O$9,装备属性计算表!K$2,FALSE)/装备属性计算表!K$10*VLOOKUP($F174&amp;$D174,$F$4:$S$29,L$34,FALSE),0)</f>
        <v>60</v>
      </c>
      <c r="M174" s="28">
        <f>ROUND(VLOOKUP($E174,装备属性计算表!$D$4:$O$9,装备属性计算表!L$2,FALSE)/装备属性计算表!L$10*VLOOKUP($F174&amp;$D174,$F$4:$S$29,M$34,FALSE),0)</f>
        <v>0</v>
      </c>
      <c r="N174" s="28">
        <f>ROUND(VLOOKUP($E174,装备属性计算表!$D$4:$O$9,装备属性计算表!M$2,FALSE)/装备属性计算表!M$10*VLOOKUP($F174&amp;$D174,$F$4:$S$29,N$34,FALSE),0)</f>
        <v>0</v>
      </c>
      <c r="O174" s="28">
        <f>ROUND(VLOOKUP($E174,装备属性计算表!$D$4:$O$9,装备属性计算表!N$2,FALSE)/装备属性计算表!N$10*VLOOKUP($F174&amp;$D174,$F$4:$S$29,O$34,FALSE),0)</f>
        <v>0</v>
      </c>
      <c r="P174" s="28">
        <f>ROUND(VLOOKUP($E174,装备属性计算表!$D$4:$O$9,装备属性计算表!O$2,FALSE)/装备属性计算表!O$10*VLOOKUP($F174&amp;$D174,$F$4:$S$29,P$34,FALSE),0)</f>
        <v>0</v>
      </c>
      <c r="Q174" s="28">
        <f>SUMPRODUCT(G174:P174,定义数据!$G$14:$P$14)</f>
        <v>107.8</v>
      </c>
      <c r="R174" s="28">
        <f t="shared" si="55"/>
        <v>5390</v>
      </c>
      <c r="S174" s="91">
        <f t="shared" si="56"/>
        <v>5390</v>
      </c>
      <c r="T174" s="28">
        <f t="shared" si="77"/>
        <v>17463600</v>
      </c>
      <c r="U174" s="89">
        <f>VLOOKUP(F174,D_装备金币参考表!$A$2:$C$81,3,FALSE)*Q174-VLOOKUP(F150,D_装备金币参考表!$A$2:$C$81,3,FALSE)*Q174+U150</f>
        <v>9008064.2799999993</v>
      </c>
      <c r="W174">
        <f t="shared" si="79"/>
        <v>0</v>
      </c>
      <c r="X174">
        <f t="shared" si="79"/>
        <v>0</v>
      </c>
      <c r="Y174">
        <f t="shared" si="68"/>
        <v>80</v>
      </c>
      <c r="Z174" s="25">
        <f t="shared" si="69"/>
        <v>0</v>
      </c>
      <c r="AA174" s="25">
        <f t="shared" si="70"/>
        <v>0</v>
      </c>
      <c r="AB174" s="25">
        <f t="shared" si="71"/>
        <v>3493</v>
      </c>
      <c r="AC174" s="25">
        <f t="shared" si="64"/>
        <v>1400</v>
      </c>
    </row>
    <row r="175" spans="1:29" x14ac:dyDescent="0.15">
      <c r="A175" s="28" t="str">
        <f>F175&amp;D175&amp;VLOOKUP(E175,定义数据!$E$1:$F$7,2,FALSE)</f>
        <v>8021</v>
      </c>
      <c r="B175" s="28" t="str">
        <f t="shared" si="66"/>
        <v>8021</v>
      </c>
      <c r="C175" s="28">
        <f>装备属性计算表!AK171</f>
        <v>25</v>
      </c>
      <c r="D175" s="28">
        <f>装备属性计算表!B171</f>
        <v>2</v>
      </c>
      <c r="E175" s="28" t="str">
        <f>装备属性计算表!C171</f>
        <v>衣服</v>
      </c>
      <c r="F175" s="28">
        <f>装备属性计算表!D171</f>
        <v>80</v>
      </c>
      <c r="G175" s="28">
        <f>ROUND(VLOOKUP($E175,装备属性计算表!$D$4:$O$9,装备属性计算表!F$2,FALSE)/装备属性计算表!F$10*VLOOKUP($F175&amp;$D175,$F$4:$S$29,G$34,FALSE),0)</f>
        <v>1529</v>
      </c>
      <c r="H175" s="28">
        <f>ROUND(VLOOKUP($E175,装备属性计算表!$D$4:$O$9,装备属性计算表!G$2,FALSE)/装备属性计算表!G$10*VLOOKUP($F175&amp;$D175,$F$4:$S$29,H$34,FALSE),0)</f>
        <v>0</v>
      </c>
      <c r="I175" s="28">
        <f>ROUND(VLOOKUP($E175,装备属性计算表!$D$4:$O$9,装备属性计算表!H$2,FALSE)/装备属性计算表!H$10*VLOOKUP($F175&amp;$D175,$F$4:$S$29,I$34,FALSE),0)</f>
        <v>34</v>
      </c>
      <c r="J175" s="28">
        <f>ROUND(VLOOKUP($E175,装备属性计算表!$D$4:$O$9,装备属性计算表!I$2,FALSE)/装备属性计算表!I$10*VLOOKUP($F175&amp;$D175,$F$4:$S$29,J$34,FALSE),0)</f>
        <v>0</v>
      </c>
      <c r="K175" s="28">
        <f>ROUND(VLOOKUP($E175,装备属性计算表!$D$4:$O$9,装备属性计算表!J$2,FALSE)/装备属性计算表!J$10*VLOOKUP($F175&amp;$D175,$F$4:$S$29,K$34,FALSE),0)</f>
        <v>0</v>
      </c>
      <c r="L175" s="28">
        <f>ROUND(VLOOKUP($E175,装备属性计算表!$D$4:$O$9,装备属性计算表!K$2,FALSE)/装备属性计算表!K$10*VLOOKUP($F175&amp;$D175,$F$4:$S$29,L$34,FALSE),0)</f>
        <v>0</v>
      </c>
      <c r="M175" s="28">
        <f>ROUND(VLOOKUP($E175,装备属性计算表!$D$4:$O$9,装备属性计算表!L$2,FALSE)/装备属性计算表!L$10*VLOOKUP($F175&amp;$D175,$F$4:$S$29,M$34,FALSE),0)</f>
        <v>0</v>
      </c>
      <c r="N175" s="28">
        <f>ROUND(VLOOKUP($E175,装备属性计算表!$D$4:$O$9,装备属性计算表!M$2,FALSE)/装备属性计算表!M$10*VLOOKUP($F175&amp;$D175,$F$4:$S$29,N$34,FALSE),0)</f>
        <v>0</v>
      </c>
      <c r="O175" s="28">
        <f>ROUND(VLOOKUP($E175,装备属性计算表!$D$4:$O$9,装备属性计算表!N$2,FALSE)/装备属性计算表!N$10*VLOOKUP($F175&amp;$D175,$F$4:$S$29,O$34,FALSE),0)</f>
        <v>0</v>
      </c>
      <c r="P175" s="28">
        <f>ROUND(VLOOKUP($E175,装备属性计算表!$D$4:$O$9,装备属性计算表!O$2,FALSE)/装备属性计算表!O$10*VLOOKUP($F175&amp;$D175,$F$4:$S$29,P$34,FALSE),0)</f>
        <v>0</v>
      </c>
      <c r="Q175" s="28">
        <f>SUMPRODUCT(G175:P175,定义数据!$G$14:$P$14)</f>
        <v>95.16</v>
      </c>
      <c r="R175" s="28">
        <f t="shared" si="55"/>
        <v>4758</v>
      </c>
      <c r="S175" s="91">
        <f t="shared" si="56"/>
        <v>4758</v>
      </c>
      <c r="T175" s="28">
        <f t="shared" si="77"/>
        <v>15415920</v>
      </c>
      <c r="U175" s="89">
        <f>VLOOKUP(F175,D_装备金币参考表!$A$2:$C$81,3,FALSE)*Q175-VLOOKUP(F151,D_装备金币参考表!$A$2:$C$81,3,FALSE)*Q175+U151</f>
        <v>7920263.1600000001</v>
      </c>
      <c r="W175">
        <f t="shared" si="79"/>
        <v>0</v>
      </c>
      <c r="X175">
        <f t="shared" si="79"/>
        <v>1</v>
      </c>
      <c r="Y175">
        <f t="shared" si="68"/>
        <v>80</v>
      </c>
      <c r="Z175" s="25">
        <f t="shared" si="69"/>
        <v>0</v>
      </c>
      <c r="AA175" s="25">
        <f t="shared" si="70"/>
        <v>5</v>
      </c>
      <c r="AB175" s="25">
        <f t="shared" si="71"/>
        <v>3083</v>
      </c>
      <c r="AC175" s="25">
        <f t="shared" si="64"/>
        <v>4080</v>
      </c>
    </row>
    <row r="176" spans="1:29" x14ac:dyDescent="0.15">
      <c r="A176" s="28" t="str">
        <f>F176&amp;D176&amp;VLOOKUP(E176,定义数据!$E$1:$F$7,2,FALSE)</f>
        <v>8022</v>
      </c>
      <c r="B176" s="28" t="str">
        <f t="shared" si="66"/>
        <v>8022</v>
      </c>
      <c r="C176" s="28">
        <f>装备属性计算表!AK172</f>
        <v>25</v>
      </c>
      <c r="D176" s="28">
        <f>装备属性计算表!B172</f>
        <v>2</v>
      </c>
      <c r="E176" s="28" t="str">
        <f>装备属性计算表!C172</f>
        <v>裤子</v>
      </c>
      <c r="F176" s="28">
        <f>装备属性计算表!D172</f>
        <v>80</v>
      </c>
      <c r="G176" s="28">
        <f>ROUND(VLOOKUP($E176,装备属性计算表!$D$4:$O$9,装备属性计算表!F$2,FALSE)/装备属性计算表!F$10*VLOOKUP($F176&amp;$D176,$F$4:$S$29,G$34,FALSE),0)</f>
        <v>0</v>
      </c>
      <c r="H176" s="28">
        <f>ROUND(VLOOKUP($E176,装备属性计算表!$D$4:$O$9,装备属性计算表!G$2,FALSE)/装备属性计算表!G$10*VLOOKUP($F176&amp;$D176,$F$4:$S$29,H$34,FALSE),0)</f>
        <v>0</v>
      </c>
      <c r="I176" s="28">
        <f>ROUND(VLOOKUP($E176,装备属性计算表!$D$4:$O$9,装备属性计算表!H$2,FALSE)/装备属性计算表!H$10*VLOOKUP($F176&amp;$D176,$F$4:$S$29,I$34,FALSE),0)</f>
        <v>22</v>
      </c>
      <c r="J176" s="28">
        <f>ROUND(VLOOKUP($E176,装备属性计算表!$D$4:$O$9,装备属性计算表!I$2,FALSE)/装备属性计算表!I$10*VLOOKUP($F176&amp;$D176,$F$4:$S$29,J$34,FALSE),0)</f>
        <v>34</v>
      </c>
      <c r="K176" s="28">
        <f>ROUND(VLOOKUP($E176,装备属性计算表!$D$4:$O$9,装备属性计算表!J$2,FALSE)/装备属性计算表!J$10*VLOOKUP($F176&amp;$D176,$F$4:$S$29,K$34,FALSE),0)</f>
        <v>0</v>
      </c>
      <c r="L176" s="28">
        <f>ROUND(VLOOKUP($E176,装备属性计算表!$D$4:$O$9,装备属性计算表!K$2,FALSE)/装备属性计算表!K$10*VLOOKUP($F176&amp;$D176,$F$4:$S$29,L$34,FALSE),0)</f>
        <v>0</v>
      </c>
      <c r="M176" s="28">
        <f>ROUND(VLOOKUP($E176,装备属性计算表!$D$4:$O$9,装备属性计算表!L$2,FALSE)/装备属性计算表!L$10*VLOOKUP($F176&amp;$D176,$F$4:$S$29,M$34,FALSE),0)</f>
        <v>0</v>
      </c>
      <c r="N176" s="28">
        <f>ROUND(VLOOKUP($E176,装备属性计算表!$D$4:$O$9,装备属性计算表!M$2,FALSE)/装备属性计算表!M$10*VLOOKUP($F176&amp;$D176,$F$4:$S$29,N$34,FALSE),0)</f>
        <v>0</v>
      </c>
      <c r="O176" s="28">
        <f>ROUND(VLOOKUP($E176,装备属性计算表!$D$4:$O$9,装备属性计算表!N$2,FALSE)/装备属性计算表!N$10*VLOOKUP($F176&amp;$D176,$F$4:$S$29,O$34,FALSE),0)</f>
        <v>0</v>
      </c>
      <c r="P176" s="28">
        <f>ROUND(VLOOKUP($E176,装备属性计算表!$D$4:$O$9,装备属性计算表!O$2,FALSE)/装备属性计算表!O$10*VLOOKUP($F176&amp;$D176,$F$4:$S$29,P$34,FALSE),0)</f>
        <v>0</v>
      </c>
      <c r="Q176" s="28">
        <f>SUMPRODUCT(G176:P176,定义数据!$G$14:$P$14)</f>
        <v>33.56</v>
      </c>
      <c r="R176" s="28">
        <f t="shared" si="55"/>
        <v>1678</v>
      </c>
      <c r="S176" s="91">
        <f t="shared" si="56"/>
        <v>1678</v>
      </c>
      <c r="T176" s="28">
        <f t="shared" si="77"/>
        <v>5436720</v>
      </c>
      <c r="U176" s="89">
        <f>VLOOKUP(F176,D_装备金币参考表!$A$2:$C$81,3,FALSE)*Q176-VLOOKUP(F152,D_装备金币参考表!$A$2:$C$81,3,FALSE)*Q176+U152</f>
        <v>2805150.8000000003</v>
      </c>
      <c r="W176">
        <f t="shared" si="79"/>
        <v>0</v>
      </c>
      <c r="X176">
        <f t="shared" si="79"/>
        <v>2</v>
      </c>
      <c r="Y176">
        <f t="shared" si="68"/>
        <v>80</v>
      </c>
      <c r="Z176" s="25">
        <f t="shared" si="69"/>
        <v>0</v>
      </c>
      <c r="AA176" s="25">
        <f t="shared" si="70"/>
        <v>6</v>
      </c>
      <c r="AB176" s="25">
        <f t="shared" si="71"/>
        <v>1087</v>
      </c>
      <c r="AC176" s="25">
        <f t="shared" si="64"/>
        <v>4280</v>
      </c>
    </row>
    <row r="177" spans="1:29" x14ac:dyDescent="0.15">
      <c r="A177" s="28" t="str">
        <f>F177&amp;D177&amp;VLOOKUP(E177,定义数据!$E$1:$F$7,2,FALSE)</f>
        <v>8025</v>
      </c>
      <c r="B177" s="28" t="str">
        <f t="shared" si="66"/>
        <v>8025</v>
      </c>
      <c r="C177" s="28">
        <f>装备属性计算表!AK173</f>
        <v>25</v>
      </c>
      <c r="D177" s="28">
        <f>装备属性计算表!B173</f>
        <v>2</v>
      </c>
      <c r="E177" s="28" t="str">
        <f>装备属性计算表!C173</f>
        <v>鞋子</v>
      </c>
      <c r="F177" s="28">
        <f>装备属性计算表!D173</f>
        <v>80</v>
      </c>
      <c r="G177" s="28">
        <f>ROUND(VLOOKUP($E177,装备属性计算表!$D$4:$O$9,装备属性计算表!F$2,FALSE)/装备属性计算表!F$10*VLOOKUP($F177&amp;$D177,$F$4:$S$29,G$34,FALSE),0)</f>
        <v>510</v>
      </c>
      <c r="H177" s="28">
        <f>ROUND(VLOOKUP($E177,装备属性计算表!$D$4:$O$9,装备属性计算表!G$2,FALSE)/装备属性计算表!G$10*VLOOKUP($F177&amp;$D177,$F$4:$S$29,H$34,FALSE),0)</f>
        <v>0</v>
      </c>
      <c r="I177" s="28">
        <f>ROUND(VLOOKUP($E177,装备属性计算表!$D$4:$O$9,装备属性计算表!H$2,FALSE)/装备属性计算表!H$10*VLOOKUP($F177&amp;$D177,$F$4:$S$29,I$34,FALSE),0)</f>
        <v>0</v>
      </c>
      <c r="J177" s="28">
        <f>ROUND(VLOOKUP($E177,装备属性计算表!$D$4:$O$9,装备属性计算表!I$2,FALSE)/装备属性计算表!I$10*VLOOKUP($F177&amp;$D177,$F$4:$S$29,J$34,FALSE),0)</f>
        <v>68</v>
      </c>
      <c r="K177" s="28">
        <f>ROUND(VLOOKUP($E177,装备属性计算表!$D$4:$O$9,装备属性计算表!J$2,FALSE)/装备属性计算表!J$10*VLOOKUP($F177&amp;$D177,$F$4:$S$29,K$34,FALSE),0)</f>
        <v>0</v>
      </c>
      <c r="L177" s="28">
        <f>ROUND(VLOOKUP($E177,装备属性计算表!$D$4:$O$9,装备属性计算表!K$2,FALSE)/装备属性计算表!K$10*VLOOKUP($F177&amp;$D177,$F$4:$S$29,L$34,FALSE),0)</f>
        <v>0</v>
      </c>
      <c r="M177" s="28">
        <f>ROUND(VLOOKUP($E177,装备属性计算表!$D$4:$O$9,装备属性计算表!L$2,FALSE)/装备属性计算表!L$10*VLOOKUP($F177&amp;$D177,$F$4:$S$29,M$34,FALSE),0)</f>
        <v>0</v>
      </c>
      <c r="N177" s="28">
        <f>ROUND(VLOOKUP($E177,装备属性计算表!$D$4:$O$9,装备属性计算表!M$2,FALSE)/装备属性计算表!M$10*VLOOKUP($F177&amp;$D177,$F$4:$S$29,N$34,FALSE),0)</f>
        <v>0</v>
      </c>
      <c r="O177" s="28">
        <f>ROUND(VLOOKUP($E177,装备属性计算表!$D$4:$O$9,装备属性计算表!N$2,FALSE)/装备属性计算表!N$10*VLOOKUP($F177&amp;$D177,$F$4:$S$29,O$34,FALSE),0)</f>
        <v>0</v>
      </c>
      <c r="P177" s="28">
        <f>ROUND(VLOOKUP($E177,装备属性计算表!$D$4:$O$9,装备属性计算表!O$2,FALSE)/装备属性计算表!O$10*VLOOKUP($F177&amp;$D177,$F$4:$S$29,P$34,FALSE),0)</f>
        <v>0</v>
      </c>
      <c r="Q177" s="28">
        <f>SUMPRODUCT(G177:P177,定义数据!$G$14:$P$14)</f>
        <v>43.52</v>
      </c>
      <c r="R177" s="28">
        <f t="shared" ref="R177:R191" si="80">ROUND(Q177*$R$32,0)</f>
        <v>2176</v>
      </c>
      <c r="S177" s="91">
        <f t="shared" ref="S177:S191" si="81">ROUND(Q177*$R$31,0)</f>
        <v>2176</v>
      </c>
      <c r="T177" s="28">
        <f t="shared" si="77"/>
        <v>7050240</v>
      </c>
      <c r="U177" s="89">
        <f>VLOOKUP(F177,D_装备金币参考表!$A$2:$C$81,3,FALSE)*Q177-VLOOKUP(F153,D_装备金币参考表!$A$2:$C$81,3,FALSE)*Q177+U153</f>
        <v>3631505.1399999997</v>
      </c>
      <c r="W177">
        <f t="shared" si="79"/>
        <v>0</v>
      </c>
      <c r="X177">
        <f t="shared" si="79"/>
        <v>2</v>
      </c>
      <c r="Y177">
        <f t="shared" si="68"/>
        <v>80</v>
      </c>
      <c r="Z177" s="25">
        <f t="shared" si="69"/>
        <v>0</v>
      </c>
      <c r="AA177" s="25">
        <f t="shared" si="70"/>
        <v>7</v>
      </c>
      <c r="AB177" s="25">
        <f t="shared" si="71"/>
        <v>1409</v>
      </c>
      <c r="AC177" s="25">
        <f t="shared" ref="AC177:AC191" si="82">SUMPRODUCT(Z177:AB177,$W$31:$Y$31)-T177</f>
        <v>1760</v>
      </c>
    </row>
    <row r="178" spans="1:29" x14ac:dyDescent="0.15">
      <c r="A178" s="28" t="str">
        <f>F178&amp;D178&amp;VLOOKUP(E178,定义数据!$E$1:$F$7,2,FALSE)</f>
        <v>8024</v>
      </c>
      <c r="B178" s="28" t="str">
        <f t="shared" si="66"/>
        <v>8024</v>
      </c>
      <c r="C178" s="28">
        <f>装备属性计算表!AK174</f>
        <v>25</v>
      </c>
      <c r="D178" s="28">
        <f>装备属性计算表!B174</f>
        <v>2</v>
      </c>
      <c r="E178" s="28" t="str">
        <f>装备属性计算表!C174</f>
        <v>腰带</v>
      </c>
      <c r="F178" s="28">
        <f>装备属性计算表!D174</f>
        <v>80</v>
      </c>
      <c r="G178" s="28">
        <f>ROUND(VLOOKUP($E178,装备属性计算表!$D$4:$O$9,装备属性计算表!F$2,FALSE)/装备属性计算表!F$10*VLOOKUP($F178&amp;$D178,$F$4:$S$29,G$34,FALSE),0)</f>
        <v>510</v>
      </c>
      <c r="H178" s="28">
        <f>ROUND(VLOOKUP($E178,装备属性计算表!$D$4:$O$9,装备属性计算表!G$2,FALSE)/装备属性计算表!G$10*VLOOKUP($F178&amp;$D178,$F$4:$S$29,H$34,FALSE),0)</f>
        <v>0</v>
      </c>
      <c r="I178" s="28">
        <f>ROUND(VLOOKUP($E178,装备属性计算表!$D$4:$O$9,装备属性计算表!H$2,FALSE)/装备属性计算表!H$10*VLOOKUP($F178&amp;$D178,$F$4:$S$29,I$34,FALSE),0)</f>
        <v>0</v>
      </c>
      <c r="J178" s="28">
        <f>ROUND(VLOOKUP($E178,装备属性计算表!$D$4:$O$9,装备属性计算表!I$2,FALSE)/装备属性计算表!I$10*VLOOKUP($F178&amp;$D178,$F$4:$S$29,J$34,FALSE),0)</f>
        <v>0</v>
      </c>
      <c r="K178" s="28">
        <f>ROUND(VLOOKUP($E178,装备属性计算表!$D$4:$O$9,装备属性计算表!J$2,FALSE)/装备属性计算表!J$10*VLOOKUP($F178&amp;$D178,$F$4:$S$29,K$34,FALSE),0)</f>
        <v>0</v>
      </c>
      <c r="L178" s="28">
        <f>ROUND(VLOOKUP($E178,装备属性计算表!$D$4:$O$9,装备属性计算表!K$2,FALSE)/装备属性计算表!K$10*VLOOKUP($F178&amp;$D178,$F$4:$S$29,L$34,FALSE),0)</f>
        <v>0</v>
      </c>
      <c r="M178" s="28">
        <f>ROUND(VLOOKUP($E178,装备属性计算表!$D$4:$O$9,装备属性计算表!L$2,FALSE)/装备属性计算表!L$10*VLOOKUP($F178&amp;$D178,$F$4:$S$29,M$34,FALSE),0)</f>
        <v>0</v>
      </c>
      <c r="N178" s="28">
        <f>ROUND(VLOOKUP($E178,装备属性计算表!$D$4:$O$9,装备属性计算表!M$2,FALSE)/装备属性计算表!M$10*VLOOKUP($F178&amp;$D178,$F$4:$S$29,N$34,FALSE),0)</f>
        <v>60</v>
      </c>
      <c r="O178" s="28">
        <f>ROUND(VLOOKUP($E178,装备属性计算表!$D$4:$O$9,装备属性计算表!N$2,FALSE)/装备属性计算表!N$10*VLOOKUP($F178&amp;$D178,$F$4:$S$29,O$34,FALSE),0)</f>
        <v>0</v>
      </c>
      <c r="P178" s="28">
        <f>ROUND(VLOOKUP($E178,装备属性计算表!$D$4:$O$9,装备属性计算表!O$2,FALSE)/装备属性计算表!O$10*VLOOKUP($F178&amp;$D178,$F$4:$S$29,P$34,FALSE),0)</f>
        <v>0</v>
      </c>
      <c r="Q178" s="28">
        <f>SUMPRODUCT(G178:P178,定义数据!$G$14:$P$14)</f>
        <v>31.200000000000003</v>
      </c>
      <c r="R178" s="28">
        <f t="shared" si="80"/>
        <v>1560</v>
      </c>
      <c r="S178" s="91">
        <f t="shared" si="81"/>
        <v>1560</v>
      </c>
      <c r="T178" s="28">
        <f t="shared" si="77"/>
        <v>5054400</v>
      </c>
      <c r="U178" s="89">
        <f>VLOOKUP(F178,D_装备金币参考表!$A$2:$C$81,3,FALSE)*Q178-VLOOKUP(F154,D_装备金币参考表!$A$2:$C$81,3,FALSE)*Q178+U154</f>
        <v>2605078.92</v>
      </c>
      <c r="W178">
        <f t="shared" si="79"/>
        <v>0</v>
      </c>
      <c r="X178">
        <f t="shared" si="79"/>
        <v>3</v>
      </c>
      <c r="Y178">
        <f t="shared" si="68"/>
        <v>80</v>
      </c>
      <c r="Z178" s="25">
        <f t="shared" si="69"/>
        <v>0</v>
      </c>
      <c r="AA178" s="25">
        <f t="shared" si="70"/>
        <v>10</v>
      </c>
      <c r="AB178" s="25">
        <f t="shared" si="71"/>
        <v>1010</v>
      </c>
      <c r="AC178" s="25">
        <f t="shared" si="82"/>
        <v>5600</v>
      </c>
    </row>
    <row r="179" spans="1:29" x14ac:dyDescent="0.15">
      <c r="A179" s="28" t="str">
        <f>F179&amp;D179&amp;VLOOKUP(E179,定义数据!$E$1:$F$7,2,FALSE)</f>
        <v>8023</v>
      </c>
      <c r="B179" s="28" t="str">
        <f t="shared" si="66"/>
        <v>8023</v>
      </c>
      <c r="C179" s="28">
        <f>装备属性计算表!AK175</f>
        <v>25</v>
      </c>
      <c r="D179" s="28">
        <f>装备属性计算表!B175</f>
        <v>2</v>
      </c>
      <c r="E179" s="28" t="str">
        <f>装备属性计算表!C175</f>
        <v>项链</v>
      </c>
      <c r="F179" s="28">
        <f>装备属性计算表!D175</f>
        <v>80</v>
      </c>
      <c r="G179" s="28">
        <f>ROUND(VLOOKUP($E179,装备属性计算表!$D$4:$O$9,装备属性计算表!F$2,FALSE)/装备属性计算表!F$10*VLOOKUP($F179&amp;$D179,$F$4:$S$29,G$34,FALSE),0)</f>
        <v>0</v>
      </c>
      <c r="H179" s="28">
        <f>ROUND(VLOOKUP($E179,装备属性计算表!$D$4:$O$9,装备属性计算表!G$2,FALSE)/装备属性计算表!G$10*VLOOKUP($F179&amp;$D179,$F$4:$S$29,H$34,FALSE),0)</f>
        <v>32</v>
      </c>
      <c r="I179" s="28">
        <f>ROUND(VLOOKUP($E179,装备属性计算表!$D$4:$O$9,装备属性计算表!H$2,FALSE)/装备属性计算表!H$10*VLOOKUP($F179&amp;$D179,$F$4:$S$29,I$34,FALSE),0)</f>
        <v>0</v>
      </c>
      <c r="J179" s="28">
        <f>ROUND(VLOOKUP($E179,装备属性计算表!$D$4:$O$9,装备属性计算表!I$2,FALSE)/装备属性计算表!I$10*VLOOKUP($F179&amp;$D179,$F$4:$S$29,J$34,FALSE),0)</f>
        <v>0</v>
      </c>
      <c r="K179" s="28">
        <f>ROUND(VLOOKUP($E179,装备属性计算表!$D$4:$O$9,装备属性计算表!J$2,FALSE)/装备属性计算表!J$10*VLOOKUP($F179&amp;$D179,$F$4:$S$29,K$34,FALSE),0)</f>
        <v>102</v>
      </c>
      <c r="L179" s="28">
        <f>ROUND(VLOOKUP($E179,装备属性计算表!$D$4:$O$9,装备属性计算表!K$2,FALSE)/装备属性计算表!K$10*VLOOKUP($F179&amp;$D179,$F$4:$S$29,L$34,FALSE),0)</f>
        <v>0</v>
      </c>
      <c r="M179" s="28">
        <f>ROUND(VLOOKUP($E179,装备属性计算表!$D$4:$O$9,装备属性计算表!L$2,FALSE)/装备属性计算表!L$10*VLOOKUP($F179&amp;$D179,$F$4:$S$29,M$34,FALSE),0)</f>
        <v>0</v>
      </c>
      <c r="N179" s="28">
        <f>ROUND(VLOOKUP($E179,装备属性计算表!$D$4:$O$9,装备属性计算表!M$2,FALSE)/装备属性计算表!M$10*VLOOKUP($F179&amp;$D179,$F$4:$S$29,N$34,FALSE),0)</f>
        <v>0</v>
      </c>
      <c r="O179" s="28">
        <f>ROUND(VLOOKUP($E179,装备属性计算表!$D$4:$O$9,装备属性计算表!N$2,FALSE)/装备属性计算表!N$10*VLOOKUP($F179&amp;$D179,$F$4:$S$29,O$34,FALSE),0)</f>
        <v>0</v>
      </c>
      <c r="P179" s="28">
        <f>ROUND(VLOOKUP($E179,装备属性计算表!$D$4:$O$9,装备属性计算表!O$2,FALSE)/装备属性计算表!O$10*VLOOKUP($F179&amp;$D179,$F$4:$S$29,P$34,FALSE),0)</f>
        <v>0</v>
      </c>
      <c r="Q179" s="28">
        <f>SUMPRODUCT(G179:P179,定义数据!$G$14:$P$14)</f>
        <v>66.680000000000007</v>
      </c>
      <c r="R179" s="28">
        <f t="shared" si="80"/>
        <v>3334</v>
      </c>
      <c r="S179" s="91">
        <f t="shared" si="81"/>
        <v>3334</v>
      </c>
      <c r="T179" s="28">
        <f t="shared" si="77"/>
        <v>10802160</v>
      </c>
      <c r="U179" s="89">
        <f>VLOOKUP(F179,D_装备金币参考表!$A$2:$C$81,3,FALSE)*Q179-VLOOKUP(F155,D_装备金币参考表!$A$2:$C$81,3,FALSE)*Q179+U155</f>
        <v>5566926.5200000014</v>
      </c>
      <c r="V179" s="25">
        <f>SUM(U174:U179)</f>
        <v>31536988.82</v>
      </c>
      <c r="W179">
        <f t="shared" si="79"/>
        <v>0</v>
      </c>
      <c r="X179">
        <f t="shared" si="79"/>
        <v>1</v>
      </c>
      <c r="Y179">
        <f t="shared" si="68"/>
        <v>80</v>
      </c>
      <c r="Z179" s="25">
        <f t="shared" si="69"/>
        <v>0</v>
      </c>
      <c r="AA179" s="25">
        <f t="shared" si="70"/>
        <v>4</v>
      </c>
      <c r="AB179" s="25">
        <f t="shared" si="71"/>
        <v>2160</v>
      </c>
      <c r="AC179" s="25">
        <f t="shared" si="82"/>
        <v>1840</v>
      </c>
    </row>
    <row r="180" spans="1:29" x14ac:dyDescent="0.15">
      <c r="A180" s="28" t="str">
        <f>F180&amp;D180&amp;VLOOKUP(E180,定义数据!$E$1:$F$7,2,FALSE)</f>
        <v>8030</v>
      </c>
      <c r="B180" s="28" t="str">
        <f t="shared" si="66"/>
        <v>8030</v>
      </c>
      <c r="C180" s="28">
        <f>装备属性计算表!AK176</f>
        <v>26</v>
      </c>
      <c r="D180" s="28">
        <f>装备属性计算表!B176</f>
        <v>3</v>
      </c>
      <c r="E180" s="28" t="str">
        <f>装备属性计算表!C176</f>
        <v>武器</v>
      </c>
      <c r="F180" s="28">
        <f>装备属性计算表!D176</f>
        <v>80</v>
      </c>
      <c r="G180" s="28">
        <f>ROUND(VLOOKUP($E180,装备属性计算表!$D$4:$O$9,装备属性计算表!F$2,FALSE)/装备属性计算表!F$10*VLOOKUP($F180&amp;$D180,$F$4:$S$29,G$34,FALSE),0)</f>
        <v>0</v>
      </c>
      <c r="H180" s="28">
        <f>ROUND(VLOOKUP($E180,装备属性计算表!$D$4:$O$9,装备属性计算表!G$2,FALSE)/装备属性计算表!G$10*VLOOKUP($F180&amp;$D180,$F$4:$S$29,H$34,FALSE),0)</f>
        <v>127</v>
      </c>
      <c r="I180" s="28">
        <f>ROUND(VLOOKUP($E180,装备属性计算表!$D$4:$O$9,装备属性计算表!H$2,FALSE)/装备属性计算表!H$10*VLOOKUP($F180&amp;$D180,$F$4:$S$29,I$34,FALSE),0)</f>
        <v>0</v>
      </c>
      <c r="J180" s="28">
        <f>ROUND(VLOOKUP($E180,装备属性计算表!$D$4:$O$9,装备属性计算表!I$2,FALSE)/装备属性计算表!I$10*VLOOKUP($F180&amp;$D180,$F$4:$S$29,J$34,FALSE),0)</f>
        <v>0</v>
      </c>
      <c r="K180" s="28">
        <f>ROUND(VLOOKUP($E180,装备属性计算表!$D$4:$O$9,装备属性计算表!J$2,FALSE)/装备属性计算表!J$10*VLOOKUP($F180&amp;$D180,$F$4:$S$29,K$34,FALSE),0)</f>
        <v>0</v>
      </c>
      <c r="L180" s="28">
        <f>ROUND(VLOOKUP($E180,装备属性计算表!$D$4:$O$9,装备属性计算表!K$2,FALSE)/装备属性计算表!K$10*VLOOKUP($F180&amp;$D180,$F$4:$S$29,L$34,FALSE),0)</f>
        <v>79</v>
      </c>
      <c r="M180" s="28">
        <f>ROUND(VLOOKUP($E180,装备属性计算表!$D$4:$O$9,装备属性计算表!L$2,FALSE)/装备属性计算表!L$10*VLOOKUP($F180&amp;$D180,$F$4:$S$29,M$34,FALSE),0)</f>
        <v>0</v>
      </c>
      <c r="N180" s="28">
        <f>ROUND(VLOOKUP($E180,装备属性计算表!$D$4:$O$9,装备属性计算表!M$2,FALSE)/装备属性计算表!M$10*VLOOKUP($F180&amp;$D180,$F$4:$S$29,N$34,FALSE),0)</f>
        <v>0</v>
      </c>
      <c r="O180" s="28">
        <f>ROUND(VLOOKUP($E180,装备属性计算表!$D$4:$O$9,装备属性计算表!N$2,FALSE)/装备属性计算表!N$10*VLOOKUP($F180&amp;$D180,$F$4:$S$29,O$34,FALSE),0)</f>
        <v>0</v>
      </c>
      <c r="P180" s="28">
        <f>ROUND(VLOOKUP($E180,装备属性计算表!$D$4:$O$9,装备属性计算表!O$2,FALSE)/装备属性计算表!O$10*VLOOKUP($F180&amp;$D180,$F$4:$S$29,P$34,FALSE),0)</f>
        <v>0</v>
      </c>
      <c r="Q180" s="28">
        <f>SUMPRODUCT(G180:P180,定义数据!$G$14:$P$14)</f>
        <v>141.22</v>
      </c>
      <c r="R180" s="28">
        <f t="shared" si="80"/>
        <v>7061</v>
      </c>
      <c r="S180" s="91">
        <f t="shared" si="81"/>
        <v>7061</v>
      </c>
      <c r="T180" s="28">
        <f t="shared" si="77"/>
        <v>22877640</v>
      </c>
      <c r="U180" s="89">
        <f>VLOOKUP(F180,D_装备金币参考表!$A$2:$C$81,3,FALSE)*Q180-VLOOKUP(F156,D_装备金币参考表!$A$2:$C$81,3,FALSE)*Q180+U156</f>
        <v>11793797.619999999</v>
      </c>
      <c r="W180">
        <f t="shared" si="79"/>
        <v>0</v>
      </c>
      <c r="X180">
        <f t="shared" si="79"/>
        <v>0</v>
      </c>
      <c r="Y180">
        <f t="shared" si="68"/>
        <v>80</v>
      </c>
      <c r="Z180" s="25">
        <f t="shared" si="69"/>
        <v>0</v>
      </c>
      <c r="AA180" s="25">
        <f t="shared" si="70"/>
        <v>0</v>
      </c>
      <c r="AB180" s="25">
        <f t="shared" si="71"/>
        <v>4576</v>
      </c>
      <c r="AC180" s="25">
        <f t="shared" si="82"/>
        <v>2360</v>
      </c>
    </row>
    <row r="181" spans="1:29" x14ac:dyDescent="0.15">
      <c r="A181" s="28" t="str">
        <f>F181&amp;D181&amp;VLOOKUP(E181,定义数据!$E$1:$F$7,2,FALSE)</f>
        <v>8031</v>
      </c>
      <c r="B181" s="28" t="str">
        <f t="shared" si="66"/>
        <v>8031</v>
      </c>
      <c r="C181" s="28">
        <f>装备属性计算表!AK177</f>
        <v>26</v>
      </c>
      <c r="D181" s="28">
        <f>装备属性计算表!B177</f>
        <v>3</v>
      </c>
      <c r="E181" s="28" t="str">
        <f>装备属性计算表!C177</f>
        <v>衣服</v>
      </c>
      <c r="F181" s="28">
        <f>装备属性计算表!D177</f>
        <v>80</v>
      </c>
      <c r="G181" s="28">
        <f>ROUND(VLOOKUP($E181,装备属性计算表!$D$4:$O$9,装备属性计算表!F$2,FALSE)/装备属性计算表!F$10*VLOOKUP($F181&amp;$D181,$F$4:$S$29,G$34,FALSE),0)</f>
        <v>1999</v>
      </c>
      <c r="H181" s="28">
        <f>ROUND(VLOOKUP($E181,装备属性计算表!$D$4:$O$9,装备属性计算表!G$2,FALSE)/装备属性计算表!G$10*VLOOKUP($F181&amp;$D181,$F$4:$S$29,H$34,FALSE),0)</f>
        <v>0</v>
      </c>
      <c r="I181" s="28">
        <f>ROUND(VLOOKUP($E181,装备属性计算表!$D$4:$O$9,装备属性计算表!H$2,FALSE)/装备属性计算表!H$10*VLOOKUP($F181&amp;$D181,$F$4:$S$29,I$34,FALSE),0)</f>
        <v>44</v>
      </c>
      <c r="J181" s="28">
        <f>ROUND(VLOOKUP($E181,装备属性计算表!$D$4:$O$9,装备属性计算表!I$2,FALSE)/装备属性计算表!I$10*VLOOKUP($F181&amp;$D181,$F$4:$S$29,J$34,FALSE),0)</f>
        <v>0</v>
      </c>
      <c r="K181" s="28">
        <f>ROUND(VLOOKUP($E181,装备属性计算表!$D$4:$O$9,装备属性计算表!J$2,FALSE)/装备属性计算表!J$10*VLOOKUP($F181&amp;$D181,$F$4:$S$29,K$34,FALSE),0)</f>
        <v>0</v>
      </c>
      <c r="L181" s="28">
        <f>ROUND(VLOOKUP($E181,装备属性计算表!$D$4:$O$9,装备属性计算表!K$2,FALSE)/装备属性计算表!K$10*VLOOKUP($F181&amp;$D181,$F$4:$S$29,L$34,FALSE),0)</f>
        <v>0</v>
      </c>
      <c r="M181" s="28">
        <f>ROUND(VLOOKUP($E181,装备属性计算表!$D$4:$O$9,装备属性计算表!L$2,FALSE)/装备属性计算表!L$10*VLOOKUP($F181&amp;$D181,$F$4:$S$29,M$34,FALSE),0)</f>
        <v>0</v>
      </c>
      <c r="N181" s="28">
        <f>ROUND(VLOOKUP($E181,装备属性计算表!$D$4:$O$9,装备属性计算表!M$2,FALSE)/装备属性计算表!M$10*VLOOKUP($F181&amp;$D181,$F$4:$S$29,N$34,FALSE),0)</f>
        <v>0</v>
      </c>
      <c r="O181" s="28">
        <f>ROUND(VLOOKUP($E181,装备属性计算表!$D$4:$O$9,装备属性计算表!N$2,FALSE)/装备属性计算表!N$10*VLOOKUP($F181&amp;$D181,$F$4:$S$29,O$34,FALSE),0)</f>
        <v>0</v>
      </c>
      <c r="P181" s="28">
        <f>ROUND(VLOOKUP($E181,装备属性计算表!$D$4:$O$9,装备属性计算表!O$2,FALSE)/装备属性计算表!O$10*VLOOKUP($F181&amp;$D181,$F$4:$S$29,P$34,FALSE),0)</f>
        <v>0</v>
      </c>
      <c r="Q181" s="28">
        <f>SUMPRODUCT(G181:P181,定义数据!$G$14:$P$14)</f>
        <v>123.96000000000001</v>
      </c>
      <c r="R181" s="28">
        <f t="shared" si="80"/>
        <v>6198</v>
      </c>
      <c r="S181" s="91">
        <f t="shared" si="81"/>
        <v>6198</v>
      </c>
      <c r="T181" s="28">
        <f t="shared" si="77"/>
        <v>20081520</v>
      </c>
      <c r="U181" s="89">
        <f>VLOOKUP(F181,D_装备金币参考表!$A$2:$C$81,3,FALSE)*Q181-VLOOKUP(F157,D_装备金币参考表!$A$2:$C$81,3,FALSE)*Q181+U157</f>
        <v>10338701.560000002</v>
      </c>
      <c r="W181">
        <f t="shared" si="79"/>
        <v>0</v>
      </c>
      <c r="X181">
        <f t="shared" si="79"/>
        <v>0</v>
      </c>
      <c r="Y181">
        <f t="shared" si="68"/>
        <v>80</v>
      </c>
      <c r="Z181" s="25">
        <f t="shared" si="69"/>
        <v>0</v>
      </c>
      <c r="AA181" s="25">
        <f t="shared" si="70"/>
        <v>0</v>
      </c>
      <c r="AB181" s="25">
        <f t="shared" si="71"/>
        <v>4017</v>
      </c>
      <c r="AC181" s="25">
        <f t="shared" si="82"/>
        <v>3480</v>
      </c>
    </row>
    <row r="182" spans="1:29" x14ac:dyDescent="0.15">
      <c r="A182" s="28" t="str">
        <f>F182&amp;D182&amp;VLOOKUP(E182,定义数据!$E$1:$F$7,2,FALSE)</f>
        <v>8032</v>
      </c>
      <c r="B182" s="28" t="str">
        <f t="shared" si="66"/>
        <v>8032</v>
      </c>
      <c r="C182" s="28">
        <f>装备属性计算表!AK178</f>
        <v>26</v>
      </c>
      <c r="D182" s="28">
        <f>装备属性计算表!B178</f>
        <v>3</v>
      </c>
      <c r="E182" s="28" t="str">
        <f>装备属性计算表!C178</f>
        <v>裤子</v>
      </c>
      <c r="F182" s="28">
        <f>装备属性计算表!D178</f>
        <v>80</v>
      </c>
      <c r="G182" s="28">
        <f>ROUND(VLOOKUP($E182,装备属性计算表!$D$4:$O$9,装备属性计算表!F$2,FALSE)/装备属性计算表!F$10*VLOOKUP($F182&amp;$D182,$F$4:$S$29,G$34,FALSE),0)</f>
        <v>0</v>
      </c>
      <c r="H182" s="28">
        <f>ROUND(VLOOKUP($E182,装备属性计算表!$D$4:$O$9,装备属性计算表!G$2,FALSE)/装备属性计算表!G$10*VLOOKUP($F182&amp;$D182,$F$4:$S$29,H$34,FALSE),0)</f>
        <v>0</v>
      </c>
      <c r="I182" s="28">
        <f>ROUND(VLOOKUP($E182,装备属性计算表!$D$4:$O$9,装备属性计算表!H$2,FALSE)/装备属性计算表!H$10*VLOOKUP($F182&amp;$D182,$F$4:$S$29,I$34,FALSE),0)</f>
        <v>29</v>
      </c>
      <c r="J182" s="28">
        <f>ROUND(VLOOKUP($E182,装备属性计算表!$D$4:$O$9,装备属性计算表!I$2,FALSE)/装备属性计算表!I$10*VLOOKUP($F182&amp;$D182,$F$4:$S$29,J$34,FALSE),0)</f>
        <v>44</v>
      </c>
      <c r="K182" s="28">
        <f>ROUND(VLOOKUP($E182,装备属性计算表!$D$4:$O$9,装备属性计算表!J$2,FALSE)/装备属性计算表!J$10*VLOOKUP($F182&amp;$D182,$F$4:$S$29,K$34,FALSE),0)</f>
        <v>0</v>
      </c>
      <c r="L182" s="28">
        <f>ROUND(VLOOKUP($E182,装备属性计算表!$D$4:$O$9,装备属性计算表!K$2,FALSE)/装备属性计算表!K$10*VLOOKUP($F182&amp;$D182,$F$4:$S$29,L$34,FALSE),0)</f>
        <v>0</v>
      </c>
      <c r="M182" s="28">
        <f>ROUND(VLOOKUP($E182,装备属性计算表!$D$4:$O$9,装备属性计算表!L$2,FALSE)/装备属性计算表!L$10*VLOOKUP($F182&amp;$D182,$F$4:$S$29,M$34,FALSE),0)</f>
        <v>0</v>
      </c>
      <c r="N182" s="28">
        <f>ROUND(VLOOKUP($E182,装备属性计算表!$D$4:$O$9,装备属性计算表!M$2,FALSE)/装备属性计算表!M$10*VLOOKUP($F182&amp;$D182,$F$4:$S$29,N$34,FALSE),0)</f>
        <v>0</v>
      </c>
      <c r="O182" s="28">
        <f>ROUND(VLOOKUP($E182,装备属性计算表!$D$4:$O$9,装备属性计算表!N$2,FALSE)/装备属性计算表!N$10*VLOOKUP($F182&amp;$D182,$F$4:$S$29,O$34,FALSE),0)</f>
        <v>0</v>
      </c>
      <c r="P182" s="28">
        <f>ROUND(VLOOKUP($E182,装备属性计算表!$D$4:$O$9,装备属性计算表!O$2,FALSE)/装备属性计算表!O$10*VLOOKUP($F182&amp;$D182,$F$4:$S$29,P$34,FALSE),0)</f>
        <v>0</v>
      </c>
      <c r="Q182" s="28">
        <f>SUMPRODUCT(G182:P182,定义数据!$G$14:$P$14)</f>
        <v>43.96</v>
      </c>
      <c r="R182" s="28">
        <f t="shared" si="80"/>
        <v>2198</v>
      </c>
      <c r="S182" s="91">
        <f t="shared" si="81"/>
        <v>2198</v>
      </c>
      <c r="T182" s="28">
        <f t="shared" si="77"/>
        <v>7121520</v>
      </c>
      <c r="U182" s="89">
        <f>VLOOKUP(F182,D_装备金币参考表!$A$2:$C$81,3,FALSE)*Q182-VLOOKUP(F158,D_装备金币参考表!$A$2:$C$81,3,FALSE)*Q182+U158</f>
        <v>3693373.66</v>
      </c>
      <c r="W182">
        <f t="shared" si="79"/>
        <v>0</v>
      </c>
      <c r="X182">
        <f t="shared" si="79"/>
        <v>2</v>
      </c>
      <c r="Y182">
        <f t="shared" si="68"/>
        <v>80</v>
      </c>
      <c r="Z182" s="25">
        <f t="shared" si="69"/>
        <v>0</v>
      </c>
      <c r="AA182" s="25">
        <f t="shared" si="70"/>
        <v>7</v>
      </c>
      <c r="AB182" s="25">
        <f t="shared" si="71"/>
        <v>1423</v>
      </c>
      <c r="AC182" s="25">
        <f t="shared" si="82"/>
        <v>480</v>
      </c>
    </row>
    <row r="183" spans="1:29" x14ac:dyDescent="0.15">
      <c r="A183" s="28" t="str">
        <f>F183&amp;D183&amp;VLOOKUP(E183,定义数据!$E$1:$F$7,2,FALSE)</f>
        <v>8035</v>
      </c>
      <c r="B183" s="28" t="str">
        <f t="shared" si="66"/>
        <v>8035</v>
      </c>
      <c r="C183" s="28">
        <f>装备属性计算表!AK179</f>
        <v>26</v>
      </c>
      <c r="D183" s="28">
        <f>装备属性计算表!B179</f>
        <v>3</v>
      </c>
      <c r="E183" s="28" t="str">
        <f>装备属性计算表!C179</f>
        <v>鞋子</v>
      </c>
      <c r="F183" s="28">
        <f>装备属性计算表!D179</f>
        <v>80</v>
      </c>
      <c r="G183" s="28">
        <f>ROUND(VLOOKUP($E183,装备属性计算表!$D$4:$O$9,装备属性计算表!F$2,FALSE)/装备属性计算表!F$10*VLOOKUP($F183&amp;$D183,$F$4:$S$29,G$34,FALSE),0)</f>
        <v>666</v>
      </c>
      <c r="H183" s="28">
        <f>ROUND(VLOOKUP($E183,装备属性计算表!$D$4:$O$9,装备属性计算表!G$2,FALSE)/装备属性计算表!G$10*VLOOKUP($F183&amp;$D183,$F$4:$S$29,H$34,FALSE),0)</f>
        <v>0</v>
      </c>
      <c r="I183" s="28">
        <f>ROUND(VLOOKUP($E183,装备属性计算表!$D$4:$O$9,装备属性计算表!H$2,FALSE)/装备属性计算表!H$10*VLOOKUP($F183&amp;$D183,$F$4:$S$29,I$34,FALSE),0)</f>
        <v>0</v>
      </c>
      <c r="J183" s="28">
        <f>ROUND(VLOOKUP($E183,装备属性计算表!$D$4:$O$9,装备属性计算表!I$2,FALSE)/装备属性计算表!I$10*VLOOKUP($F183&amp;$D183,$F$4:$S$29,J$34,FALSE),0)</f>
        <v>89</v>
      </c>
      <c r="K183" s="28">
        <f>ROUND(VLOOKUP($E183,装备属性计算表!$D$4:$O$9,装备属性计算表!J$2,FALSE)/装备属性计算表!J$10*VLOOKUP($F183&amp;$D183,$F$4:$S$29,K$34,FALSE),0)</f>
        <v>0</v>
      </c>
      <c r="L183" s="28">
        <f>ROUND(VLOOKUP($E183,装备属性计算表!$D$4:$O$9,装备属性计算表!K$2,FALSE)/装备属性计算表!K$10*VLOOKUP($F183&amp;$D183,$F$4:$S$29,L$34,FALSE),0)</f>
        <v>0</v>
      </c>
      <c r="M183" s="28">
        <f>ROUND(VLOOKUP($E183,装备属性计算表!$D$4:$O$9,装备属性计算表!L$2,FALSE)/装备属性计算表!L$10*VLOOKUP($F183&amp;$D183,$F$4:$S$29,M$34,FALSE),0)</f>
        <v>0</v>
      </c>
      <c r="N183" s="28">
        <f>ROUND(VLOOKUP($E183,装备属性计算表!$D$4:$O$9,装备属性计算表!M$2,FALSE)/装备属性计算表!M$10*VLOOKUP($F183&amp;$D183,$F$4:$S$29,N$34,FALSE),0)</f>
        <v>0</v>
      </c>
      <c r="O183" s="28">
        <f>ROUND(VLOOKUP($E183,装备属性计算表!$D$4:$O$9,装备属性计算表!N$2,FALSE)/装备属性计算表!N$10*VLOOKUP($F183&amp;$D183,$F$4:$S$29,O$34,FALSE),0)</f>
        <v>0</v>
      </c>
      <c r="P183" s="28">
        <f>ROUND(VLOOKUP($E183,装备属性计算表!$D$4:$O$9,装备属性计算表!O$2,FALSE)/装备属性计算表!O$10*VLOOKUP($F183&amp;$D183,$F$4:$S$29,P$34,FALSE),0)</f>
        <v>0</v>
      </c>
      <c r="Q183" s="28">
        <f>SUMPRODUCT(G183:P183,定义数据!$G$14:$P$14)</f>
        <v>56.900000000000006</v>
      </c>
      <c r="R183" s="28">
        <f t="shared" si="80"/>
        <v>2845</v>
      </c>
      <c r="S183" s="91">
        <f t="shared" si="81"/>
        <v>2845</v>
      </c>
      <c r="T183" s="28">
        <f t="shared" si="77"/>
        <v>9217800</v>
      </c>
      <c r="U183" s="89">
        <f>VLOOKUP(F183,D_装备金币参考表!$A$2:$C$81,3,FALSE)*Q183-VLOOKUP(F159,D_装备金币参考表!$A$2:$C$81,3,FALSE)*Q183+U159</f>
        <v>4743630.0199999996</v>
      </c>
      <c r="W183">
        <f t="shared" si="79"/>
        <v>0</v>
      </c>
      <c r="X183">
        <f t="shared" si="79"/>
        <v>1</v>
      </c>
      <c r="Y183">
        <f t="shared" si="68"/>
        <v>80</v>
      </c>
      <c r="Z183" s="25">
        <f t="shared" si="69"/>
        <v>0</v>
      </c>
      <c r="AA183" s="25">
        <f t="shared" si="70"/>
        <v>3</v>
      </c>
      <c r="AB183" s="25">
        <f t="shared" si="71"/>
        <v>1843</v>
      </c>
      <c r="AC183" s="25">
        <f t="shared" si="82"/>
        <v>200</v>
      </c>
    </row>
    <row r="184" spans="1:29" x14ac:dyDescent="0.15">
      <c r="A184" s="28" t="str">
        <f>F184&amp;D184&amp;VLOOKUP(E184,定义数据!$E$1:$F$7,2,FALSE)</f>
        <v>8034</v>
      </c>
      <c r="B184" s="28" t="str">
        <f t="shared" si="66"/>
        <v>8034</v>
      </c>
      <c r="C184" s="28">
        <f>装备属性计算表!AK180</f>
        <v>26</v>
      </c>
      <c r="D184" s="28">
        <f>装备属性计算表!B180</f>
        <v>3</v>
      </c>
      <c r="E184" s="28" t="str">
        <f>装备属性计算表!C180</f>
        <v>腰带</v>
      </c>
      <c r="F184" s="28">
        <f>装备属性计算表!D180</f>
        <v>80</v>
      </c>
      <c r="G184" s="28">
        <f>ROUND(VLOOKUP($E184,装备属性计算表!$D$4:$O$9,装备属性计算表!F$2,FALSE)/装备属性计算表!F$10*VLOOKUP($F184&amp;$D184,$F$4:$S$29,G$34,FALSE),0)</f>
        <v>666</v>
      </c>
      <c r="H184" s="28">
        <f>ROUND(VLOOKUP($E184,装备属性计算表!$D$4:$O$9,装备属性计算表!G$2,FALSE)/装备属性计算表!G$10*VLOOKUP($F184&amp;$D184,$F$4:$S$29,H$34,FALSE),0)</f>
        <v>0</v>
      </c>
      <c r="I184" s="28">
        <f>ROUND(VLOOKUP($E184,装备属性计算表!$D$4:$O$9,装备属性计算表!H$2,FALSE)/装备属性计算表!H$10*VLOOKUP($F184&amp;$D184,$F$4:$S$29,I$34,FALSE),0)</f>
        <v>0</v>
      </c>
      <c r="J184" s="28">
        <f>ROUND(VLOOKUP($E184,装备属性计算表!$D$4:$O$9,装备属性计算表!I$2,FALSE)/装备属性计算表!I$10*VLOOKUP($F184&amp;$D184,$F$4:$S$29,J$34,FALSE),0)</f>
        <v>0</v>
      </c>
      <c r="K184" s="28">
        <f>ROUND(VLOOKUP($E184,装备属性计算表!$D$4:$O$9,装备属性计算表!J$2,FALSE)/装备属性计算表!J$10*VLOOKUP($F184&amp;$D184,$F$4:$S$29,K$34,FALSE),0)</f>
        <v>0</v>
      </c>
      <c r="L184" s="28">
        <f>ROUND(VLOOKUP($E184,装备属性计算表!$D$4:$O$9,装备属性计算表!K$2,FALSE)/装备属性计算表!K$10*VLOOKUP($F184&amp;$D184,$F$4:$S$29,L$34,FALSE),0)</f>
        <v>0</v>
      </c>
      <c r="M184" s="28">
        <f>ROUND(VLOOKUP($E184,装备属性计算表!$D$4:$O$9,装备属性计算表!L$2,FALSE)/装备属性计算表!L$10*VLOOKUP($F184&amp;$D184,$F$4:$S$29,M$34,FALSE),0)</f>
        <v>0</v>
      </c>
      <c r="N184" s="28">
        <f>ROUND(VLOOKUP($E184,装备属性计算表!$D$4:$O$9,装备属性计算表!M$2,FALSE)/装备属性计算表!M$10*VLOOKUP($F184&amp;$D184,$F$4:$S$29,N$34,FALSE),0)</f>
        <v>79</v>
      </c>
      <c r="O184" s="28">
        <f>ROUND(VLOOKUP($E184,装备属性计算表!$D$4:$O$9,装备属性计算表!N$2,FALSE)/装备属性计算表!N$10*VLOOKUP($F184&amp;$D184,$F$4:$S$29,O$34,FALSE),0)</f>
        <v>0</v>
      </c>
      <c r="P184" s="28">
        <f>ROUND(VLOOKUP($E184,装备属性计算表!$D$4:$O$9,装备属性计算表!O$2,FALSE)/装备属性计算表!O$10*VLOOKUP($F184&amp;$D184,$F$4:$S$29,P$34,FALSE),0)</f>
        <v>0</v>
      </c>
      <c r="Q184" s="28">
        <f>SUMPRODUCT(G184:P184,定义数据!$G$14:$P$14)</f>
        <v>40.86</v>
      </c>
      <c r="R184" s="28">
        <f t="shared" si="80"/>
        <v>2043</v>
      </c>
      <c r="S184" s="91">
        <f t="shared" si="81"/>
        <v>2043</v>
      </c>
      <c r="T184" s="28">
        <f t="shared" si="77"/>
        <v>6619320</v>
      </c>
      <c r="U184" s="89">
        <f>VLOOKUP(F184,D_装备金币参考表!$A$2:$C$81,3,FALSE)*Q184-VLOOKUP(F160,D_装备金币参考表!$A$2:$C$81,3,FALSE)*Q184+U160</f>
        <v>3408216.34</v>
      </c>
      <c r="W184">
        <f t="shared" si="79"/>
        <v>0</v>
      </c>
      <c r="X184">
        <f t="shared" si="79"/>
        <v>2</v>
      </c>
      <c r="Y184">
        <f t="shared" si="68"/>
        <v>80</v>
      </c>
      <c r="Z184" s="25">
        <f t="shared" si="69"/>
        <v>0</v>
      </c>
      <c r="AA184" s="25">
        <f t="shared" si="70"/>
        <v>7</v>
      </c>
      <c r="AB184" s="25">
        <f t="shared" si="71"/>
        <v>1323</v>
      </c>
      <c r="AC184" s="25">
        <f t="shared" si="82"/>
        <v>2680</v>
      </c>
    </row>
    <row r="185" spans="1:29" x14ac:dyDescent="0.15">
      <c r="A185" s="28" t="str">
        <f>F185&amp;D185&amp;VLOOKUP(E185,定义数据!$E$1:$F$7,2,FALSE)</f>
        <v>8033</v>
      </c>
      <c r="B185" s="28" t="str">
        <f t="shared" si="66"/>
        <v>8033</v>
      </c>
      <c r="C185" s="28">
        <f>装备属性计算表!AK181</f>
        <v>26</v>
      </c>
      <c r="D185" s="28">
        <f>装备属性计算表!B181</f>
        <v>3</v>
      </c>
      <c r="E185" s="28" t="str">
        <f>装备属性计算表!C181</f>
        <v>项链</v>
      </c>
      <c r="F185" s="28">
        <f>装备属性计算表!D181</f>
        <v>80</v>
      </c>
      <c r="G185" s="28">
        <f>ROUND(VLOOKUP($E185,装备属性计算表!$D$4:$O$9,装备属性计算表!F$2,FALSE)/装备属性计算表!F$10*VLOOKUP($F185&amp;$D185,$F$4:$S$29,G$34,FALSE),0)</f>
        <v>0</v>
      </c>
      <c r="H185" s="28">
        <f>ROUND(VLOOKUP($E185,装备属性计算表!$D$4:$O$9,装备属性计算表!G$2,FALSE)/装备属性计算表!G$10*VLOOKUP($F185&amp;$D185,$F$4:$S$29,H$34,FALSE),0)</f>
        <v>42</v>
      </c>
      <c r="I185" s="28">
        <f>ROUND(VLOOKUP($E185,装备属性计算表!$D$4:$O$9,装备属性计算表!H$2,FALSE)/装备属性计算表!H$10*VLOOKUP($F185&amp;$D185,$F$4:$S$29,I$34,FALSE),0)</f>
        <v>0</v>
      </c>
      <c r="J185" s="28">
        <f>ROUND(VLOOKUP($E185,装备属性计算表!$D$4:$O$9,装备属性计算表!I$2,FALSE)/装备属性计算表!I$10*VLOOKUP($F185&amp;$D185,$F$4:$S$29,J$34,FALSE),0)</f>
        <v>0</v>
      </c>
      <c r="K185" s="28">
        <f>ROUND(VLOOKUP($E185,装备属性计算表!$D$4:$O$9,装备属性计算表!J$2,FALSE)/装备属性计算表!J$10*VLOOKUP($F185&amp;$D185,$F$4:$S$29,K$34,FALSE),0)</f>
        <v>133</v>
      </c>
      <c r="L185" s="28">
        <f>ROUND(VLOOKUP($E185,装备属性计算表!$D$4:$O$9,装备属性计算表!K$2,FALSE)/装备属性计算表!K$10*VLOOKUP($F185&amp;$D185,$F$4:$S$29,L$34,FALSE),0)</f>
        <v>0</v>
      </c>
      <c r="M185" s="28">
        <f>ROUND(VLOOKUP($E185,装备属性计算表!$D$4:$O$9,装备属性计算表!L$2,FALSE)/装备属性计算表!L$10*VLOOKUP($F185&amp;$D185,$F$4:$S$29,M$34,FALSE),0)</f>
        <v>0</v>
      </c>
      <c r="N185" s="28">
        <f>ROUND(VLOOKUP($E185,装备属性计算表!$D$4:$O$9,装备属性计算表!M$2,FALSE)/装备属性计算表!M$10*VLOOKUP($F185&amp;$D185,$F$4:$S$29,N$34,FALSE),0)</f>
        <v>0</v>
      </c>
      <c r="O185" s="28">
        <f>ROUND(VLOOKUP($E185,装备属性计算表!$D$4:$O$9,装备属性计算表!N$2,FALSE)/装备属性计算表!N$10*VLOOKUP($F185&amp;$D185,$F$4:$S$29,O$34,FALSE),0)</f>
        <v>0</v>
      </c>
      <c r="P185" s="28">
        <f>ROUND(VLOOKUP($E185,装备属性计算表!$D$4:$O$9,装备属性计算表!O$2,FALSE)/装备属性计算表!O$10*VLOOKUP($F185&amp;$D185,$F$4:$S$29,P$34,FALSE),0)</f>
        <v>0</v>
      </c>
      <c r="Q185" s="28">
        <f>SUMPRODUCT(G185:P185,定义数据!$G$14:$P$14)</f>
        <v>87.22</v>
      </c>
      <c r="R185" s="28">
        <f t="shared" si="80"/>
        <v>4361</v>
      </c>
      <c r="S185" s="91">
        <f t="shared" si="81"/>
        <v>4361</v>
      </c>
      <c r="T185" s="28">
        <f t="shared" si="77"/>
        <v>14129640</v>
      </c>
      <c r="U185" s="89">
        <f>VLOOKUP(F185,D_装备金币参考表!$A$2:$C$81,3,FALSE)*Q185-VLOOKUP(F161,D_装备金币参考表!$A$2:$C$81,3,FALSE)*Q185+U161</f>
        <v>7286648.5599999996</v>
      </c>
      <c r="V185" s="25">
        <f>SUM(U180:U185)</f>
        <v>41264367.760000005</v>
      </c>
      <c r="W185">
        <f t="shared" si="79"/>
        <v>0</v>
      </c>
      <c r="X185">
        <f t="shared" si="79"/>
        <v>1</v>
      </c>
      <c r="Y185">
        <f t="shared" si="68"/>
        <v>80</v>
      </c>
      <c r="Z185" s="25">
        <f t="shared" si="69"/>
        <v>0</v>
      </c>
      <c r="AA185" s="25">
        <f t="shared" si="70"/>
        <v>5</v>
      </c>
      <c r="AB185" s="25">
        <f t="shared" si="71"/>
        <v>2826</v>
      </c>
      <c r="AC185" s="25">
        <f t="shared" si="82"/>
        <v>5360</v>
      </c>
    </row>
    <row r="186" spans="1:29" x14ac:dyDescent="0.15">
      <c r="A186" s="28" t="str">
        <f>F186&amp;D186&amp;VLOOKUP(E186,定义数据!$E$1:$F$7,2,FALSE)</f>
        <v>8040</v>
      </c>
      <c r="B186" s="28" t="str">
        <f t="shared" si="66"/>
        <v>8040</v>
      </c>
      <c r="C186" s="28">
        <f>装备属性计算表!AK182</f>
        <v>27</v>
      </c>
      <c r="D186" s="28">
        <f>装备属性计算表!B182</f>
        <v>4</v>
      </c>
      <c r="E186" s="28" t="str">
        <f>装备属性计算表!C182</f>
        <v>武器</v>
      </c>
      <c r="F186" s="28">
        <f>装备属性计算表!D182</f>
        <v>80</v>
      </c>
      <c r="G186" s="28">
        <f>ROUND(VLOOKUP($E186,装备属性计算表!$D$4:$O$9,装备属性计算表!F$2,FALSE)/装备属性计算表!F$10*VLOOKUP($F186&amp;$D186,$F$4:$S$29,G$34,FALSE),0)</f>
        <v>0</v>
      </c>
      <c r="H186" s="28">
        <f>ROUND(VLOOKUP($E186,装备属性计算表!$D$4:$O$9,装备属性计算表!G$2,FALSE)/装备属性计算表!G$10*VLOOKUP($F186&amp;$D186,$F$4:$S$29,H$34,FALSE),0)</f>
        <v>149</v>
      </c>
      <c r="I186" s="28">
        <f>ROUND(VLOOKUP($E186,装备属性计算表!$D$4:$O$9,装备属性计算表!H$2,FALSE)/装备属性计算表!H$10*VLOOKUP($F186&amp;$D186,$F$4:$S$29,I$34,FALSE),0)</f>
        <v>0</v>
      </c>
      <c r="J186" s="28">
        <f>ROUND(VLOOKUP($E186,装备属性计算表!$D$4:$O$9,装备属性计算表!I$2,FALSE)/装备属性计算表!I$10*VLOOKUP($F186&amp;$D186,$F$4:$S$29,J$34,FALSE),0)</f>
        <v>0</v>
      </c>
      <c r="K186" s="28">
        <f>ROUND(VLOOKUP($E186,装备属性计算表!$D$4:$O$9,装备属性计算表!J$2,FALSE)/装备属性计算表!J$10*VLOOKUP($F186&amp;$D186,$F$4:$S$29,K$34,FALSE),0)</f>
        <v>0</v>
      </c>
      <c r="L186" s="28">
        <f>ROUND(VLOOKUP($E186,装备属性计算表!$D$4:$O$9,装备属性计算表!K$2,FALSE)/装备属性计算表!K$10*VLOOKUP($F186&amp;$D186,$F$4:$S$29,L$34,FALSE),0)</f>
        <v>93</v>
      </c>
      <c r="M186" s="28">
        <f>ROUND(VLOOKUP($E186,装备属性计算表!$D$4:$O$9,装备属性计算表!L$2,FALSE)/装备属性计算表!L$10*VLOOKUP($F186&amp;$D186,$F$4:$S$29,M$34,FALSE),0)</f>
        <v>0</v>
      </c>
      <c r="N186" s="28">
        <f>ROUND(VLOOKUP($E186,装备属性计算表!$D$4:$O$9,装备属性计算表!M$2,FALSE)/装备属性计算表!M$10*VLOOKUP($F186&amp;$D186,$F$4:$S$29,N$34,FALSE),0)</f>
        <v>0</v>
      </c>
      <c r="O186" s="28">
        <f>ROUND(VLOOKUP($E186,装备属性计算表!$D$4:$O$9,装备属性计算表!N$2,FALSE)/装备属性计算表!N$10*VLOOKUP($F186&amp;$D186,$F$4:$S$29,O$34,FALSE),0)</f>
        <v>0</v>
      </c>
      <c r="P186" s="28">
        <f>ROUND(VLOOKUP($E186,装备属性计算表!$D$4:$O$9,装备属性计算表!O$2,FALSE)/装备属性计算表!O$10*VLOOKUP($F186&amp;$D186,$F$4:$S$29,P$34,FALSE),0)</f>
        <v>0</v>
      </c>
      <c r="Q186" s="28">
        <f>SUMPRODUCT(G186:P186,定义数据!$G$14:$P$14)</f>
        <v>165.74</v>
      </c>
      <c r="R186" s="28">
        <f t="shared" si="80"/>
        <v>8287</v>
      </c>
      <c r="S186" s="91">
        <f t="shared" si="81"/>
        <v>8287</v>
      </c>
      <c r="T186" s="28">
        <f t="shared" si="77"/>
        <v>26849880</v>
      </c>
      <c r="U186" s="89">
        <f>VLOOKUP(F186,D_装备金币参考表!$A$2:$C$81,3,FALSE)*Q186-VLOOKUP(F162,D_装备金币参考表!$A$2:$C$81,3,FALSE)*Q186+U162</f>
        <v>13853932.400000002</v>
      </c>
      <c r="W186">
        <f t="shared" si="79"/>
        <v>0</v>
      </c>
      <c r="X186">
        <f t="shared" si="79"/>
        <v>0</v>
      </c>
      <c r="Y186">
        <f t="shared" si="68"/>
        <v>80</v>
      </c>
      <c r="Z186" s="25">
        <f t="shared" si="69"/>
        <v>0</v>
      </c>
      <c r="AA186" s="25">
        <f t="shared" si="70"/>
        <v>0</v>
      </c>
      <c r="AB186" s="25">
        <f t="shared" si="71"/>
        <v>5370</v>
      </c>
      <c r="AC186" s="25">
        <f t="shared" si="82"/>
        <v>120</v>
      </c>
    </row>
    <row r="187" spans="1:29" x14ac:dyDescent="0.15">
      <c r="A187" s="28" t="str">
        <f>F187&amp;D187&amp;VLOOKUP(E187,定义数据!$E$1:$F$7,2,FALSE)</f>
        <v>8041</v>
      </c>
      <c r="B187" s="28" t="str">
        <f t="shared" si="66"/>
        <v>8041</v>
      </c>
      <c r="C187" s="28">
        <f>装备属性计算表!AK183</f>
        <v>27</v>
      </c>
      <c r="D187" s="28">
        <f>装备属性计算表!B183</f>
        <v>4</v>
      </c>
      <c r="E187" s="28" t="str">
        <f>装备属性计算表!C183</f>
        <v>衣服</v>
      </c>
      <c r="F187" s="28">
        <f>装备属性计算表!D183</f>
        <v>80</v>
      </c>
      <c r="G187" s="28">
        <f>ROUND(VLOOKUP($E187,装备属性计算表!$D$4:$O$9,装备属性计算表!F$2,FALSE)/装备属性计算表!F$10*VLOOKUP($F187&amp;$D187,$F$4:$S$29,G$34,FALSE),0)</f>
        <v>2352</v>
      </c>
      <c r="H187" s="28">
        <f>ROUND(VLOOKUP($E187,装备属性计算表!$D$4:$O$9,装备属性计算表!G$2,FALSE)/装备属性计算表!G$10*VLOOKUP($F187&amp;$D187,$F$4:$S$29,H$34,FALSE),0)</f>
        <v>0</v>
      </c>
      <c r="I187" s="28">
        <f>ROUND(VLOOKUP($E187,装备属性计算表!$D$4:$O$9,装备属性计算表!H$2,FALSE)/装备属性计算表!H$10*VLOOKUP($F187&amp;$D187,$F$4:$S$29,I$34,FALSE),0)</f>
        <v>52</v>
      </c>
      <c r="J187" s="28">
        <f>ROUND(VLOOKUP($E187,装备属性计算表!$D$4:$O$9,装备属性计算表!I$2,FALSE)/装备属性计算表!I$10*VLOOKUP($F187&amp;$D187,$F$4:$S$29,J$34,FALSE),0)</f>
        <v>0</v>
      </c>
      <c r="K187" s="28">
        <f>ROUND(VLOOKUP($E187,装备属性计算表!$D$4:$O$9,装备属性计算表!J$2,FALSE)/装备属性计算表!J$10*VLOOKUP($F187&amp;$D187,$F$4:$S$29,K$34,FALSE),0)</f>
        <v>0</v>
      </c>
      <c r="L187" s="28">
        <f>ROUND(VLOOKUP($E187,装备属性计算表!$D$4:$O$9,装备属性计算表!K$2,FALSE)/装备属性计算表!K$10*VLOOKUP($F187&amp;$D187,$F$4:$S$29,L$34,FALSE),0)</f>
        <v>0</v>
      </c>
      <c r="M187" s="28">
        <f>ROUND(VLOOKUP($E187,装备属性计算表!$D$4:$O$9,装备属性计算表!L$2,FALSE)/装备属性计算表!L$10*VLOOKUP($F187&amp;$D187,$F$4:$S$29,M$34,FALSE),0)</f>
        <v>0</v>
      </c>
      <c r="N187" s="28">
        <f>ROUND(VLOOKUP($E187,装备属性计算表!$D$4:$O$9,装备属性计算表!M$2,FALSE)/装备属性计算表!M$10*VLOOKUP($F187&amp;$D187,$F$4:$S$29,N$34,FALSE),0)</f>
        <v>0</v>
      </c>
      <c r="O187" s="28">
        <f>ROUND(VLOOKUP($E187,装备属性计算表!$D$4:$O$9,装备属性计算表!N$2,FALSE)/装备属性计算表!N$10*VLOOKUP($F187&amp;$D187,$F$4:$S$29,O$34,FALSE),0)</f>
        <v>0</v>
      </c>
      <c r="P187" s="28">
        <f>ROUND(VLOOKUP($E187,装备属性计算表!$D$4:$O$9,装备属性计算表!O$2,FALSE)/装备属性计算表!O$10*VLOOKUP($F187&amp;$D187,$F$4:$S$29,P$34,FALSE),0)</f>
        <v>0</v>
      </c>
      <c r="Q187" s="28">
        <f>SUMPRODUCT(G187:P187,定义数据!$G$14:$P$14)</f>
        <v>146.07999999999998</v>
      </c>
      <c r="R187" s="28">
        <f t="shared" si="80"/>
        <v>7304</v>
      </c>
      <c r="S187" s="91">
        <f t="shared" si="81"/>
        <v>7304</v>
      </c>
      <c r="T187" s="28">
        <f t="shared" si="77"/>
        <v>23664960</v>
      </c>
      <c r="U187" s="89">
        <f>VLOOKUP(F187,D_装备金币参考表!$A$2:$C$81,3,FALSE)*Q187-VLOOKUP(F163,D_装备金币参考表!$A$2:$C$81,3,FALSE)*Q187+U163</f>
        <v>12175085.879999999</v>
      </c>
      <c r="W187">
        <f t="shared" si="79"/>
        <v>0</v>
      </c>
      <c r="X187">
        <f t="shared" si="79"/>
        <v>0</v>
      </c>
      <c r="Y187">
        <f t="shared" si="68"/>
        <v>80</v>
      </c>
      <c r="Z187" s="25">
        <f t="shared" si="69"/>
        <v>0</v>
      </c>
      <c r="AA187" s="25">
        <f t="shared" si="70"/>
        <v>0</v>
      </c>
      <c r="AB187" s="25">
        <f t="shared" si="71"/>
        <v>4733</v>
      </c>
      <c r="AC187" s="25">
        <f t="shared" si="82"/>
        <v>40</v>
      </c>
    </row>
    <row r="188" spans="1:29" x14ac:dyDescent="0.15">
      <c r="A188" s="28" t="str">
        <f>F188&amp;D188&amp;VLOOKUP(E188,定义数据!$E$1:$F$7,2,FALSE)</f>
        <v>8042</v>
      </c>
      <c r="B188" s="28" t="str">
        <f t="shared" si="66"/>
        <v>8042</v>
      </c>
      <c r="C188" s="28">
        <f>装备属性计算表!AK184</f>
        <v>27</v>
      </c>
      <c r="D188" s="28">
        <f>装备属性计算表!B184</f>
        <v>4</v>
      </c>
      <c r="E188" s="28" t="str">
        <f>装备属性计算表!C184</f>
        <v>裤子</v>
      </c>
      <c r="F188" s="28">
        <f>装备属性计算表!D184</f>
        <v>80</v>
      </c>
      <c r="G188" s="28">
        <f>ROUND(VLOOKUP($E188,装备属性计算表!$D$4:$O$9,装备属性计算表!F$2,FALSE)/装备属性计算表!F$10*VLOOKUP($F188&amp;$D188,$F$4:$S$29,G$34,FALSE),0)</f>
        <v>0</v>
      </c>
      <c r="H188" s="28">
        <f>ROUND(VLOOKUP($E188,装备属性计算表!$D$4:$O$9,装备属性计算表!G$2,FALSE)/装备属性计算表!G$10*VLOOKUP($F188&amp;$D188,$F$4:$S$29,H$34,FALSE),0)</f>
        <v>0</v>
      </c>
      <c r="I188" s="28">
        <f>ROUND(VLOOKUP($E188,装备属性计算表!$D$4:$O$9,装备属性计算表!H$2,FALSE)/装备属性计算表!H$10*VLOOKUP($F188&amp;$D188,$F$4:$S$29,I$34,FALSE),0)</f>
        <v>34</v>
      </c>
      <c r="J188" s="28">
        <f>ROUND(VLOOKUP($E188,装备属性计算表!$D$4:$O$9,装备属性计算表!I$2,FALSE)/装备属性计算表!I$10*VLOOKUP($F188&amp;$D188,$F$4:$S$29,J$34,FALSE),0)</f>
        <v>52</v>
      </c>
      <c r="K188" s="28">
        <f>ROUND(VLOOKUP($E188,装备属性计算表!$D$4:$O$9,装备属性计算表!J$2,FALSE)/装备属性计算表!J$10*VLOOKUP($F188&amp;$D188,$F$4:$S$29,K$34,FALSE),0)</f>
        <v>0</v>
      </c>
      <c r="L188" s="28">
        <f>ROUND(VLOOKUP($E188,装备属性计算表!$D$4:$O$9,装备属性计算表!K$2,FALSE)/装备属性计算表!K$10*VLOOKUP($F188&amp;$D188,$F$4:$S$29,L$34,FALSE),0)</f>
        <v>0</v>
      </c>
      <c r="M188" s="28">
        <f>ROUND(VLOOKUP($E188,装备属性计算表!$D$4:$O$9,装备属性计算表!L$2,FALSE)/装备属性计算表!L$10*VLOOKUP($F188&amp;$D188,$F$4:$S$29,M$34,FALSE),0)</f>
        <v>0</v>
      </c>
      <c r="N188" s="28">
        <f>ROUND(VLOOKUP($E188,装备属性计算表!$D$4:$O$9,装备属性计算表!M$2,FALSE)/装备属性计算表!M$10*VLOOKUP($F188&amp;$D188,$F$4:$S$29,N$34,FALSE),0)</f>
        <v>0</v>
      </c>
      <c r="O188" s="28">
        <f>ROUND(VLOOKUP($E188,装备属性计算表!$D$4:$O$9,装备属性计算表!N$2,FALSE)/装备属性计算表!N$10*VLOOKUP($F188&amp;$D188,$F$4:$S$29,O$34,FALSE),0)</f>
        <v>0</v>
      </c>
      <c r="P188" s="28">
        <f>ROUND(VLOOKUP($E188,装备属性计算表!$D$4:$O$9,装备属性计算表!O$2,FALSE)/装备属性计算表!O$10*VLOOKUP($F188&amp;$D188,$F$4:$S$29,P$34,FALSE),0)</f>
        <v>0</v>
      </c>
      <c r="Q188" s="28">
        <f>SUMPRODUCT(G188:P188,定义数据!$G$14:$P$14)</f>
        <v>51.68</v>
      </c>
      <c r="R188" s="28">
        <f t="shared" si="80"/>
        <v>2584</v>
      </c>
      <c r="S188" s="91">
        <f t="shared" si="81"/>
        <v>2584</v>
      </c>
      <c r="T188" s="28">
        <f t="shared" si="77"/>
        <v>8372160</v>
      </c>
      <c r="U188" s="89">
        <f>VLOOKUP(F188,D_装备金币参考表!$A$2:$C$81,3,FALSE)*Q188-VLOOKUP(F164,D_装备金币参考表!$A$2:$C$81,3,FALSE)*Q188+U164</f>
        <v>4362223.3800000008</v>
      </c>
      <c r="W188">
        <f t="shared" si="79"/>
        <v>0</v>
      </c>
      <c r="X188">
        <f t="shared" si="79"/>
        <v>1</v>
      </c>
      <c r="Y188">
        <f t="shared" si="68"/>
        <v>80</v>
      </c>
      <c r="Z188" s="25">
        <f t="shared" si="69"/>
        <v>0</v>
      </c>
      <c r="AA188" s="25">
        <f t="shared" si="70"/>
        <v>3</v>
      </c>
      <c r="AB188" s="25">
        <f t="shared" si="71"/>
        <v>1674</v>
      </c>
      <c r="AC188" s="25">
        <f t="shared" si="82"/>
        <v>840</v>
      </c>
    </row>
    <row r="189" spans="1:29" x14ac:dyDescent="0.15">
      <c r="A189" s="28" t="str">
        <f>F189&amp;D189&amp;VLOOKUP(E189,定义数据!$E$1:$F$7,2,FALSE)</f>
        <v>8045</v>
      </c>
      <c r="B189" s="28" t="str">
        <f t="shared" si="66"/>
        <v>8045</v>
      </c>
      <c r="C189" s="28">
        <f>装备属性计算表!AK185</f>
        <v>27</v>
      </c>
      <c r="D189" s="28">
        <f>装备属性计算表!B185</f>
        <v>4</v>
      </c>
      <c r="E189" s="28" t="str">
        <f>装备属性计算表!C185</f>
        <v>鞋子</v>
      </c>
      <c r="F189" s="28">
        <f>装备属性计算表!D185</f>
        <v>80</v>
      </c>
      <c r="G189" s="28">
        <f>ROUND(VLOOKUP($E189,装备属性计算表!$D$4:$O$9,装备属性计算表!F$2,FALSE)/装备属性计算表!F$10*VLOOKUP($F189&amp;$D189,$F$4:$S$29,G$34,FALSE),0)</f>
        <v>784</v>
      </c>
      <c r="H189" s="28">
        <f>ROUND(VLOOKUP($E189,装备属性计算表!$D$4:$O$9,装备属性计算表!G$2,FALSE)/装备属性计算表!G$10*VLOOKUP($F189&amp;$D189,$F$4:$S$29,H$34,FALSE),0)</f>
        <v>0</v>
      </c>
      <c r="I189" s="28">
        <f>ROUND(VLOOKUP($E189,装备属性计算表!$D$4:$O$9,装备属性计算表!H$2,FALSE)/装备属性计算表!H$10*VLOOKUP($F189&amp;$D189,$F$4:$S$29,I$34,FALSE),0)</f>
        <v>0</v>
      </c>
      <c r="J189" s="28">
        <f>ROUND(VLOOKUP($E189,装备属性计算表!$D$4:$O$9,装备属性计算表!I$2,FALSE)/装备属性计算表!I$10*VLOOKUP($F189&amp;$D189,$F$4:$S$29,J$34,FALSE),0)</f>
        <v>104</v>
      </c>
      <c r="K189" s="28">
        <f>ROUND(VLOOKUP($E189,装备属性计算表!$D$4:$O$9,装备属性计算表!J$2,FALSE)/装备属性计算表!J$10*VLOOKUP($F189&amp;$D189,$F$4:$S$29,K$34,FALSE),0)</f>
        <v>0</v>
      </c>
      <c r="L189" s="28">
        <f>ROUND(VLOOKUP($E189,装备属性计算表!$D$4:$O$9,装备属性计算表!K$2,FALSE)/装备属性计算表!K$10*VLOOKUP($F189&amp;$D189,$F$4:$S$29,L$34,FALSE),0)</f>
        <v>0</v>
      </c>
      <c r="M189" s="28">
        <f>ROUND(VLOOKUP($E189,装备属性计算表!$D$4:$O$9,装备属性计算表!L$2,FALSE)/装备属性计算表!L$10*VLOOKUP($F189&amp;$D189,$F$4:$S$29,M$34,FALSE),0)</f>
        <v>0</v>
      </c>
      <c r="N189" s="28">
        <f>ROUND(VLOOKUP($E189,装备属性计算表!$D$4:$O$9,装备属性计算表!M$2,FALSE)/装备属性计算表!M$10*VLOOKUP($F189&amp;$D189,$F$4:$S$29,N$34,FALSE),0)</f>
        <v>0</v>
      </c>
      <c r="O189" s="28">
        <f>ROUND(VLOOKUP($E189,装备属性计算表!$D$4:$O$9,装备属性计算表!N$2,FALSE)/装备属性计算表!N$10*VLOOKUP($F189&amp;$D189,$F$4:$S$29,O$34,FALSE),0)</f>
        <v>0</v>
      </c>
      <c r="P189" s="28">
        <f>ROUND(VLOOKUP($E189,装备属性计算表!$D$4:$O$9,装备属性计算表!O$2,FALSE)/装备属性计算表!O$10*VLOOKUP($F189&amp;$D189,$F$4:$S$29,P$34,FALSE),0)</f>
        <v>0</v>
      </c>
      <c r="Q189" s="28">
        <f>SUMPRODUCT(G189:P189,定义数据!$G$14:$P$14)</f>
        <v>66.72</v>
      </c>
      <c r="R189" s="28">
        <f t="shared" si="80"/>
        <v>3336</v>
      </c>
      <c r="S189" s="91">
        <f t="shared" si="81"/>
        <v>3336</v>
      </c>
      <c r="T189" s="28">
        <f t="shared" si="77"/>
        <v>10808640</v>
      </c>
      <c r="U189" s="89">
        <f>VLOOKUP(F189,D_装备金币参考表!$A$2:$C$81,3,FALSE)*Q189-VLOOKUP(F165,D_装备金币参考表!$A$2:$C$81,3,FALSE)*Q189+U165</f>
        <v>5575811.7000000002</v>
      </c>
      <c r="W189">
        <f t="shared" si="79"/>
        <v>0</v>
      </c>
      <c r="X189">
        <f t="shared" si="79"/>
        <v>1</v>
      </c>
      <c r="Y189">
        <f t="shared" si="68"/>
        <v>80</v>
      </c>
      <c r="Z189" s="25">
        <f t="shared" si="69"/>
        <v>0</v>
      </c>
      <c r="AA189" s="25">
        <f t="shared" si="70"/>
        <v>4</v>
      </c>
      <c r="AB189" s="25">
        <f t="shared" si="71"/>
        <v>2162</v>
      </c>
      <c r="AC189" s="25">
        <f t="shared" si="82"/>
        <v>5360</v>
      </c>
    </row>
    <row r="190" spans="1:29" x14ac:dyDescent="0.15">
      <c r="A190" s="28" t="str">
        <f>F190&amp;D190&amp;VLOOKUP(E190,定义数据!$E$1:$F$7,2,FALSE)</f>
        <v>8044</v>
      </c>
      <c r="B190" s="28" t="str">
        <f t="shared" si="66"/>
        <v>8044</v>
      </c>
      <c r="C190" s="28">
        <f>装备属性计算表!AK186</f>
        <v>27</v>
      </c>
      <c r="D190" s="28">
        <f>装备属性计算表!B186</f>
        <v>4</v>
      </c>
      <c r="E190" s="28" t="str">
        <f>装备属性计算表!C186</f>
        <v>腰带</v>
      </c>
      <c r="F190" s="28">
        <f>装备属性计算表!D186</f>
        <v>80</v>
      </c>
      <c r="G190" s="28">
        <f>ROUND(VLOOKUP($E190,装备属性计算表!$D$4:$O$9,装备属性计算表!F$2,FALSE)/装备属性计算表!F$10*VLOOKUP($F190&amp;$D190,$F$4:$S$29,G$34,FALSE),0)</f>
        <v>784</v>
      </c>
      <c r="H190" s="28">
        <f>ROUND(VLOOKUP($E190,装备属性计算表!$D$4:$O$9,装备属性计算表!G$2,FALSE)/装备属性计算表!G$10*VLOOKUP($F190&amp;$D190,$F$4:$S$29,H$34,FALSE),0)</f>
        <v>0</v>
      </c>
      <c r="I190" s="28">
        <f>ROUND(VLOOKUP($E190,装备属性计算表!$D$4:$O$9,装备属性计算表!H$2,FALSE)/装备属性计算表!H$10*VLOOKUP($F190&amp;$D190,$F$4:$S$29,I$34,FALSE),0)</f>
        <v>0</v>
      </c>
      <c r="J190" s="28">
        <f>ROUND(VLOOKUP($E190,装备属性计算表!$D$4:$O$9,装备属性计算表!I$2,FALSE)/装备属性计算表!I$10*VLOOKUP($F190&amp;$D190,$F$4:$S$29,J$34,FALSE),0)</f>
        <v>0</v>
      </c>
      <c r="K190" s="28">
        <f>ROUND(VLOOKUP($E190,装备属性计算表!$D$4:$O$9,装备属性计算表!J$2,FALSE)/装备属性计算表!J$10*VLOOKUP($F190&amp;$D190,$F$4:$S$29,K$34,FALSE),0)</f>
        <v>0</v>
      </c>
      <c r="L190" s="28">
        <f>ROUND(VLOOKUP($E190,装备属性计算表!$D$4:$O$9,装备属性计算表!K$2,FALSE)/装备属性计算表!K$10*VLOOKUP($F190&amp;$D190,$F$4:$S$29,L$34,FALSE),0)</f>
        <v>0</v>
      </c>
      <c r="M190" s="28">
        <f>ROUND(VLOOKUP($E190,装备属性计算表!$D$4:$O$9,装备属性计算表!L$2,FALSE)/装备属性计算表!L$10*VLOOKUP($F190&amp;$D190,$F$4:$S$29,M$34,FALSE),0)</f>
        <v>0</v>
      </c>
      <c r="N190" s="28">
        <f>ROUND(VLOOKUP($E190,装备属性计算表!$D$4:$O$9,装备属性计算表!M$2,FALSE)/装备属性计算表!M$10*VLOOKUP($F190&amp;$D190,$F$4:$S$29,N$34,FALSE),0)</f>
        <v>93</v>
      </c>
      <c r="O190" s="28">
        <f>ROUND(VLOOKUP($E190,装备属性计算表!$D$4:$O$9,装备属性计算表!N$2,FALSE)/装备属性计算表!N$10*VLOOKUP($F190&amp;$D190,$F$4:$S$29,O$34,FALSE),0)</f>
        <v>0</v>
      </c>
      <c r="P190" s="28">
        <f>ROUND(VLOOKUP($E190,装备属性计算表!$D$4:$O$9,装备属性计算表!O$2,FALSE)/装备属性计算表!O$10*VLOOKUP($F190&amp;$D190,$F$4:$S$29,P$34,FALSE),0)</f>
        <v>0</v>
      </c>
      <c r="Q190" s="28">
        <f>SUMPRODUCT(G190:P190,定义数据!$G$14:$P$14)</f>
        <v>48.099999999999994</v>
      </c>
      <c r="R190" s="28">
        <f t="shared" si="80"/>
        <v>2405</v>
      </c>
      <c r="S190" s="91">
        <f t="shared" si="81"/>
        <v>2405</v>
      </c>
      <c r="T190" s="28">
        <f t="shared" si="77"/>
        <v>7792200</v>
      </c>
      <c r="U190" s="89">
        <f>VLOOKUP(F190,D_装备金币参考表!$A$2:$C$81,3,FALSE)*Q190-VLOOKUP(F166,D_装备金币参考表!$A$2:$C$81,3,FALSE)*Q190+U166</f>
        <v>4014237.6</v>
      </c>
      <c r="W190">
        <f t="shared" si="79"/>
        <v>0</v>
      </c>
      <c r="X190">
        <f t="shared" si="79"/>
        <v>2</v>
      </c>
      <c r="Y190">
        <f t="shared" si="68"/>
        <v>80</v>
      </c>
      <c r="Z190" s="25">
        <f t="shared" si="69"/>
        <v>0</v>
      </c>
      <c r="AA190" s="25">
        <f t="shared" si="70"/>
        <v>8</v>
      </c>
      <c r="AB190" s="25">
        <f t="shared" si="71"/>
        <v>1557</v>
      </c>
      <c r="AC190" s="25">
        <f t="shared" si="82"/>
        <v>800</v>
      </c>
    </row>
    <row r="191" spans="1:29" x14ac:dyDescent="0.15">
      <c r="A191" s="28" t="str">
        <f>F191&amp;D191&amp;VLOOKUP(E191,定义数据!$E$1:$F$7,2,FALSE)</f>
        <v>8043</v>
      </c>
      <c r="B191" s="28" t="str">
        <f t="shared" si="66"/>
        <v>8043</v>
      </c>
      <c r="C191" s="28">
        <f>装备属性计算表!AK187</f>
        <v>27</v>
      </c>
      <c r="D191" s="28">
        <f>装备属性计算表!B187</f>
        <v>4</v>
      </c>
      <c r="E191" s="28" t="str">
        <f>装备属性计算表!C187</f>
        <v>项链</v>
      </c>
      <c r="F191" s="28">
        <f>装备属性计算表!D187</f>
        <v>80</v>
      </c>
      <c r="G191" s="28">
        <f>ROUND(VLOOKUP($E191,装备属性计算表!$D$4:$O$9,装备属性计算表!F$2,FALSE)/装备属性计算表!F$10*VLOOKUP($F191&amp;$D191,$F$4:$S$29,G$34,FALSE),0)</f>
        <v>0</v>
      </c>
      <c r="H191" s="28">
        <f>ROUND(VLOOKUP($E191,装备属性计算表!$D$4:$O$9,装备属性计算表!G$2,FALSE)/装备属性计算表!G$10*VLOOKUP($F191&amp;$D191,$F$4:$S$29,H$34,FALSE),0)</f>
        <v>50</v>
      </c>
      <c r="I191" s="28">
        <f>ROUND(VLOOKUP($E191,装备属性计算表!$D$4:$O$9,装备属性计算表!H$2,FALSE)/装备属性计算表!H$10*VLOOKUP($F191&amp;$D191,$F$4:$S$29,I$34,FALSE),0)</f>
        <v>0</v>
      </c>
      <c r="J191" s="28">
        <f>ROUND(VLOOKUP($E191,装备属性计算表!$D$4:$O$9,装备属性计算表!I$2,FALSE)/装备属性计算表!I$10*VLOOKUP($F191&amp;$D191,$F$4:$S$29,J$34,FALSE),0)</f>
        <v>0</v>
      </c>
      <c r="K191" s="28">
        <f>ROUND(VLOOKUP($E191,装备属性计算表!$D$4:$O$9,装备属性计算表!J$2,FALSE)/装备属性计算表!J$10*VLOOKUP($F191&amp;$D191,$F$4:$S$29,K$34,FALSE),0)</f>
        <v>156</v>
      </c>
      <c r="L191" s="28">
        <f>ROUND(VLOOKUP($E191,装备属性计算表!$D$4:$O$9,装备属性计算表!K$2,FALSE)/装备属性计算表!K$10*VLOOKUP($F191&amp;$D191,$F$4:$S$29,L$34,FALSE),0)</f>
        <v>0</v>
      </c>
      <c r="M191" s="28">
        <f>ROUND(VLOOKUP($E191,装备属性计算表!$D$4:$O$9,装备属性计算表!L$2,FALSE)/装备属性计算表!L$10*VLOOKUP($F191&amp;$D191,$F$4:$S$29,M$34,FALSE),0)</f>
        <v>0</v>
      </c>
      <c r="N191" s="28">
        <f>ROUND(VLOOKUP($E191,装备属性计算表!$D$4:$O$9,装备属性计算表!M$2,FALSE)/装备属性计算表!M$10*VLOOKUP($F191&amp;$D191,$F$4:$S$29,N$34,FALSE),0)</f>
        <v>0</v>
      </c>
      <c r="O191" s="28">
        <f>ROUND(VLOOKUP($E191,装备属性计算表!$D$4:$O$9,装备属性计算表!N$2,FALSE)/装备属性计算表!N$10*VLOOKUP($F191&amp;$D191,$F$4:$S$29,O$34,FALSE),0)</f>
        <v>0</v>
      </c>
      <c r="P191" s="28">
        <f>ROUND(VLOOKUP($E191,装备属性计算表!$D$4:$O$9,装备属性计算表!O$2,FALSE)/装备属性计算表!O$10*VLOOKUP($F191&amp;$D191,$F$4:$S$29,P$34,FALSE),0)</f>
        <v>0</v>
      </c>
      <c r="Q191" s="28">
        <f>SUMPRODUCT(G191:P191,定义数据!$G$14:$P$14)</f>
        <v>103.04</v>
      </c>
      <c r="R191" s="28">
        <f t="shared" si="80"/>
        <v>5152</v>
      </c>
      <c r="S191" s="91">
        <f t="shared" si="81"/>
        <v>5152</v>
      </c>
      <c r="T191" s="28">
        <f t="shared" si="77"/>
        <v>16692480</v>
      </c>
      <c r="U191" s="89">
        <f>VLOOKUP(F191,D_装备金币参考表!$A$2:$C$81,3,FALSE)*Q191-VLOOKUP(F167,D_装备金币参考表!$A$2:$C$81,3,FALSE)*Q191+U167</f>
        <v>8611474.2799999993</v>
      </c>
      <c r="V191" s="25">
        <f>SUM(U186:U191)</f>
        <v>48592765.24000001</v>
      </c>
      <c r="W191">
        <f t="shared" si="79"/>
        <v>0</v>
      </c>
      <c r="X191">
        <f t="shared" si="79"/>
        <v>0</v>
      </c>
      <c r="Y191">
        <f t="shared" si="68"/>
        <v>80</v>
      </c>
      <c r="Z191" s="25">
        <f t="shared" si="69"/>
        <v>0</v>
      </c>
      <c r="AA191" s="25">
        <f t="shared" si="70"/>
        <v>0</v>
      </c>
      <c r="AB191" s="25">
        <f t="shared" si="71"/>
        <v>3339</v>
      </c>
      <c r="AC191" s="25">
        <f t="shared" si="82"/>
        <v>2520</v>
      </c>
    </row>
    <row r="192" spans="1:29" x14ac:dyDescent="0.15">
      <c r="C192" s="28"/>
    </row>
    <row r="193" spans="3:3" x14ac:dyDescent="0.15">
      <c r="C193" s="28"/>
    </row>
    <row r="194" spans="3:3" x14ac:dyDescent="0.15">
      <c r="C194" s="28"/>
    </row>
  </sheetData>
  <autoFilter ref="A35:AS191"/>
  <mergeCells count="1">
    <mergeCell ref="E3:E20"/>
  </mergeCells>
  <phoneticPr fontId="1" type="noConversion"/>
  <conditionalFormatting sqref="A36:U59 A72:U191">
    <cfRule type="expression" dxfId="189" priority="69">
      <formula>$D36=4</formula>
    </cfRule>
    <cfRule type="expression" dxfId="188" priority="70">
      <formula>$D36=3</formula>
    </cfRule>
    <cfRule type="expression" dxfId="187" priority="71">
      <formula>$D36=2</formula>
    </cfRule>
    <cfRule type="expression" dxfId="186" priority="72">
      <formula>$D36=1</formula>
    </cfRule>
    <cfRule type="expression" dxfId="185" priority="73">
      <formula>$D36=0</formula>
    </cfRule>
  </conditionalFormatting>
  <conditionalFormatting sqref="AE34:AN34">
    <cfRule type="expression" dxfId="184" priority="50">
      <formula>AE$34=5</formula>
    </cfRule>
    <cfRule type="expression" dxfId="183" priority="51">
      <formula>AE$34=4</formula>
    </cfRule>
    <cfRule type="expression" dxfId="182" priority="52">
      <formula>AE$34=3</formula>
    </cfRule>
    <cfRule type="expression" dxfId="181" priority="53">
      <formula>AE$34=2</formula>
    </cfRule>
    <cfRule type="expression" dxfId="180" priority="54">
      <formula>AE$34=1</formula>
    </cfRule>
  </conditionalFormatting>
  <conditionalFormatting sqref="AO34:AQ34">
    <cfRule type="expression" dxfId="179" priority="45">
      <formula>AO$34=5</formula>
    </cfRule>
    <cfRule type="expression" dxfId="178" priority="46">
      <formula>AO$34=4</formula>
    </cfRule>
    <cfRule type="expression" dxfId="177" priority="47">
      <formula>AO$34=3</formula>
    </cfRule>
    <cfRule type="expression" dxfId="176" priority="48">
      <formula>AO$34=2</formula>
    </cfRule>
    <cfRule type="expression" dxfId="175" priority="49">
      <formula>AO$34=1</formula>
    </cfRule>
  </conditionalFormatting>
  <conditionalFormatting sqref="AR34:AS34">
    <cfRule type="expression" dxfId="174" priority="40">
      <formula>AR$34=5</formula>
    </cfRule>
    <cfRule type="expression" dxfId="173" priority="41">
      <formula>AR$34=4</formula>
    </cfRule>
    <cfRule type="expression" dxfId="172" priority="42">
      <formula>AR$34=3</formula>
    </cfRule>
    <cfRule type="expression" dxfId="171" priority="43">
      <formula>AR$34=2</formula>
    </cfRule>
    <cfRule type="expression" dxfId="170" priority="44">
      <formula>AR$34=1</formula>
    </cfRule>
  </conditionalFormatting>
  <conditionalFormatting sqref="G36:P59 G72:P191">
    <cfRule type="cellIs" dxfId="169" priority="63" stopIfTrue="1" operator="greaterThan">
      <formula>0</formula>
    </cfRule>
  </conditionalFormatting>
  <conditionalFormatting sqref="A60:U65">
    <cfRule type="expression" dxfId="168" priority="18">
      <formula>$D60=4</formula>
    </cfRule>
    <cfRule type="expression" dxfId="167" priority="19">
      <formula>$D60=3</formula>
    </cfRule>
    <cfRule type="expression" dxfId="166" priority="20">
      <formula>$D60=2</formula>
    </cfRule>
    <cfRule type="expression" dxfId="165" priority="21">
      <formula>$D60=1</formula>
    </cfRule>
    <cfRule type="expression" dxfId="164" priority="22">
      <formula>$D60=0</formula>
    </cfRule>
  </conditionalFormatting>
  <conditionalFormatting sqref="G60:P65">
    <cfRule type="cellIs" dxfId="163" priority="17" stopIfTrue="1" operator="greaterThan">
      <formula>0</formula>
    </cfRule>
  </conditionalFormatting>
  <conditionalFormatting sqref="H4:H8 H10:H29">
    <cfRule type="cellIs" dxfId="162" priority="95" operator="equal">
      <formula>4</formula>
    </cfRule>
    <cfRule type="cellIs" dxfId="161" priority="96" operator="equal">
      <formula>3</formula>
    </cfRule>
    <cfRule type="cellIs" dxfId="160" priority="97" operator="equal">
      <formula>2</formula>
    </cfRule>
    <cfRule type="cellIs" dxfId="159" priority="98" operator="equal">
      <formula>0</formula>
    </cfRule>
    <cfRule type="cellIs" dxfId="158" priority="99" operator="equal">
      <formula>1</formula>
    </cfRule>
  </conditionalFormatting>
  <conditionalFormatting sqref="A66:U71">
    <cfRule type="expression" dxfId="157" priority="7">
      <formula>$D66=4</formula>
    </cfRule>
    <cfRule type="expression" dxfId="156" priority="8">
      <formula>$D66=3</formula>
    </cfRule>
    <cfRule type="expression" dxfId="155" priority="9">
      <formula>$D66=2</formula>
    </cfRule>
    <cfRule type="expression" dxfId="154" priority="10">
      <formula>$D66=1</formula>
    </cfRule>
    <cfRule type="expression" dxfId="153" priority="11">
      <formula>$D66=0</formula>
    </cfRule>
  </conditionalFormatting>
  <conditionalFormatting sqref="G66:P71">
    <cfRule type="cellIs" dxfId="152" priority="6" stopIfTrue="1" operator="greaterThan">
      <formula>0</formula>
    </cfRule>
  </conditionalFormatting>
  <conditionalFormatting sqref="H9">
    <cfRule type="cellIs" dxfId="151" priority="1" operator="equal">
      <formula>4</formula>
    </cfRule>
    <cfRule type="cellIs" dxfId="150" priority="2" operator="equal">
      <formula>3</formula>
    </cfRule>
    <cfRule type="cellIs" dxfId="149" priority="3" operator="equal">
      <formula>2</formula>
    </cfRule>
    <cfRule type="cellIs" dxfId="148" priority="4" operator="equal">
      <formula>0</formula>
    </cfRule>
    <cfRule type="cellIs" dxfId="147" priority="5" operator="equal">
      <formula>1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AZ196"/>
  <sheetViews>
    <sheetView topLeftCell="U32" workbookViewId="0">
      <selection activeCell="U32" sqref="U32"/>
    </sheetView>
  </sheetViews>
  <sheetFormatPr defaultRowHeight="13.5" x14ac:dyDescent="0.15"/>
  <cols>
    <col min="7" max="7" width="10.5" bestFit="1" customWidth="1"/>
    <col min="8" max="12" width="9" bestFit="1" customWidth="1"/>
    <col min="13" max="13" width="16.125" bestFit="1" customWidth="1"/>
    <col min="14" max="14" width="9" bestFit="1" customWidth="1"/>
    <col min="15" max="15" width="16.125" bestFit="1" customWidth="1"/>
    <col min="16" max="16" width="9" bestFit="1" customWidth="1"/>
    <col min="18" max="18" width="13.875" bestFit="1" customWidth="1"/>
    <col min="19" max="19" width="9.625" customWidth="1"/>
    <col min="20" max="21" width="14" customWidth="1"/>
    <col min="22" max="22" width="16.125" customWidth="1"/>
    <col min="23" max="23" width="13.875" customWidth="1"/>
    <col min="24" max="24" width="16.25" customWidth="1"/>
    <col min="25" max="27" width="11.625" customWidth="1"/>
    <col min="28" max="31" width="8.875" customWidth="1"/>
    <col min="32" max="32" width="12.75" customWidth="1"/>
    <col min="33" max="33" width="18.375" customWidth="1"/>
    <col min="34" max="34" width="12.875" customWidth="1"/>
    <col min="35" max="35" width="16.25" customWidth="1"/>
    <col min="36" max="47" width="8.875" customWidth="1"/>
    <col min="48" max="49" width="13.875" bestFit="1" customWidth="1"/>
    <col min="51" max="51" width="9.5" bestFit="1" customWidth="1"/>
    <col min="52" max="52" width="12.5" customWidth="1"/>
  </cols>
  <sheetData>
    <row r="1" spans="3:27" x14ac:dyDescent="0.1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</row>
    <row r="2" spans="3:27" x14ac:dyDescent="0.15">
      <c r="C2" s="5" t="str">
        <f>[3]装备规划!D111</f>
        <v>搜索值</v>
      </c>
      <c r="D2" s="5" t="str">
        <f>[3]装备规划!E111</f>
        <v>装备等级</v>
      </c>
      <c r="E2" s="5" t="str">
        <f>[3]装备规划!F111</f>
        <v>品质</v>
      </c>
      <c r="F2" s="5" t="str">
        <f>[3]装备规划!G111</f>
        <v>属性</v>
      </c>
      <c r="G2" s="2" t="s">
        <v>2</v>
      </c>
      <c r="H2" s="2" t="s">
        <v>3</v>
      </c>
      <c r="I2" s="3" t="s">
        <v>4</v>
      </c>
      <c r="J2" s="2" t="s">
        <v>167</v>
      </c>
      <c r="K2" s="2" t="s">
        <v>166</v>
      </c>
      <c r="L2" s="2" t="s">
        <v>164</v>
      </c>
      <c r="M2" s="2" t="s">
        <v>92</v>
      </c>
      <c r="N2" s="2" t="s">
        <v>165</v>
      </c>
      <c r="O2" s="5" t="str">
        <f>[3]装备规划!P111</f>
        <v>伤害减免</v>
      </c>
      <c r="P2" s="5" t="str">
        <f>[3]装备规划!Q111</f>
        <v>伤害加深</v>
      </c>
      <c r="R2" t="s">
        <v>142</v>
      </c>
    </row>
    <row r="3" spans="3:27" x14ac:dyDescent="0.15">
      <c r="C3" s="28" t="str">
        <f>[3]装备规划!D112</f>
        <v>50</v>
      </c>
      <c r="D3" s="28">
        <f>[3]装备规划!E112</f>
        <v>5</v>
      </c>
      <c r="E3" s="28">
        <f>[3]装备规划!F112</f>
        <v>0</v>
      </c>
      <c r="F3" s="28">
        <f>[3]装备规划!G112</f>
        <v>0.05</v>
      </c>
      <c r="G3" s="28">
        <f>[3]装备规划!H112</f>
        <v>195.9907990992028</v>
      </c>
      <c r="H3" s="28">
        <f>[3]装备规划!I112</f>
        <v>9.9549433155080251</v>
      </c>
      <c r="I3" s="28">
        <f>[3]装备规划!J112</f>
        <v>4.3017317157712309</v>
      </c>
      <c r="J3" s="28">
        <f>[3]装备规划!K112</f>
        <v>7.8125</v>
      </c>
      <c r="K3" s="28">
        <f>[3]装备规划!L112</f>
        <v>7.8125</v>
      </c>
      <c r="L3" s="28">
        <f>[3]装备规划!M112</f>
        <v>4.6296296296296298</v>
      </c>
      <c r="M3" s="28">
        <f>[3]装备规划!N112</f>
        <v>0</v>
      </c>
      <c r="N3" s="28">
        <f>[3]装备规划!O112</f>
        <v>4.6296296296296298</v>
      </c>
      <c r="O3" s="28">
        <f>[3]装备规划!P112</f>
        <v>0</v>
      </c>
      <c r="P3" s="28">
        <f>[3]装备规划!Q112</f>
        <v>0</v>
      </c>
      <c r="R3">
        <f>VLOOKUP(D3,[3]!躶体属性参考系,5,FALSE)*F3</f>
        <v>12.691320000000001</v>
      </c>
    </row>
    <row r="4" spans="3:27" x14ac:dyDescent="0.15">
      <c r="C4" s="28" t="str">
        <f>[3]装备规划!D113</f>
        <v>51</v>
      </c>
      <c r="D4" s="28">
        <f>[3]装备规划!E113</f>
        <v>5</v>
      </c>
      <c r="E4" s="28">
        <f>[3]装备规划!F113</f>
        <v>1</v>
      </c>
      <c r="F4" s="28">
        <f>[3]装备规划!G113</f>
        <v>7.5000000000000011E-2</v>
      </c>
      <c r="G4" s="28">
        <f>[3]装备规划!H113</f>
        <v>293.98619864880419</v>
      </c>
      <c r="H4" s="28">
        <f>[3]装备规划!I113</f>
        <v>14.932414973262038</v>
      </c>
      <c r="I4" s="28">
        <f>[3]装备规划!J113</f>
        <v>6.4525975736568473</v>
      </c>
      <c r="J4" s="28">
        <f>[3]装备规划!K113</f>
        <v>11.718750000000002</v>
      </c>
      <c r="K4" s="28">
        <f>[3]装备规划!L113</f>
        <v>11.718750000000002</v>
      </c>
      <c r="L4" s="28">
        <f>[3]装备规划!M113</f>
        <v>6.9444444444444455</v>
      </c>
      <c r="M4" s="28">
        <f>[3]装备规划!N113</f>
        <v>0</v>
      </c>
      <c r="N4" s="28">
        <f>[3]装备规划!O113</f>
        <v>6.9444444444444455</v>
      </c>
      <c r="O4" s="28">
        <f>[3]装备规划!P113</f>
        <v>0</v>
      </c>
      <c r="P4" s="28">
        <f>[3]装备规划!Q113</f>
        <v>0</v>
      </c>
      <c r="R4">
        <f>VLOOKUP(D4,[3]!躶体属性参考系,5,FALSE)*F4</f>
        <v>19.036980000000003</v>
      </c>
    </row>
    <row r="5" spans="3:27" x14ac:dyDescent="0.15">
      <c r="C5" s="28" t="str">
        <f>[3]装备规划!D114</f>
        <v>151</v>
      </c>
      <c r="D5" s="28">
        <f>[3]装备规划!E114</f>
        <v>15</v>
      </c>
      <c r="E5" s="28">
        <f>[3]装备规划!F114</f>
        <v>1</v>
      </c>
      <c r="F5" s="28">
        <f>[3]装备规划!G114</f>
        <v>0.15000000000000002</v>
      </c>
      <c r="G5" s="28">
        <f>[3]装备规划!H114</f>
        <v>587.97239729760838</v>
      </c>
      <c r="H5" s="28">
        <f>[3]装备规划!I114</f>
        <v>29.864829946524075</v>
      </c>
      <c r="I5" s="28">
        <f>[3]装备规划!J114</f>
        <v>12.905195147313695</v>
      </c>
      <c r="J5" s="28">
        <f>[3]装备规划!K114</f>
        <v>23.437500000000004</v>
      </c>
      <c r="K5" s="28">
        <f>[3]装备规划!L114</f>
        <v>23.437500000000004</v>
      </c>
      <c r="L5" s="28">
        <f>[3]装备规划!M114</f>
        <v>13.888888888888891</v>
      </c>
      <c r="M5" s="28">
        <f>[3]装备规划!N114</f>
        <v>0</v>
      </c>
      <c r="N5" s="28">
        <f>[3]装备规划!O114</f>
        <v>13.888888888888891</v>
      </c>
      <c r="O5" s="28">
        <f>[3]装备规划!P114</f>
        <v>0</v>
      </c>
      <c r="P5" s="28">
        <f>[3]装备规划!Q114</f>
        <v>0</v>
      </c>
      <c r="R5">
        <f>VLOOKUP(D5,[3]!躶体属性参考系,5,FALSE)*F5</f>
        <v>61.473960000000005</v>
      </c>
    </row>
    <row r="6" spans="3:27" x14ac:dyDescent="0.15">
      <c r="C6" s="28" t="str">
        <f>[3]装备规划!D115</f>
        <v>152</v>
      </c>
      <c r="D6" s="28">
        <f>[3]装备规划!E115</f>
        <v>15</v>
      </c>
      <c r="E6" s="28">
        <f>[3]装备规划!F115</f>
        <v>2</v>
      </c>
      <c r="F6" s="28">
        <f>[3]装备规划!G115</f>
        <v>0.2166666666666667</v>
      </c>
      <c r="G6" s="28">
        <f>[3]装备规划!H115</f>
        <v>849.29346276321212</v>
      </c>
      <c r="H6" s="28">
        <f>[3]装备规划!I115</f>
        <v>43.138087700534783</v>
      </c>
      <c r="I6" s="28">
        <f>[3]装备规划!J115</f>
        <v>18.64083743500867</v>
      </c>
      <c r="J6" s="28">
        <f>[3]装备规划!K115</f>
        <v>33.854166666666671</v>
      </c>
      <c r="K6" s="28">
        <f>[3]装备规划!L115</f>
        <v>33.854166666666671</v>
      </c>
      <c r="L6" s="28">
        <f>[3]装备规划!M115</f>
        <v>20.061728395061731</v>
      </c>
      <c r="M6" s="28">
        <f>[3]装备规划!N115</f>
        <v>0</v>
      </c>
      <c r="N6" s="28">
        <f>[3]装备规划!O115</f>
        <v>20.061728395061731</v>
      </c>
      <c r="O6" s="28">
        <f>[3]装备规划!P115</f>
        <v>0</v>
      </c>
      <c r="P6" s="28">
        <f>[3]装备规划!Q115</f>
        <v>0</v>
      </c>
      <c r="R6">
        <f>VLOOKUP(D6,[3]!躶体属性参考系,5,FALSE)*F6</f>
        <v>88.795720000000003</v>
      </c>
    </row>
    <row r="7" spans="3:27" x14ac:dyDescent="0.15">
      <c r="C7" s="28" t="str">
        <f>[3]装备规划!D116</f>
        <v>153</v>
      </c>
      <c r="D7" s="28">
        <f>[3]装备规划!E116</f>
        <v>15</v>
      </c>
      <c r="E7" s="28">
        <f>[3]装备规划!F116</f>
        <v>3</v>
      </c>
      <c r="F7" s="28">
        <f>[3]装备规划!G116</f>
        <v>0.28333333333333338</v>
      </c>
      <c r="G7" s="28">
        <f>[3]装备规划!H116</f>
        <v>1110.614528228816</v>
      </c>
      <c r="H7" s="28">
        <f>[3]装备规划!I116</f>
        <v>56.411345454545483</v>
      </c>
      <c r="I7" s="28">
        <f>[3]装备规划!J116</f>
        <v>24.37647972270365</v>
      </c>
      <c r="J7" s="28">
        <f>[3]装备规划!K116</f>
        <v>44.270833333333343</v>
      </c>
      <c r="K7" s="28">
        <f>[3]装备规划!L116</f>
        <v>44.270833333333343</v>
      </c>
      <c r="L7" s="28">
        <f>[3]装备规划!M116</f>
        <v>26.234567901234573</v>
      </c>
      <c r="M7" s="28">
        <f>[3]装备规划!N116</f>
        <v>0</v>
      </c>
      <c r="N7" s="28">
        <f>[3]装备规划!O116</f>
        <v>26.234567901234573</v>
      </c>
      <c r="O7" s="28">
        <f>[3]装备规划!P116</f>
        <v>0</v>
      </c>
      <c r="P7" s="28">
        <f>[3]装备规划!Q116</f>
        <v>0</v>
      </c>
      <c r="R7">
        <f>VLOOKUP(D7,[3]!躶体属性参考系,5,FALSE)*F7</f>
        <v>116.11748000000001</v>
      </c>
    </row>
    <row r="8" spans="3:27" x14ac:dyDescent="0.15">
      <c r="C8" s="28" t="str">
        <f>[3]装备规划!D117</f>
        <v>154</v>
      </c>
      <c r="D8" s="28">
        <f>[3]装备规划!E117</f>
        <v>15</v>
      </c>
      <c r="E8" s="28">
        <f>[3]装备规划!F117</f>
        <v>4</v>
      </c>
      <c r="F8" s="28">
        <f>[3]装备规划!G117</f>
        <v>0.33333333333333337</v>
      </c>
      <c r="G8" s="28">
        <f>[3]装备规划!H117</f>
        <v>1306.6053273280188</v>
      </c>
      <c r="H8" s="28">
        <f>[3]装备规划!I117</f>
        <v>66.366288770053501</v>
      </c>
      <c r="I8" s="28">
        <f>[3]装备规划!J117</f>
        <v>28.678211438474882</v>
      </c>
      <c r="J8" s="28">
        <f>[3]装备规划!K117</f>
        <v>52.083333333333336</v>
      </c>
      <c r="K8" s="28">
        <f>[3]装备规划!L117</f>
        <v>52.083333333333336</v>
      </c>
      <c r="L8" s="28">
        <f>[3]装备规划!M117</f>
        <v>30.864197530864203</v>
      </c>
      <c r="M8" s="28">
        <f>[3]装备规划!N117</f>
        <v>0</v>
      </c>
      <c r="N8" s="28">
        <f>[3]装备规划!O117</f>
        <v>30.864197530864203</v>
      </c>
      <c r="O8" s="28">
        <f>[3]装备规划!P117</f>
        <v>0</v>
      </c>
      <c r="P8" s="28">
        <f>[3]装备规划!Q117</f>
        <v>0</v>
      </c>
      <c r="R8">
        <f>VLOOKUP(D8,[3]!躶体属性参考系,5,FALSE)*F8</f>
        <v>136.6088</v>
      </c>
    </row>
    <row r="9" spans="3:27" x14ac:dyDescent="0.15">
      <c r="C9" s="28" t="str">
        <f>[3]装备规划!D118</f>
        <v>301</v>
      </c>
      <c r="D9" s="28">
        <f>[3]装备规划!E118</f>
        <v>30</v>
      </c>
      <c r="E9" s="28">
        <f>[3]装备规划!F118</f>
        <v>1</v>
      </c>
      <c r="F9" s="28">
        <f>[3]装备规划!G118</f>
        <v>0.30000000000000004</v>
      </c>
      <c r="G9" s="28">
        <f>[3]装备规划!H118</f>
        <v>1175.9447945952168</v>
      </c>
      <c r="H9" s="28">
        <f>[3]装备规划!I118</f>
        <v>59.729659893048151</v>
      </c>
      <c r="I9" s="28">
        <f>[3]装备规划!J118</f>
        <v>25.810390294627389</v>
      </c>
      <c r="J9" s="28">
        <f>[3]装备规划!K118</f>
        <v>46.875000000000007</v>
      </c>
      <c r="K9" s="28">
        <f>[3]装备规划!L118</f>
        <v>46.875000000000007</v>
      </c>
      <c r="L9" s="28">
        <f>[3]装备规划!M118</f>
        <v>27.777777777777782</v>
      </c>
      <c r="M9" s="28">
        <f>[3]装备规划!N118</f>
        <v>0</v>
      </c>
      <c r="N9" s="28">
        <f>[3]装备规划!O118</f>
        <v>27.777777777777782</v>
      </c>
      <c r="O9" s="28">
        <f>[3]装备规划!P118</f>
        <v>0</v>
      </c>
      <c r="P9" s="28">
        <f>[3]装备规划!Q118</f>
        <v>0</v>
      </c>
      <c r="R9">
        <f>VLOOKUP(D9,[3]!躶体属性参考系,5,FALSE)*F9</f>
        <v>195.48792000000009</v>
      </c>
    </row>
    <row r="10" spans="3:27" x14ac:dyDescent="0.15">
      <c r="C10" s="28" t="str">
        <f>[3]装备规划!D119</f>
        <v>302</v>
      </c>
      <c r="D10" s="28">
        <f>[3]装备规划!E119</f>
        <v>30</v>
      </c>
      <c r="E10" s="28">
        <f>[3]装备规划!F119</f>
        <v>2</v>
      </c>
      <c r="F10" s="28">
        <f>[3]装备规划!G119</f>
        <v>0.4333333333333334</v>
      </c>
      <c r="G10" s="28">
        <f>[3]装备规划!H119</f>
        <v>1698.5869255264242</v>
      </c>
      <c r="H10" s="28">
        <f>[3]装备规划!I119</f>
        <v>86.276175401069565</v>
      </c>
      <c r="I10" s="28">
        <f>[3]装备规划!J119</f>
        <v>37.281674870017341</v>
      </c>
      <c r="J10" s="28">
        <f>[3]装备规划!K119</f>
        <v>67.708333333333343</v>
      </c>
      <c r="K10" s="28">
        <f>[3]装备规划!L119</f>
        <v>67.708333333333343</v>
      </c>
      <c r="L10" s="28">
        <f>[3]装备规划!M119</f>
        <v>40.123456790123463</v>
      </c>
      <c r="M10" s="28">
        <f>[3]装备规划!N119</f>
        <v>0</v>
      </c>
      <c r="N10" s="28">
        <f>[3]装备规划!O119</f>
        <v>40.123456790123463</v>
      </c>
      <c r="O10" s="28">
        <f>[3]装备规划!P119</f>
        <v>0</v>
      </c>
      <c r="P10" s="28">
        <f>[3]装备规划!Q119</f>
        <v>0</v>
      </c>
      <c r="R10">
        <f>VLOOKUP(D10,[3]!躶体属性参考系,5,FALSE)*F10</f>
        <v>282.37144000000012</v>
      </c>
    </row>
    <row r="11" spans="3:27" x14ac:dyDescent="0.15">
      <c r="C11" s="28" t="str">
        <f>[3]装备规划!D120</f>
        <v>303</v>
      </c>
      <c r="D11" s="28">
        <f>[3]装备规划!E120</f>
        <v>30</v>
      </c>
      <c r="E11" s="28">
        <f>[3]装备规划!F120</f>
        <v>3</v>
      </c>
      <c r="F11" s="28">
        <f>[3]装备规划!G120</f>
        <v>0.56666666666666676</v>
      </c>
      <c r="G11" s="28">
        <f>[3]装备规划!H120</f>
        <v>2221.2290564576319</v>
      </c>
      <c r="H11" s="28">
        <f>[3]装备规划!I120</f>
        <v>112.82269090909097</v>
      </c>
      <c r="I11" s="28">
        <f>[3]装备规划!J120</f>
        <v>48.752959445407299</v>
      </c>
      <c r="J11" s="28">
        <f>[3]装备规划!K120</f>
        <v>88.541666666666686</v>
      </c>
      <c r="K11" s="28">
        <f>[3]装备规划!L120</f>
        <v>88.541666666666686</v>
      </c>
      <c r="L11" s="28">
        <f>[3]装备规划!M120</f>
        <v>52.469135802469147</v>
      </c>
      <c r="M11" s="28">
        <f>[3]装备规划!N120</f>
        <v>0</v>
      </c>
      <c r="N11" s="28">
        <f>[3]装备规划!O120</f>
        <v>52.469135802469147</v>
      </c>
      <c r="O11" s="28">
        <f>[3]装备规划!P120</f>
        <v>0</v>
      </c>
      <c r="P11" s="28">
        <f>[3]装备规划!Q120</f>
        <v>0</v>
      </c>
      <c r="R11">
        <f>VLOOKUP(D11,[3]!躶体属性参考系,5,FALSE)*F11</f>
        <v>369.25496000000021</v>
      </c>
    </row>
    <row r="12" spans="3:27" x14ac:dyDescent="0.15">
      <c r="C12" s="28" t="str">
        <f>[3]装备规划!D121</f>
        <v>304</v>
      </c>
      <c r="D12" s="28">
        <f>[3]装备规划!E121</f>
        <v>30</v>
      </c>
      <c r="E12" s="28">
        <f>[3]装备规划!F121</f>
        <v>4</v>
      </c>
      <c r="F12" s="28">
        <f>[3]装备规划!G121</f>
        <v>0.66666666666666674</v>
      </c>
      <c r="G12" s="28">
        <f>[3]装备规划!H121</f>
        <v>2613.2106546560376</v>
      </c>
      <c r="H12" s="28">
        <f>[3]装备规划!I121</f>
        <v>132.732577540107</v>
      </c>
      <c r="I12" s="28">
        <f>[3]装备规划!J121</f>
        <v>57.356422876949765</v>
      </c>
      <c r="J12" s="28">
        <f>[3]装备规划!K121</f>
        <v>104.16666666666667</v>
      </c>
      <c r="K12" s="28">
        <f>[3]装备规划!L121</f>
        <v>104.16666666666667</v>
      </c>
      <c r="L12" s="28">
        <f>[3]装备规划!M121</f>
        <v>61.728395061728406</v>
      </c>
      <c r="M12" s="28">
        <f>[3]装备规划!N121</f>
        <v>0</v>
      </c>
      <c r="N12" s="28">
        <f>[3]装备规划!O121</f>
        <v>61.728395061728406</v>
      </c>
      <c r="O12" s="28">
        <f>[3]装备规划!P121</f>
        <v>0</v>
      </c>
      <c r="P12" s="28">
        <f>[3]装备规划!Q121</f>
        <v>0</v>
      </c>
      <c r="R12">
        <f>VLOOKUP(D12,[3]!躶体属性参考系,5,FALSE)*F12</f>
        <v>434.41760000000022</v>
      </c>
    </row>
    <row r="13" spans="3:27" x14ac:dyDescent="0.15">
      <c r="C13" s="28" t="str">
        <f>[3]装备规划!D122</f>
        <v>451</v>
      </c>
      <c r="D13" s="28">
        <f>[3]装备规划!E122</f>
        <v>45</v>
      </c>
      <c r="E13" s="28">
        <f>[3]装备规划!F122</f>
        <v>1</v>
      </c>
      <c r="F13" s="28">
        <f>[3]装备规划!G122</f>
        <v>0.60000000000000009</v>
      </c>
      <c r="G13" s="28">
        <f>[3]装备规划!H122</f>
        <v>2351.8895891904335</v>
      </c>
      <c r="H13" s="28">
        <f>[3]装备规划!I122</f>
        <v>119.4593197860963</v>
      </c>
      <c r="I13" s="28">
        <f>[3]装备规划!J122</f>
        <v>51.620780589254778</v>
      </c>
      <c r="J13" s="28">
        <f>[3]装备规划!K122</f>
        <v>93.750000000000014</v>
      </c>
      <c r="K13" s="28">
        <f>[3]装备规划!L122</f>
        <v>93.750000000000014</v>
      </c>
      <c r="L13" s="28">
        <f>[3]装备规划!M122</f>
        <v>55.555555555555564</v>
      </c>
      <c r="M13" s="28">
        <f>[3]装备规划!N122</f>
        <v>0</v>
      </c>
      <c r="N13" s="28">
        <f>[3]装备规划!O122</f>
        <v>55.555555555555564</v>
      </c>
      <c r="O13" s="28">
        <f>[3]装备规划!P122</f>
        <v>0</v>
      </c>
      <c r="P13" s="28">
        <f>[3]装备规划!Q122</f>
        <v>0</v>
      </c>
      <c r="R13">
        <f>VLOOKUP(D13,[3]!躶体属性参考系,5,FALSE)*F13</f>
        <v>629.65584000000024</v>
      </c>
    </row>
    <row r="14" spans="3:27" x14ac:dyDescent="0.15">
      <c r="C14" s="28" t="str">
        <f>[3]装备规划!D123</f>
        <v>452</v>
      </c>
      <c r="D14" s="28">
        <f>[3]装备规划!E123</f>
        <v>45</v>
      </c>
      <c r="E14" s="28">
        <f>[3]装备规划!F123</f>
        <v>2</v>
      </c>
      <c r="F14" s="28">
        <f>[3]装备规划!G123</f>
        <v>0.86666666666666681</v>
      </c>
      <c r="G14" s="28">
        <f>[3]装备规划!H123</f>
        <v>3397.1738510528485</v>
      </c>
      <c r="H14" s="28">
        <f>[3]装备规划!I123</f>
        <v>172.55235080213913</v>
      </c>
      <c r="I14" s="28">
        <f>[3]装备规划!J123</f>
        <v>74.563349740034681</v>
      </c>
      <c r="J14" s="28">
        <f>[3]装备规划!K123</f>
        <v>135.41666666666669</v>
      </c>
      <c r="K14" s="28">
        <f>[3]装备规划!L123</f>
        <v>135.41666666666669</v>
      </c>
      <c r="L14" s="28">
        <f>[3]装备规划!M123</f>
        <v>80.246913580246925</v>
      </c>
      <c r="M14" s="28">
        <f>[3]装备规划!N123</f>
        <v>0</v>
      </c>
      <c r="N14" s="28">
        <f>[3]装备规划!O123</f>
        <v>80.246913580246925</v>
      </c>
      <c r="O14" s="28">
        <f>[3]装备规划!P123</f>
        <v>0</v>
      </c>
      <c r="P14" s="28">
        <f>[3]装备规划!Q123</f>
        <v>0</v>
      </c>
      <c r="R14">
        <f>VLOOKUP(D14,[3]!躶体属性参考系,5,FALSE)*F14</f>
        <v>909.50288000000035</v>
      </c>
    </row>
    <row r="15" spans="3:27" x14ac:dyDescent="0.15">
      <c r="C15" s="28" t="str">
        <f>[3]装备规划!D124</f>
        <v>453</v>
      </c>
      <c r="D15" s="28">
        <f>[3]装备规划!E124</f>
        <v>45</v>
      </c>
      <c r="E15" s="28">
        <f>[3]装备规划!F124</f>
        <v>3</v>
      </c>
      <c r="F15" s="28">
        <f>[3]装备规划!G124</f>
        <v>1.1333333333333335</v>
      </c>
      <c r="G15" s="28">
        <f>[3]装备规划!H124</f>
        <v>4442.4581129152639</v>
      </c>
      <c r="H15" s="28">
        <f>[3]装备规划!I124</f>
        <v>225.64538181818193</v>
      </c>
      <c r="I15" s="28">
        <f>[3]装备规划!J124</f>
        <v>97.505918890814598</v>
      </c>
      <c r="J15" s="28">
        <f>[3]装备规划!K124</f>
        <v>177.08333333333337</v>
      </c>
      <c r="K15" s="28">
        <f>[3]装备规划!L124</f>
        <v>177.08333333333337</v>
      </c>
      <c r="L15" s="28">
        <f>[3]装备规划!M124</f>
        <v>104.93827160493829</v>
      </c>
      <c r="M15" s="28">
        <f>[3]装备规划!N124</f>
        <v>0</v>
      </c>
      <c r="N15" s="28">
        <f>[3]装备规划!O124</f>
        <v>104.93827160493829</v>
      </c>
      <c r="O15" s="28">
        <f>[3]装备规划!P124</f>
        <v>0</v>
      </c>
      <c r="P15" s="28">
        <f>[3]装备规划!Q124</f>
        <v>0</v>
      </c>
      <c r="R15">
        <f>VLOOKUP(D15,[3]!躶体属性参考系,5,FALSE)*F15</f>
        <v>1189.3499200000006</v>
      </c>
    </row>
    <row r="16" spans="3:27" x14ac:dyDescent="0.15">
      <c r="C16" s="28" t="str">
        <f>[3]装备规划!D125</f>
        <v>454</v>
      </c>
      <c r="D16" s="28">
        <f>[3]装备规划!E125</f>
        <v>45</v>
      </c>
      <c r="E16" s="28">
        <f>[3]装备规划!F125</f>
        <v>4</v>
      </c>
      <c r="F16" s="28">
        <f>[3]装备规划!G125</f>
        <v>1.3333333333333335</v>
      </c>
      <c r="G16" s="28">
        <f>[3]装备规划!H125</f>
        <v>5226.4213093120752</v>
      </c>
      <c r="H16" s="28">
        <f>[3]装备规划!I125</f>
        <v>265.465155080214</v>
      </c>
      <c r="I16" s="28">
        <f>[3]装备规划!J125</f>
        <v>114.71284575389953</v>
      </c>
      <c r="J16" s="28">
        <f>[3]装备规划!K125</f>
        <v>208.33333333333334</v>
      </c>
      <c r="K16" s="28">
        <f>[3]装备规划!L125</f>
        <v>208.33333333333334</v>
      </c>
      <c r="L16" s="28">
        <f>[3]装备规划!M125</f>
        <v>123.45679012345681</v>
      </c>
      <c r="M16" s="28">
        <f>[3]装备规划!N125</f>
        <v>0</v>
      </c>
      <c r="N16" s="28">
        <f>[3]装备规划!O125</f>
        <v>123.45679012345681</v>
      </c>
      <c r="O16" s="28">
        <f>[3]装备规划!P125</f>
        <v>0</v>
      </c>
      <c r="P16" s="28">
        <f>[3]装备规划!Q125</f>
        <v>0</v>
      </c>
      <c r="R16">
        <f>VLOOKUP(D16,[3]!躶体属性参考系,5,FALSE)*F16</f>
        <v>1399.2352000000005</v>
      </c>
      <c r="Y16" t="s">
        <v>262</v>
      </c>
      <c r="Z16">
        <v>10</v>
      </c>
      <c r="AA16">
        <f>(Z16+1)*Z16/2*AV39</f>
        <v>24750</v>
      </c>
    </row>
    <row r="17" spans="3:51" x14ac:dyDescent="0.15">
      <c r="C17" s="28" t="str">
        <f>[3]装备规划!D126</f>
        <v>601</v>
      </c>
      <c r="D17" s="28">
        <f>[3]装备规划!E126</f>
        <v>60</v>
      </c>
      <c r="E17" s="28">
        <f>[3]装备规划!F126</f>
        <v>1</v>
      </c>
      <c r="F17" s="28">
        <f>[3]装备规划!G126</f>
        <v>0.9</v>
      </c>
      <c r="G17" s="28">
        <f>[3]装备规划!H126</f>
        <v>3527.8343837856496</v>
      </c>
      <c r="H17" s="28">
        <f>[3]装备规划!I126</f>
        <v>179.18897967914444</v>
      </c>
      <c r="I17" s="28">
        <f>[3]装备规划!J126</f>
        <v>77.431170883882174</v>
      </c>
      <c r="J17" s="28">
        <f>[3]装备规划!K126</f>
        <v>140.625</v>
      </c>
      <c r="K17" s="28">
        <f>[3]装备规划!L126</f>
        <v>140.625</v>
      </c>
      <c r="L17" s="28">
        <f>[3]装备规划!M126</f>
        <v>83.333333333333343</v>
      </c>
      <c r="M17" s="28">
        <f>[3]装备规划!N126</f>
        <v>0</v>
      </c>
      <c r="N17" s="28">
        <f>[3]装备规划!O126</f>
        <v>83.333333333333343</v>
      </c>
      <c r="O17" s="28">
        <f>[3]装备规划!P126</f>
        <v>0</v>
      </c>
      <c r="P17" s="28">
        <f>[3]装备规划!Q126</f>
        <v>0</v>
      </c>
      <c r="R17">
        <f>VLOOKUP(D17,[3]!躶体属性参考系,5,FALSE)*F17</f>
        <v>1449.9237600000004</v>
      </c>
    </row>
    <row r="18" spans="3:51" x14ac:dyDescent="0.15">
      <c r="C18" s="28" t="str">
        <f>[3]装备规划!D127</f>
        <v>602</v>
      </c>
      <c r="D18" s="28">
        <f>[3]装备规划!E127</f>
        <v>60</v>
      </c>
      <c r="E18" s="28">
        <f>[3]装备规划!F127</f>
        <v>2</v>
      </c>
      <c r="F18" s="28">
        <f>[3]装备规划!G127</f>
        <v>1.3</v>
      </c>
      <c r="G18" s="28">
        <f>[3]装备规划!H127</f>
        <v>5095.7607765792727</v>
      </c>
      <c r="H18" s="28">
        <f>[3]装备规划!I127</f>
        <v>258.82852620320864</v>
      </c>
      <c r="I18" s="28">
        <f>[3]装备规划!J127</f>
        <v>111.84502461005202</v>
      </c>
      <c r="J18" s="28">
        <f>[3]装备规划!K127</f>
        <v>203.125</v>
      </c>
      <c r="K18" s="28">
        <f>[3]装备规划!L127</f>
        <v>203.125</v>
      </c>
      <c r="L18" s="28">
        <f>[3]装备规划!M127</f>
        <v>120.37037037037037</v>
      </c>
      <c r="M18" s="28">
        <f>[3]装备规划!N127</f>
        <v>0</v>
      </c>
      <c r="N18" s="28">
        <f>[3]装备规划!O127</f>
        <v>120.37037037037037</v>
      </c>
      <c r="O18" s="28">
        <f>[3]装备规划!P127</f>
        <v>0</v>
      </c>
      <c r="P18" s="28">
        <f>[3]装备规划!Q127</f>
        <v>0</v>
      </c>
      <c r="R18">
        <f>VLOOKUP(D18,[3]!躶体属性参考系,5,FALSE)*F18</f>
        <v>2094.3343200000008</v>
      </c>
    </row>
    <row r="19" spans="3:51" x14ac:dyDescent="0.15">
      <c r="C19" s="28" t="str">
        <f>[3]装备规划!D128</f>
        <v>603</v>
      </c>
      <c r="D19" s="28">
        <f>[3]装备规划!E128</f>
        <v>60</v>
      </c>
      <c r="E19" s="28">
        <f>[3]装备规划!F128</f>
        <v>3</v>
      </c>
      <c r="F19" s="28">
        <f>[3]装备规划!G128</f>
        <v>1.7</v>
      </c>
      <c r="G19" s="28">
        <f>[3]装备规划!H128</f>
        <v>6663.6871693728945</v>
      </c>
      <c r="H19" s="28">
        <f>[3]装备规划!I128</f>
        <v>338.46807272727278</v>
      </c>
      <c r="I19" s="28">
        <f>[3]装备规划!J128</f>
        <v>146.25887833622184</v>
      </c>
      <c r="J19" s="28">
        <f>[3]装备规划!K128</f>
        <v>265.625</v>
      </c>
      <c r="K19" s="28">
        <f>[3]装备规划!L128</f>
        <v>265.625</v>
      </c>
      <c r="L19" s="28">
        <f>[3]装备规划!M128</f>
        <v>157.40740740740742</v>
      </c>
      <c r="M19" s="28">
        <f>[3]装备规划!N128</f>
        <v>0</v>
      </c>
      <c r="N19" s="28">
        <f>[3]装备规划!O128</f>
        <v>157.40740740740742</v>
      </c>
      <c r="O19" s="28">
        <f>[3]装备规划!P128</f>
        <v>0</v>
      </c>
      <c r="P19" s="28">
        <f>[3]装备规划!Q128</f>
        <v>0</v>
      </c>
      <c r="R19">
        <f>VLOOKUP(D19,[3]!躶体属性参考系,5,FALSE)*F19</f>
        <v>2738.7448800000006</v>
      </c>
      <c r="V19">
        <f>(1+10)*10/5</f>
        <v>22</v>
      </c>
      <c r="Y19" t="s">
        <v>259</v>
      </c>
      <c r="Z19" t="s">
        <v>260</v>
      </c>
      <c r="AA19" t="s">
        <v>261</v>
      </c>
    </row>
    <row r="20" spans="3:51" x14ac:dyDescent="0.15">
      <c r="C20" s="28" t="str">
        <f>[3]装备规划!D129</f>
        <v>604</v>
      </c>
      <c r="D20" s="28">
        <f>[3]装备规划!E129</f>
        <v>60</v>
      </c>
      <c r="E20" s="28">
        <f>[3]装备规划!F129</f>
        <v>4</v>
      </c>
      <c r="F20" s="28">
        <f>[3]装备规划!G129</f>
        <v>2</v>
      </c>
      <c r="G20" s="28">
        <f>[3]装备规划!H129</f>
        <v>7839.6319639681114</v>
      </c>
      <c r="H20" s="28">
        <f>[3]装备规划!I129</f>
        <v>398.19773262032101</v>
      </c>
      <c r="I20" s="28">
        <f>[3]装备规划!J129</f>
        <v>172.06926863084925</v>
      </c>
      <c r="J20" s="28">
        <f>[3]装备规划!K129</f>
        <v>312.5</v>
      </c>
      <c r="K20" s="28">
        <f>[3]装备规划!L129</f>
        <v>312.5</v>
      </c>
      <c r="L20" s="28">
        <f>[3]装备规划!M129</f>
        <v>185.18518518518519</v>
      </c>
      <c r="M20" s="28">
        <f>[3]装备规划!N129</f>
        <v>0</v>
      </c>
      <c r="N20" s="28">
        <f>[3]装备规划!O129</f>
        <v>185.18518518518519</v>
      </c>
      <c r="O20" s="28">
        <f>[3]装备规划!P129</f>
        <v>0</v>
      </c>
      <c r="P20" s="28">
        <f>[3]装备规划!Q129</f>
        <v>0</v>
      </c>
      <c r="R20">
        <f>VLOOKUP(D20,[3]!躶体属性参考系,5,FALSE)*F20</f>
        <v>3222.0528000000008</v>
      </c>
      <c r="Y20">
        <f>'价值&amp;消耗'!X169</f>
        <v>200</v>
      </c>
      <c r="Z20">
        <f>'价值&amp;消耗'!X170</f>
        <v>1000</v>
      </c>
      <c r="AA20">
        <f>'价值&amp;消耗'!X171</f>
        <v>5000</v>
      </c>
    </row>
    <row r="21" spans="3:51" x14ac:dyDescent="0.15">
      <c r="C21" s="28" t="str">
        <f>[3]装备规划!D130</f>
        <v>701</v>
      </c>
      <c r="D21" s="28">
        <f>[3]装备规划!E130</f>
        <v>70</v>
      </c>
      <c r="E21" s="28">
        <f>[3]装备规划!F130</f>
        <v>1</v>
      </c>
      <c r="F21" s="28">
        <f>[3]装备规划!G130</f>
        <v>1.2000000000000002</v>
      </c>
      <c r="G21" s="28">
        <f>[3]装备规划!H130</f>
        <v>4703.7791783808671</v>
      </c>
      <c r="H21" s="28">
        <f>[3]装备规划!I130</f>
        <v>238.9186395721926</v>
      </c>
      <c r="I21" s="28">
        <f>[3]装备规划!J130</f>
        <v>103.24156117850956</v>
      </c>
      <c r="J21" s="28">
        <f>[3]装备规划!K130</f>
        <v>187.50000000000003</v>
      </c>
      <c r="K21" s="28">
        <f>[3]装备规划!L130</f>
        <v>187.50000000000003</v>
      </c>
      <c r="L21" s="28">
        <f>[3]装备规划!M130</f>
        <v>111.11111111111113</v>
      </c>
      <c r="M21" s="28">
        <f>[3]装备规划!N130</f>
        <v>0</v>
      </c>
      <c r="N21" s="28">
        <f>[3]装备规划!O130</f>
        <v>111.11111111111113</v>
      </c>
      <c r="O21" s="28">
        <f>[3]装备规划!P130</f>
        <v>0</v>
      </c>
      <c r="P21" s="28">
        <f>[3]装备规划!Q130</f>
        <v>0</v>
      </c>
      <c r="R21">
        <f>VLOOKUP(D21,[3]!躶体属性参考系,5,FALSE)*F21</f>
        <v>2504.1916800000026</v>
      </c>
    </row>
    <row r="22" spans="3:51" x14ac:dyDescent="0.15">
      <c r="C22" s="28" t="str">
        <f>[3]装备规划!D131</f>
        <v>702</v>
      </c>
      <c r="D22" s="28">
        <f>[3]装备规划!E131</f>
        <v>70</v>
      </c>
      <c r="E22" s="28">
        <f>[3]装备规划!F131</f>
        <v>2</v>
      </c>
      <c r="F22" s="28">
        <f>[3]装备规划!G131</f>
        <v>1.7333333333333336</v>
      </c>
      <c r="G22" s="28">
        <f>[3]装备规划!H131</f>
        <v>6794.347702105697</v>
      </c>
      <c r="H22" s="28">
        <f>[3]装备规划!I131</f>
        <v>345.10470160427826</v>
      </c>
      <c r="I22" s="28">
        <f>[3]装备规划!J131</f>
        <v>149.12669948006936</v>
      </c>
      <c r="J22" s="28">
        <f>[3]装备规划!K131</f>
        <v>270.83333333333337</v>
      </c>
      <c r="K22" s="28">
        <f>[3]装备规划!L131</f>
        <v>270.83333333333337</v>
      </c>
      <c r="L22" s="28">
        <f>[3]装备规划!M131</f>
        <v>160.49382716049385</v>
      </c>
      <c r="M22" s="28">
        <f>[3]装备规划!N131</f>
        <v>0</v>
      </c>
      <c r="N22" s="28">
        <f>[3]装备规划!O131</f>
        <v>160.49382716049385</v>
      </c>
      <c r="O22" s="28">
        <f>[3]装备规划!P131</f>
        <v>0</v>
      </c>
      <c r="P22" s="28">
        <f>[3]装备规划!Q131</f>
        <v>0</v>
      </c>
      <c r="R22">
        <f>VLOOKUP(D22,[3]!躶体属性参考系,5,FALSE)*F22</f>
        <v>3617.1657600000035</v>
      </c>
    </row>
    <row r="23" spans="3:51" x14ac:dyDescent="0.15">
      <c r="C23" s="28" t="str">
        <f>[3]装备规划!D132</f>
        <v>703</v>
      </c>
      <c r="D23" s="28">
        <f>[3]装备规划!E132</f>
        <v>70</v>
      </c>
      <c r="E23" s="28">
        <f>[3]装备规划!F132</f>
        <v>3</v>
      </c>
      <c r="F23" s="28">
        <f>[3]装备规划!G132</f>
        <v>2.2666666666666671</v>
      </c>
      <c r="G23" s="28">
        <f>[3]装备规划!H132</f>
        <v>8884.9162258305278</v>
      </c>
      <c r="H23" s="28">
        <f>[3]装备规划!I132</f>
        <v>451.29076363636386</v>
      </c>
      <c r="I23" s="28">
        <f>[3]装备规划!J132</f>
        <v>195.0118377816292</v>
      </c>
      <c r="J23" s="28">
        <f>[3]装备规划!K132</f>
        <v>354.16666666666674</v>
      </c>
      <c r="K23" s="28">
        <f>[3]装备规划!L132</f>
        <v>354.16666666666674</v>
      </c>
      <c r="L23" s="28">
        <f>[3]装备规划!M132</f>
        <v>209.87654320987659</v>
      </c>
      <c r="M23" s="28">
        <f>[3]装备规划!N132</f>
        <v>0</v>
      </c>
      <c r="N23" s="28">
        <f>[3]装备规划!O132</f>
        <v>209.87654320987659</v>
      </c>
      <c r="O23" s="28">
        <f>[3]装备规划!P132</f>
        <v>0</v>
      </c>
      <c r="P23" s="28">
        <f>[3]装备规划!Q132</f>
        <v>0</v>
      </c>
      <c r="R23">
        <f>VLOOKUP(D23,[3]!躶体属性参考系,5,FALSE)*F23</f>
        <v>4730.1398400000044</v>
      </c>
    </row>
    <row r="24" spans="3:51" x14ac:dyDescent="0.15">
      <c r="C24" s="28" t="str">
        <f>[3]装备规划!D133</f>
        <v>704</v>
      </c>
      <c r="D24" s="28">
        <f>[3]装备规划!E133</f>
        <v>70</v>
      </c>
      <c r="E24" s="28">
        <f>[3]装备规划!F133</f>
        <v>4</v>
      </c>
      <c r="F24" s="28">
        <f>[3]装备规划!G133</f>
        <v>2.666666666666667</v>
      </c>
      <c r="G24" s="28">
        <f>[3]装备规划!H133</f>
        <v>10452.84261862415</v>
      </c>
      <c r="H24" s="28">
        <f>[3]装备规划!I133</f>
        <v>530.93031016042801</v>
      </c>
      <c r="I24" s="28">
        <f>[3]装备规划!J133</f>
        <v>229.42569150779906</v>
      </c>
      <c r="J24" s="28">
        <f>[3]装备规划!K133</f>
        <v>416.66666666666669</v>
      </c>
      <c r="K24" s="28">
        <f>[3]装备规划!L133</f>
        <v>416.66666666666669</v>
      </c>
      <c r="L24" s="28">
        <f>[3]装备规划!M133</f>
        <v>246.91358024691363</v>
      </c>
      <c r="M24" s="28">
        <f>[3]装备规划!N133</f>
        <v>0</v>
      </c>
      <c r="N24" s="28">
        <f>[3]装备规划!O133</f>
        <v>246.91358024691363</v>
      </c>
      <c r="O24" s="28">
        <f>[3]装备规划!P133</f>
        <v>0</v>
      </c>
      <c r="P24" s="28">
        <f>[3]装备规划!Q133</f>
        <v>0</v>
      </c>
      <c r="R24">
        <f>VLOOKUP(D24,[3]!躶体属性参考系,5,FALSE)*F24</f>
        <v>5564.8704000000052</v>
      </c>
    </row>
    <row r="25" spans="3:51" x14ac:dyDescent="0.15">
      <c r="C25" s="28" t="str">
        <f>[3]装备规划!D134</f>
        <v>801</v>
      </c>
      <c r="D25" s="28">
        <f>[3]装备规划!E134</f>
        <v>80</v>
      </c>
      <c r="E25" s="28">
        <f>[3]装备规划!F134</f>
        <v>1</v>
      </c>
      <c r="F25" s="28">
        <f>[3]装备规划!G134</f>
        <v>1.5</v>
      </c>
      <c r="G25" s="28">
        <f>[3]装备规划!H134</f>
        <v>5879.7239729760831</v>
      </c>
      <c r="H25" s="28">
        <f>[3]装备规划!I134</f>
        <v>298.64829946524071</v>
      </c>
      <c r="I25" s="28">
        <f>[3]装备规划!J134</f>
        <v>129.05195147313694</v>
      </c>
      <c r="J25" s="28">
        <f>[3]装备规划!K134</f>
        <v>234.375</v>
      </c>
      <c r="K25" s="28">
        <f>[3]装备规划!L134</f>
        <v>234.375</v>
      </c>
      <c r="L25" s="28">
        <f>[3]装备规划!M134</f>
        <v>138.88888888888889</v>
      </c>
      <c r="M25" s="28">
        <f>[3]装备规划!N134</f>
        <v>0</v>
      </c>
      <c r="N25" s="28">
        <f>[3]装备规划!O134</f>
        <v>138.88888888888889</v>
      </c>
      <c r="O25" s="28">
        <f>[3]装备规划!P134</f>
        <v>0</v>
      </c>
      <c r="P25" s="28">
        <f>[3]装备规划!Q134</f>
        <v>0</v>
      </c>
      <c r="R25">
        <f>VLOOKUP(D25,[3]!躶体属性参考系,5,FALSE)*F25</f>
        <v>3960.9396000000006</v>
      </c>
    </row>
    <row r="26" spans="3:51" x14ac:dyDescent="0.15">
      <c r="C26" s="28" t="str">
        <f>[3]装备规划!D135</f>
        <v>802</v>
      </c>
      <c r="D26" s="28">
        <f>[3]装备规划!E135</f>
        <v>80</v>
      </c>
      <c r="E26" s="28">
        <f>[3]装备规划!F135</f>
        <v>2</v>
      </c>
      <c r="F26" s="28">
        <f>[3]装备规划!G135</f>
        <v>2.166666666666667</v>
      </c>
      <c r="G26" s="28">
        <f>[3]装备规划!H135</f>
        <v>8492.9346276321212</v>
      </c>
      <c r="H26" s="28">
        <f>[3]装备规划!I135</f>
        <v>431.38087700534777</v>
      </c>
      <c r="I26" s="28">
        <f>[3]装备规划!J135</f>
        <v>186.40837435008672</v>
      </c>
      <c r="J26" s="28">
        <f>[3]装备规划!K135</f>
        <v>338.54166666666674</v>
      </c>
      <c r="K26" s="28">
        <f>[3]装备规划!L135</f>
        <v>338.54166666666674</v>
      </c>
      <c r="L26" s="28">
        <f>[3]装备规划!M135</f>
        <v>200.61728395061729</v>
      </c>
      <c r="M26" s="28">
        <f>[3]装备规划!N135</f>
        <v>0</v>
      </c>
      <c r="N26" s="28">
        <f>[3]装备规划!O135</f>
        <v>200.61728395061729</v>
      </c>
      <c r="O26" s="28">
        <f>[3]装备规划!P135</f>
        <v>0</v>
      </c>
      <c r="P26" s="28">
        <f>[3]装备规划!Q135</f>
        <v>0</v>
      </c>
      <c r="R26">
        <f>VLOOKUP(D26,[3]!躶体属性参考系,5,FALSE)*F26</f>
        <v>5721.3572000000022</v>
      </c>
    </row>
    <row r="27" spans="3:51" x14ac:dyDescent="0.15">
      <c r="C27" s="28" t="str">
        <f>[3]装备规划!D136</f>
        <v>803</v>
      </c>
      <c r="D27" s="28">
        <f>[3]装备规划!E136</f>
        <v>80</v>
      </c>
      <c r="E27" s="28">
        <f>[3]装备规划!F136</f>
        <v>3</v>
      </c>
      <c r="F27" s="28">
        <f>[3]装备规划!G136</f>
        <v>2.8333333333333335</v>
      </c>
      <c r="G27" s="28">
        <f>[3]装备规划!H136</f>
        <v>11106.145282288158</v>
      </c>
      <c r="H27" s="28">
        <f>[3]装备规划!I136</f>
        <v>564.11345454545483</v>
      </c>
      <c r="I27" s="28">
        <f>[3]装备规划!J136</f>
        <v>243.76479722703644</v>
      </c>
      <c r="J27" s="28">
        <f>[3]装备规划!K136</f>
        <v>442.70833333333331</v>
      </c>
      <c r="K27" s="28">
        <f>[3]装备规划!L136</f>
        <v>442.70833333333331</v>
      </c>
      <c r="L27" s="28">
        <f>[3]装备规划!M136</f>
        <v>262.34567901234573</v>
      </c>
      <c r="M27" s="28">
        <f>[3]装备规划!N136</f>
        <v>0</v>
      </c>
      <c r="N27" s="28">
        <f>[3]装备规划!O136</f>
        <v>262.34567901234573</v>
      </c>
      <c r="O27" s="28">
        <f>[3]装备规划!P136</f>
        <v>0</v>
      </c>
      <c r="P27" s="28">
        <f>[3]装备规划!Q136</f>
        <v>0</v>
      </c>
      <c r="R27">
        <f>VLOOKUP(D27,[3]!躶体属性参考系,5,FALSE)*F27</f>
        <v>7481.774800000002</v>
      </c>
    </row>
    <row r="28" spans="3:51" x14ac:dyDescent="0.15">
      <c r="C28" s="28" t="str">
        <f>[3]装备规划!D137</f>
        <v>804</v>
      </c>
      <c r="D28" s="28">
        <f>[3]装备规划!E137</f>
        <v>80</v>
      </c>
      <c r="E28" s="28">
        <f>[3]装备规划!F137</f>
        <v>4</v>
      </c>
      <c r="F28" s="28">
        <f>[3]装备规划!G137</f>
        <v>3.3333333333333335</v>
      </c>
      <c r="G28" s="28">
        <f>[3]装备规划!H137</f>
        <v>13066.053273280186</v>
      </c>
      <c r="H28" s="28">
        <f>[3]装备规划!I137</f>
        <v>663.66288770053495</v>
      </c>
      <c r="I28" s="28">
        <f>[3]装备规划!J137</f>
        <v>286.78211438474875</v>
      </c>
      <c r="J28" s="28">
        <f>[3]装备规划!K137</f>
        <v>520.83333333333326</v>
      </c>
      <c r="K28" s="28">
        <f>[3]装备规划!L137</f>
        <v>520.83333333333326</v>
      </c>
      <c r="L28" s="28">
        <f>[3]装备规划!M137</f>
        <v>308.64197530864197</v>
      </c>
      <c r="M28" s="28">
        <f>[3]装备规划!N137</f>
        <v>0</v>
      </c>
      <c r="N28" s="28">
        <f>[3]装备规划!O137</f>
        <v>308.64197530864197</v>
      </c>
      <c r="O28" s="28">
        <f>[3]装备规划!P137</f>
        <v>0</v>
      </c>
      <c r="P28" s="28">
        <f>[3]装备规划!Q137</f>
        <v>0</v>
      </c>
      <c r="R28">
        <f>VLOOKUP(D28,[3]!躶体属性参考系,5,FALSE)*F28</f>
        <v>8802.0880000000016</v>
      </c>
    </row>
    <row r="29" spans="3:51" x14ac:dyDescent="0.15">
      <c r="D29" s="28"/>
    </row>
    <row r="31" spans="3:51" x14ac:dyDescent="0.15">
      <c r="E31" s="32"/>
      <c r="F31" s="32"/>
      <c r="G31" s="32"/>
      <c r="H31" s="32"/>
      <c r="I31">
        <v>5</v>
      </c>
      <c r="J31">
        <v>6</v>
      </c>
      <c r="K31">
        <v>7</v>
      </c>
      <c r="L31">
        <v>8</v>
      </c>
      <c r="M31">
        <v>9</v>
      </c>
      <c r="N31">
        <v>10</v>
      </c>
      <c r="O31">
        <v>11</v>
      </c>
      <c r="P31">
        <v>12</v>
      </c>
      <c r="Q31">
        <v>13</v>
      </c>
      <c r="R31">
        <v>14</v>
      </c>
    </row>
    <row r="32" spans="3:51" x14ac:dyDescent="0.15">
      <c r="C32" s="31" t="s">
        <v>134</v>
      </c>
      <c r="D32" s="31" t="s">
        <v>135</v>
      </c>
      <c r="E32" s="31" t="s">
        <v>130</v>
      </c>
      <c r="F32" s="31" t="s">
        <v>128</v>
      </c>
      <c r="G32" s="31" t="s">
        <v>129</v>
      </c>
      <c r="H32" s="31" t="s">
        <v>127</v>
      </c>
      <c r="I32" s="2" t="s">
        <v>2</v>
      </c>
      <c r="J32" s="2" t="s">
        <v>3</v>
      </c>
      <c r="K32" s="3" t="s">
        <v>4</v>
      </c>
      <c r="L32" s="2" t="s">
        <v>167</v>
      </c>
      <c r="M32" s="2" t="s">
        <v>166</v>
      </c>
      <c r="N32" s="2" t="s">
        <v>164</v>
      </c>
      <c r="O32" s="2" t="s">
        <v>92</v>
      </c>
      <c r="P32" s="2" t="s">
        <v>165</v>
      </c>
      <c r="Q32" s="29" t="s">
        <v>10</v>
      </c>
      <c r="R32" s="29" t="s">
        <v>93</v>
      </c>
      <c r="T32" s="5" t="s">
        <v>181</v>
      </c>
      <c r="U32" s="5">
        <f>'[1]0、经济设定'!$C$18</f>
        <v>50</v>
      </c>
      <c r="X32" s="38" t="s">
        <v>257</v>
      </c>
      <c r="Y32" s="38" t="s">
        <v>256</v>
      </c>
      <c r="Z32" s="38" t="s">
        <v>256</v>
      </c>
      <c r="AA32" s="38" t="s">
        <v>256</v>
      </c>
      <c r="AB32" t="s">
        <v>265</v>
      </c>
      <c r="AC32" t="s">
        <v>266</v>
      </c>
      <c r="AD32" t="s">
        <v>267</v>
      </c>
      <c r="AE32" t="s">
        <v>263</v>
      </c>
      <c r="AF32" t="s">
        <v>264</v>
      </c>
      <c r="AG32" t="s">
        <v>271</v>
      </c>
      <c r="AH32" t="s">
        <v>275</v>
      </c>
      <c r="AI32" t="s">
        <v>272</v>
      </c>
      <c r="AJ32" s="68" t="s">
        <v>290</v>
      </c>
      <c r="AK32" s="2" t="s">
        <v>2</v>
      </c>
      <c r="AL32" s="2" t="s">
        <v>3</v>
      </c>
      <c r="AM32" s="3" t="s">
        <v>4</v>
      </c>
      <c r="AN32" s="2" t="s">
        <v>167</v>
      </c>
      <c r="AO32" s="2" t="s">
        <v>166</v>
      </c>
      <c r="AP32" s="2" t="s">
        <v>164</v>
      </c>
      <c r="AQ32" s="2" t="s">
        <v>92</v>
      </c>
      <c r="AR32" s="2" t="s">
        <v>165</v>
      </c>
      <c r="AS32" s="29" t="s">
        <v>10</v>
      </c>
      <c r="AT32" s="29" t="s">
        <v>93</v>
      </c>
      <c r="AU32" s="5" t="s">
        <v>171</v>
      </c>
      <c r="AV32" s="5" t="s">
        <v>178</v>
      </c>
      <c r="AW32" s="5" t="s">
        <v>180</v>
      </c>
      <c r="AX32" s="1" t="s">
        <v>183</v>
      </c>
      <c r="AY32" s="1" t="s">
        <v>184</v>
      </c>
    </row>
    <row r="33" spans="3:51" x14ac:dyDescent="0.15">
      <c r="C33" s="28" t="str">
        <f>H33&amp;F33&amp;VLOOKUP(G33,定义数据!$E$1:$F$7,2,FALSE)</f>
        <v>500</v>
      </c>
      <c r="D33" s="28"/>
      <c r="E33" s="28">
        <f>装备属性计算表!AK32</f>
        <v>2</v>
      </c>
      <c r="F33" s="28">
        <f>装备属性计算表!B32</f>
        <v>0</v>
      </c>
      <c r="G33" s="28" t="str">
        <f>装备属性计算表!C32</f>
        <v>武器</v>
      </c>
      <c r="H33" s="28">
        <f>装备属性计算表!D32</f>
        <v>5</v>
      </c>
      <c r="I33" s="28">
        <f>VLOOKUP($G33,装备属性计算表!$D$14:$O$19,装备属性计算表!F$2,FALSE)/装备属性计算表!F$20*VLOOKUP($H33&amp;$F33,$C$3:$P$28,G$1,FALSE)</f>
        <v>0</v>
      </c>
      <c r="J33" s="28">
        <f>VLOOKUP($G33,装备属性计算表!$D$14:$O$19,装备属性计算表!G$2,FALSE)/装备属性计算表!G$20*VLOOKUP($H33&amp;$F33,$C$3:$P$28,H$1,FALSE)</f>
        <v>5.9729659893048153</v>
      </c>
      <c r="K33" s="28">
        <f>VLOOKUP($G33,装备属性计算表!$D$14:$O$19,装备属性计算表!H$2,FALSE)/装备属性计算表!H$20*VLOOKUP($H33&amp;$F33,$C$3:$P$28,I$1,FALSE)</f>
        <v>0.71695528596187175</v>
      </c>
      <c r="L33" s="28">
        <f>VLOOKUP($G33,装备属性计算表!$D$14:$O$19,装备属性计算表!I$2,FALSE)/装备属性计算表!I$20*VLOOKUP($H33&amp;$F33,$C$3:$P$28,J$1,FALSE)</f>
        <v>0</v>
      </c>
      <c r="M33" s="28">
        <f>VLOOKUP($G33,装备属性计算表!$D$14:$O$19,装备属性计算表!J$2,FALSE)/装备属性计算表!J$20*VLOOKUP($H33&amp;$F33,$C$3:$P$28,K$1,FALSE)</f>
        <v>2.6041666666666665</v>
      </c>
      <c r="N33" s="28">
        <f>VLOOKUP($G33,装备属性计算表!$D$14:$O$19,装备属性计算表!K$2,FALSE)/装备属性计算表!K$20*VLOOKUP($H33&amp;$F33,$C$3:$P$28,L$1,FALSE)</f>
        <v>1.8518518518518521</v>
      </c>
      <c r="O33" s="28">
        <f>VLOOKUP($G33,装备属性计算表!$D$14:$O$19,装备属性计算表!L$2,FALSE)/装备属性计算表!L$20*VLOOKUP($H33&amp;$F33,$C$3:$P$28,M$1,FALSE)</f>
        <v>0</v>
      </c>
      <c r="P33" s="28">
        <f>VLOOKUP($G33,装备属性计算表!$D$14:$O$19,装备属性计算表!M$2,FALSE)/装备属性计算表!M$20*VLOOKUP($H33&amp;$F33,$C$3:$P$28,N$1,FALSE)</f>
        <v>0</v>
      </c>
      <c r="Q33" s="28">
        <f>VLOOKUP($G33,装备属性计算表!$D$14:$O$19,装备属性计算表!N$2,FALSE)/装备属性计算表!N$20*VLOOKUP($H33&amp;$F33,$C$3:$P$28,O$1,FALSE)</f>
        <v>0</v>
      </c>
      <c r="R33" s="28">
        <f>VLOOKUP($G33,装备属性计算表!$D$14:$O$19,装备属性计算表!O$2,FALSE)/装备属性计算表!O$20*VLOOKUP($H33&amp;$F33,$C$3:$P$28,P$1,FALSE)</f>
        <v>0</v>
      </c>
      <c r="T33" s="5" t="s">
        <v>172</v>
      </c>
      <c r="U33" s="5">
        <v>50</v>
      </c>
      <c r="X33" s="28"/>
      <c r="Y33" s="28">
        <v>0</v>
      </c>
      <c r="Z33" s="28">
        <v>0</v>
      </c>
      <c r="AA33" s="28">
        <v>0</v>
      </c>
      <c r="AB33" s="28"/>
      <c r="AC33" s="28"/>
      <c r="AD33" s="28"/>
      <c r="AE33" s="28"/>
      <c r="AF33" s="28"/>
      <c r="AG33" s="28"/>
      <c r="AH33" s="28">
        <f>IF(AG33&gt;0,VLOOKUP(G33,'价值&amp;消耗'!$U$173:$V$178,2,FALSE),0)</f>
        <v>0</v>
      </c>
      <c r="AI33" s="28"/>
      <c r="AJ33" s="28">
        <f t="shared" ref="AJ33:AJ76" si="0">F33</f>
        <v>0</v>
      </c>
      <c r="AK33" s="28">
        <f>IF(COUNTIF($I33:I33,"&gt;0")&gt;$AJ33,0,I33)</f>
        <v>0</v>
      </c>
      <c r="AL33" s="28">
        <f>IF(COUNTIF($I33:J33,"&gt;0")&gt;$AJ33,0,J33)</f>
        <v>0</v>
      </c>
      <c r="AM33" s="28">
        <f>IF(COUNTIF($I33:K33,"&gt;0")&gt;$AJ33,0,K33)</f>
        <v>0</v>
      </c>
      <c r="AN33" s="28">
        <f>IF(COUNTIF($I33:L33,"&gt;0")&gt;$AJ33,0,L33)</f>
        <v>0</v>
      </c>
      <c r="AO33" s="28">
        <f>IF(COUNTIF($I33:M33,"&gt;0")&gt;$AJ33,0,M33)</f>
        <v>0</v>
      </c>
      <c r="AP33" s="28">
        <f>IF(COUNTIF($I33:N33,"&gt;0")&gt;$AJ33,0,N33)</f>
        <v>0</v>
      </c>
      <c r="AQ33" s="28">
        <f>IF(COUNTIF($I33:O33,"&gt;0")&gt;$AJ33,0,O33)</f>
        <v>0</v>
      </c>
      <c r="AR33" s="28">
        <f>IF(COUNTIF($I33:P33,"&gt;0")&gt;$AJ33,0,P33)</f>
        <v>0</v>
      </c>
      <c r="AS33" s="28">
        <f>IF(COUNTIF($I33:Q33,"&gt;0")&gt;$AJ33,0,Q33)</f>
        <v>0</v>
      </c>
      <c r="AT33" s="28">
        <f>IF(COUNTIF($I33:R33,"&gt;0")&gt;$AJ33,0,R33)</f>
        <v>0</v>
      </c>
      <c r="AU33" s="28">
        <f>SUMPRODUCT(AK33:AT33,定义数据!$G$14:$P$14)</f>
        <v>0</v>
      </c>
      <c r="AV33" s="28">
        <f>ROUND(AU33*$U$33,0)</f>
        <v>0</v>
      </c>
      <c r="AW33" s="28">
        <f t="shared" ref="AW33:AW38" si="1">ROUND(AU33*$U$32,0)</f>
        <v>0</v>
      </c>
      <c r="AX33" s="28">
        <f t="shared" ref="AX33:AX38" si="2">(1+H33)*H33/2*AV33</f>
        <v>0</v>
      </c>
      <c r="AY33" s="28">
        <f t="shared" ref="AY33:AY38" si="3">AX33*$U$32</f>
        <v>0</v>
      </c>
    </row>
    <row r="34" spans="3:51" x14ac:dyDescent="0.15">
      <c r="C34" s="28" t="str">
        <f>H34&amp;F34&amp;VLOOKUP(G34,定义数据!$E$1:$F$7,2,FALSE)</f>
        <v>501</v>
      </c>
      <c r="D34" s="28"/>
      <c r="E34" s="28">
        <f>装备属性计算表!AK33</f>
        <v>2</v>
      </c>
      <c r="F34" s="28">
        <f>装备属性计算表!B33</f>
        <v>0</v>
      </c>
      <c r="G34" s="28" t="str">
        <f>装备属性计算表!C33</f>
        <v>衣服</v>
      </c>
      <c r="H34" s="28">
        <f>装备属性计算表!D33</f>
        <v>5</v>
      </c>
      <c r="I34" s="28">
        <f>VLOOKUP($G34,装备属性计算表!$D$14:$O$19,装备属性计算表!F$2,FALSE)/装备属性计算表!F$20*VLOOKUP($H34&amp;$F34,$C$3:$P$28,G$1,FALSE)</f>
        <v>65.330266366400934</v>
      </c>
      <c r="J34" s="28">
        <f>VLOOKUP($G34,装备属性计算表!$D$14:$O$19,装备属性计算表!G$2,FALSE)/装备属性计算表!G$20*VLOOKUP($H34&amp;$F34,$C$3:$P$28,H$1,FALSE)</f>
        <v>0</v>
      </c>
      <c r="K34" s="28">
        <f>VLOOKUP($G34,装备属性计算表!$D$14:$O$19,装备属性计算表!H$2,FALSE)/装备属性计算表!H$20*VLOOKUP($H34&amp;$F34,$C$3:$P$28,I$1,FALSE)</f>
        <v>2.1508658578856155</v>
      </c>
      <c r="L34" s="28">
        <f>VLOOKUP($G34,装备属性计算表!$D$14:$O$19,装备属性计算表!I$2,FALSE)/装备属性计算表!I$20*VLOOKUP($H34&amp;$F34,$C$3:$P$28,J$1,FALSE)</f>
        <v>1.5625</v>
      </c>
      <c r="M34" s="28">
        <f>VLOOKUP($G34,装备属性计算表!$D$14:$O$19,装备属性计算表!J$2,FALSE)/装备属性计算表!J$20*VLOOKUP($H34&amp;$F34,$C$3:$P$28,K$1,FALSE)</f>
        <v>0</v>
      </c>
      <c r="N34" s="28">
        <f>VLOOKUP($G34,装备属性计算表!$D$14:$O$19,装备属性计算表!K$2,FALSE)/装备属性计算表!K$20*VLOOKUP($H34&amp;$F34,$C$3:$P$28,L$1,FALSE)</f>
        <v>0</v>
      </c>
      <c r="O34" s="28">
        <f>VLOOKUP($G34,装备属性计算表!$D$14:$O$19,装备属性计算表!L$2,FALSE)/装备属性计算表!L$20*VLOOKUP($H34&amp;$F34,$C$3:$P$28,M$1,FALSE)</f>
        <v>0</v>
      </c>
      <c r="P34" s="28">
        <f>VLOOKUP($G34,装备属性计算表!$D$14:$O$19,装备属性计算表!M$2,FALSE)/装备属性计算表!M$20*VLOOKUP($H34&amp;$F34,$C$3:$P$28,N$1,FALSE)</f>
        <v>1.5432098765432098</v>
      </c>
      <c r="Q34" s="28">
        <f>VLOOKUP($G34,装备属性计算表!$D$14:$O$19,装备属性计算表!N$2,FALSE)/装备属性计算表!N$20*VLOOKUP($H34&amp;$F34,$C$3:$P$28,O$1,FALSE)</f>
        <v>0</v>
      </c>
      <c r="R34" s="28">
        <f>VLOOKUP($G34,装备属性计算表!$D$14:$O$19,装备属性计算表!O$2,FALSE)/装备属性计算表!O$20*VLOOKUP($H34&amp;$F34,$C$3:$P$28,P$1,FALSE)</f>
        <v>0</v>
      </c>
      <c r="X34" s="28"/>
      <c r="Y34" s="28">
        <v>0</v>
      </c>
      <c r="Z34" s="28">
        <v>0</v>
      </c>
      <c r="AA34" s="28">
        <v>0</v>
      </c>
      <c r="AB34" s="28"/>
      <c r="AC34" s="28"/>
      <c r="AD34" s="28"/>
      <c r="AE34" s="28"/>
      <c r="AF34" s="28"/>
      <c r="AG34" s="28"/>
      <c r="AH34" s="28">
        <f>IF(AG34&gt;0,VLOOKUP(G34,'价值&amp;消耗'!$U$173:$V$178,2,FALSE),0)</f>
        <v>0</v>
      </c>
      <c r="AI34" s="28"/>
      <c r="AJ34" s="28">
        <f t="shared" si="0"/>
        <v>0</v>
      </c>
      <c r="AK34" s="28">
        <f>IF(COUNTIF($I34:I34,"&gt;0")&gt;$AJ34,0,I34)</f>
        <v>0</v>
      </c>
      <c r="AL34" s="28">
        <f>IF(COUNTIF($I34:J34,"&gt;0")&gt;$AJ34,0,J34)</f>
        <v>0</v>
      </c>
      <c r="AM34" s="28">
        <f>IF(COUNTIF($I34:K34,"&gt;0")&gt;$AJ34,0,K34)</f>
        <v>0</v>
      </c>
      <c r="AN34" s="28">
        <f>IF(COUNTIF($I34:L34,"&gt;0")&gt;$AJ34,0,L34)</f>
        <v>0</v>
      </c>
      <c r="AO34" s="28">
        <f>IF(COUNTIF($I34:M34,"&gt;0")&gt;$AJ34,0,M34)</f>
        <v>0</v>
      </c>
      <c r="AP34" s="28">
        <f>IF(COUNTIF($I34:N34,"&gt;0")&gt;$AJ34,0,N34)</f>
        <v>0</v>
      </c>
      <c r="AQ34" s="28">
        <f>IF(COUNTIF($I34:O34,"&gt;0")&gt;$AJ34,0,O34)</f>
        <v>0</v>
      </c>
      <c r="AR34" s="28">
        <f>IF(COUNTIF($I34:P34,"&gt;0")&gt;$AJ34,0,P34)</f>
        <v>0</v>
      </c>
      <c r="AS34" s="28">
        <f>IF(COUNTIF($I34:Q34,"&gt;0")&gt;$AJ34,0,Q34)</f>
        <v>0</v>
      </c>
      <c r="AT34" s="28">
        <f>IF(COUNTIF($I34:R34,"&gt;0")&gt;$AJ34,0,R34)</f>
        <v>0</v>
      </c>
      <c r="AU34" s="28">
        <f>SUMPRODUCT(AK34:AT34,定义数据!$G$14:$P$14)</f>
        <v>0</v>
      </c>
      <c r="AV34" s="28">
        <f t="shared" ref="AV34:AV109" si="4">ROUND(AU34*$U$33,0)</f>
        <v>0</v>
      </c>
      <c r="AW34" s="28">
        <f t="shared" si="1"/>
        <v>0</v>
      </c>
      <c r="AX34" s="28">
        <f t="shared" si="2"/>
        <v>0</v>
      </c>
      <c r="AY34" s="28">
        <f t="shared" si="3"/>
        <v>0</v>
      </c>
    </row>
    <row r="35" spans="3:51" x14ac:dyDescent="0.15">
      <c r="C35" s="28" t="str">
        <f>H35&amp;F35&amp;VLOOKUP(G35,定义数据!$E$1:$F$7,2,FALSE)</f>
        <v>502</v>
      </c>
      <c r="D35" s="28"/>
      <c r="E35" s="28">
        <f>装备属性计算表!AK34</f>
        <v>2</v>
      </c>
      <c r="F35" s="28">
        <f>装备属性计算表!B34</f>
        <v>0</v>
      </c>
      <c r="G35" s="28" t="str">
        <f>装备属性计算表!C34</f>
        <v>裤子</v>
      </c>
      <c r="H35" s="28">
        <f>装备属性计算表!D34</f>
        <v>5</v>
      </c>
      <c r="I35" s="28">
        <f>VLOOKUP($G35,装备属性计算表!$D$14:$O$19,装备属性计算表!F$2,FALSE)/装备属性计算表!F$20*VLOOKUP($H35&amp;$F35,$C$3:$P$28,G$1,FALSE)</f>
        <v>32.665133183200467</v>
      </c>
      <c r="J35" s="28">
        <f>VLOOKUP($G35,装备属性计算表!$D$14:$O$19,装备属性计算表!G$2,FALSE)/装备属性计算表!G$20*VLOOKUP($H35&amp;$F35,$C$3:$P$28,H$1,FALSE)</f>
        <v>0</v>
      </c>
      <c r="K35" s="28">
        <f>VLOOKUP($G35,装备属性计算表!$D$14:$O$19,装备属性计算表!H$2,FALSE)/装备属性计算表!H$20*VLOOKUP($H35&amp;$F35,$C$3:$P$28,I$1,FALSE)</f>
        <v>0.71695528596187175</v>
      </c>
      <c r="L35" s="28">
        <f>VLOOKUP($G35,装备属性计算表!$D$14:$O$19,装备属性计算表!I$2,FALSE)/装备属性计算表!I$20*VLOOKUP($H35&amp;$F35,$C$3:$P$28,J$1,FALSE)</f>
        <v>1.5625</v>
      </c>
      <c r="M35" s="28">
        <f>VLOOKUP($G35,装备属性计算表!$D$14:$O$19,装备属性计算表!J$2,FALSE)/装备属性计算表!J$20*VLOOKUP($H35&amp;$F35,$C$3:$P$28,K$1,FALSE)</f>
        <v>0</v>
      </c>
      <c r="N35" s="28">
        <f>VLOOKUP($G35,装备属性计算表!$D$14:$O$19,装备属性计算表!K$2,FALSE)/装备属性计算表!K$20*VLOOKUP($H35&amp;$F35,$C$3:$P$28,L$1,FALSE)</f>
        <v>0</v>
      </c>
      <c r="O35" s="28">
        <f>VLOOKUP($G35,装备属性计算表!$D$14:$O$19,装备属性计算表!L$2,FALSE)/装备属性计算表!L$20*VLOOKUP($H35&amp;$F35,$C$3:$P$28,M$1,FALSE)</f>
        <v>0</v>
      </c>
      <c r="P35" s="28">
        <f>VLOOKUP($G35,装备属性计算表!$D$14:$O$19,装备属性计算表!M$2,FALSE)/装备属性计算表!M$20*VLOOKUP($H35&amp;$F35,$C$3:$P$28,N$1,FALSE)</f>
        <v>1.5432098765432098</v>
      </c>
      <c r="Q35" s="28">
        <f>VLOOKUP($G35,装备属性计算表!$D$14:$O$19,装备属性计算表!N$2,FALSE)/装备属性计算表!N$20*VLOOKUP($H35&amp;$F35,$C$3:$P$28,O$1,FALSE)</f>
        <v>0</v>
      </c>
      <c r="R35" s="28">
        <f>VLOOKUP($G35,装备属性计算表!$D$14:$O$19,装备属性计算表!O$2,FALSE)/装备属性计算表!O$20*VLOOKUP($H35&amp;$F35,$C$3:$P$28,P$1,FALSE)</f>
        <v>0</v>
      </c>
      <c r="X35" s="28"/>
      <c r="Y35" s="28">
        <v>0</v>
      </c>
      <c r="Z35" s="28">
        <v>0</v>
      </c>
      <c r="AA35" s="28">
        <v>0</v>
      </c>
      <c r="AB35" s="28"/>
      <c r="AC35" s="28"/>
      <c r="AD35" s="28"/>
      <c r="AE35" s="28"/>
      <c r="AF35" s="28"/>
      <c r="AG35" s="28"/>
      <c r="AH35" s="28">
        <f>IF(AG35&gt;0,VLOOKUP(G35,'价值&amp;消耗'!$U$173:$V$178,2,FALSE),0)</f>
        <v>0</v>
      </c>
      <c r="AI35" s="28"/>
      <c r="AJ35" s="28">
        <f t="shared" si="0"/>
        <v>0</v>
      </c>
      <c r="AK35" s="28">
        <f>IF(COUNTIF($I35:I35,"&gt;0")&gt;$AJ35,0,I35)</f>
        <v>0</v>
      </c>
      <c r="AL35" s="28">
        <f>IF(COUNTIF($I35:J35,"&gt;0")&gt;$AJ35,0,J35)</f>
        <v>0</v>
      </c>
      <c r="AM35" s="28">
        <f>IF(COUNTIF($I35:K35,"&gt;0")&gt;$AJ35,0,K35)</f>
        <v>0</v>
      </c>
      <c r="AN35" s="28">
        <f>IF(COUNTIF($I35:L35,"&gt;0")&gt;$AJ35,0,L35)</f>
        <v>0</v>
      </c>
      <c r="AO35" s="28">
        <f>IF(COUNTIF($I35:M35,"&gt;0")&gt;$AJ35,0,M35)</f>
        <v>0</v>
      </c>
      <c r="AP35" s="28">
        <f>IF(COUNTIF($I35:N35,"&gt;0")&gt;$AJ35,0,N35)</f>
        <v>0</v>
      </c>
      <c r="AQ35" s="28">
        <f>IF(COUNTIF($I35:O35,"&gt;0")&gt;$AJ35,0,O35)</f>
        <v>0</v>
      </c>
      <c r="AR35" s="28">
        <f>IF(COUNTIF($I35:P35,"&gt;0")&gt;$AJ35,0,P35)</f>
        <v>0</v>
      </c>
      <c r="AS35" s="28">
        <f>IF(COUNTIF($I35:Q35,"&gt;0")&gt;$AJ35,0,Q35)</f>
        <v>0</v>
      </c>
      <c r="AT35" s="28">
        <f>IF(COUNTIF($I35:R35,"&gt;0")&gt;$AJ35,0,R35)</f>
        <v>0</v>
      </c>
      <c r="AU35" s="28">
        <f>SUMPRODUCT(AK35:AT35,定义数据!$G$14:$P$14)</f>
        <v>0</v>
      </c>
      <c r="AV35" s="28">
        <f t="shared" si="4"/>
        <v>0</v>
      </c>
      <c r="AW35" s="28">
        <f t="shared" si="1"/>
        <v>0</v>
      </c>
      <c r="AX35" s="28">
        <f t="shared" si="2"/>
        <v>0</v>
      </c>
      <c r="AY35" s="28">
        <f t="shared" si="3"/>
        <v>0</v>
      </c>
    </row>
    <row r="36" spans="3:51" x14ac:dyDescent="0.15">
      <c r="C36" s="28" t="str">
        <f>H36&amp;F36&amp;VLOOKUP(G36,定义数据!$E$1:$F$7,2,FALSE)</f>
        <v>505</v>
      </c>
      <c r="D36" s="28"/>
      <c r="E36" s="28">
        <f>装备属性计算表!AK35</f>
        <v>2</v>
      </c>
      <c r="F36" s="28">
        <f>装备属性计算表!B35</f>
        <v>0</v>
      </c>
      <c r="G36" s="28" t="str">
        <f>装备属性计算表!C35</f>
        <v>鞋子</v>
      </c>
      <c r="H36" s="28">
        <f>装备属性计算表!D35</f>
        <v>5</v>
      </c>
      <c r="I36" s="28">
        <f>VLOOKUP($G36,装备属性计算表!$D$14:$O$19,装备属性计算表!F$2,FALSE)/装备属性计算表!F$20*VLOOKUP($H36&amp;$F36,$C$3:$P$28,G$1,FALSE)</f>
        <v>32.665133183200467</v>
      </c>
      <c r="J36" s="28">
        <f>VLOOKUP($G36,装备属性计算表!$D$14:$O$19,装备属性计算表!G$2,FALSE)/装备属性计算表!G$20*VLOOKUP($H36&amp;$F36,$C$3:$P$28,H$1,FALSE)</f>
        <v>0</v>
      </c>
      <c r="K36" s="28">
        <f>VLOOKUP($G36,装备属性计算表!$D$14:$O$19,装备属性计算表!H$2,FALSE)/装备属性计算表!H$20*VLOOKUP($H36&amp;$F36,$C$3:$P$28,I$1,FALSE)</f>
        <v>0</v>
      </c>
      <c r="L36" s="28">
        <f>VLOOKUP($G36,装备属性计算表!$D$14:$O$19,装备属性计算表!I$2,FALSE)/装备属性计算表!I$20*VLOOKUP($H36&amp;$F36,$C$3:$P$28,J$1,FALSE)</f>
        <v>3.125</v>
      </c>
      <c r="M36" s="28">
        <f>VLOOKUP($G36,装备属性计算表!$D$14:$O$19,装备属性计算表!J$2,FALSE)/装备属性计算表!J$20*VLOOKUP($H36&amp;$F36,$C$3:$P$28,K$1,FALSE)</f>
        <v>2.6041666666666665</v>
      </c>
      <c r="N36" s="28">
        <f>VLOOKUP($G36,装备属性计算表!$D$14:$O$19,装备属性计算表!K$2,FALSE)/装备属性计算表!K$20*VLOOKUP($H36&amp;$F36,$C$3:$P$28,L$1,FALSE)</f>
        <v>0.92592592592592604</v>
      </c>
      <c r="O36" s="28">
        <f>VLOOKUP($G36,装备属性计算表!$D$14:$O$19,装备属性计算表!L$2,FALSE)/装备属性计算表!L$20*VLOOKUP($H36&amp;$F36,$C$3:$P$28,M$1,FALSE)</f>
        <v>0</v>
      </c>
      <c r="P36" s="28">
        <f>VLOOKUP($G36,装备属性计算表!$D$14:$O$19,装备属性计算表!M$2,FALSE)/装备属性计算表!M$20*VLOOKUP($H36&amp;$F36,$C$3:$P$28,N$1,FALSE)</f>
        <v>0</v>
      </c>
      <c r="Q36" s="28">
        <f>VLOOKUP($G36,装备属性计算表!$D$14:$O$19,装备属性计算表!N$2,FALSE)/装备属性计算表!N$20*VLOOKUP($H36&amp;$F36,$C$3:$P$28,O$1,FALSE)</f>
        <v>0</v>
      </c>
      <c r="R36" s="28">
        <f>VLOOKUP($G36,装备属性计算表!$D$14:$O$19,装备属性计算表!O$2,FALSE)/装备属性计算表!O$20*VLOOKUP($H36&amp;$F36,$C$3:$P$28,P$1,FALSE)</f>
        <v>0</v>
      </c>
      <c r="X36" s="28"/>
      <c r="Y36" s="28">
        <v>0</v>
      </c>
      <c r="Z36" s="28">
        <v>0</v>
      </c>
      <c r="AA36" s="28">
        <v>0</v>
      </c>
      <c r="AB36" s="28"/>
      <c r="AC36" s="28"/>
      <c r="AD36" s="28"/>
      <c r="AE36" s="28"/>
      <c r="AF36" s="28"/>
      <c r="AG36" s="28"/>
      <c r="AH36" s="28">
        <f>IF(AG36&gt;0,VLOOKUP(G36,'价值&amp;消耗'!$U$173:$V$178,2,FALSE),0)</f>
        <v>0</v>
      </c>
      <c r="AI36" s="28"/>
      <c r="AJ36" s="28">
        <f t="shared" si="0"/>
        <v>0</v>
      </c>
      <c r="AK36" s="28">
        <f>IF(COUNTIF($I36:I36,"&gt;0")&gt;$AJ36,0,I36)</f>
        <v>0</v>
      </c>
      <c r="AL36" s="28">
        <f>IF(COUNTIF($I36:J36,"&gt;0")&gt;$AJ36,0,J36)</f>
        <v>0</v>
      </c>
      <c r="AM36" s="28">
        <f>IF(COUNTIF($I36:K36,"&gt;0")&gt;$AJ36,0,K36)</f>
        <v>0</v>
      </c>
      <c r="AN36" s="28">
        <f>IF(COUNTIF($I36:L36,"&gt;0")&gt;$AJ36,0,L36)</f>
        <v>0</v>
      </c>
      <c r="AO36" s="28">
        <f>IF(COUNTIF($I36:M36,"&gt;0")&gt;$AJ36,0,M36)</f>
        <v>0</v>
      </c>
      <c r="AP36" s="28">
        <f>IF(COUNTIF($I36:N36,"&gt;0")&gt;$AJ36,0,N36)</f>
        <v>0</v>
      </c>
      <c r="AQ36" s="28">
        <f>IF(COUNTIF($I36:O36,"&gt;0")&gt;$AJ36,0,O36)</f>
        <v>0</v>
      </c>
      <c r="AR36" s="28">
        <f>IF(COUNTIF($I36:P36,"&gt;0")&gt;$AJ36,0,P36)</f>
        <v>0</v>
      </c>
      <c r="AS36" s="28">
        <f>IF(COUNTIF($I36:Q36,"&gt;0")&gt;$AJ36,0,Q36)</f>
        <v>0</v>
      </c>
      <c r="AT36" s="28">
        <f>IF(COUNTIF($I36:R36,"&gt;0")&gt;$AJ36,0,R36)</f>
        <v>0</v>
      </c>
      <c r="AU36" s="28">
        <f>SUMPRODUCT(AK36:AT36,定义数据!$G$14:$P$14)</f>
        <v>0</v>
      </c>
      <c r="AV36" s="28">
        <f t="shared" si="4"/>
        <v>0</v>
      </c>
      <c r="AW36" s="28">
        <f t="shared" si="1"/>
        <v>0</v>
      </c>
      <c r="AX36" s="28">
        <f t="shared" si="2"/>
        <v>0</v>
      </c>
      <c r="AY36" s="28">
        <f t="shared" si="3"/>
        <v>0</v>
      </c>
    </row>
    <row r="37" spans="3:51" x14ac:dyDescent="0.15">
      <c r="C37" s="28" t="str">
        <f>H37&amp;F37&amp;VLOOKUP(G37,定义数据!$E$1:$F$7,2,FALSE)</f>
        <v>504</v>
      </c>
      <c r="D37" s="28"/>
      <c r="E37" s="28">
        <f>装备属性计算表!AK36</f>
        <v>2</v>
      </c>
      <c r="F37" s="28">
        <f>装备属性计算表!B36</f>
        <v>0</v>
      </c>
      <c r="G37" s="28" t="str">
        <f>装备属性计算表!C36</f>
        <v>腰带</v>
      </c>
      <c r="H37" s="28">
        <f>装备属性计算表!D36</f>
        <v>5</v>
      </c>
      <c r="I37" s="28">
        <f>VLOOKUP($G37,装备属性计算表!$D$14:$O$19,装备属性计算表!F$2,FALSE)/装备属性计算表!F$20*VLOOKUP($H37&amp;$F37,$C$3:$P$28,G$1,FALSE)</f>
        <v>65.330266366400934</v>
      </c>
      <c r="J37" s="28">
        <f>VLOOKUP($G37,装备属性计算表!$D$14:$O$19,装备属性计算表!G$2,FALSE)/装备属性计算表!G$20*VLOOKUP($H37&amp;$F37,$C$3:$P$28,H$1,FALSE)</f>
        <v>1.9909886631016052</v>
      </c>
      <c r="K37" s="28">
        <f>VLOOKUP($G37,装备属性计算表!$D$14:$O$19,装备属性计算表!H$2,FALSE)/装备属性计算表!H$20*VLOOKUP($H37&amp;$F37,$C$3:$P$28,I$1,FALSE)</f>
        <v>0.71695528596187175</v>
      </c>
      <c r="L37" s="28">
        <f>VLOOKUP($G37,装备属性计算表!$D$14:$O$19,装备属性计算表!I$2,FALSE)/装备属性计算表!I$20*VLOOKUP($H37&amp;$F37,$C$3:$P$28,J$1,FALSE)</f>
        <v>0</v>
      </c>
      <c r="M37" s="28">
        <f>VLOOKUP($G37,装备属性计算表!$D$14:$O$19,装备属性计算表!J$2,FALSE)/装备属性计算表!J$20*VLOOKUP($H37&amp;$F37,$C$3:$P$28,K$1,FALSE)</f>
        <v>0</v>
      </c>
      <c r="N37" s="28">
        <f>VLOOKUP($G37,装备属性计算表!$D$14:$O$19,装备属性计算表!K$2,FALSE)/装备属性计算表!K$20*VLOOKUP($H37&amp;$F37,$C$3:$P$28,L$1,FALSE)</f>
        <v>0</v>
      </c>
      <c r="O37" s="28">
        <f>VLOOKUP($G37,装备属性计算表!$D$14:$O$19,装备属性计算表!L$2,FALSE)/装备属性计算表!L$20*VLOOKUP($H37&amp;$F37,$C$3:$P$28,M$1,FALSE)</f>
        <v>0</v>
      </c>
      <c r="P37" s="28">
        <f>VLOOKUP($G37,装备属性计算表!$D$14:$O$19,装备属性计算表!M$2,FALSE)/装备属性计算表!M$20*VLOOKUP($H37&amp;$F37,$C$3:$P$28,N$1,FALSE)</f>
        <v>1.5432098765432098</v>
      </c>
      <c r="Q37" s="28">
        <f>VLOOKUP($G37,装备属性计算表!$D$14:$O$19,装备属性计算表!N$2,FALSE)/装备属性计算表!N$20*VLOOKUP($H37&amp;$F37,$C$3:$P$28,O$1,FALSE)</f>
        <v>0</v>
      </c>
      <c r="R37" s="28">
        <f>VLOOKUP($G37,装备属性计算表!$D$14:$O$19,装备属性计算表!O$2,FALSE)/装备属性计算表!O$20*VLOOKUP($H37&amp;$F37,$C$3:$P$28,P$1,FALSE)</f>
        <v>0</v>
      </c>
      <c r="X37" s="28"/>
      <c r="Y37" s="28">
        <v>0</v>
      </c>
      <c r="Z37" s="28">
        <v>0</v>
      </c>
      <c r="AA37" s="28">
        <v>0</v>
      </c>
      <c r="AB37" s="28"/>
      <c r="AC37" s="28"/>
      <c r="AD37" s="28"/>
      <c r="AE37" s="28"/>
      <c r="AF37" s="28"/>
      <c r="AG37" s="28"/>
      <c r="AH37" s="28">
        <f>IF(AG37&gt;0,VLOOKUP(G37,'价值&amp;消耗'!$U$173:$V$178,2,FALSE),0)</f>
        <v>0</v>
      </c>
      <c r="AI37" s="28"/>
      <c r="AJ37" s="28">
        <f t="shared" si="0"/>
        <v>0</v>
      </c>
      <c r="AK37" s="28">
        <f>IF(COUNTIF($I37:I37,"&gt;0")&gt;$AJ37,0,I37)</f>
        <v>0</v>
      </c>
      <c r="AL37" s="28">
        <f>IF(COUNTIF($I37:J37,"&gt;0")&gt;$AJ37,0,J37)</f>
        <v>0</v>
      </c>
      <c r="AM37" s="28">
        <f>IF(COUNTIF($I37:K37,"&gt;0")&gt;$AJ37,0,K37)</f>
        <v>0</v>
      </c>
      <c r="AN37" s="28">
        <f>IF(COUNTIF($I37:L37,"&gt;0")&gt;$AJ37,0,L37)</f>
        <v>0</v>
      </c>
      <c r="AO37" s="28">
        <f>IF(COUNTIF($I37:M37,"&gt;0")&gt;$AJ37,0,M37)</f>
        <v>0</v>
      </c>
      <c r="AP37" s="28">
        <f>IF(COUNTIF($I37:N37,"&gt;0")&gt;$AJ37,0,N37)</f>
        <v>0</v>
      </c>
      <c r="AQ37" s="28">
        <f>IF(COUNTIF($I37:O37,"&gt;0")&gt;$AJ37,0,O37)</f>
        <v>0</v>
      </c>
      <c r="AR37" s="28">
        <f>IF(COUNTIF($I37:P37,"&gt;0")&gt;$AJ37,0,P37)</f>
        <v>0</v>
      </c>
      <c r="AS37" s="28">
        <f>IF(COUNTIF($I37:Q37,"&gt;0")&gt;$AJ37,0,Q37)</f>
        <v>0</v>
      </c>
      <c r="AT37" s="28">
        <f>IF(COUNTIF($I37:R37,"&gt;0")&gt;$AJ37,0,R37)</f>
        <v>0</v>
      </c>
      <c r="AU37" s="28">
        <f>SUMPRODUCT(AK37:AT37,定义数据!$G$14:$P$14)</f>
        <v>0</v>
      </c>
      <c r="AV37" s="28">
        <f t="shared" si="4"/>
        <v>0</v>
      </c>
      <c r="AW37" s="28">
        <f t="shared" si="1"/>
        <v>0</v>
      </c>
      <c r="AX37" s="28">
        <f t="shared" si="2"/>
        <v>0</v>
      </c>
      <c r="AY37" s="28">
        <f t="shared" si="3"/>
        <v>0</v>
      </c>
    </row>
    <row r="38" spans="3:51" x14ac:dyDescent="0.15">
      <c r="C38" s="28" t="str">
        <f>H38&amp;F38&amp;VLOOKUP(G38,定义数据!$E$1:$F$7,2,FALSE)</f>
        <v>503</v>
      </c>
      <c r="D38" s="28"/>
      <c r="E38" s="28">
        <f>装备属性计算表!AK37</f>
        <v>2</v>
      </c>
      <c r="F38" s="28">
        <f>装备属性计算表!B37</f>
        <v>0</v>
      </c>
      <c r="G38" s="28" t="str">
        <f>装备属性计算表!C37</f>
        <v>项链</v>
      </c>
      <c r="H38" s="28">
        <f>装备属性计算表!D37</f>
        <v>5</v>
      </c>
      <c r="I38" s="28">
        <f>VLOOKUP($G38,装备属性计算表!$D$14:$O$19,装备属性计算表!F$2,FALSE)/装备属性计算表!F$20*VLOOKUP($H38&amp;$F38,$C$3:$P$28,G$1,FALSE)</f>
        <v>0</v>
      </c>
      <c r="J38" s="28">
        <f>VLOOKUP($G38,装备属性计算表!$D$14:$O$19,装备属性计算表!G$2,FALSE)/装备属性计算表!G$20*VLOOKUP($H38&amp;$F38,$C$3:$P$28,H$1,FALSE)</f>
        <v>1.9909886631016052</v>
      </c>
      <c r="K38" s="28">
        <f>VLOOKUP($G38,装备属性计算表!$D$14:$O$19,装备属性计算表!H$2,FALSE)/装备属性计算表!H$20*VLOOKUP($H38&amp;$F38,$C$3:$P$28,I$1,FALSE)</f>
        <v>0</v>
      </c>
      <c r="L38" s="28">
        <f>VLOOKUP($G38,装备属性计算表!$D$14:$O$19,装备属性计算表!I$2,FALSE)/装备属性计算表!I$20*VLOOKUP($H38&amp;$F38,$C$3:$P$28,J$1,FALSE)</f>
        <v>1.5625</v>
      </c>
      <c r="M38" s="28">
        <f>VLOOKUP($G38,装备属性计算表!$D$14:$O$19,装备属性计算表!J$2,FALSE)/装备属性计算表!J$20*VLOOKUP($H38&amp;$F38,$C$3:$P$28,K$1,FALSE)</f>
        <v>2.6041666666666665</v>
      </c>
      <c r="N38" s="28">
        <f>VLOOKUP($G38,装备属性计算表!$D$14:$O$19,装备属性计算表!K$2,FALSE)/装备属性计算表!K$20*VLOOKUP($H38&amp;$F38,$C$3:$P$28,L$1,FALSE)</f>
        <v>1.8518518518518521</v>
      </c>
      <c r="O38" s="28">
        <f>VLOOKUP($G38,装备属性计算表!$D$14:$O$19,装备属性计算表!L$2,FALSE)/装备属性计算表!L$20*VLOOKUP($H38&amp;$F38,$C$3:$P$28,M$1,FALSE)</f>
        <v>0</v>
      </c>
      <c r="P38" s="28">
        <f>VLOOKUP($G38,装备属性计算表!$D$14:$O$19,装备属性计算表!M$2,FALSE)/装备属性计算表!M$20*VLOOKUP($H38&amp;$F38,$C$3:$P$28,N$1,FALSE)</f>
        <v>0</v>
      </c>
      <c r="Q38" s="28">
        <f>VLOOKUP($G38,装备属性计算表!$D$14:$O$19,装备属性计算表!N$2,FALSE)/装备属性计算表!N$20*VLOOKUP($H38&amp;$F38,$C$3:$P$28,O$1,FALSE)</f>
        <v>0</v>
      </c>
      <c r="R38" s="28">
        <f>VLOOKUP($G38,装备属性计算表!$D$14:$O$19,装备属性计算表!O$2,FALSE)/装备属性计算表!O$20*VLOOKUP($H38&amp;$F38,$C$3:$P$28,P$1,FALSE)</f>
        <v>0</v>
      </c>
      <c r="X38" s="28">
        <f>SUM(AY33:AY38)</f>
        <v>0</v>
      </c>
      <c r="Y38" s="28">
        <v>0</v>
      </c>
      <c r="Z38" s="28">
        <v>0</v>
      </c>
      <c r="AA38" s="28">
        <v>0</v>
      </c>
      <c r="AB38" s="28"/>
      <c r="AC38" s="28"/>
      <c r="AD38" s="28"/>
      <c r="AE38" s="28"/>
      <c r="AF38" s="28"/>
      <c r="AG38" s="28"/>
      <c r="AH38" s="28">
        <f>IF(AG38&gt;0,VLOOKUP(G38,'价值&amp;消耗'!$U$173:$V$178,2,FALSE),0)</f>
        <v>0</v>
      </c>
      <c r="AI38" s="28"/>
      <c r="AJ38" s="28">
        <f t="shared" si="0"/>
        <v>0</v>
      </c>
      <c r="AK38" s="28">
        <f>IF(COUNTIF($I38:I38,"&gt;0")&gt;$AJ38,0,I38)</f>
        <v>0</v>
      </c>
      <c r="AL38" s="28">
        <f>IF(COUNTIF($I38:J38,"&gt;0")&gt;$AJ38,0,J38)</f>
        <v>0</v>
      </c>
      <c r="AM38" s="28">
        <f>IF(COUNTIF($I38:K38,"&gt;0")&gt;$AJ38,0,K38)</f>
        <v>0</v>
      </c>
      <c r="AN38" s="28">
        <f>IF(COUNTIF($I38:L38,"&gt;0")&gt;$AJ38,0,L38)</f>
        <v>0</v>
      </c>
      <c r="AO38" s="28">
        <f>IF(COUNTIF($I38:M38,"&gt;0")&gt;$AJ38,0,M38)</f>
        <v>0</v>
      </c>
      <c r="AP38" s="28">
        <f>IF(COUNTIF($I38:N38,"&gt;0")&gt;$AJ38,0,N38)</f>
        <v>0</v>
      </c>
      <c r="AQ38" s="28">
        <f>IF(COUNTIF($I38:O38,"&gt;0")&gt;$AJ38,0,O38)</f>
        <v>0</v>
      </c>
      <c r="AR38" s="28">
        <f>IF(COUNTIF($I38:P38,"&gt;0")&gt;$AJ38,0,P38)</f>
        <v>0</v>
      </c>
      <c r="AS38" s="28">
        <f>IF(COUNTIF($I38:Q38,"&gt;0")&gt;$AJ38,0,Q38)</f>
        <v>0</v>
      </c>
      <c r="AT38" s="28">
        <f>IF(COUNTIF($I38:R38,"&gt;0")&gt;$AJ38,0,R38)</f>
        <v>0</v>
      </c>
      <c r="AU38" s="28">
        <f>SUMPRODUCT(AK38:AT38,定义数据!$G$14:$P$14)</f>
        <v>0</v>
      </c>
      <c r="AV38" s="28">
        <f t="shared" si="4"/>
        <v>0</v>
      </c>
      <c r="AW38" s="28">
        <f t="shared" si="1"/>
        <v>0</v>
      </c>
      <c r="AX38" s="28">
        <f t="shared" si="2"/>
        <v>0</v>
      </c>
      <c r="AY38" s="28">
        <f t="shared" si="3"/>
        <v>0</v>
      </c>
    </row>
    <row r="39" spans="3:51" x14ac:dyDescent="0.15">
      <c r="C39" s="28" t="str">
        <f>H39&amp;F39&amp;VLOOKUP(G39,定义数据!$E$1:$F$7,2,FALSE)</f>
        <v>510</v>
      </c>
      <c r="D39" s="28"/>
      <c r="E39" s="28">
        <f>装备属性计算表!AK38</f>
        <v>3</v>
      </c>
      <c r="F39" s="28">
        <f>装备属性计算表!B38</f>
        <v>1</v>
      </c>
      <c r="G39" s="28" t="str">
        <f>装备属性计算表!C38</f>
        <v>武器</v>
      </c>
      <c r="H39" s="28">
        <f>装备属性计算表!D38</f>
        <v>5</v>
      </c>
      <c r="I39" s="28">
        <f>VLOOKUP($G39,装备属性计算表!$D$14:$O$19,装备属性计算表!F$2,FALSE)/装备属性计算表!F$20*VLOOKUP($H39&amp;$F39,$C$3:$P$28,G$1,FALSE)</f>
        <v>0</v>
      </c>
      <c r="J39" s="28">
        <f>VLOOKUP($G39,装备属性计算表!$D$14:$O$19,装备属性计算表!G$2,FALSE)/装备属性计算表!G$20*VLOOKUP($H39&amp;$F39,$C$3:$P$28,H$1,FALSE)</f>
        <v>8.9594489839572216</v>
      </c>
      <c r="K39" s="28">
        <f>VLOOKUP($G39,装备属性计算表!$D$14:$O$19,装备属性计算表!H$2,FALSE)/装备属性计算表!H$20*VLOOKUP($H39&amp;$F39,$C$3:$P$28,I$1,FALSE)</f>
        <v>1.0754329289428077</v>
      </c>
      <c r="L39" s="28">
        <f>VLOOKUP($G39,装备属性计算表!$D$14:$O$19,装备属性计算表!I$2,FALSE)/装备属性计算表!I$20*VLOOKUP($H39&amp;$F39,$C$3:$P$28,J$1,FALSE)</f>
        <v>0</v>
      </c>
      <c r="M39" s="28">
        <f>VLOOKUP($G39,装备属性计算表!$D$14:$O$19,装备属性计算表!J$2,FALSE)/装备属性计算表!J$20*VLOOKUP($H39&amp;$F39,$C$3:$P$28,K$1,FALSE)</f>
        <v>3.9062500000000004</v>
      </c>
      <c r="N39" s="28">
        <f>VLOOKUP($G39,装备属性计算表!$D$14:$O$19,装备属性计算表!K$2,FALSE)/装备属性计算表!K$20*VLOOKUP($H39&amp;$F39,$C$3:$P$28,L$1,FALSE)</f>
        <v>2.7777777777777786</v>
      </c>
      <c r="O39" s="28">
        <f>VLOOKUP($G39,装备属性计算表!$D$14:$O$19,装备属性计算表!L$2,FALSE)/装备属性计算表!L$20*VLOOKUP($H39&amp;$F39,$C$3:$P$28,M$1,FALSE)</f>
        <v>0</v>
      </c>
      <c r="P39" s="28">
        <f>VLOOKUP($G39,装备属性计算表!$D$14:$O$19,装备属性计算表!M$2,FALSE)/装备属性计算表!M$20*VLOOKUP($H39&amp;$F39,$C$3:$P$28,N$1,FALSE)</f>
        <v>0</v>
      </c>
      <c r="Q39" s="28">
        <f>VLOOKUP($G39,装备属性计算表!$D$14:$O$19,装备属性计算表!N$2,FALSE)/装备属性计算表!N$20*VLOOKUP($H39&amp;$F39,$C$3:$P$28,O$1,FALSE)</f>
        <v>0</v>
      </c>
      <c r="R39" s="28">
        <f>VLOOKUP($G39,装备属性计算表!$D$14:$O$19,装备属性计算表!O$2,FALSE)/装备属性计算表!O$20*VLOOKUP($H39&amp;$F39,$C$3:$P$28,P$1,FALSE)</f>
        <v>0</v>
      </c>
      <c r="X39" s="28"/>
      <c r="Y39" s="28">
        <f t="shared" ref="Y39:Y82" si="5">IF(ROUNDDOWN($Z$20/AV39,0)&lt;$Z$16,ROUNDDOWN($Z$20/AV39,0),$Z$16)</f>
        <v>2</v>
      </c>
      <c r="Z39" s="28">
        <f t="shared" ref="Z39:Z82" si="6">IF(ROUNDDOWN($AA$20/AW39,0)&lt;10,ROUNDDOWN($AA$20/AW39,0),$Z$16)</f>
        <v>10</v>
      </c>
      <c r="AA39" s="28">
        <f>$Z$16</f>
        <v>10</v>
      </c>
      <c r="AB39" s="28">
        <f t="shared" ref="AB39:AB82" si="7">ROUNDUP((Y39*(Y39+1)/2)*$AV39/Y$20,0)</f>
        <v>7</v>
      </c>
      <c r="AC39" s="28">
        <f t="shared" ref="AC39:AC82" si="8">ROUNDUP(IF(Z39&gt;$Z$16,(($Z$16*($Z$16+1)/2)-(Y39+1)*Y39/2)*$AV39/Z$20,((Z39*(Z39+1)/2)-(Y39+1)*Y39/2)*$AV39/Z$20),0)</f>
        <v>24</v>
      </c>
      <c r="AD39" s="28">
        <f t="shared" ref="AD39:AD82" si="9">ROUNDUP(IF(AA39&gt;$Z$16,(($Z$16*($Z$16+1)/2)-(Z39+1)*Z39/2)*$AV39/AA$20,((AA39*(AA39+1)/2)-(Z39+1)*Z39/2)*$AV39/AA$20),0)</f>
        <v>0</v>
      </c>
      <c r="AE39" s="28">
        <f>SUMPRODUCT(AB39:AD39,$Y$20:$AA$20)</f>
        <v>25400</v>
      </c>
      <c r="AF39" s="28">
        <f t="shared" ref="AF39:AF82" si="10">AE39-AX39</f>
        <v>650</v>
      </c>
      <c r="AG39" s="28">
        <f>ROUNDUP(AV39/300,0)</f>
        <v>2</v>
      </c>
      <c r="AH39" s="28">
        <f>IF(AG39&gt;0,VLOOKUP(G39,'价值&amp;消耗'!$U$173:$V$178,2,FALSE),0)</f>
        <v>70010</v>
      </c>
      <c r="AI39" s="28">
        <f>($Z$16+1)*$Z$16/2*AG39</f>
        <v>110</v>
      </c>
      <c r="AJ39" s="28">
        <f t="shared" si="0"/>
        <v>1</v>
      </c>
      <c r="AK39" s="28">
        <f>ROUND(IF(COUNTIF($I39:I39,"&gt;0")&gt;$AJ39,0,I39),0)</f>
        <v>0</v>
      </c>
      <c r="AL39" s="28">
        <f>ROUND(IF(COUNTIF($I39:J39,"&gt;0")&gt;$AJ39,0,J39),0)</f>
        <v>9</v>
      </c>
      <c r="AM39" s="28">
        <f>ROUND(IF(COUNTIF($I39:K39,"&gt;0")&gt;$AJ39,0,K39),0)</f>
        <v>0</v>
      </c>
      <c r="AN39" s="28">
        <f>ROUND(IF(COUNTIF($I39:L39,"&gt;0")&gt;$AJ39,0,L39),0)</f>
        <v>0</v>
      </c>
      <c r="AO39" s="28">
        <f>ROUND(IF(COUNTIF($I39:M39,"&gt;0")&gt;$AJ39,0,M39),0)</f>
        <v>0</v>
      </c>
      <c r="AP39" s="28">
        <f>ROUND(IF(COUNTIF($I39:N39,"&gt;0")&gt;$AJ39,0,N39),0)</f>
        <v>0</v>
      </c>
      <c r="AQ39" s="28">
        <f>ROUND(IF(COUNTIF($I39:O39,"&gt;0")&gt;$AJ39,0,O39),0)</f>
        <v>0</v>
      </c>
      <c r="AR39" s="28">
        <f>ROUND(IF(COUNTIF($I39:P39,"&gt;0")&gt;$AJ39,0,P39),0)</f>
        <v>0</v>
      </c>
      <c r="AS39" s="28">
        <f>IF(COUNTIF($I39:Q39,"&gt;0")&gt;$AJ39,0,Q39)</f>
        <v>0</v>
      </c>
      <c r="AT39" s="28">
        <f>IF(COUNTIF($I39:R39,"&gt;0")&gt;$AJ39,0,R39)</f>
        <v>0</v>
      </c>
      <c r="AU39" s="28">
        <f>SUMPRODUCT(AK39:AT39,定义数据!$G$14:$P$14)</f>
        <v>9</v>
      </c>
      <c r="AV39" s="28">
        <f t="shared" si="4"/>
        <v>450</v>
      </c>
      <c r="AW39" s="28">
        <f>ROUND(AU39*$U$32,0)</f>
        <v>450</v>
      </c>
      <c r="AX39" s="28">
        <f>($Z$16+1)*$Z$16/2*AV39</f>
        <v>24750</v>
      </c>
      <c r="AY39" s="28">
        <f>($Z$16+1)*$Z$16/2*AW39</f>
        <v>24750</v>
      </c>
    </row>
    <row r="40" spans="3:51" x14ac:dyDescent="0.15">
      <c r="C40" s="28" t="str">
        <f>H40&amp;F40&amp;VLOOKUP(G40,定义数据!$E$1:$F$7,2,FALSE)</f>
        <v>511</v>
      </c>
      <c r="D40" s="28"/>
      <c r="E40" s="28">
        <f>装备属性计算表!AK39</f>
        <v>3</v>
      </c>
      <c r="F40" s="28">
        <f>装备属性计算表!B39</f>
        <v>1</v>
      </c>
      <c r="G40" s="28" t="str">
        <f>装备属性计算表!C39</f>
        <v>衣服</v>
      </c>
      <c r="H40" s="28">
        <f>装备属性计算表!D39</f>
        <v>5</v>
      </c>
      <c r="I40" s="28">
        <f>VLOOKUP($G40,装备属性计算表!$D$14:$O$19,装备属性计算表!F$2,FALSE)/装备属性计算表!F$20*VLOOKUP($H40&amp;$F40,$C$3:$P$28,G$1,FALSE)</f>
        <v>97.995399549601387</v>
      </c>
      <c r="J40" s="28">
        <f>VLOOKUP($G40,装备属性计算表!$D$14:$O$19,装备属性计算表!G$2,FALSE)/装备属性计算表!G$20*VLOOKUP($H40&amp;$F40,$C$3:$P$28,H$1,FALSE)</f>
        <v>0</v>
      </c>
      <c r="K40" s="28">
        <f>VLOOKUP($G40,装备属性计算表!$D$14:$O$19,装备属性计算表!H$2,FALSE)/装备属性计算表!H$20*VLOOKUP($H40&amp;$F40,$C$3:$P$28,I$1,FALSE)</f>
        <v>3.2262987868284236</v>
      </c>
      <c r="L40" s="28">
        <f>VLOOKUP($G40,装备属性计算表!$D$14:$O$19,装备属性计算表!I$2,FALSE)/装备属性计算表!I$20*VLOOKUP($H40&amp;$F40,$C$3:$P$28,J$1,FALSE)</f>
        <v>2.3437500000000004</v>
      </c>
      <c r="M40" s="28">
        <f>VLOOKUP($G40,装备属性计算表!$D$14:$O$19,装备属性计算表!J$2,FALSE)/装备属性计算表!J$20*VLOOKUP($H40&amp;$F40,$C$3:$P$28,K$1,FALSE)</f>
        <v>0</v>
      </c>
      <c r="N40" s="28">
        <f>VLOOKUP($G40,装备属性计算表!$D$14:$O$19,装备属性计算表!K$2,FALSE)/装备属性计算表!K$20*VLOOKUP($H40&amp;$F40,$C$3:$P$28,L$1,FALSE)</f>
        <v>0</v>
      </c>
      <c r="O40" s="28">
        <f>VLOOKUP($G40,装备属性计算表!$D$14:$O$19,装备属性计算表!L$2,FALSE)/装备属性计算表!L$20*VLOOKUP($H40&amp;$F40,$C$3:$P$28,M$1,FALSE)</f>
        <v>0</v>
      </c>
      <c r="P40" s="28">
        <f>VLOOKUP($G40,装备属性计算表!$D$14:$O$19,装备属性计算表!M$2,FALSE)/装备属性计算表!M$20*VLOOKUP($H40&amp;$F40,$C$3:$P$28,N$1,FALSE)</f>
        <v>2.3148148148148149</v>
      </c>
      <c r="Q40" s="28">
        <f>VLOOKUP($G40,装备属性计算表!$D$14:$O$19,装备属性计算表!N$2,FALSE)/装备属性计算表!N$20*VLOOKUP($H40&amp;$F40,$C$3:$P$28,O$1,FALSE)</f>
        <v>0</v>
      </c>
      <c r="R40" s="28">
        <f>VLOOKUP($G40,装备属性计算表!$D$14:$O$19,装备属性计算表!O$2,FALSE)/装备属性计算表!O$20*VLOOKUP($H40&amp;$F40,$C$3:$P$28,P$1,FALSE)</f>
        <v>0</v>
      </c>
      <c r="X40" s="28"/>
      <c r="Y40" s="28">
        <f t="shared" si="5"/>
        <v>5</v>
      </c>
      <c r="Z40" s="28">
        <f t="shared" si="6"/>
        <v>10</v>
      </c>
      <c r="AA40" s="28">
        <f t="shared" ref="AA40:AA115" si="11">$Z$16</f>
        <v>10</v>
      </c>
      <c r="AB40" s="28">
        <f t="shared" si="7"/>
        <v>15</v>
      </c>
      <c r="AC40" s="28">
        <f t="shared" si="8"/>
        <v>8</v>
      </c>
      <c r="AD40" s="28">
        <f t="shared" si="9"/>
        <v>0</v>
      </c>
      <c r="AE40" s="28">
        <f>SUMPRODUCT(AB40:AD40,$Y$20:$AA$20)</f>
        <v>11000</v>
      </c>
      <c r="AF40" s="28">
        <f t="shared" si="10"/>
        <v>220</v>
      </c>
      <c r="AG40" s="28">
        <f t="shared" ref="AG40:AG82" si="12">ROUNDUP(AV40/300,0)</f>
        <v>1</v>
      </c>
      <c r="AH40" s="28">
        <f>IF(AG40&gt;0,VLOOKUP(G40,'价值&amp;消耗'!$U$173:$V$178,2,FALSE),0)</f>
        <v>71010</v>
      </c>
      <c r="AI40" s="28">
        <f t="shared" ref="AI40:AI115" si="13">($Z$16+1)*$Z$16/2*AG40</f>
        <v>55</v>
      </c>
      <c r="AJ40" s="28">
        <f t="shared" si="0"/>
        <v>1</v>
      </c>
      <c r="AK40" s="28">
        <f>ROUND(IF(COUNTIF($I40:I40,"&gt;0")&gt;$AJ40,0,I40),0)</f>
        <v>98</v>
      </c>
      <c r="AL40" s="28">
        <f>ROUND(IF(COUNTIF($I40:J40,"&gt;0")&gt;$AJ40,0,J40),0)</f>
        <v>0</v>
      </c>
      <c r="AM40" s="28">
        <f>ROUND(IF(COUNTIF($I40:K40,"&gt;0")&gt;$AJ40,0,K40),0)</f>
        <v>0</v>
      </c>
      <c r="AN40" s="28">
        <f>ROUND(IF(COUNTIF($I40:L40,"&gt;0")&gt;$AJ40,0,L40),0)</f>
        <v>0</v>
      </c>
      <c r="AO40" s="28">
        <f>ROUND(IF(COUNTIF($I40:M40,"&gt;0")&gt;$AJ40,0,M40),0)</f>
        <v>0</v>
      </c>
      <c r="AP40" s="28">
        <f>ROUND(IF(COUNTIF($I40:N40,"&gt;0")&gt;$AJ40,0,N40),0)</f>
        <v>0</v>
      </c>
      <c r="AQ40" s="28">
        <f>ROUND(IF(COUNTIF($I40:O40,"&gt;0")&gt;$AJ40,0,O40),0)</f>
        <v>0</v>
      </c>
      <c r="AR40" s="28">
        <f>ROUND(IF(COUNTIF($I40:P40,"&gt;0")&gt;$AJ40,0,P40),0)</f>
        <v>0</v>
      </c>
      <c r="AS40" s="28">
        <f>IF(COUNTIF($I40:Q40,"&gt;0")&gt;$AJ40,0,Q40)</f>
        <v>0</v>
      </c>
      <c r="AT40" s="28">
        <f>IF(COUNTIF($I40:R40,"&gt;0")&gt;$AJ40,0,R40)</f>
        <v>0</v>
      </c>
      <c r="AU40" s="28">
        <f>SUMPRODUCT(AK40:AT40,定义数据!$G$14:$P$14)</f>
        <v>3.92</v>
      </c>
      <c r="AV40" s="28">
        <f t="shared" si="4"/>
        <v>196</v>
      </c>
      <c r="AW40" s="28">
        <f t="shared" ref="AW40:AW115" si="14">ROUND(AU40*$U$32,0)</f>
        <v>196</v>
      </c>
      <c r="AX40" s="28">
        <f t="shared" ref="AX40:AX115" si="15">($Z$16+1)*$Z$16/2*AV40</f>
        <v>10780</v>
      </c>
      <c r="AY40" s="28">
        <f t="shared" ref="AY40:AY115" si="16">($Z$16+1)*$Z$16/2*AW40</f>
        <v>10780</v>
      </c>
    </row>
    <row r="41" spans="3:51" x14ac:dyDescent="0.15">
      <c r="C41" s="28" t="str">
        <f>H41&amp;F41&amp;VLOOKUP(G41,定义数据!$E$1:$F$7,2,FALSE)</f>
        <v>512</v>
      </c>
      <c r="D41" s="28"/>
      <c r="E41" s="28">
        <f>装备属性计算表!AK40</f>
        <v>3</v>
      </c>
      <c r="F41" s="28">
        <f>装备属性计算表!B40</f>
        <v>1</v>
      </c>
      <c r="G41" s="28" t="str">
        <f>装备属性计算表!C40</f>
        <v>裤子</v>
      </c>
      <c r="H41" s="28">
        <f>装备属性计算表!D40</f>
        <v>5</v>
      </c>
      <c r="I41" s="28">
        <f>VLOOKUP($G41,装备属性计算表!$D$14:$O$19,装备属性计算表!F$2,FALSE)/装备属性计算表!F$20*VLOOKUP($H41&amp;$F41,$C$3:$P$28,G$1,FALSE)</f>
        <v>48.997699774800694</v>
      </c>
      <c r="J41" s="28">
        <f>VLOOKUP($G41,装备属性计算表!$D$14:$O$19,装备属性计算表!G$2,FALSE)/装备属性计算表!G$20*VLOOKUP($H41&amp;$F41,$C$3:$P$28,H$1,FALSE)</f>
        <v>0</v>
      </c>
      <c r="K41" s="28">
        <f>VLOOKUP($G41,装备属性计算表!$D$14:$O$19,装备属性计算表!H$2,FALSE)/装备属性计算表!H$20*VLOOKUP($H41&amp;$F41,$C$3:$P$28,I$1,FALSE)</f>
        <v>1.0754329289428077</v>
      </c>
      <c r="L41" s="28">
        <f>VLOOKUP($G41,装备属性计算表!$D$14:$O$19,装备属性计算表!I$2,FALSE)/装备属性计算表!I$20*VLOOKUP($H41&amp;$F41,$C$3:$P$28,J$1,FALSE)</f>
        <v>2.3437500000000004</v>
      </c>
      <c r="M41" s="28">
        <f>VLOOKUP($G41,装备属性计算表!$D$14:$O$19,装备属性计算表!J$2,FALSE)/装备属性计算表!J$20*VLOOKUP($H41&amp;$F41,$C$3:$P$28,K$1,FALSE)</f>
        <v>0</v>
      </c>
      <c r="N41" s="28">
        <f>VLOOKUP($G41,装备属性计算表!$D$14:$O$19,装备属性计算表!K$2,FALSE)/装备属性计算表!K$20*VLOOKUP($H41&amp;$F41,$C$3:$P$28,L$1,FALSE)</f>
        <v>0</v>
      </c>
      <c r="O41" s="28">
        <f>VLOOKUP($G41,装备属性计算表!$D$14:$O$19,装备属性计算表!L$2,FALSE)/装备属性计算表!L$20*VLOOKUP($H41&amp;$F41,$C$3:$P$28,M$1,FALSE)</f>
        <v>0</v>
      </c>
      <c r="P41" s="28">
        <f>VLOOKUP($G41,装备属性计算表!$D$14:$O$19,装备属性计算表!M$2,FALSE)/装备属性计算表!M$20*VLOOKUP($H41&amp;$F41,$C$3:$P$28,N$1,FALSE)</f>
        <v>2.3148148148148149</v>
      </c>
      <c r="Q41" s="28">
        <f>VLOOKUP($G41,装备属性计算表!$D$14:$O$19,装备属性计算表!N$2,FALSE)/装备属性计算表!N$20*VLOOKUP($H41&amp;$F41,$C$3:$P$28,O$1,FALSE)</f>
        <v>0</v>
      </c>
      <c r="R41" s="28">
        <f>VLOOKUP($G41,装备属性计算表!$D$14:$O$19,装备属性计算表!O$2,FALSE)/装备属性计算表!O$20*VLOOKUP($H41&amp;$F41,$C$3:$P$28,P$1,FALSE)</f>
        <v>0</v>
      </c>
      <c r="X41" s="28"/>
      <c r="Y41" s="28">
        <f t="shared" si="5"/>
        <v>10</v>
      </c>
      <c r="Z41" s="28">
        <f t="shared" si="6"/>
        <v>10</v>
      </c>
      <c r="AA41" s="28">
        <f t="shared" si="11"/>
        <v>10</v>
      </c>
      <c r="AB41" s="28">
        <f t="shared" si="7"/>
        <v>27</v>
      </c>
      <c r="AC41" s="28">
        <f t="shared" si="8"/>
        <v>0</v>
      </c>
      <c r="AD41" s="28">
        <f t="shared" si="9"/>
        <v>0</v>
      </c>
      <c r="AE41" s="28">
        <f t="shared" ref="AE41:AE115" si="17">SUMPRODUCT(AB41:AD41,$Y$20:$AA$20)</f>
        <v>5400</v>
      </c>
      <c r="AF41" s="28">
        <f t="shared" si="10"/>
        <v>10</v>
      </c>
      <c r="AG41" s="28">
        <f t="shared" si="12"/>
        <v>1</v>
      </c>
      <c r="AH41" s="28">
        <f>IF(AG41&gt;0,VLOOKUP(G41,'价值&amp;消耗'!$U$173:$V$178,2,FALSE),0)</f>
        <v>72010</v>
      </c>
      <c r="AI41" s="28">
        <f t="shared" si="13"/>
        <v>55</v>
      </c>
      <c r="AJ41" s="28">
        <f t="shared" si="0"/>
        <v>1</v>
      </c>
      <c r="AK41" s="28">
        <f>ROUND(IF(COUNTIF($I41:I41,"&gt;0")&gt;$AJ41,0,I41),0)</f>
        <v>49</v>
      </c>
      <c r="AL41" s="28">
        <f>ROUND(IF(COUNTIF($I41:J41,"&gt;0")&gt;$AJ41,0,J41),0)</f>
        <v>0</v>
      </c>
      <c r="AM41" s="28">
        <f>ROUND(IF(COUNTIF($I41:K41,"&gt;0")&gt;$AJ41,0,K41),0)</f>
        <v>0</v>
      </c>
      <c r="AN41" s="28">
        <f>ROUND(IF(COUNTIF($I41:L41,"&gt;0")&gt;$AJ41,0,L41),0)</f>
        <v>0</v>
      </c>
      <c r="AO41" s="28">
        <f>ROUND(IF(COUNTIF($I41:M41,"&gt;0")&gt;$AJ41,0,M41),0)</f>
        <v>0</v>
      </c>
      <c r="AP41" s="28">
        <f>ROUND(IF(COUNTIF($I41:N41,"&gt;0")&gt;$AJ41,0,N41),0)</f>
        <v>0</v>
      </c>
      <c r="AQ41" s="28">
        <f>ROUND(IF(COUNTIF($I41:O41,"&gt;0")&gt;$AJ41,0,O41),0)</f>
        <v>0</v>
      </c>
      <c r="AR41" s="28">
        <f>ROUND(IF(COUNTIF($I41:P41,"&gt;0")&gt;$AJ41,0,P41),0)</f>
        <v>0</v>
      </c>
      <c r="AS41" s="28">
        <f>IF(COUNTIF($I41:Q41,"&gt;0")&gt;$AJ41,0,Q41)</f>
        <v>0</v>
      </c>
      <c r="AT41" s="28">
        <f>IF(COUNTIF($I41:R41,"&gt;0")&gt;$AJ41,0,R41)</f>
        <v>0</v>
      </c>
      <c r="AU41" s="28">
        <f>SUMPRODUCT(AK41:AT41,定义数据!$G$14:$P$14)</f>
        <v>1.96</v>
      </c>
      <c r="AV41" s="28">
        <f>ROUND(AU41*$U$33,0)</f>
        <v>98</v>
      </c>
      <c r="AW41" s="28">
        <f t="shared" si="14"/>
        <v>98</v>
      </c>
      <c r="AX41" s="28">
        <f t="shared" si="15"/>
        <v>5390</v>
      </c>
      <c r="AY41" s="28">
        <f t="shared" si="16"/>
        <v>5390</v>
      </c>
    </row>
    <row r="42" spans="3:51" x14ac:dyDescent="0.15">
      <c r="C42" s="28" t="str">
        <f>H42&amp;F42&amp;VLOOKUP(G42,定义数据!$E$1:$F$7,2,FALSE)</f>
        <v>515</v>
      </c>
      <c r="D42" s="28"/>
      <c r="E42" s="28">
        <f>装备属性计算表!AK41</f>
        <v>3</v>
      </c>
      <c r="F42" s="28">
        <f>装备属性计算表!B41</f>
        <v>1</v>
      </c>
      <c r="G42" s="28" t="str">
        <f>装备属性计算表!C41</f>
        <v>鞋子</v>
      </c>
      <c r="H42" s="28">
        <f>装备属性计算表!D41</f>
        <v>5</v>
      </c>
      <c r="I42" s="28">
        <f>VLOOKUP($G42,装备属性计算表!$D$14:$O$19,装备属性计算表!F$2,FALSE)/装备属性计算表!F$20*VLOOKUP($H42&amp;$F42,$C$3:$P$28,G$1,FALSE)</f>
        <v>48.997699774800694</v>
      </c>
      <c r="J42" s="28">
        <f>VLOOKUP($G42,装备属性计算表!$D$14:$O$19,装备属性计算表!G$2,FALSE)/装备属性计算表!G$20*VLOOKUP($H42&amp;$F42,$C$3:$P$28,H$1,FALSE)</f>
        <v>0</v>
      </c>
      <c r="K42" s="28">
        <f>VLOOKUP($G42,装备属性计算表!$D$14:$O$19,装备属性计算表!H$2,FALSE)/装备属性计算表!H$20*VLOOKUP($H42&amp;$F42,$C$3:$P$28,I$1,FALSE)</f>
        <v>0</v>
      </c>
      <c r="L42" s="28">
        <f>VLOOKUP($G42,装备属性计算表!$D$14:$O$19,装备属性计算表!I$2,FALSE)/装备属性计算表!I$20*VLOOKUP($H42&amp;$F42,$C$3:$P$28,J$1,FALSE)</f>
        <v>4.6875000000000009</v>
      </c>
      <c r="M42" s="28">
        <f>VLOOKUP($G42,装备属性计算表!$D$14:$O$19,装备属性计算表!J$2,FALSE)/装备属性计算表!J$20*VLOOKUP($H42&amp;$F42,$C$3:$P$28,K$1,FALSE)</f>
        <v>3.9062500000000004</v>
      </c>
      <c r="N42" s="28">
        <f>VLOOKUP($G42,装备属性计算表!$D$14:$O$19,装备属性计算表!K$2,FALSE)/装备属性计算表!K$20*VLOOKUP($H42&amp;$F42,$C$3:$P$28,L$1,FALSE)</f>
        <v>1.3888888888888893</v>
      </c>
      <c r="O42" s="28">
        <f>VLOOKUP($G42,装备属性计算表!$D$14:$O$19,装备属性计算表!L$2,FALSE)/装备属性计算表!L$20*VLOOKUP($H42&amp;$F42,$C$3:$P$28,M$1,FALSE)</f>
        <v>0</v>
      </c>
      <c r="P42" s="28">
        <f>VLOOKUP($G42,装备属性计算表!$D$14:$O$19,装备属性计算表!M$2,FALSE)/装备属性计算表!M$20*VLOOKUP($H42&amp;$F42,$C$3:$P$28,N$1,FALSE)</f>
        <v>0</v>
      </c>
      <c r="Q42" s="28">
        <f>VLOOKUP($G42,装备属性计算表!$D$14:$O$19,装备属性计算表!N$2,FALSE)/装备属性计算表!N$20*VLOOKUP($H42&amp;$F42,$C$3:$P$28,O$1,FALSE)</f>
        <v>0</v>
      </c>
      <c r="R42" s="28">
        <f>VLOOKUP($G42,装备属性计算表!$D$14:$O$19,装备属性计算表!O$2,FALSE)/装备属性计算表!O$20*VLOOKUP($H42&amp;$F42,$C$3:$P$28,P$1,FALSE)</f>
        <v>0</v>
      </c>
      <c r="X42" s="28"/>
      <c r="Y42" s="28">
        <f t="shared" si="5"/>
        <v>10</v>
      </c>
      <c r="Z42" s="28">
        <f t="shared" si="6"/>
        <v>10</v>
      </c>
      <c r="AA42" s="28">
        <f t="shared" si="11"/>
        <v>10</v>
      </c>
      <c r="AB42" s="28">
        <f t="shared" si="7"/>
        <v>27</v>
      </c>
      <c r="AC42" s="28">
        <f t="shared" si="8"/>
        <v>0</v>
      </c>
      <c r="AD42" s="28">
        <f t="shared" si="9"/>
        <v>0</v>
      </c>
      <c r="AE42" s="28">
        <f t="shared" si="17"/>
        <v>5400</v>
      </c>
      <c r="AF42" s="28">
        <f t="shared" si="10"/>
        <v>10</v>
      </c>
      <c r="AG42" s="28">
        <f t="shared" si="12"/>
        <v>1</v>
      </c>
      <c r="AH42" s="28">
        <f>IF(AG42&gt;0,VLOOKUP(G42,'价值&amp;消耗'!$U$173:$V$178,2,FALSE),0)</f>
        <v>75010</v>
      </c>
      <c r="AI42" s="28">
        <f t="shared" si="13"/>
        <v>55</v>
      </c>
      <c r="AJ42" s="28">
        <f t="shared" si="0"/>
        <v>1</v>
      </c>
      <c r="AK42" s="28">
        <f>ROUND(IF(COUNTIF($I42:I42,"&gt;0")&gt;$AJ42,0,I42),0)</f>
        <v>49</v>
      </c>
      <c r="AL42" s="28">
        <f>ROUND(IF(COUNTIF($I42:J42,"&gt;0")&gt;$AJ42,0,J42),0)</f>
        <v>0</v>
      </c>
      <c r="AM42" s="28">
        <f>ROUND(IF(COUNTIF($I42:K42,"&gt;0")&gt;$AJ42,0,K42),0)</f>
        <v>0</v>
      </c>
      <c r="AN42" s="28">
        <f>ROUND(IF(COUNTIF($I42:L42,"&gt;0")&gt;$AJ42,0,L42),0)</f>
        <v>0</v>
      </c>
      <c r="AO42" s="28">
        <f>ROUND(IF(COUNTIF($I42:M42,"&gt;0")&gt;$AJ42,0,M42),0)</f>
        <v>0</v>
      </c>
      <c r="AP42" s="28">
        <f>ROUND(IF(COUNTIF($I42:N42,"&gt;0")&gt;$AJ42,0,N42),0)</f>
        <v>0</v>
      </c>
      <c r="AQ42" s="28">
        <f>ROUND(IF(COUNTIF($I42:O42,"&gt;0")&gt;$AJ42,0,O42),0)</f>
        <v>0</v>
      </c>
      <c r="AR42" s="28">
        <f>ROUND(IF(COUNTIF($I42:P42,"&gt;0")&gt;$AJ42,0,P42),0)</f>
        <v>0</v>
      </c>
      <c r="AS42" s="28">
        <f>IF(COUNTIF($I42:Q42,"&gt;0")&gt;$AJ42,0,Q42)</f>
        <v>0</v>
      </c>
      <c r="AT42" s="28">
        <f>IF(COUNTIF($I42:R42,"&gt;0")&gt;$AJ42,0,R42)</f>
        <v>0</v>
      </c>
      <c r="AU42" s="28">
        <f>SUMPRODUCT(AK42:AT42,定义数据!$G$14:$P$14)</f>
        <v>1.96</v>
      </c>
      <c r="AV42" s="28">
        <f t="shared" si="4"/>
        <v>98</v>
      </c>
      <c r="AW42" s="28">
        <f t="shared" si="14"/>
        <v>98</v>
      </c>
      <c r="AX42" s="28">
        <f t="shared" si="15"/>
        <v>5390</v>
      </c>
      <c r="AY42" s="28">
        <f t="shared" si="16"/>
        <v>5390</v>
      </c>
    </row>
    <row r="43" spans="3:51" x14ac:dyDescent="0.15">
      <c r="C43" s="28" t="str">
        <f>H43&amp;F43&amp;VLOOKUP(G43,定义数据!$E$1:$F$7,2,FALSE)</f>
        <v>514</v>
      </c>
      <c r="D43" s="28"/>
      <c r="E43" s="28">
        <f>装备属性计算表!AK42</f>
        <v>3</v>
      </c>
      <c r="F43" s="28">
        <f>装备属性计算表!B42</f>
        <v>1</v>
      </c>
      <c r="G43" s="28" t="str">
        <f>装备属性计算表!C42</f>
        <v>腰带</v>
      </c>
      <c r="H43" s="28">
        <f>装备属性计算表!D42</f>
        <v>5</v>
      </c>
      <c r="I43" s="28">
        <f>VLOOKUP($G43,装备属性计算表!$D$14:$O$19,装备属性计算表!F$2,FALSE)/装备属性计算表!F$20*VLOOKUP($H43&amp;$F43,$C$3:$P$28,G$1,FALSE)</f>
        <v>97.995399549601387</v>
      </c>
      <c r="J43" s="28">
        <f>VLOOKUP($G43,装备属性计算表!$D$14:$O$19,装备属性计算表!G$2,FALSE)/装备属性计算表!G$20*VLOOKUP($H43&amp;$F43,$C$3:$P$28,H$1,FALSE)</f>
        <v>2.9864829946524076</v>
      </c>
      <c r="K43" s="28">
        <f>VLOOKUP($G43,装备属性计算表!$D$14:$O$19,装备属性计算表!H$2,FALSE)/装备属性计算表!H$20*VLOOKUP($H43&amp;$F43,$C$3:$P$28,I$1,FALSE)</f>
        <v>1.0754329289428077</v>
      </c>
      <c r="L43" s="28">
        <f>VLOOKUP($G43,装备属性计算表!$D$14:$O$19,装备属性计算表!I$2,FALSE)/装备属性计算表!I$20*VLOOKUP($H43&amp;$F43,$C$3:$P$28,J$1,FALSE)</f>
        <v>0</v>
      </c>
      <c r="M43" s="28">
        <f>VLOOKUP($G43,装备属性计算表!$D$14:$O$19,装备属性计算表!J$2,FALSE)/装备属性计算表!J$20*VLOOKUP($H43&amp;$F43,$C$3:$P$28,K$1,FALSE)</f>
        <v>0</v>
      </c>
      <c r="N43" s="28">
        <f>VLOOKUP($G43,装备属性计算表!$D$14:$O$19,装备属性计算表!K$2,FALSE)/装备属性计算表!K$20*VLOOKUP($H43&amp;$F43,$C$3:$P$28,L$1,FALSE)</f>
        <v>0</v>
      </c>
      <c r="O43" s="28">
        <f>VLOOKUP($G43,装备属性计算表!$D$14:$O$19,装备属性计算表!L$2,FALSE)/装备属性计算表!L$20*VLOOKUP($H43&amp;$F43,$C$3:$P$28,M$1,FALSE)</f>
        <v>0</v>
      </c>
      <c r="P43" s="28">
        <f>VLOOKUP($G43,装备属性计算表!$D$14:$O$19,装备属性计算表!M$2,FALSE)/装备属性计算表!M$20*VLOOKUP($H43&amp;$F43,$C$3:$P$28,N$1,FALSE)</f>
        <v>2.3148148148148149</v>
      </c>
      <c r="Q43" s="28">
        <f>VLOOKUP($G43,装备属性计算表!$D$14:$O$19,装备属性计算表!N$2,FALSE)/装备属性计算表!N$20*VLOOKUP($H43&amp;$F43,$C$3:$P$28,O$1,FALSE)</f>
        <v>0</v>
      </c>
      <c r="R43" s="28">
        <f>VLOOKUP($G43,装备属性计算表!$D$14:$O$19,装备属性计算表!O$2,FALSE)/装备属性计算表!O$20*VLOOKUP($H43&amp;$F43,$C$3:$P$28,P$1,FALSE)</f>
        <v>0</v>
      </c>
      <c r="X43" s="28"/>
      <c r="Y43" s="28">
        <f t="shared" si="5"/>
        <v>5</v>
      </c>
      <c r="Z43" s="28">
        <f t="shared" si="6"/>
        <v>10</v>
      </c>
      <c r="AA43" s="28">
        <f t="shared" si="11"/>
        <v>10</v>
      </c>
      <c r="AB43" s="28">
        <f t="shared" si="7"/>
        <v>15</v>
      </c>
      <c r="AC43" s="28">
        <f t="shared" si="8"/>
        <v>8</v>
      </c>
      <c r="AD43" s="28">
        <f t="shared" si="9"/>
        <v>0</v>
      </c>
      <c r="AE43" s="28">
        <f t="shared" si="17"/>
        <v>11000</v>
      </c>
      <c r="AF43" s="28">
        <f t="shared" si="10"/>
        <v>220</v>
      </c>
      <c r="AG43" s="28">
        <f t="shared" si="12"/>
        <v>1</v>
      </c>
      <c r="AH43" s="28">
        <f>IF(AG43&gt;0,VLOOKUP(G43,'价值&amp;消耗'!$U$173:$V$178,2,FALSE),0)</f>
        <v>74010</v>
      </c>
      <c r="AI43" s="28">
        <f t="shared" si="13"/>
        <v>55</v>
      </c>
      <c r="AJ43" s="28">
        <f t="shared" si="0"/>
        <v>1</v>
      </c>
      <c r="AK43" s="28">
        <f>ROUND(IF(COUNTIF($I43:I43,"&gt;0")&gt;$AJ43,0,I43),0)</f>
        <v>98</v>
      </c>
      <c r="AL43" s="28">
        <f>ROUND(IF(COUNTIF($I43:J43,"&gt;0")&gt;$AJ43,0,J43),0)</f>
        <v>0</v>
      </c>
      <c r="AM43" s="28">
        <f>ROUND(IF(COUNTIF($I43:K43,"&gt;0")&gt;$AJ43,0,K43),0)</f>
        <v>0</v>
      </c>
      <c r="AN43" s="28">
        <f>ROUND(IF(COUNTIF($I43:L43,"&gt;0")&gt;$AJ43,0,L43),0)</f>
        <v>0</v>
      </c>
      <c r="AO43" s="28">
        <f>ROUND(IF(COUNTIF($I43:M43,"&gt;0")&gt;$AJ43,0,M43),0)</f>
        <v>0</v>
      </c>
      <c r="AP43" s="28">
        <f>ROUND(IF(COUNTIF($I43:N43,"&gt;0")&gt;$AJ43,0,N43),0)</f>
        <v>0</v>
      </c>
      <c r="AQ43" s="28">
        <f>ROUND(IF(COUNTIF($I43:O43,"&gt;0")&gt;$AJ43,0,O43),0)</f>
        <v>0</v>
      </c>
      <c r="AR43" s="28">
        <f>ROUND(IF(COUNTIF($I43:P43,"&gt;0")&gt;$AJ43,0,P43),0)</f>
        <v>0</v>
      </c>
      <c r="AS43" s="28">
        <f>IF(COUNTIF($I43:Q43,"&gt;0")&gt;$AJ43,0,Q43)</f>
        <v>0</v>
      </c>
      <c r="AT43" s="28">
        <f>IF(COUNTIF($I43:R43,"&gt;0")&gt;$AJ43,0,R43)</f>
        <v>0</v>
      </c>
      <c r="AU43" s="28">
        <f>SUMPRODUCT(AK43:AT43,定义数据!$G$14:$P$14)</f>
        <v>3.92</v>
      </c>
      <c r="AV43" s="28">
        <f t="shared" si="4"/>
        <v>196</v>
      </c>
      <c r="AW43" s="28">
        <f t="shared" si="14"/>
        <v>196</v>
      </c>
      <c r="AX43" s="28">
        <f t="shared" si="15"/>
        <v>10780</v>
      </c>
      <c r="AY43" s="28">
        <f t="shared" si="16"/>
        <v>10780</v>
      </c>
    </row>
    <row r="44" spans="3:51" x14ac:dyDescent="0.15">
      <c r="C44" s="28" t="str">
        <f>H44&amp;F44&amp;VLOOKUP(G44,定义数据!$E$1:$F$7,2,FALSE)</f>
        <v>513</v>
      </c>
      <c r="D44" s="28"/>
      <c r="E44" s="28">
        <f>装备属性计算表!AK43</f>
        <v>3</v>
      </c>
      <c r="F44" s="28">
        <f>装备属性计算表!B43</f>
        <v>1</v>
      </c>
      <c r="G44" s="28" t="str">
        <f>装备属性计算表!C43</f>
        <v>项链</v>
      </c>
      <c r="H44" s="28">
        <f>装备属性计算表!D43</f>
        <v>5</v>
      </c>
      <c r="I44" s="28">
        <f>VLOOKUP($G44,装备属性计算表!$D$14:$O$19,装备属性计算表!F$2,FALSE)/装备属性计算表!F$20*VLOOKUP($H44&amp;$F44,$C$3:$P$28,G$1,FALSE)</f>
        <v>0</v>
      </c>
      <c r="J44" s="28">
        <f>VLOOKUP($G44,装备属性计算表!$D$14:$O$19,装备属性计算表!G$2,FALSE)/装备属性计算表!G$20*VLOOKUP($H44&amp;$F44,$C$3:$P$28,H$1,FALSE)</f>
        <v>2.9864829946524076</v>
      </c>
      <c r="K44" s="28">
        <f>VLOOKUP($G44,装备属性计算表!$D$14:$O$19,装备属性计算表!H$2,FALSE)/装备属性计算表!H$20*VLOOKUP($H44&amp;$F44,$C$3:$P$28,I$1,FALSE)</f>
        <v>0</v>
      </c>
      <c r="L44" s="28">
        <f>VLOOKUP($G44,装备属性计算表!$D$14:$O$19,装备属性计算表!I$2,FALSE)/装备属性计算表!I$20*VLOOKUP($H44&amp;$F44,$C$3:$P$28,J$1,FALSE)</f>
        <v>2.3437500000000004</v>
      </c>
      <c r="M44" s="28">
        <f>VLOOKUP($G44,装备属性计算表!$D$14:$O$19,装备属性计算表!J$2,FALSE)/装备属性计算表!J$20*VLOOKUP($H44&amp;$F44,$C$3:$P$28,K$1,FALSE)</f>
        <v>3.9062500000000004</v>
      </c>
      <c r="N44" s="28">
        <f>VLOOKUP($G44,装备属性计算表!$D$14:$O$19,装备属性计算表!K$2,FALSE)/装备属性计算表!K$20*VLOOKUP($H44&amp;$F44,$C$3:$P$28,L$1,FALSE)</f>
        <v>2.7777777777777786</v>
      </c>
      <c r="O44" s="28">
        <f>VLOOKUP($G44,装备属性计算表!$D$14:$O$19,装备属性计算表!L$2,FALSE)/装备属性计算表!L$20*VLOOKUP($H44&amp;$F44,$C$3:$P$28,M$1,FALSE)</f>
        <v>0</v>
      </c>
      <c r="P44" s="28">
        <f>VLOOKUP($G44,装备属性计算表!$D$14:$O$19,装备属性计算表!M$2,FALSE)/装备属性计算表!M$20*VLOOKUP($H44&amp;$F44,$C$3:$P$28,N$1,FALSE)</f>
        <v>0</v>
      </c>
      <c r="Q44" s="28">
        <f>VLOOKUP($G44,装备属性计算表!$D$14:$O$19,装备属性计算表!N$2,FALSE)/装备属性计算表!N$20*VLOOKUP($H44&amp;$F44,$C$3:$P$28,O$1,FALSE)</f>
        <v>0</v>
      </c>
      <c r="R44" s="28">
        <f>VLOOKUP($G44,装备属性计算表!$D$14:$O$19,装备属性计算表!O$2,FALSE)/装备属性计算表!O$20*VLOOKUP($H44&amp;$F44,$C$3:$P$28,P$1,FALSE)</f>
        <v>0</v>
      </c>
      <c r="X44" s="28">
        <f>SUM(AY39:AY44)</f>
        <v>65340</v>
      </c>
      <c r="Y44" s="28">
        <f t="shared" si="5"/>
        <v>6</v>
      </c>
      <c r="Z44" s="28">
        <f t="shared" si="6"/>
        <v>10</v>
      </c>
      <c r="AA44" s="28">
        <f t="shared" si="11"/>
        <v>10</v>
      </c>
      <c r="AB44" s="28">
        <f t="shared" si="7"/>
        <v>16</v>
      </c>
      <c r="AC44" s="28">
        <f t="shared" si="8"/>
        <v>6</v>
      </c>
      <c r="AD44" s="28">
        <f t="shared" si="9"/>
        <v>0</v>
      </c>
      <c r="AE44" s="28">
        <f t="shared" si="17"/>
        <v>9200</v>
      </c>
      <c r="AF44" s="28">
        <f t="shared" si="10"/>
        <v>950</v>
      </c>
      <c r="AG44" s="28">
        <f t="shared" si="12"/>
        <v>1</v>
      </c>
      <c r="AH44" s="28">
        <f>IF(AG44&gt;0,VLOOKUP(G44,'价值&amp;消耗'!$U$173:$V$178,2,FALSE),0)</f>
        <v>73010</v>
      </c>
      <c r="AI44" s="28">
        <f t="shared" si="13"/>
        <v>55</v>
      </c>
      <c r="AJ44" s="28">
        <f t="shared" si="0"/>
        <v>1</v>
      </c>
      <c r="AK44" s="28">
        <f>ROUND(IF(COUNTIF($I44:I44,"&gt;0")&gt;$AJ44,0,I44),0)</f>
        <v>0</v>
      </c>
      <c r="AL44" s="28">
        <f>ROUND(IF(COUNTIF($I44:J44,"&gt;0")&gt;$AJ44,0,J44),0)</f>
        <v>3</v>
      </c>
      <c r="AM44" s="28">
        <f>ROUND(IF(COUNTIF($I44:K44,"&gt;0")&gt;$AJ44,0,K44),0)</f>
        <v>0</v>
      </c>
      <c r="AN44" s="28">
        <f>ROUND(IF(COUNTIF($I44:L44,"&gt;0")&gt;$AJ44,0,L44),0)</f>
        <v>0</v>
      </c>
      <c r="AO44" s="28">
        <f>ROUND(IF(COUNTIF($I44:M44,"&gt;0")&gt;$AJ44,0,M44),0)</f>
        <v>0</v>
      </c>
      <c r="AP44" s="28">
        <f>ROUND(IF(COUNTIF($I44:N44,"&gt;0")&gt;$AJ44,0,N44),0)</f>
        <v>0</v>
      </c>
      <c r="AQ44" s="28">
        <f>ROUND(IF(COUNTIF($I44:O44,"&gt;0")&gt;$AJ44,0,O44),0)</f>
        <v>0</v>
      </c>
      <c r="AR44" s="28">
        <f>ROUND(IF(COUNTIF($I44:P44,"&gt;0")&gt;$AJ44,0,P44),0)</f>
        <v>0</v>
      </c>
      <c r="AS44" s="28">
        <f>IF(COUNTIF($I44:Q44,"&gt;0")&gt;$AJ44,0,Q44)</f>
        <v>0</v>
      </c>
      <c r="AT44" s="28">
        <f>IF(COUNTIF($I44:R44,"&gt;0")&gt;$AJ44,0,R44)</f>
        <v>0</v>
      </c>
      <c r="AU44" s="28">
        <f>SUMPRODUCT(AK44:AT44,定义数据!$G$14:$P$14)</f>
        <v>3</v>
      </c>
      <c r="AV44" s="28">
        <f t="shared" si="4"/>
        <v>150</v>
      </c>
      <c r="AW44" s="28">
        <f t="shared" si="14"/>
        <v>150</v>
      </c>
      <c r="AX44" s="28">
        <f t="shared" si="15"/>
        <v>8250</v>
      </c>
      <c r="AY44" s="28">
        <f t="shared" si="16"/>
        <v>8250</v>
      </c>
    </row>
    <row r="45" spans="3:51" x14ac:dyDescent="0.15">
      <c r="C45" s="28" t="str">
        <f>H45&amp;F45&amp;VLOOKUP(G45,定义数据!$E$1:$F$7,2,FALSE)</f>
        <v>1510</v>
      </c>
      <c r="D45" s="28"/>
      <c r="E45" s="28">
        <f>装备属性计算表!AK44</f>
        <v>4</v>
      </c>
      <c r="F45" s="28">
        <f>装备属性计算表!B44</f>
        <v>1</v>
      </c>
      <c r="G45" s="28" t="str">
        <f>装备属性计算表!C44</f>
        <v>武器</v>
      </c>
      <c r="H45" s="28">
        <f>装备属性计算表!D44</f>
        <v>15</v>
      </c>
      <c r="I45" s="28">
        <f>VLOOKUP($G45,装备属性计算表!$D$14:$O$19,装备属性计算表!F$2,FALSE)/装备属性计算表!F$20*VLOOKUP($H45&amp;$F45,$C$3:$P$28,G$1,FALSE)</f>
        <v>0</v>
      </c>
      <c r="J45" s="28">
        <f>VLOOKUP($G45,装备属性计算表!$D$14:$O$19,装备属性计算表!G$2,FALSE)/装备属性计算表!G$20*VLOOKUP($H45&amp;$F45,$C$3:$P$28,H$1,FALSE)</f>
        <v>17.918897967914443</v>
      </c>
      <c r="K45" s="28">
        <f>VLOOKUP($G45,装备属性计算表!$D$14:$O$19,装备属性计算表!H$2,FALSE)/装备属性计算表!H$20*VLOOKUP($H45&amp;$F45,$C$3:$P$28,I$1,FALSE)</f>
        <v>2.1508658578856155</v>
      </c>
      <c r="L45" s="28">
        <f>VLOOKUP($G45,装备属性计算表!$D$14:$O$19,装备属性计算表!I$2,FALSE)/装备属性计算表!I$20*VLOOKUP($H45&amp;$F45,$C$3:$P$28,J$1,FALSE)</f>
        <v>0</v>
      </c>
      <c r="M45" s="28">
        <f>VLOOKUP($G45,装备属性计算表!$D$14:$O$19,装备属性计算表!J$2,FALSE)/装备属性计算表!J$20*VLOOKUP($H45&amp;$F45,$C$3:$P$28,K$1,FALSE)</f>
        <v>7.8125000000000009</v>
      </c>
      <c r="N45" s="28">
        <f>VLOOKUP($G45,装备属性计算表!$D$14:$O$19,装备属性计算表!K$2,FALSE)/装备属性计算表!K$20*VLOOKUP($H45&amp;$F45,$C$3:$P$28,L$1,FALSE)</f>
        <v>5.5555555555555571</v>
      </c>
      <c r="O45" s="28">
        <f>VLOOKUP($G45,装备属性计算表!$D$14:$O$19,装备属性计算表!L$2,FALSE)/装备属性计算表!L$20*VLOOKUP($H45&amp;$F45,$C$3:$P$28,M$1,FALSE)</f>
        <v>0</v>
      </c>
      <c r="P45" s="28">
        <f>VLOOKUP($G45,装备属性计算表!$D$14:$O$19,装备属性计算表!M$2,FALSE)/装备属性计算表!M$20*VLOOKUP($H45&amp;$F45,$C$3:$P$28,N$1,FALSE)</f>
        <v>0</v>
      </c>
      <c r="Q45" s="28">
        <f>VLOOKUP($G45,装备属性计算表!$D$14:$O$19,装备属性计算表!N$2,FALSE)/装备属性计算表!N$20*VLOOKUP($H45&amp;$F45,$C$3:$P$28,O$1,FALSE)</f>
        <v>0</v>
      </c>
      <c r="R45" s="28">
        <f>VLOOKUP($G45,装备属性计算表!$D$14:$O$19,装备属性计算表!O$2,FALSE)/装备属性计算表!O$20*VLOOKUP($H45&amp;$F45,$C$3:$P$28,P$1,FALSE)</f>
        <v>0</v>
      </c>
      <c r="X45" s="28"/>
      <c r="Y45" s="28">
        <f t="shared" si="5"/>
        <v>1</v>
      </c>
      <c r="Z45" s="28">
        <f t="shared" si="6"/>
        <v>5</v>
      </c>
      <c r="AA45" s="28">
        <f t="shared" si="11"/>
        <v>10</v>
      </c>
      <c r="AB45" s="28">
        <f t="shared" si="7"/>
        <v>5</v>
      </c>
      <c r="AC45" s="28">
        <f t="shared" si="8"/>
        <v>13</v>
      </c>
      <c r="AD45" s="28">
        <f t="shared" si="9"/>
        <v>8</v>
      </c>
      <c r="AE45" s="28">
        <f t="shared" si="17"/>
        <v>54000</v>
      </c>
      <c r="AF45" s="28">
        <f t="shared" si="10"/>
        <v>4500</v>
      </c>
      <c r="AG45" s="28">
        <f t="shared" si="12"/>
        <v>3</v>
      </c>
      <c r="AH45" s="28">
        <f>IF(AG45&gt;0,VLOOKUP(G45,'价值&amp;消耗'!$U$173:$V$178,2,FALSE),0)</f>
        <v>70010</v>
      </c>
      <c r="AI45" s="28">
        <f t="shared" si="13"/>
        <v>165</v>
      </c>
      <c r="AJ45" s="28">
        <f t="shared" si="0"/>
        <v>1</v>
      </c>
      <c r="AK45" s="28">
        <f>ROUND(IF(COUNTIF($I45:I45,"&gt;0")&gt;$AJ45,0,I45),0)</f>
        <v>0</v>
      </c>
      <c r="AL45" s="28">
        <f>ROUND(IF(COUNTIF($I45:J45,"&gt;0")&gt;$AJ45,0,J45),0)</f>
        <v>18</v>
      </c>
      <c r="AM45" s="28">
        <f>ROUND(IF(COUNTIF($I45:K45,"&gt;0")&gt;$AJ45,0,K45),0)</f>
        <v>0</v>
      </c>
      <c r="AN45" s="28">
        <f>ROUND(IF(COUNTIF($I45:L45,"&gt;0")&gt;$AJ45,0,L45),0)</f>
        <v>0</v>
      </c>
      <c r="AO45" s="28">
        <f>ROUND(IF(COUNTIF($I45:M45,"&gt;0")&gt;$AJ45,0,M45),0)</f>
        <v>0</v>
      </c>
      <c r="AP45" s="28">
        <f>ROUND(IF(COUNTIF($I45:N45,"&gt;0")&gt;$AJ45,0,N45),0)</f>
        <v>0</v>
      </c>
      <c r="AQ45" s="28">
        <f>ROUND(IF(COUNTIF($I45:O45,"&gt;0")&gt;$AJ45,0,O45),0)</f>
        <v>0</v>
      </c>
      <c r="AR45" s="28">
        <f>ROUND(IF(COUNTIF($I45:P45,"&gt;0")&gt;$AJ45,0,P45),0)</f>
        <v>0</v>
      </c>
      <c r="AS45" s="28">
        <f>IF(COUNTIF($I45:Q45,"&gt;0")&gt;$AJ45,0,Q45)</f>
        <v>0</v>
      </c>
      <c r="AT45" s="28">
        <f>IF(COUNTIF($I45:R45,"&gt;0")&gt;$AJ45,0,R45)</f>
        <v>0</v>
      </c>
      <c r="AU45" s="28">
        <f>SUMPRODUCT(AK45:AT45,定义数据!$G$14:$P$14)</f>
        <v>18</v>
      </c>
      <c r="AV45" s="28">
        <f t="shared" si="4"/>
        <v>900</v>
      </c>
      <c r="AW45" s="28">
        <f t="shared" si="14"/>
        <v>900</v>
      </c>
      <c r="AX45" s="28">
        <f t="shared" si="15"/>
        <v>49500</v>
      </c>
      <c r="AY45" s="28">
        <f t="shared" si="16"/>
        <v>49500</v>
      </c>
    </row>
    <row r="46" spans="3:51" x14ac:dyDescent="0.15">
      <c r="C46" s="28" t="str">
        <f>H46&amp;F46&amp;VLOOKUP(G46,定义数据!$E$1:$F$7,2,FALSE)</f>
        <v>1511</v>
      </c>
      <c r="D46" s="28"/>
      <c r="E46" s="28">
        <f>装备属性计算表!AK45</f>
        <v>4</v>
      </c>
      <c r="F46" s="28">
        <f>装备属性计算表!B45</f>
        <v>1</v>
      </c>
      <c r="G46" s="28" t="str">
        <f>装备属性计算表!C45</f>
        <v>衣服</v>
      </c>
      <c r="H46" s="28">
        <f>装备属性计算表!D45</f>
        <v>15</v>
      </c>
      <c r="I46" s="28">
        <f>VLOOKUP($G46,装备属性计算表!$D$14:$O$19,装备属性计算表!F$2,FALSE)/装备属性计算表!F$20*VLOOKUP($H46&amp;$F46,$C$3:$P$28,G$1,FALSE)</f>
        <v>195.99079909920277</v>
      </c>
      <c r="J46" s="28">
        <f>VLOOKUP($G46,装备属性计算表!$D$14:$O$19,装备属性计算表!G$2,FALSE)/装备属性计算表!G$20*VLOOKUP($H46&amp;$F46,$C$3:$P$28,H$1,FALSE)</f>
        <v>0</v>
      </c>
      <c r="K46" s="28">
        <f>VLOOKUP($G46,装备属性计算表!$D$14:$O$19,装备属性计算表!H$2,FALSE)/装备属性计算表!H$20*VLOOKUP($H46&amp;$F46,$C$3:$P$28,I$1,FALSE)</f>
        <v>6.4525975736568473</v>
      </c>
      <c r="L46" s="28">
        <f>VLOOKUP($G46,装备属性计算表!$D$14:$O$19,装备属性计算表!I$2,FALSE)/装备属性计算表!I$20*VLOOKUP($H46&amp;$F46,$C$3:$P$28,J$1,FALSE)</f>
        <v>4.6875000000000009</v>
      </c>
      <c r="M46" s="28">
        <f>VLOOKUP($G46,装备属性计算表!$D$14:$O$19,装备属性计算表!J$2,FALSE)/装备属性计算表!J$20*VLOOKUP($H46&amp;$F46,$C$3:$P$28,K$1,FALSE)</f>
        <v>0</v>
      </c>
      <c r="N46" s="28">
        <f>VLOOKUP($G46,装备属性计算表!$D$14:$O$19,装备属性计算表!K$2,FALSE)/装备属性计算表!K$20*VLOOKUP($H46&amp;$F46,$C$3:$P$28,L$1,FALSE)</f>
        <v>0</v>
      </c>
      <c r="O46" s="28">
        <f>VLOOKUP($G46,装备属性计算表!$D$14:$O$19,装备属性计算表!L$2,FALSE)/装备属性计算表!L$20*VLOOKUP($H46&amp;$F46,$C$3:$P$28,M$1,FALSE)</f>
        <v>0</v>
      </c>
      <c r="P46" s="28">
        <f>VLOOKUP($G46,装备属性计算表!$D$14:$O$19,装备属性计算表!M$2,FALSE)/装备属性计算表!M$20*VLOOKUP($H46&amp;$F46,$C$3:$P$28,N$1,FALSE)</f>
        <v>4.6296296296296298</v>
      </c>
      <c r="Q46" s="28">
        <f>VLOOKUP($G46,装备属性计算表!$D$14:$O$19,装备属性计算表!N$2,FALSE)/装备属性计算表!N$20*VLOOKUP($H46&amp;$F46,$C$3:$P$28,O$1,FALSE)</f>
        <v>0</v>
      </c>
      <c r="R46" s="28">
        <f>VLOOKUP($G46,装备属性计算表!$D$14:$O$19,装备属性计算表!O$2,FALSE)/装备属性计算表!O$20*VLOOKUP($H46&amp;$F46,$C$3:$P$28,P$1,FALSE)</f>
        <v>0</v>
      </c>
      <c r="X46" s="28"/>
      <c r="Y46" s="28">
        <f t="shared" si="5"/>
        <v>2</v>
      </c>
      <c r="Z46" s="28">
        <f t="shared" si="6"/>
        <v>10</v>
      </c>
      <c r="AA46" s="28">
        <f t="shared" si="11"/>
        <v>10</v>
      </c>
      <c r="AB46" s="28">
        <f t="shared" si="7"/>
        <v>6</v>
      </c>
      <c r="AC46" s="28">
        <f t="shared" si="8"/>
        <v>21</v>
      </c>
      <c r="AD46" s="28">
        <f t="shared" si="9"/>
        <v>0</v>
      </c>
      <c r="AE46" s="28">
        <f t="shared" si="17"/>
        <v>22200</v>
      </c>
      <c r="AF46" s="28">
        <f t="shared" si="10"/>
        <v>640</v>
      </c>
      <c r="AG46" s="28">
        <f t="shared" si="12"/>
        <v>2</v>
      </c>
      <c r="AH46" s="28">
        <f>IF(AG46&gt;0,VLOOKUP(G46,'价值&amp;消耗'!$U$173:$V$178,2,FALSE),0)</f>
        <v>71010</v>
      </c>
      <c r="AI46" s="28">
        <f t="shared" si="13"/>
        <v>110</v>
      </c>
      <c r="AJ46" s="28">
        <f t="shared" si="0"/>
        <v>1</v>
      </c>
      <c r="AK46" s="28">
        <f>ROUND(IF(COUNTIF($I46:I46,"&gt;0")&gt;$AJ46,0,I46),0)</f>
        <v>196</v>
      </c>
      <c r="AL46" s="28">
        <f>ROUND(IF(COUNTIF($I46:J46,"&gt;0")&gt;$AJ46,0,J46),0)</f>
        <v>0</v>
      </c>
      <c r="AM46" s="28">
        <f>ROUND(IF(COUNTIF($I46:K46,"&gt;0")&gt;$AJ46,0,K46),0)</f>
        <v>0</v>
      </c>
      <c r="AN46" s="28">
        <f>ROUND(IF(COUNTIF($I46:L46,"&gt;0")&gt;$AJ46,0,L46),0)</f>
        <v>0</v>
      </c>
      <c r="AO46" s="28">
        <f>ROUND(IF(COUNTIF($I46:M46,"&gt;0")&gt;$AJ46,0,M46),0)</f>
        <v>0</v>
      </c>
      <c r="AP46" s="28">
        <f>ROUND(IF(COUNTIF($I46:N46,"&gt;0")&gt;$AJ46,0,N46),0)</f>
        <v>0</v>
      </c>
      <c r="AQ46" s="28">
        <f>ROUND(IF(COUNTIF($I46:O46,"&gt;0")&gt;$AJ46,0,O46),0)</f>
        <v>0</v>
      </c>
      <c r="AR46" s="28">
        <f>ROUND(IF(COUNTIF($I46:P46,"&gt;0")&gt;$AJ46,0,P46),0)</f>
        <v>0</v>
      </c>
      <c r="AS46" s="28">
        <f>IF(COUNTIF($I46:Q46,"&gt;0")&gt;$AJ46,0,Q46)</f>
        <v>0</v>
      </c>
      <c r="AT46" s="28">
        <f>IF(COUNTIF($I46:R46,"&gt;0")&gt;$AJ46,0,R46)</f>
        <v>0</v>
      </c>
      <c r="AU46" s="28">
        <f>SUMPRODUCT(AK46:AT46,定义数据!$G$14:$P$14)</f>
        <v>7.84</v>
      </c>
      <c r="AV46" s="28">
        <f t="shared" si="4"/>
        <v>392</v>
      </c>
      <c r="AW46" s="28">
        <f t="shared" si="14"/>
        <v>392</v>
      </c>
      <c r="AX46" s="28">
        <f t="shared" si="15"/>
        <v>21560</v>
      </c>
      <c r="AY46" s="28">
        <f t="shared" si="16"/>
        <v>21560</v>
      </c>
    </row>
    <row r="47" spans="3:51" x14ac:dyDescent="0.15">
      <c r="C47" s="28" t="str">
        <f>H47&amp;F47&amp;VLOOKUP(G47,定义数据!$E$1:$F$7,2,FALSE)</f>
        <v>1512</v>
      </c>
      <c r="D47" s="28"/>
      <c r="E47" s="28">
        <f>装备属性计算表!AK46</f>
        <v>4</v>
      </c>
      <c r="F47" s="28">
        <f>装备属性计算表!B46</f>
        <v>1</v>
      </c>
      <c r="G47" s="28" t="str">
        <f>装备属性计算表!C46</f>
        <v>裤子</v>
      </c>
      <c r="H47" s="28">
        <f>装备属性计算表!D46</f>
        <v>15</v>
      </c>
      <c r="I47" s="28">
        <f>VLOOKUP($G47,装备属性计算表!$D$14:$O$19,装备属性计算表!F$2,FALSE)/装备属性计算表!F$20*VLOOKUP($H47&amp;$F47,$C$3:$P$28,G$1,FALSE)</f>
        <v>97.995399549601387</v>
      </c>
      <c r="J47" s="28">
        <f>VLOOKUP($G47,装备属性计算表!$D$14:$O$19,装备属性计算表!G$2,FALSE)/装备属性计算表!G$20*VLOOKUP($H47&amp;$F47,$C$3:$P$28,H$1,FALSE)</f>
        <v>0</v>
      </c>
      <c r="K47" s="28">
        <f>VLOOKUP($G47,装备属性计算表!$D$14:$O$19,装备属性计算表!H$2,FALSE)/装备属性计算表!H$20*VLOOKUP($H47&amp;$F47,$C$3:$P$28,I$1,FALSE)</f>
        <v>2.1508658578856155</v>
      </c>
      <c r="L47" s="28">
        <f>VLOOKUP($G47,装备属性计算表!$D$14:$O$19,装备属性计算表!I$2,FALSE)/装备属性计算表!I$20*VLOOKUP($H47&amp;$F47,$C$3:$P$28,J$1,FALSE)</f>
        <v>4.6875000000000009</v>
      </c>
      <c r="M47" s="28">
        <f>VLOOKUP($G47,装备属性计算表!$D$14:$O$19,装备属性计算表!J$2,FALSE)/装备属性计算表!J$20*VLOOKUP($H47&amp;$F47,$C$3:$P$28,K$1,FALSE)</f>
        <v>0</v>
      </c>
      <c r="N47" s="28">
        <f>VLOOKUP($G47,装备属性计算表!$D$14:$O$19,装备属性计算表!K$2,FALSE)/装备属性计算表!K$20*VLOOKUP($H47&amp;$F47,$C$3:$P$28,L$1,FALSE)</f>
        <v>0</v>
      </c>
      <c r="O47" s="28">
        <f>VLOOKUP($G47,装备属性计算表!$D$14:$O$19,装备属性计算表!L$2,FALSE)/装备属性计算表!L$20*VLOOKUP($H47&amp;$F47,$C$3:$P$28,M$1,FALSE)</f>
        <v>0</v>
      </c>
      <c r="P47" s="28">
        <f>VLOOKUP($G47,装备属性计算表!$D$14:$O$19,装备属性计算表!M$2,FALSE)/装备属性计算表!M$20*VLOOKUP($H47&amp;$F47,$C$3:$P$28,N$1,FALSE)</f>
        <v>4.6296296296296298</v>
      </c>
      <c r="Q47" s="28">
        <f>VLOOKUP($G47,装备属性计算表!$D$14:$O$19,装备属性计算表!N$2,FALSE)/装备属性计算表!N$20*VLOOKUP($H47&amp;$F47,$C$3:$P$28,O$1,FALSE)</f>
        <v>0</v>
      </c>
      <c r="R47" s="28">
        <f>VLOOKUP($G47,装备属性计算表!$D$14:$O$19,装备属性计算表!O$2,FALSE)/装备属性计算表!O$20*VLOOKUP($H47&amp;$F47,$C$3:$P$28,P$1,FALSE)</f>
        <v>0</v>
      </c>
      <c r="X47" s="28"/>
      <c r="Y47" s="28">
        <f t="shared" si="5"/>
        <v>5</v>
      </c>
      <c r="Z47" s="28">
        <f t="shared" si="6"/>
        <v>10</v>
      </c>
      <c r="AA47" s="28">
        <f>$Z$16</f>
        <v>10</v>
      </c>
      <c r="AB47" s="28">
        <f t="shared" si="7"/>
        <v>15</v>
      </c>
      <c r="AC47" s="28">
        <f t="shared" si="8"/>
        <v>8</v>
      </c>
      <c r="AD47" s="28">
        <f t="shared" si="9"/>
        <v>0</v>
      </c>
      <c r="AE47" s="28">
        <f t="shared" si="17"/>
        <v>11000</v>
      </c>
      <c r="AF47" s="28">
        <f t="shared" si="10"/>
        <v>220</v>
      </c>
      <c r="AG47" s="28">
        <f t="shared" si="12"/>
        <v>1</v>
      </c>
      <c r="AH47" s="28">
        <f>IF(AG47&gt;0,VLOOKUP(G47,'价值&amp;消耗'!$U$173:$V$178,2,FALSE),0)</f>
        <v>72010</v>
      </c>
      <c r="AI47" s="28">
        <f t="shared" si="13"/>
        <v>55</v>
      </c>
      <c r="AJ47" s="28">
        <f t="shared" si="0"/>
        <v>1</v>
      </c>
      <c r="AK47" s="28">
        <f>ROUND(IF(COUNTIF($I47:I47,"&gt;0")&gt;$AJ47,0,I47),0)</f>
        <v>98</v>
      </c>
      <c r="AL47" s="28">
        <f>ROUND(IF(COUNTIF($I47:J47,"&gt;0")&gt;$AJ47,0,J47),0)</f>
        <v>0</v>
      </c>
      <c r="AM47" s="28">
        <f>ROUND(IF(COUNTIF($I47:K47,"&gt;0")&gt;$AJ47,0,K47),0)</f>
        <v>0</v>
      </c>
      <c r="AN47" s="28">
        <f>ROUND(IF(COUNTIF($I47:L47,"&gt;0")&gt;$AJ47,0,L47),0)</f>
        <v>0</v>
      </c>
      <c r="AO47" s="28">
        <f>ROUND(IF(COUNTIF($I47:M47,"&gt;0")&gt;$AJ47,0,M47),0)</f>
        <v>0</v>
      </c>
      <c r="AP47" s="28">
        <f>ROUND(IF(COUNTIF($I47:N47,"&gt;0")&gt;$AJ47,0,N47),0)</f>
        <v>0</v>
      </c>
      <c r="AQ47" s="28">
        <f>ROUND(IF(COUNTIF($I47:O47,"&gt;0")&gt;$AJ47,0,O47),0)</f>
        <v>0</v>
      </c>
      <c r="AR47" s="28">
        <f>ROUND(IF(COUNTIF($I47:P47,"&gt;0")&gt;$AJ47,0,P47),0)</f>
        <v>0</v>
      </c>
      <c r="AS47" s="28">
        <f>IF(COUNTIF($I47:Q47,"&gt;0")&gt;$AJ47,0,Q47)</f>
        <v>0</v>
      </c>
      <c r="AT47" s="28">
        <f>IF(COUNTIF($I47:R47,"&gt;0")&gt;$AJ47,0,R47)</f>
        <v>0</v>
      </c>
      <c r="AU47" s="28">
        <f>SUMPRODUCT(AK47:AT47,定义数据!$G$14:$P$14)</f>
        <v>3.92</v>
      </c>
      <c r="AV47" s="28">
        <f t="shared" si="4"/>
        <v>196</v>
      </c>
      <c r="AW47" s="28">
        <f t="shared" si="14"/>
        <v>196</v>
      </c>
      <c r="AX47" s="28">
        <f t="shared" si="15"/>
        <v>10780</v>
      </c>
      <c r="AY47" s="28">
        <f t="shared" si="16"/>
        <v>10780</v>
      </c>
    </row>
    <row r="48" spans="3:51" x14ac:dyDescent="0.15">
      <c r="C48" s="28" t="str">
        <f>H48&amp;F48&amp;VLOOKUP(G48,定义数据!$E$1:$F$7,2,FALSE)</f>
        <v>1515</v>
      </c>
      <c r="D48" s="28"/>
      <c r="E48" s="28">
        <f>装备属性计算表!AK47</f>
        <v>4</v>
      </c>
      <c r="F48" s="28">
        <f>装备属性计算表!B47</f>
        <v>1</v>
      </c>
      <c r="G48" s="28" t="str">
        <f>装备属性计算表!C47</f>
        <v>鞋子</v>
      </c>
      <c r="H48" s="28">
        <f>装备属性计算表!D47</f>
        <v>15</v>
      </c>
      <c r="I48" s="28">
        <f>VLOOKUP($G48,装备属性计算表!$D$14:$O$19,装备属性计算表!F$2,FALSE)/装备属性计算表!F$20*VLOOKUP($H48&amp;$F48,$C$3:$P$28,G$1,FALSE)</f>
        <v>97.995399549601387</v>
      </c>
      <c r="J48" s="28">
        <f>VLOOKUP($G48,装备属性计算表!$D$14:$O$19,装备属性计算表!G$2,FALSE)/装备属性计算表!G$20*VLOOKUP($H48&amp;$F48,$C$3:$P$28,H$1,FALSE)</f>
        <v>0</v>
      </c>
      <c r="K48" s="28">
        <f>VLOOKUP($G48,装备属性计算表!$D$14:$O$19,装备属性计算表!H$2,FALSE)/装备属性计算表!H$20*VLOOKUP($H48&amp;$F48,$C$3:$P$28,I$1,FALSE)</f>
        <v>0</v>
      </c>
      <c r="L48" s="28">
        <f>VLOOKUP($G48,装备属性计算表!$D$14:$O$19,装备属性计算表!I$2,FALSE)/装备属性计算表!I$20*VLOOKUP($H48&amp;$F48,$C$3:$P$28,J$1,FALSE)</f>
        <v>9.3750000000000018</v>
      </c>
      <c r="M48" s="28">
        <f>VLOOKUP($G48,装备属性计算表!$D$14:$O$19,装备属性计算表!J$2,FALSE)/装备属性计算表!J$20*VLOOKUP($H48&amp;$F48,$C$3:$P$28,K$1,FALSE)</f>
        <v>7.8125000000000009</v>
      </c>
      <c r="N48" s="28">
        <f>VLOOKUP($G48,装备属性计算表!$D$14:$O$19,装备属性计算表!K$2,FALSE)/装备属性计算表!K$20*VLOOKUP($H48&amp;$F48,$C$3:$P$28,L$1,FALSE)</f>
        <v>2.7777777777777786</v>
      </c>
      <c r="O48" s="28">
        <f>VLOOKUP($G48,装备属性计算表!$D$14:$O$19,装备属性计算表!L$2,FALSE)/装备属性计算表!L$20*VLOOKUP($H48&amp;$F48,$C$3:$P$28,M$1,FALSE)</f>
        <v>0</v>
      </c>
      <c r="P48" s="28">
        <f>VLOOKUP($G48,装备属性计算表!$D$14:$O$19,装备属性计算表!M$2,FALSE)/装备属性计算表!M$20*VLOOKUP($H48&amp;$F48,$C$3:$P$28,N$1,FALSE)</f>
        <v>0</v>
      </c>
      <c r="Q48" s="28">
        <f>VLOOKUP($G48,装备属性计算表!$D$14:$O$19,装备属性计算表!N$2,FALSE)/装备属性计算表!N$20*VLOOKUP($H48&amp;$F48,$C$3:$P$28,O$1,FALSE)</f>
        <v>0</v>
      </c>
      <c r="R48" s="28">
        <f>VLOOKUP($G48,装备属性计算表!$D$14:$O$19,装备属性计算表!O$2,FALSE)/装备属性计算表!O$20*VLOOKUP($H48&amp;$F48,$C$3:$P$28,P$1,FALSE)</f>
        <v>0</v>
      </c>
      <c r="X48" s="28"/>
      <c r="Y48" s="28">
        <f t="shared" si="5"/>
        <v>5</v>
      </c>
      <c r="Z48" s="28">
        <f t="shared" si="6"/>
        <v>10</v>
      </c>
      <c r="AA48" s="28">
        <f t="shared" si="11"/>
        <v>10</v>
      </c>
      <c r="AB48" s="28">
        <f t="shared" si="7"/>
        <v>15</v>
      </c>
      <c r="AC48" s="28">
        <f t="shared" si="8"/>
        <v>8</v>
      </c>
      <c r="AD48" s="28">
        <f t="shared" si="9"/>
        <v>0</v>
      </c>
      <c r="AE48" s="28">
        <f t="shared" si="17"/>
        <v>11000</v>
      </c>
      <c r="AF48" s="28">
        <f t="shared" si="10"/>
        <v>220</v>
      </c>
      <c r="AG48" s="28">
        <f t="shared" si="12"/>
        <v>1</v>
      </c>
      <c r="AH48" s="28">
        <f>IF(AG48&gt;0,VLOOKUP(G48,'价值&amp;消耗'!$U$173:$V$178,2,FALSE),0)</f>
        <v>75010</v>
      </c>
      <c r="AI48" s="28">
        <f t="shared" si="13"/>
        <v>55</v>
      </c>
      <c r="AJ48" s="28">
        <f t="shared" si="0"/>
        <v>1</v>
      </c>
      <c r="AK48" s="28">
        <f>ROUND(IF(COUNTIF($I48:I48,"&gt;0")&gt;$AJ48,0,I48),0)</f>
        <v>98</v>
      </c>
      <c r="AL48" s="28">
        <f>ROUND(IF(COUNTIF($I48:J48,"&gt;0")&gt;$AJ48,0,J48),0)</f>
        <v>0</v>
      </c>
      <c r="AM48" s="28">
        <f>ROUND(IF(COUNTIF($I48:K48,"&gt;0")&gt;$AJ48,0,K48),0)</f>
        <v>0</v>
      </c>
      <c r="AN48" s="28">
        <f>ROUND(IF(COUNTIF($I48:L48,"&gt;0")&gt;$AJ48,0,L48),0)</f>
        <v>0</v>
      </c>
      <c r="AO48" s="28">
        <f>ROUND(IF(COUNTIF($I48:M48,"&gt;0")&gt;$AJ48,0,M48),0)</f>
        <v>0</v>
      </c>
      <c r="AP48" s="28">
        <f>ROUND(IF(COUNTIF($I48:N48,"&gt;0")&gt;$AJ48,0,N48),0)</f>
        <v>0</v>
      </c>
      <c r="AQ48" s="28">
        <f>ROUND(IF(COUNTIF($I48:O48,"&gt;0")&gt;$AJ48,0,O48),0)</f>
        <v>0</v>
      </c>
      <c r="AR48" s="28">
        <f>ROUND(IF(COUNTIF($I48:P48,"&gt;0")&gt;$AJ48,0,P48),0)</f>
        <v>0</v>
      </c>
      <c r="AS48" s="28">
        <f>IF(COUNTIF($I48:Q48,"&gt;0")&gt;$AJ48,0,Q48)</f>
        <v>0</v>
      </c>
      <c r="AT48" s="28">
        <f>IF(COUNTIF($I48:R48,"&gt;0")&gt;$AJ48,0,R48)</f>
        <v>0</v>
      </c>
      <c r="AU48" s="28">
        <f>SUMPRODUCT(AK48:AT48,定义数据!$G$14:$P$14)</f>
        <v>3.92</v>
      </c>
      <c r="AV48" s="28">
        <f t="shared" si="4"/>
        <v>196</v>
      </c>
      <c r="AW48" s="28">
        <f t="shared" si="14"/>
        <v>196</v>
      </c>
      <c r="AX48" s="28">
        <f t="shared" si="15"/>
        <v>10780</v>
      </c>
      <c r="AY48" s="28">
        <f t="shared" si="16"/>
        <v>10780</v>
      </c>
    </row>
    <row r="49" spans="3:51" x14ac:dyDescent="0.15">
      <c r="C49" s="28" t="str">
        <f>H49&amp;F49&amp;VLOOKUP(G49,定义数据!$E$1:$F$7,2,FALSE)</f>
        <v>1514</v>
      </c>
      <c r="D49" s="28"/>
      <c r="E49" s="28">
        <f>装备属性计算表!AK48</f>
        <v>4</v>
      </c>
      <c r="F49" s="28">
        <f>装备属性计算表!B48</f>
        <v>1</v>
      </c>
      <c r="G49" s="28" t="str">
        <f>装备属性计算表!C48</f>
        <v>腰带</v>
      </c>
      <c r="H49" s="28">
        <f>装备属性计算表!D48</f>
        <v>15</v>
      </c>
      <c r="I49" s="28">
        <f>VLOOKUP($G49,装备属性计算表!$D$14:$O$19,装备属性计算表!F$2,FALSE)/装备属性计算表!F$20*VLOOKUP($H49&amp;$F49,$C$3:$P$28,G$1,FALSE)</f>
        <v>195.99079909920277</v>
      </c>
      <c r="J49" s="28">
        <f>VLOOKUP($G49,装备属性计算表!$D$14:$O$19,装备属性计算表!G$2,FALSE)/装备属性计算表!G$20*VLOOKUP($H49&amp;$F49,$C$3:$P$28,H$1,FALSE)</f>
        <v>5.9729659893048153</v>
      </c>
      <c r="K49" s="28">
        <f>VLOOKUP($G49,装备属性计算表!$D$14:$O$19,装备属性计算表!H$2,FALSE)/装备属性计算表!H$20*VLOOKUP($H49&amp;$F49,$C$3:$P$28,I$1,FALSE)</f>
        <v>2.1508658578856155</v>
      </c>
      <c r="L49" s="28">
        <f>VLOOKUP($G49,装备属性计算表!$D$14:$O$19,装备属性计算表!I$2,FALSE)/装备属性计算表!I$20*VLOOKUP($H49&amp;$F49,$C$3:$P$28,J$1,FALSE)</f>
        <v>0</v>
      </c>
      <c r="M49" s="28">
        <f>VLOOKUP($G49,装备属性计算表!$D$14:$O$19,装备属性计算表!J$2,FALSE)/装备属性计算表!J$20*VLOOKUP($H49&amp;$F49,$C$3:$P$28,K$1,FALSE)</f>
        <v>0</v>
      </c>
      <c r="N49" s="28">
        <f>VLOOKUP($G49,装备属性计算表!$D$14:$O$19,装备属性计算表!K$2,FALSE)/装备属性计算表!K$20*VLOOKUP($H49&amp;$F49,$C$3:$P$28,L$1,FALSE)</f>
        <v>0</v>
      </c>
      <c r="O49" s="28">
        <f>VLOOKUP($G49,装备属性计算表!$D$14:$O$19,装备属性计算表!L$2,FALSE)/装备属性计算表!L$20*VLOOKUP($H49&amp;$F49,$C$3:$P$28,M$1,FALSE)</f>
        <v>0</v>
      </c>
      <c r="P49" s="28">
        <f>VLOOKUP($G49,装备属性计算表!$D$14:$O$19,装备属性计算表!M$2,FALSE)/装备属性计算表!M$20*VLOOKUP($H49&amp;$F49,$C$3:$P$28,N$1,FALSE)</f>
        <v>4.6296296296296298</v>
      </c>
      <c r="Q49" s="28">
        <f>VLOOKUP($G49,装备属性计算表!$D$14:$O$19,装备属性计算表!N$2,FALSE)/装备属性计算表!N$20*VLOOKUP($H49&amp;$F49,$C$3:$P$28,O$1,FALSE)</f>
        <v>0</v>
      </c>
      <c r="R49" s="28">
        <f>VLOOKUP($G49,装备属性计算表!$D$14:$O$19,装备属性计算表!O$2,FALSE)/装备属性计算表!O$20*VLOOKUP($H49&amp;$F49,$C$3:$P$28,P$1,FALSE)</f>
        <v>0</v>
      </c>
      <c r="X49" s="28"/>
      <c r="Y49" s="28">
        <f t="shared" si="5"/>
        <v>2</v>
      </c>
      <c r="Z49" s="28">
        <f t="shared" si="6"/>
        <v>10</v>
      </c>
      <c r="AA49" s="28">
        <f t="shared" si="11"/>
        <v>10</v>
      </c>
      <c r="AB49" s="28">
        <f t="shared" si="7"/>
        <v>6</v>
      </c>
      <c r="AC49" s="28">
        <f t="shared" si="8"/>
        <v>21</v>
      </c>
      <c r="AD49" s="28">
        <f t="shared" si="9"/>
        <v>0</v>
      </c>
      <c r="AE49" s="28">
        <f t="shared" si="17"/>
        <v>22200</v>
      </c>
      <c r="AF49" s="28">
        <f t="shared" si="10"/>
        <v>640</v>
      </c>
      <c r="AG49" s="28">
        <f t="shared" si="12"/>
        <v>2</v>
      </c>
      <c r="AH49" s="28">
        <f>IF(AG49&gt;0,VLOOKUP(G49,'价值&amp;消耗'!$U$173:$V$178,2,FALSE),0)</f>
        <v>74010</v>
      </c>
      <c r="AI49" s="28">
        <f t="shared" si="13"/>
        <v>110</v>
      </c>
      <c r="AJ49" s="28">
        <f t="shared" si="0"/>
        <v>1</v>
      </c>
      <c r="AK49" s="28">
        <f>ROUND(IF(COUNTIF($I49:I49,"&gt;0")&gt;$AJ49,0,I49),0)</f>
        <v>196</v>
      </c>
      <c r="AL49" s="28">
        <f>ROUND(IF(COUNTIF($I49:J49,"&gt;0")&gt;$AJ49,0,J49),0)</f>
        <v>0</v>
      </c>
      <c r="AM49" s="28">
        <f>ROUND(IF(COUNTIF($I49:K49,"&gt;0")&gt;$AJ49,0,K49),0)</f>
        <v>0</v>
      </c>
      <c r="AN49" s="28">
        <f>ROUND(IF(COUNTIF($I49:L49,"&gt;0")&gt;$AJ49,0,L49),0)</f>
        <v>0</v>
      </c>
      <c r="AO49" s="28">
        <f>ROUND(IF(COUNTIF($I49:M49,"&gt;0")&gt;$AJ49,0,M49),0)</f>
        <v>0</v>
      </c>
      <c r="AP49" s="28">
        <f>ROUND(IF(COUNTIF($I49:N49,"&gt;0")&gt;$AJ49,0,N49),0)</f>
        <v>0</v>
      </c>
      <c r="AQ49" s="28">
        <f>ROUND(IF(COUNTIF($I49:O49,"&gt;0")&gt;$AJ49,0,O49),0)</f>
        <v>0</v>
      </c>
      <c r="AR49" s="28">
        <f>ROUND(IF(COUNTIF($I49:P49,"&gt;0")&gt;$AJ49,0,P49),0)</f>
        <v>0</v>
      </c>
      <c r="AS49" s="28">
        <f>IF(COUNTIF($I49:Q49,"&gt;0")&gt;$AJ49,0,Q49)</f>
        <v>0</v>
      </c>
      <c r="AT49" s="28">
        <f>IF(COUNTIF($I49:R49,"&gt;0")&gt;$AJ49,0,R49)</f>
        <v>0</v>
      </c>
      <c r="AU49" s="28">
        <f>SUMPRODUCT(AK49:AT49,定义数据!$G$14:$P$14)</f>
        <v>7.84</v>
      </c>
      <c r="AV49" s="28">
        <f t="shared" si="4"/>
        <v>392</v>
      </c>
      <c r="AW49" s="28">
        <f t="shared" si="14"/>
        <v>392</v>
      </c>
      <c r="AX49" s="28">
        <f t="shared" si="15"/>
        <v>21560</v>
      </c>
      <c r="AY49" s="28">
        <f t="shared" si="16"/>
        <v>21560</v>
      </c>
    </row>
    <row r="50" spans="3:51" x14ac:dyDescent="0.15">
      <c r="C50" s="28" t="str">
        <f>H50&amp;F50&amp;VLOOKUP(G50,定义数据!$E$1:$F$7,2,FALSE)</f>
        <v>1513</v>
      </c>
      <c r="D50" s="28"/>
      <c r="E50" s="28">
        <f>装备属性计算表!AK49</f>
        <v>4</v>
      </c>
      <c r="F50" s="28">
        <f>装备属性计算表!B49</f>
        <v>1</v>
      </c>
      <c r="G50" s="28" t="str">
        <f>装备属性计算表!C49</f>
        <v>项链</v>
      </c>
      <c r="H50" s="28">
        <f>装备属性计算表!D49</f>
        <v>15</v>
      </c>
      <c r="I50" s="28">
        <f>VLOOKUP($G50,装备属性计算表!$D$14:$O$19,装备属性计算表!F$2,FALSE)/装备属性计算表!F$20*VLOOKUP($H50&amp;$F50,$C$3:$P$28,G$1,FALSE)</f>
        <v>0</v>
      </c>
      <c r="J50" s="28">
        <f>VLOOKUP($G50,装备属性计算表!$D$14:$O$19,装备属性计算表!G$2,FALSE)/装备属性计算表!G$20*VLOOKUP($H50&amp;$F50,$C$3:$P$28,H$1,FALSE)</f>
        <v>5.9729659893048153</v>
      </c>
      <c r="K50" s="28">
        <f>VLOOKUP($G50,装备属性计算表!$D$14:$O$19,装备属性计算表!H$2,FALSE)/装备属性计算表!H$20*VLOOKUP($H50&amp;$F50,$C$3:$P$28,I$1,FALSE)</f>
        <v>0</v>
      </c>
      <c r="L50" s="28">
        <f>VLOOKUP($G50,装备属性计算表!$D$14:$O$19,装备属性计算表!I$2,FALSE)/装备属性计算表!I$20*VLOOKUP($H50&amp;$F50,$C$3:$P$28,J$1,FALSE)</f>
        <v>4.6875000000000009</v>
      </c>
      <c r="M50" s="28">
        <f>VLOOKUP($G50,装备属性计算表!$D$14:$O$19,装备属性计算表!J$2,FALSE)/装备属性计算表!J$20*VLOOKUP($H50&amp;$F50,$C$3:$P$28,K$1,FALSE)</f>
        <v>7.8125000000000009</v>
      </c>
      <c r="N50" s="28">
        <f>VLOOKUP($G50,装备属性计算表!$D$14:$O$19,装备属性计算表!K$2,FALSE)/装备属性计算表!K$20*VLOOKUP($H50&amp;$F50,$C$3:$P$28,L$1,FALSE)</f>
        <v>5.5555555555555571</v>
      </c>
      <c r="O50" s="28">
        <f>VLOOKUP($G50,装备属性计算表!$D$14:$O$19,装备属性计算表!L$2,FALSE)/装备属性计算表!L$20*VLOOKUP($H50&amp;$F50,$C$3:$P$28,M$1,FALSE)</f>
        <v>0</v>
      </c>
      <c r="P50" s="28">
        <f>VLOOKUP($G50,装备属性计算表!$D$14:$O$19,装备属性计算表!M$2,FALSE)/装备属性计算表!M$20*VLOOKUP($H50&amp;$F50,$C$3:$P$28,N$1,FALSE)</f>
        <v>0</v>
      </c>
      <c r="Q50" s="28">
        <f>VLOOKUP($G50,装备属性计算表!$D$14:$O$19,装备属性计算表!N$2,FALSE)/装备属性计算表!N$20*VLOOKUP($H50&amp;$F50,$C$3:$P$28,O$1,FALSE)</f>
        <v>0</v>
      </c>
      <c r="R50" s="28">
        <f>VLOOKUP($G50,装备属性计算表!$D$14:$O$19,装备属性计算表!O$2,FALSE)/装备属性计算表!O$20*VLOOKUP($H50&amp;$F50,$C$3:$P$28,P$1,FALSE)</f>
        <v>0</v>
      </c>
      <c r="X50" s="28">
        <f>SUM(AY45:AY50)</f>
        <v>130680</v>
      </c>
      <c r="Y50" s="28">
        <f t="shared" si="5"/>
        <v>3</v>
      </c>
      <c r="Z50" s="28">
        <f t="shared" si="6"/>
        <v>10</v>
      </c>
      <c r="AA50" s="28">
        <f t="shared" si="11"/>
        <v>10</v>
      </c>
      <c r="AB50" s="28">
        <f t="shared" si="7"/>
        <v>9</v>
      </c>
      <c r="AC50" s="28">
        <f t="shared" si="8"/>
        <v>15</v>
      </c>
      <c r="AD50" s="28">
        <f t="shared" si="9"/>
        <v>0</v>
      </c>
      <c r="AE50" s="28">
        <f t="shared" si="17"/>
        <v>16800</v>
      </c>
      <c r="AF50" s="28">
        <f t="shared" si="10"/>
        <v>300</v>
      </c>
      <c r="AG50" s="28">
        <f t="shared" si="12"/>
        <v>1</v>
      </c>
      <c r="AH50" s="28">
        <f>IF(AG50&gt;0,VLOOKUP(G50,'价值&amp;消耗'!$U$173:$V$178,2,FALSE),0)</f>
        <v>73010</v>
      </c>
      <c r="AI50" s="28">
        <f t="shared" si="13"/>
        <v>55</v>
      </c>
      <c r="AJ50" s="28">
        <f t="shared" si="0"/>
        <v>1</v>
      </c>
      <c r="AK50" s="28">
        <f>ROUND(IF(COUNTIF($I50:I50,"&gt;0")&gt;$AJ50,0,I50),0)</f>
        <v>0</v>
      </c>
      <c r="AL50" s="28">
        <f>ROUND(IF(COUNTIF($I50:J50,"&gt;0")&gt;$AJ50,0,J50),0)</f>
        <v>6</v>
      </c>
      <c r="AM50" s="28">
        <f>ROUND(IF(COUNTIF($I50:K50,"&gt;0")&gt;$AJ50,0,K50),0)</f>
        <v>0</v>
      </c>
      <c r="AN50" s="28">
        <f>ROUND(IF(COUNTIF($I50:L50,"&gt;0")&gt;$AJ50,0,L50),0)</f>
        <v>0</v>
      </c>
      <c r="AO50" s="28">
        <f>ROUND(IF(COUNTIF($I50:M50,"&gt;0")&gt;$AJ50,0,M50),0)</f>
        <v>0</v>
      </c>
      <c r="AP50" s="28">
        <f>ROUND(IF(COUNTIF($I50:N50,"&gt;0")&gt;$AJ50,0,N50),0)</f>
        <v>0</v>
      </c>
      <c r="AQ50" s="28">
        <f>ROUND(IF(COUNTIF($I50:O50,"&gt;0")&gt;$AJ50,0,O50),0)</f>
        <v>0</v>
      </c>
      <c r="AR50" s="28">
        <f>ROUND(IF(COUNTIF($I50:P50,"&gt;0")&gt;$AJ50,0,P50),0)</f>
        <v>0</v>
      </c>
      <c r="AS50" s="28">
        <f>IF(COUNTIF($I50:Q50,"&gt;0")&gt;$AJ50,0,Q50)</f>
        <v>0</v>
      </c>
      <c r="AT50" s="28">
        <f>IF(COUNTIF($I50:R50,"&gt;0")&gt;$AJ50,0,R50)</f>
        <v>0</v>
      </c>
      <c r="AU50" s="28">
        <f>SUMPRODUCT(AK50:AT50,定义数据!$G$14:$P$14)</f>
        <v>6</v>
      </c>
      <c r="AV50" s="28">
        <f t="shared" si="4"/>
        <v>300</v>
      </c>
      <c r="AW50" s="28">
        <f t="shared" si="14"/>
        <v>300</v>
      </c>
      <c r="AX50" s="28">
        <f t="shared" si="15"/>
        <v>16500</v>
      </c>
      <c r="AY50" s="28">
        <f t="shared" si="16"/>
        <v>16500</v>
      </c>
    </row>
    <row r="51" spans="3:51" x14ac:dyDescent="0.15">
      <c r="C51" s="28" t="str">
        <f>H51&amp;F51&amp;VLOOKUP(G51,定义数据!$E$1:$F$7,2,FALSE)</f>
        <v>1520</v>
      </c>
      <c r="D51" s="28"/>
      <c r="E51" s="28">
        <f>装备属性计算表!AK50</f>
        <v>5</v>
      </c>
      <c r="F51" s="28">
        <f>装备属性计算表!B50</f>
        <v>2</v>
      </c>
      <c r="G51" s="28" t="str">
        <f>装备属性计算表!C50</f>
        <v>武器</v>
      </c>
      <c r="H51" s="28">
        <f>装备属性计算表!D50</f>
        <v>15</v>
      </c>
      <c r="I51" s="28">
        <f>VLOOKUP($G51,装备属性计算表!$D$14:$O$19,装备属性计算表!F$2,FALSE)/装备属性计算表!F$20*VLOOKUP($H51&amp;$F51,$C$3:$P$28,G$1,FALSE)</f>
        <v>0</v>
      </c>
      <c r="J51" s="28">
        <f>VLOOKUP($G51,装备属性计算表!$D$14:$O$19,装备属性计算表!G$2,FALSE)/装备属性计算表!G$20*VLOOKUP($H51&amp;$F51,$C$3:$P$28,H$1,FALSE)</f>
        <v>25.882852620320868</v>
      </c>
      <c r="K51" s="28">
        <f>VLOOKUP($G51,装备属性计算表!$D$14:$O$19,装备属性计算表!H$2,FALSE)/装备属性计算表!H$20*VLOOKUP($H51&amp;$F51,$C$3:$P$28,I$1,FALSE)</f>
        <v>3.1068062391681117</v>
      </c>
      <c r="L51" s="28">
        <f>VLOOKUP($G51,装备属性计算表!$D$14:$O$19,装备属性计算表!I$2,FALSE)/装备属性计算表!I$20*VLOOKUP($H51&amp;$F51,$C$3:$P$28,J$1,FALSE)</f>
        <v>0</v>
      </c>
      <c r="M51" s="28">
        <f>VLOOKUP($G51,装备属性计算表!$D$14:$O$19,装备属性计算表!J$2,FALSE)/装备属性计算表!J$20*VLOOKUP($H51&amp;$F51,$C$3:$P$28,K$1,FALSE)</f>
        <v>11.284722222222223</v>
      </c>
      <c r="N51" s="28">
        <f>VLOOKUP($G51,装备属性计算表!$D$14:$O$19,装备属性计算表!K$2,FALSE)/装备属性计算表!K$20*VLOOKUP($H51&amp;$F51,$C$3:$P$28,L$1,FALSE)</f>
        <v>8.0246913580246932</v>
      </c>
      <c r="O51" s="28">
        <f>VLOOKUP($G51,装备属性计算表!$D$14:$O$19,装备属性计算表!L$2,FALSE)/装备属性计算表!L$20*VLOOKUP($H51&amp;$F51,$C$3:$P$28,M$1,FALSE)</f>
        <v>0</v>
      </c>
      <c r="P51" s="28">
        <f>VLOOKUP($G51,装备属性计算表!$D$14:$O$19,装备属性计算表!M$2,FALSE)/装备属性计算表!M$20*VLOOKUP($H51&amp;$F51,$C$3:$P$28,N$1,FALSE)</f>
        <v>0</v>
      </c>
      <c r="Q51" s="28">
        <f>VLOOKUP($G51,装备属性计算表!$D$14:$O$19,装备属性计算表!N$2,FALSE)/装备属性计算表!N$20*VLOOKUP($H51&amp;$F51,$C$3:$P$28,O$1,FALSE)</f>
        <v>0</v>
      </c>
      <c r="R51" s="28">
        <f>VLOOKUP($G51,装备属性计算表!$D$14:$O$19,装备属性计算表!O$2,FALSE)/装备属性计算表!O$20*VLOOKUP($H51&amp;$F51,$C$3:$P$28,P$1,FALSE)</f>
        <v>0</v>
      </c>
      <c r="X51" s="28"/>
      <c r="Y51" s="28">
        <f t="shared" si="5"/>
        <v>0</v>
      </c>
      <c r="Z51" s="28">
        <f t="shared" si="6"/>
        <v>3</v>
      </c>
      <c r="AA51" s="28">
        <f t="shared" si="11"/>
        <v>10</v>
      </c>
      <c r="AB51" s="28">
        <f t="shared" si="7"/>
        <v>0</v>
      </c>
      <c r="AC51" s="28">
        <f t="shared" si="8"/>
        <v>9</v>
      </c>
      <c r="AD51" s="28">
        <f t="shared" si="9"/>
        <v>15</v>
      </c>
      <c r="AE51" s="28">
        <f t="shared" si="17"/>
        <v>84000</v>
      </c>
      <c r="AF51" s="28">
        <f t="shared" si="10"/>
        <v>4250</v>
      </c>
      <c r="AG51" s="28">
        <f t="shared" si="12"/>
        <v>5</v>
      </c>
      <c r="AH51" s="28">
        <f>IF(AG51&gt;0,VLOOKUP(G51,'价值&amp;消耗'!$U$173:$V$178,2,FALSE),0)</f>
        <v>70010</v>
      </c>
      <c r="AI51" s="28">
        <f t="shared" si="13"/>
        <v>275</v>
      </c>
      <c r="AJ51" s="28">
        <f t="shared" si="0"/>
        <v>2</v>
      </c>
      <c r="AK51" s="28">
        <f>ROUND(IF(COUNTIF($I51:I51,"&gt;0")&gt;$AJ51,0,I51),0)</f>
        <v>0</v>
      </c>
      <c r="AL51" s="28">
        <f>ROUND(IF(COUNTIF($I51:J51,"&gt;0")&gt;$AJ51,0,J51),0)</f>
        <v>26</v>
      </c>
      <c r="AM51" s="28">
        <f>ROUND(IF(COUNTIF($I51:K51,"&gt;0")&gt;$AJ51,0,K51),0)</f>
        <v>3</v>
      </c>
      <c r="AN51" s="28">
        <f>ROUND(IF(COUNTIF($I51:L51,"&gt;0")&gt;$AJ51,0,L51),0)</f>
        <v>0</v>
      </c>
      <c r="AO51" s="28">
        <f>ROUND(IF(COUNTIF($I51:M51,"&gt;0")&gt;$AJ51,0,M51),0)</f>
        <v>0</v>
      </c>
      <c r="AP51" s="28">
        <f>ROUND(IF(COUNTIF($I51:N51,"&gt;0")&gt;$AJ51,0,N51),0)</f>
        <v>0</v>
      </c>
      <c r="AQ51" s="28">
        <f>ROUND(IF(COUNTIF($I51:O51,"&gt;0")&gt;$AJ51,0,O51),0)</f>
        <v>0</v>
      </c>
      <c r="AR51" s="28">
        <f>ROUND(IF(COUNTIF($I51:P51,"&gt;0")&gt;$AJ51,0,P51),0)</f>
        <v>0</v>
      </c>
      <c r="AS51" s="28">
        <f>IF(COUNTIF($I51:Q51,"&gt;0")&gt;$AJ51,0,Q51)</f>
        <v>0</v>
      </c>
      <c r="AT51" s="28">
        <f>IF(COUNTIF($I51:R51,"&gt;0")&gt;$AJ51,0,R51)</f>
        <v>0</v>
      </c>
      <c r="AU51" s="28">
        <f>SUMPRODUCT(AK51:AT51,定义数据!$G$14:$P$14)</f>
        <v>29</v>
      </c>
      <c r="AV51" s="28">
        <f t="shared" si="4"/>
        <v>1450</v>
      </c>
      <c r="AW51" s="28">
        <f t="shared" si="14"/>
        <v>1450</v>
      </c>
      <c r="AX51" s="28">
        <f t="shared" si="15"/>
        <v>79750</v>
      </c>
      <c r="AY51" s="28">
        <f t="shared" si="16"/>
        <v>79750</v>
      </c>
    </row>
    <row r="52" spans="3:51" x14ac:dyDescent="0.15">
      <c r="C52" s="28" t="str">
        <f>H52&amp;F52&amp;VLOOKUP(G52,定义数据!$E$1:$F$7,2,FALSE)</f>
        <v>1521</v>
      </c>
      <c r="D52" s="28"/>
      <c r="E52" s="28">
        <f>装备属性计算表!AK51</f>
        <v>5</v>
      </c>
      <c r="F52" s="28">
        <f>装备属性计算表!B51</f>
        <v>2</v>
      </c>
      <c r="G52" s="28" t="str">
        <f>装备属性计算表!C51</f>
        <v>衣服</v>
      </c>
      <c r="H52" s="28">
        <f>装备属性计算表!D51</f>
        <v>15</v>
      </c>
      <c r="I52" s="28">
        <f>VLOOKUP($G52,装备属性计算表!$D$14:$O$19,装备属性计算表!F$2,FALSE)/装备属性计算表!F$20*VLOOKUP($H52&amp;$F52,$C$3:$P$28,G$1,FALSE)</f>
        <v>283.09782092107071</v>
      </c>
      <c r="J52" s="28">
        <f>VLOOKUP($G52,装备属性计算表!$D$14:$O$19,装备属性计算表!G$2,FALSE)/装备属性计算表!G$20*VLOOKUP($H52&amp;$F52,$C$3:$P$28,H$1,FALSE)</f>
        <v>0</v>
      </c>
      <c r="K52" s="28">
        <f>VLOOKUP($G52,装备属性计算表!$D$14:$O$19,装备属性计算表!H$2,FALSE)/装备属性计算表!H$20*VLOOKUP($H52&amp;$F52,$C$3:$P$28,I$1,FALSE)</f>
        <v>9.3204187175043351</v>
      </c>
      <c r="L52" s="28">
        <f>VLOOKUP($G52,装备属性计算表!$D$14:$O$19,装备属性计算表!I$2,FALSE)/装备属性计算表!I$20*VLOOKUP($H52&amp;$F52,$C$3:$P$28,J$1,FALSE)</f>
        <v>6.7708333333333348</v>
      </c>
      <c r="M52" s="28">
        <f>VLOOKUP($G52,装备属性计算表!$D$14:$O$19,装备属性计算表!J$2,FALSE)/装备属性计算表!J$20*VLOOKUP($H52&amp;$F52,$C$3:$P$28,K$1,FALSE)</f>
        <v>0</v>
      </c>
      <c r="N52" s="28">
        <f>VLOOKUP($G52,装备属性计算表!$D$14:$O$19,装备属性计算表!K$2,FALSE)/装备属性计算表!K$20*VLOOKUP($H52&amp;$F52,$C$3:$P$28,L$1,FALSE)</f>
        <v>0</v>
      </c>
      <c r="O52" s="28">
        <f>VLOOKUP($G52,装备属性计算表!$D$14:$O$19,装备属性计算表!L$2,FALSE)/装备属性计算表!L$20*VLOOKUP($H52&amp;$F52,$C$3:$P$28,M$1,FALSE)</f>
        <v>0</v>
      </c>
      <c r="P52" s="28">
        <f>VLOOKUP($G52,装备属性计算表!$D$14:$O$19,装备属性计算表!M$2,FALSE)/装备属性计算表!M$20*VLOOKUP($H52&amp;$F52,$C$3:$P$28,N$1,FALSE)</f>
        <v>6.6872427983539104</v>
      </c>
      <c r="Q52" s="28">
        <f>VLOOKUP($G52,装备属性计算表!$D$14:$O$19,装备属性计算表!N$2,FALSE)/装备属性计算表!N$20*VLOOKUP($H52&amp;$F52,$C$3:$P$28,O$1,FALSE)</f>
        <v>0</v>
      </c>
      <c r="R52" s="28">
        <f>VLOOKUP($G52,装备属性计算表!$D$14:$O$19,装备属性计算表!O$2,FALSE)/装备属性计算表!O$20*VLOOKUP($H52&amp;$F52,$C$3:$P$28,P$1,FALSE)</f>
        <v>0</v>
      </c>
      <c r="X52" s="28"/>
      <c r="Y52" s="28">
        <f t="shared" si="5"/>
        <v>0</v>
      </c>
      <c r="Z52" s="28">
        <f t="shared" si="6"/>
        <v>4</v>
      </c>
      <c r="AA52" s="28">
        <f t="shared" si="11"/>
        <v>10</v>
      </c>
      <c r="AB52" s="28">
        <f t="shared" si="7"/>
        <v>0</v>
      </c>
      <c r="AC52" s="28">
        <f t="shared" si="8"/>
        <v>11</v>
      </c>
      <c r="AD52" s="28">
        <f t="shared" si="9"/>
        <v>10</v>
      </c>
      <c r="AE52" s="28">
        <f t="shared" si="17"/>
        <v>61000</v>
      </c>
      <c r="AF52" s="28">
        <f t="shared" si="10"/>
        <v>5120</v>
      </c>
      <c r="AG52" s="28">
        <f t="shared" si="12"/>
        <v>4</v>
      </c>
      <c r="AH52" s="28">
        <f>IF(AG52&gt;0,VLOOKUP(G52,'价值&amp;消耗'!$U$173:$V$178,2,FALSE),0)</f>
        <v>71010</v>
      </c>
      <c r="AI52" s="28">
        <f t="shared" si="13"/>
        <v>220</v>
      </c>
      <c r="AJ52" s="28">
        <f t="shared" si="0"/>
        <v>2</v>
      </c>
      <c r="AK52" s="28">
        <f>ROUND(IF(COUNTIF($I52:I52,"&gt;0")&gt;$AJ52,0,I52),0)</f>
        <v>283</v>
      </c>
      <c r="AL52" s="28">
        <f>ROUND(IF(COUNTIF($I52:J52,"&gt;0")&gt;$AJ52,0,J52),0)</f>
        <v>0</v>
      </c>
      <c r="AM52" s="28">
        <f>ROUND(IF(COUNTIF($I52:K52,"&gt;0")&gt;$AJ52,0,K52),0)</f>
        <v>9</v>
      </c>
      <c r="AN52" s="28">
        <f>ROUND(IF(COUNTIF($I52:L52,"&gt;0")&gt;$AJ52,0,L52),0)</f>
        <v>0</v>
      </c>
      <c r="AO52" s="28">
        <f>ROUND(IF(COUNTIF($I52:M52,"&gt;0")&gt;$AJ52,0,M52),0)</f>
        <v>0</v>
      </c>
      <c r="AP52" s="28">
        <f>ROUND(IF(COUNTIF($I52:N52,"&gt;0")&gt;$AJ52,0,N52),0)</f>
        <v>0</v>
      </c>
      <c r="AQ52" s="28">
        <f>ROUND(IF(COUNTIF($I52:O52,"&gt;0")&gt;$AJ52,0,O52),0)</f>
        <v>0</v>
      </c>
      <c r="AR52" s="28">
        <f>ROUND(IF(COUNTIF($I52:P52,"&gt;0")&gt;$AJ52,0,P52),0)</f>
        <v>0</v>
      </c>
      <c r="AS52" s="28">
        <f>IF(COUNTIF($I52:Q52,"&gt;0")&gt;$AJ52,0,Q52)</f>
        <v>0</v>
      </c>
      <c r="AT52" s="28">
        <f>IF(COUNTIF($I52:R52,"&gt;0")&gt;$AJ52,0,R52)</f>
        <v>0</v>
      </c>
      <c r="AU52" s="28">
        <f>SUMPRODUCT(AK52:AT52,定义数据!$G$14:$P$14)</f>
        <v>20.32</v>
      </c>
      <c r="AV52" s="28">
        <f t="shared" si="4"/>
        <v>1016</v>
      </c>
      <c r="AW52" s="28">
        <f t="shared" si="14"/>
        <v>1016</v>
      </c>
      <c r="AX52" s="28">
        <f t="shared" si="15"/>
        <v>55880</v>
      </c>
      <c r="AY52" s="28">
        <f t="shared" si="16"/>
        <v>55880</v>
      </c>
    </row>
    <row r="53" spans="3:51" x14ac:dyDescent="0.15">
      <c r="C53" s="28" t="str">
        <f>H53&amp;F53&amp;VLOOKUP(G53,定义数据!$E$1:$F$7,2,FALSE)</f>
        <v>1522</v>
      </c>
      <c r="D53" s="28"/>
      <c r="E53" s="28">
        <f>装备属性计算表!AK52</f>
        <v>5</v>
      </c>
      <c r="F53" s="28">
        <f>装备属性计算表!B52</f>
        <v>2</v>
      </c>
      <c r="G53" s="28" t="str">
        <f>装备属性计算表!C52</f>
        <v>裤子</v>
      </c>
      <c r="H53" s="28">
        <f>装备属性计算表!D52</f>
        <v>15</v>
      </c>
      <c r="I53" s="28">
        <f>VLOOKUP($G53,装备属性计算表!$D$14:$O$19,装备属性计算表!F$2,FALSE)/装备属性计算表!F$20*VLOOKUP($H53&amp;$F53,$C$3:$P$28,G$1,FALSE)</f>
        <v>141.54891046053535</v>
      </c>
      <c r="J53" s="28">
        <f>VLOOKUP($G53,装备属性计算表!$D$14:$O$19,装备属性计算表!G$2,FALSE)/装备属性计算表!G$20*VLOOKUP($H53&amp;$F53,$C$3:$P$28,H$1,FALSE)</f>
        <v>0</v>
      </c>
      <c r="K53" s="28">
        <f>VLOOKUP($G53,装备属性计算表!$D$14:$O$19,装备属性计算表!H$2,FALSE)/装备属性计算表!H$20*VLOOKUP($H53&amp;$F53,$C$3:$P$28,I$1,FALSE)</f>
        <v>3.1068062391681117</v>
      </c>
      <c r="L53" s="28">
        <f>VLOOKUP($G53,装备属性计算表!$D$14:$O$19,装备属性计算表!I$2,FALSE)/装备属性计算表!I$20*VLOOKUP($H53&amp;$F53,$C$3:$P$28,J$1,FALSE)</f>
        <v>6.7708333333333348</v>
      </c>
      <c r="M53" s="28">
        <f>VLOOKUP($G53,装备属性计算表!$D$14:$O$19,装备属性计算表!J$2,FALSE)/装备属性计算表!J$20*VLOOKUP($H53&amp;$F53,$C$3:$P$28,K$1,FALSE)</f>
        <v>0</v>
      </c>
      <c r="N53" s="28">
        <f>VLOOKUP($G53,装备属性计算表!$D$14:$O$19,装备属性计算表!K$2,FALSE)/装备属性计算表!K$20*VLOOKUP($H53&amp;$F53,$C$3:$P$28,L$1,FALSE)</f>
        <v>0</v>
      </c>
      <c r="O53" s="28">
        <f>VLOOKUP($G53,装备属性计算表!$D$14:$O$19,装备属性计算表!L$2,FALSE)/装备属性计算表!L$20*VLOOKUP($H53&amp;$F53,$C$3:$P$28,M$1,FALSE)</f>
        <v>0</v>
      </c>
      <c r="P53" s="28">
        <f>VLOOKUP($G53,装备属性计算表!$D$14:$O$19,装备属性计算表!M$2,FALSE)/装备属性计算表!M$20*VLOOKUP($H53&amp;$F53,$C$3:$P$28,N$1,FALSE)</f>
        <v>6.6872427983539104</v>
      </c>
      <c r="Q53" s="28">
        <f>VLOOKUP($G53,装备属性计算表!$D$14:$O$19,装备属性计算表!N$2,FALSE)/装备属性计算表!N$20*VLOOKUP($H53&amp;$F53,$C$3:$P$28,O$1,FALSE)</f>
        <v>0</v>
      </c>
      <c r="R53" s="28">
        <f>VLOOKUP($G53,装备属性计算表!$D$14:$O$19,装备属性计算表!O$2,FALSE)/装备属性计算表!O$20*VLOOKUP($H53&amp;$F53,$C$3:$P$28,P$1,FALSE)</f>
        <v>0</v>
      </c>
      <c r="X53" s="28"/>
      <c r="Y53" s="28">
        <f t="shared" si="5"/>
        <v>2</v>
      </c>
      <c r="Z53" s="28">
        <f t="shared" si="6"/>
        <v>10</v>
      </c>
      <c r="AA53" s="28">
        <f t="shared" si="11"/>
        <v>10</v>
      </c>
      <c r="AB53" s="28">
        <f t="shared" si="7"/>
        <v>7</v>
      </c>
      <c r="AC53" s="28">
        <f t="shared" si="8"/>
        <v>23</v>
      </c>
      <c r="AD53" s="28">
        <f t="shared" si="9"/>
        <v>0</v>
      </c>
      <c r="AE53" s="28">
        <f t="shared" si="17"/>
        <v>24400</v>
      </c>
      <c r="AF53" s="28">
        <f t="shared" si="10"/>
        <v>530</v>
      </c>
      <c r="AG53" s="28">
        <f t="shared" si="12"/>
        <v>2</v>
      </c>
      <c r="AH53" s="28">
        <f>IF(AG53&gt;0,VLOOKUP(G53,'价值&amp;消耗'!$U$173:$V$178,2,FALSE),0)</f>
        <v>72010</v>
      </c>
      <c r="AI53" s="28">
        <f t="shared" si="13"/>
        <v>110</v>
      </c>
      <c r="AJ53" s="28">
        <f t="shared" si="0"/>
        <v>2</v>
      </c>
      <c r="AK53" s="28">
        <f>ROUND(IF(COUNTIF($I53:I53,"&gt;0")&gt;$AJ53,0,I53),0)</f>
        <v>142</v>
      </c>
      <c r="AL53" s="28">
        <f>ROUND(IF(COUNTIF($I53:J53,"&gt;0")&gt;$AJ53,0,J53),0)</f>
        <v>0</v>
      </c>
      <c r="AM53" s="28">
        <f>ROUND(IF(COUNTIF($I53:K53,"&gt;0")&gt;$AJ53,0,K53),0)</f>
        <v>3</v>
      </c>
      <c r="AN53" s="28">
        <f>ROUND(IF(COUNTIF($I53:L53,"&gt;0")&gt;$AJ53,0,L53),0)</f>
        <v>0</v>
      </c>
      <c r="AO53" s="28">
        <f>ROUND(IF(COUNTIF($I53:M53,"&gt;0")&gt;$AJ53,0,M53),0)</f>
        <v>0</v>
      </c>
      <c r="AP53" s="28">
        <f>ROUND(IF(COUNTIF($I53:N53,"&gt;0")&gt;$AJ53,0,N53),0)</f>
        <v>0</v>
      </c>
      <c r="AQ53" s="28">
        <f>ROUND(IF(COUNTIF($I53:O53,"&gt;0")&gt;$AJ53,0,O53),0)</f>
        <v>0</v>
      </c>
      <c r="AR53" s="28">
        <f>ROUND(IF(COUNTIF($I53:P53,"&gt;0")&gt;$AJ53,0,P53),0)</f>
        <v>0</v>
      </c>
      <c r="AS53" s="28">
        <f>IF(COUNTIF($I53:Q53,"&gt;0")&gt;$AJ53,0,Q53)</f>
        <v>0</v>
      </c>
      <c r="AT53" s="28">
        <f>IF(COUNTIF($I53:R53,"&gt;0")&gt;$AJ53,0,R53)</f>
        <v>0</v>
      </c>
      <c r="AU53" s="28">
        <f>SUMPRODUCT(AK53:AT53,定义数据!$G$14:$P$14)</f>
        <v>8.68</v>
      </c>
      <c r="AV53" s="28">
        <f t="shared" si="4"/>
        <v>434</v>
      </c>
      <c r="AW53" s="28">
        <f t="shared" si="14"/>
        <v>434</v>
      </c>
      <c r="AX53" s="28">
        <f t="shared" si="15"/>
        <v>23870</v>
      </c>
      <c r="AY53" s="28">
        <f t="shared" si="16"/>
        <v>23870</v>
      </c>
    </row>
    <row r="54" spans="3:51" x14ac:dyDescent="0.15">
      <c r="C54" s="28" t="str">
        <f>H54&amp;F54&amp;VLOOKUP(G54,定义数据!$E$1:$F$7,2,FALSE)</f>
        <v>1525</v>
      </c>
      <c r="D54" s="28"/>
      <c r="E54" s="28">
        <f>装备属性计算表!AK53</f>
        <v>5</v>
      </c>
      <c r="F54" s="28">
        <f>装备属性计算表!B53</f>
        <v>2</v>
      </c>
      <c r="G54" s="28" t="str">
        <f>装备属性计算表!C53</f>
        <v>鞋子</v>
      </c>
      <c r="H54" s="28">
        <f>装备属性计算表!D53</f>
        <v>15</v>
      </c>
      <c r="I54" s="28">
        <f>VLOOKUP($G54,装备属性计算表!$D$14:$O$19,装备属性计算表!F$2,FALSE)/装备属性计算表!F$20*VLOOKUP($H54&amp;$F54,$C$3:$P$28,G$1,FALSE)</f>
        <v>141.54891046053535</v>
      </c>
      <c r="J54" s="28">
        <f>VLOOKUP($G54,装备属性计算表!$D$14:$O$19,装备属性计算表!G$2,FALSE)/装备属性计算表!G$20*VLOOKUP($H54&amp;$F54,$C$3:$P$28,H$1,FALSE)</f>
        <v>0</v>
      </c>
      <c r="K54" s="28">
        <f>VLOOKUP($G54,装备属性计算表!$D$14:$O$19,装备属性计算表!H$2,FALSE)/装备属性计算表!H$20*VLOOKUP($H54&amp;$F54,$C$3:$P$28,I$1,FALSE)</f>
        <v>0</v>
      </c>
      <c r="L54" s="28">
        <f>VLOOKUP($G54,装备属性计算表!$D$14:$O$19,装备属性计算表!I$2,FALSE)/装备属性计算表!I$20*VLOOKUP($H54&amp;$F54,$C$3:$P$28,J$1,FALSE)</f>
        <v>13.54166666666667</v>
      </c>
      <c r="M54" s="28">
        <f>VLOOKUP($G54,装备属性计算表!$D$14:$O$19,装备属性计算表!J$2,FALSE)/装备属性计算表!J$20*VLOOKUP($H54&amp;$F54,$C$3:$P$28,K$1,FALSE)</f>
        <v>11.284722222222223</v>
      </c>
      <c r="N54" s="28">
        <f>VLOOKUP($G54,装备属性计算表!$D$14:$O$19,装备属性计算表!K$2,FALSE)/装备属性计算表!K$20*VLOOKUP($H54&amp;$F54,$C$3:$P$28,L$1,FALSE)</f>
        <v>4.0123456790123466</v>
      </c>
      <c r="O54" s="28">
        <f>VLOOKUP($G54,装备属性计算表!$D$14:$O$19,装备属性计算表!L$2,FALSE)/装备属性计算表!L$20*VLOOKUP($H54&amp;$F54,$C$3:$P$28,M$1,FALSE)</f>
        <v>0</v>
      </c>
      <c r="P54" s="28">
        <f>VLOOKUP($G54,装备属性计算表!$D$14:$O$19,装备属性计算表!M$2,FALSE)/装备属性计算表!M$20*VLOOKUP($H54&amp;$F54,$C$3:$P$28,N$1,FALSE)</f>
        <v>0</v>
      </c>
      <c r="Q54" s="28">
        <f>VLOOKUP($G54,装备属性计算表!$D$14:$O$19,装备属性计算表!N$2,FALSE)/装备属性计算表!N$20*VLOOKUP($H54&amp;$F54,$C$3:$P$28,O$1,FALSE)</f>
        <v>0</v>
      </c>
      <c r="R54" s="28">
        <f>VLOOKUP($G54,装备属性计算表!$D$14:$O$19,装备属性计算表!O$2,FALSE)/装备属性计算表!O$20*VLOOKUP($H54&amp;$F54,$C$3:$P$28,P$1,FALSE)</f>
        <v>0</v>
      </c>
      <c r="X54" s="28"/>
      <c r="Y54" s="28">
        <f t="shared" si="5"/>
        <v>1</v>
      </c>
      <c r="Z54" s="28">
        <f t="shared" si="6"/>
        <v>9</v>
      </c>
      <c r="AA54" s="28">
        <f t="shared" si="11"/>
        <v>10</v>
      </c>
      <c r="AB54" s="28">
        <f t="shared" si="7"/>
        <v>3</v>
      </c>
      <c r="AC54" s="28">
        <f t="shared" si="8"/>
        <v>23</v>
      </c>
      <c r="AD54" s="28">
        <f t="shared" si="9"/>
        <v>2</v>
      </c>
      <c r="AE54" s="28">
        <f t="shared" si="17"/>
        <v>33600</v>
      </c>
      <c r="AF54" s="28">
        <f t="shared" si="10"/>
        <v>4890</v>
      </c>
      <c r="AG54" s="28">
        <f t="shared" si="12"/>
        <v>2</v>
      </c>
      <c r="AH54" s="28">
        <f>IF(AG54&gt;0,VLOOKUP(G54,'价值&amp;消耗'!$U$173:$V$178,2,FALSE),0)</f>
        <v>75010</v>
      </c>
      <c r="AI54" s="28">
        <f t="shared" si="13"/>
        <v>110</v>
      </c>
      <c r="AJ54" s="28">
        <f t="shared" si="0"/>
        <v>2</v>
      </c>
      <c r="AK54" s="28">
        <f>ROUND(IF(COUNTIF($I54:I54,"&gt;0")&gt;$AJ54,0,I54),0)</f>
        <v>142</v>
      </c>
      <c r="AL54" s="28">
        <f>ROUND(IF(COUNTIF($I54:J54,"&gt;0")&gt;$AJ54,0,J54),0)</f>
        <v>0</v>
      </c>
      <c r="AM54" s="28">
        <f>ROUND(IF(COUNTIF($I54:K54,"&gt;0")&gt;$AJ54,0,K54),0)</f>
        <v>0</v>
      </c>
      <c r="AN54" s="28">
        <f>ROUND(IF(COUNTIF($I54:L54,"&gt;0")&gt;$AJ54,0,L54),0)</f>
        <v>14</v>
      </c>
      <c r="AO54" s="28">
        <f>ROUND(IF(COUNTIF($I54:M54,"&gt;0")&gt;$AJ54,0,M54),0)</f>
        <v>0</v>
      </c>
      <c r="AP54" s="28">
        <f>ROUND(IF(COUNTIF($I54:N54,"&gt;0")&gt;$AJ54,0,N54),0)</f>
        <v>0</v>
      </c>
      <c r="AQ54" s="28">
        <f>ROUND(IF(COUNTIF($I54:O54,"&gt;0")&gt;$AJ54,0,O54),0)</f>
        <v>0</v>
      </c>
      <c r="AR54" s="28">
        <f>ROUND(IF(COUNTIF($I54:P54,"&gt;0")&gt;$AJ54,0,P54),0)</f>
        <v>0</v>
      </c>
      <c r="AS54" s="28">
        <f>IF(COUNTIF($I54:Q54,"&gt;0")&gt;$AJ54,0,Q54)</f>
        <v>0</v>
      </c>
      <c r="AT54" s="28">
        <f>IF(COUNTIF($I54:R54,"&gt;0")&gt;$AJ54,0,R54)</f>
        <v>0</v>
      </c>
      <c r="AU54" s="28">
        <f>SUMPRODUCT(AK54:AT54,定义数据!$G$14:$P$14)</f>
        <v>10.440000000000001</v>
      </c>
      <c r="AV54" s="28">
        <f t="shared" si="4"/>
        <v>522</v>
      </c>
      <c r="AW54" s="28">
        <f t="shared" si="14"/>
        <v>522</v>
      </c>
      <c r="AX54" s="28">
        <f t="shared" si="15"/>
        <v>28710</v>
      </c>
      <c r="AY54" s="28">
        <f t="shared" si="16"/>
        <v>28710</v>
      </c>
    </row>
    <row r="55" spans="3:51" x14ac:dyDescent="0.15">
      <c r="C55" s="28" t="str">
        <f>H55&amp;F55&amp;VLOOKUP(G55,定义数据!$E$1:$F$7,2,FALSE)</f>
        <v>1524</v>
      </c>
      <c r="D55" s="28"/>
      <c r="E55" s="28">
        <f>装备属性计算表!AK54</f>
        <v>5</v>
      </c>
      <c r="F55" s="28">
        <f>装备属性计算表!B54</f>
        <v>2</v>
      </c>
      <c r="G55" s="28" t="str">
        <f>装备属性计算表!C54</f>
        <v>腰带</v>
      </c>
      <c r="H55" s="28">
        <f>装备属性计算表!D54</f>
        <v>15</v>
      </c>
      <c r="I55" s="28">
        <f>VLOOKUP($G55,装备属性计算表!$D$14:$O$19,装备属性计算表!F$2,FALSE)/装备属性计算表!F$20*VLOOKUP($H55&amp;$F55,$C$3:$P$28,G$1,FALSE)</f>
        <v>283.09782092107071</v>
      </c>
      <c r="J55" s="28">
        <f>VLOOKUP($G55,装备属性计算表!$D$14:$O$19,装备属性计算表!G$2,FALSE)/装备属性计算表!G$20*VLOOKUP($H55&amp;$F55,$C$3:$P$28,H$1,FALSE)</f>
        <v>8.6276175401069573</v>
      </c>
      <c r="K55" s="28">
        <f>VLOOKUP($G55,装备属性计算表!$D$14:$O$19,装备属性计算表!H$2,FALSE)/装备属性计算表!H$20*VLOOKUP($H55&amp;$F55,$C$3:$P$28,I$1,FALSE)</f>
        <v>3.1068062391681117</v>
      </c>
      <c r="L55" s="28">
        <f>VLOOKUP($G55,装备属性计算表!$D$14:$O$19,装备属性计算表!I$2,FALSE)/装备属性计算表!I$20*VLOOKUP($H55&amp;$F55,$C$3:$P$28,J$1,FALSE)</f>
        <v>0</v>
      </c>
      <c r="M55" s="28">
        <f>VLOOKUP($G55,装备属性计算表!$D$14:$O$19,装备属性计算表!J$2,FALSE)/装备属性计算表!J$20*VLOOKUP($H55&amp;$F55,$C$3:$P$28,K$1,FALSE)</f>
        <v>0</v>
      </c>
      <c r="N55" s="28">
        <f>VLOOKUP($G55,装备属性计算表!$D$14:$O$19,装备属性计算表!K$2,FALSE)/装备属性计算表!K$20*VLOOKUP($H55&amp;$F55,$C$3:$P$28,L$1,FALSE)</f>
        <v>0</v>
      </c>
      <c r="O55" s="28">
        <f>VLOOKUP($G55,装备属性计算表!$D$14:$O$19,装备属性计算表!L$2,FALSE)/装备属性计算表!L$20*VLOOKUP($H55&amp;$F55,$C$3:$P$28,M$1,FALSE)</f>
        <v>0</v>
      </c>
      <c r="P55" s="28">
        <f>VLOOKUP($G55,装备属性计算表!$D$14:$O$19,装备属性计算表!M$2,FALSE)/装备属性计算表!M$20*VLOOKUP($H55&amp;$F55,$C$3:$P$28,N$1,FALSE)</f>
        <v>6.6872427983539104</v>
      </c>
      <c r="Q55" s="28">
        <f>VLOOKUP($G55,装备属性计算表!$D$14:$O$19,装备属性计算表!N$2,FALSE)/装备属性计算表!N$20*VLOOKUP($H55&amp;$F55,$C$3:$P$28,O$1,FALSE)</f>
        <v>0</v>
      </c>
      <c r="R55" s="28">
        <f>VLOOKUP($G55,装备属性计算表!$D$14:$O$19,装备属性计算表!O$2,FALSE)/装备属性计算表!O$20*VLOOKUP($H55&amp;$F55,$C$3:$P$28,P$1,FALSE)</f>
        <v>0</v>
      </c>
      <c r="X55" s="28"/>
      <c r="Y55" s="28">
        <f t="shared" si="5"/>
        <v>0</v>
      </c>
      <c r="Z55" s="28">
        <f t="shared" si="6"/>
        <v>4</v>
      </c>
      <c r="AA55" s="28">
        <f t="shared" si="11"/>
        <v>10</v>
      </c>
      <c r="AB55" s="28">
        <f t="shared" si="7"/>
        <v>0</v>
      </c>
      <c r="AC55" s="28">
        <f t="shared" si="8"/>
        <v>11</v>
      </c>
      <c r="AD55" s="28">
        <f t="shared" si="9"/>
        <v>10</v>
      </c>
      <c r="AE55" s="28">
        <f t="shared" si="17"/>
        <v>61000</v>
      </c>
      <c r="AF55" s="28">
        <f t="shared" si="10"/>
        <v>5120</v>
      </c>
      <c r="AG55" s="28">
        <f t="shared" si="12"/>
        <v>4</v>
      </c>
      <c r="AH55" s="28">
        <f>IF(AG55&gt;0,VLOOKUP(G55,'价值&amp;消耗'!$U$173:$V$178,2,FALSE),0)</f>
        <v>74010</v>
      </c>
      <c r="AI55" s="28">
        <f t="shared" si="13"/>
        <v>220</v>
      </c>
      <c r="AJ55" s="28">
        <f t="shared" si="0"/>
        <v>2</v>
      </c>
      <c r="AK55" s="28">
        <f>ROUND(IF(COUNTIF($I55:I55,"&gt;0")&gt;$AJ55,0,I55),0)</f>
        <v>283</v>
      </c>
      <c r="AL55" s="28">
        <f>ROUND(IF(COUNTIF($I55:J55,"&gt;0")&gt;$AJ55,0,J55),0)</f>
        <v>9</v>
      </c>
      <c r="AM55" s="28">
        <f>ROUND(IF(COUNTIF($I55:K55,"&gt;0")&gt;$AJ55,0,K55),0)</f>
        <v>0</v>
      </c>
      <c r="AN55" s="28">
        <f>ROUND(IF(COUNTIF($I55:L55,"&gt;0")&gt;$AJ55,0,L55),0)</f>
        <v>0</v>
      </c>
      <c r="AO55" s="28">
        <f>ROUND(IF(COUNTIF($I55:M55,"&gt;0")&gt;$AJ55,0,M55),0)</f>
        <v>0</v>
      </c>
      <c r="AP55" s="28">
        <f>ROUND(IF(COUNTIF($I55:N55,"&gt;0")&gt;$AJ55,0,N55),0)</f>
        <v>0</v>
      </c>
      <c r="AQ55" s="28">
        <f>ROUND(IF(COUNTIF($I55:O55,"&gt;0")&gt;$AJ55,0,O55),0)</f>
        <v>0</v>
      </c>
      <c r="AR55" s="28">
        <f>ROUND(IF(COUNTIF($I55:P55,"&gt;0")&gt;$AJ55,0,P55),0)</f>
        <v>0</v>
      </c>
      <c r="AS55" s="28">
        <f>IF(COUNTIF($I55:Q55,"&gt;0")&gt;$AJ55,0,Q55)</f>
        <v>0</v>
      </c>
      <c r="AT55" s="28">
        <f>IF(COUNTIF($I55:R55,"&gt;0")&gt;$AJ55,0,R55)</f>
        <v>0</v>
      </c>
      <c r="AU55" s="28">
        <f>SUMPRODUCT(AK55:AT55,定义数据!$G$14:$P$14)</f>
        <v>20.32</v>
      </c>
      <c r="AV55" s="28">
        <f t="shared" si="4"/>
        <v>1016</v>
      </c>
      <c r="AW55" s="28">
        <f t="shared" si="14"/>
        <v>1016</v>
      </c>
      <c r="AX55" s="28">
        <f t="shared" si="15"/>
        <v>55880</v>
      </c>
      <c r="AY55" s="28">
        <f t="shared" si="16"/>
        <v>55880</v>
      </c>
    </row>
    <row r="56" spans="3:51" x14ac:dyDescent="0.15">
      <c r="C56" s="28" t="str">
        <f>H56&amp;F56&amp;VLOOKUP(G56,定义数据!$E$1:$F$7,2,FALSE)</f>
        <v>1523</v>
      </c>
      <c r="D56" s="28"/>
      <c r="E56" s="28">
        <f>装备属性计算表!AK55</f>
        <v>5</v>
      </c>
      <c r="F56" s="28">
        <f>装备属性计算表!B55</f>
        <v>2</v>
      </c>
      <c r="G56" s="28" t="str">
        <f>装备属性计算表!C55</f>
        <v>项链</v>
      </c>
      <c r="H56" s="28">
        <f>装备属性计算表!D55</f>
        <v>15</v>
      </c>
      <c r="I56" s="28">
        <f>VLOOKUP($G56,装备属性计算表!$D$14:$O$19,装备属性计算表!F$2,FALSE)/装备属性计算表!F$20*VLOOKUP($H56&amp;$F56,$C$3:$P$28,G$1,FALSE)</f>
        <v>0</v>
      </c>
      <c r="J56" s="28">
        <f>VLOOKUP($G56,装备属性计算表!$D$14:$O$19,装备属性计算表!G$2,FALSE)/装备属性计算表!G$20*VLOOKUP($H56&amp;$F56,$C$3:$P$28,H$1,FALSE)</f>
        <v>8.6276175401069573</v>
      </c>
      <c r="K56" s="28">
        <f>VLOOKUP($G56,装备属性计算表!$D$14:$O$19,装备属性计算表!H$2,FALSE)/装备属性计算表!H$20*VLOOKUP($H56&amp;$F56,$C$3:$P$28,I$1,FALSE)</f>
        <v>0</v>
      </c>
      <c r="L56" s="28">
        <f>VLOOKUP($G56,装备属性计算表!$D$14:$O$19,装备属性计算表!I$2,FALSE)/装备属性计算表!I$20*VLOOKUP($H56&amp;$F56,$C$3:$P$28,J$1,FALSE)</f>
        <v>6.7708333333333348</v>
      </c>
      <c r="M56" s="28">
        <f>VLOOKUP($G56,装备属性计算表!$D$14:$O$19,装备属性计算表!J$2,FALSE)/装备属性计算表!J$20*VLOOKUP($H56&amp;$F56,$C$3:$P$28,K$1,FALSE)</f>
        <v>11.284722222222223</v>
      </c>
      <c r="N56" s="28">
        <f>VLOOKUP($G56,装备属性计算表!$D$14:$O$19,装备属性计算表!K$2,FALSE)/装备属性计算表!K$20*VLOOKUP($H56&amp;$F56,$C$3:$P$28,L$1,FALSE)</f>
        <v>8.0246913580246932</v>
      </c>
      <c r="O56" s="28">
        <f>VLOOKUP($G56,装备属性计算表!$D$14:$O$19,装备属性计算表!L$2,FALSE)/装备属性计算表!L$20*VLOOKUP($H56&amp;$F56,$C$3:$P$28,M$1,FALSE)</f>
        <v>0</v>
      </c>
      <c r="P56" s="28">
        <f>VLOOKUP($G56,装备属性计算表!$D$14:$O$19,装备属性计算表!M$2,FALSE)/装备属性计算表!M$20*VLOOKUP($H56&amp;$F56,$C$3:$P$28,N$1,FALSE)</f>
        <v>0</v>
      </c>
      <c r="Q56" s="28">
        <f>VLOOKUP($G56,装备属性计算表!$D$14:$O$19,装备属性计算表!N$2,FALSE)/装备属性计算表!N$20*VLOOKUP($H56&amp;$F56,$C$3:$P$28,O$1,FALSE)</f>
        <v>0</v>
      </c>
      <c r="R56" s="28">
        <f>VLOOKUP($G56,装备属性计算表!$D$14:$O$19,装备属性计算表!O$2,FALSE)/装备属性计算表!O$20*VLOOKUP($H56&amp;$F56,$C$3:$P$28,P$1,FALSE)</f>
        <v>0</v>
      </c>
      <c r="X56" s="28">
        <f>SUM(AY51:AY56)</f>
        <v>275385</v>
      </c>
      <c r="Y56" s="28">
        <f t="shared" si="5"/>
        <v>1</v>
      </c>
      <c r="Z56" s="28">
        <f t="shared" si="6"/>
        <v>8</v>
      </c>
      <c r="AA56" s="28">
        <f t="shared" si="11"/>
        <v>10</v>
      </c>
      <c r="AB56" s="28">
        <f t="shared" si="7"/>
        <v>3</v>
      </c>
      <c r="AC56" s="28">
        <f t="shared" si="8"/>
        <v>20</v>
      </c>
      <c r="AD56" s="28">
        <f t="shared" si="9"/>
        <v>3</v>
      </c>
      <c r="AE56" s="28">
        <f t="shared" si="17"/>
        <v>35600</v>
      </c>
      <c r="AF56" s="28">
        <f t="shared" si="10"/>
        <v>4305</v>
      </c>
      <c r="AG56" s="28">
        <f t="shared" si="12"/>
        <v>2</v>
      </c>
      <c r="AH56" s="28">
        <f>IF(AG56&gt;0,VLOOKUP(G56,'价值&amp;消耗'!$U$173:$V$178,2,FALSE),0)</f>
        <v>73010</v>
      </c>
      <c r="AI56" s="28">
        <f t="shared" si="13"/>
        <v>110</v>
      </c>
      <c r="AJ56" s="28">
        <f t="shared" si="0"/>
        <v>2</v>
      </c>
      <c r="AK56" s="28">
        <f>ROUND(IF(COUNTIF($I56:I56,"&gt;0")&gt;$AJ56,0,I56),0)</f>
        <v>0</v>
      </c>
      <c r="AL56" s="28">
        <f>ROUND(IF(COUNTIF($I56:J56,"&gt;0")&gt;$AJ56,0,J56),0)</f>
        <v>9</v>
      </c>
      <c r="AM56" s="28">
        <f>ROUND(IF(COUNTIF($I56:K56,"&gt;0")&gt;$AJ56,0,K56),0)</f>
        <v>0</v>
      </c>
      <c r="AN56" s="28">
        <f>ROUND(IF(COUNTIF($I56:L56,"&gt;0")&gt;$AJ56,0,L56),0)</f>
        <v>7</v>
      </c>
      <c r="AO56" s="28">
        <f>ROUND(IF(COUNTIF($I56:M56,"&gt;0")&gt;$AJ56,0,M56),0)</f>
        <v>0</v>
      </c>
      <c r="AP56" s="28">
        <f>ROUND(IF(COUNTIF($I56:N56,"&gt;0")&gt;$AJ56,0,N56),0)</f>
        <v>0</v>
      </c>
      <c r="AQ56" s="28">
        <f>ROUND(IF(COUNTIF($I56:O56,"&gt;0")&gt;$AJ56,0,O56),0)</f>
        <v>0</v>
      </c>
      <c r="AR56" s="28">
        <f>ROUND(IF(COUNTIF($I56:P56,"&gt;0")&gt;$AJ56,0,P56),0)</f>
        <v>0</v>
      </c>
      <c r="AS56" s="28">
        <f>IF(COUNTIF($I56:Q56,"&gt;0")&gt;$AJ56,0,Q56)</f>
        <v>0</v>
      </c>
      <c r="AT56" s="28">
        <f>IF(COUNTIF($I56:R56,"&gt;0")&gt;$AJ56,0,R56)</f>
        <v>0</v>
      </c>
      <c r="AU56" s="28">
        <f>SUMPRODUCT(AK56:AT56,定义数据!$G$14:$P$14)</f>
        <v>11.38</v>
      </c>
      <c r="AV56" s="28">
        <f t="shared" si="4"/>
        <v>569</v>
      </c>
      <c r="AW56" s="28">
        <f t="shared" si="14"/>
        <v>569</v>
      </c>
      <c r="AX56" s="28">
        <f t="shared" si="15"/>
        <v>31295</v>
      </c>
      <c r="AY56" s="28">
        <f t="shared" si="16"/>
        <v>31295</v>
      </c>
    </row>
    <row r="57" spans="3:51" x14ac:dyDescent="0.15">
      <c r="C57" s="28" t="str">
        <f>H57&amp;F57&amp;VLOOKUP(G57,定义数据!$E$1:$F$7,2,FALSE)</f>
        <v>1530</v>
      </c>
      <c r="D57" s="28"/>
      <c r="E57" s="28">
        <f>装备属性计算表!AK56</f>
        <v>6</v>
      </c>
      <c r="F57" s="28">
        <f>装备属性计算表!B56</f>
        <v>3</v>
      </c>
      <c r="G57" s="28" t="str">
        <f>装备属性计算表!C56</f>
        <v>武器</v>
      </c>
      <c r="H57" s="28">
        <f>装备属性计算表!D56</f>
        <v>15</v>
      </c>
      <c r="I57" s="28">
        <f>VLOOKUP($G57,装备属性计算表!$D$14:$O$19,装备属性计算表!F$2,FALSE)/装备属性计算表!F$20*VLOOKUP($H57&amp;$F57,$C$3:$P$28,G$1,FALSE)</f>
        <v>0</v>
      </c>
      <c r="J57" s="28">
        <f>VLOOKUP($G57,装备属性计算表!$D$14:$O$19,装备属性计算表!G$2,FALSE)/装备属性计算表!G$20*VLOOKUP($H57&amp;$F57,$C$3:$P$28,H$1,FALSE)</f>
        <v>33.84680727272729</v>
      </c>
      <c r="K57" s="28">
        <f>VLOOKUP($G57,装备属性计算表!$D$14:$O$19,装备属性计算表!H$2,FALSE)/装备属性计算表!H$20*VLOOKUP($H57&amp;$F57,$C$3:$P$28,I$1,FALSE)</f>
        <v>4.062746620450608</v>
      </c>
      <c r="L57" s="28">
        <f>VLOOKUP($G57,装备属性计算表!$D$14:$O$19,装备属性计算表!I$2,FALSE)/装备属性计算表!I$20*VLOOKUP($H57&amp;$F57,$C$3:$P$28,J$1,FALSE)</f>
        <v>0</v>
      </c>
      <c r="M57" s="28">
        <f>VLOOKUP($G57,装备属性计算表!$D$14:$O$19,装备属性计算表!J$2,FALSE)/装备属性计算表!J$20*VLOOKUP($H57&amp;$F57,$C$3:$P$28,K$1,FALSE)</f>
        <v>14.756944444444446</v>
      </c>
      <c r="N57" s="28">
        <f>VLOOKUP($G57,装备属性计算表!$D$14:$O$19,装备属性计算表!K$2,FALSE)/装备属性计算表!K$20*VLOOKUP($H57&amp;$F57,$C$3:$P$28,L$1,FALSE)</f>
        <v>10.493827160493829</v>
      </c>
      <c r="O57" s="28">
        <f>VLOOKUP($G57,装备属性计算表!$D$14:$O$19,装备属性计算表!L$2,FALSE)/装备属性计算表!L$20*VLOOKUP($H57&amp;$F57,$C$3:$P$28,M$1,FALSE)</f>
        <v>0</v>
      </c>
      <c r="P57" s="28">
        <f>VLOOKUP($G57,装备属性计算表!$D$14:$O$19,装备属性计算表!M$2,FALSE)/装备属性计算表!M$20*VLOOKUP($H57&amp;$F57,$C$3:$P$28,N$1,FALSE)</f>
        <v>0</v>
      </c>
      <c r="Q57" s="28">
        <f>VLOOKUP($G57,装备属性计算表!$D$14:$O$19,装备属性计算表!N$2,FALSE)/装备属性计算表!N$20*VLOOKUP($H57&amp;$F57,$C$3:$P$28,O$1,FALSE)</f>
        <v>0</v>
      </c>
      <c r="R57" s="28">
        <f>VLOOKUP($G57,装备属性计算表!$D$14:$O$19,装备属性计算表!O$2,FALSE)/装备属性计算表!O$20*VLOOKUP($H57&amp;$F57,$C$3:$P$28,P$1,FALSE)</f>
        <v>0</v>
      </c>
      <c r="X57" s="28"/>
      <c r="Y57" s="28">
        <f t="shared" ref="Y57:Y62" si="18">IF(ROUNDDOWN($Z$20/AV57,0)&lt;$Z$16,ROUNDDOWN($Z$20/AV57,0),$Z$16)</f>
        <v>0</v>
      </c>
      <c r="Z57" s="28">
        <f t="shared" ref="Z57:Z62" si="19">IF(ROUNDDOWN($AA$20/AW57,0)&lt;10,ROUNDDOWN($AA$20/AW57,0),$Z$16)</f>
        <v>2</v>
      </c>
      <c r="AA57" s="28">
        <f t="shared" si="11"/>
        <v>10</v>
      </c>
      <c r="AB57" s="28">
        <f t="shared" ref="AB57:AB62" si="20">ROUNDUP((Y57*(Y57+1)/2)*$AV57/Y$20,0)</f>
        <v>0</v>
      </c>
      <c r="AC57" s="28">
        <f t="shared" ref="AC57:AC62" si="21">ROUNDUP(IF(Z57&gt;$Z$16,(($Z$16*($Z$16+1)/2)-(Y57+1)*Y57/2)*$AV57/Z$20,((Z57*(Z57+1)/2)-(Y57+1)*Y57/2)*$AV57/Z$20),0)</f>
        <v>7</v>
      </c>
      <c r="AD57" s="28">
        <f t="shared" ref="AD57:AD62" si="22">ROUNDUP(IF(AA57&gt;$Z$16,(($Z$16*($Z$16+1)/2)-(Z57+1)*Z57/2)*$AV57/AA$20,((AA57*(AA57+1)/2)-(Z57+1)*Z57/2)*$AV57/AA$20),0)</f>
        <v>23</v>
      </c>
      <c r="AE57" s="28">
        <f t="shared" ref="AE57:AE62" si="23">SUMPRODUCT(AB57:AD57,$Y$20:$AA$20)</f>
        <v>122000</v>
      </c>
      <c r="AF57" s="28">
        <f t="shared" ref="AF57:AF62" si="24">AE57-AX57</f>
        <v>3475</v>
      </c>
      <c r="AG57" s="28">
        <f t="shared" ref="AG57:AG62" si="25">ROUNDUP(AV57/300,0)</f>
        <v>8</v>
      </c>
      <c r="AH57" s="28">
        <f>IF(AG57&gt;0,VLOOKUP(G57,'价值&amp;消耗'!$U$173:$V$178,2,FALSE),0)</f>
        <v>70010</v>
      </c>
      <c r="AI57" s="28">
        <f t="shared" ref="AI57:AI62" si="26">($Z$16+1)*$Z$16/2*AG57</f>
        <v>440</v>
      </c>
      <c r="AJ57" s="28">
        <f t="shared" ref="AJ57:AJ62" si="27">F57</f>
        <v>3</v>
      </c>
      <c r="AK57" s="28">
        <f>ROUND(IF(COUNTIF($I57:I57,"&gt;0")&gt;$AJ57,0,I57),0)</f>
        <v>0</v>
      </c>
      <c r="AL57" s="28">
        <f>ROUND(IF(COUNTIF($I57:J57,"&gt;0")&gt;$AJ57,0,J57),0)</f>
        <v>34</v>
      </c>
      <c r="AM57" s="28">
        <f>ROUND(IF(COUNTIF($I57:K57,"&gt;0")&gt;$AJ57,0,K57),0)</f>
        <v>4</v>
      </c>
      <c r="AN57" s="28">
        <f>ROUND(IF(COUNTIF($I57:L57,"&gt;0")&gt;$AJ57,0,L57),0)</f>
        <v>0</v>
      </c>
      <c r="AO57" s="28">
        <f>ROUND(IF(COUNTIF($I57:M57,"&gt;0")&gt;$AJ57,0,M57),0)</f>
        <v>15</v>
      </c>
      <c r="AP57" s="28">
        <f>ROUND(IF(COUNTIF($I57:N57,"&gt;0")&gt;$AJ57,0,N57),0)</f>
        <v>0</v>
      </c>
      <c r="AQ57" s="28">
        <f>ROUND(IF(COUNTIF($I57:O57,"&gt;0")&gt;$AJ57,0,O57),0)</f>
        <v>0</v>
      </c>
      <c r="AR57" s="28">
        <f>ROUND(IF(COUNTIF($I57:P57,"&gt;0")&gt;$AJ57,0,P57),0)</f>
        <v>0</v>
      </c>
      <c r="AS57" s="28">
        <f>IF(COUNTIF($I57:Q57,"&gt;0")&gt;$AJ57,0,Q57)</f>
        <v>0</v>
      </c>
      <c r="AT57" s="28">
        <f>IF(COUNTIF($I57:R57,"&gt;0")&gt;$AJ57,0,R57)</f>
        <v>0</v>
      </c>
      <c r="AU57" s="28">
        <f>SUMPRODUCT(AK57:AT57,定义数据!$G$14:$P$14)</f>
        <v>43.1</v>
      </c>
      <c r="AV57" s="28">
        <f t="shared" ref="AV57:AV62" si="28">ROUND(AU57*$U$33,0)</f>
        <v>2155</v>
      </c>
      <c r="AW57" s="28">
        <f t="shared" ref="AW57:AW62" si="29">ROUND(AU57*$U$32,0)</f>
        <v>2155</v>
      </c>
      <c r="AX57" s="28">
        <f t="shared" ref="AX57:AX62" si="30">($Z$16+1)*$Z$16/2*AV57</f>
        <v>118525</v>
      </c>
      <c r="AY57" s="28">
        <f t="shared" ref="AY57:AY62" si="31">($Z$16+1)*$Z$16/2*AW57</f>
        <v>118525</v>
      </c>
    </row>
    <row r="58" spans="3:51" x14ac:dyDescent="0.15">
      <c r="C58" s="28" t="str">
        <f>H58&amp;F58&amp;VLOOKUP(G58,定义数据!$E$1:$F$7,2,FALSE)</f>
        <v>1531</v>
      </c>
      <c r="D58" s="28"/>
      <c r="E58" s="28">
        <f>装备属性计算表!AK57</f>
        <v>6</v>
      </c>
      <c r="F58" s="28">
        <f>装备属性计算表!B57</f>
        <v>3</v>
      </c>
      <c r="G58" s="28" t="str">
        <f>装备属性计算表!C57</f>
        <v>衣服</v>
      </c>
      <c r="H58" s="28">
        <f>装备属性计算表!D57</f>
        <v>15</v>
      </c>
      <c r="I58" s="28">
        <f>VLOOKUP($G58,装备属性计算表!$D$14:$O$19,装备属性计算表!F$2,FALSE)/装备属性计算表!F$20*VLOOKUP($H58&amp;$F58,$C$3:$P$28,G$1,FALSE)</f>
        <v>370.20484274293864</v>
      </c>
      <c r="J58" s="28">
        <f>VLOOKUP($G58,装备属性计算表!$D$14:$O$19,装备属性计算表!G$2,FALSE)/装备属性计算表!G$20*VLOOKUP($H58&amp;$F58,$C$3:$P$28,H$1,FALSE)</f>
        <v>0</v>
      </c>
      <c r="K58" s="28">
        <f>VLOOKUP($G58,装备属性计算表!$D$14:$O$19,装备属性计算表!H$2,FALSE)/装备属性计算表!H$20*VLOOKUP($H58&amp;$F58,$C$3:$P$28,I$1,FALSE)</f>
        <v>12.188239861351825</v>
      </c>
      <c r="L58" s="28">
        <f>VLOOKUP($G58,装备属性计算表!$D$14:$O$19,装备属性计算表!I$2,FALSE)/装备属性计算表!I$20*VLOOKUP($H58&amp;$F58,$C$3:$P$28,J$1,FALSE)</f>
        <v>8.8541666666666696</v>
      </c>
      <c r="M58" s="28">
        <f>VLOOKUP($G58,装备属性计算表!$D$14:$O$19,装备属性计算表!J$2,FALSE)/装备属性计算表!J$20*VLOOKUP($H58&amp;$F58,$C$3:$P$28,K$1,FALSE)</f>
        <v>0</v>
      </c>
      <c r="N58" s="28">
        <f>VLOOKUP($G58,装备属性计算表!$D$14:$O$19,装备属性计算表!K$2,FALSE)/装备属性计算表!K$20*VLOOKUP($H58&amp;$F58,$C$3:$P$28,L$1,FALSE)</f>
        <v>0</v>
      </c>
      <c r="O58" s="28">
        <f>VLOOKUP($G58,装备属性计算表!$D$14:$O$19,装备属性计算表!L$2,FALSE)/装备属性计算表!L$20*VLOOKUP($H58&amp;$F58,$C$3:$P$28,M$1,FALSE)</f>
        <v>0</v>
      </c>
      <c r="P58" s="28">
        <f>VLOOKUP($G58,装备属性计算表!$D$14:$O$19,装备属性计算表!M$2,FALSE)/装备属性计算表!M$20*VLOOKUP($H58&amp;$F58,$C$3:$P$28,N$1,FALSE)</f>
        <v>8.7448559670781911</v>
      </c>
      <c r="Q58" s="28">
        <f>VLOOKUP($G58,装备属性计算表!$D$14:$O$19,装备属性计算表!N$2,FALSE)/装备属性计算表!N$20*VLOOKUP($H58&amp;$F58,$C$3:$P$28,O$1,FALSE)</f>
        <v>0</v>
      </c>
      <c r="R58" s="28">
        <f>VLOOKUP($G58,装备属性计算表!$D$14:$O$19,装备属性计算表!O$2,FALSE)/装备属性计算表!O$20*VLOOKUP($H58&amp;$F58,$C$3:$P$28,P$1,FALSE)</f>
        <v>0</v>
      </c>
      <c r="X58" s="28"/>
      <c r="Y58" s="28">
        <f t="shared" si="18"/>
        <v>0</v>
      </c>
      <c r="Z58" s="28">
        <f t="shared" si="19"/>
        <v>3</v>
      </c>
      <c r="AA58" s="28">
        <f t="shared" si="11"/>
        <v>10</v>
      </c>
      <c r="AB58" s="28">
        <f t="shared" si="20"/>
        <v>0</v>
      </c>
      <c r="AC58" s="28">
        <f t="shared" si="21"/>
        <v>9</v>
      </c>
      <c r="AD58" s="28">
        <f t="shared" si="22"/>
        <v>15</v>
      </c>
      <c r="AE58" s="28">
        <f t="shared" si="23"/>
        <v>84000</v>
      </c>
      <c r="AF58" s="28">
        <f t="shared" si="24"/>
        <v>1885</v>
      </c>
      <c r="AG58" s="28">
        <f t="shared" si="25"/>
        <v>5</v>
      </c>
      <c r="AH58" s="28">
        <f>IF(AG58&gt;0,VLOOKUP(G58,'价值&amp;消耗'!$U$173:$V$178,2,FALSE),0)</f>
        <v>71010</v>
      </c>
      <c r="AI58" s="28">
        <f t="shared" si="26"/>
        <v>275</v>
      </c>
      <c r="AJ58" s="28">
        <f t="shared" si="27"/>
        <v>3</v>
      </c>
      <c r="AK58" s="28">
        <f>ROUND(IF(COUNTIF($I58:I58,"&gt;0")&gt;$AJ58,0,I58),0)</f>
        <v>370</v>
      </c>
      <c r="AL58" s="28">
        <f>ROUND(IF(COUNTIF($I58:J58,"&gt;0")&gt;$AJ58,0,J58),0)</f>
        <v>0</v>
      </c>
      <c r="AM58" s="28">
        <f>ROUND(IF(COUNTIF($I58:K58,"&gt;0")&gt;$AJ58,0,K58),0)</f>
        <v>12</v>
      </c>
      <c r="AN58" s="28">
        <f>ROUND(IF(COUNTIF($I58:L58,"&gt;0")&gt;$AJ58,0,L58),0)</f>
        <v>9</v>
      </c>
      <c r="AO58" s="28">
        <f>ROUND(IF(COUNTIF($I58:M58,"&gt;0")&gt;$AJ58,0,M58),0)</f>
        <v>0</v>
      </c>
      <c r="AP58" s="28">
        <f>ROUND(IF(COUNTIF($I58:N58,"&gt;0")&gt;$AJ58,0,N58),0)</f>
        <v>0</v>
      </c>
      <c r="AQ58" s="28">
        <f>ROUND(IF(COUNTIF($I58:O58,"&gt;0")&gt;$AJ58,0,O58),0)</f>
        <v>0</v>
      </c>
      <c r="AR58" s="28">
        <f>ROUND(IF(COUNTIF($I58:P58,"&gt;0")&gt;$AJ58,0,P58),0)</f>
        <v>0</v>
      </c>
      <c r="AS58" s="28">
        <f>IF(COUNTIF($I58:Q58,"&gt;0")&gt;$AJ58,0,Q58)</f>
        <v>0</v>
      </c>
      <c r="AT58" s="28">
        <f>IF(COUNTIF($I58:R58,"&gt;0")&gt;$AJ58,0,R58)</f>
        <v>0</v>
      </c>
      <c r="AU58" s="28">
        <f>SUMPRODUCT(AK58:AT58,定义数据!$G$14:$P$14)</f>
        <v>29.86</v>
      </c>
      <c r="AV58" s="28">
        <f t="shared" si="28"/>
        <v>1493</v>
      </c>
      <c r="AW58" s="28">
        <f t="shared" si="29"/>
        <v>1493</v>
      </c>
      <c r="AX58" s="28">
        <f t="shared" si="30"/>
        <v>82115</v>
      </c>
      <c r="AY58" s="28">
        <f t="shared" si="31"/>
        <v>82115</v>
      </c>
    </row>
    <row r="59" spans="3:51" x14ac:dyDescent="0.15">
      <c r="C59" s="28" t="str">
        <f>H59&amp;F59&amp;VLOOKUP(G59,定义数据!$E$1:$F$7,2,FALSE)</f>
        <v>1532</v>
      </c>
      <c r="D59" s="28"/>
      <c r="E59" s="28">
        <f>装备属性计算表!AK58</f>
        <v>6</v>
      </c>
      <c r="F59" s="28">
        <f>装备属性计算表!B58</f>
        <v>3</v>
      </c>
      <c r="G59" s="28" t="str">
        <f>装备属性计算表!C58</f>
        <v>裤子</v>
      </c>
      <c r="H59" s="28">
        <f>装备属性计算表!D58</f>
        <v>15</v>
      </c>
      <c r="I59" s="28">
        <f>VLOOKUP($G59,装备属性计算表!$D$14:$O$19,装备属性计算表!F$2,FALSE)/装备属性计算表!F$20*VLOOKUP($H59&amp;$F59,$C$3:$P$28,G$1,FALSE)</f>
        <v>185.10242137146932</v>
      </c>
      <c r="J59" s="28">
        <f>VLOOKUP($G59,装备属性计算表!$D$14:$O$19,装备属性计算表!G$2,FALSE)/装备属性计算表!G$20*VLOOKUP($H59&amp;$F59,$C$3:$P$28,H$1,FALSE)</f>
        <v>0</v>
      </c>
      <c r="K59" s="28">
        <f>VLOOKUP($G59,装备属性计算表!$D$14:$O$19,装备属性计算表!H$2,FALSE)/装备属性计算表!H$20*VLOOKUP($H59&amp;$F59,$C$3:$P$28,I$1,FALSE)</f>
        <v>4.062746620450608</v>
      </c>
      <c r="L59" s="28">
        <f>VLOOKUP($G59,装备属性计算表!$D$14:$O$19,装备属性计算表!I$2,FALSE)/装备属性计算表!I$20*VLOOKUP($H59&amp;$F59,$C$3:$P$28,J$1,FALSE)</f>
        <v>8.8541666666666696</v>
      </c>
      <c r="M59" s="28">
        <f>VLOOKUP($G59,装备属性计算表!$D$14:$O$19,装备属性计算表!J$2,FALSE)/装备属性计算表!J$20*VLOOKUP($H59&amp;$F59,$C$3:$P$28,K$1,FALSE)</f>
        <v>0</v>
      </c>
      <c r="N59" s="28">
        <f>VLOOKUP($G59,装备属性计算表!$D$14:$O$19,装备属性计算表!K$2,FALSE)/装备属性计算表!K$20*VLOOKUP($H59&amp;$F59,$C$3:$P$28,L$1,FALSE)</f>
        <v>0</v>
      </c>
      <c r="O59" s="28">
        <f>VLOOKUP($G59,装备属性计算表!$D$14:$O$19,装备属性计算表!L$2,FALSE)/装备属性计算表!L$20*VLOOKUP($H59&amp;$F59,$C$3:$P$28,M$1,FALSE)</f>
        <v>0</v>
      </c>
      <c r="P59" s="28">
        <f>VLOOKUP($G59,装备属性计算表!$D$14:$O$19,装备属性计算表!M$2,FALSE)/装备属性计算表!M$20*VLOOKUP($H59&amp;$F59,$C$3:$P$28,N$1,FALSE)</f>
        <v>8.7448559670781911</v>
      </c>
      <c r="Q59" s="28">
        <f>VLOOKUP($G59,装备属性计算表!$D$14:$O$19,装备属性计算表!N$2,FALSE)/装备属性计算表!N$20*VLOOKUP($H59&amp;$F59,$C$3:$P$28,O$1,FALSE)</f>
        <v>0</v>
      </c>
      <c r="R59" s="28">
        <f>VLOOKUP($G59,装备属性计算表!$D$14:$O$19,装备属性计算表!O$2,FALSE)/装备属性计算表!O$20*VLOOKUP($H59&amp;$F59,$C$3:$P$28,P$1,FALSE)</f>
        <v>0</v>
      </c>
      <c r="X59" s="28"/>
      <c r="Y59" s="28">
        <f t="shared" si="18"/>
        <v>1</v>
      </c>
      <c r="Z59" s="28">
        <f t="shared" si="19"/>
        <v>6</v>
      </c>
      <c r="AA59" s="28">
        <f t="shared" si="11"/>
        <v>10</v>
      </c>
      <c r="AB59" s="28">
        <f t="shared" si="20"/>
        <v>4</v>
      </c>
      <c r="AC59" s="28">
        <f t="shared" si="21"/>
        <v>15</v>
      </c>
      <c r="AD59" s="28">
        <f t="shared" si="22"/>
        <v>5</v>
      </c>
      <c r="AE59" s="28">
        <f t="shared" si="23"/>
        <v>40800</v>
      </c>
      <c r="AF59" s="28">
        <f t="shared" si="24"/>
        <v>1035</v>
      </c>
      <c r="AG59" s="28">
        <f t="shared" si="25"/>
        <v>3</v>
      </c>
      <c r="AH59" s="28">
        <f>IF(AG59&gt;0,VLOOKUP(G59,'价值&amp;消耗'!$U$173:$V$178,2,FALSE),0)</f>
        <v>72010</v>
      </c>
      <c r="AI59" s="28">
        <f t="shared" si="26"/>
        <v>165</v>
      </c>
      <c r="AJ59" s="28">
        <f t="shared" si="27"/>
        <v>3</v>
      </c>
      <c r="AK59" s="28">
        <f>ROUND(IF(COUNTIF($I59:I59,"&gt;0")&gt;$AJ59,0,I59),0)</f>
        <v>185</v>
      </c>
      <c r="AL59" s="28">
        <f>ROUND(IF(COUNTIF($I59:J59,"&gt;0")&gt;$AJ59,0,J59),0)</f>
        <v>0</v>
      </c>
      <c r="AM59" s="28">
        <f>ROUND(IF(COUNTIF($I59:K59,"&gt;0")&gt;$AJ59,0,K59),0)</f>
        <v>4</v>
      </c>
      <c r="AN59" s="28">
        <f>ROUND(IF(COUNTIF($I59:L59,"&gt;0")&gt;$AJ59,0,L59),0)</f>
        <v>9</v>
      </c>
      <c r="AO59" s="28">
        <f>ROUND(IF(COUNTIF($I59:M59,"&gt;0")&gt;$AJ59,0,M59),0)</f>
        <v>0</v>
      </c>
      <c r="AP59" s="28">
        <f>ROUND(IF(COUNTIF($I59:N59,"&gt;0")&gt;$AJ59,0,N59),0)</f>
        <v>0</v>
      </c>
      <c r="AQ59" s="28">
        <f>ROUND(IF(COUNTIF($I59:O59,"&gt;0")&gt;$AJ59,0,O59),0)</f>
        <v>0</v>
      </c>
      <c r="AR59" s="28">
        <f>ROUND(IF(COUNTIF($I59:P59,"&gt;0")&gt;$AJ59,0,P59),0)</f>
        <v>0</v>
      </c>
      <c r="AS59" s="28">
        <f>IF(COUNTIF($I59:Q59,"&gt;0")&gt;$AJ59,0,Q59)</f>
        <v>0</v>
      </c>
      <c r="AT59" s="28">
        <f>IF(COUNTIF($I59:R59,"&gt;0")&gt;$AJ59,0,R59)</f>
        <v>0</v>
      </c>
      <c r="AU59" s="28">
        <f>SUMPRODUCT(AK59:AT59,定义数据!$G$14:$P$14)</f>
        <v>14.46</v>
      </c>
      <c r="AV59" s="28">
        <f t="shared" si="28"/>
        <v>723</v>
      </c>
      <c r="AW59" s="28">
        <f t="shared" si="29"/>
        <v>723</v>
      </c>
      <c r="AX59" s="28">
        <f t="shared" si="30"/>
        <v>39765</v>
      </c>
      <c r="AY59" s="28">
        <f t="shared" si="31"/>
        <v>39765</v>
      </c>
    </row>
    <row r="60" spans="3:51" x14ac:dyDescent="0.15">
      <c r="C60" s="28" t="str">
        <f>H60&amp;F60&amp;VLOOKUP(G60,定义数据!$E$1:$F$7,2,FALSE)</f>
        <v>1535</v>
      </c>
      <c r="D60" s="28"/>
      <c r="E60" s="28">
        <f>装备属性计算表!AK59</f>
        <v>6</v>
      </c>
      <c r="F60" s="28">
        <f>装备属性计算表!B59</f>
        <v>3</v>
      </c>
      <c r="G60" s="28" t="str">
        <f>装备属性计算表!C59</f>
        <v>鞋子</v>
      </c>
      <c r="H60" s="28">
        <f>装备属性计算表!D59</f>
        <v>15</v>
      </c>
      <c r="I60" s="28">
        <f>VLOOKUP($G60,装备属性计算表!$D$14:$O$19,装备属性计算表!F$2,FALSE)/装备属性计算表!F$20*VLOOKUP($H60&amp;$F60,$C$3:$P$28,G$1,FALSE)</f>
        <v>185.10242137146932</v>
      </c>
      <c r="J60" s="28">
        <f>VLOOKUP($G60,装备属性计算表!$D$14:$O$19,装备属性计算表!G$2,FALSE)/装备属性计算表!G$20*VLOOKUP($H60&amp;$F60,$C$3:$P$28,H$1,FALSE)</f>
        <v>0</v>
      </c>
      <c r="K60" s="28">
        <f>VLOOKUP($G60,装备属性计算表!$D$14:$O$19,装备属性计算表!H$2,FALSE)/装备属性计算表!H$20*VLOOKUP($H60&amp;$F60,$C$3:$P$28,I$1,FALSE)</f>
        <v>0</v>
      </c>
      <c r="L60" s="28">
        <f>VLOOKUP($G60,装备属性计算表!$D$14:$O$19,装备属性计算表!I$2,FALSE)/装备属性计算表!I$20*VLOOKUP($H60&amp;$F60,$C$3:$P$28,J$1,FALSE)</f>
        <v>17.708333333333339</v>
      </c>
      <c r="M60" s="28">
        <f>VLOOKUP($G60,装备属性计算表!$D$14:$O$19,装备属性计算表!J$2,FALSE)/装备属性计算表!J$20*VLOOKUP($H60&amp;$F60,$C$3:$P$28,K$1,FALSE)</f>
        <v>14.756944444444446</v>
      </c>
      <c r="N60" s="28">
        <f>VLOOKUP($G60,装备属性计算表!$D$14:$O$19,装备属性计算表!K$2,FALSE)/装备属性计算表!K$20*VLOOKUP($H60&amp;$F60,$C$3:$P$28,L$1,FALSE)</f>
        <v>5.2469135802469147</v>
      </c>
      <c r="O60" s="28">
        <f>VLOOKUP($G60,装备属性计算表!$D$14:$O$19,装备属性计算表!L$2,FALSE)/装备属性计算表!L$20*VLOOKUP($H60&amp;$F60,$C$3:$P$28,M$1,FALSE)</f>
        <v>0</v>
      </c>
      <c r="P60" s="28">
        <f>VLOOKUP($G60,装备属性计算表!$D$14:$O$19,装备属性计算表!M$2,FALSE)/装备属性计算表!M$20*VLOOKUP($H60&amp;$F60,$C$3:$P$28,N$1,FALSE)</f>
        <v>0</v>
      </c>
      <c r="Q60" s="28">
        <f>VLOOKUP($G60,装备属性计算表!$D$14:$O$19,装备属性计算表!N$2,FALSE)/装备属性计算表!N$20*VLOOKUP($H60&amp;$F60,$C$3:$P$28,O$1,FALSE)</f>
        <v>0</v>
      </c>
      <c r="R60" s="28">
        <f>VLOOKUP($G60,装备属性计算表!$D$14:$O$19,装备属性计算表!O$2,FALSE)/装备属性计算表!O$20*VLOOKUP($H60&amp;$F60,$C$3:$P$28,P$1,FALSE)</f>
        <v>0</v>
      </c>
      <c r="X60" s="28"/>
      <c r="Y60" s="28">
        <f t="shared" si="18"/>
        <v>1</v>
      </c>
      <c r="Z60" s="28">
        <f t="shared" si="19"/>
        <v>5</v>
      </c>
      <c r="AA60" s="28">
        <f t="shared" si="11"/>
        <v>10</v>
      </c>
      <c r="AB60" s="28">
        <f t="shared" si="20"/>
        <v>5</v>
      </c>
      <c r="AC60" s="28">
        <f t="shared" si="21"/>
        <v>14</v>
      </c>
      <c r="AD60" s="28">
        <f t="shared" si="22"/>
        <v>8</v>
      </c>
      <c r="AE60" s="28">
        <f t="shared" si="23"/>
        <v>55000</v>
      </c>
      <c r="AF60" s="28">
        <f t="shared" si="24"/>
        <v>3795</v>
      </c>
      <c r="AG60" s="28">
        <f t="shared" si="25"/>
        <v>4</v>
      </c>
      <c r="AH60" s="28">
        <f>IF(AG60&gt;0,VLOOKUP(G60,'价值&amp;消耗'!$U$173:$V$178,2,FALSE),0)</f>
        <v>75010</v>
      </c>
      <c r="AI60" s="28">
        <f t="shared" si="26"/>
        <v>220</v>
      </c>
      <c r="AJ60" s="28">
        <f t="shared" si="27"/>
        <v>3</v>
      </c>
      <c r="AK60" s="28">
        <f>ROUND(IF(COUNTIF($I60:I60,"&gt;0")&gt;$AJ60,0,I60),0)</f>
        <v>185</v>
      </c>
      <c r="AL60" s="28">
        <f>ROUND(IF(COUNTIF($I60:J60,"&gt;0")&gt;$AJ60,0,J60),0)</f>
        <v>0</v>
      </c>
      <c r="AM60" s="28">
        <f>ROUND(IF(COUNTIF($I60:K60,"&gt;0")&gt;$AJ60,0,K60),0)</f>
        <v>0</v>
      </c>
      <c r="AN60" s="28">
        <f>ROUND(IF(COUNTIF($I60:L60,"&gt;0")&gt;$AJ60,0,L60),0)</f>
        <v>18</v>
      </c>
      <c r="AO60" s="28">
        <f>ROUND(IF(COUNTIF($I60:M60,"&gt;0")&gt;$AJ60,0,M60),0)</f>
        <v>15</v>
      </c>
      <c r="AP60" s="28">
        <f>ROUND(IF(COUNTIF($I60:N60,"&gt;0")&gt;$AJ60,0,N60),0)</f>
        <v>0</v>
      </c>
      <c r="AQ60" s="28">
        <f>ROUND(IF(COUNTIF($I60:O60,"&gt;0")&gt;$AJ60,0,O60),0)</f>
        <v>0</v>
      </c>
      <c r="AR60" s="28">
        <f>ROUND(IF(COUNTIF($I60:P60,"&gt;0")&gt;$AJ60,0,P60),0)</f>
        <v>0</v>
      </c>
      <c r="AS60" s="28">
        <f>IF(COUNTIF($I60:Q60,"&gt;0")&gt;$AJ60,0,Q60)</f>
        <v>0</v>
      </c>
      <c r="AT60" s="28">
        <f>IF(COUNTIF($I60:R60,"&gt;0")&gt;$AJ60,0,R60)</f>
        <v>0</v>
      </c>
      <c r="AU60" s="28">
        <f>SUMPRODUCT(AK60:AT60,定义数据!$G$14:$P$14)</f>
        <v>18.62</v>
      </c>
      <c r="AV60" s="28">
        <f t="shared" si="28"/>
        <v>931</v>
      </c>
      <c r="AW60" s="28">
        <f t="shared" si="29"/>
        <v>931</v>
      </c>
      <c r="AX60" s="28">
        <f t="shared" si="30"/>
        <v>51205</v>
      </c>
      <c r="AY60" s="28">
        <f t="shared" si="31"/>
        <v>51205</v>
      </c>
    </row>
    <row r="61" spans="3:51" x14ac:dyDescent="0.15">
      <c r="C61" s="28" t="str">
        <f>H61&amp;F61&amp;VLOOKUP(G61,定义数据!$E$1:$F$7,2,FALSE)</f>
        <v>1534</v>
      </c>
      <c r="D61" s="28"/>
      <c r="E61" s="28">
        <f>装备属性计算表!AK60</f>
        <v>6</v>
      </c>
      <c r="F61" s="28">
        <f>装备属性计算表!B60</f>
        <v>3</v>
      </c>
      <c r="G61" s="28" t="str">
        <f>装备属性计算表!C60</f>
        <v>腰带</v>
      </c>
      <c r="H61" s="28">
        <f>装备属性计算表!D60</f>
        <v>15</v>
      </c>
      <c r="I61" s="28">
        <f>VLOOKUP($G61,装备属性计算表!$D$14:$O$19,装备属性计算表!F$2,FALSE)/装备属性计算表!F$20*VLOOKUP($H61&amp;$F61,$C$3:$P$28,G$1,FALSE)</f>
        <v>370.20484274293864</v>
      </c>
      <c r="J61" s="28">
        <f>VLOOKUP($G61,装备属性计算表!$D$14:$O$19,装备属性计算表!G$2,FALSE)/装备属性计算表!G$20*VLOOKUP($H61&amp;$F61,$C$3:$P$28,H$1,FALSE)</f>
        <v>11.282269090909097</v>
      </c>
      <c r="K61" s="28">
        <f>VLOOKUP($G61,装备属性计算表!$D$14:$O$19,装备属性计算表!H$2,FALSE)/装备属性计算表!H$20*VLOOKUP($H61&amp;$F61,$C$3:$P$28,I$1,FALSE)</f>
        <v>4.062746620450608</v>
      </c>
      <c r="L61" s="28">
        <f>VLOOKUP($G61,装备属性计算表!$D$14:$O$19,装备属性计算表!I$2,FALSE)/装备属性计算表!I$20*VLOOKUP($H61&amp;$F61,$C$3:$P$28,J$1,FALSE)</f>
        <v>0</v>
      </c>
      <c r="M61" s="28">
        <f>VLOOKUP($G61,装备属性计算表!$D$14:$O$19,装备属性计算表!J$2,FALSE)/装备属性计算表!J$20*VLOOKUP($H61&amp;$F61,$C$3:$P$28,K$1,FALSE)</f>
        <v>0</v>
      </c>
      <c r="N61" s="28">
        <f>VLOOKUP($G61,装备属性计算表!$D$14:$O$19,装备属性计算表!K$2,FALSE)/装备属性计算表!K$20*VLOOKUP($H61&amp;$F61,$C$3:$P$28,L$1,FALSE)</f>
        <v>0</v>
      </c>
      <c r="O61" s="28">
        <f>VLOOKUP($G61,装备属性计算表!$D$14:$O$19,装备属性计算表!L$2,FALSE)/装备属性计算表!L$20*VLOOKUP($H61&amp;$F61,$C$3:$P$28,M$1,FALSE)</f>
        <v>0</v>
      </c>
      <c r="P61" s="28">
        <f>VLOOKUP($G61,装备属性计算表!$D$14:$O$19,装备属性计算表!M$2,FALSE)/装备属性计算表!M$20*VLOOKUP($H61&amp;$F61,$C$3:$P$28,N$1,FALSE)</f>
        <v>8.7448559670781911</v>
      </c>
      <c r="Q61" s="28">
        <f>VLOOKUP($G61,装备属性计算表!$D$14:$O$19,装备属性计算表!N$2,FALSE)/装备属性计算表!N$20*VLOOKUP($H61&amp;$F61,$C$3:$P$28,O$1,FALSE)</f>
        <v>0</v>
      </c>
      <c r="R61" s="28">
        <f>VLOOKUP($G61,装备属性计算表!$D$14:$O$19,装备属性计算表!O$2,FALSE)/装备属性计算表!O$20*VLOOKUP($H61&amp;$F61,$C$3:$P$28,P$1,FALSE)</f>
        <v>0</v>
      </c>
      <c r="X61" s="28"/>
      <c r="Y61" s="28">
        <f t="shared" si="18"/>
        <v>0</v>
      </c>
      <c r="Z61" s="28">
        <f t="shared" si="19"/>
        <v>3</v>
      </c>
      <c r="AA61" s="28">
        <f t="shared" si="11"/>
        <v>10</v>
      </c>
      <c r="AB61" s="28">
        <f t="shared" si="20"/>
        <v>0</v>
      </c>
      <c r="AC61" s="28">
        <f t="shared" si="21"/>
        <v>9</v>
      </c>
      <c r="AD61" s="28">
        <f t="shared" si="22"/>
        <v>15</v>
      </c>
      <c r="AE61" s="28">
        <f t="shared" si="23"/>
        <v>84000</v>
      </c>
      <c r="AF61" s="28">
        <f t="shared" si="24"/>
        <v>2050</v>
      </c>
      <c r="AG61" s="28">
        <f t="shared" si="25"/>
        <v>5</v>
      </c>
      <c r="AH61" s="28">
        <f>IF(AG61&gt;0,VLOOKUP(G61,'价值&amp;消耗'!$U$173:$V$178,2,FALSE),0)</f>
        <v>74010</v>
      </c>
      <c r="AI61" s="28">
        <f t="shared" si="26"/>
        <v>275</v>
      </c>
      <c r="AJ61" s="28">
        <f t="shared" si="27"/>
        <v>3</v>
      </c>
      <c r="AK61" s="28">
        <f>ROUND(IF(COUNTIF($I61:I61,"&gt;0")&gt;$AJ61,0,I61),0)</f>
        <v>370</v>
      </c>
      <c r="AL61" s="28">
        <f>ROUND(IF(COUNTIF($I61:J61,"&gt;0")&gt;$AJ61,0,J61),0)</f>
        <v>11</v>
      </c>
      <c r="AM61" s="28">
        <f>ROUND(IF(COUNTIF($I61:K61,"&gt;0")&gt;$AJ61,0,K61),0)</f>
        <v>4</v>
      </c>
      <c r="AN61" s="28">
        <f>ROUND(IF(COUNTIF($I61:L61,"&gt;0")&gt;$AJ61,0,L61),0)</f>
        <v>0</v>
      </c>
      <c r="AO61" s="28">
        <f>ROUND(IF(COUNTIF($I61:M61,"&gt;0")&gt;$AJ61,0,M61),0)</f>
        <v>0</v>
      </c>
      <c r="AP61" s="28">
        <f>ROUND(IF(COUNTIF($I61:N61,"&gt;0")&gt;$AJ61,0,N61),0)</f>
        <v>0</v>
      </c>
      <c r="AQ61" s="28">
        <f>ROUND(IF(COUNTIF($I61:O61,"&gt;0")&gt;$AJ61,0,O61),0)</f>
        <v>0</v>
      </c>
      <c r="AR61" s="28">
        <f>ROUND(IF(COUNTIF($I61:P61,"&gt;0")&gt;$AJ61,0,P61),0)</f>
        <v>0</v>
      </c>
      <c r="AS61" s="28">
        <f>IF(COUNTIF($I61:Q61,"&gt;0")&gt;$AJ61,0,Q61)</f>
        <v>0</v>
      </c>
      <c r="AT61" s="28">
        <f>IF(COUNTIF($I61:R61,"&gt;0")&gt;$AJ61,0,R61)</f>
        <v>0</v>
      </c>
      <c r="AU61" s="28">
        <f>SUMPRODUCT(AK61:AT61,定义数据!$G$14:$P$14)</f>
        <v>29.8</v>
      </c>
      <c r="AV61" s="28">
        <f t="shared" si="28"/>
        <v>1490</v>
      </c>
      <c r="AW61" s="28">
        <f t="shared" si="29"/>
        <v>1490</v>
      </c>
      <c r="AX61" s="28">
        <f t="shared" si="30"/>
        <v>81950</v>
      </c>
      <c r="AY61" s="28">
        <f t="shared" si="31"/>
        <v>81950</v>
      </c>
    </row>
    <row r="62" spans="3:51" x14ac:dyDescent="0.15">
      <c r="C62" s="28" t="str">
        <f>H62&amp;F62&amp;VLOOKUP(G62,定义数据!$E$1:$F$7,2,FALSE)</f>
        <v>1533</v>
      </c>
      <c r="D62" s="28"/>
      <c r="E62" s="28">
        <f>装备属性计算表!AK61</f>
        <v>6</v>
      </c>
      <c r="F62" s="28">
        <f>装备属性计算表!B61</f>
        <v>3</v>
      </c>
      <c r="G62" s="28" t="str">
        <f>装备属性计算表!C61</f>
        <v>项链</v>
      </c>
      <c r="H62" s="28">
        <f>装备属性计算表!D61</f>
        <v>15</v>
      </c>
      <c r="I62" s="28">
        <f>VLOOKUP($G62,装备属性计算表!$D$14:$O$19,装备属性计算表!F$2,FALSE)/装备属性计算表!F$20*VLOOKUP($H62&amp;$F62,$C$3:$P$28,G$1,FALSE)</f>
        <v>0</v>
      </c>
      <c r="J62" s="28">
        <f>VLOOKUP($G62,装备属性计算表!$D$14:$O$19,装备属性计算表!G$2,FALSE)/装备属性计算表!G$20*VLOOKUP($H62&amp;$F62,$C$3:$P$28,H$1,FALSE)</f>
        <v>11.282269090909097</v>
      </c>
      <c r="K62" s="28">
        <f>VLOOKUP($G62,装备属性计算表!$D$14:$O$19,装备属性计算表!H$2,FALSE)/装备属性计算表!H$20*VLOOKUP($H62&amp;$F62,$C$3:$P$28,I$1,FALSE)</f>
        <v>0</v>
      </c>
      <c r="L62" s="28">
        <f>VLOOKUP($G62,装备属性计算表!$D$14:$O$19,装备属性计算表!I$2,FALSE)/装备属性计算表!I$20*VLOOKUP($H62&amp;$F62,$C$3:$P$28,J$1,FALSE)</f>
        <v>8.8541666666666696</v>
      </c>
      <c r="M62" s="28">
        <f>VLOOKUP($G62,装备属性计算表!$D$14:$O$19,装备属性计算表!J$2,FALSE)/装备属性计算表!J$20*VLOOKUP($H62&amp;$F62,$C$3:$P$28,K$1,FALSE)</f>
        <v>14.756944444444446</v>
      </c>
      <c r="N62" s="28">
        <f>VLOOKUP($G62,装备属性计算表!$D$14:$O$19,装备属性计算表!K$2,FALSE)/装备属性计算表!K$20*VLOOKUP($H62&amp;$F62,$C$3:$P$28,L$1,FALSE)</f>
        <v>10.493827160493829</v>
      </c>
      <c r="O62" s="28">
        <f>VLOOKUP($G62,装备属性计算表!$D$14:$O$19,装备属性计算表!L$2,FALSE)/装备属性计算表!L$20*VLOOKUP($H62&amp;$F62,$C$3:$P$28,M$1,FALSE)</f>
        <v>0</v>
      </c>
      <c r="P62" s="28">
        <f>VLOOKUP($G62,装备属性计算表!$D$14:$O$19,装备属性计算表!M$2,FALSE)/装备属性计算表!M$20*VLOOKUP($H62&amp;$F62,$C$3:$P$28,N$1,FALSE)</f>
        <v>0</v>
      </c>
      <c r="Q62" s="28">
        <f>VLOOKUP($G62,装备属性计算表!$D$14:$O$19,装备属性计算表!N$2,FALSE)/装备属性计算表!N$20*VLOOKUP($H62&amp;$F62,$C$3:$P$28,O$1,FALSE)</f>
        <v>0</v>
      </c>
      <c r="R62" s="28">
        <f>VLOOKUP($G62,装备属性计算表!$D$14:$O$19,装备属性计算表!O$2,FALSE)/装备属性计算表!O$20*VLOOKUP($H62&amp;$F62,$C$3:$P$28,P$1,FALSE)</f>
        <v>0</v>
      </c>
      <c r="X62" s="28">
        <f>SUM(AY57:AY62)</f>
        <v>426250</v>
      </c>
      <c r="Y62" s="28">
        <f t="shared" si="18"/>
        <v>1</v>
      </c>
      <c r="Z62" s="28">
        <f t="shared" si="19"/>
        <v>5</v>
      </c>
      <c r="AA62" s="28">
        <f t="shared" si="11"/>
        <v>10</v>
      </c>
      <c r="AB62" s="28">
        <f t="shared" si="20"/>
        <v>5</v>
      </c>
      <c r="AC62" s="28">
        <f t="shared" si="21"/>
        <v>14</v>
      </c>
      <c r="AD62" s="28">
        <f t="shared" si="22"/>
        <v>8</v>
      </c>
      <c r="AE62" s="28">
        <f t="shared" si="23"/>
        <v>55000</v>
      </c>
      <c r="AF62" s="28">
        <f t="shared" si="24"/>
        <v>2310</v>
      </c>
      <c r="AG62" s="28">
        <f t="shared" si="25"/>
        <v>4</v>
      </c>
      <c r="AH62" s="28">
        <f>IF(AG62&gt;0,VLOOKUP(G62,'价值&amp;消耗'!$U$173:$V$178,2,FALSE),0)</f>
        <v>73010</v>
      </c>
      <c r="AI62" s="28">
        <f t="shared" si="26"/>
        <v>220</v>
      </c>
      <c r="AJ62" s="28">
        <f t="shared" si="27"/>
        <v>3</v>
      </c>
      <c r="AK62" s="28">
        <f>ROUND(IF(COUNTIF($I62:I62,"&gt;0")&gt;$AJ62,0,I62),0)</f>
        <v>0</v>
      </c>
      <c r="AL62" s="28">
        <f>ROUND(IF(COUNTIF($I62:J62,"&gt;0")&gt;$AJ62,0,J62),0)</f>
        <v>11</v>
      </c>
      <c r="AM62" s="28">
        <f>ROUND(IF(COUNTIF($I62:K62,"&gt;0")&gt;$AJ62,0,K62),0)</f>
        <v>0</v>
      </c>
      <c r="AN62" s="28">
        <f>ROUND(IF(COUNTIF($I62:L62,"&gt;0")&gt;$AJ62,0,L62),0)</f>
        <v>9</v>
      </c>
      <c r="AO62" s="28">
        <f>ROUND(IF(COUNTIF($I62:M62,"&gt;0")&gt;$AJ62,0,M62),0)</f>
        <v>15</v>
      </c>
      <c r="AP62" s="28">
        <f>ROUND(IF(COUNTIF($I62:N62,"&gt;0")&gt;$AJ62,0,N62),0)</f>
        <v>0</v>
      </c>
      <c r="AQ62" s="28">
        <f>ROUND(IF(COUNTIF($I62:O62,"&gt;0")&gt;$AJ62,0,O62),0)</f>
        <v>0</v>
      </c>
      <c r="AR62" s="28">
        <f>ROUND(IF(COUNTIF($I62:P62,"&gt;0")&gt;$AJ62,0,P62),0)</f>
        <v>0</v>
      </c>
      <c r="AS62" s="28">
        <f>IF(COUNTIF($I62:Q62,"&gt;0")&gt;$AJ62,0,Q62)</f>
        <v>0</v>
      </c>
      <c r="AT62" s="28">
        <f>IF(COUNTIF($I62:R62,"&gt;0")&gt;$AJ62,0,R62)</f>
        <v>0</v>
      </c>
      <c r="AU62" s="28">
        <f>SUMPRODUCT(AK62:AT62,定义数据!$G$14:$P$14)</f>
        <v>19.16</v>
      </c>
      <c r="AV62" s="28">
        <f t="shared" si="28"/>
        <v>958</v>
      </c>
      <c r="AW62" s="28">
        <f t="shared" si="29"/>
        <v>958</v>
      </c>
      <c r="AX62" s="28">
        <f t="shared" si="30"/>
        <v>52690</v>
      </c>
      <c r="AY62" s="28">
        <f t="shared" si="31"/>
        <v>52690</v>
      </c>
    </row>
    <row r="63" spans="3:51" x14ac:dyDescent="0.15">
      <c r="C63" s="28" t="str">
        <f>H63&amp;F63&amp;VLOOKUP(G63,定义数据!$E$1:$F$7,2,FALSE)</f>
        <v>1540</v>
      </c>
      <c r="D63" s="28"/>
      <c r="E63" s="28">
        <f>装备属性计算表!AK62</f>
        <v>7</v>
      </c>
      <c r="F63" s="28">
        <f>装备属性计算表!B62</f>
        <v>4</v>
      </c>
      <c r="G63" s="28" t="str">
        <f>装备属性计算表!C62</f>
        <v>武器</v>
      </c>
      <c r="H63" s="28">
        <f>装备属性计算表!D62</f>
        <v>15</v>
      </c>
      <c r="I63" s="28">
        <f>VLOOKUP($G63,装备属性计算表!$D$14:$O$19,装备属性计算表!F$2,FALSE)/装备属性计算表!F$20*VLOOKUP($H63&amp;$F63,$C$3:$P$28,G$1,FALSE)</f>
        <v>0</v>
      </c>
      <c r="J63" s="28">
        <f>VLOOKUP($G63,装备属性计算表!$D$14:$O$19,装备属性计算表!G$2,FALSE)/装备属性计算表!G$20*VLOOKUP($H63&amp;$F63,$C$3:$P$28,H$1,FALSE)</f>
        <v>39.819773262032101</v>
      </c>
      <c r="K63" s="28">
        <f>VLOOKUP($G63,装备属性计算表!$D$14:$O$19,装备属性计算表!H$2,FALSE)/装备属性计算表!H$20*VLOOKUP($H63&amp;$F63,$C$3:$P$28,I$1,FALSE)</f>
        <v>4.7797019064124804</v>
      </c>
      <c r="L63" s="28">
        <f>VLOOKUP($G63,装备属性计算表!$D$14:$O$19,装备属性计算表!I$2,FALSE)/装备属性计算表!I$20*VLOOKUP($H63&amp;$F63,$C$3:$P$28,J$1,FALSE)</f>
        <v>0</v>
      </c>
      <c r="M63" s="28">
        <f>VLOOKUP($G63,装备属性计算表!$D$14:$O$19,装备属性计算表!J$2,FALSE)/装备属性计算表!J$20*VLOOKUP($H63&amp;$F63,$C$3:$P$28,K$1,FALSE)</f>
        <v>17.361111111111111</v>
      </c>
      <c r="N63" s="28">
        <f>VLOOKUP($G63,装备属性计算表!$D$14:$O$19,装备属性计算表!K$2,FALSE)/装备属性计算表!K$20*VLOOKUP($H63&amp;$F63,$C$3:$P$28,L$1,FALSE)</f>
        <v>12.345679012345682</v>
      </c>
      <c r="O63" s="28">
        <f>VLOOKUP($G63,装备属性计算表!$D$14:$O$19,装备属性计算表!L$2,FALSE)/装备属性计算表!L$20*VLOOKUP($H63&amp;$F63,$C$3:$P$28,M$1,FALSE)</f>
        <v>0</v>
      </c>
      <c r="P63" s="28">
        <f>VLOOKUP($G63,装备属性计算表!$D$14:$O$19,装备属性计算表!M$2,FALSE)/装备属性计算表!M$20*VLOOKUP($H63&amp;$F63,$C$3:$P$28,N$1,FALSE)</f>
        <v>0</v>
      </c>
      <c r="Q63" s="28">
        <f>VLOOKUP($G63,装备属性计算表!$D$14:$O$19,装备属性计算表!N$2,FALSE)/装备属性计算表!N$20*VLOOKUP($H63&amp;$F63,$C$3:$P$28,O$1,FALSE)</f>
        <v>0</v>
      </c>
      <c r="R63" s="28">
        <f>VLOOKUP($G63,装备属性计算表!$D$14:$O$19,装备属性计算表!O$2,FALSE)/装备属性计算表!O$20*VLOOKUP($H63&amp;$F63,$C$3:$P$28,P$1,FALSE)</f>
        <v>0</v>
      </c>
      <c r="X63" s="28"/>
      <c r="Y63" s="28">
        <f t="shared" ref="Y63:Y68" si="32">IF(ROUNDDOWN($Z$20/AV63,0)&lt;$Z$16,ROUNDDOWN($Z$20/AV63,0),$Z$16)</f>
        <v>0</v>
      </c>
      <c r="Z63" s="28">
        <f t="shared" ref="Z63:Z68" si="33">IF(ROUNDDOWN($AA$20/AW63,0)&lt;10,ROUNDDOWN($AA$20/AW63,0),$Z$16)</f>
        <v>1</v>
      </c>
      <c r="AA63" s="28">
        <f t="shared" si="11"/>
        <v>10</v>
      </c>
      <c r="AB63" s="28">
        <f t="shared" ref="AB63:AB68" si="34">ROUNDUP((Y63*(Y63+1)/2)*$AV63/Y$20,0)</f>
        <v>0</v>
      </c>
      <c r="AC63" s="28">
        <f t="shared" ref="AC63:AC68" si="35">ROUNDUP(IF(Z63&gt;$Z$16,(($Z$16*($Z$16+1)/2)-(Y63+1)*Y63/2)*$AV63/Z$20,((Z63*(Z63+1)/2)-(Y63+1)*Y63/2)*$AV63/Z$20),0)</f>
        <v>3</v>
      </c>
      <c r="AD63" s="28">
        <f t="shared" ref="AD63:AD68" si="36">ROUNDUP(IF(AA63&gt;$Z$16,(($Z$16*($Z$16+1)/2)-(Z63+1)*Z63/2)*$AV63/AA$20,((AA63*(AA63+1)/2)-(Z63+1)*Z63/2)*$AV63/AA$20),0)</f>
        <v>29</v>
      </c>
      <c r="AE63" s="28">
        <f t="shared" ref="AE63:AE68" si="37">SUMPRODUCT(AB63:AD63,$Y$20:$AA$20)</f>
        <v>148000</v>
      </c>
      <c r="AF63" s="28">
        <f t="shared" ref="AF63:AF68" si="38">AE63-AX63</f>
        <v>2415</v>
      </c>
      <c r="AG63" s="28">
        <f t="shared" ref="AG63:AG68" si="39">ROUNDUP(AV63/300,0)</f>
        <v>9</v>
      </c>
      <c r="AH63" s="28">
        <f>IF(AG63&gt;0,VLOOKUP(G63,'价值&amp;消耗'!$U$173:$V$178,2,FALSE),0)</f>
        <v>70010</v>
      </c>
      <c r="AI63" s="28">
        <f t="shared" ref="AI63:AI68" si="40">($Z$16+1)*$Z$16/2*AG63</f>
        <v>495</v>
      </c>
      <c r="AJ63" s="28">
        <f t="shared" ref="AJ63:AJ68" si="41">F63</f>
        <v>4</v>
      </c>
      <c r="AK63" s="28">
        <f>ROUND(IF(COUNTIF($I63:I63,"&gt;0")&gt;$AJ63,0,I63),0)</f>
        <v>0</v>
      </c>
      <c r="AL63" s="28">
        <f>ROUND(IF(COUNTIF($I63:J63,"&gt;0")&gt;$AJ63,0,J63),0)</f>
        <v>40</v>
      </c>
      <c r="AM63" s="28">
        <f>ROUND(IF(COUNTIF($I63:K63,"&gt;0")&gt;$AJ63,0,K63),0)</f>
        <v>5</v>
      </c>
      <c r="AN63" s="28">
        <f>ROUND(IF(COUNTIF($I63:L63,"&gt;0")&gt;$AJ63,0,L63),0)</f>
        <v>0</v>
      </c>
      <c r="AO63" s="28">
        <f>ROUND(IF(COUNTIF($I63:M63,"&gt;0")&gt;$AJ63,0,M63),0)</f>
        <v>17</v>
      </c>
      <c r="AP63" s="28">
        <f>ROUND(IF(COUNTIF($I63:N63,"&gt;0")&gt;$AJ63,0,N63),0)</f>
        <v>12</v>
      </c>
      <c r="AQ63" s="28">
        <f>ROUND(IF(COUNTIF($I63:O63,"&gt;0")&gt;$AJ63,0,O63),0)</f>
        <v>0</v>
      </c>
      <c r="AR63" s="28">
        <f>ROUND(IF(COUNTIF($I63:P63,"&gt;0")&gt;$AJ63,0,P63),0)</f>
        <v>0</v>
      </c>
      <c r="AS63" s="28">
        <f>IF(COUNTIF($I63:Q63,"&gt;0")&gt;$AJ63,0,Q63)</f>
        <v>0</v>
      </c>
      <c r="AT63" s="28">
        <f>IF(COUNTIF($I63:R63,"&gt;0")&gt;$AJ63,0,R63)</f>
        <v>0</v>
      </c>
      <c r="AU63" s="28">
        <f>SUMPRODUCT(AK63:AT63,定义数据!$G$14:$P$14)</f>
        <v>52.94</v>
      </c>
      <c r="AV63" s="28">
        <f t="shared" ref="AV63:AV68" si="42">ROUND(AU63*$U$33,0)</f>
        <v>2647</v>
      </c>
      <c r="AW63" s="28">
        <f t="shared" ref="AW63:AW68" si="43">ROUND(AU63*$U$32,0)</f>
        <v>2647</v>
      </c>
      <c r="AX63" s="28">
        <f t="shared" ref="AX63:AX68" si="44">($Z$16+1)*$Z$16/2*AV63</f>
        <v>145585</v>
      </c>
      <c r="AY63" s="28">
        <f t="shared" ref="AY63:AY68" si="45">($Z$16+1)*$Z$16/2*AW63</f>
        <v>145585</v>
      </c>
    </row>
    <row r="64" spans="3:51" x14ac:dyDescent="0.15">
      <c r="C64" s="28" t="str">
        <f>H64&amp;F64&amp;VLOOKUP(G64,定义数据!$E$1:$F$7,2,FALSE)</f>
        <v>1541</v>
      </c>
      <c r="D64" s="28"/>
      <c r="E64" s="28">
        <f>装备属性计算表!AK63</f>
        <v>7</v>
      </c>
      <c r="F64" s="28">
        <f>装备属性计算表!B63</f>
        <v>4</v>
      </c>
      <c r="G64" s="28" t="str">
        <f>装备属性计算表!C63</f>
        <v>衣服</v>
      </c>
      <c r="H64" s="28">
        <f>装备属性计算表!D63</f>
        <v>15</v>
      </c>
      <c r="I64" s="28">
        <f>VLOOKUP($G64,装备属性计算表!$D$14:$O$19,装备属性计算表!F$2,FALSE)/装备属性计算表!F$20*VLOOKUP($H64&amp;$F64,$C$3:$P$28,G$1,FALSE)</f>
        <v>435.5351091093396</v>
      </c>
      <c r="J64" s="28">
        <f>VLOOKUP($G64,装备属性计算表!$D$14:$O$19,装备属性计算表!G$2,FALSE)/装备属性计算表!G$20*VLOOKUP($H64&amp;$F64,$C$3:$P$28,H$1,FALSE)</f>
        <v>0</v>
      </c>
      <c r="K64" s="28">
        <f>VLOOKUP($G64,装备属性计算表!$D$14:$O$19,装备属性计算表!H$2,FALSE)/装备属性计算表!H$20*VLOOKUP($H64&amp;$F64,$C$3:$P$28,I$1,FALSE)</f>
        <v>14.339105719237441</v>
      </c>
      <c r="L64" s="28">
        <f>VLOOKUP($G64,装备属性计算表!$D$14:$O$19,装备属性计算表!I$2,FALSE)/装备属性计算表!I$20*VLOOKUP($H64&amp;$F64,$C$3:$P$28,J$1,FALSE)</f>
        <v>10.416666666666668</v>
      </c>
      <c r="M64" s="28">
        <f>VLOOKUP($G64,装备属性计算表!$D$14:$O$19,装备属性计算表!J$2,FALSE)/装备属性计算表!J$20*VLOOKUP($H64&amp;$F64,$C$3:$P$28,K$1,FALSE)</f>
        <v>0</v>
      </c>
      <c r="N64" s="28">
        <f>VLOOKUP($G64,装备属性计算表!$D$14:$O$19,装备属性计算表!K$2,FALSE)/装备属性计算表!K$20*VLOOKUP($H64&amp;$F64,$C$3:$P$28,L$1,FALSE)</f>
        <v>0</v>
      </c>
      <c r="O64" s="28">
        <f>VLOOKUP($G64,装备属性计算表!$D$14:$O$19,装备属性计算表!L$2,FALSE)/装备属性计算表!L$20*VLOOKUP($H64&amp;$F64,$C$3:$P$28,M$1,FALSE)</f>
        <v>0</v>
      </c>
      <c r="P64" s="28">
        <f>VLOOKUP($G64,装备属性计算表!$D$14:$O$19,装备属性计算表!M$2,FALSE)/装备属性计算表!M$20*VLOOKUP($H64&amp;$F64,$C$3:$P$28,N$1,FALSE)</f>
        <v>10.2880658436214</v>
      </c>
      <c r="Q64" s="28">
        <f>VLOOKUP($G64,装备属性计算表!$D$14:$O$19,装备属性计算表!N$2,FALSE)/装备属性计算表!N$20*VLOOKUP($H64&amp;$F64,$C$3:$P$28,O$1,FALSE)</f>
        <v>0</v>
      </c>
      <c r="R64" s="28">
        <f>VLOOKUP($G64,装备属性计算表!$D$14:$O$19,装备属性计算表!O$2,FALSE)/装备属性计算表!O$20*VLOOKUP($H64&amp;$F64,$C$3:$P$28,P$1,FALSE)</f>
        <v>0</v>
      </c>
      <c r="X64" s="28"/>
      <c r="Y64" s="28">
        <f t="shared" si="32"/>
        <v>0</v>
      </c>
      <c r="Z64" s="28">
        <f t="shared" si="33"/>
        <v>2</v>
      </c>
      <c r="AA64" s="28">
        <f t="shared" si="11"/>
        <v>10</v>
      </c>
      <c r="AB64" s="28">
        <f t="shared" si="34"/>
        <v>0</v>
      </c>
      <c r="AC64" s="28">
        <f t="shared" si="35"/>
        <v>6</v>
      </c>
      <c r="AD64" s="28">
        <f t="shared" si="36"/>
        <v>20</v>
      </c>
      <c r="AE64" s="28">
        <f t="shared" si="37"/>
        <v>106000</v>
      </c>
      <c r="AF64" s="28">
        <f t="shared" si="38"/>
        <v>5240</v>
      </c>
      <c r="AG64" s="28">
        <f t="shared" si="39"/>
        <v>7</v>
      </c>
      <c r="AH64" s="28">
        <f>IF(AG64&gt;0,VLOOKUP(G64,'价值&amp;消耗'!$U$173:$V$178,2,FALSE),0)</f>
        <v>71010</v>
      </c>
      <c r="AI64" s="28">
        <f t="shared" si="40"/>
        <v>385</v>
      </c>
      <c r="AJ64" s="28">
        <f t="shared" si="41"/>
        <v>4</v>
      </c>
      <c r="AK64" s="28">
        <f>ROUND(IF(COUNTIF($I64:I64,"&gt;0")&gt;$AJ64,0,I64),0)</f>
        <v>436</v>
      </c>
      <c r="AL64" s="28">
        <f>ROUND(IF(COUNTIF($I64:J64,"&gt;0")&gt;$AJ64,0,J64),0)</f>
        <v>0</v>
      </c>
      <c r="AM64" s="28">
        <f>ROUND(IF(COUNTIF($I64:K64,"&gt;0")&gt;$AJ64,0,K64),0)</f>
        <v>14</v>
      </c>
      <c r="AN64" s="28">
        <f>ROUND(IF(COUNTIF($I64:L64,"&gt;0")&gt;$AJ64,0,L64),0)</f>
        <v>10</v>
      </c>
      <c r="AO64" s="28">
        <f>ROUND(IF(COUNTIF($I64:M64,"&gt;0")&gt;$AJ64,0,M64),0)</f>
        <v>0</v>
      </c>
      <c r="AP64" s="28">
        <f>ROUND(IF(COUNTIF($I64:N64,"&gt;0")&gt;$AJ64,0,N64),0)</f>
        <v>0</v>
      </c>
      <c r="AQ64" s="28">
        <f>ROUND(IF(COUNTIF($I64:O64,"&gt;0")&gt;$AJ64,0,O64),0)</f>
        <v>0</v>
      </c>
      <c r="AR64" s="28">
        <f>ROUND(IF(COUNTIF($I64:P64,"&gt;0")&gt;$AJ64,0,P64),0)</f>
        <v>10</v>
      </c>
      <c r="AS64" s="28">
        <f>IF(COUNTIF($I64:Q64,"&gt;0")&gt;$AJ64,0,Q64)</f>
        <v>0</v>
      </c>
      <c r="AT64" s="28">
        <f>IF(COUNTIF($I64:R64,"&gt;0")&gt;$AJ64,0,R64)</f>
        <v>0</v>
      </c>
      <c r="AU64" s="28">
        <f>SUMPRODUCT(AK64:AT64,定义数据!$G$14:$P$14)</f>
        <v>36.64</v>
      </c>
      <c r="AV64" s="28">
        <f t="shared" si="42"/>
        <v>1832</v>
      </c>
      <c r="AW64" s="28">
        <f t="shared" si="43"/>
        <v>1832</v>
      </c>
      <c r="AX64" s="28">
        <f t="shared" si="44"/>
        <v>100760</v>
      </c>
      <c r="AY64" s="28">
        <f t="shared" si="45"/>
        <v>100760</v>
      </c>
    </row>
    <row r="65" spans="3:51" x14ac:dyDescent="0.15">
      <c r="C65" s="28" t="str">
        <f>H65&amp;F65&amp;VLOOKUP(G65,定义数据!$E$1:$F$7,2,FALSE)</f>
        <v>1542</v>
      </c>
      <c r="D65" s="28"/>
      <c r="E65" s="28">
        <f>装备属性计算表!AK64</f>
        <v>7</v>
      </c>
      <c r="F65" s="28">
        <f>装备属性计算表!B64</f>
        <v>4</v>
      </c>
      <c r="G65" s="28" t="str">
        <f>装备属性计算表!C64</f>
        <v>裤子</v>
      </c>
      <c r="H65" s="28">
        <f>装备属性计算表!D64</f>
        <v>15</v>
      </c>
      <c r="I65" s="28">
        <f>VLOOKUP($G65,装备属性计算表!$D$14:$O$19,装备属性计算表!F$2,FALSE)/装备属性计算表!F$20*VLOOKUP($H65&amp;$F65,$C$3:$P$28,G$1,FALSE)</f>
        <v>217.7675545546698</v>
      </c>
      <c r="J65" s="28">
        <f>VLOOKUP($G65,装备属性计算表!$D$14:$O$19,装备属性计算表!G$2,FALSE)/装备属性计算表!G$20*VLOOKUP($H65&amp;$F65,$C$3:$P$28,H$1,FALSE)</f>
        <v>0</v>
      </c>
      <c r="K65" s="28">
        <f>VLOOKUP($G65,装备属性计算表!$D$14:$O$19,装备属性计算表!H$2,FALSE)/装备属性计算表!H$20*VLOOKUP($H65&amp;$F65,$C$3:$P$28,I$1,FALSE)</f>
        <v>4.7797019064124804</v>
      </c>
      <c r="L65" s="28">
        <f>VLOOKUP($G65,装备属性计算表!$D$14:$O$19,装备属性计算表!I$2,FALSE)/装备属性计算表!I$20*VLOOKUP($H65&amp;$F65,$C$3:$P$28,J$1,FALSE)</f>
        <v>10.416666666666668</v>
      </c>
      <c r="M65" s="28">
        <f>VLOOKUP($G65,装备属性计算表!$D$14:$O$19,装备属性计算表!J$2,FALSE)/装备属性计算表!J$20*VLOOKUP($H65&amp;$F65,$C$3:$P$28,K$1,FALSE)</f>
        <v>0</v>
      </c>
      <c r="N65" s="28">
        <f>VLOOKUP($G65,装备属性计算表!$D$14:$O$19,装备属性计算表!K$2,FALSE)/装备属性计算表!K$20*VLOOKUP($H65&amp;$F65,$C$3:$P$28,L$1,FALSE)</f>
        <v>0</v>
      </c>
      <c r="O65" s="28">
        <f>VLOOKUP($G65,装备属性计算表!$D$14:$O$19,装备属性计算表!L$2,FALSE)/装备属性计算表!L$20*VLOOKUP($H65&amp;$F65,$C$3:$P$28,M$1,FALSE)</f>
        <v>0</v>
      </c>
      <c r="P65" s="28">
        <f>VLOOKUP($G65,装备属性计算表!$D$14:$O$19,装备属性计算表!M$2,FALSE)/装备属性计算表!M$20*VLOOKUP($H65&amp;$F65,$C$3:$P$28,N$1,FALSE)</f>
        <v>10.2880658436214</v>
      </c>
      <c r="Q65" s="28">
        <f>VLOOKUP($G65,装备属性计算表!$D$14:$O$19,装备属性计算表!N$2,FALSE)/装备属性计算表!N$20*VLOOKUP($H65&amp;$F65,$C$3:$P$28,O$1,FALSE)</f>
        <v>0</v>
      </c>
      <c r="R65" s="28">
        <f>VLOOKUP($G65,装备属性计算表!$D$14:$O$19,装备属性计算表!O$2,FALSE)/装备属性计算表!O$20*VLOOKUP($H65&amp;$F65,$C$3:$P$28,P$1,FALSE)</f>
        <v>0</v>
      </c>
      <c r="X65" s="28"/>
      <c r="Y65" s="28">
        <f t="shared" si="32"/>
        <v>1</v>
      </c>
      <c r="Z65" s="28">
        <f t="shared" si="33"/>
        <v>5</v>
      </c>
      <c r="AA65" s="28">
        <f t="shared" si="11"/>
        <v>10</v>
      </c>
      <c r="AB65" s="28">
        <f t="shared" si="34"/>
        <v>5</v>
      </c>
      <c r="AC65" s="28">
        <f t="shared" si="35"/>
        <v>14</v>
      </c>
      <c r="AD65" s="28">
        <f t="shared" si="36"/>
        <v>8</v>
      </c>
      <c r="AE65" s="28">
        <f t="shared" si="37"/>
        <v>55000</v>
      </c>
      <c r="AF65" s="28">
        <f t="shared" si="38"/>
        <v>2970</v>
      </c>
      <c r="AG65" s="28">
        <f t="shared" si="39"/>
        <v>4</v>
      </c>
      <c r="AH65" s="28">
        <f>IF(AG65&gt;0,VLOOKUP(G65,'价值&amp;消耗'!$U$173:$V$178,2,FALSE),0)</f>
        <v>72010</v>
      </c>
      <c r="AI65" s="28">
        <f t="shared" si="40"/>
        <v>220</v>
      </c>
      <c r="AJ65" s="28">
        <f t="shared" si="41"/>
        <v>4</v>
      </c>
      <c r="AK65" s="28">
        <f>ROUND(IF(COUNTIF($I65:I65,"&gt;0")&gt;$AJ65,0,I65),0)</f>
        <v>218</v>
      </c>
      <c r="AL65" s="28">
        <f>ROUND(IF(COUNTIF($I65:J65,"&gt;0")&gt;$AJ65,0,J65),0)</f>
        <v>0</v>
      </c>
      <c r="AM65" s="28">
        <f>ROUND(IF(COUNTIF($I65:K65,"&gt;0")&gt;$AJ65,0,K65),0)</f>
        <v>5</v>
      </c>
      <c r="AN65" s="28">
        <f>ROUND(IF(COUNTIF($I65:L65,"&gt;0")&gt;$AJ65,0,L65),0)</f>
        <v>10</v>
      </c>
      <c r="AO65" s="28">
        <f>ROUND(IF(COUNTIF($I65:M65,"&gt;0")&gt;$AJ65,0,M65),0)</f>
        <v>0</v>
      </c>
      <c r="AP65" s="28">
        <f>ROUND(IF(COUNTIF($I65:N65,"&gt;0")&gt;$AJ65,0,N65),0)</f>
        <v>0</v>
      </c>
      <c r="AQ65" s="28">
        <f>ROUND(IF(COUNTIF($I65:O65,"&gt;0")&gt;$AJ65,0,O65),0)</f>
        <v>0</v>
      </c>
      <c r="AR65" s="28">
        <f>ROUND(IF(COUNTIF($I65:P65,"&gt;0")&gt;$AJ65,0,P65),0)</f>
        <v>10</v>
      </c>
      <c r="AS65" s="28">
        <f>IF(COUNTIF($I65:Q65,"&gt;0")&gt;$AJ65,0,Q65)</f>
        <v>0</v>
      </c>
      <c r="AT65" s="28">
        <f>IF(COUNTIF($I65:R65,"&gt;0")&gt;$AJ65,0,R65)</f>
        <v>0</v>
      </c>
      <c r="AU65" s="28">
        <f>SUMPRODUCT(AK65:AT65,定义数据!$G$14:$P$14)</f>
        <v>18.920000000000002</v>
      </c>
      <c r="AV65" s="28">
        <f t="shared" si="42"/>
        <v>946</v>
      </c>
      <c r="AW65" s="28">
        <f t="shared" si="43"/>
        <v>946</v>
      </c>
      <c r="AX65" s="28">
        <f t="shared" si="44"/>
        <v>52030</v>
      </c>
      <c r="AY65" s="28">
        <f t="shared" si="45"/>
        <v>52030</v>
      </c>
    </row>
    <row r="66" spans="3:51" x14ac:dyDescent="0.15">
      <c r="C66" s="28" t="str">
        <f>H66&amp;F66&amp;VLOOKUP(G66,定义数据!$E$1:$F$7,2,FALSE)</f>
        <v>1545</v>
      </c>
      <c r="D66" s="28"/>
      <c r="E66" s="28">
        <f>装备属性计算表!AK65</f>
        <v>7</v>
      </c>
      <c r="F66" s="28">
        <f>装备属性计算表!B65</f>
        <v>4</v>
      </c>
      <c r="G66" s="28" t="str">
        <f>装备属性计算表!C65</f>
        <v>鞋子</v>
      </c>
      <c r="H66" s="28">
        <f>装备属性计算表!D65</f>
        <v>15</v>
      </c>
      <c r="I66" s="28">
        <f>VLOOKUP($G66,装备属性计算表!$D$14:$O$19,装备属性计算表!F$2,FALSE)/装备属性计算表!F$20*VLOOKUP($H66&amp;$F66,$C$3:$P$28,G$1,FALSE)</f>
        <v>217.7675545546698</v>
      </c>
      <c r="J66" s="28">
        <f>VLOOKUP($G66,装备属性计算表!$D$14:$O$19,装备属性计算表!G$2,FALSE)/装备属性计算表!G$20*VLOOKUP($H66&amp;$F66,$C$3:$P$28,H$1,FALSE)</f>
        <v>0</v>
      </c>
      <c r="K66" s="28">
        <f>VLOOKUP($G66,装备属性计算表!$D$14:$O$19,装备属性计算表!H$2,FALSE)/装备属性计算表!H$20*VLOOKUP($H66&amp;$F66,$C$3:$P$28,I$1,FALSE)</f>
        <v>0</v>
      </c>
      <c r="L66" s="28">
        <f>VLOOKUP($G66,装备属性计算表!$D$14:$O$19,装备属性计算表!I$2,FALSE)/装备属性计算表!I$20*VLOOKUP($H66&amp;$F66,$C$3:$P$28,J$1,FALSE)</f>
        <v>20.833333333333336</v>
      </c>
      <c r="M66" s="28">
        <f>VLOOKUP($G66,装备属性计算表!$D$14:$O$19,装备属性计算表!J$2,FALSE)/装备属性计算表!J$20*VLOOKUP($H66&amp;$F66,$C$3:$P$28,K$1,FALSE)</f>
        <v>17.361111111111111</v>
      </c>
      <c r="N66" s="28">
        <f>VLOOKUP($G66,装备属性计算表!$D$14:$O$19,装备属性计算表!K$2,FALSE)/装备属性计算表!K$20*VLOOKUP($H66&amp;$F66,$C$3:$P$28,L$1,FALSE)</f>
        <v>6.1728395061728412</v>
      </c>
      <c r="O66" s="28">
        <f>VLOOKUP($G66,装备属性计算表!$D$14:$O$19,装备属性计算表!L$2,FALSE)/装备属性计算表!L$20*VLOOKUP($H66&amp;$F66,$C$3:$P$28,M$1,FALSE)</f>
        <v>0</v>
      </c>
      <c r="P66" s="28">
        <f>VLOOKUP($G66,装备属性计算表!$D$14:$O$19,装备属性计算表!M$2,FALSE)/装备属性计算表!M$20*VLOOKUP($H66&amp;$F66,$C$3:$P$28,N$1,FALSE)</f>
        <v>0</v>
      </c>
      <c r="Q66" s="28">
        <f>VLOOKUP($G66,装备属性计算表!$D$14:$O$19,装备属性计算表!N$2,FALSE)/装备属性计算表!N$20*VLOOKUP($H66&amp;$F66,$C$3:$P$28,O$1,FALSE)</f>
        <v>0</v>
      </c>
      <c r="R66" s="28">
        <f>VLOOKUP($G66,装备属性计算表!$D$14:$O$19,装备属性计算表!O$2,FALSE)/装备属性计算表!O$20*VLOOKUP($H66&amp;$F66,$C$3:$P$28,P$1,FALSE)</f>
        <v>0</v>
      </c>
      <c r="X66" s="28"/>
      <c r="Y66" s="28">
        <f t="shared" si="32"/>
        <v>0</v>
      </c>
      <c r="Z66" s="28">
        <f t="shared" si="33"/>
        <v>4</v>
      </c>
      <c r="AA66" s="28">
        <f t="shared" si="11"/>
        <v>10</v>
      </c>
      <c r="AB66" s="28">
        <f t="shared" si="34"/>
        <v>0</v>
      </c>
      <c r="AC66" s="28">
        <f t="shared" si="35"/>
        <v>12</v>
      </c>
      <c r="AD66" s="28">
        <f t="shared" si="36"/>
        <v>11</v>
      </c>
      <c r="AE66" s="28">
        <f t="shared" si="37"/>
        <v>67000</v>
      </c>
      <c r="AF66" s="28">
        <f t="shared" si="38"/>
        <v>4520</v>
      </c>
      <c r="AG66" s="28">
        <f t="shared" si="39"/>
        <v>4</v>
      </c>
      <c r="AH66" s="28">
        <f>IF(AG66&gt;0,VLOOKUP(G66,'价值&amp;消耗'!$U$173:$V$178,2,FALSE),0)</f>
        <v>75010</v>
      </c>
      <c r="AI66" s="28">
        <f t="shared" si="40"/>
        <v>220</v>
      </c>
      <c r="AJ66" s="28">
        <f t="shared" si="41"/>
        <v>4</v>
      </c>
      <c r="AK66" s="28">
        <f>ROUND(IF(COUNTIF($I66:I66,"&gt;0")&gt;$AJ66,0,I66),0)</f>
        <v>218</v>
      </c>
      <c r="AL66" s="28">
        <f>ROUND(IF(COUNTIF($I66:J66,"&gt;0")&gt;$AJ66,0,J66),0)</f>
        <v>0</v>
      </c>
      <c r="AM66" s="28">
        <f>ROUND(IF(COUNTIF($I66:K66,"&gt;0")&gt;$AJ66,0,K66),0)</f>
        <v>0</v>
      </c>
      <c r="AN66" s="28">
        <f>ROUND(IF(COUNTIF($I66:L66,"&gt;0")&gt;$AJ66,0,L66),0)</f>
        <v>21</v>
      </c>
      <c r="AO66" s="28">
        <f>ROUND(IF(COUNTIF($I66:M66,"&gt;0")&gt;$AJ66,0,M66),0)</f>
        <v>17</v>
      </c>
      <c r="AP66" s="28">
        <f>ROUND(IF(COUNTIF($I66:N66,"&gt;0")&gt;$AJ66,0,N66),0)</f>
        <v>6</v>
      </c>
      <c r="AQ66" s="28">
        <f>ROUND(IF(COUNTIF($I66:O66,"&gt;0")&gt;$AJ66,0,O66),0)</f>
        <v>0</v>
      </c>
      <c r="AR66" s="28">
        <f>ROUND(IF(COUNTIF($I66:P66,"&gt;0")&gt;$AJ66,0,P66),0)</f>
        <v>0</v>
      </c>
      <c r="AS66" s="28">
        <f>IF(COUNTIF($I66:Q66,"&gt;0")&gt;$AJ66,0,Q66)</f>
        <v>0</v>
      </c>
      <c r="AT66" s="28">
        <f>IF(COUNTIF($I66:R66,"&gt;0")&gt;$AJ66,0,R66)</f>
        <v>0</v>
      </c>
      <c r="AU66" s="28">
        <f>SUMPRODUCT(AK66:AT66,定义数据!$G$14:$P$14)</f>
        <v>22.72</v>
      </c>
      <c r="AV66" s="28">
        <f t="shared" si="42"/>
        <v>1136</v>
      </c>
      <c r="AW66" s="28">
        <f t="shared" si="43"/>
        <v>1136</v>
      </c>
      <c r="AX66" s="28">
        <f t="shared" si="44"/>
        <v>62480</v>
      </c>
      <c r="AY66" s="28">
        <f t="shared" si="45"/>
        <v>62480</v>
      </c>
    </row>
    <row r="67" spans="3:51" x14ac:dyDescent="0.15">
      <c r="C67" s="28" t="str">
        <f>H67&amp;F67&amp;VLOOKUP(G67,定义数据!$E$1:$F$7,2,FALSE)</f>
        <v>1544</v>
      </c>
      <c r="D67" s="28"/>
      <c r="E67" s="28">
        <f>装备属性计算表!AK66</f>
        <v>7</v>
      </c>
      <c r="F67" s="28">
        <f>装备属性计算表!B66</f>
        <v>4</v>
      </c>
      <c r="G67" s="28" t="str">
        <f>装备属性计算表!C66</f>
        <v>腰带</v>
      </c>
      <c r="H67" s="28">
        <f>装备属性计算表!D66</f>
        <v>15</v>
      </c>
      <c r="I67" s="28">
        <f>VLOOKUP($G67,装备属性计算表!$D$14:$O$19,装备属性计算表!F$2,FALSE)/装备属性计算表!F$20*VLOOKUP($H67&amp;$F67,$C$3:$P$28,G$1,FALSE)</f>
        <v>435.5351091093396</v>
      </c>
      <c r="J67" s="28">
        <f>VLOOKUP($G67,装备属性计算表!$D$14:$O$19,装备属性计算表!G$2,FALSE)/装备属性计算表!G$20*VLOOKUP($H67&amp;$F67,$C$3:$P$28,H$1,FALSE)</f>
        <v>13.2732577540107</v>
      </c>
      <c r="K67" s="28">
        <f>VLOOKUP($G67,装备属性计算表!$D$14:$O$19,装备属性计算表!H$2,FALSE)/装备属性计算表!H$20*VLOOKUP($H67&amp;$F67,$C$3:$P$28,I$1,FALSE)</f>
        <v>4.7797019064124804</v>
      </c>
      <c r="L67" s="28">
        <f>VLOOKUP($G67,装备属性计算表!$D$14:$O$19,装备属性计算表!I$2,FALSE)/装备属性计算表!I$20*VLOOKUP($H67&amp;$F67,$C$3:$P$28,J$1,FALSE)</f>
        <v>0</v>
      </c>
      <c r="M67" s="28">
        <f>VLOOKUP($G67,装备属性计算表!$D$14:$O$19,装备属性计算表!J$2,FALSE)/装备属性计算表!J$20*VLOOKUP($H67&amp;$F67,$C$3:$P$28,K$1,FALSE)</f>
        <v>0</v>
      </c>
      <c r="N67" s="28">
        <f>VLOOKUP($G67,装备属性计算表!$D$14:$O$19,装备属性计算表!K$2,FALSE)/装备属性计算表!K$20*VLOOKUP($H67&amp;$F67,$C$3:$P$28,L$1,FALSE)</f>
        <v>0</v>
      </c>
      <c r="O67" s="28">
        <f>VLOOKUP($G67,装备属性计算表!$D$14:$O$19,装备属性计算表!L$2,FALSE)/装备属性计算表!L$20*VLOOKUP($H67&amp;$F67,$C$3:$P$28,M$1,FALSE)</f>
        <v>0</v>
      </c>
      <c r="P67" s="28">
        <f>VLOOKUP($G67,装备属性计算表!$D$14:$O$19,装备属性计算表!M$2,FALSE)/装备属性计算表!M$20*VLOOKUP($H67&amp;$F67,$C$3:$P$28,N$1,FALSE)</f>
        <v>10.2880658436214</v>
      </c>
      <c r="Q67" s="28">
        <f>VLOOKUP($G67,装备属性计算表!$D$14:$O$19,装备属性计算表!N$2,FALSE)/装备属性计算表!N$20*VLOOKUP($H67&amp;$F67,$C$3:$P$28,O$1,FALSE)</f>
        <v>0</v>
      </c>
      <c r="R67" s="28">
        <f>VLOOKUP($G67,装备属性计算表!$D$14:$O$19,装备属性计算表!O$2,FALSE)/装备属性计算表!O$20*VLOOKUP($H67&amp;$F67,$C$3:$P$28,P$1,FALSE)</f>
        <v>0</v>
      </c>
      <c r="X67" s="28"/>
      <c r="Y67" s="28">
        <f t="shared" si="32"/>
        <v>0</v>
      </c>
      <c r="Z67" s="28">
        <f t="shared" si="33"/>
        <v>2</v>
      </c>
      <c r="AA67" s="28">
        <f t="shared" si="11"/>
        <v>10</v>
      </c>
      <c r="AB67" s="28">
        <f t="shared" si="34"/>
        <v>0</v>
      </c>
      <c r="AC67" s="28">
        <f t="shared" si="35"/>
        <v>6</v>
      </c>
      <c r="AD67" s="28">
        <f t="shared" si="36"/>
        <v>20</v>
      </c>
      <c r="AE67" s="28">
        <f t="shared" si="37"/>
        <v>106000</v>
      </c>
      <c r="AF67" s="28">
        <f t="shared" si="38"/>
        <v>3590</v>
      </c>
      <c r="AG67" s="28">
        <f t="shared" si="39"/>
        <v>7</v>
      </c>
      <c r="AH67" s="28">
        <f>IF(AG67&gt;0,VLOOKUP(G67,'价值&amp;消耗'!$U$173:$V$178,2,FALSE),0)</f>
        <v>74010</v>
      </c>
      <c r="AI67" s="28">
        <f t="shared" si="40"/>
        <v>385</v>
      </c>
      <c r="AJ67" s="28">
        <f t="shared" si="41"/>
        <v>4</v>
      </c>
      <c r="AK67" s="28">
        <f>ROUND(IF(COUNTIF($I67:I67,"&gt;0")&gt;$AJ67,0,I67),0)</f>
        <v>436</v>
      </c>
      <c r="AL67" s="28">
        <f>ROUND(IF(COUNTIF($I67:J67,"&gt;0")&gt;$AJ67,0,J67),0)</f>
        <v>13</v>
      </c>
      <c r="AM67" s="28">
        <f>ROUND(IF(COUNTIF($I67:K67,"&gt;0")&gt;$AJ67,0,K67),0)</f>
        <v>5</v>
      </c>
      <c r="AN67" s="28">
        <f>ROUND(IF(COUNTIF($I67:L67,"&gt;0")&gt;$AJ67,0,L67),0)</f>
        <v>0</v>
      </c>
      <c r="AO67" s="28">
        <f>ROUND(IF(COUNTIF($I67:M67,"&gt;0")&gt;$AJ67,0,M67),0)</f>
        <v>0</v>
      </c>
      <c r="AP67" s="28">
        <f>ROUND(IF(COUNTIF($I67:N67,"&gt;0")&gt;$AJ67,0,N67),0)</f>
        <v>0</v>
      </c>
      <c r="AQ67" s="28">
        <f>ROUND(IF(COUNTIF($I67:O67,"&gt;0")&gt;$AJ67,0,O67),0)</f>
        <v>0</v>
      </c>
      <c r="AR67" s="28">
        <f>ROUND(IF(COUNTIF($I67:P67,"&gt;0")&gt;$AJ67,0,P67),0)</f>
        <v>10</v>
      </c>
      <c r="AS67" s="28">
        <f>IF(COUNTIF($I67:Q67,"&gt;0")&gt;$AJ67,0,Q67)</f>
        <v>0</v>
      </c>
      <c r="AT67" s="28">
        <f>IF(COUNTIF($I67:R67,"&gt;0")&gt;$AJ67,0,R67)</f>
        <v>0</v>
      </c>
      <c r="AU67" s="28">
        <f>SUMPRODUCT(AK67:AT67,定义数据!$G$14:$P$14)</f>
        <v>37.239999999999995</v>
      </c>
      <c r="AV67" s="28">
        <f t="shared" si="42"/>
        <v>1862</v>
      </c>
      <c r="AW67" s="28">
        <f t="shared" si="43"/>
        <v>1862</v>
      </c>
      <c r="AX67" s="28">
        <f t="shared" si="44"/>
        <v>102410</v>
      </c>
      <c r="AY67" s="28">
        <f t="shared" si="45"/>
        <v>102410</v>
      </c>
    </row>
    <row r="68" spans="3:51" x14ac:dyDescent="0.15">
      <c r="C68" s="28" t="str">
        <f>H68&amp;F68&amp;VLOOKUP(G68,定义数据!$E$1:$F$7,2,FALSE)</f>
        <v>1543</v>
      </c>
      <c r="D68" s="28"/>
      <c r="E68" s="28">
        <f>装备属性计算表!AK67</f>
        <v>7</v>
      </c>
      <c r="F68" s="28">
        <f>装备属性计算表!B67</f>
        <v>4</v>
      </c>
      <c r="G68" s="28" t="str">
        <f>装备属性计算表!C67</f>
        <v>项链</v>
      </c>
      <c r="H68" s="28">
        <f>装备属性计算表!D67</f>
        <v>15</v>
      </c>
      <c r="I68" s="28">
        <f>VLOOKUP($G68,装备属性计算表!$D$14:$O$19,装备属性计算表!F$2,FALSE)/装备属性计算表!F$20*VLOOKUP($H68&amp;$F68,$C$3:$P$28,G$1,FALSE)</f>
        <v>0</v>
      </c>
      <c r="J68" s="28">
        <f>VLOOKUP($G68,装备属性计算表!$D$14:$O$19,装备属性计算表!G$2,FALSE)/装备属性计算表!G$20*VLOOKUP($H68&amp;$F68,$C$3:$P$28,H$1,FALSE)</f>
        <v>13.2732577540107</v>
      </c>
      <c r="K68" s="28">
        <f>VLOOKUP($G68,装备属性计算表!$D$14:$O$19,装备属性计算表!H$2,FALSE)/装备属性计算表!H$20*VLOOKUP($H68&amp;$F68,$C$3:$P$28,I$1,FALSE)</f>
        <v>0</v>
      </c>
      <c r="L68" s="28">
        <f>VLOOKUP($G68,装备属性计算表!$D$14:$O$19,装备属性计算表!I$2,FALSE)/装备属性计算表!I$20*VLOOKUP($H68&amp;$F68,$C$3:$P$28,J$1,FALSE)</f>
        <v>10.416666666666668</v>
      </c>
      <c r="M68" s="28">
        <f>VLOOKUP($G68,装备属性计算表!$D$14:$O$19,装备属性计算表!J$2,FALSE)/装备属性计算表!J$20*VLOOKUP($H68&amp;$F68,$C$3:$P$28,K$1,FALSE)</f>
        <v>17.361111111111111</v>
      </c>
      <c r="N68" s="28">
        <f>VLOOKUP($G68,装备属性计算表!$D$14:$O$19,装备属性计算表!K$2,FALSE)/装备属性计算表!K$20*VLOOKUP($H68&amp;$F68,$C$3:$P$28,L$1,FALSE)</f>
        <v>12.345679012345682</v>
      </c>
      <c r="O68" s="28">
        <f>VLOOKUP($G68,装备属性计算表!$D$14:$O$19,装备属性计算表!L$2,FALSE)/装备属性计算表!L$20*VLOOKUP($H68&amp;$F68,$C$3:$P$28,M$1,FALSE)</f>
        <v>0</v>
      </c>
      <c r="P68" s="28">
        <f>VLOOKUP($G68,装备属性计算表!$D$14:$O$19,装备属性计算表!M$2,FALSE)/装备属性计算表!M$20*VLOOKUP($H68&amp;$F68,$C$3:$P$28,N$1,FALSE)</f>
        <v>0</v>
      </c>
      <c r="Q68" s="28">
        <f>VLOOKUP($G68,装备属性计算表!$D$14:$O$19,装备属性计算表!N$2,FALSE)/装备属性计算表!N$20*VLOOKUP($H68&amp;$F68,$C$3:$P$28,O$1,FALSE)</f>
        <v>0</v>
      </c>
      <c r="R68" s="28">
        <f>VLOOKUP($G68,装备属性计算表!$D$14:$O$19,装备属性计算表!O$2,FALSE)/装备属性计算表!O$20*VLOOKUP($H68&amp;$F68,$C$3:$P$28,P$1,FALSE)</f>
        <v>0</v>
      </c>
      <c r="X68" s="28">
        <f>SUM(AY63:AY68)</f>
        <v>530200</v>
      </c>
      <c r="Y68" s="28">
        <f t="shared" si="32"/>
        <v>0</v>
      </c>
      <c r="Z68" s="28">
        <f t="shared" si="33"/>
        <v>4</v>
      </c>
      <c r="AA68" s="28">
        <f t="shared" si="11"/>
        <v>10</v>
      </c>
      <c r="AB68" s="28">
        <f t="shared" si="34"/>
        <v>0</v>
      </c>
      <c r="AC68" s="28">
        <f t="shared" si="35"/>
        <v>13</v>
      </c>
      <c r="AD68" s="28">
        <f t="shared" si="36"/>
        <v>11</v>
      </c>
      <c r="AE68" s="28">
        <f t="shared" si="37"/>
        <v>68000</v>
      </c>
      <c r="AF68" s="28">
        <f t="shared" si="38"/>
        <v>1065</v>
      </c>
      <c r="AG68" s="28">
        <f t="shared" si="39"/>
        <v>5</v>
      </c>
      <c r="AH68" s="28">
        <f>IF(AG68&gt;0,VLOOKUP(G68,'价值&amp;消耗'!$U$173:$V$178,2,FALSE),0)</f>
        <v>73010</v>
      </c>
      <c r="AI68" s="28">
        <f t="shared" si="40"/>
        <v>275</v>
      </c>
      <c r="AJ68" s="28">
        <f t="shared" si="41"/>
        <v>4</v>
      </c>
      <c r="AK68" s="28">
        <f>ROUND(IF(COUNTIF($I68:I68,"&gt;0")&gt;$AJ68,0,I68),0)</f>
        <v>0</v>
      </c>
      <c r="AL68" s="28">
        <f>ROUND(IF(COUNTIF($I68:J68,"&gt;0")&gt;$AJ68,0,J68),0)</f>
        <v>13</v>
      </c>
      <c r="AM68" s="28">
        <f>ROUND(IF(COUNTIF($I68:K68,"&gt;0")&gt;$AJ68,0,K68),0)</f>
        <v>0</v>
      </c>
      <c r="AN68" s="28">
        <f>ROUND(IF(COUNTIF($I68:L68,"&gt;0")&gt;$AJ68,0,L68),0)</f>
        <v>10</v>
      </c>
      <c r="AO68" s="28">
        <f>ROUND(IF(COUNTIF($I68:M68,"&gt;0")&gt;$AJ68,0,M68),0)</f>
        <v>17</v>
      </c>
      <c r="AP68" s="28">
        <f>ROUND(IF(COUNTIF($I68:N68,"&gt;0")&gt;$AJ68,0,N68),0)</f>
        <v>12</v>
      </c>
      <c r="AQ68" s="28">
        <f>ROUND(IF(COUNTIF($I68:O68,"&gt;0")&gt;$AJ68,0,O68),0)</f>
        <v>0</v>
      </c>
      <c r="AR68" s="28">
        <f>ROUND(IF(COUNTIF($I68:P68,"&gt;0")&gt;$AJ68,0,P68),0)</f>
        <v>0</v>
      </c>
      <c r="AS68" s="28">
        <f>IF(COUNTIF($I68:Q68,"&gt;0")&gt;$AJ68,0,Q68)</f>
        <v>0</v>
      </c>
      <c r="AT68" s="28">
        <f>IF(COUNTIF($I68:R68,"&gt;0")&gt;$AJ68,0,R68)</f>
        <v>0</v>
      </c>
      <c r="AU68" s="28">
        <f>SUMPRODUCT(AK68:AT68,定义数据!$G$14:$P$14)</f>
        <v>24.34</v>
      </c>
      <c r="AV68" s="28">
        <f t="shared" si="42"/>
        <v>1217</v>
      </c>
      <c r="AW68" s="28">
        <f t="shared" si="43"/>
        <v>1217</v>
      </c>
      <c r="AX68" s="28">
        <f t="shared" si="44"/>
        <v>66935</v>
      </c>
      <c r="AY68" s="28">
        <f t="shared" si="45"/>
        <v>66935</v>
      </c>
    </row>
    <row r="69" spans="3:51" x14ac:dyDescent="0.15">
      <c r="C69" s="28" t="str">
        <f>H69&amp;F69&amp;VLOOKUP(G69,定义数据!$E$1:$F$7,2,FALSE)</f>
        <v>3010</v>
      </c>
      <c r="D69" s="28"/>
      <c r="E69" s="28">
        <f>装备属性计算表!AK68</f>
        <v>8</v>
      </c>
      <c r="F69" s="28">
        <f>装备属性计算表!B68</f>
        <v>1</v>
      </c>
      <c r="G69" s="28" t="str">
        <f>装备属性计算表!C68</f>
        <v>武器</v>
      </c>
      <c r="H69" s="28">
        <f>装备属性计算表!D68</f>
        <v>30</v>
      </c>
      <c r="I69" s="28">
        <f>VLOOKUP($G69,装备属性计算表!$D$14:$O$19,装备属性计算表!F$2,FALSE)/装备属性计算表!F$20*VLOOKUP($H69&amp;$F69,$C$3:$P$28,G$1,FALSE)</f>
        <v>0</v>
      </c>
      <c r="J69" s="28">
        <f>VLOOKUP($G69,装备属性计算表!$D$14:$O$19,装备属性计算表!G$2,FALSE)/装备属性计算表!G$20*VLOOKUP($H69&amp;$F69,$C$3:$P$28,H$1,FALSE)</f>
        <v>35.837795935828886</v>
      </c>
      <c r="K69" s="28">
        <f>VLOOKUP($G69,装备属性计算表!$D$14:$O$19,装备属性计算表!H$2,FALSE)/装备属性计算表!H$20*VLOOKUP($H69&amp;$F69,$C$3:$P$28,I$1,FALSE)</f>
        <v>4.3017317157712309</v>
      </c>
      <c r="L69" s="28">
        <f>VLOOKUP($G69,装备属性计算表!$D$14:$O$19,装备属性计算表!I$2,FALSE)/装备属性计算表!I$20*VLOOKUP($H69&amp;$F69,$C$3:$P$28,J$1,FALSE)</f>
        <v>0</v>
      </c>
      <c r="M69" s="28">
        <f>VLOOKUP($G69,装备属性计算表!$D$14:$O$19,装备属性计算表!J$2,FALSE)/装备属性计算表!J$20*VLOOKUP($H69&amp;$F69,$C$3:$P$28,K$1,FALSE)</f>
        <v>15.625000000000002</v>
      </c>
      <c r="N69" s="28">
        <f>VLOOKUP($G69,装备属性计算表!$D$14:$O$19,装备属性计算表!K$2,FALSE)/装备属性计算表!K$20*VLOOKUP($H69&amp;$F69,$C$3:$P$28,L$1,FALSE)</f>
        <v>11.111111111111114</v>
      </c>
      <c r="O69" s="28">
        <f>VLOOKUP($G69,装备属性计算表!$D$14:$O$19,装备属性计算表!L$2,FALSE)/装备属性计算表!L$20*VLOOKUP($H69&amp;$F69,$C$3:$P$28,M$1,FALSE)</f>
        <v>0</v>
      </c>
      <c r="P69" s="28">
        <f>VLOOKUP($G69,装备属性计算表!$D$14:$O$19,装备属性计算表!M$2,FALSE)/装备属性计算表!M$20*VLOOKUP($H69&amp;$F69,$C$3:$P$28,N$1,FALSE)</f>
        <v>0</v>
      </c>
      <c r="Q69" s="28">
        <f>VLOOKUP($G69,装备属性计算表!$D$14:$O$19,装备属性计算表!N$2,FALSE)/装备属性计算表!N$20*VLOOKUP($H69&amp;$F69,$C$3:$P$28,O$1,FALSE)</f>
        <v>0</v>
      </c>
      <c r="R69" s="28">
        <f>VLOOKUP($G69,装备属性计算表!$D$14:$O$19,装备属性计算表!O$2,FALSE)/装备属性计算表!O$20*VLOOKUP($H69&amp;$F69,$C$3:$P$28,P$1,FALSE)</f>
        <v>0</v>
      </c>
      <c r="X69" s="28"/>
      <c r="Y69" s="28">
        <f t="shared" si="5"/>
        <v>0</v>
      </c>
      <c r="Z69" s="28">
        <f t="shared" si="6"/>
        <v>2</v>
      </c>
      <c r="AA69" s="28">
        <f t="shared" si="11"/>
        <v>10</v>
      </c>
      <c r="AB69" s="28">
        <f t="shared" si="7"/>
        <v>0</v>
      </c>
      <c r="AC69" s="28">
        <f t="shared" si="8"/>
        <v>6</v>
      </c>
      <c r="AD69" s="28">
        <f t="shared" si="9"/>
        <v>19</v>
      </c>
      <c r="AE69" s="28">
        <f t="shared" si="17"/>
        <v>101000</v>
      </c>
      <c r="AF69" s="28">
        <f t="shared" si="10"/>
        <v>2000</v>
      </c>
      <c r="AG69" s="28">
        <f t="shared" si="12"/>
        <v>6</v>
      </c>
      <c r="AH69" s="28">
        <f>IF(AG69&gt;0,VLOOKUP(G69,'价值&amp;消耗'!$U$173:$V$178,2,FALSE),0)</f>
        <v>70010</v>
      </c>
      <c r="AI69" s="28">
        <f t="shared" si="13"/>
        <v>330</v>
      </c>
      <c r="AJ69" s="28">
        <f t="shared" si="0"/>
        <v>1</v>
      </c>
      <c r="AK69" s="28">
        <f>ROUND(IF(COUNTIF($I69:I69,"&gt;0")&gt;$AJ69,0,I69),0)</f>
        <v>0</v>
      </c>
      <c r="AL69" s="28">
        <f>ROUND(IF(COUNTIF($I69:J69,"&gt;0")&gt;$AJ69,0,J69),0)</f>
        <v>36</v>
      </c>
      <c r="AM69" s="28">
        <f>ROUND(IF(COUNTIF($I69:K69,"&gt;0")&gt;$AJ69,0,K69),0)</f>
        <v>0</v>
      </c>
      <c r="AN69" s="28">
        <f>ROUND(IF(COUNTIF($I69:L69,"&gt;0")&gt;$AJ69,0,L69),0)</f>
        <v>0</v>
      </c>
      <c r="AO69" s="28">
        <f>ROUND(IF(COUNTIF($I69:M69,"&gt;0")&gt;$AJ69,0,M69),0)</f>
        <v>0</v>
      </c>
      <c r="AP69" s="28">
        <f>ROUND(IF(COUNTIF($I69:N69,"&gt;0")&gt;$AJ69,0,N69),0)</f>
        <v>0</v>
      </c>
      <c r="AQ69" s="28">
        <f>ROUND(IF(COUNTIF($I69:O69,"&gt;0")&gt;$AJ69,0,O69),0)</f>
        <v>0</v>
      </c>
      <c r="AR69" s="28">
        <f>ROUND(IF(COUNTIF($I69:P69,"&gt;0")&gt;$AJ69,0,P69),0)</f>
        <v>0</v>
      </c>
      <c r="AS69" s="28">
        <f>IF(COUNTIF($I69:Q69,"&gt;0")&gt;$AJ69,0,Q69)</f>
        <v>0</v>
      </c>
      <c r="AT69" s="28">
        <f>IF(COUNTIF($I69:R69,"&gt;0")&gt;$AJ69,0,R69)</f>
        <v>0</v>
      </c>
      <c r="AU69" s="28">
        <f>SUMPRODUCT(AK69:AT69,定义数据!$G$14:$P$14)</f>
        <v>36</v>
      </c>
      <c r="AV69" s="28">
        <f t="shared" si="4"/>
        <v>1800</v>
      </c>
      <c r="AW69" s="28">
        <f t="shared" si="14"/>
        <v>1800</v>
      </c>
      <c r="AX69" s="28">
        <f t="shared" si="15"/>
        <v>99000</v>
      </c>
      <c r="AY69" s="28">
        <f t="shared" si="16"/>
        <v>99000</v>
      </c>
    </row>
    <row r="70" spans="3:51" x14ac:dyDescent="0.15">
      <c r="C70" s="28" t="str">
        <f>H70&amp;F70&amp;VLOOKUP(G70,定义数据!$E$1:$F$7,2,FALSE)</f>
        <v>3011</v>
      </c>
      <c r="D70" s="28"/>
      <c r="E70" s="28">
        <f>装备属性计算表!AK69</f>
        <v>8</v>
      </c>
      <c r="F70" s="28">
        <f>装备属性计算表!B69</f>
        <v>1</v>
      </c>
      <c r="G70" s="28" t="str">
        <f>装备属性计算表!C69</f>
        <v>衣服</v>
      </c>
      <c r="H70" s="28">
        <f>装备属性计算表!D69</f>
        <v>30</v>
      </c>
      <c r="I70" s="28">
        <f>VLOOKUP($G70,装备属性计算表!$D$14:$O$19,装备属性计算表!F$2,FALSE)/装备属性计算表!F$20*VLOOKUP($H70&amp;$F70,$C$3:$P$28,G$1,FALSE)</f>
        <v>391.98159819840555</v>
      </c>
      <c r="J70" s="28">
        <f>VLOOKUP($G70,装备属性计算表!$D$14:$O$19,装备属性计算表!G$2,FALSE)/装备属性计算表!G$20*VLOOKUP($H70&amp;$F70,$C$3:$P$28,H$1,FALSE)</f>
        <v>0</v>
      </c>
      <c r="K70" s="28">
        <f>VLOOKUP($G70,装备属性计算表!$D$14:$O$19,装备属性计算表!H$2,FALSE)/装备属性计算表!H$20*VLOOKUP($H70&amp;$F70,$C$3:$P$28,I$1,FALSE)</f>
        <v>12.905195147313695</v>
      </c>
      <c r="L70" s="28">
        <f>VLOOKUP($G70,装备属性计算表!$D$14:$O$19,装备属性计算表!I$2,FALSE)/装备属性计算表!I$20*VLOOKUP($H70&amp;$F70,$C$3:$P$28,J$1,FALSE)</f>
        <v>9.3750000000000018</v>
      </c>
      <c r="M70" s="28">
        <f>VLOOKUP($G70,装备属性计算表!$D$14:$O$19,装备属性计算表!J$2,FALSE)/装备属性计算表!J$20*VLOOKUP($H70&amp;$F70,$C$3:$P$28,K$1,FALSE)</f>
        <v>0</v>
      </c>
      <c r="N70" s="28">
        <f>VLOOKUP($G70,装备属性计算表!$D$14:$O$19,装备属性计算表!K$2,FALSE)/装备属性计算表!K$20*VLOOKUP($H70&amp;$F70,$C$3:$P$28,L$1,FALSE)</f>
        <v>0</v>
      </c>
      <c r="O70" s="28">
        <f>VLOOKUP($G70,装备属性计算表!$D$14:$O$19,装备属性计算表!L$2,FALSE)/装备属性计算表!L$20*VLOOKUP($H70&amp;$F70,$C$3:$P$28,M$1,FALSE)</f>
        <v>0</v>
      </c>
      <c r="P70" s="28">
        <f>VLOOKUP($G70,装备属性计算表!$D$14:$O$19,装备属性计算表!M$2,FALSE)/装备属性计算表!M$20*VLOOKUP($H70&amp;$F70,$C$3:$P$28,N$1,FALSE)</f>
        <v>9.2592592592592595</v>
      </c>
      <c r="Q70" s="28">
        <f>VLOOKUP($G70,装备属性计算表!$D$14:$O$19,装备属性计算表!N$2,FALSE)/装备属性计算表!N$20*VLOOKUP($H70&amp;$F70,$C$3:$P$28,O$1,FALSE)</f>
        <v>0</v>
      </c>
      <c r="R70" s="28">
        <f>VLOOKUP($G70,装备属性计算表!$D$14:$O$19,装备属性计算表!O$2,FALSE)/装备属性计算表!O$20*VLOOKUP($H70&amp;$F70,$C$3:$P$28,P$1,FALSE)</f>
        <v>0</v>
      </c>
      <c r="X70" s="28"/>
      <c r="Y70" s="28">
        <f t="shared" si="5"/>
        <v>1</v>
      </c>
      <c r="Z70" s="28">
        <f t="shared" si="6"/>
        <v>6</v>
      </c>
      <c r="AA70" s="28">
        <f t="shared" si="11"/>
        <v>10</v>
      </c>
      <c r="AB70" s="28">
        <f t="shared" si="7"/>
        <v>4</v>
      </c>
      <c r="AC70" s="28">
        <f t="shared" si="8"/>
        <v>16</v>
      </c>
      <c r="AD70" s="28">
        <f t="shared" si="9"/>
        <v>6</v>
      </c>
      <c r="AE70" s="28">
        <f t="shared" si="17"/>
        <v>46800</v>
      </c>
      <c r="AF70" s="28">
        <f t="shared" si="10"/>
        <v>3680</v>
      </c>
      <c r="AG70" s="28">
        <f t="shared" si="12"/>
        <v>3</v>
      </c>
      <c r="AH70" s="28">
        <f>IF(AG70&gt;0,VLOOKUP(G70,'价值&amp;消耗'!$U$173:$V$178,2,FALSE),0)</f>
        <v>71010</v>
      </c>
      <c r="AI70" s="28">
        <f t="shared" si="13"/>
        <v>165</v>
      </c>
      <c r="AJ70" s="28">
        <f t="shared" si="0"/>
        <v>1</v>
      </c>
      <c r="AK70" s="28">
        <f>ROUND(IF(COUNTIF($I70:I70,"&gt;0")&gt;$AJ70,0,I70),0)</f>
        <v>392</v>
      </c>
      <c r="AL70" s="28">
        <f>ROUND(IF(COUNTIF($I70:J70,"&gt;0")&gt;$AJ70,0,J70),0)</f>
        <v>0</v>
      </c>
      <c r="AM70" s="28">
        <f>ROUND(IF(COUNTIF($I70:K70,"&gt;0")&gt;$AJ70,0,K70),0)</f>
        <v>0</v>
      </c>
      <c r="AN70" s="28">
        <f>ROUND(IF(COUNTIF($I70:L70,"&gt;0")&gt;$AJ70,0,L70),0)</f>
        <v>0</v>
      </c>
      <c r="AO70" s="28">
        <f>ROUND(IF(COUNTIF($I70:M70,"&gt;0")&gt;$AJ70,0,M70),0)</f>
        <v>0</v>
      </c>
      <c r="AP70" s="28">
        <f>ROUND(IF(COUNTIF($I70:N70,"&gt;0")&gt;$AJ70,0,N70),0)</f>
        <v>0</v>
      </c>
      <c r="AQ70" s="28">
        <f>ROUND(IF(COUNTIF($I70:O70,"&gt;0")&gt;$AJ70,0,O70),0)</f>
        <v>0</v>
      </c>
      <c r="AR70" s="28">
        <f>ROUND(IF(COUNTIF($I70:P70,"&gt;0")&gt;$AJ70,0,P70),0)</f>
        <v>0</v>
      </c>
      <c r="AS70" s="28">
        <f>IF(COUNTIF($I70:Q70,"&gt;0")&gt;$AJ70,0,Q70)</f>
        <v>0</v>
      </c>
      <c r="AT70" s="28">
        <f>IF(COUNTIF($I70:R70,"&gt;0")&gt;$AJ70,0,R70)</f>
        <v>0</v>
      </c>
      <c r="AU70" s="28">
        <f>SUMPRODUCT(AK70:AT70,定义数据!$G$14:$P$14)</f>
        <v>15.68</v>
      </c>
      <c r="AV70" s="28">
        <f t="shared" si="4"/>
        <v>784</v>
      </c>
      <c r="AW70" s="28">
        <f t="shared" si="14"/>
        <v>784</v>
      </c>
      <c r="AX70" s="28">
        <f t="shared" si="15"/>
        <v>43120</v>
      </c>
      <c r="AY70" s="28">
        <f t="shared" si="16"/>
        <v>43120</v>
      </c>
    </row>
    <row r="71" spans="3:51" x14ac:dyDescent="0.15">
      <c r="C71" s="28" t="str">
        <f>H71&amp;F71&amp;VLOOKUP(G71,定义数据!$E$1:$F$7,2,FALSE)</f>
        <v>3012</v>
      </c>
      <c r="D71" s="28"/>
      <c r="E71" s="28">
        <f>装备属性计算表!AK70</f>
        <v>8</v>
      </c>
      <c r="F71" s="28">
        <f>装备属性计算表!B70</f>
        <v>1</v>
      </c>
      <c r="G71" s="28" t="str">
        <f>装备属性计算表!C70</f>
        <v>裤子</v>
      </c>
      <c r="H71" s="28">
        <f>装备属性计算表!D70</f>
        <v>30</v>
      </c>
      <c r="I71" s="28">
        <f>VLOOKUP($G71,装备属性计算表!$D$14:$O$19,装备属性计算表!F$2,FALSE)/装备属性计算表!F$20*VLOOKUP($H71&amp;$F71,$C$3:$P$28,G$1,FALSE)</f>
        <v>195.99079909920277</v>
      </c>
      <c r="J71" s="28">
        <f>VLOOKUP($G71,装备属性计算表!$D$14:$O$19,装备属性计算表!G$2,FALSE)/装备属性计算表!G$20*VLOOKUP($H71&amp;$F71,$C$3:$P$28,H$1,FALSE)</f>
        <v>0</v>
      </c>
      <c r="K71" s="28">
        <f>VLOOKUP($G71,装备属性计算表!$D$14:$O$19,装备属性计算表!H$2,FALSE)/装备属性计算表!H$20*VLOOKUP($H71&amp;$F71,$C$3:$P$28,I$1,FALSE)</f>
        <v>4.3017317157712309</v>
      </c>
      <c r="L71" s="28">
        <f>VLOOKUP($G71,装备属性计算表!$D$14:$O$19,装备属性计算表!I$2,FALSE)/装备属性计算表!I$20*VLOOKUP($H71&amp;$F71,$C$3:$P$28,J$1,FALSE)</f>
        <v>9.3750000000000018</v>
      </c>
      <c r="M71" s="28">
        <f>VLOOKUP($G71,装备属性计算表!$D$14:$O$19,装备属性计算表!J$2,FALSE)/装备属性计算表!J$20*VLOOKUP($H71&amp;$F71,$C$3:$P$28,K$1,FALSE)</f>
        <v>0</v>
      </c>
      <c r="N71" s="28">
        <f>VLOOKUP($G71,装备属性计算表!$D$14:$O$19,装备属性计算表!K$2,FALSE)/装备属性计算表!K$20*VLOOKUP($H71&amp;$F71,$C$3:$P$28,L$1,FALSE)</f>
        <v>0</v>
      </c>
      <c r="O71" s="28">
        <f>VLOOKUP($G71,装备属性计算表!$D$14:$O$19,装备属性计算表!L$2,FALSE)/装备属性计算表!L$20*VLOOKUP($H71&amp;$F71,$C$3:$P$28,M$1,FALSE)</f>
        <v>0</v>
      </c>
      <c r="P71" s="28">
        <f>VLOOKUP($G71,装备属性计算表!$D$14:$O$19,装备属性计算表!M$2,FALSE)/装备属性计算表!M$20*VLOOKUP($H71&amp;$F71,$C$3:$P$28,N$1,FALSE)</f>
        <v>9.2592592592592595</v>
      </c>
      <c r="Q71" s="28">
        <f>VLOOKUP($G71,装备属性计算表!$D$14:$O$19,装备属性计算表!N$2,FALSE)/装备属性计算表!N$20*VLOOKUP($H71&amp;$F71,$C$3:$P$28,O$1,FALSE)</f>
        <v>0</v>
      </c>
      <c r="R71" s="28">
        <f>VLOOKUP($G71,装备属性计算表!$D$14:$O$19,装备属性计算表!O$2,FALSE)/装备属性计算表!O$20*VLOOKUP($H71&amp;$F71,$C$3:$P$28,P$1,FALSE)</f>
        <v>0</v>
      </c>
      <c r="X71" s="28"/>
      <c r="Y71" s="28">
        <f t="shared" si="5"/>
        <v>2</v>
      </c>
      <c r="Z71" s="28">
        <f t="shared" si="6"/>
        <v>10</v>
      </c>
      <c r="AA71" s="28">
        <f t="shared" si="11"/>
        <v>10</v>
      </c>
      <c r="AB71" s="28">
        <f t="shared" si="7"/>
        <v>6</v>
      </c>
      <c r="AC71" s="28">
        <f t="shared" si="8"/>
        <v>21</v>
      </c>
      <c r="AD71" s="28">
        <f t="shared" si="9"/>
        <v>0</v>
      </c>
      <c r="AE71" s="28">
        <f t="shared" si="17"/>
        <v>22200</v>
      </c>
      <c r="AF71" s="28">
        <f t="shared" si="10"/>
        <v>640</v>
      </c>
      <c r="AG71" s="28">
        <f t="shared" si="12"/>
        <v>2</v>
      </c>
      <c r="AH71" s="28">
        <f>IF(AG71&gt;0,VLOOKUP(G71,'价值&amp;消耗'!$U$173:$V$178,2,FALSE),0)</f>
        <v>72010</v>
      </c>
      <c r="AI71" s="28">
        <f t="shared" si="13"/>
        <v>110</v>
      </c>
      <c r="AJ71" s="28">
        <f t="shared" si="0"/>
        <v>1</v>
      </c>
      <c r="AK71" s="28">
        <f>ROUND(IF(COUNTIF($I71:I71,"&gt;0")&gt;$AJ71,0,I71),0)</f>
        <v>196</v>
      </c>
      <c r="AL71" s="28">
        <f>ROUND(IF(COUNTIF($I71:J71,"&gt;0")&gt;$AJ71,0,J71),0)</f>
        <v>0</v>
      </c>
      <c r="AM71" s="28">
        <f>ROUND(IF(COUNTIF($I71:K71,"&gt;0")&gt;$AJ71,0,K71),0)</f>
        <v>0</v>
      </c>
      <c r="AN71" s="28">
        <f>ROUND(IF(COUNTIF($I71:L71,"&gt;0")&gt;$AJ71,0,L71),0)</f>
        <v>0</v>
      </c>
      <c r="AO71" s="28">
        <f>ROUND(IF(COUNTIF($I71:M71,"&gt;0")&gt;$AJ71,0,M71),0)</f>
        <v>0</v>
      </c>
      <c r="AP71" s="28">
        <f>ROUND(IF(COUNTIF($I71:N71,"&gt;0")&gt;$AJ71,0,N71),0)</f>
        <v>0</v>
      </c>
      <c r="AQ71" s="28">
        <f>ROUND(IF(COUNTIF($I71:O71,"&gt;0")&gt;$AJ71,0,O71),0)</f>
        <v>0</v>
      </c>
      <c r="AR71" s="28">
        <f>ROUND(IF(COUNTIF($I71:P71,"&gt;0")&gt;$AJ71,0,P71),0)</f>
        <v>0</v>
      </c>
      <c r="AS71" s="28">
        <f>IF(COUNTIF($I71:Q71,"&gt;0")&gt;$AJ71,0,Q71)</f>
        <v>0</v>
      </c>
      <c r="AT71" s="28">
        <f>IF(COUNTIF($I71:R71,"&gt;0")&gt;$AJ71,0,R71)</f>
        <v>0</v>
      </c>
      <c r="AU71" s="28">
        <f>SUMPRODUCT(AK71:AT71,定义数据!$G$14:$P$14)</f>
        <v>7.84</v>
      </c>
      <c r="AV71" s="28">
        <f t="shared" si="4"/>
        <v>392</v>
      </c>
      <c r="AW71" s="28">
        <f t="shared" si="14"/>
        <v>392</v>
      </c>
      <c r="AX71" s="28">
        <f t="shared" si="15"/>
        <v>21560</v>
      </c>
      <c r="AY71" s="28">
        <f t="shared" si="16"/>
        <v>21560</v>
      </c>
    </row>
    <row r="72" spans="3:51" x14ac:dyDescent="0.15">
      <c r="C72" s="28" t="str">
        <f>H72&amp;F72&amp;VLOOKUP(G72,定义数据!$E$1:$F$7,2,FALSE)</f>
        <v>3015</v>
      </c>
      <c r="D72" s="28"/>
      <c r="E72" s="28">
        <f>装备属性计算表!AK71</f>
        <v>8</v>
      </c>
      <c r="F72" s="28">
        <f>装备属性计算表!B71</f>
        <v>1</v>
      </c>
      <c r="G72" s="28" t="str">
        <f>装备属性计算表!C71</f>
        <v>鞋子</v>
      </c>
      <c r="H72" s="28">
        <f>装备属性计算表!D71</f>
        <v>30</v>
      </c>
      <c r="I72" s="28">
        <f>VLOOKUP($G72,装备属性计算表!$D$14:$O$19,装备属性计算表!F$2,FALSE)/装备属性计算表!F$20*VLOOKUP($H72&amp;$F72,$C$3:$P$28,G$1,FALSE)</f>
        <v>195.99079909920277</v>
      </c>
      <c r="J72" s="28">
        <f>VLOOKUP($G72,装备属性计算表!$D$14:$O$19,装备属性计算表!G$2,FALSE)/装备属性计算表!G$20*VLOOKUP($H72&amp;$F72,$C$3:$P$28,H$1,FALSE)</f>
        <v>0</v>
      </c>
      <c r="K72" s="28">
        <f>VLOOKUP($G72,装备属性计算表!$D$14:$O$19,装备属性计算表!H$2,FALSE)/装备属性计算表!H$20*VLOOKUP($H72&amp;$F72,$C$3:$P$28,I$1,FALSE)</f>
        <v>0</v>
      </c>
      <c r="L72" s="28">
        <f>VLOOKUP($G72,装备属性计算表!$D$14:$O$19,装备属性计算表!I$2,FALSE)/装备属性计算表!I$20*VLOOKUP($H72&amp;$F72,$C$3:$P$28,J$1,FALSE)</f>
        <v>18.750000000000004</v>
      </c>
      <c r="M72" s="28">
        <f>VLOOKUP($G72,装备属性计算表!$D$14:$O$19,装备属性计算表!J$2,FALSE)/装备属性计算表!J$20*VLOOKUP($H72&amp;$F72,$C$3:$P$28,K$1,FALSE)</f>
        <v>15.625000000000002</v>
      </c>
      <c r="N72" s="28">
        <f>VLOOKUP($G72,装备属性计算表!$D$14:$O$19,装备属性计算表!K$2,FALSE)/装备属性计算表!K$20*VLOOKUP($H72&amp;$F72,$C$3:$P$28,L$1,FALSE)</f>
        <v>5.5555555555555571</v>
      </c>
      <c r="O72" s="28">
        <f>VLOOKUP($G72,装备属性计算表!$D$14:$O$19,装备属性计算表!L$2,FALSE)/装备属性计算表!L$20*VLOOKUP($H72&amp;$F72,$C$3:$P$28,M$1,FALSE)</f>
        <v>0</v>
      </c>
      <c r="P72" s="28">
        <f>VLOOKUP($G72,装备属性计算表!$D$14:$O$19,装备属性计算表!M$2,FALSE)/装备属性计算表!M$20*VLOOKUP($H72&amp;$F72,$C$3:$P$28,N$1,FALSE)</f>
        <v>0</v>
      </c>
      <c r="Q72" s="28">
        <f>VLOOKUP($G72,装备属性计算表!$D$14:$O$19,装备属性计算表!N$2,FALSE)/装备属性计算表!N$20*VLOOKUP($H72&amp;$F72,$C$3:$P$28,O$1,FALSE)</f>
        <v>0</v>
      </c>
      <c r="R72" s="28">
        <f>VLOOKUP($G72,装备属性计算表!$D$14:$O$19,装备属性计算表!O$2,FALSE)/装备属性计算表!O$20*VLOOKUP($H72&amp;$F72,$C$3:$P$28,P$1,FALSE)</f>
        <v>0</v>
      </c>
      <c r="X72" s="28"/>
      <c r="Y72" s="28">
        <f t="shared" si="5"/>
        <v>2</v>
      </c>
      <c r="Z72" s="28">
        <f t="shared" si="6"/>
        <v>10</v>
      </c>
      <c r="AA72" s="28">
        <f t="shared" si="11"/>
        <v>10</v>
      </c>
      <c r="AB72" s="28">
        <f t="shared" si="7"/>
        <v>6</v>
      </c>
      <c r="AC72" s="28">
        <f t="shared" si="8"/>
        <v>21</v>
      </c>
      <c r="AD72" s="28">
        <f t="shared" si="9"/>
        <v>0</v>
      </c>
      <c r="AE72" s="28">
        <f t="shared" si="17"/>
        <v>22200</v>
      </c>
      <c r="AF72" s="28">
        <f t="shared" si="10"/>
        <v>640</v>
      </c>
      <c r="AG72" s="28">
        <f t="shared" si="12"/>
        <v>2</v>
      </c>
      <c r="AH72" s="28">
        <f>IF(AG72&gt;0,VLOOKUP(G72,'价值&amp;消耗'!$U$173:$V$178,2,FALSE),0)</f>
        <v>75010</v>
      </c>
      <c r="AI72" s="28">
        <f t="shared" si="13"/>
        <v>110</v>
      </c>
      <c r="AJ72" s="28">
        <f t="shared" si="0"/>
        <v>1</v>
      </c>
      <c r="AK72" s="28">
        <f>ROUND(IF(COUNTIF($I72:I72,"&gt;0")&gt;$AJ72,0,I72),0)</f>
        <v>196</v>
      </c>
      <c r="AL72" s="28">
        <f>ROUND(IF(COUNTIF($I72:J72,"&gt;0")&gt;$AJ72,0,J72),0)</f>
        <v>0</v>
      </c>
      <c r="AM72" s="28">
        <f>ROUND(IF(COUNTIF($I72:K72,"&gt;0")&gt;$AJ72,0,K72),0)</f>
        <v>0</v>
      </c>
      <c r="AN72" s="28">
        <f>ROUND(IF(COUNTIF($I72:L72,"&gt;0")&gt;$AJ72,0,L72),0)</f>
        <v>0</v>
      </c>
      <c r="AO72" s="28">
        <f>ROUND(IF(COUNTIF($I72:M72,"&gt;0")&gt;$AJ72,0,M72),0)</f>
        <v>0</v>
      </c>
      <c r="AP72" s="28">
        <f>ROUND(IF(COUNTIF($I72:N72,"&gt;0")&gt;$AJ72,0,N72),0)</f>
        <v>0</v>
      </c>
      <c r="AQ72" s="28">
        <f>ROUND(IF(COUNTIF($I72:O72,"&gt;0")&gt;$AJ72,0,O72),0)</f>
        <v>0</v>
      </c>
      <c r="AR72" s="28">
        <f>ROUND(IF(COUNTIF($I72:P72,"&gt;0")&gt;$AJ72,0,P72),0)</f>
        <v>0</v>
      </c>
      <c r="AS72" s="28">
        <f>IF(COUNTIF($I72:Q72,"&gt;0")&gt;$AJ72,0,Q72)</f>
        <v>0</v>
      </c>
      <c r="AT72" s="28">
        <f>IF(COUNTIF($I72:R72,"&gt;0")&gt;$AJ72,0,R72)</f>
        <v>0</v>
      </c>
      <c r="AU72" s="28">
        <f>SUMPRODUCT(AK72:AT72,定义数据!$G$14:$P$14)</f>
        <v>7.84</v>
      </c>
      <c r="AV72" s="28">
        <f t="shared" si="4"/>
        <v>392</v>
      </c>
      <c r="AW72" s="28">
        <f t="shared" si="14"/>
        <v>392</v>
      </c>
      <c r="AX72" s="28">
        <f t="shared" si="15"/>
        <v>21560</v>
      </c>
      <c r="AY72" s="28">
        <f t="shared" si="16"/>
        <v>21560</v>
      </c>
    </row>
    <row r="73" spans="3:51" x14ac:dyDescent="0.15">
      <c r="C73" s="28" t="str">
        <f>H73&amp;F73&amp;VLOOKUP(G73,定义数据!$E$1:$F$7,2,FALSE)</f>
        <v>3014</v>
      </c>
      <c r="D73" s="28"/>
      <c r="E73" s="28">
        <f>装备属性计算表!AK72</f>
        <v>8</v>
      </c>
      <c r="F73" s="28">
        <f>装备属性计算表!B72</f>
        <v>1</v>
      </c>
      <c r="G73" s="28" t="str">
        <f>装备属性计算表!C72</f>
        <v>腰带</v>
      </c>
      <c r="H73" s="28">
        <f>装备属性计算表!D72</f>
        <v>30</v>
      </c>
      <c r="I73" s="28">
        <f>VLOOKUP($G73,装备属性计算表!$D$14:$O$19,装备属性计算表!F$2,FALSE)/装备属性计算表!F$20*VLOOKUP($H73&amp;$F73,$C$3:$P$28,G$1,FALSE)</f>
        <v>391.98159819840555</v>
      </c>
      <c r="J73" s="28">
        <f>VLOOKUP($G73,装备属性计算表!$D$14:$O$19,装备属性计算表!G$2,FALSE)/装备属性计算表!G$20*VLOOKUP($H73&amp;$F73,$C$3:$P$28,H$1,FALSE)</f>
        <v>11.945931978609631</v>
      </c>
      <c r="K73" s="28">
        <f>VLOOKUP($G73,装备属性计算表!$D$14:$O$19,装备属性计算表!H$2,FALSE)/装备属性计算表!H$20*VLOOKUP($H73&amp;$F73,$C$3:$P$28,I$1,FALSE)</f>
        <v>4.3017317157712309</v>
      </c>
      <c r="L73" s="28">
        <f>VLOOKUP($G73,装备属性计算表!$D$14:$O$19,装备属性计算表!I$2,FALSE)/装备属性计算表!I$20*VLOOKUP($H73&amp;$F73,$C$3:$P$28,J$1,FALSE)</f>
        <v>0</v>
      </c>
      <c r="M73" s="28">
        <f>VLOOKUP($G73,装备属性计算表!$D$14:$O$19,装备属性计算表!J$2,FALSE)/装备属性计算表!J$20*VLOOKUP($H73&amp;$F73,$C$3:$P$28,K$1,FALSE)</f>
        <v>0</v>
      </c>
      <c r="N73" s="28">
        <f>VLOOKUP($G73,装备属性计算表!$D$14:$O$19,装备属性计算表!K$2,FALSE)/装备属性计算表!K$20*VLOOKUP($H73&amp;$F73,$C$3:$P$28,L$1,FALSE)</f>
        <v>0</v>
      </c>
      <c r="O73" s="28">
        <f>VLOOKUP($G73,装备属性计算表!$D$14:$O$19,装备属性计算表!L$2,FALSE)/装备属性计算表!L$20*VLOOKUP($H73&amp;$F73,$C$3:$P$28,M$1,FALSE)</f>
        <v>0</v>
      </c>
      <c r="P73" s="28">
        <f>VLOOKUP($G73,装备属性计算表!$D$14:$O$19,装备属性计算表!M$2,FALSE)/装备属性计算表!M$20*VLOOKUP($H73&amp;$F73,$C$3:$P$28,N$1,FALSE)</f>
        <v>9.2592592592592595</v>
      </c>
      <c r="Q73" s="28">
        <f>VLOOKUP($G73,装备属性计算表!$D$14:$O$19,装备属性计算表!N$2,FALSE)/装备属性计算表!N$20*VLOOKUP($H73&amp;$F73,$C$3:$P$28,O$1,FALSE)</f>
        <v>0</v>
      </c>
      <c r="R73" s="28">
        <f>VLOOKUP($G73,装备属性计算表!$D$14:$O$19,装备属性计算表!O$2,FALSE)/装备属性计算表!O$20*VLOOKUP($H73&amp;$F73,$C$3:$P$28,P$1,FALSE)</f>
        <v>0</v>
      </c>
      <c r="X73" s="28"/>
      <c r="Y73" s="28">
        <f t="shared" si="5"/>
        <v>1</v>
      </c>
      <c r="Z73" s="28">
        <f t="shared" si="6"/>
        <v>6</v>
      </c>
      <c r="AA73" s="28">
        <f t="shared" si="11"/>
        <v>10</v>
      </c>
      <c r="AB73" s="28">
        <f t="shared" si="7"/>
        <v>4</v>
      </c>
      <c r="AC73" s="28">
        <f t="shared" si="8"/>
        <v>16</v>
      </c>
      <c r="AD73" s="28">
        <f t="shared" si="9"/>
        <v>6</v>
      </c>
      <c r="AE73" s="28">
        <f t="shared" si="17"/>
        <v>46800</v>
      </c>
      <c r="AF73" s="28">
        <f t="shared" si="10"/>
        <v>3680</v>
      </c>
      <c r="AG73" s="28">
        <f t="shared" si="12"/>
        <v>3</v>
      </c>
      <c r="AH73" s="28">
        <f>IF(AG73&gt;0,VLOOKUP(G73,'价值&amp;消耗'!$U$173:$V$178,2,FALSE),0)</f>
        <v>74010</v>
      </c>
      <c r="AI73" s="28">
        <f t="shared" si="13"/>
        <v>165</v>
      </c>
      <c r="AJ73" s="28">
        <f t="shared" si="0"/>
        <v>1</v>
      </c>
      <c r="AK73" s="28">
        <f>ROUND(IF(COUNTIF($I73:I73,"&gt;0")&gt;$AJ73,0,I73),0)</f>
        <v>392</v>
      </c>
      <c r="AL73" s="28">
        <f>ROUND(IF(COUNTIF($I73:J73,"&gt;0")&gt;$AJ73,0,J73),0)</f>
        <v>0</v>
      </c>
      <c r="AM73" s="28">
        <f>ROUND(IF(COUNTIF($I73:K73,"&gt;0")&gt;$AJ73,0,K73),0)</f>
        <v>0</v>
      </c>
      <c r="AN73" s="28">
        <f>ROUND(IF(COUNTIF($I73:L73,"&gt;0")&gt;$AJ73,0,L73),0)</f>
        <v>0</v>
      </c>
      <c r="AO73" s="28">
        <f>ROUND(IF(COUNTIF($I73:M73,"&gt;0")&gt;$AJ73,0,M73),0)</f>
        <v>0</v>
      </c>
      <c r="AP73" s="28">
        <f>ROUND(IF(COUNTIF($I73:N73,"&gt;0")&gt;$AJ73,0,N73),0)</f>
        <v>0</v>
      </c>
      <c r="AQ73" s="28">
        <f>ROUND(IF(COUNTIF($I73:O73,"&gt;0")&gt;$AJ73,0,O73),0)</f>
        <v>0</v>
      </c>
      <c r="AR73" s="28">
        <f>ROUND(IF(COUNTIF($I73:P73,"&gt;0")&gt;$AJ73,0,P73),0)</f>
        <v>0</v>
      </c>
      <c r="AS73" s="28">
        <f>IF(COUNTIF($I73:Q73,"&gt;0")&gt;$AJ73,0,Q73)</f>
        <v>0</v>
      </c>
      <c r="AT73" s="28">
        <f>IF(COUNTIF($I73:R73,"&gt;0")&gt;$AJ73,0,R73)</f>
        <v>0</v>
      </c>
      <c r="AU73" s="28">
        <f>SUMPRODUCT(AK73:AT73,定义数据!$G$14:$P$14)</f>
        <v>15.68</v>
      </c>
      <c r="AV73" s="28">
        <f t="shared" si="4"/>
        <v>784</v>
      </c>
      <c r="AW73" s="28">
        <f t="shared" si="14"/>
        <v>784</v>
      </c>
      <c r="AX73" s="28">
        <f t="shared" si="15"/>
        <v>43120</v>
      </c>
      <c r="AY73" s="28">
        <f t="shared" si="16"/>
        <v>43120</v>
      </c>
    </row>
    <row r="74" spans="3:51" x14ac:dyDescent="0.15">
      <c r="C74" s="28" t="str">
        <f>H74&amp;F74&amp;VLOOKUP(G74,定义数据!$E$1:$F$7,2,FALSE)</f>
        <v>3013</v>
      </c>
      <c r="D74" s="28"/>
      <c r="E74" s="28">
        <f>装备属性计算表!AK73</f>
        <v>8</v>
      </c>
      <c r="F74" s="28">
        <f>装备属性计算表!B73</f>
        <v>1</v>
      </c>
      <c r="G74" s="28" t="str">
        <f>装备属性计算表!C73</f>
        <v>项链</v>
      </c>
      <c r="H74" s="28">
        <f>装备属性计算表!D73</f>
        <v>30</v>
      </c>
      <c r="I74" s="28">
        <f>VLOOKUP($G74,装备属性计算表!$D$14:$O$19,装备属性计算表!F$2,FALSE)/装备属性计算表!F$20*VLOOKUP($H74&amp;$F74,$C$3:$P$28,G$1,FALSE)</f>
        <v>0</v>
      </c>
      <c r="J74" s="28">
        <f>VLOOKUP($G74,装备属性计算表!$D$14:$O$19,装备属性计算表!G$2,FALSE)/装备属性计算表!G$20*VLOOKUP($H74&amp;$F74,$C$3:$P$28,H$1,FALSE)</f>
        <v>11.945931978609631</v>
      </c>
      <c r="K74" s="28">
        <f>VLOOKUP($G74,装备属性计算表!$D$14:$O$19,装备属性计算表!H$2,FALSE)/装备属性计算表!H$20*VLOOKUP($H74&amp;$F74,$C$3:$P$28,I$1,FALSE)</f>
        <v>0</v>
      </c>
      <c r="L74" s="28">
        <f>VLOOKUP($G74,装备属性计算表!$D$14:$O$19,装备属性计算表!I$2,FALSE)/装备属性计算表!I$20*VLOOKUP($H74&amp;$F74,$C$3:$P$28,J$1,FALSE)</f>
        <v>9.3750000000000018</v>
      </c>
      <c r="M74" s="28">
        <f>VLOOKUP($G74,装备属性计算表!$D$14:$O$19,装备属性计算表!J$2,FALSE)/装备属性计算表!J$20*VLOOKUP($H74&amp;$F74,$C$3:$P$28,K$1,FALSE)</f>
        <v>15.625000000000002</v>
      </c>
      <c r="N74" s="28">
        <f>VLOOKUP($G74,装备属性计算表!$D$14:$O$19,装备属性计算表!K$2,FALSE)/装备属性计算表!K$20*VLOOKUP($H74&amp;$F74,$C$3:$P$28,L$1,FALSE)</f>
        <v>11.111111111111114</v>
      </c>
      <c r="O74" s="28">
        <f>VLOOKUP($G74,装备属性计算表!$D$14:$O$19,装备属性计算表!L$2,FALSE)/装备属性计算表!L$20*VLOOKUP($H74&amp;$F74,$C$3:$P$28,M$1,FALSE)</f>
        <v>0</v>
      </c>
      <c r="P74" s="28">
        <f>VLOOKUP($G74,装备属性计算表!$D$14:$O$19,装备属性计算表!M$2,FALSE)/装备属性计算表!M$20*VLOOKUP($H74&amp;$F74,$C$3:$P$28,N$1,FALSE)</f>
        <v>0</v>
      </c>
      <c r="Q74" s="28">
        <f>VLOOKUP($G74,装备属性计算表!$D$14:$O$19,装备属性计算表!N$2,FALSE)/装备属性计算表!N$20*VLOOKUP($H74&amp;$F74,$C$3:$P$28,O$1,FALSE)</f>
        <v>0</v>
      </c>
      <c r="R74" s="28">
        <f>VLOOKUP($G74,装备属性计算表!$D$14:$O$19,装备属性计算表!O$2,FALSE)/装备属性计算表!O$20*VLOOKUP($H74&amp;$F74,$C$3:$P$28,P$1,FALSE)</f>
        <v>0</v>
      </c>
      <c r="X74" s="28">
        <f>SUM(AY69:AY74)</f>
        <v>261360</v>
      </c>
      <c r="Y74" s="28">
        <f t="shared" si="5"/>
        <v>1</v>
      </c>
      <c r="Z74" s="28">
        <f t="shared" si="6"/>
        <v>8</v>
      </c>
      <c r="AA74" s="28">
        <f t="shared" si="11"/>
        <v>10</v>
      </c>
      <c r="AB74" s="28">
        <f t="shared" si="7"/>
        <v>3</v>
      </c>
      <c r="AC74" s="28">
        <f t="shared" si="8"/>
        <v>21</v>
      </c>
      <c r="AD74" s="28">
        <f t="shared" si="9"/>
        <v>3</v>
      </c>
      <c r="AE74" s="28">
        <f t="shared" si="17"/>
        <v>36600</v>
      </c>
      <c r="AF74" s="28">
        <f t="shared" si="10"/>
        <v>3600</v>
      </c>
      <c r="AG74" s="28">
        <f t="shared" si="12"/>
        <v>2</v>
      </c>
      <c r="AH74" s="28">
        <f>IF(AG74&gt;0,VLOOKUP(G74,'价值&amp;消耗'!$U$173:$V$178,2,FALSE),0)</f>
        <v>73010</v>
      </c>
      <c r="AI74" s="28">
        <f t="shared" si="13"/>
        <v>110</v>
      </c>
      <c r="AJ74" s="28">
        <f t="shared" si="0"/>
        <v>1</v>
      </c>
      <c r="AK74" s="28">
        <f>ROUND(IF(COUNTIF($I74:I74,"&gt;0")&gt;$AJ74,0,I74),0)</f>
        <v>0</v>
      </c>
      <c r="AL74" s="28">
        <f>ROUND(IF(COUNTIF($I74:J74,"&gt;0")&gt;$AJ74,0,J74),0)</f>
        <v>12</v>
      </c>
      <c r="AM74" s="28">
        <f>ROUND(IF(COUNTIF($I74:K74,"&gt;0")&gt;$AJ74,0,K74),0)</f>
        <v>0</v>
      </c>
      <c r="AN74" s="28">
        <f>ROUND(IF(COUNTIF($I74:L74,"&gt;0")&gt;$AJ74,0,L74),0)</f>
        <v>0</v>
      </c>
      <c r="AO74" s="28">
        <f>ROUND(IF(COUNTIF($I74:M74,"&gt;0")&gt;$AJ74,0,M74),0)</f>
        <v>0</v>
      </c>
      <c r="AP74" s="28">
        <f>ROUND(IF(COUNTIF($I74:N74,"&gt;0")&gt;$AJ74,0,N74),0)</f>
        <v>0</v>
      </c>
      <c r="AQ74" s="28">
        <f>ROUND(IF(COUNTIF($I74:O74,"&gt;0")&gt;$AJ74,0,O74),0)</f>
        <v>0</v>
      </c>
      <c r="AR74" s="28">
        <f>ROUND(IF(COUNTIF($I74:P74,"&gt;0")&gt;$AJ74,0,P74),0)</f>
        <v>0</v>
      </c>
      <c r="AS74" s="28">
        <f>IF(COUNTIF($I74:Q74,"&gt;0")&gt;$AJ74,0,Q74)</f>
        <v>0</v>
      </c>
      <c r="AT74" s="28">
        <f>IF(COUNTIF($I74:R74,"&gt;0")&gt;$AJ74,0,R74)</f>
        <v>0</v>
      </c>
      <c r="AU74" s="28">
        <f>SUMPRODUCT(AK74:AT74,定义数据!$G$14:$P$14)</f>
        <v>12</v>
      </c>
      <c r="AV74" s="28">
        <f t="shared" si="4"/>
        <v>600</v>
      </c>
      <c r="AW74" s="28">
        <f t="shared" si="14"/>
        <v>600</v>
      </c>
      <c r="AX74" s="28">
        <f t="shared" si="15"/>
        <v>33000</v>
      </c>
      <c r="AY74" s="28">
        <f t="shared" si="16"/>
        <v>33000</v>
      </c>
    </row>
    <row r="75" spans="3:51" x14ac:dyDescent="0.15">
      <c r="C75" s="28" t="str">
        <f>H75&amp;F75&amp;VLOOKUP(G75,定义数据!$E$1:$F$7,2,FALSE)</f>
        <v>3020</v>
      </c>
      <c r="D75" s="28"/>
      <c r="E75" s="28">
        <f>装备属性计算表!AK74</f>
        <v>9</v>
      </c>
      <c r="F75" s="28">
        <f>装备属性计算表!B74</f>
        <v>2</v>
      </c>
      <c r="G75" s="28" t="str">
        <f>装备属性计算表!C74</f>
        <v>武器</v>
      </c>
      <c r="H75" s="28">
        <f>装备属性计算表!D74</f>
        <v>30</v>
      </c>
      <c r="I75" s="28">
        <f>VLOOKUP($G75,装备属性计算表!$D$14:$O$19,装备属性计算表!F$2,FALSE)/装备属性计算表!F$20*VLOOKUP($H75&amp;$F75,$C$3:$P$28,G$1,FALSE)</f>
        <v>0</v>
      </c>
      <c r="J75" s="28">
        <f>VLOOKUP($G75,装备属性计算表!$D$14:$O$19,装备属性计算表!G$2,FALSE)/装备属性计算表!G$20*VLOOKUP($H75&amp;$F75,$C$3:$P$28,H$1,FALSE)</f>
        <v>51.765705240641736</v>
      </c>
      <c r="K75" s="28">
        <f>VLOOKUP($G75,装备属性计算表!$D$14:$O$19,装备属性计算表!H$2,FALSE)/装备属性计算表!H$20*VLOOKUP($H75&amp;$F75,$C$3:$P$28,I$1,FALSE)</f>
        <v>6.2136124783362234</v>
      </c>
      <c r="L75" s="28">
        <f>VLOOKUP($G75,装备属性计算表!$D$14:$O$19,装备属性计算表!I$2,FALSE)/装备属性计算表!I$20*VLOOKUP($H75&amp;$F75,$C$3:$P$28,J$1,FALSE)</f>
        <v>0</v>
      </c>
      <c r="M75" s="28">
        <f>VLOOKUP($G75,装备属性计算表!$D$14:$O$19,装备属性计算表!J$2,FALSE)/装备属性计算表!J$20*VLOOKUP($H75&amp;$F75,$C$3:$P$28,K$1,FALSE)</f>
        <v>22.569444444444446</v>
      </c>
      <c r="N75" s="28">
        <f>VLOOKUP($G75,装备属性计算表!$D$14:$O$19,装备属性计算表!K$2,FALSE)/装备属性计算表!K$20*VLOOKUP($H75&amp;$F75,$C$3:$P$28,L$1,FALSE)</f>
        <v>16.049382716049386</v>
      </c>
      <c r="O75" s="28">
        <f>VLOOKUP($G75,装备属性计算表!$D$14:$O$19,装备属性计算表!L$2,FALSE)/装备属性计算表!L$20*VLOOKUP($H75&amp;$F75,$C$3:$P$28,M$1,FALSE)</f>
        <v>0</v>
      </c>
      <c r="P75" s="28">
        <f>VLOOKUP($G75,装备属性计算表!$D$14:$O$19,装备属性计算表!M$2,FALSE)/装备属性计算表!M$20*VLOOKUP($H75&amp;$F75,$C$3:$P$28,N$1,FALSE)</f>
        <v>0</v>
      </c>
      <c r="Q75" s="28">
        <f>VLOOKUP($G75,装备属性计算表!$D$14:$O$19,装备属性计算表!N$2,FALSE)/装备属性计算表!N$20*VLOOKUP($H75&amp;$F75,$C$3:$P$28,O$1,FALSE)</f>
        <v>0</v>
      </c>
      <c r="R75" s="28">
        <f>VLOOKUP($G75,装备属性计算表!$D$14:$O$19,装备属性计算表!O$2,FALSE)/装备属性计算表!O$20*VLOOKUP($H75&amp;$F75,$C$3:$P$28,P$1,FALSE)</f>
        <v>0</v>
      </c>
      <c r="X75" s="28"/>
      <c r="Y75" s="28">
        <f t="shared" si="5"/>
        <v>0</v>
      </c>
      <c r="Z75" s="28">
        <f t="shared" si="6"/>
        <v>1</v>
      </c>
      <c r="AA75" s="28">
        <f t="shared" si="11"/>
        <v>10</v>
      </c>
      <c r="AB75" s="28">
        <f t="shared" si="7"/>
        <v>0</v>
      </c>
      <c r="AC75" s="28">
        <f t="shared" si="8"/>
        <v>3</v>
      </c>
      <c r="AD75" s="28">
        <f t="shared" si="9"/>
        <v>32</v>
      </c>
      <c r="AE75" s="28">
        <f t="shared" si="17"/>
        <v>163000</v>
      </c>
      <c r="AF75" s="28">
        <f t="shared" si="10"/>
        <v>3500</v>
      </c>
      <c r="AG75" s="28">
        <f t="shared" si="12"/>
        <v>10</v>
      </c>
      <c r="AH75" s="28">
        <f>IF(AG75&gt;0,VLOOKUP(G75,'价值&amp;消耗'!$U$173:$V$178,2,FALSE),0)</f>
        <v>70010</v>
      </c>
      <c r="AI75" s="28">
        <f t="shared" si="13"/>
        <v>550</v>
      </c>
      <c r="AJ75" s="28">
        <f t="shared" si="0"/>
        <v>2</v>
      </c>
      <c r="AK75" s="28">
        <f>ROUND(IF(COUNTIF($I75:I75,"&gt;0")&gt;$AJ75,0,I75),0)</f>
        <v>0</v>
      </c>
      <c r="AL75" s="28">
        <f>ROUND(IF(COUNTIF($I75:J75,"&gt;0")&gt;$AJ75,0,J75),0)</f>
        <v>52</v>
      </c>
      <c r="AM75" s="28">
        <f>ROUND(IF(COUNTIF($I75:K75,"&gt;0")&gt;$AJ75,0,K75),0)</f>
        <v>6</v>
      </c>
      <c r="AN75" s="28">
        <f>ROUND(IF(COUNTIF($I75:L75,"&gt;0")&gt;$AJ75,0,L75),0)</f>
        <v>0</v>
      </c>
      <c r="AO75" s="28">
        <f>ROUND(IF(COUNTIF($I75:M75,"&gt;0")&gt;$AJ75,0,M75),0)</f>
        <v>0</v>
      </c>
      <c r="AP75" s="28">
        <f>ROUND(IF(COUNTIF($I75:N75,"&gt;0")&gt;$AJ75,0,N75),0)</f>
        <v>0</v>
      </c>
      <c r="AQ75" s="28">
        <f>ROUND(IF(COUNTIF($I75:O75,"&gt;0")&gt;$AJ75,0,O75),0)</f>
        <v>0</v>
      </c>
      <c r="AR75" s="28">
        <f>ROUND(IF(COUNTIF($I75:P75,"&gt;0")&gt;$AJ75,0,P75),0)</f>
        <v>0</v>
      </c>
      <c r="AS75" s="28">
        <f>IF(COUNTIF($I75:Q75,"&gt;0")&gt;$AJ75,0,Q75)</f>
        <v>0</v>
      </c>
      <c r="AT75" s="28">
        <f>IF(COUNTIF($I75:R75,"&gt;0")&gt;$AJ75,0,R75)</f>
        <v>0</v>
      </c>
      <c r="AU75" s="28">
        <f>SUMPRODUCT(AK75:AT75,定义数据!$G$14:$P$14)</f>
        <v>58</v>
      </c>
      <c r="AV75" s="28">
        <f t="shared" si="4"/>
        <v>2900</v>
      </c>
      <c r="AW75" s="28">
        <f t="shared" si="14"/>
        <v>2900</v>
      </c>
      <c r="AX75" s="28">
        <f t="shared" si="15"/>
        <v>159500</v>
      </c>
      <c r="AY75" s="28">
        <f t="shared" si="16"/>
        <v>159500</v>
      </c>
    </row>
    <row r="76" spans="3:51" x14ac:dyDescent="0.15">
      <c r="C76" s="28" t="str">
        <f>H76&amp;F76&amp;VLOOKUP(G76,定义数据!$E$1:$F$7,2,FALSE)</f>
        <v>3021</v>
      </c>
      <c r="D76" s="28"/>
      <c r="E76" s="28">
        <f>装备属性计算表!AK75</f>
        <v>9</v>
      </c>
      <c r="F76" s="28">
        <f>装备属性计算表!B75</f>
        <v>2</v>
      </c>
      <c r="G76" s="28" t="str">
        <f>装备属性计算表!C75</f>
        <v>衣服</v>
      </c>
      <c r="H76" s="28">
        <f>装备属性计算表!D75</f>
        <v>30</v>
      </c>
      <c r="I76" s="28">
        <f>VLOOKUP($G76,装备属性计算表!$D$14:$O$19,装备属性计算表!F$2,FALSE)/装备属性计算表!F$20*VLOOKUP($H76&amp;$F76,$C$3:$P$28,G$1,FALSE)</f>
        <v>566.19564184214141</v>
      </c>
      <c r="J76" s="28">
        <f>VLOOKUP($G76,装备属性计算表!$D$14:$O$19,装备属性计算表!G$2,FALSE)/装备属性计算表!G$20*VLOOKUP($H76&amp;$F76,$C$3:$P$28,H$1,FALSE)</f>
        <v>0</v>
      </c>
      <c r="K76" s="28">
        <f>VLOOKUP($G76,装备属性计算表!$D$14:$O$19,装备属性计算表!H$2,FALSE)/装备属性计算表!H$20*VLOOKUP($H76&amp;$F76,$C$3:$P$28,I$1,FALSE)</f>
        <v>18.64083743500867</v>
      </c>
      <c r="L76" s="28">
        <f>VLOOKUP($G76,装备属性计算表!$D$14:$O$19,装备属性计算表!I$2,FALSE)/装备属性计算表!I$20*VLOOKUP($H76&amp;$F76,$C$3:$P$28,J$1,FALSE)</f>
        <v>13.54166666666667</v>
      </c>
      <c r="M76" s="28">
        <f>VLOOKUP($G76,装备属性计算表!$D$14:$O$19,装备属性计算表!J$2,FALSE)/装备属性计算表!J$20*VLOOKUP($H76&amp;$F76,$C$3:$P$28,K$1,FALSE)</f>
        <v>0</v>
      </c>
      <c r="N76" s="28">
        <f>VLOOKUP($G76,装备属性计算表!$D$14:$O$19,装备属性计算表!K$2,FALSE)/装备属性计算表!K$20*VLOOKUP($H76&amp;$F76,$C$3:$P$28,L$1,FALSE)</f>
        <v>0</v>
      </c>
      <c r="O76" s="28">
        <f>VLOOKUP($G76,装备属性计算表!$D$14:$O$19,装备属性计算表!L$2,FALSE)/装备属性计算表!L$20*VLOOKUP($H76&amp;$F76,$C$3:$P$28,M$1,FALSE)</f>
        <v>0</v>
      </c>
      <c r="P76" s="28">
        <f>VLOOKUP($G76,装备属性计算表!$D$14:$O$19,装备属性计算表!M$2,FALSE)/装备属性计算表!M$20*VLOOKUP($H76&amp;$F76,$C$3:$P$28,N$1,FALSE)</f>
        <v>13.374485596707821</v>
      </c>
      <c r="Q76" s="28">
        <f>VLOOKUP($G76,装备属性计算表!$D$14:$O$19,装备属性计算表!N$2,FALSE)/装备属性计算表!N$20*VLOOKUP($H76&amp;$F76,$C$3:$P$28,O$1,FALSE)</f>
        <v>0</v>
      </c>
      <c r="R76" s="28">
        <f>VLOOKUP($G76,装备属性计算表!$D$14:$O$19,装备属性计算表!O$2,FALSE)/装备属性计算表!O$20*VLOOKUP($H76&amp;$F76,$C$3:$P$28,P$1,FALSE)</f>
        <v>0</v>
      </c>
      <c r="X76" s="28"/>
      <c r="Y76" s="28">
        <f t="shared" si="5"/>
        <v>0</v>
      </c>
      <c r="Z76" s="28">
        <f t="shared" si="6"/>
        <v>2</v>
      </c>
      <c r="AA76" s="28">
        <f t="shared" si="11"/>
        <v>10</v>
      </c>
      <c r="AB76" s="28">
        <f t="shared" si="7"/>
        <v>0</v>
      </c>
      <c r="AC76" s="28">
        <f t="shared" si="8"/>
        <v>7</v>
      </c>
      <c r="AD76" s="28">
        <f t="shared" si="9"/>
        <v>22</v>
      </c>
      <c r="AE76" s="28">
        <f t="shared" si="17"/>
        <v>117000</v>
      </c>
      <c r="AF76" s="28">
        <f t="shared" si="10"/>
        <v>2490</v>
      </c>
      <c r="AG76" s="28">
        <f t="shared" si="12"/>
        <v>7</v>
      </c>
      <c r="AH76" s="28">
        <f>IF(AG76&gt;0,VLOOKUP(G76,'价值&amp;消耗'!$U$173:$V$178,2,FALSE),0)</f>
        <v>71010</v>
      </c>
      <c r="AI76" s="28">
        <f t="shared" si="13"/>
        <v>385</v>
      </c>
      <c r="AJ76" s="28">
        <f t="shared" si="0"/>
        <v>2</v>
      </c>
      <c r="AK76" s="28">
        <f>ROUND(IF(COUNTIF($I76:I76,"&gt;0")&gt;$AJ76,0,I76),0)</f>
        <v>566</v>
      </c>
      <c r="AL76" s="28">
        <f>ROUND(IF(COUNTIF($I76:J76,"&gt;0")&gt;$AJ76,0,J76),0)</f>
        <v>0</v>
      </c>
      <c r="AM76" s="28">
        <f>ROUND(IF(COUNTIF($I76:K76,"&gt;0")&gt;$AJ76,0,K76),0)</f>
        <v>19</v>
      </c>
      <c r="AN76" s="28">
        <f>ROUND(IF(COUNTIF($I76:L76,"&gt;0")&gt;$AJ76,0,L76),0)</f>
        <v>0</v>
      </c>
      <c r="AO76" s="28">
        <f>ROUND(IF(COUNTIF($I76:M76,"&gt;0")&gt;$AJ76,0,M76),0)</f>
        <v>0</v>
      </c>
      <c r="AP76" s="28">
        <f>ROUND(IF(COUNTIF($I76:N76,"&gt;0")&gt;$AJ76,0,N76),0)</f>
        <v>0</v>
      </c>
      <c r="AQ76" s="28">
        <f>ROUND(IF(COUNTIF($I76:O76,"&gt;0")&gt;$AJ76,0,O76),0)</f>
        <v>0</v>
      </c>
      <c r="AR76" s="28">
        <f>ROUND(IF(COUNTIF($I76:P76,"&gt;0")&gt;$AJ76,0,P76),0)</f>
        <v>0</v>
      </c>
      <c r="AS76" s="28">
        <f>IF(COUNTIF($I76:Q76,"&gt;0")&gt;$AJ76,0,Q76)</f>
        <v>0</v>
      </c>
      <c r="AT76" s="28">
        <f>IF(COUNTIF($I76:R76,"&gt;0")&gt;$AJ76,0,R76)</f>
        <v>0</v>
      </c>
      <c r="AU76" s="28">
        <f>SUMPRODUCT(AK76:AT76,定义数据!$G$14:$P$14)</f>
        <v>41.64</v>
      </c>
      <c r="AV76" s="28">
        <f t="shared" si="4"/>
        <v>2082</v>
      </c>
      <c r="AW76" s="28">
        <f t="shared" si="14"/>
        <v>2082</v>
      </c>
      <c r="AX76" s="28">
        <f t="shared" si="15"/>
        <v>114510</v>
      </c>
      <c r="AY76" s="28">
        <f t="shared" si="16"/>
        <v>114510</v>
      </c>
    </row>
    <row r="77" spans="3:51" x14ac:dyDescent="0.15">
      <c r="C77" s="28" t="str">
        <f>H77&amp;F77&amp;VLOOKUP(G77,定义数据!$E$1:$F$7,2,FALSE)</f>
        <v>3022</v>
      </c>
      <c r="D77" s="28"/>
      <c r="E77" s="28">
        <f>装备属性计算表!AK76</f>
        <v>9</v>
      </c>
      <c r="F77" s="28">
        <f>装备属性计算表!B76</f>
        <v>2</v>
      </c>
      <c r="G77" s="28" t="str">
        <f>装备属性计算表!C76</f>
        <v>裤子</v>
      </c>
      <c r="H77" s="28">
        <f>装备属性计算表!D76</f>
        <v>30</v>
      </c>
      <c r="I77" s="28">
        <f>VLOOKUP($G77,装备属性计算表!$D$14:$O$19,装备属性计算表!F$2,FALSE)/装备属性计算表!F$20*VLOOKUP($H77&amp;$F77,$C$3:$P$28,G$1,FALSE)</f>
        <v>283.09782092107071</v>
      </c>
      <c r="J77" s="28">
        <f>VLOOKUP($G77,装备属性计算表!$D$14:$O$19,装备属性计算表!G$2,FALSE)/装备属性计算表!G$20*VLOOKUP($H77&amp;$F77,$C$3:$P$28,H$1,FALSE)</f>
        <v>0</v>
      </c>
      <c r="K77" s="28">
        <f>VLOOKUP($G77,装备属性计算表!$D$14:$O$19,装备属性计算表!H$2,FALSE)/装备属性计算表!H$20*VLOOKUP($H77&amp;$F77,$C$3:$P$28,I$1,FALSE)</f>
        <v>6.2136124783362234</v>
      </c>
      <c r="L77" s="28">
        <f>VLOOKUP($G77,装备属性计算表!$D$14:$O$19,装备属性计算表!I$2,FALSE)/装备属性计算表!I$20*VLOOKUP($H77&amp;$F77,$C$3:$P$28,J$1,FALSE)</f>
        <v>13.54166666666667</v>
      </c>
      <c r="M77" s="28">
        <f>VLOOKUP($G77,装备属性计算表!$D$14:$O$19,装备属性计算表!J$2,FALSE)/装备属性计算表!J$20*VLOOKUP($H77&amp;$F77,$C$3:$P$28,K$1,FALSE)</f>
        <v>0</v>
      </c>
      <c r="N77" s="28">
        <f>VLOOKUP($G77,装备属性计算表!$D$14:$O$19,装备属性计算表!K$2,FALSE)/装备属性计算表!K$20*VLOOKUP($H77&amp;$F77,$C$3:$P$28,L$1,FALSE)</f>
        <v>0</v>
      </c>
      <c r="O77" s="28">
        <f>VLOOKUP($G77,装备属性计算表!$D$14:$O$19,装备属性计算表!L$2,FALSE)/装备属性计算表!L$20*VLOOKUP($H77&amp;$F77,$C$3:$P$28,M$1,FALSE)</f>
        <v>0</v>
      </c>
      <c r="P77" s="28">
        <f>VLOOKUP($G77,装备属性计算表!$D$14:$O$19,装备属性计算表!M$2,FALSE)/装备属性计算表!M$20*VLOOKUP($H77&amp;$F77,$C$3:$P$28,N$1,FALSE)</f>
        <v>13.374485596707821</v>
      </c>
      <c r="Q77" s="28">
        <f>VLOOKUP($G77,装备属性计算表!$D$14:$O$19,装备属性计算表!N$2,FALSE)/装备属性计算表!N$20*VLOOKUP($H77&amp;$F77,$C$3:$P$28,O$1,FALSE)</f>
        <v>0</v>
      </c>
      <c r="R77" s="28">
        <f>VLOOKUP($G77,装备属性计算表!$D$14:$O$19,装备属性计算表!O$2,FALSE)/装备属性计算表!O$20*VLOOKUP($H77&amp;$F77,$C$3:$P$28,P$1,FALSE)</f>
        <v>0</v>
      </c>
      <c r="X77" s="28"/>
      <c r="Y77" s="28">
        <f t="shared" si="5"/>
        <v>1</v>
      </c>
      <c r="Z77" s="28">
        <f t="shared" si="6"/>
        <v>5</v>
      </c>
      <c r="AA77" s="28">
        <f t="shared" si="11"/>
        <v>10</v>
      </c>
      <c r="AB77" s="28">
        <f t="shared" si="7"/>
        <v>5</v>
      </c>
      <c r="AC77" s="28">
        <f t="shared" si="8"/>
        <v>13</v>
      </c>
      <c r="AD77" s="28">
        <f t="shared" si="9"/>
        <v>7</v>
      </c>
      <c r="AE77" s="28">
        <f t="shared" si="17"/>
        <v>49000</v>
      </c>
      <c r="AF77" s="28">
        <f t="shared" si="10"/>
        <v>1370</v>
      </c>
      <c r="AG77" s="28">
        <f t="shared" si="12"/>
        <v>3</v>
      </c>
      <c r="AH77" s="28">
        <f>IF(AG77&gt;0,VLOOKUP(G77,'价值&amp;消耗'!$U$173:$V$178,2,FALSE),0)</f>
        <v>72010</v>
      </c>
      <c r="AI77" s="28">
        <f t="shared" si="13"/>
        <v>165</v>
      </c>
      <c r="AJ77" s="28">
        <f t="shared" ref="AJ77:AJ108" si="46">F77</f>
        <v>2</v>
      </c>
      <c r="AK77" s="28">
        <f>ROUND(IF(COUNTIF($I77:I77,"&gt;0")&gt;$AJ77,0,I77),0)</f>
        <v>283</v>
      </c>
      <c r="AL77" s="28">
        <f>ROUND(IF(COUNTIF($I77:J77,"&gt;0")&gt;$AJ77,0,J77),0)</f>
        <v>0</v>
      </c>
      <c r="AM77" s="28">
        <f>ROUND(IF(COUNTIF($I77:K77,"&gt;0")&gt;$AJ77,0,K77),0)</f>
        <v>6</v>
      </c>
      <c r="AN77" s="28">
        <f>ROUND(IF(COUNTIF($I77:L77,"&gt;0")&gt;$AJ77,0,L77),0)</f>
        <v>0</v>
      </c>
      <c r="AO77" s="28">
        <f>ROUND(IF(COUNTIF($I77:M77,"&gt;0")&gt;$AJ77,0,M77),0)</f>
        <v>0</v>
      </c>
      <c r="AP77" s="28">
        <f>ROUND(IF(COUNTIF($I77:N77,"&gt;0")&gt;$AJ77,0,N77),0)</f>
        <v>0</v>
      </c>
      <c r="AQ77" s="28">
        <f>ROUND(IF(COUNTIF($I77:O77,"&gt;0")&gt;$AJ77,0,O77),0)</f>
        <v>0</v>
      </c>
      <c r="AR77" s="28">
        <f>ROUND(IF(COUNTIF($I77:P77,"&gt;0")&gt;$AJ77,0,P77),0)</f>
        <v>0</v>
      </c>
      <c r="AS77" s="28">
        <f>IF(COUNTIF($I77:Q77,"&gt;0")&gt;$AJ77,0,Q77)</f>
        <v>0</v>
      </c>
      <c r="AT77" s="28">
        <f>IF(COUNTIF($I77:R77,"&gt;0")&gt;$AJ77,0,R77)</f>
        <v>0</v>
      </c>
      <c r="AU77" s="28">
        <f>SUMPRODUCT(AK77:AT77,定义数据!$G$14:$P$14)</f>
        <v>17.32</v>
      </c>
      <c r="AV77" s="28">
        <f t="shared" si="4"/>
        <v>866</v>
      </c>
      <c r="AW77" s="28">
        <f t="shared" si="14"/>
        <v>866</v>
      </c>
      <c r="AX77" s="28">
        <f t="shared" si="15"/>
        <v>47630</v>
      </c>
      <c r="AY77" s="28">
        <f t="shared" si="16"/>
        <v>47630</v>
      </c>
    </row>
    <row r="78" spans="3:51" x14ac:dyDescent="0.15">
      <c r="C78" s="28" t="str">
        <f>H78&amp;F78&amp;VLOOKUP(G78,定义数据!$E$1:$F$7,2,FALSE)</f>
        <v>3025</v>
      </c>
      <c r="D78" s="28"/>
      <c r="E78" s="28">
        <f>装备属性计算表!AK77</f>
        <v>9</v>
      </c>
      <c r="F78" s="28">
        <f>装备属性计算表!B77</f>
        <v>2</v>
      </c>
      <c r="G78" s="28" t="str">
        <f>装备属性计算表!C77</f>
        <v>鞋子</v>
      </c>
      <c r="H78" s="28">
        <f>装备属性计算表!D77</f>
        <v>30</v>
      </c>
      <c r="I78" s="28">
        <f>VLOOKUP($G78,装备属性计算表!$D$14:$O$19,装备属性计算表!F$2,FALSE)/装备属性计算表!F$20*VLOOKUP($H78&amp;$F78,$C$3:$P$28,G$1,FALSE)</f>
        <v>283.09782092107071</v>
      </c>
      <c r="J78" s="28">
        <f>VLOOKUP($G78,装备属性计算表!$D$14:$O$19,装备属性计算表!G$2,FALSE)/装备属性计算表!G$20*VLOOKUP($H78&amp;$F78,$C$3:$P$28,H$1,FALSE)</f>
        <v>0</v>
      </c>
      <c r="K78" s="28">
        <f>VLOOKUP($G78,装备属性计算表!$D$14:$O$19,装备属性计算表!H$2,FALSE)/装备属性计算表!H$20*VLOOKUP($H78&amp;$F78,$C$3:$P$28,I$1,FALSE)</f>
        <v>0</v>
      </c>
      <c r="L78" s="28">
        <f>VLOOKUP($G78,装备属性计算表!$D$14:$O$19,装备属性计算表!I$2,FALSE)/装备属性计算表!I$20*VLOOKUP($H78&amp;$F78,$C$3:$P$28,J$1,FALSE)</f>
        <v>27.083333333333339</v>
      </c>
      <c r="M78" s="28">
        <f>VLOOKUP($G78,装备属性计算表!$D$14:$O$19,装备属性计算表!J$2,FALSE)/装备属性计算表!J$20*VLOOKUP($H78&amp;$F78,$C$3:$P$28,K$1,FALSE)</f>
        <v>22.569444444444446</v>
      </c>
      <c r="N78" s="28">
        <f>VLOOKUP($G78,装备属性计算表!$D$14:$O$19,装备属性计算表!K$2,FALSE)/装备属性计算表!K$20*VLOOKUP($H78&amp;$F78,$C$3:$P$28,L$1,FALSE)</f>
        <v>8.0246913580246932</v>
      </c>
      <c r="O78" s="28">
        <f>VLOOKUP($G78,装备属性计算表!$D$14:$O$19,装备属性计算表!L$2,FALSE)/装备属性计算表!L$20*VLOOKUP($H78&amp;$F78,$C$3:$P$28,M$1,FALSE)</f>
        <v>0</v>
      </c>
      <c r="P78" s="28">
        <f>VLOOKUP($G78,装备属性计算表!$D$14:$O$19,装备属性计算表!M$2,FALSE)/装备属性计算表!M$20*VLOOKUP($H78&amp;$F78,$C$3:$P$28,N$1,FALSE)</f>
        <v>0</v>
      </c>
      <c r="Q78" s="28">
        <f>VLOOKUP($G78,装备属性计算表!$D$14:$O$19,装备属性计算表!N$2,FALSE)/装备属性计算表!N$20*VLOOKUP($H78&amp;$F78,$C$3:$P$28,O$1,FALSE)</f>
        <v>0</v>
      </c>
      <c r="R78" s="28">
        <f>VLOOKUP($G78,装备属性计算表!$D$14:$O$19,装备属性计算表!O$2,FALSE)/装备属性计算表!O$20*VLOOKUP($H78&amp;$F78,$C$3:$P$28,P$1,FALSE)</f>
        <v>0</v>
      </c>
      <c r="X78" s="28"/>
      <c r="Y78" s="28">
        <f t="shared" si="5"/>
        <v>0</v>
      </c>
      <c r="Z78" s="28">
        <f t="shared" si="6"/>
        <v>4</v>
      </c>
      <c r="AA78" s="28">
        <f t="shared" si="11"/>
        <v>10</v>
      </c>
      <c r="AB78" s="28">
        <f t="shared" si="7"/>
        <v>0</v>
      </c>
      <c r="AC78" s="28">
        <f t="shared" si="8"/>
        <v>11</v>
      </c>
      <c r="AD78" s="28">
        <f t="shared" si="9"/>
        <v>10</v>
      </c>
      <c r="AE78" s="28">
        <f t="shared" si="17"/>
        <v>61000</v>
      </c>
      <c r="AF78" s="28">
        <f t="shared" si="10"/>
        <v>4625</v>
      </c>
      <c r="AG78" s="28">
        <f t="shared" si="12"/>
        <v>4</v>
      </c>
      <c r="AH78" s="28">
        <f>IF(AG78&gt;0,VLOOKUP(G78,'价值&amp;消耗'!$U$173:$V$178,2,FALSE),0)</f>
        <v>75010</v>
      </c>
      <c r="AI78" s="28">
        <f t="shared" si="13"/>
        <v>220</v>
      </c>
      <c r="AJ78" s="28">
        <f t="shared" si="46"/>
        <v>2</v>
      </c>
      <c r="AK78" s="28">
        <f>ROUND(IF(COUNTIF($I78:I78,"&gt;0")&gt;$AJ78,0,I78),0)</f>
        <v>283</v>
      </c>
      <c r="AL78" s="28">
        <f>ROUND(IF(COUNTIF($I78:J78,"&gt;0")&gt;$AJ78,0,J78),0)</f>
        <v>0</v>
      </c>
      <c r="AM78" s="28">
        <f>ROUND(IF(COUNTIF($I78:K78,"&gt;0")&gt;$AJ78,0,K78),0)</f>
        <v>0</v>
      </c>
      <c r="AN78" s="28">
        <f>ROUND(IF(COUNTIF($I78:L78,"&gt;0")&gt;$AJ78,0,L78),0)</f>
        <v>27</v>
      </c>
      <c r="AO78" s="28">
        <f>ROUND(IF(COUNTIF($I78:M78,"&gt;0")&gt;$AJ78,0,M78),0)</f>
        <v>0</v>
      </c>
      <c r="AP78" s="28">
        <f>ROUND(IF(COUNTIF($I78:N78,"&gt;0")&gt;$AJ78,0,N78),0)</f>
        <v>0</v>
      </c>
      <c r="AQ78" s="28">
        <f>ROUND(IF(COUNTIF($I78:O78,"&gt;0")&gt;$AJ78,0,O78),0)</f>
        <v>0</v>
      </c>
      <c r="AR78" s="28">
        <f>ROUND(IF(COUNTIF($I78:P78,"&gt;0")&gt;$AJ78,0,P78),0)</f>
        <v>0</v>
      </c>
      <c r="AS78" s="28">
        <f>IF(COUNTIF($I78:Q78,"&gt;0")&gt;$AJ78,0,Q78)</f>
        <v>0</v>
      </c>
      <c r="AT78" s="28">
        <f>IF(COUNTIF($I78:R78,"&gt;0")&gt;$AJ78,0,R78)</f>
        <v>0</v>
      </c>
      <c r="AU78" s="28">
        <f>SUMPRODUCT(AK78:AT78,定义数据!$G$14:$P$14)</f>
        <v>20.5</v>
      </c>
      <c r="AV78" s="28">
        <f t="shared" si="4"/>
        <v>1025</v>
      </c>
      <c r="AW78" s="28">
        <f t="shared" si="14"/>
        <v>1025</v>
      </c>
      <c r="AX78" s="28">
        <f t="shared" si="15"/>
        <v>56375</v>
      </c>
      <c r="AY78" s="28">
        <f t="shared" si="16"/>
        <v>56375</v>
      </c>
    </row>
    <row r="79" spans="3:51" x14ac:dyDescent="0.15">
      <c r="C79" s="28" t="str">
        <f>H79&amp;F79&amp;VLOOKUP(G79,定义数据!$E$1:$F$7,2,FALSE)</f>
        <v>3024</v>
      </c>
      <c r="D79" s="28"/>
      <c r="E79" s="28">
        <f>装备属性计算表!AK78</f>
        <v>9</v>
      </c>
      <c r="F79" s="28">
        <f>装备属性计算表!B78</f>
        <v>2</v>
      </c>
      <c r="G79" s="28" t="str">
        <f>装备属性计算表!C78</f>
        <v>腰带</v>
      </c>
      <c r="H79" s="28">
        <f>装备属性计算表!D78</f>
        <v>30</v>
      </c>
      <c r="I79" s="28">
        <f>VLOOKUP($G79,装备属性计算表!$D$14:$O$19,装备属性计算表!F$2,FALSE)/装备属性计算表!F$20*VLOOKUP($H79&amp;$F79,$C$3:$P$28,G$1,FALSE)</f>
        <v>566.19564184214141</v>
      </c>
      <c r="J79" s="28">
        <f>VLOOKUP($G79,装备属性计算表!$D$14:$O$19,装备属性计算表!G$2,FALSE)/装备属性计算表!G$20*VLOOKUP($H79&amp;$F79,$C$3:$P$28,H$1,FALSE)</f>
        <v>17.255235080213915</v>
      </c>
      <c r="K79" s="28">
        <f>VLOOKUP($G79,装备属性计算表!$D$14:$O$19,装备属性计算表!H$2,FALSE)/装备属性计算表!H$20*VLOOKUP($H79&amp;$F79,$C$3:$P$28,I$1,FALSE)</f>
        <v>6.2136124783362234</v>
      </c>
      <c r="L79" s="28">
        <f>VLOOKUP($G79,装备属性计算表!$D$14:$O$19,装备属性计算表!I$2,FALSE)/装备属性计算表!I$20*VLOOKUP($H79&amp;$F79,$C$3:$P$28,J$1,FALSE)</f>
        <v>0</v>
      </c>
      <c r="M79" s="28">
        <f>VLOOKUP($G79,装备属性计算表!$D$14:$O$19,装备属性计算表!J$2,FALSE)/装备属性计算表!J$20*VLOOKUP($H79&amp;$F79,$C$3:$P$28,K$1,FALSE)</f>
        <v>0</v>
      </c>
      <c r="N79" s="28">
        <f>VLOOKUP($G79,装备属性计算表!$D$14:$O$19,装备属性计算表!K$2,FALSE)/装备属性计算表!K$20*VLOOKUP($H79&amp;$F79,$C$3:$P$28,L$1,FALSE)</f>
        <v>0</v>
      </c>
      <c r="O79" s="28">
        <f>VLOOKUP($G79,装备属性计算表!$D$14:$O$19,装备属性计算表!L$2,FALSE)/装备属性计算表!L$20*VLOOKUP($H79&amp;$F79,$C$3:$P$28,M$1,FALSE)</f>
        <v>0</v>
      </c>
      <c r="P79" s="28">
        <f>VLOOKUP($G79,装备属性计算表!$D$14:$O$19,装备属性计算表!M$2,FALSE)/装备属性计算表!M$20*VLOOKUP($H79&amp;$F79,$C$3:$P$28,N$1,FALSE)</f>
        <v>13.374485596707821</v>
      </c>
      <c r="Q79" s="28">
        <f>VLOOKUP($G79,装备属性计算表!$D$14:$O$19,装备属性计算表!N$2,FALSE)/装备属性计算表!N$20*VLOOKUP($H79&amp;$F79,$C$3:$P$28,O$1,FALSE)</f>
        <v>0</v>
      </c>
      <c r="R79" s="28">
        <f>VLOOKUP($G79,装备属性计算表!$D$14:$O$19,装备属性计算表!O$2,FALSE)/装备属性计算表!O$20*VLOOKUP($H79&amp;$F79,$C$3:$P$28,P$1,FALSE)</f>
        <v>0</v>
      </c>
      <c r="X79" s="28"/>
      <c r="Y79" s="28">
        <f t="shared" si="5"/>
        <v>0</v>
      </c>
      <c r="Z79" s="28">
        <f t="shared" si="6"/>
        <v>2</v>
      </c>
      <c r="AA79" s="28">
        <f t="shared" si="11"/>
        <v>10</v>
      </c>
      <c r="AB79" s="28">
        <f t="shared" si="7"/>
        <v>0</v>
      </c>
      <c r="AC79" s="28">
        <f t="shared" si="8"/>
        <v>6</v>
      </c>
      <c r="AD79" s="28">
        <f t="shared" si="9"/>
        <v>21</v>
      </c>
      <c r="AE79" s="28">
        <f t="shared" si="17"/>
        <v>111000</v>
      </c>
      <c r="AF79" s="28">
        <f t="shared" si="10"/>
        <v>1990</v>
      </c>
      <c r="AG79" s="28">
        <f t="shared" si="12"/>
        <v>7</v>
      </c>
      <c r="AH79" s="28">
        <f>IF(AG79&gt;0,VLOOKUP(G79,'价值&amp;消耗'!$U$173:$V$178,2,FALSE),0)</f>
        <v>74010</v>
      </c>
      <c r="AI79" s="28">
        <f t="shared" si="13"/>
        <v>385</v>
      </c>
      <c r="AJ79" s="28">
        <f t="shared" si="46"/>
        <v>2</v>
      </c>
      <c r="AK79" s="28">
        <f>ROUND(IF(COUNTIF($I79:I79,"&gt;0")&gt;$AJ79,0,I79),0)</f>
        <v>566</v>
      </c>
      <c r="AL79" s="28">
        <f>ROUND(IF(COUNTIF($I79:J79,"&gt;0")&gt;$AJ79,0,J79),0)</f>
        <v>17</v>
      </c>
      <c r="AM79" s="28">
        <f>ROUND(IF(COUNTIF($I79:K79,"&gt;0")&gt;$AJ79,0,K79),0)</f>
        <v>0</v>
      </c>
      <c r="AN79" s="28">
        <f>ROUND(IF(COUNTIF($I79:L79,"&gt;0")&gt;$AJ79,0,L79),0)</f>
        <v>0</v>
      </c>
      <c r="AO79" s="28">
        <f>ROUND(IF(COUNTIF($I79:M79,"&gt;0")&gt;$AJ79,0,M79),0)</f>
        <v>0</v>
      </c>
      <c r="AP79" s="28">
        <f>ROUND(IF(COUNTIF($I79:N79,"&gt;0")&gt;$AJ79,0,N79),0)</f>
        <v>0</v>
      </c>
      <c r="AQ79" s="28">
        <f>ROUND(IF(COUNTIF($I79:O79,"&gt;0")&gt;$AJ79,0,O79),0)</f>
        <v>0</v>
      </c>
      <c r="AR79" s="28">
        <f>ROUND(IF(COUNTIF($I79:P79,"&gt;0")&gt;$AJ79,0,P79),0)</f>
        <v>0</v>
      </c>
      <c r="AS79" s="28">
        <f>IF(COUNTIF($I79:Q79,"&gt;0")&gt;$AJ79,0,Q79)</f>
        <v>0</v>
      </c>
      <c r="AT79" s="28">
        <f>IF(COUNTIF($I79:R79,"&gt;0")&gt;$AJ79,0,R79)</f>
        <v>0</v>
      </c>
      <c r="AU79" s="28">
        <f>SUMPRODUCT(AK79:AT79,定义数据!$G$14:$P$14)</f>
        <v>39.64</v>
      </c>
      <c r="AV79" s="28">
        <f t="shared" si="4"/>
        <v>1982</v>
      </c>
      <c r="AW79" s="28">
        <f t="shared" si="14"/>
        <v>1982</v>
      </c>
      <c r="AX79" s="28">
        <f t="shared" si="15"/>
        <v>109010</v>
      </c>
      <c r="AY79" s="28">
        <f t="shared" si="16"/>
        <v>109010</v>
      </c>
    </row>
    <row r="80" spans="3:51" x14ac:dyDescent="0.15">
      <c r="C80" s="28" t="str">
        <f>H80&amp;F80&amp;VLOOKUP(G80,定义数据!$E$1:$F$7,2,FALSE)</f>
        <v>3023</v>
      </c>
      <c r="D80" s="28"/>
      <c r="E80" s="28">
        <f>装备属性计算表!AK79</f>
        <v>9</v>
      </c>
      <c r="F80" s="28">
        <f>装备属性计算表!B79</f>
        <v>2</v>
      </c>
      <c r="G80" s="28" t="str">
        <f>装备属性计算表!C79</f>
        <v>项链</v>
      </c>
      <c r="H80" s="28">
        <f>装备属性计算表!D79</f>
        <v>30</v>
      </c>
      <c r="I80" s="28">
        <f>VLOOKUP($G80,装备属性计算表!$D$14:$O$19,装备属性计算表!F$2,FALSE)/装备属性计算表!F$20*VLOOKUP($H80&amp;$F80,$C$3:$P$28,G$1,FALSE)</f>
        <v>0</v>
      </c>
      <c r="J80" s="28">
        <f>VLOOKUP($G80,装备属性计算表!$D$14:$O$19,装备属性计算表!G$2,FALSE)/装备属性计算表!G$20*VLOOKUP($H80&amp;$F80,$C$3:$P$28,H$1,FALSE)</f>
        <v>17.255235080213915</v>
      </c>
      <c r="K80" s="28">
        <f>VLOOKUP($G80,装备属性计算表!$D$14:$O$19,装备属性计算表!H$2,FALSE)/装备属性计算表!H$20*VLOOKUP($H80&amp;$F80,$C$3:$P$28,I$1,FALSE)</f>
        <v>0</v>
      </c>
      <c r="L80" s="28">
        <f>VLOOKUP($G80,装备属性计算表!$D$14:$O$19,装备属性计算表!I$2,FALSE)/装备属性计算表!I$20*VLOOKUP($H80&amp;$F80,$C$3:$P$28,J$1,FALSE)</f>
        <v>13.54166666666667</v>
      </c>
      <c r="M80" s="28">
        <f>VLOOKUP($G80,装备属性计算表!$D$14:$O$19,装备属性计算表!J$2,FALSE)/装备属性计算表!J$20*VLOOKUP($H80&amp;$F80,$C$3:$P$28,K$1,FALSE)</f>
        <v>22.569444444444446</v>
      </c>
      <c r="N80" s="28">
        <f>VLOOKUP($G80,装备属性计算表!$D$14:$O$19,装备属性计算表!K$2,FALSE)/装备属性计算表!K$20*VLOOKUP($H80&amp;$F80,$C$3:$P$28,L$1,FALSE)</f>
        <v>16.049382716049386</v>
      </c>
      <c r="O80" s="28">
        <f>VLOOKUP($G80,装备属性计算表!$D$14:$O$19,装备属性计算表!L$2,FALSE)/装备属性计算表!L$20*VLOOKUP($H80&amp;$F80,$C$3:$P$28,M$1,FALSE)</f>
        <v>0</v>
      </c>
      <c r="P80" s="28">
        <f>VLOOKUP($G80,装备属性计算表!$D$14:$O$19,装备属性计算表!M$2,FALSE)/装备属性计算表!M$20*VLOOKUP($H80&amp;$F80,$C$3:$P$28,N$1,FALSE)</f>
        <v>0</v>
      </c>
      <c r="Q80" s="28">
        <f>VLOOKUP($G80,装备属性计算表!$D$14:$O$19,装备属性计算表!N$2,FALSE)/装备属性计算表!N$20*VLOOKUP($H80&amp;$F80,$C$3:$P$28,O$1,FALSE)</f>
        <v>0</v>
      </c>
      <c r="R80" s="28">
        <f>VLOOKUP($G80,装备属性计算表!$D$14:$O$19,装备属性计算表!O$2,FALSE)/装备属性计算表!O$20*VLOOKUP($H80&amp;$F80,$C$3:$P$28,P$1,FALSE)</f>
        <v>0</v>
      </c>
      <c r="X80" s="28">
        <f>SUM(AY75:AY80)</f>
        <v>546865</v>
      </c>
      <c r="Y80" s="28">
        <f t="shared" si="5"/>
        <v>0</v>
      </c>
      <c r="Z80" s="28">
        <f t="shared" si="6"/>
        <v>4</v>
      </c>
      <c r="AA80" s="28">
        <f t="shared" si="11"/>
        <v>10</v>
      </c>
      <c r="AB80" s="28">
        <f t="shared" si="7"/>
        <v>0</v>
      </c>
      <c r="AC80" s="28">
        <f t="shared" si="8"/>
        <v>11</v>
      </c>
      <c r="AD80" s="28">
        <f t="shared" si="9"/>
        <v>10</v>
      </c>
      <c r="AE80" s="28">
        <f t="shared" si="17"/>
        <v>61000</v>
      </c>
      <c r="AF80" s="28">
        <f t="shared" si="10"/>
        <v>1160</v>
      </c>
      <c r="AG80" s="28">
        <f t="shared" si="12"/>
        <v>4</v>
      </c>
      <c r="AH80" s="28">
        <f>IF(AG80&gt;0,VLOOKUP(G80,'价值&amp;消耗'!$U$173:$V$178,2,FALSE),0)</f>
        <v>73010</v>
      </c>
      <c r="AI80" s="28">
        <f t="shared" si="13"/>
        <v>220</v>
      </c>
      <c r="AJ80" s="28">
        <f t="shared" si="46"/>
        <v>2</v>
      </c>
      <c r="AK80" s="28">
        <f>ROUND(IF(COUNTIF($I80:I80,"&gt;0")&gt;$AJ80,0,I80),0)</f>
        <v>0</v>
      </c>
      <c r="AL80" s="28">
        <f>ROUND(IF(COUNTIF($I80:J80,"&gt;0")&gt;$AJ80,0,J80),0)</f>
        <v>17</v>
      </c>
      <c r="AM80" s="28">
        <f>ROUND(IF(COUNTIF($I80:K80,"&gt;0")&gt;$AJ80,0,K80),0)</f>
        <v>0</v>
      </c>
      <c r="AN80" s="28">
        <f>ROUND(IF(COUNTIF($I80:L80,"&gt;0")&gt;$AJ80,0,L80),0)</f>
        <v>14</v>
      </c>
      <c r="AO80" s="28">
        <f>ROUND(IF(COUNTIF($I80:M80,"&gt;0")&gt;$AJ80,0,M80),0)</f>
        <v>0</v>
      </c>
      <c r="AP80" s="28">
        <f>ROUND(IF(COUNTIF($I80:N80,"&gt;0")&gt;$AJ80,0,N80),0)</f>
        <v>0</v>
      </c>
      <c r="AQ80" s="28">
        <f>ROUND(IF(COUNTIF($I80:O80,"&gt;0")&gt;$AJ80,0,O80),0)</f>
        <v>0</v>
      </c>
      <c r="AR80" s="28">
        <f>ROUND(IF(COUNTIF($I80:P80,"&gt;0")&gt;$AJ80,0,P80),0)</f>
        <v>0</v>
      </c>
      <c r="AS80" s="28">
        <f>IF(COUNTIF($I80:Q80,"&gt;0")&gt;$AJ80,0,Q80)</f>
        <v>0</v>
      </c>
      <c r="AT80" s="28">
        <f>IF(COUNTIF($I80:R80,"&gt;0")&gt;$AJ80,0,R80)</f>
        <v>0</v>
      </c>
      <c r="AU80" s="28">
        <f>SUMPRODUCT(AK80:AT80,定义数据!$G$14:$P$14)</f>
        <v>21.76</v>
      </c>
      <c r="AV80" s="28">
        <f t="shared" si="4"/>
        <v>1088</v>
      </c>
      <c r="AW80" s="28">
        <f t="shared" si="14"/>
        <v>1088</v>
      </c>
      <c r="AX80" s="28">
        <f t="shared" si="15"/>
        <v>59840</v>
      </c>
      <c r="AY80" s="28">
        <f t="shared" si="16"/>
        <v>59840</v>
      </c>
    </row>
    <row r="81" spans="3:51" x14ac:dyDescent="0.15">
      <c r="C81" s="28" t="str">
        <f>H81&amp;F81&amp;VLOOKUP(G81,定义数据!$E$1:$F$7,2,FALSE)</f>
        <v>3030</v>
      </c>
      <c r="D81" s="28"/>
      <c r="E81" s="28">
        <f>装备属性计算表!AK80</f>
        <v>10</v>
      </c>
      <c r="F81" s="28">
        <f>装备属性计算表!B80</f>
        <v>3</v>
      </c>
      <c r="G81" s="28" t="str">
        <f>装备属性计算表!C80</f>
        <v>武器</v>
      </c>
      <c r="H81" s="28">
        <f>装备属性计算表!D80</f>
        <v>30</v>
      </c>
      <c r="I81" s="28">
        <f>VLOOKUP($G81,装备属性计算表!$D$14:$O$19,装备属性计算表!F$2,FALSE)/装备属性计算表!F$20*VLOOKUP($H81&amp;$F81,$C$3:$P$28,G$1,FALSE)</f>
        <v>0</v>
      </c>
      <c r="J81" s="28">
        <f>VLOOKUP($G81,装备属性计算表!$D$14:$O$19,装备属性计算表!G$2,FALSE)/装备属性计算表!G$20*VLOOKUP($H81&amp;$F81,$C$3:$P$28,H$1,FALSE)</f>
        <v>67.693614545454579</v>
      </c>
      <c r="K81" s="28">
        <f>VLOOKUP($G81,装备属性计算表!$D$14:$O$19,装备属性计算表!H$2,FALSE)/装备属性计算表!H$20*VLOOKUP($H81&amp;$F81,$C$3:$P$28,I$1,FALSE)</f>
        <v>8.1254932409012159</v>
      </c>
      <c r="L81" s="28">
        <f>VLOOKUP($G81,装备属性计算表!$D$14:$O$19,装备属性计算表!I$2,FALSE)/装备属性计算表!I$20*VLOOKUP($H81&amp;$F81,$C$3:$P$28,J$1,FALSE)</f>
        <v>0</v>
      </c>
      <c r="M81" s="28">
        <f>VLOOKUP($G81,装备属性计算表!$D$14:$O$19,装备属性计算表!J$2,FALSE)/装备属性计算表!J$20*VLOOKUP($H81&amp;$F81,$C$3:$P$28,K$1,FALSE)</f>
        <v>29.513888888888893</v>
      </c>
      <c r="N81" s="28">
        <f>VLOOKUP($G81,装备属性计算表!$D$14:$O$19,装备属性计算表!K$2,FALSE)/装备属性计算表!K$20*VLOOKUP($H81&amp;$F81,$C$3:$P$28,L$1,FALSE)</f>
        <v>20.987654320987659</v>
      </c>
      <c r="O81" s="28">
        <f>VLOOKUP($G81,装备属性计算表!$D$14:$O$19,装备属性计算表!L$2,FALSE)/装备属性计算表!L$20*VLOOKUP($H81&amp;$F81,$C$3:$P$28,M$1,FALSE)</f>
        <v>0</v>
      </c>
      <c r="P81" s="28">
        <f>VLOOKUP($G81,装备属性计算表!$D$14:$O$19,装备属性计算表!M$2,FALSE)/装备属性计算表!M$20*VLOOKUP($H81&amp;$F81,$C$3:$P$28,N$1,FALSE)</f>
        <v>0</v>
      </c>
      <c r="Q81" s="28">
        <f>VLOOKUP($G81,装备属性计算表!$D$14:$O$19,装备属性计算表!N$2,FALSE)/装备属性计算表!N$20*VLOOKUP($H81&amp;$F81,$C$3:$P$28,O$1,FALSE)</f>
        <v>0</v>
      </c>
      <c r="R81" s="28">
        <f>VLOOKUP($G81,装备属性计算表!$D$14:$O$19,装备属性计算表!O$2,FALSE)/装备属性计算表!O$20*VLOOKUP($H81&amp;$F81,$C$3:$P$28,P$1,FALSE)</f>
        <v>0</v>
      </c>
      <c r="X81" s="28"/>
      <c r="Y81" s="28">
        <f t="shared" si="5"/>
        <v>0</v>
      </c>
      <c r="Z81" s="28">
        <f t="shared" si="6"/>
        <v>1</v>
      </c>
      <c r="AA81" s="28">
        <f t="shared" si="11"/>
        <v>10</v>
      </c>
      <c r="AB81" s="28">
        <f t="shared" si="7"/>
        <v>0</v>
      </c>
      <c r="AC81" s="28">
        <f t="shared" si="8"/>
        <v>5</v>
      </c>
      <c r="AD81" s="28">
        <f t="shared" si="9"/>
        <v>47</v>
      </c>
      <c r="AE81" s="28">
        <f t="shared" si="17"/>
        <v>240000</v>
      </c>
      <c r="AF81" s="28">
        <f t="shared" si="10"/>
        <v>2950</v>
      </c>
      <c r="AG81" s="28">
        <f t="shared" si="12"/>
        <v>15</v>
      </c>
      <c r="AH81" s="28">
        <f>IF(AG81&gt;0,VLOOKUP(G81,'价值&amp;消耗'!$U$173:$V$178,2,FALSE),0)</f>
        <v>70010</v>
      </c>
      <c r="AI81" s="28">
        <f t="shared" si="13"/>
        <v>825</v>
      </c>
      <c r="AJ81" s="28">
        <f t="shared" si="46"/>
        <v>3</v>
      </c>
      <c r="AK81" s="28">
        <f>ROUND(IF(COUNTIF($I81:I81,"&gt;0")&gt;$AJ81,0,I81),0)</f>
        <v>0</v>
      </c>
      <c r="AL81" s="28">
        <f>ROUND(IF(COUNTIF($I81:J81,"&gt;0")&gt;$AJ81,0,J81),0)</f>
        <v>68</v>
      </c>
      <c r="AM81" s="28">
        <f>ROUND(IF(COUNTIF($I81:K81,"&gt;0")&gt;$AJ81,0,K81),0)</f>
        <v>8</v>
      </c>
      <c r="AN81" s="28">
        <f>ROUND(IF(COUNTIF($I81:L81,"&gt;0")&gt;$AJ81,0,L81),0)</f>
        <v>0</v>
      </c>
      <c r="AO81" s="28">
        <f>ROUND(IF(COUNTIF($I81:M81,"&gt;0")&gt;$AJ81,0,M81),0)</f>
        <v>30</v>
      </c>
      <c r="AP81" s="28">
        <f>ROUND(IF(COUNTIF($I81:N81,"&gt;0")&gt;$AJ81,0,N81),0)</f>
        <v>0</v>
      </c>
      <c r="AQ81" s="28">
        <f>ROUND(IF(COUNTIF($I81:O81,"&gt;0")&gt;$AJ81,0,O81),0)</f>
        <v>0</v>
      </c>
      <c r="AR81" s="28">
        <f>ROUND(IF(COUNTIF($I81:P81,"&gt;0")&gt;$AJ81,0,P81),0)</f>
        <v>0</v>
      </c>
      <c r="AS81" s="28">
        <f>IF(COUNTIF($I81:Q81,"&gt;0")&gt;$AJ81,0,Q81)</f>
        <v>0</v>
      </c>
      <c r="AT81" s="28">
        <f>IF(COUNTIF($I81:R81,"&gt;0")&gt;$AJ81,0,R81)</f>
        <v>0</v>
      </c>
      <c r="AU81" s="28">
        <f>SUMPRODUCT(AK81:AT81,定义数据!$G$14:$P$14)</f>
        <v>86.2</v>
      </c>
      <c r="AV81" s="28">
        <f t="shared" si="4"/>
        <v>4310</v>
      </c>
      <c r="AW81" s="28">
        <f t="shared" si="14"/>
        <v>4310</v>
      </c>
      <c r="AX81" s="28">
        <f t="shared" si="15"/>
        <v>237050</v>
      </c>
      <c r="AY81" s="28">
        <f t="shared" si="16"/>
        <v>237050</v>
      </c>
    </row>
    <row r="82" spans="3:51" x14ac:dyDescent="0.15">
      <c r="C82" s="28" t="str">
        <f>H82&amp;F82&amp;VLOOKUP(G82,定义数据!$E$1:$F$7,2,FALSE)</f>
        <v>3031</v>
      </c>
      <c r="D82" s="28"/>
      <c r="E82" s="28">
        <f>装备属性计算表!AK81</f>
        <v>10</v>
      </c>
      <c r="F82" s="28">
        <f>装备属性计算表!B81</f>
        <v>3</v>
      </c>
      <c r="G82" s="28" t="str">
        <f>装备属性计算表!C81</f>
        <v>衣服</v>
      </c>
      <c r="H82" s="28">
        <f>装备属性计算表!D81</f>
        <v>30</v>
      </c>
      <c r="I82" s="28">
        <f>VLOOKUP($G82,装备属性计算表!$D$14:$O$19,装备属性计算表!F$2,FALSE)/装备属性计算表!F$20*VLOOKUP($H82&amp;$F82,$C$3:$P$28,G$1,FALSE)</f>
        <v>740.40968548587728</v>
      </c>
      <c r="J82" s="28">
        <f>VLOOKUP($G82,装备属性计算表!$D$14:$O$19,装备属性计算表!G$2,FALSE)/装备属性计算表!G$20*VLOOKUP($H82&amp;$F82,$C$3:$P$28,H$1,FALSE)</f>
        <v>0</v>
      </c>
      <c r="K82" s="28">
        <f>VLOOKUP($G82,装备属性计算表!$D$14:$O$19,装备属性计算表!H$2,FALSE)/装备属性计算表!H$20*VLOOKUP($H82&amp;$F82,$C$3:$P$28,I$1,FALSE)</f>
        <v>24.37647972270365</v>
      </c>
      <c r="L82" s="28">
        <f>VLOOKUP($G82,装备属性计算表!$D$14:$O$19,装备属性计算表!I$2,FALSE)/装备属性计算表!I$20*VLOOKUP($H82&amp;$F82,$C$3:$P$28,J$1,FALSE)</f>
        <v>17.708333333333339</v>
      </c>
      <c r="M82" s="28">
        <f>VLOOKUP($G82,装备属性计算表!$D$14:$O$19,装备属性计算表!J$2,FALSE)/装备属性计算表!J$20*VLOOKUP($H82&amp;$F82,$C$3:$P$28,K$1,FALSE)</f>
        <v>0</v>
      </c>
      <c r="N82" s="28">
        <f>VLOOKUP($G82,装备属性计算表!$D$14:$O$19,装备属性计算表!K$2,FALSE)/装备属性计算表!K$20*VLOOKUP($H82&amp;$F82,$C$3:$P$28,L$1,FALSE)</f>
        <v>0</v>
      </c>
      <c r="O82" s="28">
        <f>VLOOKUP($G82,装备属性计算表!$D$14:$O$19,装备属性计算表!L$2,FALSE)/装备属性计算表!L$20*VLOOKUP($H82&amp;$F82,$C$3:$P$28,M$1,FALSE)</f>
        <v>0</v>
      </c>
      <c r="P82" s="28">
        <f>VLOOKUP($G82,装备属性计算表!$D$14:$O$19,装备属性计算表!M$2,FALSE)/装备属性计算表!M$20*VLOOKUP($H82&amp;$F82,$C$3:$P$28,N$1,FALSE)</f>
        <v>17.489711934156382</v>
      </c>
      <c r="Q82" s="28">
        <f>VLOOKUP($G82,装备属性计算表!$D$14:$O$19,装备属性计算表!N$2,FALSE)/装备属性计算表!N$20*VLOOKUP($H82&amp;$F82,$C$3:$P$28,O$1,FALSE)</f>
        <v>0</v>
      </c>
      <c r="R82" s="28">
        <f>VLOOKUP($G82,装备属性计算表!$D$14:$O$19,装备属性计算表!O$2,FALSE)/装备属性计算表!O$20*VLOOKUP($H82&amp;$F82,$C$3:$P$28,P$1,FALSE)</f>
        <v>0</v>
      </c>
      <c r="X82" s="28"/>
      <c r="Y82" s="28">
        <f t="shared" si="5"/>
        <v>0</v>
      </c>
      <c r="Z82" s="28">
        <f t="shared" si="6"/>
        <v>1</v>
      </c>
      <c r="AA82" s="28">
        <f t="shared" si="11"/>
        <v>10</v>
      </c>
      <c r="AB82" s="28">
        <f t="shared" si="7"/>
        <v>0</v>
      </c>
      <c r="AC82" s="28">
        <f t="shared" si="8"/>
        <v>3</v>
      </c>
      <c r="AD82" s="28">
        <f t="shared" si="9"/>
        <v>33</v>
      </c>
      <c r="AE82" s="28">
        <f t="shared" si="17"/>
        <v>168000</v>
      </c>
      <c r="AF82" s="28">
        <f t="shared" si="10"/>
        <v>3770</v>
      </c>
      <c r="AG82" s="28">
        <f t="shared" si="12"/>
        <v>10</v>
      </c>
      <c r="AH82" s="28">
        <f>IF(AG82&gt;0,VLOOKUP(G82,'价值&amp;消耗'!$U$173:$V$178,2,FALSE),0)</f>
        <v>71010</v>
      </c>
      <c r="AI82" s="28">
        <f t="shared" si="13"/>
        <v>550</v>
      </c>
      <c r="AJ82" s="28">
        <f t="shared" si="46"/>
        <v>3</v>
      </c>
      <c r="AK82" s="28">
        <f>ROUND(IF(COUNTIF($I82:I82,"&gt;0")&gt;$AJ82,0,I82),0)</f>
        <v>740</v>
      </c>
      <c r="AL82" s="28">
        <f>ROUND(IF(COUNTIF($I82:J82,"&gt;0")&gt;$AJ82,0,J82),0)</f>
        <v>0</v>
      </c>
      <c r="AM82" s="28">
        <f>ROUND(IF(COUNTIF($I82:K82,"&gt;0")&gt;$AJ82,0,K82),0)</f>
        <v>24</v>
      </c>
      <c r="AN82" s="28">
        <f>ROUND(IF(COUNTIF($I82:L82,"&gt;0")&gt;$AJ82,0,L82),0)</f>
        <v>18</v>
      </c>
      <c r="AO82" s="28">
        <f>ROUND(IF(COUNTIF($I82:M82,"&gt;0")&gt;$AJ82,0,M82),0)</f>
        <v>0</v>
      </c>
      <c r="AP82" s="28">
        <f>ROUND(IF(COUNTIF($I82:N82,"&gt;0")&gt;$AJ82,0,N82),0)</f>
        <v>0</v>
      </c>
      <c r="AQ82" s="28">
        <f>ROUND(IF(COUNTIF($I82:O82,"&gt;0")&gt;$AJ82,0,O82),0)</f>
        <v>0</v>
      </c>
      <c r="AR82" s="28">
        <f>ROUND(IF(COUNTIF($I82:P82,"&gt;0")&gt;$AJ82,0,P82),0)</f>
        <v>0</v>
      </c>
      <c r="AS82" s="28">
        <f>IF(COUNTIF($I82:Q82,"&gt;0")&gt;$AJ82,0,Q82)</f>
        <v>0</v>
      </c>
      <c r="AT82" s="28">
        <f>IF(COUNTIF($I82:R82,"&gt;0")&gt;$AJ82,0,R82)</f>
        <v>0</v>
      </c>
      <c r="AU82" s="28">
        <f>SUMPRODUCT(AK82:AT82,定义数据!$G$14:$P$14)</f>
        <v>59.72</v>
      </c>
      <c r="AV82" s="28">
        <f t="shared" si="4"/>
        <v>2986</v>
      </c>
      <c r="AW82" s="28">
        <f t="shared" si="14"/>
        <v>2986</v>
      </c>
      <c r="AX82" s="28">
        <f t="shared" si="15"/>
        <v>164230</v>
      </c>
      <c r="AY82" s="28">
        <f t="shared" si="16"/>
        <v>164230</v>
      </c>
    </row>
    <row r="83" spans="3:51" x14ac:dyDescent="0.15">
      <c r="C83" s="28" t="str">
        <f>H83&amp;F83&amp;VLOOKUP(G83,定义数据!$E$1:$F$7,2,FALSE)</f>
        <v>3032</v>
      </c>
      <c r="D83" s="28"/>
      <c r="E83" s="28">
        <f>装备属性计算表!AK82</f>
        <v>10</v>
      </c>
      <c r="F83" s="28">
        <f>装备属性计算表!B82</f>
        <v>3</v>
      </c>
      <c r="G83" s="28" t="str">
        <f>装备属性计算表!C82</f>
        <v>裤子</v>
      </c>
      <c r="H83" s="28">
        <f>装备属性计算表!D82</f>
        <v>30</v>
      </c>
      <c r="I83" s="28">
        <f>VLOOKUP($G83,装备属性计算表!$D$14:$O$19,装备属性计算表!F$2,FALSE)/装备属性计算表!F$20*VLOOKUP($H83&amp;$F83,$C$3:$P$28,G$1,FALSE)</f>
        <v>370.20484274293864</v>
      </c>
      <c r="J83" s="28">
        <f>VLOOKUP($G83,装备属性计算表!$D$14:$O$19,装备属性计算表!G$2,FALSE)/装备属性计算表!G$20*VLOOKUP($H83&amp;$F83,$C$3:$P$28,H$1,FALSE)</f>
        <v>0</v>
      </c>
      <c r="K83" s="28">
        <f>VLOOKUP($G83,装备属性计算表!$D$14:$O$19,装备属性计算表!H$2,FALSE)/装备属性计算表!H$20*VLOOKUP($H83&amp;$F83,$C$3:$P$28,I$1,FALSE)</f>
        <v>8.1254932409012159</v>
      </c>
      <c r="L83" s="28">
        <f>VLOOKUP($G83,装备属性计算表!$D$14:$O$19,装备属性计算表!I$2,FALSE)/装备属性计算表!I$20*VLOOKUP($H83&amp;$F83,$C$3:$P$28,J$1,FALSE)</f>
        <v>17.708333333333339</v>
      </c>
      <c r="M83" s="28">
        <f>VLOOKUP($G83,装备属性计算表!$D$14:$O$19,装备属性计算表!J$2,FALSE)/装备属性计算表!J$20*VLOOKUP($H83&amp;$F83,$C$3:$P$28,K$1,FALSE)</f>
        <v>0</v>
      </c>
      <c r="N83" s="28">
        <f>VLOOKUP($G83,装备属性计算表!$D$14:$O$19,装备属性计算表!K$2,FALSE)/装备属性计算表!K$20*VLOOKUP($H83&amp;$F83,$C$3:$P$28,L$1,FALSE)</f>
        <v>0</v>
      </c>
      <c r="O83" s="28">
        <f>VLOOKUP($G83,装备属性计算表!$D$14:$O$19,装备属性计算表!L$2,FALSE)/装备属性计算表!L$20*VLOOKUP($H83&amp;$F83,$C$3:$P$28,M$1,FALSE)</f>
        <v>0</v>
      </c>
      <c r="P83" s="28">
        <f>VLOOKUP($G83,装备属性计算表!$D$14:$O$19,装备属性计算表!M$2,FALSE)/装备属性计算表!M$20*VLOOKUP($H83&amp;$F83,$C$3:$P$28,N$1,FALSE)</f>
        <v>17.489711934156382</v>
      </c>
      <c r="Q83" s="28">
        <f>VLOOKUP($G83,装备属性计算表!$D$14:$O$19,装备属性计算表!N$2,FALSE)/装备属性计算表!N$20*VLOOKUP($H83&amp;$F83,$C$3:$P$28,O$1,FALSE)</f>
        <v>0</v>
      </c>
      <c r="R83" s="28">
        <f>VLOOKUP($G83,装备属性计算表!$D$14:$O$19,装备属性计算表!O$2,FALSE)/装备属性计算表!O$20*VLOOKUP($H83&amp;$F83,$C$3:$P$28,P$1,FALSE)</f>
        <v>0</v>
      </c>
      <c r="X83" s="28"/>
      <c r="Y83" s="28">
        <f t="shared" ref="Y83:Y114" si="47">IF(ROUNDDOWN($Z$20/AV83,0)&lt;$Z$16,ROUNDDOWN($Z$20/AV83,0),$Z$16)</f>
        <v>0</v>
      </c>
      <c r="Z83" s="28">
        <f t="shared" ref="Z83:Z114" si="48">IF(ROUNDDOWN($AA$20/AW83,0)&lt;10,ROUNDDOWN($AA$20/AW83,0),$Z$16)</f>
        <v>3</v>
      </c>
      <c r="AA83" s="28">
        <f t="shared" si="11"/>
        <v>10</v>
      </c>
      <c r="AB83" s="28">
        <f t="shared" ref="AB83:AB114" si="49">ROUNDUP((Y83*(Y83+1)/2)*$AV83/Y$20,0)</f>
        <v>0</v>
      </c>
      <c r="AC83" s="28">
        <f t="shared" ref="AC83:AC114" si="50">ROUNDUP(IF(Z83&gt;$Z$16,(($Z$16*($Z$16+1)/2)-(Y83+1)*Y83/2)*$AV83/Z$20,((Z83*(Z83+1)/2)-(Y83+1)*Y83/2)*$AV83/Z$20),0)</f>
        <v>9</v>
      </c>
      <c r="AD83" s="28">
        <f t="shared" ref="AD83:AD114" si="51">ROUNDUP(IF(AA83&gt;$Z$16,(($Z$16*($Z$16+1)/2)-(Z83+1)*Z83/2)*$AV83/AA$20,((AA83*(AA83+1)/2)-(Z83+1)*Z83/2)*$AV83/AA$20),0)</f>
        <v>15</v>
      </c>
      <c r="AE83" s="28">
        <f t="shared" si="17"/>
        <v>84000</v>
      </c>
      <c r="AF83" s="28">
        <f t="shared" ref="AF83:AF114" si="52">AE83-AX83</f>
        <v>4470</v>
      </c>
      <c r="AG83" s="28">
        <f t="shared" ref="AG83:AG114" si="53">ROUNDUP(AV83/300,0)</f>
        <v>5</v>
      </c>
      <c r="AH83" s="28">
        <f>IF(AG83&gt;0,VLOOKUP(G83,'价值&amp;消耗'!$U$173:$V$178,2,FALSE),0)</f>
        <v>72010</v>
      </c>
      <c r="AI83" s="28">
        <f t="shared" si="13"/>
        <v>275</v>
      </c>
      <c r="AJ83" s="28">
        <f t="shared" si="46"/>
        <v>3</v>
      </c>
      <c r="AK83" s="28">
        <f>ROUND(IF(COUNTIF($I83:I83,"&gt;0")&gt;$AJ83,0,I83),0)</f>
        <v>370</v>
      </c>
      <c r="AL83" s="28">
        <f>ROUND(IF(COUNTIF($I83:J83,"&gt;0")&gt;$AJ83,0,J83),0)</f>
        <v>0</v>
      </c>
      <c r="AM83" s="28">
        <f>ROUND(IF(COUNTIF($I83:K83,"&gt;0")&gt;$AJ83,0,K83),0)</f>
        <v>8</v>
      </c>
      <c r="AN83" s="28">
        <f>ROUND(IF(COUNTIF($I83:L83,"&gt;0")&gt;$AJ83,0,L83),0)</f>
        <v>18</v>
      </c>
      <c r="AO83" s="28">
        <f>ROUND(IF(COUNTIF($I83:M83,"&gt;0")&gt;$AJ83,0,M83),0)</f>
        <v>0</v>
      </c>
      <c r="AP83" s="28">
        <f>ROUND(IF(COUNTIF($I83:N83,"&gt;0")&gt;$AJ83,0,N83),0)</f>
        <v>0</v>
      </c>
      <c r="AQ83" s="28">
        <f>ROUND(IF(COUNTIF($I83:O83,"&gt;0")&gt;$AJ83,0,O83),0)</f>
        <v>0</v>
      </c>
      <c r="AR83" s="28">
        <f>ROUND(IF(COUNTIF($I83:P83,"&gt;0")&gt;$AJ83,0,P83),0)</f>
        <v>0</v>
      </c>
      <c r="AS83" s="28">
        <f>IF(COUNTIF($I83:Q83,"&gt;0")&gt;$AJ83,0,Q83)</f>
        <v>0</v>
      </c>
      <c r="AT83" s="28">
        <f>IF(COUNTIF($I83:R83,"&gt;0")&gt;$AJ83,0,R83)</f>
        <v>0</v>
      </c>
      <c r="AU83" s="28">
        <f>SUMPRODUCT(AK83:AT83,定义数据!$G$14:$P$14)</f>
        <v>28.92</v>
      </c>
      <c r="AV83" s="28">
        <f t="shared" si="4"/>
        <v>1446</v>
      </c>
      <c r="AW83" s="28">
        <f t="shared" si="14"/>
        <v>1446</v>
      </c>
      <c r="AX83" s="28">
        <f t="shared" si="15"/>
        <v>79530</v>
      </c>
      <c r="AY83" s="28">
        <f t="shared" si="16"/>
        <v>79530</v>
      </c>
    </row>
    <row r="84" spans="3:51" x14ac:dyDescent="0.15">
      <c r="C84" s="28" t="str">
        <f>H84&amp;F84&amp;VLOOKUP(G84,定义数据!$E$1:$F$7,2,FALSE)</f>
        <v>3035</v>
      </c>
      <c r="D84" s="28"/>
      <c r="E84" s="28">
        <f>装备属性计算表!AK83</f>
        <v>10</v>
      </c>
      <c r="F84" s="28">
        <f>装备属性计算表!B83</f>
        <v>3</v>
      </c>
      <c r="G84" s="28" t="str">
        <f>装备属性计算表!C83</f>
        <v>鞋子</v>
      </c>
      <c r="H84" s="28">
        <f>装备属性计算表!D83</f>
        <v>30</v>
      </c>
      <c r="I84" s="28">
        <f>VLOOKUP($G84,装备属性计算表!$D$14:$O$19,装备属性计算表!F$2,FALSE)/装备属性计算表!F$20*VLOOKUP($H84&amp;$F84,$C$3:$P$28,G$1,FALSE)</f>
        <v>370.20484274293864</v>
      </c>
      <c r="J84" s="28">
        <f>VLOOKUP($G84,装备属性计算表!$D$14:$O$19,装备属性计算表!G$2,FALSE)/装备属性计算表!G$20*VLOOKUP($H84&amp;$F84,$C$3:$P$28,H$1,FALSE)</f>
        <v>0</v>
      </c>
      <c r="K84" s="28">
        <f>VLOOKUP($G84,装备属性计算表!$D$14:$O$19,装备属性计算表!H$2,FALSE)/装备属性计算表!H$20*VLOOKUP($H84&amp;$F84,$C$3:$P$28,I$1,FALSE)</f>
        <v>0</v>
      </c>
      <c r="L84" s="28">
        <f>VLOOKUP($G84,装备属性计算表!$D$14:$O$19,装备属性计算表!I$2,FALSE)/装备属性计算表!I$20*VLOOKUP($H84&amp;$F84,$C$3:$P$28,J$1,FALSE)</f>
        <v>35.416666666666679</v>
      </c>
      <c r="M84" s="28">
        <f>VLOOKUP($G84,装备属性计算表!$D$14:$O$19,装备属性计算表!J$2,FALSE)/装备属性计算表!J$20*VLOOKUP($H84&amp;$F84,$C$3:$P$28,K$1,FALSE)</f>
        <v>29.513888888888893</v>
      </c>
      <c r="N84" s="28">
        <f>VLOOKUP($G84,装备属性计算表!$D$14:$O$19,装备属性计算表!K$2,FALSE)/装备属性计算表!K$20*VLOOKUP($H84&amp;$F84,$C$3:$P$28,L$1,FALSE)</f>
        <v>10.493827160493829</v>
      </c>
      <c r="O84" s="28">
        <f>VLOOKUP($G84,装备属性计算表!$D$14:$O$19,装备属性计算表!L$2,FALSE)/装备属性计算表!L$20*VLOOKUP($H84&amp;$F84,$C$3:$P$28,M$1,FALSE)</f>
        <v>0</v>
      </c>
      <c r="P84" s="28">
        <f>VLOOKUP($G84,装备属性计算表!$D$14:$O$19,装备属性计算表!M$2,FALSE)/装备属性计算表!M$20*VLOOKUP($H84&amp;$F84,$C$3:$P$28,N$1,FALSE)</f>
        <v>0</v>
      </c>
      <c r="Q84" s="28">
        <f>VLOOKUP($G84,装备属性计算表!$D$14:$O$19,装备属性计算表!N$2,FALSE)/装备属性计算表!N$20*VLOOKUP($H84&amp;$F84,$C$3:$P$28,O$1,FALSE)</f>
        <v>0</v>
      </c>
      <c r="R84" s="28">
        <f>VLOOKUP($G84,装备属性计算表!$D$14:$O$19,装备属性计算表!O$2,FALSE)/装备属性计算表!O$20*VLOOKUP($H84&amp;$F84,$C$3:$P$28,P$1,FALSE)</f>
        <v>0</v>
      </c>
      <c r="X84" s="28"/>
      <c r="Y84" s="28">
        <f t="shared" si="47"/>
        <v>0</v>
      </c>
      <c r="Z84" s="28">
        <f t="shared" si="48"/>
        <v>2</v>
      </c>
      <c r="AA84" s="28">
        <f t="shared" si="11"/>
        <v>10</v>
      </c>
      <c r="AB84" s="28">
        <f t="shared" si="49"/>
        <v>0</v>
      </c>
      <c r="AC84" s="28">
        <f t="shared" si="50"/>
        <v>6</v>
      </c>
      <c r="AD84" s="28">
        <f t="shared" si="51"/>
        <v>20</v>
      </c>
      <c r="AE84" s="28">
        <f t="shared" si="17"/>
        <v>106000</v>
      </c>
      <c r="AF84" s="28">
        <f t="shared" si="52"/>
        <v>4525</v>
      </c>
      <c r="AG84" s="28">
        <f t="shared" si="53"/>
        <v>7</v>
      </c>
      <c r="AH84" s="28">
        <f>IF(AG84&gt;0,VLOOKUP(G84,'价值&amp;消耗'!$U$173:$V$178,2,FALSE),0)</f>
        <v>75010</v>
      </c>
      <c r="AI84" s="28">
        <f t="shared" si="13"/>
        <v>385</v>
      </c>
      <c r="AJ84" s="28">
        <f t="shared" si="46"/>
        <v>3</v>
      </c>
      <c r="AK84" s="28">
        <f>ROUND(IF(COUNTIF($I84:I84,"&gt;0")&gt;$AJ84,0,I84),0)</f>
        <v>370</v>
      </c>
      <c r="AL84" s="28">
        <f>ROUND(IF(COUNTIF($I84:J84,"&gt;0")&gt;$AJ84,0,J84),0)</f>
        <v>0</v>
      </c>
      <c r="AM84" s="28">
        <f>ROUND(IF(COUNTIF($I84:K84,"&gt;0")&gt;$AJ84,0,K84),0)</f>
        <v>0</v>
      </c>
      <c r="AN84" s="28">
        <f>ROUND(IF(COUNTIF($I84:L84,"&gt;0")&gt;$AJ84,0,L84),0)</f>
        <v>35</v>
      </c>
      <c r="AO84" s="28">
        <f>ROUND(IF(COUNTIF($I84:M84,"&gt;0")&gt;$AJ84,0,M84),0)</f>
        <v>30</v>
      </c>
      <c r="AP84" s="28">
        <f>ROUND(IF(COUNTIF($I84:N84,"&gt;0")&gt;$AJ84,0,N84),0)</f>
        <v>0</v>
      </c>
      <c r="AQ84" s="28">
        <f>ROUND(IF(COUNTIF($I84:O84,"&gt;0")&gt;$AJ84,0,O84),0)</f>
        <v>0</v>
      </c>
      <c r="AR84" s="28">
        <f>ROUND(IF(COUNTIF($I84:P84,"&gt;0")&gt;$AJ84,0,P84),0)</f>
        <v>0</v>
      </c>
      <c r="AS84" s="28">
        <f>IF(COUNTIF($I84:Q84,"&gt;0")&gt;$AJ84,0,Q84)</f>
        <v>0</v>
      </c>
      <c r="AT84" s="28">
        <f>IF(COUNTIF($I84:R84,"&gt;0")&gt;$AJ84,0,R84)</f>
        <v>0</v>
      </c>
      <c r="AU84" s="28">
        <f>SUMPRODUCT(AK84:AT84,定义数据!$G$14:$P$14)</f>
        <v>36.900000000000006</v>
      </c>
      <c r="AV84" s="28">
        <f t="shared" si="4"/>
        <v>1845</v>
      </c>
      <c r="AW84" s="28">
        <f t="shared" si="14"/>
        <v>1845</v>
      </c>
      <c r="AX84" s="28">
        <f t="shared" si="15"/>
        <v>101475</v>
      </c>
      <c r="AY84" s="28">
        <f t="shared" si="16"/>
        <v>101475</v>
      </c>
    </row>
    <row r="85" spans="3:51" x14ac:dyDescent="0.15">
      <c r="C85" s="28" t="str">
        <f>H85&amp;F85&amp;VLOOKUP(G85,定义数据!$E$1:$F$7,2,FALSE)</f>
        <v>3034</v>
      </c>
      <c r="D85" s="28"/>
      <c r="E85" s="28">
        <f>装备属性计算表!AK84</f>
        <v>10</v>
      </c>
      <c r="F85" s="28">
        <f>装备属性计算表!B84</f>
        <v>3</v>
      </c>
      <c r="G85" s="28" t="str">
        <f>装备属性计算表!C84</f>
        <v>腰带</v>
      </c>
      <c r="H85" s="28">
        <f>装备属性计算表!D84</f>
        <v>30</v>
      </c>
      <c r="I85" s="28">
        <f>VLOOKUP($G85,装备属性计算表!$D$14:$O$19,装备属性计算表!F$2,FALSE)/装备属性计算表!F$20*VLOOKUP($H85&amp;$F85,$C$3:$P$28,G$1,FALSE)</f>
        <v>740.40968548587728</v>
      </c>
      <c r="J85" s="28">
        <f>VLOOKUP($G85,装备属性计算表!$D$14:$O$19,装备属性计算表!G$2,FALSE)/装备属性计算表!G$20*VLOOKUP($H85&amp;$F85,$C$3:$P$28,H$1,FALSE)</f>
        <v>22.564538181818193</v>
      </c>
      <c r="K85" s="28">
        <f>VLOOKUP($G85,装备属性计算表!$D$14:$O$19,装备属性计算表!H$2,FALSE)/装备属性计算表!H$20*VLOOKUP($H85&amp;$F85,$C$3:$P$28,I$1,FALSE)</f>
        <v>8.1254932409012159</v>
      </c>
      <c r="L85" s="28">
        <f>VLOOKUP($G85,装备属性计算表!$D$14:$O$19,装备属性计算表!I$2,FALSE)/装备属性计算表!I$20*VLOOKUP($H85&amp;$F85,$C$3:$P$28,J$1,FALSE)</f>
        <v>0</v>
      </c>
      <c r="M85" s="28">
        <f>VLOOKUP($G85,装备属性计算表!$D$14:$O$19,装备属性计算表!J$2,FALSE)/装备属性计算表!J$20*VLOOKUP($H85&amp;$F85,$C$3:$P$28,K$1,FALSE)</f>
        <v>0</v>
      </c>
      <c r="N85" s="28">
        <f>VLOOKUP($G85,装备属性计算表!$D$14:$O$19,装备属性计算表!K$2,FALSE)/装备属性计算表!K$20*VLOOKUP($H85&amp;$F85,$C$3:$P$28,L$1,FALSE)</f>
        <v>0</v>
      </c>
      <c r="O85" s="28">
        <f>VLOOKUP($G85,装备属性计算表!$D$14:$O$19,装备属性计算表!L$2,FALSE)/装备属性计算表!L$20*VLOOKUP($H85&amp;$F85,$C$3:$P$28,M$1,FALSE)</f>
        <v>0</v>
      </c>
      <c r="P85" s="28">
        <f>VLOOKUP($G85,装备属性计算表!$D$14:$O$19,装备属性计算表!M$2,FALSE)/装备属性计算表!M$20*VLOOKUP($H85&amp;$F85,$C$3:$P$28,N$1,FALSE)</f>
        <v>17.489711934156382</v>
      </c>
      <c r="Q85" s="28">
        <f>VLOOKUP($G85,装备属性计算表!$D$14:$O$19,装备属性计算表!N$2,FALSE)/装备属性计算表!N$20*VLOOKUP($H85&amp;$F85,$C$3:$P$28,O$1,FALSE)</f>
        <v>0</v>
      </c>
      <c r="R85" s="28">
        <f>VLOOKUP($G85,装备属性计算表!$D$14:$O$19,装备属性计算表!O$2,FALSE)/装备属性计算表!O$20*VLOOKUP($H85&amp;$F85,$C$3:$P$28,P$1,FALSE)</f>
        <v>0</v>
      </c>
      <c r="X85" s="28"/>
      <c r="Y85" s="28">
        <f t="shared" si="47"/>
        <v>0</v>
      </c>
      <c r="Z85" s="28">
        <f t="shared" si="48"/>
        <v>1</v>
      </c>
      <c r="AA85" s="28">
        <f t="shared" si="11"/>
        <v>10</v>
      </c>
      <c r="AB85" s="28">
        <f t="shared" si="49"/>
        <v>0</v>
      </c>
      <c r="AC85" s="28">
        <f t="shared" si="50"/>
        <v>4</v>
      </c>
      <c r="AD85" s="28">
        <f t="shared" si="51"/>
        <v>33</v>
      </c>
      <c r="AE85" s="28">
        <f t="shared" si="17"/>
        <v>169000</v>
      </c>
      <c r="AF85" s="28">
        <f t="shared" si="52"/>
        <v>2350</v>
      </c>
      <c r="AG85" s="28">
        <f t="shared" si="53"/>
        <v>11</v>
      </c>
      <c r="AH85" s="28">
        <f>IF(AG85&gt;0,VLOOKUP(G85,'价值&amp;消耗'!$U$173:$V$178,2,FALSE),0)</f>
        <v>74010</v>
      </c>
      <c r="AI85" s="28">
        <f t="shared" si="13"/>
        <v>605</v>
      </c>
      <c r="AJ85" s="28">
        <f t="shared" si="46"/>
        <v>3</v>
      </c>
      <c r="AK85" s="28">
        <f>ROUND(IF(COUNTIF($I85:I85,"&gt;0")&gt;$AJ85,0,I85),0)</f>
        <v>740</v>
      </c>
      <c r="AL85" s="28">
        <f>ROUND(IF(COUNTIF($I85:J85,"&gt;0")&gt;$AJ85,0,J85),0)</f>
        <v>23</v>
      </c>
      <c r="AM85" s="28">
        <f>ROUND(IF(COUNTIF($I85:K85,"&gt;0")&gt;$AJ85,0,K85),0)</f>
        <v>8</v>
      </c>
      <c r="AN85" s="28">
        <f>ROUND(IF(COUNTIF($I85:L85,"&gt;0")&gt;$AJ85,0,L85),0)</f>
        <v>0</v>
      </c>
      <c r="AO85" s="28">
        <f>ROUND(IF(COUNTIF($I85:M85,"&gt;0")&gt;$AJ85,0,M85),0)</f>
        <v>0</v>
      </c>
      <c r="AP85" s="28">
        <f>ROUND(IF(COUNTIF($I85:N85,"&gt;0")&gt;$AJ85,0,N85),0)</f>
        <v>0</v>
      </c>
      <c r="AQ85" s="28">
        <f>ROUND(IF(COUNTIF($I85:O85,"&gt;0")&gt;$AJ85,0,O85),0)</f>
        <v>0</v>
      </c>
      <c r="AR85" s="28">
        <f>ROUND(IF(COUNTIF($I85:P85,"&gt;0")&gt;$AJ85,0,P85),0)</f>
        <v>0</v>
      </c>
      <c r="AS85" s="28">
        <f>IF(COUNTIF($I85:Q85,"&gt;0")&gt;$AJ85,0,Q85)</f>
        <v>0</v>
      </c>
      <c r="AT85" s="28">
        <f>IF(COUNTIF($I85:R85,"&gt;0")&gt;$AJ85,0,R85)</f>
        <v>0</v>
      </c>
      <c r="AU85" s="28">
        <f>SUMPRODUCT(AK85:AT85,定义数据!$G$14:$P$14)</f>
        <v>60.6</v>
      </c>
      <c r="AV85" s="28">
        <f t="shared" si="4"/>
        <v>3030</v>
      </c>
      <c r="AW85" s="28">
        <f t="shared" si="14"/>
        <v>3030</v>
      </c>
      <c r="AX85" s="28">
        <f t="shared" si="15"/>
        <v>166650</v>
      </c>
      <c r="AY85" s="28">
        <f t="shared" si="16"/>
        <v>166650</v>
      </c>
    </row>
    <row r="86" spans="3:51" x14ac:dyDescent="0.15">
      <c r="C86" s="28" t="str">
        <f>H86&amp;F86&amp;VLOOKUP(G86,定义数据!$E$1:$F$7,2,FALSE)</f>
        <v>3033</v>
      </c>
      <c r="D86" s="28"/>
      <c r="E86" s="28">
        <f>装备属性计算表!AK85</f>
        <v>10</v>
      </c>
      <c r="F86" s="28">
        <f>装备属性计算表!B85</f>
        <v>3</v>
      </c>
      <c r="G86" s="28" t="str">
        <f>装备属性计算表!C85</f>
        <v>项链</v>
      </c>
      <c r="H86" s="28">
        <f>装备属性计算表!D85</f>
        <v>30</v>
      </c>
      <c r="I86" s="28">
        <f>VLOOKUP($G86,装备属性计算表!$D$14:$O$19,装备属性计算表!F$2,FALSE)/装备属性计算表!F$20*VLOOKUP($H86&amp;$F86,$C$3:$P$28,G$1,FALSE)</f>
        <v>0</v>
      </c>
      <c r="J86" s="28">
        <f>VLOOKUP($G86,装备属性计算表!$D$14:$O$19,装备属性计算表!G$2,FALSE)/装备属性计算表!G$20*VLOOKUP($H86&amp;$F86,$C$3:$P$28,H$1,FALSE)</f>
        <v>22.564538181818193</v>
      </c>
      <c r="K86" s="28">
        <f>VLOOKUP($G86,装备属性计算表!$D$14:$O$19,装备属性计算表!H$2,FALSE)/装备属性计算表!H$20*VLOOKUP($H86&amp;$F86,$C$3:$P$28,I$1,FALSE)</f>
        <v>0</v>
      </c>
      <c r="L86" s="28">
        <f>VLOOKUP($G86,装备属性计算表!$D$14:$O$19,装备属性计算表!I$2,FALSE)/装备属性计算表!I$20*VLOOKUP($H86&amp;$F86,$C$3:$P$28,J$1,FALSE)</f>
        <v>17.708333333333339</v>
      </c>
      <c r="M86" s="28">
        <f>VLOOKUP($G86,装备属性计算表!$D$14:$O$19,装备属性计算表!J$2,FALSE)/装备属性计算表!J$20*VLOOKUP($H86&amp;$F86,$C$3:$P$28,K$1,FALSE)</f>
        <v>29.513888888888893</v>
      </c>
      <c r="N86" s="28">
        <f>VLOOKUP($G86,装备属性计算表!$D$14:$O$19,装备属性计算表!K$2,FALSE)/装备属性计算表!K$20*VLOOKUP($H86&amp;$F86,$C$3:$P$28,L$1,FALSE)</f>
        <v>20.987654320987659</v>
      </c>
      <c r="O86" s="28">
        <f>VLOOKUP($G86,装备属性计算表!$D$14:$O$19,装备属性计算表!L$2,FALSE)/装备属性计算表!L$20*VLOOKUP($H86&amp;$F86,$C$3:$P$28,M$1,FALSE)</f>
        <v>0</v>
      </c>
      <c r="P86" s="28">
        <f>VLOOKUP($G86,装备属性计算表!$D$14:$O$19,装备属性计算表!M$2,FALSE)/装备属性计算表!M$20*VLOOKUP($H86&amp;$F86,$C$3:$P$28,N$1,FALSE)</f>
        <v>0</v>
      </c>
      <c r="Q86" s="28">
        <f>VLOOKUP($G86,装备属性计算表!$D$14:$O$19,装备属性计算表!N$2,FALSE)/装备属性计算表!N$20*VLOOKUP($H86&amp;$F86,$C$3:$P$28,O$1,FALSE)</f>
        <v>0</v>
      </c>
      <c r="R86" s="28">
        <f>VLOOKUP($G86,装备属性计算表!$D$14:$O$19,装备属性计算表!O$2,FALSE)/装备属性计算表!O$20*VLOOKUP($H86&amp;$F86,$C$3:$P$28,P$1,FALSE)</f>
        <v>0</v>
      </c>
      <c r="X86" s="28">
        <f>SUM(AY81:AY86)</f>
        <v>857065</v>
      </c>
      <c r="Y86" s="28">
        <f t="shared" si="47"/>
        <v>0</v>
      </c>
      <c r="Z86" s="28">
        <f t="shared" si="48"/>
        <v>2</v>
      </c>
      <c r="AA86" s="28">
        <f t="shared" si="11"/>
        <v>10</v>
      </c>
      <c r="AB86" s="28">
        <f t="shared" si="49"/>
        <v>0</v>
      </c>
      <c r="AC86" s="28">
        <f t="shared" si="50"/>
        <v>6</v>
      </c>
      <c r="AD86" s="28">
        <f t="shared" si="51"/>
        <v>21</v>
      </c>
      <c r="AE86" s="28">
        <f t="shared" si="17"/>
        <v>111000</v>
      </c>
      <c r="AF86" s="28">
        <f t="shared" si="52"/>
        <v>2870</v>
      </c>
      <c r="AG86" s="28">
        <f t="shared" si="53"/>
        <v>7</v>
      </c>
      <c r="AH86" s="28">
        <f>IF(AG86&gt;0,VLOOKUP(G86,'价值&amp;消耗'!$U$173:$V$178,2,FALSE),0)</f>
        <v>73010</v>
      </c>
      <c r="AI86" s="28">
        <f t="shared" si="13"/>
        <v>385</v>
      </c>
      <c r="AJ86" s="28">
        <f t="shared" si="46"/>
        <v>3</v>
      </c>
      <c r="AK86" s="28">
        <f>ROUND(IF(COUNTIF($I86:I86,"&gt;0")&gt;$AJ86,0,I86),0)</f>
        <v>0</v>
      </c>
      <c r="AL86" s="28">
        <f>ROUND(IF(COUNTIF($I86:J86,"&gt;0")&gt;$AJ86,0,J86),0)</f>
        <v>23</v>
      </c>
      <c r="AM86" s="28">
        <f>ROUND(IF(COUNTIF($I86:K86,"&gt;0")&gt;$AJ86,0,K86),0)</f>
        <v>0</v>
      </c>
      <c r="AN86" s="28">
        <f>ROUND(IF(COUNTIF($I86:L86,"&gt;0")&gt;$AJ86,0,L86),0)</f>
        <v>18</v>
      </c>
      <c r="AO86" s="28">
        <f>ROUND(IF(COUNTIF($I86:M86,"&gt;0")&gt;$AJ86,0,M86),0)</f>
        <v>30</v>
      </c>
      <c r="AP86" s="28">
        <f>ROUND(IF(COUNTIF($I86:N86,"&gt;0")&gt;$AJ86,0,N86),0)</f>
        <v>0</v>
      </c>
      <c r="AQ86" s="28">
        <f>ROUND(IF(COUNTIF($I86:O86,"&gt;0")&gt;$AJ86,0,O86),0)</f>
        <v>0</v>
      </c>
      <c r="AR86" s="28">
        <f>ROUND(IF(COUNTIF($I86:P86,"&gt;0")&gt;$AJ86,0,P86),0)</f>
        <v>0</v>
      </c>
      <c r="AS86" s="28">
        <f>IF(COUNTIF($I86:Q86,"&gt;0")&gt;$AJ86,0,Q86)</f>
        <v>0</v>
      </c>
      <c r="AT86" s="28">
        <f>IF(COUNTIF($I86:R86,"&gt;0")&gt;$AJ86,0,R86)</f>
        <v>0</v>
      </c>
      <c r="AU86" s="28">
        <f>SUMPRODUCT(AK86:AT86,定义数据!$G$14:$P$14)</f>
        <v>39.32</v>
      </c>
      <c r="AV86" s="28">
        <f t="shared" si="4"/>
        <v>1966</v>
      </c>
      <c r="AW86" s="28">
        <f t="shared" si="14"/>
        <v>1966</v>
      </c>
      <c r="AX86" s="28">
        <f t="shared" si="15"/>
        <v>108130</v>
      </c>
      <c r="AY86" s="28">
        <f t="shared" si="16"/>
        <v>108130</v>
      </c>
    </row>
    <row r="87" spans="3:51" x14ac:dyDescent="0.15">
      <c r="C87" s="28" t="str">
        <f>H87&amp;F87&amp;VLOOKUP(G87,定义数据!$E$1:$F$7,2,FALSE)</f>
        <v>3040</v>
      </c>
      <c r="D87" s="28"/>
      <c r="E87" s="28">
        <f>装备属性计算表!AK86</f>
        <v>11</v>
      </c>
      <c r="F87" s="28">
        <f>装备属性计算表!B86</f>
        <v>4</v>
      </c>
      <c r="G87" s="28" t="str">
        <f>装备属性计算表!C86</f>
        <v>武器</v>
      </c>
      <c r="H87" s="28">
        <f>装备属性计算表!D86</f>
        <v>30</v>
      </c>
      <c r="I87" s="28">
        <f>VLOOKUP($G87,装备属性计算表!$D$14:$O$19,装备属性计算表!F$2,FALSE)/装备属性计算表!F$20*VLOOKUP($H87&amp;$F87,$C$3:$P$28,G$1,FALSE)</f>
        <v>0</v>
      </c>
      <c r="J87" s="28">
        <f>VLOOKUP($G87,装备属性计算表!$D$14:$O$19,装备属性计算表!G$2,FALSE)/装备属性计算表!G$20*VLOOKUP($H87&amp;$F87,$C$3:$P$28,H$1,FALSE)</f>
        <v>79.639546524064201</v>
      </c>
      <c r="K87" s="28">
        <f>VLOOKUP($G87,装备属性计算表!$D$14:$O$19,装备属性计算表!H$2,FALSE)/装备属性计算表!H$20*VLOOKUP($H87&amp;$F87,$C$3:$P$28,I$1,FALSE)</f>
        <v>9.5594038128249608</v>
      </c>
      <c r="L87" s="28">
        <f>VLOOKUP($G87,装备属性计算表!$D$14:$O$19,装备属性计算表!I$2,FALSE)/装备属性计算表!I$20*VLOOKUP($H87&amp;$F87,$C$3:$P$28,J$1,FALSE)</f>
        <v>0</v>
      </c>
      <c r="M87" s="28">
        <f>VLOOKUP($G87,装备属性计算表!$D$14:$O$19,装备属性计算表!J$2,FALSE)/装备属性计算表!J$20*VLOOKUP($H87&amp;$F87,$C$3:$P$28,K$1,FALSE)</f>
        <v>34.722222222222221</v>
      </c>
      <c r="N87" s="28">
        <f>VLOOKUP($G87,装备属性计算表!$D$14:$O$19,装备属性计算表!K$2,FALSE)/装备属性计算表!K$20*VLOOKUP($H87&amp;$F87,$C$3:$P$28,L$1,FALSE)</f>
        <v>24.691358024691365</v>
      </c>
      <c r="O87" s="28">
        <f>VLOOKUP($G87,装备属性计算表!$D$14:$O$19,装备属性计算表!L$2,FALSE)/装备属性计算表!L$20*VLOOKUP($H87&amp;$F87,$C$3:$P$28,M$1,FALSE)</f>
        <v>0</v>
      </c>
      <c r="P87" s="28">
        <f>VLOOKUP($G87,装备属性计算表!$D$14:$O$19,装备属性计算表!M$2,FALSE)/装备属性计算表!M$20*VLOOKUP($H87&amp;$F87,$C$3:$P$28,N$1,FALSE)</f>
        <v>0</v>
      </c>
      <c r="Q87" s="28">
        <f>VLOOKUP($G87,装备属性计算表!$D$14:$O$19,装备属性计算表!N$2,FALSE)/装备属性计算表!N$20*VLOOKUP($H87&amp;$F87,$C$3:$P$28,O$1,FALSE)</f>
        <v>0</v>
      </c>
      <c r="R87" s="28">
        <f>VLOOKUP($G87,装备属性计算表!$D$14:$O$19,装备属性计算表!O$2,FALSE)/装备属性计算表!O$20*VLOOKUP($H87&amp;$F87,$C$3:$P$28,P$1,FALSE)</f>
        <v>0</v>
      </c>
      <c r="X87" s="28"/>
      <c r="Y87" s="28">
        <f t="shared" si="47"/>
        <v>0</v>
      </c>
      <c r="Z87" s="28">
        <f t="shared" si="48"/>
        <v>0</v>
      </c>
      <c r="AA87" s="28">
        <f t="shared" si="11"/>
        <v>10</v>
      </c>
      <c r="AB87" s="28">
        <f t="shared" si="49"/>
        <v>0</v>
      </c>
      <c r="AC87" s="28">
        <f t="shared" si="50"/>
        <v>0</v>
      </c>
      <c r="AD87" s="28">
        <f t="shared" si="51"/>
        <v>59</v>
      </c>
      <c r="AE87" s="28">
        <f t="shared" si="17"/>
        <v>295000</v>
      </c>
      <c r="AF87" s="28">
        <f t="shared" si="52"/>
        <v>2400</v>
      </c>
      <c r="AG87" s="28">
        <f t="shared" si="53"/>
        <v>18</v>
      </c>
      <c r="AH87" s="28">
        <f>IF(AG87&gt;0,VLOOKUP(G87,'价值&amp;消耗'!$U$173:$V$178,2,FALSE),0)</f>
        <v>70010</v>
      </c>
      <c r="AI87" s="28">
        <f t="shared" si="13"/>
        <v>990</v>
      </c>
      <c r="AJ87" s="28">
        <f t="shared" si="46"/>
        <v>4</v>
      </c>
      <c r="AK87" s="28">
        <f>ROUND(IF(COUNTIF($I87:I87,"&gt;0")&gt;$AJ87,0,I87),0)</f>
        <v>0</v>
      </c>
      <c r="AL87" s="28">
        <f>ROUND(IF(COUNTIF($I87:J87,"&gt;0")&gt;$AJ87,0,J87),0)</f>
        <v>80</v>
      </c>
      <c r="AM87" s="28">
        <f>ROUND(IF(COUNTIF($I87:K87,"&gt;0")&gt;$AJ87,0,K87),0)</f>
        <v>10</v>
      </c>
      <c r="AN87" s="28">
        <f>ROUND(IF(COUNTIF($I87:L87,"&gt;0")&gt;$AJ87,0,L87),0)</f>
        <v>0</v>
      </c>
      <c r="AO87" s="28">
        <f>ROUND(IF(COUNTIF($I87:M87,"&gt;0")&gt;$AJ87,0,M87),0)</f>
        <v>35</v>
      </c>
      <c r="AP87" s="28">
        <f>ROUND(IF(COUNTIF($I87:N87,"&gt;0")&gt;$AJ87,0,N87),0)</f>
        <v>25</v>
      </c>
      <c r="AQ87" s="28">
        <f>ROUND(IF(COUNTIF($I87:O87,"&gt;0")&gt;$AJ87,0,O87),0)</f>
        <v>0</v>
      </c>
      <c r="AR87" s="28">
        <f>ROUND(IF(COUNTIF($I87:P87,"&gt;0")&gt;$AJ87,0,P87),0)</f>
        <v>0</v>
      </c>
      <c r="AS87" s="28">
        <f>IF(COUNTIF($I87:Q87,"&gt;0")&gt;$AJ87,0,Q87)</f>
        <v>0</v>
      </c>
      <c r="AT87" s="28">
        <f>IF(COUNTIF($I87:R87,"&gt;0")&gt;$AJ87,0,R87)</f>
        <v>0</v>
      </c>
      <c r="AU87" s="28">
        <f>SUMPRODUCT(AK87:AT87,定义数据!$G$14:$P$14)</f>
        <v>106.4</v>
      </c>
      <c r="AV87" s="28">
        <f t="shared" si="4"/>
        <v>5320</v>
      </c>
      <c r="AW87" s="28">
        <f t="shared" si="14"/>
        <v>5320</v>
      </c>
      <c r="AX87" s="28">
        <f t="shared" si="15"/>
        <v>292600</v>
      </c>
      <c r="AY87" s="28">
        <f t="shared" si="16"/>
        <v>292600</v>
      </c>
    </row>
    <row r="88" spans="3:51" x14ac:dyDescent="0.15">
      <c r="C88" s="28" t="str">
        <f>H88&amp;F88&amp;VLOOKUP(G88,定义数据!$E$1:$F$7,2,FALSE)</f>
        <v>3041</v>
      </c>
      <c r="D88" s="28"/>
      <c r="E88" s="28">
        <f>装备属性计算表!AK87</f>
        <v>11</v>
      </c>
      <c r="F88" s="28">
        <f>装备属性计算表!B87</f>
        <v>4</v>
      </c>
      <c r="G88" s="28" t="str">
        <f>装备属性计算表!C87</f>
        <v>衣服</v>
      </c>
      <c r="H88" s="28">
        <f>装备属性计算表!D87</f>
        <v>30</v>
      </c>
      <c r="I88" s="28">
        <f>VLOOKUP($G88,装备属性计算表!$D$14:$O$19,装备属性计算表!F$2,FALSE)/装备属性计算表!F$20*VLOOKUP($H88&amp;$F88,$C$3:$P$28,G$1,FALSE)</f>
        <v>871.0702182186792</v>
      </c>
      <c r="J88" s="28">
        <f>VLOOKUP($G88,装备属性计算表!$D$14:$O$19,装备属性计算表!G$2,FALSE)/装备属性计算表!G$20*VLOOKUP($H88&amp;$F88,$C$3:$P$28,H$1,FALSE)</f>
        <v>0</v>
      </c>
      <c r="K88" s="28">
        <f>VLOOKUP($G88,装备属性计算表!$D$14:$O$19,装备属性计算表!H$2,FALSE)/装备属性计算表!H$20*VLOOKUP($H88&amp;$F88,$C$3:$P$28,I$1,FALSE)</f>
        <v>28.678211438474882</v>
      </c>
      <c r="L88" s="28">
        <f>VLOOKUP($G88,装备属性计算表!$D$14:$O$19,装备属性计算表!I$2,FALSE)/装备属性计算表!I$20*VLOOKUP($H88&amp;$F88,$C$3:$P$28,J$1,FALSE)</f>
        <v>20.833333333333336</v>
      </c>
      <c r="M88" s="28">
        <f>VLOOKUP($G88,装备属性计算表!$D$14:$O$19,装备属性计算表!J$2,FALSE)/装备属性计算表!J$20*VLOOKUP($H88&amp;$F88,$C$3:$P$28,K$1,FALSE)</f>
        <v>0</v>
      </c>
      <c r="N88" s="28">
        <f>VLOOKUP($G88,装备属性计算表!$D$14:$O$19,装备属性计算表!K$2,FALSE)/装备属性计算表!K$20*VLOOKUP($H88&amp;$F88,$C$3:$P$28,L$1,FALSE)</f>
        <v>0</v>
      </c>
      <c r="O88" s="28">
        <f>VLOOKUP($G88,装备属性计算表!$D$14:$O$19,装备属性计算表!L$2,FALSE)/装备属性计算表!L$20*VLOOKUP($H88&amp;$F88,$C$3:$P$28,M$1,FALSE)</f>
        <v>0</v>
      </c>
      <c r="P88" s="28">
        <f>VLOOKUP($G88,装备属性计算表!$D$14:$O$19,装备属性计算表!M$2,FALSE)/装备属性计算表!M$20*VLOOKUP($H88&amp;$F88,$C$3:$P$28,N$1,FALSE)</f>
        <v>20.5761316872428</v>
      </c>
      <c r="Q88" s="28">
        <f>VLOOKUP($G88,装备属性计算表!$D$14:$O$19,装备属性计算表!N$2,FALSE)/装备属性计算表!N$20*VLOOKUP($H88&amp;$F88,$C$3:$P$28,O$1,FALSE)</f>
        <v>0</v>
      </c>
      <c r="R88" s="28">
        <f>VLOOKUP($G88,装备属性计算表!$D$14:$O$19,装备属性计算表!O$2,FALSE)/装备属性计算表!O$20*VLOOKUP($H88&amp;$F88,$C$3:$P$28,P$1,FALSE)</f>
        <v>0</v>
      </c>
      <c r="X88" s="28"/>
      <c r="Y88" s="28">
        <f t="shared" si="47"/>
        <v>0</v>
      </c>
      <c r="Z88" s="28">
        <f t="shared" si="48"/>
        <v>1</v>
      </c>
      <c r="AA88" s="28">
        <f t="shared" si="11"/>
        <v>10</v>
      </c>
      <c r="AB88" s="28">
        <f t="shared" si="49"/>
        <v>0</v>
      </c>
      <c r="AC88" s="28">
        <f t="shared" si="50"/>
        <v>4</v>
      </c>
      <c r="AD88" s="28">
        <f t="shared" si="51"/>
        <v>41</v>
      </c>
      <c r="AE88" s="28">
        <f t="shared" si="17"/>
        <v>209000</v>
      </c>
      <c r="AF88" s="28">
        <f t="shared" si="52"/>
        <v>3410</v>
      </c>
      <c r="AG88" s="28">
        <f t="shared" si="53"/>
        <v>13</v>
      </c>
      <c r="AH88" s="28">
        <f>IF(AG88&gt;0,VLOOKUP(G88,'价值&amp;消耗'!$U$173:$V$178,2,FALSE),0)</f>
        <v>71010</v>
      </c>
      <c r="AI88" s="28">
        <f t="shared" si="13"/>
        <v>715</v>
      </c>
      <c r="AJ88" s="28">
        <f t="shared" si="46"/>
        <v>4</v>
      </c>
      <c r="AK88" s="28">
        <f>ROUND(IF(COUNTIF($I88:I88,"&gt;0")&gt;$AJ88,0,I88),0)</f>
        <v>871</v>
      </c>
      <c r="AL88" s="28">
        <f>ROUND(IF(COUNTIF($I88:J88,"&gt;0")&gt;$AJ88,0,J88),0)</f>
        <v>0</v>
      </c>
      <c r="AM88" s="28">
        <f>ROUND(IF(COUNTIF($I88:K88,"&gt;0")&gt;$AJ88,0,K88),0)</f>
        <v>29</v>
      </c>
      <c r="AN88" s="28">
        <f>ROUND(IF(COUNTIF($I88:L88,"&gt;0")&gt;$AJ88,0,L88),0)</f>
        <v>21</v>
      </c>
      <c r="AO88" s="28">
        <f>ROUND(IF(COUNTIF($I88:M88,"&gt;0")&gt;$AJ88,0,M88),0)</f>
        <v>0</v>
      </c>
      <c r="AP88" s="28">
        <f>ROUND(IF(COUNTIF($I88:N88,"&gt;0")&gt;$AJ88,0,N88),0)</f>
        <v>0</v>
      </c>
      <c r="AQ88" s="28">
        <f>ROUND(IF(COUNTIF($I88:O88,"&gt;0")&gt;$AJ88,0,O88),0)</f>
        <v>0</v>
      </c>
      <c r="AR88" s="28">
        <f>ROUND(IF(COUNTIF($I88:P88,"&gt;0")&gt;$AJ88,0,P88),0)</f>
        <v>21</v>
      </c>
      <c r="AS88" s="28">
        <f>IF(COUNTIF($I88:Q88,"&gt;0")&gt;$AJ88,0,Q88)</f>
        <v>0</v>
      </c>
      <c r="AT88" s="28">
        <f>IF(COUNTIF($I88:R88,"&gt;0")&gt;$AJ88,0,R88)</f>
        <v>0</v>
      </c>
      <c r="AU88" s="28">
        <f>SUMPRODUCT(AK88:AT88,定义数据!$G$14:$P$14)</f>
        <v>74.760000000000005</v>
      </c>
      <c r="AV88" s="28">
        <f t="shared" si="4"/>
        <v>3738</v>
      </c>
      <c r="AW88" s="28">
        <f t="shared" si="14"/>
        <v>3738</v>
      </c>
      <c r="AX88" s="28">
        <f t="shared" si="15"/>
        <v>205590</v>
      </c>
      <c r="AY88" s="28">
        <f t="shared" si="16"/>
        <v>205590</v>
      </c>
    </row>
    <row r="89" spans="3:51" x14ac:dyDescent="0.15">
      <c r="C89" s="28" t="str">
        <f>H89&amp;F89&amp;VLOOKUP(G89,定义数据!$E$1:$F$7,2,FALSE)</f>
        <v>3042</v>
      </c>
      <c r="D89" s="28"/>
      <c r="E89" s="28">
        <f>装备属性计算表!AK88</f>
        <v>11</v>
      </c>
      <c r="F89" s="28">
        <f>装备属性计算表!B88</f>
        <v>4</v>
      </c>
      <c r="G89" s="28" t="str">
        <f>装备属性计算表!C88</f>
        <v>裤子</v>
      </c>
      <c r="H89" s="28">
        <f>装备属性计算表!D88</f>
        <v>30</v>
      </c>
      <c r="I89" s="28">
        <f>VLOOKUP($G89,装备属性计算表!$D$14:$O$19,装备属性计算表!F$2,FALSE)/装备属性计算表!F$20*VLOOKUP($H89&amp;$F89,$C$3:$P$28,G$1,FALSE)</f>
        <v>435.5351091093396</v>
      </c>
      <c r="J89" s="28">
        <f>VLOOKUP($G89,装备属性计算表!$D$14:$O$19,装备属性计算表!G$2,FALSE)/装备属性计算表!G$20*VLOOKUP($H89&amp;$F89,$C$3:$P$28,H$1,FALSE)</f>
        <v>0</v>
      </c>
      <c r="K89" s="28">
        <f>VLOOKUP($G89,装备属性计算表!$D$14:$O$19,装备属性计算表!H$2,FALSE)/装备属性计算表!H$20*VLOOKUP($H89&amp;$F89,$C$3:$P$28,I$1,FALSE)</f>
        <v>9.5594038128249608</v>
      </c>
      <c r="L89" s="28">
        <f>VLOOKUP($G89,装备属性计算表!$D$14:$O$19,装备属性计算表!I$2,FALSE)/装备属性计算表!I$20*VLOOKUP($H89&amp;$F89,$C$3:$P$28,J$1,FALSE)</f>
        <v>20.833333333333336</v>
      </c>
      <c r="M89" s="28">
        <f>VLOOKUP($G89,装备属性计算表!$D$14:$O$19,装备属性计算表!J$2,FALSE)/装备属性计算表!J$20*VLOOKUP($H89&amp;$F89,$C$3:$P$28,K$1,FALSE)</f>
        <v>0</v>
      </c>
      <c r="N89" s="28">
        <f>VLOOKUP($G89,装备属性计算表!$D$14:$O$19,装备属性计算表!K$2,FALSE)/装备属性计算表!K$20*VLOOKUP($H89&amp;$F89,$C$3:$P$28,L$1,FALSE)</f>
        <v>0</v>
      </c>
      <c r="O89" s="28">
        <f>VLOOKUP($G89,装备属性计算表!$D$14:$O$19,装备属性计算表!L$2,FALSE)/装备属性计算表!L$20*VLOOKUP($H89&amp;$F89,$C$3:$P$28,M$1,FALSE)</f>
        <v>0</v>
      </c>
      <c r="P89" s="28">
        <f>VLOOKUP($G89,装备属性计算表!$D$14:$O$19,装备属性计算表!M$2,FALSE)/装备属性计算表!M$20*VLOOKUP($H89&amp;$F89,$C$3:$P$28,N$1,FALSE)</f>
        <v>20.5761316872428</v>
      </c>
      <c r="Q89" s="28">
        <f>VLOOKUP($G89,装备属性计算表!$D$14:$O$19,装备属性计算表!N$2,FALSE)/装备属性计算表!N$20*VLOOKUP($H89&amp;$F89,$C$3:$P$28,O$1,FALSE)</f>
        <v>0</v>
      </c>
      <c r="R89" s="28">
        <f>VLOOKUP($G89,装备属性计算表!$D$14:$O$19,装备属性计算表!O$2,FALSE)/装备属性计算表!O$20*VLOOKUP($H89&amp;$F89,$C$3:$P$28,P$1,FALSE)</f>
        <v>0</v>
      </c>
      <c r="X89" s="28"/>
      <c r="Y89" s="28">
        <f t="shared" si="47"/>
        <v>0</v>
      </c>
      <c r="Z89" s="28">
        <f t="shared" si="48"/>
        <v>2</v>
      </c>
      <c r="AA89" s="28">
        <f t="shared" si="11"/>
        <v>10</v>
      </c>
      <c r="AB89" s="28">
        <f t="shared" si="49"/>
        <v>0</v>
      </c>
      <c r="AC89" s="28">
        <f t="shared" si="50"/>
        <v>6</v>
      </c>
      <c r="AD89" s="28">
        <f t="shared" si="51"/>
        <v>20</v>
      </c>
      <c r="AE89" s="28">
        <f t="shared" si="17"/>
        <v>106000</v>
      </c>
      <c r="AF89" s="28">
        <f t="shared" si="52"/>
        <v>510</v>
      </c>
      <c r="AG89" s="28">
        <f t="shared" si="53"/>
        <v>7</v>
      </c>
      <c r="AH89" s="28">
        <f>IF(AG89&gt;0,VLOOKUP(G89,'价值&amp;消耗'!$U$173:$V$178,2,FALSE),0)</f>
        <v>72010</v>
      </c>
      <c r="AI89" s="28">
        <f t="shared" si="13"/>
        <v>385</v>
      </c>
      <c r="AJ89" s="28">
        <f t="shared" si="46"/>
        <v>4</v>
      </c>
      <c r="AK89" s="28">
        <f>ROUND(IF(COUNTIF($I89:I89,"&gt;0")&gt;$AJ89,0,I89),0)</f>
        <v>436</v>
      </c>
      <c r="AL89" s="28">
        <f>ROUND(IF(COUNTIF($I89:J89,"&gt;0")&gt;$AJ89,0,J89),0)</f>
        <v>0</v>
      </c>
      <c r="AM89" s="28">
        <f>ROUND(IF(COUNTIF($I89:K89,"&gt;0")&gt;$AJ89,0,K89),0)</f>
        <v>10</v>
      </c>
      <c r="AN89" s="28">
        <f>ROUND(IF(COUNTIF($I89:L89,"&gt;0")&gt;$AJ89,0,L89),0)</f>
        <v>21</v>
      </c>
      <c r="AO89" s="28">
        <f>ROUND(IF(COUNTIF($I89:M89,"&gt;0")&gt;$AJ89,0,M89),0)</f>
        <v>0</v>
      </c>
      <c r="AP89" s="28">
        <f>ROUND(IF(COUNTIF($I89:N89,"&gt;0")&gt;$AJ89,0,N89),0)</f>
        <v>0</v>
      </c>
      <c r="AQ89" s="28">
        <f>ROUND(IF(COUNTIF($I89:O89,"&gt;0")&gt;$AJ89,0,O89),0)</f>
        <v>0</v>
      </c>
      <c r="AR89" s="28">
        <f>ROUND(IF(COUNTIF($I89:P89,"&gt;0")&gt;$AJ89,0,P89),0)</f>
        <v>21</v>
      </c>
      <c r="AS89" s="28">
        <f>IF(COUNTIF($I89:Q89,"&gt;0")&gt;$AJ89,0,Q89)</f>
        <v>0</v>
      </c>
      <c r="AT89" s="28">
        <f>IF(COUNTIF($I89:R89,"&gt;0")&gt;$AJ89,0,R89)</f>
        <v>0</v>
      </c>
      <c r="AU89" s="28">
        <f>SUMPRODUCT(AK89:AT89,定义数据!$G$14:$P$14)</f>
        <v>38.36</v>
      </c>
      <c r="AV89" s="28">
        <f t="shared" si="4"/>
        <v>1918</v>
      </c>
      <c r="AW89" s="28">
        <f t="shared" si="14"/>
        <v>1918</v>
      </c>
      <c r="AX89" s="28">
        <f t="shared" si="15"/>
        <v>105490</v>
      </c>
      <c r="AY89" s="28">
        <f t="shared" si="16"/>
        <v>105490</v>
      </c>
    </row>
    <row r="90" spans="3:51" x14ac:dyDescent="0.15">
      <c r="C90" s="28" t="str">
        <f>H90&amp;F90&amp;VLOOKUP(G90,定义数据!$E$1:$F$7,2,FALSE)</f>
        <v>3045</v>
      </c>
      <c r="D90" s="28"/>
      <c r="E90" s="28">
        <f>装备属性计算表!AK89</f>
        <v>11</v>
      </c>
      <c r="F90" s="28">
        <f>装备属性计算表!B89</f>
        <v>4</v>
      </c>
      <c r="G90" s="28" t="str">
        <f>装备属性计算表!C89</f>
        <v>鞋子</v>
      </c>
      <c r="H90" s="28">
        <f>装备属性计算表!D89</f>
        <v>30</v>
      </c>
      <c r="I90" s="28">
        <f>VLOOKUP($G90,装备属性计算表!$D$14:$O$19,装备属性计算表!F$2,FALSE)/装备属性计算表!F$20*VLOOKUP($H90&amp;$F90,$C$3:$P$28,G$1,FALSE)</f>
        <v>435.5351091093396</v>
      </c>
      <c r="J90" s="28">
        <f>VLOOKUP($G90,装备属性计算表!$D$14:$O$19,装备属性计算表!G$2,FALSE)/装备属性计算表!G$20*VLOOKUP($H90&amp;$F90,$C$3:$P$28,H$1,FALSE)</f>
        <v>0</v>
      </c>
      <c r="K90" s="28">
        <f>VLOOKUP($G90,装备属性计算表!$D$14:$O$19,装备属性计算表!H$2,FALSE)/装备属性计算表!H$20*VLOOKUP($H90&amp;$F90,$C$3:$P$28,I$1,FALSE)</f>
        <v>0</v>
      </c>
      <c r="L90" s="28">
        <f>VLOOKUP($G90,装备属性计算表!$D$14:$O$19,装备属性计算表!I$2,FALSE)/装备属性计算表!I$20*VLOOKUP($H90&amp;$F90,$C$3:$P$28,J$1,FALSE)</f>
        <v>41.666666666666671</v>
      </c>
      <c r="M90" s="28">
        <f>VLOOKUP($G90,装备属性计算表!$D$14:$O$19,装备属性计算表!J$2,FALSE)/装备属性计算表!J$20*VLOOKUP($H90&amp;$F90,$C$3:$P$28,K$1,FALSE)</f>
        <v>34.722222222222221</v>
      </c>
      <c r="N90" s="28">
        <f>VLOOKUP($G90,装备属性计算表!$D$14:$O$19,装备属性计算表!K$2,FALSE)/装备属性计算表!K$20*VLOOKUP($H90&amp;$F90,$C$3:$P$28,L$1,FALSE)</f>
        <v>12.345679012345682</v>
      </c>
      <c r="O90" s="28">
        <f>VLOOKUP($G90,装备属性计算表!$D$14:$O$19,装备属性计算表!L$2,FALSE)/装备属性计算表!L$20*VLOOKUP($H90&amp;$F90,$C$3:$P$28,M$1,FALSE)</f>
        <v>0</v>
      </c>
      <c r="P90" s="28">
        <f>VLOOKUP($G90,装备属性计算表!$D$14:$O$19,装备属性计算表!M$2,FALSE)/装备属性计算表!M$20*VLOOKUP($H90&amp;$F90,$C$3:$P$28,N$1,FALSE)</f>
        <v>0</v>
      </c>
      <c r="Q90" s="28">
        <f>VLOOKUP($G90,装备属性计算表!$D$14:$O$19,装备属性计算表!N$2,FALSE)/装备属性计算表!N$20*VLOOKUP($H90&amp;$F90,$C$3:$P$28,O$1,FALSE)</f>
        <v>0</v>
      </c>
      <c r="R90" s="28">
        <f>VLOOKUP($G90,装备属性计算表!$D$14:$O$19,装备属性计算表!O$2,FALSE)/装备属性计算表!O$20*VLOOKUP($H90&amp;$F90,$C$3:$P$28,P$1,FALSE)</f>
        <v>0</v>
      </c>
      <c r="X90" s="28"/>
      <c r="Y90" s="28">
        <f t="shared" si="47"/>
        <v>0</v>
      </c>
      <c r="Z90" s="28">
        <f t="shared" si="48"/>
        <v>2</v>
      </c>
      <c r="AA90" s="28">
        <f t="shared" si="11"/>
        <v>10</v>
      </c>
      <c r="AB90" s="28">
        <f t="shared" si="49"/>
        <v>0</v>
      </c>
      <c r="AC90" s="28">
        <f t="shared" si="50"/>
        <v>7</v>
      </c>
      <c r="AD90" s="28">
        <f t="shared" si="51"/>
        <v>24</v>
      </c>
      <c r="AE90" s="28">
        <f t="shared" si="17"/>
        <v>127000</v>
      </c>
      <c r="AF90" s="28">
        <f t="shared" si="52"/>
        <v>1105</v>
      </c>
      <c r="AG90" s="28">
        <f t="shared" si="53"/>
        <v>8</v>
      </c>
      <c r="AH90" s="28">
        <f>IF(AG90&gt;0,VLOOKUP(G90,'价值&amp;消耗'!$U$173:$V$178,2,FALSE),0)</f>
        <v>75010</v>
      </c>
      <c r="AI90" s="28">
        <f t="shared" si="13"/>
        <v>440</v>
      </c>
      <c r="AJ90" s="28">
        <f t="shared" si="46"/>
        <v>4</v>
      </c>
      <c r="AK90" s="28">
        <f>ROUND(IF(COUNTIF($I90:I90,"&gt;0")&gt;$AJ90,0,I90),0)</f>
        <v>436</v>
      </c>
      <c r="AL90" s="28">
        <f>ROUND(IF(COUNTIF($I90:J90,"&gt;0")&gt;$AJ90,0,J90),0)</f>
        <v>0</v>
      </c>
      <c r="AM90" s="28">
        <f>ROUND(IF(COUNTIF($I90:K90,"&gt;0")&gt;$AJ90,0,K90),0)</f>
        <v>0</v>
      </c>
      <c r="AN90" s="28">
        <f>ROUND(IF(COUNTIF($I90:L90,"&gt;0")&gt;$AJ90,0,L90),0)</f>
        <v>42</v>
      </c>
      <c r="AO90" s="28">
        <f>ROUND(IF(COUNTIF($I90:M90,"&gt;0")&gt;$AJ90,0,M90),0)</f>
        <v>35</v>
      </c>
      <c r="AP90" s="28">
        <f>ROUND(IF(COUNTIF($I90:N90,"&gt;0")&gt;$AJ90,0,N90),0)</f>
        <v>12</v>
      </c>
      <c r="AQ90" s="28">
        <f>ROUND(IF(COUNTIF($I90:O90,"&gt;0")&gt;$AJ90,0,O90),0)</f>
        <v>0</v>
      </c>
      <c r="AR90" s="28">
        <f>ROUND(IF(COUNTIF($I90:P90,"&gt;0")&gt;$AJ90,0,P90),0)</f>
        <v>0</v>
      </c>
      <c r="AS90" s="28">
        <f>IF(COUNTIF($I90:Q90,"&gt;0")&gt;$AJ90,0,Q90)</f>
        <v>0</v>
      </c>
      <c r="AT90" s="28">
        <f>IF(COUNTIF($I90:R90,"&gt;0")&gt;$AJ90,0,R90)</f>
        <v>0</v>
      </c>
      <c r="AU90" s="28">
        <f>SUMPRODUCT(AK90:AT90,定义数据!$G$14:$P$14)</f>
        <v>45.78</v>
      </c>
      <c r="AV90" s="28">
        <f t="shared" si="4"/>
        <v>2289</v>
      </c>
      <c r="AW90" s="28">
        <f t="shared" si="14"/>
        <v>2289</v>
      </c>
      <c r="AX90" s="28">
        <f t="shared" si="15"/>
        <v>125895</v>
      </c>
      <c r="AY90" s="28">
        <f t="shared" si="16"/>
        <v>125895</v>
      </c>
    </row>
    <row r="91" spans="3:51" x14ac:dyDescent="0.15">
      <c r="C91" s="28" t="str">
        <f>H91&amp;F91&amp;VLOOKUP(G91,定义数据!$E$1:$F$7,2,FALSE)</f>
        <v>3044</v>
      </c>
      <c r="D91" s="28"/>
      <c r="E91" s="28">
        <f>装备属性计算表!AK90</f>
        <v>11</v>
      </c>
      <c r="F91" s="28">
        <f>装备属性计算表!B90</f>
        <v>4</v>
      </c>
      <c r="G91" s="28" t="str">
        <f>装备属性计算表!C90</f>
        <v>腰带</v>
      </c>
      <c r="H91" s="28">
        <f>装备属性计算表!D90</f>
        <v>30</v>
      </c>
      <c r="I91" s="28">
        <f>VLOOKUP($G91,装备属性计算表!$D$14:$O$19,装备属性计算表!F$2,FALSE)/装备属性计算表!F$20*VLOOKUP($H91&amp;$F91,$C$3:$P$28,G$1,FALSE)</f>
        <v>871.0702182186792</v>
      </c>
      <c r="J91" s="28">
        <f>VLOOKUP($G91,装备属性计算表!$D$14:$O$19,装备属性计算表!G$2,FALSE)/装备属性计算表!G$20*VLOOKUP($H91&amp;$F91,$C$3:$P$28,H$1,FALSE)</f>
        <v>26.5465155080214</v>
      </c>
      <c r="K91" s="28">
        <f>VLOOKUP($G91,装备属性计算表!$D$14:$O$19,装备属性计算表!H$2,FALSE)/装备属性计算表!H$20*VLOOKUP($H91&amp;$F91,$C$3:$P$28,I$1,FALSE)</f>
        <v>9.5594038128249608</v>
      </c>
      <c r="L91" s="28">
        <f>VLOOKUP($G91,装备属性计算表!$D$14:$O$19,装备属性计算表!I$2,FALSE)/装备属性计算表!I$20*VLOOKUP($H91&amp;$F91,$C$3:$P$28,J$1,FALSE)</f>
        <v>0</v>
      </c>
      <c r="M91" s="28">
        <f>VLOOKUP($G91,装备属性计算表!$D$14:$O$19,装备属性计算表!J$2,FALSE)/装备属性计算表!J$20*VLOOKUP($H91&amp;$F91,$C$3:$P$28,K$1,FALSE)</f>
        <v>0</v>
      </c>
      <c r="N91" s="28">
        <f>VLOOKUP($G91,装备属性计算表!$D$14:$O$19,装备属性计算表!K$2,FALSE)/装备属性计算表!K$20*VLOOKUP($H91&amp;$F91,$C$3:$P$28,L$1,FALSE)</f>
        <v>0</v>
      </c>
      <c r="O91" s="28">
        <f>VLOOKUP($G91,装备属性计算表!$D$14:$O$19,装备属性计算表!L$2,FALSE)/装备属性计算表!L$20*VLOOKUP($H91&amp;$F91,$C$3:$P$28,M$1,FALSE)</f>
        <v>0</v>
      </c>
      <c r="P91" s="28">
        <f>VLOOKUP($G91,装备属性计算表!$D$14:$O$19,装备属性计算表!M$2,FALSE)/装备属性计算表!M$20*VLOOKUP($H91&amp;$F91,$C$3:$P$28,N$1,FALSE)</f>
        <v>20.5761316872428</v>
      </c>
      <c r="Q91" s="28">
        <f>VLOOKUP($G91,装备属性计算表!$D$14:$O$19,装备属性计算表!N$2,FALSE)/装备属性计算表!N$20*VLOOKUP($H91&amp;$F91,$C$3:$P$28,O$1,FALSE)</f>
        <v>0</v>
      </c>
      <c r="R91" s="28">
        <f>VLOOKUP($G91,装备属性计算表!$D$14:$O$19,装备属性计算表!O$2,FALSE)/装备属性计算表!O$20*VLOOKUP($H91&amp;$F91,$C$3:$P$28,P$1,FALSE)</f>
        <v>0</v>
      </c>
      <c r="X91" s="28"/>
      <c r="Y91" s="28">
        <f t="shared" si="47"/>
        <v>0</v>
      </c>
      <c r="Z91" s="28">
        <f t="shared" si="48"/>
        <v>1</v>
      </c>
      <c r="AA91" s="28">
        <f t="shared" si="11"/>
        <v>10</v>
      </c>
      <c r="AB91" s="28">
        <f t="shared" si="49"/>
        <v>0</v>
      </c>
      <c r="AC91" s="28">
        <f t="shared" si="50"/>
        <v>4</v>
      </c>
      <c r="AD91" s="28">
        <f t="shared" si="51"/>
        <v>41</v>
      </c>
      <c r="AE91" s="28">
        <f t="shared" si="17"/>
        <v>209000</v>
      </c>
      <c r="AF91" s="28">
        <f t="shared" si="52"/>
        <v>1045</v>
      </c>
      <c r="AG91" s="28">
        <f t="shared" si="53"/>
        <v>13</v>
      </c>
      <c r="AH91" s="28">
        <f>IF(AG91&gt;0,VLOOKUP(G91,'价值&amp;消耗'!$U$173:$V$178,2,FALSE),0)</f>
        <v>74010</v>
      </c>
      <c r="AI91" s="28">
        <f t="shared" si="13"/>
        <v>715</v>
      </c>
      <c r="AJ91" s="28">
        <f t="shared" si="46"/>
        <v>4</v>
      </c>
      <c r="AK91" s="28">
        <f>ROUND(IF(COUNTIF($I91:I91,"&gt;0")&gt;$AJ91,0,I91),0)</f>
        <v>871</v>
      </c>
      <c r="AL91" s="28">
        <f>ROUND(IF(COUNTIF($I91:J91,"&gt;0")&gt;$AJ91,0,J91),0)</f>
        <v>27</v>
      </c>
      <c r="AM91" s="28">
        <f>ROUND(IF(COUNTIF($I91:K91,"&gt;0")&gt;$AJ91,0,K91),0)</f>
        <v>10</v>
      </c>
      <c r="AN91" s="28">
        <f>ROUND(IF(COUNTIF($I91:L91,"&gt;0")&gt;$AJ91,0,L91),0)</f>
        <v>0</v>
      </c>
      <c r="AO91" s="28">
        <f>ROUND(IF(COUNTIF($I91:M91,"&gt;0")&gt;$AJ91,0,M91),0)</f>
        <v>0</v>
      </c>
      <c r="AP91" s="28">
        <f>ROUND(IF(COUNTIF($I91:N91,"&gt;0")&gt;$AJ91,0,N91),0)</f>
        <v>0</v>
      </c>
      <c r="AQ91" s="28">
        <f>ROUND(IF(COUNTIF($I91:O91,"&gt;0")&gt;$AJ91,0,O91),0)</f>
        <v>0</v>
      </c>
      <c r="AR91" s="28">
        <f>ROUND(IF(COUNTIF($I91:P91,"&gt;0")&gt;$AJ91,0,P91),0)</f>
        <v>21</v>
      </c>
      <c r="AS91" s="28">
        <f>IF(COUNTIF($I91:Q91,"&gt;0")&gt;$AJ91,0,Q91)</f>
        <v>0</v>
      </c>
      <c r="AT91" s="28">
        <f>IF(COUNTIF($I91:R91,"&gt;0")&gt;$AJ91,0,R91)</f>
        <v>0</v>
      </c>
      <c r="AU91" s="28">
        <f>SUMPRODUCT(AK91:AT91,定义数据!$G$14:$P$14)</f>
        <v>75.62</v>
      </c>
      <c r="AV91" s="28">
        <f t="shared" si="4"/>
        <v>3781</v>
      </c>
      <c r="AW91" s="28">
        <f t="shared" si="14"/>
        <v>3781</v>
      </c>
      <c r="AX91" s="28">
        <f t="shared" si="15"/>
        <v>207955</v>
      </c>
      <c r="AY91" s="28">
        <f t="shared" si="16"/>
        <v>207955</v>
      </c>
    </row>
    <row r="92" spans="3:51" x14ac:dyDescent="0.15">
      <c r="C92" s="28" t="str">
        <f>H92&amp;F92&amp;VLOOKUP(G92,定义数据!$E$1:$F$7,2,FALSE)</f>
        <v>3043</v>
      </c>
      <c r="D92" s="28"/>
      <c r="E92" s="28">
        <f>装备属性计算表!AK91</f>
        <v>11</v>
      </c>
      <c r="F92" s="28">
        <f>装备属性计算表!B91</f>
        <v>4</v>
      </c>
      <c r="G92" s="28" t="str">
        <f>装备属性计算表!C91</f>
        <v>项链</v>
      </c>
      <c r="H92" s="28">
        <f>装备属性计算表!D91</f>
        <v>30</v>
      </c>
      <c r="I92" s="28">
        <f>VLOOKUP($G92,装备属性计算表!$D$14:$O$19,装备属性计算表!F$2,FALSE)/装备属性计算表!F$20*VLOOKUP($H92&amp;$F92,$C$3:$P$28,G$1,FALSE)</f>
        <v>0</v>
      </c>
      <c r="J92" s="28">
        <f>VLOOKUP($G92,装备属性计算表!$D$14:$O$19,装备属性计算表!G$2,FALSE)/装备属性计算表!G$20*VLOOKUP($H92&amp;$F92,$C$3:$P$28,H$1,FALSE)</f>
        <v>26.5465155080214</v>
      </c>
      <c r="K92" s="28">
        <f>VLOOKUP($G92,装备属性计算表!$D$14:$O$19,装备属性计算表!H$2,FALSE)/装备属性计算表!H$20*VLOOKUP($H92&amp;$F92,$C$3:$P$28,I$1,FALSE)</f>
        <v>0</v>
      </c>
      <c r="L92" s="28">
        <f>VLOOKUP($G92,装备属性计算表!$D$14:$O$19,装备属性计算表!I$2,FALSE)/装备属性计算表!I$20*VLOOKUP($H92&amp;$F92,$C$3:$P$28,J$1,FALSE)</f>
        <v>20.833333333333336</v>
      </c>
      <c r="M92" s="28">
        <f>VLOOKUP($G92,装备属性计算表!$D$14:$O$19,装备属性计算表!J$2,FALSE)/装备属性计算表!J$20*VLOOKUP($H92&amp;$F92,$C$3:$P$28,K$1,FALSE)</f>
        <v>34.722222222222221</v>
      </c>
      <c r="N92" s="28">
        <f>VLOOKUP($G92,装备属性计算表!$D$14:$O$19,装备属性计算表!K$2,FALSE)/装备属性计算表!K$20*VLOOKUP($H92&amp;$F92,$C$3:$P$28,L$1,FALSE)</f>
        <v>24.691358024691365</v>
      </c>
      <c r="O92" s="28">
        <f>VLOOKUP($G92,装备属性计算表!$D$14:$O$19,装备属性计算表!L$2,FALSE)/装备属性计算表!L$20*VLOOKUP($H92&amp;$F92,$C$3:$P$28,M$1,FALSE)</f>
        <v>0</v>
      </c>
      <c r="P92" s="28">
        <f>VLOOKUP($G92,装备属性计算表!$D$14:$O$19,装备属性计算表!M$2,FALSE)/装备属性计算表!M$20*VLOOKUP($H92&amp;$F92,$C$3:$P$28,N$1,FALSE)</f>
        <v>0</v>
      </c>
      <c r="Q92" s="28">
        <f>VLOOKUP($G92,装备属性计算表!$D$14:$O$19,装备属性计算表!N$2,FALSE)/装备属性计算表!N$20*VLOOKUP($H92&amp;$F92,$C$3:$P$28,O$1,FALSE)</f>
        <v>0</v>
      </c>
      <c r="R92" s="28">
        <f>VLOOKUP($G92,装备属性计算表!$D$14:$O$19,装备属性计算表!O$2,FALSE)/装备属性计算表!O$20*VLOOKUP($H92&amp;$F92,$C$3:$P$28,P$1,FALSE)</f>
        <v>0</v>
      </c>
      <c r="X92" s="28">
        <f>SUM(AY87:AY92)</f>
        <v>1076515</v>
      </c>
      <c r="Y92" s="28">
        <f t="shared" si="47"/>
        <v>0</v>
      </c>
      <c r="Z92" s="28">
        <f t="shared" si="48"/>
        <v>1</v>
      </c>
      <c r="AA92" s="28">
        <f t="shared" si="11"/>
        <v>10</v>
      </c>
      <c r="AB92" s="28">
        <f t="shared" si="49"/>
        <v>0</v>
      </c>
      <c r="AC92" s="28">
        <f t="shared" si="50"/>
        <v>3</v>
      </c>
      <c r="AD92" s="28">
        <f t="shared" si="51"/>
        <v>28</v>
      </c>
      <c r="AE92" s="28">
        <f t="shared" si="17"/>
        <v>143000</v>
      </c>
      <c r="AF92" s="28">
        <f t="shared" si="52"/>
        <v>4015</v>
      </c>
      <c r="AG92" s="28">
        <f t="shared" si="53"/>
        <v>9</v>
      </c>
      <c r="AH92" s="28">
        <f>IF(AG92&gt;0,VLOOKUP(G92,'价值&amp;消耗'!$U$173:$V$178,2,FALSE),0)</f>
        <v>73010</v>
      </c>
      <c r="AI92" s="28">
        <f t="shared" si="13"/>
        <v>495</v>
      </c>
      <c r="AJ92" s="28">
        <f t="shared" si="46"/>
        <v>4</v>
      </c>
      <c r="AK92" s="28">
        <f>ROUND(IF(COUNTIF($I92:I92,"&gt;0")&gt;$AJ92,0,I92),0)</f>
        <v>0</v>
      </c>
      <c r="AL92" s="28">
        <f>ROUND(IF(COUNTIF($I92:J92,"&gt;0")&gt;$AJ92,0,J92),0)</f>
        <v>27</v>
      </c>
      <c r="AM92" s="28">
        <f>ROUND(IF(COUNTIF($I92:K92,"&gt;0")&gt;$AJ92,0,K92),0)</f>
        <v>0</v>
      </c>
      <c r="AN92" s="28">
        <f>ROUND(IF(COUNTIF($I92:L92,"&gt;0")&gt;$AJ92,0,L92),0)</f>
        <v>21</v>
      </c>
      <c r="AO92" s="28">
        <f>ROUND(IF(COUNTIF($I92:M92,"&gt;0")&gt;$AJ92,0,M92),0)</f>
        <v>35</v>
      </c>
      <c r="AP92" s="28">
        <f>ROUND(IF(COUNTIF($I92:N92,"&gt;0")&gt;$AJ92,0,N92),0)</f>
        <v>25</v>
      </c>
      <c r="AQ92" s="28">
        <f>ROUND(IF(COUNTIF($I92:O92,"&gt;0")&gt;$AJ92,0,O92),0)</f>
        <v>0</v>
      </c>
      <c r="AR92" s="28">
        <f>ROUND(IF(COUNTIF($I92:P92,"&gt;0")&gt;$AJ92,0,P92),0)</f>
        <v>0</v>
      </c>
      <c r="AS92" s="28">
        <f>IF(COUNTIF($I92:Q92,"&gt;0")&gt;$AJ92,0,Q92)</f>
        <v>0</v>
      </c>
      <c r="AT92" s="28">
        <f>IF(COUNTIF($I92:R92,"&gt;0")&gt;$AJ92,0,R92)</f>
        <v>0</v>
      </c>
      <c r="AU92" s="28">
        <f>SUMPRODUCT(AK92:AT92,定义数据!$G$14:$P$14)</f>
        <v>50.54</v>
      </c>
      <c r="AV92" s="28">
        <f t="shared" si="4"/>
        <v>2527</v>
      </c>
      <c r="AW92" s="28">
        <f t="shared" si="14"/>
        <v>2527</v>
      </c>
      <c r="AX92" s="28">
        <f t="shared" si="15"/>
        <v>138985</v>
      </c>
      <c r="AY92" s="28">
        <f t="shared" si="16"/>
        <v>138985</v>
      </c>
    </row>
    <row r="93" spans="3:51" x14ac:dyDescent="0.15">
      <c r="C93" s="28" t="str">
        <f>H93&amp;F93&amp;VLOOKUP(G93,定义数据!$E$1:$F$7,2,FALSE)</f>
        <v>4510</v>
      </c>
      <c r="D93" s="28"/>
      <c r="E93" s="28">
        <f>装备属性计算表!AK92</f>
        <v>12</v>
      </c>
      <c r="F93" s="28">
        <f>装备属性计算表!B92</f>
        <v>1</v>
      </c>
      <c r="G93" s="28" t="str">
        <f>装备属性计算表!C92</f>
        <v>武器</v>
      </c>
      <c r="H93" s="28">
        <f>装备属性计算表!D92</f>
        <v>45</v>
      </c>
      <c r="I93" s="28">
        <f>VLOOKUP($G93,装备属性计算表!$D$14:$O$19,装备属性计算表!F$2,FALSE)/装备属性计算表!F$20*VLOOKUP($H93&amp;$F93,$C$3:$P$28,G$1,FALSE)</f>
        <v>0</v>
      </c>
      <c r="J93" s="28">
        <f>VLOOKUP($G93,装备属性计算表!$D$14:$O$19,装备属性计算表!G$2,FALSE)/装备属性计算表!G$20*VLOOKUP($H93&amp;$F93,$C$3:$P$28,H$1,FALSE)</f>
        <v>71.675591871657772</v>
      </c>
      <c r="K93" s="28">
        <f>VLOOKUP($G93,装备属性计算表!$D$14:$O$19,装备属性计算表!H$2,FALSE)/装备属性计算表!H$20*VLOOKUP($H93&amp;$F93,$C$3:$P$28,I$1,FALSE)</f>
        <v>8.6034634315424618</v>
      </c>
      <c r="L93" s="28">
        <f>VLOOKUP($G93,装备属性计算表!$D$14:$O$19,装备属性计算表!I$2,FALSE)/装备属性计算表!I$20*VLOOKUP($H93&amp;$F93,$C$3:$P$28,J$1,FALSE)</f>
        <v>0</v>
      </c>
      <c r="M93" s="28">
        <f>VLOOKUP($G93,装备属性计算表!$D$14:$O$19,装备属性计算表!J$2,FALSE)/装备属性计算表!J$20*VLOOKUP($H93&amp;$F93,$C$3:$P$28,K$1,FALSE)</f>
        <v>31.250000000000004</v>
      </c>
      <c r="N93" s="28">
        <f>VLOOKUP($G93,装备属性计算表!$D$14:$O$19,装备属性计算表!K$2,FALSE)/装备属性计算表!K$20*VLOOKUP($H93&amp;$F93,$C$3:$P$28,L$1,FALSE)</f>
        <v>22.222222222222229</v>
      </c>
      <c r="O93" s="28">
        <f>VLOOKUP($G93,装备属性计算表!$D$14:$O$19,装备属性计算表!L$2,FALSE)/装备属性计算表!L$20*VLOOKUP($H93&amp;$F93,$C$3:$P$28,M$1,FALSE)</f>
        <v>0</v>
      </c>
      <c r="P93" s="28">
        <f>VLOOKUP($G93,装备属性计算表!$D$14:$O$19,装备属性计算表!M$2,FALSE)/装备属性计算表!M$20*VLOOKUP($H93&amp;$F93,$C$3:$P$28,N$1,FALSE)</f>
        <v>0</v>
      </c>
      <c r="Q93" s="28">
        <f>VLOOKUP($G93,装备属性计算表!$D$14:$O$19,装备属性计算表!N$2,FALSE)/装备属性计算表!N$20*VLOOKUP($H93&amp;$F93,$C$3:$P$28,O$1,FALSE)</f>
        <v>0</v>
      </c>
      <c r="R93" s="28">
        <f>VLOOKUP($G93,装备属性计算表!$D$14:$O$19,装备属性计算表!O$2,FALSE)/装备属性计算表!O$20*VLOOKUP($H93&amp;$F93,$C$3:$P$28,P$1,FALSE)</f>
        <v>0</v>
      </c>
      <c r="X93" s="28"/>
      <c r="Y93" s="28">
        <f t="shared" si="47"/>
        <v>0</v>
      </c>
      <c r="Z93" s="28">
        <f t="shared" si="48"/>
        <v>1</v>
      </c>
      <c r="AA93" s="28">
        <f t="shared" si="11"/>
        <v>10</v>
      </c>
      <c r="AB93" s="28">
        <f t="shared" si="49"/>
        <v>0</v>
      </c>
      <c r="AC93" s="28">
        <f t="shared" si="50"/>
        <v>4</v>
      </c>
      <c r="AD93" s="28">
        <f t="shared" si="51"/>
        <v>39</v>
      </c>
      <c r="AE93" s="28">
        <f t="shared" si="17"/>
        <v>199000</v>
      </c>
      <c r="AF93" s="28">
        <f t="shared" si="52"/>
        <v>1000</v>
      </c>
      <c r="AG93" s="28">
        <f t="shared" si="53"/>
        <v>12</v>
      </c>
      <c r="AH93" s="28">
        <f>IF(AG93&gt;0,VLOOKUP(G93,'价值&amp;消耗'!$U$173:$V$178,2,FALSE),0)</f>
        <v>70010</v>
      </c>
      <c r="AI93" s="28">
        <f t="shared" si="13"/>
        <v>660</v>
      </c>
      <c r="AJ93" s="28">
        <f t="shared" si="46"/>
        <v>1</v>
      </c>
      <c r="AK93" s="28">
        <f>ROUND(IF(COUNTIF($I93:I93,"&gt;0")&gt;$AJ93,0,I93),0)</f>
        <v>0</v>
      </c>
      <c r="AL93" s="28">
        <f>ROUND(IF(COUNTIF($I93:J93,"&gt;0")&gt;$AJ93,0,J93),0)</f>
        <v>72</v>
      </c>
      <c r="AM93" s="28">
        <f>ROUND(IF(COUNTIF($I93:K93,"&gt;0")&gt;$AJ93,0,K93),0)</f>
        <v>0</v>
      </c>
      <c r="AN93" s="28">
        <f>ROUND(IF(COUNTIF($I93:L93,"&gt;0")&gt;$AJ93,0,L93),0)</f>
        <v>0</v>
      </c>
      <c r="AO93" s="28">
        <f>ROUND(IF(COUNTIF($I93:M93,"&gt;0")&gt;$AJ93,0,M93),0)</f>
        <v>0</v>
      </c>
      <c r="AP93" s="28">
        <f>ROUND(IF(COUNTIF($I93:N93,"&gt;0")&gt;$AJ93,0,N93),0)</f>
        <v>0</v>
      </c>
      <c r="AQ93" s="28">
        <f>ROUND(IF(COUNTIF($I93:O93,"&gt;0")&gt;$AJ93,0,O93),0)</f>
        <v>0</v>
      </c>
      <c r="AR93" s="28">
        <f>ROUND(IF(COUNTIF($I93:P93,"&gt;0")&gt;$AJ93,0,P93),0)</f>
        <v>0</v>
      </c>
      <c r="AS93" s="28">
        <f>IF(COUNTIF($I93:Q93,"&gt;0")&gt;$AJ93,0,Q93)</f>
        <v>0</v>
      </c>
      <c r="AT93" s="28">
        <f>IF(COUNTIF($I93:R93,"&gt;0")&gt;$AJ93,0,R93)</f>
        <v>0</v>
      </c>
      <c r="AU93" s="28">
        <f>SUMPRODUCT(AK93:AT93,定义数据!$G$14:$P$14)</f>
        <v>72</v>
      </c>
      <c r="AV93" s="28">
        <f t="shared" si="4"/>
        <v>3600</v>
      </c>
      <c r="AW93" s="28">
        <f t="shared" si="14"/>
        <v>3600</v>
      </c>
      <c r="AX93" s="28">
        <f t="shared" si="15"/>
        <v>198000</v>
      </c>
      <c r="AY93" s="28">
        <f t="shared" si="16"/>
        <v>198000</v>
      </c>
    </row>
    <row r="94" spans="3:51" x14ac:dyDescent="0.15">
      <c r="C94" s="28" t="str">
        <f>H94&amp;F94&amp;VLOOKUP(G94,定义数据!$E$1:$F$7,2,FALSE)</f>
        <v>4511</v>
      </c>
      <c r="D94" s="28"/>
      <c r="E94" s="28">
        <f>装备属性计算表!AK93</f>
        <v>12</v>
      </c>
      <c r="F94" s="28">
        <f>装备属性计算表!B93</f>
        <v>1</v>
      </c>
      <c r="G94" s="28" t="str">
        <f>装备属性计算表!C93</f>
        <v>衣服</v>
      </c>
      <c r="H94" s="28">
        <f>装备属性计算表!D93</f>
        <v>45</v>
      </c>
      <c r="I94" s="28">
        <f>VLOOKUP($G94,装备属性计算表!$D$14:$O$19,装备属性计算表!F$2,FALSE)/装备属性计算表!F$20*VLOOKUP($H94&amp;$F94,$C$3:$P$28,G$1,FALSE)</f>
        <v>783.9631963968111</v>
      </c>
      <c r="J94" s="28">
        <f>VLOOKUP($G94,装备属性计算表!$D$14:$O$19,装备属性计算表!G$2,FALSE)/装备属性计算表!G$20*VLOOKUP($H94&amp;$F94,$C$3:$P$28,H$1,FALSE)</f>
        <v>0</v>
      </c>
      <c r="K94" s="28">
        <f>VLOOKUP($G94,装备属性计算表!$D$14:$O$19,装备属性计算表!H$2,FALSE)/装备属性计算表!H$20*VLOOKUP($H94&amp;$F94,$C$3:$P$28,I$1,FALSE)</f>
        <v>25.810390294627389</v>
      </c>
      <c r="L94" s="28">
        <f>VLOOKUP($G94,装备属性计算表!$D$14:$O$19,装备属性计算表!I$2,FALSE)/装备属性计算表!I$20*VLOOKUP($H94&amp;$F94,$C$3:$P$28,J$1,FALSE)</f>
        <v>18.750000000000004</v>
      </c>
      <c r="M94" s="28">
        <f>VLOOKUP($G94,装备属性计算表!$D$14:$O$19,装备属性计算表!J$2,FALSE)/装备属性计算表!J$20*VLOOKUP($H94&amp;$F94,$C$3:$P$28,K$1,FALSE)</f>
        <v>0</v>
      </c>
      <c r="N94" s="28">
        <f>VLOOKUP($G94,装备属性计算表!$D$14:$O$19,装备属性计算表!K$2,FALSE)/装备属性计算表!K$20*VLOOKUP($H94&amp;$F94,$C$3:$P$28,L$1,FALSE)</f>
        <v>0</v>
      </c>
      <c r="O94" s="28">
        <f>VLOOKUP($G94,装备属性计算表!$D$14:$O$19,装备属性计算表!L$2,FALSE)/装备属性计算表!L$20*VLOOKUP($H94&amp;$F94,$C$3:$P$28,M$1,FALSE)</f>
        <v>0</v>
      </c>
      <c r="P94" s="28">
        <f>VLOOKUP($G94,装备属性计算表!$D$14:$O$19,装备属性计算表!M$2,FALSE)/装备属性计算表!M$20*VLOOKUP($H94&amp;$F94,$C$3:$P$28,N$1,FALSE)</f>
        <v>18.518518518518519</v>
      </c>
      <c r="Q94" s="28">
        <f>VLOOKUP($G94,装备属性计算表!$D$14:$O$19,装备属性计算表!N$2,FALSE)/装备属性计算表!N$20*VLOOKUP($H94&amp;$F94,$C$3:$P$28,O$1,FALSE)</f>
        <v>0</v>
      </c>
      <c r="R94" s="28">
        <f>VLOOKUP($G94,装备属性计算表!$D$14:$O$19,装备属性计算表!O$2,FALSE)/装备属性计算表!O$20*VLOOKUP($H94&amp;$F94,$C$3:$P$28,P$1,FALSE)</f>
        <v>0</v>
      </c>
      <c r="X94" s="28"/>
      <c r="Y94" s="28">
        <f t="shared" si="47"/>
        <v>0</v>
      </c>
      <c r="Z94" s="28">
        <f t="shared" si="48"/>
        <v>3</v>
      </c>
      <c r="AA94" s="28">
        <f t="shared" si="11"/>
        <v>10</v>
      </c>
      <c r="AB94" s="28">
        <f t="shared" si="49"/>
        <v>0</v>
      </c>
      <c r="AC94" s="28">
        <f t="shared" si="50"/>
        <v>10</v>
      </c>
      <c r="AD94" s="28">
        <f t="shared" si="51"/>
        <v>16</v>
      </c>
      <c r="AE94" s="28">
        <f t="shared" si="17"/>
        <v>90000</v>
      </c>
      <c r="AF94" s="28">
        <f t="shared" si="52"/>
        <v>3760</v>
      </c>
      <c r="AG94" s="28">
        <f t="shared" si="53"/>
        <v>6</v>
      </c>
      <c r="AH94" s="28">
        <f>IF(AG94&gt;0,VLOOKUP(G94,'价值&amp;消耗'!$U$173:$V$178,2,FALSE),0)</f>
        <v>71010</v>
      </c>
      <c r="AI94" s="28">
        <f t="shared" si="13"/>
        <v>330</v>
      </c>
      <c r="AJ94" s="28">
        <f t="shared" si="46"/>
        <v>1</v>
      </c>
      <c r="AK94" s="28">
        <f>ROUND(IF(COUNTIF($I94:I94,"&gt;0")&gt;$AJ94,0,I94),0)</f>
        <v>784</v>
      </c>
      <c r="AL94" s="28">
        <f>ROUND(IF(COUNTIF($I94:J94,"&gt;0")&gt;$AJ94,0,J94),0)</f>
        <v>0</v>
      </c>
      <c r="AM94" s="28">
        <f>ROUND(IF(COUNTIF($I94:K94,"&gt;0")&gt;$AJ94,0,K94),0)</f>
        <v>0</v>
      </c>
      <c r="AN94" s="28">
        <f>ROUND(IF(COUNTIF($I94:L94,"&gt;0")&gt;$AJ94,0,L94),0)</f>
        <v>0</v>
      </c>
      <c r="AO94" s="28">
        <f>ROUND(IF(COUNTIF($I94:M94,"&gt;0")&gt;$AJ94,0,M94),0)</f>
        <v>0</v>
      </c>
      <c r="AP94" s="28">
        <f>ROUND(IF(COUNTIF($I94:N94,"&gt;0")&gt;$AJ94,0,N94),0)</f>
        <v>0</v>
      </c>
      <c r="AQ94" s="28">
        <f>ROUND(IF(COUNTIF($I94:O94,"&gt;0")&gt;$AJ94,0,O94),0)</f>
        <v>0</v>
      </c>
      <c r="AR94" s="28">
        <f>ROUND(IF(COUNTIF($I94:P94,"&gt;0")&gt;$AJ94,0,P94),0)</f>
        <v>0</v>
      </c>
      <c r="AS94" s="28">
        <f>IF(COUNTIF($I94:Q94,"&gt;0")&gt;$AJ94,0,Q94)</f>
        <v>0</v>
      </c>
      <c r="AT94" s="28">
        <f>IF(COUNTIF($I94:R94,"&gt;0")&gt;$AJ94,0,R94)</f>
        <v>0</v>
      </c>
      <c r="AU94" s="28">
        <f>SUMPRODUCT(AK94:AT94,定义数据!$G$14:$P$14)</f>
        <v>31.36</v>
      </c>
      <c r="AV94" s="28">
        <f t="shared" si="4"/>
        <v>1568</v>
      </c>
      <c r="AW94" s="28">
        <f t="shared" si="14"/>
        <v>1568</v>
      </c>
      <c r="AX94" s="28">
        <f t="shared" si="15"/>
        <v>86240</v>
      </c>
      <c r="AY94" s="28">
        <f t="shared" si="16"/>
        <v>86240</v>
      </c>
    </row>
    <row r="95" spans="3:51" x14ac:dyDescent="0.15">
      <c r="C95" s="28" t="str">
        <f>H95&amp;F95&amp;VLOOKUP(G95,定义数据!$E$1:$F$7,2,FALSE)</f>
        <v>4512</v>
      </c>
      <c r="D95" s="28"/>
      <c r="E95" s="28">
        <f>装备属性计算表!AK94</f>
        <v>12</v>
      </c>
      <c r="F95" s="28">
        <f>装备属性计算表!B94</f>
        <v>1</v>
      </c>
      <c r="G95" s="28" t="str">
        <f>装备属性计算表!C94</f>
        <v>裤子</v>
      </c>
      <c r="H95" s="28">
        <f>装备属性计算表!D94</f>
        <v>45</v>
      </c>
      <c r="I95" s="28">
        <f>VLOOKUP($G95,装备属性计算表!$D$14:$O$19,装备属性计算表!F$2,FALSE)/装备属性计算表!F$20*VLOOKUP($H95&amp;$F95,$C$3:$P$28,G$1,FALSE)</f>
        <v>391.98159819840555</v>
      </c>
      <c r="J95" s="28">
        <f>VLOOKUP($G95,装备属性计算表!$D$14:$O$19,装备属性计算表!G$2,FALSE)/装备属性计算表!G$20*VLOOKUP($H95&amp;$F95,$C$3:$P$28,H$1,FALSE)</f>
        <v>0</v>
      </c>
      <c r="K95" s="28">
        <f>VLOOKUP($G95,装备属性计算表!$D$14:$O$19,装备属性计算表!H$2,FALSE)/装备属性计算表!H$20*VLOOKUP($H95&amp;$F95,$C$3:$P$28,I$1,FALSE)</f>
        <v>8.6034634315424618</v>
      </c>
      <c r="L95" s="28">
        <f>VLOOKUP($G95,装备属性计算表!$D$14:$O$19,装备属性计算表!I$2,FALSE)/装备属性计算表!I$20*VLOOKUP($H95&amp;$F95,$C$3:$P$28,J$1,FALSE)</f>
        <v>18.750000000000004</v>
      </c>
      <c r="M95" s="28">
        <f>VLOOKUP($G95,装备属性计算表!$D$14:$O$19,装备属性计算表!J$2,FALSE)/装备属性计算表!J$20*VLOOKUP($H95&amp;$F95,$C$3:$P$28,K$1,FALSE)</f>
        <v>0</v>
      </c>
      <c r="N95" s="28">
        <f>VLOOKUP($G95,装备属性计算表!$D$14:$O$19,装备属性计算表!K$2,FALSE)/装备属性计算表!K$20*VLOOKUP($H95&amp;$F95,$C$3:$P$28,L$1,FALSE)</f>
        <v>0</v>
      </c>
      <c r="O95" s="28">
        <f>VLOOKUP($G95,装备属性计算表!$D$14:$O$19,装备属性计算表!L$2,FALSE)/装备属性计算表!L$20*VLOOKUP($H95&amp;$F95,$C$3:$P$28,M$1,FALSE)</f>
        <v>0</v>
      </c>
      <c r="P95" s="28">
        <f>VLOOKUP($G95,装备属性计算表!$D$14:$O$19,装备属性计算表!M$2,FALSE)/装备属性计算表!M$20*VLOOKUP($H95&amp;$F95,$C$3:$P$28,N$1,FALSE)</f>
        <v>18.518518518518519</v>
      </c>
      <c r="Q95" s="28">
        <f>VLOOKUP($G95,装备属性计算表!$D$14:$O$19,装备属性计算表!N$2,FALSE)/装备属性计算表!N$20*VLOOKUP($H95&amp;$F95,$C$3:$P$28,O$1,FALSE)</f>
        <v>0</v>
      </c>
      <c r="R95" s="28">
        <f>VLOOKUP($G95,装备属性计算表!$D$14:$O$19,装备属性计算表!O$2,FALSE)/装备属性计算表!O$20*VLOOKUP($H95&amp;$F95,$C$3:$P$28,P$1,FALSE)</f>
        <v>0</v>
      </c>
      <c r="X95" s="28"/>
      <c r="Y95" s="28">
        <f t="shared" si="47"/>
        <v>1</v>
      </c>
      <c r="Z95" s="28">
        <f t="shared" si="48"/>
        <v>6</v>
      </c>
      <c r="AA95" s="28">
        <f t="shared" si="11"/>
        <v>10</v>
      </c>
      <c r="AB95" s="28">
        <f t="shared" si="49"/>
        <v>4</v>
      </c>
      <c r="AC95" s="28">
        <f t="shared" si="50"/>
        <v>16</v>
      </c>
      <c r="AD95" s="28">
        <f t="shared" si="51"/>
        <v>6</v>
      </c>
      <c r="AE95" s="28">
        <f t="shared" si="17"/>
        <v>46800</v>
      </c>
      <c r="AF95" s="28">
        <f t="shared" si="52"/>
        <v>3680</v>
      </c>
      <c r="AG95" s="28">
        <f t="shared" si="53"/>
        <v>3</v>
      </c>
      <c r="AH95" s="28">
        <f>IF(AG95&gt;0,VLOOKUP(G95,'价值&amp;消耗'!$U$173:$V$178,2,FALSE),0)</f>
        <v>72010</v>
      </c>
      <c r="AI95" s="28">
        <f t="shared" si="13"/>
        <v>165</v>
      </c>
      <c r="AJ95" s="28">
        <f t="shared" si="46"/>
        <v>1</v>
      </c>
      <c r="AK95" s="28">
        <f>ROUND(IF(COUNTIF($I95:I95,"&gt;0")&gt;$AJ95,0,I95),0)</f>
        <v>392</v>
      </c>
      <c r="AL95" s="28">
        <f>ROUND(IF(COUNTIF($I95:J95,"&gt;0")&gt;$AJ95,0,J95),0)</f>
        <v>0</v>
      </c>
      <c r="AM95" s="28">
        <f>ROUND(IF(COUNTIF($I95:K95,"&gt;0")&gt;$AJ95,0,K95),0)</f>
        <v>0</v>
      </c>
      <c r="AN95" s="28">
        <f>ROUND(IF(COUNTIF($I95:L95,"&gt;0")&gt;$AJ95,0,L95),0)</f>
        <v>0</v>
      </c>
      <c r="AO95" s="28">
        <f>ROUND(IF(COUNTIF($I95:M95,"&gt;0")&gt;$AJ95,0,M95),0)</f>
        <v>0</v>
      </c>
      <c r="AP95" s="28">
        <f>ROUND(IF(COUNTIF($I95:N95,"&gt;0")&gt;$AJ95,0,N95),0)</f>
        <v>0</v>
      </c>
      <c r="AQ95" s="28">
        <f>ROUND(IF(COUNTIF($I95:O95,"&gt;0")&gt;$AJ95,0,O95),0)</f>
        <v>0</v>
      </c>
      <c r="AR95" s="28">
        <f>ROUND(IF(COUNTIF($I95:P95,"&gt;0")&gt;$AJ95,0,P95),0)</f>
        <v>0</v>
      </c>
      <c r="AS95" s="28">
        <f>IF(COUNTIF($I95:Q95,"&gt;0")&gt;$AJ95,0,Q95)</f>
        <v>0</v>
      </c>
      <c r="AT95" s="28">
        <f>IF(COUNTIF($I95:R95,"&gt;0")&gt;$AJ95,0,R95)</f>
        <v>0</v>
      </c>
      <c r="AU95" s="28">
        <f>SUMPRODUCT(AK95:AT95,定义数据!$G$14:$P$14)</f>
        <v>15.68</v>
      </c>
      <c r="AV95" s="28">
        <f t="shared" si="4"/>
        <v>784</v>
      </c>
      <c r="AW95" s="28">
        <f t="shared" si="14"/>
        <v>784</v>
      </c>
      <c r="AX95" s="28">
        <f t="shared" si="15"/>
        <v>43120</v>
      </c>
      <c r="AY95" s="28">
        <f t="shared" si="16"/>
        <v>43120</v>
      </c>
    </row>
    <row r="96" spans="3:51" x14ac:dyDescent="0.15">
      <c r="C96" s="28" t="str">
        <f>H96&amp;F96&amp;VLOOKUP(G96,定义数据!$E$1:$F$7,2,FALSE)</f>
        <v>4515</v>
      </c>
      <c r="D96" s="28"/>
      <c r="E96" s="28">
        <f>装备属性计算表!AK95</f>
        <v>12</v>
      </c>
      <c r="F96" s="28">
        <f>装备属性计算表!B95</f>
        <v>1</v>
      </c>
      <c r="G96" s="28" t="str">
        <f>装备属性计算表!C95</f>
        <v>鞋子</v>
      </c>
      <c r="H96" s="28">
        <f>装备属性计算表!D95</f>
        <v>45</v>
      </c>
      <c r="I96" s="28">
        <f>VLOOKUP($G96,装备属性计算表!$D$14:$O$19,装备属性计算表!F$2,FALSE)/装备属性计算表!F$20*VLOOKUP($H96&amp;$F96,$C$3:$P$28,G$1,FALSE)</f>
        <v>391.98159819840555</v>
      </c>
      <c r="J96" s="28">
        <f>VLOOKUP($G96,装备属性计算表!$D$14:$O$19,装备属性计算表!G$2,FALSE)/装备属性计算表!G$20*VLOOKUP($H96&amp;$F96,$C$3:$P$28,H$1,FALSE)</f>
        <v>0</v>
      </c>
      <c r="K96" s="28">
        <f>VLOOKUP($G96,装备属性计算表!$D$14:$O$19,装备属性计算表!H$2,FALSE)/装备属性计算表!H$20*VLOOKUP($H96&amp;$F96,$C$3:$P$28,I$1,FALSE)</f>
        <v>0</v>
      </c>
      <c r="L96" s="28">
        <f>VLOOKUP($G96,装备属性计算表!$D$14:$O$19,装备属性计算表!I$2,FALSE)/装备属性计算表!I$20*VLOOKUP($H96&amp;$F96,$C$3:$P$28,J$1,FALSE)</f>
        <v>37.500000000000007</v>
      </c>
      <c r="M96" s="28">
        <f>VLOOKUP($G96,装备属性计算表!$D$14:$O$19,装备属性计算表!J$2,FALSE)/装备属性计算表!J$20*VLOOKUP($H96&amp;$F96,$C$3:$P$28,K$1,FALSE)</f>
        <v>31.250000000000004</v>
      </c>
      <c r="N96" s="28">
        <f>VLOOKUP($G96,装备属性计算表!$D$14:$O$19,装备属性计算表!K$2,FALSE)/装备属性计算表!K$20*VLOOKUP($H96&amp;$F96,$C$3:$P$28,L$1,FALSE)</f>
        <v>11.111111111111114</v>
      </c>
      <c r="O96" s="28">
        <f>VLOOKUP($G96,装备属性计算表!$D$14:$O$19,装备属性计算表!L$2,FALSE)/装备属性计算表!L$20*VLOOKUP($H96&amp;$F96,$C$3:$P$28,M$1,FALSE)</f>
        <v>0</v>
      </c>
      <c r="P96" s="28">
        <f>VLOOKUP($G96,装备属性计算表!$D$14:$O$19,装备属性计算表!M$2,FALSE)/装备属性计算表!M$20*VLOOKUP($H96&amp;$F96,$C$3:$P$28,N$1,FALSE)</f>
        <v>0</v>
      </c>
      <c r="Q96" s="28">
        <f>VLOOKUP($G96,装备属性计算表!$D$14:$O$19,装备属性计算表!N$2,FALSE)/装备属性计算表!N$20*VLOOKUP($H96&amp;$F96,$C$3:$P$28,O$1,FALSE)</f>
        <v>0</v>
      </c>
      <c r="R96" s="28">
        <f>VLOOKUP($G96,装备属性计算表!$D$14:$O$19,装备属性计算表!O$2,FALSE)/装备属性计算表!O$20*VLOOKUP($H96&amp;$F96,$C$3:$P$28,P$1,FALSE)</f>
        <v>0</v>
      </c>
      <c r="X96" s="28"/>
      <c r="Y96" s="28">
        <f t="shared" si="47"/>
        <v>1</v>
      </c>
      <c r="Z96" s="28">
        <f t="shared" si="48"/>
        <v>6</v>
      </c>
      <c r="AA96" s="28">
        <f t="shared" si="11"/>
        <v>10</v>
      </c>
      <c r="AB96" s="28">
        <f t="shared" si="49"/>
        <v>4</v>
      </c>
      <c r="AC96" s="28">
        <f t="shared" si="50"/>
        <v>16</v>
      </c>
      <c r="AD96" s="28">
        <f t="shared" si="51"/>
        <v>6</v>
      </c>
      <c r="AE96" s="28">
        <f t="shared" si="17"/>
        <v>46800</v>
      </c>
      <c r="AF96" s="28">
        <f t="shared" si="52"/>
        <v>3680</v>
      </c>
      <c r="AG96" s="28">
        <f t="shared" si="53"/>
        <v>3</v>
      </c>
      <c r="AH96" s="28">
        <f>IF(AG96&gt;0,VLOOKUP(G96,'价值&amp;消耗'!$U$173:$V$178,2,FALSE),0)</f>
        <v>75010</v>
      </c>
      <c r="AI96" s="28">
        <f t="shared" si="13"/>
        <v>165</v>
      </c>
      <c r="AJ96" s="28">
        <f t="shared" si="46"/>
        <v>1</v>
      </c>
      <c r="AK96" s="28">
        <f>ROUND(IF(COUNTIF($I96:I96,"&gt;0")&gt;$AJ96,0,I96),0)</f>
        <v>392</v>
      </c>
      <c r="AL96" s="28">
        <f>ROUND(IF(COUNTIF($I96:J96,"&gt;0")&gt;$AJ96,0,J96),0)</f>
        <v>0</v>
      </c>
      <c r="AM96" s="28">
        <f>ROUND(IF(COUNTIF($I96:K96,"&gt;0")&gt;$AJ96,0,K96),0)</f>
        <v>0</v>
      </c>
      <c r="AN96" s="28">
        <f>ROUND(IF(COUNTIF($I96:L96,"&gt;0")&gt;$AJ96,0,L96),0)</f>
        <v>0</v>
      </c>
      <c r="AO96" s="28">
        <f>ROUND(IF(COUNTIF($I96:M96,"&gt;0")&gt;$AJ96,0,M96),0)</f>
        <v>0</v>
      </c>
      <c r="AP96" s="28">
        <f>ROUND(IF(COUNTIF($I96:N96,"&gt;0")&gt;$AJ96,0,N96),0)</f>
        <v>0</v>
      </c>
      <c r="AQ96" s="28">
        <f>ROUND(IF(COUNTIF($I96:O96,"&gt;0")&gt;$AJ96,0,O96),0)</f>
        <v>0</v>
      </c>
      <c r="AR96" s="28">
        <f>ROUND(IF(COUNTIF($I96:P96,"&gt;0")&gt;$AJ96,0,P96),0)</f>
        <v>0</v>
      </c>
      <c r="AS96" s="28">
        <f>IF(COUNTIF($I96:Q96,"&gt;0")&gt;$AJ96,0,Q96)</f>
        <v>0</v>
      </c>
      <c r="AT96" s="28">
        <f>IF(COUNTIF($I96:R96,"&gt;0")&gt;$AJ96,0,R96)</f>
        <v>0</v>
      </c>
      <c r="AU96" s="28">
        <f>SUMPRODUCT(AK96:AT96,定义数据!$G$14:$P$14)</f>
        <v>15.68</v>
      </c>
      <c r="AV96" s="28">
        <f t="shared" si="4"/>
        <v>784</v>
      </c>
      <c r="AW96" s="28">
        <f t="shared" si="14"/>
        <v>784</v>
      </c>
      <c r="AX96" s="28">
        <f t="shared" si="15"/>
        <v>43120</v>
      </c>
      <c r="AY96" s="28">
        <f t="shared" si="16"/>
        <v>43120</v>
      </c>
    </row>
    <row r="97" spans="3:51" x14ac:dyDescent="0.15">
      <c r="C97" s="28" t="str">
        <f>H97&amp;F97&amp;VLOOKUP(G97,定义数据!$E$1:$F$7,2,FALSE)</f>
        <v>4514</v>
      </c>
      <c r="D97" s="28"/>
      <c r="E97" s="28">
        <f>装备属性计算表!AK96</f>
        <v>12</v>
      </c>
      <c r="F97" s="28">
        <f>装备属性计算表!B96</f>
        <v>1</v>
      </c>
      <c r="G97" s="28" t="str">
        <f>装备属性计算表!C96</f>
        <v>腰带</v>
      </c>
      <c r="H97" s="28">
        <f>装备属性计算表!D96</f>
        <v>45</v>
      </c>
      <c r="I97" s="28">
        <f>VLOOKUP($G97,装备属性计算表!$D$14:$O$19,装备属性计算表!F$2,FALSE)/装备属性计算表!F$20*VLOOKUP($H97&amp;$F97,$C$3:$P$28,G$1,FALSE)</f>
        <v>783.9631963968111</v>
      </c>
      <c r="J97" s="28">
        <f>VLOOKUP($G97,装备属性计算表!$D$14:$O$19,装备属性计算表!G$2,FALSE)/装备属性计算表!G$20*VLOOKUP($H97&amp;$F97,$C$3:$P$28,H$1,FALSE)</f>
        <v>23.891863957219261</v>
      </c>
      <c r="K97" s="28">
        <f>VLOOKUP($G97,装备属性计算表!$D$14:$O$19,装备属性计算表!H$2,FALSE)/装备属性计算表!H$20*VLOOKUP($H97&amp;$F97,$C$3:$P$28,I$1,FALSE)</f>
        <v>8.6034634315424618</v>
      </c>
      <c r="L97" s="28">
        <f>VLOOKUP($G97,装备属性计算表!$D$14:$O$19,装备属性计算表!I$2,FALSE)/装备属性计算表!I$20*VLOOKUP($H97&amp;$F97,$C$3:$P$28,J$1,FALSE)</f>
        <v>0</v>
      </c>
      <c r="M97" s="28">
        <f>VLOOKUP($G97,装备属性计算表!$D$14:$O$19,装备属性计算表!J$2,FALSE)/装备属性计算表!J$20*VLOOKUP($H97&amp;$F97,$C$3:$P$28,K$1,FALSE)</f>
        <v>0</v>
      </c>
      <c r="N97" s="28">
        <f>VLOOKUP($G97,装备属性计算表!$D$14:$O$19,装备属性计算表!K$2,FALSE)/装备属性计算表!K$20*VLOOKUP($H97&amp;$F97,$C$3:$P$28,L$1,FALSE)</f>
        <v>0</v>
      </c>
      <c r="O97" s="28">
        <f>VLOOKUP($G97,装备属性计算表!$D$14:$O$19,装备属性计算表!L$2,FALSE)/装备属性计算表!L$20*VLOOKUP($H97&amp;$F97,$C$3:$P$28,M$1,FALSE)</f>
        <v>0</v>
      </c>
      <c r="P97" s="28">
        <f>VLOOKUP($G97,装备属性计算表!$D$14:$O$19,装备属性计算表!M$2,FALSE)/装备属性计算表!M$20*VLOOKUP($H97&amp;$F97,$C$3:$P$28,N$1,FALSE)</f>
        <v>18.518518518518519</v>
      </c>
      <c r="Q97" s="28">
        <f>VLOOKUP($G97,装备属性计算表!$D$14:$O$19,装备属性计算表!N$2,FALSE)/装备属性计算表!N$20*VLOOKUP($H97&amp;$F97,$C$3:$P$28,O$1,FALSE)</f>
        <v>0</v>
      </c>
      <c r="R97" s="28">
        <f>VLOOKUP($G97,装备属性计算表!$D$14:$O$19,装备属性计算表!O$2,FALSE)/装备属性计算表!O$20*VLOOKUP($H97&amp;$F97,$C$3:$P$28,P$1,FALSE)</f>
        <v>0</v>
      </c>
      <c r="X97" s="28"/>
      <c r="Y97" s="28">
        <f t="shared" si="47"/>
        <v>0</v>
      </c>
      <c r="Z97" s="28">
        <f t="shared" si="48"/>
        <v>3</v>
      </c>
      <c r="AA97" s="28">
        <f t="shared" si="11"/>
        <v>10</v>
      </c>
      <c r="AB97" s="28">
        <f t="shared" si="49"/>
        <v>0</v>
      </c>
      <c r="AC97" s="28">
        <f t="shared" si="50"/>
        <v>10</v>
      </c>
      <c r="AD97" s="28">
        <f t="shared" si="51"/>
        <v>16</v>
      </c>
      <c r="AE97" s="28">
        <f t="shared" si="17"/>
        <v>90000</v>
      </c>
      <c r="AF97" s="28">
        <f t="shared" si="52"/>
        <v>3760</v>
      </c>
      <c r="AG97" s="28">
        <f t="shared" si="53"/>
        <v>6</v>
      </c>
      <c r="AH97" s="28">
        <f>IF(AG97&gt;0,VLOOKUP(G97,'价值&amp;消耗'!$U$173:$V$178,2,FALSE),0)</f>
        <v>74010</v>
      </c>
      <c r="AI97" s="28">
        <f t="shared" si="13"/>
        <v>330</v>
      </c>
      <c r="AJ97" s="28">
        <f t="shared" si="46"/>
        <v>1</v>
      </c>
      <c r="AK97" s="28">
        <f>ROUND(IF(COUNTIF($I97:I97,"&gt;0")&gt;$AJ97,0,I97),0)</f>
        <v>784</v>
      </c>
      <c r="AL97" s="28">
        <f>ROUND(IF(COUNTIF($I97:J97,"&gt;0")&gt;$AJ97,0,J97),0)</f>
        <v>0</v>
      </c>
      <c r="AM97" s="28">
        <f>ROUND(IF(COUNTIF($I97:K97,"&gt;0")&gt;$AJ97,0,K97),0)</f>
        <v>0</v>
      </c>
      <c r="AN97" s="28">
        <f>ROUND(IF(COUNTIF($I97:L97,"&gt;0")&gt;$AJ97,0,L97),0)</f>
        <v>0</v>
      </c>
      <c r="AO97" s="28">
        <f>ROUND(IF(COUNTIF($I97:M97,"&gt;0")&gt;$AJ97,0,M97),0)</f>
        <v>0</v>
      </c>
      <c r="AP97" s="28">
        <f>ROUND(IF(COUNTIF($I97:N97,"&gt;0")&gt;$AJ97,0,N97),0)</f>
        <v>0</v>
      </c>
      <c r="AQ97" s="28">
        <f>ROUND(IF(COUNTIF($I97:O97,"&gt;0")&gt;$AJ97,0,O97),0)</f>
        <v>0</v>
      </c>
      <c r="AR97" s="28">
        <f>ROUND(IF(COUNTIF($I97:P97,"&gt;0")&gt;$AJ97,0,P97),0)</f>
        <v>0</v>
      </c>
      <c r="AS97" s="28">
        <f>IF(COUNTIF($I97:Q97,"&gt;0")&gt;$AJ97,0,Q97)</f>
        <v>0</v>
      </c>
      <c r="AT97" s="28">
        <f>IF(COUNTIF($I97:R97,"&gt;0")&gt;$AJ97,0,R97)</f>
        <v>0</v>
      </c>
      <c r="AU97" s="28">
        <f>SUMPRODUCT(AK97:AT97,定义数据!$G$14:$P$14)</f>
        <v>31.36</v>
      </c>
      <c r="AV97" s="28">
        <f t="shared" si="4"/>
        <v>1568</v>
      </c>
      <c r="AW97" s="28">
        <f t="shared" si="14"/>
        <v>1568</v>
      </c>
      <c r="AX97" s="28">
        <f t="shared" si="15"/>
        <v>86240</v>
      </c>
      <c r="AY97" s="28">
        <f t="shared" si="16"/>
        <v>86240</v>
      </c>
    </row>
    <row r="98" spans="3:51" x14ac:dyDescent="0.15">
      <c r="C98" s="28" t="str">
        <f>H98&amp;F98&amp;VLOOKUP(G98,定义数据!$E$1:$F$7,2,FALSE)</f>
        <v>4513</v>
      </c>
      <c r="D98" s="28"/>
      <c r="E98" s="28">
        <f>装备属性计算表!AK97</f>
        <v>12</v>
      </c>
      <c r="F98" s="28">
        <f>装备属性计算表!B97</f>
        <v>1</v>
      </c>
      <c r="G98" s="28" t="str">
        <f>装备属性计算表!C97</f>
        <v>项链</v>
      </c>
      <c r="H98" s="28">
        <f>装备属性计算表!D97</f>
        <v>45</v>
      </c>
      <c r="I98" s="28">
        <f>VLOOKUP($G98,装备属性计算表!$D$14:$O$19,装备属性计算表!F$2,FALSE)/装备属性计算表!F$20*VLOOKUP($H98&amp;$F98,$C$3:$P$28,G$1,FALSE)</f>
        <v>0</v>
      </c>
      <c r="J98" s="28">
        <f>VLOOKUP($G98,装备属性计算表!$D$14:$O$19,装备属性计算表!G$2,FALSE)/装备属性计算表!G$20*VLOOKUP($H98&amp;$F98,$C$3:$P$28,H$1,FALSE)</f>
        <v>23.891863957219261</v>
      </c>
      <c r="K98" s="28">
        <f>VLOOKUP($G98,装备属性计算表!$D$14:$O$19,装备属性计算表!H$2,FALSE)/装备属性计算表!H$20*VLOOKUP($H98&amp;$F98,$C$3:$P$28,I$1,FALSE)</f>
        <v>0</v>
      </c>
      <c r="L98" s="28">
        <f>VLOOKUP($G98,装备属性计算表!$D$14:$O$19,装备属性计算表!I$2,FALSE)/装备属性计算表!I$20*VLOOKUP($H98&amp;$F98,$C$3:$P$28,J$1,FALSE)</f>
        <v>18.750000000000004</v>
      </c>
      <c r="M98" s="28">
        <f>VLOOKUP($G98,装备属性计算表!$D$14:$O$19,装备属性计算表!J$2,FALSE)/装备属性计算表!J$20*VLOOKUP($H98&amp;$F98,$C$3:$P$28,K$1,FALSE)</f>
        <v>31.250000000000004</v>
      </c>
      <c r="N98" s="28">
        <f>VLOOKUP($G98,装备属性计算表!$D$14:$O$19,装备属性计算表!K$2,FALSE)/装备属性计算表!K$20*VLOOKUP($H98&amp;$F98,$C$3:$P$28,L$1,FALSE)</f>
        <v>22.222222222222229</v>
      </c>
      <c r="O98" s="28">
        <f>VLOOKUP($G98,装备属性计算表!$D$14:$O$19,装备属性计算表!L$2,FALSE)/装备属性计算表!L$20*VLOOKUP($H98&amp;$F98,$C$3:$P$28,M$1,FALSE)</f>
        <v>0</v>
      </c>
      <c r="P98" s="28">
        <f>VLOOKUP($G98,装备属性计算表!$D$14:$O$19,装备属性计算表!M$2,FALSE)/装备属性计算表!M$20*VLOOKUP($H98&amp;$F98,$C$3:$P$28,N$1,FALSE)</f>
        <v>0</v>
      </c>
      <c r="Q98" s="28">
        <f>VLOOKUP($G98,装备属性计算表!$D$14:$O$19,装备属性计算表!N$2,FALSE)/装备属性计算表!N$20*VLOOKUP($H98&amp;$F98,$C$3:$P$28,O$1,FALSE)</f>
        <v>0</v>
      </c>
      <c r="R98" s="28">
        <f>VLOOKUP($G98,装备属性计算表!$D$14:$O$19,装备属性计算表!O$2,FALSE)/装备属性计算表!O$20*VLOOKUP($H98&amp;$F98,$C$3:$P$28,P$1,FALSE)</f>
        <v>0</v>
      </c>
      <c r="X98" s="28">
        <f>SUM(AY93:AY98)</f>
        <v>522720</v>
      </c>
      <c r="Y98" s="28">
        <f t="shared" si="47"/>
        <v>0</v>
      </c>
      <c r="Z98" s="28">
        <f t="shared" si="48"/>
        <v>4</v>
      </c>
      <c r="AA98" s="28">
        <f t="shared" si="11"/>
        <v>10</v>
      </c>
      <c r="AB98" s="28">
        <f t="shared" si="49"/>
        <v>0</v>
      </c>
      <c r="AC98" s="28">
        <f t="shared" si="50"/>
        <v>12</v>
      </c>
      <c r="AD98" s="28">
        <f t="shared" si="51"/>
        <v>11</v>
      </c>
      <c r="AE98" s="28">
        <f t="shared" si="17"/>
        <v>67000</v>
      </c>
      <c r="AF98" s="28">
        <f t="shared" si="52"/>
        <v>1000</v>
      </c>
      <c r="AG98" s="28">
        <f t="shared" si="53"/>
        <v>4</v>
      </c>
      <c r="AH98" s="28">
        <f>IF(AG98&gt;0,VLOOKUP(G98,'价值&amp;消耗'!$U$173:$V$178,2,FALSE),0)</f>
        <v>73010</v>
      </c>
      <c r="AI98" s="28">
        <f t="shared" si="13"/>
        <v>220</v>
      </c>
      <c r="AJ98" s="28">
        <f t="shared" si="46"/>
        <v>1</v>
      </c>
      <c r="AK98" s="28">
        <f>ROUND(IF(COUNTIF($I98:I98,"&gt;0")&gt;$AJ98,0,I98),0)</f>
        <v>0</v>
      </c>
      <c r="AL98" s="28">
        <f>ROUND(IF(COUNTIF($I98:J98,"&gt;0")&gt;$AJ98,0,J98),0)</f>
        <v>24</v>
      </c>
      <c r="AM98" s="28">
        <f>ROUND(IF(COUNTIF($I98:K98,"&gt;0")&gt;$AJ98,0,K98),0)</f>
        <v>0</v>
      </c>
      <c r="AN98" s="28">
        <f>ROUND(IF(COUNTIF($I98:L98,"&gt;0")&gt;$AJ98,0,L98),0)</f>
        <v>0</v>
      </c>
      <c r="AO98" s="28">
        <f>ROUND(IF(COUNTIF($I98:M98,"&gt;0")&gt;$AJ98,0,M98),0)</f>
        <v>0</v>
      </c>
      <c r="AP98" s="28">
        <f>ROUND(IF(COUNTIF($I98:N98,"&gt;0")&gt;$AJ98,0,N98),0)</f>
        <v>0</v>
      </c>
      <c r="AQ98" s="28">
        <f>ROUND(IF(COUNTIF($I98:O98,"&gt;0")&gt;$AJ98,0,O98),0)</f>
        <v>0</v>
      </c>
      <c r="AR98" s="28">
        <f>ROUND(IF(COUNTIF($I98:P98,"&gt;0")&gt;$AJ98,0,P98),0)</f>
        <v>0</v>
      </c>
      <c r="AS98" s="28">
        <f>IF(COUNTIF($I98:Q98,"&gt;0")&gt;$AJ98,0,Q98)</f>
        <v>0</v>
      </c>
      <c r="AT98" s="28">
        <f>IF(COUNTIF($I98:R98,"&gt;0")&gt;$AJ98,0,R98)</f>
        <v>0</v>
      </c>
      <c r="AU98" s="28">
        <f>SUMPRODUCT(AK98:AT98,定义数据!$G$14:$P$14)</f>
        <v>24</v>
      </c>
      <c r="AV98" s="28">
        <f t="shared" si="4"/>
        <v>1200</v>
      </c>
      <c r="AW98" s="28">
        <f t="shared" si="14"/>
        <v>1200</v>
      </c>
      <c r="AX98" s="28">
        <f t="shared" si="15"/>
        <v>66000</v>
      </c>
      <c r="AY98" s="28">
        <f t="shared" si="16"/>
        <v>66000</v>
      </c>
    </row>
    <row r="99" spans="3:51" x14ac:dyDescent="0.15">
      <c r="C99" s="28" t="str">
        <f>H99&amp;F99&amp;VLOOKUP(G99,定义数据!$E$1:$F$7,2,FALSE)</f>
        <v>4520</v>
      </c>
      <c r="D99" s="28"/>
      <c r="E99" s="28">
        <f>装备属性计算表!AK98</f>
        <v>13</v>
      </c>
      <c r="F99" s="28">
        <f>装备属性计算表!B98</f>
        <v>2</v>
      </c>
      <c r="G99" s="28" t="str">
        <f>装备属性计算表!C98</f>
        <v>武器</v>
      </c>
      <c r="H99" s="28">
        <f>装备属性计算表!D98</f>
        <v>45</v>
      </c>
      <c r="I99" s="28">
        <f>VLOOKUP($G99,装备属性计算表!$D$14:$O$19,装备属性计算表!F$2,FALSE)/装备属性计算表!F$20*VLOOKUP($H99&amp;$F99,$C$3:$P$28,G$1,FALSE)</f>
        <v>0</v>
      </c>
      <c r="J99" s="28">
        <f>VLOOKUP($G99,装备属性计算表!$D$14:$O$19,装备属性计算表!G$2,FALSE)/装备属性计算表!G$20*VLOOKUP($H99&amp;$F99,$C$3:$P$28,H$1,FALSE)</f>
        <v>103.53141048128347</v>
      </c>
      <c r="K99" s="28">
        <f>VLOOKUP($G99,装备属性计算表!$D$14:$O$19,装备属性计算表!H$2,FALSE)/装备属性计算表!H$20*VLOOKUP($H99&amp;$F99,$C$3:$P$28,I$1,FALSE)</f>
        <v>12.427224956672447</v>
      </c>
      <c r="L99" s="28">
        <f>VLOOKUP($G99,装备属性计算表!$D$14:$O$19,装备属性计算表!I$2,FALSE)/装备属性计算表!I$20*VLOOKUP($H99&amp;$F99,$C$3:$P$28,J$1,FALSE)</f>
        <v>0</v>
      </c>
      <c r="M99" s="28">
        <f>VLOOKUP($G99,装备属性计算表!$D$14:$O$19,装备属性计算表!J$2,FALSE)/装备属性计算表!J$20*VLOOKUP($H99&amp;$F99,$C$3:$P$28,K$1,FALSE)</f>
        <v>45.138888888888893</v>
      </c>
      <c r="N99" s="28">
        <f>VLOOKUP($G99,装备属性计算表!$D$14:$O$19,装备属性计算表!K$2,FALSE)/装备属性计算表!K$20*VLOOKUP($H99&amp;$F99,$C$3:$P$28,L$1,FALSE)</f>
        <v>32.098765432098773</v>
      </c>
      <c r="O99" s="28">
        <f>VLOOKUP($G99,装备属性计算表!$D$14:$O$19,装备属性计算表!L$2,FALSE)/装备属性计算表!L$20*VLOOKUP($H99&amp;$F99,$C$3:$P$28,M$1,FALSE)</f>
        <v>0</v>
      </c>
      <c r="P99" s="28">
        <f>VLOOKUP($G99,装备属性计算表!$D$14:$O$19,装备属性计算表!M$2,FALSE)/装备属性计算表!M$20*VLOOKUP($H99&amp;$F99,$C$3:$P$28,N$1,FALSE)</f>
        <v>0</v>
      </c>
      <c r="Q99" s="28">
        <f>VLOOKUP($G99,装备属性计算表!$D$14:$O$19,装备属性计算表!N$2,FALSE)/装备属性计算表!N$20*VLOOKUP($H99&amp;$F99,$C$3:$P$28,O$1,FALSE)</f>
        <v>0</v>
      </c>
      <c r="R99" s="28">
        <f>VLOOKUP($G99,装备属性计算表!$D$14:$O$19,装备属性计算表!O$2,FALSE)/装备属性计算表!O$20*VLOOKUP($H99&amp;$F99,$C$3:$P$28,P$1,FALSE)</f>
        <v>0</v>
      </c>
      <c r="X99" s="28"/>
      <c r="Y99" s="28">
        <f t="shared" si="47"/>
        <v>0</v>
      </c>
      <c r="Z99" s="28">
        <f t="shared" si="48"/>
        <v>0</v>
      </c>
      <c r="AA99" s="28">
        <f t="shared" si="11"/>
        <v>10</v>
      </c>
      <c r="AB99" s="28">
        <f t="shared" si="49"/>
        <v>0</v>
      </c>
      <c r="AC99" s="28">
        <f t="shared" si="50"/>
        <v>0</v>
      </c>
      <c r="AD99" s="28">
        <f t="shared" si="51"/>
        <v>64</v>
      </c>
      <c r="AE99" s="28">
        <f t="shared" si="17"/>
        <v>320000</v>
      </c>
      <c r="AF99" s="28">
        <f t="shared" si="52"/>
        <v>1000</v>
      </c>
      <c r="AG99" s="28">
        <f t="shared" si="53"/>
        <v>20</v>
      </c>
      <c r="AH99" s="28">
        <f>IF(AG99&gt;0,VLOOKUP(G99,'价值&amp;消耗'!$U$173:$V$178,2,FALSE),0)</f>
        <v>70010</v>
      </c>
      <c r="AI99" s="28">
        <f t="shared" si="13"/>
        <v>1100</v>
      </c>
      <c r="AJ99" s="28">
        <f t="shared" si="46"/>
        <v>2</v>
      </c>
      <c r="AK99" s="28">
        <f>ROUND(IF(COUNTIF($I99:I99,"&gt;0")&gt;$AJ99,0,I99),0)</f>
        <v>0</v>
      </c>
      <c r="AL99" s="28">
        <f>ROUND(IF(COUNTIF($I99:J99,"&gt;0")&gt;$AJ99,0,J99),0)</f>
        <v>104</v>
      </c>
      <c r="AM99" s="28">
        <f>ROUND(IF(COUNTIF($I99:K99,"&gt;0")&gt;$AJ99,0,K99),0)</f>
        <v>12</v>
      </c>
      <c r="AN99" s="28">
        <f>ROUND(IF(COUNTIF($I99:L99,"&gt;0")&gt;$AJ99,0,L99),0)</f>
        <v>0</v>
      </c>
      <c r="AO99" s="28">
        <f>ROUND(IF(COUNTIF($I99:M99,"&gt;0")&gt;$AJ99,0,M99),0)</f>
        <v>0</v>
      </c>
      <c r="AP99" s="28">
        <f>ROUND(IF(COUNTIF($I99:N99,"&gt;0")&gt;$AJ99,0,N99),0)</f>
        <v>0</v>
      </c>
      <c r="AQ99" s="28">
        <f>ROUND(IF(COUNTIF($I99:O99,"&gt;0")&gt;$AJ99,0,O99),0)</f>
        <v>0</v>
      </c>
      <c r="AR99" s="28">
        <f>ROUND(IF(COUNTIF($I99:P99,"&gt;0")&gt;$AJ99,0,P99),0)</f>
        <v>0</v>
      </c>
      <c r="AS99" s="28">
        <f>IF(COUNTIF($I99:Q99,"&gt;0")&gt;$AJ99,0,Q99)</f>
        <v>0</v>
      </c>
      <c r="AT99" s="28">
        <f>IF(COUNTIF($I99:R99,"&gt;0")&gt;$AJ99,0,R99)</f>
        <v>0</v>
      </c>
      <c r="AU99" s="28">
        <f>SUMPRODUCT(AK99:AT99,定义数据!$G$14:$P$14)</f>
        <v>116</v>
      </c>
      <c r="AV99" s="28">
        <f t="shared" si="4"/>
        <v>5800</v>
      </c>
      <c r="AW99" s="28">
        <f t="shared" si="14"/>
        <v>5800</v>
      </c>
      <c r="AX99" s="28">
        <f t="shared" si="15"/>
        <v>319000</v>
      </c>
      <c r="AY99" s="28">
        <f t="shared" si="16"/>
        <v>319000</v>
      </c>
    </row>
    <row r="100" spans="3:51" x14ac:dyDescent="0.15">
      <c r="C100" s="28" t="str">
        <f>H100&amp;F100&amp;VLOOKUP(G100,定义数据!$E$1:$F$7,2,FALSE)</f>
        <v>4521</v>
      </c>
      <c r="D100" s="28"/>
      <c r="E100" s="28">
        <f>装备属性计算表!AK99</f>
        <v>13</v>
      </c>
      <c r="F100" s="28">
        <f>装备属性计算表!B99</f>
        <v>2</v>
      </c>
      <c r="G100" s="28" t="str">
        <f>装备属性计算表!C99</f>
        <v>衣服</v>
      </c>
      <c r="H100" s="28">
        <f>装备属性计算表!D99</f>
        <v>45</v>
      </c>
      <c r="I100" s="28">
        <f>VLOOKUP($G100,装备属性计算表!$D$14:$O$19,装备属性计算表!F$2,FALSE)/装备属性计算表!F$20*VLOOKUP($H100&amp;$F100,$C$3:$P$28,G$1,FALSE)</f>
        <v>1132.3912836842828</v>
      </c>
      <c r="J100" s="28">
        <f>VLOOKUP($G100,装备属性计算表!$D$14:$O$19,装备属性计算表!G$2,FALSE)/装备属性计算表!G$20*VLOOKUP($H100&amp;$F100,$C$3:$P$28,H$1,FALSE)</f>
        <v>0</v>
      </c>
      <c r="K100" s="28">
        <f>VLOOKUP($G100,装备属性计算表!$D$14:$O$19,装备属性计算表!H$2,FALSE)/装备属性计算表!H$20*VLOOKUP($H100&amp;$F100,$C$3:$P$28,I$1,FALSE)</f>
        <v>37.281674870017341</v>
      </c>
      <c r="L100" s="28">
        <f>VLOOKUP($G100,装备属性计算表!$D$14:$O$19,装备属性计算表!I$2,FALSE)/装备属性计算表!I$20*VLOOKUP($H100&amp;$F100,$C$3:$P$28,J$1,FALSE)</f>
        <v>27.083333333333339</v>
      </c>
      <c r="M100" s="28">
        <f>VLOOKUP($G100,装备属性计算表!$D$14:$O$19,装备属性计算表!J$2,FALSE)/装备属性计算表!J$20*VLOOKUP($H100&amp;$F100,$C$3:$P$28,K$1,FALSE)</f>
        <v>0</v>
      </c>
      <c r="N100" s="28">
        <f>VLOOKUP($G100,装备属性计算表!$D$14:$O$19,装备属性计算表!K$2,FALSE)/装备属性计算表!K$20*VLOOKUP($H100&amp;$F100,$C$3:$P$28,L$1,FALSE)</f>
        <v>0</v>
      </c>
      <c r="O100" s="28">
        <f>VLOOKUP($G100,装备属性计算表!$D$14:$O$19,装备属性计算表!L$2,FALSE)/装备属性计算表!L$20*VLOOKUP($H100&amp;$F100,$C$3:$P$28,M$1,FALSE)</f>
        <v>0</v>
      </c>
      <c r="P100" s="28">
        <f>VLOOKUP($G100,装备属性计算表!$D$14:$O$19,装备属性计算表!M$2,FALSE)/装备属性计算表!M$20*VLOOKUP($H100&amp;$F100,$C$3:$P$28,N$1,FALSE)</f>
        <v>26.748971193415642</v>
      </c>
      <c r="Q100" s="28">
        <f>VLOOKUP($G100,装备属性计算表!$D$14:$O$19,装备属性计算表!N$2,FALSE)/装备属性计算表!N$20*VLOOKUP($H100&amp;$F100,$C$3:$P$28,O$1,FALSE)</f>
        <v>0</v>
      </c>
      <c r="R100" s="28">
        <f>VLOOKUP($G100,装备属性计算表!$D$14:$O$19,装备属性计算表!O$2,FALSE)/装备属性计算表!O$20*VLOOKUP($H100&amp;$F100,$C$3:$P$28,P$1,FALSE)</f>
        <v>0</v>
      </c>
      <c r="X100" s="28"/>
      <c r="Y100" s="28">
        <f t="shared" si="47"/>
        <v>0</v>
      </c>
      <c r="Z100" s="28">
        <f t="shared" si="48"/>
        <v>1</v>
      </c>
      <c r="AA100" s="28">
        <f t="shared" si="11"/>
        <v>10</v>
      </c>
      <c r="AB100" s="28">
        <f t="shared" si="49"/>
        <v>0</v>
      </c>
      <c r="AC100" s="28">
        <f t="shared" si="50"/>
        <v>5</v>
      </c>
      <c r="AD100" s="28">
        <f t="shared" si="51"/>
        <v>45</v>
      </c>
      <c r="AE100" s="28">
        <f t="shared" si="17"/>
        <v>230000</v>
      </c>
      <c r="AF100" s="28">
        <f t="shared" si="52"/>
        <v>3730</v>
      </c>
      <c r="AG100" s="28">
        <f t="shared" si="53"/>
        <v>14</v>
      </c>
      <c r="AH100" s="28">
        <f>IF(AG100&gt;0,VLOOKUP(G100,'价值&amp;消耗'!$U$173:$V$178,2,FALSE),0)</f>
        <v>71010</v>
      </c>
      <c r="AI100" s="28">
        <f t="shared" si="13"/>
        <v>770</v>
      </c>
      <c r="AJ100" s="28">
        <f t="shared" si="46"/>
        <v>2</v>
      </c>
      <c r="AK100" s="28">
        <f>ROUND(IF(COUNTIF($I100:I100,"&gt;0")&gt;$AJ100,0,I100),0)</f>
        <v>1132</v>
      </c>
      <c r="AL100" s="28">
        <f>ROUND(IF(COUNTIF($I100:J100,"&gt;0")&gt;$AJ100,0,J100),0)</f>
        <v>0</v>
      </c>
      <c r="AM100" s="28">
        <f>ROUND(IF(COUNTIF($I100:K100,"&gt;0")&gt;$AJ100,0,K100),0)</f>
        <v>37</v>
      </c>
      <c r="AN100" s="28">
        <f>ROUND(IF(COUNTIF($I100:L100,"&gt;0")&gt;$AJ100,0,L100),0)</f>
        <v>0</v>
      </c>
      <c r="AO100" s="28">
        <f>ROUND(IF(COUNTIF($I100:M100,"&gt;0")&gt;$AJ100,0,M100),0)</f>
        <v>0</v>
      </c>
      <c r="AP100" s="28">
        <f>ROUND(IF(COUNTIF($I100:N100,"&gt;0")&gt;$AJ100,0,N100),0)</f>
        <v>0</v>
      </c>
      <c r="AQ100" s="28">
        <f>ROUND(IF(COUNTIF($I100:O100,"&gt;0")&gt;$AJ100,0,O100),0)</f>
        <v>0</v>
      </c>
      <c r="AR100" s="28">
        <f>ROUND(IF(COUNTIF($I100:P100,"&gt;0")&gt;$AJ100,0,P100),0)</f>
        <v>0</v>
      </c>
      <c r="AS100" s="28">
        <f>IF(COUNTIF($I100:Q100,"&gt;0")&gt;$AJ100,0,Q100)</f>
        <v>0</v>
      </c>
      <c r="AT100" s="28">
        <f>IF(COUNTIF($I100:R100,"&gt;0")&gt;$AJ100,0,R100)</f>
        <v>0</v>
      </c>
      <c r="AU100" s="28">
        <f>SUMPRODUCT(AK100:AT100,定义数据!$G$14:$P$14)</f>
        <v>82.28</v>
      </c>
      <c r="AV100" s="28">
        <f t="shared" si="4"/>
        <v>4114</v>
      </c>
      <c r="AW100" s="28">
        <f t="shared" si="14"/>
        <v>4114</v>
      </c>
      <c r="AX100" s="28">
        <f t="shared" si="15"/>
        <v>226270</v>
      </c>
      <c r="AY100" s="28">
        <f t="shared" si="16"/>
        <v>226270</v>
      </c>
    </row>
    <row r="101" spans="3:51" x14ac:dyDescent="0.15">
      <c r="C101" s="28" t="str">
        <f>H101&amp;F101&amp;VLOOKUP(G101,定义数据!$E$1:$F$7,2,FALSE)</f>
        <v>4522</v>
      </c>
      <c r="D101" s="28"/>
      <c r="E101" s="28">
        <f>装备属性计算表!AK100</f>
        <v>13</v>
      </c>
      <c r="F101" s="28">
        <f>装备属性计算表!B100</f>
        <v>2</v>
      </c>
      <c r="G101" s="28" t="str">
        <f>装备属性计算表!C100</f>
        <v>裤子</v>
      </c>
      <c r="H101" s="28">
        <f>装备属性计算表!D100</f>
        <v>45</v>
      </c>
      <c r="I101" s="28">
        <f>VLOOKUP($G101,装备属性计算表!$D$14:$O$19,装备属性计算表!F$2,FALSE)/装备属性计算表!F$20*VLOOKUP($H101&amp;$F101,$C$3:$P$28,G$1,FALSE)</f>
        <v>566.19564184214141</v>
      </c>
      <c r="J101" s="28">
        <f>VLOOKUP($G101,装备属性计算表!$D$14:$O$19,装备属性计算表!G$2,FALSE)/装备属性计算表!G$20*VLOOKUP($H101&amp;$F101,$C$3:$P$28,H$1,FALSE)</f>
        <v>0</v>
      </c>
      <c r="K101" s="28">
        <f>VLOOKUP($G101,装备属性计算表!$D$14:$O$19,装备属性计算表!H$2,FALSE)/装备属性计算表!H$20*VLOOKUP($H101&amp;$F101,$C$3:$P$28,I$1,FALSE)</f>
        <v>12.427224956672447</v>
      </c>
      <c r="L101" s="28">
        <f>VLOOKUP($G101,装备属性计算表!$D$14:$O$19,装备属性计算表!I$2,FALSE)/装备属性计算表!I$20*VLOOKUP($H101&amp;$F101,$C$3:$P$28,J$1,FALSE)</f>
        <v>27.083333333333339</v>
      </c>
      <c r="M101" s="28">
        <f>VLOOKUP($G101,装备属性计算表!$D$14:$O$19,装备属性计算表!J$2,FALSE)/装备属性计算表!J$20*VLOOKUP($H101&amp;$F101,$C$3:$P$28,K$1,FALSE)</f>
        <v>0</v>
      </c>
      <c r="N101" s="28">
        <f>VLOOKUP($G101,装备属性计算表!$D$14:$O$19,装备属性计算表!K$2,FALSE)/装备属性计算表!K$20*VLOOKUP($H101&amp;$F101,$C$3:$P$28,L$1,FALSE)</f>
        <v>0</v>
      </c>
      <c r="O101" s="28">
        <f>VLOOKUP($G101,装备属性计算表!$D$14:$O$19,装备属性计算表!L$2,FALSE)/装备属性计算表!L$20*VLOOKUP($H101&amp;$F101,$C$3:$P$28,M$1,FALSE)</f>
        <v>0</v>
      </c>
      <c r="P101" s="28">
        <f>VLOOKUP($G101,装备属性计算表!$D$14:$O$19,装备属性计算表!M$2,FALSE)/装备属性计算表!M$20*VLOOKUP($H101&amp;$F101,$C$3:$P$28,N$1,FALSE)</f>
        <v>26.748971193415642</v>
      </c>
      <c r="Q101" s="28">
        <f>VLOOKUP($G101,装备属性计算表!$D$14:$O$19,装备属性计算表!N$2,FALSE)/装备属性计算表!N$20*VLOOKUP($H101&amp;$F101,$C$3:$P$28,O$1,FALSE)</f>
        <v>0</v>
      </c>
      <c r="R101" s="28">
        <f>VLOOKUP($G101,装备属性计算表!$D$14:$O$19,装备属性计算表!O$2,FALSE)/装备属性计算表!O$20*VLOOKUP($H101&amp;$F101,$C$3:$P$28,P$1,FALSE)</f>
        <v>0</v>
      </c>
      <c r="X101" s="28"/>
      <c r="Y101" s="28">
        <f t="shared" si="47"/>
        <v>0</v>
      </c>
      <c r="Z101" s="28">
        <f t="shared" si="48"/>
        <v>2</v>
      </c>
      <c r="AA101" s="28">
        <f t="shared" si="11"/>
        <v>10</v>
      </c>
      <c r="AB101" s="28">
        <f t="shared" si="49"/>
        <v>0</v>
      </c>
      <c r="AC101" s="28">
        <f t="shared" si="50"/>
        <v>6</v>
      </c>
      <c r="AD101" s="28">
        <f t="shared" si="51"/>
        <v>19</v>
      </c>
      <c r="AE101" s="28">
        <f t="shared" si="17"/>
        <v>101000</v>
      </c>
      <c r="AF101" s="28">
        <f t="shared" si="52"/>
        <v>5740</v>
      </c>
      <c r="AG101" s="28">
        <f t="shared" si="53"/>
        <v>6</v>
      </c>
      <c r="AH101" s="28">
        <f>IF(AG101&gt;0,VLOOKUP(G101,'价值&amp;消耗'!$U$173:$V$178,2,FALSE),0)</f>
        <v>72010</v>
      </c>
      <c r="AI101" s="28">
        <f t="shared" si="13"/>
        <v>330</v>
      </c>
      <c r="AJ101" s="28">
        <f t="shared" si="46"/>
        <v>2</v>
      </c>
      <c r="AK101" s="28">
        <f>ROUND(IF(COUNTIF($I101:I101,"&gt;0")&gt;$AJ101,0,I101),0)</f>
        <v>566</v>
      </c>
      <c r="AL101" s="28">
        <f>ROUND(IF(COUNTIF($I101:J101,"&gt;0")&gt;$AJ101,0,J101),0)</f>
        <v>0</v>
      </c>
      <c r="AM101" s="28">
        <f>ROUND(IF(COUNTIF($I101:K101,"&gt;0")&gt;$AJ101,0,K101),0)</f>
        <v>12</v>
      </c>
      <c r="AN101" s="28">
        <f>ROUND(IF(COUNTIF($I101:L101,"&gt;0")&gt;$AJ101,0,L101),0)</f>
        <v>0</v>
      </c>
      <c r="AO101" s="28">
        <f>ROUND(IF(COUNTIF($I101:M101,"&gt;0")&gt;$AJ101,0,M101),0)</f>
        <v>0</v>
      </c>
      <c r="AP101" s="28">
        <f>ROUND(IF(COUNTIF($I101:N101,"&gt;0")&gt;$AJ101,0,N101),0)</f>
        <v>0</v>
      </c>
      <c r="AQ101" s="28">
        <f>ROUND(IF(COUNTIF($I101:O101,"&gt;0")&gt;$AJ101,0,O101),0)</f>
        <v>0</v>
      </c>
      <c r="AR101" s="28">
        <f>ROUND(IF(COUNTIF($I101:P101,"&gt;0")&gt;$AJ101,0,P101),0)</f>
        <v>0</v>
      </c>
      <c r="AS101" s="28">
        <f>IF(COUNTIF($I101:Q101,"&gt;0")&gt;$AJ101,0,Q101)</f>
        <v>0</v>
      </c>
      <c r="AT101" s="28">
        <f>IF(COUNTIF($I101:R101,"&gt;0")&gt;$AJ101,0,R101)</f>
        <v>0</v>
      </c>
      <c r="AU101" s="28">
        <f>SUMPRODUCT(AK101:AT101,定义数据!$G$14:$P$14)</f>
        <v>34.64</v>
      </c>
      <c r="AV101" s="28">
        <f t="shared" si="4"/>
        <v>1732</v>
      </c>
      <c r="AW101" s="28">
        <f t="shared" si="14"/>
        <v>1732</v>
      </c>
      <c r="AX101" s="28">
        <f t="shared" si="15"/>
        <v>95260</v>
      </c>
      <c r="AY101" s="28">
        <f t="shared" si="16"/>
        <v>95260</v>
      </c>
    </row>
    <row r="102" spans="3:51" x14ac:dyDescent="0.15">
      <c r="C102" s="28" t="str">
        <f>H102&amp;F102&amp;VLOOKUP(G102,定义数据!$E$1:$F$7,2,FALSE)</f>
        <v>4525</v>
      </c>
      <c r="D102" s="28"/>
      <c r="E102" s="28">
        <f>装备属性计算表!AK101</f>
        <v>13</v>
      </c>
      <c r="F102" s="28">
        <f>装备属性计算表!B101</f>
        <v>2</v>
      </c>
      <c r="G102" s="28" t="str">
        <f>装备属性计算表!C101</f>
        <v>鞋子</v>
      </c>
      <c r="H102" s="28">
        <f>装备属性计算表!D101</f>
        <v>45</v>
      </c>
      <c r="I102" s="28">
        <f>VLOOKUP($G102,装备属性计算表!$D$14:$O$19,装备属性计算表!F$2,FALSE)/装备属性计算表!F$20*VLOOKUP($H102&amp;$F102,$C$3:$P$28,G$1,FALSE)</f>
        <v>566.19564184214141</v>
      </c>
      <c r="J102" s="28">
        <f>VLOOKUP($G102,装备属性计算表!$D$14:$O$19,装备属性计算表!G$2,FALSE)/装备属性计算表!G$20*VLOOKUP($H102&amp;$F102,$C$3:$P$28,H$1,FALSE)</f>
        <v>0</v>
      </c>
      <c r="K102" s="28">
        <f>VLOOKUP($G102,装备属性计算表!$D$14:$O$19,装备属性计算表!H$2,FALSE)/装备属性计算表!H$20*VLOOKUP($H102&amp;$F102,$C$3:$P$28,I$1,FALSE)</f>
        <v>0</v>
      </c>
      <c r="L102" s="28">
        <f>VLOOKUP($G102,装备属性计算表!$D$14:$O$19,装备属性计算表!I$2,FALSE)/装备属性计算表!I$20*VLOOKUP($H102&amp;$F102,$C$3:$P$28,J$1,FALSE)</f>
        <v>54.166666666666679</v>
      </c>
      <c r="M102" s="28">
        <f>VLOOKUP($G102,装备属性计算表!$D$14:$O$19,装备属性计算表!J$2,FALSE)/装备属性计算表!J$20*VLOOKUP($H102&amp;$F102,$C$3:$P$28,K$1,FALSE)</f>
        <v>45.138888888888893</v>
      </c>
      <c r="N102" s="28">
        <f>VLOOKUP($G102,装备属性计算表!$D$14:$O$19,装备属性计算表!K$2,FALSE)/装备属性计算表!K$20*VLOOKUP($H102&amp;$F102,$C$3:$P$28,L$1,FALSE)</f>
        <v>16.049382716049386</v>
      </c>
      <c r="O102" s="28">
        <f>VLOOKUP($G102,装备属性计算表!$D$14:$O$19,装备属性计算表!L$2,FALSE)/装备属性计算表!L$20*VLOOKUP($H102&amp;$F102,$C$3:$P$28,M$1,FALSE)</f>
        <v>0</v>
      </c>
      <c r="P102" s="28">
        <f>VLOOKUP($G102,装备属性计算表!$D$14:$O$19,装备属性计算表!M$2,FALSE)/装备属性计算表!M$20*VLOOKUP($H102&amp;$F102,$C$3:$P$28,N$1,FALSE)</f>
        <v>0</v>
      </c>
      <c r="Q102" s="28">
        <f>VLOOKUP($G102,装备属性计算表!$D$14:$O$19,装备属性计算表!N$2,FALSE)/装备属性计算表!N$20*VLOOKUP($H102&amp;$F102,$C$3:$P$28,O$1,FALSE)</f>
        <v>0</v>
      </c>
      <c r="R102" s="28">
        <f>VLOOKUP($G102,装备属性计算表!$D$14:$O$19,装备属性计算表!O$2,FALSE)/装备属性计算表!O$20*VLOOKUP($H102&amp;$F102,$C$3:$P$28,P$1,FALSE)</f>
        <v>0</v>
      </c>
      <c r="X102" s="28"/>
      <c r="Y102" s="28">
        <f t="shared" si="47"/>
        <v>0</v>
      </c>
      <c r="Z102" s="28">
        <f t="shared" si="48"/>
        <v>2</v>
      </c>
      <c r="AA102" s="28">
        <f t="shared" si="11"/>
        <v>10</v>
      </c>
      <c r="AB102" s="28">
        <f t="shared" si="49"/>
        <v>0</v>
      </c>
      <c r="AC102" s="28">
        <f t="shared" si="50"/>
        <v>7</v>
      </c>
      <c r="AD102" s="28">
        <f t="shared" si="51"/>
        <v>22</v>
      </c>
      <c r="AE102" s="28">
        <f t="shared" si="17"/>
        <v>117000</v>
      </c>
      <c r="AF102" s="28">
        <f t="shared" si="52"/>
        <v>4250</v>
      </c>
      <c r="AG102" s="28">
        <f t="shared" si="53"/>
        <v>7</v>
      </c>
      <c r="AH102" s="28">
        <f>IF(AG102&gt;0,VLOOKUP(G102,'价值&amp;消耗'!$U$173:$V$178,2,FALSE),0)</f>
        <v>75010</v>
      </c>
      <c r="AI102" s="28">
        <f t="shared" si="13"/>
        <v>385</v>
      </c>
      <c r="AJ102" s="28">
        <f t="shared" si="46"/>
        <v>2</v>
      </c>
      <c r="AK102" s="28">
        <f>ROUND(IF(COUNTIF($I102:I102,"&gt;0")&gt;$AJ102,0,I102),0)</f>
        <v>566</v>
      </c>
      <c r="AL102" s="28">
        <f>ROUND(IF(COUNTIF($I102:J102,"&gt;0")&gt;$AJ102,0,J102),0)</f>
        <v>0</v>
      </c>
      <c r="AM102" s="28">
        <f>ROUND(IF(COUNTIF($I102:K102,"&gt;0")&gt;$AJ102,0,K102),0)</f>
        <v>0</v>
      </c>
      <c r="AN102" s="28">
        <f>ROUND(IF(COUNTIF($I102:L102,"&gt;0")&gt;$AJ102,0,L102),0)</f>
        <v>54</v>
      </c>
      <c r="AO102" s="28">
        <f>ROUND(IF(COUNTIF($I102:M102,"&gt;0")&gt;$AJ102,0,M102),0)</f>
        <v>0</v>
      </c>
      <c r="AP102" s="28">
        <f>ROUND(IF(COUNTIF($I102:N102,"&gt;0")&gt;$AJ102,0,N102),0)</f>
        <v>0</v>
      </c>
      <c r="AQ102" s="28">
        <f>ROUND(IF(COUNTIF($I102:O102,"&gt;0")&gt;$AJ102,0,O102),0)</f>
        <v>0</v>
      </c>
      <c r="AR102" s="28">
        <f>ROUND(IF(COUNTIF($I102:P102,"&gt;0")&gt;$AJ102,0,P102),0)</f>
        <v>0</v>
      </c>
      <c r="AS102" s="28">
        <f>IF(COUNTIF($I102:Q102,"&gt;0")&gt;$AJ102,0,Q102)</f>
        <v>0</v>
      </c>
      <c r="AT102" s="28">
        <f>IF(COUNTIF($I102:R102,"&gt;0")&gt;$AJ102,0,R102)</f>
        <v>0</v>
      </c>
      <c r="AU102" s="28">
        <f>SUMPRODUCT(AK102:AT102,定义数据!$G$14:$P$14)</f>
        <v>41</v>
      </c>
      <c r="AV102" s="28">
        <f t="shared" si="4"/>
        <v>2050</v>
      </c>
      <c r="AW102" s="28">
        <f t="shared" si="14"/>
        <v>2050</v>
      </c>
      <c r="AX102" s="28">
        <f t="shared" si="15"/>
        <v>112750</v>
      </c>
      <c r="AY102" s="28">
        <f t="shared" si="16"/>
        <v>112750</v>
      </c>
    </row>
    <row r="103" spans="3:51" x14ac:dyDescent="0.15">
      <c r="C103" s="28" t="str">
        <f>H103&amp;F103&amp;VLOOKUP(G103,定义数据!$E$1:$F$7,2,FALSE)</f>
        <v>4524</v>
      </c>
      <c r="D103" s="28"/>
      <c r="E103" s="28">
        <f>装备属性计算表!AK102</f>
        <v>13</v>
      </c>
      <c r="F103" s="28">
        <f>装备属性计算表!B102</f>
        <v>2</v>
      </c>
      <c r="G103" s="28" t="str">
        <f>装备属性计算表!C102</f>
        <v>腰带</v>
      </c>
      <c r="H103" s="28">
        <f>装备属性计算表!D102</f>
        <v>45</v>
      </c>
      <c r="I103" s="28">
        <f>VLOOKUP($G103,装备属性计算表!$D$14:$O$19,装备属性计算表!F$2,FALSE)/装备属性计算表!F$20*VLOOKUP($H103&amp;$F103,$C$3:$P$28,G$1,FALSE)</f>
        <v>1132.3912836842828</v>
      </c>
      <c r="J103" s="28">
        <f>VLOOKUP($G103,装备属性计算表!$D$14:$O$19,装备属性计算表!G$2,FALSE)/装备属性计算表!G$20*VLOOKUP($H103&amp;$F103,$C$3:$P$28,H$1,FALSE)</f>
        <v>34.510470160427829</v>
      </c>
      <c r="K103" s="28">
        <f>VLOOKUP($G103,装备属性计算表!$D$14:$O$19,装备属性计算表!H$2,FALSE)/装备属性计算表!H$20*VLOOKUP($H103&amp;$F103,$C$3:$P$28,I$1,FALSE)</f>
        <v>12.427224956672447</v>
      </c>
      <c r="L103" s="28">
        <f>VLOOKUP($G103,装备属性计算表!$D$14:$O$19,装备属性计算表!I$2,FALSE)/装备属性计算表!I$20*VLOOKUP($H103&amp;$F103,$C$3:$P$28,J$1,FALSE)</f>
        <v>0</v>
      </c>
      <c r="M103" s="28">
        <f>VLOOKUP($G103,装备属性计算表!$D$14:$O$19,装备属性计算表!J$2,FALSE)/装备属性计算表!J$20*VLOOKUP($H103&amp;$F103,$C$3:$P$28,K$1,FALSE)</f>
        <v>0</v>
      </c>
      <c r="N103" s="28">
        <f>VLOOKUP($G103,装备属性计算表!$D$14:$O$19,装备属性计算表!K$2,FALSE)/装备属性计算表!K$20*VLOOKUP($H103&amp;$F103,$C$3:$P$28,L$1,FALSE)</f>
        <v>0</v>
      </c>
      <c r="O103" s="28">
        <f>VLOOKUP($G103,装备属性计算表!$D$14:$O$19,装备属性计算表!L$2,FALSE)/装备属性计算表!L$20*VLOOKUP($H103&amp;$F103,$C$3:$P$28,M$1,FALSE)</f>
        <v>0</v>
      </c>
      <c r="P103" s="28">
        <f>VLOOKUP($G103,装备属性计算表!$D$14:$O$19,装备属性计算表!M$2,FALSE)/装备属性计算表!M$20*VLOOKUP($H103&amp;$F103,$C$3:$P$28,N$1,FALSE)</f>
        <v>26.748971193415642</v>
      </c>
      <c r="Q103" s="28">
        <f>VLOOKUP($G103,装备属性计算表!$D$14:$O$19,装备属性计算表!N$2,FALSE)/装备属性计算表!N$20*VLOOKUP($H103&amp;$F103,$C$3:$P$28,O$1,FALSE)</f>
        <v>0</v>
      </c>
      <c r="R103" s="28">
        <f>VLOOKUP($G103,装备属性计算表!$D$14:$O$19,装备属性计算表!O$2,FALSE)/装备属性计算表!O$20*VLOOKUP($H103&amp;$F103,$C$3:$P$28,P$1,FALSE)</f>
        <v>0</v>
      </c>
      <c r="X103" s="28"/>
      <c r="Y103" s="28">
        <f t="shared" si="47"/>
        <v>0</v>
      </c>
      <c r="Z103" s="28">
        <f t="shared" si="48"/>
        <v>1</v>
      </c>
      <c r="AA103" s="28">
        <f t="shared" si="11"/>
        <v>10</v>
      </c>
      <c r="AB103" s="28">
        <f t="shared" si="49"/>
        <v>0</v>
      </c>
      <c r="AC103" s="28">
        <f t="shared" si="50"/>
        <v>5</v>
      </c>
      <c r="AD103" s="28">
        <f t="shared" si="51"/>
        <v>44</v>
      </c>
      <c r="AE103" s="28">
        <f t="shared" si="17"/>
        <v>225000</v>
      </c>
      <c r="AF103" s="28">
        <f t="shared" si="52"/>
        <v>4230</v>
      </c>
      <c r="AG103" s="28">
        <f t="shared" si="53"/>
        <v>14</v>
      </c>
      <c r="AH103" s="28">
        <f>IF(AG103&gt;0,VLOOKUP(G103,'价值&amp;消耗'!$U$173:$V$178,2,FALSE),0)</f>
        <v>74010</v>
      </c>
      <c r="AI103" s="28">
        <f t="shared" si="13"/>
        <v>770</v>
      </c>
      <c r="AJ103" s="28">
        <f t="shared" si="46"/>
        <v>2</v>
      </c>
      <c r="AK103" s="28">
        <f>ROUND(IF(COUNTIF($I103:I103,"&gt;0")&gt;$AJ103,0,I103),0)</f>
        <v>1132</v>
      </c>
      <c r="AL103" s="28">
        <f>ROUND(IF(COUNTIF($I103:J103,"&gt;0")&gt;$AJ103,0,J103),0)</f>
        <v>35</v>
      </c>
      <c r="AM103" s="28">
        <f>ROUND(IF(COUNTIF($I103:K103,"&gt;0")&gt;$AJ103,0,K103),0)</f>
        <v>0</v>
      </c>
      <c r="AN103" s="28">
        <f>ROUND(IF(COUNTIF($I103:L103,"&gt;0")&gt;$AJ103,0,L103),0)</f>
        <v>0</v>
      </c>
      <c r="AO103" s="28">
        <f>ROUND(IF(COUNTIF($I103:M103,"&gt;0")&gt;$AJ103,0,M103),0)</f>
        <v>0</v>
      </c>
      <c r="AP103" s="28">
        <f>ROUND(IF(COUNTIF($I103:N103,"&gt;0")&gt;$AJ103,0,N103),0)</f>
        <v>0</v>
      </c>
      <c r="AQ103" s="28">
        <f>ROUND(IF(COUNTIF($I103:O103,"&gt;0")&gt;$AJ103,0,O103),0)</f>
        <v>0</v>
      </c>
      <c r="AR103" s="28">
        <f>ROUND(IF(COUNTIF($I103:P103,"&gt;0")&gt;$AJ103,0,P103),0)</f>
        <v>0</v>
      </c>
      <c r="AS103" s="28">
        <f>IF(COUNTIF($I103:Q103,"&gt;0")&gt;$AJ103,0,Q103)</f>
        <v>0</v>
      </c>
      <c r="AT103" s="28">
        <f>IF(COUNTIF($I103:R103,"&gt;0")&gt;$AJ103,0,R103)</f>
        <v>0</v>
      </c>
      <c r="AU103" s="28">
        <f>SUMPRODUCT(AK103:AT103,定义数据!$G$14:$P$14)</f>
        <v>80.28</v>
      </c>
      <c r="AV103" s="28">
        <f t="shared" si="4"/>
        <v>4014</v>
      </c>
      <c r="AW103" s="28">
        <f t="shared" si="14"/>
        <v>4014</v>
      </c>
      <c r="AX103" s="28">
        <f t="shared" si="15"/>
        <v>220770</v>
      </c>
      <c r="AY103" s="28">
        <f t="shared" si="16"/>
        <v>220770</v>
      </c>
    </row>
    <row r="104" spans="3:51" x14ac:dyDescent="0.15">
      <c r="C104" s="28" t="str">
        <f>H104&amp;F104&amp;VLOOKUP(G104,定义数据!$E$1:$F$7,2,FALSE)</f>
        <v>4523</v>
      </c>
      <c r="D104" s="28"/>
      <c r="E104" s="28">
        <f>装备属性计算表!AK103</f>
        <v>13</v>
      </c>
      <c r="F104" s="28">
        <f>装备属性计算表!B103</f>
        <v>2</v>
      </c>
      <c r="G104" s="28" t="str">
        <f>装备属性计算表!C103</f>
        <v>项链</v>
      </c>
      <c r="H104" s="28">
        <f>装备属性计算表!D103</f>
        <v>45</v>
      </c>
      <c r="I104" s="28">
        <f>VLOOKUP($G104,装备属性计算表!$D$14:$O$19,装备属性计算表!F$2,FALSE)/装备属性计算表!F$20*VLOOKUP($H104&amp;$F104,$C$3:$P$28,G$1,FALSE)</f>
        <v>0</v>
      </c>
      <c r="J104" s="28">
        <f>VLOOKUP($G104,装备属性计算表!$D$14:$O$19,装备属性计算表!G$2,FALSE)/装备属性计算表!G$20*VLOOKUP($H104&amp;$F104,$C$3:$P$28,H$1,FALSE)</f>
        <v>34.510470160427829</v>
      </c>
      <c r="K104" s="28">
        <f>VLOOKUP($G104,装备属性计算表!$D$14:$O$19,装备属性计算表!H$2,FALSE)/装备属性计算表!H$20*VLOOKUP($H104&amp;$F104,$C$3:$P$28,I$1,FALSE)</f>
        <v>0</v>
      </c>
      <c r="L104" s="28">
        <f>VLOOKUP($G104,装备属性计算表!$D$14:$O$19,装备属性计算表!I$2,FALSE)/装备属性计算表!I$20*VLOOKUP($H104&amp;$F104,$C$3:$P$28,J$1,FALSE)</f>
        <v>27.083333333333339</v>
      </c>
      <c r="M104" s="28">
        <f>VLOOKUP($G104,装备属性计算表!$D$14:$O$19,装备属性计算表!J$2,FALSE)/装备属性计算表!J$20*VLOOKUP($H104&amp;$F104,$C$3:$P$28,K$1,FALSE)</f>
        <v>45.138888888888893</v>
      </c>
      <c r="N104" s="28">
        <f>VLOOKUP($G104,装备属性计算表!$D$14:$O$19,装备属性计算表!K$2,FALSE)/装备属性计算表!K$20*VLOOKUP($H104&amp;$F104,$C$3:$P$28,L$1,FALSE)</f>
        <v>32.098765432098773</v>
      </c>
      <c r="O104" s="28">
        <f>VLOOKUP($G104,装备属性计算表!$D$14:$O$19,装备属性计算表!L$2,FALSE)/装备属性计算表!L$20*VLOOKUP($H104&amp;$F104,$C$3:$P$28,M$1,FALSE)</f>
        <v>0</v>
      </c>
      <c r="P104" s="28">
        <f>VLOOKUP($G104,装备属性计算表!$D$14:$O$19,装备属性计算表!M$2,FALSE)/装备属性计算表!M$20*VLOOKUP($H104&amp;$F104,$C$3:$P$28,N$1,FALSE)</f>
        <v>0</v>
      </c>
      <c r="Q104" s="28">
        <f>VLOOKUP($G104,装备属性计算表!$D$14:$O$19,装备属性计算表!N$2,FALSE)/装备属性计算表!N$20*VLOOKUP($H104&amp;$F104,$C$3:$P$28,O$1,FALSE)</f>
        <v>0</v>
      </c>
      <c r="R104" s="28">
        <f>VLOOKUP($G104,装备属性计算表!$D$14:$O$19,装备属性计算表!O$2,FALSE)/装备属性计算表!O$20*VLOOKUP($H104&amp;$F104,$C$3:$P$28,P$1,FALSE)</f>
        <v>0</v>
      </c>
      <c r="X104" s="28">
        <f>SUM(AY99:AY104)</f>
        <v>1095545</v>
      </c>
      <c r="Y104" s="28">
        <f t="shared" si="47"/>
        <v>0</v>
      </c>
      <c r="Z104" s="28">
        <f t="shared" si="48"/>
        <v>2</v>
      </c>
      <c r="AA104" s="28">
        <f t="shared" si="11"/>
        <v>10</v>
      </c>
      <c r="AB104" s="28">
        <f t="shared" si="49"/>
        <v>0</v>
      </c>
      <c r="AC104" s="28">
        <f t="shared" si="50"/>
        <v>7</v>
      </c>
      <c r="AD104" s="28">
        <f t="shared" si="51"/>
        <v>23</v>
      </c>
      <c r="AE104" s="28">
        <f t="shared" si="17"/>
        <v>122000</v>
      </c>
      <c r="AF104" s="28">
        <f t="shared" si="52"/>
        <v>505</v>
      </c>
      <c r="AG104" s="28">
        <f t="shared" si="53"/>
        <v>8</v>
      </c>
      <c r="AH104" s="28">
        <f>IF(AG104&gt;0,VLOOKUP(G104,'价值&amp;消耗'!$U$173:$V$178,2,FALSE),0)</f>
        <v>73010</v>
      </c>
      <c r="AI104" s="28">
        <f t="shared" si="13"/>
        <v>440</v>
      </c>
      <c r="AJ104" s="28">
        <f t="shared" si="46"/>
        <v>2</v>
      </c>
      <c r="AK104" s="28">
        <f>ROUND(IF(COUNTIF($I104:I104,"&gt;0")&gt;$AJ104,0,I104),0)</f>
        <v>0</v>
      </c>
      <c r="AL104" s="28">
        <f>ROUND(IF(COUNTIF($I104:J104,"&gt;0")&gt;$AJ104,0,J104),0)</f>
        <v>35</v>
      </c>
      <c r="AM104" s="28">
        <f>ROUND(IF(COUNTIF($I104:K104,"&gt;0")&gt;$AJ104,0,K104),0)</f>
        <v>0</v>
      </c>
      <c r="AN104" s="28">
        <f>ROUND(IF(COUNTIF($I104:L104,"&gt;0")&gt;$AJ104,0,L104),0)</f>
        <v>27</v>
      </c>
      <c r="AO104" s="28">
        <f>ROUND(IF(COUNTIF($I104:M104,"&gt;0")&gt;$AJ104,0,M104),0)</f>
        <v>0</v>
      </c>
      <c r="AP104" s="28">
        <f>ROUND(IF(COUNTIF($I104:N104,"&gt;0")&gt;$AJ104,0,N104),0)</f>
        <v>0</v>
      </c>
      <c r="AQ104" s="28">
        <f>ROUND(IF(COUNTIF($I104:O104,"&gt;0")&gt;$AJ104,0,O104),0)</f>
        <v>0</v>
      </c>
      <c r="AR104" s="28">
        <f>ROUND(IF(COUNTIF($I104:P104,"&gt;0")&gt;$AJ104,0,P104),0)</f>
        <v>0</v>
      </c>
      <c r="AS104" s="28">
        <f>IF(COUNTIF($I104:Q104,"&gt;0")&gt;$AJ104,0,Q104)</f>
        <v>0</v>
      </c>
      <c r="AT104" s="28">
        <f>IF(COUNTIF($I104:R104,"&gt;0")&gt;$AJ104,0,R104)</f>
        <v>0</v>
      </c>
      <c r="AU104" s="28">
        <f>SUMPRODUCT(AK104:AT104,定义数据!$G$14:$P$14)</f>
        <v>44.18</v>
      </c>
      <c r="AV104" s="28">
        <f t="shared" si="4"/>
        <v>2209</v>
      </c>
      <c r="AW104" s="28">
        <f t="shared" si="14"/>
        <v>2209</v>
      </c>
      <c r="AX104" s="28">
        <f t="shared" si="15"/>
        <v>121495</v>
      </c>
      <c r="AY104" s="28">
        <f t="shared" si="16"/>
        <v>121495</v>
      </c>
    </row>
    <row r="105" spans="3:51" x14ac:dyDescent="0.15">
      <c r="C105" s="28" t="str">
        <f>H105&amp;F105&amp;VLOOKUP(G105,定义数据!$E$1:$F$7,2,FALSE)</f>
        <v>4530</v>
      </c>
      <c r="D105" s="28"/>
      <c r="E105" s="28">
        <f>装备属性计算表!AK104</f>
        <v>14</v>
      </c>
      <c r="F105" s="28">
        <f>装备属性计算表!B104</f>
        <v>3</v>
      </c>
      <c r="G105" s="28" t="str">
        <f>装备属性计算表!C104</f>
        <v>武器</v>
      </c>
      <c r="H105" s="28">
        <f>装备属性计算表!D104</f>
        <v>45</v>
      </c>
      <c r="I105" s="28">
        <f>VLOOKUP($G105,装备属性计算表!$D$14:$O$19,装备属性计算表!F$2,FALSE)/装备属性计算表!F$20*VLOOKUP($H105&amp;$F105,$C$3:$P$28,G$1,FALSE)</f>
        <v>0</v>
      </c>
      <c r="J105" s="28">
        <f>VLOOKUP($G105,装备属性计算表!$D$14:$O$19,装备属性计算表!G$2,FALSE)/装备属性计算表!G$20*VLOOKUP($H105&amp;$F105,$C$3:$P$28,H$1,FALSE)</f>
        <v>135.38722909090916</v>
      </c>
      <c r="K105" s="28">
        <f>VLOOKUP($G105,装备属性计算表!$D$14:$O$19,装备属性计算表!H$2,FALSE)/装备属性计算表!H$20*VLOOKUP($H105&amp;$F105,$C$3:$P$28,I$1,FALSE)</f>
        <v>16.250986481802432</v>
      </c>
      <c r="L105" s="28">
        <f>VLOOKUP($G105,装备属性计算表!$D$14:$O$19,装备属性计算表!I$2,FALSE)/装备属性计算表!I$20*VLOOKUP($H105&amp;$F105,$C$3:$P$28,J$1,FALSE)</f>
        <v>0</v>
      </c>
      <c r="M105" s="28">
        <f>VLOOKUP($G105,装备属性计算表!$D$14:$O$19,装备属性计算表!J$2,FALSE)/装备属性计算表!J$20*VLOOKUP($H105&amp;$F105,$C$3:$P$28,K$1,FALSE)</f>
        <v>59.027777777777786</v>
      </c>
      <c r="N105" s="28">
        <f>VLOOKUP($G105,装备属性计算表!$D$14:$O$19,装备属性计算表!K$2,FALSE)/装备属性计算表!K$20*VLOOKUP($H105&amp;$F105,$C$3:$P$28,L$1,FALSE)</f>
        <v>41.975308641975317</v>
      </c>
      <c r="O105" s="28">
        <f>VLOOKUP($G105,装备属性计算表!$D$14:$O$19,装备属性计算表!L$2,FALSE)/装备属性计算表!L$20*VLOOKUP($H105&amp;$F105,$C$3:$P$28,M$1,FALSE)</f>
        <v>0</v>
      </c>
      <c r="P105" s="28">
        <f>VLOOKUP($G105,装备属性计算表!$D$14:$O$19,装备属性计算表!M$2,FALSE)/装备属性计算表!M$20*VLOOKUP($H105&amp;$F105,$C$3:$P$28,N$1,FALSE)</f>
        <v>0</v>
      </c>
      <c r="Q105" s="28">
        <f>VLOOKUP($G105,装备属性计算表!$D$14:$O$19,装备属性计算表!N$2,FALSE)/装备属性计算表!N$20*VLOOKUP($H105&amp;$F105,$C$3:$P$28,O$1,FALSE)</f>
        <v>0</v>
      </c>
      <c r="R105" s="28">
        <f>VLOOKUP($G105,装备属性计算表!$D$14:$O$19,装备属性计算表!O$2,FALSE)/装备属性计算表!O$20*VLOOKUP($H105&amp;$F105,$C$3:$P$28,P$1,FALSE)</f>
        <v>0</v>
      </c>
      <c r="X105" s="28"/>
      <c r="Y105" s="28">
        <f t="shared" si="47"/>
        <v>0</v>
      </c>
      <c r="Z105" s="28">
        <f t="shared" si="48"/>
        <v>0</v>
      </c>
      <c r="AA105" s="28">
        <f t="shared" si="11"/>
        <v>10</v>
      </c>
      <c r="AB105" s="28">
        <f t="shared" si="49"/>
        <v>0</v>
      </c>
      <c r="AC105" s="28">
        <f t="shared" si="50"/>
        <v>0</v>
      </c>
      <c r="AD105" s="28">
        <f t="shared" si="51"/>
        <v>95</v>
      </c>
      <c r="AE105" s="28">
        <f t="shared" si="17"/>
        <v>475000</v>
      </c>
      <c r="AF105" s="28">
        <f t="shared" si="52"/>
        <v>4585</v>
      </c>
      <c r="AG105" s="28">
        <f t="shared" si="53"/>
        <v>29</v>
      </c>
      <c r="AH105" s="28">
        <f>IF(AG105&gt;0,VLOOKUP(G105,'价值&amp;消耗'!$U$173:$V$178,2,FALSE),0)</f>
        <v>70010</v>
      </c>
      <c r="AI105" s="28">
        <f t="shared" si="13"/>
        <v>1595</v>
      </c>
      <c r="AJ105" s="28">
        <f t="shared" si="46"/>
        <v>3</v>
      </c>
      <c r="AK105" s="28">
        <f>ROUND(IF(COUNTIF($I105:I105,"&gt;0")&gt;$AJ105,0,I105),0)</f>
        <v>0</v>
      </c>
      <c r="AL105" s="28">
        <f>ROUND(IF(COUNTIF($I105:J105,"&gt;0")&gt;$AJ105,0,J105),0)</f>
        <v>135</v>
      </c>
      <c r="AM105" s="28">
        <f>ROUND(IF(COUNTIF($I105:K105,"&gt;0")&gt;$AJ105,0,K105),0)</f>
        <v>16</v>
      </c>
      <c r="AN105" s="28">
        <f>ROUND(IF(COUNTIF($I105:L105,"&gt;0")&gt;$AJ105,0,L105),0)</f>
        <v>0</v>
      </c>
      <c r="AO105" s="28">
        <f>ROUND(IF(COUNTIF($I105:M105,"&gt;0")&gt;$AJ105,0,M105),0)</f>
        <v>59</v>
      </c>
      <c r="AP105" s="28">
        <f>ROUND(IF(COUNTIF($I105:N105,"&gt;0")&gt;$AJ105,0,N105),0)</f>
        <v>0</v>
      </c>
      <c r="AQ105" s="28">
        <f>ROUND(IF(COUNTIF($I105:O105,"&gt;0")&gt;$AJ105,0,O105),0)</f>
        <v>0</v>
      </c>
      <c r="AR105" s="28">
        <f>ROUND(IF(COUNTIF($I105:P105,"&gt;0")&gt;$AJ105,0,P105),0)</f>
        <v>0</v>
      </c>
      <c r="AS105" s="28">
        <f>IF(COUNTIF($I105:Q105,"&gt;0")&gt;$AJ105,0,Q105)</f>
        <v>0</v>
      </c>
      <c r="AT105" s="28">
        <f>IF(COUNTIF($I105:R105,"&gt;0")&gt;$AJ105,0,R105)</f>
        <v>0</v>
      </c>
      <c r="AU105" s="28">
        <f>SUMPRODUCT(AK105:AT105,定义数据!$G$14:$P$14)</f>
        <v>171.06</v>
      </c>
      <c r="AV105" s="28">
        <f t="shared" si="4"/>
        <v>8553</v>
      </c>
      <c r="AW105" s="28">
        <f t="shared" si="14"/>
        <v>8553</v>
      </c>
      <c r="AX105" s="28">
        <f t="shared" si="15"/>
        <v>470415</v>
      </c>
      <c r="AY105" s="28">
        <f t="shared" si="16"/>
        <v>470415</v>
      </c>
    </row>
    <row r="106" spans="3:51" x14ac:dyDescent="0.15">
      <c r="C106" s="28" t="str">
        <f>H106&amp;F106&amp;VLOOKUP(G106,定义数据!$E$1:$F$7,2,FALSE)</f>
        <v>4531</v>
      </c>
      <c r="D106" s="28"/>
      <c r="E106" s="28">
        <f>装备属性计算表!AK105</f>
        <v>14</v>
      </c>
      <c r="F106" s="28">
        <f>装备属性计算表!B105</f>
        <v>3</v>
      </c>
      <c r="G106" s="28" t="str">
        <f>装备属性计算表!C105</f>
        <v>衣服</v>
      </c>
      <c r="H106" s="28">
        <f>装备属性计算表!D105</f>
        <v>45</v>
      </c>
      <c r="I106" s="28">
        <f>VLOOKUP($G106,装备属性计算表!$D$14:$O$19,装备属性计算表!F$2,FALSE)/装备属性计算表!F$20*VLOOKUP($H106&amp;$F106,$C$3:$P$28,G$1,FALSE)</f>
        <v>1480.8193709717546</v>
      </c>
      <c r="J106" s="28">
        <f>VLOOKUP($G106,装备属性计算表!$D$14:$O$19,装备属性计算表!G$2,FALSE)/装备属性计算表!G$20*VLOOKUP($H106&amp;$F106,$C$3:$P$28,H$1,FALSE)</f>
        <v>0</v>
      </c>
      <c r="K106" s="28">
        <f>VLOOKUP($G106,装备属性计算表!$D$14:$O$19,装备属性计算表!H$2,FALSE)/装备属性计算表!H$20*VLOOKUP($H106&amp;$F106,$C$3:$P$28,I$1,FALSE)</f>
        <v>48.752959445407299</v>
      </c>
      <c r="L106" s="28">
        <f>VLOOKUP($G106,装备属性计算表!$D$14:$O$19,装备属性计算表!I$2,FALSE)/装备属性计算表!I$20*VLOOKUP($H106&amp;$F106,$C$3:$P$28,J$1,FALSE)</f>
        <v>35.416666666666679</v>
      </c>
      <c r="M106" s="28">
        <f>VLOOKUP($G106,装备属性计算表!$D$14:$O$19,装备属性计算表!J$2,FALSE)/装备属性计算表!J$20*VLOOKUP($H106&amp;$F106,$C$3:$P$28,K$1,FALSE)</f>
        <v>0</v>
      </c>
      <c r="N106" s="28">
        <f>VLOOKUP($G106,装备属性计算表!$D$14:$O$19,装备属性计算表!K$2,FALSE)/装备属性计算表!K$20*VLOOKUP($H106&amp;$F106,$C$3:$P$28,L$1,FALSE)</f>
        <v>0</v>
      </c>
      <c r="O106" s="28">
        <f>VLOOKUP($G106,装备属性计算表!$D$14:$O$19,装备属性计算表!L$2,FALSE)/装备属性计算表!L$20*VLOOKUP($H106&amp;$F106,$C$3:$P$28,M$1,FALSE)</f>
        <v>0</v>
      </c>
      <c r="P106" s="28">
        <f>VLOOKUP($G106,装备属性计算表!$D$14:$O$19,装备属性计算表!M$2,FALSE)/装备属性计算表!M$20*VLOOKUP($H106&amp;$F106,$C$3:$P$28,N$1,FALSE)</f>
        <v>34.979423868312765</v>
      </c>
      <c r="Q106" s="28">
        <f>VLOOKUP($G106,装备属性计算表!$D$14:$O$19,装备属性计算表!N$2,FALSE)/装备属性计算表!N$20*VLOOKUP($H106&amp;$F106,$C$3:$P$28,O$1,FALSE)</f>
        <v>0</v>
      </c>
      <c r="R106" s="28">
        <f>VLOOKUP($G106,装备属性计算表!$D$14:$O$19,装备属性计算表!O$2,FALSE)/装备属性计算表!O$20*VLOOKUP($H106&amp;$F106,$C$3:$P$28,P$1,FALSE)</f>
        <v>0</v>
      </c>
      <c r="X106" s="28"/>
      <c r="Y106" s="28">
        <f t="shared" si="47"/>
        <v>0</v>
      </c>
      <c r="Z106" s="28">
        <f t="shared" si="48"/>
        <v>0</v>
      </c>
      <c r="AA106" s="28">
        <f t="shared" si="11"/>
        <v>10</v>
      </c>
      <c r="AB106" s="28">
        <f t="shared" si="49"/>
        <v>0</v>
      </c>
      <c r="AC106" s="28">
        <f t="shared" si="50"/>
        <v>0</v>
      </c>
      <c r="AD106" s="28">
        <f t="shared" si="51"/>
        <v>67</v>
      </c>
      <c r="AE106" s="28">
        <f t="shared" si="17"/>
        <v>335000</v>
      </c>
      <c r="AF106" s="28">
        <f t="shared" si="52"/>
        <v>4615</v>
      </c>
      <c r="AG106" s="28">
        <f t="shared" si="53"/>
        <v>21</v>
      </c>
      <c r="AH106" s="28">
        <f>IF(AG106&gt;0,VLOOKUP(G106,'价值&amp;消耗'!$U$173:$V$178,2,FALSE),0)</f>
        <v>71010</v>
      </c>
      <c r="AI106" s="28">
        <f t="shared" si="13"/>
        <v>1155</v>
      </c>
      <c r="AJ106" s="28">
        <f t="shared" si="46"/>
        <v>3</v>
      </c>
      <c r="AK106" s="28">
        <f>ROUND(IF(COUNTIF($I106:I106,"&gt;0")&gt;$AJ106,0,I106),0)</f>
        <v>1481</v>
      </c>
      <c r="AL106" s="28">
        <f>ROUND(IF(COUNTIF($I106:J106,"&gt;0")&gt;$AJ106,0,J106),0)</f>
        <v>0</v>
      </c>
      <c r="AM106" s="28">
        <f>ROUND(IF(COUNTIF($I106:K106,"&gt;0")&gt;$AJ106,0,K106),0)</f>
        <v>49</v>
      </c>
      <c r="AN106" s="28">
        <f>ROUND(IF(COUNTIF($I106:L106,"&gt;0")&gt;$AJ106,0,L106),0)</f>
        <v>35</v>
      </c>
      <c r="AO106" s="28">
        <f>ROUND(IF(COUNTIF($I106:M106,"&gt;0")&gt;$AJ106,0,M106),0)</f>
        <v>0</v>
      </c>
      <c r="AP106" s="28">
        <f>ROUND(IF(COUNTIF($I106:N106,"&gt;0")&gt;$AJ106,0,N106),0)</f>
        <v>0</v>
      </c>
      <c r="AQ106" s="28">
        <f>ROUND(IF(COUNTIF($I106:O106,"&gt;0")&gt;$AJ106,0,O106),0)</f>
        <v>0</v>
      </c>
      <c r="AR106" s="28">
        <f>ROUND(IF(COUNTIF($I106:P106,"&gt;0")&gt;$AJ106,0,P106),0)</f>
        <v>0</v>
      </c>
      <c r="AS106" s="28">
        <f>IF(COUNTIF($I106:Q106,"&gt;0")&gt;$AJ106,0,Q106)</f>
        <v>0</v>
      </c>
      <c r="AT106" s="28">
        <f>IF(COUNTIF($I106:R106,"&gt;0")&gt;$AJ106,0,R106)</f>
        <v>0</v>
      </c>
      <c r="AU106" s="28">
        <f>SUMPRODUCT(AK106:AT106,定义数据!$G$14:$P$14)</f>
        <v>120.14000000000001</v>
      </c>
      <c r="AV106" s="28">
        <f t="shared" si="4"/>
        <v>6007</v>
      </c>
      <c r="AW106" s="28">
        <f t="shared" si="14"/>
        <v>6007</v>
      </c>
      <c r="AX106" s="28">
        <f t="shared" si="15"/>
        <v>330385</v>
      </c>
      <c r="AY106" s="28">
        <f t="shared" si="16"/>
        <v>330385</v>
      </c>
    </row>
    <row r="107" spans="3:51" x14ac:dyDescent="0.15">
      <c r="C107" s="28" t="str">
        <f>H107&amp;F107&amp;VLOOKUP(G107,定义数据!$E$1:$F$7,2,FALSE)</f>
        <v>4532</v>
      </c>
      <c r="D107" s="28"/>
      <c r="E107" s="28">
        <f>装备属性计算表!AK106</f>
        <v>14</v>
      </c>
      <c r="F107" s="28">
        <f>装备属性计算表!B106</f>
        <v>3</v>
      </c>
      <c r="G107" s="28" t="str">
        <f>装备属性计算表!C106</f>
        <v>裤子</v>
      </c>
      <c r="H107" s="28">
        <f>装备属性计算表!D106</f>
        <v>45</v>
      </c>
      <c r="I107" s="28">
        <f>VLOOKUP($G107,装备属性计算表!$D$14:$O$19,装备属性计算表!F$2,FALSE)/装备属性计算表!F$20*VLOOKUP($H107&amp;$F107,$C$3:$P$28,G$1,FALSE)</f>
        <v>740.40968548587728</v>
      </c>
      <c r="J107" s="28">
        <f>VLOOKUP($G107,装备属性计算表!$D$14:$O$19,装备属性计算表!G$2,FALSE)/装备属性计算表!G$20*VLOOKUP($H107&amp;$F107,$C$3:$P$28,H$1,FALSE)</f>
        <v>0</v>
      </c>
      <c r="K107" s="28">
        <f>VLOOKUP($G107,装备属性计算表!$D$14:$O$19,装备属性计算表!H$2,FALSE)/装备属性计算表!H$20*VLOOKUP($H107&amp;$F107,$C$3:$P$28,I$1,FALSE)</f>
        <v>16.250986481802432</v>
      </c>
      <c r="L107" s="28">
        <f>VLOOKUP($G107,装备属性计算表!$D$14:$O$19,装备属性计算表!I$2,FALSE)/装备属性计算表!I$20*VLOOKUP($H107&amp;$F107,$C$3:$P$28,J$1,FALSE)</f>
        <v>35.416666666666679</v>
      </c>
      <c r="M107" s="28">
        <f>VLOOKUP($G107,装备属性计算表!$D$14:$O$19,装备属性计算表!J$2,FALSE)/装备属性计算表!J$20*VLOOKUP($H107&amp;$F107,$C$3:$P$28,K$1,FALSE)</f>
        <v>0</v>
      </c>
      <c r="N107" s="28">
        <f>VLOOKUP($G107,装备属性计算表!$D$14:$O$19,装备属性计算表!K$2,FALSE)/装备属性计算表!K$20*VLOOKUP($H107&amp;$F107,$C$3:$P$28,L$1,FALSE)</f>
        <v>0</v>
      </c>
      <c r="O107" s="28">
        <f>VLOOKUP($G107,装备属性计算表!$D$14:$O$19,装备属性计算表!L$2,FALSE)/装备属性计算表!L$20*VLOOKUP($H107&amp;$F107,$C$3:$P$28,M$1,FALSE)</f>
        <v>0</v>
      </c>
      <c r="P107" s="28">
        <f>VLOOKUP($G107,装备属性计算表!$D$14:$O$19,装备属性计算表!M$2,FALSE)/装备属性计算表!M$20*VLOOKUP($H107&amp;$F107,$C$3:$P$28,N$1,FALSE)</f>
        <v>34.979423868312765</v>
      </c>
      <c r="Q107" s="28">
        <f>VLOOKUP($G107,装备属性计算表!$D$14:$O$19,装备属性计算表!N$2,FALSE)/装备属性计算表!N$20*VLOOKUP($H107&amp;$F107,$C$3:$P$28,O$1,FALSE)</f>
        <v>0</v>
      </c>
      <c r="R107" s="28">
        <f>VLOOKUP($G107,装备属性计算表!$D$14:$O$19,装备属性计算表!O$2,FALSE)/装备属性计算表!O$20*VLOOKUP($H107&amp;$F107,$C$3:$P$28,P$1,FALSE)</f>
        <v>0</v>
      </c>
      <c r="X107" s="28"/>
      <c r="Y107" s="28">
        <f t="shared" si="47"/>
        <v>0</v>
      </c>
      <c r="Z107" s="28">
        <f t="shared" si="48"/>
        <v>1</v>
      </c>
      <c r="AA107" s="28">
        <f t="shared" si="11"/>
        <v>10</v>
      </c>
      <c r="AB107" s="28">
        <f t="shared" si="49"/>
        <v>0</v>
      </c>
      <c r="AC107" s="28">
        <f t="shared" si="50"/>
        <v>3</v>
      </c>
      <c r="AD107" s="28">
        <f t="shared" si="51"/>
        <v>32</v>
      </c>
      <c r="AE107" s="28">
        <f t="shared" si="17"/>
        <v>163000</v>
      </c>
      <c r="AF107" s="28">
        <f t="shared" si="52"/>
        <v>4875</v>
      </c>
      <c r="AG107" s="28">
        <f t="shared" si="53"/>
        <v>10</v>
      </c>
      <c r="AH107" s="28">
        <f>IF(AG107&gt;0,VLOOKUP(G107,'价值&amp;消耗'!$U$173:$V$178,2,FALSE),0)</f>
        <v>72010</v>
      </c>
      <c r="AI107" s="28">
        <f t="shared" si="13"/>
        <v>550</v>
      </c>
      <c r="AJ107" s="28">
        <f t="shared" si="46"/>
        <v>3</v>
      </c>
      <c r="AK107" s="28">
        <f>ROUND(IF(COUNTIF($I107:I107,"&gt;0")&gt;$AJ107,0,I107),0)</f>
        <v>740</v>
      </c>
      <c r="AL107" s="28">
        <f>ROUND(IF(COUNTIF($I107:J107,"&gt;0")&gt;$AJ107,0,J107),0)</f>
        <v>0</v>
      </c>
      <c r="AM107" s="28">
        <f>ROUND(IF(COUNTIF($I107:K107,"&gt;0")&gt;$AJ107,0,K107),0)</f>
        <v>16</v>
      </c>
      <c r="AN107" s="28">
        <f>ROUND(IF(COUNTIF($I107:L107,"&gt;0")&gt;$AJ107,0,L107),0)</f>
        <v>35</v>
      </c>
      <c r="AO107" s="28">
        <f>ROUND(IF(COUNTIF($I107:M107,"&gt;0")&gt;$AJ107,0,M107),0)</f>
        <v>0</v>
      </c>
      <c r="AP107" s="28">
        <f>ROUND(IF(COUNTIF($I107:N107,"&gt;0")&gt;$AJ107,0,N107),0)</f>
        <v>0</v>
      </c>
      <c r="AQ107" s="28">
        <f>ROUND(IF(COUNTIF($I107:O107,"&gt;0")&gt;$AJ107,0,O107),0)</f>
        <v>0</v>
      </c>
      <c r="AR107" s="28">
        <f>ROUND(IF(COUNTIF($I107:P107,"&gt;0")&gt;$AJ107,0,P107),0)</f>
        <v>0</v>
      </c>
      <c r="AS107" s="28">
        <f>IF(COUNTIF($I107:Q107,"&gt;0")&gt;$AJ107,0,Q107)</f>
        <v>0</v>
      </c>
      <c r="AT107" s="28">
        <f>IF(COUNTIF($I107:R107,"&gt;0")&gt;$AJ107,0,R107)</f>
        <v>0</v>
      </c>
      <c r="AU107" s="28">
        <f>SUMPRODUCT(AK107:AT107,定义数据!$G$14:$P$14)</f>
        <v>57.5</v>
      </c>
      <c r="AV107" s="28">
        <f t="shared" si="4"/>
        <v>2875</v>
      </c>
      <c r="AW107" s="28">
        <f t="shared" si="14"/>
        <v>2875</v>
      </c>
      <c r="AX107" s="28">
        <f t="shared" si="15"/>
        <v>158125</v>
      </c>
      <c r="AY107" s="28">
        <f t="shared" si="16"/>
        <v>158125</v>
      </c>
    </row>
    <row r="108" spans="3:51" x14ac:dyDescent="0.15">
      <c r="C108" s="28" t="str">
        <f>H108&amp;F108&amp;VLOOKUP(G108,定义数据!$E$1:$F$7,2,FALSE)</f>
        <v>4535</v>
      </c>
      <c r="D108" s="28"/>
      <c r="E108" s="28">
        <f>装备属性计算表!AK107</f>
        <v>14</v>
      </c>
      <c r="F108" s="28">
        <f>装备属性计算表!B107</f>
        <v>3</v>
      </c>
      <c r="G108" s="28" t="str">
        <f>装备属性计算表!C107</f>
        <v>鞋子</v>
      </c>
      <c r="H108" s="28">
        <f>装备属性计算表!D107</f>
        <v>45</v>
      </c>
      <c r="I108" s="28">
        <f>VLOOKUP($G108,装备属性计算表!$D$14:$O$19,装备属性计算表!F$2,FALSE)/装备属性计算表!F$20*VLOOKUP($H108&amp;$F108,$C$3:$P$28,G$1,FALSE)</f>
        <v>740.40968548587728</v>
      </c>
      <c r="J108" s="28">
        <f>VLOOKUP($G108,装备属性计算表!$D$14:$O$19,装备属性计算表!G$2,FALSE)/装备属性计算表!G$20*VLOOKUP($H108&amp;$F108,$C$3:$P$28,H$1,FALSE)</f>
        <v>0</v>
      </c>
      <c r="K108" s="28">
        <f>VLOOKUP($G108,装备属性计算表!$D$14:$O$19,装备属性计算表!H$2,FALSE)/装备属性计算表!H$20*VLOOKUP($H108&amp;$F108,$C$3:$P$28,I$1,FALSE)</f>
        <v>0</v>
      </c>
      <c r="L108" s="28">
        <f>VLOOKUP($G108,装备属性计算表!$D$14:$O$19,装备属性计算表!I$2,FALSE)/装备属性计算表!I$20*VLOOKUP($H108&amp;$F108,$C$3:$P$28,J$1,FALSE)</f>
        <v>70.833333333333357</v>
      </c>
      <c r="M108" s="28">
        <f>VLOOKUP($G108,装备属性计算表!$D$14:$O$19,装备属性计算表!J$2,FALSE)/装备属性计算表!J$20*VLOOKUP($H108&amp;$F108,$C$3:$P$28,K$1,FALSE)</f>
        <v>59.027777777777786</v>
      </c>
      <c r="N108" s="28">
        <f>VLOOKUP($G108,装备属性计算表!$D$14:$O$19,装备属性计算表!K$2,FALSE)/装备属性计算表!K$20*VLOOKUP($H108&amp;$F108,$C$3:$P$28,L$1,FALSE)</f>
        <v>20.987654320987659</v>
      </c>
      <c r="O108" s="28">
        <f>VLOOKUP($G108,装备属性计算表!$D$14:$O$19,装备属性计算表!L$2,FALSE)/装备属性计算表!L$20*VLOOKUP($H108&amp;$F108,$C$3:$P$28,M$1,FALSE)</f>
        <v>0</v>
      </c>
      <c r="P108" s="28">
        <f>VLOOKUP($G108,装备属性计算表!$D$14:$O$19,装备属性计算表!M$2,FALSE)/装备属性计算表!M$20*VLOOKUP($H108&amp;$F108,$C$3:$P$28,N$1,FALSE)</f>
        <v>0</v>
      </c>
      <c r="Q108" s="28">
        <f>VLOOKUP($G108,装备属性计算表!$D$14:$O$19,装备属性计算表!N$2,FALSE)/装备属性计算表!N$20*VLOOKUP($H108&amp;$F108,$C$3:$P$28,O$1,FALSE)</f>
        <v>0</v>
      </c>
      <c r="R108" s="28">
        <f>VLOOKUP($G108,装备属性计算表!$D$14:$O$19,装备属性计算表!O$2,FALSE)/装备属性计算表!O$20*VLOOKUP($H108&amp;$F108,$C$3:$P$28,P$1,FALSE)</f>
        <v>0</v>
      </c>
      <c r="X108" s="28"/>
      <c r="Y108" s="28">
        <f t="shared" si="47"/>
        <v>0</v>
      </c>
      <c r="Z108" s="28">
        <f t="shared" si="48"/>
        <v>1</v>
      </c>
      <c r="AA108" s="28">
        <f t="shared" si="11"/>
        <v>10</v>
      </c>
      <c r="AB108" s="28">
        <f t="shared" si="49"/>
        <v>0</v>
      </c>
      <c r="AC108" s="28">
        <f t="shared" si="50"/>
        <v>4</v>
      </c>
      <c r="AD108" s="28">
        <f t="shared" si="51"/>
        <v>40</v>
      </c>
      <c r="AE108" s="28">
        <f t="shared" si="17"/>
        <v>204000</v>
      </c>
      <c r="AF108" s="28">
        <f t="shared" si="52"/>
        <v>1050</v>
      </c>
      <c r="AG108" s="28">
        <f t="shared" si="53"/>
        <v>13</v>
      </c>
      <c r="AH108" s="28">
        <f>IF(AG108&gt;0,VLOOKUP(G108,'价值&amp;消耗'!$U$173:$V$178,2,FALSE),0)</f>
        <v>75010</v>
      </c>
      <c r="AI108" s="28">
        <f t="shared" si="13"/>
        <v>715</v>
      </c>
      <c r="AJ108" s="28">
        <f t="shared" si="46"/>
        <v>3</v>
      </c>
      <c r="AK108" s="28">
        <f>ROUND(IF(COUNTIF($I108:I108,"&gt;0")&gt;$AJ108,0,I108),0)</f>
        <v>740</v>
      </c>
      <c r="AL108" s="28">
        <f>ROUND(IF(COUNTIF($I108:J108,"&gt;0")&gt;$AJ108,0,J108),0)</f>
        <v>0</v>
      </c>
      <c r="AM108" s="28">
        <f>ROUND(IF(COUNTIF($I108:K108,"&gt;0")&gt;$AJ108,0,K108),0)</f>
        <v>0</v>
      </c>
      <c r="AN108" s="28">
        <f>ROUND(IF(COUNTIF($I108:L108,"&gt;0")&gt;$AJ108,0,L108),0)</f>
        <v>71</v>
      </c>
      <c r="AO108" s="28">
        <f>ROUND(IF(COUNTIF($I108:M108,"&gt;0")&gt;$AJ108,0,M108),0)</f>
        <v>59</v>
      </c>
      <c r="AP108" s="28">
        <f>ROUND(IF(COUNTIF($I108:N108,"&gt;0")&gt;$AJ108,0,N108),0)</f>
        <v>0</v>
      </c>
      <c r="AQ108" s="28">
        <f>ROUND(IF(COUNTIF($I108:O108,"&gt;0")&gt;$AJ108,0,O108),0)</f>
        <v>0</v>
      </c>
      <c r="AR108" s="28">
        <f>ROUND(IF(COUNTIF($I108:P108,"&gt;0")&gt;$AJ108,0,P108),0)</f>
        <v>0</v>
      </c>
      <c r="AS108" s="28">
        <f>IF(COUNTIF($I108:Q108,"&gt;0")&gt;$AJ108,0,Q108)</f>
        <v>0</v>
      </c>
      <c r="AT108" s="28">
        <f>IF(COUNTIF($I108:R108,"&gt;0")&gt;$AJ108,0,R108)</f>
        <v>0</v>
      </c>
      <c r="AU108" s="28">
        <f>SUMPRODUCT(AK108:AT108,定义数据!$G$14:$P$14)</f>
        <v>73.800000000000011</v>
      </c>
      <c r="AV108" s="28">
        <f t="shared" si="4"/>
        <v>3690</v>
      </c>
      <c r="AW108" s="28">
        <f t="shared" si="14"/>
        <v>3690</v>
      </c>
      <c r="AX108" s="28">
        <f t="shared" si="15"/>
        <v>202950</v>
      </c>
      <c r="AY108" s="28">
        <f t="shared" si="16"/>
        <v>202950</v>
      </c>
    </row>
    <row r="109" spans="3:51" x14ac:dyDescent="0.15">
      <c r="C109" s="28" t="str">
        <f>H109&amp;F109&amp;VLOOKUP(G109,定义数据!$E$1:$F$7,2,FALSE)</f>
        <v>4534</v>
      </c>
      <c r="D109" s="28"/>
      <c r="E109" s="28">
        <f>装备属性计算表!AK108</f>
        <v>14</v>
      </c>
      <c r="F109" s="28">
        <f>装备属性计算表!B108</f>
        <v>3</v>
      </c>
      <c r="G109" s="28" t="str">
        <f>装备属性计算表!C108</f>
        <v>腰带</v>
      </c>
      <c r="H109" s="28">
        <f>装备属性计算表!D108</f>
        <v>45</v>
      </c>
      <c r="I109" s="28">
        <f>VLOOKUP($G109,装备属性计算表!$D$14:$O$19,装备属性计算表!F$2,FALSE)/装备属性计算表!F$20*VLOOKUP($H109&amp;$F109,$C$3:$P$28,G$1,FALSE)</f>
        <v>1480.8193709717546</v>
      </c>
      <c r="J109" s="28">
        <f>VLOOKUP($G109,装备属性计算表!$D$14:$O$19,装备属性计算表!G$2,FALSE)/装备属性计算表!G$20*VLOOKUP($H109&amp;$F109,$C$3:$P$28,H$1,FALSE)</f>
        <v>45.129076363636386</v>
      </c>
      <c r="K109" s="28">
        <f>VLOOKUP($G109,装备属性计算表!$D$14:$O$19,装备属性计算表!H$2,FALSE)/装备属性计算表!H$20*VLOOKUP($H109&amp;$F109,$C$3:$P$28,I$1,FALSE)</f>
        <v>16.250986481802432</v>
      </c>
      <c r="L109" s="28">
        <f>VLOOKUP($G109,装备属性计算表!$D$14:$O$19,装备属性计算表!I$2,FALSE)/装备属性计算表!I$20*VLOOKUP($H109&amp;$F109,$C$3:$P$28,J$1,FALSE)</f>
        <v>0</v>
      </c>
      <c r="M109" s="28">
        <f>VLOOKUP($G109,装备属性计算表!$D$14:$O$19,装备属性计算表!J$2,FALSE)/装备属性计算表!J$20*VLOOKUP($H109&amp;$F109,$C$3:$P$28,K$1,FALSE)</f>
        <v>0</v>
      </c>
      <c r="N109" s="28">
        <f>VLOOKUP($G109,装备属性计算表!$D$14:$O$19,装备属性计算表!K$2,FALSE)/装备属性计算表!K$20*VLOOKUP($H109&amp;$F109,$C$3:$P$28,L$1,FALSE)</f>
        <v>0</v>
      </c>
      <c r="O109" s="28">
        <f>VLOOKUP($G109,装备属性计算表!$D$14:$O$19,装备属性计算表!L$2,FALSE)/装备属性计算表!L$20*VLOOKUP($H109&amp;$F109,$C$3:$P$28,M$1,FALSE)</f>
        <v>0</v>
      </c>
      <c r="P109" s="28">
        <f>VLOOKUP($G109,装备属性计算表!$D$14:$O$19,装备属性计算表!M$2,FALSE)/装备属性计算表!M$20*VLOOKUP($H109&amp;$F109,$C$3:$P$28,N$1,FALSE)</f>
        <v>34.979423868312765</v>
      </c>
      <c r="Q109" s="28">
        <f>VLOOKUP($G109,装备属性计算表!$D$14:$O$19,装备属性计算表!N$2,FALSE)/装备属性计算表!N$20*VLOOKUP($H109&amp;$F109,$C$3:$P$28,O$1,FALSE)</f>
        <v>0</v>
      </c>
      <c r="R109" s="28">
        <f>VLOOKUP($G109,装备属性计算表!$D$14:$O$19,装备属性计算表!O$2,FALSE)/装备属性计算表!O$20*VLOOKUP($H109&amp;$F109,$C$3:$P$28,P$1,FALSE)</f>
        <v>0</v>
      </c>
      <c r="X109" s="28"/>
      <c r="Y109" s="28">
        <f t="shared" si="47"/>
        <v>0</v>
      </c>
      <c r="Z109" s="28">
        <f t="shared" si="48"/>
        <v>0</v>
      </c>
      <c r="AA109" s="28">
        <f t="shared" si="11"/>
        <v>10</v>
      </c>
      <c r="AB109" s="28">
        <f t="shared" si="49"/>
        <v>0</v>
      </c>
      <c r="AC109" s="28">
        <f t="shared" si="50"/>
        <v>0</v>
      </c>
      <c r="AD109" s="28">
        <f t="shared" si="51"/>
        <v>67</v>
      </c>
      <c r="AE109" s="28">
        <f t="shared" si="17"/>
        <v>335000</v>
      </c>
      <c r="AF109" s="28">
        <f t="shared" si="52"/>
        <v>4340</v>
      </c>
      <c r="AG109" s="28">
        <f t="shared" si="53"/>
        <v>21</v>
      </c>
      <c r="AH109" s="28">
        <f>IF(AG109&gt;0,VLOOKUP(G109,'价值&amp;消耗'!$U$173:$V$178,2,FALSE),0)</f>
        <v>74010</v>
      </c>
      <c r="AI109" s="28">
        <f t="shared" si="13"/>
        <v>1155</v>
      </c>
      <c r="AJ109" s="28">
        <f t="shared" ref="AJ109:AJ134" si="54">F109</f>
        <v>3</v>
      </c>
      <c r="AK109" s="28">
        <f>ROUND(IF(COUNTIF($I109:I109,"&gt;0")&gt;$AJ109,0,I109),0)</f>
        <v>1481</v>
      </c>
      <c r="AL109" s="28">
        <f>ROUND(IF(COUNTIF($I109:J109,"&gt;0")&gt;$AJ109,0,J109),0)</f>
        <v>45</v>
      </c>
      <c r="AM109" s="28">
        <f>ROUND(IF(COUNTIF($I109:K109,"&gt;0")&gt;$AJ109,0,K109),0)</f>
        <v>16</v>
      </c>
      <c r="AN109" s="28">
        <f>ROUND(IF(COUNTIF($I109:L109,"&gt;0")&gt;$AJ109,0,L109),0)</f>
        <v>0</v>
      </c>
      <c r="AO109" s="28">
        <f>ROUND(IF(COUNTIF($I109:M109,"&gt;0")&gt;$AJ109,0,M109),0)</f>
        <v>0</v>
      </c>
      <c r="AP109" s="28">
        <f>ROUND(IF(COUNTIF($I109:N109,"&gt;0")&gt;$AJ109,0,N109),0)</f>
        <v>0</v>
      </c>
      <c r="AQ109" s="28">
        <f>ROUND(IF(COUNTIF($I109:O109,"&gt;0")&gt;$AJ109,0,O109),0)</f>
        <v>0</v>
      </c>
      <c r="AR109" s="28">
        <f>ROUND(IF(COUNTIF($I109:P109,"&gt;0")&gt;$AJ109,0,P109),0)</f>
        <v>0</v>
      </c>
      <c r="AS109" s="28">
        <f>IF(COUNTIF($I109:Q109,"&gt;0")&gt;$AJ109,0,Q109)</f>
        <v>0</v>
      </c>
      <c r="AT109" s="28">
        <f>IF(COUNTIF($I109:R109,"&gt;0")&gt;$AJ109,0,R109)</f>
        <v>0</v>
      </c>
      <c r="AU109" s="28">
        <f>SUMPRODUCT(AK109:AT109,定义数据!$G$14:$P$14)</f>
        <v>120.24000000000001</v>
      </c>
      <c r="AV109" s="28">
        <f t="shared" si="4"/>
        <v>6012</v>
      </c>
      <c r="AW109" s="28">
        <f t="shared" si="14"/>
        <v>6012</v>
      </c>
      <c r="AX109" s="28">
        <f t="shared" si="15"/>
        <v>330660</v>
      </c>
      <c r="AY109" s="28">
        <f t="shared" si="16"/>
        <v>330660</v>
      </c>
    </row>
    <row r="110" spans="3:51" x14ac:dyDescent="0.15">
      <c r="C110" s="28" t="str">
        <f>H110&amp;F110&amp;VLOOKUP(G110,定义数据!$E$1:$F$7,2,FALSE)</f>
        <v>4533</v>
      </c>
      <c r="D110" s="28"/>
      <c r="E110" s="28">
        <f>装备属性计算表!AK109</f>
        <v>14</v>
      </c>
      <c r="F110" s="28">
        <f>装备属性计算表!B109</f>
        <v>3</v>
      </c>
      <c r="G110" s="28" t="str">
        <f>装备属性计算表!C109</f>
        <v>项链</v>
      </c>
      <c r="H110" s="28">
        <f>装备属性计算表!D109</f>
        <v>45</v>
      </c>
      <c r="I110" s="28">
        <f>VLOOKUP($G110,装备属性计算表!$D$14:$O$19,装备属性计算表!F$2,FALSE)/装备属性计算表!F$20*VLOOKUP($H110&amp;$F110,$C$3:$P$28,G$1,FALSE)</f>
        <v>0</v>
      </c>
      <c r="J110" s="28">
        <f>VLOOKUP($G110,装备属性计算表!$D$14:$O$19,装备属性计算表!G$2,FALSE)/装备属性计算表!G$20*VLOOKUP($H110&amp;$F110,$C$3:$P$28,H$1,FALSE)</f>
        <v>45.129076363636386</v>
      </c>
      <c r="K110" s="28">
        <f>VLOOKUP($G110,装备属性计算表!$D$14:$O$19,装备属性计算表!H$2,FALSE)/装备属性计算表!H$20*VLOOKUP($H110&amp;$F110,$C$3:$P$28,I$1,FALSE)</f>
        <v>0</v>
      </c>
      <c r="L110" s="28">
        <f>VLOOKUP($G110,装备属性计算表!$D$14:$O$19,装备属性计算表!I$2,FALSE)/装备属性计算表!I$20*VLOOKUP($H110&amp;$F110,$C$3:$P$28,J$1,FALSE)</f>
        <v>35.416666666666679</v>
      </c>
      <c r="M110" s="28">
        <f>VLOOKUP($G110,装备属性计算表!$D$14:$O$19,装备属性计算表!J$2,FALSE)/装备属性计算表!J$20*VLOOKUP($H110&amp;$F110,$C$3:$P$28,K$1,FALSE)</f>
        <v>59.027777777777786</v>
      </c>
      <c r="N110" s="28">
        <f>VLOOKUP($G110,装备属性计算表!$D$14:$O$19,装备属性计算表!K$2,FALSE)/装备属性计算表!K$20*VLOOKUP($H110&amp;$F110,$C$3:$P$28,L$1,FALSE)</f>
        <v>41.975308641975317</v>
      </c>
      <c r="O110" s="28">
        <f>VLOOKUP($G110,装备属性计算表!$D$14:$O$19,装备属性计算表!L$2,FALSE)/装备属性计算表!L$20*VLOOKUP($H110&amp;$F110,$C$3:$P$28,M$1,FALSE)</f>
        <v>0</v>
      </c>
      <c r="P110" s="28">
        <f>VLOOKUP($G110,装备属性计算表!$D$14:$O$19,装备属性计算表!M$2,FALSE)/装备属性计算表!M$20*VLOOKUP($H110&amp;$F110,$C$3:$P$28,N$1,FALSE)</f>
        <v>0</v>
      </c>
      <c r="Q110" s="28">
        <f>VLOOKUP($G110,装备属性计算表!$D$14:$O$19,装备属性计算表!N$2,FALSE)/装备属性计算表!N$20*VLOOKUP($H110&amp;$F110,$C$3:$P$28,O$1,FALSE)</f>
        <v>0</v>
      </c>
      <c r="R110" s="28">
        <f>VLOOKUP($G110,装备属性计算表!$D$14:$O$19,装备属性计算表!O$2,FALSE)/装备属性计算表!O$20*VLOOKUP($H110&amp;$F110,$C$3:$P$28,P$1,FALSE)</f>
        <v>0</v>
      </c>
      <c r="X110" s="28">
        <f>SUM(AY105:AY110)</f>
        <v>1704175</v>
      </c>
      <c r="Y110" s="28">
        <f t="shared" si="47"/>
        <v>0</v>
      </c>
      <c r="Z110" s="28">
        <f t="shared" si="48"/>
        <v>1</v>
      </c>
      <c r="AA110" s="28">
        <f t="shared" si="11"/>
        <v>10</v>
      </c>
      <c r="AB110" s="28">
        <f t="shared" si="49"/>
        <v>0</v>
      </c>
      <c r="AC110" s="28">
        <f t="shared" si="50"/>
        <v>4</v>
      </c>
      <c r="AD110" s="28">
        <f t="shared" si="51"/>
        <v>42</v>
      </c>
      <c r="AE110" s="28">
        <f t="shared" si="17"/>
        <v>214000</v>
      </c>
      <c r="AF110" s="28">
        <f t="shared" si="52"/>
        <v>2360</v>
      </c>
      <c r="AG110" s="28">
        <f t="shared" si="53"/>
        <v>13</v>
      </c>
      <c r="AH110" s="28">
        <f>IF(AG110&gt;0,VLOOKUP(G110,'价值&amp;消耗'!$U$173:$V$178,2,FALSE),0)</f>
        <v>73010</v>
      </c>
      <c r="AI110" s="28">
        <f t="shared" si="13"/>
        <v>715</v>
      </c>
      <c r="AJ110" s="28">
        <f t="shared" si="54"/>
        <v>3</v>
      </c>
      <c r="AK110" s="28">
        <f>ROUND(IF(COUNTIF($I110:I110,"&gt;0")&gt;$AJ110,0,I110),0)</f>
        <v>0</v>
      </c>
      <c r="AL110" s="28">
        <f>ROUND(IF(COUNTIF($I110:J110,"&gt;0")&gt;$AJ110,0,J110),0)</f>
        <v>45</v>
      </c>
      <c r="AM110" s="28">
        <f>ROUND(IF(COUNTIF($I110:K110,"&gt;0")&gt;$AJ110,0,K110),0)</f>
        <v>0</v>
      </c>
      <c r="AN110" s="28">
        <f>ROUND(IF(COUNTIF($I110:L110,"&gt;0")&gt;$AJ110,0,L110),0)</f>
        <v>35</v>
      </c>
      <c r="AO110" s="28">
        <f>ROUND(IF(COUNTIF($I110:M110,"&gt;0")&gt;$AJ110,0,M110),0)</f>
        <v>59</v>
      </c>
      <c r="AP110" s="28">
        <f>ROUND(IF(COUNTIF($I110:N110,"&gt;0")&gt;$AJ110,0,N110),0)</f>
        <v>0</v>
      </c>
      <c r="AQ110" s="28">
        <f>ROUND(IF(COUNTIF($I110:O110,"&gt;0")&gt;$AJ110,0,O110),0)</f>
        <v>0</v>
      </c>
      <c r="AR110" s="28">
        <f>ROUND(IF(COUNTIF($I110:P110,"&gt;0")&gt;$AJ110,0,P110),0)</f>
        <v>0</v>
      </c>
      <c r="AS110" s="28">
        <f>IF(COUNTIF($I110:Q110,"&gt;0")&gt;$AJ110,0,Q110)</f>
        <v>0</v>
      </c>
      <c r="AT110" s="28">
        <f>IF(COUNTIF($I110:R110,"&gt;0")&gt;$AJ110,0,R110)</f>
        <v>0</v>
      </c>
      <c r="AU110" s="28">
        <f>SUMPRODUCT(AK110:AT110,定义数据!$G$14:$P$14)</f>
        <v>76.960000000000008</v>
      </c>
      <c r="AV110" s="28">
        <f t="shared" ref="AV110:AV173" si="55">ROUND(AU110*$U$33,0)</f>
        <v>3848</v>
      </c>
      <c r="AW110" s="28">
        <f t="shared" si="14"/>
        <v>3848</v>
      </c>
      <c r="AX110" s="28">
        <f t="shared" si="15"/>
        <v>211640</v>
      </c>
      <c r="AY110" s="28">
        <f t="shared" si="16"/>
        <v>211640</v>
      </c>
    </row>
    <row r="111" spans="3:51" x14ac:dyDescent="0.15">
      <c r="C111" s="28" t="str">
        <f>H111&amp;F111&amp;VLOOKUP(G111,定义数据!$E$1:$F$7,2,FALSE)</f>
        <v>4540</v>
      </c>
      <c r="D111" s="28"/>
      <c r="E111" s="28">
        <f>装备属性计算表!AK110</f>
        <v>15</v>
      </c>
      <c r="F111" s="28">
        <f>装备属性计算表!B110</f>
        <v>4</v>
      </c>
      <c r="G111" s="28" t="str">
        <f>装备属性计算表!C110</f>
        <v>武器</v>
      </c>
      <c r="H111" s="28">
        <f>装备属性计算表!D110</f>
        <v>45</v>
      </c>
      <c r="I111" s="28">
        <f>VLOOKUP($G111,装备属性计算表!$D$14:$O$19,装备属性计算表!F$2,FALSE)/装备属性计算表!F$20*VLOOKUP($H111&amp;$F111,$C$3:$P$28,G$1,FALSE)</f>
        <v>0</v>
      </c>
      <c r="J111" s="28">
        <f>VLOOKUP($G111,装备属性计算表!$D$14:$O$19,装备属性计算表!G$2,FALSE)/装备属性计算表!G$20*VLOOKUP($H111&amp;$F111,$C$3:$P$28,H$1,FALSE)</f>
        <v>159.2790930481284</v>
      </c>
      <c r="K111" s="28">
        <f>VLOOKUP($G111,装备属性计算表!$D$14:$O$19,装备属性计算表!H$2,FALSE)/装备属性计算表!H$20*VLOOKUP($H111&amp;$F111,$C$3:$P$28,I$1,FALSE)</f>
        <v>19.118807625649922</v>
      </c>
      <c r="L111" s="28">
        <f>VLOOKUP($G111,装备属性计算表!$D$14:$O$19,装备属性计算表!I$2,FALSE)/装备属性计算表!I$20*VLOOKUP($H111&amp;$F111,$C$3:$P$28,J$1,FALSE)</f>
        <v>0</v>
      </c>
      <c r="M111" s="28">
        <f>VLOOKUP($G111,装备属性计算表!$D$14:$O$19,装备属性计算表!J$2,FALSE)/装备属性计算表!J$20*VLOOKUP($H111&amp;$F111,$C$3:$P$28,K$1,FALSE)</f>
        <v>69.444444444444443</v>
      </c>
      <c r="N111" s="28">
        <f>VLOOKUP($G111,装备属性计算表!$D$14:$O$19,装备属性计算表!K$2,FALSE)/装备属性计算表!K$20*VLOOKUP($H111&amp;$F111,$C$3:$P$28,L$1,FALSE)</f>
        <v>49.382716049382729</v>
      </c>
      <c r="O111" s="28">
        <f>VLOOKUP($G111,装备属性计算表!$D$14:$O$19,装备属性计算表!L$2,FALSE)/装备属性计算表!L$20*VLOOKUP($H111&amp;$F111,$C$3:$P$28,M$1,FALSE)</f>
        <v>0</v>
      </c>
      <c r="P111" s="28">
        <f>VLOOKUP($G111,装备属性计算表!$D$14:$O$19,装备属性计算表!M$2,FALSE)/装备属性计算表!M$20*VLOOKUP($H111&amp;$F111,$C$3:$P$28,N$1,FALSE)</f>
        <v>0</v>
      </c>
      <c r="Q111" s="28">
        <f>VLOOKUP($G111,装备属性计算表!$D$14:$O$19,装备属性计算表!N$2,FALSE)/装备属性计算表!N$20*VLOOKUP($H111&amp;$F111,$C$3:$P$28,O$1,FALSE)</f>
        <v>0</v>
      </c>
      <c r="R111" s="28">
        <f>VLOOKUP($G111,装备属性计算表!$D$14:$O$19,装备属性计算表!O$2,FALSE)/装备属性计算表!O$20*VLOOKUP($H111&amp;$F111,$C$3:$P$28,P$1,FALSE)</f>
        <v>0</v>
      </c>
      <c r="X111" s="28"/>
      <c r="Y111" s="28">
        <f t="shared" si="47"/>
        <v>0</v>
      </c>
      <c r="Z111" s="28">
        <f t="shared" si="48"/>
        <v>0</v>
      </c>
      <c r="AA111" s="28">
        <f t="shared" si="11"/>
        <v>10</v>
      </c>
      <c r="AB111" s="28">
        <f t="shared" si="49"/>
        <v>0</v>
      </c>
      <c r="AC111" s="28">
        <f t="shared" si="50"/>
        <v>0</v>
      </c>
      <c r="AD111" s="28">
        <f t="shared" si="51"/>
        <v>116</v>
      </c>
      <c r="AE111" s="28">
        <f t="shared" si="17"/>
        <v>580000</v>
      </c>
      <c r="AF111" s="28">
        <f t="shared" si="52"/>
        <v>1730</v>
      </c>
      <c r="AG111" s="28">
        <f t="shared" si="53"/>
        <v>36</v>
      </c>
      <c r="AH111" s="28">
        <f>IF(AG111&gt;0,VLOOKUP(G111,'价值&amp;消耗'!$U$173:$V$178,2,FALSE),0)</f>
        <v>70010</v>
      </c>
      <c r="AI111" s="28">
        <f t="shared" si="13"/>
        <v>1980</v>
      </c>
      <c r="AJ111" s="28">
        <f t="shared" si="54"/>
        <v>4</v>
      </c>
      <c r="AK111" s="28">
        <f>ROUND(IF(COUNTIF($I111:I111,"&gt;0")&gt;$AJ111,0,I111),0)</f>
        <v>0</v>
      </c>
      <c r="AL111" s="28">
        <f>ROUND(IF(COUNTIF($I111:J111,"&gt;0")&gt;$AJ111,0,J111),0)</f>
        <v>159</v>
      </c>
      <c r="AM111" s="28">
        <f>ROUND(IF(COUNTIF($I111:K111,"&gt;0")&gt;$AJ111,0,K111),0)</f>
        <v>19</v>
      </c>
      <c r="AN111" s="28">
        <f>ROUND(IF(COUNTIF($I111:L111,"&gt;0")&gt;$AJ111,0,L111),0)</f>
        <v>0</v>
      </c>
      <c r="AO111" s="28">
        <f>ROUND(IF(COUNTIF($I111:M111,"&gt;0")&gt;$AJ111,0,M111),0)</f>
        <v>69</v>
      </c>
      <c r="AP111" s="28">
        <f>ROUND(IF(COUNTIF($I111:N111,"&gt;0")&gt;$AJ111,0,N111),0)</f>
        <v>49</v>
      </c>
      <c r="AQ111" s="28">
        <f>ROUND(IF(COUNTIF($I111:O111,"&gt;0")&gt;$AJ111,0,O111),0)</f>
        <v>0</v>
      </c>
      <c r="AR111" s="28">
        <f>ROUND(IF(COUNTIF($I111:P111,"&gt;0")&gt;$AJ111,0,P111),0)</f>
        <v>0</v>
      </c>
      <c r="AS111" s="28">
        <f>IF(COUNTIF($I111:Q111,"&gt;0")&gt;$AJ111,0,Q111)</f>
        <v>0</v>
      </c>
      <c r="AT111" s="28">
        <f>IF(COUNTIF($I111:R111,"&gt;0")&gt;$AJ111,0,R111)</f>
        <v>0</v>
      </c>
      <c r="AU111" s="28">
        <f>SUMPRODUCT(AK111:AT111,定义数据!$G$14:$P$14)</f>
        <v>210.28</v>
      </c>
      <c r="AV111" s="28">
        <f t="shared" si="55"/>
        <v>10514</v>
      </c>
      <c r="AW111" s="28">
        <f t="shared" si="14"/>
        <v>10514</v>
      </c>
      <c r="AX111" s="28">
        <f t="shared" si="15"/>
        <v>578270</v>
      </c>
      <c r="AY111" s="28">
        <f t="shared" si="16"/>
        <v>578270</v>
      </c>
    </row>
    <row r="112" spans="3:51" x14ac:dyDescent="0.15">
      <c r="C112" s="28" t="str">
        <f>H112&amp;F112&amp;VLOOKUP(G112,定义数据!$E$1:$F$7,2,FALSE)</f>
        <v>4541</v>
      </c>
      <c r="D112" s="28"/>
      <c r="E112" s="28">
        <f>装备属性计算表!AK111</f>
        <v>15</v>
      </c>
      <c r="F112" s="28">
        <f>装备属性计算表!B111</f>
        <v>4</v>
      </c>
      <c r="G112" s="28" t="str">
        <f>装备属性计算表!C111</f>
        <v>衣服</v>
      </c>
      <c r="H112" s="28">
        <f>装备属性计算表!D111</f>
        <v>45</v>
      </c>
      <c r="I112" s="28">
        <f>VLOOKUP($G112,装备属性计算表!$D$14:$O$19,装备属性计算表!F$2,FALSE)/装备属性计算表!F$20*VLOOKUP($H112&amp;$F112,$C$3:$P$28,G$1,FALSE)</f>
        <v>1742.1404364373584</v>
      </c>
      <c r="J112" s="28">
        <f>VLOOKUP($G112,装备属性计算表!$D$14:$O$19,装备属性计算表!G$2,FALSE)/装备属性计算表!G$20*VLOOKUP($H112&amp;$F112,$C$3:$P$28,H$1,FALSE)</f>
        <v>0</v>
      </c>
      <c r="K112" s="28">
        <f>VLOOKUP($G112,装备属性计算表!$D$14:$O$19,装备属性计算表!H$2,FALSE)/装备属性计算表!H$20*VLOOKUP($H112&amp;$F112,$C$3:$P$28,I$1,FALSE)</f>
        <v>57.356422876949765</v>
      </c>
      <c r="L112" s="28">
        <f>VLOOKUP($G112,装备属性计算表!$D$14:$O$19,装备属性计算表!I$2,FALSE)/装备属性计算表!I$20*VLOOKUP($H112&amp;$F112,$C$3:$P$28,J$1,FALSE)</f>
        <v>41.666666666666671</v>
      </c>
      <c r="M112" s="28">
        <f>VLOOKUP($G112,装备属性计算表!$D$14:$O$19,装备属性计算表!J$2,FALSE)/装备属性计算表!J$20*VLOOKUP($H112&amp;$F112,$C$3:$P$28,K$1,FALSE)</f>
        <v>0</v>
      </c>
      <c r="N112" s="28">
        <f>VLOOKUP($G112,装备属性计算表!$D$14:$O$19,装备属性计算表!K$2,FALSE)/装备属性计算表!K$20*VLOOKUP($H112&amp;$F112,$C$3:$P$28,L$1,FALSE)</f>
        <v>0</v>
      </c>
      <c r="O112" s="28">
        <f>VLOOKUP($G112,装备属性计算表!$D$14:$O$19,装备属性计算表!L$2,FALSE)/装备属性计算表!L$20*VLOOKUP($H112&amp;$F112,$C$3:$P$28,M$1,FALSE)</f>
        <v>0</v>
      </c>
      <c r="P112" s="28">
        <f>VLOOKUP($G112,装备属性计算表!$D$14:$O$19,装备属性计算表!M$2,FALSE)/装备属性计算表!M$20*VLOOKUP($H112&amp;$F112,$C$3:$P$28,N$1,FALSE)</f>
        <v>41.152263374485599</v>
      </c>
      <c r="Q112" s="28">
        <f>VLOOKUP($G112,装备属性计算表!$D$14:$O$19,装备属性计算表!N$2,FALSE)/装备属性计算表!N$20*VLOOKUP($H112&amp;$F112,$C$3:$P$28,O$1,FALSE)</f>
        <v>0</v>
      </c>
      <c r="R112" s="28">
        <f>VLOOKUP($G112,装备属性计算表!$D$14:$O$19,装备属性计算表!O$2,FALSE)/装备属性计算表!O$20*VLOOKUP($H112&amp;$F112,$C$3:$P$28,P$1,FALSE)</f>
        <v>0</v>
      </c>
      <c r="X112" s="28"/>
      <c r="Y112" s="28">
        <f t="shared" si="47"/>
        <v>0</v>
      </c>
      <c r="Z112" s="28">
        <f t="shared" si="48"/>
        <v>0</v>
      </c>
      <c r="AA112" s="28">
        <f t="shared" si="11"/>
        <v>10</v>
      </c>
      <c r="AB112" s="28">
        <f t="shared" si="49"/>
        <v>0</v>
      </c>
      <c r="AC112" s="28">
        <f t="shared" si="50"/>
        <v>0</v>
      </c>
      <c r="AD112" s="28">
        <f t="shared" si="51"/>
        <v>82</v>
      </c>
      <c r="AE112" s="28">
        <f t="shared" si="17"/>
        <v>410000</v>
      </c>
      <c r="AF112" s="28">
        <f t="shared" si="52"/>
        <v>2065</v>
      </c>
      <c r="AG112" s="28">
        <f t="shared" si="53"/>
        <v>25</v>
      </c>
      <c r="AH112" s="28">
        <f>IF(AG112&gt;0,VLOOKUP(G112,'价值&amp;消耗'!$U$173:$V$178,2,FALSE),0)</f>
        <v>71010</v>
      </c>
      <c r="AI112" s="28">
        <f t="shared" si="13"/>
        <v>1375</v>
      </c>
      <c r="AJ112" s="28">
        <f t="shared" si="54"/>
        <v>4</v>
      </c>
      <c r="AK112" s="28">
        <f>ROUND(IF(COUNTIF($I112:I112,"&gt;0")&gt;$AJ112,0,I112),0)</f>
        <v>1742</v>
      </c>
      <c r="AL112" s="28">
        <f>ROUND(IF(COUNTIF($I112:J112,"&gt;0")&gt;$AJ112,0,J112),0)</f>
        <v>0</v>
      </c>
      <c r="AM112" s="28">
        <f>ROUND(IF(COUNTIF($I112:K112,"&gt;0")&gt;$AJ112,0,K112),0)</f>
        <v>57</v>
      </c>
      <c r="AN112" s="28">
        <f>ROUND(IF(COUNTIF($I112:L112,"&gt;0")&gt;$AJ112,0,L112),0)</f>
        <v>42</v>
      </c>
      <c r="AO112" s="28">
        <f>ROUND(IF(COUNTIF($I112:M112,"&gt;0")&gt;$AJ112,0,M112),0)</f>
        <v>0</v>
      </c>
      <c r="AP112" s="28">
        <f>ROUND(IF(COUNTIF($I112:N112,"&gt;0")&gt;$AJ112,0,N112),0)</f>
        <v>0</v>
      </c>
      <c r="AQ112" s="28">
        <f>ROUND(IF(COUNTIF($I112:O112,"&gt;0")&gt;$AJ112,0,O112),0)</f>
        <v>0</v>
      </c>
      <c r="AR112" s="28">
        <f>ROUND(IF(COUNTIF($I112:P112,"&gt;0")&gt;$AJ112,0,P112),0)</f>
        <v>41</v>
      </c>
      <c r="AS112" s="28">
        <f>IF(COUNTIF($I112:Q112,"&gt;0")&gt;$AJ112,0,Q112)</f>
        <v>0</v>
      </c>
      <c r="AT112" s="28">
        <f>IF(COUNTIF($I112:R112,"&gt;0")&gt;$AJ112,0,R112)</f>
        <v>0</v>
      </c>
      <c r="AU112" s="28">
        <f>SUMPRODUCT(AK112:AT112,定义数据!$G$14:$P$14)</f>
        <v>148.34</v>
      </c>
      <c r="AV112" s="28">
        <f t="shared" si="55"/>
        <v>7417</v>
      </c>
      <c r="AW112" s="28">
        <f t="shared" si="14"/>
        <v>7417</v>
      </c>
      <c r="AX112" s="28">
        <f t="shared" si="15"/>
        <v>407935</v>
      </c>
      <c r="AY112" s="28">
        <f t="shared" si="16"/>
        <v>407935</v>
      </c>
    </row>
    <row r="113" spans="3:51" x14ac:dyDescent="0.15">
      <c r="C113" s="28" t="str">
        <f>H113&amp;F113&amp;VLOOKUP(G113,定义数据!$E$1:$F$7,2,FALSE)</f>
        <v>4542</v>
      </c>
      <c r="D113" s="28"/>
      <c r="E113" s="28">
        <f>装备属性计算表!AK112</f>
        <v>15</v>
      </c>
      <c r="F113" s="28">
        <f>装备属性计算表!B112</f>
        <v>4</v>
      </c>
      <c r="G113" s="28" t="str">
        <f>装备属性计算表!C112</f>
        <v>裤子</v>
      </c>
      <c r="H113" s="28">
        <f>装备属性计算表!D112</f>
        <v>45</v>
      </c>
      <c r="I113" s="28">
        <f>VLOOKUP($G113,装备属性计算表!$D$14:$O$19,装备属性计算表!F$2,FALSE)/装备属性计算表!F$20*VLOOKUP($H113&amp;$F113,$C$3:$P$28,G$1,FALSE)</f>
        <v>871.0702182186792</v>
      </c>
      <c r="J113" s="28">
        <f>VLOOKUP($G113,装备属性计算表!$D$14:$O$19,装备属性计算表!G$2,FALSE)/装备属性计算表!G$20*VLOOKUP($H113&amp;$F113,$C$3:$P$28,H$1,FALSE)</f>
        <v>0</v>
      </c>
      <c r="K113" s="28">
        <f>VLOOKUP($G113,装备属性计算表!$D$14:$O$19,装备属性计算表!H$2,FALSE)/装备属性计算表!H$20*VLOOKUP($H113&amp;$F113,$C$3:$P$28,I$1,FALSE)</f>
        <v>19.118807625649922</v>
      </c>
      <c r="L113" s="28">
        <f>VLOOKUP($G113,装备属性计算表!$D$14:$O$19,装备属性计算表!I$2,FALSE)/装备属性计算表!I$20*VLOOKUP($H113&amp;$F113,$C$3:$P$28,J$1,FALSE)</f>
        <v>41.666666666666671</v>
      </c>
      <c r="M113" s="28">
        <f>VLOOKUP($G113,装备属性计算表!$D$14:$O$19,装备属性计算表!J$2,FALSE)/装备属性计算表!J$20*VLOOKUP($H113&amp;$F113,$C$3:$P$28,K$1,FALSE)</f>
        <v>0</v>
      </c>
      <c r="N113" s="28">
        <f>VLOOKUP($G113,装备属性计算表!$D$14:$O$19,装备属性计算表!K$2,FALSE)/装备属性计算表!K$20*VLOOKUP($H113&amp;$F113,$C$3:$P$28,L$1,FALSE)</f>
        <v>0</v>
      </c>
      <c r="O113" s="28">
        <f>VLOOKUP($G113,装备属性计算表!$D$14:$O$19,装备属性计算表!L$2,FALSE)/装备属性计算表!L$20*VLOOKUP($H113&amp;$F113,$C$3:$P$28,M$1,FALSE)</f>
        <v>0</v>
      </c>
      <c r="P113" s="28">
        <f>VLOOKUP($G113,装备属性计算表!$D$14:$O$19,装备属性计算表!M$2,FALSE)/装备属性计算表!M$20*VLOOKUP($H113&amp;$F113,$C$3:$P$28,N$1,FALSE)</f>
        <v>41.152263374485599</v>
      </c>
      <c r="Q113" s="28">
        <f>VLOOKUP($G113,装备属性计算表!$D$14:$O$19,装备属性计算表!N$2,FALSE)/装备属性计算表!N$20*VLOOKUP($H113&amp;$F113,$C$3:$P$28,O$1,FALSE)</f>
        <v>0</v>
      </c>
      <c r="R113" s="28">
        <f>VLOOKUP($G113,装备属性计算表!$D$14:$O$19,装备属性计算表!O$2,FALSE)/装备属性计算表!O$20*VLOOKUP($H113&amp;$F113,$C$3:$P$28,P$1,FALSE)</f>
        <v>0</v>
      </c>
      <c r="X113" s="28"/>
      <c r="Y113" s="28">
        <f t="shared" si="47"/>
        <v>0</v>
      </c>
      <c r="Z113" s="28">
        <f t="shared" si="48"/>
        <v>1</v>
      </c>
      <c r="AA113" s="28">
        <f t="shared" si="11"/>
        <v>10</v>
      </c>
      <c r="AB113" s="28">
        <f t="shared" si="49"/>
        <v>0</v>
      </c>
      <c r="AC113" s="28">
        <f t="shared" si="50"/>
        <v>4</v>
      </c>
      <c r="AD113" s="28">
        <f t="shared" si="51"/>
        <v>41</v>
      </c>
      <c r="AE113" s="28">
        <f t="shared" si="17"/>
        <v>209000</v>
      </c>
      <c r="AF113" s="28">
        <f t="shared" si="52"/>
        <v>1375</v>
      </c>
      <c r="AG113" s="28">
        <f t="shared" si="53"/>
        <v>13</v>
      </c>
      <c r="AH113" s="28">
        <f>IF(AG113&gt;0,VLOOKUP(G113,'价值&amp;消耗'!$U$173:$V$178,2,FALSE),0)</f>
        <v>72010</v>
      </c>
      <c r="AI113" s="28">
        <f t="shared" si="13"/>
        <v>715</v>
      </c>
      <c r="AJ113" s="28">
        <f t="shared" si="54"/>
        <v>4</v>
      </c>
      <c r="AK113" s="28">
        <f>ROUND(IF(COUNTIF($I113:I113,"&gt;0")&gt;$AJ113,0,I113),0)</f>
        <v>871</v>
      </c>
      <c r="AL113" s="28">
        <f>ROUND(IF(COUNTIF($I113:J113,"&gt;0")&gt;$AJ113,0,J113),0)</f>
        <v>0</v>
      </c>
      <c r="AM113" s="28">
        <f>ROUND(IF(COUNTIF($I113:K113,"&gt;0")&gt;$AJ113,0,K113),0)</f>
        <v>19</v>
      </c>
      <c r="AN113" s="28">
        <f>ROUND(IF(COUNTIF($I113:L113,"&gt;0")&gt;$AJ113,0,L113),0)</f>
        <v>42</v>
      </c>
      <c r="AO113" s="28">
        <f>ROUND(IF(COUNTIF($I113:M113,"&gt;0")&gt;$AJ113,0,M113),0)</f>
        <v>0</v>
      </c>
      <c r="AP113" s="28">
        <f>ROUND(IF(COUNTIF($I113:N113,"&gt;0")&gt;$AJ113,0,N113),0)</f>
        <v>0</v>
      </c>
      <c r="AQ113" s="28">
        <f>ROUND(IF(COUNTIF($I113:O113,"&gt;0")&gt;$AJ113,0,O113),0)</f>
        <v>0</v>
      </c>
      <c r="AR113" s="28">
        <f>ROUND(IF(COUNTIF($I113:P113,"&gt;0")&gt;$AJ113,0,P113),0)</f>
        <v>41</v>
      </c>
      <c r="AS113" s="28">
        <f>IF(COUNTIF($I113:Q113,"&gt;0")&gt;$AJ113,0,Q113)</f>
        <v>0</v>
      </c>
      <c r="AT113" s="28">
        <f>IF(COUNTIF($I113:R113,"&gt;0")&gt;$AJ113,0,R113)</f>
        <v>0</v>
      </c>
      <c r="AU113" s="28">
        <f>SUMPRODUCT(AK113:AT113,定义数据!$G$14:$P$14)</f>
        <v>75.5</v>
      </c>
      <c r="AV113" s="28">
        <f t="shared" si="55"/>
        <v>3775</v>
      </c>
      <c r="AW113" s="28">
        <f t="shared" si="14"/>
        <v>3775</v>
      </c>
      <c r="AX113" s="28">
        <f t="shared" si="15"/>
        <v>207625</v>
      </c>
      <c r="AY113" s="28">
        <f t="shared" si="16"/>
        <v>207625</v>
      </c>
    </row>
    <row r="114" spans="3:51" x14ac:dyDescent="0.15">
      <c r="C114" s="28" t="str">
        <f>H114&amp;F114&amp;VLOOKUP(G114,定义数据!$E$1:$F$7,2,FALSE)</f>
        <v>4545</v>
      </c>
      <c r="D114" s="28"/>
      <c r="E114" s="28">
        <f>装备属性计算表!AK113</f>
        <v>15</v>
      </c>
      <c r="F114" s="28">
        <f>装备属性计算表!B113</f>
        <v>4</v>
      </c>
      <c r="G114" s="28" t="str">
        <f>装备属性计算表!C113</f>
        <v>鞋子</v>
      </c>
      <c r="H114" s="28">
        <f>装备属性计算表!D113</f>
        <v>45</v>
      </c>
      <c r="I114" s="28">
        <f>VLOOKUP($G114,装备属性计算表!$D$14:$O$19,装备属性计算表!F$2,FALSE)/装备属性计算表!F$20*VLOOKUP($H114&amp;$F114,$C$3:$P$28,G$1,FALSE)</f>
        <v>871.0702182186792</v>
      </c>
      <c r="J114" s="28">
        <f>VLOOKUP($G114,装备属性计算表!$D$14:$O$19,装备属性计算表!G$2,FALSE)/装备属性计算表!G$20*VLOOKUP($H114&amp;$F114,$C$3:$P$28,H$1,FALSE)</f>
        <v>0</v>
      </c>
      <c r="K114" s="28">
        <f>VLOOKUP($G114,装备属性计算表!$D$14:$O$19,装备属性计算表!H$2,FALSE)/装备属性计算表!H$20*VLOOKUP($H114&amp;$F114,$C$3:$P$28,I$1,FALSE)</f>
        <v>0</v>
      </c>
      <c r="L114" s="28">
        <f>VLOOKUP($G114,装备属性计算表!$D$14:$O$19,装备属性计算表!I$2,FALSE)/装备属性计算表!I$20*VLOOKUP($H114&amp;$F114,$C$3:$P$28,J$1,FALSE)</f>
        <v>83.333333333333343</v>
      </c>
      <c r="M114" s="28">
        <f>VLOOKUP($G114,装备属性计算表!$D$14:$O$19,装备属性计算表!J$2,FALSE)/装备属性计算表!J$20*VLOOKUP($H114&amp;$F114,$C$3:$P$28,K$1,FALSE)</f>
        <v>69.444444444444443</v>
      </c>
      <c r="N114" s="28">
        <f>VLOOKUP($G114,装备属性计算表!$D$14:$O$19,装备属性计算表!K$2,FALSE)/装备属性计算表!K$20*VLOOKUP($H114&amp;$F114,$C$3:$P$28,L$1,FALSE)</f>
        <v>24.691358024691365</v>
      </c>
      <c r="O114" s="28">
        <f>VLOOKUP($G114,装备属性计算表!$D$14:$O$19,装备属性计算表!L$2,FALSE)/装备属性计算表!L$20*VLOOKUP($H114&amp;$F114,$C$3:$P$28,M$1,FALSE)</f>
        <v>0</v>
      </c>
      <c r="P114" s="28">
        <f>VLOOKUP($G114,装备属性计算表!$D$14:$O$19,装备属性计算表!M$2,FALSE)/装备属性计算表!M$20*VLOOKUP($H114&amp;$F114,$C$3:$P$28,N$1,FALSE)</f>
        <v>0</v>
      </c>
      <c r="Q114" s="28">
        <f>VLOOKUP($G114,装备属性计算表!$D$14:$O$19,装备属性计算表!N$2,FALSE)/装备属性计算表!N$20*VLOOKUP($H114&amp;$F114,$C$3:$P$28,O$1,FALSE)</f>
        <v>0</v>
      </c>
      <c r="R114" s="28">
        <f>VLOOKUP($G114,装备属性计算表!$D$14:$O$19,装备属性计算表!O$2,FALSE)/装备属性计算表!O$20*VLOOKUP($H114&amp;$F114,$C$3:$P$28,P$1,FALSE)</f>
        <v>0</v>
      </c>
      <c r="X114" s="28"/>
      <c r="Y114" s="28">
        <f t="shared" si="47"/>
        <v>0</v>
      </c>
      <c r="Z114" s="28">
        <f t="shared" si="48"/>
        <v>1</v>
      </c>
      <c r="AA114" s="28">
        <f t="shared" si="11"/>
        <v>10</v>
      </c>
      <c r="AB114" s="28">
        <f t="shared" si="49"/>
        <v>0</v>
      </c>
      <c r="AC114" s="28">
        <f t="shared" si="50"/>
        <v>5</v>
      </c>
      <c r="AD114" s="28">
        <f t="shared" si="51"/>
        <v>50</v>
      </c>
      <c r="AE114" s="28">
        <f t="shared" si="17"/>
        <v>255000</v>
      </c>
      <c r="AF114" s="28">
        <f t="shared" si="52"/>
        <v>4695</v>
      </c>
      <c r="AG114" s="28">
        <f t="shared" si="53"/>
        <v>16</v>
      </c>
      <c r="AH114" s="28">
        <f>IF(AG114&gt;0,VLOOKUP(G114,'价值&amp;消耗'!$U$173:$V$178,2,FALSE),0)</f>
        <v>75010</v>
      </c>
      <c r="AI114" s="28">
        <f t="shared" si="13"/>
        <v>880</v>
      </c>
      <c r="AJ114" s="28">
        <f t="shared" si="54"/>
        <v>4</v>
      </c>
      <c r="AK114" s="28">
        <f>ROUND(IF(COUNTIF($I114:I114,"&gt;0")&gt;$AJ114,0,I114),0)</f>
        <v>871</v>
      </c>
      <c r="AL114" s="28">
        <f>ROUND(IF(COUNTIF($I114:J114,"&gt;0")&gt;$AJ114,0,J114),0)</f>
        <v>0</v>
      </c>
      <c r="AM114" s="28">
        <f>ROUND(IF(COUNTIF($I114:K114,"&gt;0")&gt;$AJ114,0,K114),0)</f>
        <v>0</v>
      </c>
      <c r="AN114" s="28">
        <f>ROUND(IF(COUNTIF($I114:L114,"&gt;0")&gt;$AJ114,0,L114),0)</f>
        <v>83</v>
      </c>
      <c r="AO114" s="28">
        <f>ROUND(IF(COUNTIF($I114:M114,"&gt;0")&gt;$AJ114,0,M114),0)</f>
        <v>69</v>
      </c>
      <c r="AP114" s="28">
        <f>ROUND(IF(COUNTIF($I114:N114,"&gt;0")&gt;$AJ114,0,N114),0)</f>
        <v>25</v>
      </c>
      <c r="AQ114" s="28">
        <f>ROUND(IF(COUNTIF($I114:O114,"&gt;0")&gt;$AJ114,0,O114),0)</f>
        <v>0</v>
      </c>
      <c r="AR114" s="28">
        <f>ROUND(IF(COUNTIF($I114:P114,"&gt;0")&gt;$AJ114,0,P114),0)</f>
        <v>0</v>
      </c>
      <c r="AS114" s="28">
        <f>IF(COUNTIF($I114:Q114,"&gt;0")&gt;$AJ114,0,Q114)</f>
        <v>0</v>
      </c>
      <c r="AT114" s="28">
        <f>IF(COUNTIF($I114:R114,"&gt;0")&gt;$AJ114,0,R114)</f>
        <v>0</v>
      </c>
      <c r="AU114" s="28">
        <f>SUMPRODUCT(AK114:AT114,定义数据!$G$14:$P$14)</f>
        <v>91.02000000000001</v>
      </c>
      <c r="AV114" s="28">
        <f t="shared" si="55"/>
        <v>4551</v>
      </c>
      <c r="AW114" s="28">
        <f t="shared" si="14"/>
        <v>4551</v>
      </c>
      <c r="AX114" s="28">
        <f t="shared" si="15"/>
        <v>250305</v>
      </c>
      <c r="AY114" s="28">
        <f t="shared" si="16"/>
        <v>250305</v>
      </c>
    </row>
    <row r="115" spans="3:51" x14ac:dyDescent="0.15">
      <c r="C115" s="28" t="str">
        <f>H115&amp;F115&amp;VLOOKUP(G115,定义数据!$E$1:$F$7,2,FALSE)</f>
        <v>4544</v>
      </c>
      <c r="D115" s="28"/>
      <c r="E115" s="28">
        <f>装备属性计算表!AK114</f>
        <v>15</v>
      </c>
      <c r="F115" s="28">
        <f>装备属性计算表!B114</f>
        <v>4</v>
      </c>
      <c r="G115" s="28" t="str">
        <f>装备属性计算表!C114</f>
        <v>腰带</v>
      </c>
      <c r="H115" s="28">
        <f>装备属性计算表!D114</f>
        <v>45</v>
      </c>
      <c r="I115" s="28">
        <f>VLOOKUP($G115,装备属性计算表!$D$14:$O$19,装备属性计算表!F$2,FALSE)/装备属性计算表!F$20*VLOOKUP($H115&amp;$F115,$C$3:$P$28,G$1,FALSE)</f>
        <v>1742.1404364373584</v>
      </c>
      <c r="J115" s="28">
        <f>VLOOKUP($G115,装备属性计算表!$D$14:$O$19,装备属性计算表!G$2,FALSE)/装备属性计算表!G$20*VLOOKUP($H115&amp;$F115,$C$3:$P$28,H$1,FALSE)</f>
        <v>53.093031016042801</v>
      </c>
      <c r="K115" s="28">
        <f>VLOOKUP($G115,装备属性计算表!$D$14:$O$19,装备属性计算表!H$2,FALSE)/装备属性计算表!H$20*VLOOKUP($H115&amp;$F115,$C$3:$P$28,I$1,FALSE)</f>
        <v>19.118807625649922</v>
      </c>
      <c r="L115" s="28">
        <f>VLOOKUP($G115,装备属性计算表!$D$14:$O$19,装备属性计算表!I$2,FALSE)/装备属性计算表!I$20*VLOOKUP($H115&amp;$F115,$C$3:$P$28,J$1,FALSE)</f>
        <v>0</v>
      </c>
      <c r="M115" s="28">
        <f>VLOOKUP($G115,装备属性计算表!$D$14:$O$19,装备属性计算表!J$2,FALSE)/装备属性计算表!J$20*VLOOKUP($H115&amp;$F115,$C$3:$P$28,K$1,FALSE)</f>
        <v>0</v>
      </c>
      <c r="N115" s="28">
        <f>VLOOKUP($G115,装备属性计算表!$D$14:$O$19,装备属性计算表!K$2,FALSE)/装备属性计算表!K$20*VLOOKUP($H115&amp;$F115,$C$3:$P$28,L$1,FALSE)</f>
        <v>0</v>
      </c>
      <c r="O115" s="28">
        <f>VLOOKUP($G115,装备属性计算表!$D$14:$O$19,装备属性计算表!L$2,FALSE)/装备属性计算表!L$20*VLOOKUP($H115&amp;$F115,$C$3:$P$28,M$1,FALSE)</f>
        <v>0</v>
      </c>
      <c r="P115" s="28">
        <f>VLOOKUP($G115,装备属性计算表!$D$14:$O$19,装备属性计算表!M$2,FALSE)/装备属性计算表!M$20*VLOOKUP($H115&amp;$F115,$C$3:$P$28,N$1,FALSE)</f>
        <v>41.152263374485599</v>
      </c>
      <c r="Q115" s="28">
        <f>VLOOKUP($G115,装备属性计算表!$D$14:$O$19,装备属性计算表!N$2,FALSE)/装备属性计算表!N$20*VLOOKUP($H115&amp;$F115,$C$3:$P$28,O$1,FALSE)</f>
        <v>0</v>
      </c>
      <c r="R115" s="28">
        <f>VLOOKUP($G115,装备属性计算表!$D$14:$O$19,装备属性计算表!O$2,FALSE)/装备属性计算表!O$20*VLOOKUP($H115&amp;$F115,$C$3:$P$28,P$1,FALSE)</f>
        <v>0</v>
      </c>
      <c r="X115" s="28"/>
      <c r="Y115" s="28">
        <f t="shared" ref="Y115:Y134" si="56">IF(ROUNDDOWN($Z$20/AV115,0)&lt;$Z$16,ROUNDDOWN($Z$20/AV115,0),$Z$16)</f>
        <v>0</v>
      </c>
      <c r="Z115" s="28">
        <f t="shared" ref="Z115:Z134" si="57">IF(ROUNDDOWN($AA$20/AW115,0)&lt;10,ROUNDDOWN($AA$20/AW115,0),$Z$16)</f>
        <v>0</v>
      </c>
      <c r="AA115" s="28">
        <f t="shared" si="11"/>
        <v>10</v>
      </c>
      <c r="AB115" s="28">
        <f t="shared" ref="AB115:AB134" si="58">ROUNDUP((Y115*(Y115+1)/2)*$AV115/Y$20,0)</f>
        <v>0</v>
      </c>
      <c r="AC115" s="28">
        <f t="shared" ref="AC115:AC134" si="59">ROUNDUP(IF(Z115&gt;$Z$16,(($Z$16*($Z$16+1)/2)-(Y115+1)*Y115/2)*$AV115/Z$20,((Z115*(Z115+1)/2)-(Y115+1)*Y115/2)*$AV115/Z$20),0)</f>
        <v>0</v>
      </c>
      <c r="AD115" s="28">
        <f t="shared" ref="AD115:AD134" si="60">ROUNDUP(IF(AA115&gt;$Z$16,(($Z$16*($Z$16+1)/2)-(Z115+1)*Z115/2)*$AV115/AA$20,((AA115*(AA115+1)/2)-(Z115+1)*Z115/2)*$AV115/AA$20),0)</f>
        <v>82</v>
      </c>
      <c r="AE115" s="28">
        <f t="shared" si="17"/>
        <v>410000</v>
      </c>
      <c r="AF115" s="28">
        <f t="shared" ref="AF115:AF134" si="61">AE115-AX115</f>
        <v>85</v>
      </c>
      <c r="AG115" s="28">
        <f t="shared" ref="AG115:AG134" si="62">ROUNDUP(AV115/300,0)</f>
        <v>25</v>
      </c>
      <c r="AH115" s="28">
        <f>IF(AG115&gt;0,VLOOKUP(G115,'价值&amp;消耗'!$U$173:$V$178,2,FALSE),0)</f>
        <v>74010</v>
      </c>
      <c r="AI115" s="28">
        <f t="shared" si="13"/>
        <v>1375</v>
      </c>
      <c r="AJ115" s="28">
        <f t="shared" si="54"/>
        <v>4</v>
      </c>
      <c r="AK115" s="28">
        <f>ROUND(IF(COUNTIF($I115:I115,"&gt;0")&gt;$AJ115,0,I115),0)</f>
        <v>1742</v>
      </c>
      <c r="AL115" s="28">
        <f>ROUND(IF(COUNTIF($I115:J115,"&gt;0")&gt;$AJ115,0,J115),0)</f>
        <v>53</v>
      </c>
      <c r="AM115" s="28">
        <f>ROUND(IF(COUNTIF($I115:K115,"&gt;0")&gt;$AJ115,0,K115),0)</f>
        <v>19</v>
      </c>
      <c r="AN115" s="28">
        <f>ROUND(IF(COUNTIF($I115:L115,"&gt;0")&gt;$AJ115,0,L115),0)</f>
        <v>0</v>
      </c>
      <c r="AO115" s="28">
        <f>ROUND(IF(COUNTIF($I115:M115,"&gt;0")&gt;$AJ115,0,M115),0)</f>
        <v>0</v>
      </c>
      <c r="AP115" s="28">
        <f>ROUND(IF(COUNTIF($I115:N115,"&gt;0")&gt;$AJ115,0,N115),0)</f>
        <v>0</v>
      </c>
      <c r="AQ115" s="28">
        <f>ROUND(IF(COUNTIF($I115:O115,"&gt;0")&gt;$AJ115,0,O115),0)</f>
        <v>0</v>
      </c>
      <c r="AR115" s="28">
        <f>ROUND(IF(COUNTIF($I115:P115,"&gt;0")&gt;$AJ115,0,P115),0)</f>
        <v>41</v>
      </c>
      <c r="AS115" s="28">
        <f>IF(COUNTIF($I115:Q115,"&gt;0")&gt;$AJ115,0,Q115)</f>
        <v>0</v>
      </c>
      <c r="AT115" s="28">
        <f>IF(COUNTIF($I115:R115,"&gt;0")&gt;$AJ115,0,R115)</f>
        <v>0</v>
      </c>
      <c r="AU115" s="28">
        <f>SUMPRODUCT(AK115:AT115,定义数据!$G$14:$P$14)</f>
        <v>149.06</v>
      </c>
      <c r="AV115" s="28">
        <f t="shared" si="55"/>
        <v>7453</v>
      </c>
      <c r="AW115" s="28">
        <f t="shared" si="14"/>
        <v>7453</v>
      </c>
      <c r="AX115" s="28">
        <f t="shared" si="15"/>
        <v>409915</v>
      </c>
      <c r="AY115" s="28">
        <f t="shared" si="16"/>
        <v>409915</v>
      </c>
    </row>
    <row r="116" spans="3:51" x14ac:dyDescent="0.15">
      <c r="C116" s="28" t="str">
        <f>H116&amp;F116&amp;VLOOKUP(G116,定义数据!$E$1:$F$7,2,FALSE)</f>
        <v>4543</v>
      </c>
      <c r="D116" s="28"/>
      <c r="E116" s="28">
        <f>装备属性计算表!AK115</f>
        <v>15</v>
      </c>
      <c r="F116" s="28">
        <f>装备属性计算表!B115</f>
        <v>4</v>
      </c>
      <c r="G116" s="28" t="str">
        <f>装备属性计算表!C115</f>
        <v>项链</v>
      </c>
      <c r="H116" s="28">
        <f>装备属性计算表!D115</f>
        <v>45</v>
      </c>
      <c r="I116" s="28">
        <f>VLOOKUP($G116,装备属性计算表!$D$14:$O$19,装备属性计算表!F$2,FALSE)/装备属性计算表!F$20*VLOOKUP($H116&amp;$F116,$C$3:$P$28,G$1,FALSE)</f>
        <v>0</v>
      </c>
      <c r="J116" s="28">
        <f>VLOOKUP($G116,装备属性计算表!$D$14:$O$19,装备属性计算表!G$2,FALSE)/装备属性计算表!G$20*VLOOKUP($H116&amp;$F116,$C$3:$P$28,H$1,FALSE)</f>
        <v>53.093031016042801</v>
      </c>
      <c r="K116" s="28">
        <f>VLOOKUP($G116,装备属性计算表!$D$14:$O$19,装备属性计算表!H$2,FALSE)/装备属性计算表!H$20*VLOOKUP($H116&amp;$F116,$C$3:$P$28,I$1,FALSE)</f>
        <v>0</v>
      </c>
      <c r="L116" s="28">
        <f>VLOOKUP($G116,装备属性计算表!$D$14:$O$19,装备属性计算表!I$2,FALSE)/装备属性计算表!I$20*VLOOKUP($H116&amp;$F116,$C$3:$P$28,J$1,FALSE)</f>
        <v>41.666666666666671</v>
      </c>
      <c r="M116" s="28">
        <f>VLOOKUP($G116,装备属性计算表!$D$14:$O$19,装备属性计算表!J$2,FALSE)/装备属性计算表!J$20*VLOOKUP($H116&amp;$F116,$C$3:$P$28,K$1,FALSE)</f>
        <v>69.444444444444443</v>
      </c>
      <c r="N116" s="28">
        <f>VLOOKUP($G116,装备属性计算表!$D$14:$O$19,装备属性计算表!K$2,FALSE)/装备属性计算表!K$20*VLOOKUP($H116&amp;$F116,$C$3:$P$28,L$1,FALSE)</f>
        <v>49.382716049382729</v>
      </c>
      <c r="O116" s="28">
        <f>VLOOKUP($G116,装备属性计算表!$D$14:$O$19,装备属性计算表!L$2,FALSE)/装备属性计算表!L$20*VLOOKUP($H116&amp;$F116,$C$3:$P$28,M$1,FALSE)</f>
        <v>0</v>
      </c>
      <c r="P116" s="28">
        <f>VLOOKUP($G116,装备属性计算表!$D$14:$O$19,装备属性计算表!M$2,FALSE)/装备属性计算表!M$20*VLOOKUP($H116&amp;$F116,$C$3:$P$28,N$1,FALSE)</f>
        <v>0</v>
      </c>
      <c r="Q116" s="28">
        <f>VLOOKUP($G116,装备属性计算表!$D$14:$O$19,装备属性计算表!N$2,FALSE)/装备属性计算表!N$20*VLOOKUP($H116&amp;$F116,$C$3:$P$28,O$1,FALSE)</f>
        <v>0</v>
      </c>
      <c r="R116" s="28">
        <f>VLOOKUP($G116,装备属性计算表!$D$14:$O$19,装备属性计算表!O$2,FALSE)/装备属性计算表!O$20*VLOOKUP($H116&amp;$F116,$C$3:$P$28,P$1,FALSE)</f>
        <v>0</v>
      </c>
      <c r="X116" s="28">
        <f>SUM(AY111:AY116)</f>
        <v>2127840</v>
      </c>
      <c r="Y116" s="28">
        <f t="shared" si="56"/>
        <v>0</v>
      </c>
      <c r="Z116" s="28">
        <f t="shared" si="57"/>
        <v>1</v>
      </c>
      <c r="AA116" s="28">
        <f t="shared" ref="AA116:AA179" si="63">$Z$16</f>
        <v>10</v>
      </c>
      <c r="AB116" s="28">
        <f t="shared" si="58"/>
        <v>0</v>
      </c>
      <c r="AC116" s="28">
        <f t="shared" si="59"/>
        <v>5</v>
      </c>
      <c r="AD116" s="28">
        <f t="shared" si="60"/>
        <v>54</v>
      </c>
      <c r="AE116" s="28">
        <f t="shared" ref="AE116:AE134" si="64">SUMPRODUCT(AB116:AD116,$Y$20:$AA$20)</f>
        <v>275000</v>
      </c>
      <c r="AF116" s="28">
        <f t="shared" si="61"/>
        <v>1210</v>
      </c>
      <c r="AG116" s="28">
        <f t="shared" si="62"/>
        <v>17</v>
      </c>
      <c r="AH116" s="28">
        <f>IF(AG116&gt;0,VLOOKUP(G116,'价值&amp;消耗'!$U$173:$V$178,2,FALSE),0)</f>
        <v>73010</v>
      </c>
      <c r="AI116" s="28">
        <f t="shared" ref="AI116:AI134" si="65">($Z$16+1)*$Z$16/2*AG116</f>
        <v>935</v>
      </c>
      <c r="AJ116" s="28">
        <f t="shared" si="54"/>
        <v>4</v>
      </c>
      <c r="AK116" s="28">
        <f>ROUND(IF(COUNTIF($I116:I116,"&gt;0")&gt;$AJ116,0,I116),0)</f>
        <v>0</v>
      </c>
      <c r="AL116" s="28">
        <f>ROUND(IF(COUNTIF($I116:J116,"&gt;0")&gt;$AJ116,0,J116),0)</f>
        <v>53</v>
      </c>
      <c r="AM116" s="28">
        <f>ROUND(IF(COUNTIF($I116:K116,"&gt;0")&gt;$AJ116,0,K116),0)</f>
        <v>0</v>
      </c>
      <c r="AN116" s="28">
        <f>ROUND(IF(COUNTIF($I116:L116,"&gt;0")&gt;$AJ116,0,L116),0)</f>
        <v>42</v>
      </c>
      <c r="AO116" s="28">
        <f>ROUND(IF(COUNTIF($I116:M116,"&gt;0")&gt;$AJ116,0,M116),0)</f>
        <v>69</v>
      </c>
      <c r="AP116" s="28">
        <f>ROUND(IF(COUNTIF($I116:N116,"&gt;0")&gt;$AJ116,0,N116),0)</f>
        <v>49</v>
      </c>
      <c r="AQ116" s="28">
        <f>ROUND(IF(COUNTIF($I116:O116,"&gt;0")&gt;$AJ116,0,O116),0)</f>
        <v>0</v>
      </c>
      <c r="AR116" s="28">
        <f>ROUND(IF(COUNTIF($I116:P116,"&gt;0")&gt;$AJ116,0,P116),0)</f>
        <v>0</v>
      </c>
      <c r="AS116" s="28">
        <f>IF(COUNTIF($I116:Q116,"&gt;0")&gt;$AJ116,0,Q116)</f>
        <v>0</v>
      </c>
      <c r="AT116" s="28">
        <f>IF(COUNTIF($I116:R116,"&gt;0")&gt;$AJ116,0,R116)</f>
        <v>0</v>
      </c>
      <c r="AU116" s="28">
        <f>SUMPRODUCT(AK116:AT116,定义数据!$G$14:$P$14)</f>
        <v>99.56</v>
      </c>
      <c r="AV116" s="28">
        <f t="shared" si="55"/>
        <v>4978</v>
      </c>
      <c r="AW116" s="28">
        <f t="shared" ref="AW116:AW179" si="66">ROUND(AU116*$U$32,0)</f>
        <v>4978</v>
      </c>
      <c r="AX116" s="28">
        <f t="shared" ref="AX116:AX134" si="67">($Z$16+1)*$Z$16/2*AV116</f>
        <v>273790</v>
      </c>
      <c r="AY116" s="28">
        <f t="shared" ref="AY116:AY179" si="68">($Z$16+1)*$Z$16/2*AW116</f>
        <v>273790</v>
      </c>
    </row>
    <row r="117" spans="3:51" x14ac:dyDescent="0.15">
      <c r="C117" s="28" t="str">
        <f>H117&amp;F117&amp;VLOOKUP(G117,定义数据!$E$1:$F$7,2,FALSE)</f>
        <v>6010</v>
      </c>
      <c r="D117" s="28"/>
      <c r="E117" s="28">
        <f>装备属性计算表!AK116</f>
        <v>16</v>
      </c>
      <c r="F117" s="28">
        <f>装备属性计算表!B116</f>
        <v>1</v>
      </c>
      <c r="G117" s="28" t="str">
        <f>装备属性计算表!C116</f>
        <v>武器</v>
      </c>
      <c r="H117" s="28">
        <f>装备属性计算表!D116</f>
        <v>60</v>
      </c>
      <c r="I117" s="28">
        <f>VLOOKUP($G117,装备属性计算表!$D$14:$O$19,装备属性计算表!F$2,FALSE)/装备属性计算表!F$20*VLOOKUP($H117&amp;$F117,$C$3:$P$28,G$1,FALSE)</f>
        <v>0</v>
      </c>
      <c r="J117" s="28">
        <f>VLOOKUP($G117,装备属性计算表!$D$14:$O$19,装备属性计算表!G$2,FALSE)/装备属性计算表!G$20*VLOOKUP($H117&amp;$F117,$C$3:$P$28,H$1,FALSE)</f>
        <v>107.51338780748667</v>
      </c>
      <c r="K117" s="28">
        <f>VLOOKUP($G117,装备属性计算表!$D$14:$O$19,装备属性计算表!H$2,FALSE)/装备属性计算表!H$20*VLOOKUP($H117&amp;$F117,$C$3:$P$28,I$1,FALSE)</f>
        <v>12.905195147313695</v>
      </c>
      <c r="L117" s="28">
        <f>VLOOKUP($G117,装备属性计算表!$D$14:$O$19,装备属性计算表!I$2,FALSE)/装备属性计算表!I$20*VLOOKUP($H117&amp;$F117,$C$3:$P$28,J$1,FALSE)</f>
        <v>0</v>
      </c>
      <c r="M117" s="28">
        <f>VLOOKUP($G117,装备属性计算表!$D$14:$O$19,装备属性计算表!J$2,FALSE)/装备属性计算表!J$20*VLOOKUP($H117&amp;$F117,$C$3:$P$28,K$1,FALSE)</f>
        <v>46.875</v>
      </c>
      <c r="N117" s="28">
        <f>VLOOKUP($G117,装备属性计算表!$D$14:$O$19,装备属性计算表!K$2,FALSE)/装备属性计算表!K$20*VLOOKUP($H117&amp;$F117,$C$3:$P$28,L$1,FALSE)</f>
        <v>33.333333333333336</v>
      </c>
      <c r="O117" s="28">
        <f>VLOOKUP($G117,装备属性计算表!$D$14:$O$19,装备属性计算表!L$2,FALSE)/装备属性计算表!L$20*VLOOKUP($H117&amp;$F117,$C$3:$P$28,M$1,FALSE)</f>
        <v>0</v>
      </c>
      <c r="P117" s="28">
        <f>VLOOKUP($G117,装备属性计算表!$D$14:$O$19,装备属性计算表!M$2,FALSE)/装备属性计算表!M$20*VLOOKUP($H117&amp;$F117,$C$3:$P$28,N$1,FALSE)</f>
        <v>0</v>
      </c>
      <c r="Q117" s="28">
        <f>VLOOKUP($G117,装备属性计算表!$D$14:$O$19,装备属性计算表!N$2,FALSE)/装备属性计算表!N$20*VLOOKUP($H117&amp;$F117,$C$3:$P$28,O$1,FALSE)</f>
        <v>0</v>
      </c>
      <c r="R117" s="28">
        <f>VLOOKUP($G117,装备属性计算表!$D$14:$O$19,装备属性计算表!O$2,FALSE)/装备属性计算表!O$20*VLOOKUP($H117&amp;$F117,$C$3:$P$28,P$1,FALSE)</f>
        <v>0</v>
      </c>
      <c r="X117" s="28"/>
      <c r="Y117" s="28">
        <f t="shared" si="56"/>
        <v>0</v>
      </c>
      <c r="Z117" s="28">
        <f t="shared" si="57"/>
        <v>0</v>
      </c>
      <c r="AA117" s="28">
        <f t="shared" si="63"/>
        <v>10</v>
      </c>
      <c r="AB117" s="28">
        <f t="shared" si="58"/>
        <v>0</v>
      </c>
      <c r="AC117" s="28">
        <f t="shared" si="59"/>
        <v>0</v>
      </c>
      <c r="AD117" s="28">
        <f t="shared" si="60"/>
        <v>60</v>
      </c>
      <c r="AE117" s="28">
        <f t="shared" si="64"/>
        <v>300000</v>
      </c>
      <c r="AF117" s="28">
        <f t="shared" si="61"/>
        <v>3000</v>
      </c>
      <c r="AG117" s="28">
        <f t="shared" si="62"/>
        <v>18</v>
      </c>
      <c r="AH117" s="28">
        <f>IF(AG117&gt;0,VLOOKUP(G117,'价值&amp;消耗'!$U$173:$V$178,2,FALSE),0)</f>
        <v>70010</v>
      </c>
      <c r="AI117" s="28">
        <f t="shared" si="65"/>
        <v>990</v>
      </c>
      <c r="AJ117" s="28">
        <f t="shared" si="54"/>
        <v>1</v>
      </c>
      <c r="AK117" s="28">
        <f>ROUND(IF(COUNTIF($I117:I117,"&gt;0")&gt;$AJ117,0,I117),0)</f>
        <v>0</v>
      </c>
      <c r="AL117" s="28">
        <f>ROUND(IF(COUNTIF($I117:J117,"&gt;0")&gt;$AJ117,0,J117),0)</f>
        <v>108</v>
      </c>
      <c r="AM117" s="28">
        <f>ROUND(IF(COUNTIF($I117:K117,"&gt;0")&gt;$AJ117,0,K117),0)</f>
        <v>0</v>
      </c>
      <c r="AN117" s="28">
        <f>ROUND(IF(COUNTIF($I117:L117,"&gt;0")&gt;$AJ117,0,L117),0)</f>
        <v>0</v>
      </c>
      <c r="AO117" s="28">
        <f>ROUND(IF(COUNTIF($I117:M117,"&gt;0")&gt;$AJ117,0,M117),0)</f>
        <v>0</v>
      </c>
      <c r="AP117" s="28">
        <f>ROUND(IF(COUNTIF($I117:N117,"&gt;0")&gt;$AJ117,0,N117),0)</f>
        <v>0</v>
      </c>
      <c r="AQ117" s="28">
        <f>ROUND(IF(COUNTIF($I117:O117,"&gt;0")&gt;$AJ117,0,O117),0)</f>
        <v>0</v>
      </c>
      <c r="AR117" s="28">
        <f>ROUND(IF(COUNTIF($I117:P117,"&gt;0")&gt;$AJ117,0,P117),0)</f>
        <v>0</v>
      </c>
      <c r="AS117" s="28">
        <f>IF(COUNTIF($I117:Q117,"&gt;0")&gt;$AJ117,0,Q117)</f>
        <v>0</v>
      </c>
      <c r="AT117" s="28">
        <f>IF(COUNTIF($I117:R117,"&gt;0")&gt;$AJ117,0,R117)</f>
        <v>0</v>
      </c>
      <c r="AU117" s="28">
        <f>SUMPRODUCT(AK117:AT117,定义数据!$G$14:$P$14)</f>
        <v>108</v>
      </c>
      <c r="AV117" s="28">
        <f t="shared" si="55"/>
        <v>5400</v>
      </c>
      <c r="AW117" s="28">
        <f t="shared" si="66"/>
        <v>5400</v>
      </c>
      <c r="AX117" s="28">
        <f t="shared" si="67"/>
        <v>297000</v>
      </c>
      <c r="AY117" s="28">
        <f t="shared" si="68"/>
        <v>297000</v>
      </c>
    </row>
    <row r="118" spans="3:51" x14ac:dyDescent="0.15">
      <c r="C118" s="28" t="str">
        <f>H118&amp;F118&amp;VLOOKUP(G118,定义数据!$E$1:$F$7,2,FALSE)</f>
        <v>6011</v>
      </c>
      <c r="D118" s="28"/>
      <c r="E118" s="28">
        <f>装备属性计算表!AK117</f>
        <v>16</v>
      </c>
      <c r="F118" s="28">
        <f>装备属性计算表!B117</f>
        <v>1</v>
      </c>
      <c r="G118" s="28" t="str">
        <f>装备属性计算表!C117</f>
        <v>衣服</v>
      </c>
      <c r="H118" s="28">
        <f>装备属性计算表!D117</f>
        <v>60</v>
      </c>
      <c r="I118" s="28">
        <f>VLOOKUP($G118,装备属性计算表!$D$14:$O$19,装备属性计算表!F$2,FALSE)/装备属性计算表!F$20*VLOOKUP($H118&amp;$F118,$C$3:$P$28,G$1,FALSE)</f>
        <v>1175.9447945952165</v>
      </c>
      <c r="J118" s="28">
        <f>VLOOKUP($G118,装备属性计算表!$D$14:$O$19,装备属性计算表!G$2,FALSE)/装备属性计算表!G$20*VLOOKUP($H118&amp;$F118,$C$3:$P$28,H$1,FALSE)</f>
        <v>0</v>
      </c>
      <c r="K118" s="28">
        <f>VLOOKUP($G118,装备属性计算表!$D$14:$O$19,装备属性计算表!H$2,FALSE)/装备属性计算表!H$20*VLOOKUP($H118&amp;$F118,$C$3:$P$28,I$1,FALSE)</f>
        <v>38.715585441941087</v>
      </c>
      <c r="L118" s="28">
        <f>VLOOKUP($G118,装备属性计算表!$D$14:$O$19,装备属性计算表!I$2,FALSE)/装备属性计算表!I$20*VLOOKUP($H118&amp;$F118,$C$3:$P$28,J$1,FALSE)</f>
        <v>28.125</v>
      </c>
      <c r="M118" s="28">
        <f>VLOOKUP($G118,装备属性计算表!$D$14:$O$19,装备属性计算表!J$2,FALSE)/装备属性计算表!J$20*VLOOKUP($H118&amp;$F118,$C$3:$P$28,K$1,FALSE)</f>
        <v>0</v>
      </c>
      <c r="N118" s="28">
        <f>VLOOKUP($G118,装备属性计算表!$D$14:$O$19,装备属性计算表!K$2,FALSE)/装备属性计算表!K$20*VLOOKUP($H118&amp;$F118,$C$3:$P$28,L$1,FALSE)</f>
        <v>0</v>
      </c>
      <c r="O118" s="28">
        <f>VLOOKUP($G118,装备属性计算表!$D$14:$O$19,装备属性计算表!L$2,FALSE)/装备属性计算表!L$20*VLOOKUP($H118&amp;$F118,$C$3:$P$28,M$1,FALSE)</f>
        <v>0</v>
      </c>
      <c r="P118" s="28">
        <f>VLOOKUP($G118,装备属性计算表!$D$14:$O$19,装备属性计算表!M$2,FALSE)/装备属性计算表!M$20*VLOOKUP($H118&amp;$F118,$C$3:$P$28,N$1,FALSE)</f>
        <v>27.777777777777779</v>
      </c>
      <c r="Q118" s="28">
        <f>VLOOKUP($G118,装备属性计算表!$D$14:$O$19,装备属性计算表!N$2,FALSE)/装备属性计算表!N$20*VLOOKUP($H118&amp;$F118,$C$3:$P$28,O$1,FALSE)</f>
        <v>0</v>
      </c>
      <c r="R118" s="28">
        <f>VLOOKUP($G118,装备属性计算表!$D$14:$O$19,装备属性计算表!O$2,FALSE)/装备属性计算表!O$20*VLOOKUP($H118&amp;$F118,$C$3:$P$28,P$1,FALSE)</f>
        <v>0</v>
      </c>
      <c r="X118" s="28"/>
      <c r="Y118" s="28">
        <f t="shared" si="56"/>
        <v>0</v>
      </c>
      <c r="Z118" s="28">
        <f t="shared" si="57"/>
        <v>2</v>
      </c>
      <c r="AA118" s="28">
        <f t="shared" si="63"/>
        <v>10</v>
      </c>
      <c r="AB118" s="28">
        <f t="shared" si="58"/>
        <v>0</v>
      </c>
      <c r="AC118" s="28">
        <f t="shared" si="59"/>
        <v>8</v>
      </c>
      <c r="AD118" s="28">
        <f t="shared" si="60"/>
        <v>25</v>
      </c>
      <c r="AE118" s="28">
        <f t="shared" si="64"/>
        <v>133000</v>
      </c>
      <c r="AF118" s="28">
        <f t="shared" si="61"/>
        <v>3640</v>
      </c>
      <c r="AG118" s="28">
        <f t="shared" si="62"/>
        <v>8</v>
      </c>
      <c r="AH118" s="28">
        <f>IF(AG118&gt;0,VLOOKUP(G118,'价值&amp;消耗'!$U$173:$V$178,2,FALSE),0)</f>
        <v>71010</v>
      </c>
      <c r="AI118" s="28">
        <f t="shared" si="65"/>
        <v>440</v>
      </c>
      <c r="AJ118" s="28">
        <f t="shared" si="54"/>
        <v>1</v>
      </c>
      <c r="AK118" s="28">
        <f>ROUND(IF(COUNTIF($I118:I118,"&gt;0")&gt;$AJ118,0,I118),0)</f>
        <v>1176</v>
      </c>
      <c r="AL118" s="28">
        <f>ROUND(IF(COUNTIF($I118:J118,"&gt;0")&gt;$AJ118,0,J118),0)</f>
        <v>0</v>
      </c>
      <c r="AM118" s="28">
        <f>ROUND(IF(COUNTIF($I118:K118,"&gt;0")&gt;$AJ118,0,K118),0)</f>
        <v>0</v>
      </c>
      <c r="AN118" s="28">
        <f>ROUND(IF(COUNTIF($I118:L118,"&gt;0")&gt;$AJ118,0,L118),0)</f>
        <v>0</v>
      </c>
      <c r="AO118" s="28">
        <f>ROUND(IF(COUNTIF($I118:M118,"&gt;0")&gt;$AJ118,0,M118),0)</f>
        <v>0</v>
      </c>
      <c r="AP118" s="28">
        <f>ROUND(IF(COUNTIF($I118:N118,"&gt;0")&gt;$AJ118,0,N118),0)</f>
        <v>0</v>
      </c>
      <c r="AQ118" s="28">
        <f>ROUND(IF(COUNTIF($I118:O118,"&gt;0")&gt;$AJ118,0,O118),0)</f>
        <v>0</v>
      </c>
      <c r="AR118" s="28">
        <f>ROUND(IF(COUNTIF($I118:P118,"&gt;0")&gt;$AJ118,0,P118),0)</f>
        <v>0</v>
      </c>
      <c r="AS118" s="28">
        <f>IF(COUNTIF($I118:Q118,"&gt;0")&gt;$AJ118,0,Q118)</f>
        <v>0</v>
      </c>
      <c r="AT118" s="28">
        <f>IF(COUNTIF($I118:R118,"&gt;0")&gt;$AJ118,0,R118)</f>
        <v>0</v>
      </c>
      <c r="AU118" s="28">
        <f>SUMPRODUCT(AK118:AT118,定义数据!$G$14:$P$14)</f>
        <v>47.04</v>
      </c>
      <c r="AV118" s="28">
        <f t="shared" si="55"/>
        <v>2352</v>
      </c>
      <c r="AW118" s="28">
        <f t="shared" si="66"/>
        <v>2352</v>
      </c>
      <c r="AX118" s="28">
        <f t="shared" si="67"/>
        <v>129360</v>
      </c>
      <c r="AY118" s="28">
        <f t="shared" si="68"/>
        <v>129360</v>
      </c>
    </row>
    <row r="119" spans="3:51" x14ac:dyDescent="0.15">
      <c r="C119" s="28" t="str">
        <f>H119&amp;F119&amp;VLOOKUP(G119,定义数据!$E$1:$F$7,2,FALSE)</f>
        <v>6012</v>
      </c>
      <c r="D119" s="28"/>
      <c r="E119" s="28">
        <f>装备属性计算表!AK118</f>
        <v>16</v>
      </c>
      <c r="F119" s="28">
        <f>装备属性计算表!B118</f>
        <v>1</v>
      </c>
      <c r="G119" s="28" t="str">
        <f>装备属性计算表!C118</f>
        <v>裤子</v>
      </c>
      <c r="H119" s="28">
        <f>装备属性计算表!D118</f>
        <v>60</v>
      </c>
      <c r="I119" s="28">
        <f>VLOOKUP($G119,装备属性计算表!$D$14:$O$19,装备属性计算表!F$2,FALSE)/装备属性计算表!F$20*VLOOKUP($H119&amp;$F119,$C$3:$P$28,G$1,FALSE)</f>
        <v>587.97239729760827</v>
      </c>
      <c r="J119" s="28">
        <f>VLOOKUP($G119,装备属性计算表!$D$14:$O$19,装备属性计算表!G$2,FALSE)/装备属性计算表!G$20*VLOOKUP($H119&amp;$F119,$C$3:$P$28,H$1,FALSE)</f>
        <v>0</v>
      </c>
      <c r="K119" s="28">
        <f>VLOOKUP($G119,装备属性计算表!$D$14:$O$19,装备属性计算表!H$2,FALSE)/装备属性计算表!H$20*VLOOKUP($H119&amp;$F119,$C$3:$P$28,I$1,FALSE)</f>
        <v>12.905195147313695</v>
      </c>
      <c r="L119" s="28">
        <f>VLOOKUP($G119,装备属性计算表!$D$14:$O$19,装备属性计算表!I$2,FALSE)/装备属性计算表!I$20*VLOOKUP($H119&amp;$F119,$C$3:$P$28,J$1,FALSE)</f>
        <v>28.125</v>
      </c>
      <c r="M119" s="28">
        <f>VLOOKUP($G119,装备属性计算表!$D$14:$O$19,装备属性计算表!J$2,FALSE)/装备属性计算表!J$20*VLOOKUP($H119&amp;$F119,$C$3:$P$28,K$1,FALSE)</f>
        <v>0</v>
      </c>
      <c r="N119" s="28">
        <f>VLOOKUP($G119,装备属性计算表!$D$14:$O$19,装备属性计算表!K$2,FALSE)/装备属性计算表!K$20*VLOOKUP($H119&amp;$F119,$C$3:$P$28,L$1,FALSE)</f>
        <v>0</v>
      </c>
      <c r="O119" s="28">
        <f>VLOOKUP($G119,装备属性计算表!$D$14:$O$19,装备属性计算表!L$2,FALSE)/装备属性计算表!L$20*VLOOKUP($H119&amp;$F119,$C$3:$P$28,M$1,FALSE)</f>
        <v>0</v>
      </c>
      <c r="P119" s="28">
        <f>VLOOKUP($G119,装备属性计算表!$D$14:$O$19,装备属性计算表!M$2,FALSE)/装备属性计算表!M$20*VLOOKUP($H119&amp;$F119,$C$3:$P$28,N$1,FALSE)</f>
        <v>27.777777777777779</v>
      </c>
      <c r="Q119" s="28">
        <f>VLOOKUP($G119,装备属性计算表!$D$14:$O$19,装备属性计算表!N$2,FALSE)/装备属性计算表!N$20*VLOOKUP($H119&amp;$F119,$C$3:$P$28,O$1,FALSE)</f>
        <v>0</v>
      </c>
      <c r="R119" s="28">
        <f>VLOOKUP($G119,装备属性计算表!$D$14:$O$19,装备属性计算表!O$2,FALSE)/装备属性计算表!O$20*VLOOKUP($H119&amp;$F119,$C$3:$P$28,P$1,FALSE)</f>
        <v>0</v>
      </c>
      <c r="X119" s="28"/>
      <c r="Y119" s="28">
        <f t="shared" si="56"/>
        <v>0</v>
      </c>
      <c r="Z119" s="28">
        <f t="shared" si="57"/>
        <v>4</v>
      </c>
      <c r="AA119" s="28">
        <f t="shared" si="63"/>
        <v>10</v>
      </c>
      <c r="AB119" s="28">
        <f t="shared" si="58"/>
        <v>0</v>
      </c>
      <c r="AC119" s="28">
        <f t="shared" si="59"/>
        <v>12</v>
      </c>
      <c r="AD119" s="28">
        <f t="shared" si="60"/>
        <v>11</v>
      </c>
      <c r="AE119" s="28">
        <f t="shared" si="64"/>
        <v>67000</v>
      </c>
      <c r="AF119" s="28">
        <f t="shared" si="61"/>
        <v>2320</v>
      </c>
      <c r="AG119" s="28">
        <f t="shared" si="62"/>
        <v>4</v>
      </c>
      <c r="AH119" s="28">
        <f>IF(AG119&gt;0,VLOOKUP(G119,'价值&amp;消耗'!$U$173:$V$178,2,FALSE),0)</f>
        <v>72010</v>
      </c>
      <c r="AI119" s="28">
        <f t="shared" si="65"/>
        <v>220</v>
      </c>
      <c r="AJ119" s="28">
        <f t="shared" si="54"/>
        <v>1</v>
      </c>
      <c r="AK119" s="28">
        <f>ROUND(IF(COUNTIF($I119:I119,"&gt;0")&gt;$AJ119,0,I119),0)</f>
        <v>588</v>
      </c>
      <c r="AL119" s="28">
        <f>ROUND(IF(COUNTIF($I119:J119,"&gt;0")&gt;$AJ119,0,J119),0)</f>
        <v>0</v>
      </c>
      <c r="AM119" s="28">
        <f>ROUND(IF(COUNTIF($I119:K119,"&gt;0")&gt;$AJ119,0,K119),0)</f>
        <v>0</v>
      </c>
      <c r="AN119" s="28">
        <f>ROUND(IF(COUNTIF($I119:L119,"&gt;0")&gt;$AJ119,0,L119),0)</f>
        <v>0</v>
      </c>
      <c r="AO119" s="28">
        <f>ROUND(IF(COUNTIF($I119:M119,"&gt;0")&gt;$AJ119,0,M119),0)</f>
        <v>0</v>
      </c>
      <c r="AP119" s="28">
        <f>ROUND(IF(COUNTIF($I119:N119,"&gt;0")&gt;$AJ119,0,N119),0)</f>
        <v>0</v>
      </c>
      <c r="AQ119" s="28">
        <f>ROUND(IF(COUNTIF($I119:O119,"&gt;0")&gt;$AJ119,0,O119),0)</f>
        <v>0</v>
      </c>
      <c r="AR119" s="28">
        <f>ROUND(IF(COUNTIF($I119:P119,"&gt;0")&gt;$AJ119,0,P119),0)</f>
        <v>0</v>
      </c>
      <c r="AS119" s="28">
        <f>IF(COUNTIF($I119:Q119,"&gt;0")&gt;$AJ119,0,Q119)</f>
        <v>0</v>
      </c>
      <c r="AT119" s="28">
        <f>IF(COUNTIF($I119:R119,"&gt;0")&gt;$AJ119,0,R119)</f>
        <v>0</v>
      </c>
      <c r="AU119" s="28">
        <f>SUMPRODUCT(AK119:AT119,定义数据!$G$14:$P$14)</f>
        <v>23.52</v>
      </c>
      <c r="AV119" s="28">
        <f t="shared" si="55"/>
        <v>1176</v>
      </c>
      <c r="AW119" s="28">
        <f t="shared" si="66"/>
        <v>1176</v>
      </c>
      <c r="AX119" s="28">
        <f t="shared" si="67"/>
        <v>64680</v>
      </c>
      <c r="AY119" s="28">
        <f t="shared" si="68"/>
        <v>64680</v>
      </c>
    </row>
    <row r="120" spans="3:51" x14ac:dyDescent="0.15">
      <c r="C120" s="28" t="str">
        <f>H120&amp;F120&amp;VLOOKUP(G120,定义数据!$E$1:$F$7,2,FALSE)</f>
        <v>6015</v>
      </c>
      <c r="D120" s="28"/>
      <c r="E120" s="28">
        <f>装备属性计算表!AK119</f>
        <v>16</v>
      </c>
      <c r="F120" s="28">
        <f>装备属性计算表!B119</f>
        <v>1</v>
      </c>
      <c r="G120" s="28" t="str">
        <f>装备属性计算表!C119</f>
        <v>鞋子</v>
      </c>
      <c r="H120" s="28">
        <f>装备属性计算表!D119</f>
        <v>60</v>
      </c>
      <c r="I120" s="28">
        <f>VLOOKUP($G120,装备属性计算表!$D$14:$O$19,装备属性计算表!F$2,FALSE)/装备属性计算表!F$20*VLOOKUP($H120&amp;$F120,$C$3:$P$28,G$1,FALSE)</f>
        <v>587.97239729760827</v>
      </c>
      <c r="J120" s="28">
        <f>VLOOKUP($G120,装备属性计算表!$D$14:$O$19,装备属性计算表!G$2,FALSE)/装备属性计算表!G$20*VLOOKUP($H120&amp;$F120,$C$3:$P$28,H$1,FALSE)</f>
        <v>0</v>
      </c>
      <c r="K120" s="28">
        <f>VLOOKUP($G120,装备属性计算表!$D$14:$O$19,装备属性计算表!H$2,FALSE)/装备属性计算表!H$20*VLOOKUP($H120&amp;$F120,$C$3:$P$28,I$1,FALSE)</f>
        <v>0</v>
      </c>
      <c r="L120" s="28">
        <f>VLOOKUP($G120,装备属性计算表!$D$14:$O$19,装备属性计算表!I$2,FALSE)/装备属性计算表!I$20*VLOOKUP($H120&amp;$F120,$C$3:$P$28,J$1,FALSE)</f>
        <v>56.25</v>
      </c>
      <c r="M120" s="28">
        <f>VLOOKUP($G120,装备属性计算表!$D$14:$O$19,装备属性计算表!J$2,FALSE)/装备属性计算表!J$20*VLOOKUP($H120&amp;$F120,$C$3:$P$28,K$1,FALSE)</f>
        <v>46.875</v>
      </c>
      <c r="N120" s="28">
        <f>VLOOKUP($G120,装备属性计算表!$D$14:$O$19,装备属性计算表!K$2,FALSE)/装备属性计算表!K$20*VLOOKUP($H120&amp;$F120,$C$3:$P$28,L$1,FALSE)</f>
        <v>16.666666666666668</v>
      </c>
      <c r="O120" s="28">
        <f>VLOOKUP($G120,装备属性计算表!$D$14:$O$19,装备属性计算表!L$2,FALSE)/装备属性计算表!L$20*VLOOKUP($H120&amp;$F120,$C$3:$P$28,M$1,FALSE)</f>
        <v>0</v>
      </c>
      <c r="P120" s="28">
        <f>VLOOKUP($G120,装备属性计算表!$D$14:$O$19,装备属性计算表!M$2,FALSE)/装备属性计算表!M$20*VLOOKUP($H120&amp;$F120,$C$3:$P$28,N$1,FALSE)</f>
        <v>0</v>
      </c>
      <c r="Q120" s="28">
        <f>VLOOKUP($G120,装备属性计算表!$D$14:$O$19,装备属性计算表!N$2,FALSE)/装备属性计算表!N$20*VLOOKUP($H120&amp;$F120,$C$3:$P$28,O$1,FALSE)</f>
        <v>0</v>
      </c>
      <c r="R120" s="28">
        <f>VLOOKUP($G120,装备属性计算表!$D$14:$O$19,装备属性计算表!O$2,FALSE)/装备属性计算表!O$20*VLOOKUP($H120&amp;$F120,$C$3:$P$28,P$1,FALSE)</f>
        <v>0</v>
      </c>
      <c r="X120" s="28"/>
      <c r="Y120" s="28">
        <f t="shared" si="56"/>
        <v>0</v>
      </c>
      <c r="Z120" s="28">
        <f t="shared" si="57"/>
        <v>4</v>
      </c>
      <c r="AA120" s="28">
        <f t="shared" si="63"/>
        <v>10</v>
      </c>
      <c r="AB120" s="28">
        <f t="shared" si="58"/>
        <v>0</v>
      </c>
      <c r="AC120" s="28">
        <f t="shared" si="59"/>
        <v>12</v>
      </c>
      <c r="AD120" s="28">
        <f t="shared" si="60"/>
        <v>11</v>
      </c>
      <c r="AE120" s="28">
        <f t="shared" si="64"/>
        <v>67000</v>
      </c>
      <c r="AF120" s="28">
        <f t="shared" si="61"/>
        <v>2320</v>
      </c>
      <c r="AG120" s="28">
        <f t="shared" si="62"/>
        <v>4</v>
      </c>
      <c r="AH120" s="28">
        <f>IF(AG120&gt;0,VLOOKUP(G120,'价值&amp;消耗'!$U$173:$V$178,2,FALSE),0)</f>
        <v>75010</v>
      </c>
      <c r="AI120" s="28">
        <f t="shared" si="65"/>
        <v>220</v>
      </c>
      <c r="AJ120" s="28">
        <f t="shared" si="54"/>
        <v>1</v>
      </c>
      <c r="AK120" s="28">
        <f>ROUND(IF(COUNTIF($I120:I120,"&gt;0")&gt;$AJ120,0,I120),0)</f>
        <v>588</v>
      </c>
      <c r="AL120" s="28">
        <f>ROUND(IF(COUNTIF($I120:J120,"&gt;0")&gt;$AJ120,0,J120),0)</f>
        <v>0</v>
      </c>
      <c r="AM120" s="28">
        <f>ROUND(IF(COUNTIF($I120:K120,"&gt;0")&gt;$AJ120,0,K120),0)</f>
        <v>0</v>
      </c>
      <c r="AN120" s="28">
        <f>ROUND(IF(COUNTIF($I120:L120,"&gt;0")&gt;$AJ120,0,L120),0)</f>
        <v>0</v>
      </c>
      <c r="AO120" s="28">
        <f>ROUND(IF(COUNTIF($I120:M120,"&gt;0")&gt;$AJ120,0,M120),0)</f>
        <v>0</v>
      </c>
      <c r="AP120" s="28">
        <f>ROUND(IF(COUNTIF($I120:N120,"&gt;0")&gt;$AJ120,0,N120),0)</f>
        <v>0</v>
      </c>
      <c r="AQ120" s="28">
        <f>ROUND(IF(COUNTIF($I120:O120,"&gt;0")&gt;$AJ120,0,O120),0)</f>
        <v>0</v>
      </c>
      <c r="AR120" s="28">
        <f>ROUND(IF(COUNTIF($I120:P120,"&gt;0")&gt;$AJ120,0,P120),0)</f>
        <v>0</v>
      </c>
      <c r="AS120" s="28">
        <f>IF(COUNTIF($I120:Q120,"&gt;0")&gt;$AJ120,0,Q120)</f>
        <v>0</v>
      </c>
      <c r="AT120" s="28">
        <f>IF(COUNTIF($I120:R120,"&gt;0")&gt;$AJ120,0,R120)</f>
        <v>0</v>
      </c>
      <c r="AU120" s="28">
        <f>SUMPRODUCT(AK120:AT120,定义数据!$G$14:$P$14)</f>
        <v>23.52</v>
      </c>
      <c r="AV120" s="28">
        <f t="shared" si="55"/>
        <v>1176</v>
      </c>
      <c r="AW120" s="28">
        <f t="shared" si="66"/>
        <v>1176</v>
      </c>
      <c r="AX120" s="28">
        <f t="shared" si="67"/>
        <v>64680</v>
      </c>
      <c r="AY120" s="28">
        <f t="shared" si="68"/>
        <v>64680</v>
      </c>
    </row>
    <row r="121" spans="3:51" x14ac:dyDescent="0.15">
      <c r="C121" s="28" t="str">
        <f>H121&amp;F121&amp;VLOOKUP(G121,定义数据!$E$1:$F$7,2,FALSE)</f>
        <v>6014</v>
      </c>
      <c r="D121" s="28"/>
      <c r="E121" s="28">
        <f>装备属性计算表!AK120</f>
        <v>16</v>
      </c>
      <c r="F121" s="28">
        <f>装备属性计算表!B120</f>
        <v>1</v>
      </c>
      <c r="G121" s="28" t="str">
        <f>装备属性计算表!C120</f>
        <v>腰带</v>
      </c>
      <c r="H121" s="28">
        <f>装备属性计算表!D120</f>
        <v>60</v>
      </c>
      <c r="I121" s="28">
        <f>VLOOKUP($G121,装备属性计算表!$D$14:$O$19,装备属性计算表!F$2,FALSE)/装备属性计算表!F$20*VLOOKUP($H121&amp;$F121,$C$3:$P$28,G$1,FALSE)</f>
        <v>1175.9447945952165</v>
      </c>
      <c r="J121" s="28">
        <f>VLOOKUP($G121,装备属性计算表!$D$14:$O$19,装备属性计算表!G$2,FALSE)/装备属性计算表!G$20*VLOOKUP($H121&amp;$F121,$C$3:$P$28,H$1,FALSE)</f>
        <v>35.837795935828886</v>
      </c>
      <c r="K121" s="28">
        <f>VLOOKUP($G121,装备属性计算表!$D$14:$O$19,装备属性计算表!H$2,FALSE)/装备属性计算表!H$20*VLOOKUP($H121&amp;$F121,$C$3:$P$28,I$1,FALSE)</f>
        <v>12.905195147313695</v>
      </c>
      <c r="L121" s="28">
        <f>VLOOKUP($G121,装备属性计算表!$D$14:$O$19,装备属性计算表!I$2,FALSE)/装备属性计算表!I$20*VLOOKUP($H121&amp;$F121,$C$3:$P$28,J$1,FALSE)</f>
        <v>0</v>
      </c>
      <c r="M121" s="28">
        <f>VLOOKUP($G121,装备属性计算表!$D$14:$O$19,装备属性计算表!J$2,FALSE)/装备属性计算表!J$20*VLOOKUP($H121&amp;$F121,$C$3:$P$28,K$1,FALSE)</f>
        <v>0</v>
      </c>
      <c r="N121" s="28">
        <f>VLOOKUP($G121,装备属性计算表!$D$14:$O$19,装备属性计算表!K$2,FALSE)/装备属性计算表!K$20*VLOOKUP($H121&amp;$F121,$C$3:$P$28,L$1,FALSE)</f>
        <v>0</v>
      </c>
      <c r="O121" s="28">
        <f>VLOOKUP($G121,装备属性计算表!$D$14:$O$19,装备属性计算表!L$2,FALSE)/装备属性计算表!L$20*VLOOKUP($H121&amp;$F121,$C$3:$P$28,M$1,FALSE)</f>
        <v>0</v>
      </c>
      <c r="P121" s="28">
        <f>VLOOKUP($G121,装备属性计算表!$D$14:$O$19,装备属性计算表!M$2,FALSE)/装备属性计算表!M$20*VLOOKUP($H121&amp;$F121,$C$3:$P$28,N$1,FALSE)</f>
        <v>27.777777777777779</v>
      </c>
      <c r="Q121" s="28">
        <f>VLOOKUP($G121,装备属性计算表!$D$14:$O$19,装备属性计算表!N$2,FALSE)/装备属性计算表!N$20*VLOOKUP($H121&amp;$F121,$C$3:$P$28,O$1,FALSE)</f>
        <v>0</v>
      </c>
      <c r="R121" s="28">
        <f>VLOOKUP($G121,装备属性计算表!$D$14:$O$19,装备属性计算表!O$2,FALSE)/装备属性计算表!O$20*VLOOKUP($H121&amp;$F121,$C$3:$P$28,P$1,FALSE)</f>
        <v>0</v>
      </c>
      <c r="X121" s="28"/>
      <c r="Y121" s="28">
        <f t="shared" si="56"/>
        <v>0</v>
      </c>
      <c r="Z121" s="28">
        <f t="shared" si="57"/>
        <v>2</v>
      </c>
      <c r="AA121" s="28">
        <f t="shared" si="63"/>
        <v>10</v>
      </c>
      <c r="AB121" s="28">
        <f t="shared" si="58"/>
        <v>0</v>
      </c>
      <c r="AC121" s="28">
        <f t="shared" si="59"/>
        <v>8</v>
      </c>
      <c r="AD121" s="28">
        <f t="shared" si="60"/>
        <v>25</v>
      </c>
      <c r="AE121" s="28">
        <f t="shared" si="64"/>
        <v>133000</v>
      </c>
      <c r="AF121" s="28">
        <f t="shared" si="61"/>
        <v>3640</v>
      </c>
      <c r="AG121" s="28">
        <f t="shared" si="62"/>
        <v>8</v>
      </c>
      <c r="AH121" s="28">
        <f>IF(AG121&gt;0,VLOOKUP(G121,'价值&amp;消耗'!$U$173:$V$178,2,FALSE),0)</f>
        <v>74010</v>
      </c>
      <c r="AI121" s="28">
        <f t="shared" si="65"/>
        <v>440</v>
      </c>
      <c r="AJ121" s="28">
        <f t="shared" si="54"/>
        <v>1</v>
      </c>
      <c r="AK121" s="28">
        <f>ROUND(IF(COUNTIF($I121:I121,"&gt;0")&gt;$AJ121,0,I121),0)</f>
        <v>1176</v>
      </c>
      <c r="AL121" s="28">
        <f>ROUND(IF(COUNTIF($I121:J121,"&gt;0")&gt;$AJ121,0,J121),0)</f>
        <v>0</v>
      </c>
      <c r="AM121" s="28">
        <f>ROUND(IF(COUNTIF($I121:K121,"&gt;0")&gt;$AJ121,0,K121),0)</f>
        <v>0</v>
      </c>
      <c r="AN121" s="28">
        <f>ROUND(IF(COUNTIF($I121:L121,"&gt;0")&gt;$AJ121,0,L121),0)</f>
        <v>0</v>
      </c>
      <c r="AO121" s="28">
        <f>ROUND(IF(COUNTIF($I121:M121,"&gt;0")&gt;$AJ121,0,M121),0)</f>
        <v>0</v>
      </c>
      <c r="AP121" s="28">
        <f>ROUND(IF(COUNTIF($I121:N121,"&gt;0")&gt;$AJ121,0,N121),0)</f>
        <v>0</v>
      </c>
      <c r="AQ121" s="28">
        <f>ROUND(IF(COUNTIF($I121:O121,"&gt;0")&gt;$AJ121,0,O121),0)</f>
        <v>0</v>
      </c>
      <c r="AR121" s="28">
        <f>ROUND(IF(COUNTIF($I121:P121,"&gt;0")&gt;$AJ121,0,P121),0)</f>
        <v>0</v>
      </c>
      <c r="AS121" s="28">
        <f>IF(COUNTIF($I121:Q121,"&gt;0")&gt;$AJ121,0,Q121)</f>
        <v>0</v>
      </c>
      <c r="AT121" s="28">
        <f>IF(COUNTIF($I121:R121,"&gt;0")&gt;$AJ121,0,R121)</f>
        <v>0</v>
      </c>
      <c r="AU121" s="28">
        <f>SUMPRODUCT(AK121:AT121,定义数据!$G$14:$P$14)</f>
        <v>47.04</v>
      </c>
      <c r="AV121" s="28">
        <f t="shared" si="55"/>
        <v>2352</v>
      </c>
      <c r="AW121" s="28">
        <f t="shared" si="66"/>
        <v>2352</v>
      </c>
      <c r="AX121" s="28">
        <f t="shared" si="67"/>
        <v>129360</v>
      </c>
      <c r="AY121" s="28">
        <f t="shared" si="68"/>
        <v>129360</v>
      </c>
    </row>
    <row r="122" spans="3:51" x14ac:dyDescent="0.15">
      <c r="C122" s="28" t="str">
        <f>H122&amp;F122&amp;VLOOKUP(G122,定义数据!$E$1:$F$7,2,FALSE)</f>
        <v>6013</v>
      </c>
      <c r="D122" s="28"/>
      <c r="E122" s="28">
        <f>装备属性计算表!AK121</f>
        <v>16</v>
      </c>
      <c r="F122" s="28">
        <f>装备属性计算表!B121</f>
        <v>1</v>
      </c>
      <c r="G122" s="28" t="str">
        <f>装备属性计算表!C121</f>
        <v>项链</v>
      </c>
      <c r="H122" s="28">
        <f>装备属性计算表!D121</f>
        <v>60</v>
      </c>
      <c r="I122" s="28">
        <f>VLOOKUP($G122,装备属性计算表!$D$14:$O$19,装备属性计算表!F$2,FALSE)/装备属性计算表!F$20*VLOOKUP($H122&amp;$F122,$C$3:$P$28,G$1,FALSE)</f>
        <v>0</v>
      </c>
      <c r="J122" s="28">
        <f>VLOOKUP($G122,装备属性计算表!$D$14:$O$19,装备属性计算表!G$2,FALSE)/装备属性计算表!G$20*VLOOKUP($H122&amp;$F122,$C$3:$P$28,H$1,FALSE)</f>
        <v>35.837795935828886</v>
      </c>
      <c r="K122" s="28">
        <f>VLOOKUP($G122,装备属性计算表!$D$14:$O$19,装备属性计算表!H$2,FALSE)/装备属性计算表!H$20*VLOOKUP($H122&amp;$F122,$C$3:$P$28,I$1,FALSE)</f>
        <v>0</v>
      </c>
      <c r="L122" s="28">
        <f>VLOOKUP($G122,装备属性计算表!$D$14:$O$19,装备属性计算表!I$2,FALSE)/装备属性计算表!I$20*VLOOKUP($H122&amp;$F122,$C$3:$P$28,J$1,FALSE)</f>
        <v>28.125</v>
      </c>
      <c r="M122" s="28">
        <f>VLOOKUP($G122,装备属性计算表!$D$14:$O$19,装备属性计算表!J$2,FALSE)/装备属性计算表!J$20*VLOOKUP($H122&amp;$F122,$C$3:$P$28,K$1,FALSE)</f>
        <v>46.875</v>
      </c>
      <c r="N122" s="28">
        <f>VLOOKUP($G122,装备属性计算表!$D$14:$O$19,装备属性计算表!K$2,FALSE)/装备属性计算表!K$20*VLOOKUP($H122&amp;$F122,$C$3:$P$28,L$1,FALSE)</f>
        <v>33.333333333333336</v>
      </c>
      <c r="O122" s="28">
        <f>VLOOKUP($G122,装备属性计算表!$D$14:$O$19,装备属性计算表!L$2,FALSE)/装备属性计算表!L$20*VLOOKUP($H122&amp;$F122,$C$3:$P$28,M$1,FALSE)</f>
        <v>0</v>
      </c>
      <c r="P122" s="28">
        <f>VLOOKUP($G122,装备属性计算表!$D$14:$O$19,装备属性计算表!M$2,FALSE)/装备属性计算表!M$20*VLOOKUP($H122&amp;$F122,$C$3:$P$28,N$1,FALSE)</f>
        <v>0</v>
      </c>
      <c r="Q122" s="28">
        <f>VLOOKUP($G122,装备属性计算表!$D$14:$O$19,装备属性计算表!N$2,FALSE)/装备属性计算表!N$20*VLOOKUP($H122&amp;$F122,$C$3:$P$28,O$1,FALSE)</f>
        <v>0</v>
      </c>
      <c r="R122" s="28">
        <f>VLOOKUP($G122,装备属性计算表!$D$14:$O$19,装备属性计算表!O$2,FALSE)/装备属性计算表!O$20*VLOOKUP($H122&amp;$F122,$C$3:$P$28,P$1,FALSE)</f>
        <v>0</v>
      </c>
      <c r="X122" s="28">
        <f>SUM(AY117:AY122)</f>
        <v>784080</v>
      </c>
      <c r="Y122" s="28">
        <f t="shared" si="56"/>
        <v>0</v>
      </c>
      <c r="Z122" s="28">
        <f t="shared" si="57"/>
        <v>2</v>
      </c>
      <c r="AA122" s="28">
        <f t="shared" si="63"/>
        <v>10</v>
      </c>
      <c r="AB122" s="28">
        <f t="shared" si="58"/>
        <v>0</v>
      </c>
      <c r="AC122" s="28">
        <f t="shared" si="59"/>
        <v>6</v>
      </c>
      <c r="AD122" s="28">
        <f t="shared" si="60"/>
        <v>19</v>
      </c>
      <c r="AE122" s="28">
        <f t="shared" si="64"/>
        <v>101000</v>
      </c>
      <c r="AF122" s="28">
        <f t="shared" si="61"/>
        <v>2000</v>
      </c>
      <c r="AG122" s="28">
        <f t="shared" si="62"/>
        <v>6</v>
      </c>
      <c r="AH122" s="28">
        <f>IF(AG122&gt;0,VLOOKUP(G122,'价值&amp;消耗'!$U$173:$V$178,2,FALSE),0)</f>
        <v>73010</v>
      </c>
      <c r="AI122" s="28">
        <f t="shared" si="65"/>
        <v>330</v>
      </c>
      <c r="AJ122" s="28">
        <f t="shared" si="54"/>
        <v>1</v>
      </c>
      <c r="AK122" s="28">
        <f>ROUND(IF(COUNTIF($I122:I122,"&gt;0")&gt;$AJ122,0,I122),0)</f>
        <v>0</v>
      </c>
      <c r="AL122" s="28">
        <f>ROUND(IF(COUNTIF($I122:J122,"&gt;0")&gt;$AJ122,0,J122),0)</f>
        <v>36</v>
      </c>
      <c r="AM122" s="28">
        <f>ROUND(IF(COUNTIF($I122:K122,"&gt;0")&gt;$AJ122,0,K122),0)</f>
        <v>0</v>
      </c>
      <c r="AN122" s="28">
        <f>ROUND(IF(COUNTIF($I122:L122,"&gt;0")&gt;$AJ122,0,L122),0)</f>
        <v>0</v>
      </c>
      <c r="AO122" s="28">
        <f>ROUND(IF(COUNTIF($I122:M122,"&gt;0")&gt;$AJ122,0,M122),0)</f>
        <v>0</v>
      </c>
      <c r="AP122" s="28">
        <f>ROUND(IF(COUNTIF($I122:N122,"&gt;0")&gt;$AJ122,0,N122),0)</f>
        <v>0</v>
      </c>
      <c r="AQ122" s="28">
        <f>ROUND(IF(COUNTIF($I122:O122,"&gt;0")&gt;$AJ122,0,O122),0)</f>
        <v>0</v>
      </c>
      <c r="AR122" s="28">
        <f>ROUND(IF(COUNTIF($I122:P122,"&gt;0")&gt;$AJ122,0,P122),0)</f>
        <v>0</v>
      </c>
      <c r="AS122" s="28">
        <f>IF(COUNTIF($I122:Q122,"&gt;0")&gt;$AJ122,0,Q122)</f>
        <v>0</v>
      </c>
      <c r="AT122" s="28">
        <f>IF(COUNTIF($I122:R122,"&gt;0")&gt;$AJ122,0,R122)</f>
        <v>0</v>
      </c>
      <c r="AU122" s="28">
        <f>SUMPRODUCT(AK122:AT122,定义数据!$G$14:$P$14)</f>
        <v>36</v>
      </c>
      <c r="AV122" s="28">
        <f t="shared" si="55"/>
        <v>1800</v>
      </c>
      <c r="AW122" s="28">
        <f t="shared" si="66"/>
        <v>1800</v>
      </c>
      <c r="AX122" s="28">
        <f t="shared" si="67"/>
        <v>99000</v>
      </c>
      <c r="AY122" s="28">
        <f t="shared" si="68"/>
        <v>99000</v>
      </c>
    </row>
    <row r="123" spans="3:51" x14ac:dyDescent="0.15">
      <c r="C123" s="28" t="str">
        <f>H123&amp;F123&amp;VLOOKUP(G123,定义数据!$E$1:$F$7,2,FALSE)</f>
        <v>6020</v>
      </c>
      <c r="D123" s="28"/>
      <c r="E123" s="28">
        <f>装备属性计算表!AK122</f>
        <v>17</v>
      </c>
      <c r="F123" s="28">
        <f>装备属性计算表!B122</f>
        <v>2</v>
      </c>
      <c r="G123" s="28" t="str">
        <f>装备属性计算表!C122</f>
        <v>武器</v>
      </c>
      <c r="H123" s="28">
        <f>装备属性计算表!D122</f>
        <v>60</v>
      </c>
      <c r="I123" s="28">
        <f>VLOOKUP($G123,装备属性计算表!$D$14:$O$19,装备属性计算表!F$2,FALSE)/装备属性计算表!F$20*VLOOKUP($H123&amp;$F123,$C$3:$P$28,G$1,FALSE)</f>
        <v>0</v>
      </c>
      <c r="J123" s="28">
        <f>VLOOKUP($G123,装备属性计算表!$D$14:$O$19,装备属性计算表!G$2,FALSE)/装备属性计算表!G$20*VLOOKUP($H123&amp;$F123,$C$3:$P$28,H$1,FALSE)</f>
        <v>155.29711572192517</v>
      </c>
      <c r="K123" s="28">
        <f>VLOOKUP($G123,装备属性计算表!$D$14:$O$19,装备属性计算表!H$2,FALSE)/装备属性计算表!H$20*VLOOKUP($H123&amp;$F123,$C$3:$P$28,I$1,FALSE)</f>
        <v>18.64083743500867</v>
      </c>
      <c r="L123" s="28">
        <f>VLOOKUP($G123,装备属性计算表!$D$14:$O$19,装备属性计算表!I$2,FALSE)/装备属性计算表!I$20*VLOOKUP($H123&amp;$F123,$C$3:$P$28,J$1,FALSE)</f>
        <v>0</v>
      </c>
      <c r="M123" s="28">
        <f>VLOOKUP($G123,装备属性计算表!$D$14:$O$19,装备属性计算表!J$2,FALSE)/装备属性计算表!J$20*VLOOKUP($H123&amp;$F123,$C$3:$P$28,K$1,FALSE)</f>
        <v>67.708333333333329</v>
      </c>
      <c r="N123" s="28">
        <f>VLOOKUP($G123,装备属性计算表!$D$14:$O$19,装备属性计算表!K$2,FALSE)/装备属性计算表!K$20*VLOOKUP($H123&amp;$F123,$C$3:$P$28,L$1,FALSE)</f>
        <v>48.148148148148152</v>
      </c>
      <c r="O123" s="28">
        <f>VLOOKUP($G123,装备属性计算表!$D$14:$O$19,装备属性计算表!L$2,FALSE)/装备属性计算表!L$20*VLOOKUP($H123&amp;$F123,$C$3:$P$28,M$1,FALSE)</f>
        <v>0</v>
      </c>
      <c r="P123" s="28">
        <f>VLOOKUP($G123,装备属性计算表!$D$14:$O$19,装备属性计算表!M$2,FALSE)/装备属性计算表!M$20*VLOOKUP($H123&amp;$F123,$C$3:$P$28,N$1,FALSE)</f>
        <v>0</v>
      </c>
      <c r="Q123" s="28">
        <f>VLOOKUP($G123,装备属性计算表!$D$14:$O$19,装备属性计算表!N$2,FALSE)/装备属性计算表!N$20*VLOOKUP($H123&amp;$F123,$C$3:$P$28,O$1,FALSE)</f>
        <v>0</v>
      </c>
      <c r="R123" s="28">
        <f>VLOOKUP($G123,装备属性计算表!$D$14:$O$19,装备属性计算表!O$2,FALSE)/装备属性计算表!O$20*VLOOKUP($H123&amp;$F123,$C$3:$P$28,P$1,FALSE)</f>
        <v>0</v>
      </c>
      <c r="X123" s="28"/>
      <c r="Y123" s="28">
        <f t="shared" si="56"/>
        <v>0</v>
      </c>
      <c r="Z123" s="28">
        <f t="shared" si="57"/>
        <v>0</v>
      </c>
      <c r="AA123" s="28">
        <f t="shared" si="63"/>
        <v>10</v>
      </c>
      <c r="AB123" s="28">
        <f t="shared" si="58"/>
        <v>0</v>
      </c>
      <c r="AC123" s="28">
        <f t="shared" si="59"/>
        <v>0</v>
      </c>
      <c r="AD123" s="28">
        <f t="shared" si="60"/>
        <v>96</v>
      </c>
      <c r="AE123" s="28">
        <f t="shared" si="64"/>
        <v>480000</v>
      </c>
      <c r="AF123" s="28">
        <f t="shared" si="61"/>
        <v>1500</v>
      </c>
      <c r="AG123" s="28">
        <f t="shared" si="62"/>
        <v>29</v>
      </c>
      <c r="AH123" s="28">
        <f>IF(AG123&gt;0,VLOOKUP(G123,'价值&amp;消耗'!$U$173:$V$178,2,FALSE),0)</f>
        <v>70010</v>
      </c>
      <c r="AI123" s="28">
        <f t="shared" si="65"/>
        <v>1595</v>
      </c>
      <c r="AJ123" s="28">
        <f t="shared" si="54"/>
        <v>2</v>
      </c>
      <c r="AK123" s="28">
        <f>ROUND(IF(COUNTIF($I123:I123,"&gt;0")&gt;$AJ123,0,I123),0)</f>
        <v>0</v>
      </c>
      <c r="AL123" s="28">
        <f>ROUND(IF(COUNTIF($I123:J123,"&gt;0")&gt;$AJ123,0,J123),0)</f>
        <v>155</v>
      </c>
      <c r="AM123" s="28">
        <f>ROUND(IF(COUNTIF($I123:K123,"&gt;0")&gt;$AJ123,0,K123),0)</f>
        <v>19</v>
      </c>
      <c r="AN123" s="28">
        <f>ROUND(IF(COUNTIF($I123:L123,"&gt;0")&gt;$AJ123,0,L123),0)</f>
        <v>0</v>
      </c>
      <c r="AO123" s="28">
        <f>ROUND(IF(COUNTIF($I123:M123,"&gt;0")&gt;$AJ123,0,M123),0)</f>
        <v>0</v>
      </c>
      <c r="AP123" s="28">
        <f>ROUND(IF(COUNTIF($I123:N123,"&gt;0")&gt;$AJ123,0,N123),0)</f>
        <v>0</v>
      </c>
      <c r="AQ123" s="28">
        <f>ROUND(IF(COUNTIF($I123:O123,"&gt;0")&gt;$AJ123,0,O123),0)</f>
        <v>0</v>
      </c>
      <c r="AR123" s="28">
        <f>ROUND(IF(COUNTIF($I123:P123,"&gt;0")&gt;$AJ123,0,P123),0)</f>
        <v>0</v>
      </c>
      <c r="AS123" s="28">
        <f>IF(COUNTIF($I123:Q123,"&gt;0")&gt;$AJ123,0,Q123)</f>
        <v>0</v>
      </c>
      <c r="AT123" s="28">
        <f>IF(COUNTIF($I123:R123,"&gt;0")&gt;$AJ123,0,R123)</f>
        <v>0</v>
      </c>
      <c r="AU123" s="28">
        <f>SUMPRODUCT(AK123:AT123,定义数据!$G$14:$P$14)</f>
        <v>174</v>
      </c>
      <c r="AV123" s="28">
        <f t="shared" si="55"/>
        <v>8700</v>
      </c>
      <c r="AW123" s="28">
        <f t="shared" si="66"/>
        <v>8700</v>
      </c>
      <c r="AX123" s="28">
        <f t="shared" si="67"/>
        <v>478500</v>
      </c>
      <c r="AY123" s="28">
        <f t="shared" si="68"/>
        <v>478500</v>
      </c>
    </row>
    <row r="124" spans="3:51" x14ac:dyDescent="0.15">
      <c r="C124" s="28" t="str">
        <f>H124&amp;F124&amp;VLOOKUP(G124,定义数据!$E$1:$F$7,2,FALSE)</f>
        <v>6021</v>
      </c>
      <c r="D124" s="28"/>
      <c r="E124" s="28">
        <f>装备属性计算表!AK123</f>
        <v>17</v>
      </c>
      <c r="F124" s="28">
        <f>装备属性计算表!B123</f>
        <v>2</v>
      </c>
      <c r="G124" s="28" t="str">
        <f>装备属性计算表!C123</f>
        <v>衣服</v>
      </c>
      <c r="H124" s="28">
        <f>装备属性计算表!D123</f>
        <v>60</v>
      </c>
      <c r="I124" s="28">
        <f>VLOOKUP($G124,装备属性计算表!$D$14:$O$19,装备属性计算表!F$2,FALSE)/装备属性计算表!F$20*VLOOKUP($H124&amp;$F124,$C$3:$P$28,G$1,FALSE)</f>
        <v>1698.5869255264242</v>
      </c>
      <c r="J124" s="28">
        <f>VLOOKUP($G124,装备属性计算表!$D$14:$O$19,装备属性计算表!G$2,FALSE)/装备属性计算表!G$20*VLOOKUP($H124&amp;$F124,$C$3:$P$28,H$1,FALSE)</f>
        <v>0</v>
      </c>
      <c r="K124" s="28">
        <f>VLOOKUP($G124,装备属性计算表!$D$14:$O$19,装备属性计算表!H$2,FALSE)/装备属性计算表!H$20*VLOOKUP($H124&amp;$F124,$C$3:$P$28,I$1,FALSE)</f>
        <v>55.922512305026011</v>
      </c>
      <c r="L124" s="28">
        <f>VLOOKUP($G124,装备属性计算表!$D$14:$O$19,装备属性计算表!I$2,FALSE)/装备属性计算表!I$20*VLOOKUP($H124&amp;$F124,$C$3:$P$28,J$1,FALSE)</f>
        <v>40.625</v>
      </c>
      <c r="M124" s="28">
        <f>VLOOKUP($G124,装备属性计算表!$D$14:$O$19,装备属性计算表!J$2,FALSE)/装备属性计算表!J$20*VLOOKUP($H124&amp;$F124,$C$3:$P$28,K$1,FALSE)</f>
        <v>0</v>
      </c>
      <c r="N124" s="28">
        <f>VLOOKUP($G124,装备属性计算表!$D$14:$O$19,装备属性计算表!K$2,FALSE)/装备属性计算表!K$20*VLOOKUP($H124&amp;$F124,$C$3:$P$28,L$1,FALSE)</f>
        <v>0</v>
      </c>
      <c r="O124" s="28">
        <f>VLOOKUP($G124,装备属性计算表!$D$14:$O$19,装备属性计算表!L$2,FALSE)/装备属性计算表!L$20*VLOOKUP($H124&amp;$F124,$C$3:$P$28,M$1,FALSE)</f>
        <v>0</v>
      </c>
      <c r="P124" s="28">
        <f>VLOOKUP($G124,装备属性计算表!$D$14:$O$19,装备属性计算表!M$2,FALSE)/装备属性计算表!M$20*VLOOKUP($H124&amp;$F124,$C$3:$P$28,N$1,FALSE)</f>
        <v>40.123456790123456</v>
      </c>
      <c r="Q124" s="28">
        <f>VLOOKUP($G124,装备属性计算表!$D$14:$O$19,装备属性计算表!N$2,FALSE)/装备属性计算表!N$20*VLOOKUP($H124&amp;$F124,$C$3:$P$28,O$1,FALSE)</f>
        <v>0</v>
      </c>
      <c r="R124" s="28">
        <f>VLOOKUP($G124,装备属性计算表!$D$14:$O$19,装备属性计算表!O$2,FALSE)/装备属性计算表!O$20*VLOOKUP($H124&amp;$F124,$C$3:$P$28,P$1,FALSE)</f>
        <v>0</v>
      </c>
      <c r="X124" s="28"/>
      <c r="Y124" s="28">
        <f t="shared" si="56"/>
        <v>0</v>
      </c>
      <c r="Z124" s="28">
        <f t="shared" si="57"/>
        <v>0</v>
      </c>
      <c r="AA124" s="28">
        <f t="shared" si="63"/>
        <v>10</v>
      </c>
      <c r="AB124" s="28">
        <f t="shared" si="58"/>
        <v>0</v>
      </c>
      <c r="AC124" s="28">
        <f t="shared" si="59"/>
        <v>0</v>
      </c>
      <c r="AD124" s="28">
        <f t="shared" si="60"/>
        <v>69</v>
      </c>
      <c r="AE124" s="28">
        <f t="shared" si="64"/>
        <v>345000</v>
      </c>
      <c r="AF124" s="28">
        <f t="shared" si="61"/>
        <v>4110</v>
      </c>
      <c r="AG124" s="28">
        <f t="shared" si="62"/>
        <v>21</v>
      </c>
      <c r="AH124" s="28">
        <f>IF(AG124&gt;0,VLOOKUP(G124,'价值&amp;消耗'!$U$173:$V$178,2,FALSE),0)</f>
        <v>71010</v>
      </c>
      <c r="AI124" s="28">
        <f t="shared" si="65"/>
        <v>1155</v>
      </c>
      <c r="AJ124" s="28">
        <f t="shared" si="54"/>
        <v>2</v>
      </c>
      <c r="AK124" s="28">
        <f>ROUND(IF(COUNTIF($I124:I124,"&gt;0")&gt;$AJ124,0,I124),0)</f>
        <v>1699</v>
      </c>
      <c r="AL124" s="28">
        <f>ROUND(IF(COUNTIF($I124:J124,"&gt;0")&gt;$AJ124,0,J124),0)</f>
        <v>0</v>
      </c>
      <c r="AM124" s="28">
        <f>ROUND(IF(COUNTIF($I124:K124,"&gt;0")&gt;$AJ124,0,K124),0)</f>
        <v>56</v>
      </c>
      <c r="AN124" s="28">
        <f>ROUND(IF(COUNTIF($I124:L124,"&gt;0")&gt;$AJ124,0,L124),0)</f>
        <v>0</v>
      </c>
      <c r="AO124" s="28">
        <f>ROUND(IF(COUNTIF($I124:M124,"&gt;0")&gt;$AJ124,0,M124),0)</f>
        <v>0</v>
      </c>
      <c r="AP124" s="28">
        <f>ROUND(IF(COUNTIF($I124:N124,"&gt;0")&gt;$AJ124,0,N124),0)</f>
        <v>0</v>
      </c>
      <c r="AQ124" s="28">
        <f>ROUND(IF(COUNTIF($I124:O124,"&gt;0")&gt;$AJ124,0,O124),0)</f>
        <v>0</v>
      </c>
      <c r="AR124" s="28">
        <f>ROUND(IF(COUNTIF($I124:P124,"&gt;0")&gt;$AJ124,0,P124),0)</f>
        <v>0</v>
      </c>
      <c r="AS124" s="28">
        <f>IF(COUNTIF($I124:Q124,"&gt;0")&gt;$AJ124,0,Q124)</f>
        <v>0</v>
      </c>
      <c r="AT124" s="28">
        <f>IF(COUNTIF($I124:R124,"&gt;0")&gt;$AJ124,0,R124)</f>
        <v>0</v>
      </c>
      <c r="AU124" s="28">
        <f>SUMPRODUCT(AK124:AT124,定义数据!$G$14:$P$14)</f>
        <v>123.96000000000001</v>
      </c>
      <c r="AV124" s="28">
        <f t="shared" si="55"/>
        <v>6198</v>
      </c>
      <c r="AW124" s="28">
        <f t="shared" si="66"/>
        <v>6198</v>
      </c>
      <c r="AX124" s="28">
        <f t="shared" si="67"/>
        <v>340890</v>
      </c>
      <c r="AY124" s="28">
        <f t="shared" si="68"/>
        <v>340890</v>
      </c>
    </row>
    <row r="125" spans="3:51" x14ac:dyDescent="0.15">
      <c r="C125" s="28" t="str">
        <f>H125&amp;F125&amp;VLOOKUP(G125,定义数据!$E$1:$F$7,2,FALSE)</f>
        <v>6022</v>
      </c>
      <c r="D125" s="28"/>
      <c r="E125" s="28">
        <f>装备属性计算表!AK124</f>
        <v>17</v>
      </c>
      <c r="F125" s="28">
        <f>装备属性计算表!B124</f>
        <v>2</v>
      </c>
      <c r="G125" s="28" t="str">
        <f>装备属性计算表!C124</f>
        <v>裤子</v>
      </c>
      <c r="H125" s="28">
        <f>装备属性计算表!D124</f>
        <v>60</v>
      </c>
      <c r="I125" s="28">
        <f>VLOOKUP($G125,装备属性计算表!$D$14:$O$19,装备属性计算表!F$2,FALSE)/装备属性计算表!F$20*VLOOKUP($H125&amp;$F125,$C$3:$P$28,G$1,FALSE)</f>
        <v>849.29346276321212</v>
      </c>
      <c r="J125" s="28">
        <f>VLOOKUP($G125,装备属性计算表!$D$14:$O$19,装备属性计算表!G$2,FALSE)/装备属性计算表!G$20*VLOOKUP($H125&amp;$F125,$C$3:$P$28,H$1,FALSE)</f>
        <v>0</v>
      </c>
      <c r="K125" s="28">
        <f>VLOOKUP($G125,装备属性计算表!$D$14:$O$19,装备属性计算表!H$2,FALSE)/装备属性计算表!H$20*VLOOKUP($H125&amp;$F125,$C$3:$P$28,I$1,FALSE)</f>
        <v>18.64083743500867</v>
      </c>
      <c r="L125" s="28">
        <f>VLOOKUP($G125,装备属性计算表!$D$14:$O$19,装备属性计算表!I$2,FALSE)/装备属性计算表!I$20*VLOOKUP($H125&amp;$F125,$C$3:$P$28,J$1,FALSE)</f>
        <v>40.625</v>
      </c>
      <c r="M125" s="28">
        <f>VLOOKUP($G125,装备属性计算表!$D$14:$O$19,装备属性计算表!J$2,FALSE)/装备属性计算表!J$20*VLOOKUP($H125&amp;$F125,$C$3:$P$28,K$1,FALSE)</f>
        <v>0</v>
      </c>
      <c r="N125" s="28">
        <f>VLOOKUP($G125,装备属性计算表!$D$14:$O$19,装备属性计算表!K$2,FALSE)/装备属性计算表!K$20*VLOOKUP($H125&amp;$F125,$C$3:$P$28,L$1,FALSE)</f>
        <v>0</v>
      </c>
      <c r="O125" s="28">
        <f>VLOOKUP($G125,装备属性计算表!$D$14:$O$19,装备属性计算表!L$2,FALSE)/装备属性计算表!L$20*VLOOKUP($H125&amp;$F125,$C$3:$P$28,M$1,FALSE)</f>
        <v>0</v>
      </c>
      <c r="P125" s="28">
        <f>VLOOKUP($G125,装备属性计算表!$D$14:$O$19,装备属性计算表!M$2,FALSE)/装备属性计算表!M$20*VLOOKUP($H125&amp;$F125,$C$3:$P$28,N$1,FALSE)</f>
        <v>40.123456790123456</v>
      </c>
      <c r="Q125" s="28">
        <f>VLOOKUP($G125,装备属性计算表!$D$14:$O$19,装备属性计算表!N$2,FALSE)/装备属性计算表!N$20*VLOOKUP($H125&amp;$F125,$C$3:$P$28,O$1,FALSE)</f>
        <v>0</v>
      </c>
      <c r="R125" s="28">
        <f>VLOOKUP($G125,装备属性计算表!$D$14:$O$19,装备属性计算表!O$2,FALSE)/装备属性计算表!O$20*VLOOKUP($H125&amp;$F125,$C$3:$P$28,P$1,FALSE)</f>
        <v>0</v>
      </c>
      <c r="X125" s="28"/>
      <c r="Y125" s="28">
        <f t="shared" si="56"/>
        <v>0</v>
      </c>
      <c r="Z125" s="28">
        <f t="shared" si="57"/>
        <v>1</v>
      </c>
      <c r="AA125" s="28">
        <f t="shared" si="63"/>
        <v>10</v>
      </c>
      <c r="AB125" s="28">
        <f t="shared" si="58"/>
        <v>0</v>
      </c>
      <c r="AC125" s="28">
        <f t="shared" si="59"/>
        <v>3</v>
      </c>
      <c r="AD125" s="28">
        <f t="shared" si="60"/>
        <v>29</v>
      </c>
      <c r="AE125" s="28">
        <f t="shared" si="64"/>
        <v>148000</v>
      </c>
      <c r="AF125" s="28">
        <f t="shared" si="61"/>
        <v>2360</v>
      </c>
      <c r="AG125" s="28">
        <f t="shared" si="62"/>
        <v>9</v>
      </c>
      <c r="AH125" s="28">
        <f>IF(AG125&gt;0,VLOOKUP(G125,'价值&amp;消耗'!$U$173:$V$178,2,FALSE),0)</f>
        <v>72010</v>
      </c>
      <c r="AI125" s="28">
        <f t="shared" si="65"/>
        <v>495</v>
      </c>
      <c r="AJ125" s="28">
        <f t="shared" si="54"/>
        <v>2</v>
      </c>
      <c r="AK125" s="28">
        <f>ROUND(IF(COUNTIF($I125:I125,"&gt;0")&gt;$AJ125,0,I125),0)</f>
        <v>849</v>
      </c>
      <c r="AL125" s="28">
        <f>ROUND(IF(COUNTIF($I125:J125,"&gt;0")&gt;$AJ125,0,J125),0)</f>
        <v>0</v>
      </c>
      <c r="AM125" s="28">
        <f>ROUND(IF(COUNTIF($I125:K125,"&gt;0")&gt;$AJ125,0,K125),0)</f>
        <v>19</v>
      </c>
      <c r="AN125" s="28">
        <f>ROUND(IF(COUNTIF($I125:L125,"&gt;0")&gt;$AJ125,0,L125),0)</f>
        <v>0</v>
      </c>
      <c r="AO125" s="28">
        <f>ROUND(IF(COUNTIF($I125:M125,"&gt;0")&gt;$AJ125,0,M125),0)</f>
        <v>0</v>
      </c>
      <c r="AP125" s="28">
        <f>ROUND(IF(COUNTIF($I125:N125,"&gt;0")&gt;$AJ125,0,N125),0)</f>
        <v>0</v>
      </c>
      <c r="AQ125" s="28">
        <f>ROUND(IF(COUNTIF($I125:O125,"&gt;0")&gt;$AJ125,0,O125),0)</f>
        <v>0</v>
      </c>
      <c r="AR125" s="28">
        <f>ROUND(IF(COUNTIF($I125:P125,"&gt;0")&gt;$AJ125,0,P125),0)</f>
        <v>0</v>
      </c>
      <c r="AS125" s="28">
        <f>IF(COUNTIF($I125:Q125,"&gt;0")&gt;$AJ125,0,Q125)</f>
        <v>0</v>
      </c>
      <c r="AT125" s="28">
        <f>IF(COUNTIF($I125:R125,"&gt;0")&gt;$AJ125,0,R125)</f>
        <v>0</v>
      </c>
      <c r="AU125" s="28">
        <f>SUMPRODUCT(AK125:AT125,定义数据!$G$14:$P$14)</f>
        <v>52.96</v>
      </c>
      <c r="AV125" s="28">
        <f t="shared" si="55"/>
        <v>2648</v>
      </c>
      <c r="AW125" s="28">
        <f t="shared" si="66"/>
        <v>2648</v>
      </c>
      <c r="AX125" s="28">
        <f t="shared" si="67"/>
        <v>145640</v>
      </c>
      <c r="AY125" s="28">
        <f t="shared" si="68"/>
        <v>145640</v>
      </c>
    </row>
    <row r="126" spans="3:51" x14ac:dyDescent="0.15">
      <c r="C126" s="28" t="str">
        <f>H126&amp;F126&amp;VLOOKUP(G126,定义数据!$E$1:$F$7,2,FALSE)</f>
        <v>6025</v>
      </c>
      <c r="D126" s="28"/>
      <c r="E126" s="28">
        <f>装备属性计算表!AK125</f>
        <v>17</v>
      </c>
      <c r="F126" s="28">
        <f>装备属性计算表!B125</f>
        <v>2</v>
      </c>
      <c r="G126" s="28" t="str">
        <f>装备属性计算表!C125</f>
        <v>鞋子</v>
      </c>
      <c r="H126" s="28">
        <f>装备属性计算表!D125</f>
        <v>60</v>
      </c>
      <c r="I126" s="28">
        <f>VLOOKUP($G126,装备属性计算表!$D$14:$O$19,装备属性计算表!F$2,FALSE)/装备属性计算表!F$20*VLOOKUP($H126&amp;$F126,$C$3:$P$28,G$1,FALSE)</f>
        <v>849.29346276321212</v>
      </c>
      <c r="J126" s="28">
        <f>VLOOKUP($G126,装备属性计算表!$D$14:$O$19,装备属性计算表!G$2,FALSE)/装备属性计算表!G$20*VLOOKUP($H126&amp;$F126,$C$3:$P$28,H$1,FALSE)</f>
        <v>0</v>
      </c>
      <c r="K126" s="28">
        <f>VLOOKUP($G126,装备属性计算表!$D$14:$O$19,装备属性计算表!H$2,FALSE)/装备属性计算表!H$20*VLOOKUP($H126&amp;$F126,$C$3:$P$28,I$1,FALSE)</f>
        <v>0</v>
      </c>
      <c r="L126" s="28">
        <f>VLOOKUP($G126,装备属性计算表!$D$14:$O$19,装备属性计算表!I$2,FALSE)/装备属性计算表!I$20*VLOOKUP($H126&amp;$F126,$C$3:$P$28,J$1,FALSE)</f>
        <v>81.25</v>
      </c>
      <c r="M126" s="28">
        <f>VLOOKUP($G126,装备属性计算表!$D$14:$O$19,装备属性计算表!J$2,FALSE)/装备属性计算表!J$20*VLOOKUP($H126&amp;$F126,$C$3:$P$28,K$1,FALSE)</f>
        <v>67.708333333333329</v>
      </c>
      <c r="N126" s="28">
        <f>VLOOKUP($G126,装备属性计算表!$D$14:$O$19,装备属性计算表!K$2,FALSE)/装备属性计算表!K$20*VLOOKUP($H126&amp;$F126,$C$3:$P$28,L$1,FALSE)</f>
        <v>24.074074074074076</v>
      </c>
      <c r="O126" s="28">
        <f>VLOOKUP($G126,装备属性计算表!$D$14:$O$19,装备属性计算表!L$2,FALSE)/装备属性计算表!L$20*VLOOKUP($H126&amp;$F126,$C$3:$P$28,M$1,FALSE)</f>
        <v>0</v>
      </c>
      <c r="P126" s="28">
        <f>VLOOKUP($G126,装备属性计算表!$D$14:$O$19,装备属性计算表!M$2,FALSE)/装备属性计算表!M$20*VLOOKUP($H126&amp;$F126,$C$3:$P$28,N$1,FALSE)</f>
        <v>0</v>
      </c>
      <c r="Q126" s="28">
        <f>VLOOKUP($G126,装备属性计算表!$D$14:$O$19,装备属性计算表!N$2,FALSE)/装备属性计算表!N$20*VLOOKUP($H126&amp;$F126,$C$3:$P$28,O$1,FALSE)</f>
        <v>0</v>
      </c>
      <c r="R126" s="28">
        <f>VLOOKUP($G126,装备属性计算表!$D$14:$O$19,装备属性计算表!O$2,FALSE)/装备属性计算表!O$20*VLOOKUP($H126&amp;$F126,$C$3:$P$28,P$1,FALSE)</f>
        <v>0</v>
      </c>
      <c r="X126" s="28"/>
      <c r="Y126" s="28">
        <f t="shared" si="56"/>
        <v>0</v>
      </c>
      <c r="Z126" s="28">
        <f t="shared" si="57"/>
        <v>1</v>
      </c>
      <c r="AA126" s="28">
        <f t="shared" si="63"/>
        <v>10</v>
      </c>
      <c r="AB126" s="28">
        <f t="shared" si="58"/>
        <v>0</v>
      </c>
      <c r="AC126" s="28">
        <f t="shared" si="59"/>
        <v>4</v>
      </c>
      <c r="AD126" s="28">
        <f t="shared" si="60"/>
        <v>34</v>
      </c>
      <c r="AE126" s="28">
        <f t="shared" si="64"/>
        <v>174000</v>
      </c>
      <c r="AF126" s="28">
        <f t="shared" si="61"/>
        <v>4875</v>
      </c>
      <c r="AG126" s="28">
        <f t="shared" si="62"/>
        <v>11</v>
      </c>
      <c r="AH126" s="28">
        <f>IF(AG126&gt;0,VLOOKUP(G126,'价值&amp;消耗'!$U$173:$V$178,2,FALSE),0)</f>
        <v>75010</v>
      </c>
      <c r="AI126" s="28">
        <f t="shared" si="65"/>
        <v>605</v>
      </c>
      <c r="AJ126" s="28">
        <f t="shared" si="54"/>
        <v>2</v>
      </c>
      <c r="AK126" s="28">
        <f>ROUND(IF(COUNTIF($I126:I126,"&gt;0")&gt;$AJ126,0,I126),0)</f>
        <v>849</v>
      </c>
      <c r="AL126" s="28">
        <f>ROUND(IF(COUNTIF($I126:J126,"&gt;0")&gt;$AJ126,0,J126),0)</f>
        <v>0</v>
      </c>
      <c r="AM126" s="28">
        <f>ROUND(IF(COUNTIF($I126:K126,"&gt;0")&gt;$AJ126,0,K126),0)</f>
        <v>0</v>
      </c>
      <c r="AN126" s="28">
        <f>ROUND(IF(COUNTIF($I126:L126,"&gt;0")&gt;$AJ126,0,L126),0)</f>
        <v>81</v>
      </c>
      <c r="AO126" s="28">
        <f>ROUND(IF(COUNTIF($I126:M126,"&gt;0")&gt;$AJ126,0,M126),0)</f>
        <v>0</v>
      </c>
      <c r="AP126" s="28">
        <f>ROUND(IF(COUNTIF($I126:N126,"&gt;0")&gt;$AJ126,0,N126),0)</f>
        <v>0</v>
      </c>
      <c r="AQ126" s="28">
        <f>ROUND(IF(COUNTIF($I126:O126,"&gt;0")&gt;$AJ126,0,O126),0)</f>
        <v>0</v>
      </c>
      <c r="AR126" s="28">
        <f>ROUND(IF(COUNTIF($I126:P126,"&gt;0")&gt;$AJ126,0,P126),0)</f>
        <v>0</v>
      </c>
      <c r="AS126" s="28">
        <f>IF(COUNTIF($I126:Q126,"&gt;0")&gt;$AJ126,0,Q126)</f>
        <v>0</v>
      </c>
      <c r="AT126" s="28">
        <f>IF(COUNTIF($I126:R126,"&gt;0")&gt;$AJ126,0,R126)</f>
        <v>0</v>
      </c>
      <c r="AU126" s="28">
        <f>SUMPRODUCT(AK126:AT126,定义数据!$G$14:$P$14)</f>
        <v>61.5</v>
      </c>
      <c r="AV126" s="28">
        <f t="shared" si="55"/>
        <v>3075</v>
      </c>
      <c r="AW126" s="28">
        <f t="shared" si="66"/>
        <v>3075</v>
      </c>
      <c r="AX126" s="28">
        <f t="shared" si="67"/>
        <v>169125</v>
      </c>
      <c r="AY126" s="28">
        <f t="shared" si="68"/>
        <v>169125</v>
      </c>
    </row>
    <row r="127" spans="3:51" x14ac:dyDescent="0.15">
      <c r="C127" s="28" t="str">
        <f>H127&amp;F127&amp;VLOOKUP(G127,定义数据!$E$1:$F$7,2,FALSE)</f>
        <v>6024</v>
      </c>
      <c r="D127" s="28"/>
      <c r="E127" s="28">
        <f>装备属性计算表!AK126</f>
        <v>17</v>
      </c>
      <c r="F127" s="28">
        <f>装备属性计算表!B126</f>
        <v>2</v>
      </c>
      <c r="G127" s="28" t="str">
        <f>装备属性计算表!C126</f>
        <v>腰带</v>
      </c>
      <c r="H127" s="28">
        <f>装备属性计算表!D126</f>
        <v>60</v>
      </c>
      <c r="I127" s="28">
        <f>VLOOKUP($G127,装备属性计算表!$D$14:$O$19,装备属性计算表!F$2,FALSE)/装备属性计算表!F$20*VLOOKUP($H127&amp;$F127,$C$3:$P$28,G$1,FALSE)</f>
        <v>1698.5869255264242</v>
      </c>
      <c r="J127" s="28">
        <f>VLOOKUP($G127,装备属性计算表!$D$14:$O$19,装备属性计算表!G$2,FALSE)/装备属性计算表!G$20*VLOOKUP($H127&amp;$F127,$C$3:$P$28,H$1,FALSE)</f>
        <v>51.765705240641729</v>
      </c>
      <c r="K127" s="28">
        <f>VLOOKUP($G127,装备属性计算表!$D$14:$O$19,装备属性计算表!H$2,FALSE)/装备属性计算表!H$20*VLOOKUP($H127&amp;$F127,$C$3:$P$28,I$1,FALSE)</f>
        <v>18.64083743500867</v>
      </c>
      <c r="L127" s="28">
        <f>VLOOKUP($G127,装备属性计算表!$D$14:$O$19,装备属性计算表!I$2,FALSE)/装备属性计算表!I$20*VLOOKUP($H127&amp;$F127,$C$3:$P$28,J$1,FALSE)</f>
        <v>0</v>
      </c>
      <c r="M127" s="28">
        <f>VLOOKUP($G127,装备属性计算表!$D$14:$O$19,装备属性计算表!J$2,FALSE)/装备属性计算表!J$20*VLOOKUP($H127&amp;$F127,$C$3:$P$28,K$1,FALSE)</f>
        <v>0</v>
      </c>
      <c r="N127" s="28">
        <f>VLOOKUP($G127,装备属性计算表!$D$14:$O$19,装备属性计算表!K$2,FALSE)/装备属性计算表!K$20*VLOOKUP($H127&amp;$F127,$C$3:$P$28,L$1,FALSE)</f>
        <v>0</v>
      </c>
      <c r="O127" s="28">
        <f>VLOOKUP($G127,装备属性计算表!$D$14:$O$19,装备属性计算表!L$2,FALSE)/装备属性计算表!L$20*VLOOKUP($H127&amp;$F127,$C$3:$P$28,M$1,FALSE)</f>
        <v>0</v>
      </c>
      <c r="P127" s="28">
        <f>VLOOKUP($G127,装备属性计算表!$D$14:$O$19,装备属性计算表!M$2,FALSE)/装备属性计算表!M$20*VLOOKUP($H127&amp;$F127,$C$3:$P$28,N$1,FALSE)</f>
        <v>40.123456790123456</v>
      </c>
      <c r="Q127" s="28">
        <f>VLOOKUP($G127,装备属性计算表!$D$14:$O$19,装备属性计算表!N$2,FALSE)/装备属性计算表!N$20*VLOOKUP($H127&amp;$F127,$C$3:$P$28,O$1,FALSE)</f>
        <v>0</v>
      </c>
      <c r="R127" s="28">
        <f>VLOOKUP($G127,装备属性计算表!$D$14:$O$19,装备属性计算表!O$2,FALSE)/装备属性计算表!O$20*VLOOKUP($H127&amp;$F127,$C$3:$P$28,P$1,FALSE)</f>
        <v>0</v>
      </c>
      <c r="X127" s="28"/>
      <c r="Y127" s="28">
        <f t="shared" si="56"/>
        <v>0</v>
      </c>
      <c r="Z127" s="28">
        <f t="shared" si="57"/>
        <v>0</v>
      </c>
      <c r="AA127" s="28">
        <f t="shared" si="63"/>
        <v>10</v>
      </c>
      <c r="AB127" s="28">
        <f t="shared" si="58"/>
        <v>0</v>
      </c>
      <c r="AC127" s="28">
        <f t="shared" si="59"/>
        <v>0</v>
      </c>
      <c r="AD127" s="28">
        <f t="shared" si="60"/>
        <v>66</v>
      </c>
      <c r="AE127" s="28">
        <f t="shared" si="64"/>
        <v>330000</v>
      </c>
      <c r="AF127" s="28">
        <f t="shared" si="61"/>
        <v>110</v>
      </c>
      <c r="AG127" s="28">
        <f t="shared" si="62"/>
        <v>20</v>
      </c>
      <c r="AH127" s="28">
        <f>IF(AG127&gt;0,VLOOKUP(G127,'价值&amp;消耗'!$U$173:$V$178,2,FALSE),0)</f>
        <v>74010</v>
      </c>
      <c r="AI127" s="28">
        <f t="shared" si="65"/>
        <v>1100</v>
      </c>
      <c r="AJ127" s="28">
        <f t="shared" si="54"/>
        <v>2</v>
      </c>
      <c r="AK127" s="28">
        <f>ROUND(IF(COUNTIF($I127:I127,"&gt;0")&gt;$AJ127,0,I127),0)</f>
        <v>1699</v>
      </c>
      <c r="AL127" s="28">
        <f>ROUND(IF(COUNTIF($I127:J127,"&gt;0")&gt;$AJ127,0,J127),0)</f>
        <v>52</v>
      </c>
      <c r="AM127" s="28">
        <f>ROUND(IF(COUNTIF($I127:K127,"&gt;0")&gt;$AJ127,0,K127),0)</f>
        <v>0</v>
      </c>
      <c r="AN127" s="28">
        <f>ROUND(IF(COUNTIF($I127:L127,"&gt;0")&gt;$AJ127,0,L127),0)</f>
        <v>0</v>
      </c>
      <c r="AO127" s="28">
        <f>ROUND(IF(COUNTIF($I127:M127,"&gt;0")&gt;$AJ127,0,M127),0)</f>
        <v>0</v>
      </c>
      <c r="AP127" s="28">
        <f>ROUND(IF(COUNTIF($I127:N127,"&gt;0")&gt;$AJ127,0,N127),0)</f>
        <v>0</v>
      </c>
      <c r="AQ127" s="28">
        <f>ROUND(IF(COUNTIF($I127:O127,"&gt;0")&gt;$AJ127,0,O127),0)</f>
        <v>0</v>
      </c>
      <c r="AR127" s="28">
        <f>ROUND(IF(COUNTIF($I127:P127,"&gt;0")&gt;$AJ127,0,P127),0)</f>
        <v>0</v>
      </c>
      <c r="AS127" s="28">
        <f>IF(COUNTIF($I127:Q127,"&gt;0")&gt;$AJ127,0,Q127)</f>
        <v>0</v>
      </c>
      <c r="AT127" s="28">
        <f>IF(COUNTIF($I127:R127,"&gt;0")&gt;$AJ127,0,R127)</f>
        <v>0</v>
      </c>
      <c r="AU127" s="28">
        <f>SUMPRODUCT(AK127:AT127,定义数据!$G$14:$P$14)</f>
        <v>119.96000000000001</v>
      </c>
      <c r="AV127" s="28">
        <f t="shared" si="55"/>
        <v>5998</v>
      </c>
      <c r="AW127" s="28">
        <f t="shared" si="66"/>
        <v>5998</v>
      </c>
      <c r="AX127" s="28">
        <f t="shared" si="67"/>
        <v>329890</v>
      </c>
      <c r="AY127" s="28">
        <f t="shared" si="68"/>
        <v>329890</v>
      </c>
    </row>
    <row r="128" spans="3:51" x14ac:dyDescent="0.15">
      <c r="C128" s="28" t="str">
        <f>H128&amp;F128&amp;VLOOKUP(G128,定义数据!$E$1:$F$7,2,FALSE)</f>
        <v>6023</v>
      </c>
      <c r="D128" s="28"/>
      <c r="E128" s="28">
        <f>装备属性计算表!AK127</f>
        <v>17</v>
      </c>
      <c r="F128" s="28">
        <f>装备属性计算表!B127</f>
        <v>2</v>
      </c>
      <c r="G128" s="28" t="str">
        <f>装备属性计算表!C127</f>
        <v>项链</v>
      </c>
      <c r="H128" s="28">
        <f>装备属性计算表!D127</f>
        <v>60</v>
      </c>
      <c r="I128" s="28">
        <f>VLOOKUP($G128,装备属性计算表!$D$14:$O$19,装备属性计算表!F$2,FALSE)/装备属性计算表!F$20*VLOOKUP($H128&amp;$F128,$C$3:$P$28,G$1,FALSE)</f>
        <v>0</v>
      </c>
      <c r="J128" s="28">
        <f>VLOOKUP($G128,装备属性计算表!$D$14:$O$19,装备属性计算表!G$2,FALSE)/装备属性计算表!G$20*VLOOKUP($H128&amp;$F128,$C$3:$P$28,H$1,FALSE)</f>
        <v>51.765705240641729</v>
      </c>
      <c r="K128" s="28">
        <f>VLOOKUP($G128,装备属性计算表!$D$14:$O$19,装备属性计算表!H$2,FALSE)/装备属性计算表!H$20*VLOOKUP($H128&amp;$F128,$C$3:$P$28,I$1,FALSE)</f>
        <v>0</v>
      </c>
      <c r="L128" s="28">
        <f>VLOOKUP($G128,装备属性计算表!$D$14:$O$19,装备属性计算表!I$2,FALSE)/装备属性计算表!I$20*VLOOKUP($H128&amp;$F128,$C$3:$P$28,J$1,FALSE)</f>
        <v>40.625</v>
      </c>
      <c r="M128" s="28">
        <f>VLOOKUP($G128,装备属性计算表!$D$14:$O$19,装备属性计算表!J$2,FALSE)/装备属性计算表!J$20*VLOOKUP($H128&amp;$F128,$C$3:$P$28,K$1,FALSE)</f>
        <v>67.708333333333329</v>
      </c>
      <c r="N128" s="28">
        <f>VLOOKUP($G128,装备属性计算表!$D$14:$O$19,装备属性计算表!K$2,FALSE)/装备属性计算表!K$20*VLOOKUP($H128&amp;$F128,$C$3:$P$28,L$1,FALSE)</f>
        <v>48.148148148148152</v>
      </c>
      <c r="O128" s="28">
        <f>VLOOKUP($G128,装备属性计算表!$D$14:$O$19,装备属性计算表!L$2,FALSE)/装备属性计算表!L$20*VLOOKUP($H128&amp;$F128,$C$3:$P$28,M$1,FALSE)</f>
        <v>0</v>
      </c>
      <c r="P128" s="28">
        <f>VLOOKUP($G128,装备属性计算表!$D$14:$O$19,装备属性计算表!M$2,FALSE)/装备属性计算表!M$20*VLOOKUP($H128&amp;$F128,$C$3:$P$28,N$1,FALSE)</f>
        <v>0</v>
      </c>
      <c r="Q128" s="28">
        <f>VLOOKUP($G128,装备属性计算表!$D$14:$O$19,装备属性计算表!N$2,FALSE)/装备属性计算表!N$20*VLOOKUP($H128&amp;$F128,$C$3:$P$28,O$1,FALSE)</f>
        <v>0</v>
      </c>
      <c r="R128" s="28">
        <f>VLOOKUP($G128,装备属性计算表!$D$14:$O$19,装备属性计算表!O$2,FALSE)/装备属性计算表!O$20*VLOOKUP($H128&amp;$F128,$C$3:$P$28,P$1,FALSE)</f>
        <v>0</v>
      </c>
      <c r="X128" s="28">
        <f>SUM(AY123:AY128)</f>
        <v>1645380</v>
      </c>
      <c r="Y128" s="28">
        <f t="shared" si="56"/>
        <v>0</v>
      </c>
      <c r="Z128" s="28">
        <f t="shared" si="57"/>
        <v>1</v>
      </c>
      <c r="AA128" s="28">
        <f t="shared" si="63"/>
        <v>10</v>
      </c>
      <c r="AB128" s="28">
        <f t="shared" si="58"/>
        <v>0</v>
      </c>
      <c r="AC128" s="28">
        <f t="shared" si="59"/>
        <v>4</v>
      </c>
      <c r="AD128" s="28">
        <f t="shared" si="60"/>
        <v>36</v>
      </c>
      <c r="AE128" s="28">
        <f t="shared" si="64"/>
        <v>184000</v>
      </c>
      <c r="AF128" s="28">
        <f t="shared" si="61"/>
        <v>2665</v>
      </c>
      <c r="AG128" s="28">
        <f t="shared" si="62"/>
        <v>11</v>
      </c>
      <c r="AH128" s="28">
        <f>IF(AG128&gt;0,VLOOKUP(G128,'价值&amp;消耗'!$U$173:$V$178,2,FALSE),0)</f>
        <v>73010</v>
      </c>
      <c r="AI128" s="28">
        <f t="shared" si="65"/>
        <v>605</v>
      </c>
      <c r="AJ128" s="28">
        <f t="shared" si="54"/>
        <v>2</v>
      </c>
      <c r="AK128" s="28">
        <f>ROUND(IF(COUNTIF($I128:I128,"&gt;0")&gt;$AJ128,0,I128),0)</f>
        <v>0</v>
      </c>
      <c r="AL128" s="28">
        <f>ROUND(IF(COUNTIF($I128:J128,"&gt;0")&gt;$AJ128,0,J128),0)</f>
        <v>52</v>
      </c>
      <c r="AM128" s="28">
        <f>ROUND(IF(COUNTIF($I128:K128,"&gt;0")&gt;$AJ128,0,K128),0)</f>
        <v>0</v>
      </c>
      <c r="AN128" s="28">
        <f>ROUND(IF(COUNTIF($I128:L128,"&gt;0")&gt;$AJ128,0,L128),0)</f>
        <v>41</v>
      </c>
      <c r="AO128" s="28">
        <f>ROUND(IF(COUNTIF($I128:M128,"&gt;0")&gt;$AJ128,0,M128),0)</f>
        <v>0</v>
      </c>
      <c r="AP128" s="28">
        <f>ROUND(IF(COUNTIF($I128:N128,"&gt;0")&gt;$AJ128,0,N128),0)</f>
        <v>0</v>
      </c>
      <c r="AQ128" s="28">
        <f>ROUND(IF(COUNTIF($I128:O128,"&gt;0")&gt;$AJ128,0,O128),0)</f>
        <v>0</v>
      </c>
      <c r="AR128" s="28">
        <f>ROUND(IF(COUNTIF($I128:P128,"&gt;0")&gt;$AJ128,0,P128),0)</f>
        <v>0</v>
      </c>
      <c r="AS128" s="28">
        <f>IF(COUNTIF($I128:Q128,"&gt;0")&gt;$AJ128,0,Q128)</f>
        <v>0</v>
      </c>
      <c r="AT128" s="28">
        <f>IF(COUNTIF($I128:R128,"&gt;0")&gt;$AJ128,0,R128)</f>
        <v>0</v>
      </c>
      <c r="AU128" s="28">
        <f>SUMPRODUCT(AK128:AT128,定义数据!$G$14:$P$14)</f>
        <v>65.94</v>
      </c>
      <c r="AV128" s="28">
        <f t="shared" si="55"/>
        <v>3297</v>
      </c>
      <c r="AW128" s="28">
        <f t="shared" si="66"/>
        <v>3297</v>
      </c>
      <c r="AX128" s="28">
        <f t="shared" si="67"/>
        <v>181335</v>
      </c>
      <c r="AY128" s="28">
        <f t="shared" si="68"/>
        <v>181335</v>
      </c>
    </row>
    <row r="129" spans="3:51" x14ac:dyDescent="0.15">
      <c r="C129" s="28" t="str">
        <f>H129&amp;F129&amp;VLOOKUP(G129,定义数据!$E$1:$F$7,2,FALSE)</f>
        <v>6030</v>
      </c>
      <c r="D129" s="28"/>
      <c r="E129" s="28">
        <f>装备属性计算表!AK128</f>
        <v>18</v>
      </c>
      <c r="F129" s="28">
        <f>装备属性计算表!B128</f>
        <v>3</v>
      </c>
      <c r="G129" s="28" t="str">
        <f>装备属性计算表!C128</f>
        <v>武器</v>
      </c>
      <c r="H129" s="28">
        <f>装备属性计算表!D128</f>
        <v>60</v>
      </c>
      <c r="I129" s="28">
        <f>VLOOKUP($G129,装备属性计算表!$D$14:$O$19,装备属性计算表!F$2,FALSE)/装备属性计算表!F$20*VLOOKUP($H129&amp;$F129,$C$3:$P$28,G$1,FALSE)</f>
        <v>0</v>
      </c>
      <c r="J129" s="28">
        <f>VLOOKUP($G129,装备属性计算表!$D$14:$O$19,装备属性计算表!G$2,FALSE)/装备属性计算表!G$20*VLOOKUP($H129&amp;$F129,$C$3:$P$28,H$1,FALSE)</f>
        <v>203.08084363636365</v>
      </c>
      <c r="K129" s="28">
        <f>VLOOKUP($G129,装备属性计算表!$D$14:$O$19,装备属性计算表!H$2,FALSE)/装备属性计算表!H$20*VLOOKUP($H129&amp;$F129,$C$3:$P$28,I$1,FALSE)</f>
        <v>24.376479722703639</v>
      </c>
      <c r="L129" s="28">
        <f>VLOOKUP($G129,装备属性计算表!$D$14:$O$19,装备属性计算表!I$2,FALSE)/装备属性计算表!I$20*VLOOKUP($H129&amp;$F129,$C$3:$P$28,J$1,FALSE)</f>
        <v>0</v>
      </c>
      <c r="M129" s="28">
        <f>VLOOKUP($G129,装备属性计算表!$D$14:$O$19,装备属性计算表!J$2,FALSE)/装备属性计算表!J$20*VLOOKUP($H129&amp;$F129,$C$3:$P$28,K$1,FALSE)</f>
        <v>88.541666666666657</v>
      </c>
      <c r="N129" s="28">
        <f>VLOOKUP($G129,装备属性计算表!$D$14:$O$19,装备属性计算表!K$2,FALSE)/装备属性计算表!K$20*VLOOKUP($H129&amp;$F129,$C$3:$P$28,L$1,FALSE)</f>
        <v>62.962962962962969</v>
      </c>
      <c r="O129" s="28">
        <f>VLOOKUP($G129,装备属性计算表!$D$14:$O$19,装备属性计算表!L$2,FALSE)/装备属性计算表!L$20*VLOOKUP($H129&amp;$F129,$C$3:$P$28,M$1,FALSE)</f>
        <v>0</v>
      </c>
      <c r="P129" s="28">
        <f>VLOOKUP($G129,装备属性计算表!$D$14:$O$19,装备属性计算表!M$2,FALSE)/装备属性计算表!M$20*VLOOKUP($H129&amp;$F129,$C$3:$P$28,N$1,FALSE)</f>
        <v>0</v>
      </c>
      <c r="Q129" s="28">
        <f>VLOOKUP($G129,装备属性计算表!$D$14:$O$19,装备属性计算表!N$2,FALSE)/装备属性计算表!N$20*VLOOKUP($H129&amp;$F129,$C$3:$P$28,O$1,FALSE)</f>
        <v>0</v>
      </c>
      <c r="R129" s="28">
        <f>VLOOKUP($G129,装备属性计算表!$D$14:$O$19,装备属性计算表!O$2,FALSE)/装备属性计算表!O$20*VLOOKUP($H129&amp;$F129,$C$3:$P$28,P$1,FALSE)</f>
        <v>0</v>
      </c>
      <c r="X129" s="28"/>
      <c r="Y129" s="28">
        <f t="shared" si="56"/>
        <v>0</v>
      </c>
      <c r="Z129" s="28">
        <f t="shared" si="57"/>
        <v>0</v>
      </c>
      <c r="AA129" s="28">
        <f t="shared" si="63"/>
        <v>10</v>
      </c>
      <c r="AB129" s="28">
        <f t="shared" si="58"/>
        <v>0</v>
      </c>
      <c r="AC129" s="28">
        <f t="shared" si="59"/>
        <v>0</v>
      </c>
      <c r="AD129" s="28">
        <f t="shared" si="60"/>
        <v>142</v>
      </c>
      <c r="AE129" s="28">
        <f t="shared" si="64"/>
        <v>710000</v>
      </c>
      <c r="AF129" s="28">
        <f t="shared" si="61"/>
        <v>2535</v>
      </c>
      <c r="AG129" s="28">
        <f t="shared" si="62"/>
        <v>43</v>
      </c>
      <c r="AH129" s="28">
        <f>IF(AG129&gt;0,VLOOKUP(G129,'价值&amp;消耗'!$U$173:$V$178,2,FALSE),0)</f>
        <v>70010</v>
      </c>
      <c r="AI129" s="28">
        <f t="shared" si="65"/>
        <v>2365</v>
      </c>
      <c r="AJ129" s="28">
        <f t="shared" si="54"/>
        <v>3</v>
      </c>
      <c r="AK129" s="28">
        <f>ROUND(IF(COUNTIF($I129:I129,"&gt;0")&gt;$AJ129,0,I129),0)</f>
        <v>0</v>
      </c>
      <c r="AL129" s="28">
        <f>ROUND(IF(COUNTIF($I129:J129,"&gt;0")&gt;$AJ129,0,J129),0)</f>
        <v>203</v>
      </c>
      <c r="AM129" s="28">
        <f>ROUND(IF(COUNTIF($I129:K129,"&gt;0")&gt;$AJ129,0,K129),0)</f>
        <v>24</v>
      </c>
      <c r="AN129" s="28">
        <f>ROUND(IF(COUNTIF($I129:L129,"&gt;0")&gt;$AJ129,0,L129),0)</f>
        <v>0</v>
      </c>
      <c r="AO129" s="28">
        <f>ROUND(IF(COUNTIF($I129:M129,"&gt;0")&gt;$AJ129,0,M129),0)</f>
        <v>89</v>
      </c>
      <c r="AP129" s="28">
        <f>ROUND(IF(COUNTIF($I129:N129,"&gt;0")&gt;$AJ129,0,N129),0)</f>
        <v>0</v>
      </c>
      <c r="AQ129" s="28">
        <f>ROUND(IF(COUNTIF($I129:O129,"&gt;0")&gt;$AJ129,0,O129),0)</f>
        <v>0</v>
      </c>
      <c r="AR129" s="28">
        <f>ROUND(IF(COUNTIF($I129:P129,"&gt;0")&gt;$AJ129,0,P129),0)</f>
        <v>0</v>
      </c>
      <c r="AS129" s="28">
        <f>IF(COUNTIF($I129:Q129,"&gt;0")&gt;$AJ129,0,Q129)</f>
        <v>0</v>
      </c>
      <c r="AT129" s="28">
        <f>IF(COUNTIF($I129:R129,"&gt;0")&gt;$AJ129,0,R129)</f>
        <v>0</v>
      </c>
      <c r="AU129" s="28">
        <f>SUMPRODUCT(AK129:AT129,定义数据!$G$14:$P$14)</f>
        <v>257.26</v>
      </c>
      <c r="AV129" s="28">
        <f t="shared" si="55"/>
        <v>12863</v>
      </c>
      <c r="AW129" s="28">
        <f t="shared" si="66"/>
        <v>12863</v>
      </c>
      <c r="AX129" s="28">
        <f t="shared" si="67"/>
        <v>707465</v>
      </c>
      <c r="AY129" s="28">
        <f t="shared" si="68"/>
        <v>707465</v>
      </c>
    </row>
    <row r="130" spans="3:51" x14ac:dyDescent="0.15">
      <c r="C130" s="28" t="str">
        <f>H130&amp;F130&amp;VLOOKUP(G130,定义数据!$E$1:$F$7,2,FALSE)</f>
        <v>6031</v>
      </c>
      <c r="D130" s="28"/>
      <c r="E130" s="28">
        <f>装备属性计算表!AK129</f>
        <v>18</v>
      </c>
      <c r="F130" s="28">
        <f>装备属性计算表!B129</f>
        <v>3</v>
      </c>
      <c r="G130" s="28" t="str">
        <f>装备属性计算表!C129</f>
        <v>衣服</v>
      </c>
      <c r="H130" s="28">
        <f>装备属性计算表!D129</f>
        <v>60</v>
      </c>
      <c r="I130" s="28">
        <f>VLOOKUP($G130,装备属性计算表!$D$14:$O$19,装备属性计算表!F$2,FALSE)/装备属性计算表!F$20*VLOOKUP($H130&amp;$F130,$C$3:$P$28,G$1,FALSE)</f>
        <v>2221.2290564576315</v>
      </c>
      <c r="J130" s="28">
        <f>VLOOKUP($G130,装备属性计算表!$D$14:$O$19,装备属性计算表!G$2,FALSE)/装备属性计算表!G$20*VLOOKUP($H130&amp;$F130,$C$3:$P$28,H$1,FALSE)</f>
        <v>0</v>
      </c>
      <c r="K130" s="28">
        <f>VLOOKUP($G130,装备属性计算表!$D$14:$O$19,装备属性计算表!H$2,FALSE)/装备属性计算表!H$20*VLOOKUP($H130&amp;$F130,$C$3:$P$28,I$1,FALSE)</f>
        <v>73.12943916811092</v>
      </c>
      <c r="L130" s="28">
        <f>VLOOKUP($G130,装备属性计算表!$D$14:$O$19,装备属性计算表!I$2,FALSE)/装备属性计算表!I$20*VLOOKUP($H130&amp;$F130,$C$3:$P$28,J$1,FALSE)</f>
        <v>53.125</v>
      </c>
      <c r="M130" s="28">
        <f>VLOOKUP($G130,装备属性计算表!$D$14:$O$19,装备属性计算表!J$2,FALSE)/装备属性计算表!J$20*VLOOKUP($H130&amp;$F130,$C$3:$P$28,K$1,FALSE)</f>
        <v>0</v>
      </c>
      <c r="N130" s="28">
        <f>VLOOKUP($G130,装备属性计算表!$D$14:$O$19,装备属性计算表!K$2,FALSE)/装备属性计算表!K$20*VLOOKUP($H130&amp;$F130,$C$3:$P$28,L$1,FALSE)</f>
        <v>0</v>
      </c>
      <c r="O130" s="28">
        <f>VLOOKUP($G130,装备属性计算表!$D$14:$O$19,装备属性计算表!L$2,FALSE)/装备属性计算表!L$20*VLOOKUP($H130&amp;$F130,$C$3:$P$28,M$1,FALSE)</f>
        <v>0</v>
      </c>
      <c r="P130" s="28">
        <f>VLOOKUP($G130,装备属性计算表!$D$14:$O$19,装备属性计算表!M$2,FALSE)/装备属性计算表!M$20*VLOOKUP($H130&amp;$F130,$C$3:$P$28,N$1,FALSE)</f>
        <v>52.46913580246914</v>
      </c>
      <c r="Q130" s="28">
        <f>VLOOKUP($G130,装备属性计算表!$D$14:$O$19,装备属性计算表!N$2,FALSE)/装备属性计算表!N$20*VLOOKUP($H130&amp;$F130,$C$3:$P$28,O$1,FALSE)</f>
        <v>0</v>
      </c>
      <c r="R130" s="28">
        <f>VLOOKUP($G130,装备属性计算表!$D$14:$O$19,装备属性计算表!O$2,FALSE)/装备属性计算表!O$20*VLOOKUP($H130&amp;$F130,$C$3:$P$28,P$1,FALSE)</f>
        <v>0</v>
      </c>
      <c r="X130" s="28"/>
      <c r="Y130" s="28">
        <f t="shared" si="56"/>
        <v>0</v>
      </c>
      <c r="Z130" s="28">
        <f t="shared" si="57"/>
        <v>0</v>
      </c>
      <c r="AA130" s="28">
        <f t="shared" si="63"/>
        <v>10</v>
      </c>
      <c r="AB130" s="28">
        <f t="shared" si="58"/>
        <v>0</v>
      </c>
      <c r="AC130" s="28">
        <f t="shared" si="59"/>
        <v>0</v>
      </c>
      <c r="AD130" s="28">
        <f t="shared" si="60"/>
        <v>99</v>
      </c>
      <c r="AE130" s="28">
        <f t="shared" si="64"/>
        <v>495000</v>
      </c>
      <c r="AF130" s="28">
        <f t="shared" si="61"/>
        <v>385</v>
      </c>
      <c r="AG130" s="28">
        <f t="shared" si="62"/>
        <v>30</v>
      </c>
      <c r="AH130" s="28">
        <f>IF(AG130&gt;0,VLOOKUP(G130,'价值&amp;消耗'!$U$173:$V$178,2,FALSE),0)</f>
        <v>71010</v>
      </c>
      <c r="AI130" s="28">
        <f t="shared" si="65"/>
        <v>1650</v>
      </c>
      <c r="AJ130" s="28">
        <f t="shared" si="54"/>
        <v>3</v>
      </c>
      <c r="AK130" s="28">
        <f>ROUND(IF(COUNTIF($I130:I130,"&gt;0")&gt;$AJ130,0,I130),0)</f>
        <v>2221</v>
      </c>
      <c r="AL130" s="28">
        <f>ROUND(IF(COUNTIF($I130:J130,"&gt;0")&gt;$AJ130,0,J130),0)</f>
        <v>0</v>
      </c>
      <c r="AM130" s="28">
        <f>ROUND(IF(COUNTIF($I130:K130,"&gt;0")&gt;$AJ130,0,K130),0)</f>
        <v>73</v>
      </c>
      <c r="AN130" s="28">
        <f>ROUND(IF(COUNTIF($I130:L130,"&gt;0")&gt;$AJ130,0,L130),0)</f>
        <v>53</v>
      </c>
      <c r="AO130" s="28">
        <f>ROUND(IF(COUNTIF($I130:M130,"&gt;0")&gt;$AJ130,0,M130),0)</f>
        <v>0</v>
      </c>
      <c r="AP130" s="28">
        <f>ROUND(IF(COUNTIF($I130:N130,"&gt;0")&gt;$AJ130,0,N130),0)</f>
        <v>0</v>
      </c>
      <c r="AQ130" s="28">
        <f>ROUND(IF(COUNTIF($I130:O130,"&gt;0")&gt;$AJ130,0,O130),0)</f>
        <v>0</v>
      </c>
      <c r="AR130" s="28">
        <f>ROUND(IF(COUNTIF($I130:P130,"&gt;0")&gt;$AJ130,0,P130),0)</f>
        <v>0</v>
      </c>
      <c r="AS130" s="28">
        <f>IF(COUNTIF($I130:Q130,"&gt;0")&gt;$AJ130,0,Q130)</f>
        <v>0</v>
      </c>
      <c r="AT130" s="28">
        <f>IF(COUNTIF($I130:R130,"&gt;0")&gt;$AJ130,0,R130)</f>
        <v>0</v>
      </c>
      <c r="AU130" s="28">
        <f>SUMPRODUCT(AK130:AT130,定义数据!$G$14:$P$14)</f>
        <v>179.86</v>
      </c>
      <c r="AV130" s="28">
        <f t="shared" si="55"/>
        <v>8993</v>
      </c>
      <c r="AW130" s="28">
        <f t="shared" si="66"/>
        <v>8993</v>
      </c>
      <c r="AX130" s="28">
        <f t="shared" si="67"/>
        <v>494615</v>
      </c>
      <c r="AY130" s="28">
        <f t="shared" si="68"/>
        <v>494615</v>
      </c>
    </row>
    <row r="131" spans="3:51" x14ac:dyDescent="0.15">
      <c r="C131" s="28" t="str">
        <f>H131&amp;F131&amp;VLOOKUP(G131,定义数据!$E$1:$F$7,2,FALSE)</f>
        <v>6032</v>
      </c>
      <c r="D131" s="28"/>
      <c r="E131" s="28">
        <f>装备属性计算表!AK130</f>
        <v>18</v>
      </c>
      <c r="F131" s="28">
        <f>装备属性计算表!B130</f>
        <v>3</v>
      </c>
      <c r="G131" s="28" t="str">
        <f>装备属性计算表!C130</f>
        <v>裤子</v>
      </c>
      <c r="H131" s="28">
        <f>装备属性计算表!D130</f>
        <v>60</v>
      </c>
      <c r="I131" s="28">
        <f>VLOOKUP($G131,装备属性计算表!$D$14:$O$19,装备属性计算表!F$2,FALSE)/装备属性计算表!F$20*VLOOKUP($H131&amp;$F131,$C$3:$P$28,G$1,FALSE)</f>
        <v>1110.6145282288157</v>
      </c>
      <c r="J131" s="28">
        <f>VLOOKUP($G131,装备属性计算表!$D$14:$O$19,装备属性计算表!G$2,FALSE)/装备属性计算表!G$20*VLOOKUP($H131&amp;$F131,$C$3:$P$28,H$1,FALSE)</f>
        <v>0</v>
      </c>
      <c r="K131" s="28">
        <f>VLOOKUP($G131,装备属性计算表!$D$14:$O$19,装备属性计算表!H$2,FALSE)/装备属性计算表!H$20*VLOOKUP($H131&amp;$F131,$C$3:$P$28,I$1,FALSE)</f>
        <v>24.376479722703639</v>
      </c>
      <c r="L131" s="28">
        <f>VLOOKUP($G131,装备属性计算表!$D$14:$O$19,装备属性计算表!I$2,FALSE)/装备属性计算表!I$20*VLOOKUP($H131&amp;$F131,$C$3:$P$28,J$1,FALSE)</f>
        <v>53.125</v>
      </c>
      <c r="M131" s="28">
        <f>VLOOKUP($G131,装备属性计算表!$D$14:$O$19,装备属性计算表!J$2,FALSE)/装备属性计算表!J$20*VLOOKUP($H131&amp;$F131,$C$3:$P$28,K$1,FALSE)</f>
        <v>0</v>
      </c>
      <c r="N131" s="28">
        <f>VLOOKUP($G131,装备属性计算表!$D$14:$O$19,装备属性计算表!K$2,FALSE)/装备属性计算表!K$20*VLOOKUP($H131&amp;$F131,$C$3:$P$28,L$1,FALSE)</f>
        <v>0</v>
      </c>
      <c r="O131" s="28">
        <f>VLOOKUP($G131,装备属性计算表!$D$14:$O$19,装备属性计算表!L$2,FALSE)/装备属性计算表!L$20*VLOOKUP($H131&amp;$F131,$C$3:$P$28,M$1,FALSE)</f>
        <v>0</v>
      </c>
      <c r="P131" s="28">
        <f>VLOOKUP($G131,装备属性计算表!$D$14:$O$19,装备属性计算表!M$2,FALSE)/装备属性计算表!M$20*VLOOKUP($H131&amp;$F131,$C$3:$P$28,N$1,FALSE)</f>
        <v>52.46913580246914</v>
      </c>
      <c r="Q131" s="28">
        <f>VLOOKUP($G131,装备属性计算表!$D$14:$O$19,装备属性计算表!N$2,FALSE)/装备属性计算表!N$20*VLOOKUP($H131&amp;$F131,$C$3:$P$28,O$1,FALSE)</f>
        <v>0</v>
      </c>
      <c r="R131" s="28">
        <f>VLOOKUP($G131,装备属性计算表!$D$14:$O$19,装备属性计算表!O$2,FALSE)/装备属性计算表!O$20*VLOOKUP($H131&amp;$F131,$C$3:$P$28,P$1,FALSE)</f>
        <v>0</v>
      </c>
      <c r="X131" s="28"/>
      <c r="Y131" s="28">
        <f t="shared" si="56"/>
        <v>0</v>
      </c>
      <c r="Z131" s="28">
        <f t="shared" si="57"/>
        <v>1</v>
      </c>
      <c r="AA131" s="28">
        <f t="shared" si="63"/>
        <v>10</v>
      </c>
      <c r="AB131" s="28">
        <f t="shared" si="58"/>
        <v>0</v>
      </c>
      <c r="AC131" s="28">
        <f t="shared" si="59"/>
        <v>5</v>
      </c>
      <c r="AD131" s="28">
        <f t="shared" si="60"/>
        <v>47</v>
      </c>
      <c r="AE131" s="28">
        <f t="shared" si="64"/>
        <v>240000</v>
      </c>
      <c r="AF131" s="28">
        <f t="shared" si="61"/>
        <v>2235</v>
      </c>
      <c r="AG131" s="28">
        <f t="shared" si="62"/>
        <v>15</v>
      </c>
      <c r="AH131" s="28">
        <f>IF(AG131&gt;0,VLOOKUP(G131,'价值&amp;消耗'!$U$173:$V$178,2,FALSE),0)</f>
        <v>72010</v>
      </c>
      <c r="AI131" s="28">
        <f t="shared" si="65"/>
        <v>825</v>
      </c>
      <c r="AJ131" s="28">
        <f t="shared" si="54"/>
        <v>3</v>
      </c>
      <c r="AK131" s="28">
        <f>ROUND(IF(COUNTIF($I131:I131,"&gt;0")&gt;$AJ131,0,I131),0)</f>
        <v>1111</v>
      </c>
      <c r="AL131" s="28">
        <f>ROUND(IF(COUNTIF($I131:J131,"&gt;0")&gt;$AJ131,0,J131),0)</f>
        <v>0</v>
      </c>
      <c r="AM131" s="28">
        <f>ROUND(IF(COUNTIF($I131:K131,"&gt;0")&gt;$AJ131,0,K131),0)</f>
        <v>24</v>
      </c>
      <c r="AN131" s="28">
        <f>ROUND(IF(COUNTIF($I131:L131,"&gt;0")&gt;$AJ131,0,L131),0)</f>
        <v>53</v>
      </c>
      <c r="AO131" s="28">
        <f>ROUND(IF(COUNTIF($I131:M131,"&gt;0")&gt;$AJ131,0,M131),0)</f>
        <v>0</v>
      </c>
      <c r="AP131" s="28">
        <f>ROUND(IF(COUNTIF($I131:N131,"&gt;0")&gt;$AJ131,0,N131),0)</f>
        <v>0</v>
      </c>
      <c r="AQ131" s="28">
        <f>ROUND(IF(COUNTIF($I131:O131,"&gt;0")&gt;$AJ131,0,O131),0)</f>
        <v>0</v>
      </c>
      <c r="AR131" s="28">
        <f>ROUND(IF(COUNTIF($I131:P131,"&gt;0")&gt;$AJ131,0,P131),0)</f>
        <v>0</v>
      </c>
      <c r="AS131" s="28">
        <f>IF(COUNTIF($I131:Q131,"&gt;0")&gt;$AJ131,0,Q131)</f>
        <v>0</v>
      </c>
      <c r="AT131" s="28">
        <f>IF(COUNTIF($I131:R131,"&gt;0")&gt;$AJ131,0,R131)</f>
        <v>0</v>
      </c>
      <c r="AU131" s="28">
        <f>SUMPRODUCT(AK131:AT131,定义数据!$G$14:$P$14)</f>
        <v>86.46</v>
      </c>
      <c r="AV131" s="28">
        <f t="shared" si="55"/>
        <v>4323</v>
      </c>
      <c r="AW131" s="28">
        <f t="shared" si="66"/>
        <v>4323</v>
      </c>
      <c r="AX131" s="28">
        <f t="shared" si="67"/>
        <v>237765</v>
      </c>
      <c r="AY131" s="28">
        <f t="shared" si="68"/>
        <v>237765</v>
      </c>
    </row>
    <row r="132" spans="3:51" x14ac:dyDescent="0.15">
      <c r="C132" s="28" t="str">
        <f>H132&amp;F132&amp;VLOOKUP(G132,定义数据!$E$1:$F$7,2,FALSE)</f>
        <v>6035</v>
      </c>
      <c r="D132" s="28"/>
      <c r="E132" s="28">
        <f>装备属性计算表!AK131</f>
        <v>18</v>
      </c>
      <c r="F132" s="28">
        <f>装备属性计算表!B131</f>
        <v>3</v>
      </c>
      <c r="G132" s="28" t="str">
        <f>装备属性计算表!C131</f>
        <v>鞋子</v>
      </c>
      <c r="H132" s="28">
        <f>装备属性计算表!D131</f>
        <v>60</v>
      </c>
      <c r="I132" s="28">
        <f>VLOOKUP($G132,装备属性计算表!$D$14:$O$19,装备属性计算表!F$2,FALSE)/装备属性计算表!F$20*VLOOKUP($H132&amp;$F132,$C$3:$P$28,G$1,FALSE)</f>
        <v>1110.6145282288157</v>
      </c>
      <c r="J132" s="28">
        <f>VLOOKUP($G132,装备属性计算表!$D$14:$O$19,装备属性计算表!G$2,FALSE)/装备属性计算表!G$20*VLOOKUP($H132&amp;$F132,$C$3:$P$28,H$1,FALSE)</f>
        <v>0</v>
      </c>
      <c r="K132" s="28">
        <f>VLOOKUP($G132,装备属性计算表!$D$14:$O$19,装备属性计算表!H$2,FALSE)/装备属性计算表!H$20*VLOOKUP($H132&amp;$F132,$C$3:$P$28,I$1,FALSE)</f>
        <v>0</v>
      </c>
      <c r="L132" s="28">
        <f>VLOOKUP($G132,装备属性计算表!$D$14:$O$19,装备属性计算表!I$2,FALSE)/装备属性计算表!I$20*VLOOKUP($H132&amp;$F132,$C$3:$P$28,J$1,FALSE)</f>
        <v>106.25</v>
      </c>
      <c r="M132" s="28">
        <f>VLOOKUP($G132,装备属性计算表!$D$14:$O$19,装备属性计算表!J$2,FALSE)/装备属性计算表!J$20*VLOOKUP($H132&amp;$F132,$C$3:$P$28,K$1,FALSE)</f>
        <v>88.541666666666657</v>
      </c>
      <c r="N132" s="28">
        <f>VLOOKUP($G132,装备属性计算表!$D$14:$O$19,装备属性计算表!K$2,FALSE)/装备属性计算表!K$20*VLOOKUP($H132&amp;$F132,$C$3:$P$28,L$1,FALSE)</f>
        <v>31.481481481481485</v>
      </c>
      <c r="O132" s="28">
        <f>VLOOKUP($G132,装备属性计算表!$D$14:$O$19,装备属性计算表!L$2,FALSE)/装备属性计算表!L$20*VLOOKUP($H132&amp;$F132,$C$3:$P$28,M$1,FALSE)</f>
        <v>0</v>
      </c>
      <c r="P132" s="28">
        <f>VLOOKUP($G132,装备属性计算表!$D$14:$O$19,装备属性计算表!M$2,FALSE)/装备属性计算表!M$20*VLOOKUP($H132&amp;$F132,$C$3:$P$28,N$1,FALSE)</f>
        <v>0</v>
      </c>
      <c r="Q132" s="28">
        <f>VLOOKUP($G132,装备属性计算表!$D$14:$O$19,装备属性计算表!N$2,FALSE)/装备属性计算表!N$20*VLOOKUP($H132&amp;$F132,$C$3:$P$28,O$1,FALSE)</f>
        <v>0</v>
      </c>
      <c r="R132" s="28">
        <f>VLOOKUP($G132,装备属性计算表!$D$14:$O$19,装备属性计算表!O$2,FALSE)/装备属性计算表!O$20*VLOOKUP($H132&amp;$F132,$C$3:$P$28,P$1,FALSE)</f>
        <v>0</v>
      </c>
      <c r="X132" s="28"/>
      <c r="Y132" s="28">
        <f t="shared" si="56"/>
        <v>0</v>
      </c>
      <c r="Z132" s="28">
        <f t="shared" si="57"/>
        <v>0</v>
      </c>
      <c r="AA132" s="28">
        <f t="shared" si="63"/>
        <v>10</v>
      </c>
      <c r="AB132" s="28">
        <f t="shared" si="58"/>
        <v>0</v>
      </c>
      <c r="AC132" s="28">
        <f t="shared" si="59"/>
        <v>0</v>
      </c>
      <c r="AD132" s="28">
        <f t="shared" si="60"/>
        <v>61</v>
      </c>
      <c r="AE132" s="28">
        <f t="shared" si="64"/>
        <v>305000</v>
      </c>
      <c r="AF132" s="28">
        <f t="shared" si="61"/>
        <v>465</v>
      </c>
      <c r="AG132" s="28">
        <f t="shared" si="62"/>
        <v>19</v>
      </c>
      <c r="AH132" s="28">
        <f>IF(AG132&gt;0,VLOOKUP(G132,'价值&amp;消耗'!$U$173:$V$178,2,FALSE),0)</f>
        <v>75010</v>
      </c>
      <c r="AI132" s="28">
        <f t="shared" si="65"/>
        <v>1045</v>
      </c>
      <c r="AJ132" s="28">
        <f t="shared" si="54"/>
        <v>3</v>
      </c>
      <c r="AK132" s="28">
        <f>ROUND(IF(COUNTIF($I132:I132,"&gt;0")&gt;$AJ132,0,I132),0)</f>
        <v>1111</v>
      </c>
      <c r="AL132" s="28">
        <f>ROUND(IF(COUNTIF($I132:J132,"&gt;0")&gt;$AJ132,0,J132),0)</f>
        <v>0</v>
      </c>
      <c r="AM132" s="28">
        <f>ROUND(IF(COUNTIF($I132:K132,"&gt;0")&gt;$AJ132,0,K132),0)</f>
        <v>0</v>
      </c>
      <c r="AN132" s="28">
        <f>ROUND(IF(COUNTIF($I132:L132,"&gt;0")&gt;$AJ132,0,L132),0)</f>
        <v>106</v>
      </c>
      <c r="AO132" s="28">
        <f>ROUND(IF(COUNTIF($I132:M132,"&gt;0")&gt;$AJ132,0,M132),0)</f>
        <v>89</v>
      </c>
      <c r="AP132" s="28">
        <f>ROUND(IF(COUNTIF($I132:N132,"&gt;0")&gt;$AJ132,0,N132),0)</f>
        <v>0</v>
      </c>
      <c r="AQ132" s="28">
        <f>ROUND(IF(COUNTIF($I132:O132,"&gt;0")&gt;$AJ132,0,O132),0)</f>
        <v>0</v>
      </c>
      <c r="AR132" s="28">
        <f>ROUND(IF(COUNTIF($I132:P132,"&gt;0")&gt;$AJ132,0,P132),0)</f>
        <v>0</v>
      </c>
      <c r="AS132" s="28">
        <f>IF(COUNTIF($I132:Q132,"&gt;0")&gt;$AJ132,0,Q132)</f>
        <v>0</v>
      </c>
      <c r="AT132" s="28">
        <f>IF(COUNTIF($I132:R132,"&gt;0")&gt;$AJ132,0,R132)</f>
        <v>0</v>
      </c>
      <c r="AU132" s="28">
        <f>SUMPRODUCT(AK132:AT132,定义数据!$G$14:$P$14)</f>
        <v>110.74</v>
      </c>
      <c r="AV132" s="28">
        <f t="shared" si="55"/>
        <v>5537</v>
      </c>
      <c r="AW132" s="28">
        <f t="shared" si="66"/>
        <v>5537</v>
      </c>
      <c r="AX132" s="28">
        <f t="shared" si="67"/>
        <v>304535</v>
      </c>
      <c r="AY132" s="28">
        <f t="shared" si="68"/>
        <v>304535</v>
      </c>
    </row>
    <row r="133" spans="3:51" x14ac:dyDescent="0.15">
      <c r="C133" s="28" t="str">
        <f>H133&amp;F133&amp;VLOOKUP(G133,定义数据!$E$1:$F$7,2,FALSE)</f>
        <v>6034</v>
      </c>
      <c r="D133" s="28"/>
      <c r="E133" s="28">
        <f>装备属性计算表!AK132</f>
        <v>18</v>
      </c>
      <c r="F133" s="28">
        <f>装备属性计算表!B132</f>
        <v>3</v>
      </c>
      <c r="G133" s="28" t="str">
        <f>装备属性计算表!C132</f>
        <v>腰带</v>
      </c>
      <c r="H133" s="28">
        <f>装备属性计算表!D132</f>
        <v>60</v>
      </c>
      <c r="I133" s="28">
        <f>VLOOKUP($G133,装备属性计算表!$D$14:$O$19,装备属性计算表!F$2,FALSE)/装备属性计算表!F$20*VLOOKUP($H133&amp;$F133,$C$3:$P$28,G$1,FALSE)</f>
        <v>2221.2290564576315</v>
      </c>
      <c r="J133" s="28">
        <f>VLOOKUP($G133,装备属性计算表!$D$14:$O$19,装备属性计算表!G$2,FALSE)/装备属性计算表!G$20*VLOOKUP($H133&amp;$F133,$C$3:$P$28,H$1,FALSE)</f>
        <v>67.693614545454565</v>
      </c>
      <c r="K133" s="28">
        <f>VLOOKUP($G133,装备属性计算表!$D$14:$O$19,装备属性计算表!H$2,FALSE)/装备属性计算表!H$20*VLOOKUP($H133&amp;$F133,$C$3:$P$28,I$1,FALSE)</f>
        <v>24.376479722703639</v>
      </c>
      <c r="L133" s="28">
        <f>VLOOKUP($G133,装备属性计算表!$D$14:$O$19,装备属性计算表!I$2,FALSE)/装备属性计算表!I$20*VLOOKUP($H133&amp;$F133,$C$3:$P$28,J$1,FALSE)</f>
        <v>0</v>
      </c>
      <c r="M133" s="28">
        <f>VLOOKUP($G133,装备属性计算表!$D$14:$O$19,装备属性计算表!J$2,FALSE)/装备属性计算表!J$20*VLOOKUP($H133&amp;$F133,$C$3:$P$28,K$1,FALSE)</f>
        <v>0</v>
      </c>
      <c r="N133" s="28">
        <f>VLOOKUP($G133,装备属性计算表!$D$14:$O$19,装备属性计算表!K$2,FALSE)/装备属性计算表!K$20*VLOOKUP($H133&amp;$F133,$C$3:$P$28,L$1,FALSE)</f>
        <v>0</v>
      </c>
      <c r="O133" s="28">
        <f>VLOOKUP($G133,装备属性计算表!$D$14:$O$19,装备属性计算表!L$2,FALSE)/装备属性计算表!L$20*VLOOKUP($H133&amp;$F133,$C$3:$P$28,M$1,FALSE)</f>
        <v>0</v>
      </c>
      <c r="P133" s="28">
        <f>VLOOKUP($G133,装备属性计算表!$D$14:$O$19,装备属性计算表!M$2,FALSE)/装备属性计算表!M$20*VLOOKUP($H133&amp;$F133,$C$3:$P$28,N$1,FALSE)</f>
        <v>52.46913580246914</v>
      </c>
      <c r="Q133" s="28">
        <f>VLOOKUP($G133,装备属性计算表!$D$14:$O$19,装备属性计算表!N$2,FALSE)/装备属性计算表!N$20*VLOOKUP($H133&amp;$F133,$C$3:$P$28,O$1,FALSE)</f>
        <v>0</v>
      </c>
      <c r="R133" s="28">
        <f>VLOOKUP($G133,装备属性计算表!$D$14:$O$19,装备属性计算表!O$2,FALSE)/装备属性计算表!O$20*VLOOKUP($H133&amp;$F133,$C$3:$P$28,P$1,FALSE)</f>
        <v>0</v>
      </c>
      <c r="X133" s="28"/>
      <c r="Y133" s="28">
        <f t="shared" si="56"/>
        <v>0</v>
      </c>
      <c r="Z133" s="28">
        <f t="shared" si="57"/>
        <v>0</v>
      </c>
      <c r="AA133" s="28">
        <f t="shared" si="63"/>
        <v>10</v>
      </c>
      <c r="AB133" s="28">
        <f t="shared" si="58"/>
        <v>0</v>
      </c>
      <c r="AC133" s="28">
        <f t="shared" si="59"/>
        <v>0</v>
      </c>
      <c r="AD133" s="28">
        <f t="shared" si="60"/>
        <v>100</v>
      </c>
      <c r="AE133" s="28">
        <f t="shared" si="64"/>
        <v>500000</v>
      </c>
      <c r="AF133" s="28">
        <f t="shared" si="61"/>
        <v>2690</v>
      </c>
      <c r="AG133" s="28">
        <f t="shared" si="62"/>
        <v>31</v>
      </c>
      <c r="AH133" s="28">
        <f>IF(AG133&gt;0,VLOOKUP(G133,'价值&amp;消耗'!$U$173:$V$178,2,FALSE),0)</f>
        <v>74010</v>
      </c>
      <c r="AI133" s="28">
        <f t="shared" si="65"/>
        <v>1705</v>
      </c>
      <c r="AJ133" s="28">
        <f t="shared" si="54"/>
        <v>3</v>
      </c>
      <c r="AK133" s="28">
        <f>ROUND(IF(COUNTIF($I133:I133,"&gt;0")&gt;$AJ133,0,I133),0)</f>
        <v>2221</v>
      </c>
      <c r="AL133" s="28">
        <f>ROUND(IF(COUNTIF($I133:J133,"&gt;0")&gt;$AJ133,0,J133),0)</f>
        <v>68</v>
      </c>
      <c r="AM133" s="28">
        <f>ROUND(IF(COUNTIF($I133:K133,"&gt;0")&gt;$AJ133,0,K133),0)</f>
        <v>24</v>
      </c>
      <c r="AN133" s="28">
        <f>ROUND(IF(COUNTIF($I133:L133,"&gt;0")&gt;$AJ133,0,L133),0)</f>
        <v>0</v>
      </c>
      <c r="AO133" s="28">
        <f>ROUND(IF(COUNTIF($I133:M133,"&gt;0")&gt;$AJ133,0,M133),0)</f>
        <v>0</v>
      </c>
      <c r="AP133" s="28">
        <f>ROUND(IF(COUNTIF($I133:N133,"&gt;0")&gt;$AJ133,0,N133),0)</f>
        <v>0</v>
      </c>
      <c r="AQ133" s="28">
        <f>ROUND(IF(COUNTIF($I133:O133,"&gt;0")&gt;$AJ133,0,O133),0)</f>
        <v>0</v>
      </c>
      <c r="AR133" s="28">
        <f>ROUND(IF(COUNTIF($I133:P133,"&gt;0")&gt;$AJ133,0,P133),0)</f>
        <v>0</v>
      </c>
      <c r="AS133" s="28">
        <f>IF(COUNTIF($I133:Q133,"&gt;0")&gt;$AJ133,0,Q133)</f>
        <v>0</v>
      </c>
      <c r="AT133" s="28">
        <f>IF(COUNTIF($I133:R133,"&gt;0")&gt;$AJ133,0,R133)</f>
        <v>0</v>
      </c>
      <c r="AU133" s="28">
        <f>SUMPRODUCT(AK133:AT133,定义数据!$G$14:$P$14)</f>
        <v>180.84</v>
      </c>
      <c r="AV133" s="28">
        <f t="shared" si="55"/>
        <v>9042</v>
      </c>
      <c r="AW133" s="28">
        <f t="shared" si="66"/>
        <v>9042</v>
      </c>
      <c r="AX133" s="28">
        <f t="shared" si="67"/>
        <v>497310</v>
      </c>
      <c r="AY133" s="28">
        <f t="shared" si="68"/>
        <v>497310</v>
      </c>
    </row>
    <row r="134" spans="3:51" x14ac:dyDescent="0.15">
      <c r="C134" s="28" t="str">
        <f>H134&amp;F134&amp;VLOOKUP(G134,定义数据!$E$1:$F$7,2,FALSE)</f>
        <v>6033</v>
      </c>
      <c r="D134" s="28"/>
      <c r="E134" s="28">
        <f>装备属性计算表!AK133</f>
        <v>18</v>
      </c>
      <c r="F134" s="28">
        <f>装备属性计算表!B133</f>
        <v>3</v>
      </c>
      <c r="G134" s="28" t="str">
        <f>装备属性计算表!C133</f>
        <v>项链</v>
      </c>
      <c r="H134" s="28">
        <f>装备属性计算表!D133</f>
        <v>60</v>
      </c>
      <c r="I134" s="28">
        <f>VLOOKUP($G134,装备属性计算表!$D$14:$O$19,装备属性计算表!F$2,FALSE)/装备属性计算表!F$20*VLOOKUP($H134&amp;$F134,$C$3:$P$28,G$1,FALSE)</f>
        <v>0</v>
      </c>
      <c r="J134" s="28">
        <f>VLOOKUP($G134,装备属性计算表!$D$14:$O$19,装备属性计算表!G$2,FALSE)/装备属性计算表!G$20*VLOOKUP($H134&amp;$F134,$C$3:$P$28,H$1,FALSE)</f>
        <v>67.693614545454565</v>
      </c>
      <c r="K134" s="28">
        <f>VLOOKUP($G134,装备属性计算表!$D$14:$O$19,装备属性计算表!H$2,FALSE)/装备属性计算表!H$20*VLOOKUP($H134&amp;$F134,$C$3:$P$28,I$1,FALSE)</f>
        <v>0</v>
      </c>
      <c r="L134" s="28">
        <f>VLOOKUP($G134,装备属性计算表!$D$14:$O$19,装备属性计算表!I$2,FALSE)/装备属性计算表!I$20*VLOOKUP($H134&amp;$F134,$C$3:$P$28,J$1,FALSE)</f>
        <v>53.125</v>
      </c>
      <c r="M134" s="28">
        <f>VLOOKUP($G134,装备属性计算表!$D$14:$O$19,装备属性计算表!J$2,FALSE)/装备属性计算表!J$20*VLOOKUP($H134&amp;$F134,$C$3:$P$28,K$1,FALSE)</f>
        <v>88.541666666666657</v>
      </c>
      <c r="N134" s="28">
        <f>VLOOKUP($G134,装备属性计算表!$D$14:$O$19,装备属性计算表!K$2,FALSE)/装备属性计算表!K$20*VLOOKUP($H134&amp;$F134,$C$3:$P$28,L$1,FALSE)</f>
        <v>62.962962962962969</v>
      </c>
      <c r="O134" s="28">
        <f>VLOOKUP($G134,装备属性计算表!$D$14:$O$19,装备属性计算表!L$2,FALSE)/装备属性计算表!L$20*VLOOKUP($H134&amp;$F134,$C$3:$P$28,M$1,FALSE)</f>
        <v>0</v>
      </c>
      <c r="P134" s="28">
        <f>VLOOKUP($G134,装备属性计算表!$D$14:$O$19,装备属性计算表!M$2,FALSE)/装备属性计算表!M$20*VLOOKUP($H134&amp;$F134,$C$3:$P$28,N$1,FALSE)</f>
        <v>0</v>
      </c>
      <c r="Q134" s="28">
        <f>VLOOKUP($G134,装备属性计算表!$D$14:$O$19,装备属性计算表!N$2,FALSE)/装备属性计算表!N$20*VLOOKUP($H134&amp;$F134,$C$3:$P$28,O$1,FALSE)</f>
        <v>0</v>
      </c>
      <c r="R134" s="28">
        <f>VLOOKUP($G134,装备属性计算表!$D$14:$O$19,装备属性计算表!O$2,FALSE)/装备属性计算表!O$20*VLOOKUP($H134&amp;$F134,$C$3:$P$28,P$1,FALSE)</f>
        <v>0</v>
      </c>
      <c r="X134" s="28">
        <f>SUM(AY129:AY134)</f>
        <v>2561460</v>
      </c>
      <c r="Y134" s="28">
        <f t="shared" si="56"/>
        <v>0</v>
      </c>
      <c r="Z134" s="28">
        <f t="shared" si="57"/>
        <v>0</v>
      </c>
      <c r="AA134" s="28">
        <f t="shared" si="63"/>
        <v>10</v>
      </c>
      <c r="AB134" s="28">
        <f t="shared" si="58"/>
        <v>0</v>
      </c>
      <c r="AC134" s="28">
        <f t="shared" si="59"/>
        <v>0</v>
      </c>
      <c r="AD134" s="28">
        <f t="shared" si="60"/>
        <v>64</v>
      </c>
      <c r="AE134" s="28">
        <f t="shared" si="64"/>
        <v>320000</v>
      </c>
      <c r="AF134" s="28">
        <f t="shared" si="61"/>
        <v>230</v>
      </c>
      <c r="AG134" s="28">
        <f t="shared" si="62"/>
        <v>20</v>
      </c>
      <c r="AH134" s="28">
        <f>IF(AG134&gt;0,VLOOKUP(G134,'价值&amp;消耗'!$U$173:$V$178,2,FALSE),0)</f>
        <v>73010</v>
      </c>
      <c r="AI134" s="28">
        <f t="shared" si="65"/>
        <v>1100</v>
      </c>
      <c r="AJ134" s="28">
        <f t="shared" si="54"/>
        <v>3</v>
      </c>
      <c r="AK134" s="28">
        <f>ROUND(IF(COUNTIF($I134:I134,"&gt;0")&gt;$AJ134,0,I134),0)</f>
        <v>0</v>
      </c>
      <c r="AL134" s="28">
        <f>ROUND(IF(COUNTIF($I134:J134,"&gt;0")&gt;$AJ134,0,J134),0)</f>
        <v>68</v>
      </c>
      <c r="AM134" s="28">
        <f>ROUND(IF(COUNTIF($I134:K134,"&gt;0")&gt;$AJ134,0,K134),0)</f>
        <v>0</v>
      </c>
      <c r="AN134" s="28">
        <f>ROUND(IF(COUNTIF($I134:L134,"&gt;0")&gt;$AJ134,0,L134),0)</f>
        <v>53</v>
      </c>
      <c r="AO134" s="28">
        <f>ROUND(IF(COUNTIF($I134:M134,"&gt;0")&gt;$AJ134,0,M134),0)</f>
        <v>89</v>
      </c>
      <c r="AP134" s="28">
        <f>ROUND(IF(COUNTIF($I134:N134,"&gt;0")&gt;$AJ134,0,N134),0)</f>
        <v>0</v>
      </c>
      <c r="AQ134" s="28">
        <f>ROUND(IF(COUNTIF($I134:O134,"&gt;0")&gt;$AJ134,0,O134),0)</f>
        <v>0</v>
      </c>
      <c r="AR134" s="28">
        <f>ROUND(IF(COUNTIF($I134:P134,"&gt;0")&gt;$AJ134,0,P134),0)</f>
        <v>0</v>
      </c>
      <c r="AS134" s="28">
        <f>IF(COUNTIF($I134:Q134,"&gt;0")&gt;$AJ134,0,Q134)</f>
        <v>0</v>
      </c>
      <c r="AT134" s="28">
        <f>IF(COUNTIF($I134:R134,"&gt;0")&gt;$AJ134,0,R134)</f>
        <v>0</v>
      </c>
      <c r="AU134" s="28">
        <f>SUMPRODUCT(AK134:AT134,定义数据!$G$14:$P$14)</f>
        <v>116.28</v>
      </c>
      <c r="AV134" s="28">
        <f t="shared" si="55"/>
        <v>5814</v>
      </c>
      <c r="AW134" s="28">
        <f t="shared" si="66"/>
        <v>5814</v>
      </c>
      <c r="AX134" s="28">
        <f t="shared" si="67"/>
        <v>319770</v>
      </c>
      <c r="AY134" s="28">
        <f t="shared" si="68"/>
        <v>319770</v>
      </c>
    </row>
    <row r="135" spans="3:51" x14ac:dyDescent="0.15">
      <c r="C135" s="28" t="str">
        <f>H135&amp;F135&amp;VLOOKUP(G135,定义数据!$E$1:$F$7,2,FALSE)</f>
        <v>6040</v>
      </c>
      <c r="D135" s="28"/>
      <c r="E135" s="28">
        <f>装备属性计算表!AK134</f>
        <v>19</v>
      </c>
      <c r="F135" s="28">
        <f>装备属性计算表!B134</f>
        <v>4</v>
      </c>
      <c r="G135" s="28" t="str">
        <f>装备属性计算表!C134</f>
        <v>武器</v>
      </c>
      <c r="H135" s="28">
        <f>装备属性计算表!D134</f>
        <v>60</v>
      </c>
      <c r="I135" s="28">
        <f>VLOOKUP($G135,装备属性计算表!$D$14:$O$19,装备属性计算表!F$2,FALSE)/装备属性计算表!F$20*VLOOKUP($H135&amp;$F135,$C$3:$P$28,G$1,FALSE)</f>
        <v>0</v>
      </c>
      <c r="J135" s="28">
        <f>VLOOKUP($G135,装备属性计算表!$D$14:$O$19,装备属性计算表!G$2,FALSE)/装备属性计算表!G$20*VLOOKUP($H135&amp;$F135,$C$3:$P$28,H$1,FALSE)</f>
        <v>238.9186395721926</v>
      </c>
      <c r="K135" s="28">
        <f>VLOOKUP($G135,装备属性计算表!$D$14:$O$19,装备属性计算表!H$2,FALSE)/装备属性计算表!H$20*VLOOKUP($H135&amp;$F135,$C$3:$P$28,I$1,FALSE)</f>
        <v>28.678211438474875</v>
      </c>
      <c r="L135" s="28">
        <f>VLOOKUP($G135,装备属性计算表!$D$14:$O$19,装备属性计算表!I$2,FALSE)/装备属性计算表!I$20*VLOOKUP($H135&amp;$F135,$C$3:$P$28,J$1,FALSE)</f>
        <v>0</v>
      </c>
      <c r="M135" s="28">
        <f>VLOOKUP($G135,装备属性计算表!$D$14:$O$19,装备属性计算表!J$2,FALSE)/装备属性计算表!J$20*VLOOKUP($H135&amp;$F135,$C$3:$P$28,K$1,FALSE)</f>
        <v>104.16666666666666</v>
      </c>
      <c r="N135" s="28">
        <f>VLOOKUP($G135,装备属性计算表!$D$14:$O$19,装备属性计算表!K$2,FALSE)/装备属性计算表!K$20*VLOOKUP($H135&amp;$F135,$C$3:$P$28,L$1,FALSE)</f>
        <v>74.074074074074076</v>
      </c>
      <c r="O135" s="28">
        <f>VLOOKUP($G135,装备属性计算表!$D$14:$O$19,装备属性计算表!L$2,FALSE)/装备属性计算表!L$20*VLOOKUP($H135&amp;$F135,$C$3:$P$28,M$1,FALSE)</f>
        <v>0</v>
      </c>
      <c r="P135" s="28">
        <f>VLOOKUP($G135,装备属性计算表!$D$14:$O$19,装备属性计算表!M$2,FALSE)/装备属性计算表!M$20*VLOOKUP($H135&amp;$F135,$C$3:$P$28,N$1,FALSE)</f>
        <v>0</v>
      </c>
      <c r="Q135" s="28">
        <f>VLOOKUP($G135,装备属性计算表!$D$14:$O$19,装备属性计算表!N$2,FALSE)/装备属性计算表!N$20*VLOOKUP($H135&amp;$F135,$C$3:$P$28,O$1,FALSE)</f>
        <v>0</v>
      </c>
      <c r="R135" s="28">
        <f>VLOOKUP($G135,装备属性计算表!$D$14:$O$19,装备属性计算表!O$2,FALSE)/装备属性计算表!O$20*VLOOKUP($H135&amp;$F135,$C$3:$P$28,P$1,FALSE)</f>
        <v>0</v>
      </c>
      <c r="Y135" s="28">
        <f t="shared" ref="Y135:Y188" si="69">IF(ROUNDDOWN($Z$20/AV135,0)&lt;$Z$16,ROUNDDOWN($Z$20/AV135,0),$Z$16)</f>
        <v>0</v>
      </c>
      <c r="Z135" s="28">
        <f t="shared" ref="Z135:Z188" si="70">IF(ROUNDDOWN($AA$20/AW135,0)&lt;10,ROUNDDOWN($AA$20/AW135,0),$Z$16)</f>
        <v>0</v>
      </c>
      <c r="AA135" s="28">
        <f t="shared" si="63"/>
        <v>10</v>
      </c>
      <c r="AB135" s="28">
        <f t="shared" ref="AB135:AB188" si="71">ROUNDUP((Y135*(Y135+1)/2)*$AV135/Y$20,0)</f>
        <v>0</v>
      </c>
      <c r="AC135" s="28">
        <f t="shared" ref="AC135:AC188" si="72">ROUNDUP(IF(Z135&gt;$Z$16,(($Z$16*($Z$16+1)/2)-(Y135+1)*Y135/2)*$AV135/Z$20,((Z135*(Z135+1)/2)-(Y135+1)*Y135/2)*$AV135/Z$20),0)</f>
        <v>0</v>
      </c>
      <c r="AD135" s="28">
        <f t="shared" ref="AD135:AD188" si="73">ROUNDUP(IF(AA135&gt;$Z$16,(($Z$16*($Z$16+1)/2)-(Z135+1)*Z135/2)*$AV135/AA$20,((AA135*(AA135+1)/2)-(Z135+1)*Z135/2)*$AV135/AA$20),0)</f>
        <v>175</v>
      </c>
      <c r="AE135" s="28">
        <f t="shared" ref="AE135:AE188" si="74">SUMPRODUCT(AB135:AD135,$Y$20:$AA$20)</f>
        <v>875000</v>
      </c>
      <c r="AF135" s="28">
        <f t="shared" ref="AF135:AF188" si="75">AE135-AX135</f>
        <v>4130</v>
      </c>
      <c r="AG135" s="28">
        <f t="shared" ref="AG135:AG188" si="76">ROUNDUP(AV135/300,0)</f>
        <v>53</v>
      </c>
      <c r="AH135" s="28">
        <f>IF(AG135&gt;0,VLOOKUP(G135,'价值&amp;消耗'!$U$173:$V$178,2,FALSE),0)</f>
        <v>70010</v>
      </c>
      <c r="AI135" s="28">
        <f t="shared" ref="AI135:AI188" si="77">($Z$16+1)*$Z$16/2*AG135</f>
        <v>2915</v>
      </c>
      <c r="AJ135" s="28">
        <f t="shared" ref="AJ135:AJ188" si="78">F135</f>
        <v>4</v>
      </c>
      <c r="AK135" s="28">
        <f>ROUND(IF(COUNTIF($I135:I135,"&gt;0")&gt;$AJ135,0,I135),0)</f>
        <v>0</v>
      </c>
      <c r="AL135" s="28">
        <f>ROUND(IF(COUNTIF($I135:J135,"&gt;0")&gt;$AJ135,0,J135),0)</f>
        <v>239</v>
      </c>
      <c r="AM135" s="28">
        <f>ROUND(IF(COUNTIF($I135:K135,"&gt;0")&gt;$AJ135,0,K135),0)</f>
        <v>29</v>
      </c>
      <c r="AN135" s="28">
        <f>ROUND(IF(COUNTIF($I135:L135,"&gt;0")&gt;$AJ135,0,L135),0)</f>
        <v>0</v>
      </c>
      <c r="AO135" s="28">
        <f>ROUND(IF(COUNTIF($I135:M135,"&gt;0")&gt;$AJ135,0,M135),0)</f>
        <v>104</v>
      </c>
      <c r="AP135" s="28">
        <f>ROUND(IF(COUNTIF($I135:N135,"&gt;0")&gt;$AJ135,0,N135),0)</f>
        <v>74</v>
      </c>
      <c r="AQ135" s="28">
        <f>ROUND(IF(COUNTIF($I135:O135,"&gt;0")&gt;$AJ135,0,O135),0)</f>
        <v>0</v>
      </c>
      <c r="AR135" s="28">
        <f>ROUND(IF(COUNTIF($I135:P135,"&gt;0")&gt;$AJ135,0,P135),0)</f>
        <v>0</v>
      </c>
      <c r="AS135" s="28">
        <f>IF(COUNTIF($I135:Q135,"&gt;0")&gt;$AJ135,0,Q135)</f>
        <v>0</v>
      </c>
      <c r="AT135" s="28">
        <f>IF(COUNTIF($I135:R135,"&gt;0")&gt;$AJ135,0,R135)</f>
        <v>0</v>
      </c>
      <c r="AU135" s="28">
        <f>SUMPRODUCT(AK135:AT135,定义数据!$G$14:$P$14)</f>
        <v>316.68</v>
      </c>
      <c r="AV135" s="28">
        <f t="shared" si="55"/>
        <v>15834</v>
      </c>
      <c r="AW135" s="28">
        <f t="shared" si="66"/>
        <v>15834</v>
      </c>
      <c r="AX135" s="28">
        <f t="shared" ref="AX135:AX188" si="79">($Z$16+1)*$Z$16/2*AV135</f>
        <v>870870</v>
      </c>
      <c r="AY135" s="28">
        <f t="shared" si="68"/>
        <v>870870</v>
      </c>
    </row>
    <row r="136" spans="3:51" x14ac:dyDescent="0.15">
      <c r="C136" s="28" t="str">
        <f>H136&amp;F136&amp;VLOOKUP(G136,定义数据!$E$1:$F$7,2,FALSE)</f>
        <v>6041</v>
      </c>
      <c r="D136" s="28"/>
      <c r="E136" s="28">
        <f>装备属性计算表!AK135</f>
        <v>19</v>
      </c>
      <c r="F136" s="28">
        <f>装备属性计算表!B135</f>
        <v>4</v>
      </c>
      <c r="G136" s="28" t="str">
        <f>装备属性计算表!C135</f>
        <v>衣服</v>
      </c>
      <c r="H136" s="28">
        <f>装备属性计算表!D135</f>
        <v>60</v>
      </c>
      <c r="I136" s="28">
        <f>VLOOKUP($G136,装备属性计算表!$D$14:$O$19,装备属性计算表!F$2,FALSE)/装备属性计算表!F$20*VLOOKUP($H136&amp;$F136,$C$3:$P$28,G$1,FALSE)</f>
        <v>2613.2106546560371</v>
      </c>
      <c r="J136" s="28">
        <f>VLOOKUP($G136,装备属性计算表!$D$14:$O$19,装备属性计算表!G$2,FALSE)/装备属性计算表!G$20*VLOOKUP($H136&amp;$F136,$C$3:$P$28,H$1,FALSE)</f>
        <v>0</v>
      </c>
      <c r="K136" s="28">
        <f>VLOOKUP($G136,装备属性计算表!$D$14:$O$19,装备属性计算表!H$2,FALSE)/装备属性计算表!H$20*VLOOKUP($H136&amp;$F136,$C$3:$P$28,I$1,FALSE)</f>
        <v>86.034634315424626</v>
      </c>
      <c r="L136" s="28">
        <f>VLOOKUP($G136,装备属性计算表!$D$14:$O$19,装备属性计算表!I$2,FALSE)/装备属性计算表!I$20*VLOOKUP($H136&amp;$F136,$C$3:$P$28,J$1,FALSE)</f>
        <v>62.5</v>
      </c>
      <c r="M136" s="28">
        <f>VLOOKUP($G136,装备属性计算表!$D$14:$O$19,装备属性计算表!J$2,FALSE)/装备属性计算表!J$20*VLOOKUP($H136&amp;$F136,$C$3:$P$28,K$1,FALSE)</f>
        <v>0</v>
      </c>
      <c r="N136" s="28">
        <f>VLOOKUP($G136,装备属性计算表!$D$14:$O$19,装备属性计算表!K$2,FALSE)/装备属性计算表!K$20*VLOOKUP($H136&amp;$F136,$C$3:$P$28,L$1,FALSE)</f>
        <v>0</v>
      </c>
      <c r="O136" s="28">
        <f>VLOOKUP($G136,装备属性计算表!$D$14:$O$19,装备属性计算表!L$2,FALSE)/装备属性计算表!L$20*VLOOKUP($H136&amp;$F136,$C$3:$P$28,M$1,FALSE)</f>
        <v>0</v>
      </c>
      <c r="P136" s="28">
        <f>VLOOKUP($G136,装备属性计算表!$D$14:$O$19,装备属性计算表!M$2,FALSE)/装备属性计算表!M$20*VLOOKUP($H136&amp;$F136,$C$3:$P$28,N$1,FALSE)</f>
        <v>61.728395061728392</v>
      </c>
      <c r="Q136" s="28">
        <f>VLOOKUP($G136,装备属性计算表!$D$14:$O$19,装备属性计算表!N$2,FALSE)/装备属性计算表!N$20*VLOOKUP($H136&amp;$F136,$C$3:$P$28,O$1,FALSE)</f>
        <v>0</v>
      </c>
      <c r="R136" s="28">
        <f>VLOOKUP($G136,装备属性计算表!$D$14:$O$19,装备属性计算表!O$2,FALSE)/装备属性计算表!O$20*VLOOKUP($H136&amp;$F136,$C$3:$P$28,P$1,FALSE)</f>
        <v>0</v>
      </c>
      <c r="Y136" s="28">
        <f t="shared" si="69"/>
        <v>0</v>
      </c>
      <c r="Z136" s="28">
        <f t="shared" si="70"/>
        <v>0</v>
      </c>
      <c r="AA136" s="28">
        <f t="shared" si="63"/>
        <v>10</v>
      </c>
      <c r="AB136" s="28">
        <f t="shared" si="71"/>
        <v>0</v>
      </c>
      <c r="AC136" s="28">
        <f t="shared" si="72"/>
        <v>0</v>
      </c>
      <c r="AD136" s="28">
        <f t="shared" si="73"/>
        <v>123</v>
      </c>
      <c r="AE136" s="28">
        <f t="shared" si="74"/>
        <v>615000</v>
      </c>
      <c r="AF136" s="28">
        <f t="shared" si="75"/>
        <v>1475</v>
      </c>
      <c r="AG136" s="28">
        <f t="shared" si="76"/>
        <v>38</v>
      </c>
      <c r="AH136" s="28">
        <f>IF(AG136&gt;0,VLOOKUP(G136,'价值&amp;消耗'!$U$173:$V$178,2,FALSE),0)</f>
        <v>71010</v>
      </c>
      <c r="AI136" s="28">
        <f t="shared" si="77"/>
        <v>2090</v>
      </c>
      <c r="AJ136" s="28">
        <f t="shared" si="78"/>
        <v>4</v>
      </c>
      <c r="AK136" s="28">
        <f>ROUND(IF(COUNTIF($I136:I136,"&gt;0")&gt;$AJ136,0,I136),0)</f>
        <v>2613</v>
      </c>
      <c r="AL136" s="28">
        <f>ROUND(IF(COUNTIF($I136:J136,"&gt;0")&gt;$AJ136,0,J136),0)</f>
        <v>0</v>
      </c>
      <c r="AM136" s="28">
        <f>ROUND(IF(COUNTIF($I136:K136,"&gt;0")&gt;$AJ136,0,K136),0)</f>
        <v>86</v>
      </c>
      <c r="AN136" s="28">
        <f>ROUND(IF(COUNTIF($I136:L136,"&gt;0")&gt;$AJ136,0,L136),0)</f>
        <v>63</v>
      </c>
      <c r="AO136" s="28">
        <f>ROUND(IF(COUNTIF($I136:M136,"&gt;0")&gt;$AJ136,0,M136),0)</f>
        <v>0</v>
      </c>
      <c r="AP136" s="28">
        <f>ROUND(IF(COUNTIF($I136:N136,"&gt;0")&gt;$AJ136,0,N136),0)</f>
        <v>0</v>
      </c>
      <c r="AQ136" s="28">
        <f>ROUND(IF(COUNTIF($I136:O136,"&gt;0")&gt;$AJ136,0,O136),0)</f>
        <v>0</v>
      </c>
      <c r="AR136" s="28">
        <f>ROUND(IF(COUNTIF($I136:P136,"&gt;0")&gt;$AJ136,0,P136),0)</f>
        <v>62</v>
      </c>
      <c r="AS136" s="28">
        <f>IF(COUNTIF($I136:Q136,"&gt;0")&gt;$AJ136,0,Q136)</f>
        <v>0</v>
      </c>
      <c r="AT136" s="28">
        <f>IF(COUNTIF($I136:R136,"&gt;0")&gt;$AJ136,0,R136)</f>
        <v>0</v>
      </c>
      <c r="AU136" s="28">
        <f>SUMPRODUCT(AK136:AT136,定义数据!$G$14:$P$14)</f>
        <v>223.1</v>
      </c>
      <c r="AV136" s="28">
        <f t="shared" si="55"/>
        <v>11155</v>
      </c>
      <c r="AW136" s="28">
        <f t="shared" si="66"/>
        <v>11155</v>
      </c>
      <c r="AX136" s="28">
        <f t="shared" si="79"/>
        <v>613525</v>
      </c>
      <c r="AY136" s="28">
        <f t="shared" si="68"/>
        <v>613525</v>
      </c>
    </row>
    <row r="137" spans="3:51" x14ac:dyDescent="0.15">
      <c r="C137" s="28" t="str">
        <f>H137&amp;F137&amp;VLOOKUP(G137,定义数据!$E$1:$F$7,2,FALSE)</f>
        <v>6042</v>
      </c>
      <c r="D137" s="28"/>
      <c r="E137" s="28">
        <f>装备属性计算表!AK136</f>
        <v>19</v>
      </c>
      <c r="F137" s="28">
        <f>装备属性计算表!B136</f>
        <v>4</v>
      </c>
      <c r="G137" s="28" t="str">
        <f>装备属性计算表!C136</f>
        <v>裤子</v>
      </c>
      <c r="H137" s="28">
        <f>装备属性计算表!D136</f>
        <v>60</v>
      </c>
      <c r="I137" s="28">
        <f>VLOOKUP($G137,装备属性计算表!$D$14:$O$19,装备属性计算表!F$2,FALSE)/装备属性计算表!F$20*VLOOKUP($H137&amp;$F137,$C$3:$P$28,G$1,FALSE)</f>
        <v>1306.6053273280186</v>
      </c>
      <c r="J137" s="28">
        <f>VLOOKUP($G137,装备属性计算表!$D$14:$O$19,装备属性计算表!G$2,FALSE)/装备属性计算表!G$20*VLOOKUP($H137&amp;$F137,$C$3:$P$28,H$1,FALSE)</f>
        <v>0</v>
      </c>
      <c r="K137" s="28">
        <f>VLOOKUP($G137,装备属性计算表!$D$14:$O$19,装备属性计算表!H$2,FALSE)/装备属性计算表!H$20*VLOOKUP($H137&amp;$F137,$C$3:$P$28,I$1,FALSE)</f>
        <v>28.678211438474875</v>
      </c>
      <c r="L137" s="28">
        <f>VLOOKUP($G137,装备属性计算表!$D$14:$O$19,装备属性计算表!I$2,FALSE)/装备属性计算表!I$20*VLOOKUP($H137&amp;$F137,$C$3:$P$28,J$1,FALSE)</f>
        <v>62.5</v>
      </c>
      <c r="M137" s="28">
        <f>VLOOKUP($G137,装备属性计算表!$D$14:$O$19,装备属性计算表!J$2,FALSE)/装备属性计算表!J$20*VLOOKUP($H137&amp;$F137,$C$3:$P$28,K$1,FALSE)</f>
        <v>0</v>
      </c>
      <c r="N137" s="28">
        <f>VLOOKUP($G137,装备属性计算表!$D$14:$O$19,装备属性计算表!K$2,FALSE)/装备属性计算表!K$20*VLOOKUP($H137&amp;$F137,$C$3:$P$28,L$1,FALSE)</f>
        <v>0</v>
      </c>
      <c r="O137" s="28">
        <f>VLOOKUP($G137,装备属性计算表!$D$14:$O$19,装备属性计算表!L$2,FALSE)/装备属性计算表!L$20*VLOOKUP($H137&amp;$F137,$C$3:$P$28,M$1,FALSE)</f>
        <v>0</v>
      </c>
      <c r="P137" s="28">
        <f>VLOOKUP($G137,装备属性计算表!$D$14:$O$19,装备属性计算表!M$2,FALSE)/装备属性计算表!M$20*VLOOKUP($H137&amp;$F137,$C$3:$P$28,N$1,FALSE)</f>
        <v>61.728395061728392</v>
      </c>
      <c r="Q137" s="28">
        <f>VLOOKUP($G137,装备属性计算表!$D$14:$O$19,装备属性计算表!N$2,FALSE)/装备属性计算表!N$20*VLOOKUP($H137&amp;$F137,$C$3:$P$28,O$1,FALSE)</f>
        <v>0</v>
      </c>
      <c r="R137" s="28">
        <f>VLOOKUP($G137,装备属性计算表!$D$14:$O$19,装备属性计算表!O$2,FALSE)/装备属性计算表!O$20*VLOOKUP($H137&amp;$F137,$C$3:$P$28,P$1,FALSE)</f>
        <v>0</v>
      </c>
      <c r="Y137" s="28">
        <f t="shared" si="69"/>
        <v>0</v>
      </c>
      <c r="Z137" s="28">
        <f t="shared" si="70"/>
        <v>0</v>
      </c>
      <c r="AA137" s="28">
        <f t="shared" si="63"/>
        <v>10</v>
      </c>
      <c r="AB137" s="28">
        <f t="shared" si="71"/>
        <v>0</v>
      </c>
      <c r="AC137" s="28">
        <f t="shared" si="72"/>
        <v>0</v>
      </c>
      <c r="AD137" s="28">
        <f t="shared" si="73"/>
        <v>63</v>
      </c>
      <c r="AE137" s="28">
        <f t="shared" si="74"/>
        <v>315000</v>
      </c>
      <c r="AF137" s="28">
        <f t="shared" si="75"/>
        <v>1885</v>
      </c>
      <c r="AG137" s="28">
        <f t="shared" si="76"/>
        <v>19</v>
      </c>
      <c r="AH137" s="28">
        <f>IF(AG137&gt;0,VLOOKUP(G137,'价值&amp;消耗'!$U$173:$V$178,2,FALSE),0)</f>
        <v>72010</v>
      </c>
      <c r="AI137" s="28">
        <f t="shared" si="77"/>
        <v>1045</v>
      </c>
      <c r="AJ137" s="28">
        <f t="shared" si="78"/>
        <v>4</v>
      </c>
      <c r="AK137" s="28">
        <f>ROUND(IF(COUNTIF($I137:I137,"&gt;0")&gt;$AJ137,0,I137),0)</f>
        <v>1307</v>
      </c>
      <c r="AL137" s="28">
        <f>ROUND(IF(COUNTIF($I137:J137,"&gt;0")&gt;$AJ137,0,J137),0)</f>
        <v>0</v>
      </c>
      <c r="AM137" s="28">
        <f>ROUND(IF(COUNTIF($I137:K137,"&gt;0")&gt;$AJ137,0,K137),0)</f>
        <v>29</v>
      </c>
      <c r="AN137" s="28">
        <f>ROUND(IF(COUNTIF($I137:L137,"&gt;0")&gt;$AJ137,0,L137),0)</f>
        <v>63</v>
      </c>
      <c r="AO137" s="28">
        <f>ROUND(IF(COUNTIF($I137:M137,"&gt;0")&gt;$AJ137,0,M137),0)</f>
        <v>0</v>
      </c>
      <c r="AP137" s="28">
        <f>ROUND(IF(COUNTIF($I137:N137,"&gt;0")&gt;$AJ137,0,N137),0)</f>
        <v>0</v>
      </c>
      <c r="AQ137" s="28">
        <f>ROUND(IF(COUNTIF($I137:O137,"&gt;0")&gt;$AJ137,0,O137),0)</f>
        <v>0</v>
      </c>
      <c r="AR137" s="28">
        <f>ROUND(IF(COUNTIF($I137:P137,"&gt;0")&gt;$AJ137,0,P137),0)</f>
        <v>62</v>
      </c>
      <c r="AS137" s="28">
        <f>IF(COUNTIF($I137:Q137,"&gt;0")&gt;$AJ137,0,Q137)</f>
        <v>0</v>
      </c>
      <c r="AT137" s="28">
        <f>IF(COUNTIF($I137:R137,"&gt;0")&gt;$AJ137,0,R137)</f>
        <v>0</v>
      </c>
      <c r="AU137" s="28">
        <f>SUMPRODUCT(AK137:AT137,定义数据!$G$14:$P$14)</f>
        <v>113.86</v>
      </c>
      <c r="AV137" s="28">
        <f t="shared" si="55"/>
        <v>5693</v>
      </c>
      <c r="AW137" s="28">
        <f t="shared" si="66"/>
        <v>5693</v>
      </c>
      <c r="AX137" s="28">
        <f t="shared" si="79"/>
        <v>313115</v>
      </c>
      <c r="AY137" s="28">
        <f t="shared" si="68"/>
        <v>313115</v>
      </c>
    </row>
    <row r="138" spans="3:51" x14ac:dyDescent="0.15">
      <c r="C138" s="28" t="str">
        <f>H138&amp;F138&amp;VLOOKUP(G138,定义数据!$E$1:$F$7,2,FALSE)</f>
        <v>6045</v>
      </c>
      <c r="D138" s="28"/>
      <c r="E138" s="28">
        <f>装备属性计算表!AK137</f>
        <v>19</v>
      </c>
      <c r="F138" s="28">
        <f>装备属性计算表!B137</f>
        <v>4</v>
      </c>
      <c r="G138" s="28" t="str">
        <f>装备属性计算表!C137</f>
        <v>鞋子</v>
      </c>
      <c r="H138" s="28">
        <f>装备属性计算表!D137</f>
        <v>60</v>
      </c>
      <c r="I138" s="28">
        <f>VLOOKUP($G138,装备属性计算表!$D$14:$O$19,装备属性计算表!F$2,FALSE)/装备属性计算表!F$20*VLOOKUP($H138&amp;$F138,$C$3:$P$28,G$1,FALSE)</f>
        <v>1306.6053273280186</v>
      </c>
      <c r="J138" s="28">
        <f>VLOOKUP($G138,装备属性计算表!$D$14:$O$19,装备属性计算表!G$2,FALSE)/装备属性计算表!G$20*VLOOKUP($H138&amp;$F138,$C$3:$P$28,H$1,FALSE)</f>
        <v>0</v>
      </c>
      <c r="K138" s="28">
        <f>VLOOKUP($G138,装备属性计算表!$D$14:$O$19,装备属性计算表!H$2,FALSE)/装备属性计算表!H$20*VLOOKUP($H138&amp;$F138,$C$3:$P$28,I$1,FALSE)</f>
        <v>0</v>
      </c>
      <c r="L138" s="28">
        <f>VLOOKUP($G138,装备属性计算表!$D$14:$O$19,装备属性计算表!I$2,FALSE)/装备属性计算表!I$20*VLOOKUP($H138&amp;$F138,$C$3:$P$28,J$1,FALSE)</f>
        <v>125</v>
      </c>
      <c r="M138" s="28">
        <f>VLOOKUP($G138,装备属性计算表!$D$14:$O$19,装备属性计算表!J$2,FALSE)/装备属性计算表!J$20*VLOOKUP($H138&amp;$F138,$C$3:$P$28,K$1,FALSE)</f>
        <v>104.16666666666666</v>
      </c>
      <c r="N138" s="28">
        <f>VLOOKUP($G138,装备属性计算表!$D$14:$O$19,装备属性计算表!K$2,FALSE)/装备属性计算表!K$20*VLOOKUP($H138&amp;$F138,$C$3:$P$28,L$1,FALSE)</f>
        <v>37.037037037037038</v>
      </c>
      <c r="O138" s="28">
        <f>VLOOKUP($G138,装备属性计算表!$D$14:$O$19,装备属性计算表!L$2,FALSE)/装备属性计算表!L$20*VLOOKUP($H138&amp;$F138,$C$3:$P$28,M$1,FALSE)</f>
        <v>0</v>
      </c>
      <c r="P138" s="28">
        <f>VLOOKUP($G138,装备属性计算表!$D$14:$O$19,装备属性计算表!M$2,FALSE)/装备属性计算表!M$20*VLOOKUP($H138&amp;$F138,$C$3:$P$28,N$1,FALSE)</f>
        <v>0</v>
      </c>
      <c r="Q138" s="28">
        <f>VLOOKUP($G138,装备属性计算表!$D$14:$O$19,装备属性计算表!N$2,FALSE)/装备属性计算表!N$20*VLOOKUP($H138&amp;$F138,$C$3:$P$28,O$1,FALSE)</f>
        <v>0</v>
      </c>
      <c r="R138" s="28">
        <f>VLOOKUP($G138,装备属性计算表!$D$14:$O$19,装备属性计算表!O$2,FALSE)/装备属性计算表!O$20*VLOOKUP($H138&amp;$F138,$C$3:$P$28,P$1,FALSE)</f>
        <v>0</v>
      </c>
      <c r="Y138" s="28">
        <f t="shared" si="69"/>
        <v>0</v>
      </c>
      <c r="Z138" s="28">
        <f t="shared" si="70"/>
        <v>0</v>
      </c>
      <c r="AA138" s="28">
        <f t="shared" si="63"/>
        <v>10</v>
      </c>
      <c r="AB138" s="28">
        <f t="shared" si="71"/>
        <v>0</v>
      </c>
      <c r="AC138" s="28">
        <f t="shared" si="72"/>
        <v>0</v>
      </c>
      <c r="AD138" s="28">
        <f t="shared" si="73"/>
        <v>76</v>
      </c>
      <c r="AE138" s="28">
        <f t="shared" si="74"/>
        <v>380000</v>
      </c>
      <c r="AF138" s="28">
        <f t="shared" si="75"/>
        <v>3800</v>
      </c>
      <c r="AG138" s="28">
        <f t="shared" si="76"/>
        <v>23</v>
      </c>
      <c r="AH138" s="28">
        <f>IF(AG138&gt;0,VLOOKUP(G138,'价值&amp;消耗'!$U$173:$V$178,2,FALSE),0)</f>
        <v>75010</v>
      </c>
      <c r="AI138" s="28">
        <f t="shared" si="77"/>
        <v>1265</v>
      </c>
      <c r="AJ138" s="28">
        <f t="shared" si="78"/>
        <v>4</v>
      </c>
      <c r="AK138" s="28">
        <f>ROUND(IF(COUNTIF($I138:I138,"&gt;0")&gt;$AJ138,0,I138),0)</f>
        <v>1307</v>
      </c>
      <c r="AL138" s="28">
        <f>ROUND(IF(COUNTIF($I138:J138,"&gt;0")&gt;$AJ138,0,J138),0)</f>
        <v>0</v>
      </c>
      <c r="AM138" s="28">
        <f>ROUND(IF(COUNTIF($I138:K138,"&gt;0")&gt;$AJ138,0,K138),0)</f>
        <v>0</v>
      </c>
      <c r="AN138" s="28">
        <f>ROUND(IF(COUNTIF($I138:L138,"&gt;0")&gt;$AJ138,0,L138),0)</f>
        <v>125</v>
      </c>
      <c r="AO138" s="28">
        <f>ROUND(IF(COUNTIF($I138:M138,"&gt;0")&gt;$AJ138,0,M138),0)</f>
        <v>104</v>
      </c>
      <c r="AP138" s="28">
        <f>ROUND(IF(COUNTIF($I138:N138,"&gt;0")&gt;$AJ138,0,N138),0)</f>
        <v>37</v>
      </c>
      <c r="AQ138" s="28">
        <f>ROUND(IF(COUNTIF($I138:O138,"&gt;0")&gt;$AJ138,0,O138),0)</f>
        <v>0</v>
      </c>
      <c r="AR138" s="28">
        <f>ROUND(IF(COUNTIF($I138:P138,"&gt;0")&gt;$AJ138,0,P138),0)</f>
        <v>0</v>
      </c>
      <c r="AS138" s="28">
        <f>IF(COUNTIF($I138:Q138,"&gt;0")&gt;$AJ138,0,Q138)</f>
        <v>0</v>
      </c>
      <c r="AT138" s="28">
        <f>IF(COUNTIF($I138:R138,"&gt;0")&gt;$AJ138,0,R138)</f>
        <v>0</v>
      </c>
      <c r="AU138" s="28">
        <f>SUMPRODUCT(AK138:AT138,定义数据!$G$14:$P$14)</f>
        <v>136.79999999999998</v>
      </c>
      <c r="AV138" s="28">
        <f t="shared" si="55"/>
        <v>6840</v>
      </c>
      <c r="AW138" s="28">
        <f t="shared" si="66"/>
        <v>6840</v>
      </c>
      <c r="AX138" s="28">
        <f t="shared" si="79"/>
        <v>376200</v>
      </c>
      <c r="AY138" s="28">
        <f t="shared" si="68"/>
        <v>376200</v>
      </c>
    </row>
    <row r="139" spans="3:51" x14ac:dyDescent="0.15">
      <c r="C139" s="28" t="str">
        <f>H139&amp;F139&amp;VLOOKUP(G139,定义数据!$E$1:$F$7,2,FALSE)</f>
        <v>6044</v>
      </c>
      <c r="D139" s="28"/>
      <c r="E139" s="28">
        <f>装备属性计算表!AK138</f>
        <v>19</v>
      </c>
      <c r="F139" s="28">
        <f>装备属性计算表!B138</f>
        <v>4</v>
      </c>
      <c r="G139" s="28" t="str">
        <f>装备属性计算表!C138</f>
        <v>腰带</v>
      </c>
      <c r="H139" s="28">
        <f>装备属性计算表!D138</f>
        <v>60</v>
      </c>
      <c r="I139" s="28">
        <f>VLOOKUP($G139,装备属性计算表!$D$14:$O$19,装备属性计算表!F$2,FALSE)/装备属性计算表!F$20*VLOOKUP($H139&amp;$F139,$C$3:$P$28,G$1,FALSE)</f>
        <v>2613.2106546560371</v>
      </c>
      <c r="J139" s="28">
        <f>VLOOKUP($G139,装备属性计算表!$D$14:$O$19,装备属性计算表!G$2,FALSE)/装备属性计算表!G$20*VLOOKUP($H139&amp;$F139,$C$3:$P$28,H$1,FALSE)</f>
        <v>79.639546524064201</v>
      </c>
      <c r="K139" s="28">
        <f>VLOOKUP($G139,装备属性计算表!$D$14:$O$19,装备属性计算表!H$2,FALSE)/装备属性计算表!H$20*VLOOKUP($H139&amp;$F139,$C$3:$P$28,I$1,FALSE)</f>
        <v>28.678211438474875</v>
      </c>
      <c r="L139" s="28">
        <f>VLOOKUP($G139,装备属性计算表!$D$14:$O$19,装备属性计算表!I$2,FALSE)/装备属性计算表!I$20*VLOOKUP($H139&amp;$F139,$C$3:$P$28,J$1,FALSE)</f>
        <v>0</v>
      </c>
      <c r="M139" s="28">
        <f>VLOOKUP($G139,装备属性计算表!$D$14:$O$19,装备属性计算表!J$2,FALSE)/装备属性计算表!J$20*VLOOKUP($H139&amp;$F139,$C$3:$P$28,K$1,FALSE)</f>
        <v>0</v>
      </c>
      <c r="N139" s="28">
        <f>VLOOKUP($G139,装备属性计算表!$D$14:$O$19,装备属性计算表!K$2,FALSE)/装备属性计算表!K$20*VLOOKUP($H139&amp;$F139,$C$3:$P$28,L$1,FALSE)</f>
        <v>0</v>
      </c>
      <c r="O139" s="28">
        <f>VLOOKUP($G139,装备属性计算表!$D$14:$O$19,装备属性计算表!L$2,FALSE)/装备属性计算表!L$20*VLOOKUP($H139&amp;$F139,$C$3:$P$28,M$1,FALSE)</f>
        <v>0</v>
      </c>
      <c r="P139" s="28">
        <f>VLOOKUP($G139,装备属性计算表!$D$14:$O$19,装备属性计算表!M$2,FALSE)/装备属性计算表!M$20*VLOOKUP($H139&amp;$F139,$C$3:$P$28,N$1,FALSE)</f>
        <v>61.728395061728392</v>
      </c>
      <c r="Q139" s="28">
        <f>VLOOKUP($G139,装备属性计算表!$D$14:$O$19,装备属性计算表!N$2,FALSE)/装备属性计算表!N$20*VLOOKUP($H139&amp;$F139,$C$3:$P$28,O$1,FALSE)</f>
        <v>0</v>
      </c>
      <c r="R139" s="28">
        <f>VLOOKUP($G139,装备属性计算表!$D$14:$O$19,装备属性计算表!O$2,FALSE)/装备属性计算表!O$20*VLOOKUP($H139&amp;$F139,$C$3:$P$28,P$1,FALSE)</f>
        <v>0</v>
      </c>
      <c r="Y139" s="28">
        <f t="shared" si="69"/>
        <v>0</v>
      </c>
      <c r="Z139" s="28">
        <f t="shared" si="70"/>
        <v>0</v>
      </c>
      <c r="AA139" s="28">
        <f t="shared" si="63"/>
        <v>10</v>
      </c>
      <c r="AB139" s="28">
        <f t="shared" si="71"/>
        <v>0</v>
      </c>
      <c r="AC139" s="28">
        <f t="shared" si="72"/>
        <v>0</v>
      </c>
      <c r="AD139" s="28">
        <f t="shared" si="73"/>
        <v>124</v>
      </c>
      <c r="AE139" s="28">
        <f t="shared" si="74"/>
        <v>620000</v>
      </c>
      <c r="AF139" s="28">
        <f t="shared" si="75"/>
        <v>2130</v>
      </c>
      <c r="AG139" s="28">
        <f t="shared" si="76"/>
        <v>38</v>
      </c>
      <c r="AH139" s="28">
        <f>IF(AG139&gt;0,VLOOKUP(G139,'价值&amp;消耗'!$U$173:$V$178,2,FALSE),0)</f>
        <v>74010</v>
      </c>
      <c r="AI139" s="28">
        <f t="shared" si="77"/>
        <v>2090</v>
      </c>
      <c r="AJ139" s="28">
        <f t="shared" si="78"/>
        <v>4</v>
      </c>
      <c r="AK139" s="28">
        <f>ROUND(IF(COUNTIF($I139:I139,"&gt;0")&gt;$AJ139,0,I139),0)</f>
        <v>2613</v>
      </c>
      <c r="AL139" s="28">
        <f>ROUND(IF(COUNTIF($I139:J139,"&gt;0")&gt;$AJ139,0,J139),0)</f>
        <v>80</v>
      </c>
      <c r="AM139" s="28">
        <f>ROUND(IF(COUNTIF($I139:K139,"&gt;0")&gt;$AJ139,0,K139),0)</f>
        <v>29</v>
      </c>
      <c r="AN139" s="28">
        <f>ROUND(IF(COUNTIF($I139:L139,"&gt;0")&gt;$AJ139,0,L139),0)</f>
        <v>0</v>
      </c>
      <c r="AO139" s="28">
        <f>ROUND(IF(COUNTIF($I139:M139,"&gt;0")&gt;$AJ139,0,M139),0)</f>
        <v>0</v>
      </c>
      <c r="AP139" s="28">
        <f>ROUND(IF(COUNTIF($I139:N139,"&gt;0")&gt;$AJ139,0,N139),0)</f>
        <v>0</v>
      </c>
      <c r="AQ139" s="28">
        <f>ROUND(IF(COUNTIF($I139:O139,"&gt;0")&gt;$AJ139,0,O139),0)</f>
        <v>0</v>
      </c>
      <c r="AR139" s="28">
        <f>ROUND(IF(COUNTIF($I139:P139,"&gt;0")&gt;$AJ139,0,P139),0)</f>
        <v>62</v>
      </c>
      <c r="AS139" s="28">
        <f>IF(COUNTIF($I139:Q139,"&gt;0")&gt;$AJ139,0,Q139)</f>
        <v>0</v>
      </c>
      <c r="AT139" s="28">
        <f>IF(COUNTIF($I139:R139,"&gt;0")&gt;$AJ139,0,R139)</f>
        <v>0</v>
      </c>
      <c r="AU139" s="28">
        <f>SUMPRODUCT(AK139:AT139,定义数据!$G$14:$P$14)</f>
        <v>224.67999999999998</v>
      </c>
      <c r="AV139" s="28">
        <f t="shared" si="55"/>
        <v>11234</v>
      </c>
      <c r="AW139" s="28">
        <f t="shared" si="66"/>
        <v>11234</v>
      </c>
      <c r="AX139" s="28">
        <f t="shared" si="79"/>
        <v>617870</v>
      </c>
      <c r="AY139" s="28">
        <f t="shared" si="68"/>
        <v>617870</v>
      </c>
    </row>
    <row r="140" spans="3:51" x14ac:dyDescent="0.15">
      <c r="C140" s="28" t="str">
        <f>H140&amp;F140&amp;VLOOKUP(G140,定义数据!$E$1:$F$7,2,FALSE)</f>
        <v>6043</v>
      </c>
      <c r="D140" s="28"/>
      <c r="E140" s="28">
        <f>装备属性计算表!AK139</f>
        <v>19</v>
      </c>
      <c r="F140" s="28">
        <f>装备属性计算表!B139</f>
        <v>4</v>
      </c>
      <c r="G140" s="28" t="str">
        <f>装备属性计算表!C139</f>
        <v>项链</v>
      </c>
      <c r="H140" s="28">
        <f>装备属性计算表!D139</f>
        <v>60</v>
      </c>
      <c r="I140" s="28">
        <f>VLOOKUP($G140,装备属性计算表!$D$14:$O$19,装备属性计算表!F$2,FALSE)/装备属性计算表!F$20*VLOOKUP($H140&amp;$F140,$C$3:$P$28,G$1,FALSE)</f>
        <v>0</v>
      </c>
      <c r="J140" s="28">
        <f>VLOOKUP($G140,装备属性计算表!$D$14:$O$19,装备属性计算表!G$2,FALSE)/装备属性计算表!G$20*VLOOKUP($H140&amp;$F140,$C$3:$P$28,H$1,FALSE)</f>
        <v>79.639546524064201</v>
      </c>
      <c r="K140" s="28">
        <f>VLOOKUP($G140,装备属性计算表!$D$14:$O$19,装备属性计算表!H$2,FALSE)/装备属性计算表!H$20*VLOOKUP($H140&amp;$F140,$C$3:$P$28,I$1,FALSE)</f>
        <v>0</v>
      </c>
      <c r="L140" s="28">
        <f>VLOOKUP($G140,装备属性计算表!$D$14:$O$19,装备属性计算表!I$2,FALSE)/装备属性计算表!I$20*VLOOKUP($H140&amp;$F140,$C$3:$P$28,J$1,FALSE)</f>
        <v>62.5</v>
      </c>
      <c r="M140" s="28">
        <f>VLOOKUP($G140,装备属性计算表!$D$14:$O$19,装备属性计算表!J$2,FALSE)/装备属性计算表!J$20*VLOOKUP($H140&amp;$F140,$C$3:$P$28,K$1,FALSE)</f>
        <v>104.16666666666666</v>
      </c>
      <c r="N140" s="28">
        <f>VLOOKUP($G140,装备属性计算表!$D$14:$O$19,装备属性计算表!K$2,FALSE)/装备属性计算表!K$20*VLOOKUP($H140&amp;$F140,$C$3:$P$28,L$1,FALSE)</f>
        <v>74.074074074074076</v>
      </c>
      <c r="O140" s="28">
        <f>VLOOKUP($G140,装备属性计算表!$D$14:$O$19,装备属性计算表!L$2,FALSE)/装备属性计算表!L$20*VLOOKUP($H140&amp;$F140,$C$3:$P$28,M$1,FALSE)</f>
        <v>0</v>
      </c>
      <c r="P140" s="28">
        <f>VLOOKUP($G140,装备属性计算表!$D$14:$O$19,装备属性计算表!M$2,FALSE)/装备属性计算表!M$20*VLOOKUP($H140&amp;$F140,$C$3:$P$28,N$1,FALSE)</f>
        <v>0</v>
      </c>
      <c r="Q140" s="28">
        <f>VLOOKUP($G140,装备属性计算表!$D$14:$O$19,装备属性计算表!N$2,FALSE)/装备属性计算表!N$20*VLOOKUP($H140&amp;$F140,$C$3:$P$28,O$1,FALSE)</f>
        <v>0</v>
      </c>
      <c r="R140" s="28">
        <f>VLOOKUP($G140,装备属性计算表!$D$14:$O$19,装备属性计算表!O$2,FALSE)/装备属性计算表!O$20*VLOOKUP($H140&amp;$F140,$C$3:$P$28,P$1,FALSE)</f>
        <v>0</v>
      </c>
      <c r="X140" s="28">
        <f>SUM(AY135:AY140)</f>
        <v>3204355</v>
      </c>
      <c r="Y140" s="28">
        <f t="shared" si="69"/>
        <v>0</v>
      </c>
      <c r="Z140" s="28">
        <f t="shared" si="70"/>
        <v>0</v>
      </c>
      <c r="AA140" s="28">
        <f t="shared" si="63"/>
        <v>10</v>
      </c>
      <c r="AB140" s="28">
        <f t="shared" si="71"/>
        <v>0</v>
      </c>
      <c r="AC140" s="28">
        <f t="shared" si="72"/>
        <v>0</v>
      </c>
      <c r="AD140" s="28">
        <f t="shared" si="73"/>
        <v>83</v>
      </c>
      <c r="AE140" s="28">
        <f t="shared" si="74"/>
        <v>415000</v>
      </c>
      <c r="AF140" s="28">
        <f t="shared" si="75"/>
        <v>2225</v>
      </c>
      <c r="AG140" s="28">
        <f t="shared" si="76"/>
        <v>26</v>
      </c>
      <c r="AH140" s="28">
        <f>IF(AG140&gt;0,VLOOKUP(G140,'价值&amp;消耗'!$U$173:$V$178,2,FALSE),0)</f>
        <v>73010</v>
      </c>
      <c r="AI140" s="28">
        <f t="shared" si="77"/>
        <v>1430</v>
      </c>
      <c r="AJ140" s="28">
        <f t="shared" si="78"/>
        <v>4</v>
      </c>
      <c r="AK140" s="28">
        <f>ROUND(IF(COUNTIF($I140:I140,"&gt;0")&gt;$AJ140,0,I140),0)</f>
        <v>0</v>
      </c>
      <c r="AL140" s="28">
        <f>ROUND(IF(COUNTIF($I140:J140,"&gt;0")&gt;$AJ140,0,J140),0)</f>
        <v>80</v>
      </c>
      <c r="AM140" s="28">
        <f>ROUND(IF(COUNTIF($I140:K140,"&gt;0")&gt;$AJ140,0,K140),0)</f>
        <v>0</v>
      </c>
      <c r="AN140" s="28">
        <f>ROUND(IF(COUNTIF($I140:L140,"&gt;0")&gt;$AJ140,0,L140),0)</f>
        <v>63</v>
      </c>
      <c r="AO140" s="28">
        <f>ROUND(IF(COUNTIF($I140:M140,"&gt;0")&gt;$AJ140,0,M140),0)</f>
        <v>104</v>
      </c>
      <c r="AP140" s="28">
        <f>ROUND(IF(COUNTIF($I140:N140,"&gt;0")&gt;$AJ140,0,N140),0)</f>
        <v>74</v>
      </c>
      <c r="AQ140" s="28">
        <f>ROUND(IF(COUNTIF($I140:O140,"&gt;0")&gt;$AJ140,0,O140),0)</f>
        <v>0</v>
      </c>
      <c r="AR140" s="28">
        <f>ROUND(IF(COUNTIF($I140:P140,"&gt;0")&gt;$AJ140,0,P140),0)</f>
        <v>0</v>
      </c>
      <c r="AS140" s="28">
        <f>IF(COUNTIF($I140:Q140,"&gt;0")&gt;$AJ140,0,Q140)</f>
        <v>0</v>
      </c>
      <c r="AT140" s="28">
        <f>IF(COUNTIF($I140:R140,"&gt;0")&gt;$AJ140,0,R140)</f>
        <v>0</v>
      </c>
      <c r="AU140" s="28">
        <f>SUMPRODUCT(AK140:AT140,定义数据!$G$14:$P$14)</f>
        <v>150.1</v>
      </c>
      <c r="AV140" s="28">
        <f t="shared" si="55"/>
        <v>7505</v>
      </c>
      <c r="AW140" s="28">
        <f t="shared" si="66"/>
        <v>7505</v>
      </c>
      <c r="AX140" s="28">
        <f t="shared" si="79"/>
        <v>412775</v>
      </c>
      <c r="AY140" s="28">
        <f t="shared" si="68"/>
        <v>412775</v>
      </c>
    </row>
    <row r="141" spans="3:51" x14ac:dyDescent="0.15">
      <c r="C141" s="28" t="str">
        <f>H141&amp;F141&amp;VLOOKUP(G141,定义数据!$E$1:$F$7,2,FALSE)</f>
        <v>7010</v>
      </c>
      <c r="D141" s="28"/>
      <c r="E141" s="28">
        <f>装备属性计算表!AK140</f>
        <v>20</v>
      </c>
      <c r="F141" s="28">
        <f>装备属性计算表!B140</f>
        <v>1</v>
      </c>
      <c r="G141" s="28" t="str">
        <f>装备属性计算表!C140</f>
        <v>武器</v>
      </c>
      <c r="H141" s="28">
        <f>装备属性计算表!D140</f>
        <v>70</v>
      </c>
      <c r="I141" s="28">
        <f>VLOOKUP($G141,装备属性计算表!$D$14:$O$19,装备属性计算表!F$2,FALSE)/装备属性计算表!F$20*VLOOKUP($H141&amp;$F141,$C$3:$P$28,G$1,FALSE)</f>
        <v>0</v>
      </c>
      <c r="J141" s="28">
        <f>VLOOKUP($G141,装备属性计算表!$D$14:$O$19,装备属性计算表!G$2,FALSE)/装备属性计算表!G$20*VLOOKUP($H141&amp;$F141,$C$3:$P$28,H$1,FALSE)</f>
        <v>143.35118374331554</v>
      </c>
      <c r="K141" s="28">
        <f>VLOOKUP($G141,装备属性计算表!$D$14:$O$19,装备属性计算表!H$2,FALSE)/装备属性计算表!H$20*VLOOKUP($H141&amp;$F141,$C$3:$P$28,I$1,FALSE)</f>
        <v>17.206926863084924</v>
      </c>
      <c r="L141" s="28">
        <f>VLOOKUP($G141,装备属性计算表!$D$14:$O$19,装备属性计算表!I$2,FALSE)/装备属性计算表!I$20*VLOOKUP($H141&amp;$F141,$C$3:$P$28,J$1,FALSE)</f>
        <v>0</v>
      </c>
      <c r="M141" s="28">
        <f>VLOOKUP($G141,装备属性计算表!$D$14:$O$19,装备属性计算表!J$2,FALSE)/装备属性计算表!J$20*VLOOKUP($H141&amp;$F141,$C$3:$P$28,K$1,FALSE)</f>
        <v>62.500000000000007</v>
      </c>
      <c r="N141" s="28">
        <f>VLOOKUP($G141,装备属性计算表!$D$14:$O$19,装备属性计算表!K$2,FALSE)/装备属性计算表!K$20*VLOOKUP($H141&amp;$F141,$C$3:$P$28,L$1,FALSE)</f>
        <v>44.444444444444457</v>
      </c>
      <c r="O141" s="28">
        <f>VLOOKUP($G141,装备属性计算表!$D$14:$O$19,装备属性计算表!L$2,FALSE)/装备属性计算表!L$20*VLOOKUP($H141&amp;$F141,$C$3:$P$28,M$1,FALSE)</f>
        <v>0</v>
      </c>
      <c r="P141" s="28">
        <f>VLOOKUP($G141,装备属性计算表!$D$14:$O$19,装备属性计算表!M$2,FALSE)/装备属性计算表!M$20*VLOOKUP($H141&amp;$F141,$C$3:$P$28,N$1,FALSE)</f>
        <v>0</v>
      </c>
      <c r="Q141" s="28">
        <f>VLOOKUP($G141,装备属性计算表!$D$14:$O$19,装备属性计算表!N$2,FALSE)/装备属性计算表!N$20*VLOOKUP($H141&amp;$F141,$C$3:$P$28,O$1,FALSE)</f>
        <v>0</v>
      </c>
      <c r="R141" s="28">
        <f>VLOOKUP($G141,装备属性计算表!$D$14:$O$19,装备属性计算表!O$2,FALSE)/装备属性计算表!O$20*VLOOKUP($H141&amp;$F141,$C$3:$P$28,P$1,FALSE)</f>
        <v>0</v>
      </c>
      <c r="Y141" s="28">
        <f t="shared" si="69"/>
        <v>0</v>
      </c>
      <c r="Z141" s="28">
        <f t="shared" si="70"/>
        <v>0</v>
      </c>
      <c r="AA141" s="28">
        <f t="shared" si="63"/>
        <v>10</v>
      </c>
      <c r="AB141" s="28">
        <f t="shared" si="71"/>
        <v>0</v>
      </c>
      <c r="AC141" s="28">
        <f t="shared" si="72"/>
        <v>0</v>
      </c>
      <c r="AD141" s="28">
        <f t="shared" si="73"/>
        <v>79</v>
      </c>
      <c r="AE141" s="28">
        <f t="shared" si="74"/>
        <v>395000</v>
      </c>
      <c r="AF141" s="28">
        <f t="shared" si="75"/>
        <v>1750</v>
      </c>
      <c r="AG141" s="28">
        <f t="shared" si="76"/>
        <v>24</v>
      </c>
      <c r="AH141" s="28">
        <f>IF(AG141&gt;0,VLOOKUP(G141,'价值&amp;消耗'!$U$173:$V$178,2,FALSE),0)</f>
        <v>70010</v>
      </c>
      <c r="AI141" s="28">
        <f t="shared" si="77"/>
        <v>1320</v>
      </c>
      <c r="AJ141" s="28">
        <f t="shared" si="78"/>
        <v>1</v>
      </c>
      <c r="AK141" s="28">
        <f>ROUND(IF(COUNTIF($I141:I141,"&gt;0")&gt;$AJ141,0,I141),0)</f>
        <v>0</v>
      </c>
      <c r="AL141" s="28">
        <f>ROUND(IF(COUNTIF($I141:J141,"&gt;0")&gt;$AJ141,0,J141),0)</f>
        <v>143</v>
      </c>
      <c r="AM141" s="28">
        <f>ROUND(IF(COUNTIF($I141:K141,"&gt;0")&gt;$AJ141,0,K141),0)</f>
        <v>0</v>
      </c>
      <c r="AN141" s="28">
        <f>ROUND(IF(COUNTIF($I141:L141,"&gt;0")&gt;$AJ141,0,L141),0)</f>
        <v>0</v>
      </c>
      <c r="AO141" s="28">
        <f>ROUND(IF(COUNTIF($I141:M141,"&gt;0")&gt;$AJ141,0,M141),0)</f>
        <v>0</v>
      </c>
      <c r="AP141" s="28">
        <f>ROUND(IF(COUNTIF($I141:N141,"&gt;0")&gt;$AJ141,0,N141),0)</f>
        <v>0</v>
      </c>
      <c r="AQ141" s="28">
        <f>ROUND(IF(COUNTIF($I141:O141,"&gt;0")&gt;$AJ141,0,O141),0)</f>
        <v>0</v>
      </c>
      <c r="AR141" s="28">
        <f>ROUND(IF(COUNTIF($I141:P141,"&gt;0")&gt;$AJ141,0,P141),0)</f>
        <v>0</v>
      </c>
      <c r="AS141" s="28">
        <f>IF(COUNTIF($I141:Q141,"&gt;0")&gt;$AJ141,0,Q141)</f>
        <v>0</v>
      </c>
      <c r="AT141" s="28">
        <f>IF(COUNTIF($I141:R141,"&gt;0")&gt;$AJ141,0,R141)</f>
        <v>0</v>
      </c>
      <c r="AU141" s="28">
        <f>SUMPRODUCT(AK141:AT141,定义数据!$G$14:$P$14)</f>
        <v>143</v>
      </c>
      <c r="AV141" s="28">
        <f t="shared" si="55"/>
        <v>7150</v>
      </c>
      <c r="AW141" s="28">
        <f t="shared" si="66"/>
        <v>7150</v>
      </c>
      <c r="AX141" s="28">
        <f t="shared" si="79"/>
        <v>393250</v>
      </c>
      <c r="AY141" s="28">
        <f t="shared" si="68"/>
        <v>393250</v>
      </c>
    </row>
    <row r="142" spans="3:51" x14ac:dyDescent="0.15">
      <c r="C142" s="28" t="str">
        <f>H142&amp;F142&amp;VLOOKUP(G142,定义数据!$E$1:$F$7,2,FALSE)</f>
        <v>7011</v>
      </c>
      <c r="D142" s="28"/>
      <c r="E142" s="28">
        <f>装备属性计算表!AK141</f>
        <v>20</v>
      </c>
      <c r="F142" s="28">
        <f>装备属性计算表!B141</f>
        <v>1</v>
      </c>
      <c r="G142" s="28" t="str">
        <f>装备属性计算表!C141</f>
        <v>衣服</v>
      </c>
      <c r="H142" s="28">
        <f>装备属性计算表!D141</f>
        <v>70</v>
      </c>
      <c r="I142" s="28">
        <f>VLOOKUP($G142,装备属性计算表!$D$14:$O$19,装备属性计算表!F$2,FALSE)/装备属性计算表!F$20*VLOOKUP($H142&amp;$F142,$C$3:$P$28,G$1,FALSE)</f>
        <v>1567.9263927936222</v>
      </c>
      <c r="J142" s="28">
        <f>VLOOKUP($G142,装备属性计算表!$D$14:$O$19,装备属性计算表!G$2,FALSE)/装备属性计算表!G$20*VLOOKUP($H142&amp;$F142,$C$3:$P$28,H$1,FALSE)</f>
        <v>0</v>
      </c>
      <c r="K142" s="28">
        <f>VLOOKUP($G142,装备属性计算表!$D$14:$O$19,装备属性计算表!H$2,FALSE)/装备属性计算表!H$20*VLOOKUP($H142&amp;$F142,$C$3:$P$28,I$1,FALSE)</f>
        <v>51.620780589254778</v>
      </c>
      <c r="L142" s="28">
        <f>VLOOKUP($G142,装备属性计算表!$D$14:$O$19,装备属性计算表!I$2,FALSE)/装备属性计算表!I$20*VLOOKUP($H142&amp;$F142,$C$3:$P$28,J$1,FALSE)</f>
        <v>37.500000000000007</v>
      </c>
      <c r="M142" s="28">
        <f>VLOOKUP($G142,装备属性计算表!$D$14:$O$19,装备属性计算表!J$2,FALSE)/装备属性计算表!J$20*VLOOKUP($H142&amp;$F142,$C$3:$P$28,K$1,FALSE)</f>
        <v>0</v>
      </c>
      <c r="N142" s="28">
        <f>VLOOKUP($G142,装备属性计算表!$D$14:$O$19,装备属性计算表!K$2,FALSE)/装备属性计算表!K$20*VLOOKUP($H142&amp;$F142,$C$3:$P$28,L$1,FALSE)</f>
        <v>0</v>
      </c>
      <c r="O142" s="28">
        <f>VLOOKUP($G142,装备属性计算表!$D$14:$O$19,装备属性计算表!L$2,FALSE)/装备属性计算表!L$20*VLOOKUP($H142&amp;$F142,$C$3:$P$28,M$1,FALSE)</f>
        <v>0</v>
      </c>
      <c r="P142" s="28">
        <f>VLOOKUP($G142,装备属性计算表!$D$14:$O$19,装备属性计算表!M$2,FALSE)/装备属性计算表!M$20*VLOOKUP($H142&amp;$F142,$C$3:$P$28,N$1,FALSE)</f>
        <v>37.037037037037038</v>
      </c>
      <c r="Q142" s="28">
        <f>VLOOKUP($G142,装备属性计算表!$D$14:$O$19,装备属性计算表!N$2,FALSE)/装备属性计算表!N$20*VLOOKUP($H142&amp;$F142,$C$3:$P$28,O$1,FALSE)</f>
        <v>0</v>
      </c>
      <c r="R142" s="28">
        <f>VLOOKUP($G142,装备属性计算表!$D$14:$O$19,装备属性计算表!O$2,FALSE)/装备属性计算表!O$20*VLOOKUP($H142&amp;$F142,$C$3:$P$28,P$1,FALSE)</f>
        <v>0</v>
      </c>
      <c r="Y142" s="28">
        <f t="shared" si="69"/>
        <v>0</v>
      </c>
      <c r="Z142" s="28">
        <f t="shared" si="70"/>
        <v>1</v>
      </c>
      <c r="AA142" s="28">
        <f t="shared" si="63"/>
        <v>10</v>
      </c>
      <c r="AB142" s="28">
        <f t="shared" si="71"/>
        <v>0</v>
      </c>
      <c r="AC142" s="28">
        <f t="shared" si="72"/>
        <v>4</v>
      </c>
      <c r="AD142" s="28">
        <f t="shared" si="73"/>
        <v>34</v>
      </c>
      <c r="AE142" s="28">
        <f t="shared" si="74"/>
        <v>174000</v>
      </c>
      <c r="AF142" s="28">
        <f t="shared" si="75"/>
        <v>1520</v>
      </c>
      <c r="AG142" s="28">
        <f t="shared" si="76"/>
        <v>11</v>
      </c>
      <c r="AH142" s="28">
        <f>IF(AG142&gt;0,VLOOKUP(G142,'价值&amp;消耗'!$U$173:$V$178,2,FALSE),0)</f>
        <v>71010</v>
      </c>
      <c r="AI142" s="28">
        <f t="shared" si="77"/>
        <v>605</v>
      </c>
      <c r="AJ142" s="28">
        <f t="shared" si="78"/>
        <v>1</v>
      </c>
      <c r="AK142" s="28">
        <f>ROUND(IF(COUNTIF($I142:I142,"&gt;0")&gt;$AJ142,0,I142),0)</f>
        <v>1568</v>
      </c>
      <c r="AL142" s="28">
        <f>ROUND(IF(COUNTIF($I142:J142,"&gt;0")&gt;$AJ142,0,J142),0)</f>
        <v>0</v>
      </c>
      <c r="AM142" s="28">
        <f>ROUND(IF(COUNTIF($I142:K142,"&gt;0")&gt;$AJ142,0,K142),0)</f>
        <v>0</v>
      </c>
      <c r="AN142" s="28">
        <f>ROUND(IF(COUNTIF($I142:L142,"&gt;0")&gt;$AJ142,0,L142),0)</f>
        <v>0</v>
      </c>
      <c r="AO142" s="28">
        <f>ROUND(IF(COUNTIF($I142:M142,"&gt;0")&gt;$AJ142,0,M142),0)</f>
        <v>0</v>
      </c>
      <c r="AP142" s="28">
        <f>ROUND(IF(COUNTIF($I142:N142,"&gt;0")&gt;$AJ142,0,N142),0)</f>
        <v>0</v>
      </c>
      <c r="AQ142" s="28">
        <f>ROUND(IF(COUNTIF($I142:O142,"&gt;0")&gt;$AJ142,0,O142),0)</f>
        <v>0</v>
      </c>
      <c r="AR142" s="28">
        <f>ROUND(IF(COUNTIF($I142:P142,"&gt;0")&gt;$AJ142,0,P142),0)</f>
        <v>0</v>
      </c>
      <c r="AS142" s="28">
        <f>IF(COUNTIF($I142:Q142,"&gt;0")&gt;$AJ142,0,Q142)</f>
        <v>0</v>
      </c>
      <c r="AT142" s="28">
        <f>IF(COUNTIF($I142:R142,"&gt;0")&gt;$AJ142,0,R142)</f>
        <v>0</v>
      </c>
      <c r="AU142" s="28">
        <f>SUMPRODUCT(AK142:AT142,定义数据!$G$14:$P$14)</f>
        <v>62.72</v>
      </c>
      <c r="AV142" s="28">
        <f t="shared" si="55"/>
        <v>3136</v>
      </c>
      <c r="AW142" s="28">
        <f t="shared" si="66"/>
        <v>3136</v>
      </c>
      <c r="AX142" s="28">
        <f t="shared" si="79"/>
        <v>172480</v>
      </c>
      <c r="AY142" s="28">
        <f t="shared" si="68"/>
        <v>172480</v>
      </c>
    </row>
    <row r="143" spans="3:51" x14ac:dyDescent="0.15">
      <c r="C143" s="28" t="str">
        <f>H143&amp;F143&amp;VLOOKUP(G143,定义数据!$E$1:$F$7,2,FALSE)</f>
        <v>7012</v>
      </c>
      <c r="D143" s="28"/>
      <c r="E143" s="28">
        <f>装备属性计算表!AK142</f>
        <v>20</v>
      </c>
      <c r="F143" s="28">
        <f>装备属性计算表!B142</f>
        <v>1</v>
      </c>
      <c r="G143" s="28" t="str">
        <f>装备属性计算表!C142</f>
        <v>裤子</v>
      </c>
      <c r="H143" s="28">
        <f>装备属性计算表!D142</f>
        <v>70</v>
      </c>
      <c r="I143" s="28">
        <f>VLOOKUP($G143,装备属性计算表!$D$14:$O$19,装备属性计算表!F$2,FALSE)/装备属性计算表!F$20*VLOOKUP($H143&amp;$F143,$C$3:$P$28,G$1,FALSE)</f>
        <v>783.9631963968111</v>
      </c>
      <c r="J143" s="28">
        <f>VLOOKUP($G143,装备属性计算表!$D$14:$O$19,装备属性计算表!G$2,FALSE)/装备属性计算表!G$20*VLOOKUP($H143&amp;$F143,$C$3:$P$28,H$1,FALSE)</f>
        <v>0</v>
      </c>
      <c r="K143" s="28">
        <f>VLOOKUP($G143,装备属性计算表!$D$14:$O$19,装备属性计算表!H$2,FALSE)/装备属性计算表!H$20*VLOOKUP($H143&amp;$F143,$C$3:$P$28,I$1,FALSE)</f>
        <v>17.206926863084924</v>
      </c>
      <c r="L143" s="28">
        <f>VLOOKUP($G143,装备属性计算表!$D$14:$O$19,装备属性计算表!I$2,FALSE)/装备属性计算表!I$20*VLOOKUP($H143&amp;$F143,$C$3:$P$28,J$1,FALSE)</f>
        <v>37.500000000000007</v>
      </c>
      <c r="M143" s="28">
        <f>VLOOKUP($G143,装备属性计算表!$D$14:$O$19,装备属性计算表!J$2,FALSE)/装备属性计算表!J$20*VLOOKUP($H143&amp;$F143,$C$3:$P$28,K$1,FALSE)</f>
        <v>0</v>
      </c>
      <c r="N143" s="28">
        <f>VLOOKUP($G143,装备属性计算表!$D$14:$O$19,装备属性计算表!K$2,FALSE)/装备属性计算表!K$20*VLOOKUP($H143&amp;$F143,$C$3:$P$28,L$1,FALSE)</f>
        <v>0</v>
      </c>
      <c r="O143" s="28">
        <f>VLOOKUP($G143,装备属性计算表!$D$14:$O$19,装备属性计算表!L$2,FALSE)/装备属性计算表!L$20*VLOOKUP($H143&amp;$F143,$C$3:$P$28,M$1,FALSE)</f>
        <v>0</v>
      </c>
      <c r="P143" s="28">
        <f>VLOOKUP($G143,装备属性计算表!$D$14:$O$19,装备属性计算表!M$2,FALSE)/装备属性计算表!M$20*VLOOKUP($H143&amp;$F143,$C$3:$P$28,N$1,FALSE)</f>
        <v>37.037037037037038</v>
      </c>
      <c r="Q143" s="28">
        <f>VLOOKUP($G143,装备属性计算表!$D$14:$O$19,装备属性计算表!N$2,FALSE)/装备属性计算表!N$20*VLOOKUP($H143&amp;$F143,$C$3:$P$28,O$1,FALSE)</f>
        <v>0</v>
      </c>
      <c r="R143" s="28">
        <f>VLOOKUP($G143,装备属性计算表!$D$14:$O$19,装备属性计算表!O$2,FALSE)/装备属性计算表!O$20*VLOOKUP($H143&amp;$F143,$C$3:$P$28,P$1,FALSE)</f>
        <v>0</v>
      </c>
      <c r="Y143" s="28">
        <f t="shared" si="69"/>
        <v>0</v>
      </c>
      <c r="Z143" s="28">
        <f t="shared" si="70"/>
        <v>3</v>
      </c>
      <c r="AA143" s="28">
        <f t="shared" si="63"/>
        <v>10</v>
      </c>
      <c r="AB143" s="28">
        <f t="shared" si="71"/>
        <v>0</v>
      </c>
      <c r="AC143" s="28">
        <f t="shared" si="72"/>
        <v>10</v>
      </c>
      <c r="AD143" s="28">
        <f t="shared" si="73"/>
        <v>16</v>
      </c>
      <c r="AE143" s="28">
        <f t="shared" si="74"/>
        <v>90000</v>
      </c>
      <c r="AF143" s="28">
        <f t="shared" si="75"/>
        <v>3760</v>
      </c>
      <c r="AG143" s="28">
        <f t="shared" si="76"/>
        <v>6</v>
      </c>
      <c r="AH143" s="28">
        <f>IF(AG143&gt;0,VLOOKUP(G143,'价值&amp;消耗'!$U$173:$V$178,2,FALSE),0)</f>
        <v>72010</v>
      </c>
      <c r="AI143" s="28">
        <f t="shared" si="77"/>
        <v>330</v>
      </c>
      <c r="AJ143" s="28">
        <f t="shared" si="78"/>
        <v>1</v>
      </c>
      <c r="AK143" s="28">
        <f>ROUND(IF(COUNTIF($I143:I143,"&gt;0")&gt;$AJ143,0,I143),0)</f>
        <v>784</v>
      </c>
      <c r="AL143" s="28">
        <f>ROUND(IF(COUNTIF($I143:J143,"&gt;0")&gt;$AJ143,0,J143),0)</f>
        <v>0</v>
      </c>
      <c r="AM143" s="28">
        <f>ROUND(IF(COUNTIF($I143:K143,"&gt;0")&gt;$AJ143,0,K143),0)</f>
        <v>0</v>
      </c>
      <c r="AN143" s="28">
        <f>ROUND(IF(COUNTIF($I143:L143,"&gt;0")&gt;$AJ143,0,L143),0)</f>
        <v>0</v>
      </c>
      <c r="AO143" s="28">
        <f>ROUND(IF(COUNTIF($I143:M143,"&gt;0")&gt;$AJ143,0,M143),0)</f>
        <v>0</v>
      </c>
      <c r="AP143" s="28">
        <f>ROUND(IF(COUNTIF($I143:N143,"&gt;0")&gt;$AJ143,0,N143),0)</f>
        <v>0</v>
      </c>
      <c r="AQ143" s="28">
        <f>ROUND(IF(COUNTIF($I143:O143,"&gt;0")&gt;$AJ143,0,O143),0)</f>
        <v>0</v>
      </c>
      <c r="AR143" s="28">
        <f>ROUND(IF(COUNTIF($I143:P143,"&gt;0")&gt;$AJ143,0,P143),0)</f>
        <v>0</v>
      </c>
      <c r="AS143" s="28">
        <f>IF(COUNTIF($I143:Q143,"&gt;0")&gt;$AJ143,0,Q143)</f>
        <v>0</v>
      </c>
      <c r="AT143" s="28">
        <f>IF(COUNTIF($I143:R143,"&gt;0")&gt;$AJ143,0,R143)</f>
        <v>0</v>
      </c>
      <c r="AU143" s="28">
        <f>SUMPRODUCT(AK143:AT143,定义数据!$G$14:$P$14)</f>
        <v>31.36</v>
      </c>
      <c r="AV143" s="28">
        <f t="shared" si="55"/>
        <v>1568</v>
      </c>
      <c r="AW143" s="28">
        <f t="shared" si="66"/>
        <v>1568</v>
      </c>
      <c r="AX143" s="28">
        <f t="shared" si="79"/>
        <v>86240</v>
      </c>
      <c r="AY143" s="28">
        <f t="shared" si="68"/>
        <v>86240</v>
      </c>
    </row>
    <row r="144" spans="3:51" x14ac:dyDescent="0.15">
      <c r="C144" s="28" t="str">
        <f>H144&amp;F144&amp;VLOOKUP(G144,定义数据!$E$1:$F$7,2,FALSE)</f>
        <v>7015</v>
      </c>
      <c r="D144" s="28"/>
      <c r="E144" s="28">
        <f>装备属性计算表!AK143</f>
        <v>20</v>
      </c>
      <c r="F144" s="28">
        <f>装备属性计算表!B143</f>
        <v>1</v>
      </c>
      <c r="G144" s="28" t="str">
        <f>装备属性计算表!C143</f>
        <v>鞋子</v>
      </c>
      <c r="H144" s="28">
        <f>装备属性计算表!D143</f>
        <v>70</v>
      </c>
      <c r="I144" s="28">
        <f>VLOOKUP($G144,装备属性计算表!$D$14:$O$19,装备属性计算表!F$2,FALSE)/装备属性计算表!F$20*VLOOKUP($H144&amp;$F144,$C$3:$P$28,G$1,FALSE)</f>
        <v>783.9631963968111</v>
      </c>
      <c r="J144" s="28">
        <f>VLOOKUP($G144,装备属性计算表!$D$14:$O$19,装备属性计算表!G$2,FALSE)/装备属性计算表!G$20*VLOOKUP($H144&amp;$F144,$C$3:$P$28,H$1,FALSE)</f>
        <v>0</v>
      </c>
      <c r="K144" s="28">
        <f>VLOOKUP($G144,装备属性计算表!$D$14:$O$19,装备属性计算表!H$2,FALSE)/装备属性计算表!H$20*VLOOKUP($H144&amp;$F144,$C$3:$P$28,I$1,FALSE)</f>
        <v>0</v>
      </c>
      <c r="L144" s="28">
        <f>VLOOKUP($G144,装备属性计算表!$D$14:$O$19,装备属性计算表!I$2,FALSE)/装备属性计算表!I$20*VLOOKUP($H144&amp;$F144,$C$3:$P$28,J$1,FALSE)</f>
        <v>75.000000000000014</v>
      </c>
      <c r="M144" s="28">
        <f>VLOOKUP($G144,装备属性计算表!$D$14:$O$19,装备属性计算表!J$2,FALSE)/装备属性计算表!J$20*VLOOKUP($H144&amp;$F144,$C$3:$P$28,K$1,FALSE)</f>
        <v>62.500000000000007</v>
      </c>
      <c r="N144" s="28">
        <f>VLOOKUP($G144,装备属性计算表!$D$14:$O$19,装备属性计算表!K$2,FALSE)/装备属性计算表!K$20*VLOOKUP($H144&amp;$F144,$C$3:$P$28,L$1,FALSE)</f>
        <v>22.222222222222229</v>
      </c>
      <c r="O144" s="28">
        <f>VLOOKUP($G144,装备属性计算表!$D$14:$O$19,装备属性计算表!L$2,FALSE)/装备属性计算表!L$20*VLOOKUP($H144&amp;$F144,$C$3:$P$28,M$1,FALSE)</f>
        <v>0</v>
      </c>
      <c r="P144" s="28">
        <f>VLOOKUP($G144,装备属性计算表!$D$14:$O$19,装备属性计算表!M$2,FALSE)/装备属性计算表!M$20*VLOOKUP($H144&amp;$F144,$C$3:$P$28,N$1,FALSE)</f>
        <v>0</v>
      </c>
      <c r="Q144" s="28">
        <f>VLOOKUP($G144,装备属性计算表!$D$14:$O$19,装备属性计算表!N$2,FALSE)/装备属性计算表!N$20*VLOOKUP($H144&amp;$F144,$C$3:$P$28,O$1,FALSE)</f>
        <v>0</v>
      </c>
      <c r="R144" s="28">
        <f>VLOOKUP($G144,装备属性计算表!$D$14:$O$19,装备属性计算表!O$2,FALSE)/装备属性计算表!O$20*VLOOKUP($H144&amp;$F144,$C$3:$P$28,P$1,FALSE)</f>
        <v>0</v>
      </c>
      <c r="Y144" s="28">
        <f t="shared" si="69"/>
        <v>0</v>
      </c>
      <c r="Z144" s="28">
        <f t="shared" si="70"/>
        <v>3</v>
      </c>
      <c r="AA144" s="28">
        <f t="shared" si="63"/>
        <v>10</v>
      </c>
      <c r="AB144" s="28">
        <f t="shared" si="71"/>
        <v>0</v>
      </c>
      <c r="AC144" s="28">
        <f t="shared" si="72"/>
        <v>10</v>
      </c>
      <c r="AD144" s="28">
        <f t="shared" si="73"/>
        <v>16</v>
      </c>
      <c r="AE144" s="28">
        <f t="shared" si="74"/>
        <v>90000</v>
      </c>
      <c r="AF144" s="28">
        <f t="shared" si="75"/>
        <v>3760</v>
      </c>
      <c r="AG144" s="28">
        <f t="shared" si="76"/>
        <v>6</v>
      </c>
      <c r="AH144" s="28">
        <f>IF(AG144&gt;0,VLOOKUP(G144,'价值&amp;消耗'!$U$173:$V$178,2,FALSE),0)</f>
        <v>75010</v>
      </c>
      <c r="AI144" s="28">
        <f t="shared" si="77"/>
        <v>330</v>
      </c>
      <c r="AJ144" s="28">
        <f t="shared" si="78"/>
        <v>1</v>
      </c>
      <c r="AK144" s="28">
        <f>ROUND(IF(COUNTIF($I144:I144,"&gt;0")&gt;$AJ144,0,I144),0)</f>
        <v>784</v>
      </c>
      <c r="AL144" s="28">
        <f>ROUND(IF(COUNTIF($I144:J144,"&gt;0")&gt;$AJ144,0,J144),0)</f>
        <v>0</v>
      </c>
      <c r="AM144" s="28">
        <f>ROUND(IF(COUNTIF($I144:K144,"&gt;0")&gt;$AJ144,0,K144),0)</f>
        <v>0</v>
      </c>
      <c r="AN144" s="28">
        <f>ROUND(IF(COUNTIF($I144:L144,"&gt;0")&gt;$AJ144,0,L144),0)</f>
        <v>0</v>
      </c>
      <c r="AO144" s="28">
        <f>ROUND(IF(COUNTIF($I144:M144,"&gt;0")&gt;$AJ144,0,M144),0)</f>
        <v>0</v>
      </c>
      <c r="AP144" s="28">
        <f>ROUND(IF(COUNTIF($I144:N144,"&gt;0")&gt;$AJ144,0,N144),0)</f>
        <v>0</v>
      </c>
      <c r="AQ144" s="28">
        <f>ROUND(IF(COUNTIF($I144:O144,"&gt;0")&gt;$AJ144,0,O144),0)</f>
        <v>0</v>
      </c>
      <c r="AR144" s="28">
        <f>ROUND(IF(COUNTIF($I144:P144,"&gt;0")&gt;$AJ144,0,P144),0)</f>
        <v>0</v>
      </c>
      <c r="AS144" s="28">
        <f>IF(COUNTIF($I144:Q144,"&gt;0")&gt;$AJ144,0,Q144)</f>
        <v>0</v>
      </c>
      <c r="AT144" s="28">
        <f>IF(COUNTIF($I144:R144,"&gt;0")&gt;$AJ144,0,R144)</f>
        <v>0</v>
      </c>
      <c r="AU144" s="28">
        <f>SUMPRODUCT(AK144:AT144,定义数据!$G$14:$P$14)</f>
        <v>31.36</v>
      </c>
      <c r="AV144" s="28">
        <f t="shared" si="55"/>
        <v>1568</v>
      </c>
      <c r="AW144" s="28">
        <f t="shared" si="66"/>
        <v>1568</v>
      </c>
      <c r="AX144" s="28">
        <f t="shared" si="79"/>
        <v>86240</v>
      </c>
      <c r="AY144" s="28">
        <f t="shared" si="68"/>
        <v>86240</v>
      </c>
    </row>
    <row r="145" spans="3:51" x14ac:dyDescent="0.15">
      <c r="C145" s="28" t="str">
        <f>H145&amp;F145&amp;VLOOKUP(G145,定义数据!$E$1:$F$7,2,FALSE)</f>
        <v>7014</v>
      </c>
      <c r="D145" s="28"/>
      <c r="E145" s="28">
        <f>装备属性计算表!AK144</f>
        <v>20</v>
      </c>
      <c r="F145" s="28">
        <f>装备属性计算表!B144</f>
        <v>1</v>
      </c>
      <c r="G145" s="28" t="str">
        <f>装备属性计算表!C144</f>
        <v>腰带</v>
      </c>
      <c r="H145" s="28">
        <f>装备属性计算表!D144</f>
        <v>70</v>
      </c>
      <c r="I145" s="28">
        <f>VLOOKUP($G145,装备属性计算表!$D$14:$O$19,装备属性计算表!F$2,FALSE)/装备属性计算表!F$20*VLOOKUP($H145&amp;$F145,$C$3:$P$28,G$1,FALSE)</f>
        <v>1567.9263927936222</v>
      </c>
      <c r="J145" s="28">
        <f>VLOOKUP($G145,装备属性计算表!$D$14:$O$19,装备属性计算表!G$2,FALSE)/装备属性计算表!G$20*VLOOKUP($H145&amp;$F145,$C$3:$P$28,H$1,FALSE)</f>
        <v>47.783727914438522</v>
      </c>
      <c r="K145" s="28">
        <f>VLOOKUP($G145,装备属性计算表!$D$14:$O$19,装备属性计算表!H$2,FALSE)/装备属性计算表!H$20*VLOOKUP($H145&amp;$F145,$C$3:$P$28,I$1,FALSE)</f>
        <v>17.206926863084924</v>
      </c>
      <c r="L145" s="28">
        <f>VLOOKUP($G145,装备属性计算表!$D$14:$O$19,装备属性计算表!I$2,FALSE)/装备属性计算表!I$20*VLOOKUP($H145&amp;$F145,$C$3:$P$28,J$1,FALSE)</f>
        <v>0</v>
      </c>
      <c r="M145" s="28">
        <f>VLOOKUP($G145,装备属性计算表!$D$14:$O$19,装备属性计算表!J$2,FALSE)/装备属性计算表!J$20*VLOOKUP($H145&amp;$F145,$C$3:$P$28,K$1,FALSE)</f>
        <v>0</v>
      </c>
      <c r="N145" s="28">
        <f>VLOOKUP($G145,装备属性计算表!$D$14:$O$19,装备属性计算表!K$2,FALSE)/装备属性计算表!K$20*VLOOKUP($H145&amp;$F145,$C$3:$P$28,L$1,FALSE)</f>
        <v>0</v>
      </c>
      <c r="O145" s="28">
        <f>VLOOKUP($G145,装备属性计算表!$D$14:$O$19,装备属性计算表!L$2,FALSE)/装备属性计算表!L$20*VLOOKUP($H145&amp;$F145,$C$3:$P$28,M$1,FALSE)</f>
        <v>0</v>
      </c>
      <c r="P145" s="28">
        <f>VLOOKUP($G145,装备属性计算表!$D$14:$O$19,装备属性计算表!M$2,FALSE)/装备属性计算表!M$20*VLOOKUP($H145&amp;$F145,$C$3:$P$28,N$1,FALSE)</f>
        <v>37.037037037037038</v>
      </c>
      <c r="Q145" s="28">
        <f>VLOOKUP($G145,装备属性计算表!$D$14:$O$19,装备属性计算表!N$2,FALSE)/装备属性计算表!N$20*VLOOKUP($H145&amp;$F145,$C$3:$P$28,O$1,FALSE)</f>
        <v>0</v>
      </c>
      <c r="R145" s="28">
        <f>VLOOKUP($G145,装备属性计算表!$D$14:$O$19,装备属性计算表!O$2,FALSE)/装备属性计算表!O$20*VLOOKUP($H145&amp;$F145,$C$3:$P$28,P$1,FALSE)</f>
        <v>0</v>
      </c>
      <c r="Y145" s="28">
        <f t="shared" si="69"/>
        <v>0</v>
      </c>
      <c r="Z145" s="28">
        <f t="shared" si="70"/>
        <v>1</v>
      </c>
      <c r="AA145" s="28">
        <f t="shared" si="63"/>
        <v>10</v>
      </c>
      <c r="AB145" s="28">
        <f t="shared" si="71"/>
        <v>0</v>
      </c>
      <c r="AC145" s="28">
        <f t="shared" si="72"/>
        <v>4</v>
      </c>
      <c r="AD145" s="28">
        <f t="shared" si="73"/>
        <v>34</v>
      </c>
      <c r="AE145" s="28">
        <f t="shared" si="74"/>
        <v>174000</v>
      </c>
      <c r="AF145" s="28">
        <f t="shared" si="75"/>
        <v>1520</v>
      </c>
      <c r="AG145" s="28">
        <f t="shared" si="76"/>
        <v>11</v>
      </c>
      <c r="AH145" s="28">
        <f>IF(AG145&gt;0,VLOOKUP(G145,'价值&amp;消耗'!$U$173:$V$178,2,FALSE),0)</f>
        <v>74010</v>
      </c>
      <c r="AI145" s="28">
        <f t="shared" si="77"/>
        <v>605</v>
      </c>
      <c r="AJ145" s="28">
        <f t="shared" si="78"/>
        <v>1</v>
      </c>
      <c r="AK145" s="28">
        <f>ROUND(IF(COUNTIF($I145:I145,"&gt;0")&gt;$AJ145,0,I145),0)</f>
        <v>1568</v>
      </c>
      <c r="AL145" s="28">
        <f>ROUND(IF(COUNTIF($I145:J145,"&gt;0")&gt;$AJ145,0,J145),0)</f>
        <v>0</v>
      </c>
      <c r="AM145" s="28">
        <f>ROUND(IF(COUNTIF($I145:K145,"&gt;0")&gt;$AJ145,0,K145),0)</f>
        <v>0</v>
      </c>
      <c r="AN145" s="28">
        <f>ROUND(IF(COUNTIF($I145:L145,"&gt;0")&gt;$AJ145,0,L145),0)</f>
        <v>0</v>
      </c>
      <c r="AO145" s="28">
        <f>ROUND(IF(COUNTIF($I145:M145,"&gt;0")&gt;$AJ145,0,M145),0)</f>
        <v>0</v>
      </c>
      <c r="AP145" s="28">
        <f>ROUND(IF(COUNTIF($I145:N145,"&gt;0")&gt;$AJ145,0,N145),0)</f>
        <v>0</v>
      </c>
      <c r="AQ145" s="28">
        <f>ROUND(IF(COUNTIF($I145:O145,"&gt;0")&gt;$AJ145,0,O145),0)</f>
        <v>0</v>
      </c>
      <c r="AR145" s="28">
        <f>ROUND(IF(COUNTIF($I145:P145,"&gt;0")&gt;$AJ145,0,P145),0)</f>
        <v>0</v>
      </c>
      <c r="AS145" s="28">
        <f>IF(COUNTIF($I145:Q145,"&gt;0")&gt;$AJ145,0,Q145)</f>
        <v>0</v>
      </c>
      <c r="AT145" s="28">
        <f>IF(COUNTIF($I145:R145,"&gt;0")&gt;$AJ145,0,R145)</f>
        <v>0</v>
      </c>
      <c r="AU145" s="28">
        <f>SUMPRODUCT(AK145:AT145,定义数据!$G$14:$P$14)</f>
        <v>62.72</v>
      </c>
      <c r="AV145" s="28">
        <f t="shared" si="55"/>
        <v>3136</v>
      </c>
      <c r="AW145" s="28">
        <f t="shared" si="66"/>
        <v>3136</v>
      </c>
      <c r="AX145" s="28">
        <f t="shared" si="79"/>
        <v>172480</v>
      </c>
      <c r="AY145" s="28">
        <f t="shared" si="68"/>
        <v>172480</v>
      </c>
    </row>
    <row r="146" spans="3:51" x14ac:dyDescent="0.15">
      <c r="C146" s="28" t="str">
        <f>H146&amp;F146&amp;VLOOKUP(G146,定义数据!$E$1:$F$7,2,FALSE)</f>
        <v>7013</v>
      </c>
      <c r="D146" s="28"/>
      <c r="E146" s="28">
        <f>装备属性计算表!AK145</f>
        <v>20</v>
      </c>
      <c r="F146" s="28">
        <f>装备属性计算表!B145</f>
        <v>1</v>
      </c>
      <c r="G146" s="28" t="str">
        <f>装备属性计算表!C145</f>
        <v>项链</v>
      </c>
      <c r="H146" s="28">
        <f>装备属性计算表!D145</f>
        <v>70</v>
      </c>
      <c r="I146" s="28">
        <f>VLOOKUP($G146,装备属性计算表!$D$14:$O$19,装备属性计算表!F$2,FALSE)/装备属性计算表!F$20*VLOOKUP($H146&amp;$F146,$C$3:$P$28,G$1,FALSE)</f>
        <v>0</v>
      </c>
      <c r="J146" s="28">
        <f>VLOOKUP($G146,装备属性计算表!$D$14:$O$19,装备属性计算表!G$2,FALSE)/装备属性计算表!G$20*VLOOKUP($H146&amp;$F146,$C$3:$P$28,H$1,FALSE)</f>
        <v>47.783727914438522</v>
      </c>
      <c r="K146" s="28">
        <f>VLOOKUP($G146,装备属性计算表!$D$14:$O$19,装备属性计算表!H$2,FALSE)/装备属性计算表!H$20*VLOOKUP($H146&amp;$F146,$C$3:$P$28,I$1,FALSE)</f>
        <v>0</v>
      </c>
      <c r="L146" s="28">
        <f>VLOOKUP($G146,装备属性计算表!$D$14:$O$19,装备属性计算表!I$2,FALSE)/装备属性计算表!I$20*VLOOKUP($H146&amp;$F146,$C$3:$P$28,J$1,FALSE)</f>
        <v>37.500000000000007</v>
      </c>
      <c r="M146" s="28">
        <f>VLOOKUP($G146,装备属性计算表!$D$14:$O$19,装备属性计算表!J$2,FALSE)/装备属性计算表!J$20*VLOOKUP($H146&amp;$F146,$C$3:$P$28,K$1,FALSE)</f>
        <v>62.500000000000007</v>
      </c>
      <c r="N146" s="28">
        <f>VLOOKUP($G146,装备属性计算表!$D$14:$O$19,装备属性计算表!K$2,FALSE)/装备属性计算表!K$20*VLOOKUP($H146&amp;$F146,$C$3:$P$28,L$1,FALSE)</f>
        <v>44.444444444444457</v>
      </c>
      <c r="O146" s="28">
        <f>VLOOKUP($G146,装备属性计算表!$D$14:$O$19,装备属性计算表!L$2,FALSE)/装备属性计算表!L$20*VLOOKUP($H146&amp;$F146,$C$3:$P$28,M$1,FALSE)</f>
        <v>0</v>
      </c>
      <c r="P146" s="28">
        <f>VLOOKUP($G146,装备属性计算表!$D$14:$O$19,装备属性计算表!M$2,FALSE)/装备属性计算表!M$20*VLOOKUP($H146&amp;$F146,$C$3:$P$28,N$1,FALSE)</f>
        <v>0</v>
      </c>
      <c r="Q146" s="28">
        <f>VLOOKUP($G146,装备属性计算表!$D$14:$O$19,装备属性计算表!N$2,FALSE)/装备属性计算表!N$20*VLOOKUP($H146&amp;$F146,$C$3:$P$28,O$1,FALSE)</f>
        <v>0</v>
      </c>
      <c r="R146" s="28">
        <f>VLOOKUP($G146,装备属性计算表!$D$14:$O$19,装备属性计算表!O$2,FALSE)/装备属性计算表!O$20*VLOOKUP($H146&amp;$F146,$C$3:$P$28,P$1,FALSE)</f>
        <v>0</v>
      </c>
      <c r="X146" s="28">
        <f>SUM(AY141:AY146)</f>
        <v>1042690</v>
      </c>
      <c r="Y146" s="28">
        <f t="shared" si="69"/>
        <v>0</v>
      </c>
      <c r="Z146" s="28">
        <f t="shared" si="70"/>
        <v>2</v>
      </c>
      <c r="AA146" s="28">
        <f t="shared" si="63"/>
        <v>10</v>
      </c>
      <c r="AB146" s="28">
        <f t="shared" si="71"/>
        <v>0</v>
      </c>
      <c r="AC146" s="28">
        <f t="shared" si="72"/>
        <v>8</v>
      </c>
      <c r="AD146" s="28">
        <f t="shared" si="73"/>
        <v>25</v>
      </c>
      <c r="AE146" s="28">
        <f t="shared" si="74"/>
        <v>133000</v>
      </c>
      <c r="AF146" s="28">
        <f t="shared" si="75"/>
        <v>1000</v>
      </c>
      <c r="AG146" s="28">
        <f t="shared" si="76"/>
        <v>8</v>
      </c>
      <c r="AH146" s="28">
        <f>IF(AG146&gt;0,VLOOKUP(G146,'价值&amp;消耗'!$U$173:$V$178,2,FALSE),0)</f>
        <v>73010</v>
      </c>
      <c r="AI146" s="28">
        <f t="shared" si="77"/>
        <v>440</v>
      </c>
      <c r="AJ146" s="28">
        <f t="shared" si="78"/>
        <v>1</v>
      </c>
      <c r="AK146" s="28">
        <f>ROUND(IF(COUNTIF($I146:I146,"&gt;0")&gt;$AJ146,0,I146),0)</f>
        <v>0</v>
      </c>
      <c r="AL146" s="28">
        <f>ROUND(IF(COUNTIF($I146:J146,"&gt;0")&gt;$AJ146,0,J146),0)</f>
        <v>48</v>
      </c>
      <c r="AM146" s="28">
        <f>ROUND(IF(COUNTIF($I146:K146,"&gt;0")&gt;$AJ146,0,K146),0)</f>
        <v>0</v>
      </c>
      <c r="AN146" s="28">
        <f>ROUND(IF(COUNTIF($I146:L146,"&gt;0")&gt;$AJ146,0,L146),0)</f>
        <v>0</v>
      </c>
      <c r="AO146" s="28">
        <f>ROUND(IF(COUNTIF($I146:M146,"&gt;0")&gt;$AJ146,0,M146),0)</f>
        <v>0</v>
      </c>
      <c r="AP146" s="28">
        <f>ROUND(IF(COUNTIF($I146:N146,"&gt;0")&gt;$AJ146,0,N146),0)</f>
        <v>0</v>
      </c>
      <c r="AQ146" s="28">
        <f>ROUND(IF(COUNTIF($I146:O146,"&gt;0")&gt;$AJ146,0,O146),0)</f>
        <v>0</v>
      </c>
      <c r="AR146" s="28">
        <f>ROUND(IF(COUNTIF($I146:P146,"&gt;0")&gt;$AJ146,0,P146),0)</f>
        <v>0</v>
      </c>
      <c r="AS146" s="28">
        <f>IF(COUNTIF($I146:Q146,"&gt;0")&gt;$AJ146,0,Q146)</f>
        <v>0</v>
      </c>
      <c r="AT146" s="28">
        <f>IF(COUNTIF($I146:R146,"&gt;0")&gt;$AJ146,0,R146)</f>
        <v>0</v>
      </c>
      <c r="AU146" s="28">
        <f>SUMPRODUCT(AK146:AT146,定义数据!$G$14:$P$14)</f>
        <v>48</v>
      </c>
      <c r="AV146" s="28">
        <f t="shared" si="55"/>
        <v>2400</v>
      </c>
      <c r="AW146" s="28">
        <f t="shared" si="66"/>
        <v>2400</v>
      </c>
      <c r="AX146" s="28">
        <f t="shared" si="79"/>
        <v>132000</v>
      </c>
      <c r="AY146" s="28">
        <f t="shared" si="68"/>
        <v>132000</v>
      </c>
    </row>
    <row r="147" spans="3:51" x14ac:dyDescent="0.15">
      <c r="C147" s="28" t="str">
        <f>H147&amp;F147&amp;VLOOKUP(G147,定义数据!$E$1:$F$7,2,FALSE)</f>
        <v>7020</v>
      </c>
      <c r="D147" s="28"/>
      <c r="E147" s="28">
        <f>装备属性计算表!AK146</f>
        <v>21</v>
      </c>
      <c r="F147" s="28">
        <f>装备属性计算表!B146</f>
        <v>2</v>
      </c>
      <c r="G147" s="28" t="str">
        <f>装备属性计算表!C146</f>
        <v>武器</v>
      </c>
      <c r="H147" s="28">
        <f>装备属性计算表!D146</f>
        <v>70</v>
      </c>
      <c r="I147" s="28">
        <f>VLOOKUP($G147,装备属性计算表!$D$14:$O$19,装备属性计算表!F$2,FALSE)/装备属性计算表!F$20*VLOOKUP($H147&amp;$F147,$C$3:$P$28,G$1,FALSE)</f>
        <v>0</v>
      </c>
      <c r="J147" s="28">
        <f>VLOOKUP($G147,装备属性计算表!$D$14:$O$19,装备属性计算表!G$2,FALSE)/装备属性计算表!G$20*VLOOKUP($H147&amp;$F147,$C$3:$P$28,H$1,FALSE)</f>
        <v>207.06282096256695</v>
      </c>
      <c r="K147" s="28">
        <f>VLOOKUP($G147,装备属性计算表!$D$14:$O$19,装备属性计算表!H$2,FALSE)/装备属性计算表!H$20*VLOOKUP($H147&amp;$F147,$C$3:$P$28,I$1,FALSE)</f>
        <v>24.854449913344894</v>
      </c>
      <c r="L147" s="28">
        <f>VLOOKUP($G147,装备属性计算表!$D$14:$O$19,装备属性计算表!I$2,FALSE)/装备属性计算表!I$20*VLOOKUP($H147&amp;$F147,$C$3:$P$28,J$1,FALSE)</f>
        <v>0</v>
      </c>
      <c r="M147" s="28">
        <f>VLOOKUP($G147,装备属性计算表!$D$14:$O$19,装备属性计算表!J$2,FALSE)/装备属性计算表!J$20*VLOOKUP($H147&amp;$F147,$C$3:$P$28,K$1,FALSE)</f>
        <v>90.277777777777786</v>
      </c>
      <c r="N147" s="28">
        <f>VLOOKUP($G147,装备属性计算表!$D$14:$O$19,装备属性计算表!K$2,FALSE)/装备属性计算表!K$20*VLOOKUP($H147&amp;$F147,$C$3:$P$28,L$1,FALSE)</f>
        <v>64.197530864197546</v>
      </c>
      <c r="O147" s="28">
        <f>VLOOKUP($G147,装备属性计算表!$D$14:$O$19,装备属性计算表!L$2,FALSE)/装备属性计算表!L$20*VLOOKUP($H147&amp;$F147,$C$3:$P$28,M$1,FALSE)</f>
        <v>0</v>
      </c>
      <c r="P147" s="28">
        <f>VLOOKUP($G147,装备属性计算表!$D$14:$O$19,装备属性计算表!M$2,FALSE)/装备属性计算表!M$20*VLOOKUP($H147&amp;$F147,$C$3:$P$28,N$1,FALSE)</f>
        <v>0</v>
      </c>
      <c r="Q147" s="28">
        <f>VLOOKUP($G147,装备属性计算表!$D$14:$O$19,装备属性计算表!N$2,FALSE)/装备属性计算表!N$20*VLOOKUP($H147&amp;$F147,$C$3:$P$28,O$1,FALSE)</f>
        <v>0</v>
      </c>
      <c r="R147" s="28">
        <f>VLOOKUP($G147,装备属性计算表!$D$14:$O$19,装备属性计算表!O$2,FALSE)/装备属性计算表!O$20*VLOOKUP($H147&amp;$F147,$C$3:$P$28,P$1,FALSE)</f>
        <v>0</v>
      </c>
      <c r="Y147" s="28">
        <f t="shared" si="69"/>
        <v>0</v>
      </c>
      <c r="Z147" s="28">
        <f t="shared" si="70"/>
        <v>0</v>
      </c>
      <c r="AA147" s="28">
        <f t="shared" si="63"/>
        <v>10</v>
      </c>
      <c r="AB147" s="28">
        <f t="shared" si="71"/>
        <v>0</v>
      </c>
      <c r="AC147" s="28">
        <f t="shared" si="72"/>
        <v>0</v>
      </c>
      <c r="AD147" s="28">
        <f t="shared" si="73"/>
        <v>128</v>
      </c>
      <c r="AE147" s="28">
        <f t="shared" si="74"/>
        <v>640000</v>
      </c>
      <c r="AF147" s="28">
        <f t="shared" si="75"/>
        <v>2000</v>
      </c>
      <c r="AG147" s="28">
        <f t="shared" si="76"/>
        <v>39</v>
      </c>
      <c r="AH147" s="28">
        <f>IF(AG147&gt;0,VLOOKUP(G147,'价值&amp;消耗'!$U$173:$V$178,2,FALSE),0)</f>
        <v>70010</v>
      </c>
      <c r="AI147" s="28">
        <f t="shared" si="77"/>
        <v>2145</v>
      </c>
      <c r="AJ147" s="28">
        <f t="shared" si="78"/>
        <v>2</v>
      </c>
      <c r="AK147" s="28">
        <f>ROUND(IF(COUNTIF($I147:I147,"&gt;0")&gt;$AJ147,0,I147),0)</f>
        <v>0</v>
      </c>
      <c r="AL147" s="28">
        <f>ROUND(IF(COUNTIF($I147:J147,"&gt;0")&gt;$AJ147,0,J147),0)</f>
        <v>207</v>
      </c>
      <c r="AM147" s="28">
        <f>ROUND(IF(COUNTIF($I147:K147,"&gt;0")&gt;$AJ147,0,K147),0)</f>
        <v>25</v>
      </c>
      <c r="AN147" s="28">
        <f>ROUND(IF(COUNTIF($I147:L147,"&gt;0")&gt;$AJ147,0,L147),0)</f>
        <v>0</v>
      </c>
      <c r="AO147" s="28">
        <f>ROUND(IF(COUNTIF($I147:M147,"&gt;0")&gt;$AJ147,0,M147),0)</f>
        <v>0</v>
      </c>
      <c r="AP147" s="28">
        <f>ROUND(IF(COUNTIF($I147:N147,"&gt;0")&gt;$AJ147,0,N147),0)</f>
        <v>0</v>
      </c>
      <c r="AQ147" s="28">
        <f>ROUND(IF(COUNTIF($I147:O147,"&gt;0")&gt;$AJ147,0,O147),0)</f>
        <v>0</v>
      </c>
      <c r="AR147" s="28">
        <f>ROUND(IF(COUNTIF($I147:P147,"&gt;0")&gt;$AJ147,0,P147),0)</f>
        <v>0</v>
      </c>
      <c r="AS147" s="28">
        <f>IF(COUNTIF($I147:Q147,"&gt;0")&gt;$AJ147,0,Q147)</f>
        <v>0</v>
      </c>
      <c r="AT147" s="28">
        <f>IF(COUNTIF($I147:R147,"&gt;0")&gt;$AJ147,0,R147)</f>
        <v>0</v>
      </c>
      <c r="AU147" s="28">
        <f>SUMPRODUCT(AK147:AT147,定义数据!$G$14:$P$14)</f>
        <v>232</v>
      </c>
      <c r="AV147" s="28">
        <f t="shared" si="55"/>
        <v>11600</v>
      </c>
      <c r="AW147" s="28">
        <f t="shared" si="66"/>
        <v>11600</v>
      </c>
      <c r="AX147" s="28">
        <f t="shared" si="79"/>
        <v>638000</v>
      </c>
      <c r="AY147" s="28">
        <f t="shared" si="68"/>
        <v>638000</v>
      </c>
    </row>
    <row r="148" spans="3:51" x14ac:dyDescent="0.15">
      <c r="C148" s="28" t="str">
        <f>H148&amp;F148&amp;VLOOKUP(G148,定义数据!$E$1:$F$7,2,FALSE)</f>
        <v>7021</v>
      </c>
      <c r="D148" s="28"/>
      <c r="E148" s="28">
        <f>装备属性计算表!AK147</f>
        <v>21</v>
      </c>
      <c r="F148" s="28">
        <f>装备属性计算表!B147</f>
        <v>2</v>
      </c>
      <c r="G148" s="28" t="str">
        <f>装备属性计算表!C147</f>
        <v>衣服</v>
      </c>
      <c r="H148" s="28">
        <f>装备属性计算表!D147</f>
        <v>70</v>
      </c>
      <c r="I148" s="28">
        <f>VLOOKUP($G148,装备属性计算表!$D$14:$O$19,装备属性计算表!F$2,FALSE)/装备属性计算表!F$20*VLOOKUP($H148&amp;$F148,$C$3:$P$28,G$1,FALSE)</f>
        <v>2264.7825673685657</v>
      </c>
      <c r="J148" s="28">
        <f>VLOOKUP($G148,装备属性计算表!$D$14:$O$19,装备属性计算表!G$2,FALSE)/装备属性计算表!G$20*VLOOKUP($H148&amp;$F148,$C$3:$P$28,H$1,FALSE)</f>
        <v>0</v>
      </c>
      <c r="K148" s="28">
        <f>VLOOKUP($G148,装备属性计算表!$D$14:$O$19,装备属性计算表!H$2,FALSE)/装备属性计算表!H$20*VLOOKUP($H148&amp;$F148,$C$3:$P$28,I$1,FALSE)</f>
        <v>74.563349740034681</v>
      </c>
      <c r="L148" s="28">
        <f>VLOOKUP($G148,装备属性计算表!$D$14:$O$19,装备属性计算表!I$2,FALSE)/装备属性计算表!I$20*VLOOKUP($H148&amp;$F148,$C$3:$P$28,J$1,FALSE)</f>
        <v>54.166666666666679</v>
      </c>
      <c r="M148" s="28">
        <f>VLOOKUP($G148,装备属性计算表!$D$14:$O$19,装备属性计算表!J$2,FALSE)/装备属性计算表!J$20*VLOOKUP($H148&amp;$F148,$C$3:$P$28,K$1,FALSE)</f>
        <v>0</v>
      </c>
      <c r="N148" s="28">
        <f>VLOOKUP($G148,装备属性计算表!$D$14:$O$19,装备属性计算表!K$2,FALSE)/装备属性计算表!K$20*VLOOKUP($H148&amp;$F148,$C$3:$P$28,L$1,FALSE)</f>
        <v>0</v>
      </c>
      <c r="O148" s="28">
        <f>VLOOKUP($G148,装备属性计算表!$D$14:$O$19,装备属性计算表!L$2,FALSE)/装备属性计算表!L$20*VLOOKUP($H148&amp;$F148,$C$3:$P$28,M$1,FALSE)</f>
        <v>0</v>
      </c>
      <c r="P148" s="28">
        <f>VLOOKUP($G148,装备属性计算表!$D$14:$O$19,装备属性计算表!M$2,FALSE)/装备属性计算表!M$20*VLOOKUP($H148&amp;$F148,$C$3:$P$28,N$1,FALSE)</f>
        <v>53.497942386831284</v>
      </c>
      <c r="Q148" s="28">
        <f>VLOOKUP($G148,装备属性计算表!$D$14:$O$19,装备属性计算表!N$2,FALSE)/装备属性计算表!N$20*VLOOKUP($H148&amp;$F148,$C$3:$P$28,O$1,FALSE)</f>
        <v>0</v>
      </c>
      <c r="R148" s="28">
        <f>VLOOKUP($G148,装备属性计算表!$D$14:$O$19,装备属性计算表!O$2,FALSE)/装备属性计算表!O$20*VLOOKUP($H148&amp;$F148,$C$3:$P$28,P$1,FALSE)</f>
        <v>0</v>
      </c>
      <c r="Y148" s="28">
        <f t="shared" si="69"/>
        <v>0</v>
      </c>
      <c r="Z148" s="28">
        <f t="shared" si="70"/>
        <v>0</v>
      </c>
      <c r="AA148" s="28">
        <f t="shared" si="63"/>
        <v>10</v>
      </c>
      <c r="AB148" s="28">
        <f t="shared" si="71"/>
        <v>0</v>
      </c>
      <c r="AC148" s="28">
        <f t="shared" si="72"/>
        <v>0</v>
      </c>
      <c r="AD148" s="28">
        <f t="shared" si="73"/>
        <v>92</v>
      </c>
      <c r="AE148" s="28">
        <f t="shared" si="74"/>
        <v>460000</v>
      </c>
      <c r="AF148" s="28">
        <f t="shared" si="75"/>
        <v>4600</v>
      </c>
      <c r="AG148" s="28">
        <f t="shared" si="76"/>
        <v>28</v>
      </c>
      <c r="AH148" s="28">
        <f>IF(AG148&gt;0,VLOOKUP(G148,'价值&amp;消耗'!$U$173:$V$178,2,FALSE),0)</f>
        <v>71010</v>
      </c>
      <c r="AI148" s="28">
        <f t="shared" si="77"/>
        <v>1540</v>
      </c>
      <c r="AJ148" s="28">
        <f t="shared" si="78"/>
        <v>2</v>
      </c>
      <c r="AK148" s="28">
        <f>ROUND(IF(COUNTIF($I148:I148,"&gt;0")&gt;$AJ148,0,I148),0)</f>
        <v>2265</v>
      </c>
      <c r="AL148" s="28">
        <f>ROUND(IF(COUNTIF($I148:J148,"&gt;0")&gt;$AJ148,0,J148),0)</f>
        <v>0</v>
      </c>
      <c r="AM148" s="28">
        <f>ROUND(IF(COUNTIF($I148:K148,"&gt;0")&gt;$AJ148,0,K148),0)</f>
        <v>75</v>
      </c>
      <c r="AN148" s="28">
        <f>ROUND(IF(COUNTIF($I148:L148,"&gt;0")&gt;$AJ148,0,L148),0)</f>
        <v>0</v>
      </c>
      <c r="AO148" s="28">
        <f>ROUND(IF(COUNTIF($I148:M148,"&gt;0")&gt;$AJ148,0,M148),0)</f>
        <v>0</v>
      </c>
      <c r="AP148" s="28">
        <f>ROUND(IF(COUNTIF($I148:N148,"&gt;0")&gt;$AJ148,0,N148),0)</f>
        <v>0</v>
      </c>
      <c r="AQ148" s="28">
        <f>ROUND(IF(COUNTIF($I148:O148,"&gt;0")&gt;$AJ148,0,O148),0)</f>
        <v>0</v>
      </c>
      <c r="AR148" s="28">
        <f>ROUND(IF(COUNTIF($I148:P148,"&gt;0")&gt;$AJ148,0,P148),0)</f>
        <v>0</v>
      </c>
      <c r="AS148" s="28">
        <f>IF(COUNTIF($I148:Q148,"&gt;0")&gt;$AJ148,0,Q148)</f>
        <v>0</v>
      </c>
      <c r="AT148" s="28">
        <f>IF(COUNTIF($I148:R148,"&gt;0")&gt;$AJ148,0,R148)</f>
        <v>0</v>
      </c>
      <c r="AU148" s="28">
        <f>SUMPRODUCT(AK148:AT148,定义数据!$G$14:$P$14)</f>
        <v>165.60000000000002</v>
      </c>
      <c r="AV148" s="28">
        <f t="shared" si="55"/>
        <v>8280</v>
      </c>
      <c r="AW148" s="28">
        <f t="shared" si="66"/>
        <v>8280</v>
      </c>
      <c r="AX148" s="28">
        <f t="shared" si="79"/>
        <v>455400</v>
      </c>
      <c r="AY148" s="28">
        <f t="shared" si="68"/>
        <v>455400</v>
      </c>
    </row>
    <row r="149" spans="3:51" x14ac:dyDescent="0.15">
      <c r="C149" s="28" t="str">
        <f>H149&amp;F149&amp;VLOOKUP(G149,定义数据!$E$1:$F$7,2,FALSE)</f>
        <v>7022</v>
      </c>
      <c r="D149" s="28"/>
      <c r="E149" s="28">
        <f>装备属性计算表!AK148</f>
        <v>21</v>
      </c>
      <c r="F149" s="28">
        <f>装备属性计算表!B148</f>
        <v>2</v>
      </c>
      <c r="G149" s="28" t="str">
        <f>装备属性计算表!C148</f>
        <v>裤子</v>
      </c>
      <c r="H149" s="28">
        <f>装备属性计算表!D148</f>
        <v>70</v>
      </c>
      <c r="I149" s="28">
        <f>VLOOKUP($G149,装备属性计算表!$D$14:$O$19,装备属性计算表!F$2,FALSE)/装备属性计算表!F$20*VLOOKUP($H149&amp;$F149,$C$3:$P$28,G$1,FALSE)</f>
        <v>1132.3912836842828</v>
      </c>
      <c r="J149" s="28">
        <f>VLOOKUP($G149,装备属性计算表!$D$14:$O$19,装备属性计算表!G$2,FALSE)/装备属性计算表!G$20*VLOOKUP($H149&amp;$F149,$C$3:$P$28,H$1,FALSE)</f>
        <v>0</v>
      </c>
      <c r="K149" s="28">
        <f>VLOOKUP($G149,装备属性计算表!$D$14:$O$19,装备属性计算表!H$2,FALSE)/装备属性计算表!H$20*VLOOKUP($H149&amp;$F149,$C$3:$P$28,I$1,FALSE)</f>
        <v>24.854449913344894</v>
      </c>
      <c r="L149" s="28">
        <f>VLOOKUP($G149,装备属性计算表!$D$14:$O$19,装备属性计算表!I$2,FALSE)/装备属性计算表!I$20*VLOOKUP($H149&amp;$F149,$C$3:$P$28,J$1,FALSE)</f>
        <v>54.166666666666679</v>
      </c>
      <c r="M149" s="28">
        <f>VLOOKUP($G149,装备属性计算表!$D$14:$O$19,装备属性计算表!J$2,FALSE)/装备属性计算表!J$20*VLOOKUP($H149&amp;$F149,$C$3:$P$28,K$1,FALSE)</f>
        <v>0</v>
      </c>
      <c r="N149" s="28">
        <f>VLOOKUP($G149,装备属性计算表!$D$14:$O$19,装备属性计算表!K$2,FALSE)/装备属性计算表!K$20*VLOOKUP($H149&amp;$F149,$C$3:$P$28,L$1,FALSE)</f>
        <v>0</v>
      </c>
      <c r="O149" s="28">
        <f>VLOOKUP($G149,装备属性计算表!$D$14:$O$19,装备属性计算表!L$2,FALSE)/装备属性计算表!L$20*VLOOKUP($H149&amp;$F149,$C$3:$P$28,M$1,FALSE)</f>
        <v>0</v>
      </c>
      <c r="P149" s="28">
        <f>VLOOKUP($G149,装备属性计算表!$D$14:$O$19,装备属性计算表!M$2,FALSE)/装备属性计算表!M$20*VLOOKUP($H149&amp;$F149,$C$3:$P$28,N$1,FALSE)</f>
        <v>53.497942386831284</v>
      </c>
      <c r="Q149" s="28">
        <f>VLOOKUP($G149,装备属性计算表!$D$14:$O$19,装备属性计算表!N$2,FALSE)/装备属性计算表!N$20*VLOOKUP($H149&amp;$F149,$C$3:$P$28,O$1,FALSE)</f>
        <v>0</v>
      </c>
      <c r="R149" s="28">
        <f>VLOOKUP($G149,装备属性计算表!$D$14:$O$19,装备属性计算表!O$2,FALSE)/装备属性计算表!O$20*VLOOKUP($H149&amp;$F149,$C$3:$P$28,P$1,FALSE)</f>
        <v>0</v>
      </c>
      <c r="Y149" s="28">
        <f t="shared" si="69"/>
        <v>0</v>
      </c>
      <c r="Z149" s="28">
        <f t="shared" si="70"/>
        <v>1</v>
      </c>
      <c r="AA149" s="28">
        <f t="shared" si="63"/>
        <v>10</v>
      </c>
      <c r="AB149" s="28">
        <f t="shared" si="71"/>
        <v>0</v>
      </c>
      <c r="AC149" s="28">
        <f t="shared" si="72"/>
        <v>4</v>
      </c>
      <c r="AD149" s="28">
        <f t="shared" si="73"/>
        <v>38</v>
      </c>
      <c r="AE149" s="28">
        <f t="shared" si="74"/>
        <v>194000</v>
      </c>
      <c r="AF149" s="28">
        <f t="shared" si="75"/>
        <v>730</v>
      </c>
      <c r="AG149" s="28">
        <f t="shared" si="76"/>
        <v>12</v>
      </c>
      <c r="AH149" s="28">
        <f>IF(AG149&gt;0,VLOOKUP(G149,'价值&amp;消耗'!$U$173:$V$178,2,FALSE),0)</f>
        <v>72010</v>
      </c>
      <c r="AI149" s="28">
        <f t="shared" si="77"/>
        <v>660</v>
      </c>
      <c r="AJ149" s="28">
        <f t="shared" si="78"/>
        <v>2</v>
      </c>
      <c r="AK149" s="28">
        <f>ROUND(IF(COUNTIF($I149:I149,"&gt;0")&gt;$AJ149,0,I149),0)</f>
        <v>1132</v>
      </c>
      <c r="AL149" s="28">
        <f>ROUND(IF(COUNTIF($I149:J149,"&gt;0")&gt;$AJ149,0,J149),0)</f>
        <v>0</v>
      </c>
      <c r="AM149" s="28">
        <f>ROUND(IF(COUNTIF($I149:K149,"&gt;0")&gt;$AJ149,0,K149),0)</f>
        <v>25</v>
      </c>
      <c r="AN149" s="28">
        <f>ROUND(IF(COUNTIF($I149:L149,"&gt;0")&gt;$AJ149,0,L149),0)</f>
        <v>0</v>
      </c>
      <c r="AO149" s="28">
        <f>ROUND(IF(COUNTIF($I149:M149,"&gt;0")&gt;$AJ149,0,M149),0)</f>
        <v>0</v>
      </c>
      <c r="AP149" s="28">
        <f>ROUND(IF(COUNTIF($I149:N149,"&gt;0")&gt;$AJ149,0,N149),0)</f>
        <v>0</v>
      </c>
      <c r="AQ149" s="28">
        <f>ROUND(IF(COUNTIF($I149:O149,"&gt;0")&gt;$AJ149,0,O149),0)</f>
        <v>0</v>
      </c>
      <c r="AR149" s="28">
        <f>ROUND(IF(COUNTIF($I149:P149,"&gt;0")&gt;$AJ149,0,P149),0)</f>
        <v>0</v>
      </c>
      <c r="AS149" s="28">
        <f>IF(COUNTIF($I149:Q149,"&gt;0")&gt;$AJ149,0,Q149)</f>
        <v>0</v>
      </c>
      <c r="AT149" s="28">
        <f>IF(COUNTIF($I149:R149,"&gt;0")&gt;$AJ149,0,R149)</f>
        <v>0</v>
      </c>
      <c r="AU149" s="28">
        <f>SUMPRODUCT(AK149:AT149,定义数据!$G$14:$P$14)</f>
        <v>70.28</v>
      </c>
      <c r="AV149" s="28">
        <f t="shared" si="55"/>
        <v>3514</v>
      </c>
      <c r="AW149" s="28">
        <f t="shared" si="66"/>
        <v>3514</v>
      </c>
      <c r="AX149" s="28">
        <f t="shared" si="79"/>
        <v>193270</v>
      </c>
      <c r="AY149" s="28">
        <f t="shared" si="68"/>
        <v>193270</v>
      </c>
    </row>
    <row r="150" spans="3:51" x14ac:dyDescent="0.15">
      <c r="C150" s="28" t="str">
        <f>H150&amp;F150&amp;VLOOKUP(G150,定义数据!$E$1:$F$7,2,FALSE)</f>
        <v>7025</v>
      </c>
      <c r="D150" s="28"/>
      <c r="E150" s="28">
        <f>装备属性计算表!AK149</f>
        <v>21</v>
      </c>
      <c r="F150" s="28">
        <f>装备属性计算表!B149</f>
        <v>2</v>
      </c>
      <c r="G150" s="28" t="str">
        <f>装备属性计算表!C149</f>
        <v>鞋子</v>
      </c>
      <c r="H150" s="28">
        <f>装备属性计算表!D149</f>
        <v>70</v>
      </c>
      <c r="I150" s="28">
        <f>VLOOKUP($G150,装备属性计算表!$D$14:$O$19,装备属性计算表!F$2,FALSE)/装备属性计算表!F$20*VLOOKUP($H150&amp;$F150,$C$3:$P$28,G$1,FALSE)</f>
        <v>1132.3912836842828</v>
      </c>
      <c r="J150" s="28">
        <f>VLOOKUP($G150,装备属性计算表!$D$14:$O$19,装备属性计算表!G$2,FALSE)/装备属性计算表!G$20*VLOOKUP($H150&amp;$F150,$C$3:$P$28,H$1,FALSE)</f>
        <v>0</v>
      </c>
      <c r="K150" s="28">
        <f>VLOOKUP($G150,装备属性计算表!$D$14:$O$19,装备属性计算表!H$2,FALSE)/装备属性计算表!H$20*VLOOKUP($H150&amp;$F150,$C$3:$P$28,I$1,FALSE)</f>
        <v>0</v>
      </c>
      <c r="L150" s="28">
        <f>VLOOKUP($G150,装备属性计算表!$D$14:$O$19,装备属性计算表!I$2,FALSE)/装备属性计算表!I$20*VLOOKUP($H150&amp;$F150,$C$3:$P$28,J$1,FALSE)</f>
        <v>108.33333333333336</v>
      </c>
      <c r="M150" s="28">
        <f>VLOOKUP($G150,装备属性计算表!$D$14:$O$19,装备属性计算表!J$2,FALSE)/装备属性计算表!J$20*VLOOKUP($H150&amp;$F150,$C$3:$P$28,K$1,FALSE)</f>
        <v>90.277777777777786</v>
      </c>
      <c r="N150" s="28">
        <f>VLOOKUP($G150,装备属性计算表!$D$14:$O$19,装备属性计算表!K$2,FALSE)/装备属性计算表!K$20*VLOOKUP($H150&amp;$F150,$C$3:$P$28,L$1,FALSE)</f>
        <v>32.098765432098773</v>
      </c>
      <c r="O150" s="28">
        <f>VLOOKUP($G150,装备属性计算表!$D$14:$O$19,装备属性计算表!L$2,FALSE)/装备属性计算表!L$20*VLOOKUP($H150&amp;$F150,$C$3:$P$28,M$1,FALSE)</f>
        <v>0</v>
      </c>
      <c r="P150" s="28">
        <f>VLOOKUP($G150,装备属性计算表!$D$14:$O$19,装备属性计算表!M$2,FALSE)/装备属性计算表!M$20*VLOOKUP($H150&amp;$F150,$C$3:$P$28,N$1,FALSE)</f>
        <v>0</v>
      </c>
      <c r="Q150" s="28">
        <f>VLOOKUP($G150,装备属性计算表!$D$14:$O$19,装备属性计算表!N$2,FALSE)/装备属性计算表!N$20*VLOOKUP($H150&amp;$F150,$C$3:$P$28,O$1,FALSE)</f>
        <v>0</v>
      </c>
      <c r="R150" s="28">
        <f>VLOOKUP($G150,装备属性计算表!$D$14:$O$19,装备属性计算表!O$2,FALSE)/装备属性计算表!O$20*VLOOKUP($H150&amp;$F150,$C$3:$P$28,P$1,FALSE)</f>
        <v>0</v>
      </c>
      <c r="Y150" s="28">
        <f t="shared" si="69"/>
        <v>0</v>
      </c>
      <c r="Z150" s="28">
        <f t="shared" si="70"/>
        <v>1</v>
      </c>
      <c r="AA150" s="28">
        <f t="shared" si="63"/>
        <v>10</v>
      </c>
      <c r="AB150" s="28">
        <f t="shared" si="71"/>
        <v>0</v>
      </c>
      <c r="AC150" s="28">
        <f t="shared" si="72"/>
        <v>5</v>
      </c>
      <c r="AD150" s="28">
        <f t="shared" si="73"/>
        <v>45</v>
      </c>
      <c r="AE150" s="28">
        <f t="shared" si="74"/>
        <v>230000</v>
      </c>
      <c r="AF150" s="28">
        <f t="shared" si="75"/>
        <v>4500</v>
      </c>
      <c r="AG150" s="28">
        <f t="shared" si="76"/>
        <v>14</v>
      </c>
      <c r="AH150" s="28">
        <f>IF(AG150&gt;0,VLOOKUP(G150,'价值&amp;消耗'!$U$173:$V$178,2,FALSE),0)</f>
        <v>75010</v>
      </c>
      <c r="AI150" s="28">
        <f t="shared" si="77"/>
        <v>770</v>
      </c>
      <c r="AJ150" s="28">
        <f t="shared" si="78"/>
        <v>2</v>
      </c>
      <c r="AK150" s="28">
        <f>ROUND(IF(COUNTIF($I150:I150,"&gt;0")&gt;$AJ150,0,I150),0)</f>
        <v>1132</v>
      </c>
      <c r="AL150" s="28">
        <f>ROUND(IF(COUNTIF($I150:J150,"&gt;0")&gt;$AJ150,0,J150),0)</f>
        <v>0</v>
      </c>
      <c r="AM150" s="28">
        <f>ROUND(IF(COUNTIF($I150:K150,"&gt;0")&gt;$AJ150,0,K150),0)</f>
        <v>0</v>
      </c>
      <c r="AN150" s="28">
        <f>ROUND(IF(COUNTIF($I150:L150,"&gt;0")&gt;$AJ150,0,L150),0)</f>
        <v>108</v>
      </c>
      <c r="AO150" s="28">
        <f>ROUND(IF(COUNTIF($I150:M150,"&gt;0")&gt;$AJ150,0,M150),0)</f>
        <v>0</v>
      </c>
      <c r="AP150" s="28">
        <f>ROUND(IF(COUNTIF($I150:N150,"&gt;0")&gt;$AJ150,0,N150),0)</f>
        <v>0</v>
      </c>
      <c r="AQ150" s="28">
        <f>ROUND(IF(COUNTIF($I150:O150,"&gt;0")&gt;$AJ150,0,O150),0)</f>
        <v>0</v>
      </c>
      <c r="AR150" s="28">
        <f>ROUND(IF(COUNTIF($I150:P150,"&gt;0")&gt;$AJ150,0,P150),0)</f>
        <v>0</v>
      </c>
      <c r="AS150" s="28">
        <f>IF(COUNTIF($I150:Q150,"&gt;0")&gt;$AJ150,0,Q150)</f>
        <v>0</v>
      </c>
      <c r="AT150" s="28">
        <f>IF(COUNTIF($I150:R150,"&gt;0")&gt;$AJ150,0,R150)</f>
        <v>0</v>
      </c>
      <c r="AU150" s="28">
        <f>SUMPRODUCT(AK150:AT150,定义数据!$G$14:$P$14)</f>
        <v>82</v>
      </c>
      <c r="AV150" s="28">
        <f t="shared" si="55"/>
        <v>4100</v>
      </c>
      <c r="AW150" s="28">
        <f t="shared" si="66"/>
        <v>4100</v>
      </c>
      <c r="AX150" s="28">
        <f t="shared" si="79"/>
        <v>225500</v>
      </c>
      <c r="AY150" s="28">
        <f t="shared" si="68"/>
        <v>225500</v>
      </c>
    </row>
    <row r="151" spans="3:51" x14ac:dyDescent="0.15">
      <c r="C151" s="28" t="str">
        <f>H151&amp;F151&amp;VLOOKUP(G151,定义数据!$E$1:$F$7,2,FALSE)</f>
        <v>7024</v>
      </c>
      <c r="D151" s="28"/>
      <c r="E151" s="28">
        <f>装备属性计算表!AK150</f>
        <v>21</v>
      </c>
      <c r="F151" s="28">
        <f>装备属性计算表!B150</f>
        <v>2</v>
      </c>
      <c r="G151" s="28" t="str">
        <f>装备属性计算表!C150</f>
        <v>腰带</v>
      </c>
      <c r="H151" s="28">
        <f>装备属性计算表!D150</f>
        <v>70</v>
      </c>
      <c r="I151" s="28">
        <f>VLOOKUP($G151,装备属性计算表!$D$14:$O$19,装备属性计算表!F$2,FALSE)/装备属性计算表!F$20*VLOOKUP($H151&amp;$F151,$C$3:$P$28,G$1,FALSE)</f>
        <v>2264.7825673685657</v>
      </c>
      <c r="J151" s="28">
        <f>VLOOKUP($G151,装备属性计算表!$D$14:$O$19,装备属性计算表!G$2,FALSE)/装备属性计算表!G$20*VLOOKUP($H151&amp;$F151,$C$3:$P$28,H$1,FALSE)</f>
        <v>69.020940320855658</v>
      </c>
      <c r="K151" s="28">
        <f>VLOOKUP($G151,装备属性计算表!$D$14:$O$19,装备属性计算表!H$2,FALSE)/装备属性计算表!H$20*VLOOKUP($H151&amp;$F151,$C$3:$P$28,I$1,FALSE)</f>
        <v>24.854449913344894</v>
      </c>
      <c r="L151" s="28">
        <f>VLOOKUP($G151,装备属性计算表!$D$14:$O$19,装备属性计算表!I$2,FALSE)/装备属性计算表!I$20*VLOOKUP($H151&amp;$F151,$C$3:$P$28,J$1,FALSE)</f>
        <v>0</v>
      </c>
      <c r="M151" s="28">
        <f>VLOOKUP($G151,装备属性计算表!$D$14:$O$19,装备属性计算表!J$2,FALSE)/装备属性计算表!J$20*VLOOKUP($H151&amp;$F151,$C$3:$P$28,K$1,FALSE)</f>
        <v>0</v>
      </c>
      <c r="N151" s="28">
        <f>VLOOKUP($G151,装备属性计算表!$D$14:$O$19,装备属性计算表!K$2,FALSE)/装备属性计算表!K$20*VLOOKUP($H151&amp;$F151,$C$3:$P$28,L$1,FALSE)</f>
        <v>0</v>
      </c>
      <c r="O151" s="28">
        <f>VLOOKUP($G151,装备属性计算表!$D$14:$O$19,装备属性计算表!L$2,FALSE)/装备属性计算表!L$20*VLOOKUP($H151&amp;$F151,$C$3:$P$28,M$1,FALSE)</f>
        <v>0</v>
      </c>
      <c r="P151" s="28">
        <f>VLOOKUP($G151,装备属性计算表!$D$14:$O$19,装备属性计算表!M$2,FALSE)/装备属性计算表!M$20*VLOOKUP($H151&amp;$F151,$C$3:$P$28,N$1,FALSE)</f>
        <v>53.497942386831284</v>
      </c>
      <c r="Q151" s="28">
        <f>VLOOKUP($G151,装备属性计算表!$D$14:$O$19,装备属性计算表!N$2,FALSE)/装备属性计算表!N$20*VLOOKUP($H151&amp;$F151,$C$3:$P$28,O$1,FALSE)</f>
        <v>0</v>
      </c>
      <c r="R151" s="28">
        <f>VLOOKUP($G151,装备属性计算表!$D$14:$O$19,装备属性计算表!O$2,FALSE)/装备属性计算表!O$20*VLOOKUP($H151&amp;$F151,$C$3:$P$28,P$1,FALSE)</f>
        <v>0</v>
      </c>
      <c r="Y151" s="28">
        <f t="shared" si="69"/>
        <v>0</v>
      </c>
      <c r="Z151" s="28">
        <f t="shared" si="70"/>
        <v>0</v>
      </c>
      <c r="AA151" s="28">
        <f t="shared" si="63"/>
        <v>10</v>
      </c>
      <c r="AB151" s="28">
        <f t="shared" si="71"/>
        <v>0</v>
      </c>
      <c r="AC151" s="28">
        <f t="shared" si="72"/>
        <v>0</v>
      </c>
      <c r="AD151" s="28">
        <f t="shared" si="73"/>
        <v>88</v>
      </c>
      <c r="AE151" s="28">
        <f t="shared" si="74"/>
        <v>440000</v>
      </c>
      <c r="AF151" s="28">
        <f t="shared" si="75"/>
        <v>1100</v>
      </c>
      <c r="AG151" s="28">
        <f t="shared" si="76"/>
        <v>27</v>
      </c>
      <c r="AH151" s="28">
        <f>IF(AG151&gt;0,VLOOKUP(G151,'价值&amp;消耗'!$U$173:$V$178,2,FALSE),0)</f>
        <v>74010</v>
      </c>
      <c r="AI151" s="28">
        <f t="shared" si="77"/>
        <v>1485</v>
      </c>
      <c r="AJ151" s="28">
        <f t="shared" si="78"/>
        <v>2</v>
      </c>
      <c r="AK151" s="28">
        <f>ROUND(IF(COUNTIF($I151:I151,"&gt;0")&gt;$AJ151,0,I151),0)</f>
        <v>2265</v>
      </c>
      <c r="AL151" s="28">
        <f>ROUND(IF(COUNTIF($I151:J151,"&gt;0")&gt;$AJ151,0,J151),0)</f>
        <v>69</v>
      </c>
      <c r="AM151" s="28">
        <f>ROUND(IF(COUNTIF($I151:K151,"&gt;0")&gt;$AJ151,0,K151),0)</f>
        <v>0</v>
      </c>
      <c r="AN151" s="28">
        <f>ROUND(IF(COUNTIF($I151:L151,"&gt;0")&gt;$AJ151,0,L151),0)</f>
        <v>0</v>
      </c>
      <c r="AO151" s="28">
        <f>ROUND(IF(COUNTIF($I151:M151,"&gt;0")&gt;$AJ151,0,M151),0)</f>
        <v>0</v>
      </c>
      <c r="AP151" s="28">
        <f>ROUND(IF(COUNTIF($I151:N151,"&gt;0")&gt;$AJ151,0,N151),0)</f>
        <v>0</v>
      </c>
      <c r="AQ151" s="28">
        <f>ROUND(IF(COUNTIF($I151:O151,"&gt;0")&gt;$AJ151,0,O151),0)</f>
        <v>0</v>
      </c>
      <c r="AR151" s="28">
        <f>ROUND(IF(COUNTIF($I151:P151,"&gt;0")&gt;$AJ151,0,P151),0)</f>
        <v>0</v>
      </c>
      <c r="AS151" s="28">
        <f>IF(COUNTIF($I151:Q151,"&gt;0")&gt;$AJ151,0,Q151)</f>
        <v>0</v>
      </c>
      <c r="AT151" s="28">
        <f>IF(COUNTIF($I151:R151,"&gt;0")&gt;$AJ151,0,R151)</f>
        <v>0</v>
      </c>
      <c r="AU151" s="28">
        <f>SUMPRODUCT(AK151:AT151,定义数据!$G$14:$P$14)</f>
        <v>159.60000000000002</v>
      </c>
      <c r="AV151" s="28">
        <f t="shared" si="55"/>
        <v>7980</v>
      </c>
      <c r="AW151" s="28">
        <f t="shared" si="66"/>
        <v>7980</v>
      </c>
      <c r="AX151" s="28">
        <f t="shared" si="79"/>
        <v>438900</v>
      </c>
      <c r="AY151" s="28">
        <f t="shared" si="68"/>
        <v>438900</v>
      </c>
    </row>
    <row r="152" spans="3:51" x14ac:dyDescent="0.15">
      <c r="C152" s="28" t="str">
        <f>H152&amp;F152&amp;VLOOKUP(G152,定义数据!$E$1:$F$7,2,FALSE)</f>
        <v>7023</v>
      </c>
      <c r="D152" s="28"/>
      <c r="E152" s="28">
        <f>装备属性计算表!AK151</f>
        <v>21</v>
      </c>
      <c r="F152" s="28">
        <f>装备属性计算表!B151</f>
        <v>2</v>
      </c>
      <c r="G152" s="28" t="str">
        <f>装备属性计算表!C151</f>
        <v>项链</v>
      </c>
      <c r="H152" s="28">
        <f>装备属性计算表!D151</f>
        <v>70</v>
      </c>
      <c r="I152" s="28">
        <f>VLOOKUP($G152,装备属性计算表!$D$14:$O$19,装备属性计算表!F$2,FALSE)/装备属性计算表!F$20*VLOOKUP($H152&amp;$F152,$C$3:$P$28,G$1,FALSE)</f>
        <v>0</v>
      </c>
      <c r="J152" s="28">
        <f>VLOOKUP($G152,装备属性计算表!$D$14:$O$19,装备属性计算表!G$2,FALSE)/装备属性计算表!G$20*VLOOKUP($H152&amp;$F152,$C$3:$P$28,H$1,FALSE)</f>
        <v>69.020940320855658</v>
      </c>
      <c r="K152" s="28">
        <f>VLOOKUP($G152,装备属性计算表!$D$14:$O$19,装备属性计算表!H$2,FALSE)/装备属性计算表!H$20*VLOOKUP($H152&amp;$F152,$C$3:$P$28,I$1,FALSE)</f>
        <v>0</v>
      </c>
      <c r="L152" s="28">
        <f>VLOOKUP($G152,装备属性计算表!$D$14:$O$19,装备属性计算表!I$2,FALSE)/装备属性计算表!I$20*VLOOKUP($H152&amp;$F152,$C$3:$P$28,J$1,FALSE)</f>
        <v>54.166666666666679</v>
      </c>
      <c r="M152" s="28">
        <f>VLOOKUP($G152,装备属性计算表!$D$14:$O$19,装备属性计算表!J$2,FALSE)/装备属性计算表!J$20*VLOOKUP($H152&amp;$F152,$C$3:$P$28,K$1,FALSE)</f>
        <v>90.277777777777786</v>
      </c>
      <c r="N152" s="28">
        <f>VLOOKUP($G152,装备属性计算表!$D$14:$O$19,装备属性计算表!K$2,FALSE)/装备属性计算表!K$20*VLOOKUP($H152&amp;$F152,$C$3:$P$28,L$1,FALSE)</f>
        <v>64.197530864197546</v>
      </c>
      <c r="O152" s="28">
        <f>VLOOKUP($G152,装备属性计算表!$D$14:$O$19,装备属性计算表!L$2,FALSE)/装备属性计算表!L$20*VLOOKUP($H152&amp;$F152,$C$3:$P$28,M$1,FALSE)</f>
        <v>0</v>
      </c>
      <c r="P152" s="28">
        <f>VLOOKUP($G152,装备属性计算表!$D$14:$O$19,装备属性计算表!M$2,FALSE)/装备属性计算表!M$20*VLOOKUP($H152&amp;$F152,$C$3:$P$28,N$1,FALSE)</f>
        <v>0</v>
      </c>
      <c r="Q152" s="28">
        <f>VLOOKUP($G152,装备属性计算表!$D$14:$O$19,装备属性计算表!N$2,FALSE)/装备属性计算表!N$20*VLOOKUP($H152&amp;$F152,$C$3:$P$28,O$1,FALSE)</f>
        <v>0</v>
      </c>
      <c r="R152" s="28">
        <f>VLOOKUP($G152,装备属性计算表!$D$14:$O$19,装备属性计算表!O$2,FALSE)/装备属性计算表!O$20*VLOOKUP($H152&amp;$F152,$C$3:$P$28,P$1,FALSE)</f>
        <v>0</v>
      </c>
      <c r="X152" s="28">
        <f>SUM(AY147:AY152)</f>
        <v>2191310</v>
      </c>
      <c r="Y152" s="28">
        <f t="shared" si="69"/>
        <v>0</v>
      </c>
      <c r="Z152" s="28">
        <f t="shared" si="70"/>
        <v>1</v>
      </c>
      <c r="AA152" s="28">
        <f t="shared" si="63"/>
        <v>10</v>
      </c>
      <c r="AB152" s="28">
        <f t="shared" si="71"/>
        <v>0</v>
      </c>
      <c r="AC152" s="28">
        <f t="shared" si="72"/>
        <v>5</v>
      </c>
      <c r="AD152" s="28">
        <f t="shared" si="73"/>
        <v>48</v>
      </c>
      <c r="AE152" s="28">
        <f t="shared" si="74"/>
        <v>245000</v>
      </c>
      <c r="AF152" s="28">
        <f t="shared" si="75"/>
        <v>4760</v>
      </c>
      <c r="AG152" s="28">
        <f t="shared" si="76"/>
        <v>15</v>
      </c>
      <c r="AH152" s="28">
        <f>IF(AG152&gt;0,VLOOKUP(G152,'价值&amp;消耗'!$U$173:$V$178,2,FALSE),0)</f>
        <v>73010</v>
      </c>
      <c r="AI152" s="28">
        <f t="shared" si="77"/>
        <v>825</v>
      </c>
      <c r="AJ152" s="28">
        <f t="shared" si="78"/>
        <v>2</v>
      </c>
      <c r="AK152" s="28">
        <f>ROUND(IF(COUNTIF($I152:I152,"&gt;0")&gt;$AJ152,0,I152),0)</f>
        <v>0</v>
      </c>
      <c r="AL152" s="28">
        <f>ROUND(IF(COUNTIF($I152:J152,"&gt;0")&gt;$AJ152,0,J152),0)</f>
        <v>69</v>
      </c>
      <c r="AM152" s="28">
        <f>ROUND(IF(COUNTIF($I152:K152,"&gt;0")&gt;$AJ152,0,K152),0)</f>
        <v>0</v>
      </c>
      <c r="AN152" s="28">
        <f>ROUND(IF(COUNTIF($I152:L152,"&gt;0")&gt;$AJ152,0,L152),0)</f>
        <v>54</v>
      </c>
      <c r="AO152" s="28">
        <f>ROUND(IF(COUNTIF($I152:M152,"&gt;0")&gt;$AJ152,0,M152),0)</f>
        <v>0</v>
      </c>
      <c r="AP152" s="28">
        <f>ROUND(IF(COUNTIF($I152:N152,"&gt;0")&gt;$AJ152,0,N152),0)</f>
        <v>0</v>
      </c>
      <c r="AQ152" s="28">
        <f>ROUND(IF(COUNTIF($I152:O152,"&gt;0")&gt;$AJ152,0,O152),0)</f>
        <v>0</v>
      </c>
      <c r="AR152" s="28">
        <f>ROUND(IF(COUNTIF($I152:P152,"&gt;0")&gt;$AJ152,0,P152),0)</f>
        <v>0</v>
      </c>
      <c r="AS152" s="28">
        <f>IF(COUNTIF($I152:Q152,"&gt;0")&gt;$AJ152,0,Q152)</f>
        <v>0</v>
      </c>
      <c r="AT152" s="28">
        <f>IF(COUNTIF($I152:R152,"&gt;0")&gt;$AJ152,0,R152)</f>
        <v>0</v>
      </c>
      <c r="AU152" s="28">
        <f>SUMPRODUCT(AK152:AT152,定义数据!$G$14:$P$14)</f>
        <v>87.36</v>
      </c>
      <c r="AV152" s="28">
        <f t="shared" si="55"/>
        <v>4368</v>
      </c>
      <c r="AW152" s="28">
        <f t="shared" si="66"/>
        <v>4368</v>
      </c>
      <c r="AX152" s="28">
        <f t="shared" si="79"/>
        <v>240240</v>
      </c>
      <c r="AY152" s="28">
        <f t="shared" si="68"/>
        <v>240240</v>
      </c>
    </row>
    <row r="153" spans="3:51" x14ac:dyDescent="0.15">
      <c r="C153" s="28" t="str">
        <f>H153&amp;F153&amp;VLOOKUP(G153,定义数据!$E$1:$F$7,2,FALSE)</f>
        <v>7030</v>
      </c>
      <c r="D153" s="28"/>
      <c r="E153" s="28">
        <f>装备属性计算表!AK152</f>
        <v>22</v>
      </c>
      <c r="F153" s="28">
        <f>装备属性计算表!B152</f>
        <v>3</v>
      </c>
      <c r="G153" s="28" t="str">
        <f>装备属性计算表!C152</f>
        <v>武器</v>
      </c>
      <c r="H153" s="28">
        <f>装备属性计算表!D152</f>
        <v>70</v>
      </c>
      <c r="I153" s="28">
        <f>VLOOKUP($G153,装备属性计算表!$D$14:$O$19,装备属性计算表!F$2,FALSE)/装备属性计算表!F$20*VLOOKUP($H153&amp;$F153,$C$3:$P$28,G$1,FALSE)</f>
        <v>0</v>
      </c>
      <c r="J153" s="28">
        <f>VLOOKUP($G153,装备属性计算表!$D$14:$O$19,装备属性计算表!G$2,FALSE)/装备属性计算表!G$20*VLOOKUP($H153&amp;$F153,$C$3:$P$28,H$1,FALSE)</f>
        <v>270.77445818181832</v>
      </c>
      <c r="K153" s="28">
        <f>VLOOKUP($G153,装备属性计算表!$D$14:$O$19,装备属性计算表!H$2,FALSE)/装备属性计算表!H$20*VLOOKUP($H153&amp;$F153,$C$3:$P$28,I$1,FALSE)</f>
        <v>32.501972963604864</v>
      </c>
      <c r="L153" s="28">
        <f>VLOOKUP($G153,装备属性计算表!$D$14:$O$19,装备属性计算表!I$2,FALSE)/装备属性计算表!I$20*VLOOKUP($H153&amp;$F153,$C$3:$P$28,J$1,FALSE)</f>
        <v>0</v>
      </c>
      <c r="M153" s="28">
        <f>VLOOKUP($G153,装备属性计算表!$D$14:$O$19,装备属性计算表!J$2,FALSE)/装备属性计算表!J$20*VLOOKUP($H153&amp;$F153,$C$3:$P$28,K$1,FALSE)</f>
        <v>118.05555555555557</v>
      </c>
      <c r="N153" s="28">
        <f>VLOOKUP($G153,装备属性计算表!$D$14:$O$19,装备属性计算表!K$2,FALSE)/装备属性计算表!K$20*VLOOKUP($H153&amp;$F153,$C$3:$P$28,L$1,FALSE)</f>
        <v>83.950617283950635</v>
      </c>
      <c r="O153" s="28">
        <f>VLOOKUP($G153,装备属性计算表!$D$14:$O$19,装备属性计算表!L$2,FALSE)/装备属性计算表!L$20*VLOOKUP($H153&amp;$F153,$C$3:$P$28,M$1,FALSE)</f>
        <v>0</v>
      </c>
      <c r="P153" s="28">
        <f>VLOOKUP($G153,装备属性计算表!$D$14:$O$19,装备属性计算表!M$2,FALSE)/装备属性计算表!M$20*VLOOKUP($H153&amp;$F153,$C$3:$P$28,N$1,FALSE)</f>
        <v>0</v>
      </c>
      <c r="Q153" s="28">
        <f>VLOOKUP($G153,装备属性计算表!$D$14:$O$19,装备属性计算表!N$2,FALSE)/装备属性计算表!N$20*VLOOKUP($H153&amp;$F153,$C$3:$P$28,O$1,FALSE)</f>
        <v>0</v>
      </c>
      <c r="R153" s="28">
        <f>VLOOKUP($G153,装备属性计算表!$D$14:$O$19,装备属性计算表!O$2,FALSE)/装备属性计算表!O$20*VLOOKUP($H153&amp;$F153,$C$3:$P$28,P$1,FALSE)</f>
        <v>0</v>
      </c>
      <c r="Y153" s="28">
        <f t="shared" si="69"/>
        <v>0</v>
      </c>
      <c r="Z153" s="28">
        <f t="shared" si="70"/>
        <v>0</v>
      </c>
      <c r="AA153" s="28">
        <f t="shared" si="63"/>
        <v>10</v>
      </c>
      <c r="AB153" s="28">
        <f t="shared" si="71"/>
        <v>0</v>
      </c>
      <c r="AC153" s="28">
        <f t="shared" si="72"/>
        <v>0</v>
      </c>
      <c r="AD153" s="28">
        <f t="shared" si="73"/>
        <v>190</v>
      </c>
      <c r="AE153" s="28">
        <f t="shared" si="74"/>
        <v>950000</v>
      </c>
      <c r="AF153" s="28">
        <f t="shared" si="75"/>
        <v>3670</v>
      </c>
      <c r="AG153" s="28">
        <f t="shared" si="76"/>
        <v>58</v>
      </c>
      <c r="AH153" s="28">
        <f>IF(AG153&gt;0,VLOOKUP(G153,'价值&amp;消耗'!$U$173:$V$178,2,FALSE),0)</f>
        <v>70010</v>
      </c>
      <c r="AI153" s="28">
        <f t="shared" si="77"/>
        <v>3190</v>
      </c>
      <c r="AJ153" s="28">
        <f t="shared" si="78"/>
        <v>3</v>
      </c>
      <c r="AK153" s="28">
        <f>ROUND(IF(COUNTIF($I153:I153,"&gt;0")&gt;$AJ153,0,I153),0)</f>
        <v>0</v>
      </c>
      <c r="AL153" s="28">
        <f>ROUND(IF(COUNTIF($I153:J153,"&gt;0")&gt;$AJ153,0,J153),0)</f>
        <v>271</v>
      </c>
      <c r="AM153" s="28">
        <f>ROUND(IF(COUNTIF($I153:K153,"&gt;0")&gt;$AJ153,0,K153),0)</f>
        <v>33</v>
      </c>
      <c r="AN153" s="28">
        <f>ROUND(IF(COUNTIF($I153:L153,"&gt;0")&gt;$AJ153,0,L153),0)</f>
        <v>0</v>
      </c>
      <c r="AO153" s="28">
        <f>ROUND(IF(COUNTIF($I153:M153,"&gt;0")&gt;$AJ153,0,M153),0)</f>
        <v>118</v>
      </c>
      <c r="AP153" s="28">
        <f>ROUND(IF(COUNTIF($I153:N153,"&gt;0")&gt;$AJ153,0,N153),0)</f>
        <v>0</v>
      </c>
      <c r="AQ153" s="28">
        <f>ROUND(IF(COUNTIF($I153:O153,"&gt;0")&gt;$AJ153,0,O153),0)</f>
        <v>0</v>
      </c>
      <c r="AR153" s="28">
        <f>ROUND(IF(COUNTIF($I153:P153,"&gt;0")&gt;$AJ153,0,P153),0)</f>
        <v>0</v>
      </c>
      <c r="AS153" s="28">
        <f>IF(COUNTIF($I153:Q153,"&gt;0")&gt;$AJ153,0,Q153)</f>
        <v>0</v>
      </c>
      <c r="AT153" s="28">
        <f>IF(COUNTIF($I153:R153,"&gt;0")&gt;$AJ153,0,R153)</f>
        <v>0</v>
      </c>
      <c r="AU153" s="28">
        <f>SUMPRODUCT(AK153:AT153,定义数据!$G$14:$P$14)</f>
        <v>344.12</v>
      </c>
      <c r="AV153" s="28">
        <f t="shared" si="55"/>
        <v>17206</v>
      </c>
      <c r="AW153" s="28">
        <f t="shared" si="66"/>
        <v>17206</v>
      </c>
      <c r="AX153" s="28">
        <f t="shared" si="79"/>
        <v>946330</v>
      </c>
      <c r="AY153" s="28">
        <f t="shared" si="68"/>
        <v>946330</v>
      </c>
    </row>
    <row r="154" spans="3:51" x14ac:dyDescent="0.15">
      <c r="C154" s="28" t="str">
        <f>H154&amp;F154&amp;VLOOKUP(G154,定义数据!$E$1:$F$7,2,FALSE)</f>
        <v>7031</v>
      </c>
      <c r="D154" s="28"/>
      <c r="E154" s="28">
        <f>装备属性计算表!AK153</f>
        <v>22</v>
      </c>
      <c r="F154" s="28">
        <f>装备属性计算表!B153</f>
        <v>3</v>
      </c>
      <c r="G154" s="28" t="str">
        <f>装备属性计算表!C153</f>
        <v>衣服</v>
      </c>
      <c r="H154" s="28">
        <f>装备属性计算表!D153</f>
        <v>70</v>
      </c>
      <c r="I154" s="28">
        <f>VLOOKUP($G154,装备属性计算表!$D$14:$O$19,装备属性计算表!F$2,FALSE)/装备属性计算表!F$20*VLOOKUP($H154&amp;$F154,$C$3:$P$28,G$1,FALSE)</f>
        <v>2961.6387419435091</v>
      </c>
      <c r="J154" s="28">
        <f>VLOOKUP($G154,装备属性计算表!$D$14:$O$19,装备属性计算表!G$2,FALSE)/装备属性计算表!G$20*VLOOKUP($H154&amp;$F154,$C$3:$P$28,H$1,FALSE)</f>
        <v>0</v>
      </c>
      <c r="K154" s="28">
        <f>VLOOKUP($G154,装备属性计算表!$D$14:$O$19,装备属性计算表!H$2,FALSE)/装备属性计算表!H$20*VLOOKUP($H154&amp;$F154,$C$3:$P$28,I$1,FALSE)</f>
        <v>97.505918890814598</v>
      </c>
      <c r="L154" s="28">
        <f>VLOOKUP($G154,装备属性计算表!$D$14:$O$19,装备属性计算表!I$2,FALSE)/装备属性计算表!I$20*VLOOKUP($H154&amp;$F154,$C$3:$P$28,J$1,FALSE)</f>
        <v>70.833333333333357</v>
      </c>
      <c r="M154" s="28">
        <f>VLOOKUP($G154,装备属性计算表!$D$14:$O$19,装备属性计算表!J$2,FALSE)/装备属性计算表!J$20*VLOOKUP($H154&amp;$F154,$C$3:$P$28,K$1,FALSE)</f>
        <v>0</v>
      </c>
      <c r="N154" s="28">
        <f>VLOOKUP($G154,装备属性计算表!$D$14:$O$19,装备属性计算表!K$2,FALSE)/装备属性计算表!K$20*VLOOKUP($H154&amp;$F154,$C$3:$P$28,L$1,FALSE)</f>
        <v>0</v>
      </c>
      <c r="O154" s="28">
        <f>VLOOKUP($G154,装备属性计算表!$D$14:$O$19,装备属性计算表!L$2,FALSE)/装备属性计算表!L$20*VLOOKUP($H154&amp;$F154,$C$3:$P$28,M$1,FALSE)</f>
        <v>0</v>
      </c>
      <c r="P154" s="28">
        <f>VLOOKUP($G154,装备属性计算表!$D$14:$O$19,装备属性计算表!M$2,FALSE)/装备属性计算表!M$20*VLOOKUP($H154&amp;$F154,$C$3:$P$28,N$1,FALSE)</f>
        <v>69.958847736625529</v>
      </c>
      <c r="Q154" s="28">
        <f>VLOOKUP($G154,装备属性计算表!$D$14:$O$19,装备属性计算表!N$2,FALSE)/装备属性计算表!N$20*VLOOKUP($H154&amp;$F154,$C$3:$P$28,O$1,FALSE)</f>
        <v>0</v>
      </c>
      <c r="R154" s="28">
        <f>VLOOKUP($G154,装备属性计算表!$D$14:$O$19,装备属性计算表!O$2,FALSE)/装备属性计算表!O$20*VLOOKUP($H154&amp;$F154,$C$3:$P$28,P$1,FALSE)</f>
        <v>0</v>
      </c>
      <c r="Y154" s="28">
        <f t="shared" si="69"/>
        <v>0</v>
      </c>
      <c r="Z154" s="28">
        <f t="shared" si="70"/>
        <v>0</v>
      </c>
      <c r="AA154" s="28">
        <f t="shared" si="63"/>
        <v>10</v>
      </c>
      <c r="AB154" s="28">
        <f t="shared" si="71"/>
        <v>0</v>
      </c>
      <c r="AC154" s="28">
        <f t="shared" si="72"/>
        <v>0</v>
      </c>
      <c r="AD154" s="28">
        <f t="shared" si="73"/>
        <v>133</v>
      </c>
      <c r="AE154" s="28">
        <f t="shared" si="74"/>
        <v>665000</v>
      </c>
      <c r="AF154" s="28">
        <f t="shared" si="75"/>
        <v>3295</v>
      </c>
      <c r="AG154" s="28">
        <f t="shared" si="76"/>
        <v>41</v>
      </c>
      <c r="AH154" s="28">
        <f>IF(AG154&gt;0,VLOOKUP(G154,'价值&amp;消耗'!$U$173:$V$178,2,FALSE),0)</f>
        <v>71010</v>
      </c>
      <c r="AI154" s="28">
        <f t="shared" si="77"/>
        <v>2255</v>
      </c>
      <c r="AJ154" s="28">
        <f t="shared" si="78"/>
        <v>3</v>
      </c>
      <c r="AK154" s="28">
        <f>ROUND(IF(COUNTIF($I154:I154,"&gt;0")&gt;$AJ154,0,I154),0)</f>
        <v>2962</v>
      </c>
      <c r="AL154" s="28">
        <f>ROUND(IF(COUNTIF($I154:J154,"&gt;0")&gt;$AJ154,0,J154),0)</f>
        <v>0</v>
      </c>
      <c r="AM154" s="28">
        <f>ROUND(IF(COUNTIF($I154:K154,"&gt;0")&gt;$AJ154,0,K154),0)</f>
        <v>98</v>
      </c>
      <c r="AN154" s="28">
        <f>ROUND(IF(COUNTIF($I154:L154,"&gt;0")&gt;$AJ154,0,L154),0)</f>
        <v>71</v>
      </c>
      <c r="AO154" s="28">
        <f>ROUND(IF(COUNTIF($I154:M154,"&gt;0")&gt;$AJ154,0,M154),0)</f>
        <v>0</v>
      </c>
      <c r="AP154" s="28">
        <f>ROUND(IF(COUNTIF($I154:N154,"&gt;0")&gt;$AJ154,0,N154),0)</f>
        <v>0</v>
      </c>
      <c r="AQ154" s="28">
        <f>ROUND(IF(COUNTIF($I154:O154,"&gt;0")&gt;$AJ154,0,O154),0)</f>
        <v>0</v>
      </c>
      <c r="AR154" s="28">
        <f>ROUND(IF(COUNTIF($I154:P154,"&gt;0")&gt;$AJ154,0,P154),0)</f>
        <v>0</v>
      </c>
      <c r="AS154" s="28">
        <f>IF(COUNTIF($I154:Q154,"&gt;0")&gt;$AJ154,0,Q154)</f>
        <v>0</v>
      </c>
      <c r="AT154" s="28">
        <f>IF(COUNTIF($I154:R154,"&gt;0")&gt;$AJ154,0,R154)</f>
        <v>0</v>
      </c>
      <c r="AU154" s="28">
        <f>SUMPRODUCT(AK154:AT154,定义数据!$G$14:$P$14)</f>
        <v>240.62</v>
      </c>
      <c r="AV154" s="28">
        <f t="shared" si="55"/>
        <v>12031</v>
      </c>
      <c r="AW154" s="28">
        <f t="shared" si="66"/>
        <v>12031</v>
      </c>
      <c r="AX154" s="28">
        <f t="shared" si="79"/>
        <v>661705</v>
      </c>
      <c r="AY154" s="28">
        <f t="shared" si="68"/>
        <v>661705</v>
      </c>
    </row>
    <row r="155" spans="3:51" x14ac:dyDescent="0.15">
      <c r="C155" s="28" t="str">
        <f>H155&amp;F155&amp;VLOOKUP(G155,定义数据!$E$1:$F$7,2,FALSE)</f>
        <v>7032</v>
      </c>
      <c r="D155" s="28"/>
      <c r="E155" s="28">
        <f>装备属性计算表!AK154</f>
        <v>22</v>
      </c>
      <c r="F155" s="28">
        <f>装备属性计算表!B154</f>
        <v>3</v>
      </c>
      <c r="G155" s="28" t="str">
        <f>装备属性计算表!C154</f>
        <v>裤子</v>
      </c>
      <c r="H155" s="28">
        <f>装备属性计算表!D154</f>
        <v>70</v>
      </c>
      <c r="I155" s="28">
        <f>VLOOKUP($G155,装备属性计算表!$D$14:$O$19,装备属性计算表!F$2,FALSE)/装备属性计算表!F$20*VLOOKUP($H155&amp;$F155,$C$3:$P$28,G$1,FALSE)</f>
        <v>1480.8193709717546</v>
      </c>
      <c r="J155" s="28">
        <f>VLOOKUP($G155,装备属性计算表!$D$14:$O$19,装备属性计算表!G$2,FALSE)/装备属性计算表!G$20*VLOOKUP($H155&amp;$F155,$C$3:$P$28,H$1,FALSE)</f>
        <v>0</v>
      </c>
      <c r="K155" s="28">
        <f>VLOOKUP($G155,装备属性计算表!$D$14:$O$19,装备属性计算表!H$2,FALSE)/装备属性计算表!H$20*VLOOKUP($H155&amp;$F155,$C$3:$P$28,I$1,FALSE)</f>
        <v>32.501972963604864</v>
      </c>
      <c r="L155" s="28">
        <f>VLOOKUP($G155,装备属性计算表!$D$14:$O$19,装备属性计算表!I$2,FALSE)/装备属性计算表!I$20*VLOOKUP($H155&amp;$F155,$C$3:$P$28,J$1,FALSE)</f>
        <v>70.833333333333357</v>
      </c>
      <c r="M155" s="28">
        <f>VLOOKUP($G155,装备属性计算表!$D$14:$O$19,装备属性计算表!J$2,FALSE)/装备属性计算表!J$20*VLOOKUP($H155&amp;$F155,$C$3:$P$28,K$1,FALSE)</f>
        <v>0</v>
      </c>
      <c r="N155" s="28">
        <f>VLOOKUP($G155,装备属性计算表!$D$14:$O$19,装备属性计算表!K$2,FALSE)/装备属性计算表!K$20*VLOOKUP($H155&amp;$F155,$C$3:$P$28,L$1,FALSE)</f>
        <v>0</v>
      </c>
      <c r="O155" s="28">
        <f>VLOOKUP($G155,装备属性计算表!$D$14:$O$19,装备属性计算表!L$2,FALSE)/装备属性计算表!L$20*VLOOKUP($H155&amp;$F155,$C$3:$P$28,M$1,FALSE)</f>
        <v>0</v>
      </c>
      <c r="P155" s="28">
        <f>VLOOKUP($G155,装备属性计算表!$D$14:$O$19,装备属性计算表!M$2,FALSE)/装备属性计算表!M$20*VLOOKUP($H155&amp;$F155,$C$3:$P$28,N$1,FALSE)</f>
        <v>69.958847736625529</v>
      </c>
      <c r="Q155" s="28">
        <f>VLOOKUP($G155,装备属性计算表!$D$14:$O$19,装备属性计算表!N$2,FALSE)/装备属性计算表!N$20*VLOOKUP($H155&amp;$F155,$C$3:$P$28,O$1,FALSE)</f>
        <v>0</v>
      </c>
      <c r="R155" s="28">
        <f>VLOOKUP($G155,装备属性计算表!$D$14:$O$19,装备属性计算表!O$2,FALSE)/装备属性计算表!O$20*VLOOKUP($H155&amp;$F155,$C$3:$P$28,P$1,FALSE)</f>
        <v>0</v>
      </c>
      <c r="Y155" s="28">
        <f t="shared" si="69"/>
        <v>0</v>
      </c>
      <c r="Z155" s="28">
        <f t="shared" si="70"/>
        <v>0</v>
      </c>
      <c r="AA155" s="28">
        <f t="shared" si="63"/>
        <v>10</v>
      </c>
      <c r="AB155" s="28">
        <f t="shared" si="71"/>
        <v>0</v>
      </c>
      <c r="AC155" s="28">
        <f t="shared" si="72"/>
        <v>0</v>
      </c>
      <c r="AD155" s="28">
        <f t="shared" si="73"/>
        <v>65</v>
      </c>
      <c r="AE155" s="28">
        <f t="shared" si="74"/>
        <v>325000</v>
      </c>
      <c r="AF155" s="28">
        <f t="shared" si="75"/>
        <v>4955</v>
      </c>
      <c r="AG155" s="28">
        <f t="shared" si="76"/>
        <v>20</v>
      </c>
      <c r="AH155" s="28">
        <f>IF(AG155&gt;0,VLOOKUP(G155,'价值&amp;消耗'!$U$173:$V$178,2,FALSE),0)</f>
        <v>72010</v>
      </c>
      <c r="AI155" s="28">
        <f t="shared" si="77"/>
        <v>1100</v>
      </c>
      <c r="AJ155" s="28">
        <f t="shared" si="78"/>
        <v>3</v>
      </c>
      <c r="AK155" s="28">
        <f>ROUND(IF(COUNTIF($I155:I155,"&gt;0")&gt;$AJ155,0,I155),0)</f>
        <v>1481</v>
      </c>
      <c r="AL155" s="28">
        <f>ROUND(IF(COUNTIF($I155:J155,"&gt;0")&gt;$AJ155,0,J155),0)</f>
        <v>0</v>
      </c>
      <c r="AM155" s="28">
        <f>ROUND(IF(COUNTIF($I155:K155,"&gt;0")&gt;$AJ155,0,K155),0)</f>
        <v>33</v>
      </c>
      <c r="AN155" s="28">
        <f>ROUND(IF(COUNTIF($I155:L155,"&gt;0")&gt;$AJ155,0,L155),0)</f>
        <v>71</v>
      </c>
      <c r="AO155" s="28">
        <f>ROUND(IF(COUNTIF($I155:M155,"&gt;0")&gt;$AJ155,0,M155),0)</f>
        <v>0</v>
      </c>
      <c r="AP155" s="28">
        <f>ROUND(IF(COUNTIF($I155:N155,"&gt;0")&gt;$AJ155,0,N155),0)</f>
        <v>0</v>
      </c>
      <c r="AQ155" s="28">
        <f>ROUND(IF(COUNTIF($I155:O155,"&gt;0")&gt;$AJ155,0,O155),0)</f>
        <v>0</v>
      </c>
      <c r="AR155" s="28">
        <f>ROUND(IF(COUNTIF($I155:P155,"&gt;0")&gt;$AJ155,0,P155),0)</f>
        <v>0</v>
      </c>
      <c r="AS155" s="28">
        <f>IF(COUNTIF($I155:Q155,"&gt;0")&gt;$AJ155,0,Q155)</f>
        <v>0</v>
      </c>
      <c r="AT155" s="28">
        <f>IF(COUNTIF($I155:R155,"&gt;0")&gt;$AJ155,0,R155)</f>
        <v>0</v>
      </c>
      <c r="AU155" s="28">
        <f>SUMPRODUCT(AK155:AT155,定义数据!$G$14:$P$14)</f>
        <v>116.38000000000001</v>
      </c>
      <c r="AV155" s="28">
        <f t="shared" si="55"/>
        <v>5819</v>
      </c>
      <c r="AW155" s="28">
        <f t="shared" si="66"/>
        <v>5819</v>
      </c>
      <c r="AX155" s="28">
        <f t="shared" si="79"/>
        <v>320045</v>
      </c>
      <c r="AY155" s="28">
        <f t="shared" si="68"/>
        <v>320045</v>
      </c>
    </row>
    <row r="156" spans="3:51" x14ac:dyDescent="0.15">
      <c r="C156" s="28" t="str">
        <f>H156&amp;F156&amp;VLOOKUP(G156,定义数据!$E$1:$F$7,2,FALSE)</f>
        <v>7035</v>
      </c>
      <c r="D156" s="28"/>
      <c r="E156" s="28">
        <f>装备属性计算表!AK155</f>
        <v>22</v>
      </c>
      <c r="F156" s="28">
        <f>装备属性计算表!B155</f>
        <v>3</v>
      </c>
      <c r="G156" s="28" t="str">
        <f>装备属性计算表!C155</f>
        <v>鞋子</v>
      </c>
      <c r="H156" s="28">
        <f>装备属性计算表!D155</f>
        <v>70</v>
      </c>
      <c r="I156" s="28">
        <f>VLOOKUP($G156,装备属性计算表!$D$14:$O$19,装备属性计算表!F$2,FALSE)/装备属性计算表!F$20*VLOOKUP($H156&amp;$F156,$C$3:$P$28,G$1,FALSE)</f>
        <v>1480.8193709717546</v>
      </c>
      <c r="J156" s="28">
        <f>VLOOKUP($G156,装备属性计算表!$D$14:$O$19,装备属性计算表!G$2,FALSE)/装备属性计算表!G$20*VLOOKUP($H156&amp;$F156,$C$3:$P$28,H$1,FALSE)</f>
        <v>0</v>
      </c>
      <c r="K156" s="28">
        <f>VLOOKUP($G156,装备属性计算表!$D$14:$O$19,装备属性计算表!H$2,FALSE)/装备属性计算表!H$20*VLOOKUP($H156&amp;$F156,$C$3:$P$28,I$1,FALSE)</f>
        <v>0</v>
      </c>
      <c r="L156" s="28">
        <f>VLOOKUP($G156,装备属性计算表!$D$14:$O$19,装备属性计算表!I$2,FALSE)/装备属性计算表!I$20*VLOOKUP($H156&amp;$F156,$C$3:$P$28,J$1,FALSE)</f>
        <v>141.66666666666671</v>
      </c>
      <c r="M156" s="28">
        <f>VLOOKUP($G156,装备属性计算表!$D$14:$O$19,装备属性计算表!J$2,FALSE)/装备属性计算表!J$20*VLOOKUP($H156&amp;$F156,$C$3:$P$28,K$1,FALSE)</f>
        <v>118.05555555555557</v>
      </c>
      <c r="N156" s="28">
        <f>VLOOKUP($G156,装备属性计算表!$D$14:$O$19,装备属性计算表!K$2,FALSE)/装备属性计算表!K$20*VLOOKUP($H156&amp;$F156,$C$3:$P$28,L$1,FALSE)</f>
        <v>41.975308641975317</v>
      </c>
      <c r="O156" s="28">
        <f>VLOOKUP($G156,装备属性计算表!$D$14:$O$19,装备属性计算表!L$2,FALSE)/装备属性计算表!L$20*VLOOKUP($H156&amp;$F156,$C$3:$P$28,M$1,FALSE)</f>
        <v>0</v>
      </c>
      <c r="P156" s="28">
        <f>VLOOKUP($G156,装备属性计算表!$D$14:$O$19,装备属性计算表!M$2,FALSE)/装备属性计算表!M$20*VLOOKUP($H156&amp;$F156,$C$3:$P$28,N$1,FALSE)</f>
        <v>0</v>
      </c>
      <c r="Q156" s="28">
        <f>VLOOKUP($G156,装备属性计算表!$D$14:$O$19,装备属性计算表!N$2,FALSE)/装备属性计算表!N$20*VLOOKUP($H156&amp;$F156,$C$3:$P$28,O$1,FALSE)</f>
        <v>0</v>
      </c>
      <c r="R156" s="28">
        <f>VLOOKUP($G156,装备属性计算表!$D$14:$O$19,装备属性计算表!O$2,FALSE)/装备属性计算表!O$20*VLOOKUP($H156&amp;$F156,$C$3:$P$28,P$1,FALSE)</f>
        <v>0</v>
      </c>
      <c r="Y156" s="28">
        <f t="shared" si="69"/>
        <v>0</v>
      </c>
      <c r="Z156" s="28">
        <f t="shared" si="70"/>
        <v>0</v>
      </c>
      <c r="AA156" s="28">
        <f t="shared" si="63"/>
        <v>10</v>
      </c>
      <c r="AB156" s="28">
        <f t="shared" si="71"/>
        <v>0</v>
      </c>
      <c r="AC156" s="28">
        <f t="shared" si="72"/>
        <v>0</v>
      </c>
      <c r="AD156" s="28">
        <f t="shared" si="73"/>
        <v>82</v>
      </c>
      <c r="AE156" s="28">
        <f t="shared" si="74"/>
        <v>410000</v>
      </c>
      <c r="AF156" s="28">
        <f t="shared" si="75"/>
        <v>3990</v>
      </c>
      <c r="AG156" s="28">
        <f t="shared" si="76"/>
        <v>25</v>
      </c>
      <c r="AH156" s="28">
        <f>IF(AG156&gt;0,VLOOKUP(G156,'价值&amp;消耗'!$U$173:$V$178,2,FALSE),0)</f>
        <v>75010</v>
      </c>
      <c r="AI156" s="28">
        <f t="shared" si="77"/>
        <v>1375</v>
      </c>
      <c r="AJ156" s="28">
        <f t="shared" si="78"/>
        <v>3</v>
      </c>
      <c r="AK156" s="28">
        <f>ROUND(IF(COUNTIF($I156:I156,"&gt;0")&gt;$AJ156,0,I156),0)</f>
        <v>1481</v>
      </c>
      <c r="AL156" s="28">
        <f>ROUND(IF(COUNTIF($I156:J156,"&gt;0")&gt;$AJ156,0,J156),0)</f>
        <v>0</v>
      </c>
      <c r="AM156" s="28">
        <f>ROUND(IF(COUNTIF($I156:K156,"&gt;0")&gt;$AJ156,0,K156),0)</f>
        <v>0</v>
      </c>
      <c r="AN156" s="28">
        <f>ROUND(IF(COUNTIF($I156:L156,"&gt;0")&gt;$AJ156,0,L156),0)</f>
        <v>142</v>
      </c>
      <c r="AO156" s="28">
        <f>ROUND(IF(COUNTIF($I156:M156,"&gt;0")&gt;$AJ156,0,M156),0)</f>
        <v>118</v>
      </c>
      <c r="AP156" s="28">
        <f>ROUND(IF(COUNTIF($I156:N156,"&gt;0")&gt;$AJ156,0,N156),0)</f>
        <v>0</v>
      </c>
      <c r="AQ156" s="28">
        <f>ROUND(IF(COUNTIF($I156:O156,"&gt;0")&gt;$AJ156,0,O156),0)</f>
        <v>0</v>
      </c>
      <c r="AR156" s="28">
        <f>ROUND(IF(COUNTIF($I156:P156,"&gt;0")&gt;$AJ156,0,P156),0)</f>
        <v>0</v>
      </c>
      <c r="AS156" s="28">
        <f>IF(COUNTIF($I156:Q156,"&gt;0")&gt;$AJ156,0,Q156)</f>
        <v>0</v>
      </c>
      <c r="AT156" s="28">
        <f>IF(COUNTIF($I156:R156,"&gt;0")&gt;$AJ156,0,R156)</f>
        <v>0</v>
      </c>
      <c r="AU156" s="28">
        <f>SUMPRODUCT(AK156:AT156,定义数据!$G$14:$P$14)</f>
        <v>147.64000000000001</v>
      </c>
      <c r="AV156" s="28">
        <f t="shared" si="55"/>
        <v>7382</v>
      </c>
      <c r="AW156" s="28">
        <f t="shared" si="66"/>
        <v>7382</v>
      </c>
      <c r="AX156" s="28">
        <f t="shared" si="79"/>
        <v>406010</v>
      </c>
      <c r="AY156" s="28">
        <f t="shared" si="68"/>
        <v>406010</v>
      </c>
    </row>
    <row r="157" spans="3:51" x14ac:dyDescent="0.15">
      <c r="C157" s="28" t="str">
        <f>H157&amp;F157&amp;VLOOKUP(G157,定义数据!$E$1:$F$7,2,FALSE)</f>
        <v>7034</v>
      </c>
      <c r="D157" s="28"/>
      <c r="E157" s="28">
        <f>装备属性计算表!AK156</f>
        <v>22</v>
      </c>
      <c r="F157" s="28">
        <f>装备属性计算表!B156</f>
        <v>3</v>
      </c>
      <c r="G157" s="28" t="str">
        <f>装备属性计算表!C156</f>
        <v>腰带</v>
      </c>
      <c r="H157" s="28">
        <f>装备属性计算表!D156</f>
        <v>70</v>
      </c>
      <c r="I157" s="28">
        <f>VLOOKUP($G157,装备属性计算表!$D$14:$O$19,装备属性计算表!F$2,FALSE)/装备属性计算表!F$20*VLOOKUP($H157&amp;$F157,$C$3:$P$28,G$1,FALSE)</f>
        <v>2961.6387419435091</v>
      </c>
      <c r="J157" s="28">
        <f>VLOOKUP($G157,装备属性计算表!$D$14:$O$19,装备属性计算表!G$2,FALSE)/装备属性计算表!G$20*VLOOKUP($H157&amp;$F157,$C$3:$P$28,H$1,FALSE)</f>
        <v>90.258152727272773</v>
      </c>
      <c r="K157" s="28">
        <f>VLOOKUP($G157,装备属性计算表!$D$14:$O$19,装备属性计算表!H$2,FALSE)/装备属性计算表!H$20*VLOOKUP($H157&amp;$F157,$C$3:$P$28,I$1,FALSE)</f>
        <v>32.501972963604864</v>
      </c>
      <c r="L157" s="28">
        <f>VLOOKUP($G157,装备属性计算表!$D$14:$O$19,装备属性计算表!I$2,FALSE)/装备属性计算表!I$20*VLOOKUP($H157&amp;$F157,$C$3:$P$28,J$1,FALSE)</f>
        <v>0</v>
      </c>
      <c r="M157" s="28">
        <f>VLOOKUP($G157,装备属性计算表!$D$14:$O$19,装备属性计算表!J$2,FALSE)/装备属性计算表!J$20*VLOOKUP($H157&amp;$F157,$C$3:$P$28,K$1,FALSE)</f>
        <v>0</v>
      </c>
      <c r="N157" s="28">
        <f>VLOOKUP($G157,装备属性计算表!$D$14:$O$19,装备属性计算表!K$2,FALSE)/装备属性计算表!K$20*VLOOKUP($H157&amp;$F157,$C$3:$P$28,L$1,FALSE)</f>
        <v>0</v>
      </c>
      <c r="O157" s="28">
        <f>VLOOKUP($G157,装备属性计算表!$D$14:$O$19,装备属性计算表!L$2,FALSE)/装备属性计算表!L$20*VLOOKUP($H157&amp;$F157,$C$3:$P$28,M$1,FALSE)</f>
        <v>0</v>
      </c>
      <c r="P157" s="28">
        <f>VLOOKUP($G157,装备属性计算表!$D$14:$O$19,装备属性计算表!M$2,FALSE)/装备属性计算表!M$20*VLOOKUP($H157&amp;$F157,$C$3:$P$28,N$1,FALSE)</f>
        <v>69.958847736625529</v>
      </c>
      <c r="Q157" s="28">
        <f>VLOOKUP($G157,装备属性计算表!$D$14:$O$19,装备属性计算表!N$2,FALSE)/装备属性计算表!N$20*VLOOKUP($H157&amp;$F157,$C$3:$P$28,O$1,FALSE)</f>
        <v>0</v>
      </c>
      <c r="R157" s="28">
        <f>VLOOKUP($G157,装备属性计算表!$D$14:$O$19,装备属性计算表!O$2,FALSE)/装备属性计算表!O$20*VLOOKUP($H157&amp;$F157,$C$3:$P$28,P$1,FALSE)</f>
        <v>0</v>
      </c>
      <c r="Y157" s="28">
        <f t="shared" si="69"/>
        <v>0</v>
      </c>
      <c r="Z157" s="28">
        <f t="shared" si="70"/>
        <v>0</v>
      </c>
      <c r="AA157" s="28">
        <f t="shared" si="63"/>
        <v>10</v>
      </c>
      <c r="AB157" s="28">
        <f t="shared" si="71"/>
        <v>0</v>
      </c>
      <c r="AC157" s="28">
        <f t="shared" si="72"/>
        <v>0</v>
      </c>
      <c r="AD157" s="28">
        <f t="shared" si="73"/>
        <v>133</v>
      </c>
      <c r="AE157" s="28">
        <f t="shared" si="74"/>
        <v>665000</v>
      </c>
      <c r="AF157" s="28">
        <f t="shared" si="75"/>
        <v>930</v>
      </c>
      <c r="AG157" s="28">
        <f t="shared" si="76"/>
        <v>41</v>
      </c>
      <c r="AH157" s="28">
        <f>IF(AG157&gt;0,VLOOKUP(G157,'价值&amp;消耗'!$U$173:$V$178,2,FALSE),0)</f>
        <v>74010</v>
      </c>
      <c r="AI157" s="28">
        <f t="shared" si="77"/>
        <v>2255</v>
      </c>
      <c r="AJ157" s="28">
        <f t="shared" si="78"/>
        <v>3</v>
      </c>
      <c r="AK157" s="28">
        <f>ROUND(IF(COUNTIF($I157:I157,"&gt;0")&gt;$AJ157,0,I157),0)</f>
        <v>2962</v>
      </c>
      <c r="AL157" s="28">
        <f>ROUND(IF(COUNTIF($I157:J157,"&gt;0")&gt;$AJ157,0,J157),0)</f>
        <v>90</v>
      </c>
      <c r="AM157" s="28">
        <f>ROUND(IF(COUNTIF($I157:K157,"&gt;0")&gt;$AJ157,0,K157),0)</f>
        <v>33</v>
      </c>
      <c r="AN157" s="28">
        <f>ROUND(IF(COUNTIF($I157:L157,"&gt;0")&gt;$AJ157,0,L157),0)</f>
        <v>0</v>
      </c>
      <c r="AO157" s="28">
        <f>ROUND(IF(COUNTIF($I157:M157,"&gt;0")&gt;$AJ157,0,M157),0)</f>
        <v>0</v>
      </c>
      <c r="AP157" s="28">
        <f>ROUND(IF(COUNTIF($I157:N157,"&gt;0")&gt;$AJ157,0,N157),0)</f>
        <v>0</v>
      </c>
      <c r="AQ157" s="28">
        <f>ROUND(IF(COUNTIF($I157:O157,"&gt;0")&gt;$AJ157,0,O157),0)</f>
        <v>0</v>
      </c>
      <c r="AR157" s="28">
        <f>ROUND(IF(COUNTIF($I157:P157,"&gt;0")&gt;$AJ157,0,P157),0)</f>
        <v>0</v>
      </c>
      <c r="AS157" s="28">
        <f>IF(COUNTIF($I157:Q157,"&gt;0")&gt;$AJ157,0,Q157)</f>
        <v>0</v>
      </c>
      <c r="AT157" s="28">
        <f>IF(COUNTIF($I157:R157,"&gt;0")&gt;$AJ157,0,R157)</f>
        <v>0</v>
      </c>
      <c r="AU157" s="28">
        <f>SUMPRODUCT(AK157:AT157,定义数据!$G$14:$P$14)</f>
        <v>241.48000000000002</v>
      </c>
      <c r="AV157" s="28">
        <f t="shared" si="55"/>
        <v>12074</v>
      </c>
      <c r="AW157" s="28">
        <f t="shared" si="66"/>
        <v>12074</v>
      </c>
      <c r="AX157" s="28">
        <f t="shared" si="79"/>
        <v>664070</v>
      </c>
      <c r="AY157" s="28">
        <f t="shared" si="68"/>
        <v>664070</v>
      </c>
    </row>
    <row r="158" spans="3:51" x14ac:dyDescent="0.15">
      <c r="C158" s="28" t="str">
        <f>H158&amp;F158&amp;VLOOKUP(G158,定义数据!$E$1:$F$7,2,FALSE)</f>
        <v>7033</v>
      </c>
      <c r="D158" s="28"/>
      <c r="E158" s="28">
        <f>装备属性计算表!AK157</f>
        <v>22</v>
      </c>
      <c r="F158" s="28">
        <f>装备属性计算表!B157</f>
        <v>3</v>
      </c>
      <c r="G158" s="28" t="str">
        <f>装备属性计算表!C157</f>
        <v>项链</v>
      </c>
      <c r="H158" s="28">
        <f>装备属性计算表!D157</f>
        <v>70</v>
      </c>
      <c r="I158" s="28">
        <f>VLOOKUP($G158,装备属性计算表!$D$14:$O$19,装备属性计算表!F$2,FALSE)/装备属性计算表!F$20*VLOOKUP($H158&amp;$F158,$C$3:$P$28,G$1,FALSE)</f>
        <v>0</v>
      </c>
      <c r="J158" s="28">
        <f>VLOOKUP($G158,装备属性计算表!$D$14:$O$19,装备属性计算表!G$2,FALSE)/装备属性计算表!G$20*VLOOKUP($H158&amp;$F158,$C$3:$P$28,H$1,FALSE)</f>
        <v>90.258152727272773</v>
      </c>
      <c r="K158" s="28">
        <f>VLOOKUP($G158,装备属性计算表!$D$14:$O$19,装备属性计算表!H$2,FALSE)/装备属性计算表!H$20*VLOOKUP($H158&amp;$F158,$C$3:$P$28,I$1,FALSE)</f>
        <v>0</v>
      </c>
      <c r="L158" s="28">
        <f>VLOOKUP($G158,装备属性计算表!$D$14:$O$19,装备属性计算表!I$2,FALSE)/装备属性计算表!I$20*VLOOKUP($H158&amp;$F158,$C$3:$P$28,J$1,FALSE)</f>
        <v>70.833333333333357</v>
      </c>
      <c r="M158" s="28">
        <f>VLOOKUP($G158,装备属性计算表!$D$14:$O$19,装备属性计算表!J$2,FALSE)/装备属性计算表!J$20*VLOOKUP($H158&amp;$F158,$C$3:$P$28,K$1,FALSE)</f>
        <v>118.05555555555557</v>
      </c>
      <c r="N158" s="28">
        <f>VLOOKUP($G158,装备属性计算表!$D$14:$O$19,装备属性计算表!K$2,FALSE)/装备属性计算表!K$20*VLOOKUP($H158&amp;$F158,$C$3:$P$28,L$1,FALSE)</f>
        <v>83.950617283950635</v>
      </c>
      <c r="O158" s="28">
        <f>VLOOKUP($G158,装备属性计算表!$D$14:$O$19,装备属性计算表!L$2,FALSE)/装备属性计算表!L$20*VLOOKUP($H158&amp;$F158,$C$3:$P$28,M$1,FALSE)</f>
        <v>0</v>
      </c>
      <c r="P158" s="28">
        <f>VLOOKUP($G158,装备属性计算表!$D$14:$O$19,装备属性计算表!M$2,FALSE)/装备属性计算表!M$20*VLOOKUP($H158&amp;$F158,$C$3:$P$28,N$1,FALSE)</f>
        <v>0</v>
      </c>
      <c r="Q158" s="28">
        <f>VLOOKUP($G158,装备属性计算表!$D$14:$O$19,装备属性计算表!N$2,FALSE)/装备属性计算表!N$20*VLOOKUP($H158&amp;$F158,$C$3:$P$28,O$1,FALSE)</f>
        <v>0</v>
      </c>
      <c r="R158" s="28">
        <f>VLOOKUP($G158,装备属性计算表!$D$14:$O$19,装备属性计算表!O$2,FALSE)/装备属性计算表!O$20*VLOOKUP($H158&amp;$F158,$C$3:$P$28,P$1,FALSE)</f>
        <v>0</v>
      </c>
      <c r="X158" s="28">
        <f>SUM(AY153:AY158)</f>
        <v>3422375</v>
      </c>
      <c r="Y158" s="28">
        <f t="shared" si="69"/>
        <v>0</v>
      </c>
      <c r="Z158" s="28">
        <f t="shared" si="70"/>
        <v>0</v>
      </c>
      <c r="AA158" s="28">
        <f t="shared" si="63"/>
        <v>10</v>
      </c>
      <c r="AB158" s="28">
        <f t="shared" si="71"/>
        <v>0</v>
      </c>
      <c r="AC158" s="28">
        <f t="shared" si="72"/>
        <v>0</v>
      </c>
      <c r="AD158" s="28">
        <f t="shared" si="73"/>
        <v>85</v>
      </c>
      <c r="AE158" s="28">
        <f t="shared" si="74"/>
        <v>425000</v>
      </c>
      <c r="AF158" s="28">
        <f t="shared" si="75"/>
        <v>785</v>
      </c>
      <c r="AG158" s="28">
        <f t="shared" si="76"/>
        <v>26</v>
      </c>
      <c r="AH158" s="28">
        <f>IF(AG158&gt;0,VLOOKUP(G158,'价值&amp;消耗'!$U$173:$V$178,2,FALSE),0)</f>
        <v>73010</v>
      </c>
      <c r="AI158" s="28">
        <f t="shared" si="77"/>
        <v>1430</v>
      </c>
      <c r="AJ158" s="28">
        <f t="shared" si="78"/>
        <v>3</v>
      </c>
      <c r="AK158" s="28">
        <f>ROUND(IF(COUNTIF($I158:I158,"&gt;0")&gt;$AJ158,0,I158),0)</f>
        <v>0</v>
      </c>
      <c r="AL158" s="28">
        <f>ROUND(IF(COUNTIF($I158:J158,"&gt;0")&gt;$AJ158,0,J158),0)</f>
        <v>90</v>
      </c>
      <c r="AM158" s="28">
        <f>ROUND(IF(COUNTIF($I158:K158,"&gt;0")&gt;$AJ158,0,K158),0)</f>
        <v>0</v>
      </c>
      <c r="AN158" s="28">
        <f>ROUND(IF(COUNTIF($I158:L158,"&gt;0")&gt;$AJ158,0,L158),0)</f>
        <v>71</v>
      </c>
      <c r="AO158" s="28">
        <f>ROUND(IF(COUNTIF($I158:M158,"&gt;0")&gt;$AJ158,0,M158),0)</f>
        <v>118</v>
      </c>
      <c r="AP158" s="28">
        <f>ROUND(IF(COUNTIF($I158:N158,"&gt;0")&gt;$AJ158,0,N158),0)</f>
        <v>0</v>
      </c>
      <c r="AQ158" s="28">
        <f>ROUND(IF(COUNTIF($I158:O158,"&gt;0")&gt;$AJ158,0,O158),0)</f>
        <v>0</v>
      </c>
      <c r="AR158" s="28">
        <f>ROUND(IF(COUNTIF($I158:P158,"&gt;0")&gt;$AJ158,0,P158),0)</f>
        <v>0</v>
      </c>
      <c r="AS158" s="28">
        <f>IF(COUNTIF($I158:Q158,"&gt;0")&gt;$AJ158,0,Q158)</f>
        <v>0</v>
      </c>
      <c r="AT158" s="28">
        <f>IF(COUNTIF($I158:R158,"&gt;0")&gt;$AJ158,0,R158)</f>
        <v>0</v>
      </c>
      <c r="AU158" s="28">
        <f>SUMPRODUCT(AK158:AT158,定义数据!$G$14:$P$14)</f>
        <v>154.26</v>
      </c>
      <c r="AV158" s="28">
        <f t="shared" si="55"/>
        <v>7713</v>
      </c>
      <c r="AW158" s="28">
        <f t="shared" si="66"/>
        <v>7713</v>
      </c>
      <c r="AX158" s="28">
        <f t="shared" si="79"/>
        <v>424215</v>
      </c>
      <c r="AY158" s="28">
        <f t="shared" si="68"/>
        <v>424215</v>
      </c>
    </row>
    <row r="159" spans="3:51" x14ac:dyDescent="0.15">
      <c r="C159" s="28" t="str">
        <f>H159&amp;F159&amp;VLOOKUP(G159,定义数据!$E$1:$F$7,2,FALSE)</f>
        <v>7040</v>
      </c>
      <c r="D159" s="28"/>
      <c r="E159" s="28">
        <f>装备属性计算表!AK158</f>
        <v>23</v>
      </c>
      <c r="F159" s="28">
        <f>装备属性计算表!B158</f>
        <v>4</v>
      </c>
      <c r="G159" s="28" t="str">
        <f>装备属性计算表!C158</f>
        <v>武器</v>
      </c>
      <c r="H159" s="28">
        <f>装备属性计算表!D158</f>
        <v>70</v>
      </c>
      <c r="I159" s="28">
        <f>VLOOKUP($G159,装备属性计算表!$D$14:$O$19,装备属性计算表!F$2,FALSE)/装备属性计算表!F$20*VLOOKUP($H159&amp;$F159,$C$3:$P$28,G$1,FALSE)</f>
        <v>0</v>
      </c>
      <c r="J159" s="28">
        <f>VLOOKUP($G159,装备属性计算表!$D$14:$O$19,装备属性计算表!G$2,FALSE)/装备属性计算表!G$20*VLOOKUP($H159&amp;$F159,$C$3:$P$28,H$1,FALSE)</f>
        <v>318.5581860962568</v>
      </c>
      <c r="K159" s="28">
        <f>VLOOKUP($G159,装备属性计算表!$D$14:$O$19,装备属性计算表!H$2,FALSE)/装备属性计算表!H$20*VLOOKUP($H159&amp;$F159,$C$3:$P$28,I$1,FALSE)</f>
        <v>38.237615251299843</v>
      </c>
      <c r="L159" s="28">
        <f>VLOOKUP($G159,装备属性计算表!$D$14:$O$19,装备属性计算表!I$2,FALSE)/装备属性计算表!I$20*VLOOKUP($H159&amp;$F159,$C$3:$P$28,J$1,FALSE)</f>
        <v>0</v>
      </c>
      <c r="M159" s="28">
        <f>VLOOKUP($G159,装备属性计算表!$D$14:$O$19,装备属性计算表!J$2,FALSE)/装备属性计算表!J$20*VLOOKUP($H159&amp;$F159,$C$3:$P$28,K$1,FALSE)</f>
        <v>138.88888888888889</v>
      </c>
      <c r="N159" s="28">
        <f>VLOOKUP($G159,装备属性计算表!$D$14:$O$19,装备属性计算表!K$2,FALSE)/装备属性计算表!K$20*VLOOKUP($H159&amp;$F159,$C$3:$P$28,L$1,FALSE)</f>
        <v>98.765432098765459</v>
      </c>
      <c r="O159" s="28">
        <f>VLOOKUP($G159,装备属性计算表!$D$14:$O$19,装备属性计算表!L$2,FALSE)/装备属性计算表!L$20*VLOOKUP($H159&amp;$F159,$C$3:$P$28,M$1,FALSE)</f>
        <v>0</v>
      </c>
      <c r="P159" s="28">
        <f>VLOOKUP($G159,装备属性计算表!$D$14:$O$19,装备属性计算表!M$2,FALSE)/装备属性计算表!M$20*VLOOKUP($H159&amp;$F159,$C$3:$P$28,N$1,FALSE)</f>
        <v>0</v>
      </c>
      <c r="Q159" s="28">
        <f>VLOOKUP($G159,装备属性计算表!$D$14:$O$19,装备属性计算表!N$2,FALSE)/装备属性计算表!N$20*VLOOKUP($H159&amp;$F159,$C$3:$P$28,O$1,FALSE)</f>
        <v>0</v>
      </c>
      <c r="R159" s="28">
        <f>VLOOKUP($G159,装备属性计算表!$D$14:$O$19,装备属性计算表!O$2,FALSE)/装备属性计算表!O$20*VLOOKUP($H159&amp;$F159,$C$3:$P$28,P$1,FALSE)</f>
        <v>0</v>
      </c>
      <c r="Y159" s="28">
        <f t="shared" si="69"/>
        <v>0</v>
      </c>
      <c r="Z159" s="28">
        <f t="shared" si="70"/>
        <v>0</v>
      </c>
      <c r="AA159" s="28">
        <f t="shared" si="63"/>
        <v>10</v>
      </c>
      <c r="AB159" s="28">
        <f t="shared" si="71"/>
        <v>0</v>
      </c>
      <c r="AC159" s="28">
        <f t="shared" si="72"/>
        <v>0</v>
      </c>
      <c r="AD159" s="28">
        <f t="shared" si="73"/>
        <v>233</v>
      </c>
      <c r="AE159" s="28">
        <f t="shared" si="74"/>
        <v>1165000</v>
      </c>
      <c r="AF159" s="28">
        <f t="shared" si="75"/>
        <v>4280</v>
      </c>
      <c r="AG159" s="28">
        <f t="shared" si="76"/>
        <v>71</v>
      </c>
      <c r="AH159" s="28">
        <f>IF(AG159&gt;0,VLOOKUP(G159,'价值&amp;消耗'!$U$173:$V$178,2,FALSE),0)</f>
        <v>70010</v>
      </c>
      <c r="AI159" s="28">
        <f t="shared" si="77"/>
        <v>3905</v>
      </c>
      <c r="AJ159" s="28">
        <f t="shared" si="78"/>
        <v>4</v>
      </c>
      <c r="AK159" s="28">
        <f>ROUND(IF(COUNTIF($I159:I159,"&gt;0")&gt;$AJ159,0,I159),0)</f>
        <v>0</v>
      </c>
      <c r="AL159" s="28">
        <f>ROUND(IF(COUNTIF($I159:J159,"&gt;0")&gt;$AJ159,0,J159),0)</f>
        <v>319</v>
      </c>
      <c r="AM159" s="28">
        <f>ROUND(IF(COUNTIF($I159:K159,"&gt;0")&gt;$AJ159,0,K159),0)</f>
        <v>38</v>
      </c>
      <c r="AN159" s="28">
        <f>ROUND(IF(COUNTIF($I159:L159,"&gt;0")&gt;$AJ159,0,L159),0)</f>
        <v>0</v>
      </c>
      <c r="AO159" s="28">
        <f>ROUND(IF(COUNTIF($I159:M159,"&gt;0")&gt;$AJ159,0,M159),0)</f>
        <v>139</v>
      </c>
      <c r="AP159" s="28">
        <f>ROUND(IF(COUNTIF($I159:N159,"&gt;0")&gt;$AJ159,0,N159),0)</f>
        <v>99</v>
      </c>
      <c r="AQ159" s="28">
        <f>ROUND(IF(COUNTIF($I159:O159,"&gt;0")&gt;$AJ159,0,O159),0)</f>
        <v>0</v>
      </c>
      <c r="AR159" s="28">
        <f>ROUND(IF(COUNTIF($I159:P159,"&gt;0")&gt;$AJ159,0,P159),0)</f>
        <v>0</v>
      </c>
      <c r="AS159" s="28">
        <f>IF(COUNTIF($I159:Q159,"&gt;0")&gt;$AJ159,0,Q159)</f>
        <v>0</v>
      </c>
      <c r="AT159" s="28">
        <f>IF(COUNTIF($I159:R159,"&gt;0")&gt;$AJ159,0,R159)</f>
        <v>0</v>
      </c>
      <c r="AU159" s="28">
        <f>SUMPRODUCT(AK159:AT159,定义数据!$G$14:$P$14)</f>
        <v>422.08</v>
      </c>
      <c r="AV159" s="28">
        <f t="shared" si="55"/>
        <v>21104</v>
      </c>
      <c r="AW159" s="28">
        <f t="shared" si="66"/>
        <v>21104</v>
      </c>
      <c r="AX159" s="28">
        <f t="shared" si="79"/>
        <v>1160720</v>
      </c>
      <c r="AY159" s="28">
        <f t="shared" si="68"/>
        <v>1160720</v>
      </c>
    </row>
    <row r="160" spans="3:51" x14ac:dyDescent="0.15">
      <c r="C160" s="28" t="str">
        <f>H160&amp;F160&amp;VLOOKUP(G160,定义数据!$E$1:$F$7,2,FALSE)</f>
        <v>7041</v>
      </c>
      <c r="D160" s="28"/>
      <c r="E160" s="28">
        <f>装备属性计算表!AK159</f>
        <v>23</v>
      </c>
      <c r="F160" s="28">
        <f>装备属性计算表!B159</f>
        <v>4</v>
      </c>
      <c r="G160" s="28" t="str">
        <f>装备属性计算表!C159</f>
        <v>衣服</v>
      </c>
      <c r="H160" s="28">
        <f>装备属性计算表!D159</f>
        <v>70</v>
      </c>
      <c r="I160" s="28">
        <f>VLOOKUP($G160,装备属性计算表!$D$14:$O$19,装备属性计算表!F$2,FALSE)/装备属性计算表!F$20*VLOOKUP($H160&amp;$F160,$C$3:$P$28,G$1,FALSE)</f>
        <v>3484.2808728747168</v>
      </c>
      <c r="J160" s="28">
        <f>VLOOKUP($G160,装备属性计算表!$D$14:$O$19,装备属性计算表!G$2,FALSE)/装备属性计算表!G$20*VLOOKUP($H160&amp;$F160,$C$3:$P$28,H$1,FALSE)</f>
        <v>0</v>
      </c>
      <c r="K160" s="28">
        <f>VLOOKUP($G160,装备属性计算表!$D$14:$O$19,装备属性计算表!H$2,FALSE)/装备属性计算表!H$20*VLOOKUP($H160&amp;$F160,$C$3:$P$28,I$1,FALSE)</f>
        <v>114.71284575389953</v>
      </c>
      <c r="L160" s="28">
        <f>VLOOKUP($G160,装备属性计算表!$D$14:$O$19,装备属性计算表!I$2,FALSE)/装备属性计算表!I$20*VLOOKUP($H160&amp;$F160,$C$3:$P$28,J$1,FALSE)</f>
        <v>83.333333333333343</v>
      </c>
      <c r="M160" s="28">
        <f>VLOOKUP($G160,装备属性计算表!$D$14:$O$19,装备属性计算表!J$2,FALSE)/装备属性计算表!J$20*VLOOKUP($H160&amp;$F160,$C$3:$P$28,K$1,FALSE)</f>
        <v>0</v>
      </c>
      <c r="N160" s="28">
        <f>VLOOKUP($G160,装备属性计算表!$D$14:$O$19,装备属性计算表!K$2,FALSE)/装备属性计算表!K$20*VLOOKUP($H160&amp;$F160,$C$3:$P$28,L$1,FALSE)</f>
        <v>0</v>
      </c>
      <c r="O160" s="28">
        <f>VLOOKUP($G160,装备属性计算表!$D$14:$O$19,装备属性计算表!L$2,FALSE)/装备属性计算表!L$20*VLOOKUP($H160&amp;$F160,$C$3:$P$28,M$1,FALSE)</f>
        <v>0</v>
      </c>
      <c r="P160" s="28">
        <f>VLOOKUP($G160,装备属性计算表!$D$14:$O$19,装备属性计算表!M$2,FALSE)/装备属性计算表!M$20*VLOOKUP($H160&amp;$F160,$C$3:$P$28,N$1,FALSE)</f>
        <v>82.304526748971199</v>
      </c>
      <c r="Q160" s="28">
        <f>VLOOKUP($G160,装备属性计算表!$D$14:$O$19,装备属性计算表!N$2,FALSE)/装备属性计算表!N$20*VLOOKUP($H160&amp;$F160,$C$3:$P$28,O$1,FALSE)</f>
        <v>0</v>
      </c>
      <c r="R160" s="28">
        <f>VLOOKUP($G160,装备属性计算表!$D$14:$O$19,装备属性计算表!O$2,FALSE)/装备属性计算表!O$20*VLOOKUP($H160&amp;$F160,$C$3:$P$28,P$1,FALSE)</f>
        <v>0</v>
      </c>
      <c r="Y160" s="28">
        <f t="shared" si="69"/>
        <v>0</v>
      </c>
      <c r="Z160" s="28">
        <f t="shared" si="70"/>
        <v>0</v>
      </c>
      <c r="AA160" s="28">
        <f t="shared" si="63"/>
        <v>10</v>
      </c>
      <c r="AB160" s="28">
        <f t="shared" si="71"/>
        <v>0</v>
      </c>
      <c r="AC160" s="28">
        <f t="shared" si="72"/>
        <v>0</v>
      </c>
      <c r="AD160" s="28">
        <f t="shared" si="73"/>
        <v>164</v>
      </c>
      <c r="AE160" s="28">
        <f t="shared" si="74"/>
        <v>820000</v>
      </c>
      <c r="AF160" s="28">
        <f t="shared" si="75"/>
        <v>2315</v>
      </c>
      <c r="AG160" s="28">
        <f t="shared" si="76"/>
        <v>50</v>
      </c>
      <c r="AH160" s="28">
        <f>IF(AG160&gt;0,VLOOKUP(G160,'价值&amp;消耗'!$U$173:$V$178,2,FALSE),0)</f>
        <v>71010</v>
      </c>
      <c r="AI160" s="28">
        <f t="shared" si="77"/>
        <v>2750</v>
      </c>
      <c r="AJ160" s="28">
        <f t="shared" si="78"/>
        <v>4</v>
      </c>
      <c r="AK160" s="28">
        <f>ROUND(IF(COUNTIF($I160:I160,"&gt;0")&gt;$AJ160,0,I160),0)</f>
        <v>3484</v>
      </c>
      <c r="AL160" s="28">
        <f>ROUND(IF(COUNTIF($I160:J160,"&gt;0")&gt;$AJ160,0,J160),0)</f>
        <v>0</v>
      </c>
      <c r="AM160" s="28">
        <f>ROUND(IF(COUNTIF($I160:K160,"&gt;0")&gt;$AJ160,0,K160),0)</f>
        <v>115</v>
      </c>
      <c r="AN160" s="28">
        <f>ROUND(IF(COUNTIF($I160:L160,"&gt;0")&gt;$AJ160,0,L160),0)</f>
        <v>83</v>
      </c>
      <c r="AO160" s="28">
        <f>ROUND(IF(COUNTIF($I160:M160,"&gt;0")&gt;$AJ160,0,M160),0)</f>
        <v>0</v>
      </c>
      <c r="AP160" s="28">
        <f>ROUND(IF(COUNTIF($I160:N160,"&gt;0")&gt;$AJ160,0,N160),0)</f>
        <v>0</v>
      </c>
      <c r="AQ160" s="28">
        <f>ROUND(IF(COUNTIF($I160:O160,"&gt;0")&gt;$AJ160,0,O160),0)</f>
        <v>0</v>
      </c>
      <c r="AR160" s="28">
        <f>ROUND(IF(COUNTIF($I160:P160,"&gt;0")&gt;$AJ160,0,P160),0)</f>
        <v>82</v>
      </c>
      <c r="AS160" s="28">
        <f>IF(COUNTIF($I160:Q160,"&gt;0")&gt;$AJ160,0,Q160)</f>
        <v>0</v>
      </c>
      <c r="AT160" s="28">
        <f>IF(COUNTIF($I160:R160,"&gt;0")&gt;$AJ160,0,R160)</f>
        <v>0</v>
      </c>
      <c r="AU160" s="28">
        <f>SUMPRODUCT(AK160:AT160,定义数据!$G$14:$P$14)</f>
        <v>297.34000000000003</v>
      </c>
      <c r="AV160" s="28">
        <f t="shared" si="55"/>
        <v>14867</v>
      </c>
      <c r="AW160" s="28">
        <f t="shared" si="66"/>
        <v>14867</v>
      </c>
      <c r="AX160" s="28">
        <f t="shared" si="79"/>
        <v>817685</v>
      </c>
      <c r="AY160" s="28">
        <f t="shared" si="68"/>
        <v>817685</v>
      </c>
    </row>
    <row r="161" spans="3:52" x14ac:dyDescent="0.15">
      <c r="C161" s="28" t="str">
        <f>H161&amp;F161&amp;VLOOKUP(G161,定义数据!$E$1:$F$7,2,FALSE)</f>
        <v>7042</v>
      </c>
      <c r="D161" s="28"/>
      <c r="E161" s="28">
        <f>装备属性计算表!AK160</f>
        <v>23</v>
      </c>
      <c r="F161" s="28">
        <f>装备属性计算表!B160</f>
        <v>4</v>
      </c>
      <c r="G161" s="28" t="str">
        <f>装备属性计算表!C160</f>
        <v>裤子</v>
      </c>
      <c r="H161" s="28">
        <f>装备属性计算表!D160</f>
        <v>70</v>
      </c>
      <c r="I161" s="28">
        <f>VLOOKUP($G161,装备属性计算表!$D$14:$O$19,装备属性计算表!F$2,FALSE)/装备属性计算表!F$20*VLOOKUP($H161&amp;$F161,$C$3:$P$28,G$1,FALSE)</f>
        <v>1742.1404364373584</v>
      </c>
      <c r="J161" s="28">
        <f>VLOOKUP($G161,装备属性计算表!$D$14:$O$19,装备属性计算表!G$2,FALSE)/装备属性计算表!G$20*VLOOKUP($H161&amp;$F161,$C$3:$P$28,H$1,FALSE)</f>
        <v>0</v>
      </c>
      <c r="K161" s="28">
        <f>VLOOKUP($G161,装备属性计算表!$D$14:$O$19,装备属性计算表!H$2,FALSE)/装备属性计算表!H$20*VLOOKUP($H161&amp;$F161,$C$3:$P$28,I$1,FALSE)</f>
        <v>38.237615251299843</v>
      </c>
      <c r="L161" s="28">
        <f>VLOOKUP($G161,装备属性计算表!$D$14:$O$19,装备属性计算表!I$2,FALSE)/装备属性计算表!I$20*VLOOKUP($H161&amp;$F161,$C$3:$P$28,J$1,FALSE)</f>
        <v>83.333333333333343</v>
      </c>
      <c r="M161" s="28">
        <f>VLOOKUP($G161,装备属性计算表!$D$14:$O$19,装备属性计算表!J$2,FALSE)/装备属性计算表!J$20*VLOOKUP($H161&amp;$F161,$C$3:$P$28,K$1,FALSE)</f>
        <v>0</v>
      </c>
      <c r="N161" s="28">
        <f>VLOOKUP($G161,装备属性计算表!$D$14:$O$19,装备属性计算表!K$2,FALSE)/装备属性计算表!K$20*VLOOKUP($H161&amp;$F161,$C$3:$P$28,L$1,FALSE)</f>
        <v>0</v>
      </c>
      <c r="O161" s="28">
        <f>VLOOKUP($G161,装备属性计算表!$D$14:$O$19,装备属性计算表!L$2,FALSE)/装备属性计算表!L$20*VLOOKUP($H161&amp;$F161,$C$3:$P$28,M$1,FALSE)</f>
        <v>0</v>
      </c>
      <c r="P161" s="28">
        <f>VLOOKUP($G161,装备属性计算表!$D$14:$O$19,装备属性计算表!M$2,FALSE)/装备属性计算表!M$20*VLOOKUP($H161&amp;$F161,$C$3:$P$28,N$1,FALSE)</f>
        <v>82.304526748971199</v>
      </c>
      <c r="Q161" s="28">
        <f>VLOOKUP($G161,装备属性计算表!$D$14:$O$19,装备属性计算表!N$2,FALSE)/装备属性计算表!N$20*VLOOKUP($H161&amp;$F161,$C$3:$P$28,O$1,FALSE)</f>
        <v>0</v>
      </c>
      <c r="R161" s="28">
        <f>VLOOKUP($G161,装备属性计算表!$D$14:$O$19,装备属性计算表!O$2,FALSE)/装备属性计算表!O$20*VLOOKUP($H161&amp;$F161,$C$3:$P$28,P$1,FALSE)</f>
        <v>0</v>
      </c>
      <c r="Y161" s="28">
        <f t="shared" si="69"/>
        <v>0</v>
      </c>
      <c r="Z161" s="28">
        <f t="shared" si="70"/>
        <v>0</v>
      </c>
      <c r="AA161" s="28">
        <f t="shared" si="63"/>
        <v>10</v>
      </c>
      <c r="AB161" s="28">
        <f t="shared" si="71"/>
        <v>0</v>
      </c>
      <c r="AC161" s="28">
        <f t="shared" si="72"/>
        <v>0</v>
      </c>
      <c r="AD161" s="28">
        <f t="shared" si="73"/>
        <v>83</v>
      </c>
      <c r="AE161" s="28">
        <f t="shared" si="74"/>
        <v>415000</v>
      </c>
      <c r="AF161" s="28">
        <f t="shared" si="75"/>
        <v>685</v>
      </c>
      <c r="AG161" s="28">
        <f t="shared" si="76"/>
        <v>26</v>
      </c>
      <c r="AH161" s="28">
        <f>IF(AG161&gt;0,VLOOKUP(G161,'价值&amp;消耗'!$U$173:$V$178,2,FALSE),0)</f>
        <v>72010</v>
      </c>
      <c r="AI161" s="28">
        <f t="shared" si="77"/>
        <v>1430</v>
      </c>
      <c r="AJ161" s="28">
        <f t="shared" si="78"/>
        <v>4</v>
      </c>
      <c r="AK161" s="28">
        <f>ROUND(IF(COUNTIF($I161:I161,"&gt;0")&gt;$AJ161,0,I161),0)</f>
        <v>1742</v>
      </c>
      <c r="AL161" s="28">
        <f>ROUND(IF(COUNTIF($I161:J161,"&gt;0")&gt;$AJ161,0,J161),0)</f>
        <v>0</v>
      </c>
      <c r="AM161" s="28">
        <f>ROUND(IF(COUNTIF($I161:K161,"&gt;0")&gt;$AJ161,0,K161),0)</f>
        <v>38</v>
      </c>
      <c r="AN161" s="28">
        <f>ROUND(IF(COUNTIF($I161:L161,"&gt;0")&gt;$AJ161,0,L161),0)</f>
        <v>83</v>
      </c>
      <c r="AO161" s="28">
        <f>ROUND(IF(COUNTIF($I161:M161,"&gt;0")&gt;$AJ161,0,M161),0)</f>
        <v>0</v>
      </c>
      <c r="AP161" s="28">
        <f>ROUND(IF(COUNTIF($I161:N161,"&gt;0")&gt;$AJ161,0,N161),0)</f>
        <v>0</v>
      </c>
      <c r="AQ161" s="28">
        <f>ROUND(IF(COUNTIF($I161:O161,"&gt;0")&gt;$AJ161,0,O161),0)</f>
        <v>0</v>
      </c>
      <c r="AR161" s="28">
        <f>ROUND(IF(COUNTIF($I161:P161,"&gt;0")&gt;$AJ161,0,P161),0)</f>
        <v>82</v>
      </c>
      <c r="AS161" s="28">
        <f>IF(COUNTIF($I161:Q161,"&gt;0")&gt;$AJ161,0,Q161)</f>
        <v>0</v>
      </c>
      <c r="AT161" s="28">
        <f>IF(COUNTIF($I161:R161,"&gt;0")&gt;$AJ161,0,R161)</f>
        <v>0</v>
      </c>
      <c r="AU161" s="28">
        <f>SUMPRODUCT(AK161:AT161,定义数据!$G$14:$P$14)</f>
        <v>150.66</v>
      </c>
      <c r="AV161" s="28">
        <f t="shared" si="55"/>
        <v>7533</v>
      </c>
      <c r="AW161" s="28">
        <f t="shared" si="66"/>
        <v>7533</v>
      </c>
      <c r="AX161" s="28">
        <f t="shared" si="79"/>
        <v>414315</v>
      </c>
      <c r="AY161" s="28">
        <f t="shared" si="68"/>
        <v>414315</v>
      </c>
    </row>
    <row r="162" spans="3:52" x14ac:dyDescent="0.15">
      <c r="C162" s="28" t="str">
        <f>H162&amp;F162&amp;VLOOKUP(G162,定义数据!$E$1:$F$7,2,FALSE)</f>
        <v>7045</v>
      </c>
      <c r="D162" s="28"/>
      <c r="E162" s="28">
        <f>装备属性计算表!AK161</f>
        <v>23</v>
      </c>
      <c r="F162" s="28">
        <f>装备属性计算表!B161</f>
        <v>4</v>
      </c>
      <c r="G162" s="28" t="str">
        <f>装备属性计算表!C161</f>
        <v>鞋子</v>
      </c>
      <c r="H162" s="28">
        <f>装备属性计算表!D161</f>
        <v>70</v>
      </c>
      <c r="I162" s="28">
        <f>VLOOKUP($G162,装备属性计算表!$D$14:$O$19,装备属性计算表!F$2,FALSE)/装备属性计算表!F$20*VLOOKUP($H162&amp;$F162,$C$3:$P$28,G$1,FALSE)</f>
        <v>1742.1404364373584</v>
      </c>
      <c r="J162" s="28">
        <f>VLOOKUP($G162,装备属性计算表!$D$14:$O$19,装备属性计算表!G$2,FALSE)/装备属性计算表!G$20*VLOOKUP($H162&amp;$F162,$C$3:$P$28,H$1,FALSE)</f>
        <v>0</v>
      </c>
      <c r="K162" s="28">
        <f>VLOOKUP($G162,装备属性计算表!$D$14:$O$19,装备属性计算表!H$2,FALSE)/装备属性计算表!H$20*VLOOKUP($H162&amp;$F162,$C$3:$P$28,I$1,FALSE)</f>
        <v>0</v>
      </c>
      <c r="L162" s="28">
        <f>VLOOKUP($G162,装备属性计算表!$D$14:$O$19,装备属性计算表!I$2,FALSE)/装备属性计算表!I$20*VLOOKUP($H162&amp;$F162,$C$3:$P$28,J$1,FALSE)</f>
        <v>166.66666666666669</v>
      </c>
      <c r="M162" s="28">
        <f>VLOOKUP($G162,装备属性计算表!$D$14:$O$19,装备属性计算表!J$2,FALSE)/装备属性计算表!J$20*VLOOKUP($H162&amp;$F162,$C$3:$P$28,K$1,FALSE)</f>
        <v>138.88888888888889</v>
      </c>
      <c r="N162" s="28">
        <f>VLOOKUP($G162,装备属性计算表!$D$14:$O$19,装备属性计算表!K$2,FALSE)/装备属性计算表!K$20*VLOOKUP($H162&amp;$F162,$C$3:$P$28,L$1,FALSE)</f>
        <v>49.382716049382729</v>
      </c>
      <c r="O162" s="28">
        <f>VLOOKUP($G162,装备属性计算表!$D$14:$O$19,装备属性计算表!L$2,FALSE)/装备属性计算表!L$20*VLOOKUP($H162&amp;$F162,$C$3:$P$28,M$1,FALSE)</f>
        <v>0</v>
      </c>
      <c r="P162" s="28">
        <f>VLOOKUP($G162,装备属性计算表!$D$14:$O$19,装备属性计算表!M$2,FALSE)/装备属性计算表!M$20*VLOOKUP($H162&amp;$F162,$C$3:$P$28,N$1,FALSE)</f>
        <v>0</v>
      </c>
      <c r="Q162" s="28">
        <f>VLOOKUP($G162,装备属性计算表!$D$14:$O$19,装备属性计算表!N$2,FALSE)/装备属性计算表!N$20*VLOOKUP($H162&amp;$F162,$C$3:$P$28,O$1,FALSE)</f>
        <v>0</v>
      </c>
      <c r="R162" s="28">
        <f>VLOOKUP($G162,装备属性计算表!$D$14:$O$19,装备属性计算表!O$2,FALSE)/装备属性计算表!O$20*VLOOKUP($H162&amp;$F162,$C$3:$P$28,P$1,FALSE)</f>
        <v>0</v>
      </c>
      <c r="Y162" s="28">
        <f t="shared" si="69"/>
        <v>0</v>
      </c>
      <c r="Z162" s="28">
        <f t="shared" si="70"/>
        <v>0</v>
      </c>
      <c r="AA162" s="28">
        <f t="shared" si="63"/>
        <v>10</v>
      </c>
      <c r="AB162" s="28">
        <f t="shared" si="71"/>
        <v>0</v>
      </c>
      <c r="AC162" s="28">
        <f t="shared" si="72"/>
        <v>0</v>
      </c>
      <c r="AD162" s="28">
        <f t="shared" si="73"/>
        <v>101</v>
      </c>
      <c r="AE162" s="28">
        <f t="shared" si="74"/>
        <v>505000</v>
      </c>
      <c r="AF162" s="28">
        <f t="shared" si="75"/>
        <v>3015</v>
      </c>
      <c r="AG162" s="28">
        <f t="shared" si="76"/>
        <v>31</v>
      </c>
      <c r="AH162" s="28">
        <f>IF(AG162&gt;0,VLOOKUP(G162,'价值&amp;消耗'!$U$173:$V$178,2,FALSE),0)</f>
        <v>75010</v>
      </c>
      <c r="AI162" s="28">
        <f t="shared" si="77"/>
        <v>1705</v>
      </c>
      <c r="AJ162" s="28">
        <f t="shared" si="78"/>
        <v>4</v>
      </c>
      <c r="AK162" s="28">
        <f>ROUND(IF(COUNTIF($I162:I162,"&gt;0")&gt;$AJ162,0,I162),0)</f>
        <v>1742</v>
      </c>
      <c r="AL162" s="28">
        <f>ROUND(IF(COUNTIF($I162:J162,"&gt;0")&gt;$AJ162,0,J162),0)</f>
        <v>0</v>
      </c>
      <c r="AM162" s="28">
        <f>ROUND(IF(COUNTIF($I162:K162,"&gt;0")&gt;$AJ162,0,K162),0)</f>
        <v>0</v>
      </c>
      <c r="AN162" s="28">
        <f>ROUND(IF(COUNTIF($I162:L162,"&gt;0")&gt;$AJ162,0,L162),0)</f>
        <v>167</v>
      </c>
      <c r="AO162" s="28">
        <f>ROUND(IF(COUNTIF($I162:M162,"&gt;0")&gt;$AJ162,0,M162),0)</f>
        <v>139</v>
      </c>
      <c r="AP162" s="28">
        <f>ROUND(IF(COUNTIF($I162:N162,"&gt;0")&gt;$AJ162,0,N162),0)</f>
        <v>49</v>
      </c>
      <c r="AQ162" s="28">
        <f>ROUND(IF(COUNTIF($I162:O162,"&gt;0")&gt;$AJ162,0,O162),0)</f>
        <v>0</v>
      </c>
      <c r="AR162" s="28">
        <f>ROUND(IF(COUNTIF($I162:P162,"&gt;0")&gt;$AJ162,0,P162),0)</f>
        <v>0</v>
      </c>
      <c r="AS162" s="28">
        <f>IF(COUNTIF($I162:Q162,"&gt;0")&gt;$AJ162,0,Q162)</f>
        <v>0</v>
      </c>
      <c r="AT162" s="28">
        <f>IF(COUNTIF($I162:R162,"&gt;0")&gt;$AJ162,0,R162)</f>
        <v>0</v>
      </c>
      <c r="AU162" s="28">
        <f>SUMPRODUCT(AK162:AT162,定义数据!$G$14:$P$14)</f>
        <v>182.54000000000002</v>
      </c>
      <c r="AV162" s="28">
        <f t="shared" si="55"/>
        <v>9127</v>
      </c>
      <c r="AW162" s="28">
        <f t="shared" si="66"/>
        <v>9127</v>
      </c>
      <c r="AX162" s="28">
        <f t="shared" si="79"/>
        <v>501985</v>
      </c>
      <c r="AY162" s="28">
        <f t="shared" si="68"/>
        <v>501985</v>
      </c>
    </row>
    <row r="163" spans="3:52" x14ac:dyDescent="0.15">
      <c r="C163" s="28" t="str">
        <f>H163&amp;F163&amp;VLOOKUP(G163,定义数据!$E$1:$F$7,2,FALSE)</f>
        <v>7044</v>
      </c>
      <c r="D163" s="28"/>
      <c r="E163" s="28">
        <f>装备属性计算表!AK162</f>
        <v>23</v>
      </c>
      <c r="F163" s="28">
        <f>装备属性计算表!B162</f>
        <v>4</v>
      </c>
      <c r="G163" s="28" t="str">
        <f>装备属性计算表!C162</f>
        <v>腰带</v>
      </c>
      <c r="H163" s="28">
        <f>装备属性计算表!D162</f>
        <v>70</v>
      </c>
      <c r="I163" s="28">
        <f>VLOOKUP($G163,装备属性计算表!$D$14:$O$19,装备属性计算表!F$2,FALSE)/装备属性计算表!F$20*VLOOKUP($H163&amp;$F163,$C$3:$P$28,G$1,FALSE)</f>
        <v>3484.2808728747168</v>
      </c>
      <c r="J163" s="28">
        <f>VLOOKUP($G163,装备属性计算表!$D$14:$O$19,装备属性计算表!G$2,FALSE)/装备属性计算表!G$20*VLOOKUP($H163&amp;$F163,$C$3:$P$28,H$1,FALSE)</f>
        <v>106.1860620320856</v>
      </c>
      <c r="K163" s="28">
        <f>VLOOKUP($G163,装备属性计算表!$D$14:$O$19,装备属性计算表!H$2,FALSE)/装备属性计算表!H$20*VLOOKUP($H163&amp;$F163,$C$3:$P$28,I$1,FALSE)</f>
        <v>38.237615251299843</v>
      </c>
      <c r="L163" s="28">
        <f>VLOOKUP($G163,装备属性计算表!$D$14:$O$19,装备属性计算表!I$2,FALSE)/装备属性计算表!I$20*VLOOKUP($H163&amp;$F163,$C$3:$P$28,J$1,FALSE)</f>
        <v>0</v>
      </c>
      <c r="M163" s="28">
        <f>VLOOKUP($G163,装备属性计算表!$D$14:$O$19,装备属性计算表!J$2,FALSE)/装备属性计算表!J$20*VLOOKUP($H163&amp;$F163,$C$3:$P$28,K$1,FALSE)</f>
        <v>0</v>
      </c>
      <c r="N163" s="28">
        <f>VLOOKUP($G163,装备属性计算表!$D$14:$O$19,装备属性计算表!K$2,FALSE)/装备属性计算表!K$20*VLOOKUP($H163&amp;$F163,$C$3:$P$28,L$1,FALSE)</f>
        <v>0</v>
      </c>
      <c r="O163" s="28">
        <f>VLOOKUP($G163,装备属性计算表!$D$14:$O$19,装备属性计算表!L$2,FALSE)/装备属性计算表!L$20*VLOOKUP($H163&amp;$F163,$C$3:$P$28,M$1,FALSE)</f>
        <v>0</v>
      </c>
      <c r="P163" s="28">
        <f>VLOOKUP($G163,装备属性计算表!$D$14:$O$19,装备属性计算表!M$2,FALSE)/装备属性计算表!M$20*VLOOKUP($H163&amp;$F163,$C$3:$P$28,N$1,FALSE)</f>
        <v>82.304526748971199</v>
      </c>
      <c r="Q163" s="28">
        <f>VLOOKUP($G163,装备属性计算表!$D$14:$O$19,装备属性计算表!N$2,FALSE)/装备属性计算表!N$20*VLOOKUP($H163&amp;$F163,$C$3:$P$28,O$1,FALSE)</f>
        <v>0</v>
      </c>
      <c r="R163" s="28">
        <f>VLOOKUP($G163,装备属性计算表!$D$14:$O$19,装备属性计算表!O$2,FALSE)/装备属性计算表!O$20*VLOOKUP($H163&amp;$F163,$C$3:$P$28,P$1,FALSE)</f>
        <v>0</v>
      </c>
      <c r="Y163" s="28">
        <f t="shared" si="69"/>
        <v>0</v>
      </c>
      <c r="Z163" s="28">
        <f t="shared" si="70"/>
        <v>0</v>
      </c>
      <c r="AA163" s="28">
        <f t="shared" si="63"/>
        <v>10</v>
      </c>
      <c r="AB163" s="28">
        <f t="shared" si="71"/>
        <v>0</v>
      </c>
      <c r="AC163" s="28">
        <f t="shared" si="72"/>
        <v>0</v>
      </c>
      <c r="AD163" s="28">
        <f t="shared" si="73"/>
        <v>164</v>
      </c>
      <c r="AE163" s="28">
        <f t="shared" si="74"/>
        <v>820000</v>
      </c>
      <c r="AF163" s="28">
        <f t="shared" si="75"/>
        <v>170</v>
      </c>
      <c r="AG163" s="28">
        <f t="shared" si="76"/>
        <v>50</v>
      </c>
      <c r="AH163" s="28">
        <f>IF(AG163&gt;0,VLOOKUP(G163,'价值&amp;消耗'!$U$173:$V$178,2,FALSE),0)</f>
        <v>74010</v>
      </c>
      <c r="AI163" s="28">
        <f t="shared" si="77"/>
        <v>2750</v>
      </c>
      <c r="AJ163" s="28">
        <f t="shared" si="78"/>
        <v>4</v>
      </c>
      <c r="AK163" s="28">
        <f>ROUND(IF(COUNTIF($I163:I163,"&gt;0")&gt;$AJ163,0,I163),0)</f>
        <v>3484</v>
      </c>
      <c r="AL163" s="28">
        <f>ROUND(IF(COUNTIF($I163:J163,"&gt;0")&gt;$AJ163,0,J163),0)</f>
        <v>106</v>
      </c>
      <c r="AM163" s="28">
        <f>ROUND(IF(COUNTIF($I163:K163,"&gt;0")&gt;$AJ163,0,K163),0)</f>
        <v>38</v>
      </c>
      <c r="AN163" s="28">
        <f>ROUND(IF(COUNTIF($I163:L163,"&gt;0")&gt;$AJ163,0,L163),0)</f>
        <v>0</v>
      </c>
      <c r="AO163" s="28">
        <f>ROUND(IF(COUNTIF($I163:M163,"&gt;0")&gt;$AJ163,0,M163),0)</f>
        <v>0</v>
      </c>
      <c r="AP163" s="28">
        <f>ROUND(IF(COUNTIF($I163:N163,"&gt;0")&gt;$AJ163,0,N163),0)</f>
        <v>0</v>
      </c>
      <c r="AQ163" s="28">
        <f>ROUND(IF(COUNTIF($I163:O163,"&gt;0")&gt;$AJ163,0,O163),0)</f>
        <v>0</v>
      </c>
      <c r="AR163" s="28">
        <f>ROUND(IF(COUNTIF($I163:P163,"&gt;0")&gt;$AJ163,0,P163),0)</f>
        <v>82</v>
      </c>
      <c r="AS163" s="28">
        <f>IF(COUNTIF($I163:Q163,"&gt;0")&gt;$AJ163,0,Q163)</f>
        <v>0</v>
      </c>
      <c r="AT163" s="28">
        <f>IF(COUNTIF($I163:R163,"&gt;0")&gt;$AJ163,0,R163)</f>
        <v>0</v>
      </c>
      <c r="AU163" s="28">
        <f>SUMPRODUCT(AK163:AT163,定义数据!$G$14:$P$14)</f>
        <v>298.12</v>
      </c>
      <c r="AV163" s="28">
        <f t="shared" si="55"/>
        <v>14906</v>
      </c>
      <c r="AW163" s="28">
        <f t="shared" si="66"/>
        <v>14906</v>
      </c>
      <c r="AX163" s="28">
        <f t="shared" si="79"/>
        <v>819830</v>
      </c>
      <c r="AY163" s="28">
        <f t="shared" si="68"/>
        <v>819830</v>
      </c>
    </row>
    <row r="164" spans="3:52" x14ac:dyDescent="0.15">
      <c r="C164" s="28" t="str">
        <f>H164&amp;F164&amp;VLOOKUP(G164,定义数据!$E$1:$F$7,2,FALSE)</f>
        <v>7043</v>
      </c>
      <c r="D164" s="28"/>
      <c r="E164" s="28">
        <f>装备属性计算表!AK163</f>
        <v>23</v>
      </c>
      <c r="F164" s="28">
        <f>装备属性计算表!B163</f>
        <v>4</v>
      </c>
      <c r="G164" s="28" t="str">
        <f>装备属性计算表!C163</f>
        <v>项链</v>
      </c>
      <c r="H164" s="28">
        <f>装备属性计算表!D163</f>
        <v>70</v>
      </c>
      <c r="I164" s="28">
        <f>VLOOKUP($G164,装备属性计算表!$D$14:$O$19,装备属性计算表!F$2,FALSE)/装备属性计算表!F$20*VLOOKUP($H164&amp;$F164,$C$3:$P$28,G$1,FALSE)</f>
        <v>0</v>
      </c>
      <c r="J164" s="28">
        <f>VLOOKUP($G164,装备属性计算表!$D$14:$O$19,装备属性计算表!G$2,FALSE)/装备属性计算表!G$20*VLOOKUP($H164&amp;$F164,$C$3:$P$28,H$1,FALSE)</f>
        <v>106.1860620320856</v>
      </c>
      <c r="K164" s="28">
        <f>VLOOKUP($G164,装备属性计算表!$D$14:$O$19,装备属性计算表!H$2,FALSE)/装备属性计算表!H$20*VLOOKUP($H164&amp;$F164,$C$3:$P$28,I$1,FALSE)</f>
        <v>0</v>
      </c>
      <c r="L164" s="28">
        <f>VLOOKUP($G164,装备属性计算表!$D$14:$O$19,装备属性计算表!I$2,FALSE)/装备属性计算表!I$20*VLOOKUP($H164&amp;$F164,$C$3:$P$28,J$1,FALSE)</f>
        <v>83.333333333333343</v>
      </c>
      <c r="M164" s="28">
        <f>VLOOKUP($G164,装备属性计算表!$D$14:$O$19,装备属性计算表!J$2,FALSE)/装备属性计算表!J$20*VLOOKUP($H164&amp;$F164,$C$3:$P$28,K$1,FALSE)</f>
        <v>138.88888888888889</v>
      </c>
      <c r="N164" s="28">
        <f>VLOOKUP($G164,装备属性计算表!$D$14:$O$19,装备属性计算表!K$2,FALSE)/装备属性计算表!K$20*VLOOKUP($H164&amp;$F164,$C$3:$P$28,L$1,FALSE)</f>
        <v>98.765432098765459</v>
      </c>
      <c r="O164" s="28">
        <f>VLOOKUP($G164,装备属性计算表!$D$14:$O$19,装备属性计算表!L$2,FALSE)/装备属性计算表!L$20*VLOOKUP($H164&amp;$F164,$C$3:$P$28,M$1,FALSE)</f>
        <v>0</v>
      </c>
      <c r="P164" s="28">
        <f>VLOOKUP($G164,装备属性计算表!$D$14:$O$19,装备属性计算表!M$2,FALSE)/装备属性计算表!M$20*VLOOKUP($H164&amp;$F164,$C$3:$P$28,N$1,FALSE)</f>
        <v>0</v>
      </c>
      <c r="Q164" s="28">
        <f>VLOOKUP($G164,装备属性计算表!$D$14:$O$19,装备属性计算表!N$2,FALSE)/装备属性计算表!N$20*VLOOKUP($H164&amp;$F164,$C$3:$P$28,O$1,FALSE)</f>
        <v>0</v>
      </c>
      <c r="R164" s="28">
        <f>VLOOKUP($G164,装备属性计算表!$D$14:$O$19,装备属性计算表!O$2,FALSE)/装备属性计算表!O$20*VLOOKUP($H164&amp;$F164,$C$3:$P$28,P$1,FALSE)</f>
        <v>0</v>
      </c>
      <c r="X164" s="28">
        <f>SUM(AY159:AY164)</f>
        <v>4262610</v>
      </c>
      <c r="Y164" s="28">
        <f t="shared" si="69"/>
        <v>0</v>
      </c>
      <c r="Z164" s="28">
        <f t="shared" si="70"/>
        <v>0</v>
      </c>
      <c r="AA164" s="28">
        <f t="shared" si="63"/>
        <v>10</v>
      </c>
      <c r="AB164" s="28">
        <f t="shared" si="71"/>
        <v>0</v>
      </c>
      <c r="AC164" s="28">
        <f t="shared" si="72"/>
        <v>0</v>
      </c>
      <c r="AD164" s="28">
        <f t="shared" si="73"/>
        <v>110</v>
      </c>
      <c r="AE164" s="28">
        <f t="shared" si="74"/>
        <v>550000</v>
      </c>
      <c r="AF164" s="28">
        <f t="shared" si="75"/>
        <v>1925</v>
      </c>
      <c r="AG164" s="28">
        <f t="shared" si="76"/>
        <v>34</v>
      </c>
      <c r="AH164" s="28">
        <f>IF(AG164&gt;0,VLOOKUP(G164,'价值&amp;消耗'!$U$173:$V$178,2,FALSE),0)</f>
        <v>73010</v>
      </c>
      <c r="AI164" s="28">
        <f t="shared" si="77"/>
        <v>1870</v>
      </c>
      <c r="AJ164" s="28">
        <f t="shared" si="78"/>
        <v>4</v>
      </c>
      <c r="AK164" s="28">
        <f>ROUND(IF(COUNTIF($I164:I164,"&gt;0")&gt;$AJ164,0,I164),0)</f>
        <v>0</v>
      </c>
      <c r="AL164" s="28">
        <f>ROUND(IF(COUNTIF($I164:J164,"&gt;0")&gt;$AJ164,0,J164),0)</f>
        <v>106</v>
      </c>
      <c r="AM164" s="28">
        <f>ROUND(IF(COUNTIF($I164:K164,"&gt;0")&gt;$AJ164,0,K164),0)</f>
        <v>0</v>
      </c>
      <c r="AN164" s="28">
        <f>ROUND(IF(COUNTIF($I164:L164,"&gt;0")&gt;$AJ164,0,L164),0)</f>
        <v>83</v>
      </c>
      <c r="AO164" s="28">
        <f>ROUND(IF(COUNTIF($I164:M164,"&gt;0")&gt;$AJ164,0,M164),0)</f>
        <v>139</v>
      </c>
      <c r="AP164" s="28">
        <f>ROUND(IF(COUNTIF($I164:N164,"&gt;0")&gt;$AJ164,0,N164),0)</f>
        <v>99</v>
      </c>
      <c r="AQ164" s="28">
        <f>ROUND(IF(COUNTIF($I164:O164,"&gt;0")&gt;$AJ164,0,O164),0)</f>
        <v>0</v>
      </c>
      <c r="AR164" s="28">
        <f>ROUND(IF(COUNTIF($I164:P164,"&gt;0")&gt;$AJ164,0,P164),0)</f>
        <v>0</v>
      </c>
      <c r="AS164" s="28">
        <f>IF(COUNTIF($I164:Q164,"&gt;0")&gt;$AJ164,0,Q164)</f>
        <v>0</v>
      </c>
      <c r="AT164" s="28">
        <f>IF(COUNTIF($I164:R164,"&gt;0")&gt;$AJ164,0,R164)</f>
        <v>0</v>
      </c>
      <c r="AU164" s="28">
        <f>SUMPRODUCT(AK164:AT164,定义数据!$G$14:$P$14)</f>
        <v>199.3</v>
      </c>
      <c r="AV164" s="28">
        <f t="shared" si="55"/>
        <v>9965</v>
      </c>
      <c r="AW164" s="28">
        <f t="shared" si="66"/>
        <v>9965</v>
      </c>
      <c r="AX164" s="28">
        <f t="shared" si="79"/>
        <v>548075</v>
      </c>
      <c r="AY164" s="28">
        <f t="shared" si="68"/>
        <v>548075</v>
      </c>
    </row>
    <row r="165" spans="3:52" x14ac:dyDescent="0.15">
      <c r="C165" s="28" t="str">
        <f>H165&amp;F165&amp;VLOOKUP(G165,定义数据!$E$1:$F$7,2,FALSE)</f>
        <v>8010</v>
      </c>
      <c r="D165" s="28"/>
      <c r="E165" s="28">
        <f>装备属性计算表!AK164</f>
        <v>24</v>
      </c>
      <c r="F165" s="28">
        <f>装备属性计算表!B164</f>
        <v>1</v>
      </c>
      <c r="G165" s="28" t="str">
        <f>装备属性计算表!C164</f>
        <v>武器</v>
      </c>
      <c r="H165" s="28">
        <f>装备属性计算表!D164</f>
        <v>80</v>
      </c>
      <c r="I165" s="28">
        <f>VLOOKUP($G165,装备属性计算表!$D$14:$O$19,装备属性计算表!F$2,FALSE)/装备属性计算表!F$20*VLOOKUP($H165&amp;$F165,$C$3:$P$28,G$1,FALSE)</f>
        <v>0</v>
      </c>
      <c r="J165" s="28">
        <f>VLOOKUP($G165,装备属性计算表!$D$14:$O$19,装备属性计算表!G$2,FALSE)/装备属性计算表!G$20*VLOOKUP($H165&amp;$F165,$C$3:$P$28,H$1,FALSE)</f>
        <v>179.18897967914441</v>
      </c>
      <c r="K165" s="28">
        <f>VLOOKUP($G165,装备属性计算表!$D$14:$O$19,装备属性计算表!H$2,FALSE)/装备属性计算表!H$20*VLOOKUP($H165&amp;$F165,$C$3:$P$28,I$1,FALSE)</f>
        <v>21.508658578856156</v>
      </c>
      <c r="L165" s="28">
        <f>VLOOKUP($G165,装备属性计算表!$D$14:$O$19,装备属性计算表!I$2,FALSE)/装备属性计算表!I$20*VLOOKUP($H165&amp;$F165,$C$3:$P$28,J$1,FALSE)</f>
        <v>0</v>
      </c>
      <c r="M165" s="28">
        <f>VLOOKUP($G165,装备属性计算表!$D$14:$O$19,装备属性计算表!J$2,FALSE)/装备属性计算表!J$20*VLOOKUP($H165&amp;$F165,$C$3:$P$28,K$1,FALSE)</f>
        <v>78.125</v>
      </c>
      <c r="N165" s="28">
        <f>VLOOKUP($G165,装备属性计算表!$D$14:$O$19,装备属性计算表!K$2,FALSE)/装备属性计算表!K$20*VLOOKUP($H165&amp;$F165,$C$3:$P$28,L$1,FALSE)</f>
        <v>55.555555555555557</v>
      </c>
      <c r="O165" s="28">
        <f>VLOOKUP($G165,装备属性计算表!$D$14:$O$19,装备属性计算表!L$2,FALSE)/装备属性计算表!L$20*VLOOKUP($H165&amp;$F165,$C$3:$P$28,M$1,FALSE)</f>
        <v>0</v>
      </c>
      <c r="P165" s="28">
        <f>VLOOKUP($G165,装备属性计算表!$D$14:$O$19,装备属性计算表!M$2,FALSE)/装备属性计算表!M$20*VLOOKUP($H165&amp;$F165,$C$3:$P$28,N$1,FALSE)</f>
        <v>0</v>
      </c>
      <c r="Q165" s="28">
        <f>VLOOKUP($G165,装备属性计算表!$D$14:$O$19,装备属性计算表!N$2,FALSE)/装备属性计算表!N$20*VLOOKUP($H165&amp;$F165,$C$3:$P$28,O$1,FALSE)</f>
        <v>0</v>
      </c>
      <c r="R165" s="28">
        <f>VLOOKUP($G165,装备属性计算表!$D$14:$O$19,装备属性计算表!O$2,FALSE)/装备属性计算表!O$20*VLOOKUP($H165&amp;$F165,$C$3:$P$28,P$1,FALSE)</f>
        <v>0</v>
      </c>
      <c r="Y165" s="28">
        <f t="shared" si="69"/>
        <v>0</v>
      </c>
      <c r="Z165" s="28">
        <f t="shared" si="70"/>
        <v>0</v>
      </c>
      <c r="AA165" s="28">
        <f t="shared" si="63"/>
        <v>10</v>
      </c>
      <c r="AB165" s="28">
        <f t="shared" si="71"/>
        <v>0</v>
      </c>
      <c r="AC165" s="28">
        <f t="shared" si="72"/>
        <v>0</v>
      </c>
      <c r="AD165" s="28">
        <f t="shared" si="73"/>
        <v>99</v>
      </c>
      <c r="AE165" s="28">
        <f t="shared" si="74"/>
        <v>495000</v>
      </c>
      <c r="AF165" s="28">
        <f t="shared" si="75"/>
        <v>2750</v>
      </c>
      <c r="AG165" s="28">
        <f t="shared" si="76"/>
        <v>30</v>
      </c>
      <c r="AH165" s="28">
        <f>IF(AG165&gt;0,VLOOKUP(G165,'价值&amp;消耗'!$U$173:$V$178,2,FALSE),0)</f>
        <v>70010</v>
      </c>
      <c r="AI165" s="28">
        <f t="shared" si="77"/>
        <v>1650</v>
      </c>
      <c r="AJ165" s="28">
        <f t="shared" si="78"/>
        <v>1</v>
      </c>
      <c r="AK165" s="28">
        <f>ROUND(IF(COUNTIF($I165:I165,"&gt;0")&gt;$AJ165,0,I165),0)</f>
        <v>0</v>
      </c>
      <c r="AL165" s="28">
        <f>ROUND(IF(COUNTIF($I165:J165,"&gt;0")&gt;$AJ165,0,J165),0)</f>
        <v>179</v>
      </c>
      <c r="AM165" s="28">
        <f>ROUND(IF(COUNTIF($I165:K165,"&gt;0")&gt;$AJ165,0,K165),0)</f>
        <v>0</v>
      </c>
      <c r="AN165" s="28">
        <f>ROUND(IF(COUNTIF($I165:L165,"&gt;0")&gt;$AJ165,0,L165),0)</f>
        <v>0</v>
      </c>
      <c r="AO165" s="28">
        <f>ROUND(IF(COUNTIF($I165:M165,"&gt;0")&gt;$AJ165,0,M165),0)</f>
        <v>0</v>
      </c>
      <c r="AP165" s="28">
        <f>ROUND(IF(COUNTIF($I165:N165,"&gt;0")&gt;$AJ165,0,N165),0)</f>
        <v>0</v>
      </c>
      <c r="AQ165" s="28">
        <f>ROUND(IF(COUNTIF($I165:O165,"&gt;0")&gt;$AJ165,0,O165),0)</f>
        <v>0</v>
      </c>
      <c r="AR165" s="28">
        <f>ROUND(IF(COUNTIF($I165:P165,"&gt;0")&gt;$AJ165,0,P165),0)</f>
        <v>0</v>
      </c>
      <c r="AS165" s="28">
        <f>IF(COUNTIF($I165:Q165,"&gt;0")&gt;$AJ165,0,Q165)</f>
        <v>0</v>
      </c>
      <c r="AT165" s="28">
        <f>IF(COUNTIF($I165:R165,"&gt;0")&gt;$AJ165,0,R165)</f>
        <v>0</v>
      </c>
      <c r="AU165" s="28">
        <f>SUMPRODUCT(AK165:AT165,定义数据!$G$14:$P$14)</f>
        <v>179</v>
      </c>
      <c r="AV165" s="28">
        <f t="shared" si="55"/>
        <v>8950</v>
      </c>
      <c r="AW165" s="28">
        <f t="shared" si="66"/>
        <v>8950</v>
      </c>
      <c r="AX165" s="28">
        <f t="shared" si="79"/>
        <v>492250</v>
      </c>
      <c r="AY165" s="28">
        <f t="shared" si="68"/>
        <v>492250</v>
      </c>
    </row>
    <row r="166" spans="3:52" x14ac:dyDescent="0.15">
      <c r="C166" s="28" t="str">
        <f>H166&amp;F166&amp;VLOOKUP(G166,定义数据!$E$1:$F$7,2,FALSE)</f>
        <v>8011</v>
      </c>
      <c r="D166" s="28"/>
      <c r="E166" s="28">
        <f>装备属性计算表!AK165</f>
        <v>24</v>
      </c>
      <c r="F166" s="28">
        <f>装备属性计算表!B165</f>
        <v>1</v>
      </c>
      <c r="G166" s="28" t="str">
        <f>装备属性计算表!C165</f>
        <v>衣服</v>
      </c>
      <c r="H166" s="28">
        <f>装备属性计算表!D165</f>
        <v>80</v>
      </c>
      <c r="I166" s="28">
        <f>VLOOKUP($G166,装备属性计算表!$D$14:$O$19,装备属性计算表!F$2,FALSE)/装备属性计算表!F$20*VLOOKUP($H166&amp;$F166,$C$3:$P$28,G$1,FALSE)</f>
        <v>1959.9079909920276</v>
      </c>
      <c r="J166" s="28">
        <f>VLOOKUP($G166,装备属性计算表!$D$14:$O$19,装备属性计算表!G$2,FALSE)/装备属性计算表!G$20*VLOOKUP($H166&amp;$F166,$C$3:$P$28,H$1,FALSE)</f>
        <v>0</v>
      </c>
      <c r="K166" s="28">
        <f>VLOOKUP($G166,装备属性计算表!$D$14:$O$19,装备属性计算表!H$2,FALSE)/装备属性计算表!H$20*VLOOKUP($H166&amp;$F166,$C$3:$P$28,I$1,FALSE)</f>
        <v>64.525975736568469</v>
      </c>
      <c r="L166" s="28">
        <f>VLOOKUP($G166,装备属性计算表!$D$14:$O$19,装备属性计算表!I$2,FALSE)/装备属性计算表!I$20*VLOOKUP($H166&amp;$F166,$C$3:$P$28,J$1,FALSE)</f>
        <v>46.875</v>
      </c>
      <c r="M166" s="28">
        <f>VLOOKUP($G166,装备属性计算表!$D$14:$O$19,装备属性计算表!J$2,FALSE)/装备属性计算表!J$20*VLOOKUP($H166&amp;$F166,$C$3:$P$28,K$1,FALSE)</f>
        <v>0</v>
      </c>
      <c r="N166" s="28">
        <f>VLOOKUP($G166,装备属性计算表!$D$14:$O$19,装备属性计算表!K$2,FALSE)/装备属性计算表!K$20*VLOOKUP($H166&amp;$F166,$C$3:$P$28,L$1,FALSE)</f>
        <v>0</v>
      </c>
      <c r="O166" s="28">
        <f>VLOOKUP($G166,装备属性计算表!$D$14:$O$19,装备属性计算表!L$2,FALSE)/装备属性计算表!L$20*VLOOKUP($H166&amp;$F166,$C$3:$P$28,M$1,FALSE)</f>
        <v>0</v>
      </c>
      <c r="P166" s="28">
        <f>VLOOKUP($G166,装备属性计算表!$D$14:$O$19,装备属性计算表!M$2,FALSE)/装备属性计算表!M$20*VLOOKUP($H166&amp;$F166,$C$3:$P$28,N$1,FALSE)</f>
        <v>46.296296296296291</v>
      </c>
      <c r="Q166" s="28">
        <f>VLOOKUP($G166,装备属性计算表!$D$14:$O$19,装备属性计算表!N$2,FALSE)/装备属性计算表!N$20*VLOOKUP($H166&amp;$F166,$C$3:$P$28,O$1,FALSE)</f>
        <v>0</v>
      </c>
      <c r="R166" s="28">
        <f>VLOOKUP($G166,装备属性计算表!$D$14:$O$19,装备属性计算表!O$2,FALSE)/装备属性计算表!O$20*VLOOKUP($H166&amp;$F166,$C$3:$P$28,P$1,FALSE)</f>
        <v>0</v>
      </c>
      <c r="Y166" s="28">
        <f t="shared" si="69"/>
        <v>0</v>
      </c>
      <c r="Z166" s="28">
        <f t="shared" si="70"/>
        <v>1</v>
      </c>
      <c r="AA166" s="28">
        <f t="shared" si="63"/>
        <v>10</v>
      </c>
      <c r="AB166" s="28">
        <f t="shared" si="71"/>
        <v>0</v>
      </c>
      <c r="AC166" s="28">
        <f t="shared" si="72"/>
        <v>4</v>
      </c>
      <c r="AD166" s="28">
        <f t="shared" si="73"/>
        <v>43</v>
      </c>
      <c r="AE166" s="28">
        <f t="shared" si="74"/>
        <v>219000</v>
      </c>
      <c r="AF166" s="28">
        <f t="shared" si="75"/>
        <v>3400</v>
      </c>
      <c r="AG166" s="28">
        <f t="shared" si="76"/>
        <v>14</v>
      </c>
      <c r="AH166" s="28">
        <f>IF(AG166&gt;0,VLOOKUP(G166,'价值&amp;消耗'!$U$173:$V$178,2,FALSE),0)</f>
        <v>71010</v>
      </c>
      <c r="AI166" s="28">
        <f t="shared" si="77"/>
        <v>770</v>
      </c>
      <c r="AJ166" s="28">
        <f t="shared" si="78"/>
        <v>1</v>
      </c>
      <c r="AK166" s="28">
        <f>ROUND(IF(COUNTIF($I166:I166,"&gt;0")&gt;$AJ166,0,I166),0)</f>
        <v>1960</v>
      </c>
      <c r="AL166" s="28">
        <f>ROUND(IF(COUNTIF($I166:J166,"&gt;0")&gt;$AJ166,0,J166),0)</f>
        <v>0</v>
      </c>
      <c r="AM166" s="28">
        <f>ROUND(IF(COUNTIF($I166:K166,"&gt;0")&gt;$AJ166,0,K166),0)</f>
        <v>0</v>
      </c>
      <c r="AN166" s="28">
        <f>ROUND(IF(COUNTIF($I166:L166,"&gt;0")&gt;$AJ166,0,L166),0)</f>
        <v>0</v>
      </c>
      <c r="AO166" s="28">
        <f>ROUND(IF(COUNTIF($I166:M166,"&gt;0")&gt;$AJ166,0,M166),0)</f>
        <v>0</v>
      </c>
      <c r="AP166" s="28">
        <f>ROUND(IF(COUNTIF($I166:N166,"&gt;0")&gt;$AJ166,0,N166),0)</f>
        <v>0</v>
      </c>
      <c r="AQ166" s="28">
        <f>ROUND(IF(COUNTIF($I166:O166,"&gt;0")&gt;$AJ166,0,O166),0)</f>
        <v>0</v>
      </c>
      <c r="AR166" s="28">
        <f>ROUND(IF(COUNTIF($I166:P166,"&gt;0")&gt;$AJ166,0,P166),0)</f>
        <v>0</v>
      </c>
      <c r="AS166" s="28">
        <f>IF(COUNTIF($I166:Q166,"&gt;0")&gt;$AJ166,0,Q166)</f>
        <v>0</v>
      </c>
      <c r="AT166" s="28">
        <f>IF(COUNTIF($I166:R166,"&gt;0")&gt;$AJ166,0,R166)</f>
        <v>0</v>
      </c>
      <c r="AU166" s="28">
        <f>SUMPRODUCT(AK166:AT166,定义数据!$G$14:$P$14)</f>
        <v>78.400000000000006</v>
      </c>
      <c r="AV166" s="28">
        <f t="shared" si="55"/>
        <v>3920</v>
      </c>
      <c r="AW166" s="28">
        <f t="shared" si="66"/>
        <v>3920</v>
      </c>
      <c r="AX166" s="28">
        <f t="shared" si="79"/>
        <v>215600</v>
      </c>
      <c r="AY166" s="28">
        <f t="shared" si="68"/>
        <v>215600</v>
      </c>
    </row>
    <row r="167" spans="3:52" x14ac:dyDescent="0.15">
      <c r="C167" s="28" t="str">
        <f>H167&amp;F167&amp;VLOOKUP(G167,定义数据!$E$1:$F$7,2,FALSE)</f>
        <v>8012</v>
      </c>
      <c r="D167" s="28"/>
      <c r="E167" s="28">
        <f>装备属性计算表!AK166</f>
        <v>24</v>
      </c>
      <c r="F167" s="28">
        <f>装备属性计算表!B166</f>
        <v>1</v>
      </c>
      <c r="G167" s="28" t="str">
        <f>装备属性计算表!C166</f>
        <v>裤子</v>
      </c>
      <c r="H167" s="28">
        <f>装备属性计算表!D166</f>
        <v>80</v>
      </c>
      <c r="I167" s="28">
        <f>VLOOKUP($G167,装备属性计算表!$D$14:$O$19,装备属性计算表!F$2,FALSE)/装备属性计算表!F$20*VLOOKUP($H167&amp;$F167,$C$3:$P$28,G$1,FALSE)</f>
        <v>979.95399549601382</v>
      </c>
      <c r="J167" s="28">
        <f>VLOOKUP($G167,装备属性计算表!$D$14:$O$19,装备属性计算表!G$2,FALSE)/装备属性计算表!G$20*VLOOKUP($H167&amp;$F167,$C$3:$P$28,H$1,FALSE)</f>
        <v>0</v>
      </c>
      <c r="K167" s="28">
        <f>VLOOKUP($G167,装备属性计算表!$D$14:$O$19,装备属性计算表!H$2,FALSE)/装备属性计算表!H$20*VLOOKUP($H167&amp;$F167,$C$3:$P$28,I$1,FALSE)</f>
        <v>21.508658578856156</v>
      </c>
      <c r="L167" s="28">
        <f>VLOOKUP($G167,装备属性计算表!$D$14:$O$19,装备属性计算表!I$2,FALSE)/装备属性计算表!I$20*VLOOKUP($H167&amp;$F167,$C$3:$P$28,J$1,FALSE)</f>
        <v>46.875</v>
      </c>
      <c r="M167" s="28">
        <f>VLOOKUP($G167,装备属性计算表!$D$14:$O$19,装备属性计算表!J$2,FALSE)/装备属性计算表!J$20*VLOOKUP($H167&amp;$F167,$C$3:$P$28,K$1,FALSE)</f>
        <v>0</v>
      </c>
      <c r="N167" s="28">
        <f>VLOOKUP($G167,装备属性计算表!$D$14:$O$19,装备属性计算表!K$2,FALSE)/装备属性计算表!K$20*VLOOKUP($H167&amp;$F167,$C$3:$P$28,L$1,FALSE)</f>
        <v>0</v>
      </c>
      <c r="O167" s="28">
        <f>VLOOKUP($G167,装备属性计算表!$D$14:$O$19,装备属性计算表!L$2,FALSE)/装备属性计算表!L$20*VLOOKUP($H167&amp;$F167,$C$3:$P$28,M$1,FALSE)</f>
        <v>0</v>
      </c>
      <c r="P167" s="28">
        <f>VLOOKUP($G167,装备属性计算表!$D$14:$O$19,装备属性计算表!M$2,FALSE)/装备属性计算表!M$20*VLOOKUP($H167&amp;$F167,$C$3:$P$28,N$1,FALSE)</f>
        <v>46.296296296296291</v>
      </c>
      <c r="Q167" s="28">
        <f>VLOOKUP($G167,装备属性计算表!$D$14:$O$19,装备属性计算表!N$2,FALSE)/装备属性计算表!N$20*VLOOKUP($H167&amp;$F167,$C$3:$P$28,O$1,FALSE)</f>
        <v>0</v>
      </c>
      <c r="R167" s="28">
        <f>VLOOKUP($G167,装备属性计算表!$D$14:$O$19,装备属性计算表!O$2,FALSE)/装备属性计算表!O$20*VLOOKUP($H167&amp;$F167,$C$3:$P$28,P$1,FALSE)</f>
        <v>0</v>
      </c>
      <c r="Y167" s="28">
        <f t="shared" si="69"/>
        <v>0</v>
      </c>
      <c r="Z167" s="28">
        <f t="shared" si="70"/>
        <v>2</v>
      </c>
      <c r="AA167" s="28">
        <f t="shared" si="63"/>
        <v>10</v>
      </c>
      <c r="AB167" s="28">
        <f t="shared" si="71"/>
        <v>0</v>
      </c>
      <c r="AC167" s="28">
        <f t="shared" si="72"/>
        <v>6</v>
      </c>
      <c r="AD167" s="28">
        <f t="shared" si="73"/>
        <v>21</v>
      </c>
      <c r="AE167" s="28">
        <f t="shared" si="74"/>
        <v>111000</v>
      </c>
      <c r="AF167" s="28">
        <f t="shared" si="75"/>
        <v>3200</v>
      </c>
      <c r="AG167" s="28">
        <f t="shared" si="76"/>
        <v>7</v>
      </c>
      <c r="AH167" s="28">
        <f>IF(AG167&gt;0,VLOOKUP(G167,'价值&amp;消耗'!$U$173:$V$178,2,FALSE),0)</f>
        <v>72010</v>
      </c>
      <c r="AI167" s="28">
        <f t="shared" si="77"/>
        <v>385</v>
      </c>
      <c r="AJ167" s="28">
        <f t="shared" si="78"/>
        <v>1</v>
      </c>
      <c r="AK167" s="28">
        <f>ROUND(IF(COUNTIF($I167:I167,"&gt;0")&gt;$AJ167,0,I167),0)</f>
        <v>980</v>
      </c>
      <c r="AL167" s="28">
        <f>ROUND(IF(COUNTIF($I167:J167,"&gt;0")&gt;$AJ167,0,J167),0)</f>
        <v>0</v>
      </c>
      <c r="AM167" s="28">
        <f>ROUND(IF(COUNTIF($I167:K167,"&gt;0")&gt;$AJ167,0,K167),0)</f>
        <v>0</v>
      </c>
      <c r="AN167" s="28">
        <f>ROUND(IF(COUNTIF($I167:L167,"&gt;0")&gt;$AJ167,0,L167),0)</f>
        <v>0</v>
      </c>
      <c r="AO167" s="28">
        <f>ROUND(IF(COUNTIF($I167:M167,"&gt;0")&gt;$AJ167,0,M167),0)</f>
        <v>0</v>
      </c>
      <c r="AP167" s="28">
        <f>ROUND(IF(COUNTIF($I167:N167,"&gt;0")&gt;$AJ167,0,N167),0)</f>
        <v>0</v>
      </c>
      <c r="AQ167" s="28">
        <f>ROUND(IF(COUNTIF($I167:O167,"&gt;0")&gt;$AJ167,0,O167),0)</f>
        <v>0</v>
      </c>
      <c r="AR167" s="28">
        <f>ROUND(IF(COUNTIF($I167:P167,"&gt;0")&gt;$AJ167,0,P167),0)</f>
        <v>0</v>
      </c>
      <c r="AS167" s="28">
        <f>IF(COUNTIF($I167:Q167,"&gt;0")&gt;$AJ167,0,Q167)</f>
        <v>0</v>
      </c>
      <c r="AT167" s="28">
        <f>IF(COUNTIF($I167:R167,"&gt;0")&gt;$AJ167,0,R167)</f>
        <v>0</v>
      </c>
      <c r="AU167" s="28">
        <f>SUMPRODUCT(AK167:AT167,定义数据!$G$14:$P$14)</f>
        <v>39.200000000000003</v>
      </c>
      <c r="AV167" s="28">
        <f t="shared" si="55"/>
        <v>1960</v>
      </c>
      <c r="AW167" s="28">
        <f t="shared" si="66"/>
        <v>1960</v>
      </c>
      <c r="AX167" s="28">
        <f t="shared" si="79"/>
        <v>107800</v>
      </c>
      <c r="AY167" s="28">
        <f t="shared" si="68"/>
        <v>107800</v>
      </c>
    </row>
    <row r="168" spans="3:52" x14ac:dyDescent="0.15">
      <c r="C168" s="28" t="str">
        <f>H168&amp;F168&amp;VLOOKUP(G168,定义数据!$E$1:$F$7,2,FALSE)</f>
        <v>8015</v>
      </c>
      <c r="D168" s="28"/>
      <c r="E168" s="28">
        <f>装备属性计算表!AK167</f>
        <v>24</v>
      </c>
      <c r="F168" s="28">
        <f>装备属性计算表!B167</f>
        <v>1</v>
      </c>
      <c r="G168" s="28" t="str">
        <f>装备属性计算表!C167</f>
        <v>鞋子</v>
      </c>
      <c r="H168" s="28">
        <f>装备属性计算表!D167</f>
        <v>80</v>
      </c>
      <c r="I168" s="28">
        <f>VLOOKUP($G168,装备属性计算表!$D$14:$O$19,装备属性计算表!F$2,FALSE)/装备属性计算表!F$20*VLOOKUP($H168&amp;$F168,$C$3:$P$28,G$1,FALSE)</f>
        <v>979.95399549601382</v>
      </c>
      <c r="J168" s="28">
        <f>VLOOKUP($G168,装备属性计算表!$D$14:$O$19,装备属性计算表!G$2,FALSE)/装备属性计算表!G$20*VLOOKUP($H168&amp;$F168,$C$3:$P$28,H$1,FALSE)</f>
        <v>0</v>
      </c>
      <c r="K168" s="28">
        <f>VLOOKUP($G168,装备属性计算表!$D$14:$O$19,装备属性计算表!H$2,FALSE)/装备属性计算表!H$20*VLOOKUP($H168&amp;$F168,$C$3:$P$28,I$1,FALSE)</f>
        <v>0</v>
      </c>
      <c r="L168" s="28">
        <f>VLOOKUP($G168,装备属性计算表!$D$14:$O$19,装备属性计算表!I$2,FALSE)/装备属性计算表!I$20*VLOOKUP($H168&amp;$F168,$C$3:$P$28,J$1,FALSE)</f>
        <v>93.75</v>
      </c>
      <c r="M168" s="28">
        <f>VLOOKUP($G168,装备属性计算表!$D$14:$O$19,装备属性计算表!J$2,FALSE)/装备属性计算表!J$20*VLOOKUP($H168&amp;$F168,$C$3:$P$28,K$1,FALSE)</f>
        <v>78.125</v>
      </c>
      <c r="N168" s="28">
        <f>VLOOKUP($G168,装备属性计算表!$D$14:$O$19,装备属性计算表!K$2,FALSE)/装备属性计算表!K$20*VLOOKUP($H168&amp;$F168,$C$3:$P$28,L$1,FALSE)</f>
        <v>27.777777777777779</v>
      </c>
      <c r="O168" s="28">
        <f>VLOOKUP($G168,装备属性计算表!$D$14:$O$19,装备属性计算表!L$2,FALSE)/装备属性计算表!L$20*VLOOKUP($H168&amp;$F168,$C$3:$P$28,M$1,FALSE)</f>
        <v>0</v>
      </c>
      <c r="P168" s="28">
        <f>VLOOKUP($G168,装备属性计算表!$D$14:$O$19,装备属性计算表!M$2,FALSE)/装备属性计算表!M$20*VLOOKUP($H168&amp;$F168,$C$3:$P$28,N$1,FALSE)</f>
        <v>0</v>
      </c>
      <c r="Q168" s="28">
        <f>VLOOKUP($G168,装备属性计算表!$D$14:$O$19,装备属性计算表!N$2,FALSE)/装备属性计算表!N$20*VLOOKUP($H168&amp;$F168,$C$3:$P$28,O$1,FALSE)</f>
        <v>0</v>
      </c>
      <c r="R168" s="28">
        <f>VLOOKUP($G168,装备属性计算表!$D$14:$O$19,装备属性计算表!O$2,FALSE)/装备属性计算表!O$20*VLOOKUP($H168&amp;$F168,$C$3:$P$28,P$1,FALSE)</f>
        <v>0</v>
      </c>
      <c r="Y168" s="28">
        <f t="shared" si="69"/>
        <v>0</v>
      </c>
      <c r="Z168" s="28">
        <f t="shared" si="70"/>
        <v>2</v>
      </c>
      <c r="AA168" s="28">
        <f t="shared" si="63"/>
        <v>10</v>
      </c>
      <c r="AB168" s="28">
        <f t="shared" si="71"/>
        <v>0</v>
      </c>
      <c r="AC168" s="28">
        <f t="shared" si="72"/>
        <v>6</v>
      </c>
      <c r="AD168" s="28">
        <f t="shared" si="73"/>
        <v>21</v>
      </c>
      <c r="AE168" s="28">
        <f t="shared" si="74"/>
        <v>111000</v>
      </c>
      <c r="AF168" s="28">
        <f t="shared" si="75"/>
        <v>3200</v>
      </c>
      <c r="AG168" s="28">
        <f t="shared" si="76"/>
        <v>7</v>
      </c>
      <c r="AH168" s="28">
        <f>IF(AG168&gt;0,VLOOKUP(G168,'价值&amp;消耗'!$U$173:$V$178,2,FALSE),0)</f>
        <v>75010</v>
      </c>
      <c r="AI168" s="28">
        <f t="shared" si="77"/>
        <v>385</v>
      </c>
      <c r="AJ168" s="28">
        <f t="shared" si="78"/>
        <v>1</v>
      </c>
      <c r="AK168" s="28">
        <f>ROUND(IF(COUNTIF($I168:I168,"&gt;0")&gt;$AJ168,0,I168),0)</f>
        <v>980</v>
      </c>
      <c r="AL168" s="28">
        <f>ROUND(IF(COUNTIF($I168:J168,"&gt;0")&gt;$AJ168,0,J168),0)</f>
        <v>0</v>
      </c>
      <c r="AM168" s="28">
        <f>ROUND(IF(COUNTIF($I168:K168,"&gt;0")&gt;$AJ168,0,K168),0)</f>
        <v>0</v>
      </c>
      <c r="AN168" s="28">
        <f>ROUND(IF(COUNTIF($I168:L168,"&gt;0")&gt;$AJ168,0,L168),0)</f>
        <v>0</v>
      </c>
      <c r="AO168" s="28">
        <f>ROUND(IF(COUNTIF($I168:M168,"&gt;0")&gt;$AJ168,0,M168),0)</f>
        <v>0</v>
      </c>
      <c r="AP168" s="28">
        <f>ROUND(IF(COUNTIF($I168:N168,"&gt;0")&gt;$AJ168,0,N168),0)</f>
        <v>0</v>
      </c>
      <c r="AQ168" s="28">
        <f>ROUND(IF(COUNTIF($I168:O168,"&gt;0")&gt;$AJ168,0,O168),0)</f>
        <v>0</v>
      </c>
      <c r="AR168" s="28">
        <f>ROUND(IF(COUNTIF($I168:P168,"&gt;0")&gt;$AJ168,0,P168),0)</f>
        <v>0</v>
      </c>
      <c r="AS168" s="28">
        <f>IF(COUNTIF($I168:Q168,"&gt;0")&gt;$AJ168,0,Q168)</f>
        <v>0</v>
      </c>
      <c r="AT168" s="28">
        <f>IF(COUNTIF($I168:R168,"&gt;0")&gt;$AJ168,0,R168)</f>
        <v>0</v>
      </c>
      <c r="AU168" s="28">
        <f>SUMPRODUCT(AK168:AT168,定义数据!$G$14:$P$14)</f>
        <v>39.200000000000003</v>
      </c>
      <c r="AV168" s="28">
        <f t="shared" si="55"/>
        <v>1960</v>
      </c>
      <c r="AW168" s="28">
        <f t="shared" si="66"/>
        <v>1960</v>
      </c>
      <c r="AX168" s="28">
        <f t="shared" si="79"/>
        <v>107800</v>
      </c>
      <c r="AY168" s="28">
        <f t="shared" si="68"/>
        <v>107800</v>
      </c>
    </row>
    <row r="169" spans="3:52" x14ac:dyDescent="0.15">
      <c r="C169" s="28" t="str">
        <f>H169&amp;F169&amp;VLOOKUP(G169,定义数据!$E$1:$F$7,2,FALSE)</f>
        <v>8014</v>
      </c>
      <c r="D169" s="28"/>
      <c r="E169" s="28">
        <f>装备属性计算表!AK168</f>
        <v>24</v>
      </c>
      <c r="F169" s="28">
        <f>装备属性计算表!B168</f>
        <v>1</v>
      </c>
      <c r="G169" s="28" t="str">
        <f>装备属性计算表!C168</f>
        <v>腰带</v>
      </c>
      <c r="H169" s="28">
        <f>装备属性计算表!D168</f>
        <v>80</v>
      </c>
      <c r="I169" s="28">
        <f>VLOOKUP($G169,装备属性计算表!$D$14:$O$19,装备属性计算表!F$2,FALSE)/装备属性计算表!F$20*VLOOKUP($H169&amp;$F169,$C$3:$P$28,G$1,FALSE)</f>
        <v>1959.9079909920276</v>
      </c>
      <c r="J169" s="28">
        <f>VLOOKUP($G169,装备属性计算表!$D$14:$O$19,装备属性计算表!G$2,FALSE)/装备属性计算表!G$20*VLOOKUP($H169&amp;$F169,$C$3:$P$28,H$1,FALSE)</f>
        <v>59.729659893048144</v>
      </c>
      <c r="K169" s="28">
        <f>VLOOKUP($G169,装备属性计算表!$D$14:$O$19,装备属性计算表!H$2,FALSE)/装备属性计算表!H$20*VLOOKUP($H169&amp;$F169,$C$3:$P$28,I$1,FALSE)</f>
        <v>21.508658578856156</v>
      </c>
      <c r="L169" s="28">
        <f>VLOOKUP($G169,装备属性计算表!$D$14:$O$19,装备属性计算表!I$2,FALSE)/装备属性计算表!I$20*VLOOKUP($H169&amp;$F169,$C$3:$P$28,J$1,FALSE)</f>
        <v>0</v>
      </c>
      <c r="M169" s="28">
        <f>VLOOKUP($G169,装备属性计算表!$D$14:$O$19,装备属性计算表!J$2,FALSE)/装备属性计算表!J$20*VLOOKUP($H169&amp;$F169,$C$3:$P$28,K$1,FALSE)</f>
        <v>0</v>
      </c>
      <c r="N169" s="28">
        <f>VLOOKUP($G169,装备属性计算表!$D$14:$O$19,装备属性计算表!K$2,FALSE)/装备属性计算表!K$20*VLOOKUP($H169&amp;$F169,$C$3:$P$28,L$1,FALSE)</f>
        <v>0</v>
      </c>
      <c r="O169" s="28">
        <f>VLOOKUP($G169,装备属性计算表!$D$14:$O$19,装备属性计算表!L$2,FALSE)/装备属性计算表!L$20*VLOOKUP($H169&amp;$F169,$C$3:$P$28,M$1,FALSE)</f>
        <v>0</v>
      </c>
      <c r="P169" s="28">
        <f>VLOOKUP($G169,装备属性计算表!$D$14:$O$19,装备属性计算表!M$2,FALSE)/装备属性计算表!M$20*VLOOKUP($H169&amp;$F169,$C$3:$P$28,N$1,FALSE)</f>
        <v>46.296296296296291</v>
      </c>
      <c r="Q169" s="28">
        <f>VLOOKUP($G169,装备属性计算表!$D$14:$O$19,装备属性计算表!N$2,FALSE)/装备属性计算表!N$20*VLOOKUP($H169&amp;$F169,$C$3:$P$28,O$1,FALSE)</f>
        <v>0</v>
      </c>
      <c r="R169" s="28">
        <f>VLOOKUP($G169,装备属性计算表!$D$14:$O$19,装备属性计算表!O$2,FALSE)/装备属性计算表!O$20*VLOOKUP($H169&amp;$F169,$C$3:$P$28,P$1,FALSE)</f>
        <v>0</v>
      </c>
      <c r="Y169" s="28">
        <f t="shared" si="69"/>
        <v>0</v>
      </c>
      <c r="Z169" s="28">
        <f t="shared" si="70"/>
        <v>1</v>
      </c>
      <c r="AA169" s="28">
        <f t="shared" si="63"/>
        <v>10</v>
      </c>
      <c r="AB169" s="28">
        <f t="shared" si="71"/>
        <v>0</v>
      </c>
      <c r="AC169" s="28">
        <f t="shared" si="72"/>
        <v>4</v>
      </c>
      <c r="AD169" s="28">
        <f t="shared" si="73"/>
        <v>43</v>
      </c>
      <c r="AE169" s="28">
        <f t="shared" si="74"/>
        <v>219000</v>
      </c>
      <c r="AF169" s="28">
        <f t="shared" si="75"/>
        <v>3400</v>
      </c>
      <c r="AG169" s="28">
        <f t="shared" si="76"/>
        <v>14</v>
      </c>
      <c r="AH169" s="28">
        <f>IF(AG169&gt;0,VLOOKUP(G169,'价值&amp;消耗'!$U$173:$V$178,2,FALSE),0)</f>
        <v>74010</v>
      </c>
      <c r="AI169" s="28">
        <f t="shared" si="77"/>
        <v>770</v>
      </c>
      <c r="AJ169" s="28">
        <f t="shared" si="78"/>
        <v>1</v>
      </c>
      <c r="AK169" s="28">
        <f>ROUND(IF(COUNTIF($I169:I169,"&gt;0")&gt;$AJ169,0,I169),0)</f>
        <v>1960</v>
      </c>
      <c r="AL169" s="28">
        <f>ROUND(IF(COUNTIF($I169:J169,"&gt;0")&gt;$AJ169,0,J169),0)</f>
        <v>0</v>
      </c>
      <c r="AM169" s="28">
        <f>ROUND(IF(COUNTIF($I169:K169,"&gt;0")&gt;$AJ169,0,K169),0)</f>
        <v>0</v>
      </c>
      <c r="AN169" s="28">
        <f>ROUND(IF(COUNTIF($I169:L169,"&gt;0")&gt;$AJ169,0,L169),0)</f>
        <v>0</v>
      </c>
      <c r="AO169" s="28">
        <f>ROUND(IF(COUNTIF($I169:M169,"&gt;0")&gt;$AJ169,0,M169),0)</f>
        <v>0</v>
      </c>
      <c r="AP169" s="28">
        <f>ROUND(IF(COUNTIF($I169:N169,"&gt;0")&gt;$AJ169,0,N169),0)</f>
        <v>0</v>
      </c>
      <c r="AQ169" s="28">
        <f>ROUND(IF(COUNTIF($I169:O169,"&gt;0")&gt;$AJ169,0,O169),0)</f>
        <v>0</v>
      </c>
      <c r="AR169" s="28">
        <f>ROUND(IF(COUNTIF($I169:P169,"&gt;0")&gt;$AJ169,0,P169),0)</f>
        <v>0</v>
      </c>
      <c r="AS169" s="28">
        <f>IF(COUNTIF($I169:Q169,"&gt;0")&gt;$AJ169,0,Q169)</f>
        <v>0</v>
      </c>
      <c r="AT169" s="28">
        <f>IF(COUNTIF($I169:R169,"&gt;0")&gt;$AJ169,0,R169)</f>
        <v>0</v>
      </c>
      <c r="AU169" s="28">
        <f>SUMPRODUCT(AK169:AT169,定义数据!$G$14:$P$14)</f>
        <v>78.400000000000006</v>
      </c>
      <c r="AV169" s="28">
        <f t="shared" si="55"/>
        <v>3920</v>
      </c>
      <c r="AW169" s="28">
        <f t="shared" si="66"/>
        <v>3920</v>
      </c>
      <c r="AX169" s="28">
        <f t="shared" si="79"/>
        <v>215600</v>
      </c>
      <c r="AY169" s="28">
        <f t="shared" si="68"/>
        <v>215600</v>
      </c>
    </row>
    <row r="170" spans="3:52" x14ac:dyDescent="0.15">
      <c r="C170" s="28" t="str">
        <f>H170&amp;F170&amp;VLOOKUP(G170,定义数据!$E$1:$F$7,2,FALSE)</f>
        <v>8013</v>
      </c>
      <c r="D170" s="28"/>
      <c r="E170" s="28">
        <f>装备属性计算表!AK169</f>
        <v>24</v>
      </c>
      <c r="F170" s="28">
        <f>装备属性计算表!B169</f>
        <v>1</v>
      </c>
      <c r="G170" s="28" t="str">
        <f>装备属性计算表!C169</f>
        <v>项链</v>
      </c>
      <c r="H170" s="28">
        <f>装备属性计算表!D169</f>
        <v>80</v>
      </c>
      <c r="I170" s="28">
        <f>VLOOKUP($G170,装备属性计算表!$D$14:$O$19,装备属性计算表!F$2,FALSE)/装备属性计算表!F$20*VLOOKUP($H170&amp;$F170,$C$3:$P$28,G$1,FALSE)</f>
        <v>0</v>
      </c>
      <c r="J170" s="28">
        <f>VLOOKUP($G170,装备属性计算表!$D$14:$O$19,装备属性计算表!G$2,FALSE)/装备属性计算表!G$20*VLOOKUP($H170&amp;$F170,$C$3:$P$28,H$1,FALSE)</f>
        <v>59.729659893048144</v>
      </c>
      <c r="K170" s="28">
        <f>VLOOKUP($G170,装备属性计算表!$D$14:$O$19,装备属性计算表!H$2,FALSE)/装备属性计算表!H$20*VLOOKUP($H170&amp;$F170,$C$3:$P$28,I$1,FALSE)</f>
        <v>0</v>
      </c>
      <c r="L170" s="28">
        <f>VLOOKUP($G170,装备属性计算表!$D$14:$O$19,装备属性计算表!I$2,FALSE)/装备属性计算表!I$20*VLOOKUP($H170&amp;$F170,$C$3:$P$28,J$1,FALSE)</f>
        <v>46.875</v>
      </c>
      <c r="M170" s="28">
        <f>VLOOKUP($G170,装备属性计算表!$D$14:$O$19,装备属性计算表!J$2,FALSE)/装备属性计算表!J$20*VLOOKUP($H170&amp;$F170,$C$3:$P$28,K$1,FALSE)</f>
        <v>78.125</v>
      </c>
      <c r="N170" s="28">
        <f>VLOOKUP($G170,装备属性计算表!$D$14:$O$19,装备属性计算表!K$2,FALSE)/装备属性计算表!K$20*VLOOKUP($H170&amp;$F170,$C$3:$P$28,L$1,FALSE)</f>
        <v>55.555555555555557</v>
      </c>
      <c r="O170" s="28">
        <f>VLOOKUP($G170,装备属性计算表!$D$14:$O$19,装备属性计算表!L$2,FALSE)/装备属性计算表!L$20*VLOOKUP($H170&amp;$F170,$C$3:$P$28,M$1,FALSE)</f>
        <v>0</v>
      </c>
      <c r="P170" s="28">
        <f>VLOOKUP($G170,装备属性计算表!$D$14:$O$19,装备属性计算表!M$2,FALSE)/装备属性计算表!M$20*VLOOKUP($H170&amp;$F170,$C$3:$P$28,N$1,FALSE)</f>
        <v>0</v>
      </c>
      <c r="Q170" s="28">
        <f>VLOOKUP($G170,装备属性计算表!$D$14:$O$19,装备属性计算表!N$2,FALSE)/装备属性计算表!N$20*VLOOKUP($H170&amp;$F170,$C$3:$P$28,O$1,FALSE)</f>
        <v>0</v>
      </c>
      <c r="R170" s="28">
        <f>VLOOKUP($G170,装备属性计算表!$D$14:$O$19,装备属性计算表!O$2,FALSE)/装备属性计算表!O$20*VLOOKUP($H170&amp;$F170,$C$3:$P$28,P$1,FALSE)</f>
        <v>0</v>
      </c>
      <c r="X170" s="28">
        <f>SUM(AY165:AY170)</f>
        <v>1304050</v>
      </c>
      <c r="Y170" s="28">
        <f t="shared" si="69"/>
        <v>0</v>
      </c>
      <c r="Z170" s="28">
        <f t="shared" si="70"/>
        <v>1</v>
      </c>
      <c r="AA170" s="28">
        <f t="shared" si="63"/>
        <v>10</v>
      </c>
      <c r="AB170" s="28">
        <f t="shared" si="71"/>
        <v>0</v>
      </c>
      <c r="AC170" s="28">
        <f t="shared" si="72"/>
        <v>3</v>
      </c>
      <c r="AD170" s="28">
        <f t="shared" si="73"/>
        <v>33</v>
      </c>
      <c r="AE170" s="28">
        <f t="shared" si="74"/>
        <v>168000</v>
      </c>
      <c r="AF170" s="28">
        <f t="shared" si="75"/>
        <v>3000</v>
      </c>
      <c r="AG170" s="28">
        <f t="shared" si="76"/>
        <v>10</v>
      </c>
      <c r="AH170" s="28">
        <f>IF(AG170&gt;0,VLOOKUP(G170,'价值&amp;消耗'!$U$173:$V$178,2,FALSE),0)</f>
        <v>73010</v>
      </c>
      <c r="AI170" s="28">
        <f t="shared" si="77"/>
        <v>550</v>
      </c>
      <c r="AJ170" s="28">
        <f t="shared" si="78"/>
        <v>1</v>
      </c>
      <c r="AK170" s="28">
        <f>ROUND(IF(COUNTIF($I170:I170,"&gt;0")&gt;$AJ170,0,I170),0)</f>
        <v>0</v>
      </c>
      <c r="AL170" s="28">
        <f>ROUND(IF(COUNTIF($I170:J170,"&gt;0")&gt;$AJ170,0,J170),0)</f>
        <v>60</v>
      </c>
      <c r="AM170" s="28">
        <f>ROUND(IF(COUNTIF($I170:K170,"&gt;0")&gt;$AJ170,0,K170),0)</f>
        <v>0</v>
      </c>
      <c r="AN170" s="28">
        <f>ROUND(IF(COUNTIF($I170:L170,"&gt;0")&gt;$AJ170,0,L170),0)</f>
        <v>0</v>
      </c>
      <c r="AO170" s="28">
        <f>ROUND(IF(COUNTIF($I170:M170,"&gt;0")&gt;$AJ170,0,M170),0)</f>
        <v>0</v>
      </c>
      <c r="AP170" s="28">
        <f>ROUND(IF(COUNTIF($I170:N170,"&gt;0")&gt;$AJ170,0,N170),0)</f>
        <v>0</v>
      </c>
      <c r="AQ170" s="28">
        <f>ROUND(IF(COUNTIF($I170:O170,"&gt;0")&gt;$AJ170,0,O170),0)</f>
        <v>0</v>
      </c>
      <c r="AR170" s="28">
        <f>ROUND(IF(COUNTIF($I170:P170,"&gt;0")&gt;$AJ170,0,P170),0)</f>
        <v>0</v>
      </c>
      <c r="AS170" s="28">
        <f>IF(COUNTIF($I170:Q170,"&gt;0")&gt;$AJ170,0,Q170)</f>
        <v>0</v>
      </c>
      <c r="AT170" s="28">
        <f>IF(COUNTIF($I170:R170,"&gt;0")&gt;$AJ170,0,R170)</f>
        <v>0</v>
      </c>
      <c r="AU170" s="28">
        <f>SUMPRODUCT(AK170:AT170,定义数据!$G$14:$P$14)</f>
        <v>60</v>
      </c>
      <c r="AV170" s="28">
        <f t="shared" si="55"/>
        <v>3000</v>
      </c>
      <c r="AW170" s="28">
        <f t="shared" si="66"/>
        <v>3000</v>
      </c>
      <c r="AX170" s="28">
        <f t="shared" si="79"/>
        <v>165000</v>
      </c>
      <c r="AY170" s="28">
        <f t="shared" si="68"/>
        <v>165000</v>
      </c>
      <c r="AZ170" s="96">
        <f>SUM(AY165:AY170)</f>
        <v>1304050</v>
      </c>
    </row>
    <row r="171" spans="3:52" x14ac:dyDescent="0.15">
      <c r="C171" s="28" t="str">
        <f>H171&amp;F171&amp;VLOOKUP(G171,定义数据!$E$1:$F$7,2,FALSE)</f>
        <v>8020</v>
      </c>
      <c r="D171" s="28"/>
      <c r="E171" s="28">
        <f>装备属性计算表!AK170</f>
        <v>25</v>
      </c>
      <c r="F171" s="28">
        <f>装备属性计算表!B170</f>
        <v>2</v>
      </c>
      <c r="G171" s="28" t="str">
        <f>装备属性计算表!C170</f>
        <v>武器</v>
      </c>
      <c r="H171" s="28">
        <f>装备属性计算表!D170</f>
        <v>80</v>
      </c>
      <c r="I171" s="28">
        <f>VLOOKUP($G171,装备属性计算表!$D$14:$O$19,装备属性计算表!F$2,FALSE)/装备属性计算表!F$20*VLOOKUP($H171&amp;$F171,$C$3:$P$28,G$1,FALSE)</f>
        <v>0</v>
      </c>
      <c r="J171" s="28">
        <f>VLOOKUP($G171,装备属性计算表!$D$14:$O$19,装备属性计算表!G$2,FALSE)/装备属性计算表!G$20*VLOOKUP($H171&amp;$F171,$C$3:$P$28,H$1,FALSE)</f>
        <v>258.82852620320864</v>
      </c>
      <c r="K171" s="28">
        <f>VLOOKUP($G171,装备属性计算表!$D$14:$O$19,装备属性计算表!H$2,FALSE)/装备属性计算表!H$20*VLOOKUP($H171&amp;$F171,$C$3:$P$28,I$1,FALSE)</f>
        <v>31.068062391681117</v>
      </c>
      <c r="L171" s="28">
        <f>VLOOKUP($G171,装备属性计算表!$D$14:$O$19,装备属性计算表!I$2,FALSE)/装备属性计算表!I$20*VLOOKUP($H171&amp;$F171,$C$3:$P$28,J$1,FALSE)</f>
        <v>0</v>
      </c>
      <c r="M171" s="28">
        <f>VLOOKUP($G171,装备属性计算表!$D$14:$O$19,装备属性计算表!J$2,FALSE)/装备属性计算表!J$20*VLOOKUP($H171&amp;$F171,$C$3:$P$28,K$1,FALSE)</f>
        <v>112.84722222222224</v>
      </c>
      <c r="N171" s="28">
        <f>VLOOKUP($G171,装备属性计算表!$D$14:$O$19,装备属性计算表!K$2,FALSE)/装备属性计算表!K$20*VLOOKUP($H171&amp;$F171,$C$3:$P$28,L$1,FALSE)</f>
        <v>80.246913580246925</v>
      </c>
      <c r="O171" s="28">
        <f>VLOOKUP($G171,装备属性计算表!$D$14:$O$19,装备属性计算表!L$2,FALSE)/装备属性计算表!L$20*VLOOKUP($H171&amp;$F171,$C$3:$P$28,M$1,FALSE)</f>
        <v>0</v>
      </c>
      <c r="P171" s="28">
        <f>VLOOKUP($G171,装备属性计算表!$D$14:$O$19,装备属性计算表!M$2,FALSE)/装备属性计算表!M$20*VLOOKUP($H171&amp;$F171,$C$3:$P$28,N$1,FALSE)</f>
        <v>0</v>
      </c>
      <c r="Q171" s="28">
        <f>VLOOKUP($G171,装备属性计算表!$D$14:$O$19,装备属性计算表!N$2,FALSE)/装备属性计算表!N$20*VLOOKUP($H171&amp;$F171,$C$3:$P$28,O$1,FALSE)</f>
        <v>0</v>
      </c>
      <c r="R171" s="28">
        <f>VLOOKUP($G171,装备属性计算表!$D$14:$O$19,装备属性计算表!O$2,FALSE)/装备属性计算表!O$20*VLOOKUP($H171&amp;$F171,$C$3:$P$28,P$1,FALSE)</f>
        <v>0</v>
      </c>
      <c r="Y171" s="28">
        <f t="shared" si="69"/>
        <v>0</v>
      </c>
      <c r="Z171" s="28">
        <f t="shared" si="70"/>
        <v>0</v>
      </c>
      <c r="AA171" s="28">
        <f t="shared" si="63"/>
        <v>10</v>
      </c>
      <c r="AB171" s="28">
        <f t="shared" si="71"/>
        <v>0</v>
      </c>
      <c r="AC171" s="28">
        <f t="shared" si="72"/>
        <v>0</v>
      </c>
      <c r="AD171" s="28">
        <f t="shared" si="73"/>
        <v>160</v>
      </c>
      <c r="AE171" s="28">
        <f t="shared" si="74"/>
        <v>800000</v>
      </c>
      <c r="AF171" s="28">
        <f t="shared" si="75"/>
        <v>2500</v>
      </c>
      <c r="AG171" s="28">
        <f t="shared" si="76"/>
        <v>49</v>
      </c>
      <c r="AH171" s="28">
        <f>IF(AG171&gt;0,VLOOKUP(G171,'价值&amp;消耗'!$U$173:$V$178,2,FALSE),0)</f>
        <v>70010</v>
      </c>
      <c r="AI171" s="28">
        <f t="shared" si="77"/>
        <v>2695</v>
      </c>
      <c r="AJ171" s="28">
        <f t="shared" si="78"/>
        <v>2</v>
      </c>
      <c r="AK171" s="28">
        <f>ROUND(IF(COUNTIF($I171:I171,"&gt;0")&gt;$AJ171,0,I171),0)</f>
        <v>0</v>
      </c>
      <c r="AL171" s="28">
        <f>ROUND(IF(COUNTIF($I171:J171,"&gt;0")&gt;$AJ171,0,J171),0)</f>
        <v>259</v>
      </c>
      <c r="AM171" s="28">
        <f>ROUND(IF(COUNTIF($I171:K171,"&gt;0")&gt;$AJ171,0,K171),0)</f>
        <v>31</v>
      </c>
      <c r="AN171" s="28">
        <f>ROUND(IF(COUNTIF($I171:L171,"&gt;0")&gt;$AJ171,0,L171),0)</f>
        <v>0</v>
      </c>
      <c r="AO171" s="28">
        <f>ROUND(IF(COUNTIF($I171:M171,"&gt;0")&gt;$AJ171,0,M171),0)</f>
        <v>0</v>
      </c>
      <c r="AP171" s="28">
        <f>ROUND(IF(COUNTIF($I171:N171,"&gt;0")&gt;$AJ171,0,N171),0)</f>
        <v>0</v>
      </c>
      <c r="AQ171" s="28">
        <f>ROUND(IF(COUNTIF($I171:O171,"&gt;0")&gt;$AJ171,0,O171),0)</f>
        <v>0</v>
      </c>
      <c r="AR171" s="28">
        <f>ROUND(IF(COUNTIF($I171:P171,"&gt;0")&gt;$AJ171,0,P171),0)</f>
        <v>0</v>
      </c>
      <c r="AS171" s="28">
        <f>IF(COUNTIF($I171:Q171,"&gt;0")&gt;$AJ171,0,Q171)</f>
        <v>0</v>
      </c>
      <c r="AT171" s="28">
        <f>IF(COUNTIF($I171:R171,"&gt;0")&gt;$AJ171,0,R171)</f>
        <v>0</v>
      </c>
      <c r="AU171" s="28">
        <f>SUMPRODUCT(AK171:AT171,定义数据!$G$14:$P$14)</f>
        <v>290</v>
      </c>
      <c r="AV171" s="28">
        <f t="shared" si="55"/>
        <v>14500</v>
      </c>
      <c r="AW171" s="28">
        <f t="shared" si="66"/>
        <v>14500</v>
      </c>
      <c r="AX171" s="28">
        <f t="shared" si="79"/>
        <v>797500</v>
      </c>
      <c r="AY171" s="28">
        <f t="shared" si="68"/>
        <v>797500</v>
      </c>
    </row>
    <row r="172" spans="3:52" x14ac:dyDescent="0.15">
      <c r="C172" s="28" t="str">
        <f>H172&amp;F172&amp;VLOOKUP(G172,定义数据!$E$1:$F$7,2,FALSE)</f>
        <v>8021</v>
      </c>
      <c r="D172" s="28"/>
      <c r="E172" s="28">
        <f>装备属性计算表!AK171</f>
        <v>25</v>
      </c>
      <c r="F172" s="28">
        <f>装备属性计算表!B171</f>
        <v>2</v>
      </c>
      <c r="G172" s="28" t="str">
        <f>装备属性计算表!C171</f>
        <v>衣服</v>
      </c>
      <c r="H172" s="28">
        <f>装备属性计算表!D171</f>
        <v>80</v>
      </c>
      <c r="I172" s="28">
        <f>VLOOKUP($G172,装备属性计算表!$D$14:$O$19,装备属性计算表!F$2,FALSE)/装备属性计算表!F$20*VLOOKUP($H172&amp;$F172,$C$3:$P$28,G$1,FALSE)</f>
        <v>2830.9782092107071</v>
      </c>
      <c r="J172" s="28">
        <f>VLOOKUP($G172,装备属性计算表!$D$14:$O$19,装备属性计算表!G$2,FALSE)/装备属性计算表!G$20*VLOOKUP($H172&amp;$F172,$C$3:$P$28,H$1,FALSE)</f>
        <v>0</v>
      </c>
      <c r="K172" s="28">
        <f>VLOOKUP($G172,装备属性计算表!$D$14:$O$19,装备属性计算表!H$2,FALSE)/装备属性计算表!H$20*VLOOKUP($H172&amp;$F172,$C$3:$P$28,I$1,FALSE)</f>
        <v>93.204187175043359</v>
      </c>
      <c r="L172" s="28">
        <f>VLOOKUP($G172,装备属性计算表!$D$14:$O$19,装备属性计算表!I$2,FALSE)/装备属性计算表!I$20*VLOOKUP($H172&amp;$F172,$C$3:$P$28,J$1,FALSE)</f>
        <v>67.708333333333357</v>
      </c>
      <c r="M172" s="28">
        <f>VLOOKUP($G172,装备属性计算表!$D$14:$O$19,装备属性计算表!J$2,FALSE)/装备属性计算表!J$20*VLOOKUP($H172&amp;$F172,$C$3:$P$28,K$1,FALSE)</f>
        <v>0</v>
      </c>
      <c r="N172" s="28">
        <f>VLOOKUP($G172,装备属性计算表!$D$14:$O$19,装备属性计算表!K$2,FALSE)/装备属性计算表!K$20*VLOOKUP($H172&amp;$F172,$C$3:$P$28,L$1,FALSE)</f>
        <v>0</v>
      </c>
      <c r="O172" s="28">
        <f>VLOOKUP($G172,装备属性计算表!$D$14:$O$19,装备属性计算表!L$2,FALSE)/装备属性计算表!L$20*VLOOKUP($H172&amp;$F172,$C$3:$P$28,M$1,FALSE)</f>
        <v>0</v>
      </c>
      <c r="P172" s="28">
        <f>VLOOKUP($G172,装备属性计算表!$D$14:$O$19,装备属性计算表!M$2,FALSE)/装备属性计算表!M$20*VLOOKUP($H172&amp;$F172,$C$3:$P$28,N$1,FALSE)</f>
        <v>66.872427983539097</v>
      </c>
      <c r="Q172" s="28">
        <f>VLOOKUP($G172,装备属性计算表!$D$14:$O$19,装备属性计算表!N$2,FALSE)/装备属性计算表!N$20*VLOOKUP($H172&amp;$F172,$C$3:$P$28,O$1,FALSE)</f>
        <v>0</v>
      </c>
      <c r="R172" s="28">
        <f>VLOOKUP($G172,装备属性计算表!$D$14:$O$19,装备属性计算表!O$2,FALSE)/装备属性计算表!O$20*VLOOKUP($H172&amp;$F172,$C$3:$P$28,P$1,FALSE)</f>
        <v>0</v>
      </c>
      <c r="Y172" s="28">
        <f t="shared" si="69"/>
        <v>0</v>
      </c>
      <c r="Z172" s="28">
        <f t="shared" si="70"/>
        <v>0</v>
      </c>
      <c r="AA172" s="28">
        <f t="shared" si="63"/>
        <v>10</v>
      </c>
      <c r="AB172" s="28">
        <f t="shared" si="71"/>
        <v>0</v>
      </c>
      <c r="AC172" s="28">
        <f t="shared" si="72"/>
        <v>0</v>
      </c>
      <c r="AD172" s="28">
        <f t="shared" si="73"/>
        <v>114</v>
      </c>
      <c r="AE172" s="28">
        <f t="shared" si="74"/>
        <v>570000</v>
      </c>
      <c r="AF172" s="28">
        <f t="shared" si="75"/>
        <v>2840</v>
      </c>
      <c r="AG172" s="28">
        <f t="shared" si="76"/>
        <v>35</v>
      </c>
      <c r="AH172" s="28">
        <f>IF(AG172&gt;0,VLOOKUP(G172,'价值&amp;消耗'!$U$173:$V$178,2,FALSE),0)</f>
        <v>71010</v>
      </c>
      <c r="AI172" s="28">
        <f t="shared" si="77"/>
        <v>1925</v>
      </c>
      <c r="AJ172" s="28">
        <f t="shared" si="78"/>
        <v>2</v>
      </c>
      <c r="AK172" s="28">
        <f>ROUND(IF(COUNTIF($I172:I172,"&gt;0")&gt;$AJ172,0,I172),0)</f>
        <v>2831</v>
      </c>
      <c r="AL172" s="28">
        <f>ROUND(IF(COUNTIF($I172:J172,"&gt;0")&gt;$AJ172,0,J172),0)</f>
        <v>0</v>
      </c>
      <c r="AM172" s="28">
        <f>ROUND(IF(COUNTIF($I172:K172,"&gt;0")&gt;$AJ172,0,K172),0)</f>
        <v>93</v>
      </c>
      <c r="AN172" s="28">
        <f>ROUND(IF(COUNTIF($I172:L172,"&gt;0")&gt;$AJ172,0,L172),0)</f>
        <v>0</v>
      </c>
      <c r="AO172" s="28">
        <f>ROUND(IF(COUNTIF($I172:M172,"&gt;0")&gt;$AJ172,0,M172),0)</f>
        <v>0</v>
      </c>
      <c r="AP172" s="28">
        <f>ROUND(IF(COUNTIF($I172:N172,"&gt;0")&gt;$AJ172,0,N172),0)</f>
        <v>0</v>
      </c>
      <c r="AQ172" s="28">
        <f>ROUND(IF(COUNTIF($I172:O172,"&gt;0")&gt;$AJ172,0,O172),0)</f>
        <v>0</v>
      </c>
      <c r="AR172" s="28">
        <f>ROUND(IF(COUNTIF($I172:P172,"&gt;0")&gt;$AJ172,0,P172),0)</f>
        <v>0</v>
      </c>
      <c r="AS172" s="28">
        <f>IF(COUNTIF($I172:Q172,"&gt;0")&gt;$AJ172,0,Q172)</f>
        <v>0</v>
      </c>
      <c r="AT172" s="28">
        <f>IF(COUNTIF($I172:R172,"&gt;0")&gt;$AJ172,0,R172)</f>
        <v>0</v>
      </c>
      <c r="AU172" s="28">
        <f>SUMPRODUCT(AK172:AT172,定义数据!$G$14:$P$14)</f>
        <v>206.24</v>
      </c>
      <c r="AV172" s="28">
        <f t="shared" si="55"/>
        <v>10312</v>
      </c>
      <c r="AW172" s="28">
        <f t="shared" si="66"/>
        <v>10312</v>
      </c>
      <c r="AX172" s="28">
        <f t="shared" si="79"/>
        <v>567160</v>
      </c>
      <c r="AY172" s="28">
        <f t="shared" si="68"/>
        <v>567160</v>
      </c>
    </row>
    <row r="173" spans="3:52" x14ac:dyDescent="0.15">
      <c r="C173" s="28" t="str">
        <f>H173&amp;F173&amp;VLOOKUP(G173,定义数据!$E$1:$F$7,2,FALSE)</f>
        <v>8022</v>
      </c>
      <c r="D173" s="28"/>
      <c r="E173" s="28">
        <f>装备属性计算表!AK172</f>
        <v>25</v>
      </c>
      <c r="F173" s="28">
        <f>装备属性计算表!B172</f>
        <v>2</v>
      </c>
      <c r="G173" s="28" t="str">
        <f>装备属性计算表!C172</f>
        <v>裤子</v>
      </c>
      <c r="H173" s="28">
        <f>装备属性计算表!D172</f>
        <v>80</v>
      </c>
      <c r="I173" s="28">
        <f>VLOOKUP($G173,装备属性计算表!$D$14:$O$19,装备属性计算表!F$2,FALSE)/装备属性计算表!F$20*VLOOKUP($H173&amp;$F173,$C$3:$P$28,G$1,FALSE)</f>
        <v>1415.4891046053535</v>
      </c>
      <c r="J173" s="28">
        <f>VLOOKUP($G173,装备属性计算表!$D$14:$O$19,装备属性计算表!G$2,FALSE)/装备属性计算表!G$20*VLOOKUP($H173&amp;$F173,$C$3:$P$28,H$1,FALSE)</f>
        <v>0</v>
      </c>
      <c r="K173" s="28">
        <f>VLOOKUP($G173,装备属性计算表!$D$14:$O$19,装备属性计算表!H$2,FALSE)/装备属性计算表!H$20*VLOOKUP($H173&amp;$F173,$C$3:$P$28,I$1,FALSE)</f>
        <v>31.068062391681117</v>
      </c>
      <c r="L173" s="28">
        <f>VLOOKUP($G173,装备属性计算表!$D$14:$O$19,装备属性计算表!I$2,FALSE)/装备属性计算表!I$20*VLOOKUP($H173&amp;$F173,$C$3:$P$28,J$1,FALSE)</f>
        <v>67.708333333333357</v>
      </c>
      <c r="M173" s="28">
        <f>VLOOKUP($G173,装备属性计算表!$D$14:$O$19,装备属性计算表!J$2,FALSE)/装备属性计算表!J$20*VLOOKUP($H173&amp;$F173,$C$3:$P$28,K$1,FALSE)</f>
        <v>0</v>
      </c>
      <c r="N173" s="28">
        <f>VLOOKUP($G173,装备属性计算表!$D$14:$O$19,装备属性计算表!K$2,FALSE)/装备属性计算表!K$20*VLOOKUP($H173&amp;$F173,$C$3:$P$28,L$1,FALSE)</f>
        <v>0</v>
      </c>
      <c r="O173" s="28">
        <f>VLOOKUP($G173,装备属性计算表!$D$14:$O$19,装备属性计算表!L$2,FALSE)/装备属性计算表!L$20*VLOOKUP($H173&amp;$F173,$C$3:$P$28,M$1,FALSE)</f>
        <v>0</v>
      </c>
      <c r="P173" s="28">
        <f>VLOOKUP($G173,装备属性计算表!$D$14:$O$19,装备属性计算表!M$2,FALSE)/装备属性计算表!M$20*VLOOKUP($H173&amp;$F173,$C$3:$P$28,N$1,FALSE)</f>
        <v>66.872427983539097</v>
      </c>
      <c r="Q173" s="28">
        <f>VLOOKUP($G173,装备属性计算表!$D$14:$O$19,装备属性计算表!N$2,FALSE)/装备属性计算表!N$20*VLOOKUP($H173&amp;$F173,$C$3:$P$28,O$1,FALSE)</f>
        <v>0</v>
      </c>
      <c r="R173" s="28">
        <f>VLOOKUP($G173,装备属性计算表!$D$14:$O$19,装备属性计算表!O$2,FALSE)/装备属性计算表!O$20*VLOOKUP($H173&amp;$F173,$C$3:$P$28,P$1,FALSE)</f>
        <v>0</v>
      </c>
      <c r="Y173" s="28">
        <f t="shared" si="69"/>
        <v>0</v>
      </c>
      <c r="Z173" s="28">
        <f t="shared" si="70"/>
        <v>1</v>
      </c>
      <c r="AA173" s="28">
        <f t="shared" si="63"/>
        <v>10</v>
      </c>
      <c r="AB173" s="28">
        <f t="shared" si="71"/>
        <v>0</v>
      </c>
      <c r="AC173" s="28">
        <f t="shared" si="72"/>
        <v>5</v>
      </c>
      <c r="AD173" s="28">
        <f t="shared" si="73"/>
        <v>48</v>
      </c>
      <c r="AE173" s="28">
        <f t="shared" si="74"/>
        <v>245000</v>
      </c>
      <c r="AF173" s="28">
        <f t="shared" si="75"/>
        <v>4100</v>
      </c>
      <c r="AG173" s="28">
        <f t="shared" si="76"/>
        <v>15</v>
      </c>
      <c r="AH173" s="28">
        <f>IF(AG173&gt;0,VLOOKUP(G173,'价值&amp;消耗'!$U$173:$V$178,2,FALSE),0)</f>
        <v>72010</v>
      </c>
      <c r="AI173" s="28">
        <f t="shared" si="77"/>
        <v>825</v>
      </c>
      <c r="AJ173" s="28">
        <f t="shared" si="78"/>
        <v>2</v>
      </c>
      <c r="AK173" s="28">
        <f>ROUND(IF(COUNTIF($I173:I173,"&gt;0")&gt;$AJ173,0,I173),0)</f>
        <v>1415</v>
      </c>
      <c r="AL173" s="28">
        <f>ROUND(IF(COUNTIF($I173:J173,"&gt;0")&gt;$AJ173,0,J173),0)</f>
        <v>0</v>
      </c>
      <c r="AM173" s="28">
        <f>ROUND(IF(COUNTIF($I173:K173,"&gt;0")&gt;$AJ173,0,K173),0)</f>
        <v>31</v>
      </c>
      <c r="AN173" s="28">
        <f>ROUND(IF(COUNTIF($I173:L173,"&gt;0")&gt;$AJ173,0,L173),0)</f>
        <v>0</v>
      </c>
      <c r="AO173" s="28">
        <f>ROUND(IF(COUNTIF($I173:M173,"&gt;0")&gt;$AJ173,0,M173),0)</f>
        <v>0</v>
      </c>
      <c r="AP173" s="28">
        <f>ROUND(IF(COUNTIF($I173:N173,"&gt;0")&gt;$AJ173,0,N173),0)</f>
        <v>0</v>
      </c>
      <c r="AQ173" s="28">
        <f>ROUND(IF(COUNTIF($I173:O173,"&gt;0")&gt;$AJ173,0,O173),0)</f>
        <v>0</v>
      </c>
      <c r="AR173" s="28">
        <f>ROUND(IF(COUNTIF($I173:P173,"&gt;0")&gt;$AJ173,0,P173),0)</f>
        <v>0</v>
      </c>
      <c r="AS173" s="28">
        <f>IF(COUNTIF($I173:Q173,"&gt;0")&gt;$AJ173,0,Q173)</f>
        <v>0</v>
      </c>
      <c r="AT173" s="28">
        <f>IF(COUNTIF($I173:R173,"&gt;0")&gt;$AJ173,0,R173)</f>
        <v>0</v>
      </c>
      <c r="AU173" s="28">
        <f>SUMPRODUCT(AK173:AT173,定义数据!$G$14:$P$14)</f>
        <v>87.6</v>
      </c>
      <c r="AV173" s="28">
        <f t="shared" si="55"/>
        <v>4380</v>
      </c>
      <c r="AW173" s="28">
        <f t="shared" si="66"/>
        <v>4380</v>
      </c>
      <c r="AX173" s="28">
        <f t="shared" si="79"/>
        <v>240900</v>
      </c>
      <c r="AY173" s="28">
        <f t="shared" si="68"/>
        <v>240900</v>
      </c>
    </row>
    <row r="174" spans="3:52" x14ac:dyDescent="0.15">
      <c r="C174" s="28" t="str">
        <f>H174&amp;F174&amp;VLOOKUP(G174,定义数据!$E$1:$F$7,2,FALSE)</f>
        <v>8025</v>
      </c>
      <c r="D174" s="28"/>
      <c r="E174" s="28">
        <f>装备属性计算表!AK173</f>
        <v>25</v>
      </c>
      <c r="F174" s="28">
        <f>装备属性计算表!B173</f>
        <v>2</v>
      </c>
      <c r="G174" s="28" t="str">
        <f>装备属性计算表!C173</f>
        <v>鞋子</v>
      </c>
      <c r="H174" s="28">
        <f>装备属性计算表!D173</f>
        <v>80</v>
      </c>
      <c r="I174" s="28">
        <f>VLOOKUP($G174,装备属性计算表!$D$14:$O$19,装备属性计算表!F$2,FALSE)/装备属性计算表!F$20*VLOOKUP($H174&amp;$F174,$C$3:$P$28,G$1,FALSE)</f>
        <v>1415.4891046053535</v>
      </c>
      <c r="J174" s="28">
        <f>VLOOKUP($G174,装备属性计算表!$D$14:$O$19,装备属性计算表!G$2,FALSE)/装备属性计算表!G$20*VLOOKUP($H174&amp;$F174,$C$3:$P$28,H$1,FALSE)</f>
        <v>0</v>
      </c>
      <c r="K174" s="28">
        <f>VLOOKUP($G174,装备属性计算表!$D$14:$O$19,装备属性计算表!H$2,FALSE)/装备属性计算表!H$20*VLOOKUP($H174&amp;$F174,$C$3:$P$28,I$1,FALSE)</f>
        <v>0</v>
      </c>
      <c r="L174" s="28">
        <f>VLOOKUP($G174,装备属性计算表!$D$14:$O$19,装备属性计算表!I$2,FALSE)/装备属性计算表!I$20*VLOOKUP($H174&amp;$F174,$C$3:$P$28,J$1,FALSE)</f>
        <v>135.41666666666671</v>
      </c>
      <c r="M174" s="28">
        <f>VLOOKUP($G174,装备属性计算表!$D$14:$O$19,装备属性计算表!J$2,FALSE)/装备属性计算表!J$20*VLOOKUP($H174&amp;$F174,$C$3:$P$28,K$1,FALSE)</f>
        <v>112.84722222222224</v>
      </c>
      <c r="N174" s="28">
        <f>VLOOKUP($G174,装备属性计算表!$D$14:$O$19,装备属性计算表!K$2,FALSE)/装备属性计算表!K$20*VLOOKUP($H174&amp;$F174,$C$3:$P$28,L$1,FALSE)</f>
        <v>40.123456790123463</v>
      </c>
      <c r="O174" s="28">
        <f>VLOOKUP($G174,装备属性计算表!$D$14:$O$19,装备属性计算表!L$2,FALSE)/装备属性计算表!L$20*VLOOKUP($H174&amp;$F174,$C$3:$P$28,M$1,FALSE)</f>
        <v>0</v>
      </c>
      <c r="P174" s="28">
        <f>VLOOKUP($G174,装备属性计算表!$D$14:$O$19,装备属性计算表!M$2,FALSE)/装备属性计算表!M$20*VLOOKUP($H174&amp;$F174,$C$3:$P$28,N$1,FALSE)</f>
        <v>0</v>
      </c>
      <c r="Q174" s="28">
        <f>VLOOKUP($G174,装备属性计算表!$D$14:$O$19,装备属性计算表!N$2,FALSE)/装备属性计算表!N$20*VLOOKUP($H174&amp;$F174,$C$3:$P$28,O$1,FALSE)</f>
        <v>0</v>
      </c>
      <c r="R174" s="28">
        <f>VLOOKUP($G174,装备属性计算表!$D$14:$O$19,装备属性计算表!O$2,FALSE)/装备属性计算表!O$20*VLOOKUP($H174&amp;$F174,$C$3:$P$28,P$1,FALSE)</f>
        <v>0</v>
      </c>
      <c r="Y174" s="28">
        <f t="shared" si="69"/>
        <v>0</v>
      </c>
      <c r="Z174" s="28">
        <f t="shared" si="70"/>
        <v>0</v>
      </c>
      <c r="AA174" s="28">
        <f t="shared" si="63"/>
        <v>10</v>
      </c>
      <c r="AB174" s="28">
        <f t="shared" si="71"/>
        <v>0</v>
      </c>
      <c r="AC174" s="28">
        <f t="shared" si="72"/>
        <v>0</v>
      </c>
      <c r="AD174" s="28">
        <f t="shared" si="73"/>
        <v>57</v>
      </c>
      <c r="AE174" s="28">
        <f t="shared" si="74"/>
        <v>285000</v>
      </c>
      <c r="AF174" s="28">
        <f t="shared" si="75"/>
        <v>3125</v>
      </c>
      <c r="AG174" s="28">
        <f t="shared" si="76"/>
        <v>18</v>
      </c>
      <c r="AH174" s="28">
        <f>IF(AG174&gt;0,VLOOKUP(G174,'价值&amp;消耗'!$U$173:$V$178,2,FALSE),0)</f>
        <v>75010</v>
      </c>
      <c r="AI174" s="28">
        <f t="shared" si="77"/>
        <v>990</v>
      </c>
      <c r="AJ174" s="28">
        <f t="shared" si="78"/>
        <v>2</v>
      </c>
      <c r="AK174" s="28">
        <f>ROUND(IF(COUNTIF($I174:I174,"&gt;0")&gt;$AJ174,0,I174),0)</f>
        <v>1415</v>
      </c>
      <c r="AL174" s="28">
        <f>ROUND(IF(COUNTIF($I174:J174,"&gt;0")&gt;$AJ174,0,J174),0)</f>
        <v>0</v>
      </c>
      <c r="AM174" s="28">
        <f>ROUND(IF(COUNTIF($I174:K174,"&gt;0")&gt;$AJ174,0,K174),0)</f>
        <v>0</v>
      </c>
      <c r="AN174" s="28">
        <f>ROUND(IF(COUNTIF($I174:L174,"&gt;0")&gt;$AJ174,0,L174),0)</f>
        <v>135</v>
      </c>
      <c r="AO174" s="28">
        <f>ROUND(IF(COUNTIF($I174:M174,"&gt;0")&gt;$AJ174,0,M174),0)</f>
        <v>0</v>
      </c>
      <c r="AP174" s="28">
        <f>ROUND(IF(COUNTIF($I174:N174,"&gt;0")&gt;$AJ174,0,N174),0)</f>
        <v>0</v>
      </c>
      <c r="AQ174" s="28">
        <f>ROUND(IF(COUNTIF($I174:O174,"&gt;0")&gt;$AJ174,0,O174),0)</f>
        <v>0</v>
      </c>
      <c r="AR174" s="28">
        <f>ROUND(IF(COUNTIF($I174:P174,"&gt;0")&gt;$AJ174,0,P174),0)</f>
        <v>0</v>
      </c>
      <c r="AS174" s="28">
        <f>IF(COUNTIF($I174:Q174,"&gt;0")&gt;$AJ174,0,Q174)</f>
        <v>0</v>
      </c>
      <c r="AT174" s="28">
        <f>IF(COUNTIF($I174:R174,"&gt;0")&gt;$AJ174,0,R174)</f>
        <v>0</v>
      </c>
      <c r="AU174" s="28">
        <f>SUMPRODUCT(AK174:AT174,定义数据!$G$14:$P$14)</f>
        <v>102.5</v>
      </c>
      <c r="AV174" s="28">
        <f t="shared" ref="AV174:AV188" si="80">ROUND(AU174*$U$33,0)</f>
        <v>5125</v>
      </c>
      <c r="AW174" s="28">
        <f t="shared" si="66"/>
        <v>5125</v>
      </c>
      <c r="AX174" s="28">
        <f t="shared" si="79"/>
        <v>281875</v>
      </c>
      <c r="AY174" s="28">
        <f t="shared" si="68"/>
        <v>281875</v>
      </c>
    </row>
    <row r="175" spans="3:52" x14ac:dyDescent="0.15">
      <c r="C175" s="28" t="str">
        <f>H175&amp;F175&amp;VLOOKUP(G175,定义数据!$E$1:$F$7,2,FALSE)</f>
        <v>8024</v>
      </c>
      <c r="D175" s="28"/>
      <c r="E175" s="28">
        <f>装备属性计算表!AK174</f>
        <v>25</v>
      </c>
      <c r="F175" s="28">
        <f>装备属性计算表!B174</f>
        <v>2</v>
      </c>
      <c r="G175" s="28" t="str">
        <f>装备属性计算表!C174</f>
        <v>腰带</v>
      </c>
      <c r="H175" s="28">
        <f>装备属性计算表!D174</f>
        <v>80</v>
      </c>
      <c r="I175" s="28">
        <f>VLOOKUP($G175,装备属性计算表!$D$14:$O$19,装备属性计算表!F$2,FALSE)/装备属性计算表!F$20*VLOOKUP($H175&amp;$F175,$C$3:$P$28,G$1,FALSE)</f>
        <v>2830.9782092107071</v>
      </c>
      <c r="J175" s="28">
        <f>VLOOKUP($G175,装备属性计算表!$D$14:$O$19,装备属性计算表!G$2,FALSE)/装备属性计算表!G$20*VLOOKUP($H175&amp;$F175,$C$3:$P$28,H$1,FALSE)</f>
        <v>86.276175401069565</v>
      </c>
      <c r="K175" s="28">
        <f>VLOOKUP($G175,装备属性计算表!$D$14:$O$19,装备属性计算表!H$2,FALSE)/装备属性计算表!H$20*VLOOKUP($H175&amp;$F175,$C$3:$P$28,I$1,FALSE)</f>
        <v>31.068062391681117</v>
      </c>
      <c r="L175" s="28">
        <f>VLOOKUP($G175,装备属性计算表!$D$14:$O$19,装备属性计算表!I$2,FALSE)/装备属性计算表!I$20*VLOOKUP($H175&amp;$F175,$C$3:$P$28,J$1,FALSE)</f>
        <v>0</v>
      </c>
      <c r="M175" s="28">
        <f>VLOOKUP($G175,装备属性计算表!$D$14:$O$19,装备属性计算表!J$2,FALSE)/装备属性计算表!J$20*VLOOKUP($H175&amp;$F175,$C$3:$P$28,K$1,FALSE)</f>
        <v>0</v>
      </c>
      <c r="N175" s="28">
        <f>VLOOKUP($G175,装备属性计算表!$D$14:$O$19,装备属性计算表!K$2,FALSE)/装备属性计算表!K$20*VLOOKUP($H175&amp;$F175,$C$3:$P$28,L$1,FALSE)</f>
        <v>0</v>
      </c>
      <c r="O175" s="28">
        <f>VLOOKUP($G175,装备属性计算表!$D$14:$O$19,装备属性计算表!L$2,FALSE)/装备属性计算表!L$20*VLOOKUP($H175&amp;$F175,$C$3:$P$28,M$1,FALSE)</f>
        <v>0</v>
      </c>
      <c r="P175" s="28">
        <f>VLOOKUP($G175,装备属性计算表!$D$14:$O$19,装备属性计算表!M$2,FALSE)/装备属性计算表!M$20*VLOOKUP($H175&amp;$F175,$C$3:$P$28,N$1,FALSE)</f>
        <v>66.872427983539097</v>
      </c>
      <c r="Q175" s="28">
        <f>VLOOKUP($G175,装备属性计算表!$D$14:$O$19,装备属性计算表!N$2,FALSE)/装备属性计算表!N$20*VLOOKUP($H175&amp;$F175,$C$3:$P$28,O$1,FALSE)</f>
        <v>0</v>
      </c>
      <c r="R175" s="28">
        <f>VLOOKUP($G175,装备属性计算表!$D$14:$O$19,装备属性计算表!O$2,FALSE)/装备属性计算表!O$20*VLOOKUP($H175&amp;$F175,$C$3:$P$28,P$1,FALSE)</f>
        <v>0</v>
      </c>
      <c r="Y175" s="28">
        <f t="shared" si="69"/>
        <v>0</v>
      </c>
      <c r="Z175" s="28">
        <f t="shared" si="70"/>
        <v>0</v>
      </c>
      <c r="AA175" s="28">
        <f t="shared" si="63"/>
        <v>10</v>
      </c>
      <c r="AB175" s="28">
        <f t="shared" si="71"/>
        <v>0</v>
      </c>
      <c r="AC175" s="28">
        <f t="shared" si="72"/>
        <v>0</v>
      </c>
      <c r="AD175" s="28">
        <f t="shared" si="73"/>
        <v>110</v>
      </c>
      <c r="AE175" s="28">
        <f t="shared" si="74"/>
        <v>550000</v>
      </c>
      <c r="AF175" s="28">
        <f t="shared" si="75"/>
        <v>2090</v>
      </c>
      <c r="AG175" s="28">
        <f t="shared" si="76"/>
        <v>34</v>
      </c>
      <c r="AH175" s="28">
        <f>IF(AG175&gt;0,VLOOKUP(G175,'价值&amp;消耗'!$U$173:$V$178,2,FALSE),0)</f>
        <v>74010</v>
      </c>
      <c r="AI175" s="28">
        <f t="shared" si="77"/>
        <v>1870</v>
      </c>
      <c r="AJ175" s="28">
        <f t="shared" si="78"/>
        <v>2</v>
      </c>
      <c r="AK175" s="28">
        <f>ROUND(IF(COUNTIF($I175:I175,"&gt;0")&gt;$AJ175,0,I175),0)</f>
        <v>2831</v>
      </c>
      <c r="AL175" s="28">
        <f>ROUND(IF(COUNTIF($I175:J175,"&gt;0")&gt;$AJ175,0,J175),0)</f>
        <v>86</v>
      </c>
      <c r="AM175" s="28">
        <f>ROUND(IF(COUNTIF($I175:K175,"&gt;0")&gt;$AJ175,0,K175),0)</f>
        <v>0</v>
      </c>
      <c r="AN175" s="28">
        <f>ROUND(IF(COUNTIF($I175:L175,"&gt;0")&gt;$AJ175,0,L175),0)</f>
        <v>0</v>
      </c>
      <c r="AO175" s="28">
        <f>ROUND(IF(COUNTIF($I175:M175,"&gt;0")&gt;$AJ175,0,M175),0)</f>
        <v>0</v>
      </c>
      <c r="AP175" s="28">
        <f>ROUND(IF(COUNTIF($I175:N175,"&gt;0")&gt;$AJ175,0,N175),0)</f>
        <v>0</v>
      </c>
      <c r="AQ175" s="28">
        <f>ROUND(IF(COUNTIF($I175:O175,"&gt;0")&gt;$AJ175,0,O175),0)</f>
        <v>0</v>
      </c>
      <c r="AR175" s="28">
        <f>ROUND(IF(COUNTIF($I175:P175,"&gt;0")&gt;$AJ175,0,P175),0)</f>
        <v>0</v>
      </c>
      <c r="AS175" s="28">
        <f>IF(COUNTIF($I175:Q175,"&gt;0")&gt;$AJ175,0,Q175)</f>
        <v>0</v>
      </c>
      <c r="AT175" s="28">
        <f>IF(COUNTIF($I175:R175,"&gt;0")&gt;$AJ175,0,R175)</f>
        <v>0</v>
      </c>
      <c r="AU175" s="28">
        <f>SUMPRODUCT(AK175:AT175,定义数据!$G$14:$P$14)</f>
        <v>199.24</v>
      </c>
      <c r="AV175" s="28">
        <f t="shared" si="80"/>
        <v>9962</v>
      </c>
      <c r="AW175" s="28">
        <f t="shared" si="66"/>
        <v>9962</v>
      </c>
      <c r="AX175" s="28">
        <f t="shared" si="79"/>
        <v>547910</v>
      </c>
      <c r="AY175" s="28">
        <f t="shared" si="68"/>
        <v>547910</v>
      </c>
    </row>
    <row r="176" spans="3:52" x14ac:dyDescent="0.15">
      <c r="C176" s="28" t="str">
        <f>H176&amp;F176&amp;VLOOKUP(G176,定义数据!$E$1:$F$7,2,FALSE)</f>
        <v>8023</v>
      </c>
      <c r="D176" s="28"/>
      <c r="E176" s="28">
        <f>装备属性计算表!AK175</f>
        <v>25</v>
      </c>
      <c r="F176" s="28">
        <f>装备属性计算表!B175</f>
        <v>2</v>
      </c>
      <c r="G176" s="28" t="str">
        <f>装备属性计算表!C175</f>
        <v>项链</v>
      </c>
      <c r="H176" s="28">
        <f>装备属性计算表!D175</f>
        <v>80</v>
      </c>
      <c r="I176" s="28">
        <f>VLOOKUP($G176,装备属性计算表!$D$14:$O$19,装备属性计算表!F$2,FALSE)/装备属性计算表!F$20*VLOOKUP($H176&amp;$F176,$C$3:$P$28,G$1,FALSE)</f>
        <v>0</v>
      </c>
      <c r="J176" s="28">
        <f>VLOOKUP($G176,装备属性计算表!$D$14:$O$19,装备属性计算表!G$2,FALSE)/装备属性计算表!G$20*VLOOKUP($H176&amp;$F176,$C$3:$P$28,H$1,FALSE)</f>
        <v>86.276175401069565</v>
      </c>
      <c r="K176" s="28">
        <f>VLOOKUP($G176,装备属性计算表!$D$14:$O$19,装备属性计算表!H$2,FALSE)/装备属性计算表!H$20*VLOOKUP($H176&amp;$F176,$C$3:$P$28,I$1,FALSE)</f>
        <v>0</v>
      </c>
      <c r="L176" s="28">
        <f>VLOOKUP($G176,装备属性计算表!$D$14:$O$19,装备属性计算表!I$2,FALSE)/装备属性计算表!I$20*VLOOKUP($H176&amp;$F176,$C$3:$P$28,J$1,FALSE)</f>
        <v>67.708333333333357</v>
      </c>
      <c r="M176" s="28">
        <f>VLOOKUP($G176,装备属性计算表!$D$14:$O$19,装备属性计算表!J$2,FALSE)/装备属性计算表!J$20*VLOOKUP($H176&amp;$F176,$C$3:$P$28,K$1,FALSE)</f>
        <v>112.84722222222224</v>
      </c>
      <c r="N176" s="28">
        <f>VLOOKUP($G176,装备属性计算表!$D$14:$O$19,装备属性计算表!K$2,FALSE)/装备属性计算表!K$20*VLOOKUP($H176&amp;$F176,$C$3:$P$28,L$1,FALSE)</f>
        <v>80.246913580246925</v>
      </c>
      <c r="O176" s="28">
        <f>VLOOKUP($G176,装备属性计算表!$D$14:$O$19,装备属性计算表!L$2,FALSE)/装备属性计算表!L$20*VLOOKUP($H176&amp;$F176,$C$3:$P$28,M$1,FALSE)</f>
        <v>0</v>
      </c>
      <c r="P176" s="28">
        <f>VLOOKUP($G176,装备属性计算表!$D$14:$O$19,装备属性计算表!M$2,FALSE)/装备属性计算表!M$20*VLOOKUP($H176&amp;$F176,$C$3:$P$28,N$1,FALSE)</f>
        <v>0</v>
      </c>
      <c r="Q176" s="28">
        <f>VLOOKUP($G176,装备属性计算表!$D$14:$O$19,装备属性计算表!N$2,FALSE)/装备属性计算表!N$20*VLOOKUP($H176&amp;$F176,$C$3:$P$28,O$1,FALSE)</f>
        <v>0</v>
      </c>
      <c r="R176" s="28">
        <f>VLOOKUP($G176,装备属性计算表!$D$14:$O$19,装备属性计算表!O$2,FALSE)/装备属性计算表!O$20*VLOOKUP($H176&amp;$F176,$C$3:$P$28,P$1,FALSE)</f>
        <v>0</v>
      </c>
      <c r="X176" s="28">
        <f>SUM(AY171:AY176)</f>
        <v>2735425</v>
      </c>
      <c r="Y176" s="28">
        <f t="shared" si="69"/>
        <v>0</v>
      </c>
      <c r="Z176" s="28">
        <f t="shared" si="70"/>
        <v>0</v>
      </c>
      <c r="AA176" s="28">
        <f t="shared" si="63"/>
        <v>10</v>
      </c>
      <c r="AB176" s="28">
        <f t="shared" si="71"/>
        <v>0</v>
      </c>
      <c r="AC176" s="28">
        <f t="shared" si="72"/>
        <v>0</v>
      </c>
      <c r="AD176" s="28">
        <f t="shared" si="73"/>
        <v>61</v>
      </c>
      <c r="AE176" s="28">
        <f t="shared" si="74"/>
        <v>305000</v>
      </c>
      <c r="AF176" s="28">
        <f t="shared" si="75"/>
        <v>4920</v>
      </c>
      <c r="AG176" s="28">
        <f t="shared" si="76"/>
        <v>19</v>
      </c>
      <c r="AH176" s="28">
        <f>IF(AG176&gt;0,VLOOKUP(G176,'价值&amp;消耗'!$U$173:$V$178,2,FALSE),0)</f>
        <v>73010</v>
      </c>
      <c r="AI176" s="28">
        <f t="shared" si="77"/>
        <v>1045</v>
      </c>
      <c r="AJ176" s="28">
        <f t="shared" si="78"/>
        <v>2</v>
      </c>
      <c r="AK176" s="28">
        <f>ROUND(IF(COUNTIF($I176:I176,"&gt;0")&gt;$AJ176,0,I176),0)</f>
        <v>0</v>
      </c>
      <c r="AL176" s="28">
        <f>ROUND(IF(COUNTIF($I176:J176,"&gt;0")&gt;$AJ176,0,J176),0)</f>
        <v>86</v>
      </c>
      <c r="AM176" s="28">
        <f>ROUND(IF(COUNTIF($I176:K176,"&gt;0")&gt;$AJ176,0,K176),0)</f>
        <v>0</v>
      </c>
      <c r="AN176" s="28">
        <f>ROUND(IF(COUNTIF($I176:L176,"&gt;0")&gt;$AJ176,0,L176),0)</f>
        <v>68</v>
      </c>
      <c r="AO176" s="28">
        <f>ROUND(IF(COUNTIF($I176:M176,"&gt;0")&gt;$AJ176,0,M176),0)</f>
        <v>0</v>
      </c>
      <c r="AP176" s="28">
        <f>ROUND(IF(COUNTIF($I176:N176,"&gt;0")&gt;$AJ176,0,N176),0)</f>
        <v>0</v>
      </c>
      <c r="AQ176" s="28">
        <f>ROUND(IF(COUNTIF($I176:O176,"&gt;0")&gt;$AJ176,0,O176),0)</f>
        <v>0</v>
      </c>
      <c r="AR176" s="28">
        <f>ROUND(IF(COUNTIF($I176:P176,"&gt;0")&gt;$AJ176,0,P176),0)</f>
        <v>0</v>
      </c>
      <c r="AS176" s="28">
        <f>IF(COUNTIF($I176:Q176,"&gt;0")&gt;$AJ176,0,Q176)</f>
        <v>0</v>
      </c>
      <c r="AT176" s="28">
        <f>IF(COUNTIF($I176:R176,"&gt;0")&gt;$AJ176,0,R176)</f>
        <v>0</v>
      </c>
      <c r="AU176" s="28">
        <f>SUMPRODUCT(AK176:AT176,定义数据!$G$14:$P$14)</f>
        <v>109.12</v>
      </c>
      <c r="AV176" s="28">
        <f t="shared" si="80"/>
        <v>5456</v>
      </c>
      <c r="AW176" s="28">
        <f t="shared" si="66"/>
        <v>5456</v>
      </c>
      <c r="AX176" s="28">
        <f t="shared" si="79"/>
        <v>300080</v>
      </c>
      <c r="AY176" s="28">
        <f t="shared" si="68"/>
        <v>300080</v>
      </c>
      <c r="AZ176" s="96">
        <f>SUM(AY171:AY176)</f>
        <v>2735425</v>
      </c>
    </row>
    <row r="177" spans="3:52" x14ac:dyDescent="0.15">
      <c r="C177" s="28" t="str">
        <f>H177&amp;F177&amp;VLOOKUP(G177,定义数据!$E$1:$F$7,2,FALSE)</f>
        <v>8030</v>
      </c>
      <c r="D177" s="28"/>
      <c r="E177" s="28">
        <f>装备属性计算表!AK176</f>
        <v>26</v>
      </c>
      <c r="F177" s="28">
        <f>装备属性计算表!B176</f>
        <v>3</v>
      </c>
      <c r="G177" s="28" t="str">
        <f>装备属性计算表!C176</f>
        <v>武器</v>
      </c>
      <c r="H177" s="28">
        <f>装备属性计算表!D176</f>
        <v>80</v>
      </c>
      <c r="I177" s="28">
        <f>VLOOKUP($G177,装备属性计算表!$D$14:$O$19,装备属性计算表!F$2,FALSE)/装备属性计算表!F$20*VLOOKUP($H177&amp;$F177,$C$3:$P$28,G$1,FALSE)</f>
        <v>0</v>
      </c>
      <c r="J177" s="28">
        <f>VLOOKUP($G177,装备属性计算表!$D$14:$O$19,装备属性计算表!G$2,FALSE)/装备属性计算表!G$20*VLOOKUP($H177&amp;$F177,$C$3:$P$28,H$1,FALSE)</f>
        <v>338.4680727272729</v>
      </c>
      <c r="K177" s="28">
        <f>VLOOKUP($G177,装备属性计算表!$D$14:$O$19,装备属性计算表!H$2,FALSE)/装备属性计算表!H$20*VLOOKUP($H177&amp;$F177,$C$3:$P$28,I$1,FALSE)</f>
        <v>40.627466204506071</v>
      </c>
      <c r="L177" s="28">
        <f>VLOOKUP($G177,装备属性计算表!$D$14:$O$19,装备属性计算表!I$2,FALSE)/装备属性计算表!I$20*VLOOKUP($H177&amp;$F177,$C$3:$P$28,J$1,FALSE)</f>
        <v>0</v>
      </c>
      <c r="M177" s="28">
        <f>VLOOKUP($G177,装备属性计算表!$D$14:$O$19,装备属性计算表!J$2,FALSE)/装备属性计算表!J$20*VLOOKUP($H177&amp;$F177,$C$3:$P$28,K$1,FALSE)</f>
        <v>147.56944444444443</v>
      </c>
      <c r="N177" s="28">
        <f>VLOOKUP($G177,装备属性计算表!$D$14:$O$19,装备属性计算表!K$2,FALSE)/装备属性计算表!K$20*VLOOKUP($H177&amp;$F177,$C$3:$P$28,L$1,FALSE)</f>
        <v>104.93827160493829</v>
      </c>
      <c r="O177" s="28">
        <f>VLOOKUP($G177,装备属性计算表!$D$14:$O$19,装备属性计算表!L$2,FALSE)/装备属性计算表!L$20*VLOOKUP($H177&amp;$F177,$C$3:$P$28,M$1,FALSE)</f>
        <v>0</v>
      </c>
      <c r="P177" s="28">
        <f>VLOOKUP($G177,装备属性计算表!$D$14:$O$19,装备属性计算表!M$2,FALSE)/装备属性计算表!M$20*VLOOKUP($H177&amp;$F177,$C$3:$P$28,N$1,FALSE)</f>
        <v>0</v>
      </c>
      <c r="Q177" s="28">
        <f>VLOOKUP($G177,装备属性计算表!$D$14:$O$19,装备属性计算表!N$2,FALSE)/装备属性计算表!N$20*VLOOKUP($H177&amp;$F177,$C$3:$P$28,O$1,FALSE)</f>
        <v>0</v>
      </c>
      <c r="R177" s="28">
        <f>VLOOKUP($G177,装备属性计算表!$D$14:$O$19,装备属性计算表!O$2,FALSE)/装备属性计算表!O$20*VLOOKUP($H177&amp;$F177,$C$3:$P$28,P$1,FALSE)</f>
        <v>0</v>
      </c>
      <c r="Y177" s="28">
        <f t="shared" si="69"/>
        <v>0</v>
      </c>
      <c r="Z177" s="28">
        <f t="shared" si="70"/>
        <v>0</v>
      </c>
      <c r="AA177" s="28">
        <f t="shared" si="63"/>
        <v>10</v>
      </c>
      <c r="AB177" s="28">
        <f t="shared" si="71"/>
        <v>0</v>
      </c>
      <c r="AC177" s="28">
        <f t="shared" si="72"/>
        <v>0</v>
      </c>
      <c r="AD177" s="28">
        <f t="shared" si="73"/>
        <v>237</v>
      </c>
      <c r="AE177" s="28">
        <f t="shared" si="74"/>
        <v>1185000</v>
      </c>
      <c r="AF177" s="28">
        <f t="shared" si="75"/>
        <v>4370</v>
      </c>
      <c r="AG177" s="28">
        <f t="shared" si="76"/>
        <v>72</v>
      </c>
      <c r="AH177" s="28">
        <f>IF(AG177&gt;0,VLOOKUP(G177,'价值&amp;消耗'!$U$173:$V$178,2,FALSE),0)</f>
        <v>70010</v>
      </c>
      <c r="AI177" s="28">
        <f t="shared" si="77"/>
        <v>3960</v>
      </c>
      <c r="AJ177" s="28">
        <f t="shared" si="78"/>
        <v>3</v>
      </c>
      <c r="AK177" s="28">
        <f>ROUND(IF(COUNTIF($I177:I177,"&gt;0")&gt;$AJ177,0,I177),0)</f>
        <v>0</v>
      </c>
      <c r="AL177" s="28">
        <f>ROUND(IF(COUNTIF($I177:J177,"&gt;0")&gt;$AJ177,0,J177),0)</f>
        <v>338</v>
      </c>
      <c r="AM177" s="28">
        <f>ROUND(IF(COUNTIF($I177:K177,"&gt;0")&gt;$AJ177,0,K177),0)</f>
        <v>41</v>
      </c>
      <c r="AN177" s="28">
        <f>ROUND(IF(COUNTIF($I177:L177,"&gt;0")&gt;$AJ177,0,L177),0)</f>
        <v>0</v>
      </c>
      <c r="AO177" s="28">
        <f>ROUND(IF(COUNTIF($I177:M177,"&gt;0")&gt;$AJ177,0,M177),0)</f>
        <v>148</v>
      </c>
      <c r="AP177" s="28">
        <f>ROUND(IF(COUNTIF($I177:N177,"&gt;0")&gt;$AJ177,0,N177),0)</f>
        <v>0</v>
      </c>
      <c r="AQ177" s="28">
        <f>ROUND(IF(COUNTIF($I177:O177,"&gt;0")&gt;$AJ177,0,O177),0)</f>
        <v>0</v>
      </c>
      <c r="AR177" s="28">
        <f>ROUND(IF(COUNTIF($I177:P177,"&gt;0")&gt;$AJ177,0,P177),0)</f>
        <v>0</v>
      </c>
      <c r="AS177" s="28">
        <f>IF(COUNTIF($I177:Q177,"&gt;0")&gt;$AJ177,0,Q177)</f>
        <v>0</v>
      </c>
      <c r="AT177" s="28">
        <f>IF(COUNTIF($I177:R177,"&gt;0")&gt;$AJ177,0,R177)</f>
        <v>0</v>
      </c>
      <c r="AU177" s="28">
        <f>SUMPRODUCT(AK177:AT177,定义数据!$G$14:$P$14)</f>
        <v>429.32</v>
      </c>
      <c r="AV177" s="28">
        <f t="shared" si="80"/>
        <v>21466</v>
      </c>
      <c r="AW177" s="28">
        <f t="shared" si="66"/>
        <v>21466</v>
      </c>
      <c r="AX177" s="28">
        <f t="shared" si="79"/>
        <v>1180630</v>
      </c>
      <c r="AY177" s="28">
        <f t="shared" si="68"/>
        <v>1180630</v>
      </c>
    </row>
    <row r="178" spans="3:52" x14ac:dyDescent="0.15">
      <c r="C178" s="28" t="str">
        <f>H178&amp;F178&amp;VLOOKUP(G178,定义数据!$E$1:$F$7,2,FALSE)</f>
        <v>8031</v>
      </c>
      <c r="D178" s="28"/>
      <c r="E178" s="28">
        <f>装备属性计算表!AK177</f>
        <v>26</v>
      </c>
      <c r="F178" s="28">
        <f>装备属性计算表!B177</f>
        <v>3</v>
      </c>
      <c r="G178" s="28" t="str">
        <f>装备属性计算表!C177</f>
        <v>衣服</v>
      </c>
      <c r="H178" s="28">
        <f>装备属性计算表!D177</f>
        <v>80</v>
      </c>
      <c r="I178" s="28">
        <f>VLOOKUP($G178,装备属性计算表!$D$14:$O$19,装备属性计算表!F$2,FALSE)/装备属性计算表!F$20*VLOOKUP($H178&amp;$F178,$C$3:$P$28,G$1,FALSE)</f>
        <v>3702.0484274293858</v>
      </c>
      <c r="J178" s="28">
        <f>VLOOKUP($G178,装备属性计算表!$D$14:$O$19,装备属性计算表!G$2,FALSE)/装备属性计算表!G$20*VLOOKUP($H178&amp;$F178,$C$3:$P$28,H$1,FALSE)</f>
        <v>0</v>
      </c>
      <c r="K178" s="28">
        <f>VLOOKUP($G178,装备属性计算表!$D$14:$O$19,装备属性计算表!H$2,FALSE)/装备属性计算表!H$20*VLOOKUP($H178&amp;$F178,$C$3:$P$28,I$1,FALSE)</f>
        <v>121.88239861351822</v>
      </c>
      <c r="L178" s="28">
        <f>VLOOKUP($G178,装备属性计算表!$D$14:$O$19,装备属性计算表!I$2,FALSE)/装备属性计算表!I$20*VLOOKUP($H178&amp;$F178,$C$3:$P$28,J$1,FALSE)</f>
        <v>88.541666666666671</v>
      </c>
      <c r="M178" s="28">
        <f>VLOOKUP($G178,装备属性计算表!$D$14:$O$19,装备属性计算表!J$2,FALSE)/装备属性计算表!J$20*VLOOKUP($H178&amp;$F178,$C$3:$P$28,K$1,FALSE)</f>
        <v>0</v>
      </c>
      <c r="N178" s="28">
        <f>VLOOKUP($G178,装备属性计算表!$D$14:$O$19,装备属性计算表!K$2,FALSE)/装备属性计算表!K$20*VLOOKUP($H178&amp;$F178,$C$3:$P$28,L$1,FALSE)</f>
        <v>0</v>
      </c>
      <c r="O178" s="28">
        <f>VLOOKUP($G178,装备属性计算表!$D$14:$O$19,装备属性计算表!L$2,FALSE)/装备属性计算表!L$20*VLOOKUP($H178&amp;$F178,$C$3:$P$28,M$1,FALSE)</f>
        <v>0</v>
      </c>
      <c r="P178" s="28">
        <f>VLOOKUP($G178,装备属性计算表!$D$14:$O$19,装备属性计算表!M$2,FALSE)/装备属性计算表!M$20*VLOOKUP($H178&amp;$F178,$C$3:$P$28,N$1,FALSE)</f>
        <v>87.448559670781904</v>
      </c>
      <c r="Q178" s="28">
        <f>VLOOKUP($G178,装备属性计算表!$D$14:$O$19,装备属性计算表!N$2,FALSE)/装备属性计算表!N$20*VLOOKUP($H178&amp;$F178,$C$3:$P$28,O$1,FALSE)</f>
        <v>0</v>
      </c>
      <c r="R178" s="28">
        <f>VLOOKUP($G178,装备属性计算表!$D$14:$O$19,装备属性计算表!O$2,FALSE)/装备属性计算表!O$20*VLOOKUP($H178&amp;$F178,$C$3:$P$28,P$1,FALSE)</f>
        <v>0</v>
      </c>
      <c r="Y178" s="28">
        <f t="shared" si="69"/>
        <v>0</v>
      </c>
      <c r="Z178" s="28">
        <f t="shared" si="70"/>
        <v>0</v>
      </c>
      <c r="AA178" s="28">
        <f t="shared" si="63"/>
        <v>10</v>
      </c>
      <c r="AB178" s="28">
        <f t="shared" si="71"/>
        <v>0</v>
      </c>
      <c r="AC178" s="28">
        <f t="shared" si="72"/>
        <v>0</v>
      </c>
      <c r="AD178" s="28">
        <f t="shared" si="73"/>
        <v>166</v>
      </c>
      <c r="AE178" s="28">
        <f t="shared" si="74"/>
        <v>830000</v>
      </c>
      <c r="AF178" s="28">
        <f t="shared" si="75"/>
        <v>4065</v>
      </c>
      <c r="AG178" s="28">
        <f t="shared" si="76"/>
        <v>51</v>
      </c>
      <c r="AH178" s="28">
        <f>IF(AG178&gt;0,VLOOKUP(G178,'价值&amp;消耗'!$U$173:$V$178,2,FALSE),0)</f>
        <v>71010</v>
      </c>
      <c r="AI178" s="28">
        <f t="shared" si="77"/>
        <v>2805</v>
      </c>
      <c r="AJ178" s="28">
        <f t="shared" si="78"/>
        <v>3</v>
      </c>
      <c r="AK178" s="28">
        <f>ROUND(IF(COUNTIF($I178:I178,"&gt;0")&gt;$AJ178,0,I178),0)</f>
        <v>3702</v>
      </c>
      <c r="AL178" s="28">
        <f>ROUND(IF(COUNTIF($I178:J178,"&gt;0")&gt;$AJ178,0,J178),0)</f>
        <v>0</v>
      </c>
      <c r="AM178" s="28">
        <f>ROUND(IF(COUNTIF($I178:K178,"&gt;0")&gt;$AJ178,0,K178),0)</f>
        <v>122</v>
      </c>
      <c r="AN178" s="28">
        <f>ROUND(IF(COUNTIF($I178:L178,"&gt;0")&gt;$AJ178,0,L178),0)</f>
        <v>89</v>
      </c>
      <c r="AO178" s="28">
        <f>ROUND(IF(COUNTIF($I178:M178,"&gt;0")&gt;$AJ178,0,M178),0)</f>
        <v>0</v>
      </c>
      <c r="AP178" s="28">
        <f>ROUND(IF(COUNTIF($I178:N178,"&gt;0")&gt;$AJ178,0,N178),0)</f>
        <v>0</v>
      </c>
      <c r="AQ178" s="28">
        <f>ROUND(IF(COUNTIF($I178:O178,"&gt;0")&gt;$AJ178,0,O178),0)</f>
        <v>0</v>
      </c>
      <c r="AR178" s="28">
        <f>ROUND(IF(COUNTIF($I178:P178,"&gt;0")&gt;$AJ178,0,P178),0)</f>
        <v>0</v>
      </c>
      <c r="AS178" s="28">
        <f>IF(COUNTIF($I178:Q178,"&gt;0")&gt;$AJ178,0,Q178)</f>
        <v>0</v>
      </c>
      <c r="AT178" s="28">
        <f>IF(COUNTIF($I178:R178,"&gt;0")&gt;$AJ178,0,R178)</f>
        <v>0</v>
      </c>
      <c r="AU178" s="28">
        <f>SUMPRODUCT(AK178:AT178,定义数据!$G$14:$P$14)</f>
        <v>300.34000000000003</v>
      </c>
      <c r="AV178" s="28">
        <f t="shared" si="80"/>
        <v>15017</v>
      </c>
      <c r="AW178" s="28">
        <f t="shared" si="66"/>
        <v>15017</v>
      </c>
      <c r="AX178" s="28">
        <f t="shared" si="79"/>
        <v>825935</v>
      </c>
      <c r="AY178" s="28">
        <f t="shared" si="68"/>
        <v>825935</v>
      </c>
    </row>
    <row r="179" spans="3:52" x14ac:dyDescent="0.15">
      <c r="C179" s="28" t="str">
        <f>H179&amp;F179&amp;VLOOKUP(G179,定义数据!$E$1:$F$7,2,FALSE)</f>
        <v>8032</v>
      </c>
      <c r="D179" s="28"/>
      <c r="E179" s="28">
        <f>装备属性计算表!AK178</f>
        <v>26</v>
      </c>
      <c r="F179" s="28">
        <f>装备属性计算表!B178</f>
        <v>3</v>
      </c>
      <c r="G179" s="28" t="str">
        <f>装备属性计算表!C178</f>
        <v>裤子</v>
      </c>
      <c r="H179" s="28">
        <f>装备属性计算表!D178</f>
        <v>80</v>
      </c>
      <c r="I179" s="28">
        <f>VLOOKUP($G179,装备属性计算表!$D$14:$O$19,装备属性计算表!F$2,FALSE)/装备属性计算表!F$20*VLOOKUP($H179&amp;$F179,$C$3:$P$28,G$1,FALSE)</f>
        <v>1851.0242137146929</v>
      </c>
      <c r="J179" s="28">
        <f>VLOOKUP($G179,装备属性计算表!$D$14:$O$19,装备属性计算表!G$2,FALSE)/装备属性计算表!G$20*VLOOKUP($H179&amp;$F179,$C$3:$P$28,H$1,FALSE)</f>
        <v>0</v>
      </c>
      <c r="K179" s="28">
        <f>VLOOKUP($G179,装备属性计算表!$D$14:$O$19,装备属性计算表!H$2,FALSE)/装备属性计算表!H$20*VLOOKUP($H179&amp;$F179,$C$3:$P$28,I$1,FALSE)</f>
        <v>40.627466204506071</v>
      </c>
      <c r="L179" s="28">
        <f>VLOOKUP($G179,装备属性计算表!$D$14:$O$19,装备属性计算表!I$2,FALSE)/装备属性计算表!I$20*VLOOKUP($H179&amp;$F179,$C$3:$P$28,J$1,FALSE)</f>
        <v>88.541666666666671</v>
      </c>
      <c r="M179" s="28">
        <f>VLOOKUP($G179,装备属性计算表!$D$14:$O$19,装备属性计算表!J$2,FALSE)/装备属性计算表!J$20*VLOOKUP($H179&amp;$F179,$C$3:$P$28,K$1,FALSE)</f>
        <v>0</v>
      </c>
      <c r="N179" s="28">
        <f>VLOOKUP($G179,装备属性计算表!$D$14:$O$19,装备属性计算表!K$2,FALSE)/装备属性计算表!K$20*VLOOKUP($H179&amp;$F179,$C$3:$P$28,L$1,FALSE)</f>
        <v>0</v>
      </c>
      <c r="O179" s="28">
        <f>VLOOKUP($G179,装备属性计算表!$D$14:$O$19,装备属性计算表!L$2,FALSE)/装备属性计算表!L$20*VLOOKUP($H179&amp;$F179,$C$3:$P$28,M$1,FALSE)</f>
        <v>0</v>
      </c>
      <c r="P179" s="28">
        <f>VLOOKUP($G179,装备属性计算表!$D$14:$O$19,装备属性计算表!M$2,FALSE)/装备属性计算表!M$20*VLOOKUP($H179&amp;$F179,$C$3:$P$28,N$1,FALSE)</f>
        <v>87.448559670781904</v>
      </c>
      <c r="Q179" s="28">
        <f>VLOOKUP($G179,装备属性计算表!$D$14:$O$19,装备属性计算表!N$2,FALSE)/装备属性计算表!N$20*VLOOKUP($H179&amp;$F179,$C$3:$P$28,O$1,FALSE)</f>
        <v>0</v>
      </c>
      <c r="R179" s="28">
        <f>VLOOKUP($G179,装备属性计算表!$D$14:$O$19,装备属性计算表!O$2,FALSE)/装备属性计算表!O$20*VLOOKUP($H179&amp;$F179,$C$3:$P$28,P$1,FALSE)</f>
        <v>0</v>
      </c>
      <c r="Y179" s="28">
        <f t="shared" si="69"/>
        <v>0</v>
      </c>
      <c r="Z179" s="28">
        <f t="shared" si="70"/>
        <v>0</v>
      </c>
      <c r="AA179" s="28">
        <f t="shared" si="63"/>
        <v>10</v>
      </c>
      <c r="AB179" s="28">
        <f t="shared" si="71"/>
        <v>0</v>
      </c>
      <c r="AC179" s="28">
        <f t="shared" si="72"/>
        <v>0</v>
      </c>
      <c r="AD179" s="28">
        <f t="shared" si="73"/>
        <v>80</v>
      </c>
      <c r="AE179" s="28">
        <f t="shared" si="74"/>
        <v>400000</v>
      </c>
      <c r="AF179" s="28">
        <f t="shared" si="75"/>
        <v>425</v>
      </c>
      <c r="AG179" s="28">
        <f t="shared" si="76"/>
        <v>25</v>
      </c>
      <c r="AH179" s="28">
        <f>IF(AG179&gt;0,VLOOKUP(G179,'价值&amp;消耗'!$U$173:$V$178,2,FALSE),0)</f>
        <v>72010</v>
      </c>
      <c r="AI179" s="28">
        <f t="shared" si="77"/>
        <v>1375</v>
      </c>
      <c r="AJ179" s="28">
        <f t="shared" si="78"/>
        <v>3</v>
      </c>
      <c r="AK179" s="28">
        <f>ROUND(IF(COUNTIF($I179:I179,"&gt;0")&gt;$AJ179,0,I179),0)</f>
        <v>1851</v>
      </c>
      <c r="AL179" s="28">
        <f>ROUND(IF(COUNTIF($I179:J179,"&gt;0")&gt;$AJ179,0,J179),0)</f>
        <v>0</v>
      </c>
      <c r="AM179" s="28">
        <f>ROUND(IF(COUNTIF($I179:K179,"&gt;0")&gt;$AJ179,0,K179),0)</f>
        <v>41</v>
      </c>
      <c r="AN179" s="28">
        <f>ROUND(IF(COUNTIF($I179:L179,"&gt;0")&gt;$AJ179,0,L179),0)</f>
        <v>89</v>
      </c>
      <c r="AO179" s="28">
        <f>ROUND(IF(COUNTIF($I179:M179,"&gt;0")&gt;$AJ179,0,M179),0)</f>
        <v>0</v>
      </c>
      <c r="AP179" s="28">
        <f>ROUND(IF(COUNTIF($I179:N179,"&gt;0")&gt;$AJ179,0,N179),0)</f>
        <v>0</v>
      </c>
      <c r="AQ179" s="28">
        <f>ROUND(IF(COUNTIF($I179:O179,"&gt;0")&gt;$AJ179,0,O179),0)</f>
        <v>0</v>
      </c>
      <c r="AR179" s="28">
        <f>ROUND(IF(COUNTIF($I179:P179,"&gt;0")&gt;$AJ179,0,P179),0)</f>
        <v>0</v>
      </c>
      <c r="AS179" s="28">
        <f>IF(COUNTIF($I179:Q179,"&gt;0")&gt;$AJ179,0,Q179)</f>
        <v>0</v>
      </c>
      <c r="AT179" s="28">
        <f>IF(COUNTIF($I179:R179,"&gt;0")&gt;$AJ179,0,R179)</f>
        <v>0</v>
      </c>
      <c r="AU179" s="28">
        <f>SUMPRODUCT(AK179:AT179,定义数据!$G$14:$P$14)</f>
        <v>145.30000000000001</v>
      </c>
      <c r="AV179" s="28">
        <f t="shared" si="80"/>
        <v>7265</v>
      </c>
      <c r="AW179" s="28">
        <f t="shared" si="66"/>
        <v>7265</v>
      </c>
      <c r="AX179" s="28">
        <f t="shared" si="79"/>
        <v>399575</v>
      </c>
      <c r="AY179" s="28">
        <f t="shared" si="68"/>
        <v>399575</v>
      </c>
    </row>
    <row r="180" spans="3:52" x14ac:dyDescent="0.15">
      <c r="C180" s="28" t="str">
        <f>H180&amp;F180&amp;VLOOKUP(G180,定义数据!$E$1:$F$7,2,FALSE)</f>
        <v>8035</v>
      </c>
      <c r="D180" s="28"/>
      <c r="E180" s="28">
        <f>装备属性计算表!AK179</f>
        <v>26</v>
      </c>
      <c r="F180" s="28">
        <f>装备属性计算表!B179</f>
        <v>3</v>
      </c>
      <c r="G180" s="28" t="str">
        <f>装备属性计算表!C179</f>
        <v>鞋子</v>
      </c>
      <c r="H180" s="28">
        <f>装备属性计算表!D179</f>
        <v>80</v>
      </c>
      <c r="I180" s="28">
        <f>VLOOKUP($G180,装备属性计算表!$D$14:$O$19,装备属性计算表!F$2,FALSE)/装备属性计算表!F$20*VLOOKUP($H180&amp;$F180,$C$3:$P$28,G$1,FALSE)</f>
        <v>1851.0242137146929</v>
      </c>
      <c r="J180" s="28">
        <f>VLOOKUP($G180,装备属性计算表!$D$14:$O$19,装备属性计算表!G$2,FALSE)/装备属性计算表!G$20*VLOOKUP($H180&amp;$F180,$C$3:$P$28,H$1,FALSE)</f>
        <v>0</v>
      </c>
      <c r="K180" s="28">
        <f>VLOOKUP($G180,装备属性计算表!$D$14:$O$19,装备属性计算表!H$2,FALSE)/装备属性计算表!H$20*VLOOKUP($H180&amp;$F180,$C$3:$P$28,I$1,FALSE)</f>
        <v>0</v>
      </c>
      <c r="L180" s="28">
        <f>VLOOKUP($G180,装备属性计算表!$D$14:$O$19,装备属性计算表!I$2,FALSE)/装备属性计算表!I$20*VLOOKUP($H180&amp;$F180,$C$3:$P$28,J$1,FALSE)</f>
        <v>177.08333333333334</v>
      </c>
      <c r="M180" s="28">
        <f>VLOOKUP($G180,装备属性计算表!$D$14:$O$19,装备属性计算表!J$2,FALSE)/装备属性计算表!J$20*VLOOKUP($H180&amp;$F180,$C$3:$P$28,K$1,FALSE)</f>
        <v>147.56944444444443</v>
      </c>
      <c r="N180" s="28">
        <f>VLOOKUP($G180,装备属性计算表!$D$14:$O$19,装备属性计算表!K$2,FALSE)/装备属性计算表!K$20*VLOOKUP($H180&amp;$F180,$C$3:$P$28,L$1,FALSE)</f>
        <v>52.469135802469147</v>
      </c>
      <c r="O180" s="28">
        <f>VLOOKUP($G180,装备属性计算表!$D$14:$O$19,装备属性计算表!L$2,FALSE)/装备属性计算表!L$20*VLOOKUP($H180&amp;$F180,$C$3:$P$28,M$1,FALSE)</f>
        <v>0</v>
      </c>
      <c r="P180" s="28">
        <f>VLOOKUP($G180,装备属性计算表!$D$14:$O$19,装备属性计算表!M$2,FALSE)/装备属性计算表!M$20*VLOOKUP($H180&amp;$F180,$C$3:$P$28,N$1,FALSE)</f>
        <v>0</v>
      </c>
      <c r="Q180" s="28">
        <f>VLOOKUP($G180,装备属性计算表!$D$14:$O$19,装备属性计算表!N$2,FALSE)/装备属性计算表!N$20*VLOOKUP($H180&amp;$F180,$C$3:$P$28,O$1,FALSE)</f>
        <v>0</v>
      </c>
      <c r="R180" s="28">
        <f>VLOOKUP($G180,装备属性计算表!$D$14:$O$19,装备属性计算表!O$2,FALSE)/装备属性计算表!O$20*VLOOKUP($H180&amp;$F180,$C$3:$P$28,P$1,FALSE)</f>
        <v>0</v>
      </c>
      <c r="Y180" s="28">
        <f t="shared" si="69"/>
        <v>0</v>
      </c>
      <c r="Z180" s="28">
        <f t="shared" si="70"/>
        <v>0</v>
      </c>
      <c r="AA180" s="28">
        <f t="shared" ref="AA180:AA188" si="81">$Z$16</f>
        <v>10</v>
      </c>
      <c r="AB180" s="28">
        <f t="shared" si="71"/>
        <v>0</v>
      </c>
      <c r="AC180" s="28">
        <f t="shared" si="72"/>
        <v>0</v>
      </c>
      <c r="AD180" s="28">
        <f t="shared" si="73"/>
        <v>102</v>
      </c>
      <c r="AE180" s="28">
        <f t="shared" si="74"/>
        <v>510000</v>
      </c>
      <c r="AF180" s="28">
        <f t="shared" si="75"/>
        <v>2515</v>
      </c>
      <c r="AG180" s="28">
        <f t="shared" si="76"/>
        <v>31</v>
      </c>
      <c r="AH180" s="28">
        <f>IF(AG180&gt;0,VLOOKUP(G180,'价值&amp;消耗'!$U$173:$V$178,2,FALSE),0)</f>
        <v>75010</v>
      </c>
      <c r="AI180" s="28">
        <f t="shared" si="77"/>
        <v>1705</v>
      </c>
      <c r="AJ180" s="28">
        <f t="shared" si="78"/>
        <v>3</v>
      </c>
      <c r="AK180" s="28">
        <f>ROUND(IF(COUNTIF($I180:I180,"&gt;0")&gt;$AJ180,0,I180),0)</f>
        <v>1851</v>
      </c>
      <c r="AL180" s="28">
        <f>ROUND(IF(COUNTIF($I180:J180,"&gt;0")&gt;$AJ180,0,J180),0)</f>
        <v>0</v>
      </c>
      <c r="AM180" s="28">
        <f>ROUND(IF(COUNTIF($I180:K180,"&gt;0")&gt;$AJ180,0,K180),0)</f>
        <v>0</v>
      </c>
      <c r="AN180" s="28">
        <f>ROUND(IF(COUNTIF($I180:L180,"&gt;0")&gt;$AJ180,0,L180),0)</f>
        <v>177</v>
      </c>
      <c r="AO180" s="28">
        <f>ROUND(IF(COUNTIF($I180:M180,"&gt;0")&gt;$AJ180,0,M180),0)</f>
        <v>148</v>
      </c>
      <c r="AP180" s="28">
        <f>ROUND(IF(COUNTIF($I180:N180,"&gt;0")&gt;$AJ180,0,N180),0)</f>
        <v>0</v>
      </c>
      <c r="AQ180" s="28">
        <f>ROUND(IF(COUNTIF($I180:O180,"&gt;0")&gt;$AJ180,0,O180),0)</f>
        <v>0</v>
      </c>
      <c r="AR180" s="28">
        <f>ROUND(IF(COUNTIF($I180:P180,"&gt;0")&gt;$AJ180,0,P180),0)</f>
        <v>0</v>
      </c>
      <c r="AS180" s="28">
        <f>IF(COUNTIF($I180:Q180,"&gt;0")&gt;$AJ180,0,Q180)</f>
        <v>0</v>
      </c>
      <c r="AT180" s="28">
        <f>IF(COUNTIF($I180:R180,"&gt;0")&gt;$AJ180,0,R180)</f>
        <v>0</v>
      </c>
      <c r="AU180" s="28">
        <f>SUMPRODUCT(AK180:AT180,定义数据!$G$14:$P$14)</f>
        <v>184.54000000000002</v>
      </c>
      <c r="AV180" s="28">
        <f t="shared" si="80"/>
        <v>9227</v>
      </c>
      <c r="AW180" s="28">
        <f t="shared" ref="AW180:AW188" si="82">ROUND(AU180*$U$32,0)</f>
        <v>9227</v>
      </c>
      <c r="AX180" s="28">
        <f t="shared" si="79"/>
        <v>507485</v>
      </c>
      <c r="AY180" s="28">
        <f t="shared" ref="AY180:AY188" si="83">($Z$16+1)*$Z$16/2*AW180</f>
        <v>507485</v>
      </c>
    </row>
    <row r="181" spans="3:52" x14ac:dyDescent="0.15">
      <c r="C181" s="28" t="str">
        <f>H181&amp;F181&amp;VLOOKUP(G181,定义数据!$E$1:$F$7,2,FALSE)</f>
        <v>8034</v>
      </c>
      <c r="D181" s="28"/>
      <c r="E181" s="28">
        <f>装备属性计算表!AK180</f>
        <v>26</v>
      </c>
      <c r="F181" s="28">
        <f>装备属性计算表!B180</f>
        <v>3</v>
      </c>
      <c r="G181" s="28" t="str">
        <f>装备属性计算表!C180</f>
        <v>腰带</v>
      </c>
      <c r="H181" s="28">
        <f>装备属性计算表!D180</f>
        <v>80</v>
      </c>
      <c r="I181" s="28">
        <f>VLOOKUP($G181,装备属性计算表!$D$14:$O$19,装备属性计算表!F$2,FALSE)/装备属性计算表!F$20*VLOOKUP($H181&amp;$F181,$C$3:$P$28,G$1,FALSE)</f>
        <v>3702.0484274293858</v>
      </c>
      <c r="J181" s="28">
        <f>VLOOKUP($G181,装备属性计算表!$D$14:$O$19,装备属性计算表!G$2,FALSE)/装备属性计算表!G$20*VLOOKUP($H181&amp;$F181,$C$3:$P$28,H$1,FALSE)</f>
        <v>112.82269090909097</v>
      </c>
      <c r="K181" s="28">
        <f>VLOOKUP($G181,装备属性计算表!$D$14:$O$19,装备属性计算表!H$2,FALSE)/装备属性计算表!H$20*VLOOKUP($H181&amp;$F181,$C$3:$P$28,I$1,FALSE)</f>
        <v>40.627466204506071</v>
      </c>
      <c r="L181" s="28">
        <f>VLOOKUP($G181,装备属性计算表!$D$14:$O$19,装备属性计算表!I$2,FALSE)/装备属性计算表!I$20*VLOOKUP($H181&amp;$F181,$C$3:$P$28,J$1,FALSE)</f>
        <v>0</v>
      </c>
      <c r="M181" s="28">
        <f>VLOOKUP($G181,装备属性计算表!$D$14:$O$19,装备属性计算表!J$2,FALSE)/装备属性计算表!J$20*VLOOKUP($H181&amp;$F181,$C$3:$P$28,K$1,FALSE)</f>
        <v>0</v>
      </c>
      <c r="N181" s="28">
        <f>VLOOKUP($G181,装备属性计算表!$D$14:$O$19,装备属性计算表!K$2,FALSE)/装备属性计算表!K$20*VLOOKUP($H181&amp;$F181,$C$3:$P$28,L$1,FALSE)</f>
        <v>0</v>
      </c>
      <c r="O181" s="28">
        <f>VLOOKUP($G181,装备属性计算表!$D$14:$O$19,装备属性计算表!L$2,FALSE)/装备属性计算表!L$20*VLOOKUP($H181&amp;$F181,$C$3:$P$28,M$1,FALSE)</f>
        <v>0</v>
      </c>
      <c r="P181" s="28">
        <f>VLOOKUP($G181,装备属性计算表!$D$14:$O$19,装备属性计算表!M$2,FALSE)/装备属性计算表!M$20*VLOOKUP($H181&amp;$F181,$C$3:$P$28,N$1,FALSE)</f>
        <v>87.448559670781904</v>
      </c>
      <c r="Q181" s="28">
        <f>VLOOKUP($G181,装备属性计算表!$D$14:$O$19,装备属性计算表!N$2,FALSE)/装备属性计算表!N$20*VLOOKUP($H181&amp;$F181,$C$3:$P$28,O$1,FALSE)</f>
        <v>0</v>
      </c>
      <c r="R181" s="28">
        <f>VLOOKUP($G181,装备属性计算表!$D$14:$O$19,装备属性计算表!O$2,FALSE)/装备属性计算表!O$20*VLOOKUP($H181&amp;$F181,$C$3:$P$28,P$1,FALSE)</f>
        <v>0</v>
      </c>
      <c r="Y181" s="28">
        <f t="shared" si="69"/>
        <v>0</v>
      </c>
      <c r="Z181" s="28">
        <f t="shared" si="70"/>
        <v>0</v>
      </c>
      <c r="AA181" s="28">
        <f t="shared" si="81"/>
        <v>10</v>
      </c>
      <c r="AB181" s="28">
        <f t="shared" si="71"/>
        <v>0</v>
      </c>
      <c r="AC181" s="28">
        <f t="shared" si="72"/>
        <v>0</v>
      </c>
      <c r="AD181" s="28">
        <f t="shared" si="73"/>
        <v>167</v>
      </c>
      <c r="AE181" s="28">
        <f t="shared" si="74"/>
        <v>835000</v>
      </c>
      <c r="AF181" s="28">
        <f t="shared" si="75"/>
        <v>4280</v>
      </c>
      <c r="AG181" s="28">
        <f t="shared" si="76"/>
        <v>51</v>
      </c>
      <c r="AH181" s="28">
        <f>IF(AG181&gt;0,VLOOKUP(G181,'价值&amp;消耗'!$U$173:$V$178,2,FALSE),0)</f>
        <v>74010</v>
      </c>
      <c r="AI181" s="28">
        <f t="shared" si="77"/>
        <v>2805</v>
      </c>
      <c r="AJ181" s="28">
        <f t="shared" si="78"/>
        <v>3</v>
      </c>
      <c r="AK181" s="28">
        <f>ROUND(IF(COUNTIF($I181:I181,"&gt;0")&gt;$AJ181,0,I181),0)</f>
        <v>3702</v>
      </c>
      <c r="AL181" s="28">
        <f>ROUND(IF(COUNTIF($I181:J181,"&gt;0")&gt;$AJ181,0,J181),0)</f>
        <v>113</v>
      </c>
      <c r="AM181" s="28">
        <f>ROUND(IF(COUNTIF($I181:K181,"&gt;0")&gt;$AJ181,0,K181),0)</f>
        <v>41</v>
      </c>
      <c r="AN181" s="28">
        <f>ROUND(IF(COUNTIF($I181:L181,"&gt;0")&gt;$AJ181,0,L181),0)</f>
        <v>0</v>
      </c>
      <c r="AO181" s="28">
        <f>ROUND(IF(COUNTIF($I181:M181,"&gt;0")&gt;$AJ181,0,M181),0)</f>
        <v>0</v>
      </c>
      <c r="AP181" s="28">
        <f>ROUND(IF(COUNTIF($I181:N181,"&gt;0")&gt;$AJ181,0,N181),0)</f>
        <v>0</v>
      </c>
      <c r="AQ181" s="28">
        <f>ROUND(IF(COUNTIF($I181:O181,"&gt;0")&gt;$AJ181,0,O181),0)</f>
        <v>0</v>
      </c>
      <c r="AR181" s="28">
        <f>ROUND(IF(COUNTIF($I181:P181,"&gt;0")&gt;$AJ181,0,P181),0)</f>
        <v>0</v>
      </c>
      <c r="AS181" s="28">
        <f>IF(COUNTIF($I181:Q181,"&gt;0")&gt;$AJ181,0,Q181)</f>
        <v>0</v>
      </c>
      <c r="AT181" s="28">
        <f>IF(COUNTIF($I181:R181,"&gt;0")&gt;$AJ181,0,R181)</f>
        <v>0</v>
      </c>
      <c r="AU181" s="28">
        <f>SUMPRODUCT(AK181:AT181,定义数据!$G$14:$P$14)</f>
        <v>302.08000000000004</v>
      </c>
      <c r="AV181" s="28">
        <f t="shared" si="80"/>
        <v>15104</v>
      </c>
      <c r="AW181" s="28">
        <f t="shared" si="82"/>
        <v>15104</v>
      </c>
      <c r="AX181" s="28">
        <f t="shared" si="79"/>
        <v>830720</v>
      </c>
      <c r="AY181" s="28">
        <f t="shared" si="83"/>
        <v>830720</v>
      </c>
    </row>
    <row r="182" spans="3:52" x14ac:dyDescent="0.15">
      <c r="C182" s="28" t="str">
        <f>H182&amp;F182&amp;VLOOKUP(G182,定义数据!$E$1:$F$7,2,FALSE)</f>
        <v>8033</v>
      </c>
      <c r="D182" s="28"/>
      <c r="E182" s="28">
        <f>装备属性计算表!AK181</f>
        <v>26</v>
      </c>
      <c r="F182" s="28">
        <f>装备属性计算表!B181</f>
        <v>3</v>
      </c>
      <c r="G182" s="28" t="str">
        <f>装备属性计算表!C181</f>
        <v>项链</v>
      </c>
      <c r="H182" s="28">
        <f>装备属性计算表!D181</f>
        <v>80</v>
      </c>
      <c r="I182" s="28">
        <f>VLOOKUP($G182,装备属性计算表!$D$14:$O$19,装备属性计算表!F$2,FALSE)/装备属性计算表!F$20*VLOOKUP($H182&amp;$F182,$C$3:$P$28,G$1,FALSE)</f>
        <v>0</v>
      </c>
      <c r="J182" s="28">
        <f>VLOOKUP($G182,装备属性计算表!$D$14:$O$19,装备属性计算表!G$2,FALSE)/装备属性计算表!G$20*VLOOKUP($H182&amp;$F182,$C$3:$P$28,H$1,FALSE)</f>
        <v>112.82269090909097</v>
      </c>
      <c r="K182" s="28">
        <f>VLOOKUP($G182,装备属性计算表!$D$14:$O$19,装备属性计算表!H$2,FALSE)/装备属性计算表!H$20*VLOOKUP($H182&amp;$F182,$C$3:$P$28,I$1,FALSE)</f>
        <v>0</v>
      </c>
      <c r="L182" s="28">
        <f>VLOOKUP($G182,装备属性计算表!$D$14:$O$19,装备属性计算表!I$2,FALSE)/装备属性计算表!I$20*VLOOKUP($H182&amp;$F182,$C$3:$P$28,J$1,FALSE)</f>
        <v>88.541666666666671</v>
      </c>
      <c r="M182" s="28">
        <f>VLOOKUP($G182,装备属性计算表!$D$14:$O$19,装备属性计算表!J$2,FALSE)/装备属性计算表!J$20*VLOOKUP($H182&amp;$F182,$C$3:$P$28,K$1,FALSE)</f>
        <v>147.56944444444443</v>
      </c>
      <c r="N182" s="28">
        <f>VLOOKUP($G182,装备属性计算表!$D$14:$O$19,装备属性计算表!K$2,FALSE)/装备属性计算表!K$20*VLOOKUP($H182&amp;$F182,$C$3:$P$28,L$1,FALSE)</f>
        <v>104.93827160493829</v>
      </c>
      <c r="O182" s="28">
        <f>VLOOKUP($G182,装备属性计算表!$D$14:$O$19,装备属性计算表!L$2,FALSE)/装备属性计算表!L$20*VLOOKUP($H182&amp;$F182,$C$3:$P$28,M$1,FALSE)</f>
        <v>0</v>
      </c>
      <c r="P182" s="28">
        <f>VLOOKUP($G182,装备属性计算表!$D$14:$O$19,装备属性计算表!M$2,FALSE)/装备属性计算表!M$20*VLOOKUP($H182&amp;$F182,$C$3:$P$28,N$1,FALSE)</f>
        <v>0</v>
      </c>
      <c r="Q182" s="28">
        <f>VLOOKUP($G182,装备属性计算表!$D$14:$O$19,装备属性计算表!N$2,FALSE)/装备属性计算表!N$20*VLOOKUP($H182&amp;$F182,$C$3:$P$28,O$1,FALSE)</f>
        <v>0</v>
      </c>
      <c r="R182" s="28">
        <f>VLOOKUP($G182,装备属性计算表!$D$14:$O$19,装备属性计算表!O$2,FALSE)/装备属性计算表!O$20*VLOOKUP($H182&amp;$F182,$C$3:$P$28,P$1,FALSE)</f>
        <v>0</v>
      </c>
      <c r="X182" s="28">
        <f>SUM(AY177:AY182)</f>
        <v>4276690</v>
      </c>
      <c r="Y182" s="28">
        <f t="shared" si="69"/>
        <v>0</v>
      </c>
      <c r="Z182" s="28">
        <f t="shared" si="70"/>
        <v>0</v>
      </c>
      <c r="AA182" s="28">
        <f t="shared" si="81"/>
        <v>10</v>
      </c>
      <c r="AB182" s="28">
        <f t="shared" si="71"/>
        <v>0</v>
      </c>
      <c r="AC182" s="28">
        <f t="shared" si="72"/>
        <v>0</v>
      </c>
      <c r="AD182" s="28">
        <f t="shared" si="73"/>
        <v>107</v>
      </c>
      <c r="AE182" s="28">
        <f t="shared" si="74"/>
        <v>535000</v>
      </c>
      <c r="AF182" s="28">
        <f t="shared" si="75"/>
        <v>2655</v>
      </c>
      <c r="AG182" s="28">
        <f t="shared" si="76"/>
        <v>33</v>
      </c>
      <c r="AH182" s="28">
        <f>IF(AG182&gt;0,VLOOKUP(G182,'价值&amp;消耗'!$U$173:$V$178,2,FALSE),0)</f>
        <v>73010</v>
      </c>
      <c r="AI182" s="28">
        <f t="shared" si="77"/>
        <v>1815</v>
      </c>
      <c r="AJ182" s="28">
        <f t="shared" si="78"/>
        <v>3</v>
      </c>
      <c r="AK182" s="28">
        <f>ROUND(IF(COUNTIF($I182:I182,"&gt;0")&gt;$AJ182,0,I182),0)</f>
        <v>0</v>
      </c>
      <c r="AL182" s="28">
        <f>ROUND(IF(COUNTIF($I182:J182,"&gt;0")&gt;$AJ182,0,J182),0)</f>
        <v>113</v>
      </c>
      <c r="AM182" s="28">
        <f>ROUND(IF(COUNTIF($I182:K182,"&gt;0")&gt;$AJ182,0,K182),0)</f>
        <v>0</v>
      </c>
      <c r="AN182" s="28">
        <f>ROUND(IF(COUNTIF($I182:L182,"&gt;0")&gt;$AJ182,0,L182),0)</f>
        <v>89</v>
      </c>
      <c r="AO182" s="28">
        <f>ROUND(IF(COUNTIF($I182:M182,"&gt;0")&gt;$AJ182,0,M182),0)</f>
        <v>148</v>
      </c>
      <c r="AP182" s="28">
        <f>ROUND(IF(COUNTIF($I182:N182,"&gt;0")&gt;$AJ182,0,N182),0)</f>
        <v>0</v>
      </c>
      <c r="AQ182" s="28">
        <f>ROUND(IF(COUNTIF($I182:O182,"&gt;0")&gt;$AJ182,0,O182),0)</f>
        <v>0</v>
      </c>
      <c r="AR182" s="28">
        <f>ROUND(IF(COUNTIF($I182:P182,"&gt;0")&gt;$AJ182,0,P182),0)</f>
        <v>0</v>
      </c>
      <c r="AS182" s="28">
        <f>IF(COUNTIF($I182:Q182,"&gt;0")&gt;$AJ182,0,Q182)</f>
        <v>0</v>
      </c>
      <c r="AT182" s="28">
        <f>IF(COUNTIF($I182:R182,"&gt;0")&gt;$AJ182,0,R182)</f>
        <v>0</v>
      </c>
      <c r="AU182" s="28">
        <f>SUMPRODUCT(AK182:AT182,定义数据!$G$14:$P$14)</f>
        <v>193.57999999999998</v>
      </c>
      <c r="AV182" s="28">
        <f t="shared" si="80"/>
        <v>9679</v>
      </c>
      <c r="AW182" s="28">
        <f t="shared" si="82"/>
        <v>9679</v>
      </c>
      <c r="AX182" s="28">
        <f t="shared" si="79"/>
        <v>532345</v>
      </c>
      <c r="AY182" s="28">
        <f t="shared" si="83"/>
        <v>532345</v>
      </c>
      <c r="AZ182" s="96">
        <f>SUM(AY177:AY182)</f>
        <v>4276690</v>
      </c>
    </row>
    <row r="183" spans="3:52" x14ac:dyDescent="0.15">
      <c r="C183" s="28" t="str">
        <f>H183&amp;F183&amp;VLOOKUP(G183,定义数据!$E$1:$F$7,2,FALSE)</f>
        <v>8040</v>
      </c>
      <c r="D183" s="28"/>
      <c r="E183" s="28">
        <f>装备属性计算表!AK182</f>
        <v>27</v>
      </c>
      <c r="F183" s="28">
        <f>装备属性计算表!B182</f>
        <v>4</v>
      </c>
      <c r="G183" s="28" t="str">
        <f>装备属性计算表!C182</f>
        <v>武器</v>
      </c>
      <c r="H183" s="28">
        <f>装备属性计算表!D182</f>
        <v>80</v>
      </c>
      <c r="I183" s="28">
        <f>VLOOKUP($G183,装备属性计算表!$D$14:$O$19,装备属性计算表!F$2,FALSE)/装备属性计算表!F$20*VLOOKUP($H183&amp;$F183,$C$3:$P$28,G$1,FALSE)</f>
        <v>0</v>
      </c>
      <c r="J183" s="28">
        <f>VLOOKUP($G183,装备属性计算表!$D$14:$O$19,装备属性计算表!G$2,FALSE)/装备属性计算表!G$20*VLOOKUP($H183&amp;$F183,$C$3:$P$28,H$1,FALSE)</f>
        <v>398.19773262032095</v>
      </c>
      <c r="K183" s="28">
        <f>VLOOKUP($G183,装备属性计算表!$D$14:$O$19,装备属性计算表!H$2,FALSE)/装备属性计算表!H$20*VLOOKUP($H183&amp;$F183,$C$3:$P$28,I$1,FALSE)</f>
        <v>47.79701906412479</v>
      </c>
      <c r="L183" s="28">
        <f>VLOOKUP($G183,装备属性计算表!$D$14:$O$19,装备属性计算表!I$2,FALSE)/装备属性计算表!I$20*VLOOKUP($H183&amp;$F183,$C$3:$P$28,J$1,FALSE)</f>
        <v>0</v>
      </c>
      <c r="M183" s="28">
        <f>VLOOKUP($G183,装备属性计算表!$D$14:$O$19,装备属性计算表!J$2,FALSE)/装备属性计算表!J$20*VLOOKUP($H183&amp;$F183,$C$3:$P$28,K$1,FALSE)</f>
        <v>173.61111111111109</v>
      </c>
      <c r="N183" s="28">
        <f>VLOOKUP($G183,装备属性计算表!$D$14:$O$19,装备属性计算表!K$2,FALSE)/装备属性计算表!K$20*VLOOKUP($H183&amp;$F183,$C$3:$P$28,L$1,FALSE)</f>
        <v>123.4567901234568</v>
      </c>
      <c r="O183" s="28">
        <f>VLOOKUP($G183,装备属性计算表!$D$14:$O$19,装备属性计算表!L$2,FALSE)/装备属性计算表!L$20*VLOOKUP($H183&amp;$F183,$C$3:$P$28,M$1,FALSE)</f>
        <v>0</v>
      </c>
      <c r="P183" s="28">
        <f>VLOOKUP($G183,装备属性计算表!$D$14:$O$19,装备属性计算表!M$2,FALSE)/装备属性计算表!M$20*VLOOKUP($H183&amp;$F183,$C$3:$P$28,N$1,FALSE)</f>
        <v>0</v>
      </c>
      <c r="Q183" s="28">
        <f>VLOOKUP($G183,装备属性计算表!$D$14:$O$19,装备属性计算表!N$2,FALSE)/装备属性计算表!N$20*VLOOKUP($H183&amp;$F183,$C$3:$P$28,O$1,FALSE)</f>
        <v>0</v>
      </c>
      <c r="R183" s="28">
        <f>VLOOKUP($G183,装备属性计算表!$D$14:$O$19,装备属性计算表!O$2,FALSE)/装备属性计算表!O$20*VLOOKUP($H183&amp;$F183,$C$3:$P$28,P$1,FALSE)</f>
        <v>0</v>
      </c>
      <c r="Y183" s="28">
        <f t="shared" si="69"/>
        <v>0</v>
      </c>
      <c r="Z183" s="28">
        <f t="shared" si="70"/>
        <v>0</v>
      </c>
      <c r="AA183" s="28">
        <f t="shared" si="81"/>
        <v>10</v>
      </c>
      <c r="AB183" s="28">
        <f t="shared" si="71"/>
        <v>0</v>
      </c>
      <c r="AC183" s="28">
        <f t="shared" si="72"/>
        <v>0</v>
      </c>
      <c r="AD183" s="28">
        <f t="shared" si="73"/>
        <v>291</v>
      </c>
      <c r="AE183" s="28">
        <f t="shared" si="74"/>
        <v>1455000</v>
      </c>
      <c r="AF183" s="28">
        <f t="shared" si="75"/>
        <v>4925</v>
      </c>
      <c r="AG183" s="28">
        <f t="shared" si="76"/>
        <v>88</v>
      </c>
      <c r="AH183" s="28">
        <f>IF(AG183&gt;0,VLOOKUP(G183,'价值&amp;消耗'!$U$173:$V$178,2,FALSE),0)</f>
        <v>70010</v>
      </c>
      <c r="AI183" s="28">
        <f t="shared" si="77"/>
        <v>4840</v>
      </c>
      <c r="AJ183" s="28">
        <f t="shared" si="78"/>
        <v>4</v>
      </c>
      <c r="AK183" s="28">
        <f>ROUND(IF(COUNTIF($I183:I183,"&gt;0")&gt;$AJ183,0,I183),0)</f>
        <v>0</v>
      </c>
      <c r="AL183" s="28">
        <f>ROUND(IF(COUNTIF($I183:J183,"&gt;0")&gt;$AJ183,0,J183),0)</f>
        <v>398</v>
      </c>
      <c r="AM183" s="28">
        <f>ROUND(IF(COUNTIF($I183:K183,"&gt;0")&gt;$AJ183,0,K183),0)</f>
        <v>48</v>
      </c>
      <c r="AN183" s="28">
        <f>ROUND(IF(COUNTIF($I183:L183,"&gt;0")&gt;$AJ183,0,L183),0)</f>
        <v>0</v>
      </c>
      <c r="AO183" s="28">
        <f>ROUND(IF(COUNTIF($I183:M183,"&gt;0")&gt;$AJ183,0,M183),0)</f>
        <v>174</v>
      </c>
      <c r="AP183" s="28">
        <f>ROUND(IF(COUNTIF($I183:N183,"&gt;0")&gt;$AJ183,0,N183),0)</f>
        <v>123</v>
      </c>
      <c r="AQ183" s="28">
        <f>ROUND(IF(COUNTIF($I183:O183,"&gt;0")&gt;$AJ183,0,O183),0)</f>
        <v>0</v>
      </c>
      <c r="AR183" s="28">
        <f>ROUND(IF(COUNTIF($I183:P183,"&gt;0")&gt;$AJ183,0,P183),0)</f>
        <v>0</v>
      </c>
      <c r="AS183" s="28">
        <f>IF(COUNTIF($I183:Q183,"&gt;0")&gt;$AJ183,0,Q183)</f>
        <v>0</v>
      </c>
      <c r="AT183" s="28">
        <f>IF(COUNTIF($I183:R183,"&gt;0")&gt;$AJ183,0,R183)</f>
        <v>0</v>
      </c>
      <c r="AU183" s="28">
        <f>SUMPRODUCT(AK183:AT183,定义数据!$G$14:$P$14)</f>
        <v>527.30000000000007</v>
      </c>
      <c r="AV183" s="28">
        <f t="shared" si="80"/>
        <v>26365</v>
      </c>
      <c r="AW183" s="28">
        <f t="shared" si="82"/>
        <v>26365</v>
      </c>
      <c r="AX183" s="28">
        <f t="shared" si="79"/>
        <v>1450075</v>
      </c>
      <c r="AY183" s="28">
        <f t="shared" si="83"/>
        <v>1450075</v>
      </c>
      <c r="AZ183" s="25">
        <f>AW183*55</f>
        <v>1450075</v>
      </c>
    </row>
    <row r="184" spans="3:52" x14ac:dyDescent="0.15">
      <c r="C184" s="28" t="str">
        <f>H184&amp;F184&amp;VLOOKUP(G184,定义数据!$E$1:$F$7,2,FALSE)</f>
        <v>8041</v>
      </c>
      <c r="D184" s="28"/>
      <c r="E184" s="28">
        <f>装备属性计算表!AK183</f>
        <v>27</v>
      </c>
      <c r="F184" s="28">
        <f>装备属性计算表!B183</f>
        <v>4</v>
      </c>
      <c r="G184" s="28" t="str">
        <f>装备属性计算表!C183</f>
        <v>衣服</v>
      </c>
      <c r="H184" s="28">
        <f>装备属性计算表!D183</f>
        <v>80</v>
      </c>
      <c r="I184" s="28">
        <f>VLOOKUP($G184,装备属性计算表!$D$14:$O$19,装备属性计算表!F$2,FALSE)/装备属性计算表!F$20*VLOOKUP($H184&amp;$F184,$C$3:$P$28,G$1,FALSE)</f>
        <v>4355.3510910933946</v>
      </c>
      <c r="J184" s="28">
        <f>VLOOKUP($G184,装备属性计算表!$D$14:$O$19,装备属性计算表!G$2,FALSE)/装备属性计算表!G$20*VLOOKUP($H184&amp;$F184,$C$3:$P$28,H$1,FALSE)</f>
        <v>0</v>
      </c>
      <c r="K184" s="28">
        <f>VLOOKUP($G184,装备属性计算表!$D$14:$O$19,装备属性计算表!H$2,FALSE)/装备属性计算表!H$20*VLOOKUP($H184&amp;$F184,$C$3:$P$28,I$1,FALSE)</f>
        <v>143.39105719237438</v>
      </c>
      <c r="L184" s="28">
        <f>VLOOKUP($G184,装备属性计算表!$D$14:$O$19,装备属性计算表!I$2,FALSE)/装备属性计算表!I$20*VLOOKUP($H184&amp;$F184,$C$3:$P$28,J$1,FALSE)</f>
        <v>104.16666666666666</v>
      </c>
      <c r="M184" s="28">
        <f>VLOOKUP($G184,装备属性计算表!$D$14:$O$19,装备属性计算表!J$2,FALSE)/装备属性计算表!J$20*VLOOKUP($H184&amp;$F184,$C$3:$P$28,K$1,FALSE)</f>
        <v>0</v>
      </c>
      <c r="N184" s="28">
        <f>VLOOKUP($G184,装备属性计算表!$D$14:$O$19,装备属性计算表!K$2,FALSE)/装备属性计算表!K$20*VLOOKUP($H184&amp;$F184,$C$3:$P$28,L$1,FALSE)</f>
        <v>0</v>
      </c>
      <c r="O184" s="28">
        <f>VLOOKUP($G184,装备属性计算表!$D$14:$O$19,装备属性计算表!L$2,FALSE)/装备属性计算表!L$20*VLOOKUP($H184&amp;$F184,$C$3:$P$28,M$1,FALSE)</f>
        <v>0</v>
      </c>
      <c r="P184" s="28">
        <f>VLOOKUP($G184,装备属性计算表!$D$14:$O$19,装备属性计算表!M$2,FALSE)/装备属性计算表!M$20*VLOOKUP($H184&amp;$F184,$C$3:$P$28,N$1,FALSE)</f>
        <v>102.88065843621399</v>
      </c>
      <c r="Q184" s="28">
        <f>VLOOKUP($G184,装备属性计算表!$D$14:$O$19,装备属性计算表!N$2,FALSE)/装备属性计算表!N$20*VLOOKUP($H184&amp;$F184,$C$3:$P$28,O$1,FALSE)</f>
        <v>0</v>
      </c>
      <c r="R184" s="28">
        <f>VLOOKUP($G184,装备属性计算表!$D$14:$O$19,装备属性计算表!O$2,FALSE)/装备属性计算表!O$20*VLOOKUP($H184&amp;$F184,$C$3:$P$28,P$1,FALSE)</f>
        <v>0</v>
      </c>
      <c r="Y184" s="28">
        <f t="shared" si="69"/>
        <v>0</v>
      </c>
      <c r="Z184" s="28">
        <f t="shared" si="70"/>
        <v>0</v>
      </c>
      <c r="AA184" s="28">
        <f t="shared" si="81"/>
        <v>10</v>
      </c>
      <c r="AB184" s="28">
        <f t="shared" si="71"/>
        <v>0</v>
      </c>
      <c r="AC184" s="28">
        <f t="shared" si="72"/>
        <v>0</v>
      </c>
      <c r="AD184" s="28">
        <f t="shared" si="73"/>
        <v>205</v>
      </c>
      <c r="AE184" s="28">
        <f t="shared" si="74"/>
        <v>1025000</v>
      </c>
      <c r="AF184" s="28">
        <f t="shared" si="75"/>
        <v>4475</v>
      </c>
      <c r="AG184" s="28">
        <f t="shared" si="76"/>
        <v>62</v>
      </c>
      <c r="AH184" s="28">
        <f>IF(AG184&gt;0,VLOOKUP(G184,'价值&amp;消耗'!$U$173:$V$178,2,FALSE),0)</f>
        <v>71010</v>
      </c>
      <c r="AI184" s="28">
        <f t="shared" si="77"/>
        <v>3410</v>
      </c>
      <c r="AJ184" s="28">
        <f t="shared" si="78"/>
        <v>4</v>
      </c>
      <c r="AK184" s="28">
        <f>ROUND(IF(COUNTIF($I184:I184,"&gt;0")&gt;$AJ184,0,I184),0)</f>
        <v>4355</v>
      </c>
      <c r="AL184" s="28">
        <f>ROUND(IF(COUNTIF($I184:J184,"&gt;0")&gt;$AJ184,0,J184),0)</f>
        <v>0</v>
      </c>
      <c r="AM184" s="28">
        <f>ROUND(IF(COUNTIF($I184:K184,"&gt;0")&gt;$AJ184,0,K184),0)</f>
        <v>143</v>
      </c>
      <c r="AN184" s="28">
        <f>ROUND(IF(COUNTIF($I184:L184,"&gt;0")&gt;$AJ184,0,L184),0)</f>
        <v>104</v>
      </c>
      <c r="AO184" s="28">
        <f>ROUND(IF(COUNTIF($I184:M184,"&gt;0")&gt;$AJ184,0,M184),0)</f>
        <v>0</v>
      </c>
      <c r="AP184" s="28">
        <f>ROUND(IF(COUNTIF($I184:N184,"&gt;0")&gt;$AJ184,0,N184),0)</f>
        <v>0</v>
      </c>
      <c r="AQ184" s="28">
        <f>ROUND(IF(COUNTIF($I184:O184,"&gt;0")&gt;$AJ184,0,O184),0)</f>
        <v>0</v>
      </c>
      <c r="AR184" s="28">
        <f>ROUND(IF(COUNTIF($I184:P184,"&gt;0")&gt;$AJ184,0,P184),0)</f>
        <v>103</v>
      </c>
      <c r="AS184" s="28">
        <f>IF(COUNTIF($I184:Q184,"&gt;0")&gt;$AJ184,0,Q184)</f>
        <v>0</v>
      </c>
      <c r="AT184" s="28">
        <f>IF(COUNTIF($I184:R184,"&gt;0")&gt;$AJ184,0,R184)</f>
        <v>0</v>
      </c>
      <c r="AU184" s="28">
        <f>SUMPRODUCT(AK184:AT184,定义数据!$G$14:$P$14)</f>
        <v>371.10000000000008</v>
      </c>
      <c r="AV184" s="28">
        <f t="shared" si="80"/>
        <v>18555</v>
      </c>
      <c r="AW184" s="28">
        <f t="shared" si="82"/>
        <v>18555</v>
      </c>
      <c r="AX184" s="28">
        <f t="shared" si="79"/>
        <v>1020525</v>
      </c>
      <c r="AY184" s="28">
        <f t="shared" si="83"/>
        <v>1020525</v>
      </c>
    </row>
    <row r="185" spans="3:52" x14ac:dyDescent="0.15">
      <c r="C185" s="28" t="str">
        <f>H185&amp;F185&amp;VLOOKUP(G185,定义数据!$E$1:$F$7,2,FALSE)</f>
        <v>8042</v>
      </c>
      <c r="D185" s="28"/>
      <c r="E185" s="28">
        <f>装备属性计算表!AK184</f>
        <v>27</v>
      </c>
      <c r="F185" s="28">
        <f>装备属性计算表!B184</f>
        <v>4</v>
      </c>
      <c r="G185" s="28" t="str">
        <f>装备属性计算表!C184</f>
        <v>裤子</v>
      </c>
      <c r="H185" s="28">
        <f>装备属性计算表!D184</f>
        <v>80</v>
      </c>
      <c r="I185" s="28">
        <f>VLOOKUP($G185,装备属性计算表!$D$14:$O$19,装备属性计算表!F$2,FALSE)/装备属性计算表!F$20*VLOOKUP($H185&amp;$F185,$C$3:$P$28,G$1,FALSE)</f>
        <v>2177.6755455466973</v>
      </c>
      <c r="J185" s="28">
        <f>VLOOKUP($G185,装备属性计算表!$D$14:$O$19,装备属性计算表!G$2,FALSE)/装备属性计算表!G$20*VLOOKUP($H185&amp;$F185,$C$3:$P$28,H$1,FALSE)</f>
        <v>0</v>
      </c>
      <c r="K185" s="28">
        <f>VLOOKUP($G185,装备属性计算表!$D$14:$O$19,装备属性计算表!H$2,FALSE)/装备属性计算表!H$20*VLOOKUP($H185&amp;$F185,$C$3:$P$28,I$1,FALSE)</f>
        <v>47.79701906412479</v>
      </c>
      <c r="L185" s="28">
        <f>VLOOKUP($G185,装备属性计算表!$D$14:$O$19,装备属性计算表!I$2,FALSE)/装备属性计算表!I$20*VLOOKUP($H185&amp;$F185,$C$3:$P$28,J$1,FALSE)</f>
        <v>104.16666666666666</v>
      </c>
      <c r="M185" s="28">
        <f>VLOOKUP($G185,装备属性计算表!$D$14:$O$19,装备属性计算表!J$2,FALSE)/装备属性计算表!J$20*VLOOKUP($H185&amp;$F185,$C$3:$P$28,K$1,FALSE)</f>
        <v>0</v>
      </c>
      <c r="N185" s="28">
        <f>VLOOKUP($G185,装备属性计算表!$D$14:$O$19,装备属性计算表!K$2,FALSE)/装备属性计算表!K$20*VLOOKUP($H185&amp;$F185,$C$3:$P$28,L$1,FALSE)</f>
        <v>0</v>
      </c>
      <c r="O185" s="28">
        <f>VLOOKUP($G185,装备属性计算表!$D$14:$O$19,装备属性计算表!L$2,FALSE)/装备属性计算表!L$20*VLOOKUP($H185&amp;$F185,$C$3:$P$28,M$1,FALSE)</f>
        <v>0</v>
      </c>
      <c r="P185" s="28">
        <f>VLOOKUP($G185,装备属性计算表!$D$14:$O$19,装备属性计算表!M$2,FALSE)/装备属性计算表!M$20*VLOOKUP($H185&amp;$F185,$C$3:$P$28,N$1,FALSE)</f>
        <v>102.88065843621399</v>
      </c>
      <c r="Q185" s="28">
        <f>VLOOKUP($G185,装备属性计算表!$D$14:$O$19,装备属性计算表!N$2,FALSE)/装备属性计算表!N$20*VLOOKUP($H185&amp;$F185,$C$3:$P$28,O$1,FALSE)</f>
        <v>0</v>
      </c>
      <c r="R185" s="28">
        <f>VLOOKUP($G185,装备属性计算表!$D$14:$O$19,装备属性计算表!O$2,FALSE)/装备属性计算表!O$20*VLOOKUP($H185&amp;$F185,$C$3:$P$28,P$1,FALSE)</f>
        <v>0</v>
      </c>
      <c r="Y185" s="28">
        <f t="shared" si="69"/>
        <v>0</v>
      </c>
      <c r="Z185" s="28">
        <f t="shared" si="70"/>
        <v>0</v>
      </c>
      <c r="AA185" s="28">
        <f t="shared" si="81"/>
        <v>10</v>
      </c>
      <c r="AB185" s="28">
        <f t="shared" si="71"/>
        <v>0</v>
      </c>
      <c r="AC185" s="28">
        <f t="shared" si="72"/>
        <v>0</v>
      </c>
      <c r="AD185" s="28">
        <f t="shared" si="73"/>
        <v>104</v>
      </c>
      <c r="AE185" s="28">
        <f t="shared" si="74"/>
        <v>520000</v>
      </c>
      <c r="AF185" s="28">
        <f t="shared" si="75"/>
        <v>195</v>
      </c>
      <c r="AG185" s="28">
        <f t="shared" si="76"/>
        <v>32</v>
      </c>
      <c r="AH185" s="28">
        <f>IF(AG185&gt;0,VLOOKUP(G185,'价值&amp;消耗'!$U$173:$V$178,2,FALSE),0)</f>
        <v>72010</v>
      </c>
      <c r="AI185" s="28">
        <f t="shared" si="77"/>
        <v>1760</v>
      </c>
      <c r="AJ185" s="28">
        <f t="shared" si="78"/>
        <v>4</v>
      </c>
      <c r="AK185" s="28">
        <f>ROUND(IF(COUNTIF($I185:I185,"&gt;0")&gt;$AJ185,0,I185),0)</f>
        <v>2178</v>
      </c>
      <c r="AL185" s="28">
        <f>ROUND(IF(COUNTIF($I185:J185,"&gt;0")&gt;$AJ185,0,J185),0)</f>
        <v>0</v>
      </c>
      <c r="AM185" s="28">
        <f>ROUND(IF(COUNTIF($I185:K185,"&gt;0")&gt;$AJ185,0,K185),0)</f>
        <v>48</v>
      </c>
      <c r="AN185" s="28">
        <f>ROUND(IF(COUNTIF($I185:L185,"&gt;0")&gt;$AJ185,0,L185),0)</f>
        <v>104</v>
      </c>
      <c r="AO185" s="28">
        <f>ROUND(IF(COUNTIF($I185:M185,"&gt;0")&gt;$AJ185,0,M185),0)</f>
        <v>0</v>
      </c>
      <c r="AP185" s="28">
        <f>ROUND(IF(COUNTIF($I185:N185,"&gt;0")&gt;$AJ185,0,N185),0)</f>
        <v>0</v>
      </c>
      <c r="AQ185" s="28">
        <f>ROUND(IF(COUNTIF($I185:O185,"&gt;0")&gt;$AJ185,0,O185),0)</f>
        <v>0</v>
      </c>
      <c r="AR185" s="28">
        <f>ROUND(IF(COUNTIF($I185:P185,"&gt;0")&gt;$AJ185,0,P185),0)</f>
        <v>103</v>
      </c>
      <c r="AS185" s="28">
        <f>IF(COUNTIF($I185:Q185,"&gt;0")&gt;$AJ185,0,Q185)</f>
        <v>0</v>
      </c>
      <c r="AT185" s="28">
        <f>IF(COUNTIF($I185:R185,"&gt;0")&gt;$AJ185,0,R185)</f>
        <v>0</v>
      </c>
      <c r="AU185" s="28">
        <f>SUMPRODUCT(AK185:AT185,定义数据!$G$14:$P$14)</f>
        <v>189.02</v>
      </c>
      <c r="AV185" s="28">
        <f t="shared" si="80"/>
        <v>9451</v>
      </c>
      <c r="AW185" s="28">
        <f t="shared" si="82"/>
        <v>9451</v>
      </c>
      <c r="AX185" s="28">
        <f t="shared" si="79"/>
        <v>519805</v>
      </c>
      <c r="AY185" s="28">
        <f t="shared" si="83"/>
        <v>519805</v>
      </c>
    </row>
    <row r="186" spans="3:52" x14ac:dyDescent="0.15">
      <c r="C186" s="28" t="str">
        <f>H186&amp;F186&amp;VLOOKUP(G186,定义数据!$E$1:$F$7,2,FALSE)</f>
        <v>8045</v>
      </c>
      <c r="D186" s="28"/>
      <c r="E186" s="28">
        <f>装备属性计算表!AK185</f>
        <v>27</v>
      </c>
      <c r="F186" s="28">
        <f>装备属性计算表!B185</f>
        <v>4</v>
      </c>
      <c r="G186" s="28" t="str">
        <f>装备属性计算表!C185</f>
        <v>鞋子</v>
      </c>
      <c r="H186" s="28">
        <f>装备属性计算表!D185</f>
        <v>80</v>
      </c>
      <c r="I186" s="28">
        <f>VLOOKUP($G186,装备属性计算表!$D$14:$O$19,装备属性计算表!F$2,FALSE)/装备属性计算表!F$20*VLOOKUP($H186&amp;$F186,$C$3:$P$28,G$1,FALSE)</f>
        <v>2177.6755455466973</v>
      </c>
      <c r="J186" s="28">
        <f>VLOOKUP($G186,装备属性计算表!$D$14:$O$19,装备属性计算表!G$2,FALSE)/装备属性计算表!G$20*VLOOKUP($H186&amp;$F186,$C$3:$P$28,H$1,FALSE)</f>
        <v>0</v>
      </c>
      <c r="K186" s="28">
        <f>VLOOKUP($G186,装备属性计算表!$D$14:$O$19,装备属性计算表!H$2,FALSE)/装备属性计算表!H$20*VLOOKUP($H186&amp;$F186,$C$3:$P$28,I$1,FALSE)</f>
        <v>0</v>
      </c>
      <c r="L186" s="28">
        <f>VLOOKUP($G186,装备属性计算表!$D$14:$O$19,装备属性计算表!I$2,FALSE)/装备属性计算表!I$20*VLOOKUP($H186&amp;$F186,$C$3:$P$28,J$1,FALSE)</f>
        <v>208.33333333333331</v>
      </c>
      <c r="M186" s="28">
        <f>VLOOKUP($G186,装备属性计算表!$D$14:$O$19,装备属性计算表!J$2,FALSE)/装备属性计算表!J$20*VLOOKUP($H186&amp;$F186,$C$3:$P$28,K$1,FALSE)</f>
        <v>173.61111111111109</v>
      </c>
      <c r="N186" s="28">
        <f>VLOOKUP($G186,装备属性计算表!$D$14:$O$19,装备属性计算表!K$2,FALSE)/装备属性计算表!K$20*VLOOKUP($H186&amp;$F186,$C$3:$P$28,L$1,FALSE)</f>
        <v>61.728395061728399</v>
      </c>
      <c r="O186" s="28">
        <f>VLOOKUP($G186,装备属性计算表!$D$14:$O$19,装备属性计算表!L$2,FALSE)/装备属性计算表!L$20*VLOOKUP($H186&amp;$F186,$C$3:$P$28,M$1,FALSE)</f>
        <v>0</v>
      </c>
      <c r="P186" s="28">
        <f>VLOOKUP($G186,装备属性计算表!$D$14:$O$19,装备属性计算表!M$2,FALSE)/装备属性计算表!M$20*VLOOKUP($H186&amp;$F186,$C$3:$P$28,N$1,FALSE)</f>
        <v>0</v>
      </c>
      <c r="Q186" s="28">
        <f>VLOOKUP($G186,装备属性计算表!$D$14:$O$19,装备属性计算表!N$2,FALSE)/装备属性计算表!N$20*VLOOKUP($H186&amp;$F186,$C$3:$P$28,O$1,FALSE)</f>
        <v>0</v>
      </c>
      <c r="R186" s="28">
        <f>VLOOKUP($G186,装备属性计算表!$D$14:$O$19,装备属性计算表!O$2,FALSE)/装备属性计算表!O$20*VLOOKUP($H186&amp;$F186,$C$3:$P$28,P$1,FALSE)</f>
        <v>0</v>
      </c>
      <c r="Y186" s="28">
        <f t="shared" si="69"/>
        <v>0</v>
      </c>
      <c r="Z186" s="28">
        <f t="shared" si="70"/>
        <v>0</v>
      </c>
      <c r="AA186" s="28">
        <f t="shared" si="81"/>
        <v>10</v>
      </c>
      <c r="AB186" s="28">
        <f t="shared" si="71"/>
        <v>0</v>
      </c>
      <c r="AC186" s="28">
        <f t="shared" si="72"/>
        <v>0</v>
      </c>
      <c r="AD186" s="28">
        <f t="shared" si="73"/>
        <v>126</v>
      </c>
      <c r="AE186" s="28">
        <f t="shared" si="74"/>
        <v>630000</v>
      </c>
      <c r="AF186" s="28">
        <f t="shared" si="75"/>
        <v>2560</v>
      </c>
      <c r="AG186" s="28">
        <f t="shared" si="76"/>
        <v>39</v>
      </c>
      <c r="AH186" s="28">
        <f>IF(AG186&gt;0,VLOOKUP(G186,'价值&amp;消耗'!$U$173:$V$178,2,FALSE),0)</f>
        <v>75010</v>
      </c>
      <c r="AI186" s="28">
        <f t="shared" si="77"/>
        <v>2145</v>
      </c>
      <c r="AJ186" s="28">
        <f t="shared" si="78"/>
        <v>4</v>
      </c>
      <c r="AK186" s="28">
        <f>ROUND(IF(COUNTIF($I186:I186,"&gt;0")&gt;$AJ186,0,I186),0)</f>
        <v>2178</v>
      </c>
      <c r="AL186" s="28">
        <f>ROUND(IF(COUNTIF($I186:J186,"&gt;0")&gt;$AJ186,0,J186),0)</f>
        <v>0</v>
      </c>
      <c r="AM186" s="28">
        <f>ROUND(IF(COUNTIF($I186:K186,"&gt;0")&gt;$AJ186,0,K186),0)</f>
        <v>0</v>
      </c>
      <c r="AN186" s="28">
        <f>ROUND(IF(COUNTIF($I186:L186,"&gt;0")&gt;$AJ186,0,L186),0)</f>
        <v>208</v>
      </c>
      <c r="AO186" s="28">
        <f>ROUND(IF(COUNTIF($I186:M186,"&gt;0")&gt;$AJ186,0,M186),0)</f>
        <v>174</v>
      </c>
      <c r="AP186" s="28">
        <f>ROUND(IF(COUNTIF($I186:N186,"&gt;0")&gt;$AJ186,0,N186),0)</f>
        <v>62</v>
      </c>
      <c r="AQ186" s="28">
        <f>ROUND(IF(COUNTIF($I186:O186,"&gt;0")&gt;$AJ186,0,O186),0)</f>
        <v>0</v>
      </c>
      <c r="AR186" s="28">
        <f>ROUND(IF(COUNTIF($I186:P186,"&gt;0")&gt;$AJ186,0,P186),0)</f>
        <v>0</v>
      </c>
      <c r="AS186" s="28">
        <f>IF(COUNTIF($I186:Q186,"&gt;0")&gt;$AJ186,0,Q186)</f>
        <v>0</v>
      </c>
      <c r="AT186" s="28">
        <f>IF(COUNTIF($I186:R186,"&gt;0")&gt;$AJ186,0,R186)</f>
        <v>0</v>
      </c>
      <c r="AU186" s="28">
        <f>SUMPRODUCT(AK186:AT186,定义数据!$G$14:$P$14)</f>
        <v>228.16</v>
      </c>
      <c r="AV186" s="28">
        <f t="shared" si="80"/>
        <v>11408</v>
      </c>
      <c r="AW186" s="28">
        <f t="shared" si="82"/>
        <v>11408</v>
      </c>
      <c r="AX186" s="28">
        <f t="shared" si="79"/>
        <v>627440</v>
      </c>
      <c r="AY186" s="28">
        <f t="shared" si="83"/>
        <v>627440</v>
      </c>
    </row>
    <row r="187" spans="3:52" x14ac:dyDescent="0.15">
      <c r="C187" s="28" t="str">
        <f>H187&amp;F187&amp;VLOOKUP(G187,定义数据!$E$1:$F$7,2,FALSE)</f>
        <v>8044</v>
      </c>
      <c r="D187" s="28"/>
      <c r="E187" s="28">
        <f>装备属性计算表!AK186</f>
        <v>27</v>
      </c>
      <c r="F187" s="28">
        <f>装备属性计算表!B186</f>
        <v>4</v>
      </c>
      <c r="G187" s="28" t="str">
        <f>装备属性计算表!C186</f>
        <v>腰带</v>
      </c>
      <c r="H187" s="28">
        <f>装备属性计算表!D186</f>
        <v>80</v>
      </c>
      <c r="I187" s="28">
        <f>VLOOKUP($G187,装备属性计算表!$D$14:$O$19,装备属性计算表!F$2,FALSE)/装备属性计算表!F$20*VLOOKUP($H187&amp;$F187,$C$3:$P$28,G$1,FALSE)</f>
        <v>4355.3510910933946</v>
      </c>
      <c r="J187" s="28">
        <f>VLOOKUP($G187,装备属性计算表!$D$14:$O$19,装备属性计算表!G$2,FALSE)/装备属性计算表!G$20*VLOOKUP($H187&amp;$F187,$C$3:$P$28,H$1,FALSE)</f>
        <v>132.732577540107</v>
      </c>
      <c r="K187" s="28">
        <f>VLOOKUP($G187,装备属性计算表!$D$14:$O$19,装备属性计算表!H$2,FALSE)/装备属性计算表!H$20*VLOOKUP($H187&amp;$F187,$C$3:$P$28,I$1,FALSE)</f>
        <v>47.79701906412479</v>
      </c>
      <c r="L187" s="28">
        <f>VLOOKUP($G187,装备属性计算表!$D$14:$O$19,装备属性计算表!I$2,FALSE)/装备属性计算表!I$20*VLOOKUP($H187&amp;$F187,$C$3:$P$28,J$1,FALSE)</f>
        <v>0</v>
      </c>
      <c r="M187" s="28">
        <f>VLOOKUP($G187,装备属性计算表!$D$14:$O$19,装备属性计算表!J$2,FALSE)/装备属性计算表!J$20*VLOOKUP($H187&amp;$F187,$C$3:$P$28,K$1,FALSE)</f>
        <v>0</v>
      </c>
      <c r="N187" s="28">
        <f>VLOOKUP($G187,装备属性计算表!$D$14:$O$19,装备属性计算表!K$2,FALSE)/装备属性计算表!K$20*VLOOKUP($H187&amp;$F187,$C$3:$P$28,L$1,FALSE)</f>
        <v>0</v>
      </c>
      <c r="O187" s="28">
        <f>VLOOKUP($G187,装备属性计算表!$D$14:$O$19,装备属性计算表!L$2,FALSE)/装备属性计算表!L$20*VLOOKUP($H187&amp;$F187,$C$3:$P$28,M$1,FALSE)</f>
        <v>0</v>
      </c>
      <c r="P187" s="28">
        <f>VLOOKUP($G187,装备属性计算表!$D$14:$O$19,装备属性计算表!M$2,FALSE)/装备属性计算表!M$20*VLOOKUP($H187&amp;$F187,$C$3:$P$28,N$1,FALSE)</f>
        <v>102.88065843621399</v>
      </c>
      <c r="Q187" s="28">
        <f>VLOOKUP($G187,装备属性计算表!$D$14:$O$19,装备属性计算表!N$2,FALSE)/装备属性计算表!N$20*VLOOKUP($H187&amp;$F187,$C$3:$P$28,O$1,FALSE)</f>
        <v>0</v>
      </c>
      <c r="R187" s="28">
        <f>VLOOKUP($G187,装备属性计算表!$D$14:$O$19,装备属性计算表!O$2,FALSE)/装备属性计算表!O$20*VLOOKUP($H187&amp;$F187,$C$3:$P$28,P$1,FALSE)</f>
        <v>0</v>
      </c>
      <c r="Y187" s="28">
        <f t="shared" si="69"/>
        <v>0</v>
      </c>
      <c r="Z187" s="28">
        <f t="shared" si="70"/>
        <v>0</v>
      </c>
      <c r="AA187" s="28">
        <f t="shared" si="81"/>
        <v>10</v>
      </c>
      <c r="AB187" s="28">
        <f t="shared" si="71"/>
        <v>0</v>
      </c>
      <c r="AC187" s="28">
        <f t="shared" si="72"/>
        <v>0</v>
      </c>
      <c r="AD187" s="28">
        <f t="shared" si="73"/>
        <v>206</v>
      </c>
      <c r="AE187" s="28">
        <f t="shared" si="74"/>
        <v>1030000</v>
      </c>
      <c r="AF187" s="28">
        <f t="shared" si="75"/>
        <v>2215</v>
      </c>
      <c r="AG187" s="28">
        <f t="shared" si="76"/>
        <v>63</v>
      </c>
      <c r="AH187" s="28">
        <f>IF(AG187&gt;0,VLOOKUP(G187,'价值&amp;消耗'!$U$173:$V$178,2,FALSE),0)</f>
        <v>74010</v>
      </c>
      <c r="AI187" s="28">
        <f t="shared" si="77"/>
        <v>3465</v>
      </c>
      <c r="AJ187" s="28">
        <f t="shared" si="78"/>
        <v>4</v>
      </c>
      <c r="AK187" s="28">
        <f>ROUND(IF(COUNTIF($I187:I187,"&gt;0")&gt;$AJ187,0,I187),0)</f>
        <v>4355</v>
      </c>
      <c r="AL187" s="28">
        <f>ROUND(IF(COUNTIF($I187:J187,"&gt;0")&gt;$AJ187,0,J187),0)</f>
        <v>133</v>
      </c>
      <c r="AM187" s="28">
        <f>ROUND(IF(COUNTIF($I187:K187,"&gt;0")&gt;$AJ187,0,K187),0)</f>
        <v>48</v>
      </c>
      <c r="AN187" s="28">
        <f>ROUND(IF(COUNTIF($I187:L187,"&gt;0")&gt;$AJ187,0,L187),0)</f>
        <v>0</v>
      </c>
      <c r="AO187" s="28">
        <f>ROUND(IF(COUNTIF($I187:M187,"&gt;0")&gt;$AJ187,0,M187),0)</f>
        <v>0</v>
      </c>
      <c r="AP187" s="28">
        <f>ROUND(IF(COUNTIF($I187:N187,"&gt;0")&gt;$AJ187,0,N187),0)</f>
        <v>0</v>
      </c>
      <c r="AQ187" s="28">
        <f>ROUND(IF(COUNTIF($I187:O187,"&gt;0")&gt;$AJ187,0,O187),0)</f>
        <v>0</v>
      </c>
      <c r="AR187" s="28">
        <f>ROUND(IF(COUNTIF($I187:P187,"&gt;0")&gt;$AJ187,0,P187),0)</f>
        <v>103</v>
      </c>
      <c r="AS187" s="28">
        <f>IF(COUNTIF($I187:Q187,"&gt;0")&gt;$AJ187,0,Q187)</f>
        <v>0</v>
      </c>
      <c r="AT187" s="28">
        <f>IF(COUNTIF($I187:R187,"&gt;0")&gt;$AJ187,0,R187)</f>
        <v>0</v>
      </c>
      <c r="AU187" s="28">
        <f>SUMPRODUCT(AK187:AT187,定义数据!$G$14:$P$14)</f>
        <v>373.74000000000007</v>
      </c>
      <c r="AV187" s="28">
        <f t="shared" si="80"/>
        <v>18687</v>
      </c>
      <c r="AW187" s="28">
        <f t="shared" si="82"/>
        <v>18687</v>
      </c>
      <c r="AX187" s="28">
        <f t="shared" si="79"/>
        <v>1027785</v>
      </c>
      <c r="AY187" s="28">
        <f t="shared" si="83"/>
        <v>1027785</v>
      </c>
    </row>
    <row r="188" spans="3:52" x14ac:dyDescent="0.15">
      <c r="C188" s="28" t="str">
        <f>H188&amp;F188&amp;VLOOKUP(G188,定义数据!$E$1:$F$7,2,FALSE)</f>
        <v>8043</v>
      </c>
      <c r="D188" s="28"/>
      <c r="E188" s="28">
        <f>装备属性计算表!AK187</f>
        <v>27</v>
      </c>
      <c r="F188" s="28">
        <f>装备属性计算表!B187</f>
        <v>4</v>
      </c>
      <c r="G188" s="28" t="str">
        <f>装备属性计算表!C187</f>
        <v>项链</v>
      </c>
      <c r="H188" s="28">
        <f>装备属性计算表!D187</f>
        <v>80</v>
      </c>
      <c r="I188" s="28">
        <f>VLOOKUP($G188,装备属性计算表!$D$14:$O$19,装备属性计算表!F$2,FALSE)/装备属性计算表!F$20*VLOOKUP($H188&amp;$F188,$C$3:$P$28,G$1,FALSE)</f>
        <v>0</v>
      </c>
      <c r="J188" s="28">
        <f>VLOOKUP($G188,装备属性计算表!$D$14:$O$19,装备属性计算表!G$2,FALSE)/装备属性计算表!G$20*VLOOKUP($H188&amp;$F188,$C$3:$P$28,H$1,FALSE)</f>
        <v>132.732577540107</v>
      </c>
      <c r="K188" s="28">
        <f>VLOOKUP($G188,装备属性计算表!$D$14:$O$19,装备属性计算表!H$2,FALSE)/装备属性计算表!H$20*VLOOKUP($H188&amp;$F188,$C$3:$P$28,I$1,FALSE)</f>
        <v>0</v>
      </c>
      <c r="L188" s="28">
        <f>VLOOKUP($G188,装备属性计算表!$D$14:$O$19,装备属性计算表!I$2,FALSE)/装备属性计算表!I$20*VLOOKUP($H188&amp;$F188,$C$3:$P$28,J$1,FALSE)</f>
        <v>104.16666666666666</v>
      </c>
      <c r="M188" s="28">
        <f>VLOOKUP($G188,装备属性计算表!$D$14:$O$19,装备属性计算表!J$2,FALSE)/装备属性计算表!J$20*VLOOKUP($H188&amp;$F188,$C$3:$P$28,K$1,FALSE)</f>
        <v>173.61111111111109</v>
      </c>
      <c r="N188" s="28">
        <f>VLOOKUP($G188,装备属性计算表!$D$14:$O$19,装备属性计算表!K$2,FALSE)/装备属性计算表!K$20*VLOOKUP($H188&amp;$F188,$C$3:$P$28,L$1,FALSE)</f>
        <v>123.4567901234568</v>
      </c>
      <c r="O188" s="28">
        <f>VLOOKUP($G188,装备属性计算表!$D$14:$O$19,装备属性计算表!L$2,FALSE)/装备属性计算表!L$20*VLOOKUP($H188&amp;$F188,$C$3:$P$28,M$1,FALSE)</f>
        <v>0</v>
      </c>
      <c r="P188" s="28">
        <f>VLOOKUP($G188,装备属性计算表!$D$14:$O$19,装备属性计算表!M$2,FALSE)/装备属性计算表!M$20*VLOOKUP($H188&amp;$F188,$C$3:$P$28,N$1,FALSE)</f>
        <v>0</v>
      </c>
      <c r="Q188" s="28">
        <f>VLOOKUP($G188,装备属性计算表!$D$14:$O$19,装备属性计算表!N$2,FALSE)/装备属性计算表!N$20*VLOOKUP($H188&amp;$F188,$C$3:$P$28,O$1,FALSE)</f>
        <v>0</v>
      </c>
      <c r="R188" s="28">
        <f>VLOOKUP($G188,装备属性计算表!$D$14:$O$19,装备属性计算表!O$2,FALSE)/装备属性计算表!O$20*VLOOKUP($H188&amp;$F188,$C$3:$P$28,P$1,FALSE)</f>
        <v>0</v>
      </c>
      <c r="X188" s="28">
        <f>SUM(AY183:AY188)</f>
        <v>5332195</v>
      </c>
      <c r="Y188" s="28">
        <f t="shared" si="69"/>
        <v>0</v>
      </c>
      <c r="Z188" s="28">
        <f t="shared" si="70"/>
        <v>0</v>
      </c>
      <c r="AA188" s="28">
        <f t="shared" si="81"/>
        <v>10</v>
      </c>
      <c r="AB188" s="28">
        <f t="shared" si="71"/>
        <v>0</v>
      </c>
      <c r="AC188" s="28">
        <f t="shared" si="72"/>
        <v>0</v>
      </c>
      <c r="AD188" s="28">
        <f t="shared" si="73"/>
        <v>138</v>
      </c>
      <c r="AE188" s="28">
        <f t="shared" si="74"/>
        <v>690000</v>
      </c>
      <c r="AF188" s="28">
        <f t="shared" si="75"/>
        <v>3435</v>
      </c>
      <c r="AG188" s="28">
        <f t="shared" si="76"/>
        <v>42</v>
      </c>
      <c r="AH188" s="28">
        <f>IF(AG188&gt;0,VLOOKUP(G188,'价值&amp;消耗'!$U$173:$V$178,2,FALSE),0)</f>
        <v>73010</v>
      </c>
      <c r="AI188" s="28">
        <f t="shared" si="77"/>
        <v>2310</v>
      </c>
      <c r="AJ188" s="28">
        <f t="shared" si="78"/>
        <v>4</v>
      </c>
      <c r="AK188" s="28">
        <f>ROUND(IF(COUNTIF($I188:I188,"&gt;0")&gt;$AJ188,0,I188),0)</f>
        <v>0</v>
      </c>
      <c r="AL188" s="28">
        <f>ROUND(IF(COUNTIF($I188:J188,"&gt;0")&gt;$AJ188,0,J188),0)</f>
        <v>133</v>
      </c>
      <c r="AM188" s="28">
        <f>ROUND(IF(COUNTIF($I188:K188,"&gt;0")&gt;$AJ188,0,K188),0)</f>
        <v>0</v>
      </c>
      <c r="AN188" s="28">
        <f>ROUND(IF(COUNTIF($I188:L188,"&gt;0")&gt;$AJ188,0,L188),0)</f>
        <v>104</v>
      </c>
      <c r="AO188" s="28">
        <f>ROUND(IF(COUNTIF($I188:M188,"&gt;0")&gt;$AJ188,0,M188),0)</f>
        <v>174</v>
      </c>
      <c r="AP188" s="28">
        <f>ROUND(IF(COUNTIF($I188:N188,"&gt;0")&gt;$AJ188,0,N188),0)</f>
        <v>123</v>
      </c>
      <c r="AQ188" s="28">
        <f>ROUND(IF(COUNTIF($I188:O188,"&gt;0")&gt;$AJ188,0,O188),0)</f>
        <v>0</v>
      </c>
      <c r="AR188" s="28">
        <f>ROUND(IF(COUNTIF($I188:P188,"&gt;0")&gt;$AJ188,0,P188),0)</f>
        <v>0</v>
      </c>
      <c r="AS188" s="28">
        <f>IF(COUNTIF($I188:Q188,"&gt;0")&gt;$AJ188,0,Q188)</f>
        <v>0</v>
      </c>
      <c r="AT188" s="28">
        <f>IF(COUNTIF($I188:R188,"&gt;0")&gt;$AJ188,0,R188)</f>
        <v>0</v>
      </c>
      <c r="AU188" s="28">
        <f>SUMPRODUCT(AK188:AT188,定义数据!$G$14:$P$14)</f>
        <v>249.66000000000003</v>
      </c>
      <c r="AV188" s="28">
        <f t="shared" si="80"/>
        <v>12483</v>
      </c>
      <c r="AW188" s="28">
        <f t="shared" si="82"/>
        <v>12483</v>
      </c>
      <c r="AX188" s="28">
        <f t="shared" si="79"/>
        <v>686565</v>
      </c>
      <c r="AY188" s="28">
        <f t="shared" si="83"/>
        <v>686565</v>
      </c>
      <c r="AZ188" s="96">
        <f>SUM(AY183:AY188)</f>
        <v>5332195</v>
      </c>
    </row>
    <row r="191" spans="3:52" x14ac:dyDescent="0.15">
      <c r="Z191" s="25" t="str">
        <f t="shared" ref="Z191:Z196" si="84">G129</f>
        <v>武器</v>
      </c>
      <c r="AA191" t="str">
        <f>Z191&amp;"材料"</f>
        <v>武器材料</v>
      </c>
      <c r="AB191">
        <f t="shared" ref="AB191:AB196" si="85">AI129</f>
        <v>2365</v>
      </c>
    </row>
    <row r="192" spans="3:52" x14ac:dyDescent="0.15">
      <c r="Z192" s="25" t="str">
        <f t="shared" si="84"/>
        <v>衣服</v>
      </c>
      <c r="AA192" t="str">
        <f t="shared" ref="AA192:AA196" si="86">Z192&amp;"材料"</f>
        <v>衣服材料</v>
      </c>
      <c r="AB192">
        <f t="shared" si="85"/>
        <v>1650</v>
      </c>
    </row>
    <row r="193" spans="26:28" x14ac:dyDescent="0.15">
      <c r="Z193" s="25" t="str">
        <f t="shared" si="84"/>
        <v>裤子</v>
      </c>
      <c r="AA193" t="str">
        <f t="shared" si="86"/>
        <v>裤子材料</v>
      </c>
      <c r="AB193">
        <f t="shared" si="85"/>
        <v>825</v>
      </c>
    </row>
    <row r="194" spans="26:28" x14ac:dyDescent="0.15">
      <c r="Z194" s="25" t="str">
        <f t="shared" si="84"/>
        <v>鞋子</v>
      </c>
      <c r="AA194" t="str">
        <f t="shared" si="86"/>
        <v>鞋子材料</v>
      </c>
      <c r="AB194">
        <f t="shared" si="85"/>
        <v>1045</v>
      </c>
    </row>
    <row r="195" spans="26:28" x14ac:dyDescent="0.15">
      <c r="Z195" s="25" t="str">
        <f t="shared" si="84"/>
        <v>腰带</v>
      </c>
      <c r="AA195" t="str">
        <f t="shared" si="86"/>
        <v>腰带材料</v>
      </c>
      <c r="AB195">
        <f t="shared" si="85"/>
        <v>1705</v>
      </c>
    </row>
    <row r="196" spans="26:28" x14ac:dyDescent="0.15">
      <c r="Z196" s="25" t="str">
        <f t="shared" si="84"/>
        <v>项链</v>
      </c>
      <c r="AA196" t="str">
        <f t="shared" si="86"/>
        <v>项链材料</v>
      </c>
      <c r="AB196">
        <f t="shared" si="85"/>
        <v>1100</v>
      </c>
    </row>
  </sheetData>
  <phoneticPr fontId="1" type="noConversion"/>
  <conditionalFormatting sqref="I33:R56 I69:R188">
    <cfRule type="cellIs" dxfId="146" priority="113" operator="greaterThan">
      <formula>0</formula>
    </cfRule>
  </conditionalFormatting>
  <conditionalFormatting sqref="E33:E56 E69:E188">
    <cfRule type="expression" dxfId="145" priority="108">
      <formula>$D33=5</formula>
    </cfRule>
    <cfRule type="expression" dxfId="144" priority="109">
      <formula>$D33=4</formula>
    </cfRule>
    <cfRule type="expression" dxfId="143" priority="110">
      <formula>$D33=3</formula>
    </cfRule>
    <cfRule type="expression" dxfId="142" priority="111">
      <formula>$D33=2</formula>
    </cfRule>
    <cfRule type="expression" dxfId="141" priority="112">
      <formula>$D33=1</formula>
    </cfRule>
  </conditionalFormatting>
  <conditionalFormatting sqref="C33:R56 Y135:AJ188 X33:AV33 X75:AJ134 AK75:AU188 X34:AU56 AV34:AV38 AW33:AY38 AV39:AY56 AV69:AY188 X69:AU74 C69:R188">
    <cfRule type="expression" dxfId="140" priority="103">
      <formula>$F33=4</formula>
    </cfRule>
    <cfRule type="expression" dxfId="139" priority="104">
      <formula>$F33=3</formula>
    </cfRule>
    <cfRule type="expression" dxfId="138" priority="105">
      <formula>$F33=2</formula>
    </cfRule>
    <cfRule type="expression" dxfId="137" priority="106">
      <formula>$F33=1</formula>
    </cfRule>
    <cfRule type="expression" dxfId="136" priority="107">
      <formula>$F33=0</formula>
    </cfRule>
  </conditionalFormatting>
  <conditionalFormatting sqref="D29 C3:P6 C9:P28">
    <cfRule type="expression" dxfId="135" priority="93">
      <formula>$E3=4</formula>
    </cfRule>
    <cfRule type="expression" dxfId="134" priority="94">
      <formula>$E3=3</formula>
    </cfRule>
    <cfRule type="expression" dxfId="133" priority="95">
      <formula>$E3=2</formula>
    </cfRule>
    <cfRule type="expression" dxfId="132" priority="96">
      <formula>$E3=1</formula>
    </cfRule>
    <cfRule type="expression" dxfId="131" priority="97">
      <formula>$E3=0</formula>
    </cfRule>
  </conditionalFormatting>
  <conditionalFormatting sqref="X140">
    <cfRule type="expression" dxfId="130" priority="78">
      <formula>$F140=4</formula>
    </cfRule>
    <cfRule type="expression" dxfId="129" priority="79">
      <formula>$F140=3</formula>
    </cfRule>
    <cfRule type="expression" dxfId="128" priority="80">
      <formula>$F140=2</formula>
    </cfRule>
    <cfRule type="expression" dxfId="127" priority="81">
      <formula>$F140=1</formula>
    </cfRule>
    <cfRule type="expression" dxfId="126" priority="82">
      <formula>$F140=0</formula>
    </cfRule>
  </conditionalFormatting>
  <conditionalFormatting sqref="X146">
    <cfRule type="expression" dxfId="125" priority="73">
      <formula>$F146=4</formula>
    </cfRule>
    <cfRule type="expression" dxfId="124" priority="74">
      <formula>$F146=3</formula>
    </cfRule>
    <cfRule type="expression" dxfId="123" priority="75">
      <formula>$F146=2</formula>
    </cfRule>
    <cfRule type="expression" dxfId="122" priority="76">
      <formula>$F146=1</formula>
    </cfRule>
    <cfRule type="expression" dxfId="121" priority="77">
      <formula>$F146=0</formula>
    </cfRule>
  </conditionalFormatting>
  <conditionalFormatting sqref="X152">
    <cfRule type="expression" dxfId="120" priority="68">
      <formula>$F152=4</formula>
    </cfRule>
    <cfRule type="expression" dxfId="119" priority="69">
      <formula>$F152=3</formula>
    </cfRule>
    <cfRule type="expression" dxfId="118" priority="70">
      <formula>$F152=2</formula>
    </cfRule>
    <cfRule type="expression" dxfId="117" priority="71">
      <formula>$F152=1</formula>
    </cfRule>
    <cfRule type="expression" dxfId="116" priority="72">
      <formula>$F152=0</formula>
    </cfRule>
  </conditionalFormatting>
  <conditionalFormatting sqref="X164">
    <cfRule type="expression" dxfId="115" priority="63">
      <formula>$F164=4</formula>
    </cfRule>
    <cfRule type="expression" dxfId="114" priority="64">
      <formula>$F164=3</formula>
    </cfRule>
    <cfRule type="expression" dxfId="113" priority="65">
      <formula>$F164=2</formula>
    </cfRule>
    <cfRule type="expression" dxfId="112" priority="66">
      <formula>$F164=1</formula>
    </cfRule>
    <cfRule type="expression" dxfId="111" priority="67">
      <formula>$F164=0</formula>
    </cfRule>
  </conditionalFormatting>
  <conditionalFormatting sqref="X158">
    <cfRule type="expression" dxfId="110" priority="58">
      <formula>$F158=4</formula>
    </cfRule>
    <cfRule type="expression" dxfId="109" priority="59">
      <formula>$F158=3</formula>
    </cfRule>
    <cfRule type="expression" dxfId="108" priority="60">
      <formula>$F158=2</formula>
    </cfRule>
    <cfRule type="expression" dxfId="107" priority="61">
      <formula>$F158=1</formula>
    </cfRule>
    <cfRule type="expression" dxfId="106" priority="62">
      <formula>$F158=0</formula>
    </cfRule>
  </conditionalFormatting>
  <conditionalFormatting sqref="X170">
    <cfRule type="expression" dxfId="105" priority="53">
      <formula>$F170=4</formula>
    </cfRule>
    <cfRule type="expression" dxfId="104" priority="54">
      <formula>$F170=3</formula>
    </cfRule>
    <cfRule type="expression" dxfId="103" priority="55">
      <formula>$F170=2</formula>
    </cfRule>
    <cfRule type="expression" dxfId="102" priority="56">
      <formula>$F170=1</formula>
    </cfRule>
    <cfRule type="expression" dxfId="101" priority="57">
      <formula>$F170=0</formula>
    </cfRule>
  </conditionalFormatting>
  <conditionalFormatting sqref="X176">
    <cfRule type="expression" dxfId="100" priority="48">
      <formula>$F176=4</formula>
    </cfRule>
    <cfRule type="expression" dxfId="99" priority="49">
      <formula>$F176=3</formula>
    </cfRule>
    <cfRule type="expression" dxfId="98" priority="50">
      <formula>$F176=2</formula>
    </cfRule>
    <cfRule type="expression" dxfId="97" priority="51">
      <formula>$F176=1</formula>
    </cfRule>
    <cfRule type="expression" dxfId="96" priority="52">
      <formula>$F176=0</formula>
    </cfRule>
  </conditionalFormatting>
  <conditionalFormatting sqref="X182">
    <cfRule type="expression" dxfId="95" priority="43">
      <formula>$F182=4</formula>
    </cfRule>
    <cfRule type="expression" dxfId="94" priority="44">
      <formula>$F182=3</formula>
    </cfRule>
    <cfRule type="expression" dxfId="93" priority="45">
      <formula>$F182=2</formula>
    </cfRule>
    <cfRule type="expression" dxfId="92" priority="46">
      <formula>$F182=1</formula>
    </cfRule>
    <cfRule type="expression" dxfId="91" priority="47">
      <formula>$F182=0</formula>
    </cfRule>
  </conditionalFormatting>
  <conditionalFormatting sqref="X188">
    <cfRule type="expression" dxfId="90" priority="38">
      <formula>$F188=4</formula>
    </cfRule>
    <cfRule type="expression" dxfId="89" priority="39">
      <formula>$F188=3</formula>
    </cfRule>
    <cfRule type="expression" dxfId="88" priority="40">
      <formula>$F188=2</formula>
    </cfRule>
    <cfRule type="expression" dxfId="87" priority="41">
      <formula>$F188=1</formula>
    </cfRule>
    <cfRule type="expression" dxfId="86" priority="42">
      <formula>$F188=0</formula>
    </cfRule>
  </conditionalFormatting>
  <conditionalFormatting sqref="I57:R62">
    <cfRule type="cellIs" dxfId="85" priority="32" operator="greaterThan">
      <formula>0</formula>
    </cfRule>
  </conditionalFormatting>
  <conditionalFormatting sqref="E57:E62">
    <cfRule type="expression" dxfId="84" priority="27">
      <formula>$D57=5</formula>
    </cfRule>
    <cfRule type="expression" dxfId="83" priority="28">
      <formula>$D57=4</formula>
    </cfRule>
    <cfRule type="expression" dxfId="82" priority="29">
      <formula>$D57=3</formula>
    </cfRule>
    <cfRule type="expression" dxfId="81" priority="30">
      <formula>$D57=2</formula>
    </cfRule>
    <cfRule type="expression" dxfId="80" priority="31">
      <formula>$D57=1</formula>
    </cfRule>
  </conditionalFormatting>
  <conditionalFormatting sqref="C57:R62 X57:AY62">
    <cfRule type="expression" dxfId="79" priority="22">
      <formula>$F57=4</formula>
    </cfRule>
    <cfRule type="expression" dxfId="78" priority="23">
      <formula>$F57=3</formula>
    </cfRule>
    <cfRule type="expression" dxfId="77" priority="24">
      <formula>$F57=2</formula>
    </cfRule>
    <cfRule type="expression" dxfId="76" priority="25">
      <formula>$F57=1</formula>
    </cfRule>
    <cfRule type="expression" dxfId="75" priority="26">
      <formula>$F57=0</formula>
    </cfRule>
  </conditionalFormatting>
  <conditionalFormatting sqref="C7:P7">
    <cfRule type="expression" dxfId="74" priority="17">
      <formula>$E7=4</formula>
    </cfRule>
    <cfRule type="expression" dxfId="73" priority="18">
      <formula>$E7=3</formula>
    </cfRule>
    <cfRule type="expression" dxfId="72" priority="19">
      <formula>$E7=2</formula>
    </cfRule>
    <cfRule type="expression" dxfId="71" priority="20">
      <formula>$E7=1</formula>
    </cfRule>
    <cfRule type="expression" dxfId="70" priority="21">
      <formula>$E7=0</formula>
    </cfRule>
  </conditionalFormatting>
  <conditionalFormatting sqref="C8:P8">
    <cfRule type="expression" dxfId="69" priority="12">
      <formula>$E8=4</formula>
    </cfRule>
    <cfRule type="expression" dxfId="68" priority="13">
      <formula>$E8=3</formula>
    </cfRule>
    <cfRule type="expression" dxfId="67" priority="14">
      <formula>$E8=2</formula>
    </cfRule>
    <cfRule type="expression" dxfId="66" priority="15">
      <formula>$E8=1</formula>
    </cfRule>
    <cfRule type="expression" dxfId="65" priority="16">
      <formula>$E8=0</formula>
    </cfRule>
  </conditionalFormatting>
  <conditionalFormatting sqref="I63:R68">
    <cfRule type="cellIs" dxfId="64" priority="11" operator="greaterThan">
      <formula>0</formula>
    </cfRule>
  </conditionalFormatting>
  <conditionalFormatting sqref="E63:E68">
    <cfRule type="expression" dxfId="63" priority="6">
      <formula>$D63=5</formula>
    </cfRule>
    <cfRule type="expression" dxfId="62" priority="7">
      <formula>$D63=4</formula>
    </cfRule>
    <cfRule type="expression" dxfId="61" priority="8">
      <formula>$D63=3</formula>
    </cfRule>
    <cfRule type="expression" dxfId="60" priority="9">
      <formula>$D63=2</formula>
    </cfRule>
    <cfRule type="expression" dxfId="59" priority="10">
      <formula>$D63=1</formula>
    </cfRule>
  </conditionalFormatting>
  <conditionalFormatting sqref="C63:R68 X63:AY68">
    <cfRule type="expression" dxfId="58" priority="1">
      <formula>$F63=4</formula>
    </cfRule>
    <cfRule type="expression" dxfId="57" priority="2">
      <formula>$F63=3</formula>
    </cfRule>
    <cfRule type="expression" dxfId="56" priority="3">
      <formula>$F63=2</formula>
    </cfRule>
    <cfRule type="expression" dxfId="55" priority="4">
      <formula>$F63=1</formula>
    </cfRule>
    <cfRule type="expression" dxfId="54" priority="5">
      <formula>$F63=0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7"/>
  <sheetViews>
    <sheetView workbookViewId="0">
      <selection activeCell="J26" sqref="J26"/>
    </sheetView>
  </sheetViews>
  <sheetFormatPr defaultRowHeight="13.5" x14ac:dyDescent="0.15"/>
  <cols>
    <col min="3" max="3" width="15.375" customWidth="1"/>
    <col min="6" max="6" width="14.875" customWidth="1"/>
    <col min="7" max="7" width="18.375" bestFit="1" customWidth="1"/>
    <col min="8" max="8" width="12.75" bestFit="1" customWidth="1"/>
    <col min="11" max="11" width="12.25" customWidth="1"/>
  </cols>
  <sheetData>
    <row r="1" spans="2:12" x14ac:dyDescent="0.15">
      <c r="C1" s="5" t="s">
        <v>149</v>
      </c>
      <c r="D1" s="5">
        <v>5</v>
      </c>
      <c r="E1" s="5"/>
      <c r="F1" s="5"/>
      <c r="G1" s="5" t="s">
        <v>150</v>
      </c>
      <c r="H1" s="5">
        <f>1/6</f>
        <v>0.16666666666666666</v>
      </c>
      <c r="I1" s="5"/>
      <c r="J1" s="5" t="s">
        <v>151</v>
      </c>
      <c r="K1" s="5">
        <v>6</v>
      </c>
    </row>
    <row r="2" spans="2:12" x14ac:dyDescent="0.15">
      <c r="B2" s="5"/>
      <c r="C2" s="5" t="str">
        <f>[3]装备规划!E111</f>
        <v>装备等级</v>
      </c>
      <c r="D2" s="5" t="str">
        <f>[3]装备规划!F111</f>
        <v>品质</v>
      </c>
      <c r="E2" s="5" t="str">
        <f>[3]装备规划!G111</f>
        <v>属性</v>
      </c>
      <c r="F2" s="5" t="s">
        <v>152</v>
      </c>
      <c r="G2" s="35" t="s">
        <v>153</v>
      </c>
      <c r="H2" s="5" t="s">
        <v>154</v>
      </c>
    </row>
    <row r="3" spans="2:12" x14ac:dyDescent="0.15">
      <c r="B3" s="5" t="str">
        <f>[3]装备规划!D112</f>
        <v>50</v>
      </c>
      <c r="C3" s="5">
        <f>[3]装备规划!E112</f>
        <v>5</v>
      </c>
      <c r="D3" s="14">
        <f>[3]装备规划!F112</f>
        <v>0</v>
      </c>
      <c r="E3" s="5">
        <f>[3]装备规划!G112</f>
        <v>0.05</v>
      </c>
      <c r="F3" s="5"/>
      <c r="G3" s="28"/>
      <c r="H3" s="5"/>
    </row>
    <row r="4" spans="2:12" x14ac:dyDescent="0.15">
      <c r="B4" s="5" t="str">
        <f>[3]装备规划!D113</f>
        <v>51</v>
      </c>
      <c r="C4" s="5">
        <f>[3]装备规划!E113</f>
        <v>5</v>
      </c>
      <c r="D4" s="14">
        <f>[3]装备规划!F113</f>
        <v>1</v>
      </c>
      <c r="E4" s="5">
        <f>[3]装备规划!G113</f>
        <v>7.5000000000000011E-2</v>
      </c>
      <c r="F4" s="12">
        <f>VLOOKUP(C4,[3]!躶体属性参考系,5,FALSE)*E4</f>
        <v>19.036980000000003</v>
      </c>
      <c r="G4" s="33">
        <f t="shared" ref="G4:G19" si="0">SUMPRODUCT($L$5:$L$14*F4)*$D$1</f>
        <v>2055.8181918210753</v>
      </c>
      <c r="H4" s="12">
        <f t="shared" ref="H4:H19" si="1">G4*$K$1</f>
        <v>12334.909150926451</v>
      </c>
      <c r="L4" t="s">
        <v>155</v>
      </c>
    </row>
    <row r="5" spans="2:12" x14ac:dyDescent="0.15">
      <c r="B5" s="5" t="str">
        <f>[3]装备规划!D114</f>
        <v>151</v>
      </c>
      <c r="C5" s="5">
        <f>[3]装备规划!E114</f>
        <v>15</v>
      </c>
      <c r="D5" s="14">
        <f>[3]装备规划!F114</f>
        <v>1</v>
      </c>
      <c r="E5" s="5">
        <f>[3]装备规划!G114</f>
        <v>0.15000000000000002</v>
      </c>
      <c r="F5" s="12">
        <f>VLOOKUP(C5,[3]!躶体属性参考系,5,FALSE)*E5</f>
        <v>61.473960000000005</v>
      </c>
      <c r="G5" s="33">
        <f t="shared" si="0"/>
        <v>6638.6204792609487</v>
      </c>
      <c r="H5" s="12">
        <f t="shared" si="1"/>
        <v>39831.722875565691</v>
      </c>
      <c r="K5" s="5">
        <v>1</v>
      </c>
      <c r="L5" s="5">
        <f>EXP(K5*0.1279)</f>
        <v>1.1364393530793662</v>
      </c>
    </row>
    <row r="6" spans="2:12" x14ac:dyDescent="0.15">
      <c r="B6" s="5" t="str">
        <f>[3]装备规划!D115</f>
        <v>152</v>
      </c>
      <c r="C6" s="5">
        <f>[3]装备规划!E115</f>
        <v>15</v>
      </c>
      <c r="D6" s="14">
        <f>[3]装备规划!F115</f>
        <v>2</v>
      </c>
      <c r="E6" s="5">
        <f>[3]装备规划!G115</f>
        <v>0.2166666666666667</v>
      </c>
      <c r="F6" s="12">
        <f>VLOOKUP(C6,[3]!躶体属性参考系,5,FALSE)*E6</f>
        <v>88.795720000000003</v>
      </c>
      <c r="G6" s="33">
        <f t="shared" si="0"/>
        <v>9589.1184700435915</v>
      </c>
      <c r="H6" s="12">
        <f t="shared" si="1"/>
        <v>57534.710820261549</v>
      </c>
      <c r="K6" s="5">
        <v>2</v>
      </c>
      <c r="L6" s="5">
        <f t="shared" ref="L6:L14" si="2">EXP(K6*0.1279)</f>
        <v>1.2914944032274485</v>
      </c>
    </row>
    <row r="7" spans="2:12" x14ac:dyDescent="0.15">
      <c r="B7" s="5" t="str">
        <f>[3]装备规划!D116</f>
        <v>153</v>
      </c>
      <c r="C7" s="5">
        <f>[3]装备规划!E116</f>
        <v>15</v>
      </c>
      <c r="D7" s="14">
        <f>[3]装备规划!F116</f>
        <v>3</v>
      </c>
      <c r="E7" s="5">
        <f>[3]装备规划!G116</f>
        <v>0.28333333333333338</v>
      </c>
      <c r="F7" s="12">
        <f>VLOOKUP(C7,[3]!躶体属性参考系,5,FALSE)*E7</f>
        <v>116.11748000000001</v>
      </c>
      <c r="G7" s="33">
        <f t="shared" ref="G7" si="3">SUMPRODUCT($L$5:$L$14*F7)*$D$1</f>
        <v>12539.616460826237</v>
      </c>
      <c r="H7" s="12">
        <f t="shared" ref="H7" si="4">G7*$K$1</f>
        <v>75237.698764957429</v>
      </c>
      <c r="K7" s="5">
        <v>3</v>
      </c>
      <c r="L7" s="5">
        <f t="shared" si="2"/>
        <v>1.4677050641094236</v>
      </c>
    </row>
    <row r="8" spans="2:12" x14ac:dyDescent="0.15">
      <c r="B8" s="5" t="str">
        <f>[3]装备规划!D117</f>
        <v>154</v>
      </c>
      <c r="C8" s="5">
        <f>[3]装备规划!E117</f>
        <v>15</v>
      </c>
      <c r="D8" s="14">
        <f>[3]装备规划!F117</f>
        <v>4</v>
      </c>
      <c r="E8" s="5">
        <f>[3]装备规划!G117</f>
        <v>0.33333333333333337</v>
      </c>
      <c r="F8" s="12">
        <f>VLOOKUP(C8,[3]!躶体属性参考系,5,FALSE)*E8</f>
        <v>136.6088</v>
      </c>
      <c r="G8" s="33">
        <f t="shared" ref="G8" si="5">SUMPRODUCT($L$5:$L$14*F8)*$D$1</f>
        <v>14752.489953913218</v>
      </c>
      <c r="H8" s="12">
        <f t="shared" ref="H8" si="6">G8*$K$1</f>
        <v>88514.939723479314</v>
      </c>
      <c r="K8" s="5">
        <v>4</v>
      </c>
      <c r="L8" s="5">
        <f t="shared" si="2"/>
        <v>1.6679577935678229</v>
      </c>
    </row>
    <row r="9" spans="2:12" x14ac:dyDescent="0.15">
      <c r="B9" s="5" t="str">
        <f>[3]装备规划!D118</f>
        <v>301</v>
      </c>
      <c r="C9" s="5">
        <f>[3]装备规划!E118</f>
        <v>30</v>
      </c>
      <c r="D9" s="14">
        <f>[3]装备规划!F118</f>
        <v>1</v>
      </c>
      <c r="E9" s="5">
        <f>[3]装备规划!G118</f>
        <v>0.30000000000000004</v>
      </c>
      <c r="F9" s="12">
        <f>VLOOKUP(C9,[3]!躶体属性参考系,5,FALSE)*E9</f>
        <v>195.48792000000009</v>
      </c>
      <c r="G9" s="33">
        <f t="shared" si="0"/>
        <v>21110.891654940184</v>
      </c>
      <c r="H9" s="12">
        <f t="shared" si="1"/>
        <v>126665.3499296411</v>
      </c>
      <c r="K9" s="5">
        <v>5</v>
      </c>
      <c r="L9" s="5">
        <f t="shared" si="2"/>
        <v>1.8955328758859038</v>
      </c>
    </row>
    <row r="10" spans="2:12" x14ac:dyDescent="0.15">
      <c r="B10" s="5" t="str">
        <f>[3]装备规划!D119</f>
        <v>302</v>
      </c>
      <c r="C10" s="5">
        <f>[3]装备规划!E119</f>
        <v>30</v>
      </c>
      <c r="D10" s="14">
        <f>[3]装备规划!F119</f>
        <v>2</v>
      </c>
      <c r="E10" s="5">
        <f>[3]装备规划!G119</f>
        <v>0.4333333333333334</v>
      </c>
      <c r="F10" s="12">
        <f>VLOOKUP(C10,[3]!躶体属性参考系,5,FALSE)*E10</f>
        <v>282.37144000000012</v>
      </c>
      <c r="G10" s="33">
        <f t="shared" si="0"/>
        <v>30493.510168246932</v>
      </c>
      <c r="H10" s="12">
        <f t="shared" si="1"/>
        <v>182961.06100948161</v>
      </c>
      <c r="K10" s="5">
        <v>6</v>
      </c>
      <c r="L10" s="5">
        <f t="shared" si="2"/>
        <v>2.1541581552124471</v>
      </c>
    </row>
    <row r="11" spans="2:12" x14ac:dyDescent="0.15">
      <c r="B11" s="5" t="str">
        <f>[3]装备规划!D120</f>
        <v>303</v>
      </c>
      <c r="C11" s="5">
        <f>[3]装备规划!E120</f>
        <v>30</v>
      </c>
      <c r="D11" s="14">
        <f>[3]装备规划!F120</f>
        <v>3</v>
      </c>
      <c r="E11" s="5">
        <f>[3]装备规划!G120</f>
        <v>0.56666666666666676</v>
      </c>
      <c r="F11" s="12">
        <f>VLOOKUP(C11,[3]!躶体属性参考系,5,FALSE)*E11</f>
        <v>369.25496000000021</v>
      </c>
      <c r="G11" s="33">
        <f t="shared" si="0"/>
        <v>39876.128681553681</v>
      </c>
      <c r="H11" s="12">
        <f t="shared" si="1"/>
        <v>239256.7720893221</v>
      </c>
      <c r="K11" s="5">
        <v>7</v>
      </c>
      <c r="L11" s="5">
        <f t="shared" si="2"/>
        <v>2.4480701003402743</v>
      </c>
    </row>
    <row r="12" spans="2:12" x14ac:dyDescent="0.15">
      <c r="B12" s="5" t="str">
        <f>[3]装备规划!D121</f>
        <v>304</v>
      </c>
      <c r="C12" s="5">
        <f>[3]装备规划!E121</f>
        <v>30</v>
      </c>
      <c r="D12" s="14">
        <f>[3]装备规划!F121</f>
        <v>4</v>
      </c>
      <c r="E12" s="5">
        <f>[3]装备规划!G121</f>
        <v>0.66666666666666674</v>
      </c>
      <c r="F12" s="12">
        <f>VLOOKUP(C12,[3]!躶体属性参考系,5,FALSE)*E12</f>
        <v>434.41760000000022</v>
      </c>
      <c r="G12" s="33">
        <f t="shared" si="0"/>
        <v>46913.092566533742</v>
      </c>
      <c r="H12" s="12">
        <f t="shared" si="1"/>
        <v>281478.55539920245</v>
      </c>
      <c r="K12" s="5">
        <v>8</v>
      </c>
      <c r="L12" s="5">
        <f t="shared" si="2"/>
        <v>2.7820832011236405</v>
      </c>
    </row>
    <row r="13" spans="2:12" x14ac:dyDescent="0.15">
      <c r="B13" s="5" t="str">
        <f>[3]装备规划!D122</f>
        <v>451</v>
      </c>
      <c r="C13" s="5">
        <f>[3]装备规划!E122</f>
        <v>45</v>
      </c>
      <c r="D13" s="14">
        <f>[3]装备规划!F122</f>
        <v>1</v>
      </c>
      <c r="E13" s="5">
        <f>[3]装备规划!G122</f>
        <v>0.60000000000000009</v>
      </c>
      <c r="F13" s="12">
        <f>VLOOKUP(C13,[3]!躶体属性参考系,5,FALSE)*E13</f>
        <v>629.65584000000024</v>
      </c>
      <c r="G13" s="33">
        <f t="shared" si="0"/>
        <v>67997.0210851921</v>
      </c>
      <c r="H13" s="12">
        <f t="shared" si="1"/>
        <v>407982.1265111526</v>
      </c>
      <c r="K13" s="5">
        <v>9</v>
      </c>
      <c r="L13" s="5">
        <f t="shared" si="2"/>
        <v>3.1616688332979219</v>
      </c>
    </row>
    <row r="14" spans="2:12" x14ac:dyDescent="0.15">
      <c r="B14" s="5" t="str">
        <f>[3]装备规划!D123</f>
        <v>452</v>
      </c>
      <c r="C14" s="5">
        <f>[3]装备规划!E123</f>
        <v>45</v>
      </c>
      <c r="D14" s="14">
        <f>[3]装备规划!F123</f>
        <v>2</v>
      </c>
      <c r="E14" s="5">
        <f>[3]装备规划!G123</f>
        <v>0.86666666666666681</v>
      </c>
      <c r="F14" s="12">
        <f>VLOOKUP(C14,[3]!躶体属性参考系,5,FALSE)*E14</f>
        <v>909.50288000000035</v>
      </c>
      <c r="G14" s="33">
        <f t="shared" si="0"/>
        <v>98217.919345277507</v>
      </c>
      <c r="H14" s="12">
        <f t="shared" si="1"/>
        <v>589307.5160716651</v>
      </c>
      <c r="K14" s="5">
        <v>10</v>
      </c>
      <c r="L14" s="5">
        <f t="shared" si="2"/>
        <v>3.5930448835642852</v>
      </c>
    </row>
    <row r="15" spans="2:12" x14ac:dyDescent="0.15">
      <c r="B15" s="5" t="str">
        <f>[3]装备规划!D124</f>
        <v>453</v>
      </c>
      <c r="C15" s="5">
        <f>[3]装备规划!E124</f>
        <v>45</v>
      </c>
      <c r="D15" s="14">
        <f>[3]装备规划!F124</f>
        <v>3</v>
      </c>
      <c r="E15" s="5">
        <f>[3]装备规划!G124</f>
        <v>1.1333333333333335</v>
      </c>
      <c r="F15" s="12">
        <f>VLOOKUP(C15,[3]!躶体属性参考系,5,FALSE)*E15</f>
        <v>1189.3499200000006</v>
      </c>
      <c r="G15" s="33">
        <f t="shared" si="0"/>
        <v>128438.81760536288</v>
      </c>
      <c r="H15" s="12">
        <f t="shared" si="1"/>
        <v>770632.90563217737</v>
      </c>
      <c r="L15" s="38"/>
    </row>
    <row r="16" spans="2:12" x14ac:dyDescent="0.15">
      <c r="B16" s="5" t="str">
        <f>[3]装备规划!D125</f>
        <v>454</v>
      </c>
      <c r="C16" s="5">
        <f>[3]装备规划!E125</f>
        <v>45</v>
      </c>
      <c r="D16" s="14">
        <f>[3]装备规划!F125</f>
        <v>4</v>
      </c>
      <c r="E16" s="5">
        <f>[3]装备规划!G125</f>
        <v>1.3333333333333335</v>
      </c>
      <c r="F16" s="12">
        <f>VLOOKUP(C16,[3]!躶体属性参考系,5,FALSE)*E16</f>
        <v>1399.2352000000005</v>
      </c>
      <c r="G16" s="33">
        <f t="shared" si="0"/>
        <v>151104.49130042692</v>
      </c>
      <c r="H16" s="12">
        <f t="shared" si="1"/>
        <v>906626.94780256157</v>
      </c>
    </row>
    <row r="17" spans="1:11" x14ac:dyDescent="0.15">
      <c r="B17" s="5" t="str">
        <f>[3]装备规划!D126</f>
        <v>601</v>
      </c>
      <c r="C17" s="5">
        <f>[3]装备规划!E126</f>
        <v>60</v>
      </c>
      <c r="D17" s="14">
        <f>[3]装备规划!F126</f>
        <v>1</v>
      </c>
      <c r="E17" s="5">
        <f>[3]装备规划!G126</f>
        <v>0.9</v>
      </c>
      <c r="F17" s="12">
        <f>VLOOKUP(C17,[3]!躶体属性参考系,5,FALSE)*E17</f>
        <v>1449.9237600000004</v>
      </c>
      <c r="G17" s="33">
        <f t="shared" si="0"/>
        <v>156578.38809315421</v>
      </c>
      <c r="H17" s="12">
        <f t="shared" si="1"/>
        <v>939470.32855892531</v>
      </c>
    </row>
    <row r="18" spans="1:11" x14ac:dyDescent="0.15">
      <c r="B18" s="5" t="str">
        <f>[3]装备规划!D127</f>
        <v>602</v>
      </c>
      <c r="C18" s="5">
        <f>[3]装备规划!E127</f>
        <v>60</v>
      </c>
      <c r="D18" s="14">
        <f>[3]装备规划!F127</f>
        <v>2</v>
      </c>
      <c r="E18" s="5">
        <f>[3]装备规划!G127</f>
        <v>1.3</v>
      </c>
      <c r="F18" s="12">
        <f>VLOOKUP(C18,[3]!躶体属性参考系,5,FALSE)*E18</f>
        <v>2094.3343200000008</v>
      </c>
      <c r="G18" s="33">
        <f t="shared" si="0"/>
        <v>226168.78280122275</v>
      </c>
      <c r="H18" s="12">
        <f t="shared" si="1"/>
        <v>1357012.6968073365</v>
      </c>
    </row>
    <row r="19" spans="1:11" x14ac:dyDescent="0.15">
      <c r="B19" s="5" t="str">
        <f>[3]装备规划!D128</f>
        <v>603</v>
      </c>
      <c r="C19" s="5">
        <f>[3]装备规划!E128</f>
        <v>60</v>
      </c>
      <c r="D19" s="14">
        <f>[3]装备规划!F128</f>
        <v>3</v>
      </c>
      <c r="E19" s="5">
        <f>[3]装备规划!G128</f>
        <v>1.7</v>
      </c>
      <c r="F19" s="12">
        <f>VLOOKUP(C19,[3]!躶体属性参考系,5,FALSE)*E19</f>
        <v>2738.7448800000006</v>
      </c>
      <c r="G19" s="33">
        <f t="shared" si="0"/>
        <v>295759.17750929127</v>
      </c>
      <c r="H19" s="12">
        <f t="shared" si="1"/>
        <v>1774555.0650557475</v>
      </c>
    </row>
    <row r="20" spans="1:11" x14ac:dyDescent="0.15">
      <c r="B20" s="5" t="str">
        <f>[3]装备规划!D129</f>
        <v>604</v>
      </c>
      <c r="C20" s="5">
        <f>[3]装备规划!E129</f>
        <v>60</v>
      </c>
      <c r="D20" s="14">
        <f>[3]装备规划!F129</f>
        <v>4</v>
      </c>
      <c r="E20" s="5">
        <f>[3]装备规划!G129</f>
        <v>2</v>
      </c>
      <c r="F20" s="12">
        <f>VLOOKUP(C20,[3]!躶体属性参考系,5,FALSE)*E20</f>
        <v>3222.0528000000008</v>
      </c>
      <c r="G20" s="33">
        <f t="shared" ref="G20:G28" si="7">SUMPRODUCT($L$5:$L$14*F20)*$D$1</f>
        <v>347951.97354034276</v>
      </c>
      <c r="H20" s="12">
        <f t="shared" ref="H20:H28" si="8">G20*$K$1</f>
        <v>2087711.8412420566</v>
      </c>
    </row>
    <row r="21" spans="1:11" x14ac:dyDescent="0.15">
      <c r="B21" s="5" t="str">
        <f>[3]装备规划!D130</f>
        <v>701</v>
      </c>
      <c r="C21" s="5">
        <f>[3]装备规划!E130</f>
        <v>70</v>
      </c>
      <c r="D21" s="14">
        <f>[3]装备规划!F130</f>
        <v>1</v>
      </c>
      <c r="E21" s="5">
        <f>[3]装备规划!G130</f>
        <v>1.2000000000000002</v>
      </c>
      <c r="F21" s="12">
        <f>VLOOKUP(C21,[3]!躶体属性参考系,5,FALSE)*E21</f>
        <v>2504.1916800000026</v>
      </c>
      <c r="G21" s="33">
        <f t="shared" si="7"/>
        <v>270429.59605730453</v>
      </c>
      <c r="H21" s="12">
        <f t="shared" si="8"/>
        <v>1622577.5763438272</v>
      </c>
    </row>
    <row r="22" spans="1:11" x14ac:dyDescent="0.15">
      <c r="B22" s="5" t="str">
        <f>[3]装备规划!D131</f>
        <v>702</v>
      </c>
      <c r="C22" s="5">
        <f>[3]装备规划!E131</f>
        <v>70</v>
      </c>
      <c r="D22" s="14">
        <f>[3]装备规划!F131</f>
        <v>2</v>
      </c>
      <c r="E22" s="5">
        <f>[3]装备规划!G131</f>
        <v>1.7333333333333336</v>
      </c>
      <c r="F22" s="12">
        <f>VLOOKUP(C22,[3]!躶体属性参考系,5,FALSE)*E22</f>
        <v>3617.1657600000035</v>
      </c>
      <c r="G22" s="33">
        <f t="shared" si="7"/>
        <v>390620.52763832879</v>
      </c>
      <c r="H22" s="12">
        <f t="shared" si="8"/>
        <v>2343723.1658299728</v>
      </c>
    </row>
    <row r="23" spans="1:11" x14ac:dyDescent="0.15">
      <c r="B23" s="5" t="str">
        <f>[3]装备规划!D132</f>
        <v>703</v>
      </c>
      <c r="C23" s="5">
        <f>[3]装备规划!E132</f>
        <v>70</v>
      </c>
      <c r="D23" s="14">
        <f>[3]装备规划!F132</f>
        <v>3</v>
      </c>
      <c r="E23" s="5">
        <f>[3]装备规划!G132</f>
        <v>2.2666666666666671</v>
      </c>
      <c r="F23" s="12">
        <f>VLOOKUP(C23,[3]!躶体属性参考系,5,FALSE)*E23</f>
        <v>4730.1398400000044</v>
      </c>
      <c r="G23" s="33">
        <f t="shared" si="7"/>
        <v>510811.45921935298</v>
      </c>
      <c r="H23" s="12">
        <f t="shared" si="8"/>
        <v>3064868.7553161178</v>
      </c>
    </row>
    <row r="24" spans="1:11" x14ac:dyDescent="0.15">
      <c r="B24" s="5" t="str">
        <f>[3]装备规划!D133</f>
        <v>704</v>
      </c>
      <c r="C24" s="5">
        <f>[3]装备规划!E133</f>
        <v>70</v>
      </c>
      <c r="D24" s="14">
        <f>[3]装备规划!F133</f>
        <v>4</v>
      </c>
      <c r="E24" s="5">
        <f>[3]装备规划!G133</f>
        <v>2.666666666666667</v>
      </c>
      <c r="F24" s="12">
        <f>VLOOKUP(C24,[3]!躶体属性参考系,5,FALSE)*E24</f>
        <v>5564.8704000000052</v>
      </c>
      <c r="G24" s="33">
        <f t="shared" si="7"/>
        <v>600954.6579051211</v>
      </c>
      <c r="H24" s="12">
        <f t="shared" si="8"/>
        <v>3605727.9474307266</v>
      </c>
    </row>
    <row r="25" spans="1:11" x14ac:dyDescent="0.15">
      <c r="B25" s="5" t="str">
        <f>[3]装备规划!D134</f>
        <v>801</v>
      </c>
      <c r="C25" s="5">
        <f>[3]装备规划!E134</f>
        <v>80</v>
      </c>
      <c r="D25" s="14">
        <f>[3]装备规划!F134</f>
        <v>1</v>
      </c>
      <c r="E25" s="5">
        <f>[3]装备规划!G134</f>
        <v>1.5</v>
      </c>
      <c r="F25" s="12">
        <f>VLOOKUP(C25,[3]!躶体属性参考系,5,FALSE)*E25</f>
        <v>3960.9396000000006</v>
      </c>
      <c r="G25" s="33">
        <f t="shared" si="7"/>
        <v>427744.93046609778</v>
      </c>
      <c r="H25" s="12">
        <f t="shared" si="8"/>
        <v>2566469.5827965867</v>
      </c>
    </row>
    <row r="26" spans="1:11" x14ac:dyDescent="0.15">
      <c r="B26" s="5" t="str">
        <f>[3]装备规划!D135</f>
        <v>802</v>
      </c>
      <c r="C26" s="5">
        <f>[3]装备规划!E135</f>
        <v>80</v>
      </c>
      <c r="D26" s="14">
        <f>[3]装备规划!F135</f>
        <v>2</v>
      </c>
      <c r="E26" s="5">
        <f>[3]装备规划!G135</f>
        <v>2.166666666666667</v>
      </c>
      <c r="F26" s="12">
        <f>VLOOKUP(C26,[3]!躶体属性参考系,5,FALSE)*E26</f>
        <v>5721.3572000000022</v>
      </c>
      <c r="G26" s="33">
        <f t="shared" si="7"/>
        <v>617853.78845103015</v>
      </c>
      <c r="H26" s="12">
        <f t="shared" si="8"/>
        <v>3707122.7307061809</v>
      </c>
    </row>
    <row r="27" spans="1:11" x14ac:dyDescent="0.15">
      <c r="B27" s="5" t="str">
        <f>[3]装备规划!D136</f>
        <v>803</v>
      </c>
      <c r="C27" s="5">
        <f>[3]装备规划!E136</f>
        <v>80</v>
      </c>
      <c r="D27" s="14">
        <f>[3]装备规划!F136</f>
        <v>3</v>
      </c>
      <c r="E27" s="5">
        <f>[3]装备规划!G136</f>
        <v>2.8333333333333335</v>
      </c>
      <c r="F27" s="12">
        <f>VLOOKUP(C27,[3]!躶体属性参考系,5,FALSE)*E27</f>
        <v>7481.774800000002</v>
      </c>
      <c r="G27" s="33">
        <f t="shared" si="7"/>
        <v>807962.64643596252</v>
      </c>
      <c r="H27" s="12">
        <f t="shared" si="8"/>
        <v>4847775.8786157751</v>
      </c>
    </row>
    <row r="28" spans="1:11" x14ac:dyDescent="0.15">
      <c r="B28" s="5" t="str">
        <f>[3]装备规划!D137</f>
        <v>804</v>
      </c>
      <c r="C28" s="5">
        <f>[3]装备规划!E137</f>
        <v>80</v>
      </c>
      <c r="D28" s="14">
        <f>[3]装备规划!F137</f>
        <v>4</v>
      </c>
      <c r="E28" s="5">
        <f>[3]装备规划!G137</f>
        <v>3.3333333333333335</v>
      </c>
      <c r="F28" s="12">
        <f>VLOOKUP(C28,[3]!躶体属性参考系,5,FALSE)*E28</f>
        <v>8802.0880000000016</v>
      </c>
      <c r="G28" s="33">
        <f t="shared" si="7"/>
        <v>950544.28992466175</v>
      </c>
      <c r="H28" s="12">
        <f t="shared" si="8"/>
        <v>5703265.7395479707</v>
      </c>
    </row>
    <row r="29" spans="1:11" x14ac:dyDescent="0.15">
      <c r="C29" s="69"/>
    </row>
    <row r="30" spans="1:11" x14ac:dyDescent="0.15">
      <c r="C30" s="69"/>
    </row>
    <row r="31" spans="1:11" x14ac:dyDescent="0.15">
      <c r="J31" t="s">
        <v>156</v>
      </c>
      <c r="K31" t="s">
        <v>157</v>
      </c>
    </row>
    <row r="32" spans="1:11" x14ac:dyDescent="0.15">
      <c r="A32" s="38"/>
      <c r="J32" s="34" t="s">
        <v>158</v>
      </c>
      <c r="K32" s="34" t="s">
        <v>159</v>
      </c>
    </row>
    <row r="33" spans="1:11" x14ac:dyDescent="0.15">
      <c r="A33" s="38"/>
      <c r="J33" s="36">
        <v>70101</v>
      </c>
      <c r="K33" s="37" t="s">
        <v>504</v>
      </c>
    </row>
    <row r="34" spans="1:11" x14ac:dyDescent="0.15">
      <c r="A34" s="38"/>
      <c r="J34" s="36">
        <v>70201</v>
      </c>
      <c r="K34" s="37" t="s">
        <v>505</v>
      </c>
    </row>
    <row r="35" spans="1:11" x14ac:dyDescent="0.15">
      <c r="A35" s="39"/>
      <c r="J35" s="36">
        <v>70301</v>
      </c>
      <c r="K35" s="37" t="s">
        <v>506</v>
      </c>
    </row>
    <row r="36" spans="1:11" x14ac:dyDescent="0.15">
      <c r="A36" s="39"/>
      <c r="J36" s="36">
        <v>70401</v>
      </c>
      <c r="K36" s="37" t="s">
        <v>507</v>
      </c>
    </row>
    <row r="37" spans="1:11" x14ac:dyDescent="0.15">
      <c r="J37" s="36">
        <v>70501</v>
      </c>
      <c r="K37" s="37" t="s">
        <v>508</v>
      </c>
    </row>
    <row r="41" spans="1:11" x14ac:dyDescent="0.15">
      <c r="J41" s="34" t="s">
        <v>158</v>
      </c>
      <c r="K41" s="34" t="s">
        <v>160</v>
      </c>
    </row>
    <row r="42" spans="1:11" x14ac:dyDescent="0.15">
      <c r="J42" s="36">
        <v>70010</v>
      </c>
      <c r="K42" s="11" t="s">
        <v>161</v>
      </c>
    </row>
    <row r="43" spans="1:11" x14ac:dyDescent="0.15">
      <c r="J43" s="36">
        <v>71010</v>
      </c>
      <c r="K43" s="11" t="s">
        <v>162</v>
      </c>
    </row>
    <row r="44" spans="1:11" x14ac:dyDescent="0.15">
      <c r="J44" s="36">
        <v>72010</v>
      </c>
      <c r="K44" s="11" t="s">
        <v>509</v>
      </c>
    </row>
    <row r="45" spans="1:11" x14ac:dyDescent="0.15">
      <c r="J45" s="36">
        <v>73010</v>
      </c>
      <c r="K45" s="11" t="s">
        <v>510</v>
      </c>
    </row>
    <row r="46" spans="1:11" x14ac:dyDescent="0.15">
      <c r="J46" s="36">
        <v>74010</v>
      </c>
      <c r="K46" s="40" t="s">
        <v>511</v>
      </c>
    </row>
    <row r="47" spans="1:11" x14ac:dyDescent="0.15">
      <c r="J47" s="36">
        <v>75010</v>
      </c>
      <c r="K47" s="11" t="s">
        <v>163</v>
      </c>
    </row>
  </sheetData>
  <phoneticPr fontId="1" type="noConversion"/>
  <conditionalFormatting sqref="J33:J37">
    <cfRule type="duplicateValues" dxfId="53" priority="19" stopIfTrue="1"/>
  </conditionalFormatting>
  <conditionalFormatting sqref="J33:J37">
    <cfRule type="duplicateValues" dxfId="52" priority="18" stopIfTrue="1"/>
  </conditionalFormatting>
  <conditionalFormatting sqref="J42:J47">
    <cfRule type="duplicateValues" dxfId="51" priority="17" stopIfTrue="1"/>
  </conditionalFormatting>
  <conditionalFormatting sqref="J42:J47">
    <cfRule type="duplicateValues" dxfId="50" priority="16" stopIfTrue="1"/>
  </conditionalFormatting>
  <conditionalFormatting sqref="D3:D6 D9:D28">
    <cfRule type="cellIs" dxfId="49" priority="11" operator="equal">
      <formula>4</formula>
    </cfRule>
    <cfRule type="cellIs" dxfId="48" priority="12" operator="equal">
      <formula>3</formula>
    </cfRule>
    <cfRule type="cellIs" dxfId="47" priority="13" operator="equal">
      <formula>2</formula>
    </cfRule>
    <cfRule type="cellIs" dxfId="46" priority="14" operator="equal">
      <formula>0</formula>
    </cfRule>
    <cfRule type="cellIs" dxfId="45" priority="15" operator="equal">
      <formula>1</formula>
    </cfRule>
  </conditionalFormatting>
  <conditionalFormatting sqref="D7">
    <cfRule type="cellIs" dxfId="44" priority="6" operator="equal">
      <formula>4</formula>
    </cfRule>
    <cfRule type="cellIs" dxfId="43" priority="7" operator="equal">
      <formula>3</formula>
    </cfRule>
    <cfRule type="cellIs" dxfId="42" priority="8" operator="equal">
      <formula>2</formula>
    </cfRule>
    <cfRule type="cellIs" dxfId="41" priority="9" operator="equal">
      <formula>0</formula>
    </cfRule>
    <cfRule type="cellIs" dxfId="40" priority="10" operator="equal">
      <formula>1</formula>
    </cfRule>
  </conditionalFormatting>
  <conditionalFormatting sqref="D8">
    <cfRule type="cellIs" dxfId="39" priority="1" operator="equal">
      <formula>4</formula>
    </cfRule>
    <cfRule type="cellIs" dxfId="38" priority="2" operator="equal">
      <formula>3</formula>
    </cfRule>
    <cfRule type="cellIs" dxfId="37" priority="3" operator="equal">
      <formula>2</formula>
    </cfRule>
    <cfRule type="cellIs" dxfId="36" priority="4" operator="equal">
      <formula>0</formula>
    </cfRule>
    <cfRule type="cellIs" dxfId="35" priority="5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3:AG178"/>
  <sheetViews>
    <sheetView topLeftCell="H145" zoomScaleNormal="100" workbookViewId="0">
      <selection activeCell="H170" sqref="H170"/>
    </sheetView>
  </sheetViews>
  <sheetFormatPr defaultRowHeight="13.5" x14ac:dyDescent="0.15"/>
  <cols>
    <col min="2" max="2" width="7.5" bestFit="1" customWidth="1"/>
    <col min="3" max="3" width="9.5" bestFit="1" customWidth="1"/>
    <col min="4" max="4" width="12.75" bestFit="1" customWidth="1"/>
    <col min="6" max="6" width="11.625" bestFit="1" customWidth="1"/>
    <col min="7" max="7" width="12" customWidth="1"/>
    <col min="8" max="8" width="12.125" customWidth="1"/>
    <col min="9" max="9" width="12.75" bestFit="1" customWidth="1"/>
    <col min="10" max="10" width="16.125" bestFit="1" customWidth="1"/>
    <col min="11" max="11" width="15" customWidth="1"/>
    <col min="15" max="15" width="16.125" customWidth="1"/>
    <col min="16" max="16" width="12.75" bestFit="1" customWidth="1"/>
    <col min="17" max="17" width="14.375" customWidth="1"/>
    <col min="18" max="18" width="13.875" customWidth="1"/>
    <col min="19" max="19" width="3.75" style="63" customWidth="1"/>
    <col min="20" max="22" width="10.875" customWidth="1"/>
    <col min="23" max="23" width="13.125" customWidth="1"/>
    <col min="24" max="24" width="14.5" customWidth="1"/>
    <col min="25" max="25" width="16.125" bestFit="1" customWidth="1"/>
    <col min="26" max="26" width="6.5" bestFit="1" customWidth="1"/>
    <col min="27" max="27" width="9.5" bestFit="1" customWidth="1"/>
    <col min="28" max="28" width="12.75" bestFit="1" customWidth="1"/>
    <col min="29" max="29" width="13" bestFit="1" customWidth="1"/>
    <col min="30" max="30" width="16.125" bestFit="1" customWidth="1"/>
    <col min="31" max="31" width="16.125" customWidth="1"/>
    <col min="32" max="32" width="16.125" bestFit="1" customWidth="1"/>
    <col min="33" max="33" width="14.625" customWidth="1"/>
    <col min="34" max="34" width="15.875" customWidth="1"/>
    <col min="35" max="35" width="16.125" bestFit="1" customWidth="1"/>
  </cols>
  <sheetData>
    <row r="3" spans="2:33" x14ac:dyDescent="0.15">
      <c r="B3" s="5" t="s">
        <v>227</v>
      </c>
      <c r="C3" s="5" t="s">
        <v>228</v>
      </c>
      <c r="D3" s="5" t="s">
        <v>229</v>
      </c>
      <c r="F3" s="58" t="s">
        <v>253</v>
      </c>
      <c r="G3" s="58" t="s">
        <v>254</v>
      </c>
      <c r="H3" s="58" t="s">
        <v>255</v>
      </c>
      <c r="I3" t="s">
        <v>243</v>
      </c>
      <c r="J3" s="61" t="s">
        <v>244</v>
      </c>
      <c r="K3" s="58" t="s">
        <v>231</v>
      </c>
      <c r="L3" s="58" t="s">
        <v>234</v>
      </c>
      <c r="M3" s="58" t="s">
        <v>233</v>
      </c>
      <c r="N3" s="58" t="s">
        <v>229</v>
      </c>
      <c r="O3" s="58" t="s">
        <v>232</v>
      </c>
      <c r="P3" s="58" t="s">
        <v>235</v>
      </c>
      <c r="Q3" s="60" t="s">
        <v>240</v>
      </c>
      <c r="R3" s="59" t="s">
        <v>242</v>
      </c>
      <c r="T3" s="58" t="s">
        <v>269</v>
      </c>
      <c r="U3" s="58" t="s">
        <v>270</v>
      </c>
      <c r="V3" s="58" t="s">
        <v>268</v>
      </c>
      <c r="W3" t="s">
        <v>243</v>
      </c>
      <c r="X3" s="61" t="s">
        <v>244</v>
      </c>
      <c r="Y3" s="58" t="s">
        <v>236</v>
      </c>
      <c r="Z3" s="58" t="s">
        <v>237</v>
      </c>
      <c r="AA3" s="58" t="s">
        <v>238</v>
      </c>
      <c r="AB3" s="58" t="s">
        <v>229</v>
      </c>
      <c r="AC3" s="58" t="s">
        <v>239</v>
      </c>
      <c r="AD3" s="58" t="s">
        <v>235</v>
      </c>
      <c r="AE3" s="60" t="s">
        <v>282</v>
      </c>
      <c r="AF3" s="60" t="s">
        <v>240</v>
      </c>
      <c r="AG3" s="60" t="s">
        <v>241</v>
      </c>
    </row>
    <row r="4" spans="2:33" x14ac:dyDescent="0.15">
      <c r="B4" s="5" t="str">
        <f>D_装备基础数据!A2</f>
        <v>10001</v>
      </c>
      <c r="C4" s="5" t="s">
        <v>398</v>
      </c>
      <c r="D4" s="5">
        <f>D_装备基础数据!AP2</f>
        <v>0</v>
      </c>
      <c r="F4" s="28">
        <f>强化辅助表!Z36</f>
        <v>13</v>
      </c>
      <c r="G4" s="28">
        <f>强化辅助表!AA36</f>
        <v>0</v>
      </c>
      <c r="H4" s="28">
        <f>强化辅助表!AB36</f>
        <v>0</v>
      </c>
      <c r="I4" s="28"/>
      <c r="J4" s="28"/>
      <c r="K4" s="28" t="str">
        <f>强化辅助表!B36</f>
        <v>500</v>
      </c>
      <c r="L4" s="28">
        <f>强化辅助表!D36</f>
        <v>0</v>
      </c>
      <c r="M4" s="28">
        <f>强化辅助表!F36</f>
        <v>5</v>
      </c>
      <c r="N4" s="28">
        <f>强化辅助表!Q36</f>
        <v>3.36</v>
      </c>
      <c r="O4" s="33">
        <f>强化辅助表!T36</f>
        <v>2520</v>
      </c>
      <c r="P4" s="33">
        <f>强化辅助表!U36</f>
        <v>1041.5999999999999</v>
      </c>
      <c r="Q4">
        <f>强化辅助表!Q36/强化辅助表!S36</f>
        <v>0.02</v>
      </c>
      <c r="R4">
        <f>强化辅助表!Q36/强化辅助表!R36</f>
        <v>0.02</v>
      </c>
      <c r="T4" s="28"/>
      <c r="U4" s="28"/>
      <c r="V4" s="28"/>
      <c r="W4" s="28"/>
      <c r="X4" s="28"/>
      <c r="Y4" s="28" t="str">
        <f>升星辅助表!C33</f>
        <v>500</v>
      </c>
      <c r="Z4" s="28">
        <f>升星辅助表!F33</f>
        <v>0</v>
      </c>
      <c r="AA4" s="28">
        <f>升星辅助表!H33</f>
        <v>5</v>
      </c>
      <c r="AB4" s="28">
        <f>升星辅助表!AU33</f>
        <v>0</v>
      </c>
      <c r="AC4" s="33">
        <f>升星辅助表!AX33</f>
        <v>0</v>
      </c>
      <c r="AD4" s="33">
        <f>升星辅助表!AY33</f>
        <v>0</v>
      </c>
      <c r="AE4" s="12">
        <f>升星辅助表!AI33</f>
        <v>0</v>
      </c>
      <c r="AF4" s="5"/>
      <c r="AG4" s="5"/>
    </row>
    <row r="5" spans="2:33" x14ac:dyDescent="0.15">
      <c r="B5" s="5" t="str">
        <f>D_装备基础数据!A6</f>
        <v>20002</v>
      </c>
      <c r="C5" s="5" t="str">
        <f>D_装备基础数据!B6</f>
        <v>染血之拳</v>
      </c>
      <c r="D5" s="5">
        <f ca="1">D_装备基础数据!AP6</f>
        <v>16.599081639928706</v>
      </c>
      <c r="F5" s="28">
        <f>强化辅助表!Z37</f>
        <v>10</v>
      </c>
      <c r="G5" s="28">
        <f>强化辅助表!AA37</f>
        <v>0</v>
      </c>
      <c r="H5" s="28">
        <f>强化辅助表!AB37</f>
        <v>0</v>
      </c>
      <c r="I5" s="28"/>
      <c r="J5" s="28"/>
      <c r="K5" s="28" t="str">
        <f>强化辅助表!B37</f>
        <v>501</v>
      </c>
      <c r="L5" s="28">
        <f>强化辅助表!D37</f>
        <v>0</v>
      </c>
      <c r="M5" s="28">
        <f>强化辅助表!F37</f>
        <v>5</v>
      </c>
      <c r="N5" s="28">
        <f>强化辅助表!Q37</f>
        <v>2.44</v>
      </c>
      <c r="O5" s="33">
        <f>强化辅助表!T37</f>
        <v>1830</v>
      </c>
      <c r="P5" s="33">
        <f>强化辅助表!U37</f>
        <v>756.4</v>
      </c>
      <c r="Q5">
        <f>强化辅助表!Q37/强化辅助表!S37</f>
        <v>0.02</v>
      </c>
      <c r="R5">
        <f>强化辅助表!Q37/强化辅助表!R37</f>
        <v>0.02</v>
      </c>
      <c r="T5" s="28"/>
      <c r="U5" s="28"/>
      <c r="V5" s="28"/>
      <c r="W5" s="28"/>
      <c r="X5" s="28"/>
      <c r="Y5" s="28" t="str">
        <f>升星辅助表!C34</f>
        <v>501</v>
      </c>
      <c r="Z5" s="28">
        <f>升星辅助表!F34</f>
        <v>0</v>
      </c>
      <c r="AA5" s="28">
        <f>升星辅助表!H34</f>
        <v>5</v>
      </c>
      <c r="AB5" s="28">
        <f>升星辅助表!AU34</f>
        <v>0</v>
      </c>
      <c r="AC5" s="33">
        <f>升星辅助表!AX34</f>
        <v>0</v>
      </c>
      <c r="AD5" s="33">
        <f>升星辅助表!AY34</f>
        <v>0</v>
      </c>
      <c r="AE5" s="12">
        <f>升星辅助表!AI34</f>
        <v>0</v>
      </c>
      <c r="AF5" s="5"/>
      <c r="AG5" s="5"/>
    </row>
    <row r="6" spans="2:33" x14ac:dyDescent="0.15">
      <c r="B6" s="5" t="str">
        <f>D_装备基础数据!A7</f>
        <v>30002</v>
      </c>
      <c r="C6" s="5" t="s">
        <v>399</v>
      </c>
      <c r="D6" s="5">
        <f ca="1">D_装备基础数据!AP7</f>
        <v>16.599081639928706</v>
      </c>
      <c r="F6" s="28">
        <f>强化辅助表!Z38</f>
        <v>6</v>
      </c>
      <c r="G6" s="28">
        <f>强化辅助表!AA38</f>
        <v>0</v>
      </c>
      <c r="H6" s="28">
        <f>强化辅助表!AB38</f>
        <v>0</v>
      </c>
      <c r="I6" s="28"/>
      <c r="J6" s="28"/>
      <c r="K6" s="28" t="str">
        <f>强化辅助表!B38</f>
        <v>502</v>
      </c>
      <c r="L6" s="28">
        <f>强化辅助表!D38</f>
        <v>0</v>
      </c>
      <c r="M6" s="28">
        <f>强化辅助表!F38</f>
        <v>5</v>
      </c>
      <c r="N6" s="28">
        <f>强化辅助表!Q38</f>
        <v>1.34</v>
      </c>
      <c r="O6" s="33">
        <f>强化辅助表!T38</f>
        <v>1005</v>
      </c>
      <c r="P6" s="33">
        <f>强化辅助表!U38</f>
        <v>415.40000000000003</v>
      </c>
      <c r="Q6">
        <f>强化辅助表!Q38/强化辅助表!S38</f>
        <v>0.02</v>
      </c>
      <c r="R6">
        <f>强化辅助表!Q38/强化辅助表!R38</f>
        <v>0.02</v>
      </c>
      <c r="T6" s="28"/>
      <c r="U6" s="28"/>
      <c r="V6" s="28"/>
      <c r="W6" s="28"/>
      <c r="X6" s="28"/>
      <c r="Y6" s="28" t="str">
        <f>升星辅助表!C35</f>
        <v>502</v>
      </c>
      <c r="Z6" s="28">
        <f>升星辅助表!F35</f>
        <v>0</v>
      </c>
      <c r="AA6" s="28">
        <f>升星辅助表!H35</f>
        <v>5</v>
      </c>
      <c r="AB6" s="28">
        <f>升星辅助表!AU35</f>
        <v>0</v>
      </c>
      <c r="AC6" s="33">
        <f>升星辅助表!AX35</f>
        <v>0</v>
      </c>
      <c r="AD6" s="33">
        <f>升星辅助表!AY35</f>
        <v>0</v>
      </c>
      <c r="AE6" s="12">
        <f>升星辅助表!AI35</f>
        <v>0</v>
      </c>
      <c r="AF6" s="5"/>
      <c r="AG6" s="5"/>
    </row>
    <row r="7" spans="2:33" x14ac:dyDescent="0.15">
      <c r="B7" s="5" t="str">
        <f>D_装备基础数据!A8</f>
        <v>51002</v>
      </c>
      <c r="C7" s="5" t="s">
        <v>400</v>
      </c>
      <c r="D7" s="5">
        <f ca="1">D_装备基础数据!AP8</f>
        <v>14.569636415687212</v>
      </c>
      <c r="F7" s="28">
        <f>强化辅助表!Z39</f>
        <v>5</v>
      </c>
      <c r="G7" s="28">
        <f>强化辅助表!AA39</f>
        <v>0</v>
      </c>
      <c r="H7" s="28">
        <f>强化辅助表!AB39</f>
        <v>0</v>
      </c>
      <c r="I7" s="28"/>
      <c r="J7" s="28"/>
      <c r="K7" s="28" t="str">
        <f>强化辅助表!B39</f>
        <v>505</v>
      </c>
      <c r="L7" s="28">
        <f>强化辅助表!D39</f>
        <v>0</v>
      </c>
      <c r="M7" s="28">
        <f>强化辅助表!F39</f>
        <v>5</v>
      </c>
      <c r="N7" s="28">
        <f>强化辅助表!Q39</f>
        <v>1.1600000000000001</v>
      </c>
      <c r="O7" s="33">
        <f>强化辅助表!T39</f>
        <v>870</v>
      </c>
      <c r="P7" s="33">
        <f>强化辅助表!U39</f>
        <v>359.6</v>
      </c>
      <c r="Q7">
        <f>强化辅助表!Q39/强化辅助表!S39</f>
        <v>2.0000000000000004E-2</v>
      </c>
      <c r="R7">
        <f>强化辅助表!Q39/强化辅助表!R39</f>
        <v>2.0000000000000004E-2</v>
      </c>
      <c r="T7" s="28"/>
      <c r="U7" s="28"/>
      <c r="V7" s="28"/>
      <c r="W7" s="28"/>
      <c r="X7" s="28"/>
      <c r="Y7" s="28" t="str">
        <f>升星辅助表!C36</f>
        <v>505</v>
      </c>
      <c r="Z7" s="28">
        <f>升星辅助表!F36</f>
        <v>0</v>
      </c>
      <c r="AA7" s="28">
        <f>升星辅助表!H36</f>
        <v>5</v>
      </c>
      <c r="AB7" s="28">
        <f>升星辅助表!AU36</f>
        <v>0</v>
      </c>
      <c r="AC7" s="33">
        <f>升星辅助表!AX36</f>
        <v>0</v>
      </c>
      <c r="AD7" s="33">
        <f>升星辅助表!AY36</f>
        <v>0</v>
      </c>
      <c r="AE7" s="12">
        <f>升星辅助表!AI36</f>
        <v>0</v>
      </c>
      <c r="AF7" s="5"/>
      <c r="AG7" s="5"/>
    </row>
    <row r="8" spans="2:33" x14ac:dyDescent="0.15">
      <c r="B8" s="5" t="str">
        <f>D_装备基础数据!A9</f>
        <v>52002</v>
      </c>
      <c r="C8" s="5" t="s">
        <v>401</v>
      </c>
      <c r="D8" s="5">
        <f ca="1">D_装备基础数据!AP9</f>
        <v>5.2122187059503178</v>
      </c>
      <c r="F8" s="28">
        <f>强化辅助表!Z40</f>
        <v>4</v>
      </c>
      <c r="G8" s="28">
        <f>强化辅助表!AA40</f>
        <v>0</v>
      </c>
      <c r="H8" s="28">
        <f>强化辅助表!AB40</f>
        <v>0</v>
      </c>
      <c r="I8" s="28"/>
      <c r="J8" s="28"/>
      <c r="K8" s="28" t="str">
        <f>强化辅助表!B40</f>
        <v>504</v>
      </c>
      <c r="L8" s="28">
        <f>强化辅助表!D40</f>
        <v>0</v>
      </c>
      <c r="M8" s="28">
        <f>强化辅助表!F40</f>
        <v>5</v>
      </c>
      <c r="N8" s="28">
        <f>强化辅助表!Q40</f>
        <v>0.84</v>
      </c>
      <c r="O8" s="33">
        <f>强化辅助表!T40</f>
        <v>630</v>
      </c>
      <c r="P8" s="33">
        <f>强化辅助表!U40</f>
        <v>260.39999999999998</v>
      </c>
      <c r="Q8">
        <f>强化辅助表!Q40/强化辅助表!S40</f>
        <v>0.02</v>
      </c>
      <c r="R8">
        <f>强化辅助表!Q40/强化辅助表!R40</f>
        <v>0.02</v>
      </c>
      <c r="T8" s="28"/>
      <c r="U8" s="28"/>
      <c r="V8" s="28"/>
      <c r="W8" s="28"/>
      <c r="X8" s="28"/>
      <c r="Y8" s="28" t="str">
        <f>升星辅助表!C37</f>
        <v>504</v>
      </c>
      <c r="Z8" s="28">
        <f>升星辅助表!F37</f>
        <v>0</v>
      </c>
      <c r="AA8" s="28">
        <f>升星辅助表!H37</f>
        <v>5</v>
      </c>
      <c r="AB8" s="28">
        <f>升星辅助表!AU37</f>
        <v>0</v>
      </c>
      <c r="AC8" s="33">
        <f>升星辅助表!AX37</f>
        <v>0</v>
      </c>
      <c r="AD8" s="33">
        <f>升星辅助表!AY37</f>
        <v>0</v>
      </c>
      <c r="AE8" s="12">
        <f>升星辅助表!AI37</f>
        <v>0</v>
      </c>
      <c r="AF8" s="5"/>
      <c r="AG8" s="5"/>
    </row>
    <row r="9" spans="2:33" x14ac:dyDescent="0.15">
      <c r="B9" s="5" t="str">
        <f>D_装备基础数据!A10</f>
        <v>55002</v>
      </c>
      <c r="C9" s="5" t="s">
        <v>402</v>
      </c>
      <c r="D9" s="5">
        <f ca="1">D_装备基础数据!AP10</f>
        <v>6.677519452253911</v>
      </c>
      <c r="F9" s="28">
        <f>强化辅助表!Z41</f>
        <v>8</v>
      </c>
      <c r="G9" s="28">
        <f>强化辅助表!AA41</f>
        <v>0</v>
      </c>
      <c r="H9" s="28">
        <f>强化辅助表!AB41</f>
        <v>0</v>
      </c>
      <c r="I9" s="28">
        <f>M9</f>
        <v>5</v>
      </c>
      <c r="J9" s="33">
        <f>SUM(P4:P9)</f>
        <v>3459.6000000000004</v>
      </c>
      <c r="K9" s="28" t="str">
        <f>强化辅助表!B41</f>
        <v>503</v>
      </c>
      <c r="L9" s="28">
        <f>强化辅助表!D41</f>
        <v>0</v>
      </c>
      <c r="M9" s="28">
        <f>强化辅助表!F41</f>
        <v>5</v>
      </c>
      <c r="N9" s="28">
        <f>强化辅助表!Q41</f>
        <v>2.02</v>
      </c>
      <c r="O9" s="33">
        <f>强化辅助表!T41</f>
        <v>1515</v>
      </c>
      <c r="P9" s="33">
        <f>强化辅助表!U41</f>
        <v>626.20000000000005</v>
      </c>
      <c r="Q9">
        <f>强化辅助表!Q41/强化辅助表!S41</f>
        <v>0.02</v>
      </c>
      <c r="R9">
        <f>强化辅助表!Q41/强化辅助表!R41</f>
        <v>0.02</v>
      </c>
      <c r="T9" s="28"/>
      <c r="U9" s="28"/>
      <c r="V9" s="28"/>
      <c r="W9" s="28">
        <f>AA9</f>
        <v>5</v>
      </c>
      <c r="X9" s="28">
        <f>SUM(AD4:AD9)</f>
        <v>0</v>
      </c>
      <c r="Y9" s="28" t="str">
        <f>升星辅助表!C38</f>
        <v>503</v>
      </c>
      <c r="Z9" s="28">
        <f>升星辅助表!F38</f>
        <v>0</v>
      </c>
      <c r="AA9" s="28">
        <f>升星辅助表!H38</f>
        <v>5</v>
      </c>
      <c r="AB9" s="28">
        <f>升星辅助表!AU38</f>
        <v>0</v>
      </c>
      <c r="AC9" s="33">
        <f>升星辅助表!AX38</f>
        <v>0</v>
      </c>
      <c r="AD9" s="33">
        <f>升星辅助表!AY38</f>
        <v>0</v>
      </c>
      <c r="AE9" s="12">
        <f>升星辅助表!AI38</f>
        <v>0</v>
      </c>
      <c r="AF9" s="5"/>
      <c r="AG9" s="5"/>
    </row>
    <row r="10" spans="2:33" x14ac:dyDescent="0.15">
      <c r="B10" s="5" t="str">
        <f>D_装备基础数据!A11</f>
        <v>54002</v>
      </c>
      <c r="C10" s="5" t="s">
        <v>403</v>
      </c>
      <c r="D10" s="5">
        <f ca="1">D_装备基础数据!AP11</f>
        <v>4.8025194522539119</v>
      </c>
      <c r="F10" s="28">
        <f>强化辅助表!Z42</f>
        <v>12</v>
      </c>
      <c r="G10" s="28">
        <f>强化辅助表!AA42</f>
        <v>2</v>
      </c>
      <c r="H10" s="28">
        <f>强化辅助表!AB42</f>
        <v>0</v>
      </c>
      <c r="I10" s="28"/>
      <c r="J10" s="28"/>
      <c r="K10" s="28" t="str">
        <f>强化辅助表!B42</f>
        <v>510</v>
      </c>
      <c r="L10" s="28">
        <f>强化辅助表!D42</f>
        <v>1</v>
      </c>
      <c r="M10" s="28">
        <f>强化辅助表!F42</f>
        <v>5</v>
      </c>
      <c r="N10" s="28">
        <f>强化辅助表!Q42</f>
        <v>4.54</v>
      </c>
      <c r="O10" s="33">
        <f>强化辅助表!T42</f>
        <v>3405</v>
      </c>
      <c r="P10" s="33">
        <f>强化辅助表!U42</f>
        <v>1407.4</v>
      </c>
      <c r="Q10">
        <f>强化辅助表!Q42/强化辅助表!S42</f>
        <v>0.02</v>
      </c>
      <c r="R10">
        <f>强化辅助表!Q42/强化辅助表!R42</f>
        <v>0.02</v>
      </c>
      <c r="T10" s="28">
        <f>升星辅助表!AB39</f>
        <v>7</v>
      </c>
      <c r="U10" s="28">
        <f>升星辅助表!AC39</f>
        <v>24</v>
      </c>
      <c r="V10" s="28">
        <f>升星辅助表!AD39</f>
        <v>0</v>
      </c>
      <c r="W10" s="28"/>
      <c r="X10" s="28"/>
      <c r="Y10" s="28" t="str">
        <f>升星辅助表!C39</f>
        <v>510</v>
      </c>
      <c r="Z10" s="28">
        <f>升星辅助表!F39</f>
        <v>1</v>
      </c>
      <c r="AA10" s="28">
        <f>升星辅助表!H39</f>
        <v>5</v>
      </c>
      <c r="AB10" s="28">
        <f>升星辅助表!AU39</f>
        <v>9</v>
      </c>
      <c r="AC10" s="33">
        <f>升星辅助表!AX39</f>
        <v>24750</v>
      </c>
      <c r="AD10" s="33">
        <f>升星辅助表!AY39</f>
        <v>24750</v>
      </c>
      <c r="AE10" s="12">
        <f>升星辅助表!AI39</f>
        <v>110</v>
      </c>
      <c r="AF10" s="5">
        <f>升星辅助表!AU39/升星辅助表!AW39</f>
        <v>0.02</v>
      </c>
      <c r="AG10" s="5">
        <f>升星辅助表!AU39/升星辅助表!AV39</f>
        <v>0.02</v>
      </c>
    </row>
    <row r="11" spans="2:33" x14ac:dyDescent="0.15">
      <c r="B11" s="5" t="str">
        <f>D_装备基础数据!A12</f>
        <v>53002</v>
      </c>
      <c r="C11" s="5" t="s">
        <v>404</v>
      </c>
      <c r="D11" s="5">
        <f ca="1">D_装备基础数据!AP12</f>
        <v>10.289971657754013</v>
      </c>
      <c r="F11" s="28">
        <f>强化辅助表!Z43</f>
        <v>11</v>
      </c>
      <c r="G11" s="28">
        <f>强化辅助表!AA43</f>
        <v>2</v>
      </c>
      <c r="H11" s="28">
        <f>强化辅助表!AB43</f>
        <v>0</v>
      </c>
      <c r="I11" s="28"/>
      <c r="J11" s="28"/>
      <c r="K11" s="28" t="str">
        <f>强化辅助表!B43</f>
        <v>511</v>
      </c>
      <c r="L11" s="28">
        <f>强化辅助表!D43</f>
        <v>1</v>
      </c>
      <c r="M11" s="28">
        <f>强化辅助表!F43</f>
        <v>5</v>
      </c>
      <c r="N11" s="28">
        <f>强化辅助表!Q43</f>
        <v>4.12</v>
      </c>
      <c r="O11" s="33">
        <f>强化辅助表!T43</f>
        <v>3090</v>
      </c>
      <c r="P11" s="33">
        <f>强化辅助表!U43</f>
        <v>1277.2</v>
      </c>
      <c r="Q11">
        <f>强化辅助表!Q43/强化辅助表!S43</f>
        <v>0.02</v>
      </c>
      <c r="R11">
        <f>强化辅助表!Q43/强化辅助表!R43</f>
        <v>0.02</v>
      </c>
      <c r="T11" s="28">
        <f>升星辅助表!AB40</f>
        <v>15</v>
      </c>
      <c r="U11" s="28">
        <f>升星辅助表!AC40</f>
        <v>8</v>
      </c>
      <c r="V11" s="28">
        <f>升星辅助表!AD40</f>
        <v>0</v>
      </c>
      <c r="W11" s="28"/>
      <c r="X11" s="28"/>
      <c r="Y11" s="28" t="str">
        <f>升星辅助表!C40</f>
        <v>511</v>
      </c>
      <c r="Z11" s="28">
        <f>升星辅助表!F40</f>
        <v>1</v>
      </c>
      <c r="AA11" s="28">
        <f>升星辅助表!H40</f>
        <v>5</v>
      </c>
      <c r="AB11" s="28">
        <f>升星辅助表!AU40</f>
        <v>3.92</v>
      </c>
      <c r="AC11" s="33">
        <f>升星辅助表!AX40</f>
        <v>10780</v>
      </c>
      <c r="AD11" s="33">
        <f>升星辅助表!AY40</f>
        <v>10780</v>
      </c>
      <c r="AE11" s="12">
        <f>升星辅助表!AI40</f>
        <v>55</v>
      </c>
      <c r="AF11" s="5">
        <f>升星辅助表!AU40/升星辅助表!AW40</f>
        <v>0.02</v>
      </c>
      <c r="AG11" s="5">
        <f>升星辅助表!AU40/升星辅助表!AV40</f>
        <v>0.02</v>
      </c>
    </row>
    <row r="12" spans="2:33" x14ac:dyDescent="0.15">
      <c r="B12" s="5" t="str">
        <f>D_装备基础数据!A21</f>
        <v>10104</v>
      </c>
      <c r="C12" s="5" t="s">
        <v>405</v>
      </c>
      <c r="D12" s="5">
        <f ca="1">D_装备基础数据!AP21</f>
        <v>54.542447684946119</v>
      </c>
      <c r="F12" s="28">
        <f>强化辅助表!Z44</f>
        <v>7</v>
      </c>
      <c r="G12" s="28">
        <f>强化辅助表!AA44</f>
        <v>0</v>
      </c>
      <c r="H12" s="28">
        <f>强化辅助表!AB44</f>
        <v>0</v>
      </c>
      <c r="I12" s="28"/>
      <c r="J12" s="28"/>
      <c r="K12" s="28" t="str">
        <f>强化辅助表!B44</f>
        <v>512</v>
      </c>
      <c r="L12" s="28">
        <f>强化辅助表!D44</f>
        <v>1</v>
      </c>
      <c r="M12" s="28">
        <f>强化辅助表!F44</f>
        <v>5</v>
      </c>
      <c r="N12" s="28">
        <f>强化辅助表!Q44</f>
        <v>1.6800000000000002</v>
      </c>
      <c r="O12" s="33">
        <f>强化辅助表!T44</f>
        <v>1260</v>
      </c>
      <c r="P12" s="33">
        <f>强化辅助表!U44</f>
        <v>520.80000000000007</v>
      </c>
      <c r="Q12">
        <f>强化辅助表!Q44/强化辅助表!S44</f>
        <v>0.02</v>
      </c>
      <c r="R12">
        <f>强化辅助表!Q44/强化辅助表!R44</f>
        <v>0.02</v>
      </c>
      <c r="T12" s="28">
        <f>升星辅助表!AB41</f>
        <v>27</v>
      </c>
      <c r="U12" s="28">
        <f>升星辅助表!AC41</f>
        <v>0</v>
      </c>
      <c r="V12" s="28">
        <f>升星辅助表!AD41</f>
        <v>0</v>
      </c>
      <c r="W12" s="28"/>
      <c r="X12" s="28"/>
      <c r="Y12" s="28" t="str">
        <f>升星辅助表!C41</f>
        <v>512</v>
      </c>
      <c r="Z12" s="28">
        <f>升星辅助表!F41</f>
        <v>1</v>
      </c>
      <c r="AA12" s="28">
        <f>升星辅助表!H41</f>
        <v>5</v>
      </c>
      <c r="AB12" s="28">
        <f>升星辅助表!AU41</f>
        <v>1.96</v>
      </c>
      <c r="AC12" s="33">
        <f>升星辅助表!AX41</f>
        <v>5390</v>
      </c>
      <c r="AD12" s="33">
        <f>升星辅助表!AY41</f>
        <v>5390</v>
      </c>
      <c r="AE12" s="12">
        <f>升星辅助表!AI41</f>
        <v>55</v>
      </c>
      <c r="AF12" s="5">
        <f>升星辅助表!AU41/升星辅助表!AW41</f>
        <v>0.02</v>
      </c>
      <c r="AG12" s="5">
        <f>升星辅助表!AU41/升星辅助表!AV41</f>
        <v>0.02</v>
      </c>
    </row>
    <row r="13" spans="2:33" x14ac:dyDescent="0.15">
      <c r="B13" s="5" t="str">
        <f>D_装备基础数据!A22</f>
        <v>20104</v>
      </c>
      <c r="C13" s="5" t="str">
        <f>D_装备基础数据!B22</f>
        <v>野性之拳</v>
      </c>
      <c r="D13" s="5">
        <f ca="1">D_装备基础数据!AP22</f>
        <v>54.542447684946119</v>
      </c>
      <c r="F13" s="28">
        <f>强化辅助表!Z45</f>
        <v>7</v>
      </c>
      <c r="G13" s="28">
        <f>强化辅助表!AA45</f>
        <v>0</v>
      </c>
      <c r="H13" s="28">
        <f>强化辅助表!AB45</f>
        <v>0</v>
      </c>
      <c r="I13" s="28"/>
      <c r="J13" s="28"/>
      <c r="K13" s="28" t="str">
        <f>强化辅助表!B45</f>
        <v>515</v>
      </c>
      <c r="L13" s="28">
        <f>强化辅助表!D45</f>
        <v>1</v>
      </c>
      <c r="M13" s="28">
        <f>强化辅助表!F45</f>
        <v>5</v>
      </c>
      <c r="N13" s="28">
        <f>强化辅助表!Q45</f>
        <v>1.74</v>
      </c>
      <c r="O13" s="33">
        <f>强化辅助表!T45</f>
        <v>1305</v>
      </c>
      <c r="P13" s="33">
        <f>强化辅助表!U45</f>
        <v>539.4</v>
      </c>
      <c r="Q13">
        <f>强化辅助表!Q45/强化辅助表!S45</f>
        <v>0.02</v>
      </c>
      <c r="R13">
        <f>强化辅助表!Q45/强化辅助表!R45</f>
        <v>0.02</v>
      </c>
      <c r="T13" s="28">
        <f>升星辅助表!AB42</f>
        <v>27</v>
      </c>
      <c r="U13" s="28">
        <f>升星辅助表!AC42</f>
        <v>0</v>
      </c>
      <c r="V13" s="28">
        <f>升星辅助表!AD42</f>
        <v>0</v>
      </c>
      <c r="W13" s="28"/>
      <c r="X13" s="28"/>
      <c r="Y13" s="28" t="str">
        <f>升星辅助表!C42</f>
        <v>515</v>
      </c>
      <c r="Z13" s="28">
        <f>升星辅助表!F42</f>
        <v>1</v>
      </c>
      <c r="AA13" s="28">
        <f>升星辅助表!H42</f>
        <v>5</v>
      </c>
      <c r="AB13" s="28">
        <f>升星辅助表!AU42</f>
        <v>1.96</v>
      </c>
      <c r="AC13" s="33">
        <f>升星辅助表!AX42</f>
        <v>5390</v>
      </c>
      <c r="AD13" s="33">
        <f>升星辅助表!AY42</f>
        <v>5390</v>
      </c>
      <c r="AE13" s="12">
        <f>升星辅助表!AI42</f>
        <v>55</v>
      </c>
      <c r="AF13" s="5">
        <f>升星辅助表!AU42/升星辅助表!AW42</f>
        <v>0.02</v>
      </c>
      <c r="AG13" s="5">
        <f>升星辅助表!AU42/升星辅助表!AV42</f>
        <v>0.02</v>
      </c>
    </row>
    <row r="14" spans="2:33" x14ac:dyDescent="0.15">
      <c r="B14" s="5" t="str">
        <f>D_装备基础数据!A23</f>
        <v>30104</v>
      </c>
      <c r="C14" s="5" t="s">
        <v>406</v>
      </c>
      <c r="D14" s="5">
        <f ca="1">D_装备基础数据!AP23</f>
        <v>54.542447684946119</v>
      </c>
      <c r="F14" s="28">
        <f>强化辅助表!Z46</f>
        <v>5</v>
      </c>
      <c r="G14" s="28">
        <f>强化辅助表!AA46</f>
        <v>0</v>
      </c>
      <c r="H14" s="28">
        <f>强化辅助表!AB46</f>
        <v>0</v>
      </c>
      <c r="I14" s="28"/>
      <c r="J14" s="28"/>
      <c r="K14" s="28" t="str">
        <f>强化辅助表!B46</f>
        <v>514</v>
      </c>
      <c r="L14" s="28">
        <f>强化辅助表!D46</f>
        <v>1</v>
      </c>
      <c r="M14" s="28">
        <f>强化辅助表!F46</f>
        <v>5</v>
      </c>
      <c r="N14" s="28">
        <f>强化辅助表!Q46</f>
        <v>1.26</v>
      </c>
      <c r="O14" s="33">
        <f>强化辅助表!T46</f>
        <v>945</v>
      </c>
      <c r="P14" s="33">
        <f>强化辅助表!U46</f>
        <v>390.6</v>
      </c>
      <c r="Q14">
        <f>强化辅助表!Q46/强化辅助表!S46</f>
        <v>0.02</v>
      </c>
      <c r="R14">
        <f>强化辅助表!Q46/强化辅助表!R46</f>
        <v>0.02</v>
      </c>
      <c r="T14" s="28">
        <f>升星辅助表!AB43</f>
        <v>15</v>
      </c>
      <c r="U14" s="28">
        <f>升星辅助表!AC43</f>
        <v>8</v>
      </c>
      <c r="V14" s="28">
        <f>升星辅助表!AD43</f>
        <v>0</v>
      </c>
      <c r="W14" s="28"/>
      <c r="X14" s="28"/>
      <c r="Y14" s="28" t="str">
        <f>升星辅助表!C43</f>
        <v>514</v>
      </c>
      <c r="Z14" s="28">
        <f>升星辅助表!F43</f>
        <v>1</v>
      </c>
      <c r="AA14" s="28">
        <f>升星辅助表!H43</f>
        <v>5</v>
      </c>
      <c r="AB14" s="28">
        <f>升星辅助表!AU43</f>
        <v>3.92</v>
      </c>
      <c r="AC14" s="33">
        <f>升星辅助表!AX43</f>
        <v>10780</v>
      </c>
      <c r="AD14" s="33">
        <f>升星辅助表!AY43</f>
        <v>10780</v>
      </c>
      <c r="AE14" s="12">
        <f>升星辅助表!AI43</f>
        <v>55</v>
      </c>
      <c r="AF14" s="5">
        <f>升星辅助表!AU43/升星辅助表!AW43</f>
        <v>0.02</v>
      </c>
      <c r="AG14" s="5">
        <f>升星辅助表!AU43/升星辅助表!AV43</f>
        <v>0.02</v>
      </c>
    </row>
    <row r="15" spans="2:33" x14ac:dyDescent="0.15">
      <c r="B15" s="5" t="str">
        <f>D_装备基础数据!A24</f>
        <v>51104</v>
      </c>
      <c r="C15" s="5" t="s">
        <v>407</v>
      </c>
      <c r="D15" s="5">
        <f ca="1">D_装备基础数据!AP24</f>
        <v>47.052771821253287</v>
      </c>
      <c r="F15" s="28">
        <f>强化辅助表!Z47</f>
        <v>13</v>
      </c>
      <c r="G15" s="28">
        <f>强化辅助表!AA47</f>
        <v>0</v>
      </c>
      <c r="H15" s="28">
        <f>强化辅助表!AB47</f>
        <v>0</v>
      </c>
      <c r="I15" s="28">
        <f>M15</f>
        <v>5</v>
      </c>
      <c r="J15" s="28">
        <f>SUM(P10:P15)</f>
        <v>5177.0000000000009</v>
      </c>
      <c r="K15" s="28" t="str">
        <f>强化辅助表!B47</f>
        <v>513</v>
      </c>
      <c r="L15" s="28">
        <f>强化辅助表!D47</f>
        <v>1</v>
      </c>
      <c r="M15" s="28">
        <f>强化辅助表!F47</f>
        <v>5</v>
      </c>
      <c r="N15" s="28">
        <f>强化辅助表!Q47</f>
        <v>3.3600000000000003</v>
      </c>
      <c r="O15" s="33">
        <f>强化辅助表!T47</f>
        <v>2520</v>
      </c>
      <c r="P15" s="33">
        <f>强化辅助表!U47</f>
        <v>1041.6000000000001</v>
      </c>
      <c r="Q15">
        <f>强化辅助表!Q47/强化辅助表!S47</f>
        <v>0.02</v>
      </c>
      <c r="R15">
        <f>强化辅助表!Q47/强化辅助表!R47</f>
        <v>0.02</v>
      </c>
      <c r="T15" s="28">
        <f>升星辅助表!AB44</f>
        <v>16</v>
      </c>
      <c r="U15" s="28">
        <f>升星辅助表!AC44</f>
        <v>6</v>
      </c>
      <c r="V15" s="28">
        <f>升星辅助表!AD44</f>
        <v>0</v>
      </c>
      <c r="W15" s="28"/>
      <c r="X15" s="28"/>
      <c r="Y15" s="28" t="str">
        <f>升星辅助表!C44</f>
        <v>513</v>
      </c>
      <c r="Z15" s="28">
        <f>升星辅助表!F44</f>
        <v>1</v>
      </c>
      <c r="AA15" s="28">
        <f>升星辅助表!H44</f>
        <v>5</v>
      </c>
      <c r="AB15" s="28">
        <f>升星辅助表!AU44</f>
        <v>3</v>
      </c>
      <c r="AC15" s="33">
        <f>升星辅助表!AX44</f>
        <v>8250</v>
      </c>
      <c r="AD15" s="33">
        <f>升星辅助表!AY44</f>
        <v>8250</v>
      </c>
      <c r="AE15" s="12">
        <f>升星辅助表!AI44</f>
        <v>55</v>
      </c>
      <c r="AF15" s="5">
        <f>升星辅助表!AU44/升星辅助表!AW44</f>
        <v>0.02</v>
      </c>
      <c r="AG15" s="5">
        <f>升星辅助表!AU44/升星辅助表!AV44</f>
        <v>0.02</v>
      </c>
    </row>
    <row r="16" spans="2:33" x14ac:dyDescent="0.15">
      <c r="B16" s="5" t="str">
        <f>D_装备基础数据!A25</f>
        <v>52104</v>
      </c>
      <c r="C16" s="5" t="s">
        <v>408</v>
      </c>
      <c r="D16" s="5">
        <f ca="1">D_装备基础数据!AP25</f>
        <v>17.336209152491556</v>
      </c>
      <c r="F16" s="28">
        <f>强化辅助表!Z48</f>
        <v>6</v>
      </c>
      <c r="G16" s="28">
        <f>强化辅助表!AA48</f>
        <v>30</v>
      </c>
      <c r="H16" s="28">
        <f>强化辅助表!AB48</f>
        <v>4</v>
      </c>
      <c r="I16" s="28"/>
      <c r="J16" s="28"/>
      <c r="K16" s="28" t="str">
        <f>强化辅助表!B48</f>
        <v>1510</v>
      </c>
      <c r="L16" s="28">
        <f>强化辅助表!D48</f>
        <v>1</v>
      </c>
      <c r="M16" s="28">
        <f>强化辅助表!F48</f>
        <v>15</v>
      </c>
      <c r="N16" s="28">
        <f>强化辅助表!Q48</f>
        <v>7.9</v>
      </c>
      <c r="O16" s="33">
        <f>强化辅助表!T48</f>
        <v>47400</v>
      </c>
      <c r="P16" s="33">
        <f>强化辅助表!U48</f>
        <v>9860.4</v>
      </c>
      <c r="Q16">
        <f>强化辅助表!Q48/强化辅助表!S48</f>
        <v>0.02</v>
      </c>
      <c r="R16">
        <f>强化辅助表!Q48/强化辅助表!R48</f>
        <v>0.02</v>
      </c>
      <c r="T16" s="28">
        <f>升星辅助表!AB45</f>
        <v>5</v>
      </c>
      <c r="U16" s="28">
        <f>升星辅助表!AC45</f>
        <v>13</v>
      </c>
      <c r="V16" s="28">
        <f>升星辅助表!AD45</f>
        <v>8</v>
      </c>
      <c r="W16" s="28"/>
      <c r="X16" s="28"/>
      <c r="Y16" s="28" t="str">
        <f>升星辅助表!C45</f>
        <v>1510</v>
      </c>
      <c r="Z16" s="28">
        <f>升星辅助表!F45</f>
        <v>1</v>
      </c>
      <c r="AA16" s="28">
        <f>升星辅助表!H45</f>
        <v>15</v>
      </c>
      <c r="AB16" s="28">
        <f>升星辅助表!AU45</f>
        <v>18</v>
      </c>
      <c r="AC16" s="33">
        <f>升星辅助表!AX45</f>
        <v>49500</v>
      </c>
      <c r="AD16" s="33">
        <f>升星辅助表!AY45</f>
        <v>49500</v>
      </c>
      <c r="AE16" s="12">
        <f>升星辅助表!AI45</f>
        <v>165</v>
      </c>
      <c r="AF16" s="5">
        <f>升星辅助表!AU45/升星辅助表!AW45</f>
        <v>0.02</v>
      </c>
      <c r="AG16" s="5">
        <f>升星辅助表!AU45/升星辅助表!AV45</f>
        <v>0.02</v>
      </c>
    </row>
    <row r="17" spans="2:33" x14ac:dyDescent="0.15">
      <c r="B17" s="5" t="str">
        <f>D_装备基础数据!A26</f>
        <v>55104</v>
      </c>
      <c r="C17" s="5" t="s">
        <v>409</v>
      </c>
      <c r="D17" s="5">
        <f ca="1">D_装备基础数据!AP26</f>
        <v>22.085271553158545</v>
      </c>
      <c r="F17" s="28">
        <f>强化辅助表!Z49</f>
        <v>6</v>
      </c>
      <c r="G17" s="28">
        <f>强化辅助表!AA49</f>
        <v>32</v>
      </c>
      <c r="H17" s="28">
        <f>强化辅助表!AB49</f>
        <v>3</v>
      </c>
      <c r="I17" s="28"/>
      <c r="J17" s="28"/>
      <c r="K17" s="28" t="str">
        <f>强化辅助表!B49</f>
        <v>1511</v>
      </c>
      <c r="L17" s="28">
        <f>强化辅助表!D49</f>
        <v>1</v>
      </c>
      <c r="M17" s="28">
        <f>强化辅助表!F49</f>
        <v>15</v>
      </c>
      <c r="N17" s="28">
        <f>强化辅助表!Q49</f>
        <v>7.24</v>
      </c>
      <c r="O17" s="33">
        <f>强化辅助表!T49</f>
        <v>43440</v>
      </c>
      <c r="P17" s="33">
        <f>强化辅助表!U49</f>
        <v>9024.0000000000018</v>
      </c>
      <c r="Q17">
        <f>强化辅助表!Q49/强化辅助表!S49</f>
        <v>0.02</v>
      </c>
      <c r="R17">
        <f>强化辅助表!Q49/强化辅助表!R49</f>
        <v>0.02</v>
      </c>
      <c r="T17" s="28">
        <f>升星辅助表!AB46</f>
        <v>6</v>
      </c>
      <c r="U17" s="28">
        <f>升星辅助表!AC46</f>
        <v>21</v>
      </c>
      <c r="V17" s="28">
        <f>升星辅助表!AD46</f>
        <v>0</v>
      </c>
      <c r="W17" s="28"/>
      <c r="X17" s="28"/>
      <c r="Y17" s="28" t="str">
        <f>升星辅助表!C46</f>
        <v>1511</v>
      </c>
      <c r="Z17" s="28">
        <f>升星辅助表!F46</f>
        <v>1</v>
      </c>
      <c r="AA17" s="28">
        <f>升星辅助表!H46</f>
        <v>15</v>
      </c>
      <c r="AB17" s="28">
        <f>升星辅助表!AU46</f>
        <v>7.84</v>
      </c>
      <c r="AC17" s="33">
        <f>升星辅助表!AX46</f>
        <v>21560</v>
      </c>
      <c r="AD17" s="33">
        <f>升星辅助表!AY46</f>
        <v>21560</v>
      </c>
      <c r="AE17" s="12">
        <f>升星辅助表!AI46</f>
        <v>110</v>
      </c>
      <c r="AF17" s="5">
        <f>升星辅助表!AU46/升星辅助表!AW46</f>
        <v>0.02</v>
      </c>
      <c r="AG17" s="5">
        <f>升星辅助表!AU46/升星辅助表!AV46</f>
        <v>0.02</v>
      </c>
    </row>
    <row r="18" spans="2:33" x14ac:dyDescent="0.15">
      <c r="B18" s="5" t="str">
        <f>D_装备基础数据!A27</f>
        <v>54104</v>
      </c>
      <c r="C18" s="5" t="s">
        <v>410</v>
      </c>
      <c r="D18" s="5">
        <f ca="1">D_装备基础数据!AP27</f>
        <v>17.766917785660109</v>
      </c>
      <c r="F18" s="28">
        <f>强化辅助表!Z50</f>
        <v>16</v>
      </c>
      <c r="G18" s="28">
        <f>强化辅助表!AA50</f>
        <v>15</v>
      </c>
      <c r="H18" s="28">
        <f>强化辅助表!AB50</f>
        <v>0</v>
      </c>
      <c r="I18" s="28"/>
      <c r="J18" s="28"/>
      <c r="K18" s="28" t="str">
        <f>强化辅助表!B50</f>
        <v>1512</v>
      </c>
      <c r="L18" s="28">
        <f>强化辅助表!D50</f>
        <v>1</v>
      </c>
      <c r="M18" s="28">
        <f>强化辅助表!F50</f>
        <v>15</v>
      </c>
      <c r="N18" s="28">
        <f>强化辅助表!Q50</f>
        <v>3.02</v>
      </c>
      <c r="O18" s="33">
        <f>强化辅助表!T50</f>
        <v>18120</v>
      </c>
      <c r="P18" s="33">
        <f>强化辅助表!U50</f>
        <v>3752.2000000000007</v>
      </c>
      <c r="Q18">
        <f>强化辅助表!Q50/强化辅助表!S50</f>
        <v>0.02</v>
      </c>
      <c r="R18">
        <f>强化辅助表!Q50/强化辅助表!R50</f>
        <v>0.02</v>
      </c>
      <c r="T18" s="28">
        <f>升星辅助表!AB47</f>
        <v>15</v>
      </c>
      <c r="U18" s="28">
        <f>升星辅助表!AC47</f>
        <v>8</v>
      </c>
      <c r="V18" s="28">
        <f>升星辅助表!AD47</f>
        <v>0</v>
      </c>
      <c r="W18" s="28"/>
      <c r="X18" s="28"/>
      <c r="Y18" s="28" t="str">
        <f>升星辅助表!C47</f>
        <v>1512</v>
      </c>
      <c r="Z18" s="28">
        <f>升星辅助表!F47</f>
        <v>1</v>
      </c>
      <c r="AA18" s="28">
        <f>升星辅助表!H47</f>
        <v>15</v>
      </c>
      <c r="AB18" s="28">
        <f>升星辅助表!AU47</f>
        <v>3.92</v>
      </c>
      <c r="AC18" s="33">
        <f>升星辅助表!AX47</f>
        <v>10780</v>
      </c>
      <c r="AD18" s="33">
        <f>升星辅助表!AY47</f>
        <v>10780</v>
      </c>
      <c r="AE18" s="12">
        <f>升星辅助表!AI47</f>
        <v>55</v>
      </c>
      <c r="AF18" s="5">
        <f>升星辅助表!AU47/升星辅助表!AW47</f>
        <v>0.02</v>
      </c>
      <c r="AG18" s="5">
        <f>升星辅助表!AU47/升星辅助表!AV47</f>
        <v>0.02</v>
      </c>
    </row>
    <row r="19" spans="2:33" x14ac:dyDescent="0.15">
      <c r="B19" s="5" t="str">
        <f>D_装备基础数据!A28</f>
        <v>53104</v>
      </c>
      <c r="C19" s="5" t="s">
        <v>411</v>
      </c>
      <c r="D19" s="5">
        <f ca="1">D_装备基础数据!AP28</f>
        <v>33.114508171122999</v>
      </c>
      <c r="F19" s="28">
        <f>强化辅助表!Z51</f>
        <v>17</v>
      </c>
      <c r="G19" s="28">
        <f>强化辅助表!AA51</f>
        <v>16</v>
      </c>
      <c r="H19" s="28">
        <f>强化辅助表!AB51</f>
        <v>0</v>
      </c>
      <c r="I19" s="28"/>
      <c r="J19" s="28"/>
      <c r="K19" s="28" t="str">
        <f>强化辅助表!B51</f>
        <v>1515</v>
      </c>
      <c r="L19" s="28">
        <f>强化辅助表!D51</f>
        <v>1</v>
      </c>
      <c r="M19" s="28">
        <f>强化辅助表!F51</f>
        <v>15</v>
      </c>
      <c r="N19" s="28">
        <f>强化辅助表!Q51</f>
        <v>3.14</v>
      </c>
      <c r="O19" s="33">
        <f>强化辅助表!T51</f>
        <v>18840</v>
      </c>
      <c r="P19" s="33">
        <f>强化辅助表!U51</f>
        <v>3899.2</v>
      </c>
      <c r="Q19">
        <f>强化辅助表!Q51/强化辅助表!S51</f>
        <v>0.02</v>
      </c>
      <c r="R19">
        <f>强化辅助表!Q51/强化辅助表!R51</f>
        <v>0.02</v>
      </c>
      <c r="T19" s="28">
        <f>升星辅助表!AB48</f>
        <v>15</v>
      </c>
      <c r="U19" s="28">
        <f>升星辅助表!AC48</f>
        <v>8</v>
      </c>
      <c r="V19" s="28">
        <f>升星辅助表!AD48</f>
        <v>0</v>
      </c>
      <c r="W19" s="28"/>
      <c r="X19" s="28"/>
      <c r="Y19" s="28" t="str">
        <f>升星辅助表!C48</f>
        <v>1515</v>
      </c>
      <c r="Z19" s="28">
        <f>升星辅助表!F48</f>
        <v>1</v>
      </c>
      <c r="AA19" s="28">
        <f>升星辅助表!H48</f>
        <v>15</v>
      </c>
      <c r="AB19" s="28">
        <f>升星辅助表!AU48</f>
        <v>3.92</v>
      </c>
      <c r="AC19" s="33">
        <f>升星辅助表!AX48</f>
        <v>10780</v>
      </c>
      <c r="AD19" s="33">
        <f>升星辅助表!AY48</f>
        <v>10780</v>
      </c>
      <c r="AE19" s="12">
        <f>升星辅助表!AI48</f>
        <v>55</v>
      </c>
      <c r="AF19" s="5">
        <f>升星辅助表!AU48/升星辅助表!AW48</f>
        <v>0.02</v>
      </c>
      <c r="AG19" s="5">
        <f>升星辅助表!AU48/升星辅助表!AV48</f>
        <v>0.02</v>
      </c>
    </row>
    <row r="20" spans="2:33" x14ac:dyDescent="0.15">
      <c r="B20" s="5" t="str">
        <f>D_装备基础数据!A29</f>
        <v>10205</v>
      </c>
      <c r="C20" s="5" t="s">
        <v>412</v>
      </c>
      <c r="D20" s="5">
        <f ca="1">D_装备基础数据!AP29</f>
        <v>78.44478193951754</v>
      </c>
      <c r="F20" s="28">
        <f>强化辅助表!Z52</f>
        <v>22</v>
      </c>
      <c r="G20" s="28">
        <f>强化辅助表!AA52</f>
        <v>10</v>
      </c>
      <c r="H20" s="28">
        <f>强化辅助表!AB52</f>
        <v>0</v>
      </c>
      <c r="I20" s="28"/>
      <c r="J20" s="28"/>
      <c r="K20" s="28" t="str">
        <f>强化辅助表!B52</f>
        <v>1514</v>
      </c>
      <c r="L20" s="28">
        <f>强化辅助表!D52</f>
        <v>1</v>
      </c>
      <c r="M20" s="28">
        <f>强化辅助表!F52</f>
        <v>15</v>
      </c>
      <c r="N20" s="28">
        <f>强化辅助表!Q52</f>
        <v>2.34</v>
      </c>
      <c r="O20" s="33">
        <f>强化辅助表!T52</f>
        <v>14040</v>
      </c>
      <c r="P20" s="33">
        <f>强化辅助表!U52</f>
        <v>2894.3999999999996</v>
      </c>
      <c r="Q20">
        <f>强化辅助表!Q52/强化辅助表!S52</f>
        <v>0.02</v>
      </c>
      <c r="R20">
        <f>强化辅助表!Q52/强化辅助表!R52</f>
        <v>0.02</v>
      </c>
      <c r="T20" s="28">
        <f>升星辅助表!AB49</f>
        <v>6</v>
      </c>
      <c r="U20" s="28">
        <f>升星辅助表!AC49</f>
        <v>21</v>
      </c>
      <c r="V20" s="28">
        <f>升星辅助表!AD49</f>
        <v>0</v>
      </c>
      <c r="W20" s="28"/>
      <c r="X20" s="28"/>
      <c r="Y20" s="28" t="str">
        <f>升星辅助表!C49</f>
        <v>1514</v>
      </c>
      <c r="Z20" s="28">
        <f>升星辅助表!F49</f>
        <v>1</v>
      </c>
      <c r="AA20" s="28">
        <f>升星辅助表!H49</f>
        <v>15</v>
      </c>
      <c r="AB20" s="28">
        <f>升星辅助表!AU49</f>
        <v>7.84</v>
      </c>
      <c r="AC20" s="33">
        <f>升星辅助表!AX49</f>
        <v>21560</v>
      </c>
      <c r="AD20" s="33">
        <f>升星辅助表!AY49</f>
        <v>21560</v>
      </c>
      <c r="AE20" s="12">
        <f>升星辅助表!AI49</f>
        <v>110</v>
      </c>
      <c r="AF20" s="5">
        <f>升星辅助表!AU49/升星辅助表!AW49</f>
        <v>0.02</v>
      </c>
      <c r="AG20" s="5">
        <f>升星辅助表!AU49/升星辅助表!AV49</f>
        <v>0.02</v>
      </c>
    </row>
    <row r="21" spans="2:33" x14ac:dyDescent="0.15">
      <c r="B21" s="5" t="str">
        <f>D_装备基础数据!A30</f>
        <v>20205</v>
      </c>
      <c r="C21" s="5" t="s">
        <v>413</v>
      </c>
      <c r="D21" s="5">
        <f ca="1">D_装备基础数据!AP30</f>
        <v>78.44478193951754</v>
      </c>
      <c r="F21" s="28">
        <f>强化辅助表!Z53</f>
        <v>9</v>
      </c>
      <c r="G21" s="28">
        <f>强化辅助表!AA53</f>
        <v>33</v>
      </c>
      <c r="H21" s="28">
        <f>强化辅助表!AB53</f>
        <v>0</v>
      </c>
      <c r="I21" s="28">
        <f>M21</f>
        <v>15</v>
      </c>
      <c r="J21" s="28">
        <f>SUM(P16:P21)</f>
        <v>36592.200000000004</v>
      </c>
      <c r="K21" s="28" t="str">
        <f>强化辅助表!B53</f>
        <v>1513</v>
      </c>
      <c r="L21" s="28">
        <f>强化辅助表!D53</f>
        <v>1</v>
      </c>
      <c r="M21" s="28">
        <f>强化辅助表!F53</f>
        <v>15</v>
      </c>
      <c r="N21" s="28">
        <f>强化辅助表!Q53</f>
        <v>5.7200000000000006</v>
      </c>
      <c r="O21" s="33">
        <f>强化辅助表!T53</f>
        <v>34320</v>
      </c>
      <c r="P21" s="33">
        <f>强化辅助表!U53</f>
        <v>7162.0000000000018</v>
      </c>
      <c r="Q21">
        <f>强化辅助表!Q53/强化辅助表!S53</f>
        <v>2.0000000000000004E-2</v>
      </c>
      <c r="R21">
        <f>强化辅助表!Q53/强化辅助表!R53</f>
        <v>2.0000000000000004E-2</v>
      </c>
      <c r="T21" s="28">
        <f>升星辅助表!AB50</f>
        <v>9</v>
      </c>
      <c r="U21" s="28">
        <f>升星辅助表!AC50</f>
        <v>15</v>
      </c>
      <c r="V21" s="28">
        <f>升星辅助表!AD50</f>
        <v>0</v>
      </c>
      <c r="W21" s="28">
        <f>AA21</f>
        <v>15</v>
      </c>
      <c r="X21" s="28">
        <f>SUM(AD16:AD21)</f>
        <v>130680</v>
      </c>
      <c r="Y21" s="28" t="str">
        <f>升星辅助表!C50</f>
        <v>1513</v>
      </c>
      <c r="Z21" s="28">
        <f>升星辅助表!F50</f>
        <v>1</v>
      </c>
      <c r="AA21" s="28">
        <f>升星辅助表!H50</f>
        <v>15</v>
      </c>
      <c r="AB21" s="28">
        <f>升星辅助表!AU50</f>
        <v>6</v>
      </c>
      <c r="AC21" s="33">
        <f>升星辅助表!AX50</f>
        <v>16500</v>
      </c>
      <c r="AD21" s="33">
        <f>升星辅助表!AY50</f>
        <v>16500</v>
      </c>
      <c r="AE21" s="12">
        <f>升星辅助表!AI50</f>
        <v>55</v>
      </c>
      <c r="AF21" s="5">
        <f>升星辅助表!AU50/升星辅助表!AW50</f>
        <v>0.02</v>
      </c>
      <c r="AG21" s="5">
        <f>升星辅助表!AU50/升星辅助表!AV50</f>
        <v>0.02</v>
      </c>
    </row>
    <row r="22" spans="2:33" x14ac:dyDescent="0.15">
      <c r="B22" s="5" t="str">
        <f>D_装备基础数据!A31</f>
        <v>30205</v>
      </c>
      <c r="C22" s="5" t="s">
        <v>414</v>
      </c>
      <c r="D22" s="5">
        <f ca="1">D_装备基础数据!AP31</f>
        <v>78.44478193951754</v>
      </c>
      <c r="F22" s="28">
        <f>强化辅助表!Z54</f>
        <v>3</v>
      </c>
      <c r="G22" s="28">
        <f>强化辅助表!AA54</f>
        <v>25</v>
      </c>
      <c r="H22" s="28">
        <f>强化辅助表!AB54</f>
        <v>9</v>
      </c>
      <c r="I22" s="28"/>
      <c r="J22" s="28"/>
      <c r="K22" s="28" t="str">
        <f>强化辅助表!B54</f>
        <v>1520</v>
      </c>
      <c r="L22" s="28">
        <f>强化辅助表!D54</f>
        <v>2</v>
      </c>
      <c r="M22" s="28">
        <f>强化辅助表!F54</f>
        <v>15</v>
      </c>
      <c r="N22" s="28">
        <f>强化辅助表!Q54</f>
        <v>11.08</v>
      </c>
      <c r="O22" s="33">
        <f>强化辅助表!T54</f>
        <v>66480</v>
      </c>
      <c r="P22" s="33">
        <f>强化辅助表!U54</f>
        <v>13262.999999999998</v>
      </c>
      <c r="Q22">
        <f>强化辅助表!Q54/强化辅助表!S54</f>
        <v>0.02</v>
      </c>
      <c r="R22">
        <f>强化辅助表!Q54/强化辅助表!R54</f>
        <v>0.02</v>
      </c>
      <c r="T22" s="28">
        <f>升星辅助表!AB51</f>
        <v>0</v>
      </c>
      <c r="U22" s="28">
        <f>升星辅助表!AC51</f>
        <v>9</v>
      </c>
      <c r="V22" s="28">
        <f>升星辅助表!AD51</f>
        <v>15</v>
      </c>
      <c r="W22" s="28"/>
      <c r="X22" s="28"/>
      <c r="Y22" s="28" t="str">
        <f>升星辅助表!C51</f>
        <v>1520</v>
      </c>
      <c r="Z22" s="28">
        <f>升星辅助表!F51</f>
        <v>2</v>
      </c>
      <c r="AA22" s="28">
        <f>升星辅助表!H51</f>
        <v>15</v>
      </c>
      <c r="AB22" s="28">
        <f>升星辅助表!AU51</f>
        <v>29</v>
      </c>
      <c r="AC22" s="33">
        <f>升星辅助表!AX51</f>
        <v>79750</v>
      </c>
      <c r="AD22" s="33">
        <f>升星辅助表!AY51</f>
        <v>79750</v>
      </c>
      <c r="AE22" s="12">
        <f>升星辅助表!AI51</f>
        <v>275</v>
      </c>
      <c r="AF22" s="5">
        <f>升星辅助表!AU51/升星辅助表!AW51</f>
        <v>0.02</v>
      </c>
      <c r="AG22" s="5">
        <f>升星辅助表!AU51/升星辅助表!AV51</f>
        <v>0.02</v>
      </c>
    </row>
    <row r="23" spans="2:33" x14ac:dyDescent="0.15">
      <c r="B23" s="5" t="str">
        <f>D_装备基础数据!A32</f>
        <v>51205</v>
      </c>
      <c r="C23" s="5" t="s">
        <v>415</v>
      </c>
      <c r="D23" s="5">
        <f ca="1">D_装备基础数据!AP32</f>
        <v>66.481629457733803</v>
      </c>
      <c r="F23" s="28">
        <f>强化辅助表!Z55</f>
        <v>7</v>
      </c>
      <c r="G23" s="28">
        <f>强化辅助表!AA55</f>
        <v>24</v>
      </c>
      <c r="H23" s="28">
        <f>强化辅助表!AB55</f>
        <v>6</v>
      </c>
      <c r="I23" s="28"/>
      <c r="J23" s="28"/>
      <c r="K23" s="28" t="str">
        <f>强化辅助表!B55</f>
        <v>1521</v>
      </c>
      <c r="L23" s="28">
        <f>强化辅助表!D55</f>
        <v>2</v>
      </c>
      <c r="M23" s="28">
        <f>强化辅助表!F55</f>
        <v>15</v>
      </c>
      <c r="N23" s="28">
        <f>强化辅助表!Q55</f>
        <v>9.120000000000001</v>
      </c>
      <c r="O23" s="33">
        <f>强化辅助表!T55</f>
        <v>54720</v>
      </c>
      <c r="P23" s="33">
        <f>强化辅助表!U55</f>
        <v>11035.600000000002</v>
      </c>
      <c r="Q23">
        <f>强化辅助表!Q55/强化辅助表!S55</f>
        <v>2.0000000000000004E-2</v>
      </c>
      <c r="R23">
        <f>强化辅助表!Q55/强化辅助表!R55</f>
        <v>2.0000000000000004E-2</v>
      </c>
      <c r="T23" s="28">
        <f>升星辅助表!AB52</f>
        <v>0</v>
      </c>
      <c r="U23" s="28">
        <f>升星辅助表!AC52</f>
        <v>11</v>
      </c>
      <c r="V23" s="28">
        <f>升星辅助表!AD52</f>
        <v>10</v>
      </c>
      <c r="W23" s="28"/>
      <c r="X23" s="28"/>
      <c r="Y23" s="28" t="str">
        <f>升星辅助表!C52</f>
        <v>1521</v>
      </c>
      <c r="Z23" s="28">
        <f>升星辅助表!F52</f>
        <v>2</v>
      </c>
      <c r="AA23" s="28">
        <f>升星辅助表!H52</f>
        <v>15</v>
      </c>
      <c r="AB23" s="28">
        <f>升星辅助表!AU52</f>
        <v>20.32</v>
      </c>
      <c r="AC23" s="33">
        <f>升星辅助表!AX52</f>
        <v>55880</v>
      </c>
      <c r="AD23" s="33">
        <f>升星辅助表!AY52</f>
        <v>55880</v>
      </c>
      <c r="AE23" s="12">
        <f>升星辅助表!AI52</f>
        <v>220</v>
      </c>
      <c r="AF23" s="5">
        <f>升星辅助表!AU52/升星辅助表!AW52</f>
        <v>0.02</v>
      </c>
      <c r="AG23" s="5">
        <f>升星辅助表!AU52/升星辅助表!AV52</f>
        <v>0.02</v>
      </c>
    </row>
    <row r="24" spans="2:33" x14ac:dyDescent="0.15">
      <c r="B24" s="5" t="str">
        <f>D_装备基础数据!A33</f>
        <v>52205</v>
      </c>
      <c r="C24" s="5" t="s">
        <v>416</v>
      </c>
      <c r="D24" s="5">
        <f ca="1">D_装备基础数据!AP33</f>
        <v>25.23747283105687</v>
      </c>
      <c r="F24" s="28">
        <f>强化辅助表!Z56</f>
        <v>16</v>
      </c>
      <c r="G24" s="28">
        <f>强化辅助表!AA56</f>
        <v>15</v>
      </c>
      <c r="H24" s="28">
        <f>强化辅助表!AB56</f>
        <v>0</v>
      </c>
      <c r="I24" s="28"/>
      <c r="J24" s="28"/>
      <c r="K24" s="28" t="str">
        <f>强化辅助表!B56</f>
        <v>1522</v>
      </c>
      <c r="L24" s="28">
        <f>强化辅助表!D56</f>
        <v>2</v>
      </c>
      <c r="M24" s="28">
        <f>强化辅助表!F56</f>
        <v>15</v>
      </c>
      <c r="N24" s="28">
        <f>强化辅助表!Q56</f>
        <v>3.02</v>
      </c>
      <c r="O24" s="33">
        <f>强化辅助表!T56</f>
        <v>18120</v>
      </c>
      <c r="P24" s="33">
        <f>强化辅助表!U56</f>
        <v>3752.2000000000007</v>
      </c>
      <c r="Q24">
        <f>强化辅助表!Q56/强化辅助表!S56</f>
        <v>0.02</v>
      </c>
      <c r="R24">
        <f>强化辅助表!Q56/强化辅助表!R56</f>
        <v>0.02</v>
      </c>
      <c r="T24" s="28">
        <f>升星辅助表!AB53</f>
        <v>7</v>
      </c>
      <c r="U24" s="28">
        <f>升星辅助表!AC53</f>
        <v>23</v>
      </c>
      <c r="V24" s="28">
        <f>升星辅助表!AD53</f>
        <v>0</v>
      </c>
      <c r="W24" s="28"/>
      <c r="X24" s="28"/>
      <c r="Y24" s="28" t="str">
        <f>升星辅助表!C53</f>
        <v>1522</v>
      </c>
      <c r="Z24" s="28">
        <f>升星辅助表!F53</f>
        <v>2</v>
      </c>
      <c r="AA24" s="28">
        <f>升星辅助表!H53</f>
        <v>15</v>
      </c>
      <c r="AB24" s="28">
        <f>升星辅助表!AU53</f>
        <v>8.68</v>
      </c>
      <c r="AC24" s="33">
        <f>升星辅助表!AX53</f>
        <v>23870</v>
      </c>
      <c r="AD24" s="33">
        <f>升星辅助表!AY53</f>
        <v>23870</v>
      </c>
      <c r="AE24" s="12">
        <f>升星辅助表!AI53</f>
        <v>110</v>
      </c>
      <c r="AF24" s="5">
        <f>升星辅助表!AU53/升星辅助表!AW53</f>
        <v>0.02</v>
      </c>
      <c r="AG24" s="5">
        <f>升星辅助表!AU53/升星辅助表!AV53</f>
        <v>0.02</v>
      </c>
    </row>
    <row r="25" spans="2:33" x14ac:dyDescent="0.15">
      <c r="B25" s="5" t="str">
        <f>D_装备基础数据!A34</f>
        <v>55205</v>
      </c>
      <c r="C25" s="5" t="s">
        <v>417</v>
      </c>
      <c r="D25" s="5">
        <f ca="1">D_装备基础数据!AP34</f>
        <v>31.972386208936598</v>
      </c>
      <c r="F25" s="28">
        <f>强化辅助表!Z57</f>
        <v>12</v>
      </c>
      <c r="G25" s="28">
        <f>强化辅助表!AA57</f>
        <v>25</v>
      </c>
      <c r="H25" s="28">
        <f>强化辅助表!AB57</f>
        <v>0</v>
      </c>
      <c r="I25" s="28"/>
      <c r="J25" s="28"/>
      <c r="K25" s="28" t="str">
        <f>强化辅助表!B57</f>
        <v>1525</v>
      </c>
      <c r="L25" s="28">
        <f>强化辅助表!D57</f>
        <v>2</v>
      </c>
      <c r="M25" s="28">
        <f>强化辅助表!F57</f>
        <v>15</v>
      </c>
      <c r="N25" s="28">
        <f>强化辅助表!Q57</f>
        <v>4.42</v>
      </c>
      <c r="O25" s="33">
        <f>强化辅助表!T57</f>
        <v>26520</v>
      </c>
      <c r="P25" s="33">
        <f>强化辅助表!U57</f>
        <v>5268.7999999999993</v>
      </c>
      <c r="Q25">
        <f>强化辅助表!Q57/强化辅助表!S57</f>
        <v>0.02</v>
      </c>
      <c r="R25">
        <f>强化辅助表!Q57/强化辅助表!R57</f>
        <v>0.02</v>
      </c>
      <c r="T25" s="28">
        <f>升星辅助表!AB54</f>
        <v>3</v>
      </c>
      <c r="U25" s="28">
        <f>升星辅助表!AC54</f>
        <v>23</v>
      </c>
      <c r="V25" s="28">
        <f>升星辅助表!AD54</f>
        <v>2</v>
      </c>
      <c r="W25" s="28"/>
      <c r="X25" s="28"/>
      <c r="Y25" s="28" t="str">
        <f>升星辅助表!C54</f>
        <v>1525</v>
      </c>
      <c r="Z25" s="28">
        <f>升星辅助表!F54</f>
        <v>2</v>
      </c>
      <c r="AA25" s="28">
        <f>升星辅助表!H54</f>
        <v>15</v>
      </c>
      <c r="AB25" s="28">
        <f>升星辅助表!AU54</f>
        <v>10.440000000000001</v>
      </c>
      <c r="AC25" s="33">
        <f>升星辅助表!AX54</f>
        <v>28710</v>
      </c>
      <c r="AD25" s="33">
        <f>升星辅助表!AY54</f>
        <v>28710</v>
      </c>
      <c r="AE25" s="12">
        <f>升星辅助表!AI54</f>
        <v>110</v>
      </c>
      <c r="AF25" s="5">
        <f>升星辅助表!AU54/升星辅助表!AW54</f>
        <v>2.0000000000000004E-2</v>
      </c>
      <c r="AG25" s="5">
        <f>升星辅助表!AU54/升星辅助表!AV54</f>
        <v>2.0000000000000004E-2</v>
      </c>
    </row>
    <row r="26" spans="2:33" x14ac:dyDescent="0.15">
      <c r="B26" s="5" t="str">
        <f>D_装备基础数据!A35</f>
        <v>54205</v>
      </c>
      <c r="C26" s="5" t="s">
        <v>418</v>
      </c>
      <c r="D26" s="5">
        <f ca="1">D_装备基础数据!AP35</f>
        <v>28.434641991718891</v>
      </c>
      <c r="F26" s="28">
        <f>强化辅助表!Z58</f>
        <v>17</v>
      </c>
      <c r="G26" s="28">
        <f>强化辅助表!AA58</f>
        <v>16</v>
      </c>
      <c r="H26" s="28">
        <f>强化辅助表!AB58</f>
        <v>0</v>
      </c>
      <c r="I26" s="28"/>
      <c r="J26" s="28"/>
      <c r="K26" s="28" t="str">
        <f>强化辅助表!B58</f>
        <v>1524</v>
      </c>
      <c r="L26" s="28">
        <f>强化辅助表!D58</f>
        <v>2</v>
      </c>
      <c r="M26" s="28">
        <f>强化辅助表!F58</f>
        <v>15</v>
      </c>
      <c r="N26" s="28">
        <f>强化辅助表!Q58</f>
        <v>3.12</v>
      </c>
      <c r="O26" s="33">
        <f>强化辅助表!T58</f>
        <v>18720</v>
      </c>
      <c r="P26" s="33">
        <f>强化辅助表!U58</f>
        <v>3729.0000000000005</v>
      </c>
      <c r="Q26">
        <f>强化辅助表!Q58/强化辅助表!S58</f>
        <v>0.02</v>
      </c>
      <c r="R26">
        <f>强化辅助表!Q58/强化辅助表!R58</f>
        <v>0.02</v>
      </c>
      <c r="T26" s="28">
        <f>升星辅助表!AB55</f>
        <v>0</v>
      </c>
      <c r="U26" s="28">
        <f>升星辅助表!AC55</f>
        <v>11</v>
      </c>
      <c r="V26" s="28">
        <f>升星辅助表!AD55</f>
        <v>10</v>
      </c>
      <c r="W26" s="28"/>
      <c r="X26" s="28"/>
      <c r="Y26" s="28" t="str">
        <f>升星辅助表!C55</f>
        <v>1524</v>
      </c>
      <c r="Z26" s="28">
        <f>升星辅助表!F55</f>
        <v>2</v>
      </c>
      <c r="AA26" s="28">
        <f>升星辅助表!H55</f>
        <v>15</v>
      </c>
      <c r="AB26" s="28">
        <f>升星辅助表!AU55</f>
        <v>20.32</v>
      </c>
      <c r="AC26" s="33">
        <f>升星辅助表!AX55</f>
        <v>55880</v>
      </c>
      <c r="AD26" s="33">
        <f>升星辅助表!AY55</f>
        <v>55880</v>
      </c>
      <c r="AE26" s="12">
        <f>升星辅助表!AI55</f>
        <v>220</v>
      </c>
      <c r="AF26" s="5">
        <f>升星辅助表!AU55/升星辅助表!AW55</f>
        <v>0.02</v>
      </c>
      <c r="AG26" s="5">
        <f>升星辅助表!AU55/升星辅助表!AV55</f>
        <v>0.02</v>
      </c>
    </row>
    <row r="27" spans="2:33" x14ac:dyDescent="0.15">
      <c r="B27" s="5" t="str">
        <f>D_装备基础数据!A36</f>
        <v>53205</v>
      </c>
      <c r="C27" s="5" t="s">
        <v>419</v>
      </c>
      <c r="D27" s="5">
        <f ca="1">D_装备基础数据!AP36</f>
        <v>46.615269814616767</v>
      </c>
      <c r="F27" s="28">
        <f>强化辅助表!Z59</f>
        <v>10</v>
      </c>
      <c r="G27" s="28">
        <f>强化辅助表!AA59</f>
        <v>37</v>
      </c>
      <c r="H27" s="28">
        <f>强化辅助表!AB59</f>
        <v>0</v>
      </c>
      <c r="I27" s="28"/>
      <c r="J27" s="28"/>
      <c r="K27" s="28" t="str">
        <f>强化辅助表!B59</f>
        <v>1523</v>
      </c>
      <c r="L27" s="28">
        <f>强化辅助表!D59</f>
        <v>2</v>
      </c>
      <c r="M27" s="28">
        <f>强化辅助表!F59</f>
        <v>15</v>
      </c>
      <c r="N27" s="28">
        <f>强化辅助表!Q59</f>
        <v>6.4</v>
      </c>
      <c r="O27" s="33">
        <f>强化辅助表!T59</f>
        <v>38400</v>
      </c>
      <c r="P27" s="33">
        <f>强化辅助表!U59</f>
        <v>7889.6</v>
      </c>
      <c r="Q27">
        <f>强化辅助表!Q59/强化辅助表!S59</f>
        <v>0.02</v>
      </c>
      <c r="R27">
        <f>强化辅助表!Q59/强化辅助表!R59</f>
        <v>0.02</v>
      </c>
      <c r="T27" s="28">
        <f>升星辅助表!AB56</f>
        <v>3</v>
      </c>
      <c r="U27" s="28">
        <f>升星辅助表!AC56</f>
        <v>20</v>
      </c>
      <c r="V27" s="28">
        <f>升星辅助表!AD56</f>
        <v>3</v>
      </c>
      <c r="W27" s="28"/>
      <c r="X27" s="28"/>
      <c r="Y27" s="28" t="str">
        <f>升星辅助表!C56</f>
        <v>1523</v>
      </c>
      <c r="Z27" s="28">
        <f>升星辅助表!F56</f>
        <v>2</v>
      </c>
      <c r="AA27" s="28">
        <f>升星辅助表!H56</f>
        <v>15</v>
      </c>
      <c r="AB27" s="28">
        <f>升星辅助表!AU56</f>
        <v>11.38</v>
      </c>
      <c r="AC27" s="33">
        <f>升星辅助表!AX56</f>
        <v>31295</v>
      </c>
      <c r="AD27" s="33">
        <f>升星辅助表!AY56</f>
        <v>31295</v>
      </c>
      <c r="AE27" s="12">
        <f>升星辅助表!AI56</f>
        <v>110</v>
      </c>
      <c r="AF27" s="5">
        <f>升星辅助表!AU56/升星辅助表!AW56</f>
        <v>0.02</v>
      </c>
      <c r="AG27" s="5">
        <f>升星辅助表!AU56/升星辅助表!AV56</f>
        <v>0.02</v>
      </c>
    </row>
    <row r="28" spans="2:33" x14ac:dyDescent="0.15">
      <c r="B28" s="5" t="str">
        <f>D_装备基础数据!A37</f>
        <v>10306</v>
      </c>
      <c r="C28" s="5" t="s">
        <v>414</v>
      </c>
      <c r="D28" s="5">
        <f ca="1">D_装备基础数据!AP37</f>
        <v>102.13865243691686</v>
      </c>
      <c r="F28" s="28">
        <f>强化辅助表!Z60</f>
        <v>4</v>
      </c>
      <c r="G28" s="28">
        <f>强化辅助表!AA60</f>
        <v>15</v>
      </c>
      <c r="H28" s="28">
        <f>强化辅助表!AB60</f>
        <v>15</v>
      </c>
      <c r="I28" s="28"/>
      <c r="J28" s="28"/>
      <c r="K28" s="28" t="str">
        <f>强化辅助表!B60</f>
        <v>1530</v>
      </c>
      <c r="L28" s="28">
        <f>强化辅助表!D60</f>
        <v>3</v>
      </c>
      <c r="M28" s="28">
        <f>强化辅助表!F60</f>
        <v>15</v>
      </c>
      <c r="N28" s="28">
        <f>强化辅助表!Q60</f>
        <v>14.44</v>
      </c>
      <c r="O28" s="33">
        <f>强化辅助表!T60</f>
        <v>86640</v>
      </c>
      <c r="P28" s="33">
        <f>强化辅助表!U60</f>
        <v>16858.2</v>
      </c>
      <c r="Q28">
        <f>强化辅助表!Q60/强化辅助表!S60</f>
        <v>0.02</v>
      </c>
      <c r="R28">
        <f>强化辅助表!Q60/强化辅助表!R60</f>
        <v>0.02</v>
      </c>
      <c r="T28" s="28">
        <f>升星辅助表!AB57</f>
        <v>0</v>
      </c>
      <c r="U28" s="28">
        <f>升星辅助表!AC57</f>
        <v>7</v>
      </c>
      <c r="V28" s="28">
        <f>升星辅助表!AD57</f>
        <v>23</v>
      </c>
      <c r="W28" s="28"/>
      <c r="X28" s="28"/>
      <c r="Y28" s="28" t="str">
        <f>升星辅助表!C57</f>
        <v>1530</v>
      </c>
      <c r="Z28" s="28">
        <f>升星辅助表!F57</f>
        <v>3</v>
      </c>
      <c r="AA28" s="28">
        <f>升星辅助表!H57</f>
        <v>15</v>
      </c>
      <c r="AB28" s="28">
        <f>升星辅助表!AU57</f>
        <v>43.1</v>
      </c>
      <c r="AC28" s="33">
        <f>升星辅助表!AX57</f>
        <v>118525</v>
      </c>
      <c r="AD28" s="33">
        <f>升星辅助表!AY57</f>
        <v>118525</v>
      </c>
      <c r="AE28" s="12">
        <f>升星辅助表!AI57</f>
        <v>440</v>
      </c>
      <c r="AF28" s="5">
        <f>升星辅助表!AU57/升星辅助表!AW57</f>
        <v>0.02</v>
      </c>
      <c r="AG28" s="5">
        <f>升星辅助表!AU57/升星辅助表!AV57</f>
        <v>0.02</v>
      </c>
    </row>
    <row r="29" spans="2:33" x14ac:dyDescent="0.15">
      <c r="B29" s="5" t="str">
        <f>D_装备基础数据!A38</f>
        <v>20306</v>
      </c>
      <c r="C29" s="5" t="s">
        <v>415</v>
      </c>
      <c r="D29" s="5">
        <f ca="1">D_装备基础数据!AP38</f>
        <v>102.13865243691686</v>
      </c>
      <c r="F29" s="28">
        <f>强化辅助表!Z61</f>
        <v>3</v>
      </c>
      <c r="G29" s="28">
        <f>强化辅助表!AA61</f>
        <v>21</v>
      </c>
      <c r="H29" s="28">
        <f>强化辅助表!AB61</f>
        <v>11</v>
      </c>
      <c r="I29" s="28"/>
      <c r="J29" s="28"/>
      <c r="K29" s="28" t="str">
        <f>强化辅助表!B61</f>
        <v>1531</v>
      </c>
      <c r="L29" s="28">
        <f>强化辅助表!D61</f>
        <v>3</v>
      </c>
      <c r="M29" s="28">
        <f>强化辅助表!F61</f>
        <v>15</v>
      </c>
      <c r="N29" s="28">
        <f>强化辅助表!Q61</f>
        <v>12</v>
      </c>
      <c r="O29" s="33">
        <f>强化辅助表!T61</f>
        <v>72000</v>
      </c>
      <c r="P29" s="33">
        <f>强化辅助表!U61</f>
        <v>14117.2</v>
      </c>
      <c r="Q29">
        <f>强化辅助表!Q61/强化辅助表!S61</f>
        <v>0.02</v>
      </c>
      <c r="R29">
        <f>强化辅助表!Q61/强化辅助表!R61</f>
        <v>0.02</v>
      </c>
      <c r="T29" s="28">
        <f>升星辅助表!AB58</f>
        <v>0</v>
      </c>
      <c r="U29" s="28">
        <f>升星辅助表!AC58</f>
        <v>9</v>
      </c>
      <c r="V29" s="28">
        <f>升星辅助表!AD58</f>
        <v>15</v>
      </c>
      <c r="W29" s="28"/>
      <c r="X29" s="28"/>
      <c r="Y29" s="28" t="str">
        <f>升星辅助表!C58</f>
        <v>1531</v>
      </c>
      <c r="Z29" s="28">
        <f>升星辅助表!F58</f>
        <v>3</v>
      </c>
      <c r="AA29" s="28">
        <f>升星辅助表!H58</f>
        <v>15</v>
      </c>
      <c r="AB29" s="28">
        <f>升星辅助表!AU58</f>
        <v>29.86</v>
      </c>
      <c r="AC29" s="33">
        <f>升星辅助表!AX58</f>
        <v>82115</v>
      </c>
      <c r="AD29" s="33">
        <f>升星辅助表!AY58</f>
        <v>82115</v>
      </c>
      <c r="AE29" s="12">
        <f>升星辅助表!AI58</f>
        <v>275</v>
      </c>
      <c r="AF29" s="5">
        <f>升星辅助表!AU58/升星辅助表!AW58</f>
        <v>0.02</v>
      </c>
      <c r="AG29" s="5">
        <f>升星辅助表!AU58/升星辅助表!AV58</f>
        <v>0.02</v>
      </c>
    </row>
    <row r="30" spans="2:33" x14ac:dyDescent="0.15">
      <c r="B30" s="5" t="str">
        <f>D_装备基础数据!A39</f>
        <v>30306</v>
      </c>
      <c r="C30" s="5" t="s">
        <v>416</v>
      </c>
      <c r="D30" s="5">
        <f ca="1">D_装备基础数据!AP39</f>
        <v>102.13865243691686</v>
      </c>
      <c r="F30" s="28">
        <f>强化辅助表!Z62</f>
        <v>11</v>
      </c>
      <c r="G30" s="28">
        <f>强化辅助表!AA62</f>
        <v>24</v>
      </c>
      <c r="H30" s="28">
        <f>强化辅助表!AB62</f>
        <v>0</v>
      </c>
      <c r="I30" s="28"/>
      <c r="J30" s="28"/>
      <c r="K30" s="28" t="str">
        <f>强化辅助表!B62</f>
        <v>1532</v>
      </c>
      <c r="L30" s="28">
        <f>强化辅助表!D62</f>
        <v>3</v>
      </c>
      <c r="M30" s="28">
        <f>强化辅助表!F62</f>
        <v>15</v>
      </c>
      <c r="N30" s="28">
        <f>强化辅助表!Q62</f>
        <v>4.3600000000000003</v>
      </c>
      <c r="O30" s="33">
        <f>强化辅助表!T62</f>
        <v>26160</v>
      </c>
      <c r="P30" s="33">
        <f>强化辅助表!U62</f>
        <v>5186</v>
      </c>
      <c r="Q30">
        <f>强化辅助表!Q62/强化辅助表!S62</f>
        <v>0.02</v>
      </c>
      <c r="R30">
        <f>强化辅助表!Q62/强化辅助表!R62</f>
        <v>0.02</v>
      </c>
      <c r="T30" s="28">
        <f>升星辅助表!AB59</f>
        <v>4</v>
      </c>
      <c r="U30" s="28">
        <f>升星辅助表!AC59</f>
        <v>15</v>
      </c>
      <c r="V30" s="28">
        <f>升星辅助表!AD59</f>
        <v>5</v>
      </c>
      <c r="W30" s="28"/>
      <c r="X30" s="28"/>
      <c r="Y30" s="28" t="str">
        <f>升星辅助表!C59</f>
        <v>1532</v>
      </c>
      <c r="Z30" s="28">
        <f>升星辅助表!F59</f>
        <v>3</v>
      </c>
      <c r="AA30" s="28">
        <f>升星辅助表!H59</f>
        <v>15</v>
      </c>
      <c r="AB30" s="28">
        <f>升星辅助表!AU59</f>
        <v>14.46</v>
      </c>
      <c r="AC30" s="33">
        <f>升星辅助表!AX59</f>
        <v>39765</v>
      </c>
      <c r="AD30" s="33">
        <f>升星辅助表!AY59</f>
        <v>39765</v>
      </c>
      <c r="AE30" s="12">
        <f>升星辅助表!AI59</f>
        <v>165</v>
      </c>
      <c r="AF30" s="5">
        <f>升星辅助表!AU59/升星辅助表!AW59</f>
        <v>0.02</v>
      </c>
      <c r="AG30" s="5">
        <f>升星辅助表!AU59/升星辅助表!AV59</f>
        <v>0.02</v>
      </c>
    </row>
    <row r="31" spans="2:33" x14ac:dyDescent="0.15">
      <c r="B31" s="5" t="str">
        <f>D_装备基础数据!A40</f>
        <v>51306</v>
      </c>
      <c r="C31" s="5" t="s">
        <v>417</v>
      </c>
      <c r="D31" s="5">
        <f ca="1">D_装备基础数据!AP40</f>
        <v>84.997573004868073</v>
      </c>
      <c r="F31" s="28">
        <f>强化辅助表!Z63</f>
        <v>9</v>
      </c>
      <c r="G31" s="28">
        <f>强化辅助表!AA63</f>
        <v>33</v>
      </c>
      <c r="H31" s="28">
        <f>强化辅助表!AB63</f>
        <v>0</v>
      </c>
      <c r="I31" s="28"/>
      <c r="J31" s="28"/>
      <c r="K31" s="28" t="str">
        <f>强化辅助表!B63</f>
        <v>1535</v>
      </c>
      <c r="L31" s="28">
        <f>强化辅助表!D63</f>
        <v>3</v>
      </c>
      <c r="M31" s="28">
        <f>强化辅助表!F63</f>
        <v>15</v>
      </c>
      <c r="N31" s="28">
        <f>强化辅助表!Q63</f>
        <v>5.74</v>
      </c>
      <c r="O31" s="33">
        <f>强化辅助表!T63</f>
        <v>34440</v>
      </c>
      <c r="P31" s="33">
        <f>强化辅助表!U63</f>
        <v>6681.2000000000007</v>
      </c>
      <c r="Q31">
        <f>强化辅助表!Q63/强化辅助表!S63</f>
        <v>0.02</v>
      </c>
      <c r="R31">
        <f>强化辅助表!Q63/强化辅助表!R63</f>
        <v>0.02</v>
      </c>
      <c r="T31" s="28">
        <f>升星辅助表!AB60</f>
        <v>5</v>
      </c>
      <c r="U31" s="28">
        <f>升星辅助表!AC60</f>
        <v>14</v>
      </c>
      <c r="V31" s="28">
        <f>升星辅助表!AD60</f>
        <v>8</v>
      </c>
      <c r="W31" s="28"/>
      <c r="X31" s="28"/>
      <c r="Y31" s="28" t="str">
        <f>升星辅助表!C60</f>
        <v>1535</v>
      </c>
      <c r="Z31" s="28">
        <f>升星辅助表!F60</f>
        <v>3</v>
      </c>
      <c r="AA31" s="28">
        <f>升星辅助表!H60</f>
        <v>15</v>
      </c>
      <c r="AB31" s="28">
        <f>升星辅助表!AU60</f>
        <v>18.62</v>
      </c>
      <c r="AC31" s="33">
        <f>升星辅助表!AX60</f>
        <v>51205</v>
      </c>
      <c r="AD31" s="33">
        <f>升星辅助表!AY60</f>
        <v>51205</v>
      </c>
      <c r="AE31" s="12">
        <f>升星辅助表!AI60</f>
        <v>220</v>
      </c>
      <c r="AF31" s="5">
        <f>升星辅助表!AU60/升星辅助表!AW60</f>
        <v>0.02</v>
      </c>
      <c r="AG31" s="5">
        <f>升星辅助表!AU60/升星辅助表!AV60</f>
        <v>0.02</v>
      </c>
    </row>
    <row r="32" spans="2:33" x14ac:dyDescent="0.15">
      <c r="B32" s="5" t="str">
        <f>D_装备基础数据!A41</f>
        <v>52306</v>
      </c>
      <c r="C32" s="5" t="s">
        <v>418</v>
      </c>
      <c r="D32" s="5">
        <f ca="1">D_装备基础数据!AP41</f>
        <v>33.259525329938178</v>
      </c>
      <c r="F32" s="28">
        <f>强化辅助表!Z64</f>
        <v>11</v>
      </c>
      <c r="G32" s="28">
        <f>强化辅助表!AA64</f>
        <v>23</v>
      </c>
      <c r="H32" s="28">
        <f>强化辅助表!AB64</f>
        <v>0</v>
      </c>
      <c r="I32" s="28"/>
      <c r="J32" s="28"/>
      <c r="K32" s="28" t="str">
        <f>强化辅助表!B64</f>
        <v>1534</v>
      </c>
      <c r="L32" s="28">
        <f>强化辅助表!D64</f>
        <v>3</v>
      </c>
      <c r="M32" s="28">
        <f>强化辅助表!F64</f>
        <v>15</v>
      </c>
      <c r="N32" s="28">
        <f>强化辅助表!Q64</f>
        <v>4.12</v>
      </c>
      <c r="O32" s="33">
        <f>强化辅助表!T64</f>
        <v>24720</v>
      </c>
      <c r="P32" s="33">
        <f>强化辅助表!U64</f>
        <v>4799.0000000000009</v>
      </c>
      <c r="Q32">
        <f>强化辅助表!Q64/强化辅助表!S64</f>
        <v>0.02</v>
      </c>
      <c r="R32">
        <f>强化辅助表!Q64/强化辅助表!R64</f>
        <v>0.02</v>
      </c>
      <c r="T32" s="28">
        <f>升星辅助表!AB61</f>
        <v>0</v>
      </c>
      <c r="U32" s="28">
        <f>升星辅助表!AC61</f>
        <v>9</v>
      </c>
      <c r="V32" s="28">
        <f>升星辅助表!AD61</f>
        <v>15</v>
      </c>
      <c r="W32" s="28"/>
      <c r="X32" s="28"/>
      <c r="Y32" s="28" t="str">
        <f>升星辅助表!C61</f>
        <v>1534</v>
      </c>
      <c r="Z32" s="28">
        <f>升星辅助表!F61</f>
        <v>3</v>
      </c>
      <c r="AA32" s="28">
        <f>升星辅助表!H61</f>
        <v>15</v>
      </c>
      <c r="AB32" s="28">
        <f>升星辅助表!AU61</f>
        <v>29.8</v>
      </c>
      <c r="AC32" s="33">
        <f>升星辅助表!AX61</f>
        <v>81950</v>
      </c>
      <c r="AD32" s="33">
        <f>升星辅助表!AY61</f>
        <v>81950</v>
      </c>
      <c r="AE32" s="12">
        <f>升星辅助表!AI61</f>
        <v>275</v>
      </c>
      <c r="AF32" s="5">
        <f>升星辅助表!AU61/升星辅助表!AW61</f>
        <v>0.02</v>
      </c>
      <c r="AG32" s="5">
        <f>升星辅助表!AU61/升星辅助表!AV61</f>
        <v>0.02</v>
      </c>
    </row>
    <row r="33" spans="2:33" x14ac:dyDescent="0.15">
      <c r="B33" s="5" t="str">
        <f>D_装备基础数据!A42</f>
        <v>55306</v>
      </c>
      <c r="C33" s="5" t="s">
        <v>419</v>
      </c>
      <c r="D33" s="5">
        <f ca="1">D_装备基础数据!AP42</f>
        <v>41.903462963133002</v>
      </c>
      <c r="F33" s="28">
        <f>强化辅助表!Z65</f>
        <v>7</v>
      </c>
      <c r="G33" s="28">
        <f>强化辅助表!AA65</f>
        <v>27</v>
      </c>
      <c r="H33" s="28">
        <f>强化辅助表!AB65</f>
        <v>5</v>
      </c>
      <c r="I33" s="28"/>
      <c r="J33" s="28"/>
      <c r="K33" s="28" t="str">
        <f>强化辅助表!B65</f>
        <v>1533</v>
      </c>
      <c r="L33" s="28">
        <f>强化辅助表!D65</f>
        <v>3</v>
      </c>
      <c r="M33" s="28">
        <f>强化辅助表!F65</f>
        <v>15</v>
      </c>
      <c r="N33" s="28">
        <f>强化辅助表!Q65</f>
        <v>8.42</v>
      </c>
      <c r="O33" s="33">
        <f>强化辅助表!T65</f>
        <v>50520</v>
      </c>
      <c r="P33" s="33">
        <f>强化辅助表!U65</f>
        <v>10051.000000000002</v>
      </c>
      <c r="Q33">
        <f>强化辅助表!Q65/强化辅助表!S65</f>
        <v>0.02</v>
      </c>
      <c r="R33">
        <f>强化辅助表!Q65/强化辅助表!R65</f>
        <v>0.02</v>
      </c>
      <c r="T33" s="28">
        <f>升星辅助表!AB62</f>
        <v>5</v>
      </c>
      <c r="U33" s="28">
        <f>升星辅助表!AC62</f>
        <v>14</v>
      </c>
      <c r="V33" s="28">
        <f>升星辅助表!AD62</f>
        <v>8</v>
      </c>
      <c r="W33" s="28"/>
      <c r="X33" s="28"/>
      <c r="Y33" s="28" t="str">
        <f>升星辅助表!C62</f>
        <v>1533</v>
      </c>
      <c r="Z33" s="28">
        <f>升星辅助表!F62</f>
        <v>3</v>
      </c>
      <c r="AA33" s="28">
        <f>升星辅助表!H62</f>
        <v>15</v>
      </c>
      <c r="AB33" s="28">
        <f>升星辅助表!AU62</f>
        <v>19.16</v>
      </c>
      <c r="AC33" s="33">
        <f>升星辅助表!AX62</f>
        <v>52690</v>
      </c>
      <c r="AD33" s="33">
        <f>升星辅助表!AY62</f>
        <v>52690</v>
      </c>
      <c r="AE33" s="12">
        <f>升星辅助表!AI62</f>
        <v>220</v>
      </c>
      <c r="AF33" s="5">
        <f>升星辅助表!AU62/升星辅助表!AW62</f>
        <v>0.02</v>
      </c>
      <c r="AG33" s="5">
        <f>升星辅助表!AU62/升星辅助表!AV62</f>
        <v>0.02</v>
      </c>
    </row>
    <row r="34" spans="2:33" x14ac:dyDescent="0.15">
      <c r="B34" s="5" t="str">
        <f>D_装备基础数据!A43</f>
        <v>54306</v>
      </c>
      <c r="C34" s="5" t="s">
        <v>414</v>
      </c>
      <c r="D34" s="5">
        <f ca="1">D_装备基础数据!AP43</f>
        <v>40.807791613975198</v>
      </c>
      <c r="F34" s="28">
        <f>强化辅助表!Z66</f>
        <v>5</v>
      </c>
      <c r="G34" s="28">
        <f>强化辅助表!AA66</f>
        <v>17</v>
      </c>
      <c r="H34" s="28">
        <f>强化辅助表!AB66</f>
        <v>17</v>
      </c>
      <c r="I34" s="28"/>
      <c r="J34" s="28"/>
      <c r="K34" s="28" t="str">
        <f>强化辅助表!B66</f>
        <v>1540</v>
      </c>
      <c r="L34" s="28">
        <f>强化辅助表!D66</f>
        <v>4</v>
      </c>
      <c r="M34" s="28">
        <f>强化辅助表!F66</f>
        <v>15</v>
      </c>
      <c r="N34" s="28">
        <f>强化辅助表!Q66</f>
        <v>16.62</v>
      </c>
      <c r="O34" s="33">
        <f>强化辅助表!T66</f>
        <v>99720</v>
      </c>
      <c r="P34" s="33">
        <f>强化辅助表!U66</f>
        <v>19190.800000000003</v>
      </c>
      <c r="Q34">
        <f>强化辅助表!Q66/强化辅助表!S66</f>
        <v>0.02</v>
      </c>
      <c r="R34">
        <f>强化辅助表!Q66/强化辅助表!R66</f>
        <v>0.02</v>
      </c>
      <c r="T34" s="28">
        <f>升星辅助表!AB63</f>
        <v>0</v>
      </c>
      <c r="U34" s="28">
        <f>升星辅助表!AC63</f>
        <v>3</v>
      </c>
      <c r="V34" s="28">
        <f>升星辅助表!AD63</f>
        <v>29</v>
      </c>
      <c r="W34" s="28"/>
      <c r="X34" s="28"/>
      <c r="Y34" s="28" t="str">
        <f>升星辅助表!C63</f>
        <v>1540</v>
      </c>
      <c r="Z34" s="28">
        <f>升星辅助表!F63</f>
        <v>4</v>
      </c>
      <c r="AA34" s="28">
        <f>升星辅助表!H63</f>
        <v>15</v>
      </c>
      <c r="AB34" s="28">
        <f>升星辅助表!AU63</f>
        <v>52.94</v>
      </c>
      <c r="AC34" s="33">
        <f>升星辅助表!AX63</f>
        <v>145585</v>
      </c>
      <c r="AD34" s="33">
        <f>升星辅助表!AY63</f>
        <v>145585</v>
      </c>
      <c r="AE34" s="12">
        <f>升星辅助表!AI63</f>
        <v>495</v>
      </c>
      <c r="AF34" s="5">
        <f>升星辅助表!AU63/升星辅助表!AW63</f>
        <v>0.02</v>
      </c>
      <c r="AG34" s="5">
        <f>升星辅助表!AU63/升星辅助表!AV63</f>
        <v>0.02</v>
      </c>
    </row>
    <row r="35" spans="2:33" x14ac:dyDescent="0.15">
      <c r="B35" s="5" t="str">
        <f>D_装备基础数据!A44</f>
        <v>53306</v>
      </c>
      <c r="C35" s="5" t="s">
        <v>415</v>
      </c>
      <c r="D35" s="5">
        <f ca="1">D_装备基础数据!AP44</f>
        <v>59.367232969697</v>
      </c>
      <c r="F35" s="28">
        <f>强化辅助表!Z67</f>
        <v>4</v>
      </c>
      <c r="G35" s="28">
        <f>强化辅助表!AA67</f>
        <v>15</v>
      </c>
      <c r="H35" s="28">
        <f>强化辅助表!AB67</f>
        <v>15</v>
      </c>
      <c r="I35" s="28"/>
      <c r="J35" s="28"/>
      <c r="K35" s="28" t="str">
        <f>强化辅助表!B67</f>
        <v>1541</v>
      </c>
      <c r="L35" s="28">
        <f>强化辅助表!D67</f>
        <v>4</v>
      </c>
      <c r="M35" s="28">
        <f>强化辅助表!F67</f>
        <v>15</v>
      </c>
      <c r="N35" s="28">
        <f>强化辅助表!Q67</f>
        <v>14.4</v>
      </c>
      <c r="O35" s="33">
        <f>强化辅助表!T67</f>
        <v>86400</v>
      </c>
      <c r="P35" s="33">
        <f>强化辅助表!U67</f>
        <v>16685.2</v>
      </c>
      <c r="Q35">
        <f>强化辅助表!Q67/强化辅助表!S67</f>
        <v>0.02</v>
      </c>
      <c r="R35">
        <f>强化辅助表!Q67/强化辅助表!R67</f>
        <v>0.02</v>
      </c>
      <c r="T35" s="28">
        <f>升星辅助表!AB64</f>
        <v>0</v>
      </c>
      <c r="U35" s="28">
        <f>升星辅助表!AC64</f>
        <v>6</v>
      </c>
      <c r="V35" s="28">
        <f>升星辅助表!AD64</f>
        <v>20</v>
      </c>
      <c r="W35" s="28"/>
      <c r="X35" s="28"/>
      <c r="Y35" s="28" t="str">
        <f>升星辅助表!C64</f>
        <v>1541</v>
      </c>
      <c r="Z35" s="28">
        <f>升星辅助表!F64</f>
        <v>4</v>
      </c>
      <c r="AA35" s="28">
        <f>升星辅助表!H64</f>
        <v>15</v>
      </c>
      <c r="AB35" s="28">
        <f>升星辅助表!AU64</f>
        <v>36.64</v>
      </c>
      <c r="AC35" s="33">
        <f>升星辅助表!AX64</f>
        <v>100760</v>
      </c>
      <c r="AD35" s="33">
        <f>升星辅助表!AY64</f>
        <v>100760</v>
      </c>
      <c r="AE35" s="12">
        <f>升星辅助表!AI64</f>
        <v>385</v>
      </c>
      <c r="AF35" s="5">
        <f>升星辅助表!AU64/升星辅助表!AW64</f>
        <v>0.02</v>
      </c>
      <c r="AG35" s="5">
        <f>升星辅助表!AU64/升星辅助表!AV64</f>
        <v>0.02</v>
      </c>
    </row>
    <row r="36" spans="2:33" x14ac:dyDescent="0.15">
      <c r="B36" s="5" t="str">
        <f>D_装备基础数据!A45</f>
        <v>10407</v>
      </c>
      <c r="C36" s="5" t="s">
        <v>416</v>
      </c>
      <c r="D36" s="5">
        <f ca="1">D_装备基础数据!AP45</f>
        <v>119.64196112108959</v>
      </c>
      <c r="F36" s="28">
        <f>强化辅助表!Z68</f>
        <v>12</v>
      </c>
      <c r="G36" s="28">
        <f>强化辅助表!AA68</f>
        <v>26</v>
      </c>
      <c r="H36" s="28">
        <f>强化辅助表!AB68</f>
        <v>0</v>
      </c>
      <c r="I36" s="28"/>
      <c r="J36" s="28"/>
      <c r="K36" s="28" t="str">
        <f>强化辅助表!B68</f>
        <v>1542</v>
      </c>
      <c r="L36" s="28">
        <f>强化辅助表!D68</f>
        <v>4</v>
      </c>
      <c r="M36" s="28">
        <f>强化辅助表!F68</f>
        <v>15</v>
      </c>
      <c r="N36" s="28">
        <f>强化辅助表!Q68</f>
        <v>4.7</v>
      </c>
      <c r="O36" s="33">
        <f>强化辅助表!T68</f>
        <v>28200</v>
      </c>
      <c r="P36" s="33">
        <f>强化辅助表!U68</f>
        <v>5549.8</v>
      </c>
      <c r="Q36">
        <f>强化辅助表!Q68/强化辅助表!S68</f>
        <v>0.02</v>
      </c>
      <c r="R36">
        <f>强化辅助表!Q68/强化辅助表!R68</f>
        <v>0.02</v>
      </c>
      <c r="T36" s="28">
        <f>升星辅助表!AB65</f>
        <v>5</v>
      </c>
      <c r="U36" s="28">
        <f>升星辅助表!AC65</f>
        <v>14</v>
      </c>
      <c r="V36" s="28">
        <f>升星辅助表!AD65</f>
        <v>8</v>
      </c>
      <c r="W36" s="28"/>
      <c r="X36" s="28"/>
      <c r="Y36" s="28" t="str">
        <f>升星辅助表!C65</f>
        <v>1542</v>
      </c>
      <c r="Z36" s="28">
        <f>升星辅助表!F65</f>
        <v>4</v>
      </c>
      <c r="AA36" s="28">
        <f>升星辅助表!H65</f>
        <v>15</v>
      </c>
      <c r="AB36" s="28">
        <f>升星辅助表!AU65</f>
        <v>18.920000000000002</v>
      </c>
      <c r="AC36" s="33">
        <f>升星辅助表!AX65</f>
        <v>52030</v>
      </c>
      <c r="AD36" s="33">
        <f>升星辅助表!AY65</f>
        <v>52030</v>
      </c>
      <c r="AE36" s="12">
        <f>升星辅助表!AI65</f>
        <v>220</v>
      </c>
      <c r="AF36" s="5">
        <f>升星辅助表!AU65/升星辅助表!AW65</f>
        <v>0.02</v>
      </c>
      <c r="AG36" s="5">
        <f>升星辅助表!AU65/升星辅助表!AV65</f>
        <v>0.02</v>
      </c>
    </row>
    <row r="37" spans="2:33" x14ac:dyDescent="0.15">
      <c r="B37" s="5" t="str">
        <f>D_装备基础数据!A46</f>
        <v>20407</v>
      </c>
      <c r="C37" s="5" t="s">
        <v>417</v>
      </c>
      <c r="D37" s="5">
        <f ca="1">D_装备基础数据!AP46</f>
        <v>119.64196112108959</v>
      </c>
      <c r="F37" s="28">
        <f>强化辅助表!Z69</f>
        <v>10</v>
      </c>
      <c r="G37" s="28">
        <f>强化辅助表!AA69</f>
        <v>38</v>
      </c>
      <c r="H37" s="28">
        <f>强化辅助表!AB69</f>
        <v>0</v>
      </c>
      <c r="I37" s="28"/>
      <c r="J37" s="28"/>
      <c r="K37" s="28" t="str">
        <f>强化辅助表!B69</f>
        <v>1545</v>
      </c>
      <c r="L37" s="28">
        <f>强化辅助表!D69</f>
        <v>4</v>
      </c>
      <c r="M37" s="28">
        <f>强化辅助表!F69</f>
        <v>15</v>
      </c>
      <c r="N37" s="28">
        <f>强化辅助表!Q69</f>
        <v>6.5200000000000005</v>
      </c>
      <c r="O37" s="33">
        <f>强化辅助表!T69</f>
        <v>39120</v>
      </c>
      <c r="P37" s="33">
        <f>强化辅助表!U69</f>
        <v>7515.8</v>
      </c>
      <c r="Q37">
        <f>强化辅助表!Q69/强化辅助表!S69</f>
        <v>0.02</v>
      </c>
      <c r="R37">
        <f>强化辅助表!Q69/强化辅助表!R69</f>
        <v>0.02</v>
      </c>
      <c r="T37" s="28">
        <f>升星辅助表!AB66</f>
        <v>0</v>
      </c>
      <c r="U37" s="28">
        <f>升星辅助表!AC66</f>
        <v>12</v>
      </c>
      <c r="V37" s="28">
        <f>升星辅助表!AD66</f>
        <v>11</v>
      </c>
      <c r="W37" s="28"/>
      <c r="X37" s="28"/>
      <c r="Y37" s="28" t="str">
        <f>升星辅助表!C66</f>
        <v>1545</v>
      </c>
      <c r="Z37" s="28">
        <f>升星辅助表!F66</f>
        <v>4</v>
      </c>
      <c r="AA37" s="28">
        <f>升星辅助表!H66</f>
        <v>15</v>
      </c>
      <c r="AB37" s="28">
        <f>升星辅助表!AU66</f>
        <v>22.72</v>
      </c>
      <c r="AC37" s="33">
        <f>升星辅助表!AX66</f>
        <v>62480</v>
      </c>
      <c r="AD37" s="33">
        <f>升星辅助表!AY66</f>
        <v>62480</v>
      </c>
      <c r="AE37" s="12">
        <f>升星辅助表!AI66</f>
        <v>220</v>
      </c>
      <c r="AF37" s="5">
        <f>升星辅助表!AU66/升星辅助表!AW66</f>
        <v>0.02</v>
      </c>
      <c r="AG37" s="5">
        <f>升星辅助表!AU66/升星辅助表!AV66</f>
        <v>0.02</v>
      </c>
    </row>
    <row r="38" spans="2:33" x14ac:dyDescent="0.15">
      <c r="B38" s="5" t="str">
        <f>D_装备基础数据!A47</f>
        <v>30407</v>
      </c>
      <c r="C38" s="5" t="s">
        <v>418</v>
      </c>
      <c r="D38" s="5">
        <f ca="1">D_装备基础数据!AP47</f>
        <v>119.64196112108959</v>
      </c>
      <c r="F38" s="28">
        <f>强化辅助表!Z70</f>
        <v>12</v>
      </c>
      <c r="G38" s="28">
        <f>强化辅助表!AA70</f>
        <v>27</v>
      </c>
      <c r="H38" s="28">
        <f>强化辅助表!AB70</f>
        <v>0</v>
      </c>
      <c r="I38" s="28"/>
      <c r="J38" s="28"/>
      <c r="K38" s="28" t="str">
        <f>强化辅助表!B70</f>
        <v>1544</v>
      </c>
      <c r="L38" s="28">
        <f>强化辅助表!D70</f>
        <v>4</v>
      </c>
      <c r="M38" s="28">
        <f>强化辅助表!F70</f>
        <v>15</v>
      </c>
      <c r="N38" s="28">
        <f>强化辅助表!Q70</f>
        <v>4.74</v>
      </c>
      <c r="O38" s="33">
        <f>强化辅助表!T70</f>
        <v>28440</v>
      </c>
      <c r="P38" s="33">
        <f>强化辅助表!U70</f>
        <v>5462.4000000000015</v>
      </c>
      <c r="Q38">
        <f>强化辅助表!Q70/强化辅助表!S70</f>
        <v>0.02</v>
      </c>
      <c r="R38">
        <f>强化辅助表!Q70/强化辅助表!R70</f>
        <v>0.02</v>
      </c>
      <c r="T38" s="28">
        <f>升星辅助表!AB67</f>
        <v>0</v>
      </c>
      <c r="U38" s="28">
        <f>升星辅助表!AC67</f>
        <v>6</v>
      </c>
      <c r="V38" s="28">
        <f>升星辅助表!AD67</f>
        <v>20</v>
      </c>
      <c r="W38" s="28"/>
      <c r="X38" s="28"/>
      <c r="Y38" s="28" t="str">
        <f>升星辅助表!C67</f>
        <v>1544</v>
      </c>
      <c r="Z38" s="28">
        <f>升星辅助表!F67</f>
        <v>4</v>
      </c>
      <c r="AA38" s="28">
        <f>升星辅助表!H67</f>
        <v>15</v>
      </c>
      <c r="AB38" s="28">
        <f>升星辅助表!AU67</f>
        <v>37.239999999999995</v>
      </c>
      <c r="AC38" s="33">
        <f>升星辅助表!AX67</f>
        <v>102410</v>
      </c>
      <c r="AD38" s="33">
        <f>升星辅助表!AY67</f>
        <v>102410</v>
      </c>
      <c r="AE38" s="12">
        <f>升星辅助表!AI67</f>
        <v>385</v>
      </c>
      <c r="AF38" s="5">
        <f>升星辅助表!AU67/升星辅助表!AW67</f>
        <v>1.9999999999999997E-2</v>
      </c>
      <c r="AG38" s="5">
        <f>升星辅助表!AU67/升星辅助表!AV67</f>
        <v>1.9999999999999997E-2</v>
      </c>
    </row>
    <row r="39" spans="2:33" x14ac:dyDescent="0.15">
      <c r="B39" s="5" t="str">
        <f>D_装备基础数据!A48</f>
        <v>51407</v>
      </c>
      <c r="C39" s="5" t="s">
        <v>419</v>
      </c>
      <c r="D39" s="5">
        <f ca="1">D_装备基础数据!AP48</f>
        <v>97.714859488243945</v>
      </c>
      <c r="F39" s="28">
        <f>强化辅助表!Z71</f>
        <v>3</v>
      </c>
      <c r="G39" s="28">
        <f>强化辅助表!AA71</f>
        <v>23</v>
      </c>
      <c r="H39" s="28">
        <f>强化辅助表!AB71</f>
        <v>8</v>
      </c>
      <c r="I39" s="28"/>
      <c r="J39" s="28"/>
      <c r="K39" s="28" t="str">
        <f>强化辅助表!B71</f>
        <v>1543</v>
      </c>
      <c r="L39" s="28">
        <f>强化辅助表!D71</f>
        <v>4</v>
      </c>
      <c r="M39" s="28">
        <f>强化辅助表!F71</f>
        <v>15</v>
      </c>
      <c r="N39" s="28">
        <f>强化辅助表!Q71</f>
        <v>10.440000000000001</v>
      </c>
      <c r="O39" s="33">
        <f>强化辅助表!T71</f>
        <v>62640</v>
      </c>
      <c r="P39" s="33">
        <f>强化辅助表!U71</f>
        <v>12212.400000000003</v>
      </c>
      <c r="Q39">
        <f>强化辅助表!Q71/强化辅助表!S71</f>
        <v>2.0000000000000004E-2</v>
      </c>
      <c r="R39">
        <f>强化辅助表!Q71/强化辅助表!R71</f>
        <v>2.0000000000000004E-2</v>
      </c>
      <c r="T39" s="28">
        <f>升星辅助表!AB68</f>
        <v>0</v>
      </c>
      <c r="U39" s="28">
        <f>升星辅助表!AC68</f>
        <v>13</v>
      </c>
      <c r="V39" s="28">
        <f>升星辅助表!AD68</f>
        <v>11</v>
      </c>
      <c r="W39" s="28"/>
      <c r="X39" s="28"/>
      <c r="Y39" s="28" t="str">
        <f>升星辅助表!C68</f>
        <v>1543</v>
      </c>
      <c r="Z39" s="28">
        <f>升星辅助表!F68</f>
        <v>4</v>
      </c>
      <c r="AA39" s="28">
        <f>升星辅助表!H68</f>
        <v>15</v>
      </c>
      <c r="AB39" s="28">
        <f>升星辅助表!AU68</f>
        <v>24.34</v>
      </c>
      <c r="AC39" s="33">
        <f>升星辅助表!AX68</f>
        <v>66935</v>
      </c>
      <c r="AD39" s="33">
        <f>升星辅助表!AY68</f>
        <v>66935</v>
      </c>
      <c r="AE39" s="12">
        <f>升星辅助表!AI68</f>
        <v>275</v>
      </c>
      <c r="AF39" s="5">
        <f>升星辅助表!AU68/升星辅助表!AW68</f>
        <v>0.02</v>
      </c>
      <c r="AG39" s="5">
        <f>升星辅助表!AU68/升星辅助表!AV68</f>
        <v>0.02</v>
      </c>
    </row>
    <row r="40" spans="2:33" x14ac:dyDescent="0.15">
      <c r="B40" s="5" t="str">
        <f>D_装备基础数据!A53</f>
        <v>10108</v>
      </c>
      <c r="C40" s="5" t="s">
        <v>420</v>
      </c>
      <c r="D40" s="5">
        <f ca="1">D_装备基础数据!AP53</f>
        <v>109.08489536989224</v>
      </c>
      <c r="F40" s="28">
        <f>强化辅助表!Z72</f>
        <v>4</v>
      </c>
      <c r="G40" s="28">
        <f>强化辅助表!AA72</f>
        <v>15</v>
      </c>
      <c r="H40" s="28">
        <f>强化辅助表!AB72</f>
        <v>65</v>
      </c>
      <c r="I40" s="28"/>
      <c r="J40" s="28"/>
      <c r="K40" s="28" t="str">
        <f>强化辅助表!B72</f>
        <v>3010</v>
      </c>
      <c r="L40" s="28">
        <f>强化辅助表!D72</f>
        <v>1</v>
      </c>
      <c r="M40" s="28">
        <f>强化辅助表!F72</f>
        <v>30</v>
      </c>
      <c r="N40" s="28">
        <f>强化辅助表!Q72</f>
        <v>14.44</v>
      </c>
      <c r="O40" s="33">
        <f>强化辅助表!T72</f>
        <v>335730</v>
      </c>
      <c r="P40" s="33">
        <f>强化辅助表!U72</f>
        <v>72775.48</v>
      </c>
      <c r="Q40">
        <f>强化辅助表!Q72/强化辅助表!S72</f>
        <v>0.02</v>
      </c>
      <c r="R40">
        <f>强化辅助表!Q72/强化辅助表!R72</f>
        <v>0.02</v>
      </c>
      <c r="T40" s="28">
        <f>升星辅助表!AB69</f>
        <v>0</v>
      </c>
      <c r="U40" s="28">
        <f>升星辅助表!AC69</f>
        <v>6</v>
      </c>
      <c r="V40" s="28">
        <f>升星辅助表!AD69</f>
        <v>19</v>
      </c>
      <c r="W40" s="28"/>
      <c r="X40" s="28"/>
      <c r="Y40" s="28" t="str">
        <f>升星辅助表!C69</f>
        <v>3010</v>
      </c>
      <c r="Z40" s="28">
        <f>升星辅助表!F69</f>
        <v>1</v>
      </c>
      <c r="AA40" s="28">
        <f>升星辅助表!H69</f>
        <v>30</v>
      </c>
      <c r="AB40" s="28">
        <f>升星辅助表!AU69</f>
        <v>36</v>
      </c>
      <c r="AC40" s="33">
        <f>升星辅助表!AX69</f>
        <v>99000</v>
      </c>
      <c r="AD40" s="33">
        <f>升星辅助表!AY69</f>
        <v>99000</v>
      </c>
      <c r="AE40" s="12">
        <f>升星辅助表!AI69</f>
        <v>330</v>
      </c>
      <c r="AF40" s="5">
        <f>升星辅助表!AU69/升星辅助表!AW69</f>
        <v>0.02</v>
      </c>
      <c r="AG40" s="5">
        <f>升星辅助表!AU69/升星辅助表!AV69</f>
        <v>0.02</v>
      </c>
    </row>
    <row r="41" spans="2:33" x14ac:dyDescent="0.15">
      <c r="B41" s="5" t="str">
        <f>D_装备基础数据!A54</f>
        <v>20108</v>
      </c>
      <c r="C41" s="5" t="s">
        <v>421</v>
      </c>
      <c r="D41" s="5">
        <f ca="1">D_装备基础数据!AP54</f>
        <v>109.08489536989224</v>
      </c>
      <c r="F41" s="28">
        <f>强化辅助表!Z73</f>
        <v>4</v>
      </c>
      <c r="G41" s="28">
        <f>强化辅助表!AA73</f>
        <v>19</v>
      </c>
      <c r="H41" s="28">
        <f>强化辅助表!AB73</f>
        <v>59</v>
      </c>
      <c r="I41" s="28"/>
      <c r="J41" s="28"/>
      <c r="K41" s="28" t="str">
        <f>强化辅助表!B73</f>
        <v>3011</v>
      </c>
      <c r="L41" s="28">
        <f>强化辅助表!D73</f>
        <v>1</v>
      </c>
      <c r="M41" s="28">
        <f>强化辅助表!F73</f>
        <v>30</v>
      </c>
      <c r="N41" s="28">
        <f>强化辅助表!Q73</f>
        <v>13.48</v>
      </c>
      <c r="O41" s="33">
        <f>强化辅助表!T73</f>
        <v>313410</v>
      </c>
      <c r="P41" s="33">
        <f>强化辅助表!U73</f>
        <v>67756.360000000015</v>
      </c>
      <c r="Q41">
        <f>强化辅助表!Q73/强化辅助表!S73</f>
        <v>0.02</v>
      </c>
      <c r="R41">
        <f>强化辅助表!Q73/强化辅助表!R73</f>
        <v>0.02</v>
      </c>
      <c r="T41" s="28">
        <f>升星辅助表!AB70</f>
        <v>4</v>
      </c>
      <c r="U41" s="28">
        <f>升星辅助表!AC70</f>
        <v>16</v>
      </c>
      <c r="V41" s="28">
        <f>升星辅助表!AD70</f>
        <v>6</v>
      </c>
      <c r="W41" s="28"/>
      <c r="X41" s="28"/>
      <c r="Y41" s="28" t="str">
        <f>升星辅助表!C70</f>
        <v>3011</v>
      </c>
      <c r="Z41" s="28">
        <f>升星辅助表!F70</f>
        <v>1</v>
      </c>
      <c r="AA41" s="28">
        <f>升星辅助表!H70</f>
        <v>30</v>
      </c>
      <c r="AB41" s="28">
        <f>升星辅助表!AU70</f>
        <v>15.68</v>
      </c>
      <c r="AC41" s="33">
        <f>升星辅助表!AX70</f>
        <v>43120</v>
      </c>
      <c r="AD41" s="33">
        <f>升星辅助表!AY70</f>
        <v>43120</v>
      </c>
      <c r="AE41" s="12">
        <f>升星辅助表!AI70</f>
        <v>165</v>
      </c>
      <c r="AF41" s="5">
        <f>升星辅助表!AU70/升星辅助表!AW70</f>
        <v>0.02</v>
      </c>
      <c r="AG41" s="5">
        <f>升星辅助表!AU70/升星辅助表!AV70</f>
        <v>0.02</v>
      </c>
    </row>
    <row r="42" spans="2:33" x14ac:dyDescent="0.15">
      <c r="B42" s="5" t="str">
        <f>D_装备基础数据!A55</f>
        <v>30108</v>
      </c>
      <c r="C42" s="5" t="s">
        <v>422</v>
      </c>
      <c r="D42" s="5">
        <f ca="1">D_装备基础数据!AP55</f>
        <v>109.08489536989224</v>
      </c>
      <c r="F42" s="28">
        <f>强化辅助表!Z74</f>
        <v>12</v>
      </c>
      <c r="G42" s="28">
        <f>强化辅助表!AA74</f>
        <v>52</v>
      </c>
      <c r="H42" s="28">
        <f>强化辅助表!AB74</f>
        <v>11</v>
      </c>
      <c r="I42" s="28"/>
      <c r="J42" s="28"/>
      <c r="K42" s="28" t="str">
        <f>强化辅助表!B74</f>
        <v>3012</v>
      </c>
      <c r="L42" s="28">
        <f>强化辅助表!D74</f>
        <v>1</v>
      </c>
      <c r="M42" s="28">
        <f>强化辅助表!F74</f>
        <v>30</v>
      </c>
      <c r="N42" s="28">
        <f>强化辅助表!Q74</f>
        <v>4.7</v>
      </c>
      <c r="O42" s="33">
        <f>强化辅助表!T74</f>
        <v>109275</v>
      </c>
      <c r="P42" s="33">
        <f>强化辅助表!U74</f>
        <v>24230.100000000002</v>
      </c>
      <c r="Q42">
        <f>强化辅助表!Q74/强化辅助表!S74</f>
        <v>0.02</v>
      </c>
      <c r="R42">
        <f>强化辅助表!Q74/强化辅助表!R74</f>
        <v>0.02</v>
      </c>
      <c r="T42" s="28">
        <f>升星辅助表!AB71</f>
        <v>6</v>
      </c>
      <c r="U42" s="28">
        <f>升星辅助表!AC71</f>
        <v>21</v>
      </c>
      <c r="V42" s="28">
        <f>升星辅助表!AD71</f>
        <v>0</v>
      </c>
      <c r="W42" s="28"/>
      <c r="X42" s="28"/>
      <c r="Y42" s="28" t="str">
        <f>升星辅助表!C71</f>
        <v>3012</v>
      </c>
      <c r="Z42" s="28">
        <f>升星辅助表!F71</f>
        <v>1</v>
      </c>
      <c r="AA42" s="28">
        <f>升星辅助表!H71</f>
        <v>30</v>
      </c>
      <c r="AB42" s="28">
        <f>升星辅助表!AU71</f>
        <v>7.84</v>
      </c>
      <c r="AC42" s="33">
        <f>升星辅助表!AX71</f>
        <v>21560</v>
      </c>
      <c r="AD42" s="33">
        <f>升星辅助表!AY71</f>
        <v>21560</v>
      </c>
      <c r="AE42" s="12">
        <f>升星辅助表!AI71</f>
        <v>110</v>
      </c>
      <c r="AF42" s="5">
        <f>升星辅助表!AU71/升星辅助表!AW71</f>
        <v>0.02</v>
      </c>
      <c r="AG42" s="5">
        <f>升星辅助表!AU71/升星辅助表!AV71</f>
        <v>0.02</v>
      </c>
    </row>
    <row r="43" spans="2:33" x14ac:dyDescent="0.15">
      <c r="B43" s="5" t="str">
        <f>D_装备基础数据!A56</f>
        <v>51108</v>
      </c>
      <c r="C43" s="5" t="s">
        <v>423</v>
      </c>
      <c r="D43" s="5">
        <f ca="1">D_装备基础数据!AP56</f>
        <v>94.105543642506575</v>
      </c>
      <c r="F43" s="28">
        <f>强化辅助表!Z75</f>
        <v>9</v>
      </c>
      <c r="G43" s="28">
        <f>强化辅助表!AA75</f>
        <v>39</v>
      </c>
      <c r="H43" s="28">
        <f>强化辅助表!AB75</f>
        <v>20</v>
      </c>
      <c r="I43" s="28"/>
      <c r="J43" s="28"/>
      <c r="K43" s="28" t="str">
        <f>强化辅助表!B75</f>
        <v>3015</v>
      </c>
      <c r="L43" s="28">
        <f>强化辅助表!D75</f>
        <v>1</v>
      </c>
      <c r="M43" s="28">
        <f>强化辅助表!F75</f>
        <v>30</v>
      </c>
      <c r="N43" s="28">
        <f>强化辅助表!Q75</f>
        <v>5.9</v>
      </c>
      <c r="O43" s="33">
        <f>强化辅助表!T75</f>
        <v>137175</v>
      </c>
      <c r="P43" s="33">
        <f>强化辅助表!U75</f>
        <v>29605.500000000004</v>
      </c>
      <c r="Q43">
        <f>强化辅助表!Q75/强化辅助表!S75</f>
        <v>0.02</v>
      </c>
      <c r="R43">
        <f>强化辅助表!Q75/强化辅助表!R75</f>
        <v>0.02</v>
      </c>
      <c r="T43" s="28">
        <f>升星辅助表!AB72</f>
        <v>6</v>
      </c>
      <c r="U43" s="28">
        <f>升星辅助表!AC72</f>
        <v>21</v>
      </c>
      <c r="V43" s="28">
        <f>升星辅助表!AD72</f>
        <v>0</v>
      </c>
      <c r="W43" s="28"/>
      <c r="X43" s="28"/>
      <c r="Y43" s="28" t="str">
        <f>升星辅助表!C72</f>
        <v>3015</v>
      </c>
      <c r="Z43" s="28">
        <f>升星辅助表!F72</f>
        <v>1</v>
      </c>
      <c r="AA43" s="28">
        <f>升星辅助表!H72</f>
        <v>30</v>
      </c>
      <c r="AB43" s="28">
        <f>升星辅助表!AU72</f>
        <v>7.84</v>
      </c>
      <c r="AC43" s="33">
        <f>升星辅助表!AX72</f>
        <v>21560</v>
      </c>
      <c r="AD43" s="33">
        <f>升星辅助表!AY72</f>
        <v>21560</v>
      </c>
      <c r="AE43" s="12">
        <f>升星辅助表!AI72</f>
        <v>110</v>
      </c>
      <c r="AF43" s="5">
        <f>升星辅助表!AU72/升星辅助表!AW72</f>
        <v>0.02</v>
      </c>
      <c r="AG43" s="5">
        <f>升星辅助表!AU72/升星辅助表!AV72</f>
        <v>0.02</v>
      </c>
    </row>
    <row r="44" spans="2:33" x14ac:dyDescent="0.15">
      <c r="B44" s="5" t="str">
        <f>D_装备基础数据!A57</f>
        <v>52108</v>
      </c>
      <c r="C44" s="5" t="s">
        <v>424</v>
      </c>
      <c r="D44" s="5">
        <f ca="1">D_装备基础数据!AP57</f>
        <v>34.672418304983111</v>
      </c>
      <c r="F44" s="28">
        <f>强化辅助表!Z76</f>
        <v>11</v>
      </c>
      <c r="G44" s="28">
        <f>强化辅助表!AA76</f>
        <v>57</v>
      </c>
      <c r="H44" s="28">
        <f>强化辅助表!AB76</f>
        <v>9</v>
      </c>
      <c r="I44" s="28"/>
      <c r="J44" s="28"/>
      <c r="K44" s="28" t="str">
        <f>强化辅助表!B76</f>
        <v>3014</v>
      </c>
      <c r="L44" s="28">
        <f>强化辅助表!D76</f>
        <v>1</v>
      </c>
      <c r="M44" s="28">
        <f>强化辅助表!F76</f>
        <v>30</v>
      </c>
      <c r="N44" s="28">
        <f>强化辅助表!Q76</f>
        <v>4.2799999999999994</v>
      </c>
      <c r="O44" s="33">
        <f>强化辅助表!T76</f>
        <v>99510</v>
      </c>
      <c r="P44" s="33">
        <f>强化辅助表!U76</f>
        <v>21542.36</v>
      </c>
      <c r="Q44">
        <f>强化辅助表!Q76/强化辅助表!S76</f>
        <v>1.9999999999999997E-2</v>
      </c>
      <c r="R44">
        <f>强化辅助表!Q76/强化辅助表!R76</f>
        <v>1.9999999999999997E-2</v>
      </c>
      <c r="T44" s="28">
        <f>升星辅助表!AB73</f>
        <v>4</v>
      </c>
      <c r="U44" s="28">
        <f>升星辅助表!AC73</f>
        <v>16</v>
      </c>
      <c r="V44" s="28">
        <f>升星辅助表!AD73</f>
        <v>6</v>
      </c>
      <c r="W44" s="28"/>
      <c r="X44" s="28"/>
      <c r="Y44" s="28" t="str">
        <f>升星辅助表!C73</f>
        <v>3014</v>
      </c>
      <c r="Z44" s="28">
        <f>升星辅助表!F73</f>
        <v>1</v>
      </c>
      <c r="AA44" s="28">
        <f>升星辅助表!H73</f>
        <v>30</v>
      </c>
      <c r="AB44" s="28">
        <f>升星辅助表!AU73</f>
        <v>15.68</v>
      </c>
      <c r="AC44" s="33">
        <f>升星辅助表!AX73</f>
        <v>43120</v>
      </c>
      <c r="AD44" s="33">
        <f>升星辅助表!AY73</f>
        <v>43120</v>
      </c>
      <c r="AE44" s="12">
        <f>升星辅助表!AI73</f>
        <v>165</v>
      </c>
      <c r="AF44" s="5">
        <f>升星辅助表!AU73/升星辅助表!AW73</f>
        <v>0.02</v>
      </c>
      <c r="AG44" s="5">
        <f>升星辅助表!AU73/升星辅助表!AV73</f>
        <v>0.02</v>
      </c>
    </row>
    <row r="45" spans="2:33" x14ac:dyDescent="0.15">
      <c r="B45" s="5" t="str">
        <f>D_装备基础数据!A58</f>
        <v>55108</v>
      </c>
      <c r="C45" s="5" t="s">
        <v>425</v>
      </c>
      <c r="D45" s="5">
        <f ca="1">D_装备基础数据!AP58</f>
        <v>44.170543106317091</v>
      </c>
      <c r="F45" s="28">
        <f>强化辅助表!Z77</f>
        <v>7</v>
      </c>
      <c r="G45" s="28">
        <f>强化辅助表!AA77</f>
        <v>28</v>
      </c>
      <c r="H45" s="28">
        <f>强化辅助表!AB77</f>
        <v>35</v>
      </c>
      <c r="I45" s="28">
        <f>M45</f>
        <v>30</v>
      </c>
      <c r="J45" s="28">
        <f>SUM(P40:P45)</f>
        <v>261239.12000000005</v>
      </c>
      <c r="K45" s="28" t="str">
        <f>强化辅助表!B77</f>
        <v>3013</v>
      </c>
      <c r="L45" s="28">
        <f>强化辅助表!D77</f>
        <v>1</v>
      </c>
      <c r="M45" s="28">
        <f>强化辅助表!F77</f>
        <v>30</v>
      </c>
      <c r="N45" s="28">
        <f>强化辅助表!Q77</f>
        <v>8.7600000000000016</v>
      </c>
      <c r="O45" s="33">
        <f>强化辅助表!T77</f>
        <v>203670</v>
      </c>
      <c r="P45" s="33">
        <f>强化辅助表!U77</f>
        <v>45329.320000000007</v>
      </c>
      <c r="Q45">
        <f>强化辅助表!Q77/强化辅助表!S77</f>
        <v>2.0000000000000004E-2</v>
      </c>
      <c r="R45">
        <f>强化辅助表!Q77/强化辅助表!R77</f>
        <v>2.0000000000000004E-2</v>
      </c>
      <c r="T45" s="28">
        <f>升星辅助表!AB74</f>
        <v>3</v>
      </c>
      <c r="U45" s="28">
        <f>升星辅助表!AC74</f>
        <v>21</v>
      </c>
      <c r="V45" s="28">
        <f>升星辅助表!AD74</f>
        <v>3</v>
      </c>
      <c r="W45" s="28">
        <f>AA45</f>
        <v>30</v>
      </c>
      <c r="X45" s="28">
        <f>SUM(AD40:AD45)</f>
        <v>261360</v>
      </c>
      <c r="Y45" s="28" t="str">
        <f>升星辅助表!C74</f>
        <v>3013</v>
      </c>
      <c r="Z45" s="28">
        <f>升星辅助表!F74</f>
        <v>1</v>
      </c>
      <c r="AA45" s="28">
        <f>升星辅助表!H74</f>
        <v>30</v>
      </c>
      <c r="AB45" s="28">
        <f>升星辅助表!AU74</f>
        <v>12</v>
      </c>
      <c r="AC45" s="33">
        <f>升星辅助表!AX74</f>
        <v>33000</v>
      </c>
      <c r="AD45" s="33">
        <f>升星辅助表!AY74</f>
        <v>33000</v>
      </c>
      <c r="AE45" s="12">
        <f>升星辅助表!AI74</f>
        <v>110</v>
      </c>
      <c r="AF45" s="5">
        <f>升星辅助表!AU74/升星辅助表!AW74</f>
        <v>0.02</v>
      </c>
      <c r="AG45" s="5">
        <f>升星辅助表!AU74/升星辅助表!AV74</f>
        <v>0.02</v>
      </c>
    </row>
    <row r="46" spans="2:33" x14ac:dyDescent="0.15">
      <c r="B46" s="5" t="str">
        <f>D_装备基础数据!A59</f>
        <v>54108</v>
      </c>
      <c r="C46" s="5" t="s">
        <v>426</v>
      </c>
      <c r="D46" s="5">
        <f ca="1">D_装备基础数据!AP59</f>
        <v>35.533835571320218</v>
      </c>
      <c r="F46" s="28">
        <f>强化辅助表!Z78</f>
        <v>0</v>
      </c>
      <c r="G46" s="28">
        <f>强化辅助表!AA78</f>
        <v>11</v>
      </c>
      <c r="H46" s="28">
        <f>强化辅助表!AB78</f>
        <v>97</v>
      </c>
      <c r="I46" s="28"/>
      <c r="J46" s="28"/>
      <c r="K46" s="28" t="str">
        <f>强化辅助表!B78</f>
        <v>3020</v>
      </c>
      <c r="L46" s="28">
        <f>强化辅助表!D78</f>
        <v>2</v>
      </c>
      <c r="M46" s="28">
        <f>强化辅助表!F78</f>
        <v>30</v>
      </c>
      <c r="N46" s="28">
        <f>强化辅助表!Q78</f>
        <v>21.16</v>
      </c>
      <c r="O46" s="33">
        <f>强化辅助表!T78</f>
        <v>491970</v>
      </c>
      <c r="P46" s="33">
        <f>强化辅助表!U78</f>
        <v>105457.12</v>
      </c>
      <c r="Q46">
        <f>强化辅助表!Q78/强化辅助表!S78</f>
        <v>0.02</v>
      </c>
      <c r="R46">
        <f>强化辅助表!Q78/强化辅助表!R78</f>
        <v>0.02</v>
      </c>
      <c r="T46" s="28">
        <f>升星辅助表!AB75</f>
        <v>0</v>
      </c>
      <c r="U46" s="28">
        <f>升星辅助表!AC75</f>
        <v>3</v>
      </c>
      <c r="V46" s="28">
        <f>升星辅助表!AD75</f>
        <v>32</v>
      </c>
      <c r="W46" s="28"/>
      <c r="X46" s="28"/>
      <c r="Y46" s="28" t="str">
        <f>升星辅助表!C75</f>
        <v>3020</v>
      </c>
      <c r="Z46" s="28">
        <f>升星辅助表!F75</f>
        <v>2</v>
      </c>
      <c r="AA46" s="28">
        <f>升星辅助表!H75</f>
        <v>30</v>
      </c>
      <c r="AB46" s="28">
        <f>升星辅助表!AU75</f>
        <v>58</v>
      </c>
      <c r="AC46" s="33">
        <f>升星辅助表!AX75</f>
        <v>159500</v>
      </c>
      <c r="AD46" s="33">
        <f>升星辅助表!AY75</f>
        <v>159500</v>
      </c>
      <c r="AE46" s="12">
        <f>升星辅助表!AI75</f>
        <v>550</v>
      </c>
      <c r="AF46" s="5">
        <f>升星辅助表!AU75/升星辅助表!AW75</f>
        <v>0.02</v>
      </c>
      <c r="AG46" s="5">
        <f>升星辅助表!AU75/升星辅助表!AV75</f>
        <v>0.02</v>
      </c>
    </row>
    <row r="47" spans="2:33" x14ac:dyDescent="0.15">
      <c r="B47" s="5" t="str">
        <f>D_装备基础数据!A60</f>
        <v>53108</v>
      </c>
      <c r="C47" s="5" t="s">
        <v>427</v>
      </c>
      <c r="D47" s="5">
        <f ca="1">D_装备基础数据!AP60</f>
        <v>66.229016342245998</v>
      </c>
      <c r="F47" s="28">
        <f>强化辅助表!Z79</f>
        <v>5</v>
      </c>
      <c r="G47" s="28">
        <f>强化辅助表!AA79</f>
        <v>14</v>
      </c>
      <c r="H47" s="28">
        <f>强化辅助表!AB79</f>
        <v>87</v>
      </c>
      <c r="I47" s="28"/>
      <c r="J47" s="28"/>
      <c r="K47" s="28" t="str">
        <f>强化辅助表!B79</f>
        <v>3021</v>
      </c>
      <c r="L47" s="28">
        <f>强化辅助表!D79</f>
        <v>2</v>
      </c>
      <c r="M47" s="28">
        <f>强化辅助表!F79</f>
        <v>30</v>
      </c>
      <c r="N47" s="28">
        <f>强化辅助表!Q79</f>
        <v>19.240000000000002</v>
      </c>
      <c r="O47" s="33">
        <f>强化辅助表!T79</f>
        <v>447330</v>
      </c>
      <c r="P47" s="33">
        <f>强化辅助表!U79</f>
        <v>94864.28</v>
      </c>
      <c r="Q47">
        <f>强化辅助表!Q79/强化辅助表!S79</f>
        <v>0.02</v>
      </c>
      <c r="R47">
        <f>强化辅助表!Q79/强化辅助表!R79</f>
        <v>0.02</v>
      </c>
      <c r="T47" s="28">
        <f>升星辅助表!AB76</f>
        <v>0</v>
      </c>
      <c r="U47" s="28">
        <f>升星辅助表!AC76</f>
        <v>7</v>
      </c>
      <c r="V47" s="28">
        <f>升星辅助表!AD76</f>
        <v>22</v>
      </c>
      <c r="W47" s="28"/>
      <c r="X47" s="28"/>
      <c r="Y47" s="28" t="str">
        <f>升星辅助表!C76</f>
        <v>3021</v>
      </c>
      <c r="Z47" s="28">
        <f>升星辅助表!F76</f>
        <v>2</v>
      </c>
      <c r="AA47" s="28">
        <f>升星辅助表!H76</f>
        <v>30</v>
      </c>
      <c r="AB47" s="28">
        <f>升星辅助表!AU76</f>
        <v>41.64</v>
      </c>
      <c r="AC47" s="33">
        <f>升星辅助表!AX76</f>
        <v>114510</v>
      </c>
      <c r="AD47" s="33">
        <f>升星辅助表!AY76</f>
        <v>114510</v>
      </c>
      <c r="AE47" s="12">
        <f>升星辅助表!AI76</f>
        <v>385</v>
      </c>
      <c r="AF47" s="5">
        <f>升星辅助表!AU76/升星辅助表!AW76</f>
        <v>0.02</v>
      </c>
      <c r="AG47" s="5">
        <f>升星辅助表!AU76/升星辅助表!AV76</f>
        <v>0.02</v>
      </c>
    </row>
    <row r="48" spans="2:33" x14ac:dyDescent="0.15">
      <c r="B48" s="5" t="str">
        <f>D_装备基础数据!A61</f>
        <v>10209</v>
      </c>
      <c r="C48" s="5" t="s">
        <v>428</v>
      </c>
      <c r="D48" s="5">
        <f ca="1">D_装备基础数据!AP61</f>
        <v>156.88956387903508</v>
      </c>
      <c r="F48" s="28">
        <f>强化辅助表!Z80</f>
        <v>10</v>
      </c>
      <c r="G48" s="28">
        <f>强化辅助表!AA80</f>
        <v>37</v>
      </c>
      <c r="H48" s="28">
        <f>强化辅助表!AB80</f>
        <v>23</v>
      </c>
      <c r="I48" s="28"/>
      <c r="J48" s="28"/>
      <c r="K48" s="28" t="str">
        <f>强化辅助表!B80</f>
        <v>3022</v>
      </c>
      <c r="L48" s="28">
        <f>强化辅助表!D80</f>
        <v>2</v>
      </c>
      <c r="M48" s="28">
        <f>强化辅助表!F80</f>
        <v>30</v>
      </c>
      <c r="N48" s="28">
        <f>强化辅助表!Q80</f>
        <v>6.3800000000000008</v>
      </c>
      <c r="O48" s="33">
        <f>强化辅助表!T80</f>
        <v>148335</v>
      </c>
      <c r="P48" s="33">
        <f>强化辅助表!U80</f>
        <v>31549.860000000004</v>
      </c>
      <c r="Q48">
        <f>强化辅助表!Q80/强化辅助表!S80</f>
        <v>2.0000000000000004E-2</v>
      </c>
      <c r="R48">
        <f>强化辅助表!Q80/强化辅助表!R80</f>
        <v>2.0000000000000004E-2</v>
      </c>
      <c r="T48" s="28">
        <f>升星辅助表!AB77</f>
        <v>5</v>
      </c>
      <c r="U48" s="28">
        <f>升星辅助表!AC77</f>
        <v>13</v>
      </c>
      <c r="V48" s="28">
        <f>升星辅助表!AD77</f>
        <v>7</v>
      </c>
      <c r="W48" s="28"/>
      <c r="X48" s="28"/>
      <c r="Y48" s="28" t="str">
        <f>升星辅助表!C77</f>
        <v>3022</v>
      </c>
      <c r="Z48" s="28">
        <f>升星辅助表!F77</f>
        <v>2</v>
      </c>
      <c r="AA48" s="28">
        <f>升星辅助表!H77</f>
        <v>30</v>
      </c>
      <c r="AB48" s="28">
        <f>升星辅助表!AU77</f>
        <v>17.32</v>
      </c>
      <c r="AC48" s="33">
        <f>升星辅助表!AX77</f>
        <v>47630</v>
      </c>
      <c r="AD48" s="33">
        <f>升星辅助表!AY77</f>
        <v>47630</v>
      </c>
      <c r="AE48" s="12">
        <f>升星辅助表!AI77</f>
        <v>165</v>
      </c>
      <c r="AF48" s="5">
        <f>升星辅助表!AU77/升星辅助表!AW77</f>
        <v>0.02</v>
      </c>
      <c r="AG48" s="5">
        <f>升星辅助表!AU77/升星辅助表!AV77</f>
        <v>0.02</v>
      </c>
    </row>
    <row r="49" spans="2:33" x14ac:dyDescent="0.15">
      <c r="B49" s="5" t="str">
        <f>D_装备基础数据!A62</f>
        <v>20209</v>
      </c>
      <c r="C49" s="5" t="str">
        <f>D_装备基础数据!B62</f>
        <v>流光之拳</v>
      </c>
      <c r="D49" s="5">
        <f ca="1">D_装备基础数据!AP62</f>
        <v>156.88956387903508</v>
      </c>
      <c r="F49" s="28">
        <f>强化辅助表!Z81</f>
        <v>7</v>
      </c>
      <c r="G49" s="28">
        <f>强化辅助表!AA81</f>
        <v>28</v>
      </c>
      <c r="H49" s="28">
        <f>强化辅助表!AB81</f>
        <v>36</v>
      </c>
      <c r="I49" s="28"/>
      <c r="J49" s="28"/>
      <c r="K49" s="28" t="str">
        <f>强化辅助表!B81</f>
        <v>3025</v>
      </c>
      <c r="L49" s="28">
        <f>强化辅助表!D81</f>
        <v>2</v>
      </c>
      <c r="M49" s="28">
        <f>强化辅助表!F81</f>
        <v>30</v>
      </c>
      <c r="N49" s="28">
        <f>强化辅助表!Q81</f>
        <v>8.84</v>
      </c>
      <c r="O49" s="33">
        <f>强化辅助表!T81</f>
        <v>205530</v>
      </c>
      <c r="P49" s="33">
        <f>强化辅助表!U81</f>
        <v>43784.680000000008</v>
      </c>
      <c r="Q49">
        <f>强化辅助表!Q81/强化辅助表!S81</f>
        <v>0.02</v>
      </c>
      <c r="R49">
        <f>强化辅助表!Q81/强化辅助表!R81</f>
        <v>0.02</v>
      </c>
      <c r="T49" s="28">
        <f>升星辅助表!AB78</f>
        <v>0</v>
      </c>
      <c r="U49" s="28">
        <f>升星辅助表!AC78</f>
        <v>11</v>
      </c>
      <c r="V49" s="28">
        <f>升星辅助表!AD78</f>
        <v>10</v>
      </c>
      <c r="W49" s="28"/>
      <c r="X49" s="28"/>
      <c r="Y49" s="28" t="str">
        <f>升星辅助表!C78</f>
        <v>3025</v>
      </c>
      <c r="Z49" s="28">
        <f>升星辅助表!F78</f>
        <v>2</v>
      </c>
      <c r="AA49" s="28">
        <f>升星辅助表!H78</f>
        <v>30</v>
      </c>
      <c r="AB49" s="28">
        <f>升星辅助表!AU78</f>
        <v>20.5</v>
      </c>
      <c r="AC49" s="33">
        <f>升星辅助表!AX78</f>
        <v>56375</v>
      </c>
      <c r="AD49" s="33">
        <f>升星辅助表!AY78</f>
        <v>56375</v>
      </c>
      <c r="AE49" s="12">
        <f>升星辅助表!AI78</f>
        <v>220</v>
      </c>
      <c r="AF49" s="5">
        <f>升星辅助表!AU78/升星辅助表!AW78</f>
        <v>0.02</v>
      </c>
      <c r="AG49" s="5">
        <f>升星辅助表!AU78/升星辅助表!AV78</f>
        <v>0.02</v>
      </c>
    </row>
    <row r="50" spans="2:33" x14ac:dyDescent="0.15">
      <c r="B50" s="5" t="str">
        <f>D_装备基础数据!A63</f>
        <v>30209</v>
      </c>
      <c r="C50" s="5" t="s">
        <v>429</v>
      </c>
      <c r="D50" s="5">
        <f ca="1">D_装备基础数据!AP63</f>
        <v>156.88956387903508</v>
      </c>
      <c r="F50" s="28">
        <f>强化辅助表!Z82</f>
        <v>10</v>
      </c>
      <c r="G50" s="28">
        <f>强化辅助表!AA82</f>
        <v>41</v>
      </c>
      <c r="H50" s="28">
        <f>强化辅助表!AB82</f>
        <v>21</v>
      </c>
      <c r="I50" s="28"/>
      <c r="J50" s="28"/>
      <c r="K50" s="28" t="str">
        <f>强化辅助表!B82</f>
        <v>3024</v>
      </c>
      <c r="L50" s="28">
        <f>强化辅助表!D82</f>
        <v>2</v>
      </c>
      <c r="M50" s="28">
        <f>强化辅助表!F82</f>
        <v>30</v>
      </c>
      <c r="N50" s="28">
        <f>强化辅助表!Q82</f>
        <v>6.24</v>
      </c>
      <c r="O50" s="33">
        <f>强化辅助表!T82</f>
        <v>145080</v>
      </c>
      <c r="P50" s="33">
        <f>强化辅助表!U82</f>
        <v>30916.680000000004</v>
      </c>
      <c r="Q50">
        <f>强化辅助表!Q82/强化辅助表!S82</f>
        <v>0.02</v>
      </c>
      <c r="R50">
        <f>强化辅助表!Q82/强化辅助表!R82</f>
        <v>0.02</v>
      </c>
      <c r="T50" s="28">
        <f>升星辅助表!AB79</f>
        <v>0</v>
      </c>
      <c r="U50" s="28">
        <f>升星辅助表!AC79</f>
        <v>6</v>
      </c>
      <c r="V50" s="28">
        <f>升星辅助表!AD79</f>
        <v>21</v>
      </c>
      <c r="W50" s="28"/>
      <c r="X50" s="28"/>
      <c r="Y50" s="28" t="str">
        <f>升星辅助表!C79</f>
        <v>3024</v>
      </c>
      <c r="Z50" s="28">
        <f>升星辅助表!F79</f>
        <v>2</v>
      </c>
      <c r="AA50" s="28">
        <f>升星辅助表!H79</f>
        <v>30</v>
      </c>
      <c r="AB50" s="28">
        <f>升星辅助表!AU79</f>
        <v>39.64</v>
      </c>
      <c r="AC50" s="33">
        <f>升星辅助表!AX79</f>
        <v>109010</v>
      </c>
      <c r="AD50" s="33">
        <f>升星辅助表!AY79</f>
        <v>109010</v>
      </c>
      <c r="AE50" s="12">
        <f>升星辅助表!AI79</f>
        <v>385</v>
      </c>
      <c r="AF50" s="5">
        <f>升星辅助表!AU79/升星辅助表!AW79</f>
        <v>0.02</v>
      </c>
      <c r="AG50" s="5">
        <f>升星辅助表!AU79/升星辅助表!AV79</f>
        <v>0.02</v>
      </c>
    </row>
    <row r="51" spans="2:33" x14ac:dyDescent="0.15">
      <c r="B51" s="5" t="str">
        <f>D_装备基础数据!A64</f>
        <v>51209</v>
      </c>
      <c r="C51" s="5" t="s">
        <v>430</v>
      </c>
      <c r="D51" s="5">
        <f ca="1">D_装备基础数据!AP64</f>
        <v>132.96325891546761</v>
      </c>
      <c r="F51" s="28">
        <f>强化辅助表!Z83</f>
        <v>4</v>
      </c>
      <c r="G51" s="28">
        <f>强化辅助表!AA83</f>
        <v>18</v>
      </c>
      <c r="H51" s="28">
        <f>强化辅助表!AB83</f>
        <v>56</v>
      </c>
      <c r="I51" s="28"/>
      <c r="J51" s="28"/>
      <c r="K51" s="28" t="str">
        <f>强化辅助表!B83</f>
        <v>3023</v>
      </c>
      <c r="L51" s="28">
        <f>强化辅助表!D83</f>
        <v>2</v>
      </c>
      <c r="M51" s="28">
        <f>强化辅助表!F83</f>
        <v>30</v>
      </c>
      <c r="N51" s="28">
        <f>强化辅助表!Q83</f>
        <v>12.8</v>
      </c>
      <c r="O51" s="33">
        <f>强化辅助表!T83</f>
        <v>297600</v>
      </c>
      <c r="P51" s="33">
        <f>强化辅助表!U83</f>
        <v>63659.200000000004</v>
      </c>
      <c r="Q51">
        <f>强化辅助表!Q83/强化辅助表!S83</f>
        <v>0.02</v>
      </c>
      <c r="R51">
        <f>强化辅助表!Q83/强化辅助表!R83</f>
        <v>0.02</v>
      </c>
      <c r="T51" s="28">
        <f>升星辅助表!AB80</f>
        <v>0</v>
      </c>
      <c r="U51" s="28">
        <f>升星辅助表!AC80</f>
        <v>11</v>
      </c>
      <c r="V51" s="28">
        <f>升星辅助表!AD80</f>
        <v>10</v>
      </c>
      <c r="W51" s="28">
        <f>AA51</f>
        <v>30</v>
      </c>
      <c r="X51" s="28">
        <f>SUM(AD46:AD51)</f>
        <v>546865</v>
      </c>
      <c r="Y51" s="28" t="str">
        <f>升星辅助表!C80</f>
        <v>3023</v>
      </c>
      <c r="Z51" s="28">
        <f>升星辅助表!F80</f>
        <v>2</v>
      </c>
      <c r="AA51" s="28">
        <f>升星辅助表!H80</f>
        <v>30</v>
      </c>
      <c r="AB51" s="28">
        <f>升星辅助表!AU80</f>
        <v>21.76</v>
      </c>
      <c r="AC51" s="33">
        <f>升星辅助表!AX80</f>
        <v>59840</v>
      </c>
      <c r="AD51" s="33">
        <f>升星辅助表!AY80</f>
        <v>59840</v>
      </c>
      <c r="AE51" s="12">
        <f>升星辅助表!AI80</f>
        <v>220</v>
      </c>
      <c r="AF51" s="5">
        <f>升星辅助表!AU80/升星辅助表!AW80</f>
        <v>0.02</v>
      </c>
      <c r="AG51" s="5">
        <f>升星辅助表!AU80/升星辅助表!AV80</f>
        <v>0.02</v>
      </c>
    </row>
    <row r="52" spans="2:33" x14ac:dyDescent="0.15">
      <c r="B52" s="5" t="str">
        <f>D_装备基础数据!A65</f>
        <v>52209</v>
      </c>
      <c r="C52" s="5" t="s">
        <v>431</v>
      </c>
      <c r="D52" s="5">
        <f ca="1">D_装备基础数据!AP65</f>
        <v>50.47494566211374</v>
      </c>
      <c r="F52" s="28">
        <f>强化辅助表!Z84</f>
        <v>0</v>
      </c>
      <c r="G52" s="28">
        <f>强化辅助表!AA84</f>
        <v>9</v>
      </c>
      <c r="H52" s="28">
        <f>强化辅助表!AB84</f>
        <v>128</v>
      </c>
      <c r="I52" s="28"/>
      <c r="J52" s="28"/>
      <c r="K52" s="28" t="str">
        <f>强化辅助表!B84</f>
        <v>3030</v>
      </c>
      <c r="L52" s="28">
        <f>强化辅助表!D84</f>
        <v>3</v>
      </c>
      <c r="M52" s="28">
        <f>强化辅助表!F84</f>
        <v>30</v>
      </c>
      <c r="N52" s="28">
        <f>强化辅助表!Q84</f>
        <v>27.88</v>
      </c>
      <c r="O52" s="33">
        <f>强化辅助表!T84</f>
        <v>648210</v>
      </c>
      <c r="P52" s="33">
        <f>强化辅助表!U84</f>
        <v>138331.36000000002</v>
      </c>
      <c r="Q52">
        <f>强化辅助表!Q84/强化辅助表!S84</f>
        <v>0.02</v>
      </c>
      <c r="R52">
        <f>强化辅助表!Q84/强化辅助表!R84</f>
        <v>0.02</v>
      </c>
      <c r="T52" s="28">
        <f>升星辅助表!AB81</f>
        <v>0</v>
      </c>
      <c r="U52" s="28">
        <f>升星辅助表!AC81</f>
        <v>5</v>
      </c>
      <c r="V52" s="28">
        <f>升星辅助表!AD81</f>
        <v>47</v>
      </c>
      <c r="W52" s="28"/>
      <c r="X52" s="28"/>
      <c r="Y52" s="28" t="str">
        <f>升星辅助表!C81</f>
        <v>3030</v>
      </c>
      <c r="Z52" s="28">
        <f>升星辅助表!F81</f>
        <v>3</v>
      </c>
      <c r="AA52" s="28">
        <f>升星辅助表!H81</f>
        <v>30</v>
      </c>
      <c r="AB52" s="28">
        <f>升星辅助表!AU81</f>
        <v>86.2</v>
      </c>
      <c r="AC52" s="33">
        <f>升星辅助表!AX81</f>
        <v>237050</v>
      </c>
      <c r="AD52" s="33">
        <f>升星辅助表!AY81</f>
        <v>237050</v>
      </c>
      <c r="AE52" s="12">
        <f>升星辅助表!AI81</f>
        <v>825</v>
      </c>
      <c r="AF52" s="5">
        <f>升星辅助表!AU81/升星辅助表!AW81</f>
        <v>0.02</v>
      </c>
      <c r="AG52" s="5">
        <f>升星辅助表!AU81/升星辅助表!AV81</f>
        <v>0.02</v>
      </c>
    </row>
    <row r="53" spans="2:33" x14ac:dyDescent="0.15">
      <c r="B53" s="5" t="str">
        <f>D_装备基础数据!A66</f>
        <v>55209</v>
      </c>
      <c r="C53" s="5" t="s">
        <v>432</v>
      </c>
      <c r="D53" s="5">
        <f ca="1">D_装备基础数据!AP66</f>
        <v>63.944772417873196</v>
      </c>
      <c r="F53" s="28">
        <f>强化辅助表!Z85</f>
        <v>0</v>
      </c>
      <c r="G53" s="28">
        <f>强化辅助表!AA85</f>
        <v>13</v>
      </c>
      <c r="H53" s="28">
        <f>强化辅助表!AB85</f>
        <v>114</v>
      </c>
      <c r="I53" s="28"/>
      <c r="J53" s="28"/>
      <c r="K53" s="28" t="str">
        <f>强化辅助表!B85</f>
        <v>3031</v>
      </c>
      <c r="L53" s="28">
        <f>强化辅助表!D85</f>
        <v>3</v>
      </c>
      <c r="M53" s="28">
        <f>强化辅助表!F85</f>
        <v>30</v>
      </c>
      <c r="N53" s="28">
        <f>强化辅助表!Q85</f>
        <v>25</v>
      </c>
      <c r="O53" s="33">
        <f>强化辅助表!T85</f>
        <v>581250</v>
      </c>
      <c r="P53" s="33">
        <f>强化辅助表!U85</f>
        <v>123042.2</v>
      </c>
      <c r="Q53">
        <f>强化辅助表!Q85/强化辅助表!S85</f>
        <v>0.02</v>
      </c>
      <c r="R53">
        <f>强化辅助表!Q85/强化辅助表!R85</f>
        <v>0.02</v>
      </c>
      <c r="T53" s="28">
        <f>升星辅助表!AB82</f>
        <v>0</v>
      </c>
      <c r="U53" s="28">
        <f>升星辅助表!AC82</f>
        <v>3</v>
      </c>
      <c r="V53" s="28">
        <f>升星辅助表!AD82</f>
        <v>33</v>
      </c>
      <c r="W53" s="28"/>
      <c r="X53" s="28"/>
      <c r="Y53" s="28" t="str">
        <f>升星辅助表!C82</f>
        <v>3031</v>
      </c>
      <c r="Z53" s="28">
        <f>升星辅助表!F82</f>
        <v>3</v>
      </c>
      <c r="AA53" s="28">
        <f>升星辅助表!H82</f>
        <v>30</v>
      </c>
      <c r="AB53" s="28">
        <f>升星辅助表!AU82</f>
        <v>59.72</v>
      </c>
      <c r="AC53" s="33">
        <f>升星辅助表!AX82</f>
        <v>164230</v>
      </c>
      <c r="AD53" s="33">
        <f>升星辅助表!AY82</f>
        <v>164230</v>
      </c>
      <c r="AE53" s="12">
        <f>升星辅助表!AI82</f>
        <v>550</v>
      </c>
      <c r="AF53" s="5">
        <f>升星辅助表!AU82/升星辅助表!AW82</f>
        <v>0.02</v>
      </c>
      <c r="AG53" s="5">
        <f>升星辅助表!AU82/升星辅助表!AV82</f>
        <v>0.02</v>
      </c>
    </row>
    <row r="54" spans="2:33" x14ac:dyDescent="0.15">
      <c r="B54" s="5" t="str">
        <f>D_装备基础数据!A67</f>
        <v>54209</v>
      </c>
      <c r="C54" s="5" t="s">
        <v>433</v>
      </c>
      <c r="D54" s="5">
        <f ca="1">D_装备基础数据!AP67</f>
        <v>56.869283983437782</v>
      </c>
      <c r="F54" s="28">
        <f>强化辅助表!Z86</f>
        <v>7</v>
      </c>
      <c r="G54" s="28">
        <f>强化辅助表!AA86</f>
        <v>29</v>
      </c>
      <c r="H54" s="28">
        <f>强化辅助表!AB86</f>
        <v>37</v>
      </c>
      <c r="I54" s="28"/>
      <c r="J54" s="28"/>
      <c r="K54" s="28" t="str">
        <f>强化辅助表!B86</f>
        <v>3032</v>
      </c>
      <c r="L54" s="28">
        <f>强化辅助表!D86</f>
        <v>3</v>
      </c>
      <c r="M54" s="28">
        <f>强化辅助表!F86</f>
        <v>30</v>
      </c>
      <c r="N54" s="28">
        <f>强化辅助表!Q86</f>
        <v>9.06</v>
      </c>
      <c r="O54" s="33">
        <f>强化辅助表!T86</f>
        <v>210645</v>
      </c>
      <c r="P54" s="33">
        <f>强化辅助表!U86</f>
        <v>44660.42</v>
      </c>
      <c r="Q54">
        <f>强化辅助表!Q86/强化辅助表!S86</f>
        <v>0.02</v>
      </c>
      <c r="R54">
        <f>强化辅助表!Q86/强化辅助表!R86</f>
        <v>0.02</v>
      </c>
      <c r="T54" s="28">
        <f>升星辅助表!AB83</f>
        <v>0</v>
      </c>
      <c r="U54" s="28">
        <f>升星辅助表!AC83</f>
        <v>9</v>
      </c>
      <c r="V54" s="28">
        <f>升星辅助表!AD83</f>
        <v>15</v>
      </c>
      <c r="W54" s="28"/>
      <c r="X54" s="28"/>
      <c r="Y54" s="28" t="str">
        <f>升星辅助表!C83</f>
        <v>3032</v>
      </c>
      <c r="Z54" s="28">
        <f>升星辅助表!F83</f>
        <v>3</v>
      </c>
      <c r="AA54" s="28">
        <f>升星辅助表!H83</f>
        <v>30</v>
      </c>
      <c r="AB54" s="28">
        <f>升星辅助表!AU83</f>
        <v>28.92</v>
      </c>
      <c r="AC54" s="33">
        <f>升星辅助表!AX83</f>
        <v>79530</v>
      </c>
      <c r="AD54" s="33">
        <f>升星辅助表!AY83</f>
        <v>79530</v>
      </c>
      <c r="AE54" s="12">
        <f>升星辅助表!AI83</f>
        <v>275</v>
      </c>
      <c r="AF54" s="5">
        <f>升星辅助表!AU83/升星辅助表!AW83</f>
        <v>0.02</v>
      </c>
      <c r="AG54" s="5">
        <f>升星辅助表!AU83/升星辅助表!AV83</f>
        <v>0.02</v>
      </c>
    </row>
    <row r="55" spans="2:33" x14ac:dyDescent="0.15">
      <c r="B55" s="5" t="str">
        <f>D_装备基础数据!A68</f>
        <v>53209</v>
      </c>
      <c r="C55" s="5" t="s">
        <v>434</v>
      </c>
      <c r="D55" s="5">
        <f ca="1">D_装备基础数据!AP68</f>
        <v>93.230539629233533</v>
      </c>
      <c r="F55" s="28">
        <f>强化辅助表!Z87</f>
        <v>3</v>
      </c>
      <c r="G55" s="28">
        <f>强化辅助表!AA87</f>
        <v>21</v>
      </c>
      <c r="H55" s="28">
        <f>强化辅助表!AB87</f>
        <v>50</v>
      </c>
      <c r="I55" s="28"/>
      <c r="J55" s="28"/>
      <c r="K55" s="28" t="str">
        <f>强化辅助表!B87</f>
        <v>3035</v>
      </c>
      <c r="L55" s="28">
        <f>强化辅助表!D87</f>
        <v>3</v>
      </c>
      <c r="M55" s="28">
        <f>强化辅助表!F87</f>
        <v>30</v>
      </c>
      <c r="N55" s="28">
        <f>强化辅助表!Q87</f>
        <v>11.440000000000001</v>
      </c>
      <c r="O55" s="33">
        <f>强化辅助表!T87</f>
        <v>265980</v>
      </c>
      <c r="P55" s="33">
        <f>强化辅助表!U87</f>
        <v>56525.280000000013</v>
      </c>
      <c r="Q55">
        <f>强化辅助表!Q87/强化辅助表!S87</f>
        <v>2.0000000000000004E-2</v>
      </c>
      <c r="R55">
        <f>强化辅助表!Q87/强化辅助表!R87</f>
        <v>2.0000000000000004E-2</v>
      </c>
      <c r="T55" s="28">
        <f>升星辅助表!AB84</f>
        <v>0</v>
      </c>
      <c r="U55" s="28">
        <f>升星辅助表!AC84</f>
        <v>6</v>
      </c>
      <c r="V55" s="28">
        <f>升星辅助表!AD84</f>
        <v>20</v>
      </c>
      <c r="W55" s="28"/>
      <c r="X55" s="28"/>
      <c r="Y55" s="28" t="str">
        <f>升星辅助表!C84</f>
        <v>3035</v>
      </c>
      <c r="Z55" s="28">
        <f>升星辅助表!F84</f>
        <v>3</v>
      </c>
      <c r="AA55" s="28">
        <f>升星辅助表!H84</f>
        <v>30</v>
      </c>
      <c r="AB55" s="28">
        <f>升星辅助表!AU84</f>
        <v>36.900000000000006</v>
      </c>
      <c r="AC55" s="33">
        <f>升星辅助表!AX84</f>
        <v>101475</v>
      </c>
      <c r="AD55" s="33">
        <f>升星辅助表!AY84</f>
        <v>101475</v>
      </c>
      <c r="AE55" s="12">
        <f>升星辅助表!AI84</f>
        <v>385</v>
      </c>
      <c r="AF55" s="5">
        <f>升星辅助表!AU84/升星辅助表!AW84</f>
        <v>2.0000000000000004E-2</v>
      </c>
      <c r="AG55" s="5">
        <f>升星辅助表!AU84/升星辅助表!AV84</f>
        <v>2.0000000000000004E-2</v>
      </c>
    </row>
    <row r="56" spans="2:33" x14ac:dyDescent="0.15">
      <c r="B56" s="5" t="str">
        <f>D_装备基础数据!A93</f>
        <v>10213</v>
      </c>
      <c r="C56" s="5" t="str">
        <f>D_装备基础数据!B93</f>
        <v>暗羽霸刀</v>
      </c>
      <c r="D56" s="5">
        <f ca="1">D_装备基础数据!AP93</f>
        <v>313.77912775807016</v>
      </c>
      <c r="F56" s="28">
        <f>强化辅助表!Z88</f>
        <v>7</v>
      </c>
      <c r="G56" s="28">
        <f>强化辅助表!AA88</f>
        <v>31</v>
      </c>
      <c r="H56" s="28">
        <f>强化辅助表!AB88</f>
        <v>32</v>
      </c>
      <c r="I56" s="28"/>
      <c r="J56" s="28"/>
      <c r="K56" s="28" t="str">
        <f>强化辅助表!B88</f>
        <v>3034</v>
      </c>
      <c r="L56" s="28">
        <f>强化辅助表!D88</f>
        <v>3</v>
      </c>
      <c r="M56" s="28">
        <f>强化辅助表!F88</f>
        <v>30</v>
      </c>
      <c r="N56" s="28">
        <f>强化辅助表!Q88</f>
        <v>8.1999999999999993</v>
      </c>
      <c r="O56" s="33">
        <f>强化辅助表!T88</f>
        <v>190650</v>
      </c>
      <c r="P56" s="33">
        <f>强化辅助表!U88</f>
        <v>40526.399999999994</v>
      </c>
      <c r="Q56">
        <f>强化辅助表!Q88/强化辅助表!S88</f>
        <v>1.9999999999999997E-2</v>
      </c>
      <c r="R56">
        <f>强化辅助表!Q88/强化辅助表!R88</f>
        <v>1.9999999999999997E-2</v>
      </c>
      <c r="T56" s="28">
        <f>升星辅助表!AB85</f>
        <v>0</v>
      </c>
      <c r="U56" s="28">
        <f>升星辅助表!AC85</f>
        <v>4</v>
      </c>
      <c r="V56" s="28">
        <f>升星辅助表!AD85</f>
        <v>33</v>
      </c>
      <c r="W56" s="28"/>
      <c r="X56" s="28"/>
      <c r="Y56" s="28" t="str">
        <f>升星辅助表!C85</f>
        <v>3034</v>
      </c>
      <c r="Z56" s="28">
        <f>升星辅助表!F85</f>
        <v>3</v>
      </c>
      <c r="AA56" s="28">
        <f>升星辅助表!H85</f>
        <v>30</v>
      </c>
      <c r="AB56" s="28">
        <f>升星辅助表!AU85</f>
        <v>60.6</v>
      </c>
      <c r="AC56" s="33">
        <f>升星辅助表!AX85</f>
        <v>166650</v>
      </c>
      <c r="AD56" s="33">
        <f>升星辅助表!AY85</f>
        <v>166650</v>
      </c>
      <c r="AE56" s="12">
        <f>升星辅助表!AI85</f>
        <v>605</v>
      </c>
      <c r="AF56" s="5">
        <f>升星辅助表!AU85/升星辅助表!AW85</f>
        <v>0.02</v>
      </c>
      <c r="AG56" s="5">
        <f>升星辅助表!AU85/升星辅助表!AV85</f>
        <v>0.02</v>
      </c>
    </row>
    <row r="57" spans="2:33" x14ac:dyDescent="0.15">
      <c r="B57" s="5" t="str">
        <f>D_装备基础数据!A94</f>
        <v>20213</v>
      </c>
      <c r="C57" s="5" t="str">
        <f>D_装备基础数据!B94</f>
        <v>暗羽之拳</v>
      </c>
      <c r="D57" s="5">
        <f ca="1">D_装备基础数据!AP94</f>
        <v>313.77912775807016</v>
      </c>
      <c r="F57" s="28">
        <f>强化辅助表!Z89</f>
        <v>5</v>
      </c>
      <c r="G57" s="28">
        <f>强化辅助表!AA89</f>
        <v>13</v>
      </c>
      <c r="H57" s="28">
        <f>强化辅助表!AB89</f>
        <v>78</v>
      </c>
      <c r="I57" s="28">
        <f>M57</f>
        <v>30</v>
      </c>
      <c r="J57" s="28">
        <f>SUM(P52:P57)</f>
        <v>487989.92000000004</v>
      </c>
      <c r="K57" s="28" t="str">
        <f>强化辅助表!B89</f>
        <v>3033</v>
      </c>
      <c r="L57" s="28">
        <f>强化辅助表!D89</f>
        <v>3</v>
      </c>
      <c r="M57" s="28">
        <f>强化辅助表!F89</f>
        <v>30</v>
      </c>
      <c r="N57" s="28">
        <f>强化辅助表!Q89</f>
        <v>17.18</v>
      </c>
      <c r="O57" s="33">
        <f>强化辅助表!T89</f>
        <v>399435</v>
      </c>
      <c r="P57" s="33">
        <f>强化辅助表!U89</f>
        <v>84904.260000000009</v>
      </c>
      <c r="Q57">
        <f>强化辅助表!Q89/强化辅助表!S89</f>
        <v>0.02</v>
      </c>
      <c r="R57">
        <f>强化辅助表!Q89/强化辅助表!R89</f>
        <v>0.02</v>
      </c>
      <c r="T57" s="28">
        <f>升星辅助表!AB86</f>
        <v>0</v>
      </c>
      <c r="U57" s="28">
        <f>升星辅助表!AC86</f>
        <v>6</v>
      </c>
      <c r="V57" s="28">
        <f>升星辅助表!AD86</f>
        <v>21</v>
      </c>
      <c r="W57" s="28">
        <f>AA57</f>
        <v>30</v>
      </c>
      <c r="X57" s="28">
        <f>SUM(AD52:AD57)</f>
        <v>857065</v>
      </c>
      <c r="Y57" s="28" t="str">
        <f>升星辅助表!C86</f>
        <v>3033</v>
      </c>
      <c r="Z57" s="28">
        <f>升星辅助表!F86</f>
        <v>3</v>
      </c>
      <c r="AA57" s="28">
        <f>升星辅助表!H86</f>
        <v>30</v>
      </c>
      <c r="AB57" s="28">
        <f>升星辅助表!AU86</f>
        <v>39.32</v>
      </c>
      <c r="AC57" s="33">
        <f>升星辅助表!AX86</f>
        <v>108130</v>
      </c>
      <c r="AD57" s="33">
        <f>升星辅助表!AY86</f>
        <v>108130</v>
      </c>
      <c r="AE57" s="12">
        <f>升星辅助表!AI86</f>
        <v>385</v>
      </c>
      <c r="AF57" s="5">
        <f>升星辅助表!AU86/升星辅助表!AW86</f>
        <v>0.02</v>
      </c>
      <c r="AG57" s="5">
        <f>升星辅助表!AU86/升星辅助表!AV86</f>
        <v>0.02</v>
      </c>
    </row>
    <row r="58" spans="2:33" x14ac:dyDescent="0.15">
      <c r="B58" s="5" t="str">
        <f>D_装备基础数据!A95</f>
        <v>30213</v>
      </c>
      <c r="C58" s="5" t="s">
        <v>435</v>
      </c>
      <c r="D58" s="5">
        <f ca="1">D_装备基础数据!AP95</f>
        <v>313.77912775807016</v>
      </c>
      <c r="F58" s="28">
        <f>强化辅助表!Z90</f>
        <v>0</v>
      </c>
      <c r="G58" s="28">
        <f>强化辅助表!AA90</f>
        <v>6</v>
      </c>
      <c r="H58" s="28">
        <f>强化辅助表!AB90</f>
        <v>155</v>
      </c>
      <c r="I58" s="28"/>
      <c r="J58" s="28"/>
      <c r="K58" s="28" t="str">
        <f>强化辅助表!B90</f>
        <v>3040</v>
      </c>
      <c r="L58" s="28">
        <f>强化辅助表!D90</f>
        <v>4</v>
      </c>
      <c r="M58" s="28">
        <f>强化辅助表!F90</f>
        <v>30</v>
      </c>
      <c r="N58" s="28">
        <f>强化辅助表!Q90</f>
        <v>33.42</v>
      </c>
      <c r="O58" s="33">
        <f>强化辅助表!T90</f>
        <v>777015</v>
      </c>
      <c r="P58" s="33">
        <f>强化辅助表!U90</f>
        <v>164801.74</v>
      </c>
      <c r="Q58">
        <f>强化辅助表!Q90/强化辅助表!S90</f>
        <v>0.02</v>
      </c>
      <c r="R58">
        <f>强化辅助表!Q90/强化辅助表!R90</f>
        <v>0.02</v>
      </c>
      <c r="T58" s="28">
        <f>升星辅助表!AB87</f>
        <v>0</v>
      </c>
      <c r="U58" s="28">
        <f>升星辅助表!AC87</f>
        <v>0</v>
      </c>
      <c r="V58" s="28">
        <f>升星辅助表!AD87</f>
        <v>59</v>
      </c>
      <c r="W58" s="28"/>
      <c r="X58" s="28"/>
      <c r="Y58" s="28" t="str">
        <f>升星辅助表!C87</f>
        <v>3040</v>
      </c>
      <c r="Z58" s="28">
        <f>升星辅助表!F87</f>
        <v>4</v>
      </c>
      <c r="AA58" s="28">
        <f>升星辅助表!H87</f>
        <v>30</v>
      </c>
      <c r="AB58" s="28">
        <f>升星辅助表!AU87</f>
        <v>106.4</v>
      </c>
      <c r="AC58" s="33">
        <f>升星辅助表!AX87</f>
        <v>292600</v>
      </c>
      <c r="AD58" s="33">
        <f>升星辅助表!AY87</f>
        <v>292600</v>
      </c>
      <c r="AE58" s="12">
        <f>升星辅助表!AI87</f>
        <v>990</v>
      </c>
      <c r="AF58" s="5">
        <f>升星辅助表!AU87/升星辅助表!AW87</f>
        <v>0.02</v>
      </c>
      <c r="AG58" s="5">
        <f>升星辅助表!AU87/升星辅助表!AV87</f>
        <v>0.02</v>
      </c>
    </row>
    <row r="59" spans="2:33" x14ac:dyDescent="0.15">
      <c r="B59" s="5" t="str">
        <f>D_装备基础数据!A96</f>
        <v>51213</v>
      </c>
      <c r="C59" s="5" t="s">
        <v>436</v>
      </c>
      <c r="D59" s="5">
        <f ca="1">D_装备基础数据!AP96</f>
        <v>265.92651783093521</v>
      </c>
      <c r="F59" s="28">
        <f>强化辅助表!Z91</f>
        <v>0</v>
      </c>
      <c r="G59" s="28">
        <f>强化辅助表!AA91</f>
        <v>9</v>
      </c>
      <c r="H59" s="28">
        <f>强化辅助表!AB91</f>
        <v>133</v>
      </c>
      <c r="I59" s="28"/>
      <c r="J59" s="28"/>
      <c r="K59" s="28" t="str">
        <f>强化辅助表!B91</f>
        <v>3041</v>
      </c>
      <c r="L59" s="28">
        <f>强化辅助表!D91</f>
        <v>4</v>
      </c>
      <c r="M59" s="28">
        <f>强化辅助表!F91</f>
        <v>30</v>
      </c>
      <c r="N59" s="28">
        <f>强化辅助表!Q91</f>
        <v>28.8</v>
      </c>
      <c r="O59" s="33">
        <f>强化辅助表!T91</f>
        <v>669600</v>
      </c>
      <c r="P59" s="33">
        <f>强化辅助表!U91</f>
        <v>142166.80000000002</v>
      </c>
      <c r="Q59">
        <f>强化辅助表!Q91/强化辅助表!S91</f>
        <v>0.02</v>
      </c>
      <c r="R59">
        <f>强化辅助表!Q91/强化辅助表!R91</f>
        <v>0.02</v>
      </c>
      <c r="T59" s="28">
        <f>升星辅助表!AB88</f>
        <v>0</v>
      </c>
      <c r="U59" s="28">
        <f>升星辅助表!AC88</f>
        <v>4</v>
      </c>
      <c r="V59" s="28">
        <f>升星辅助表!AD88</f>
        <v>41</v>
      </c>
      <c r="W59" s="28"/>
      <c r="X59" s="28"/>
      <c r="Y59" s="28" t="str">
        <f>升星辅助表!C88</f>
        <v>3041</v>
      </c>
      <c r="Z59" s="28">
        <f>升星辅助表!F88</f>
        <v>4</v>
      </c>
      <c r="AA59" s="28">
        <f>升星辅助表!H88</f>
        <v>30</v>
      </c>
      <c r="AB59" s="28">
        <f>升星辅助表!AU88</f>
        <v>74.760000000000005</v>
      </c>
      <c r="AC59" s="33">
        <f>升星辅助表!AX88</f>
        <v>205590</v>
      </c>
      <c r="AD59" s="33">
        <f>升星辅助表!AY88</f>
        <v>205590</v>
      </c>
      <c r="AE59" s="12">
        <f>升星辅助表!AI88</f>
        <v>715</v>
      </c>
      <c r="AF59" s="5">
        <f>升星辅助表!AU88/升星辅助表!AW88</f>
        <v>0.02</v>
      </c>
      <c r="AG59" s="5">
        <f>升星辅助表!AU88/升星辅助表!AV88</f>
        <v>0.02</v>
      </c>
    </row>
    <row r="60" spans="2:33" x14ac:dyDescent="0.15">
      <c r="B60" s="5" t="str">
        <f>D_装备基础数据!A97</f>
        <v>52213</v>
      </c>
      <c r="C60" s="5" t="s">
        <v>437</v>
      </c>
      <c r="D60" s="5">
        <f ca="1">D_装备基础数据!AP97</f>
        <v>100.94989132422748</v>
      </c>
      <c r="F60" s="28">
        <f>强化辅助表!Z92</f>
        <v>3</v>
      </c>
      <c r="G60" s="28">
        <f>强化辅助表!AA92</f>
        <v>23</v>
      </c>
      <c r="H60" s="28">
        <f>强化辅助表!AB92</f>
        <v>44</v>
      </c>
      <c r="I60" s="28"/>
      <c r="J60" s="28"/>
      <c r="K60" s="28" t="str">
        <f>强化辅助表!B92</f>
        <v>3042</v>
      </c>
      <c r="L60" s="28">
        <f>强化辅助表!D92</f>
        <v>4</v>
      </c>
      <c r="M60" s="28">
        <f>强化辅助表!F92</f>
        <v>30</v>
      </c>
      <c r="N60" s="28">
        <f>强化辅助表!Q92</f>
        <v>10.4</v>
      </c>
      <c r="O60" s="33">
        <f>强化辅助表!T92</f>
        <v>241800</v>
      </c>
      <c r="P60" s="33">
        <f>强化辅助表!U92</f>
        <v>50862.600000000006</v>
      </c>
      <c r="Q60">
        <f>强化辅助表!Q92/强化辅助表!S92</f>
        <v>0.02</v>
      </c>
      <c r="R60">
        <f>强化辅助表!Q92/强化辅助表!R92</f>
        <v>0.02</v>
      </c>
      <c r="T60" s="28">
        <f>升星辅助表!AB89</f>
        <v>0</v>
      </c>
      <c r="U60" s="28">
        <f>升星辅助表!AC89</f>
        <v>6</v>
      </c>
      <c r="V60" s="28">
        <f>升星辅助表!AD89</f>
        <v>20</v>
      </c>
      <c r="W60" s="28"/>
      <c r="X60" s="28"/>
      <c r="Y60" s="28" t="str">
        <f>升星辅助表!C89</f>
        <v>3042</v>
      </c>
      <c r="Z60" s="28">
        <f>升星辅助表!F89</f>
        <v>4</v>
      </c>
      <c r="AA60" s="28">
        <f>升星辅助表!H89</f>
        <v>30</v>
      </c>
      <c r="AB60" s="28">
        <f>升星辅助表!AU89</f>
        <v>38.36</v>
      </c>
      <c r="AC60" s="33">
        <f>升星辅助表!AX89</f>
        <v>105490</v>
      </c>
      <c r="AD60" s="33">
        <f>升星辅助表!AY89</f>
        <v>105490</v>
      </c>
      <c r="AE60" s="12">
        <f>升星辅助表!AI89</f>
        <v>385</v>
      </c>
      <c r="AF60" s="5">
        <f>升星辅助表!AU89/升星辅助表!AW89</f>
        <v>0.02</v>
      </c>
      <c r="AG60" s="5">
        <f>升星辅助表!AU89/升星辅助表!AV89</f>
        <v>0.02</v>
      </c>
    </row>
    <row r="61" spans="2:33" x14ac:dyDescent="0.15">
      <c r="B61" s="5" t="str">
        <f>D_装备基础数据!A98</f>
        <v>55213</v>
      </c>
      <c r="C61" s="5" t="s">
        <v>438</v>
      </c>
      <c r="D61" s="5">
        <f ca="1">D_装备基础数据!AP98</f>
        <v>127.88954483574639</v>
      </c>
      <c r="F61" s="28">
        <f>强化辅助表!Z93</f>
        <v>4</v>
      </c>
      <c r="G61" s="28">
        <f>强化辅助表!AA93</f>
        <v>19</v>
      </c>
      <c r="H61" s="28">
        <f>强化辅助表!AB93</f>
        <v>59</v>
      </c>
      <c r="I61" s="28"/>
      <c r="J61" s="28"/>
      <c r="K61" s="28" t="str">
        <f>强化辅助表!B93</f>
        <v>3045</v>
      </c>
      <c r="L61" s="28">
        <f>强化辅助表!D93</f>
        <v>4</v>
      </c>
      <c r="M61" s="28">
        <f>强化辅助表!F93</f>
        <v>30</v>
      </c>
      <c r="N61" s="28">
        <f>强化辅助表!Q93</f>
        <v>13.420000000000002</v>
      </c>
      <c r="O61" s="33">
        <f>强化辅助表!T93</f>
        <v>312015</v>
      </c>
      <c r="P61" s="33">
        <f>强化辅助表!U93</f>
        <v>65986.740000000005</v>
      </c>
      <c r="Q61">
        <f>强化辅助表!Q93/强化辅助表!S93</f>
        <v>2.0000000000000004E-2</v>
      </c>
      <c r="R61">
        <f>强化辅助表!Q93/强化辅助表!R93</f>
        <v>2.0000000000000004E-2</v>
      </c>
      <c r="T61" s="28">
        <f>升星辅助表!AB90</f>
        <v>0</v>
      </c>
      <c r="U61" s="28">
        <f>升星辅助表!AC90</f>
        <v>7</v>
      </c>
      <c r="V61" s="28">
        <f>升星辅助表!AD90</f>
        <v>24</v>
      </c>
      <c r="W61" s="28"/>
      <c r="X61" s="28"/>
      <c r="Y61" s="28" t="str">
        <f>升星辅助表!C90</f>
        <v>3045</v>
      </c>
      <c r="Z61" s="28">
        <f>升星辅助表!F90</f>
        <v>4</v>
      </c>
      <c r="AA61" s="28">
        <f>升星辅助表!H90</f>
        <v>30</v>
      </c>
      <c r="AB61" s="28">
        <f>升星辅助表!AU90</f>
        <v>45.78</v>
      </c>
      <c r="AC61" s="33">
        <f>升星辅助表!AX90</f>
        <v>125895</v>
      </c>
      <c r="AD61" s="33">
        <f>升星辅助表!AY90</f>
        <v>125895</v>
      </c>
      <c r="AE61" s="12">
        <f>升星辅助表!AI90</f>
        <v>440</v>
      </c>
      <c r="AF61" s="5">
        <f>升星辅助表!AU90/升星辅助表!AW90</f>
        <v>0.02</v>
      </c>
      <c r="AG61" s="5">
        <f>升星辅助表!AU90/升星辅助表!AV90</f>
        <v>0.02</v>
      </c>
    </row>
    <row r="62" spans="2:33" x14ac:dyDescent="0.15">
      <c r="B62" s="5" t="str">
        <f>D_装备基础数据!A99</f>
        <v>54213</v>
      </c>
      <c r="C62" s="5" t="s">
        <v>439</v>
      </c>
      <c r="D62" s="5">
        <f ca="1">D_装备基础数据!AP99</f>
        <v>113.73856796687556</v>
      </c>
      <c r="F62" s="28">
        <f>强化辅助表!Z94</f>
        <v>8</v>
      </c>
      <c r="G62" s="28">
        <f>强化辅助表!AA94</f>
        <v>26</v>
      </c>
      <c r="H62" s="28">
        <f>强化辅助表!AB94</f>
        <v>40</v>
      </c>
      <c r="I62" s="28"/>
      <c r="J62" s="28"/>
      <c r="K62" s="28" t="str">
        <f>强化辅助表!B94</f>
        <v>3044</v>
      </c>
      <c r="L62" s="28">
        <f>强化辅助表!D94</f>
        <v>4</v>
      </c>
      <c r="M62" s="28">
        <f>强化辅助表!F94</f>
        <v>30</v>
      </c>
      <c r="N62" s="28">
        <f>强化辅助表!Q94</f>
        <v>9.6999999999999993</v>
      </c>
      <c r="O62" s="33">
        <f>强化辅助表!T94</f>
        <v>225525</v>
      </c>
      <c r="P62" s="33">
        <f>强化辅助表!U94</f>
        <v>47725.299999999996</v>
      </c>
      <c r="Q62">
        <f>强化辅助表!Q94/强化辅助表!S94</f>
        <v>1.9999999999999997E-2</v>
      </c>
      <c r="R62">
        <f>强化辅助表!Q94/强化辅助表!R94</f>
        <v>1.9999999999999997E-2</v>
      </c>
      <c r="T62" s="28">
        <f>升星辅助表!AB91</f>
        <v>0</v>
      </c>
      <c r="U62" s="28">
        <f>升星辅助表!AC91</f>
        <v>4</v>
      </c>
      <c r="V62" s="28">
        <f>升星辅助表!AD91</f>
        <v>41</v>
      </c>
      <c r="W62" s="28"/>
      <c r="X62" s="28"/>
      <c r="Y62" s="28" t="str">
        <f>升星辅助表!C91</f>
        <v>3044</v>
      </c>
      <c r="Z62" s="28">
        <f>升星辅助表!F91</f>
        <v>4</v>
      </c>
      <c r="AA62" s="28">
        <f>升星辅助表!H91</f>
        <v>30</v>
      </c>
      <c r="AB62" s="28">
        <f>升星辅助表!AU91</f>
        <v>75.62</v>
      </c>
      <c r="AC62" s="33">
        <f>升星辅助表!AX91</f>
        <v>207955</v>
      </c>
      <c r="AD62" s="33">
        <f>升星辅助表!AY91</f>
        <v>207955</v>
      </c>
      <c r="AE62" s="12">
        <f>升星辅助表!AI91</f>
        <v>715</v>
      </c>
      <c r="AF62" s="5">
        <f>升星辅助表!AU91/升星辅助表!AW91</f>
        <v>0.02</v>
      </c>
      <c r="AG62" s="5">
        <f>升星辅助表!AU91/升星辅助表!AV91</f>
        <v>0.02</v>
      </c>
    </row>
    <row r="63" spans="2:33" x14ac:dyDescent="0.15">
      <c r="B63" s="5" t="str">
        <f>D_装备基础数据!A100</f>
        <v>53213</v>
      </c>
      <c r="C63" s="5" t="s">
        <v>440</v>
      </c>
      <c r="D63" s="5">
        <f ca="1">D_装备基础数据!AP100</f>
        <v>186.46107925846707</v>
      </c>
      <c r="F63" s="28">
        <f>强化辅助表!Z95</f>
        <v>0</v>
      </c>
      <c r="G63" s="28">
        <f>强化辅助表!AA95</f>
        <v>11</v>
      </c>
      <c r="H63" s="28">
        <f>强化辅助表!AB95</f>
        <v>94</v>
      </c>
      <c r="I63" s="28">
        <f>M63</f>
        <v>30</v>
      </c>
      <c r="J63" s="28">
        <f>SUM(P58:P63)</f>
        <v>573248.36</v>
      </c>
      <c r="K63" s="28" t="str">
        <f>强化辅助表!B95</f>
        <v>3043</v>
      </c>
      <c r="L63" s="28">
        <f>强化辅助表!D95</f>
        <v>4</v>
      </c>
      <c r="M63" s="28">
        <f>强化辅助表!F95</f>
        <v>30</v>
      </c>
      <c r="N63" s="28">
        <f>强化辅助表!Q95</f>
        <v>20.54</v>
      </c>
      <c r="O63" s="33">
        <f>强化辅助表!T95</f>
        <v>477555</v>
      </c>
      <c r="P63" s="33">
        <f>强化辅助表!U95</f>
        <v>101705.18000000001</v>
      </c>
      <c r="Q63">
        <f>强化辅助表!Q95/强化辅助表!S95</f>
        <v>0.02</v>
      </c>
      <c r="R63">
        <f>强化辅助表!Q95/强化辅助表!R95</f>
        <v>0.02</v>
      </c>
      <c r="T63" s="28">
        <f>升星辅助表!AB92</f>
        <v>0</v>
      </c>
      <c r="U63" s="28">
        <f>升星辅助表!AC92</f>
        <v>3</v>
      </c>
      <c r="V63" s="28">
        <f>升星辅助表!AD92</f>
        <v>28</v>
      </c>
      <c r="W63" s="28">
        <f>AA63</f>
        <v>30</v>
      </c>
      <c r="X63" s="28">
        <f>SUM(AD58:AD63)</f>
        <v>1076515</v>
      </c>
      <c r="Y63" s="28" t="str">
        <f>升星辅助表!C92</f>
        <v>3043</v>
      </c>
      <c r="Z63" s="28">
        <f>升星辅助表!F92</f>
        <v>4</v>
      </c>
      <c r="AA63" s="28">
        <f>升星辅助表!H92</f>
        <v>30</v>
      </c>
      <c r="AB63" s="28">
        <f>升星辅助表!AU92</f>
        <v>50.54</v>
      </c>
      <c r="AC63" s="33">
        <f>升星辅助表!AX92</f>
        <v>138985</v>
      </c>
      <c r="AD63" s="33">
        <f>升星辅助表!AY92</f>
        <v>138985</v>
      </c>
      <c r="AE63" s="12">
        <f>升星辅助表!AI92</f>
        <v>495</v>
      </c>
      <c r="AF63" s="5">
        <f>升星辅助表!AU92/升星辅助表!AW92</f>
        <v>0.02</v>
      </c>
      <c r="AG63" s="5">
        <f>升星辅助表!AU92/升星辅助表!AV92</f>
        <v>0.02</v>
      </c>
    </row>
    <row r="64" spans="2:33" x14ac:dyDescent="0.15">
      <c r="B64" s="5" t="str">
        <f>D_装备基础数据!A101</f>
        <v>10314</v>
      </c>
      <c r="C64" s="5" t="str">
        <f>D_装备基础数据!B101</f>
        <v>玄武霸刀</v>
      </c>
      <c r="D64" s="5">
        <f ca="1">D_装备基础数据!AP101</f>
        <v>408.55460974766743</v>
      </c>
      <c r="F64" s="28">
        <f>强化辅助表!Z96</f>
        <v>0</v>
      </c>
      <c r="G64" s="28">
        <f>强化辅助表!AA96</f>
        <v>10</v>
      </c>
      <c r="H64" s="28">
        <f>强化辅助表!AB96</f>
        <v>310</v>
      </c>
      <c r="I64" s="28"/>
      <c r="J64" s="28"/>
      <c r="K64" s="28" t="str">
        <f>强化辅助表!B96</f>
        <v>4510</v>
      </c>
      <c r="L64" s="28">
        <f>强化辅助表!D96</f>
        <v>1</v>
      </c>
      <c r="M64" s="28">
        <f>强化辅助表!F96</f>
        <v>45</v>
      </c>
      <c r="N64" s="28">
        <f>强化辅助表!Q96</f>
        <v>30.06</v>
      </c>
      <c r="O64" s="33">
        <f>强化辅助表!T96</f>
        <v>1555605</v>
      </c>
      <c r="P64" s="33">
        <f>强化辅助表!U96</f>
        <v>480629.55999999994</v>
      </c>
      <c r="Q64">
        <f>强化辅助表!Q96/强化辅助表!S96</f>
        <v>0.02</v>
      </c>
      <c r="R64">
        <f>强化辅助表!Q96/强化辅助表!R96</f>
        <v>0.02</v>
      </c>
      <c r="T64" s="28">
        <f>升星辅助表!AB93</f>
        <v>0</v>
      </c>
      <c r="U64" s="28">
        <f>升星辅助表!AC93</f>
        <v>4</v>
      </c>
      <c r="V64" s="28">
        <f>升星辅助表!AD93</f>
        <v>39</v>
      </c>
      <c r="W64" s="28"/>
      <c r="X64" s="28"/>
      <c r="Y64" s="28" t="str">
        <f>升星辅助表!C93</f>
        <v>4510</v>
      </c>
      <c r="Z64" s="28">
        <f>升星辅助表!F93</f>
        <v>1</v>
      </c>
      <c r="AA64" s="28">
        <f>升星辅助表!H93</f>
        <v>45</v>
      </c>
      <c r="AB64" s="28">
        <f>升星辅助表!AU93</f>
        <v>72</v>
      </c>
      <c r="AC64" s="33">
        <f>升星辅助表!AX93</f>
        <v>198000</v>
      </c>
      <c r="AD64" s="33">
        <f>升星辅助表!AY93</f>
        <v>198000</v>
      </c>
      <c r="AE64" s="12">
        <f>升星辅助表!AI93</f>
        <v>660</v>
      </c>
      <c r="AF64" s="5">
        <f>升星辅助表!AU93/升星辅助表!AW93</f>
        <v>0.02</v>
      </c>
      <c r="AG64" s="5">
        <f>升星辅助表!AU93/升星辅助表!AV93</f>
        <v>0.02</v>
      </c>
    </row>
    <row r="65" spans="2:33" x14ac:dyDescent="0.15">
      <c r="B65" s="5" t="str">
        <f>D_装备基础数据!A102</f>
        <v>20314</v>
      </c>
      <c r="C65" s="5" t="str">
        <f>D_装备基础数据!B102</f>
        <v>玄武之拳</v>
      </c>
      <c r="D65" s="5">
        <f ca="1">D_装备基础数据!AP102</f>
        <v>408.55460974766743</v>
      </c>
      <c r="F65" s="28">
        <f>强化辅助表!Z97</f>
        <v>0</v>
      </c>
      <c r="G65" s="28">
        <f>强化辅助表!AA97</f>
        <v>8</v>
      </c>
      <c r="H65" s="28">
        <f>强化辅助表!AB97</f>
        <v>267</v>
      </c>
      <c r="I65" s="28"/>
      <c r="J65" s="28"/>
      <c r="K65" s="28" t="str">
        <f>强化辅助表!B97</f>
        <v>4511</v>
      </c>
      <c r="L65" s="28">
        <f>强化辅助表!D97</f>
        <v>1</v>
      </c>
      <c r="M65" s="28">
        <f>强化辅助表!F97</f>
        <v>45</v>
      </c>
      <c r="N65" s="28">
        <f>强化辅助表!Q97</f>
        <v>25.92</v>
      </c>
      <c r="O65" s="33">
        <f>强化辅助表!T97</f>
        <v>1341360</v>
      </c>
      <c r="P65" s="33">
        <f>强化辅助表!U97</f>
        <v>419438.92000000004</v>
      </c>
      <c r="Q65">
        <f>强化辅助表!Q97/强化辅助表!S97</f>
        <v>0.02</v>
      </c>
      <c r="R65">
        <f>强化辅助表!Q97/强化辅助表!R97</f>
        <v>0.02</v>
      </c>
      <c r="T65" s="28">
        <f>升星辅助表!AB94</f>
        <v>0</v>
      </c>
      <c r="U65" s="28">
        <f>升星辅助表!AC94</f>
        <v>10</v>
      </c>
      <c r="V65" s="28">
        <f>升星辅助表!AD94</f>
        <v>16</v>
      </c>
      <c r="W65" s="28"/>
      <c r="X65" s="28"/>
      <c r="Y65" s="28" t="str">
        <f>升星辅助表!C94</f>
        <v>4511</v>
      </c>
      <c r="Z65" s="28">
        <f>升星辅助表!F94</f>
        <v>1</v>
      </c>
      <c r="AA65" s="28">
        <f>升星辅助表!H94</f>
        <v>45</v>
      </c>
      <c r="AB65" s="28">
        <f>升星辅助表!AU94</f>
        <v>31.36</v>
      </c>
      <c r="AC65" s="33">
        <f>升星辅助表!AX94</f>
        <v>86240</v>
      </c>
      <c r="AD65" s="33">
        <f>升星辅助表!AY94</f>
        <v>86240</v>
      </c>
      <c r="AE65" s="12">
        <f>升星辅助表!AI94</f>
        <v>330</v>
      </c>
      <c r="AF65" s="5">
        <f>升星辅助表!AU94/升星辅助表!AW94</f>
        <v>0.02</v>
      </c>
      <c r="AG65" s="5">
        <f>升星辅助表!AU94/升星辅助表!AV94</f>
        <v>0.02</v>
      </c>
    </row>
    <row r="66" spans="2:33" x14ac:dyDescent="0.15">
      <c r="B66" s="5" t="str">
        <f>D_装备基础数据!A103</f>
        <v>30314</v>
      </c>
      <c r="C66" s="5" t="s">
        <v>441</v>
      </c>
      <c r="D66" s="5">
        <f ca="1">D_装备基础数据!AP103</f>
        <v>408.55460974766743</v>
      </c>
      <c r="F66" s="28">
        <f>强化辅助表!Z98</f>
        <v>7</v>
      </c>
      <c r="G66" s="28">
        <f>强化辅助表!AA98</f>
        <v>29</v>
      </c>
      <c r="H66" s="28">
        <f>强化辅助表!AB98</f>
        <v>88</v>
      </c>
      <c r="I66" s="28"/>
      <c r="J66" s="28"/>
      <c r="K66" s="28" t="str">
        <f>强化辅助表!B98</f>
        <v>4512</v>
      </c>
      <c r="L66" s="28">
        <f>强化辅助表!D98</f>
        <v>1</v>
      </c>
      <c r="M66" s="28">
        <f>强化辅助表!F98</f>
        <v>45</v>
      </c>
      <c r="N66" s="28">
        <f>强化辅助表!Q98</f>
        <v>9.06</v>
      </c>
      <c r="O66" s="33">
        <f>强化辅助表!T98</f>
        <v>468855</v>
      </c>
      <c r="P66" s="33">
        <f>强化辅助表!U98</f>
        <v>147156.18000000002</v>
      </c>
      <c r="Q66">
        <f>强化辅助表!Q98/强化辅助表!S98</f>
        <v>0.02</v>
      </c>
      <c r="R66">
        <f>强化辅助表!Q98/强化辅助表!R98</f>
        <v>0.02</v>
      </c>
      <c r="T66" s="28">
        <f>升星辅助表!AB95</f>
        <v>4</v>
      </c>
      <c r="U66" s="28">
        <f>升星辅助表!AC95</f>
        <v>16</v>
      </c>
      <c r="V66" s="28">
        <f>升星辅助表!AD95</f>
        <v>6</v>
      </c>
      <c r="W66" s="28"/>
      <c r="X66" s="28"/>
      <c r="Y66" s="28" t="str">
        <f>升星辅助表!C95</f>
        <v>4512</v>
      </c>
      <c r="Z66" s="28">
        <f>升星辅助表!F95</f>
        <v>1</v>
      </c>
      <c r="AA66" s="28">
        <f>升星辅助表!H95</f>
        <v>45</v>
      </c>
      <c r="AB66" s="28">
        <f>升星辅助表!AU95</f>
        <v>15.68</v>
      </c>
      <c r="AC66" s="33">
        <f>升星辅助表!AX95</f>
        <v>43120</v>
      </c>
      <c r="AD66" s="33">
        <f>升星辅助表!AY95</f>
        <v>43120</v>
      </c>
      <c r="AE66" s="12">
        <f>升星辅助表!AI95</f>
        <v>165</v>
      </c>
      <c r="AF66" s="5">
        <f>升星辅助表!AU95/升星辅助表!AW95</f>
        <v>0.02</v>
      </c>
      <c r="AG66" s="5">
        <f>升星辅助表!AU95/升星辅助表!AV95</f>
        <v>0.02</v>
      </c>
    </row>
    <row r="67" spans="2:33" x14ac:dyDescent="0.15">
      <c r="B67" s="5" t="str">
        <f>D_装备基础数据!A104</f>
        <v>51314</v>
      </c>
      <c r="C67" s="5" t="s">
        <v>442</v>
      </c>
      <c r="D67" s="5">
        <f ca="1">D_装备基础数据!AP104</f>
        <v>339.99029201947229</v>
      </c>
      <c r="F67" s="28">
        <f>强化辅助表!Z99</f>
        <v>4</v>
      </c>
      <c r="G67" s="28">
        <f>强化辅助表!AA99</f>
        <v>22</v>
      </c>
      <c r="H67" s="28">
        <f>强化辅助表!AB99</f>
        <v>121</v>
      </c>
      <c r="I67" s="28"/>
      <c r="J67" s="28"/>
      <c r="K67" s="28" t="str">
        <f>强化辅助表!B99</f>
        <v>4515</v>
      </c>
      <c r="L67" s="28">
        <f>强化辅助表!D99</f>
        <v>1</v>
      </c>
      <c r="M67" s="28">
        <f>强化辅助表!F99</f>
        <v>45</v>
      </c>
      <c r="N67" s="28">
        <f>强化辅助表!Q99</f>
        <v>12.100000000000001</v>
      </c>
      <c r="O67" s="33">
        <f>强化辅助表!T99</f>
        <v>626175</v>
      </c>
      <c r="P67" s="33">
        <f>强化辅助表!U99</f>
        <v>193778.30000000002</v>
      </c>
      <c r="Q67">
        <f>强化辅助表!Q99/强化辅助表!S99</f>
        <v>2.0000000000000004E-2</v>
      </c>
      <c r="R67">
        <f>强化辅助表!Q99/强化辅助表!R99</f>
        <v>2.0000000000000004E-2</v>
      </c>
      <c r="T67" s="28">
        <f>升星辅助表!AB96</f>
        <v>4</v>
      </c>
      <c r="U67" s="28">
        <f>升星辅助表!AC96</f>
        <v>16</v>
      </c>
      <c r="V67" s="28">
        <f>升星辅助表!AD96</f>
        <v>6</v>
      </c>
      <c r="W67" s="28"/>
      <c r="X67" s="28"/>
      <c r="Y67" s="28" t="str">
        <f>升星辅助表!C96</f>
        <v>4515</v>
      </c>
      <c r="Z67" s="28">
        <f>升星辅助表!F96</f>
        <v>1</v>
      </c>
      <c r="AA67" s="28">
        <f>升星辅助表!H96</f>
        <v>45</v>
      </c>
      <c r="AB67" s="28">
        <f>升星辅助表!AU96</f>
        <v>15.68</v>
      </c>
      <c r="AC67" s="33">
        <f>升星辅助表!AX96</f>
        <v>43120</v>
      </c>
      <c r="AD67" s="33">
        <f>升星辅助表!AY96</f>
        <v>43120</v>
      </c>
      <c r="AE67" s="12">
        <f>升星辅助表!AI96</f>
        <v>165</v>
      </c>
      <c r="AF67" s="5">
        <f>升星辅助表!AU96/升星辅助表!AW96</f>
        <v>0.02</v>
      </c>
      <c r="AG67" s="5">
        <f>升星辅助表!AU96/升星辅助表!AV96</f>
        <v>0.02</v>
      </c>
    </row>
    <row r="68" spans="2:33" x14ac:dyDescent="0.15">
      <c r="B68" s="5" t="str">
        <f>D_装备基础数据!A105</f>
        <v>52314</v>
      </c>
      <c r="C68" s="5" t="s">
        <v>443</v>
      </c>
      <c r="D68" s="5">
        <f ca="1">D_装备基础数据!AP105</f>
        <v>133.03810131975271</v>
      </c>
      <c r="F68" s="28">
        <f>强化辅助表!Z100</f>
        <v>7</v>
      </c>
      <c r="G68" s="28">
        <f>强化辅助表!AA100</f>
        <v>28</v>
      </c>
      <c r="H68" s="28">
        <f>强化辅助表!AB100</f>
        <v>85</v>
      </c>
      <c r="I68" s="28"/>
      <c r="J68" s="28"/>
      <c r="K68" s="28" t="str">
        <f>强化辅助表!B100</f>
        <v>4514</v>
      </c>
      <c r="L68" s="28">
        <f>强化辅助表!D100</f>
        <v>1</v>
      </c>
      <c r="M68" s="28">
        <f>强化辅助表!F100</f>
        <v>45</v>
      </c>
      <c r="N68" s="28">
        <f>强化辅助表!Q100</f>
        <v>8.6999999999999993</v>
      </c>
      <c r="O68" s="33">
        <f>强化辅助表!T100</f>
        <v>450225</v>
      </c>
      <c r="P68" s="33">
        <f>强化辅助表!U100</f>
        <v>139583.96000000002</v>
      </c>
      <c r="Q68">
        <f>强化辅助表!Q100/强化辅助表!S100</f>
        <v>1.9999999999999997E-2</v>
      </c>
      <c r="R68">
        <f>强化辅助表!Q100/强化辅助表!R100</f>
        <v>1.9999999999999997E-2</v>
      </c>
      <c r="T68" s="28">
        <f>升星辅助表!AB97</f>
        <v>0</v>
      </c>
      <c r="U68" s="28">
        <f>升星辅助表!AC97</f>
        <v>10</v>
      </c>
      <c r="V68" s="28">
        <f>升星辅助表!AD97</f>
        <v>16</v>
      </c>
      <c r="W68" s="28"/>
      <c r="X68" s="28"/>
      <c r="Y68" s="28" t="str">
        <f>升星辅助表!C97</f>
        <v>4514</v>
      </c>
      <c r="Z68" s="28">
        <f>升星辅助表!F97</f>
        <v>1</v>
      </c>
      <c r="AA68" s="28">
        <f>升星辅助表!H97</f>
        <v>45</v>
      </c>
      <c r="AB68" s="28">
        <f>升星辅助表!AU97</f>
        <v>31.36</v>
      </c>
      <c r="AC68" s="33">
        <f>升星辅助表!AX97</f>
        <v>86240</v>
      </c>
      <c r="AD68" s="33">
        <f>升星辅助表!AY97</f>
        <v>86240</v>
      </c>
      <c r="AE68" s="12">
        <f>升星辅助表!AI97</f>
        <v>330</v>
      </c>
      <c r="AF68" s="5">
        <f>升星辅助表!AU97/升星辅助表!AW97</f>
        <v>0.02</v>
      </c>
      <c r="AG68" s="5">
        <f>升星辅助表!AU97/升星辅助表!AV97</f>
        <v>0.02</v>
      </c>
    </row>
    <row r="69" spans="2:33" x14ac:dyDescent="0.15">
      <c r="B69" s="5" t="str">
        <f>D_装备基础数据!A106</f>
        <v>55314</v>
      </c>
      <c r="C69" s="5" t="s">
        <v>444</v>
      </c>
      <c r="D69" s="5">
        <f ca="1">D_装备基础数据!AP106</f>
        <v>167.61385185253201</v>
      </c>
      <c r="F69" s="28">
        <f>强化辅助表!Z101</f>
        <v>5</v>
      </c>
      <c r="G69" s="28">
        <f>强化辅助表!AA101</f>
        <v>13</v>
      </c>
      <c r="H69" s="28">
        <f>强化辅助表!AB101</f>
        <v>189</v>
      </c>
      <c r="I69" s="28">
        <f>M69</f>
        <v>45</v>
      </c>
      <c r="J69" s="28">
        <f>SUM(P64:P69)</f>
        <v>1677195.6</v>
      </c>
      <c r="K69" s="28" t="str">
        <f>强化辅助表!B101</f>
        <v>4513</v>
      </c>
      <c r="L69" s="28">
        <f>强化辅助表!D101</f>
        <v>1</v>
      </c>
      <c r="M69" s="28">
        <f>强化辅助表!F101</f>
        <v>45</v>
      </c>
      <c r="N69" s="28">
        <f>强化辅助表!Q101</f>
        <v>18.520000000000003</v>
      </c>
      <c r="O69" s="33">
        <f>强化辅助表!T101</f>
        <v>958410</v>
      </c>
      <c r="P69" s="33">
        <f>强化辅助表!U101</f>
        <v>296608.68000000005</v>
      </c>
      <c r="Q69">
        <f>强化辅助表!Q101/强化辅助表!S101</f>
        <v>2.0000000000000004E-2</v>
      </c>
      <c r="R69">
        <f>强化辅助表!Q101/强化辅助表!R101</f>
        <v>2.0000000000000004E-2</v>
      </c>
      <c r="T69" s="28">
        <f>升星辅助表!AB98</f>
        <v>0</v>
      </c>
      <c r="U69" s="28">
        <f>升星辅助表!AC98</f>
        <v>12</v>
      </c>
      <c r="V69" s="28">
        <f>升星辅助表!AD98</f>
        <v>11</v>
      </c>
      <c r="W69" s="28">
        <f>AA69</f>
        <v>45</v>
      </c>
      <c r="X69" s="28">
        <f>SUM(AD64:AD69)</f>
        <v>522720</v>
      </c>
      <c r="Y69" s="28" t="str">
        <f>升星辅助表!C98</f>
        <v>4513</v>
      </c>
      <c r="Z69" s="28">
        <f>升星辅助表!F98</f>
        <v>1</v>
      </c>
      <c r="AA69" s="28">
        <f>升星辅助表!H98</f>
        <v>45</v>
      </c>
      <c r="AB69" s="28">
        <f>升星辅助表!AU98</f>
        <v>24</v>
      </c>
      <c r="AC69" s="33">
        <f>升星辅助表!AX98</f>
        <v>66000</v>
      </c>
      <c r="AD69" s="33">
        <f>升星辅助表!AY98</f>
        <v>66000</v>
      </c>
      <c r="AE69" s="12">
        <f>升星辅助表!AI98</f>
        <v>220</v>
      </c>
      <c r="AF69" s="5">
        <f>升星辅助表!AU98/升星辅助表!AW98</f>
        <v>0.02</v>
      </c>
      <c r="AG69" s="5">
        <f>升星辅助表!AU98/升星辅助表!AV98</f>
        <v>0.02</v>
      </c>
    </row>
    <row r="70" spans="2:33" x14ac:dyDescent="0.15">
      <c r="B70" s="5" t="str">
        <f>D_装备基础数据!A107</f>
        <v>54314</v>
      </c>
      <c r="C70" s="5" t="s">
        <v>445</v>
      </c>
      <c r="D70" s="5">
        <f ca="1">D_装备基础数据!AP107</f>
        <v>163.23116645590079</v>
      </c>
      <c r="F70" s="28">
        <f>强化辅助表!Z102</f>
        <v>0</v>
      </c>
      <c r="G70" s="28">
        <f>强化辅助表!AA102</f>
        <v>7</v>
      </c>
      <c r="H70" s="28">
        <f>强化辅助表!AB102</f>
        <v>448</v>
      </c>
      <c r="I70" s="28"/>
      <c r="J70" s="28"/>
      <c r="K70" s="28" t="str">
        <f>强化辅助表!B102</f>
        <v>4520</v>
      </c>
      <c r="L70" s="28">
        <f>强化辅助表!D102</f>
        <v>2</v>
      </c>
      <c r="M70" s="28">
        <f>强化辅助表!F102</f>
        <v>45</v>
      </c>
      <c r="N70" s="28">
        <f>强化辅助表!Q102</f>
        <v>43.32</v>
      </c>
      <c r="O70" s="33">
        <f>强化辅助表!T102</f>
        <v>2241810</v>
      </c>
      <c r="P70" s="33">
        <f>强化辅助表!U102</f>
        <v>693222.88</v>
      </c>
      <c r="Q70">
        <f>强化辅助表!Q102/强化辅助表!S102</f>
        <v>0.02</v>
      </c>
      <c r="R70">
        <f>强化辅助表!Q102/强化辅助表!R102</f>
        <v>0.02</v>
      </c>
      <c r="T70" s="28">
        <f>升星辅助表!AB99</f>
        <v>0</v>
      </c>
      <c r="U70" s="28">
        <f>升星辅助表!AC99</f>
        <v>0</v>
      </c>
      <c r="V70" s="28">
        <f>升星辅助表!AD99</f>
        <v>64</v>
      </c>
      <c r="W70" s="28"/>
      <c r="X70" s="28"/>
      <c r="Y70" s="28" t="str">
        <f>升星辅助表!C99</f>
        <v>4520</v>
      </c>
      <c r="Z70" s="28">
        <f>升星辅助表!F99</f>
        <v>2</v>
      </c>
      <c r="AA70" s="28">
        <f>升星辅助表!H99</f>
        <v>45</v>
      </c>
      <c r="AB70" s="28">
        <f>升星辅助表!AU99</f>
        <v>116</v>
      </c>
      <c r="AC70" s="33">
        <f>升星辅助表!AX99</f>
        <v>319000</v>
      </c>
      <c r="AD70" s="33">
        <f>升星辅助表!AY99</f>
        <v>319000</v>
      </c>
      <c r="AE70" s="12">
        <f>升星辅助表!AI99</f>
        <v>1100</v>
      </c>
      <c r="AF70" s="5">
        <f>升星辅助表!AU99/升星辅助表!AW99</f>
        <v>0.02</v>
      </c>
      <c r="AG70" s="5">
        <f>升星辅助表!AU99/升星辅助表!AV99</f>
        <v>0.02</v>
      </c>
    </row>
    <row r="71" spans="2:33" x14ac:dyDescent="0.15">
      <c r="B71" s="5" t="str">
        <f>D_装备基础数据!A108</f>
        <v>53314</v>
      </c>
      <c r="C71" s="5" t="s">
        <v>446</v>
      </c>
      <c r="D71" s="5">
        <f ca="1">D_装备基础数据!AP108</f>
        <v>237.468931878788</v>
      </c>
      <c r="F71" s="28">
        <f>强化辅助表!Z103</f>
        <v>0</v>
      </c>
      <c r="G71" s="28">
        <f>强化辅助表!AA103</f>
        <v>6</v>
      </c>
      <c r="H71" s="28">
        <f>强化辅助表!AB103</f>
        <v>387</v>
      </c>
      <c r="I71" s="28"/>
      <c r="J71" s="28"/>
      <c r="K71" s="28" t="str">
        <f>强化辅助表!B103</f>
        <v>4521</v>
      </c>
      <c r="L71" s="28">
        <f>强化辅助表!D103</f>
        <v>2</v>
      </c>
      <c r="M71" s="28">
        <f>强化辅助表!F103</f>
        <v>45</v>
      </c>
      <c r="N71" s="28">
        <f>强化辅助表!Q103</f>
        <v>37.44</v>
      </c>
      <c r="O71" s="33">
        <f>强化辅助表!T103</f>
        <v>1937520</v>
      </c>
      <c r="P71" s="33">
        <f>强化辅助表!U103</f>
        <v>602850.19999999995</v>
      </c>
      <c r="Q71">
        <f>强化辅助表!Q103/强化辅助表!S103</f>
        <v>0.02</v>
      </c>
      <c r="R71">
        <f>强化辅助表!Q103/强化辅助表!R103</f>
        <v>0.02</v>
      </c>
      <c r="T71" s="28">
        <f>升星辅助表!AB100</f>
        <v>0</v>
      </c>
      <c r="U71" s="28">
        <f>升星辅助表!AC100</f>
        <v>5</v>
      </c>
      <c r="V71" s="28">
        <f>升星辅助表!AD100</f>
        <v>45</v>
      </c>
      <c r="W71" s="28"/>
      <c r="X71" s="28"/>
      <c r="Y71" s="28" t="str">
        <f>升星辅助表!C100</f>
        <v>4521</v>
      </c>
      <c r="Z71" s="28">
        <f>升星辅助表!F100</f>
        <v>2</v>
      </c>
      <c r="AA71" s="28">
        <f>升星辅助表!H100</f>
        <v>45</v>
      </c>
      <c r="AB71" s="28">
        <f>升星辅助表!AU100</f>
        <v>82.28</v>
      </c>
      <c r="AC71" s="33">
        <f>升星辅助表!AX100</f>
        <v>226270</v>
      </c>
      <c r="AD71" s="33">
        <f>升星辅助表!AY100</f>
        <v>226270</v>
      </c>
      <c r="AE71" s="12">
        <f>升星辅助表!AI100</f>
        <v>770</v>
      </c>
      <c r="AF71" s="5">
        <f>升星辅助表!AU100/升星辅助表!AW100</f>
        <v>0.02</v>
      </c>
      <c r="AG71" s="5">
        <f>升星辅助表!AU100/升星辅助表!AV100</f>
        <v>0.02</v>
      </c>
    </row>
    <row r="72" spans="2:33" x14ac:dyDescent="0.15">
      <c r="B72" s="5" t="str">
        <f>D_装备基础数据!A125</f>
        <v>10217</v>
      </c>
      <c r="C72" s="5" t="s">
        <v>447</v>
      </c>
      <c r="D72" s="5">
        <f ca="1">D_装备基础数据!AP125</f>
        <v>470.66869163710521</v>
      </c>
      <c r="F72" s="28">
        <f>强化辅助表!Z104</f>
        <v>4</v>
      </c>
      <c r="G72" s="28">
        <f>强化辅助表!AA104</f>
        <v>19</v>
      </c>
      <c r="H72" s="28">
        <f>强化辅助表!AB104</f>
        <v>139</v>
      </c>
      <c r="I72" s="28"/>
      <c r="J72" s="28"/>
      <c r="K72" s="28" t="str">
        <f>强化辅助表!B104</f>
        <v>4522</v>
      </c>
      <c r="L72" s="28">
        <f>强化辅助表!D104</f>
        <v>2</v>
      </c>
      <c r="M72" s="28">
        <f>强化辅助表!F104</f>
        <v>45</v>
      </c>
      <c r="N72" s="28">
        <f>强化辅助表!Q104</f>
        <v>13.760000000000002</v>
      </c>
      <c r="O72" s="33">
        <f>强化辅助表!T104</f>
        <v>712080</v>
      </c>
      <c r="P72" s="33">
        <f>强化辅助表!U104</f>
        <v>218245.54000000007</v>
      </c>
      <c r="Q72">
        <f>强化辅助表!Q104/强化辅助表!S104</f>
        <v>2.0000000000000004E-2</v>
      </c>
      <c r="R72">
        <f>强化辅助表!Q104/强化辅助表!R104</f>
        <v>2.0000000000000004E-2</v>
      </c>
      <c r="T72" s="28">
        <f>升星辅助表!AB101</f>
        <v>0</v>
      </c>
      <c r="U72" s="28">
        <f>升星辅助表!AC101</f>
        <v>6</v>
      </c>
      <c r="V72" s="28">
        <f>升星辅助表!AD101</f>
        <v>19</v>
      </c>
      <c r="W72" s="28"/>
      <c r="X72" s="28"/>
      <c r="Y72" s="28" t="str">
        <f>升星辅助表!C101</f>
        <v>4522</v>
      </c>
      <c r="Z72" s="28">
        <f>升星辅助表!F101</f>
        <v>2</v>
      </c>
      <c r="AA72" s="28">
        <f>升星辅助表!H101</f>
        <v>45</v>
      </c>
      <c r="AB72" s="28">
        <f>升星辅助表!AU101</f>
        <v>34.64</v>
      </c>
      <c r="AC72" s="33">
        <f>升星辅助表!AX101</f>
        <v>95260</v>
      </c>
      <c r="AD72" s="33">
        <f>升星辅助表!AY101</f>
        <v>95260</v>
      </c>
      <c r="AE72" s="12">
        <f>升星辅助表!AI101</f>
        <v>330</v>
      </c>
      <c r="AF72" s="5">
        <f>升星辅助表!AU101/升星辅助表!AW101</f>
        <v>0.02</v>
      </c>
      <c r="AG72" s="5">
        <f>升星辅助表!AU101/升星辅助表!AV101</f>
        <v>0.02</v>
      </c>
    </row>
    <row r="73" spans="2:33" x14ac:dyDescent="0.15">
      <c r="B73" s="5" t="str">
        <f>D_装备基础数据!A126</f>
        <v>20217</v>
      </c>
      <c r="C73" s="5" t="str">
        <f>D_装备基础数据!B126</f>
        <v>嗜血拳</v>
      </c>
      <c r="D73" s="5">
        <f ca="1">D_装备基础数据!AP126</f>
        <v>470.66869163710521</v>
      </c>
      <c r="F73" s="28">
        <f>强化辅助表!Z105</f>
        <v>5</v>
      </c>
      <c r="G73" s="28">
        <f>强化辅助表!AA105</f>
        <v>13</v>
      </c>
      <c r="H73" s="28">
        <f>强化辅助表!AB105</f>
        <v>177</v>
      </c>
      <c r="I73" s="28"/>
      <c r="J73" s="28"/>
      <c r="K73" s="28" t="str">
        <f>强化辅助表!B105</f>
        <v>4525</v>
      </c>
      <c r="L73" s="28">
        <f>强化辅助表!D105</f>
        <v>2</v>
      </c>
      <c r="M73" s="28">
        <f>强化辅助表!F105</f>
        <v>45</v>
      </c>
      <c r="N73" s="28">
        <f>强化辅助表!Q105</f>
        <v>17.340000000000003</v>
      </c>
      <c r="O73" s="33">
        <f>强化辅助表!T105</f>
        <v>897345</v>
      </c>
      <c r="P73" s="33">
        <f>强化辅助表!U105</f>
        <v>279053.80000000005</v>
      </c>
      <c r="Q73">
        <f>强化辅助表!Q105/强化辅助表!S105</f>
        <v>2.0000000000000004E-2</v>
      </c>
      <c r="R73">
        <f>强化辅助表!Q105/强化辅助表!R105</f>
        <v>2.0000000000000004E-2</v>
      </c>
      <c r="T73" s="28">
        <f>升星辅助表!AB102</f>
        <v>0</v>
      </c>
      <c r="U73" s="28">
        <f>升星辅助表!AC102</f>
        <v>7</v>
      </c>
      <c r="V73" s="28">
        <f>升星辅助表!AD102</f>
        <v>22</v>
      </c>
      <c r="W73" s="28"/>
      <c r="X73" s="28"/>
      <c r="Y73" s="28" t="str">
        <f>升星辅助表!C102</f>
        <v>4525</v>
      </c>
      <c r="Z73" s="28">
        <f>升星辅助表!F102</f>
        <v>2</v>
      </c>
      <c r="AA73" s="28">
        <f>升星辅助表!H102</f>
        <v>45</v>
      </c>
      <c r="AB73" s="28">
        <f>升星辅助表!AU102</f>
        <v>41</v>
      </c>
      <c r="AC73" s="33">
        <f>升星辅助表!AX102</f>
        <v>112750</v>
      </c>
      <c r="AD73" s="33">
        <f>升星辅助表!AY102</f>
        <v>112750</v>
      </c>
      <c r="AE73" s="12">
        <f>升星辅助表!AI102</f>
        <v>385</v>
      </c>
      <c r="AF73" s="5">
        <f>升星辅助表!AU102/升星辅助表!AW102</f>
        <v>0.02</v>
      </c>
      <c r="AG73" s="5">
        <f>升星辅助表!AU102/升星辅助表!AV102</f>
        <v>0.02</v>
      </c>
    </row>
    <row r="74" spans="2:33" x14ac:dyDescent="0.15">
      <c r="B74" s="5" t="str">
        <f>D_装备基础数据!A127</f>
        <v>30217</v>
      </c>
      <c r="C74" s="5" t="s">
        <v>448</v>
      </c>
      <c r="D74" s="5">
        <f ca="1">D_装备基础数据!AP127</f>
        <v>470.66869163710521</v>
      </c>
      <c r="F74" s="28">
        <f>强化辅助表!Z106</f>
        <v>4</v>
      </c>
      <c r="G74" s="28">
        <f>强化辅助表!AA106</f>
        <v>22</v>
      </c>
      <c r="H74" s="28">
        <f>强化辅助表!AB106</f>
        <v>125</v>
      </c>
      <c r="I74" s="28"/>
      <c r="J74" s="28"/>
      <c r="K74" s="28" t="str">
        <f>强化辅助表!B106</f>
        <v>4524</v>
      </c>
      <c r="L74" s="28">
        <f>强化辅助表!D106</f>
        <v>2</v>
      </c>
      <c r="M74" s="28">
        <f>强化辅助表!F106</f>
        <v>45</v>
      </c>
      <c r="N74" s="28">
        <f>强化辅助表!Q106</f>
        <v>12.48</v>
      </c>
      <c r="O74" s="33">
        <f>强化辅助表!T106</f>
        <v>645840</v>
      </c>
      <c r="P74" s="33">
        <f>强化辅助表!U106</f>
        <v>200245.31999999998</v>
      </c>
      <c r="Q74">
        <f>强化辅助表!Q106/强化辅助表!S106</f>
        <v>0.02</v>
      </c>
      <c r="R74">
        <f>强化辅助表!Q106/强化辅助表!R106</f>
        <v>0.02</v>
      </c>
      <c r="T74" s="28">
        <f>升星辅助表!AB103</f>
        <v>0</v>
      </c>
      <c r="U74" s="28">
        <f>升星辅助表!AC103</f>
        <v>5</v>
      </c>
      <c r="V74" s="28">
        <f>升星辅助表!AD103</f>
        <v>44</v>
      </c>
      <c r="W74" s="28"/>
      <c r="X74" s="28"/>
      <c r="Y74" s="28" t="str">
        <f>升星辅助表!C103</f>
        <v>4524</v>
      </c>
      <c r="Z74" s="28">
        <f>升星辅助表!F103</f>
        <v>2</v>
      </c>
      <c r="AA74" s="28">
        <f>升星辅助表!H103</f>
        <v>45</v>
      </c>
      <c r="AB74" s="28">
        <f>升星辅助表!AU103</f>
        <v>80.28</v>
      </c>
      <c r="AC74" s="33">
        <f>升星辅助表!AX103</f>
        <v>220770</v>
      </c>
      <c r="AD74" s="33">
        <f>升星辅助表!AY103</f>
        <v>220770</v>
      </c>
      <c r="AE74" s="12">
        <f>升星辅助表!AI103</f>
        <v>770</v>
      </c>
      <c r="AF74" s="5">
        <f>升星辅助表!AU103/升星辅助表!AW103</f>
        <v>0.02</v>
      </c>
      <c r="AG74" s="5">
        <f>升星辅助表!AU103/升星辅助表!AV103</f>
        <v>0.02</v>
      </c>
    </row>
    <row r="75" spans="2:33" x14ac:dyDescent="0.15">
      <c r="B75" s="5" t="str">
        <f>D_装备基础数据!A128</f>
        <v>51217</v>
      </c>
      <c r="C75" s="5" t="s">
        <v>449</v>
      </c>
      <c r="D75" s="5">
        <f ca="1">D_装备基础数据!AP128</f>
        <v>398.88977674640279</v>
      </c>
      <c r="F75" s="28">
        <f>强化辅助表!Z107</f>
        <v>0</v>
      </c>
      <c r="G75" s="28">
        <f>强化辅助表!AA107</f>
        <v>9</v>
      </c>
      <c r="H75" s="28">
        <f>强化辅助表!AB107</f>
        <v>278</v>
      </c>
      <c r="I75" s="28">
        <f>M75</f>
        <v>45</v>
      </c>
      <c r="J75" s="28">
        <f>SUM(P70:P75)</f>
        <v>2422798.8600000003</v>
      </c>
      <c r="K75" s="28" t="str">
        <f>强化辅助表!B107</f>
        <v>4523</v>
      </c>
      <c r="L75" s="28">
        <f>强化辅助表!D107</f>
        <v>2</v>
      </c>
      <c r="M75" s="28">
        <f>强化辅助表!F107</f>
        <v>45</v>
      </c>
      <c r="N75" s="28">
        <f>强化辅助表!Q107</f>
        <v>26.94</v>
      </c>
      <c r="O75" s="33">
        <f>强化辅助表!T107</f>
        <v>1394145</v>
      </c>
      <c r="P75" s="33">
        <f>强化辅助表!U107</f>
        <v>429181.12000000005</v>
      </c>
      <c r="Q75">
        <f>强化辅助表!Q107/强化辅助表!S107</f>
        <v>0.02</v>
      </c>
      <c r="R75">
        <f>强化辅助表!Q107/强化辅助表!R107</f>
        <v>0.02</v>
      </c>
      <c r="T75" s="28">
        <f>升星辅助表!AB104</f>
        <v>0</v>
      </c>
      <c r="U75" s="28">
        <f>升星辅助表!AC104</f>
        <v>7</v>
      </c>
      <c r="V75" s="28">
        <f>升星辅助表!AD104</f>
        <v>23</v>
      </c>
      <c r="W75" s="28">
        <f>AA75</f>
        <v>45</v>
      </c>
      <c r="X75" s="28">
        <f>SUM(AD70:AD75)</f>
        <v>1095545</v>
      </c>
      <c r="Y75" s="28" t="str">
        <f>升星辅助表!C104</f>
        <v>4523</v>
      </c>
      <c r="Z75" s="28">
        <f>升星辅助表!F104</f>
        <v>2</v>
      </c>
      <c r="AA75" s="28">
        <f>升星辅助表!H104</f>
        <v>45</v>
      </c>
      <c r="AB75" s="28">
        <f>升星辅助表!AU104</f>
        <v>44.18</v>
      </c>
      <c r="AC75" s="33">
        <f>升星辅助表!AX104</f>
        <v>121495</v>
      </c>
      <c r="AD75" s="33">
        <f>升星辅助表!AY104</f>
        <v>121495</v>
      </c>
      <c r="AE75" s="12">
        <f>升星辅助表!AI104</f>
        <v>440</v>
      </c>
      <c r="AF75" s="5">
        <f>升星辅助表!AU104/升星辅助表!AW104</f>
        <v>0.02</v>
      </c>
      <c r="AG75" s="5">
        <f>升星辅助表!AU104/升星辅助表!AV104</f>
        <v>0.02</v>
      </c>
    </row>
    <row r="76" spans="2:33" x14ac:dyDescent="0.15">
      <c r="B76" s="5" t="str">
        <f>D_装备基础数据!A129</f>
        <v>52217</v>
      </c>
      <c r="C76" s="5" t="s">
        <v>450</v>
      </c>
      <c r="D76" s="5">
        <f ca="1">D_装备基础数据!AP129</f>
        <v>151.42483698634121</v>
      </c>
      <c r="F76" s="28">
        <f>强化辅助表!Z108</f>
        <v>0</v>
      </c>
      <c r="G76" s="28">
        <f>强化辅助表!AA108</f>
        <v>3</v>
      </c>
      <c r="H76" s="28">
        <f>强化辅助表!AB108</f>
        <v>586</v>
      </c>
      <c r="I76" s="28"/>
      <c r="J76" s="28"/>
      <c r="K76" s="28" t="str">
        <f>强化辅助表!B108</f>
        <v>4530</v>
      </c>
      <c r="L76" s="28">
        <f>强化辅助表!D108</f>
        <v>3</v>
      </c>
      <c r="M76" s="28">
        <f>强化辅助表!F108</f>
        <v>45</v>
      </c>
      <c r="N76" s="28">
        <f>强化辅助表!Q108</f>
        <v>56.58</v>
      </c>
      <c r="O76" s="33">
        <f>强化辅助表!T108</f>
        <v>2928015</v>
      </c>
      <c r="P76" s="33">
        <f>强化辅助表!U108</f>
        <v>906008.79999999993</v>
      </c>
      <c r="Q76">
        <f>强化辅助表!Q108/强化辅助表!S108</f>
        <v>0.02</v>
      </c>
      <c r="R76">
        <f>强化辅助表!Q108/强化辅助表!R108</f>
        <v>0.02</v>
      </c>
      <c r="T76" s="28">
        <f>升星辅助表!AB105</f>
        <v>0</v>
      </c>
      <c r="U76" s="28">
        <f>升星辅助表!AC105</f>
        <v>0</v>
      </c>
      <c r="V76" s="28">
        <f>升星辅助表!AD105</f>
        <v>95</v>
      </c>
      <c r="W76" s="28"/>
      <c r="X76" s="28"/>
      <c r="Y76" s="28" t="str">
        <f>升星辅助表!C105</f>
        <v>4530</v>
      </c>
      <c r="Z76" s="28">
        <f>升星辅助表!F105</f>
        <v>3</v>
      </c>
      <c r="AA76" s="28">
        <f>升星辅助表!H105</f>
        <v>45</v>
      </c>
      <c r="AB76" s="28">
        <f>升星辅助表!AU105</f>
        <v>171.06</v>
      </c>
      <c r="AC76" s="33">
        <f>升星辅助表!AX105</f>
        <v>470415</v>
      </c>
      <c r="AD76" s="33">
        <f>升星辅助表!AY105</f>
        <v>470415</v>
      </c>
      <c r="AE76" s="12">
        <f>升星辅助表!AI105</f>
        <v>1595</v>
      </c>
      <c r="AF76" s="5">
        <f>升星辅助表!AU105/升星辅助表!AW105</f>
        <v>0.02</v>
      </c>
      <c r="AG76" s="5">
        <f>升星辅助表!AU105/升星辅助表!AV105</f>
        <v>0.02</v>
      </c>
    </row>
    <row r="77" spans="2:33" x14ac:dyDescent="0.15">
      <c r="B77" s="5" t="str">
        <f>D_装备基础数据!A130</f>
        <v>55217</v>
      </c>
      <c r="C77" s="5" t="s">
        <v>451</v>
      </c>
      <c r="D77" s="5">
        <f ca="1">D_装备基础数据!AP130</f>
        <v>191.83431725361959</v>
      </c>
      <c r="F77" s="28">
        <f>强化辅助表!Z109</f>
        <v>0</v>
      </c>
      <c r="G77" s="28">
        <f>强化辅助表!AA109</f>
        <v>8</v>
      </c>
      <c r="H77" s="28">
        <f>强化辅助表!AB109</f>
        <v>516</v>
      </c>
      <c r="I77" s="28"/>
      <c r="J77" s="28"/>
      <c r="K77" s="28" t="str">
        <f>强化辅助表!B109</f>
        <v>4531</v>
      </c>
      <c r="L77" s="28">
        <f>强化辅助表!D109</f>
        <v>3</v>
      </c>
      <c r="M77" s="28">
        <f>强化辅助表!F109</f>
        <v>45</v>
      </c>
      <c r="N77" s="28">
        <f>强化辅助表!Q109</f>
        <v>50</v>
      </c>
      <c r="O77" s="33">
        <f>强化辅助表!T109</f>
        <v>2587500</v>
      </c>
      <c r="P77" s="33">
        <f>强化辅助表!U109</f>
        <v>801442.2</v>
      </c>
      <c r="Q77">
        <f>强化辅助表!Q109/强化辅助表!S109</f>
        <v>0.02</v>
      </c>
      <c r="R77">
        <f>强化辅助表!Q109/强化辅助表!R109</f>
        <v>0.02</v>
      </c>
      <c r="T77" s="28">
        <f>升星辅助表!AB106</f>
        <v>0</v>
      </c>
      <c r="U77" s="28">
        <f>升星辅助表!AC106</f>
        <v>0</v>
      </c>
      <c r="V77" s="28">
        <f>升星辅助表!AD106</f>
        <v>67</v>
      </c>
      <c r="W77" s="28"/>
      <c r="X77" s="28"/>
      <c r="Y77" s="28" t="str">
        <f>升星辅助表!C106</f>
        <v>4531</v>
      </c>
      <c r="Z77" s="28">
        <f>升星辅助表!F106</f>
        <v>3</v>
      </c>
      <c r="AA77" s="28">
        <f>升星辅助表!H106</f>
        <v>45</v>
      </c>
      <c r="AB77" s="28">
        <f>升星辅助表!AU106</f>
        <v>120.14000000000001</v>
      </c>
      <c r="AC77" s="33">
        <f>升星辅助表!AX106</f>
        <v>330385</v>
      </c>
      <c r="AD77" s="33">
        <f>升星辅助表!AY106</f>
        <v>330385</v>
      </c>
      <c r="AE77" s="12">
        <f>升星辅助表!AI106</f>
        <v>1155</v>
      </c>
      <c r="AF77" s="5">
        <f>升星辅助表!AU106/升星辅助表!AW106</f>
        <v>2.0000000000000004E-2</v>
      </c>
      <c r="AG77" s="5">
        <f>升星辅助表!AU106/升星辅助表!AV106</f>
        <v>2.0000000000000004E-2</v>
      </c>
    </row>
    <row r="78" spans="2:33" x14ac:dyDescent="0.15">
      <c r="B78" s="5" t="str">
        <f>D_装备基础数据!A131</f>
        <v>54217</v>
      </c>
      <c r="C78" s="5" t="s">
        <v>452</v>
      </c>
      <c r="D78" s="5">
        <f ca="1">D_装备基础数据!AP131</f>
        <v>170.60785195031335</v>
      </c>
      <c r="F78" s="28">
        <f>强化辅助表!Z110</f>
        <v>5</v>
      </c>
      <c r="G78" s="28">
        <f>强化辅助表!AA110</f>
        <v>13</v>
      </c>
      <c r="H78" s="28">
        <f>强化辅助表!AB110</f>
        <v>185</v>
      </c>
      <c r="I78" s="28"/>
      <c r="J78" s="28"/>
      <c r="K78" s="28" t="str">
        <f>强化辅助表!B110</f>
        <v>4532</v>
      </c>
      <c r="L78" s="28">
        <f>强化辅助表!D110</f>
        <v>3</v>
      </c>
      <c r="M78" s="28">
        <f>强化辅助表!F110</f>
        <v>45</v>
      </c>
      <c r="N78" s="28">
        <f>强化辅助表!Q110</f>
        <v>18.12</v>
      </c>
      <c r="O78" s="33">
        <f>强化辅助表!T110</f>
        <v>937710</v>
      </c>
      <c r="P78" s="33">
        <f>强化辅助表!U110</f>
        <v>290512.58</v>
      </c>
      <c r="Q78">
        <f>强化辅助表!Q110/强化辅助表!S110</f>
        <v>0.02</v>
      </c>
      <c r="R78">
        <f>强化辅助表!Q110/强化辅助表!R110</f>
        <v>0.02</v>
      </c>
      <c r="T78" s="28">
        <f>升星辅助表!AB107</f>
        <v>0</v>
      </c>
      <c r="U78" s="28">
        <f>升星辅助表!AC107</f>
        <v>3</v>
      </c>
      <c r="V78" s="28">
        <f>升星辅助表!AD107</f>
        <v>32</v>
      </c>
      <c r="W78" s="28"/>
      <c r="X78" s="28"/>
      <c r="Y78" s="28" t="str">
        <f>升星辅助表!C107</f>
        <v>4532</v>
      </c>
      <c r="Z78" s="28">
        <f>升星辅助表!F107</f>
        <v>3</v>
      </c>
      <c r="AA78" s="28">
        <f>升星辅助表!H107</f>
        <v>45</v>
      </c>
      <c r="AB78" s="28">
        <f>升星辅助表!AU107</f>
        <v>57.5</v>
      </c>
      <c r="AC78" s="33">
        <f>升星辅助表!AX107</f>
        <v>158125</v>
      </c>
      <c r="AD78" s="33">
        <f>升星辅助表!AY107</f>
        <v>158125</v>
      </c>
      <c r="AE78" s="12">
        <f>升星辅助表!AI107</f>
        <v>550</v>
      </c>
      <c r="AF78" s="5">
        <f>升星辅助表!AU107/升星辅助表!AW107</f>
        <v>0.02</v>
      </c>
      <c r="AG78" s="5">
        <f>升星辅助表!AU107/升星辅助表!AV107</f>
        <v>0.02</v>
      </c>
    </row>
    <row r="79" spans="2:33" x14ac:dyDescent="0.15">
      <c r="B79" s="5" t="str">
        <f>D_装备基础数据!A132</f>
        <v>53217</v>
      </c>
      <c r="C79" s="5" t="s">
        <v>453</v>
      </c>
      <c r="D79" s="5">
        <f ca="1">D_装备基础数据!AP132</f>
        <v>279.6916188877006</v>
      </c>
      <c r="F79" s="28">
        <f>强化辅助表!Z111</f>
        <v>0</v>
      </c>
      <c r="G79" s="28">
        <f>强化辅助表!AA111</f>
        <v>12</v>
      </c>
      <c r="H79" s="28">
        <f>强化辅助表!AB111</f>
        <v>232</v>
      </c>
      <c r="I79" s="28"/>
      <c r="J79" s="28"/>
      <c r="K79" s="28" t="str">
        <f>强化辅助表!B111</f>
        <v>4535</v>
      </c>
      <c r="L79" s="28">
        <f>强化辅助表!D111</f>
        <v>3</v>
      </c>
      <c r="M79" s="28">
        <f>强化辅助表!F111</f>
        <v>45</v>
      </c>
      <c r="N79" s="28">
        <f>强化辅助表!Q111</f>
        <v>22.58</v>
      </c>
      <c r="O79" s="33">
        <f>强化辅助表!T111</f>
        <v>1168515</v>
      </c>
      <c r="P79" s="33">
        <f>强化辅助表!U111</f>
        <v>362890.72</v>
      </c>
      <c r="Q79">
        <f>强化辅助表!Q111/强化辅助表!S111</f>
        <v>1.9999999999999997E-2</v>
      </c>
      <c r="R79">
        <f>强化辅助表!Q111/强化辅助表!R111</f>
        <v>1.9999999999999997E-2</v>
      </c>
      <c r="T79" s="28">
        <f>升星辅助表!AB108</f>
        <v>0</v>
      </c>
      <c r="U79" s="28">
        <f>升星辅助表!AC108</f>
        <v>4</v>
      </c>
      <c r="V79" s="28">
        <f>升星辅助表!AD108</f>
        <v>40</v>
      </c>
      <c r="W79" s="28"/>
      <c r="X79" s="28"/>
      <c r="Y79" s="28" t="str">
        <f>升星辅助表!C108</f>
        <v>4535</v>
      </c>
      <c r="Z79" s="28">
        <f>升星辅助表!F108</f>
        <v>3</v>
      </c>
      <c r="AA79" s="28">
        <f>升星辅助表!H108</f>
        <v>45</v>
      </c>
      <c r="AB79" s="28">
        <f>升星辅助表!AU108</f>
        <v>73.800000000000011</v>
      </c>
      <c r="AC79" s="33">
        <f>升星辅助表!AX108</f>
        <v>202950</v>
      </c>
      <c r="AD79" s="33">
        <f>升星辅助表!AY108</f>
        <v>202950</v>
      </c>
      <c r="AE79" s="12">
        <f>升星辅助表!AI108</f>
        <v>715</v>
      </c>
      <c r="AF79" s="5">
        <f>升星辅助表!AU108/升星辅助表!AW108</f>
        <v>2.0000000000000004E-2</v>
      </c>
      <c r="AG79" s="5">
        <f>升星辅助表!AU108/升星辅助表!AV108</f>
        <v>2.0000000000000004E-2</v>
      </c>
    </row>
    <row r="80" spans="2:33" x14ac:dyDescent="0.15">
      <c r="B80" s="5" t="str">
        <f>D_装备基础数据!A133</f>
        <v>10318</v>
      </c>
      <c r="C80" s="5" t="str">
        <f>D_装备基础数据!B133</f>
        <v>霸道之刃</v>
      </c>
      <c r="D80" s="5">
        <f ca="1">D_装备基础数据!AP133</f>
        <v>612.83191462150103</v>
      </c>
      <c r="F80" s="28">
        <f>强化辅助表!Z112</f>
        <v>5</v>
      </c>
      <c r="G80" s="28">
        <f>强化辅助表!AA112</f>
        <v>17</v>
      </c>
      <c r="H80" s="28">
        <f>强化辅助表!AB112</f>
        <v>165</v>
      </c>
      <c r="I80" s="28"/>
      <c r="J80" s="28"/>
      <c r="K80" s="28" t="str">
        <f>强化辅助表!B112</f>
        <v>4534</v>
      </c>
      <c r="L80" s="28">
        <f>强化辅助表!D112</f>
        <v>3</v>
      </c>
      <c r="M80" s="28">
        <f>强化辅助表!F112</f>
        <v>45</v>
      </c>
      <c r="N80" s="28">
        <f>强化辅助表!Q112</f>
        <v>16.259999999999998</v>
      </c>
      <c r="O80" s="33">
        <f>强化辅助表!T112</f>
        <v>841455</v>
      </c>
      <c r="P80" s="33">
        <f>强化辅助表!U112</f>
        <v>261142.08</v>
      </c>
      <c r="Q80">
        <f>强化辅助表!Q112/强化辅助表!S112</f>
        <v>1.9999999999999997E-2</v>
      </c>
      <c r="R80">
        <f>强化辅助表!Q112/强化辅助表!R112</f>
        <v>1.9999999999999997E-2</v>
      </c>
      <c r="T80" s="28">
        <f>升星辅助表!AB109</f>
        <v>0</v>
      </c>
      <c r="U80" s="28">
        <f>升星辅助表!AC109</f>
        <v>0</v>
      </c>
      <c r="V80" s="28">
        <f>升星辅助表!AD109</f>
        <v>67</v>
      </c>
      <c r="W80" s="28"/>
      <c r="X80" s="28"/>
      <c r="Y80" s="28" t="str">
        <f>升星辅助表!C109</f>
        <v>4534</v>
      </c>
      <c r="Z80" s="28">
        <f>升星辅助表!F109</f>
        <v>3</v>
      </c>
      <c r="AA80" s="28">
        <f>升星辅助表!H109</f>
        <v>45</v>
      </c>
      <c r="AB80" s="28">
        <f>升星辅助表!AU109</f>
        <v>120.24000000000001</v>
      </c>
      <c r="AC80" s="33">
        <f>升星辅助表!AX109</f>
        <v>330660</v>
      </c>
      <c r="AD80" s="33">
        <f>升星辅助表!AY109</f>
        <v>330660</v>
      </c>
      <c r="AE80" s="12">
        <f>升星辅助表!AI109</f>
        <v>1155</v>
      </c>
      <c r="AF80" s="5">
        <f>升星辅助表!AU109/升星辅助表!AW109</f>
        <v>0.02</v>
      </c>
      <c r="AG80" s="5">
        <f>升星辅助表!AU109/升星辅助表!AV109</f>
        <v>0.02</v>
      </c>
    </row>
    <row r="81" spans="2:33" x14ac:dyDescent="0.15">
      <c r="B81" s="5" t="str">
        <f>D_装备基础数据!A134</f>
        <v>20318</v>
      </c>
      <c r="C81" s="5" t="str">
        <f>D_装备基础数据!B134</f>
        <v>霸道之拳</v>
      </c>
      <c r="D81" s="5">
        <f ca="1">D_装备基础数据!AP134</f>
        <v>612.83191462150103</v>
      </c>
      <c r="F81" s="28">
        <f>强化辅助表!Z113</f>
        <v>0</v>
      </c>
      <c r="G81" s="28">
        <f>强化辅助表!AA113</f>
        <v>6</v>
      </c>
      <c r="H81" s="28">
        <f>强化辅助表!AB113</f>
        <v>362</v>
      </c>
      <c r="I81" s="28">
        <f>M81</f>
        <v>45</v>
      </c>
      <c r="J81" s="28">
        <f>SUM(P76:P81)</f>
        <v>3182052</v>
      </c>
      <c r="K81" s="28" t="str">
        <f>强化辅助表!B113</f>
        <v>4533</v>
      </c>
      <c r="L81" s="28">
        <f>强化辅助表!D113</f>
        <v>3</v>
      </c>
      <c r="M81" s="28">
        <f>强化辅助表!F113</f>
        <v>45</v>
      </c>
      <c r="N81" s="28">
        <f>强化辅助表!Q113</f>
        <v>35.019999999999996</v>
      </c>
      <c r="O81" s="33">
        <f>强化辅助表!T113</f>
        <v>1812285</v>
      </c>
      <c r="P81" s="33">
        <f>强化辅助表!U113</f>
        <v>560055.62</v>
      </c>
      <c r="Q81">
        <f>强化辅助表!Q113/强化辅助表!S113</f>
        <v>1.9999999999999997E-2</v>
      </c>
      <c r="R81">
        <f>强化辅助表!Q113/强化辅助表!R113</f>
        <v>1.9999999999999997E-2</v>
      </c>
      <c r="T81" s="28">
        <f>升星辅助表!AB110</f>
        <v>0</v>
      </c>
      <c r="U81" s="28">
        <f>升星辅助表!AC110</f>
        <v>4</v>
      </c>
      <c r="V81" s="28">
        <f>升星辅助表!AD110</f>
        <v>42</v>
      </c>
      <c r="W81" s="28">
        <f>AA81</f>
        <v>45</v>
      </c>
      <c r="X81" s="28">
        <f>SUM(AD76:AD81)</f>
        <v>1704175</v>
      </c>
      <c r="Y81" s="28" t="str">
        <f>升星辅助表!C110</f>
        <v>4533</v>
      </c>
      <c r="Z81" s="28">
        <f>升星辅助表!F110</f>
        <v>3</v>
      </c>
      <c r="AA81" s="28">
        <f>升星辅助表!H110</f>
        <v>45</v>
      </c>
      <c r="AB81" s="28">
        <f>升星辅助表!AU110</f>
        <v>76.960000000000008</v>
      </c>
      <c r="AC81" s="33">
        <f>升星辅助表!AX110</f>
        <v>211640</v>
      </c>
      <c r="AD81" s="33">
        <f>升星辅助表!AY110</f>
        <v>211640</v>
      </c>
      <c r="AE81" s="12">
        <f>升星辅助表!AI110</f>
        <v>715</v>
      </c>
      <c r="AF81" s="5">
        <f>升星辅助表!AU110/升星辅助表!AW110</f>
        <v>0.02</v>
      </c>
      <c r="AG81" s="5">
        <f>升星辅助表!AU110/升星辅助表!AV110</f>
        <v>0.02</v>
      </c>
    </row>
    <row r="82" spans="2:33" x14ac:dyDescent="0.15">
      <c r="B82" s="5" t="str">
        <f>D_装备基础数据!A135</f>
        <v>30318</v>
      </c>
      <c r="C82" s="5" t="s">
        <v>454</v>
      </c>
      <c r="D82" s="5">
        <f ca="1">D_装备基础数据!AP135</f>
        <v>612.83191462150103</v>
      </c>
      <c r="F82" s="28">
        <f>强化辅助表!Z114</f>
        <v>0</v>
      </c>
      <c r="G82" s="28">
        <f>强化辅助表!AA114</f>
        <v>4</v>
      </c>
      <c r="H82" s="28">
        <f>强化辅助表!AB114</f>
        <v>690</v>
      </c>
      <c r="I82" s="28"/>
      <c r="J82" s="28"/>
      <c r="K82" s="28" t="str">
        <f>强化辅助表!B114</f>
        <v>4540</v>
      </c>
      <c r="L82" s="28">
        <f>强化辅助表!D114</f>
        <v>4</v>
      </c>
      <c r="M82" s="28">
        <f>强化辅助表!F114</f>
        <v>45</v>
      </c>
      <c r="N82" s="28">
        <f>强化辅助表!Q114</f>
        <v>66.66</v>
      </c>
      <c r="O82" s="33">
        <f>强化辅助表!T114</f>
        <v>3449655</v>
      </c>
      <c r="P82" s="33">
        <f>强化辅助表!U114</f>
        <v>1069244.6200000001</v>
      </c>
      <c r="Q82">
        <f>强化辅助表!Q114/强化辅助表!S114</f>
        <v>0.02</v>
      </c>
      <c r="R82">
        <f>强化辅助表!Q114/强化辅助表!R114</f>
        <v>0.02</v>
      </c>
      <c r="T82" s="28">
        <f>升星辅助表!AB111</f>
        <v>0</v>
      </c>
      <c r="U82" s="28">
        <f>升星辅助表!AC111</f>
        <v>0</v>
      </c>
      <c r="V82" s="28">
        <f>升星辅助表!AD111</f>
        <v>116</v>
      </c>
      <c r="W82" s="28"/>
      <c r="X82" s="28"/>
      <c r="Y82" s="28" t="str">
        <f>升星辅助表!C111</f>
        <v>4540</v>
      </c>
      <c r="Z82" s="28">
        <f>升星辅助表!F111</f>
        <v>4</v>
      </c>
      <c r="AA82" s="28">
        <f>升星辅助表!H111</f>
        <v>45</v>
      </c>
      <c r="AB82" s="28">
        <f>升星辅助表!AU111</f>
        <v>210.28</v>
      </c>
      <c r="AC82" s="33">
        <f>升星辅助表!AX111</f>
        <v>578270</v>
      </c>
      <c r="AD82" s="33">
        <f>升星辅助表!AY111</f>
        <v>578270</v>
      </c>
      <c r="AE82" s="12">
        <f>升星辅助表!AI111</f>
        <v>1980</v>
      </c>
      <c r="AF82" s="5">
        <f>升星辅助表!AU111/升星辅助表!AW111</f>
        <v>0.02</v>
      </c>
      <c r="AG82" s="5">
        <f>升星辅助表!AU111/升星辅助表!AV111</f>
        <v>0.02</v>
      </c>
    </row>
    <row r="83" spans="2:33" x14ac:dyDescent="0.15">
      <c r="B83" s="5" t="str">
        <f>D_装备基础数据!A136</f>
        <v>51318</v>
      </c>
      <c r="C83" s="5" t="s">
        <v>455</v>
      </c>
      <c r="D83" s="5">
        <f ca="1">D_装备基础数据!AP136</f>
        <v>509.98543802920847</v>
      </c>
      <c r="F83" s="28">
        <f>强化辅助表!Z115</f>
        <v>0</v>
      </c>
      <c r="G83" s="28">
        <f>强化辅助表!AA115</f>
        <v>3</v>
      </c>
      <c r="H83" s="28">
        <f>强化辅助表!AB115</f>
        <v>607</v>
      </c>
      <c r="I83" s="28"/>
      <c r="J83" s="28"/>
      <c r="K83" s="28" t="str">
        <f>强化辅助表!B115</f>
        <v>4541</v>
      </c>
      <c r="L83" s="28">
        <f>强化辅助表!D115</f>
        <v>4</v>
      </c>
      <c r="M83" s="28">
        <f>强化辅助表!F115</f>
        <v>45</v>
      </c>
      <c r="N83" s="28">
        <f>强化辅助表!Q115</f>
        <v>58.64</v>
      </c>
      <c r="O83" s="33">
        <f>强化辅助表!T115</f>
        <v>3034620</v>
      </c>
      <c r="P83" s="33">
        <f>强化辅助表!U115</f>
        <v>937794.32000000007</v>
      </c>
      <c r="Q83">
        <f>强化辅助表!Q115/强化辅助表!S115</f>
        <v>0.02</v>
      </c>
      <c r="R83">
        <f>强化辅助表!Q115/强化辅助表!R115</f>
        <v>0.02</v>
      </c>
      <c r="T83" s="28">
        <f>升星辅助表!AB112</f>
        <v>0</v>
      </c>
      <c r="U83" s="28">
        <f>升星辅助表!AC112</f>
        <v>0</v>
      </c>
      <c r="V83" s="28">
        <f>升星辅助表!AD112</f>
        <v>82</v>
      </c>
      <c r="W83" s="28"/>
      <c r="X83" s="28"/>
      <c r="Y83" s="28" t="str">
        <f>升星辅助表!C112</f>
        <v>4541</v>
      </c>
      <c r="Z83" s="28">
        <f>升星辅助表!F112</f>
        <v>4</v>
      </c>
      <c r="AA83" s="28">
        <f>升星辅助表!H112</f>
        <v>45</v>
      </c>
      <c r="AB83" s="28">
        <f>升星辅助表!AU112</f>
        <v>148.34</v>
      </c>
      <c r="AC83" s="33">
        <f>升星辅助表!AX112</f>
        <v>407935</v>
      </c>
      <c r="AD83" s="33">
        <f>升星辅助表!AY112</f>
        <v>407935</v>
      </c>
      <c r="AE83" s="12">
        <f>升星辅助表!AI112</f>
        <v>1375</v>
      </c>
      <c r="AF83" s="5">
        <f>升星辅助表!AU112/升星辅助表!AW112</f>
        <v>0.02</v>
      </c>
      <c r="AG83" s="5">
        <f>升星辅助表!AU112/升星辅助表!AV112</f>
        <v>0.02</v>
      </c>
    </row>
    <row r="84" spans="2:33" x14ac:dyDescent="0.15">
      <c r="B84" s="5" t="str">
        <f>D_装备基础数据!A137</f>
        <v>52318</v>
      </c>
      <c r="C84" s="5" t="s">
        <v>456</v>
      </c>
      <c r="D84" s="5">
        <f ca="1">D_装备基础数据!AP137</f>
        <v>199.55715197962905</v>
      </c>
      <c r="F84" s="28">
        <f>强化辅助表!Z116</f>
        <v>0</v>
      </c>
      <c r="G84" s="28">
        <f>强化辅助表!AA116</f>
        <v>11</v>
      </c>
      <c r="H84" s="28">
        <f>强化辅助表!AB116</f>
        <v>217</v>
      </c>
      <c r="I84" s="28"/>
      <c r="J84" s="28"/>
      <c r="K84" s="28" t="str">
        <f>强化辅助表!B116</f>
        <v>4542</v>
      </c>
      <c r="L84" s="28">
        <f>强化辅助表!D116</f>
        <v>4</v>
      </c>
      <c r="M84" s="28">
        <f>强化辅助表!F116</f>
        <v>45</v>
      </c>
      <c r="N84" s="28">
        <f>强化辅助表!Q116</f>
        <v>21.14</v>
      </c>
      <c r="O84" s="33">
        <f>强化辅助表!T116</f>
        <v>1093995</v>
      </c>
      <c r="P84" s="33">
        <f>强化辅助表!U116</f>
        <v>337690.12</v>
      </c>
      <c r="Q84">
        <f>强化辅助表!Q116/强化辅助表!S116</f>
        <v>0.02</v>
      </c>
      <c r="R84">
        <f>强化辅助表!Q116/强化辅助表!R116</f>
        <v>0.02</v>
      </c>
      <c r="T84" s="28">
        <f>升星辅助表!AB113</f>
        <v>0</v>
      </c>
      <c r="U84" s="28">
        <f>升星辅助表!AC113</f>
        <v>4</v>
      </c>
      <c r="V84" s="28">
        <f>升星辅助表!AD113</f>
        <v>41</v>
      </c>
      <c r="W84" s="28"/>
      <c r="X84" s="28"/>
      <c r="Y84" s="28" t="str">
        <f>升星辅助表!C113</f>
        <v>4542</v>
      </c>
      <c r="Z84" s="28">
        <f>升星辅助表!F113</f>
        <v>4</v>
      </c>
      <c r="AA84" s="28">
        <f>升星辅助表!H113</f>
        <v>45</v>
      </c>
      <c r="AB84" s="28">
        <f>升星辅助表!AU113</f>
        <v>75.5</v>
      </c>
      <c r="AC84" s="33">
        <f>升星辅助表!AX113</f>
        <v>207625</v>
      </c>
      <c r="AD84" s="33">
        <f>升星辅助表!AY113</f>
        <v>207625</v>
      </c>
      <c r="AE84" s="12">
        <f>升星辅助表!AI113</f>
        <v>715</v>
      </c>
      <c r="AF84" s="5">
        <f>升星辅助表!AU113/升星辅助表!AW113</f>
        <v>0.02</v>
      </c>
      <c r="AG84" s="5">
        <f>升星辅助表!AU113/升星辅助表!AV113</f>
        <v>0.02</v>
      </c>
    </row>
    <row r="85" spans="2:33" x14ac:dyDescent="0.15">
      <c r="B85" s="5" t="str">
        <f>D_装备基础数据!A138</f>
        <v>55318</v>
      </c>
      <c r="C85" s="5" t="s">
        <v>457</v>
      </c>
      <c r="D85" s="5">
        <f ca="1">D_装备基础数据!AP138</f>
        <v>251.42077777879794</v>
      </c>
      <c r="F85" s="28">
        <f>强化辅助表!Z117</f>
        <v>0</v>
      </c>
      <c r="G85" s="28">
        <f>强化辅助表!AA117</f>
        <v>9</v>
      </c>
      <c r="H85" s="28">
        <f>强化辅助表!AB117</f>
        <v>277</v>
      </c>
      <c r="I85" s="28"/>
      <c r="J85" s="28"/>
      <c r="K85" s="28" t="str">
        <f>强化辅助表!B117</f>
        <v>4545</v>
      </c>
      <c r="L85" s="28">
        <f>强化辅助表!D117</f>
        <v>4</v>
      </c>
      <c r="M85" s="28">
        <f>强化辅助表!F117</f>
        <v>45</v>
      </c>
      <c r="N85" s="28">
        <f>强化辅助表!Q117</f>
        <v>26.840000000000003</v>
      </c>
      <c r="O85" s="33">
        <f>强化辅助表!T117</f>
        <v>1388970</v>
      </c>
      <c r="P85" s="33">
        <f>强化辅助表!U117</f>
        <v>430151.86000000004</v>
      </c>
      <c r="Q85">
        <f>强化辅助表!Q117/强化辅助表!S117</f>
        <v>2.0000000000000004E-2</v>
      </c>
      <c r="R85">
        <f>强化辅助表!Q117/强化辅助表!R117</f>
        <v>2.0000000000000004E-2</v>
      </c>
      <c r="T85" s="28">
        <f>升星辅助表!AB114</f>
        <v>0</v>
      </c>
      <c r="U85" s="28">
        <f>升星辅助表!AC114</f>
        <v>5</v>
      </c>
      <c r="V85" s="28">
        <f>升星辅助表!AD114</f>
        <v>50</v>
      </c>
      <c r="W85" s="28"/>
      <c r="X85" s="28"/>
      <c r="Y85" s="28" t="str">
        <f>升星辅助表!C114</f>
        <v>4545</v>
      </c>
      <c r="Z85" s="28">
        <f>升星辅助表!F114</f>
        <v>4</v>
      </c>
      <c r="AA85" s="28">
        <f>升星辅助表!H114</f>
        <v>45</v>
      </c>
      <c r="AB85" s="28">
        <f>升星辅助表!AU114</f>
        <v>91.02000000000001</v>
      </c>
      <c r="AC85" s="33">
        <f>升星辅助表!AX114</f>
        <v>250305</v>
      </c>
      <c r="AD85" s="33">
        <f>升星辅助表!AY114</f>
        <v>250305</v>
      </c>
      <c r="AE85" s="12">
        <f>升星辅助表!AI114</f>
        <v>880</v>
      </c>
      <c r="AF85" s="5">
        <f>升星辅助表!AU114/升星辅助表!AW114</f>
        <v>2.0000000000000004E-2</v>
      </c>
      <c r="AG85" s="5">
        <f>升星辅助表!AU114/升星辅助表!AV114</f>
        <v>2.0000000000000004E-2</v>
      </c>
    </row>
    <row r="86" spans="2:33" x14ac:dyDescent="0.15">
      <c r="B86" s="5" t="str">
        <f>D_装备基础数据!A139</f>
        <v>54318</v>
      </c>
      <c r="C86" s="5" t="s">
        <v>458</v>
      </c>
      <c r="D86" s="5">
        <f ca="1">D_装备基础数据!AP139</f>
        <v>244.8467496838511</v>
      </c>
      <c r="F86" s="28">
        <f>强化辅助表!Z118</f>
        <v>5</v>
      </c>
      <c r="G86" s="28">
        <f>强化辅助表!AA118</f>
        <v>14</v>
      </c>
      <c r="H86" s="28">
        <f>强化辅助表!AB118</f>
        <v>197</v>
      </c>
      <c r="I86" s="28"/>
      <c r="J86" s="28"/>
      <c r="K86" s="28" t="str">
        <f>强化辅助表!B118</f>
        <v>4544</v>
      </c>
      <c r="L86" s="28">
        <f>强化辅助表!D118</f>
        <v>4</v>
      </c>
      <c r="M86" s="28">
        <f>强化辅助表!F118</f>
        <v>45</v>
      </c>
      <c r="N86" s="28">
        <f>强化辅助表!Q118</f>
        <v>19.22</v>
      </c>
      <c r="O86" s="33">
        <f>强化辅助表!T118</f>
        <v>994635</v>
      </c>
      <c r="P86" s="33">
        <f>强化辅助表!U118</f>
        <v>308502.25999999995</v>
      </c>
      <c r="Q86">
        <f>强化辅助表!Q118/强化辅助表!S118</f>
        <v>0.02</v>
      </c>
      <c r="R86">
        <f>强化辅助表!Q118/强化辅助表!R118</f>
        <v>0.02</v>
      </c>
      <c r="T86" s="28">
        <f>升星辅助表!AB115</f>
        <v>0</v>
      </c>
      <c r="U86" s="28">
        <f>升星辅助表!AC115</f>
        <v>0</v>
      </c>
      <c r="V86" s="28">
        <f>升星辅助表!AD115</f>
        <v>82</v>
      </c>
      <c r="W86" s="28"/>
      <c r="X86" s="28"/>
      <c r="Y86" s="28" t="str">
        <f>升星辅助表!C115</f>
        <v>4544</v>
      </c>
      <c r="Z86" s="28">
        <f>升星辅助表!F115</f>
        <v>4</v>
      </c>
      <c r="AA86" s="28">
        <f>升星辅助表!H115</f>
        <v>45</v>
      </c>
      <c r="AB86" s="28">
        <f>升星辅助表!AU115</f>
        <v>149.06</v>
      </c>
      <c r="AC86" s="33">
        <f>升星辅助表!AX115</f>
        <v>409915</v>
      </c>
      <c r="AD86" s="33">
        <f>升星辅助表!AY115</f>
        <v>409915</v>
      </c>
      <c r="AE86" s="12">
        <f>升星辅助表!AI115</f>
        <v>1375</v>
      </c>
      <c r="AF86" s="5">
        <f>升星辅助表!AU115/升星辅助表!AW115</f>
        <v>0.02</v>
      </c>
      <c r="AG86" s="5">
        <f>升星辅助表!AU115/升星辅助表!AV115</f>
        <v>0.02</v>
      </c>
    </row>
    <row r="87" spans="2:33" x14ac:dyDescent="0.15">
      <c r="B87" s="5" t="str">
        <f>D_装备基础数据!A140</f>
        <v>53318</v>
      </c>
      <c r="C87" s="5" t="s">
        <v>459</v>
      </c>
      <c r="D87" s="5">
        <f ca="1">D_装备基础数据!AP140</f>
        <v>356.20339781818188</v>
      </c>
      <c r="F87" s="28">
        <f>强化辅助表!Z119</f>
        <v>0</v>
      </c>
      <c r="G87" s="28">
        <f>强化辅助表!AA119</f>
        <v>7</v>
      </c>
      <c r="H87" s="28">
        <f>强化辅助表!AB119</f>
        <v>428</v>
      </c>
      <c r="I87" s="28">
        <f>M87</f>
        <v>45</v>
      </c>
      <c r="J87" s="28">
        <f>SUM(P82:P87)</f>
        <v>3747074.92</v>
      </c>
      <c r="K87" s="28" t="str">
        <f>强化辅助表!B119</f>
        <v>4543</v>
      </c>
      <c r="L87" s="28">
        <f>强化辅助表!D119</f>
        <v>4</v>
      </c>
      <c r="M87" s="28">
        <f>强化辅助表!F119</f>
        <v>45</v>
      </c>
      <c r="N87" s="28">
        <f>强化辅助表!Q119</f>
        <v>41.42</v>
      </c>
      <c r="O87" s="33">
        <f>强化辅助表!T119</f>
        <v>2143485</v>
      </c>
      <c r="P87" s="33">
        <f>强化辅助表!U119</f>
        <v>663691.74</v>
      </c>
      <c r="Q87">
        <f>强化辅助表!Q119/强化辅助表!S119</f>
        <v>0.02</v>
      </c>
      <c r="R87">
        <f>强化辅助表!Q119/强化辅助表!R119</f>
        <v>0.02</v>
      </c>
      <c r="T87" s="28">
        <f>升星辅助表!AB116</f>
        <v>0</v>
      </c>
      <c r="U87" s="28">
        <f>升星辅助表!AC116</f>
        <v>5</v>
      </c>
      <c r="V87" s="28">
        <f>升星辅助表!AD116</f>
        <v>54</v>
      </c>
      <c r="W87" s="28">
        <f>AA87</f>
        <v>45</v>
      </c>
      <c r="X87" s="28">
        <f>SUM(AD82:AD87)</f>
        <v>2127840</v>
      </c>
      <c r="Y87" s="28" t="str">
        <f>升星辅助表!C116</f>
        <v>4543</v>
      </c>
      <c r="Z87" s="28">
        <f>升星辅助表!F116</f>
        <v>4</v>
      </c>
      <c r="AA87" s="28">
        <f>升星辅助表!H116</f>
        <v>45</v>
      </c>
      <c r="AB87" s="28">
        <f>升星辅助表!AU116</f>
        <v>99.56</v>
      </c>
      <c r="AC87" s="33">
        <f>升星辅助表!AX116</f>
        <v>273790</v>
      </c>
      <c r="AD87" s="33">
        <f>升星辅助表!AY116</f>
        <v>273790</v>
      </c>
      <c r="AE87" s="12">
        <f>升星辅助表!AI116</f>
        <v>935</v>
      </c>
      <c r="AF87" s="5">
        <f>升星辅助表!AU116/升星辅助表!AW116</f>
        <v>0.02</v>
      </c>
      <c r="AG87" s="5">
        <f>升星辅助表!AU116/升星辅助表!AV116</f>
        <v>0.02</v>
      </c>
    </row>
    <row r="88" spans="2:33" x14ac:dyDescent="0.15">
      <c r="B88" s="5" t="str">
        <f>D_装备基础数据!A141</f>
        <v>10419</v>
      </c>
      <c r="C88" s="5" t="str">
        <f>D_装备基础数据!B141</f>
        <v>白虎霸刀</v>
      </c>
      <c r="D88" s="5">
        <f ca="1">D_装备基础数据!AP141</f>
        <v>717.85176672653756</v>
      </c>
      <c r="F88" s="28">
        <f>强化辅助表!Z120</f>
        <v>0</v>
      </c>
      <c r="G88" s="28">
        <f>强化辅助表!AA120</f>
        <v>7</v>
      </c>
      <c r="H88" s="28">
        <f>强化辅助表!AB120</f>
        <v>814</v>
      </c>
      <c r="I88" s="28"/>
      <c r="J88" s="28"/>
      <c r="K88" s="28" t="str">
        <f>强化辅助表!B120</f>
        <v>6010</v>
      </c>
      <c r="L88" s="28">
        <f>强化辅助表!D120</f>
        <v>1</v>
      </c>
      <c r="M88" s="28">
        <f>强化辅助表!F120</f>
        <v>60</v>
      </c>
      <c r="N88" s="28">
        <f>强化辅助表!Q120</f>
        <v>44.5</v>
      </c>
      <c r="O88" s="33">
        <f>强化辅助表!T120</f>
        <v>4071750</v>
      </c>
      <c r="P88" s="33">
        <f>强化辅助表!U120</f>
        <v>1704068.06</v>
      </c>
      <c r="Q88">
        <f>强化辅助表!Q120/强化辅助表!S120</f>
        <v>0.02</v>
      </c>
      <c r="R88">
        <f>强化辅助表!Q120/强化辅助表!R120</f>
        <v>0.02</v>
      </c>
      <c r="T88" s="28">
        <f>升星辅助表!AB117</f>
        <v>0</v>
      </c>
      <c r="U88" s="28">
        <f>升星辅助表!AC117</f>
        <v>0</v>
      </c>
      <c r="V88" s="28">
        <f>升星辅助表!AD117</f>
        <v>60</v>
      </c>
      <c r="W88" s="28"/>
      <c r="X88" s="28"/>
      <c r="Y88" s="28" t="str">
        <f>升星辅助表!C117</f>
        <v>6010</v>
      </c>
      <c r="Z88" s="28">
        <f>升星辅助表!F117</f>
        <v>1</v>
      </c>
      <c r="AA88" s="28">
        <f>升星辅助表!H117</f>
        <v>60</v>
      </c>
      <c r="AB88" s="28">
        <f>升星辅助表!AU117</f>
        <v>108</v>
      </c>
      <c r="AC88" s="33">
        <f>升星辅助表!AX117</f>
        <v>297000</v>
      </c>
      <c r="AD88" s="33">
        <f>升星辅助表!AY117</f>
        <v>297000</v>
      </c>
      <c r="AE88" s="12">
        <f>升星辅助表!AI117</f>
        <v>990</v>
      </c>
      <c r="AF88" s="5">
        <f>升星辅助表!AU117/升星辅助表!AW117</f>
        <v>0.02</v>
      </c>
      <c r="AG88" s="5">
        <f>升星辅助表!AU117/升星辅助表!AV117</f>
        <v>0.02</v>
      </c>
    </row>
    <row r="89" spans="2:33" x14ac:dyDescent="0.15">
      <c r="B89" s="5" t="str">
        <f>D_装备基础数据!A142</f>
        <v>20419</v>
      </c>
      <c r="C89" s="5" t="str">
        <f>D_装备基础数据!B142</f>
        <v>白虎之拳</v>
      </c>
      <c r="D89" s="5">
        <f ca="1">D_装备基础数据!AP142</f>
        <v>717.85176672653756</v>
      </c>
      <c r="F89" s="28">
        <f>强化辅助表!Z121</f>
        <v>0</v>
      </c>
      <c r="G89" s="28">
        <f>强化辅助表!AA121</f>
        <v>6</v>
      </c>
      <c r="H89" s="28">
        <f>强化辅助表!AB121</f>
        <v>720</v>
      </c>
      <c r="I89" s="28"/>
      <c r="J89" s="28"/>
      <c r="K89" s="28" t="str">
        <f>强化辅助表!B121</f>
        <v>6011</v>
      </c>
      <c r="L89" s="28">
        <f>强化辅助表!D121</f>
        <v>1</v>
      </c>
      <c r="M89" s="28">
        <f>强化辅助表!F121</f>
        <v>60</v>
      </c>
      <c r="N89" s="28">
        <f>强化辅助表!Q121</f>
        <v>39.400000000000006</v>
      </c>
      <c r="O89" s="33">
        <f>强化辅助表!T121</f>
        <v>3605100</v>
      </c>
      <c r="P89" s="33">
        <f>强化辅助表!U121</f>
        <v>1502663.12</v>
      </c>
      <c r="Q89">
        <f>强化辅助表!Q121/强化辅助表!S121</f>
        <v>2.0000000000000004E-2</v>
      </c>
      <c r="R89">
        <f>强化辅助表!Q121/强化辅助表!R121</f>
        <v>2.0000000000000004E-2</v>
      </c>
      <c r="T89" s="28">
        <f>升星辅助表!AB118</f>
        <v>0</v>
      </c>
      <c r="U89" s="28">
        <f>升星辅助表!AC118</f>
        <v>8</v>
      </c>
      <c r="V89" s="28">
        <f>升星辅助表!AD118</f>
        <v>25</v>
      </c>
      <c r="W89" s="28"/>
      <c r="X89" s="28"/>
      <c r="Y89" s="28" t="str">
        <f>升星辅助表!C118</f>
        <v>6011</v>
      </c>
      <c r="Z89" s="28">
        <f>升星辅助表!F118</f>
        <v>1</v>
      </c>
      <c r="AA89" s="28">
        <f>升星辅助表!H118</f>
        <v>60</v>
      </c>
      <c r="AB89" s="28">
        <f>升星辅助表!AU118</f>
        <v>47.04</v>
      </c>
      <c r="AC89" s="33">
        <f>升星辅助表!AX118</f>
        <v>129360</v>
      </c>
      <c r="AD89" s="33">
        <f>升星辅助表!AY118</f>
        <v>129360</v>
      </c>
      <c r="AE89" s="12">
        <f>升星辅助表!AI118</f>
        <v>440</v>
      </c>
      <c r="AF89" s="5">
        <f>升星辅助表!AU118/升星辅助表!AW118</f>
        <v>0.02</v>
      </c>
      <c r="AG89" s="5">
        <f>升星辅助表!AU118/升星辅助表!AV118</f>
        <v>0.02</v>
      </c>
    </row>
    <row r="90" spans="2:33" x14ac:dyDescent="0.15">
      <c r="B90" s="5" t="str">
        <f>D_装备基础数据!A143</f>
        <v>30419</v>
      </c>
      <c r="C90" s="5" t="s">
        <v>460</v>
      </c>
      <c r="D90" s="5">
        <f ca="1">D_装备基础数据!AP143</f>
        <v>717.85176672653756</v>
      </c>
      <c r="F90" s="28">
        <f>强化辅助表!Z122</f>
        <v>4</v>
      </c>
      <c r="G90" s="28">
        <f>强化辅助表!AA122</f>
        <v>19</v>
      </c>
      <c r="H90" s="28">
        <f>强化辅助表!AB122</f>
        <v>248</v>
      </c>
      <c r="I90" s="28"/>
      <c r="J90" s="28"/>
      <c r="K90" s="28" t="str">
        <f>强化辅助表!B122</f>
        <v>6012</v>
      </c>
      <c r="L90" s="28">
        <f>强化辅助表!D122</f>
        <v>1</v>
      </c>
      <c r="M90" s="28">
        <f>强化辅助表!F122</f>
        <v>60</v>
      </c>
      <c r="N90" s="28">
        <f>强化辅助表!Q122</f>
        <v>13.760000000000002</v>
      </c>
      <c r="O90" s="33">
        <f>强化辅助表!T122</f>
        <v>1259040</v>
      </c>
      <c r="P90" s="33">
        <f>强化辅助表!U122</f>
        <v>525459.8600000001</v>
      </c>
      <c r="Q90">
        <f>强化辅助表!Q122/强化辅助表!S122</f>
        <v>2.0000000000000004E-2</v>
      </c>
      <c r="R90">
        <f>强化辅助表!Q122/强化辅助表!R122</f>
        <v>2.0000000000000004E-2</v>
      </c>
      <c r="T90" s="28">
        <f>升星辅助表!AB119</f>
        <v>0</v>
      </c>
      <c r="U90" s="28">
        <f>升星辅助表!AC119</f>
        <v>12</v>
      </c>
      <c r="V90" s="28">
        <f>升星辅助表!AD119</f>
        <v>11</v>
      </c>
      <c r="W90" s="28"/>
      <c r="X90" s="28"/>
      <c r="Y90" s="28" t="str">
        <f>升星辅助表!C119</f>
        <v>6012</v>
      </c>
      <c r="Z90" s="28">
        <f>升星辅助表!F119</f>
        <v>1</v>
      </c>
      <c r="AA90" s="28">
        <f>升星辅助表!H119</f>
        <v>60</v>
      </c>
      <c r="AB90" s="28">
        <f>升星辅助表!AU119</f>
        <v>23.52</v>
      </c>
      <c r="AC90" s="33">
        <f>升星辅助表!AX119</f>
        <v>64680</v>
      </c>
      <c r="AD90" s="33">
        <f>升星辅助表!AY119</f>
        <v>64680</v>
      </c>
      <c r="AE90" s="12">
        <f>升星辅助表!AI119</f>
        <v>220</v>
      </c>
      <c r="AF90" s="5">
        <f>升星辅助表!AU119/升星辅助表!AW119</f>
        <v>0.02</v>
      </c>
      <c r="AG90" s="5">
        <f>升星辅助表!AU119/升星辅助表!AV119</f>
        <v>0.02</v>
      </c>
    </row>
    <row r="91" spans="2:33" x14ac:dyDescent="0.15">
      <c r="B91" s="5" t="str">
        <f>D_装备基础数据!A144</f>
        <v>51419</v>
      </c>
      <c r="C91" s="5" t="s">
        <v>461</v>
      </c>
      <c r="D91" s="5">
        <f ca="1">D_装备基础数据!AP144</f>
        <v>586.28915692946362</v>
      </c>
      <c r="F91" s="28">
        <f>强化辅助表!Z123</f>
        <v>5</v>
      </c>
      <c r="G91" s="28">
        <f>强化辅助表!AA123</f>
        <v>13</v>
      </c>
      <c r="H91" s="28">
        <f>强化辅助表!AB123</f>
        <v>327</v>
      </c>
      <c r="I91" s="28"/>
      <c r="J91" s="28"/>
      <c r="K91" s="28" t="str">
        <f>强化辅助表!B123</f>
        <v>6015</v>
      </c>
      <c r="L91" s="28">
        <f>强化辅助表!D123</f>
        <v>1</v>
      </c>
      <c r="M91" s="28">
        <f>强化辅助表!F123</f>
        <v>60</v>
      </c>
      <c r="N91" s="28">
        <f>强化辅助表!Q123</f>
        <v>18</v>
      </c>
      <c r="O91" s="33">
        <f>强化辅助表!T123</f>
        <v>1647000</v>
      </c>
      <c r="P91" s="33">
        <f>强化辅助表!U123</f>
        <v>688652.3</v>
      </c>
      <c r="Q91">
        <f>强化辅助表!Q123/强化辅助表!S123</f>
        <v>0.02</v>
      </c>
      <c r="R91">
        <f>强化辅助表!Q123/强化辅助表!R123</f>
        <v>0.02</v>
      </c>
      <c r="T91" s="28">
        <f>升星辅助表!AB120</f>
        <v>0</v>
      </c>
      <c r="U91" s="28">
        <f>升星辅助表!AC120</f>
        <v>12</v>
      </c>
      <c r="V91" s="28">
        <f>升星辅助表!AD120</f>
        <v>11</v>
      </c>
      <c r="W91" s="28"/>
      <c r="X91" s="28"/>
      <c r="Y91" s="28" t="str">
        <f>升星辅助表!C120</f>
        <v>6015</v>
      </c>
      <c r="Z91" s="28">
        <f>升星辅助表!F120</f>
        <v>1</v>
      </c>
      <c r="AA91" s="28">
        <f>升星辅助表!H120</f>
        <v>60</v>
      </c>
      <c r="AB91" s="28">
        <f>升星辅助表!AU120</f>
        <v>23.52</v>
      </c>
      <c r="AC91" s="33">
        <f>升星辅助表!AX120</f>
        <v>64680</v>
      </c>
      <c r="AD91" s="33">
        <f>升星辅助表!AY120</f>
        <v>64680</v>
      </c>
      <c r="AE91" s="12">
        <f>升星辅助表!AI120</f>
        <v>220</v>
      </c>
      <c r="AF91" s="5">
        <f>升星辅助表!AU120/升星辅助表!AW120</f>
        <v>0.02</v>
      </c>
      <c r="AG91" s="5">
        <f>升星辅助表!AU120/升星辅助表!AV120</f>
        <v>0.02</v>
      </c>
    </row>
    <row r="92" spans="2:33" x14ac:dyDescent="0.15">
      <c r="B92" s="5" t="str">
        <f>D_装备基础数据!A145</f>
        <v>52419</v>
      </c>
      <c r="C92" s="5" t="s">
        <v>462</v>
      </c>
      <c r="D92" s="5">
        <f ca="1">D_装备基础数据!AP145</f>
        <v>236.58495228077425</v>
      </c>
      <c r="F92" s="28">
        <f>强化辅助表!Z124</f>
        <v>4</v>
      </c>
      <c r="G92" s="28">
        <f>强化辅助表!AA124</f>
        <v>18</v>
      </c>
      <c r="H92" s="28">
        <f>强化辅助表!AB124</f>
        <v>234</v>
      </c>
      <c r="I92" s="28"/>
      <c r="J92" s="28"/>
      <c r="K92" s="28" t="str">
        <f>强化辅助表!B124</f>
        <v>6014</v>
      </c>
      <c r="L92" s="28">
        <f>强化辅助表!D124</f>
        <v>1</v>
      </c>
      <c r="M92" s="28">
        <f>强化辅助表!F124</f>
        <v>60</v>
      </c>
      <c r="N92" s="28">
        <f>强化辅助表!Q124</f>
        <v>12.98</v>
      </c>
      <c r="O92" s="33">
        <f>强化辅助表!T124</f>
        <v>1187670</v>
      </c>
      <c r="P92" s="33">
        <f>强化辅助表!U124</f>
        <v>496443.10000000003</v>
      </c>
      <c r="Q92">
        <f>强化辅助表!Q124/强化辅助表!S124</f>
        <v>0.02</v>
      </c>
      <c r="R92">
        <f>强化辅助表!Q124/强化辅助表!R124</f>
        <v>0.02</v>
      </c>
      <c r="T92" s="28">
        <f>升星辅助表!AB121</f>
        <v>0</v>
      </c>
      <c r="U92" s="28">
        <f>升星辅助表!AC121</f>
        <v>8</v>
      </c>
      <c r="V92" s="28">
        <f>升星辅助表!AD121</f>
        <v>25</v>
      </c>
      <c r="W92" s="28"/>
      <c r="X92" s="28"/>
      <c r="Y92" s="28" t="str">
        <f>升星辅助表!C121</f>
        <v>6014</v>
      </c>
      <c r="Z92" s="28">
        <f>升星辅助表!F121</f>
        <v>1</v>
      </c>
      <c r="AA92" s="28">
        <f>升星辅助表!H121</f>
        <v>60</v>
      </c>
      <c r="AB92" s="28">
        <f>升星辅助表!AU121</f>
        <v>47.04</v>
      </c>
      <c r="AC92" s="33">
        <f>升星辅助表!AX121</f>
        <v>129360</v>
      </c>
      <c r="AD92" s="33">
        <f>升星辅助表!AY121</f>
        <v>129360</v>
      </c>
      <c r="AE92" s="12">
        <f>升星辅助表!AI121</f>
        <v>440</v>
      </c>
      <c r="AF92" s="5">
        <f>升星辅助表!AU121/升星辅助表!AW121</f>
        <v>0.02</v>
      </c>
      <c r="AG92" s="5">
        <f>升星辅助表!AU121/升星辅助表!AV121</f>
        <v>0.02</v>
      </c>
    </row>
    <row r="93" spans="2:33" x14ac:dyDescent="0.15">
      <c r="B93" s="5" t="str">
        <f>D_装备基础数据!A146</f>
        <v>55419</v>
      </c>
      <c r="C93" s="5" t="s">
        <v>463</v>
      </c>
      <c r="D93" s="5">
        <f ca="1">D_装备基础数据!AP146</f>
        <v>296.44858180427275</v>
      </c>
      <c r="F93" s="28">
        <f>强化辅助表!Z125</f>
        <v>0</v>
      </c>
      <c r="G93" s="28">
        <f>强化辅助表!AA125</f>
        <v>9</v>
      </c>
      <c r="H93" s="28">
        <f>强化辅助表!AB125</f>
        <v>498</v>
      </c>
      <c r="I93" s="28">
        <f>M93</f>
        <v>60</v>
      </c>
      <c r="J93" s="28">
        <f>SUM(P88:P93)</f>
        <v>5963904.1599999992</v>
      </c>
      <c r="K93" s="28" t="str">
        <f>强化辅助表!B125</f>
        <v>6013</v>
      </c>
      <c r="L93" s="28">
        <f>强化辅助表!D125</f>
        <v>1</v>
      </c>
      <c r="M93" s="28">
        <f>强化辅助表!F125</f>
        <v>60</v>
      </c>
      <c r="N93" s="28">
        <f>强化辅助表!Q125</f>
        <v>27.28</v>
      </c>
      <c r="O93" s="33">
        <f>强化辅助表!T125</f>
        <v>2496120</v>
      </c>
      <c r="P93" s="33">
        <f>强化辅助表!U125</f>
        <v>1046617.72</v>
      </c>
      <c r="Q93">
        <f>强化辅助表!Q125/强化辅助表!S125</f>
        <v>0.02</v>
      </c>
      <c r="R93">
        <f>强化辅助表!Q125/强化辅助表!R125</f>
        <v>0.02</v>
      </c>
      <c r="T93" s="28">
        <f>升星辅助表!AB122</f>
        <v>0</v>
      </c>
      <c r="U93" s="28">
        <f>升星辅助表!AC122</f>
        <v>6</v>
      </c>
      <c r="V93" s="28">
        <f>升星辅助表!AD122</f>
        <v>19</v>
      </c>
      <c r="W93" s="28">
        <f>AA93</f>
        <v>60</v>
      </c>
      <c r="X93" s="28">
        <f>SUM(AD88:AD93)</f>
        <v>784080</v>
      </c>
      <c r="Y93" s="28" t="str">
        <f>升星辅助表!C122</f>
        <v>6013</v>
      </c>
      <c r="Z93" s="28">
        <f>升星辅助表!F122</f>
        <v>1</v>
      </c>
      <c r="AA93" s="28">
        <f>升星辅助表!H122</f>
        <v>60</v>
      </c>
      <c r="AB93" s="28">
        <f>升星辅助表!AU122</f>
        <v>36</v>
      </c>
      <c r="AC93" s="33">
        <f>升星辅助表!AX122</f>
        <v>99000</v>
      </c>
      <c r="AD93" s="33">
        <f>升星辅助表!AY122</f>
        <v>99000</v>
      </c>
      <c r="AE93" s="12">
        <f>升星辅助表!AI122</f>
        <v>330</v>
      </c>
      <c r="AF93" s="5">
        <f>升星辅助表!AU122/升星辅助表!AW122</f>
        <v>0.02</v>
      </c>
      <c r="AG93" s="5">
        <f>升星辅助表!AU122/升星辅助表!AV122</f>
        <v>0.02</v>
      </c>
    </row>
    <row r="94" spans="2:33" x14ac:dyDescent="0.15">
      <c r="B94" s="5" t="str">
        <f>D_装备基础数据!A147</f>
        <v>54419</v>
      </c>
      <c r="C94" s="5" t="s">
        <v>464</v>
      </c>
      <c r="D94" s="5">
        <f ca="1">D_装备基础数据!AP147</f>
        <v>313.63638087102282</v>
      </c>
      <c r="F94" s="28">
        <f>强化辅助表!Z126</f>
        <v>0</v>
      </c>
      <c r="G94" s="28">
        <f>强化辅助表!AA126</f>
        <v>4</v>
      </c>
      <c r="H94" s="28">
        <f>强化辅助表!AB126</f>
        <v>1180</v>
      </c>
      <c r="I94" s="28"/>
      <c r="J94" s="28"/>
      <c r="K94" s="28" t="str">
        <f>强化辅助表!B126</f>
        <v>6020</v>
      </c>
      <c r="L94" s="28">
        <f>强化辅助表!D126</f>
        <v>2</v>
      </c>
      <c r="M94" s="28">
        <f>强化辅助表!F126</f>
        <v>60</v>
      </c>
      <c r="N94" s="28">
        <f>强化辅助表!Q126</f>
        <v>64.48</v>
      </c>
      <c r="O94" s="33">
        <f>强化辅助表!T126</f>
        <v>5899920</v>
      </c>
      <c r="P94" s="33">
        <f>强化辅助表!U126</f>
        <v>2465971.52</v>
      </c>
      <c r="Q94">
        <f>强化辅助表!Q126/强化辅助表!S126</f>
        <v>0.02</v>
      </c>
      <c r="R94">
        <f>强化辅助表!Q126/强化辅助表!R126</f>
        <v>0.02</v>
      </c>
      <c r="T94" s="28">
        <f>升星辅助表!AB123</f>
        <v>0</v>
      </c>
      <c r="U94" s="28">
        <f>升星辅助表!AC123</f>
        <v>0</v>
      </c>
      <c r="V94" s="28">
        <f>升星辅助表!AD123</f>
        <v>96</v>
      </c>
      <c r="W94" s="28"/>
      <c r="X94" s="28"/>
      <c r="Y94" s="28" t="str">
        <f>升星辅助表!C123</f>
        <v>6020</v>
      </c>
      <c r="Z94" s="28">
        <f>升星辅助表!F123</f>
        <v>2</v>
      </c>
      <c r="AA94" s="28">
        <f>升星辅助表!H123</f>
        <v>60</v>
      </c>
      <c r="AB94" s="28">
        <f>升星辅助表!AU123</f>
        <v>174</v>
      </c>
      <c r="AC94" s="33">
        <f>升星辅助表!AX123</f>
        <v>478500</v>
      </c>
      <c r="AD94" s="33">
        <f>升星辅助表!AY123</f>
        <v>478500</v>
      </c>
      <c r="AE94" s="12">
        <f>升星辅助表!AI123</f>
        <v>1595</v>
      </c>
      <c r="AF94" s="5">
        <f>升星辅助表!AU123/升星辅助表!AW123</f>
        <v>0.02</v>
      </c>
      <c r="AG94" s="5">
        <f>升星辅助表!AU123/升星辅助表!AV123</f>
        <v>0.02</v>
      </c>
    </row>
    <row r="95" spans="2:33" x14ac:dyDescent="0.15">
      <c r="B95" s="5" t="str">
        <f>D_装备基础数据!A148</f>
        <v>53419</v>
      </c>
      <c r="C95" s="5" t="s">
        <v>465</v>
      </c>
      <c r="D95" s="5">
        <f ca="1">D_装备基础数据!AP148</f>
        <v>407.83084363636368</v>
      </c>
      <c r="F95" s="28">
        <f>强化辅助表!Z127</f>
        <v>0</v>
      </c>
      <c r="G95" s="28">
        <f>强化辅助表!AA127</f>
        <v>3</v>
      </c>
      <c r="H95" s="28">
        <f>强化辅助表!AB127</f>
        <v>1037</v>
      </c>
      <c r="I95" s="28"/>
      <c r="J95" s="28"/>
      <c r="K95" s="28" t="str">
        <f>强化辅助表!B127</f>
        <v>6021</v>
      </c>
      <c r="L95" s="28">
        <f>强化辅助表!D127</f>
        <v>2</v>
      </c>
      <c r="M95" s="28">
        <f>强化辅助表!F127</f>
        <v>60</v>
      </c>
      <c r="N95" s="28">
        <f>强化辅助表!Q127</f>
        <v>56.68</v>
      </c>
      <c r="O95" s="33">
        <f>强化辅助表!T127</f>
        <v>5186220</v>
      </c>
      <c r="P95" s="33">
        <f>强化辅助表!U127</f>
        <v>2161153.4400000004</v>
      </c>
      <c r="Q95">
        <f>强化辅助表!Q127/强化辅助表!S127</f>
        <v>0.02</v>
      </c>
      <c r="R95">
        <f>强化辅助表!Q127/强化辅助表!R127</f>
        <v>0.02</v>
      </c>
      <c r="T95" s="28">
        <f>升星辅助表!AB124</f>
        <v>0</v>
      </c>
      <c r="U95" s="28">
        <f>升星辅助表!AC124</f>
        <v>0</v>
      </c>
      <c r="V95" s="28">
        <f>升星辅助表!AD124</f>
        <v>69</v>
      </c>
      <c r="W95" s="28"/>
      <c r="X95" s="28"/>
      <c r="Y95" s="28" t="str">
        <f>升星辅助表!C124</f>
        <v>6021</v>
      </c>
      <c r="Z95" s="28">
        <f>升星辅助表!F124</f>
        <v>2</v>
      </c>
      <c r="AA95" s="28">
        <f>升星辅助表!H124</f>
        <v>60</v>
      </c>
      <c r="AB95" s="28">
        <f>升星辅助表!AU124</f>
        <v>123.96000000000001</v>
      </c>
      <c r="AC95" s="33">
        <f>升星辅助表!AX124</f>
        <v>340890</v>
      </c>
      <c r="AD95" s="33">
        <f>升星辅助表!AY124</f>
        <v>340890</v>
      </c>
      <c r="AE95" s="12">
        <f>升星辅助表!AI124</f>
        <v>1155</v>
      </c>
      <c r="AF95" s="5">
        <f>升星辅助表!AU124/升星辅助表!AW124</f>
        <v>0.02</v>
      </c>
      <c r="AG95" s="5">
        <f>升星辅助表!AU124/升星辅助表!AV124</f>
        <v>0.02</v>
      </c>
    </row>
    <row r="96" spans="2:33" x14ac:dyDescent="0.15">
      <c r="B96" s="5" t="str">
        <f>D_装备基础数据!A157</f>
        <v>10221</v>
      </c>
      <c r="C96" s="5" t="str">
        <f>D_装备基础数据!B157</f>
        <v>幻痛霸刀</v>
      </c>
      <c r="D96" s="5">
        <f ca="1">D_装备基础数据!AP157</f>
        <v>627.55825551614032</v>
      </c>
      <c r="F96" s="28">
        <f>强化辅助表!Z128</f>
        <v>5</v>
      </c>
      <c r="G96" s="28">
        <f>强化辅助表!AA128</f>
        <v>14</v>
      </c>
      <c r="H96" s="28">
        <f>强化辅助表!AB128</f>
        <v>360</v>
      </c>
      <c r="I96" s="28"/>
      <c r="J96" s="28"/>
      <c r="K96" s="28" t="str">
        <f>强化辅助表!B128</f>
        <v>6022</v>
      </c>
      <c r="L96" s="28">
        <f>强化辅助表!D128</f>
        <v>2</v>
      </c>
      <c r="M96" s="28">
        <f>强化辅助表!F128</f>
        <v>60</v>
      </c>
      <c r="N96" s="28">
        <f>强化辅助表!Q128</f>
        <v>19.8</v>
      </c>
      <c r="O96" s="33">
        <f>强化辅助表!T128</f>
        <v>1811700</v>
      </c>
      <c r="P96" s="33">
        <f>强化辅助表!U128</f>
        <v>762606.94000000006</v>
      </c>
      <c r="Q96">
        <f>强化辅助表!Q128/强化辅助表!S128</f>
        <v>0.02</v>
      </c>
      <c r="R96">
        <f>强化辅助表!Q128/强化辅助表!R128</f>
        <v>0.02</v>
      </c>
      <c r="T96" s="28">
        <f>升星辅助表!AB125</f>
        <v>0</v>
      </c>
      <c r="U96" s="28">
        <f>升星辅助表!AC125</f>
        <v>3</v>
      </c>
      <c r="V96" s="28">
        <f>升星辅助表!AD125</f>
        <v>29</v>
      </c>
      <c r="W96" s="28"/>
      <c r="X96" s="28"/>
      <c r="Y96" s="28" t="str">
        <f>升星辅助表!C125</f>
        <v>6022</v>
      </c>
      <c r="Z96" s="28">
        <f>升星辅助表!F125</f>
        <v>2</v>
      </c>
      <c r="AA96" s="28">
        <f>升星辅助表!H125</f>
        <v>60</v>
      </c>
      <c r="AB96" s="28">
        <f>升星辅助表!AU125</f>
        <v>52.96</v>
      </c>
      <c r="AC96" s="33">
        <f>升星辅助表!AX125</f>
        <v>145640</v>
      </c>
      <c r="AD96" s="33">
        <f>升星辅助表!AY125</f>
        <v>145640</v>
      </c>
      <c r="AE96" s="12">
        <f>升星辅助表!AI125</f>
        <v>495</v>
      </c>
      <c r="AF96" s="5">
        <f>升星辅助表!AU125/升星辅助表!AW125</f>
        <v>0.02</v>
      </c>
      <c r="AG96" s="5">
        <f>升星辅助表!AU125/升星辅助表!AV125</f>
        <v>0.02</v>
      </c>
    </row>
    <row r="97" spans="2:33" x14ac:dyDescent="0.15">
      <c r="B97" s="5" t="str">
        <f>D_装备基础数据!A158</f>
        <v>20221</v>
      </c>
      <c r="C97" s="5" t="str">
        <f>D_装备基础数据!B158</f>
        <v>幻痛之拳</v>
      </c>
      <c r="D97" s="5">
        <f ca="1">D_装备基础数据!AP158</f>
        <v>627.55825551614032</v>
      </c>
      <c r="F97" s="28">
        <f>强化辅助表!Z129</f>
        <v>0</v>
      </c>
      <c r="G97" s="28">
        <f>强化辅助表!AA129</f>
        <v>8</v>
      </c>
      <c r="H97" s="28">
        <f>强化辅助表!AB129</f>
        <v>478</v>
      </c>
      <c r="I97" s="28"/>
      <c r="J97" s="28"/>
      <c r="K97" s="28" t="str">
        <f>强化辅助表!B129</f>
        <v>6025</v>
      </c>
      <c r="L97" s="28">
        <f>强化辅助表!D129</f>
        <v>2</v>
      </c>
      <c r="M97" s="28">
        <f>强化辅助表!F129</f>
        <v>60</v>
      </c>
      <c r="N97" s="28">
        <f>强化辅助表!Q129</f>
        <v>26.18</v>
      </c>
      <c r="O97" s="33">
        <f>强化辅助表!T129</f>
        <v>2395470</v>
      </c>
      <c r="P97" s="33">
        <f>强化辅助表!U129</f>
        <v>998820.53999999992</v>
      </c>
      <c r="Q97">
        <f>强化辅助表!Q129/强化辅助表!S129</f>
        <v>0.02</v>
      </c>
      <c r="R97">
        <f>强化辅助表!Q129/强化辅助表!R129</f>
        <v>0.02</v>
      </c>
      <c r="T97" s="28">
        <f>升星辅助表!AB126</f>
        <v>0</v>
      </c>
      <c r="U97" s="28">
        <f>升星辅助表!AC126</f>
        <v>4</v>
      </c>
      <c r="V97" s="28">
        <f>升星辅助表!AD126</f>
        <v>34</v>
      </c>
      <c r="W97" s="28"/>
      <c r="X97" s="28"/>
      <c r="Y97" s="28" t="str">
        <f>升星辅助表!C126</f>
        <v>6025</v>
      </c>
      <c r="Z97" s="28">
        <f>升星辅助表!F126</f>
        <v>2</v>
      </c>
      <c r="AA97" s="28">
        <f>升星辅助表!H126</f>
        <v>60</v>
      </c>
      <c r="AB97" s="28">
        <f>升星辅助表!AU126</f>
        <v>61.5</v>
      </c>
      <c r="AC97" s="33">
        <f>升星辅助表!AX126</f>
        <v>169125</v>
      </c>
      <c r="AD97" s="33">
        <f>升星辅助表!AY126</f>
        <v>169125</v>
      </c>
      <c r="AE97" s="12">
        <f>升星辅助表!AI126</f>
        <v>605</v>
      </c>
      <c r="AF97" s="5">
        <f>升星辅助表!AU126/升星辅助表!AW126</f>
        <v>0.02</v>
      </c>
      <c r="AG97" s="5">
        <f>升星辅助表!AU126/升星辅助表!AV126</f>
        <v>0.02</v>
      </c>
    </row>
    <row r="98" spans="2:33" x14ac:dyDescent="0.15">
      <c r="B98" s="5" t="str">
        <f>D_装备基础数据!A159</f>
        <v>30221</v>
      </c>
      <c r="C98" s="5" t="s">
        <v>466</v>
      </c>
      <c r="D98" s="5">
        <f ca="1">D_装备基础数据!AP159</f>
        <v>627.55825551614032</v>
      </c>
      <c r="F98" s="28">
        <f>强化辅助表!Z130</f>
        <v>5</v>
      </c>
      <c r="G98" s="28">
        <f>强化辅助表!AA130</f>
        <v>14</v>
      </c>
      <c r="H98" s="28">
        <f>强化辅助表!AB130</f>
        <v>340</v>
      </c>
      <c r="I98" s="28"/>
      <c r="J98" s="28"/>
      <c r="K98" s="28" t="str">
        <f>强化辅助表!B130</f>
        <v>6024</v>
      </c>
      <c r="L98" s="28">
        <f>强化辅助表!D130</f>
        <v>2</v>
      </c>
      <c r="M98" s="28">
        <f>强化辅助表!F130</f>
        <v>60</v>
      </c>
      <c r="N98" s="28">
        <f>强化辅助表!Q130</f>
        <v>18.72</v>
      </c>
      <c r="O98" s="33">
        <f>强化辅助表!T130</f>
        <v>1712880</v>
      </c>
      <c r="P98" s="33">
        <f>强化辅助表!U130</f>
        <v>714914.27999999991</v>
      </c>
      <c r="Q98">
        <f>强化辅助表!Q130/强化辅助表!S130</f>
        <v>0.02</v>
      </c>
      <c r="R98">
        <f>强化辅助表!Q130/强化辅助表!R130</f>
        <v>0.02</v>
      </c>
      <c r="T98" s="28">
        <f>升星辅助表!AB127</f>
        <v>0</v>
      </c>
      <c r="U98" s="28">
        <f>升星辅助表!AC127</f>
        <v>0</v>
      </c>
      <c r="V98" s="28">
        <f>升星辅助表!AD127</f>
        <v>66</v>
      </c>
      <c r="W98" s="28"/>
      <c r="X98" s="28"/>
      <c r="Y98" s="28" t="str">
        <f>升星辅助表!C127</f>
        <v>6024</v>
      </c>
      <c r="Z98" s="28">
        <f>升星辅助表!F127</f>
        <v>2</v>
      </c>
      <c r="AA98" s="28">
        <f>升星辅助表!H127</f>
        <v>60</v>
      </c>
      <c r="AB98" s="28">
        <f>升星辅助表!AU127</f>
        <v>119.96000000000001</v>
      </c>
      <c r="AC98" s="33">
        <f>升星辅助表!AX127</f>
        <v>329890</v>
      </c>
      <c r="AD98" s="33">
        <f>升星辅助表!AY127</f>
        <v>329890</v>
      </c>
      <c r="AE98" s="12">
        <f>升星辅助表!AI127</f>
        <v>1100</v>
      </c>
      <c r="AF98" s="5">
        <f>升星辅助表!AU127/升星辅助表!AW127</f>
        <v>0.02</v>
      </c>
      <c r="AG98" s="5">
        <f>升星辅助表!AU127/升星辅助表!AV127</f>
        <v>0.02</v>
      </c>
    </row>
    <row r="99" spans="2:33" x14ac:dyDescent="0.15">
      <c r="B99" s="5" t="str">
        <f>D_装备基础数据!A160</f>
        <v>51221</v>
      </c>
      <c r="C99" s="5" t="s">
        <v>467</v>
      </c>
      <c r="D99" s="5">
        <f ca="1">D_装备基础数据!AP160</f>
        <v>531.85303566187042</v>
      </c>
      <c r="F99" s="28">
        <f>强化辅助表!Z131</f>
        <v>0</v>
      </c>
      <c r="G99" s="28">
        <f>强化辅助表!AA131</f>
        <v>6</v>
      </c>
      <c r="H99" s="28">
        <f>强化辅助表!AB131</f>
        <v>727</v>
      </c>
      <c r="I99" s="28">
        <f>M99</f>
        <v>60</v>
      </c>
      <c r="J99" s="28">
        <f>SUM(P94:P99)</f>
        <v>8625219.660000002</v>
      </c>
      <c r="K99" s="28" t="str">
        <f>强化辅助表!B131</f>
        <v>6023</v>
      </c>
      <c r="L99" s="28">
        <f>强化辅助表!D131</f>
        <v>2</v>
      </c>
      <c r="M99" s="28">
        <f>强化辅助表!F131</f>
        <v>60</v>
      </c>
      <c r="N99" s="28">
        <f>强化辅助表!Q131</f>
        <v>39.74</v>
      </c>
      <c r="O99" s="33">
        <f>强化辅助表!T131</f>
        <v>3636210</v>
      </c>
      <c r="P99" s="33">
        <f>强化辅助表!U131</f>
        <v>1521752.94</v>
      </c>
      <c r="Q99">
        <f>强化辅助表!Q131/强化辅助表!S131</f>
        <v>0.02</v>
      </c>
      <c r="R99">
        <f>强化辅助表!Q131/强化辅助表!R131</f>
        <v>0.02</v>
      </c>
      <c r="T99" s="28">
        <f>升星辅助表!AB128</f>
        <v>0</v>
      </c>
      <c r="U99" s="28">
        <f>升星辅助表!AC128</f>
        <v>4</v>
      </c>
      <c r="V99" s="28">
        <f>升星辅助表!AD128</f>
        <v>36</v>
      </c>
      <c r="W99" s="28">
        <f>AA99</f>
        <v>60</v>
      </c>
      <c r="X99" s="28">
        <f>SUM(AD94:AD99)</f>
        <v>1645380</v>
      </c>
      <c r="Y99" s="28" t="str">
        <f>升星辅助表!C128</f>
        <v>6023</v>
      </c>
      <c r="Z99" s="28">
        <f>升星辅助表!F128</f>
        <v>2</v>
      </c>
      <c r="AA99" s="28">
        <f>升星辅助表!H128</f>
        <v>60</v>
      </c>
      <c r="AB99" s="28">
        <f>升星辅助表!AU128</f>
        <v>65.94</v>
      </c>
      <c r="AC99" s="33">
        <f>升星辅助表!AX128</f>
        <v>181335</v>
      </c>
      <c r="AD99" s="33">
        <f>升星辅助表!AY128</f>
        <v>181335</v>
      </c>
      <c r="AE99" s="12">
        <f>升星辅助表!AI128</f>
        <v>605</v>
      </c>
      <c r="AF99" s="5">
        <f>升星辅助表!AU128/升星辅助表!AW128</f>
        <v>0.02</v>
      </c>
      <c r="AG99" s="5">
        <f>升星辅助表!AU128/升星辅助表!AV128</f>
        <v>0.02</v>
      </c>
    </row>
    <row r="100" spans="2:33" x14ac:dyDescent="0.15">
      <c r="B100" s="5" t="str">
        <f>D_装备基础数据!A161</f>
        <v>52221</v>
      </c>
      <c r="C100" s="5" t="s">
        <v>468</v>
      </c>
      <c r="D100" s="5">
        <f ca="1">D_装备基础数据!AP161</f>
        <v>201.89978264845496</v>
      </c>
      <c r="F100" s="28">
        <f>强化辅助表!Z132</f>
        <v>0</v>
      </c>
      <c r="G100" s="28">
        <f>强化辅助表!AA132</f>
        <v>5</v>
      </c>
      <c r="H100" s="28">
        <f>强化辅助表!AB132</f>
        <v>1545</v>
      </c>
      <c r="I100" s="28"/>
      <c r="J100" s="28"/>
      <c r="K100" s="28" t="str">
        <f>强化辅助表!B132</f>
        <v>6030</v>
      </c>
      <c r="L100" s="28">
        <f>强化辅助表!D132</f>
        <v>3</v>
      </c>
      <c r="M100" s="28">
        <f>强化辅助表!F132</f>
        <v>60</v>
      </c>
      <c r="N100" s="28">
        <f>强化辅助表!Q132</f>
        <v>84.46</v>
      </c>
      <c r="O100" s="33">
        <f>强化辅助表!T132</f>
        <v>7728090</v>
      </c>
      <c r="P100" s="33">
        <f>强化辅助表!U132</f>
        <v>3228067.5799999996</v>
      </c>
      <c r="Q100">
        <f>强化辅助表!Q132/强化辅助表!S132</f>
        <v>1.9999999999999997E-2</v>
      </c>
      <c r="R100">
        <f>强化辅助表!Q132/强化辅助表!R132</f>
        <v>1.9999999999999997E-2</v>
      </c>
      <c r="T100" s="28">
        <f>升星辅助表!AB129</f>
        <v>0</v>
      </c>
      <c r="U100" s="28">
        <f>升星辅助表!AC129</f>
        <v>0</v>
      </c>
      <c r="V100" s="28">
        <f>升星辅助表!AD129</f>
        <v>142</v>
      </c>
      <c r="W100" s="28"/>
      <c r="X100" s="28"/>
      <c r="Y100" s="28" t="str">
        <f>升星辅助表!C129</f>
        <v>6030</v>
      </c>
      <c r="Z100" s="28">
        <f>升星辅助表!F129</f>
        <v>3</v>
      </c>
      <c r="AA100" s="28">
        <f>升星辅助表!H129</f>
        <v>60</v>
      </c>
      <c r="AB100" s="28">
        <f>升星辅助表!AU129</f>
        <v>257.26</v>
      </c>
      <c r="AC100" s="33">
        <f>升星辅助表!AX129</f>
        <v>707465</v>
      </c>
      <c r="AD100" s="33">
        <f>升星辅助表!AY129</f>
        <v>707465</v>
      </c>
      <c r="AE100" s="12">
        <f>升星辅助表!AI129</f>
        <v>2365</v>
      </c>
      <c r="AF100" s="5">
        <f>升星辅助表!AU129/升星辅助表!AW129</f>
        <v>0.02</v>
      </c>
      <c r="AG100" s="5">
        <f>升星辅助表!AU129/升星辅助表!AV129</f>
        <v>0.02</v>
      </c>
    </row>
    <row r="101" spans="2:33" x14ac:dyDescent="0.15">
      <c r="B101" s="5" t="str">
        <f>D_装备基础数据!A162</f>
        <v>55221</v>
      </c>
      <c r="C101" s="5" t="s">
        <v>469</v>
      </c>
      <c r="D101" s="5">
        <f ca="1">D_装备基础数据!AP162</f>
        <v>255.77908967149278</v>
      </c>
      <c r="F101" s="28">
        <f>强化辅助表!Z133</f>
        <v>0</v>
      </c>
      <c r="G101" s="28">
        <f>强化辅助表!AA133</f>
        <v>4</v>
      </c>
      <c r="H101" s="28">
        <f>强化辅助表!AB133</f>
        <v>1353</v>
      </c>
      <c r="I101" s="28"/>
      <c r="J101" s="28"/>
      <c r="K101" s="28" t="str">
        <f>强化辅助表!B133</f>
        <v>6031</v>
      </c>
      <c r="L101" s="28">
        <f>强化辅助表!D133</f>
        <v>3</v>
      </c>
      <c r="M101" s="28">
        <f>强化辅助表!F133</f>
        <v>60</v>
      </c>
      <c r="N101" s="28">
        <f>强化辅助表!Q133</f>
        <v>73.960000000000008</v>
      </c>
      <c r="O101" s="33">
        <f>强化辅助表!T133</f>
        <v>6767340</v>
      </c>
      <c r="P101" s="33">
        <f>强化辅助表!U133</f>
        <v>2834824.4800000004</v>
      </c>
      <c r="Q101">
        <f>强化辅助表!Q133/强化辅助表!S133</f>
        <v>2.0000000000000004E-2</v>
      </c>
      <c r="R101">
        <f>强化辅助表!Q133/强化辅助表!R133</f>
        <v>2.0000000000000004E-2</v>
      </c>
      <c r="T101" s="28">
        <f>升星辅助表!AB130</f>
        <v>0</v>
      </c>
      <c r="U101" s="28">
        <f>升星辅助表!AC130</f>
        <v>0</v>
      </c>
      <c r="V101" s="28">
        <f>升星辅助表!AD130</f>
        <v>99</v>
      </c>
      <c r="W101" s="28"/>
      <c r="X101" s="28"/>
      <c r="Y101" s="28" t="str">
        <f>升星辅助表!C130</f>
        <v>6031</v>
      </c>
      <c r="Z101" s="28">
        <f>升星辅助表!F130</f>
        <v>3</v>
      </c>
      <c r="AA101" s="28">
        <f>升星辅助表!H130</f>
        <v>60</v>
      </c>
      <c r="AB101" s="28">
        <f>升星辅助表!AU130</f>
        <v>179.86</v>
      </c>
      <c r="AC101" s="33">
        <f>升星辅助表!AX130</f>
        <v>494615</v>
      </c>
      <c r="AD101" s="33">
        <f>升星辅助表!AY130</f>
        <v>494615</v>
      </c>
      <c r="AE101" s="12">
        <f>升星辅助表!AI130</f>
        <v>1650</v>
      </c>
      <c r="AF101" s="5">
        <f>升星辅助表!AU130/升星辅助表!AW130</f>
        <v>0.02</v>
      </c>
      <c r="AG101" s="5">
        <f>升星辅助表!AU130/升星辅助表!AV130</f>
        <v>0.02</v>
      </c>
    </row>
    <row r="102" spans="2:33" x14ac:dyDescent="0.15">
      <c r="B102" s="5" t="str">
        <f>D_装备基础数据!A163</f>
        <v>54221</v>
      </c>
      <c r="C102" s="5" t="s">
        <v>470</v>
      </c>
      <c r="D102" s="5">
        <f ca="1">D_装备基础数据!AP163</f>
        <v>227.47713593375113</v>
      </c>
      <c r="F102" s="28">
        <f>强化辅助表!Z134</f>
        <v>0</v>
      </c>
      <c r="G102" s="28">
        <f>强化辅助表!AA134</f>
        <v>9</v>
      </c>
      <c r="H102" s="28">
        <f>强化辅助表!AB134</f>
        <v>496</v>
      </c>
      <c r="I102" s="28"/>
      <c r="J102" s="28"/>
      <c r="K102" s="28" t="str">
        <f>强化辅助表!B134</f>
        <v>6032</v>
      </c>
      <c r="L102" s="28">
        <f>强化辅助表!D134</f>
        <v>3</v>
      </c>
      <c r="M102" s="28">
        <f>强化辅助表!F134</f>
        <v>60</v>
      </c>
      <c r="N102" s="28">
        <f>强化辅助表!Q134</f>
        <v>27.18</v>
      </c>
      <c r="O102" s="33">
        <f>强化辅助表!T134</f>
        <v>2486970</v>
      </c>
      <c r="P102" s="33">
        <f>强化辅助表!U134</f>
        <v>1037772.3199999998</v>
      </c>
      <c r="Q102">
        <f>强化辅助表!Q134/强化辅助表!S134</f>
        <v>0.02</v>
      </c>
      <c r="R102">
        <f>强化辅助表!Q134/强化辅助表!R134</f>
        <v>0.02</v>
      </c>
      <c r="T102" s="28">
        <f>升星辅助表!AB131</f>
        <v>0</v>
      </c>
      <c r="U102" s="28">
        <f>升星辅助表!AC131</f>
        <v>5</v>
      </c>
      <c r="V102" s="28">
        <f>升星辅助表!AD131</f>
        <v>47</v>
      </c>
      <c r="W102" s="28"/>
      <c r="X102" s="28"/>
      <c r="Y102" s="28" t="str">
        <f>升星辅助表!C131</f>
        <v>6032</v>
      </c>
      <c r="Z102" s="28">
        <f>升星辅助表!F131</f>
        <v>3</v>
      </c>
      <c r="AA102" s="28">
        <f>升星辅助表!H131</f>
        <v>60</v>
      </c>
      <c r="AB102" s="28">
        <f>升星辅助表!AU131</f>
        <v>86.46</v>
      </c>
      <c r="AC102" s="33">
        <f>升星辅助表!AX131</f>
        <v>237765</v>
      </c>
      <c r="AD102" s="33">
        <f>升星辅助表!AY131</f>
        <v>237765</v>
      </c>
      <c r="AE102" s="12">
        <f>升星辅助表!AI131</f>
        <v>825</v>
      </c>
      <c r="AF102" s="5">
        <f>升星辅助表!AU131/升星辅助表!AW131</f>
        <v>1.9999999999999997E-2</v>
      </c>
      <c r="AG102" s="5">
        <f>升星辅助表!AU131/升星辅助表!AV131</f>
        <v>1.9999999999999997E-2</v>
      </c>
    </row>
    <row r="103" spans="2:33" x14ac:dyDescent="0.15">
      <c r="B103" s="5" t="str">
        <f>D_装备基础数据!A164</f>
        <v>53221</v>
      </c>
      <c r="C103" s="5" t="s">
        <v>471</v>
      </c>
      <c r="D103" s="5">
        <f ca="1">D_装备基础数据!AP164</f>
        <v>372.92215851693413</v>
      </c>
      <c r="F103" s="28">
        <f>强化辅助表!Z135</f>
        <v>0</v>
      </c>
      <c r="G103" s="28">
        <f>强化辅助表!AA135</f>
        <v>6</v>
      </c>
      <c r="H103" s="28">
        <f>强化辅助表!AB135</f>
        <v>622</v>
      </c>
      <c r="I103" s="28"/>
      <c r="J103" s="28"/>
      <c r="K103" s="28" t="str">
        <f>强化辅助表!B135</f>
        <v>6035</v>
      </c>
      <c r="L103" s="28">
        <f>强化辅助表!D135</f>
        <v>3</v>
      </c>
      <c r="M103" s="28">
        <f>强化辅助表!F135</f>
        <v>60</v>
      </c>
      <c r="N103" s="28">
        <f>强化辅助表!Q135</f>
        <v>34.019999999999996</v>
      </c>
      <c r="O103" s="33">
        <f>强化辅助表!T135</f>
        <v>3112830</v>
      </c>
      <c r="P103" s="33">
        <f>强化辅助表!U135</f>
        <v>1298202.5799999996</v>
      </c>
      <c r="Q103">
        <f>强化辅助表!Q135/强化辅助表!S135</f>
        <v>1.9999999999999997E-2</v>
      </c>
      <c r="R103">
        <f>强化辅助表!Q135/强化辅助表!R135</f>
        <v>1.9999999999999997E-2</v>
      </c>
      <c r="T103" s="28">
        <f>升星辅助表!AB132</f>
        <v>0</v>
      </c>
      <c r="U103" s="28">
        <f>升星辅助表!AC132</f>
        <v>0</v>
      </c>
      <c r="V103" s="28">
        <f>升星辅助表!AD132</f>
        <v>61</v>
      </c>
      <c r="W103" s="28"/>
      <c r="X103" s="28"/>
      <c r="Y103" s="28" t="str">
        <f>升星辅助表!C132</f>
        <v>6035</v>
      </c>
      <c r="Z103" s="28">
        <f>升星辅助表!F132</f>
        <v>3</v>
      </c>
      <c r="AA103" s="28">
        <f>升星辅助表!H132</f>
        <v>60</v>
      </c>
      <c r="AB103" s="28">
        <f>升星辅助表!AU132</f>
        <v>110.74</v>
      </c>
      <c r="AC103" s="33">
        <f>升星辅助表!AX132</f>
        <v>304535</v>
      </c>
      <c r="AD103" s="33">
        <f>升星辅助表!AY132</f>
        <v>304535</v>
      </c>
      <c r="AE103" s="12">
        <f>升星辅助表!AI132</f>
        <v>1045</v>
      </c>
      <c r="AF103" s="5">
        <f>升星辅助表!AU132/升星辅助表!AW132</f>
        <v>0.02</v>
      </c>
      <c r="AG103" s="5">
        <f>升星辅助表!AU132/升星辅助表!AV132</f>
        <v>0.02</v>
      </c>
    </row>
    <row r="104" spans="2:33" x14ac:dyDescent="0.15">
      <c r="B104" s="5" t="str">
        <f>D_装备基础数据!A165</f>
        <v>10322</v>
      </c>
      <c r="C104" s="5" t="s">
        <v>472</v>
      </c>
      <c r="D104" s="5">
        <f ca="1">D_装备基础数据!AP165</f>
        <v>817.10921949533486</v>
      </c>
      <c r="F104" s="28">
        <f>强化辅助表!Z136</f>
        <v>0</v>
      </c>
      <c r="G104" s="28">
        <f>强化辅助表!AA136</f>
        <v>13</v>
      </c>
      <c r="H104" s="28">
        <f>强化辅助表!AB136</f>
        <v>446</v>
      </c>
      <c r="I104" s="28"/>
      <c r="J104" s="28"/>
      <c r="K104" s="28" t="str">
        <f>强化辅助表!B136</f>
        <v>6034</v>
      </c>
      <c r="L104" s="28">
        <f>强化辅助表!D136</f>
        <v>3</v>
      </c>
      <c r="M104" s="28">
        <f>强化辅助表!F136</f>
        <v>60</v>
      </c>
      <c r="N104" s="28">
        <f>强化辅助表!Q136</f>
        <v>24.46</v>
      </c>
      <c r="O104" s="33">
        <f>强化辅助表!T136</f>
        <v>2238090</v>
      </c>
      <c r="P104" s="33">
        <f>强化辅助表!U136</f>
        <v>933620.86</v>
      </c>
      <c r="Q104">
        <f>强化辅助表!Q136/强化辅助表!S136</f>
        <v>0.02</v>
      </c>
      <c r="R104">
        <f>强化辅助表!Q136/强化辅助表!R136</f>
        <v>0.02</v>
      </c>
      <c r="T104" s="28">
        <f>升星辅助表!AB133</f>
        <v>0</v>
      </c>
      <c r="U104" s="28">
        <f>升星辅助表!AC133</f>
        <v>0</v>
      </c>
      <c r="V104" s="28">
        <f>升星辅助表!AD133</f>
        <v>100</v>
      </c>
      <c r="W104" s="28"/>
      <c r="X104" s="28"/>
      <c r="Y104" s="28" t="str">
        <f>升星辅助表!C133</f>
        <v>6034</v>
      </c>
      <c r="Z104" s="28">
        <f>升星辅助表!F133</f>
        <v>3</v>
      </c>
      <c r="AA104" s="28">
        <f>升星辅助表!H133</f>
        <v>60</v>
      </c>
      <c r="AB104" s="28">
        <f>升星辅助表!AU133</f>
        <v>180.84</v>
      </c>
      <c r="AC104" s="33">
        <f>升星辅助表!AX133</f>
        <v>497310</v>
      </c>
      <c r="AD104" s="33">
        <f>升星辅助表!AY133</f>
        <v>497310</v>
      </c>
      <c r="AE104" s="12">
        <f>升星辅助表!AI133</f>
        <v>1705</v>
      </c>
      <c r="AF104" s="5">
        <f>升星辅助表!AU133/升星辅助表!AW133</f>
        <v>0.02</v>
      </c>
      <c r="AG104" s="5">
        <f>升星辅助表!AU133/升星辅助表!AV133</f>
        <v>0.02</v>
      </c>
    </row>
    <row r="105" spans="2:33" x14ac:dyDescent="0.15">
      <c r="B105" s="5" t="str">
        <f>D_装备基础数据!A166</f>
        <v>20322</v>
      </c>
      <c r="C105" s="5" t="str">
        <f>D_装备基础数据!B166</f>
        <v>焚天之拳</v>
      </c>
      <c r="D105" s="5">
        <f ca="1">D_装备基础数据!AP166</f>
        <v>817.10921949533486</v>
      </c>
      <c r="F105" s="28">
        <f>强化辅助表!Z137</f>
        <v>0</v>
      </c>
      <c r="G105" s="28">
        <f>强化辅助表!AA137</f>
        <v>3</v>
      </c>
      <c r="H105" s="28">
        <f>强化辅助表!AB137</f>
        <v>955</v>
      </c>
      <c r="I105" s="28">
        <f>M105</f>
        <v>60</v>
      </c>
      <c r="J105" s="28">
        <f>SUM(P100:P105)</f>
        <v>11327678.040000001</v>
      </c>
      <c r="K105" s="28" t="str">
        <f>强化辅助表!B137</f>
        <v>6033</v>
      </c>
      <c r="L105" s="28">
        <f>强化辅助表!D137</f>
        <v>3</v>
      </c>
      <c r="M105" s="28">
        <f>强化辅助表!F137</f>
        <v>60</v>
      </c>
      <c r="N105" s="28">
        <f>强化辅助表!Q137</f>
        <v>52.2</v>
      </c>
      <c r="O105" s="33">
        <f>强化辅助表!T137</f>
        <v>4776300</v>
      </c>
      <c r="P105" s="33">
        <f>强化辅助表!U137</f>
        <v>1995190.2200000002</v>
      </c>
      <c r="Q105">
        <f>强化辅助表!Q137/强化辅助表!S137</f>
        <v>0.02</v>
      </c>
      <c r="R105">
        <f>强化辅助表!Q137/强化辅助表!R137</f>
        <v>0.02</v>
      </c>
      <c r="T105" s="28">
        <f>升星辅助表!AB134</f>
        <v>0</v>
      </c>
      <c r="U105" s="28">
        <f>升星辅助表!AC134</f>
        <v>0</v>
      </c>
      <c r="V105" s="28">
        <f>升星辅助表!AD134</f>
        <v>64</v>
      </c>
      <c r="W105" s="28">
        <f>AA105</f>
        <v>60</v>
      </c>
      <c r="X105" s="28">
        <f>SUM(AD100:AD105)</f>
        <v>2561460</v>
      </c>
      <c r="Y105" s="28" t="str">
        <f>升星辅助表!C134</f>
        <v>6033</v>
      </c>
      <c r="Z105" s="28">
        <f>升星辅助表!F134</f>
        <v>3</v>
      </c>
      <c r="AA105" s="28">
        <f>升星辅助表!H134</f>
        <v>60</v>
      </c>
      <c r="AB105" s="28">
        <f>升星辅助表!AU134</f>
        <v>116.28</v>
      </c>
      <c r="AC105" s="33">
        <f>升星辅助表!AX134</f>
        <v>319770</v>
      </c>
      <c r="AD105" s="33">
        <f>升星辅助表!AY134</f>
        <v>319770</v>
      </c>
      <c r="AE105" s="12">
        <f>升星辅助表!AI134</f>
        <v>1100</v>
      </c>
      <c r="AF105" s="5">
        <f>升星辅助表!AU134/升星辅助表!AW134</f>
        <v>0.02</v>
      </c>
      <c r="AG105" s="5">
        <f>升星辅助表!AU134/升星辅助表!AV134</f>
        <v>0.02</v>
      </c>
    </row>
    <row r="106" spans="2:33" x14ac:dyDescent="0.15">
      <c r="B106" s="5" t="str">
        <f>D_装备基础数据!A167</f>
        <v>30322</v>
      </c>
      <c r="C106" s="5" t="s">
        <v>473</v>
      </c>
      <c r="D106" s="5">
        <f ca="1">D_装备基础数据!AP167</f>
        <v>817.10921949533486</v>
      </c>
      <c r="F106" s="28">
        <f>强化辅助表!Z138</f>
        <v>0</v>
      </c>
      <c r="G106" s="28">
        <f>强化辅助表!AA138</f>
        <v>0</v>
      </c>
      <c r="H106" s="28">
        <f>强化辅助表!AB138</f>
        <v>1832</v>
      </c>
      <c r="I106" s="28"/>
      <c r="J106" s="28"/>
      <c r="K106" s="28" t="str">
        <f>强化辅助表!B138</f>
        <v>6040</v>
      </c>
      <c r="L106" s="28">
        <f>强化辅助表!D138</f>
        <v>4</v>
      </c>
      <c r="M106" s="28">
        <f>强化辅助表!F138</f>
        <v>60</v>
      </c>
      <c r="N106" s="28">
        <f>强化辅助表!Q138</f>
        <v>100.08</v>
      </c>
      <c r="O106" s="33">
        <f>强化辅助表!T138</f>
        <v>9157320</v>
      </c>
      <c r="P106" s="33">
        <f>强化辅助表!U138</f>
        <v>3820744.06</v>
      </c>
      <c r="Q106">
        <f>强化辅助表!Q138/强化辅助表!S138</f>
        <v>0.02</v>
      </c>
      <c r="R106">
        <f>强化辅助表!Q138/强化辅助表!R138</f>
        <v>0.02</v>
      </c>
      <c r="T106" s="28">
        <f>升星辅助表!AB135</f>
        <v>0</v>
      </c>
      <c r="U106" s="28">
        <f>升星辅助表!AC135</f>
        <v>0</v>
      </c>
      <c r="V106" s="28">
        <f>升星辅助表!AD135</f>
        <v>175</v>
      </c>
      <c r="W106" s="28"/>
      <c r="X106" s="28"/>
      <c r="Y106" s="28" t="str">
        <f>升星辅助表!C135</f>
        <v>6040</v>
      </c>
      <c r="Z106" s="28">
        <f>升星辅助表!F135</f>
        <v>4</v>
      </c>
      <c r="AA106" s="28">
        <f>升星辅助表!H135</f>
        <v>60</v>
      </c>
      <c r="AB106" s="28">
        <f>升星辅助表!AU135</f>
        <v>316.68</v>
      </c>
      <c r="AC106" s="33">
        <f>升星辅助表!AX135</f>
        <v>870870</v>
      </c>
      <c r="AD106" s="33">
        <f>升星辅助表!AY135</f>
        <v>870870</v>
      </c>
      <c r="AE106" s="12">
        <f>升星辅助表!AI135</f>
        <v>2915</v>
      </c>
      <c r="AF106" s="5">
        <f>升星辅助表!AU135/升星辅助表!AW135</f>
        <v>0.02</v>
      </c>
      <c r="AG106" s="5">
        <f>升星辅助表!AU135/升星辅助表!AV135</f>
        <v>0.02</v>
      </c>
    </row>
    <row r="107" spans="2:33" x14ac:dyDescent="0.15">
      <c r="B107" s="5" t="str">
        <f>D_装备基础数据!A168</f>
        <v>51322</v>
      </c>
      <c r="C107" s="5" t="s">
        <v>474</v>
      </c>
      <c r="D107" s="5">
        <f ca="1">D_装备基础数据!AP168</f>
        <v>679.98058403894458</v>
      </c>
      <c r="F107" s="28">
        <f>强化辅助表!Z139</f>
        <v>0</v>
      </c>
      <c r="G107" s="28">
        <f>强化辅助表!AA139</f>
        <v>5</v>
      </c>
      <c r="H107" s="28">
        <f>强化辅助表!AB139</f>
        <v>1600</v>
      </c>
      <c r="I107" s="28"/>
      <c r="J107" s="28"/>
      <c r="K107" s="28" t="str">
        <f>强化辅助表!B139</f>
        <v>6041</v>
      </c>
      <c r="L107" s="28">
        <f>强化辅助表!D139</f>
        <v>4</v>
      </c>
      <c r="M107" s="28">
        <f>强化辅助表!F139</f>
        <v>60</v>
      </c>
      <c r="N107" s="28">
        <f>强化辅助表!Q139</f>
        <v>87.44</v>
      </c>
      <c r="O107" s="33">
        <f>强化辅助表!T139</f>
        <v>8000760</v>
      </c>
      <c r="P107" s="33">
        <f>强化辅助表!U139</f>
        <v>3341782.24</v>
      </c>
      <c r="Q107">
        <f>强化辅助表!Q139/强化辅助表!S139</f>
        <v>0.02</v>
      </c>
      <c r="R107">
        <f>强化辅助表!Q139/强化辅助表!R139</f>
        <v>0.02</v>
      </c>
      <c r="T107" s="28">
        <f>升星辅助表!AB136</f>
        <v>0</v>
      </c>
      <c r="U107" s="28">
        <f>升星辅助表!AC136</f>
        <v>0</v>
      </c>
      <c r="V107" s="28">
        <f>升星辅助表!AD136</f>
        <v>123</v>
      </c>
      <c r="W107" s="28"/>
      <c r="X107" s="28"/>
      <c r="Y107" s="28" t="str">
        <f>升星辅助表!C136</f>
        <v>6041</v>
      </c>
      <c r="Z107" s="28">
        <f>升星辅助表!F136</f>
        <v>4</v>
      </c>
      <c r="AA107" s="28">
        <f>升星辅助表!H136</f>
        <v>60</v>
      </c>
      <c r="AB107" s="28">
        <f>升星辅助表!AU136</f>
        <v>223.1</v>
      </c>
      <c r="AC107" s="33">
        <f>升星辅助表!AX136</f>
        <v>613525</v>
      </c>
      <c r="AD107" s="33">
        <f>升星辅助表!AY136</f>
        <v>613525</v>
      </c>
      <c r="AE107" s="12">
        <f>升星辅助表!AI136</f>
        <v>2090</v>
      </c>
      <c r="AF107" s="5">
        <f>升星辅助表!AU136/升星辅助表!AW136</f>
        <v>0.02</v>
      </c>
      <c r="AG107" s="5">
        <f>升星辅助表!AU136/升星辅助表!AV136</f>
        <v>0.02</v>
      </c>
    </row>
    <row r="108" spans="2:33" x14ac:dyDescent="0.15">
      <c r="B108" s="5" t="str">
        <f>D_装备基础数据!A169</f>
        <v>52322</v>
      </c>
      <c r="C108" s="5" t="s">
        <v>475</v>
      </c>
      <c r="D108" s="5">
        <f ca="1">D_装备基础数据!AP169</f>
        <v>266.07620263950542</v>
      </c>
      <c r="F108" s="28">
        <f>强化辅助表!Z140</f>
        <v>0</v>
      </c>
      <c r="G108" s="28">
        <f>强化辅助表!AA140</f>
        <v>10</v>
      </c>
      <c r="H108" s="28">
        <f>强化辅助表!AB140</f>
        <v>576</v>
      </c>
      <c r="I108" s="28"/>
      <c r="J108" s="28"/>
      <c r="K108" s="28" t="str">
        <f>强化辅助表!B140</f>
        <v>6042</v>
      </c>
      <c r="L108" s="28">
        <f>强化辅助表!D140</f>
        <v>4</v>
      </c>
      <c r="M108" s="28">
        <f>强化辅助表!F140</f>
        <v>60</v>
      </c>
      <c r="N108" s="28">
        <f>强化辅助表!Q140</f>
        <v>31.54</v>
      </c>
      <c r="O108" s="33">
        <f>强化辅助表!T140</f>
        <v>2885910</v>
      </c>
      <c r="P108" s="33">
        <f>强化辅助表!U140</f>
        <v>1204819.3399999999</v>
      </c>
      <c r="Q108">
        <f>强化辅助表!Q140/强化辅助表!S140</f>
        <v>0.02</v>
      </c>
      <c r="R108">
        <f>强化辅助表!Q140/强化辅助表!R140</f>
        <v>0.02</v>
      </c>
      <c r="T108" s="28">
        <f>升星辅助表!AB137</f>
        <v>0</v>
      </c>
      <c r="U108" s="28">
        <f>升星辅助表!AC137</f>
        <v>0</v>
      </c>
      <c r="V108" s="28">
        <f>升星辅助表!AD137</f>
        <v>63</v>
      </c>
      <c r="W108" s="28"/>
      <c r="X108" s="28"/>
      <c r="Y108" s="28" t="str">
        <f>升星辅助表!C137</f>
        <v>6042</v>
      </c>
      <c r="Z108" s="28">
        <f>升星辅助表!F137</f>
        <v>4</v>
      </c>
      <c r="AA108" s="28">
        <f>升星辅助表!H137</f>
        <v>60</v>
      </c>
      <c r="AB108" s="28">
        <f>升星辅助表!AU137</f>
        <v>113.86</v>
      </c>
      <c r="AC108" s="33">
        <f>升星辅助表!AX137</f>
        <v>313115</v>
      </c>
      <c r="AD108" s="33">
        <f>升星辅助表!AY137</f>
        <v>313115</v>
      </c>
      <c r="AE108" s="12">
        <f>升星辅助表!AI137</f>
        <v>1045</v>
      </c>
      <c r="AF108" s="5">
        <f>升星辅助表!AU137/升星辅助表!AW137</f>
        <v>0.02</v>
      </c>
      <c r="AG108" s="5">
        <f>升星辅助表!AU137/升星辅助表!AV137</f>
        <v>0.02</v>
      </c>
    </row>
    <row r="109" spans="2:33" x14ac:dyDescent="0.15">
      <c r="B109" s="5" t="str">
        <f>D_装备基础数据!A170</f>
        <v>55322</v>
      </c>
      <c r="C109" s="5" t="s">
        <v>476</v>
      </c>
      <c r="D109" s="5">
        <f ca="1">D_装备基础数据!AP170</f>
        <v>335.22770370506402</v>
      </c>
      <c r="F109" s="28">
        <f>强化辅助表!Z141</f>
        <v>0</v>
      </c>
      <c r="G109" s="28">
        <f>强化辅助表!AA141</f>
        <v>7</v>
      </c>
      <c r="H109" s="28">
        <f>强化辅助表!AB141</f>
        <v>735</v>
      </c>
      <c r="I109" s="28"/>
      <c r="J109" s="28"/>
      <c r="K109" s="28" t="str">
        <f>强化辅助表!B141</f>
        <v>6045</v>
      </c>
      <c r="L109" s="28">
        <f>强化辅助表!D141</f>
        <v>4</v>
      </c>
      <c r="M109" s="28">
        <f>强化辅助表!F141</f>
        <v>60</v>
      </c>
      <c r="N109" s="28">
        <f>强化辅助表!Q141</f>
        <v>40.22</v>
      </c>
      <c r="O109" s="33">
        <f>强化辅助表!T141</f>
        <v>3680130</v>
      </c>
      <c r="P109" s="33">
        <f>强化辅助表!U141</f>
        <v>1535920.32</v>
      </c>
      <c r="Q109">
        <f>强化辅助表!Q141/强化辅助表!S141</f>
        <v>0.02</v>
      </c>
      <c r="R109">
        <f>强化辅助表!Q141/强化辅助表!R141</f>
        <v>0.02</v>
      </c>
      <c r="T109" s="28">
        <f>升星辅助表!AB138</f>
        <v>0</v>
      </c>
      <c r="U109" s="28">
        <f>升星辅助表!AC138</f>
        <v>0</v>
      </c>
      <c r="V109" s="28">
        <f>升星辅助表!AD138</f>
        <v>76</v>
      </c>
      <c r="W109" s="28"/>
      <c r="X109" s="28"/>
      <c r="Y109" s="28" t="str">
        <f>升星辅助表!C138</f>
        <v>6045</v>
      </c>
      <c r="Z109" s="28">
        <f>升星辅助表!F138</f>
        <v>4</v>
      </c>
      <c r="AA109" s="28">
        <f>升星辅助表!H138</f>
        <v>60</v>
      </c>
      <c r="AB109" s="28">
        <f>升星辅助表!AU138</f>
        <v>136.79999999999998</v>
      </c>
      <c r="AC109" s="33">
        <f>升星辅助表!AX138</f>
        <v>376200</v>
      </c>
      <c r="AD109" s="33">
        <f>升星辅助表!AY138</f>
        <v>376200</v>
      </c>
      <c r="AE109" s="12">
        <f>升星辅助表!AI138</f>
        <v>1265</v>
      </c>
      <c r="AF109" s="5">
        <f>升星辅助表!AU138/升星辅助表!AW138</f>
        <v>1.9999999999999997E-2</v>
      </c>
      <c r="AG109" s="5">
        <f>升星辅助表!AU138/升星辅助表!AV138</f>
        <v>1.9999999999999997E-2</v>
      </c>
    </row>
    <row r="110" spans="2:33" x14ac:dyDescent="0.15">
      <c r="B110" s="5" t="str">
        <f>D_装备基础数据!A171</f>
        <v>54322</v>
      </c>
      <c r="C110" s="5" t="s">
        <v>477</v>
      </c>
      <c r="D110" s="5">
        <f ca="1">D_装备基础数据!AP171</f>
        <v>326.46233291180158</v>
      </c>
      <c r="F110" s="28">
        <f>强化辅助表!Z142</f>
        <v>0</v>
      </c>
      <c r="G110" s="28">
        <f>强化辅助表!AA142</f>
        <v>9</v>
      </c>
      <c r="H110" s="28">
        <f>强化辅助表!AB142</f>
        <v>527</v>
      </c>
      <c r="I110" s="28"/>
      <c r="J110" s="28"/>
      <c r="K110" s="28" t="str">
        <f>强化辅助表!B142</f>
        <v>6044</v>
      </c>
      <c r="L110" s="28">
        <f>强化辅助表!D142</f>
        <v>4</v>
      </c>
      <c r="M110" s="28">
        <f>强化辅助表!F142</f>
        <v>60</v>
      </c>
      <c r="N110" s="28">
        <f>强化辅助表!Q142</f>
        <v>28.880000000000003</v>
      </c>
      <c r="O110" s="33">
        <f>强化辅助表!T142</f>
        <v>2642520</v>
      </c>
      <c r="P110" s="33">
        <f>强化辅助表!U142</f>
        <v>1102500.1000000001</v>
      </c>
      <c r="Q110">
        <f>强化辅助表!Q142/强化辅助表!S142</f>
        <v>0.02</v>
      </c>
      <c r="R110">
        <f>强化辅助表!Q142/强化辅助表!R142</f>
        <v>0.02</v>
      </c>
      <c r="T110" s="28">
        <f>升星辅助表!AB139</f>
        <v>0</v>
      </c>
      <c r="U110" s="28">
        <f>升星辅助表!AC139</f>
        <v>0</v>
      </c>
      <c r="V110" s="28">
        <f>升星辅助表!AD139</f>
        <v>124</v>
      </c>
      <c r="W110" s="28"/>
      <c r="X110" s="28"/>
      <c r="Y110" s="28" t="str">
        <f>升星辅助表!C139</f>
        <v>6044</v>
      </c>
      <c r="Z110" s="28">
        <f>升星辅助表!F139</f>
        <v>4</v>
      </c>
      <c r="AA110" s="28">
        <f>升星辅助表!H139</f>
        <v>60</v>
      </c>
      <c r="AB110" s="28">
        <f>升星辅助表!AU139</f>
        <v>224.67999999999998</v>
      </c>
      <c r="AC110" s="33">
        <f>升星辅助表!AX139</f>
        <v>617870</v>
      </c>
      <c r="AD110" s="33">
        <f>升星辅助表!AY139</f>
        <v>617870</v>
      </c>
      <c r="AE110" s="12">
        <f>升星辅助表!AI139</f>
        <v>2090</v>
      </c>
      <c r="AF110" s="5">
        <f>升星辅助表!AU139/升星辅助表!AW139</f>
        <v>1.9999999999999997E-2</v>
      </c>
      <c r="AG110" s="5">
        <f>升星辅助表!AU139/升星辅助表!AV139</f>
        <v>1.9999999999999997E-2</v>
      </c>
    </row>
    <row r="111" spans="2:33" x14ac:dyDescent="0.15">
      <c r="B111" s="5" t="str">
        <f>D_装备基础数据!A172</f>
        <v>53322</v>
      </c>
      <c r="C111" s="5" t="s">
        <v>478</v>
      </c>
      <c r="D111" s="5">
        <f ca="1">D_装备基础数据!AP172</f>
        <v>474.937863757576</v>
      </c>
      <c r="F111" s="28">
        <f>强化辅助表!Z143</f>
        <v>0</v>
      </c>
      <c r="G111" s="28">
        <f>强化辅助表!AA143</f>
        <v>4</v>
      </c>
      <c r="H111" s="28">
        <f>强化辅助表!AB143</f>
        <v>1134</v>
      </c>
      <c r="I111" s="28">
        <f>M111</f>
        <v>60</v>
      </c>
      <c r="J111" s="28">
        <f>SUM(P106:P111)</f>
        <v>13372924.08</v>
      </c>
      <c r="K111" s="28" t="str">
        <f>强化辅助表!B143</f>
        <v>6043</v>
      </c>
      <c r="L111" s="28">
        <f>强化辅助表!D143</f>
        <v>4</v>
      </c>
      <c r="M111" s="28">
        <f>强化辅助表!F143</f>
        <v>60</v>
      </c>
      <c r="N111" s="28">
        <f>强化辅助表!Q143</f>
        <v>61.96</v>
      </c>
      <c r="O111" s="33">
        <f>强化辅助表!T143</f>
        <v>5669340</v>
      </c>
      <c r="P111" s="33">
        <f>强化辅助表!U143</f>
        <v>2367158.02</v>
      </c>
      <c r="Q111">
        <f>强化辅助表!Q143/强化辅助表!S143</f>
        <v>0.02</v>
      </c>
      <c r="R111">
        <f>强化辅助表!Q143/强化辅助表!R143</f>
        <v>0.02</v>
      </c>
      <c r="T111" s="28">
        <f>升星辅助表!AB140</f>
        <v>0</v>
      </c>
      <c r="U111" s="28">
        <f>升星辅助表!AC140</f>
        <v>0</v>
      </c>
      <c r="V111" s="28">
        <f>升星辅助表!AD140</f>
        <v>83</v>
      </c>
      <c r="W111" s="28">
        <f t="shared" ref="W111:W159" si="0">AA111</f>
        <v>60</v>
      </c>
      <c r="X111" s="28">
        <f t="shared" ref="X111:X153" si="1">SUM(AD106:AD111)</f>
        <v>3204355</v>
      </c>
      <c r="Y111" s="28" t="str">
        <f>升星辅助表!C140</f>
        <v>6043</v>
      </c>
      <c r="Z111" s="28">
        <f>升星辅助表!F140</f>
        <v>4</v>
      </c>
      <c r="AA111" s="28">
        <f>升星辅助表!H140</f>
        <v>60</v>
      </c>
      <c r="AB111" s="28">
        <f>升星辅助表!AU140</f>
        <v>150.1</v>
      </c>
      <c r="AC111" s="33">
        <f>升星辅助表!AX140</f>
        <v>412775</v>
      </c>
      <c r="AD111" s="33">
        <f>升星辅助表!AY140</f>
        <v>412775</v>
      </c>
      <c r="AE111" s="12">
        <f>升星辅助表!AI140</f>
        <v>1430</v>
      </c>
      <c r="AF111" s="5">
        <f>升星辅助表!AU140/升星辅助表!AW140</f>
        <v>0.02</v>
      </c>
      <c r="AG111" s="5">
        <f>升星辅助表!AU140/升星辅助表!AV140</f>
        <v>0.02</v>
      </c>
    </row>
    <row r="112" spans="2:33" x14ac:dyDescent="0.15">
      <c r="B112" s="5" t="str">
        <f>D_装备基础数据!A173</f>
        <v>10423</v>
      </c>
      <c r="C112" s="5" t="str">
        <f>D_装备基础数据!B173</f>
        <v>朱雀霸刀</v>
      </c>
      <c r="D112" s="5">
        <f ca="1">D_装备基础数据!AP173</f>
        <v>957.13568896871675</v>
      </c>
      <c r="F112" s="28">
        <f>强化辅助表!Z144</f>
        <v>0</v>
      </c>
      <c r="G112" s="28">
        <f>强化辅助表!AA144</f>
        <v>3</v>
      </c>
      <c r="H112" s="28">
        <f>强化辅助表!AB144</f>
        <v>1489</v>
      </c>
      <c r="I112" s="28"/>
      <c r="J112" s="28"/>
      <c r="K112" s="28" t="str">
        <f>强化辅助表!B144</f>
        <v>7010</v>
      </c>
      <c r="L112" s="28">
        <f>强化辅助表!D144</f>
        <v>1</v>
      </c>
      <c r="M112" s="28">
        <f>强化辅助表!F144</f>
        <v>70</v>
      </c>
      <c r="N112" s="28">
        <f>强化辅助表!Q144</f>
        <v>59.94</v>
      </c>
      <c r="O112" s="33">
        <f>强化辅助表!T144</f>
        <v>7447545</v>
      </c>
      <c r="P112" s="33">
        <f>强化辅助表!U144</f>
        <v>3402108.32</v>
      </c>
      <c r="Q112">
        <f>强化辅助表!Q144/强化辅助表!S144</f>
        <v>0.02</v>
      </c>
      <c r="R112">
        <f>强化辅助表!Q144/强化辅助表!R144</f>
        <v>0.02</v>
      </c>
      <c r="T112" s="28">
        <f>升星辅助表!AB141</f>
        <v>0</v>
      </c>
      <c r="U112" s="28">
        <f>升星辅助表!AC141</f>
        <v>0</v>
      </c>
      <c r="V112" s="28">
        <f>升星辅助表!AD141</f>
        <v>79</v>
      </c>
      <c r="W112" s="28"/>
      <c r="X112" s="28"/>
      <c r="Y112" s="28" t="str">
        <f>升星辅助表!C141</f>
        <v>7010</v>
      </c>
      <c r="Z112" s="28">
        <f>升星辅助表!F141</f>
        <v>1</v>
      </c>
      <c r="AA112" s="28">
        <f>升星辅助表!H141</f>
        <v>70</v>
      </c>
      <c r="AB112" s="28">
        <f>升星辅助表!AU141</f>
        <v>143</v>
      </c>
      <c r="AC112" s="33">
        <f>升星辅助表!AX141</f>
        <v>393250</v>
      </c>
      <c r="AD112" s="33">
        <f>升星辅助表!AY141</f>
        <v>393250</v>
      </c>
      <c r="AE112" s="12">
        <f>升星辅助表!AI141</f>
        <v>1320</v>
      </c>
      <c r="AF112" s="5">
        <f>升星辅助表!AU141/升星辅助表!AW141</f>
        <v>0.02</v>
      </c>
      <c r="AG112" s="5">
        <f>升星辅助表!AU141/升星辅助表!AV141</f>
        <v>0.02</v>
      </c>
    </row>
    <row r="113" spans="2:33" x14ac:dyDescent="0.15">
      <c r="B113" s="5" t="str">
        <f>D_装备基础数据!A174</f>
        <v>20423</v>
      </c>
      <c r="C113" s="5" t="str">
        <f>D_装备基础数据!B174</f>
        <v>朱雀之拳</v>
      </c>
      <c r="D113" s="5">
        <f ca="1">D_装备基础数据!AP174</f>
        <v>957.13568896871675</v>
      </c>
      <c r="F113" s="28">
        <f>强化辅助表!Z145</f>
        <v>0</v>
      </c>
      <c r="G113" s="28">
        <f>强化辅助表!AA145</f>
        <v>3</v>
      </c>
      <c r="H113" s="28">
        <f>强化辅助表!AB145</f>
        <v>1314</v>
      </c>
      <c r="I113" s="28"/>
      <c r="J113" s="28"/>
      <c r="K113" s="28" t="str">
        <f>强化辅助表!B145</f>
        <v>7011</v>
      </c>
      <c r="L113" s="28">
        <f>强化辅助表!D145</f>
        <v>1</v>
      </c>
      <c r="M113" s="28">
        <f>强化辅助表!F145</f>
        <v>70</v>
      </c>
      <c r="N113" s="28">
        <f>强化辅助表!Q145</f>
        <v>52.88</v>
      </c>
      <c r="O113" s="33">
        <f>强化辅助表!T145</f>
        <v>6570340</v>
      </c>
      <c r="P113" s="33">
        <f>强化辅助表!U145</f>
        <v>3000700.64</v>
      </c>
      <c r="Q113">
        <f>强化辅助表!Q145/强化辅助表!S145</f>
        <v>0.02</v>
      </c>
      <c r="R113">
        <f>强化辅助表!Q145/强化辅助表!R145</f>
        <v>0.02</v>
      </c>
      <c r="T113" s="28">
        <f>升星辅助表!AB142</f>
        <v>0</v>
      </c>
      <c r="U113" s="28">
        <f>升星辅助表!AC142</f>
        <v>4</v>
      </c>
      <c r="V113" s="28">
        <f>升星辅助表!AD142</f>
        <v>34</v>
      </c>
      <c r="W113" s="28"/>
      <c r="X113" s="28"/>
      <c r="Y113" s="28" t="str">
        <f>升星辅助表!C142</f>
        <v>7011</v>
      </c>
      <c r="Z113" s="28">
        <f>升星辅助表!F142</f>
        <v>1</v>
      </c>
      <c r="AA113" s="28">
        <f>升星辅助表!H142</f>
        <v>70</v>
      </c>
      <c r="AB113" s="28">
        <f>升星辅助表!AU142</f>
        <v>62.72</v>
      </c>
      <c r="AC113" s="33">
        <f>升星辅助表!AX142</f>
        <v>172480</v>
      </c>
      <c r="AD113" s="33">
        <f>升星辅助表!AY142</f>
        <v>172480</v>
      </c>
      <c r="AE113" s="12">
        <f>升星辅助表!AI142</f>
        <v>605</v>
      </c>
      <c r="AF113" s="5">
        <f>升星辅助表!AU142/升星辅助表!AW142</f>
        <v>0.02</v>
      </c>
      <c r="AG113" s="5">
        <f>升星辅助表!AU142/升星辅助表!AV142</f>
        <v>0.02</v>
      </c>
    </row>
    <row r="114" spans="2:33" x14ac:dyDescent="0.15">
      <c r="B114" s="5" t="str">
        <f>D_装备基础数据!A175</f>
        <v>30423</v>
      </c>
      <c r="C114" s="5" t="s">
        <v>479</v>
      </c>
      <c r="D114" s="5">
        <f ca="1">D_装备基础数据!AP175</f>
        <v>957.13568896871675</v>
      </c>
      <c r="F114" s="28">
        <f>强化辅助表!Z146</f>
        <v>5</v>
      </c>
      <c r="G114" s="28">
        <f>强化辅助表!AA146</f>
        <v>13</v>
      </c>
      <c r="H114" s="28">
        <f>强化辅助表!AB146</f>
        <v>456</v>
      </c>
      <c r="I114" s="28"/>
      <c r="J114" s="28"/>
      <c r="K114" s="28" t="str">
        <f>强化辅助表!B146</f>
        <v>7012</v>
      </c>
      <c r="L114" s="28">
        <f>强化辅助表!D146</f>
        <v>1</v>
      </c>
      <c r="M114" s="28">
        <f>强化辅助表!F146</f>
        <v>70</v>
      </c>
      <c r="N114" s="28">
        <f>强化辅助表!Q146</f>
        <v>18.46</v>
      </c>
      <c r="O114" s="33">
        <f>强化辅助表!T146</f>
        <v>2293655</v>
      </c>
      <c r="P114" s="33">
        <f>强化辅助表!U146</f>
        <v>1048413.2000000002</v>
      </c>
      <c r="Q114">
        <f>强化辅助表!Q146/强化辅助表!S146</f>
        <v>0.02</v>
      </c>
      <c r="R114">
        <f>强化辅助表!Q146/强化辅助表!R146</f>
        <v>0.02</v>
      </c>
      <c r="T114" s="28">
        <f>升星辅助表!AB143</f>
        <v>0</v>
      </c>
      <c r="U114" s="28">
        <f>升星辅助表!AC143</f>
        <v>10</v>
      </c>
      <c r="V114" s="28">
        <f>升星辅助表!AD143</f>
        <v>16</v>
      </c>
      <c r="W114" s="28"/>
      <c r="X114" s="28"/>
      <c r="Y114" s="28" t="str">
        <f>升星辅助表!C143</f>
        <v>7012</v>
      </c>
      <c r="Z114" s="28">
        <f>升星辅助表!F143</f>
        <v>1</v>
      </c>
      <c r="AA114" s="28">
        <f>升星辅助表!H143</f>
        <v>70</v>
      </c>
      <c r="AB114" s="28">
        <f>升星辅助表!AU143</f>
        <v>31.36</v>
      </c>
      <c r="AC114" s="33">
        <f>升星辅助表!AX143</f>
        <v>86240</v>
      </c>
      <c r="AD114" s="33">
        <f>升星辅助表!AY143</f>
        <v>86240</v>
      </c>
      <c r="AE114" s="12">
        <f>升星辅助表!AI143</f>
        <v>330</v>
      </c>
      <c r="AF114" s="5">
        <f>升星辅助表!AU143/升星辅助表!AW143</f>
        <v>0.02</v>
      </c>
      <c r="AG114" s="5">
        <f>升星辅助表!AU143/升星辅助表!AV143</f>
        <v>0.02</v>
      </c>
    </row>
    <row r="115" spans="2:33" x14ac:dyDescent="0.15">
      <c r="B115" s="5" t="str">
        <f>D_装备基础数据!A176</f>
        <v>51423</v>
      </c>
      <c r="C115" s="5" t="s">
        <v>480</v>
      </c>
      <c r="D115" s="5">
        <f ca="1">D_装备基础数据!AP176</f>
        <v>781.71887590595156</v>
      </c>
      <c r="F115" s="28">
        <f>强化辅助表!Z147</f>
        <v>0</v>
      </c>
      <c r="G115" s="28">
        <f>强化辅助表!AA147</f>
        <v>13</v>
      </c>
      <c r="H115" s="28">
        <f>强化辅助表!AB147</f>
        <v>599</v>
      </c>
      <c r="I115" s="28"/>
      <c r="J115" s="28"/>
      <c r="K115" s="28" t="str">
        <f>强化辅助表!B147</f>
        <v>7015</v>
      </c>
      <c r="L115" s="28">
        <f>强化辅助表!D147</f>
        <v>1</v>
      </c>
      <c r="M115" s="28">
        <f>强化辅助表!F147</f>
        <v>70</v>
      </c>
      <c r="N115" s="28">
        <f>强化辅助表!Q147</f>
        <v>24.200000000000003</v>
      </c>
      <c r="O115" s="33">
        <f>强化辅助表!T147</f>
        <v>3006850</v>
      </c>
      <c r="P115" s="33">
        <f>强化辅助表!U147</f>
        <v>1374214.1</v>
      </c>
      <c r="Q115">
        <f>强化辅助表!Q147/强化辅助表!S147</f>
        <v>2.0000000000000004E-2</v>
      </c>
      <c r="R115">
        <f>强化辅助表!Q147/强化辅助表!R147</f>
        <v>2.0000000000000004E-2</v>
      </c>
      <c r="T115" s="28">
        <f>升星辅助表!AB144</f>
        <v>0</v>
      </c>
      <c r="U115" s="28">
        <f>升星辅助表!AC144</f>
        <v>10</v>
      </c>
      <c r="V115" s="28">
        <f>升星辅助表!AD144</f>
        <v>16</v>
      </c>
      <c r="W115" s="28"/>
      <c r="X115" s="28"/>
      <c r="Y115" s="28" t="str">
        <f>升星辅助表!C144</f>
        <v>7015</v>
      </c>
      <c r="Z115" s="28">
        <f>升星辅助表!F144</f>
        <v>1</v>
      </c>
      <c r="AA115" s="28">
        <f>升星辅助表!H144</f>
        <v>70</v>
      </c>
      <c r="AB115" s="28">
        <f>升星辅助表!AU144</f>
        <v>31.36</v>
      </c>
      <c r="AC115" s="33">
        <f>升星辅助表!AX144</f>
        <v>86240</v>
      </c>
      <c r="AD115" s="33">
        <f>升星辅助表!AY144</f>
        <v>86240</v>
      </c>
      <c r="AE115" s="12">
        <f>升星辅助表!AI144</f>
        <v>330</v>
      </c>
      <c r="AF115" s="5">
        <f>升星辅助表!AU144/升星辅助表!AW144</f>
        <v>0.02</v>
      </c>
      <c r="AG115" s="5">
        <f>升星辅助表!AU144/升星辅助表!AV144</f>
        <v>0.02</v>
      </c>
    </row>
    <row r="116" spans="2:33" x14ac:dyDescent="0.15">
      <c r="B116" s="5" t="str">
        <f>D_装备基础数据!A177</f>
        <v>52423</v>
      </c>
      <c r="C116" s="5" t="s">
        <v>481</v>
      </c>
      <c r="D116" s="5">
        <f ca="1">D_装备基础数据!AP177</f>
        <v>315.4466030410324</v>
      </c>
      <c r="F116" s="28">
        <f>强化辅助表!Z148</f>
        <v>5</v>
      </c>
      <c r="G116" s="28">
        <f>强化辅助表!AA148</f>
        <v>13</v>
      </c>
      <c r="H116" s="28">
        <f>强化辅助表!AB148</f>
        <v>426</v>
      </c>
      <c r="I116" s="28"/>
      <c r="J116" s="28"/>
      <c r="K116" s="28" t="str">
        <f>强化辅助表!B148</f>
        <v>7014</v>
      </c>
      <c r="L116" s="28">
        <f>强化辅助表!D148</f>
        <v>1</v>
      </c>
      <c r="M116" s="28">
        <f>强化辅助表!F148</f>
        <v>70</v>
      </c>
      <c r="N116" s="28">
        <f>强化辅助表!Q148</f>
        <v>17.22</v>
      </c>
      <c r="O116" s="33">
        <f>强化辅助表!T148</f>
        <v>2139585</v>
      </c>
      <c r="P116" s="33">
        <f>强化辅助表!U148</f>
        <v>984268.48</v>
      </c>
      <c r="Q116">
        <f>强化辅助表!Q148/强化辅助表!S148</f>
        <v>1.9999999999999997E-2</v>
      </c>
      <c r="R116">
        <f>强化辅助表!Q148/强化辅助表!R148</f>
        <v>1.9999999999999997E-2</v>
      </c>
      <c r="T116" s="28">
        <f>升星辅助表!AB145</f>
        <v>0</v>
      </c>
      <c r="U116" s="28">
        <f>升星辅助表!AC145</f>
        <v>4</v>
      </c>
      <c r="V116" s="28">
        <f>升星辅助表!AD145</f>
        <v>34</v>
      </c>
      <c r="W116" s="28"/>
      <c r="X116" s="28"/>
      <c r="Y116" s="28" t="str">
        <f>升星辅助表!C145</f>
        <v>7014</v>
      </c>
      <c r="Z116" s="28">
        <f>升星辅助表!F145</f>
        <v>1</v>
      </c>
      <c r="AA116" s="28">
        <f>升星辅助表!H145</f>
        <v>70</v>
      </c>
      <c r="AB116" s="28">
        <f>升星辅助表!AU145</f>
        <v>62.72</v>
      </c>
      <c r="AC116" s="33">
        <f>升星辅助表!AX145</f>
        <v>172480</v>
      </c>
      <c r="AD116" s="33">
        <f>升星辅助表!AY145</f>
        <v>172480</v>
      </c>
      <c r="AE116" s="12">
        <f>升星辅助表!AI145</f>
        <v>605</v>
      </c>
      <c r="AF116" s="5">
        <f>升星辅助表!AU145/升星辅助表!AW145</f>
        <v>0.02</v>
      </c>
      <c r="AG116" s="5">
        <f>升星辅助表!AU145/升星辅助表!AV145</f>
        <v>0.02</v>
      </c>
    </row>
    <row r="117" spans="2:33" x14ac:dyDescent="0.15">
      <c r="B117" s="5" t="str">
        <f>D_装备基础数据!A178</f>
        <v>55423</v>
      </c>
      <c r="C117" s="5" t="s">
        <v>482</v>
      </c>
      <c r="D117" s="5">
        <f ca="1">D_装备基础数据!AP178</f>
        <v>395.26477573903037</v>
      </c>
      <c r="F117" s="28">
        <f>强化辅助表!Z149</f>
        <v>0</v>
      </c>
      <c r="G117" s="28">
        <f>强化辅助表!AA149</f>
        <v>6</v>
      </c>
      <c r="H117" s="28">
        <f>强化辅助表!AB149</f>
        <v>920</v>
      </c>
      <c r="I117" s="28">
        <f>M117</f>
        <v>70</v>
      </c>
      <c r="J117" s="28">
        <f>SUM(P112:P117)</f>
        <v>11905628.620000001</v>
      </c>
      <c r="K117" s="28" t="str">
        <f>强化辅助表!B149</f>
        <v>7013</v>
      </c>
      <c r="L117" s="28">
        <f>强化辅助表!D149</f>
        <v>1</v>
      </c>
      <c r="M117" s="28">
        <f>强化辅助表!F149</f>
        <v>70</v>
      </c>
      <c r="N117" s="28">
        <f>强化辅助表!Q149</f>
        <v>37.040000000000006</v>
      </c>
      <c r="O117" s="33">
        <f>强化辅助表!T149</f>
        <v>4602220</v>
      </c>
      <c r="P117" s="33">
        <f>强化辅助表!U149</f>
        <v>2095923.8800000001</v>
      </c>
      <c r="Q117">
        <f>强化辅助表!Q149/强化辅助表!S149</f>
        <v>2.0000000000000004E-2</v>
      </c>
      <c r="R117">
        <f>强化辅助表!Q149/强化辅助表!R149</f>
        <v>2.0000000000000004E-2</v>
      </c>
      <c r="T117" s="28">
        <f>升星辅助表!AB146</f>
        <v>0</v>
      </c>
      <c r="U117" s="28">
        <f>升星辅助表!AC146</f>
        <v>8</v>
      </c>
      <c r="V117" s="28">
        <f>升星辅助表!AD146</f>
        <v>25</v>
      </c>
      <c r="W117" s="28">
        <f t="shared" si="0"/>
        <v>70</v>
      </c>
      <c r="X117" s="28">
        <f t="shared" si="1"/>
        <v>1042690</v>
      </c>
      <c r="Y117" s="28" t="str">
        <f>升星辅助表!C146</f>
        <v>7013</v>
      </c>
      <c r="Z117" s="28">
        <f>升星辅助表!F146</f>
        <v>1</v>
      </c>
      <c r="AA117" s="28">
        <f>升星辅助表!H146</f>
        <v>70</v>
      </c>
      <c r="AB117" s="28">
        <f>升星辅助表!AU146</f>
        <v>48</v>
      </c>
      <c r="AC117" s="33">
        <f>升星辅助表!AX146</f>
        <v>132000</v>
      </c>
      <c r="AD117" s="33">
        <f>升星辅助表!AY146</f>
        <v>132000</v>
      </c>
      <c r="AE117" s="12">
        <f>升星辅助表!AI146</f>
        <v>440</v>
      </c>
      <c r="AF117" s="5">
        <f>升星辅助表!AU146/升星辅助表!AW146</f>
        <v>0.02</v>
      </c>
      <c r="AG117" s="5">
        <f>升星辅助表!AU146/升星辅助表!AV146</f>
        <v>0.02</v>
      </c>
    </row>
    <row r="118" spans="2:33" x14ac:dyDescent="0.15">
      <c r="B118" s="5" t="str">
        <f>D_装备基础数据!A179</f>
        <v>54423</v>
      </c>
      <c r="C118" s="5" t="s">
        <v>483</v>
      </c>
      <c r="D118" s="5">
        <f ca="1">D_装备基础数据!AP179</f>
        <v>418.18184116136376</v>
      </c>
      <c r="F118" s="28">
        <f>强化辅助表!Z150</f>
        <v>0</v>
      </c>
      <c r="G118" s="28">
        <f>强化辅助表!AA150</f>
        <v>5</v>
      </c>
      <c r="H118" s="28">
        <f>强化辅助表!AB150</f>
        <v>2153</v>
      </c>
      <c r="I118" s="28"/>
      <c r="J118" s="28"/>
      <c r="K118" s="28" t="str">
        <f>强化辅助表!B150</f>
        <v>7020</v>
      </c>
      <c r="L118" s="28">
        <f>强化辅助表!D150</f>
        <v>2</v>
      </c>
      <c r="M118" s="28">
        <f>强化辅助表!F150</f>
        <v>70</v>
      </c>
      <c r="N118" s="28">
        <f>强化辅助表!Q150</f>
        <v>86.64</v>
      </c>
      <c r="O118" s="33">
        <f>强化辅助表!T150</f>
        <v>10765020</v>
      </c>
      <c r="P118" s="33">
        <f>强化辅助表!U150</f>
        <v>4920396.08</v>
      </c>
      <c r="Q118">
        <f>强化辅助表!Q150/强化辅助表!S150</f>
        <v>0.02</v>
      </c>
      <c r="R118">
        <f>强化辅助表!Q150/强化辅助表!R150</f>
        <v>0.02</v>
      </c>
      <c r="T118" s="28">
        <f>升星辅助表!AB147</f>
        <v>0</v>
      </c>
      <c r="U118" s="28">
        <f>升星辅助表!AC147</f>
        <v>0</v>
      </c>
      <c r="V118" s="28">
        <f>升星辅助表!AD147</f>
        <v>128</v>
      </c>
      <c r="W118" s="28"/>
      <c r="X118" s="28"/>
      <c r="Y118" s="28" t="str">
        <f>升星辅助表!C147</f>
        <v>7020</v>
      </c>
      <c r="Z118" s="28">
        <f>升星辅助表!F147</f>
        <v>2</v>
      </c>
      <c r="AA118" s="28">
        <f>升星辅助表!H147</f>
        <v>70</v>
      </c>
      <c r="AB118" s="28">
        <f>升星辅助表!AU147</f>
        <v>232</v>
      </c>
      <c r="AC118" s="33">
        <f>升星辅助表!AX147</f>
        <v>638000</v>
      </c>
      <c r="AD118" s="33">
        <f>升星辅助表!AY147</f>
        <v>638000</v>
      </c>
      <c r="AE118" s="12">
        <f>升星辅助表!AI147</f>
        <v>2145</v>
      </c>
      <c r="AF118" s="5">
        <f>升星辅助表!AU147/升星辅助表!AW147</f>
        <v>0.02</v>
      </c>
      <c r="AG118" s="5">
        <f>升星辅助表!AU147/升星辅助表!AV147</f>
        <v>0.02</v>
      </c>
    </row>
    <row r="119" spans="2:33" x14ac:dyDescent="0.15">
      <c r="B119" s="5" t="str">
        <f>D_装备基础数据!A180</f>
        <v>53423</v>
      </c>
      <c r="C119" s="5" t="s">
        <v>484</v>
      </c>
      <c r="D119" s="5">
        <f ca="1">D_装备基础数据!AP180</f>
        <v>543.77445818181832</v>
      </c>
      <c r="F119" s="28">
        <f>强化辅助表!Z151</f>
        <v>0</v>
      </c>
      <c r="G119" s="28">
        <f>强化辅助表!AA151</f>
        <v>4</v>
      </c>
      <c r="H119" s="28">
        <f>强化辅助表!AB151</f>
        <v>1886</v>
      </c>
      <c r="I119" s="28"/>
      <c r="J119" s="28"/>
      <c r="K119" s="28" t="str">
        <f>强化辅助表!B151</f>
        <v>7021</v>
      </c>
      <c r="L119" s="28">
        <f>强化辅助表!D151</f>
        <v>2</v>
      </c>
      <c r="M119" s="28">
        <f>强化辅助表!F151</f>
        <v>70</v>
      </c>
      <c r="N119" s="28">
        <f>强化辅助表!Q151</f>
        <v>75.92</v>
      </c>
      <c r="O119" s="33">
        <f>强化辅助表!T151</f>
        <v>9433060</v>
      </c>
      <c r="P119" s="33">
        <f>强化辅助表!U151</f>
        <v>4311891.12</v>
      </c>
      <c r="Q119">
        <f>强化辅助表!Q151/强化辅助表!S151</f>
        <v>0.02</v>
      </c>
      <c r="R119">
        <f>强化辅助表!Q151/强化辅助表!R151</f>
        <v>0.02</v>
      </c>
      <c r="T119" s="28">
        <f>升星辅助表!AB148</f>
        <v>0</v>
      </c>
      <c r="U119" s="28">
        <f>升星辅助表!AC148</f>
        <v>0</v>
      </c>
      <c r="V119" s="28">
        <f>升星辅助表!AD148</f>
        <v>92</v>
      </c>
      <c r="W119" s="28"/>
      <c r="X119" s="28"/>
      <c r="Y119" s="28" t="str">
        <f>升星辅助表!C148</f>
        <v>7021</v>
      </c>
      <c r="Z119" s="28">
        <f>升星辅助表!F148</f>
        <v>2</v>
      </c>
      <c r="AA119" s="28">
        <f>升星辅助表!H148</f>
        <v>70</v>
      </c>
      <c r="AB119" s="28">
        <f>升星辅助表!AU148</f>
        <v>165.60000000000002</v>
      </c>
      <c r="AC119" s="33">
        <f>升星辅助表!AX148</f>
        <v>455400</v>
      </c>
      <c r="AD119" s="33">
        <f>升星辅助表!AY148</f>
        <v>455400</v>
      </c>
      <c r="AE119" s="12">
        <f>升星辅助表!AI148</f>
        <v>1540</v>
      </c>
      <c r="AF119" s="5">
        <f>升星辅助表!AU148/升星辅助表!AW148</f>
        <v>2.0000000000000004E-2</v>
      </c>
      <c r="AG119" s="5">
        <f>升星辅助表!AU148/升星辅助表!AV148</f>
        <v>2.0000000000000004E-2</v>
      </c>
    </row>
    <row r="120" spans="2:33" x14ac:dyDescent="0.15">
      <c r="B120" s="5" t="str">
        <f>D_装备基础数据!A197</f>
        <v>10326</v>
      </c>
      <c r="C120" s="5" t="s">
        <v>485</v>
      </c>
      <c r="D120" s="5">
        <f ca="1">D_装备基础数据!AP197</f>
        <v>1021.3865243691686</v>
      </c>
      <c r="F120" s="28">
        <f>强化辅助表!Z152</f>
        <v>0</v>
      </c>
      <c r="G120" s="28">
        <f>强化辅助表!AA152</f>
        <v>9</v>
      </c>
      <c r="H120" s="28">
        <f>强化辅助表!AB152</f>
        <v>674</v>
      </c>
      <c r="I120" s="28"/>
      <c r="J120" s="28"/>
      <c r="K120" s="28" t="str">
        <f>强化辅助表!B152</f>
        <v>7022</v>
      </c>
      <c r="L120" s="28">
        <f>强化辅助表!D152</f>
        <v>2</v>
      </c>
      <c r="M120" s="28">
        <f>强化辅助表!F152</f>
        <v>70</v>
      </c>
      <c r="N120" s="28">
        <f>强化辅助表!Q152</f>
        <v>27.18</v>
      </c>
      <c r="O120" s="33">
        <f>强化辅助表!T152</f>
        <v>3377115</v>
      </c>
      <c r="P120" s="33">
        <f>强化辅助表!U152</f>
        <v>1532589.1600000001</v>
      </c>
      <c r="Q120">
        <f>强化辅助表!Q152/强化辅助表!S152</f>
        <v>0.02</v>
      </c>
      <c r="R120">
        <f>强化辅助表!Q152/强化辅助表!R152</f>
        <v>0.02</v>
      </c>
      <c r="T120" s="28">
        <f>升星辅助表!AB149</f>
        <v>0</v>
      </c>
      <c r="U120" s="28">
        <f>升星辅助表!AC149</f>
        <v>4</v>
      </c>
      <c r="V120" s="28">
        <f>升星辅助表!AD149</f>
        <v>38</v>
      </c>
      <c r="W120" s="28"/>
      <c r="X120" s="28"/>
      <c r="Y120" s="28" t="str">
        <f>升星辅助表!C149</f>
        <v>7022</v>
      </c>
      <c r="Z120" s="28">
        <f>升星辅助表!F149</f>
        <v>2</v>
      </c>
      <c r="AA120" s="28">
        <f>升星辅助表!H149</f>
        <v>70</v>
      </c>
      <c r="AB120" s="28">
        <f>升星辅助表!AU149</f>
        <v>70.28</v>
      </c>
      <c r="AC120" s="33">
        <f>升星辅助表!AX149</f>
        <v>193270</v>
      </c>
      <c r="AD120" s="33">
        <f>升星辅助表!AY149</f>
        <v>193270</v>
      </c>
      <c r="AE120" s="12">
        <f>升星辅助表!AI149</f>
        <v>660</v>
      </c>
      <c r="AF120" s="5">
        <f>升星辅助表!AU149/升星辅助表!AW149</f>
        <v>0.02</v>
      </c>
      <c r="AG120" s="5">
        <f>升星辅助表!AU149/升星辅助表!AV149</f>
        <v>0.02</v>
      </c>
    </row>
    <row r="121" spans="2:33" x14ac:dyDescent="0.15">
      <c r="B121" s="5" t="str">
        <f>D_装备基础数据!A198</f>
        <v>20326</v>
      </c>
      <c r="C121" s="5" t="s">
        <v>486</v>
      </c>
      <c r="D121" s="5">
        <f ca="1">D_装备基础数据!AP198</f>
        <v>1021.3865243691686</v>
      </c>
      <c r="F121" s="28">
        <f>强化辅助表!Z153</f>
        <v>0</v>
      </c>
      <c r="G121" s="28">
        <f>强化辅助表!AA153</f>
        <v>6</v>
      </c>
      <c r="H121" s="28">
        <f>强化辅助表!AB153</f>
        <v>861</v>
      </c>
      <c r="I121" s="28"/>
      <c r="J121" s="28"/>
      <c r="K121" s="28" t="str">
        <f>强化辅助表!B153</f>
        <v>7025</v>
      </c>
      <c r="L121" s="28">
        <f>强化辅助表!D153</f>
        <v>2</v>
      </c>
      <c r="M121" s="28">
        <f>强化辅助表!F153</f>
        <v>70</v>
      </c>
      <c r="N121" s="28">
        <f>强化辅助表!Q153</f>
        <v>34.680000000000007</v>
      </c>
      <c r="O121" s="33">
        <f>强化辅助表!T153</f>
        <v>4308990</v>
      </c>
      <c r="P121" s="33">
        <f>强化辅助表!U153</f>
        <v>1981270.2599999998</v>
      </c>
      <c r="Q121">
        <f>强化辅助表!Q153/强化辅助表!S153</f>
        <v>2.0000000000000004E-2</v>
      </c>
      <c r="R121">
        <f>强化辅助表!Q153/强化辅助表!R153</f>
        <v>2.0000000000000004E-2</v>
      </c>
      <c r="T121" s="28">
        <f>升星辅助表!AB150</f>
        <v>0</v>
      </c>
      <c r="U121" s="28">
        <f>升星辅助表!AC150</f>
        <v>5</v>
      </c>
      <c r="V121" s="28">
        <f>升星辅助表!AD150</f>
        <v>45</v>
      </c>
      <c r="W121" s="28"/>
      <c r="X121" s="28"/>
      <c r="Y121" s="28" t="str">
        <f>升星辅助表!C150</f>
        <v>7025</v>
      </c>
      <c r="Z121" s="28">
        <f>升星辅助表!F150</f>
        <v>2</v>
      </c>
      <c r="AA121" s="28">
        <f>升星辅助表!H150</f>
        <v>70</v>
      </c>
      <c r="AB121" s="28">
        <f>升星辅助表!AU150</f>
        <v>82</v>
      </c>
      <c r="AC121" s="33">
        <f>升星辅助表!AX150</f>
        <v>225500</v>
      </c>
      <c r="AD121" s="33">
        <f>升星辅助表!AY150</f>
        <v>225500</v>
      </c>
      <c r="AE121" s="12">
        <f>升星辅助表!AI150</f>
        <v>770</v>
      </c>
      <c r="AF121" s="5">
        <f>升星辅助表!AU150/升星辅助表!AW150</f>
        <v>0.02</v>
      </c>
      <c r="AG121" s="5">
        <f>升星辅助表!AU150/升星辅助表!AV150</f>
        <v>0.02</v>
      </c>
    </row>
    <row r="122" spans="2:33" x14ac:dyDescent="0.15">
      <c r="B122" s="5" t="str">
        <f>D_装备基础数据!A199</f>
        <v>30326</v>
      </c>
      <c r="C122" s="5" t="s">
        <v>487</v>
      </c>
      <c r="D122" s="5">
        <f ca="1">D_装备基础数据!AP199</f>
        <v>1021.3865243691686</v>
      </c>
      <c r="F122" s="28">
        <f>强化辅助表!Z154</f>
        <v>0</v>
      </c>
      <c r="G122" s="28">
        <f>强化辅助表!AA154</f>
        <v>13</v>
      </c>
      <c r="H122" s="28">
        <f>强化辅助表!AB154</f>
        <v>618</v>
      </c>
      <c r="I122" s="28"/>
      <c r="J122" s="28"/>
      <c r="K122" s="28" t="str">
        <f>强化辅助表!B154</f>
        <v>7024</v>
      </c>
      <c r="L122" s="28">
        <f>强化辅助表!D154</f>
        <v>2</v>
      </c>
      <c r="M122" s="28">
        <f>强化辅助表!F154</f>
        <v>70</v>
      </c>
      <c r="N122" s="28">
        <f>强化辅助表!Q154</f>
        <v>24.96</v>
      </c>
      <c r="O122" s="33">
        <f>强化辅助表!T154</f>
        <v>3101280</v>
      </c>
      <c r="P122" s="33">
        <f>强化辅助表!U154</f>
        <v>1422006.12</v>
      </c>
      <c r="Q122">
        <f>强化辅助表!Q154/强化辅助表!S154</f>
        <v>0.02</v>
      </c>
      <c r="R122">
        <f>强化辅助表!Q154/强化辅助表!R154</f>
        <v>0.02</v>
      </c>
      <c r="T122" s="28">
        <f>升星辅助表!AB151</f>
        <v>0</v>
      </c>
      <c r="U122" s="28">
        <f>升星辅助表!AC151</f>
        <v>0</v>
      </c>
      <c r="V122" s="28">
        <f>升星辅助表!AD151</f>
        <v>88</v>
      </c>
      <c r="W122" s="28"/>
      <c r="X122" s="28"/>
      <c r="Y122" s="28" t="str">
        <f>升星辅助表!C151</f>
        <v>7024</v>
      </c>
      <c r="Z122" s="28">
        <f>升星辅助表!F151</f>
        <v>2</v>
      </c>
      <c r="AA122" s="28">
        <f>升星辅助表!H151</f>
        <v>70</v>
      </c>
      <c r="AB122" s="28">
        <f>升星辅助表!AU151</f>
        <v>159.60000000000002</v>
      </c>
      <c r="AC122" s="33">
        <f>升星辅助表!AX151</f>
        <v>438900</v>
      </c>
      <c r="AD122" s="33">
        <f>升星辅助表!AY151</f>
        <v>438900</v>
      </c>
      <c r="AE122" s="12">
        <f>升星辅助表!AI151</f>
        <v>1485</v>
      </c>
      <c r="AF122" s="5">
        <f>升星辅助表!AU151/升星辅助表!AW151</f>
        <v>2.0000000000000004E-2</v>
      </c>
      <c r="AG122" s="5">
        <f>升星辅助表!AU151/升星辅助表!AV151</f>
        <v>2.0000000000000004E-2</v>
      </c>
    </row>
    <row r="123" spans="2:33" x14ac:dyDescent="0.15">
      <c r="B123" s="5" t="str">
        <f>D_装备基础数据!A200</f>
        <v>51326</v>
      </c>
      <c r="C123" s="5" t="s">
        <v>488</v>
      </c>
      <c r="D123" s="5">
        <f ca="1">D_装备基础数据!AP200</f>
        <v>849.97573004868082</v>
      </c>
      <c r="F123" s="28">
        <f>强化辅助表!Z155</f>
        <v>0</v>
      </c>
      <c r="G123" s="28">
        <f>强化辅助表!AA155</f>
        <v>3</v>
      </c>
      <c r="H123" s="28">
        <f>强化辅助表!AB155</f>
        <v>1330</v>
      </c>
      <c r="I123" s="28">
        <f>M123</f>
        <v>70</v>
      </c>
      <c r="J123" s="28">
        <f>SUM(P118:P123)</f>
        <v>17206640.34</v>
      </c>
      <c r="K123" s="28" t="str">
        <f>强化辅助表!B155</f>
        <v>7023</v>
      </c>
      <c r="L123" s="28">
        <f>强化辅助表!D155</f>
        <v>2</v>
      </c>
      <c r="M123" s="28">
        <f>强化辅助表!F155</f>
        <v>70</v>
      </c>
      <c r="N123" s="28">
        <f>强化辅助表!Q155</f>
        <v>53.540000000000006</v>
      </c>
      <c r="O123" s="33">
        <f>强化辅助表!T155</f>
        <v>6652345</v>
      </c>
      <c r="P123" s="33">
        <f>强化辅助表!U155</f>
        <v>3038487.6</v>
      </c>
      <c r="Q123">
        <f>强化辅助表!Q155/强化辅助表!S155</f>
        <v>2.0000000000000004E-2</v>
      </c>
      <c r="R123">
        <f>强化辅助表!Q155/强化辅助表!R155</f>
        <v>2.0000000000000004E-2</v>
      </c>
      <c r="T123" s="28">
        <f>升星辅助表!AB152</f>
        <v>0</v>
      </c>
      <c r="U123" s="28">
        <f>升星辅助表!AC152</f>
        <v>5</v>
      </c>
      <c r="V123" s="28">
        <f>升星辅助表!AD152</f>
        <v>48</v>
      </c>
      <c r="W123" s="28">
        <f t="shared" si="0"/>
        <v>70</v>
      </c>
      <c r="X123" s="28">
        <f t="shared" si="1"/>
        <v>2191310</v>
      </c>
      <c r="Y123" s="28" t="str">
        <f>升星辅助表!C152</f>
        <v>7023</v>
      </c>
      <c r="Z123" s="28">
        <f>升星辅助表!F152</f>
        <v>2</v>
      </c>
      <c r="AA123" s="28">
        <f>升星辅助表!H152</f>
        <v>70</v>
      </c>
      <c r="AB123" s="28">
        <f>升星辅助表!AU152</f>
        <v>87.36</v>
      </c>
      <c r="AC123" s="33">
        <f>升星辅助表!AX152</f>
        <v>240240</v>
      </c>
      <c r="AD123" s="33">
        <f>升星辅助表!AY152</f>
        <v>240240</v>
      </c>
      <c r="AE123" s="12">
        <f>升星辅助表!AI152</f>
        <v>825</v>
      </c>
      <c r="AF123" s="5">
        <f>升星辅助表!AU152/升星辅助表!AW152</f>
        <v>0.02</v>
      </c>
      <c r="AG123" s="5">
        <f>升星辅助表!AU152/升星辅助表!AV152</f>
        <v>0.02</v>
      </c>
    </row>
    <row r="124" spans="2:33" x14ac:dyDescent="0.15">
      <c r="B124" s="5" t="str">
        <f>D_装备基础数据!A201</f>
        <v>52326</v>
      </c>
      <c r="C124" s="5" t="s">
        <v>489</v>
      </c>
      <c r="D124" s="5">
        <f ca="1">D_装备基础数据!AP201</f>
        <v>332.5952532993818</v>
      </c>
      <c r="F124" s="28">
        <f>强化辅助表!Z156</f>
        <v>0</v>
      </c>
      <c r="G124" s="28">
        <f>强化辅助表!AA156</f>
        <v>0</v>
      </c>
      <c r="H124" s="28">
        <f>强化辅助表!AB156</f>
        <v>2817</v>
      </c>
      <c r="I124" s="28"/>
      <c r="J124" s="28"/>
      <c r="K124" s="28" t="str">
        <f>强化辅助表!B156</f>
        <v>7030</v>
      </c>
      <c r="L124" s="28">
        <f>强化辅助表!D156</f>
        <v>3</v>
      </c>
      <c r="M124" s="28">
        <f>强化辅助表!F156</f>
        <v>70</v>
      </c>
      <c r="N124" s="28">
        <f>强化辅助表!Q156</f>
        <v>113.34</v>
      </c>
      <c r="O124" s="33">
        <f>强化辅助表!T156</f>
        <v>14082495</v>
      </c>
      <c r="P124" s="33">
        <f>强化辅助表!U156</f>
        <v>6438876.4399999995</v>
      </c>
      <c r="Q124">
        <f>强化辅助表!Q156/强化辅助表!S156</f>
        <v>0.02</v>
      </c>
      <c r="R124">
        <f>强化辅助表!Q156/强化辅助表!R156</f>
        <v>0.02</v>
      </c>
      <c r="T124" s="28">
        <f>升星辅助表!AB153</f>
        <v>0</v>
      </c>
      <c r="U124" s="28">
        <f>升星辅助表!AC153</f>
        <v>0</v>
      </c>
      <c r="V124" s="28">
        <f>升星辅助表!AD153</f>
        <v>190</v>
      </c>
      <c r="W124" s="28"/>
      <c r="X124" s="28"/>
      <c r="Y124" s="28" t="str">
        <f>升星辅助表!C153</f>
        <v>7030</v>
      </c>
      <c r="Z124" s="28">
        <f>升星辅助表!F153</f>
        <v>3</v>
      </c>
      <c r="AA124" s="28">
        <f>升星辅助表!H153</f>
        <v>70</v>
      </c>
      <c r="AB124" s="28">
        <f>升星辅助表!AU153</f>
        <v>344.12</v>
      </c>
      <c r="AC124" s="33">
        <f>升星辅助表!AX153</f>
        <v>946330</v>
      </c>
      <c r="AD124" s="33">
        <f>升星辅助表!AY153</f>
        <v>946330</v>
      </c>
      <c r="AE124" s="12">
        <f>升星辅助表!AI153</f>
        <v>3190</v>
      </c>
      <c r="AF124" s="5">
        <f>升星辅助表!AU153/升星辅助表!AW153</f>
        <v>0.02</v>
      </c>
      <c r="AG124" s="5">
        <f>升星辅助表!AU153/升星辅助表!AV153</f>
        <v>0.02</v>
      </c>
    </row>
    <row r="125" spans="2:33" x14ac:dyDescent="0.15">
      <c r="B125" s="5" t="str">
        <f>D_装备基础数据!A202</f>
        <v>55326</v>
      </c>
      <c r="C125" s="5" t="s">
        <v>490</v>
      </c>
      <c r="D125" s="5">
        <f ca="1">D_装备基础数据!AP202</f>
        <v>419.03462963132995</v>
      </c>
      <c r="F125" s="28">
        <f>强化辅助表!Z157</f>
        <v>0</v>
      </c>
      <c r="G125" s="28">
        <f>强化辅助表!AA157</f>
        <v>5</v>
      </c>
      <c r="H125" s="28">
        <f>强化辅助表!AB157</f>
        <v>2459</v>
      </c>
      <c r="I125" s="28"/>
      <c r="J125" s="28"/>
      <c r="K125" s="28" t="str">
        <f>强化辅助表!B157</f>
        <v>7031</v>
      </c>
      <c r="L125" s="28">
        <f>强化辅助表!D157</f>
        <v>3</v>
      </c>
      <c r="M125" s="28">
        <f>强化辅助表!F157</f>
        <v>70</v>
      </c>
      <c r="N125" s="28">
        <f>强化辅助表!Q157</f>
        <v>98.960000000000008</v>
      </c>
      <c r="O125" s="33">
        <f>强化辅助表!T157</f>
        <v>12295780</v>
      </c>
      <c r="P125" s="33">
        <f>强化辅助表!U157</f>
        <v>5638262.3200000012</v>
      </c>
      <c r="Q125">
        <f>强化辅助表!Q157/强化辅助表!S157</f>
        <v>0.02</v>
      </c>
      <c r="R125">
        <f>强化辅助表!Q157/强化辅助表!R157</f>
        <v>0.02</v>
      </c>
      <c r="T125" s="28">
        <f>升星辅助表!AB154</f>
        <v>0</v>
      </c>
      <c r="U125" s="28">
        <f>升星辅助表!AC154</f>
        <v>0</v>
      </c>
      <c r="V125" s="28">
        <f>升星辅助表!AD154</f>
        <v>133</v>
      </c>
      <c r="W125" s="28"/>
      <c r="X125" s="28"/>
      <c r="Y125" s="28" t="str">
        <f>升星辅助表!C154</f>
        <v>7031</v>
      </c>
      <c r="Z125" s="28">
        <f>升星辅助表!F154</f>
        <v>3</v>
      </c>
      <c r="AA125" s="28">
        <f>升星辅助表!H154</f>
        <v>70</v>
      </c>
      <c r="AB125" s="28">
        <f>升星辅助表!AU154</f>
        <v>240.62</v>
      </c>
      <c r="AC125" s="33">
        <f>升星辅助表!AX154</f>
        <v>661705</v>
      </c>
      <c r="AD125" s="33">
        <f>升星辅助表!AY154</f>
        <v>661705</v>
      </c>
      <c r="AE125" s="12">
        <f>升星辅助表!AI154</f>
        <v>2255</v>
      </c>
      <c r="AF125" s="5">
        <f>升星辅助表!AU154/升星辅助表!AW154</f>
        <v>0.02</v>
      </c>
      <c r="AG125" s="5">
        <f>升星辅助表!AU154/升星辅助表!AV154</f>
        <v>0.02</v>
      </c>
    </row>
    <row r="126" spans="2:33" x14ac:dyDescent="0.15">
      <c r="B126" s="5" t="str">
        <f>D_装备基础数据!A203</f>
        <v>54326</v>
      </c>
      <c r="C126" s="5" t="s">
        <v>491</v>
      </c>
      <c r="D126" s="5">
        <f ca="1">D_装备基础数据!AP203</f>
        <v>408.07791613975189</v>
      </c>
      <c r="F126" s="28">
        <f>强化辅助表!Z158</f>
        <v>0</v>
      </c>
      <c r="G126" s="28">
        <f>强化辅助表!AA158</f>
        <v>6</v>
      </c>
      <c r="H126" s="28">
        <f>强化辅助表!AB158</f>
        <v>867</v>
      </c>
      <c r="I126" s="28"/>
      <c r="J126" s="28"/>
      <c r="K126" s="28" t="str">
        <f>强化辅助表!B158</f>
        <v>7032</v>
      </c>
      <c r="L126" s="28">
        <f>强化辅助表!D158</f>
        <v>3</v>
      </c>
      <c r="M126" s="28">
        <f>强化辅助表!F158</f>
        <v>70</v>
      </c>
      <c r="N126" s="28">
        <f>强化辅助表!Q158</f>
        <v>34.9</v>
      </c>
      <c r="O126" s="33">
        <f>强化辅助表!T158</f>
        <v>4336325</v>
      </c>
      <c r="P126" s="33">
        <f>强化辅助表!U158</f>
        <v>2026454.4199999997</v>
      </c>
      <c r="Q126">
        <f>强化辅助表!Q158/强化辅助表!S158</f>
        <v>0.02</v>
      </c>
      <c r="R126">
        <f>强化辅助表!Q158/强化辅助表!R158</f>
        <v>0.02</v>
      </c>
      <c r="T126" s="28">
        <f>升星辅助表!AB155</f>
        <v>0</v>
      </c>
      <c r="U126" s="28">
        <f>升星辅助表!AC155</f>
        <v>0</v>
      </c>
      <c r="V126" s="28">
        <f>升星辅助表!AD155</f>
        <v>65</v>
      </c>
      <c r="W126" s="28"/>
      <c r="X126" s="28"/>
      <c r="Y126" s="28" t="str">
        <f>升星辅助表!C155</f>
        <v>7032</v>
      </c>
      <c r="Z126" s="28">
        <f>升星辅助表!F155</f>
        <v>3</v>
      </c>
      <c r="AA126" s="28">
        <f>升星辅助表!H155</f>
        <v>70</v>
      </c>
      <c r="AB126" s="28">
        <f>升星辅助表!AU155</f>
        <v>116.38000000000001</v>
      </c>
      <c r="AC126" s="33">
        <f>升星辅助表!AX155</f>
        <v>320045</v>
      </c>
      <c r="AD126" s="33">
        <f>升星辅助表!AY155</f>
        <v>320045</v>
      </c>
      <c r="AE126" s="12">
        <f>升星辅助表!AI155</f>
        <v>1100</v>
      </c>
      <c r="AF126" s="5">
        <f>升星辅助表!AU155/升星辅助表!AW155</f>
        <v>0.02</v>
      </c>
      <c r="AG126" s="5">
        <f>升星辅助表!AU155/升星辅助表!AV155</f>
        <v>0.02</v>
      </c>
    </row>
    <row r="127" spans="2:33" x14ac:dyDescent="0.15">
      <c r="B127" s="5" t="str">
        <f>D_装备基础数据!A204</f>
        <v>53326</v>
      </c>
      <c r="C127" s="5" t="s">
        <v>492</v>
      </c>
      <c r="D127" s="5">
        <f ca="1">D_装备基础数据!AP204</f>
        <v>593.67232969696988</v>
      </c>
      <c r="F127" s="28">
        <f>强化辅助表!Z159</f>
        <v>0</v>
      </c>
      <c r="G127" s="28">
        <f>强化辅助表!AA159</f>
        <v>7</v>
      </c>
      <c r="H127" s="28">
        <f>强化辅助表!AB159</f>
        <v>1129</v>
      </c>
      <c r="I127" s="28"/>
      <c r="J127" s="28"/>
      <c r="K127" s="28" t="str">
        <f>强化辅助表!B159</f>
        <v>7035</v>
      </c>
      <c r="L127" s="28">
        <f>强化辅助表!D159</f>
        <v>3</v>
      </c>
      <c r="M127" s="28">
        <f>强化辅助表!F159</f>
        <v>70</v>
      </c>
      <c r="N127" s="28">
        <f>强化辅助表!Q159</f>
        <v>45.46</v>
      </c>
      <c r="O127" s="33">
        <f>强化辅助表!T159</f>
        <v>5648405</v>
      </c>
      <c r="P127" s="33">
        <f>强化辅助表!U159</f>
        <v>2586038.9199999995</v>
      </c>
      <c r="Q127">
        <f>强化辅助表!Q159/强化辅助表!S159</f>
        <v>0.02</v>
      </c>
      <c r="R127">
        <f>强化辅助表!Q159/强化辅助表!R159</f>
        <v>0.02</v>
      </c>
      <c r="T127" s="28">
        <f>升星辅助表!AB156</f>
        <v>0</v>
      </c>
      <c r="U127" s="28">
        <f>升星辅助表!AC156</f>
        <v>0</v>
      </c>
      <c r="V127" s="28">
        <f>升星辅助表!AD156</f>
        <v>82</v>
      </c>
      <c r="W127" s="28"/>
      <c r="X127" s="28"/>
      <c r="Y127" s="28" t="str">
        <f>升星辅助表!C156</f>
        <v>7035</v>
      </c>
      <c r="Z127" s="28">
        <f>升星辅助表!F156</f>
        <v>3</v>
      </c>
      <c r="AA127" s="28">
        <f>升星辅助表!H156</f>
        <v>70</v>
      </c>
      <c r="AB127" s="28">
        <f>升星辅助表!AU156</f>
        <v>147.64000000000001</v>
      </c>
      <c r="AC127" s="33">
        <f>升星辅助表!AX156</f>
        <v>406010</v>
      </c>
      <c r="AD127" s="33">
        <f>升星辅助表!AY156</f>
        <v>406010</v>
      </c>
      <c r="AE127" s="12">
        <f>升星辅助表!AI156</f>
        <v>1375</v>
      </c>
      <c r="AF127" s="5">
        <f>升星辅助表!AU156/升星辅助表!AW156</f>
        <v>0.02</v>
      </c>
      <c r="AG127" s="5">
        <f>升星辅助表!AU156/升星辅助表!AV156</f>
        <v>0.02</v>
      </c>
    </row>
    <row r="128" spans="2:33" x14ac:dyDescent="0.15">
      <c r="B128" s="5" t="str">
        <f>D_装备基础数据!A205</f>
        <v>10427</v>
      </c>
      <c r="C128" s="5" t="s">
        <v>493</v>
      </c>
      <c r="D128" s="5">
        <f ca="1">D_装备基础数据!AP205</f>
        <v>1196.4196112108959</v>
      </c>
      <c r="F128" s="28">
        <f>强化辅助表!Z160</f>
        <v>0</v>
      </c>
      <c r="G128" s="28">
        <f>强化辅助表!AA160</f>
        <v>10</v>
      </c>
      <c r="H128" s="28">
        <f>强化辅助表!AB160</f>
        <v>810</v>
      </c>
      <c r="I128" s="28"/>
      <c r="J128" s="28"/>
      <c r="K128" s="28" t="str">
        <f>强化辅助表!B160</f>
        <v>7034</v>
      </c>
      <c r="L128" s="28">
        <f>强化辅助表!D160</f>
        <v>3</v>
      </c>
      <c r="M128" s="28">
        <f>强化辅助表!F160</f>
        <v>70</v>
      </c>
      <c r="N128" s="28">
        <f>强化辅助表!Q160</f>
        <v>32.659999999999997</v>
      </c>
      <c r="O128" s="33">
        <f>强化辅助表!T160</f>
        <v>4058005</v>
      </c>
      <c r="P128" s="33">
        <f>强化辅助表!U160</f>
        <v>1858846</v>
      </c>
      <c r="Q128">
        <f>强化辅助表!Q160/强化辅助表!S160</f>
        <v>1.9999999999999997E-2</v>
      </c>
      <c r="R128">
        <f>强化辅助表!Q160/强化辅助表!R160</f>
        <v>1.9999999999999997E-2</v>
      </c>
      <c r="T128" s="28">
        <f>升星辅助表!AB157</f>
        <v>0</v>
      </c>
      <c r="U128" s="28">
        <f>升星辅助表!AC157</f>
        <v>0</v>
      </c>
      <c r="V128" s="28">
        <f>升星辅助表!AD157</f>
        <v>133</v>
      </c>
      <c r="W128" s="28"/>
      <c r="X128" s="28"/>
      <c r="Y128" s="28" t="str">
        <f>升星辅助表!C157</f>
        <v>7034</v>
      </c>
      <c r="Z128" s="28">
        <f>升星辅助表!F157</f>
        <v>3</v>
      </c>
      <c r="AA128" s="28">
        <f>升星辅助表!H157</f>
        <v>70</v>
      </c>
      <c r="AB128" s="28">
        <f>升星辅助表!AU157</f>
        <v>241.48000000000002</v>
      </c>
      <c r="AC128" s="33">
        <f>升星辅助表!AX157</f>
        <v>664070</v>
      </c>
      <c r="AD128" s="33">
        <f>升星辅助表!AY157</f>
        <v>664070</v>
      </c>
      <c r="AE128" s="12">
        <f>升星辅助表!AI157</f>
        <v>2255</v>
      </c>
      <c r="AF128" s="5">
        <f>升星辅助表!AU157/升星辅助表!AW157</f>
        <v>0.02</v>
      </c>
      <c r="AG128" s="5">
        <f>升星辅助表!AU157/升星辅助表!AV157</f>
        <v>0.02</v>
      </c>
    </row>
    <row r="129" spans="2:33" x14ac:dyDescent="0.15">
      <c r="B129" s="5" t="str">
        <f>D_装备基础数据!A206</f>
        <v>20427</v>
      </c>
      <c r="C129" s="5" t="s">
        <v>494</v>
      </c>
      <c r="D129" s="5">
        <f ca="1">D_装备基础数据!AP206</f>
        <v>1196.4196112108959</v>
      </c>
      <c r="F129" s="28">
        <f>强化辅助表!Z161</f>
        <v>0</v>
      </c>
      <c r="G129" s="28">
        <f>强化辅助表!AA161</f>
        <v>4</v>
      </c>
      <c r="H129" s="28">
        <f>强化辅助表!AB161</f>
        <v>1740</v>
      </c>
      <c r="I129" s="28">
        <f>M129</f>
        <v>70</v>
      </c>
      <c r="J129" s="28">
        <f>SUM(P124:P129)</f>
        <v>22527831.48</v>
      </c>
      <c r="K129" s="28" t="str">
        <f>强化辅助表!B161</f>
        <v>7033</v>
      </c>
      <c r="L129" s="28">
        <f>强化辅助表!D161</f>
        <v>3</v>
      </c>
      <c r="M129" s="28">
        <f>强化辅助表!F161</f>
        <v>70</v>
      </c>
      <c r="N129" s="28">
        <f>强化辅助表!Q161</f>
        <v>70.039999999999992</v>
      </c>
      <c r="O129" s="33">
        <f>强化辅助表!T161</f>
        <v>8702470</v>
      </c>
      <c r="P129" s="33">
        <f>强化辅助表!U161</f>
        <v>3979353.38</v>
      </c>
      <c r="Q129">
        <f>强化辅助表!Q161/强化辅助表!S161</f>
        <v>1.9999999999999997E-2</v>
      </c>
      <c r="R129">
        <f>强化辅助表!Q161/强化辅助表!R161</f>
        <v>1.9999999999999997E-2</v>
      </c>
      <c r="T129" s="28">
        <f>升星辅助表!AB158</f>
        <v>0</v>
      </c>
      <c r="U129" s="28">
        <f>升星辅助表!AC158</f>
        <v>0</v>
      </c>
      <c r="V129" s="28">
        <f>升星辅助表!AD158</f>
        <v>85</v>
      </c>
      <c r="W129" s="28">
        <f t="shared" si="0"/>
        <v>70</v>
      </c>
      <c r="X129" s="28">
        <f t="shared" si="1"/>
        <v>3422375</v>
      </c>
      <c r="Y129" s="28" t="str">
        <f>升星辅助表!C158</f>
        <v>7033</v>
      </c>
      <c r="Z129" s="28">
        <f>升星辅助表!F158</f>
        <v>3</v>
      </c>
      <c r="AA129" s="28">
        <f>升星辅助表!H158</f>
        <v>70</v>
      </c>
      <c r="AB129" s="28">
        <f>升星辅助表!AU158</f>
        <v>154.26</v>
      </c>
      <c r="AC129" s="33">
        <f>升星辅助表!AX158</f>
        <v>424215</v>
      </c>
      <c r="AD129" s="33">
        <f>升星辅助表!AY158</f>
        <v>424215</v>
      </c>
      <c r="AE129" s="12">
        <f>升星辅助表!AI158</f>
        <v>1430</v>
      </c>
      <c r="AF129" s="5">
        <f>升星辅助表!AU158/升星辅助表!AW158</f>
        <v>0.02</v>
      </c>
      <c r="AG129" s="5">
        <f>升星辅助表!AU158/升星辅助表!AV158</f>
        <v>0.02</v>
      </c>
    </row>
    <row r="130" spans="2:33" x14ac:dyDescent="0.15">
      <c r="B130" s="5" t="str">
        <f>D_装备基础数据!A207</f>
        <v>30427</v>
      </c>
      <c r="C130" s="5" t="s">
        <v>495</v>
      </c>
      <c r="D130" s="5">
        <f ca="1">D_装备基础数据!AP207</f>
        <v>1196.4196112108959</v>
      </c>
      <c r="F130" s="28">
        <f>强化辅助表!Z162</f>
        <v>0</v>
      </c>
      <c r="G130" s="28">
        <f>强化辅助表!AA162</f>
        <v>0</v>
      </c>
      <c r="H130" s="28">
        <f>强化辅助表!AB162</f>
        <v>3289</v>
      </c>
      <c r="I130" s="28"/>
      <c r="J130" s="28"/>
      <c r="K130" s="28" t="str">
        <f>强化辅助表!B162</f>
        <v>7040</v>
      </c>
      <c r="L130" s="28">
        <f>强化辅助表!D162</f>
        <v>4</v>
      </c>
      <c r="M130" s="28">
        <f>强化辅助表!F162</f>
        <v>70</v>
      </c>
      <c r="N130" s="28">
        <f>强化辅助表!Q162</f>
        <v>132.32</v>
      </c>
      <c r="O130" s="33">
        <f>强化辅助表!T162</f>
        <v>16440760</v>
      </c>
      <c r="P130" s="33">
        <f>强化辅助表!U162</f>
        <v>7569237.3399999999</v>
      </c>
      <c r="Q130">
        <f>强化辅助表!Q162/强化辅助表!S162</f>
        <v>0.02</v>
      </c>
      <c r="R130">
        <f>强化辅助表!Q162/强化辅助表!R162</f>
        <v>0.02</v>
      </c>
      <c r="T130" s="28">
        <f>升星辅助表!AB159</f>
        <v>0</v>
      </c>
      <c r="U130" s="28">
        <f>升星辅助表!AC159</f>
        <v>0</v>
      </c>
      <c r="V130" s="28">
        <f>升星辅助表!AD159</f>
        <v>233</v>
      </c>
      <c r="W130" s="28"/>
      <c r="X130" s="28"/>
      <c r="Y130" s="28" t="str">
        <f>升星辅助表!C159</f>
        <v>7040</v>
      </c>
      <c r="Z130" s="28">
        <f>升星辅助表!F159</f>
        <v>4</v>
      </c>
      <c r="AA130" s="28">
        <f>升星辅助表!H159</f>
        <v>70</v>
      </c>
      <c r="AB130" s="28">
        <f>升星辅助表!AU159</f>
        <v>422.08</v>
      </c>
      <c r="AC130" s="33">
        <f>升星辅助表!AX159</f>
        <v>1160720</v>
      </c>
      <c r="AD130" s="33">
        <f>升星辅助表!AY159</f>
        <v>1160720</v>
      </c>
      <c r="AE130" s="12">
        <f>升星辅助表!AI159</f>
        <v>3905</v>
      </c>
      <c r="AF130" s="5">
        <f>升星辅助表!AU159/升星辅助表!AW159</f>
        <v>0.02</v>
      </c>
      <c r="AG130" s="5">
        <f>升星辅助表!AU159/升星辅助表!AV159</f>
        <v>0.02</v>
      </c>
    </row>
    <row r="131" spans="2:33" x14ac:dyDescent="0.15">
      <c r="B131" s="5" t="str">
        <f>D_装备基础数据!A208</f>
        <v>51427</v>
      </c>
      <c r="C131" s="5" t="s">
        <v>496</v>
      </c>
      <c r="D131" s="5">
        <f ca="1">D_装备基础数据!AP208</f>
        <v>977.14859488243928</v>
      </c>
      <c r="F131" s="28">
        <f>强化辅助表!Z163</f>
        <v>0</v>
      </c>
      <c r="G131" s="28">
        <f>强化辅助表!AA163</f>
        <v>0</v>
      </c>
      <c r="H131" s="28">
        <f>强化辅助表!AB163</f>
        <v>2890</v>
      </c>
      <c r="I131" s="28"/>
      <c r="J131" s="28"/>
      <c r="K131" s="28" t="str">
        <f>强化辅助表!B163</f>
        <v>7041</v>
      </c>
      <c r="L131" s="28">
        <f>强化辅助表!D163</f>
        <v>4</v>
      </c>
      <c r="M131" s="28">
        <f>强化辅助表!F163</f>
        <v>70</v>
      </c>
      <c r="N131" s="28">
        <f>强化辅助表!Q163</f>
        <v>116.28</v>
      </c>
      <c r="O131" s="33">
        <f>强化辅助表!T163</f>
        <v>14447790</v>
      </c>
      <c r="P131" s="33">
        <f>强化辅助表!U163</f>
        <v>6635878.3600000003</v>
      </c>
      <c r="Q131">
        <f>强化辅助表!Q163/强化辅助表!S163</f>
        <v>0.02</v>
      </c>
      <c r="R131">
        <f>强化辅助表!Q163/强化辅助表!R163</f>
        <v>0.02</v>
      </c>
      <c r="T131" s="28">
        <f>升星辅助表!AB160</f>
        <v>0</v>
      </c>
      <c r="U131" s="28">
        <f>升星辅助表!AC160</f>
        <v>0</v>
      </c>
      <c r="V131" s="28">
        <f>升星辅助表!AD160</f>
        <v>164</v>
      </c>
      <c r="W131" s="28"/>
      <c r="X131" s="28"/>
      <c r="Y131" s="28" t="str">
        <f>升星辅助表!C160</f>
        <v>7041</v>
      </c>
      <c r="Z131" s="28">
        <f>升星辅助表!F160</f>
        <v>4</v>
      </c>
      <c r="AA131" s="28">
        <f>升星辅助表!H160</f>
        <v>70</v>
      </c>
      <c r="AB131" s="28">
        <f>升星辅助表!AU160</f>
        <v>297.34000000000003</v>
      </c>
      <c r="AC131" s="33">
        <f>升星辅助表!AX160</f>
        <v>817685</v>
      </c>
      <c r="AD131" s="33">
        <f>升星辅助表!AY160</f>
        <v>817685</v>
      </c>
      <c r="AE131" s="12">
        <f>升星辅助表!AI160</f>
        <v>2750</v>
      </c>
      <c r="AF131" s="5">
        <f>升星辅助表!AU160/升星辅助表!AW160</f>
        <v>0.02</v>
      </c>
      <c r="AG131" s="5">
        <f>升星辅助表!AU160/升星辅助表!AV160</f>
        <v>0.02</v>
      </c>
    </row>
    <row r="132" spans="2:33" x14ac:dyDescent="0.15">
      <c r="B132" s="5" t="str">
        <f>D_装备基础数据!A209</f>
        <v>52427</v>
      </c>
      <c r="C132" s="5" t="s">
        <v>497</v>
      </c>
      <c r="D132" s="5">
        <f ca="1">D_装备基础数据!AP209</f>
        <v>394.30825380129045</v>
      </c>
      <c r="F132" s="28">
        <f>强化辅助表!Z164</f>
        <v>0</v>
      </c>
      <c r="G132" s="28">
        <f>强化辅助表!AA164</f>
        <v>7</v>
      </c>
      <c r="H132" s="28">
        <f>强化辅助表!AB164</f>
        <v>1050</v>
      </c>
      <c r="I132" s="28"/>
      <c r="J132" s="28"/>
      <c r="K132" s="28" t="str">
        <f>强化辅助表!B164</f>
        <v>7042</v>
      </c>
      <c r="L132" s="28">
        <f>强化辅助表!D164</f>
        <v>4</v>
      </c>
      <c r="M132" s="28">
        <f>强化辅助表!F164</f>
        <v>70</v>
      </c>
      <c r="N132" s="28">
        <f>强化辅助表!Q164</f>
        <v>42.28</v>
      </c>
      <c r="O132" s="33">
        <f>强化辅助表!T164</f>
        <v>5253290</v>
      </c>
      <c r="P132" s="33">
        <f>强化辅助表!U164</f>
        <v>2402569.46</v>
      </c>
      <c r="Q132">
        <f>强化辅助表!Q164/强化辅助表!S164</f>
        <v>0.02</v>
      </c>
      <c r="R132">
        <f>强化辅助表!Q164/强化辅助表!R164</f>
        <v>0.02</v>
      </c>
      <c r="T132" s="28">
        <f>升星辅助表!AB161</f>
        <v>0</v>
      </c>
      <c r="U132" s="28">
        <f>升星辅助表!AC161</f>
        <v>0</v>
      </c>
      <c r="V132" s="28">
        <f>升星辅助表!AD161</f>
        <v>83</v>
      </c>
      <c r="W132" s="28"/>
      <c r="X132" s="28"/>
      <c r="Y132" s="28" t="str">
        <f>升星辅助表!C161</f>
        <v>7042</v>
      </c>
      <c r="Z132" s="28">
        <f>升星辅助表!F161</f>
        <v>4</v>
      </c>
      <c r="AA132" s="28">
        <f>升星辅助表!H161</f>
        <v>70</v>
      </c>
      <c r="AB132" s="28">
        <f>升星辅助表!AU161</f>
        <v>150.66</v>
      </c>
      <c r="AC132" s="33">
        <f>升星辅助表!AX161</f>
        <v>414315</v>
      </c>
      <c r="AD132" s="33">
        <f>升星辅助表!AY161</f>
        <v>414315</v>
      </c>
      <c r="AE132" s="12">
        <f>升星辅助表!AI161</f>
        <v>1430</v>
      </c>
      <c r="AF132" s="5">
        <f>升星辅助表!AU161/升星辅助表!AW161</f>
        <v>0.02</v>
      </c>
      <c r="AG132" s="5">
        <f>升星辅助表!AU161/升星辅助表!AV161</f>
        <v>0.02</v>
      </c>
    </row>
    <row r="133" spans="2:33" x14ac:dyDescent="0.15">
      <c r="B133" s="5" t="str">
        <f>D_装备基础数据!A210</f>
        <v>55427</v>
      </c>
      <c r="C133" s="5" t="s">
        <v>498</v>
      </c>
      <c r="D133" s="5">
        <f ca="1">D_装备基础数据!AP210</f>
        <v>494.08096967378793</v>
      </c>
      <c r="F133" s="28">
        <f>强化辅助表!Z165</f>
        <v>0</v>
      </c>
      <c r="G133" s="28">
        <f>强化辅助表!AA165</f>
        <v>3</v>
      </c>
      <c r="H133" s="28">
        <f>强化辅助表!AB165</f>
        <v>1324</v>
      </c>
      <c r="I133" s="28"/>
      <c r="J133" s="28"/>
      <c r="K133" s="28" t="str">
        <f>强化辅助表!B165</f>
        <v>7045</v>
      </c>
      <c r="L133" s="28">
        <f>强化辅助表!D165</f>
        <v>4</v>
      </c>
      <c r="M133" s="28">
        <f>强化辅助表!F165</f>
        <v>70</v>
      </c>
      <c r="N133" s="28">
        <f>强化辅助表!Q165</f>
        <v>53.300000000000004</v>
      </c>
      <c r="O133" s="33">
        <f>强化辅助表!T165</f>
        <v>6622525</v>
      </c>
      <c r="P133" s="33">
        <f>强化辅助表!U165</f>
        <v>3045856.0199999996</v>
      </c>
      <c r="Q133">
        <f>强化辅助表!Q165/强化辅助表!S165</f>
        <v>0.02</v>
      </c>
      <c r="R133">
        <f>强化辅助表!Q165/强化辅助表!R165</f>
        <v>0.02</v>
      </c>
      <c r="T133" s="28">
        <f>升星辅助表!AB162</f>
        <v>0</v>
      </c>
      <c r="U133" s="28">
        <f>升星辅助表!AC162</f>
        <v>0</v>
      </c>
      <c r="V133" s="28">
        <f>升星辅助表!AD162</f>
        <v>101</v>
      </c>
      <c r="W133" s="28"/>
      <c r="X133" s="28"/>
      <c r="Y133" s="28" t="str">
        <f>升星辅助表!C162</f>
        <v>7045</v>
      </c>
      <c r="Z133" s="28">
        <f>升星辅助表!F162</f>
        <v>4</v>
      </c>
      <c r="AA133" s="28">
        <f>升星辅助表!H162</f>
        <v>70</v>
      </c>
      <c r="AB133" s="28">
        <f>升星辅助表!AU162</f>
        <v>182.54000000000002</v>
      </c>
      <c r="AC133" s="33">
        <f>升星辅助表!AX162</f>
        <v>501985</v>
      </c>
      <c r="AD133" s="33">
        <f>升星辅助表!AY162</f>
        <v>501985</v>
      </c>
      <c r="AE133" s="12">
        <f>升星辅助表!AI162</f>
        <v>1705</v>
      </c>
      <c r="AF133" s="5">
        <f>升星辅助表!AU162/升星辅助表!AW162</f>
        <v>2.0000000000000004E-2</v>
      </c>
      <c r="AG133" s="5">
        <f>升星辅助表!AU162/升星辅助表!AV162</f>
        <v>2.0000000000000004E-2</v>
      </c>
    </row>
    <row r="134" spans="2:33" x14ac:dyDescent="0.15">
      <c r="B134" s="5" t="str">
        <f>D_装备基础数据!A211</f>
        <v>54427</v>
      </c>
      <c r="C134" s="5" t="s">
        <v>499</v>
      </c>
      <c r="D134" s="5">
        <f ca="1">D_装备基础数据!AP211</f>
        <v>522.72730145170476</v>
      </c>
      <c r="F134" s="28">
        <f>强化辅助表!Z166</f>
        <v>0</v>
      </c>
      <c r="G134" s="28">
        <f>强化辅助表!AA166</f>
        <v>6</v>
      </c>
      <c r="H134" s="28">
        <f>强化辅助表!AB166</f>
        <v>954</v>
      </c>
      <c r="I134" s="28"/>
      <c r="J134" s="28"/>
      <c r="K134" s="28" t="str">
        <f>强化辅助表!B166</f>
        <v>7044</v>
      </c>
      <c r="L134" s="28">
        <f>强化辅助表!D166</f>
        <v>4</v>
      </c>
      <c r="M134" s="28">
        <f>强化辅助表!F166</f>
        <v>70</v>
      </c>
      <c r="N134" s="28">
        <f>强化辅助表!Q166</f>
        <v>38.400000000000006</v>
      </c>
      <c r="O134" s="33">
        <f>强化辅助表!T166</f>
        <v>4771200</v>
      </c>
      <c r="P134" s="33">
        <f>强化辅助表!U166</f>
        <v>2190333.7000000002</v>
      </c>
      <c r="Q134">
        <f>强化辅助表!Q166/强化辅助表!S166</f>
        <v>2.0000000000000004E-2</v>
      </c>
      <c r="R134">
        <f>强化辅助表!Q166/强化辅助表!R166</f>
        <v>2.0000000000000004E-2</v>
      </c>
      <c r="T134" s="28">
        <f>升星辅助表!AB163</f>
        <v>0</v>
      </c>
      <c r="U134" s="28">
        <f>升星辅助表!AC163</f>
        <v>0</v>
      </c>
      <c r="V134" s="28">
        <f>升星辅助表!AD163</f>
        <v>164</v>
      </c>
      <c r="W134" s="28"/>
      <c r="X134" s="28"/>
      <c r="Y134" s="28" t="str">
        <f>升星辅助表!C163</f>
        <v>7044</v>
      </c>
      <c r="Z134" s="28">
        <f>升星辅助表!F163</f>
        <v>4</v>
      </c>
      <c r="AA134" s="28">
        <f>升星辅助表!H163</f>
        <v>70</v>
      </c>
      <c r="AB134" s="28">
        <f>升星辅助表!AU163</f>
        <v>298.12</v>
      </c>
      <c r="AC134" s="33">
        <f>升星辅助表!AX163</f>
        <v>819830</v>
      </c>
      <c r="AD134" s="33">
        <f>升星辅助表!AY163</f>
        <v>819830</v>
      </c>
      <c r="AE134" s="12">
        <f>升星辅助表!AI163</f>
        <v>2750</v>
      </c>
      <c r="AF134" s="5">
        <f>升星辅助表!AU163/升星辅助表!AW163</f>
        <v>0.02</v>
      </c>
      <c r="AG134" s="5">
        <f>升星辅助表!AU163/升星辅助表!AV163</f>
        <v>0.02</v>
      </c>
    </row>
    <row r="135" spans="2:33" x14ac:dyDescent="0.15">
      <c r="B135" s="5" t="str">
        <f>D_装备基础数据!A212</f>
        <v>53427</v>
      </c>
      <c r="C135" s="5" t="s">
        <v>500</v>
      </c>
      <c r="D135" s="5">
        <f ca="1">D_装备基础数据!AP212</f>
        <v>679.7180727272729</v>
      </c>
      <c r="F135" s="28">
        <f>强化辅助表!Z167</f>
        <v>0</v>
      </c>
      <c r="G135" s="28">
        <f>强化辅助表!AA167</f>
        <v>5</v>
      </c>
      <c r="H135" s="28">
        <f>强化辅助表!AB167</f>
        <v>2050</v>
      </c>
      <c r="I135" s="28">
        <f t="shared" ref="I135" si="2">M135</f>
        <v>70</v>
      </c>
      <c r="J135" s="28">
        <f t="shared" ref="J135" si="3">SUM(P130:P135)</f>
        <v>26548175.399999999</v>
      </c>
      <c r="K135" s="28" t="str">
        <f>强化辅助表!B167</f>
        <v>7043</v>
      </c>
      <c r="L135" s="28">
        <f>强化辅助表!D167</f>
        <v>4</v>
      </c>
      <c r="M135" s="28">
        <f>强化辅助表!F167</f>
        <v>70</v>
      </c>
      <c r="N135" s="28">
        <f>强化辅助表!Q167</f>
        <v>82.5</v>
      </c>
      <c r="O135" s="33">
        <f>强化辅助表!T167</f>
        <v>10250625</v>
      </c>
      <c r="P135" s="33">
        <f>强化辅助表!U167</f>
        <v>4704300.5199999996</v>
      </c>
      <c r="Q135">
        <f>强化辅助表!Q167/强化辅助表!S167</f>
        <v>0.02</v>
      </c>
      <c r="R135">
        <f>强化辅助表!Q167/强化辅助表!R167</f>
        <v>0.02</v>
      </c>
      <c r="T135" s="28">
        <f>升星辅助表!AB164</f>
        <v>0</v>
      </c>
      <c r="U135" s="28">
        <f>升星辅助表!AC164</f>
        <v>0</v>
      </c>
      <c r="V135" s="28">
        <f>升星辅助表!AD164</f>
        <v>110</v>
      </c>
      <c r="W135" s="28">
        <f t="shared" si="0"/>
        <v>70</v>
      </c>
      <c r="X135" s="28">
        <f t="shared" si="1"/>
        <v>4262610</v>
      </c>
      <c r="Y135" s="28" t="str">
        <f>升星辅助表!C164</f>
        <v>7043</v>
      </c>
      <c r="Z135" s="28">
        <f>升星辅助表!F164</f>
        <v>4</v>
      </c>
      <c r="AA135" s="28">
        <f>升星辅助表!H164</f>
        <v>70</v>
      </c>
      <c r="AB135" s="28">
        <f>升星辅助表!AU164</f>
        <v>199.3</v>
      </c>
      <c r="AC135" s="33">
        <f>升星辅助表!AX164</f>
        <v>548075</v>
      </c>
      <c r="AD135" s="33">
        <f>升星辅助表!AY164</f>
        <v>548075</v>
      </c>
      <c r="AE135" s="12">
        <f>升星辅助表!AI164</f>
        <v>1870</v>
      </c>
      <c r="AF135" s="5">
        <f>升星辅助表!AU164/升星辅助表!AW164</f>
        <v>0.02</v>
      </c>
      <c r="AG135" s="5">
        <f>升星辅助表!AU164/升星辅助表!AV164</f>
        <v>0.02</v>
      </c>
    </row>
    <row r="136" spans="2:33" x14ac:dyDescent="0.15">
      <c r="F136" s="28">
        <f>强化辅助表!Z168</f>
        <v>0</v>
      </c>
      <c r="G136" s="28">
        <f>强化辅助表!AA168</f>
        <v>4</v>
      </c>
      <c r="H136" s="28">
        <f>强化辅助表!AB168</f>
        <v>2415</v>
      </c>
      <c r="I136" s="28"/>
      <c r="J136" s="28"/>
      <c r="K136" s="28" t="str">
        <f>强化辅助表!B168</f>
        <v>8010</v>
      </c>
      <c r="L136" s="28">
        <f>强化辅助表!D168</f>
        <v>1</v>
      </c>
      <c r="M136" s="28">
        <f>强化辅助表!F168</f>
        <v>80</v>
      </c>
      <c r="N136" s="28">
        <f>强化辅助表!Q168</f>
        <v>74.56</v>
      </c>
      <c r="O136" s="33">
        <f>强化辅助表!T168</f>
        <v>12078720</v>
      </c>
      <c r="P136" s="33">
        <f>强化辅助表!U168</f>
        <v>6229348.959999999</v>
      </c>
      <c r="Q136">
        <f>强化辅助表!Q168/强化辅助表!S168</f>
        <v>0.02</v>
      </c>
      <c r="R136">
        <f>强化辅助表!Q168/强化辅助表!R168</f>
        <v>0.02</v>
      </c>
      <c r="T136" s="28">
        <f>升星辅助表!AB165</f>
        <v>0</v>
      </c>
      <c r="U136" s="28">
        <f>升星辅助表!AC165</f>
        <v>0</v>
      </c>
      <c r="V136" s="28">
        <f>升星辅助表!AD165</f>
        <v>99</v>
      </c>
      <c r="W136" s="28"/>
      <c r="X136" s="28"/>
      <c r="Y136" s="28" t="str">
        <f>升星辅助表!C165</f>
        <v>8010</v>
      </c>
      <c r="Z136" s="28">
        <f>升星辅助表!F165</f>
        <v>1</v>
      </c>
      <c r="AA136" s="28">
        <f>升星辅助表!H165</f>
        <v>80</v>
      </c>
      <c r="AB136" s="28">
        <f>升星辅助表!AU165</f>
        <v>179</v>
      </c>
      <c r="AC136" s="33">
        <f>升星辅助表!AX165</f>
        <v>492250</v>
      </c>
      <c r="AD136" s="33">
        <f>升星辅助表!AY165</f>
        <v>492250</v>
      </c>
      <c r="AE136" s="12">
        <f>升星辅助表!AI165</f>
        <v>1650</v>
      </c>
      <c r="AF136" s="5">
        <f>升星辅助表!AU165/升星辅助表!AW165</f>
        <v>0.02</v>
      </c>
      <c r="AG136" s="5">
        <f>升星辅助表!AU165/升星辅助表!AV165</f>
        <v>0.02</v>
      </c>
    </row>
    <row r="137" spans="2:33" x14ac:dyDescent="0.15">
      <c r="F137" s="28">
        <f>强化辅助表!Z169</f>
        <v>0</v>
      </c>
      <c r="G137" s="28">
        <f>强化辅助表!AA169</f>
        <v>4</v>
      </c>
      <c r="H137" s="28">
        <f>强化辅助表!AB169</f>
        <v>2116</v>
      </c>
      <c r="I137" s="28"/>
      <c r="J137" s="28"/>
      <c r="K137" s="28" t="str">
        <f>强化辅助表!B169</f>
        <v>8011</v>
      </c>
      <c r="L137" s="28">
        <f>强化辅助表!D169</f>
        <v>1</v>
      </c>
      <c r="M137" s="28">
        <f>强化辅助表!F169</f>
        <v>80</v>
      </c>
      <c r="N137" s="28">
        <f>强化辅助表!Q169</f>
        <v>65.319999999999993</v>
      </c>
      <c r="O137" s="33">
        <f>强化辅助表!T169</f>
        <v>10581840</v>
      </c>
      <c r="P137" s="33">
        <f>强化辅助表!U169</f>
        <v>5477569.7199999988</v>
      </c>
      <c r="Q137">
        <f>强化辅助表!Q169/强化辅助表!S169</f>
        <v>1.9999999999999997E-2</v>
      </c>
      <c r="R137">
        <f>强化辅助表!Q169/强化辅助表!R169</f>
        <v>1.9999999999999997E-2</v>
      </c>
      <c r="T137" s="28">
        <f>升星辅助表!AB166</f>
        <v>0</v>
      </c>
      <c r="U137" s="28">
        <f>升星辅助表!AC166</f>
        <v>4</v>
      </c>
      <c r="V137" s="28">
        <f>升星辅助表!AD166</f>
        <v>43</v>
      </c>
      <c r="W137" s="28"/>
      <c r="X137" s="28"/>
      <c r="Y137" s="28" t="str">
        <f>升星辅助表!C166</f>
        <v>8011</v>
      </c>
      <c r="Z137" s="28">
        <f>升星辅助表!F166</f>
        <v>1</v>
      </c>
      <c r="AA137" s="28">
        <f>升星辅助表!H166</f>
        <v>80</v>
      </c>
      <c r="AB137" s="28">
        <f>升星辅助表!AU166</f>
        <v>78.400000000000006</v>
      </c>
      <c r="AC137" s="33">
        <f>升星辅助表!AX166</f>
        <v>215600</v>
      </c>
      <c r="AD137" s="33">
        <f>升星辅助表!AY166</f>
        <v>215600</v>
      </c>
      <c r="AE137" s="12">
        <f>升星辅助表!AI166</f>
        <v>770</v>
      </c>
      <c r="AF137" s="5">
        <f>升星辅助表!AU166/升星辅助表!AW166</f>
        <v>0.02</v>
      </c>
      <c r="AG137" s="5">
        <f>升星辅助表!AU166/升星辅助表!AV166</f>
        <v>0.02</v>
      </c>
    </row>
    <row r="138" spans="2:33" x14ac:dyDescent="0.15">
      <c r="F138" s="28">
        <f>强化辅助表!Z170</f>
        <v>0</v>
      </c>
      <c r="G138" s="28">
        <f>强化辅助表!AA170</f>
        <v>12</v>
      </c>
      <c r="H138" s="28">
        <f>强化辅助表!AB170</f>
        <v>738</v>
      </c>
      <c r="I138" s="28"/>
      <c r="J138" s="28"/>
      <c r="K138" s="28" t="str">
        <f>强化辅助表!B170</f>
        <v>8012</v>
      </c>
      <c r="L138" s="28">
        <f>强化辅助表!D170</f>
        <v>1</v>
      </c>
      <c r="M138" s="28">
        <f>强化辅助表!F170</f>
        <v>80</v>
      </c>
      <c r="N138" s="28">
        <f>强化辅助表!Q170</f>
        <v>22.82</v>
      </c>
      <c r="O138" s="33">
        <f>强化辅助表!T170</f>
        <v>3696840</v>
      </c>
      <c r="P138" s="33">
        <f>强化辅助表!U170</f>
        <v>1913724.7800000003</v>
      </c>
      <c r="Q138">
        <f>强化辅助表!Q170/强化辅助表!S170</f>
        <v>0.02</v>
      </c>
      <c r="R138">
        <f>强化辅助表!Q170/强化辅助表!R170</f>
        <v>0.02</v>
      </c>
      <c r="T138" s="28">
        <f>升星辅助表!AB167</f>
        <v>0</v>
      </c>
      <c r="U138" s="28">
        <f>升星辅助表!AC167</f>
        <v>6</v>
      </c>
      <c r="V138" s="28">
        <f>升星辅助表!AD167</f>
        <v>21</v>
      </c>
      <c r="W138" s="28"/>
      <c r="X138" s="28"/>
      <c r="Y138" s="28" t="str">
        <f>升星辅助表!C167</f>
        <v>8012</v>
      </c>
      <c r="Z138" s="28">
        <f>升星辅助表!F167</f>
        <v>1</v>
      </c>
      <c r="AA138" s="28">
        <f>升星辅助表!H167</f>
        <v>80</v>
      </c>
      <c r="AB138" s="28">
        <f>升星辅助表!AU167</f>
        <v>39.200000000000003</v>
      </c>
      <c r="AC138" s="33">
        <f>升星辅助表!AX167</f>
        <v>107800</v>
      </c>
      <c r="AD138" s="33">
        <f>升星辅助表!AY167</f>
        <v>107800</v>
      </c>
      <c r="AE138" s="12">
        <f>升星辅助表!AI167</f>
        <v>385</v>
      </c>
      <c r="AF138" s="5">
        <f>升星辅助表!AU167/升星辅助表!AW167</f>
        <v>0.02</v>
      </c>
      <c r="AG138" s="5">
        <f>升星辅助表!AU167/升星辅助表!AV167</f>
        <v>0.02</v>
      </c>
    </row>
    <row r="139" spans="2:33" x14ac:dyDescent="0.15">
      <c r="F139" s="28">
        <f>强化辅助表!Z171</f>
        <v>0</v>
      </c>
      <c r="G139" s="28">
        <f>强化辅助表!AA171</f>
        <v>10</v>
      </c>
      <c r="H139" s="28">
        <f>强化辅助表!AB171</f>
        <v>974</v>
      </c>
      <c r="I139" s="28"/>
      <c r="J139" s="28"/>
      <c r="K139" s="28" t="str">
        <f>强化辅助表!B171</f>
        <v>8015</v>
      </c>
      <c r="L139" s="28">
        <f>强化辅助表!D171</f>
        <v>1</v>
      </c>
      <c r="M139" s="28">
        <f>强化辅助表!F171</f>
        <v>80</v>
      </c>
      <c r="N139" s="28">
        <f>强化辅助表!Q171</f>
        <v>30.1</v>
      </c>
      <c r="O139" s="33">
        <f>强化辅助表!T171</f>
        <v>4876200</v>
      </c>
      <c r="P139" s="33">
        <f>强化辅助表!U171</f>
        <v>2515576</v>
      </c>
      <c r="Q139">
        <f>强化辅助表!Q171/强化辅助表!S171</f>
        <v>0.02</v>
      </c>
      <c r="R139">
        <f>强化辅助表!Q171/强化辅助表!R171</f>
        <v>0.02</v>
      </c>
      <c r="T139" s="28">
        <f>升星辅助表!AB168</f>
        <v>0</v>
      </c>
      <c r="U139" s="28">
        <f>升星辅助表!AC168</f>
        <v>6</v>
      </c>
      <c r="V139" s="28">
        <f>升星辅助表!AD168</f>
        <v>21</v>
      </c>
      <c r="W139" s="28"/>
      <c r="X139" s="28"/>
      <c r="Y139" s="28" t="str">
        <f>升星辅助表!C168</f>
        <v>8015</v>
      </c>
      <c r="Z139" s="28">
        <f>升星辅助表!F168</f>
        <v>1</v>
      </c>
      <c r="AA139" s="28">
        <f>升星辅助表!H168</f>
        <v>80</v>
      </c>
      <c r="AB139" s="28">
        <f>升星辅助表!AU168</f>
        <v>39.200000000000003</v>
      </c>
      <c r="AC139" s="33">
        <f>升星辅助表!AX168</f>
        <v>107800</v>
      </c>
      <c r="AD139" s="33">
        <f>升星辅助表!AY168</f>
        <v>107800</v>
      </c>
      <c r="AE139" s="12">
        <f>升星辅助表!AI168</f>
        <v>385</v>
      </c>
      <c r="AF139" s="5">
        <f>升星辅助表!AU168/升星辅助表!AW168</f>
        <v>0.02</v>
      </c>
      <c r="AG139" s="5">
        <f>升星辅助表!AU168/升星辅助表!AV168</f>
        <v>0.02</v>
      </c>
    </row>
    <row r="140" spans="2:33" x14ac:dyDescent="0.15">
      <c r="F140" s="28">
        <f>强化辅助表!Z172</f>
        <v>0</v>
      </c>
      <c r="G140" s="28">
        <f>强化辅助表!AA172</f>
        <v>11</v>
      </c>
      <c r="H140" s="28">
        <f>强化辅助表!AB172</f>
        <v>701</v>
      </c>
      <c r="I140" s="28"/>
      <c r="J140" s="28"/>
      <c r="K140" s="28" t="str">
        <f>强化辅助表!B172</f>
        <v>8014</v>
      </c>
      <c r="L140" s="28">
        <f>强化辅助表!D172</f>
        <v>1</v>
      </c>
      <c r="M140" s="28">
        <f>强化辅助表!F172</f>
        <v>80</v>
      </c>
      <c r="N140" s="28">
        <f>强化辅助表!Q172</f>
        <v>21.68</v>
      </c>
      <c r="O140" s="33">
        <f>强化辅助表!T172</f>
        <v>3512160</v>
      </c>
      <c r="P140" s="33">
        <f>强化辅助表!U172</f>
        <v>1806352.4</v>
      </c>
      <c r="Q140">
        <f>强化辅助表!Q172/强化辅助表!S172</f>
        <v>0.02</v>
      </c>
      <c r="R140">
        <f>强化辅助表!Q172/强化辅助表!R172</f>
        <v>0.02</v>
      </c>
      <c r="T140" s="28">
        <f>升星辅助表!AB169</f>
        <v>0</v>
      </c>
      <c r="U140" s="28">
        <f>升星辅助表!AC169</f>
        <v>4</v>
      </c>
      <c r="V140" s="28">
        <f>升星辅助表!AD169</f>
        <v>43</v>
      </c>
      <c r="W140" s="28"/>
      <c r="X140" s="28"/>
      <c r="Y140" s="28" t="str">
        <f>升星辅助表!C169</f>
        <v>8014</v>
      </c>
      <c r="Z140" s="28">
        <f>升星辅助表!F169</f>
        <v>1</v>
      </c>
      <c r="AA140" s="28">
        <f>升星辅助表!H169</f>
        <v>80</v>
      </c>
      <c r="AB140" s="28">
        <f>升星辅助表!AU169</f>
        <v>78.400000000000006</v>
      </c>
      <c r="AC140" s="33">
        <f>升星辅助表!AX169</f>
        <v>215600</v>
      </c>
      <c r="AD140" s="33">
        <f>升星辅助表!AY169</f>
        <v>215600</v>
      </c>
      <c r="AE140" s="12">
        <f>升星辅助表!AI169</f>
        <v>770</v>
      </c>
      <c r="AF140" s="5">
        <f>升星辅助表!AU169/升星辅助表!AW169</f>
        <v>0.02</v>
      </c>
      <c r="AG140" s="5">
        <f>升星辅助表!AU169/升星辅助表!AV169</f>
        <v>0.02</v>
      </c>
    </row>
    <row r="141" spans="2:33" x14ac:dyDescent="0.15">
      <c r="F141" s="28">
        <f>强化辅助表!Z173</f>
        <v>0</v>
      </c>
      <c r="G141" s="28">
        <f>强化辅助表!AA173</f>
        <v>7</v>
      </c>
      <c r="H141" s="28">
        <f>强化辅助表!AB173</f>
        <v>1483</v>
      </c>
      <c r="I141" s="28">
        <f t="shared" ref="I141" si="4">M141</f>
        <v>80</v>
      </c>
      <c r="J141" s="28">
        <f t="shared" ref="J141" si="5">SUM(P136:P141)</f>
        <v>21775185.939999998</v>
      </c>
      <c r="K141" s="28" t="str">
        <f>强化辅助表!B173</f>
        <v>8013</v>
      </c>
      <c r="L141" s="28">
        <f>强化辅助表!D173</f>
        <v>1</v>
      </c>
      <c r="M141" s="28">
        <f>强化辅助表!F173</f>
        <v>80</v>
      </c>
      <c r="N141" s="28">
        <f>强化辅助表!Q173</f>
        <v>45.8</v>
      </c>
      <c r="O141" s="33">
        <f>强化辅助表!T173</f>
        <v>7419600</v>
      </c>
      <c r="P141" s="33">
        <f>强化辅助表!U173</f>
        <v>3832614.08</v>
      </c>
      <c r="Q141">
        <f>强化辅助表!Q173/强化辅助表!S173</f>
        <v>0.02</v>
      </c>
      <c r="R141">
        <f>强化辅助表!Q173/强化辅助表!R173</f>
        <v>0.02</v>
      </c>
      <c r="T141" s="28">
        <f>升星辅助表!AB170</f>
        <v>0</v>
      </c>
      <c r="U141" s="28">
        <f>升星辅助表!AC170</f>
        <v>3</v>
      </c>
      <c r="V141" s="28">
        <f>升星辅助表!AD170</f>
        <v>33</v>
      </c>
      <c r="W141" s="28">
        <f t="shared" si="0"/>
        <v>80</v>
      </c>
      <c r="X141" s="28">
        <f t="shared" si="1"/>
        <v>1304050</v>
      </c>
      <c r="Y141" s="28" t="str">
        <f>升星辅助表!C170</f>
        <v>8013</v>
      </c>
      <c r="Z141" s="28">
        <f>升星辅助表!F170</f>
        <v>1</v>
      </c>
      <c r="AA141" s="28">
        <f>升星辅助表!H170</f>
        <v>80</v>
      </c>
      <c r="AB141" s="28">
        <f>升星辅助表!AU170</f>
        <v>60</v>
      </c>
      <c r="AC141" s="33">
        <f>升星辅助表!AX170</f>
        <v>165000</v>
      </c>
      <c r="AD141" s="33">
        <f>升星辅助表!AY170</f>
        <v>165000</v>
      </c>
      <c r="AE141" s="12">
        <f>升星辅助表!AI170</f>
        <v>550</v>
      </c>
      <c r="AF141" s="5">
        <f>升星辅助表!AU170/升星辅助表!AW170</f>
        <v>0.02</v>
      </c>
      <c r="AG141" s="5">
        <f>升星辅助表!AU170/升星辅助表!AV170</f>
        <v>0.02</v>
      </c>
    </row>
    <row r="142" spans="2:33" x14ac:dyDescent="0.15">
      <c r="F142" s="28">
        <f>强化辅助表!Z174</f>
        <v>0</v>
      </c>
      <c r="G142" s="28">
        <f>强化辅助表!AA174</f>
        <v>0</v>
      </c>
      <c r="H142" s="28">
        <f>强化辅助表!AB174</f>
        <v>3493</v>
      </c>
      <c r="I142" s="28"/>
      <c r="J142" s="28"/>
      <c r="K142" s="28" t="str">
        <f>强化辅助表!B174</f>
        <v>8020</v>
      </c>
      <c r="L142" s="28">
        <f>强化辅助表!D174</f>
        <v>2</v>
      </c>
      <c r="M142" s="28">
        <f>强化辅助表!F174</f>
        <v>80</v>
      </c>
      <c r="N142" s="28">
        <f>强化辅助表!Q174</f>
        <v>107.8</v>
      </c>
      <c r="O142" s="33">
        <f>强化辅助表!T174</f>
        <v>17463600</v>
      </c>
      <c r="P142" s="33">
        <f>强化辅助表!U174</f>
        <v>9008064.2799999993</v>
      </c>
      <c r="Q142">
        <f>强化辅助表!Q174/强化辅助表!S174</f>
        <v>0.02</v>
      </c>
      <c r="R142">
        <f>强化辅助表!Q174/强化辅助表!R174</f>
        <v>0.02</v>
      </c>
      <c r="T142" s="28">
        <f>升星辅助表!AB171</f>
        <v>0</v>
      </c>
      <c r="U142" s="28">
        <f>升星辅助表!AC171</f>
        <v>0</v>
      </c>
      <c r="V142" s="28">
        <f>升星辅助表!AD171</f>
        <v>160</v>
      </c>
      <c r="W142" s="28"/>
      <c r="X142" s="28"/>
      <c r="Y142" s="28" t="str">
        <f>升星辅助表!C171</f>
        <v>8020</v>
      </c>
      <c r="Z142" s="28">
        <f>升星辅助表!F171</f>
        <v>2</v>
      </c>
      <c r="AA142" s="28">
        <f>升星辅助表!H171</f>
        <v>80</v>
      </c>
      <c r="AB142" s="28">
        <f>升星辅助表!AU171</f>
        <v>290</v>
      </c>
      <c r="AC142" s="33">
        <f>升星辅助表!AX171</f>
        <v>797500</v>
      </c>
      <c r="AD142" s="33">
        <f>升星辅助表!AY171</f>
        <v>797500</v>
      </c>
      <c r="AE142" s="12">
        <f>升星辅助表!AI171</f>
        <v>2695</v>
      </c>
      <c r="AF142" s="5">
        <f>升星辅助表!AU171/升星辅助表!AW171</f>
        <v>0.02</v>
      </c>
      <c r="AG142" s="5">
        <f>升星辅助表!AU171/升星辅助表!AV171</f>
        <v>0.02</v>
      </c>
    </row>
    <row r="143" spans="2:33" x14ac:dyDescent="0.15">
      <c r="F143" s="28">
        <f>强化辅助表!Z175</f>
        <v>0</v>
      </c>
      <c r="G143" s="28">
        <f>强化辅助表!AA175</f>
        <v>5</v>
      </c>
      <c r="H143" s="28">
        <f>强化辅助表!AB175</f>
        <v>3083</v>
      </c>
      <c r="I143" s="28"/>
      <c r="J143" s="28"/>
      <c r="K143" s="28" t="str">
        <f>强化辅助表!B175</f>
        <v>8021</v>
      </c>
      <c r="L143" s="28">
        <f>强化辅助表!D175</f>
        <v>2</v>
      </c>
      <c r="M143" s="28">
        <f>强化辅助表!F175</f>
        <v>80</v>
      </c>
      <c r="N143" s="28">
        <f>强化辅助表!Q175</f>
        <v>95.16</v>
      </c>
      <c r="O143" s="33">
        <f>强化辅助表!T175</f>
        <v>15415920</v>
      </c>
      <c r="P143" s="33">
        <f>强化辅助表!U175</f>
        <v>7920263.1600000001</v>
      </c>
      <c r="Q143">
        <f>强化辅助表!Q175/强化辅助表!S175</f>
        <v>0.02</v>
      </c>
      <c r="R143">
        <f>强化辅助表!Q175/强化辅助表!R175</f>
        <v>0.02</v>
      </c>
      <c r="T143" s="28">
        <f>升星辅助表!AB172</f>
        <v>0</v>
      </c>
      <c r="U143" s="28">
        <f>升星辅助表!AC172</f>
        <v>0</v>
      </c>
      <c r="V143" s="28">
        <f>升星辅助表!AD172</f>
        <v>114</v>
      </c>
      <c r="W143" s="28"/>
      <c r="X143" s="28"/>
      <c r="Y143" s="28" t="str">
        <f>升星辅助表!C172</f>
        <v>8021</v>
      </c>
      <c r="Z143" s="28">
        <f>升星辅助表!F172</f>
        <v>2</v>
      </c>
      <c r="AA143" s="28">
        <f>升星辅助表!H172</f>
        <v>80</v>
      </c>
      <c r="AB143" s="28">
        <f>升星辅助表!AU172</f>
        <v>206.24</v>
      </c>
      <c r="AC143" s="33">
        <f>升星辅助表!AX172</f>
        <v>567160</v>
      </c>
      <c r="AD143" s="33">
        <f>升星辅助表!AY172</f>
        <v>567160</v>
      </c>
      <c r="AE143" s="12">
        <f>升星辅助表!AI172</f>
        <v>1925</v>
      </c>
      <c r="AF143" s="5">
        <f>升星辅助表!AU172/升星辅助表!AW172</f>
        <v>0.02</v>
      </c>
      <c r="AG143" s="5">
        <f>升星辅助表!AU172/升星辅助表!AV172</f>
        <v>0.02</v>
      </c>
    </row>
    <row r="144" spans="2:33" x14ac:dyDescent="0.15">
      <c r="F144" s="28">
        <f>强化辅助表!Z176</f>
        <v>0</v>
      </c>
      <c r="G144" s="28">
        <f>强化辅助表!AA176</f>
        <v>6</v>
      </c>
      <c r="H144" s="28">
        <f>强化辅助表!AB176</f>
        <v>1087</v>
      </c>
      <c r="I144" s="28"/>
      <c r="J144" s="28"/>
      <c r="K144" s="28" t="str">
        <f>强化辅助表!B176</f>
        <v>8022</v>
      </c>
      <c r="L144" s="28">
        <f>强化辅助表!D176</f>
        <v>2</v>
      </c>
      <c r="M144" s="28">
        <f>强化辅助表!F176</f>
        <v>80</v>
      </c>
      <c r="N144" s="28">
        <f>强化辅助表!Q176</f>
        <v>33.56</v>
      </c>
      <c r="O144" s="33">
        <f>强化辅助表!T176</f>
        <v>5436720</v>
      </c>
      <c r="P144" s="33">
        <f>强化辅助表!U176</f>
        <v>2805150.8000000003</v>
      </c>
      <c r="Q144">
        <f>强化辅助表!Q176/强化辅助表!S176</f>
        <v>0.02</v>
      </c>
      <c r="R144">
        <f>强化辅助表!Q176/强化辅助表!R176</f>
        <v>0.02</v>
      </c>
      <c r="T144" s="28">
        <f>升星辅助表!AB173</f>
        <v>0</v>
      </c>
      <c r="U144" s="28">
        <f>升星辅助表!AC173</f>
        <v>5</v>
      </c>
      <c r="V144" s="28">
        <f>升星辅助表!AD173</f>
        <v>48</v>
      </c>
      <c r="W144" s="28"/>
      <c r="X144" s="28"/>
      <c r="Y144" s="28" t="str">
        <f>升星辅助表!C173</f>
        <v>8022</v>
      </c>
      <c r="Z144" s="28">
        <f>升星辅助表!F173</f>
        <v>2</v>
      </c>
      <c r="AA144" s="28">
        <f>升星辅助表!H173</f>
        <v>80</v>
      </c>
      <c r="AB144" s="28">
        <f>升星辅助表!AU173</f>
        <v>87.6</v>
      </c>
      <c r="AC144" s="33">
        <f>升星辅助表!AX173</f>
        <v>240900</v>
      </c>
      <c r="AD144" s="33">
        <f>升星辅助表!AY173</f>
        <v>240900</v>
      </c>
      <c r="AE144" s="12">
        <f>升星辅助表!AI173</f>
        <v>825</v>
      </c>
      <c r="AF144" s="5">
        <f>升星辅助表!AU173/升星辅助表!AW173</f>
        <v>0.02</v>
      </c>
      <c r="AG144" s="5">
        <f>升星辅助表!AU173/升星辅助表!AV173</f>
        <v>0.02</v>
      </c>
    </row>
    <row r="145" spans="6:33" x14ac:dyDescent="0.15">
      <c r="F145" s="28">
        <f>强化辅助表!Z177</f>
        <v>0</v>
      </c>
      <c r="G145" s="28">
        <f>强化辅助表!AA177</f>
        <v>7</v>
      </c>
      <c r="H145" s="28">
        <f>强化辅助表!AB177</f>
        <v>1409</v>
      </c>
      <c r="I145" s="28"/>
      <c r="J145" s="28"/>
      <c r="K145" s="28" t="str">
        <f>强化辅助表!B177</f>
        <v>8025</v>
      </c>
      <c r="L145" s="28">
        <f>强化辅助表!D177</f>
        <v>2</v>
      </c>
      <c r="M145" s="28">
        <f>强化辅助表!F177</f>
        <v>80</v>
      </c>
      <c r="N145" s="28">
        <f>强化辅助表!Q177</f>
        <v>43.52</v>
      </c>
      <c r="O145" s="33">
        <f>强化辅助表!T177</f>
        <v>7050240</v>
      </c>
      <c r="P145" s="33">
        <f>强化辅助表!U177</f>
        <v>3631505.1399999997</v>
      </c>
      <c r="Q145">
        <f>强化辅助表!Q177/强化辅助表!S177</f>
        <v>0.02</v>
      </c>
      <c r="R145">
        <f>强化辅助表!Q177/强化辅助表!R177</f>
        <v>0.02</v>
      </c>
      <c r="T145" s="28">
        <f>升星辅助表!AB174</f>
        <v>0</v>
      </c>
      <c r="U145" s="28">
        <f>升星辅助表!AC174</f>
        <v>0</v>
      </c>
      <c r="V145" s="28">
        <f>升星辅助表!AD174</f>
        <v>57</v>
      </c>
      <c r="W145" s="28"/>
      <c r="X145" s="28"/>
      <c r="Y145" s="28" t="str">
        <f>升星辅助表!C174</f>
        <v>8025</v>
      </c>
      <c r="Z145" s="28">
        <f>升星辅助表!F174</f>
        <v>2</v>
      </c>
      <c r="AA145" s="28">
        <f>升星辅助表!H174</f>
        <v>80</v>
      </c>
      <c r="AB145" s="28">
        <f>升星辅助表!AU174</f>
        <v>102.5</v>
      </c>
      <c r="AC145" s="33">
        <f>升星辅助表!AX174</f>
        <v>281875</v>
      </c>
      <c r="AD145" s="33">
        <f>升星辅助表!AY174</f>
        <v>281875</v>
      </c>
      <c r="AE145" s="12">
        <f>升星辅助表!AI174</f>
        <v>990</v>
      </c>
      <c r="AF145" s="5">
        <f>升星辅助表!AU174/升星辅助表!AW174</f>
        <v>0.02</v>
      </c>
      <c r="AG145" s="5">
        <f>升星辅助表!AU174/升星辅助表!AV174</f>
        <v>0.02</v>
      </c>
    </row>
    <row r="146" spans="6:33" x14ac:dyDescent="0.15">
      <c r="F146" s="28">
        <f>强化辅助表!Z178</f>
        <v>0</v>
      </c>
      <c r="G146" s="28">
        <f>强化辅助表!AA178</f>
        <v>10</v>
      </c>
      <c r="H146" s="28">
        <f>强化辅助表!AB178</f>
        <v>1010</v>
      </c>
      <c r="I146" s="28"/>
      <c r="J146" s="28"/>
      <c r="K146" s="28" t="str">
        <f>强化辅助表!B178</f>
        <v>8024</v>
      </c>
      <c r="L146" s="28">
        <f>强化辅助表!D178</f>
        <v>2</v>
      </c>
      <c r="M146" s="28">
        <f>强化辅助表!F178</f>
        <v>80</v>
      </c>
      <c r="N146" s="28">
        <f>强化辅助表!Q178</f>
        <v>31.200000000000003</v>
      </c>
      <c r="O146" s="33">
        <f>强化辅助表!T178</f>
        <v>5054400</v>
      </c>
      <c r="P146" s="33">
        <f>强化辅助表!U178</f>
        <v>2605078.92</v>
      </c>
      <c r="Q146">
        <f>强化辅助表!Q178/强化辅助表!S178</f>
        <v>0.02</v>
      </c>
      <c r="R146">
        <f>强化辅助表!Q178/强化辅助表!R178</f>
        <v>0.02</v>
      </c>
      <c r="T146" s="28">
        <f>升星辅助表!AB175</f>
        <v>0</v>
      </c>
      <c r="U146" s="28">
        <f>升星辅助表!AC175</f>
        <v>0</v>
      </c>
      <c r="V146" s="28">
        <f>升星辅助表!AD175</f>
        <v>110</v>
      </c>
      <c r="W146" s="28"/>
      <c r="X146" s="28"/>
      <c r="Y146" s="28" t="str">
        <f>升星辅助表!C175</f>
        <v>8024</v>
      </c>
      <c r="Z146" s="28">
        <f>升星辅助表!F175</f>
        <v>2</v>
      </c>
      <c r="AA146" s="28">
        <f>升星辅助表!H175</f>
        <v>80</v>
      </c>
      <c r="AB146" s="28">
        <f>升星辅助表!AU175</f>
        <v>199.24</v>
      </c>
      <c r="AC146" s="33">
        <f>升星辅助表!AX175</f>
        <v>547910</v>
      </c>
      <c r="AD146" s="33">
        <f>升星辅助表!AY175</f>
        <v>547910</v>
      </c>
      <c r="AE146" s="12">
        <f>升星辅助表!AI175</f>
        <v>1870</v>
      </c>
      <c r="AF146" s="5">
        <f>升星辅助表!AU175/升星辅助表!AW175</f>
        <v>0.02</v>
      </c>
      <c r="AG146" s="5">
        <f>升星辅助表!AU175/升星辅助表!AV175</f>
        <v>0.02</v>
      </c>
    </row>
    <row r="147" spans="6:33" x14ac:dyDescent="0.15">
      <c r="F147" s="28">
        <f>强化辅助表!Z179</f>
        <v>0</v>
      </c>
      <c r="G147" s="28">
        <f>强化辅助表!AA179</f>
        <v>4</v>
      </c>
      <c r="H147" s="28">
        <f>强化辅助表!AB179</f>
        <v>2160</v>
      </c>
      <c r="I147" s="28">
        <f t="shared" ref="I147" si="6">M147</f>
        <v>80</v>
      </c>
      <c r="J147" s="28">
        <f t="shared" ref="J147" si="7">SUM(P142:P147)</f>
        <v>31536988.82</v>
      </c>
      <c r="K147" s="28" t="str">
        <f>强化辅助表!B179</f>
        <v>8023</v>
      </c>
      <c r="L147" s="28">
        <f>强化辅助表!D179</f>
        <v>2</v>
      </c>
      <c r="M147" s="28">
        <f>强化辅助表!F179</f>
        <v>80</v>
      </c>
      <c r="N147" s="28">
        <f>强化辅助表!Q179</f>
        <v>66.680000000000007</v>
      </c>
      <c r="O147" s="33">
        <f>强化辅助表!T179</f>
        <v>10802160</v>
      </c>
      <c r="P147" s="33">
        <f>强化辅助表!U179</f>
        <v>5566926.5200000014</v>
      </c>
      <c r="Q147">
        <f>强化辅助表!Q179/强化辅助表!S179</f>
        <v>0.02</v>
      </c>
      <c r="R147">
        <f>强化辅助表!Q179/强化辅助表!R179</f>
        <v>0.02</v>
      </c>
      <c r="T147" s="28">
        <f>升星辅助表!AB176</f>
        <v>0</v>
      </c>
      <c r="U147" s="28">
        <f>升星辅助表!AC176</f>
        <v>0</v>
      </c>
      <c r="V147" s="28">
        <f>升星辅助表!AD176</f>
        <v>61</v>
      </c>
      <c r="W147" s="28">
        <f t="shared" si="0"/>
        <v>80</v>
      </c>
      <c r="X147" s="28">
        <f t="shared" si="1"/>
        <v>2735425</v>
      </c>
      <c r="Y147" s="28" t="str">
        <f>升星辅助表!C176</f>
        <v>8023</v>
      </c>
      <c r="Z147" s="28">
        <f>升星辅助表!F176</f>
        <v>2</v>
      </c>
      <c r="AA147" s="28">
        <f>升星辅助表!H176</f>
        <v>80</v>
      </c>
      <c r="AB147" s="28">
        <f>升星辅助表!AU176</f>
        <v>109.12</v>
      </c>
      <c r="AC147" s="33">
        <f>升星辅助表!AX176</f>
        <v>300080</v>
      </c>
      <c r="AD147" s="33">
        <f>升星辅助表!AY176</f>
        <v>300080</v>
      </c>
      <c r="AE147" s="12">
        <f>升星辅助表!AI176</f>
        <v>1045</v>
      </c>
      <c r="AF147" s="5">
        <f>升星辅助表!AU176/升星辅助表!AW176</f>
        <v>0.02</v>
      </c>
      <c r="AG147" s="5">
        <f>升星辅助表!AU176/升星辅助表!AV176</f>
        <v>0.02</v>
      </c>
    </row>
    <row r="148" spans="6:33" x14ac:dyDescent="0.15">
      <c r="F148" s="28">
        <f>强化辅助表!Z180</f>
        <v>0</v>
      </c>
      <c r="G148" s="28">
        <f>强化辅助表!AA180</f>
        <v>0</v>
      </c>
      <c r="H148" s="28">
        <f>强化辅助表!AB180</f>
        <v>4576</v>
      </c>
      <c r="I148" s="28"/>
      <c r="J148" s="28"/>
      <c r="K148" s="28" t="str">
        <f>强化辅助表!B180</f>
        <v>8030</v>
      </c>
      <c r="L148" s="28">
        <f>强化辅助表!D180</f>
        <v>3</v>
      </c>
      <c r="M148" s="28">
        <f>强化辅助表!F180</f>
        <v>80</v>
      </c>
      <c r="N148" s="28">
        <f>强化辅助表!Q180</f>
        <v>141.22</v>
      </c>
      <c r="O148" s="33">
        <f>强化辅助表!T180</f>
        <v>22877640</v>
      </c>
      <c r="P148" s="33">
        <f>强化辅助表!U180</f>
        <v>11793797.619999999</v>
      </c>
      <c r="Q148">
        <f>强化辅助表!Q180/强化辅助表!S180</f>
        <v>0.02</v>
      </c>
      <c r="R148">
        <f>强化辅助表!Q180/强化辅助表!R180</f>
        <v>0.02</v>
      </c>
      <c r="T148" s="28">
        <f>升星辅助表!AB177</f>
        <v>0</v>
      </c>
      <c r="U148" s="28">
        <f>升星辅助表!AC177</f>
        <v>0</v>
      </c>
      <c r="V148" s="28">
        <f>升星辅助表!AD177</f>
        <v>237</v>
      </c>
      <c r="W148" s="28"/>
      <c r="X148" s="28"/>
      <c r="Y148" s="28" t="str">
        <f>升星辅助表!C177</f>
        <v>8030</v>
      </c>
      <c r="Z148" s="28">
        <f>升星辅助表!F177</f>
        <v>3</v>
      </c>
      <c r="AA148" s="28">
        <f>升星辅助表!H177</f>
        <v>80</v>
      </c>
      <c r="AB148" s="28">
        <f>升星辅助表!AU177</f>
        <v>429.32</v>
      </c>
      <c r="AC148" s="33">
        <f>升星辅助表!AX177</f>
        <v>1180630</v>
      </c>
      <c r="AD148" s="33">
        <f>升星辅助表!AY177</f>
        <v>1180630</v>
      </c>
      <c r="AE148" s="12">
        <f>升星辅助表!AI177</f>
        <v>3960</v>
      </c>
      <c r="AF148" s="5">
        <f>升星辅助表!AU177/升星辅助表!AW177</f>
        <v>0.02</v>
      </c>
      <c r="AG148" s="5">
        <f>升星辅助表!AU177/升星辅助表!AV177</f>
        <v>0.02</v>
      </c>
    </row>
    <row r="149" spans="6:33" x14ac:dyDescent="0.15">
      <c r="F149" s="28">
        <f>强化辅助表!Z181</f>
        <v>0</v>
      </c>
      <c r="G149" s="28">
        <f>强化辅助表!AA181</f>
        <v>0</v>
      </c>
      <c r="H149" s="28">
        <f>强化辅助表!AB181</f>
        <v>4017</v>
      </c>
      <c r="I149" s="28"/>
      <c r="J149" s="28"/>
      <c r="K149" s="28" t="str">
        <f>强化辅助表!B181</f>
        <v>8031</v>
      </c>
      <c r="L149" s="28">
        <f>强化辅助表!D181</f>
        <v>3</v>
      </c>
      <c r="M149" s="28">
        <f>强化辅助表!F181</f>
        <v>80</v>
      </c>
      <c r="N149" s="28">
        <f>强化辅助表!Q181</f>
        <v>123.96000000000001</v>
      </c>
      <c r="O149" s="33">
        <f>强化辅助表!T181</f>
        <v>20081520</v>
      </c>
      <c r="P149" s="33">
        <f>强化辅助表!U181</f>
        <v>10338701.560000002</v>
      </c>
      <c r="Q149">
        <f>强化辅助表!Q181/强化辅助表!S181</f>
        <v>0.02</v>
      </c>
      <c r="R149">
        <f>强化辅助表!Q181/强化辅助表!R181</f>
        <v>0.02</v>
      </c>
      <c r="T149" s="28">
        <f>升星辅助表!AB178</f>
        <v>0</v>
      </c>
      <c r="U149" s="28">
        <f>升星辅助表!AC178</f>
        <v>0</v>
      </c>
      <c r="V149" s="28">
        <f>升星辅助表!AD178</f>
        <v>166</v>
      </c>
      <c r="W149" s="28"/>
      <c r="X149" s="28"/>
      <c r="Y149" s="28" t="str">
        <f>升星辅助表!C178</f>
        <v>8031</v>
      </c>
      <c r="Z149" s="28">
        <f>升星辅助表!F178</f>
        <v>3</v>
      </c>
      <c r="AA149" s="28">
        <f>升星辅助表!H178</f>
        <v>80</v>
      </c>
      <c r="AB149" s="28">
        <f>升星辅助表!AU178</f>
        <v>300.34000000000003</v>
      </c>
      <c r="AC149" s="33">
        <f>升星辅助表!AX178</f>
        <v>825935</v>
      </c>
      <c r="AD149" s="33">
        <f>升星辅助表!AY178</f>
        <v>825935</v>
      </c>
      <c r="AE149" s="12">
        <f>升星辅助表!AI178</f>
        <v>2805</v>
      </c>
      <c r="AF149" s="5">
        <f>升星辅助表!AU178/升星辅助表!AW178</f>
        <v>0.02</v>
      </c>
      <c r="AG149" s="5">
        <f>升星辅助表!AU178/升星辅助表!AV178</f>
        <v>0.02</v>
      </c>
    </row>
    <row r="150" spans="6:33" x14ac:dyDescent="0.15">
      <c r="F150" s="28">
        <f>强化辅助表!Z182</f>
        <v>0</v>
      </c>
      <c r="G150" s="28">
        <f>强化辅助表!AA182</f>
        <v>7</v>
      </c>
      <c r="H150" s="28">
        <f>强化辅助表!AB182</f>
        <v>1423</v>
      </c>
      <c r="I150" s="28"/>
      <c r="J150" s="28"/>
      <c r="K150" s="28" t="str">
        <f>强化辅助表!B182</f>
        <v>8032</v>
      </c>
      <c r="L150" s="28">
        <f>强化辅助表!D182</f>
        <v>3</v>
      </c>
      <c r="M150" s="28">
        <f>强化辅助表!F182</f>
        <v>80</v>
      </c>
      <c r="N150" s="28">
        <f>强化辅助表!Q182</f>
        <v>43.96</v>
      </c>
      <c r="O150" s="33">
        <f>强化辅助表!T182</f>
        <v>7121520</v>
      </c>
      <c r="P150" s="33">
        <f>强化辅助表!U182</f>
        <v>3693373.66</v>
      </c>
      <c r="Q150">
        <f>强化辅助表!Q182/强化辅助表!S182</f>
        <v>0.02</v>
      </c>
      <c r="R150">
        <f>强化辅助表!Q182/强化辅助表!R182</f>
        <v>0.02</v>
      </c>
      <c r="T150" s="28">
        <f>升星辅助表!AB179</f>
        <v>0</v>
      </c>
      <c r="U150" s="28">
        <f>升星辅助表!AC179</f>
        <v>0</v>
      </c>
      <c r="V150" s="28">
        <f>升星辅助表!AD179</f>
        <v>80</v>
      </c>
      <c r="W150" s="28"/>
      <c r="X150" s="28"/>
      <c r="Y150" s="28" t="str">
        <f>升星辅助表!C179</f>
        <v>8032</v>
      </c>
      <c r="Z150" s="28">
        <f>升星辅助表!F179</f>
        <v>3</v>
      </c>
      <c r="AA150" s="28">
        <f>升星辅助表!H179</f>
        <v>80</v>
      </c>
      <c r="AB150" s="28">
        <f>升星辅助表!AU179</f>
        <v>145.30000000000001</v>
      </c>
      <c r="AC150" s="33">
        <f>升星辅助表!AX179</f>
        <v>399575</v>
      </c>
      <c r="AD150" s="33">
        <f>升星辅助表!AY179</f>
        <v>399575</v>
      </c>
      <c r="AE150" s="12">
        <f>升星辅助表!AI179</f>
        <v>1375</v>
      </c>
      <c r="AF150" s="5">
        <f>升星辅助表!AU179/升星辅助表!AW179</f>
        <v>0.02</v>
      </c>
      <c r="AG150" s="5">
        <f>升星辅助表!AU179/升星辅助表!AV179</f>
        <v>0.02</v>
      </c>
    </row>
    <row r="151" spans="6:33" x14ac:dyDescent="0.15">
      <c r="F151" s="28">
        <f>强化辅助表!Z183</f>
        <v>0</v>
      </c>
      <c r="G151" s="28">
        <f>强化辅助表!AA183</f>
        <v>3</v>
      </c>
      <c r="H151" s="28">
        <f>强化辅助表!AB183</f>
        <v>1843</v>
      </c>
      <c r="I151" s="28"/>
      <c r="J151" s="28"/>
      <c r="K151" s="28" t="str">
        <f>强化辅助表!B183</f>
        <v>8035</v>
      </c>
      <c r="L151" s="28">
        <f>强化辅助表!D183</f>
        <v>3</v>
      </c>
      <c r="M151" s="28">
        <f>强化辅助表!F183</f>
        <v>80</v>
      </c>
      <c r="N151" s="28">
        <f>强化辅助表!Q183</f>
        <v>56.900000000000006</v>
      </c>
      <c r="O151" s="33">
        <f>强化辅助表!T183</f>
        <v>9217800</v>
      </c>
      <c r="P151" s="33">
        <f>强化辅助表!U183</f>
        <v>4743630.0199999996</v>
      </c>
      <c r="Q151">
        <f>强化辅助表!Q183/强化辅助表!S183</f>
        <v>0.02</v>
      </c>
      <c r="R151">
        <f>强化辅助表!Q183/强化辅助表!R183</f>
        <v>0.02</v>
      </c>
      <c r="T151" s="28">
        <f>升星辅助表!AB180</f>
        <v>0</v>
      </c>
      <c r="U151" s="28">
        <f>升星辅助表!AC180</f>
        <v>0</v>
      </c>
      <c r="V151" s="28">
        <f>升星辅助表!AD180</f>
        <v>102</v>
      </c>
      <c r="W151" s="28"/>
      <c r="X151" s="28"/>
      <c r="Y151" s="28" t="str">
        <f>升星辅助表!C180</f>
        <v>8035</v>
      </c>
      <c r="Z151" s="28">
        <f>升星辅助表!F180</f>
        <v>3</v>
      </c>
      <c r="AA151" s="28">
        <f>升星辅助表!H180</f>
        <v>80</v>
      </c>
      <c r="AB151" s="28">
        <f>升星辅助表!AU180</f>
        <v>184.54000000000002</v>
      </c>
      <c r="AC151" s="33">
        <f>升星辅助表!AX180</f>
        <v>507485</v>
      </c>
      <c r="AD151" s="33">
        <f>升星辅助表!AY180</f>
        <v>507485</v>
      </c>
      <c r="AE151" s="12">
        <f>升星辅助表!AI180</f>
        <v>1705</v>
      </c>
      <c r="AF151" s="5">
        <f>升星辅助表!AU180/升星辅助表!AW180</f>
        <v>2.0000000000000004E-2</v>
      </c>
      <c r="AG151" s="5">
        <f>升星辅助表!AU180/升星辅助表!AV180</f>
        <v>2.0000000000000004E-2</v>
      </c>
    </row>
    <row r="152" spans="6:33" x14ac:dyDescent="0.15">
      <c r="F152" s="28">
        <f>强化辅助表!Z184</f>
        <v>0</v>
      </c>
      <c r="G152" s="28">
        <f>强化辅助表!AA184</f>
        <v>7</v>
      </c>
      <c r="H152" s="28">
        <f>强化辅助表!AB184</f>
        <v>1323</v>
      </c>
      <c r="I152" s="28"/>
      <c r="J152" s="28"/>
      <c r="K152" s="28" t="str">
        <f>强化辅助表!B184</f>
        <v>8034</v>
      </c>
      <c r="L152" s="28">
        <f>强化辅助表!D184</f>
        <v>3</v>
      </c>
      <c r="M152" s="28">
        <f>强化辅助表!F184</f>
        <v>80</v>
      </c>
      <c r="N152" s="28">
        <f>强化辅助表!Q184</f>
        <v>40.86</v>
      </c>
      <c r="O152" s="33">
        <f>强化辅助表!T184</f>
        <v>6619320</v>
      </c>
      <c r="P152" s="33">
        <f>强化辅助表!U184</f>
        <v>3408216.34</v>
      </c>
      <c r="Q152">
        <f>强化辅助表!Q184/强化辅助表!S184</f>
        <v>0.02</v>
      </c>
      <c r="R152">
        <f>强化辅助表!Q184/强化辅助表!R184</f>
        <v>0.02</v>
      </c>
      <c r="T152" s="28">
        <f>升星辅助表!AB181</f>
        <v>0</v>
      </c>
      <c r="U152" s="28">
        <f>升星辅助表!AC181</f>
        <v>0</v>
      </c>
      <c r="V152" s="28">
        <f>升星辅助表!AD181</f>
        <v>167</v>
      </c>
      <c r="W152" s="28"/>
      <c r="X152" s="28"/>
      <c r="Y152" s="28" t="str">
        <f>升星辅助表!C181</f>
        <v>8034</v>
      </c>
      <c r="Z152" s="28">
        <f>升星辅助表!F181</f>
        <v>3</v>
      </c>
      <c r="AA152" s="28">
        <f>升星辅助表!H181</f>
        <v>80</v>
      </c>
      <c r="AB152" s="28">
        <f>升星辅助表!AU181</f>
        <v>302.08000000000004</v>
      </c>
      <c r="AC152" s="33">
        <f>升星辅助表!AX181</f>
        <v>830720</v>
      </c>
      <c r="AD152" s="33">
        <f>升星辅助表!AY181</f>
        <v>830720</v>
      </c>
      <c r="AE152" s="12">
        <f>升星辅助表!AI181</f>
        <v>2805</v>
      </c>
      <c r="AF152" s="5">
        <f>升星辅助表!AU181/升星辅助表!AW181</f>
        <v>2.0000000000000004E-2</v>
      </c>
      <c r="AG152" s="5">
        <f>升星辅助表!AU181/升星辅助表!AV181</f>
        <v>2.0000000000000004E-2</v>
      </c>
    </row>
    <row r="153" spans="6:33" x14ac:dyDescent="0.15">
      <c r="F153" s="28">
        <f>强化辅助表!Z185</f>
        <v>0</v>
      </c>
      <c r="G153" s="28">
        <f>强化辅助表!AA185</f>
        <v>5</v>
      </c>
      <c r="H153" s="28">
        <f>强化辅助表!AB185</f>
        <v>2826</v>
      </c>
      <c r="I153" s="28">
        <f t="shared" ref="I153" si="8">M153</f>
        <v>80</v>
      </c>
      <c r="J153" s="28">
        <f t="shared" ref="J153" si="9">SUM(P148:P153)</f>
        <v>41264367.760000005</v>
      </c>
      <c r="K153" s="28" t="str">
        <f>强化辅助表!B185</f>
        <v>8033</v>
      </c>
      <c r="L153" s="28">
        <f>强化辅助表!D185</f>
        <v>3</v>
      </c>
      <c r="M153" s="28">
        <f>强化辅助表!F185</f>
        <v>80</v>
      </c>
      <c r="N153" s="28">
        <f>强化辅助表!Q185</f>
        <v>87.22</v>
      </c>
      <c r="O153" s="33">
        <f>强化辅助表!T185</f>
        <v>14129640</v>
      </c>
      <c r="P153" s="33">
        <f>强化辅助表!U185</f>
        <v>7286648.5599999996</v>
      </c>
      <c r="Q153">
        <f>强化辅助表!Q185/强化辅助表!S185</f>
        <v>0.02</v>
      </c>
      <c r="R153">
        <f>强化辅助表!Q185/强化辅助表!R185</f>
        <v>0.02</v>
      </c>
      <c r="T153" s="28">
        <f>升星辅助表!AB182</f>
        <v>0</v>
      </c>
      <c r="U153" s="28">
        <f>升星辅助表!AC182</f>
        <v>0</v>
      </c>
      <c r="V153" s="28">
        <f>升星辅助表!AD182</f>
        <v>107</v>
      </c>
      <c r="W153" s="28">
        <f t="shared" si="0"/>
        <v>80</v>
      </c>
      <c r="X153" s="28">
        <f t="shared" si="1"/>
        <v>4276690</v>
      </c>
      <c r="Y153" s="28" t="str">
        <f>升星辅助表!C182</f>
        <v>8033</v>
      </c>
      <c r="Z153" s="28">
        <f>升星辅助表!F182</f>
        <v>3</v>
      </c>
      <c r="AA153" s="28">
        <f>升星辅助表!H182</f>
        <v>80</v>
      </c>
      <c r="AB153" s="28">
        <f>升星辅助表!AU182</f>
        <v>193.57999999999998</v>
      </c>
      <c r="AC153" s="33">
        <f>升星辅助表!AX182</f>
        <v>532345</v>
      </c>
      <c r="AD153" s="33">
        <f>升星辅助表!AY182</f>
        <v>532345</v>
      </c>
      <c r="AE153" s="12">
        <f>升星辅助表!AI182</f>
        <v>1815</v>
      </c>
      <c r="AF153" s="5">
        <f>升星辅助表!AU182/升星辅助表!AW182</f>
        <v>1.9999999999999997E-2</v>
      </c>
      <c r="AG153" s="5">
        <f>升星辅助表!AU182/升星辅助表!AV182</f>
        <v>1.9999999999999997E-2</v>
      </c>
    </row>
    <row r="154" spans="6:33" x14ac:dyDescent="0.15">
      <c r="F154" s="28">
        <f>强化辅助表!Z186</f>
        <v>0</v>
      </c>
      <c r="G154" s="28">
        <f>强化辅助表!AA186</f>
        <v>0</v>
      </c>
      <c r="H154" s="28">
        <f>强化辅助表!AB186</f>
        <v>5370</v>
      </c>
      <c r="I154" s="28"/>
      <c r="J154" s="28"/>
      <c r="K154" s="28" t="str">
        <f>强化辅助表!B186</f>
        <v>8040</v>
      </c>
      <c r="L154" s="28">
        <f>强化辅助表!D186</f>
        <v>4</v>
      </c>
      <c r="M154" s="28">
        <f>强化辅助表!F186</f>
        <v>80</v>
      </c>
      <c r="N154" s="28">
        <f>强化辅助表!Q186</f>
        <v>165.74</v>
      </c>
      <c r="O154" s="33">
        <f>强化辅助表!T186</f>
        <v>26849880</v>
      </c>
      <c r="P154" s="33">
        <f>强化辅助表!U186</f>
        <v>13853932.400000002</v>
      </c>
      <c r="Q154">
        <f>强化辅助表!Q186/强化辅助表!S186</f>
        <v>0.02</v>
      </c>
      <c r="R154">
        <f>强化辅助表!Q186/强化辅助表!R186</f>
        <v>0.02</v>
      </c>
      <c r="T154" s="28">
        <f>升星辅助表!AB183</f>
        <v>0</v>
      </c>
      <c r="U154" s="28">
        <f>升星辅助表!AC183</f>
        <v>0</v>
      </c>
      <c r="V154" s="28">
        <f>升星辅助表!AD183</f>
        <v>291</v>
      </c>
      <c r="W154" s="28"/>
      <c r="X154" s="28"/>
      <c r="Y154" s="28" t="str">
        <f>升星辅助表!C183</f>
        <v>8040</v>
      </c>
      <c r="Z154" s="28">
        <f>升星辅助表!F183</f>
        <v>4</v>
      </c>
      <c r="AA154" s="28">
        <f>升星辅助表!H183</f>
        <v>80</v>
      </c>
      <c r="AB154" s="28">
        <f>升星辅助表!AU183</f>
        <v>527.30000000000007</v>
      </c>
      <c r="AC154" s="33">
        <f>升星辅助表!AX183</f>
        <v>1450075</v>
      </c>
      <c r="AD154" s="33">
        <f>升星辅助表!AY183</f>
        <v>1450075</v>
      </c>
      <c r="AE154" s="12">
        <f>升星辅助表!AI183</f>
        <v>4840</v>
      </c>
      <c r="AF154" s="5">
        <f>升星辅助表!AU183/升星辅助表!AW183</f>
        <v>2.0000000000000004E-2</v>
      </c>
      <c r="AG154" s="5">
        <f>升星辅助表!AU183/升星辅助表!AV183</f>
        <v>2.0000000000000004E-2</v>
      </c>
    </row>
    <row r="155" spans="6:33" x14ac:dyDescent="0.15">
      <c r="F155" s="28">
        <f>强化辅助表!Z187</f>
        <v>0</v>
      </c>
      <c r="G155" s="28">
        <f>强化辅助表!AA187</f>
        <v>0</v>
      </c>
      <c r="H155" s="28">
        <f>强化辅助表!AB187</f>
        <v>4733</v>
      </c>
      <c r="I155" s="28"/>
      <c r="J155" s="28"/>
      <c r="K155" s="28" t="str">
        <f>强化辅助表!B187</f>
        <v>8041</v>
      </c>
      <c r="L155" s="28">
        <f>强化辅助表!D187</f>
        <v>4</v>
      </c>
      <c r="M155" s="28">
        <f>强化辅助表!F187</f>
        <v>80</v>
      </c>
      <c r="N155" s="28">
        <f>强化辅助表!Q187</f>
        <v>146.07999999999998</v>
      </c>
      <c r="O155" s="33">
        <f>强化辅助表!T187</f>
        <v>23664960</v>
      </c>
      <c r="P155" s="33">
        <f>强化辅助表!U187</f>
        <v>12175085.879999999</v>
      </c>
      <c r="Q155">
        <f>强化辅助表!Q187/强化辅助表!S187</f>
        <v>1.9999999999999997E-2</v>
      </c>
      <c r="R155">
        <f>强化辅助表!Q187/强化辅助表!R187</f>
        <v>1.9999999999999997E-2</v>
      </c>
      <c r="T155" s="28">
        <f>升星辅助表!AB184</f>
        <v>0</v>
      </c>
      <c r="U155" s="28">
        <f>升星辅助表!AC184</f>
        <v>0</v>
      </c>
      <c r="V155" s="28">
        <f>升星辅助表!AD184</f>
        <v>205</v>
      </c>
      <c r="W155" s="28"/>
      <c r="X155" s="28"/>
      <c r="Y155" s="28" t="str">
        <f>升星辅助表!C184</f>
        <v>8041</v>
      </c>
      <c r="Z155" s="28">
        <f>升星辅助表!F184</f>
        <v>4</v>
      </c>
      <c r="AA155" s="28">
        <f>升星辅助表!H184</f>
        <v>80</v>
      </c>
      <c r="AB155" s="28">
        <f>升星辅助表!AU184</f>
        <v>371.10000000000008</v>
      </c>
      <c r="AC155" s="33">
        <f>升星辅助表!AX184</f>
        <v>1020525</v>
      </c>
      <c r="AD155" s="33">
        <f>升星辅助表!AY184</f>
        <v>1020525</v>
      </c>
      <c r="AE155" s="12">
        <f>升星辅助表!AI184</f>
        <v>3410</v>
      </c>
      <c r="AF155" s="5">
        <f>升星辅助表!AU184/升星辅助表!AW184</f>
        <v>2.0000000000000004E-2</v>
      </c>
      <c r="AG155" s="5">
        <f>升星辅助表!AU184/升星辅助表!AV184</f>
        <v>2.0000000000000004E-2</v>
      </c>
    </row>
    <row r="156" spans="6:33" x14ac:dyDescent="0.15">
      <c r="F156" s="28">
        <f>强化辅助表!Z188</f>
        <v>0</v>
      </c>
      <c r="G156" s="28">
        <f>强化辅助表!AA188</f>
        <v>3</v>
      </c>
      <c r="H156" s="28">
        <f>强化辅助表!AB188</f>
        <v>1674</v>
      </c>
      <c r="I156" s="28"/>
      <c r="J156" s="28"/>
      <c r="K156" s="28" t="str">
        <f>强化辅助表!B188</f>
        <v>8042</v>
      </c>
      <c r="L156" s="28">
        <f>强化辅助表!D188</f>
        <v>4</v>
      </c>
      <c r="M156" s="28">
        <f>强化辅助表!F188</f>
        <v>80</v>
      </c>
      <c r="N156" s="28">
        <f>强化辅助表!Q188</f>
        <v>51.68</v>
      </c>
      <c r="O156" s="33">
        <f>强化辅助表!T188</f>
        <v>8372160</v>
      </c>
      <c r="P156" s="33">
        <f>强化辅助表!U188</f>
        <v>4362223.3800000008</v>
      </c>
      <c r="Q156">
        <f>强化辅助表!Q188/强化辅助表!S188</f>
        <v>0.02</v>
      </c>
      <c r="R156">
        <f>强化辅助表!Q188/强化辅助表!R188</f>
        <v>0.02</v>
      </c>
      <c r="T156" s="28">
        <f>升星辅助表!AB185</f>
        <v>0</v>
      </c>
      <c r="U156" s="28">
        <f>升星辅助表!AC185</f>
        <v>0</v>
      </c>
      <c r="V156" s="28">
        <f>升星辅助表!AD185</f>
        <v>104</v>
      </c>
      <c r="W156" s="28"/>
      <c r="X156" s="28"/>
      <c r="Y156" s="28" t="str">
        <f>升星辅助表!C185</f>
        <v>8042</v>
      </c>
      <c r="Z156" s="28">
        <f>升星辅助表!F185</f>
        <v>4</v>
      </c>
      <c r="AA156" s="28">
        <f>升星辅助表!H185</f>
        <v>80</v>
      </c>
      <c r="AB156" s="28">
        <f>升星辅助表!AU185</f>
        <v>189.02</v>
      </c>
      <c r="AC156" s="33">
        <f>升星辅助表!AX185</f>
        <v>519805</v>
      </c>
      <c r="AD156" s="33">
        <f>升星辅助表!AY185</f>
        <v>519805</v>
      </c>
      <c r="AE156" s="12">
        <f>升星辅助表!AI185</f>
        <v>1760</v>
      </c>
      <c r="AF156" s="5">
        <f>升星辅助表!AU185/升星辅助表!AW185</f>
        <v>0.02</v>
      </c>
      <c r="AG156" s="5">
        <f>升星辅助表!AU185/升星辅助表!AV185</f>
        <v>0.02</v>
      </c>
    </row>
    <row r="157" spans="6:33" x14ac:dyDescent="0.15">
      <c r="F157" s="28">
        <f>强化辅助表!Z189</f>
        <v>0</v>
      </c>
      <c r="G157" s="28">
        <f>强化辅助表!AA189</f>
        <v>4</v>
      </c>
      <c r="H157" s="28">
        <f>强化辅助表!AB189</f>
        <v>2162</v>
      </c>
      <c r="I157" s="28"/>
      <c r="J157" s="28"/>
      <c r="K157" s="28" t="str">
        <f>强化辅助表!B189</f>
        <v>8045</v>
      </c>
      <c r="L157" s="28">
        <f>强化辅助表!D189</f>
        <v>4</v>
      </c>
      <c r="M157" s="28">
        <f>强化辅助表!F189</f>
        <v>80</v>
      </c>
      <c r="N157" s="28">
        <f>强化辅助表!Q189</f>
        <v>66.72</v>
      </c>
      <c r="O157" s="33">
        <f>强化辅助表!T189</f>
        <v>10808640</v>
      </c>
      <c r="P157" s="33">
        <f>强化辅助表!U189</f>
        <v>5575811.7000000002</v>
      </c>
      <c r="Q157">
        <f>强化辅助表!Q189/强化辅助表!S189</f>
        <v>0.02</v>
      </c>
      <c r="R157">
        <f>强化辅助表!Q189/强化辅助表!R189</f>
        <v>0.02</v>
      </c>
      <c r="T157" s="28">
        <f>升星辅助表!AB186</f>
        <v>0</v>
      </c>
      <c r="U157" s="28">
        <f>升星辅助表!AC186</f>
        <v>0</v>
      </c>
      <c r="V157" s="28">
        <f>升星辅助表!AD186</f>
        <v>126</v>
      </c>
      <c r="W157" s="28"/>
      <c r="X157" s="28"/>
      <c r="Y157" s="28" t="str">
        <f>升星辅助表!C186</f>
        <v>8045</v>
      </c>
      <c r="Z157" s="28">
        <f>升星辅助表!F186</f>
        <v>4</v>
      </c>
      <c r="AA157" s="28">
        <f>升星辅助表!H186</f>
        <v>80</v>
      </c>
      <c r="AB157" s="28">
        <f>升星辅助表!AU186</f>
        <v>228.16</v>
      </c>
      <c r="AC157" s="33">
        <f>升星辅助表!AX186</f>
        <v>627440</v>
      </c>
      <c r="AD157" s="33">
        <f>升星辅助表!AY186</f>
        <v>627440</v>
      </c>
      <c r="AE157" s="12">
        <f>升星辅助表!AI186</f>
        <v>2145</v>
      </c>
      <c r="AF157" s="5">
        <f>升星辅助表!AU186/升星辅助表!AW186</f>
        <v>0.02</v>
      </c>
      <c r="AG157" s="5">
        <f>升星辅助表!AU186/升星辅助表!AV186</f>
        <v>0.02</v>
      </c>
    </row>
    <row r="158" spans="6:33" x14ac:dyDescent="0.15">
      <c r="F158" s="28">
        <f>强化辅助表!Z190</f>
        <v>0</v>
      </c>
      <c r="G158" s="28">
        <f>强化辅助表!AA190</f>
        <v>8</v>
      </c>
      <c r="H158" s="28">
        <f>强化辅助表!AB190</f>
        <v>1557</v>
      </c>
      <c r="I158" s="28"/>
      <c r="J158" s="28"/>
      <c r="K158" s="28" t="str">
        <f>强化辅助表!B190</f>
        <v>8044</v>
      </c>
      <c r="L158" s="28">
        <f>强化辅助表!D190</f>
        <v>4</v>
      </c>
      <c r="M158" s="28">
        <f>强化辅助表!F190</f>
        <v>80</v>
      </c>
      <c r="N158" s="28">
        <f>强化辅助表!Q190</f>
        <v>48.099999999999994</v>
      </c>
      <c r="O158" s="33">
        <f>强化辅助表!T190</f>
        <v>7792200</v>
      </c>
      <c r="P158" s="33">
        <f>强化辅助表!U190</f>
        <v>4014237.6</v>
      </c>
      <c r="Q158">
        <f>强化辅助表!Q190/强化辅助表!S190</f>
        <v>1.9999999999999997E-2</v>
      </c>
      <c r="R158">
        <f>强化辅助表!Q190/强化辅助表!R190</f>
        <v>1.9999999999999997E-2</v>
      </c>
      <c r="T158" s="70">
        <f>升星辅助表!AB187</f>
        <v>0</v>
      </c>
      <c r="U158" s="70">
        <f>升星辅助表!AC187</f>
        <v>0</v>
      </c>
      <c r="V158" s="70">
        <f>升星辅助表!AD187</f>
        <v>206</v>
      </c>
      <c r="W158" s="70"/>
      <c r="X158" s="70"/>
      <c r="Y158" s="70" t="str">
        <f>升星辅助表!C187</f>
        <v>8044</v>
      </c>
      <c r="Z158" s="70">
        <f>升星辅助表!F187</f>
        <v>4</v>
      </c>
      <c r="AA158" s="70">
        <f>升星辅助表!H187</f>
        <v>80</v>
      </c>
      <c r="AB158" s="70">
        <f>升星辅助表!AU187</f>
        <v>373.74000000000007</v>
      </c>
      <c r="AC158" s="71">
        <f>升星辅助表!AX187</f>
        <v>1027785</v>
      </c>
      <c r="AD158" s="71">
        <f>升星辅助表!AY187</f>
        <v>1027785</v>
      </c>
      <c r="AE158" s="73">
        <f>升星辅助表!AI187</f>
        <v>3465</v>
      </c>
      <c r="AF158" s="5">
        <f>升星辅助表!AU187/升星辅助表!AW187</f>
        <v>2.0000000000000004E-2</v>
      </c>
      <c r="AG158" s="5">
        <f>升星辅助表!AU187/升星辅助表!AV187</f>
        <v>2.0000000000000004E-2</v>
      </c>
    </row>
    <row r="159" spans="6:33" x14ac:dyDescent="0.15">
      <c r="F159" s="5">
        <f>强化辅助表!Z191</f>
        <v>0</v>
      </c>
      <c r="G159" s="5">
        <f>强化辅助表!AA191</f>
        <v>0</v>
      </c>
      <c r="H159" s="5">
        <f>强化辅助表!AB191</f>
        <v>3339</v>
      </c>
      <c r="I159" s="28">
        <f t="shared" ref="I159" si="10">M159</f>
        <v>80</v>
      </c>
      <c r="J159" s="33">
        <f>SUM(P154:P159)</f>
        <v>48592765.24000001</v>
      </c>
      <c r="K159" s="5" t="str">
        <f>强化辅助表!B191</f>
        <v>8043</v>
      </c>
      <c r="L159" s="5">
        <f>强化辅助表!D191</f>
        <v>4</v>
      </c>
      <c r="M159" s="5">
        <f>强化辅助表!F191</f>
        <v>80</v>
      </c>
      <c r="N159" s="5">
        <f>强化辅助表!Q191</f>
        <v>103.04</v>
      </c>
      <c r="O159" s="12">
        <f>强化辅助表!T191</f>
        <v>16692480</v>
      </c>
      <c r="P159" s="12">
        <f>强化辅助表!U191</f>
        <v>8611474.2799999993</v>
      </c>
      <c r="Q159">
        <f>强化辅助表!Q191/强化辅助表!S191</f>
        <v>0.02</v>
      </c>
      <c r="R159">
        <f>强化辅助表!Q191/强化辅助表!R191</f>
        <v>0.02</v>
      </c>
      <c r="T159" s="5">
        <f>升星辅助表!AB188</f>
        <v>0</v>
      </c>
      <c r="U159" s="5">
        <f>升星辅助表!AC188</f>
        <v>0</v>
      </c>
      <c r="V159" s="5">
        <f>升星辅助表!AD188</f>
        <v>138</v>
      </c>
      <c r="W159" s="5">
        <f t="shared" si="0"/>
        <v>80</v>
      </c>
      <c r="X159" s="12">
        <f>SUM(AD154:AD159)</f>
        <v>5332195</v>
      </c>
      <c r="Y159" s="5" t="str">
        <f>升星辅助表!C188</f>
        <v>8043</v>
      </c>
      <c r="Z159" s="5">
        <f>升星辅助表!F188</f>
        <v>4</v>
      </c>
      <c r="AA159" s="5">
        <f>升星辅助表!H188</f>
        <v>80</v>
      </c>
      <c r="AB159" s="5">
        <f>升星辅助表!AU188</f>
        <v>249.66000000000003</v>
      </c>
      <c r="AC159" s="12">
        <f>升星辅助表!AX188</f>
        <v>686565</v>
      </c>
      <c r="AD159" s="12">
        <f>升星辅助表!AY188</f>
        <v>686565</v>
      </c>
      <c r="AE159" s="12">
        <f>升星辅助表!AI188</f>
        <v>2310</v>
      </c>
      <c r="AF159" s="5">
        <f>升星辅助表!AU188/升星辅助表!AW188</f>
        <v>0.02</v>
      </c>
      <c r="AG159" s="5">
        <f>升星辅助表!AU188/升星辅助表!AV188</f>
        <v>0.02</v>
      </c>
    </row>
    <row r="160" spans="6:33" x14ac:dyDescent="0.15">
      <c r="F160" s="69"/>
      <c r="G160" s="69"/>
      <c r="H160" s="69"/>
      <c r="I160" s="69"/>
      <c r="J160" s="69"/>
      <c r="K160" s="69"/>
      <c r="L160" s="69"/>
      <c r="M160" s="69"/>
      <c r="N160" s="69"/>
      <c r="O160" s="72"/>
      <c r="P160" s="72"/>
      <c r="T160" s="69"/>
      <c r="U160" s="69"/>
      <c r="V160" s="69"/>
      <c r="W160" s="69"/>
      <c r="X160" s="69"/>
      <c r="Y160" s="69"/>
      <c r="Z160" s="69"/>
      <c r="AA160" s="69"/>
      <c r="AB160" s="69"/>
      <c r="AC160" s="72"/>
      <c r="AD160" s="72"/>
      <c r="AE160" s="72"/>
      <c r="AF160" s="69"/>
      <c r="AG160" s="69"/>
    </row>
    <row r="161" spans="6:33" x14ac:dyDescent="0.15">
      <c r="F161" s="69"/>
      <c r="G161" s="69"/>
      <c r="H161" s="69"/>
      <c r="I161" s="69"/>
      <c r="J161" s="69"/>
      <c r="K161" s="69"/>
      <c r="L161" s="69"/>
      <c r="M161" s="69"/>
      <c r="N161" s="69"/>
      <c r="O161" s="72"/>
      <c r="P161" s="72"/>
      <c r="T161" s="69"/>
      <c r="U161" s="69"/>
      <c r="V161" s="69"/>
      <c r="W161" s="69"/>
      <c r="X161" s="69"/>
      <c r="Y161" s="69"/>
      <c r="Z161" s="69"/>
      <c r="AA161" s="69"/>
      <c r="AB161" s="69"/>
      <c r="AC161" s="72"/>
      <c r="AD161" s="72"/>
      <c r="AE161" s="72"/>
      <c r="AF161" s="69"/>
      <c r="AG161" s="69"/>
    </row>
    <row r="162" spans="6:33" x14ac:dyDescent="0.15">
      <c r="F162" s="69"/>
      <c r="G162" s="69"/>
      <c r="H162" s="69"/>
      <c r="I162" s="69"/>
      <c r="J162" s="69"/>
      <c r="K162" s="69"/>
      <c r="L162" s="69"/>
      <c r="M162" s="69"/>
      <c r="N162" s="69"/>
      <c r="O162" s="72"/>
      <c r="P162" s="72"/>
      <c r="T162" s="69"/>
      <c r="U162" s="69"/>
      <c r="V162" s="69"/>
      <c r="W162" s="69"/>
      <c r="X162" s="69"/>
      <c r="Y162" s="69"/>
      <c r="Z162" s="69"/>
      <c r="AA162" s="69"/>
      <c r="AB162" s="69"/>
      <c r="AC162" s="72"/>
      <c r="AD162" s="72"/>
      <c r="AE162" s="72"/>
      <c r="AF162" s="69"/>
      <c r="AG162" s="69"/>
    </row>
    <row r="165" spans="6:33" x14ac:dyDescent="0.15">
      <c r="V165" t="s">
        <v>291</v>
      </c>
      <c r="W165">
        <f>升星辅助表!U32/升星辅助表!U33</f>
        <v>1</v>
      </c>
    </row>
    <row r="166" spans="6:33" x14ac:dyDescent="0.15">
      <c r="G166" t="s">
        <v>294</v>
      </c>
      <c r="H166">
        <f>强化辅助表!R31/强化辅助表!R32</f>
        <v>1</v>
      </c>
    </row>
    <row r="167" spans="6:33" x14ac:dyDescent="0.15">
      <c r="V167" t="s">
        <v>284</v>
      </c>
      <c r="W167" s="25">
        <f>SUM(AC100:AC105)</f>
        <v>2561460</v>
      </c>
      <c r="AB167">
        <v>1</v>
      </c>
      <c r="AC167">
        <v>2</v>
      </c>
      <c r="AD167">
        <v>3</v>
      </c>
      <c r="AE167">
        <v>4</v>
      </c>
      <c r="AF167">
        <v>5</v>
      </c>
      <c r="AG167">
        <v>6</v>
      </c>
    </row>
    <row r="168" spans="6:33" x14ac:dyDescent="0.15">
      <c r="V168" s="34" t="s">
        <v>248</v>
      </c>
      <c r="W168" s="34" t="s">
        <v>249</v>
      </c>
      <c r="X168" s="5" t="s">
        <v>148</v>
      </c>
      <c r="Y168" s="5" t="s">
        <v>245</v>
      </c>
      <c r="AA168" s="5"/>
      <c r="AB168" s="5" t="s">
        <v>161</v>
      </c>
      <c r="AC168" s="5" t="s">
        <v>162</v>
      </c>
      <c r="AD168" s="5" t="s">
        <v>501</v>
      </c>
      <c r="AE168" s="5" t="s">
        <v>163</v>
      </c>
      <c r="AF168" s="5" t="s">
        <v>502</v>
      </c>
      <c r="AG168" s="5" t="s">
        <v>503</v>
      </c>
    </row>
    <row r="169" spans="6:33" x14ac:dyDescent="0.15">
      <c r="N169" t="s">
        <v>397</v>
      </c>
      <c r="O169" s="25">
        <v>3745456</v>
      </c>
      <c r="P169">
        <f ca="1">INT(SUMIF(D_装备升级表!F:F,3,D_装备升级表!I:I)*6/8)</f>
        <v>11236369</v>
      </c>
      <c r="V169" s="5">
        <v>70101</v>
      </c>
      <c r="W169" s="5" t="s">
        <v>639</v>
      </c>
      <c r="X169" s="5">
        <v>200</v>
      </c>
      <c r="Y169" s="5">
        <f>Y170*X170/X169</f>
        <v>8916.6666666666679</v>
      </c>
      <c r="Z169">
        <f>$W$165*X169</f>
        <v>200</v>
      </c>
      <c r="AA169" s="5">
        <v>5</v>
      </c>
      <c r="AC169" s="5"/>
      <c r="AD169" s="5"/>
      <c r="AE169" s="5"/>
      <c r="AF169" s="5"/>
      <c r="AG169" s="5"/>
    </row>
    <row r="170" spans="6:33" x14ac:dyDescent="0.15">
      <c r="F170" s="34" t="s">
        <v>146</v>
      </c>
      <c r="G170" s="34" t="s">
        <v>147</v>
      </c>
      <c r="H170" s="5" t="s">
        <v>148</v>
      </c>
      <c r="I170" s="1" t="s">
        <v>245</v>
      </c>
      <c r="J170" s="1" t="s">
        <v>292</v>
      </c>
      <c r="K170" s="38" t="s">
        <v>293</v>
      </c>
      <c r="L170" s="38" t="s">
        <v>634</v>
      </c>
      <c r="N170" t="s">
        <v>258</v>
      </c>
      <c r="O170" s="25">
        <f>X159+J159+O169</f>
        <v>57670416.24000001</v>
      </c>
      <c r="P170" s="25"/>
      <c r="V170" s="5">
        <v>70201</v>
      </c>
      <c r="W170" s="5" t="s">
        <v>640</v>
      </c>
      <c r="X170" s="5">
        <v>1000</v>
      </c>
      <c r="Y170" s="5">
        <f>Y171*X171/X170</f>
        <v>1783.3333333333335</v>
      </c>
      <c r="Z170">
        <f t="shared" ref="Z170" si="11">$W$165*X170</f>
        <v>1000</v>
      </c>
      <c r="AA170" s="5">
        <v>15</v>
      </c>
      <c r="AB170" s="5">
        <f t="shared" ref="AB170:AG170" si="12">INDEX($AE$16:$AE$21,AB$167,1)</f>
        <v>165</v>
      </c>
      <c r="AC170" s="5">
        <f t="shared" si="12"/>
        <v>110</v>
      </c>
      <c r="AD170" s="5">
        <f t="shared" si="12"/>
        <v>55</v>
      </c>
      <c r="AE170" s="5">
        <f t="shared" si="12"/>
        <v>55</v>
      </c>
      <c r="AF170" s="5">
        <f t="shared" si="12"/>
        <v>110</v>
      </c>
      <c r="AG170" s="5">
        <f t="shared" si="12"/>
        <v>55</v>
      </c>
    </row>
    <row r="171" spans="6:33" x14ac:dyDescent="0.15">
      <c r="F171" s="5">
        <v>70001</v>
      </c>
      <c r="G171" s="5" t="s">
        <v>636</v>
      </c>
      <c r="H171" s="5">
        <f>H172/5</f>
        <v>200</v>
      </c>
      <c r="I171" s="5">
        <f>I172*H172/H171</f>
        <v>156958.33333333331</v>
      </c>
      <c r="J171" s="5">
        <f>H171*$H$166</f>
        <v>200</v>
      </c>
      <c r="K171">
        <f>J171*'[1]0、经济设定'!$E$19</f>
        <v>0.4</v>
      </c>
      <c r="L171">
        <f>I171/186</f>
        <v>843.86200716845872</v>
      </c>
      <c r="M171">
        <f>H171*强化辅助表!R32</f>
        <v>10000</v>
      </c>
      <c r="V171" s="5">
        <v>70301</v>
      </c>
      <c r="W171" s="5" t="s">
        <v>641</v>
      </c>
      <c r="X171" s="5">
        <v>5000</v>
      </c>
      <c r="Y171" s="5">
        <f>SUM(V154:V159)/3</f>
        <v>356.66666666666669</v>
      </c>
      <c r="Z171">
        <f>$W$165*X171</f>
        <v>5000</v>
      </c>
      <c r="AA171" s="5">
        <v>30</v>
      </c>
      <c r="AB171" s="5">
        <f t="shared" ref="AB171:AG171" si="13">INDEX($AE$40:$AE$45,AB$167,1)</f>
        <v>330</v>
      </c>
      <c r="AC171" s="5">
        <f t="shared" si="13"/>
        <v>165</v>
      </c>
      <c r="AD171" s="5">
        <f t="shared" si="13"/>
        <v>110</v>
      </c>
      <c r="AE171" s="5">
        <f t="shared" si="13"/>
        <v>110</v>
      </c>
      <c r="AF171" s="5">
        <f t="shared" si="13"/>
        <v>165</v>
      </c>
      <c r="AG171" s="5">
        <f t="shared" si="13"/>
        <v>110</v>
      </c>
    </row>
    <row r="172" spans="6:33" x14ac:dyDescent="0.15">
      <c r="F172" s="5">
        <v>70002</v>
      </c>
      <c r="G172" s="5" t="s">
        <v>637</v>
      </c>
      <c r="H172" s="5">
        <f>H173/5</f>
        <v>1000</v>
      </c>
      <c r="I172" s="5">
        <f>I173*H173/H172</f>
        <v>31391.666666666664</v>
      </c>
      <c r="J172" s="5">
        <f>H172*$H$166</f>
        <v>1000</v>
      </c>
      <c r="K172">
        <f>J172*'[1]0、经济设定'!$E$19</f>
        <v>2</v>
      </c>
      <c r="L172">
        <f t="shared" ref="L172:L173" si="14">I172/186</f>
        <v>168.77240143369175</v>
      </c>
      <c r="V172" s="34" t="s">
        <v>246</v>
      </c>
      <c r="W172" s="34" t="s">
        <v>247</v>
      </c>
      <c r="X172" s="5"/>
      <c r="Y172" s="5"/>
      <c r="AA172" s="5">
        <v>45</v>
      </c>
      <c r="AB172" s="5">
        <f t="shared" ref="AB172:AG172" si="15">INDEX($AE$52:$AE$57,AB$167,1)</f>
        <v>825</v>
      </c>
      <c r="AC172" s="5">
        <f t="shared" si="15"/>
        <v>550</v>
      </c>
      <c r="AD172" s="5">
        <f t="shared" si="15"/>
        <v>275</v>
      </c>
      <c r="AE172" s="5">
        <f t="shared" si="15"/>
        <v>385</v>
      </c>
      <c r="AF172" s="5">
        <f t="shared" si="15"/>
        <v>605</v>
      </c>
      <c r="AG172" s="5">
        <f t="shared" si="15"/>
        <v>385</v>
      </c>
    </row>
    <row r="173" spans="6:33" x14ac:dyDescent="0.15">
      <c r="F173" s="5">
        <v>70003</v>
      </c>
      <c r="G173" s="5" t="s">
        <v>638</v>
      </c>
      <c r="H173" s="5">
        <v>5000</v>
      </c>
      <c r="I173" s="5">
        <f>SUM(H154:H159)/3</f>
        <v>6278.333333333333</v>
      </c>
      <c r="J173" s="5">
        <f>H173*$H$166</f>
        <v>5000</v>
      </c>
      <c r="K173">
        <f>J173*'[1]0、经济设定'!$E$19</f>
        <v>10</v>
      </c>
      <c r="L173">
        <f t="shared" si="14"/>
        <v>33.75448028673835</v>
      </c>
      <c r="U173" s="28" t="s">
        <v>276</v>
      </c>
      <c r="V173" s="5">
        <v>70010</v>
      </c>
      <c r="W173" s="5" t="s">
        <v>161</v>
      </c>
      <c r="X173" s="5"/>
      <c r="Y173" s="5">
        <f>升星辅助表!AB191</f>
        <v>2365</v>
      </c>
      <c r="AA173" s="5">
        <v>60</v>
      </c>
      <c r="AB173" s="5">
        <f t="shared" ref="AB173:AG173" si="16">INDEX($AE$70:$AE$75,AB$167,1)</f>
        <v>1100</v>
      </c>
      <c r="AC173" s="5">
        <f t="shared" si="16"/>
        <v>770</v>
      </c>
      <c r="AD173" s="5">
        <f t="shared" si="16"/>
        <v>330</v>
      </c>
      <c r="AE173" s="5">
        <f t="shared" si="16"/>
        <v>385</v>
      </c>
      <c r="AF173" s="5">
        <f t="shared" si="16"/>
        <v>770</v>
      </c>
      <c r="AG173" s="5">
        <f t="shared" si="16"/>
        <v>440</v>
      </c>
    </row>
    <row r="174" spans="6:33" x14ac:dyDescent="0.15">
      <c r="G174" t="s">
        <v>283</v>
      </c>
      <c r="H174">
        <f>强化辅助表!AC144</f>
        <v>455</v>
      </c>
      <c r="U174" s="28" t="s">
        <v>277</v>
      </c>
      <c r="V174" s="5">
        <v>71010</v>
      </c>
      <c r="W174" s="5" t="s">
        <v>162</v>
      </c>
      <c r="X174" s="5"/>
      <c r="Y174" s="5">
        <f>升星辅助表!AB192</f>
        <v>1650</v>
      </c>
      <c r="AA174" s="5">
        <v>70</v>
      </c>
      <c r="AB174" s="5">
        <f t="shared" ref="AB174:AG174" si="17">INDEX($AE$88:$AE$93,AB$167,1)</f>
        <v>990</v>
      </c>
      <c r="AC174" s="5">
        <f t="shared" si="17"/>
        <v>440</v>
      </c>
      <c r="AD174" s="5">
        <f t="shared" si="17"/>
        <v>220</v>
      </c>
      <c r="AE174" s="5">
        <f t="shared" si="17"/>
        <v>220</v>
      </c>
      <c r="AF174" s="5">
        <f t="shared" si="17"/>
        <v>440</v>
      </c>
      <c r="AG174" s="5">
        <f t="shared" si="17"/>
        <v>330</v>
      </c>
    </row>
    <row r="175" spans="6:33" x14ac:dyDescent="0.15">
      <c r="U175" s="28" t="s">
        <v>278</v>
      </c>
      <c r="V175" s="5">
        <v>72010</v>
      </c>
      <c r="W175" s="5" t="s">
        <v>642</v>
      </c>
      <c r="X175" s="5"/>
      <c r="Y175" s="5">
        <f>升星辅助表!AB193</f>
        <v>825</v>
      </c>
      <c r="AA175" s="5">
        <v>80</v>
      </c>
      <c r="AB175" s="5">
        <f t="shared" ref="AB175:AG175" si="18">INDEX($AE$100:$AE$105,AB$167,1)</f>
        <v>2365</v>
      </c>
      <c r="AC175" s="5">
        <f t="shared" si="18"/>
        <v>1650</v>
      </c>
      <c r="AD175" s="5">
        <f t="shared" si="18"/>
        <v>825</v>
      </c>
      <c r="AE175" s="5">
        <f t="shared" si="18"/>
        <v>1045</v>
      </c>
      <c r="AF175" s="5">
        <f t="shared" si="18"/>
        <v>1705</v>
      </c>
      <c r="AG175" s="5">
        <f t="shared" si="18"/>
        <v>1100</v>
      </c>
    </row>
    <row r="176" spans="6:33" x14ac:dyDescent="0.15">
      <c r="U176" s="28" t="s">
        <v>281</v>
      </c>
      <c r="V176" s="5">
        <v>73010</v>
      </c>
      <c r="W176" s="5" t="s">
        <v>643</v>
      </c>
      <c r="X176" s="5"/>
      <c r="Y176" s="5">
        <f>升星辅助表!AB194</f>
        <v>1045</v>
      </c>
    </row>
    <row r="177" spans="21:25" x14ac:dyDescent="0.15">
      <c r="U177" s="28" t="s">
        <v>280</v>
      </c>
      <c r="V177" s="5">
        <v>74010</v>
      </c>
      <c r="W177" s="5" t="s">
        <v>644</v>
      </c>
      <c r="X177" s="5"/>
      <c r="Y177" s="5">
        <f>升星辅助表!AB195</f>
        <v>1705</v>
      </c>
    </row>
    <row r="178" spans="21:25" x14ac:dyDescent="0.15">
      <c r="U178" s="28" t="s">
        <v>279</v>
      </c>
      <c r="V178" s="5">
        <v>75010</v>
      </c>
      <c r="W178" s="5" t="s">
        <v>163</v>
      </c>
      <c r="X178" s="5"/>
      <c r="Y178" s="5">
        <f>升星辅助表!AB196</f>
        <v>1100</v>
      </c>
    </row>
  </sheetData>
  <phoneticPr fontId="1" type="noConversion"/>
  <conditionalFormatting sqref="U173:U175 U177">
    <cfRule type="expression" dxfId="34" priority="159">
      <formula>$F115=4</formula>
    </cfRule>
    <cfRule type="expression" dxfId="33" priority="160">
      <formula>$F115=3</formula>
    </cfRule>
    <cfRule type="expression" dxfId="32" priority="161">
      <formula>$F115=2</formula>
    </cfRule>
    <cfRule type="expression" dxfId="31" priority="162">
      <formula>$F115=1</formula>
    </cfRule>
    <cfRule type="expression" dxfId="30" priority="163">
      <formula>$F115=0</formula>
    </cfRule>
  </conditionalFormatting>
  <conditionalFormatting sqref="U178">
    <cfRule type="expression" dxfId="29" priority="213">
      <formula>$F118=4</formula>
    </cfRule>
    <cfRule type="expression" dxfId="28" priority="214">
      <formula>$F118=3</formula>
    </cfRule>
    <cfRule type="expression" dxfId="27" priority="215">
      <formula>$F118=2</formula>
    </cfRule>
    <cfRule type="expression" dxfId="26" priority="216">
      <formula>$F118=1</formula>
    </cfRule>
    <cfRule type="expression" dxfId="25" priority="217">
      <formula>$F118=0</formula>
    </cfRule>
  </conditionalFormatting>
  <conditionalFormatting sqref="U176">
    <cfRule type="expression" dxfId="24" priority="223">
      <formula>$F120=4</formula>
    </cfRule>
    <cfRule type="expression" dxfId="23" priority="224">
      <formula>$F120=3</formula>
    </cfRule>
    <cfRule type="expression" dxfId="22" priority="225">
      <formula>$F120=2</formula>
    </cfRule>
    <cfRule type="expression" dxfId="21" priority="226">
      <formula>$F120=1</formula>
    </cfRule>
    <cfRule type="expression" dxfId="20" priority="227">
      <formula>$F120=0</formula>
    </cfRule>
  </conditionalFormatting>
  <conditionalFormatting sqref="F4:P33 F40:P159">
    <cfRule type="expression" dxfId="19" priority="16">
      <formula>$L4=4</formula>
    </cfRule>
    <cfRule type="expression" dxfId="18" priority="17">
      <formula>$L4=3</formula>
    </cfRule>
    <cfRule type="expression" dxfId="17" priority="18">
      <formula>$L4=2</formula>
    </cfRule>
    <cfRule type="expression" dxfId="16" priority="19">
      <formula>$L4=1</formula>
    </cfRule>
    <cfRule type="expression" dxfId="15" priority="20">
      <formula>$L4=0</formula>
    </cfRule>
  </conditionalFormatting>
  <conditionalFormatting sqref="T4:AE33 T40:AE159">
    <cfRule type="expression" dxfId="14" priority="11">
      <formula>$Z4=4</formula>
    </cfRule>
    <cfRule type="expression" dxfId="13" priority="12">
      <formula>$Z4=3</formula>
    </cfRule>
    <cfRule type="expression" dxfId="12" priority="13">
      <formula>$Z4=2</formula>
    </cfRule>
    <cfRule type="expression" dxfId="11" priority="14">
      <formula>$Z4=1</formula>
    </cfRule>
    <cfRule type="expression" dxfId="10" priority="15">
      <formula>$Z4=0</formula>
    </cfRule>
  </conditionalFormatting>
  <conditionalFormatting sqref="F34:P39">
    <cfRule type="expression" dxfId="9" priority="6">
      <formula>$L34=4</formula>
    </cfRule>
    <cfRule type="expression" dxfId="8" priority="7">
      <formula>$L34=3</formula>
    </cfRule>
    <cfRule type="expression" dxfId="7" priority="8">
      <formula>$L34=2</formula>
    </cfRule>
    <cfRule type="expression" dxfId="6" priority="9">
      <formula>$L34=1</formula>
    </cfRule>
    <cfRule type="expression" dxfId="5" priority="10">
      <formula>$L34=0</formula>
    </cfRule>
  </conditionalFormatting>
  <conditionalFormatting sqref="T34:AE39">
    <cfRule type="expression" dxfId="4" priority="1">
      <formula>$Z34=4</formula>
    </cfRule>
    <cfRule type="expression" dxfId="3" priority="2">
      <formula>$Z34=3</formula>
    </cfRule>
    <cfRule type="expression" dxfId="2" priority="3">
      <formula>$Z34=2</formula>
    </cfRule>
    <cfRule type="expression" dxfId="1" priority="4">
      <formula>$Z34=1</formula>
    </cfRule>
    <cfRule type="expression" dxfId="0" priority="5">
      <formula>$Z34=0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7</vt:i4>
      </vt:variant>
    </vt:vector>
  </HeadingPairs>
  <TitlesOfParts>
    <vt:vector size="19" baseType="lpstr">
      <vt:lpstr>D_装备基础数据</vt:lpstr>
      <vt:lpstr>D_装备升级表</vt:lpstr>
      <vt:lpstr>D_装备强化数据</vt:lpstr>
      <vt:lpstr>D_装备金币参考表</vt:lpstr>
      <vt:lpstr>D_装备升星数据</vt:lpstr>
      <vt:lpstr>D_装备分解表</vt:lpstr>
      <vt:lpstr>定义数据</vt:lpstr>
      <vt:lpstr>装备属性计算表</vt:lpstr>
      <vt:lpstr>强化辅助表</vt:lpstr>
      <vt:lpstr>升星辅助表</vt:lpstr>
      <vt:lpstr>升星消耗</vt:lpstr>
      <vt:lpstr>价值&amp;消耗</vt:lpstr>
      <vt:lpstr>武器部位</vt:lpstr>
      <vt:lpstr>武器颜色</vt:lpstr>
      <vt:lpstr>游戏属性</vt:lpstr>
      <vt:lpstr>游戏职业</vt:lpstr>
      <vt:lpstr>装备强化表</vt:lpstr>
      <vt:lpstr>装备升星属性</vt:lpstr>
      <vt:lpstr>装备属性表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2015-08-17T11:26:35Z</dcterms:modified>
</cp:coreProperties>
</file>