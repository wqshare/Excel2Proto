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古惑仔trunk\gamexlm\excel\"/>
    </mc:Choice>
  </mc:AlternateContent>
  <bookViews>
    <workbookView xWindow="240" yWindow="105" windowWidth="14805" windowHeight="8010" activeTab="1"/>
  </bookViews>
  <sheets>
    <sheet name="D_神秘商店概率" sheetId="4" r:id="rId1"/>
    <sheet name="D_神秘商店" sheetId="1" r:id="rId2"/>
    <sheet name="D_金币商场" sheetId="5" r:id="rId3"/>
    <sheet name="D_VIP商城" sheetId="7" r:id="rId4"/>
    <sheet name="D_红包积分商城" sheetId="16" r:id="rId5"/>
    <sheet name="D_金币十连抽" sheetId="8" r:id="rId6"/>
    <sheet name="D_钻石十连抽" sheetId="9" r:id="rId7"/>
    <sheet name="D_十连抽" sheetId="10" r:id="rId8"/>
    <sheet name="D_幸运值配置表" sheetId="19" r:id="rId9"/>
    <sheet name="D_十连抽幸运马仔" sheetId="20" r:id="rId10"/>
    <sheet name="商城刷新模拟" sheetId="22" r:id="rId11"/>
    <sheet name="D_十连抽价格表" sheetId="11" r:id="rId12"/>
    <sheet name="D_商店刷新" sheetId="14" r:id="rId13"/>
    <sheet name="D_点金手" sheetId="12" r:id="rId14"/>
    <sheet name="D_点金手概率表" sheetId="13" r:id="rId15"/>
    <sheet name="D_点金手计算表" sheetId="15" r:id="rId16"/>
    <sheet name="D_钻石商场" sheetId="6" r:id="rId17"/>
    <sheet name="D_装备兑换商店" sheetId="17" r:id="rId18"/>
    <sheet name="商城备份" sheetId="18" r:id="rId19"/>
  </sheets>
  <externalReferences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3" hidden="1">D_VIP商城!$A$1:$H$1</definedName>
    <definedName name="_xlnm._FilterDatabase" localSheetId="2" hidden="1">D_金币商场!$A$1:$L$1</definedName>
    <definedName name="_xlnm._FilterDatabase" localSheetId="5" hidden="1">D_金币十连抽!$J$1:$J$184</definedName>
    <definedName name="_xlnm._FilterDatabase" localSheetId="1" hidden="1">D_神秘商店!$F$1:$F$82</definedName>
    <definedName name="_xlnm._FilterDatabase" localSheetId="7" hidden="1">D_十连抽!$K$1:$K$30</definedName>
    <definedName name="_xlnm._FilterDatabase" localSheetId="16" hidden="1">D_钻石商场!$F$1:$F$57</definedName>
    <definedName name="_xlnm._FilterDatabase" localSheetId="6" hidden="1">D_钻石十连抽!$A$1:$J$172</definedName>
  </definedNames>
  <calcPr calcId="152511"/>
</workbook>
</file>

<file path=xl/calcChain.xml><?xml version="1.0" encoding="utf-8"?>
<calcChain xmlns="http://schemas.openxmlformats.org/spreadsheetml/2006/main">
  <c r="D186" i="9" l="1"/>
  <c r="O186" i="9"/>
  <c r="P186" i="9"/>
  <c r="Q186" i="9"/>
  <c r="R186" i="9"/>
  <c r="W186" i="9"/>
  <c r="D187" i="9"/>
  <c r="O187" i="9"/>
  <c r="P187" i="9"/>
  <c r="Q187" i="9"/>
  <c r="R187" i="9"/>
  <c r="W187" i="9"/>
  <c r="D188" i="9"/>
  <c r="O188" i="9"/>
  <c r="P188" i="9"/>
  <c r="Q188" i="9"/>
  <c r="R188" i="9"/>
  <c r="W188" i="9"/>
  <c r="D189" i="9"/>
  <c r="O189" i="9"/>
  <c r="P189" i="9"/>
  <c r="Q189" i="9"/>
  <c r="R189" i="9"/>
  <c r="W189" i="9"/>
  <c r="D190" i="9"/>
  <c r="O190" i="9"/>
  <c r="P190" i="9"/>
  <c r="Q190" i="9"/>
  <c r="R190" i="9"/>
  <c r="W190" i="9"/>
  <c r="D191" i="9"/>
  <c r="O191" i="9"/>
  <c r="P191" i="9"/>
  <c r="Q191" i="9"/>
  <c r="R191" i="9"/>
  <c r="W191" i="9"/>
  <c r="D192" i="9"/>
  <c r="O192" i="9"/>
  <c r="P192" i="9"/>
  <c r="Q192" i="9"/>
  <c r="R192" i="9"/>
  <c r="W192" i="9"/>
  <c r="D193" i="9"/>
  <c r="O193" i="9"/>
  <c r="P193" i="9"/>
  <c r="Q193" i="9"/>
  <c r="R193" i="9"/>
  <c r="W193" i="9"/>
  <c r="D194" i="9"/>
  <c r="O194" i="9"/>
  <c r="P194" i="9"/>
  <c r="Q194" i="9"/>
  <c r="R194" i="9"/>
  <c r="W194" i="9"/>
  <c r="D195" i="9"/>
  <c r="O195" i="9"/>
  <c r="P195" i="9"/>
  <c r="Q195" i="9"/>
  <c r="R195" i="9"/>
  <c r="W195" i="9"/>
  <c r="W28" i="9" l="1"/>
  <c r="R28" i="9"/>
  <c r="Q28" i="9"/>
  <c r="P28" i="9"/>
  <c r="O28" i="9"/>
  <c r="D28" i="9"/>
  <c r="W27" i="9"/>
  <c r="R27" i="9"/>
  <c r="Q27" i="9"/>
  <c r="P27" i="9"/>
  <c r="O27" i="9"/>
  <c r="D27" i="9"/>
  <c r="W26" i="9"/>
  <c r="R26" i="9"/>
  <c r="Q26" i="9"/>
  <c r="P26" i="9"/>
  <c r="O26" i="9"/>
  <c r="D26" i="9"/>
  <c r="W25" i="9"/>
  <c r="R25" i="9"/>
  <c r="Q25" i="9"/>
  <c r="P25" i="9"/>
  <c r="O25" i="9"/>
  <c r="D25" i="9"/>
  <c r="W24" i="9"/>
  <c r="R24" i="9"/>
  <c r="Q24" i="9"/>
  <c r="P24" i="9"/>
  <c r="O24" i="9"/>
  <c r="D24" i="9"/>
  <c r="W23" i="9"/>
  <c r="R23" i="9"/>
  <c r="Q23" i="9"/>
  <c r="P23" i="9"/>
  <c r="O23" i="9"/>
  <c r="D23" i="9"/>
  <c r="W22" i="9"/>
  <c r="R22" i="9"/>
  <c r="Q22" i="9"/>
  <c r="P22" i="9"/>
  <c r="O22" i="9"/>
  <c r="D22" i="9"/>
  <c r="W21" i="9"/>
  <c r="R21" i="9"/>
  <c r="Q21" i="9"/>
  <c r="P21" i="9"/>
  <c r="O21" i="9"/>
  <c r="D21" i="9"/>
  <c r="W20" i="9"/>
  <c r="R20" i="9"/>
  <c r="Q20" i="9"/>
  <c r="P20" i="9"/>
  <c r="O20" i="9"/>
  <c r="D20" i="9"/>
  <c r="W19" i="9"/>
  <c r="R19" i="9"/>
  <c r="Q19" i="9"/>
  <c r="P19" i="9"/>
  <c r="O19" i="9"/>
  <c r="D19" i="9"/>
  <c r="W18" i="9" l="1"/>
  <c r="R18" i="9"/>
  <c r="Q18" i="9"/>
  <c r="P18" i="9"/>
  <c r="O18" i="9"/>
  <c r="D18" i="9"/>
  <c r="W17" i="9"/>
  <c r="R17" i="9"/>
  <c r="Q17" i="9"/>
  <c r="P17" i="9"/>
  <c r="O17" i="9"/>
  <c r="D17" i="9"/>
  <c r="W16" i="9"/>
  <c r="R16" i="9"/>
  <c r="Q16" i="9"/>
  <c r="P16" i="9"/>
  <c r="O16" i="9"/>
  <c r="D16" i="9"/>
  <c r="W15" i="9"/>
  <c r="R15" i="9"/>
  <c r="Q15" i="9"/>
  <c r="P15" i="9"/>
  <c r="O15" i="9"/>
  <c r="D15" i="9"/>
  <c r="W14" i="9"/>
  <c r="R14" i="9"/>
  <c r="Q14" i="9"/>
  <c r="P14" i="9"/>
  <c r="O14" i="9"/>
  <c r="D14" i="9"/>
  <c r="W13" i="9"/>
  <c r="R13" i="9"/>
  <c r="Q13" i="9"/>
  <c r="P13" i="9"/>
  <c r="O13" i="9"/>
  <c r="D13" i="9"/>
  <c r="W12" i="9"/>
  <c r="R12" i="9"/>
  <c r="Q12" i="9"/>
  <c r="P12" i="9"/>
  <c r="O12" i="9"/>
  <c r="D12" i="9"/>
  <c r="W11" i="9"/>
  <c r="R11" i="9"/>
  <c r="Q11" i="9"/>
  <c r="P11" i="9"/>
  <c r="O11" i="9"/>
  <c r="D11" i="9"/>
  <c r="W10" i="9"/>
  <c r="R10" i="9"/>
  <c r="Q10" i="9"/>
  <c r="P10" i="9"/>
  <c r="O10" i="9"/>
  <c r="D10" i="9"/>
  <c r="W9" i="9"/>
  <c r="R9" i="9"/>
  <c r="Q9" i="9"/>
  <c r="P9" i="9"/>
  <c r="O9" i="9"/>
  <c r="D9" i="9"/>
  <c r="AB79" i="9"/>
  <c r="W95" i="9"/>
  <c r="R91" i="9"/>
  <c r="Q102" i="9"/>
  <c r="P102" i="9"/>
  <c r="R102" i="9"/>
  <c r="O102" i="9"/>
  <c r="D102" i="9"/>
  <c r="W101" i="9"/>
  <c r="R101" i="9"/>
  <c r="Q101" i="9"/>
  <c r="P101" i="9"/>
  <c r="O101" i="9"/>
  <c r="D101" i="9"/>
  <c r="W100" i="9"/>
  <c r="Q100" i="9"/>
  <c r="P100" i="9"/>
  <c r="R100" i="9"/>
  <c r="O100" i="9"/>
  <c r="D100" i="9"/>
  <c r="Q99" i="9"/>
  <c r="P99" i="9"/>
  <c r="O99" i="9"/>
  <c r="D99" i="9"/>
  <c r="W98" i="9"/>
  <c r="Q98" i="9"/>
  <c r="P98" i="9"/>
  <c r="O98" i="9"/>
  <c r="D98" i="9"/>
  <c r="W97" i="9"/>
  <c r="R97" i="9"/>
  <c r="Q97" i="9"/>
  <c r="P97" i="9"/>
  <c r="O97" i="9"/>
  <c r="D97" i="9"/>
  <c r="Q96" i="9"/>
  <c r="P96" i="9"/>
  <c r="R96" i="9"/>
  <c r="O96" i="9"/>
  <c r="D96" i="9"/>
  <c r="Q95" i="9"/>
  <c r="P95" i="9"/>
  <c r="O95" i="9"/>
  <c r="D95" i="9"/>
  <c r="W94" i="9"/>
  <c r="Q94" i="9"/>
  <c r="P94" i="9"/>
  <c r="R94" i="9"/>
  <c r="O94" i="9"/>
  <c r="D94" i="9"/>
  <c r="W93" i="9"/>
  <c r="R93" i="9"/>
  <c r="Q93" i="9"/>
  <c r="P93" i="9"/>
  <c r="O93" i="9"/>
  <c r="D93" i="9"/>
  <c r="W92" i="9"/>
  <c r="Q92" i="9"/>
  <c r="P92" i="9"/>
  <c r="R92" i="9"/>
  <c r="O92" i="9"/>
  <c r="D92" i="9"/>
  <c r="AB91" i="9"/>
  <c r="Q91" i="9"/>
  <c r="P91" i="9"/>
  <c r="O91" i="9" s="1"/>
  <c r="W91" i="9"/>
  <c r="D91" i="9"/>
  <c r="F50" i="9"/>
  <c r="F60" i="9" s="1"/>
  <c r="F51" i="9"/>
  <c r="F61" i="9" s="1"/>
  <c r="F52" i="9"/>
  <c r="F62" i="9" s="1"/>
  <c r="F53" i="9"/>
  <c r="F63" i="9" s="1"/>
  <c r="F54" i="9"/>
  <c r="F64" i="9" s="1"/>
  <c r="F55" i="9"/>
  <c r="F65" i="9" s="1"/>
  <c r="F56" i="9"/>
  <c r="F66" i="9" s="1"/>
  <c r="F57" i="9"/>
  <c r="F67" i="9" s="1"/>
  <c r="W67" i="9" s="1"/>
  <c r="F58" i="9"/>
  <c r="W58" i="9" s="1"/>
  <c r="F49" i="9"/>
  <c r="F59" i="9" s="1"/>
  <c r="Q68" i="9"/>
  <c r="P68" i="9"/>
  <c r="O68" i="9"/>
  <c r="D68" i="9"/>
  <c r="Q67" i="9"/>
  <c r="P67" i="9"/>
  <c r="O67" i="9"/>
  <c r="D67" i="9"/>
  <c r="Q66" i="9"/>
  <c r="P66" i="9"/>
  <c r="O66" i="9"/>
  <c r="D66" i="9"/>
  <c r="Q65" i="9"/>
  <c r="P65" i="9"/>
  <c r="O65" i="9"/>
  <c r="D65" i="9"/>
  <c r="Q64" i="9"/>
  <c r="P64" i="9"/>
  <c r="O64" i="9"/>
  <c r="D64" i="9"/>
  <c r="Q63" i="9"/>
  <c r="P63" i="9"/>
  <c r="O63" i="9"/>
  <c r="D63" i="9"/>
  <c r="Q62" i="9"/>
  <c r="P62" i="9"/>
  <c r="O62" i="9"/>
  <c r="D62" i="9"/>
  <c r="Q61" i="9"/>
  <c r="P61" i="9"/>
  <c r="O61" i="9"/>
  <c r="D61" i="9"/>
  <c r="Q60" i="9"/>
  <c r="P60" i="9"/>
  <c r="O60" i="9"/>
  <c r="D60" i="9"/>
  <c r="Q59" i="9"/>
  <c r="P59" i="9"/>
  <c r="O59" i="9"/>
  <c r="D59" i="9"/>
  <c r="W3" i="9"/>
  <c r="W4" i="9"/>
  <c r="W5" i="9"/>
  <c r="W6" i="9"/>
  <c r="W7" i="9"/>
  <c r="W8" i="9"/>
  <c r="W29" i="9"/>
  <c r="W30" i="9"/>
  <c r="W31" i="9"/>
  <c r="W32" i="9"/>
  <c r="W33" i="9"/>
  <c r="W34" i="9"/>
  <c r="W35" i="9"/>
  <c r="W36" i="9"/>
  <c r="W37" i="9"/>
  <c r="W38" i="9"/>
  <c r="W39" i="9"/>
  <c r="W40" i="9"/>
  <c r="W41" i="9"/>
  <c r="W42" i="9"/>
  <c r="W43" i="9"/>
  <c r="W44" i="9"/>
  <c r="W45" i="9"/>
  <c r="W46" i="9"/>
  <c r="W47" i="9"/>
  <c r="W48" i="9"/>
  <c r="W79" i="9"/>
  <c r="W80" i="9"/>
  <c r="W81" i="9"/>
  <c r="W82" i="9"/>
  <c r="W83" i="9"/>
  <c r="W84" i="9"/>
  <c r="W85" i="9"/>
  <c r="W86" i="9"/>
  <c r="W87" i="9"/>
  <c r="W88" i="9"/>
  <c r="W89" i="9"/>
  <c r="W90" i="9"/>
  <c r="W115" i="9"/>
  <c r="W116" i="9"/>
  <c r="W117" i="9"/>
  <c r="W118" i="9"/>
  <c r="W119" i="9"/>
  <c r="W120" i="9"/>
  <c r="W121" i="9"/>
  <c r="W122" i="9"/>
  <c r="W123" i="9"/>
  <c r="W124" i="9"/>
  <c r="W125" i="9"/>
  <c r="W126" i="9"/>
  <c r="W127" i="9"/>
  <c r="W128" i="9"/>
  <c r="W129" i="9"/>
  <c r="W130" i="9"/>
  <c r="W131" i="9"/>
  <c r="W132" i="9"/>
  <c r="W133" i="9"/>
  <c r="W134" i="9"/>
  <c r="W135" i="9"/>
  <c r="W136" i="9"/>
  <c r="W137" i="9"/>
  <c r="W138" i="9"/>
  <c r="W139" i="9"/>
  <c r="W140" i="9"/>
  <c r="W163" i="9"/>
  <c r="W164" i="9"/>
  <c r="W165" i="9"/>
  <c r="W166" i="9"/>
  <c r="W167" i="9"/>
  <c r="W168" i="9"/>
  <c r="W169" i="9"/>
  <c r="W170" i="9"/>
  <c r="W171" i="9"/>
  <c r="W172" i="9"/>
  <c r="W173" i="9"/>
  <c r="W174" i="9"/>
  <c r="W175" i="9"/>
  <c r="W176" i="9"/>
  <c r="W177" i="9"/>
  <c r="W178" i="9"/>
  <c r="W179" i="9"/>
  <c r="W180" i="9"/>
  <c r="W181" i="9"/>
  <c r="W182" i="9"/>
  <c r="W183" i="9"/>
  <c r="W184" i="9"/>
  <c r="W185" i="9"/>
  <c r="W196" i="9"/>
  <c r="W197" i="9"/>
  <c r="W198" i="9"/>
  <c r="W199" i="9"/>
  <c r="W200" i="9"/>
  <c r="W201" i="9"/>
  <c r="W202" i="9"/>
  <c r="W203" i="9"/>
  <c r="W204" i="9"/>
  <c r="W205" i="9"/>
  <c r="W206" i="9"/>
  <c r="W207" i="9"/>
  <c r="W2" i="9"/>
  <c r="D174" i="9"/>
  <c r="O174" i="9"/>
  <c r="P174" i="9"/>
  <c r="R174" i="9"/>
  <c r="F68" i="9" l="1"/>
  <c r="R68" i="9" s="1"/>
  <c r="AA17" i="9"/>
  <c r="AA16" i="9"/>
  <c r="AA26" i="9"/>
  <c r="AA22" i="9"/>
  <c r="AA28" i="9"/>
  <c r="AA25" i="9"/>
  <c r="AA21" i="9"/>
  <c r="AA20" i="9"/>
  <c r="AA19" i="9"/>
  <c r="AA24" i="9"/>
  <c r="AA27" i="9"/>
  <c r="AA23" i="9"/>
  <c r="AA14" i="9"/>
  <c r="AA10" i="9"/>
  <c r="AA11" i="9"/>
  <c r="AA15" i="9"/>
  <c r="AA18" i="9"/>
  <c r="AA13" i="9"/>
  <c r="AA9" i="9"/>
  <c r="AA12" i="9"/>
  <c r="W96" i="9"/>
  <c r="R95" i="9"/>
  <c r="R98" i="9"/>
  <c r="R99" i="9"/>
  <c r="W99" i="9"/>
  <c r="W102" i="9"/>
  <c r="W57" i="9"/>
  <c r="W56" i="9"/>
  <c r="W68" i="9"/>
  <c r="R67" i="9"/>
  <c r="D138" i="9"/>
  <c r="O138" i="9"/>
  <c r="P138" i="9"/>
  <c r="R138" i="9"/>
  <c r="D139" i="9"/>
  <c r="O139" i="9"/>
  <c r="P139" i="9"/>
  <c r="R139" i="9"/>
  <c r="D140" i="9"/>
  <c r="O140" i="9"/>
  <c r="P140" i="9"/>
  <c r="R140" i="9"/>
  <c r="J3" i="16" l="1"/>
  <c r="H22" i="5"/>
  <c r="J22" i="5" s="1"/>
  <c r="H23" i="5"/>
  <c r="J23" i="5" s="1"/>
  <c r="H24" i="5"/>
  <c r="J24" i="5" s="1"/>
  <c r="H25" i="5"/>
  <c r="J25" i="5" s="1"/>
  <c r="H26" i="5"/>
  <c r="J26" i="5" s="1"/>
  <c r="H27" i="5"/>
  <c r="J27" i="5" s="1"/>
  <c r="H28" i="5"/>
  <c r="J28" i="5" s="1"/>
  <c r="H29" i="5"/>
  <c r="J29" i="5" s="1"/>
  <c r="H30" i="5"/>
  <c r="J30" i="5" s="1"/>
  <c r="H31" i="5"/>
  <c r="J31" i="5" s="1"/>
  <c r="H32" i="5"/>
  <c r="J32" i="5" s="1"/>
  <c r="H33" i="5"/>
  <c r="J33" i="5" s="1"/>
  <c r="H34" i="5"/>
  <c r="J34" i="5" s="1"/>
  <c r="H35" i="5"/>
  <c r="J35" i="5" s="1"/>
  <c r="H36" i="5"/>
  <c r="J36" i="5" s="1"/>
  <c r="H37" i="5"/>
  <c r="J37" i="5" s="1"/>
  <c r="H38" i="5"/>
  <c r="J38" i="5" s="1"/>
  <c r="H39" i="5"/>
  <c r="J39" i="5" s="1"/>
  <c r="H40" i="5"/>
  <c r="J40" i="5" s="1"/>
  <c r="H41" i="5"/>
  <c r="J41" i="5" s="1"/>
  <c r="H42" i="5"/>
  <c r="J42" i="5" s="1"/>
  <c r="H43" i="5"/>
  <c r="J43" i="5" s="1"/>
  <c r="H44" i="5"/>
  <c r="J44" i="5" s="1"/>
  <c r="H45" i="5"/>
  <c r="J45" i="5" s="1"/>
  <c r="H46" i="5"/>
  <c r="J46" i="5" s="1"/>
  <c r="H47" i="5"/>
  <c r="J47" i="5" s="1"/>
  <c r="H48" i="5"/>
  <c r="J48" i="5" s="1"/>
  <c r="H49" i="5"/>
  <c r="J49" i="5" s="1"/>
  <c r="H50" i="5"/>
  <c r="J50" i="5" s="1"/>
  <c r="H51" i="5"/>
  <c r="J51" i="5" s="1"/>
  <c r="H52" i="5"/>
  <c r="J52" i="5" s="1"/>
  <c r="H53" i="5"/>
  <c r="J53" i="5" s="1"/>
  <c r="H54" i="5"/>
  <c r="J54" i="5" s="1"/>
  <c r="H55" i="5"/>
  <c r="J55" i="5" s="1"/>
  <c r="H56" i="5"/>
  <c r="J56" i="5" s="1"/>
  <c r="H57" i="5"/>
  <c r="J57" i="5" s="1"/>
  <c r="H58" i="5"/>
  <c r="J58" i="5" s="1"/>
  <c r="H59" i="5"/>
  <c r="J59" i="5" s="1"/>
  <c r="H60" i="5"/>
  <c r="J60" i="5" s="1"/>
  <c r="H61" i="5"/>
  <c r="J61" i="5" s="1"/>
  <c r="H62" i="5"/>
  <c r="J62" i="5" s="1"/>
  <c r="H63" i="5"/>
  <c r="J63" i="5" s="1"/>
  <c r="H64" i="5"/>
  <c r="J64" i="5" s="1"/>
  <c r="H65" i="5"/>
  <c r="J65" i="5" s="1"/>
  <c r="H66" i="5"/>
  <c r="J66" i="5" s="1"/>
  <c r="H67" i="5"/>
  <c r="J67" i="5" s="1"/>
  <c r="H68" i="5"/>
  <c r="J68" i="5" s="1"/>
  <c r="H69" i="5"/>
  <c r="J69" i="5" s="1"/>
  <c r="H70" i="5"/>
  <c r="J70" i="5" s="1"/>
  <c r="H71" i="5"/>
  <c r="J71" i="5" s="1"/>
  <c r="H72" i="5"/>
  <c r="J72" i="5" s="1"/>
  <c r="H73" i="5"/>
  <c r="J73" i="5" s="1"/>
  <c r="H74" i="5"/>
  <c r="J74" i="5" s="1"/>
  <c r="H75" i="5"/>
  <c r="J75" i="5" s="1"/>
  <c r="H76" i="5"/>
  <c r="J76" i="5" s="1"/>
  <c r="H77" i="5"/>
  <c r="J77" i="5" s="1"/>
  <c r="H78" i="5"/>
  <c r="J78" i="5" s="1"/>
  <c r="H79" i="5"/>
  <c r="J79" i="5" s="1"/>
  <c r="H81" i="5"/>
  <c r="J81" i="5" s="1"/>
  <c r="H82" i="5"/>
  <c r="J82" i="5" s="1"/>
  <c r="H83" i="5"/>
  <c r="J83" i="5" s="1"/>
  <c r="H21" i="5"/>
  <c r="J21" i="5" s="1"/>
  <c r="G2" i="5"/>
  <c r="J2" i="5" s="1"/>
  <c r="F64" i="5" l="1"/>
  <c r="F51" i="5"/>
  <c r="F50" i="1"/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3" i="7"/>
  <c r="I4" i="7"/>
  <c r="I11" i="7"/>
  <c r="I5" i="7"/>
  <c r="I6" i="7"/>
  <c r="I7" i="7"/>
  <c r="I8" i="7"/>
  <c r="I9" i="7"/>
  <c r="I10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2" i="7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9" i="1"/>
  <c r="I37" i="1"/>
  <c r="I38" i="1"/>
  <c r="I40" i="1"/>
  <c r="I41" i="1"/>
  <c r="I42" i="1"/>
  <c r="I43" i="1"/>
  <c r="I44" i="1"/>
  <c r="I45" i="1"/>
  <c r="I46" i="1"/>
  <c r="I47" i="1"/>
  <c r="I50" i="1"/>
  <c r="I48" i="1"/>
  <c r="I49" i="1"/>
  <c r="I51" i="1"/>
  <c r="I52" i="1"/>
  <c r="I53" i="1"/>
  <c r="I54" i="1"/>
  <c r="I55" i="1"/>
  <c r="I56" i="1"/>
  <c r="I57" i="1"/>
  <c r="I58" i="1"/>
  <c r="I61" i="1"/>
  <c r="I59" i="1"/>
  <c r="I60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23" i="1"/>
  <c r="H3" i="1"/>
  <c r="K3" i="1" s="1"/>
  <c r="H4" i="1"/>
  <c r="K4" i="1" s="1"/>
  <c r="H5" i="1"/>
  <c r="K5" i="1" s="1"/>
  <c r="H6" i="1"/>
  <c r="K6" i="1" s="1"/>
  <c r="H7" i="1"/>
  <c r="K7" i="1" s="1"/>
  <c r="H8" i="1"/>
  <c r="K8" i="1" s="1"/>
  <c r="H9" i="1"/>
  <c r="K9" i="1" s="1"/>
  <c r="H10" i="1"/>
  <c r="K10" i="1" s="1"/>
  <c r="H11" i="1"/>
  <c r="K11" i="1" s="1"/>
  <c r="H12" i="1"/>
  <c r="K12" i="1" s="1"/>
  <c r="H13" i="1"/>
  <c r="K13" i="1" s="1"/>
  <c r="H14" i="1"/>
  <c r="K14" i="1" s="1"/>
  <c r="H15" i="1"/>
  <c r="K15" i="1" s="1"/>
  <c r="H16" i="1"/>
  <c r="K16" i="1" s="1"/>
  <c r="H17" i="1"/>
  <c r="K17" i="1" s="1"/>
  <c r="H18" i="1"/>
  <c r="K18" i="1" s="1"/>
  <c r="H19" i="1"/>
  <c r="K19" i="1" s="1"/>
  <c r="H20" i="1"/>
  <c r="K20" i="1" s="1"/>
  <c r="H21" i="1"/>
  <c r="K21" i="1" s="1"/>
  <c r="H22" i="1"/>
  <c r="K22" i="1" s="1"/>
  <c r="H23" i="1"/>
  <c r="K23" i="1" s="1"/>
  <c r="H24" i="1"/>
  <c r="K24" i="1" s="1"/>
  <c r="H25" i="1"/>
  <c r="K25" i="1" s="1"/>
  <c r="H26" i="1"/>
  <c r="K26" i="1" s="1"/>
  <c r="H27" i="1"/>
  <c r="K27" i="1" s="1"/>
  <c r="H28" i="1"/>
  <c r="K28" i="1" s="1"/>
  <c r="H29" i="1"/>
  <c r="K29" i="1" s="1"/>
  <c r="H30" i="1"/>
  <c r="K30" i="1" s="1"/>
  <c r="H31" i="1"/>
  <c r="K31" i="1" s="1"/>
  <c r="H32" i="1"/>
  <c r="K32" i="1" s="1"/>
  <c r="H33" i="1"/>
  <c r="K33" i="1" s="1"/>
  <c r="H34" i="1"/>
  <c r="K34" i="1" s="1"/>
  <c r="H35" i="1"/>
  <c r="K35" i="1" s="1"/>
  <c r="H36" i="1"/>
  <c r="K36" i="1" s="1"/>
  <c r="H39" i="1"/>
  <c r="K39" i="1" s="1"/>
  <c r="H37" i="1"/>
  <c r="K37" i="1" s="1"/>
  <c r="H38" i="1"/>
  <c r="K38" i="1" s="1"/>
  <c r="H40" i="1"/>
  <c r="K40" i="1" s="1"/>
  <c r="H41" i="1"/>
  <c r="K41" i="1" s="1"/>
  <c r="H42" i="1"/>
  <c r="K42" i="1" s="1"/>
  <c r="H43" i="1"/>
  <c r="K43" i="1" s="1"/>
  <c r="H44" i="1"/>
  <c r="K44" i="1" s="1"/>
  <c r="H45" i="1"/>
  <c r="K45" i="1" s="1"/>
  <c r="H46" i="1"/>
  <c r="K46" i="1" s="1"/>
  <c r="H47" i="1"/>
  <c r="K47" i="1" s="1"/>
  <c r="H50" i="1"/>
  <c r="K50" i="1" s="1"/>
  <c r="H48" i="1"/>
  <c r="K48" i="1" s="1"/>
  <c r="H49" i="1"/>
  <c r="K49" i="1" s="1"/>
  <c r="H51" i="1"/>
  <c r="K51" i="1" s="1"/>
  <c r="H52" i="1"/>
  <c r="K52" i="1" s="1"/>
  <c r="H53" i="1"/>
  <c r="K53" i="1" s="1"/>
  <c r="H54" i="1"/>
  <c r="K54" i="1" s="1"/>
  <c r="H55" i="1"/>
  <c r="K55" i="1" s="1"/>
  <c r="H56" i="1"/>
  <c r="K56" i="1" s="1"/>
  <c r="H57" i="1"/>
  <c r="K57" i="1" s="1"/>
  <c r="H58" i="1"/>
  <c r="K58" i="1" s="1"/>
  <c r="H61" i="1"/>
  <c r="K61" i="1" s="1"/>
  <c r="H59" i="1"/>
  <c r="K59" i="1" s="1"/>
  <c r="H60" i="1"/>
  <c r="K60" i="1" s="1"/>
  <c r="H62" i="1"/>
  <c r="K62" i="1" s="1"/>
  <c r="H63" i="1"/>
  <c r="K63" i="1" s="1"/>
  <c r="H64" i="1"/>
  <c r="K64" i="1" s="1"/>
  <c r="H65" i="1"/>
  <c r="K65" i="1" s="1"/>
  <c r="H66" i="1"/>
  <c r="K66" i="1" s="1"/>
  <c r="H67" i="1"/>
  <c r="K67" i="1" s="1"/>
  <c r="H68" i="1"/>
  <c r="K68" i="1" s="1"/>
  <c r="H69" i="1"/>
  <c r="K69" i="1" s="1"/>
  <c r="H70" i="1"/>
  <c r="K70" i="1" s="1"/>
  <c r="H71" i="1"/>
  <c r="K71" i="1" s="1"/>
  <c r="H72" i="1"/>
  <c r="K72" i="1" s="1"/>
  <c r="H73" i="1"/>
  <c r="K73" i="1" s="1"/>
  <c r="H74" i="1"/>
  <c r="K74" i="1" s="1"/>
  <c r="H75" i="1"/>
  <c r="K75" i="1" s="1"/>
  <c r="H76" i="1"/>
  <c r="K76" i="1" s="1"/>
  <c r="H77" i="1"/>
  <c r="K77" i="1" s="1"/>
  <c r="H78" i="1"/>
  <c r="K78" i="1" s="1"/>
  <c r="H79" i="1"/>
  <c r="K79" i="1" s="1"/>
  <c r="H80" i="1"/>
  <c r="K80" i="1" s="1"/>
  <c r="H81" i="1"/>
  <c r="K81" i="1" s="1"/>
  <c r="H82" i="1"/>
  <c r="K82" i="1" s="1"/>
  <c r="H83" i="1"/>
  <c r="K83" i="1" s="1"/>
  <c r="H84" i="1"/>
  <c r="K84" i="1" s="1"/>
  <c r="H85" i="1"/>
  <c r="K85" i="1" s="1"/>
  <c r="H86" i="1"/>
  <c r="K86" i="1" s="1"/>
  <c r="H87" i="1"/>
  <c r="K87" i="1" s="1"/>
  <c r="H88" i="1"/>
  <c r="K88" i="1" s="1"/>
  <c r="H89" i="1"/>
  <c r="K89" i="1" s="1"/>
  <c r="H2" i="1"/>
  <c r="K2" i="1" s="1"/>
  <c r="D41" i="8" l="1"/>
  <c r="K41" i="8"/>
  <c r="L41" i="8"/>
  <c r="O41" i="8"/>
  <c r="D42" i="8"/>
  <c r="K42" i="8"/>
  <c r="L42" i="8"/>
  <c r="O42" i="8"/>
  <c r="D43" i="8"/>
  <c r="K43" i="8"/>
  <c r="L43" i="8"/>
  <c r="O43" i="8"/>
  <c r="D44" i="8"/>
  <c r="K44" i="8"/>
  <c r="L44" i="8"/>
  <c r="O44" i="8"/>
  <c r="H41" i="6" l="1"/>
  <c r="D41" i="6"/>
  <c r="H40" i="6"/>
  <c r="D40" i="6"/>
  <c r="U18" i="10"/>
  <c r="Q18" i="10"/>
  <c r="F18" i="10"/>
  <c r="R18" i="10" s="1"/>
  <c r="E18" i="10"/>
  <c r="U17" i="10"/>
  <c r="Q17" i="10"/>
  <c r="F17" i="10"/>
  <c r="R17" i="10" s="1"/>
  <c r="E17" i="10"/>
  <c r="Q74" i="9"/>
  <c r="P74" i="9"/>
  <c r="O74" i="9"/>
  <c r="F74" i="9"/>
  <c r="W74" i="9" s="1"/>
  <c r="D74" i="9"/>
  <c r="Q73" i="9"/>
  <c r="P73" i="9"/>
  <c r="O73" i="9"/>
  <c r="F73" i="9"/>
  <c r="D73" i="9"/>
  <c r="Q55" i="9"/>
  <c r="P55" i="9"/>
  <c r="O55" i="9"/>
  <c r="D55" i="9"/>
  <c r="Q54" i="9"/>
  <c r="P54" i="9"/>
  <c r="O54" i="9"/>
  <c r="D54" i="9"/>
  <c r="R46" i="9"/>
  <c r="Q46" i="9"/>
  <c r="P46" i="9"/>
  <c r="O46" i="9"/>
  <c r="D46" i="9"/>
  <c r="R45" i="9"/>
  <c r="Q45" i="9"/>
  <c r="P45" i="9"/>
  <c r="O45" i="9"/>
  <c r="D45" i="9"/>
  <c r="O26" i="8"/>
  <c r="N26" i="8"/>
  <c r="M26" i="8" s="1"/>
  <c r="L26" i="8"/>
  <c r="K26" i="8"/>
  <c r="D26" i="8"/>
  <c r="O25" i="8"/>
  <c r="N25" i="8"/>
  <c r="M25" i="8" s="1"/>
  <c r="L25" i="8"/>
  <c r="K25" i="8"/>
  <c r="D25" i="8"/>
  <c r="P19" i="7"/>
  <c r="O19" i="7"/>
  <c r="K19" i="7"/>
  <c r="D19" i="7"/>
  <c r="P18" i="7"/>
  <c r="O18" i="7"/>
  <c r="K18" i="7"/>
  <c r="D18" i="7"/>
  <c r="O25" i="5"/>
  <c r="N25" i="5"/>
  <c r="D25" i="5"/>
  <c r="O24" i="5"/>
  <c r="N24" i="5"/>
  <c r="D24" i="5"/>
  <c r="W55" i="9" l="1"/>
  <c r="R54" i="9"/>
  <c r="W54" i="9"/>
  <c r="R73" i="9"/>
  <c r="W73" i="9"/>
  <c r="R55" i="9"/>
  <c r="R74" i="9"/>
  <c r="W64" i="9" l="1"/>
  <c r="R64" i="9"/>
  <c r="R65" i="9"/>
  <c r="W65" i="9"/>
  <c r="W66" i="9"/>
  <c r="R66" i="9"/>
  <c r="R16" i="1"/>
  <c r="Q16" i="1"/>
  <c r="D16" i="1"/>
  <c r="R15" i="1"/>
  <c r="Q15" i="1"/>
  <c r="D15" i="1"/>
  <c r="D7" i="1"/>
  <c r="Q7" i="1"/>
  <c r="R7" i="1"/>
  <c r="D8" i="1"/>
  <c r="Q8" i="1"/>
  <c r="R8" i="1"/>
  <c r="D9" i="1"/>
  <c r="Q9" i="1"/>
  <c r="R9" i="1"/>
  <c r="D10" i="1"/>
  <c r="Q10" i="1"/>
  <c r="R10" i="1"/>
  <c r="D11" i="1"/>
  <c r="Q11" i="1"/>
  <c r="R11" i="1"/>
  <c r="D12" i="1"/>
  <c r="Q12" i="1"/>
  <c r="R12" i="1"/>
  <c r="D13" i="1"/>
  <c r="Q13" i="1"/>
  <c r="R13" i="1"/>
  <c r="D14" i="1"/>
  <c r="Q14" i="1"/>
  <c r="R14" i="1"/>
  <c r="D17" i="1"/>
  <c r="Q17" i="1"/>
  <c r="R17" i="1"/>
  <c r="K3" i="7" l="1"/>
  <c r="K4" i="7"/>
  <c r="K11" i="7"/>
  <c r="K5" i="7"/>
  <c r="K6" i="7"/>
  <c r="K7" i="7"/>
  <c r="K8" i="7"/>
  <c r="K9" i="7"/>
  <c r="K10" i="7"/>
  <c r="K12" i="7"/>
  <c r="K13" i="7"/>
  <c r="K14" i="7"/>
  <c r="K15" i="7"/>
  <c r="K16" i="7"/>
  <c r="K17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2" i="7"/>
  <c r="E4" i="20" l="1"/>
  <c r="E3" i="20"/>
  <c r="E2" i="20"/>
  <c r="P84" i="5" l="1"/>
  <c r="D84" i="5"/>
  <c r="R207" i="9" l="1"/>
  <c r="Q207" i="9"/>
  <c r="P207" i="9"/>
  <c r="D207" i="9"/>
  <c r="R206" i="9"/>
  <c r="Q206" i="9"/>
  <c r="P206" i="9"/>
  <c r="D206" i="9"/>
  <c r="R205" i="9"/>
  <c r="Q205" i="9"/>
  <c r="P205" i="9"/>
  <c r="D205" i="9"/>
  <c r="R204" i="9"/>
  <c r="Q204" i="9"/>
  <c r="P204" i="9"/>
  <c r="D204" i="9"/>
  <c r="R203" i="9"/>
  <c r="Q203" i="9"/>
  <c r="P203" i="9"/>
  <c r="D203" i="9"/>
  <c r="R202" i="9"/>
  <c r="Q202" i="9"/>
  <c r="P202" i="9"/>
  <c r="D202" i="9"/>
  <c r="R201" i="9"/>
  <c r="Q201" i="9"/>
  <c r="P201" i="9"/>
  <c r="D201" i="9"/>
  <c r="R200" i="9"/>
  <c r="Q200" i="9"/>
  <c r="P200" i="9"/>
  <c r="D200" i="9"/>
  <c r="R199" i="9"/>
  <c r="Q199" i="9"/>
  <c r="P199" i="9"/>
  <c r="D199" i="9"/>
  <c r="R198" i="9"/>
  <c r="Q198" i="9"/>
  <c r="P198" i="9"/>
  <c r="D198" i="9"/>
  <c r="R197" i="9"/>
  <c r="Q197" i="9"/>
  <c r="P197" i="9"/>
  <c r="D197" i="9"/>
  <c r="R196" i="9"/>
  <c r="Q196" i="9"/>
  <c r="P196" i="9"/>
  <c r="D196" i="9"/>
  <c r="R185" i="9"/>
  <c r="Q185" i="9"/>
  <c r="P185" i="9"/>
  <c r="O185" i="9"/>
  <c r="D185" i="9"/>
  <c r="R184" i="9"/>
  <c r="Q184" i="9"/>
  <c r="P184" i="9"/>
  <c r="O184" i="9"/>
  <c r="D184" i="9"/>
  <c r="R183" i="9"/>
  <c r="Q183" i="9"/>
  <c r="P183" i="9"/>
  <c r="O183" i="9"/>
  <c r="D183" i="9"/>
  <c r="R182" i="9"/>
  <c r="Q182" i="9"/>
  <c r="P182" i="9"/>
  <c r="O182" i="9"/>
  <c r="D182" i="9"/>
  <c r="R181" i="9"/>
  <c r="Q181" i="9"/>
  <c r="P181" i="9"/>
  <c r="O181" i="9"/>
  <c r="D181" i="9"/>
  <c r="R180" i="9"/>
  <c r="Q180" i="9"/>
  <c r="P180" i="9"/>
  <c r="O180" i="9"/>
  <c r="D180" i="9"/>
  <c r="R179" i="9"/>
  <c r="Q179" i="9"/>
  <c r="P179" i="9"/>
  <c r="O179" i="9"/>
  <c r="D179" i="9"/>
  <c r="R178" i="9"/>
  <c r="Q178" i="9"/>
  <c r="P178" i="9"/>
  <c r="O178" i="9"/>
  <c r="D178" i="9"/>
  <c r="R177" i="9"/>
  <c r="Q177" i="9"/>
  <c r="P177" i="9"/>
  <c r="O177" i="9"/>
  <c r="D177" i="9"/>
  <c r="R176" i="9"/>
  <c r="Q176" i="9"/>
  <c r="P176" i="9"/>
  <c r="O176" i="9"/>
  <c r="D176" i="9"/>
  <c r="O203" i="9" l="1"/>
  <c r="O200" i="9"/>
  <c r="O197" i="9"/>
  <c r="O205" i="9"/>
  <c r="O207" i="9"/>
  <c r="O204" i="9"/>
  <c r="O202" i="9"/>
  <c r="O196" i="9"/>
  <c r="O199" i="9"/>
  <c r="O201" i="9"/>
  <c r="O198" i="9"/>
  <c r="O206" i="9"/>
  <c r="Q4" i="10" l="1"/>
  <c r="Q5" i="10"/>
  <c r="Q6" i="10"/>
  <c r="Q7" i="10"/>
  <c r="Q8" i="10"/>
  <c r="Q9" i="10"/>
  <c r="Q10" i="10"/>
  <c r="Q11" i="10"/>
  <c r="Q12" i="10"/>
  <c r="Q13" i="10"/>
  <c r="Q14" i="10"/>
  <c r="Q15" i="10"/>
  <c r="Q16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G80" i="5" l="1"/>
  <c r="J80" i="5" s="1"/>
  <c r="G3" i="5"/>
  <c r="J3" i="5" s="1"/>
  <c r="G4" i="5"/>
  <c r="J4" i="5" s="1"/>
  <c r="G5" i="5"/>
  <c r="J5" i="5" s="1"/>
  <c r="G6" i="5"/>
  <c r="J6" i="5" s="1"/>
  <c r="G7" i="5"/>
  <c r="J7" i="5" s="1"/>
  <c r="G8" i="5"/>
  <c r="J8" i="5" s="1"/>
  <c r="G9" i="5"/>
  <c r="J9" i="5" s="1"/>
  <c r="G10" i="5"/>
  <c r="J10" i="5" s="1"/>
  <c r="G11" i="5"/>
  <c r="J11" i="5" s="1"/>
  <c r="G12" i="5"/>
  <c r="J12" i="5" s="1"/>
  <c r="G13" i="5"/>
  <c r="J13" i="5" s="1"/>
  <c r="G14" i="5"/>
  <c r="J14" i="5" s="1"/>
  <c r="G15" i="5"/>
  <c r="J15" i="5" s="1"/>
  <c r="G16" i="5"/>
  <c r="J16" i="5" s="1"/>
  <c r="G17" i="5"/>
  <c r="J17" i="5" s="1"/>
  <c r="G18" i="5"/>
  <c r="J18" i="5" s="1"/>
  <c r="G19" i="5"/>
  <c r="J19" i="5" s="1"/>
  <c r="G20" i="5"/>
  <c r="J20" i="5" s="1"/>
  <c r="O48" i="8"/>
  <c r="L48" i="8"/>
  <c r="K48" i="8"/>
  <c r="D48" i="8"/>
  <c r="O47" i="8"/>
  <c r="L47" i="8"/>
  <c r="K47" i="8"/>
  <c r="D47" i="8"/>
  <c r="O46" i="8"/>
  <c r="L46" i="8"/>
  <c r="K46" i="8"/>
  <c r="D46" i="8"/>
  <c r="O45" i="8"/>
  <c r="L45" i="8"/>
  <c r="K45" i="8"/>
  <c r="D45" i="8"/>
  <c r="O40" i="8"/>
  <c r="L40" i="8"/>
  <c r="K40" i="8"/>
  <c r="D40" i="8"/>
  <c r="O39" i="8"/>
  <c r="L39" i="8"/>
  <c r="K39" i="8"/>
  <c r="D39" i="8"/>
  <c r="O38" i="8"/>
  <c r="L38" i="8"/>
  <c r="K38" i="8"/>
  <c r="D38" i="8"/>
  <c r="O37" i="8"/>
  <c r="L37" i="8"/>
  <c r="K37" i="8"/>
  <c r="D37" i="8"/>
  <c r="P48" i="8" l="1"/>
  <c r="S48" i="8"/>
  <c r="P3" i="11" l="1"/>
  <c r="R32" i="10"/>
  <c r="R33" i="10"/>
  <c r="R34" i="10"/>
  <c r="R35" i="10"/>
  <c r="R36" i="10"/>
  <c r="R37" i="10"/>
  <c r="R38" i="10"/>
  <c r="R39" i="10"/>
  <c r="R40" i="10"/>
  <c r="R41" i="10"/>
  <c r="R42" i="10"/>
  <c r="R43" i="10"/>
  <c r="R44" i="10"/>
  <c r="R31" i="10"/>
  <c r="J5" i="22"/>
  <c r="J6" i="22"/>
  <c r="J7" i="22"/>
  <c r="J4" i="22"/>
  <c r="Q3" i="10"/>
  <c r="Q2" i="10"/>
  <c r="J3" i="22"/>
  <c r="J2" i="22"/>
  <c r="K4" i="8" l="1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7" i="8"/>
  <c r="K28" i="8"/>
  <c r="K29" i="8"/>
  <c r="K30" i="8"/>
  <c r="K31" i="8"/>
  <c r="K32" i="8"/>
  <c r="K33" i="8"/>
  <c r="K34" i="8"/>
  <c r="K35" i="8"/>
  <c r="K36" i="8"/>
  <c r="K49" i="8"/>
  <c r="K50" i="8"/>
  <c r="K51" i="8"/>
  <c r="K52" i="8"/>
  <c r="K53" i="8"/>
  <c r="K54" i="8"/>
  <c r="K55" i="8"/>
  <c r="K56" i="8"/>
  <c r="K57" i="8"/>
  <c r="K58" i="8"/>
  <c r="K59" i="8"/>
  <c r="K2" i="8"/>
  <c r="K3" i="8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6" i="5"/>
  <c r="N27" i="5"/>
  <c r="N28" i="5"/>
  <c r="N29" i="5"/>
  <c r="N30" i="5"/>
  <c r="N31" i="5"/>
  <c r="N32" i="5"/>
  <c r="N33" i="5"/>
  <c r="N34" i="5"/>
  <c r="N35" i="5"/>
  <c r="N38" i="5"/>
  <c r="N36" i="5"/>
  <c r="N37" i="5"/>
  <c r="N39" i="5"/>
  <c r="N40" i="5"/>
  <c r="N41" i="5"/>
  <c r="N42" i="5"/>
  <c r="N43" i="5"/>
  <c r="N2" i="5"/>
  <c r="N3" i="5"/>
  <c r="R4" i="1"/>
  <c r="R5" i="1"/>
  <c r="R6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9" i="1"/>
  <c r="R37" i="1"/>
  <c r="R38" i="1"/>
  <c r="R40" i="1"/>
  <c r="R41" i="1"/>
  <c r="R42" i="1"/>
  <c r="R43" i="1"/>
  <c r="R44" i="1"/>
  <c r="R3" i="1"/>
  <c r="R2" i="1"/>
  <c r="O4" i="7"/>
  <c r="O11" i="7"/>
  <c r="O5" i="7"/>
  <c r="O6" i="7"/>
  <c r="O7" i="7"/>
  <c r="O8" i="7"/>
  <c r="O9" i="7"/>
  <c r="O10" i="7"/>
  <c r="O12" i="7"/>
  <c r="O13" i="7"/>
  <c r="O14" i="7"/>
  <c r="O15" i="7"/>
  <c r="O16" i="7"/>
  <c r="O17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2" i="7"/>
  <c r="O3" i="7"/>
  <c r="F45" i="5" l="1"/>
  <c r="F58" i="5" s="1"/>
  <c r="F46" i="5"/>
  <c r="F59" i="5" s="1"/>
  <c r="F47" i="5"/>
  <c r="F60" i="5" s="1"/>
  <c r="F48" i="5"/>
  <c r="F61" i="5" s="1"/>
  <c r="F49" i="5"/>
  <c r="F62" i="5" s="1"/>
  <c r="F50" i="5"/>
  <c r="F63" i="5" s="1"/>
  <c r="F52" i="5"/>
  <c r="F65" i="5" s="1"/>
  <c r="F53" i="5"/>
  <c r="F66" i="5" s="1"/>
  <c r="F54" i="5"/>
  <c r="F67" i="5" s="1"/>
  <c r="F55" i="5"/>
  <c r="F68" i="5" s="1"/>
  <c r="F56" i="5"/>
  <c r="F69" i="5" s="1"/>
  <c r="F44" i="5"/>
  <c r="O58" i="5"/>
  <c r="D58" i="5"/>
  <c r="O57" i="5"/>
  <c r="D57" i="5"/>
  <c r="O45" i="5"/>
  <c r="D45" i="5"/>
  <c r="O44" i="5"/>
  <c r="D44" i="5"/>
  <c r="O32" i="5"/>
  <c r="D32" i="5"/>
  <c r="O31" i="5"/>
  <c r="D31" i="5"/>
  <c r="F46" i="1"/>
  <c r="F47" i="1"/>
  <c r="F48" i="1"/>
  <c r="F49" i="1"/>
  <c r="F51" i="1"/>
  <c r="F52" i="1"/>
  <c r="F53" i="1"/>
  <c r="F54" i="1"/>
  <c r="F55" i="1"/>
  <c r="F45" i="1"/>
  <c r="Q55" i="1"/>
  <c r="D55" i="1"/>
  <c r="Q54" i="1"/>
  <c r="D54" i="1"/>
  <c r="Q53" i="1"/>
  <c r="D53" i="1"/>
  <c r="Q52" i="1"/>
  <c r="D52" i="1"/>
  <c r="Q51" i="1"/>
  <c r="D51" i="1"/>
  <c r="Q49" i="1"/>
  <c r="D49" i="1"/>
  <c r="Q48" i="1"/>
  <c r="D48" i="1"/>
  <c r="Q50" i="1"/>
  <c r="D50" i="1"/>
  <c r="Q47" i="1"/>
  <c r="D47" i="1"/>
  <c r="Q46" i="1"/>
  <c r="D46" i="1"/>
  <c r="Q45" i="1"/>
  <c r="D45" i="1"/>
  <c r="O56" i="5"/>
  <c r="D56" i="5"/>
  <c r="O55" i="5"/>
  <c r="D55" i="5"/>
  <c r="O54" i="5"/>
  <c r="D54" i="5"/>
  <c r="O53" i="5"/>
  <c r="D53" i="5"/>
  <c r="O52" i="5"/>
  <c r="D52" i="5"/>
  <c r="O50" i="5"/>
  <c r="D50" i="5"/>
  <c r="O49" i="5"/>
  <c r="D49" i="5"/>
  <c r="O51" i="5"/>
  <c r="D51" i="5"/>
  <c r="O48" i="5"/>
  <c r="D48" i="5"/>
  <c r="O47" i="5"/>
  <c r="D47" i="5"/>
  <c r="O46" i="5"/>
  <c r="D46" i="5"/>
  <c r="Z44" i="10"/>
  <c r="N45" i="5" l="1"/>
  <c r="N50" i="5"/>
  <c r="N53" i="5"/>
  <c r="N54" i="5"/>
  <c r="N47" i="5"/>
  <c r="N52" i="5"/>
  <c r="N46" i="5"/>
  <c r="N55" i="5"/>
  <c r="N48" i="5"/>
  <c r="N56" i="5"/>
  <c r="N44" i="5"/>
  <c r="N51" i="5"/>
  <c r="N49" i="5"/>
  <c r="F57" i="5"/>
  <c r="N82" i="5" s="1"/>
  <c r="R51" i="1"/>
  <c r="R52" i="1"/>
  <c r="R54" i="1"/>
  <c r="R55" i="1"/>
  <c r="R50" i="1"/>
  <c r="R48" i="1"/>
  <c r="R49" i="1"/>
  <c r="R45" i="1"/>
  <c r="R53" i="1"/>
  <c r="R46" i="1"/>
  <c r="R47" i="1"/>
  <c r="Y78" i="1"/>
  <c r="P25" i="5" l="1"/>
  <c r="P24" i="5"/>
  <c r="N81" i="5"/>
  <c r="N64" i="5"/>
  <c r="N79" i="5"/>
  <c r="N73" i="5"/>
  <c r="N59" i="5"/>
  <c r="N66" i="5"/>
  <c r="N69" i="5"/>
  <c r="N76" i="5"/>
  <c r="N78" i="5"/>
  <c r="N61" i="5"/>
  <c r="N74" i="5"/>
  <c r="N60" i="5"/>
  <c r="N80" i="5"/>
  <c r="N83" i="5"/>
  <c r="N57" i="5"/>
  <c r="N77" i="5"/>
  <c r="N70" i="5"/>
  <c r="N72" i="5"/>
  <c r="N58" i="5"/>
  <c r="N63" i="5"/>
  <c r="N68" i="5"/>
  <c r="N67" i="5"/>
  <c r="N71" i="5"/>
  <c r="N65" i="5"/>
  <c r="N62" i="5"/>
  <c r="N75" i="5"/>
  <c r="Y80" i="1"/>
  <c r="Y79" i="1"/>
  <c r="J7" i="16"/>
  <c r="J2" i="16"/>
  <c r="J4" i="16"/>
  <c r="J5" i="16"/>
  <c r="J6" i="16"/>
  <c r="V77" i="5" l="1"/>
  <c r="V71" i="5"/>
  <c r="V70" i="5"/>
  <c r="U41" i="7"/>
  <c r="U40" i="7"/>
  <c r="AC171" i="9"/>
  <c r="AC170" i="9"/>
  <c r="R24" i="10" l="1"/>
  <c r="O34" i="8" l="1"/>
  <c r="L34" i="8"/>
  <c r="D34" i="8"/>
  <c r="O33" i="8"/>
  <c r="L33" i="8"/>
  <c r="D33" i="8"/>
  <c r="D56" i="8"/>
  <c r="O59" i="8"/>
  <c r="L59" i="8"/>
  <c r="D59" i="8"/>
  <c r="O58" i="8"/>
  <c r="L58" i="8"/>
  <c r="D58" i="8"/>
  <c r="O57" i="8"/>
  <c r="L57" i="8"/>
  <c r="D57" i="8"/>
  <c r="O56" i="8"/>
  <c r="L56" i="8"/>
  <c r="O55" i="8"/>
  <c r="L55" i="8"/>
  <c r="D55" i="8"/>
  <c r="O54" i="8"/>
  <c r="L54" i="8"/>
  <c r="D54" i="8"/>
  <c r="O53" i="8"/>
  <c r="L53" i="8"/>
  <c r="D53" i="8"/>
  <c r="P57" i="8" l="1"/>
  <c r="P59" i="8"/>
  <c r="P54" i="8"/>
  <c r="P41" i="7" l="1"/>
  <c r="T41" i="7" s="1"/>
  <c r="D41" i="7"/>
  <c r="P40" i="7"/>
  <c r="T40" i="7" s="1"/>
  <c r="D40" i="7"/>
  <c r="O168" i="9"/>
  <c r="Q40" i="7" l="1"/>
  <c r="Q41" i="7"/>
  <c r="S40" i="7"/>
  <c r="S41" i="7"/>
  <c r="Q65" i="1" l="1"/>
  <c r="F65" i="1"/>
  <c r="D65" i="1"/>
  <c r="Q64" i="1"/>
  <c r="F64" i="1"/>
  <c r="D64" i="1"/>
  <c r="Q61" i="1"/>
  <c r="F61" i="1"/>
  <c r="D61" i="1"/>
  <c r="Q43" i="1"/>
  <c r="D43" i="1"/>
  <c r="Q42" i="1"/>
  <c r="D42" i="1"/>
  <c r="Q39" i="1"/>
  <c r="D39" i="1"/>
  <c r="O68" i="5"/>
  <c r="D68" i="5"/>
  <c r="O67" i="5"/>
  <c r="D67" i="5"/>
  <c r="O64" i="5"/>
  <c r="D64" i="5"/>
  <c r="O42" i="5"/>
  <c r="D42" i="5"/>
  <c r="O41" i="5"/>
  <c r="D41" i="5"/>
  <c r="O38" i="5"/>
  <c r="D38" i="5"/>
  <c r="D36" i="5"/>
  <c r="O36" i="5"/>
  <c r="U40" i="10"/>
  <c r="E40" i="10"/>
  <c r="U39" i="10"/>
  <c r="E39" i="10"/>
  <c r="U34" i="10"/>
  <c r="E34" i="10"/>
  <c r="R175" i="9"/>
  <c r="P175" i="9"/>
  <c r="O175" i="9"/>
  <c r="D175" i="9"/>
  <c r="F147" i="9"/>
  <c r="F148" i="9"/>
  <c r="F149" i="9"/>
  <c r="W149" i="9" s="1"/>
  <c r="F151" i="9"/>
  <c r="F143" i="9"/>
  <c r="F150" i="9"/>
  <c r="W150" i="9" s="1"/>
  <c r="F144" i="9"/>
  <c r="P160" i="9"/>
  <c r="O160" i="9"/>
  <c r="D160" i="9"/>
  <c r="P159" i="9"/>
  <c r="O159" i="9"/>
  <c r="D159" i="9"/>
  <c r="P161" i="9"/>
  <c r="O161" i="9"/>
  <c r="D161" i="9"/>
  <c r="P149" i="9"/>
  <c r="O149" i="9"/>
  <c r="D149" i="9"/>
  <c r="P148" i="9"/>
  <c r="O148" i="9"/>
  <c r="D148" i="9"/>
  <c r="P150" i="9"/>
  <c r="O150" i="9"/>
  <c r="D150" i="9"/>
  <c r="R135" i="9"/>
  <c r="P135" i="9"/>
  <c r="O135" i="9"/>
  <c r="D135" i="9"/>
  <c r="R134" i="9"/>
  <c r="P134" i="9"/>
  <c r="O134" i="9"/>
  <c r="D134" i="9"/>
  <c r="R136" i="9"/>
  <c r="P136" i="9"/>
  <c r="O136" i="9"/>
  <c r="D136" i="9"/>
  <c r="F158" i="9" l="1"/>
  <c r="W158" i="9" s="1"/>
  <c r="W147" i="9"/>
  <c r="F154" i="9"/>
  <c r="W154" i="9" s="1"/>
  <c r="W143" i="9"/>
  <c r="F155" i="9"/>
  <c r="W155" i="9" s="1"/>
  <c r="W144" i="9"/>
  <c r="F162" i="9"/>
  <c r="W162" i="9" s="1"/>
  <c r="W151" i="9"/>
  <c r="R148" i="9"/>
  <c r="W148" i="9"/>
  <c r="W49" i="9"/>
  <c r="R150" i="9"/>
  <c r="F161" i="9"/>
  <c r="W161" i="9" s="1"/>
  <c r="R149" i="9"/>
  <c r="F160" i="9"/>
  <c r="W160" i="9" s="1"/>
  <c r="F159" i="9"/>
  <c r="W159" i="9" s="1"/>
  <c r="W59" i="9" l="1"/>
  <c r="R59" i="9"/>
  <c r="R159" i="9"/>
  <c r="R160" i="9"/>
  <c r="R161" i="9"/>
  <c r="P10" i="7" l="1"/>
  <c r="D10" i="7"/>
  <c r="P9" i="7"/>
  <c r="D9" i="7"/>
  <c r="P8" i="7"/>
  <c r="D8" i="7"/>
  <c r="P7" i="7"/>
  <c r="D7" i="7"/>
  <c r="P6" i="7"/>
  <c r="D6" i="7"/>
  <c r="P5" i="7"/>
  <c r="D5" i="7"/>
  <c r="P11" i="7"/>
  <c r="D11" i="7"/>
  <c r="AG11" i="18" l="1"/>
  <c r="AG12" i="18"/>
  <c r="AG13" i="18"/>
  <c r="AG14" i="18"/>
  <c r="AG15" i="18"/>
  <c r="AG16" i="18"/>
  <c r="AG17" i="18"/>
  <c r="AF6" i="18"/>
  <c r="AF7" i="18"/>
  <c r="AF8" i="18"/>
  <c r="AF9" i="18"/>
  <c r="AF10" i="18"/>
  <c r="AF11" i="18" s="1"/>
  <c r="AF12" i="18" s="1"/>
  <c r="AF13" i="18" s="1"/>
  <c r="AF14" i="18" s="1"/>
  <c r="AF15" i="18" s="1"/>
  <c r="AF16" i="18" s="1"/>
  <c r="AF17" i="18" s="1"/>
  <c r="AF5" i="18"/>
  <c r="AG4" i="18"/>
  <c r="Q89" i="1"/>
  <c r="D89" i="1"/>
  <c r="Q88" i="1"/>
  <c r="D88" i="1"/>
  <c r="AG6" i="18" l="1"/>
  <c r="AG7" i="18"/>
  <c r="AG5" i="18"/>
  <c r="AG8" i="18" l="1"/>
  <c r="AG9" i="18"/>
  <c r="AG10" i="18" l="1"/>
  <c r="O72" i="5"/>
  <c r="O73" i="5"/>
  <c r="O74" i="5"/>
  <c r="O75" i="5"/>
  <c r="O76" i="5"/>
  <c r="O77" i="5"/>
  <c r="O78" i="5"/>
  <c r="O79" i="5"/>
  <c r="O80" i="5"/>
  <c r="O81" i="5"/>
  <c r="O82" i="5"/>
  <c r="O83" i="5"/>
  <c r="O20" i="5"/>
  <c r="O21" i="5"/>
  <c r="O22" i="5"/>
  <c r="O23" i="5"/>
  <c r="O26" i="5"/>
  <c r="O27" i="5"/>
  <c r="O28" i="5"/>
  <c r="O29" i="5"/>
  <c r="O30" i="5"/>
  <c r="O33" i="5"/>
  <c r="O34" i="5"/>
  <c r="O35" i="5"/>
  <c r="O37" i="5"/>
  <c r="O39" i="5"/>
  <c r="O40" i="5"/>
  <c r="O43" i="5"/>
  <c r="O59" i="5"/>
  <c r="O60" i="5"/>
  <c r="O61" i="5"/>
  <c r="O62" i="5"/>
  <c r="O63" i="5"/>
  <c r="O65" i="5"/>
  <c r="O66" i="5"/>
  <c r="O69" i="5"/>
  <c r="O70" i="5"/>
  <c r="O71" i="5"/>
  <c r="P22" i="7" l="1"/>
  <c r="D22" i="7"/>
  <c r="P21" i="7"/>
  <c r="D21" i="7"/>
  <c r="P20" i="7"/>
  <c r="D20" i="7"/>
  <c r="P17" i="7"/>
  <c r="D17" i="7"/>
  <c r="P16" i="7"/>
  <c r="D16" i="7"/>
  <c r="P15" i="7"/>
  <c r="D15" i="7"/>
  <c r="P14" i="7"/>
  <c r="D14" i="7"/>
  <c r="P13" i="7"/>
  <c r="D13" i="7"/>
  <c r="R22" i="7" l="1"/>
  <c r="F142" i="9" l="1"/>
  <c r="R144" i="9"/>
  <c r="F145" i="9"/>
  <c r="W145" i="9" s="1"/>
  <c r="F146" i="9"/>
  <c r="W146" i="9" s="1"/>
  <c r="R147" i="9"/>
  <c r="R151" i="9"/>
  <c r="F141" i="9"/>
  <c r="W141" i="9" s="1"/>
  <c r="F70" i="9"/>
  <c r="W70" i="9" s="1"/>
  <c r="F71" i="9"/>
  <c r="W71" i="9" s="1"/>
  <c r="F72" i="9"/>
  <c r="W72" i="9" s="1"/>
  <c r="F75" i="9"/>
  <c r="W75" i="9" s="1"/>
  <c r="F76" i="9"/>
  <c r="W76" i="9" s="1"/>
  <c r="F77" i="9"/>
  <c r="W77" i="9" s="1"/>
  <c r="F78" i="9"/>
  <c r="W78" i="9" s="1"/>
  <c r="F69" i="9"/>
  <c r="W69" i="9" s="1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7" i="9"/>
  <c r="R48" i="9"/>
  <c r="R79" i="9"/>
  <c r="R80" i="9"/>
  <c r="R81" i="9"/>
  <c r="R82" i="9"/>
  <c r="R83" i="9"/>
  <c r="R84" i="9"/>
  <c r="R85" i="9"/>
  <c r="R86" i="9"/>
  <c r="R87" i="9"/>
  <c r="R88" i="9"/>
  <c r="R89" i="9"/>
  <c r="R90" i="9"/>
  <c r="R3" i="9"/>
  <c r="R4" i="9"/>
  <c r="R5" i="9"/>
  <c r="R6" i="9"/>
  <c r="R7" i="9"/>
  <c r="R8" i="9"/>
  <c r="R127" i="9"/>
  <c r="R128" i="9"/>
  <c r="R129" i="9"/>
  <c r="R130" i="9"/>
  <c r="R131" i="9"/>
  <c r="R132" i="9"/>
  <c r="R133" i="9"/>
  <c r="R137" i="9"/>
  <c r="R163" i="9"/>
  <c r="R164" i="9"/>
  <c r="R165" i="9"/>
  <c r="R166" i="9"/>
  <c r="R167" i="9"/>
  <c r="R168" i="9"/>
  <c r="R169" i="9"/>
  <c r="R170" i="9"/>
  <c r="R171" i="9"/>
  <c r="R172" i="9"/>
  <c r="R173" i="9"/>
  <c r="R2" i="9"/>
  <c r="Q90" i="9"/>
  <c r="P90" i="9"/>
  <c r="D90" i="9"/>
  <c r="Q89" i="9"/>
  <c r="P89" i="9"/>
  <c r="D89" i="9"/>
  <c r="Q88" i="9"/>
  <c r="P88" i="9"/>
  <c r="D88" i="9"/>
  <c r="Q87" i="9"/>
  <c r="P87" i="9"/>
  <c r="D87" i="9"/>
  <c r="Q86" i="9"/>
  <c r="P86" i="9"/>
  <c r="D86" i="9"/>
  <c r="Q85" i="9"/>
  <c r="P85" i="9"/>
  <c r="D85" i="9"/>
  <c r="Q84" i="9"/>
  <c r="P84" i="9"/>
  <c r="D84" i="9"/>
  <c r="Q83" i="9"/>
  <c r="P83" i="9"/>
  <c r="D83" i="9"/>
  <c r="Q82" i="9"/>
  <c r="P82" i="9"/>
  <c r="D82" i="9"/>
  <c r="Q81" i="9"/>
  <c r="P81" i="9"/>
  <c r="D81" i="9"/>
  <c r="Q80" i="9"/>
  <c r="P80" i="9"/>
  <c r="D80" i="9"/>
  <c r="Q79" i="9"/>
  <c r="P79" i="9"/>
  <c r="D79" i="9"/>
  <c r="Q58" i="9"/>
  <c r="P58" i="9"/>
  <c r="D58" i="9"/>
  <c r="Q57" i="9"/>
  <c r="P57" i="9"/>
  <c r="O57" i="9" s="1"/>
  <c r="D57" i="9"/>
  <c r="Q56" i="9"/>
  <c r="P56" i="9"/>
  <c r="O56" i="9" s="1"/>
  <c r="D56" i="9"/>
  <c r="Q53" i="9"/>
  <c r="P53" i="9"/>
  <c r="D53" i="9"/>
  <c r="Q52" i="9"/>
  <c r="P52" i="9"/>
  <c r="D52" i="9"/>
  <c r="Q51" i="9"/>
  <c r="P51" i="9"/>
  <c r="O51" i="9" s="1"/>
  <c r="D51" i="9"/>
  <c r="Q50" i="9"/>
  <c r="P50" i="9"/>
  <c r="O50" i="9" s="1"/>
  <c r="D50" i="9"/>
  <c r="Q49" i="9"/>
  <c r="P49" i="9"/>
  <c r="O49" i="9"/>
  <c r="D49" i="9"/>
  <c r="Q29" i="9"/>
  <c r="P29" i="9"/>
  <c r="O29" i="9"/>
  <c r="D29" i="9"/>
  <c r="P8" i="9"/>
  <c r="O8" i="9"/>
  <c r="D8" i="9"/>
  <c r="P7" i="9"/>
  <c r="O7" i="9"/>
  <c r="D7" i="9"/>
  <c r="P6" i="9"/>
  <c r="O6" i="9"/>
  <c r="D6" i="9"/>
  <c r="P5" i="9"/>
  <c r="O5" i="9"/>
  <c r="D5" i="9"/>
  <c r="P4" i="9"/>
  <c r="O4" i="9"/>
  <c r="D4" i="9"/>
  <c r="P3" i="9"/>
  <c r="O3" i="9"/>
  <c r="D3" i="9"/>
  <c r="P151" i="9"/>
  <c r="O151" i="9"/>
  <c r="D151" i="9"/>
  <c r="P147" i="9"/>
  <c r="O147" i="9"/>
  <c r="D147" i="9"/>
  <c r="P146" i="9"/>
  <c r="O146" i="9"/>
  <c r="D146" i="9"/>
  <c r="P145" i="9"/>
  <c r="O145" i="9"/>
  <c r="D145" i="9"/>
  <c r="P144" i="9"/>
  <c r="O144" i="9"/>
  <c r="D144" i="9"/>
  <c r="P143" i="9"/>
  <c r="O143" i="9"/>
  <c r="D143" i="9"/>
  <c r="P142" i="9"/>
  <c r="O142" i="9"/>
  <c r="D142" i="9"/>
  <c r="P141" i="9"/>
  <c r="O141" i="9"/>
  <c r="D141" i="9"/>
  <c r="O19" i="5"/>
  <c r="V23" i="9" l="1"/>
  <c r="V19" i="9"/>
  <c r="V26" i="9"/>
  <c r="V22" i="9"/>
  <c r="V25" i="9"/>
  <c r="V24" i="9"/>
  <c r="V27" i="9"/>
  <c r="V21" i="9"/>
  <c r="V20" i="9"/>
  <c r="V28" i="9"/>
  <c r="V18" i="9"/>
  <c r="V10" i="9"/>
  <c r="V17" i="9"/>
  <c r="V13" i="9"/>
  <c r="V9" i="9"/>
  <c r="V15" i="9"/>
  <c r="V16" i="9"/>
  <c r="V12" i="9"/>
  <c r="V11" i="9"/>
  <c r="V14" i="9"/>
  <c r="F153" i="9"/>
  <c r="W153" i="9" s="1"/>
  <c r="W142" i="9"/>
  <c r="R112" i="9"/>
  <c r="W112" i="9"/>
  <c r="W104" i="9"/>
  <c r="R111" i="9"/>
  <c r="W111" i="9"/>
  <c r="R109" i="9"/>
  <c r="W109" i="9"/>
  <c r="R108" i="9"/>
  <c r="W108" i="9"/>
  <c r="W110" i="9"/>
  <c r="W103" i="9"/>
  <c r="W107" i="9"/>
  <c r="W114" i="9"/>
  <c r="W106" i="9"/>
  <c r="R113" i="9"/>
  <c r="W113" i="9"/>
  <c r="W105" i="9"/>
  <c r="W53" i="9"/>
  <c r="R52" i="9"/>
  <c r="W52" i="9"/>
  <c r="R51" i="9"/>
  <c r="W51" i="9"/>
  <c r="R50" i="9"/>
  <c r="W50" i="9"/>
  <c r="O90" i="9"/>
  <c r="V46" i="9"/>
  <c r="V45" i="9"/>
  <c r="AA46" i="9"/>
  <c r="AA45" i="9"/>
  <c r="F157" i="9"/>
  <c r="W157" i="9" s="1"/>
  <c r="R145" i="9"/>
  <c r="F156" i="9"/>
  <c r="W156" i="9" s="1"/>
  <c r="V6" i="9"/>
  <c r="V39" i="9"/>
  <c r="V3" i="9"/>
  <c r="V42" i="9"/>
  <c r="V35" i="9"/>
  <c r="V44" i="9"/>
  <c r="V7" i="9"/>
  <c r="V32" i="9"/>
  <c r="V40" i="9"/>
  <c r="V8" i="9"/>
  <c r="V4" i="9"/>
  <c r="V43" i="9"/>
  <c r="V29" i="9"/>
  <c r="V33" i="9"/>
  <c r="V41" i="9"/>
  <c r="V34" i="9"/>
  <c r="V2" i="9"/>
  <c r="V36" i="9"/>
  <c r="V47" i="9"/>
  <c r="V37" i="9"/>
  <c r="V38" i="9"/>
  <c r="V48" i="9"/>
  <c r="V5" i="9"/>
  <c r="V30" i="9"/>
  <c r="V31" i="9"/>
  <c r="AA29" i="9"/>
  <c r="AA36" i="9"/>
  <c r="AA44" i="9"/>
  <c r="AA6" i="9"/>
  <c r="AA39" i="9"/>
  <c r="AA3" i="9"/>
  <c r="AA40" i="9"/>
  <c r="AA41" i="9"/>
  <c r="AA34" i="9"/>
  <c r="AA30" i="9"/>
  <c r="AA37" i="9"/>
  <c r="AA47" i="9"/>
  <c r="AA32" i="9"/>
  <c r="AA33" i="9"/>
  <c r="AA42" i="9"/>
  <c r="AA5" i="9"/>
  <c r="AA31" i="9"/>
  <c r="AA38" i="9"/>
  <c r="AA48" i="9"/>
  <c r="AA7" i="9"/>
  <c r="AA8" i="9"/>
  <c r="AA35" i="9"/>
  <c r="AA4" i="9"/>
  <c r="AA43" i="9"/>
  <c r="AA2" i="9"/>
  <c r="R141" i="9"/>
  <c r="F152" i="9"/>
  <c r="W152" i="9" s="1"/>
  <c r="R49" i="9"/>
  <c r="R162" i="9"/>
  <c r="R110" i="9"/>
  <c r="R104" i="9"/>
  <c r="R103" i="9"/>
  <c r="R114" i="9"/>
  <c r="R143" i="9"/>
  <c r="R146" i="9"/>
  <c r="R142" i="9"/>
  <c r="R106" i="9"/>
  <c r="R105" i="9"/>
  <c r="R107" i="9"/>
  <c r="R58" i="9"/>
  <c r="R57" i="9"/>
  <c r="R56" i="9"/>
  <c r="R53" i="9"/>
  <c r="O52" i="9"/>
  <c r="O53" i="9"/>
  <c r="O58" i="9"/>
  <c r="O81" i="9"/>
  <c r="O89" i="9"/>
  <c r="O85" i="9"/>
  <c r="O83" i="9"/>
  <c r="O87" i="9"/>
  <c r="V59" i="9" l="1"/>
  <c r="W61" i="9"/>
  <c r="R61" i="9"/>
  <c r="R62" i="9"/>
  <c r="W62" i="9"/>
  <c r="AA59" i="9"/>
  <c r="R60" i="9"/>
  <c r="W60" i="9"/>
  <c r="AA97" i="9" s="1"/>
  <c r="W63" i="9"/>
  <c r="R63" i="9"/>
  <c r="O88" i="9"/>
  <c r="O84" i="9"/>
  <c r="O80" i="9"/>
  <c r="O79" i="9"/>
  <c r="O86" i="9"/>
  <c r="O82" i="9"/>
  <c r="AA54" i="9"/>
  <c r="V55" i="9"/>
  <c r="AA55" i="9"/>
  <c r="V54" i="9"/>
  <c r="V51" i="9"/>
  <c r="V49" i="9"/>
  <c r="AA56" i="9"/>
  <c r="AA52" i="9"/>
  <c r="P11" i="22"/>
  <c r="V58" i="9"/>
  <c r="AA53" i="9"/>
  <c r="AA57" i="9"/>
  <c r="V56" i="9"/>
  <c r="AA58" i="9"/>
  <c r="V57" i="9"/>
  <c r="V52" i="9"/>
  <c r="V50" i="9"/>
  <c r="V53" i="9"/>
  <c r="AA51" i="9"/>
  <c r="AA50" i="9"/>
  <c r="AA49" i="9"/>
  <c r="R156" i="9"/>
  <c r="R157" i="9"/>
  <c r="R158" i="9"/>
  <c r="D2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7" i="9"/>
  <c r="D48" i="9"/>
  <c r="D69" i="9"/>
  <c r="D70" i="9"/>
  <c r="D71" i="9"/>
  <c r="D72" i="9"/>
  <c r="D75" i="9"/>
  <c r="D76" i="9"/>
  <c r="D77" i="9"/>
  <c r="D78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7" i="9"/>
  <c r="D152" i="9"/>
  <c r="D153" i="9"/>
  <c r="D154" i="9"/>
  <c r="D155" i="9"/>
  <c r="D156" i="9"/>
  <c r="D157" i="9"/>
  <c r="D158" i="9"/>
  <c r="D162" i="9"/>
  <c r="D164" i="9"/>
  <c r="D165" i="9"/>
  <c r="D166" i="9"/>
  <c r="D167" i="9"/>
  <c r="D168" i="9"/>
  <c r="D169" i="9"/>
  <c r="D170" i="9"/>
  <c r="D171" i="9"/>
  <c r="D172" i="9"/>
  <c r="D173" i="9"/>
  <c r="X186" i="9" l="1"/>
  <c r="X193" i="9"/>
  <c r="AA190" i="9"/>
  <c r="AA191" i="9"/>
  <c r="X190" i="9"/>
  <c r="AA193" i="9"/>
  <c r="AA186" i="9"/>
  <c r="AA194" i="9"/>
  <c r="AA187" i="9"/>
  <c r="AA189" i="9"/>
  <c r="AA188" i="9"/>
  <c r="X187" i="9"/>
  <c r="X195" i="9"/>
  <c r="X194" i="9"/>
  <c r="X189" i="9"/>
  <c r="AA195" i="9"/>
  <c r="AA192" i="9"/>
  <c r="X188" i="9"/>
  <c r="X191" i="9"/>
  <c r="X192" i="9"/>
  <c r="X9" i="9"/>
  <c r="X19" i="9"/>
  <c r="X18" i="9"/>
  <c r="X23" i="9"/>
  <c r="X94" i="9"/>
  <c r="X10" i="9"/>
  <c r="X24" i="9"/>
  <c r="X25" i="9"/>
  <c r="X11" i="9"/>
  <c r="X26" i="9"/>
  <c r="AA60" i="9"/>
  <c r="X12" i="9"/>
  <c r="X27" i="9"/>
  <c r="X13" i="9"/>
  <c r="X20" i="9"/>
  <c r="X28" i="9"/>
  <c r="X14" i="9"/>
  <c r="X15" i="9"/>
  <c r="X16" i="9"/>
  <c r="X17" i="9"/>
  <c r="X21" i="9"/>
  <c r="X22" i="9"/>
  <c r="X93" i="9"/>
  <c r="X97" i="9"/>
  <c r="X102" i="9"/>
  <c r="X98" i="9"/>
  <c r="X101" i="9"/>
  <c r="AA102" i="9"/>
  <c r="X95" i="9"/>
  <c r="AA96" i="9"/>
  <c r="X99" i="9"/>
  <c r="AA99" i="9"/>
  <c r="V60" i="9"/>
  <c r="X91" i="9"/>
  <c r="AA95" i="9"/>
  <c r="X100" i="9"/>
  <c r="AA101" i="9"/>
  <c r="AA91" i="9"/>
  <c r="AA94" i="9"/>
  <c r="AA92" i="9"/>
  <c r="X96" i="9"/>
  <c r="AA100" i="9"/>
  <c r="X92" i="9"/>
  <c r="AA98" i="9"/>
  <c r="AA93" i="9"/>
  <c r="V61" i="9"/>
  <c r="X65" i="9"/>
  <c r="X62" i="9"/>
  <c r="AA61" i="9"/>
  <c r="V64" i="9"/>
  <c r="AA66" i="9"/>
  <c r="X63" i="9"/>
  <c r="X59" i="9"/>
  <c r="AA65" i="9"/>
  <c r="AA62" i="9"/>
  <c r="X64" i="9"/>
  <c r="V65" i="9"/>
  <c r="X68" i="9"/>
  <c r="V67" i="9"/>
  <c r="AA64" i="9"/>
  <c r="AA67" i="9"/>
  <c r="V66" i="9"/>
  <c r="X61" i="9"/>
  <c r="AA63" i="9"/>
  <c r="X60" i="9"/>
  <c r="X175" i="9"/>
  <c r="AA68" i="9"/>
  <c r="V68" i="9"/>
  <c r="V63" i="9"/>
  <c r="X67" i="9"/>
  <c r="X66" i="9"/>
  <c r="V62" i="9"/>
  <c r="U81" i="5"/>
  <c r="D81" i="5"/>
  <c r="D33" i="5"/>
  <c r="D83" i="5"/>
  <c r="D82" i="5"/>
  <c r="D79" i="5"/>
  <c r="D78" i="5"/>
  <c r="D30" i="5"/>
  <c r="D29" i="5"/>
  <c r="D28" i="5"/>
  <c r="D27" i="5"/>
  <c r="D26" i="5"/>
  <c r="D23" i="5"/>
  <c r="D22" i="5"/>
  <c r="D21" i="5"/>
  <c r="D77" i="5"/>
  <c r="D76" i="5"/>
  <c r="D75" i="5"/>
  <c r="D74" i="5"/>
  <c r="D73" i="5"/>
  <c r="D72" i="5"/>
  <c r="D71" i="5"/>
  <c r="D70" i="5"/>
  <c r="D69" i="5"/>
  <c r="D66" i="5"/>
  <c r="D65" i="5"/>
  <c r="D63" i="5"/>
  <c r="D62" i="5"/>
  <c r="D61" i="5"/>
  <c r="D60" i="5"/>
  <c r="D59" i="5"/>
  <c r="D43" i="5"/>
  <c r="D40" i="5"/>
  <c r="D39" i="5"/>
  <c r="D37" i="5"/>
  <c r="D35" i="5"/>
  <c r="D34" i="5"/>
  <c r="AB18" i="9" l="1"/>
  <c r="Z195" i="9"/>
  <c r="AB195" i="9"/>
  <c r="AB28" i="9"/>
  <c r="AB102" i="9"/>
  <c r="Z102" i="9"/>
  <c r="AB68" i="9"/>
  <c r="Z68" i="9"/>
  <c r="P45" i="5"/>
  <c r="P44" i="5"/>
  <c r="P31" i="5"/>
  <c r="P57" i="5"/>
  <c r="P58" i="5"/>
  <c r="P32" i="5"/>
  <c r="P50" i="5"/>
  <c r="P51" i="5"/>
  <c r="P56" i="5"/>
  <c r="P53" i="5"/>
  <c r="P48" i="5"/>
  <c r="P49" i="5"/>
  <c r="P52" i="5"/>
  <c r="P54" i="5"/>
  <c r="P55" i="5"/>
  <c r="P47" i="5"/>
  <c r="P46" i="5"/>
  <c r="P67" i="5"/>
  <c r="P68" i="5"/>
  <c r="P42" i="5"/>
  <c r="P41" i="5"/>
  <c r="P64" i="5"/>
  <c r="P36" i="5"/>
  <c r="P38" i="5"/>
  <c r="P61" i="5"/>
  <c r="P9" i="5"/>
  <c r="P16" i="5"/>
  <c r="P26" i="5"/>
  <c r="P72" i="5"/>
  <c r="P80" i="5"/>
  <c r="P3" i="5"/>
  <c r="P10" i="5"/>
  <c r="P17" i="5"/>
  <c r="P27" i="5"/>
  <c r="P37" i="5"/>
  <c r="P63" i="5"/>
  <c r="P73" i="5"/>
  <c r="P81" i="5"/>
  <c r="R81" i="5" s="1"/>
  <c r="T81" i="5" s="1"/>
  <c r="P4" i="5"/>
  <c r="P11" i="5"/>
  <c r="P18" i="5"/>
  <c r="P28" i="5"/>
  <c r="P39" i="5"/>
  <c r="P65" i="5"/>
  <c r="P74" i="5"/>
  <c r="P82" i="5"/>
  <c r="P5" i="5"/>
  <c r="P12" i="5"/>
  <c r="P19" i="5"/>
  <c r="P29" i="5"/>
  <c r="P40" i="5"/>
  <c r="P66" i="5"/>
  <c r="P75" i="5"/>
  <c r="P83" i="5"/>
  <c r="P13" i="5"/>
  <c r="P20" i="5"/>
  <c r="P30" i="5"/>
  <c r="P43" i="5"/>
  <c r="P69" i="5"/>
  <c r="P76" i="5"/>
  <c r="P2" i="5"/>
  <c r="P6" i="5"/>
  <c r="P14" i="5"/>
  <c r="P21" i="5"/>
  <c r="P33" i="5"/>
  <c r="P59" i="5"/>
  <c r="P70" i="5"/>
  <c r="P77" i="5"/>
  <c r="P7" i="5"/>
  <c r="P15" i="5"/>
  <c r="P22" i="5"/>
  <c r="P34" i="5"/>
  <c r="P71" i="5"/>
  <c r="U71" i="5" s="1"/>
  <c r="P78" i="5"/>
  <c r="P8" i="5"/>
  <c r="P23" i="5"/>
  <c r="P35" i="5"/>
  <c r="P79" i="5"/>
  <c r="T79" i="5" s="1"/>
  <c r="P62" i="5"/>
  <c r="P60" i="5"/>
  <c r="U36" i="5" l="1"/>
  <c r="Q69" i="5"/>
  <c r="U43" i="5"/>
  <c r="Q30" i="5"/>
  <c r="R49" i="5"/>
  <c r="R56" i="5"/>
  <c r="Q56" i="5"/>
  <c r="R83" i="5"/>
  <c r="U83" i="5"/>
  <c r="T82" i="5"/>
  <c r="U82" i="5"/>
  <c r="U77" i="5"/>
  <c r="U70" i="5"/>
  <c r="Q71" i="5"/>
  <c r="R36" i="5"/>
  <c r="T36" i="5"/>
  <c r="T83" i="5"/>
  <c r="Q83" i="5"/>
  <c r="Q77" i="5"/>
  <c r="Q81" i="5"/>
  <c r="R82" i="5"/>
  <c r="R30" i="5"/>
  <c r="R69" i="5"/>
  <c r="R62" i="5"/>
  <c r="R43" i="5"/>
  <c r="T43" i="5"/>
  <c r="T30" i="5"/>
  <c r="Q79" i="5"/>
  <c r="T78" i="5"/>
  <c r="U182" i="18"/>
  <c r="R182" i="18"/>
  <c r="O182" i="18"/>
  <c r="M182" i="18"/>
  <c r="L182" i="18"/>
  <c r="D182" i="18"/>
  <c r="U181" i="18"/>
  <c r="R181" i="18"/>
  <c r="O181" i="18"/>
  <c r="M181" i="18"/>
  <c r="L181" i="18"/>
  <c r="D181" i="18"/>
  <c r="U180" i="18"/>
  <c r="R180" i="18"/>
  <c r="O180" i="18"/>
  <c r="M180" i="18"/>
  <c r="L180" i="18"/>
  <c r="D180" i="18"/>
  <c r="U179" i="18"/>
  <c r="R179" i="18"/>
  <c r="O179" i="18"/>
  <c r="M179" i="18"/>
  <c r="L179" i="18"/>
  <c r="D179" i="18"/>
  <c r="U178" i="18"/>
  <c r="R178" i="18"/>
  <c r="O178" i="18"/>
  <c r="M178" i="18"/>
  <c r="L178" i="18"/>
  <c r="D178" i="18"/>
  <c r="U177" i="18"/>
  <c r="R177" i="18"/>
  <c r="O177" i="18"/>
  <c r="M177" i="18"/>
  <c r="L177" i="18"/>
  <c r="D177" i="18"/>
  <c r="U176" i="18"/>
  <c r="R176" i="18"/>
  <c r="O176" i="18"/>
  <c r="M176" i="18"/>
  <c r="L176" i="18"/>
  <c r="D176" i="18"/>
  <c r="U175" i="18"/>
  <c r="R175" i="18"/>
  <c r="O175" i="18"/>
  <c r="M175" i="18"/>
  <c r="L175" i="18"/>
  <c r="D175" i="18"/>
  <c r="U174" i="18"/>
  <c r="T174" i="18"/>
  <c r="R174" i="18"/>
  <c r="O174" i="18"/>
  <c r="M174" i="18"/>
  <c r="L174" i="18"/>
  <c r="D174" i="18"/>
  <c r="U173" i="18"/>
  <c r="R173" i="18"/>
  <c r="O173" i="18"/>
  <c r="M173" i="18"/>
  <c r="L173" i="18"/>
  <c r="D173" i="18"/>
  <c r="U172" i="18"/>
  <c r="R172" i="18"/>
  <c r="O172" i="18"/>
  <c r="M172" i="18"/>
  <c r="L172" i="18"/>
  <c r="D172" i="18"/>
  <c r="U171" i="18"/>
  <c r="R171" i="18"/>
  <c r="O171" i="18"/>
  <c r="M171" i="18"/>
  <c r="L171" i="18"/>
  <c r="D171" i="18"/>
  <c r="U170" i="18"/>
  <c r="R170" i="18"/>
  <c r="O170" i="18"/>
  <c r="M170" i="18"/>
  <c r="L170" i="18"/>
  <c r="D170" i="18"/>
  <c r="U169" i="18"/>
  <c r="R169" i="18"/>
  <c r="O169" i="18"/>
  <c r="M169" i="18"/>
  <c r="L169" i="18"/>
  <c r="D169" i="18"/>
  <c r="U168" i="18"/>
  <c r="T168" i="18"/>
  <c r="R168" i="18"/>
  <c r="O168" i="18"/>
  <c r="M168" i="18"/>
  <c r="L168" i="18"/>
  <c r="D168" i="18"/>
  <c r="U167" i="18"/>
  <c r="R167" i="18"/>
  <c r="O167" i="18"/>
  <c r="M167" i="18"/>
  <c r="L167" i="18"/>
  <c r="D167" i="18"/>
  <c r="U166" i="18"/>
  <c r="R166" i="18"/>
  <c r="O166" i="18"/>
  <c r="M166" i="18"/>
  <c r="L166" i="18"/>
  <c r="D166" i="18"/>
  <c r="U165" i="18"/>
  <c r="R165" i="18"/>
  <c r="O165" i="18"/>
  <c r="M165" i="18"/>
  <c r="L165" i="18"/>
  <c r="D165" i="18"/>
  <c r="U164" i="18"/>
  <c r="R164" i="18"/>
  <c r="O164" i="18"/>
  <c r="M164" i="18"/>
  <c r="L164" i="18"/>
  <c r="D164" i="18"/>
  <c r="U163" i="18"/>
  <c r="R163" i="18"/>
  <c r="O163" i="18"/>
  <c r="M163" i="18"/>
  <c r="L163" i="18"/>
  <c r="D163" i="18"/>
  <c r="U162" i="18"/>
  <c r="R162" i="18"/>
  <c r="O162" i="18"/>
  <c r="M162" i="18"/>
  <c r="L162" i="18"/>
  <c r="D162" i="18"/>
  <c r="U161" i="18"/>
  <c r="R161" i="18"/>
  <c r="O161" i="18"/>
  <c r="M161" i="18"/>
  <c r="L161" i="18"/>
  <c r="D161" i="18"/>
  <c r="U160" i="18"/>
  <c r="R160" i="18"/>
  <c r="O160" i="18"/>
  <c r="M160" i="18"/>
  <c r="L160" i="18"/>
  <c r="D160" i="18"/>
  <c r="U159" i="18"/>
  <c r="R159" i="18"/>
  <c r="O159" i="18"/>
  <c r="M159" i="18"/>
  <c r="L159" i="18"/>
  <c r="D159" i="18"/>
  <c r="U158" i="18"/>
  <c r="R158" i="18"/>
  <c r="O158" i="18"/>
  <c r="M158" i="18"/>
  <c r="L158" i="18"/>
  <c r="D158" i="18"/>
  <c r="U157" i="18"/>
  <c r="R157" i="18"/>
  <c r="O157" i="18"/>
  <c r="M157" i="18"/>
  <c r="L157" i="18"/>
  <c r="D157" i="18"/>
  <c r="R156" i="18"/>
  <c r="O156" i="18"/>
  <c r="M156" i="18"/>
  <c r="L156" i="18"/>
  <c r="F156" i="18"/>
  <c r="U156" i="18" s="1"/>
  <c r="D156" i="18"/>
  <c r="R155" i="18"/>
  <c r="O155" i="18"/>
  <c r="M155" i="18"/>
  <c r="L155" i="18"/>
  <c r="F155" i="18"/>
  <c r="U155" i="18" s="1"/>
  <c r="D155" i="18"/>
  <c r="R154" i="18"/>
  <c r="O154" i="18"/>
  <c r="M154" i="18"/>
  <c r="L154" i="18"/>
  <c r="F154" i="18"/>
  <c r="U154" i="18" s="1"/>
  <c r="D154" i="18"/>
  <c r="U153" i="18"/>
  <c r="R153" i="18"/>
  <c r="O153" i="18"/>
  <c r="M153" i="18"/>
  <c r="L153" i="18"/>
  <c r="F153" i="18"/>
  <c r="D153" i="18"/>
  <c r="U152" i="18"/>
  <c r="R152" i="18"/>
  <c r="O152" i="18"/>
  <c r="M152" i="18"/>
  <c r="L152" i="18"/>
  <c r="D152" i="18"/>
  <c r="U151" i="18"/>
  <c r="R151" i="18"/>
  <c r="O151" i="18"/>
  <c r="M151" i="18"/>
  <c r="L151" i="18"/>
  <c r="D151" i="18"/>
  <c r="U150" i="18"/>
  <c r="R150" i="18"/>
  <c r="O150" i="18"/>
  <c r="M150" i="18"/>
  <c r="L150" i="18"/>
  <c r="D150" i="18"/>
  <c r="U149" i="18"/>
  <c r="R149" i="18"/>
  <c r="O149" i="18"/>
  <c r="M149" i="18"/>
  <c r="L149" i="18"/>
  <c r="D149" i="18"/>
  <c r="U148" i="18"/>
  <c r="R148" i="18"/>
  <c r="O148" i="18"/>
  <c r="M148" i="18"/>
  <c r="L148" i="18"/>
  <c r="D148" i="18"/>
  <c r="U147" i="18"/>
  <c r="R147" i="18"/>
  <c r="O147" i="18"/>
  <c r="M147" i="18"/>
  <c r="L147" i="18"/>
  <c r="D147" i="18"/>
  <c r="U146" i="18"/>
  <c r="R146" i="18"/>
  <c r="O146" i="18"/>
  <c r="M146" i="18"/>
  <c r="L146" i="18"/>
  <c r="D146" i="18"/>
  <c r="U145" i="18"/>
  <c r="R145" i="18"/>
  <c r="O145" i="18"/>
  <c r="M145" i="18"/>
  <c r="L145" i="18"/>
  <c r="D145" i="18"/>
  <c r="U144" i="18"/>
  <c r="R144" i="18"/>
  <c r="O144" i="18"/>
  <c r="M144" i="18"/>
  <c r="L144" i="18"/>
  <c r="D144" i="18"/>
  <c r="U143" i="18"/>
  <c r="R143" i="18"/>
  <c r="O143" i="18"/>
  <c r="M143" i="18"/>
  <c r="L143" i="18"/>
  <c r="D143" i="18"/>
  <c r="U142" i="18"/>
  <c r="R142" i="18"/>
  <c r="O142" i="18"/>
  <c r="M142" i="18"/>
  <c r="L142" i="18"/>
  <c r="D142" i="18"/>
  <c r="U141" i="18"/>
  <c r="R141" i="18"/>
  <c r="O141" i="18"/>
  <c r="M141" i="18"/>
  <c r="L141" i="18"/>
  <c r="D141" i="18"/>
  <c r="U140" i="18"/>
  <c r="R140" i="18"/>
  <c r="O140" i="18"/>
  <c r="M140" i="18"/>
  <c r="L140" i="18"/>
  <c r="D140" i="18"/>
  <c r="U139" i="18"/>
  <c r="R139" i="18"/>
  <c r="O139" i="18"/>
  <c r="M139" i="18"/>
  <c r="L139" i="18"/>
  <c r="D139" i="18"/>
  <c r="U138" i="18"/>
  <c r="R138" i="18"/>
  <c r="O138" i="18"/>
  <c r="M138" i="18"/>
  <c r="L138" i="18"/>
  <c r="D138" i="18"/>
  <c r="U137" i="18"/>
  <c r="R137" i="18"/>
  <c r="O137" i="18"/>
  <c r="M137" i="18"/>
  <c r="L137" i="18"/>
  <c r="D137" i="18"/>
  <c r="U136" i="18"/>
  <c r="R136" i="18"/>
  <c r="O136" i="18"/>
  <c r="M136" i="18"/>
  <c r="L136" i="18"/>
  <c r="D136" i="18"/>
  <c r="U135" i="18"/>
  <c r="R135" i="18"/>
  <c r="O135" i="18"/>
  <c r="M135" i="18"/>
  <c r="L135" i="18"/>
  <c r="D135" i="18"/>
  <c r="U134" i="18"/>
  <c r="R134" i="18"/>
  <c r="O134" i="18"/>
  <c r="M134" i="18"/>
  <c r="L134" i="18"/>
  <c r="D134" i="18"/>
  <c r="U133" i="18"/>
  <c r="R133" i="18"/>
  <c r="O133" i="18"/>
  <c r="M133" i="18"/>
  <c r="L133" i="18"/>
  <c r="D133" i="18"/>
  <c r="U132" i="18"/>
  <c r="R132" i="18"/>
  <c r="O132" i="18"/>
  <c r="M132" i="18"/>
  <c r="L132" i="18"/>
  <c r="D132" i="18"/>
  <c r="U131" i="18"/>
  <c r="R131" i="18"/>
  <c r="O131" i="18"/>
  <c r="M131" i="18"/>
  <c r="L131" i="18"/>
  <c r="D131" i="18"/>
  <c r="U130" i="18"/>
  <c r="R130" i="18"/>
  <c r="O130" i="18"/>
  <c r="M130" i="18"/>
  <c r="L130" i="18"/>
  <c r="D130" i="18"/>
  <c r="U129" i="18"/>
  <c r="R129" i="18"/>
  <c r="O129" i="18"/>
  <c r="M129" i="18"/>
  <c r="L129" i="18"/>
  <c r="D129" i="18"/>
  <c r="U128" i="18"/>
  <c r="R128" i="18"/>
  <c r="O128" i="18"/>
  <c r="M128" i="18"/>
  <c r="L128" i="18"/>
  <c r="D128" i="18"/>
  <c r="U127" i="18"/>
  <c r="R127" i="18"/>
  <c r="O127" i="18"/>
  <c r="M127" i="18"/>
  <c r="L127" i="18"/>
  <c r="D127" i="18"/>
  <c r="U126" i="18"/>
  <c r="R126" i="18"/>
  <c r="O126" i="18"/>
  <c r="M126" i="18"/>
  <c r="L126" i="18"/>
  <c r="D126" i="18"/>
  <c r="U125" i="18"/>
  <c r="R125" i="18"/>
  <c r="O125" i="18"/>
  <c r="M125" i="18"/>
  <c r="L125" i="18"/>
  <c r="D125" i="18"/>
  <c r="U124" i="18"/>
  <c r="R124" i="18"/>
  <c r="O124" i="18"/>
  <c r="M124" i="18"/>
  <c r="L124" i="18"/>
  <c r="D124" i="18"/>
  <c r="U123" i="18"/>
  <c r="R123" i="18"/>
  <c r="O123" i="18"/>
  <c r="M123" i="18"/>
  <c r="L123" i="18"/>
  <c r="D123" i="18"/>
  <c r="U122" i="18"/>
  <c r="R122" i="18"/>
  <c r="O122" i="18"/>
  <c r="M122" i="18"/>
  <c r="L122" i="18"/>
  <c r="D122" i="18"/>
  <c r="U121" i="18"/>
  <c r="R121" i="18"/>
  <c r="O121" i="18"/>
  <c r="M121" i="18"/>
  <c r="L121" i="18"/>
  <c r="D121" i="18"/>
  <c r="U120" i="18"/>
  <c r="R120" i="18"/>
  <c r="O120" i="18"/>
  <c r="M120" i="18"/>
  <c r="L120" i="18"/>
  <c r="D120" i="18"/>
  <c r="U119" i="18"/>
  <c r="R119" i="18"/>
  <c r="O119" i="18"/>
  <c r="M119" i="18"/>
  <c r="L119" i="18"/>
  <c r="D119" i="18"/>
  <c r="U118" i="18"/>
  <c r="R118" i="18"/>
  <c r="O118" i="18"/>
  <c r="M118" i="18"/>
  <c r="L118" i="18"/>
  <c r="D118" i="18"/>
  <c r="U117" i="18"/>
  <c r="R117" i="18"/>
  <c r="O117" i="18"/>
  <c r="M117" i="18"/>
  <c r="L117" i="18"/>
  <c r="D117" i="18"/>
  <c r="Y116" i="18"/>
  <c r="U116" i="18"/>
  <c r="R116" i="18"/>
  <c r="O116" i="18"/>
  <c r="M116" i="18"/>
  <c r="L116" i="18"/>
  <c r="D116" i="18"/>
  <c r="U115" i="18"/>
  <c r="R115" i="18"/>
  <c r="O115" i="18"/>
  <c r="M115" i="18"/>
  <c r="L115" i="18"/>
  <c r="D115" i="18"/>
  <c r="U114" i="18"/>
  <c r="R114" i="18"/>
  <c r="O114" i="18"/>
  <c r="M114" i="18"/>
  <c r="L114" i="18"/>
  <c r="D114" i="18"/>
  <c r="U113" i="18"/>
  <c r="R113" i="18"/>
  <c r="O113" i="18"/>
  <c r="M113" i="18"/>
  <c r="L113" i="18"/>
  <c r="D113" i="18"/>
  <c r="U112" i="18"/>
  <c r="R112" i="18"/>
  <c r="O112" i="18"/>
  <c r="M112" i="18"/>
  <c r="L112" i="18"/>
  <c r="D112" i="18"/>
  <c r="U111" i="18"/>
  <c r="R111" i="18"/>
  <c r="O111" i="18"/>
  <c r="M111" i="18"/>
  <c r="L111" i="18"/>
  <c r="D111" i="18"/>
  <c r="U110" i="18"/>
  <c r="R110" i="18"/>
  <c r="O110" i="18"/>
  <c r="M110" i="18"/>
  <c r="L110" i="18"/>
  <c r="D110" i="18"/>
  <c r="U109" i="18"/>
  <c r="R109" i="18"/>
  <c r="O109" i="18"/>
  <c r="M109" i="18"/>
  <c r="L109" i="18"/>
  <c r="D109" i="18"/>
  <c r="U108" i="18"/>
  <c r="R108" i="18"/>
  <c r="O108" i="18"/>
  <c r="M108" i="18"/>
  <c r="L108" i="18"/>
  <c r="D108" i="18"/>
  <c r="U107" i="18"/>
  <c r="R107" i="18"/>
  <c r="O107" i="18"/>
  <c r="M107" i="18"/>
  <c r="L107" i="18"/>
  <c r="D107" i="18"/>
  <c r="U106" i="18"/>
  <c r="R106" i="18"/>
  <c r="O106" i="18"/>
  <c r="M106" i="18"/>
  <c r="L106" i="18"/>
  <c r="D106" i="18"/>
  <c r="U105" i="18"/>
  <c r="R105" i="18"/>
  <c r="O105" i="18"/>
  <c r="M105" i="18"/>
  <c r="L105" i="18"/>
  <c r="D105" i="18"/>
  <c r="U104" i="18"/>
  <c r="R104" i="18"/>
  <c r="O104" i="18"/>
  <c r="M104" i="18"/>
  <c r="L104" i="18"/>
  <c r="D104" i="18"/>
  <c r="U103" i="18"/>
  <c r="R103" i="18"/>
  <c r="O103" i="18"/>
  <c r="M103" i="18"/>
  <c r="L103" i="18"/>
  <c r="D103" i="18"/>
  <c r="U102" i="18"/>
  <c r="R102" i="18"/>
  <c r="O102" i="18"/>
  <c r="M102" i="18"/>
  <c r="L102" i="18"/>
  <c r="D102" i="18"/>
  <c r="U101" i="18"/>
  <c r="R101" i="18"/>
  <c r="O101" i="18"/>
  <c r="M101" i="18"/>
  <c r="L101" i="18"/>
  <c r="D101" i="18"/>
  <c r="U100" i="18"/>
  <c r="R100" i="18"/>
  <c r="O100" i="18"/>
  <c r="M100" i="18"/>
  <c r="L100" i="18"/>
  <c r="D100" i="18"/>
  <c r="U99" i="18"/>
  <c r="R99" i="18"/>
  <c r="O99" i="18"/>
  <c r="M99" i="18"/>
  <c r="L99" i="18"/>
  <c r="D99" i="18"/>
  <c r="U98" i="18"/>
  <c r="R98" i="18"/>
  <c r="O98" i="18"/>
  <c r="M98" i="18"/>
  <c r="L98" i="18"/>
  <c r="D98" i="18"/>
  <c r="U97" i="18"/>
  <c r="R97" i="18"/>
  <c r="O97" i="18"/>
  <c r="N97" i="18"/>
  <c r="M97" i="18"/>
  <c r="L97" i="18"/>
  <c r="F97" i="18"/>
  <c r="D97" i="18"/>
  <c r="R96" i="18"/>
  <c r="O96" i="18"/>
  <c r="N96" i="18"/>
  <c r="M96" i="18"/>
  <c r="L96" i="18"/>
  <c r="F96" i="18"/>
  <c r="U96" i="18" s="1"/>
  <c r="D96" i="18"/>
  <c r="R95" i="18"/>
  <c r="O95" i="18"/>
  <c r="N95" i="18"/>
  <c r="M95" i="18"/>
  <c r="L95" i="18"/>
  <c r="F95" i="18"/>
  <c r="U95" i="18" s="1"/>
  <c r="D95" i="18"/>
  <c r="R94" i="18"/>
  <c r="O94" i="18"/>
  <c r="N94" i="18"/>
  <c r="M94" i="18"/>
  <c r="L94" i="18"/>
  <c r="F94" i="18"/>
  <c r="U94" i="18" s="1"/>
  <c r="D94" i="18"/>
  <c r="R93" i="18"/>
  <c r="O93" i="18"/>
  <c r="N93" i="18"/>
  <c r="M93" i="18"/>
  <c r="L93" i="18"/>
  <c r="F93" i="18"/>
  <c r="U93" i="18" s="1"/>
  <c r="D93" i="18"/>
  <c r="R92" i="18"/>
  <c r="O92" i="18"/>
  <c r="N92" i="18"/>
  <c r="M92" i="18"/>
  <c r="L92" i="18"/>
  <c r="F92" i="18"/>
  <c r="U92" i="18" s="1"/>
  <c r="D92" i="18"/>
  <c r="R91" i="18"/>
  <c r="O91" i="18"/>
  <c r="N91" i="18"/>
  <c r="M91" i="18"/>
  <c r="L91" i="18"/>
  <c r="F91" i="18"/>
  <c r="U91" i="18" s="1"/>
  <c r="D91" i="18"/>
  <c r="R90" i="18"/>
  <c r="O90" i="18"/>
  <c r="N90" i="18"/>
  <c r="M90" i="18"/>
  <c r="L90" i="18"/>
  <c r="F90" i="18"/>
  <c r="U90" i="18" s="1"/>
  <c r="D90" i="18"/>
  <c r="U89" i="18"/>
  <c r="R89" i="18"/>
  <c r="O89" i="18"/>
  <c r="N89" i="18"/>
  <c r="M89" i="18"/>
  <c r="L89" i="18"/>
  <c r="F89" i="18"/>
  <c r="D89" i="18"/>
  <c r="R88" i="18"/>
  <c r="O88" i="18"/>
  <c r="N88" i="18"/>
  <c r="M88" i="18"/>
  <c r="L88" i="18"/>
  <c r="F88" i="18"/>
  <c r="U88" i="18" s="1"/>
  <c r="D88" i="18"/>
  <c r="R87" i="18"/>
  <c r="O87" i="18"/>
  <c r="N87" i="18"/>
  <c r="M87" i="18"/>
  <c r="L87" i="18"/>
  <c r="F87" i="18"/>
  <c r="U87" i="18" s="1"/>
  <c r="D87" i="18"/>
  <c r="R86" i="18"/>
  <c r="O86" i="18"/>
  <c r="N86" i="18"/>
  <c r="M86" i="18"/>
  <c r="L86" i="18"/>
  <c r="F86" i="18"/>
  <c r="U86" i="18" s="1"/>
  <c r="D86" i="18"/>
  <c r="R85" i="18"/>
  <c r="O85" i="18"/>
  <c r="N85" i="18"/>
  <c r="M85" i="18"/>
  <c r="L85" i="18"/>
  <c r="F85" i="18"/>
  <c r="U85" i="18" s="1"/>
  <c r="D85" i="18"/>
  <c r="R84" i="18"/>
  <c r="O84" i="18"/>
  <c r="N84" i="18"/>
  <c r="M84" i="18"/>
  <c r="L84" i="18"/>
  <c r="F84" i="18"/>
  <c r="U84" i="18" s="1"/>
  <c r="D84" i="18"/>
  <c r="R83" i="18"/>
  <c r="O83" i="18"/>
  <c r="N83" i="18"/>
  <c r="M83" i="18"/>
  <c r="L83" i="18"/>
  <c r="F83" i="18"/>
  <c r="U83" i="18" s="1"/>
  <c r="D83" i="18"/>
  <c r="R82" i="18"/>
  <c r="O82" i="18"/>
  <c r="N82" i="18"/>
  <c r="M82" i="18"/>
  <c r="L82" i="18"/>
  <c r="F82" i="18"/>
  <c r="U82" i="18" s="1"/>
  <c r="D82" i="18"/>
  <c r="U81" i="18"/>
  <c r="R81" i="18"/>
  <c r="O81" i="18"/>
  <c r="N81" i="18"/>
  <c r="M81" i="18"/>
  <c r="L81" i="18"/>
  <c r="F81" i="18"/>
  <c r="D81" i="18"/>
  <c r="R80" i="18"/>
  <c r="O80" i="18"/>
  <c r="N80" i="18"/>
  <c r="M80" i="18"/>
  <c r="L80" i="18"/>
  <c r="F80" i="18"/>
  <c r="U80" i="18" s="1"/>
  <c r="D80" i="18"/>
  <c r="U79" i="18"/>
  <c r="R79" i="18"/>
  <c r="O79" i="18"/>
  <c r="N79" i="18"/>
  <c r="M79" i="18"/>
  <c r="L79" i="18"/>
  <c r="F79" i="18"/>
  <c r="D79" i="18"/>
  <c r="R78" i="18"/>
  <c r="O78" i="18"/>
  <c r="N78" i="18"/>
  <c r="M78" i="18"/>
  <c r="L78" i="18"/>
  <c r="F78" i="18"/>
  <c r="U78" i="18" s="1"/>
  <c r="D78" i="18"/>
  <c r="R77" i="18"/>
  <c r="O77" i="18"/>
  <c r="N77" i="18"/>
  <c r="M77" i="18"/>
  <c r="L77" i="18"/>
  <c r="F77" i="18"/>
  <c r="U77" i="18" s="1"/>
  <c r="D77" i="18"/>
  <c r="U76" i="18"/>
  <c r="R76" i="18"/>
  <c r="O76" i="18"/>
  <c r="N76" i="18"/>
  <c r="M76" i="18"/>
  <c r="L76" i="18"/>
  <c r="F76" i="18"/>
  <c r="D76" i="18"/>
  <c r="U75" i="18"/>
  <c r="R75" i="18"/>
  <c r="O75" i="18"/>
  <c r="N75" i="18"/>
  <c r="M75" i="18"/>
  <c r="E75" i="18" s="1"/>
  <c r="L75" i="18" s="1"/>
  <c r="D75" i="18"/>
  <c r="U74" i="18"/>
  <c r="R74" i="18"/>
  <c r="O74" i="18"/>
  <c r="N74" i="18"/>
  <c r="M74" i="18"/>
  <c r="E74" i="18" s="1"/>
  <c r="L74" i="18" s="1"/>
  <c r="D74" i="18"/>
  <c r="U73" i="18"/>
  <c r="R73" i="18"/>
  <c r="O73" i="18"/>
  <c r="N73" i="18"/>
  <c r="M73" i="18"/>
  <c r="E73" i="18" s="1"/>
  <c r="L73" i="18" s="1"/>
  <c r="D73" i="18"/>
  <c r="U72" i="18"/>
  <c r="R72" i="18"/>
  <c r="O72" i="18"/>
  <c r="N72" i="18"/>
  <c r="M72" i="18"/>
  <c r="E72" i="18" s="1"/>
  <c r="L72" i="18" s="1"/>
  <c r="D72" i="18"/>
  <c r="U71" i="18"/>
  <c r="R71" i="18"/>
  <c r="O71" i="18"/>
  <c r="N71" i="18"/>
  <c r="M71" i="18"/>
  <c r="E71" i="18" s="1"/>
  <c r="L71" i="18" s="1"/>
  <c r="D71" i="18"/>
  <c r="U70" i="18"/>
  <c r="R70" i="18"/>
  <c r="O70" i="18"/>
  <c r="N70" i="18"/>
  <c r="M70" i="18"/>
  <c r="E70" i="18" s="1"/>
  <c r="L70" i="18" s="1"/>
  <c r="D70" i="18"/>
  <c r="U69" i="18"/>
  <c r="R69" i="18"/>
  <c r="O69" i="18"/>
  <c r="N69" i="18"/>
  <c r="M69" i="18"/>
  <c r="E69" i="18" s="1"/>
  <c r="L69" i="18" s="1"/>
  <c r="D69" i="18"/>
  <c r="U68" i="18"/>
  <c r="R68" i="18"/>
  <c r="O68" i="18"/>
  <c r="N68" i="18"/>
  <c r="M68" i="18"/>
  <c r="E68" i="18" s="1"/>
  <c r="L68" i="18" s="1"/>
  <c r="D68" i="18"/>
  <c r="U67" i="18"/>
  <c r="R67" i="18"/>
  <c r="O67" i="18"/>
  <c r="N67" i="18"/>
  <c r="M67" i="18"/>
  <c r="E67" i="18" s="1"/>
  <c r="L67" i="18" s="1"/>
  <c r="D67" i="18"/>
  <c r="U66" i="18"/>
  <c r="R66" i="18"/>
  <c r="O66" i="18"/>
  <c r="N66" i="18"/>
  <c r="M66" i="18"/>
  <c r="E66" i="18" s="1"/>
  <c r="L66" i="18" s="1"/>
  <c r="D66" i="18"/>
  <c r="U65" i="18"/>
  <c r="R65" i="18"/>
  <c r="O65" i="18"/>
  <c r="N65" i="18"/>
  <c r="M65" i="18"/>
  <c r="E65" i="18" s="1"/>
  <c r="L65" i="18" s="1"/>
  <c r="D65" i="18"/>
  <c r="U64" i="18"/>
  <c r="R64" i="18"/>
  <c r="O64" i="18"/>
  <c r="N64" i="18"/>
  <c r="M64" i="18"/>
  <c r="E64" i="18" s="1"/>
  <c r="L64" i="18" s="1"/>
  <c r="D64" i="18"/>
  <c r="U63" i="18"/>
  <c r="R63" i="18"/>
  <c r="O63" i="18"/>
  <c r="N63" i="18"/>
  <c r="M63" i="18"/>
  <c r="E63" i="18" s="1"/>
  <c r="L63" i="18" s="1"/>
  <c r="D63" i="18"/>
  <c r="U62" i="18"/>
  <c r="R62" i="18"/>
  <c r="O62" i="18"/>
  <c r="N62" i="18"/>
  <c r="M62" i="18"/>
  <c r="E62" i="18" s="1"/>
  <c r="L62" i="18" s="1"/>
  <c r="D62" i="18"/>
  <c r="U61" i="18"/>
  <c r="R61" i="18"/>
  <c r="O61" i="18"/>
  <c r="N61" i="18"/>
  <c r="M61" i="18"/>
  <c r="E61" i="18" s="1"/>
  <c r="L61" i="18" s="1"/>
  <c r="D61" i="18"/>
  <c r="U60" i="18"/>
  <c r="R60" i="18"/>
  <c r="O60" i="18"/>
  <c r="N60" i="18"/>
  <c r="M60" i="18"/>
  <c r="E60" i="18" s="1"/>
  <c r="L60" i="18" s="1"/>
  <c r="D60" i="18"/>
  <c r="U59" i="18"/>
  <c r="R59" i="18"/>
  <c r="O59" i="18"/>
  <c r="N59" i="18"/>
  <c r="M59" i="18"/>
  <c r="E59" i="18" s="1"/>
  <c r="L59" i="18" s="1"/>
  <c r="D59" i="18"/>
  <c r="U58" i="18"/>
  <c r="R58" i="18"/>
  <c r="O58" i="18"/>
  <c r="N58" i="18"/>
  <c r="M58" i="18"/>
  <c r="E58" i="18" s="1"/>
  <c r="L58" i="18" s="1"/>
  <c r="D58" i="18"/>
  <c r="U57" i="18"/>
  <c r="R57" i="18"/>
  <c r="O57" i="18"/>
  <c r="N57" i="18"/>
  <c r="M57" i="18"/>
  <c r="E57" i="18" s="1"/>
  <c r="L57" i="18" s="1"/>
  <c r="D57" i="18"/>
  <c r="U56" i="18"/>
  <c r="R56" i="18"/>
  <c r="O56" i="18"/>
  <c r="N56" i="18"/>
  <c r="M56" i="18"/>
  <c r="E56" i="18" s="1"/>
  <c r="L56" i="18" s="1"/>
  <c r="D56" i="18"/>
  <c r="U55" i="18"/>
  <c r="R55" i="18"/>
  <c r="O55" i="18"/>
  <c r="N55" i="18"/>
  <c r="M55" i="18"/>
  <c r="E55" i="18" s="1"/>
  <c r="L55" i="18" s="1"/>
  <c r="D55" i="18"/>
  <c r="U54" i="18"/>
  <c r="R54" i="18"/>
  <c r="O54" i="18"/>
  <c r="N54" i="18"/>
  <c r="M54" i="18"/>
  <c r="E54" i="18" s="1"/>
  <c r="L54" i="18" s="1"/>
  <c r="D54" i="18"/>
  <c r="O53" i="18"/>
  <c r="N53" i="18"/>
  <c r="M53" i="18"/>
  <c r="L53" i="18"/>
  <c r="F53" i="18"/>
  <c r="U53" i="18" s="1"/>
  <c r="D53" i="18"/>
  <c r="R52" i="18"/>
  <c r="O52" i="18"/>
  <c r="N52" i="18"/>
  <c r="M52" i="18"/>
  <c r="L52" i="18"/>
  <c r="F52" i="18"/>
  <c r="U52" i="18" s="1"/>
  <c r="D52" i="18"/>
  <c r="O51" i="18"/>
  <c r="N51" i="18"/>
  <c r="M51" i="18"/>
  <c r="L51" i="18"/>
  <c r="F51" i="18"/>
  <c r="R51" i="18" s="1"/>
  <c r="D51" i="18"/>
  <c r="O50" i="18"/>
  <c r="N50" i="18"/>
  <c r="M50" i="18"/>
  <c r="L50" i="18"/>
  <c r="F50" i="18"/>
  <c r="U50" i="18" s="1"/>
  <c r="D50" i="18"/>
  <c r="O49" i="18"/>
  <c r="N49" i="18"/>
  <c r="M49" i="18"/>
  <c r="L49" i="18"/>
  <c r="F49" i="18"/>
  <c r="U49" i="18" s="1"/>
  <c r="D49" i="18"/>
  <c r="O48" i="18"/>
  <c r="N48" i="18"/>
  <c r="M48" i="18"/>
  <c r="L48" i="18"/>
  <c r="F48" i="18"/>
  <c r="U48" i="18" s="1"/>
  <c r="D48" i="18"/>
  <c r="O47" i="18"/>
  <c r="N47" i="18"/>
  <c r="M47" i="18"/>
  <c r="L47" i="18"/>
  <c r="F47" i="18"/>
  <c r="U47" i="18" s="1"/>
  <c r="D47" i="18"/>
  <c r="U46" i="18"/>
  <c r="O46" i="18"/>
  <c r="N46" i="18"/>
  <c r="M46" i="18"/>
  <c r="L46" i="18"/>
  <c r="F46" i="18"/>
  <c r="R46" i="18" s="1"/>
  <c r="D46" i="18"/>
  <c r="O45" i="18"/>
  <c r="N45" i="18"/>
  <c r="M45" i="18"/>
  <c r="L45" i="18"/>
  <c r="F45" i="18"/>
  <c r="U45" i="18" s="1"/>
  <c r="D45" i="18"/>
  <c r="O44" i="18"/>
  <c r="N44" i="18"/>
  <c r="M44" i="18"/>
  <c r="L44" i="18"/>
  <c r="F44" i="18"/>
  <c r="R44" i="18" s="1"/>
  <c r="D44" i="18"/>
  <c r="O43" i="18"/>
  <c r="N43" i="18"/>
  <c r="M43" i="18"/>
  <c r="L43" i="18"/>
  <c r="F43" i="18"/>
  <c r="U43" i="18" s="1"/>
  <c r="D43" i="18"/>
  <c r="R42" i="18"/>
  <c r="O42" i="18"/>
  <c r="N42" i="18"/>
  <c r="M42" i="18"/>
  <c r="L42" i="18"/>
  <c r="F42" i="18"/>
  <c r="U42" i="18" s="1"/>
  <c r="D42" i="18"/>
  <c r="U41" i="18"/>
  <c r="R41" i="18"/>
  <c r="O41" i="18"/>
  <c r="N41" i="18"/>
  <c r="M41" i="18"/>
  <c r="E41" i="18" s="1"/>
  <c r="L41" i="18" s="1"/>
  <c r="D41" i="18"/>
  <c r="U40" i="18"/>
  <c r="R40" i="18"/>
  <c r="O40" i="18"/>
  <c r="N40" i="18"/>
  <c r="M40" i="18"/>
  <c r="E40" i="18" s="1"/>
  <c r="L40" i="18" s="1"/>
  <c r="D40" i="18"/>
  <c r="U39" i="18"/>
  <c r="R39" i="18"/>
  <c r="O39" i="18"/>
  <c r="N39" i="18"/>
  <c r="M39" i="18"/>
  <c r="E39" i="18" s="1"/>
  <c r="L39" i="18" s="1"/>
  <c r="D39" i="18"/>
  <c r="U38" i="18"/>
  <c r="R38" i="18"/>
  <c r="O38" i="18"/>
  <c r="N38" i="18"/>
  <c r="M38" i="18"/>
  <c r="E38" i="18" s="1"/>
  <c r="L38" i="18" s="1"/>
  <c r="D38" i="18"/>
  <c r="U37" i="18"/>
  <c r="R37" i="18"/>
  <c r="O37" i="18"/>
  <c r="N37" i="18"/>
  <c r="M37" i="18"/>
  <c r="E37" i="18" s="1"/>
  <c r="L37" i="18" s="1"/>
  <c r="D37" i="18"/>
  <c r="U36" i="18"/>
  <c r="R36" i="18"/>
  <c r="O36" i="18"/>
  <c r="N36" i="18"/>
  <c r="M36" i="18"/>
  <c r="E36" i="18" s="1"/>
  <c r="L36" i="18" s="1"/>
  <c r="D36" i="18"/>
  <c r="U35" i="18"/>
  <c r="R35" i="18"/>
  <c r="O35" i="18"/>
  <c r="N35" i="18"/>
  <c r="M35" i="18"/>
  <c r="E35" i="18" s="1"/>
  <c r="L35" i="18" s="1"/>
  <c r="D35" i="18"/>
  <c r="U34" i="18"/>
  <c r="R34" i="18"/>
  <c r="O34" i="18"/>
  <c r="N34" i="18"/>
  <c r="M34" i="18"/>
  <c r="E34" i="18" s="1"/>
  <c r="L34" i="18" s="1"/>
  <c r="D34" i="18"/>
  <c r="U33" i="18"/>
  <c r="R33" i="18"/>
  <c r="O33" i="18"/>
  <c r="N33" i="18"/>
  <c r="M33" i="18"/>
  <c r="E33" i="18" s="1"/>
  <c r="L33" i="18" s="1"/>
  <c r="D33" i="18"/>
  <c r="U32" i="18"/>
  <c r="R32" i="18"/>
  <c r="O32" i="18"/>
  <c r="N32" i="18"/>
  <c r="M32" i="18"/>
  <c r="E32" i="18" s="1"/>
  <c r="L32" i="18" s="1"/>
  <c r="D32" i="18"/>
  <c r="U31" i="18"/>
  <c r="R31" i="18"/>
  <c r="O31" i="18"/>
  <c r="N31" i="18"/>
  <c r="M31" i="18"/>
  <c r="E31" i="18" s="1"/>
  <c r="L31" i="18" s="1"/>
  <c r="D31" i="18"/>
  <c r="U30" i="18"/>
  <c r="R30" i="18"/>
  <c r="O30" i="18"/>
  <c r="N30" i="18"/>
  <c r="M30" i="18"/>
  <c r="E30" i="18" s="1"/>
  <c r="L30" i="18" s="1"/>
  <c r="D30" i="18"/>
  <c r="N29" i="18"/>
  <c r="M29" i="18"/>
  <c r="L29" i="18"/>
  <c r="F29" i="18"/>
  <c r="O29" i="18" s="1"/>
  <c r="D29" i="18"/>
  <c r="N28" i="18"/>
  <c r="M28" i="18"/>
  <c r="L28" i="18"/>
  <c r="F28" i="18"/>
  <c r="O28" i="18" s="1"/>
  <c r="D28" i="18"/>
  <c r="N27" i="18"/>
  <c r="M27" i="18"/>
  <c r="L27" i="18"/>
  <c r="F27" i="18"/>
  <c r="U27" i="18" s="1"/>
  <c r="D27" i="18"/>
  <c r="R26" i="18"/>
  <c r="N26" i="18"/>
  <c r="M26" i="18"/>
  <c r="L26" i="18"/>
  <c r="F26" i="18"/>
  <c r="O26" i="18" s="1"/>
  <c r="D26" i="18"/>
  <c r="O25" i="18"/>
  <c r="N25" i="18"/>
  <c r="M25" i="18"/>
  <c r="L25" i="18"/>
  <c r="F25" i="18"/>
  <c r="U25" i="18" s="1"/>
  <c r="D25" i="18"/>
  <c r="O24" i="18"/>
  <c r="N24" i="18"/>
  <c r="M24" i="18"/>
  <c r="L24" i="18"/>
  <c r="F24" i="18"/>
  <c r="U24" i="18" s="1"/>
  <c r="D24" i="18"/>
  <c r="N23" i="18"/>
  <c r="M23" i="18"/>
  <c r="L23" i="18"/>
  <c r="F23" i="18"/>
  <c r="O23" i="18" s="1"/>
  <c r="D23" i="18"/>
  <c r="N22" i="18"/>
  <c r="M22" i="18"/>
  <c r="L22" i="18"/>
  <c r="F22" i="18"/>
  <c r="D22" i="18"/>
  <c r="U21" i="18"/>
  <c r="R21" i="18"/>
  <c r="O21" i="18"/>
  <c r="N21" i="18"/>
  <c r="M21" i="18"/>
  <c r="E21" i="18" s="1"/>
  <c r="L21" i="18" s="1"/>
  <c r="D21" i="18"/>
  <c r="U20" i="18"/>
  <c r="R20" i="18"/>
  <c r="O20" i="18"/>
  <c r="N20" i="18"/>
  <c r="M20" i="18"/>
  <c r="E20" i="18" s="1"/>
  <c r="L20" i="18" s="1"/>
  <c r="D20" i="18"/>
  <c r="U19" i="18"/>
  <c r="R19" i="18"/>
  <c r="O19" i="18"/>
  <c r="N19" i="18"/>
  <c r="M19" i="18"/>
  <c r="E19" i="18" s="1"/>
  <c r="L19" i="18" s="1"/>
  <c r="D19" i="18"/>
  <c r="U18" i="18"/>
  <c r="R18" i="18"/>
  <c r="O18" i="18"/>
  <c r="N18" i="18"/>
  <c r="M18" i="18"/>
  <c r="E18" i="18" s="1"/>
  <c r="L18" i="18" s="1"/>
  <c r="D18" i="18"/>
  <c r="U17" i="18"/>
  <c r="R17" i="18"/>
  <c r="O17" i="18"/>
  <c r="N17" i="18"/>
  <c r="M17" i="18"/>
  <c r="E17" i="18" s="1"/>
  <c r="L17" i="18" s="1"/>
  <c r="D17" i="18"/>
  <c r="U16" i="18"/>
  <c r="R16" i="18"/>
  <c r="O16" i="18"/>
  <c r="N16" i="18"/>
  <c r="M16" i="18"/>
  <c r="E16" i="18" s="1"/>
  <c r="L16" i="18" s="1"/>
  <c r="D16" i="18"/>
  <c r="U15" i="18"/>
  <c r="R15" i="18"/>
  <c r="O15" i="18"/>
  <c r="N15" i="18"/>
  <c r="M15" i="18"/>
  <c r="E15" i="18" s="1"/>
  <c r="L15" i="18" s="1"/>
  <c r="D15" i="18"/>
  <c r="U14" i="18"/>
  <c r="R14" i="18"/>
  <c r="O14" i="18"/>
  <c r="N14" i="18"/>
  <c r="M14" i="18"/>
  <c r="E14" i="18" s="1"/>
  <c r="L14" i="18" s="1"/>
  <c r="D14" i="18"/>
  <c r="U13" i="18"/>
  <c r="R13" i="18"/>
  <c r="O13" i="18"/>
  <c r="N13" i="18"/>
  <c r="M13" i="18"/>
  <c r="L13" i="18"/>
  <c r="D13" i="18"/>
  <c r="U12" i="18"/>
  <c r="R12" i="18"/>
  <c r="O12" i="18"/>
  <c r="N12" i="18"/>
  <c r="M12" i="18"/>
  <c r="L12" i="18"/>
  <c r="D12" i="18"/>
  <c r="U11" i="18"/>
  <c r="R11" i="18"/>
  <c r="O11" i="18"/>
  <c r="N11" i="18"/>
  <c r="M11" i="18"/>
  <c r="L11" i="18"/>
  <c r="D11" i="18"/>
  <c r="U10" i="18"/>
  <c r="R10" i="18"/>
  <c r="O10" i="18"/>
  <c r="N10" i="18"/>
  <c r="M10" i="18"/>
  <c r="L10" i="18"/>
  <c r="D10" i="18"/>
  <c r="U9" i="18"/>
  <c r="R9" i="18"/>
  <c r="O9" i="18"/>
  <c r="N9" i="18"/>
  <c r="M9" i="18"/>
  <c r="L9" i="18"/>
  <c r="D9" i="18"/>
  <c r="U8" i="18"/>
  <c r="R8" i="18"/>
  <c r="O8" i="18"/>
  <c r="N8" i="18"/>
  <c r="M8" i="18"/>
  <c r="L8" i="18"/>
  <c r="D8" i="18"/>
  <c r="U7" i="18"/>
  <c r="R7" i="18"/>
  <c r="O7" i="18"/>
  <c r="N7" i="18"/>
  <c r="M7" i="18"/>
  <c r="L7" i="18"/>
  <c r="D7" i="18"/>
  <c r="U6" i="18"/>
  <c r="R6" i="18"/>
  <c r="O6" i="18"/>
  <c r="N6" i="18"/>
  <c r="M6" i="18"/>
  <c r="L6" i="18"/>
  <c r="D6" i="18"/>
  <c r="U5" i="18"/>
  <c r="R5" i="18"/>
  <c r="O5" i="18"/>
  <c r="N5" i="18"/>
  <c r="M5" i="18"/>
  <c r="L5" i="18"/>
  <c r="D5" i="18"/>
  <c r="U4" i="18"/>
  <c r="R4" i="18"/>
  <c r="O4" i="18"/>
  <c r="N4" i="18"/>
  <c r="M4" i="18"/>
  <c r="L4" i="18"/>
  <c r="D4" i="18"/>
  <c r="U3" i="18"/>
  <c r="R3" i="18"/>
  <c r="O3" i="18"/>
  <c r="N3" i="18"/>
  <c r="M3" i="18"/>
  <c r="L3" i="18"/>
  <c r="D3" i="18"/>
  <c r="R25" i="18" l="1"/>
  <c r="R24" i="18"/>
  <c r="R45" i="18"/>
  <c r="R29" i="18"/>
  <c r="U44" i="18"/>
  <c r="R43" i="18"/>
  <c r="R50" i="18"/>
  <c r="O27" i="18"/>
  <c r="P68" i="18" s="1"/>
  <c r="R27" i="18"/>
  <c r="R48" i="18"/>
  <c r="U26" i="18"/>
  <c r="R47" i="18"/>
  <c r="R53" i="18"/>
  <c r="R23" i="18"/>
  <c r="U23" i="18"/>
  <c r="R22" i="18"/>
  <c r="S137" i="18" s="1"/>
  <c r="O22" i="18"/>
  <c r="P151" i="18" s="1"/>
  <c r="U22" i="18"/>
  <c r="U29" i="18"/>
  <c r="U28" i="18"/>
  <c r="R28" i="18"/>
  <c r="R49" i="18"/>
  <c r="U51" i="18"/>
  <c r="V88" i="18" s="1"/>
  <c r="S158" i="18"/>
  <c r="R28" i="10"/>
  <c r="R29" i="10"/>
  <c r="S89" i="18" l="1"/>
  <c r="V120" i="18"/>
  <c r="S63" i="18"/>
  <c r="V123" i="18"/>
  <c r="S173" i="18"/>
  <c r="V17" i="18"/>
  <c r="V152" i="18"/>
  <c r="V81" i="18"/>
  <c r="V66" i="18"/>
  <c r="V118" i="18"/>
  <c r="V64" i="18"/>
  <c r="V142" i="18"/>
  <c r="V114" i="18"/>
  <c r="S53" i="18"/>
  <c r="S44" i="18"/>
  <c r="V44" i="18"/>
  <c r="S29" i="18"/>
  <c r="S11" i="18"/>
  <c r="V68" i="18"/>
  <c r="V140" i="18"/>
  <c r="V95" i="18"/>
  <c r="V61" i="18"/>
  <c r="S40" i="18"/>
  <c r="S13" i="18"/>
  <c r="S95" i="18"/>
  <c r="V91" i="18"/>
  <c r="V11" i="18"/>
  <c r="V109" i="18"/>
  <c r="V135" i="18"/>
  <c r="V86" i="18"/>
  <c r="V165" i="18"/>
  <c r="V8" i="18"/>
  <c r="V53" i="18"/>
  <c r="V113" i="18"/>
  <c r="S134" i="18"/>
  <c r="V29" i="18"/>
  <c r="S180" i="18"/>
  <c r="T180" i="18" s="1"/>
  <c r="P22" i="18"/>
  <c r="P11" i="18"/>
  <c r="P87" i="18"/>
  <c r="P117" i="18"/>
  <c r="P127" i="18"/>
  <c r="P71" i="18"/>
  <c r="P121" i="18"/>
  <c r="P44" i="18"/>
  <c r="P82" i="18"/>
  <c r="P147" i="18"/>
  <c r="P125" i="18"/>
  <c r="P42" i="18"/>
  <c r="P165" i="18"/>
  <c r="P17" i="18"/>
  <c r="P40" i="18"/>
  <c r="P126" i="18"/>
  <c r="P177" i="18"/>
  <c r="P34" i="18"/>
  <c r="P35" i="18"/>
  <c r="P105" i="18"/>
  <c r="P99" i="18"/>
  <c r="P129" i="18"/>
  <c r="P120" i="18"/>
  <c r="P150" i="18"/>
  <c r="P21" i="18"/>
  <c r="P32" i="18"/>
  <c r="P141" i="18"/>
  <c r="P47" i="18"/>
  <c r="P7" i="18"/>
  <c r="P179" i="18"/>
  <c r="P79" i="18"/>
  <c r="P110" i="18"/>
  <c r="P90" i="18"/>
  <c r="P64" i="18"/>
  <c r="P86" i="18"/>
  <c r="P181" i="18"/>
  <c r="P52" i="18"/>
  <c r="P145" i="18"/>
  <c r="P107" i="18"/>
  <c r="P13" i="18"/>
  <c r="P103" i="18"/>
  <c r="P19" i="18"/>
  <c r="P57" i="18"/>
  <c r="P30" i="18"/>
  <c r="P140" i="18"/>
  <c r="P50" i="18"/>
  <c r="P182" i="18"/>
  <c r="P20" i="18"/>
  <c r="P72" i="18"/>
  <c r="P104" i="18"/>
  <c r="P56" i="18"/>
  <c r="P51" i="18"/>
  <c r="P75" i="18"/>
  <c r="P178" i="18"/>
  <c r="P37" i="18"/>
  <c r="P119" i="18"/>
  <c r="P80" i="18"/>
  <c r="P58" i="18"/>
  <c r="P38" i="18"/>
  <c r="P97" i="18"/>
  <c r="P122" i="18"/>
  <c r="P60" i="18"/>
  <c r="P29" i="18"/>
  <c r="P158" i="18"/>
  <c r="P148" i="18"/>
  <c r="P118" i="18"/>
  <c r="P172" i="18"/>
  <c r="P70" i="18"/>
  <c r="P54" i="18"/>
  <c r="P159" i="18"/>
  <c r="P92" i="18"/>
  <c r="P48" i="18"/>
  <c r="P39" i="18"/>
  <c r="P73" i="18"/>
  <c r="P161" i="18"/>
  <c r="P3" i="18"/>
  <c r="P100" i="18"/>
  <c r="P78" i="18"/>
  <c r="P6" i="18"/>
  <c r="P133" i="18"/>
  <c r="P116" i="18"/>
  <c r="P153" i="18"/>
  <c r="P26" i="18"/>
  <c r="P81" i="18"/>
  <c r="P49" i="18"/>
  <c r="P25" i="18"/>
  <c r="P66" i="18"/>
  <c r="P138" i="18"/>
  <c r="P76" i="18"/>
  <c r="P136" i="18"/>
  <c r="P115" i="18"/>
  <c r="P84" i="18"/>
  <c r="P67" i="18"/>
  <c r="P112" i="18"/>
  <c r="P62" i="18"/>
  <c r="P41" i="18"/>
  <c r="P46" i="18"/>
  <c r="P167" i="18"/>
  <c r="S138" i="18"/>
  <c r="S87" i="18"/>
  <c r="S162" i="18"/>
  <c r="V78" i="18"/>
  <c r="P146" i="18"/>
  <c r="V6" i="18"/>
  <c r="V57" i="18"/>
  <c r="P164" i="18"/>
  <c r="S21" i="18"/>
  <c r="S149" i="18"/>
  <c r="S65" i="18"/>
  <c r="S171" i="18"/>
  <c r="V37" i="18"/>
  <c r="V175" i="18"/>
  <c r="P53" i="18"/>
  <c r="V26" i="18"/>
  <c r="P163" i="18"/>
  <c r="P55" i="18"/>
  <c r="P169" i="18"/>
  <c r="P160" i="18"/>
  <c r="P5" i="18"/>
  <c r="P108" i="18"/>
  <c r="P156" i="18"/>
  <c r="P168" i="18"/>
  <c r="P74" i="18"/>
  <c r="S124" i="18"/>
  <c r="S144" i="18"/>
  <c r="V45" i="18"/>
  <c r="V84" i="18"/>
  <c r="P124" i="18"/>
  <c r="V126" i="18"/>
  <c r="S153" i="18"/>
  <c r="V50" i="18"/>
  <c r="V103" i="18"/>
  <c r="V22" i="18"/>
  <c r="V157" i="18"/>
  <c r="V49" i="18"/>
  <c r="V48" i="18"/>
  <c r="V156" i="18"/>
  <c r="V19" i="18"/>
  <c r="V89" i="18"/>
  <c r="V170" i="18"/>
  <c r="V107" i="18"/>
  <c r="V181" i="18"/>
  <c r="V163" i="18"/>
  <c r="V108" i="18"/>
  <c r="V121" i="18"/>
  <c r="V69" i="18"/>
  <c r="V90" i="18"/>
  <c r="V47" i="18"/>
  <c r="V54" i="18"/>
  <c r="V94" i="18"/>
  <c r="V154" i="18"/>
  <c r="V76" i="18"/>
  <c r="V136" i="18"/>
  <c r="V169" i="18"/>
  <c r="V162" i="18"/>
  <c r="V182" i="18"/>
  <c r="V35" i="18"/>
  <c r="V5" i="18"/>
  <c r="V24" i="18"/>
  <c r="V168" i="18"/>
  <c r="V105" i="18"/>
  <c r="V110" i="18"/>
  <c r="V173" i="18"/>
  <c r="V70" i="18"/>
  <c r="V77" i="18"/>
  <c r="V12" i="18"/>
  <c r="V161" i="18"/>
  <c r="V101" i="18"/>
  <c r="V172" i="18"/>
  <c r="V143" i="18"/>
  <c r="V150" i="18"/>
  <c r="V75" i="18"/>
  <c r="V13" i="18"/>
  <c r="V92" i="18"/>
  <c r="V55" i="18"/>
  <c r="V127" i="18"/>
  <c r="V10" i="18"/>
  <c r="V179" i="18"/>
  <c r="V46" i="18"/>
  <c r="V176" i="18"/>
  <c r="V144" i="18"/>
  <c r="V96" i="18"/>
  <c r="V132" i="18"/>
  <c r="V122" i="18"/>
  <c r="V171" i="18"/>
  <c r="V129" i="18"/>
  <c r="V33" i="18"/>
  <c r="V3" i="18"/>
  <c r="V71" i="18"/>
  <c r="V15" i="18"/>
  <c r="V149" i="18"/>
  <c r="V73" i="18"/>
  <c r="V159" i="18"/>
  <c r="V133" i="18"/>
  <c r="V63" i="18"/>
  <c r="V39" i="18"/>
  <c r="V93" i="18"/>
  <c r="V25" i="18"/>
  <c r="V14" i="18"/>
  <c r="V36" i="18"/>
  <c r="V115" i="18"/>
  <c r="V60" i="18"/>
  <c r="V21" i="18"/>
  <c r="V119" i="18"/>
  <c r="V106" i="18"/>
  <c r="V146" i="18"/>
  <c r="V97" i="18"/>
  <c r="V178" i="18"/>
  <c r="V74" i="18"/>
  <c r="V130" i="18"/>
  <c r="V18" i="18"/>
  <c r="V4" i="18"/>
  <c r="V112" i="18"/>
  <c r="V52" i="18"/>
  <c r="V32" i="18"/>
  <c r="V42" i="18"/>
  <c r="V145" i="18"/>
  <c r="V65" i="18"/>
  <c r="V102" i="18"/>
  <c r="V117" i="18"/>
  <c r="V177" i="18"/>
  <c r="V116" i="18"/>
  <c r="V147" i="18"/>
  <c r="V16" i="18"/>
  <c r="V40" i="18"/>
  <c r="V164" i="18"/>
  <c r="V85" i="18"/>
  <c r="V151" i="18"/>
  <c r="V72" i="18"/>
  <c r="V124" i="18"/>
  <c r="V174" i="18"/>
  <c r="V153" i="18"/>
  <c r="V99" i="18"/>
  <c r="V141" i="18"/>
  <c r="V180" i="18"/>
  <c r="V139" i="18"/>
  <c r="V100" i="18"/>
  <c r="V59" i="18"/>
  <c r="P15" i="18"/>
  <c r="S12" i="18"/>
  <c r="S135" i="18"/>
  <c r="S84" i="18"/>
  <c r="S168" i="18"/>
  <c r="P85" i="18"/>
  <c r="V30" i="18"/>
  <c r="V41" i="18"/>
  <c r="P96" i="18"/>
  <c r="S14" i="18"/>
  <c r="P24" i="18"/>
  <c r="P175" i="18"/>
  <c r="P139" i="18"/>
  <c r="P69" i="18"/>
  <c r="P16" i="18"/>
  <c r="P12" i="18"/>
  <c r="P61" i="18"/>
  <c r="P157" i="18"/>
  <c r="S156" i="18"/>
  <c r="S111" i="18"/>
  <c r="P8" i="18"/>
  <c r="S30" i="18"/>
  <c r="S38" i="18"/>
  <c r="V104" i="18"/>
  <c r="V125" i="18"/>
  <c r="P36" i="18"/>
  <c r="P102" i="18"/>
  <c r="P135" i="18"/>
  <c r="P155" i="18"/>
  <c r="S64" i="18"/>
  <c r="P89" i="18"/>
  <c r="S113" i="18"/>
  <c r="S164" i="18"/>
  <c r="V79" i="18"/>
  <c r="V83" i="18"/>
  <c r="S148" i="18"/>
  <c r="S17" i="18"/>
  <c r="S28" i="18"/>
  <c r="S60" i="18"/>
  <c r="S165" i="18"/>
  <c r="P171" i="18"/>
  <c r="V27" i="18"/>
  <c r="S25" i="18"/>
  <c r="S61" i="18"/>
  <c r="S46" i="18"/>
  <c r="S55" i="18"/>
  <c r="S116" i="18"/>
  <c r="V20" i="18"/>
  <c r="V34" i="18"/>
  <c r="V131" i="18"/>
  <c r="V82" i="18"/>
  <c r="S27" i="18"/>
  <c r="P130" i="18"/>
  <c r="P114" i="18"/>
  <c r="P137" i="18"/>
  <c r="P95" i="18"/>
  <c r="P123" i="18"/>
  <c r="P93" i="18"/>
  <c r="P113" i="18"/>
  <c r="P101" i="18"/>
  <c r="P31" i="18"/>
  <c r="P59" i="18"/>
  <c r="S22" i="18"/>
  <c r="S52" i="18"/>
  <c r="S36" i="18"/>
  <c r="S50" i="18"/>
  <c r="S37" i="18"/>
  <c r="S157" i="18"/>
  <c r="S98" i="18"/>
  <c r="S128" i="18"/>
  <c r="S35" i="18"/>
  <c r="S178" i="18"/>
  <c r="S174" i="18"/>
  <c r="S147" i="18"/>
  <c r="S107" i="18"/>
  <c r="S32" i="18"/>
  <c r="S97" i="18"/>
  <c r="S26" i="18"/>
  <c r="S172" i="18"/>
  <c r="S136" i="18"/>
  <c r="S99" i="18"/>
  <c r="S142" i="18"/>
  <c r="S179" i="18"/>
  <c r="S85" i="18"/>
  <c r="S66" i="18"/>
  <c r="S170" i="18"/>
  <c r="S70" i="18"/>
  <c r="S120" i="18"/>
  <c r="S93" i="18"/>
  <c r="S71" i="18"/>
  <c r="S112" i="18"/>
  <c r="S105" i="18"/>
  <c r="S19" i="18"/>
  <c r="S10" i="18"/>
  <c r="S90" i="18"/>
  <c r="S166" i="18"/>
  <c r="S141" i="18"/>
  <c r="S94" i="18"/>
  <c r="S110" i="18"/>
  <c r="S182" i="18"/>
  <c r="S161" i="18"/>
  <c r="S143" i="18"/>
  <c r="S145" i="18"/>
  <c r="S80" i="18"/>
  <c r="S177" i="18"/>
  <c r="S96" i="18"/>
  <c r="S58" i="18"/>
  <c r="S109" i="18"/>
  <c r="S77" i="18"/>
  <c r="S151" i="18"/>
  <c r="S43" i="18"/>
  <c r="S106" i="18"/>
  <c r="S118" i="18"/>
  <c r="S167" i="18"/>
  <c r="S103" i="18"/>
  <c r="S68" i="18"/>
  <c r="S72" i="18"/>
  <c r="S9" i="18"/>
  <c r="S91" i="18"/>
  <c r="S133" i="18"/>
  <c r="S86" i="18"/>
  <c r="S75" i="18"/>
  <c r="S131" i="18"/>
  <c r="S160" i="18"/>
  <c r="S125" i="18"/>
  <c r="S100" i="18"/>
  <c r="S45" i="18"/>
  <c r="S159" i="18"/>
  <c r="S39" i="18"/>
  <c r="S104" i="18"/>
  <c r="S132" i="18"/>
  <c r="S15" i="18"/>
  <c r="S79" i="18"/>
  <c r="S47" i="18"/>
  <c r="S62" i="18"/>
  <c r="S140" i="18"/>
  <c r="S129" i="18"/>
  <c r="S20" i="18"/>
  <c r="S92" i="18"/>
  <c r="S127" i="18"/>
  <c r="S78" i="18"/>
  <c r="S73" i="18"/>
  <c r="S130" i="18"/>
  <c r="S114" i="18"/>
  <c r="S117" i="18"/>
  <c r="S34" i="18"/>
  <c r="S8" i="18"/>
  <c r="S59" i="18"/>
  <c r="S6" i="18"/>
  <c r="S5" i="18"/>
  <c r="S123" i="18"/>
  <c r="S51" i="18"/>
  <c r="S76" i="18"/>
  <c r="S126" i="18"/>
  <c r="S119" i="18"/>
  <c r="S115" i="18"/>
  <c r="S74" i="18"/>
  <c r="S4" i="18"/>
  <c r="S56" i="18"/>
  <c r="S41" i="18"/>
  <c r="S121" i="18"/>
  <c r="S69" i="18"/>
  <c r="S101" i="18"/>
  <c r="S18" i="18"/>
  <c r="S152" i="18"/>
  <c r="S16" i="18"/>
  <c r="S3" i="18"/>
  <c r="S102" i="18"/>
  <c r="S42" i="18"/>
  <c r="P98" i="18"/>
  <c r="S155" i="18"/>
  <c r="V38" i="18"/>
  <c r="P111" i="18"/>
  <c r="S181" i="18"/>
  <c r="V28" i="18"/>
  <c r="V87" i="18"/>
  <c r="V167" i="18"/>
  <c r="S24" i="18"/>
  <c r="S57" i="18"/>
  <c r="V67" i="18"/>
  <c r="V111" i="18"/>
  <c r="V160" i="18"/>
  <c r="V62" i="18"/>
  <c r="S83" i="18"/>
  <c r="V134" i="18"/>
  <c r="V148" i="18"/>
  <c r="P144" i="18"/>
  <c r="S163" i="18"/>
  <c r="S7" i="18"/>
  <c r="V56" i="18"/>
  <c r="P83" i="18"/>
  <c r="V155" i="18"/>
  <c r="P166" i="18"/>
  <c r="P14" i="18"/>
  <c r="P23" i="18"/>
  <c r="S150" i="18"/>
  <c r="S31" i="18"/>
  <c r="S67" i="18"/>
  <c r="S176" i="18"/>
  <c r="V58" i="18"/>
  <c r="V98" i="18"/>
  <c r="P180" i="18"/>
  <c r="Q180" i="18" s="1"/>
  <c r="S48" i="18"/>
  <c r="P33" i="18"/>
  <c r="P63" i="18"/>
  <c r="P149" i="18"/>
  <c r="P173" i="18"/>
  <c r="P27" i="18"/>
  <c r="P9" i="18"/>
  <c r="P94" i="18"/>
  <c r="P131" i="18"/>
  <c r="P18" i="18"/>
  <c r="P128" i="18"/>
  <c r="S122" i="18"/>
  <c r="S81" i="18"/>
  <c r="P91" i="18"/>
  <c r="P4" i="18"/>
  <c r="P106" i="18"/>
  <c r="V138" i="18"/>
  <c r="S54" i="18"/>
  <c r="V7" i="18"/>
  <c r="S175" i="18"/>
  <c r="S108" i="18"/>
  <c r="V166" i="18"/>
  <c r="S88" i="18"/>
  <c r="P45" i="18"/>
  <c r="P88" i="18"/>
  <c r="P154" i="18"/>
  <c r="P109" i="18"/>
  <c r="V158" i="18"/>
  <c r="P170" i="18"/>
  <c r="V80" i="18"/>
  <c r="P132" i="18"/>
  <c r="S146" i="18"/>
  <c r="P134" i="18"/>
  <c r="P162" i="18"/>
  <c r="P176" i="18"/>
  <c r="P43" i="18"/>
  <c r="P77" i="18"/>
  <c r="S154" i="18"/>
  <c r="V128" i="18"/>
  <c r="P142" i="18"/>
  <c r="P10" i="18"/>
  <c r="S169" i="18"/>
  <c r="S82" i="18"/>
  <c r="S139" i="18"/>
  <c r="V43" i="18"/>
  <c r="V137" i="18"/>
  <c r="V31" i="18"/>
  <c r="P143" i="18"/>
  <c r="P28" i="18"/>
  <c r="P174" i="18"/>
  <c r="P65" i="18"/>
  <c r="P152" i="18"/>
  <c r="S33" i="18"/>
  <c r="V9" i="18"/>
  <c r="V51" i="18"/>
  <c r="V23" i="18"/>
  <c r="S23" i="18"/>
  <c r="S49" i="18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32" i="15"/>
  <c r="B23" i="15"/>
  <c r="B24" i="15"/>
  <c r="B25" i="15"/>
  <c r="B26" i="15"/>
  <c r="B27" i="15"/>
  <c r="B28" i="15"/>
  <c r="B29" i="15"/>
  <c r="B30" i="15"/>
  <c r="B31" i="15"/>
  <c r="C27" i="15"/>
  <c r="C28" i="15"/>
  <c r="C29" i="15"/>
  <c r="C30" i="15"/>
  <c r="C31" i="15"/>
  <c r="B22" i="15"/>
  <c r="Z177" i="18" l="1"/>
  <c r="T182" i="18"/>
  <c r="W145" i="18"/>
  <c r="T130" i="18"/>
  <c r="T169" i="18"/>
  <c r="Z145" i="18"/>
  <c r="T175" i="18"/>
  <c r="Z29" i="18"/>
  <c r="W175" i="18"/>
  <c r="Q171" i="18"/>
  <c r="T97" i="18"/>
  <c r="T13" i="18"/>
  <c r="T21" i="18"/>
  <c r="T29" i="18"/>
  <c r="Z53" i="18"/>
  <c r="Z97" i="18"/>
  <c r="W29" i="18"/>
  <c r="Z21" i="18"/>
  <c r="W21" i="18"/>
  <c r="W149" i="18"/>
  <c r="Z149" i="18"/>
  <c r="T163" i="18"/>
  <c r="W163" i="18"/>
  <c r="Y163" i="18" s="1"/>
  <c r="T41" i="18"/>
  <c r="T53" i="18"/>
  <c r="T127" i="18"/>
  <c r="Q97" i="18"/>
  <c r="Q13" i="18"/>
  <c r="Q182" i="18"/>
  <c r="Q108" i="18"/>
  <c r="Q29" i="18"/>
  <c r="Q21" i="18"/>
  <c r="Q119" i="18"/>
  <c r="Y119" i="18" s="1"/>
  <c r="Q160" i="18"/>
  <c r="Q101" i="18"/>
  <c r="Z180" i="18"/>
  <c r="W180" i="18"/>
  <c r="Z152" i="18"/>
  <c r="W152" i="18"/>
  <c r="W181" i="18"/>
  <c r="Z181" i="18"/>
  <c r="Z75" i="18"/>
  <c r="W75" i="18"/>
  <c r="W97" i="18"/>
  <c r="Y97" i="18" s="1"/>
  <c r="X97" i="18"/>
  <c r="W13" i="18"/>
  <c r="Z13" i="18"/>
  <c r="Q163" i="18"/>
  <c r="W169" i="18"/>
  <c r="Z179" i="18"/>
  <c r="Q165" i="18"/>
  <c r="T160" i="18"/>
  <c r="Z41" i="18"/>
  <c r="W41" i="18"/>
  <c r="W53" i="18"/>
  <c r="W177" i="18"/>
  <c r="W179" i="18"/>
  <c r="Z182" i="18"/>
  <c r="W182" i="18"/>
  <c r="T141" i="18"/>
  <c r="Y141" i="18" s="1"/>
  <c r="T123" i="18"/>
  <c r="Q105" i="18"/>
  <c r="U21" i="10"/>
  <c r="F21" i="10"/>
  <c r="R21" i="10" s="1"/>
  <c r="E21" i="10"/>
  <c r="U20" i="10"/>
  <c r="F20" i="10"/>
  <c r="R20" i="10" s="1"/>
  <c r="E20" i="10"/>
  <c r="U19" i="10"/>
  <c r="F19" i="10"/>
  <c r="R19" i="10" s="1"/>
  <c r="E19" i="10"/>
  <c r="U16" i="10"/>
  <c r="F16" i="10"/>
  <c r="R16" i="10" s="1"/>
  <c r="E16" i="10"/>
  <c r="U15" i="10"/>
  <c r="F15" i="10"/>
  <c r="R15" i="10" s="1"/>
  <c r="E15" i="10"/>
  <c r="U14" i="10"/>
  <c r="F14" i="10"/>
  <c r="R14" i="10" s="1"/>
  <c r="E14" i="10"/>
  <c r="U13" i="10"/>
  <c r="F13" i="10"/>
  <c r="R13" i="10" s="1"/>
  <c r="E13" i="10"/>
  <c r="U12" i="10"/>
  <c r="F12" i="10"/>
  <c r="R12" i="10" s="1"/>
  <c r="E12" i="10"/>
  <c r="O30" i="8"/>
  <c r="N30" i="8"/>
  <c r="M30" i="8" s="1"/>
  <c r="L30" i="8"/>
  <c r="D30" i="8"/>
  <c r="O29" i="8"/>
  <c r="N29" i="8"/>
  <c r="M29" i="8" s="1"/>
  <c r="L29" i="8"/>
  <c r="D29" i="8"/>
  <c r="O28" i="8"/>
  <c r="N28" i="8"/>
  <c r="M28" i="8" s="1"/>
  <c r="L28" i="8"/>
  <c r="D28" i="8"/>
  <c r="O27" i="8"/>
  <c r="N27" i="8"/>
  <c r="M27" i="8" s="1"/>
  <c r="L27" i="8"/>
  <c r="D27" i="8"/>
  <c r="O24" i="8"/>
  <c r="N24" i="8"/>
  <c r="M24" i="8" s="1"/>
  <c r="L24" i="8"/>
  <c r="D24" i="8"/>
  <c r="O23" i="8"/>
  <c r="N23" i="8"/>
  <c r="M23" i="8" s="1"/>
  <c r="L23" i="8"/>
  <c r="D23" i="8"/>
  <c r="O22" i="8"/>
  <c r="N22" i="8"/>
  <c r="M22" i="8" s="1"/>
  <c r="L22" i="8"/>
  <c r="D22" i="8"/>
  <c r="O21" i="8"/>
  <c r="N21" i="8"/>
  <c r="M21" i="8" s="1"/>
  <c r="L21" i="8"/>
  <c r="D21" i="8"/>
  <c r="Z98" i="18" l="1"/>
  <c r="Y145" i="18"/>
  <c r="Z54" i="18"/>
  <c r="Z30" i="18"/>
  <c r="Y101" i="18"/>
  <c r="Y123" i="18"/>
  <c r="Y29" i="18"/>
  <c r="X29" i="18"/>
  <c r="Y53" i="18"/>
  <c r="X53" i="18"/>
  <c r="Y13" i="18"/>
  <c r="X13" i="18"/>
  <c r="P30" i="8"/>
  <c r="U29" i="10"/>
  <c r="E29" i="10"/>
  <c r="O52" i="8"/>
  <c r="S52" i="8" s="1"/>
  <c r="L52" i="8"/>
  <c r="D52" i="8"/>
  <c r="O163" i="9" l="1"/>
  <c r="Q3" i="1" l="1"/>
  <c r="Q4" i="1"/>
  <c r="Q5" i="1"/>
  <c r="Q6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40" i="1"/>
  <c r="Q41" i="1"/>
  <c r="Q44" i="1"/>
  <c r="Q56" i="1"/>
  <c r="Q57" i="1"/>
  <c r="Q58" i="1"/>
  <c r="Q59" i="1"/>
  <c r="Q60" i="1"/>
  <c r="Q62" i="1"/>
  <c r="Q63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2" i="1"/>
  <c r="P30" i="9" l="1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7" i="9"/>
  <c r="P48" i="9"/>
  <c r="P69" i="9"/>
  <c r="P70" i="9"/>
  <c r="P71" i="9"/>
  <c r="P72" i="9"/>
  <c r="P75" i="9"/>
  <c r="P76" i="9"/>
  <c r="P77" i="9"/>
  <c r="P78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7" i="9"/>
  <c r="P152" i="9"/>
  <c r="P153" i="9"/>
  <c r="P154" i="9"/>
  <c r="P155" i="9"/>
  <c r="P156" i="9"/>
  <c r="P157" i="9"/>
  <c r="P158" i="9"/>
  <c r="P162" i="9"/>
  <c r="P164" i="9"/>
  <c r="P165" i="9"/>
  <c r="P166" i="9"/>
  <c r="P167" i="9"/>
  <c r="P168" i="9"/>
  <c r="P169" i="9"/>
  <c r="P170" i="9"/>
  <c r="P171" i="9"/>
  <c r="P172" i="9"/>
  <c r="P173" i="9"/>
  <c r="P2" i="9"/>
  <c r="O34" i="9"/>
  <c r="F10" i="6" l="1"/>
  <c r="F11" i="6"/>
  <c r="F12" i="6"/>
  <c r="F13" i="6"/>
  <c r="F30" i="6"/>
  <c r="U80" i="5" l="1"/>
  <c r="O167" i="9" l="1"/>
  <c r="O166" i="9"/>
  <c r="O165" i="9"/>
  <c r="O164" i="9"/>
  <c r="D20" i="6" l="1"/>
  <c r="H20" i="6"/>
  <c r="D62" i="6" l="1"/>
  <c r="H62" i="6"/>
  <c r="O62" i="6"/>
  <c r="Q62" i="6" l="1"/>
  <c r="S62" i="6"/>
  <c r="R77" i="9" l="1"/>
  <c r="R72" i="9"/>
  <c r="R70" i="9"/>
  <c r="R76" i="9"/>
  <c r="R75" i="9"/>
  <c r="R71" i="9"/>
  <c r="R69" i="9"/>
  <c r="R78" i="9"/>
  <c r="V99" i="9" l="1"/>
  <c r="V102" i="9"/>
  <c r="V95" i="9"/>
  <c r="V98" i="9"/>
  <c r="V101" i="9"/>
  <c r="V94" i="9"/>
  <c r="V100" i="9"/>
  <c r="V92" i="9"/>
  <c r="V96" i="9"/>
  <c r="V97" i="9"/>
  <c r="V93" i="9"/>
  <c r="V91" i="9"/>
  <c r="AA74" i="9"/>
  <c r="AA73" i="9"/>
  <c r="V74" i="9"/>
  <c r="V73" i="9"/>
  <c r="AA77" i="9"/>
  <c r="AA85" i="9"/>
  <c r="AA110" i="9"/>
  <c r="AA111" i="9"/>
  <c r="AA76" i="9"/>
  <c r="AA87" i="9"/>
  <c r="AA83" i="9"/>
  <c r="AA69" i="9"/>
  <c r="AA84" i="9"/>
  <c r="AA75" i="9"/>
  <c r="AA105" i="9"/>
  <c r="AA114" i="9"/>
  <c r="AA89" i="9"/>
  <c r="AA103" i="9"/>
  <c r="AA82" i="9"/>
  <c r="AA71" i="9"/>
  <c r="AA88" i="9"/>
  <c r="AA107" i="9"/>
  <c r="AA80" i="9"/>
  <c r="AA78" i="9"/>
  <c r="AA113" i="9"/>
  <c r="AA106" i="9"/>
  <c r="AA86" i="9"/>
  <c r="AA81" i="9"/>
  <c r="AA109" i="9"/>
  <c r="AA90" i="9"/>
  <c r="AA72" i="9"/>
  <c r="AA70" i="9"/>
  <c r="AA112" i="9"/>
  <c r="AA79" i="9"/>
  <c r="AA108" i="9"/>
  <c r="AA104" i="9"/>
  <c r="V72" i="9"/>
  <c r="V83" i="9"/>
  <c r="V112" i="9"/>
  <c r="V70" i="9"/>
  <c r="V111" i="9"/>
  <c r="V105" i="9"/>
  <c r="V82" i="9"/>
  <c r="V114" i="9"/>
  <c r="V81" i="9"/>
  <c r="V113" i="9"/>
  <c r="V79" i="9"/>
  <c r="V106" i="9"/>
  <c r="V78" i="9"/>
  <c r="V84" i="9"/>
  <c r="V80" i="9"/>
  <c r="V69" i="9"/>
  <c r="V104" i="9"/>
  <c r="V71" i="9"/>
  <c r="V90" i="9"/>
  <c r="V108" i="9"/>
  <c r="V107" i="9"/>
  <c r="V110" i="9"/>
  <c r="V109" i="9"/>
  <c r="V86" i="9"/>
  <c r="V75" i="9"/>
  <c r="V85" i="9"/>
  <c r="V88" i="9"/>
  <c r="V89" i="9"/>
  <c r="V103" i="9"/>
  <c r="V76" i="9"/>
  <c r="V77" i="9"/>
  <c r="V87" i="9"/>
  <c r="P2" i="11"/>
  <c r="G5" i="16" l="1"/>
  <c r="U5" i="16" s="1"/>
  <c r="L5" i="16"/>
  <c r="Q5" i="16"/>
  <c r="G2" i="16"/>
  <c r="U2" i="16" s="1"/>
  <c r="L2" i="16"/>
  <c r="Q2" i="16"/>
  <c r="D5" i="16"/>
  <c r="D2" i="16"/>
  <c r="O2" i="5"/>
  <c r="C13" i="15" l="1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2" i="15"/>
  <c r="B66" i="12"/>
  <c r="H18" i="6" l="1"/>
  <c r="R26" i="10" l="1"/>
  <c r="U27" i="10"/>
  <c r="R27" i="10"/>
  <c r="E27" i="10"/>
  <c r="U26" i="10"/>
  <c r="E26" i="10"/>
  <c r="R153" i="9" l="1"/>
  <c r="R152" i="9"/>
  <c r="R155" i="9"/>
  <c r="R154" i="9"/>
  <c r="R25" i="10"/>
  <c r="O173" i="9"/>
  <c r="O172" i="9"/>
  <c r="O171" i="9"/>
  <c r="O170" i="9"/>
  <c r="O169" i="9"/>
  <c r="O162" i="9"/>
  <c r="O158" i="9"/>
  <c r="O157" i="9"/>
  <c r="O156" i="9"/>
  <c r="O155" i="9"/>
  <c r="O154" i="9"/>
  <c r="O153" i="9"/>
  <c r="O152" i="9"/>
  <c r="O137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08" i="9"/>
  <c r="O107" i="9"/>
  <c r="O106" i="9"/>
  <c r="O105" i="9"/>
  <c r="O104" i="9"/>
  <c r="O103" i="9"/>
  <c r="O78" i="9"/>
  <c r="O77" i="9"/>
  <c r="O76" i="9"/>
  <c r="O75" i="9"/>
  <c r="O72" i="9"/>
  <c r="O71" i="9"/>
  <c r="O70" i="9"/>
  <c r="O69" i="9"/>
  <c r="O48" i="9"/>
  <c r="O47" i="9"/>
  <c r="O44" i="9"/>
  <c r="O43" i="9"/>
  <c r="O42" i="9"/>
  <c r="O41" i="9"/>
  <c r="O40" i="9"/>
  <c r="O38" i="9"/>
  <c r="O37" i="9"/>
  <c r="O36" i="9"/>
  <c r="O35" i="9"/>
  <c r="O33" i="9"/>
  <c r="O32" i="9"/>
  <c r="O31" i="9"/>
  <c r="O30" i="9"/>
  <c r="O2" i="9"/>
  <c r="L51" i="8"/>
  <c r="M50" i="8"/>
  <c r="L50" i="8"/>
  <c r="M49" i="8"/>
  <c r="L49" i="8"/>
  <c r="L36" i="8"/>
  <c r="L35" i="8"/>
  <c r="L32" i="8"/>
  <c r="L3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3" i="8"/>
  <c r="L2" i="8"/>
  <c r="Q3" i="16"/>
  <c r="Q4" i="16"/>
  <c r="Q6" i="16"/>
  <c r="Q7" i="1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19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O18" i="5"/>
  <c r="O17" i="5"/>
  <c r="O16" i="5"/>
  <c r="O15" i="5"/>
  <c r="O14" i="5"/>
  <c r="O13" i="5"/>
  <c r="O12" i="5"/>
  <c r="O11" i="5"/>
  <c r="O10" i="5"/>
  <c r="O9" i="5"/>
  <c r="O8" i="5"/>
  <c r="O7" i="5"/>
  <c r="O6" i="5"/>
  <c r="O5" i="5"/>
  <c r="O4" i="5"/>
  <c r="O3" i="5"/>
  <c r="R115" i="9" l="1"/>
  <c r="R119" i="9"/>
  <c r="R126" i="9"/>
  <c r="R118" i="9"/>
  <c r="R125" i="9"/>
  <c r="R117" i="9"/>
  <c r="R124" i="9"/>
  <c r="R116" i="9"/>
  <c r="R123" i="9"/>
  <c r="R122" i="9"/>
  <c r="R121" i="9"/>
  <c r="R120" i="9"/>
  <c r="C5" i="11"/>
  <c r="V192" i="9" l="1"/>
  <c r="S192" i="9"/>
  <c r="S187" i="9"/>
  <c r="S27" i="9"/>
  <c r="V189" i="9"/>
  <c r="V188" i="9"/>
  <c r="V194" i="9"/>
  <c r="V186" i="9"/>
  <c r="S193" i="9"/>
  <c r="S194" i="9"/>
  <c r="S191" i="9"/>
  <c r="V195" i="9"/>
  <c r="S195" i="9"/>
  <c r="V187" i="9"/>
  <c r="V193" i="9"/>
  <c r="V191" i="9"/>
  <c r="V190" i="9"/>
  <c r="S189" i="9"/>
  <c r="S190" i="9"/>
  <c r="S9" i="9"/>
  <c r="S188" i="9"/>
  <c r="S14" i="9"/>
  <c r="S186" i="9"/>
  <c r="S19" i="9"/>
  <c r="S23" i="9"/>
  <c r="S91" i="9"/>
  <c r="S24" i="9"/>
  <c r="S12" i="9"/>
  <c r="S18" i="9"/>
  <c r="S13" i="9"/>
  <c r="S28" i="9"/>
  <c r="S10" i="9"/>
  <c r="S20" i="9"/>
  <c r="S16" i="9"/>
  <c r="S93" i="9"/>
  <c r="S21" i="9"/>
  <c r="S17" i="9"/>
  <c r="S15" i="9"/>
  <c r="S25" i="9"/>
  <c r="S100" i="9"/>
  <c r="S11" i="9"/>
  <c r="S22" i="9"/>
  <c r="S26" i="9"/>
  <c r="S94" i="9"/>
  <c r="S96" i="9"/>
  <c r="S99" i="9"/>
  <c r="S92" i="9"/>
  <c r="S95" i="9"/>
  <c r="S67" i="9"/>
  <c r="S102" i="9"/>
  <c r="S98" i="9"/>
  <c r="S101" i="9"/>
  <c r="S97" i="9"/>
  <c r="S61" i="9"/>
  <c r="S65" i="9"/>
  <c r="S64" i="9"/>
  <c r="S60" i="9"/>
  <c r="S63" i="9"/>
  <c r="S59" i="9"/>
  <c r="S68" i="9"/>
  <c r="S62" i="9"/>
  <c r="S66" i="9"/>
  <c r="AA174" i="9"/>
  <c r="V174" i="9"/>
  <c r="X174" i="9"/>
  <c r="S174" i="9"/>
  <c r="U174" i="9" s="1"/>
  <c r="S139" i="9"/>
  <c r="X139" i="9"/>
  <c r="AA138" i="9"/>
  <c r="X138" i="9"/>
  <c r="AA140" i="9"/>
  <c r="AA139" i="9"/>
  <c r="X140" i="9"/>
  <c r="S138" i="9"/>
  <c r="S140" i="9"/>
  <c r="V140" i="9"/>
  <c r="V138" i="9"/>
  <c r="V139" i="9"/>
  <c r="S148" i="9"/>
  <c r="X73" i="9"/>
  <c r="X45" i="9"/>
  <c r="X54" i="9"/>
  <c r="X55" i="9"/>
  <c r="X46" i="9"/>
  <c r="X74" i="9"/>
  <c r="S74" i="9"/>
  <c r="S45" i="9"/>
  <c r="S73" i="9"/>
  <c r="S46" i="9"/>
  <c r="S55" i="9"/>
  <c r="S54" i="9"/>
  <c r="AA203" i="9"/>
  <c r="X176" i="9"/>
  <c r="X196" i="9"/>
  <c r="AA182" i="9"/>
  <c r="X201" i="9"/>
  <c r="AA183" i="9"/>
  <c r="AA198" i="9"/>
  <c r="AA200" i="9"/>
  <c r="AA202" i="9"/>
  <c r="AA206" i="9"/>
  <c r="X206" i="9"/>
  <c r="X199" i="9"/>
  <c r="AA197" i="9"/>
  <c r="X178" i="9"/>
  <c r="AA181" i="9"/>
  <c r="X182" i="9"/>
  <c r="X179" i="9"/>
  <c r="AA185" i="9"/>
  <c r="AA207" i="9"/>
  <c r="X205" i="9"/>
  <c r="X202" i="9"/>
  <c r="AA180" i="9"/>
  <c r="AA176" i="9"/>
  <c r="X185" i="9"/>
  <c r="X184" i="9"/>
  <c r="X181" i="9"/>
  <c r="AA204" i="9"/>
  <c r="X183" i="9"/>
  <c r="AA196" i="9"/>
  <c r="X198" i="9"/>
  <c r="X207" i="9"/>
  <c r="X200" i="9"/>
  <c r="AA184" i="9"/>
  <c r="X203" i="9"/>
  <c r="X204" i="9"/>
  <c r="AA205" i="9"/>
  <c r="X177" i="9"/>
  <c r="AA201" i="9"/>
  <c r="AA199" i="9"/>
  <c r="X197" i="9"/>
  <c r="AA179" i="9"/>
  <c r="X180" i="9"/>
  <c r="AA178" i="9"/>
  <c r="AA177" i="9"/>
  <c r="S202" i="9"/>
  <c r="V181" i="9"/>
  <c r="V202" i="9"/>
  <c r="S204" i="9"/>
  <c r="V196" i="9"/>
  <c r="V200" i="9"/>
  <c r="S201" i="9"/>
  <c r="S199" i="9"/>
  <c r="S182" i="9"/>
  <c r="S179" i="9"/>
  <c r="S181" i="9"/>
  <c r="V206" i="9"/>
  <c r="V203" i="9"/>
  <c r="V205" i="9"/>
  <c r="V176" i="9"/>
  <c r="S177" i="9"/>
  <c r="S206" i="9"/>
  <c r="S197" i="9"/>
  <c r="V198" i="9"/>
  <c r="V199" i="9"/>
  <c r="S180" i="9"/>
  <c r="V197" i="9"/>
  <c r="S200" i="9"/>
  <c r="V183" i="9"/>
  <c r="S203" i="9"/>
  <c r="S185" i="9"/>
  <c r="V182" i="9"/>
  <c r="V204" i="9"/>
  <c r="S205" i="9"/>
  <c r="V177" i="9"/>
  <c r="V180" i="9"/>
  <c r="S178" i="9"/>
  <c r="S176" i="9"/>
  <c r="V184" i="9"/>
  <c r="S198" i="9"/>
  <c r="V207" i="9"/>
  <c r="S196" i="9"/>
  <c r="S207" i="9"/>
  <c r="V179" i="9"/>
  <c r="S184" i="9"/>
  <c r="S183" i="9"/>
  <c r="V201" i="9"/>
  <c r="V185" i="9"/>
  <c r="V178" i="9"/>
  <c r="AA135" i="9"/>
  <c r="AA150" i="9"/>
  <c r="AA130" i="9"/>
  <c r="AA128" i="9"/>
  <c r="AA163" i="9"/>
  <c r="AA121" i="9"/>
  <c r="AA132" i="9"/>
  <c r="AA147" i="9"/>
  <c r="AA133" i="9"/>
  <c r="AA115" i="9"/>
  <c r="AA117" i="9"/>
  <c r="AA154" i="9"/>
  <c r="AA175" i="9"/>
  <c r="AA142" i="9"/>
  <c r="AA124" i="9"/>
  <c r="AA146" i="9"/>
  <c r="AA170" i="9"/>
  <c r="AA153" i="9"/>
  <c r="AA134" i="9"/>
  <c r="AA171" i="9"/>
  <c r="AA148" i="9"/>
  <c r="AA156" i="9"/>
  <c r="AA157" i="9"/>
  <c r="AA127" i="9"/>
  <c r="AA141" i="9"/>
  <c r="AA123" i="9"/>
  <c r="AA144" i="9"/>
  <c r="AA126" i="9"/>
  <c r="AA160" i="9"/>
  <c r="AA145" i="9"/>
  <c r="AA129" i="9"/>
  <c r="AA125" i="9"/>
  <c r="AA173" i="9"/>
  <c r="AA169" i="9"/>
  <c r="AA152" i="9"/>
  <c r="AA165" i="9"/>
  <c r="AA143" i="9"/>
  <c r="AA167" i="9"/>
  <c r="AA164" i="9"/>
  <c r="AA162" i="9"/>
  <c r="AA131" i="9"/>
  <c r="AA159" i="9"/>
  <c r="AA155" i="9"/>
  <c r="AA168" i="9"/>
  <c r="AA149" i="9"/>
  <c r="AA158" i="9"/>
  <c r="AA161" i="9"/>
  <c r="AA172" i="9"/>
  <c r="AA116" i="9"/>
  <c r="AA166" i="9"/>
  <c r="AA122" i="9"/>
  <c r="AA137" i="9"/>
  <c r="AA119" i="9"/>
  <c r="AA120" i="9"/>
  <c r="AA118" i="9"/>
  <c r="AA151" i="9"/>
  <c r="AA136" i="9"/>
  <c r="V164" i="9"/>
  <c r="V144" i="9"/>
  <c r="V119" i="9"/>
  <c r="V116" i="9"/>
  <c r="V135" i="9"/>
  <c r="V117" i="9"/>
  <c r="V127" i="9"/>
  <c r="V162" i="9"/>
  <c r="V123" i="9"/>
  <c r="V122" i="9"/>
  <c r="V124" i="9"/>
  <c r="V118" i="9"/>
  <c r="V115" i="9"/>
  <c r="V172" i="9"/>
  <c r="V168" i="9"/>
  <c r="V153" i="9"/>
  <c r="V147" i="9"/>
  <c r="V126" i="9"/>
  <c r="V146" i="9"/>
  <c r="V152" i="9"/>
  <c r="V165" i="9"/>
  <c r="V125" i="9"/>
  <c r="V171" i="9"/>
  <c r="V133" i="9"/>
  <c r="V136" i="9"/>
  <c r="V151" i="9"/>
  <c r="V131" i="9"/>
  <c r="V134" i="9"/>
  <c r="V149" i="9"/>
  <c r="V166" i="9"/>
  <c r="V130" i="9"/>
  <c r="V143" i="9"/>
  <c r="V160" i="9"/>
  <c r="V158" i="9"/>
  <c r="V129" i="9"/>
  <c r="V163" i="9"/>
  <c r="V137" i="9"/>
  <c r="V169" i="9"/>
  <c r="V156" i="9"/>
  <c r="V170" i="9"/>
  <c r="V167" i="9"/>
  <c r="V155" i="9"/>
  <c r="V132" i="9"/>
  <c r="V121" i="9"/>
  <c r="V175" i="9"/>
  <c r="V161" i="9"/>
  <c r="V141" i="9"/>
  <c r="V142" i="9"/>
  <c r="V157" i="9"/>
  <c r="V128" i="9"/>
  <c r="V150" i="9"/>
  <c r="V120" i="9"/>
  <c r="V145" i="9"/>
  <c r="V154" i="9"/>
  <c r="V173" i="9"/>
  <c r="V148" i="9"/>
  <c r="V159" i="9"/>
  <c r="X160" i="9"/>
  <c r="S175" i="9"/>
  <c r="X161" i="9"/>
  <c r="X159" i="9"/>
  <c r="S159" i="9"/>
  <c r="S160" i="9"/>
  <c r="S161" i="9"/>
  <c r="X148" i="9"/>
  <c r="X149" i="9"/>
  <c r="S150" i="9"/>
  <c r="S149" i="9"/>
  <c r="X150" i="9"/>
  <c r="X135" i="9"/>
  <c r="S134" i="9"/>
  <c r="S135" i="9"/>
  <c r="X116" i="9"/>
  <c r="X134" i="9"/>
  <c r="X136" i="9"/>
  <c r="S136" i="9"/>
  <c r="X120" i="9"/>
  <c r="X118" i="9"/>
  <c r="X121" i="9"/>
  <c r="X124" i="9"/>
  <c r="X126" i="9"/>
  <c r="X123" i="9"/>
  <c r="X117" i="9"/>
  <c r="X119" i="9"/>
  <c r="X122" i="9"/>
  <c r="X125" i="9"/>
  <c r="X115" i="9"/>
  <c r="X78" i="9"/>
  <c r="X103" i="9"/>
  <c r="X127" i="9"/>
  <c r="X29" i="9"/>
  <c r="X41" i="9"/>
  <c r="X167" i="9"/>
  <c r="X143" i="9"/>
  <c r="X4" i="9"/>
  <c r="X156" i="9"/>
  <c r="X30" i="9"/>
  <c r="X172" i="9"/>
  <c r="X34" i="9"/>
  <c r="X71" i="9"/>
  <c r="X85" i="9"/>
  <c r="X6" i="9"/>
  <c r="X109" i="9"/>
  <c r="X75" i="9"/>
  <c r="X56" i="9"/>
  <c r="X112" i="9"/>
  <c r="X128" i="9"/>
  <c r="X82" i="9"/>
  <c r="X106" i="9"/>
  <c r="X84" i="9"/>
  <c r="X48" i="9"/>
  <c r="X88" i="9"/>
  <c r="X114" i="9"/>
  <c r="X38" i="9"/>
  <c r="X133" i="9"/>
  <c r="X132" i="9"/>
  <c r="X70" i="9"/>
  <c r="X166" i="9"/>
  <c r="X90" i="9"/>
  <c r="X168" i="9"/>
  <c r="X137" i="9"/>
  <c r="X147" i="9"/>
  <c r="X8" i="9"/>
  <c r="X89" i="9"/>
  <c r="X80" i="9"/>
  <c r="X50" i="9"/>
  <c r="X107" i="9"/>
  <c r="X72" i="9"/>
  <c r="X76" i="9"/>
  <c r="X33" i="9"/>
  <c r="X130" i="9"/>
  <c r="X87" i="9"/>
  <c r="X129" i="9"/>
  <c r="X32" i="9"/>
  <c r="X47" i="9"/>
  <c r="X3" i="9"/>
  <c r="X69" i="9"/>
  <c r="X142" i="9"/>
  <c r="X83" i="9"/>
  <c r="X170" i="9"/>
  <c r="AB170" i="9" s="1"/>
  <c r="X42" i="9"/>
  <c r="X162" i="9"/>
  <c r="X173" i="9"/>
  <c r="X77" i="9"/>
  <c r="X113" i="9"/>
  <c r="X169" i="9"/>
  <c r="AB169" i="9" s="1"/>
  <c r="X40" i="9"/>
  <c r="X165" i="9"/>
  <c r="X163" i="9"/>
  <c r="X52" i="9"/>
  <c r="X35" i="9"/>
  <c r="X44" i="9"/>
  <c r="X5" i="9"/>
  <c r="X171" i="9"/>
  <c r="AB171" i="9" s="1"/>
  <c r="X37" i="9"/>
  <c r="X146" i="9"/>
  <c r="X131" i="9"/>
  <c r="X49" i="9"/>
  <c r="X39" i="9"/>
  <c r="X145" i="9"/>
  <c r="X164" i="9"/>
  <c r="X57" i="9"/>
  <c r="X36" i="9"/>
  <c r="X105" i="9"/>
  <c r="X7" i="9"/>
  <c r="X53" i="9"/>
  <c r="X43" i="9"/>
  <c r="X51" i="9"/>
  <c r="X111" i="9"/>
  <c r="X79" i="9"/>
  <c r="X141" i="9"/>
  <c r="X110" i="9"/>
  <c r="X158" i="9"/>
  <c r="X58" i="9"/>
  <c r="X81" i="9"/>
  <c r="X86" i="9"/>
  <c r="X104" i="9"/>
  <c r="X31" i="9"/>
  <c r="X151" i="9"/>
  <c r="X144" i="9"/>
  <c r="X108" i="9"/>
  <c r="X157" i="9"/>
  <c r="X154" i="9"/>
  <c r="X155" i="9"/>
  <c r="X152" i="9"/>
  <c r="X153" i="9"/>
  <c r="S152" i="9"/>
  <c r="S2" i="9"/>
  <c r="U41" i="10"/>
  <c r="E41" i="10"/>
  <c r="U38" i="10"/>
  <c r="E38" i="10"/>
  <c r="U37" i="10"/>
  <c r="E37" i="10"/>
  <c r="U195" i="9" l="1"/>
  <c r="T18" i="9"/>
  <c r="T28" i="9"/>
  <c r="Y38" i="9"/>
  <c r="Y126" i="9"/>
  <c r="Y162" i="9"/>
  <c r="Y78" i="9"/>
  <c r="AB38" i="9"/>
  <c r="AB168" i="9"/>
  <c r="Y169" i="9"/>
  <c r="U102" i="9"/>
  <c r="U68" i="9"/>
  <c r="AB174" i="9"/>
  <c r="Z174" i="9"/>
  <c r="U140" i="9"/>
  <c r="Z140" i="9"/>
  <c r="U207" i="9"/>
  <c r="Z207" i="9"/>
  <c r="AB207" i="9"/>
  <c r="Z175" i="9"/>
  <c r="AB185" i="9"/>
  <c r="Y185" i="9"/>
  <c r="U175" i="9"/>
  <c r="T185" i="9"/>
  <c r="Y175" i="9"/>
  <c r="Z173" i="9"/>
  <c r="Y173" i="9"/>
  <c r="P7" i="22"/>
  <c r="P6" i="22"/>
  <c r="P8" i="22"/>
  <c r="P5" i="22"/>
  <c r="P3" i="22"/>
  <c r="P9" i="22"/>
  <c r="P4" i="22"/>
  <c r="P10" i="22"/>
  <c r="P2" i="22"/>
  <c r="N10" i="22"/>
  <c r="N7" i="22"/>
  <c r="N3" i="22"/>
  <c r="N8" i="22"/>
  <c r="N5" i="22"/>
  <c r="N6" i="22"/>
  <c r="N4" i="22"/>
  <c r="N2" i="22"/>
  <c r="N9" i="22"/>
  <c r="AB137" i="9"/>
  <c r="T175" i="9"/>
  <c r="Z130" i="9"/>
  <c r="AB130" i="9"/>
  <c r="AB175" i="9"/>
  <c r="Y167" i="9"/>
  <c r="Z8" i="9"/>
  <c r="Y8" i="9"/>
  <c r="Y127" i="9" l="1"/>
  <c r="U31" i="10"/>
  <c r="U32" i="10"/>
  <c r="U33" i="10"/>
  <c r="U35" i="10"/>
  <c r="U36" i="10"/>
  <c r="U42" i="10"/>
  <c r="U43" i="10"/>
  <c r="U44" i="10"/>
  <c r="E31" i="10"/>
  <c r="E32" i="10"/>
  <c r="E33" i="10"/>
  <c r="E35" i="10"/>
  <c r="E36" i="10"/>
  <c r="E42" i="10"/>
  <c r="E43" i="10"/>
  <c r="E44" i="10"/>
  <c r="V36" i="10" l="1"/>
  <c r="V44" i="10"/>
  <c r="V37" i="10"/>
  <c r="V38" i="10"/>
  <c r="V43" i="10"/>
  <c r="V31" i="10"/>
  <c r="V39" i="10"/>
  <c r="V32" i="10"/>
  <c r="V40" i="10"/>
  <c r="V33" i="10"/>
  <c r="V41" i="10"/>
  <c r="V34" i="10"/>
  <c r="V42" i="10"/>
  <c r="V35" i="10"/>
  <c r="N11" i="22"/>
  <c r="U28" i="10"/>
  <c r="E28" i="10"/>
  <c r="D51" i="8"/>
  <c r="L3" i="16"/>
  <c r="G3" i="16"/>
  <c r="U3" i="16" s="1"/>
  <c r="D3" i="16"/>
  <c r="P39" i="7"/>
  <c r="D39" i="7"/>
  <c r="P38" i="7"/>
  <c r="D38" i="7"/>
  <c r="D61" i="6"/>
  <c r="D87" i="1"/>
  <c r="D86" i="1"/>
  <c r="W35" i="10" l="1"/>
  <c r="W41" i="10"/>
  <c r="Q38" i="7"/>
  <c r="T38" i="7"/>
  <c r="Q39" i="7"/>
  <c r="T39" i="7"/>
  <c r="W44" i="10"/>
  <c r="Z35" i="10"/>
  <c r="Z41" i="10"/>
  <c r="S39" i="7"/>
  <c r="S38" i="7"/>
  <c r="B6" i="13"/>
  <c r="B2" i="13"/>
  <c r="E3" i="13"/>
  <c r="E5" i="13" s="1"/>
  <c r="E6" i="13" s="1"/>
  <c r="E7" i="13" s="1"/>
  <c r="E8" i="13" s="1"/>
  <c r="E9" i="13" s="1"/>
  <c r="E10" i="13" s="1"/>
  <c r="B10" i="13" s="1"/>
  <c r="B4" i="13" l="1"/>
  <c r="B11" i="13"/>
  <c r="B3" i="13"/>
  <c r="B9" i="13"/>
  <c r="B8" i="13"/>
  <c r="B7" i="13"/>
  <c r="B5" i="13"/>
  <c r="E25" i="10"/>
  <c r="E24" i="10"/>
  <c r="X44" i="10" l="1"/>
  <c r="D18" i="6"/>
  <c r="X41" i="10" l="1"/>
  <c r="Y41" i="10"/>
  <c r="G3" i="17" l="1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" i="17"/>
  <c r="D3" i="17"/>
  <c r="D4" i="17" l="1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" i="17"/>
  <c r="F22" i="6" l="1"/>
  <c r="F23" i="6"/>
  <c r="F21" i="6"/>
  <c r="P26" i="7" l="1"/>
  <c r="D34" i="7"/>
  <c r="D33" i="7"/>
  <c r="D32" i="7"/>
  <c r="D31" i="7"/>
  <c r="D30" i="7"/>
  <c r="D29" i="7"/>
  <c r="D28" i="7"/>
  <c r="D27" i="7"/>
  <c r="D26" i="7"/>
  <c r="D25" i="7"/>
  <c r="D24" i="7"/>
  <c r="D23" i="7"/>
  <c r="F31" i="6"/>
  <c r="F32" i="6"/>
  <c r="F33" i="6"/>
  <c r="F34" i="6"/>
  <c r="F35" i="6"/>
  <c r="O20" i="6"/>
  <c r="O41" i="6" l="1"/>
  <c r="O40" i="6"/>
  <c r="O61" i="6"/>
  <c r="O18" i="6"/>
  <c r="P28" i="7"/>
  <c r="P31" i="7"/>
  <c r="P34" i="7"/>
  <c r="P24" i="7"/>
  <c r="P27" i="7"/>
  <c r="P30" i="7"/>
  <c r="P29" i="7"/>
  <c r="P32" i="7"/>
  <c r="P25" i="7"/>
  <c r="P33" i="7"/>
  <c r="P23" i="7"/>
  <c r="Q34" i="7" l="1"/>
  <c r="Q61" i="6"/>
  <c r="S61" i="6"/>
  <c r="R34" i="7"/>
  <c r="T34" i="7"/>
  <c r="F57" i="1" l="1"/>
  <c r="F58" i="1"/>
  <c r="F59" i="1"/>
  <c r="F60" i="1"/>
  <c r="F62" i="1"/>
  <c r="F63" i="1"/>
  <c r="F66" i="1"/>
  <c r="S61" i="1" s="1"/>
  <c r="F56" i="1"/>
  <c r="S16" i="1" l="1"/>
  <c r="S15" i="1"/>
  <c r="S11" i="1"/>
  <c r="S7" i="1"/>
  <c r="S9" i="1"/>
  <c r="S12" i="1"/>
  <c r="S17" i="1"/>
  <c r="S14" i="1"/>
  <c r="S13" i="1"/>
  <c r="S10" i="1"/>
  <c r="S8" i="1"/>
  <c r="R59" i="1"/>
  <c r="R57" i="1"/>
  <c r="R73" i="1"/>
  <c r="R75" i="1"/>
  <c r="R69" i="1"/>
  <c r="R78" i="1"/>
  <c r="R82" i="1"/>
  <c r="R77" i="1"/>
  <c r="R83" i="1"/>
  <c r="R56" i="1"/>
  <c r="R81" i="1"/>
  <c r="R65" i="1"/>
  <c r="R88" i="1"/>
  <c r="R64" i="1"/>
  <c r="R60" i="1"/>
  <c r="R70" i="1"/>
  <c r="R58" i="1"/>
  <c r="R68" i="1"/>
  <c r="R66" i="1"/>
  <c r="R86" i="1"/>
  <c r="R89" i="1"/>
  <c r="R85" i="1"/>
  <c r="R63" i="1"/>
  <c r="R67" i="1"/>
  <c r="R79" i="1"/>
  <c r="R61" i="1"/>
  <c r="R84" i="1"/>
  <c r="R72" i="1"/>
  <c r="R87" i="1"/>
  <c r="R74" i="1"/>
  <c r="R80" i="1"/>
  <c r="R76" i="1"/>
  <c r="R62" i="1"/>
  <c r="R71" i="1"/>
  <c r="S45" i="1"/>
  <c r="S52" i="1"/>
  <c r="S50" i="1"/>
  <c r="S46" i="1"/>
  <c r="S48" i="1"/>
  <c r="S47" i="1"/>
  <c r="S53" i="1"/>
  <c r="S51" i="1"/>
  <c r="S55" i="1"/>
  <c r="S49" i="1"/>
  <c r="S54" i="1"/>
  <c r="S64" i="1"/>
  <c r="S65" i="1"/>
  <c r="S43" i="1"/>
  <c r="S42" i="1"/>
  <c r="S39" i="1"/>
  <c r="S89" i="1"/>
  <c r="V89" i="1" s="1"/>
  <c r="S88" i="1"/>
  <c r="S3" i="1"/>
  <c r="S20" i="1"/>
  <c r="S28" i="1"/>
  <c r="S38" i="1"/>
  <c r="S57" i="1"/>
  <c r="S73" i="1"/>
  <c r="S2" i="1"/>
  <c r="S4" i="1"/>
  <c r="S21" i="1"/>
  <c r="S29" i="1"/>
  <c r="S40" i="1"/>
  <c r="S58" i="1"/>
  <c r="S74" i="1"/>
  <c r="S81" i="1"/>
  <c r="S32" i="1"/>
  <c r="S69" i="1"/>
  <c r="S84" i="1"/>
  <c r="S33" i="1"/>
  <c r="S35" i="1"/>
  <c r="S63" i="1"/>
  <c r="S78" i="1"/>
  <c r="S26" i="1"/>
  <c r="S36" i="1"/>
  <c r="S66" i="1"/>
  <c r="S79" i="1"/>
  <c r="S27" i="1"/>
  <c r="S37" i="1"/>
  <c r="S80" i="1"/>
  <c r="X80" i="1" s="1"/>
  <c r="S5" i="1"/>
  <c r="S22" i="1"/>
  <c r="S30" i="1"/>
  <c r="S41" i="1"/>
  <c r="S59" i="1"/>
  <c r="S67" i="1"/>
  <c r="S75" i="1"/>
  <c r="S82" i="1"/>
  <c r="S6" i="1"/>
  <c r="S23" i="1"/>
  <c r="S31" i="1"/>
  <c r="S44" i="1"/>
  <c r="S60" i="1"/>
  <c r="S68" i="1"/>
  <c r="S76" i="1"/>
  <c r="S83" i="1"/>
  <c r="S24" i="1"/>
  <c r="S34" i="1"/>
  <c r="S62" i="1"/>
  <c r="S77" i="1"/>
  <c r="S25" i="1"/>
  <c r="S70" i="1"/>
  <c r="S85" i="1"/>
  <c r="S18" i="1"/>
  <c r="S71" i="1"/>
  <c r="S86" i="1"/>
  <c r="S19" i="1"/>
  <c r="S56" i="1"/>
  <c r="S72" i="1"/>
  <c r="S87" i="1"/>
  <c r="B2" i="12"/>
  <c r="E30" i="10"/>
  <c r="F30" i="10"/>
  <c r="R30" i="10" s="1"/>
  <c r="O2" i="6"/>
  <c r="T11" i="1" l="1"/>
  <c r="X11" i="1"/>
  <c r="X33" i="1"/>
  <c r="X37" i="1"/>
  <c r="X44" i="1"/>
  <c r="X79" i="1"/>
  <c r="T80" i="1"/>
  <c r="T55" i="1"/>
  <c r="T48" i="1"/>
  <c r="X78" i="1"/>
  <c r="W3" i="1"/>
  <c r="X89" i="1"/>
  <c r="T89" i="1"/>
  <c r="V88" i="1"/>
  <c r="X87" i="1"/>
  <c r="X86" i="1"/>
  <c r="T87" i="1"/>
  <c r="V87" i="1"/>
  <c r="V86" i="1"/>
  <c r="U30" i="10"/>
  <c r="D66" i="1"/>
  <c r="D63" i="1"/>
  <c r="D62" i="1"/>
  <c r="D60" i="1"/>
  <c r="D59" i="1"/>
  <c r="D58" i="1"/>
  <c r="D57" i="1"/>
  <c r="D56" i="1"/>
  <c r="D44" i="1"/>
  <c r="D41" i="1"/>
  <c r="D40" i="1"/>
  <c r="D38" i="1"/>
  <c r="D37" i="1"/>
  <c r="D36" i="1"/>
  <c r="D35" i="1"/>
  <c r="D34" i="1"/>
  <c r="T59" i="1" l="1"/>
  <c r="T66" i="1"/>
  <c r="T44" i="1"/>
  <c r="T37" i="1"/>
  <c r="V37" i="1" l="1"/>
  <c r="W37" i="1"/>
  <c r="W44" i="1"/>
  <c r="D4" i="16"/>
  <c r="G4" i="16"/>
  <c r="U4" i="16" s="1"/>
  <c r="L4" i="16"/>
  <c r="O17" i="6"/>
  <c r="D17" i="6"/>
  <c r="O16" i="6"/>
  <c r="D16" i="6"/>
  <c r="O15" i="6"/>
  <c r="D15" i="6"/>
  <c r="O14" i="6"/>
  <c r="D14" i="6"/>
  <c r="O13" i="6"/>
  <c r="D13" i="6"/>
  <c r="O12" i="6"/>
  <c r="D12" i="6"/>
  <c r="O11" i="6"/>
  <c r="D11" i="6"/>
  <c r="O10" i="6"/>
  <c r="D10" i="6"/>
  <c r="O9" i="6"/>
  <c r="D9" i="6"/>
  <c r="O8" i="6"/>
  <c r="D8" i="6"/>
  <c r="O7" i="6"/>
  <c r="D7" i="6"/>
  <c r="O6" i="6"/>
  <c r="D6" i="6"/>
  <c r="D37" i="7"/>
  <c r="P37" i="7"/>
  <c r="T37" i="7" s="1"/>
  <c r="P35" i="7"/>
  <c r="T35" i="7" s="1"/>
  <c r="P36" i="7"/>
  <c r="T36" i="7" s="1"/>
  <c r="D35" i="7"/>
  <c r="D36" i="7"/>
  <c r="D2" i="6"/>
  <c r="D3" i="6"/>
  <c r="D4" i="6"/>
  <c r="D5" i="6"/>
  <c r="D7" i="22" l="1"/>
  <c r="D5" i="22"/>
  <c r="Q37" i="7"/>
  <c r="S9" i="6"/>
  <c r="Q36" i="7"/>
  <c r="P13" i="6"/>
  <c r="P9" i="6"/>
  <c r="P17" i="6"/>
  <c r="X84" i="1"/>
  <c r="X85" i="1"/>
  <c r="X83" i="1"/>
  <c r="D83" i="1"/>
  <c r="D84" i="1"/>
  <c r="D85" i="1"/>
  <c r="T85" i="1" l="1"/>
  <c r="O60" i="6"/>
  <c r="O59" i="6"/>
  <c r="S59" i="6" s="1"/>
  <c r="O58" i="6"/>
  <c r="S58" i="6" s="1"/>
  <c r="D58" i="6"/>
  <c r="D59" i="6"/>
  <c r="D60" i="6"/>
  <c r="D49" i="8"/>
  <c r="D50" i="8"/>
  <c r="O30" i="6"/>
  <c r="P59" i="6" l="1"/>
  <c r="P60" i="6"/>
  <c r="D80" i="5" l="1"/>
  <c r="Q115" i="9"/>
  <c r="D82" i="1"/>
  <c r="D81" i="1"/>
  <c r="D33" i="1"/>
  <c r="D32" i="1"/>
  <c r="D31" i="1"/>
  <c r="D30" i="1"/>
  <c r="D29" i="1"/>
  <c r="D28" i="1"/>
  <c r="D27" i="1"/>
  <c r="D26" i="1"/>
  <c r="D25" i="1"/>
  <c r="D24" i="1"/>
  <c r="D23" i="1"/>
  <c r="D22" i="1"/>
  <c r="D4" i="8"/>
  <c r="R80" i="5" l="1"/>
  <c r="T80" i="5" s="1"/>
  <c r="X82" i="1" l="1"/>
  <c r="T82" i="1"/>
  <c r="T33" i="1"/>
  <c r="U5" i="10"/>
  <c r="F2" i="10"/>
  <c r="F3" i="10"/>
  <c r="R3" i="10" s="1"/>
  <c r="F4" i="10"/>
  <c r="R4" i="10" s="1"/>
  <c r="F5" i="10"/>
  <c r="R5" i="10" s="1"/>
  <c r="F6" i="10"/>
  <c r="R6" i="10" s="1"/>
  <c r="F8" i="10"/>
  <c r="R8" i="10" s="1"/>
  <c r="F9" i="10"/>
  <c r="R9" i="10" s="1"/>
  <c r="F10" i="10"/>
  <c r="R10" i="10" s="1"/>
  <c r="F11" i="10"/>
  <c r="R11" i="10" s="1"/>
  <c r="F22" i="10"/>
  <c r="F23" i="10"/>
  <c r="R23" i="10" s="1"/>
  <c r="F7" i="10"/>
  <c r="R7" i="10" s="1"/>
  <c r="R22" i="10" l="1"/>
  <c r="R2" i="10"/>
  <c r="U24" i="10"/>
  <c r="U25" i="10"/>
  <c r="G7" i="16"/>
  <c r="U7" i="16" s="1"/>
  <c r="G6" i="16"/>
  <c r="U6" i="16" s="1"/>
  <c r="P2" i="7"/>
  <c r="P3" i="7"/>
  <c r="P4" i="7"/>
  <c r="P12" i="7"/>
  <c r="O3" i="6"/>
  <c r="O4" i="6"/>
  <c r="O5" i="6"/>
  <c r="O19" i="6"/>
  <c r="O21" i="6"/>
  <c r="S18" i="6" s="1"/>
  <c r="O22" i="6"/>
  <c r="O23" i="6"/>
  <c r="S20" i="6" s="1"/>
  <c r="O24" i="6"/>
  <c r="O25" i="6"/>
  <c r="O26" i="6"/>
  <c r="O27" i="6"/>
  <c r="O28" i="6"/>
  <c r="O29" i="6"/>
  <c r="O31" i="6"/>
  <c r="O32" i="6"/>
  <c r="O33" i="6"/>
  <c r="O34" i="6"/>
  <c r="O35" i="6"/>
  <c r="O36" i="6"/>
  <c r="O37" i="6"/>
  <c r="O38" i="6"/>
  <c r="O39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T5" i="7" l="1"/>
  <c r="R5" i="7"/>
  <c r="T12" i="7"/>
  <c r="R12" i="7"/>
  <c r="X21" i="1"/>
  <c r="K3" i="14"/>
  <c r="K4" i="14" s="1"/>
  <c r="S19" i="6"/>
  <c r="S35" i="6"/>
  <c r="H3" i="14"/>
  <c r="H4" i="14" s="1"/>
  <c r="S5" i="6"/>
  <c r="Q17" i="6"/>
  <c r="R17" i="6" s="1"/>
  <c r="S45" i="6"/>
  <c r="S57" i="6"/>
  <c r="U10" i="5"/>
  <c r="R10" i="5"/>
  <c r="U20" i="5"/>
  <c r="R20" i="5"/>
  <c r="P35" i="6"/>
  <c r="Q57" i="6"/>
  <c r="Q45" i="6"/>
  <c r="T78" i="1"/>
  <c r="U2" i="10"/>
  <c r="T21" i="1"/>
  <c r="P23" i="6"/>
  <c r="P57" i="6"/>
  <c r="R57" i="6" s="1"/>
  <c r="P5" i="6"/>
  <c r="Q5" i="6" s="1"/>
  <c r="V21" i="1" l="1"/>
  <c r="V11" i="1"/>
  <c r="R45" i="6"/>
  <c r="S10" i="5"/>
  <c r="L6" i="16"/>
  <c r="D6" i="16"/>
  <c r="L7" i="16"/>
  <c r="D7" i="16"/>
  <c r="Y35" i="10" l="1"/>
  <c r="X35" i="10"/>
  <c r="N20" i="8"/>
  <c r="M20" i="8" s="1"/>
  <c r="N3" i="8"/>
  <c r="M3" i="8" s="1"/>
  <c r="N4" i="8"/>
  <c r="M4" i="8" s="1"/>
  <c r="N5" i="8"/>
  <c r="M5" i="8" s="1"/>
  <c r="N6" i="8"/>
  <c r="M6" i="8" s="1"/>
  <c r="N7" i="8"/>
  <c r="M7" i="8" s="1"/>
  <c r="N8" i="8"/>
  <c r="M8" i="8" s="1"/>
  <c r="N9" i="8"/>
  <c r="M9" i="8" s="1"/>
  <c r="N10" i="8"/>
  <c r="M10" i="8" s="1"/>
  <c r="N11" i="8"/>
  <c r="M11" i="8" s="1"/>
  <c r="N12" i="8"/>
  <c r="M12" i="8" s="1"/>
  <c r="N13" i="8"/>
  <c r="M13" i="8" s="1"/>
  <c r="N14" i="8"/>
  <c r="M14" i="8" s="1"/>
  <c r="N15" i="8"/>
  <c r="M15" i="8" s="1"/>
  <c r="N16" i="8"/>
  <c r="M16" i="8" s="1"/>
  <c r="N17" i="8"/>
  <c r="M17" i="8" s="1"/>
  <c r="N18" i="8"/>
  <c r="M18" i="8" s="1"/>
  <c r="N19" i="8"/>
  <c r="M19" i="8" s="1"/>
  <c r="N2" i="8"/>
  <c r="M2" i="8" s="1"/>
  <c r="Q30" i="9" l="1"/>
  <c r="Q31" i="9"/>
  <c r="Q32" i="9"/>
  <c r="Q33" i="9"/>
  <c r="Q34" i="9"/>
  <c r="Q35" i="9"/>
  <c r="Q36" i="9"/>
  <c r="Q37" i="9"/>
  <c r="Q38" i="9"/>
  <c r="Q69" i="9"/>
  <c r="Q70" i="9"/>
  <c r="Q71" i="9"/>
  <c r="Q72" i="9"/>
  <c r="Q75" i="9"/>
  <c r="Q76" i="9"/>
  <c r="Q77" i="9"/>
  <c r="Q78" i="9"/>
  <c r="Q116" i="9"/>
  <c r="Q117" i="9"/>
  <c r="Q118" i="9"/>
  <c r="Q119" i="9"/>
  <c r="Q120" i="9"/>
  <c r="Q121" i="9"/>
  <c r="Q122" i="9"/>
  <c r="Q123" i="9"/>
  <c r="Q124" i="9"/>
  <c r="Q125" i="9"/>
  <c r="Q126" i="9"/>
  <c r="Q39" i="9"/>
  <c r="Q40" i="9"/>
  <c r="Q41" i="9"/>
  <c r="Q42" i="9"/>
  <c r="Q43" i="9"/>
  <c r="Q44" i="9"/>
  <c r="Q47" i="9"/>
  <c r="Q48" i="9"/>
  <c r="Q103" i="9"/>
  <c r="Q104" i="9"/>
  <c r="Q105" i="9"/>
  <c r="Q106" i="9"/>
  <c r="Q107" i="9"/>
  <c r="Q108" i="9"/>
  <c r="Q109" i="9"/>
  <c r="Q110" i="9"/>
  <c r="Q111" i="9"/>
  <c r="Q112" i="9"/>
  <c r="Q113" i="9"/>
  <c r="Q114" i="9"/>
  <c r="O51" i="8" l="1"/>
  <c r="O31" i="8"/>
  <c r="O11" i="8"/>
  <c r="O16" i="8"/>
  <c r="O49" i="8"/>
  <c r="O18" i="8"/>
  <c r="O10" i="8"/>
  <c r="O7" i="8"/>
  <c r="O13" i="8"/>
  <c r="O6" i="8"/>
  <c r="O2" i="8"/>
  <c r="O9" i="8"/>
  <c r="O14" i="8"/>
  <c r="O5" i="8"/>
  <c r="O20" i="8"/>
  <c r="O19" i="8"/>
  <c r="O17" i="8"/>
  <c r="O15" i="8"/>
  <c r="O4" i="8"/>
  <c r="O12" i="8"/>
  <c r="O8" i="8"/>
  <c r="O3" i="8"/>
  <c r="O50" i="8"/>
  <c r="O36" i="8"/>
  <c r="O35" i="8"/>
  <c r="O32" i="8"/>
  <c r="P36" i="8" l="1"/>
  <c r="S36" i="8"/>
  <c r="Q59" i="8"/>
  <c r="P52" i="8"/>
  <c r="S51" i="8"/>
  <c r="Q30" i="8"/>
  <c r="H2" i="11"/>
  <c r="K5" i="11" s="1"/>
  <c r="S89" i="9"/>
  <c r="S85" i="9"/>
  <c r="S81" i="9"/>
  <c r="S82" i="9"/>
  <c r="S86" i="9"/>
  <c r="S83" i="9"/>
  <c r="S88" i="9"/>
  <c r="S80" i="9"/>
  <c r="S87" i="9"/>
  <c r="S84" i="9"/>
  <c r="S79" i="9"/>
  <c r="S90" i="9"/>
  <c r="S29" i="9"/>
  <c r="S51" i="9"/>
  <c r="S56" i="9"/>
  <c r="S52" i="9"/>
  <c r="S57" i="9"/>
  <c r="S53" i="9"/>
  <c r="S58" i="9"/>
  <c r="S50" i="9"/>
  <c r="S49" i="9"/>
  <c r="S3" i="9"/>
  <c r="S7" i="9"/>
  <c r="S8" i="9"/>
  <c r="S6" i="9"/>
  <c r="S4" i="9"/>
  <c r="S5" i="9"/>
  <c r="S147" i="9"/>
  <c r="S142" i="9"/>
  <c r="S145" i="9"/>
  <c r="S146" i="9"/>
  <c r="S151" i="9"/>
  <c r="S144" i="9"/>
  <c r="S143" i="9"/>
  <c r="S141" i="9"/>
  <c r="P20" i="8"/>
  <c r="S30" i="8"/>
  <c r="S163" i="9"/>
  <c r="S166" i="9"/>
  <c r="S167" i="9"/>
  <c r="S165" i="9"/>
  <c r="S164" i="9"/>
  <c r="S10" i="8"/>
  <c r="S20" i="8"/>
  <c r="S171" i="9"/>
  <c r="S169" i="9"/>
  <c r="S36" i="9"/>
  <c r="S173" i="9"/>
  <c r="S168" i="9"/>
  <c r="S170" i="9"/>
  <c r="S155" i="9"/>
  <c r="S153" i="9"/>
  <c r="S154" i="9"/>
  <c r="S158" i="9"/>
  <c r="S162" i="9"/>
  <c r="S157" i="9"/>
  <c r="S156" i="9"/>
  <c r="P50" i="8"/>
  <c r="S37" i="9"/>
  <c r="S30" i="9"/>
  <c r="S32" i="9"/>
  <c r="S35" i="9"/>
  <c r="S130" i="9"/>
  <c r="S71" i="9"/>
  <c r="S70" i="9"/>
  <c r="S133" i="9"/>
  <c r="S112" i="9"/>
  <c r="S113" i="9"/>
  <c r="S106" i="9"/>
  <c r="S111" i="9"/>
  <c r="S128" i="9"/>
  <c r="S104" i="9"/>
  <c r="S110" i="9"/>
  <c r="S123" i="9"/>
  <c r="S40" i="9"/>
  <c r="S103" i="9"/>
  <c r="S114" i="9"/>
  <c r="S48" i="9"/>
  <c r="S108" i="9"/>
  <c r="S137" i="9"/>
  <c r="S115" i="9"/>
  <c r="S122" i="9"/>
  <c r="S126" i="9"/>
  <c r="S39" i="9"/>
  <c r="S44" i="9"/>
  <c r="S76" i="9"/>
  <c r="S72" i="9"/>
  <c r="S42" i="9"/>
  <c r="S69" i="9"/>
  <c r="S132" i="9"/>
  <c r="S105" i="9"/>
  <c r="S129" i="9"/>
  <c r="S125" i="9"/>
  <c r="S124" i="9"/>
  <c r="S127" i="9"/>
  <c r="S118" i="9"/>
  <c r="S121" i="9"/>
  <c r="S119" i="9"/>
  <c r="S117" i="9"/>
  <c r="S43" i="9"/>
  <c r="S75" i="9"/>
  <c r="S116" i="9"/>
  <c r="S131" i="9"/>
  <c r="S77" i="9"/>
  <c r="S41" i="9"/>
  <c r="S78" i="9"/>
  <c r="S109" i="9"/>
  <c r="S107" i="9"/>
  <c r="S120" i="9"/>
  <c r="S47" i="9"/>
  <c r="S38" i="9"/>
  <c r="S172" i="9"/>
  <c r="T172" i="9" s="1"/>
  <c r="S33" i="9"/>
  <c r="S31" i="9"/>
  <c r="S34" i="9"/>
  <c r="P10" i="8"/>
  <c r="T38" i="9" l="1"/>
  <c r="U173" i="9"/>
  <c r="T173" i="9"/>
  <c r="G4" i="11"/>
  <c r="Q10" i="8"/>
  <c r="U130" i="9"/>
  <c r="T8" i="9"/>
  <c r="U8" i="9"/>
  <c r="T169" i="9"/>
  <c r="U162" i="9"/>
  <c r="U78" i="9"/>
  <c r="U126" i="9"/>
  <c r="U155" i="9"/>
  <c r="T171" i="9"/>
  <c r="Z144" i="9"/>
  <c r="U137" i="9"/>
  <c r="U151" i="9"/>
  <c r="Z58" i="9"/>
  <c r="U144" i="9"/>
  <c r="Z151" i="9"/>
  <c r="Z90" i="9"/>
  <c r="T78" i="9"/>
  <c r="U48" i="9"/>
  <c r="U114" i="9"/>
  <c r="T126" i="9"/>
  <c r="U90" i="9"/>
  <c r="U58" i="9"/>
  <c r="AB90" i="9"/>
  <c r="AB58" i="9"/>
  <c r="B3" i="15"/>
  <c r="B2" i="15"/>
  <c r="T127" i="9" l="1"/>
  <c r="Y172" i="9"/>
  <c r="X2" i="9"/>
  <c r="Y2" i="9" s="1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Z155" i="9" l="1"/>
  <c r="Z78" i="9"/>
  <c r="Y171" i="9"/>
  <c r="Z162" i="9"/>
  <c r="Z137" i="9"/>
  <c r="Z126" i="9"/>
  <c r="Z114" i="9"/>
  <c r="Z48" i="9"/>
  <c r="AB114" i="9"/>
  <c r="AB48" i="9"/>
  <c r="AB126" i="9"/>
  <c r="AB78" i="9"/>
  <c r="AB173" i="9"/>
  <c r="AB172" i="9"/>
  <c r="K3" i="11"/>
  <c r="AB103" i="9" l="1"/>
  <c r="G3" i="14"/>
  <c r="G4" i="14" l="1"/>
  <c r="J3" i="14"/>
  <c r="I3" i="14"/>
  <c r="J4" i="14" l="1"/>
  <c r="I4" i="14"/>
  <c r="E2" i="10" l="1"/>
  <c r="E3" i="10"/>
  <c r="E4" i="10"/>
  <c r="E5" i="10"/>
  <c r="E6" i="10"/>
  <c r="E7" i="10"/>
  <c r="E8" i="10"/>
  <c r="E9" i="10"/>
  <c r="E10" i="10"/>
  <c r="E11" i="10"/>
  <c r="E22" i="10"/>
  <c r="E23" i="10"/>
  <c r="L11" i="22" l="1"/>
  <c r="D31" i="8"/>
  <c r="D32" i="8"/>
  <c r="D35" i="8"/>
  <c r="D36" i="8"/>
  <c r="D2" i="8"/>
  <c r="D3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" i="7"/>
  <c r="D3" i="7"/>
  <c r="D4" i="7"/>
  <c r="D4" i="22" s="1"/>
  <c r="D12" i="7"/>
  <c r="D6" i="22" s="1"/>
  <c r="D36" i="6"/>
  <c r="D37" i="6"/>
  <c r="D38" i="6"/>
  <c r="D39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24" i="6"/>
  <c r="D25" i="6"/>
  <c r="D26" i="6"/>
  <c r="D27" i="6"/>
  <c r="D28" i="6"/>
  <c r="D29" i="6"/>
  <c r="D30" i="6"/>
  <c r="D31" i="6"/>
  <c r="D32" i="6"/>
  <c r="D33" i="6"/>
  <c r="D34" i="6"/>
  <c r="D35" i="6"/>
  <c r="D2" i="22" l="1"/>
  <c r="D3" i="22"/>
  <c r="L10" i="22"/>
  <c r="L8" i="22"/>
  <c r="L3" i="22"/>
  <c r="L4" i="22"/>
  <c r="L9" i="22"/>
  <c r="L2" i="22"/>
  <c r="L7" i="22"/>
  <c r="L6" i="22"/>
  <c r="L5" i="22"/>
  <c r="U3" i="10"/>
  <c r="U23" i="10"/>
  <c r="U22" i="10"/>
  <c r="D19" i="6"/>
  <c r="D21" i="6"/>
  <c r="D22" i="6"/>
  <c r="D23" i="6"/>
  <c r="U4" i="10" l="1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B7" i="22" l="1"/>
  <c r="B5" i="22"/>
  <c r="B4" i="22"/>
  <c r="B6" i="22"/>
  <c r="B2" i="22"/>
  <c r="B3" i="22"/>
  <c r="D73" i="1"/>
  <c r="D74" i="1"/>
  <c r="D75" i="1"/>
  <c r="D76" i="1"/>
  <c r="D77" i="1"/>
  <c r="D78" i="1"/>
  <c r="D79" i="1"/>
  <c r="D80" i="1"/>
  <c r="D67" i="1"/>
  <c r="D68" i="1"/>
  <c r="D69" i="1"/>
  <c r="D70" i="1"/>
  <c r="D71" i="1"/>
  <c r="D72" i="1"/>
  <c r="D18" i="1" l="1"/>
  <c r="D19" i="1"/>
  <c r="D20" i="1"/>
  <c r="D21" i="1"/>
  <c r="D2" i="1"/>
  <c r="D3" i="1"/>
  <c r="D4" i="1"/>
  <c r="D5" i="1"/>
  <c r="D6" i="1"/>
  <c r="F6" i="22" s="1"/>
  <c r="F7" i="22"/>
  <c r="F3" i="22" l="1"/>
  <c r="F5" i="22"/>
  <c r="F4" i="22"/>
  <c r="F2" i="22"/>
  <c r="U6" i="10"/>
  <c r="U7" i="10" l="1"/>
  <c r="U8" i="10" l="1"/>
  <c r="U9" i="10" l="1"/>
  <c r="U10" i="10" l="1"/>
  <c r="U11" i="10" l="1"/>
  <c r="V17" i="10" l="1"/>
  <c r="V18" i="10"/>
  <c r="V29" i="10"/>
  <c r="W29" i="10" s="1"/>
  <c r="V21" i="10"/>
  <c r="V20" i="10"/>
  <c r="V16" i="10"/>
  <c r="V14" i="10"/>
  <c r="V13" i="10"/>
  <c r="V19" i="10"/>
  <c r="V12" i="10"/>
  <c r="V15" i="10"/>
  <c r="V8" i="10"/>
  <c r="V10" i="10"/>
  <c r="V11" i="10"/>
  <c r="V2" i="10"/>
  <c r="V5" i="10"/>
  <c r="V4" i="10"/>
  <c r="V3" i="10"/>
  <c r="V9" i="10"/>
  <c r="V7" i="10"/>
  <c r="V6" i="10"/>
  <c r="V26" i="10"/>
  <c r="V27" i="10"/>
  <c r="V28" i="10"/>
  <c r="Z28" i="10" s="1"/>
  <c r="V30" i="10"/>
  <c r="Z30" i="10" s="1"/>
  <c r="V23" i="10"/>
  <c r="V24" i="10"/>
  <c r="V22" i="10"/>
  <c r="V25" i="10"/>
  <c r="W21" i="10" l="1"/>
  <c r="Z29" i="10"/>
  <c r="Z21" i="10"/>
  <c r="H3" i="11"/>
  <c r="Z11" i="10"/>
  <c r="W30" i="10"/>
  <c r="W28" i="10"/>
  <c r="W11" i="10"/>
  <c r="H7" i="17" l="1"/>
  <c r="H10" i="17"/>
  <c r="H8" i="17"/>
  <c r="H19" i="17"/>
  <c r="H18" i="17"/>
  <c r="H17" i="17" l="1"/>
  <c r="H2" i="17"/>
  <c r="H3" i="17"/>
  <c r="H4" i="17"/>
  <c r="H12" i="17"/>
  <c r="H13" i="17"/>
  <c r="H16" i="17"/>
  <c r="H5" i="17"/>
  <c r="H15" i="17"/>
  <c r="H11" i="17"/>
  <c r="H14" i="17"/>
  <c r="H6" i="17"/>
  <c r="H9" i="17"/>
  <c r="G5" i="11" l="1"/>
  <c r="O39" i="9" l="1"/>
  <c r="F5" i="11" l="1"/>
  <c r="H5" i="11" s="1"/>
  <c r="I5" i="11" s="1"/>
  <c r="F4" i="11"/>
  <c r="H4" i="11" s="1"/>
  <c r="I4" i="11" s="1"/>
  <c r="Y89" i="1" l="1"/>
  <c r="AA35" i="10" l="1"/>
  <c r="V36" i="5"/>
  <c r="Y37" i="1"/>
  <c r="U5" i="7"/>
  <c r="T5" i="6"/>
  <c r="AC130" i="9" l="1"/>
  <c r="AA145" i="18"/>
  <c r="U12" i="7" l="1"/>
  <c r="V43" i="5"/>
  <c r="Y44" i="1"/>
  <c r="AA41" i="10"/>
  <c r="T9" i="6"/>
  <c r="AC137" i="9" l="1"/>
  <c r="AC7" i="9"/>
  <c r="AA149" i="18"/>
  <c r="AA44" i="10" l="1"/>
  <c r="AA152" i="18" l="1"/>
  <c r="AC140" i="9"/>
  <c r="AA98" i="18" l="1"/>
  <c r="AA54" i="18" l="1"/>
  <c r="Z76" i="18"/>
  <c r="T57" i="6"/>
  <c r="Y33" i="1"/>
  <c r="Y21" i="1"/>
  <c r="U34" i="7"/>
  <c r="T45" i="6" l="1"/>
  <c r="AC91" i="9"/>
  <c r="AC79" i="9"/>
  <c r="AC103" i="9"/>
  <c r="AC196" i="9"/>
  <c r="AA30" i="18"/>
  <c r="T10" i="8"/>
  <c r="Y11" i="1"/>
  <c r="V20" i="5"/>
  <c r="V10" i="5"/>
  <c r="AC18" i="9" l="1"/>
  <c r="AC38" i="9"/>
  <c r="AC185" i="9"/>
  <c r="AA13" i="18"/>
  <c r="AC28" i="9"/>
  <c r="AA11" i="10"/>
  <c r="AA21" i="10"/>
  <c r="T20" i="8"/>
  <c r="T30" i="8"/>
  <c r="V83" i="5" l="1"/>
  <c r="Y86" i="1"/>
  <c r="U39" i="7"/>
  <c r="Y87" i="1"/>
  <c r="U38" i="7"/>
  <c r="AA29" i="10"/>
  <c r="T51" i="8"/>
  <c r="T52" i="8"/>
  <c r="V82" i="5"/>
  <c r="AA28" i="10"/>
  <c r="AA177" i="18" l="1"/>
  <c r="AC168" i="9"/>
  <c r="T62" i="6"/>
  <c r="T61" i="6"/>
  <c r="AA179" i="18"/>
  <c r="AC169" i="9"/>
  <c r="E2" i="15" l="1"/>
  <c r="D2" i="12"/>
  <c r="H3" i="22" l="1"/>
  <c r="H2" i="22" l="1"/>
  <c r="H7" i="22" l="1"/>
  <c r="H6" i="22"/>
  <c r="H4" i="22"/>
  <c r="H5" i="22" l="1"/>
  <c r="I14" i="17" l="1"/>
  <c r="I2" i="17"/>
  <c r="I8" i="17" l="1"/>
  <c r="I9" i="17"/>
  <c r="I15" i="17"/>
  <c r="I3" i="17"/>
  <c r="I4" i="17" l="1"/>
  <c r="I10" i="17"/>
  <c r="I16" i="17"/>
  <c r="I17" i="17" l="1"/>
  <c r="I5" i="17"/>
  <c r="I11" i="17"/>
  <c r="I7" i="17" l="1"/>
  <c r="I13" i="17"/>
  <c r="I19" i="17"/>
  <c r="I12" i="17"/>
  <c r="I18" i="17"/>
  <c r="I6" i="17" l="1"/>
</calcChain>
</file>

<file path=xl/comments1.xml><?xml version="1.0" encoding="utf-8"?>
<comments xmlns="http://schemas.openxmlformats.org/spreadsheetml/2006/main">
  <authors>
    <author>林峻Tyler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0：主城
1：常规副本
2：精英副本
3：活动副本
4：竞技场
5：世界BOSS
6：远征</t>
        </r>
      </text>
    </comment>
  </commentList>
</comments>
</file>

<file path=xl/comments2.xml><?xml version="1.0" encoding="utf-8"?>
<comments xmlns="http://schemas.openxmlformats.org/spreadsheetml/2006/main">
  <authors>
    <author>林峻Tyler</author>
    <author>Windows User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概率填-1为必然出现
概率填0为不出现</t>
        </r>
      </text>
    </commen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0：无标签
1:热卖
2：限时
3：限量
4：促销
5：新品
</t>
        </r>
      </text>
    </comment>
    <comment ref="M1" authorId="1" shapeId="0">
      <text>
        <r>
          <rPr>
            <b/>
            <sz val="9"/>
            <color indexed="81"/>
            <rFont val="宋体"/>
            <family val="3"/>
            <charset val="134"/>
          </rPr>
          <t>Windows User:</t>
        </r>
        <r>
          <rPr>
            <sz val="9"/>
            <color indexed="81"/>
            <rFont val="宋体"/>
            <family val="3"/>
            <charset val="134"/>
          </rPr>
          <t xml:space="preserve">
刷新物品等级</t>
        </r>
      </text>
    </comment>
    <comment ref="O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购买条件</t>
        </r>
      </text>
    </comment>
    <comment ref="S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出现概率：策划配置概率
真实概率：商店刷新概率</t>
        </r>
      </text>
    </comment>
  </commentList>
</comments>
</file>

<file path=xl/comments3.xml><?xml version="1.0" encoding="utf-8"?>
<comments xmlns="http://schemas.openxmlformats.org/spreadsheetml/2006/main">
  <authors>
    <author>林峻Tyler</author>
    <author>Windows User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林峻Tyler:
概率填-1为必然出现
概率填0为不出现</t>
        </r>
      </text>
    </comment>
    <comment ref="I1" authorId="1" shapeId="0">
      <text>
        <r>
          <rPr>
            <b/>
            <sz val="9"/>
            <color indexed="81"/>
            <rFont val="宋体"/>
            <family val="3"/>
            <charset val="134"/>
          </rPr>
          <t>Windows User:</t>
        </r>
        <r>
          <rPr>
            <sz val="9"/>
            <color indexed="81"/>
            <rFont val="宋体"/>
            <family val="3"/>
            <charset val="134"/>
          </rPr>
          <t xml:space="preserve">
0：无标签
1:热卖
2：限时
3：限量
4：促销
5：新品
</t>
        </r>
      </text>
    </comment>
    <comment ref="K1" authorId="1" shapeId="0">
      <text>
        <r>
          <rPr>
            <b/>
            <sz val="9"/>
            <color indexed="81"/>
            <rFont val="宋体"/>
            <family val="3"/>
            <charset val="134"/>
          </rPr>
          <t>Windows User:</t>
        </r>
        <r>
          <rPr>
            <sz val="9"/>
            <color indexed="81"/>
            <rFont val="宋体"/>
            <family val="3"/>
            <charset val="134"/>
          </rPr>
          <t xml:space="preserve">
刷新物品等级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购买条件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出现概率：策划配置概率
真实概率：商店刷新概率</t>
        </r>
      </text>
    </comment>
  </commentList>
</comments>
</file>

<file path=xl/comments4.xml><?xml version="1.0" encoding="utf-8"?>
<comments xmlns="http://schemas.openxmlformats.org/spreadsheetml/2006/main">
  <authors>
    <author>林峻Tyler</author>
    <author>Windows User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林峻Tyler:
概率填-1为必然出现
概率填0为不出现</t>
        </r>
      </text>
    </commen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0：无标签
1:热卖
2：限时
3：限量
4：促销
5：新品
</t>
        </r>
      </text>
    </comment>
    <comment ref="L1" authorId="1" shapeId="0">
      <text>
        <r>
          <rPr>
            <b/>
            <sz val="9"/>
            <color indexed="81"/>
            <rFont val="宋体"/>
            <family val="3"/>
            <charset val="134"/>
          </rPr>
          <t>Windows User:</t>
        </r>
        <r>
          <rPr>
            <sz val="9"/>
            <color indexed="81"/>
            <rFont val="宋体"/>
            <family val="3"/>
            <charset val="134"/>
          </rPr>
          <t xml:space="preserve">
刷新物品等级</t>
        </r>
      </text>
    </comment>
    <comment ref="N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购买条件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出现概率：策划配置概率
真实概率：商店刷新概率</t>
        </r>
      </text>
    </comment>
  </commentList>
</comments>
</file>

<file path=xl/comments5.xml><?xml version="1.0" encoding="utf-8"?>
<comments xmlns="http://schemas.openxmlformats.org/spreadsheetml/2006/main">
  <authors>
    <author>林峻Tyler</author>
    <author>Windows User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林峻Tyler:
概率填-1为必然出现
概率填0为不出现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出现概率：策划配置概率
真实概率：商店刷新概率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0：无标签
1:热卖
2：限时
3：限量
4：促销
5：新品
</t>
        </r>
      </text>
    </comment>
    <comment ref="M1" authorId="1" shapeId="0">
      <text>
        <r>
          <rPr>
            <b/>
            <sz val="9"/>
            <color indexed="81"/>
            <rFont val="宋体"/>
            <family val="3"/>
            <charset val="134"/>
          </rPr>
          <t>Windows User:</t>
        </r>
        <r>
          <rPr>
            <sz val="9"/>
            <color indexed="81"/>
            <rFont val="宋体"/>
            <family val="3"/>
            <charset val="134"/>
          </rPr>
          <t xml:space="preserve">
刷新物品等级</t>
        </r>
      </text>
    </comment>
    <comment ref="O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购买条件</t>
        </r>
      </text>
    </comment>
  </commentList>
</comments>
</file>

<file path=xl/comments6.xml><?xml version="1.0" encoding="utf-8"?>
<comments xmlns="http://schemas.openxmlformats.org/spreadsheetml/2006/main">
  <authors>
    <author>bobuchen</author>
    <author>林峻Tyler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全部加在一起随</t>
        </r>
      </text>
    </comment>
    <comment ref="G1" authorId="1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刷新物品等级</t>
        </r>
      </text>
    </comment>
    <comment ref="I1" authorId="1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刷新物品等级
等级下限：
0  VIP0
20 VIP3
30 VIP5
40 VIP7
50 VIP9</t>
        </r>
      </text>
    </comment>
  </commentList>
</comments>
</file>

<file path=xl/comments7.xml><?xml version="1.0" encoding="utf-8"?>
<comments xmlns="http://schemas.openxmlformats.org/spreadsheetml/2006/main">
  <authors>
    <author>bobuchen</author>
    <author>林峻Tyler</author>
    <author>Ycat008</author>
    <author>Javy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全部加在一起随</t>
        </r>
      </text>
    </comment>
    <comment ref="G1" authorId="1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刷新物品等级</t>
        </r>
      </text>
    </comment>
    <comment ref="I1" authorId="1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刷新物品等级
等级下限：
0  VIP0
20 VIP3
30 VIP5
40 VIP7
50 VIP9</t>
        </r>
      </text>
    </comment>
    <comment ref="K1" authorId="2" shapeId="0">
      <text>
        <r>
          <rPr>
            <b/>
            <sz val="9"/>
            <color indexed="81"/>
            <rFont val="宋体"/>
            <family val="3"/>
            <charset val="134"/>
          </rPr>
          <t>Ycat008:</t>
        </r>
        <r>
          <rPr>
            <sz val="9"/>
            <color indexed="81"/>
            <rFont val="宋体"/>
            <family val="3"/>
            <charset val="134"/>
          </rPr>
          <t xml:space="preserve">
参与保底的马仔在连续指定钻石抽取次数中没有掉落时，必定会在最后一次掉落其中一个。
该次数在游戏配置表中填写
</t>
        </r>
      </text>
    </comment>
    <comment ref="L1" authorId="3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填0表示该物品既在单抽也在十连抽中出现；
填1表示该物品仅在单抽中出现；
填2表示该物品仅在十连抽中出现；
填3表示该物品仅在免费抽取中出现。</t>
        </r>
      </text>
    </comment>
    <comment ref="M1" authorId="3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填1表示该物品在整个游戏周期中只出现1次</t>
        </r>
      </text>
    </comment>
  </commentList>
</comments>
</file>

<file path=xl/comments8.xml><?xml version="1.0" encoding="utf-8"?>
<comments xmlns="http://schemas.openxmlformats.org/spreadsheetml/2006/main">
  <authors>
    <author>bobuchen</author>
    <author>林峻Tyler</author>
    <author>Javy</author>
    <author>Ycat008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1 表示金币
2 表示钻石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全部加到一起，再随</t>
        </r>
      </text>
    </comment>
    <comment ref="H1" authorId="1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刷新物品等级</t>
        </r>
      </text>
    </comment>
    <comment ref="J1" authorId="1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 xml:space="preserve">刷新物品等级
等级下限：
</t>
        </r>
        <r>
          <rPr>
            <sz val="9"/>
            <color indexed="81"/>
            <rFont val="宋体"/>
            <family val="3"/>
            <charset val="134"/>
          </rPr>
          <t>0  VIP0
20 VIP3
30 VIP5
40 VIP7
50 VIP9</t>
        </r>
      </text>
    </comment>
    <comment ref="L1" authorId="2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每天前几次十连抽中不会掉落该物品</t>
        </r>
      </text>
    </comment>
    <comment ref="M1" authorId="3" shapeId="0">
      <text>
        <r>
          <rPr>
            <b/>
            <sz val="9"/>
            <color indexed="81"/>
            <rFont val="宋体"/>
            <family val="3"/>
            <charset val="134"/>
          </rPr>
          <t>Ycat008:</t>
        </r>
        <r>
          <rPr>
            <sz val="9"/>
            <color indexed="81"/>
            <rFont val="宋体"/>
            <family val="3"/>
            <charset val="134"/>
          </rPr>
          <t xml:space="preserve">
是否参与幸运值配置
马仔在连续指定十连抽次数中没有掉落时，必定会在下一次掉落其中一个。
注：掉落限制优先于幸运值配置，掉落限制的次数也计入幸运值经验中。</t>
        </r>
      </text>
    </comment>
    <comment ref="N1" authorId="2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整个生命周期中只掉落一次</t>
        </r>
      </text>
    </comment>
    <comment ref="O1" authorId="2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填1表示该物品参与首次十连抽，填0不参与。</t>
        </r>
      </text>
    </comment>
  </commentList>
</comments>
</file>

<file path=xl/comments9.xml><?xml version="1.0" encoding="utf-8"?>
<comments xmlns="http://schemas.openxmlformats.org/spreadsheetml/2006/main">
  <authors>
    <author>Javy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幸运值经验满了之后，必定在下一次十连抽时掉落十连抽表中标志为保底的物品</t>
        </r>
      </text>
    </comment>
  </commentList>
</comments>
</file>

<file path=xl/comments10.xml><?xml version="1.0" encoding="utf-8"?>
<comments xmlns="http://schemas.openxmlformats.org/spreadsheetml/2006/main">
  <authors>
    <author>Javy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按天为单位一直循环，开始日期在公式常数表中配置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马仔幸运日对十连抽概率的额外加成</t>
        </r>
      </text>
    </comment>
  </commentList>
</comments>
</file>

<file path=xl/comments11.xml><?xml version="1.0" encoding="utf-8"?>
<comments xmlns="http://schemas.openxmlformats.org/spreadsheetml/2006/main">
  <authors>
    <author>林峻Tyler</author>
    <author>Windows User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林峻Tyler:
概率填-1为必然出现
概率填0为不出现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0：无标签
1:热卖
2：限时
3：限量
4：促销
5：新品
</t>
        </r>
      </text>
    </comment>
    <comment ref="K1" authorId="1" shapeId="0">
      <text>
        <r>
          <rPr>
            <b/>
            <sz val="9"/>
            <color indexed="81"/>
            <rFont val="宋体"/>
            <family val="3"/>
            <charset val="134"/>
          </rPr>
          <t>Windows User:</t>
        </r>
        <r>
          <rPr>
            <sz val="9"/>
            <color indexed="81"/>
            <rFont val="宋体"/>
            <family val="3"/>
            <charset val="134"/>
          </rPr>
          <t xml:space="preserve">
刷新物品等级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购买条件</t>
        </r>
      </text>
    </comment>
    <comment ref="O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出现概率：策划配置概率
真实概率：商店刷新概率</t>
        </r>
      </text>
    </comment>
  </commentList>
</comments>
</file>

<file path=xl/comments12.xml><?xml version="1.0" encoding="utf-8"?>
<comments xmlns="http://schemas.openxmlformats.org/spreadsheetml/2006/main">
  <authors>
    <author>林峻Tyler</author>
    <author>Windows User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林峻Tyler:
概率填-1为必然出现
概率填0为不出现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出现概率：策划配置概率
真实概率：商店刷新概率</t>
        </r>
      </text>
    </commen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0：无标签
1:热卖
2：限时
3：限量
4：促销
5：新品
</t>
        </r>
      </text>
    </comment>
    <comment ref="L1" authorId="1" shapeId="0">
      <text>
        <r>
          <rPr>
            <b/>
            <sz val="9"/>
            <color indexed="81"/>
            <rFont val="宋体"/>
            <family val="3"/>
            <charset val="134"/>
          </rPr>
          <t>Windows User:</t>
        </r>
        <r>
          <rPr>
            <sz val="9"/>
            <color indexed="81"/>
            <rFont val="宋体"/>
            <family val="3"/>
            <charset val="134"/>
          </rPr>
          <t xml:space="preserve">
刷新物品等级</t>
        </r>
      </text>
    </comment>
    <comment ref="N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购买条件</t>
        </r>
      </text>
    </comment>
  </commentList>
</comments>
</file>

<file path=xl/comments13.xml><?xml version="1.0" encoding="utf-8"?>
<comments xmlns="http://schemas.openxmlformats.org/spreadsheetml/2006/main">
  <authors>
    <author>bobuchen</author>
    <author>林峻Tyler</author>
  </authors>
  <commentLis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全部加在一起随</t>
        </r>
      </text>
    </comment>
    <comment ref="G2" authorId="1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刷新物品等级</t>
        </r>
      </text>
    </comment>
    <comment ref="I2" authorId="1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刷新物品等级
等级下限：
0  VIP0
20 VIP3
30 VIP5
40 VIP7
50 VIP9</t>
        </r>
      </text>
    </comment>
  </commentList>
</comments>
</file>

<file path=xl/sharedStrings.xml><?xml version="1.0" encoding="utf-8"?>
<sst xmlns="http://schemas.openxmlformats.org/spreadsheetml/2006/main" count="256" uniqueCount="146">
  <si>
    <t>序号</t>
  </si>
  <si>
    <t>出售物品ID</t>
  </si>
  <si>
    <t>物品名称</t>
  </si>
  <si>
    <t>数量</t>
  </si>
  <si>
    <t>出现概率</t>
  </si>
  <si>
    <t>金币</t>
  </si>
  <si>
    <t>钻石</t>
  </si>
  <si>
    <t>关卡类型</t>
  </si>
  <si>
    <t>出现首次概率</t>
  </si>
  <si>
    <t>标签</t>
  </si>
  <si>
    <t>购买者下限等级</t>
  </si>
  <si>
    <t>购买者上限等级</t>
  </si>
  <si>
    <t>vip等级</t>
  </si>
  <si>
    <t>促销价</t>
  </si>
  <si>
    <t>ID</t>
  </si>
  <si>
    <t>掉落ID</t>
  </si>
  <si>
    <t>物品ID</t>
  </si>
  <si>
    <t>概率</t>
  </si>
  <si>
    <t>等级下限</t>
  </si>
  <si>
    <t>等级上限</t>
  </si>
  <si>
    <t>VIP等级</t>
  </si>
  <si>
    <t>预览显示</t>
  </si>
  <si>
    <t>类型</t>
  </si>
  <si>
    <t>数值</t>
  </si>
  <si>
    <t>备注</t>
  </si>
  <si>
    <t>单次钻石抽取</t>
  </si>
  <si>
    <t>十次钻石抽取</t>
  </si>
  <si>
    <t>等级</t>
  </si>
  <si>
    <t>倍数</t>
  </si>
  <si>
    <t>刷新次数</t>
  </si>
  <si>
    <t>需要钻石</t>
  </si>
  <si>
    <t>物品名称，参考列</t>
    <phoneticPr fontId="1" type="noConversion"/>
  </si>
  <si>
    <t>物品名称</t>
    <phoneticPr fontId="1" type="noConversion"/>
  </si>
  <si>
    <t>掉落ID</t>
    <phoneticPr fontId="1" type="noConversion"/>
  </si>
  <si>
    <t>钻石基数</t>
    <phoneticPr fontId="1" type="noConversion"/>
  </si>
  <si>
    <t>金币基数</t>
    <phoneticPr fontId="1" type="noConversion"/>
  </si>
  <si>
    <t>次数</t>
    <phoneticPr fontId="1" type="noConversion"/>
  </si>
  <si>
    <t>金币倍数</t>
    <phoneticPr fontId="1" type="noConversion"/>
  </si>
  <si>
    <t>数量</t>
    <phoneticPr fontId="1" type="noConversion"/>
  </si>
  <si>
    <t>金币</t>
    <phoneticPr fontId="1" type="noConversion"/>
  </si>
  <si>
    <t>促销价</t>
    <phoneticPr fontId="1" type="noConversion"/>
  </si>
  <si>
    <t>vip等级</t>
    <phoneticPr fontId="1" type="noConversion"/>
  </si>
  <si>
    <t>购买者上限等级</t>
    <phoneticPr fontId="1" type="noConversion"/>
  </si>
  <si>
    <t>购买者下限等级</t>
    <phoneticPr fontId="1" type="noConversion"/>
  </si>
  <si>
    <t>IS钻石购买</t>
    <phoneticPr fontId="1" type="noConversion"/>
  </si>
  <si>
    <t>优惠率</t>
    <phoneticPr fontId="1" type="noConversion"/>
  </si>
  <si>
    <t>钻石参考</t>
    <phoneticPr fontId="1" type="noConversion"/>
  </si>
  <si>
    <t>金币参考</t>
    <phoneticPr fontId="1" type="noConversion"/>
  </si>
  <si>
    <t>钻石价值</t>
    <phoneticPr fontId="1" type="noConversion"/>
  </si>
  <si>
    <t>十连抽的必掉</t>
    <phoneticPr fontId="1" type="noConversion"/>
  </si>
  <si>
    <t>稀有度</t>
    <phoneticPr fontId="1" type="noConversion"/>
  </si>
  <si>
    <t>品质</t>
    <phoneticPr fontId="1" type="noConversion"/>
  </si>
  <si>
    <t>积分</t>
    <phoneticPr fontId="1" type="noConversion"/>
  </si>
  <si>
    <t>每天上限</t>
    <phoneticPr fontId="1" type="noConversion"/>
  </si>
  <si>
    <t>真实概率</t>
  </si>
  <si>
    <t>真实概率</t>
    <phoneticPr fontId="1" type="noConversion"/>
  </si>
  <si>
    <t>单次金券抽取</t>
    <phoneticPr fontId="1" type="noConversion"/>
  </si>
  <si>
    <t>十次金券抽取</t>
    <phoneticPr fontId="1" type="noConversion"/>
  </si>
  <si>
    <t>真实掉率</t>
    <phoneticPr fontId="1" type="noConversion"/>
  </si>
  <si>
    <t>真实概率</t>
    <phoneticPr fontId="1" type="noConversion"/>
  </si>
  <si>
    <t>需要竞技币</t>
    <phoneticPr fontId="1" type="noConversion"/>
  </si>
  <si>
    <t>需要公会贡献</t>
    <phoneticPr fontId="1" type="noConversion"/>
  </si>
  <si>
    <t>金券</t>
    <phoneticPr fontId="1" type="noConversion"/>
  </si>
  <si>
    <t>钻石</t>
    <phoneticPr fontId="1" type="noConversion"/>
  </si>
  <si>
    <t>绿</t>
    <phoneticPr fontId="1" type="noConversion"/>
  </si>
  <si>
    <t>十连抽获得马仔碎片数</t>
    <phoneticPr fontId="1" type="noConversion"/>
  </si>
  <si>
    <t>每天上限，各种暴击次数独立，相互不影响</t>
    <phoneticPr fontId="1" type="noConversion"/>
  </si>
  <si>
    <t>材料ID</t>
    <phoneticPr fontId="1" type="noConversion"/>
  </si>
  <si>
    <t>材料数量</t>
    <phoneticPr fontId="1" type="noConversion"/>
  </si>
  <si>
    <t>期望产出</t>
    <phoneticPr fontId="1" type="noConversion"/>
  </si>
  <si>
    <t>参考值</t>
    <phoneticPr fontId="1" type="noConversion"/>
  </si>
  <si>
    <t>期望产出</t>
    <phoneticPr fontId="1" type="noConversion"/>
  </si>
  <si>
    <t>参考值</t>
    <phoneticPr fontId="1" type="noConversion"/>
  </si>
  <si>
    <t>期望产出</t>
    <phoneticPr fontId="1" type="noConversion"/>
  </si>
  <si>
    <t>参考值</t>
    <phoneticPr fontId="1" type="noConversion"/>
  </si>
  <si>
    <t>产出期望</t>
    <phoneticPr fontId="1" type="noConversion"/>
  </si>
  <si>
    <t>参考值</t>
    <phoneticPr fontId="1" type="noConversion"/>
  </si>
  <si>
    <t>期望产出</t>
    <phoneticPr fontId="1" type="noConversion"/>
  </si>
  <si>
    <t>参考值</t>
    <phoneticPr fontId="1" type="noConversion"/>
  </si>
  <si>
    <t>商店价值</t>
  </si>
  <si>
    <t>金币商店</t>
    <phoneticPr fontId="1" type="noConversion"/>
  </si>
  <si>
    <t>神秘商店</t>
    <phoneticPr fontId="1" type="noConversion"/>
  </si>
  <si>
    <t>钻石商店</t>
    <phoneticPr fontId="1" type="noConversion"/>
  </si>
  <si>
    <t>VIP商店</t>
    <phoneticPr fontId="1" type="noConversion"/>
  </si>
  <si>
    <t>积分商店</t>
    <phoneticPr fontId="1" type="noConversion"/>
  </si>
  <si>
    <t>钻石价值</t>
    <phoneticPr fontId="1" type="noConversion"/>
  </si>
  <si>
    <t>商店总价值</t>
    <phoneticPr fontId="1" type="noConversion"/>
  </si>
  <si>
    <t>钻石价值</t>
    <phoneticPr fontId="1" type="noConversion"/>
  </si>
  <si>
    <t>每物品均价</t>
    <phoneticPr fontId="1" type="noConversion"/>
  </si>
  <si>
    <t>6折后</t>
    <phoneticPr fontId="1" type="noConversion"/>
  </si>
  <si>
    <t>蓝、紫、金</t>
    <phoneticPr fontId="1" type="noConversion"/>
  </si>
  <si>
    <t>期望产出</t>
    <phoneticPr fontId="1" type="noConversion"/>
  </si>
  <si>
    <t>参考值</t>
    <phoneticPr fontId="1" type="noConversion"/>
  </si>
  <si>
    <t>是否保底</t>
    <phoneticPr fontId="1" type="noConversion"/>
  </si>
  <si>
    <t>掉落限制</t>
    <phoneticPr fontId="1" type="noConversion"/>
  </si>
  <si>
    <t>是否唯一</t>
    <phoneticPr fontId="1" type="noConversion"/>
  </si>
  <si>
    <t>钻石价值</t>
  </si>
  <si>
    <t>马仔经验药水</t>
  </si>
  <si>
    <t>马仔经验合剂</t>
  </si>
  <si>
    <t>品质</t>
    <phoneticPr fontId="1" type="noConversion"/>
  </si>
  <si>
    <t>VIP打折</t>
    <phoneticPr fontId="1" type="noConversion"/>
  </si>
  <si>
    <t>需求量</t>
    <phoneticPr fontId="1" type="noConversion"/>
  </si>
  <si>
    <t>需求量</t>
    <phoneticPr fontId="1" type="noConversion"/>
  </si>
  <si>
    <t>钻石价值</t>
    <phoneticPr fontId="1" type="noConversion"/>
  </si>
  <si>
    <t>金券的钻石价值</t>
    <phoneticPr fontId="1" type="noConversion"/>
  </si>
  <si>
    <t>品质</t>
    <phoneticPr fontId="1" type="noConversion"/>
  </si>
  <si>
    <t>钻石十连</t>
    <phoneticPr fontId="1" type="noConversion"/>
  </si>
  <si>
    <t>首抽奖励</t>
    <phoneticPr fontId="1" type="noConversion"/>
  </si>
  <si>
    <t>类型</t>
    <phoneticPr fontId="1" type="noConversion"/>
  </si>
  <si>
    <t>唯一</t>
    <phoneticPr fontId="1" type="noConversion"/>
  </si>
  <si>
    <t>保底</t>
    <phoneticPr fontId="1" type="noConversion"/>
  </si>
  <si>
    <t>幸运值等级</t>
    <phoneticPr fontId="1" type="noConversion"/>
  </si>
  <si>
    <t>升级经验上限</t>
    <phoneticPr fontId="1" type="noConversion"/>
  </si>
  <si>
    <t>升级经验下限</t>
    <phoneticPr fontId="1" type="noConversion"/>
  </si>
  <si>
    <t>升级后的等级</t>
    <phoneticPr fontId="1" type="noConversion"/>
  </si>
  <si>
    <t>单抽概率</t>
    <phoneticPr fontId="1" type="noConversion"/>
  </si>
  <si>
    <t>金豆</t>
    <phoneticPr fontId="1" type="noConversion"/>
  </si>
  <si>
    <t>金豆</t>
    <phoneticPr fontId="1" type="noConversion"/>
  </si>
  <si>
    <t>钻石优惠</t>
    <phoneticPr fontId="1" type="noConversion"/>
  </si>
  <si>
    <t>金豆优惠</t>
    <phoneticPr fontId="1" type="noConversion"/>
  </si>
  <si>
    <t>ID</t>
    <phoneticPr fontId="1" type="noConversion"/>
  </si>
  <si>
    <t>马仔ID</t>
    <phoneticPr fontId="1" type="noConversion"/>
  </si>
  <si>
    <t>马仔名字</t>
    <phoneticPr fontId="1" type="noConversion"/>
  </si>
  <si>
    <t>半身像资源</t>
    <phoneticPr fontId="1" type="noConversion"/>
  </si>
  <si>
    <t>紫云之刃</t>
    <phoneticPr fontId="1" type="noConversion"/>
  </si>
  <si>
    <t>renwu2.png</t>
    <phoneticPr fontId="1" type="noConversion"/>
  </si>
  <si>
    <t>renwu3.png</t>
    <phoneticPr fontId="1" type="noConversion"/>
  </si>
  <si>
    <t>renwu4.png</t>
    <phoneticPr fontId="1" type="noConversion"/>
  </si>
  <si>
    <t>下一ID</t>
    <phoneticPr fontId="1" type="noConversion"/>
  </si>
  <si>
    <t>附加概率</t>
    <phoneticPr fontId="1" type="noConversion"/>
  </si>
  <si>
    <t>公会商店</t>
    <phoneticPr fontId="1" type="noConversion"/>
  </si>
  <si>
    <t>金豆价值</t>
    <phoneticPr fontId="1" type="noConversion"/>
  </si>
  <si>
    <t>金币商城</t>
    <phoneticPr fontId="1" type="noConversion"/>
  </si>
  <si>
    <t>VIP商城</t>
    <phoneticPr fontId="1" type="noConversion"/>
  </si>
  <si>
    <t>神秘商城</t>
    <phoneticPr fontId="1" type="noConversion"/>
  </si>
  <si>
    <t>竞技场商城</t>
    <phoneticPr fontId="1" type="noConversion"/>
  </si>
  <si>
    <t>公会商城</t>
    <phoneticPr fontId="1" type="noConversion"/>
  </si>
  <si>
    <t>金币十连抽</t>
    <phoneticPr fontId="1" type="noConversion"/>
  </si>
  <si>
    <t>钻石十连抽</t>
    <phoneticPr fontId="1" type="noConversion"/>
  </si>
  <si>
    <t>钻石单抽</t>
    <phoneticPr fontId="1" type="noConversion"/>
  </si>
  <si>
    <t>单抽收益</t>
    <phoneticPr fontId="1" type="noConversion"/>
  </si>
  <si>
    <t>第十抽收益</t>
    <phoneticPr fontId="1" type="noConversion"/>
  </si>
  <si>
    <t>总收益</t>
    <phoneticPr fontId="1" type="noConversion"/>
  </si>
  <si>
    <t>平均收益</t>
    <phoneticPr fontId="1" type="noConversion"/>
  </si>
  <si>
    <t>按F9刷新</t>
    <phoneticPr fontId="1" type="noConversion"/>
  </si>
  <si>
    <t>虚高价格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</si>
</sst>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_ "/>
    <numFmt numFmtId="177" formatCode="0.000%"/>
  </numFmts>
  <fonts count="1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0.5"/>
      <color rgb="FF000000"/>
      <name val="Calibri"/>
      <family val="2"/>
    </font>
    <font>
      <sz val="10.5"/>
      <color rgb="FF000000"/>
      <name val="SimSun"/>
      <charset val="134"/>
    </font>
    <font>
      <sz val="11"/>
      <color theme="0"/>
      <name val="宋体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4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53">
    <xf numFmtId="0" fontId="0" fillId="0" borderId="0" xfId="0"/>
    <xf numFmtId="0" fontId="0" fillId="0" borderId="0" xfId="0" applyNumberFormat="1"/>
    <xf numFmtId="0" fontId="5" fillId="3" borderId="0" xfId="2" applyAlignment="1"/>
    <xf numFmtId="0" fontId="4" fillId="2" borderId="0" xfId="1" applyAlignment="1"/>
    <xf numFmtId="0" fontId="0" fillId="0" borderId="1" xfId="0" applyBorder="1"/>
    <xf numFmtId="176" fontId="0" fillId="0" borderId="0" xfId="0" applyNumberFormat="1"/>
    <xf numFmtId="177" fontId="0" fillId="0" borderId="0" xfId="3" applyNumberFormat="1" applyFont="1" applyAlignment="1"/>
    <xf numFmtId="0" fontId="0" fillId="0" borderId="0" xfId="0" applyFill="1" applyBorder="1"/>
    <xf numFmtId="0" fontId="0" fillId="4" borderId="0" xfId="0" applyFill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Fill="1"/>
    <xf numFmtId="0" fontId="0" fillId="0" borderId="0" xfId="3" applyNumberFormat="1" applyFont="1" applyAlignment="1"/>
    <xf numFmtId="0" fontId="0" fillId="0" borderId="0" xfId="3" applyNumberFormat="1" applyFont="1" applyBorder="1" applyAlignment="1"/>
    <xf numFmtId="0" fontId="4" fillId="2" borderId="1" xfId="1" applyBorder="1" applyAlignment="1"/>
    <xf numFmtId="0" fontId="0" fillId="0" borderId="1" xfId="0" applyNumberFormat="1" applyBorder="1"/>
    <xf numFmtId="10" fontId="0" fillId="0" borderId="1" xfId="0" applyNumberFormat="1" applyBorder="1"/>
    <xf numFmtId="0" fontId="0" fillId="5" borderId="0" xfId="0" applyFill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4" borderId="1" xfId="0" applyFill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4" borderId="0" xfId="0" applyFill="1" applyBorder="1"/>
    <xf numFmtId="0" fontId="0" fillId="6" borderId="0" xfId="0" applyFill="1" applyBorder="1"/>
    <xf numFmtId="0" fontId="0" fillId="7" borderId="0" xfId="0" applyFill="1" applyBorder="1"/>
    <xf numFmtId="0" fontId="0" fillId="8" borderId="0" xfId="0" applyFill="1" applyBorder="1"/>
    <xf numFmtId="0" fontId="0" fillId="4" borderId="3" xfId="0" applyFill="1" applyBorder="1"/>
    <xf numFmtId="0" fontId="0" fillId="7" borderId="6" xfId="0" applyFill="1" applyBorder="1"/>
    <xf numFmtId="0" fontId="0" fillId="9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0" fillId="5" borderId="0" xfId="0" applyFill="1" applyBorder="1"/>
    <xf numFmtId="0" fontId="0" fillId="10" borderId="0" xfId="0" applyFill="1" applyBorder="1"/>
    <xf numFmtId="0" fontId="0" fillId="11" borderId="0" xfId="0" applyFill="1"/>
    <xf numFmtId="0" fontId="0" fillId="0" borderId="11" xfId="0" applyFill="1" applyBorder="1" applyAlignment="1">
      <alignment horizontal="center"/>
    </xf>
    <xf numFmtId="0" fontId="0" fillId="12" borderId="0" xfId="0" applyFill="1" applyBorder="1"/>
    <xf numFmtId="0" fontId="0" fillId="13" borderId="0" xfId="0" applyFill="1" applyBorder="1"/>
    <xf numFmtId="0" fontId="0" fillId="13" borderId="0" xfId="0" applyFill="1"/>
    <xf numFmtId="0" fontId="0" fillId="4" borderId="0" xfId="0" applyFill="1" applyAlignment="1">
      <alignment horizontal="center"/>
    </xf>
    <xf numFmtId="0" fontId="9" fillId="4" borderId="0" xfId="0" applyFont="1" applyFill="1"/>
    <xf numFmtId="0" fontId="9" fillId="6" borderId="0" xfId="0" applyFont="1" applyFill="1"/>
    <xf numFmtId="0" fontId="9" fillId="7" borderId="0" xfId="0" applyFont="1" applyFill="1"/>
    <xf numFmtId="0" fontId="9" fillId="10" borderId="0" xfId="0" applyFont="1" applyFill="1"/>
    <xf numFmtId="0" fontId="0" fillId="14" borderId="0" xfId="0" applyFill="1"/>
  </cellXfs>
  <cellStyles count="4">
    <cellStyle name="百分比" xfId="3" builtinId="5"/>
    <cellStyle name="差" xfId="2" builtinId="27"/>
    <cellStyle name="常规" xfId="0" builtinId="0"/>
    <cellStyle name="好" xfId="1" builtinId="26"/>
  </cellStyles>
  <dxfs count="1334"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481;&#33853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26694;&#26550;&#25512;&#31639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9532;&#2018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31454;&#25216;&#22330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44;&#20250;&#34920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35013;&#22791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普通掉落表"/>
      <sheetName val="D_特殊掉落表"/>
      <sheetName val="说明"/>
      <sheetName val="D_奖励表"/>
      <sheetName val="特殊掉落辅助表"/>
      <sheetName val="引用表合并"/>
      <sheetName val="命格引用"/>
      <sheetName val="道具引用"/>
      <sheetName val="装备引用"/>
      <sheetName val="马仔宝物引用"/>
      <sheetName val="马仔引用"/>
      <sheetName val="称号引用"/>
    </sheetNames>
    <sheetDataSet>
      <sheetData sheetId="0"/>
      <sheetData sheetId="1"/>
      <sheetData sheetId="2"/>
      <sheetData sheetId="3"/>
      <sheetData sheetId="4"/>
      <sheetData sheetId="5">
        <row r="2">
          <cell r="A2">
            <v>91001</v>
          </cell>
          <cell r="B2" t="str">
            <v>马仔经验药水</v>
          </cell>
        </row>
        <row r="3">
          <cell r="A3">
            <v>81002</v>
          </cell>
          <cell r="B3" t="str">
            <v>金币卡</v>
          </cell>
        </row>
        <row r="4">
          <cell r="A4">
            <v>81003</v>
          </cell>
          <cell r="B4" t="str">
            <v>VIP礼包</v>
          </cell>
        </row>
        <row r="5">
          <cell r="A5">
            <v>81010</v>
          </cell>
          <cell r="B5" t="str">
            <v>VIP体验卡</v>
          </cell>
        </row>
        <row r="6">
          <cell r="A6">
            <v>82001</v>
          </cell>
          <cell r="B6" t="str">
            <v>翅膀碎片</v>
          </cell>
        </row>
        <row r="7">
          <cell r="A7">
            <v>83001</v>
          </cell>
          <cell r="B7" t="str">
            <v>巨额金币卡</v>
          </cell>
        </row>
        <row r="8">
          <cell r="A8">
            <v>83002</v>
          </cell>
          <cell r="B8" t="str">
            <v>扫荡券</v>
          </cell>
        </row>
        <row r="9">
          <cell r="A9">
            <v>83003</v>
          </cell>
          <cell r="B9" t="str">
            <v>洪兴新星</v>
          </cell>
        </row>
        <row r="10">
          <cell r="A10">
            <v>83004</v>
          </cell>
          <cell r="B10" t="str">
            <v>洪兴打仔</v>
          </cell>
        </row>
        <row r="11">
          <cell r="A11">
            <v>83005</v>
          </cell>
          <cell r="B11" t="str">
            <v>扛把子</v>
          </cell>
        </row>
        <row r="12">
          <cell r="A12">
            <v>83006</v>
          </cell>
          <cell r="B12" t="str">
            <v>二路元帅</v>
          </cell>
        </row>
        <row r="13">
          <cell r="A13">
            <v>83007</v>
          </cell>
          <cell r="B13" t="str">
            <v>战无不胜</v>
          </cell>
        </row>
        <row r="14">
          <cell r="A14">
            <v>83008</v>
          </cell>
          <cell r="B14" t="str">
            <v>猛龙过江</v>
          </cell>
        </row>
        <row r="15">
          <cell r="A15">
            <v>83009</v>
          </cell>
          <cell r="B15" t="str">
            <v>神之手</v>
          </cell>
        </row>
        <row r="16">
          <cell r="A16">
            <v>83010</v>
          </cell>
          <cell r="B16" t="str">
            <v>富甲一方</v>
          </cell>
        </row>
        <row r="17">
          <cell r="A17">
            <v>83011</v>
          </cell>
          <cell r="B17" t="str">
            <v>壕气冲天</v>
          </cell>
        </row>
        <row r="18">
          <cell r="A18">
            <v>83012</v>
          </cell>
          <cell r="B18" t="str">
            <v>富可敌国</v>
          </cell>
        </row>
        <row r="19">
          <cell r="A19">
            <v>83013</v>
          </cell>
          <cell r="B19" t="str">
            <v>壕气冲天</v>
          </cell>
        </row>
        <row r="20">
          <cell r="A20">
            <v>83014</v>
          </cell>
          <cell r="B20" t="str">
            <v>富可敌国</v>
          </cell>
        </row>
        <row r="21">
          <cell r="A21">
            <v>83015</v>
          </cell>
          <cell r="B21" t="str">
            <v>战斗狂人</v>
          </cell>
        </row>
        <row r="22">
          <cell r="A22">
            <v>83016</v>
          </cell>
          <cell r="B22" t="str">
            <v>不哭死神</v>
          </cell>
        </row>
        <row r="23">
          <cell r="A23">
            <v>83017</v>
          </cell>
          <cell r="B23" t="str">
            <v>干架王</v>
          </cell>
        </row>
        <row r="24">
          <cell r="A24">
            <v>83018</v>
          </cell>
          <cell r="B24" t="str">
            <v>破坏王</v>
          </cell>
        </row>
        <row r="25">
          <cell r="A25">
            <v>83019</v>
          </cell>
          <cell r="B25" t="str">
            <v>战无尽</v>
          </cell>
        </row>
        <row r="26">
          <cell r="A26">
            <v>83020</v>
          </cell>
          <cell r="B26" t="str">
            <v>绝世战神</v>
          </cell>
        </row>
        <row r="27">
          <cell r="A27">
            <v>83021</v>
          </cell>
          <cell r="B27" t="str">
            <v>至尊王者</v>
          </cell>
        </row>
        <row r="28">
          <cell r="A28">
            <v>83022</v>
          </cell>
          <cell r="B28" t="str">
            <v>横砍一条街</v>
          </cell>
        </row>
        <row r="29">
          <cell r="A29">
            <v>83023</v>
          </cell>
          <cell r="B29" t="str">
            <v>洪兴小财主</v>
          </cell>
        </row>
        <row r="30">
          <cell r="A30">
            <v>83103</v>
          </cell>
          <cell r="B30" t="str">
            <v>洪兴新星(3天)</v>
          </cell>
        </row>
        <row r="31">
          <cell r="A31">
            <v>83104</v>
          </cell>
          <cell r="B31" t="str">
            <v>洪兴打仔(3天)</v>
          </cell>
        </row>
        <row r="32">
          <cell r="A32">
            <v>83105</v>
          </cell>
          <cell r="B32" t="str">
            <v>扛把子(3天)</v>
          </cell>
        </row>
        <row r="33">
          <cell r="A33">
            <v>83106</v>
          </cell>
          <cell r="B33" t="str">
            <v>二路元帅(3天)</v>
          </cell>
        </row>
        <row r="34">
          <cell r="A34">
            <v>83107</v>
          </cell>
          <cell r="B34" t="str">
            <v>战无不胜(3天)</v>
          </cell>
        </row>
        <row r="35">
          <cell r="A35">
            <v>83108</v>
          </cell>
          <cell r="B35" t="str">
            <v>猛龙过江(3天)</v>
          </cell>
        </row>
        <row r="36">
          <cell r="A36">
            <v>83109</v>
          </cell>
          <cell r="B36" t="str">
            <v>神之手(3天)</v>
          </cell>
        </row>
        <row r="37">
          <cell r="A37">
            <v>83110</v>
          </cell>
          <cell r="B37" t="str">
            <v>富甲一方(3天)</v>
          </cell>
        </row>
        <row r="38">
          <cell r="A38">
            <v>83111</v>
          </cell>
          <cell r="B38" t="str">
            <v>壕气冲天(3天)</v>
          </cell>
        </row>
        <row r="39">
          <cell r="A39">
            <v>83112</v>
          </cell>
          <cell r="B39" t="str">
            <v>富可敌国(3天)</v>
          </cell>
        </row>
        <row r="40">
          <cell r="A40">
            <v>83113</v>
          </cell>
          <cell r="B40" t="str">
            <v>壕气冲天(3天)</v>
          </cell>
        </row>
        <row r="41">
          <cell r="A41">
            <v>83114</v>
          </cell>
          <cell r="B41" t="str">
            <v>富可敌国(3天)</v>
          </cell>
        </row>
        <row r="42">
          <cell r="A42">
            <v>83115</v>
          </cell>
          <cell r="B42" t="str">
            <v>战斗狂人(3天)</v>
          </cell>
        </row>
        <row r="43">
          <cell r="A43">
            <v>83116</v>
          </cell>
          <cell r="B43" t="str">
            <v>不哭死神(3天)</v>
          </cell>
        </row>
        <row r="44">
          <cell r="A44">
            <v>83117</v>
          </cell>
          <cell r="B44" t="str">
            <v>干架王(3天)</v>
          </cell>
        </row>
        <row r="45">
          <cell r="A45">
            <v>83118</v>
          </cell>
          <cell r="B45" t="str">
            <v>破坏王(3天)</v>
          </cell>
        </row>
        <row r="46">
          <cell r="A46">
            <v>83119</v>
          </cell>
          <cell r="B46" t="str">
            <v>战无尽(3天)</v>
          </cell>
        </row>
        <row r="47">
          <cell r="A47">
            <v>83120</v>
          </cell>
          <cell r="B47" t="str">
            <v>绝世战神(3天)</v>
          </cell>
        </row>
        <row r="48">
          <cell r="A48">
            <v>83121</v>
          </cell>
          <cell r="B48" t="str">
            <v>至尊王者(3天)</v>
          </cell>
        </row>
        <row r="49">
          <cell r="A49">
            <v>83122</v>
          </cell>
          <cell r="B49" t="str">
            <v>横砍一条街(3天)</v>
          </cell>
        </row>
        <row r="50">
          <cell r="A50">
            <v>78101</v>
          </cell>
          <cell r="B50" t="str">
            <v>马仔碎片(制服太妹)</v>
          </cell>
        </row>
        <row r="51">
          <cell r="A51">
            <v>78102</v>
          </cell>
          <cell r="B51" t="str">
            <v>马仔碎片(蟹仔)</v>
          </cell>
        </row>
        <row r="52">
          <cell r="A52">
            <v>78103</v>
          </cell>
          <cell r="B52" t="str">
            <v>马仔碎片(比利)</v>
          </cell>
        </row>
        <row r="53">
          <cell r="A53">
            <v>78104</v>
          </cell>
          <cell r="B53" t="str">
            <v>马仔碎片(黎九)</v>
          </cell>
        </row>
        <row r="54">
          <cell r="A54">
            <v>78105</v>
          </cell>
          <cell r="B54" t="str">
            <v>马仔碎片(黑古)</v>
          </cell>
        </row>
        <row r="55">
          <cell r="A55">
            <v>78106</v>
          </cell>
          <cell r="B55" t="str">
            <v>马仔碎片(靓坤)</v>
          </cell>
        </row>
        <row r="56">
          <cell r="A56">
            <v>78107</v>
          </cell>
          <cell r="B56" t="str">
            <v>马仔碎片(雷复轰)</v>
          </cell>
        </row>
        <row r="57">
          <cell r="A57">
            <v>78108</v>
          </cell>
          <cell r="B57" t="str">
            <v>马仔碎片(肥仔)</v>
          </cell>
        </row>
        <row r="58">
          <cell r="A58">
            <v>78109</v>
          </cell>
          <cell r="B58" t="str">
            <v>马仔碎片(司徒浩南)</v>
          </cell>
        </row>
        <row r="59">
          <cell r="A59">
            <v>78110</v>
          </cell>
          <cell r="B59" t="str">
            <v>马仔碎片(乌鸦)</v>
          </cell>
        </row>
        <row r="60">
          <cell r="A60">
            <v>78111</v>
          </cell>
          <cell r="B60" t="str">
            <v>马仔碎片(赌王)</v>
          </cell>
        </row>
        <row r="61">
          <cell r="A61">
            <v>78112</v>
          </cell>
          <cell r="B61" t="str">
            <v>马仔碎片(山下忠秀)</v>
          </cell>
        </row>
        <row r="62">
          <cell r="A62">
            <v>78113</v>
          </cell>
          <cell r="B62" t="str">
            <v>马仔碎片(宫本一)</v>
          </cell>
        </row>
        <row r="63">
          <cell r="A63">
            <v>78114</v>
          </cell>
          <cell r="B63" t="str">
            <v>马仔碎片(陈浩南)</v>
          </cell>
        </row>
        <row r="64">
          <cell r="A64">
            <v>78115</v>
          </cell>
          <cell r="B64" t="str">
            <v>马仔碎片(山鸡)</v>
          </cell>
        </row>
        <row r="65">
          <cell r="A65">
            <v>78116</v>
          </cell>
          <cell r="B65" t="str">
            <v>马仔碎片(大天二)</v>
          </cell>
        </row>
        <row r="66">
          <cell r="A66">
            <v>78117</v>
          </cell>
          <cell r="B66" t="str">
            <v>马仔碎片(巴闭)</v>
          </cell>
        </row>
        <row r="67">
          <cell r="A67">
            <v>78118</v>
          </cell>
          <cell r="B67" t="str">
            <v>马仔碎片(耀阳)</v>
          </cell>
        </row>
        <row r="68">
          <cell r="A68">
            <v>78119</v>
          </cell>
          <cell r="B68" t="str">
            <v>马仔碎片(笑面虎)</v>
          </cell>
        </row>
        <row r="69">
          <cell r="A69">
            <v>70001</v>
          </cell>
          <cell r="B69" t="str">
            <v>低级强化石</v>
          </cell>
        </row>
        <row r="70">
          <cell r="A70">
            <v>70002</v>
          </cell>
          <cell r="B70" t="str">
            <v>中级强化石</v>
          </cell>
        </row>
        <row r="71">
          <cell r="A71">
            <v>70003</v>
          </cell>
          <cell r="B71" t="str">
            <v>高级强化石</v>
          </cell>
        </row>
        <row r="72">
          <cell r="A72">
            <v>70101</v>
          </cell>
          <cell r="B72" t="str">
            <v>初级升星石</v>
          </cell>
        </row>
        <row r="73">
          <cell r="A73">
            <v>70201</v>
          </cell>
          <cell r="B73" t="str">
            <v>中级升星石</v>
          </cell>
        </row>
        <row r="74">
          <cell r="A74">
            <v>70301</v>
          </cell>
          <cell r="B74" t="str">
            <v>高级升星石</v>
          </cell>
        </row>
        <row r="75">
          <cell r="A75">
            <v>70401</v>
          </cell>
          <cell r="B75" t="str">
            <v>4阶升星石(不用）</v>
          </cell>
        </row>
        <row r="76">
          <cell r="A76">
            <v>70501</v>
          </cell>
          <cell r="B76" t="str">
            <v>5阶升星石（不用）</v>
          </cell>
        </row>
        <row r="77">
          <cell r="A77">
            <v>82100</v>
          </cell>
          <cell r="B77" t="str">
            <v>金币卡(1万)</v>
          </cell>
        </row>
        <row r="78">
          <cell r="A78">
            <v>82200</v>
          </cell>
          <cell r="B78" t="str">
            <v>金币卡(2万)</v>
          </cell>
        </row>
        <row r="79">
          <cell r="A79">
            <v>82300</v>
          </cell>
          <cell r="B79" t="str">
            <v>金币卡(5万)</v>
          </cell>
        </row>
        <row r="80">
          <cell r="A80">
            <v>91100</v>
          </cell>
          <cell r="B80" t="str">
            <v>马仔经验药水</v>
          </cell>
        </row>
        <row r="81">
          <cell r="A81">
            <v>91200</v>
          </cell>
          <cell r="B81" t="str">
            <v>马仔经验合剂</v>
          </cell>
        </row>
        <row r="82">
          <cell r="A82">
            <v>91300</v>
          </cell>
          <cell r="B82" t="str">
            <v>马仔经验甘露</v>
          </cell>
        </row>
        <row r="83">
          <cell r="A83">
            <v>87100</v>
          </cell>
          <cell r="B83" t="str">
            <v>钻石兑换卡(100)</v>
          </cell>
        </row>
        <row r="84">
          <cell r="A84">
            <v>87200</v>
          </cell>
          <cell r="B84" t="str">
            <v>钻石兑换卡(500)</v>
          </cell>
        </row>
        <row r="85">
          <cell r="A85">
            <v>87400</v>
          </cell>
          <cell r="B85" t="str">
            <v>钻石兑换卡(1000)</v>
          </cell>
        </row>
        <row r="86">
          <cell r="A86">
            <v>89100</v>
          </cell>
          <cell r="B86" t="str">
            <v>初级体力药水</v>
          </cell>
        </row>
        <row r="87">
          <cell r="A87">
            <v>89200</v>
          </cell>
          <cell r="B87" t="str">
            <v>中级体力药水</v>
          </cell>
        </row>
        <row r="88">
          <cell r="A88">
            <v>89300</v>
          </cell>
          <cell r="B88" t="str">
            <v>高级体力药水</v>
          </cell>
        </row>
        <row r="89">
          <cell r="A89">
            <v>83100</v>
          </cell>
          <cell r="B89" t="str">
            <v>成长礼包</v>
          </cell>
        </row>
        <row r="90">
          <cell r="A90">
            <v>70010</v>
          </cell>
          <cell r="B90" t="str">
            <v>部位材料(武器)</v>
          </cell>
        </row>
        <row r="91">
          <cell r="A91">
            <v>71010</v>
          </cell>
          <cell r="B91" t="str">
            <v>部位材料(衣服)</v>
          </cell>
        </row>
        <row r="92">
          <cell r="A92">
            <v>72010</v>
          </cell>
          <cell r="B92" t="str">
            <v>部位材料(裤子)</v>
          </cell>
        </row>
        <row r="93">
          <cell r="A93">
            <v>73010</v>
          </cell>
          <cell r="B93" t="str">
            <v>部位材料(项链)</v>
          </cell>
        </row>
        <row r="94">
          <cell r="A94">
            <v>74010</v>
          </cell>
          <cell r="B94" t="str">
            <v>部位材料(腰带)</v>
          </cell>
        </row>
        <row r="95">
          <cell r="A95">
            <v>75010</v>
          </cell>
          <cell r="B95" t="str">
            <v>部位材料(鞋子)</v>
          </cell>
        </row>
        <row r="96">
          <cell r="A96">
            <v>80110</v>
          </cell>
          <cell r="B96" t="str">
            <v>龙魂币(500)</v>
          </cell>
        </row>
        <row r="97">
          <cell r="A97">
            <v>80210</v>
          </cell>
          <cell r="B97" t="str">
            <v>龙魂币(1000)</v>
          </cell>
        </row>
        <row r="98">
          <cell r="A98">
            <v>80310</v>
          </cell>
          <cell r="B98" t="str">
            <v>龙魂币(2000)</v>
          </cell>
        </row>
        <row r="99">
          <cell r="A99">
            <v>80410</v>
          </cell>
          <cell r="B99" t="str">
            <v>命运石(5000)</v>
          </cell>
        </row>
        <row r="100">
          <cell r="A100">
            <v>80510</v>
          </cell>
          <cell r="B100" t="str">
            <v>命运石(1万)</v>
          </cell>
        </row>
        <row r="101">
          <cell r="A101">
            <v>80610</v>
          </cell>
          <cell r="B101" t="str">
            <v>命运石(2万)</v>
          </cell>
        </row>
        <row r="102">
          <cell r="A102">
            <v>87300</v>
          </cell>
          <cell r="B102" t="str">
            <v>钻石</v>
          </cell>
        </row>
        <row r="103">
          <cell r="A103">
            <v>83300</v>
          </cell>
          <cell r="B103" t="str">
            <v>金币</v>
          </cell>
        </row>
        <row r="104">
          <cell r="A104">
            <v>83301</v>
          </cell>
          <cell r="B104" t="str">
            <v>龙魂币</v>
          </cell>
        </row>
        <row r="105">
          <cell r="A105">
            <v>83302</v>
          </cell>
          <cell r="B105" t="str">
            <v>命运石</v>
          </cell>
        </row>
        <row r="106">
          <cell r="A106">
            <v>83303</v>
          </cell>
          <cell r="B106" t="str">
            <v>擂台币</v>
          </cell>
        </row>
        <row r="107">
          <cell r="A107">
            <v>89101</v>
          </cell>
          <cell r="B107" t="str">
            <v>双倍经验卡（1天）</v>
          </cell>
        </row>
        <row r="108">
          <cell r="A108">
            <v>89102</v>
          </cell>
          <cell r="B108" t="str">
            <v>双倍经验卡（2天）</v>
          </cell>
        </row>
        <row r="109">
          <cell r="A109">
            <v>89106</v>
          </cell>
          <cell r="B109" t="str">
            <v>vip经验卡</v>
          </cell>
        </row>
        <row r="110">
          <cell r="A110">
            <v>89107</v>
          </cell>
          <cell r="B110" t="str">
            <v>技能升级石</v>
          </cell>
        </row>
        <row r="111">
          <cell r="A111">
            <v>89108</v>
          </cell>
          <cell r="B111" t="str">
            <v>蓝色装备碎片（无用）</v>
          </cell>
        </row>
        <row r="112">
          <cell r="A112">
            <v>89109</v>
          </cell>
          <cell r="B112" t="str">
            <v>紫色装备碎片（无用）</v>
          </cell>
        </row>
        <row r="113">
          <cell r="A113">
            <v>89110</v>
          </cell>
          <cell r="B113" t="str">
            <v>橙色装备碎片（无用）</v>
          </cell>
        </row>
        <row r="114">
          <cell r="A114">
            <v>89111</v>
          </cell>
          <cell r="B114" t="str">
            <v>技能冷却石</v>
          </cell>
        </row>
        <row r="115">
          <cell r="A115">
            <v>83304</v>
          </cell>
          <cell r="B115" t="str">
            <v>寻宝券</v>
          </cell>
        </row>
        <row r="116">
          <cell r="A116">
            <v>85200</v>
          </cell>
          <cell r="B116" t="str">
            <v>高级装备升级石</v>
          </cell>
        </row>
        <row r="117">
          <cell r="A117">
            <v>85300</v>
          </cell>
          <cell r="B117" t="str">
            <v>稀有装备升级石</v>
          </cell>
        </row>
        <row r="118">
          <cell r="A118">
            <v>85400</v>
          </cell>
          <cell r="B118" t="str">
            <v>史诗装备升级石</v>
          </cell>
        </row>
        <row r="119">
          <cell r="A119">
            <v>85500</v>
          </cell>
          <cell r="B119" t="str">
            <v>传说装备升级石</v>
          </cell>
        </row>
        <row r="120">
          <cell r="A120">
            <v>86001</v>
          </cell>
          <cell r="B120" t="str">
            <v>马仔追债宝箱</v>
          </cell>
        </row>
        <row r="121">
          <cell r="A121">
            <v>86002</v>
          </cell>
          <cell r="B121" t="str">
            <v>马仔追债宝箱</v>
          </cell>
        </row>
        <row r="122">
          <cell r="A122">
            <v>86003</v>
          </cell>
          <cell r="B122" t="str">
            <v>马仔追债宝箱</v>
          </cell>
        </row>
        <row r="123">
          <cell r="A123">
            <v>86004</v>
          </cell>
          <cell r="B123" t="str">
            <v>马仔追债宝箱</v>
          </cell>
        </row>
        <row r="124">
          <cell r="A124">
            <v>86005</v>
          </cell>
          <cell r="B124" t="str">
            <v>马仔追债宝箱</v>
          </cell>
        </row>
        <row r="125">
          <cell r="A125">
            <v>86110</v>
          </cell>
          <cell r="B125" t="str">
            <v>马仔宝物礼包</v>
          </cell>
        </row>
        <row r="126">
          <cell r="A126">
            <v>86120</v>
          </cell>
          <cell r="B126" t="str">
            <v>马仔宝物礼包</v>
          </cell>
        </row>
        <row r="127">
          <cell r="A127">
            <v>86130</v>
          </cell>
          <cell r="B127" t="str">
            <v>马仔宝物礼包</v>
          </cell>
        </row>
        <row r="128">
          <cell r="A128">
            <v>86140</v>
          </cell>
          <cell r="B128" t="str">
            <v>马仔宝物礼包</v>
          </cell>
        </row>
        <row r="129">
          <cell r="A129">
            <v>86150</v>
          </cell>
          <cell r="B129" t="str">
            <v>马仔宝物礼包</v>
          </cell>
        </row>
        <row r="130">
          <cell r="A130">
            <v>83305</v>
          </cell>
          <cell r="B130" t="str">
            <v>金豆</v>
          </cell>
        </row>
        <row r="131">
          <cell r="A131">
            <v>83306</v>
          </cell>
          <cell r="B131" t="str">
            <v>单次扫荡特权</v>
          </cell>
        </row>
        <row r="132">
          <cell r="A132">
            <v>83307</v>
          </cell>
          <cell r="B132" t="str">
            <v>多次扫荡特权</v>
          </cell>
        </row>
        <row r="133">
          <cell r="A133">
            <v>83308</v>
          </cell>
          <cell r="B133" t="str">
            <v>扫荡特权</v>
          </cell>
        </row>
        <row r="134">
          <cell r="A134">
            <v>86010</v>
          </cell>
          <cell r="B134" t="str">
            <v>部位材料宝箱</v>
          </cell>
        </row>
        <row r="135">
          <cell r="A135">
            <v>86021</v>
          </cell>
          <cell r="B135" t="str">
            <v>紫色装备礼包</v>
          </cell>
        </row>
        <row r="136">
          <cell r="A136">
            <v>86022</v>
          </cell>
          <cell r="B136" t="str">
            <v>橙色装备礼包</v>
          </cell>
        </row>
        <row r="137">
          <cell r="A137">
            <v>86023</v>
          </cell>
          <cell r="B137" t="str">
            <v>红色装备礼包</v>
          </cell>
        </row>
        <row r="138">
          <cell r="A138">
            <v>78214</v>
          </cell>
          <cell r="B138" t="str">
            <v>限时碎片(陈浩南)</v>
          </cell>
        </row>
        <row r="139">
          <cell r="A139">
            <v>78215</v>
          </cell>
          <cell r="B139" t="str">
            <v>限时碎片(山鸡)</v>
          </cell>
        </row>
        <row r="140">
          <cell r="A140">
            <v>78216</v>
          </cell>
          <cell r="B140" t="str">
            <v>限时碎片(大天二)</v>
          </cell>
        </row>
        <row r="141">
          <cell r="A141">
            <v>83309</v>
          </cell>
          <cell r="B141" t="str">
            <v>堂口贡献</v>
          </cell>
        </row>
        <row r="142">
          <cell r="A142">
            <v>86121</v>
          </cell>
          <cell r="B142" t="str">
            <v>马仔宝物碎片礼包</v>
          </cell>
        </row>
        <row r="143">
          <cell r="A143">
            <v>86131</v>
          </cell>
          <cell r="B143" t="str">
            <v>马仔宝物碎片礼包</v>
          </cell>
        </row>
        <row r="144">
          <cell r="A144">
            <v>86141</v>
          </cell>
          <cell r="B144" t="str">
            <v>马仔宝物碎片礼包</v>
          </cell>
        </row>
        <row r="145">
          <cell r="A145">
            <v>86151</v>
          </cell>
          <cell r="B145" t="str">
            <v>马仔宝物碎片礼包</v>
          </cell>
        </row>
        <row r="146">
          <cell r="A146">
            <v>86210</v>
          </cell>
          <cell r="B146" t="str">
            <v>命格福袋</v>
          </cell>
        </row>
        <row r="147">
          <cell r="A147">
            <v>86220</v>
          </cell>
          <cell r="B147" t="str">
            <v>命格福袋</v>
          </cell>
        </row>
        <row r="148">
          <cell r="A148">
            <v>86230</v>
          </cell>
          <cell r="B148" t="str">
            <v>命格福袋</v>
          </cell>
        </row>
        <row r="149">
          <cell r="A149">
            <v>86240</v>
          </cell>
          <cell r="B149" t="str">
            <v>命格福袋</v>
          </cell>
        </row>
        <row r="150">
          <cell r="A150">
            <v>86250</v>
          </cell>
          <cell r="B150" t="str">
            <v>命格福袋</v>
          </cell>
        </row>
        <row r="151">
          <cell r="A151">
            <v>86310</v>
          </cell>
          <cell r="B151" t="str">
            <v>马仔碎片福袋</v>
          </cell>
        </row>
        <row r="152">
          <cell r="A152">
            <v>86320</v>
          </cell>
          <cell r="B152" t="str">
            <v>马仔碎片福袋</v>
          </cell>
        </row>
        <row r="153">
          <cell r="A153">
            <v>86330</v>
          </cell>
          <cell r="B153" t="str">
            <v>马仔碎片福袋</v>
          </cell>
        </row>
        <row r="154">
          <cell r="A154">
            <v>86340</v>
          </cell>
          <cell r="B154" t="str">
            <v>马仔碎片福袋</v>
          </cell>
        </row>
        <row r="155">
          <cell r="A155">
            <v>86350</v>
          </cell>
          <cell r="B155" t="str">
            <v>马仔碎片福袋</v>
          </cell>
        </row>
        <row r="156">
          <cell r="A156">
            <v>86400</v>
          </cell>
          <cell r="B156" t="str">
            <v>装备升星石福袋</v>
          </cell>
        </row>
        <row r="157">
          <cell r="A157">
            <v>91400</v>
          </cell>
          <cell r="B157" t="str">
            <v>马仔经验圣水</v>
          </cell>
        </row>
        <row r="158">
          <cell r="A158">
            <v>10001</v>
          </cell>
          <cell r="B158" t="str">
            <v>新手之剑</v>
          </cell>
        </row>
        <row r="159">
          <cell r="A159">
            <v>20001</v>
          </cell>
          <cell r="B159" t="str">
            <v>新手之拳</v>
          </cell>
        </row>
        <row r="160">
          <cell r="A160">
            <v>30001</v>
          </cell>
          <cell r="B160" t="str">
            <v>新手之枪</v>
          </cell>
        </row>
        <row r="161">
          <cell r="A161">
            <v>10002</v>
          </cell>
          <cell r="B161" t="str">
            <v>染血之剑</v>
          </cell>
        </row>
        <row r="162">
          <cell r="A162">
            <v>20002</v>
          </cell>
          <cell r="B162" t="str">
            <v>染血之拳</v>
          </cell>
        </row>
        <row r="163">
          <cell r="A163">
            <v>30002</v>
          </cell>
          <cell r="B163" t="str">
            <v>染血之枪</v>
          </cell>
        </row>
        <row r="164">
          <cell r="A164">
            <v>51002</v>
          </cell>
          <cell r="B164" t="str">
            <v>染血战衣</v>
          </cell>
        </row>
        <row r="165">
          <cell r="A165">
            <v>52002</v>
          </cell>
          <cell r="B165" t="str">
            <v>染血长裤</v>
          </cell>
        </row>
        <row r="166">
          <cell r="A166">
            <v>55002</v>
          </cell>
          <cell r="B166" t="str">
            <v>染血长靴</v>
          </cell>
        </row>
        <row r="167">
          <cell r="A167">
            <v>54002</v>
          </cell>
          <cell r="B167" t="str">
            <v>染血腰带</v>
          </cell>
        </row>
        <row r="168">
          <cell r="A168">
            <v>53002</v>
          </cell>
          <cell r="B168" t="str">
            <v>染血项链</v>
          </cell>
        </row>
        <row r="169">
          <cell r="A169">
            <v>10103</v>
          </cell>
          <cell r="B169" t="str">
            <v>狂气之剑</v>
          </cell>
        </row>
        <row r="170">
          <cell r="A170">
            <v>20103</v>
          </cell>
          <cell r="B170" t="str">
            <v>狂气之拳</v>
          </cell>
        </row>
        <row r="171">
          <cell r="A171">
            <v>30103</v>
          </cell>
          <cell r="B171" t="str">
            <v>狂气之枪</v>
          </cell>
        </row>
        <row r="172">
          <cell r="A172">
            <v>51103</v>
          </cell>
          <cell r="B172" t="str">
            <v>狂气战衣</v>
          </cell>
        </row>
        <row r="173">
          <cell r="A173">
            <v>52103</v>
          </cell>
          <cell r="B173" t="str">
            <v>狂气长裤</v>
          </cell>
        </row>
        <row r="174">
          <cell r="A174">
            <v>55103</v>
          </cell>
          <cell r="B174" t="str">
            <v>狂气长靴</v>
          </cell>
        </row>
        <row r="175">
          <cell r="A175">
            <v>54103</v>
          </cell>
          <cell r="B175" t="str">
            <v>狂气腰带</v>
          </cell>
        </row>
        <row r="176">
          <cell r="A176">
            <v>53103</v>
          </cell>
          <cell r="B176" t="str">
            <v>狂气项链</v>
          </cell>
        </row>
        <row r="177">
          <cell r="A177">
            <v>10104</v>
          </cell>
          <cell r="B177" t="str">
            <v>野性之剑</v>
          </cell>
        </row>
        <row r="178">
          <cell r="A178">
            <v>20104</v>
          </cell>
          <cell r="B178" t="str">
            <v>野性之拳</v>
          </cell>
        </row>
        <row r="179">
          <cell r="A179">
            <v>30104</v>
          </cell>
          <cell r="B179" t="str">
            <v>野性之枪</v>
          </cell>
        </row>
        <row r="180">
          <cell r="A180">
            <v>51104</v>
          </cell>
          <cell r="B180" t="str">
            <v>野性战衣</v>
          </cell>
        </row>
        <row r="181">
          <cell r="A181">
            <v>52104</v>
          </cell>
          <cell r="B181" t="str">
            <v>野性长裤</v>
          </cell>
        </row>
        <row r="182">
          <cell r="A182">
            <v>55104</v>
          </cell>
          <cell r="B182" t="str">
            <v>野性长靴</v>
          </cell>
        </row>
        <row r="183">
          <cell r="A183">
            <v>54104</v>
          </cell>
          <cell r="B183" t="str">
            <v>野性腰带</v>
          </cell>
        </row>
        <row r="184">
          <cell r="A184">
            <v>53104</v>
          </cell>
          <cell r="B184" t="str">
            <v>野性项链</v>
          </cell>
        </row>
        <row r="185">
          <cell r="A185">
            <v>10205</v>
          </cell>
          <cell r="B185" t="str">
            <v>紫云之剑</v>
          </cell>
        </row>
        <row r="186">
          <cell r="A186">
            <v>20205</v>
          </cell>
          <cell r="B186" t="str">
            <v>紫云之拳</v>
          </cell>
        </row>
        <row r="187">
          <cell r="A187">
            <v>30205</v>
          </cell>
          <cell r="B187" t="str">
            <v>紫云之枪</v>
          </cell>
        </row>
        <row r="188">
          <cell r="A188">
            <v>51205</v>
          </cell>
          <cell r="B188" t="str">
            <v>紫云战衣</v>
          </cell>
        </row>
        <row r="189">
          <cell r="A189">
            <v>52205</v>
          </cell>
          <cell r="B189" t="str">
            <v>紫云长裤</v>
          </cell>
        </row>
        <row r="190">
          <cell r="A190">
            <v>55205</v>
          </cell>
          <cell r="B190" t="str">
            <v>紫云长靴</v>
          </cell>
        </row>
        <row r="191">
          <cell r="A191">
            <v>54205</v>
          </cell>
          <cell r="B191" t="str">
            <v>紫云腰带</v>
          </cell>
        </row>
        <row r="192">
          <cell r="A192">
            <v>53205</v>
          </cell>
          <cell r="B192" t="str">
            <v>紫云项链</v>
          </cell>
        </row>
        <row r="193">
          <cell r="A193">
            <v>10306</v>
          </cell>
          <cell r="B193" t="str">
            <v>鎏金之剑</v>
          </cell>
        </row>
        <row r="194">
          <cell r="A194">
            <v>20306</v>
          </cell>
          <cell r="B194" t="str">
            <v>鎏金之拳</v>
          </cell>
        </row>
        <row r="195">
          <cell r="A195">
            <v>30306</v>
          </cell>
          <cell r="B195" t="str">
            <v>鎏金之枪</v>
          </cell>
        </row>
        <row r="196">
          <cell r="A196">
            <v>51306</v>
          </cell>
          <cell r="B196" t="str">
            <v>鎏金战衣</v>
          </cell>
        </row>
        <row r="197">
          <cell r="A197">
            <v>52306</v>
          </cell>
          <cell r="B197" t="str">
            <v>鎏金长裤</v>
          </cell>
        </row>
        <row r="198">
          <cell r="A198">
            <v>55306</v>
          </cell>
          <cell r="B198" t="str">
            <v>鎏金长靴</v>
          </cell>
        </row>
        <row r="199">
          <cell r="A199">
            <v>54306</v>
          </cell>
          <cell r="B199" t="str">
            <v>鎏金腰带</v>
          </cell>
        </row>
        <row r="200">
          <cell r="A200">
            <v>53306</v>
          </cell>
          <cell r="B200" t="str">
            <v>鎏金项链</v>
          </cell>
        </row>
        <row r="201">
          <cell r="A201">
            <v>10407</v>
          </cell>
          <cell r="B201" t="str">
            <v>虹光之剑</v>
          </cell>
        </row>
        <row r="202">
          <cell r="A202">
            <v>20407</v>
          </cell>
          <cell r="B202" t="str">
            <v>虹光之拳</v>
          </cell>
        </row>
        <row r="203">
          <cell r="A203">
            <v>30407</v>
          </cell>
          <cell r="B203" t="str">
            <v>虹光之枪</v>
          </cell>
        </row>
        <row r="204">
          <cell r="A204">
            <v>51407</v>
          </cell>
          <cell r="B204" t="str">
            <v>虹光战衣</v>
          </cell>
        </row>
        <row r="205">
          <cell r="A205">
            <v>52407</v>
          </cell>
          <cell r="B205" t="str">
            <v>虹光长裤</v>
          </cell>
        </row>
        <row r="206">
          <cell r="A206">
            <v>55407</v>
          </cell>
          <cell r="B206" t="str">
            <v>虹光长靴</v>
          </cell>
        </row>
        <row r="207">
          <cell r="A207">
            <v>54407</v>
          </cell>
          <cell r="B207" t="str">
            <v>虹光腰带</v>
          </cell>
        </row>
        <row r="208">
          <cell r="A208">
            <v>53407</v>
          </cell>
          <cell r="B208" t="str">
            <v>虹光项链</v>
          </cell>
        </row>
        <row r="209">
          <cell r="A209">
            <v>10108</v>
          </cell>
          <cell r="B209" t="str">
            <v>碧蓝之剑</v>
          </cell>
        </row>
        <row r="210">
          <cell r="A210">
            <v>20108</v>
          </cell>
          <cell r="B210" t="str">
            <v>碧蓝之拳</v>
          </cell>
        </row>
        <row r="211">
          <cell r="A211">
            <v>30108</v>
          </cell>
          <cell r="B211" t="str">
            <v>碧蓝之枪</v>
          </cell>
        </row>
        <row r="212">
          <cell r="A212">
            <v>51108</v>
          </cell>
          <cell r="B212" t="str">
            <v>碧蓝战衣</v>
          </cell>
        </row>
        <row r="213">
          <cell r="A213">
            <v>52108</v>
          </cell>
          <cell r="B213" t="str">
            <v>碧蓝长裤</v>
          </cell>
        </row>
        <row r="214">
          <cell r="A214">
            <v>55108</v>
          </cell>
          <cell r="B214" t="str">
            <v>碧蓝长靴</v>
          </cell>
        </row>
        <row r="215">
          <cell r="A215">
            <v>54108</v>
          </cell>
          <cell r="B215" t="str">
            <v>碧蓝腰带</v>
          </cell>
        </row>
        <row r="216">
          <cell r="A216">
            <v>53108</v>
          </cell>
          <cell r="B216" t="str">
            <v>碧蓝项链</v>
          </cell>
        </row>
        <row r="217">
          <cell r="A217">
            <v>10209</v>
          </cell>
          <cell r="B217" t="str">
            <v>斩魄之刃</v>
          </cell>
        </row>
        <row r="218">
          <cell r="A218">
            <v>20209</v>
          </cell>
          <cell r="B218" t="str">
            <v>流光之拳</v>
          </cell>
        </row>
        <row r="219">
          <cell r="A219">
            <v>30209</v>
          </cell>
          <cell r="B219" t="str">
            <v>玫瑰骑士</v>
          </cell>
        </row>
        <row r="220">
          <cell r="A220">
            <v>51209</v>
          </cell>
          <cell r="B220" t="str">
            <v>黑鸦战衣</v>
          </cell>
        </row>
        <row r="221">
          <cell r="A221">
            <v>52209</v>
          </cell>
          <cell r="B221" t="str">
            <v>黑鸦长裤</v>
          </cell>
        </row>
        <row r="222">
          <cell r="A222">
            <v>55209</v>
          </cell>
          <cell r="B222" t="str">
            <v>黑鸦长靴</v>
          </cell>
        </row>
        <row r="223">
          <cell r="A223">
            <v>54209</v>
          </cell>
          <cell r="B223" t="str">
            <v>黑鸦腰带</v>
          </cell>
        </row>
        <row r="224">
          <cell r="A224">
            <v>53209</v>
          </cell>
          <cell r="B224" t="str">
            <v>黑鸦项链</v>
          </cell>
        </row>
        <row r="225">
          <cell r="A225">
            <v>10310</v>
          </cell>
          <cell r="B225" t="str">
            <v>爵士之刃</v>
          </cell>
        </row>
        <row r="226">
          <cell r="A226">
            <v>20310</v>
          </cell>
          <cell r="B226" t="str">
            <v>爵士之拳</v>
          </cell>
        </row>
        <row r="227">
          <cell r="A227">
            <v>30310</v>
          </cell>
          <cell r="B227" t="str">
            <v>爵士之枪</v>
          </cell>
        </row>
        <row r="228">
          <cell r="A228">
            <v>51310</v>
          </cell>
          <cell r="B228" t="str">
            <v>爵士战衣</v>
          </cell>
        </row>
        <row r="229">
          <cell r="A229">
            <v>52310</v>
          </cell>
          <cell r="B229" t="str">
            <v>爵士长裤</v>
          </cell>
        </row>
        <row r="230">
          <cell r="A230">
            <v>55310</v>
          </cell>
          <cell r="B230" t="str">
            <v>爵士长靴</v>
          </cell>
        </row>
        <row r="231">
          <cell r="A231">
            <v>54310</v>
          </cell>
          <cell r="B231" t="str">
            <v>爵士腰带</v>
          </cell>
        </row>
        <row r="232">
          <cell r="A232">
            <v>53310</v>
          </cell>
          <cell r="B232" t="str">
            <v>爵士项链</v>
          </cell>
        </row>
        <row r="233">
          <cell r="A233">
            <v>10411</v>
          </cell>
          <cell r="B233" t="str">
            <v>暴血之刃</v>
          </cell>
        </row>
        <row r="234">
          <cell r="A234">
            <v>20411</v>
          </cell>
          <cell r="B234" t="str">
            <v>暴血之拳</v>
          </cell>
        </row>
        <row r="235">
          <cell r="A235">
            <v>30411</v>
          </cell>
          <cell r="B235" t="str">
            <v>暴血之枪</v>
          </cell>
        </row>
        <row r="236">
          <cell r="A236">
            <v>51411</v>
          </cell>
          <cell r="B236" t="str">
            <v>暴血战衣</v>
          </cell>
        </row>
        <row r="237">
          <cell r="A237">
            <v>52411</v>
          </cell>
          <cell r="B237" t="str">
            <v>暴血长裤</v>
          </cell>
        </row>
        <row r="238">
          <cell r="A238">
            <v>55411</v>
          </cell>
          <cell r="B238" t="str">
            <v>暴血长靴</v>
          </cell>
        </row>
        <row r="239">
          <cell r="A239">
            <v>54411</v>
          </cell>
          <cell r="B239" t="str">
            <v>暴血腰带</v>
          </cell>
        </row>
        <row r="240">
          <cell r="A240">
            <v>53411</v>
          </cell>
          <cell r="B240" t="str">
            <v>暴血项链</v>
          </cell>
        </row>
        <row r="241">
          <cell r="A241">
            <v>10112</v>
          </cell>
          <cell r="B241" t="str">
            <v>勇气之刃</v>
          </cell>
        </row>
        <row r="242">
          <cell r="A242">
            <v>20112</v>
          </cell>
          <cell r="B242" t="str">
            <v>勇气之拳</v>
          </cell>
        </row>
        <row r="243">
          <cell r="A243">
            <v>30112</v>
          </cell>
          <cell r="B243" t="str">
            <v>勇气之枪</v>
          </cell>
        </row>
        <row r="244">
          <cell r="A244">
            <v>51112</v>
          </cell>
          <cell r="B244" t="str">
            <v>勇气战衣</v>
          </cell>
        </row>
        <row r="245">
          <cell r="A245">
            <v>52112</v>
          </cell>
          <cell r="B245" t="str">
            <v>勇气长裤</v>
          </cell>
        </row>
        <row r="246">
          <cell r="A246">
            <v>55112</v>
          </cell>
          <cell r="B246" t="str">
            <v>勇气长靴</v>
          </cell>
        </row>
        <row r="247">
          <cell r="A247">
            <v>54112</v>
          </cell>
          <cell r="B247" t="str">
            <v>勇气腰带</v>
          </cell>
        </row>
        <row r="248">
          <cell r="A248">
            <v>53112</v>
          </cell>
          <cell r="B248" t="str">
            <v>勇气项链</v>
          </cell>
        </row>
        <row r="249">
          <cell r="A249">
            <v>10213</v>
          </cell>
          <cell r="B249" t="str">
            <v>暗羽霸刀</v>
          </cell>
        </row>
        <row r="250">
          <cell r="A250">
            <v>20213</v>
          </cell>
          <cell r="B250" t="str">
            <v>暗羽之拳</v>
          </cell>
        </row>
        <row r="251">
          <cell r="A251">
            <v>30213</v>
          </cell>
          <cell r="B251" t="str">
            <v>暗羽之枪</v>
          </cell>
        </row>
        <row r="252">
          <cell r="A252">
            <v>51213</v>
          </cell>
          <cell r="B252" t="str">
            <v>暗羽战衣</v>
          </cell>
        </row>
        <row r="253">
          <cell r="A253">
            <v>52213</v>
          </cell>
          <cell r="B253" t="str">
            <v>暗羽长裤</v>
          </cell>
        </row>
        <row r="254">
          <cell r="A254">
            <v>55213</v>
          </cell>
          <cell r="B254" t="str">
            <v>暗羽长靴</v>
          </cell>
        </row>
        <row r="255">
          <cell r="A255">
            <v>54213</v>
          </cell>
          <cell r="B255" t="str">
            <v>暗羽腰带</v>
          </cell>
        </row>
        <row r="256">
          <cell r="A256">
            <v>53213</v>
          </cell>
          <cell r="B256" t="str">
            <v>暗羽项链</v>
          </cell>
        </row>
        <row r="257">
          <cell r="A257">
            <v>10314</v>
          </cell>
          <cell r="B257" t="str">
            <v>玄武霸刀</v>
          </cell>
        </row>
        <row r="258">
          <cell r="A258">
            <v>20314</v>
          </cell>
          <cell r="B258" t="str">
            <v>玄武之拳</v>
          </cell>
        </row>
        <row r="259">
          <cell r="A259">
            <v>30314</v>
          </cell>
          <cell r="B259" t="str">
            <v>玄武之枪</v>
          </cell>
        </row>
        <row r="260">
          <cell r="A260">
            <v>51314</v>
          </cell>
          <cell r="B260" t="str">
            <v>玄武战衣</v>
          </cell>
        </row>
        <row r="261">
          <cell r="A261">
            <v>52314</v>
          </cell>
          <cell r="B261" t="str">
            <v>玄武长裤</v>
          </cell>
        </row>
        <row r="262">
          <cell r="A262">
            <v>55314</v>
          </cell>
          <cell r="B262" t="str">
            <v>玄武长靴</v>
          </cell>
        </row>
        <row r="263">
          <cell r="A263">
            <v>54314</v>
          </cell>
          <cell r="B263" t="str">
            <v>玄武腰带</v>
          </cell>
        </row>
        <row r="264">
          <cell r="A264">
            <v>53314</v>
          </cell>
          <cell r="B264" t="str">
            <v>玄武项链</v>
          </cell>
        </row>
        <row r="265">
          <cell r="A265">
            <v>10415</v>
          </cell>
          <cell r="B265" t="str">
            <v>暗魔之刃</v>
          </cell>
        </row>
        <row r="266">
          <cell r="A266">
            <v>20415</v>
          </cell>
          <cell r="B266" t="str">
            <v>暗魔之拳</v>
          </cell>
        </row>
        <row r="267">
          <cell r="A267">
            <v>30415</v>
          </cell>
          <cell r="B267" t="str">
            <v>暗魔之枪</v>
          </cell>
        </row>
        <row r="268">
          <cell r="A268">
            <v>51415</v>
          </cell>
          <cell r="B268" t="str">
            <v>暗魔战衣</v>
          </cell>
        </row>
        <row r="269">
          <cell r="A269">
            <v>52415</v>
          </cell>
          <cell r="B269" t="str">
            <v>暗魔长裤</v>
          </cell>
        </row>
        <row r="270">
          <cell r="A270">
            <v>55415</v>
          </cell>
          <cell r="B270" t="str">
            <v>暗魔长靴</v>
          </cell>
        </row>
        <row r="271">
          <cell r="A271">
            <v>54415</v>
          </cell>
          <cell r="B271" t="str">
            <v>暗魔腰带</v>
          </cell>
        </row>
        <row r="272">
          <cell r="A272">
            <v>53415</v>
          </cell>
          <cell r="B272" t="str">
            <v>暗魔项链</v>
          </cell>
        </row>
        <row r="273">
          <cell r="A273">
            <v>10116</v>
          </cell>
          <cell r="B273" t="str">
            <v>战爵之刃</v>
          </cell>
        </row>
        <row r="274">
          <cell r="A274">
            <v>20116</v>
          </cell>
          <cell r="B274" t="str">
            <v>战爵之拳</v>
          </cell>
        </row>
        <row r="275">
          <cell r="A275">
            <v>30116</v>
          </cell>
          <cell r="B275" t="str">
            <v>战爵之枪</v>
          </cell>
        </row>
        <row r="276">
          <cell r="A276">
            <v>51116</v>
          </cell>
          <cell r="B276" t="str">
            <v>战爵之衣</v>
          </cell>
        </row>
        <row r="277">
          <cell r="A277">
            <v>52116</v>
          </cell>
          <cell r="B277" t="str">
            <v>战爵长裤</v>
          </cell>
        </row>
        <row r="278">
          <cell r="A278">
            <v>55116</v>
          </cell>
          <cell r="B278" t="str">
            <v>战爵长靴</v>
          </cell>
        </row>
        <row r="279">
          <cell r="A279">
            <v>54116</v>
          </cell>
          <cell r="B279" t="str">
            <v>战爵腰带</v>
          </cell>
        </row>
        <row r="280">
          <cell r="A280">
            <v>53116</v>
          </cell>
          <cell r="B280" t="str">
            <v>战爵项链</v>
          </cell>
        </row>
        <row r="281">
          <cell r="A281">
            <v>10217</v>
          </cell>
          <cell r="B281" t="str">
            <v>嗜血之剑</v>
          </cell>
        </row>
        <row r="282">
          <cell r="A282">
            <v>20217</v>
          </cell>
          <cell r="B282" t="str">
            <v>嗜血拳</v>
          </cell>
        </row>
        <row r="283">
          <cell r="A283">
            <v>30217</v>
          </cell>
          <cell r="B283" t="str">
            <v>嗜血枪</v>
          </cell>
        </row>
        <row r="284">
          <cell r="A284">
            <v>51217</v>
          </cell>
          <cell r="B284" t="str">
            <v>嗜血战衣</v>
          </cell>
        </row>
        <row r="285">
          <cell r="A285">
            <v>52217</v>
          </cell>
          <cell r="B285" t="str">
            <v>嗜血长裤</v>
          </cell>
        </row>
        <row r="286">
          <cell r="A286">
            <v>55217</v>
          </cell>
          <cell r="B286" t="str">
            <v>嗜血长靴</v>
          </cell>
        </row>
        <row r="287">
          <cell r="A287">
            <v>54217</v>
          </cell>
          <cell r="B287" t="str">
            <v>嗜血腰带</v>
          </cell>
        </row>
        <row r="288">
          <cell r="A288">
            <v>53217</v>
          </cell>
          <cell r="B288" t="str">
            <v>嗜血项链</v>
          </cell>
        </row>
        <row r="289">
          <cell r="A289">
            <v>10318</v>
          </cell>
          <cell r="B289" t="str">
            <v>霸道之刃</v>
          </cell>
        </row>
        <row r="290">
          <cell r="A290">
            <v>20318</v>
          </cell>
          <cell r="B290" t="str">
            <v>霸道之拳</v>
          </cell>
        </row>
        <row r="291">
          <cell r="A291">
            <v>30318</v>
          </cell>
          <cell r="B291" t="str">
            <v>霸道之枪</v>
          </cell>
        </row>
        <row r="292">
          <cell r="A292">
            <v>51318</v>
          </cell>
          <cell r="B292" t="str">
            <v>霸道战衣</v>
          </cell>
        </row>
        <row r="293">
          <cell r="A293">
            <v>52318</v>
          </cell>
          <cell r="B293" t="str">
            <v>霸道长裤</v>
          </cell>
        </row>
        <row r="294">
          <cell r="A294">
            <v>55318</v>
          </cell>
          <cell r="B294" t="str">
            <v>霸道长靴</v>
          </cell>
        </row>
        <row r="295">
          <cell r="A295">
            <v>54318</v>
          </cell>
          <cell r="B295" t="str">
            <v>霸道腰带</v>
          </cell>
        </row>
        <row r="296">
          <cell r="A296">
            <v>53318</v>
          </cell>
          <cell r="B296" t="str">
            <v>霸道项链</v>
          </cell>
        </row>
        <row r="297">
          <cell r="A297">
            <v>10419</v>
          </cell>
          <cell r="B297" t="str">
            <v>白虎霸刀</v>
          </cell>
        </row>
        <row r="298">
          <cell r="A298">
            <v>20419</v>
          </cell>
          <cell r="B298" t="str">
            <v>白虎之拳</v>
          </cell>
        </row>
        <row r="299">
          <cell r="A299">
            <v>30419</v>
          </cell>
          <cell r="B299" t="str">
            <v>白虎之枪</v>
          </cell>
        </row>
        <row r="300">
          <cell r="A300">
            <v>51419</v>
          </cell>
          <cell r="B300" t="str">
            <v>白虎战衣</v>
          </cell>
        </row>
        <row r="301">
          <cell r="A301">
            <v>52419</v>
          </cell>
          <cell r="B301" t="str">
            <v>白虎长裤</v>
          </cell>
        </row>
        <row r="302">
          <cell r="A302">
            <v>55419</v>
          </cell>
          <cell r="B302" t="str">
            <v>白虎长靴</v>
          </cell>
        </row>
        <row r="303">
          <cell r="A303">
            <v>54419</v>
          </cell>
          <cell r="B303" t="str">
            <v>白虎腰带</v>
          </cell>
        </row>
        <row r="304">
          <cell r="A304">
            <v>53419</v>
          </cell>
          <cell r="B304" t="str">
            <v>白虎项链</v>
          </cell>
        </row>
        <row r="305">
          <cell r="A305">
            <v>10120</v>
          </cell>
          <cell r="B305" t="str">
            <v>堕落之刃</v>
          </cell>
        </row>
        <row r="306">
          <cell r="A306">
            <v>20120</v>
          </cell>
          <cell r="B306" t="str">
            <v>堕落之拳</v>
          </cell>
        </row>
        <row r="307">
          <cell r="A307">
            <v>30120</v>
          </cell>
          <cell r="B307" t="str">
            <v>堕落之枪</v>
          </cell>
        </row>
        <row r="308">
          <cell r="A308">
            <v>51120</v>
          </cell>
          <cell r="B308" t="str">
            <v>堕落战衣</v>
          </cell>
        </row>
        <row r="309">
          <cell r="A309">
            <v>52120</v>
          </cell>
          <cell r="B309" t="str">
            <v>堕落长裤</v>
          </cell>
        </row>
        <row r="310">
          <cell r="A310">
            <v>55120</v>
          </cell>
          <cell r="B310" t="str">
            <v>堕落长靴</v>
          </cell>
        </row>
        <row r="311">
          <cell r="A311">
            <v>54120</v>
          </cell>
          <cell r="B311" t="str">
            <v>堕落腰带</v>
          </cell>
        </row>
        <row r="312">
          <cell r="A312">
            <v>53120</v>
          </cell>
          <cell r="B312" t="str">
            <v>堕落项链</v>
          </cell>
        </row>
        <row r="313">
          <cell r="A313">
            <v>10221</v>
          </cell>
          <cell r="B313" t="str">
            <v>幻痛霸刀</v>
          </cell>
        </row>
        <row r="314">
          <cell r="A314">
            <v>20221</v>
          </cell>
          <cell r="B314" t="str">
            <v>幻痛之拳</v>
          </cell>
        </row>
        <row r="315">
          <cell r="A315">
            <v>30221</v>
          </cell>
          <cell r="B315" t="str">
            <v>幻痛之枪</v>
          </cell>
        </row>
        <row r="316">
          <cell r="A316">
            <v>51221</v>
          </cell>
          <cell r="B316" t="str">
            <v>幻痛战衣</v>
          </cell>
        </row>
        <row r="317">
          <cell r="A317">
            <v>52221</v>
          </cell>
          <cell r="B317" t="str">
            <v>幻痛长裤</v>
          </cell>
        </row>
        <row r="318">
          <cell r="A318">
            <v>55221</v>
          </cell>
          <cell r="B318" t="str">
            <v>幻痛长靴</v>
          </cell>
        </row>
        <row r="319">
          <cell r="A319">
            <v>54221</v>
          </cell>
          <cell r="B319" t="str">
            <v>幻痛腰带</v>
          </cell>
        </row>
        <row r="320">
          <cell r="A320">
            <v>53221</v>
          </cell>
          <cell r="B320" t="str">
            <v>幻痛项链</v>
          </cell>
        </row>
        <row r="321">
          <cell r="A321">
            <v>10322</v>
          </cell>
          <cell r="B321" t="str">
            <v>焚天之剑</v>
          </cell>
        </row>
        <row r="322">
          <cell r="A322">
            <v>20322</v>
          </cell>
          <cell r="B322" t="str">
            <v>焚天之拳</v>
          </cell>
        </row>
        <row r="323">
          <cell r="A323">
            <v>30322</v>
          </cell>
          <cell r="B323" t="str">
            <v>焚天之枪</v>
          </cell>
        </row>
        <row r="324">
          <cell r="A324">
            <v>51322</v>
          </cell>
          <cell r="B324" t="str">
            <v>焚天战衣</v>
          </cell>
        </row>
        <row r="325">
          <cell r="A325">
            <v>52322</v>
          </cell>
          <cell r="B325" t="str">
            <v>焚天长裤</v>
          </cell>
        </row>
        <row r="326">
          <cell r="A326">
            <v>55322</v>
          </cell>
          <cell r="B326" t="str">
            <v>焚天长靴</v>
          </cell>
        </row>
        <row r="327">
          <cell r="A327">
            <v>54322</v>
          </cell>
          <cell r="B327" t="str">
            <v>焚天腰带</v>
          </cell>
        </row>
        <row r="328">
          <cell r="A328">
            <v>53322</v>
          </cell>
          <cell r="B328" t="str">
            <v>焚天项链</v>
          </cell>
        </row>
        <row r="329">
          <cell r="A329">
            <v>10423</v>
          </cell>
          <cell r="B329" t="str">
            <v>朱雀霸刀</v>
          </cell>
        </row>
        <row r="330">
          <cell r="A330">
            <v>20423</v>
          </cell>
          <cell r="B330" t="str">
            <v>朱雀之拳</v>
          </cell>
        </row>
        <row r="331">
          <cell r="A331">
            <v>30423</v>
          </cell>
          <cell r="B331" t="str">
            <v>朱雀之枪</v>
          </cell>
        </row>
        <row r="332">
          <cell r="A332">
            <v>51423</v>
          </cell>
          <cell r="B332" t="str">
            <v>朱雀战衣</v>
          </cell>
        </row>
        <row r="333">
          <cell r="A333">
            <v>52423</v>
          </cell>
          <cell r="B333" t="str">
            <v>朱雀长裤</v>
          </cell>
        </row>
        <row r="334">
          <cell r="A334">
            <v>55423</v>
          </cell>
          <cell r="B334" t="str">
            <v>朱雀长靴</v>
          </cell>
        </row>
        <row r="335">
          <cell r="A335">
            <v>54423</v>
          </cell>
          <cell r="B335" t="str">
            <v>朱雀腰带</v>
          </cell>
        </row>
        <row r="336">
          <cell r="A336">
            <v>53423</v>
          </cell>
          <cell r="B336" t="str">
            <v>朱雀项链</v>
          </cell>
        </row>
        <row r="337">
          <cell r="A337">
            <v>10124</v>
          </cell>
          <cell r="B337" t="str">
            <v>高洁之刃</v>
          </cell>
        </row>
        <row r="338">
          <cell r="A338">
            <v>20124</v>
          </cell>
          <cell r="B338" t="str">
            <v>高洁之拳</v>
          </cell>
        </row>
        <row r="339">
          <cell r="A339">
            <v>30124</v>
          </cell>
          <cell r="B339" t="str">
            <v>高洁之枪</v>
          </cell>
        </row>
        <row r="340">
          <cell r="A340">
            <v>51124</v>
          </cell>
          <cell r="B340" t="str">
            <v>高洁战衣</v>
          </cell>
        </row>
        <row r="341">
          <cell r="A341">
            <v>52124</v>
          </cell>
          <cell r="B341" t="str">
            <v>高洁长裤</v>
          </cell>
        </row>
        <row r="342">
          <cell r="A342">
            <v>55124</v>
          </cell>
          <cell r="B342" t="str">
            <v>高洁长靴</v>
          </cell>
        </row>
        <row r="343">
          <cell r="A343">
            <v>54124</v>
          </cell>
          <cell r="B343" t="str">
            <v>高洁腰带</v>
          </cell>
        </row>
        <row r="344">
          <cell r="A344">
            <v>53124</v>
          </cell>
          <cell r="B344" t="str">
            <v>高洁项链</v>
          </cell>
        </row>
        <row r="345">
          <cell r="A345">
            <v>10225</v>
          </cell>
          <cell r="B345" t="str">
            <v>星宿之刃</v>
          </cell>
        </row>
        <row r="346">
          <cell r="A346">
            <v>20225</v>
          </cell>
          <cell r="B346" t="str">
            <v>星宿之拳</v>
          </cell>
        </row>
        <row r="347">
          <cell r="A347">
            <v>30225</v>
          </cell>
          <cell r="B347" t="str">
            <v>星宿之枪</v>
          </cell>
        </row>
        <row r="348">
          <cell r="A348">
            <v>51225</v>
          </cell>
          <cell r="B348" t="str">
            <v>星宿战衣</v>
          </cell>
        </row>
        <row r="349">
          <cell r="A349">
            <v>52225</v>
          </cell>
          <cell r="B349" t="str">
            <v>星宿长裤</v>
          </cell>
        </row>
        <row r="350">
          <cell r="A350">
            <v>55225</v>
          </cell>
          <cell r="B350" t="str">
            <v>星宿长靴</v>
          </cell>
        </row>
        <row r="351">
          <cell r="A351">
            <v>54225</v>
          </cell>
          <cell r="B351" t="str">
            <v>星宿腰带</v>
          </cell>
        </row>
        <row r="352">
          <cell r="A352">
            <v>53225</v>
          </cell>
          <cell r="B352" t="str">
            <v>星宿项链</v>
          </cell>
        </row>
        <row r="353">
          <cell r="A353">
            <v>10326</v>
          </cell>
          <cell r="B353" t="str">
            <v>炼狱之剑</v>
          </cell>
        </row>
        <row r="354">
          <cell r="A354">
            <v>20326</v>
          </cell>
          <cell r="B354" t="str">
            <v>炼狱之拳</v>
          </cell>
        </row>
        <row r="355">
          <cell r="A355">
            <v>30326</v>
          </cell>
          <cell r="B355" t="str">
            <v>炼狱之枪</v>
          </cell>
        </row>
        <row r="356">
          <cell r="A356">
            <v>51326</v>
          </cell>
          <cell r="B356" t="str">
            <v>炼狱战衣</v>
          </cell>
        </row>
        <row r="357">
          <cell r="A357">
            <v>52326</v>
          </cell>
          <cell r="B357" t="str">
            <v>炼狱长裤</v>
          </cell>
        </row>
        <row r="358">
          <cell r="A358">
            <v>55326</v>
          </cell>
          <cell r="B358" t="str">
            <v>炼狱长靴</v>
          </cell>
        </row>
        <row r="359">
          <cell r="A359">
            <v>54326</v>
          </cell>
          <cell r="B359" t="str">
            <v>炼狱腰带</v>
          </cell>
        </row>
        <row r="360">
          <cell r="A360">
            <v>53326</v>
          </cell>
          <cell r="B360" t="str">
            <v>炼狱项链</v>
          </cell>
        </row>
        <row r="361">
          <cell r="A361">
            <v>10427</v>
          </cell>
          <cell r="B361" t="str">
            <v>青龙霸刀</v>
          </cell>
        </row>
        <row r="362">
          <cell r="A362">
            <v>20427</v>
          </cell>
          <cell r="B362" t="str">
            <v>青龙之拳</v>
          </cell>
        </row>
        <row r="363">
          <cell r="A363">
            <v>30427</v>
          </cell>
          <cell r="B363" t="str">
            <v>青龙之枪</v>
          </cell>
        </row>
        <row r="364">
          <cell r="A364">
            <v>51427</v>
          </cell>
          <cell r="B364" t="str">
            <v>青龙战衣</v>
          </cell>
        </row>
        <row r="365">
          <cell r="A365">
            <v>52427</v>
          </cell>
          <cell r="B365" t="str">
            <v>青龙长裤</v>
          </cell>
        </row>
        <row r="366">
          <cell r="A366">
            <v>55427</v>
          </cell>
          <cell r="B366" t="str">
            <v>青龙长靴</v>
          </cell>
        </row>
        <row r="367">
          <cell r="A367">
            <v>54427</v>
          </cell>
          <cell r="B367" t="str">
            <v>青龙腰带</v>
          </cell>
        </row>
        <row r="368">
          <cell r="A368">
            <v>53427</v>
          </cell>
          <cell r="B368" t="str">
            <v>青龙项链</v>
          </cell>
        </row>
        <row r="369">
          <cell r="A369">
            <v>92131</v>
          </cell>
          <cell r="B369" t="str">
            <v>幸运戒指</v>
          </cell>
        </row>
        <row r="370">
          <cell r="A370">
            <v>92011</v>
          </cell>
          <cell r="B370" t="str">
            <v>亚诺</v>
          </cell>
        </row>
        <row r="371">
          <cell r="A371">
            <v>92228</v>
          </cell>
          <cell r="B371" t="str">
            <v>银色手环</v>
          </cell>
        </row>
        <row r="372">
          <cell r="A372">
            <v>92232</v>
          </cell>
          <cell r="B372" t="str">
            <v>鎏金手环</v>
          </cell>
        </row>
        <row r="373">
          <cell r="A373">
            <v>92121</v>
          </cell>
          <cell r="B373" t="str">
            <v>镀金耳钉</v>
          </cell>
        </row>
        <row r="374">
          <cell r="A374">
            <v>92243</v>
          </cell>
          <cell r="B374" t="str">
            <v>诅咒项链</v>
          </cell>
        </row>
        <row r="375">
          <cell r="A375">
            <v>92244</v>
          </cell>
          <cell r="B375" t="str">
            <v>金饰项链</v>
          </cell>
        </row>
        <row r="376">
          <cell r="A376">
            <v>92263</v>
          </cell>
          <cell r="B376" t="str">
            <v>银针手表</v>
          </cell>
        </row>
        <row r="377">
          <cell r="A377">
            <v>92277</v>
          </cell>
          <cell r="B377" t="str">
            <v>冬利</v>
          </cell>
        </row>
        <row r="378">
          <cell r="A378">
            <v>92233</v>
          </cell>
          <cell r="B378" t="str">
            <v>白金手环</v>
          </cell>
        </row>
        <row r="379">
          <cell r="A379">
            <v>92122</v>
          </cell>
          <cell r="B379" t="str">
            <v>银饰耳钉</v>
          </cell>
        </row>
        <row r="380">
          <cell r="A380">
            <v>92141</v>
          </cell>
          <cell r="B380" t="str">
            <v>白银戒指</v>
          </cell>
        </row>
        <row r="381">
          <cell r="A381">
            <v>92245</v>
          </cell>
          <cell r="B381" t="str">
            <v>水晶项链</v>
          </cell>
        </row>
        <row r="382">
          <cell r="A382">
            <v>92251</v>
          </cell>
          <cell r="B382" t="str">
            <v>红石项链</v>
          </cell>
        </row>
        <row r="383">
          <cell r="A383">
            <v>92264</v>
          </cell>
          <cell r="B383" t="str">
            <v>越野手表</v>
          </cell>
        </row>
        <row r="384">
          <cell r="A384">
            <v>92271</v>
          </cell>
          <cell r="B384" t="str">
            <v>精准手表</v>
          </cell>
        </row>
        <row r="385">
          <cell r="A385">
            <v>92278</v>
          </cell>
          <cell r="B385" t="str">
            <v>宝驼</v>
          </cell>
        </row>
        <row r="386">
          <cell r="A386">
            <v>92283</v>
          </cell>
          <cell r="B386" t="str">
            <v>小迭钞票</v>
          </cell>
        </row>
        <row r="387">
          <cell r="A387">
            <v>92287</v>
          </cell>
          <cell r="B387" t="str">
            <v>金块</v>
          </cell>
        </row>
        <row r="388">
          <cell r="A388">
            <v>92142</v>
          </cell>
          <cell r="B388" t="str">
            <v>黄金戒指</v>
          </cell>
        </row>
        <row r="389">
          <cell r="A389">
            <v>92235</v>
          </cell>
          <cell r="B389" t="str">
            <v>宝石手环</v>
          </cell>
        </row>
        <row r="390">
          <cell r="A390">
            <v>92012</v>
          </cell>
          <cell r="B390" t="str">
            <v>摩拉</v>
          </cell>
        </row>
        <row r="391">
          <cell r="A391">
            <v>92252</v>
          </cell>
          <cell r="B391" t="str">
            <v>青玉项链</v>
          </cell>
        </row>
        <row r="392">
          <cell r="A392">
            <v>92124</v>
          </cell>
          <cell r="B392" t="str">
            <v>水晶耳钉</v>
          </cell>
        </row>
        <row r="393">
          <cell r="A393">
            <v>92272</v>
          </cell>
          <cell r="B393" t="str">
            <v>金针手表</v>
          </cell>
        </row>
        <row r="394">
          <cell r="A394">
            <v>92273</v>
          </cell>
          <cell r="B394" t="str">
            <v>智能手表</v>
          </cell>
        </row>
        <row r="395">
          <cell r="A395">
            <v>92279</v>
          </cell>
          <cell r="B395" t="str">
            <v>宾倪</v>
          </cell>
        </row>
        <row r="396">
          <cell r="A396">
            <v>92284</v>
          </cell>
          <cell r="B396" t="str">
            <v>大迭钞票</v>
          </cell>
        </row>
        <row r="397">
          <cell r="A397">
            <v>92288</v>
          </cell>
          <cell r="B397" t="str">
            <v>大金块</v>
          </cell>
        </row>
        <row r="398">
          <cell r="A398">
            <v>92125</v>
          </cell>
          <cell r="B398" t="str">
            <v>红石耳钉</v>
          </cell>
        </row>
        <row r="399">
          <cell r="A399">
            <v>92134</v>
          </cell>
          <cell r="B399" t="str">
            <v>毒蝎耳钉</v>
          </cell>
        </row>
        <row r="400">
          <cell r="A400">
            <v>92223</v>
          </cell>
          <cell r="B400" t="str">
            <v>赤金戒指</v>
          </cell>
        </row>
        <row r="401">
          <cell r="A401">
            <v>92227</v>
          </cell>
          <cell r="B401" t="str">
            <v>王者手环</v>
          </cell>
        </row>
        <row r="402">
          <cell r="A402">
            <v>92236</v>
          </cell>
          <cell r="B402" t="str">
            <v>符文手环</v>
          </cell>
        </row>
        <row r="403">
          <cell r="A403">
            <v>92013</v>
          </cell>
          <cell r="B403" t="str">
            <v>月立</v>
          </cell>
        </row>
        <row r="404">
          <cell r="A404">
            <v>92253</v>
          </cell>
          <cell r="B404" t="str">
            <v>猫妖项链</v>
          </cell>
        </row>
        <row r="405">
          <cell r="A405">
            <v>92254</v>
          </cell>
          <cell r="B405" t="str">
            <v>苍蓝项链</v>
          </cell>
        </row>
        <row r="406">
          <cell r="A406">
            <v>92274</v>
          </cell>
          <cell r="B406" t="str">
            <v>汉密手表</v>
          </cell>
        </row>
        <row r="407">
          <cell r="A407">
            <v>92280</v>
          </cell>
          <cell r="B407" t="str">
            <v>法拉捷</v>
          </cell>
        </row>
        <row r="408">
          <cell r="A408">
            <v>92285</v>
          </cell>
          <cell r="B408" t="str">
            <v>大堆钞票</v>
          </cell>
        </row>
        <row r="409">
          <cell r="A409">
            <v>92289</v>
          </cell>
          <cell r="B409" t="str">
            <v>小堆金块</v>
          </cell>
        </row>
        <row r="410">
          <cell r="A410">
            <v>92014</v>
          </cell>
          <cell r="B410" t="str">
            <v>菠萝</v>
          </cell>
        </row>
        <row r="411">
          <cell r="A411">
            <v>92296</v>
          </cell>
          <cell r="B411" t="str">
            <v>星光红石</v>
          </cell>
        </row>
        <row r="412">
          <cell r="A412">
            <v>92240</v>
          </cell>
          <cell r="B412" t="str">
            <v>苍蓝戒指</v>
          </cell>
        </row>
        <row r="413">
          <cell r="A413">
            <v>92292</v>
          </cell>
          <cell r="B413" t="str">
            <v>金饰宝盒</v>
          </cell>
        </row>
        <row r="414">
          <cell r="A414">
            <v>92256</v>
          </cell>
          <cell r="B414" t="str">
            <v>圣徒项链</v>
          </cell>
        </row>
        <row r="415">
          <cell r="A415">
            <v>92261</v>
          </cell>
          <cell r="B415" t="str">
            <v>贵族项链</v>
          </cell>
        </row>
        <row r="416">
          <cell r="A416">
            <v>92275</v>
          </cell>
          <cell r="B416" t="str">
            <v>千国手表</v>
          </cell>
        </row>
        <row r="417">
          <cell r="A417">
            <v>92281</v>
          </cell>
          <cell r="B417" t="str">
            <v>红博机利</v>
          </cell>
        </row>
        <row r="418">
          <cell r="A418">
            <v>92286</v>
          </cell>
          <cell r="B418" t="str">
            <v>巨额钞票</v>
          </cell>
        </row>
        <row r="419">
          <cell r="A419">
            <v>92290</v>
          </cell>
          <cell r="B419" t="str">
            <v>大堆金块</v>
          </cell>
        </row>
        <row r="420">
          <cell r="A420">
            <v>92026</v>
          </cell>
          <cell r="B420" t="str">
            <v>深蓝</v>
          </cell>
        </row>
        <row r="421">
          <cell r="A421">
            <v>92255</v>
          </cell>
          <cell r="B421" t="str">
            <v>黑耀项链</v>
          </cell>
        </row>
        <row r="422">
          <cell r="A422">
            <v>92297</v>
          </cell>
          <cell r="B422" t="str">
            <v>翠绿之心</v>
          </cell>
        </row>
        <row r="423">
          <cell r="A423">
            <v>92293</v>
          </cell>
          <cell r="B423" t="str">
            <v>珍珠宝盒</v>
          </cell>
        </row>
        <row r="424">
          <cell r="A424">
            <v>92294</v>
          </cell>
          <cell r="B424" t="str">
            <v>古董宝盒</v>
          </cell>
        </row>
        <row r="425">
          <cell r="A425">
            <v>92295</v>
          </cell>
          <cell r="B425" t="str">
            <v>水晶宝盒</v>
          </cell>
        </row>
        <row r="426">
          <cell r="A426">
            <v>92262</v>
          </cell>
          <cell r="B426" t="str">
            <v>皇家项链</v>
          </cell>
        </row>
        <row r="427">
          <cell r="A427">
            <v>92298</v>
          </cell>
          <cell r="B427" t="str">
            <v>海洋之泪</v>
          </cell>
        </row>
        <row r="428">
          <cell r="A428">
            <v>92276</v>
          </cell>
          <cell r="B428" t="str">
            <v>壕利手表</v>
          </cell>
        </row>
        <row r="429">
          <cell r="A429">
            <v>92282</v>
          </cell>
          <cell r="B429" t="str">
            <v>劳莱斯特</v>
          </cell>
        </row>
        <row r="430">
          <cell r="A430">
            <v>92299</v>
          </cell>
          <cell r="B430" t="str">
            <v>房产证</v>
          </cell>
        </row>
        <row r="431">
          <cell r="A431">
            <v>92291</v>
          </cell>
          <cell r="B431" t="str">
            <v>巨量金块</v>
          </cell>
        </row>
        <row r="432">
          <cell r="A432">
            <v>93233</v>
          </cell>
          <cell r="B432" t="str">
            <v>白金手环碎片</v>
          </cell>
        </row>
        <row r="433">
          <cell r="A433">
            <v>93122</v>
          </cell>
          <cell r="B433" t="str">
            <v>银饰耳钉碎片</v>
          </cell>
        </row>
        <row r="434">
          <cell r="A434">
            <v>93141</v>
          </cell>
          <cell r="B434" t="str">
            <v>白银戒指碎片</v>
          </cell>
        </row>
        <row r="435">
          <cell r="A435">
            <v>93245</v>
          </cell>
          <cell r="B435" t="str">
            <v>水晶项链碎片</v>
          </cell>
        </row>
        <row r="436">
          <cell r="A436">
            <v>93251</v>
          </cell>
          <cell r="B436" t="str">
            <v>红石项链碎片</v>
          </cell>
        </row>
        <row r="437">
          <cell r="A437">
            <v>93264</v>
          </cell>
          <cell r="B437" t="str">
            <v>越野手表碎片</v>
          </cell>
        </row>
        <row r="438">
          <cell r="A438">
            <v>93271</v>
          </cell>
          <cell r="B438" t="str">
            <v>精准手表碎片</v>
          </cell>
        </row>
        <row r="439">
          <cell r="A439">
            <v>93278</v>
          </cell>
          <cell r="B439" t="str">
            <v>宝驼碎片</v>
          </cell>
        </row>
        <row r="440">
          <cell r="A440">
            <v>93283</v>
          </cell>
          <cell r="B440" t="str">
            <v>小迭钞票碎片</v>
          </cell>
        </row>
        <row r="441">
          <cell r="A441">
            <v>93287</v>
          </cell>
          <cell r="B441" t="str">
            <v>金块碎片</v>
          </cell>
        </row>
        <row r="442">
          <cell r="A442">
            <v>93142</v>
          </cell>
          <cell r="B442" t="str">
            <v>黄金戒指碎片</v>
          </cell>
        </row>
        <row r="443">
          <cell r="A443">
            <v>93235</v>
          </cell>
          <cell r="B443" t="str">
            <v>宝石手环碎片</v>
          </cell>
        </row>
        <row r="444">
          <cell r="A444">
            <v>93012</v>
          </cell>
          <cell r="B444" t="str">
            <v>摩拉碎片</v>
          </cell>
        </row>
        <row r="445">
          <cell r="A445">
            <v>93252</v>
          </cell>
          <cell r="B445" t="str">
            <v>青玉项链碎片</v>
          </cell>
        </row>
        <row r="446">
          <cell r="A446">
            <v>93124</v>
          </cell>
          <cell r="B446" t="str">
            <v>水晶耳钉碎片</v>
          </cell>
        </row>
        <row r="447">
          <cell r="A447">
            <v>93272</v>
          </cell>
          <cell r="B447" t="str">
            <v>金针手表碎片</v>
          </cell>
        </row>
        <row r="448">
          <cell r="A448">
            <v>93273</v>
          </cell>
          <cell r="B448" t="str">
            <v>智能手表碎片</v>
          </cell>
        </row>
        <row r="449">
          <cell r="A449">
            <v>93279</v>
          </cell>
          <cell r="B449" t="str">
            <v>宾倪碎片</v>
          </cell>
        </row>
        <row r="450">
          <cell r="A450">
            <v>93284</v>
          </cell>
          <cell r="B450" t="str">
            <v>大迭钞票碎片</v>
          </cell>
        </row>
        <row r="451">
          <cell r="A451">
            <v>93288</v>
          </cell>
          <cell r="B451" t="str">
            <v>大金块碎片</v>
          </cell>
        </row>
        <row r="452">
          <cell r="A452">
            <v>93125</v>
          </cell>
          <cell r="B452" t="str">
            <v>红石耳钉碎片</v>
          </cell>
        </row>
        <row r="453">
          <cell r="A453">
            <v>93134</v>
          </cell>
          <cell r="B453" t="str">
            <v>毒蝎耳钉碎片</v>
          </cell>
        </row>
        <row r="454">
          <cell r="A454">
            <v>93223</v>
          </cell>
          <cell r="B454" t="str">
            <v>赤金戒指碎片</v>
          </cell>
        </row>
        <row r="455">
          <cell r="A455">
            <v>93227</v>
          </cell>
          <cell r="B455" t="str">
            <v>王者手环碎片</v>
          </cell>
        </row>
        <row r="456">
          <cell r="A456">
            <v>93236</v>
          </cell>
          <cell r="B456" t="str">
            <v>符文手环碎片</v>
          </cell>
        </row>
        <row r="457">
          <cell r="A457">
            <v>93013</v>
          </cell>
          <cell r="B457" t="str">
            <v>月立碎片</v>
          </cell>
        </row>
        <row r="458">
          <cell r="A458">
            <v>93253</v>
          </cell>
          <cell r="B458" t="str">
            <v>猫妖项链碎片</v>
          </cell>
        </row>
        <row r="459">
          <cell r="A459">
            <v>93254</v>
          </cell>
          <cell r="B459" t="str">
            <v>苍蓝项链碎片</v>
          </cell>
        </row>
        <row r="460">
          <cell r="A460">
            <v>93274</v>
          </cell>
          <cell r="B460" t="str">
            <v>汉密手表碎片</v>
          </cell>
        </row>
        <row r="461">
          <cell r="A461">
            <v>93280</v>
          </cell>
          <cell r="B461" t="str">
            <v>法拉捷碎片</v>
          </cell>
        </row>
        <row r="462">
          <cell r="A462">
            <v>93285</v>
          </cell>
          <cell r="B462" t="str">
            <v>大堆钞票碎片</v>
          </cell>
        </row>
        <row r="463">
          <cell r="A463">
            <v>93289</v>
          </cell>
          <cell r="B463" t="str">
            <v>小堆金块碎片</v>
          </cell>
        </row>
        <row r="464">
          <cell r="A464">
            <v>93014</v>
          </cell>
          <cell r="B464" t="str">
            <v>菠萝碎片</v>
          </cell>
        </row>
        <row r="465">
          <cell r="A465">
            <v>93296</v>
          </cell>
          <cell r="B465" t="str">
            <v>星光红石碎片</v>
          </cell>
        </row>
        <row r="466">
          <cell r="A466">
            <v>93240</v>
          </cell>
          <cell r="B466" t="str">
            <v>苍蓝戒指碎片</v>
          </cell>
        </row>
        <row r="467">
          <cell r="A467">
            <v>93292</v>
          </cell>
          <cell r="B467" t="str">
            <v>金饰宝盒碎片</v>
          </cell>
        </row>
        <row r="468">
          <cell r="A468">
            <v>93256</v>
          </cell>
          <cell r="B468" t="str">
            <v>圣徒项链碎片</v>
          </cell>
        </row>
        <row r="469">
          <cell r="A469">
            <v>93261</v>
          </cell>
          <cell r="B469" t="str">
            <v>贵族项链碎片</v>
          </cell>
        </row>
        <row r="470">
          <cell r="A470">
            <v>93275</v>
          </cell>
          <cell r="B470" t="str">
            <v>千国手表碎片</v>
          </cell>
        </row>
        <row r="471">
          <cell r="A471">
            <v>93281</v>
          </cell>
          <cell r="B471" t="str">
            <v>红博机利碎片</v>
          </cell>
        </row>
        <row r="472">
          <cell r="A472">
            <v>93286</v>
          </cell>
          <cell r="B472" t="str">
            <v>巨额钞票碎片</v>
          </cell>
        </row>
        <row r="473">
          <cell r="A473">
            <v>93290</v>
          </cell>
          <cell r="B473" t="str">
            <v>大堆金块碎片</v>
          </cell>
        </row>
        <row r="474">
          <cell r="A474">
            <v>93026</v>
          </cell>
          <cell r="B474" t="str">
            <v>深蓝碎片</v>
          </cell>
        </row>
        <row r="475">
          <cell r="A475">
            <v>93255</v>
          </cell>
          <cell r="B475" t="str">
            <v>黑耀项链碎片</v>
          </cell>
        </row>
        <row r="476">
          <cell r="A476">
            <v>93297</v>
          </cell>
          <cell r="B476" t="str">
            <v>翠绿之心碎片</v>
          </cell>
        </row>
        <row r="477">
          <cell r="A477">
            <v>93293</v>
          </cell>
          <cell r="B477" t="str">
            <v>珍珠宝盒碎片</v>
          </cell>
        </row>
        <row r="478">
          <cell r="A478">
            <v>93294</v>
          </cell>
          <cell r="B478" t="str">
            <v>古董宝盒碎片</v>
          </cell>
        </row>
        <row r="479">
          <cell r="A479">
            <v>93295</v>
          </cell>
          <cell r="B479" t="str">
            <v>水晶宝盒碎片</v>
          </cell>
        </row>
        <row r="480">
          <cell r="A480">
            <v>93262</v>
          </cell>
          <cell r="B480" t="str">
            <v>皇家项链碎片</v>
          </cell>
        </row>
        <row r="481">
          <cell r="A481">
            <v>93298</v>
          </cell>
          <cell r="B481" t="str">
            <v>海洋之泪碎片</v>
          </cell>
        </row>
        <row r="482">
          <cell r="A482">
            <v>93276</v>
          </cell>
          <cell r="B482" t="str">
            <v>壕利手表碎片</v>
          </cell>
        </row>
        <row r="483">
          <cell r="A483">
            <v>93282</v>
          </cell>
          <cell r="B483" t="str">
            <v>劳莱斯特碎片</v>
          </cell>
        </row>
        <row r="484">
          <cell r="A484">
            <v>93299</v>
          </cell>
          <cell r="B484" t="str">
            <v>房产证碎片</v>
          </cell>
        </row>
        <row r="485">
          <cell r="A485">
            <v>93291</v>
          </cell>
          <cell r="B485" t="str">
            <v>巨量金块碎片</v>
          </cell>
        </row>
        <row r="486">
          <cell r="A486">
            <v>101101</v>
          </cell>
          <cell r="B486" t="str">
            <v>制服太妹</v>
          </cell>
        </row>
        <row r="487">
          <cell r="A487">
            <v>101102</v>
          </cell>
          <cell r="B487" t="str">
            <v>蟹仔</v>
          </cell>
        </row>
        <row r="488">
          <cell r="A488">
            <v>101103</v>
          </cell>
          <cell r="B488" t="str">
            <v>比利</v>
          </cell>
        </row>
        <row r="489">
          <cell r="A489">
            <v>101104</v>
          </cell>
          <cell r="B489" t="str">
            <v>黎九</v>
          </cell>
        </row>
        <row r="490">
          <cell r="A490">
            <v>101105</v>
          </cell>
          <cell r="B490" t="str">
            <v>黑古</v>
          </cell>
        </row>
        <row r="491">
          <cell r="A491">
            <v>101106</v>
          </cell>
          <cell r="B491" t="str">
            <v>靓坤</v>
          </cell>
        </row>
        <row r="492">
          <cell r="A492">
            <v>101107</v>
          </cell>
          <cell r="B492" t="str">
            <v>雷复轰</v>
          </cell>
        </row>
        <row r="493">
          <cell r="A493">
            <v>101108</v>
          </cell>
          <cell r="B493" t="str">
            <v>肥仔</v>
          </cell>
        </row>
        <row r="494">
          <cell r="A494">
            <v>101109</v>
          </cell>
          <cell r="B494" t="str">
            <v>司徒浩南</v>
          </cell>
        </row>
        <row r="495">
          <cell r="A495">
            <v>101110</v>
          </cell>
          <cell r="B495" t="str">
            <v>乌鸦</v>
          </cell>
        </row>
        <row r="496">
          <cell r="A496">
            <v>101111</v>
          </cell>
          <cell r="B496" t="str">
            <v>赌王</v>
          </cell>
        </row>
        <row r="497">
          <cell r="A497">
            <v>101112</v>
          </cell>
          <cell r="B497" t="str">
            <v>山下忠秀</v>
          </cell>
        </row>
        <row r="498">
          <cell r="A498">
            <v>101113</v>
          </cell>
          <cell r="B498" t="str">
            <v>宫本一</v>
          </cell>
        </row>
        <row r="499">
          <cell r="A499">
            <v>101114</v>
          </cell>
          <cell r="B499" t="str">
            <v>陈浩南</v>
          </cell>
        </row>
        <row r="500">
          <cell r="A500">
            <v>101115</v>
          </cell>
          <cell r="B500" t="str">
            <v>山鸡</v>
          </cell>
        </row>
        <row r="501">
          <cell r="A501">
            <v>101116</v>
          </cell>
          <cell r="B501" t="str">
            <v>大天二</v>
          </cell>
        </row>
        <row r="502">
          <cell r="A502">
            <v>101117</v>
          </cell>
          <cell r="B502" t="str">
            <v>巴闭</v>
          </cell>
        </row>
        <row r="503">
          <cell r="A503">
            <v>101118</v>
          </cell>
          <cell r="B503" t="str">
            <v>耀阳</v>
          </cell>
        </row>
        <row r="504">
          <cell r="A504">
            <v>101119</v>
          </cell>
          <cell r="B504" t="str">
            <v>笑面虎</v>
          </cell>
        </row>
        <row r="505">
          <cell r="A505">
            <v>59001</v>
          </cell>
          <cell r="B505" t="str">
            <v>洪兴新星</v>
          </cell>
        </row>
        <row r="506">
          <cell r="A506">
            <v>59002</v>
          </cell>
          <cell r="B506" t="str">
            <v>洪兴打仔</v>
          </cell>
        </row>
        <row r="507">
          <cell r="A507">
            <v>59003</v>
          </cell>
          <cell r="B507" t="str">
            <v>扛把子</v>
          </cell>
        </row>
        <row r="508">
          <cell r="A508">
            <v>59004</v>
          </cell>
          <cell r="B508" t="str">
            <v>二路元帅</v>
          </cell>
        </row>
        <row r="509">
          <cell r="A509">
            <v>59005</v>
          </cell>
          <cell r="B509" t="str">
            <v>战无不胜</v>
          </cell>
        </row>
        <row r="510">
          <cell r="A510">
            <v>59006</v>
          </cell>
          <cell r="B510" t="str">
            <v>猛龙过江</v>
          </cell>
        </row>
        <row r="511">
          <cell r="A511">
            <v>59007</v>
          </cell>
          <cell r="B511" t="str">
            <v>神之手</v>
          </cell>
        </row>
        <row r="512">
          <cell r="A512">
            <v>59008</v>
          </cell>
          <cell r="B512" t="str">
            <v>富甲一方</v>
          </cell>
        </row>
        <row r="513">
          <cell r="A513">
            <v>59009</v>
          </cell>
          <cell r="B513" t="str">
            <v>壕气冲天</v>
          </cell>
        </row>
        <row r="514">
          <cell r="A514">
            <v>59010</v>
          </cell>
          <cell r="B514" t="str">
            <v>富可敌国</v>
          </cell>
        </row>
        <row r="515">
          <cell r="A515">
            <v>59030</v>
          </cell>
          <cell r="B515" t="str">
            <v>洪兴小财主</v>
          </cell>
        </row>
        <row r="516">
          <cell r="A516">
            <v>8001</v>
          </cell>
          <cell r="B516" t="str">
            <v>灰色物质</v>
          </cell>
        </row>
        <row r="517">
          <cell r="A517">
            <v>8110</v>
          </cell>
          <cell r="B517" t="str">
            <v>兽腾</v>
          </cell>
        </row>
        <row r="518">
          <cell r="A518">
            <v>8210</v>
          </cell>
          <cell r="B518" t="str">
            <v>战狂</v>
          </cell>
        </row>
        <row r="519">
          <cell r="A519">
            <v>8310</v>
          </cell>
          <cell r="B519" t="str">
            <v>贪狼</v>
          </cell>
        </row>
        <row r="520">
          <cell r="A520">
            <v>8120</v>
          </cell>
          <cell r="B520" t="str">
            <v>辉煌</v>
          </cell>
        </row>
        <row r="521">
          <cell r="A521">
            <v>8220</v>
          </cell>
          <cell r="B521" t="str">
            <v>破军</v>
          </cell>
        </row>
        <row r="522">
          <cell r="A522">
            <v>8320</v>
          </cell>
          <cell r="B522" t="str">
            <v>真刚</v>
          </cell>
        </row>
        <row r="523">
          <cell r="A523">
            <v>8420</v>
          </cell>
          <cell r="B523" t="str">
            <v>飞仙</v>
          </cell>
        </row>
        <row r="524">
          <cell r="A524">
            <v>8520</v>
          </cell>
          <cell r="B524" t="str">
            <v>虚空</v>
          </cell>
        </row>
        <row r="525">
          <cell r="A525">
            <v>8620</v>
          </cell>
          <cell r="B525" t="str">
            <v>无惧</v>
          </cell>
        </row>
        <row r="526">
          <cell r="A526">
            <v>8720</v>
          </cell>
          <cell r="B526" t="str">
            <v>天杀</v>
          </cell>
        </row>
        <row r="527">
          <cell r="A527">
            <v>8820</v>
          </cell>
          <cell r="B527" t="str">
            <v>诛魔</v>
          </cell>
        </row>
        <row r="528">
          <cell r="A528">
            <v>8130</v>
          </cell>
          <cell r="B528" t="str">
            <v>霸主</v>
          </cell>
        </row>
        <row r="529">
          <cell r="A529">
            <v>8230</v>
          </cell>
          <cell r="B529" t="str">
            <v>虎啸</v>
          </cell>
        </row>
        <row r="530">
          <cell r="A530">
            <v>8330</v>
          </cell>
          <cell r="B530" t="str">
            <v>豪魄</v>
          </cell>
        </row>
        <row r="531">
          <cell r="A531">
            <v>8430</v>
          </cell>
          <cell r="B531" t="str">
            <v>捉影</v>
          </cell>
        </row>
        <row r="532">
          <cell r="A532">
            <v>8530</v>
          </cell>
          <cell r="B532" t="str">
            <v>游刃</v>
          </cell>
        </row>
        <row r="533">
          <cell r="A533">
            <v>8630</v>
          </cell>
          <cell r="B533" t="str">
            <v>傲骨</v>
          </cell>
        </row>
        <row r="534">
          <cell r="A534">
            <v>8730</v>
          </cell>
          <cell r="B534" t="str">
            <v>心眼</v>
          </cell>
        </row>
        <row r="535">
          <cell r="A535">
            <v>8830</v>
          </cell>
          <cell r="B535" t="str">
            <v>噬生</v>
          </cell>
        </row>
        <row r="536">
          <cell r="A536">
            <v>8930</v>
          </cell>
          <cell r="B536" t="str">
            <v>痛击</v>
          </cell>
        </row>
        <row r="537">
          <cell r="A537">
            <v>9030</v>
          </cell>
          <cell r="B537" t="str">
            <v>不坏</v>
          </cell>
        </row>
        <row r="538">
          <cell r="A538">
            <v>9130</v>
          </cell>
          <cell r="B538" t="str">
            <v>寂灭</v>
          </cell>
        </row>
        <row r="539">
          <cell r="A539">
            <v>9230</v>
          </cell>
          <cell r="B539" t="str">
            <v>盘蛇</v>
          </cell>
        </row>
        <row r="540">
          <cell r="A540">
            <v>8140</v>
          </cell>
          <cell r="B540" t="str">
            <v>天命</v>
          </cell>
        </row>
        <row r="541">
          <cell r="A541">
            <v>8240</v>
          </cell>
          <cell r="B541" t="str">
            <v>龙吟</v>
          </cell>
        </row>
        <row r="542">
          <cell r="A542">
            <v>8340</v>
          </cell>
          <cell r="B542" t="str">
            <v>守御</v>
          </cell>
        </row>
        <row r="543">
          <cell r="A543">
            <v>8440</v>
          </cell>
          <cell r="B543" t="str">
            <v>千眼</v>
          </cell>
        </row>
        <row r="544">
          <cell r="A544">
            <v>8540</v>
          </cell>
          <cell r="B544" t="str">
            <v>逍遥</v>
          </cell>
        </row>
        <row r="545">
          <cell r="A545">
            <v>8640</v>
          </cell>
          <cell r="B545" t="str">
            <v>流离</v>
          </cell>
        </row>
        <row r="546">
          <cell r="A546">
            <v>8740</v>
          </cell>
          <cell r="B546" t="str">
            <v>夺魄</v>
          </cell>
        </row>
        <row r="547">
          <cell r="A547">
            <v>8840</v>
          </cell>
          <cell r="B547" t="str">
            <v>审判</v>
          </cell>
        </row>
        <row r="548">
          <cell r="A548">
            <v>8940</v>
          </cell>
          <cell r="B548" t="str">
            <v>破天</v>
          </cell>
        </row>
        <row r="549">
          <cell r="A549">
            <v>9040</v>
          </cell>
          <cell r="B549" t="str">
            <v>天狱</v>
          </cell>
        </row>
        <row r="550">
          <cell r="A550">
            <v>9140</v>
          </cell>
          <cell r="B550" t="str">
            <v>幽灵</v>
          </cell>
        </row>
        <row r="551">
          <cell r="A551">
            <v>9240</v>
          </cell>
          <cell r="B551" t="str">
            <v>困魔</v>
          </cell>
        </row>
        <row r="552">
          <cell r="A552">
            <v>9340</v>
          </cell>
          <cell r="B552" t="str">
            <v>无尽</v>
          </cell>
        </row>
        <row r="553">
          <cell r="A553">
            <v>9440</v>
          </cell>
          <cell r="B553" t="str">
            <v>无尽</v>
          </cell>
        </row>
        <row r="554">
          <cell r="A554">
            <v>9540</v>
          </cell>
          <cell r="B554" t="str">
            <v>八卦</v>
          </cell>
        </row>
        <row r="555">
          <cell r="A555">
            <v>9640</v>
          </cell>
          <cell r="B555" t="str">
            <v>剎那</v>
          </cell>
        </row>
        <row r="556">
          <cell r="A556">
            <v>9740</v>
          </cell>
          <cell r="B556" t="str">
            <v>咆哮</v>
          </cell>
        </row>
        <row r="557">
          <cell r="A557">
            <v>9840</v>
          </cell>
          <cell r="B557" t="str">
            <v>断罪</v>
          </cell>
        </row>
        <row r="558">
          <cell r="A558">
            <v>8150</v>
          </cell>
          <cell r="B558" t="str">
            <v>一元复始</v>
          </cell>
        </row>
        <row r="559">
          <cell r="A559">
            <v>8250</v>
          </cell>
          <cell r="B559" t="str">
            <v>大破坏神</v>
          </cell>
        </row>
        <row r="560">
          <cell r="A560">
            <v>8350</v>
          </cell>
          <cell r="B560" t="str">
            <v>天地无用</v>
          </cell>
        </row>
        <row r="561">
          <cell r="A561">
            <v>8450</v>
          </cell>
          <cell r="B561" t="str">
            <v>百步穿杨</v>
          </cell>
        </row>
        <row r="562">
          <cell r="A562">
            <v>8550</v>
          </cell>
          <cell r="B562" t="str">
            <v>破碎虚空</v>
          </cell>
        </row>
        <row r="563">
          <cell r="A563">
            <v>8650</v>
          </cell>
          <cell r="B563" t="str">
            <v>冰魄寒光</v>
          </cell>
        </row>
        <row r="564">
          <cell r="A564">
            <v>8750</v>
          </cell>
          <cell r="B564" t="str">
            <v>震破苍穹</v>
          </cell>
        </row>
        <row r="565">
          <cell r="A565">
            <v>8850</v>
          </cell>
          <cell r="B565" t="str">
            <v>雷霆万钧</v>
          </cell>
        </row>
        <row r="566">
          <cell r="A566">
            <v>8950</v>
          </cell>
          <cell r="B566" t="str">
            <v>快刀乱麻</v>
          </cell>
        </row>
        <row r="567">
          <cell r="A567">
            <v>9050</v>
          </cell>
          <cell r="B567" t="str">
            <v>明镜止水</v>
          </cell>
        </row>
        <row r="568">
          <cell r="A568">
            <v>9150</v>
          </cell>
          <cell r="B568" t="str">
            <v>背水一战</v>
          </cell>
        </row>
        <row r="569">
          <cell r="A569">
            <v>9250</v>
          </cell>
          <cell r="B569" t="str">
            <v>金钟护体</v>
          </cell>
        </row>
        <row r="570">
          <cell r="A570">
            <v>9350</v>
          </cell>
          <cell r="B570" t="str">
            <v>轩辕剑体</v>
          </cell>
        </row>
        <row r="571">
          <cell r="A571">
            <v>9450</v>
          </cell>
          <cell r="B571" t="str">
            <v>气势如虹</v>
          </cell>
        </row>
        <row r="572">
          <cell r="A572">
            <v>9550</v>
          </cell>
          <cell r="B572" t="str">
            <v>包罗万象</v>
          </cell>
        </row>
        <row r="573">
          <cell r="A573">
            <v>9650</v>
          </cell>
          <cell r="B573" t="str">
            <v>心无杂念</v>
          </cell>
        </row>
        <row r="574">
          <cell r="A574">
            <v>9750</v>
          </cell>
          <cell r="B574" t="str">
            <v>披荆斩棘</v>
          </cell>
        </row>
        <row r="575">
          <cell r="A575">
            <v>9850</v>
          </cell>
          <cell r="B575" t="str">
            <v>斗转星移</v>
          </cell>
        </row>
        <row r="576">
          <cell r="A576">
            <v>8840</v>
          </cell>
          <cell r="B576" t="str">
            <v>审判</v>
          </cell>
        </row>
        <row r="577">
          <cell r="A577">
            <v>8940</v>
          </cell>
          <cell r="B577" t="str">
            <v>破天</v>
          </cell>
        </row>
        <row r="578">
          <cell r="A578">
            <v>9040</v>
          </cell>
          <cell r="B578" t="str">
            <v>天狱</v>
          </cell>
        </row>
        <row r="579">
          <cell r="A579">
            <v>9140</v>
          </cell>
          <cell r="B579" t="str">
            <v>幽灵</v>
          </cell>
        </row>
        <row r="580">
          <cell r="A580">
            <v>9240</v>
          </cell>
          <cell r="B580" t="str">
            <v>困魔</v>
          </cell>
        </row>
        <row r="581">
          <cell r="A581">
            <v>9340</v>
          </cell>
          <cell r="B581" t="str">
            <v>元初</v>
          </cell>
        </row>
        <row r="582">
          <cell r="A582">
            <v>9440</v>
          </cell>
          <cell r="B582" t="str">
            <v>无尽</v>
          </cell>
        </row>
        <row r="583">
          <cell r="A583">
            <v>9540</v>
          </cell>
          <cell r="B583" t="str">
            <v>八卦</v>
          </cell>
        </row>
        <row r="584">
          <cell r="A584">
            <v>9640</v>
          </cell>
          <cell r="B584" t="str">
            <v>剎那</v>
          </cell>
        </row>
        <row r="585">
          <cell r="A585">
            <v>9740</v>
          </cell>
          <cell r="B585" t="str">
            <v>咆哮</v>
          </cell>
        </row>
        <row r="586">
          <cell r="A586">
            <v>9840</v>
          </cell>
          <cell r="B586" t="str">
            <v>断罪</v>
          </cell>
        </row>
        <row r="587">
          <cell r="A587">
            <v>8150</v>
          </cell>
          <cell r="B587" t="str">
            <v>一元复始</v>
          </cell>
        </row>
        <row r="588">
          <cell r="A588">
            <v>8250</v>
          </cell>
          <cell r="B588" t="str">
            <v>大破坏神</v>
          </cell>
        </row>
        <row r="589">
          <cell r="A589">
            <v>8350</v>
          </cell>
          <cell r="B589" t="str">
            <v>天地无用</v>
          </cell>
        </row>
        <row r="590">
          <cell r="A590">
            <v>8450</v>
          </cell>
          <cell r="B590" t="str">
            <v>百步穿杨</v>
          </cell>
        </row>
        <row r="591">
          <cell r="A591">
            <v>8550</v>
          </cell>
          <cell r="B591" t="str">
            <v>破碎虚空</v>
          </cell>
        </row>
        <row r="592">
          <cell r="A592">
            <v>8650</v>
          </cell>
          <cell r="B592" t="str">
            <v>冰魄寒光</v>
          </cell>
        </row>
        <row r="593">
          <cell r="A593">
            <v>8750</v>
          </cell>
          <cell r="B593" t="str">
            <v>震破苍穹</v>
          </cell>
        </row>
        <row r="594">
          <cell r="A594">
            <v>8850</v>
          </cell>
          <cell r="B594" t="str">
            <v>雷霆万钧</v>
          </cell>
        </row>
        <row r="595">
          <cell r="A595">
            <v>8950</v>
          </cell>
          <cell r="B595" t="str">
            <v>快刀乱麻</v>
          </cell>
        </row>
        <row r="596">
          <cell r="A596">
            <v>9050</v>
          </cell>
          <cell r="B596" t="str">
            <v>明镜止水</v>
          </cell>
        </row>
        <row r="597">
          <cell r="A597">
            <v>9150</v>
          </cell>
          <cell r="B597" t="str">
            <v>背水一战</v>
          </cell>
        </row>
        <row r="598">
          <cell r="A598">
            <v>9250</v>
          </cell>
          <cell r="B598" t="str">
            <v>金钟护体</v>
          </cell>
        </row>
        <row r="599">
          <cell r="A599">
            <v>9350</v>
          </cell>
          <cell r="B599" t="str">
            <v>轩辕剑体</v>
          </cell>
        </row>
        <row r="600">
          <cell r="A600">
            <v>9450</v>
          </cell>
          <cell r="B600" t="str">
            <v>气势如虹</v>
          </cell>
        </row>
        <row r="601">
          <cell r="A601">
            <v>9550</v>
          </cell>
          <cell r="B601" t="str">
            <v>包罗万象</v>
          </cell>
        </row>
        <row r="602">
          <cell r="A602">
            <v>9650</v>
          </cell>
          <cell r="B602" t="str">
            <v>心无杂念</v>
          </cell>
        </row>
        <row r="603">
          <cell r="A603">
            <v>9750</v>
          </cell>
          <cell r="B603" t="str">
            <v>披荆斩棘</v>
          </cell>
        </row>
        <row r="604">
          <cell r="A604">
            <v>9850</v>
          </cell>
          <cell r="B604" t="str">
            <v>斗转星移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经济设定"/>
      <sheetName val="1、经济推算"/>
      <sheetName val="升级时间"/>
      <sheetName val="金币生产率曲线"/>
      <sheetName val="技能消耗"/>
      <sheetName val="装备消耗"/>
      <sheetName val="竞技场"/>
      <sheetName val="体力消耗运算"/>
      <sheetName val="副本规划"/>
      <sheetName val="金币投放"/>
      <sheetName val="钻石投放"/>
      <sheetName val="经验投放节奏规划"/>
      <sheetName val="装备&amp;装备材料的投放"/>
      <sheetName val="龙魂的投放"/>
      <sheetName val="命币的投放"/>
      <sheetName val="马仔的投放"/>
      <sheetName val="马仔宝物投放"/>
      <sheetName val="技能材料的投放"/>
      <sheetName val="材料产出汇总"/>
      <sheetName val="价格评估并表"/>
      <sheetName val="道具价格评估"/>
      <sheetName val="马仔装备价格评估"/>
      <sheetName val="装备价格评估"/>
      <sheetName val="命格价格评估"/>
      <sheetName val="马仔价格评估"/>
      <sheetName val="龙魂价格评估"/>
      <sheetName val="经济框架推算"/>
    </sheetNames>
    <definedNames>
      <definedName name="游戏物价查询" refersTo="='价格评估并表'!$A$2:$G$1024"/>
    </definedNames>
    <sheetDataSet>
      <sheetData sheetId="0">
        <row r="18">
          <cell r="C18">
            <v>50</v>
          </cell>
          <cell r="E18">
            <v>0.1</v>
          </cell>
        </row>
        <row r="19">
          <cell r="C19">
            <v>500</v>
          </cell>
          <cell r="E19">
            <v>2E-3</v>
          </cell>
        </row>
      </sheetData>
      <sheetData sheetId="1"/>
      <sheetData sheetId="2"/>
      <sheetData sheetId="3">
        <row r="2">
          <cell r="M2">
            <v>50</v>
          </cell>
        </row>
      </sheetData>
      <sheetData sheetId="4"/>
      <sheetData sheetId="5"/>
      <sheetData sheetId="6"/>
      <sheetData sheetId="7"/>
      <sheetData sheetId="8"/>
      <sheetData sheetId="9">
        <row r="6">
          <cell r="F6">
            <v>12718.926262365594</v>
          </cell>
        </row>
        <row r="7">
          <cell r="F7">
            <v>25.437852524731188</v>
          </cell>
        </row>
      </sheetData>
      <sheetData sheetId="10"/>
      <sheetData sheetId="11"/>
      <sheetData sheetId="12">
        <row r="35">
          <cell r="AI35">
            <v>0.42348703809684618</v>
          </cell>
          <cell r="AJ35">
            <v>0</v>
          </cell>
          <cell r="AM35">
            <v>1.6287963003724855</v>
          </cell>
          <cell r="AN35">
            <v>1.0858642002483236</v>
          </cell>
          <cell r="BF35"/>
          <cell r="BG35"/>
        </row>
        <row r="36">
          <cell r="AI36">
            <v>2.8560101670714239E-2</v>
          </cell>
          <cell r="AJ36" t="str">
            <v/>
          </cell>
          <cell r="AK36">
            <v>0.17850063544196401</v>
          </cell>
          <cell r="AM36">
            <v>0.10710038126517839</v>
          </cell>
          <cell r="AN36">
            <v>0.267750953162946</v>
          </cell>
          <cell r="AO36">
            <v>0</v>
          </cell>
          <cell r="AP36">
            <v>0.35700127088392802</v>
          </cell>
          <cell r="BD36"/>
          <cell r="BF36"/>
          <cell r="BG36">
            <v>0.2</v>
          </cell>
          <cell r="BI36"/>
        </row>
        <row r="37">
          <cell r="AK37">
            <v>8.9497498785812105E-2</v>
          </cell>
          <cell r="AP37">
            <v>0.20136937226807725</v>
          </cell>
          <cell r="BD37"/>
          <cell r="BI37"/>
        </row>
        <row r="38">
          <cell r="BF38"/>
          <cell r="BG38"/>
        </row>
      </sheetData>
      <sheetData sheetId="13"/>
      <sheetData sheetId="14"/>
      <sheetData sheetId="15">
        <row r="38">
          <cell r="AH38">
            <v>0.33162288327097511</v>
          </cell>
          <cell r="AI38">
            <v>8.4563835234098637</v>
          </cell>
          <cell r="AJ38">
            <v>1.3928161097380953</v>
          </cell>
          <cell r="AK38">
            <v>1.4591406863922904</v>
          </cell>
          <cell r="AL38">
            <v>0</v>
          </cell>
          <cell r="AM38">
            <v>2.6529830661678009</v>
          </cell>
        </row>
        <row r="39">
          <cell r="AH39">
            <v>0.16343944387686024</v>
          </cell>
          <cell r="AI39">
            <v>6.6397274074974471</v>
          </cell>
          <cell r="AJ39">
            <v>0.79676728889969373</v>
          </cell>
          <cell r="AK39">
            <v>0.84988510815967333</v>
          </cell>
          <cell r="AL39">
            <v>0</v>
          </cell>
          <cell r="AM39">
            <v>2.5496553244790197</v>
          </cell>
        </row>
        <row r="40">
          <cell r="AH40">
            <v>4.4898386630033496E-2</v>
          </cell>
          <cell r="AI40">
            <v>3.7415322191694584</v>
          </cell>
        </row>
      </sheetData>
      <sheetData sheetId="16">
        <row r="9">
          <cell r="J9">
            <v>8</v>
          </cell>
          <cell r="M9">
            <v>5.3681392235609104</v>
          </cell>
          <cell r="S9">
            <v>8</v>
          </cell>
        </row>
        <row r="10">
          <cell r="J10">
            <v>6</v>
          </cell>
          <cell r="M10">
            <v>12.552599009900991</v>
          </cell>
          <cell r="S10">
            <v>12</v>
          </cell>
        </row>
        <row r="40">
          <cell r="M40">
            <v>0.35890671964619558</v>
          </cell>
          <cell r="N40">
            <v>0.35890671964619558</v>
          </cell>
          <cell r="Q40">
            <v>1.9739869580540756</v>
          </cell>
        </row>
        <row r="41">
          <cell r="M41">
            <v>0.24664334595490711</v>
          </cell>
          <cell r="O41">
            <v>0.12332167297745356</v>
          </cell>
          <cell r="Q41">
            <v>1.2332167297745356</v>
          </cell>
          <cell r="R41">
            <v>1.5209673000552606</v>
          </cell>
        </row>
        <row r="42">
          <cell r="O42">
            <v>0.87124900019410789</v>
          </cell>
          <cell r="R42">
            <v>2.8004432149096323</v>
          </cell>
          <cell r="S42">
            <v>0</v>
          </cell>
        </row>
        <row r="43">
          <cell r="O43">
            <v>0.64634693778659114</v>
          </cell>
          <cell r="R43">
            <v>2.240669384326849</v>
          </cell>
          <cell r="S43">
            <v>0</v>
          </cell>
          <cell r="T43">
            <v>6.8943673363903057</v>
          </cell>
        </row>
        <row r="44">
          <cell r="O44">
            <v>0.67465482459370341</v>
          </cell>
        </row>
        <row r="52">
          <cell r="O52">
            <v>0</v>
          </cell>
        </row>
      </sheetData>
      <sheetData sheetId="17">
        <row r="23">
          <cell r="K23" t="str">
            <v/>
          </cell>
        </row>
      </sheetData>
      <sheetData sheetId="18"/>
      <sheetData sheetId="19">
        <row r="1">
          <cell r="A1" t="str">
            <v>ID</v>
          </cell>
          <cell r="B1" t="str">
            <v>名字</v>
          </cell>
          <cell r="C1" t="str">
            <v>价值评估</v>
          </cell>
          <cell r="D1" t="str">
            <v>需求量</v>
          </cell>
          <cell r="E1" t="str">
            <v>稀有度</v>
          </cell>
          <cell r="F1" t="str">
            <v>金币价格</v>
          </cell>
          <cell r="G1" t="str">
            <v>钻石价格</v>
          </cell>
        </row>
        <row r="2">
          <cell r="A2">
            <v>91001</v>
          </cell>
          <cell r="B2" t="str">
            <v>马仔经验药水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</row>
        <row r="3">
          <cell r="A3">
            <v>81002</v>
          </cell>
          <cell r="B3" t="str">
            <v>金币卡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</row>
        <row r="4">
          <cell r="A4">
            <v>81003</v>
          </cell>
          <cell r="B4" t="str">
            <v>VIP礼包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</row>
        <row r="5">
          <cell r="A5">
            <v>81010</v>
          </cell>
          <cell r="B5" t="str">
            <v>VIP体验卡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</row>
        <row r="6">
          <cell r="A6">
            <v>82001</v>
          </cell>
          <cell r="B6" t="str">
            <v>翅膀碎片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</row>
        <row r="7">
          <cell r="A7">
            <v>83001</v>
          </cell>
          <cell r="B7" t="str">
            <v>巨额金币卡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A8">
            <v>83002</v>
          </cell>
          <cell r="B8" t="str">
            <v>扫荡券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A9">
            <v>83003</v>
          </cell>
          <cell r="B9" t="str">
            <v>洪兴新星</v>
          </cell>
          <cell r="C9">
            <v>40.883264194285957</v>
          </cell>
          <cell r="D9">
            <v>1</v>
          </cell>
          <cell r="E9">
            <v>30</v>
          </cell>
          <cell r="F9">
            <v>61324.896291428937</v>
          </cell>
          <cell r="G9">
            <v>122.64979258285787</v>
          </cell>
        </row>
        <row r="10">
          <cell r="A10">
            <v>83004</v>
          </cell>
          <cell r="B10" t="str">
            <v>洪兴打仔</v>
          </cell>
          <cell r="C10">
            <v>65.526357207911119</v>
          </cell>
          <cell r="D10">
            <v>1</v>
          </cell>
          <cell r="E10">
            <v>30</v>
          </cell>
          <cell r="F10">
            <v>98289.535811866677</v>
          </cell>
          <cell r="G10">
            <v>196.57907162373337</v>
          </cell>
        </row>
        <row r="11">
          <cell r="A11">
            <v>83005</v>
          </cell>
          <cell r="B11" t="str">
            <v>扛把子</v>
          </cell>
          <cell r="C11">
            <v>93.895930095509812</v>
          </cell>
          <cell r="D11">
            <v>1</v>
          </cell>
          <cell r="E11">
            <v>30</v>
          </cell>
          <cell r="F11">
            <v>140843.89514326473</v>
          </cell>
          <cell r="G11">
            <v>281.68779028652949</v>
          </cell>
        </row>
        <row r="12">
          <cell r="A12">
            <v>83006</v>
          </cell>
          <cell r="B12" t="str">
            <v>二路元帅</v>
          </cell>
          <cell r="C12">
            <v>136.84714401067484</v>
          </cell>
          <cell r="D12">
            <v>1</v>
          </cell>
          <cell r="E12">
            <v>30</v>
          </cell>
          <cell r="F12">
            <v>205270.71601601224</v>
          </cell>
          <cell r="G12">
            <v>410.54143203202449</v>
          </cell>
        </row>
        <row r="13">
          <cell r="A13">
            <v>83007</v>
          </cell>
          <cell r="B13" t="str">
            <v>战无不胜</v>
          </cell>
          <cell r="C13">
            <v>525.2369515441618</v>
          </cell>
          <cell r="D13">
            <v>1</v>
          </cell>
          <cell r="E13">
            <v>40</v>
          </cell>
          <cell r="F13">
            <v>1050473.9030883235</v>
          </cell>
          <cell r="G13">
            <v>2100.9478061766472</v>
          </cell>
        </row>
        <row r="14">
          <cell r="A14">
            <v>83008</v>
          </cell>
          <cell r="B14" t="str">
            <v>猛龙过江</v>
          </cell>
          <cell r="C14">
            <v>195.7419418851112</v>
          </cell>
          <cell r="D14">
            <v>1</v>
          </cell>
          <cell r="E14">
            <v>30</v>
          </cell>
          <cell r="F14">
            <v>293612.91282766679</v>
          </cell>
          <cell r="G14">
            <v>587.22582565533355</v>
          </cell>
        </row>
        <row r="15">
          <cell r="A15">
            <v>83009</v>
          </cell>
          <cell r="B15" t="str">
            <v>神之手</v>
          </cell>
          <cell r="C15">
            <v>325.83843064355233</v>
          </cell>
          <cell r="D15">
            <v>1</v>
          </cell>
          <cell r="E15">
            <v>35</v>
          </cell>
          <cell r="F15">
            <v>570217.25362621655</v>
          </cell>
          <cell r="G15">
            <v>1140.4345072524331</v>
          </cell>
        </row>
        <row r="16">
          <cell r="A16">
            <v>83010</v>
          </cell>
          <cell r="B16" t="str">
            <v>富甲一方</v>
          </cell>
          <cell r="C16">
            <v>163.11828490425933</v>
          </cell>
          <cell r="D16">
            <v>1</v>
          </cell>
          <cell r="E16">
            <v>25</v>
          </cell>
          <cell r="F16">
            <v>203897.85613032416</v>
          </cell>
          <cell r="G16">
            <v>407.79571226064832</v>
          </cell>
        </row>
        <row r="17">
          <cell r="A17">
            <v>83011</v>
          </cell>
          <cell r="B17" t="str">
            <v>壕气冲天</v>
          </cell>
          <cell r="C17">
            <v>271.53202553629359</v>
          </cell>
          <cell r="D17">
            <v>1</v>
          </cell>
          <cell r="E17">
            <v>30</v>
          </cell>
          <cell r="F17">
            <v>407298.03830444039</v>
          </cell>
          <cell r="G17">
            <v>814.59607660888082</v>
          </cell>
        </row>
        <row r="18">
          <cell r="A18">
            <v>83012</v>
          </cell>
          <cell r="B18" t="str">
            <v>富可敌国</v>
          </cell>
          <cell r="C18">
            <v>437.69745962013485</v>
          </cell>
          <cell r="D18">
            <v>1</v>
          </cell>
          <cell r="E18">
            <v>35</v>
          </cell>
          <cell r="F18">
            <v>765970.55433523597</v>
          </cell>
          <cell r="G18">
            <v>1531.941108670472</v>
          </cell>
        </row>
        <row r="19">
          <cell r="A19">
            <v>83013</v>
          </cell>
          <cell r="B19" t="str">
            <v>壕气冲天</v>
          </cell>
          <cell r="C19">
            <v>95.032738896301993</v>
          </cell>
          <cell r="D19">
            <v>1</v>
          </cell>
          <cell r="E19">
            <v>15</v>
          </cell>
          <cell r="F19">
            <v>71274.554172226504</v>
          </cell>
          <cell r="G19">
            <v>142.549108344453</v>
          </cell>
        </row>
        <row r="20">
          <cell r="A20">
            <v>83014</v>
          </cell>
          <cell r="B20" t="str">
            <v>富可敌国</v>
          </cell>
          <cell r="C20">
            <v>0</v>
          </cell>
          <cell r="D20">
            <v>1</v>
          </cell>
          <cell r="E20">
            <v>0</v>
          </cell>
          <cell r="F20">
            <v>0</v>
          </cell>
          <cell r="G20">
            <v>0</v>
          </cell>
        </row>
        <row r="21">
          <cell r="A21">
            <v>83015</v>
          </cell>
          <cell r="B21" t="str">
            <v>战斗狂人</v>
          </cell>
          <cell r="C21">
            <v>0</v>
          </cell>
          <cell r="D21">
            <v>1</v>
          </cell>
          <cell r="E21">
            <v>0</v>
          </cell>
          <cell r="F21">
            <v>0</v>
          </cell>
          <cell r="G21">
            <v>0</v>
          </cell>
        </row>
        <row r="22">
          <cell r="A22">
            <v>83016</v>
          </cell>
          <cell r="B22" t="str">
            <v>不哭死神</v>
          </cell>
          <cell r="C22">
            <v>0</v>
          </cell>
          <cell r="D22">
            <v>1</v>
          </cell>
          <cell r="E22">
            <v>0</v>
          </cell>
          <cell r="F22">
            <v>0</v>
          </cell>
          <cell r="G22">
            <v>0</v>
          </cell>
        </row>
        <row r="23">
          <cell r="A23">
            <v>83017</v>
          </cell>
          <cell r="B23" t="str">
            <v>干架王</v>
          </cell>
          <cell r="C23">
            <v>0</v>
          </cell>
          <cell r="D23">
            <v>1</v>
          </cell>
          <cell r="E23">
            <v>0</v>
          </cell>
          <cell r="F23">
            <v>0</v>
          </cell>
          <cell r="G23">
            <v>0</v>
          </cell>
        </row>
        <row r="24">
          <cell r="A24">
            <v>83018</v>
          </cell>
          <cell r="B24" t="str">
            <v>破坏王</v>
          </cell>
          <cell r="C24">
            <v>0</v>
          </cell>
          <cell r="D24">
            <v>1</v>
          </cell>
          <cell r="E24">
            <v>0</v>
          </cell>
          <cell r="F24">
            <v>0</v>
          </cell>
          <cell r="G24">
            <v>0</v>
          </cell>
        </row>
        <row r="25">
          <cell r="A25">
            <v>83019</v>
          </cell>
          <cell r="B25" t="str">
            <v>战无尽</v>
          </cell>
          <cell r="C25">
            <v>0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>
            <v>83020</v>
          </cell>
          <cell r="B26" t="str">
            <v>绝世战神</v>
          </cell>
          <cell r="C26">
            <v>0</v>
          </cell>
          <cell r="D26">
            <v>1</v>
          </cell>
          <cell r="E26">
            <v>0</v>
          </cell>
          <cell r="F26">
            <v>0</v>
          </cell>
          <cell r="G26">
            <v>0</v>
          </cell>
        </row>
        <row r="27">
          <cell r="A27">
            <v>83021</v>
          </cell>
          <cell r="B27" t="str">
            <v>至尊王者</v>
          </cell>
          <cell r="C27">
            <v>0</v>
          </cell>
          <cell r="D27">
            <v>1</v>
          </cell>
          <cell r="E27">
            <v>0</v>
          </cell>
          <cell r="F27">
            <v>0</v>
          </cell>
          <cell r="G27">
            <v>0</v>
          </cell>
        </row>
        <row r="28">
          <cell r="A28">
            <v>83022</v>
          </cell>
          <cell r="B28" t="str">
            <v>横砍一条街</v>
          </cell>
          <cell r="C28">
            <v>0</v>
          </cell>
          <cell r="D28">
            <v>1</v>
          </cell>
          <cell r="E28">
            <v>0</v>
          </cell>
          <cell r="F28">
            <v>0</v>
          </cell>
          <cell r="G28">
            <v>0</v>
          </cell>
        </row>
        <row r="29">
          <cell r="A29">
            <v>83103</v>
          </cell>
          <cell r="B29" t="str">
            <v>洪兴新星(3天)</v>
          </cell>
          <cell r="C29">
            <v>40.883264194285957</v>
          </cell>
          <cell r="D29">
            <v>1</v>
          </cell>
          <cell r="E29">
            <v>15</v>
          </cell>
          <cell r="F29">
            <v>30662.448145714468</v>
          </cell>
          <cell r="G29">
            <v>61.324896291428935</v>
          </cell>
        </row>
        <row r="30">
          <cell r="A30">
            <v>83104</v>
          </cell>
          <cell r="B30" t="str">
            <v>洪兴打仔(3天)</v>
          </cell>
          <cell r="C30">
            <v>65.526357207911119</v>
          </cell>
          <cell r="D30">
            <v>1</v>
          </cell>
          <cell r="E30">
            <v>15</v>
          </cell>
          <cell r="F30">
            <v>49144.767905933339</v>
          </cell>
          <cell r="G30">
            <v>98.289535811866685</v>
          </cell>
        </row>
        <row r="31">
          <cell r="A31">
            <v>83105</v>
          </cell>
          <cell r="B31" t="str">
            <v>扛把子(3天)</v>
          </cell>
          <cell r="C31">
            <v>93.895930095509812</v>
          </cell>
          <cell r="D31">
            <v>1</v>
          </cell>
          <cell r="E31">
            <v>15</v>
          </cell>
          <cell r="F31">
            <v>70421.947571632365</v>
          </cell>
          <cell r="G31">
            <v>140.84389514326475</v>
          </cell>
        </row>
        <row r="32">
          <cell r="A32">
            <v>83106</v>
          </cell>
          <cell r="B32" t="str">
            <v>二路元帅(3天)</v>
          </cell>
          <cell r="C32">
            <v>136.84714401067484</v>
          </cell>
          <cell r="D32">
            <v>1</v>
          </cell>
          <cell r="E32">
            <v>15</v>
          </cell>
          <cell r="F32">
            <v>102635.35800800612</v>
          </cell>
          <cell r="G32">
            <v>205.27071601601224</v>
          </cell>
        </row>
        <row r="33">
          <cell r="A33">
            <v>83107</v>
          </cell>
          <cell r="B33" t="str">
            <v>战无不胜(3天)</v>
          </cell>
          <cell r="C33">
            <v>525.2369515441618</v>
          </cell>
          <cell r="D33">
            <v>1</v>
          </cell>
          <cell r="E33">
            <v>20</v>
          </cell>
          <cell r="F33">
            <v>525236.95154416177</v>
          </cell>
          <cell r="G33">
            <v>1050.4739030883236</v>
          </cell>
        </row>
        <row r="34">
          <cell r="A34">
            <v>83108</v>
          </cell>
          <cell r="B34" t="str">
            <v>猛龙过江(3天)</v>
          </cell>
          <cell r="C34">
            <v>195.7419418851112</v>
          </cell>
          <cell r="D34">
            <v>1</v>
          </cell>
          <cell r="E34">
            <v>15</v>
          </cell>
          <cell r="F34">
            <v>146806.4564138334</v>
          </cell>
          <cell r="G34">
            <v>293.61291282766678</v>
          </cell>
        </row>
        <row r="35">
          <cell r="A35">
            <v>83109</v>
          </cell>
          <cell r="B35" t="str">
            <v>神之手(3天)</v>
          </cell>
          <cell r="C35">
            <v>325.83843064355233</v>
          </cell>
          <cell r="D35">
            <v>1</v>
          </cell>
          <cell r="E35">
            <v>17.5</v>
          </cell>
          <cell r="F35">
            <v>285108.62681310828</v>
          </cell>
          <cell r="G35">
            <v>570.21725362621657</v>
          </cell>
        </row>
        <row r="36">
          <cell r="A36">
            <v>83110</v>
          </cell>
          <cell r="B36" t="str">
            <v>富甲一方(3天)</v>
          </cell>
          <cell r="C36">
            <v>163.11828490425933</v>
          </cell>
          <cell r="D36">
            <v>1</v>
          </cell>
          <cell r="E36">
            <v>12.5</v>
          </cell>
          <cell r="F36">
            <v>101948.92806516208</v>
          </cell>
          <cell r="G36">
            <v>203.89785613032416</v>
          </cell>
        </row>
        <row r="37">
          <cell r="A37">
            <v>83111</v>
          </cell>
          <cell r="B37" t="str">
            <v>壕气冲天(3天)</v>
          </cell>
          <cell r="C37">
            <v>271.53202553629359</v>
          </cell>
          <cell r="D37">
            <v>1</v>
          </cell>
          <cell r="E37">
            <v>15</v>
          </cell>
          <cell r="F37">
            <v>203649.01915222019</v>
          </cell>
          <cell r="G37">
            <v>407.29803830444041</v>
          </cell>
        </row>
        <row r="38">
          <cell r="A38">
            <v>83112</v>
          </cell>
          <cell r="B38" t="str">
            <v>富可敌国(3天)</v>
          </cell>
          <cell r="C38">
            <v>437.69745962013485</v>
          </cell>
          <cell r="D38">
            <v>1</v>
          </cell>
          <cell r="E38">
            <v>17.5</v>
          </cell>
          <cell r="F38">
            <v>382985.27716761798</v>
          </cell>
          <cell r="G38">
            <v>765.97055433523599</v>
          </cell>
        </row>
        <row r="39">
          <cell r="A39">
            <v>83113</v>
          </cell>
          <cell r="B39" t="str">
            <v>壕气冲天(3天)</v>
          </cell>
          <cell r="C39">
            <v>95.032738896301993</v>
          </cell>
          <cell r="D39">
            <v>1</v>
          </cell>
          <cell r="E39">
            <v>15</v>
          </cell>
          <cell r="F39">
            <v>71274.554172226504</v>
          </cell>
          <cell r="G39">
            <v>142.549108344453</v>
          </cell>
        </row>
        <row r="40">
          <cell r="A40">
            <v>83114</v>
          </cell>
          <cell r="B40" t="str">
            <v>富可敌国(3天)</v>
          </cell>
          <cell r="C40">
            <v>0</v>
          </cell>
          <cell r="D40">
            <v>1</v>
          </cell>
          <cell r="E40">
            <v>0</v>
          </cell>
          <cell r="F40">
            <v>0</v>
          </cell>
          <cell r="G40">
            <v>0</v>
          </cell>
        </row>
        <row r="41">
          <cell r="A41">
            <v>83115</v>
          </cell>
          <cell r="B41" t="str">
            <v>战斗狂人(3天)</v>
          </cell>
          <cell r="C41">
            <v>0</v>
          </cell>
          <cell r="D41">
            <v>1</v>
          </cell>
          <cell r="E41">
            <v>0</v>
          </cell>
          <cell r="F41">
            <v>0</v>
          </cell>
          <cell r="G41">
            <v>0</v>
          </cell>
        </row>
        <row r="42">
          <cell r="A42">
            <v>83116</v>
          </cell>
          <cell r="B42" t="str">
            <v>不哭死神(3天)</v>
          </cell>
          <cell r="C42">
            <v>0</v>
          </cell>
          <cell r="D42">
            <v>1</v>
          </cell>
          <cell r="E42">
            <v>0</v>
          </cell>
          <cell r="F42">
            <v>0</v>
          </cell>
          <cell r="G42">
            <v>0</v>
          </cell>
        </row>
        <row r="43">
          <cell r="A43">
            <v>83117</v>
          </cell>
          <cell r="B43" t="str">
            <v>干架王(3天)</v>
          </cell>
          <cell r="C43">
            <v>0</v>
          </cell>
          <cell r="D43">
            <v>1</v>
          </cell>
          <cell r="E43">
            <v>0</v>
          </cell>
          <cell r="F43">
            <v>0</v>
          </cell>
          <cell r="G43">
            <v>0</v>
          </cell>
        </row>
        <row r="44">
          <cell r="A44">
            <v>83118</v>
          </cell>
          <cell r="B44" t="str">
            <v>破坏王(3天)</v>
          </cell>
          <cell r="C44">
            <v>0</v>
          </cell>
          <cell r="D44">
            <v>1</v>
          </cell>
          <cell r="E44">
            <v>0</v>
          </cell>
          <cell r="F44">
            <v>0</v>
          </cell>
          <cell r="G44">
            <v>0</v>
          </cell>
        </row>
        <row r="45">
          <cell r="A45">
            <v>83119</v>
          </cell>
          <cell r="B45" t="str">
            <v>战无尽(3天)</v>
          </cell>
          <cell r="C45">
            <v>0</v>
          </cell>
          <cell r="D45">
            <v>1</v>
          </cell>
          <cell r="E45">
            <v>0</v>
          </cell>
          <cell r="F45">
            <v>0</v>
          </cell>
          <cell r="G45">
            <v>0</v>
          </cell>
        </row>
        <row r="46">
          <cell r="A46">
            <v>83120</v>
          </cell>
          <cell r="B46" t="str">
            <v>绝世战神(3天)</v>
          </cell>
          <cell r="C46">
            <v>0</v>
          </cell>
          <cell r="D46">
            <v>1</v>
          </cell>
          <cell r="E46">
            <v>0</v>
          </cell>
          <cell r="F46">
            <v>0</v>
          </cell>
          <cell r="G46">
            <v>0</v>
          </cell>
        </row>
        <row r="47">
          <cell r="A47">
            <v>83121</v>
          </cell>
          <cell r="B47" t="str">
            <v>至尊王者(3天)</v>
          </cell>
          <cell r="C47">
            <v>0</v>
          </cell>
          <cell r="D47">
            <v>1</v>
          </cell>
          <cell r="E47">
            <v>0</v>
          </cell>
          <cell r="F47">
            <v>0</v>
          </cell>
          <cell r="G47">
            <v>0</v>
          </cell>
        </row>
        <row r="48">
          <cell r="A48">
            <v>83122</v>
          </cell>
          <cell r="B48" t="str">
            <v>横砍一条街(3天)</v>
          </cell>
          <cell r="C48">
            <v>0</v>
          </cell>
          <cell r="D48">
            <v>1</v>
          </cell>
          <cell r="E48">
            <v>0</v>
          </cell>
          <cell r="F48">
            <v>0</v>
          </cell>
          <cell r="G48">
            <v>0</v>
          </cell>
        </row>
        <row r="49">
          <cell r="A49">
            <v>78101</v>
          </cell>
          <cell r="B49" t="str">
            <v>马仔碎片(制服太妹)</v>
          </cell>
          <cell r="C49">
            <v>2.5553552307428928</v>
          </cell>
          <cell r="D49">
            <v>980</v>
          </cell>
          <cell r="E49">
            <v>97.5</v>
          </cell>
          <cell r="F49">
            <v>12500</v>
          </cell>
          <cell r="G49">
            <v>25</v>
          </cell>
        </row>
        <row r="50">
          <cell r="A50">
            <v>78102</v>
          </cell>
          <cell r="B50" t="str">
            <v>马仔碎片(蟹仔)</v>
          </cell>
          <cell r="C50">
            <v>2.5553552307428928</v>
          </cell>
          <cell r="D50">
            <v>980</v>
          </cell>
          <cell r="E50">
            <v>97.5</v>
          </cell>
          <cell r="F50">
            <v>12500</v>
          </cell>
          <cell r="G50">
            <v>25</v>
          </cell>
        </row>
        <row r="51">
          <cell r="A51">
            <v>78103</v>
          </cell>
          <cell r="B51" t="str">
            <v>马仔碎片(比利)</v>
          </cell>
          <cell r="C51">
            <v>2.5553552307428928</v>
          </cell>
          <cell r="D51">
            <v>980</v>
          </cell>
          <cell r="E51">
            <v>97.5</v>
          </cell>
          <cell r="F51">
            <v>12500</v>
          </cell>
          <cell r="G51">
            <v>25</v>
          </cell>
        </row>
        <row r="52">
          <cell r="A52">
            <v>78104</v>
          </cell>
          <cell r="B52" t="str">
            <v>马仔碎片(黎九)</v>
          </cell>
          <cell r="C52">
            <v>2.5553552307428928</v>
          </cell>
          <cell r="D52">
            <v>980</v>
          </cell>
          <cell r="E52">
            <v>97.5</v>
          </cell>
          <cell r="F52">
            <v>12500</v>
          </cell>
          <cell r="G52">
            <v>25</v>
          </cell>
        </row>
        <row r="53">
          <cell r="A53">
            <v>78105</v>
          </cell>
          <cell r="B53" t="str">
            <v>马仔碎片(黑古)</v>
          </cell>
          <cell r="C53">
            <v>2.5553552307428928</v>
          </cell>
          <cell r="D53">
            <v>980</v>
          </cell>
          <cell r="E53">
            <v>97.5</v>
          </cell>
          <cell r="F53">
            <v>12500</v>
          </cell>
          <cell r="G53">
            <v>25</v>
          </cell>
        </row>
        <row r="54">
          <cell r="A54">
            <v>78106</v>
          </cell>
          <cell r="B54" t="str">
            <v>马仔碎片(靓坤)</v>
          </cell>
          <cell r="C54">
            <v>5.1107104614857857</v>
          </cell>
          <cell r="D54">
            <v>980</v>
          </cell>
          <cell r="E54">
            <v>97.5</v>
          </cell>
          <cell r="F54">
            <v>25000</v>
          </cell>
          <cell r="G54">
            <v>50</v>
          </cell>
        </row>
        <row r="55">
          <cell r="A55">
            <v>78107</v>
          </cell>
          <cell r="B55" t="str">
            <v>马仔碎片(雷复轰)</v>
          </cell>
          <cell r="C55">
            <v>5.1107104614857857</v>
          </cell>
          <cell r="D55">
            <v>980</v>
          </cell>
          <cell r="E55">
            <v>97.5</v>
          </cell>
          <cell r="F55">
            <v>25000</v>
          </cell>
          <cell r="G55">
            <v>50</v>
          </cell>
        </row>
        <row r="56">
          <cell r="A56">
            <v>78108</v>
          </cell>
          <cell r="B56" t="str">
            <v>马仔碎片(肥仔)</v>
          </cell>
          <cell r="C56">
            <v>5.1107104614857857</v>
          </cell>
          <cell r="D56">
            <v>980</v>
          </cell>
          <cell r="E56">
            <v>97.5</v>
          </cell>
          <cell r="F56">
            <v>25000</v>
          </cell>
          <cell r="G56">
            <v>50</v>
          </cell>
        </row>
        <row r="57">
          <cell r="A57">
            <v>78109</v>
          </cell>
          <cell r="B57" t="str">
            <v>马仔碎片(司徒浩南)</v>
          </cell>
          <cell r="C57">
            <v>10.221420922971571</v>
          </cell>
          <cell r="D57">
            <v>980</v>
          </cell>
          <cell r="E57">
            <v>97.5</v>
          </cell>
          <cell r="F57">
            <v>50000</v>
          </cell>
          <cell r="G57">
            <v>100</v>
          </cell>
        </row>
        <row r="58">
          <cell r="A58">
            <v>78110</v>
          </cell>
          <cell r="B58" t="str">
            <v>马仔碎片(乌鸦)</v>
          </cell>
          <cell r="C58">
            <v>10.221420922971571</v>
          </cell>
          <cell r="D58">
            <v>980</v>
          </cell>
          <cell r="E58">
            <v>97.5</v>
          </cell>
          <cell r="F58">
            <v>50000</v>
          </cell>
          <cell r="G58">
            <v>100</v>
          </cell>
        </row>
        <row r="59">
          <cell r="A59">
            <v>78111</v>
          </cell>
          <cell r="B59" t="str">
            <v>马仔碎片(赌王)</v>
          </cell>
          <cell r="C59">
            <v>10.221420922971571</v>
          </cell>
          <cell r="D59">
            <v>980</v>
          </cell>
          <cell r="E59">
            <v>97.5</v>
          </cell>
          <cell r="F59">
            <v>50000</v>
          </cell>
          <cell r="G59">
            <v>100</v>
          </cell>
        </row>
        <row r="60">
          <cell r="A60">
            <v>78112</v>
          </cell>
          <cell r="B60" t="str">
            <v>马仔碎片(山下忠秀)</v>
          </cell>
          <cell r="C60">
            <v>10.221420922971571</v>
          </cell>
          <cell r="D60">
            <v>980</v>
          </cell>
          <cell r="E60">
            <v>97.5</v>
          </cell>
          <cell r="F60">
            <v>50000</v>
          </cell>
          <cell r="G60">
            <v>100</v>
          </cell>
        </row>
        <row r="61">
          <cell r="A61">
            <v>78113</v>
          </cell>
          <cell r="B61" t="str">
            <v>马仔碎片(宫本一)</v>
          </cell>
          <cell r="C61">
            <v>10.221420922971571</v>
          </cell>
          <cell r="D61">
            <v>980</v>
          </cell>
          <cell r="E61">
            <v>97.5</v>
          </cell>
          <cell r="F61">
            <v>50000</v>
          </cell>
          <cell r="G61">
            <v>100</v>
          </cell>
        </row>
        <row r="62">
          <cell r="A62">
            <v>78114</v>
          </cell>
          <cell r="B62" t="str">
            <v>马仔碎片(陈浩南)</v>
          </cell>
          <cell r="C62">
            <v>15.332131384457353</v>
          </cell>
          <cell r="D62">
            <v>980</v>
          </cell>
          <cell r="E62">
            <v>97.5</v>
          </cell>
          <cell r="F62">
            <v>75000</v>
          </cell>
          <cell r="G62">
            <v>150</v>
          </cell>
        </row>
        <row r="63">
          <cell r="A63">
            <v>78115</v>
          </cell>
          <cell r="B63" t="str">
            <v>马仔碎片(山鸡)</v>
          </cell>
          <cell r="C63">
            <v>15.332131384457353</v>
          </cell>
          <cell r="D63">
            <v>980</v>
          </cell>
          <cell r="E63">
            <v>97.5</v>
          </cell>
          <cell r="F63">
            <v>75000</v>
          </cell>
          <cell r="G63">
            <v>150</v>
          </cell>
        </row>
        <row r="64">
          <cell r="A64">
            <v>78116</v>
          </cell>
          <cell r="B64" t="str">
            <v>马仔碎片(大天二)</v>
          </cell>
          <cell r="C64">
            <v>15.332131384457353</v>
          </cell>
          <cell r="D64">
            <v>980</v>
          </cell>
          <cell r="E64">
            <v>97.5</v>
          </cell>
          <cell r="F64">
            <v>75000</v>
          </cell>
          <cell r="G64">
            <v>150</v>
          </cell>
        </row>
        <row r="65">
          <cell r="A65">
            <v>78117</v>
          </cell>
          <cell r="B65" t="str">
            <v>马仔碎片(巴闭)</v>
          </cell>
          <cell r="C65">
            <v>5.1107104614857857</v>
          </cell>
          <cell r="D65">
            <v>980</v>
          </cell>
          <cell r="E65">
            <v>97.5</v>
          </cell>
          <cell r="F65">
            <v>25000</v>
          </cell>
          <cell r="G65">
            <v>50</v>
          </cell>
        </row>
        <row r="66">
          <cell r="A66">
            <v>78118</v>
          </cell>
          <cell r="B66" t="str">
            <v>马仔碎片(耀阳)</v>
          </cell>
          <cell r="C66">
            <v>10.221420922971571</v>
          </cell>
          <cell r="D66">
            <v>980</v>
          </cell>
          <cell r="E66">
            <v>97.5</v>
          </cell>
          <cell r="F66">
            <v>50000</v>
          </cell>
          <cell r="G66">
            <v>100</v>
          </cell>
        </row>
        <row r="67">
          <cell r="A67">
            <v>78119</v>
          </cell>
          <cell r="B67" t="str">
            <v>马仔碎片(笑面虎)</v>
          </cell>
          <cell r="C67">
            <v>10.221420922971571</v>
          </cell>
          <cell r="D67">
            <v>980</v>
          </cell>
          <cell r="E67">
            <v>97.5</v>
          </cell>
          <cell r="F67">
            <v>50000</v>
          </cell>
          <cell r="G67">
            <v>100</v>
          </cell>
        </row>
        <row r="68">
          <cell r="A68">
            <v>70001</v>
          </cell>
          <cell r="B68" t="str">
            <v>低级强化石</v>
          </cell>
          <cell r="C68">
            <v>4</v>
          </cell>
          <cell r="D68">
            <v>0</v>
          </cell>
          <cell r="E68">
            <v>4</v>
          </cell>
          <cell r="F68">
            <v>800</v>
          </cell>
          <cell r="G68">
            <v>2</v>
          </cell>
        </row>
        <row r="69">
          <cell r="A69">
            <v>70002</v>
          </cell>
          <cell r="B69" t="str">
            <v>中级强化石</v>
          </cell>
          <cell r="C69">
            <v>20</v>
          </cell>
          <cell r="D69">
            <v>0</v>
          </cell>
          <cell r="E69">
            <v>4</v>
          </cell>
          <cell r="F69">
            <v>4000</v>
          </cell>
          <cell r="G69">
            <v>8</v>
          </cell>
        </row>
        <row r="70">
          <cell r="A70">
            <v>70003</v>
          </cell>
          <cell r="B70" t="str">
            <v>高级强化石</v>
          </cell>
          <cell r="C70">
            <v>100</v>
          </cell>
          <cell r="D70">
            <v>0</v>
          </cell>
          <cell r="E70">
            <v>4</v>
          </cell>
          <cell r="F70">
            <v>20000</v>
          </cell>
          <cell r="G70">
            <v>40</v>
          </cell>
        </row>
        <row r="71">
          <cell r="A71">
            <v>70101</v>
          </cell>
          <cell r="B71" t="str">
            <v>初级升星石</v>
          </cell>
          <cell r="C71">
            <v>4</v>
          </cell>
          <cell r="D71">
            <v>0</v>
          </cell>
          <cell r="E71">
            <v>5</v>
          </cell>
          <cell r="F71">
            <v>1000</v>
          </cell>
          <cell r="G71">
            <v>2</v>
          </cell>
        </row>
        <row r="72">
          <cell r="A72">
            <v>70201</v>
          </cell>
          <cell r="B72" t="str">
            <v>中级升星石</v>
          </cell>
          <cell r="C72">
            <v>20</v>
          </cell>
          <cell r="D72">
            <v>0</v>
          </cell>
          <cell r="E72">
            <v>5</v>
          </cell>
          <cell r="F72">
            <v>5000</v>
          </cell>
          <cell r="G72">
            <v>10</v>
          </cell>
        </row>
        <row r="73">
          <cell r="A73">
            <v>70301</v>
          </cell>
          <cell r="B73" t="str">
            <v>高级升星石</v>
          </cell>
          <cell r="C73">
            <v>100</v>
          </cell>
          <cell r="D73">
            <v>0</v>
          </cell>
          <cell r="E73">
            <v>5</v>
          </cell>
          <cell r="F73">
            <v>25000</v>
          </cell>
          <cell r="G73">
            <v>50</v>
          </cell>
        </row>
        <row r="74">
          <cell r="A74">
            <v>70401</v>
          </cell>
          <cell r="B74" t="str">
            <v>4阶升星石(不用）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</row>
        <row r="75">
          <cell r="A75">
            <v>70501</v>
          </cell>
          <cell r="B75" t="str">
            <v>5阶升星石（不用）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</row>
        <row r="76">
          <cell r="A76">
            <v>82100</v>
          </cell>
          <cell r="B76" t="str">
            <v>金币卡(1万)</v>
          </cell>
          <cell r="C76">
            <v>0</v>
          </cell>
          <cell r="D76">
            <v>0</v>
          </cell>
          <cell r="E76">
            <v>0</v>
          </cell>
          <cell r="F76">
            <v>10000</v>
          </cell>
          <cell r="G76">
            <v>20</v>
          </cell>
        </row>
        <row r="77">
          <cell r="A77">
            <v>82200</v>
          </cell>
          <cell r="B77" t="str">
            <v>金币卡(2万)</v>
          </cell>
          <cell r="C77">
            <v>0</v>
          </cell>
          <cell r="D77">
            <v>0</v>
          </cell>
          <cell r="E77">
            <v>0</v>
          </cell>
          <cell r="F77">
            <v>20000</v>
          </cell>
          <cell r="G77">
            <v>40</v>
          </cell>
        </row>
        <row r="78">
          <cell r="A78">
            <v>82300</v>
          </cell>
          <cell r="B78" t="str">
            <v>金币卡(5万)</v>
          </cell>
          <cell r="C78">
            <v>0</v>
          </cell>
          <cell r="D78">
            <v>0</v>
          </cell>
          <cell r="E78">
            <v>0</v>
          </cell>
          <cell r="F78">
            <v>50000</v>
          </cell>
          <cell r="G78">
            <v>100</v>
          </cell>
        </row>
        <row r="79">
          <cell r="A79">
            <v>91100</v>
          </cell>
          <cell r="B79" t="str">
            <v>马仔经验药水</v>
          </cell>
          <cell r="C79">
            <v>10</v>
          </cell>
          <cell r="D79">
            <v>0</v>
          </cell>
          <cell r="E79">
            <v>2</v>
          </cell>
          <cell r="F79">
            <v>1000</v>
          </cell>
          <cell r="G79">
            <v>2</v>
          </cell>
        </row>
        <row r="80">
          <cell r="A80">
            <v>91200</v>
          </cell>
          <cell r="B80" t="str">
            <v>马仔经验合剂</v>
          </cell>
          <cell r="C80">
            <v>30</v>
          </cell>
          <cell r="D80">
            <v>0</v>
          </cell>
          <cell r="E80">
            <v>2</v>
          </cell>
          <cell r="F80">
            <v>3000</v>
          </cell>
          <cell r="G80">
            <v>6</v>
          </cell>
        </row>
        <row r="81">
          <cell r="A81">
            <v>91300</v>
          </cell>
          <cell r="B81" t="str">
            <v>马仔经验甘露</v>
          </cell>
          <cell r="C81">
            <v>100</v>
          </cell>
          <cell r="D81">
            <v>0</v>
          </cell>
          <cell r="E81">
            <v>2</v>
          </cell>
          <cell r="F81">
            <v>10000</v>
          </cell>
          <cell r="G81">
            <v>20</v>
          </cell>
        </row>
        <row r="82">
          <cell r="A82">
            <v>87100</v>
          </cell>
          <cell r="B82" t="str">
            <v>钻石兑换卡(100)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100</v>
          </cell>
        </row>
        <row r="83">
          <cell r="A83">
            <v>87200</v>
          </cell>
          <cell r="B83" t="str">
            <v>钻石兑换卡(500)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500</v>
          </cell>
        </row>
        <row r="84">
          <cell r="A84">
            <v>87400</v>
          </cell>
          <cell r="B84" t="str">
            <v>钻石兑换卡(1000)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1000</v>
          </cell>
        </row>
        <row r="85">
          <cell r="A85">
            <v>89100</v>
          </cell>
          <cell r="B85" t="str">
            <v>初级体力药水</v>
          </cell>
          <cell r="C85">
            <v>20</v>
          </cell>
          <cell r="D85">
            <v>0</v>
          </cell>
          <cell r="E85">
            <v>0</v>
          </cell>
          <cell r="F85">
            <v>5000</v>
          </cell>
          <cell r="G85">
            <v>10</v>
          </cell>
        </row>
        <row r="86">
          <cell r="A86">
            <v>89200</v>
          </cell>
          <cell r="B86" t="str">
            <v>中级体力药水</v>
          </cell>
          <cell r="C86">
            <v>40</v>
          </cell>
          <cell r="D86">
            <v>0</v>
          </cell>
          <cell r="E86">
            <v>0</v>
          </cell>
          <cell r="F86">
            <v>10000</v>
          </cell>
          <cell r="G86">
            <v>20</v>
          </cell>
        </row>
        <row r="87">
          <cell r="A87">
            <v>89300</v>
          </cell>
          <cell r="B87" t="str">
            <v>高级体力药水</v>
          </cell>
          <cell r="C87">
            <v>80</v>
          </cell>
          <cell r="D87">
            <v>0</v>
          </cell>
          <cell r="E87">
            <v>0</v>
          </cell>
          <cell r="F87">
            <v>20000</v>
          </cell>
          <cell r="G87">
            <v>40</v>
          </cell>
        </row>
        <row r="88">
          <cell r="A88">
            <v>83100</v>
          </cell>
          <cell r="B88" t="str">
            <v>成长礼包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</row>
        <row r="89">
          <cell r="A89">
            <v>70010</v>
          </cell>
          <cell r="B89" t="str">
            <v>部位材料(武器)</v>
          </cell>
          <cell r="C89">
            <v>30</v>
          </cell>
          <cell r="D89">
            <v>2530</v>
          </cell>
          <cell r="E89">
            <v>1</v>
          </cell>
          <cell r="F89">
            <v>1500</v>
          </cell>
          <cell r="G89">
            <v>3</v>
          </cell>
        </row>
        <row r="90">
          <cell r="A90">
            <v>71010</v>
          </cell>
          <cell r="B90" t="str">
            <v>部位材料(衣服)</v>
          </cell>
          <cell r="C90">
            <v>30</v>
          </cell>
          <cell r="D90">
            <v>2035</v>
          </cell>
          <cell r="E90">
            <v>1</v>
          </cell>
          <cell r="F90">
            <v>1500</v>
          </cell>
          <cell r="G90">
            <v>3</v>
          </cell>
        </row>
        <row r="91">
          <cell r="A91">
            <v>72010</v>
          </cell>
          <cell r="B91" t="str">
            <v>部位材料(裤子)</v>
          </cell>
          <cell r="C91">
            <v>30</v>
          </cell>
          <cell r="D91">
            <v>935</v>
          </cell>
          <cell r="E91">
            <v>1</v>
          </cell>
          <cell r="F91">
            <v>1500</v>
          </cell>
          <cell r="G91">
            <v>3</v>
          </cell>
        </row>
        <row r="92">
          <cell r="A92">
            <v>73010</v>
          </cell>
          <cell r="B92" t="str">
            <v>部位材料(项链)</v>
          </cell>
          <cell r="C92">
            <v>30</v>
          </cell>
          <cell r="D92">
            <v>880</v>
          </cell>
          <cell r="E92">
            <v>1</v>
          </cell>
          <cell r="F92">
            <v>1500</v>
          </cell>
          <cell r="G92">
            <v>3</v>
          </cell>
        </row>
        <row r="93">
          <cell r="A93">
            <v>74010</v>
          </cell>
          <cell r="B93" t="str">
            <v>部位材料(腰带)</v>
          </cell>
          <cell r="C93">
            <v>30</v>
          </cell>
          <cell r="D93">
            <v>2200</v>
          </cell>
          <cell r="E93">
            <v>1</v>
          </cell>
          <cell r="F93">
            <v>1500</v>
          </cell>
          <cell r="G93">
            <v>3</v>
          </cell>
        </row>
        <row r="94">
          <cell r="A94">
            <v>75010</v>
          </cell>
          <cell r="B94" t="str">
            <v>部位材料(鞋子)</v>
          </cell>
          <cell r="C94">
            <v>30</v>
          </cell>
          <cell r="D94">
            <v>660</v>
          </cell>
          <cell r="E94">
            <v>1</v>
          </cell>
          <cell r="F94">
            <v>1500</v>
          </cell>
          <cell r="G94">
            <v>3</v>
          </cell>
        </row>
        <row r="95">
          <cell r="A95">
            <v>80110</v>
          </cell>
          <cell r="B95" t="str">
            <v>龙魂币(500)</v>
          </cell>
          <cell r="C95">
            <v>100</v>
          </cell>
          <cell r="D95">
            <v>666.8601232231822</v>
          </cell>
          <cell r="E95">
            <v>2</v>
          </cell>
          <cell r="F95">
            <v>10000</v>
          </cell>
          <cell r="G95">
            <v>20</v>
          </cell>
        </row>
        <row r="96">
          <cell r="A96">
            <v>80210</v>
          </cell>
          <cell r="B96" t="str">
            <v>龙魂币(1000)</v>
          </cell>
          <cell r="C96">
            <v>200</v>
          </cell>
          <cell r="D96">
            <v>333.4300616115911</v>
          </cell>
          <cell r="E96">
            <v>2</v>
          </cell>
          <cell r="F96">
            <v>20000</v>
          </cell>
          <cell r="G96">
            <v>40</v>
          </cell>
        </row>
        <row r="97">
          <cell r="A97">
            <v>80310</v>
          </cell>
          <cell r="B97" t="str">
            <v>龙魂币(2000)</v>
          </cell>
          <cell r="C97">
            <v>400</v>
          </cell>
          <cell r="D97">
            <v>166.71503080579555</v>
          </cell>
          <cell r="E97">
            <v>2</v>
          </cell>
          <cell r="F97">
            <v>40000</v>
          </cell>
          <cell r="G97">
            <v>80</v>
          </cell>
        </row>
        <row r="98">
          <cell r="A98">
            <v>80410</v>
          </cell>
          <cell r="B98" t="str">
            <v>命运石(5000)</v>
          </cell>
          <cell r="C98">
            <v>0</v>
          </cell>
          <cell r="D98">
            <v>4944.0440536387459</v>
          </cell>
          <cell r="E98">
            <v>1</v>
          </cell>
          <cell r="F98">
            <v>2500</v>
          </cell>
          <cell r="G98">
            <v>5</v>
          </cell>
        </row>
        <row r="99">
          <cell r="A99">
            <v>80510</v>
          </cell>
          <cell r="B99" t="str">
            <v>命运石(1万)</v>
          </cell>
          <cell r="C99">
            <v>0</v>
          </cell>
          <cell r="D99">
            <v>2472.022026819373</v>
          </cell>
          <cell r="E99">
            <v>1</v>
          </cell>
          <cell r="F99">
            <v>5000</v>
          </cell>
          <cell r="G99">
            <v>10</v>
          </cell>
        </row>
        <row r="100">
          <cell r="A100">
            <v>80610</v>
          </cell>
          <cell r="B100" t="str">
            <v>命运石(2万)</v>
          </cell>
          <cell r="C100">
            <v>0</v>
          </cell>
          <cell r="D100">
            <v>1236.0110134096865</v>
          </cell>
          <cell r="E100">
            <v>1</v>
          </cell>
          <cell r="F100">
            <v>10000</v>
          </cell>
          <cell r="G100">
            <v>20</v>
          </cell>
        </row>
        <row r="101">
          <cell r="A101">
            <v>87300</v>
          </cell>
          <cell r="B101" t="str">
            <v>钻石</v>
          </cell>
          <cell r="C101">
            <v>0</v>
          </cell>
          <cell r="D101">
            <v>0</v>
          </cell>
          <cell r="E101">
            <v>0</v>
          </cell>
          <cell r="F101">
            <v>500</v>
          </cell>
          <cell r="G101">
            <v>1</v>
          </cell>
        </row>
        <row r="102">
          <cell r="A102">
            <v>83300</v>
          </cell>
          <cell r="B102" t="str">
            <v>金币</v>
          </cell>
          <cell r="C102">
            <v>0</v>
          </cell>
          <cell r="D102">
            <v>0</v>
          </cell>
          <cell r="E102">
            <v>0</v>
          </cell>
          <cell r="F102">
            <v>1</v>
          </cell>
          <cell r="G102">
            <v>2E-3</v>
          </cell>
        </row>
        <row r="103">
          <cell r="A103">
            <v>83301</v>
          </cell>
          <cell r="B103" t="str">
            <v>龙魂币</v>
          </cell>
          <cell r="C103">
            <v>0</v>
          </cell>
          <cell r="D103">
            <v>0</v>
          </cell>
          <cell r="E103">
            <v>0</v>
          </cell>
          <cell r="F103">
            <v>20</v>
          </cell>
          <cell r="G103">
            <v>0.04</v>
          </cell>
        </row>
        <row r="104">
          <cell r="A104">
            <v>83302</v>
          </cell>
          <cell r="B104" t="str">
            <v>命运石</v>
          </cell>
          <cell r="C104">
            <v>0</v>
          </cell>
          <cell r="D104">
            <v>0</v>
          </cell>
          <cell r="E104">
            <v>0</v>
          </cell>
          <cell r="F104">
            <v>0.5</v>
          </cell>
          <cell r="G104">
            <v>1E-3</v>
          </cell>
        </row>
        <row r="105">
          <cell r="A105">
            <v>83303</v>
          </cell>
          <cell r="B105" t="str">
            <v>擂台币</v>
          </cell>
          <cell r="C105">
            <v>0</v>
          </cell>
          <cell r="D105">
            <v>0</v>
          </cell>
          <cell r="E105">
            <v>0</v>
          </cell>
          <cell r="F105">
            <v>50</v>
          </cell>
          <cell r="G105">
            <v>0.1</v>
          </cell>
        </row>
        <row r="106">
          <cell r="A106">
            <v>89101</v>
          </cell>
          <cell r="B106" t="str">
            <v>双倍经验卡（1天）</v>
          </cell>
          <cell r="C106">
            <v>0</v>
          </cell>
          <cell r="D106">
            <v>0</v>
          </cell>
          <cell r="E106">
            <v>6</v>
          </cell>
          <cell r="F106">
            <v>0</v>
          </cell>
          <cell r="G106">
            <v>0</v>
          </cell>
        </row>
        <row r="107">
          <cell r="A107">
            <v>89102</v>
          </cell>
          <cell r="B107" t="str">
            <v>双倍经验卡（2天）</v>
          </cell>
          <cell r="C107">
            <v>0</v>
          </cell>
          <cell r="D107">
            <v>0</v>
          </cell>
          <cell r="E107">
            <v>6</v>
          </cell>
          <cell r="F107">
            <v>0</v>
          </cell>
          <cell r="G107">
            <v>0</v>
          </cell>
        </row>
        <row r="108">
          <cell r="A108">
            <v>89106</v>
          </cell>
          <cell r="B108" t="str">
            <v>vip经验卡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</row>
        <row r="109">
          <cell r="A109">
            <v>89107</v>
          </cell>
          <cell r="B109" t="str">
            <v>技能升级石</v>
          </cell>
          <cell r="C109">
            <v>2.5</v>
          </cell>
          <cell r="D109">
            <v>7724</v>
          </cell>
          <cell r="E109">
            <v>1</v>
          </cell>
          <cell r="F109">
            <v>500</v>
          </cell>
          <cell r="G109">
            <v>1</v>
          </cell>
        </row>
        <row r="110">
          <cell r="A110">
            <v>89108</v>
          </cell>
          <cell r="B110" t="str">
            <v>蓝色装备碎片（无用）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</row>
        <row r="111">
          <cell r="A111">
            <v>89109</v>
          </cell>
          <cell r="B111" t="str">
            <v>紫色装备碎片（无用）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</row>
        <row r="112">
          <cell r="A112">
            <v>89110</v>
          </cell>
          <cell r="B112" t="str">
            <v>橙色装备碎片（无用）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</row>
        <row r="113">
          <cell r="A113">
            <v>89111</v>
          </cell>
          <cell r="B113" t="str">
            <v>技能冷却石</v>
          </cell>
          <cell r="C113">
            <v>0.7</v>
          </cell>
          <cell r="D113">
            <v>30978</v>
          </cell>
          <cell r="E113">
            <v>1</v>
          </cell>
          <cell r="F113">
            <v>500</v>
          </cell>
          <cell r="G113">
            <v>1</v>
          </cell>
        </row>
        <row r="114">
          <cell r="A114">
            <v>83304</v>
          </cell>
          <cell r="B114" t="str">
            <v>寻宝券</v>
          </cell>
          <cell r="C114">
            <v>0</v>
          </cell>
          <cell r="D114">
            <v>0</v>
          </cell>
          <cell r="E114">
            <v>0</v>
          </cell>
          <cell r="F114">
            <v>15000</v>
          </cell>
          <cell r="G114">
            <v>30</v>
          </cell>
        </row>
        <row r="115">
          <cell r="A115">
            <v>85200</v>
          </cell>
          <cell r="B115" t="str">
            <v>高级装备升级石</v>
          </cell>
          <cell r="C115">
            <v>0</v>
          </cell>
          <cell r="D115">
            <v>2019.7074124618819</v>
          </cell>
          <cell r="E115">
            <v>0</v>
          </cell>
          <cell r="F115">
            <v>5000</v>
          </cell>
          <cell r="G115">
            <v>10</v>
          </cell>
        </row>
        <row r="116">
          <cell r="A116">
            <v>85300</v>
          </cell>
          <cell r="B116" t="str">
            <v>稀有装备升级石</v>
          </cell>
          <cell r="C116">
            <v>0</v>
          </cell>
          <cell r="D116">
            <v>2019.7074124618819</v>
          </cell>
          <cell r="E116">
            <v>0</v>
          </cell>
          <cell r="F116">
            <v>15000</v>
          </cell>
          <cell r="G116">
            <v>30</v>
          </cell>
        </row>
        <row r="117">
          <cell r="A117">
            <v>85400</v>
          </cell>
          <cell r="B117" t="str">
            <v>史诗装备升级石</v>
          </cell>
          <cell r="C117">
            <v>0</v>
          </cell>
          <cell r="D117">
            <v>2019.7074124618819</v>
          </cell>
          <cell r="E117">
            <v>0</v>
          </cell>
          <cell r="F117">
            <v>40000</v>
          </cell>
          <cell r="G117">
            <v>80</v>
          </cell>
        </row>
        <row r="118">
          <cell r="A118">
            <v>85500</v>
          </cell>
          <cell r="B118" t="str">
            <v>传说装备升级石</v>
          </cell>
          <cell r="C118">
            <v>0</v>
          </cell>
          <cell r="D118">
            <v>2019.7074124618819</v>
          </cell>
          <cell r="E118">
            <v>0</v>
          </cell>
          <cell r="F118">
            <v>50000</v>
          </cell>
          <cell r="G118">
            <v>100</v>
          </cell>
        </row>
        <row r="119">
          <cell r="A119">
            <v>86001</v>
          </cell>
          <cell r="B119" t="str">
            <v>马仔追债宝箱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</row>
        <row r="120">
          <cell r="A120">
            <v>86002</v>
          </cell>
          <cell r="B120" t="str">
            <v>马仔追债宝箱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</row>
        <row r="121">
          <cell r="A121">
            <v>86003</v>
          </cell>
          <cell r="B121" t="str">
            <v>马仔追债宝箱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>
            <v>86004</v>
          </cell>
          <cell r="B122" t="str">
            <v>马仔追债宝箱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</row>
        <row r="123">
          <cell r="A123">
            <v>86005</v>
          </cell>
          <cell r="B123" t="str">
            <v>马仔追债宝箱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</row>
        <row r="124">
          <cell r="A124">
            <v>86110</v>
          </cell>
          <cell r="B124" t="str">
            <v>马仔宝物礼包</v>
          </cell>
          <cell r="C124">
            <v>0</v>
          </cell>
          <cell r="D124">
            <v>0</v>
          </cell>
          <cell r="E124">
            <v>3</v>
          </cell>
          <cell r="F124">
            <v>2500</v>
          </cell>
          <cell r="G124">
            <v>5</v>
          </cell>
        </row>
        <row r="125">
          <cell r="A125">
            <v>86120</v>
          </cell>
          <cell r="B125" t="str">
            <v>马仔宝物礼包</v>
          </cell>
          <cell r="C125">
            <v>0</v>
          </cell>
          <cell r="D125">
            <v>0</v>
          </cell>
          <cell r="E125">
            <v>6</v>
          </cell>
          <cell r="F125">
            <v>7500</v>
          </cell>
          <cell r="G125">
            <v>15</v>
          </cell>
        </row>
        <row r="126">
          <cell r="A126">
            <v>86130</v>
          </cell>
          <cell r="B126" t="str">
            <v>马仔宝物礼包</v>
          </cell>
          <cell r="C126">
            <v>0</v>
          </cell>
          <cell r="D126">
            <v>0</v>
          </cell>
          <cell r="E126">
            <v>9</v>
          </cell>
          <cell r="F126">
            <v>25000</v>
          </cell>
          <cell r="G126">
            <v>50</v>
          </cell>
        </row>
        <row r="127">
          <cell r="A127">
            <v>86140</v>
          </cell>
          <cell r="B127" t="str">
            <v>马仔宝物礼包</v>
          </cell>
          <cell r="C127">
            <v>0</v>
          </cell>
          <cell r="D127">
            <v>0</v>
          </cell>
          <cell r="E127">
            <v>12</v>
          </cell>
          <cell r="F127">
            <v>75000</v>
          </cell>
          <cell r="G127">
            <v>150</v>
          </cell>
        </row>
        <row r="128">
          <cell r="A128">
            <v>86150</v>
          </cell>
          <cell r="B128" t="str">
            <v>马仔宝物礼包</v>
          </cell>
          <cell r="C128">
            <v>0</v>
          </cell>
          <cell r="D128">
            <v>0</v>
          </cell>
          <cell r="E128">
            <v>15</v>
          </cell>
          <cell r="F128">
            <v>200000</v>
          </cell>
          <cell r="G128">
            <v>400</v>
          </cell>
        </row>
        <row r="129">
          <cell r="A129">
            <v>83305</v>
          </cell>
          <cell r="B129" t="str">
            <v>金豆</v>
          </cell>
          <cell r="C129">
            <v>0</v>
          </cell>
          <cell r="D129">
            <v>0</v>
          </cell>
          <cell r="E129">
            <v>0</v>
          </cell>
          <cell r="F129">
            <v>10000</v>
          </cell>
          <cell r="G129">
            <v>20</v>
          </cell>
        </row>
        <row r="130">
          <cell r="A130">
            <v>83306</v>
          </cell>
          <cell r="B130" t="str">
            <v>单次扫荡特权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</row>
        <row r="131">
          <cell r="A131">
            <v>83307</v>
          </cell>
          <cell r="B131" t="str">
            <v>多次扫荡特权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>
            <v>83308</v>
          </cell>
          <cell r="B132" t="str">
            <v>扫荡特权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>
            <v>86010</v>
          </cell>
          <cell r="B133" t="str">
            <v>部位材料宝箱</v>
          </cell>
          <cell r="C133">
            <v>0</v>
          </cell>
          <cell r="D133">
            <v>0</v>
          </cell>
          <cell r="E133">
            <v>0</v>
          </cell>
          <cell r="F133">
            <v>10000</v>
          </cell>
          <cell r="G133">
            <v>20</v>
          </cell>
        </row>
        <row r="134">
          <cell r="A134">
            <v>86021</v>
          </cell>
          <cell r="B134" t="str">
            <v>紫色装备礼包</v>
          </cell>
          <cell r="C134">
            <v>0</v>
          </cell>
          <cell r="D134">
            <v>0</v>
          </cell>
          <cell r="E134">
            <v>0</v>
          </cell>
          <cell r="F134">
            <v>99500</v>
          </cell>
          <cell r="G134">
            <v>199</v>
          </cell>
        </row>
        <row r="135">
          <cell r="A135">
            <v>86022</v>
          </cell>
          <cell r="B135" t="str">
            <v>橙色装备礼包</v>
          </cell>
          <cell r="C135">
            <v>0</v>
          </cell>
          <cell r="D135">
            <v>0</v>
          </cell>
          <cell r="E135">
            <v>0</v>
          </cell>
          <cell r="F135">
            <v>500000</v>
          </cell>
          <cell r="G135">
            <v>1000</v>
          </cell>
        </row>
        <row r="136">
          <cell r="A136">
            <v>86023</v>
          </cell>
          <cell r="B136" t="str">
            <v>红色装备礼包</v>
          </cell>
          <cell r="C136">
            <v>0</v>
          </cell>
          <cell r="D136">
            <v>0</v>
          </cell>
          <cell r="E136">
            <v>0</v>
          </cell>
          <cell r="F136">
            <v>2500000</v>
          </cell>
          <cell r="G136">
            <v>5000</v>
          </cell>
        </row>
        <row r="137">
          <cell r="A137">
            <v>78214</v>
          </cell>
          <cell r="B137" t="str">
            <v>限时碎片(陈浩南)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</row>
        <row r="138">
          <cell r="A138">
            <v>78215</v>
          </cell>
          <cell r="B138" t="str">
            <v>限时碎片(山鸡)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</row>
        <row r="139">
          <cell r="A139">
            <v>78216</v>
          </cell>
          <cell r="B139" t="str">
            <v>限时碎片(大天二)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</row>
        <row r="140">
          <cell r="A140">
            <v>83309</v>
          </cell>
          <cell r="B140" t="str">
            <v>堂口贡献</v>
          </cell>
          <cell r="C140">
            <v>0</v>
          </cell>
          <cell r="D140">
            <v>0</v>
          </cell>
          <cell r="E140">
            <v>0</v>
          </cell>
          <cell r="F140">
            <v>16.666666666666668</v>
          </cell>
          <cell r="G140">
            <v>3.3333333333333333E-2</v>
          </cell>
        </row>
        <row r="141">
          <cell r="A141">
            <v>86121</v>
          </cell>
          <cell r="B141" t="str">
            <v>马仔宝物碎片礼包</v>
          </cell>
          <cell r="C141">
            <v>0</v>
          </cell>
          <cell r="D141">
            <v>0</v>
          </cell>
          <cell r="E141">
            <v>0</v>
          </cell>
          <cell r="F141">
            <v>1250</v>
          </cell>
          <cell r="G141">
            <v>2.5</v>
          </cell>
        </row>
        <row r="142">
          <cell r="A142">
            <v>86131</v>
          </cell>
          <cell r="B142" t="str">
            <v>马仔宝物碎片礼包</v>
          </cell>
          <cell r="C142">
            <v>0</v>
          </cell>
          <cell r="D142">
            <v>0</v>
          </cell>
          <cell r="E142">
            <v>0</v>
          </cell>
          <cell r="F142">
            <v>2500</v>
          </cell>
          <cell r="G142">
            <v>5</v>
          </cell>
        </row>
        <row r="143">
          <cell r="A143">
            <v>86141</v>
          </cell>
          <cell r="B143" t="str">
            <v>马仔宝物碎片礼包</v>
          </cell>
          <cell r="C143">
            <v>0</v>
          </cell>
          <cell r="D143">
            <v>0</v>
          </cell>
          <cell r="E143">
            <v>0</v>
          </cell>
          <cell r="F143">
            <v>3750</v>
          </cell>
          <cell r="G143">
            <v>7.5</v>
          </cell>
        </row>
        <row r="144">
          <cell r="A144">
            <v>86151</v>
          </cell>
          <cell r="B144" t="str">
            <v>马仔宝物碎片礼包</v>
          </cell>
          <cell r="C144">
            <v>0</v>
          </cell>
          <cell r="D144">
            <v>0</v>
          </cell>
          <cell r="E144">
            <v>0</v>
          </cell>
          <cell r="F144">
            <v>5000</v>
          </cell>
          <cell r="G144">
            <v>10</v>
          </cell>
        </row>
        <row r="145">
          <cell r="A145">
            <v>86210</v>
          </cell>
          <cell r="B145" t="str">
            <v>命格福袋</v>
          </cell>
          <cell r="C145">
            <v>0</v>
          </cell>
          <cell r="D145">
            <v>0</v>
          </cell>
          <cell r="E145">
            <v>0</v>
          </cell>
          <cell r="F145">
            <v>2500</v>
          </cell>
          <cell r="G145">
            <v>5</v>
          </cell>
        </row>
        <row r="146">
          <cell r="A146">
            <v>86220</v>
          </cell>
          <cell r="B146" t="str">
            <v>命格福袋</v>
          </cell>
          <cell r="C146">
            <v>0</v>
          </cell>
          <cell r="D146">
            <v>0</v>
          </cell>
          <cell r="E146">
            <v>0</v>
          </cell>
          <cell r="F146">
            <v>25000</v>
          </cell>
          <cell r="G146">
            <v>50</v>
          </cell>
        </row>
        <row r="147">
          <cell r="A147">
            <v>86230</v>
          </cell>
          <cell r="B147" t="str">
            <v>命格福袋</v>
          </cell>
          <cell r="C147">
            <v>0</v>
          </cell>
          <cell r="D147">
            <v>0</v>
          </cell>
          <cell r="E147">
            <v>0</v>
          </cell>
          <cell r="F147">
            <v>200000</v>
          </cell>
          <cell r="G147">
            <v>400</v>
          </cell>
        </row>
        <row r="148">
          <cell r="A148">
            <v>86240</v>
          </cell>
          <cell r="B148" t="str">
            <v>命格福袋</v>
          </cell>
          <cell r="C148">
            <v>0</v>
          </cell>
          <cell r="D148">
            <v>0</v>
          </cell>
          <cell r="E148">
            <v>0</v>
          </cell>
          <cell r="F148">
            <v>2000000</v>
          </cell>
          <cell r="G148">
            <v>4000</v>
          </cell>
        </row>
        <row r="149">
          <cell r="A149">
            <v>86250</v>
          </cell>
          <cell r="B149" t="str">
            <v>命格福袋</v>
          </cell>
          <cell r="C149">
            <v>0</v>
          </cell>
          <cell r="D149">
            <v>0</v>
          </cell>
          <cell r="E149">
            <v>0</v>
          </cell>
          <cell r="F149">
            <v>10000000</v>
          </cell>
          <cell r="G149">
            <v>20000</v>
          </cell>
        </row>
        <row r="150">
          <cell r="A150">
            <v>86310</v>
          </cell>
          <cell r="B150" t="str">
            <v>马仔碎片福袋</v>
          </cell>
          <cell r="C150">
            <v>0</v>
          </cell>
          <cell r="D150">
            <v>0</v>
          </cell>
          <cell r="E150">
            <v>0</v>
          </cell>
          <cell r="F150">
            <v>12500</v>
          </cell>
          <cell r="G150">
            <v>25</v>
          </cell>
        </row>
        <row r="151">
          <cell r="A151">
            <v>86320</v>
          </cell>
          <cell r="B151" t="str">
            <v>马仔碎片福袋</v>
          </cell>
          <cell r="C151">
            <v>0</v>
          </cell>
          <cell r="D151">
            <v>0</v>
          </cell>
          <cell r="E151">
            <v>0</v>
          </cell>
          <cell r="F151">
            <v>25000</v>
          </cell>
          <cell r="G151">
            <v>50</v>
          </cell>
        </row>
        <row r="152">
          <cell r="A152">
            <v>86330</v>
          </cell>
          <cell r="B152" t="str">
            <v>马仔碎片福袋</v>
          </cell>
          <cell r="C152">
            <v>0</v>
          </cell>
          <cell r="D152">
            <v>0</v>
          </cell>
          <cell r="E152">
            <v>0</v>
          </cell>
          <cell r="F152">
            <v>50000</v>
          </cell>
          <cell r="G152">
            <v>100</v>
          </cell>
        </row>
        <row r="153">
          <cell r="A153">
            <v>86340</v>
          </cell>
          <cell r="B153" t="str">
            <v>马仔碎片福袋</v>
          </cell>
          <cell r="C153">
            <v>0</v>
          </cell>
          <cell r="D153">
            <v>0</v>
          </cell>
          <cell r="E153">
            <v>0</v>
          </cell>
          <cell r="F153">
            <v>75000</v>
          </cell>
          <cell r="G153">
            <v>150</v>
          </cell>
        </row>
        <row r="154">
          <cell r="A154">
            <v>86350</v>
          </cell>
          <cell r="B154" t="str">
            <v>马仔碎片福袋</v>
          </cell>
          <cell r="C154">
            <v>0</v>
          </cell>
          <cell r="D154">
            <v>0</v>
          </cell>
          <cell r="E154">
            <v>0</v>
          </cell>
          <cell r="F154">
            <v>150000</v>
          </cell>
          <cell r="G154">
            <v>300</v>
          </cell>
        </row>
        <row r="155">
          <cell r="A155">
            <v>86400</v>
          </cell>
          <cell r="B155" t="str">
            <v>装备升星石福袋</v>
          </cell>
          <cell r="C155">
            <v>0</v>
          </cell>
          <cell r="D155">
            <v>0</v>
          </cell>
          <cell r="E155">
            <v>0</v>
          </cell>
          <cell r="F155">
            <v>2800</v>
          </cell>
          <cell r="G155">
            <v>5.6</v>
          </cell>
        </row>
        <row r="156">
          <cell r="A156">
            <v>91400</v>
          </cell>
          <cell r="B156" t="str">
            <v>马仔经验圣水</v>
          </cell>
          <cell r="C156">
            <v>0</v>
          </cell>
          <cell r="D156">
            <v>0</v>
          </cell>
          <cell r="E156">
            <v>0</v>
          </cell>
          <cell r="F156">
            <v>100000</v>
          </cell>
          <cell r="G156">
            <v>200</v>
          </cell>
        </row>
        <row r="157">
          <cell r="A157">
            <v>10001</v>
          </cell>
          <cell r="B157" t="str">
            <v>新手之剑</v>
          </cell>
          <cell r="C157">
            <v>0</v>
          </cell>
          <cell r="D157">
            <v>1</v>
          </cell>
          <cell r="E157">
            <v>10</v>
          </cell>
          <cell r="F157">
            <v>0</v>
          </cell>
          <cell r="G157">
            <v>0</v>
          </cell>
        </row>
        <row r="158">
          <cell r="A158">
            <v>20001</v>
          </cell>
          <cell r="B158" t="str">
            <v>新手之拳</v>
          </cell>
          <cell r="C158">
            <v>0</v>
          </cell>
          <cell r="D158">
            <v>1</v>
          </cell>
          <cell r="E158">
            <v>10</v>
          </cell>
          <cell r="F158">
            <v>0</v>
          </cell>
          <cell r="G158">
            <v>0</v>
          </cell>
        </row>
        <row r="159">
          <cell r="A159">
            <v>30001</v>
          </cell>
          <cell r="B159" t="str">
            <v>新手之枪</v>
          </cell>
          <cell r="C159">
            <v>0</v>
          </cell>
          <cell r="D159">
            <v>1</v>
          </cell>
          <cell r="E159">
            <v>10</v>
          </cell>
          <cell r="F159">
            <v>0</v>
          </cell>
          <cell r="G159">
            <v>0</v>
          </cell>
        </row>
        <row r="160">
          <cell r="A160">
            <v>10002</v>
          </cell>
          <cell r="B160" t="str">
            <v>染血之剑</v>
          </cell>
          <cell r="C160">
            <v>16.599081639928706</v>
          </cell>
          <cell r="D160">
            <v>1</v>
          </cell>
          <cell r="E160">
            <v>10</v>
          </cell>
          <cell r="F160">
            <v>829.95408199643532</v>
          </cell>
          <cell r="G160">
            <v>50</v>
          </cell>
        </row>
        <row r="161">
          <cell r="A161">
            <v>20002</v>
          </cell>
          <cell r="B161" t="str">
            <v>染血之拳</v>
          </cell>
          <cell r="C161">
            <v>16.599081639928706</v>
          </cell>
          <cell r="D161">
            <v>1</v>
          </cell>
          <cell r="E161">
            <v>10</v>
          </cell>
          <cell r="F161">
            <v>829.95408199643532</v>
          </cell>
          <cell r="G161">
            <v>50</v>
          </cell>
        </row>
        <row r="162">
          <cell r="A162">
            <v>30002</v>
          </cell>
          <cell r="B162" t="str">
            <v>染血之枪</v>
          </cell>
          <cell r="C162">
            <v>16.599081639928706</v>
          </cell>
          <cell r="D162">
            <v>1</v>
          </cell>
          <cell r="E162">
            <v>10</v>
          </cell>
          <cell r="F162">
            <v>829.95408199643532</v>
          </cell>
          <cell r="G162">
            <v>50</v>
          </cell>
        </row>
        <row r="163">
          <cell r="A163">
            <v>51002</v>
          </cell>
          <cell r="B163" t="str">
            <v>染血战衣</v>
          </cell>
          <cell r="C163">
            <v>14.569636415687212</v>
          </cell>
          <cell r="D163">
            <v>1</v>
          </cell>
          <cell r="E163">
            <v>10</v>
          </cell>
          <cell r="F163">
            <v>728.48182078436059</v>
          </cell>
          <cell r="G163">
            <v>43.886874984216874</v>
          </cell>
        </row>
        <row r="164">
          <cell r="A164">
            <v>52002</v>
          </cell>
          <cell r="B164" t="str">
            <v>染血长裤</v>
          </cell>
          <cell r="C164">
            <v>5.2122187059503178</v>
          </cell>
          <cell r="D164">
            <v>1</v>
          </cell>
          <cell r="E164">
            <v>10</v>
          </cell>
          <cell r="F164">
            <v>260.61093529751588</v>
          </cell>
          <cell r="G164">
            <v>15.700322520893103</v>
          </cell>
        </row>
        <row r="165">
          <cell r="A165">
            <v>55002</v>
          </cell>
          <cell r="B165" t="str">
            <v>染血长靴</v>
          </cell>
          <cell r="C165">
            <v>6.677519452253911</v>
          </cell>
          <cell r="D165">
            <v>1</v>
          </cell>
          <cell r="E165">
            <v>10</v>
          </cell>
          <cell r="F165">
            <v>333.87597261269553</v>
          </cell>
          <cell r="G165">
            <v>20.114123169896615</v>
          </cell>
        </row>
        <row r="166">
          <cell r="A166">
            <v>54002</v>
          </cell>
          <cell r="B166" t="str">
            <v>染血腰带</v>
          </cell>
          <cell r="C166">
            <v>4.8025194522539119</v>
          </cell>
          <cell r="D166">
            <v>1</v>
          </cell>
          <cell r="E166">
            <v>10</v>
          </cell>
          <cell r="F166">
            <v>240.12597261269559</v>
          </cell>
          <cell r="G166">
            <v>14.466220350111305</v>
          </cell>
        </row>
        <row r="167">
          <cell r="A167">
            <v>53002</v>
          </cell>
          <cell r="B167" t="str">
            <v>染血项链</v>
          </cell>
          <cell r="C167">
            <v>10.289971657754013</v>
          </cell>
          <cell r="D167">
            <v>1</v>
          </cell>
          <cell r="E167">
            <v>10</v>
          </cell>
          <cell r="F167">
            <v>514.49858288770065</v>
          </cell>
          <cell r="G167">
            <v>30.995605302047927</v>
          </cell>
        </row>
        <row r="168">
          <cell r="A168">
            <v>10103</v>
          </cell>
          <cell r="B168" t="str">
            <v>狂气之剑</v>
          </cell>
          <cell r="C168">
            <v>27.271223842473059</v>
          </cell>
          <cell r="D168">
            <v>1</v>
          </cell>
          <cell r="E168">
            <v>10</v>
          </cell>
          <cell r="F168">
            <v>1363.561192123653</v>
          </cell>
          <cell r="G168">
            <v>60</v>
          </cell>
        </row>
        <row r="169">
          <cell r="A169">
            <v>20103</v>
          </cell>
          <cell r="B169" t="str">
            <v>狂气之拳</v>
          </cell>
          <cell r="C169">
            <v>27.271223842473059</v>
          </cell>
          <cell r="D169">
            <v>1</v>
          </cell>
          <cell r="E169">
            <v>10</v>
          </cell>
          <cell r="F169">
            <v>1363.561192123653</v>
          </cell>
          <cell r="G169">
            <v>60</v>
          </cell>
        </row>
        <row r="170">
          <cell r="A170">
            <v>30103</v>
          </cell>
          <cell r="B170" t="str">
            <v>狂气之枪</v>
          </cell>
          <cell r="C170">
            <v>27.271223842473059</v>
          </cell>
          <cell r="D170">
            <v>1</v>
          </cell>
          <cell r="E170">
            <v>10</v>
          </cell>
          <cell r="F170">
            <v>1363.561192123653</v>
          </cell>
          <cell r="G170">
            <v>60</v>
          </cell>
        </row>
        <row r="171">
          <cell r="A171">
            <v>51103</v>
          </cell>
          <cell r="B171" t="str">
            <v>狂气战衣</v>
          </cell>
          <cell r="C171">
            <v>23.526385910626644</v>
          </cell>
          <cell r="D171">
            <v>1</v>
          </cell>
          <cell r="E171">
            <v>10</v>
          </cell>
          <cell r="F171">
            <v>1176.3192955313323</v>
          </cell>
          <cell r="G171">
            <v>51.760902363287215</v>
          </cell>
        </row>
        <row r="172">
          <cell r="A172">
            <v>52103</v>
          </cell>
          <cell r="B172" t="str">
            <v>狂气长裤</v>
          </cell>
          <cell r="C172">
            <v>8.6681045762457778</v>
          </cell>
          <cell r="D172">
            <v>1</v>
          </cell>
          <cell r="E172">
            <v>10</v>
          </cell>
          <cell r="F172">
            <v>433.4052288122889</v>
          </cell>
          <cell r="G172">
            <v>19.070881364874719</v>
          </cell>
        </row>
        <row r="173">
          <cell r="A173">
            <v>55103</v>
          </cell>
          <cell r="B173" t="str">
            <v>狂气长靴</v>
          </cell>
          <cell r="C173">
            <v>11.042635776579273</v>
          </cell>
          <cell r="D173">
            <v>1</v>
          </cell>
          <cell r="E173">
            <v>10</v>
          </cell>
          <cell r="F173">
            <v>552.13178882896364</v>
          </cell>
          <cell r="G173">
            <v>24.295137996809203</v>
          </cell>
        </row>
        <row r="174">
          <cell r="A174">
            <v>54103</v>
          </cell>
          <cell r="B174" t="str">
            <v>狂气腰带</v>
          </cell>
          <cell r="C174">
            <v>8.8834588928300544</v>
          </cell>
          <cell r="D174">
            <v>1</v>
          </cell>
          <cell r="E174">
            <v>10</v>
          </cell>
          <cell r="F174">
            <v>444.17294464150274</v>
          </cell>
          <cell r="G174">
            <v>19.544686980262345</v>
          </cell>
        </row>
        <row r="175">
          <cell r="A175">
            <v>53103</v>
          </cell>
          <cell r="B175" t="str">
            <v>狂气项链</v>
          </cell>
          <cell r="C175">
            <v>16.5572540855615</v>
          </cell>
          <cell r="D175">
            <v>1</v>
          </cell>
          <cell r="E175">
            <v>10</v>
          </cell>
          <cell r="F175">
            <v>827.86270427807494</v>
          </cell>
          <cell r="G175">
            <v>36.42796710818979</v>
          </cell>
        </row>
        <row r="176">
          <cell r="A176">
            <v>10104</v>
          </cell>
          <cell r="B176" t="str">
            <v>野性之剑</v>
          </cell>
          <cell r="C176">
            <v>54.542447684946119</v>
          </cell>
          <cell r="D176">
            <v>1</v>
          </cell>
          <cell r="E176">
            <v>10</v>
          </cell>
          <cell r="F176">
            <v>2727.1223842473059</v>
          </cell>
          <cell r="G176">
            <v>180</v>
          </cell>
        </row>
        <row r="177">
          <cell r="A177">
            <v>20104</v>
          </cell>
          <cell r="B177" t="str">
            <v>野性之拳</v>
          </cell>
          <cell r="C177">
            <v>54.542447684946119</v>
          </cell>
          <cell r="D177">
            <v>1</v>
          </cell>
          <cell r="E177">
            <v>10</v>
          </cell>
          <cell r="F177">
            <v>2727.1223842473059</v>
          </cell>
          <cell r="G177">
            <v>180</v>
          </cell>
        </row>
        <row r="178">
          <cell r="A178">
            <v>30104</v>
          </cell>
          <cell r="B178" t="str">
            <v>野性之枪</v>
          </cell>
          <cell r="C178">
            <v>54.542447684946119</v>
          </cell>
          <cell r="D178">
            <v>1</v>
          </cell>
          <cell r="E178">
            <v>10</v>
          </cell>
          <cell r="F178">
            <v>2727.1223842473059</v>
          </cell>
          <cell r="G178">
            <v>180</v>
          </cell>
        </row>
        <row r="179">
          <cell r="A179">
            <v>51104</v>
          </cell>
          <cell r="B179" t="str">
            <v>野性战衣</v>
          </cell>
          <cell r="C179">
            <v>47.052771821253287</v>
          </cell>
          <cell r="D179">
            <v>1</v>
          </cell>
          <cell r="E179">
            <v>10</v>
          </cell>
          <cell r="F179">
            <v>2352.6385910626645</v>
          </cell>
          <cell r="G179">
            <v>155.28270708986165</v>
          </cell>
        </row>
        <row r="180">
          <cell r="A180">
            <v>52104</v>
          </cell>
          <cell r="B180" t="str">
            <v>野性长裤</v>
          </cell>
          <cell r="C180">
            <v>17.336209152491556</v>
          </cell>
          <cell r="D180">
            <v>1</v>
          </cell>
          <cell r="E180">
            <v>10</v>
          </cell>
          <cell r="F180">
            <v>866.81045762457779</v>
          </cell>
          <cell r="G180">
            <v>57.212644094624153</v>
          </cell>
        </row>
        <row r="181">
          <cell r="A181">
            <v>55104</v>
          </cell>
          <cell r="B181" t="str">
            <v>野性长靴</v>
          </cell>
          <cell r="C181">
            <v>22.085271553158545</v>
          </cell>
          <cell r="D181">
            <v>1</v>
          </cell>
          <cell r="E181">
            <v>10</v>
          </cell>
          <cell r="F181">
            <v>1104.2635776579273</v>
          </cell>
          <cell r="G181">
            <v>72.885413990427608</v>
          </cell>
        </row>
        <row r="182">
          <cell r="A182">
            <v>54104</v>
          </cell>
          <cell r="B182" t="str">
            <v>野性腰带</v>
          </cell>
          <cell r="C182">
            <v>17.766917785660109</v>
          </cell>
          <cell r="D182">
            <v>1</v>
          </cell>
          <cell r="E182">
            <v>10</v>
          </cell>
          <cell r="F182">
            <v>888.34588928300548</v>
          </cell>
          <cell r="G182">
            <v>58.634060940787037</v>
          </cell>
        </row>
        <row r="183">
          <cell r="A183">
            <v>53104</v>
          </cell>
          <cell r="B183" t="str">
            <v>野性项链</v>
          </cell>
          <cell r="C183">
            <v>33.114508171122999</v>
          </cell>
          <cell r="D183">
            <v>1</v>
          </cell>
          <cell r="E183">
            <v>10</v>
          </cell>
          <cell r="F183">
            <v>1655.7254085561499</v>
          </cell>
          <cell r="G183">
            <v>109.28390132456938</v>
          </cell>
        </row>
        <row r="184">
          <cell r="A184">
            <v>10205</v>
          </cell>
          <cell r="B184" t="str">
            <v>紫云之剑</v>
          </cell>
          <cell r="C184">
            <v>78.44478193951754</v>
          </cell>
          <cell r="D184">
            <v>1</v>
          </cell>
          <cell r="E184">
            <v>10</v>
          </cell>
          <cell r="F184">
            <v>3922.2390969758771</v>
          </cell>
          <cell r="G184">
            <v>359.99999999999994</v>
          </cell>
        </row>
        <row r="185">
          <cell r="A185">
            <v>20205</v>
          </cell>
          <cell r="B185" t="str">
            <v>紫云之拳</v>
          </cell>
          <cell r="C185">
            <v>78.44478193951754</v>
          </cell>
          <cell r="D185">
            <v>1</v>
          </cell>
          <cell r="E185">
            <v>10</v>
          </cell>
          <cell r="F185">
            <v>3922.2390969758771</v>
          </cell>
          <cell r="G185">
            <v>359.99999999999994</v>
          </cell>
        </row>
        <row r="186">
          <cell r="A186">
            <v>30205</v>
          </cell>
          <cell r="B186" t="str">
            <v>紫云之枪</v>
          </cell>
          <cell r="C186">
            <v>78.44478193951754</v>
          </cell>
          <cell r="D186">
            <v>1</v>
          </cell>
          <cell r="E186">
            <v>10</v>
          </cell>
          <cell r="F186">
            <v>3922.2390969758771</v>
          </cell>
          <cell r="G186">
            <v>359.99999999999994</v>
          </cell>
        </row>
        <row r="187">
          <cell r="A187">
            <v>51205</v>
          </cell>
          <cell r="B187" t="str">
            <v>紫云战衣</v>
          </cell>
          <cell r="C187">
            <v>66.481629457733803</v>
          </cell>
          <cell r="D187">
            <v>1</v>
          </cell>
          <cell r="E187">
            <v>10</v>
          </cell>
          <cell r="F187">
            <v>3324.0814728866903</v>
          </cell>
          <cell r="G187">
            <v>305.0985166003428</v>
          </cell>
        </row>
        <row r="188">
          <cell r="A188">
            <v>52205</v>
          </cell>
          <cell r="B188" t="str">
            <v>紫云长裤</v>
          </cell>
          <cell r="C188">
            <v>25.23747283105687</v>
          </cell>
          <cell r="D188">
            <v>1</v>
          </cell>
          <cell r="E188">
            <v>10</v>
          </cell>
          <cell r="F188">
            <v>1261.8736415528435</v>
          </cell>
          <cell r="G188">
            <v>115.8201985466103</v>
          </cell>
        </row>
        <row r="189">
          <cell r="A189">
            <v>55205</v>
          </cell>
          <cell r="B189" t="str">
            <v>紫云长靴</v>
          </cell>
          <cell r="C189">
            <v>31.972386208936598</v>
          </cell>
          <cell r="D189">
            <v>1</v>
          </cell>
          <cell r="E189">
            <v>10</v>
          </cell>
          <cell r="F189">
            <v>1598.6193104468298</v>
          </cell>
          <cell r="G189">
            <v>146.72816662415676</v>
          </cell>
        </row>
        <row r="190">
          <cell r="A190">
            <v>54205</v>
          </cell>
          <cell r="B190" t="str">
            <v>紫云腰带</v>
          </cell>
          <cell r="C190">
            <v>28.434641991718891</v>
          </cell>
          <cell r="D190">
            <v>1</v>
          </cell>
          <cell r="E190">
            <v>10</v>
          </cell>
          <cell r="F190">
            <v>1421.7320995859445</v>
          </cell>
          <cell r="G190">
            <v>130.49269644106244</v>
          </cell>
        </row>
        <row r="191">
          <cell r="A191">
            <v>53205</v>
          </cell>
          <cell r="B191" t="str">
            <v>紫云项链</v>
          </cell>
          <cell r="C191">
            <v>46.615269814616767</v>
          </cell>
          <cell r="D191">
            <v>1</v>
          </cell>
          <cell r="E191">
            <v>10</v>
          </cell>
          <cell r="F191">
            <v>2330.7634907308384</v>
          </cell>
          <cell r="G191">
            <v>213.92751332014529</v>
          </cell>
        </row>
        <row r="192">
          <cell r="A192">
            <v>10306</v>
          </cell>
          <cell r="B192" t="str">
            <v>鎏金之剑</v>
          </cell>
          <cell r="C192">
            <v>102.13865243691686</v>
          </cell>
          <cell r="D192">
            <v>1</v>
          </cell>
          <cell r="E192">
            <v>10</v>
          </cell>
          <cell r="F192">
            <v>5106.9326218458427</v>
          </cell>
          <cell r="G192">
            <v>899.99999999999989</v>
          </cell>
        </row>
        <row r="193">
          <cell r="A193">
            <v>20306</v>
          </cell>
          <cell r="B193" t="str">
            <v>鎏金之拳</v>
          </cell>
          <cell r="C193">
            <v>102.13865243691686</v>
          </cell>
          <cell r="D193">
            <v>1</v>
          </cell>
          <cell r="E193">
            <v>10</v>
          </cell>
          <cell r="F193">
            <v>5106.9326218458427</v>
          </cell>
          <cell r="G193">
            <v>899.99999999999989</v>
          </cell>
        </row>
        <row r="194">
          <cell r="A194">
            <v>30306</v>
          </cell>
          <cell r="B194" t="str">
            <v>鎏金之枪</v>
          </cell>
          <cell r="C194">
            <v>102.13865243691686</v>
          </cell>
          <cell r="D194">
            <v>1</v>
          </cell>
          <cell r="E194">
            <v>10</v>
          </cell>
          <cell r="F194">
            <v>5106.9326218458427</v>
          </cell>
          <cell r="G194">
            <v>899.99999999999989</v>
          </cell>
        </row>
        <row r="195">
          <cell r="A195">
            <v>51306</v>
          </cell>
          <cell r="B195" t="str">
            <v>鎏金战衣</v>
          </cell>
          <cell r="C195">
            <v>84.997573004868073</v>
          </cell>
          <cell r="D195">
            <v>1</v>
          </cell>
          <cell r="E195">
            <v>10</v>
          </cell>
          <cell r="F195">
            <v>4249.8786502434041</v>
          </cell>
          <cell r="G195">
            <v>748.96049516247569</v>
          </cell>
        </row>
        <row r="196">
          <cell r="A196">
            <v>52306</v>
          </cell>
          <cell r="B196" t="str">
            <v>鎏金长裤</v>
          </cell>
          <cell r="C196">
            <v>33.259525329938178</v>
          </cell>
          <cell r="D196">
            <v>1</v>
          </cell>
          <cell r="E196">
            <v>10</v>
          </cell>
          <cell r="F196">
            <v>1662.9762664969089</v>
          </cell>
          <cell r="G196">
            <v>293.06802158401308</v>
          </cell>
        </row>
        <row r="197">
          <cell r="A197">
            <v>55306</v>
          </cell>
          <cell r="B197" t="str">
            <v>鎏金长靴</v>
          </cell>
          <cell r="C197">
            <v>41.903462963133002</v>
          </cell>
          <cell r="D197">
            <v>1</v>
          </cell>
          <cell r="E197">
            <v>10</v>
          </cell>
          <cell r="F197">
            <v>2095.1731481566503</v>
          </cell>
          <cell r="G197">
            <v>369.23452353272603</v>
          </cell>
        </row>
        <row r="198">
          <cell r="A198">
            <v>54306</v>
          </cell>
          <cell r="B198" t="str">
            <v>鎏金腰带</v>
          </cell>
          <cell r="C198">
            <v>40.807791613975198</v>
          </cell>
          <cell r="D198">
            <v>1</v>
          </cell>
          <cell r="E198">
            <v>10</v>
          </cell>
          <cell r="F198">
            <v>2040.3895806987598</v>
          </cell>
          <cell r="G198">
            <v>359.57995897058765</v>
          </cell>
        </row>
        <row r="199">
          <cell r="A199">
            <v>53306</v>
          </cell>
          <cell r="B199" t="str">
            <v>鎏金项链</v>
          </cell>
          <cell r="C199">
            <v>59.367232969697</v>
          </cell>
          <cell r="D199">
            <v>1</v>
          </cell>
          <cell r="E199">
            <v>10</v>
          </cell>
          <cell r="F199">
            <v>2968.3616484848499</v>
          </cell>
          <cell r="G199">
            <v>523.11743299851332</v>
          </cell>
        </row>
        <row r="200">
          <cell r="A200">
            <v>10407</v>
          </cell>
          <cell r="B200" t="str">
            <v>虹光之剑</v>
          </cell>
          <cell r="C200">
            <v>119.64196112108959</v>
          </cell>
          <cell r="D200">
            <v>1</v>
          </cell>
          <cell r="E200">
            <v>10</v>
          </cell>
          <cell r="F200">
            <v>5982.0980560544795</v>
          </cell>
          <cell r="G200">
            <v>1500</v>
          </cell>
        </row>
        <row r="201">
          <cell r="A201">
            <v>20407</v>
          </cell>
          <cell r="B201" t="str">
            <v>虹光之拳</v>
          </cell>
          <cell r="C201">
            <v>119.64196112108959</v>
          </cell>
          <cell r="D201">
            <v>1</v>
          </cell>
          <cell r="E201">
            <v>10</v>
          </cell>
          <cell r="F201">
            <v>5982.0980560544795</v>
          </cell>
          <cell r="G201">
            <v>1500</v>
          </cell>
        </row>
        <row r="202">
          <cell r="A202">
            <v>30407</v>
          </cell>
          <cell r="B202" t="str">
            <v>虹光之枪</v>
          </cell>
          <cell r="C202">
            <v>119.64196112108959</v>
          </cell>
          <cell r="D202">
            <v>1</v>
          </cell>
          <cell r="E202">
            <v>10</v>
          </cell>
          <cell r="F202">
            <v>5982.0980560544795</v>
          </cell>
          <cell r="G202">
            <v>1500</v>
          </cell>
        </row>
        <row r="203">
          <cell r="A203">
            <v>51407</v>
          </cell>
          <cell r="B203" t="str">
            <v>虹光战衣</v>
          </cell>
          <cell r="C203">
            <v>97.714859488243945</v>
          </cell>
          <cell r="D203">
            <v>1</v>
          </cell>
          <cell r="E203">
            <v>10</v>
          </cell>
          <cell r="F203">
            <v>4885.7429744121973</v>
          </cell>
          <cell r="G203">
            <v>1225.0909953241251</v>
          </cell>
        </row>
        <row r="204">
          <cell r="A204">
            <v>52407</v>
          </cell>
          <cell r="B204" t="str">
            <v>虹光长裤</v>
          </cell>
          <cell r="C204">
            <v>39.43082538012905</v>
          </cell>
          <cell r="D204">
            <v>1</v>
          </cell>
          <cell r="E204">
            <v>10</v>
          </cell>
          <cell r="F204">
            <v>1971.5412690064525</v>
          </cell>
          <cell r="G204">
            <v>494.36031903833202</v>
          </cell>
        </row>
        <row r="205">
          <cell r="A205">
            <v>55407</v>
          </cell>
          <cell r="B205" t="str">
            <v>虹光长靴</v>
          </cell>
          <cell r="C205">
            <v>49.408096967378796</v>
          </cell>
          <cell r="D205">
            <v>1</v>
          </cell>
          <cell r="E205">
            <v>10</v>
          </cell>
          <cell r="F205">
            <v>2470.4048483689398</v>
          </cell>
          <cell r="G205">
            <v>619.44943694177095</v>
          </cell>
        </row>
        <row r="206">
          <cell r="A206">
            <v>54407</v>
          </cell>
          <cell r="B206" t="str">
            <v>虹光腰带</v>
          </cell>
          <cell r="C206">
            <v>52.27273014517047</v>
          </cell>
          <cell r="D206">
            <v>1</v>
          </cell>
          <cell r="E206">
            <v>10</v>
          </cell>
          <cell r="F206">
            <v>2613.6365072585236</v>
          </cell>
          <cell r="G206">
            <v>655.36450993475341</v>
          </cell>
        </row>
        <row r="207">
          <cell r="A207">
            <v>53407</v>
          </cell>
          <cell r="B207" t="str">
            <v>虹光项链</v>
          </cell>
          <cell r="C207">
            <v>67.97180727272729</v>
          </cell>
          <cell r="D207">
            <v>1</v>
          </cell>
          <cell r="E207">
            <v>10</v>
          </cell>
          <cell r="F207">
            <v>3398.5903636363646</v>
          </cell>
          <cell r="G207">
            <v>852.19023454404567</v>
          </cell>
        </row>
        <row r="208">
          <cell r="A208">
            <v>10108</v>
          </cell>
          <cell r="B208" t="str">
            <v>碧蓝之剑</v>
          </cell>
          <cell r="C208">
            <v>109.08489536989224</v>
          </cell>
          <cell r="D208">
            <v>1</v>
          </cell>
          <cell r="E208">
            <v>10</v>
          </cell>
          <cell r="F208">
            <v>5454.2447684946119</v>
          </cell>
          <cell r="G208">
            <v>360</v>
          </cell>
        </row>
        <row r="209">
          <cell r="A209">
            <v>20108</v>
          </cell>
          <cell r="B209" t="str">
            <v>碧蓝之拳</v>
          </cell>
          <cell r="C209">
            <v>109.08489536989224</v>
          </cell>
          <cell r="D209">
            <v>1</v>
          </cell>
          <cell r="E209">
            <v>10</v>
          </cell>
          <cell r="F209">
            <v>5454.2447684946119</v>
          </cell>
          <cell r="G209">
            <v>360</v>
          </cell>
        </row>
        <row r="210">
          <cell r="A210">
            <v>30108</v>
          </cell>
          <cell r="B210" t="str">
            <v>碧蓝之枪</v>
          </cell>
          <cell r="C210">
            <v>109.08489536989224</v>
          </cell>
          <cell r="D210">
            <v>1</v>
          </cell>
          <cell r="E210">
            <v>10</v>
          </cell>
          <cell r="F210">
            <v>5454.2447684946119</v>
          </cell>
          <cell r="G210">
            <v>360</v>
          </cell>
        </row>
        <row r="211">
          <cell r="A211">
            <v>51108</v>
          </cell>
          <cell r="B211" t="str">
            <v>碧蓝战衣</v>
          </cell>
          <cell r="C211">
            <v>94.105543642506575</v>
          </cell>
          <cell r="D211">
            <v>1</v>
          </cell>
          <cell r="E211">
            <v>10</v>
          </cell>
          <cell r="F211">
            <v>4705.2771821253291</v>
          </cell>
          <cell r="G211">
            <v>310.56541417972329</v>
          </cell>
        </row>
        <row r="212">
          <cell r="A212">
            <v>52108</v>
          </cell>
          <cell r="B212" t="str">
            <v>碧蓝长裤</v>
          </cell>
          <cell r="C212">
            <v>34.672418304983111</v>
          </cell>
          <cell r="D212">
            <v>1</v>
          </cell>
          <cell r="E212">
            <v>10</v>
          </cell>
          <cell r="F212">
            <v>1733.6209152491556</v>
          </cell>
          <cell r="G212">
            <v>114.42528818924831</v>
          </cell>
        </row>
        <row r="213">
          <cell r="A213">
            <v>55108</v>
          </cell>
          <cell r="B213" t="str">
            <v>碧蓝长靴</v>
          </cell>
          <cell r="C213">
            <v>44.170543106317091</v>
          </cell>
          <cell r="D213">
            <v>1</v>
          </cell>
          <cell r="E213">
            <v>10</v>
          </cell>
          <cell r="F213">
            <v>2208.5271553158545</v>
          </cell>
          <cell r="G213">
            <v>145.77082798085522</v>
          </cell>
        </row>
        <row r="214">
          <cell r="A214">
            <v>54108</v>
          </cell>
          <cell r="B214" t="str">
            <v>碧蓝腰带</v>
          </cell>
          <cell r="C214">
            <v>35.533835571320218</v>
          </cell>
          <cell r="D214">
            <v>1</v>
          </cell>
          <cell r="E214">
            <v>10</v>
          </cell>
          <cell r="F214">
            <v>1776.691778566011</v>
          </cell>
          <cell r="G214">
            <v>117.26812188157407</v>
          </cell>
        </row>
        <row r="215">
          <cell r="A215">
            <v>53108</v>
          </cell>
          <cell r="B215" t="str">
            <v>碧蓝项链</v>
          </cell>
          <cell r="C215">
            <v>66.229016342245998</v>
          </cell>
          <cell r="D215">
            <v>1</v>
          </cell>
          <cell r="E215">
            <v>10</v>
          </cell>
          <cell r="F215">
            <v>3311.4508171122998</v>
          </cell>
          <cell r="G215">
            <v>218.56780264913877</v>
          </cell>
        </row>
        <row r="216">
          <cell r="A216">
            <v>10209</v>
          </cell>
          <cell r="B216" t="str">
            <v>斩魄之刃</v>
          </cell>
          <cell r="C216">
            <v>156.88956387903508</v>
          </cell>
          <cell r="D216">
            <v>1</v>
          </cell>
          <cell r="E216">
            <v>10</v>
          </cell>
          <cell r="F216">
            <v>7844.4781939517543</v>
          </cell>
          <cell r="G216">
            <v>719.99999999999989</v>
          </cell>
        </row>
        <row r="217">
          <cell r="A217">
            <v>20209</v>
          </cell>
          <cell r="B217" t="str">
            <v>流光之拳</v>
          </cell>
          <cell r="C217">
            <v>156.88956387903508</v>
          </cell>
          <cell r="D217">
            <v>1</v>
          </cell>
          <cell r="E217">
            <v>10</v>
          </cell>
          <cell r="F217">
            <v>7844.4781939517543</v>
          </cell>
          <cell r="G217">
            <v>719.99999999999989</v>
          </cell>
        </row>
        <row r="218">
          <cell r="A218">
            <v>30209</v>
          </cell>
          <cell r="B218" t="str">
            <v>玫瑰骑士</v>
          </cell>
          <cell r="C218">
            <v>156.88956387903508</v>
          </cell>
          <cell r="D218">
            <v>1</v>
          </cell>
          <cell r="E218">
            <v>10</v>
          </cell>
          <cell r="F218">
            <v>7844.4781939517543</v>
          </cell>
          <cell r="G218">
            <v>719.99999999999989</v>
          </cell>
        </row>
        <row r="219">
          <cell r="A219">
            <v>51209</v>
          </cell>
          <cell r="B219" t="str">
            <v>黑鸦战衣</v>
          </cell>
          <cell r="C219">
            <v>132.96325891546761</v>
          </cell>
          <cell r="D219">
            <v>1</v>
          </cell>
          <cell r="E219">
            <v>10</v>
          </cell>
          <cell r="F219">
            <v>6648.1629457733807</v>
          </cell>
          <cell r="G219">
            <v>610.19703320068561</v>
          </cell>
        </row>
        <row r="220">
          <cell r="A220">
            <v>52209</v>
          </cell>
          <cell r="B220" t="str">
            <v>黑鸦长裤</v>
          </cell>
          <cell r="C220">
            <v>50.47494566211374</v>
          </cell>
          <cell r="D220">
            <v>1</v>
          </cell>
          <cell r="E220">
            <v>10</v>
          </cell>
          <cell r="F220">
            <v>2523.7472831056871</v>
          </cell>
          <cell r="G220">
            <v>231.6403970932206</v>
          </cell>
        </row>
        <row r="221">
          <cell r="A221">
            <v>55209</v>
          </cell>
          <cell r="B221" t="str">
            <v>黑鸦长靴</v>
          </cell>
          <cell r="C221">
            <v>63.944772417873196</v>
          </cell>
          <cell r="D221">
            <v>1</v>
          </cell>
          <cell r="E221">
            <v>10</v>
          </cell>
          <cell r="F221">
            <v>3197.2386208936596</v>
          </cell>
          <cell r="G221">
            <v>293.45633324831351</v>
          </cell>
        </row>
        <row r="222">
          <cell r="A222">
            <v>54209</v>
          </cell>
          <cell r="B222" t="str">
            <v>黑鸦腰带</v>
          </cell>
          <cell r="C222">
            <v>56.869283983437782</v>
          </cell>
          <cell r="D222">
            <v>1</v>
          </cell>
          <cell r="E222">
            <v>10</v>
          </cell>
          <cell r="F222">
            <v>2843.464199171889</v>
          </cell>
          <cell r="G222">
            <v>260.98539288212487</v>
          </cell>
        </row>
        <row r="223">
          <cell r="A223">
            <v>53209</v>
          </cell>
          <cell r="B223" t="str">
            <v>黑鸦项链</v>
          </cell>
          <cell r="C223">
            <v>93.230539629233533</v>
          </cell>
          <cell r="D223">
            <v>1</v>
          </cell>
          <cell r="E223">
            <v>10</v>
          </cell>
          <cell r="F223">
            <v>4661.5269814616768</v>
          </cell>
          <cell r="G223">
            <v>427.85502664029059</v>
          </cell>
        </row>
        <row r="224">
          <cell r="A224">
            <v>10310</v>
          </cell>
          <cell r="B224" t="str">
            <v>爵士之刃</v>
          </cell>
          <cell r="C224">
            <v>204.27730487383371</v>
          </cell>
          <cell r="D224">
            <v>1</v>
          </cell>
          <cell r="E224">
            <v>10</v>
          </cell>
          <cell r="F224">
            <v>10213.865243691685</v>
          </cell>
          <cell r="G224">
            <v>1799.9999999999998</v>
          </cell>
        </row>
        <row r="225">
          <cell r="A225">
            <v>20310</v>
          </cell>
          <cell r="B225" t="str">
            <v>爵士之拳</v>
          </cell>
          <cell r="C225">
            <v>204.27730487383371</v>
          </cell>
          <cell r="D225">
            <v>1</v>
          </cell>
          <cell r="E225">
            <v>10</v>
          </cell>
          <cell r="F225">
            <v>10213.865243691685</v>
          </cell>
          <cell r="G225">
            <v>1799.9999999999998</v>
          </cell>
        </row>
        <row r="226">
          <cell r="A226">
            <v>30310</v>
          </cell>
          <cell r="B226" t="str">
            <v>爵士之枪</v>
          </cell>
          <cell r="C226">
            <v>204.27730487383371</v>
          </cell>
          <cell r="D226">
            <v>1</v>
          </cell>
          <cell r="E226">
            <v>10</v>
          </cell>
          <cell r="F226">
            <v>10213.865243691685</v>
          </cell>
          <cell r="G226">
            <v>1799.9999999999998</v>
          </cell>
        </row>
        <row r="227">
          <cell r="A227">
            <v>51310</v>
          </cell>
          <cell r="B227" t="str">
            <v>爵士战衣</v>
          </cell>
          <cell r="C227">
            <v>169.99514600973615</v>
          </cell>
          <cell r="D227">
            <v>1</v>
          </cell>
          <cell r="E227">
            <v>10</v>
          </cell>
          <cell r="F227">
            <v>8499.7573004868082</v>
          </cell>
          <cell r="G227">
            <v>1497.9209903249514</v>
          </cell>
        </row>
        <row r="228">
          <cell r="A228">
            <v>52310</v>
          </cell>
          <cell r="B228" t="str">
            <v>爵士长裤</v>
          </cell>
          <cell r="C228">
            <v>66.519050659876356</v>
          </cell>
          <cell r="D228">
            <v>1</v>
          </cell>
          <cell r="E228">
            <v>10</v>
          </cell>
          <cell r="F228">
            <v>3325.9525329938178</v>
          </cell>
          <cell r="G228">
            <v>586.13604316802616</v>
          </cell>
        </row>
        <row r="229">
          <cell r="A229">
            <v>55310</v>
          </cell>
          <cell r="B229" t="str">
            <v>爵士长靴</v>
          </cell>
          <cell r="C229">
            <v>83.806925926266004</v>
          </cell>
          <cell r="D229">
            <v>1</v>
          </cell>
          <cell r="E229">
            <v>10</v>
          </cell>
          <cell r="F229">
            <v>4190.3462963133006</v>
          </cell>
          <cell r="G229">
            <v>738.46904706545206</v>
          </cell>
        </row>
        <row r="230">
          <cell r="A230">
            <v>54310</v>
          </cell>
          <cell r="B230" t="str">
            <v>爵士腰带</v>
          </cell>
          <cell r="C230">
            <v>81.615583227950395</v>
          </cell>
          <cell r="D230">
            <v>1</v>
          </cell>
          <cell r="E230">
            <v>10</v>
          </cell>
          <cell r="F230">
            <v>4080.7791613975196</v>
          </cell>
          <cell r="G230">
            <v>719.15991794117531</v>
          </cell>
        </row>
        <row r="231">
          <cell r="A231">
            <v>53310</v>
          </cell>
          <cell r="B231" t="str">
            <v>爵士项链</v>
          </cell>
          <cell r="C231">
            <v>118.734465939394</v>
          </cell>
          <cell r="D231">
            <v>1</v>
          </cell>
          <cell r="E231">
            <v>10</v>
          </cell>
          <cell r="F231">
            <v>5936.7232969696997</v>
          </cell>
          <cell r="G231">
            <v>1046.2348659970266</v>
          </cell>
        </row>
        <row r="232">
          <cell r="A232">
            <v>10411</v>
          </cell>
          <cell r="B232" t="str">
            <v>暴血之刃</v>
          </cell>
          <cell r="C232">
            <v>239.28392224217919</v>
          </cell>
          <cell r="D232">
            <v>1</v>
          </cell>
          <cell r="E232">
            <v>10</v>
          </cell>
          <cell r="F232">
            <v>11964.196112108959</v>
          </cell>
          <cell r="G232">
            <v>3000</v>
          </cell>
        </row>
        <row r="233">
          <cell r="A233">
            <v>20411</v>
          </cell>
          <cell r="B233" t="str">
            <v>暴血之拳</v>
          </cell>
          <cell r="C233">
            <v>239.28392224217919</v>
          </cell>
          <cell r="D233">
            <v>1</v>
          </cell>
          <cell r="E233">
            <v>10</v>
          </cell>
          <cell r="F233">
            <v>11964.196112108959</v>
          </cell>
          <cell r="G233">
            <v>3000</v>
          </cell>
        </row>
        <row r="234">
          <cell r="A234">
            <v>30411</v>
          </cell>
          <cell r="B234" t="str">
            <v>暴血之枪</v>
          </cell>
          <cell r="C234">
            <v>239.28392224217919</v>
          </cell>
          <cell r="D234">
            <v>1</v>
          </cell>
          <cell r="E234">
            <v>10</v>
          </cell>
          <cell r="F234">
            <v>11964.196112108959</v>
          </cell>
          <cell r="G234">
            <v>3000</v>
          </cell>
        </row>
        <row r="235">
          <cell r="A235">
            <v>51411</v>
          </cell>
          <cell r="B235" t="str">
            <v>暴血战衣</v>
          </cell>
          <cell r="C235">
            <v>195.42971897648789</v>
          </cell>
          <cell r="D235">
            <v>1</v>
          </cell>
          <cell r="E235">
            <v>10</v>
          </cell>
          <cell r="F235">
            <v>9771.4859488243947</v>
          </cell>
          <cell r="G235">
            <v>2450.1819906482501</v>
          </cell>
        </row>
        <row r="236">
          <cell r="A236">
            <v>52411</v>
          </cell>
          <cell r="B236" t="str">
            <v>暴血长裤</v>
          </cell>
          <cell r="C236">
            <v>78.861650760258101</v>
          </cell>
          <cell r="D236">
            <v>1</v>
          </cell>
          <cell r="E236">
            <v>10</v>
          </cell>
          <cell r="F236">
            <v>3943.0825380129049</v>
          </cell>
          <cell r="G236">
            <v>988.72063807666405</v>
          </cell>
        </row>
        <row r="237">
          <cell r="A237">
            <v>55411</v>
          </cell>
          <cell r="B237" t="str">
            <v>暴血长靴</v>
          </cell>
          <cell r="C237">
            <v>98.816193934757592</v>
          </cell>
          <cell r="D237">
            <v>1</v>
          </cell>
          <cell r="E237">
            <v>10</v>
          </cell>
          <cell r="F237">
            <v>4940.8096967378797</v>
          </cell>
          <cell r="G237">
            <v>1238.8988738835419</v>
          </cell>
        </row>
        <row r="238">
          <cell r="A238">
            <v>54411</v>
          </cell>
          <cell r="B238" t="str">
            <v>暴血腰带</v>
          </cell>
          <cell r="C238">
            <v>104.54546029034094</v>
          </cell>
          <cell r="D238">
            <v>1</v>
          </cell>
          <cell r="E238">
            <v>10</v>
          </cell>
          <cell r="F238">
            <v>5227.2730145170472</v>
          </cell>
          <cell r="G238">
            <v>1310.7290198695068</v>
          </cell>
        </row>
        <row r="239">
          <cell r="A239">
            <v>53411</v>
          </cell>
          <cell r="B239" t="str">
            <v>暴血项链</v>
          </cell>
          <cell r="C239">
            <v>135.94361454545458</v>
          </cell>
          <cell r="D239">
            <v>1</v>
          </cell>
          <cell r="E239">
            <v>10</v>
          </cell>
          <cell r="F239">
            <v>6797.1807272727292</v>
          </cell>
          <cell r="G239">
            <v>1704.3804690880913</v>
          </cell>
        </row>
        <row r="240">
          <cell r="A240">
            <v>10112</v>
          </cell>
          <cell r="B240" t="str">
            <v>勇气之刃</v>
          </cell>
          <cell r="C240">
            <v>218.16979073978447</v>
          </cell>
          <cell r="D240">
            <v>1</v>
          </cell>
          <cell r="E240">
            <v>10</v>
          </cell>
          <cell r="F240">
            <v>10908.489536989224</v>
          </cell>
          <cell r="G240">
            <v>539.99999999999989</v>
          </cell>
        </row>
        <row r="241">
          <cell r="A241">
            <v>20112</v>
          </cell>
          <cell r="B241" t="str">
            <v>勇气之拳</v>
          </cell>
          <cell r="C241">
            <v>218.16979073978447</v>
          </cell>
          <cell r="D241">
            <v>1</v>
          </cell>
          <cell r="E241">
            <v>10</v>
          </cell>
          <cell r="F241">
            <v>10908.489536989224</v>
          </cell>
          <cell r="G241">
            <v>539.99999999999989</v>
          </cell>
        </row>
        <row r="242">
          <cell r="A242">
            <v>30112</v>
          </cell>
          <cell r="B242" t="str">
            <v>勇气之枪</v>
          </cell>
          <cell r="C242">
            <v>218.16979073978447</v>
          </cell>
          <cell r="D242">
            <v>1</v>
          </cell>
          <cell r="E242">
            <v>10</v>
          </cell>
          <cell r="F242">
            <v>10908.489536989224</v>
          </cell>
          <cell r="G242">
            <v>539.99999999999989</v>
          </cell>
        </row>
        <row r="243">
          <cell r="A243">
            <v>51112</v>
          </cell>
          <cell r="B243" t="str">
            <v>勇气战衣</v>
          </cell>
          <cell r="C243">
            <v>188.21108728501315</v>
          </cell>
          <cell r="D243">
            <v>1</v>
          </cell>
          <cell r="E243">
            <v>10</v>
          </cell>
          <cell r="F243">
            <v>9410.5543642506582</v>
          </cell>
          <cell r="G243">
            <v>465.84812126958496</v>
          </cell>
        </row>
        <row r="244">
          <cell r="A244">
            <v>52112</v>
          </cell>
          <cell r="B244" t="str">
            <v>勇气长裤</v>
          </cell>
          <cell r="C244">
            <v>69.344836609966222</v>
          </cell>
          <cell r="D244">
            <v>1</v>
          </cell>
          <cell r="E244">
            <v>10</v>
          </cell>
          <cell r="F244">
            <v>3467.2418304983112</v>
          </cell>
          <cell r="G244">
            <v>171.63793228387246</v>
          </cell>
        </row>
        <row r="245">
          <cell r="A245">
            <v>55112</v>
          </cell>
          <cell r="B245" t="str">
            <v>勇气长靴</v>
          </cell>
          <cell r="C245">
            <v>88.341086212634181</v>
          </cell>
          <cell r="D245">
            <v>1</v>
          </cell>
          <cell r="E245">
            <v>10</v>
          </cell>
          <cell r="F245">
            <v>4417.0543106317091</v>
          </cell>
          <cell r="G245">
            <v>218.65624197128281</v>
          </cell>
        </row>
        <row r="246">
          <cell r="A246">
            <v>54112</v>
          </cell>
          <cell r="B246" t="str">
            <v>勇气腰带</v>
          </cell>
          <cell r="C246">
            <v>71.067671142640435</v>
          </cell>
          <cell r="D246">
            <v>1</v>
          </cell>
          <cell r="E246">
            <v>10</v>
          </cell>
          <cell r="F246">
            <v>3553.3835571320219</v>
          </cell>
          <cell r="G246">
            <v>175.90218282236108</v>
          </cell>
        </row>
        <row r="247">
          <cell r="A247">
            <v>53112</v>
          </cell>
          <cell r="B247" t="str">
            <v>勇气项链</v>
          </cell>
          <cell r="C247">
            <v>132.458032684492</v>
          </cell>
          <cell r="D247">
            <v>1</v>
          </cell>
          <cell r="E247">
            <v>10</v>
          </cell>
          <cell r="F247">
            <v>6622.9016342245995</v>
          </cell>
          <cell r="G247">
            <v>327.85170397370814</v>
          </cell>
        </row>
        <row r="248">
          <cell r="A248">
            <v>10213</v>
          </cell>
          <cell r="B248" t="str">
            <v>暗羽霸刀</v>
          </cell>
          <cell r="C248">
            <v>313.77912775807016</v>
          </cell>
          <cell r="D248">
            <v>1</v>
          </cell>
          <cell r="E248">
            <v>10</v>
          </cell>
          <cell r="F248">
            <v>15688.956387903509</v>
          </cell>
          <cell r="G248">
            <v>1080.0000000000002</v>
          </cell>
        </row>
        <row r="249">
          <cell r="A249">
            <v>20213</v>
          </cell>
          <cell r="B249" t="str">
            <v>暗羽之拳</v>
          </cell>
          <cell r="C249">
            <v>313.77912775807016</v>
          </cell>
          <cell r="D249">
            <v>1</v>
          </cell>
          <cell r="E249">
            <v>10</v>
          </cell>
          <cell r="F249">
            <v>15688.956387903509</v>
          </cell>
          <cell r="G249">
            <v>1080.0000000000002</v>
          </cell>
        </row>
        <row r="250">
          <cell r="A250">
            <v>30213</v>
          </cell>
          <cell r="B250" t="str">
            <v>暗羽之枪</v>
          </cell>
          <cell r="C250">
            <v>313.77912775807016</v>
          </cell>
          <cell r="D250">
            <v>1</v>
          </cell>
          <cell r="E250">
            <v>10</v>
          </cell>
          <cell r="F250">
            <v>15688.956387903509</v>
          </cell>
          <cell r="G250">
            <v>1080.0000000000002</v>
          </cell>
        </row>
        <row r="251">
          <cell r="A251">
            <v>51213</v>
          </cell>
          <cell r="B251" t="str">
            <v>暗羽战衣</v>
          </cell>
          <cell r="C251">
            <v>265.92651783093521</v>
          </cell>
          <cell r="D251">
            <v>1</v>
          </cell>
          <cell r="E251">
            <v>10</v>
          </cell>
          <cell r="F251">
            <v>13296.325891546761</v>
          </cell>
          <cell r="G251">
            <v>915.29554980102876</v>
          </cell>
        </row>
        <row r="252">
          <cell r="A252">
            <v>52213</v>
          </cell>
          <cell r="B252" t="str">
            <v>暗羽长裤</v>
          </cell>
          <cell r="C252">
            <v>100.94989132422748</v>
          </cell>
          <cell r="D252">
            <v>1</v>
          </cell>
          <cell r="E252">
            <v>10</v>
          </cell>
          <cell r="F252">
            <v>5047.4945662113741</v>
          </cell>
          <cell r="G252">
            <v>347.46059563983096</v>
          </cell>
        </row>
        <row r="253">
          <cell r="A253">
            <v>55213</v>
          </cell>
          <cell r="B253" t="str">
            <v>暗羽长靴</v>
          </cell>
          <cell r="C253">
            <v>127.88954483574639</v>
          </cell>
          <cell r="D253">
            <v>1</v>
          </cell>
          <cell r="E253">
            <v>10</v>
          </cell>
          <cell r="F253">
            <v>6394.4772417873191</v>
          </cell>
          <cell r="G253">
            <v>440.18449987247038</v>
          </cell>
        </row>
        <row r="254">
          <cell r="A254">
            <v>54213</v>
          </cell>
          <cell r="B254" t="str">
            <v>暗羽腰带</v>
          </cell>
          <cell r="C254">
            <v>113.73856796687556</v>
          </cell>
          <cell r="D254">
            <v>1</v>
          </cell>
          <cell r="E254">
            <v>10</v>
          </cell>
          <cell r="F254">
            <v>5686.9283983437781</v>
          </cell>
          <cell r="G254">
            <v>391.47808932318742</v>
          </cell>
        </row>
        <row r="255">
          <cell r="A255">
            <v>53213</v>
          </cell>
          <cell r="B255" t="str">
            <v>暗羽项链</v>
          </cell>
          <cell r="C255">
            <v>186.46107925846707</v>
          </cell>
          <cell r="D255">
            <v>1</v>
          </cell>
          <cell r="E255">
            <v>10</v>
          </cell>
          <cell r="F255">
            <v>9323.0539629233535</v>
          </cell>
          <cell r="G255">
            <v>641.78253996043611</v>
          </cell>
        </row>
        <row r="256">
          <cell r="A256">
            <v>10314</v>
          </cell>
          <cell r="B256" t="str">
            <v>玄武霸刀</v>
          </cell>
          <cell r="C256">
            <v>408.55460974766743</v>
          </cell>
          <cell r="D256">
            <v>1</v>
          </cell>
          <cell r="E256">
            <v>10</v>
          </cell>
          <cell r="F256">
            <v>20427.730487383371</v>
          </cell>
          <cell r="G256">
            <v>2700</v>
          </cell>
        </row>
        <row r="257">
          <cell r="A257">
            <v>20314</v>
          </cell>
          <cell r="B257" t="str">
            <v>玄武之拳</v>
          </cell>
          <cell r="C257">
            <v>408.55460974766743</v>
          </cell>
          <cell r="D257">
            <v>1</v>
          </cell>
          <cell r="E257">
            <v>10</v>
          </cell>
          <cell r="F257">
            <v>20427.730487383371</v>
          </cell>
          <cell r="G257">
            <v>2700</v>
          </cell>
        </row>
        <row r="258">
          <cell r="A258">
            <v>30314</v>
          </cell>
          <cell r="B258" t="str">
            <v>玄武之枪</v>
          </cell>
          <cell r="C258">
            <v>408.55460974766743</v>
          </cell>
          <cell r="D258">
            <v>1</v>
          </cell>
          <cell r="E258">
            <v>10</v>
          </cell>
          <cell r="F258">
            <v>20427.730487383371</v>
          </cell>
          <cell r="G258">
            <v>2700</v>
          </cell>
        </row>
        <row r="259">
          <cell r="A259">
            <v>51314</v>
          </cell>
          <cell r="B259" t="str">
            <v>玄武战衣</v>
          </cell>
          <cell r="C259">
            <v>339.99029201947229</v>
          </cell>
          <cell r="D259">
            <v>1</v>
          </cell>
          <cell r="E259">
            <v>10</v>
          </cell>
          <cell r="F259">
            <v>16999.514600973616</v>
          </cell>
          <cell r="G259">
            <v>2246.8814854874277</v>
          </cell>
        </row>
        <row r="260">
          <cell r="A260">
            <v>52314</v>
          </cell>
          <cell r="B260" t="str">
            <v>玄武长裤</v>
          </cell>
          <cell r="C260">
            <v>133.03810131975271</v>
          </cell>
          <cell r="D260">
            <v>1</v>
          </cell>
          <cell r="E260">
            <v>10</v>
          </cell>
          <cell r="F260">
            <v>6651.9050659876357</v>
          </cell>
          <cell r="G260">
            <v>879.20406475203936</v>
          </cell>
        </row>
        <row r="261">
          <cell r="A261">
            <v>55314</v>
          </cell>
          <cell r="B261" t="str">
            <v>玄武长靴</v>
          </cell>
          <cell r="C261">
            <v>167.61385185253201</v>
          </cell>
          <cell r="D261">
            <v>1</v>
          </cell>
          <cell r="E261">
            <v>10</v>
          </cell>
          <cell r="F261">
            <v>8380.6925926266013</v>
          </cell>
          <cell r="G261">
            <v>1107.7035705981784</v>
          </cell>
        </row>
        <row r="262">
          <cell r="A262">
            <v>54314</v>
          </cell>
          <cell r="B262" t="str">
            <v>玄武腰带</v>
          </cell>
          <cell r="C262">
            <v>163.23116645590079</v>
          </cell>
          <cell r="D262">
            <v>1</v>
          </cell>
          <cell r="E262">
            <v>10</v>
          </cell>
          <cell r="F262">
            <v>8161.5583227950392</v>
          </cell>
          <cell r="G262">
            <v>1078.7398769117631</v>
          </cell>
        </row>
        <row r="263">
          <cell r="A263">
            <v>53314</v>
          </cell>
          <cell r="B263" t="str">
            <v>玄武项链</v>
          </cell>
          <cell r="C263">
            <v>237.468931878788</v>
          </cell>
          <cell r="D263">
            <v>1</v>
          </cell>
          <cell r="E263">
            <v>10</v>
          </cell>
          <cell r="F263">
            <v>11873.446593939399</v>
          </cell>
          <cell r="G263">
            <v>1569.3522989955404</v>
          </cell>
        </row>
        <row r="264">
          <cell r="A264">
            <v>10415</v>
          </cell>
          <cell r="B264" t="str">
            <v>暗魔之刃</v>
          </cell>
          <cell r="C264">
            <v>478.56784448435837</v>
          </cell>
          <cell r="D264">
            <v>1</v>
          </cell>
          <cell r="E264">
            <v>10</v>
          </cell>
          <cell r="F264">
            <v>23928.392224217918</v>
          </cell>
          <cell r="G264">
            <v>4500</v>
          </cell>
        </row>
        <row r="265">
          <cell r="A265">
            <v>20415</v>
          </cell>
          <cell r="B265" t="str">
            <v>暗魔之拳</v>
          </cell>
          <cell r="C265">
            <v>478.56784448435837</v>
          </cell>
          <cell r="D265">
            <v>1</v>
          </cell>
          <cell r="E265">
            <v>10</v>
          </cell>
          <cell r="F265">
            <v>23928.392224217918</v>
          </cell>
          <cell r="G265">
            <v>4500</v>
          </cell>
        </row>
        <row r="266">
          <cell r="A266">
            <v>30415</v>
          </cell>
          <cell r="B266" t="str">
            <v>暗魔之枪</v>
          </cell>
          <cell r="C266">
            <v>478.56784448435837</v>
          </cell>
          <cell r="D266">
            <v>1</v>
          </cell>
          <cell r="E266">
            <v>10</v>
          </cell>
          <cell r="F266">
            <v>23928.392224217918</v>
          </cell>
          <cell r="G266">
            <v>4500</v>
          </cell>
        </row>
        <row r="267">
          <cell r="A267">
            <v>51415</v>
          </cell>
          <cell r="B267" t="str">
            <v>暗魔战衣</v>
          </cell>
          <cell r="C267">
            <v>390.85943795297578</v>
          </cell>
          <cell r="D267">
            <v>1</v>
          </cell>
          <cell r="E267">
            <v>10</v>
          </cell>
          <cell r="F267">
            <v>19542.971897648789</v>
          </cell>
          <cell r="G267">
            <v>3675.272985972375</v>
          </cell>
        </row>
        <row r="268">
          <cell r="A268">
            <v>52415</v>
          </cell>
          <cell r="B268" t="str">
            <v>暗魔长裤</v>
          </cell>
          <cell r="C268">
            <v>157.7233015205162</v>
          </cell>
          <cell r="D268">
            <v>1</v>
          </cell>
          <cell r="E268">
            <v>10</v>
          </cell>
          <cell r="F268">
            <v>7886.1650760258099</v>
          </cell>
          <cell r="G268">
            <v>1483.0809571149962</v>
          </cell>
        </row>
        <row r="269">
          <cell r="A269">
            <v>55415</v>
          </cell>
          <cell r="B269" t="str">
            <v>暗魔长靴</v>
          </cell>
          <cell r="C269">
            <v>197.63238786951518</v>
          </cell>
          <cell r="D269">
            <v>1</v>
          </cell>
          <cell r="E269">
            <v>10</v>
          </cell>
          <cell r="F269">
            <v>9881.6193934757594</v>
          </cell>
          <cell r="G269">
            <v>1858.3483108253126</v>
          </cell>
        </row>
        <row r="270">
          <cell r="A270">
            <v>54415</v>
          </cell>
          <cell r="B270" t="str">
            <v>暗魔腰带</v>
          </cell>
          <cell r="C270">
            <v>209.09092058068188</v>
          </cell>
          <cell r="D270">
            <v>1</v>
          </cell>
          <cell r="E270">
            <v>10</v>
          </cell>
          <cell r="F270">
            <v>10454.546029034094</v>
          </cell>
          <cell r="G270">
            <v>1966.0935298042602</v>
          </cell>
        </row>
        <row r="271">
          <cell r="A271">
            <v>53415</v>
          </cell>
          <cell r="B271" t="str">
            <v>暗魔项链</v>
          </cell>
          <cell r="C271">
            <v>271.88722909090916</v>
          </cell>
          <cell r="D271">
            <v>1</v>
          </cell>
          <cell r="E271">
            <v>10</v>
          </cell>
          <cell r="F271">
            <v>13594.361454545458</v>
          </cell>
          <cell r="G271">
            <v>2556.5707036321369</v>
          </cell>
        </row>
        <row r="272">
          <cell r="A272">
            <v>10116</v>
          </cell>
          <cell r="B272" t="str">
            <v>战爵之刃</v>
          </cell>
          <cell r="C272">
            <v>327.2546861096767</v>
          </cell>
          <cell r="D272">
            <v>1</v>
          </cell>
          <cell r="E272">
            <v>10</v>
          </cell>
          <cell r="F272">
            <v>16362.734305483835</v>
          </cell>
          <cell r="G272">
            <v>719.99999999999989</v>
          </cell>
        </row>
        <row r="273">
          <cell r="A273">
            <v>20116</v>
          </cell>
          <cell r="B273" t="str">
            <v>战爵之拳</v>
          </cell>
          <cell r="C273">
            <v>327.2546861096767</v>
          </cell>
          <cell r="D273">
            <v>1</v>
          </cell>
          <cell r="E273">
            <v>10</v>
          </cell>
          <cell r="F273">
            <v>16362.734305483835</v>
          </cell>
          <cell r="G273">
            <v>719.99999999999989</v>
          </cell>
        </row>
        <row r="274">
          <cell r="A274">
            <v>30116</v>
          </cell>
          <cell r="B274" t="str">
            <v>战爵之枪</v>
          </cell>
          <cell r="C274">
            <v>327.2546861096767</v>
          </cell>
          <cell r="D274">
            <v>1</v>
          </cell>
          <cell r="E274">
            <v>10</v>
          </cell>
          <cell r="F274">
            <v>16362.734305483835</v>
          </cell>
          <cell r="G274">
            <v>719.99999999999989</v>
          </cell>
        </row>
        <row r="275">
          <cell r="A275">
            <v>51116</v>
          </cell>
          <cell r="B275" t="str">
            <v>战爵之衣</v>
          </cell>
          <cell r="C275">
            <v>282.31663092751972</v>
          </cell>
          <cell r="D275">
            <v>1</v>
          </cell>
          <cell r="E275">
            <v>10</v>
          </cell>
          <cell r="F275">
            <v>14115.831546375986</v>
          </cell>
          <cell r="G275">
            <v>621.13082835944658</v>
          </cell>
        </row>
        <row r="276">
          <cell r="A276">
            <v>52116</v>
          </cell>
          <cell r="B276" t="str">
            <v>战爵长裤</v>
          </cell>
          <cell r="C276">
            <v>104.01725491494935</v>
          </cell>
          <cell r="D276">
            <v>1</v>
          </cell>
          <cell r="E276">
            <v>10</v>
          </cell>
          <cell r="F276">
            <v>5200.8627457474677</v>
          </cell>
          <cell r="G276">
            <v>228.8505763784967</v>
          </cell>
        </row>
        <row r="277">
          <cell r="A277">
            <v>55116</v>
          </cell>
          <cell r="B277" t="str">
            <v>战爵长靴</v>
          </cell>
          <cell r="C277">
            <v>132.51162931895126</v>
          </cell>
          <cell r="D277">
            <v>1</v>
          </cell>
          <cell r="E277">
            <v>10</v>
          </cell>
          <cell r="F277">
            <v>6625.5814659475636</v>
          </cell>
          <cell r="G277">
            <v>291.54165596171043</v>
          </cell>
        </row>
        <row r="278">
          <cell r="A278">
            <v>54116</v>
          </cell>
          <cell r="B278" t="str">
            <v>战爵腰带</v>
          </cell>
          <cell r="C278">
            <v>106.60150671396066</v>
          </cell>
          <cell r="D278">
            <v>1</v>
          </cell>
          <cell r="E278">
            <v>10</v>
          </cell>
          <cell r="F278">
            <v>5330.0753356980331</v>
          </cell>
          <cell r="G278">
            <v>234.53624376314815</v>
          </cell>
        </row>
        <row r="279">
          <cell r="A279">
            <v>53116</v>
          </cell>
          <cell r="B279" t="str">
            <v>战爵项链</v>
          </cell>
          <cell r="C279">
            <v>198.68704902673798</v>
          </cell>
          <cell r="D279">
            <v>1</v>
          </cell>
          <cell r="E279">
            <v>10</v>
          </cell>
          <cell r="F279">
            <v>9934.3524513368993</v>
          </cell>
          <cell r="G279">
            <v>437.13560529827754</v>
          </cell>
        </row>
        <row r="280">
          <cell r="A280">
            <v>10217</v>
          </cell>
          <cell r="B280" t="str">
            <v>嗜血之剑</v>
          </cell>
          <cell r="C280">
            <v>470.66869163710521</v>
          </cell>
          <cell r="D280">
            <v>1</v>
          </cell>
          <cell r="E280">
            <v>10</v>
          </cell>
          <cell r="F280">
            <v>23533.434581855261</v>
          </cell>
          <cell r="G280">
            <v>1440</v>
          </cell>
        </row>
        <row r="281">
          <cell r="A281">
            <v>20217</v>
          </cell>
          <cell r="B281" t="str">
            <v>嗜血拳</v>
          </cell>
          <cell r="C281">
            <v>470.66869163710521</v>
          </cell>
          <cell r="D281">
            <v>1</v>
          </cell>
          <cell r="E281">
            <v>10</v>
          </cell>
          <cell r="F281">
            <v>23533.434581855261</v>
          </cell>
          <cell r="G281">
            <v>1440</v>
          </cell>
        </row>
        <row r="282">
          <cell r="A282">
            <v>30217</v>
          </cell>
          <cell r="B282" t="str">
            <v>嗜血枪</v>
          </cell>
          <cell r="C282">
            <v>470.66869163710521</v>
          </cell>
          <cell r="D282">
            <v>1</v>
          </cell>
          <cell r="E282">
            <v>10</v>
          </cell>
          <cell r="F282">
            <v>23533.434581855261</v>
          </cell>
          <cell r="G282">
            <v>1440</v>
          </cell>
        </row>
        <row r="283">
          <cell r="A283">
            <v>51217</v>
          </cell>
          <cell r="B283" t="str">
            <v>嗜血战衣</v>
          </cell>
          <cell r="C283">
            <v>398.88977674640279</v>
          </cell>
          <cell r="D283">
            <v>1</v>
          </cell>
          <cell r="E283">
            <v>10</v>
          </cell>
          <cell r="F283">
            <v>19944.488837320139</v>
          </cell>
          <cell r="G283">
            <v>1220.3940664013714</v>
          </cell>
        </row>
        <row r="284">
          <cell r="A284">
            <v>52217</v>
          </cell>
          <cell r="B284" t="str">
            <v>嗜血长裤</v>
          </cell>
          <cell r="C284">
            <v>151.42483698634121</v>
          </cell>
          <cell r="D284">
            <v>1</v>
          </cell>
          <cell r="E284">
            <v>10</v>
          </cell>
          <cell r="F284">
            <v>7571.2418493170599</v>
          </cell>
          <cell r="G284">
            <v>463.2807941864412</v>
          </cell>
        </row>
        <row r="285">
          <cell r="A285">
            <v>55217</v>
          </cell>
          <cell r="B285" t="str">
            <v>嗜血长靴</v>
          </cell>
          <cell r="C285">
            <v>191.83431725361959</v>
          </cell>
          <cell r="D285">
            <v>1</v>
          </cell>
          <cell r="E285">
            <v>10</v>
          </cell>
          <cell r="F285">
            <v>9591.7158626809796</v>
          </cell>
          <cell r="G285">
            <v>586.91266649662725</v>
          </cell>
        </row>
        <row r="286">
          <cell r="A286">
            <v>54217</v>
          </cell>
          <cell r="B286" t="str">
            <v>嗜血腰带</v>
          </cell>
          <cell r="C286">
            <v>170.60785195031335</v>
          </cell>
          <cell r="D286">
            <v>1</v>
          </cell>
          <cell r="E286">
            <v>10</v>
          </cell>
          <cell r="F286">
            <v>8530.3925975156671</v>
          </cell>
          <cell r="G286">
            <v>521.97078576424985</v>
          </cell>
        </row>
        <row r="287">
          <cell r="A287">
            <v>53217</v>
          </cell>
          <cell r="B287" t="str">
            <v>嗜血项链</v>
          </cell>
          <cell r="C287">
            <v>279.6916188877006</v>
          </cell>
          <cell r="D287">
            <v>1</v>
          </cell>
          <cell r="E287">
            <v>10</v>
          </cell>
          <cell r="F287">
            <v>13984.58094438503</v>
          </cell>
          <cell r="G287">
            <v>855.71005328058141</v>
          </cell>
        </row>
        <row r="288">
          <cell r="A288">
            <v>10318</v>
          </cell>
          <cell r="B288" t="str">
            <v>霸道之刃</v>
          </cell>
          <cell r="C288">
            <v>612.83191462150103</v>
          </cell>
          <cell r="D288">
            <v>1</v>
          </cell>
          <cell r="E288">
            <v>10</v>
          </cell>
          <cell r="F288">
            <v>30641.595731075053</v>
          </cell>
          <cell r="G288">
            <v>3599.9999999999995</v>
          </cell>
        </row>
        <row r="289">
          <cell r="A289">
            <v>20318</v>
          </cell>
          <cell r="B289" t="str">
            <v>霸道之拳</v>
          </cell>
          <cell r="C289">
            <v>612.83191462150103</v>
          </cell>
          <cell r="D289">
            <v>1</v>
          </cell>
          <cell r="E289">
            <v>10</v>
          </cell>
          <cell r="F289">
            <v>30641.595731075053</v>
          </cell>
          <cell r="G289">
            <v>3599.9999999999995</v>
          </cell>
        </row>
        <row r="290">
          <cell r="A290">
            <v>30318</v>
          </cell>
          <cell r="B290" t="str">
            <v>霸道之枪</v>
          </cell>
          <cell r="C290">
            <v>612.83191462150103</v>
          </cell>
          <cell r="D290">
            <v>1</v>
          </cell>
          <cell r="E290">
            <v>10</v>
          </cell>
          <cell r="F290">
            <v>30641.595731075053</v>
          </cell>
          <cell r="G290">
            <v>3599.9999999999995</v>
          </cell>
        </row>
        <row r="291">
          <cell r="A291">
            <v>51318</v>
          </cell>
          <cell r="B291" t="str">
            <v>霸道战衣</v>
          </cell>
          <cell r="C291">
            <v>509.98543802920847</v>
          </cell>
          <cell r="D291">
            <v>1</v>
          </cell>
          <cell r="E291">
            <v>10</v>
          </cell>
          <cell r="F291">
            <v>25499.271901460423</v>
          </cell>
          <cell r="G291">
            <v>2995.8419806499032</v>
          </cell>
        </row>
        <row r="292">
          <cell r="A292">
            <v>52318</v>
          </cell>
          <cell r="B292" t="str">
            <v>霸道长裤</v>
          </cell>
          <cell r="C292">
            <v>199.55715197962905</v>
          </cell>
          <cell r="D292">
            <v>1</v>
          </cell>
          <cell r="E292">
            <v>10</v>
          </cell>
          <cell r="F292">
            <v>9977.8575989814526</v>
          </cell>
          <cell r="G292">
            <v>1172.2720863360523</v>
          </cell>
        </row>
        <row r="293">
          <cell r="A293">
            <v>55318</v>
          </cell>
          <cell r="B293" t="str">
            <v>霸道长靴</v>
          </cell>
          <cell r="C293">
            <v>251.42077777879794</v>
          </cell>
          <cell r="D293">
            <v>1</v>
          </cell>
          <cell r="E293">
            <v>10</v>
          </cell>
          <cell r="F293">
            <v>12571.038888939896</v>
          </cell>
          <cell r="G293">
            <v>1476.9380941309037</v>
          </cell>
        </row>
        <row r="294">
          <cell r="A294">
            <v>54318</v>
          </cell>
          <cell r="B294" t="str">
            <v>霸道腰带</v>
          </cell>
          <cell r="C294">
            <v>244.8467496838511</v>
          </cell>
          <cell r="D294">
            <v>1</v>
          </cell>
          <cell r="E294">
            <v>10</v>
          </cell>
          <cell r="F294">
            <v>12242.337484192554</v>
          </cell>
          <cell r="G294">
            <v>1438.3198358823502</v>
          </cell>
        </row>
        <row r="295">
          <cell r="A295">
            <v>53318</v>
          </cell>
          <cell r="B295" t="str">
            <v>霸道项链</v>
          </cell>
          <cell r="C295">
            <v>356.20339781818188</v>
          </cell>
          <cell r="D295">
            <v>1</v>
          </cell>
          <cell r="E295">
            <v>10</v>
          </cell>
          <cell r="F295">
            <v>17810.169890909096</v>
          </cell>
          <cell r="G295">
            <v>2092.4697319940528</v>
          </cell>
        </row>
        <row r="296">
          <cell r="A296">
            <v>10419</v>
          </cell>
          <cell r="B296" t="str">
            <v>白虎霸刀</v>
          </cell>
          <cell r="C296">
            <v>717.85176672653756</v>
          </cell>
          <cell r="D296">
            <v>1</v>
          </cell>
          <cell r="E296">
            <v>10</v>
          </cell>
          <cell r="F296">
            <v>35892.58833632688</v>
          </cell>
          <cell r="G296">
            <v>6000</v>
          </cell>
        </row>
        <row r="297">
          <cell r="A297">
            <v>20419</v>
          </cell>
          <cell r="B297" t="str">
            <v>白虎之拳</v>
          </cell>
          <cell r="C297">
            <v>717.85176672653756</v>
          </cell>
          <cell r="D297">
            <v>1</v>
          </cell>
          <cell r="E297">
            <v>10</v>
          </cell>
          <cell r="F297">
            <v>35892.58833632688</v>
          </cell>
          <cell r="G297">
            <v>6000</v>
          </cell>
        </row>
        <row r="298">
          <cell r="A298">
            <v>30419</v>
          </cell>
          <cell r="B298" t="str">
            <v>白虎之枪</v>
          </cell>
          <cell r="C298">
            <v>717.85176672653756</v>
          </cell>
          <cell r="D298">
            <v>1</v>
          </cell>
          <cell r="E298">
            <v>10</v>
          </cell>
          <cell r="F298">
            <v>35892.58833632688</v>
          </cell>
          <cell r="G298">
            <v>6000</v>
          </cell>
        </row>
        <row r="299">
          <cell r="A299">
            <v>51419</v>
          </cell>
          <cell r="B299" t="str">
            <v>白虎战衣</v>
          </cell>
          <cell r="C299">
            <v>586.28915692946362</v>
          </cell>
          <cell r="D299">
            <v>1</v>
          </cell>
          <cell r="E299">
            <v>10</v>
          </cell>
          <cell r="F299">
            <v>29314.457846473182</v>
          </cell>
          <cell r="G299">
            <v>4900.3639812964993</v>
          </cell>
        </row>
        <row r="300">
          <cell r="A300">
            <v>52419</v>
          </cell>
          <cell r="B300" t="str">
            <v>白虎长裤</v>
          </cell>
          <cell r="C300">
            <v>236.58495228077425</v>
          </cell>
          <cell r="D300">
            <v>1</v>
          </cell>
          <cell r="E300">
            <v>10</v>
          </cell>
          <cell r="F300">
            <v>11829.247614038712</v>
          </cell>
          <cell r="G300">
            <v>1977.4412761533276</v>
          </cell>
        </row>
        <row r="301">
          <cell r="A301">
            <v>55419</v>
          </cell>
          <cell r="B301" t="str">
            <v>白虎长靴</v>
          </cell>
          <cell r="C301">
            <v>296.44858180427275</v>
          </cell>
          <cell r="D301">
            <v>1</v>
          </cell>
          <cell r="E301">
            <v>10</v>
          </cell>
          <cell r="F301">
            <v>14822.429090213638</v>
          </cell>
          <cell r="G301">
            <v>2477.7977477670834</v>
          </cell>
        </row>
        <row r="302">
          <cell r="A302">
            <v>54419</v>
          </cell>
          <cell r="B302" t="str">
            <v>白虎腰带</v>
          </cell>
          <cell r="C302">
            <v>313.63638087102282</v>
          </cell>
          <cell r="D302">
            <v>1</v>
          </cell>
          <cell r="E302">
            <v>10</v>
          </cell>
          <cell r="F302">
            <v>15681.819043551141</v>
          </cell>
          <cell r="G302">
            <v>2621.4580397390137</v>
          </cell>
        </row>
        <row r="303">
          <cell r="A303">
            <v>53419</v>
          </cell>
          <cell r="B303" t="str">
            <v>白虎项链</v>
          </cell>
          <cell r="C303">
            <v>407.83084363636368</v>
          </cell>
          <cell r="D303">
            <v>1</v>
          </cell>
          <cell r="E303">
            <v>10</v>
          </cell>
          <cell r="F303">
            <v>20391.542181818186</v>
          </cell>
          <cell r="G303">
            <v>3408.7609381761822</v>
          </cell>
        </row>
        <row r="304">
          <cell r="A304">
            <v>10120</v>
          </cell>
          <cell r="B304" t="str">
            <v>堕落之刃</v>
          </cell>
          <cell r="C304">
            <v>436.33958147956895</v>
          </cell>
          <cell r="D304">
            <v>1</v>
          </cell>
          <cell r="E304">
            <v>10</v>
          </cell>
          <cell r="F304">
            <v>21816.979073978448</v>
          </cell>
          <cell r="G304">
            <v>840</v>
          </cell>
        </row>
        <row r="305">
          <cell r="A305">
            <v>20120</v>
          </cell>
          <cell r="B305" t="str">
            <v>堕落之拳</v>
          </cell>
          <cell r="C305">
            <v>436.33958147956895</v>
          </cell>
          <cell r="D305">
            <v>1</v>
          </cell>
          <cell r="E305">
            <v>10</v>
          </cell>
          <cell r="F305">
            <v>21816.979073978448</v>
          </cell>
          <cell r="G305">
            <v>840</v>
          </cell>
        </row>
        <row r="306">
          <cell r="A306">
            <v>30120</v>
          </cell>
          <cell r="B306" t="str">
            <v>堕落之枪</v>
          </cell>
          <cell r="C306">
            <v>436.33958147956895</v>
          </cell>
          <cell r="D306">
            <v>1</v>
          </cell>
          <cell r="E306">
            <v>10</v>
          </cell>
          <cell r="F306">
            <v>21816.979073978448</v>
          </cell>
          <cell r="G306">
            <v>840</v>
          </cell>
        </row>
        <row r="307">
          <cell r="A307">
            <v>51120</v>
          </cell>
          <cell r="B307" t="str">
            <v>堕落战衣</v>
          </cell>
          <cell r="C307">
            <v>376.4221745700263</v>
          </cell>
          <cell r="D307">
            <v>1</v>
          </cell>
          <cell r="E307">
            <v>10</v>
          </cell>
          <cell r="F307">
            <v>18821.108728501316</v>
          </cell>
          <cell r="G307">
            <v>724.65263308602107</v>
          </cell>
        </row>
        <row r="308">
          <cell r="A308">
            <v>52120</v>
          </cell>
          <cell r="B308" t="str">
            <v>堕落长裤</v>
          </cell>
          <cell r="C308">
            <v>138.68967321993244</v>
          </cell>
          <cell r="D308">
            <v>1</v>
          </cell>
          <cell r="E308">
            <v>10</v>
          </cell>
          <cell r="F308">
            <v>6934.4836609966223</v>
          </cell>
          <cell r="G308">
            <v>266.99233910824609</v>
          </cell>
        </row>
        <row r="309">
          <cell r="A309">
            <v>55120</v>
          </cell>
          <cell r="B309" t="str">
            <v>堕落长靴</v>
          </cell>
          <cell r="C309">
            <v>176.68217242526836</v>
          </cell>
          <cell r="D309">
            <v>1</v>
          </cell>
          <cell r="E309">
            <v>10</v>
          </cell>
          <cell r="F309">
            <v>8834.1086212634182</v>
          </cell>
          <cell r="G309">
            <v>340.13193195532887</v>
          </cell>
        </row>
        <row r="310">
          <cell r="A310">
            <v>54120</v>
          </cell>
          <cell r="B310" t="str">
            <v>堕落腰带</v>
          </cell>
          <cell r="C310">
            <v>142.13534228528087</v>
          </cell>
          <cell r="D310">
            <v>1</v>
          </cell>
          <cell r="E310">
            <v>10</v>
          </cell>
          <cell r="F310">
            <v>7106.7671142640438</v>
          </cell>
          <cell r="G310">
            <v>273.62561772367286</v>
          </cell>
        </row>
        <row r="311">
          <cell r="A311">
            <v>53120</v>
          </cell>
          <cell r="B311" t="str">
            <v>堕落项链</v>
          </cell>
          <cell r="C311">
            <v>264.91606536898399</v>
          </cell>
          <cell r="D311">
            <v>1</v>
          </cell>
          <cell r="E311">
            <v>10</v>
          </cell>
          <cell r="F311">
            <v>13245.803268449199</v>
          </cell>
          <cell r="G311">
            <v>509.99153951465712</v>
          </cell>
        </row>
        <row r="312">
          <cell r="A312">
            <v>10221</v>
          </cell>
          <cell r="B312" t="str">
            <v>幻痛霸刀</v>
          </cell>
          <cell r="C312">
            <v>627.55825551614032</v>
          </cell>
          <cell r="D312">
            <v>1</v>
          </cell>
          <cell r="E312">
            <v>10</v>
          </cell>
          <cell r="F312">
            <v>31377.912775807017</v>
          </cell>
          <cell r="G312">
            <v>1680</v>
          </cell>
        </row>
        <row r="313">
          <cell r="A313">
            <v>20221</v>
          </cell>
          <cell r="B313" t="str">
            <v>幻痛之拳</v>
          </cell>
          <cell r="C313">
            <v>627.55825551614032</v>
          </cell>
          <cell r="D313">
            <v>1</v>
          </cell>
          <cell r="E313">
            <v>10</v>
          </cell>
          <cell r="F313">
            <v>31377.912775807017</v>
          </cell>
          <cell r="G313">
            <v>1680</v>
          </cell>
        </row>
        <row r="314">
          <cell r="A314">
            <v>30221</v>
          </cell>
          <cell r="B314" t="str">
            <v>幻痛之枪</v>
          </cell>
          <cell r="C314">
            <v>627.55825551614032</v>
          </cell>
          <cell r="D314">
            <v>1</v>
          </cell>
          <cell r="E314">
            <v>10</v>
          </cell>
          <cell r="F314">
            <v>31377.912775807017</v>
          </cell>
          <cell r="G314">
            <v>1680</v>
          </cell>
        </row>
        <row r="315">
          <cell r="A315">
            <v>51221</v>
          </cell>
          <cell r="B315" t="str">
            <v>幻痛战衣</v>
          </cell>
          <cell r="C315">
            <v>531.85303566187042</v>
          </cell>
          <cell r="D315">
            <v>1</v>
          </cell>
          <cell r="E315">
            <v>10</v>
          </cell>
          <cell r="F315">
            <v>26592.651783093523</v>
          </cell>
          <cell r="G315">
            <v>1423.7930774682668</v>
          </cell>
        </row>
        <row r="316">
          <cell r="A316">
            <v>52221</v>
          </cell>
          <cell r="B316" t="str">
            <v>幻痛长裤</v>
          </cell>
          <cell r="C316">
            <v>201.89978264845496</v>
          </cell>
          <cell r="D316">
            <v>1</v>
          </cell>
          <cell r="E316">
            <v>10</v>
          </cell>
          <cell r="F316">
            <v>10094.989132422748</v>
          </cell>
          <cell r="G316">
            <v>540.49425988418147</v>
          </cell>
        </row>
        <row r="317">
          <cell r="A317">
            <v>55221</v>
          </cell>
          <cell r="B317" t="str">
            <v>幻痛长靴</v>
          </cell>
          <cell r="C317">
            <v>255.77908967149278</v>
          </cell>
          <cell r="D317">
            <v>1</v>
          </cell>
          <cell r="E317">
            <v>10</v>
          </cell>
          <cell r="F317">
            <v>12788.954483574638</v>
          </cell>
          <cell r="G317">
            <v>684.73144424606494</v>
          </cell>
        </row>
        <row r="318">
          <cell r="A318">
            <v>54221</v>
          </cell>
          <cell r="B318" t="str">
            <v>幻痛腰带</v>
          </cell>
          <cell r="C318">
            <v>227.47713593375113</v>
          </cell>
          <cell r="D318">
            <v>1</v>
          </cell>
          <cell r="E318">
            <v>10</v>
          </cell>
          <cell r="F318">
            <v>11373.856796687556</v>
          </cell>
          <cell r="G318">
            <v>608.96591672495799</v>
          </cell>
        </row>
        <row r="319">
          <cell r="A319">
            <v>53221</v>
          </cell>
          <cell r="B319" t="str">
            <v>幻痛项链</v>
          </cell>
          <cell r="C319">
            <v>372.92215851693413</v>
          </cell>
          <cell r="D319">
            <v>1</v>
          </cell>
          <cell r="E319">
            <v>10</v>
          </cell>
          <cell r="F319">
            <v>18646.107925846707</v>
          </cell>
          <cell r="G319">
            <v>998.32839549401137</v>
          </cell>
        </row>
        <row r="320">
          <cell r="A320">
            <v>10322</v>
          </cell>
          <cell r="B320" t="str">
            <v>焚天之剑</v>
          </cell>
          <cell r="C320">
            <v>817.10921949533486</v>
          </cell>
          <cell r="D320">
            <v>1</v>
          </cell>
          <cell r="E320">
            <v>10</v>
          </cell>
          <cell r="F320">
            <v>40855.460974766742</v>
          </cell>
          <cell r="G320">
            <v>4200</v>
          </cell>
        </row>
        <row r="321">
          <cell r="A321">
            <v>20322</v>
          </cell>
          <cell r="B321" t="str">
            <v>焚天之拳</v>
          </cell>
          <cell r="C321">
            <v>817.10921949533486</v>
          </cell>
          <cell r="D321">
            <v>1</v>
          </cell>
          <cell r="E321">
            <v>10</v>
          </cell>
          <cell r="F321">
            <v>40855.460974766742</v>
          </cell>
          <cell r="G321">
            <v>4200</v>
          </cell>
        </row>
        <row r="322">
          <cell r="A322">
            <v>30322</v>
          </cell>
          <cell r="B322" t="str">
            <v>焚天之枪</v>
          </cell>
          <cell r="C322">
            <v>817.10921949533486</v>
          </cell>
          <cell r="D322">
            <v>1</v>
          </cell>
          <cell r="E322">
            <v>10</v>
          </cell>
          <cell r="F322">
            <v>40855.460974766742</v>
          </cell>
          <cell r="G322">
            <v>4200</v>
          </cell>
        </row>
        <row r="323">
          <cell r="A323">
            <v>51322</v>
          </cell>
          <cell r="B323" t="str">
            <v>焚天战衣</v>
          </cell>
          <cell r="C323">
            <v>679.98058403894458</v>
          </cell>
          <cell r="D323">
            <v>1</v>
          </cell>
          <cell r="E323">
            <v>10</v>
          </cell>
          <cell r="F323">
            <v>33999.029201947233</v>
          </cell>
          <cell r="G323">
            <v>3495.1489774248871</v>
          </cell>
        </row>
        <row r="324">
          <cell r="A324">
            <v>52322</v>
          </cell>
          <cell r="B324" t="str">
            <v>焚天长裤</v>
          </cell>
          <cell r="C324">
            <v>266.07620263950542</v>
          </cell>
          <cell r="D324">
            <v>1</v>
          </cell>
          <cell r="E324">
            <v>10</v>
          </cell>
          <cell r="F324">
            <v>13303.810131975271</v>
          </cell>
          <cell r="G324">
            <v>1367.650767392061</v>
          </cell>
        </row>
        <row r="325">
          <cell r="A325">
            <v>55322</v>
          </cell>
          <cell r="B325" t="str">
            <v>焚天长靴</v>
          </cell>
          <cell r="C325">
            <v>335.22770370506402</v>
          </cell>
          <cell r="D325">
            <v>1</v>
          </cell>
          <cell r="E325">
            <v>10</v>
          </cell>
          <cell r="F325">
            <v>16761.385185253203</v>
          </cell>
          <cell r="G325">
            <v>1723.0944431527219</v>
          </cell>
        </row>
        <row r="326">
          <cell r="A326">
            <v>54322</v>
          </cell>
          <cell r="B326" t="str">
            <v>焚天腰带</v>
          </cell>
          <cell r="C326">
            <v>326.46233291180158</v>
          </cell>
          <cell r="D326">
            <v>1</v>
          </cell>
          <cell r="E326">
            <v>10</v>
          </cell>
          <cell r="F326">
            <v>16323.116645590078</v>
          </cell>
          <cell r="G326">
            <v>1678.0398085294091</v>
          </cell>
        </row>
        <row r="327">
          <cell r="A327">
            <v>53322</v>
          </cell>
          <cell r="B327" t="str">
            <v>焚天项链</v>
          </cell>
          <cell r="C327">
            <v>474.937863757576</v>
          </cell>
          <cell r="D327">
            <v>1</v>
          </cell>
          <cell r="E327">
            <v>10</v>
          </cell>
          <cell r="F327">
            <v>23746.893187878799</v>
          </cell>
          <cell r="G327">
            <v>2441.214687326396</v>
          </cell>
        </row>
        <row r="328">
          <cell r="A328">
            <v>10423</v>
          </cell>
          <cell r="B328" t="str">
            <v>朱雀霸刀</v>
          </cell>
          <cell r="C328">
            <v>957.13568896871675</v>
          </cell>
          <cell r="D328">
            <v>1</v>
          </cell>
          <cell r="E328">
            <v>10</v>
          </cell>
          <cell r="F328">
            <v>47856.784448435836</v>
          </cell>
          <cell r="G328">
            <v>7000</v>
          </cell>
        </row>
        <row r="329">
          <cell r="A329">
            <v>20423</v>
          </cell>
          <cell r="B329" t="str">
            <v>朱雀之拳</v>
          </cell>
          <cell r="C329">
            <v>957.13568896871675</v>
          </cell>
          <cell r="D329">
            <v>1</v>
          </cell>
          <cell r="E329">
            <v>10</v>
          </cell>
          <cell r="F329">
            <v>47856.784448435836</v>
          </cell>
          <cell r="G329">
            <v>7000</v>
          </cell>
        </row>
        <row r="330">
          <cell r="A330">
            <v>30423</v>
          </cell>
          <cell r="B330" t="str">
            <v>朱雀之枪</v>
          </cell>
          <cell r="C330">
            <v>957.13568896871675</v>
          </cell>
          <cell r="D330">
            <v>1</v>
          </cell>
          <cell r="E330">
            <v>10</v>
          </cell>
          <cell r="F330">
            <v>47856.784448435836</v>
          </cell>
          <cell r="G330">
            <v>7000</v>
          </cell>
        </row>
        <row r="331">
          <cell r="A331">
            <v>51423</v>
          </cell>
          <cell r="B331" t="str">
            <v>朱雀战衣</v>
          </cell>
          <cell r="C331">
            <v>781.71887590595156</v>
          </cell>
          <cell r="D331">
            <v>1</v>
          </cell>
          <cell r="E331">
            <v>10</v>
          </cell>
          <cell r="F331">
            <v>39085.943795297579</v>
          </cell>
          <cell r="G331">
            <v>5717.0913115125841</v>
          </cell>
        </row>
        <row r="332">
          <cell r="A332">
            <v>52423</v>
          </cell>
          <cell r="B332" t="str">
            <v>朱雀长裤</v>
          </cell>
          <cell r="C332">
            <v>315.4466030410324</v>
          </cell>
          <cell r="D332">
            <v>1</v>
          </cell>
          <cell r="E332">
            <v>10</v>
          </cell>
          <cell r="F332">
            <v>15772.33015205162</v>
          </cell>
          <cell r="G332">
            <v>2307.0148221788832</v>
          </cell>
        </row>
        <row r="333">
          <cell r="A333">
            <v>55423</v>
          </cell>
          <cell r="B333" t="str">
            <v>朱雀长靴</v>
          </cell>
          <cell r="C333">
            <v>395.26477573903037</v>
          </cell>
          <cell r="D333">
            <v>1</v>
          </cell>
          <cell r="E333">
            <v>10</v>
          </cell>
          <cell r="F333">
            <v>19763.238786951519</v>
          </cell>
          <cell r="G333">
            <v>2890.764039061597</v>
          </cell>
        </row>
        <row r="334">
          <cell r="A334">
            <v>54423</v>
          </cell>
          <cell r="B334" t="str">
            <v>朱雀腰带</v>
          </cell>
          <cell r="C334">
            <v>418.18184116136376</v>
          </cell>
          <cell r="D334">
            <v>1</v>
          </cell>
          <cell r="E334">
            <v>10</v>
          </cell>
          <cell r="F334">
            <v>20909.092058068189</v>
          </cell>
          <cell r="G334">
            <v>3058.3677130288493</v>
          </cell>
        </row>
        <row r="335">
          <cell r="A335">
            <v>53423</v>
          </cell>
          <cell r="B335" t="str">
            <v>朱雀项链</v>
          </cell>
          <cell r="C335">
            <v>543.77445818181832</v>
          </cell>
          <cell r="D335">
            <v>1</v>
          </cell>
          <cell r="E335">
            <v>10</v>
          </cell>
          <cell r="F335">
            <v>27188.722909090917</v>
          </cell>
          <cell r="G335">
            <v>3976.8877612055462</v>
          </cell>
        </row>
        <row r="336">
          <cell r="A336">
            <v>10124</v>
          </cell>
          <cell r="B336" t="str">
            <v>高洁之刃</v>
          </cell>
          <cell r="C336">
            <v>545.42447684946114</v>
          </cell>
          <cell r="D336">
            <v>1</v>
          </cell>
          <cell r="E336">
            <v>10</v>
          </cell>
          <cell r="F336">
            <v>27271.223842473057</v>
          </cell>
          <cell r="G336">
            <v>959.99999999999989</v>
          </cell>
        </row>
        <row r="337">
          <cell r="A337">
            <v>20124</v>
          </cell>
          <cell r="B337" t="str">
            <v>高洁之拳</v>
          </cell>
          <cell r="C337">
            <v>545.42447684946114</v>
          </cell>
          <cell r="D337">
            <v>1</v>
          </cell>
          <cell r="E337">
            <v>10</v>
          </cell>
          <cell r="F337">
            <v>27271.223842473057</v>
          </cell>
          <cell r="G337">
            <v>959.99999999999989</v>
          </cell>
        </row>
        <row r="338">
          <cell r="A338">
            <v>30124</v>
          </cell>
          <cell r="B338" t="str">
            <v>高洁之枪</v>
          </cell>
          <cell r="C338">
            <v>545.42447684946114</v>
          </cell>
          <cell r="D338">
            <v>1</v>
          </cell>
          <cell r="E338">
            <v>10</v>
          </cell>
          <cell r="F338">
            <v>27271.223842473057</v>
          </cell>
          <cell r="G338">
            <v>959.99999999999989</v>
          </cell>
        </row>
        <row r="339">
          <cell r="A339">
            <v>51124</v>
          </cell>
          <cell r="B339" t="str">
            <v>高洁战衣</v>
          </cell>
          <cell r="C339">
            <v>470.52771821253282</v>
          </cell>
          <cell r="D339">
            <v>1</v>
          </cell>
          <cell r="E339">
            <v>10</v>
          </cell>
          <cell r="F339">
            <v>23526.385910626639</v>
          </cell>
          <cell r="G339">
            <v>828.17443781259544</v>
          </cell>
        </row>
        <row r="340">
          <cell r="A340">
            <v>52124</v>
          </cell>
          <cell r="B340" t="str">
            <v>高洁长裤</v>
          </cell>
          <cell r="C340">
            <v>173.36209152491557</v>
          </cell>
          <cell r="D340">
            <v>1</v>
          </cell>
          <cell r="E340">
            <v>10</v>
          </cell>
          <cell r="F340">
            <v>8668.1045762457779</v>
          </cell>
          <cell r="G340">
            <v>305.13410183799556</v>
          </cell>
        </row>
        <row r="341">
          <cell r="A341">
            <v>55124</v>
          </cell>
          <cell r="B341" t="str">
            <v>高洁长靴</v>
          </cell>
          <cell r="C341">
            <v>220.85271553158546</v>
          </cell>
          <cell r="D341">
            <v>1</v>
          </cell>
          <cell r="E341">
            <v>10</v>
          </cell>
          <cell r="F341">
            <v>11042.635776579273</v>
          </cell>
          <cell r="G341">
            <v>388.7222079489473</v>
          </cell>
        </row>
        <row r="342">
          <cell r="A342">
            <v>54124</v>
          </cell>
          <cell r="B342" t="str">
            <v>高洁腰带</v>
          </cell>
          <cell r="C342">
            <v>177.6691778566011</v>
          </cell>
          <cell r="D342">
            <v>1</v>
          </cell>
          <cell r="E342">
            <v>10</v>
          </cell>
          <cell r="F342">
            <v>8883.4588928300545</v>
          </cell>
          <cell r="G342">
            <v>312.71499168419757</v>
          </cell>
        </row>
        <row r="343">
          <cell r="A343">
            <v>53124</v>
          </cell>
          <cell r="B343" t="str">
            <v>高洁项链</v>
          </cell>
          <cell r="C343">
            <v>331.14508171122998</v>
          </cell>
          <cell r="D343">
            <v>1</v>
          </cell>
          <cell r="E343">
            <v>10</v>
          </cell>
          <cell r="F343">
            <v>16557.254085561501</v>
          </cell>
          <cell r="G343">
            <v>582.84747373103676</v>
          </cell>
        </row>
        <row r="344">
          <cell r="A344">
            <v>10225</v>
          </cell>
          <cell r="B344" t="str">
            <v>星宿之刃</v>
          </cell>
          <cell r="C344">
            <v>784.44781939517532</v>
          </cell>
          <cell r="D344">
            <v>1</v>
          </cell>
          <cell r="E344">
            <v>10</v>
          </cell>
          <cell r="F344">
            <v>39222.390969758766</v>
          </cell>
          <cell r="G344">
            <v>1920</v>
          </cell>
        </row>
        <row r="345">
          <cell r="A345">
            <v>20225</v>
          </cell>
          <cell r="B345" t="str">
            <v>星宿之拳</v>
          </cell>
          <cell r="C345">
            <v>784.44781939517532</v>
          </cell>
          <cell r="D345">
            <v>1</v>
          </cell>
          <cell r="E345">
            <v>10</v>
          </cell>
          <cell r="F345">
            <v>39222.390969758766</v>
          </cell>
          <cell r="G345">
            <v>1920</v>
          </cell>
        </row>
        <row r="346">
          <cell r="A346">
            <v>30225</v>
          </cell>
          <cell r="B346" t="str">
            <v>星宿之枪</v>
          </cell>
          <cell r="C346">
            <v>784.44781939517532</v>
          </cell>
          <cell r="D346">
            <v>1</v>
          </cell>
          <cell r="E346">
            <v>10</v>
          </cell>
          <cell r="F346">
            <v>39222.390969758766</v>
          </cell>
          <cell r="G346">
            <v>1920</v>
          </cell>
        </row>
        <row r="347">
          <cell r="A347">
            <v>51225</v>
          </cell>
          <cell r="B347" t="str">
            <v>星宿战衣</v>
          </cell>
          <cell r="C347">
            <v>664.816294577338</v>
          </cell>
          <cell r="D347">
            <v>1</v>
          </cell>
          <cell r="E347">
            <v>10</v>
          </cell>
          <cell r="F347">
            <v>33240.814728866899</v>
          </cell>
          <cell r="G347">
            <v>1627.1920885351622</v>
          </cell>
        </row>
        <row r="348">
          <cell r="A348">
            <v>52225</v>
          </cell>
          <cell r="B348" t="str">
            <v>星宿长裤</v>
          </cell>
          <cell r="C348">
            <v>252.37472831056871</v>
          </cell>
          <cell r="D348">
            <v>1</v>
          </cell>
          <cell r="E348">
            <v>10</v>
          </cell>
          <cell r="F348">
            <v>12618.736415528436</v>
          </cell>
          <cell r="G348">
            <v>617.70772558192186</v>
          </cell>
        </row>
        <row r="349">
          <cell r="A349">
            <v>55225</v>
          </cell>
          <cell r="B349" t="str">
            <v>星宿长靴</v>
          </cell>
          <cell r="C349">
            <v>319.72386208936598</v>
          </cell>
          <cell r="D349">
            <v>1</v>
          </cell>
          <cell r="E349">
            <v>10</v>
          </cell>
          <cell r="F349">
            <v>15986.193104468299</v>
          </cell>
          <cell r="G349">
            <v>782.55022199550297</v>
          </cell>
        </row>
        <row r="350">
          <cell r="A350">
            <v>54225</v>
          </cell>
          <cell r="B350" t="str">
            <v>星宿腰带</v>
          </cell>
          <cell r="C350">
            <v>284.34641991718894</v>
          </cell>
          <cell r="D350">
            <v>1</v>
          </cell>
          <cell r="E350">
            <v>10</v>
          </cell>
          <cell r="F350">
            <v>14217.320995859447</v>
          </cell>
          <cell r="G350">
            <v>695.96104768566659</v>
          </cell>
        </row>
        <row r="351">
          <cell r="A351">
            <v>53225</v>
          </cell>
          <cell r="B351" t="str">
            <v>星宿项链</v>
          </cell>
          <cell r="C351">
            <v>466.15269814616761</v>
          </cell>
          <cell r="D351">
            <v>1</v>
          </cell>
          <cell r="E351">
            <v>10</v>
          </cell>
          <cell r="F351">
            <v>23307.63490730838</v>
          </cell>
          <cell r="G351">
            <v>1140.9467377074418</v>
          </cell>
        </row>
        <row r="352">
          <cell r="A352">
            <v>10326</v>
          </cell>
          <cell r="B352" t="str">
            <v>炼狱之剑</v>
          </cell>
          <cell r="C352">
            <v>1021.3865243691686</v>
          </cell>
          <cell r="D352">
            <v>1</v>
          </cell>
          <cell r="E352">
            <v>10</v>
          </cell>
          <cell r="F352">
            <v>51069.326218458431</v>
          </cell>
          <cell r="G352">
            <v>4800.0000000000009</v>
          </cell>
        </row>
        <row r="353">
          <cell r="A353">
            <v>20326</v>
          </cell>
          <cell r="B353" t="str">
            <v>炼狱之拳</v>
          </cell>
          <cell r="C353">
            <v>1021.3865243691686</v>
          </cell>
          <cell r="D353">
            <v>1</v>
          </cell>
          <cell r="E353">
            <v>10</v>
          </cell>
          <cell r="F353">
            <v>51069.326218458431</v>
          </cell>
          <cell r="G353">
            <v>4800.0000000000009</v>
          </cell>
        </row>
        <row r="354">
          <cell r="A354">
            <v>30326</v>
          </cell>
          <cell r="B354" t="str">
            <v>炼狱之枪</v>
          </cell>
          <cell r="C354">
            <v>1021.3865243691686</v>
          </cell>
          <cell r="D354">
            <v>1</v>
          </cell>
          <cell r="E354">
            <v>10</v>
          </cell>
          <cell r="F354">
            <v>51069.326218458431</v>
          </cell>
          <cell r="G354">
            <v>4800.0000000000009</v>
          </cell>
        </row>
        <row r="355">
          <cell r="A355">
            <v>51326</v>
          </cell>
          <cell r="B355" t="str">
            <v>炼狱战衣</v>
          </cell>
          <cell r="C355">
            <v>849.97573004868082</v>
          </cell>
          <cell r="D355">
            <v>1</v>
          </cell>
          <cell r="E355">
            <v>10</v>
          </cell>
          <cell r="F355">
            <v>42498.786502434043</v>
          </cell>
          <cell r="G355">
            <v>3994.4559741998719</v>
          </cell>
        </row>
        <row r="356">
          <cell r="A356">
            <v>52326</v>
          </cell>
          <cell r="B356" t="str">
            <v>炼狱长裤</v>
          </cell>
          <cell r="C356">
            <v>332.5952532993818</v>
          </cell>
          <cell r="D356">
            <v>1</v>
          </cell>
          <cell r="E356">
            <v>10</v>
          </cell>
          <cell r="F356">
            <v>16629.76266496909</v>
          </cell>
          <cell r="G356">
            <v>1563.0294484480696</v>
          </cell>
        </row>
        <row r="357">
          <cell r="A357">
            <v>55326</v>
          </cell>
          <cell r="B357" t="str">
            <v>炼狱长靴</v>
          </cell>
          <cell r="C357">
            <v>419.03462963132995</v>
          </cell>
          <cell r="D357">
            <v>1</v>
          </cell>
          <cell r="E357">
            <v>10</v>
          </cell>
          <cell r="F357">
            <v>20951.731481566498</v>
          </cell>
          <cell r="G357">
            <v>1969.2507921745382</v>
          </cell>
        </row>
        <row r="358">
          <cell r="A358">
            <v>54326</v>
          </cell>
          <cell r="B358" t="str">
            <v>炼狱腰带</v>
          </cell>
          <cell r="C358">
            <v>408.07791613975189</v>
          </cell>
          <cell r="D358">
            <v>1</v>
          </cell>
          <cell r="E358">
            <v>10</v>
          </cell>
          <cell r="F358">
            <v>20403.895806987595</v>
          </cell>
          <cell r="G358">
            <v>1917.759781176467</v>
          </cell>
        </row>
        <row r="359">
          <cell r="A359">
            <v>53326</v>
          </cell>
          <cell r="B359" t="str">
            <v>炼狱项链</v>
          </cell>
          <cell r="C359">
            <v>593.67232969696988</v>
          </cell>
          <cell r="D359">
            <v>1</v>
          </cell>
          <cell r="E359">
            <v>10</v>
          </cell>
          <cell r="F359">
            <v>29683.616484848495</v>
          </cell>
          <cell r="G359">
            <v>2789.9596426587373</v>
          </cell>
        </row>
        <row r="360">
          <cell r="A360">
            <v>10427</v>
          </cell>
          <cell r="B360" t="str">
            <v>青龙霸刀</v>
          </cell>
          <cell r="C360">
            <v>1196.4196112108959</v>
          </cell>
          <cell r="D360">
            <v>1</v>
          </cell>
          <cell r="E360">
            <v>10</v>
          </cell>
          <cell r="F360">
            <v>59820.980560544798</v>
          </cell>
          <cell r="G360">
            <v>8000</v>
          </cell>
        </row>
        <row r="361">
          <cell r="A361">
            <v>20427</v>
          </cell>
          <cell r="B361" t="str">
            <v>青龙之拳</v>
          </cell>
          <cell r="C361">
            <v>1196.4196112108959</v>
          </cell>
          <cell r="D361">
            <v>1</v>
          </cell>
          <cell r="E361">
            <v>10</v>
          </cell>
          <cell r="F361">
            <v>59820.980560544798</v>
          </cell>
          <cell r="G361">
            <v>8000</v>
          </cell>
        </row>
        <row r="362">
          <cell r="A362">
            <v>30427</v>
          </cell>
          <cell r="B362" t="str">
            <v>青龙之枪</v>
          </cell>
          <cell r="C362">
            <v>1196.4196112108959</v>
          </cell>
          <cell r="D362">
            <v>1</v>
          </cell>
          <cell r="E362">
            <v>10</v>
          </cell>
          <cell r="F362">
            <v>59820.980560544798</v>
          </cell>
          <cell r="G362">
            <v>8000</v>
          </cell>
        </row>
        <row r="363">
          <cell r="A363">
            <v>51427</v>
          </cell>
          <cell r="B363" t="str">
            <v>青龙战衣</v>
          </cell>
          <cell r="C363">
            <v>977.14859488243928</v>
          </cell>
          <cell r="D363">
            <v>1</v>
          </cell>
          <cell r="E363">
            <v>10</v>
          </cell>
          <cell r="F363">
            <v>48857.429744121968</v>
          </cell>
          <cell r="G363">
            <v>6533.8186417286661</v>
          </cell>
        </row>
        <row r="364">
          <cell r="A364">
            <v>52427</v>
          </cell>
          <cell r="B364" t="str">
            <v>青龙长裤</v>
          </cell>
          <cell r="C364">
            <v>394.30825380129045</v>
          </cell>
          <cell r="D364">
            <v>1</v>
          </cell>
          <cell r="E364">
            <v>10</v>
          </cell>
          <cell r="F364">
            <v>19715.412690064521</v>
          </cell>
          <cell r="G364">
            <v>2636.5883682044378</v>
          </cell>
        </row>
        <row r="365">
          <cell r="A365">
            <v>55427</v>
          </cell>
          <cell r="B365" t="str">
            <v>青龙长靴</v>
          </cell>
          <cell r="C365">
            <v>494.08096967378793</v>
          </cell>
          <cell r="D365">
            <v>1</v>
          </cell>
          <cell r="E365">
            <v>10</v>
          </cell>
          <cell r="F365">
            <v>24704.048483689396</v>
          </cell>
          <cell r="G365">
            <v>3303.7303303561112</v>
          </cell>
        </row>
        <row r="366">
          <cell r="A366">
            <v>54427</v>
          </cell>
          <cell r="B366" t="str">
            <v>青龙腰带</v>
          </cell>
          <cell r="C366">
            <v>522.72730145170476</v>
          </cell>
          <cell r="D366">
            <v>1</v>
          </cell>
          <cell r="E366">
            <v>10</v>
          </cell>
          <cell r="F366">
            <v>26136.365072585239</v>
          </cell>
          <cell r="G366">
            <v>3495.2773863186853</v>
          </cell>
        </row>
        <row r="367">
          <cell r="A367">
            <v>53427</v>
          </cell>
          <cell r="B367" t="str">
            <v>青龙项链</v>
          </cell>
          <cell r="C367">
            <v>679.7180727272729</v>
          </cell>
          <cell r="D367">
            <v>1</v>
          </cell>
          <cell r="E367">
            <v>10</v>
          </cell>
          <cell r="F367">
            <v>33985.903636363648</v>
          </cell>
          <cell r="G367">
            <v>4545.0145842349111</v>
          </cell>
        </row>
        <row r="368">
          <cell r="A368">
            <v>92131</v>
          </cell>
          <cell r="B368" t="str">
            <v>幸运戒指</v>
          </cell>
          <cell r="C368">
            <v>16.48</v>
          </cell>
          <cell r="D368">
            <v>250</v>
          </cell>
          <cell r="E368">
            <v>2</v>
          </cell>
          <cell r="F368">
            <v>1648</v>
          </cell>
          <cell r="G368">
            <v>4</v>
          </cell>
        </row>
        <row r="369">
          <cell r="A369">
            <v>92011</v>
          </cell>
          <cell r="B369" t="str">
            <v>亚诺</v>
          </cell>
          <cell r="C369">
            <v>20</v>
          </cell>
          <cell r="D369">
            <v>126</v>
          </cell>
          <cell r="E369">
            <v>2</v>
          </cell>
          <cell r="F369">
            <v>2000</v>
          </cell>
          <cell r="G369">
            <v>4</v>
          </cell>
        </row>
        <row r="370">
          <cell r="A370">
            <v>92228</v>
          </cell>
          <cell r="B370" t="str">
            <v>银色手环</v>
          </cell>
          <cell r="C370">
            <v>8</v>
          </cell>
          <cell r="D370">
            <v>253</v>
          </cell>
          <cell r="E370">
            <v>2</v>
          </cell>
          <cell r="F370">
            <v>800</v>
          </cell>
          <cell r="G370">
            <v>2</v>
          </cell>
        </row>
        <row r="371">
          <cell r="A371">
            <v>92232</v>
          </cell>
          <cell r="B371" t="str">
            <v>鎏金手环</v>
          </cell>
          <cell r="C371">
            <v>16.48</v>
          </cell>
          <cell r="D371">
            <v>718</v>
          </cell>
          <cell r="E371">
            <v>2</v>
          </cell>
          <cell r="F371">
            <v>1648</v>
          </cell>
          <cell r="G371">
            <v>4</v>
          </cell>
        </row>
        <row r="372">
          <cell r="A372">
            <v>92121</v>
          </cell>
          <cell r="B372" t="str">
            <v>镀金耳钉</v>
          </cell>
          <cell r="C372">
            <v>20</v>
          </cell>
          <cell r="D372">
            <v>259</v>
          </cell>
          <cell r="E372">
            <v>2</v>
          </cell>
          <cell r="F372">
            <v>2000</v>
          </cell>
          <cell r="G372">
            <v>4</v>
          </cell>
        </row>
        <row r="373">
          <cell r="A373">
            <v>92243</v>
          </cell>
          <cell r="B373" t="str">
            <v>诅咒项链</v>
          </cell>
          <cell r="C373">
            <v>8</v>
          </cell>
          <cell r="D373">
            <v>333</v>
          </cell>
          <cell r="E373">
            <v>2</v>
          </cell>
          <cell r="F373">
            <v>800</v>
          </cell>
          <cell r="G373">
            <v>2</v>
          </cell>
        </row>
        <row r="374">
          <cell r="A374">
            <v>92244</v>
          </cell>
          <cell r="B374" t="str">
            <v>金饰项链</v>
          </cell>
          <cell r="C374">
            <v>16.48</v>
          </cell>
          <cell r="D374">
            <v>653</v>
          </cell>
          <cell r="E374">
            <v>2</v>
          </cell>
          <cell r="F374">
            <v>1648</v>
          </cell>
          <cell r="G374">
            <v>4</v>
          </cell>
        </row>
        <row r="375">
          <cell r="A375">
            <v>92263</v>
          </cell>
          <cell r="B375" t="str">
            <v>银针手表</v>
          </cell>
          <cell r="C375">
            <v>20</v>
          </cell>
          <cell r="D375">
            <v>117</v>
          </cell>
          <cell r="E375">
            <v>2</v>
          </cell>
          <cell r="F375">
            <v>2000</v>
          </cell>
          <cell r="G375">
            <v>4</v>
          </cell>
        </row>
        <row r="376">
          <cell r="A376">
            <v>92277</v>
          </cell>
          <cell r="B376" t="str">
            <v>冬利</v>
          </cell>
          <cell r="C376">
            <v>8</v>
          </cell>
          <cell r="D376">
            <v>122</v>
          </cell>
          <cell r="E376">
            <v>2</v>
          </cell>
          <cell r="F376">
            <v>800</v>
          </cell>
          <cell r="G376">
            <v>2</v>
          </cell>
        </row>
        <row r="377">
          <cell r="A377">
            <v>92233</v>
          </cell>
          <cell r="B377" t="str">
            <v>白金手环</v>
          </cell>
          <cell r="C377">
            <v>50</v>
          </cell>
          <cell r="D377">
            <v>382</v>
          </cell>
          <cell r="E377">
            <v>3</v>
          </cell>
          <cell r="F377">
            <v>7500</v>
          </cell>
          <cell r="G377">
            <v>15</v>
          </cell>
        </row>
        <row r="378">
          <cell r="A378">
            <v>92122</v>
          </cell>
          <cell r="B378" t="str">
            <v>银饰耳钉</v>
          </cell>
          <cell r="C378">
            <v>50</v>
          </cell>
          <cell r="D378">
            <v>362</v>
          </cell>
          <cell r="E378">
            <v>3</v>
          </cell>
          <cell r="F378">
            <v>7500</v>
          </cell>
          <cell r="G378">
            <v>15</v>
          </cell>
        </row>
        <row r="379">
          <cell r="A379">
            <v>92141</v>
          </cell>
          <cell r="B379" t="str">
            <v>白银戒指</v>
          </cell>
          <cell r="C379">
            <v>50</v>
          </cell>
          <cell r="D379">
            <v>381</v>
          </cell>
          <cell r="E379">
            <v>3</v>
          </cell>
          <cell r="F379">
            <v>7500</v>
          </cell>
          <cell r="G379">
            <v>15</v>
          </cell>
        </row>
        <row r="380">
          <cell r="A380">
            <v>92245</v>
          </cell>
          <cell r="B380" t="str">
            <v>水晶项链</v>
          </cell>
          <cell r="C380">
            <v>50</v>
          </cell>
          <cell r="D380">
            <v>276</v>
          </cell>
          <cell r="E380">
            <v>3</v>
          </cell>
          <cell r="F380">
            <v>7500</v>
          </cell>
          <cell r="G380">
            <v>15</v>
          </cell>
        </row>
        <row r="381">
          <cell r="A381">
            <v>92251</v>
          </cell>
          <cell r="B381" t="str">
            <v>红石项链</v>
          </cell>
          <cell r="C381">
            <v>50</v>
          </cell>
          <cell r="D381">
            <v>469</v>
          </cell>
          <cell r="E381">
            <v>3</v>
          </cell>
          <cell r="F381">
            <v>7500</v>
          </cell>
          <cell r="G381">
            <v>15</v>
          </cell>
        </row>
        <row r="382">
          <cell r="A382">
            <v>92264</v>
          </cell>
          <cell r="B382" t="str">
            <v>越野手表</v>
          </cell>
          <cell r="C382">
            <v>50</v>
          </cell>
          <cell r="D382">
            <v>204</v>
          </cell>
          <cell r="E382">
            <v>3</v>
          </cell>
          <cell r="F382">
            <v>7500</v>
          </cell>
          <cell r="G382">
            <v>15</v>
          </cell>
        </row>
        <row r="383">
          <cell r="A383">
            <v>92271</v>
          </cell>
          <cell r="B383" t="str">
            <v>精准手表</v>
          </cell>
          <cell r="C383">
            <v>50</v>
          </cell>
          <cell r="D383">
            <v>108</v>
          </cell>
          <cell r="E383">
            <v>3</v>
          </cell>
          <cell r="F383">
            <v>7500</v>
          </cell>
          <cell r="G383">
            <v>15</v>
          </cell>
        </row>
        <row r="384">
          <cell r="A384">
            <v>92278</v>
          </cell>
          <cell r="B384" t="str">
            <v>宝驼</v>
          </cell>
          <cell r="C384">
            <v>50</v>
          </cell>
          <cell r="D384">
            <v>224</v>
          </cell>
          <cell r="E384">
            <v>3</v>
          </cell>
          <cell r="F384">
            <v>7500</v>
          </cell>
          <cell r="G384">
            <v>15</v>
          </cell>
        </row>
        <row r="385">
          <cell r="A385">
            <v>92283</v>
          </cell>
          <cell r="B385" t="str">
            <v>小迭钞票</v>
          </cell>
          <cell r="C385">
            <v>50</v>
          </cell>
          <cell r="D385">
            <v>713</v>
          </cell>
          <cell r="E385">
            <v>3</v>
          </cell>
          <cell r="F385">
            <v>7500</v>
          </cell>
          <cell r="G385">
            <v>15</v>
          </cell>
        </row>
        <row r="386">
          <cell r="A386">
            <v>92287</v>
          </cell>
          <cell r="B386" t="str">
            <v>金块</v>
          </cell>
          <cell r="C386">
            <v>50</v>
          </cell>
          <cell r="D386">
            <v>655</v>
          </cell>
          <cell r="E386">
            <v>3</v>
          </cell>
          <cell r="F386">
            <v>7500</v>
          </cell>
          <cell r="G386">
            <v>15</v>
          </cell>
        </row>
        <row r="387">
          <cell r="A387">
            <v>92142</v>
          </cell>
          <cell r="B387" t="str">
            <v>黄金戒指</v>
          </cell>
          <cell r="C387">
            <v>119.73766952966369</v>
          </cell>
          <cell r="D387">
            <v>221</v>
          </cell>
          <cell r="E387">
            <v>4</v>
          </cell>
          <cell r="F387">
            <v>23947.533905932738</v>
          </cell>
          <cell r="G387">
            <v>48</v>
          </cell>
        </row>
        <row r="388">
          <cell r="A388">
            <v>92235</v>
          </cell>
          <cell r="B388" t="str">
            <v>宝石手环</v>
          </cell>
          <cell r="C388">
            <v>118.67766952966369</v>
          </cell>
          <cell r="D388">
            <v>227</v>
          </cell>
          <cell r="E388">
            <v>4</v>
          </cell>
          <cell r="F388">
            <v>23735.533905932738</v>
          </cell>
          <cell r="G388">
            <v>48</v>
          </cell>
        </row>
        <row r="389">
          <cell r="A389">
            <v>92012</v>
          </cell>
          <cell r="B389" t="str">
            <v>摩拉</v>
          </cell>
          <cell r="C389">
            <v>120.17766952966369</v>
          </cell>
          <cell r="D389">
            <v>105</v>
          </cell>
          <cell r="E389">
            <v>4</v>
          </cell>
          <cell r="F389">
            <v>24035.533905932738</v>
          </cell>
          <cell r="G389">
            <v>49</v>
          </cell>
        </row>
        <row r="390">
          <cell r="A390">
            <v>92252</v>
          </cell>
          <cell r="B390" t="str">
            <v>青玉项链</v>
          </cell>
          <cell r="C390">
            <v>118.67766952966369</v>
          </cell>
          <cell r="D390">
            <v>308</v>
          </cell>
          <cell r="E390">
            <v>4</v>
          </cell>
          <cell r="F390">
            <v>23735.533905932738</v>
          </cell>
          <cell r="G390">
            <v>48</v>
          </cell>
        </row>
        <row r="391">
          <cell r="A391">
            <v>92124</v>
          </cell>
          <cell r="B391" t="str">
            <v>水晶耳钉</v>
          </cell>
          <cell r="C391">
            <v>120.17766952966369</v>
          </cell>
          <cell r="D391">
            <v>234</v>
          </cell>
          <cell r="E391">
            <v>4</v>
          </cell>
          <cell r="F391">
            <v>24035.533905932738</v>
          </cell>
          <cell r="G391">
            <v>49</v>
          </cell>
        </row>
        <row r="392">
          <cell r="A392">
            <v>92272</v>
          </cell>
          <cell r="B392" t="str">
            <v>金针手表</v>
          </cell>
          <cell r="C392">
            <v>120.17766952966369</v>
          </cell>
          <cell r="D392">
            <v>93</v>
          </cell>
          <cell r="E392">
            <v>4</v>
          </cell>
          <cell r="F392">
            <v>24035.533905932738</v>
          </cell>
          <cell r="G392">
            <v>49</v>
          </cell>
        </row>
        <row r="393">
          <cell r="A393">
            <v>92273</v>
          </cell>
          <cell r="B393" t="str">
            <v>智能手表</v>
          </cell>
          <cell r="C393">
            <v>135.35533905932738</v>
          </cell>
          <cell r="D393">
            <v>86</v>
          </cell>
          <cell r="E393">
            <v>4</v>
          </cell>
          <cell r="F393">
            <v>27071.067811865476</v>
          </cell>
          <cell r="G393">
            <v>55</v>
          </cell>
        </row>
        <row r="394">
          <cell r="A394">
            <v>92279</v>
          </cell>
          <cell r="B394" t="str">
            <v>宾倪</v>
          </cell>
          <cell r="C394">
            <v>118.67766952966369</v>
          </cell>
          <cell r="D394">
            <v>99</v>
          </cell>
          <cell r="E394">
            <v>4</v>
          </cell>
          <cell r="F394">
            <v>23735.533905932738</v>
          </cell>
          <cell r="G394">
            <v>48</v>
          </cell>
        </row>
        <row r="395">
          <cell r="A395">
            <v>92284</v>
          </cell>
          <cell r="B395" t="str">
            <v>大迭钞票</v>
          </cell>
          <cell r="C395">
            <v>119.73766952966369</v>
          </cell>
          <cell r="D395">
            <v>687</v>
          </cell>
          <cell r="E395">
            <v>4</v>
          </cell>
          <cell r="F395">
            <v>23947.533905932738</v>
          </cell>
          <cell r="G395">
            <v>48</v>
          </cell>
        </row>
        <row r="396">
          <cell r="A396">
            <v>92288</v>
          </cell>
          <cell r="B396" t="str">
            <v>大金块</v>
          </cell>
          <cell r="C396">
            <v>119.73766952966369</v>
          </cell>
          <cell r="D396">
            <v>629</v>
          </cell>
          <cell r="E396">
            <v>4</v>
          </cell>
          <cell r="F396">
            <v>23947.533905932738</v>
          </cell>
          <cell r="G396">
            <v>48</v>
          </cell>
        </row>
        <row r="397">
          <cell r="A397">
            <v>92125</v>
          </cell>
          <cell r="B397" t="str">
            <v>红石耳钉</v>
          </cell>
          <cell r="C397">
            <v>348.73922253581054</v>
          </cell>
          <cell r="D397">
            <v>104</v>
          </cell>
          <cell r="E397">
            <v>4</v>
          </cell>
          <cell r="F397">
            <v>69747.84450716211</v>
          </cell>
          <cell r="G397">
            <v>140</v>
          </cell>
        </row>
        <row r="398">
          <cell r="A398">
            <v>92134</v>
          </cell>
          <cell r="B398" t="str">
            <v>毒蝎耳钉</v>
          </cell>
          <cell r="C398">
            <v>348.73922253581054</v>
          </cell>
          <cell r="D398">
            <v>108</v>
          </cell>
          <cell r="E398">
            <v>4</v>
          </cell>
          <cell r="F398">
            <v>69747.84450716211</v>
          </cell>
          <cell r="G398">
            <v>140</v>
          </cell>
        </row>
        <row r="399">
          <cell r="A399">
            <v>92223</v>
          </cell>
          <cell r="B399" t="str">
            <v>赤金戒指</v>
          </cell>
          <cell r="C399">
            <v>348.58365904394952</v>
          </cell>
          <cell r="D399">
            <v>130</v>
          </cell>
          <cell r="E399">
            <v>4</v>
          </cell>
          <cell r="F399">
            <v>69716.731808789904</v>
          </cell>
          <cell r="G399">
            <v>140</v>
          </cell>
        </row>
        <row r="400">
          <cell r="A400">
            <v>92227</v>
          </cell>
          <cell r="B400" t="str">
            <v>王者手环</v>
          </cell>
          <cell r="C400">
            <v>348.20889244992065</v>
          </cell>
          <cell r="D400">
            <v>141</v>
          </cell>
          <cell r="E400">
            <v>4</v>
          </cell>
          <cell r="F400">
            <v>69641.778489984135</v>
          </cell>
          <cell r="G400">
            <v>140</v>
          </cell>
        </row>
        <row r="401">
          <cell r="A401">
            <v>92236</v>
          </cell>
          <cell r="B401" t="str">
            <v>符文手环</v>
          </cell>
          <cell r="C401">
            <v>384.29255149387018</v>
          </cell>
          <cell r="D401">
            <v>67</v>
          </cell>
          <cell r="E401">
            <v>4</v>
          </cell>
          <cell r="F401">
            <v>76858.510298774039</v>
          </cell>
          <cell r="G401">
            <v>154</v>
          </cell>
        </row>
        <row r="402">
          <cell r="A402">
            <v>92013</v>
          </cell>
          <cell r="B402" t="str">
            <v>月立</v>
          </cell>
          <cell r="C402">
            <v>384.82288157976006</v>
          </cell>
          <cell r="D402">
            <v>85</v>
          </cell>
          <cell r="E402">
            <v>4</v>
          </cell>
          <cell r="F402">
            <v>76964.576315952014</v>
          </cell>
          <cell r="G402">
            <v>154</v>
          </cell>
        </row>
        <row r="403">
          <cell r="A403">
            <v>92253</v>
          </cell>
          <cell r="B403" t="str">
            <v>猫妖项链</v>
          </cell>
          <cell r="C403">
            <v>348.20889244992065</v>
          </cell>
          <cell r="D403">
            <v>148</v>
          </cell>
          <cell r="E403">
            <v>4</v>
          </cell>
          <cell r="F403">
            <v>69641.778489984135</v>
          </cell>
          <cell r="G403">
            <v>140</v>
          </cell>
        </row>
        <row r="404">
          <cell r="A404">
            <v>92254</v>
          </cell>
          <cell r="B404" t="str">
            <v>苍蓝项链</v>
          </cell>
          <cell r="C404">
            <v>348.20889244992065</v>
          </cell>
          <cell r="D404">
            <v>140</v>
          </cell>
          <cell r="E404">
            <v>4</v>
          </cell>
          <cell r="F404">
            <v>69641.778489984135</v>
          </cell>
          <cell r="G404">
            <v>140</v>
          </cell>
        </row>
        <row r="405">
          <cell r="A405">
            <v>92274</v>
          </cell>
          <cell r="B405" t="str">
            <v>汉密手表</v>
          </cell>
          <cell r="C405">
            <v>390.34456159513792</v>
          </cell>
          <cell r="D405">
            <v>70</v>
          </cell>
          <cell r="E405">
            <v>4</v>
          </cell>
          <cell r="F405">
            <v>78068.912319027586</v>
          </cell>
          <cell r="G405">
            <v>157</v>
          </cell>
        </row>
        <row r="406">
          <cell r="A406">
            <v>92280</v>
          </cell>
          <cell r="B406" t="str">
            <v>法拉捷</v>
          </cell>
          <cell r="C406">
            <v>384.29255149387018</v>
          </cell>
          <cell r="D406">
            <v>75</v>
          </cell>
          <cell r="E406">
            <v>4</v>
          </cell>
          <cell r="F406">
            <v>76858.510298774039</v>
          </cell>
          <cell r="G406">
            <v>154</v>
          </cell>
        </row>
        <row r="407">
          <cell r="A407">
            <v>92285</v>
          </cell>
          <cell r="B407" t="str">
            <v>大堆钞票</v>
          </cell>
          <cell r="C407">
            <v>384.66731808789905</v>
          </cell>
          <cell r="D407">
            <v>286</v>
          </cell>
          <cell r="E407">
            <v>4</v>
          </cell>
          <cell r="F407">
            <v>76933.463617579808</v>
          </cell>
          <cell r="G407">
            <v>154</v>
          </cell>
        </row>
        <row r="408">
          <cell r="A408">
            <v>92289</v>
          </cell>
          <cell r="B408" t="str">
            <v>小堆金块</v>
          </cell>
          <cell r="C408">
            <v>384.66731808789905</v>
          </cell>
          <cell r="D408">
            <v>262</v>
          </cell>
          <cell r="E408">
            <v>4</v>
          </cell>
          <cell r="F408">
            <v>76933.463617579808</v>
          </cell>
          <cell r="G408">
            <v>154</v>
          </cell>
        </row>
        <row r="409">
          <cell r="A409">
            <v>92014</v>
          </cell>
          <cell r="B409" t="str">
            <v>菠萝</v>
          </cell>
          <cell r="C409">
            <v>1072.0558691207962</v>
          </cell>
          <cell r="D409">
            <v>64</v>
          </cell>
          <cell r="E409">
            <v>4</v>
          </cell>
          <cell r="F409">
            <v>214411.17382415922</v>
          </cell>
          <cell r="G409">
            <v>429</v>
          </cell>
        </row>
        <row r="410">
          <cell r="A410">
            <v>92296</v>
          </cell>
          <cell r="B410" t="str">
            <v>星光红石</v>
          </cell>
          <cell r="C410">
            <v>1046.5958691207961</v>
          </cell>
          <cell r="D410">
            <v>87</v>
          </cell>
          <cell r="E410">
            <v>4</v>
          </cell>
          <cell r="F410">
            <v>209319.17382415922</v>
          </cell>
          <cell r="G410">
            <v>419</v>
          </cell>
        </row>
        <row r="411">
          <cell r="A411">
            <v>92240</v>
          </cell>
          <cell r="B411" t="str">
            <v>苍蓝戒指</v>
          </cell>
          <cell r="C411">
            <v>1059.110869120796</v>
          </cell>
          <cell r="D411">
            <v>50</v>
          </cell>
          <cell r="E411">
            <v>4</v>
          </cell>
          <cell r="F411">
            <v>211822.1738241592</v>
          </cell>
          <cell r="G411">
            <v>424</v>
          </cell>
        </row>
        <row r="412">
          <cell r="A412">
            <v>92292</v>
          </cell>
          <cell r="B412" t="str">
            <v>金饰宝盒</v>
          </cell>
          <cell r="C412">
            <v>1046.3533691207961</v>
          </cell>
          <cell r="D412">
            <v>64</v>
          </cell>
          <cell r="E412">
            <v>4</v>
          </cell>
          <cell r="F412">
            <v>209270.67382415922</v>
          </cell>
          <cell r="G412">
            <v>419</v>
          </cell>
        </row>
        <row r="413">
          <cell r="A413">
            <v>92256</v>
          </cell>
          <cell r="B413" t="str">
            <v>圣徒项链</v>
          </cell>
          <cell r="C413">
            <v>1046.2208691207961</v>
          </cell>
          <cell r="D413">
            <v>66</v>
          </cell>
          <cell r="E413">
            <v>4</v>
          </cell>
          <cell r="F413">
            <v>209244.17382415922</v>
          </cell>
          <cell r="G413">
            <v>419</v>
          </cell>
        </row>
        <row r="414">
          <cell r="A414">
            <v>92261</v>
          </cell>
          <cell r="B414" t="str">
            <v>贵族项链</v>
          </cell>
          <cell r="C414">
            <v>1046.2208691207961</v>
          </cell>
          <cell r="D414">
            <v>60</v>
          </cell>
          <cell r="E414">
            <v>4</v>
          </cell>
          <cell r="F414">
            <v>209244.17382415922</v>
          </cell>
          <cell r="G414">
            <v>419</v>
          </cell>
        </row>
        <row r="415">
          <cell r="A415">
            <v>92275</v>
          </cell>
          <cell r="B415" t="str">
            <v>千国手表</v>
          </cell>
          <cell r="C415">
            <v>1061.1180778120042</v>
          </cell>
          <cell r="D415">
            <v>54</v>
          </cell>
          <cell r="E415">
            <v>4</v>
          </cell>
          <cell r="F415">
            <v>212223.61556240084</v>
          </cell>
          <cell r="G415">
            <v>425</v>
          </cell>
        </row>
        <row r="416">
          <cell r="A416">
            <v>92281</v>
          </cell>
          <cell r="B416" t="str">
            <v>红博机利</v>
          </cell>
          <cell r="C416">
            <v>1071.8683691207962</v>
          </cell>
          <cell r="D416">
            <v>58</v>
          </cell>
          <cell r="E416">
            <v>4</v>
          </cell>
          <cell r="F416">
            <v>214373.67382415922</v>
          </cell>
          <cell r="G416">
            <v>429</v>
          </cell>
        </row>
        <row r="417">
          <cell r="A417">
            <v>92286</v>
          </cell>
          <cell r="B417" t="str">
            <v>巨额钞票</v>
          </cell>
          <cell r="C417">
            <v>1072.0008691207961</v>
          </cell>
          <cell r="D417">
            <v>100</v>
          </cell>
          <cell r="E417">
            <v>4</v>
          </cell>
          <cell r="F417">
            <v>214400.17382415922</v>
          </cell>
          <cell r="G417">
            <v>429</v>
          </cell>
        </row>
        <row r="418">
          <cell r="A418">
            <v>92290</v>
          </cell>
          <cell r="B418" t="str">
            <v>大堆金块</v>
          </cell>
          <cell r="C418">
            <v>1072.0008691207961</v>
          </cell>
          <cell r="D418">
            <v>91</v>
          </cell>
          <cell r="E418">
            <v>4</v>
          </cell>
          <cell r="F418">
            <v>214400.17382415922</v>
          </cell>
          <cell r="G418">
            <v>429</v>
          </cell>
        </row>
        <row r="419">
          <cell r="A419">
            <v>92026</v>
          </cell>
          <cell r="B419" t="str">
            <v>深蓝</v>
          </cell>
          <cell r="C419">
            <v>2316.0770588593405</v>
          </cell>
          <cell r="D419">
            <v>25</v>
          </cell>
          <cell r="E419">
            <v>4</v>
          </cell>
          <cell r="F419">
            <v>463215.41177186812</v>
          </cell>
          <cell r="G419">
            <v>927</v>
          </cell>
        </row>
        <row r="420">
          <cell r="A420">
            <v>92255</v>
          </cell>
          <cell r="B420" t="str">
            <v>黑耀项链</v>
          </cell>
          <cell r="C420">
            <v>2279.5797423483964</v>
          </cell>
          <cell r="D420">
            <v>26</v>
          </cell>
          <cell r="E420">
            <v>4</v>
          </cell>
          <cell r="F420">
            <v>455915.94846967928</v>
          </cell>
          <cell r="G420">
            <v>912</v>
          </cell>
        </row>
        <row r="421">
          <cell r="A421">
            <v>92297</v>
          </cell>
          <cell r="B421" t="str">
            <v>翠绿之心</v>
          </cell>
          <cell r="C421">
            <v>2288.9595138008362</v>
          </cell>
          <cell r="D421">
            <v>11</v>
          </cell>
          <cell r="E421">
            <v>4</v>
          </cell>
          <cell r="F421">
            <v>457791.90276016726</v>
          </cell>
          <cell r="G421">
            <v>916</v>
          </cell>
        </row>
        <row r="422">
          <cell r="A422">
            <v>92293</v>
          </cell>
          <cell r="B422" t="str">
            <v>珍珠宝盒</v>
          </cell>
          <cell r="C422">
            <v>2290.3788246776458</v>
          </cell>
          <cell r="D422">
            <v>20</v>
          </cell>
          <cell r="E422">
            <v>4</v>
          </cell>
          <cell r="F422">
            <v>458075.76493552915</v>
          </cell>
          <cell r="G422">
            <v>917</v>
          </cell>
        </row>
        <row r="423">
          <cell r="A423">
            <v>92294</v>
          </cell>
          <cell r="B423" t="str">
            <v>古董宝盒</v>
          </cell>
          <cell r="C423">
            <v>2297.8089551673856</v>
          </cell>
          <cell r="D423">
            <v>25</v>
          </cell>
          <cell r="E423">
            <v>4</v>
          </cell>
          <cell r="F423">
            <v>459561.79103347711</v>
          </cell>
          <cell r="G423">
            <v>920</v>
          </cell>
        </row>
        <row r="424">
          <cell r="A424">
            <v>92295</v>
          </cell>
          <cell r="B424" t="str">
            <v>水晶宝盒</v>
          </cell>
          <cell r="C424">
            <v>2279.9385990398487</v>
          </cell>
          <cell r="D424">
            <v>19</v>
          </cell>
          <cell r="E424">
            <v>4</v>
          </cell>
          <cell r="F424">
            <v>455987.71980796976</v>
          </cell>
          <cell r="G424">
            <v>912</v>
          </cell>
        </row>
        <row r="425">
          <cell r="A425">
            <v>92262</v>
          </cell>
          <cell r="B425" t="str">
            <v>皇家项链</v>
          </cell>
          <cell r="C425">
            <v>2279.5797423483964</v>
          </cell>
          <cell r="D425">
            <v>14</v>
          </cell>
          <cell r="E425">
            <v>4</v>
          </cell>
          <cell r="F425">
            <v>455915.94846967928</v>
          </cell>
          <cell r="G425">
            <v>912</v>
          </cell>
        </row>
        <row r="426">
          <cell r="A426">
            <v>92298</v>
          </cell>
          <cell r="B426" t="str">
            <v>海洋之泪</v>
          </cell>
          <cell r="C426">
            <v>2288.9595138008362</v>
          </cell>
          <cell r="D426">
            <v>17</v>
          </cell>
          <cell r="E426">
            <v>4</v>
          </cell>
          <cell r="F426">
            <v>457791.90276016726</v>
          </cell>
          <cell r="G426">
            <v>916</v>
          </cell>
        </row>
        <row r="427">
          <cell r="A427">
            <v>92276</v>
          </cell>
          <cell r="B427" t="str">
            <v>壕利手表</v>
          </cell>
          <cell r="C427">
            <v>2308.3817633266553</v>
          </cell>
          <cell r="D427">
            <v>16</v>
          </cell>
          <cell r="E427">
            <v>4</v>
          </cell>
          <cell r="F427">
            <v>461676.3526653311</v>
          </cell>
          <cell r="G427">
            <v>924</v>
          </cell>
        </row>
        <row r="428">
          <cell r="A428">
            <v>92282</v>
          </cell>
          <cell r="B428" t="str">
            <v>劳莱斯特</v>
          </cell>
          <cell r="C428">
            <v>2315.9444763378679</v>
          </cell>
          <cell r="D428">
            <v>14</v>
          </cell>
          <cell r="E428">
            <v>4</v>
          </cell>
          <cell r="F428">
            <v>463188.89526757359</v>
          </cell>
          <cell r="G428">
            <v>927</v>
          </cell>
        </row>
        <row r="429">
          <cell r="A429">
            <v>92299</v>
          </cell>
          <cell r="B429" t="str">
            <v>房产证</v>
          </cell>
          <cell r="C429">
            <v>2316.0381679863749</v>
          </cell>
          <cell r="D429">
            <v>25</v>
          </cell>
          <cell r="E429">
            <v>4</v>
          </cell>
          <cell r="F429">
            <v>463207.63359727501</v>
          </cell>
          <cell r="G429">
            <v>927</v>
          </cell>
        </row>
        <row r="430">
          <cell r="A430">
            <v>92291</v>
          </cell>
          <cell r="B430" t="str">
            <v>巨量金块</v>
          </cell>
          <cell r="C430">
            <v>2316.0381679863749</v>
          </cell>
          <cell r="D430">
            <v>26</v>
          </cell>
          <cell r="E430">
            <v>4</v>
          </cell>
          <cell r="F430">
            <v>463207.63359727501</v>
          </cell>
          <cell r="G430">
            <v>927</v>
          </cell>
        </row>
        <row r="431">
          <cell r="A431">
            <v>93233</v>
          </cell>
          <cell r="B431" t="str">
            <v>白金手环碎片</v>
          </cell>
          <cell r="C431">
            <v>10</v>
          </cell>
          <cell r="D431">
            <v>1910</v>
          </cell>
          <cell r="E431">
            <v>2</v>
          </cell>
          <cell r="F431">
            <v>1000</v>
          </cell>
          <cell r="G431">
            <v>2</v>
          </cell>
        </row>
        <row r="432">
          <cell r="A432">
            <v>93122</v>
          </cell>
          <cell r="B432" t="str">
            <v>银饰耳钉碎片</v>
          </cell>
          <cell r="C432">
            <v>10</v>
          </cell>
          <cell r="D432">
            <v>1810</v>
          </cell>
          <cell r="E432">
            <v>2</v>
          </cell>
          <cell r="F432">
            <v>1000</v>
          </cell>
          <cell r="G432">
            <v>2</v>
          </cell>
        </row>
        <row r="433">
          <cell r="A433">
            <v>93141</v>
          </cell>
          <cell r="B433" t="str">
            <v>白银戒指碎片</v>
          </cell>
          <cell r="C433">
            <v>10</v>
          </cell>
          <cell r="D433">
            <v>1905</v>
          </cell>
          <cell r="E433">
            <v>2</v>
          </cell>
          <cell r="F433">
            <v>1000</v>
          </cell>
          <cell r="G433">
            <v>2</v>
          </cell>
        </row>
        <row r="434">
          <cell r="A434">
            <v>93245</v>
          </cell>
          <cell r="B434" t="str">
            <v>水晶项链碎片</v>
          </cell>
          <cell r="C434">
            <v>10</v>
          </cell>
          <cell r="D434">
            <v>1380</v>
          </cell>
          <cell r="E434">
            <v>2</v>
          </cell>
          <cell r="F434">
            <v>1000</v>
          </cell>
          <cell r="G434">
            <v>2</v>
          </cell>
        </row>
        <row r="435">
          <cell r="A435">
            <v>93251</v>
          </cell>
          <cell r="B435" t="str">
            <v>红石项链碎片</v>
          </cell>
          <cell r="C435">
            <v>10</v>
          </cell>
          <cell r="D435">
            <v>2345</v>
          </cell>
          <cell r="E435">
            <v>2</v>
          </cell>
          <cell r="F435">
            <v>1000</v>
          </cell>
          <cell r="G435">
            <v>2</v>
          </cell>
        </row>
        <row r="436">
          <cell r="A436">
            <v>93264</v>
          </cell>
          <cell r="B436" t="str">
            <v>越野手表碎片</v>
          </cell>
          <cell r="C436">
            <v>10</v>
          </cell>
          <cell r="D436">
            <v>1020</v>
          </cell>
          <cell r="E436">
            <v>2</v>
          </cell>
          <cell r="F436">
            <v>1000</v>
          </cell>
          <cell r="G436">
            <v>2</v>
          </cell>
        </row>
        <row r="437">
          <cell r="A437">
            <v>93271</v>
          </cell>
          <cell r="B437" t="str">
            <v>精准手表碎片</v>
          </cell>
          <cell r="C437">
            <v>10</v>
          </cell>
          <cell r="D437">
            <v>540</v>
          </cell>
          <cell r="E437">
            <v>2</v>
          </cell>
          <cell r="F437">
            <v>1000</v>
          </cell>
          <cell r="G437">
            <v>2</v>
          </cell>
        </row>
        <row r="438">
          <cell r="A438">
            <v>93278</v>
          </cell>
          <cell r="B438" t="str">
            <v>宝驼碎片</v>
          </cell>
          <cell r="C438">
            <v>10</v>
          </cell>
          <cell r="D438">
            <v>1120</v>
          </cell>
          <cell r="E438">
            <v>2</v>
          </cell>
          <cell r="F438">
            <v>1000</v>
          </cell>
          <cell r="G438">
            <v>2</v>
          </cell>
        </row>
        <row r="439">
          <cell r="A439">
            <v>93283</v>
          </cell>
          <cell r="B439" t="str">
            <v>小迭钞票碎片</v>
          </cell>
          <cell r="C439">
            <v>10</v>
          </cell>
          <cell r="D439">
            <v>3565</v>
          </cell>
          <cell r="E439">
            <v>2</v>
          </cell>
          <cell r="F439">
            <v>1000</v>
          </cell>
          <cell r="G439">
            <v>2</v>
          </cell>
        </row>
        <row r="440">
          <cell r="A440">
            <v>93287</v>
          </cell>
          <cell r="B440" t="str">
            <v>金块碎片</v>
          </cell>
          <cell r="C440">
            <v>10</v>
          </cell>
          <cell r="D440">
            <v>3275</v>
          </cell>
          <cell r="E440">
            <v>2</v>
          </cell>
          <cell r="F440">
            <v>1000</v>
          </cell>
          <cell r="G440">
            <v>2</v>
          </cell>
        </row>
        <row r="441">
          <cell r="A441">
            <v>93142</v>
          </cell>
          <cell r="B441" t="str">
            <v>黄金戒指碎片</v>
          </cell>
          <cell r="C441">
            <v>20</v>
          </cell>
          <cell r="D441">
            <v>1105</v>
          </cell>
          <cell r="E441">
            <v>2</v>
          </cell>
          <cell r="F441">
            <v>2000</v>
          </cell>
          <cell r="G441">
            <v>4</v>
          </cell>
        </row>
        <row r="442">
          <cell r="A442">
            <v>93235</v>
          </cell>
          <cell r="B442" t="str">
            <v>宝石手环碎片</v>
          </cell>
          <cell r="C442">
            <v>20</v>
          </cell>
          <cell r="D442">
            <v>1135</v>
          </cell>
          <cell r="E442">
            <v>2</v>
          </cell>
          <cell r="F442">
            <v>2000</v>
          </cell>
          <cell r="G442">
            <v>4</v>
          </cell>
        </row>
        <row r="443">
          <cell r="A443">
            <v>93012</v>
          </cell>
          <cell r="B443" t="str">
            <v>摩拉碎片</v>
          </cell>
          <cell r="C443">
            <v>20</v>
          </cell>
          <cell r="D443">
            <v>525</v>
          </cell>
          <cell r="E443">
            <v>2</v>
          </cell>
          <cell r="F443">
            <v>2000</v>
          </cell>
          <cell r="G443">
            <v>4</v>
          </cell>
        </row>
        <row r="444">
          <cell r="A444">
            <v>93252</v>
          </cell>
          <cell r="B444" t="str">
            <v>青玉项链碎片</v>
          </cell>
          <cell r="C444">
            <v>20</v>
          </cell>
          <cell r="D444">
            <v>1540</v>
          </cell>
          <cell r="E444">
            <v>2</v>
          </cell>
          <cell r="F444">
            <v>2000</v>
          </cell>
          <cell r="G444">
            <v>4</v>
          </cell>
        </row>
        <row r="445">
          <cell r="A445">
            <v>93124</v>
          </cell>
          <cell r="B445" t="str">
            <v>水晶耳钉碎片</v>
          </cell>
          <cell r="C445">
            <v>20</v>
          </cell>
          <cell r="D445">
            <v>1170</v>
          </cell>
          <cell r="E445">
            <v>2</v>
          </cell>
          <cell r="F445">
            <v>2000</v>
          </cell>
          <cell r="G445">
            <v>4</v>
          </cell>
        </row>
        <row r="446">
          <cell r="A446">
            <v>93272</v>
          </cell>
          <cell r="B446" t="str">
            <v>金针手表碎片</v>
          </cell>
          <cell r="C446">
            <v>20</v>
          </cell>
          <cell r="D446">
            <v>465</v>
          </cell>
          <cell r="E446">
            <v>2</v>
          </cell>
          <cell r="F446">
            <v>2000</v>
          </cell>
          <cell r="G446">
            <v>4</v>
          </cell>
        </row>
        <row r="447">
          <cell r="A447">
            <v>93273</v>
          </cell>
          <cell r="B447" t="str">
            <v>智能手表碎片</v>
          </cell>
          <cell r="C447">
            <v>20</v>
          </cell>
          <cell r="D447">
            <v>430</v>
          </cell>
          <cell r="E447">
            <v>2</v>
          </cell>
          <cell r="F447">
            <v>2000</v>
          </cell>
          <cell r="G447">
            <v>4</v>
          </cell>
        </row>
        <row r="448">
          <cell r="A448">
            <v>93279</v>
          </cell>
          <cell r="B448" t="str">
            <v>宾倪碎片</v>
          </cell>
          <cell r="C448">
            <v>20</v>
          </cell>
          <cell r="D448">
            <v>495</v>
          </cell>
          <cell r="E448">
            <v>2</v>
          </cell>
          <cell r="F448">
            <v>2000</v>
          </cell>
          <cell r="G448">
            <v>4</v>
          </cell>
        </row>
        <row r="449">
          <cell r="A449">
            <v>93284</v>
          </cell>
          <cell r="B449" t="str">
            <v>大迭钞票碎片</v>
          </cell>
          <cell r="C449">
            <v>20</v>
          </cell>
          <cell r="D449">
            <v>3435</v>
          </cell>
          <cell r="E449">
            <v>2</v>
          </cell>
          <cell r="F449">
            <v>2000</v>
          </cell>
          <cell r="G449">
            <v>4</v>
          </cell>
        </row>
        <row r="450">
          <cell r="A450">
            <v>93288</v>
          </cell>
          <cell r="B450" t="str">
            <v>大金块碎片</v>
          </cell>
          <cell r="C450">
            <v>20</v>
          </cell>
          <cell r="D450">
            <v>3145</v>
          </cell>
          <cell r="E450">
            <v>2</v>
          </cell>
          <cell r="F450">
            <v>2000</v>
          </cell>
          <cell r="G450">
            <v>4</v>
          </cell>
        </row>
        <row r="451">
          <cell r="A451">
            <v>93125</v>
          </cell>
          <cell r="B451" t="str">
            <v>红石耳钉碎片</v>
          </cell>
          <cell r="C451">
            <v>30</v>
          </cell>
          <cell r="D451">
            <v>1040</v>
          </cell>
          <cell r="E451">
            <v>2</v>
          </cell>
          <cell r="F451">
            <v>3000</v>
          </cell>
          <cell r="G451">
            <v>6</v>
          </cell>
        </row>
        <row r="452">
          <cell r="A452">
            <v>93134</v>
          </cell>
          <cell r="B452" t="str">
            <v>毒蝎耳钉碎片</v>
          </cell>
          <cell r="C452">
            <v>30</v>
          </cell>
          <cell r="D452">
            <v>1080</v>
          </cell>
          <cell r="E452">
            <v>2</v>
          </cell>
          <cell r="F452">
            <v>3000</v>
          </cell>
          <cell r="G452">
            <v>6</v>
          </cell>
        </row>
        <row r="453">
          <cell r="A453">
            <v>93223</v>
          </cell>
          <cell r="B453" t="str">
            <v>赤金戒指碎片</v>
          </cell>
          <cell r="C453">
            <v>30</v>
          </cell>
          <cell r="D453">
            <v>1300</v>
          </cell>
          <cell r="E453">
            <v>2</v>
          </cell>
          <cell r="F453">
            <v>3000</v>
          </cell>
          <cell r="G453">
            <v>6</v>
          </cell>
        </row>
        <row r="454">
          <cell r="A454">
            <v>93227</v>
          </cell>
          <cell r="B454" t="str">
            <v>王者手环碎片</v>
          </cell>
          <cell r="C454">
            <v>30</v>
          </cell>
          <cell r="D454">
            <v>1410</v>
          </cell>
          <cell r="E454">
            <v>2</v>
          </cell>
          <cell r="F454">
            <v>3000</v>
          </cell>
          <cell r="G454">
            <v>6</v>
          </cell>
        </row>
        <row r="455">
          <cell r="A455">
            <v>93236</v>
          </cell>
          <cell r="B455" t="str">
            <v>符文手环碎片</v>
          </cell>
          <cell r="C455">
            <v>30</v>
          </cell>
          <cell r="D455">
            <v>670</v>
          </cell>
          <cell r="E455">
            <v>2</v>
          </cell>
          <cell r="F455">
            <v>3000</v>
          </cell>
          <cell r="G455">
            <v>6</v>
          </cell>
        </row>
        <row r="456">
          <cell r="A456">
            <v>93013</v>
          </cell>
          <cell r="B456" t="str">
            <v>月立碎片</v>
          </cell>
          <cell r="C456">
            <v>30</v>
          </cell>
          <cell r="D456">
            <v>850</v>
          </cell>
          <cell r="E456">
            <v>2</v>
          </cell>
          <cell r="F456">
            <v>3000</v>
          </cell>
          <cell r="G456">
            <v>6</v>
          </cell>
        </row>
        <row r="457">
          <cell r="A457">
            <v>93253</v>
          </cell>
          <cell r="B457" t="str">
            <v>猫妖项链碎片</v>
          </cell>
          <cell r="C457">
            <v>30</v>
          </cell>
          <cell r="D457">
            <v>1480</v>
          </cell>
          <cell r="E457">
            <v>2</v>
          </cell>
          <cell r="F457">
            <v>3000</v>
          </cell>
          <cell r="G457">
            <v>6</v>
          </cell>
        </row>
        <row r="458">
          <cell r="A458">
            <v>93254</v>
          </cell>
          <cell r="B458" t="str">
            <v>苍蓝项链碎片</v>
          </cell>
          <cell r="C458">
            <v>30</v>
          </cell>
          <cell r="D458">
            <v>1400</v>
          </cell>
          <cell r="E458">
            <v>2</v>
          </cell>
          <cell r="F458">
            <v>3000</v>
          </cell>
          <cell r="G458">
            <v>6</v>
          </cell>
        </row>
        <row r="459">
          <cell r="A459">
            <v>93274</v>
          </cell>
          <cell r="B459" t="str">
            <v>汉密手表碎片</v>
          </cell>
          <cell r="C459">
            <v>30</v>
          </cell>
          <cell r="D459">
            <v>700</v>
          </cell>
          <cell r="E459">
            <v>2</v>
          </cell>
          <cell r="F459">
            <v>3000</v>
          </cell>
          <cell r="G459">
            <v>6</v>
          </cell>
        </row>
        <row r="460">
          <cell r="A460">
            <v>93280</v>
          </cell>
          <cell r="B460" t="str">
            <v>法拉捷碎片</v>
          </cell>
          <cell r="C460">
            <v>30</v>
          </cell>
          <cell r="D460">
            <v>750</v>
          </cell>
          <cell r="E460">
            <v>2</v>
          </cell>
          <cell r="F460">
            <v>3000</v>
          </cell>
          <cell r="G460">
            <v>6</v>
          </cell>
        </row>
        <row r="461">
          <cell r="A461">
            <v>93285</v>
          </cell>
          <cell r="B461" t="str">
            <v>大堆钞票碎片</v>
          </cell>
          <cell r="C461">
            <v>30</v>
          </cell>
          <cell r="D461">
            <v>2860</v>
          </cell>
          <cell r="E461">
            <v>2</v>
          </cell>
          <cell r="F461">
            <v>3000</v>
          </cell>
          <cell r="G461">
            <v>6</v>
          </cell>
        </row>
        <row r="462">
          <cell r="A462">
            <v>93289</v>
          </cell>
          <cell r="B462" t="str">
            <v>小堆金块碎片</v>
          </cell>
          <cell r="C462">
            <v>30</v>
          </cell>
          <cell r="D462">
            <v>2620</v>
          </cell>
          <cell r="E462">
            <v>2</v>
          </cell>
          <cell r="F462">
            <v>3000</v>
          </cell>
          <cell r="G462">
            <v>6</v>
          </cell>
        </row>
        <row r="463">
          <cell r="A463">
            <v>93014</v>
          </cell>
          <cell r="B463" t="str">
            <v>菠萝碎片</v>
          </cell>
          <cell r="C463">
            <v>40</v>
          </cell>
          <cell r="D463">
            <v>1280</v>
          </cell>
          <cell r="E463">
            <v>2</v>
          </cell>
          <cell r="F463">
            <v>4000</v>
          </cell>
          <cell r="G463">
            <v>8</v>
          </cell>
        </row>
        <row r="464">
          <cell r="A464">
            <v>93296</v>
          </cell>
          <cell r="B464" t="str">
            <v>星光红石碎片</v>
          </cell>
          <cell r="C464">
            <v>40</v>
          </cell>
          <cell r="D464">
            <v>1740</v>
          </cell>
          <cell r="E464">
            <v>2</v>
          </cell>
          <cell r="F464">
            <v>4000</v>
          </cell>
          <cell r="G464">
            <v>8</v>
          </cell>
        </row>
        <row r="465">
          <cell r="A465">
            <v>93240</v>
          </cell>
          <cell r="B465" t="str">
            <v>苍蓝戒指碎片</v>
          </cell>
          <cell r="C465">
            <v>40</v>
          </cell>
          <cell r="D465">
            <v>1000</v>
          </cell>
          <cell r="E465">
            <v>2</v>
          </cell>
          <cell r="F465">
            <v>4000</v>
          </cell>
          <cell r="G465">
            <v>8</v>
          </cell>
        </row>
        <row r="466">
          <cell r="A466">
            <v>93292</v>
          </cell>
          <cell r="B466" t="str">
            <v>金饰宝盒碎片</v>
          </cell>
          <cell r="C466">
            <v>40</v>
          </cell>
          <cell r="D466">
            <v>1280</v>
          </cell>
          <cell r="E466">
            <v>2</v>
          </cell>
          <cell r="F466">
            <v>4000</v>
          </cell>
          <cell r="G466">
            <v>8</v>
          </cell>
        </row>
        <row r="467">
          <cell r="A467">
            <v>93256</v>
          </cell>
          <cell r="B467" t="str">
            <v>圣徒项链碎片</v>
          </cell>
          <cell r="C467">
            <v>40</v>
          </cell>
          <cell r="D467">
            <v>1320</v>
          </cell>
          <cell r="E467">
            <v>2</v>
          </cell>
          <cell r="F467">
            <v>4000</v>
          </cell>
          <cell r="G467">
            <v>8</v>
          </cell>
        </row>
        <row r="468">
          <cell r="A468">
            <v>93261</v>
          </cell>
          <cell r="B468" t="str">
            <v>贵族项链碎片</v>
          </cell>
          <cell r="C468">
            <v>40</v>
          </cell>
          <cell r="D468">
            <v>1200</v>
          </cell>
          <cell r="E468">
            <v>2</v>
          </cell>
          <cell r="F468">
            <v>4000</v>
          </cell>
          <cell r="G468">
            <v>8</v>
          </cell>
        </row>
        <row r="469">
          <cell r="A469">
            <v>93275</v>
          </cell>
          <cell r="B469" t="str">
            <v>千国手表碎片</v>
          </cell>
          <cell r="C469">
            <v>40</v>
          </cell>
          <cell r="D469">
            <v>1080</v>
          </cell>
          <cell r="E469">
            <v>2</v>
          </cell>
          <cell r="F469">
            <v>4000</v>
          </cell>
          <cell r="G469">
            <v>8</v>
          </cell>
        </row>
        <row r="470">
          <cell r="A470">
            <v>93281</v>
          </cell>
          <cell r="B470" t="str">
            <v>红博机利碎片</v>
          </cell>
          <cell r="C470">
            <v>40</v>
          </cell>
          <cell r="D470">
            <v>1160</v>
          </cell>
          <cell r="E470">
            <v>2</v>
          </cell>
          <cell r="F470">
            <v>4000</v>
          </cell>
          <cell r="G470">
            <v>8</v>
          </cell>
        </row>
        <row r="471">
          <cell r="A471">
            <v>93286</v>
          </cell>
          <cell r="B471" t="str">
            <v>巨额钞票碎片</v>
          </cell>
          <cell r="C471">
            <v>40</v>
          </cell>
          <cell r="D471">
            <v>2000</v>
          </cell>
          <cell r="E471">
            <v>2</v>
          </cell>
          <cell r="F471">
            <v>4000</v>
          </cell>
          <cell r="G471">
            <v>8</v>
          </cell>
        </row>
        <row r="472">
          <cell r="A472">
            <v>93290</v>
          </cell>
          <cell r="B472" t="str">
            <v>大堆金块碎片</v>
          </cell>
          <cell r="C472">
            <v>40</v>
          </cell>
          <cell r="D472">
            <v>1820</v>
          </cell>
          <cell r="E472">
            <v>2</v>
          </cell>
          <cell r="F472">
            <v>4000</v>
          </cell>
          <cell r="G472">
            <v>8</v>
          </cell>
        </row>
        <row r="473">
          <cell r="A473">
            <v>93026</v>
          </cell>
          <cell r="B473" t="str">
            <v>深蓝碎片</v>
          </cell>
          <cell r="C473">
            <v>40</v>
          </cell>
          <cell r="D473">
            <v>500</v>
          </cell>
          <cell r="E473">
            <v>2.5</v>
          </cell>
          <cell r="F473">
            <v>5000</v>
          </cell>
          <cell r="G473">
            <v>10</v>
          </cell>
        </row>
        <row r="474">
          <cell r="A474">
            <v>93255</v>
          </cell>
          <cell r="B474" t="str">
            <v>黑耀项链碎片</v>
          </cell>
          <cell r="C474">
            <v>40</v>
          </cell>
          <cell r="D474">
            <v>520</v>
          </cell>
          <cell r="E474">
            <v>2.5</v>
          </cell>
          <cell r="F474">
            <v>5000</v>
          </cell>
          <cell r="G474">
            <v>10</v>
          </cell>
        </row>
        <row r="475">
          <cell r="A475">
            <v>93297</v>
          </cell>
          <cell r="B475" t="str">
            <v>翠绿之心碎片</v>
          </cell>
          <cell r="C475">
            <v>40</v>
          </cell>
          <cell r="D475">
            <v>220</v>
          </cell>
          <cell r="E475">
            <v>2.5</v>
          </cell>
          <cell r="F475">
            <v>5000</v>
          </cell>
          <cell r="G475">
            <v>10</v>
          </cell>
        </row>
        <row r="476">
          <cell r="A476">
            <v>93293</v>
          </cell>
          <cell r="B476" t="str">
            <v>珍珠宝盒碎片</v>
          </cell>
          <cell r="C476">
            <v>40</v>
          </cell>
          <cell r="D476">
            <v>400</v>
          </cell>
          <cell r="E476">
            <v>2.5</v>
          </cell>
          <cell r="F476">
            <v>5000</v>
          </cell>
          <cell r="G476">
            <v>10</v>
          </cell>
        </row>
        <row r="477">
          <cell r="A477">
            <v>93294</v>
          </cell>
          <cell r="B477" t="str">
            <v>古董宝盒碎片</v>
          </cell>
          <cell r="C477">
            <v>40</v>
          </cell>
          <cell r="D477">
            <v>500</v>
          </cell>
          <cell r="E477">
            <v>2.5</v>
          </cell>
          <cell r="F477">
            <v>5000</v>
          </cell>
          <cell r="G477">
            <v>10</v>
          </cell>
        </row>
        <row r="478">
          <cell r="A478">
            <v>93295</v>
          </cell>
          <cell r="B478" t="str">
            <v>水晶宝盒碎片</v>
          </cell>
          <cell r="C478">
            <v>40</v>
          </cell>
          <cell r="D478">
            <v>380</v>
          </cell>
          <cell r="E478">
            <v>2.5</v>
          </cell>
          <cell r="F478">
            <v>5000</v>
          </cell>
          <cell r="G478">
            <v>10</v>
          </cell>
        </row>
        <row r="479">
          <cell r="A479">
            <v>93262</v>
          </cell>
          <cell r="B479" t="str">
            <v>皇家项链碎片</v>
          </cell>
          <cell r="C479">
            <v>40</v>
          </cell>
          <cell r="D479">
            <v>280</v>
          </cell>
          <cell r="E479">
            <v>2.5</v>
          </cell>
          <cell r="F479">
            <v>5000</v>
          </cell>
          <cell r="G479">
            <v>10</v>
          </cell>
        </row>
        <row r="480">
          <cell r="A480">
            <v>93298</v>
          </cell>
          <cell r="B480" t="str">
            <v>海洋之泪碎片</v>
          </cell>
          <cell r="C480">
            <v>40</v>
          </cell>
          <cell r="D480">
            <v>340</v>
          </cell>
          <cell r="E480">
            <v>2.5</v>
          </cell>
          <cell r="F480">
            <v>5000</v>
          </cell>
          <cell r="G480">
            <v>10</v>
          </cell>
        </row>
        <row r="481">
          <cell r="A481">
            <v>93276</v>
          </cell>
          <cell r="B481" t="str">
            <v>壕利手表碎片</v>
          </cell>
          <cell r="C481">
            <v>40</v>
          </cell>
          <cell r="D481">
            <v>320</v>
          </cell>
          <cell r="E481">
            <v>2.5</v>
          </cell>
          <cell r="F481">
            <v>5000</v>
          </cell>
          <cell r="G481">
            <v>10</v>
          </cell>
        </row>
        <row r="482">
          <cell r="A482">
            <v>93282</v>
          </cell>
          <cell r="B482" t="str">
            <v>劳莱斯特碎片</v>
          </cell>
          <cell r="C482">
            <v>40</v>
          </cell>
          <cell r="D482">
            <v>280</v>
          </cell>
          <cell r="E482">
            <v>2.5</v>
          </cell>
          <cell r="F482">
            <v>5000</v>
          </cell>
          <cell r="G482">
            <v>10</v>
          </cell>
        </row>
        <row r="483">
          <cell r="A483">
            <v>93299</v>
          </cell>
          <cell r="B483" t="str">
            <v>房产证碎片</v>
          </cell>
          <cell r="C483">
            <v>40</v>
          </cell>
          <cell r="D483">
            <v>500</v>
          </cell>
          <cell r="E483">
            <v>2.5</v>
          </cell>
          <cell r="F483">
            <v>5000</v>
          </cell>
          <cell r="G483">
            <v>10</v>
          </cell>
        </row>
        <row r="484">
          <cell r="A484">
            <v>93291</v>
          </cell>
          <cell r="B484" t="str">
            <v>巨量金块碎片</v>
          </cell>
          <cell r="C484">
            <v>40</v>
          </cell>
          <cell r="D484">
            <v>520</v>
          </cell>
          <cell r="E484">
            <v>2.5</v>
          </cell>
          <cell r="F484">
            <v>5000</v>
          </cell>
          <cell r="G484">
            <v>10</v>
          </cell>
        </row>
        <row r="485">
          <cell r="A485">
            <v>8001</v>
          </cell>
          <cell r="B485" t="str">
            <v>灰色物质</v>
          </cell>
          <cell r="C485">
            <v>0</v>
          </cell>
          <cell r="D485">
            <v>1</v>
          </cell>
          <cell r="E485">
            <v>0</v>
          </cell>
          <cell r="F485">
            <v>0</v>
          </cell>
          <cell r="G485">
            <v>0</v>
          </cell>
        </row>
        <row r="486">
          <cell r="A486">
            <v>8110</v>
          </cell>
          <cell r="B486" t="str">
            <v>兽腾</v>
          </cell>
          <cell r="C486">
            <v>76.2</v>
          </cell>
          <cell r="D486">
            <v>1</v>
          </cell>
          <cell r="E486">
            <v>2</v>
          </cell>
          <cell r="F486">
            <v>2500</v>
          </cell>
          <cell r="G486">
            <v>5</v>
          </cell>
        </row>
        <row r="487">
          <cell r="A487">
            <v>8210</v>
          </cell>
          <cell r="B487" t="str">
            <v>战狂</v>
          </cell>
          <cell r="C487">
            <v>76</v>
          </cell>
          <cell r="D487">
            <v>1</v>
          </cell>
          <cell r="E487">
            <v>2</v>
          </cell>
          <cell r="F487">
            <v>2500</v>
          </cell>
          <cell r="G487">
            <v>5</v>
          </cell>
        </row>
        <row r="488">
          <cell r="A488">
            <v>8310</v>
          </cell>
          <cell r="B488" t="str">
            <v>贪狼</v>
          </cell>
          <cell r="C488">
            <v>76</v>
          </cell>
          <cell r="D488">
            <v>1</v>
          </cell>
          <cell r="E488">
            <v>2</v>
          </cell>
          <cell r="F488">
            <v>2500</v>
          </cell>
          <cell r="G488">
            <v>5</v>
          </cell>
        </row>
        <row r="489">
          <cell r="A489">
            <v>8120</v>
          </cell>
          <cell r="B489" t="str">
            <v>辉煌</v>
          </cell>
          <cell r="C489">
            <v>137.16</v>
          </cell>
          <cell r="D489">
            <v>1</v>
          </cell>
          <cell r="E489">
            <v>11</v>
          </cell>
          <cell r="F489">
            <v>25000</v>
          </cell>
          <cell r="G489">
            <v>50</v>
          </cell>
        </row>
        <row r="490">
          <cell r="A490">
            <v>8220</v>
          </cell>
          <cell r="B490" t="str">
            <v>破军</v>
          </cell>
          <cell r="C490">
            <v>137</v>
          </cell>
          <cell r="D490">
            <v>1</v>
          </cell>
          <cell r="E490">
            <v>11</v>
          </cell>
          <cell r="F490">
            <v>25000</v>
          </cell>
          <cell r="G490">
            <v>50</v>
          </cell>
        </row>
        <row r="491">
          <cell r="A491">
            <v>8320</v>
          </cell>
          <cell r="B491" t="str">
            <v>真刚</v>
          </cell>
          <cell r="C491">
            <v>137</v>
          </cell>
          <cell r="D491">
            <v>1</v>
          </cell>
          <cell r="E491">
            <v>11</v>
          </cell>
          <cell r="F491">
            <v>25000</v>
          </cell>
          <cell r="G491">
            <v>50</v>
          </cell>
        </row>
        <row r="492">
          <cell r="A492">
            <v>8420</v>
          </cell>
          <cell r="B492" t="str">
            <v>飞仙</v>
          </cell>
          <cell r="C492">
            <v>137.02000000000001</v>
          </cell>
          <cell r="D492">
            <v>1</v>
          </cell>
          <cell r="E492">
            <v>11</v>
          </cell>
          <cell r="F492">
            <v>25000</v>
          </cell>
          <cell r="G492">
            <v>50</v>
          </cell>
        </row>
        <row r="493">
          <cell r="A493">
            <v>8520</v>
          </cell>
          <cell r="B493" t="str">
            <v>虚空</v>
          </cell>
          <cell r="C493">
            <v>137.02000000000001</v>
          </cell>
          <cell r="D493">
            <v>1</v>
          </cell>
          <cell r="E493">
            <v>11</v>
          </cell>
          <cell r="F493">
            <v>25000</v>
          </cell>
          <cell r="G493">
            <v>50</v>
          </cell>
        </row>
        <row r="494">
          <cell r="A494">
            <v>8620</v>
          </cell>
          <cell r="B494" t="str">
            <v>无惧</v>
          </cell>
          <cell r="C494">
            <v>137.16</v>
          </cell>
          <cell r="D494">
            <v>1</v>
          </cell>
          <cell r="E494">
            <v>11</v>
          </cell>
          <cell r="F494">
            <v>25000</v>
          </cell>
          <cell r="G494">
            <v>50</v>
          </cell>
        </row>
        <row r="495">
          <cell r="A495">
            <v>8720</v>
          </cell>
          <cell r="B495" t="str">
            <v>天杀</v>
          </cell>
          <cell r="C495">
            <v>137.16</v>
          </cell>
          <cell r="D495">
            <v>1</v>
          </cell>
          <cell r="E495">
            <v>11</v>
          </cell>
          <cell r="F495">
            <v>25000</v>
          </cell>
          <cell r="G495">
            <v>50</v>
          </cell>
        </row>
        <row r="496">
          <cell r="A496">
            <v>8820</v>
          </cell>
          <cell r="B496" t="str">
            <v>诛魔</v>
          </cell>
          <cell r="C496">
            <v>129.68</v>
          </cell>
          <cell r="D496">
            <v>1</v>
          </cell>
          <cell r="E496">
            <v>11</v>
          </cell>
          <cell r="F496">
            <v>25000</v>
          </cell>
          <cell r="G496">
            <v>50</v>
          </cell>
        </row>
        <row r="497">
          <cell r="A497">
            <v>8130</v>
          </cell>
          <cell r="B497" t="str">
            <v>霸主</v>
          </cell>
          <cell r="C497">
            <v>246.92000000000002</v>
          </cell>
          <cell r="D497">
            <v>1</v>
          </cell>
          <cell r="E497">
            <v>80</v>
          </cell>
          <cell r="F497">
            <v>200000</v>
          </cell>
          <cell r="G497">
            <v>400</v>
          </cell>
        </row>
        <row r="498">
          <cell r="A498">
            <v>8230</v>
          </cell>
          <cell r="B498" t="str">
            <v>虎啸</v>
          </cell>
          <cell r="C498">
            <v>247</v>
          </cell>
          <cell r="D498">
            <v>1</v>
          </cell>
          <cell r="E498">
            <v>80</v>
          </cell>
          <cell r="F498">
            <v>200000</v>
          </cell>
          <cell r="G498">
            <v>400</v>
          </cell>
        </row>
        <row r="499">
          <cell r="A499">
            <v>8330</v>
          </cell>
          <cell r="B499" t="str">
            <v>豪魄</v>
          </cell>
          <cell r="C499">
            <v>247</v>
          </cell>
          <cell r="D499">
            <v>1</v>
          </cell>
          <cell r="E499">
            <v>80</v>
          </cell>
          <cell r="F499">
            <v>200000</v>
          </cell>
          <cell r="G499">
            <v>400</v>
          </cell>
        </row>
        <row r="500">
          <cell r="A500">
            <v>8430</v>
          </cell>
          <cell r="B500" t="str">
            <v>捉影</v>
          </cell>
          <cell r="C500">
            <v>246.84000000000003</v>
          </cell>
          <cell r="D500">
            <v>1</v>
          </cell>
          <cell r="E500">
            <v>80</v>
          </cell>
          <cell r="F500">
            <v>200000</v>
          </cell>
          <cell r="G500">
            <v>400</v>
          </cell>
        </row>
        <row r="501">
          <cell r="A501">
            <v>8530</v>
          </cell>
          <cell r="B501" t="str">
            <v>游刃</v>
          </cell>
          <cell r="C501">
            <v>246.84000000000003</v>
          </cell>
          <cell r="D501">
            <v>1</v>
          </cell>
          <cell r="E501">
            <v>80</v>
          </cell>
          <cell r="F501">
            <v>200000</v>
          </cell>
          <cell r="G501">
            <v>400</v>
          </cell>
        </row>
        <row r="502">
          <cell r="A502">
            <v>8630</v>
          </cell>
          <cell r="B502" t="str">
            <v>傲骨</v>
          </cell>
          <cell r="C502">
            <v>246.95999999999998</v>
          </cell>
          <cell r="D502">
            <v>1</v>
          </cell>
          <cell r="E502">
            <v>80</v>
          </cell>
          <cell r="F502">
            <v>200000</v>
          </cell>
          <cell r="G502">
            <v>400</v>
          </cell>
        </row>
        <row r="503">
          <cell r="A503">
            <v>8730</v>
          </cell>
          <cell r="B503" t="str">
            <v>心眼</v>
          </cell>
          <cell r="C503">
            <v>246.95999999999998</v>
          </cell>
          <cell r="D503">
            <v>1</v>
          </cell>
          <cell r="E503">
            <v>80</v>
          </cell>
          <cell r="F503">
            <v>200000</v>
          </cell>
          <cell r="G503">
            <v>400</v>
          </cell>
        </row>
        <row r="504">
          <cell r="A504">
            <v>8830</v>
          </cell>
          <cell r="B504" t="str">
            <v>噬生</v>
          </cell>
          <cell r="C504">
            <v>234.12</v>
          </cell>
          <cell r="D504">
            <v>1</v>
          </cell>
          <cell r="E504">
            <v>80</v>
          </cell>
          <cell r="F504">
            <v>200000</v>
          </cell>
          <cell r="G504">
            <v>400</v>
          </cell>
        </row>
        <row r="505">
          <cell r="A505">
            <v>8930</v>
          </cell>
          <cell r="B505" t="str">
            <v>痛击</v>
          </cell>
          <cell r="C505">
            <v>234.68</v>
          </cell>
          <cell r="D505">
            <v>1</v>
          </cell>
          <cell r="E505">
            <v>80</v>
          </cell>
          <cell r="F505">
            <v>200000</v>
          </cell>
          <cell r="G505">
            <v>400</v>
          </cell>
        </row>
        <row r="506">
          <cell r="A506">
            <v>9030</v>
          </cell>
          <cell r="B506" t="str">
            <v>不坏</v>
          </cell>
          <cell r="C506">
            <v>234.12</v>
          </cell>
          <cell r="D506">
            <v>1</v>
          </cell>
          <cell r="E506">
            <v>80</v>
          </cell>
          <cell r="F506">
            <v>200000</v>
          </cell>
          <cell r="G506">
            <v>400</v>
          </cell>
        </row>
        <row r="507">
          <cell r="A507">
            <v>9130</v>
          </cell>
          <cell r="B507" t="str">
            <v>寂灭</v>
          </cell>
          <cell r="C507">
            <v>234.44</v>
          </cell>
          <cell r="D507">
            <v>1</v>
          </cell>
          <cell r="E507">
            <v>80</v>
          </cell>
          <cell r="F507">
            <v>200000</v>
          </cell>
          <cell r="G507">
            <v>400</v>
          </cell>
        </row>
        <row r="508">
          <cell r="A508">
            <v>9230</v>
          </cell>
          <cell r="B508" t="str">
            <v>盘蛇</v>
          </cell>
          <cell r="C508">
            <v>234</v>
          </cell>
          <cell r="D508">
            <v>1</v>
          </cell>
          <cell r="E508">
            <v>80</v>
          </cell>
          <cell r="F508">
            <v>200000</v>
          </cell>
          <cell r="G508">
            <v>400</v>
          </cell>
        </row>
        <row r="509">
          <cell r="A509">
            <v>8140</v>
          </cell>
          <cell r="B509" t="str">
            <v>天命</v>
          </cell>
          <cell r="C509">
            <v>444.44</v>
          </cell>
          <cell r="D509">
            <v>1</v>
          </cell>
          <cell r="E509">
            <v>608</v>
          </cell>
          <cell r="F509">
            <v>2000000</v>
          </cell>
          <cell r="G509">
            <v>4000</v>
          </cell>
        </row>
        <row r="510">
          <cell r="A510">
            <v>8240</v>
          </cell>
          <cell r="B510" t="str">
            <v>龙吟</v>
          </cell>
          <cell r="C510">
            <v>444</v>
          </cell>
          <cell r="D510">
            <v>1</v>
          </cell>
          <cell r="E510">
            <v>608</v>
          </cell>
          <cell r="F510">
            <v>2000000</v>
          </cell>
          <cell r="G510">
            <v>4000</v>
          </cell>
        </row>
        <row r="511">
          <cell r="A511">
            <v>8340</v>
          </cell>
          <cell r="B511" t="str">
            <v>守御</v>
          </cell>
          <cell r="C511">
            <v>444</v>
          </cell>
          <cell r="D511">
            <v>1</v>
          </cell>
          <cell r="E511">
            <v>608</v>
          </cell>
          <cell r="F511">
            <v>2000000</v>
          </cell>
          <cell r="G511">
            <v>4000</v>
          </cell>
        </row>
        <row r="512">
          <cell r="A512">
            <v>8440</v>
          </cell>
          <cell r="B512" t="str">
            <v>千眼</v>
          </cell>
          <cell r="C512">
            <v>444.38000000000005</v>
          </cell>
          <cell r="D512">
            <v>1</v>
          </cell>
          <cell r="E512">
            <v>608</v>
          </cell>
          <cell r="F512">
            <v>2000000</v>
          </cell>
          <cell r="G512">
            <v>4000</v>
          </cell>
        </row>
        <row r="513">
          <cell r="A513">
            <v>8540</v>
          </cell>
          <cell r="B513" t="str">
            <v>逍遥</v>
          </cell>
          <cell r="C513">
            <v>444.38000000000005</v>
          </cell>
          <cell r="D513">
            <v>1</v>
          </cell>
          <cell r="E513">
            <v>608</v>
          </cell>
          <cell r="F513">
            <v>2000000</v>
          </cell>
          <cell r="G513">
            <v>4000</v>
          </cell>
        </row>
        <row r="514">
          <cell r="A514">
            <v>8640</v>
          </cell>
          <cell r="B514" t="str">
            <v>流离</v>
          </cell>
          <cell r="C514">
            <v>444.41999999999996</v>
          </cell>
          <cell r="D514">
            <v>1</v>
          </cell>
          <cell r="E514">
            <v>608</v>
          </cell>
          <cell r="F514">
            <v>2000000</v>
          </cell>
          <cell r="G514">
            <v>4000</v>
          </cell>
        </row>
        <row r="515">
          <cell r="A515">
            <v>8740</v>
          </cell>
          <cell r="B515" t="str">
            <v>夺魄</v>
          </cell>
          <cell r="C515">
            <v>444.41999999999996</v>
          </cell>
          <cell r="D515">
            <v>1</v>
          </cell>
          <cell r="E515">
            <v>608</v>
          </cell>
          <cell r="F515">
            <v>2000000</v>
          </cell>
          <cell r="G515">
            <v>4000</v>
          </cell>
        </row>
        <row r="516">
          <cell r="A516">
            <v>8840</v>
          </cell>
          <cell r="B516" t="str">
            <v>审判</v>
          </cell>
          <cell r="C516">
            <v>422.03999999999996</v>
          </cell>
          <cell r="D516">
            <v>1</v>
          </cell>
          <cell r="E516">
            <v>608</v>
          </cell>
          <cell r="F516">
            <v>2000000</v>
          </cell>
          <cell r="G516">
            <v>4000</v>
          </cell>
        </row>
        <row r="517">
          <cell r="A517">
            <v>8940</v>
          </cell>
          <cell r="B517" t="str">
            <v>破天</v>
          </cell>
          <cell r="C517">
            <v>462.32000000000005</v>
          </cell>
          <cell r="D517">
            <v>1</v>
          </cell>
          <cell r="E517">
            <v>608</v>
          </cell>
          <cell r="F517">
            <v>2000000</v>
          </cell>
          <cell r="G517">
            <v>4000</v>
          </cell>
        </row>
        <row r="518">
          <cell r="A518">
            <v>9040</v>
          </cell>
          <cell r="B518" t="str">
            <v>天狱</v>
          </cell>
          <cell r="C518">
            <v>421.91999999999996</v>
          </cell>
          <cell r="D518">
            <v>1</v>
          </cell>
          <cell r="E518">
            <v>608</v>
          </cell>
          <cell r="F518">
            <v>2000000</v>
          </cell>
          <cell r="G518">
            <v>4000</v>
          </cell>
        </row>
        <row r="519">
          <cell r="A519">
            <v>9140</v>
          </cell>
          <cell r="B519" t="str">
            <v>幽灵</v>
          </cell>
          <cell r="C519">
            <v>422.3</v>
          </cell>
          <cell r="D519">
            <v>1</v>
          </cell>
          <cell r="E519">
            <v>608</v>
          </cell>
          <cell r="F519">
            <v>2000000</v>
          </cell>
          <cell r="G519">
            <v>4000</v>
          </cell>
        </row>
        <row r="520">
          <cell r="A520">
            <v>9240</v>
          </cell>
          <cell r="B520" t="str">
            <v>困魔</v>
          </cell>
          <cell r="C520">
            <v>422.1</v>
          </cell>
          <cell r="D520">
            <v>1</v>
          </cell>
          <cell r="E520">
            <v>608</v>
          </cell>
          <cell r="F520">
            <v>2000000</v>
          </cell>
          <cell r="G520">
            <v>4000</v>
          </cell>
        </row>
        <row r="521">
          <cell r="A521">
            <v>9340</v>
          </cell>
          <cell r="B521" t="str">
            <v>无尽</v>
          </cell>
          <cell r="C521">
            <v>444.24</v>
          </cell>
          <cell r="D521">
            <v>1</v>
          </cell>
          <cell r="E521">
            <v>608</v>
          </cell>
          <cell r="F521">
            <v>2000000</v>
          </cell>
          <cell r="G521">
            <v>4000</v>
          </cell>
        </row>
        <row r="522">
          <cell r="A522">
            <v>9440</v>
          </cell>
          <cell r="B522" t="str">
            <v>无尽</v>
          </cell>
          <cell r="C522">
            <v>222</v>
          </cell>
          <cell r="D522">
            <v>1</v>
          </cell>
          <cell r="E522">
            <v>608</v>
          </cell>
          <cell r="F522">
            <v>2000000</v>
          </cell>
          <cell r="G522">
            <v>4000</v>
          </cell>
        </row>
        <row r="523">
          <cell r="A523">
            <v>9540</v>
          </cell>
          <cell r="B523" t="str">
            <v>八卦</v>
          </cell>
          <cell r="C523">
            <v>111.12</v>
          </cell>
          <cell r="D523">
            <v>1</v>
          </cell>
          <cell r="E523">
            <v>608</v>
          </cell>
          <cell r="F523">
            <v>2000000</v>
          </cell>
          <cell r="G523">
            <v>4000</v>
          </cell>
        </row>
        <row r="524">
          <cell r="A524">
            <v>9640</v>
          </cell>
          <cell r="B524" t="str">
            <v>剎那</v>
          </cell>
          <cell r="C524">
            <v>532.44000000000005</v>
          </cell>
          <cell r="D524">
            <v>1</v>
          </cell>
          <cell r="E524">
            <v>608</v>
          </cell>
          <cell r="F524">
            <v>2000000</v>
          </cell>
          <cell r="G524">
            <v>4000</v>
          </cell>
        </row>
        <row r="525">
          <cell r="A525">
            <v>9740</v>
          </cell>
          <cell r="B525" t="str">
            <v>咆哮</v>
          </cell>
          <cell r="C525">
            <v>532</v>
          </cell>
          <cell r="D525">
            <v>1</v>
          </cell>
          <cell r="E525">
            <v>608</v>
          </cell>
          <cell r="F525">
            <v>2000000</v>
          </cell>
          <cell r="G525">
            <v>4000</v>
          </cell>
        </row>
        <row r="526">
          <cell r="A526">
            <v>9840</v>
          </cell>
          <cell r="B526" t="str">
            <v>断罪</v>
          </cell>
          <cell r="C526">
            <v>222.29999999999998</v>
          </cell>
          <cell r="D526">
            <v>1</v>
          </cell>
          <cell r="E526">
            <v>608</v>
          </cell>
          <cell r="F526">
            <v>2000000</v>
          </cell>
          <cell r="G526">
            <v>4000</v>
          </cell>
        </row>
        <row r="527">
          <cell r="A527">
            <v>8150</v>
          </cell>
          <cell r="B527" t="str">
            <v>一元复始</v>
          </cell>
          <cell r="C527">
            <v>800</v>
          </cell>
          <cell r="D527">
            <v>1</v>
          </cell>
          <cell r="E527">
            <v>4867</v>
          </cell>
          <cell r="F527">
            <v>5000000</v>
          </cell>
          <cell r="G527">
            <v>10000</v>
          </cell>
        </row>
        <row r="528">
          <cell r="A528">
            <v>8250</v>
          </cell>
          <cell r="B528" t="str">
            <v>大破坏神</v>
          </cell>
          <cell r="C528">
            <v>800</v>
          </cell>
          <cell r="D528">
            <v>1</v>
          </cell>
          <cell r="E528">
            <v>4867</v>
          </cell>
          <cell r="F528">
            <v>5000000</v>
          </cell>
          <cell r="G528">
            <v>10000</v>
          </cell>
        </row>
        <row r="529">
          <cell r="A529">
            <v>8350</v>
          </cell>
          <cell r="B529" t="str">
            <v>天地无用</v>
          </cell>
          <cell r="C529">
            <v>800</v>
          </cell>
          <cell r="D529">
            <v>1</v>
          </cell>
          <cell r="E529">
            <v>4867</v>
          </cell>
          <cell r="F529">
            <v>5000000</v>
          </cell>
          <cell r="G529">
            <v>10000</v>
          </cell>
        </row>
        <row r="530">
          <cell r="A530">
            <v>8450</v>
          </cell>
          <cell r="B530" t="str">
            <v>百步穿杨</v>
          </cell>
          <cell r="C530">
            <v>800.0200000000001</v>
          </cell>
          <cell r="D530">
            <v>1</v>
          </cell>
          <cell r="E530">
            <v>4867</v>
          </cell>
          <cell r="F530">
            <v>5000000</v>
          </cell>
          <cell r="G530">
            <v>10000</v>
          </cell>
        </row>
        <row r="531">
          <cell r="A531">
            <v>8550</v>
          </cell>
          <cell r="B531" t="str">
            <v>破碎虚空</v>
          </cell>
          <cell r="C531">
            <v>800.0200000000001</v>
          </cell>
          <cell r="D531">
            <v>1</v>
          </cell>
          <cell r="E531">
            <v>4867</v>
          </cell>
          <cell r="F531">
            <v>5000000</v>
          </cell>
          <cell r="G531">
            <v>10000</v>
          </cell>
        </row>
        <row r="532">
          <cell r="A532">
            <v>8650</v>
          </cell>
          <cell r="B532" t="str">
            <v>冰魄寒光</v>
          </cell>
          <cell r="C532">
            <v>799.92</v>
          </cell>
          <cell r="D532">
            <v>1</v>
          </cell>
          <cell r="E532">
            <v>4867</v>
          </cell>
          <cell r="F532">
            <v>5000000</v>
          </cell>
          <cell r="G532">
            <v>10000</v>
          </cell>
        </row>
        <row r="533">
          <cell r="A533">
            <v>8750</v>
          </cell>
          <cell r="B533" t="str">
            <v>震破苍穹</v>
          </cell>
          <cell r="C533">
            <v>799.92</v>
          </cell>
          <cell r="D533">
            <v>1</v>
          </cell>
          <cell r="E533">
            <v>4867</v>
          </cell>
          <cell r="F533">
            <v>5000000</v>
          </cell>
          <cell r="G533">
            <v>10000</v>
          </cell>
        </row>
        <row r="534">
          <cell r="A534">
            <v>8850</v>
          </cell>
          <cell r="B534" t="str">
            <v>雷霆万钧</v>
          </cell>
          <cell r="C534">
            <v>760</v>
          </cell>
          <cell r="D534">
            <v>1</v>
          </cell>
          <cell r="E534">
            <v>4867</v>
          </cell>
          <cell r="F534">
            <v>5000000</v>
          </cell>
          <cell r="G534">
            <v>10000</v>
          </cell>
        </row>
        <row r="535">
          <cell r="A535">
            <v>8950</v>
          </cell>
          <cell r="B535" t="str">
            <v>快刀乱麻</v>
          </cell>
          <cell r="C535">
            <v>760</v>
          </cell>
          <cell r="D535">
            <v>1</v>
          </cell>
          <cell r="E535">
            <v>4867</v>
          </cell>
          <cell r="F535">
            <v>5000000</v>
          </cell>
          <cell r="G535">
            <v>10000</v>
          </cell>
        </row>
        <row r="536">
          <cell r="A536">
            <v>9050</v>
          </cell>
          <cell r="B536" t="str">
            <v>明镜止水</v>
          </cell>
          <cell r="C536">
            <v>760</v>
          </cell>
          <cell r="D536">
            <v>1</v>
          </cell>
          <cell r="E536">
            <v>4867</v>
          </cell>
          <cell r="F536">
            <v>5000000</v>
          </cell>
          <cell r="G536">
            <v>10000</v>
          </cell>
        </row>
        <row r="537">
          <cell r="A537">
            <v>9150</v>
          </cell>
          <cell r="B537" t="str">
            <v>背水一战</v>
          </cell>
          <cell r="C537">
            <v>760</v>
          </cell>
          <cell r="D537">
            <v>1</v>
          </cell>
          <cell r="E537">
            <v>4867</v>
          </cell>
          <cell r="F537">
            <v>5000000</v>
          </cell>
          <cell r="G537">
            <v>10000</v>
          </cell>
        </row>
        <row r="538">
          <cell r="A538">
            <v>9250</v>
          </cell>
          <cell r="B538" t="str">
            <v>金钟护体</v>
          </cell>
          <cell r="C538">
            <v>760</v>
          </cell>
          <cell r="D538">
            <v>1</v>
          </cell>
          <cell r="E538">
            <v>4867</v>
          </cell>
          <cell r="F538">
            <v>5000000</v>
          </cell>
          <cell r="G538">
            <v>10000</v>
          </cell>
        </row>
        <row r="539">
          <cell r="A539">
            <v>9350</v>
          </cell>
          <cell r="B539" t="str">
            <v>轩辕剑体</v>
          </cell>
          <cell r="C539">
            <v>800</v>
          </cell>
          <cell r="D539">
            <v>1</v>
          </cell>
          <cell r="E539">
            <v>4867</v>
          </cell>
          <cell r="F539">
            <v>5000000</v>
          </cell>
          <cell r="G539">
            <v>10000</v>
          </cell>
        </row>
        <row r="540">
          <cell r="A540">
            <v>9450</v>
          </cell>
          <cell r="B540" t="str">
            <v>气势如虹</v>
          </cell>
          <cell r="C540">
            <v>400</v>
          </cell>
          <cell r="D540">
            <v>1</v>
          </cell>
          <cell r="E540">
            <v>4867</v>
          </cell>
          <cell r="F540">
            <v>5000000</v>
          </cell>
          <cell r="G540">
            <v>10000</v>
          </cell>
        </row>
        <row r="541">
          <cell r="A541">
            <v>9550</v>
          </cell>
          <cell r="B541" t="str">
            <v>包罗万象</v>
          </cell>
          <cell r="C541">
            <v>200</v>
          </cell>
          <cell r="D541">
            <v>1</v>
          </cell>
          <cell r="E541">
            <v>4867</v>
          </cell>
          <cell r="F541">
            <v>5000000</v>
          </cell>
          <cell r="G541">
            <v>10000</v>
          </cell>
        </row>
        <row r="542">
          <cell r="A542">
            <v>9650</v>
          </cell>
          <cell r="B542" t="str">
            <v>心无杂念</v>
          </cell>
          <cell r="C542">
            <v>960</v>
          </cell>
          <cell r="D542">
            <v>1</v>
          </cell>
          <cell r="E542">
            <v>4867</v>
          </cell>
          <cell r="F542">
            <v>5000000</v>
          </cell>
          <cell r="G542">
            <v>10000</v>
          </cell>
        </row>
        <row r="543">
          <cell r="A543">
            <v>9750</v>
          </cell>
          <cell r="B543" t="str">
            <v>披荆斩棘</v>
          </cell>
          <cell r="C543">
            <v>960</v>
          </cell>
          <cell r="D543">
            <v>1</v>
          </cell>
          <cell r="E543">
            <v>4867</v>
          </cell>
          <cell r="F543">
            <v>5000000</v>
          </cell>
          <cell r="G543">
            <v>10000</v>
          </cell>
        </row>
        <row r="544">
          <cell r="A544">
            <v>9850</v>
          </cell>
          <cell r="B544" t="str">
            <v>斗转星移</v>
          </cell>
          <cell r="C544">
            <v>399.96</v>
          </cell>
          <cell r="D544">
            <v>1</v>
          </cell>
          <cell r="E544">
            <v>4867</v>
          </cell>
          <cell r="F544">
            <v>5000000</v>
          </cell>
          <cell r="G544">
            <v>10000</v>
          </cell>
        </row>
        <row r="545">
          <cell r="A545">
            <v>1001</v>
          </cell>
          <cell r="B545" t="str">
            <v>赑屃</v>
          </cell>
          <cell r="C545">
            <v>34.691225182728921</v>
          </cell>
          <cell r="D545">
            <v>1</v>
          </cell>
          <cell r="E545">
            <v>1</v>
          </cell>
          <cell r="F545">
            <v>1734.5612591364461</v>
          </cell>
          <cell r="G545">
            <v>3.4691225182728922</v>
          </cell>
        </row>
        <row r="546">
          <cell r="A546">
            <v>1002</v>
          </cell>
          <cell r="B546" t="str">
            <v>鸱吻</v>
          </cell>
          <cell r="C546">
            <v>38.211554801191532</v>
          </cell>
          <cell r="D546">
            <v>1</v>
          </cell>
          <cell r="E546">
            <v>1</v>
          </cell>
          <cell r="F546">
            <v>1910.5777400595766</v>
          </cell>
          <cell r="G546">
            <v>3.8211554801191534</v>
          </cell>
        </row>
        <row r="547">
          <cell r="A547">
            <v>1003</v>
          </cell>
          <cell r="B547" t="str">
            <v>蒲牢</v>
          </cell>
          <cell r="C547">
            <v>35.059146245116374</v>
          </cell>
          <cell r="D547">
            <v>1</v>
          </cell>
          <cell r="E547">
            <v>1</v>
          </cell>
          <cell r="F547">
            <v>1752.9573122558186</v>
          </cell>
          <cell r="G547">
            <v>3.5059146245116373</v>
          </cell>
        </row>
        <row r="548">
          <cell r="A548">
            <v>1004</v>
          </cell>
          <cell r="B548" t="str">
            <v>睚眦</v>
          </cell>
          <cell r="C548">
            <v>38.960800973763916</v>
          </cell>
          <cell r="D548">
            <v>1</v>
          </cell>
          <cell r="E548">
            <v>1</v>
          </cell>
          <cell r="F548">
            <v>1948.0400486881958</v>
          </cell>
          <cell r="G548">
            <v>3.8960800973763918</v>
          </cell>
        </row>
        <row r="549">
          <cell r="A549">
            <v>1005</v>
          </cell>
          <cell r="B549" t="str">
            <v>饕餮</v>
          </cell>
          <cell r="C549">
            <v>34.340791473479662</v>
          </cell>
          <cell r="D549">
            <v>1</v>
          </cell>
          <cell r="E549">
            <v>1</v>
          </cell>
          <cell r="F549">
            <v>1717.0395736739831</v>
          </cell>
          <cell r="G549">
            <v>3.4340791473479664</v>
          </cell>
        </row>
        <row r="550">
          <cell r="A550">
            <v>1006</v>
          </cell>
          <cell r="B550" t="str">
            <v>蚣蝮</v>
          </cell>
          <cell r="C550">
            <v>31.69243215673859</v>
          </cell>
          <cell r="D550">
            <v>1</v>
          </cell>
          <cell r="E550">
            <v>1</v>
          </cell>
          <cell r="F550">
            <v>1584.6216078369296</v>
          </cell>
          <cell r="G550">
            <v>3.169243215673859</v>
          </cell>
        </row>
        <row r="551">
          <cell r="A551">
            <v>2001</v>
          </cell>
          <cell r="B551" t="str">
            <v>狴犴</v>
          </cell>
          <cell r="C551">
            <v>55.128135067603871</v>
          </cell>
          <cell r="D551">
            <v>1</v>
          </cell>
          <cell r="E551">
            <v>2</v>
          </cell>
          <cell r="F551">
            <v>5512.8135067603871</v>
          </cell>
          <cell r="G551">
            <v>11.025627013520774</v>
          </cell>
        </row>
        <row r="552">
          <cell r="A552">
            <v>2002</v>
          </cell>
          <cell r="B552" t="str">
            <v>狻猊</v>
          </cell>
          <cell r="C552">
            <v>60.688939978363017</v>
          </cell>
          <cell r="D552">
            <v>1</v>
          </cell>
          <cell r="E552">
            <v>2</v>
          </cell>
          <cell r="F552">
            <v>6068.8939978363014</v>
          </cell>
          <cell r="G552">
            <v>12.137787995672603</v>
          </cell>
        </row>
        <row r="553">
          <cell r="A553">
            <v>2003</v>
          </cell>
          <cell r="B553" t="str">
            <v>椒图</v>
          </cell>
          <cell r="C553">
            <v>55.652139913364344</v>
          </cell>
          <cell r="D553">
            <v>1</v>
          </cell>
          <cell r="E553">
            <v>2</v>
          </cell>
          <cell r="F553">
            <v>5565.2139913364344</v>
          </cell>
          <cell r="G553">
            <v>11.130427982672868</v>
          </cell>
        </row>
        <row r="554">
          <cell r="A554">
            <v>1007</v>
          </cell>
          <cell r="B554" t="str">
            <v>貔貅</v>
          </cell>
          <cell r="C554">
            <v>24.963122659707253</v>
          </cell>
          <cell r="D554">
            <v>1</v>
          </cell>
          <cell r="E554">
            <v>1</v>
          </cell>
          <cell r="F554">
            <v>1248.1561329853625</v>
          </cell>
          <cell r="G554">
            <v>2.4963122659707251</v>
          </cell>
        </row>
        <row r="555">
          <cell r="A555">
            <v>1008</v>
          </cell>
          <cell r="B555" t="str">
            <v>赑屃</v>
          </cell>
          <cell r="C555">
            <v>62.234975290929377</v>
          </cell>
          <cell r="D555">
            <v>1</v>
          </cell>
          <cell r="E555">
            <v>1</v>
          </cell>
          <cell r="F555">
            <v>3111.7487645464689</v>
          </cell>
          <cell r="G555">
            <v>6.2234975290929384</v>
          </cell>
        </row>
        <row r="556">
          <cell r="A556">
            <v>1009</v>
          </cell>
          <cell r="B556" t="str">
            <v>鸱吻</v>
          </cell>
          <cell r="C556">
            <v>85.182414310067045</v>
          </cell>
          <cell r="D556">
            <v>1</v>
          </cell>
          <cell r="E556">
            <v>1</v>
          </cell>
          <cell r="F556">
            <v>4259.1207155033526</v>
          </cell>
          <cell r="G556">
            <v>8.5182414310067056</v>
          </cell>
        </row>
        <row r="557">
          <cell r="A557">
            <v>1010</v>
          </cell>
          <cell r="B557" t="str">
            <v>蒲牢</v>
          </cell>
          <cell r="C557">
            <v>94.405017744120229</v>
          </cell>
          <cell r="D557">
            <v>1</v>
          </cell>
          <cell r="E557">
            <v>1</v>
          </cell>
          <cell r="F557">
            <v>4720.2508872060116</v>
          </cell>
          <cell r="G557">
            <v>9.4405017744120237</v>
          </cell>
        </row>
        <row r="558">
          <cell r="A558">
            <v>1011</v>
          </cell>
          <cell r="B558" t="str">
            <v>睚眦</v>
          </cell>
          <cell r="C558">
            <v>83.726120163912327</v>
          </cell>
          <cell r="D558">
            <v>1</v>
          </cell>
          <cell r="E558">
            <v>1</v>
          </cell>
          <cell r="F558">
            <v>4186.3060081956164</v>
          </cell>
          <cell r="G558">
            <v>8.3726120163912334</v>
          </cell>
        </row>
        <row r="559">
          <cell r="A559">
            <v>2004</v>
          </cell>
          <cell r="B559" t="str">
            <v>饕餮</v>
          </cell>
          <cell r="C559">
            <v>133.95621605212159</v>
          </cell>
          <cell r="D559">
            <v>1</v>
          </cell>
          <cell r="E559">
            <v>2</v>
          </cell>
          <cell r="F559">
            <v>13395.62160521216</v>
          </cell>
          <cell r="G559">
            <v>26.791243210424319</v>
          </cell>
        </row>
        <row r="560">
          <cell r="A560">
            <v>2005</v>
          </cell>
          <cell r="B560" t="str">
            <v>蚣蝮</v>
          </cell>
          <cell r="C560">
            <v>148.35074216933182</v>
          </cell>
          <cell r="D560">
            <v>1</v>
          </cell>
          <cell r="E560">
            <v>2</v>
          </cell>
          <cell r="F560">
            <v>14835.074216933182</v>
          </cell>
          <cell r="G560">
            <v>29.670148433866366</v>
          </cell>
        </row>
        <row r="561">
          <cell r="A561">
            <v>1012</v>
          </cell>
          <cell r="B561" t="str">
            <v>狴犴</v>
          </cell>
          <cell r="C561">
            <v>91.22185624942901</v>
          </cell>
          <cell r="D561">
            <v>1</v>
          </cell>
          <cell r="E561">
            <v>1</v>
          </cell>
          <cell r="F561">
            <v>4561.0928124714501</v>
          </cell>
          <cell r="G561">
            <v>9.122185624942901</v>
          </cell>
        </row>
        <row r="562">
          <cell r="A562">
            <v>1013</v>
          </cell>
          <cell r="B562" t="str">
            <v>狻猊</v>
          </cell>
          <cell r="C562">
            <v>81.323976855027311</v>
          </cell>
          <cell r="D562">
            <v>1</v>
          </cell>
          <cell r="E562">
            <v>1</v>
          </cell>
          <cell r="F562">
            <v>4066.1988427513656</v>
          </cell>
          <cell r="G562">
            <v>8.1323976855027311</v>
          </cell>
        </row>
        <row r="563">
          <cell r="A563">
            <v>1014</v>
          </cell>
          <cell r="B563" t="str">
            <v>椒图</v>
          </cell>
          <cell r="C563">
            <v>103.39597181498883</v>
          </cell>
          <cell r="D563">
            <v>1</v>
          </cell>
          <cell r="E563">
            <v>1</v>
          </cell>
          <cell r="F563">
            <v>5169.7985907494412</v>
          </cell>
          <cell r="G563">
            <v>10.339597181498883</v>
          </cell>
        </row>
        <row r="564">
          <cell r="A564">
            <v>1015</v>
          </cell>
          <cell r="B564" t="str">
            <v>貔貅</v>
          </cell>
          <cell r="C564">
            <v>96.17369357588214</v>
          </cell>
          <cell r="D564">
            <v>1</v>
          </cell>
          <cell r="E564">
            <v>1</v>
          </cell>
          <cell r="F564">
            <v>4808.6846787941067</v>
          </cell>
          <cell r="G564">
            <v>9.6173693575882133</v>
          </cell>
        </row>
        <row r="565">
          <cell r="A565">
            <v>2006</v>
          </cell>
          <cell r="B565" t="str">
            <v>犼</v>
          </cell>
          <cell r="C565">
            <v>139.32549683526034</v>
          </cell>
          <cell r="D565">
            <v>1</v>
          </cell>
          <cell r="E565">
            <v>2</v>
          </cell>
          <cell r="F565">
            <v>13932.549683526035</v>
          </cell>
          <cell r="G565">
            <v>27.865099367052071</v>
          </cell>
        </row>
        <row r="566">
          <cell r="A566">
            <v>2007</v>
          </cell>
          <cell r="B566" t="str">
            <v>螭</v>
          </cell>
          <cell r="C566">
            <v>161.83717327563471</v>
          </cell>
          <cell r="D566">
            <v>1</v>
          </cell>
          <cell r="E566">
            <v>2</v>
          </cell>
          <cell r="F566">
            <v>16183.71732756347</v>
          </cell>
          <cell r="G566">
            <v>32.367434655126942</v>
          </cell>
        </row>
        <row r="567">
          <cell r="A567">
            <v>2008</v>
          </cell>
          <cell r="B567" t="str">
            <v>麒麟</v>
          </cell>
          <cell r="C567">
            <v>130.95552155331606</v>
          </cell>
          <cell r="D567">
            <v>1</v>
          </cell>
          <cell r="E567">
            <v>2</v>
          </cell>
          <cell r="F567">
            <v>13095.552155331607</v>
          </cell>
          <cell r="G567">
            <v>26.191104310663214</v>
          </cell>
        </row>
        <row r="568">
          <cell r="A568">
            <v>1016</v>
          </cell>
          <cell r="B568" t="str">
            <v>鱼龙</v>
          </cell>
          <cell r="C568">
            <v>75.498166746373357</v>
          </cell>
          <cell r="D568">
            <v>1</v>
          </cell>
          <cell r="E568">
            <v>1</v>
          </cell>
          <cell r="F568">
            <v>3774.9083373186677</v>
          </cell>
          <cell r="G568">
            <v>7.5498166746373352</v>
          </cell>
        </row>
        <row r="569">
          <cell r="A569">
            <v>1017</v>
          </cell>
          <cell r="B569" t="str">
            <v>赑屃</v>
          </cell>
          <cell r="C569">
            <v>179.81908141737193</v>
          </cell>
          <cell r="D569">
            <v>1</v>
          </cell>
          <cell r="E569">
            <v>1</v>
          </cell>
          <cell r="F569">
            <v>8990.9540708685963</v>
          </cell>
          <cell r="G569">
            <v>17.981908141737193</v>
          </cell>
        </row>
        <row r="570">
          <cell r="A570">
            <v>1018</v>
          </cell>
          <cell r="B570" t="str">
            <v>鸱吻</v>
          </cell>
          <cell r="C570">
            <v>159.43938898401274</v>
          </cell>
          <cell r="D570">
            <v>1</v>
          </cell>
          <cell r="E570">
            <v>1</v>
          </cell>
          <cell r="F570">
            <v>7971.9694492006365</v>
          </cell>
          <cell r="G570">
            <v>15.943938898401273</v>
          </cell>
        </row>
        <row r="571">
          <cell r="A571">
            <v>2009</v>
          </cell>
          <cell r="B571" t="str">
            <v>蒲牢</v>
          </cell>
          <cell r="C571">
            <v>278.15764156749708</v>
          </cell>
          <cell r="D571">
            <v>1</v>
          </cell>
          <cell r="E571">
            <v>2</v>
          </cell>
          <cell r="F571">
            <v>27815.764156749708</v>
          </cell>
          <cell r="G571">
            <v>55.631528313499416</v>
          </cell>
        </row>
        <row r="572">
          <cell r="A572">
            <v>1019</v>
          </cell>
          <cell r="B572" t="str">
            <v>睚眦</v>
          </cell>
          <cell r="C572">
            <v>172.5974322210028</v>
          </cell>
          <cell r="D572">
            <v>1</v>
          </cell>
          <cell r="E572">
            <v>1</v>
          </cell>
          <cell r="F572">
            <v>8629.8716110501409</v>
          </cell>
          <cell r="G572">
            <v>17.259743222100283</v>
          </cell>
        </row>
        <row r="573">
          <cell r="A573">
            <v>2010</v>
          </cell>
          <cell r="B573" t="str">
            <v>饕餮</v>
          </cell>
          <cell r="C573">
            <v>173.60717122432769</v>
          </cell>
          <cell r="D573">
            <v>1</v>
          </cell>
          <cell r="E573">
            <v>2</v>
          </cell>
          <cell r="F573">
            <v>17360.717122432769</v>
          </cell>
          <cell r="G573">
            <v>34.721434244865534</v>
          </cell>
        </row>
        <row r="574">
          <cell r="A574">
            <v>2011</v>
          </cell>
          <cell r="B574" t="str">
            <v>蚣蝮</v>
          </cell>
          <cell r="C574">
            <v>266.62439156528046</v>
          </cell>
          <cell r="D574">
            <v>1</v>
          </cell>
          <cell r="E574">
            <v>2</v>
          </cell>
          <cell r="F574">
            <v>26662.439156528046</v>
          </cell>
          <cell r="G574">
            <v>53.324878313056089</v>
          </cell>
        </row>
        <row r="575">
          <cell r="A575">
            <v>2012</v>
          </cell>
          <cell r="B575" t="str">
            <v>狴犴</v>
          </cell>
          <cell r="C575">
            <v>268.04929774785575</v>
          </cell>
          <cell r="D575">
            <v>1</v>
          </cell>
          <cell r="E575">
            <v>2</v>
          </cell>
          <cell r="F575">
            <v>26804.929774785574</v>
          </cell>
          <cell r="G575">
            <v>53.609859549571148</v>
          </cell>
        </row>
        <row r="576">
          <cell r="A576">
            <v>1020</v>
          </cell>
          <cell r="B576" t="str">
            <v>狻猊</v>
          </cell>
          <cell r="C576">
            <v>199.48679344739688</v>
          </cell>
          <cell r="D576">
            <v>1</v>
          </cell>
          <cell r="E576">
            <v>1</v>
          </cell>
          <cell r="F576">
            <v>9974.3396723698443</v>
          </cell>
          <cell r="G576">
            <v>19.948679344739688</v>
          </cell>
        </row>
        <row r="577">
          <cell r="A577">
            <v>1021</v>
          </cell>
          <cell r="B577" t="str">
            <v>椒图</v>
          </cell>
          <cell r="C577">
            <v>183.80523274138682</v>
          </cell>
          <cell r="D577">
            <v>1</v>
          </cell>
          <cell r="E577">
            <v>1</v>
          </cell>
          <cell r="F577">
            <v>9190.2616370693413</v>
          </cell>
          <cell r="G577">
            <v>18.380523274138682</v>
          </cell>
        </row>
        <row r="578">
          <cell r="A578">
            <v>2013</v>
          </cell>
          <cell r="B578" t="str">
            <v>貔貅</v>
          </cell>
          <cell r="C578">
            <v>245.54160291246757</v>
          </cell>
          <cell r="D578">
            <v>1</v>
          </cell>
          <cell r="E578">
            <v>2</v>
          </cell>
          <cell r="F578">
            <v>24554.160291246757</v>
          </cell>
          <cell r="G578">
            <v>49.108320582493512</v>
          </cell>
        </row>
        <row r="579">
          <cell r="A579">
            <v>2014</v>
          </cell>
          <cell r="B579" t="str">
            <v>犼</v>
          </cell>
          <cell r="C579">
            <v>212.33859397417507</v>
          </cell>
          <cell r="D579">
            <v>1</v>
          </cell>
          <cell r="E579">
            <v>2</v>
          </cell>
          <cell r="F579">
            <v>21233.859397417506</v>
          </cell>
          <cell r="G579">
            <v>42.467718794835015</v>
          </cell>
        </row>
        <row r="580">
          <cell r="A580">
            <v>2015</v>
          </cell>
          <cell r="B580" t="str">
            <v>螭</v>
          </cell>
          <cell r="C580">
            <v>316.08822905397403</v>
          </cell>
          <cell r="D580">
            <v>1</v>
          </cell>
          <cell r="E580">
            <v>2</v>
          </cell>
          <cell r="F580">
            <v>31608.822905397403</v>
          </cell>
          <cell r="G580">
            <v>63.217645810794806</v>
          </cell>
        </row>
        <row r="581">
          <cell r="A581">
            <v>1022</v>
          </cell>
          <cell r="B581" t="str">
            <v>麒麟</v>
          </cell>
          <cell r="C581">
            <v>171.20330392340904</v>
          </cell>
          <cell r="D581">
            <v>1</v>
          </cell>
          <cell r="E581">
            <v>1</v>
          </cell>
          <cell r="F581">
            <v>8560.165196170452</v>
          </cell>
          <cell r="G581">
            <v>17.120330392340904</v>
          </cell>
        </row>
        <row r="582">
          <cell r="A582">
            <v>1023</v>
          </cell>
          <cell r="B582" t="str">
            <v>鱼龙</v>
          </cell>
          <cell r="C582">
            <v>216.34483233027558</v>
          </cell>
          <cell r="D582">
            <v>1</v>
          </cell>
          <cell r="E582">
            <v>1</v>
          </cell>
          <cell r="F582">
            <v>10817.241616513778</v>
          </cell>
          <cell r="G582">
            <v>21.634483233027556</v>
          </cell>
        </row>
        <row r="583">
          <cell r="A583">
            <v>1024</v>
          </cell>
          <cell r="B583" t="str">
            <v>蟠螭</v>
          </cell>
          <cell r="C583">
            <v>200.93432407818236</v>
          </cell>
          <cell r="D583">
            <v>1</v>
          </cell>
          <cell r="E583">
            <v>1</v>
          </cell>
          <cell r="F583">
            <v>10046.716203909118</v>
          </cell>
          <cell r="G583">
            <v>20.093432407818238</v>
          </cell>
        </row>
        <row r="584">
          <cell r="A584">
            <v>1025</v>
          </cell>
          <cell r="B584" t="str">
            <v>赑屃</v>
          </cell>
          <cell r="C584">
            <v>274.7263317878373</v>
          </cell>
          <cell r="D584">
            <v>1</v>
          </cell>
          <cell r="E584">
            <v>1</v>
          </cell>
          <cell r="F584">
            <v>13736.316589391865</v>
          </cell>
          <cell r="G584">
            <v>27.472633178783731</v>
          </cell>
        </row>
        <row r="585">
          <cell r="A585">
            <v>1026</v>
          </cell>
          <cell r="B585" t="str">
            <v>鸱吻</v>
          </cell>
          <cell r="C585">
            <v>319.17886951583506</v>
          </cell>
          <cell r="D585">
            <v>1</v>
          </cell>
          <cell r="E585">
            <v>1</v>
          </cell>
          <cell r="F585">
            <v>15958.943475791753</v>
          </cell>
          <cell r="G585">
            <v>31.917886951583508</v>
          </cell>
        </row>
        <row r="586">
          <cell r="A586">
            <v>2016</v>
          </cell>
          <cell r="B586" t="str">
            <v>蒲牢</v>
          </cell>
          <cell r="C586">
            <v>294.11097242709633</v>
          </cell>
          <cell r="D586">
            <v>1</v>
          </cell>
          <cell r="E586">
            <v>2</v>
          </cell>
          <cell r="F586">
            <v>29411.097242709631</v>
          </cell>
          <cell r="G586">
            <v>58.822194485419267</v>
          </cell>
        </row>
        <row r="587">
          <cell r="A587">
            <v>2017</v>
          </cell>
          <cell r="B587" t="str">
            <v>睚眦</v>
          </cell>
          <cell r="C587">
            <v>451.32940485253266</v>
          </cell>
          <cell r="D587">
            <v>1</v>
          </cell>
          <cell r="E587">
            <v>2</v>
          </cell>
          <cell r="F587">
            <v>45132.940485253268</v>
          </cell>
          <cell r="G587">
            <v>90.265880970506544</v>
          </cell>
        </row>
        <row r="588">
          <cell r="A588">
            <v>2018</v>
          </cell>
          <cell r="B588" t="str">
            <v>饕餮</v>
          </cell>
          <cell r="C588">
            <v>435.63746897785626</v>
          </cell>
          <cell r="D588">
            <v>1</v>
          </cell>
          <cell r="E588">
            <v>2</v>
          </cell>
          <cell r="F588">
            <v>43563.746897785626</v>
          </cell>
          <cell r="G588">
            <v>87.127493795571255</v>
          </cell>
        </row>
        <row r="589">
          <cell r="A589">
            <v>2019</v>
          </cell>
          <cell r="B589" t="str">
            <v>蚣蝮</v>
          </cell>
          <cell r="C589">
            <v>505.74116648635851</v>
          </cell>
          <cell r="D589">
            <v>1</v>
          </cell>
          <cell r="E589">
            <v>2</v>
          </cell>
          <cell r="F589">
            <v>50574.116648635849</v>
          </cell>
          <cell r="G589">
            <v>101.1482332972717</v>
          </cell>
        </row>
        <row r="590">
          <cell r="A590">
            <v>1027</v>
          </cell>
          <cell r="B590" t="str">
            <v>狴犴</v>
          </cell>
          <cell r="C590">
            <v>313.25145907573045</v>
          </cell>
          <cell r="D590">
            <v>1</v>
          </cell>
          <cell r="E590">
            <v>1</v>
          </cell>
          <cell r="F590">
            <v>15662.572953786523</v>
          </cell>
          <cell r="G590">
            <v>31.325145907573045</v>
          </cell>
        </row>
        <row r="591">
          <cell r="A591">
            <v>1028</v>
          </cell>
          <cell r="B591" t="str">
            <v>狻猊</v>
          </cell>
          <cell r="C591">
            <v>314.51117602415076</v>
          </cell>
          <cell r="D591">
            <v>1</v>
          </cell>
          <cell r="E591">
            <v>1</v>
          </cell>
          <cell r="F591">
            <v>15725.558801207539</v>
          </cell>
          <cell r="G591">
            <v>31.451117602415078</v>
          </cell>
        </row>
        <row r="592">
          <cell r="A592">
            <v>2020</v>
          </cell>
          <cell r="B592" t="str">
            <v>椒图</v>
          </cell>
          <cell r="C592">
            <v>419.77523347227338</v>
          </cell>
          <cell r="D592">
            <v>1</v>
          </cell>
          <cell r="E592">
            <v>2</v>
          </cell>
          <cell r="F592">
            <v>41977.523347227339</v>
          </cell>
          <cell r="G592">
            <v>83.95504669445468</v>
          </cell>
        </row>
        <row r="593">
          <cell r="A593">
            <v>2021</v>
          </cell>
          <cell r="B593" t="str">
            <v>貔貅</v>
          </cell>
          <cell r="C593">
            <v>488.42497237465869</v>
          </cell>
          <cell r="D593">
            <v>1</v>
          </cell>
          <cell r="E593">
            <v>2</v>
          </cell>
          <cell r="F593">
            <v>48842.497237465868</v>
          </cell>
          <cell r="G593">
            <v>97.684994474931742</v>
          </cell>
        </row>
        <row r="594">
          <cell r="A594">
            <v>2022</v>
          </cell>
          <cell r="B594" t="str">
            <v>犼</v>
          </cell>
          <cell r="C594">
            <v>539.45724425211563</v>
          </cell>
          <cell r="D594">
            <v>1</v>
          </cell>
          <cell r="E594">
            <v>2</v>
          </cell>
          <cell r="F594">
            <v>53945.724425211563</v>
          </cell>
          <cell r="G594">
            <v>107.89144885042313</v>
          </cell>
        </row>
        <row r="595">
          <cell r="A595">
            <v>2023</v>
          </cell>
          <cell r="B595" t="str">
            <v>螭</v>
          </cell>
          <cell r="C595">
            <v>496.27412840174435</v>
          </cell>
          <cell r="D595">
            <v>1</v>
          </cell>
          <cell r="E595">
            <v>2</v>
          </cell>
          <cell r="F595">
            <v>49627.412840174438</v>
          </cell>
          <cell r="G595">
            <v>99.254825680348873</v>
          </cell>
        </row>
        <row r="596">
          <cell r="A596">
            <v>1029</v>
          </cell>
          <cell r="B596" t="str">
            <v>麒麟</v>
          </cell>
          <cell r="C596">
            <v>368.62911690561242</v>
          </cell>
          <cell r="D596">
            <v>1</v>
          </cell>
          <cell r="E596">
            <v>1</v>
          </cell>
          <cell r="F596">
            <v>18431.45584528062</v>
          </cell>
          <cell r="G596">
            <v>36.862911690561241</v>
          </cell>
        </row>
        <row r="597">
          <cell r="A597">
            <v>1030</v>
          </cell>
          <cell r="B597" t="str">
            <v>鱼龙</v>
          </cell>
          <cell r="C597">
            <v>226.02972880971296</v>
          </cell>
          <cell r="D597">
            <v>1</v>
          </cell>
          <cell r="E597">
            <v>1</v>
          </cell>
          <cell r="F597">
            <v>11301.486440485649</v>
          </cell>
          <cell r="G597">
            <v>22.602972880971297</v>
          </cell>
        </row>
        <row r="598">
          <cell r="A598">
            <v>1031</v>
          </cell>
          <cell r="B598" t="str">
            <v>蟠螭</v>
          </cell>
          <cell r="C598">
            <v>301.37709069804242</v>
          </cell>
          <cell r="D598">
            <v>1</v>
          </cell>
          <cell r="E598">
            <v>1</v>
          </cell>
          <cell r="F598">
            <v>15068.854534902121</v>
          </cell>
          <cell r="G598">
            <v>30.137709069804242</v>
          </cell>
        </row>
        <row r="599">
          <cell r="A599">
            <v>1032</v>
          </cell>
          <cell r="B599" t="str">
            <v>蛟龙</v>
          </cell>
          <cell r="C599">
            <v>382.11554801191522</v>
          </cell>
          <cell r="D599">
            <v>1</v>
          </cell>
          <cell r="E599">
            <v>1</v>
          </cell>
          <cell r="F599">
            <v>19105.777400595762</v>
          </cell>
          <cell r="G599">
            <v>38.211554801191525</v>
          </cell>
        </row>
        <row r="600">
          <cell r="A600">
            <v>1033</v>
          </cell>
          <cell r="B600" t="str">
            <v>角龙</v>
          </cell>
          <cell r="C600">
            <v>263.22333811573412</v>
          </cell>
          <cell r="D600">
            <v>1</v>
          </cell>
          <cell r="E600">
            <v>1</v>
          </cell>
          <cell r="F600">
            <v>13161.166905786706</v>
          </cell>
          <cell r="G600">
            <v>26.322333811573412</v>
          </cell>
        </row>
        <row r="601">
          <cell r="A601">
            <v>1034</v>
          </cell>
          <cell r="B601" t="str">
            <v>应龙</v>
          </cell>
          <cell r="C601">
            <v>480.86846787941079</v>
          </cell>
          <cell r="D601">
            <v>1</v>
          </cell>
          <cell r="E601">
            <v>1</v>
          </cell>
          <cell r="F601">
            <v>24043.423393970541</v>
          </cell>
          <cell r="G601">
            <v>48.086846787941084</v>
          </cell>
        </row>
        <row r="602">
          <cell r="A602">
            <v>1035</v>
          </cell>
          <cell r="B602" t="str">
            <v>赑屃</v>
          </cell>
          <cell r="C602">
            <v>531.02822481067631</v>
          </cell>
          <cell r="D602">
            <v>1</v>
          </cell>
          <cell r="E602">
            <v>1</v>
          </cell>
          <cell r="F602">
            <v>26551.411240533816</v>
          </cell>
          <cell r="G602">
            <v>53.102822481067633</v>
          </cell>
        </row>
        <row r="603">
          <cell r="A603">
            <v>1036</v>
          </cell>
          <cell r="B603" t="str">
            <v>鸱吻</v>
          </cell>
          <cell r="C603">
            <v>488.44538700720392</v>
          </cell>
          <cell r="D603">
            <v>1</v>
          </cell>
          <cell r="E603">
            <v>1</v>
          </cell>
          <cell r="F603">
            <v>24422.269350360195</v>
          </cell>
          <cell r="G603">
            <v>48.844538700720392</v>
          </cell>
        </row>
        <row r="604">
          <cell r="A604">
            <v>2024</v>
          </cell>
          <cell r="B604" t="str">
            <v>蒲牢</v>
          </cell>
          <cell r="C604">
            <v>555.71496891439506</v>
          </cell>
          <cell r="D604">
            <v>1</v>
          </cell>
          <cell r="E604">
            <v>2</v>
          </cell>
          <cell r="F604">
            <v>55571.496891439507</v>
          </cell>
          <cell r="G604">
            <v>111.14299378287902</v>
          </cell>
        </row>
        <row r="605">
          <cell r="A605">
            <v>2025</v>
          </cell>
          <cell r="B605" t="str">
            <v>睚眦</v>
          </cell>
          <cell r="C605">
            <v>757.3678369100719</v>
          </cell>
          <cell r="D605">
            <v>1</v>
          </cell>
          <cell r="E605">
            <v>2</v>
          </cell>
          <cell r="F605">
            <v>75736.783691007193</v>
          </cell>
          <cell r="G605">
            <v>151.47356738201438</v>
          </cell>
        </row>
        <row r="606">
          <cell r="A606">
            <v>2026</v>
          </cell>
          <cell r="B606" t="str">
            <v>饕餮</v>
          </cell>
          <cell r="C606">
            <v>729.74181881144295</v>
          </cell>
          <cell r="D606">
            <v>1</v>
          </cell>
          <cell r="E606">
            <v>2</v>
          </cell>
          <cell r="F606">
            <v>72974.181881144294</v>
          </cell>
          <cell r="G606">
            <v>145.94836376228858</v>
          </cell>
        </row>
        <row r="607">
          <cell r="A607">
            <v>2027</v>
          </cell>
          <cell r="B607" t="str">
            <v>蚣蝮</v>
          </cell>
          <cell r="C607">
            <v>845.71161729107712</v>
          </cell>
          <cell r="D607">
            <v>1</v>
          </cell>
          <cell r="E607">
            <v>2</v>
          </cell>
          <cell r="F607">
            <v>84571.161729107713</v>
          </cell>
          <cell r="G607">
            <v>169.14232345821543</v>
          </cell>
        </row>
        <row r="608">
          <cell r="A608">
            <v>2028</v>
          </cell>
          <cell r="B608" t="str">
            <v>狴犴</v>
          </cell>
          <cell r="C608">
            <v>685.93955321944816</v>
          </cell>
          <cell r="D608">
            <v>1</v>
          </cell>
          <cell r="E608">
            <v>2</v>
          </cell>
          <cell r="F608">
            <v>68593.955321944813</v>
          </cell>
          <cell r="G608">
            <v>137.18791064388964</v>
          </cell>
        </row>
        <row r="609">
          <cell r="A609">
            <v>1037</v>
          </cell>
          <cell r="B609" t="str">
            <v>狻猊</v>
          </cell>
          <cell r="C609">
            <v>576.91955288073484</v>
          </cell>
          <cell r="D609">
            <v>1</v>
          </cell>
          <cell r="E609">
            <v>1</v>
          </cell>
          <cell r="F609">
            <v>28845.977644036742</v>
          </cell>
          <cell r="G609">
            <v>57.691955288073487</v>
          </cell>
        </row>
        <row r="610">
          <cell r="A610">
            <v>1038</v>
          </cell>
          <cell r="B610" t="str">
            <v>椒图</v>
          </cell>
          <cell r="C610">
            <v>534.96617051584451</v>
          </cell>
          <cell r="D610">
            <v>1</v>
          </cell>
          <cell r="E610">
            <v>1</v>
          </cell>
          <cell r="F610">
            <v>26748.308525792225</v>
          </cell>
          <cell r="G610">
            <v>53.496617051584451</v>
          </cell>
        </row>
        <row r="611">
          <cell r="A611">
            <v>1039</v>
          </cell>
          <cell r="B611" t="str">
            <v>貔貅</v>
          </cell>
          <cell r="C611">
            <v>515.11187210219498</v>
          </cell>
          <cell r="D611">
            <v>1</v>
          </cell>
          <cell r="E611">
            <v>1</v>
          </cell>
          <cell r="F611">
            <v>25755.593605109749</v>
          </cell>
          <cell r="G611">
            <v>51.511187210219497</v>
          </cell>
        </row>
        <row r="612">
          <cell r="A612">
            <v>2029</v>
          </cell>
          <cell r="B612" t="str">
            <v>犼</v>
          </cell>
          <cell r="C612">
            <v>820.48182331924465</v>
          </cell>
          <cell r="D612">
            <v>1</v>
          </cell>
          <cell r="E612">
            <v>2</v>
          </cell>
          <cell r="F612">
            <v>82048.182331924472</v>
          </cell>
          <cell r="G612">
            <v>164.09636466384896</v>
          </cell>
        </row>
        <row r="613">
          <cell r="A613">
            <v>2030</v>
          </cell>
          <cell r="B613" t="str">
            <v>螭</v>
          </cell>
          <cell r="C613">
            <v>904.71475338115238</v>
          </cell>
          <cell r="D613">
            <v>1</v>
          </cell>
          <cell r="E613">
            <v>2</v>
          </cell>
          <cell r="F613">
            <v>90471.47533811524</v>
          </cell>
          <cell r="G613">
            <v>180.94295067623048</v>
          </cell>
        </row>
        <row r="614">
          <cell r="A614">
            <v>2031</v>
          </cell>
          <cell r="B614" t="str">
            <v>麒麟</v>
          </cell>
          <cell r="C614">
            <v>830.95282301835277</v>
          </cell>
          <cell r="D614">
            <v>1</v>
          </cell>
          <cell r="E614">
            <v>2</v>
          </cell>
          <cell r="F614">
            <v>83095.282301835279</v>
          </cell>
          <cell r="G614">
            <v>166.19056460367057</v>
          </cell>
        </row>
        <row r="615">
          <cell r="A615">
            <v>2032</v>
          </cell>
          <cell r="B615" t="str">
            <v>鱼龙</v>
          </cell>
          <cell r="C615">
            <v>737.74600327124961</v>
          </cell>
          <cell r="D615">
            <v>1</v>
          </cell>
          <cell r="E615">
            <v>2</v>
          </cell>
          <cell r="F615">
            <v>73774.600327124965</v>
          </cell>
          <cell r="G615">
            <v>147.54920065424994</v>
          </cell>
        </row>
        <row r="616">
          <cell r="A616">
            <v>1040</v>
          </cell>
          <cell r="B616" t="str">
            <v>蟠螭</v>
          </cell>
          <cell r="C616">
            <v>622.81088095079326</v>
          </cell>
          <cell r="D616">
            <v>1</v>
          </cell>
          <cell r="E616">
            <v>1</v>
          </cell>
          <cell r="F616">
            <v>31140.544047539664</v>
          </cell>
          <cell r="G616">
            <v>62.281088095079333</v>
          </cell>
        </row>
        <row r="617">
          <cell r="A617">
            <v>1041</v>
          </cell>
          <cell r="B617" t="str">
            <v>蛟龙</v>
          </cell>
          <cell r="C617">
            <v>502.29515116340406</v>
          </cell>
          <cell r="D617">
            <v>1</v>
          </cell>
          <cell r="E617">
            <v>1</v>
          </cell>
          <cell r="F617">
            <v>25114.757558170204</v>
          </cell>
          <cell r="G617">
            <v>50.229515116340409</v>
          </cell>
        </row>
        <row r="618">
          <cell r="A618">
            <v>1042</v>
          </cell>
          <cell r="B618" t="str">
            <v>赑屃</v>
          </cell>
          <cell r="C618">
            <v>476.56870532168386</v>
          </cell>
          <cell r="D618">
            <v>1</v>
          </cell>
          <cell r="E618">
            <v>1</v>
          </cell>
          <cell r="F618">
            <v>23828.435266084194</v>
          </cell>
          <cell r="G618">
            <v>47.656870532168391</v>
          </cell>
        </row>
        <row r="619">
          <cell r="A619">
            <v>1043</v>
          </cell>
          <cell r="B619" t="str">
            <v>鸱吻</v>
          </cell>
          <cell r="C619">
            <v>795.69943527187058</v>
          </cell>
          <cell r="D619">
            <v>1</v>
          </cell>
          <cell r="E619">
            <v>1</v>
          </cell>
          <cell r="F619">
            <v>39784.97176359353</v>
          </cell>
          <cell r="G619">
            <v>79.569943527187064</v>
          </cell>
        </row>
        <row r="620">
          <cell r="A620">
            <v>1044</v>
          </cell>
          <cell r="B620" t="str">
            <v>蒲牢</v>
          </cell>
          <cell r="C620">
            <v>737.78962071783872</v>
          </cell>
          <cell r="D620">
            <v>1</v>
          </cell>
          <cell r="E620">
            <v>1</v>
          </cell>
          <cell r="F620">
            <v>36889.481035891935</v>
          </cell>
          <cell r="G620">
            <v>73.778962071783866</v>
          </cell>
        </row>
        <row r="621">
          <cell r="A621">
            <v>2033</v>
          </cell>
          <cell r="B621" t="str">
            <v>睚眦</v>
          </cell>
          <cell r="C621">
            <v>830.98995695839324</v>
          </cell>
          <cell r="D621">
            <v>1</v>
          </cell>
          <cell r="E621">
            <v>2</v>
          </cell>
          <cell r="F621">
            <v>83098.99569583933</v>
          </cell>
          <cell r="G621">
            <v>166.19799139167867</v>
          </cell>
        </row>
        <row r="622">
          <cell r="A622">
            <v>2034</v>
          </cell>
          <cell r="B622" t="str">
            <v>饕餮</v>
          </cell>
          <cell r="C622">
            <v>1234.0084462267146</v>
          </cell>
          <cell r="D622">
            <v>1</v>
          </cell>
          <cell r="E622">
            <v>2</v>
          </cell>
          <cell r="F622">
            <v>123400.84462267146</v>
          </cell>
          <cell r="G622">
            <v>246.80168924534291</v>
          </cell>
        </row>
        <row r="623">
          <cell r="A623">
            <v>2035</v>
          </cell>
          <cell r="B623" t="str">
            <v>蚣蝮</v>
          </cell>
          <cell r="C623">
            <v>1089.0936724446408</v>
          </cell>
          <cell r="D623">
            <v>1</v>
          </cell>
          <cell r="E623">
            <v>2</v>
          </cell>
          <cell r="F623">
            <v>108909.36724446408</v>
          </cell>
          <cell r="G623">
            <v>217.81873448892816</v>
          </cell>
        </row>
        <row r="624">
          <cell r="A624">
            <v>1045</v>
          </cell>
          <cell r="B624" t="str">
            <v>狴犴</v>
          </cell>
          <cell r="C624">
            <v>840.65420562621364</v>
          </cell>
          <cell r="D624">
            <v>1</v>
          </cell>
          <cell r="E624">
            <v>1</v>
          </cell>
          <cell r="F624">
            <v>42032.710281310683</v>
          </cell>
          <cell r="G624">
            <v>84.06542056262137</v>
          </cell>
        </row>
        <row r="625">
          <cell r="A625">
            <v>2036</v>
          </cell>
          <cell r="B625" t="str">
            <v>狻猊</v>
          </cell>
          <cell r="C625">
            <v>1168.5103769469681</v>
          </cell>
          <cell r="D625">
            <v>1</v>
          </cell>
          <cell r="E625">
            <v>2</v>
          </cell>
          <cell r="F625">
            <v>116851.03769469682</v>
          </cell>
          <cell r="G625">
            <v>233.70207538939363</v>
          </cell>
        </row>
        <row r="626">
          <cell r="A626">
            <v>2037</v>
          </cell>
          <cell r="B626" t="str">
            <v>椒图</v>
          </cell>
          <cell r="C626">
            <v>1170.226648453496</v>
          </cell>
          <cell r="D626">
            <v>1</v>
          </cell>
          <cell r="E626">
            <v>2</v>
          </cell>
          <cell r="F626">
            <v>117022.6648453496</v>
          </cell>
          <cell r="G626">
            <v>234.04532969069922</v>
          </cell>
        </row>
        <row r="627">
          <cell r="A627">
            <v>2038</v>
          </cell>
          <cell r="B627" t="str">
            <v>貔貅</v>
          </cell>
          <cell r="C627">
            <v>1301.4406017582291</v>
          </cell>
          <cell r="D627">
            <v>1</v>
          </cell>
          <cell r="E627">
            <v>2</v>
          </cell>
          <cell r="F627">
            <v>130144.06017582292</v>
          </cell>
          <cell r="G627">
            <v>260.28812035164583</v>
          </cell>
        </row>
        <row r="628">
          <cell r="A628">
            <v>2039</v>
          </cell>
          <cell r="B628" t="str">
            <v>犼</v>
          </cell>
          <cell r="C628">
            <v>1205.6059444690939</v>
          </cell>
          <cell r="D628">
            <v>1</v>
          </cell>
          <cell r="E628">
            <v>2</v>
          </cell>
          <cell r="F628">
            <v>120560.59444690938</v>
          </cell>
          <cell r="G628">
            <v>241.12118889381875</v>
          </cell>
        </row>
        <row r="629">
          <cell r="A629">
            <v>2040</v>
          </cell>
          <cell r="B629" t="str">
            <v>螭</v>
          </cell>
          <cell r="C629">
            <v>804.72029955747189</v>
          </cell>
          <cell r="D629">
            <v>1</v>
          </cell>
          <cell r="E629">
            <v>2</v>
          </cell>
          <cell r="F629">
            <v>80472.029955747188</v>
          </cell>
          <cell r="G629">
            <v>160.94405991149438</v>
          </cell>
        </row>
        <row r="630">
          <cell r="A630">
            <v>2041</v>
          </cell>
          <cell r="B630" t="str">
            <v>麒麟</v>
          </cell>
          <cell r="C630">
            <v>1070.9650187305438</v>
          </cell>
          <cell r="D630">
            <v>1</v>
          </cell>
          <cell r="E630">
            <v>2</v>
          </cell>
          <cell r="F630">
            <v>107096.50187305438</v>
          </cell>
          <cell r="G630">
            <v>214.19300374610876</v>
          </cell>
        </row>
        <row r="631">
          <cell r="A631">
            <v>1046</v>
          </cell>
          <cell r="B631" t="str">
            <v>鱼龙</v>
          </cell>
          <cell r="C631">
            <v>788.85703841936129</v>
          </cell>
          <cell r="D631">
            <v>1</v>
          </cell>
          <cell r="E631">
            <v>1</v>
          </cell>
          <cell r="F631">
            <v>39442.851920968067</v>
          </cell>
          <cell r="G631">
            <v>78.885703841936134</v>
          </cell>
        </row>
        <row r="632">
          <cell r="A632">
            <v>1047</v>
          </cell>
          <cell r="B632" t="str">
            <v>蟠螭</v>
          </cell>
          <cell r="C632">
            <v>728.32796918693589</v>
          </cell>
          <cell r="D632">
            <v>1</v>
          </cell>
          <cell r="E632">
            <v>1</v>
          </cell>
          <cell r="F632">
            <v>36416.398459346798</v>
          </cell>
          <cell r="G632">
            <v>72.832796918693603</v>
          </cell>
        </row>
        <row r="633">
          <cell r="A633">
            <v>1048</v>
          </cell>
          <cell r="B633" t="str">
            <v>蛟龙</v>
          </cell>
          <cell r="C633">
            <v>844.95459355953597</v>
          </cell>
          <cell r="D633">
            <v>1</v>
          </cell>
          <cell r="E633">
            <v>1</v>
          </cell>
          <cell r="F633">
            <v>42247.7296779768</v>
          </cell>
          <cell r="G633">
            <v>84.495459355953599</v>
          </cell>
        </row>
        <row r="634">
          <cell r="A634">
            <v>1049</v>
          </cell>
          <cell r="B634" t="str">
            <v>角龙</v>
          </cell>
          <cell r="C634">
            <v>845.50407061037936</v>
          </cell>
          <cell r="D634">
            <v>1</v>
          </cell>
          <cell r="E634">
            <v>1</v>
          </cell>
          <cell r="F634">
            <v>42275.203530518971</v>
          </cell>
          <cell r="G634">
            <v>84.550407061037944</v>
          </cell>
        </row>
        <row r="635">
          <cell r="A635">
            <v>1050</v>
          </cell>
          <cell r="B635" t="str">
            <v>应龙</v>
          </cell>
          <cell r="C635">
            <v>939.55470040576813</v>
          </cell>
          <cell r="D635">
            <v>1</v>
          </cell>
          <cell r="E635">
            <v>1</v>
          </cell>
          <cell r="F635">
            <v>46977.735020288404</v>
          </cell>
          <cell r="G635">
            <v>93.955470040576813</v>
          </cell>
        </row>
        <row r="636">
          <cell r="A636">
            <v>101101</v>
          </cell>
          <cell r="B636" t="str">
            <v>亚芝</v>
          </cell>
          <cell r="C636">
            <v>25.55355230742893</v>
          </cell>
          <cell r="D636">
            <v>1</v>
          </cell>
          <cell r="E636">
            <v>97.5</v>
          </cell>
          <cell r="F636">
            <v>125000</v>
          </cell>
          <cell r="G636">
            <v>250</v>
          </cell>
        </row>
        <row r="637">
          <cell r="A637">
            <v>101102</v>
          </cell>
          <cell r="B637" t="str">
            <v>蟹仔</v>
          </cell>
          <cell r="C637">
            <v>25.55355230742893</v>
          </cell>
          <cell r="D637">
            <v>1</v>
          </cell>
          <cell r="E637">
            <v>97.5</v>
          </cell>
          <cell r="F637">
            <v>125000</v>
          </cell>
          <cell r="G637">
            <v>250</v>
          </cell>
        </row>
        <row r="638">
          <cell r="A638">
            <v>101103</v>
          </cell>
          <cell r="B638" t="str">
            <v>比利</v>
          </cell>
          <cell r="C638">
            <v>25.55355230742893</v>
          </cell>
          <cell r="D638">
            <v>1</v>
          </cell>
          <cell r="E638">
            <v>97.5</v>
          </cell>
          <cell r="F638">
            <v>125000</v>
          </cell>
          <cell r="G638">
            <v>250</v>
          </cell>
        </row>
        <row r="639">
          <cell r="A639">
            <v>101104</v>
          </cell>
          <cell r="B639" t="str">
            <v>黎九</v>
          </cell>
          <cell r="C639">
            <v>25.55355230742893</v>
          </cell>
          <cell r="D639">
            <v>1</v>
          </cell>
          <cell r="E639">
            <v>97.5</v>
          </cell>
          <cell r="F639">
            <v>125000</v>
          </cell>
          <cell r="G639">
            <v>250</v>
          </cell>
        </row>
        <row r="640">
          <cell r="A640">
            <v>101105</v>
          </cell>
          <cell r="B640" t="str">
            <v>黑古</v>
          </cell>
          <cell r="C640">
            <v>25.55355230742893</v>
          </cell>
          <cell r="D640">
            <v>1</v>
          </cell>
          <cell r="E640">
            <v>97.5</v>
          </cell>
          <cell r="F640">
            <v>125000</v>
          </cell>
          <cell r="G640">
            <v>250</v>
          </cell>
        </row>
        <row r="641">
          <cell r="A641">
            <v>101106</v>
          </cell>
          <cell r="B641" t="str">
            <v>靓坤</v>
          </cell>
          <cell r="C641">
            <v>51.10710461485786</v>
          </cell>
          <cell r="D641">
            <v>1</v>
          </cell>
          <cell r="E641">
            <v>97.5</v>
          </cell>
          <cell r="F641">
            <v>250000</v>
          </cell>
          <cell r="G641">
            <v>500</v>
          </cell>
        </row>
        <row r="642">
          <cell r="A642">
            <v>101107</v>
          </cell>
          <cell r="B642" t="str">
            <v>乌鸦</v>
          </cell>
          <cell r="C642">
            <v>51.10710461485786</v>
          </cell>
          <cell r="D642">
            <v>1</v>
          </cell>
          <cell r="E642">
            <v>97.5</v>
          </cell>
          <cell r="F642">
            <v>250000</v>
          </cell>
          <cell r="G642">
            <v>500</v>
          </cell>
        </row>
        <row r="643">
          <cell r="A643">
            <v>101108</v>
          </cell>
          <cell r="B643" t="str">
            <v>肥仔</v>
          </cell>
          <cell r="C643">
            <v>51.10710461485786</v>
          </cell>
          <cell r="D643">
            <v>1</v>
          </cell>
          <cell r="E643">
            <v>97.5</v>
          </cell>
          <cell r="F643">
            <v>250000</v>
          </cell>
          <cell r="G643">
            <v>500</v>
          </cell>
        </row>
        <row r="644">
          <cell r="A644">
            <v>101109</v>
          </cell>
          <cell r="B644" t="str">
            <v>司徒浩南</v>
          </cell>
          <cell r="C644">
            <v>102.21420922971572</v>
          </cell>
          <cell r="D644">
            <v>1</v>
          </cell>
          <cell r="E644">
            <v>97.5</v>
          </cell>
          <cell r="F644">
            <v>500000</v>
          </cell>
          <cell r="G644">
            <v>1000</v>
          </cell>
        </row>
        <row r="645">
          <cell r="A645">
            <v>101110</v>
          </cell>
          <cell r="B645" t="str">
            <v>赌王</v>
          </cell>
          <cell r="C645">
            <v>102.21420922971572</v>
          </cell>
          <cell r="D645">
            <v>1</v>
          </cell>
          <cell r="E645">
            <v>97.5</v>
          </cell>
          <cell r="F645">
            <v>500000</v>
          </cell>
          <cell r="G645">
            <v>1000</v>
          </cell>
        </row>
        <row r="646">
          <cell r="A646">
            <v>101111</v>
          </cell>
          <cell r="B646" t="str">
            <v>赌王</v>
          </cell>
          <cell r="C646">
            <v>102.21420922971572</v>
          </cell>
          <cell r="D646">
            <v>1</v>
          </cell>
          <cell r="E646">
            <v>97.5</v>
          </cell>
          <cell r="F646">
            <v>500000</v>
          </cell>
          <cell r="G646">
            <v>1000</v>
          </cell>
        </row>
        <row r="647">
          <cell r="A647">
            <v>101112</v>
          </cell>
          <cell r="B647" t="str">
            <v>山下忠秀</v>
          </cell>
          <cell r="C647">
            <v>102.21420922971572</v>
          </cell>
          <cell r="D647">
            <v>1</v>
          </cell>
          <cell r="E647">
            <v>97.5</v>
          </cell>
          <cell r="F647">
            <v>500000</v>
          </cell>
          <cell r="G647">
            <v>1000</v>
          </cell>
        </row>
        <row r="648">
          <cell r="A648">
            <v>101113</v>
          </cell>
          <cell r="B648" t="str">
            <v>宫本一</v>
          </cell>
          <cell r="C648">
            <v>102.21420922971572</v>
          </cell>
          <cell r="D648">
            <v>1</v>
          </cell>
          <cell r="E648">
            <v>97.5</v>
          </cell>
          <cell r="F648">
            <v>500000</v>
          </cell>
          <cell r="G648">
            <v>1000</v>
          </cell>
        </row>
        <row r="649">
          <cell r="A649">
            <v>101114</v>
          </cell>
          <cell r="B649" t="str">
            <v>陈浩南</v>
          </cell>
          <cell r="C649">
            <v>153.32131384457352</v>
          </cell>
          <cell r="D649">
            <v>1</v>
          </cell>
          <cell r="E649">
            <v>97.5</v>
          </cell>
          <cell r="F649">
            <v>750000</v>
          </cell>
          <cell r="G649">
            <v>1500</v>
          </cell>
        </row>
        <row r="650">
          <cell r="A650">
            <v>101115</v>
          </cell>
          <cell r="B650" t="str">
            <v>山鸡</v>
          </cell>
          <cell r="C650">
            <v>153.32131384457352</v>
          </cell>
          <cell r="D650">
            <v>1</v>
          </cell>
          <cell r="E650">
            <v>97.5</v>
          </cell>
          <cell r="F650">
            <v>750000</v>
          </cell>
          <cell r="G650">
            <v>1500</v>
          </cell>
        </row>
        <row r="651">
          <cell r="A651">
            <v>101116</v>
          </cell>
          <cell r="B651" t="str">
            <v>大天二</v>
          </cell>
          <cell r="C651">
            <v>153.32131384457352</v>
          </cell>
          <cell r="D651">
            <v>1</v>
          </cell>
          <cell r="E651">
            <v>97.5</v>
          </cell>
          <cell r="F651">
            <v>750000</v>
          </cell>
          <cell r="G651">
            <v>1500</v>
          </cell>
        </row>
        <row r="652">
          <cell r="A652">
            <v>101117</v>
          </cell>
          <cell r="B652" t="str">
            <v>巴闭</v>
          </cell>
          <cell r="C652">
            <v>51.10710461485786</v>
          </cell>
          <cell r="D652">
            <v>2</v>
          </cell>
          <cell r="E652">
            <v>97.5</v>
          </cell>
          <cell r="F652">
            <v>250000</v>
          </cell>
          <cell r="G652">
            <v>500</v>
          </cell>
        </row>
        <row r="653">
          <cell r="A653">
            <v>101118</v>
          </cell>
          <cell r="B653" t="str">
            <v>耀阳</v>
          </cell>
          <cell r="C653">
            <v>102.21420922971572</v>
          </cell>
          <cell r="D653">
            <v>3</v>
          </cell>
          <cell r="E653">
            <v>97.5</v>
          </cell>
          <cell r="F653">
            <v>500000</v>
          </cell>
          <cell r="G653">
            <v>1000</v>
          </cell>
        </row>
        <row r="654">
          <cell r="A654">
            <v>101119</v>
          </cell>
          <cell r="B654" t="str">
            <v>笑面虎</v>
          </cell>
          <cell r="C654">
            <v>102.21420922971572</v>
          </cell>
          <cell r="D654">
            <v>4</v>
          </cell>
          <cell r="E654">
            <v>97.5</v>
          </cell>
          <cell r="F654">
            <v>500000</v>
          </cell>
          <cell r="G654">
            <v>1000</v>
          </cell>
        </row>
      </sheetData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马仔表"/>
      <sheetName val="D_马仔经验"/>
      <sheetName val="马仔辅助经验表"/>
      <sheetName val="马仔等级性价比"/>
      <sheetName val="D_马仔升级属性"/>
      <sheetName val="D_马仔升星灵魂石"/>
      <sheetName val="D_马仔升星属性"/>
      <sheetName val="D_马仔培养进阶属性"/>
      <sheetName val="D_马仔培养宝物"/>
      <sheetName val="D_马仔宝物"/>
      <sheetName val="价值评估"/>
      <sheetName val="D_马仔技能"/>
      <sheetName val="技能辅助表"/>
      <sheetName val="D_马仔BUF表"/>
      <sheetName val="D__马仔援护位开放"/>
      <sheetName val="D_马仔追债任务表"/>
      <sheetName val="马仔追债辅助表"/>
      <sheetName val="D_追债劫掠购买表"/>
      <sheetName val="马仔辅助表"/>
      <sheetName val="马仔培养辅助表"/>
      <sheetName val="马仔"/>
    </sheetNames>
    <definedNames>
      <definedName name="马仔宝物属性" refersTo="='D_马仔宝物'!$A$1:$F$198"/>
    </definedNames>
    <sheetDataSet>
      <sheetData sheetId="0">
        <row r="12">
          <cell r="A12">
            <v>101111</v>
          </cell>
          <cell r="B12" t="str">
            <v>赌王</v>
          </cell>
        </row>
        <row r="13">
          <cell r="A13">
            <v>101112</v>
          </cell>
          <cell r="B13" t="str">
            <v>山下忠秀</v>
          </cell>
        </row>
        <row r="14">
          <cell r="A14">
            <v>101113</v>
          </cell>
          <cell r="B14" t="str">
            <v>宫本一</v>
          </cell>
        </row>
        <row r="15">
          <cell r="A15">
            <v>101114</v>
          </cell>
          <cell r="B15" t="str">
            <v>陈浩南</v>
          </cell>
        </row>
        <row r="16">
          <cell r="A16">
            <v>101115</v>
          </cell>
          <cell r="B16" t="str">
            <v>山鸡</v>
          </cell>
        </row>
        <row r="17">
          <cell r="A17">
            <v>101116</v>
          </cell>
          <cell r="B17" t="str">
            <v>大天二</v>
          </cell>
        </row>
        <row r="18">
          <cell r="A18">
            <v>101117</v>
          </cell>
          <cell r="B18" t="str">
            <v>巴闭</v>
          </cell>
        </row>
        <row r="19">
          <cell r="A19">
            <v>101118</v>
          </cell>
          <cell r="B19" t="str">
            <v>耀阳</v>
          </cell>
        </row>
        <row r="20">
          <cell r="A20">
            <v>101119</v>
          </cell>
          <cell r="B20" t="str">
            <v>笑面虎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ID</v>
          </cell>
          <cell r="B1" t="str">
            <v>名称</v>
          </cell>
          <cell r="C1" t="str">
            <v>宝物描述</v>
          </cell>
          <cell r="D1" t="str">
            <v>宝物类型</v>
          </cell>
          <cell r="E1" t="str">
            <v>装备ICON</v>
          </cell>
          <cell r="F1" t="str">
            <v>宝物质量</v>
          </cell>
        </row>
        <row r="2">
          <cell r="A2">
            <v>92131</v>
          </cell>
          <cell r="B2" t="str">
            <v>幸运戒指</v>
          </cell>
          <cell r="C2" t="str">
            <v>给马仔携带，提升马仔属性</v>
          </cell>
          <cell r="D2">
            <v>1</v>
          </cell>
          <cell r="E2" t="str">
            <v>92131.png</v>
          </cell>
          <cell r="F2">
            <v>0</v>
          </cell>
        </row>
        <row r="3">
          <cell r="A3">
            <v>92011</v>
          </cell>
          <cell r="B3" t="str">
            <v>亚诺</v>
          </cell>
          <cell r="C3" t="str">
            <v>给马仔携带，提升马仔属性</v>
          </cell>
          <cell r="D3">
            <v>1</v>
          </cell>
          <cell r="E3" t="str">
            <v>92011.png</v>
          </cell>
          <cell r="F3">
            <v>0</v>
          </cell>
        </row>
        <row r="4">
          <cell r="A4">
            <v>92228</v>
          </cell>
          <cell r="B4" t="str">
            <v>银色手环</v>
          </cell>
          <cell r="C4" t="str">
            <v>给马仔携带，提升马仔属性</v>
          </cell>
          <cell r="D4">
            <v>1</v>
          </cell>
          <cell r="E4" t="str">
            <v>92228.png</v>
          </cell>
          <cell r="F4">
            <v>0</v>
          </cell>
        </row>
        <row r="5">
          <cell r="A5">
            <v>92232</v>
          </cell>
          <cell r="B5" t="str">
            <v>鎏金手环</v>
          </cell>
          <cell r="C5" t="str">
            <v>给马仔携带，提升马仔属性</v>
          </cell>
          <cell r="D5">
            <v>1</v>
          </cell>
          <cell r="E5" t="str">
            <v>92232.png</v>
          </cell>
          <cell r="F5">
            <v>0</v>
          </cell>
        </row>
        <row r="6">
          <cell r="A6">
            <v>92121</v>
          </cell>
          <cell r="B6" t="str">
            <v>镀金耳钉</v>
          </cell>
          <cell r="C6" t="str">
            <v>给马仔携带，提升马仔属性</v>
          </cell>
          <cell r="D6">
            <v>1</v>
          </cell>
          <cell r="E6" t="str">
            <v>92121.png</v>
          </cell>
          <cell r="F6">
            <v>0</v>
          </cell>
        </row>
        <row r="7">
          <cell r="A7">
            <v>92243</v>
          </cell>
          <cell r="B7" t="str">
            <v>诅咒项链</v>
          </cell>
          <cell r="C7" t="str">
            <v>给马仔携带，提升马仔属性</v>
          </cell>
          <cell r="D7">
            <v>1</v>
          </cell>
          <cell r="E7" t="str">
            <v>92243.png</v>
          </cell>
          <cell r="F7">
            <v>0</v>
          </cell>
        </row>
        <row r="8">
          <cell r="A8">
            <v>92244</v>
          </cell>
          <cell r="B8" t="str">
            <v>金饰项链</v>
          </cell>
          <cell r="C8" t="str">
            <v>给马仔携带，提升马仔属性</v>
          </cell>
          <cell r="D8">
            <v>1</v>
          </cell>
          <cell r="E8" t="str">
            <v>92244.png</v>
          </cell>
          <cell r="F8">
            <v>0</v>
          </cell>
        </row>
        <row r="9">
          <cell r="A9">
            <v>92263</v>
          </cell>
          <cell r="B9" t="str">
            <v>银针手表</v>
          </cell>
          <cell r="C9" t="str">
            <v>给马仔携带，提升马仔属性</v>
          </cell>
          <cell r="D9">
            <v>1</v>
          </cell>
          <cell r="E9" t="str">
            <v>92263.png</v>
          </cell>
          <cell r="F9">
            <v>0</v>
          </cell>
        </row>
        <row r="10">
          <cell r="A10">
            <v>92277</v>
          </cell>
          <cell r="B10" t="str">
            <v>冬利</v>
          </cell>
          <cell r="C10" t="str">
            <v>给马仔携带，提升马仔属性</v>
          </cell>
          <cell r="D10">
            <v>1</v>
          </cell>
          <cell r="E10" t="str">
            <v>92277.png</v>
          </cell>
          <cell r="F10">
            <v>0</v>
          </cell>
        </row>
        <row r="11">
          <cell r="A11">
            <v>92233</v>
          </cell>
          <cell r="B11" t="str">
            <v>白金手环</v>
          </cell>
          <cell r="C11" t="str">
            <v>给马仔携带，提升马仔属性</v>
          </cell>
          <cell r="D11">
            <v>1</v>
          </cell>
          <cell r="E11" t="str">
            <v>92233.png</v>
          </cell>
          <cell r="F11">
            <v>1</v>
          </cell>
        </row>
        <row r="12">
          <cell r="A12">
            <v>92122</v>
          </cell>
          <cell r="B12" t="str">
            <v>银饰耳钉</v>
          </cell>
          <cell r="C12" t="str">
            <v>给马仔携带，提升马仔属性</v>
          </cell>
          <cell r="D12">
            <v>1</v>
          </cell>
          <cell r="E12" t="str">
            <v>92122.png</v>
          </cell>
          <cell r="F12">
            <v>1</v>
          </cell>
        </row>
        <row r="13">
          <cell r="A13">
            <v>92141</v>
          </cell>
          <cell r="B13" t="str">
            <v>白银戒指</v>
          </cell>
          <cell r="C13" t="str">
            <v>给马仔携带，提升马仔属性</v>
          </cell>
          <cell r="D13">
            <v>1</v>
          </cell>
          <cell r="E13" t="str">
            <v>92141.png</v>
          </cell>
          <cell r="F13">
            <v>1</v>
          </cell>
        </row>
        <row r="14">
          <cell r="A14">
            <v>92245</v>
          </cell>
          <cell r="B14" t="str">
            <v>水晶项链</v>
          </cell>
          <cell r="C14" t="str">
            <v>给马仔携带，提升马仔属性</v>
          </cell>
          <cell r="D14">
            <v>1</v>
          </cell>
          <cell r="E14" t="str">
            <v>92245.png</v>
          </cell>
          <cell r="F14">
            <v>1</v>
          </cell>
        </row>
        <row r="15">
          <cell r="A15">
            <v>92251</v>
          </cell>
          <cell r="B15" t="str">
            <v>红石项链</v>
          </cell>
          <cell r="C15" t="str">
            <v>给马仔携带，提升马仔属性</v>
          </cell>
          <cell r="D15">
            <v>1</v>
          </cell>
          <cell r="E15" t="str">
            <v>92251.png</v>
          </cell>
          <cell r="F15">
            <v>1</v>
          </cell>
        </row>
        <row r="16">
          <cell r="A16">
            <v>92264</v>
          </cell>
          <cell r="B16" t="str">
            <v>越野手表</v>
          </cell>
          <cell r="C16" t="str">
            <v>给马仔携带，提升马仔属性</v>
          </cell>
          <cell r="D16">
            <v>1</v>
          </cell>
          <cell r="E16" t="str">
            <v>92264.png</v>
          </cell>
          <cell r="F16">
            <v>1</v>
          </cell>
        </row>
        <row r="17">
          <cell r="A17">
            <v>92271</v>
          </cell>
          <cell r="B17" t="str">
            <v>精准手表</v>
          </cell>
          <cell r="C17" t="str">
            <v>给马仔携带，提升马仔属性</v>
          </cell>
          <cell r="D17">
            <v>1</v>
          </cell>
          <cell r="E17" t="str">
            <v>92271.png</v>
          </cell>
          <cell r="F17">
            <v>1</v>
          </cell>
        </row>
        <row r="18">
          <cell r="A18">
            <v>92278</v>
          </cell>
          <cell r="B18" t="str">
            <v>宝驼</v>
          </cell>
          <cell r="C18" t="str">
            <v>给马仔携带，提升马仔属性</v>
          </cell>
          <cell r="D18">
            <v>1</v>
          </cell>
          <cell r="E18" t="str">
            <v>92278.png</v>
          </cell>
          <cell r="F18">
            <v>1</v>
          </cell>
        </row>
        <row r="19">
          <cell r="A19">
            <v>92283</v>
          </cell>
          <cell r="B19" t="str">
            <v>小迭钞票</v>
          </cell>
          <cell r="C19" t="str">
            <v>给马仔携带，提升马仔属性</v>
          </cell>
          <cell r="D19">
            <v>1</v>
          </cell>
          <cell r="E19" t="str">
            <v>92283.png</v>
          </cell>
          <cell r="F19">
            <v>1</v>
          </cell>
        </row>
        <row r="20">
          <cell r="A20">
            <v>92287</v>
          </cell>
          <cell r="B20" t="str">
            <v>金块</v>
          </cell>
          <cell r="C20" t="str">
            <v>给马仔携带，提升马仔属性</v>
          </cell>
          <cell r="D20">
            <v>1</v>
          </cell>
          <cell r="E20" t="str">
            <v>92287.png</v>
          </cell>
          <cell r="F20">
            <v>1</v>
          </cell>
        </row>
        <row r="21">
          <cell r="A21">
            <v>92142</v>
          </cell>
          <cell r="B21" t="str">
            <v>黄金戒指</v>
          </cell>
          <cell r="C21" t="str">
            <v>给马仔携带，提升马仔属性</v>
          </cell>
          <cell r="D21">
            <v>1</v>
          </cell>
          <cell r="E21" t="str">
            <v>92142.png</v>
          </cell>
          <cell r="F21">
            <v>2</v>
          </cell>
        </row>
        <row r="22">
          <cell r="A22">
            <v>92235</v>
          </cell>
          <cell r="B22" t="str">
            <v>宝石手环</v>
          </cell>
          <cell r="C22" t="str">
            <v>给马仔携带，提升马仔属性</v>
          </cell>
          <cell r="D22">
            <v>1</v>
          </cell>
          <cell r="E22" t="str">
            <v>92235.png</v>
          </cell>
          <cell r="F22">
            <v>2</v>
          </cell>
        </row>
        <row r="23">
          <cell r="A23">
            <v>92012</v>
          </cell>
          <cell r="B23" t="str">
            <v>摩拉</v>
          </cell>
          <cell r="C23" t="str">
            <v>给马仔携带，提升马仔属性</v>
          </cell>
          <cell r="D23">
            <v>1</v>
          </cell>
          <cell r="E23" t="str">
            <v>92012.png</v>
          </cell>
          <cell r="F23">
            <v>2</v>
          </cell>
        </row>
        <row r="24">
          <cell r="A24">
            <v>92252</v>
          </cell>
          <cell r="B24" t="str">
            <v>青玉项链</v>
          </cell>
          <cell r="C24" t="str">
            <v>给马仔携带，提升马仔属性</v>
          </cell>
          <cell r="D24">
            <v>1</v>
          </cell>
          <cell r="E24" t="str">
            <v>92252.png</v>
          </cell>
          <cell r="F24">
            <v>2</v>
          </cell>
        </row>
        <row r="25">
          <cell r="A25">
            <v>92124</v>
          </cell>
          <cell r="B25" t="str">
            <v>水晶耳钉</v>
          </cell>
          <cell r="C25" t="str">
            <v>给马仔携带，提升马仔属性</v>
          </cell>
          <cell r="D25">
            <v>1</v>
          </cell>
          <cell r="E25" t="str">
            <v>92124.png</v>
          </cell>
          <cell r="F25">
            <v>2</v>
          </cell>
        </row>
        <row r="26">
          <cell r="A26">
            <v>92272</v>
          </cell>
          <cell r="B26" t="str">
            <v>金针手表</v>
          </cell>
          <cell r="C26" t="str">
            <v>给马仔携带，提升马仔属性</v>
          </cell>
          <cell r="D26">
            <v>1</v>
          </cell>
          <cell r="E26" t="str">
            <v>92272.png</v>
          </cell>
          <cell r="F26">
            <v>2</v>
          </cell>
        </row>
        <row r="27">
          <cell r="A27">
            <v>92273</v>
          </cell>
          <cell r="B27" t="str">
            <v>智能手表</v>
          </cell>
          <cell r="C27" t="str">
            <v>给马仔携带，提升马仔属性</v>
          </cell>
          <cell r="D27">
            <v>1</v>
          </cell>
          <cell r="E27" t="str">
            <v>92273.png</v>
          </cell>
          <cell r="F27">
            <v>2</v>
          </cell>
        </row>
        <row r="28">
          <cell r="A28">
            <v>92279</v>
          </cell>
          <cell r="B28" t="str">
            <v>宾倪</v>
          </cell>
          <cell r="C28" t="str">
            <v>给马仔携带，提升马仔属性</v>
          </cell>
          <cell r="D28">
            <v>1</v>
          </cell>
          <cell r="E28" t="str">
            <v>92279.png</v>
          </cell>
          <cell r="F28">
            <v>2</v>
          </cell>
        </row>
        <row r="29">
          <cell r="A29">
            <v>92284</v>
          </cell>
          <cell r="B29" t="str">
            <v>大迭钞票</v>
          </cell>
          <cell r="C29" t="str">
            <v>给马仔携带，提升马仔属性</v>
          </cell>
          <cell r="D29">
            <v>1</v>
          </cell>
          <cell r="E29" t="str">
            <v>92284.png</v>
          </cell>
          <cell r="F29">
            <v>2</v>
          </cell>
        </row>
        <row r="30">
          <cell r="A30">
            <v>92288</v>
          </cell>
          <cell r="B30" t="str">
            <v>大金块</v>
          </cell>
          <cell r="C30" t="str">
            <v>给马仔携带，提升马仔属性</v>
          </cell>
          <cell r="D30">
            <v>1</v>
          </cell>
          <cell r="E30" t="str">
            <v>92288.png</v>
          </cell>
          <cell r="F30">
            <v>2</v>
          </cell>
        </row>
        <row r="31">
          <cell r="A31">
            <v>92125</v>
          </cell>
          <cell r="B31" t="str">
            <v>红石耳钉</v>
          </cell>
          <cell r="C31" t="str">
            <v>给马仔携带，提升马仔属性</v>
          </cell>
          <cell r="D31">
            <v>1</v>
          </cell>
          <cell r="E31" t="str">
            <v>92125.png</v>
          </cell>
          <cell r="F31">
            <v>3</v>
          </cell>
        </row>
        <row r="32">
          <cell r="A32">
            <v>92134</v>
          </cell>
          <cell r="B32" t="str">
            <v>毒蝎耳钉</v>
          </cell>
          <cell r="C32" t="str">
            <v>给马仔携带，提升马仔属性</v>
          </cell>
          <cell r="D32">
            <v>1</v>
          </cell>
          <cell r="E32" t="str">
            <v>92134.png</v>
          </cell>
          <cell r="F32">
            <v>3</v>
          </cell>
        </row>
        <row r="33">
          <cell r="A33">
            <v>92223</v>
          </cell>
          <cell r="B33" t="str">
            <v>赤金戒指</v>
          </cell>
          <cell r="C33" t="str">
            <v>给马仔携带，提升马仔属性</v>
          </cell>
          <cell r="D33">
            <v>1</v>
          </cell>
          <cell r="E33" t="str">
            <v>92223.png</v>
          </cell>
          <cell r="F33">
            <v>3</v>
          </cell>
        </row>
        <row r="34">
          <cell r="A34">
            <v>92227</v>
          </cell>
          <cell r="B34" t="str">
            <v>王者手环</v>
          </cell>
          <cell r="C34" t="str">
            <v>给马仔携带，提升马仔属性</v>
          </cell>
          <cell r="D34">
            <v>1</v>
          </cell>
          <cell r="E34" t="str">
            <v>92227.png</v>
          </cell>
          <cell r="F34">
            <v>3</v>
          </cell>
        </row>
        <row r="35">
          <cell r="A35">
            <v>92236</v>
          </cell>
          <cell r="B35" t="str">
            <v>符文手环</v>
          </cell>
          <cell r="C35" t="str">
            <v>给马仔携带，提升马仔属性</v>
          </cell>
          <cell r="D35">
            <v>1</v>
          </cell>
          <cell r="E35" t="str">
            <v>92236.png</v>
          </cell>
          <cell r="F35">
            <v>3</v>
          </cell>
        </row>
        <row r="36">
          <cell r="A36">
            <v>92013</v>
          </cell>
          <cell r="B36" t="str">
            <v>月立</v>
          </cell>
          <cell r="C36" t="str">
            <v>给马仔携带，提升马仔属性</v>
          </cell>
          <cell r="D36">
            <v>1</v>
          </cell>
          <cell r="E36" t="str">
            <v>92013.png</v>
          </cell>
          <cell r="F36">
            <v>3</v>
          </cell>
        </row>
        <row r="37">
          <cell r="A37">
            <v>92253</v>
          </cell>
          <cell r="B37" t="str">
            <v>猫妖项链</v>
          </cell>
          <cell r="C37" t="str">
            <v>给马仔携带，提升马仔属性</v>
          </cell>
          <cell r="D37">
            <v>1</v>
          </cell>
          <cell r="E37" t="str">
            <v>92253.png</v>
          </cell>
          <cell r="F37">
            <v>3</v>
          </cell>
        </row>
        <row r="38">
          <cell r="A38">
            <v>92254</v>
          </cell>
          <cell r="B38" t="str">
            <v>苍蓝项链</v>
          </cell>
          <cell r="C38" t="str">
            <v>给马仔携带，提升马仔属性</v>
          </cell>
          <cell r="D38">
            <v>1</v>
          </cell>
          <cell r="E38" t="str">
            <v>92254.png</v>
          </cell>
          <cell r="F38">
            <v>3</v>
          </cell>
        </row>
        <row r="39">
          <cell r="A39">
            <v>92274</v>
          </cell>
          <cell r="B39" t="str">
            <v>汉密手表</v>
          </cell>
          <cell r="C39" t="str">
            <v>给马仔携带，提升马仔属性</v>
          </cell>
          <cell r="D39">
            <v>1</v>
          </cell>
          <cell r="E39" t="str">
            <v>92274.png</v>
          </cell>
          <cell r="F39">
            <v>3</v>
          </cell>
        </row>
        <row r="40">
          <cell r="A40">
            <v>92280</v>
          </cell>
          <cell r="B40" t="str">
            <v>法拉捷</v>
          </cell>
          <cell r="C40" t="str">
            <v>给马仔携带，提升马仔属性</v>
          </cell>
          <cell r="D40">
            <v>1</v>
          </cell>
          <cell r="E40" t="str">
            <v>92280.png</v>
          </cell>
          <cell r="F40">
            <v>3</v>
          </cell>
        </row>
        <row r="41">
          <cell r="A41">
            <v>92285</v>
          </cell>
          <cell r="B41" t="str">
            <v>大堆钞票</v>
          </cell>
          <cell r="C41" t="str">
            <v>给马仔携带，提升马仔属性</v>
          </cell>
          <cell r="D41">
            <v>1</v>
          </cell>
          <cell r="E41" t="str">
            <v>92285.png</v>
          </cell>
          <cell r="F41">
            <v>3</v>
          </cell>
        </row>
        <row r="42">
          <cell r="A42">
            <v>92289</v>
          </cell>
          <cell r="B42" t="str">
            <v>小堆金块</v>
          </cell>
          <cell r="C42" t="str">
            <v>给马仔携带，提升马仔属性</v>
          </cell>
          <cell r="D42">
            <v>1</v>
          </cell>
          <cell r="E42" t="str">
            <v>92289.png</v>
          </cell>
          <cell r="F42">
            <v>3</v>
          </cell>
        </row>
        <row r="43">
          <cell r="A43">
            <v>92014</v>
          </cell>
          <cell r="B43" t="str">
            <v>菠萝</v>
          </cell>
          <cell r="C43" t="str">
            <v>给马仔携带，提升马仔属性</v>
          </cell>
          <cell r="D43">
            <v>1</v>
          </cell>
          <cell r="E43" t="str">
            <v>92014.png</v>
          </cell>
          <cell r="F43">
            <v>4</v>
          </cell>
        </row>
        <row r="44">
          <cell r="A44">
            <v>92296</v>
          </cell>
          <cell r="B44" t="str">
            <v>星光红石</v>
          </cell>
          <cell r="C44" t="str">
            <v>给马仔携带，提升马仔属性</v>
          </cell>
          <cell r="D44">
            <v>1</v>
          </cell>
          <cell r="E44" t="str">
            <v>92296.png</v>
          </cell>
          <cell r="F44">
            <v>4</v>
          </cell>
        </row>
        <row r="45">
          <cell r="A45">
            <v>92240</v>
          </cell>
          <cell r="B45" t="str">
            <v>苍蓝戒指</v>
          </cell>
          <cell r="C45" t="str">
            <v>给马仔携带，提升马仔属性</v>
          </cell>
          <cell r="D45">
            <v>1</v>
          </cell>
          <cell r="E45" t="str">
            <v>92240.png</v>
          </cell>
          <cell r="F45">
            <v>4</v>
          </cell>
        </row>
        <row r="46">
          <cell r="A46">
            <v>92292</v>
          </cell>
          <cell r="B46" t="str">
            <v>金饰宝盒</v>
          </cell>
          <cell r="C46" t="str">
            <v>给马仔携带，提升马仔属性</v>
          </cell>
          <cell r="D46">
            <v>1</v>
          </cell>
          <cell r="E46" t="str">
            <v>92292.png</v>
          </cell>
          <cell r="F46">
            <v>4</v>
          </cell>
        </row>
        <row r="47">
          <cell r="A47">
            <v>92256</v>
          </cell>
          <cell r="B47" t="str">
            <v>圣徒项链</v>
          </cell>
          <cell r="C47" t="str">
            <v>给马仔携带，提升马仔属性</v>
          </cell>
          <cell r="D47">
            <v>1</v>
          </cell>
          <cell r="E47" t="str">
            <v>92256.png</v>
          </cell>
          <cell r="F47">
            <v>4</v>
          </cell>
        </row>
        <row r="48">
          <cell r="A48">
            <v>92261</v>
          </cell>
          <cell r="B48" t="str">
            <v>贵族项链</v>
          </cell>
          <cell r="C48" t="str">
            <v>给马仔携带，提升马仔属性</v>
          </cell>
          <cell r="D48">
            <v>1</v>
          </cell>
          <cell r="E48" t="str">
            <v>92261.png</v>
          </cell>
          <cell r="F48">
            <v>4</v>
          </cell>
        </row>
        <row r="49">
          <cell r="A49">
            <v>92275</v>
          </cell>
          <cell r="B49" t="str">
            <v>千国手表</v>
          </cell>
          <cell r="C49" t="str">
            <v>给马仔携带，提升马仔属性</v>
          </cell>
          <cell r="D49">
            <v>1</v>
          </cell>
          <cell r="E49" t="str">
            <v>92275.png</v>
          </cell>
          <cell r="F49">
            <v>4</v>
          </cell>
        </row>
        <row r="50">
          <cell r="A50">
            <v>92281</v>
          </cell>
          <cell r="B50" t="str">
            <v>红博机利</v>
          </cell>
          <cell r="C50" t="str">
            <v>给马仔携带，提升马仔属性</v>
          </cell>
          <cell r="D50">
            <v>1</v>
          </cell>
          <cell r="E50" t="str">
            <v>92281.png</v>
          </cell>
          <cell r="F50">
            <v>4</v>
          </cell>
        </row>
        <row r="51">
          <cell r="A51">
            <v>92286</v>
          </cell>
          <cell r="B51" t="str">
            <v>巨额钞票</v>
          </cell>
          <cell r="C51" t="str">
            <v>给马仔携带，提升马仔属性</v>
          </cell>
          <cell r="D51">
            <v>1</v>
          </cell>
          <cell r="E51" t="str">
            <v>92286.png</v>
          </cell>
          <cell r="F51">
            <v>4</v>
          </cell>
        </row>
        <row r="52">
          <cell r="A52">
            <v>92290</v>
          </cell>
          <cell r="B52" t="str">
            <v>大堆金块</v>
          </cell>
          <cell r="C52" t="str">
            <v>给马仔携带，提升马仔属性</v>
          </cell>
          <cell r="D52">
            <v>1</v>
          </cell>
          <cell r="E52" t="str">
            <v>92290.png</v>
          </cell>
          <cell r="F52">
            <v>4</v>
          </cell>
        </row>
        <row r="53">
          <cell r="A53">
            <v>92026</v>
          </cell>
          <cell r="B53" t="str">
            <v>深蓝</v>
          </cell>
          <cell r="C53" t="str">
            <v>给马仔携带，提升马仔属性</v>
          </cell>
          <cell r="D53">
            <v>1</v>
          </cell>
          <cell r="E53" t="str">
            <v>92026.png</v>
          </cell>
          <cell r="F53">
            <v>4</v>
          </cell>
        </row>
        <row r="54">
          <cell r="A54">
            <v>92255</v>
          </cell>
          <cell r="B54" t="str">
            <v>黑耀项链</v>
          </cell>
          <cell r="C54" t="str">
            <v>给马仔携带，提升马仔属性</v>
          </cell>
          <cell r="D54">
            <v>1</v>
          </cell>
          <cell r="E54" t="str">
            <v>92255.png</v>
          </cell>
          <cell r="F54">
            <v>4</v>
          </cell>
        </row>
        <row r="55">
          <cell r="A55">
            <v>92297</v>
          </cell>
          <cell r="B55" t="str">
            <v>翠绿之心</v>
          </cell>
          <cell r="C55" t="str">
            <v>给马仔携带，提升马仔属性</v>
          </cell>
          <cell r="D55">
            <v>1</v>
          </cell>
          <cell r="E55" t="str">
            <v>92297.png</v>
          </cell>
          <cell r="F55">
            <v>4</v>
          </cell>
        </row>
        <row r="56">
          <cell r="A56">
            <v>92293</v>
          </cell>
          <cell r="B56" t="str">
            <v>珍珠宝盒</v>
          </cell>
          <cell r="C56" t="str">
            <v>给马仔携带，提升马仔属性</v>
          </cell>
          <cell r="D56">
            <v>1</v>
          </cell>
          <cell r="E56" t="str">
            <v>92293.png</v>
          </cell>
          <cell r="F56">
            <v>4</v>
          </cell>
        </row>
        <row r="57">
          <cell r="A57">
            <v>92294</v>
          </cell>
          <cell r="B57" t="str">
            <v>古董宝盒</v>
          </cell>
          <cell r="C57" t="str">
            <v>给马仔携带，提升马仔属性</v>
          </cell>
          <cell r="D57">
            <v>1</v>
          </cell>
          <cell r="E57" t="str">
            <v>92294.png</v>
          </cell>
          <cell r="F57">
            <v>4</v>
          </cell>
        </row>
        <row r="58">
          <cell r="A58">
            <v>92295</v>
          </cell>
          <cell r="B58" t="str">
            <v>水晶宝盒</v>
          </cell>
          <cell r="C58" t="str">
            <v>给马仔携带，提升马仔属性</v>
          </cell>
          <cell r="D58">
            <v>1</v>
          </cell>
          <cell r="E58" t="str">
            <v>92295.png</v>
          </cell>
          <cell r="F58">
            <v>4</v>
          </cell>
        </row>
        <row r="59">
          <cell r="A59">
            <v>92262</v>
          </cell>
          <cell r="B59" t="str">
            <v>皇家项链</v>
          </cell>
          <cell r="C59" t="str">
            <v>给马仔携带，提升马仔属性</v>
          </cell>
          <cell r="D59">
            <v>1</v>
          </cell>
          <cell r="E59" t="str">
            <v>92262.png</v>
          </cell>
          <cell r="F59">
            <v>4</v>
          </cell>
        </row>
        <row r="60">
          <cell r="A60">
            <v>92298</v>
          </cell>
          <cell r="B60" t="str">
            <v>海洋之泪</v>
          </cell>
          <cell r="C60" t="str">
            <v>给马仔携带，提升马仔属性</v>
          </cell>
          <cell r="D60">
            <v>1</v>
          </cell>
          <cell r="E60" t="str">
            <v>92298.png</v>
          </cell>
          <cell r="F60">
            <v>4</v>
          </cell>
        </row>
        <row r="61">
          <cell r="A61">
            <v>92276</v>
          </cell>
          <cell r="B61" t="str">
            <v>壕利手表</v>
          </cell>
          <cell r="C61" t="str">
            <v>给马仔携带，提升马仔属性</v>
          </cell>
          <cell r="D61">
            <v>1</v>
          </cell>
          <cell r="E61" t="str">
            <v>92276.png</v>
          </cell>
          <cell r="F61">
            <v>4</v>
          </cell>
        </row>
        <row r="62">
          <cell r="A62">
            <v>92282</v>
          </cell>
          <cell r="B62" t="str">
            <v>劳莱斯特</v>
          </cell>
          <cell r="C62" t="str">
            <v>给马仔携带，提升马仔属性</v>
          </cell>
          <cell r="D62">
            <v>1</v>
          </cell>
          <cell r="E62" t="str">
            <v>92282.png</v>
          </cell>
          <cell r="F62">
            <v>4</v>
          </cell>
        </row>
        <row r="63">
          <cell r="A63">
            <v>92299</v>
          </cell>
          <cell r="B63" t="str">
            <v>房产证</v>
          </cell>
          <cell r="C63" t="str">
            <v>给马仔携带，提升马仔属性</v>
          </cell>
          <cell r="D63">
            <v>1</v>
          </cell>
          <cell r="E63" t="str">
            <v>92299.png</v>
          </cell>
          <cell r="F63">
            <v>4</v>
          </cell>
        </row>
        <row r="64">
          <cell r="A64">
            <v>92291</v>
          </cell>
          <cell r="B64" t="str">
            <v>巨量金块</v>
          </cell>
          <cell r="C64" t="str">
            <v>给马仔携带，提升马仔属性</v>
          </cell>
          <cell r="D64">
            <v>1</v>
          </cell>
          <cell r="E64" t="str">
            <v>92291.png</v>
          </cell>
          <cell r="F64">
            <v>4</v>
          </cell>
        </row>
        <row r="65">
          <cell r="A65">
            <v>93233</v>
          </cell>
          <cell r="B65" t="str">
            <v>白金手环碎片</v>
          </cell>
          <cell r="C65" t="str">
            <v>合成白金手环碎片的必备材料</v>
          </cell>
          <cell r="D65">
            <v>2</v>
          </cell>
          <cell r="E65" t="str">
            <v>92233.png</v>
          </cell>
          <cell r="F65">
            <v>1</v>
          </cell>
        </row>
        <row r="66">
          <cell r="A66">
            <v>93122</v>
          </cell>
          <cell r="B66" t="str">
            <v>银饰耳钉碎片</v>
          </cell>
          <cell r="C66" t="str">
            <v>合成银饰耳钉碎片的必备材料</v>
          </cell>
          <cell r="D66">
            <v>2</v>
          </cell>
          <cell r="E66" t="str">
            <v>92122.png</v>
          </cell>
          <cell r="F66">
            <v>1</v>
          </cell>
        </row>
        <row r="67">
          <cell r="A67">
            <v>93141</v>
          </cell>
          <cell r="B67" t="str">
            <v>白银戒指碎片</v>
          </cell>
          <cell r="C67" t="str">
            <v>合成白银戒指碎片的必备材料</v>
          </cell>
          <cell r="D67">
            <v>2</v>
          </cell>
          <cell r="E67" t="str">
            <v>92141.png</v>
          </cell>
          <cell r="F67">
            <v>1</v>
          </cell>
        </row>
        <row r="68">
          <cell r="A68">
            <v>93245</v>
          </cell>
          <cell r="B68" t="str">
            <v>水晶项链碎片</v>
          </cell>
          <cell r="C68" t="str">
            <v>合成水晶项链碎片的必备材料</v>
          </cell>
          <cell r="D68">
            <v>2</v>
          </cell>
          <cell r="E68" t="str">
            <v>92245.png</v>
          </cell>
          <cell r="F68">
            <v>1</v>
          </cell>
        </row>
        <row r="69">
          <cell r="A69">
            <v>93251</v>
          </cell>
          <cell r="B69" t="str">
            <v>红石项链碎片</v>
          </cell>
          <cell r="C69" t="str">
            <v>合成红石项链碎片的必备材料</v>
          </cell>
          <cell r="D69">
            <v>2</v>
          </cell>
          <cell r="E69" t="str">
            <v>92251.png</v>
          </cell>
          <cell r="F69">
            <v>1</v>
          </cell>
        </row>
        <row r="70">
          <cell r="A70">
            <v>93264</v>
          </cell>
          <cell r="B70" t="str">
            <v>越野手表碎片</v>
          </cell>
          <cell r="C70" t="str">
            <v>合成越野手表碎片的必备材料</v>
          </cell>
          <cell r="D70">
            <v>2</v>
          </cell>
          <cell r="E70" t="str">
            <v>92264.png</v>
          </cell>
          <cell r="F70">
            <v>1</v>
          </cell>
        </row>
        <row r="71">
          <cell r="A71">
            <v>93271</v>
          </cell>
          <cell r="B71" t="str">
            <v>精准手表碎片</v>
          </cell>
          <cell r="C71" t="str">
            <v>合成精准手表碎片的必备材料</v>
          </cell>
          <cell r="D71">
            <v>2</v>
          </cell>
          <cell r="E71" t="str">
            <v>92271.png</v>
          </cell>
          <cell r="F71">
            <v>1</v>
          </cell>
        </row>
        <row r="72">
          <cell r="A72">
            <v>93278</v>
          </cell>
          <cell r="B72" t="str">
            <v>宝驼碎片</v>
          </cell>
          <cell r="C72" t="str">
            <v>合成宝驼碎片的必备材料</v>
          </cell>
          <cell r="D72">
            <v>2</v>
          </cell>
          <cell r="E72" t="str">
            <v>92278.png</v>
          </cell>
          <cell r="F72">
            <v>1</v>
          </cell>
        </row>
        <row r="73">
          <cell r="A73">
            <v>93283</v>
          </cell>
          <cell r="B73" t="str">
            <v>小迭钞票碎片</v>
          </cell>
          <cell r="C73" t="str">
            <v>合成小迭钞票碎片的必备材料</v>
          </cell>
          <cell r="D73">
            <v>2</v>
          </cell>
          <cell r="E73" t="str">
            <v>92283.png</v>
          </cell>
          <cell r="F73">
            <v>1</v>
          </cell>
        </row>
        <row r="74">
          <cell r="A74">
            <v>93287</v>
          </cell>
          <cell r="B74" t="str">
            <v>金块碎片</v>
          </cell>
          <cell r="C74" t="str">
            <v>合成金块碎片的必备材料</v>
          </cell>
          <cell r="D74">
            <v>2</v>
          </cell>
          <cell r="E74" t="str">
            <v>92287.png</v>
          </cell>
          <cell r="F74">
            <v>1</v>
          </cell>
        </row>
        <row r="75">
          <cell r="A75">
            <v>93142</v>
          </cell>
          <cell r="B75" t="str">
            <v>黄金戒指碎片</v>
          </cell>
          <cell r="C75" t="str">
            <v>合成黄金戒指碎片的必备材料</v>
          </cell>
          <cell r="D75">
            <v>2</v>
          </cell>
          <cell r="E75" t="str">
            <v>92142.png</v>
          </cell>
          <cell r="F75">
            <v>2</v>
          </cell>
        </row>
        <row r="76">
          <cell r="A76">
            <v>93235</v>
          </cell>
          <cell r="B76" t="str">
            <v>宝石手环碎片</v>
          </cell>
          <cell r="C76" t="str">
            <v>合成宝石手环碎片的必备材料</v>
          </cell>
          <cell r="D76">
            <v>2</v>
          </cell>
          <cell r="E76" t="str">
            <v>92235.png</v>
          </cell>
          <cell r="F76">
            <v>2</v>
          </cell>
        </row>
        <row r="77">
          <cell r="A77">
            <v>93012</v>
          </cell>
          <cell r="B77" t="str">
            <v>摩拉碎片</v>
          </cell>
          <cell r="C77" t="str">
            <v>合成月立的必备材料</v>
          </cell>
          <cell r="D77">
            <v>2</v>
          </cell>
          <cell r="E77" t="str">
            <v>92012.png</v>
          </cell>
          <cell r="F77">
            <v>2</v>
          </cell>
        </row>
        <row r="78">
          <cell r="A78">
            <v>93252</v>
          </cell>
          <cell r="B78" t="str">
            <v>青玉项链碎片</v>
          </cell>
          <cell r="C78" t="str">
            <v>合成红石项链的必备材料</v>
          </cell>
          <cell r="D78">
            <v>2</v>
          </cell>
          <cell r="E78" t="str">
            <v>92252.png</v>
          </cell>
          <cell r="F78">
            <v>2</v>
          </cell>
        </row>
        <row r="79">
          <cell r="A79">
            <v>93124</v>
          </cell>
          <cell r="B79" t="str">
            <v>水晶耳钉碎片</v>
          </cell>
          <cell r="C79" t="str">
            <v>合成精准手表的必备材料</v>
          </cell>
          <cell r="D79">
            <v>2</v>
          </cell>
          <cell r="E79" t="str">
            <v>92124.png</v>
          </cell>
          <cell r="F79">
            <v>2</v>
          </cell>
        </row>
        <row r="80">
          <cell r="A80">
            <v>93272</v>
          </cell>
          <cell r="B80" t="str">
            <v>金针手表碎片</v>
          </cell>
          <cell r="C80" t="str">
            <v>合成苍蓝项链的必备材料</v>
          </cell>
          <cell r="D80">
            <v>2</v>
          </cell>
          <cell r="E80" t="str">
            <v>92272.png</v>
          </cell>
          <cell r="F80">
            <v>2</v>
          </cell>
        </row>
        <row r="81">
          <cell r="A81">
            <v>93273</v>
          </cell>
          <cell r="B81" t="str">
            <v>智能手表碎片</v>
          </cell>
          <cell r="C81" t="str">
            <v>合成贵族项链的必备材料</v>
          </cell>
          <cell r="D81">
            <v>2</v>
          </cell>
          <cell r="E81" t="str">
            <v>92273.png</v>
          </cell>
          <cell r="F81">
            <v>2</v>
          </cell>
        </row>
        <row r="82">
          <cell r="A82">
            <v>93279</v>
          </cell>
          <cell r="B82" t="str">
            <v>宾倪碎片</v>
          </cell>
          <cell r="C82" t="str">
            <v>合成王者手环的必备材料</v>
          </cell>
          <cell r="D82">
            <v>2</v>
          </cell>
          <cell r="E82" t="str">
            <v>92279.png</v>
          </cell>
          <cell r="F82">
            <v>2</v>
          </cell>
        </row>
        <row r="83">
          <cell r="A83">
            <v>93284</v>
          </cell>
          <cell r="B83" t="str">
            <v>大迭钞票碎片</v>
          </cell>
          <cell r="C83" t="str">
            <v>合成小迭钞票的必备材料</v>
          </cell>
          <cell r="D83">
            <v>2</v>
          </cell>
          <cell r="E83" t="str">
            <v>92284.png</v>
          </cell>
          <cell r="F83">
            <v>2</v>
          </cell>
        </row>
        <row r="84">
          <cell r="A84">
            <v>93288</v>
          </cell>
          <cell r="B84" t="str">
            <v>大金块碎片</v>
          </cell>
          <cell r="C84" t="str">
            <v>合成金块的必备材料</v>
          </cell>
          <cell r="D84">
            <v>2</v>
          </cell>
          <cell r="E84" t="str">
            <v>92288.png</v>
          </cell>
          <cell r="F84">
            <v>2</v>
          </cell>
        </row>
        <row r="85">
          <cell r="A85">
            <v>93125</v>
          </cell>
          <cell r="B85" t="str">
            <v>红石耳钉碎片</v>
          </cell>
          <cell r="C85" t="str">
            <v>合成大迭钞票的必备材料</v>
          </cell>
          <cell r="D85">
            <v>2</v>
          </cell>
          <cell r="E85" t="str">
            <v>92125.png</v>
          </cell>
          <cell r="F85">
            <v>3</v>
          </cell>
        </row>
        <row r="86">
          <cell r="A86">
            <v>93134</v>
          </cell>
          <cell r="B86" t="str">
            <v>毒蝎耳钉碎片</v>
          </cell>
          <cell r="C86" t="str">
            <v>合成汉密手表的必备材料</v>
          </cell>
          <cell r="D86">
            <v>2</v>
          </cell>
          <cell r="E86" t="str">
            <v>92134.png</v>
          </cell>
          <cell r="F86">
            <v>3</v>
          </cell>
        </row>
        <row r="87">
          <cell r="A87">
            <v>93223</v>
          </cell>
          <cell r="B87" t="str">
            <v>赤金戒指碎片</v>
          </cell>
          <cell r="C87" t="str">
            <v>合成深蓝的必备材料</v>
          </cell>
          <cell r="D87">
            <v>2</v>
          </cell>
          <cell r="E87" t="str">
            <v>92223.png</v>
          </cell>
          <cell r="F87">
            <v>3</v>
          </cell>
        </row>
        <row r="88">
          <cell r="A88">
            <v>93227</v>
          </cell>
          <cell r="B88" t="str">
            <v>王者手环碎片</v>
          </cell>
          <cell r="C88" t="str">
            <v>合成星光红石的必备材料</v>
          </cell>
          <cell r="D88">
            <v>2</v>
          </cell>
          <cell r="E88" t="str">
            <v>92227.png</v>
          </cell>
          <cell r="F88">
            <v>3</v>
          </cell>
        </row>
        <row r="89">
          <cell r="A89">
            <v>93236</v>
          </cell>
          <cell r="B89" t="str">
            <v>符文手环碎片</v>
          </cell>
          <cell r="C89" t="str">
            <v>合成符文手环的必备材料</v>
          </cell>
          <cell r="D89">
            <v>2</v>
          </cell>
          <cell r="E89" t="str">
            <v>92236.png</v>
          </cell>
          <cell r="F89">
            <v>3</v>
          </cell>
        </row>
        <row r="90">
          <cell r="A90">
            <v>93013</v>
          </cell>
          <cell r="B90" t="str">
            <v>月立碎片</v>
          </cell>
          <cell r="C90" t="str">
            <v>合成赤金戒指的必备材料</v>
          </cell>
          <cell r="D90">
            <v>2</v>
          </cell>
          <cell r="E90" t="str">
            <v>92013.png</v>
          </cell>
          <cell r="F90">
            <v>3</v>
          </cell>
        </row>
        <row r="91">
          <cell r="A91">
            <v>93253</v>
          </cell>
          <cell r="B91" t="str">
            <v>猫妖项链碎片</v>
          </cell>
          <cell r="C91" t="str">
            <v>合成法拉捷的必备材料</v>
          </cell>
          <cell r="D91">
            <v>2</v>
          </cell>
          <cell r="E91" t="str">
            <v>92253.png</v>
          </cell>
          <cell r="F91">
            <v>3</v>
          </cell>
        </row>
        <row r="92">
          <cell r="A92">
            <v>93254</v>
          </cell>
          <cell r="B92" t="str">
            <v>苍蓝项链碎片</v>
          </cell>
          <cell r="C92" t="str">
            <v>合成圣徒项链的必备材料</v>
          </cell>
          <cell r="D92">
            <v>2</v>
          </cell>
          <cell r="E92" t="str">
            <v>92254.png</v>
          </cell>
          <cell r="F92">
            <v>3</v>
          </cell>
        </row>
        <row r="93">
          <cell r="A93">
            <v>93274</v>
          </cell>
          <cell r="B93" t="str">
            <v>汉密手表碎片</v>
          </cell>
          <cell r="C93" t="str">
            <v>合成小堆金块的必备材料</v>
          </cell>
          <cell r="D93">
            <v>2</v>
          </cell>
          <cell r="E93" t="str">
            <v>92274.png</v>
          </cell>
          <cell r="F93">
            <v>3</v>
          </cell>
        </row>
        <row r="94">
          <cell r="A94">
            <v>93280</v>
          </cell>
          <cell r="B94" t="str">
            <v>法拉捷碎片</v>
          </cell>
          <cell r="C94" t="str">
            <v>合成红石耳钉的必备材料</v>
          </cell>
          <cell r="D94">
            <v>2</v>
          </cell>
          <cell r="E94" t="str">
            <v>92280.png</v>
          </cell>
          <cell r="F94">
            <v>3</v>
          </cell>
        </row>
        <row r="95">
          <cell r="A95">
            <v>93285</v>
          </cell>
          <cell r="B95" t="str">
            <v>大堆钞票碎片</v>
          </cell>
          <cell r="C95" t="str">
            <v>合成金饰宝盒的必备材料</v>
          </cell>
          <cell r="D95">
            <v>2</v>
          </cell>
          <cell r="E95" t="str">
            <v>92285.png</v>
          </cell>
          <cell r="F95">
            <v>3</v>
          </cell>
        </row>
        <row r="96">
          <cell r="A96">
            <v>93289</v>
          </cell>
          <cell r="B96" t="str">
            <v>小堆金块碎片</v>
          </cell>
          <cell r="C96" t="str">
            <v>合成千国手表的必备材料</v>
          </cell>
          <cell r="D96">
            <v>2</v>
          </cell>
          <cell r="E96" t="str">
            <v>92289.png</v>
          </cell>
          <cell r="F96">
            <v>3</v>
          </cell>
        </row>
        <row r="97">
          <cell r="A97">
            <v>93014</v>
          </cell>
          <cell r="B97" t="str">
            <v>菠萝碎片</v>
          </cell>
          <cell r="C97" t="str">
            <v>合成冬利的必备材料</v>
          </cell>
          <cell r="D97">
            <v>2</v>
          </cell>
          <cell r="E97" t="str">
            <v>92014.png</v>
          </cell>
          <cell r="F97">
            <v>4</v>
          </cell>
        </row>
        <row r="98">
          <cell r="A98">
            <v>93296</v>
          </cell>
          <cell r="B98" t="str">
            <v>星光红石碎片</v>
          </cell>
          <cell r="C98" t="str">
            <v>合成大金块的必备材料</v>
          </cell>
          <cell r="D98">
            <v>2</v>
          </cell>
          <cell r="E98" t="str">
            <v>92296.png</v>
          </cell>
          <cell r="F98">
            <v>4</v>
          </cell>
        </row>
        <row r="99">
          <cell r="A99">
            <v>93240</v>
          </cell>
          <cell r="B99" t="str">
            <v>苍蓝戒指碎片</v>
          </cell>
          <cell r="C99" t="str">
            <v>合成菠萝的必备材料</v>
          </cell>
          <cell r="D99">
            <v>2</v>
          </cell>
          <cell r="E99" t="str">
            <v>92240.png</v>
          </cell>
          <cell r="F99">
            <v>4</v>
          </cell>
        </row>
        <row r="100">
          <cell r="A100">
            <v>93292</v>
          </cell>
          <cell r="B100" t="str">
            <v>金饰宝盒碎片</v>
          </cell>
          <cell r="C100" t="str">
            <v>合成大堆钞票的必备材料</v>
          </cell>
          <cell r="D100">
            <v>2</v>
          </cell>
          <cell r="E100" t="str">
            <v>92292.png</v>
          </cell>
          <cell r="F100">
            <v>4</v>
          </cell>
        </row>
        <row r="101">
          <cell r="A101">
            <v>93256</v>
          </cell>
          <cell r="B101" t="str">
            <v>圣徒项链碎片</v>
          </cell>
          <cell r="C101" t="str">
            <v>合成宾倪的必备材料</v>
          </cell>
          <cell r="D101">
            <v>2</v>
          </cell>
          <cell r="E101" t="str">
            <v>92256.png</v>
          </cell>
          <cell r="F101">
            <v>4</v>
          </cell>
        </row>
        <row r="102">
          <cell r="A102">
            <v>93261</v>
          </cell>
          <cell r="B102" t="str">
            <v>贵族项链碎片</v>
          </cell>
          <cell r="C102" t="str">
            <v>合成智能手表的必备材料</v>
          </cell>
          <cell r="D102">
            <v>2</v>
          </cell>
          <cell r="E102" t="str">
            <v>92261.png</v>
          </cell>
          <cell r="F102">
            <v>4</v>
          </cell>
        </row>
        <row r="103">
          <cell r="A103">
            <v>93275</v>
          </cell>
          <cell r="B103" t="str">
            <v>千国手表碎片</v>
          </cell>
          <cell r="C103" t="str">
            <v>合成宝驼的必备材料</v>
          </cell>
          <cell r="D103">
            <v>2</v>
          </cell>
          <cell r="E103" t="str">
            <v>92275.png</v>
          </cell>
          <cell r="F103">
            <v>4</v>
          </cell>
        </row>
        <row r="104">
          <cell r="A104">
            <v>93281</v>
          </cell>
          <cell r="B104" t="str">
            <v>红博机利碎片</v>
          </cell>
          <cell r="C104" t="str">
            <v>合成黑耀项链的必备材料</v>
          </cell>
          <cell r="D104">
            <v>2</v>
          </cell>
          <cell r="E104" t="str">
            <v>92281.png</v>
          </cell>
          <cell r="F104">
            <v>4</v>
          </cell>
        </row>
        <row r="105">
          <cell r="A105">
            <v>93286</v>
          </cell>
          <cell r="B105" t="str">
            <v>巨额钞票碎片</v>
          </cell>
          <cell r="C105" t="str">
            <v>合成珍珠宝盒的必备材料</v>
          </cell>
          <cell r="D105">
            <v>2</v>
          </cell>
          <cell r="E105" t="str">
            <v>92286.png</v>
          </cell>
          <cell r="F105">
            <v>4</v>
          </cell>
        </row>
        <row r="106">
          <cell r="A106">
            <v>93290</v>
          </cell>
          <cell r="B106" t="str">
            <v>大堆金块碎片</v>
          </cell>
          <cell r="C106" t="str">
            <v>合成宝石手环的必备材料</v>
          </cell>
          <cell r="D106">
            <v>2</v>
          </cell>
          <cell r="E106" t="str">
            <v>92290.png</v>
          </cell>
          <cell r="F106">
            <v>4</v>
          </cell>
        </row>
        <row r="107">
          <cell r="A107">
            <v>93026</v>
          </cell>
          <cell r="B107" t="str">
            <v>深蓝碎片</v>
          </cell>
          <cell r="C107" t="str">
            <v>合成红博机利的必备材料</v>
          </cell>
          <cell r="D107">
            <v>2</v>
          </cell>
          <cell r="E107" t="str">
            <v>92026.png</v>
          </cell>
          <cell r="F107">
            <v>4</v>
          </cell>
        </row>
        <row r="108">
          <cell r="A108">
            <v>93255</v>
          </cell>
          <cell r="B108" t="str">
            <v>黑耀项链碎片</v>
          </cell>
          <cell r="C108" t="str">
            <v>合成皇家项链的必备材料</v>
          </cell>
          <cell r="D108">
            <v>2</v>
          </cell>
          <cell r="E108" t="str">
            <v>92255.png</v>
          </cell>
          <cell r="F108">
            <v>4</v>
          </cell>
        </row>
        <row r="109">
          <cell r="A109">
            <v>93297</v>
          </cell>
          <cell r="B109" t="str">
            <v>翠绿之心碎片</v>
          </cell>
          <cell r="C109" t="str">
            <v>合成壕利手表的必备材料</v>
          </cell>
          <cell r="D109">
            <v>2</v>
          </cell>
          <cell r="E109" t="str">
            <v>92297.png</v>
          </cell>
          <cell r="F109">
            <v>4</v>
          </cell>
        </row>
        <row r="110">
          <cell r="A110">
            <v>93293</v>
          </cell>
          <cell r="B110" t="str">
            <v>珍珠宝盒碎片</v>
          </cell>
          <cell r="C110" t="str">
            <v>合成大堆金块的必备材料</v>
          </cell>
          <cell r="D110">
            <v>2</v>
          </cell>
          <cell r="E110" t="str">
            <v>92293.png</v>
          </cell>
          <cell r="F110">
            <v>4</v>
          </cell>
        </row>
        <row r="111">
          <cell r="A111">
            <v>93294</v>
          </cell>
          <cell r="B111" t="str">
            <v>古董宝盒碎片</v>
          </cell>
          <cell r="C111" t="str">
            <v>合成劳莱斯特的必备材料</v>
          </cell>
          <cell r="D111">
            <v>2</v>
          </cell>
          <cell r="E111" t="str">
            <v>92294.png</v>
          </cell>
          <cell r="F111">
            <v>4</v>
          </cell>
        </row>
        <row r="112">
          <cell r="A112">
            <v>93295</v>
          </cell>
          <cell r="B112" t="str">
            <v>水晶宝盒碎片</v>
          </cell>
          <cell r="C112" t="str">
            <v>合成翠绿之心的必备材料</v>
          </cell>
          <cell r="D112">
            <v>2</v>
          </cell>
          <cell r="E112" t="str">
            <v>92295.png</v>
          </cell>
          <cell r="F112">
            <v>4</v>
          </cell>
        </row>
        <row r="113">
          <cell r="A113">
            <v>93262</v>
          </cell>
          <cell r="B113" t="str">
            <v>皇家项链碎片</v>
          </cell>
          <cell r="C113" t="str">
            <v>合成巨额钞票的必备材料</v>
          </cell>
          <cell r="D113">
            <v>2</v>
          </cell>
          <cell r="E113" t="str">
            <v>92262.png</v>
          </cell>
          <cell r="F113">
            <v>4</v>
          </cell>
        </row>
        <row r="114">
          <cell r="A114">
            <v>93298</v>
          </cell>
          <cell r="B114" t="str">
            <v>海洋之泪碎片</v>
          </cell>
          <cell r="C114" t="str">
            <v>合成古董宝盒的必备材料</v>
          </cell>
          <cell r="D114">
            <v>2</v>
          </cell>
          <cell r="E114" t="str">
            <v>92298.png</v>
          </cell>
          <cell r="F114">
            <v>4</v>
          </cell>
        </row>
        <row r="115">
          <cell r="A115">
            <v>93276</v>
          </cell>
          <cell r="B115" t="str">
            <v>壕利手表碎片</v>
          </cell>
          <cell r="C115" t="str">
            <v>合成海洋之泪的必备材料</v>
          </cell>
          <cell r="D115">
            <v>2</v>
          </cell>
          <cell r="E115" t="str">
            <v>92276.png</v>
          </cell>
          <cell r="F115">
            <v>4</v>
          </cell>
        </row>
        <row r="116">
          <cell r="A116">
            <v>93282</v>
          </cell>
          <cell r="B116" t="str">
            <v>劳莱斯特碎片</v>
          </cell>
          <cell r="C116" t="str">
            <v>合成巨量金块的必备材料</v>
          </cell>
          <cell r="D116">
            <v>2</v>
          </cell>
          <cell r="E116" t="str">
            <v>92282.png</v>
          </cell>
          <cell r="F116">
            <v>4</v>
          </cell>
        </row>
        <row r="117">
          <cell r="A117">
            <v>93299</v>
          </cell>
          <cell r="B117" t="str">
            <v>房产证碎片</v>
          </cell>
          <cell r="C117" t="str">
            <v>合成水晶宝盒的必备材料</v>
          </cell>
          <cell r="D117">
            <v>2</v>
          </cell>
          <cell r="E117" t="str">
            <v>92299.png</v>
          </cell>
          <cell r="F117">
            <v>4</v>
          </cell>
        </row>
        <row r="118">
          <cell r="A118">
            <v>93291</v>
          </cell>
          <cell r="B118" t="str">
            <v>巨量金块碎片</v>
          </cell>
          <cell r="C118" t="str">
            <v>合成房产证的必备材料</v>
          </cell>
          <cell r="D118">
            <v>2</v>
          </cell>
          <cell r="E118" t="str">
            <v>92291.png</v>
          </cell>
          <cell r="F118">
            <v>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竞技场商城"/>
      <sheetName val="D_竞技场奖励"/>
      <sheetName val="D_每日排名结算"/>
      <sheetName val="D_历史最高排名奖励"/>
      <sheetName val="D_机器人"/>
      <sheetName val="机器人辅助表"/>
      <sheetName val="D_竞技场压制"/>
    </sheetNames>
    <sheetDataSet>
      <sheetData sheetId="0">
        <row r="2">
          <cell r="D2" t="str">
            <v>马仔碎片(司徒浩南)</v>
          </cell>
          <cell r="H2"/>
        </row>
        <row r="3">
          <cell r="D3" t="str">
            <v>幸运戒指</v>
          </cell>
          <cell r="H3">
            <v>200</v>
          </cell>
        </row>
        <row r="4">
          <cell r="D4" t="str">
            <v>亚诺</v>
          </cell>
          <cell r="H4">
            <v>400</v>
          </cell>
        </row>
        <row r="5">
          <cell r="D5" t="str">
            <v>银色手环</v>
          </cell>
          <cell r="H5">
            <v>600</v>
          </cell>
        </row>
        <row r="6">
          <cell r="D6" t="str">
            <v>鎏金手环</v>
          </cell>
          <cell r="H6">
            <v>800</v>
          </cell>
        </row>
        <row r="7">
          <cell r="D7" t="str">
            <v>镀金耳钉</v>
          </cell>
          <cell r="H7">
            <v>1000</v>
          </cell>
        </row>
        <row r="8">
          <cell r="D8" t="str">
            <v>诅咒项链</v>
          </cell>
          <cell r="H8">
            <v>1200</v>
          </cell>
        </row>
        <row r="9">
          <cell r="D9" t="str">
            <v>金饰项链</v>
          </cell>
          <cell r="H9">
            <v>1400</v>
          </cell>
        </row>
        <row r="10">
          <cell r="D10" t="str">
            <v>银针手表</v>
          </cell>
          <cell r="H10">
            <v>1600</v>
          </cell>
        </row>
        <row r="11">
          <cell r="D11" t="str">
            <v>冬利</v>
          </cell>
          <cell r="H11">
            <v>1800</v>
          </cell>
        </row>
        <row r="12">
          <cell r="D12" t="str">
            <v>白金手环碎片</v>
          </cell>
          <cell r="H12">
            <v>2000</v>
          </cell>
        </row>
        <row r="13">
          <cell r="D13" t="str">
            <v>银饰耳钉碎片</v>
          </cell>
          <cell r="H13">
            <v>2200</v>
          </cell>
        </row>
        <row r="14">
          <cell r="D14" t="str">
            <v>白银戒指碎片</v>
          </cell>
          <cell r="H14">
            <v>2400</v>
          </cell>
        </row>
        <row r="15">
          <cell r="D15" t="str">
            <v>水晶项链碎片</v>
          </cell>
          <cell r="H15">
            <v>2600</v>
          </cell>
        </row>
        <row r="16">
          <cell r="D16" t="str">
            <v>红石项链碎片</v>
          </cell>
          <cell r="H16">
            <v>2800</v>
          </cell>
        </row>
        <row r="17">
          <cell r="D17" t="str">
            <v>越野手表碎片</v>
          </cell>
          <cell r="H17">
            <v>3000</v>
          </cell>
        </row>
        <row r="18">
          <cell r="D18" t="str">
            <v>精准手表碎片</v>
          </cell>
          <cell r="H18">
            <v>3200</v>
          </cell>
        </row>
        <row r="19">
          <cell r="D19" t="str">
            <v>宝驼碎片</v>
          </cell>
          <cell r="H19">
            <v>3400</v>
          </cell>
        </row>
        <row r="20">
          <cell r="D20" t="str">
            <v>小迭钞票碎片</v>
          </cell>
          <cell r="H20">
            <v>3600</v>
          </cell>
        </row>
        <row r="21">
          <cell r="D21" t="str">
            <v>金块碎片</v>
          </cell>
          <cell r="H21">
            <v>3800</v>
          </cell>
        </row>
        <row r="22">
          <cell r="D22" t="str">
            <v>白金手环碎片</v>
          </cell>
          <cell r="H22">
            <v>3960</v>
          </cell>
        </row>
        <row r="23">
          <cell r="D23" t="str">
            <v>银饰耳钉碎片</v>
          </cell>
          <cell r="H23">
            <v>4120</v>
          </cell>
        </row>
        <row r="24">
          <cell r="D24" t="str">
            <v>白银戒指碎片</v>
          </cell>
          <cell r="H24">
            <v>4280</v>
          </cell>
        </row>
        <row r="25">
          <cell r="D25" t="str">
            <v>水晶项链碎片</v>
          </cell>
          <cell r="H25">
            <v>4440</v>
          </cell>
        </row>
        <row r="26">
          <cell r="D26" t="str">
            <v>红石项链碎片</v>
          </cell>
          <cell r="H26">
            <v>4600</v>
          </cell>
        </row>
        <row r="27">
          <cell r="D27" t="str">
            <v>越野手表碎片</v>
          </cell>
          <cell r="H27">
            <v>4760</v>
          </cell>
        </row>
        <row r="28">
          <cell r="D28" t="str">
            <v>精准手表碎片</v>
          </cell>
          <cell r="H28">
            <v>4920</v>
          </cell>
        </row>
        <row r="29">
          <cell r="D29" t="str">
            <v>宝驼碎片</v>
          </cell>
          <cell r="H29">
            <v>5080</v>
          </cell>
        </row>
        <row r="30">
          <cell r="D30" t="str">
            <v>小迭钞票碎片</v>
          </cell>
          <cell r="H30">
            <v>5240</v>
          </cell>
        </row>
        <row r="31">
          <cell r="D31" t="str">
            <v>金块碎片</v>
          </cell>
          <cell r="H31">
            <v>5400</v>
          </cell>
        </row>
        <row r="32">
          <cell r="D32" t="str">
            <v>黄金戒指碎片</v>
          </cell>
          <cell r="H32">
            <v>3900</v>
          </cell>
        </row>
        <row r="33">
          <cell r="D33" t="str">
            <v>宝石手环碎片</v>
          </cell>
          <cell r="H33">
            <v>4000</v>
          </cell>
        </row>
        <row r="34">
          <cell r="D34" t="str">
            <v>摩拉碎片</v>
          </cell>
          <cell r="H34">
            <v>4100</v>
          </cell>
        </row>
        <row r="35">
          <cell r="D35" t="str">
            <v>青玉项链碎片</v>
          </cell>
          <cell r="H35">
            <v>4200</v>
          </cell>
        </row>
        <row r="36">
          <cell r="D36" t="str">
            <v>水晶耳钉碎片</v>
          </cell>
          <cell r="H36">
            <v>4300</v>
          </cell>
        </row>
        <row r="37">
          <cell r="D37" t="str">
            <v>金针手表碎片</v>
          </cell>
          <cell r="H37">
            <v>4400</v>
          </cell>
        </row>
        <row r="38">
          <cell r="D38" t="str">
            <v>智能手表碎片</v>
          </cell>
          <cell r="H38">
            <v>4500</v>
          </cell>
        </row>
        <row r="39">
          <cell r="D39" t="str">
            <v>宾倪碎片</v>
          </cell>
          <cell r="H39">
            <v>4600</v>
          </cell>
        </row>
        <row r="40">
          <cell r="D40" t="str">
            <v>大迭钞票碎片</v>
          </cell>
          <cell r="H40">
            <v>4700</v>
          </cell>
        </row>
        <row r="41">
          <cell r="D41" t="str">
            <v>大金块碎片</v>
          </cell>
          <cell r="H41">
            <v>4800</v>
          </cell>
        </row>
        <row r="42">
          <cell r="D42" t="str">
            <v>黄金戒指碎片</v>
          </cell>
          <cell r="H42">
            <v>4880</v>
          </cell>
        </row>
        <row r="43">
          <cell r="D43" t="str">
            <v>宝石手环碎片</v>
          </cell>
          <cell r="H43">
            <v>4960</v>
          </cell>
        </row>
        <row r="44">
          <cell r="D44" t="str">
            <v>摩拉碎片</v>
          </cell>
          <cell r="H44">
            <v>5040</v>
          </cell>
        </row>
        <row r="45">
          <cell r="D45" t="str">
            <v>青玉项链碎片</v>
          </cell>
          <cell r="H45">
            <v>5120</v>
          </cell>
        </row>
        <row r="46">
          <cell r="D46" t="str">
            <v>水晶耳钉碎片</v>
          </cell>
          <cell r="H46">
            <v>5200</v>
          </cell>
        </row>
        <row r="47">
          <cell r="D47" t="str">
            <v>金针手表碎片</v>
          </cell>
          <cell r="H47">
            <v>5280</v>
          </cell>
        </row>
        <row r="48">
          <cell r="D48" t="str">
            <v>智能手表碎片</v>
          </cell>
          <cell r="H48">
            <v>5360</v>
          </cell>
        </row>
        <row r="49">
          <cell r="D49" t="str">
            <v>宾倪碎片</v>
          </cell>
          <cell r="H49">
            <v>5440</v>
          </cell>
        </row>
        <row r="50">
          <cell r="D50" t="str">
            <v>大迭钞票碎片</v>
          </cell>
          <cell r="H50">
            <v>5520</v>
          </cell>
        </row>
        <row r="51">
          <cell r="D51" t="str">
            <v>大金块碎片</v>
          </cell>
          <cell r="H51">
            <v>5600</v>
          </cell>
        </row>
        <row r="52">
          <cell r="D52" t="str">
            <v>红石耳钉碎片</v>
          </cell>
          <cell r="H52">
            <v>5650</v>
          </cell>
        </row>
        <row r="53">
          <cell r="D53" t="str">
            <v>毒蝎耳钉碎片</v>
          </cell>
          <cell r="H53">
            <v>5700</v>
          </cell>
        </row>
        <row r="54">
          <cell r="D54" t="str">
            <v>赤金戒指碎片</v>
          </cell>
          <cell r="H54">
            <v>5750</v>
          </cell>
        </row>
        <row r="55">
          <cell r="D55" t="str">
            <v>王者手环碎片</v>
          </cell>
          <cell r="H55">
            <v>5800</v>
          </cell>
        </row>
        <row r="56">
          <cell r="D56" t="str">
            <v>符文手环碎片</v>
          </cell>
          <cell r="H56">
            <v>5850</v>
          </cell>
        </row>
        <row r="57">
          <cell r="D57" t="str">
            <v>月立碎片</v>
          </cell>
          <cell r="H57">
            <v>5900</v>
          </cell>
        </row>
        <row r="58">
          <cell r="D58" t="str">
            <v>猫妖项链碎片</v>
          </cell>
          <cell r="H58">
            <v>5950</v>
          </cell>
        </row>
        <row r="59">
          <cell r="D59" t="str">
            <v>苍蓝项链碎片</v>
          </cell>
          <cell r="H59">
            <v>6000</v>
          </cell>
        </row>
        <row r="60">
          <cell r="D60" t="str">
            <v>汉密手表碎片</v>
          </cell>
          <cell r="H60">
            <v>6050</v>
          </cell>
        </row>
        <row r="61">
          <cell r="D61" t="str">
            <v>法拉捷碎片</v>
          </cell>
          <cell r="H61">
            <v>6100</v>
          </cell>
        </row>
        <row r="62">
          <cell r="D62" t="str">
            <v>大堆钞票碎片</v>
          </cell>
          <cell r="H62">
            <v>6150</v>
          </cell>
        </row>
        <row r="63">
          <cell r="D63" t="str">
            <v>小堆金块碎片</v>
          </cell>
          <cell r="H63">
            <v>6200</v>
          </cell>
        </row>
        <row r="64">
          <cell r="D64" t="str">
            <v>红石耳钉碎片</v>
          </cell>
          <cell r="H64">
            <v>6240</v>
          </cell>
        </row>
        <row r="65">
          <cell r="D65" t="str">
            <v>毒蝎耳钉碎片</v>
          </cell>
          <cell r="H65">
            <v>6280</v>
          </cell>
        </row>
        <row r="66">
          <cell r="D66" t="str">
            <v>赤金戒指碎片</v>
          </cell>
          <cell r="H66">
            <v>6320</v>
          </cell>
        </row>
        <row r="67">
          <cell r="D67" t="str">
            <v>王者手环碎片</v>
          </cell>
          <cell r="H67">
            <v>6360</v>
          </cell>
        </row>
        <row r="68">
          <cell r="D68" t="str">
            <v>符文手环碎片</v>
          </cell>
          <cell r="H68">
            <v>6400</v>
          </cell>
        </row>
        <row r="69">
          <cell r="D69" t="str">
            <v>月立碎片</v>
          </cell>
          <cell r="H69">
            <v>6440</v>
          </cell>
        </row>
        <row r="70">
          <cell r="D70" t="str">
            <v>猫妖项链碎片</v>
          </cell>
          <cell r="H70">
            <v>6480</v>
          </cell>
        </row>
        <row r="71">
          <cell r="D71" t="str">
            <v>苍蓝项链碎片</v>
          </cell>
          <cell r="H71">
            <v>6520</v>
          </cell>
        </row>
        <row r="72">
          <cell r="D72" t="str">
            <v>汉密手表碎片</v>
          </cell>
          <cell r="H72">
            <v>6560</v>
          </cell>
        </row>
        <row r="73">
          <cell r="D73" t="str">
            <v>法拉捷碎片</v>
          </cell>
          <cell r="H73">
            <v>6600</v>
          </cell>
        </row>
        <row r="74">
          <cell r="D74" t="str">
            <v>大堆钞票碎片</v>
          </cell>
          <cell r="H74">
            <v>6640</v>
          </cell>
        </row>
        <row r="75">
          <cell r="D75" t="str">
            <v>小堆金块碎片</v>
          </cell>
          <cell r="H75">
            <v>6680</v>
          </cell>
        </row>
        <row r="76">
          <cell r="D76" t="str">
            <v>初级升星石</v>
          </cell>
          <cell r="H76">
            <v>6680</v>
          </cell>
        </row>
        <row r="77">
          <cell r="D77" t="str">
            <v>中级升星石</v>
          </cell>
          <cell r="H77">
            <v>6880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公会等级表"/>
      <sheetName val="D_公会职务表"/>
      <sheetName val="D_公会ICON表"/>
      <sheetName val="D_公会工坊表"/>
      <sheetName val="D_公会技能表"/>
      <sheetName val="D_工坊技能描述表"/>
      <sheetName val="工坊技能图标"/>
      <sheetName val="D_公会商店"/>
      <sheetName val="D_捐献表"/>
      <sheetName val="公会经济估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D2" t="str">
            <v>技能升级石</v>
          </cell>
        </row>
        <row r="3">
          <cell r="D3" t="str">
            <v>马仔碎片(耀阳)</v>
          </cell>
        </row>
        <row r="4">
          <cell r="D4" t="str">
            <v>幸运戒指</v>
          </cell>
          <cell r="H4">
            <v>200</v>
          </cell>
        </row>
        <row r="5">
          <cell r="D5" t="str">
            <v>亚诺</v>
          </cell>
          <cell r="H5">
            <v>400</v>
          </cell>
        </row>
        <row r="6">
          <cell r="D6" t="str">
            <v>银色手环</v>
          </cell>
          <cell r="H6">
            <v>600</v>
          </cell>
        </row>
        <row r="7">
          <cell r="D7" t="str">
            <v>鎏金手环</v>
          </cell>
          <cell r="H7">
            <v>800</v>
          </cell>
        </row>
        <row r="8">
          <cell r="D8" t="str">
            <v>镀金耳钉</v>
          </cell>
          <cell r="H8">
            <v>1000</v>
          </cell>
        </row>
        <row r="9">
          <cell r="D9" t="str">
            <v>诅咒项链</v>
          </cell>
          <cell r="H9">
            <v>1200</v>
          </cell>
        </row>
        <row r="10">
          <cell r="D10" t="str">
            <v>金饰项链</v>
          </cell>
          <cell r="H10">
            <v>1400</v>
          </cell>
        </row>
        <row r="11">
          <cell r="D11" t="str">
            <v>银针手表</v>
          </cell>
          <cell r="H11">
            <v>1600</v>
          </cell>
        </row>
        <row r="12">
          <cell r="D12" t="str">
            <v>冬利</v>
          </cell>
          <cell r="H12">
            <v>1800</v>
          </cell>
        </row>
        <row r="13">
          <cell r="D13" t="str">
            <v>白金手环碎片</v>
          </cell>
          <cell r="H13">
            <v>2000</v>
          </cell>
        </row>
        <row r="14">
          <cell r="D14" t="str">
            <v>银饰耳钉碎片</v>
          </cell>
          <cell r="H14">
            <v>2200</v>
          </cell>
        </row>
        <row r="15">
          <cell r="D15" t="str">
            <v>白银戒指碎片</v>
          </cell>
          <cell r="H15">
            <v>2400</v>
          </cell>
        </row>
        <row r="16">
          <cell r="D16" t="str">
            <v>水晶项链碎片</v>
          </cell>
          <cell r="H16">
            <v>2600</v>
          </cell>
        </row>
        <row r="17">
          <cell r="D17" t="str">
            <v>红石项链碎片</v>
          </cell>
          <cell r="H17">
            <v>2800</v>
          </cell>
        </row>
        <row r="18">
          <cell r="D18" t="str">
            <v>越野手表碎片</v>
          </cell>
          <cell r="H18">
            <v>3000</v>
          </cell>
        </row>
        <row r="19">
          <cell r="D19" t="str">
            <v>精准手表碎片</v>
          </cell>
          <cell r="H19">
            <v>3200</v>
          </cell>
        </row>
        <row r="20">
          <cell r="D20" t="str">
            <v>宝驼碎片</v>
          </cell>
          <cell r="H20">
            <v>3400</v>
          </cell>
        </row>
        <row r="21">
          <cell r="D21" t="str">
            <v>小迭钞票碎片</v>
          </cell>
          <cell r="H21">
            <v>3600</v>
          </cell>
        </row>
        <row r="22">
          <cell r="D22" t="str">
            <v>金块碎片</v>
          </cell>
          <cell r="H22">
            <v>3800</v>
          </cell>
        </row>
        <row r="23">
          <cell r="D23" t="str">
            <v>白金手环碎片</v>
          </cell>
          <cell r="H23">
            <v>3960</v>
          </cell>
        </row>
        <row r="24">
          <cell r="D24" t="str">
            <v>银饰耳钉碎片</v>
          </cell>
          <cell r="H24">
            <v>4120</v>
          </cell>
        </row>
        <row r="25">
          <cell r="D25" t="str">
            <v>白银戒指碎片</v>
          </cell>
          <cell r="H25">
            <v>4280</v>
          </cell>
        </row>
        <row r="26">
          <cell r="D26" t="str">
            <v>水晶项链碎片</v>
          </cell>
          <cell r="H26">
            <v>4440</v>
          </cell>
        </row>
        <row r="27">
          <cell r="D27" t="str">
            <v>红石项链碎片</v>
          </cell>
          <cell r="H27">
            <v>4600</v>
          </cell>
        </row>
        <row r="28">
          <cell r="D28" t="str">
            <v>越野手表碎片</v>
          </cell>
          <cell r="H28">
            <v>4760</v>
          </cell>
        </row>
        <row r="29">
          <cell r="D29" t="str">
            <v>精准手表碎片</v>
          </cell>
          <cell r="H29">
            <v>4920</v>
          </cell>
        </row>
        <row r="30">
          <cell r="D30" t="str">
            <v>宝驼碎片</v>
          </cell>
          <cell r="H30">
            <v>5080</v>
          </cell>
        </row>
        <row r="31">
          <cell r="D31" t="str">
            <v>小迭钞票碎片</v>
          </cell>
          <cell r="H31">
            <v>5240</v>
          </cell>
        </row>
        <row r="32">
          <cell r="D32" t="str">
            <v>金块碎片</v>
          </cell>
          <cell r="H32">
            <v>5400</v>
          </cell>
        </row>
        <row r="33">
          <cell r="D33" t="str">
            <v>黄金戒指碎片</v>
          </cell>
          <cell r="H33">
            <v>5500</v>
          </cell>
        </row>
        <row r="34">
          <cell r="D34" t="str">
            <v>宝石手环碎片</v>
          </cell>
          <cell r="H34">
            <v>5600</v>
          </cell>
        </row>
        <row r="35">
          <cell r="D35" t="str">
            <v>摩拉碎片</v>
          </cell>
          <cell r="H35">
            <v>5700</v>
          </cell>
        </row>
        <row r="36">
          <cell r="D36" t="str">
            <v>青玉项链碎片</v>
          </cell>
          <cell r="H36">
            <v>5800</v>
          </cell>
        </row>
        <row r="37">
          <cell r="D37" t="str">
            <v>水晶耳钉碎片</v>
          </cell>
          <cell r="H37">
            <v>5900</v>
          </cell>
        </row>
        <row r="38">
          <cell r="D38" t="str">
            <v>金针手表碎片</v>
          </cell>
          <cell r="H38">
            <v>6000</v>
          </cell>
        </row>
        <row r="39">
          <cell r="D39" t="str">
            <v>智能手表碎片</v>
          </cell>
          <cell r="H39">
            <v>6100</v>
          </cell>
        </row>
        <row r="40">
          <cell r="D40" t="str">
            <v>宾倪碎片</v>
          </cell>
          <cell r="H40">
            <v>6200</v>
          </cell>
        </row>
        <row r="41">
          <cell r="D41" t="str">
            <v>大迭钞票碎片</v>
          </cell>
          <cell r="H41">
            <v>6300</v>
          </cell>
        </row>
        <row r="42">
          <cell r="D42" t="str">
            <v>大金块碎片</v>
          </cell>
          <cell r="H42">
            <v>6400</v>
          </cell>
        </row>
        <row r="43">
          <cell r="D43" t="str">
            <v>黄金戒指碎片</v>
          </cell>
          <cell r="H43">
            <v>6480</v>
          </cell>
        </row>
        <row r="44">
          <cell r="D44" t="str">
            <v>宝石手环碎片</v>
          </cell>
          <cell r="H44">
            <v>6560</v>
          </cell>
        </row>
        <row r="45">
          <cell r="D45" t="str">
            <v>摩拉碎片</v>
          </cell>
          <cell r="H45">
            <v>6640</v>
          </cell>
        </row>
        <row r="46">
          <cell r="D46" t="str">
            <v>青玉项链碎片</v>
          </cell>
          <cell r="H46">
            <v>6720</v>
          </cell>
        </row>
        <row r="47">
          <cell r="D47" t="str">
            <v>水晶耳钉碎片</v>
          </cell>
          <cell r="H47">
            <v>6800</v>
          </cell>
        </row>
        <row r="48">
          <cell r="D48" t="str">
            <v>金针手表碎片</v>
          </cell>
          <cell r="H48">
            <v>6880</v>
          </cell>
        </row>
        <row r="49">
          <cell r="D49" t="str">
            <v>智能手表碎片</v>
          </cell>
          <cell r="H49">
            <v>6960</v>
          </cell>
        </row>
        <row r="50">
          <cell r="D50" t="str">
            <v>宾倪碎片</v>
          </cell>
          <cell r="H50">
            <v>7040</v>
          </cell>
        </row>
        <row r="51">
          <cell r="D51" t="str">
            <v>大迭钞票碎片</v>
          </cell>
          <cell r="H51">
            <v>7120</v>
          </cell>
        </row>
        <row r="52">
          <cell r="D52" t="str">
            <v>大金块碎片</v>
          </cell>
          <cell r="H52">
            <v>7200</v>
          </cell>
        </row>
        <row r="53">
          <cell r="D53" t="str">
            <v>红石耳钉碎片</v>
          </cell>
          <cell r="H53">
            <v>7250</v>
          </cell>
        </row>
        <row r="54">
          <cell r="D54" t="str">
            <v>毒蝎耳钉碎片</v>
          </cell>
          <cell r="H54">
            <v>7300</v>
          </cell>
        </row>
        <row r="55">
          <cell r="D55" t="str">
            <v>赤金戒指碎片</v>
          </cell>
          <cell r="H55">
            <v>7350</v>
          </cell>
        </row>
        <row r="56">
          <cell r="D56" t="str">
            <v>王者手环碎片</v>
          </cell>
          <cell r="H56">
            <v>7400</v>
          </cell>
        </row>
        <row r="57">
          <cell r="D57" t="str">
            <v>符文手环碎片</v>
          </cell>
          <cell r="H57">
            <v>7450</v>
          </cell>
        </row>
        <row r="58">
          <cell r="D58" t="str">
            <v>月立碎片</v>
          </cell>
          <cell r="H58">
            <v>7500</v>
          </cell>
        </row>
        <row r="59">
          <cell r="D59" t="str">
            <v>猫妖项链碎片</v>
          </cell>
          <cell r="H59">
            <v>7550</v>
          </cell>
        </row>
        <row r="60">
          <cell r="D60" t="str">
            <v>苍蓝项链碎片</v>
          </cell>
          <cell r="H60">
            <v>7600</v>
          </cell>
        </row>
        <row r="61">
          <cell r="D61" t="str">
            <v>汉密手表碎片</v>
          </cell>
          <cell r="H61">
            <v>7650</v>
          </cell>
        </row>
        <row r="62">
          <cell r="D62" t="str">
            <v>法拉捷碎片</v>
          </cell>
          <cell r="H62">
            <v>7700</v>
          </cell>
        </row>
        <row r="63">
          <cell r="D63" t="str">
            <v>大堆钞票碎片</v>
          </cell>
          <cell r="H63">
            <v>7750</v>
          </cell>
        </row>
        <row r="64">
          <cell r="D64" t="str">
            <v>小堆金块碎片</v>
          </cell>
          <cell r="H64">
            <v>7800</v>
          </cell>
        </row>
        <row r="65">
          <cell r="D65" t="str">
            <v>红石耳钉碎片</v>
          </cell>
          <cell r="H65">
            <v>7840</v>
          </cell>
        </row>
        <row r="66">
          <cell r="D66" t="str">
            <v>毒蝎耳钉碎片</v>
          </cell>
          <cell r="H66">
            <v>7880</v>
          </cell>
        </row>
        <row r="67">
          <cell r="D67" t="str">
            <v>赤金戒指碎片</v>
          </cell>
          <cell r="H67">
            <v>7920</v>
          </cell>
        </row>
        <row r="68">
          <cell r="D68" t="str">
            <v>王者手环碎片</v>
          </cell>
          <cell r="H68">
            <v>7960</v>
          </cell>
        </row>
        <row r="69">
          <cell r="D69" t="str">
            <v>符文手环碎片</v>
          </cell>
          <cell r="H69">
            <v>8000</v>
          </cell>
        </row>
        <row r="70">
          <cell r="D70" t="str">
            <v>月立碎片</v>
          </cell>
          <cell r="H70">
            <v>8040</v>
          </cell>
        </row>
        <row r="71">
          <cell r="D71" t="str">
            <v>猫妖项链碎片</v>
          </cell>
          <cell r="H71">
            <v>8080</v>
          </cell>
        </row>
        <row r="72">
          <cell r="D72" t="str">
            <v>苍蓝项链碎片</v>
          </cell>
          <cell r="H72">
            <v>8120</v>
          </cell>
        </row>
        <row r="73">
          <cell r="D73" t="str">
            <v>汉密手表碎片</v>
          </cell>
          <cell r="H73">
            <v>8160</v>
          </cell>
        </row>
        <row r="74">
          <cell r="D74" t="str">
            <v>法拉捷碎片</v>
          </cell>
          <cell r="H74">
            <v>8200</v>
          </cell>
        </row>
        <row r="75">
          <cell r="D75" t="str">
            <v>大堆钞票碎片</v>
          </cell>
          <cell r="H75">
            <v>8240</v>
          </cell>
        </row>
        <row r="76">
          <cell r="D76" t="str">
            <v>小堆金块碎片</v>
          </cell>
          <cell r="H76">
            <v>8280</v>
          </cell>
        </row>
      </sheetData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装备基础数据"/>
      <sheetName val="D_装备升级表"/>
      <sheetName val="D_装备强化数据"/>
      <sheetName val="D_装备金币参考表"/>
      <sheetName val="D_装备升星数据"/>
      <sheetName val="D_装备分解表"/>
      <sheetName val="定义数据"/>
      <sheetName val="装备属性计算表"/>
      <sheetName val="强化辅助表"/>
      <sheetName val="升星辅助表"/>
      <sheetName val="升星消耗"/>
      <sheetName val="价值&amp;消耗"/>
    </sheetNames>
    <sheetDataSet>
      <sheetData sheetId="0" refreshError="1"/>
      <sheetData sheetId="1">
        <row r="55">
          <cell r="O55">
            <v>85200</v>
          </cell>
          <cell r="P55">
            <v>36</v>
          </cell>
        </row>
        <row r="56">
          <cell r="O56">
            <v>85200</v>
          </cell>
          <cell r="P56">
            <v>32</v>
          </cell>
        </row>
        <row r="57">
          <cell r="O57">
            <v>85200</v>
          </cell>
          <cell r="P57">
            <v>12</v>
          </cell>
        </row>
        <row r="58">
          <cell r="O58">
            <v>85200</v>
          </cell>
          <cell r="P58">
            <v>15</v>
          </cell>
        </row>
        <row r="59">
          <cell r="O59">
            <v>85200</v>
          </cell>
          <cell r="P59">
            <v>12</v>
          </cell>
        </row>
        <row r="60">
          <cell r="O60">
            <v>85200</v>
          </cell>
          <cell r="P60">
            <v>22</v>
          </cell>
        </row>
        <row r="63">
          <cell r="O63">
            <v>85300</v>
          </cell>
          <cell r="P63">
            <v>24</v>
          </cell>
        </row>
        <row r="64">
          <cell r="O64">
            <v>85300</v>
          </cell>
          <cell r="P64">
            <v>21</v>
          </cell>
        </row>
        <row r="65">
          <cell r="O65">
            <v>85300</v>
          </cell>
          <cell r="P65">
            <v>8</v>
          </cell>
        </row>
        <row r="66">
          <cell r="O66">
            <v>85300</v>
          </cell>
          <cell r="P66">
            <v>10</v>
          </cell>
        </row>
        <row r="67">
          <cell r="O67">
            <v>85300</v>
          </cell>
          <cell r="P67">
            <v>9</v>
          </cell>
        </row>
        <row r="68">
          <cell r="O68">
            <v>85300</v>
          </cell>
          <cell r="P68">
            <v>15</v>
          </cell>
        </row>
        <row r="71">
          <cell r="O71">
            <v>85400</v>
          </cell>
          <cell r="P71">
            <v>23</v>
          </cell>
        </row>
        <row r="72">
          <cell r="O72">
            <v>85400</v>
          </cell>
          <cell r="P72">
            <v>19</v>
          </cell>
        </row>
        <row r="73">
          <cell r="O73">
            <v>85400</v>
          </cell>
          <cell r="P73">
            <v>8</v>
          </cell>
        </row>
        <row r="74">
          <cell r="O74">
            <v>85400</v>
          </cell>
          <cell r="P74">
            <v>10</v>
          </cell>
        </row>
        <row r="75">
          <cell r="O75">
            <v>85400</v>
          </cell>
          <cell r="P75">
            <v>9</v>
          </cell>
        </row>
        <row r="76">
          <cell r="O76">
            <v>85400</v>
          </cell>
          <cell r="P76">
            <v>14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B3"/>
  <sheetViews>
    <sheetView workbookViewId="0">
      <selection activeCell="K6" sqref="K6"/>
    </sheetView>
  </sheetViews>
  <sheetFormatPr defaultRowHeight="13.5"/>
  <sheetData>
    <row r="1" spans="1:2">
      <c r="A1" t="s">
        <v>7</v>
      </c>
      <c r="B1" t="s">
        <v>8</v>
      </c>
    </row>
    <row r="2" spans="1:2">
      <c r="A2">
        <v>1</v>
      </c>
      <c r="B2">
        <v>10</v>
      </c>
    </row>
    <row r="3" spans="1:2">
      <c r="A3">
        <v>2</v>
      </c>
      <c r="B3">
        <v>15</v>
      </c>
    </row>
  </sheetData>
  <phoneticPr fontId="1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Y89"/>
  <sheetViews>
    <sheetView tabSelected="1" workbookViewId="0">
      <pane xSplit="4" ySplit="1" topLeftCell="E2" activePane="bottomRight" state="frozenSplit"/>
      <selection pane="topRight" activeCell="E1" sqref="E1"/>
      <selection pane="bottomLeft" activeCell="A2" sqref="A2"/>
      <selection pane="bottomRight" activeCell="J88" sqref="J88"/>
    </sheetView>
  </sheetViews>
  <sheetFormatPr defaultColWidth="16.875" defaultRowHeight="13.5"/>
  <cols>
    <col min="1" max="1" width="5.5" bestFit="1" customWidth="1"/>
    <col min="2" max="2" width="7.5" bestFit="1" customWidth="1"/>
    <col min="3" max="3" width="11.625" bestFit="1" customWidth="1"/>
    <col min="4" max="4" width="18.375" bestFit="1" customWidth="1"/>
    <col min="5" max="5" width="5.5" bestFit="1" customWidth="1"/>
    <col min="6" max="6" width="9.5" bestFit="1" customWidth="1"/>
    <col min="7" max="7" width="5.5" bestFit="1" customWidth="1"/>
    <col min="8" max="8" width="5.25" bestFit="1" customWidth="1"/>
    <col min="9" max="9" width="5.5" customWidth="1"/>
    <col min="10" max="10" width="5.5" bestFit="1" customWidth="1"/>
    <col min="11" max="11" width="7.5" bestFit="1" customWidth="1"/>
    <col min="12" max="12" width="7.5" customWidth="1"/>
    <col min="13" max="14" width="16.125" bestFit="1" customWidth="1"/>
    <col min="15" max="15" width="8.5" bestFit="1" customWidth="1"/>
    <col min="16" max="16" width="11.625" bestFit="1" customWidth="1"/>
    <col min="17" max="18" width="7.625" customWidth="1"/>
    <col min="19" max="19" width="9.5" customWidth="1"/>
    <col min="20" max="20" width="9.5" style="1" customWidth="1"/>
    <col min="21" max="21" width="8.5" bestFit="1" customWidth="1"/>
    <col min="22" max="22" width="6.875" style="1" customWidth="1"/>
    <col min="23" max="23" width="7.25" customWidth="1"/>
    <col min="24" max="24" width="8.75" customWidth="1"/>
    <col min="25" max="25" width="7.125" bestFit="1" customWidth="1"/>
  </cols>
  <sheetData>
    <row r="1" spans="1:25">
      <c r="A1" t="s">
        <v>0</v>
      </c>
      <c r="B1" t="s">
        <v>33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117</v>
      </c>
      <c r="J1" s="3" t="s">
        <v>9</v>
      </c>
      <c r="K1" s="3" t="s">
        <v>13</v>
      </c>
      <c r="L1" s="3"/>
      <c r="M1" s="3" t="s">
        <v>10</v>
      </c>
      <c r="N1" s="3" t="s">
        <v>11</v>
      </c>
      <c r="O1" s="3" t="s">
        <v>12</v>
      </c>
      <c r="P1" s="3" t="s">
        <v>44</v>
      </c>
      <c r="Q1" s="3" t="s">
        <v>102</v>
      </c>
      <c r="R1" s="3"/>
      <c r="S1" t="s">
        <v>54</v>
      </c>
      <c r="V1" t="s">
        <v>45</v>
      </c>
      <c r="X1" t="s">
        <v>69</v>
      </c>
      <c r="Y1" t="s">
        <v>70</v>
      </c>
    </row>
    <row r="2" spans="1:25">
      <c r="A2">
        <v>1</v>
      </c>
      <c r="B2">
        <v>0</v>
      </c>
      <c r="C2" s="48">
        <v>92233</v>
      </c>
      <c r="D2" s="4" t="str">
        <f>IFERROR(VLOOKUP(C2,[1]引用表合并!$A$2:$B$1000,2,FALSE),"")</f>
        <v>白金手环</v>
      </c>
      <c r="E2">
        <v>1</v>
      </c>
      <c r="F2">
        <v>80</v>
      </c>
      <c r="G2">
        <v>0</v>
      </c>
      <c r="H2">
        <f>ROUNDUP(ROUNDUP(VLOOKUP(C2,[2]!游戏物价查询,7,FALSE)*P2,0)*E2*$V$5,0)</f>
        <v>23</v>
      </c>
      <c r="I2">
        <f>IF(P2=0,ROUNDUP(VLOOKUP(C2,[2]!游戏物价查询,7,FALSE)*$V$3*E2/$V$4,0),0)</f>
        <v>0</v>
      </c>
      <c r="J2">
        <v>0</v>
      </c>
      <c r="K2">
        <f>ROUNDUP(H2*$V$2,0)</f>
        <v>12</v>
      </c>
      <c r="M2">
        <v>1</v>
      </c>
      <c r="N2">
        <v>100</v>
      </c>
      <c r="O2">
        <v>0</v>
      </c>
      <c r="P2">
        <v>1</v>
      </c>
      <c r="Q2">
        <f>VLOOKUP(C2,[2]!游戏物价查询,4,0)</f>
        <v>382</v>
      </c>
      <c r="R2">
        <f>SUM($F$2:F2)</f>
        <v>80</v>
      </c>
      <c r="S2" s="17">
        <f t="shared" ref="S2:S33" si="0">IF(F2&lt;0,1,F2/SUMIF(F:F,"&gt;0"))</f>
        <v>1.5655577299412915E-2</v>
      </c>
      <c r="T2" s="17"/>
      <c r="U2" s="4" t="s">
        <v>118</v>
      </c>
      <c r="V2" s="4">
        <v>0.5</v>
      </c>
    </row>
    <row r="3" spans="1:25">
      <c r="A3">
        <v>2</v>
      </c>
      <c r="B3">
        <v>0</v>
      </c>
      <c r="C3" s="48">
        <v>92122</v>
      </c>
      <c r="D3" s="4" t="str">
        <f>IFERROR(VLOOKUP(C3,[1]引用表合并!$A$2:$B$1000,2,FALSE),"")</f>
        <v>银饰耳钉</v>
      </c>
      <c r="E3">
        <v>1</v>
      </c>
      <c r="F3">
        <v>80</v>
      </c>
      <c r="G3">
        <v>0</v>
      </c>
      <c r="H3">
        <f>ROUNDUP(ROUNDUP(VLOOKUP(C3,[2]!游戏物价查询,7,FALSE)*P3,0)*E3*$V$5,0)</f>
        <v>23</v>
      </c>
      <c r="I3">
        <f>IF(P3=0,ROUNDUP(VLOOKUP(C3,[2]!游戏物价查询,7,FALSE)*$V$3*E3/$V$4,0),0)</f>
        <v>0</v>
      </c>
      <c r="J3">
        <v>0</v>
      </c>
      <c r="K3">
        <f t="shared" ref="K3:K66" si="1">ROUNDUP(H3*$V$2,0)</f>
        <v>12</v>
      </c>
      <c r="M3">
        <v>1</v>
      </c>
      <c r="N3">
        <v>100</v>
      </c>
      <c r="O3">
        <v>0</v>
      </c>
      <c r="P3">
        <v>1</v>
      </c>
      <c r="Q3">
        <f>VLOOKUP(C3,[2]!游戏物价查询,4,0)</f>
        <v>362</v>
      </c>
      <c r="R3">
        <f>SUM($F$2:F3)</f>
        <v>160</v>
      </c>
      <c r="S3" s="17">
        <f t="shared" si="0"/>
        <v>1.5655577299412915E-2</v>
      </c>
      <c r="T3" s="17"/>
      <c r="U3" s="4" t="s">
        <v>119</v>
      </c>
      <c r="V3" s="4">
        <v>1</v>
      </c>
      <c r="W3">
        <f>SUMIF(I:I,"&gt;0",S:S)</f>
        <v>0.38199608610567509</v>
      </c>
    </row>
    <row r="4" spans="1:25">
      <c r="A4">
        <v>3</v>
      </c>
      <c r="B4">
        <v>0</v>
      </c>
      <c r="C4" s="48">
        <v>92141</v>
      </c>
      <c r="D4" s="4" t="str">
        <f>IFERROR(VLOOKUP(C4,[1]引用表合并!$A$2:$B$1000,2,FALSE),"")</f>
        <v>白银戒指</v>
      </c>
      <c r="E4">
        <v>1</v>
      </c>
      <c r="F4">
        <v>80</v>
      </c>
      <c r="G4">
        <v>0</v>
      </c>
      <c r="H4">
        <f>ROUNDUP(ROUNDUP(VLOOKUP(C4,[2]!游戏物价查询,7,FALSE)*P4,0)*E4*$V$5,0)</f>
        <v>23</v>
      </c>
      <c r="I4">
        <f>IF(P4=0,ROUNDUP(VLOOKUP(C4,[2]!游戏物价查询,7,FALSE)*$V$3*E4/$V$4,0),0)</f>
        <v>0</v>
      </c>
      <c r="J4">
        <v>0</v>
      </c>
      <c r="K4">
        <f t="shared" si="1"/>
        <v>12</v>
      </c>
      <c r="M4">
        <v>1</v>
      </c>
      <c r="N4">
        <v>100</v>
      </c>
      <c r="O4">
        <v>0</v>
      </c>
      <c r="P4">
        <v>1</v>
      </c>
      <c r="Q4">
        <f>VLOOKUP(C4,[2]!游戏物价查询,4,0)</f>
        <v>381</v>
      </c>
      <c r="R4">
        <f>SUM($F$2:F4)</f>
        <v>240</v>
      </c>
      <c r="S4" s="17">
        <f t="shared" si="0"/>
        <v>1.5655577299412915E-2</v>
      </c>
      <c r="T4" s="17"/>
      <c r="U4" s="4" t="s">
        <v>131</v>
      </c>
      <c r="V4" s="20">
        <v>10</v>
      </c>
    </row>
    <row r="5" spans="1:25">
      <c r="A5">
        <v>4</v>
      </c>
      <c r="B5">
        <v>0</v>
      </c>
      <c r="C5" s="48">
        <v>92245</v>
      </c>
      <c r="D5" s="4" t="str">
        <f>IFERROR(VLOOKUP(C5,[1]引用表合并!$A$2:$B$1000,2,FALSE),"")</f>
        <v>水晶项链</v>
      </c>
      <c r="E5">
        <v>1</v>
      </c>
      <c r="F5">
        <v>80</v>
      </c>
      <c r="G5">
        <v>0</v>
      </c>
      <c r="H5">
        <f>ROUNDUP(ROUNDUP(VLOOKUP(C5,[2]!游戏物价查询,7,FALSE)*P5,0)*E5*$V$5,0)</f>
        <v>23</v>
      </c>
      <c r="I5">
        <f>IF(P5=0,ROUNDUP(VLOOKUP(C5,[2]!游戏物价查询,7,FALSE)*$V$3*E5/$V$4,0),0)</f>
        <v>0</v>
      </c>
      <c r="J5">
        <v>0</v>
      </c>
      <c r="K5">
        <f t="shared" si="1"/>
        <v>12</v>
      </c>
      <c r="M5">
        <v>1</v>
      </c>
      <c r="N5">
        <v>100</v>
      </c>
      <c r="O5">
        <v>0</v>
      </c>
      <c r="P5">
        <v>1</v>
      </c>
      <c r="Q5">
        <f>VLOOKUP(C5,[2]!游戏物价查询,4,0)</f>
        <v>276</v>
      </c>
      <c r="R5">
        <f>SUM($F$2:F5)</f>
        <v>320</v>
      </c>
      <c r="S5" s="17">
        <f t="shared" si="0"/>
        <v>1.5655577299412915E-2</v>
      </c>
      <c r="T5" s="17"/>
      <c r="U5" s="4" t="s">
        <v>145</v>
      </c>
      <c r="V5" s="20">
        <v>1.5</v>
      </c>
    </row>
    <row r="6" spans="1:25">
      <c r="A6">
        <v>5</v>
      </c>
      <c r="B6">
        <v>0</v>
      </c>
      <c r="C6" s="48">
        <v>92251</v>
      </c>
      <c r="D6" s="4" t="str">
        <f>IFERROR(VLOOKUP(C6,[1]引用表合并!$A$2:$B$1000,2,FALSE),"")</f>
        <v>红石项链</v>
      </c>
      <c r="E6">
        <v>1</v>
      </c>
      <c r="F6">
        <v>80</v>
      </c>
      <c r="G6">
        <v>0</v>
      </c>
      <c r="H6">
        <f>ROUNDUP(ROUNDUP(VLOOKUP(C6,[2]!游戏物价查询,7,FALSE)*P6,0)*E6*$V$5,0)</f>
        <v>23</v>
      </c>
      <c r="I6">
        <f>IF(P6=0,ROUNDUP(VLOOKUP(C6,[2]!游戏物价查询,7,FALSE)*$V$3*E6/$V$4,0),0)</f>
        <v>0</v>
      </c>
      <c r="J6">
        <v>0</v>
      </c>
      <c r="K6">
        <f t="shared" si="1"/>
        <v>12</v>
      </c>
      <c r="M6">
        <v>1</v>
      </c>
      <c r="N6">
        <v>100</v>
      </c>
      <c r="O6">
        <v>0</v>
      </c>
      <c r="P6">
        <v>1</v>
      </c>
      <c r="Q6">
        <f>VLOOKUP(C6,[2]!游戏物价查询,4,0)</f>
        <v>469</v>
      </c>
      <c r="R6">
        <f>SUM($F$2:F6)</f>
        <v>400</v>
      </c>
      <c r="S6" s="17">
        <f t="shared" si="0"/>
        <v>1.5655577299412915E-2</v>
      </c>
      <c r="T6" s="17"/>
    </row>
    <row r="7" spans="1:25">
      <c r="A7">
        <v>6</v>
      </c>
      <c r="B7">
        <v>0</v>
      </c>
      <c r="C7" s="48">
        <v>92264</v>
      </c>
      <c r="D7" s="4" t="str">
        <f>IFERROR(VLOOKUP(C7,[1]引用表合并!$A$2:$B$1000,2,FALSE),"")</f>
        <v>越野手表</v>
      </c>
      <c r="E7">
        <v>1</v>
      </c>
      <c r="F7">
        <v>80</v>
      </c>
      <c r="G7">
        <v>0</v>
      </c>
      <c r="H7">
        <f>ROUNDUP(ROUNDUP(VLOOKUP(C7,[2]!游戏物价查询,7,FALSE)*P7,0)*E7*$V$5,0)</f>
        <v>23</v>
      </c>
      <c r="I7">
        <f>IF(P7=0,ROUNDUP(VLOOKUP(C7,[2]!游戏物价查询,7,FALSE)*$V$3*E7/$V$4,0),0)</f>
        <v>0</v>
      </c>
      <c r="J7">
        <v>0</v>
      </c>
      <c r="K7">
        <f t="shared" si="1"/>
        <v>12</v>
      </c>
      <c r="M7">
        <v>1</v>
      </c>
      <c r="N7">
        <v>100</v>
      </c>
      <c r="O7">
        <v>0</v>
      </c>
      <c r="P7">
        <v>1</v>
      </c>
      <c r="Q7">
        <f>VLOOKUP(C7,[2]!游戏物价查询,4,0)</f>
        <v>204</v>
      </c>
      <c r="R7">
        <f>SUM($F$2:F7)</f>
        <v>480</v>
      </c>
      <c r="S7" s="17">
        <f t="shared" si="0"/>
        <v>1.5655577299412915E-2</v>
      </c>
      <c r="T7" s="17"/>
    </row>
    <row r="8" spans="1:25">
      <c r="A8">
        <v>7</v>
      </c>
      <c r="B8">
        <v>0</v>
      </c>
      <c r="C8" s="48">
        <v>92271</v>
      </c>
      <c r="D8" s="4" t="str">
        <f>IFERROR(VLOOKUP(C8,[1]引用表合并!$A$2:$B$1000,2,FALSE),"")</f>
        <v>精准手表</v>
      </c>
      <c r="E8">
        <v>1</v>
      </c>
      <c r="F8">
        <v>80</v>
      </c>
      <c r="G8">
        <v>0</v>
      </c>
      <c r="H8">
        <f>ROUNDUP(ROUNDUP(VLOOKUP(C8,[2]!游戏物价查询,7,FALSE)*P8,0)*E8*$V$5,0)</f>
        <v>23</v>
      </c>
      <c r="I8">
        <f>IF(P8=0,ROUNDUP(VLOOKUP(C8,[2]!游戏物价查询,7,FALSE)*$V$3*E8/$V$4,0),0)</f>
        <v>0</v>
      </c>
      <c r="J8">
        <v>0</v>
      </c>
      <c r="K8">
        <f t="shared" si="1"/>
        <v>12</v>
      </c>
      <c r="M8">
        <v>1</v>
      </c>
      <c r="N8">
        <v>100</v>
      </c>
      <c r="O8">
        <v>0</v>
      </c>
      <c r="P8">
        <v>1</v>
      </c>
      <c r="Q8">
        <f>VLOOKUP(C8,[2]!游戏物价查询,4,0)</f>
        <v>108</v>
      </c>
      <c r="R8">
        <f>SUM($F$2:F8)</f>
        <v>560</v>
      </c>
      <c r="S8" s="17">
        <f t="shared" si="0"/>
        <v>1.5655577299412915E-2</v>
      </c>
      <c r="T8" s="17"/>
    </row>
    <row r="9" spans="1:25">
      <c r="A9">
        <v>8</v>
      </c>
      <c r="B9">
        <v>0</v>
      </c>
      <c r="C9" s="48">
        <v>92278</v>
      </c>
      <c r="D9" s="4" t="str">
        <f>IFERROR(VLOOKUP(C9,[1]引用表合并!$A$2:$B$1000,2,FALSE),"")</f>
        <v>宝驼</v>
      </c>
      <c r="E9">
        <v>1</v>
      </c>
      <c r="F9">
        <v>80</v>
      </c>
      <c r="G9">
        <v>0</v>
      </c>
      <c r="H9">
        <f>ROUNDUP(ROUNDUP(VLOOKUP(C9,[2]!游戏物价查询,7,FALSE)*P9,0)*E9*$V$5,0)</f>
        <v>23</v>
      </c>
      <c r="I9">
        <f>IF(P9=0,ROUNDUP(VLOOKUP(C9,[2]!游戏物价查询,7,FALSE)*$V$3*E9/$V$4,0),0)</f>
        <v>0</v>
      </c>
      <c r="J9">
        <v>0</v>
      </c>
      <c r="K9">
        <f t="shared" si="1"/>
        <v>12</v>
      </c>
      <c r="M9">
        <v>1</v>
      </c>
      <c r="N9">
        <v>100</v>
      </c>
      <c r="O9">
        <v>0</v>
      </c>
      <c r="P9">
        <v>1</v>
      </c>
      <c r="Q9">
        <f>VLOOKUP(C9,[2]!游戏物价查询,4,0)</f>
        <v>224</v>
      </c>
      <c r="R9">
        <f>SUM($F$2:F9)</f>
        <v>640</v>
      </c>
      <c r="S9" s="17">
        <f t="shared" si="0"/>
        <v>1.5655577299412915E-2</v>
      </c>
      <c r="T9" s="17"/>
    </row>
    <row r="10" spans="1:25">
      <c r="A10">
        <v>9</v>
      </c>
      <c r="B10">
        <v>0</v>
      </c>
      <c r="C10" s="48">
        <v>92283</v>
      </c>
      <c r="D10" s="4" t="str">
        <f>IFERROR(VLOOKUP(C10,[1]引用表合并!$A$2:$B$1000,2,FALSE),"")</f>
        <v>小迭钞票</v>
      </c>
      <c r="E10">
        <v>1</v>
      </c>
      <c r="F10">
        <v>80</v>
      </c>
      <c r="G10">
        <v>0</v>
      </c>
      <c r="H10">
        <f>ROUNDUP(ROUNDUP(VLOOKUP(C10,[2]!游戏物价查询,7,FALSE)*P10,0)*E10*$V$5,0)</f>
        <v>23</v>
      </c>
      <c r="I10">
        <f>IF(P10=0,ROUNDUP(VLOOKUP(C10,[2]!游戏物价查询,7,FALSE)*$V$3*E10/$V$4,0),0)</f>
        <v>0</v>
      </c>
      <c r="J10">
        <v>0</v>
      </c>
      <c r="K10">
        <f t="shared" si="1"/>
        <v>12</v>
      </c>
      <c r="M10">
        <v>1</v>
      </c>
      <c r="N10">
        <v>100</v>
      </c>
      <c r="O10">
        <v>0</v>
      </c>
      <c r="P10">
        <v>1</v>
      </c>
      <c r="Q10">
        <f>VLOOKUP(C10,[2]!游戏物价查询,4,0)</f>
        <v>713</v>
      </c>
      <c r="R10">
        <f>SUM($F$2:F10)</f>
        <v>720</v>
      </c>
      <c r="S10" s="17">
        <f t="shared" si="0"/>
        <v>1.5655577299412915E-2</v>
      </c>
      <c r="T10" s="17"/>
    </row>
    <row r="11" spans="1:25">
      <c r="A11">
        <v>10</v>
      </c>
      <c r="B11">
        <v>0</v>
      </c>
      <c r="C11" s="48">
        <v>92287</v>
      </c>
      <c r="D11" s="4" t="str">
        <f>IFERROR(VLOOKUP(C11,[1]引用表合并!$A$2:$B$1000,2,FALSE),"")</f>
        <v>金块</v>
      </c>
      <c r="E11">
        <v>1</v>
      </c>
      <c r="F11">
        <v>80</v>
      </c>
      <c r="G11">
        <v>0</v>
      </c>
      <c r="H11">
        <f>ROUNDUP(ROUNDUP(VLOOKUP(C11,[2]!游戏物价查询,7,FALSE)*P11,0)*E11*$V$5,0)</f>
        <v>23</v>
      </c>
      <c r="I11">
        <f>IF(P11=0,ROUNDUP(VLOOKUP(C11,[2]!游戏物价查询,7,FALSE)*$V$3*E11/$V$4,0),0)</f>
        <v>0</v>
      </c>
      <c r="J11">
        <v>0</v>
      </c>
      <c r="K11">
        <f t="shared" si="1"/>
        <v>12</v>
      </c>
      <c r="M11">
        <v>1</v>
      </c>
      <c r="N11">
        <v>100</v>
      </c>
      <c r="O11">
        <v>0</v>
      </c>
      <c r="P11">
        <v>1</v>
      </c>
      <c r="Q11">
        <f>VLOOKUP(C11,[2]!游戏物价查询,4,0)</f>
        <v>655</v>
      </c>
      <c r="R11">
        <f>SUM($F$2:F11)</f>
        <v>800</v>
      </c>
      <c r="S11" s="17">
        <f t="shared" si="0"/>
        <v>1.5655577299412915E-2</v>
      </c>
      <c r="T11" s="17">
        <f>SUM(S2:S11)</f>
        <v>0.15655577299412915</v>
      </c>
      <c r="V11" s="1">
        <f>T11/T21</f>
        <v>1</v>
      </c>
      <c r="X11">
        <f>SUMPRODUCT(S2:S11,E2:E11)*6</f>
        <v>0.9393346379647749</v>
      </c>
      <c r="Y11">
        <f>[2]马仔宝物投放!$R$41</f>
        <v>1.5209673000552606</v>
      </c>
    </row>
    <row r="12" spans="1:25">
      <c r="A12">
        <v>11</v>
      </c>
      <c r="B12">
        <v>0</v>
      </c>
      <c r="C12" s="49">
        <v>93142</v>
      </c>
      <c r="D12" s="4" t="str">
        <f>IFERROR(VLOOKUP(C12,[1]引用表合并!$A$2:$B$1000,2,FALSE),"")</f>
        <v>黄金戒指碎片</v>
      </c>
      <c r="E12">
        <v>5</v>
      </c>
      <c r="F12">
        <v>80</v>
      </c>
      <c r="G12">
        <v>0</v>
      </c>
      <c r="H12">
        <f>ROUNDUP(ROUNDUP(VLOOKUP(C12,[2]!游戏物价查询,7,FALSE)*P12,0)*E12*$V$5,0)</f>
        <v>30</v>
      </c>
      <c r="I12">
        <f>IF(P12=0,ROUNDUP(VLOOKUP(C12,[2]!游戏物价查询,7,FALSE)*$V$3*E12/$V$4,0),0)</f>
        <v>0</v>
      </c>
      <c r="J12">
        <v>0</v>
      </c>
      <c r="K12">
        <f t="shared" si="1"/>
        <v>15</v>
      </c>
      <c r="M12">
        <v>1</v>
      </c>
      <c r="N12">
        <v>100</v>
      </c>
      <c r="O12">
        <v>0</v>
      </c>
      <c r="P12">
        <v>1</v>
      </c>
      <c r="Q12">
        <f>VLOOKUP(C12,[2]!游戏物价查询,4,0)</f>
        <v>1105</v>
      </c>
      <c r="R12">
        <f>SUM($F$2:F12)</f>
        <v>880</v>
      </c>
      <c r="S12" s="17">
        <f t="shared" si="0"/>
        <v>1.5655577299412915E-2</v>
      </c>
      <c r="T12" s="17"/>
    </row>
    <row r="13" spans="1:25">
      <c r="A13">
        <v>12</v>
      </c>
      <c r="B13">
        <v>0</v>
      </c>
      <c r="C13" s="49">
        <v>93235</v>
      </c>
      <c r="D13" s="4" t="str">
        <f>IFERROR(VLOOKUP(C13,[1]引用表合并!$A$2:$B$1000,2,FALSE),"")</f>
        <v>宝石手环碎片</v>
      </c>
      <c r="E13">
        <v>5</v>
      </c>
      <c r="F13">
        <v>80</v>
      </c>
      <c r="G13">
        <v>0</v>
      </c>
      <c r="H13">
        <f>ROUNDUP(ROUNDUP(VLOOKUP(C13,[2]!游戏物价查询,7,FALSE)*P13,0)*E13*$V$5,0)</f>
        <v>30</v>
      </c>
      <c r="I13">
        <f>IF(P13=0,ROUNDUP(VLOOKUP(C13,[2]!游戏物价查询,7,FALSE)*$V$3*E13/$V$4,0),0)</f>
        <v>0</v>
      </c>
      <c r="J13">
        <v>0</v>
      </c>
      <c r="K13">
        <f t="shared" si="1"/>
        <v>15</v>
      </c>
      <c r="M13">
        <v>1</v>
      </c>
      <c r="N13">
        <v>100</v>
      </c>
      <c r="O13">
        <v>0</v>
      </c>
      <c r="P13">
        <v>1</v>
      </c>
      <c r="Q13">
        <f>VLOOKUP(C13,[2]!游戏物价查询,4,0)</f>
        <v>1135</v>
      </c>
      <c r="R13">
        <f>SUM($F$2:F13)</f>
        <v>960</v>
      </c>
      <c r="S13" s="17">
        <f t="shared" si="0"/>
        <v>1.5655577299412915E-2</v>
      </c>
      <c r="T13" s="17"/>
    </row>
    <row r="14" spans="1:25">
      <c r="A14">
        <v>13</v>
      </c>
      <c r="B14">
        <v>0</v>
      </c>
      <c r="C14" s="49">
        <v>93012</v>
      </c>
      <c r="D14" s="4" t="str">
        <f>IFERROR(VLOOKUP(C14,[1]引用表合并!$A$2:$B$1000,2,FALSE),"")</f>
        <v>摩拉碎片</v>
      </c>
      <c r="E14">
        <v>5</v>
      </c>
      <c r="F14">
        <v>80</v>
      </c>
      <c r="G14">
        <v>0</v>
      </c>
      <c r="H14">
        <f>ROUNDUP(ROUNDUP(VLOOKUP(C14,[2]!游戏物价查询,7,FALSE)*P14,0)*E14*$V$5,0)</f>
        <v>30</v>
      </c>
      <c r="I14">
        <f>IF(P14=0,ROUNDUP(VLOOKUP(C14,[2]!游戏物价查询,7,FALSE)*$V$3*E14/$V$4,0),0)</f>
        <v>0</v>
      </c>
      <c r="J14">
        <v>0</v>
      </c>
      <c r="K14">
        <f t="shared" si="1"/>
        <v>15</v>
      </c>
      <c r="M14">
        <v>1</v>
      </c>
      <c r="N14">
        <v>100</v>
      </c>
      <c r="O14">
        <v>0</v>
      </c>
      <c r="P14">
        <v>1</v>
      </c>
      <c r="Q14">
        <f>VLOOKUP(C14,[2]!游戏物价查询,4,0)</f>
        <v>525</v>
      </c>
      <c r="R14">
        <f>SUM($F$2:F14)</f>
        <v>1040</v>
      </c>
      <c r="S14" s="17">
        <f t="shared" si="0"/>
        <v>1.5655577299412915E-2</v>
      </c>
      <c r="T14" s="17"/>
    </row>
    <row r="15" spans="1:25">
      <c r="A15">
        <v>14</v>
      </c>
      <c r="B15">
        <v>0</v>
      </c>
      <c r="C15" s="49">
        <v>93252</v>
      </c>
      <c r="D15" s="4" t="str">
        <f>IFERROR(VLOOKUP(C15,[1]引用表合并!$A$2:$B$1000,2,FALSE),"")</f>
        <v>青玉项链碎片</v>
      </c>
      <c r="E15">
        <v>5</v>
      </c>
      <c r="F15">
        <v>80</v>
      </c>
      <c r="G15">
        <v>0</v>
      </c>
      <c r="H15">
        <f>ROUNDUP(ROUNDUP(VLOOKUP(C15,[2]!游戏物价查询,7,FALSE)*P15,0)*E15*$V$5,0)</f>
        <v>30</v>
      </c>
      <c r="I15">
        <f>IF(P15=0,ROUNDUP(VLOOKUP(C15,[2]!游戏物价查询,7,FALSE)*$V$3*E15/$V$4,0),0)</f>
        <v>0</v>
      </c>
      <c r="J15">
        <v>0</v>
      </c>
      <c r="K15">
        <f t="shared" si="1"/>
        <v>15</v>
      </c>
      <c r="M15">
        <v>1</v>
      </c>
      <c r="N15">
        <v>100</v>
      </c>
      <c r="O15">
        <v>0</v>
      </c>
      <c r="P15">
        <v>1</v>
      </c>
      <c r="Q15">
        <f>VLOOKUP(C15,[2]!游戏物价查询,4,0)</f>
        <v>1540</v>
      </c>
      <c r="R15">
        <f>SUM($F$2:F15)</f>
        <v>1120</v>
      </c>
      <c r="S15" s="17">
        <f t="shared" si="0"/>
        <v>1.5655577299412915E-2</v>
      </c>
      <c r="T15" s="17"/>
    </row>
    <row r="16" spans="1:25">
      <c r="A16">
        <v>15</v>
      </c>
      <c r="B16">
        <v>0</v>
      </c>
      <c r="C16" s="49">
        <v>93124</v>
      </c>
      <c r="D16" s="4" t="str">
        <f>IFERROR(VLOOKUP(C16,[1]引用表合并!$A$2:$B$1000,2,FALSE),"")</f>
        <v>水晶耳钉碎片</v>
      </c>
      <c r="E16">
        <v>5</v>
      </c>
      <c r="F16">
        <v>80</v>
      </c>
      <c r="G16">
        <v>0</v>
      </c>
      <c r="H16">
        <f>ROUNDUP(ROUNDUP(VLOOKUP(C16,[2]!游戏物价查询,7,FALSE)*P16,0)*E16*$V$5,0)</f>
        <v>30</v>
      </c>
      <c r="I16">
        <f>IF(P16=0,ROUNDUP(VLOOKUP(C16,[2]!游戏物价查询,7,FALSE)*$V$3*E16/$V$4,0),0)</f>
        <v>0</v>
      </c>
      <c r="J16">
        <v>0</v>
      </c>
      <c r="K16">
        <f t="shared" si="1"/>
        <v>15</v>
      </c>
      <c r="M16">
        <v>1</v>
      </c>
      <c r="N16">
        <v>100</v>
      </c>
      <c r="O16">
        <v>0</v>
      </c>
      <c r="P16">
        <v>1</v>
      </c>
      <c r="Q16">
        <f>VLOOKUP(C16,[2]!游戏物价查询,4,0)</f>
        <v>1170</v>
      </c>
      <c r="R16">
        <f>SUM($F$2:F16)</f>
        <v>1200</v>
      </c>
      <c r="S16" s="17">
        <f t="shared" si="0"/>
        <v>1.5655577299412915E-2</v>
      </c>
      <c r="T16" s="17"/>
    </row>
    <row r="17" spans="1:25">
      <c r="A17">
        <v>16</v>
      </c>
      <c r="B17">
        <v>0</v>
      </c>
      <c r="C17" s="49">
        <v>93272</v>
      </c>
      <c r="D17" s="4" t="str">
        <f>IFERROR(VLOOKUP(C17,[1]引用表合并!$A$2:$B$1000,2,FALSE),"")</f>
        <v>金针手表碎片</v>
      </c>
      <c r="E17">
        <v>5</v>
      </c>
      <c r="F17">
        <v>80</v>
      </c>
      <c r="G17">
        <v>0</v>
      </c>
      <c r="H17">
        <f>ROUNDUP(ROUNDUP(VLOOKUP(C17,[2]!游戏物价查询,7,FALSE)*P17,0)*E17*$V$5,0)</f>
        <v>30</v>
      </c>
      <c r="I17">
        <f>IF(P17=0,ROUNDUP(VLOOKUP(C17,[2]!游戏物价查询,7,FALSE)*$V$3*E17/$V$4,0),0)</f>
        <v>0</v>
      </c>
      <c r="J17">
        <v>0</v>
      </c>
      <c r="K17">
        <f t="shared" si="1"/>
        <v>15</v>
      </c>
      <c r="M17">
        <v>1</v>
      </c>
      <c r="N17">
        <v>100</v>
      </c>
      <c r="O17">
        <v>0</v>
      </c>
      <c r="P17">
        <v>1</v>
      </c>
      <c r="Q17">
        <f>VLOOKUP(C17,[2]!游戏物价查询,4,0)</f>
        <v>465</v>
      </c>
      <c r="R17">
        <f>SUM($F$2:F17)</f>
        <v>1280</v>
      </c>
      <c r="S17" s="17">
        <f t="shared" si="0"/>
        <v>1.5655577299412915E-2</v>
      </c>
      <c r="T17" s="17"/>
    </row>
    <row r="18" spans="1:25">
      <c r="A18">
        <v>17</v>
      </c>
      <c r="B18">
        <v>0</v>
      </c>
      <c r="C18" s="49">
        <v>93273</v>
      </c>
      <c r="D18" s="4" t="str">
        <f>IFERROR(VLOOKUP(C18,[1]引用表合并!$A$2:$B$1000,2,FALSE),"")</f>
        <v>智能手表碎片</v>
      </c>
      <c r="E18">
        <v>5</v>
      </c>
      <c r="F18">
        <v>80</v>
      </c>
      <c r="G18">
        <v>0</v>
      </c>
      <c r="H18">
        <f>ROUNDUP(ROUNDUP(VLOOKUP(C18,[2]!游戏物价查询,7,FALSE)*P18,0)*E18*$V$5,0)</f>
        <v>30</v>
      </c>
      <c r="I18">
        <f>IF(P18=0,ROUNDUP(VLOOKUP(C18,[2]!游戏物价查询,7,FALSE)*$V$3*E18/$V$4,0),0)</f>
        <v>0</v>
      </c>
      <c r="J18">
        <v>0</v>
      </c>
      <c r="K18">
        <f t="shared" si="1"/>
        <v>15</v>
      </c>
      <c r="M18">
        <v>1</v>
      </c>
      <c r="N18">
        <v>100</v>
      </c>
      <c r="O18">
        <v>0</v>
      </c>
      <c r="P18">
        <v>1</v>
      </c>
      <c r="Q18">
        <f>VLOOKUP(C18,[2]!游戏物价查询,4,0)</f>
        <v>430</v>
      </c>
      <c r="R18">
        <f>SUM($F$2:F18)</f>
        <v>1360</v>
      </c>
      <c r="S18" s="17">
        <f t="shared" si="0"/>
        <v>1.5655577299412915E-2</v>
      </c>
      <c r="T18" s="17"/>
    </row>
    <row r="19" spans="1:25">
      <c r="A19">
        <v>18</v>
      </c>
      <c r="B19">
        <v>0</v>
      </c>
      <c r="C19" s="49">
        <v>93279</v>
      </c>
      <c r="D19" s="4" t="str">
        <f>IFERROR(VLOOKUP(C19,[1]引用表合并!$A$2:$B$1000,2,FALSE),"")</f>
        <v>宾倪碎片</v>
      </c>
      <c r="E19">
        <v>5</v>
      </c>
      <c r="F19">
        <v>80</v>
      </c>
      <c r="G19">
        <v>0</v>
      </c>
      <c r="H19">
        <f>ROUNDUP(ROUNDUP(VLOOKUP(C19,[2]!游戏物价查询,7,FALSE)*P19,0)*E19*$V$5,0)</f>
        <v>30</v>
      </c>
      <c r="I19">
        <f>IF(P19=0,ROUNDUP(VLOOKUP(C19,[2]!游戏物价查询,7,FALSE)*$V$3*E19/$V$4,0),0)</f>
        <v>0</v>
      </c>
      <c r="J19">
        <v>0</v>
      </c>
      <c r="K19">
        <f t="shared" si="1"/>
        <v>15</v>
      </c>
      <c r="M19">
        <v>1</v>
      </c>
      <c r="N19">
        <v>100</v>
      </c>
      <c r="O19">
        <v>0</v>
      </c>
      <c r="P19">
        <v>1</v>
      </c>
      <c r="Q19">
        <f>VLOOKUP(C19,[2]!游戏物价查询,4,0)</f>
        <v>495</v>
      </c>
      <c r="R19">
        <f>SUM($F$2:F19)</f>
        <v>1440</v>
      </c>
      <c r="S19" s="17">
        <f t="shared" si="0"/>
        <v>1.5655577299412915E-2</v>
      </c>
      <c r="T19" s="17"/>
    </row>
    <row r="20" spans="1:25">
      <c r="A20">
        <v>19</v>
      </c>
      <c r="B20">
        <v>0</v>
      </c>
      <c r="C20" s="49">
        <v>93284</v>
      </c>
      <c r="D20" s="4" t="str">
        <f>IFERROR(VLOOKUP(C20,[1]引用表合并!$A$2:$B$1000,2,FALSE),"")</f>
        <v>大迭钞票碎片</v>
      </c>
      <c r="E20">
        <v>5</v>
      </c>
      <c r="F20">
        <v>80</v>
      </c>
      <c r="G20">
        <v>0</v>
      </c>
      <c r="H20">
        <f>ROUNDUP(ROUNDUP(VLOOKUP(C20,[2]!游戏物价查询,7,FALSE)*P20,0)*E20*$V$5,0)</f>
        <v>30</v>
      </c>
      <c r="I20">
        <f>IF(P20=0,ROUNDUP(VLOOKUP(C20,[2]!游戏物价查询,7,FALSE)*$V$3*E20/$V$4,0),0)</f>
        <v>0</v>
      </c>
      <c r="J20">
        <v>0</v>
      </c>
      <c r="K20">
        <f t="shared" si="1"/>
        <v>15</v>
      </c>
      <c r="M20">
        <v>1</v>
      </c>
      <c r="N20">
        <v>100</v>
      </c>
      <c r="O20">
        <v>0</v>
      </c>
      <c r="P20">
        <v>1</v>
      </c>
      <c r="Q20">
        <f>VLOOKUP(C20,[2]!游戏物价查询,4,0)</f>
        <v>3435</v>
      </c>
      <c r="R20">
        <f>SUM($F$2:F20)</f>
        <v>1520</v>
      </c>
      <c r="S20" s="17">
        <f t="shared" si="0"/>
        <v>1.5655577299412915E-2</v>
      </c>
      <c r="T20" s="17"/>
    </row>
    <row r="21" spans="1:25">
      <c r="A21">
        <v>20</v>
      </c>
      <c r="B21">
        <v>0</v>
      </c>
      <c r="C21" s="49">
        <v>93288</v>
      </c>
      <c r="D21" s="4" t="str">
        <f>IFERROR(VLOOKUP(C21,[1]引用表合并!$A$2:$B$1000,2,FALSE),"")</f>
        <v>大金块碎片</v>
      </c>
      <c r="E21">
        <v>5</v>
      </c>
      <c r="F21">
        <v>80</v>
      </c>
      <c r="G21">
        <v>0</v>
      </c>
      <c r="H21">
        <f>ROUNDUP(ROUNDUP(VLOOKUP(C21,[2]!游戏物价查询,7,FALSE)*P21,0)*E21*$V$5,0)</f>
        <v>30</v>
      </c>
      <c r="I21">
        <f>IF(P21=0,ROUNDUP(VLOOKUP(C21,[2]!游戏物价查询,7,FALSE)*$V$3*E21/$V$4,0),0)</f>
        <v>0</v>
      </c>
      <c r="J21">
        <v>0</v>
      </c>
      <c r="K21">
        <f t="shared" si="1"/>
        <v>15</v>
      </c>
      <c r="M21">
        <v>1</v>
      </c>
      <c r="N21">
        <v>100</v>
      </c>
      <c r="O21">
        <v>0</v>
      </c>
      <c r="P21">
        <v>1</v>
      </c>
      <c r="Q21">
        <f>VLOOKUP(C21,[2]!游戏物价查询,4,0)</f>
        <v>3145</v>
      </c>
      <c r="R21">
        <f>SUM($F$2:F21)</f>
        <v>1600</v>
      </c>
      <c r="S21" s="17">
        <f t="shared" si="0"/>
        <v>1.5655577299412915E-2</v>
      </c>
      <c r="T21" s="17">
        <f>SUM(S12:S21)</f>
        <v>0.15655577299412915</v>
      </c>
      <c r="V21" s="1">
        <f>T21/T33</f>
        <v>1.6666666666666667</v>
      </c>
      <c r="X21">
        <f>SUMPRODUCT(S12:S21,E12:E21)*6</f>
        <v>4.6966731898238745</v>
      </c>
      <c r="Y21">
        <f>[2]马仔宝物投放!$R$42*[2]马仔宝物投放!$S$9/[2]马仔宝物投放!$J$9</f>
        <v>2.8004432149096323</v>
      </c>
    </row>
    <row r="22" spans="1:25">
      <c r="A22">
        <v>21</v>
      </c>
      <c r="B22">
        <v>0</v>
      </c>
      <c r="C22" s="50">
        <v>93125</v>
      </c>
      <c r="D22" s="4" t="str">
        <f>IFERROR(VLOOKUP(C22,[1]引用表合并!$A$2:$B$1000,2,FALSE),"")</f>
        <v>红石耳钉碎片</v>
      </c>
      <c r="E22">
        <v>5</v>
      </c>
      <c r="F22">
        <v>40</v>
      </c>
      <c r="G22">
        <v>0</v>
      </c>
      <c r="H22">
        <f>ROUNDUP(ROUNDUP(VLOOKUP(C22,[2]!游戏物价查询,7,FALSE)*P22,0)*E22*$V$5,0)</f>
        <v>0</v>
      </c>
      <c r="I22">
        <f>IF(P22=0,ROUNDUP(VLOOKUP(C22,[2]!游戏物价查询,7,FALSE)*$V$3*E22/$V$4,0),0)</f>
        <v>3</v>
      </c>
      <c r="J22">
        <v>0</v>
      </c>
      <c r="K22">
        <f t="shared" si="1"/>
        <v>0</v>
      </c>
      <c r="M22">
        <v>1</v>
      </c>
      <c r="N22">
        <v>100</v>
      </c>
      <c r="O22">
        <v>0</v>
      </c>
      <c r="P22">
        <v>0</v>
      </c>
      <c r="Q22">
        <f>VLOOKUP(C22,[2]!游戏物价查询,4,0)</f>
        <v>1040</v>
      </c>
      <c r="R22">
        <f>SUM($F$2:F22)</f>
        <v>1640</v>
      </c>
      <c r="S22" s="17">
        <f t="shared" si="0"/>
        <v>7.8277886497064575E-3</v>
      </c>
      <c r="T22" s="17"/>
    </row>
    <row r="23" spans="1:25">
      <c r="A23">
        <v>22</v>
      </c>
      <c r="B23">
        <v>0</v>
      </c>
      <c r="C23" s="50">
        <v>93134</v>
      </c>
      <c r="D23" s="4" t="str">
        <f>IFERROR(VLOOKUP(C23,[1]引用表合并!$A$2:$B$1000,2,FALSE),"")</f>
        <v>毒蝎耳钉碎片</v>
      </c>
      <c r="E23">
        <v>5</v>
      </c>
      <c r="F23">
        <v>40</v>
      </c>
      <c r="G23">
        <v>0</v>
      </c>
      <c r="H23">
        <f>ROUNDUP(ROUNDUP(VLOOKUP(C23,[2]!游戏物价查询,7,FALSE)*P23,0)*E23*$V$5,0)</f>
        <v>0</v>
      </c>
      <c r="I23">
        <f>IF(P23=0,ROUNDUP(VLOOKUP(C23,[2]!游戏物价查询,7,FALSE)*$V$3*E23/$V$4,0),0)</f>
        <v>3</v>
      </c>
      <c r="J23">
        <v>0</v>
      </c>
      <c r="K23">
        <f t="shared" si="1"/>
        <v>0</v>
      </c>
      <c r="M23">
        <v>1</v>
      </c>
      <c r="N23">
        <v>100</v>
      </c>
      <c r="O23">
        <v>0</v>
      </c>
      <c r="P23">
        <v>0</v>
      </c>
      <c r="Q23">
        <f>VLOOKUP(C23,[2]!游戏物价查询,4,0)</f>
        <v>1080</v>
      </c>
      <c r="R23">
        <f>SUM($F$2:F23)</f>
        <v>1680</v>
      </c>
      <c r="S23" s="17">
        <f t="shared" si="0"/>
        <v>7.8277886497064575E-3</v>
      </c>
      <c r="T23" s="17"/>
    </row>
    <row r="24" spans="1:25">
      <c r="A24">
        <v>23</v>
      </c>
      <c r="B24">
        <v>0</v>
      </c>
      <c r="C24" s="50">
        <v>93223</v>
      </c>
      <c r="D24" s="4" t="str">
        <f>IFERROR(VLOOKUP(C24,[1]引用表合并!$A$2:$B$1000,2,FALSE),"")</f>
        <v>赤金戒指碎片</v>
      </c>
      <c r="E24">
        <v>5</v>
      </c>
      <c r="F24">
        <v>40</v>
      </c>
      <c r="G24">
        <v>0</v>
      </c>
      <c r="H24">
        <f>ROUNDUP(ROUNDUP(VLOOKUP(C24,[2]!游戏物价查询,7,FALSE)*P24,0)*E24*$V$5,0)</f>
        <v>0</v>
      </c>
      <c r="I24">
        <f>IF(P24=0,ROUNDUP(VLOOKUP(C24,[2]!游戏物价查询,7,FALSE)*$V$3*E24/$V$4,0),0)</f>
        <v>3</v>
      </c>
      <c r="J24">
        <v>0</v>
      </c>
      <c r="K24">
        <f t="shared" si="1"/>
        <v>0</v>
      </c>
      <c r="M24">
        <v>1</v>
      </c>
      <c r="N24">
        <v>100</v>
      </c>
      <c r="O24">
        <v>0</v>
      </c>
      <c r="P24">
        <v>0</v>
      </c>
      <c r="Q24">
        <f>VLOOKUP(C24,[2]!游戏物价查询,4,0)</f>
        <v>1300</v>
      </c>
      <c r="R24">
        <f>SUM($F$2:F24)</f>
        <v>1720</v>
      </c>
      <c r="S24" s="17">
        <f t="shared" si="0"/>
        <v>7.8277886497064575E-3</v>
      </c>
      <c r="T24" s="17"/>
    </row>
    <row r="25" spans="1:25">
      <c r="A25">
        <v>24</v>
      </c>
      <c r="B25">
        <v>0</v>
      </c>
      <c r="C25" s="50">
        <v>93227</v>
      </c>
      <c r="D25" s="4" t="str">
        <f>IFERROR(VLOOKUP(C25,[1]引用表合并!$A$2:$B$1000,2,FALSE),"")</f>
        <v>王者手环碎片</v>
      </c>
      <c r="E25">
        <v>5</v>
      </c>
      <c r="F25">
        <v>40</v>
      </c>
      <c r="G25">
        <v>0</v>
      </c>
      <c r="H25">
        <f>ROUNDUP(ROUNDUP(VLOOKUP(C25,[2]!游戏物价查询,7,FALSE)*P25,0)*E25*$V$5,0)</f>
        <v>0</v>
      </c>
      <c r="I25">
        <f>IF(P25=0,ROUNDUP(VLOOKUP(C25,[2]!游戏物价查询,7,FALSE)*$V$3*E25/$V$4,0),0)</f>
        <v>3</v>
      </c>
      <c r="J25">
        <v>0</v>
      </c>
      <c r="K25">
        <f t="shared" si="1"/>
        <v>0</v>
      </c>
      <c r="M25">
        <v>1</v>
      </c>
      <c r="N25">
        <v>100</v>
      </c>
      <c r="O25">
        <v>0</v>
      </c>
      <c r="P25">
        <v>0</v>
      </c>
      <c r="Q25">
        <f>VLOOKUP(C25,[2]!游戏物价查询,4,0)</f>
        <v>1410</v>
      </c>
      <c r="R25">
        <f>SUM($F$2:F25)</f>
        <v>1760</v>
      </c>
      <c r="S25" s="17">
        <f t="shared" si="0"/>
        <v>7.8277886497064575E-3</v>
      </c>
      <c r="T25" s="17"/>
    </row>
    <row r="26" spans="1:25">
      <c r="A26">
        <v>25</v>
      </c>
      <c r="B26">
        <v>0</v>
      </c>
      <c r="C26" s="50">
        <v>93236</v>
      </c>
      <c r="D26" s="4" t="str">
        <f>IFERROR(VLOOKUP(C26,[1]引用表合并!$A$2:$B$1000,2,FALSE),"")</f>
        <v>符文手环碎片</v>
      </c>
      <c r="E26">
        <v>5</v>
      </c>
      <c r="F26">
        <v>40</v>
      </c>
      <c r="G26">
        <v>0</v>
      </c>
      <c r="H26">
        <f>ROUNDUP(ROUNDUP(VLOOKUP(C26,[2]!游戏物价查询,7,FALSE)*P26,0)*E26*$V$5,0)</f>
        <v>0</v>
      </c>
      <c r="I26">
        <f>IF(P26=0,ROUNDUP(VLOOKUP(C26,[2]!游戏物价查询,7,FALSE)*$V$3*E26/$V$4,0),0)</f>
        <v>3</v>
      </c>
      <c r="J26">
        <v>0</v>
      </c>
      <c r="K26">
        <f t="shared" si="1"/>
        <v>0</v>
      </c>
      <c r="M26">
        <v>1</v>
      </c>
      <c r="N26">
        <v>100</v>
      </c>
      <c r="O26">
        <v>0</v>
      </c>
      <c r="P26">
        <v>0</v>
      </c>
      <c r="Q26">
        <f>VLOOKUP(C26,[2]!游戏物价查询,4,0)</f>
        <v>670</v>
      </c>
      <c r="R26">
        <f>SUM($F$2:F26)</f>
        <v>1800</v>
      </c>
      <c r="S26" s="17">
        <f t="shared" si="0"/>
        <v>7.8277886497064575E-3</v>
      </c>
      <c r="T26" s="17"/>
    </row>
    <row r="27" spans="1:25">
      <c r="A27">
        <v>26</v>
      </c>
      <c r="B27">
        <v>0</v>
      </c>
      <c r="C27" s="50">
        <v>93013</v>
      </c>
      <c r="D27" s="4" t="str">
        <f>IFERROR(VLOOKUP(C27,[1]引用表合并!$A$2:$B$1000,2,FALSE),"")</f>
        <v>月立碎片</v>
      </c>
      <c r="E27">
        <v>5</v>
      </c>
      <c r="F27">
        <v>40</v>
      </c>
      <c r="G27">
        <v>0</v>
      </c>
      <c r="H27">
        <f>ROUNDUP(ROUNDUP(VLOOKUP(C27,[2]!游戏物价查询,7,FALSE)*P27,0)*E27*$V$5,0)</f>
        <v>0</v>
      </c>
      <c r="I27">
        <f>IF(P27=0,ROUNDUP(VLOOKUP(C27,[2]!游戏物价查询,7,FALSE)*$V$3*E27/$V$4,0),0)</f>
        <v>3</v>
      </c>
      <c r="J27">
        <v>0</v>
      </c>
      <c r="K27">
        <f t="shared" si="1"/>
        <v>0</v>
      </c>
      <c r="M27">
        <v>1</v>
      </c>
      <c r="N27">
        <v>100</v>
      </c>
      <c r="O27">
        <v>0</v>
      </c>
      <c r="P27">
        <v>0</v>
      </c>
      <c r="Q27">
        <f>VLOOKUP(C27,[2]!游戏物价查询,4,0)</f>
        <v>850</v>
      </c>
      <c r="R27">
        <f>SUM($F$2:F27)</f>
        <v>1840</v>
      </c>
      <c r="S27" s="17">
        <f t="shared" si="0"/>
        <v>7.8277886497064575E-3</v>
      </c>
      <c r="T27" s="17"/>
    </row>
    <row r="28" spans="1:25">
      <c r="A28">
        <v>27</v>
      </c>
      <c r="B28">
        <v>0</v>
      </c>
      <c r="C28" s="50">
        <v>93253</v>
      </c>
      <c r="D28" s="4" t="str">
        <f>IFERROR(VLOOKUP(C28,[1]引用表合并!$A$2:$B$1000,2,FALSE),"")</f>
        <v>猫妖项链碎片</v>
      </c>
      <c r="E28">
        <v>5</v>
      </c>
      <c r="F28">
        <v>40</v>
      </c>
      <c r="G28">
        <v>0</v>
      </c>
      <c r="H28">
        <f>ROUNDUP(ROUNDUP(VLOOKUP(C28,[2]!游戏物价查询,7,FALSE)*P28,0)*E28*$V$5,0)</f>
        <v>0</v>
      </c>
      <c r="I28">
        <f>IF(P28=0,ROUNDUP(VLOOKUP(C28,[2]!游戏物价查询,7,FALSE)*$V$3*E28/$V$4,0),0)</f>
        <v>3</v>
      </c>
      <c r="J28">
        <v>0</v>
      </c>
      <c r="K28">
        <f t="shared" si="1"/>
        <v>0</v>
      </c>
      <c r="M28">
        <v>1</v>
      </c>
      <c r="N28">
        <v>100</v>
      </c>
      <c r="O28">
        <v>0</v>
      </c>
      <c r="P28">
        <v>0</v>
      </c>
      <c r="Q28">
        <f>VLOOKUP(C28,[2]!游戏物价查询,4,0)</f>
        <v>1480</v>
      </c>
      <c r="R28">
        <f>SUM($F$2:F28)</f>
        <v>1880</v>
      </c>
      <c r="S28" s="17">
        <f t="shared" si="0"/>
        <v>7.8277886497064575E-3</v>
      </c>
      <c r="T28" s="17"/>
    </row>
    <row r="29" spans="1:25">
      <c r="A29">
        <v>28</v>
      </c>
      <c r="B29">
        <v>0</v>
      </c>
      <c r="C29" s="50">
        <v>93254</v>
      </c>
      <c r="D29" s="4" t="str">
        <f>IFERROR(VLOOKUP(C29,[1]引用表合并!$A$2:$B$1000,2,FALSE),"")</f>
        <v>苍蓝项链碎片</v>
      </c>
      <c r="E29">
        <v>5</v>
      </c>
      <c r="F29">
        <v>40</v>
      </c>
      <c r="G29">
        <v>0</v>
      </c>
      <c r="H29">
        <f>ROUNDUP(ROUNDUP(VLOOKUP(C29,[2]!游戏物价查询,7,FALSE)*P29,0)*E29*$V$5,0)</f>
        <v>0</v>
      </c>
      <c r="I29">
        <f>IF(P29=0,ROUNDUP(VLOOKUP(C29,[2]!游戏物价查询,7,FALSE)*$V$3*E29/$V$4,0),0)</f>
        <v>3</v>
      </c>
      <c r="J29">
        <v>0</v>
      </c>
      <c r="K29">
        <f t="shared" si="1"/>
        <v>0</v>
      </c>
      <c r="M29">
        <v>1</v>
      </c>
      <c r="N29">
        <v>100</v>
      </c>
      <c r="O29">
        <v>0</v>
      </c>
      <c r="P29">
        <v>0</v>
      </c>
      <c r="Q29">
        <f>VLOOKUP(C29,[2]!游戏物价查询,4,0)</f>
        <v>1400</v>
      </c>
      <c r="R29">
        <f>SUM($F$2:F29)</f>
        <v>1920</v>
      </c>
      <c r="S29" s="17">
        <f t="shared" si="0"/>
        <v>7.8277886497064575E-3</v>
      </c>
      <c r="T29" s="17"/>
    </row>
    <row r="30" spans="1:25">
      <c r="A30">
        <v>29</v>
      </c>
      <c r="B30">
        <v>0</v>
      </c>
      <c r="C30" s="50">
        <v>93274</v>
      </c>
      <c r="D30" s="4" t="str">
        <f>IFERROR(VLOOKUP(C30,[1]引用表合并!$A$2:$B$1000,2,FALSE),"")</f>
        <v>汉密手表碎片</v>
      </c>
      <c r="E30">
        <v>5</v>
      </c>
      <c r="F30">
        <v>40</v>
      </c>
      <c r="G30">
        <v>0</v>
      </c>
      <c r="H30">
        <f>ROUNDUP(ROUNDUP(VLOOKUP(C30,[2]!游戏物价查询,7,FALSE)*P30,0)*E30*$V$5,0)</f>
        <v>0</v>
      </c>
      <c r="I30">
        <f>IF(P30=0,ROUNDUP(VLOOKUP(C30,[2]!游戏物价查询,7,FALSE)*$V$3*E30/$V$4,0),0)</f>
        <v>3</v>
      </c>
      <c r="J30">
        <v>0</v>
      </c>
      <c r="K30">
        <f t="shared" si="1"/>
        <v>0</v>
      </c>
      <c r="M30">
        <v>1</v>
      </c>
      <c r="N30">
        <v>100</v>
      </c>
      <c r="O30">
        <v>0</v>
      </c>
      <c r="P30">
        <v>0</v>
      </c>
      <c r="Q30">
        <f>VLOOKUP(C30,[2]!游戏物价查询,4,0)</f>
        <v>700</v>
      </c>
      <c r="R30">
        <f>SUM($F$2:F30)</f>
        <v>1960</v>
      </c>
      <c r="S30" s="17">
        <f t="shared" si="0"/>
        <v>7.8277886497064575E-3</v>
      </c>
      <c r="T30" s="17"/>
    </row>
    <row r="31" spans="1:25">
      <c r="A31">
        <v>30</v>
      </c>
      <c r="B31">
        <v>0</v>
      </c>
      <c r="C31" s="50">
        <v>93280</v>
      </c>
      <c r="D31" s="4" t="str">
        <f>IFERROR(VLOOKUP(C31,[1]引用表合并!$A$2:$B$1000,2,FALSE),"")</f>
        <v>法拉捷碎片</v>
      </c>
      <c r="E31">
        <v>5</v>
      </c>
      <c r="F31">
        <v>40</v>
      </c>
      <c r="G31">
        <v>0</v>
      </c>
      <c r="H31">
        <f>ROUNDUP(ROUNDUP(VLOOKUP(C31,[2]!游戏物价查询,7,FALSE)*P31,0)*E31*$V$5,0)</f>
        <v>0</v>
      </c>
      <c r="I31">
        <f>IF(P31=0,ROUNDUP(VLOOKUP(C31,[2]!游戏物价查询,7,FALSE)*$V$3*E31/$V$4,0),0)</f>
        <v>3</v>
      </c>
      <c r="J31">
        <v>0</v>
      </c>
      <c r="K31">
        <f t="shared" si="1"/>
        <v>0</v>
      </c>
      <c r="M31">
        <v>1</v>
      </c>
      <c r="N31">
        <v>100</v>
      </c>
      <c r="O31">
        <v>0</v>
      </c>
      <c r="P31">
        <v>0</v>
      </c>
      <c r="Q31">
        <f>VLOOKUP(C31,[2]!游戏物价查询,4,0)</f>
        <v>750</v>
      </c>
      <c r="R31">
        <f>SUM($F$2:F31)</f>
        <v>2000</v>
      </c>
      <c r="S31" s="17">
        <f t="shared" si="0"/>
        <v>7.8277886497064575E-3</v>
      </c>
      <c r="T31" s="17"/>
    </row>
    <row r="32" spans="1:25">
      <c r="A32">
        <v>31</v>
      </c>
      <c r="B32">
        <v>0</v>
      </c>
      <c r="C32" s="50">
        <v>93285</v>
      </c>
      <c r="D32" s="4" t="str">
        <f>IFERROR(VLOOKUP(C32,[1]引用表合并!$A$2:$B$1000,2,FALSE),"")</f>
        <v>大堆钞票碎片</v>
      </c>
      <c r="E32">
        <v>5</v>
      </c>
      <c r="F32">
        <v>40</v>
      </c>
      <c r="G32">
        <v>0</v>
      </c>
      <c r="H32">
        <f>ROUNDUP(ROUNDUP(VLOOKUP(C32,[2]!游戏物价查询,7,FALSE)*P32,0)*E32*$V$5,0)</f>
        <v>0</v>
      </c>
      <c r="I32">
        <f>IF(P32=0,ROUNDUP(VLOOKUP(C32,[2]!游戏物价查询,7,FALSE)*$V$3*E32/$V$4,0),0)</f>
        <v>3</v>
      </c>
      <c r="J32">
        <v>0</v>
      </c>
      <c r="K32">
        <f t="shared" si="1"/>
        <v>0</v>
      </c>
      <c r="M32">
        <v>1</v>
      </c>
      <c r="N32">
        <v>100</v>
      </c>
      <c r="O32">
        <v>0</v>
      </c>
      <c r="P32">
        <v>0</v>
      </c>
      <c r="Q32">
        <f>VLOOKUP(C32,[2]!游戏物价查询,4,0)</f>
        <v>2860</v>
      </c>
      <c r="R32">
        <f>SUM($F$2:F32)</f>
        <v>2040</v>
      </c>
      <c r="S32" s="17">
        <f t="shared" si="0"/>
        <v>7.8277886497064575E-3</v>
      </c>
      <c r="T32" s="17"/>
    </row>
    <row r="33" spans="1:25">
      <c r="A33">
        <v>32</v>
      </c>
      <c r="B33">
        <v>0</v>
      </c>
      <c r="C33" s="50">
        <v>93289</v>
      </c>
      <c r="D33" s="4" t="str">
        <f>IFERROR(VLOOKUP(C33,[1]引用表合并!$A$2:$B$1000,2,FALSE),"")</f>
        <v>小堆金块碎片</v>
      </c>
      <c r="E33">
        <v>5</v>
      </c>
      <c r="F33">
        <v>40</v>
      </c>
      <c r="G33">
        <v>0</v>
      </c>
      <c r="H33">
        <f>ROUNDUP(ROUNDUP(VLOOKUP(C33,[2]!游戏物价查询,7,FALSE)*P33,0)*E33*$V$5,0)</f>
        <v>0</v>
      </c>
      <c r="I33">
        <f>IF(P33=0,ROUNDUP(VLOOKUP(C33,[2]!游戏物价查询,7,FALSE)*$V$3*E33/$V$4,0),0)</f>
        <v>3</v>
      </c>
      <c r="J33">
        <v>0</v>
      </c>
      <c r="K33">
        <f t="shared" si="1"/>
        <v>0</v>
      </c>
      <c r="M33">
        <v>1</v>
      </c>
      <c r="N33">
        <v>100</v>
      </c>
      <c r="O33">
        <v>0</v>
      </c>
      <c r="P33">
        <v>0</v>
      </c>
      <c r="Q33">
        <f>VLOOKUP(C33,[2]!游戏物价查询,4,0)</f>
        <v>2620</v>
      </c>
      <c r="R33">
        <f>SUM($F$2:F33)</f>
        <v>2080</v>
      </c>
      <c r="S33" s="17">
        <f t="shared" si="0"/>
        <v>7.8277886497064575E-3</v>
      </c>
      <c r="T33" s="17">
        <f>SUM(S22:S33)</f>
        <v>9.393346379647749E-2</v>
      </c>
      <c r="X33">
        <f>SUMPRODUCT(S22:S33,E22:E33)*6</f>
        <v>2.8180039138943247</v>
      </c>
      <c r="Y33">
        <f>[2]马仔宝物投放!$R$43*[2]马仔宝物投放!$S$10/[2]马仔宝物投放!$J$10</f>
        <v>4.4813387686536981</v>
      </c>
    </row>
    <row r="34" spans="1:25">
      <c r="A34">
        <v>33</v>
      </c>
      <c r="B34" s="10">
        <v>0</v>
      </c>
      <c r="C34" s="29">
        <v>78106</v>
      </c>
      <c r="D34" s="10" t="str">
        <f>IFERROR(VLOOKUP(C34,[1]引用表合并!$A$2:$B$1000,2,FALSE),"")</f>
        <v>马仔碎片(靓坤)</v>
      </c>
      <c r="E34" s="10">
        <v>1</v>
      </c>
      <c r="F34" s="10">
        <v>58</v>
      </c>
      <c r="G34">
        <v>0</v>
      </c>
      <c r="H34">
        <f>ROUNDUP(ROUNDUP(VLOOKUP(C34,[2]!游戏物价查询,7,FALSE)*P34,0)*E34*$V$5,0)</f>
        <v>75</v>
      </c>
      <c r="I34">
        <f>IF(P34=0,ROUNDUP(VLOOKUP(C34,[2]!游戏物价查询,7,FALSE)*$V$3*E34/$V$4,0),0)</f>
        <v>0</v>
      </c>
      <c r="J34" s="10">
        <v>0</v>
      </c>
      <c r="K34">
        <f t="shared" si="1"/>
        <v>38</v>
      </c>
      <c r="L34" s="10"/>
      <c r="M34">
        <v>1</v>
      </c>
      <c r="N34" s="10">
        <v>100</v>
      </c>
      <c r="O34" s="10">
        <v>0</v>
      </c>
      <c r="P34">
        <v>1</v>
      </c>
      <c r="Q34">
        <f>VLOOKUP(C34,[2]!游戏物价查询,4,0)</f>
        <v>980</v>
      </c>
      <c r="R34">
        <f>SUM($F$2:F34)</f>
        <v>2138</v>
      </c>
      <c r="S34" s="17">
        <f t="shared" ref="S34:S65" si="2">IF(F34&lt;0,1,F34/SUMIF(F:F,"&gt;0"))</f>
        <v>1.1350293542074364E-2</v>
      </c>
      <c r="T34" s="18"/>
      <c r="U34" s="10"/>
    </row>
    <row r="35" spans="1:25">
      <c r="A35">
        <v>34</v>
      </c>
      <c r="B35" s="10">
        <v>0</v>
      </c>
      <c r="C35" s="29">
        <v>78107</v>
      </c>
      <c r="D35" s="10" t="str">
        <f>IFERROR(VLOOKUP(C35,[1]引用表合并!$A$2:$B$1000,2,FALSE),"")</f>
        <v>马仔碎片(雷复轰)</v>
      </c>
      <c r="E35" s="10">
        <v>1</v>
      </c>
      <c r="F35" s="10">
        <v>56</v>
      </c>
      <c r="G35">
        <v>0</v>
      </c>
      <c r="H35">
        <f>ROUNDUP(ROUNDUP(VLOOKUP(C35,[2]!游戏物价查询,7,FALSE)*P35,0)*E35*$V$5,0)</f>
        <v>75</v>
      </c>
      <c r="I35">
        <f>IF(P35=0,ROUNDUP(VLOOKUP(C35,[2]!游戏物价查询,7,FALSE)*$V$3*E35/$V$4,0),0)</f>
        <v>0</v>
      </c>
      <c r="J35" s="10">
        <v>0</v>
      </c>
      <c r="K35">
        <f t="shared" si="1"/>
        <v>38</v>
      </c>
      <c r="L35" s="10"/>
      <c r="M35">
        <v>1</v>
      </c>
      <c r="N35" s="10">
        <v>100</v>
      </c>
      <c r="O35" s="10">
        <v>0</v>
      </c>
      <c r="P35">
        <v>1</v>
      </c>
      <c r="Q35">
        <f>VLOOKUP(C35,[2]!游戏物价查询,4,0)</f>
        <v>980</v>
      </c>
      <c r="R35">
        <f>SUM($F$2:F35)</f>
        <v>2194</v>
      </c>
      <c r="S35" s="17">
        <f t="shared" si="2"/>
        <v>1.0958904109589041E-2</v>
      </c>
      <c r="T35" s="18"/>
      <c r="U35" s="10"/>
    </row>
    <row r="36" spans="1:25">
      <c r="A36">
        <v>35</v>
      </c>
      <c r="B36" s="10">
        <v>0</v>
      </c>
      <c r="C36" s="29">
        <v>78108</v>
      </c>
      <c r="D36" s="10" t="str">
        <f>IFERROR(VLOOKUP(C36,[1]引用表合并!$A$2:$B$1000,2,FALSE),"")</f>
        <v>马仔碎片(肥仔)</v>
      </c>
      <c r="E36" s="10">
        <v>1</v>
      </c>
      <c r="F36" s="10">
        <v>54</v>
      </c>
      <c r="G36">
        <v>0</v>
      </c>
      <c r="H36">
        <f>ROUNDUP(ROUNDUP(VLOOKUP(C36,[2]!游戏物价查询,7,FALSE)*P36,0)*E36*$V$5,0)</f>
        <v>75</v>
      </c>
      <c r="I36">
        <f>IF(P36=0,ROUNDUP(VLOOKUP(C36,[2]!游戏物价查询,7,FALSE)*$V$3*E36/$V$4,0),0)</f>
        <v>0</v>
      </c>
      <c r="J36" s="10">
        <v>0</v>
      </c>
      <c r="K36">
        <f t="shared" si="1"/>
        <v>38</v>
      </c>
      <c r="L36" s="10"/>
      <c r="M36">
        <v>1</v>
      </c>
      <c r="N36" s="10">
        <v>100</v>
      </c>
      <c r="O36" s="10">
        <v>0</v>
      </c>
      <c r="P36">
        <v>1</v>
      </c>
      <c r="Q36">
        <f>VLOOKUP(C36,[2]!游戏物价查询,4,0)</f>
        <v>980</v>
      </c>
      <c r="R36">
        <f>SUM($F$2:F36)</f>
        <v>2248</v>
      </c>
      <c r="S36" s="17">
        <f t="shared" si="2"/>
        <v>1.0567514677103719E-2</v>
      </c>
      <c r="T36" s="18"/>
      <c r="U36" s="10"/>
    </row>
    <row r="37" spans="1:25">
      <c r="A37">
        <v>36</v>
      </c>
      <c r="B37" s="10">
        <v>0</v>
      </c>
      <c r="C37" s="8">
        <v>78117</v>
      </c>
      <c r="D37" s="10" t="str">
        <f>IFERROR(VLOOKUP(C37,[1]引用表合并!$A$2:$B$1000,2,FALSE),"")</f>
        <v>马仔碎片(巴闭)</v>
      </c>
      <c r="E37" s="10">
        <v>1</v>
      </c>
      <c r="F37" s="10">
        <v>50</v>
      </c>
      <c r="G37">
        <v>0</v>
      </c>
      <c r="H37">
        <f>ROUNDUP(ROUNDUP(VLOOKUP(C37,[2]!游戏物价查询,7,FALSE)*P37,0)*E37*$V$5,0)</f>
        <v>75</v>
      </c>
      <c r="I37">
        <f>IF(P37=0,ROUNDUP(VLOOKUP(C37,[2]!游戏物价查询,7,FALSE)*$V$3*E37/$V$4,0),0)</f>
        <v>0</v>
      </c>
      <c r="J37" s="10">
        <v>0</v>
      </c>
      <c r="K37">
        <f t="shared" si="1"/>
        <v>38</v>
      </c>
      <c r="L37" s="10"/>
      <c r="M37">
        <v>1</v>
      </c>
      <c r="N37" s="10">
        <v>100</v>
      </c>
      <c r="O37" s="10">
        <v>0</v>
      </c>
      <c r="P37">
        <v>1</v>
      </c>
      <c r="Q37">
        <f>VLOOKUP(C37,[2]!游戏物价查询,4,0)</f>
        <v>980</v>
      </c>
      <c r="R37">
        <f>SUM($F$2:F37)</f>
        <v>2298</v>
      </c>
      <c r="S37" s="17">
        <f t="shared" si="2"/>
        <v>9.7847358121330719E-3</v>
      </c>
      <c r="T37" s="18">
        <f>SUM(S34:S37)</f>
        <v>4.2661448140900199E-2</v>
      </c>
      <c r="U37" s="10"/>
      <c r="V37" s="1">
        <f>T37/T44</f>
        <v>1.2823529411764707</v>
      </c>
      <c r="W37">
        <f>(T37+T59*5)*12</f>
        <v>1.7917808219178082</v>
      </c>
      <c r="X37">
        <f>(SUMPRODUCT(S34:S37,E34:E37)+SUMPRODUCT(E45:E48,S45:S48)+SUMPRODUCT(E56:E59,S56:S59))*6</f>
        <v>1.1518590998043055</v>
      </c>
      <c r="Y37">
        <f>[2]马仔的投放!$AK$38</f>
        <v>1.4591406863922904</v>
      </c>
    </row>
    <row r="38" spans="1:25">
      <c r="A38">
        <v>37</v>
      </c>
      <c r="B38" s="10">
        <v>0</v>
      </c>
      <c r="C38" s="30">
        <v>78110</v>
      </c>
      <c r="D38" s="10" t="str">
        <f>IFERROR(VLOOKUP(C38,[1]引用表合并!$A$2:$B$1000,2,FALSE),"")</f>
        <v>马仔碎片(乌鸦)</v>
      </c>
      <c r="E38" s="10">
        <v>1</v>
      </c>
      <c r="F38" s="10">
        <v>30</v>
      </c>
      <c r="G38">
        <v>0</v>
      </c>
      <c r="H38">
        <f>ROUNDUP(ROUNDUP(VLOOKUP(C38,[2]!游戏物价查询,7,FALSE)*P38,0)*E38*$V$5,0)</f>
        <v>150</v>
      </c>
      <c r="I38">
        <f>IF(P38=0,ROUNDUP(VLOOKUP(C38,[2]!游戏物价查询,7,FALSE)*$V$3*E38/$V$4,0),0)</f>
        <v>0</v>
      </c>
      <c r="J38" s="10">
        <v>0</v>
      </c>
      <c r="K38">
        <f t="shared" si="1"/>
        <v>75</v>
      </c>
      <c r="L38" s="10"/>
      <c r="M38">
        <v>1</v>
      </c>
      <c r="N38" s="10">
        <v>100</v>
      </c>
      <c r="O38" s="10">
        <v>0</v>
      </c>
      <c r="P38">
        <v>1</v>
      </c>
      <c r="Q38">
        <f>VLOOKUP(C38,[2]!游戏物价查询,4,0)</f>
        <v>980</v>
      </c>
      <c r="R38">
        <f>SUM($F$2:F38)</f>
        <v>2328</v>
      </c>
      <c r="S38" s="17">
        <f t="shared" si="2"/>
        <v>5.8708414872798431E-3</v>
      </c>
      <c r="T38" s="18"/>
      <c r="U38" s="10"/>
    </row>
    <row r="39" spans="1:25">
      <c r="A39">
        <v>38</v>
      </c>
      <c r="B39" s="10">
        <v>0</v>
      </c>
      <c r="C39" s="29">
        <v>78109</v>
      </c>
      <c r="D39" s="10" t="str">
        <f>IFERROR(VLOOKUP(C39,[1]引用表合并!$A$2:$B$1000,2,FALSE),"")</f>
        <v>马仔碎片(司徒浩南)</v>
      </c>
      <c r="E39" s="10">
        <v>1</v>
      </c>
      <c r="F39" s="10">
        <v>20</v>
      </c>
      <c r="G39">
        <v>0</v>
      </c>
      <c r="H39">
        <f>ROUNDUP(ROUNDUP(VLOOKUP(C39,[2]!游戏物价查询,7,FALSE)*P39,0)*E39*$V$5,0)</f>
        <v>150</v>
      </c>
      <c r="I39">
        <f>IF(P39=0,ROUNDUP(VLOOKUP(C39,[2]!游戏物价查询,7,FALSE)*$V$3*E39/$V$4,0),0)</f>
        <v>0</v>
      </c>
      <c r="J39" s="10">
        <v>0</v>
      </c>
      <c r="K39">
        <f>ROUNDUP(H39*$V$2,0)</f>
        <v>75</v>
      </c>
      <c r="L39" s="10"/>
      <c r="M39">
        <v>1</v>
      </c>
      <c r="N39" s="10">
        <v>100</v>
      </c>
      <c r="O39" s="10">
        <v>0</v>
      </c>
      <c r="P39">
        <v>1</v>
      </c>
      <c r="Q39">
        <f>VLOOKUP(C39,[2]!游戏物价查询,4,0)</f>
        <v>980</v>
      </c>
      <c r="R39">
        <f>SUM($F$2:F39)</f>
        <v>2348</v>
      </c>
      <c r="S39" s="17">
        <f t="shared" si="2"/>
        <v>3.9138943248532287E-3</v>
      </c>
      <c r="T39" s="18"/>
      <c r="U39" s="10"/>
    </row>
    <row r="40" spans="1:25">
      <c r="A40">
        <v>39</v>
      </c>
      <c r="B40" s="10">
        <v>0</v>
      </c>
      <c r="C40" s="30">
        <v>78111</v>
      </c>
      <c r="D40" s="10" t="str">
        <f>IFERROR(VLOOKUP(C40,[1]引用表合并!$A$2:$B$1000,2,FALSE),"")</f>
        <v>马仔碎片(赌王)</v>
      </c>
      <c r="E40" s="10">
        <v>1</v>
      </c>
      <c r="F40" s="10">
        <v>28</v>
      </c>
      <c r="G40">
        <v>0</v>
      </c>
      <c r="H40">
        <f>ROUNDUP(ROUNDUP(VLOOKUP(C40,[2]!游戏物价查询,7,FALSE)*P40,0)*E40*$V$5,0)</f>
        <v>150</v>
      </c>
      <c r="I40">
        <f>IF(P40=0,ROUNDUP(VLOOKUP(C40,[2]!游戏物价查询,7,FALSE)*$V$3*E40/$V$4,0),0)</f>
        <v>0</v>
      </c>
      <c r="J40" s="10">
        <v>0</v>
      </c>
      <c r="K40">
        <f t="shared" si="1"/>
        <v>75</v>
      </c>
      <c r="L40" s="10"/>
      <c r="M40">
        <v>1</v>
      </c>
      <c r="N40" s="10">
        <v>100</v>
      </c>
      <c r="O40" s="10">
        <v>0</v>
      </c>
      <c r="P40">
        <v>1</v>
      </c>
      <c r="Q40">
        <f>VLOOKUP(C40,[2]!游戏物价查询,4,0)</f>
        <v>980</v>
      </c>
      <c r="R40">
        <f>SUM($F$2:F40)</f>
        <v>2376</v>
      </c>
      <c r="S40" s="17">
        <f t="shared" si="2"/>
        <v>5.4794520547945206E-3</v>
      </c>
      <c r="T40" s="18"/>
      <c r="U40" s="10"/>
    </row>
    <row r="41" spans="1:25">
      <c r="A41">
        <v>40</v>
      </c>
      <c r="B41" s="10">
        <v>0</v>
      </c>
      <c r="C41" s="30">
        <v>78112</v>
      </c>
      <c r="D41" s="10" t="str">
        <f>IFERROR(VLOOKUP(C41,[1]引用表合并!$A$2:$B$1000,2,FALSE),"")</f>
        <v>马仔碎片(山下忠秀)</v>
      </c>
      <c r="E41" s="10">
        <v>1</v>
      </c>
      <c r="F41" s="10">
        <v>26</v>
      </c>
      <c r="G41">
        <v>0</v>
      </c>
      <c r="H41">
        <f>ROUNDUP(ROUNDUP(VLOOKUP(C41,[2]!游戏物价查询,7,FALSE)*P41,0)*E41*$V$5,0)</f>
        <v>150</v>
      </c>
      <c r="I41">
        <f>IF(P41=0,ROUNDUP(VLOOKUP(C41,[2]!游戏物价查询,7,FALSE)*$V$3*E41/$V$4,0),0)</f>
        <v>0</v>
      </c>
      <c r="J41" s="10">
        <v>0</v>
      </c>
      <c r="K41">
        <f t="shared" si="1"/>
        <v>75</v>
      </c>
      <c r="L41" s="10"/>
      <c r="M41">
        <v>1</v>
      </c>
      <c r="N41" s="10">
        <v>100</v>
      </c>
      <c r="O41" s="10">
        <v>0</v>
      </c>
      <c r="P41">
        <v>1</v>
      </c>
      <c r="Q41">
        <f>VLOOKUP(C41,[2]!游戏物价查询,4,0)</f>
        <v>980</v>
      </c>
      <c r="R41">
        <f>SUM($F$2:F41)</f>
        <v>2402</v>
      </c>
      <c r="S41" s="17">
        <f t="shared" si="2"/>
        <v>5.0880626223091981E-3</v>
      </c>
      <c r="T41" s="18"/>
      <c r="U41" s="10"/>
    </row>
    <row r="42" spans="1:25">
      <c r="A42">
        <v>41</v>
      </c>
      <c r="B42" s="10">
        <v>0</v>
      </c>
      <c r="C42" s="30">
        <v>78113</v>
      </c>
      <c r="D42" s="10" t="str">
        <f>IFERROR(VLOOKUP(C42,[1]引用表合并!$A$2:$B$1000,2,FALSE),"")</f>
        <v>马仔碎片(宫本一)</v>
      </c>
      <c r="E42" s="10">
        <v>1</v>
      </c>
      <c r="F42" s="10">
        <v>24</v>
      </c>
      <c r="G42">
        <v>0</v>
      </c>
      <c r="H42">
        <f>ROUNDUP(ROUNDUP(VLOOKUP(C42,[2]!游戏物价查询,7,FALSE)*P42,0)*E42*$V$5,0)</f>
        <v>150</v>
      </c>
      <c r="I42">
        <f>IF(P42=0,ROUNDUP(VLOOKUP(C42,[2]!游戏物价查询,7,FALSE)*$V$3*E42/$V$4,0),0)</f>
        <v>0</v>
      </c>
      <c r="J42" s="10">
        <v>0</v>
      </c>
      <c r="K42">
        <f t="shared" si="1"/>
        <v>75</v>
      </c>
      <c r="L42" s="10"/>
      <c r="M42">
        <v>1</v>
      </c>
      <c r="N42" s="10">
        <v>100</v>
      </c>
      <c r="O42" s="10">
        <v>0</v>
      </c>
      <c r="P42">
        <v>1</v>
      </c>
      <c r="Q42">
        <f>VLOOKUP(C42,[2]!游戏物价查询,4,0)</f>
        <v>980</v>
      </c>
      <c r="R42">
        <f>SUM($F$2:F42)</f>
        <v>2426</v>
      </c>
      <c r="S42" s="17">
        <f t="shared" si="2"/>
        <v>4.6966731898238747E-3</v>
      </c>
      <c r="T42" s="18"/>
      <c r="U42" s="10"/>
    </row>
    <row r="43" spans="1:25">
      <c r="A43">
        <v>42</v>
      </c>
      <c r="B43" s="10">
        <v>0</v>
      </c>
      <c r="C43" s="36">
        <v>78118</v>
      </c>
      <c r="D43" s="10" t="str">
        <f>IFERROR(VLOOKUP(C43,[1]引用表合并!$A$2:$B$1000,2,FALSE),"")</f>
        <v>马仔碎片(耀阳)</v>
      </c>
      <c r="E43" s="10">
        <v>1</v>
      </c>
      <c r="F43" s="10">
        <v>22</v>
      </c>
      <c r="G43">
        <v>0</v>
      </c>
      <c r="H43">
        <f>ROUNDUP(ROUNDUP(VLOOKUP(C43,[2]!游戏物价查询,7,FALSE)*P43,0)*E43*$V$5,0)</f>
        <v>150</v>
      </c>
      <c r="I43">
        <f>IF(P43=0,ROUNDUP(VLOOKUP(C43,[2]!游戏物价查询,7,FALSE)*$V$3*E43/$V$4,0),0)</f>
        <v>0</v>
      </c>
      <c r="J43" s="10">
        <v>0</v>
      </c>
      <c r="K43">
        <f t="shared" si="1"/>
        <v>75</v>
      </c>
      <c r="L43" s="10"/>
      <c r="M43">
        <v>1</v>
      </c>
      <c r="N43" s="10">
        <v>100</v>
      </c>
      <c r="O43" s="10">
        <v>0</v>
      </c>
      <c r="P43">
        <v>1</v>
      </c>
      <c r="Q43">
        <f>VLOOKUP(C43,[2]!游戏物价查询,4,0)</f>
        <v>980</v>
      </c>
      <c r="R43">
        <f>SUM($F$2:F43)</f>
        <v>2448</v>
      </c>
      <c r="S43" s="17">
        <f t="shared" si="2"/>
        <v>4.3052837573385521E-3</v>
      </c>
      <c r="T43" s="18"/>
      <c r="U43" s="10"/>
    </row>
    <row r="44" spans="1:25">
      <c r="A44">
        <v>43</v>
      </c>
      <c r="B44" s="10">
        <v>0</v>
      </c>
      <c r="C44" s="36">
        <v>78119</v>
      </c>
      <c r="D44" s="10" t="str">
        <f>IFERROR(VLOOKUP(C44,[1]引用表合并!$A$2:$B$1000,2,FALSE),"")</f>
        <v>马仔碎片(笑面虎)</v>
      </c>
      <c r="E44" s="10">
        <v>1</v>
      </c>
      <c r="F44" s="10">
        <v>20</v>
      </c>
      <c r="G44">
        <v>0</v>
      </c>
      <c r="H44">
        <f>ROUNDUP(ROUNDUP(VLOOKUP(C44,[2]!游戏物价查询,7,FALSE)*P44,0)*E44*$V$5,0)</f>
        <v>150</v>
      </c>
      <c r="I44">
        <f>IF(P44=0,ROUNDUP(VLOOKUP(C44,[2]!游戏物价查询,7,FALSE)*$V$3*E44/$V$4,0),0)</f>
        <v>0</v>
      </c>
      <c r="J44" s="10">
        <v>0</v>
      </c>
      <c r="K44">
        <f t="shared" si="1"/>
        <v>75</v>
      </c>
      <c r="L44" s="10"/>
      <c r="M44">
        <v>1</v>
      </c>
      <c r="N44" s="10">
        <v>100</v>
      </c>
      <c r="O44" s="10">
        <v>0</v>
      </c>
      <c r="P44">
        <v>1</v>
      </c>
      <c r="Q44">
        <f>VLOOKUP(C44,[2]!游戏物价查询,4,0)</f>
        <v>980</v>
      </c>
      <c r="R44">
        <f>SUM($F$2:F44)</f>
        <v>2468</v>
      </c>
      <c r="S44" s="17">
        <f t="shared" si="2"/>
        <v>3.9138943248532287E-3</v>
      </c>
      <c r="T44" s="18">
        <f>SUM(S38:S44)</f>
        <v>3.3268101761252444E-2</v>
      </c>
      <c r="U44" s="10"/>
      <c r="W44">
        <f>(T44+T66*5)*12</f>
        <v>1.3972602739726026</v>
      </c>
      <c r="X44">
        <f>(SUMPRODUCT(S38:S44,E38:E44)+SUMPRODUCT(E49:E55,S49:S55)+SUMPRODUCT(E60:E66,S60:S66))*6</f>
        <v>0.89823874755381605</v>
      </c>
      <c r="Y44">
        <f>[2]马仔的投放!$AK$39</f>
        <v>0.84988510815967333</v>
      </c>
    </row>
    <row r="45" spans="1:25">
      <c r="A45">
        <v>44</v>
      </c>
      <c r="B45" s="10">
        <v>0</v>
      </c>
      <c r="C45" s="29">
        <v>78106</v>
      </c>
      <c r="D45" s="10" t="str">
        <f>IFERROR(VLOOKUP(C45,[1]引用表合并!$A$2:$B$1000,2,FALSE),"")</f>
        <v>马仔碎片(靓坤)</v>
      </c>
      <c r="E45" s="10">
        <v>2</v>
      </c>
      <c r="F45" s="10">
        <f t="shared" ref="F45:F55" si="3">F34</f>
        <v>58</v>
      </c>
      <c r="G45">
        <v>0</v>
      </c>
      <c r="H45">
        <f>ROUNDUP(ROUNDUP(VLOOKUP(C45,[2]!游戏物价查询,7,FALSE)*P45,0)*E45*$V$5,0)</f>
        <v>0</v>
      </c>
      <c r="I45">
        <f>IF(P45=0,ROUNDUP(VLOOKUP(C45,[2]!游戏物价查询,7,FALSE)*$V$3*E45/$V$4,0),0)</f>
        <v>10</v>
      </c>
      <c r="J45" s="10">
        <v>0</v>
      </c>
      <c r="K45">
        <f t="shared" si="1"/>
        <v>0</v>
      </c>
      <c r="L45" s="10"/>
      <c r="M45">
        <v>1</v>
      </c>
      <c r="N45" s="10">
        <v>100</v>
      </c>
      <c r="O45" s="10">
        <v>0</v>
      </c>
      <c r="P45">
        <v>0</v>
      </c>
      <c r="Q45">
        <f>VLOOKUP(C45,[2]!游戏物价查询,4,0)</f>
        <v>980</v>
      </c>
      <c r="R45">
        <f>SUM($F$2:F45)</f>
        <v>2526</v>
      </c>
      <c r="S45" s="17">
        <f t="shared" si="2"/>
        <v>1.1350293542074364E-2</v>
      </c>
      <c r="T45" s="18"/>
      <c r="U45" s="10"/>
    </row>
    <row r="46" spans="1:25">
      <c r="A46">
        <v>45</v>
      </c>
      <c r="B46" s="10">
        <v>0</v>
      </c>
      <c r="C46" s="29">
        <v>78107</v>
      </c>
      <c r="D46" s="10" t="str">
        <f>IFERROR(VLOOKUP(C46,[1]引用表合并!$A$2:$B$1000,2,FALSE),"")</f>
        <v>马仔碎片(雷复轰)</v>
      </c>
      <c r="E46" s="10">
        <v>2</v>
      </c>
      <c r="F46" s="10">
        <f t="shared" si="3"/>
        <v>56</v>
      </c>
      <c r="G46">
        <v>0</v>
      </c>
      <c r="H46">
        <f>ROUNDUP(ROUNDUP(VLOOKUP(C46,[2]!游戏物价查询,7,FALSE)*P46,0)*E46*$V$5,0)</f>
        <v>0</v>
      </c>
      <c r="I46">
        <f>IF(P46=0,ROUNDUP(VLOOKUP(C46,[2]!游戏物价查询,7,FALSE)*$V$3*E46/$V$4,0),0)</f>
        <v>10</v>
      </c>
      <c r="J46" s="10">
        <v>0</v>
      </c>
      <c r="K46">
        <f t="shared" si="1"/>
        <v>0</v>
      </c>
      <c r="L46" s="10"/>
      <c r="M46">
        <v>1</v>
      </c>
      <c r="N46" s="10">
        <v>100</v>
      </c>
      <c r="O46" s="10">
        <v>0</v>
      </c>
      <c r="P46">
        <v>0</v>
      </c>
      <c r="Q46">
        <f>VLOOKUP(C46,[2]!游戏物价查询,4,0)</f>
        <v>980</v>
      </c>
      <c r="R46">
        <f>SUM($F$2:F46)</f>
        <v>2582</v>
      </c>
      <c r="S46" s="17">
        <f t="shared" si="2"/>
        <v>1.0958904109589041E-2</v>
      </c>
      <c r="T46" s="18"/>
      <c r="U46" s="10"/>
    </row>
    <row r="47" spans="1:25">
      <c r="A47">
        <v>46</v>
      </c>
      <c r="B47" s="10">
        <v>0</v>
      </c>
      <c r="C47" s="29">
        <v>78108</v>
      </c>
      <c r="D47" s="10" t="str">
        <f>IFERROR(VLOOKUP(C47,[1]引用表合并!$A$2:$B$1000,2,FALSE),"")</f>
        <v>马仔碎片(肥仔)</v>
      </c>
      <c r="E47" s="10">
        <v>2</v>
      </c>
      <c r="F47" s="10">
        <f t="shared" si="3"/>
        <v>54</v>
      </c>
      <c r="G47">
        <v>0</v>
      </c>
      <c r="H47">
        <f>ROUNDUP(ROUNDUP(VLOOKUP(C47,[2]!游戏物价查询,7,FALSE)*P47,0)*E47*$V$5,0)</f>
        <v>0</v>
      </c>
      <c r="I47">
        <f>IF(P47=0,ROUNDUP(VLOOKUP(C47,[2]!游戏物价查询,7,FALSE)*$V$3*E47/$V$4,0),0)</f>
        <v>10</v>
      </c>
      <c r="J47" s="10">
        <v>0</v>
      </c>
      <c r="K47">
        <f t="shared" si="1"/>
        <v>0</v>
      </c>
      <c r="L47" s="10"/>
      <c r="M47">
        <v>1</v>
      </c>
      <c r="N47" s="10">
        <v>100</v>
      </c>
      <c r="O47" s="10">
        <v>0</v>
      </c>
      <c r="P47">
        <v>0</v>
      </c>
      <c r="Q47">
        <f>VLOOKUP(C47,[2]!游戏物价查询,4,0)</f>
        <v>980</v>
      </c>
      <c r="R47">
        <f>SUM($F$2:F47)</f>
        <v>2636</v>
      </c>
      <c r="S47" s="17">
        <f t="shared" si="2"/>
        <v>1.0567514677103719E-2</v>
      </c>
      <c r="T47" s="18"/>
      <c r="U47" s="10"/>
    </row>
    <row r="48" spans="1:25">
      <c r="A48">
        <v>47</v>
      </c>
      <c r="B48" s="10">
        <v>0</v>
      </c>
      <c r="C48" s="8">
        <v>78117</v>
      </c>
      <c r="D48" s="10" t="str">
        <f>IFERROR(VLOOKUP(C48,[1]引用表合并!$A$2:$B$1000,2,FALSE),"")</f>
        <v>马仔碎片(巴闭)</v>
      </c>
      <c r="E48" s="10">
        <v>2</v>
      </c>
      <c r="F48" s="10">
        <f t="shared" si="3"/>
        <v>50</v>
      </c>
      <c r="G48">
        <v>0</v>
      </c>
      <c r="H48">
        <f>ROUNDUP(ROUNDUP(VLOOKUP(C48,[2]!游戏物价查询,7,FALSE)*P48,0)*E48*$V$5,0)</f>
        <v>0</v>
      </c>
      <c r="I48">
        <f>IF(P48=0,ROUNDUP(VLOOKUP(C48,[2]!游戏物价查询,7,FALSE)*$V$3*E48/$V$4,0),0)</f>
        <v>10</v>
      </c>
      <c r="J48" s="10">
        <v>0</v>
      </c>
      <c r="K48">
        <f t="shared" si="1"/>
        <v>0</v>
      </c>
      <c r="L48" s="10"/>
      <c r="M48">
        <v>1</v>
      </c>
      <c r="N48" s="10">
        <v>100</v>
      </c>
      <c r="O48" s="10">
        <v>0</v>
      </c>
      <c r="P48">
        <v>0</v>
      </c>
      <c r="Q48">
        <f>VLOOKUP(C48,[2]!游戏物价查询,4,0)</f>
        <v>980</v>
      </c>
      <c r="R48">
        <f>SUM($F$2:F48)</f>
        <v>2686</v>
      </c>
      <c r="S48" s="17">
        <f t="shared" si="2"/>
        <v>9.7847358121330719E-3</v>
      </c>
      <c r="T48" s="18">
        <f>SUM(S45:S48)</f>
        <v>4.2661448140900199E-2</v>
      </c>
      <c r="U48" s="10"/>
    </row>
    <row r="49" spans="1:21">
      <c r="A49">
        <v>48</v>
      </c>
      <c r="B49" s="10">
        <v>0</v>
      </c>
      <c r="C49" s="30">
        <v>78110</v>
      </c>
      <c r="D49" s="10" t="str">
        <f>IFERROR(VLOOKUP(C49,[1]引用表合并!$A$2:$B$1000,2,FALSE),"")</f>
        <v>马仔碎片(乌鸦)</v>
      </c>
      <c r="E49" s="10">
        <v>2</v>
      </c>
      <c r="F49" s="10">
        <f t="shared" si="3"/>
        <v>30</v>
      </c>
      <c r="G49">
        <v>0</v>
      </c>
      <c r="H49">
        <f>ROUNDUP(ROUNDUP(VLOOKUP(C49,[2]!游戏物价查询,7,FALSE)*P49,0)*E49*$V$5,0)</f>
        <v>0</v>
      </c>
      <c r="I49">
        <f>IF(P49=0,ROUNDUP(VLOOKUP(C49,[2]!游戏物价查询,7,FALSE)*$V$3*E49/$V$4,0),0)</f>
        <v>20</v>
      </c>
      <c r="J49" s="10">
        <v>0</v>
      </c>
      <c r="K49">
        <f t="shared" si="1"/>
        <v>0</v>
      </c>
      <c r="L49" s="10"/>
      <c r="M49">
        <v>1</v>
      </c>
      <c r="N49" s="10">
        <v>100</v>
      </c>
      <c r="O49" s="10">
        <v>0</v>
      </c>
      <c r="P49">
        <v>0</v>
      </c>
      <c r="Q49">
        <f>VLOOKUP(C49,[2]!游戏物价查询,4,0)</f>
        <v>980</v>
      </c>
      <c r="R49">
        <f>SUM($F$2:F49)</f>
        <v>2716</v>
      </c>
      <c r="S49" s="17">
        <f t="shared" si="2"/>
        <v>5.8708414872798431E-3</v>
      </c>
      <c r="T49" s="18"/>
      <c r="U49" s="10"/>
    </row>
    <row r="50" spans="1:21">
      <c r="A50">
        <v>49</v>
      </c>
      <c r="B50" s="10">
        <v>0</v>
      </c>
      <c r="C50" s="29">
        <v>78109</v>
      </c>
      <c r="D50" s="10" t="str">
        <f>IFERROR(VLOOKUP(C50,[1]引用表合并!$A$2:$B$1000,2,FALSE),"")</f>
        <v>马仔碎片(司徒浩南)</v>
      </c>
      <c r="E50" s="10">
        <v>2</v>
      </c>
      <c r="F50" s="10">
        <f t="shared" si="3"/>
        <v>20</v>
      </c>
      <c r="G50">
        <v>0</v>
      </c>
      <c r="H50">
        <f>ROUNDUP(ROUNDUP(VLOOKUP(C50,[2]!游戏物价查询,7,FALSE)*P50,0)*E50*$V$5,0)</f>
        <v>0</v>
      </c>
      <c r="I50">
        <f>IF(P50=0,ROUNDUP(VLOOKUP(C50,[2]!游戏物价查询,7,FALSE)*$V$3*E50/$V$4,0),0)</f>
        <v>20</v>
      </c>
      <c r="J50" s="10">
        <v>0</v>
      </c>
      <c r="K50">
        <f>ROUNDUP(H50*$V$2,0)</f>
        <v>0</v>
      </c>
      <c r="L50" s="10"/>
      <c r="M50">
        <v>1</v>
      </c>
      <c r="N50" s="10">
        <v>100</v>
      </c>
      <c r="O50" s="10">
        <v>0</v>
      </c>
      <c r="P50">
        <v>0</v>
      </c>
      <c r="Q50">
        <f>VLOOKUP(C50,[2]!游戏物价查询,4,0)</f>
        <v>980</v>
      </c>
      <c r="R50">
        <f>SUM($F$2:F50)</f>
        <v>2736</v>
      </c>
      <c r="S50" s="17">
        <f t="shared" si="2"/>
        <v>3.9138943248532287E-3</v>
      </c>
      <c r="T50" s="18"/>
      <c r="U50" s="10"/>
    </row>
    <row r="51" spans="1:21">
      <c r="A51">
        <v>50</v>
      </c>
      <c r="B51" s="10">
        <v>0</v>
      </c>
      <c r="C51" s="30">
        <v>78111</v>
      </c>
      <c r="D51" s="10" t="str">
        <f>IFERROR(VLOOKUP(C51,[1]引用表合并!$A$2:$B$1000,2,FALSE),"")</f>
        <v>马仔碎片(赌王)</v>
      </c>
      <c r="E51" s="10">
        <v>2</v>
      </c>
      <c r="F51" s="10">
        <f t="shared" si="3"/>
        <v>28</v>
      </c>
      <c r="G51">
        <v>0</v>
      </c>
      <c r="H51">
        <f>ROUNDUP(ROUNDUP(VLOOKUP(C51,[2]!游戏物价查询,7,FALSE)*P51,0)*E51*$V$5,0)</f>
        <v>0</v>
      </c>
      <c r="I51">
        <f>IF(P51=0,ROUNDUP(VLOOKUP(C51,[2]!游戏物价查询,7,FALSE)*$V$3*E51/$V$4,0),0)</f>
        <v>20</v>
      </c>
      <c r="J51" s="10">
        <v>0</v>
      </c>
      <c r="K51">
        <f t="shared" si="1"/>
        <v>0</v>
      </c>
      <c r="L51" s="10"/>
      <c r="M51">
        <v>1</v>
      </c>
      <c r="N51" s="10">
        <v>100</v>
      </c>
      <c r="O51" s="10">
        <v>0</v>
      </c>
      <c r="P51">
        <v>0</v>
      </c>
      <c r="Q51">
        <f>VLOOKUP(C51,[2]!游戏物价查询,4,0)</f>
        <v>980</v>
      </c>
      <c r="R51">
        <f>SUM($F$2:F51)</f>
        <v>2764</v>
      </c>
      <c r="S51" s="17">
        <f t="shared" si="2"/>
        <v>5.4794520547945206E-3</v>
      </c>
      <c r="T51" s="18"/>
      <c r="U51" s="10"/>
    </row>
    <row r="52" spans="1:21">
      <c r="A52">
        <v>51</v>
      </c>
      <c r="B52" s="10">
        <v>0</v>
      </c>
      <c r="C52" s="30">
        <v>78112</v>
      </c>
      <c r="D52" s="10" t="str">
        <f>IFERROR(VLOOKUP(C52,[1]引用表合并!$A$2:$B$1000,2,FALSE),"")</f>
        <v>马仔碎片(山下忠秀)</v>
      </c>
      <c r="E52" s="10">
        <v>2</v>
      </c>
      <c r="F52" s="10">
        <f t="shared" si="3"/>
        <v>26</v>
      </c>
      <c r="G52">
        <v>0</v>
      </c>
      <c r="H52">
        <f>ROUNDUP(ROUNDUP(VLOOKUP(C52,[2]!游戏物价查询,7,FALSE)*P52,0)*E52*$V$5,0)</f>
        <v>0</v>
      </c>
      <c r="I52">
        <f>IF(P52=0,ROUNDUP(VLOOKUP(C52,[2]!游戏物价查询,7,FALSE)*$V$3*E52/$V$4,0),0)</f>
        <v>20</v>
      </c>
      <c r="J52" s="10">
        <v>0</v>
      </c>
      <c r="K52">
        <f t="shared" si="1"/>
        <v>0</v>
      </c>
      <c r="L52" s="10"/>
      <c r="M52">
        <v>1</v>
      </c>
      <c r="N52" s="10">
        <v>100</v>
      </c>
      <c r="O52" s="10">
        <v>0</v>
      </c>
      <c r="P52">
        <v>0</v>
      </c>
      <c r="Q52">
        <f>VLOOKUP(C52,[2]!游戏物价查询,4,0)</f>
        <v>980</v>
      </c>
      <c r="R52">
        <f>SUM($F$2:F52)</f>
        <v>2790</v>
      </c>
      <c r="S52" s="17">
        <f t="shared" si="2"/>
        <v>5.0880626223091981E-3</v>
      </c>
      <c r="T52" s="18"/>
      <c r="U52" s="10"/>
    </row>
    <row r="53" spans="1:21">
      <c r="A53">
        <v>52</v>
      </c>
      <c r="B53" s="10">
        <v>0</v>
      </c>
      <c r="C53" s="30">
        <v>78113</v>
      </c>
      <c r="D53" s="10" t="str">
        <f>IFERROR(VLOOKUP(C53,[1]引用表合并!$A$2:$B$1000,2,FALSE),"")</f>
        <v>马仔碎片(宫本一)</v>
      </c>
      <c r="E53" s="10">
        <v>2</v>
      </c>
      <c r="F53" s="10">
        <f t="shared" si="3"/>
        <v>24</v>
      </c>
      <c r="G53">
        <v>0</v>
      </c>
      <c r="H53">
        <f>ROUNDUP(ROUNDUP(VLOOKUP(C53,[2]!游戏物价查询,7,FALSE)*P53,0)*E53*$V$5,0)</f>
        <v>0</v>
      </c>
      <c r="I53">
        <f>IF(P53=0,ROUNDUP(VLOOKUP(C53,[2]!游戏物价查询,7,FALSE)*$V$3*E53/$V$4,0),0)</f>
        <v>20</v>
      </c>
      <c r="J53" s="10">
        <v>0</v>
      </c>
      <c r="K53">
        <f t="shared" si="1"/>
        <v>0</v>
      </c>
      <c r="L53" s="10"/>
      <c r="M53">
        <v>1</v>
      </c>
      <c r="N53" s="10">
        <v>100</v>
      </c>
      <c r="O53" s="10">
        <v>0</v>
      </c>
      <c r="P53">
        <v>0</v>
      </c>
      <c r="Q53">
        <f>VLOOKUP(C53,[2]!游戏物价查询,4,0)</f>
        <v>980</v>
      </c>
      <c r="R53">
        <f>SUM($F$2:F53)</f>
        <v>2814</v>
      </c>
      <c r="S53" s="17">
        <f t="shared" si="2"/>
        <v>4.6966731898238747E-3</v>
      </c>
      <c r="T53" s="18"/>
      <c r="U53" s="10"/>
    </row>
    <row r="54" spans="1:21">
      <c r="A54">
        <v>53</v>
      </c>
      <c r="B54" s="10">
        <v>0</v>
      </c>
      <c r="C54" s="36">
        <v>78118</v>
      </c>
      <c r="D54" s="10" t="str">
        <f>IFERROR(VLOOKUP(C54,[1]引用表合并!$A$2:$B$1000,2,FALSE),"")</f>
        <v>马仔碎片(耀阳)</v>
      </c>
      <c r="E54" s="10">
        <v>2</v>
      </c>
      <c r="F54" s="10">
        <f t="shared" si="3"/>
        <v>22</v>
      </c>
      <c r="G54">
        <v>0</v>
      </c>
      <c r="H54">
        <f>ROUNDUP(ROUNDUP(VLOOKUP(C54,[2]!游戏物价查询,7,FALSE)*P54,0)*E54*$V$5,0)</f>
        <v>0</v>
      </c>
      <c r="I54">
        <f>IF(P54=0,ROUNDUP(VLOOKUP(C54,[2]!游戏物价查询,7,FALSE)*$V$3*E54/$V$4,0),0)</f>
        <v>20</v>
      </c>
      <c r="J54" s="10">
        <v>0</v>
      </c>
      <c r="K54">
        <f t="shared" si="1"/>
        <v>0</v>
      </c>
      <c r="L54" s="10"/>
      <c r="M54">
        <v>1</v>
      </c>
      <c r="N54" s="10">
        <v>100</v>
      </c>
      <c r="O54" s="10">
        <v>0</v>
      </c>
      <c r="P54">
        <v>0</v>
      </c>
      <c r="Q54">
        <f>VLOOKUP(C54,[2]!游戏物价查询,4,0)</f>
        <v>980</v>
      </c>
      <c r="R54">
        <f>SUM($F$2:F54)</f>
        <v>2836</v>
      </c>
      <c r="S54" s="17">
        <f t="shared" si="2"/>
        <v>4.3052837573385521E-3</v>
      </c>
      <c r="T54" s="18"/>
      <c r="U54" s="10"/>
    </row>
    <row r="55" spans="1:21">
      <c r="A55">
        <v>54</v>
      </c>
      <c r="B55" s="10">
        <v>0</v>
      </c>
      <c r="C55" s="36">
        <v>78119</v>
      </c>
      <c r="D55" s="10" t="str">
        <f>IFERROR(VLOOKUP(C55,[1]引用表合并!$A$2:$B$1000,2,FALSE),"")</f>
        <v>马仔碎片(笑面虎)</v>
      </c>
      <c r="E55" s="10">
        <v>2</v>
      </c>
      <c r="F55" s="10">
        <f t="shared" si="3"/>
        <v>20</v>
      </c>
      <c r="G55">
        <v>0</v>
      </c>
      <c r="H55">
        <f>ROUNDUP(ROUNDUP(VLOOKUP(C55,[2]!游戏物价查询,7,FALSE)*P55,0)*E55*$V$5,0)</f>
        <v>0</v>
      </c>
      <c r="I55">
        <f>IF(P55=0,ROUNDUP(VLOOKUP(C55,[2]!游戏物价查询,7,FALSE)*$V$3*E55/$V$4,0),0)</f>
        <v>20</v>
      </c>
      <c r="J55" s="10">
        <v>0</v>
      </c>
      <c r="K55">
        <f t="shared" si="1"/>
        <v>0</v>
      </c>
      <c r="L55" s="10"/>
      <c r="M55">
        <v>1</v>
      </c>
      <c r="N55" s="10">
        <v>100</v>
      </c>
      <c r="O55" s="10">
        <v>0</v>
      </c>
      <c r="P55">
        <v>0</v>
      </c>
      <c r="Q55">
        <f>VLOOKUP(C55,[2]!游戏物价查询,4,0)</f>
        <v>980</v>
      </c>
      <c r="R55">
        <f>SUM($F$2:F55)</f>
        <v>2856</v>
      </c>
      <c r="S55" s="17">
        <f t="shared" si="2"/>
        <v>3.9138943248532287E-3</v>
      </c>
      <c r="T55" s="18">
        <f>SUM(S49:S55)</f>
        <v>3.3268101761252444E-2</v>
      </c>
      <c r="U55" s="10"/>
    </row>
    <row r="56" spans="1:21">
      <c r="A56">
        <v>55</v>
      </c>
      <c r="B56" s="10">
        <v>0</v>
      </c>
      <c r="C56" s="29">
        <v>78106</v>
      </c>
      <c r="D56" s="10" t="str">
        <f>IFERROR(VLOOKUP(C56,[1]引用表合并!$A$2:$B$1000,2,FALSE),"")</f>
        <v>马仔碎片(靓坤)</v>
      </c>
      <c r="E56" s="10">
        <v>3</v>
      </c>
      <c r="F56" s="10">
        <f t="shared" ref="F56:F66" si="4">F34/2</f>
        <v>29</v>
      </c>
      <c r="G56">
        <v>0</v>
      </c>
      <c r="H56">
        <f>ROUNDUP(ROUNDUP(VLOOKUP(C56,[2]!游戏物价查询,7,FALSE)*P56,0)*E56*$V$5,0)</f>
        <v>0</v>
      </c>
      <c r="I56">
        <f>IF(P56=0,ROUNDUP(VLOOKUP(C56,[2]!游戏物价查询,7,FALSE)*$V$3*E56/$V$4,0),0)</f>
        <v>15</v>
      </c>
      <c r="J56" s="10">
        <v>0</v>
      </c>
      <c r="K56">
        <f t="shared" si="1"/>
        <v>0</v>
      </c>
      <c r="L56" s="10"/>
      <c r="M56">
        <v>1</v>
      </c>
      <c r="N56" s="10">
        <v>100</v>
      </c>
      <c r="O56" s="10">
        <v>0</v>
      </c>
      <c r="P56">
        <v>0</v>
      </c>
      <c r="Q56">
        <f>VLOOKUP(C56,[2]!游戏物价查询,4,0)</f>
        <v>980</v>
      </c>
      <c r="R56">
        <f>SUM($F$2:F56)</f>
        <v>2885</v>
      </c>
      <c r="S56" s="17">
        <f t="shared" si="2"/>
        <v>5.6751467710371819E-3</v>
      </c>
      <c r="T56" s="18"/>
      <c r="U56" s="10"/>
    </row>
    <row r="57" spans="1:21">
      <c r="A57">
        <v>56</v>
      </c>
      <c r="B57" s="10">
        <v>0</v>
      </c>
      <c r="C57" s="29">
        <v>78107</v>
      </c>
      <c r="D57" s="10" t="str">
        <f>IFERROR(VLOOKUP(C57,[1]引用表合并!$A$2:$B$1000,2,FALSE),"")</f>
        <v>马仔碎片(雷复轰)</v>
      </c>
      <c r="E57" s="10">
        <v>3</v>
      </c>
      <c r="F57" s="10">
        <f t="shared" si="4"/>
        <v>28</v>
      </c>
      <c r="G57">
        <v>0</v>
      </c>
      <c r="H57">
        <f>ROUNDUP(ROUNDUP(VLOOKUP(C57,[2]!游戏物价查询,7,FALSE)*P57,0)*E57*$V$5,0)</f>
        <v>0</v>
      </c>
      <c r="I57">
        <f>IF(P57=0,ROUNDUP(VLOOKUP(C57,[2]!游戏物价查询,7,FALSE)*$V$3*E57/$V$4,0),0)</f>
        <v>15</v>
      </c>
      <c r="J57" s="10">
        <v>0</v>
      </c>
      <c r="K57">
        <f t="shared" si="1"/>
        <v>0</v>
      </c>
      <c r="L57" s="10"/>
      <c r="M57">
        <v>1</v>
      </c>
      <c r="N57" s="10">
        <v>100</v>
      </c>
      <c r="O57" s="10">
        <v>0</v>
      </c>
      <c r="P57">
        <v>0</v>
      </c>
      <c r="Q57">
        <f>VLOOKUP(C57,[2]!游戏物价查询,4,0)</f>
        <v>980</v>
      </c>
      <c r="R57">
        <f>SUM($F$2:F57)</f>
        <v>2913</v>
      </c>
      <c r="S57" s="17">
        <f t="shared" si="2"/>
        <v>5.4794520547945206E-3</v>
      </c>
      <c r="T57" s="18"/>
      <c r="U57" s="10"/>
    </row>
    <row r="58" spans="1:21">
      <c r="A58">
        <v>57</v>
      </c>
      <c r="B58" s="10">
        <v>0</v>
      </c>
      <c r="C58" s="29">
        <v>78108</v>
      </c>
      <c r="D58" s="10" t="str">
        <f>IFERROR(VLOOKUP(C58,[1]引用表合并!$A$2:$B$1000,2,FALSE),"")</f>
        <v>马仔碎片(肥仔)</v>
      </c>
      <c r="E58" s="10">
        <v>3</v>
      </c>
      <c r="F58" s="10">
        <f t="shared" si="4"/>
        <v>27</v>
      </c>
      <c r="G58">
        <v>0</v>
      </c>
      <c r="H58">
        <f>ROUNDUP(ROUNDUP(VLOOKUP(C58,[2]!游戏物价查询,7,FALSE)*P58,0)*E58*$V$5,0)</f>
        <v>0</v>
      </c>
      <c r="I58">
        <f>IF(P58=0,ROUNDUP(VLOOKUP(C58,[2]!游戏物价查询,7,FALSE)*$V$3*E58/$V$4,0),0)</f>
        <v>15</v>
      </c>
      <c r="J58" s="10">
        <v>0</v>
      </c>
      <c r="K58">
        <f t="shared" si="1"/>
        <v>0</v>
      </c>
      <c r="L58" s="10"/>
      <c r="M58">
        <v>1</v>
      </c>
      <c r="N58" s="10">
        <v>100</v>
      </c>
      <c r="O58" s="10">
        <v>0</v>
      </c>
      <c r="P58">
        <v>0</v>
      </c>
      <c r="Q58">
        <f>VLOOKUP(C58,[2]!游戏物价查询,4,0)</f>
        <v>980</v>
      </c>
      <c r="R58">
        <f>SUM($F$2:F58)</f>
        <v>2940</v>
      </c>
      <c r="S58" s="17">
        <f t="shared" si="2"/>
        <v>5.2837573385518593E-3</v>
      </c>
      <c r="T58" s="18"/>
      <c r="U58" s="10"/>
    </row>
    <row r="59" spans="1:21">
      <c r="A59">
        <v>58</v>
      </c>
      <c r="B59" s="10">
        <v>0</v>
      </c>
      <c r="C59" s="8">
        <v>78117</v>
      </c>
      <c r="D59" s="10" t="str">
        <f>IFERROR(VLOOKUP(C59,[1]引用表合并!$A$2:$B$1000,2,FALSE),"")</f>
        <v>马仔碎片(巴闭)</v>
      </c>
      <c r="E59" s="10">
        <v>3</v>
      </c>
      <c r="F59" s="10">
        <f t="shared" si="4"/>
        <v>25</v>
      </c>
      <c r="G59">
        <v>0</v>
      </c>
      <c r="H59">
        <f>ROUNDUP(ROUNDUP(VLOOKUP(C59,[2]!游戏物价查询,7,FALSE)*P59,0)*E59*$V$5,0)</f>
        <v>0</v>
      </c>
      <c r="I59">
        <f>IF(P59=0,ROUNDUP(VLOOKUP(C59,[2]!游戏物价查询,7,FALSE)*$V$3*E59/$V$4,0),0)</f>
        <v>15</v>
      </c>
      <c r="J59" s="10">
        <v>0</v>
      </c>
      <c r="K59">
        <f t="shared" si="1"/>
        <v>0</v>
      </c>
      <c r="L59" s="10"/>
      <c r="M59">
        <v>1</v>
      </c>
      <c r="N59" s="10">
        <v>100</v>
      </c>
      <c r="O59" s="10">
        <v>0</v>
      </c>
      <c r="P59">
        <v>0</v>
      </c>
      <c r="Q59">
        <f>VLOOKUP(C59,[2]!游戏物价查询,4,0)</f>
        <v>980</v>
      </c>
      <c r="R59">
        <f>SUM($F$2:F59)</f>
        <v>2965</v>
      </c>
      <c r="S59" s="17">
        <f t="shared" si="2"/>
        <v>4.8923679060665359E-3</v>
      </c>
      <c r="T59" s="18">
        <f>SUM(S56:S59)</f>
        <v>2.1330724070450099E-2</v>
      </c>
      <c r="U59" s="10"/>
    </row>
    <row r="60" spans="1:21">
      <c r="A60">
        <v>59</v>
      </c>
      <c r="B60" s="10">
        <v>0</v>
      </c>
      <c r="C60" s="30">
        <v>78110</v>
      </c>
      <c r="D60" s="10" t="str">
        <f>IFERROR(VLOOKUP(C60,[1]引用表合并!$A$2:$B$1000,2,FALSE),"")</f>
        <v>马仔碎片(乌鸦)</v>
      </c>
      <c r="E60" s="10">
        <v>3</v>
      </c>
      <c r="F60" s="10">
        <f t="shared" si="4"/>
        <v>15</v>
      </c>
      <c r="G60">
        <v>0</v>
      </c>
      <c r="H60">
        <f>ROUNDUP(ROUNDUP(VLOOKUP(C60,[2]!游戏物价查询,7,FALSE)*P60,0)*E60*$V$5,0)</f>
        <v>0</v>
      </c>
      <c r="I60">
        <f>IF(P60=0,ROUNDUP(VLOOKUP(C60,[2]!游戏物价查询,7,FALSE)*$V$3*E60/$V$4,0),0)</f>
        <v>30</v>
      </c>
      <c r="J60" s="10">
        <v>0</v>
      </c>
      <c r="K60">
        <f t="shared" si="1"/>
        <v>0</v>
      </c>
      <c r="L60" s="10"/>
      <c r="M60">
        <v>1</v>
      </c>
      <c r="N60" s="10">
        <v>100</v>
      </c>
      <c r="O60" s="10">
        <v>0</v>
      </c>
      <c r="P60">
        <v>0</v>
      </c>
      <c r="Q60">
        <f>VLOOKUP(C60,[2]!游戏物价查询,4,0)</f>
        <v>980</v>
      </c>
      <c r="R60">
        <f>SUM($F$2:F60)</f>
        <v>2980</v>
      </c>
      <c r="S60" s="17">
        <f t="shared" si="2"/>
        <v>2.9354207436399216E-3</v>
      </c>
      <c r="T60" s="18"/>
      <c r="U60" s="10"/>
    </row>
    <row r="61" spans="1:21">
      <c r="A61">
        <v>60</v>
      </c>
      <c r="B61" s="10">
        <v>0</v>
      </c>
      <c r="C61" s="29">
        <v>78109</v>
      </c>
      <c r="D61" s="10" t="str">
        <f>IFERROR(VLOOKUP(C61,[1]引用表合并!$A$2:$B$1000,2,FALSE),"")</f>
        <v>马仔碎片(司徒浩南)</v>
      </c>
      <c r="E61" s="10">
        <v>3</v>
      </c>
      <c r="F61" s="10">
        <f t="shared" si="4"/>
        <v>10</v>
      </c>
      <c r="G61">
        <v>0</v>
      </c>
      <c r="H61">
        <f>ROUNDUP(ROUNDUP(VLOOKUP(C61,[2]!游戏物价查询,7,FALSE)*P61,0)*E61*$V$5,0)</f>
        <v>0</v>
      </c>
      <c r="I61">
        <f>IF(P61=0,ROUNDUP(VLOOKUP(C61,[2]!游戏物价查询,7,FALSE)*$V$3*E61/$V$4,0),0)</f>
        <v>30</v>
      </c>
      <c r="J61" s="10">
        <v>0</v>
      </c>
      <c r="K61">
        <f>ROUNDUP(H61*$V$2,0)</f>
        <v>0</v>
      </c>
      <c r="L61" s="10"/>
      <c r="M61">
        <v>1</v>
      </c>
      <c r="N61" s="10">
        <v>100</v>
      </c>
      <c r="O61" s="10">
        <v>0</v>
      </c>
      <c r="P61">
        <v>0</v>
      </c>
      <c r="Q61">
        <f>VLOOKUP(C61,[2]!游戏物价查询,4,0)</f>
        <v>980</v>
      </c>
      <c r="R61">
        <f>SUM($F$2:F61)</f>
        <v>2990</v>
      </c>
      <c r="S61" s="17">
        <f t="shared" si="2"/>
        <v>1.9569471624266144E-3</v>
      </c>
      <c r="T61" s="18"/>
      <c r="U61" s="10"/>
    </row>
    <row r="62" spans="1:21">
      <c r="A62">
        <v>61</v>
      </c>
      <c r="B62" s="10">
        <v>0</v>
      </c>
      <c r="C62" s="30">
        <v>78111</v>
      </c>
      <c r="D62" s="10" t="str">
        <f>IFERROR(VLOOKUP(C62,[1]引用表合并!$A$2:$B$1000,2,FALSE),"")</f>
        <v>马仔碎片(赌王)</v>
      </c>
      <c r="E62" s="10">
        <v>3</v>
      </c>
      <c r="F62" s="10">
        <f t="shared" si="4"/>
        <v>14</v>
      </c>
      <c r="G62">
        <v>0</v>
      </c>
      <c r="H62">
        <f>ROUNDUP(ROUNDUP(VLOOKUP(C62,[2]!游戏物价查询,7,FALSE)*P62,0)*E62*$V$5,0)</f>
        <v>0</v>
      </c>
      <c r="I62">
        <f>IF(P62=0,ROUNDUP(VLOOKUP(C62,[2]!游戏物价查询,7,FALSE)*$V$3*E62/$V$4,0),0)</f>
        <v>30</v>
      </c>
      <c r="J62" s="10">
        <v>0</v>
      </c>
      <c r="K62">
        <f t="shared" si="1"/>
        <v>0</v>
      </c>
      <c r="L62" s="10"/>
      <c r="M62">
        <v>1</v>
      </c>
      <c r="N62" s="10">
        <v>100</v>
      </c>
      <c r="O62" s="10">
        <v>0</v>
      </c>
      <c r="P62">
        <v>0</v>
      </c>
      <c r="Q62">
        <f>VLOOKUP(C62,[2]!游戏物价查询,4,0)</f>
        <v>980</v>
      </c>
      <c r="R62">
        <f>SUM($F$2:F62)</f>
        <v>3004</v>
      </c>
      <c r="S62" s="17">
        <f t="shared" si="2"/>
        <v>2.7397260273972603E-3</v>
      </c>
      <c r="T62" s="18"/>
      <c r="U62" s="10"/>
    </row>
    <row r="63" spans="1:21">
      <c r="A63">
        <v>62</v>
      </c>
      <c r="B63" s="10">
        <v>0</v>
      </c>
      <c r="C63" s="30">
        <v>78112</v>
      </c>
      <c r="D63" s="10" t="str">
        <f>IFERROR(VLOOKUP(C63,[1]引用表合并!$A$2:$B$1000,2,FALSE),"")</f>
        <v>马仔碎片(山下忠秀)</v>
      </c>
      <c r="E63" s="10">
        <v>3</v>
      </c>
      <c r="F63" s="10">
        <f t="shared" si="4"/>
        <v>13</v>
      </c>
      <c r="G63">
        <v>0</v>
      </c>
      <c r="H63">
        <f>ROUNDUP(ROUNDUP(VLOOKUP(C63,[2]!游戏物价查询,7,FALSE)*P63,0)*E63*$V$5,0)</f>
        <v>0</v>
      </c>
      <c r="I63">
        <f>IF(P63=0,ROUNDUP(VLOOKUP(C63,[2]!游戏物价查询,7,FALSE)*$V$3*E63/$V$4,0),0)</f>
        <v>30</v>
      </c>
      <c r="J63" s="10">
        <v>0</v>
      </c>
      <c r="K63">
        <f t="shared" si="1"/>
        <v>0</v>
      </c>
      <c r="L63" s="10"/>
      <c r="M63">
        <v>1</v>
      </c>
      <c r="N63" s="10">
        <v>100</v>
      </c>
      <c r="O63" s="10">
        <v>0</v>
      </c>
      <c r="P63">
        <v>0</v>
      </c>
      <c r="Q63">
        <f>VLOOKUP(C63,[2]!游戏物价查询,4,0)</f>
        <v>980</v>
      </c>
      <c r="R63">
        <f>SUM($F$2:F63)</f>
        <v>3017</v>
      </c>
      <c r="S63" s="17">
        <f t="shared" si="2"/>
        <v>2.544031311154599E-3</v>
      </c>
      <c r="T63" s="18"/>
      <c r="U63" s="10"/>
    </row>
    <row r="64" spans="1:21">
      <c r="A64">
        <v>63</v>
      </c>
      <c r="B64" s="10">
        <v>0</v>
      </c>
      <c r="C64" s="30">
        <v>78113</v>
      </c>
      <c r="D64" s="10" t="str">
        <f>IFERROR(VLOOKUP(C64,[1]引用表合并!$A$2:$B$1000,2,FALSE),"")</f>
        <v>马仔碎片(宫本一)</v>
      </c>
      <c r="E64" s="10">
        <v>3</v>
      </c>
      <c r="F64" s="10">
        <f t="shared" si="4"/>
        <v>12</v>
      </c>
      <c r="G64">
        <v>0</v>
      </c>
      <c r="H64">
        <f>ROUNDUP(ROUNDUP(VLOOKUP(C64,[2]!游戏物价查询,7,FALSE)*P64,0)*E64*$V$5,0)</f>
        <v>0</v>
      </c>
      <c r="I64">
        <f>IF(P64=0,ROUNDUP(VLOOKUP(C64,[2]!游戏物价查询,7,FALSE)*$V$3*E64/$V$4,0),0)</f>
        <v>30</v>
      </c>
      <c r="J64" s="10">
        <v>0</v>
      </c>
      <c r="K64">
        <f t="shared" si="1"/>
        <v>0</v>
      </c>
      <c r="L64" s="10"/>
      <c r="M64">
        <v>1</v>
      </c>
      <c r="N64" s="10">
        <v>100</v>
      </c>
      <c r="O64" s="10">
        <v>0</v>
      </c>
      <c r="P64">
        <v>0</v>
      </c>
      <c r="Q64">
        <f>VLOOKUP(C64,[2]!游戏物价查询,4,0)</f>
        <v>980</v>
      </c>
      <c r="R64">
        <f>SUM($F$2:F64)</f>
        <v>3029</v>
      </c>
      <c r="S64" s="17">
        <f t="shared" si="2"/>
        <v>2.3483365949119373E-3</v>
      </c>
      <c r="T64" s="18"/>
      <c r="U64" s="10"/>
    </row>
    <row r="65" spans="1:25">
      <c r="A65">
        <v>64</v>
      </c>
      <c r="B65" s="10">
        <v>0</v>
      </c>
      <c r="C65" s="36">
        <v>78118</v>
      </c>
      <c r="D65" s="10" t="str">
        <f>IFERROR(VLOOKUP(C65,[1]引用表合并!$A$2:$B$1000,2,FALSE),"")</f>
        <v>马仔碎片(耀阳)</v>
      </c>
      <c r="E65" s="10">
        <v>3</v>
      </c>
      <c r="F65" s="10">
        <f t="shared" si="4"/>
        <v>11</v>
      </c>
      <c r="G65">
        <v>0</v>
      </c>
      <c r="H65">
        <f>ROUNDUP(ROUNDUP(VLOOKUP(C65,[2]!游戏物价查询,7,FALSE)*P65,0)*E65*$V$5,0)</f>
        <v>0</v>
      </c>
      <c r="I65">
        <f>IF(P65=0,ROUNDUP(VLOOKUP(C65,[2]!游戏物价查询,7,FALSE)*$V$3*E65/$V$4,0),0)</f>
        <v>30</v>
      </c>
      <c r="J65" s="10">
        <v>0</v>
      </c>
      <c r="K65">
        <f t="shared" si="1"/>
        <v>0</v>
      </c>
      <c r="L65" s="10"/>
      <c r="M65">
        <v>1</v>
      </c>
      <c r="N65" s="10">
        <v>100</v>
      </c>
      <c r="O65" s="10">
        <v>0</v>
      </c>
      <c r="P65">
        <v>0</v>
      </c>
      <c r="Q65">
        <f>VLOOKUP(C65,[2]!游戏物价查询,4,0)</f>
        <v>980</v>
      </c>
      <c r="R65">
        <f>SUM($F$2:F65)</f>
        <v>3040</v>
      </c>
      <c r="S65" s="17">
        <f t="shared" si="2"/>
        <v>2.1526418786692761E-3</v>
      </c>
      <c r="T65" s="18"/>
      <c r="U65" s="10"/>
    </row>
    <row r="66" spans="1:25">
      <c r="A66">
        <v>65</v>
      </c>
      <c r="B66" s="10">
        <v>0</v>
      </c>
      <c r="C66" s="36">
        <v>78119</v>
      </c>
      <c r="D66" s="10" t="str">
        <f>IFERROR(VLOOKUP(C66,[1]引用表合并!$A$2:$B$1000,2,FALSE),"")</f>
        <v>马仔碎片(笑面虎)</v>
      </c>
      <c r="E66" s="10">
        <v>3</v>
      </c>
      <c r="F66" s="10">
        <f t="shared" si="4"/>
        <v>10</v>
      </c>
      <c r="G66">
        <v>0</v>
      </c>
      <c r="H66">
        <f>ROUNDUP(ROUNDUP(VLOOKUP(C66,[2]!游戏物价查询,7,FALSE)*P66,0)*E66*$V$5,0)</f>
        <v>0</v>
      </c>
      <c r="I66">
        <f>IF(P66=0,ROUNDUP(VLOOKUP(C66,[2]!游戏物价查询,7,FALSE)*$V$3*E66/$V$4,0),0)</f>
        <v>30</v>
      </c>
      <c r="J66" s="10">
        <v>0</v>
      </c>
      <c r="K66">
        <f t="shared" si="1"/>
        <v>0</v>
      </c>
      <c r="L66" s="10"/>
      <c r="M66">
        <v>1</v>
      </c>
      <c r="N66" s="10">
        <v>100</v>
      </c>
      <c r="O66" s="10">
        <v>0</v>
      </c>
      <c r="P66">
        <v>0</v>
      </c>
      <c r="Q66">
        <f>VLOOKUP(C66,[2]!游戏物价查询,4,0)</f>
        <v>980</v>
      </c>
      <c r="R66">
        <f>SUM($F$2:F66)</f>
        <v>3050</v>
      </c>
      <c r="S66" s="17">
        <f t="shared" ref="S66:S89" si="5">IF(F66&lt;0,1,F66/SUMIF(F:F,"&gt;0"))</f>
        <v>1.9569471624266144E-3</v>
      </c>
      <c r="T66" s="18">
        <f>SUM(S60:S66)</f>
        <v>1.6634050880626222E-2</v>
      </c>
      <c r="U66" s="10"/>
    </row>
    <row r="67" spans="1:25">
      <c r="A67">
        <v>66</v>
      </c>
      <c r="B67" s="10">
        <v>0</v>
      </c>
      <c r="C67" s="10">
        <v>70010</v>
      </c>
      <c r="D67" s="10" t="str">
        <f>IFERROR(VLOOKUP(C67,[1]引用表合并!$A$2:$B$1000,2,FALSE),"")</f>
        <v>部位材料(武器)</v>
      </c>
      <c r="E67" s="10">
        <v>1</v>
      </c>
      <c r="F67" s="10">
        <v>30</v>
      </c>
      <c r="G67">
        <v>0</v>
      </c>
      <c r="H67">
        <f>ROUNDUP(ROUNDUP(VLOOKUP(C67,[2]!游戏物价查询,7,FALSE)*P67,0)*E67*$V$5,0)</f>
        <v>5</v>
      </c>
      <c r="I67">
        <f>IF(P67=0,ROUNDUP(VLOOKUP(C67,[2]!游戏物价查询,7,FALSE)*$V$3*E67/$V$4,0),0)</f>
        <v>0</v>
      </c>
      <c r="J67" s="10">
        <v>0</v>
      </c>
      <c r="K67">
        <f t="shared" ref="K67:K89" si="6">ROUNDUP(H67*$V$2,0)</f>
        <v>3</v>
      </c>
      <c r="L67" s="10"/>
      <c r="M67">
        <v>1</v>
      </c>
      <c r="N67" s="10">
        <v>100</v>
      </c>
      <c r="O67" s="10">
        <v>0</v>
      </c>
      <c r="P67">
        <v>1</v>
      </c>
      <c r="Q67">
        <f>VLOOKUP(C67,[2]!游戏物价查询,4,0)</f>
        <v>2530</v>
      </c>
      <c r="R67">
        <f>SUM($F$2:F67)</f>
        <v>3080</v>
      </c>
      <c r="S67" s="17">
        <f t="shared" si="5"/>
        <v>5.8708414872798431E-3</v>
      </c>
      <c r="T67" s="18"/>
      <c r="U67" s="10"/>
    </row>
    <row r="68" spans="1:25">
      <c r="A68">
        <v>67</v>
      </c>
      <c r="B68">
        <v>0</v>
      </c>
      <c r="C68">
        <v>71010</v>
      </c>
      <c r="D68" s="9" t="str">
        <f>IFERROR(VLOOKUP(C68,[1]引用表合并!$A$2:$B$1000,2,FALSE),"")</f>
        <v>部位材料(衣服)</v>
      </c>
      <c r="E68">
        <v>1</v>
      </c>
      <c r="F68" s="10">
        <v>30</v>
      </c>
      <c r="G68">
        <v>0</v>
      </c>
      <c r="H68">
        <f>ROUNDUP(ROUNDUP(VLOOKUP(C68,[2]!游戏物价查询,7,FALSE)*P68,0)*E68*$V$5,0)</f>
        <v>5</v>
      </c>
      <c r="I68">
        <f>IF(P68=0,ROUNDUP(VLOOKUP(C68,[2]!游戏物价查询,7,FALSE)*$V$3*E68/$V$4,0),0)</f>
        <v>0</v>
      </c>
      <c r="J68">
        <v>0</v>
      </c>
      <c r="K68">
        <f t="shared" si="6"/>
        <v>3</v>
      </c>
      <c r="M68">
        <v>1</v>
      </c>
      <c r="N68">
        <v>100</v>
      </c>
      <c r="O68">
        <v>0</v>
      </c>
      <c r="P68">
        <v>1</v>
      </c>
      <c r="Q68">
        <f>VLOOKUP(C68,[2]!游戏物价查询,4,0)</f>
        <v>2035</v>
      </c>
      <c r="R68">
        <f>SUM($F$2:F68)</f>
        <v>3110</v>
      </c>
      <c r="S68" s="17">
        <f t="shared" si="5"/>
        <v>5.8708414872798431E-3</v>
      </c>
      <c r="T68" s="17"/>
    </row>
    <row r="69" spans="1:25">
      <c r="A69">
        <v>68</v>
      </c>
      <c r="B69">
        <v>0</v>
      </c>
      <c r="C69">
        <v>72010</v>
      </c>
      <c r="D69" s="4" t="str">
        <f>IFERROR(VLOOKUP(C69,[1]引用表合并!$A$2:$B$1000,2,FALSE),"")</f>
        <v>部位材料(裤子)</v>
      </c>
      <c r="E69">
        <v>1</v>
      </c>
      <c r="F69" s="10">
        <v>30</v>
      </c>
      <c r="G69">
        <v>0</v>
      </c>
      <c r="H69">
        <f>ROUNDUP(ROUNDUP(VLOOKUP(C69,[2]!游戏物价查询,7,FALSE)*P69,0)*E69*$V$5,0)</f>
        <v>5</v>
      </c>
      <c r="I69">
        <f>IF(P69=0,ROUNDUP(VLOOKUP(C69,[2]!游戏物价查询,7,FALSE)*$V$3*E69/$V$4,0),0)</f>
        <v>0</v>
      </c>
      <c r="J69">
        <v>0</v>
      </c>
      <c r="K69">
        <f t="shared" si="6"/>
        <v>3</v>
      </c>
      <c r="M69">
        <v>1</v>
      </c>
      <c r="N69">
        <v>100</v>
      </c>
      <c r="O69">
        <v>0</v>
      </c>
      <c r="P69">
        <v>1</v>
      </c>
      <c r="Q69">
        <f>VLOOKUP(C69,[2]!游戏物价查询,4,0)</f>
        <v>935</v>
      </c>
      <c r="R69">
        <f>SUM($F$2:F69)</f>
        <v>3140</v>
      </c>
      <c r="S69" s="17">
        <f t="shared" si="5"/>
        <v>5.8708414872798431E-3</v>
      </c>
      <c r="T69" s="17"/>
    </row>
    <row r="70" spans="1:25">
      <c r="A70">
        <v>69</v>
      </c>
      <c r="B70">
        <v>0</v>
      </c>
      <c r="C70">
        <v>73010</v>
      </c>
      <c r="D70" s="4" t="str">
        <f>IFERROR(VLOOKUP(C70,[1]引用表合并!$A$2:$B$1000,2,FALSE),"")</f>
        <v>部位材料(项链)</v>
      </c>
      <c r="E70">
        <v>1</v>
      </c>
      <c r="F70" s="10">
        <v>30</v>
      </c>
      <c r="G70">
        <v>0</v>
      </c>
      <c r="H70">
        <f>ROUNDUP(ROUNDUP(VLOOKUP(C70,[2]!游戏物价查询,7,FALSE)*P70,0)*E70*$V$5,0)</f>
        <v>5</v>
      </c>
      <c r="I70">
        <f>IF(P70=0,ROUNDUP(VLOOKUP(C70,[2]!游戏物价查询,7,FALSE)*$V$3*E70/$V$4,0),0)</f>
        <v>0</v>
      </c>
      <c r="J70">
        <v>0</v>
      </c>
      <c r="K70">
        <f t="shared" si="6"/>
        <v>3</v>
      </c>
      <c r="M70">
        <v>1</v>
      </c>
      <c r="N70">
        <v>100</v>
      </c>
      <c r="O70">
        <v>0</v>
      </c>
      <c r="P70">
        <v>1</v>
      </c>
      <c r="Q70">
        <f>VLOOKUP(C70,[2]!游戏物价查询,4,0)</f>
        <v>880</v>
      </c>
      <c r="R70">
        <f>SUM($F$2:F70)</f>
        <v>3170</v>
      </c>
      <c r="S70" s="17">
        <f t="shared" si="5"/>
        <v>5.8708414872798431E-3</v>
      </c>
      <c r="T70" s="17"/>
    </row>
    <row r="71" spans="1:25">
      <c r="A71">
        <v>70</v>
      </c>
      <c r="B71">
        <v>0</v>
      </c>
      <c r="C71">
        <v>74010</v>
      </c>
      <c r="D71" s="4" t="str">
        <f>IFERROR(VLOOKUP(C71,[1]引用表合并!$A$2:$B$1000,2,FALSE),"")</f>
        <v>部位材料(腰带)</v>
      </c>
      <c r="E71">
        <v>1</v>
      </c>
      <c r="F71" s="10">
        <v>30</v>
      </c>
      <c r="G71">
        <v>0</v>
      </c>
      <c r="H71">
        <f>ROUNDUP(ROUNDUP(VLOOKUP(C71,[2]!游戏物价查询,7,FALSE)*P71,0)*E71*$V$5,0)</f>
        <v>5</v>
      </c>
      <c r="I71">
        <f>IF(P71=0,ROUNDUP(VLOOKUP(C71,[2]!游戏物价查询,7,FALSE)*$V$3*E71/$V$4,0),0)</f>
        <v>0</v>
      </c>
      <c r="J71">
        <v>0</v>
      </c>
      <c r="K71">
        <f t="shared" si="6"/>
        <v>3</v>
      </c>
      <c r="M71">
        <v>1</v>
      </c>
      <c r="N71">
        <v>100</v>
      </c>
      <c r="O71">
        <v>0</v>
      </c>
      <c r="P71">
        <v>1</v>
      </c>
      <c r="Q71">
        <f>VLOOKUP(C71,[2]!游戏物价查询,4,0)</f>
        <v>2200</v>
      </c>
      <c r="R71">
        <f>SUM($F$2:F71)</f>
        <v>3200</v>
      </c>
      <c r="S71" s="17">
        <f t="shared" si="5"/>
        <v>5.8708414872798431E-3</v>
      </c>
      <c r="T71" s="17"/>
    </row>
    <row r="72" spans="1:25">
      <c r="A72">
        <v>71</v>
      </c>
      <c r="B72">
        <v>0</v>
      </c>
      <c r="C72">
        <v>75010</v>
      </c>
      <c r="D72" s="4" t="str">
        <f>IFERROR(VLOOKUP(C72,[1]引用表合并!$A$2:$B$1000,2,FALSE),"")</f>
        <v>部位材料(鞋子)</v>
      </c>
      <c r="E72">
        <v>1</v>
      </c>
      <c r="F72" s="10">
        <v>30</v>
      </c>
      <c r="G72">
        <v>0</v>
      </c>
      <c r="H72">
        <f>ROUNDUP(ROUNDUP(VLOOKUP(C72,[2]!游戏物价查询,7,FALSE)*P72,0)*E72*$V$5,0)</f>
        <v>5</v>
      </c>
      <c r="I72">
        <f>IF(P72=0,ROUNDUP(VLOOKUP(C72,[2]!游戏物价查询,7,FALSE)*$V$3*E72/$V$4,0),0)</f>
        <v>0</v>
      </c>
      <c r="J72">
        <v>0</v>
      </c>
      <c r="K72">
        <f t="shared" si="6"/>
        <v>3</v>
      </c>
      <c r="M72">
        <v>1</v>
      </c>
      <c r="N72">
        <v>100</v>
      </c>
      <c r="O72">
        <v>0</v>
      </c>
      <c r="P72">
        <v>1</v>
      </c>
      <c r="Q72">
        <f>VLOOKUP(C72,[2]!游戏物价查询,4,0)</f>
        <v>660</v>
      </c>
      <c r="R72">
        <f>SUM($F$2:F72)</f>
        <v>3230</v>
      </c>
      <c r="S72" s="17">
        <f t="shared" si="5"/>
        <v>5.8708414872798431E-3</v>
      </c>
      <c r="T72" s="17"/>
    </row>
    <row r="73" spans="1:25">
      <c r="A73">
        <v>72</v>
      </c>
      <c r="B73">
        <v>0</v>
      </c>
      <c r="C73">
        <v>70010</v>
      </c>
      <c r="D73" s="4" t="str">
        <f>IFERROR(VLOOKUP(C73,[1]引用表合并!$A$2:$B$1000,2,FALSE),"")</f>
        <v>部位材料(武器)</v>
      </c>
      <c r="E73">
        <v>5</v>
      </c>
      <c r="F73" s="10">
        <v>30</v>
      </c>
      <c r="G73">
        <v>0</v>
      </c>
      <c r="H73">
        <f>ROUNDUP(ROUNDUP(VLOOKUP(C73,[2]!游戏物价查询,7,FALSE)*P73,0)*E73*$V$5,0)</f>
        <v>0</v>
      </c>
      <c r="I73">
        <f>IF(P73=0,ROUNDUP(VLOOKUP(C73,[2]!游戏物价查询,7,FALSE)*$V$3*E73/$V$4,0),0)</f>
        <v>2</v>
      </c>
      <c r="J73">
        <v>0</v>
      </c>
      <c r="K73">
        <f t="shared" si="6"/>
        <v>0</v>
      </c>
      <c r="M73">
        <v>1</v>
      </c>
      <c r="N73">
        <v>100</v>
      </c>
      <c r="O73">
        <v>0</v>
      </c>
      <c r="P73">
        <v>0</v>
      </c>
      <c r="Q73">
        <f>VLOOKUP(C73,[2]!游戏物价查询,4,0)</f>
        <v>2530</v>
      </c>
      <c r="R73">
        <f>SUM($F$2:F73)</f>
        <v>3260</v>
      </c>
      <c r="S73" s="17">
        <f t="shared" si="5"/>
        <v>5.8708414872798431E-3</v>
      </c>
      <c r="T73" s="17"/>
    </row>
    <row r="74" spans="1:25">
      <c r="A74">
        <v>73</v>
      </c>
      <c r="B74">
        <v>0</v>
      </c>
      <c r="C74">
        <v>71010</v>
      </c>
      <c r="D74" s="4" t="str">
        <f>IFERROR(VLOOKUP(C74,[1]引用表合并!$A$2:$B$1000,2,FALSE),"")</f>
        <v>部位材料(衣服)</v>
      </c>
      <c r="E74">
        <v>5</v>
      </c>
      <c r="F74" s="10">
        <v>30</v>
      </c>
      <c r="G74">
        <v>0</v>
      </c>
      <c r="H74">
        <f>ROUNDUP(ROUNDUP(VLOOKUP(C74,[2]!游戏物价查询,7,FALSE)*P74,0)*E74*$V$5,0)</f>
        <v>0</v>
      </c>
      <c r="I74">
        <f>IF(P74=0,ROUNDUP(VLOOKUP(C74,[2]!游戏物价查询,7,FALSE)*$V$3*E74/$V$4,0),0)</f>
        <v>2</v>
      </c>
      <c r="J74">
        <v>0</v>
      </c>
      <c r="K74">
        <f t="shared" si="6"/>
        <v>0</v>
      </c>
      <c r="M74">
        <v>1</v>
      </c>
      <c r="N74">
        <v>100</v>
      </c>
      <c r="O74">
        <v>0</v>
      </c>
      <c r="P74">
        <v>0</v>
      </c>
      <c r="Q74">
        <f>VLOOKUP(C74,[2]!游戏物价查询,4,0)</f>
        <v>2035</v>
      </c>
      <c r="R74">
        <f>SUM($F$2:F74)</f>
        <v>3290</v>
      </c>
      <c r="S74" s="17">
        <f t="shared" si="5"/>
        <v>5.8708414872798431E-3</v>
      </c>
      <c r="T74" s="17"/>
    </row>
    <row r="75" spans="1:25">
      <c r="A75">
        <v>74</v>
      </c>
      <c r="B75">
        <v>0</v>
      </c>
      <c r="C75">
        <v>72010</v>
      </c>
      <c r="D75" s="4" t="str">
        <f>IFERROR(VLOOKUP(C75,[1]引用表合并!$A$2:$B$1000,2,FALSE),"")</f>
        <v>部位材料(裤子)</v>
      </c>
      <c r="E75">
        <v>5</v>
      </c>
      <c r="F75" s="10">
        <v>30</v>
      </c>
      <c r="G75">
        <v>0</v>
      </c>
      <c r="H75">
        <f>ROUNDUP(ROUNDUP(VLOOKUP(C75,[2]!游戏物价查询,7,FALSE)*P75,0)*E75*$V$5,0)</f>
        <v>0</v>
      </c>
      <c r="I75">
        <f>IF(P75=0,ROUNDUP(VLOOKUP(C75,[2]!游戏物价查询,7,FALSE)*$V$3*E75/$V$4,0),0)</f>
        <v>2</v>
      </c>
      <c r="J75">
        <v>0</v>
      </c>
      <c r="K75">
        <f t="shared" si="6"/>
        <v>0</v>
      </c>
      <c r="M75">
        <v>1</v>
      </c>
      <c r="N75">
        <v>100</v>
      </c>
      <c r="O75">
        <v>0</v>
      </c>
      <c r="P75">
        <v>0</v>
      </c>
      <c r="Q75">
        <f>VLOOKUP(C75,[2]!游戏物价查询,4,0)</f>
        <v>935</v>
      </c>
      <c r="R75">
        <f>SUM($F$2:F75)</f>
        <v>3320</v>
      </c>
      <c r="S75" s="17">
        <f t="shared" si="5"/>
        <v>5.8708414872798431E-3</v>
      </c>
      <c r="T75" s="17"/>
    </row>
    <row r="76" spans="1:25">
      <c r="A76">
        <v>75</v>
      </c>
      <c r="B76">
        <v>0</v>
      </c>
      <c r="C76">
        <v>73010</v>
      </c>
      <c r="D76" s="4" t="str">
        <f>IFERROR(VLOOKUP(C76,[1]引用表合并!$A$2:$B$1000,2,FALSE),"")</f>
        <v>部位材料(项链)</v>
      </c>
      <c r="E76">
        <v>5</v>
      </c>
      <c r="F76" s="10">
        <v>30</v>
      </c>
      <c r="G76">
        <v>0</v>
      </c>
      <c r="H76">
        <f>ROUNDUP(ROUNDUP(VLOOKUP(C76,[2]!游戏物价查询,7,FALSE)*P76,0)*E76*$V$5,0)</f>
        <v>0</v>
      </c>
      <c r="I76">
        <f>IF(P76=0,ROUNDUP(VLOOKUP(C76,[2]!游戏物价查询,7,FALSE)*$V$3*E76/$V$4,0),0)</f>
        <v>2</v>
      </c>
      <c r="J76">
        <v>0</v>
      </c>
      <c r="K76">
        <f t="shared" si="6"/>
        <v>0</v>
      </c>
      <c r="M76">
        <v>1</v>
      </c>
      <c r="N76">
        <v>100</v>
      </c>
      <c r="O76">
        <v>0</v>
      </c>
      <c r="P76">
        <v>0</v>
      </c>
      <c r="Q76">
        <f>VLOOKUP(C76,[2]!游戏物价查询,4,0)</f>
        <v>880</v>
      </c>
      <c r="R76">
        <f>SUM($F$2:F76)</f>
        <v>3350</v>
      </c>
      <c r="S76" s="17">
        <f t="shared" si="5"/>
        <v>5.8708414872798431E-3</v>
      </c>
      <c r="T76" s="17"/>
    </row>
    <row r="77" spans="1:25">
      <c r="A77">
        <v>76</v>
      </c>
      <c r="B77">
        <v>0</v>
      </c>
      <c r="C77">
        <v>74010</v>
      </c>
      <c r="D77" s="4" t="str">
        <f>IFERROR(VLOOKUP(C77,[1]引用表合并!$A$2:$B$1000,2,FALSE),"")</f>
        <v>部位材料(腰带)</v>
      </c>
      <c r="E77">
        <v>5</v>
      </c>
      <c r="F77" s="10">
        <v>30</v>
      </c>
      <c r="G77">
        <v>0</v>
      </c>
      <c r="H77">
        <f>ROUNDUP(ROUNDUP(VLOOKUP(C77,[2]!游戏物价查询,7,FALSE)*P77,0)*E77*$V$5,0)</f>
        <v>0</v>
      </c>
      <c r="I77">
        <f>IF(P77=0,ROUNDUP(VLOOKUP(C77,[2]!游戏物价查询,7,FALSE)*$V$3*E77/$V$4,0),0)</f>
        <v>2</v>
      </c>
      <c r="J77">
        <v>0</v>
      </c>
      <c r="K77">
        <f t="shared" si="6"/>
        <v>0</v>
      </c>
      <c r="M77">
        <v>1</v>
      </c>
      <c r="N77">
        <v>100</v>
      </c>
      <c r="O77">
        <v>0</v>
      </c>
      <c r="P77">
        <v>0</v>
      </c>
      <c r="Q77">
        <f>VLOOKUP(C77,[2]!游戏物价查询,4,0)</f>
        <v>2200</v>
      </c>
      <c r="R77">
        <f>SUM($F$2:F77)</f>
        <v>3380</v>
      </c>
      <c r="S77" s="17">
        <f t="shared" si="5"/>
        <v>5.8708414872798431E-3</v>
      </c>
      <c r="T77" s="17"/>
    </row>
    <row r="78" spans="1:25">
      <c r="A78">
        <v>77</v>
      </c>
      <c r="B78">
        <v>0</v>
      </c>
      <c r="C78">
        <v>75010</v>
      </c>
      <c r="D78" s="4" t="str">
        <f>IFERROR(VLOOKUP(C78,[1]引用表合并!$A$2:$B$1000,2,FALSE),"")</f>
        <v>部位材料(鞋子)</v>
      </c>
      <c r="E78">
        <v>5</v>
      </c>
      <c r="F78" s="10">
        <v>30</v>
      </c>
      <c r="G78">
        <v>0</v>
      </c>
      <c r="H78">
        <f>ROUNDUP(ROUNDUP(VLOOKUP(C78,[2]!游戏物价查询,7,FALSE)*P78,0)*E78*$V$5,0)</f>
        <v>0</v>
      </c>
      <c r="I78">
        <f>IF(P78=0,ROUNDUP(VLOOKUP(C78,[2]!游戏物价查询,7,FALSE)*$V$3*E78/$V$4,0),0)</f>
        <v>2</v>
      </c>
      <c r="J78">
        <v>0</v>
      </c>
      <c r="K78">
        <f t="shared" si="6"/>
        <v>0</v>
      </c>
      <c r="M78">
        <v>1</v>
      </c>
      <c r="N78">
        <v>100</v>
      </c>
      <c r="O78">
        <v>0</v>
      </c>
      <c r="P78">
        <v>0</v>
      </c>
      <c r="Q78">
        <f>VLOOKUP(C78,[2]!游戏物价查询,4,0)</f>
        <v>660</v>
      </c>
      <c r="R78">
        <f>SUM($F$2:F78)</f>
        <v>3410</v>
      </c>
      <c r="S78" s="17">
        <f t="shared" si="5"/>
        <v>5.8708414872798431E-3</v>
      </c>
      <c r="T78" s="17">
        <f>SUM(S67:S78)</f>
        <v>7.0450097847358117E-2</v>
      </c>
      <c r="X78">
        <f>SUMPRODUCT(S67:S78,E67:E78)*6</f>
        <v>1.2681017612524461</v>
      </c>
      <c r="Y78">
        <f>'[2]装备&amp;装备材料的投放'!$BG$38</f>
        <v>0</v>
      </c>
    </row>
    <row r="79" spans="1:25">
      <c r="A79">
        <v>78</v>
      </c>
      <c r="B79">
        <v>0</v>
      </c>
      <c r="C79">
        <v>70101</v>
      </c>
      <c r="D79" s="4" t="str">
        <f>IFERROR(VLOOKUP(C79,[1]引用表合并!$A$2:$B$1000,2,FALSE),"")</f>
        <v>初级升星石</v>
      </c>
      <c r="E79">
        <v>5</v>
      </c>
      <c r="F79">
        <v>160</v>
      </c>
      <c r="G79">
        <v>0</v>
      </c>
      <c r="H79">
        <f>ROUNDUP(ROUNDUP(VLOOKUP(C79,[2]!游戏物价查询,7,FALSE)*P79,0)*E79*$V$5,0)</f>
        <v>15</v>
      </c>
      <c r="I79">
        <f>IF(P79=0,ROUNDUP(VLOOKUP(C79,[2]!游戏物价查询,7,FALSE)*$V$3*E79/$V$4,0),0)</f>
        <v>0</v>
      </c>
      <c r="J79">
        <v>0</v>
      </c>
      <c r="K79">
        <f t="shared" si="6"/>
        <v>8</v>
      </c>
      <c r="M79">
        <v>1</v>
      </c>
      <c r="N79">
        <v>100</v>
      </c>
      <c r="O79">
        <v>0</v>
      </c>
      <c r="P79">
        <v>1</v>
      </c>
      <c r="Q79">
        <f>VLOOKUP(C79,[2]!游戏物价查询,4,0)</f>
        <v>0</v>
      </c>
      <c r="R79">
        <f>SUM($F$2:F79)</f>
        <v>3570</v>
      </c>
      <c r="S79" s="17">
        <f t="shared" si="5"/>
        <v>3.131115459882583E-2</v>
      </c>
      <c r="T79" s="17"/>
      <c r="X79">
        <f>S79*E79*6</f>
        <v>0.9393346379647749</v>
      </c>
      <c r="Y79">
        <f>'[2]装备&amp;装备材料的投放'!$BG$35</f>
        <v>0</v>
      </c>
    </row>
    <row r="80" spans="1:25">
      <c r="A80">
        <v>79</v>
      </c>
      <c r="B80">
        <v>0</v>
      </c>
      <c r="C80">
        <v>70201</v>
      </c>
      <c r="D80" s="4" t="str">
        <f>IFERROR(VLOOKUP(C80,[1]引用表合并!$A$2:$B$1000,2,FALSE),"")</f>
        <v>中级升星石</v>
      </c>
      <c r="E80">
        <v>5</v>
      </c>
      <c r="F80">
        <v>120</v>
      </c>
      <c r="G80">
        <v>0</v>
      </c>
      <c r="H80">
        <f>ROUNDUP(ROUNDUP(VLOOKUP(C80,[2]!游戏物价查询,7,FALSE)*P80,0)*E80*$V$5,0)</f>
        <v>0</v>
      </c>
      <c r="I80">
        <f>IF(P80=0,ROUNDUP(VLOOKUP(C80,[2]!游戏物价查询,7,FALSE)*$V$3*E80/$V$4,0),0)</f>
        <v>5</v>
      </c>
      <c r="J80">
        <v>0</v>
      </c>
      <c r="K80">
        <f t="shared" si="6"/>
        <v>0</v>
      </c>
      <c r="M80">
        <v>1</v>
      </c>
      <c r="N80">
        <v>100</v>
      </c>
      <c r="O80">
        <v>0</v>
      </c>
      <c r="P80">
        <v>0</v>
      </c>
      <c r="Q80">
        <f>VLOOKUP(C80,[2]!游戏物价查询,4,0)</f>
        <v>0</v>
      </c>
      <c r="R80">
        <f>SUM($F$2:F80)</f>
        <v>3690</v>
      </c>
      <c r="S80" s="17">
        <f t="shared" si="5"/>
        <v>2.3483365949119372E-2</v>
      </c>
      <c r="T80" s="17">
        <f>S79+S80</f>
        <v>5.4794520547945202E-2</v>
      </c>
      <c r="X80">
        <f>S80*E80*6</f>
        <v>0.70450097847358117</v>
      </c>
      <c r="Y80">
        <f>'[2]装备&amp;装备材料的投放'!$BG$36</f>
        <v>0.2</v>
      </c>
    </row>
    <row r="81" spans="1:25">
      <c r="A81">
        <v>80</v>
      </c>
      <c r="B81">
        <v>0</v>
      </c>
      <c r="C81">
        <v>91200</v>
      </c>
      <c r="D81" s="4" t="str">
        <f>IFERROR(VLOOKUP(C81,[1]引用表合并!$A$2:$B$1000,2,FALSE),"")</f>
        <v>马仔经验合剂</v>
      </c>
      <c r="E81" s="7">
        <v>1</v>
      </c>
      <c r="F81" s="7">
        <v>160</v>
      </c>
      <c r="G81">
        <v>0</v>
      </c>
      <c r="H81">
        <f>ROUNDUP(ROUNDUP(VLOOKUP(C81,[2]!游戏物价查询,7,FALSE)*P81,0)*E81*$V$5,0)</f>
        <v>9</v>
      </c>
      <c r="I81">
        <f>IF(P81=0,ROUNDUP(VLOOKUP(C81,[2]!游戏物价查询,7,FALSE)*$V$3*E81/$V$4,0),0)</f>
        <v>0</v>
      </c>
      <c r="J81">
        <v>0</v>
      </c>
      <c r="K81">
        <f t="shared" si="6"/>
        <v>5</v>
      </c>
      <c r="M81">
        <v>1</v>
      </c>
      <c r="N81">
        <v>100</v>
      </c>
      <c r="O81">
        <v>0</v>
      </c>
      <c r="P81">
        <v>1</v>
      </c>
      <c r="Q81">
        <f>VLOOKUP(C81,[2]!游戏物价查询,4,0)</f>
        <v>0</v>
      </c>
      <c r="R81">
        <f>SUM($F$2:F81)</f>
        <v>3850</v>
      </c>
      <c r="S81" s="17">
        <f t="shared" si="5"/>
        <v>3.131115459882583E-2</v>
      </c>
      <c r="T81" s="17"/>
    </row>
    <row r="82" spans="1:25">
      <c r="A82">
        <v>81</v>
      </c>
      <c r="B82">
        <v>0</v>
      </c>
      <c r="C82">
        <v>91200</v>
      </c>
      <c r="D82" s="4" t="str">
        <f>IFERROR(VLOOKUP(C82,[1]引用表合并!$A$2:$B$1000,2,FALSE),"")</f>
        <v>马仔经验合剂</v>
      </c>
      <c r="E82" s="7">
        <v>5</v>
      </c>
      <c r="F82" s="7">
        <v>150</v>
      </c>
      <c r="G82">
        <v>0</v>
      </c>
      <c r="H82">
        <f>ROUNDUP(ROUNDUP(VLOOKUP(C82,[2]!游戏物价查询,7,FALSE)*P82,0)*E82*$V$5,0)</f>
        <v>0</v>
      </c>
      <c r="I82">
        <f>IF(P82=0,ROUNDUP(VLOOKUP(C82,[2]!游戏物价查询,7,FALSE)*$V$3*E82/$V$4,0),0)</f>
        <v>3</v>
      </c>
      <c r="J82">
        <v>0</v>
      </c>
      <c r="K82">
        <f t="shared" si="6"/>
        <v>0</v>
      </c>
      <c r="M82">
        <v>1</v>
      </c>
      <c r="N82">
        <v>100</v>
      </c>
      <c r="O82">
        <v>0</v>
      </c>
      <c r="P82">
        <v>0</v>
      </c>
      <c r="Q82">
        <f>VLOOKUP(C82,[2]!游戏物价查询,4,0)</f>
        <v>0</v>
      </c>
      <c r="R82">
        <f>SUM($F$2:F82)</f>
        <v>4000</v>
      </c>
      <c r="S82" s="17">
        <f t="shared" si="5"/>
        <v>2.9354207436399216E-2</v>
      </c>
      <c r="T82" s="17">
        <f>SUM(S81:S82)</f>
        <v>6.0665362035225046E-2</v>
      </c>
      <c r="X82">
        <f>(S81*E81+S82*E82)*6</f>
        <v>1.0684931506849313</v>
      </c>
    </row>
    <row r="83" spans="1:25">
      <c r="A83">
        <v>82</v>
      </c>
      <c r="B83">
        <v>0</v>
      </c>
      <c r="C83">
        <v>80410</v>
      </c>
      <c r="D83" s="4" t="str">
        <f>IFERROR(VLOOKUP(C83,[1]引用表合并!$A$2:$B$1000,2,FALSE),"")</f>
        <v>命运石(5000)</v>
      </c>
      <c r="E83" s="7">
        <v>1</v>
      </c>
      <c r="F83" s="7">
        <v>120</v>
      </c>
      <c r="G83">
        <v>0</v>
      </c>
      <c r="H83">
        <f>ROUNDUP(ROUNDUP(VLOOKUP(C83,[2]!游戏物价查询,7,FALSE)*P83,0)*E83*$V$5,0)</f>
        <v>8</v>
      </c>
      <c r="I83">
        <f>IF(P83=0,ROUNDUP(VLOOKUP(C83,[2]!游戏物价查询,7,FALSE)*$V$3*E83/$V$4,0),0)</f>
        <v>0</v>
      </c>
      <c r="J83">
        <v>1</v>
      </c>
      <c r="K83">
        <f t="shared" si="6"/>
        <v>4</v>
      </c>
      <c r="M83">
        <v>1</v>
      </c>
      <c r="N83">
        <v>100</v>
      </c>
      <c r="O83">
        <v>0</v>
      </c>
      <c r="P83">
        <v>1</v>
      </c>
      <c r="Q83">
        <f>VLOOKUP(C83,[2]!游戏物价查询,4,0)</f>
        <v>4944.0440536387459</v>
      </c>
      <c r="R83">
        <f>SUM($F$2:F83)</f>
        <v>4120</v>
      </c>
      <c r="S83" s="17">
        <f t="shared" si="5"/>
        <v>2.3483365949119372E-2</v>
      </c>
      <c r="T83" s="17"/>
      <c r="X83">
        <f>S83*E83*6</f>
        <v>0.14090019569471623</v>
      </c>
    </row>
    <row r="84" spans="1:25">
      <c r="A84">
        <v>83</v>
      </c>
      <c r="B84">
        <v>0</v>
      </c>
      <c r="C84">
        <v>80510</v>
      </c>
      <c r="D84" s="4" t="str">
        <f>IFERROR(VLOOKUP(C84,[1]引用表合并!$A$2:$B$1000,2,FALSE),"")</f>
        <v>命运石(1万)</v>
      </c>
      <c r="E84" s="7">
        <v>1</v>
      </c>
      <c r="F84">
        <v>100</v>
      </c>
      <c r="G84">
        <v>0</v>
      </c>
      <c r="H84">
        <f>ROUNDUP(ROUNDUP(VLOOKUP(C84,[2]!游戏物价查询,7,FALSE)*P84,0)*E84*$V$5,0)</f>
        <v>15</v>
      </c>
      <c r="I84">
        <f>IF(P84=0,ROUNDUP(VLOOKUP(C84,[2]!游戏物价查询,7,FALSE)*$V$3*E84/$V$4,0),0)</f>
        <v>0</v>
      </c>
      <c r="J84">
        <v>2</v>
      </c>
      <c r="K84">
        <f t="shared" si="6"/>
        <v>8</v>
      </c>
      <c r="M84">
        <v>1</v>
      </c>
      <c r="N84">
        <v>100</v>
      </c>
      <c r="O84">
        <v>0</v>
      </c>
      <c r="P84">
        <v>1</v>
      </c>
      <c r="Q84">
        <f>VLOOKUP(C84,[2]!游戏物价查询,4,0)</f>
        <v>2472.022026819373</v>
      </c>
      <c r="R84">
        <f>SUM($F$2:F84)</f>
        <v>4220</v>
      </c>
      <c r="S84" s="17">
        <f t="shared" si="5"/>
        <v>1.9569471624266144E-2</v>
      </c>
      <c r="T84" s="17"/>
      <c r="X84">
        <f>S84*E84*6</f>
        <v>0.11741682974559686</v>
      </c>
    </row>
    <row r="85" spans="1:25">
      <c r="A85">
        <v>84</v>
      </c>
      <c r="B85">
        <v>0</v>
      </c>
      <c r="C85">
        <v>80610</v>
      </c>
      <c r="D85" s="4" t="str">
        <f>IFERROR(VLOOKUP(C85,[1]引用表合并!$A$2:$B$1000,2,FALSE),"")</f>
        <v>命运石(2万)</v>
      </c>
      <c r="E85" s="7">
        <v>1</v>
      </c>
      <c r="F85">
        <v>100</v>
      </c>
      <c r="G85">
        <v>0</v>
      </c>
      <c r="H85">
        <f>ROUNDUP(ROUNDUP(VLOOKUP(C85,[2]!游戏物价查询,7,FALSE)*P85,0)*E85*$V$5,0)</f>
        <v>0</v>
      </c>
      <c r="I85">
        <f>IF(P85=0,ROUNDUP(VLOOKUP(C85,[2]!游戏物价查询,7,FALSE)*$V$3*E85/$V$4,0),0)</f>
        <v>2</v>
      </c>
      <c r="J85">
        <v>3</v>
      </c>
      <c r="K85">
        <f t="shared" si="6"/>
        <v>0</v>
      </c>
      <c r="M85">
        <v>1</v>
      </c>
      <c r="N85">
        <v>100</v>
      </c>
      <c r="O85">
        <v>0</v>
      </c>
      <c r="P85">
        <v>0</v>
      </c>
      <c r="Q85">
        <f>VLOOKUP(C85,[2]!游戏物价查询,4,0)</f>
        <v>1236.0110134096865</v>
      </c>
      <c r="R85">
        <f>SUM($F$2:F85)</f>
        <v>4320</v>
      </c>
      <c r="S85" s="17">
        <f t="shared" si="5"/>
        <v>1.9569471624266144E-2</v>
      </c>
      <c r="T85" s="17">
        <f>SUM(S83:S85)</f>
        <v>6.262230919765166E-2</v>
      </c>
      <c r="X85">
        <f>S85*E85*6</f>
        <v>0.11741682974559686</v>
      </c>
    </row>
    <row r="86" spans="1:25">
      <c r="A86">
        <v>85</v>
      </c>
      <c r="B86">
        <v>0</v>
      </c>
      <c r="C86">
        <v>85200</v>
      </c>
      <c r="D86" s="4" t="str">
        <f>IFERROR(VLOOKUP(C86,[1]引用表合并!$A$2:$B$1000,2,FALSE),"")</f>
        <v>高级装备升级石</v>
      </c>
      <c r="E86" s="7">
        <v>5</v>
      </c>
      <c r="F86">
        <v>200</v>
      </c>
      <c r="G86">
        <v>0</v>
      </c>
      <c r="H86">
        <f>ROUNDUP(ROUNDUP(VLOOKUP(C86,[2]!游戏物价查询,7,FALSE)*P86,0)*E86*$V$5,0)</f>
        <v>75</v>
      </c>
      <c r="I86">
        <f>IF(P86=0,ROUNDUP(VLOOKUP(C86,[2]!游戏物价查询,7,FALSE)*$V$3*E86/$V$4,0),0)</f>
        <v>0</v>
      </c>
      <c r="J86">
        <v>3</v>
      </c>
      <c r="K86">
        <f t="shared" si="6"/>
        <v>38</v>
      </c>
      <c r="M86">
        <v>1</v>
      </c>
      <c r="N86">
        <v>100</v>
      </c>
      <c r="O86">
        <v>0</v>
      </c>
      <c r="P86">
        <v>1</v>
      </c>
      <c r="Q86">
        <f>VLOOKUP(C86,[2]!游戏物价查询,4,0)</f>
        <v>2019.7074124618819</v>
      </c>
      <c r="R86">
        <f>SUM($F$2:F86)</f>
        <v>4520</v>
      </c>
      <c r="S86" s="17">
        <f t="shared" si="5"/>
        <v>3.9138943248532287E-2</v>
      </c>
      <c r="V86" s="1">
        <f>S86*12</f>
        <v>0.46966731898238745</v>
      </c>
      <c r="W86" s="1"/>
      <c r="X86">
        <f>E86*S86*6</f>
        <v>1.1741682974559686</v>
      </c>
      <c r="Y86">
        <f>'[2]装备&amp;装备材料的投放'!$AN$35</f>
        <v>1.0858642002483236</v>
      </c>
    </row>
    <row r="87" spans="1:25">
      <c r="A87">
        <v>86</v>
      </c>
      <c r="B87">
        <v>0</v>
      </c>
      <c r="C87">
        <v>85300</v>
      </c>
      <c r="D87" s="4" t="str">
        <f>IFERROR(VLOOKUP(C87,[1]引用表合并!$A$2:$B$1000,2,FALSE),"")</f>
        <v>稀有装备升级石</v>
      </c>
      <c r="E87" s="7">
        <v>5</v>
      </c>
      <c r="F87">
        <v>40</v>
      </c>
      <c r="G87">
        <v>0</v>
      </c>
      <c r="H87">
        <f>ROUNDUP(ROUNDUP(VLOOKUP(C87,[2]!游戏物价查询,7,FALSE)*P87,0)*E87*$V$5,0)</f>
        <v>0</v>
      </c>
      <c r="I87">
        <f>IF(P87=0,ROUNDUP(VLOOKUP(C87,[2]!游戏物价查询,7,FALSE)*$V$3*E87/$V$4,0),0)</f>
        <v>15</v>
      </c>
      <c r="J87">
        <v>3</v>
      </c>
      <c r="K87">
        <f t="shared" si="6"/>
        <v>0</v>
      </c>
      <c r="M87">
        <v>1</v>
      </c>
      <c r="N87">
        <v>100</v>
      </c>
      <c r="O87">
        <v>0</v>
      </c>
      <c r="P87">
        <v>0</v>
      </c>
      <c r="Q87">
        <f>VLOOKUP(C87,[2]!游戏物价查询,4,0)</f>
        <v>2019.7074124618819</v>
      </c>
      <c r="R87">
        <f>SUM($F$2:F87)</f>
        <v>4560</v>
      </c>
      <c r="S87" s="17">
        <f t="shared" si="5"/>
        <v>7.8277886497064575E-3</v>
      </c>
      <c r="T87" s="1">
        <f>SUM(S86:S87)</f>
        <v>4.6966731898238745E-2</v>
      </c>
      <c r="V87" s="1">
        <f>S87*12</f>
        <v>9.393346379647749E-2</v>
      </c>
      <c r="W87" s="1"/>
      <c r="X87">
        <f>E87*S87*6</f>
        <v>0.23483365949119372</v>
      </c>
      <c r="Y87">
        <f>'[2]装备&amp;装备材料的投放'!$AN$36</f>
        <v>0.267750953162946</v>
      </c>
    </row>
    <row r="88" spans="1:25">
      <c r="A88">
        <v>87</v>
      </c>
      <c r="B88">
        <v>0</v>
      </c>
      <c r="C88">
        <v>89111</v>
      </c>
      <c r="D88" s="4" t="str">
        <f>IFERROR(VLOOKUP(C88,[1]引用表合并!$A$2:$B$1000,2,FALSE),"")</f>
        <v>技能冷却石</v>
      </c>
      <c r="E88" s="7">
        <v>5</v>
      </c>
      <c r="F88">
        <v>250</v>
      </c>
      <c r="G88">
        <v>0</v>
      </c>
      <c r="H88">
        <f>ROUNDUP(ROUNDUP(VLOOKUP(C88,[2]!游戏物价查询,7,FALSE)*P88,0)*E88*$V$5,0)</f>
        <v>8</v>
      </c>
      <c r="I88">
        <f>IF(P88=0,ROUNDUP(VLOOKUP(C88,[2]!游戏物价查询,7,FALSE)*$V$3*E88/$V$4,0),0)</f>
        <v>0</v>
      </c>
      <c r="J88">
        <v>3</v>
      </c>
      <c r="K88">
        <f t="shared" si="6"/>
        <v>4</v>
      </c>
      <c r="M88">
        <v>1</v>
      </c>
      <c r="N88">
        <v>100</v>
      </c>
      <c r="O88">
        <v>0</v>
      </c>
      <c r="P88">
        <v>1</v>
      </c>
      <c r="Q88">
        <f>VLOOKUP(C88,[2]!游戏物价查询,4,0)</f>
        <v>30978</v>
      </c>
      <c r="R88">
        <f>SUM($F$2:F88)</f>
        <v>4810</v>
      </c>
      <c r="S88" s="17">
        <f t="shared" si="5"/>
        <v>4.8923679060665359E-2</v>
      </c>
      <c r="V88" s="1">
        <f>S88*12</f>
        <v>0.58708414872798431</v>
      </c>
      <c r="W88" s="1"/>
    </row>
    <row r="89" spans="1:25">
      <c r="A89">
        <v>88</v>
      </c>
      <c r="B89">
        <v>0</v>
      </c>
      <c r="C89">
        <v>89111</v>
      </c>
      <c r="D89" s="4" t="str">
        <f>IFERROR(VLOOKUP(C89,[1]引用表合并!$A$2:$B$1000,2,FALSE),"")</f>
        <v>技能冷却石</v>
      </c>
      <c r="E89" s="7">
        <v>10</v>
      </c>
      <c r="F89">
        <v>300</v>
      </c>
      <c r="G89">
        <v>0</v>
      </c>
      <c r="H89">
        <f>ROUNDUP(ROUNDUP(VLOOKUP(C89,[2]!游戏物价查询,7,FALSE)*P89,0)*E89*$V$5,0)</f>
        <v>0</v>
      </c>
      <c r="I89">
        <f>IF(P89=0,ROUNDUP(VLOOKUP(C89,[2]!游戏物价查询,7,FALSE)*$V$3*E89/$V$4,0),0)</f>
        <v>1</v>
      </c>
      <c r="J89">
        <v>3</v>
      </c>
      <c r="K89">
        <f t="shared" si="6"/>
        <v>0</v>
      </c>
      <c r="M89">
        <v>1</v>
      </c>
      <c r="N89">
        <v>100</v>
      </c>
      <c r="O89">
        <v>0</v>
      </c>
      <c r="P89">
        <v>0</v>
      </c>
      <c r="Q89">
        <f>VLOOKUP(C89,[2]!游戏物价查询,4,0)</f>
        <v>30978</v>
      </c>
      <c r="R89">
        <f>SUM($F$2:F89)</f>
        <v>5110</v>
      </c>
      <c r="S89" s="17">
        <f t="shared" si="5"/>
        <v>5.8708414872798431E-2</v>
      </c>
      <c r="T89" s="1">
        <f>S88+S89</f>
        <v>0.10763209393346379</v>
      </c>
      <c r="V89" s="1">
        <f>S89*12</f>
        <v>0.70450097847358117</v>
      </c>
      <c r="W89" s="1"/>
      <c r="X89">
        <f>SUMPRODUCT(S88:S89,E88:E89)*6</f>
        <v>4.9902152641878663</v>
      </c>
      <c r="Y89" t="str">
        <f>[2]技能材料的投放!$K$23</f>
        <v/>
      </c>
    </row>
  </sheetData>
  <phoneticPr fontId="1" type="noConversion"/>
  <conditionalFormatting sqref="C90:C1048576 C67:C85 C1">
    <cfRule type="duplicateValues" dxfId="1333" priority="262"/>
  </conditionalFormatting>
  <conditionalFormatting sqref="E81:F82 E83:E85 F83 D44 D55 D66:D85 D2:D14 D17:D33">
    <cfRule type="expression" dxfId="1332" priority="450">
      <formula>AND(C2&gt;=79001,C2&lt;79900)</formula>
    </cfRule>
    <cfRule type="expression" dxfId="1331" priority="451" stopIfTrue="1">
      <formula>AND(C2&gt;=70101,C2&lt;=70301)</formula>
    </cfRule>
    <cfRule type="expression" dxfId="1330" priority="452" stopIfTrue="1">
      <formula>AND(C2&gt;70000,C2&lt;70004)</formula>
    </cfRule>
    <cfRule type="expression" dxfId="1329" priority="453" stopIfTrue="1">
      <formula>AND(C2&gt;=70010,C2&lt;=76000)</formula>
    </cfRule>
    <cfRule type="expression" dxfId="1328" priority="454">
      <formula>AND(C2&gt;70000,C2&lt;70004)</formula>
    </cfRule>
    <cfRule type="expression" dxfId="1327" priority="455" stopIfTrue="1">
      <formula>OR(AND(C2&gt;=10000,C2&lt;=56999),AND(C2&gt;=57000,C2&lt;=57999))</formula>
    </cfRule>
    <cfRule type="expression" dxfId="1326" priority="456" stopIfTrue="1">
      <formula>AND(C2&gt;=8000,C2&lt;=9999)</formula>
    </cfRule>
    <cfRule type="expression" dxfId="1325" priority="457" stopIfTrue="1">
      <formula>AND(C2&gt;=78100,C2&lt;=78199)</formula>
    </cfRule>
    <cfRule type="expression" dxfId="1324" priority="458" stopIfTrue="1">
      <formula>AND(C2&gt;=92000,C2&lt;=98999)</formula>
    </cfRule>
    <cfRule type="expression" dxfId="1323" priority="459" stopIfTrue="1">
      <formula>AND(C2&gt;=78100,C2&lt;=78199)</formula>
    </cfRule>
    <cfRule type="expression" dxfId="1322" priority="460" stopIfTrue="1">
      <formula>AND(C2&gt;=91000,C2&lt;=91999)</formula>
    </cfRule>
  </conditionalFormatting>
  <conditionalFormatting sqref="T90:T1048576 T67:T85 T1:T14 T17:T33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4:D38 D56:D60 D40:D41 D62:D63">
    <cfRule type="expression" dxfId="1321" priority="187">
      <formula>AND(C34&gt;=79001,C34&lt;79900)</formula>
    </cfRule>
    <cfRule type="expression" dxfId="1320" priority="188" stopIfTrue="1">
      <formula>AND(C34&gt;=70101,C34&lt;=70301)</formula>
    </cfRule>
    <cfRule type="expression" dxfId="1319" priority="189" stopIfTrue="1">
      <formula>AND(C34&gt;70000,C34&lt;70004)</formula>
    </cfRule>
    <cfRule type="expression" dxfId="1318" priority="190" stopIfTrue="1">
      <formula>AND(C34&gt;=70010,C34&lt;=76000)</formula>
    </cfRule>
    <cfRule type="expression" dxfId="1317" priority="191">
      <formula>AND(C34&gt;70000,C34&lt;70004)</formula>
    </cfRule>
    <cfRule type="expression" dxfId="1316" priority="192" stopIfTrue="1">
      <formula>OR(AND(C34&gt;=10000,C34&lt;=56999),AND(C34&gt;=57000,C34&lt;=57999))</formula>
    </cfRule>
    <cfRule type="expression" dxfId="1315" priority="193" stopIfTrue="1">
      <formula>AND(C34&gt;=8000,C34&lt;=9999)</formula>
    </cfRule>
    <cfRule type="expression" dxfId="1314" priority="194" stopIfTrue="1">
      <formula>AND(C34&gt;=78100,C34&lt;=78199)</formula>
    </cfRule>
    <cfRule type="expression" dxfId="1313" priority="195" stopIfTrue="1">
      <formula>AND(C34&gt;=92000,C34&lt;=98999)</formula>
    </cfRule>
    <cfRule type="expression" dxfId="1312" priority="196" stopIfTrue="1">
      <formula>AND(C34&gt;=78100,C34&lt;=78199)</formula>
    </cfRule>
    <cfRule type="expression" dxfId="1311" priority="197" stopIfTrue="1">
      <formula>AND(C34&gt;=91000,C34&lt;=91999)</formula>
    </cfRule>
  </conditionalFormatting>
  <conditionalFormatting sqref="C86:C87">
    <cfRule type="duplicateValues" dxfId="1310" priority="170"/>
  </conditionalFormatting>
  <conditionalFormatting sqref="D86:E87">
    <cfRule type="expression" dxfId="1309" priority="171">
      <formula>AND(C86&gt;=79001,C86&lt;79900)</formula>
    </cfRule>
    <cfRule type="expression" dxfId="1308" priority="172" stopIfTrue="1">
      <formula>AND(C86&gt;=70101,C86&lt;=70301)</formula>
    </cfRule>
    <cfRule type="expression" dxfId="1307" priority="173" stopIfTrue="1">
      <formula>AND(C86&gt;70000,C86&lt;70004)</formula>
    </cfRule>
    <cfRule type="expression" dxfId="1306" priority="174" stopIfTrue="1">
      <formula>AND(C86&gt;=70010,C86&lt;=76000)</formula>
    </cfRule>
    <cfRule type="expression" dxfId="1305" priority="175">
      <formula>AND(C86&gt;70000,C86&lt;70004)</formula>
    </cfRule>
    <cfRule type="expression" dxfId="1304" priority="176" stopIfTrue="1">
      <formula>OR(AND(C86&gt;=10000,C86&lt;=56999),AND(C86&gt;=57000,C86&lt;=57999))</formula>
    </cfRule>
    <cfRule type="expression" dxfId="1303" priority="177" stopIfTrue="1">
      <formula>AND(C86&gt;=8000,C86&lt;=9999)</formula>
    </cfRule>
    <cfRule type="expression" dxfId="1302" priority="178" stopIfTrue="1">
      <formula>AND(C86&gt;=78100,C86&lt;=78199)</formula>
    </cfRule>
    <cfRule type="expression" dxfId="1301" priority="179" stopIfTrue="1">
      <formula>AND(C86&gt;=92000,C86&lt;=98999)</formula>
    </cfRule>
    <cfRule type="expression" dxfId="1300" priority="180" stopIfTrue="1">
      <formula>AND(C86&gt;=78100,C86&lt;=78199)</formula>
    </cfRule>
    <cfRule type="expression" dxfId="1299" priority="181" stopIfTrue="1">
      <formula>AND(C86&gt;=91000,C86&lt;=91999)</formula>
    </cfRule>
  </conditionalFormatting>
  <conditionalFormatting sqref="T86:T8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:A1048576">
    <cfRule type="duplicateValues" dxfId="1298" priority="166"/>
  </conditionalFormatting>
  <conditionalFormatting sqref="C88">
    <cfRule type="duplicateValues" dxfId="1297" priority="151"/>
  </conditionalFormatting>
  <conditionalFormatting sqref="D88:E88">
    <cfRule type="expression" dxfId="1296" priority="152">
      <formula>AND(C88&gt;=79001,C88&lt;79900)</formula>
    </cfRule>
    <cfRule type="expression" dxfId="1295" priority="153" stopIfTrue="1">
      <formula>AND(C88&gt;=70101,C88&lt;=70301)</formula>
    </cfRule>
    <cfRule type="expression" dxfId="1294" priority="154" stopIfTrue="1">
      <formula>AND(C88&gt;70000,C88&lt;70004)</formula>
    </cfRule>
    <cfRule type="expression" dxfId="1293" priority="155" stopIfTrue="1">
      <formula>AND(C88&gt;=70010,C88&lt;=76000)</formula>
    </cfRule>
    <cfRule type="expression" dxfId="1292" priority="156">
      <formula>AND(C88&gt;70000,C88&lt;70004)</formula>
    </cfRule>
    <cfRule type="expression" dxfId="1291" priority="157" stopIfTrue="1">
      <formula>OR(AND(C88&gt;=10000,C88&lt;=56999),AND(C88&gt;=57000,C88&lt;=57999))</formula>
    </cfRule>
    <cfRule type="expression" dxfId="1290" priority="158" stopIfTrue="1">
      <formula>AND(C88&gt;=8000,C88&lt;=9999)</formula>
    </cfRule>
    <cfRule type="expression" dxfId="1289" priority="159" stopIfTrue="1">
      <formula>AND(C88&gt;=78100,C88&lt;=78199)</formula>
    </cfRule>
    <cfRule type="expression" dxfId="1288" priority="160" stopIfTrue="1">
      <formula>AND(C88&gt;=92000,C88&lt;=98999)</formula>
    </cfRule>
    <cfRule type="expression" dxfId="1287" priority="161" stopIfTrue="1">
      <formula>AND(C88&gt;=78100,C88&lt;=78199)</formula>
    </cfRule>
    <cfRule type="expression" dxfId="1286" priority="162" stopIfTrue="1">
      <formula>AND(C88&gt;=91000,C88&lt;=91999)</formula>
    </cfRule>
  </conditionalFormatting>
  <conditionalFormatting sqref="T88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">
    <cfRule type="duplicateValues" dxfId="1285" priority="135"/>
  </conditionalFormatting>
  <conditionalFormatting sqref="D89:E89">
    <cfRule type="expression" dxfId="1284" priority="136">
      <formula>AND(C89&gt;=79001,C89&lt;79900)</formula>
    </cfRule>
    <cfRule type="expression" dxfId="1283" priority="137" stopIfTrue="1">
      <formula>AND(C89&gt;=70101,C89&lt;=70301)</formula>
    </cfRule>
    <cfRule type="expression" dxfId="1282" priority="138" stopIfTrue="1">
      <formula>AND(C89&gt;70000,C89&lt;70004)</formula>
    </cfRule>
    <cfRule type="expression" dxfId="1281" priority="139" stopIfTrue="1">
      <formula>AND(C89&gt;=70010,C89&lt;=76000)</formula>
    </cfRule>
    <cfRule type="expression" dxfId="1280" priority="140">
      <formula>AND(C89&gt;70000,C89&lt;70004)</formula>
    </cfRule>
    <cfRule type="expression" dxfId="1279" priority="141" stopIfTrue="1">
      <formula>OR(AND(C89&gt;=10000,C89&lt;=56999),AND(C89&gt;=57000,C89&lt;=57999))</formula>
    </cfRule>
    <cfRule type="expression" dxfId="1278" priority="142" stopIfTrue="1">
      <formula>AND(C89&gt;=8000,C89&lt;=9999)</formula>
    </cfRule>
    <cfRule type="expression" dxfId="1277" priority="143" stopIfTrue="1">
      <formula>AND(C89&gt;=78100,C89&lt;=78199)</formula>
    </cfRule>
    <cfRule type="expression" dxfId="1276" priority="144" stopIfTrue="1">
      <formula>AND(C89&gt;=92000,C89&lt;=98999)</formula>
    </cfRule>
    <cfRule type="expression" dxfId="1275" priority="145" stopIfTrue="1">
      <formula>AND(C89&gt;=78100,C89&lt;=78199)</formula>
    </cfRule>
    <cfRule type="expression" dxfId="1274" priority="146" stopIfTrue="1">
      <formula>AND(C89&gt;=91000,C89&lt;=91999)</formula>
    </cfRule>
  </conditionalFormatting>
  <conditionalFormatting sqref="T89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9">
    <cfRule type="expression" dxfId="1273" priority="122">
      <formula>AND(C39&gt;=79001,C39&lt;79900)</formula>
    </cfRule>
    <cfRule type="expression" dxfId="1272" priority="123" stopIfTrue="1">
      <formula>AND(C39&gt;=70101,C39&lt;=70301)</formula>
    </cfRule>
    <cfRule type="expression" dxfId="1271" priority="124" stopIfTrue="1">
      <formula>AND(C39&gt;70000,C39&lt;70004)</formula>
    </cfRule>
    <cfRule type="expression" dxfId="1270" priority="125" stopIfTrue="1">
      <formula>AND(C39&gt;=70010,C39&lt;=76000)</formula>
    </cfRule>
    <cfRule type="expression" dxfId="1269" priority="126">
      <formula>AND(C39&gt;70000,C39&lt;70004)</formula>
    </cfRule>
    <cfRule type="expression" dxfId="1268" priority="127" stopIfTrue="1">
      <formula>OR(AND(C39&gt;=10000,C39&lt;=56999),AND(C39&gt;=57000,C39&lt;=57999))</formula>
    </cfRule>
    <cfRule type="expression" dxfId="1267" priority="128" stopIfTrue="1">
      <formula>AND(C39&gt;=8000,C39&lt;=9999)</formula>
    </cfRule>
    <cfRule type="expression" dxfId="1266" priority="129" stopIfTrue="1">
      <formula>AND(C39&gt;=78100,C39&lt;=78199)</formula>
    </cfRule>
    <cfRule type="expression" dxfId="1265" priority="130" stopIfTrue="1">
      <formula>AND(C39&gt;=92000,C39&lt;=98999)</formula>
    </cfRule>
    <cfRule type="expression" dxfId="1264" priority="131" stopIfTrue="1">
      <formula>AND(C39&gt;=78100,C39&lt;=78199)</formula>
    </cfRule>
    <cfRule type="expression" dxfId="1263" priority="132" stopIfTrue="1">
      <formula>AND(C39&gt;=91000,C39&lt;=91999)</formula>
    </cfRule>
  </conditionalFormatting>
  <conditionalFormatting sqref="T39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2:D43">
    <cfRule type="expression" dxfId="1262" priority="107">
      <formula>AND(C42&gt;=79001,C42&lt;79900)</formula>
    </cfRule>
    <cfRule type="expression" dxfId="1261" priority="108" stopIfTrue="1">
      <formula>AND(C42&gt;=70101,C42&lt;=70301)</formula>
    </cfRule>
    <cfRule type="expression" dxfId="1260" priority="109" stopIfTrue="1">
      <formula>AND(C42&gt;70000,C42&lt;70004)</formula>
    </cfRule>
    <cfRule type="expression" dxfId="1259" priority="110" stopIfTrue="1">
      <formula>AND(C42&gt;=70010,C42&lt;=76000)</formula>
    </cfRule>
    <cfRule type="expression" dxfId="1258" priority="111">
      <formula>AND(C42&gt;70000,C42&lt;70004)</formula>
    </cfRule>
    <cfRule type="expression" dxfId="1257" priority="112" stopIfTrue="1">
      <formula>OR(AND(C42&gt;=10000,C42&lt;=56999),AND(C42&gt;=57000,C42&lt;=57999))</formula>
    </cfRule>
    <cfRule type="expression" dxfId="1256" priority="113" stopIfTrue="1">
      <formula>AND(C42&gt;=8000,C42&lt;=9999)</formula>
    </cfRule>
    <cfRule type="expression" dxfId="1255" priority="114" stopIfTrue="1">
      <formula>AND(C42&gt;=78100,C42&lt;=78199)</formula>
    </cfRule>
    <cfRule type="expression" dxfId="1254" priority="115" stopIfTrue="1">
      <formula>AND(C42&gt;=92000,C42&lt;=98999)</formula>
    </cfRule>
    <cfRule type="expression" dxfId="1253" priority="116" stopIfTrue="1">
      <formula>AND(C42&gt;=78100,C42&lt;=78199)</formula>
    </cfRule>
    <cfRule type="expression" dxfId="1252" priority="117" stopIfTrue="1">
      <formula>AND(C42&gt;=91000,C42&lt;=91999)</formula>
    </cfRule>
  </conditionalFormatting>
  <conditionalFormatting sqref="T42:T4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1">
    <cfRule type="expression" dxfId="1251" priority="92">
      <formula>AND(C61&gt;=79001,C61&lt;79900)</formula>
    </cfRule>
    <cfRule type="expression" dxfId="1250" priority="93" stopIfTrue="1">
      <formula>AND(C61&gt;=70101,C61&lt;=70301)</formula>
    </cfRule>
    <cfRule type="expression" dxfId="1249" priority="94" stopIfTrue="1">
      <formula>AND(C61&gt;70000,C61&lt;70004)</formula>
    </cfRule>
    <cfRule type="expression" dxfId="1248" priority="95" stopIfTrue="1">
      <formula>AND(C61&gt;=70010,C61&lt;=76000)</formula>
    </cfRule>
    <cfRule type="expression" dxfId="1247" priority="96">
      <formula>AND(C61&gt;70000,C61&lt;70004)</formula>
    </cfRule>
    <cfRule type="expression" dxfId="1246" priority="97" stopIfTrue="1">
      <formula>OR(AND(C61&gt;=10000,C61&lt;=56999),AND(C61&gt;=57000,C61&lt;=57999))</formula>
    </cfRule>
    <cfRule type="expression" dxfId="1245" priority="98" stopIfTrue="1">
      <formula>AND(C61&gt;=8000,C61&lt;=9999)</formula>
    </cfRule>
    <cfRule type="expression" dxfId="1244" priority="99" stopIfTrue="1">
      <formula>AND(C61&gt;=78100,C61&lt;=78199)</formula>
    </cfRule>
    <cfRule type="expression" dxfId="1243" priority="100" stopIfTrue="1">
      <formula>AND(C61&gt;=92000,C61&lt;=98999)</formula>
    </cfRule>
    <cfRule type="expression" dxfId="1242" priority="101" stopIfTrue="1">
      <formula>AND(C61&gt;=78100,C61&lt;=78199)</formula>
    </cfRule>
    <cfRule type="expression" dxfId="1241" priority="102" stopIfTrue="1">
      <formula>AND(C61&gt;=91000,C61&lt;=91999)</formula>
    </cfRule>
  </conditionalFormatting>
  <conditionalFormatting sqref="T61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4:D65">
    <cfRule type="expression" dxfId="1240" priority="77">
      <formula>AND(C64&gt;=79001,C64&lt;79900)</formula>
    </cfRule>
    <cfRule type="expression" dxfId="1239" priority="78" stopIfTrue="1">
      <formula>AND(C64&gt;=70101,C64&lt;=70301)</formula>
    </cfRule>
    <cfRule type="expression" dxfId="1238" priority="79" stopIfTrue="1">
      <formula>AND(C64&gt;70000,C64&lt;70004)</formula>
    </cfRule>
    <cfRule type="expression" dxfId="1237" priority="80" stopIfTrue="1">
      <formula>AND(C64&gt;=70010,C64&lt;=76000)</formula>
    </cfRule>
    <cfRule type="expression" dxfId="1236" priority="81">
      <formula>AND(C64&gt;70000,C64&lt;70004)</formula>
    </cfRule>
    <cfRule type="expression" dxfId="1235" priority="82" stopIfTrue="1">
      <formula>OR(AND(C64&gt;=10000,C64&lt;=56999),AND(C64&gt;=57000,C64&lt;=57999))</formula>
    </cfRule>
    <cfRule type="expression" dxfId="1234" priority="83" stopIfTrue="1">
      <formula>AND(C64&gt;=8000,C64&lt;=9999)</formula>
    </cfRule>
    <cfRule type="expression" dxfId="1233" priority="84" stopIfTrue="1">
      <formula>AND(C64&gt;=78100,C64&lt;=78199)</formula>
    </cfRule>
    <cfRule type="expression" dxfId="1232" priority="85" stopIfTrue="1">
      <formula>AND(C64&gt;=92000,C64&lt;=98999)</formula>
    </cfRule>
    <cfRule type="expression" dxfId="1231" priority="86" stopIfTrue="1">
      <formula>AND(C64&gt;=78100,C64&lt;=78199)</formula>
    </cfRule>
    <cfRule type="expression" dxfId="1230" priority="87" stopIfTrue="1">
      <formula>AND(C64&gt;=91000,C64&lt;=91999)</formula>
    </cfRule>
  </conditionalFormatting>
  <conditionalFormatting sqref="T64:T6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 C34:C36 C40:C41">
    <cfRule type="duplicateValues" dxfId="1229" priority="72"/>
  </conditionalFormatting>
  <conditionalFormatting sqref="C39">
    <cfRule type="duplicateValues" dxfId="1228" priority="70"/>
  </conditionalFormatting>
  <conditionalFormatting sqref="C37">
    <cfRule type="duplicateValues" dxfId="1227" priority="69"/>
  </conditionalFormatting>
  <conditionalFormatting sqref="C42">
    <cfRule type="duplicateValues" dxfId="1226" priority="68"/>
  </conditionalFormatting>
  <conditionalFormatting sqref="C43:C44">
    <cfRule type="duplicateValues" dxfId="1225" priority="67"/>
  </conditionalFormatting>
  <conditionalFormatting sqref="C60 C56:C58 C62:C63">
    <cfRule type="duplicateValues" dxfId="1224" priority="66"/>
  </conditionalFormatting>
  <conditionalFormatting sqref="C61">
    <cfRule type="duplicateValues" dxfId="1223" priority="64"/>
  </conditionalFormatting>
  <conditionalFormatting sqref="C59">
    <cfRule type="duplicateValues" dxfId="1222" priority="63"/>
  </conditionalFormatting>
  <conditionalFormatting sqref="C64">
    <cfRule type="duplicateValues" dxfId="1221" priority="62"/>
  </conditionalFormatting>
  <conditionalFormatting sqref="C65:C66">
    <cfRule type="duplicateValues" dxfId="1220" priority="61"/>
  </conditionalFormatting>
  <conditionalFormatting sqref="S56:S1048576 S1:S14 S17:S44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5:D49 D51:D52">
    <cfRule type="expression" dxfId="1219" priority="49">
      <formula>AND(C45&gt;=79001,C45&lt;79900)</formula>
    </cfRule>
    <cfRule type="expression" dxfId="1218" priority="50" stopIfTrue="1">
      <formula>AND(C45&gt;=70101,C45&lt;=70301)</formula>
    </cfRule>
    <cfRule type="expression" dxfId="1217" priority="51" stopIfTrue="1">
      <formula>AND(C45&gt;70000,C45&lt;70004)</formula>
    </cfRule>
    <cfRule type="expression" dxfId="1216" priority="52" stopIfTrue="1">
      <formula>AND(C45&gt;=70010,C45&lt;=76000)</formula>
    </cfRule>
    <cfRule type="expression" dxfId="1215" priority="53">
      <formula>AND(C45&gt;70000,C45&lt;70004)</formula>
    </cfRule>
    <cfRule type="expression" dxfId="1214" priority="54" stopIfTrue="1">
      <formula>OR(AND(C45&gt;=10000,C45&lt;=56999),AND(C45&gt;=57000,C45&lt;=57999))</formula>
    </cfRule>
    <cfRule type="expression" dxfId="1213" priority="55" stopIfTrue="1">
      <formula>AND(C45&gt;=8000,C45&lt;=9999)</formula>
    </cfRule>
    <cfRule type="expression" dxfId="1212" priority="56" stopIfTrue="1">
      <formula>AND(C45&gt;=78100,C45&lt;=78199)</formula>
    </cfRule>
    <cfRule type="expression" dxfId="1211" priority="57" stopIfTrue="1">
      <formula>AND(C45&gt;=92000,C45&lt;=98999)</formula>
    </cfRule>
    <cfRule type="expression" dxfId="1210" priority="58" stopIfTrue="1">
      <formula>AND(C45&gt;=78100,C45&lt;=78199)</formula>
    </cfRule>
    <cfRule type="expression" dxfId="1209" priority="59" stopIfTrue="1">
      <formula>AND(C45&gt;=91000,C45&lt;=91999)</formula>
    </cfRule>
  </conditionalFormatting>
  <conditionalFormatting sqref="D50">
    <cfRule type="expression" dxfId="1208" priority="36">
      <formula>AND(C50&gt;=79001,C50&lt;79900)</formula>
    </cfRule>
    <cfRule type="expression" dxfId="1207" priority="37" stopIfTrue="1">
      <formula>AND(C50&gt;=70101,C50&lt;=70301)</formula>
    </cfRule>
    <cfRule type="expression" dxfId="1206" priority="38" stopIfTrue="1">
      <formula>AND(C50&gt;70000,C50&lt;70004)</formula>
    </cfRule>
    <cfRule type="expression" dxfId="1205" priority="39" stopIfTrue="1">
      <formula>AND(C50&gt;=70010,C50&lt;=76000)</formula>
    </cfRule>
    <cfRule type="expression" dxfId="1204" priority="40">
      <formula>AND(C50&gt;70000,C50&lt;70004)</formula>
    </cfRule>
    <cfRule type="expression" dxfId="1203" priority="41" stopIfTrue="1">
      <formula>OR(AND(C50&gt;=10000,C50&lt;=56999),AND(C50&gt;=57000,C50&lt;=57999))</formula>
    </cfRule>
    <cfRule type="expression" dxfId="1202" priority="42" stopIfTrue="1">
      <formula>AND(C50&gt;=8000,C50&lt;=9999)</formula>
    </cfRule>
    <cfRule type="expression" dxfId="1201" priority="43" stopIfTrue="1">
      <formula>AND(C50&gt;=78100,C50&lt;=78199)</formula>
    </cfRule>
    <cfRule type="expression" dxfId="1200" priority="44" stopIfTrue="1">
      <formula>AND(C50&gt;=92000,C50&lt;=98999)</formula>
    </cfRule>
    <cfRule type="expression" dxfId="1199" priority="45" stopIfTrue="1">
      <formula>AND(C50&gt;=78100,C50&lt;=78199)</formula>
    </cfRule>
    <cfRule type="expression" dxfId="1198" priority="46" stopIfTrue="1">
      <formula>AND(C50&gt;=91000,C50&lt;=91999)</formula>
    </cfRule>
  </conditionalFormatting>
  <conditionalFormatting sqref="T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3:D54">
    <cfRule type="expression" dxfId="1197" priority="24">
      <formula>AND(C53&gt;=79001,C53&lt;79900)</formula>
    </cfRule>
    <cfRule type="expression" dxfId="1196" priority="25" stopIfTrue="1">
      <formula>AND(C53&gt;=70101,C53&lt;=70301)</formula>
    </cfRule>
    <cfRule type="expression" dxfId="1195" priority="26" stopIfTrue="1">
      <formula>AND(C53&gt;70000,C53&lt;70004)</formula>
    </cfRule>
    <cfRule type="expression" dxfId="1194" priority="27" stopIfTrue="1">
      <formula>AND(C53&gt;=70010,C53&lt;=76000)</formula>
    </cfRule>
    <cfRule type="expression" dxfId="1193" priority="28">
      <formula>AND(C53&gt;70000,C53&lt;70004)</formula>
    </cfRule>
    <cfRule type="expression" dxfId="1192" priority="29" stopIfTrue="1">
      <formula>OR(AND(C53&gt;=10000,C53&lt;=56999),AND(C53&gt;=57000,C53&lt;=57999))</formula>
    </cfRule>
    <cfRule type="expression" dxfId="1191" priority="30" stopIfTrue="1">
      <formula>AND(C53&gt;=8000,C53&lt;=9999)</formula>
    </cfRule>
    <cfRule type="expression" dxfId="1190" priority="31" stopIfTrue="1">
      <formula>AND(C53&gt;=78100,C53&lt;=78199)</formula>
    </cfRule>
    <cfRule type="expression" dxfId="1189" priority="32" stopIfTrue="1">
      <formula>AND(C53&gt;=92000,C53&lt;=98999)</formula>
    </cfRule>
    <cfRule type="expression" dxfId="1188" priority="33" stopIfTrue="1">
      <formula>AND(C53&gt;=78100,C53&lt;=78199)</formula>
    </cfRule>
    <cfRule type="expression" dxfId="1187" priority="34" stopIfTrue="1">
      <formula>AND(C53&gt;=91000,C53&lt;=91999)</formula>
    </cfRule>
  </conditionalFormatting>
  <conditionalFormatting sqref="T53:T5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 C45:C47 C51:C52">
    <cfRule type="duplicateValues" dxfId="1186" priority="22"/>
  </conditionalFormatting>
  <conditionalFormatting sqref="C50">
    <cfRule type="duplicateValues" dxfId="1185" priority="20"/>
  </conditionalFormatting>
  <conditionalFormatting sqref="C48">
    <cfRule type="duplicateValues" dxfId="1184" priority="19"/>
  </conditionalFormatting>
  <conditionalFormatting sqref="C53">
    <cfRule type="duplicateValues" dxfId="1183" priority="18"/>
  </conditionalFormatting>
  <conditionalFormatting sqref="C54:C55">
    <cfRule type="duplicateValues" dxfId="1182" priority="17"/>
  </conditionalFormatting>
  <conditionalFormatting sqref="T45:T49 T55 T51:T52">
    <cfRule type="colorScale" priority="2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45:S55">
    <cfRule type="colorScale" priority="2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4:T38 T44 T66 T56:T60 T40:T41 T62:T63">
    <cfRule type="colorScale" priority="2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5:D16">
    <cfRule type="expression" dxfId="1181" priority="5">
      <formula>AND(C15&gt;=79001,C15&lt;79900)</formula>
    </cfRule>
    <cfRule type="expression" dxfId="1180" priority="6" stopIfTrue="1">
      <formula>AND(C15&gt;=70101,C15&lt;=70301)</formula>
    </cfRule>
    <cfRule type="expression" dxfId="1179" priority="7" stopIfTrue="1">
      <formula>AND(C15&gt;70000,C15&lt;70004)</formula>
    </cfRule>
    <cfRule type="expression" dxfId="1178" priority="8" stopIfTrue="1">
      <formula>AND(C15&gt;=70010,C15&lt;=76000)</formula>
    </cfRule>
    <cfRule type="expression" dxfId="1177" priority="9">
      <formula>AND(C15&gt;70000,C15&lt;70004)</formula>
    </cfRule>
    <cfRule type="expression" dxfId="1176" priority="10" stopIfTrue="1">
      <formula>OR(AND(C15&gt;=10000,C15&lt;=56999),AND(C15&gt;=57000,C15&lt;=57999))</formula>
    </cfRule>
    <cfRule type="expression" dxfId="1175" priority="11" stopIfTrue="1">
      <formula>AND(C15&gt;=8000,C15&lt;=9999)</formula>
    </cfRule>
    <cfRule type="expression" dxfId="1174" priority="12" stopIfTrue="1">
      <formula>AND(C15&gt;=78100,C15&lt;=78199)</formula>
    </cfRule>
    <cfRule type="expression" dxfId="1173" priority="13" stopIfTrue="1">
      <formula>AND(C15&gt;=92000,C15&lt;=98999)</formula>
    </cfRule>
    <cfRule type="expression" dxfId="1172" priority="14" stopIfTrue="1">
      <formula>AND(C15&gt;=78100,C15&lt;=78199)</formula>
    </cfRule>
    <cfRule type="expression" dxfId="1171" priority="15" stopIfTrue="1">
      <formula>AND(C15&gt;=91000,C15&lt;=91999)</formula>
    </cfRule>
  </conditionalFormatting>
  <conditionalFormatting sqref="T15:T1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5:S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R3" formulaRange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V84"/>
  <sheetViews>
    <sheetView workbookViewId="0">
      <pane xSplit="4" ySplit="1" topLeftCell="E2" activePane="bottomRight" state="frozenSplit"/>
      <selection pane="topRight" activeCell="E1" sqref="E1"/>
      <selection pane="bottomLeft" activeCell="A2" sqref="A2"/>
      <selection pane="bottomRight" activeCell="A12" sqref="A12"/>
    </sheetView>
  </sheetViews>
  <sheetFormatPr defaultRowHeight="13.5"/>
  <cols>
    <col min="1" max="1" width="5.5" bestFit="1" customWidth="1"/>
    <col min="2" max="2" width="7.5" bestFit="1" customWidth="1"/>
    <col min="3" max="3" width="11.625" bestFit="1" customWidth="1"/>
    <col min="4" max="4" width="19.375" bestFit="1" customWidth="1"/>
    <col min="5" max="5" width="5.5" bestFit="1" customWidth="1"/>
    <col min="6" max="6" width="9.5" bestFit="1" customWidth="1"/>
    <col min="7" max="7" width="6.5" bestFit="1" customWidth="1"/>
    <col min="8" max="9" width="5.5" bestFit="1" customWidth="1"/>
    <col min="10" max="10" width="7.5" bestFit="1" customWidth="1"/>
    <col min="11" max="12" width="16.125" bestFit="1" customWidth="1"/>
    <col min="13" max="13" width="8.5" bestFit="1" customWidth="1"/>
    <col min="16" max="16" width="9.5" customWidth="1"/>
    <col min="17" max="18" width="9" style="1"/>
    <col min="19" max="19" width="7.5" customWidth="1"/>
  </cols>
  <sheetData>
    <row r="1" spans="1:22">
      <c r="A1" t="s">
        <v>0</v>
      </c>
      <c r="B1" t="s">
        <v>33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9</v>
      </c>
      <c r="J1" s="3" t="s">
        <v>40</v>
      </c>
      <c r="K1" s="3" t="s">
        <v>10</v>
      </c>
      <c r="L1" s="3" t="s">
        <v>11</v>
      </c>
      <c r="M1" s="3" t="s">
        <v>41</v>
      </c>
      <c r="O1" s="3" t="s">
        <v>85</v>
      </c>
      <c r="P1" t="s">
        <v>54</v>
      </c>
      <c r="U1" t="s">
        <v>69</v>
      </c>
      <c r="V1" t="s">
        <v>70</v>
      </c>
    </row>
    <row r="2" spans="1:22">
      <c r="A2">
        <v>1</v>
      </c>
      <c r="B2">
        <v>0</v>
      </c>
      <c r="C2" s="51">
        <v>92131</v>
      </c>
      <c r="D2" s="4" t="str">
        <f>IFERROR(VLOOKUP(C2,[1]引用表合并!$A$2:$B$1000,2,FALSE),"")</f>
        <v>幸运戒指</v>
      </c>
      <c r="E2">
        <v>1</v>
      </c>
      <c r="F2">
        <v>35</v>
      </c>
      <c r="G2">
        <f>ROUNDUP(VLOOKUP(C2,[2]!游戏物价查询,6,FALSE),0)*E2*1.5</f>
        <v>2472</v>
      </c>
      <c r="H2">
        <v>0</v>
      </c>
      <c r="I2">
        <v>0</v>
      </c>
      <c r="J2">
        <f>ROUND(IF(G2=0,H2/1.5,G2/1.5),0)</f>
        <v>1648</v>
      </c>
      <c r="K2">
        <v>1</v>
      </c>
      <c r="L2">
        <v>100</v>
      </c>
      <c r="M2">
        <v>0</v>
      </c>
      <c r="N2">
        <f>SUM($F$2:F2)</f>
        <v>35</v>
      </c>
      <c r="O2">
        <f>ROUNDUP(VLOOKUP(C2,[2]!游戏物价查询,7,FALSE),0)*E2</f>
        <v>4</v>
      </c>
      <c r="P2" s="17">
        <f t="shared" ref="P2:P33" si="0">IF(F2&lt;0,1,F2/SUMIF(F:F,"&gt;0"))</f>
        <v>1.1933174224343675E-2</v>
      </c>
    </row>
    <row r="3" spans="1:22">
      <c r="A3">
        <v>2</v>
      </c>
      <c r="B3">
        <v>0</v>
      </c>
      <c r="C3" s="51">
        <v>92011</v>
      </c>
      <c r="D3" s="4" t="str">
        <f>IFERROR(VLOOKUP(C3,[1]引用表合并!$A$2:$B$1000,2,FALSE),"")</f>
        <v>亚诺</v>
      </c>
      <c r="E3">
        <v>1</v>
      </c>
      <c r="F3">
        <v>35</v>
      </c>
      <c r="G3">
        <f>ROUNDUP(VLOOKUP(C3,[2]!游戏物价查询,6,FALSE),0)*E3*1.5</f>
        <v>3000</v>
      </c>
      <c r="H3">
        <v>0</v>
      </c>
      <c r="I3">
        <v>0</v>
      </c>
      <c r="J3">
        <f t="shared" ref="J3:J66" si="1">ROUND(IF(G3=0,H3/1.5,G3/1.5),0)</f>
        <v>2000</v>
      </c>
      <c r="K3">
        <v>1</v>
      </c>
      <c r="L3">
        <v>100</v>
      </c>
      <c r="M3">
        <v>0</v>
      </c>
      <c r="N3">
        <f>SUM($F$2:F3)</f>
        <v>70</v>
      </c>
      <c r="O3">
        <f>ROUNDUP(VLOOKUP(C3,[2]!游戏物价查询,7,FALSE),0)*E3</f>
        <v>4</v>
      </c>
      <c r="P3" s="17">
        <f t="shared" si="0"/>
        <v>1.1933174224343675E-2</v>
      </c>
    </row>
    <row r="4" spans="1:22">
      <c r="A4">
        <v>3</v>
      </c>
      <c r="B4">
        <v>0</v>
      </c>
      <c r="C4" s="51">
        <v>92228</v>
      </c>
      <c r="D4" s="4" t="str">
        <f>IFERROR(VLOOKUP(C4,[1]引用表合并!$A$2:$B$1000,2,FALSE),"")</f>
        <v>银色手环</v>
      </c>
      <c r="E4">
        <v>1</v>
      </c>
      <c r="F4">
        <v>35</v>
      </c>
      <c r="G4">
        <f>ROUNDUP(VLOOKUP(C4,[2]!游戏物价查询,6,FALSE),0)*E4*1.5</f>
        <v>1200</v>
      </c>
      <c r="H4">
        <v>0</v>
      </c>
      <c r="I4">
        <v>0</v>
      </c>
      <c r="J4">
        <f t="shared" si="1"/>
        <v>800</v>
      </c>
      <c r="K4">
        <v>1</v>
      </c>
      <c r="L4">
        <v>100</v>
      </c>
      <c r="M4">
        <v>0</v>
      </c>
      <c r="N4">
        <f>SUM($F$2:F4)</f>
        <v>105</v>
      </c>
      <c r="O4">
        <f>ROUNDUP(VLOOKUP(C4,[2]!游戏物价查询,7,FALSE),0)*E4</f>
        <v>2</v>
      </c>
      <c r="P4" s="17">
        <f t="shared" si="0"/>
        <v>1.1933174224343675E-2</v>
      </c>
    </row>
    <row r="5" spans="1:22">
      <c r="A5">
        <v>4</v>
      </c>
      <c r="B5">
        <v>0</v>
      </c>
      <c r="C5" s="51">
        <v>92232</v>
      </c>
      <c r="D5" s="4" t="str">
        <f>IFERROR(VLOOKUP(C5,[1]引用表合并!$A$2:$B$1000,2,FALSE),"")</f>
        <v>鎏金手环</v>
      </c>
      <c r="E5">
        <v>1</v>
      </c>
      <c r="F5">
        <v>35</v>
      </c>
      <c r="G5">
        <f>ROUNDUP(VLOOKUP(C5,[2]!游戏物价查询,6,FALSE),0)*E5*1.5</f>
        <v>2472</v>
      </c>
      <c r="H5">
        <v>0</v>
      </c>
      <c r="I5">
        <v>0</v>
      </c>
      <c r="J5">
        <f t="shared" si="1"/>
        <v>1648</v>
      </c>
      <c r="K5">
        <v>1</v>
      </c>
      <c r="L5">
        <v>100</v>
      </c>
      <c r="M5">
        <v>0</v>
      </c>
      <c r="N5">
        <f>SUM($F$2:F5)</f>
        <v>140</v>
      </c>
      <c r="O5">
        <f>ROUNDUP(VLOOKUP(C5,[2]!游戏物价查询,7,FALSE),0)*E5</f>
        <v>4</v>
      </c>
      <c r="P5" s="17">
        <f t="shared" si="0"/>
        <v>1.1933174224343675E-2</v>
      </c>
    </row>
    <row r="6" spans="1:22">
      <c r="A6">
        <v>5</v>
      </c>
      <c r="B6">
        <v>0</v>
      </c>
      <c r="C6" s="51">
        <v>92121</v>
      </c>
      <c r="D6" s="4" t="str">
        <f>IFERROR(VLOOKUP(C6,[1]引用表合并!$A$2:$B$1000,2,FALSE),"")</f>
        <v>镀金耳钉</v>
      </c>
      <c r="E6">
        <v>1</v>
      </c>
      <c r="F6">
        <v>35</v>
      </c>
      <c r="G6">
        <f>ROUNDUP(VLOOKUP(C6,[2]!游戏物价查询,6,FALSE),0)*E6*1.5</f>
        <v>3000</v>
      </c>
      <c r="H6">
        <v>0</v>
      </c>
      <c r="I6">
        <v>0</v>
      </c>
      <c r="J6">
        <f t="shared" si="1"/>
        <v>2000</v>
      </c>
      <c r="K6">
        <v>1</v>
      </c>
      <c r="L6">
        <v>100</v>
      </c>
      <c r="M6">
        <v>0</v>
      </c>
      <c r="N6">
        <f>SUM($F$2:F6)</f>
        <v>175</v>
      </c>
      <c r="O6">
        <f>ROUNDUP(VLOOKUP(C6,[2]!游戏物价查询,7,FALSE),0)*E6</f>
        <v>4</v>
      </c>
      <c r="P6" s="17">
        <f t="shared" si="0"/>
        <v>1.1933174224343675E-2</v>
      </c>
    </row>
    <row r="7" spans="1:22">
      <c r="A7">
        <v>6</v>
      </c>
      <c r="B7">
        <v>0</v>
      </c>
      <c r="C7" s="51">
        <v>92243</v>
      </c>
      <c r="D7" s="4" t="str">
        <f>IFERROR(VLOOKUP(C7,[1]引用表合并!$A$2:$B$1000,2,FALSE),"")</f>
        <v>诅咒项链</v>
      </c>
      <c r="E7">
        <v>1</v>
      </c>
      <c r="F7">
        <v>35</v>
      </c>
      <c r="G7">
        <f>ROUNDUP(VLOOKUP(C7,[2]!游戏物价查询,6,FALSE),0)*E7*1.5</f>
        <v>1200</v>
      </c>
      <c r="H7">
        <v>0</v>
      </c>
      <c r="I7">
        <v>0</v>
      </c>
      <c r="J7">
        <f t="shared" si="1"/>
        <v>800</v>
      </c>
      <c r="K7">
        <v>1</v>
      </c>
      <c r="L7">
        <v>100</v>
      </c>
      <c r="M7">
        <v>0</v>
      </c>
      <c r="N7">
        <f>SUM($F$2:F7)</f>
        <v>210</v>
      </c>
      <c r="O7">
        <f>ROUNDUP(VLOOKUP(C7,[2]!游戏物价查询,7,FALSE),0)*E7</f>
        <v>2</v>
      </c>
      <c r="P7" s="17">
        <f t="shared" si="0"/>
        <v>1.1933174224343675E-2</v>
      </c>
    </row>
    <row r="8" spans="1:22">
      <c r="A8">
        <v>7</v>
      </c>
      <c r="B8">
        <v>0</v>
      </c>
      <c r="C8" s="51">
        <v>92244</v>
      </c>
      <c r="D8" s="4" t="str">
        <f>IFERROR(VLOOKUP(C8,[1]引用表合并!$A$2:$B$1000,2,FALSE),"")</f>
        <v>金饰项链</v>
      </c>
      <c r="E8">
        <v>1</v>
      </c>
      <c r="F8">
        <v>35</v>
      </c>
      <c r="G8">
        <f>ROUNDUP(VLOOKUP(C8,[2]!游戏物价查询,6,FALSE),0)*E8*1.5</f>
        <v>2472</v>
      </c>
      <c r="H8">
        <v>0</v>
      </c>
      <c r="I8">
        <v>0</v>
      </c>
      <c r="J8">
        <f t="shared" si="1"/>
        <v>1648</v>
      </c>
      <c r="K8">
        <v>1</v>
      </c>
      <c r="L8">
        <v>100</v>
      </c>
      <c r="M8">
        <v>0</v>
      </c>
      <c r="N8">
        <f>SUM($F$2:F8)</f>
        <v>245</v>
      </c>
      <c r="O8">
        <f>ROUNDUP(VLOOKUP(C8,[2]!游戏物价查询,7,FALSE),0)*E8</f>
        <v>4</v>
      </c>
      <c r="P8" s="17">
        <f t="shared" si="0"/>
        <v>1.1933174224343675E-2</v>
      </c>
    </row>
    <row r="9" spans="1:22">
      <c r="A9">
        <v>8</v>
      </c>
      <c r="B9">
        <v>0</v>
      </c>
      <c r="C9" s="51">
        <v>92263</v>
      </c>
      <c r="D9" s="4" t="str">
        <f>IFERROR(VLOOKUP(C9,[1]引用表合并!$A$2:$B$1000,2,FALSE),"")</f>
        <v>银针手表</v>
      </c>
      <c r="E9">
        <v>1</v>
      </c>
      <c r="F9">
        <v>35</v>
      </c>
      <c r="G9">
        <f>ROUNDUP(VLOOKUP(C9,[2]!游戏物价查询,6,FALSE),0)*E9*1.5</f>
        <v>3000</v>
      </c>
      <c r="H9">
        <v>0</v>
      </c>
      <c r="I9">
        <v>0</v>
      </c>
      <c r="J9">
        <f t="shared" si="1"/>
        <v>2000</v>
      </c>
      <c r="K9">
        <v>1</v>
      </c>
      <c r="L9">
        <v>100</v>
      </c>
      <c r="M9">
        <v>0</v>
      </c>
      <c r="N9">
        <f>SUM($F$2:F9)</f>
        <v>280</v>
      </c>
      <c r="O9">
        <f>ROUNDUP(VLOOKUP(C9,[2]!游戏物价查询,7,FALSE),0)*E9</f>
        <v>4</v>
      </c>
      <c r="P9" s="17">
        <f t="shared" si="0"/>
        <v>1.1933174224343675E-2</v>
      </c>
    </row>
    <row r="10" spans="1:22">
      <c r="A10">
        <v>9</v>
      </c>
      <c r="B10">
        <v>0</v>
      </c>
      <c r="C10" s="51">
        <v>92277</v>
      </c>
      <c r="D10" s="4" t="str">
        <f>IFERROR(VLOOKUP(C10,[1]引用表合并!$A$2:$B$1000,2,FALSE),"")</f>
        <v>冬利</v>
      </c>
      <c r="E10">
        <v>1</v>
      </c>
      <c r="F10">
        <v>35</v>
      </c>
      <c r="G10">
        <f>ROUNDUP(VLOOKUP(C10,[2]!游戏物价查询,6,FALSE),0)*E10*1.5</f>
        <v>1200</v>
      </c>
      <c r="H10">
        <v>0</v>
      </c>
      <c r="I10">
        <v>0</v>
      </c>
      <c r="J10">
        <f t="shared" si="1"/>
        <v>800</v>
      </c>
      <c r="K10">
        <v>1</v>
      </c>
      <c r="L10">
        <v>100</v>
      </c>
      <c r="M10">
        <v>0</v>
      </c>
      <c r="N10">
        <f>SUM($F$2:F10)</f>
        <v>315</v>
      </c>
      <c r="O10">
        <f>ROUNDUP(VLOOKUP(C10,[2]!游戏物价查询,7,FALSE),0)*E10</f>
        <v>2</v>
      </c>
      <c r="P10" s="17">
        <f t="shared" si="0"/>
        <v>1.1933174224343675E-2</v>
      </c>
      <c r="R10" s="1">
        <f>SUM(P2:P10)</f>
        <v>0.10739856801909307</v>
      </c>
      <c r="S10" s="1">
        <f>R10/R20</f>
        <v>0.9</v>
      </c>
      <c r="U10">
        <f>SUMPRODUCT(P2:P10,E2:E10)*6</f>
        <v>0.64439140811455842</v>
      </c>
      <c r="V10">
        <f>[2]马仔宝物投放!$Q$40</f>
        <v>1.9739869580540756</v>
      </c>
    </row>
    <row r="11" spans="1:22">
      <c r="A11">
        <v>10</v>
      </c>
      <c r="B11">
        <v>0</v>
      </c>
      <c r="C11" s="48">
        <v>93233</v>
      </c>
      <c r="D11" s="4" t="str">
        <f>IFERROR(VLOOKUP(C11,[1]引用表合并!$A$2:$B$1000,2,FALSE),"")</f>
        <v>白金手环碎片</v>
      </c>
      <c r="E11">
        <v>1</v>
      </c>
      <c r="F11">
        <v>35</v>
      </c>
      <c r="G11">
        <f>ROUNDUP(VLOOKUP(C11,[2]!游戏物价查询,6,FALSE),0)*E11*1.5</f>
        <v>1500</v>
      </c>
      <c r="H11">
        <v>0</v>
      </c>
      <c r="I11">
        <v>0</v>
      </c>
      <c r="J11">
        <f t="shared" si="1"/>
        <v>1000</v>
      </c>
      <c r="K11">
        <v>1</v>
      </c>
      <c r="L11">
        <v>100</v>
      </c>
      <c r="M11">
        <v>0</v>
      </c>
      <c r="N11">
        <f>SUM($F$2:F11)</f>
        <v>350</v>
      </c>
      <c r="O11">
        <f>ROUNDUP(VLOOKUP(C11,[2]!游戏物价查询,7,FALSE),0)*E11</f>
        <v>2</v>
      </c>
      <c r="P11" s="17">
        <f t="shared" si="0"/>
        <v>1.1933174224343675E-2</v>
      </c>
    </row>
    <row r="12" spans="1:22">
      <c r="A12">
        <v>11</v>
      </c>
      <c r="B12">
        <v>0</v>
      </c>
      <c r="C12" s="48">
        <v>93122</v>
      </c>
      <c r="D12" s="4" t="str">
        <f>IFERROR(VLOOKUP(C12,[1]引用表合并!$A$2:$B$1000,2,FALSE),"")</f>
        <v>银饰耳钉碎片</v>
      </c>
      <c r="E12">
        <v>1</v>
      </c>
      <c r="F12">
        <v>35</v>
      </c>
      <c r="G12">
        <f>ROUNDUP(VLOOKUP(C12,[2]!游戏物价查询,6,FALSE),0)*E12*1.5</f>
        <v>1500</v>
      </c>
      <c r="H12">
        <v>0</v>
      </c>
      <c r="I12">
        <v>0</v>
      </c>
      <c r="J12">
        <f t="shared" si="1"/>
        <v>1000</v>
      </c>
      <c r="K12">
        <v>1</v>
      </c>
      <c r="L12">
        <v>100</v>
      </c>
      <c r="M12">
        <v>0</v>
      </c>
      <c r="N12">
        <f>SUM($F$2:F12)</f>
        <v>385</v>
      </c>
      <c r="O12">
        <f>ROUNDUP(VLOOKUP(C12,[2]!游戏物价查询,7,FALSE),0)*E12</f>
        <v>2</v>
      </c>
      <c r="P12" s="17">
        <f t="shared" si="0"/>
        <v>1.1933174224343675E-2</v>
      </c>
    </row>
    <row r="13" spans="1:22">
      <c r="A13">
        <v>12</v>
      </c>
      <c r="B13">
        <v>0</v>
      </c>
      <c r="C13" s="48">
        <v>93141</v>
      </c>
      <c r="D13" s="4" t="str">
        <f>IFERROR(VLOOKUP(C13,[1]引用表合并!$A$2:$B$1000,2,FALSE),"")</f>
        <v>白银戒指碎片</v>
      </c>
      <c r="E13">
        <v>1</v>
      </c>
      <c r="F13">
        <v>35</v>
      </c>
      <c r="G13">
        <f>ROUNDUP(VLOOKUP(C13,[2]!游戏物价查询,6,FALSE),0)*E13*1.5</f>
        <v>1500</v>
      </c>
      <c r="H13">
        <v>0</v>
      </c>
      <c r="I13">
        <v>0</v>
      </c>
      <c r="J13">
        <f t="shared" si="1"/>
        <v>1000</v>
      </c>
      <c r="K13">
        <v>1</v>
      </c>
      <c r="L13">
        <v>100</v>
      </c>
      <c r="M13">
        <v>0</v>
      </c>
      <c r="N13">
        <f>SUM($F$2:F13)</f>
        <v>420</v>
      </c>
      <c r="O13">
        <f>ROUNDUP(VLOOKUP(C13,[2]!游戏物价查询,7,FALSE),0)*E13</f>
        <v>2</v>
      </c>
      <c r="P13" s="17">
        <f t="shared" si="0"/>
        <v>1.1933174224343675E-2</v>
      </c>
    </row>
    <row r="14" spans="1:22">
      <c r="A14">
        <v>13</v>
      </c>
      <c r="B14">
        <v>0</v>
      </c>
      <c r="C14" s="48">
        <v>93245</v>
      </c>
      <c r="D14" s="4" t="str">
        <f>IFERROR(VLOOKUP(C14,[1]引用表合并!$A$2:$B$1000,2,FALSE),"")</f>
        <v>水晶项链碎片</v>
      </c>
      <c r="E14">
        <v>1</v>
      </c>
      <c r="F14">
        <v>35</v>
      </c>
      <c r="G14">
        <f>ROUNDUP(VLOOKUP(C14,[2]!游戏物价查询,6,FALSE),0)*E14*1.5</f>
        <v>1500</v>
      </c>
      <c r="H14">
        <v>0</v>
      </c>
      <c r="I14">
        <v>0</v>
      </c>
      <c r="J14">
        <f t="shared" si="1"/>
        <v>1000</v>
      </c>
      <c r="K14">
        <v>1</v>
      </c>
      <c r="L14">
        <v>100</v>
      </c>
      <c r="M14">
        <v>0</v>
      </c>
      <c r="N14">
        <f>SUM($F$2:F14)</f>
        <v>455</v>
      </c>
      <c r="O14">
        <f>ROUNDUP(VLOOKUP(C14,[2]!游戏物价查询,7,FALSE),0)*E14</f>
        <v>2</v>
      </c>
      <c r="P14" s="17">
        <f t="shared" si="0"/>
        <v>1.1933174224343675E-2</v>
      </c>
    </row>
    <row r="15" spans="1:22">
      <c r="A15">
        <v>14</v>
      </c>
      <c r="B15">
        <v>0</v>
      </c>
      <c r="C15" s="48">
        <v>93251</v>
      </c>
      <c r="D15" s="4" t="str">
        <f>IFERROR(VLOOKUP(C15,[1]引用表合并!$A$2:$B$1000,2,FALSE),"")</f>
        <v>红石项链碎片</v>
      </c>
      <c r="E15">
        <v>1</v>
      </c>
      <c r="F15">
        <v>35</v>
      </c>
      <c r="G15">
        <f>ROUNDUP(VLOOKUP(C15,[2]!游戏物价查询,6,FALSE),0)*E15*1.5</f>
        <v>1500</v>
      </c>
      <c r="H15">
        <v>0</v>
      </c>
      <c r="I15">
        <v>0</v>
      </c>
      <c r="J15">
        <f t="shared" si="1"/>
        <v>1000</v>
      </c>
      <c r="K15">
        <v>1</v>
      </c>
      <c r="L15">
        <v>100</v>
      </c>
      <c r="M15">
        <v>0</v>
      </c>
      <c r="N15">
        <f>SUM($F$2:F15)</f>
        <v>490</v>
      </c>
      <c r="O15">
        <f>ROUNDUP(VLOOKUP(C15,[2]!游戏物价查询,7,FALSE),0)*E15</f>
        <v>2</v>
      </c>
      <c r="P15" s="17">
        <f t="shared" si="0"/>
        <v>1.1933174224343675E-2</v>
      </c>
    </row>
    <row r="16" spans="1:22">
      <c r="A16">
        <v>15</v>
      </c>
      <c r="B16">
        <v>0</v>
      </c>
      <c r="C16" s="48">
        <v>93264</v>
      </c>
      <c r="D16" s="4" t="str">
        <f>IFERROR(VLOOKUP(C16,[1]引用表合并!$A$2:$B$1000,2,FALSE),"")</f>
        <v>越野手表碎片</v>
      </c>
      <c r="E16">
        <v>1</v>
      </c>
      <c r="F16">
        <v>35</v>
      </c>
      <c r="G16">
        <f>ROUNDUP(VLOOKUP(C16,[2]!游戏物价查询,6,FALSE),0)*E16*1.5</f>
        <v>1500</v>
      </c>
      <c r="H16">
        <v>0</v>
      </c>
      <c r="I16">
        <v>0</v>
      </c>
      <c r="J16">
        <f t="shared" si="1"/>
        <v>1000</v>
      </c>
      <c r="K16">
        <v>1</v>
      </c>
      <c r="L16">
        <v>100</v>
      </c>
      <c r="M16">
        <v>0</v>
      </c>
      <c r="N16">
        <f>SUM($F$2:F16)</f>
        <v>525</v>
      </c>
      <c r="O16">
        <f>ROUNDUP(VLOOKUP(C16,[2]!游戏物价查询,7,FALSE),0)*E16</f>
        <v>2</v>
      </c>
      <c r="P16" s="17">
        <f t="shared" si="0"/>
        <v>1.1933174224343675E-2</v>
      </c>
    </row>
    <row r="17" spans="1:22">
      <c r="A17">
        <v>16</v>
      </c>
      <c r="B17">
        <v>0</v>
      </c>
      <c r="C17" s="48">
        <v>93271</v>
      </c>
      <c r="D17" s="4" t="str">
        <f>IFERROR(VLOOKUP(C17,[1]引用表合并!$A$2:$B$1000,2,FALSE),"")</f>
        <v>精准手表碎片</v>
      </c>
      <c r="E17">
        <v>1</v>
      </c>
      <c r="F17">
        <v>35</v>
      </c>
      <c r="G17">
        <f>ROUNDUP(VLOOKUP(C17,[2]!游戏物价查询,6,FALSE),0)*E17*1.5</f>
        <v>1500</v>
      </c>
      <c r="H17">
        <v>0</v>
      </c>
      <c r="I17">
        <v>0</v>
      </c>
      <c r="J17">
        <f t="shared" si="1"/>
        <v>1000</v>
      </c>
      <c r="K17">
        <v>1</v>
      </c>
      <c r="L17">
        <v>100</v>
      </c>
      <c r="M17">
        <v>0</v>
      </c>
      <c r="N17">
        <f>SUM($F$2:F17)</f>
        <v>560</v>
      </c>
      <c r="O17">
        <f>ROUNDUP(VLOOKUP(C17,[2]!游戏物价查询,7,FALSE),0)*E17</f>
        <v>2</v>
      </c>
      <c r="P17" s="17">
        <f t="shared" si="0"/>
        <v>1.1933174224343675E-2</v>
      </c>
    </row>
    <row r="18" spans="1:22">
      <c r="A18">
        <v>17</v>
      </c>
      <c r="B18">
        <v>0</v>
      </c>
      <c r="C18" s="48">
        <v>93278</v>
      </c>
      <c r="D18" s="4" t="str">
        <f>IFERROR(VLOOKUP(C18,[1]引用表合并!$A$2:$B$1000,2,FALSE),"")</f>
        <v>宝驼碎片</v>
      </c>
      <c r="E18">
        <v>1</v>
      </c>
      <c r="F18">
        <v>35</v>
      </c>
      <c r="G18">
        <f>ROUNDUP(VLOOKUP(C18,[2]!游戏物价查询,6,FALSE),0)*E18*1.5</f>
        <v>1500</v>
      </c>
      <c r="H18">
        <v>0</v>
      </c>
      <c r="I18">
        <v>0</v>
      </c>
      <c r="J18">
        <f t="shared" si="1"/>
        <v>1000</v>
      </c>
      <c r="K18">
        <v>1</v>
      </c>
      <c r="L18">
        <v>100</v>
      </c>
      <c r="M18">
        <v>0</v>
      </c>
      <c r="N18">
        <f>SUM($F$2:F18)</f>
        <v>595</v>
      </c>
      <c r="O18">
        <f>ROUNDUP(VLOOKUP(C18,[2]!游戏物价查询,7,FALSE),0)*E18</f>
        <v>2</v>
      </c>
      <c r="P18" s="17">
        <f t="shared" si="0"/>
        <v>1.1933174224343675E-2</v>
      </c>
    </row>
    <row r="19" spans="1:22">
      <c r="A19">
        <v>18</v>
      </c>
      <c r="B19">
        <v>0</v>
      </c>
      <c r="C19" s="48">
        <v>93283</v>
      </c>
      <c r="D19" s="4" t="str">
        <f>IFERROR(VLOOKUP(C19,[1]引用表合并!$A$2:$B$1000,2,FALSE),"")</f>
        <v>小迭钞票碎片</v>
      </c>
      <c r="E19">
        <v>1</v>
      </c>
      <c r="F19">
        <v>35</v>
      </c>
      <c r="G19">
        <f>ROUNDUP(VLOOKUP(C19,[2]!游戏物价查询,6,FALSE),0)*E19*1.5</f>
        <v>1500</v>
      </c>
      <c r="H19">
        <v>0</v>
      </c>
      <c r="I19">
        <v>0</v>
      </c>
      <c r="J19">
        <f t="shared" si="1"/>
        <v>1000</v>
      </c>
      <c r="K19">
        <v>1</v>
      </c>
      <c r="L19">
        <v>100</v>
      </c>
      <c r="M19">
        <v>0</v>
      </c>
      <c r="N19">
        <f>SUM($F$2:F19)</f>
        <v>630</v>
      </c>
      <c r="O19">
        <f>ROUNDUP(VLOOKUP(C19,[2]!游戏物价查询,7,FALSE),0)*E19</f>
        <v>2</v>
      </c>
      <c r="P19" s="17">
        <f t="shared" si="0"/>
        <v>1.1933174224343675E-2</v>
      </c>
    </row>
    <row r="20" spans="1:22">
      <c r="A20">
        <v>19</v>
      </c>
      <c r="B20">
        <v>0</v>
      </c>
      <c r="C20" s="48">
        <v>93287</v>
      </c>
      <c r="D20" s="4" t="str">
        <f>IFERROR(VLOOKUP(C20,[1]引用表合并!$A$2:$B$1000,2,FALSE),"")</f>
        <v>金块碎片</v>
      </c>
      <c r="E20">
        <v>1</v>
      </c>
      <c r="F20">
        <v>35</v>
      </c>
      <c r="G20">
        <f>ROUNDUP(VLOOKUP(C20,[2]!游戏物价查询,6,FALSE),0)*E20*1.5</f>
        <v>1500</v>
      </c>
      <c r="H20">
        <v>0</v>
      </c>
      <c r="I20">
        <v>0</v>
      </c>
      <c r="J20">
        <f t="shared" si="1"/>
        <v>1000</v>
      </c>
      <c r="K20">
        <v>1</v>
      </c>
      <c r="L20">
        <v>100</v>
      </c>
      <c r="M20">
        <v>0</v>
      </c>
      <c r="N20">
        <f>SUM($F$2:F20)</f>
        <v>665</v>
      </c>
      <c r="O20">
        <f>ROUNDUP(VLOOKUP(C20,[2]!游戏物价查询,7,FALSE),0)*E20</f>
        <v>2</v>
      </c>
      <c r="P20" s="17">
        <f t="shared" si="0"/>
        <v>1.1933174224343675E-2</v>
      </c>
      <c r="R20" s="1">
        <f>SUM(P11:P20)</f>
        <v>0.11933174224343675</v>
      </c>
      <c r="U20">
        <f>SUMPRODUCT(P11:P20,E11:E20)*6</f>
        <v>0.71599045346062051</v>
      </c>
      <c r="V20">
        <f>[2]马仔宝物投放!$Q$41</f>
        <v>1.2332167297745356</v>
      </c>
    </row>
    <row r="21" spans="1:22">
      <c r="A21">
        <v>20</v>
      </c>
      <c r="B21">
        <v>0</v>
      </c>
      <c r="C21" s="49">
        <v>93142</v>
      </c>
      <c r="D21" s="4" t="str">
        <f>IFERROR(VLOOKUP(C21,[1]引用表合并!$A$2:$B$1000,2,FALSE),"")</f>
        <v>黄金戒指碎片</v>
      </c>
      <c r="E21">
        <v>1</v>
      </c>
      <c r="F21">
        <v>25</v>
      </c>
      <c r="G21">
        <v>0</v>
      </c>
      <c r="H21">
        <f>ROUND(VLOOKUP(C21,[2]!游戏物价查询,7,FALSE)*E21*1.5,0)</f>
        <v>6</v>
      </c>
      <c r="I21">
        <v>0</v>
      </c>
      <c r="J21">
        <f t="shared" si="1"/>
        <v>4</v>
      </c>
      <c r="K21">
        <v>1</v>
      </c>
      <c r="L21">
        <v>100</v>
      </c>
      <c r="M21">
        <v>0</v>
      </c>
      <c r="N21">
        <f>SUM($F$2:F21)</f>
        <v>690</v>
      </c>
      <c r="O21">
        <f>ROUNDUP(VLOOKUP(C21,[2]!游戏物价查询,7,FALSE),0)*E21</f>
        <v>4</v>
      </c>
      <c r="P21" s="17">
        <f t="shared" si="0"/>
        <v>8.523695874531197E-3</v>
      </c>
    </row>
    <row r="22" spans="1:22">
      <c r="A22">
        <v>21</v>
      </c>
      <c r="B22">
        <v>0</v>
      </c>
      <c r="C22" s="49">
        <v>93235</v>
      </c>
      <c r="D22" s="4" t="str">
        <f>IFERROR(VLOOKUP(C22,[1]引用表合并!$A$2:$B$1000,2,FALSE),"")</f>
        <v>宝石手环碎片</v>
      </c>
      <c r="E22">
        <v>1</v>
      </c>
      <c r="F22">
        <v>25</v>
      </c>
      <c r="G22">
        <v>0</v>
      </c>
      <c r="H22">
        <f>ROUND(VLOOKUP(C22,[2]!游戏物价查询,7,FALSE)*E22*1.5,0)</f>
        <v>6</v>
      </c>
      <c r="I22">
        <v>0</v>
      </c>
      <c r="J22">
        <f t="shared" si="1"/>
        <v>4</v>
      </c>
      <c r="K22">
        <v>1</v>
      </c>
      <c r="L22">
        <v>100</v>
      </c>
      <c r="M22">
        <v>0</v>
      </c>
      <c r="N22">
        <f>SUM($F$2:F22)</f>
        <v>715</v>
      </c>
      <c r="O22">
        <f>ROUNDUP(VLOOKUP(C22,[2]!游戏物价查询,7,FALSE),0)*E22</f>
        <v>4</v>
      </c>
      <c r="P22" s="17">
        <f t="shared" si="0"/>
        <v>8.523695874531197E-3</v>
      </c>
    </row>
    <row r="23" spans="1:22">
      <c r="A23">
        <v>22</v>
      </c>
      <c r="B23">
        <v>0</v>
      </c>
      <c r="C23" s="49">
        <v>93012</v>
      </c>
      <c r="D23" s="4" t="str">
        <f>IFERROR(VLOOKUP(C23,[1]引用表合并!$A$2:$B$1000,2,FALSE),"")</f>
        <v>摩拉碎片</v>
      </c>
      <c r="E23">
        <v>1</v>
      </c>
      <c r="F23">
        <v>25</v>
      </c>
      <c r="G23">
        <v>0</v>
      </c>
      <c r="H23">
        <f>ROUND(VLOOKUP(C23,[2]!游戏物价查询,7,FALSE)*E23*1.5,0)</f>
        <v>6</v>
      </c>
      <c r="I23">
        <v>0</v>
      </c>
      <c r="J23">
        <f t="shared" si="1"/>
        <v>4</v>
      </c>
      <c r="K23">
        <v>1</v>
      </c>
      <c r="L23">
        <v>100</v>
      </c>
      <c r="M23">
        <v>0</v>
      </c>
      <c r="N23">
        <f>SUM($F$2:F23)</f>
        <v>740</v>
      </c>
      <c r="O23">
        <f>ROUNDUP(VLOOKUP(C23,[2]!游戏物价查询,7,FALSE),0)*E23</f>
        <v>4</v>
      </c>
      <c r="P23" s="17">
        <f t="shared" si="0"/>
        <v>8.523695874531197E-3</v>
      </c>
    </row>
    <row r="24" spans="1:22">
      <c r="A24">
        <v>23</v>
      </c>
      <c r="B24">
        <v>0</v>
      </c>
      <c r="C24" s="49">
        <v>93252</v>
      </c>
      <c r="D24" s="4" t="str">
        <f>IFERROR(VLOOKUP(C24,[1]引用表合并!$A$2:$B$1000,2,FALSE),"")</f>
        <v>青玉项链碎片</v>
      </c>
      <c r="E24">
        <v>1</v>
      </c>
      <c r="F24">
        <v>25</v>
      </c>
      <c r="G24">
        <v>0</v>
      </c>
      <c r="H24">
        <f>ROUND(VLOOKUP(C24,[2]!游戏物价查询,7,FALSE)*E24*1.5,0)</f>
        <v>6</v>
      </c>
      <c r="I24">
        <v>0</v>
      </c>
      <c r="J24">
        <f t="shared" si="1"/>
        <v>4</v>
      </c>
      <c r="K24">
        <v>1</v>
      </c>
      <c r="L24">
        <v>100</v>
      </c>
      <c r="M24">
        <v>0</v>
      </c>
      <c r="N24">
        <f>SUM($F$2:F24)</f>
        <v>765</v>
      </c>
      <c r="O24">
        <f>ROUNDUP(VLOOKUP(C24,[2]!游戏物价查询,7,FALSE),0)*E24</f>
        <v>4</v>
      </c>
      <c r="P24" s="17">
        <f t="shared" si="0"/>
        <v>8.523695874531197E-3</v>
      </c>
    </row>
    <row r="25" spans="1:22">
      <c r="A25">
        <v>24</v>
      </c>
      <c r="B25">
        <v>0</v>
      </c>
      <c r="C25" s="49">
        <v>93124</v>
      </c>
      <c r="D25" s="4" t="str">
        <f>IFERROR(VLOOKUP(C25,[1]引用表合并!$A$2:$B$1000,2,FALSE),"")</f>
        <v>水晶耳钉碎片</v>
      </c>
      <c r="E25">
        <v>1</v>
      </c>
      <c r="F25">
        <v>25</v>
      </c>
      <c r="G25">
        <v>0</v>
      </c>
      <c r="H25">
        <f>ROUND(VLOOKUP(C25,[2]!游戏物价查询,7,FALSE)*E25*1.5,0)</f>
        <v>6</v>
      </c>
      <c r="I25">
        <v>0</v>
      </c>
      <c r="J25">
        <f t="shared" si="1"/>
        <v>4</v>
      </c>
      <c r="K25">
        <v>1</v>
      </c>
      <c r="L25">
        <v>100</v>
      </c>
      <c r="M25">
        <v>0</v>
      </c>
      <c r="N25">
        <f>SUM($F$2:F25)</f>
        <v>790</v>
      </c>
      <c r="O25">
        <f>ROUNDUP(VLOOKUP(C25,[2]!游戏物价查询,7,FALSE),0)*E25</f>
        <v>4</v>
      </c>
      <c r="P25" s="17">
        <f t="shared" si="0"/>
        <v>8.523695874531197E-3</v>
      </c>
    </row>
    <row r="26" spans="1:22">
      <c r="A26">
        <v>25</v>
      </c>
      <c r="B26">
        <v>0</v>
      </c>
      <c r="C26" s="49">
        <v>93272</v>
      </c>
      <c r="D26" s="4" t="str">
        <f>IFERROR(VLOOKUP(C26,[1]引用表合并!$A$2:$B$1000,2,FALSE),"")</f>
        <v>金针手表碎片</v>
      </c>
      <c r="E26">
        <v>1</v>
      </c>
      <c r="F26">
        <v>25</v>
      </c>
      <c r="G26">
        <v>0</v>
      </c>
      <c r="H26">
        <f>ROUND(VLOOKUP(C26,[2]!游戏物价查询,7,FALSE)*E26*1.5,0)</f>
        <v>6</v>
      </c>
      <c r="I26">
        <v>0</v>
      </c>
      <c r="J26">
        <f t="shared" si="1"/>
        <v>4</v>
      </c>
      <c r="K26">
        <v>1</v>
      </c>
      <c r="L26">
        <v>100</v>
      </c>
      <c r="M26">
        <v>0</v>
      </c>
      <c r="N26">
        <f>SUM($F$2:F26)</f>
        <v>815</v>
      </c>
      <c r="O26">
        <f>ROUNDUP(VLOOKUP(C26,[2]!游戏物价查询,7,FALSE),0)*E26</f>
        <v>4</v>
      </c>
      <c r="P26" s="17">
        <f t="shared" si="0"/>
        <v>8.523695874531197E-3</v>
      </c>
    </row>
    <row r="27" spans="1:22">
      <c r="A27">
        <v>26</v>
      </c>
      <c r="B27">
        <v>0</v>
      </c>
      <c r="C27" s="49">
        <v>93273</v>
      </c>
      <c r="D27" s="4" t="str">
        <f>IFERROR(VLOOKUP(C27,[1]引用表合并!$A$2:$B$1000,2,FALSE),"")</f>
        <v>智能手表碎片</v>
      </c>
      <c r="E27">
        <v>1</v>
      </c>
      <c r="F27">
        <v>25</v>
      </c>
      <c r="G27">
        <v>0</v>
      </c>
      <c r="H27">
        <f>ROUND(VLOOKUP(C27,[2]!游戏物价查询,7,FALSE)*E27*1.5,0)</f>
        <v>6</v>
      </c>
      <c r="I27">
        <v>0</v>
      </c>
      <c r="J27">
        <f t="shared" si="1"/>
        <v>4</v>
      </c>
      <c r="K27">
        <v>1</v>
      </c>
      <c r="L27">
        <v>100</v>
      </c>
      <c r="M27">
        <v>0</v>
      </c>
      <c r="N27">
        <f>SUM($F$2:F27)</f>
        <v>840</v>
      </c>
      <c r="O27">
        <f>ROUNDUP(VLOOKUP(C27,[2]!游戏物价查询,7,FALSE),0)*E27</f>
        <v>4</v>
      </c>
      <c r="P27" s="17">
        <f t="shared" si="0"/>
        <v>8.523695874531197E-3</v>
      </c>
    </row>
    <row r="28" spans="1:22">
      <c r="A28">
        <v>27</v>
      </c>
      <c r="B28">
        <v>0</v>
      </c>
      <c r="C28" s="49">
        <v>93279</v>
      </c>
      <c r="D28" s="4" t="str">
        <f>IFERROR(VLOOKUP(C28,[1]引用表合并!$A$2:$B$1000,2,FALSE),"")</f>
        <v>宾倪碎片</v>
      </c>
      <c r="E28">
        <v>1</v>
      </c>
      <c r="F28">
        <v>25</v>
      </c>
      <c r="G28">
        <v>0</v>
      </c>
      <c r="H28">
        <f>ROUND(VLOOKUP(C28,[2]!游戏物价查询,7,FALSE)*E28*1.5,0)</f>
        <v>6</v>
      </c>
      <c r="I28">
        <v>0</v>
      </c>
      <c r="J28">
        <f t="shared" si="1"/>
        <v>4</v>
      </c>
      <c r="K28">
        <v>1</v>
      </c>
      <c r="L28">
        <v>100</v>
      </c>
      <c r="M28">
        <v>0</v>
      </c>
      <c r="N28">
        <f>SUM($F$2:F28)</f>
        <v>865</v>
      </c>
      <c r="O28">
        <f>ROUNDUP(VLOOKUP(C28,[2]!游戏物价查询,7,FALSE),0)*E28</f>
        <v>4</v>
      </c>
      <c r="P28" s="17">
        <f t="shared" si="0"/>
        <v>8.523695874531197E-3</v>
      </c>
    </row>
    <row r="29" spans="1:22">
      <c r="A29">
        <v>28</v>
      </c>
      <c r="B29">
        <v>0</v>
      </c>
      <c r="C29" s="49">
        <v>93284</v>
      </c>
      <c r="D29" s="4" t="str">
        <f>IFERROR(VLOOKUP(C29,[1]引用表合并!$A$2:$B$1000,2,FALSE),"")</f>
        <v>大迭钞票碎片</v>
      </c>
      <c r="E29">
        <v>1</v>
      </c>
      <c r="F29">
        <v>25</v>
      </c>
      <c r="G29">
        <v>0</v>
      </c>
      <c r="H29">
        <f>ROUND(VLOOKUP(C29,[2]!游戏物价查询,7,FALSE)*E29*1.5,0)</f>
        <v>6</v>
      </c>
      <c r="I29">
        <v>0</v>
      </c>
      <c r="J29">
        <f t="shared" si="1"/>
        <v>4</v>
      </c>
      <c r="K29">
        <v>1</v>
      </c>
      <c r="L29">
        <v>100</v>
      </c>
      <c r="M29">
        <v>0</v>
      </c>
      <c r="N29">
        <f>SUM($F$2:F29)</f>
        <v>890</v>
      </c>
      <c r="O29">
        <f>ROUNDUP(VLOOKUP(C29,[2]!游戏物价查询,7,FALSE),0)*E29</f>
        <v>4</v>
      </c>
      <c r="P29" s="17">
        <f t="shared" si="0"/>
        <v>8.523695874531197E-3</v>
      </c>
    </row>
    <row r="30" spans="1:22">
      <c r="A30">
        <v>29</v>
      </c>
      <c r="B30">
        <v>0</v>
      </c>
      <c r="C30" s="49">
        <v>93288</v>
      </c>
      <c r="D30" s="4" t="str">
        <f>IFERROR(VLOOKUP(C30,[1]引用表合并!$A$2:$B$1000,2,FALSE),"")</f>
        <v>大金块碎片</v>
      </c>
      <c r="E30">
        <v>1</v>
      </c>
      <c r="F30">
        <v>25</v>
      </c>
      <c r="G30">
        <v>0</v>
      </c>
      <c r="H30">
        <f>ROUND(VLOOKUP(C30,[2]!游戏物价查询,7,FALSE)*E30*1.5,0)</f>
        <v>6</v>
      </c>
      <c r="I30">
        <v>0</v>
      </c>
      <c r="J30">
        <f t="shared" si="1"/>
        <v>4</v>
      </c>
      <c r="K30">
        <v>1</v>
      </c>
      <c r="L30">
        <v>100</v>
      </c>
      <c r="M30">
        <v>0</v>
      </c>
      <c r="N30">
        <f>SUM($F$2:F30)</f>
        <v>915</v>
      </c>
      <c r="O30">
        <f>ROUNDUP(VLOOKUP(C30,[2]!游戏物价查询,7,FALSE),0)*E30</f>
        <v>4</v>
      </c>
      <c r="P30" s="17">
        <f t="shared" si="0"/>
        <v>8.523695874531197E-3</v>
      </c>
      <c r="Q30" s="1">
        <f>SUM(P2:P30)</f>
        <v>0.311967269007842</v>
      </c>
      <c r="R30" s="1">
        <f>SUM(P21:P30)</f>
        <v>8.5236958745311966E-2</v>
      </c>
      <c r="S30" s="1"/>
      <c r="T30">
        <f>SUMPRODUCT(P21:P30,E21:E30)*6</f>
        <v>0.51142175247187183</v>
      </c>
    </row>
    <row r="31" spans="1:22">
      <c r="A31">
        <v>30</v>
      </c>
      <c r="B31">
        <v>0</v>
      </c>
      <c r="C31" s="35">
        <v>78101</v>
      </c>
      <c r="D31" s="4" t="str">
        <f>IFERROR(VLOOKUP(C31,[1]引用表合并!$A$2:$B$1000,2,FALSE),"")</f>
        <v>马仔碎片(制服太妹)</v>
      </c>
      <c r="E31">
        <v>1</v>
      </c>
      <c r="F31">
        <v>80</v>
      </c>
      <c r="G31">
        <v>0</v>
      </c>
      <c r="H31">
        <f>ROUND(VLOOKUP(C31,[2]!游戏物价查询,7,FALSE)*E31*1.5,0)</f>
        <v>38</v>
      </c>
      <c r="I31">
        <v>1</v>
      </c>
      <c r="J31">
        <f t="shared" si="1"/>
        <v>25</v>
      </c>
      <c r="K31">
        <v>1</v>
      </c>
      <c r="L31">
        <v>100</v>
      </c>
      <c r="M31">
        <v>0</v>
      </c>
      <c r="N31">
        <f>SUM($F$2:F31)</f>
        <v>995</v>
      </c>
      <c r="O31">
        <f>ROUNDUP(VLOOKUP(C31,[2]!游戏物价查询,7,FALSE),0)*E31</f>
        <v>25</v>
      </c>
      <c r="P31" s="17">
        <f t="shared" si="0"/>
        <v>2.7275826798499828E-2</v>
      </c>
    </row>
    <row r="32" spans="1:22">
      <c r="A32">
        <v>31</v>
      </c>
      <c r="B32">
        <v>0</v>
      </c>
      <c r="C32" s="35">
        <v>78103</v>
      </c>
      <c r="D32" s="4" t="str">
        <f>IFERROR(VLOOKUP(C32,[1]引用表合并!$A$2:$B$1000,2,FALSE),"")</f>
        <v>马仔碎片(比利)</v>
      </c>
      <c r="E32">
        <v>1</v>
      </c>
      <c r="F32">
        <v>75</v>
      </c>
      <c r="G32">
        <v>0</v>
      </c>
      <c r="H32">
        <f>ROUND(VLOOKUP(C32,[2]!游戏物价查询,7,FALSE)*E32*1.5,0)</f>
        <v>38</v>
      </c>
      <c r="I32">
        <v>1</v>
      </c>
      <c r="J32">
        <f t="shared" si="1"/>
        <v>25</v>
      </c>
      <c r="K32">
        <v>1</v>
      </c>
      <c r="L32">
        <v>100</v>
      </c>
      <c r="M32">
        <v>0</v>
      </c>
      <c r="N32">
        <f>SUM($F$2:F32)</f>
        <v>1070</v>
      </c>
      <c r="O32">
        <f>ROUNDUP(VLOOKUP(C32,[2]!游戏物价查询,7,FALSE),0)*E32</f>
        <v>25</v>
      </c>
      <c r="P32" s="17">
        <f t="shared" si="0"/>
        <v>2.5571087623593589E-2</v>
      </c>
    </row>
    <row r="33" spans="1:22">
      <c r="A33">
        <v>32</v>
      </c>
      <c r="B33">
        <v>0</v>
      </c>
      <c r="C33" s="29">
        <v>78106</v>
      </c>
      <c r="D33" s="4" t="str">
        <f>IFERROR(VLOOKUP(C33,[1]引用表合并!$A$2:$B$1000,2,FALSE),"")</f>
        <v>马仔碎片(靓坤)</v>
      </c>
      <c r="E33">
        <v>1</v>
      </c>
      <c r="F33">
        <v>30</v>
      </c>
      <c r="G33">
        <v>0</v>
      </c>
      <c r="H33">
        <f>ROUND(VLOOKUP(C33,[2]!游戏物价查询,7,FALSE)*E33*1.5,0)</f>
        <v>75</v>
      </c>
      <c r="I33">
        <v>1</v>
      </c>
      <c r="J33">
        <f t="shared" si="1"/>
        <v>50</v>
      </c>
      <c r="K33">
        <v>1</v>
      </c>
      <c r="L33">
        <v>100</v>
      </c>
      <c r="M33">
        <v>0</v>
      </c>
      <c r="N33">
        <f>SUM($F$2:F33)</f>
        <v>1100</v>
      </c>
      <c r="O33">
        <f>ROUNDUP(VLOOKUP(C33,[2]!游戏物价查询,7,FALSE),0)*E33</f>
        <v>50</v>
      </c>
      <c r="P33" s="17">
        <f t="shared" si="0"/>
        <v>1.0228435049437436E-2</v>
      </c>
    </row>
    <row r="34" spans="1:22">
      <c r="A34">
        <v>33</v>
      </c>
      <c r="B34">
        <v>0</v>
      </c>
      <c r="C34" s="29">
        <v>78107</v>
      </c>
      <c r="D34" s="4" t="str">
        <f>IFERROR(VLOOKUP(C34,[1]引用表合并!$A$2:$B$1000,2,FALSE),"")</f>
        <v>马仔碎片(雷复轰)</v>
      </c>
      <c r="E34">
        <v>1</v>
      </c>
      <c r="F34">
        <v>28</v>
      </c>
      <c r="G34">
        <v>0</v>
      </c>
      <c r="H34">
        <f>ROUND(VLOOKUP(C34,[2]!游戏物价查询,7,FALSE)*E34*1.5,0)</f>
        <v>75</v>
      </c>
      <c r="I34">
        <v>1</v>
      </c>
      <c r="J34">
        <f t="shared" si="1"/>
        <v>50</v>
      </c>
      <c r="K34">
        <v>1</v>
      </c>
      <c r="L34">
        <v>100</v>
      </c>
      <c r="M34">
        <v>0</v>
      </c>
      <c r="N34">
        <f>SUM($F$2:F34)</f>
        <v>1128</v>
      </c>
      <c r="O34">
        <f>ROUNDUP(VLOOKUP(C34,[2]!游戏物价查询,7,FALSE),0)*E34</f>
        <v>50</v>
      </c>
      <c r="P34" s="17">
        <f t="shared" ref="P34:P65" si="2">IF(F34&lt;0,1,F34/SUMIF(F:F,"&gt;0"))</f>
        <v>9.5465393794749408E-3</v>
      </c>
    </row>
    <row r="35" spans="1:22">
      <c r="A35">
        <v>34</v>
      </c>
      <c r="B35">
        <v>0</v>
      </c>
      <c r="C35" s="29">
        <v>78108</v>
      </c>
      <c r="D35" s="4" t="str">
        <f>IFERROR(VLOOKUP(C35,[1]引用表合并!$A$2:$B$1000,2,FALSE),"")</f>
        <v>马仔碎片(肥仔)</v>
      </c>
      <c r="E35">
        <v>1</v>
      </c>
      <c r="F35">
        <v>26</v>
      </c>
      <c r="G35">
        <v>0</v>
      </c>
      <c r="H35">
        <f>ROUND(VLOOKUP(C35,[2]!游戏物价查询,7,FALSE)*E35*1.5,0)</f>
        <v>75</v>
      </c>
      <c r="I35">
        <v>1</v>
      </c>
      <c r="J35">
        <f t="shared" si="1"/>
        <v>50</v>
      </c>
      <c r="K35">
        <v>1</v>
      </c>
      <c r="L35">
        <v>100</v>
      </c>
      <c r="M35">
        <v>0</v>
      </c>
      <c r="N35">
        <f>SUM($F$2:F35)</f>
        <v>1154</v>
      </c>
      <c r="O35">
        <f>ROUNDUP(VLOOKUP(C35,[2]!游戏物价查询,7,FALSE),0)*E35</f>
        <v>50</v>
      </c>
      <c r="P35" s="17">
        <f t="shared" si="2"/>
        <v>8.8646437095124438E-3</v>
      </c>
    </row>
    <row r="36" spans="1:22">
      <c r="A36">
        <v>35</v>
      </c>
      <c r="B36">
        <v>0</v>
      </c>
      <c r="C36" s="8">
        <v>78117</v>
      </c>
      <c r="D36" s="4" t="str">
        <f>IFERROR(VLOOKUP(C36,[1]引用表合并!$A$2:$B$1000,2,FALSE),"")</f>
        <v>马仔碎片(巴闭)</v>
      </c>
      <c r="E36">
        <v>1</v>
      </c>
      <c r="F36">
        <v>22</v>
      </c>
      <c r="G36">
        <v>0</v>
      </c>
      <c r="H36">
        <f>ROUND(VLOOKUP(C36,[2]!游戏物价查询,7,FALSE)*E36*1.5,0)</f>
        <v>75</v>
      </c>
      <c r="I36">
        <v>1</v>
      </c>
      <c r="J36">
        <f t="shared" si="1"/>
        <v>50</v>
      </c>
      <c r="K36">
        <v>1</v>
      </c>
      <c r="L36">
        <v>100</v>
      </c>
      <c r="M36">
        <v>0</v>
      </c>
      <c r="N36">
        <f>SUM($F$2:F36)</f>
        <v>1176</v>
      </c>
      <c r="O36">
        <f>ROUNDUP(VLOOKUP(C36,[2]!游戏物价查询,7,FALSE),0)*E36</f>
        <v>50</v>
      </c>
      <c r="P36" s="17">
        <f t="shared" si="2"/>
        <v>7.5008523695874532E-3</v>
      </c>
      <c r="R36" s="1">
        <f>SUM(P33:P36)</f>
        <v>3.6140470508012279E-2</v>
      </c>
      <c r="T36">
        <f>(SUMPRODUCT(P33:P36,E33:E36)+SUMPRODUCT(P59:P62,E59:E62))*6</f>
        <v>0.8673712921922947</v>
      </c>
      <c r="U36">
        <f>(SUMPRODUCT(P33:P36,E33:E36)+SUMPRODUCT(E46:E49,P46:P49)+SUMPRODUCT(E59:E62,P59:P62))*6</f>
        <v>1.301056938288442</v>
      </c>
      <c r="V36">
        <f>[2]马仔的投放!$AJ$38</f>
        <v>1.3928161097380953</v>
      </c>
    </row>
    <row r="37" spans="1:22">
      <c r="A37">
        <v>36</v>
      </c>
      <c r="B37">
        <v>0</v>
      </c>
      <c r="C37" s="45">
        <v>78110</v>
      </c>
      <c r="D37" s="4" t="str">
        <f>IFERROR(VLOOKUP(C37,[1]引用表合并!$A$2:$B$1000,2,FALSE),"")</f>
        <v>马仔碎片(乌鸦)</v>
      </c>
      <c r="E37">
        <v>1</v>
      </c>
      <c r="F37">
        <v>15</v>
      </c>
      <c r="G37">
        <v>0</v>
      </c>
      <c r="H37">
        <f>ROUND(VLOOKUP(C37,[2]!游戏物价查询,7,FALSE)*E37*1.5,0)</f>
        <v>150</v>
      </c>
      <c r="I37">
        <v>1</v>
      </c>
      <c r="J37">
        <f t="shared" si="1"/>
        <v>100</v>
      </c>
      <c r="K37">
        <v>1</v>
      </c>
      <c r="L37">
        <v>100</v>
      </c>
      <c r="M37">
        <v>0</v>
      </c>
      <c r="N37">
        <f>SUM($F$2:F37)</f>
        <v>1191</v>
      </c>
      <c r="O37">
        <f>ROUNDUP(VLOOKUP(C37,[2]!游戏物价查询,7,FALSE),0)*E37</f>
        <v>100</v>
      </c>
      <c r="P37" s="17">
        <f t="shared" si="2"/>
        <v>5.114217524718718E-3</v>
      </c>
    </row>
    <row r="38" spans="1:22">
      <c r="A38">
        <v>37</v>
      </c>
      <c r="B38">
        <v>0</v>
      </c>
      <c r="C38" s="45">
        <v>78109</v>
      </c>
      <c r="D38" s="4" t="str">
        <f>IFERROR(VLOOKUP(C38,[1]引用表合并!$A$2:$B$1000,2,FALSE),"")</f>
        <v>马仔碎片(司徒浩南)</v>
      </c>
      <c r="E38">
        <v>1</v>
      </c>
      <c r="F38">
        <v>10</v>
      </c>
      <c r="G38">
        <v>0</v>
      </c>
      <c r="H38">
        <f>ROUND(VLOOKUP(C38,[2]!游戏物价查询,7,FALSE)*E38*1.5,0)</f>
        <v>150</v>
      </c>
      <c r="I38">
        <v>1</v>
      </c>
      <c r="J38">
        <f t="shared" si="1"/>
        <v>100</v>
      </c>
      <c r="K38">
        <v>1</v>
      </c>
      <c r="L38">
        <v>100</v>
      </c>
      <c r="M38">
        <v>0</v>
      </c>
      <c r="N38">
        <f>SUM($F$2:F38)</f>
        <v>1201</v>
      </c>
      <c r="O38">
        <f>ROUNDUP(VLOOKUP(C38,[2]!游戏物价查询,7,FALSE),0)*E38</f>
        <v>100</v>
      </c>
      <c r="P38" s="17">
        <f t="shared" si="2"/>
        <v>3.4094783498124785E-3</v>
      </c>
    </row>
    <row r="39" spans="1:22">
      <c r="A39">
        <v>38</v>
      </c>
      <c r="B39">
        <v>0</v>
      </c>
      <c r="C39" s="45">
        <v>78111</v>
      </c>
      <c r="D39" s="4" t="str">
        <f>IFERROR(VLOOKUP(C39,[1]引用表合并!$A$2:$B$1000,2,FALSE),"")</f>
        <v>马仔碎片(赌王)</v>
      </c>
      <c r="E39">
        <v>1</v>
      </c>
      <c r="F39">
        <v>14</v>
      </c>
      <c r="G39">
        <v>0</v>
      </c>
      <c r="H39">
        <f>ROUND(VLOOKUP(C39,[2]!游戏物价查询,7,FALSE)*E39*1.5,0)</f>
        <v>150</v>
      </c>
      <c r="I39">
        <v>1</v>
      </c>
      <c r="J39">
        <f t="shared" si="1"/>
        <v>100</v>
      </c>
      <c r="K39">
        <v>1</v>
      </c>
      <c r="L39">
        <v>100</v>
      </c>
      <c r="M39">
        <v>0</v>
      </c>
      <c r="N39">
        <f>SUM($F$2:F39)</f>
        <v>1215</v>
      </c>
      <c r="O39">
        <f>ROUNDUP(VLOOKUP(C39,[2]!游戏物价查询,7,FALSE),0)*E39</f>
        <v>100</v>
      </c>
      <c r="P39" s="17">
        <f t="shared" si="2"/>
        <v>4.7732696897374704E-3</v>
      </c>
    </row>
    <row r="40" spans="1:22">
      <c r="A40">
        <v>39</v>
      </c>
      <c r="B40">
        <v>0</v>
      </c>
      <c r="C40" s="45">
        <v>78112</v>
      </c>
      <c r="D40" s="4" t="str">
        <f>IFERROR(VLOOKUP(C40,[1]引用表合并!$A$2:$B$1000,2,FALSE),"")</f>
        <v>马仔碎片(山下忠秀)</v>
      </c>
      <c r="E40">
        <v>1</v>
      </c>
      <c r="F40">
        <v>13</v>
      </c>
      <c r="G40">
        <v>0</v>
      </c>
      <c r="H40">
        <f>ROUND(VLOOKUP(C40,[2]!游戏物价查询,7,FALSE)*E40*1.5,0)</f>
        <v>150</v>
      </c>
      <c r="I40">
        <v>1</v>
      </c>
      <c r="J40">
        <f t="shared" si="1"/>
        <v>100</v>
      </c>
      <c r="K40">
        <v>1</v>
      </c>
      <c r="L40">
        <v>100</v>
      </c>
      <c r="M40">
        <v>0</v>
      </c>
      <c r="N40">
        <f>SUM($F$2:F40)</f>
        <v>1228</v>
      </c>
      <c r="O40">
        <f>ROUNDUP(VLOOKUP(C40,[2]!游戏物价查询,7,FALSE),0)*E40</f>
        <v>100</v>
      </c>
      <c r="P40" s="17">
        <f t="shared" si="2"/>
        <v>4.4323218547562219E-3</v>
      </c>
    </row>
    <row r="41" spans="1:22">
      <c r="A41">
        <v>40</v>
      </c>
      <c r="B41">
        <v>0</v>
      </c>
      <c r="C41" s="45">
        <v>78113</v>
      </c>
      <c r="D41" s="4" t="str">
        <f>IFERROR(VLOOKUP(C41,[1]引用表合并!$A$2:$B$1000,2,FALSE),"")</f>
        <v>马仔碎片(宫本一)</v>
      </c>
      <c r="E41">
        <v>1</v>
      </c>
      <c r="F41">
        <v>12</v>
      </c>
      <c r="G41">
        <v>0</v>
      </c>
      <c r="H41">
        <f>ROUND(VLOOKUP(C41,[2]!游戏物价查询,7,FALSE)*E41*1.5,0)</f>
        <v>150</v>
      </c>
      <c r="I41">
        <v>1</v>
      </c>
      <c r="J41">
        <f t="shared" si="1"/>
        <v>100</v>
      </c>
      <c r="K41">
        <v>1</v>
      </c>
      <c r="L41">
        <v>100</v>
      </c>
      <c r="M41">
        <v>0</v>
      </c>
      <c r="N41">
        <f>SUM($F$2:F41)</f>
        <v>1240</v>
      </c>
      <c r="O41">
        <f>ROUNDUP(VLOOKUP(C41,[2]!游戏物价查询,7,FALSE),0)*E41</f>
        <v>100</v>
      </c>
      <c r="P41" s="17">
        <f t="shared" si="2"/>
        <v>4.0913740197749742E-3</v>
      </c>
    </row>
    <row r="42" spans="1:22">
      <c r="A42">
        <v>41</v>
      </c>
      <c r="B42">
        <v>0</v>
      </c>
      <c r="C42" s="46">
        <v>78118</v>
      </c>
      <c r="D42" s="4" t="str">
        <f>IFERROR(VLOOKUP(C42,[1]引用表合并!$A$2:$B$1000,2,FALSE),"")</f>
        <v>马仔碎片(耀阳)</v>
      </c>
      <c r="E42">
        <v>1</v>
      </c>
      <c r="F42">
        <v>11</v>
      </c>
      <c r="G42">
        <v>0</v>
      </c>
      <c r="H42">
        <f>ROUND(VLOOKUP(C42,[2]!游戏物价查询,7,FALSE)*E42*1.5,0)</f>
        <v>150</v>
      </c>
      <c r="I42">
        <v>1</v>
      </c>
      <c r="J42">
        <f t="shared" si="1"/>
        <v>100</v>
      </c>
      <c r="K42">
        <v>1</v>
      </c>
      <c r="L42">
        <v>100</v>
      </c>
      <c r="M42">
        <v>0</v>
      </c>
      <c r="N42">
        <f>SUM($F$2:F42)</f>
        <v>1251</v>
      </c>
      <c r="O42">
        <f>ROUNDUP(VLOOKUP(C42,[2]!游戏物价查询,7,FALSE),0)*E42</f>
        <v>100</v>
      </c>
      <c r="P42" s="17">
        <f t="shared" si="2"/>
        <v>3.7504261847937266E-3</v>
      </c>
    </row>
    <row r="43" spans="1:22">
      <c r="A43">
        <v>42</v>
      </c>
      <c r="B43">
        <v>0</v>
      </c>
      <c r="C43" s="46">
        <v>78119</v>
      </c>
      <c r="D43" s="4" t="str">
        <f>IFERROR(VLOOKUP(C43,[1]引用表合并!$A$2:$B$1000,2,FALSE),"")</f>
        <v>马仔碎片(笑面虎)</v>
      </c>
      <c r="E43">
        <v>1</v>
      </c>
      <c r="F43">
        <v>10</v>
      </c>
      <c r="G43">
        <v>0</v>
      </c>
      <c r="H43">
        <f>ROUND(VLOOKUP(C43,[2]!游戏物价查询,7,FALSE)*E43*1.5,0)</f>
        <v>150</v>
      </c>
      <c r="I43">
        <v>1</v>
      </c>
      <c r="J43">
        <f t="shared" si="1"/>
        <v>100</v>
      </c>
      <c r="K43">
        <v>1</v>
      </c>
      <c r="L43">
        <v>100</v>
      </c>
      <c r="M43">
        <v>0</v>
      </c>
      <c r="N43">
        <f>SUM($F$2:F43)</f>
        <v>1261</v>
      </c>
      <c r="O43">
        <f>ROUNDUP(VLOOKUP(C43,[2]!游戏物价查询,7,FALSE),0)*E43</f>
        <v>100</v>
      </c>
      <c r="P43" s="17">
        <f t="shared" si="2"/>
        <v>3.4094783498124785E-3</v>
      </c>
      <c r="R43" s="1">
        <f>SUM(P37:P43)</f>
        <v>2.8980565973406067E-2</v>
      </c>
      <c r="T43">
        <f>(SUMPRODUCT(P37:P43,E37:E43)+SUMPRODUCT(P63:P69,E63:E69))*6</f>
        <v>0.69553358336174564</v>
      </c>
      <c r="U43">
        <f>(SUMPRODUCT(P37:P43,E37:E43)+SUMPRODUCT(E50:E56,P50:P56)+SUMPRODUCT(E63:E69,P63:P69))*6</f>
        <v>1.0433003750426184</v>
      </c>
      <c r="V43">
        <f>[2]马仔的投放!$AJ$39</f>
        <v>0.79676728889969373</v>
      </c>
    </row>
    <row r="44" spans="1:22">
      <c r="A44">
        <v>43</v>
      </c>
      <c r="B44">
        <v>0</v>
      </c>
      <c r="C44" s="35">
        <v>78101</v>
      </c>
      <c r="D44" s="4" t="str">
        <f>IFERROR(VLOOKUP(C44,[1]引用表合并!$A$2:$B$1000,2,FALSE),"")</f>
        <v>马仔碎片(制服太妹)</v>
      </c>
      <c r="E44">
        <v>2</v>
      </c>
      <c r="F44">
        <f t="shared" ref="F44:F69" si="3">F31</f>
        <v>80</v>
      </c>
      <c r="G44">
        <v>0</v>
      </c>
      <c r="H44">
        <f>ROUND(VLOOKUP(C44,[2]!游戏物价查询,7,FALSE)*E44*1.5,0)</f>
        <v>75</v>
      </c>
      <c r="I44">
        <v>1</v>
      </c>
      <c r="J44">
        <f t="shared" si="1"/>
        <v>50</v>
      </c>
      <c r="K44">
        <v>1</v>
      </c>
      <c r="L44">
        <v>100</v>
      </c>
      <c r="M44">
        <v>0</v>
      </c>
      <c r="N44">
        <f>SUM($F$2:F44)</f>
        <v>1341</v>
      </c>
      <c r="O44">
        <f>ROUNDUP(VLOOKUP(C44,[2]!游戏物价查询,7,FALSE),0)*E44</f>
        <v>50</v>
      </c>
      <c r="P44" s="17">
        <f t="shared" si="2"/>
        <v>2.7275826798499828E-2</v>
      </c>
    </row>
    <row r="45" spans="1:22">
      <c r="A45">
        <v>44</v>
      </c>
      <c r="B45">
        <v>0</v>
      </c>
      <c r="C45" s="35">
        <v>78103</v>
      </c>
      <c r="D45" s="4" t="str">
        <f>IFERROR(VLOOKUP(C45,[1]引用表合并!$A$2:$B$1000,2,FALSE),"")</f>
        <v>马仔碎片(比利)</v>
      </c>
      <c r="E45">
        <v>2</v>
      </c>
      <c r="F45">
        <f t="shared" si="3"/>
        <v>75</v>
      </c>
      <c r="G45">
        <v>0</v>
      </c>
      <c r="H45">
        <f>ROUND(VLOOKUP(C45,[2]!游戏物价查询,7,FALSE)*E45*1.5,0)</f>
        <v>75</v>
      </c>
      <c r="I45">
        <v>1</v>
      </c>
      <c r="J45">
        <f t="shared" si="1"/>
        <v>50</v>
      </c>
      <c r="K45">
        <v>1</v>
      </c>
      <c r="L45">
        <v>100</v>
      </c>
      <c r="M45">
        <v>0</v>
      </c>
      <c r="N45">
        <f>SUM($F$2:F45)</f>
        <v>1416</v>
      </c>
      <c r="O45">
        <f>ROUNDUP(VLOOKUP(C45,[2]!游戏物价查询,7,FALSE),0)*E45</f>
        <v>50</v>
      </c>
      <c r="P45" s="17">
        <f t="shared" si="2"/>
        <v>2.5571087623593589E-2</v>
      </c>
    </row>
    <row r="46" spans="1:22">
      <c r="A46">
        <v>45</v>
      </c>
      <c r="B46">
        <v>0</v>
      </c>
      <c r="C46" s="29">
        <v>78106</v>
      </c>
      <c r="D46" s="4" t="str">
        <f>IFERROR(VLOOKUP(C46,[1]引用表合并!$A$2:$B$1000,2,FALSE),"")</f>
        <v>马仔碎片(靓坤)</v>
      </c>
      <c r="E46">
        <v>2</v>
      </c>
      <c r="F46">
        <f t="shared" si="3"/>
        <v>30</v>
      </c>
      <c r="G46">
        <v>0</v>
      </c>
      <c r="H46">
        <f>ROUND(VLOOKUP(C46,[2]!游戏物价查询,7,FALSE)*E46*1.5,0)</f>
        <v>150</v>
      </c>
      <c r="I46">
        <v>1</v>
      </c>
      <c r="J46">
        <f t="shared" si="1"/>
        <v>100</v>
      </c>
      <c r="K46">
        <v>1</v>
      </c>
      <c r="L46">
        <v>100</v>
      </c>
      <c r="M46">
        <v>0</v>
      </c>
      <c r="N46">
        <f>SUM($F$2:F46)</f>
        <v>1446</v>
      </c>
      <c r="O46">
        <f>ROUNDUP(VLOOKUP(C46,[2]!游戏物价查询,7,FALSE),0)*E46</f>
        <v>100</v>
      </c>
      <c r="P46" s="17">
        <f t="shared" si="2"/>
        <v>1.0228435049437436E-2</v>
      </c>
    </row>
    <row r="47" spans="1:22">
      <c r="A47">
        <v>46</v>
      </c>
      <c r="B47">
        <v>0</v>
      </c>
      <c r="C47" s="29">
        <v>78107</v>
      </c>
      <c r="D47" s="4" t="str">
        <f>IFERROR(VLOOKUP(C47,[1]引用表合并!$A$2:$B$1000,2,FALSE),"")</f>
        <v>马仔碎片(雷复轰)</v>
      </c>
      <c r="E47">
        <v>2</v>
      </c>
      <c r="F47">
        <f t="shared" si="3"/>
        <v>28</v>
      </c>
      <c r="G47">
        <v>0</v>
      </c>
      <c r="H47">
        <f>ROUND(VLOOKUP(C47,[2]!游戏物价查询,7,FALSE)*E47*1.5,0)</f>
        <v>150</v>
      </c>
      <c r="I47">
        <v>1</v>
      </c>
      <c r="J47">
        <f t="shared" si="1"/>
        <v>100</v>
      </c>
      <c r="K47">
        <v>1</v>
      </c>
      <c r="L47">
        <v>100</v>
      </c>
      <c r="M47">
        <v>0</v>
      </c>
      <c r="N47">
        <f>SUM($F$2:F47)</f>
        <v>1474</v>
      </c>
      <c r="O47">
        <f>ROUNDUP(VLOOKUP(C47,[2]!游戏物价查询,7,FALSE),0)*E47</f>
        <v>100</v>
      </c>
      <c r="P47" s="17">
        <f t="shared" si="2"/>
        <v>9.5465393794749408E-3</v>
      </c>
    </row>
    <row r="48" spans="1:22">
      <c r="A48">
        <v>47</v>
      </c>
      <c r="B48">
        <v>0</v>
      </c>
      <c r="C48" s="29">
        <v>78108</v>
      </c>
      <c r="D48" s="4" t="str">
        <f>IFERROR(VLOOKUP(C48,[1]引用表合并!$A$2:$B$1000,2,FALSE),"")</f>
        <v>马仔碎片(肥仔)</v>
      </c>
      <c r="E48">
        <v>2</v>
      </c>
      <c r="F48">
        <f t="shared" si="3"/>
        <v>26</v>
      </c>
      <c r="G48">
        <v>0</v>
      </c>
      <c r="H48">
        <f>ROUND(VLOOKUP(C48,[2]!游戏物价查询,7,FALSE)*E48*1.5,0)</f>
        <v>150</v>
      </c>
      <c r="I48">
        <v>1</v>
      </c>
      <c r="J48">
        <f t="shared" si="1"/>
        <v>100</v>
      </c>
      <c r="K48">
        <v>1</v>
      </c>
      <c r="L48">
        <v>100</v>
      </c>
      <c r="M48">
        <v>0</v>
      </c>
      <c r="N48">
        <f>SUM($F$2:F48)</f>
        <v>1500</v>
      </c>
      <c r="O48">
        <f>ROUNDUP(VLOOKUP(C48,[2]!游戏物价查询,7,FALSE),0)*E48</f>
        <v>100</v>
      </c>
      <c r="P48" s="17">
        <f t="shared" si="2"/>
        <v>8.8646437095124438E-3</v>
      </c>
    </row>
    <row r="49" spans="1:18">
      <c r="A49">
        <v>48</v>
      </c>
      <c r="B49">
        <v>0</v>
      </c>
      <c r="C49" s="8">
        <v>78117</v>
      </c>
      <c r="D49" s="4" t="str">
        <f>IFERROR(VLOOKUP(C49,[1]引用表合并!$A$2:$B$1000,2,FALSE),"")</f>
        <v>马仔碎片(巴闭)</v>
      </c>
      <c r="E49">
        <v>2</v>
      </c>
      <c r="F49">
        <f t="shared" si="3"/>
        <v>22</v>
      </c>
      <c r="G49">
        <v>0</v>
      </c>
      <c r="H49">
        <f>ROUND(VLOOKUP(C49,[2]!游戏物价查询,7,FALSE)*E49*1.5,0)</f>
        <v>150</v>
      </c>
      <c r="I49">
        <v>1</v>
      </c>
      <c r="J49">
        <f t="shared" si="1"/>
        <v>100</v>
      </c>
      <c r="K49">
        <v>1</v>
      </c>
      <c r="L49">
        <v>100</v>
      </c>
      <c r="M49">
        <v>0</v>
      </c>
      <c r="N49">
        <f>SUM($F$2:F49)</f>
        <v>1522</v>
      </c>
      <c r="O49">
        <f>ROUNDUP(VLOOKUP(C49,[2]!游戏物价查询,7,FALSE),0)*E49</f>
        <v>100</v>
      </c>
      <c r="P49" s="17">
        <f t="shared" si="2"/>
        <v>7.5008523695874532E-3</v>
      </c>
      <c r="R49" s="1">
        <f>SUM(P46:P49)</f>
        <v>3.6140470508012279E-2</v>
      </c>
    </row>
    <row r="50" spans="1:18">
      <c r="A50">
        <v>49</v>
      </c>
      <c r="B50">
        <v>0</v>
      </c>
      <c r="C50" s="45">
        <v>78110</v>
      </c>
      <c r="D50" s="4" t="str">
        <f>IFERROR(VLOOKUP(C50,[1]引用表合并!$A$2:$B$1000,2,FALSE),"")</f>
        <v>马仔碎片(乌鸦)</v>
      </c>
      <c r="E50">
        <v>2</v>
      </c>
      <c r="F50">
        <f t="shared" si="3"/>
        <v>15</v>
      </c>
      <c r="G50">
        <v>0</v>
      </c>
      <c r="H50">
        <f>ROUND(VLOOKUP(C50,[2]!游戏物价查询,7,FALSE)*E50*1.5,0)</f>
        <v>300</v>
      </c>
      <c r="I50">
        <v>1</v>
      </c>
      <c r="J50">
        <f t="shared" si="1"/>
        <v>200</v>
      </c>
      <c r="K50">
        <v>1</v>
      </c>
      <c r="L50">
        <v>100</v>
      </c>
      <c r="M50">
        <v>0</v>
      </c>
      <c r="N50">
        <f>SUM($F$2:F50)</f>
        <v>1537</v>
      </c>
      <c r="O50">
        <f>ROUNDUP(VLOOKUP(C50,[2]!游戏物价查询,7,FALSE),0)*E50</f>
        <v>200</v>
      </c>
      <c r="P50" s="17">
        <f t="shared" si="2"/>
        <v>5.114217524718718E-3</v>
      </c>
    </row>
    <row r="51" spans="1:18">
      <c r="A51">
        <v>50</v>
      </c>
      <c r="B51">
        <v>0</v>
      </c>
      <c r="C51" s="45">
        <v>78109</v>
      </c>
      <c r="D51" s="4" t="str">
        <f>IFERROR(VLOOKUP(C51,[1]引用表合并!$A$2:$B$1000,2,FALSE),"")</f>
        <v>马仔碎片(司徒浩南)</v>
      </c>
      <c r="E51">
        <v>2</v>
      </c>
      <c r="F51">
        <f t="shared" si="3"/>
        <v>10</v>
      </c>
      <c r="G51">
        <v>0</v>
      </c>
      <c r="H51">
        <f>ROUND(VLOOKUP(C51,[2]!游戏物价查询,7,FALSE)*E51*1.5,0)</f>
        <v>300</v>
      </c>
      <c r="I51">
        <v>1</v>
      </c>
      <c r="J51">
        <f t="shared" si="1"/>
        <v>200</v>
      </c>
      <c r="K51">
        <v>1</v>
      </c>
      <c r="L51">
        <v>100</v>
      </c>
      <c r="M51">
        <v>0</v>
      </c>
      <c r="N51">
        <f>SUM($F$2:F51)</f>
        <v>1547</v>
      </c>
      <c r="O51">
        <f>ROUNDUP(VLOOKUP(C51,[2]!游戏物价查询,7,FALSE),0)*E51</f>
        <v>200</v>
      </c>
      <c r="P51" s="17">
        <f t="shared" si="2"/>
        <v>3.4094783498124785E-3</v>
      </c>
    </row>
    <row r="52" spans="1:18">
      <c r="A52">
        <v>51</v>
      </c>
      <c r="B52">
        <v>0</v>
      </c>
      <c r="C52" s="45">
        <v>78111</v>
      </c>
      <c r="D52" s="4" t="str">
        <f>IFERROR(VLOOKUP(C52,[1]引用表合并!$A$2:$B$1000,2,FALSE),"")</f>
        <v>马仔碎片(赌王)</v>
      </c>
      <c r="E52">
        <v>2</v>
      </c>
      <c r="F52">
        <f t="shared" si="3"/>
        <v>14</v>
      </c>
      <c r="G52">
        <v>0</v>
      </c>
      <c r="H52">
        <f>ROUND(VLOOKUP(C52,[2]!游戏物价查询,7,FALSE)*E52*1.5,0)</f>
        <v>300</v>
      </c>
      <c r="I52">
        <v>1</v>
      </c>
      <c r="J52">
        <f t="shared" si="1"/>
        <v>200</v>
      </c>
      <c r="K52">
        <v>1</v>
      </c>
      <c r="L52">
        <v>100</v>
      </c>
      <c r="M52">
        <v>0</v>
      </c>
      <c r="N52">
        <f>SUM($F$2:F52)</f>
        <v>1561</v>
      </c>
      <c r="O52">
        <f>ROUNDUP(VLOOKUP(C52,[2]!游戏物价查询,7,FALSE),0)*E52</f>
        <v>200</v>
      </c>
      <c r="P52" s="17">
        <f t="shared" si="2"/>
        <v>4.7732696897374704E-3</v>
      </c>
    </row>
    <row r="53" spans="1:18">
      <c r="A53">
        <v>52</v>
      </c>
      <c r="B53">
        <v>0</v>
      </c>
      <c r="C53" s="45">
        <v>78112</v>
      </c>
      <c r="D53" s="4" t="str">
        <f>IFERROR(VLOOKUP(C53,[1]引用表合并!$A$2:$B$1000,2,FALSE),"")</f>
        <v>马仔碎片(山下忠秀)</v>
      </c>
      <c r="E53">
        <v>2</v>
      </c>
      <c r="F53">
        <f t="shared" si="3"/>
        <v>13</v>
      </c>
      <c r="G53">
        <v>0</v>
      </c>
      <c r="H53">
        <f>ROUND(VLOOKUP(C53,[2]!游戏物价查询,7,FALSE)*E53*1.5,0)</f>
        <v>300</v>
      </c>
      <c r="I53">
        <v>1</v>
      </c>
      <c r="J53">
        <f t="shared" si="1"/>
        <v>200</v>
      </c>
      <c r="K53">
        <v>1</v>
      </c>
      <c r="L53">
        <v>100</v>
      </c>
      <c r="M53">
        <v>0</v>
      </c>
      <c r="N53">
        <f>SUM($F$2:F53)</f>
        <v>1574</v>
      </c>
      <c r="O53">
        <f>ROUNDUP(VLOOKUP(C53,[2]!游戏物价查询,7,FALSE),0)*E53</f>
        <v>200</v>
      </c>
      <c r="P53" s="17">
        <f t="shared" si="2"/>
        <v>4.4323218547562219E-3</v>
      </c>
    </row>
    <row r="54" spans="1:18">
      <c r="A54">
        <v>53</v>
      </c>
      <c r="B54">
        <v>0</v>
      </c>
      <c r="C54" s="45">
        <v>78113</v>
      </c>
      <c r="D54" s="4" t="str">
        <f>IFERROR(VLOOKUP(C54,[1]引用表合并!$A$2:$B$1000,2,FALSE),"")</f>
        <v>马仔碎片(宫本一)</v>
      </c>
      <c r="E54">
        <v>2</v>
      </c>
      <c r="F54">
        <f t="shared" si="3"/>
        <v>12</v>
      </c>
      <c r="G54">
        <v>0</v>
      </c>
      <c r="H54">
        <f>ROUND(VLOOKUP(C54,[2]!游戏物价查询,7,FALSE)*E54*1.5,0)</f>
        <v>300</v>
      </c>
      <c r="I54">
        <v>1</v>
      </c>
      <c r="J54">
        <f t="shared" si="1"/>
        <v>200</v>
      </c>
      <c r="K54">
        <v>1</v>
      </c>
      <c r="L54">
        <v>100</v>
      </c>
      <c r="M54">
        <v>0</v>
      </c>
      <c r="N54">
        <f>SUM($F$2:F54)</f>
        <v>1586</v>
      </c>
      <c r="O54">
        <f>ROUNDUP(VLOOKUP(C54,[2]!游戏物价查询,7,FALSE),0)*E54</f>
        <v>200</v>
      </c>
      <c r="P54" s="17">
        <f t="shared" si="2"/>
        <v>4.0913740197749742E-3</v>
      </c>
    </row>
    <row r="55" spans="1:18">
      <c r="A55">
        <v>54</v>
      </c>
      <c r="B55">
        <v>0</v>
      </c>
      <c r="C55" s="46">
        <v>78118</v>
      </c>
      <c r="D55" s="4" t="str">
        <f>IFERROR(VLOOKUP(C55,[1]引用表合并!$A$2:$B$1000,2,FALSE),"")</f>
        <v>马仔碎片(耀阳)</v>
      </c>
      <c r="E55">
        <v>2</v>
      </c>
      <c r="F55">
        <f t="shared" si="3"/>
        <v>11</v>
      </c>
      <c r="G55">
        <v>0</v>
      </c>
      <c r="H55">
        <f>ROUND(VLOOKUP(C55,[2]!游戏物价查询,7,FALSE)*E55*1.5,0)</f>
        <v>300</v>
      </c>
      <c r="I55">
        <v>1</v>
      </c>
      <c r="J55">
        <f t="shared" si="1"/>
        <v>200</v>
      </c>
      <c r="K55">
        <v>1</v>
      </c>
      <c r="L55">
        <v>100</v>
      </c>
      <c r="M55">
        <v>0</v>
      </c>
      <c r="N55">
        <f>SUM($F$2:F55)</f>
        <v>1597</v>
      </c>
      <c r="O55">
        <f>ROUNDUP(VLOOKUP(C55,[2]!游戏物价查询,7,FALSE),0)*E55</f>
        <v>200</v>
      </c>
      <c r="P55" s="17">
        <f t="shared" si="2"/>
        <v>3.7504261847937266E-3</v>
      </c>
    </row>
    <row r="56" spans="1:18">
      <c r="A56">
        <v>55</v>
      </c>
      <c r="B56">
        <v>0</v>
      </c>
      <c r="C56" s="46">
        <v>78119</v>
      </c>
      <c r="D56" s="4" t="str">
        <f>IFERROR(VLOOKUP(C56,[1]引用表合并!$A$2:$B$1000,2,FALSE),"")</f>
        <v>马仔碎片(笑面虎)</v>
      </c>
      <c r="E56">
        <v>2</v>
      </c>
      <c r="F56">
        <f t="shared" si="3"/>
        <v>10</v>
      </c>
      <c r="G56">
        <v>0</v>
      </c>
      <c r="H56">
        <f>ROUND(VLOOKUP(C56,[2]!游戏物价查询,7,FALSE)*E56*1.5,0)</f>
        <v>300</v>
      </c>
      <c r="I56">
        <v>1</v>
      </c>
      <c r="J56">
        <f t="shared" si="1"/>
        <v>200</v>
      </c>
      <c r="K56">
        <v>1</v>
      </c>
      <c r="L56">
        <v>100</v>
      </c>
      <c r="M56">
        <v>0</v>
      </c>
      <c r="N56">
        <f>SUM($F$2:F56)</f>
        <v>1607</v>
      </c>
      <c r="O56">
        <f>ROUNDUP(VLOOKUP(C56,[2]!游戏物价查询,7,FALSE),0)*E56</f>
        <v>200</v>
      </c>
      <c r="P56" s="17">
        <f t="shared" si="2"/>
        <v>3.4094783498124785E-3</v>
      </c>
      <c r="Q56" s="1">
        <f>SUM(P18:P56)</f>
        <v>0.35697238322536656</v>
      </c>
      <c r="R56" s="1">
        <f>SUM(P50:P56)</f>
        <v>2.8980565973406067E-2</v>
      </c>
    </row>
    <row r="57" spans="1:18">
      <c r="A57">
        <v>56</v>
      </c>
      <c r="B57">
        <v>0</v>
      </c>
      <c r="C57" s="35">
        <v>78101</v>
      </c>
      <c r="D57" s="4" t="str">
        <f>IFERROR(VLOOKUP(C57,[1]引用表合并!$A$2:$B$1000,2,FALSE),"")</f>
        <v>马仔碎片(制服太妹)</v>
      </c>
      <c r="E57">
        <v>3</v>
      </c>
      <c r="F57">
        <f t="shared" si="3"/>
        <v>80</v>
      </c>
      <c r="G57">
        <v>0</v>
      </c>
      <c r="H57">
        <f>ROUND(VLOOKUP(C57,[2]!游戏物价查询,7,FALSE)*E57*1.5,0)</f>
        <v>113</v>
      </c>
      <c r="I57">
        <v>1</v>
      </c>
      <c r="J57">
        <f t="shared" si="1"/>
        <v>75</v>
      </c>
      <c r="K57">
        <v>1</v>
      </c>
      <c r="L57">
        <v>100</v>
      </c>
      <c r="M57">
        <v>0</v>
      </c>
      <c r="N57">
        <f>SUM($F$2:F57)</f>
        <v>1687</v>
      </c>
      <c r="O57">
        <f>ROUNDUP(VLOOKUP(C57,[2]!游戏物价查询,7,FALSE),0)*E57</f>
        <v>75</v>
      </c>
      <c r="P57" s="17">
        <f t="shared" si="2"/>
        <v>2.7275826798499828E-2</v>
      </c>
    </row>
    <row r="58" spans="1:18">
      <c r="A58">
        <v>57</v>
      </c>
      <c r="B58">
        <v>0</v>
      </c>
      <c r="C58" s="35">
        <v>78103</v>
      </c>
      <c r="D58" s="4" t="str">
        <f>IFERROR(VLOOKUP(C58,[1]引用表合并!$A$2:$B$1000,2,FALSE),"")</f>
        <v>马仔碎片(比利)</v>
      </c>
      <c r="E58">
        <v>3</v>
      </c>
      <c r="F58">
        <f t="shared" si="3"/>
        <v>75</v>
      </c>
      <c r="G58">
        <v>0</v>
      </c>
      <c r="H58">
        <f>ROUND(VLOOKUP(C58,[2]!游戏物价查询,7,FALSE)*E58*1.5,0)</f>
        <v>113</v>
      </c>
      <c r="I58">
        <v>1</v>
      </c>
      <c r="J58">
        <f t="shared" si="1"/>
        <v>75</v>
      </c>
      <c r="K58">
        <v>1</v>
      </c>
      <c r="L58">
        <v>100</v>
      </c>
      <c r="M58">
        <v>0</v>
      </c>
      <c r="N58">
        <f>SUM($F$2:F58)</f>
        <v>1762</v>
      </c>
      <c r="O58">
        <f>ROUNDUP(VLOOKUP(C58,[2]!游戏物价查询,7,FALSE),0)*E58</f>
        <v>75</v>
      </c>
      <c r="P58" s="17">
        <f t="shared" si="2"/>
        <v>2.5571087623593589E-2</v>
      </c>
    </row>
    <row r="59" spans="1:18">
      <c r="A59">
        <v>58</v>
      </c>
      <c r="B59">
        <v>0</v>
      </c>
      <c r="C59" s="29">
        <v>78106</v>
      </c>
      <c r="D59" s="4" t="str">
        <f>IFERROR(VLOOKUP(C59,[1]引用表合并!$A$2:$B$1000,2,FALSE),"")</f>
        <v>马仔碎片(靓坤)</v>
      </c>
      <c r="E59">
        <v>3</v>
      </c>
      <c r="F59">
        <f t="shared" si="3"/>
        <v>30</v>
      </c>
      <c r="G59">
        <v>0</v>
      </c>
      <c r="H59">
        <f>ROUND(VLOOKUP(C59,[2]!游戏物价查询,7,FALSE)*E59*1.5,0)</f>
        <v>225</v>
      </c>
      <c r="I59">
        <v>1</v>
      </c>
      <c r="J59">
        <f t="shared" si="1"/>
        <v>150</v>
      </c>
      <c r="K59">
        <v>1</v>
      </c>
      <c r="L59">
        <v>100</v>
      </c>
      <c r="M59">
        <v>0</v>
      </c>
      <c r="N59">
        <f>SUM($F$2:F59)</f>
        <v>1792</v>
      </c>
      <c r="O59">
        <f>ROUNDUP(VLOOKUP(C59,[2]!游戏物价查询,7,FALSE),0)*E59</f>
        <v>150</v>
      </c>
      <c r="P59" s="17">
        <f t="shared" si="2"/>
        <v>1.0228435049437436E-2</v>
      </c>
    </row>
    <row r="60" spans="1:18">
      <c r="A60">
        <v>59</v>
      </c>
      <c r="B60">
        <v>0</v>
      </c>
      <c r="C60" s="29">
        <v>78107</v>
      </c>
      <c r="D60" s="4" t="str">
        <f>IFERROR(VLOOKUP(C60,[1]引用表合并!$A$2:$B$1000,2,FALSE),"")</f>
        <v>马仔碎片(雷复轰)</v>
      </c>
      <c r="E60">
        <v>3</v>
      </c>
      <c r="F60">
        <f t="shared" si="3"/>
        <v>28</v>
      </c>
      <c r="G60">
        <v>0</v>
      </c>
      <c r="H60">
        <f>ROUND(VLOOKUP(C60,[2]!游戏物价查询,7,FALSE)*E60*1.5,0)</f>
        <v>225</v>
      </c>
      <c r="I60">
        <v>1</v>
      </c>
      <c r="J60">
        <f t="shared" si="1"/>
        <v>150</v>
      </c>
      <c r="K60">
        <v>1</v>
      </c>
      <c r="L60">
        <v>100</v>
      </c>
      <c r="M60">
        <v>0</v>
      </c>
      <c r="N60">
        <f>SUM($F$2:F60)</f>
        <v>1820</v>
      </c>
      <c r="O60">
        <f>ROUNDUP(VLOOKUP(C60,[2]!游戏物价查询,7,FALSE),0)*E60</f>
        <v>150</v>
      </c>
      <c r="P60" s="17">
        <f t="shared" si="2"/>
        <v>9.5465393794749408E-3</v>
      </c>
    </row>
    <row r="61" spans="1:18">
      <c r="A61">
        <v>60</v>
      </c>
      <c r="B61">
        <v>0</v>
      </c>
      <c r="C61" s="29">
        <v>78108</v>
      </c>
      <c r="D61" s="4" t="str">
        <f>IFERROR(VLOOKUP(C61,[1]引用表合并!$A$2:$B$1000,2,FALSE),"")</f>
        <v>马仔碎片(肥仔)</v>
      </c>
      <c r="E61">
        <v>3</v>
      </c>
      <c r="F61">
        <f t="shared" si="3"/>
        <v>26</v>
      </c>
      <c r="G61">
        <v>0</v>
      </c>
      <c r="H61">
        <f>ROUND(VLOOKUP(C61,[2]!游戏物价查询,7,FALSE)*E61*1.5,0)</f>
        <v>225</v>
      </c>
      <c r="I61">
        <v>1</v>
      </c>
      <c r="J61">
        <f t="shared" si="1"/>
        <v>150</v>
      </c>
      <c r="K61">
        <v>1</v>
      </c>
      <c r="L61">
        <v>100</v>
      </c>
      <c r="M61">
        <v>0</v>
      </c>
      <c r="N61">
        <f>SUM($F$2:F61)</f>
        <v>1846</v>
      </c>
      <c r="O61">
        <f>ROUNDUP(VLOOKUP(C61,[2]!游戏物价查询,7,FALSE),0)*E61</f>
        <v>150</v>
      </c>
      <c r="P61" s="17">
        <f t="shared" si="2"/>
        <v>8.8646437095124438E-3</v>
      </c>
    </row>
    <row r="62" spans="1:18">
      <c r="A62">
        <v>61</v>
      </c>
      <c r="B62">
        <v>0</v>
      </c>
      <c r="C62" s="8">
        <v>78117</v>
      </c>
      <c r="D62" s="4" t="str">
        <f>IFERROR(VLOOKUP(C62,[1]引用表合并!$A$2:$B$1000,2,FALSE),"")</f>
        <v>马仔碎片(巴闭)</v>
      </c>
      <c r="E62">
        <v>3</v>
      </c>
      <c r="F62">
        <f t="shared" si="3"/>
        <v>22</v>
      </c>
      <c r="G62">
        <v>0</v>
      </c>
      <c r="H62">
        <f>ROUND(VLOOKUP(C62,[2]!游戏物价查询,7,FALSE)*E62*1.5,0)</f>
        <v>225</v>
      </c>
      <c r="I62">
        <v>1</v>
      </c>
      <c r="J62">
        <f t="shared" si="1"/>
        <v>150</v>
      </c>
      <c r="K62">
        <v>1</v>
      </c>
      <c r="L62">
        <v>100</v>
      </c>
      <c r="M62">
        <v>0</v>
      </c>
      <c r="N62">
        <f>SUM($F$2:F62)</f>
        <v>1868</v>
      </c>
      <c r="O62">
        <f>ROUNDUP(VLOOKUP(C62,[2]!游戏物价查询,7,FALSE),0)*E62</f>
        <v>150</v>
      </c>
      <c r="P62" s="17">
        <f t="shared" si="2"/>
        <v>7.5008523695874532E-3</v>
      </c>
      <c r="R62" s="1">
        <f>SUM(P59:P62)</f>
        <v>3.6140470508012279E-2</v>
      </c>
    </row>
    <row r="63" spans="1:18">
      <c r="A63">
        <v>62</v>
      </c>
      <c r="B63">
        <v>0</v>
      </c>
      <c r="C63" s="45">
        <v>78110</v>
      </c>
      <c r="D63" s="4" t="str">
        <f>IFERROR(VLOOKUP(C63,[1]引用表合并!$A$2:$B$1000,2,FALSE),"")</f>
        <v>马仔碎片(乌鸦)</v>
      </c>
      <c r="E63">
        <v>3</v>
      </c>
      <c r="F63">
        <f t="shared" si="3"/>
        <v>15</v>
      </c>
      <c r="G63">
        <v>0</v>
      </c>
      <c r="H63">
        <f>ROUND(VLOOKUP(C63,[2]!游戏物价查询,7,FALSE)*E63*1.5,0)</f>
        <v>450</v>
      </c>
      <c r="I63">
        <v>1</v>
      </c>
      <c r="J63">
        <f t="shared" si="1"/>
        <v>300</v>
      </c>
      <c r="K63">
        <v>1</v>
      </c>
      <c r="L63">
        <v>100</v>
      </c>
      <c r="M63">
        <v>0</v>
      </c>
      <c r="N63">
        <f>SUM($F$2:F63)</f>
        <v>1883</v>
      </c>
      <c r="O63">
        <f>ROUNDUP(VLOOKUP(C63,[2]!游戏物价查询,7,FALSE),0)*E63</f>
        <v>300</v>
      </c>
      <c r="P63" s="17">
        <f t="shared" si="2"/>
        <v>5.114217524718718E-3</v>
      </c>
    </row>
    <row r="64" spans="1:18">
      <c r="A64">
        <v>63</v>
      </c>
      <c r="B64">
        <v>0</v>
      </c>
      <c r="C64" s="45">
        <v>78109</v>
      </c>
      <c r="D64" s="4" t="str">
        <f>IFERROR(VLOOKUP(C64,[1]引用表合并!$A$2:$B$1000,2,FALSE),"")</f>
        <v>马仔碎片(司徒浩南)</v>
      </c>
      <c r="E64">
        <v>3</v>
      </c>
      <c r="F64">
        <f t="shared" si="3"/>
        <v>10</v>
      </c>
      <c r="G64">
        <v>0</v>
      </c>
      <c r="H64">
        <f>ROUND(VLOOKUP(C64,[2]!游戏物价查询,7,FALSE)*E64*1.5,0)</f>
        <v>450</v>
      </c>
      <c r="I64">
        <v>1</v>
      </c>
      <c r="J64">
        <f t="shared" si="1"/>
        <v>300</v>
      </c>
      <c r="K64">
        <v>1</v>
      </c>
      <c r="L64">
        <v>100</v>
      </c>
      <c r="M64">
        <v>0</v>
      </c>
      <c r="N64">
        <f>SUM($F$2:F64)</f>
        <v>1893</v>
      </c>
      <c r="O64">
        <f>ROUNDUP(VLOOKUP(C64,[2]!游戏物价查询,7,FALSE),0)*E64</f>
        <v>300</v>
      </c>
      <c r="P64" s="17">
        <f t="shared" si="2"/>
        <v>3.4094783498124785E-3</v>
      </c>
    </row>
    <row r="65" spans="1:22">
      <c r="A65">
        <v>64</v>
      </c>
      <c r="B65">
        <v>0</v>
      </c>
      <c r="C65" s="45">
        <v>78111</v>
      </c>
      <c r="D65" s="4" t="str">
        <f>IFERROR(VLOOKUP(C65,[1]引用表合并!$A$2:$B$1000,2,FALSE),"")</f>
        <v>马仔碎片(赌王)</v>
      </c>
      <c r="E65">
        <v>3</v>
      </c>
      <c r="F65">
        <f t="shared" si="3"/>
        <v>14</v>
      </c>
      <c r="G65">
        <v>0</v>
      </c>
      <c r="H65">
        <f>ROUND(VLOOKUP(C65,[2]!游戏物价查询,7,FALSE)*E65*1.5,0)</f>
        <v>450</v>
      </c>
      <c r="I65">
        <v>1</v>
      </c>
      <c r="J65">
        <f t="shared" si="1"/>
        <v>300</v>
      </c>
      <c r="K65">
        <v>1</v>
      </c>
      <c r="L65">
        <v>100</v>
      </c>
      <c r="M65">
        <v>0</v>
      </c>
      <c r="N65">
        <f>SUM($F$2:F65)</f>
        <v>1907</v>
      </c>
      <c r="O65">
        <f>ROUNDUP(VLOOKUP(C65,[2]!游戏物价查询,7,FALSE),0)*E65</f>
        <v>300</v>
      </c>
      <c r="P65" s="17">
        <f t="shared" si="2"/>
        <v>4.7732696897374704E-3</v>
      </c>
    </row>
    <row r="66" spans="1:22">
      <c r="A66">
        <v>65</v>
      </c>
      <c r="B66">
        <v>0</v>
      </c>
      <c r="C66" s="45">
        <v>78112</v>
      </c>
      <c r="D66" s="4" t="str">
        <f>IFERROR(VLOOKUP(C66,[1]引用表合并!$A$2:$B$1000,2,FALSE),"")</f>
        <v>马仔碎片(山下忠秀)</v>
      </c>
      <c r="E66">
        <v>3</v>
      </c>
      <c r="F66">
        <f t="shared" si="3"/>
        <v>13</v>
      </c>
      <c r="G66">
        <v>0</v>
      </c>
      <c r="H66">
        <f>ROUND(VLOOKUP(C66,[2]!游戏物价查询,7,FALSE)*E66*1.5,0)</f>
        <v>450</v>
      </c>
      <c r="I66">
        <v>1</v>
      </c>
      <c r="J66">
        <f t="shared" si="1"/>
        <v>300</v>
      </c>
      <c r="K66">
        <v>1</v>
      </c>
      <c r="L66">
        <v>100</v>
      </c>
      <c r="M66">
        <v>0</v>
      </c>
      <c r="N66">
        <f>SUM($F$2:F66)</f>
        <v>1920</v>
      </c>
      <c r="O66">
        <f>ROUNDUP(VLOOKUP(C66,[2]!游戏物价查询,7,FALSE),0)*E66</f>
        <v>300</v>
      </c>
      <c r="P66" s="17">
        <f t="shared" ref="P66:P84" si="4">IF(F66&lt;0,1,F66/SUMIF(F:F,"&gt;0"))</f>
        <v>4.4323218547562219E-3</v>
      </c>
    </row>
    <row r="67" spans="1:22">
      <c r="A67">
        <v>66</v>
      </c>
      <c r="B67">
        <v>0</v>
      </c>
      <c r="C67" s="45">
        <v>78113</v>
      </c>
      <c r="D67" s="4" t="str">
        <f>IFERROR(VLOOKUP(C67,[1]引用表合并!$A$2:$B$1000,2,FALSE),"")</f>
        <v>马仔碎片(宫本一)</v>
      </c>
      <c r="E67">
        <v>3</v>
      </c>
      <c r="F67">
        <f t="shared" si="3"/>
        <v>12</v>
      </c>
      <c r="G67">
        <v>0</v>
      </c>
      <c r="H67">
        <f>ROUND(VLOOKUP(C67,[2]!游戏物价查询,7,FALSE)*E67*1.5,0)</f>
        <v>450</v>
      </c>
      <c r="I67">
        <v>1</v>
      </c>
      <c r="J67">
        <f t="shared" ref="J67:J83" si="5">ROUND(IF(G67=0,H67/1.5,G67/1.5),0)</f>
        <v>300</v>
      </c>
      <c r="K67">
        <v>1</v>
      </c>
      <c r="L67">
        <v>100</v>
      </c>
      <c r="M67">
        <v>0</v>
      </c>
      <c r="N67">
        <f>SUM($F$2:F67)</f>
        <v>1932</v>
      </c>
      <c r="O67">
        <f>ROUNDUP(VLOOKUP(C67,[2]!游戏物价查询,7,FALSE),0)*E67</f>
        <v>300</v>
      </c>
      <c r="P67" s="17">
        <f t="shared" si="4"/>
        <v>4.0913740197749742E-3</v>
      </c>
    </row>
    <row r="68" spans="1:22">
      <c r="A68">
        <v>67</v>
      </c>
      <c r="B68">
        <v>0</v>
      </c>
      <c r="C68" s="46">
        <v>78118</v>
      </c>
      <c r="D68" s="4" t="str">
        <f>IFERROR(VLOOKUP(C68,[1]引用表合并!$A$2:$B$1000,2,FALSE),"")</f>
        <v>马仔碎片(耀阳)</v>
      </c>
      <c r="E68">
        <v>3</v>
      </c>
      <c r="F68">
        <f t="shared" si="3"/>
        <v>11</v>
      </c>
      <c r="G68">
        <v>0</v>
      </c>
      <c r="H68">
        <f>ROUND(VLOOKUP(C68,[2]!游戏物价查询,7,FALSE)*E68*1.5,0)</f>
        <v>450</v>
      </c>
      <c r="I68">
        <v>1</v>
      </c>
      <c r="J68">
        <f t="shared" si="5"/>
        <v>300</v>
      </c>
      <c r="K68">
        <v>1</v>
      </c>
      <c r="L68">
        <v>100</v>
      </c>
      <c r="M68">
        <v>0</v>
      </c>
      <c r="N68">
        <f>SUM($F$2:F68)</f>
        <v>1943</v>
      </c>
      <c r="O68">
        <f>ROUNDUP(VLOOKUP(C68,[2]!游戏物价查询,7,FALSE),0)*E68</f>
        <v>300</v>
      </c>
      <c r="P68" s="17">
        <f t="shared" si="4"/>
        <v>3.7504261847937266E-3</v>
      </c>
    </row>
    <row r="69" spans="1:22">
      <c r="A69">
        <v>68</v>
      </c>
      <c r="B69">
        <v>0</v>
      </c>
      <c r="C69" s="46">
        <v>78119</v>
      </c>
      <c r="D69" s="4" t="str">
        <f>IFERROR(VLOOKUP(C69,[1]引用表合并!$A$2:$B$1000,2,FALSE),"")</f>
        <v>马仔碎片(笑面虎)</v>
      </c>
      <c r="E69">
        <v>3</v>
      </c>
      <c r="F69">
        <f t="shared" si="3"/>
        <v>10</v>
      </c>
      <c r="G69">
        <v>0</v>
      </c>
      <c r="H69">
        <f>ROUND(VLOOKUP(C69,[2]!游戏物价查询,7,FALSE)*E69*1.5,0)</f>
        <v>450</v>
      </c>
      <c r="I69">
        <v>1</v>
      </c>
      <c r="J69">
        <f t="shared" si="5"/>
        <v>300</v>
      </c>
      <c r="K69">
        <v>1</v>
      </c>
      <c r="L69">
        <v>100</v>
      </c>
      <c r="M69">
        <v>0</v>
      </c>
      <c r="N69">
        <f>SUM($F$2:F69)</f>
        <v>1953</v>
      </c>
      <c r="O69">
        <f>ROUNDUP(VLOOKUP(C69,[2]!游戏物价查询,7,FALSE),0)*E69</f>
        <v>300</v>
      </c>
      <c r="P69" s="17">
        <f t="shared" si="4"/>
        <v>3.4094783498124785E-3</v>
      </c>
      <c r="Q69" s="1">
        <f>SUM(P31:P69)</f>
        <v>0.35390385271053532</v>
      </c>
      <c r="R69" s="1">
        <f>SUM(P63:P69)</f>
        <v>2.8980565973406067E-2</v>
      </c>
    </row>
    <row r="70" spans="1:22">
      <c r="A70">
        <v>69</v>
      </c>
      <c r="B70">
        <v>0</v>
      </c>
      <c r="C70">
        <v>70101</v>
      </c>
      <c r="D70" s="4" t="str">
        <f>IFERROR(VLOOKUP(C70,[1]引用表合并!$A$2:$B$1000,2,FALSE),"")</f>
        <v>初级升星石</v>
      </c>
      <c r="E70">
        <v>5</v>
      </c>
      <c r="F70">
        <v>120</v>
      </c>
      <c r="G70">
        <v>0</v>
      </c>
      <c r="H70">
        <f>ROUND(VLOOKUP(C70,[2]!游戏物价查询,7,FALSE)*E70*1.5,0)</f>
        <v>15</v>
      </c>
      <c r="I70">
        <v>1</v>
      </c>
      <c r="J70">
        <f t="shared" si="5"/>
        <v>10</v>
      </c>
      <c r="K70">
        <v>1</v>
      </c>
      <c r="L70">
        <v>100</v>
      </c>
      <c r="M70">
        <v>0</v>
      </c>
      <c r="N70">
        <f>SUM($F$2:F70)</f>
        <v>2073</v>
      </c>
      <c r="O70">
        <f>ROUNDUP(VLOOKUP(C70,[2]!游戏物价查询,7,FALSE),0)*E70</f>
        <v>10</v>
      </c>
      <c r="P70" s="17">
        <f t="shared" si="4"/>
        <v>4.0913740197749744E-2</v>
      </c>
      <c r="U70">
        <f>P70*E70*6</f>
        <v>1.2274122059324923</v>
      </c>
      <c r="V70">
        <f>'[2]装备&amp;装备材料的投放'!$BF$35</f>
        <v>0</v>
      </c>
    </row>
    <row r="71" spans="1:22">
      <c r="A71">
        <v>70</v>
      </c>
      <c r="B71">
        <v>0</v>
      </c>
      <c r="C71">
        <v>70201</v>
      </c>
      <c r="D71" s="4" t="str">
        <f>IFERROR(VLOOKUP(C71,[1]引用表合并!$A$2:$B$1000,2,FALSE),"")</f>
        <v>中级升星石</v>
      </c>
      <c r="E71">
        <v>5</v>
      </c>
      <c r="F71">
        <v>80</v>
      </c>
      <c r="G71">
        <v>0</v>
      </c>
      <c r="H71">
        <f>ROUND(VLOOKUP(C71,[2]!游戏物价查询,7,FALSE)*E71*1.5,0)</f>
        <v>75</v>
      </c>
      <c r="I71">
        <v>1</v>
      </c>
      <c r="J71">
        <f t="shared" si="5"/>
        <v>50</v>
      </c>
      <c r="K71">
        <v>1</v>
      </c>
      <c r="L71">
        <v>100</v>
      </c>
      <c r="M71">
        <v>0</v>
      </c>
      <c r="N71">
        <f>SUM($F$2:F71)</f>
        <v>2153</v>
      </c>
      <c r="O71">
        <f>ROUNDUP(VLOOKUP(C71,[2]!游戏物价查询,7,FALSE),0)*E71</f>
        <v>50</v>
      </c>
      <c r="P71" s="17">
        <f t="shared" si="4"/>
        <v>2.7275826798499828E-2</v>
      </c>
      <c r="Q71" s="1">
        <f>P70+P71</f>
        <v>6.8189566996249576E-2</v>
      </c>
      <c r="U71">
        <f>P71*E71*6</f>
        <v>0.81827480395499497</v>
      </c>
      <c r="V71">
        <f>'[2]装备&amp;装备材料的投放'!$BF$36</f>
        <v>0</v>
      </c>
    </row>
    <row r="72" spans="1:22">
      <c r="A72">
        <v>71</v>
      </c>
      <c r="B72">
        <v>0</v>
      </c>
      <c r="C72">
        <v>70010</v>
      </c>
      <c r="D72" s="4" t="str">
        <f>IFERROR(VLOOKUP(C72,[1]引用表合并!$A$2:$B$1000,2,FALSE),"")</f>
        <v>部位材料(武器)</v>
      </c>
      <c r="E72">
        <v>5</v>
      </c>
      <c r="F72">
        <v>30</v>
      </c>
      <c r="G72">
        <v>0</v>
      </c>
      <c r="H72">
        <f>ROUND(VLOOKUP(C72,[2]!游戏物价查询,7,FALSE)*E72*1.5,0)</f>
        <v>23</v>
      </c>
      <c r="I72">
        <v>0</v>
      </c>
      <c r="J72">
        <f t="shared" si="5"/>
        <v>15</v>
      </c>
      <c r="K72">
        <v>1</v>
      </c>
      <c r="L72">
        <v>100</v>
      </c>
      <c r="M72">
        <v>0</v>
      </c>
      <c r="N72">
        <f>SUM($F$2:F72)</f>
        <v>2183</v>
      </c>
      <c r="O72">
        <f>ROUNDUP(VLOOKUP(C72,[2]!游戏物价查询,7,FALSE),0)*E72</f>
        <v>15</v>
      </c>
      <c r="P72" s="17">
        <f t="shared" si="4"/>
        <v>1.0228435049437436E-2</v>
      </c>
    </row>
    <row r="73" spans="1:22">
      <c r="A73">
        <v>72</v>
      </c>
      <c r="B73">
        <v>0</v>
      </c>
      <c r="C73">
        <v>71010</v>
      </c>
      <c r="D73" s="4" t="str">
        <f>IFERROR(VLOOKUP(C73,[1]引用表合并!$A$2:$B$1000,2,FALSE),"")</f>
        <v>部位材料(衣服)</v>
      </c>
      <c r="E73">
        <v>5</v>
      </c>
      <c r="F73">
        <v>30</v>
      </c>
      <c r="G73">
        <v>0</v>
      </c>
      <c r="H73">
        <f>ROUND(VLOOKUP(C73,[2]!游戏物价查询,7,FALSE)*E73*1.5,0)</f>
        <v>23</v>
      </c>
      <c r="I73">
        <v>0</v>
      </c>
      <c r="J73">
        <f t="shared" si="5"/>
        <v>15</v>
      </c>
      <c r="K73">
        <v>1</v>
      </c>
      <c r="L73">
        <v>100</v>
      </c>
      <c r="M73">
        <v>0</v>
      </c>
      <c r="N73">
        <f>SUM($F$2:F73)</f>
        <v>2213</v>
      </c>
      <c r="O73">
        <f>ROUNDUP(VLOOKUP(C73,[2]!游戏物价查询,7,FALSE),0)*E73</f>
        <v>15</v>
      </c>
      <c r="P73" s="17">
        <f t="shared" si="4"/>
        <v>1.0228435049437436E-2</v>
      </c>
    </row>
    <row r="74" spans="1:22">
      <c r="A74">
        <v>73</v>
      </c>
      <c r="B74">
        <v>0</v>
      </c>
      <c r="C74">
        <v>72010</v>
      </c>
      <c r="D74" s="4" t="str">
        <f>IFERROR(VLOOKUP(C74,[1]引用表合并!$A$2:$B$1000,2,FALSE),"")</f>
        <v>部位材料(裤子)</v>
      </c>
      <c r="E74">
        <v>5</v>
      </c>
      <c r="F74">
        <v>30</v>
      </c>
      <c r="G74">
        <v>0</v>
      </c>
      <c r="H74">
        <f>ROUND(VLOOKUP(C74,[2]!游戏物价查询,7,FALSE)*E74*1.5,0)</f>
        <v>23</v>
      </c>
      <c r="I74">
        <v>0</v>
      </c>
      <c r="J74">
        <f t="shared" si="5"/>
        <v>15</v>
      </c>
      <c r="K74">
        <v>1</v>
      </c>
      <c r="L74">
        <v>100</v>
      </c>
      <c r="M74">
        <v>0</v>
      </c>
      <c r="N74">
        <f>SUM($F$2:F74)</f>
        <v>2243</v>
      </c>
      <c r="O74">
        <f>ROUNDUP(VLOOKUP(C74,[2]!游戏物价查询,7,FALSE),0)*E74</f>
        <v>15</v>
      </c>
      <c r="P74" s="17">
        <f t="shared" si="4"/>
        <v>1.0228435049437436E-2</v>
      </c>
    </row>
    <row r="75" spans="1:22">
      <c r="A75">
        <v>74</v>
      </c>
      <c r="B75">
        <v>0</v>
      </c>
      <c r="C75">
        <v>73010</v>
      </c>
      <c r="D75" s="4" t="str">
        <f>IFERROR(VLOOKUP(C75,[1]引用表合并!$A$2:$B$1000,2,FALSE),"")</f>
        <v>部位材料(项链)</v>
      </c>
      <c r="E75">
        <v>5</v>
      </c>
      <c r="F75">
        <v>30</v>
      </c>
      <c r="G75">
        <v>0</v>
      </c>
      <c r="H75">
        <f>ROUND(VLOOKUP(C75,[2]!游戏物价查询,7,FALSE)*E75*1.5,0)</f>
        <v>23</v>
      </c>
      <c r="I75">
        <v>0</v>
      </c>
      <c r="J75">
        <f t="shared" si="5"/>
        <v>15</v>
      </c>
      <c r="K75">
        <v>1</v>
      </c>
      <c r="L75">
        <v>100</v>
      </c>
      <c r="M75">
        <v>0</v>
      </c>
      <c r="N75">
        <f>SUM($F$2:F75)</f>
        <v>2273</v>
      </c>
      <c r="O75">
        <f>ROUNDUP(VLOOKUP(C75,[2]!游戏物价查询,7,FALSE),0)*E75</f>
        <v>15</v>
      </c>
      <c r="P75" s="17">
        <f t="shared" si="4"/>
        <v>1.0228435049437436E-2</v>
      </c>
    </row>
    <row r="76" spans="1:22">
      <c r="A76">
        <v>75</v>
      </c>
      <c r="B76">
        <v>0</v>
      </c>
      <c r="C76">
        <v>74010</v>
      </c>
      <c r="D76" s="4" t="str">
        <f>IFERROR(VLOOKUP(C76,[1]引用表合并!$A$2:$B$1000,2,FALSE),"")</f>
        <v>部位材料(腰带)</v>
      </c>
      <c r="E76">
        <v>5</v>
      </c>
      <c r="F76">
        <v>30</v>
      </c>
      <c r="G76">
        <v>0</v>
      </c>
      <c r="H76">
        <f>ROUND(VLOOKUP(C76,[2]!游戏物价查询,7,FALSE)*E76*1.5,0)</f>
        <v>23</v>
      </c>
      <c r="I76">
        <v>0</v>
      </c>
      <c r="J76">
        <f t="shared" si="5"/>
        <v>15</v>
      </c>
      <c r="K76">
        <v>1</v>
      </c>
      <c r="L76">
        <v>100</v>
      </c>
      <c r="M76">
        <v>0</v>
      </c>
      <c r="N76">
        <f>SUM($F$2:F76)</f>
        <v>2303</v>
      </c>
      <c r="O76">
        <f>ROUNDUP(VLOOKUP(C76,[2]!游戏物价查询,7,FALSE),0)*E76</f>
        <v>15</v>
      </c>
      <c r="P76" s="17">
        <f t="shared" si="4"/>
        <v>1.0228435049437436E-2</v>
      </c>
    </row>
    <row r="77" spans="1:22">
      <c r="A77">
        <v>76</v>
      </c>
      <c r="B77">
        <v>0</v>
      </c>
      <c r="C77">
        <v>75010</v>
      </c>
      <c r="D77" s="4" t="str">
        <f>IFERROR(VLOOKUP(C77,[1]引用表合并!$A$2:$B$1000,2,FALSE),"")</f>
        <v>部位材料(鞋子)</v>
      </c>
      <c r="E77">
        <v>5</v>
      </c>
      <c r="F77">
        <v>30</v>
      </c>
      <c r="G77">
        <v>0</v>
      </c>
      <c r="H77">
        <f>ROUND(VLOOKUP(C77,[2]!游戏物价查询,7,FALSE)*E77*1.5,0)</f>
        <v>23</v>
      </c>
      <c r="I77">
        <v>0</v>
      </c>
      <c r="J77">
        <f t="shared" si="5"/>
        <v>15</v>
      </c>
      <c r="K77">
        <v>1</v>
      </c>
      <c r="L77">
        <v>100</v>
      </c>
      <c r="M77">
        <v>0</v>
      </c>
      <c r="N77">
        <f>SUM($F$2:F77)</f>
        <v>2333</v>
      </c>
      <c r="O77">
        <f>ROUNDUP(VLOOKUP(C77,[2]!游戏物价查询,7,FALSE),0)*E77</f>
        <v>15</v>
      </c>
      <c r="P77" s="17">
        <f t="shared" si="4"/>
        <v>1.0228435049437436E-2</v>
      </c>
      <c r="Q77" s="1">
        <f>SUM(P72:P77)</f>
        <v>6.1370610296624613E-2</v>
      </c>
      <c r="U77">
        <f>SUMPRODUCT(P72:P77,E72:E77)*6</f>
        <v>1.8411183088987384</v>
      </c>
      <c r="V77">
        <f>'[2]装备&amp;装备材料的投放'!$BF$38</f>
        <v>0</v>
      </c>
    </row>
    <row r="78" spans="1:22">
      <c r="A78">
        <v>77</v>
      </c>
      <c r="B78">
        <v>0</v>
      </c>
      <c r="C78">
        <v>82200</v>
      </c>
      <c r="D78" s="4" t="str">
        <f>IFERROR(VLOOKUP(C78,[1]引用表合并!$A$2:$B$1000,2,FALSE),"")</f>
        <v>金币卡(2万)</v>
      </c>
      <c r="E78" s="7">
        <v>1</v>
      </c>
      <c r="F78" s="7">
        <v>120</v>
      </c>
      <c r="G78">
        <v>0</v>
      </c>
      <c r="H78">
        <f>ROUND(VLOOKUP(C78,[2]!游戏物价查询,7,FALSE)*E78*1.5,0)</f>
        <v>60</v>
      </c>
      <c r="I78">
        <v>0</v>
      </c>
      <c r="J78">
        <f t="shared" si="5"/>
        <v>40</v>
      </c>
      <c r="K78">
        <v>1</v>
      </c>
      <c r="L78">
        <v>100</v>
      </c>
      <c r="M78">
        <v>0</v>
      </c>
      <c r="N78">
        <f>SUM($F$2:F78)</f>
        <v>2453</v>
      </c>
      <c r="O78">
        <f>ROUNDUP(VLOOKUP(C78,[2]!游戏物价查询,7,FALSE),0)*E78</f>
        <v>40</v>
      </c>
      <c r="P78" s="17">
        <f t="shared" si="4"/>
        <v>4.0913740197749744E-2</v>
      </c>
      <c r="T78">
        <f>P78*E78*6</f>
        <v>0.24548244118649848</v>
      </c>
    </row>
    <row r="79" spans="1:22">
      <c r="A79">
        <v>78</v>
      </c>
      <c r="B79">
        <v>0</v>
      </c>
      <c r="C79">
        <v>82300</v>
      </c>
      <c r="D79" s="4" t="str">
        <f>IFERROR(VLOOKUP(C79,[1]引用表合并!$A$2:$B$1000,2,FALSE),"")</f>
        <v>金币卡(5万)</v>
      </c>
      <c r="E79" s="7">
        <v>1</v>
      </c>
      <c r="F79" s="7">
        <v>80</v>
      </c>
      <c r="G79">
        <v>0</v>
      </c>
      <c r="H79">
        <f>ROUND(VLOOKUP(C79,[2]!游戏物价查询,7,FALSE)*E79*1.5,0)</f>
        <v>150</v>
      </c>
      <c r="I79">
        <v>0</v>
      </c>
      <c r="J79">
        <f t="shared" si="5"/>
        <v>100</v>
      </c>
      <c r="K79">
        <v>1</v>
      </c>
      <c r="L79">
        <v>100</v>
      </c>
      <c r="M79">
        <v>0</v>
      </c>
      <c r="N79">
        <f>SUM($F$2:F79)</f>
        <v>2533</v>
      </c>
      <c r="O79">
        <f>ROUNDUP(VLOOKUP(C79,[2]!游戏物价查询,7,FALSE),0)*E79</f>
        <v>100</v>
      </c>
      <c r="P79" s="17">
        <f t="shared" si="4"/>
        <v>2.7275826798499828E-2</v>
      </c>
      <c r="Q79" s="1">
        <f>SUM(P78:P79)</f>
        <v>6.8189566996249576E-2</v>
      </c>
      <c r="T79">
        <f>P79*E79*6</f>
        <v>0.16365496079099898</v>
      </c>
    </row>
    <row r="80" spans="1:22">
      <c r="A80">
        <v>79</v>
      </c>
      <c r="B80">
        <v>0</v>
      </c>
      <c r="C80">
        <v>91100</v>
      </c>
      <c r="D80" s="4" t="str">
        <f>IFERROR(VLOOKUP(C80,[1]引用表合并!$A$2:$B$1000,2,FALSE),"")</f>
        <v>马仔经验药水</v>
      </c>
      <c r="E80">
        <v>2</v>
      </c>
      <c r="F80">
        <v>120</v>
      </c>
      <c r="G80">
        <f>ROUNDUP(VLOOKUP(C80,[2]!游戏物价查询,6,FALSE),0)*E80*1.5</f>
        <v>3000</v>
      </c>
      <c r="H80">
        <v>0</v>
      </c>
      <c r="I80">
        <v>1</v>
      </c>
      <c r="J80">
        <f t="shared" si="5"/>
        <v>2000</v>
      </c>
      <c r="K80">
        <v>1</v>
      </c>
      <c r="L80">
        <v>100</v>
      </c>
      <c r="M80">
        <v>0</v>
      </c>
      <c r="N80">
        <f>SUM($F$2:F80)</f>
        <v>2653</v>
      </c>
      <c r="O80">
        <f>ROUNDUP(VLOOKUP(C80,[2]!游戏物价查询,7,FALSE),0)*E80</f>
        <v>4</v>
      </c>
      <c r="P80" s="17">
        <f t="shared" si="4"/>
        <v>4.0913740197749744E-2</v>
      </c>
      <c r="R80" s="1">
        <f>SUM(P80:P80)</f>
        <v>4.0913740197749744E-2</v>
      </c>
      <c r="T80">
        <f>R80*6</f>
        <v>0.24548244118649848</v>
      </c>
      <c r="U80">
        <f>F80*E80</f>
        <v>240</v>
      </c>
    </row>
    <row r="81" spans="1:22">
      <c r="A81">
        <v>80</v>
      </c>
      <c r="B81">
        <v>0</v>
      </c>
      <c r="C81">
        <v>91200</v>
      </c>
      <c r="D81" s="4" t="str">
        <f>IFERROR(VLOOKUP(C81,[1]引用表合并!$A$2:$B$1000,2,FALSE),"")</f>
        <v>马仔经验合剂</v>
      </c>
      <c r="E81">
        <v>2</v>
      </c>
      <c r="F81">
        <v>80</v>
      </c>
      <c r="G81">
        <v>0</v>
      </c>
      <c r="H81">
        <f>ROUND(VLOOKUP(C81,[2]!游戏物价查询,7,FALSE)*E81*1.5,0)</f>
        <v>18</v>
      </c>
      <c r="I81">
        <v>1</v>
      </c>
      <c r="J81">
        <f t="shared" si="5"/>
        <v>12</v>
      </c>
      <c r="K81">
        <v>1</v>
      </c>
      <c r="L81">
        <v>100</v>
      </c>
      <c r="M81">
        <v>0</v>
      </c>
      <c r="N81">
        <f>SUM($F$2:F81)</f>
        <v>2733</v>
      </c>
      <c r="O81">
        <f>ROUNDUP(VLOOKUP(C81,[2]!游戏物价查询,7,FALSE),0)*E81</f>
        <v>12</v>
      </c>
      <c r="P81" s="17">
        <f t="shared" si="4"/>
        <v>2.7275826798499828E-2</v>
      </c>
      <c r="Q81" s="1">
        <f>SUM(P80:P81)</f>
        <v>6.8189566996249576E-2</v>
      </c>
      <c r="R81" s="1">
        <f>SUM(P81:P81)</f>
        <v>2.7275826798499828E-2</v>
      </c>
      <c r="T81">
        <f>R81*6</f>
        <v>0.16365496079099898</v>
      </c>
      <c r="U81">
        <f>F81*E81</f>
        <v>160</v>
      </c>
    </row>
    <row r="82" spans="1:22">
      <c r="A82">
        <v>81</v>
      </c>
      <c r="B82">
        <v>0</v>
      </c>
      <c r="C82">
        <v>85200</v>
      </c>
      <c r="D82" s="4" t="str">
        <f>IFERROR(VLOOKUP(C82,[1]引用表合并!$A$2:$B$1000,2,FALSE),"")</f>
        <v>高级装备升级石</v>
      </c>
      <c r="E82" s="7">
        <v>5</v>
      </c>
      <c r="F82" s="7">
        <v>120</v>
      </c>
      <c r="G82">
        <v>0</v>
      </c>
      <c r="H82">
        <f>ROUND(VLOOKUP(C82,[2]!游戏物价查询,7,FALSE)*E82*1.5,0)</f>
        <v>75</v>
      </c>
      <c r="I82">
        <v>1</v>
      </c>
      <c r="J82">
        <f t="shared" si="5"/>
        <v>50</v>
      </c>
      <c r="K82">
        <v>1</v>
      </c>
      <c r="L82">
        <v>100</v>
      </c>
      <c r="M82">
        <v>0</v>
      </c>
      <c r="N82">
        <f>SUM($F$2:F82)</f>
        <v>2853</v>
      </c>
      <c r="O82">
        <f>ROUNDUP(VLOOKUP(C82,[2]!游戏物价查询,7,FALSE),0)*E82</f>
        <v>50</v>
      </c>
      <c r="P82" s="17">
        <f t="shared" si="4"/>
        <v>4.0913740197749744E-2</v>
      </c>
      <c r="R82" s="1">
        <f>P82*6</f>
        <v>0.24548244118649848</v>
      </c>
      <c r="T82">
        <f>P82*E82</f>
        <v>0.20456870098874871</v>
      </c>
      <c r="U82">
        <f>P82*E82*6</f>
        <v>1.2274122059324923</v>
      </c>
      <c r="V82">
        <f>'[2]装备&amp;装备材料的投放'!$AM$35</f>
        <v>1.6287963003724855</v>
      </c>
    </row>
    <row r="83" spans="1:22">
      <c r="A83">
        <v>82</v>
      </c>
      <c r="B83">
        <v>0</v>
      </c>
      <c r="C83">
        <v>85300</v>
      </c>
      <c r="D83" s="4" t="str">
        <f>IFERROR(VLOOKUP(C83,[1]引用表合并!$A$2:$B$1000,2,FALSE),"")</f>
        <v>稀有装备升级石</v>
      </c>
      <c r="E83" s="7">
        <v>5</v>
      </c>
      <c r="F83" s="7">
        <v>80</v>
      </c>
      <c r="G83">
        <v>0</v>
      </c>
      <c r="H83">
        <f>ROUND(VLOOKUP(C83,[2]!游戏物价查询,7,FALSE)*E83*1.5,0)</f>
        <v>225</v>
      </c>
      <c r="I83">
        <v>1</v>
      </c>
      <c r="J83">
        <f t="shared" si="5"/>
        <v>150</v>
      </c>
      <c r="K83">
        <v>1</v>
      </c>
      <c r="L83">
        <v>100</v>
      </c>
      <c r="M83">
        <v>0</v>
      </c>
      <c r="N83">
        <f>SUM($F$2:F83)</f>
        <v>2933</v>
      </c>
      <c r="O83">
        <f>ROUNDUP(VLOOKUP(C83,[2]!游戏物价查询,7,FALSE),0)*E83</f>
        <v>150</v>
      </c>
      <c r="P83" s="17">
        <f t="shared" si="4"/>
        <v>2.7275826798499828E-2</v>
      </c>
      <c r="Q83" s="1">
        <f>SUM(P82:P83)</f>
        <v>6.8189566996249576E-2</v>
      </c>
      <c r="R83" s="1">
        <f>P83*6</f>
        <v>0.16365496079099898</v>
      </c>
      <c r="T83">
        <f>P83*E83</f>
        <v>0.13637913399249915</v>
      </c>
      <c r="U83">
        <f>P83*E83*6</f>
        <v>0.81827480395499497</v>
      </c>
      <c r="V83">
        <f>'[2]装备&amp;装备材料的投放'!$AM$36</f>
        <v>0.10710038126517839</v>
      </c>
    </row>
    <row r="84" spans="1:22">
      <c r="A84">
        <v>83</v>
      </c>
      <c r="B84">
        <v>0</v>
      </c>
      <c r="C84">
        <v>86021</v>
      </c>
      <c r="D84" s="4" t="str">
        <f>IFERROR(VLOOKUP(C84,[1]引用表合并!$A$2:$B$1000,2,FALSE),"")</f>
        <v>紫色装备礼包</v>
      </c>
      <c r="E84" s="7">
        <v>1</v>
      </c>
      <c r="F84" s="7">
        <v>-1</v>
      </c>
      <c r="G84" s="7">
        <v>0</v>
      </c>
      <c r="H84">
        <v>799</v>
      </c>
      <c r="I84">
        <v>1</v>
      </c>
      <c r="J84">
        <v>199</v>
      </c>
      <c r="K84">
        <v>1</v>
      </c>
      <c r="L84" s="7">
        <v>100</v>
      </c>
      <c r="M84" s="7">
        <v>0</v>
      </c>
      <c r="P84" s="17">
        <f t="shared" si="4"/>
        <v>1</v>
      </c>
    </row>
  </sheetData>
  <phoneticPr fontId="1" type="noConversion"/>
  <conditionalFormatting sqref="C80 C84:C1048576 C1">
    <cfRule type="duplicateValues" dxfId="1170" priority="306"/>
  </conditionalFormatting>
  <conditionalFormatting sqref="D78:F79 D80 D70:D77 D44:D45 D57:D58 D2:D23 D26:D32">
    <cfRule type="expression" dxfId="1169" priority="516">
      <formula>AND(C2&gt;=79001,C2&lt;79900)</formula>
    </cfRule>
    <cfRule type="expression" dxfId="1168" priority="517" stopIfTrue="1">
      <formula>AND(C2&gt;=70101,C2&lt;=70301)</formula>
    </cfRule>
    <cfRule type="expression" dxfId="1167" priority="518" stopIfTrue="1">
      <formula>AND(C2&gt;70000,C2&lt;70004)</formula>
    </cfRule>
    <cfRule type="expression" dxfId="1166" priority="519" stopIfTrue="1">
      <formula>AND(C2&gt;=70010,C2&lt;=76000)</formula>
    </cfRule>
    <cfRule type="expression" dxfId="1165" priority="520">
      <formula>AND(C2&gt;70000,C2&lt;70004)</formula>
    </cfRule>
    <cfRule type="expression" dxfId="1164" priority="521" stopIfTrue="1">
      <formula>OR(AND(C2&gt;=10000,C2&lt;=56999),AND(C2&gt;=57000,C2&lt;=57999))</formula>
    </cfRule>
    <cfRule type="expression" dxfId="1163" priority="522" stopIfTrue="1">
      <formula>AND(C2&gt;=8000,C2&lt;=9999)</formula>
    </cfRule>
    <cfRule type="expression" dxfId="1162" priority="523" stopIfTrue="1">
      <formula>AND(C2&gt;=78100,C2&lt;=78199)</formula>
    </cfRule>
    <cfRule type="expression" dxfId="1161" priority="524" stopIfTrue="1">
      <formula>AND(C2&gt;=92000,C2&lt;=98999)</formula>
    </cfRule>
    <cfRule type="expression" dxfId="1160" priority="525" stopIfTrue="1">
      <formula>AND(C2&gt;=78100,C2&lt;=78199)</formula>
    </cfRule>
    <cfRule type="expression" dxfId="1159" priority="526" stopIfTrue="1">
      <formula>AND(C2&gt;=91000,C2&lt;=91999)</formula>
    </cfRule>
  </conditionalFormatting>
  <conditionalFormatting sqref="D33:D36">
    <cfRule type="expression" dxfId="1158" priority="270">
      <formula>AND(C33&gt;=79001,C33&lt;79900)</formula>
    </cfRule>
    <cfRule type="expression" dxfId="1157" priority="271" stopIfTrue="1">
      <formula>AND(C33&gt;=70101,C33&lt;=70301)</formula>
    </cfRule>
    <cfRule type="expression" dxfId="1156" priority="272" stopIfTrue="1">
      <formula>AND(C33&gt;70000,C33&lt;70004)</formula>
    </cfRule>
    <cfRule type="expression" dxfId="1155" priority="273" stopIfTrue="1">
      <formula>AND(C33&gt;=70010,C33&lt;=76000)</formula>
    </cfRule>
    <cfRule type="expression" dxfId="1154" priority="274">
      <formula>AND(C33&gt;70000,C33&lt;70004)</formula>
    </cfRule>
    <cfRule type="expression" dxfId="1153" priority="275" stopIfTrue="1">
      <formula>OR(AND(C33&gt;=10000,C33&lt;=56999),AND(C33&gt;=57000,C33&lt;=57999))</formula>
    </cfRule>
    <cfRule type="expression" dxfId="1152" priority="276" stopIfTrue="1">
      <formula>AND(C33&gt;=8000,C33&lt;=9999)</formula>
    </cfRule>
    <cfRule type="expression" dxfId="1151" priority="277" stopIfTrue="1">
      <formula>AND(C33&gt;=78100,C33&lt;=78199)</formula>
    </cfRule>
    <cfRule type="expression" dxfId="1150" priority="278" stopIfTrue="1">
      <formula>AND(C33&gt;=92000,C33&lt;=98999)</formula>
    </cfRule>
    <cfRule type="expression" dxfId="1149" priority="279" stopIfTrue="1">
      <formula>AND(C33&gt;=78100,C33&lt;=78199)</formula>
    </cfRule>
    <cfRule type="expression" dxfId="1148" priority="280" stopIfTrue="1">
      <formula>AND(C33&gt;=91000,C33&lt;=91999)</formula>
    </cfRule>
  </conditionalFormatting>
  <conditionalFormatting sqref="C78:C79">
    <cfRule type="duplicateValues" dxfId="1147" priority="268"/>
  </conditionalFormatting>
  <conditionalFormatting sqref="D37 D43 D39:D40">
    <cfRule type="expression" dxfId="1146" priority="255">
      <formula>AND(C37&gt;=79001,C37&lt;79900)</formula>
    </cfRule>
    <cfRule type="expression" dxfId="1145" priority="256" stopIfTrue="1">
      <formula>AND(C37&gt;=70101,C37&lt;=70301)</formula>
    </cfRule>
    <cfRule type="expression" dxfId="1144" priority="257" stopIfTrue="1">
      <formula>AND(C37&gt;70000,C37&lt;70004)</formula>
    </cfRule>
    <cfRule type="expression" dxfId="1143" priority="258" stopIfTrue="1">
      <formula>AND(C37&gt;=70010,C37&lt;=76000)</formula>
    </cfRule>
    <cfRule type="expression" dxfId="1142" priority="259">
      <formula>AND(C37&gt;70000,C37&lt;70004)</formula>
    </cfRule>
    <cfRule type="expression" dxfId="1141" priority="260" stopIfTrue="1">
      <formula>OR(AND(C37&gt;=10000,C37&lt;=56999),AND(C37&gt;=57000,C37&lt;=57999))</formula>
    </cfRule>
    <cfRule type="expression" dxfId="1140" priority="261" stopIfTrue="1">
      <formula>AND(C37&gt;=8000,C37&lt;=9999)</formula>
    </cfRule>
    <cfRule type="expression" dxfId="1139" priority="262" stopIfTrue="1">
      <formula>AND(C37&gt;=78100,C37&lt;=78199)</formula>
    </cfRule>
    <cfRule type="expression" dxfId="1138" priority="263" stopIfTrue="1">
      <formula>AND(C37&gt;=92000,C37&lt;=98999)</formula>
    </cfRule>
    <cfRule type="expression" dxfId="1137" priority="264" stopIfTrue="1">
      <formula>AND(C37&gt;=78100,C37&lt;=78199)</formula>
    </cfRule>
    <cfRule type="expression" dxfId="1136" priority="265" stopIfTrue="1">
      <formula>AND(C37&gt;=91000,C37&lt;=91999)</formula>
    </cfRule>
  </conditionalFormatting>
  <conditionalFormatting sqref="D59:D62">
    <cfRule type="expression" dxfId="1135" priority="243">
      <formula>AND(C59&gt;=79001,C59&lt;79900)</formula>
    </cfRule>
    <cfRule type="expression" dxfId="1134" priority="244" stopIfTrue="1">
      <formula>AND(C59&gt;=70101,C59&lt;=70301)</formula>
    </cfRule>
    <cfRule type="expression" dxfId="1133" priority="245" stopIfTrue="1">
      <formula>AND(C59&gt;70000,C59&lt;70004)</formula>
    </cfRule>
    <cfRule type="expression" dxfId="1132" priority="246" stopIfTrue="1">
      <formula>AND(C59&gt;=70010,C59&lt;=76000)</formula>
    </cfRule>
    <cfRule type="expression" dxfId="1131" priority="247">
      <formula>AND(C59&gt;70000,C59&lt;70004)</formula>
    </cfRule>
    <cfRule type="expression" dxfId="1130" priority="248" stopIfTrue="1">
      <formula>OR(AND(C59&gt;=10000,C59&lt;=56999),AND(C59&gt;=57000,C59&lt;=57999))</formula>
    </cfRule>
    <cfRule type="expression" dxfId="1129" priority="249" stopIfTrue="1">
      <formula>AND(C59&gt;=8000,C59&lt;=9999)</formula>
    </cfRule>
    <cfRule type="expression" dxfId="1128" priority="250" stopIfTrue="1">
      <formula>AND(C59&gt;=78100,C59&lt;=78199)</formula>
    </cfRule>
    <cfRule type="expression" dxfId="1127" priority="251" stopIfTrue="1">
      <formula>AND(C59&gt;=92000,C59&lt;=98999)</formula>
    </cfRule>
    <cfRule type="expression" dxfId="1126" priority="252" stopIfTrue="1">
      <formula>AND(C59&gt;=78100,C59&lt;=78199)</formula>
    </cfRule>
    <cfRule type="expression" dxfId="1125" priority="253" stopIfTrue="1">
      <formula>AND(C59&gt;=91000,C59&lt;=91999)</formula>
    </cfRule>
  </conditionalFormatting>
  <conditionalFormatting sqref="D63 D69 D65:D66">
    <cfRule type="expression" dxfId="1124" priority="231">
      <formula>AND(C63&gt;=79001,C63&lt;79900)</formula>
    </cfRule>
    <cfRule type="expression" dxfId="1123" priority="232" stopIfTrue="1">
      <formula>AND(C63&gt;=70101,C63&lt;=70301)</formula>
    </cfRule>
    <cfRule type="expression" dxfId="1122" priority="233" stopIfTrue="1">
      <formula>AND(C63&gt;70000,C63&lt;70004)</formula>
    </cfRule>
    <cfRule type="expression" dxfId="1121" priority="234" stopIfTrue="1">
      <formula>AND(C63&gt;=70010,C63&lt;=76000)</formula>
    </cfRule>
    <cfRule type="expression" dxfId="1120" priority="235">
      <formula>AND(C63&gt;70000,C63&lt;70004)</formula>
    </cfRule>
    <cfRule type="expression" dxfId="1119" priority="236" stopIfTrue="1">
      <formula>OR(AND(C63&gt;=10000,C63&lt;=56999),AND(C63&gt;=57000,C63&lt;=57999))</formula>
    </cfRule>
    <cfRule type="expression" dxfId="1118" priority="237" stopIfTrue="1">
      <formula>AND(C63&gt;=8000,C63&lt;=9999)</formula>
    </cfRule>
    <cfRule type="expression" dxfId="1117" priority="238" stopIfTrue="1">
      <formula>AND(C63&gt;=78100,C63&lt;=78199)</formula>
    </cfRule>
    <cfRule type="expression" dxfId="1116" priority="239" stopIfTrue="1">
      <formula>AND(C63&gt;=92000,C63&lt;=98999)</formula>
    </cfRule>
    <cfRule type="expression" dxfId="1115" priority="240" stopIfTrue="1">
      <formula>AND(C63&gt;=78100,C63&lt;=78199)</formula>
    </cfRule>
    <cfRule type="expression" dxfId="1114" priority="241" stopIfTrue="1">
      <formula>AND(C63&gt;=91000,C63&lt;=91999)</formula>
    </cfRule>
  </conditionalFormatting>
  <conditionalFormatting sqref="D82:F84 G84 L84:M84">
    <cfRule type="expression" dxfId="1113" priority="219">
      <formula>AND(C82&gt;=79001,C82&lt;79900)</formula>
    </cfRule>
    <cfRule type="expression" dxfId="1112" priority="220" stopIfTrue="1">
      <formula>AND(C82&gt;=70101,C82&lt;=70301)</formula>
    </cfRule>
    <cfRule type="expression" dxfId="1111" priority="221" stopIfTrue="1">
      <formula>AND(C82&gt;70000,C82&lt;70004)</formula>
    </cfRule>
    <cfRule type="expression" dxfId="1110" priority="222" stopIfTrue="1">
      <formula>AND(C82&gt;=70010,C82&lt;=76000)</formula>
    </cfRule>
    <cfRule type="expression" dxfId="1109" priority="223">
      <formula>AND(C82&gt;70000,C82&lt;70004)</formula>
    </cfRule>
    <cfRule type="expression" dxfId="1108" priority="224" stopIfTrue="1">
      <formula>OR(AND(C82&gt;=10000,C82&lt;=56999),AND(C82&gt;=57000,C82&lt;=57999))</formula>
    </cfRule>
    <cfRule type="expression" dxfId="1107" priority="225" stopIfTrue="1">
      <formula>AND(C82&gt;=8000,C82&lt;=9999)</formula>
    </cfRule>
    <cfRule type="expression" dxfId="1106" priority="226" stopIfTrue="1">
      <formula>AND(C82&gt;=78100,C82&lt;=78199)</formula>
    </cfRule>
    <cfRule type="expression" dxfId="1105" priority="227" stopIfTrue="1">
      <formula>AND(C82&gt;=92000,C82&lt;=98999)</formula>
    </cfRule>
    <cfRule type="expression" dxfId="1104" priority="228" stopIfTrue="1">
      <formula>AND(C82&gt;=78100,C82&lt;=78199)</formula>
    </cfRule>
    <cfRule type="expression" dxfId="1103" priority="229" stopIfTrue="1">
      <formula>AND(C82&gt;=91000,C82&lt;=91999)</formula>
    </cfRule>
  </conditionalFormatting>
  <conditionalFormatting sqref="C82:C83">
    <cfRule type="duplicateValues" dxfId="1102" priority="218"/>
  </conditionalFormatting>
  <conditionalFormatting sqref="C81">
    <cfRule type="duplicateValues" dxfId="1101" priority="203"/>
  </conditionalFormatting>
  <conditionalFormatting sqref="D81">
    <cfRule type="expression" dxfId="1100" priority="205">
      <formula>AND(C81&gt;=79001,C81&lt;79900)</formula>
    </cfRule>
    <cfRule type="expression" dxfId="1099" priority="206" stopIfTrue="1">
      <formula>AND(C81&gt;=70101,C81&lt;=70301)</formula>
    </cfRule>
    <cfRule type="expression" dxfId="1098" priority="207" stopIfTrue="1">
      <formula>AND(C81&gt;70000,C81&lt;70004)</formula>
    </cfRule>
    <cfRule type="expression" dxfId="1097" priority="208" stopIfTrue="1">
      <formula>AND(C81&gt;=70010,C81&lt;=76000)</formula>
    </cfRule>
    <cfRule type="expression" dxfId="1096" priority="209">
      <formula>AND(C81&gt;70000,C81&lt;70004)</formula>
    </cfRule>
    <cfRule type="expression" dxfId="1095" priority="210" stopIfTrue="1">
      <formula>OR(AND(C81&gt;=10000,C81&lt;=56999),AND(C81&gt;=57000,C81&lt;=57999))</formula>
    </cfRule>
    <cfRule type="expression" dxfId="1094" priority="211" stopIfTrue="1">
      <formula>AND(C81&gt;=8000,C81&lt;=9999)</formula>
    </cfRule>
    <cfRule type="expression" dxfId="1093" priority="212" stopIfTrue="1">
      <formula>AND(C81&gt;=78100,C81&lt;=78199)</formula>
    </cfRule>
    <cfRule type="expression" dxfId="1092" priority="213" stopIfTrue="1">
      <formula>AND(C81&gt;=92000,C81&lt;=98999)</formula>
    </cfRule>
    <cfRule type="expression" dxfId="1091" priority="214" stopIfTrue="1">
      <formula>AND(C81&gt;=78100,C81&lt;=78199)</formula>
    </cfRule>
    <cfRule type="expression" dxfId="1090" priority="215" stopIfTrue="1">
      <formula>AND(C81&gt;=91000,C81&lt;=91999)</formula>
    </cfRule>
  </conditionalFormatting>
  <conditionalFormatting sqref="D38">
    <cfRule type="expression" dxfId="1089" priority="190">
      <formula>AND(C38&gt;=79001,C38&lt;79900)</formula>
    </cfRule>
    <cfRule type="expression" dxfId="1088" priority="191" stopIfTrue="1">
      <formula>AND(C38&gt;=70101,C38&lt;=70301)</formula>
    </cfRule>
    <cfRule type="expression" dxfId="1087" priority="192" stopIfTrue="1">
      <formula>AND(C38&gt;70000,C38&lt;70004)</formula>
    </cfRule>
    <cfRule type="expression" dxfId="1086" priority="193" stopIfTrue="1">
      <formula>AND(C38&gt;=70010,C38&lt;=76000)</formula>
    </cfRule>
    <cfRule type="expression" dxfId="1085" priority="194">
      <formula>AND(C38&gt;70000,C38&lt;70004)</formula>
    </cfRule>
    <cfRule type="expression" dxfId="1084" priority="195" stopIfTrue="1">
      <formula>OR(AND(C38&gt;=10000,C38&lt;=56999),AND(C38&gt;=57000,C38&lt;=57999))</formula>
    </cfRule>
    <cfRule type="expression" dxfId="1083" priority="196" stopIfTrue="1">
      <formula>AND(C38&gt;=8000,C38&lt;=9999)</formula>
    </cfRule>
    <cfRule type="expression" dxfId="1082" priority="197" stopIfTrue="1">
      <formula>AND(C38&gt;=78100,C38&lt;=78199)</formula>
    </cfRule>
    <cfRule type="expression" dxfId="1081" priority="198" stopIfTrue="1">
      <formula>AND(C38&gt;=92000,C38&lt;=98999)</formula>
    </cfRule>
    <cfRule type="expression" dxfId="1080" priority="199" stopIfTrue="1">
      <formula>AND(C38&gt;=78100,C38&lt;=78199)</formula>
    </cfRule>
    <cfRule type="expression" dxfId="1079" priority="200" stopIfTrue="1">
      <formula>AND(C38&gt;=91000,C38&lt;=91999)</formula>
    </cfRule>
  </conditionalFormatting>
  <conditionalFormatting sqref="D41:D42">
    <cfRule type="expression" dxfId="1078" priority="177">
      <formula>AND(C41&gt;=79001,C41&lt;79900)</formula>
    </cfRule>
    <cfRule type="expression" dxfId="1077" priority="178" stopIfTrue="1">
      <formula>AND(C41&gt;=70101,C41&lt;=70301)</formula>
    </cfRule>
    <cfRule type="expression" dxfId="1076" priority="179" stopIfTrue="1">
      <formula>AND(C41&gt;70000,C41&lt;70004)</formula>
    </cfRule>
    <cfRule type="expression" dxfId="1075" priority="180" stopIfTrue="1">
      <formula>AND(C41&gt;=70010,C41&lt;=76000)</formula>
    </cfRule>
    <cfRule type="expression" dxfId="1074" priority="181">
      <formula>AND(C41&gt;70000,C41&lt;70004)</formula>
    </cfRule>
    <cfRule type="expression" dxfId="1073" priority="182" stopIfTrue="1">
      <formula>OR(AND(C41&gt;=10000,C41&lt;=56999),AND(C41&gt;=57000,C41&lt;=57999))</formula>
    </cfRule>
    <cfRule type="expression" dxfId="1072" priority="183" stopIfTrue="1">
      <formula>AND(C41&gt;=8000,C41&lt;=9999)</formula>
    </cfRule>
    <cfRule type="expression" dxfId="1071" priority="184" stopIfTrue="1">
      <formula>AND(C41&gt;=78100,C41&lt;=78199)</formula>
    </cfRule>
    <cfRule type="expression" dxfId="1070" priority="185" stopIfTrue="1">
      <formula>AND(C41&gt;=92000,C41&lt;=98999)</formula>
    </cfRule>
    <cfRule type="expression" dxfId="1069" priority="186" stopIfTrue="1">
      <formula>AND(C41&gt;=78100,C41&lt;=78199)</formula>
    </cfRule>
    <cfRule type="expression" dxfId="1068" priority="187" stopIfTrue="1">
      <formula>AND(C41&gt;=91000,C41&lt;=91999)</formula>
    </cfRule>
  </conditionalFormatting>
  <conditionalFormatting sqref="D64">
    <cfRule type="expression" dxfId="1067" priority="164">
      <formula>AND(C64&gt;=79001,C64&lt;79900)</formula>
    </cfRule>
    <cfRule type="expression" dxfId="1066" priority="165" stopIfTrue="1">
      <formula>AND(C64&gt;=70101,C64&lt;=70301)</formula>
    </cfRule>
    <cfRule type="expression" dxfId="1065" priority="166" stopIfTrue="1">
      <formula>AND(C64&gt;70000,C64&lt;70004)</formula>
    </cfRule>
    <cfRule type="expression" dxfId="1064" priority="167" stopIfTrue="1">
      <formula>AND(C64&gt;=70010,C64&lt;=76000)</formula>
    </cfRule>
    <cfRule type="expression" dxfId="1063" priority="168">
      <formula>AND(C64&gt;70000,C64&lt;70004)</formula>
    </cfRule>
    <cfRule type="expression" dxfId="1062" priority="169" stopIfTrue="1">
      <formula>OR(AND(C64&gt;=10000,C64&lt;=56999),AND(C64&gt;=57000,C64&lt;=57999))</formula>
    </cfRule>
    <cfRule type="expression" dxfId="1061" priority="170" stopIfTrue="1">
      <formula>AND(C64&gt;=8000,C64&lt;=9999)</formula>
    </cfRule>
    <cfRule type="expression" dxfId="1060" priority="171" stopIfTrue="1">
      <formula>AND(C64&gt;=78100,C64&lt;=78199)</formula>
    </cfRule>
    <cfRule type="expression" dxfId="1059" priority="172" stopIfTrue="1">
      <formula>AND(C64&gt;=92000,C64&lt;=98999)</formula>
    </cfRule>
    <cfRule type="expression" dxfId="1058" priority="173" stopIfTrue="1">
      <formula>AND(C64&gt;=78100,C64&lt;=78199)</formula>
    </cfRule>
    <cfRule type="expression" dxfId="1057" priority="174" stopIfTrue="1">
      <formula>AND(C64&gt;=91000,C64&lt;=91999)</formula>
    </cfRule>
  </conditionalFormatting>
  <conditionalFormatting sqref="D67:D68">
    <cfRule type="expression" dxfId="1056" priority="151">
      <formula>AND(C67&gt;=79001,C67&lt;79900)</formula>
    </cfRule>
    <cfRule type="expression" dxfId="1055" priority="152" stopIfTrue="1">
      <formula>AND(C67&gt;=70101,C67&lt;=70301)</formula>
    </cfRule>
    <cfRule type="expression" dxfId="1054" priority="153" stopIfTrue="1">
      <formula>AND(C67&gt;70000,C67&lt;70004)</formula>
    </cfRule>
    <cfRule type="expression" dxfId="1053" priority="154" stopIfTrue="1">
      <formula>AND(C67&gt;=70010,C67&lt;=76000)</formula>
    </cfRule>
    <cfRule type="expression" dxfId="1052" priority="155">
      <formula>AND(C67&gt;70000,C67&lt;70004)</formula>
    </cfRule>
    <cfRule type="expression" dxfId="1051" priority="156" stopIfTrue="1">
      <formula>OR(AND(C67&gt;=10000,C67&lt;=56999),AND(C67&gt;=57000,C67&lt;=57999))</formula>
    </cfRule>
    <cfRule type="expression" dxfId="1050" priority="157" stopIfTrue="1">
      <formula>AND(C67&gt;=8000,C67&lt;=9999)</formula>
    </cfRule>
    <cfRule type="expression" dxfId="1049" priority="158" stopIfTrue="1">
      <formula>AND(C67&gt;=78100,C67&lt;=78199)</formula>
    </cfRule>
    <cfRule type="expression" dxfId="1048" priority="159" stopIfTrue="1">
      <formula>AND(C67&gt;=92000,C67&lt;=98999)</formula>
    </cfRule>
    <cfRule type="expression" dxfId="1047" priority="160" stopIfTrue="1">
      <formula>AND(C67&gt;=78100,C67&lt;=78199)</formula>
    </cfRule>
    <cfRule type="expression" dxfId="1046" priority="161" stopIfTrue="1">
      <formula>AND(C67&gt;=91000,C67&lt;=91999)</formula>
    </cfRule>
  </conditionalFormatting>
  <conditionalFormatting sqref="C37 C33:C35 C39:C40">
    <cfRule type="duplicateValues" dxfId="1045" priority="149"/>
  </conditionalFormatting>
  <conditionalFormatting sqref="C38">
    <cfRule type="duplicateValues" dxfId="1044" priority="148"/>
  </conditionalFormatting>
  <conditionalFormatting sqref="C36">
    <cfRule type="duplicateValues" dxfId="1043" priority="147"/>
  </conditionalFormatting>
  <conditionalFormatting sqref="C41">
    <cfRule type="duplicateValues" dxfId="1042" priority="146"/>
  </conditionalFormatting>
  <conditionalFormatting sqref="C42:C43">
    <cfRule type="duplicateValues" dxfId="1041" priority="145"/>
  </conditionalFormatting>
  <conditionalFormatting sqref="C63 C59:C61 C65:C66">
    <cfRule type="duplicateValues" dxfId="1040" priority="144"/>
  </conditionalFormatting>
  <conditionalFormatting sqref="C64">
    <cfRule type="duplicateValues" dxfId="1039" priority="143"/>
  </conditionalFormatting>
  <conditionalFormatting sqref="C62">
    <cfRule type="duplicateValues" dxfId="1038" priority="142"/>
  </conditionalFormatting>
  <conditionalFormatting sqref="C67">
    <cfRule type="duplicateValues" dxfId="1037" priority="141"/>
  </conditionalFormatting>
  <conditionalFormatting sqref="C68:C69">
    <cfRule type="duplicateValues" dxfId="1036" priority="140"/>
  </conditionalFormatting>
  <conditionalFormatting sqref="C70:C77">
    <cfRule type="duplicateValues" dxfId="1035" priority="1944"/>
  </conditionalFormatting>
  <conditionalFormatting sqref="D46:D49">
    <cfRule type="expression" dxfId="1034" priority="128">
      <formula>AND(C46&gt;=79001,C46&lt;79900)</formula>
    </cfRule>
    <cfRule type="expression" dxfId="1033" priority="129" stopIfTrue="1">
      <formula>AND(C46&gt;=70101,C46&lt;=70301)</formula>
    </cfRule>
    <cfRule type="expression" dxfId="1032" priority="130" stopIfTrue="1">
      <formula>AND(C46&gt;70000,C46&lt;70004)</formula>
    </cfRule>
    <cfRule type="expression" dxfId="1031" priority="131" stopIfTrue="1">
      <formula>AND(C46&gt;=70010,C46&lt;=76000)</formula>
    </cfRule>
    <cfRule type="expression" dxfId="1030" priority="132">
      <formula>AND(C46&gt;70000,C46&lt;70004)</formula>
    </cfRule>
    <cfRule type="expression" dxfId="1029" priority="133" stopIfTrue="1">
      <formula>OR(AND(C46&gt;=10000,C46&lt;=56999),AND(C46&gt;=57000,C46&lt;=57999))</formula>
    </cfRule>
    <cfRule type="expression" dxfId="1028" priority="134" stopIfTrue="1">
      <formula>AND(C46&gt;=8000,C46&lt;=9999)</formula>
    </cfRule>
    <cfRule type="expression" dxfId="1027" priority="135" stopIfTrue="1">
      <formula>AND(C46&gt;=78100,C46&lt;=78199)</formula>
    </cfRule>
    <cfRule type="expression" dxfId="1026" priority="136" stopIfTrue="1">
      <formula>AND(C46&gt;=92000,C46&lt;=98999)</formula>
    </cfRule>
    <cfRule type="expression" dxfId="1025" priority="137" stopIfTrue="1">
      <formula>AND(C46&gt;=78100,C46&lt;=78199)</formula>
    </cfRule>
    <cfRule type="expression" dxfId="1024" priority="138" stopIfTrue="1">
      <formula>AND(C46&gt;=91000,C46&lt;=91999)</formula>
    </cfRule>
  </conditionalFormatting>
  <conditionalFormatting sqref="D50 D56 D52:D53">
    <cfRule type="expression" dxfId="1023" priority="117">
      <formula>AND(C50&gt;=79001,C50&lt;79900)</formula>
    </cfRule>
    <cfRule type="expression" dxfId="1022" priority="118" stopIfTrue="1">
      <formula>AND(C50&gt;=70101,C50&lt;=70301)</formula>
    </cfRule>
    <cfRule type="expression" dxfId="1021" priority="119" stopIfTrue="1">
      <formula>AND(C50&gt;70000,C50&lt;70004)</formula>
    </cfRule>
    <cfRule type="expression" dxfId="1020" priority="120" stopIfTrue="1">
      <formula>AND(C50&gt;=70010,C50&lt;=76000)</formula>
    </cfRule>
    <cfRule type="expression" dxfId="1019" priority="121">
      <formula>AND(C50&gt;70000,C50&lt;70004)</formula>
    </cfRule>
    <cfRule type="expression" dxfId="1018" priority="122" stopIfTrue="1">
      <formula>OR(AND(C50&gt;=10000,C50&lt;=56999),AND(C50&gt;=57000,C50&lt;=57999))</formula>
    </cfRule>
    <cfRule type="expression" dxfId="1017" priority="123" stopIfTrue="1">
      <formula>AND(C50&gt;=8000,C50&lt;=9999)</formula>
    </cfRule>
    <cfRule type="expression" dxfId="1016" priority="124" stopIfTrue="1">
      <formula>AND(C50&gt;=78100,C50&lt;=78199)</formula>
    </cfRule>
    <cfRule type="expression" dxfId="1015" priority="125" stopIfTrue="1">
      <formula>AND(C50&gt;=92000,C50&lt;=98999)</formula>
    </cfRule>
    <cfRule type="expression" dxfId="1014" priority="126" stopIfTrue="1">
      <formula>AND(C50&gt;=78100,C50&lt;=78199)</formula>
    </cfRule>
    <cfRule type="expression" dxfId="1013" priority="127" stopIfTrue="1">
      <formula>AND(C50&gt;=91000,C50&lt;=91999)</formula>
    </cfRule>
  </conditionalFormatting>
  <conditionalFormatting sqref="D51">
    <cfRule type="expression" dxfId="1012" priority="105">
      <formula>AND(C51&gt;=79001,C51&lt;79900)</formula>
    </cfRule>
    <cfRule type="expression" dxfId="1011" priority="106" stopIfTrue="1">
      <formula>AND(C51&gt;=70101,C51&lt;=70301)</formula>
    </cfRule>
    <cfRule type="expression" dxfId="1010" priority="107" stopIfTrue="1">
      <formula>AND(C51&gt;70000,C51&lt;70004)</formula>
    </cfRule>
    <cfRule type="expression" dxfId="1009" priority="108" stopIfTrue="1">
      <formula>AND(C51&gt;=70010,C51&lt;=76000)</formula>
    </cfRule>
    <cfRule type="expression" dxfId="1008" priority="109">
      <formula>AND(C51&gt;70000,C51&lt;70004)</formula>
    </cfRule>
    <cfRule type="expression" dxfId="1007" priority="110" stopIfTrue="1">
      <formula>OR(AND(C51&gt;=10000,C51&lt;=56999),AND(C51&gt;=57000,C51&lt;=57999))</formula>
    </cfRule>
    <cfRule type="expression" dxfId="1006" priority="111" stopIfTrue="1">
      <formula>AND(C51&gt;=8000,C51&lt;=9999)</formula>
    </cfRule>
    <cfRule type="expression" dxfId="1005" priority="112" stopIfTrue="1">
      <formula>AND(C51&gt;=78100,C51&lt;=78199)</formula>
    </cfRule>
    <cfRule type="expression" dxfId="1004" priority="113" stopIfTrue="1">
      <formula>AND(C51&gt;=92000,C51&lt;=98999)</formula>
    </cfRule>
    <cfRule type="expression" dxfId="1003" priority="114" stopIfTrue="1">
      <formula>AND(C51&gt;=78100,C51&lt;=78199)</formula>
    </cfRule>
    <cfRule type="expression" dxfId="1002" priority="115" stopIfTrue="1">
      <formula>AND(C51&gt;=91000,C51&lt;=91999)</formula>
    </cfRule>
  </conditionalFormatting>
  <conditionalFormatting sqref="D54:D55">
    <cfRule type="expression" dxfId="1001" priority="93">
      <formula>AND(C54&gt;=79001,C54&lt;79900)</formula>
    </cfRule>
    <cfRule type="expression" dxfId="1000" priority="94" stopIfTrue="1">
      <formula>AND(C54&gt;=70101,C54&lt;=70301)</formula>
    </cfRule>
    <cfRule type="expression" dxfId="999" priority="95" stopIfTrue="1">
      <formula>AND(C54&gt;70000,C54&lt;70004)</formula>
    </cfRule>
    <cfRule type="expression" dxfId="998" priority="96" stopIfTrue="1">
      <formula>AND(C54&gt;=70010,C54&lt;=76000)</formula>
    </cfRule>
    <cfRule type="expression" dxfId="997" priority="97">
      <formula>AND(C54&gt;70000,C54&lt;70004)</formula>
    </cfRule>
    <cfRule type="expression" dxfId="996" priority="98" stopIfTrue="1">
      <formula>OR(AND(C54&gt;=10000,C54&lt;=56999),AND(C54&gt;=57000,C54&lt;=57999))</formula>
    </cfRule>
    <cfRule type="expression" dxfId="995" priority="99" stopIfTrue="1">
      <formula>AND(C54&gt;=8000,C54&lt;=9999)</formula>
    </cfRule>
    <cfRule type="expression" dxfId="994" priority="100" stopIfTrue="1">
      <formula>AND(C54&gt;=78100,C54&lt;=78199)</formula>
    </cfRule>
    <cfRule type="expression" dxfId="993" priority="101" stopIfTrue="1">
      <formula>AND(C54&gt;=92000,C54&lt;=98999)</formula>
    </cfRule>
    <cfRule type="expression" dxfId="992" priority="102" stopIfTrue="1">
      <formula>AND(C54&gt;=78100,C54&lt;=78199)</formula>
    </cfRule>
    <cfRule type="expression" dxfId="991" priority="103" stopIfTrue="1">
      <formula>AND(C54&gt;=91000,C54&lt;=91999)</formula>
    </cfRule>
  </conditionalFormatting>
  <conditionalFormatting sqref="C50 C46:C48 C52:C53">
    <cfRule type="duplicateValues" dxfId="990" priority="92"/>
  </conditionalFormatting>
  <conditionalFormatting sqref="C51">
    <cfRule type="duplicateValues" dxfId="989" priority="91"/>
  </conditionalFormatting>
  <conditionalFormatting sqref="C49">
    <cfRule type="duplicateValues" dxfId="988" priority="90"/>
  </conditionalFormatting>
  <conditionalFormatting sqref="C54">
    <cfRule type="duplicateValues" dxfId="987" priority="89"/>
  </conditionalFormatting>
  <conditionalFormatting sqref="C55:C56">
    <cfRule type="duplicateValues" dxfId="986" priority="88"/>
  </conditionalFormatting>
  <conditionalFormatting sqref="P1:P23 P26:P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4:D25">
    <cfRule type="expression" dxfId="985" priority="3">
      <formula>AND(C24&gt;=79001,C24&lt;79900)</formula>
    </cfRule>
    <cfRule type="expression" dxfId="984" priority="4" stopIfTrue="1">
      <formula>AND(C24&gt;=70101,C24&lt;=70301)</formula>
    </cfRule>
    <cfRule type="expression" dxfId="983" priority="5" stopIfTrue="1">
      <formula>AND(C24&gt;70000,C24&lt;70004)</formula>
    </cfRule>
    <cfRule type="expression" dxfId="982" priority="6" stopIfTrue="1">
      <formula>AND(C24&gt;=70010,C24&lt;=76000)</formula>
    </cfRule>
    <cfRule type="expression" dxfId="981" priority="7">
      <formula>AND(C24&gt;70000,C24&lt;70004)</formula>
    </cfRule>
    <cfRule type="expression" dxfId="980" priority="8" stopIfTrue="1">
      <formula>OR(AND(C24&gt;=10000,C24&lt;=56999),AND(C24&gt;=57000,C24&lt;=57999))</formula>
    </cfRule>
    <cfRule type="expression" dxfId="979" priority="9" stopIfTrue="1">
      <formula>AND(C24&gt;=8000,C24&lt;=9999)</formula>
    </cfRule>
    <cfRule type="expression" dxfId="978" priority="10" stopIfTrue="1">
      <formula>AND(C24&gt;=78100,C24&lt;=78199)</formula>
    </cfRule>
    <cfRule type="expression" dxfId="977" priority="11" stopIfTrue="1">
      <formula>AND(C24&gt;=92000,C24&lt;=98999)</formula>
    </cfRule>
    <cfRule type="expression" dxfId="976" priority="12" stopIfTrue="1">
      <formula>AND(C24&gt;=78100,C24&lt;=78199)</formula>
    </cfRule>
    <cfRule type="expression" dxfId="975" priority="13" stopIfTrue="1">
      <formula>AND(C24&gt;=91000,C24&lt;=91999)</formula>
    </cfRule>
  </conditionalFormatting>
  <conditionalFormatting sqref="P24:P2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</sheetPr>
  <dimension ref="A1:X41"/>
  <sheetViews>
    <sheetView workbookViewId="0">
      <pane xSplit="4" ySplit="1" topLeftCell="E2" activePane="bottomRight" state="frozenSplit"/>
      <selection pane="topRight" activeCell="E1" sqref="E1"/>
      <selection pane="bottomLeft" activeCell="A2" sqref="A2"/>
      <selection pane="bottomRight" activeCell="A9" sqref="A9"/>
    </sheetView>
  </sheetViews>
  <sheetFormatPr defaultRowHeight="13.5"/>
  <cols>
    <col min="1" max="1" width="5.25" bestFit="1" customWidth="1"/>
    <col min="2" max="2" width="7.25" bestFit="1" customWidth="1"/>
    <col min="3" max="3" width="11.125" bestFit="1" customWidth="1"/>
    <col min="4" max="4" width="17.375" bestFit="1" customWidth="1"/>
    <col min="5" max="5" width="5.25" bestFit="1" customWidth="1"/>
    <col min="6" max="6" width="9" bestFit="1" customWidth="1"/>
    <col min="7" max="7" width="5.25" bestFit="1" customWidth="1"/>
    <col min="8" max="8" width="7.625" customWidth="1"/>
    <col min="9" max="9" width="7.625" style="42" customWidth="1"/>
    <col min="10" max="10" width="5.25" bestFit="1" customWidth="1"/>
    <col min="11" max="11" width="7.125" bestFit="1" customWidth="1"/>
    <col min="12" max="13" width="15.125" bestFit="1" customWidth="1"/>
    <col min="14" max="14" width="8.25" bestFit="1" customWidth="1"/>
    <col min="16" max="16" width="9" style="1" customWidth="1"/>
    <col min="17" max="18" width="9" style="1"/>
    <col min="19" max="19" width="7.5" customWidth="1"/>
    <col min="21" max="21" width="8.25" customWidth="1"/>
  </cols>
  <sheetData>
    <row r="1" spans="1:24">
      <c r="A1" t="s">
        <v>0</v>
      </c>
      <c r="B1" t="s">
        <v>33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s="42" t="s">
        <v>116</v>
      </c>
      <c r="J1" s="3" t="s">
        <v>9</v>
      </c>
      <c r="K1" s="3" t="s">
        <v>13</v>
      </c>
      <c r="L1" s="3" t="s">
        <v>10</v>
      </c>
      <c r="M1" s="3" t="s">
        <v>11</v>
      </c>
      <c r="N1" s="3" t="s">
        <v>12</v>
      </c>
      <c r="P1" s="1" t="s">
        <v>55</v>
      </c>
      <c r="T1" t="s">
        <v>73</v>
      </c>
      <c r="U1" t="s">
        <v>74</v>
      </c>
    </row>
    <row r="2" spans="1:24">
      <c r="A2">
        <v>1</v>
      </c>
      <c r="B2">
        <v>0</v>
      </c>
      <c r="C2" s="8">
        <v>78106</v>
      </c>
      <c r="D2" s="4" t="str">
        <f>IFERROR(VLOOKUP(C2,[1]引用表合并!$A$2:$B$1000,2,FALSE),"")</f>
        <v>马仔碎片(靓坤)</v>
      </c>
      <c r="E2">
        <v>5</v>
      </c>
      <c r="F2">
        <v>140</v>
      </c>
      <c r="G2">
        <v>0</v>
      </c>
      <c r="H2">
        <v>0</v>
      </c>
      <c r="I2" s="42">
        <f>ROUNDUP(VLOOKUP(C2,[2]!游戏物价查询,7,FALSE)*VLOOKUP(N2,$W$4:$X$14,2,0)*E2/$X$2,0)</f>
        <v>25</v>
      </c>
      <c r="J2">
        <v>1</v>
      </c>
      <c r="K2">
        <f>INT(H2*VLOOKUP(N2,$W$4:$X$14,2,0))</f>
        <v>0</v>
      </c>
      <c r="L2">
        <v>1</v>
      </c>
      <c r="M2">
        <v>100</v>
      </c>
      <c r="N2">
        <v>0</v>
      </c>
      <c r="O2">
        <f>SUM($F$2:F2)</f>
        <v>140</v>
      </c>
      <c r="P2" s="17">
        <f t="shared" ref="P2:P41" si="0">IF(F2&lt;0,"100%",F2/SUMIF(F:F,"&gt;0"))</f>
        <v>2.0260492040520984E-2</v>
      </c>
      <c r="W2" t="s">
        <v>131</v>
      </c>
      <c r="X2">
        <v>10</v>
      </c>
    </row>
    <row r="3" spans="1:24">
      <c r="A3">
        <v>2</v>
      </c>
      <c r="B3">
        <v>0</v>
      </c>
      <c r="C3" s="8">
        <v>78107</v>
      </c>
      <c r="D3" s="4" t="str">
        <f>IFERROR(VLOOKUP(C3,[1]引用表合并!$A$2:$B$1000,2,FALSE),"")</f>
        <v>马仔碎片(雷复轰)</v>
      </c>
      <c r="E3">
        <v>5</v>
      </c>
      <c r="F3">
        <v>130</v>
      </c>
      <c r="G3">
        <v>0</v>
      </c>
      <c r="H3">
        <v>0</v>
      </c>
      <c r="I3" s="42">
        <f>ROUNDUP(VLOOKUP(C3,[2]!游戏物价查询,7,FALSE)*VLOOKUP(N3,$W$4:$X$14,2,0)*E3/$X$2,0)</f>
        <v>25</v>
      </c>
      <c r="J3">
        <v>1</v>
      </c>
      <c r="K3">
        <f t="shared" ref="K3:K41" si="1">INT(H3*VLOOKUP(N3,$W$4:$X$14,2,0))</f>
        <v>0</v>
      </c>
      <c r="L3">
        <v>1</v>
      </c>
      <c r="M3">
        <v>100</v>
      </c>
      <c r="N3">
        <v>0</v>
      </c>
      <c r="O3">
        <f>SUM($F$2:F3)</f>
        <v>270</v>
      </c>
      <c r="P3" s="17">
        <f t="shared" si="0"/>
        <v>1.8813314037626629E-2</v>
      </c>
      <c r="W3" t="s">
        <v>100</v>
      </c>
    </row>
    <row r="4" spans="1:24">
      <c r="A4">
        <v>3</v>
      </c>
      <c r="B4">
        <v>0</v>
      </c>
      <c r="C4" s="8">
        <v>78108</v>
      </c>
      <c r="D4" s="4" t="str">
        <f>IFERROR(VLOOKUP(C4,[1]引用表合并!$A$2:$B$1000,2,FALSE),"")</f>
        <v>马仔碎片(肥仔)</v>
      </c>
      <c r="E4">
        <v>5</v>
      </c>
      <c r="F4">
        <v>120</v>
      </c>
      <c r="G4">
        <v>0</v>
      </c>
      <c r="H4">
        <v>0</v>
      </c>
      <c r="I4" s="42">
        <f>ROUNDUP(VLOOKUP(C4,[2]!游戏物价查询,7,FALSE)*VLOOKUP(N4,$W$4:$X$14,2,0)*E4/$X$2,0)</f>
        <v>25</v>
      </c>
      <c r="J4">
        <v>1</v>
      </c>
      <c r="K4">
        <f t="shared" si="1"/>
        <v>0</v>
      </c>
      <c r="L4">
        <v>1</v>
      </c>
      <c r="M4">
        <v>100</v>
      </c>
      <c r="N4">
        <v>0</v>
      </c>
      <c r="O4">
        <f>SUM($F$2:F4)</f>
        <v>390</v>
      </c>
      <c r="P4" s="17">
        <f t="shared" si="0"/>
        <v>1.7366136034732273E-2</v>
      </c>
      <c r="W4" s="4">
        <v>0</v>
      </c>
      <c r="X4" s="4">
        <v>1</v>
      </c>
    </row>
    <row r="5" spans="1:24">
      <c r="A5">
        <v>4</v>
      </c>
      <c r="B5">
        <v>0</v>
      </c>
      <c r="C5" s="8">
        <v>78117</v>
      </c>
      <c r="D5" s="4" t="str">
        <f>IFERROR(VLOOKUP(C5,[1]引用表合并!$A$2:$B$1000,2,FALSE),"")</f>
        <v>马仔碎片(巴闭)</v>
      </c>
      <c r="E5">
        <v>5</v>
      </c>
      <c r="F5">
        <v>110</v>
      </c>
      <c r="G5">
        <v>0</v>
      </c>
      <c r="H5">
        <v>0</v>
      </c>
      <c r="I5" s="42">
        <f>ROUNDUP(VLOOKUP(C5,[2]!游戏物价查询,7,FALSE)*VLOOKUP(N5,$W$4:$X$14,2,0)*E5/$X$2,0)</f>
        <v>25</v>
      </c>
      <c r="J5">
        <v>5</v>
      </c>
      <c r="K5">
        <f t="shared" si="1"/>
        <v>0</v>
      </c>
      <c r="L5">
        <v>1</v>
      </c>
      <c r="M5">
        <v>100</v>
      </c>
      <c r="N5">
        <v>0</v>
      </c>
      <c r="O5">
        <f>SUM($F$2:F5)</f>
        <v>500</v>
      </c>
      <c r="P5" s="17">
        <f t="shared" si="0"/>
        <v>1.5918958031837915E-2</v>
      </c>
      <c r="R5" s="1">
        <f>SUM(P2:P5)</f>
        <v>7.2358900144717811E-2</v>
      </c>
      <c r="T5">
        <f>SUMPRODUCT(P2:P5,E2:E5)*6</f>
        <v>2.1707670043415339</v>
      </c>
      <c r="U5">
        <f>[2]马仔的投放!$AM$38</f>
        <v>2.6529830661678009</v>
      </c>
      <c r="W5" s="4">
        <v>1</v>
      </c>
      <c r="X5" s="4">
        <v>1</v>
      </c>
    </row>
    <row r="6" spans="1:24">
      <c r="A6">
        <v>5</v>
      </c>
      <c r="B6">
        <v>0</v>
      </c>
      <c r="C6" s="36">
        <v>78110</v>
      </c>
      <c r="D6" s="4" t="str">
        <f>IFERROR(VLOOKUP(C6,[1]引用表合并!$A$2:$B$1000,2,FALSE),"")</f>
        <v>马仔碎片(乌鸦)</v>
      </c>
      <c r="E6">
        <v>5</v>
      </c>
      <c r="F6">
        <v>115</v>
      </c>
      <c r="G6">
        <v>0</v>
      </c>
      <c r="H6">
        <v>0</v>
      </c>
      <c r="I6" s="42">
        <f>ROUNDUP(VLOOKUP(C6,[2]!游戏物价查询,7,FALSE)*VLOOKUP(N6,$W$4:$X$14,2,0)*E6/$X$2,0)</f>
        <v>50</v>
      </c>
      <c r="J6">
        <v>1</v>
      </c>
      <c r="K6">
        <f t="shared" si="1"/>
        <v>0</v>
      </c>
      <c r="L6">
        <v>1</v>
      </c>
      <c r="M6">
        <v>100</v>
      </c>
      <c r="N6">
        <v>0</v>
      </c>
      <c r="O6">
        <f>SUM($F$2:F6)</f>
        <v>615</v>
      </c>
      <c r="P6" s="17">
        <f t="shared" si="0"/>
        <v>1.6642547033285094E-2</v>
      </c>
      <c r="W6" s="4">
        <v>2</v>
      </c>
      <c r="X6" s="4">
        <v>1</v>
      </c>
    </row>
    <row r="7" spans="1:24">
      <c r="A7">
        <v>6</v>
      </c>
      <c r="B7">
        <v>0</v>
      </c>
      <c r="C7" s="36">
        <v>78111</v>
      </c>
      <c r="D7" s="4" t="str">
        <f>IFERROR(VLOOKUP(C7,[1]引用表合并!$A$2:$B$1000,2,FALSE),"")</f>
        <v>马仔碎片(赌王)</v>
      </c>
      <c r="E7">
        <v>5</v>
      </c>
      <c r="F7">
        <v>110</v>
      </c>
      <c r="G7">
        <v>0</v>
      </c>
      <c r="H7">
        <v>0</v>
      </c>
      <c r="I7" s="42">
        <f>ROUNDUP(VLOOKUP(C7,[2]!游戏物价查询,7,FALSE)*VLOOKUP(N7,$W$4:$X$14,2,0)*E7/$X$2,0)</f>
        <v>50</v>
      </c>
      <c r="J7">
        <v>1</v>
      </c>
      <c r="K7">
        <f t="shared" si="1"/>
        <v>0</v>
      </c>
      <c r="L7">
        <v>1</v>
      </c>
      <c r="M7">
        <v>100</v>
      </c>
      <c r="N7">
        <v>0</v>
      </c>
      <c r="O7">
        <f>SUM($F$2:F7)</f>
        <v>725</v>
      </c>
      <c r="P7" s="17">
        <f t="shared" si="0"/>
        <v>1.5918958031837915E-2</v>
      </c>
      <c r="W7" s="4">
        <v>3</v>
      </c>
      <c r="X7" s="4">
        <v>1</v>
      </c>
    </row>
    <row r="8" spans="1:24">
      <c r="A8">
        <v>7</v>
      </c>
      <c r="B8">
        <v>0</v>
      </c>
      <c r="C8" s="36">
        <v>78112</v>
      </c>
      <c r="D8" s="4" t="str">
        <f>IFERROR(VLOOKUP(C8,[1]引用表合并!$A$2:$B$1000,2,FALSE),"")</f>
        <v>马仔碎片(山下忠秀)</v>
      </c>
      <c r="E8">
        <v>5</v>
      </c>
      <c r="F8">
        <v>105</v>
      </c>
      <c r="G8">
        <v>0</v>
      </c>
      <c r="H8">
        <v>0</v>
      </c>
      <c r="I8" s="42">
        <f>ROUNDUP(VLOOKUP(C8,[2]!游戏物价查询,7,FALSE)*VLOOKUP(N8,$W$4:$X$14,2,0)*E8/$X$2,0)</f>
        <v>50</v>
      </c>
      <c r="J8">
        <v>1</v>
      </c>
      <c r="K8">
        <f t="shared" si="1"/>
        <v>0</v>
      </c>
      <c r="L8">
        <v>1</v>
      </c>
      <c r="M8">
        <v>100</v>
      </c>
      <c r="N8">
        <v>0</v>
      </c>
      <c r="O8">
        <f>SUM($F$2:F8)</f>
        <v>830</v>
      </c>
      <c r="P8" s="17">
        <f t="shared" si="0"/>
        <v>1.5195369030390739E-2</v>
      </c>
      <c r="W8" s="4">
        <v>4</v>
      </c>
      <c r="X8" s="4">
        <v>1</v>
      </c>
    </row>
    <row r="9" spans="1:24">
      <c r="A9">
        <v>8</v>
      </c>
      <c r="B9">
        <v>0</v>
      </c>
      <c r="C9" s="36">
        <v>78113</v>
      </c>
      <c r="D9" s="4" t="str">
        <f>IFERROR(VLOOKUP(C9,[1]引用表合并!$A$2:$B$1000,2,FALSE),"")</f>
        <v>马仔碎片(宫本一)</v>
      </c>
      <c r="E9">
        <v>5</v>
      </c>
      <c r="F9">
        <v>100</v>
      </c>
      <c r="G9">
        <v>0</v>
      </c>
      <c r="H9">
        <v>0</v>
      </c>
      <c r="I9" s="42">
        <f>ROUNDUP(VLOOKUP(C9,[2]!游戏物价查询,7,FALSE)*VLOOKUP(N9,$W$4:$X$14,2,0)*E9/$X$2,0)</f>
        <v>50</v>
      </c>
      <c r="J9">
        <v>1</v>
      </c>
      <c r="K9">
        <f t="shared" si="1"/>
        <v>0</v>
      </c>
      <c r="L9">
        <v>1</v>
      </c>
      <c r="M9">
        <v>100</v>
      </c>
      <c r="N9">
        <v>0</v>
      </c>
      <c r="O9">
        <f>SUM($F$2:F9)</f>
        <v>930</v>
      </c>
      <c r="P9" s="17">
        <f t="shared" si="0"/>
        <v>1.4471780028943559E-2</v>
      </c>
      <c r="W9" s="4">
        <v>5</v>
      </c>
      <c r="X9" s="4">
        <v>1</v>
      </c>
    </row>
    <row r="10" spans="1:24">
      <c r="A10">
        <v>9</v>
      </c>
      <c r="B10">
        <v>0</v>
      </c>
      <c r="C10" s="36">
        <v>78118</v>
      </c>
      <c r="D10" s="4" t="str">
        <f>IFERROR(VLOOKUP(C10,[1]引用表合并!$A$2:$B$1000,2,FALSE),"")</f>
        <v>马仔碎片(耀阳)</v>
      </c>
      <c r="E10">
        <v>5</v>
      </c>
      <c r="F10">
        <v>95</v>
      </c>
      <c r="G10">
        <v>0</v>
      </c>
      <c r="H10">
        <v>0</v>
      </c>
      <c r="I10" s="42">
        <f>ROUNDUP(VLOOKUP(C10,[2]!游戏物价查询,7,FALSE)*VLOOKUP(N10,$W$4:$X$14,2,0)*E10/$X$2,0)</f>
        <v>50</v>
      </c>
      <c r="J10">
        <v>5</v>
      </c>
      <c r="K10">
        <f t="shared" si="1"/>
        <v>0</v>
      </c>
      <c r="L10">
        <v>1</v>
      </c>
      <c r="M10">
        <v>100</v>
      </c>
      <c r="N10">
        <v>0</v>
      </c>
      <c r="O10">
        <f>SUM($F$2:F10)</f>
        <v>1025</v>
      </c>
      <c r="P10" s="17">
        <f t="shared" si="0"/>
        <v>1.3748191027496382E-2</v>
      </c>
      <c r="W10" s="4">
        <v>6</v>
      </c>
      <c r="X10" s="4">
        <v>1</v>
      </c>
    </row>
    <row r="11" spans="1:24">
      <c r="A11">
        <v>10</v>
      </c>
      <c r="B11">
        <v>0</v>
      </c>
      <c r="C11" s="36">
        <v>78109</v>
      </c>
      <c r="D11" s="4" t="str">
        <f>IFERROR(VLOOKUP(C11,[1]引用表合并!$A$2:$B$1000,2,FALSE),"")</f>
        <v>马仔碎片(司徒浩南)</v>
      </c>
      <c r="E11">
        <v>5</v>
      </c>
      <c r="F11">
        <v>90</v>
      </c>
      <c r="G11">
        <v>0</v>
      </c>
      <c r="H11">
        <v>0</v>
      </c>
      <c r="I11" s="42">
        <f>ROUNDUP(VLOOKUP(C11,[2]!游戏物价查询,7,FALSE)*VLOOKUP(N11,$W$4:$X$14,2,0)*E11/$X$2,0)</f>
        <v>50</v>
      </c>
      <c r="J11">
        <v>1</v>
      </c>
      <c r="K11">
        <f>INT(H11*VLOOKUP(N11,$W$4:$X$14,2,0))</f>
        <v>0</v>
      </c>
      <c r="L11">
        <v>1</v>
      </c>
      <c r="M11">
        <v>100</v>
      </c>
      <c r="N11">
        <v>0</v>
      </c>
      <c r="O11">
        <f>SUM($F$2:F11)</f>
        <v>1115</v>
      </c>
      <c r="P11" s="17">
        <f t="shared" si="0"/>
        <v>1.3024602026049204E-2</v>
      </c>
      <c r="W11" s="4">
        <v>7</v>
      </c>
      <c r="X11" s="4">
        <v>1</v>
      </c>
    </row>
    <row r="12" spans="1:24">
      <c r="A12">
        <v>11</v>
      </c>
      <c r="B12">
        <v>0</v>
      </c>
      <c r="C12" s="36">
        <v>78119</v>
      </c>
      <c r="D12" s="4" t="str">
        <f>IFERROR(VLOOKUP(C12,[1]引用表合并!$A$2:$B$1000,2,FALSE),"")</f>
        <v>马仔碎片(笑面虎)</v>
      </c>
      <c r="E12">
        <v>5</v>
      </c>
      <c r="F12">
        <v>85</v>
      </c>
      <c r="G12">
        <v>0</v>
      </c>
      <c r="H12">
        <v>0</v>
      </c>
      <c r="I12" s="42">
        <f>ROUNDUP(VLOOKUP(C12,[2]!游戏物价查询,7,FALSE)*VLOOKUP(N12,$W$4:$X$14,2,0)*E12/$X$2,0)</f>
        <v>50</v>
      </c>
      <c r="J12">
        <v>5</v>
      </c>
      <c r="K12">
        <f t="shared" si="1"/>
        <v>0</v>
      </c>
      <c r="L12">
        <v>1</v>
      </c>
      <c r="M12">
        <v>100</v>
      </c>
      <c r="N12">
        <v>0</v>
      </c>
      <c r="O12">
        <f>SUM($F$2:F12)</f>
        <v>1200</v>
      </c>
      <c r="P12" s="17">
        <f t="shared" si="0"/>
        <v>1.2301013024602027E-2</v>
      </c>
      <c r="R12" s="1">
        <f>SUM(P6:P12)</f>
        <v>0.10130246020260492</v>
      </c>
      <c r="T12">
        <f>SUMPRODUCT(E6:E12,P6:P12)*6</f>
        <v>3.0390738060781475</v>
      </c>
      <c r="U12">
        <f>[2]马仔的投放!$AM$39</f>
        <v>2.5496553244790197</v>
      </c>
      <c r="W12" s="4">
        <v>8</v>
      </c>
      <c r="X12" s="4">
        <v>1</v>
      </c>
    </row>
    <row r="13" spans="1:24">
      <c r="A13">
        <v>12</v>
      </c>
      <c r="B13">
        <v>0</v>
      </c>
      <c r="C13" s="49">
        <v>93142</v>
      </c>
      <c r="D13" s="4" t="str">
        <f>IFERROR(VLOOKUP(C13,[1]引用表合并!$A$2:$B$1000,2,FALSE),"")</f>
        <v>黄金戒指碎片</v>
      </c>
      <c r="E13">
        <v>5</v>
      </c>
      <c r="F13">
        <v>105</v>
      </c>
      <c r="G13">
        <v>0</v>
      </c>
      <c r="H13">
        <v>0</v>
      </c>
      <c r="I13" s="42">
        <f>ROUNDUP(VLOOKUP(C13,[2]!游戏物价查询,7,FALSE)*VLOOKUP(N13,$W$4:$X$14,2,0)*E13/$X$2,0)</f>
        <v>2</v>
      </c>
      <c r="J13">
        <v>0</v>
      </c>
      <c r="K13">
        <f t="shared" si="1"/>
        <v>0</v>
      </c>
      <c r="L13">
        <v>1</v>
      </c>
      <c r="M13">
        <v>100</v>
      </c>
      <c r="N13">
        <v>0</v>
      </c>
      <c r="O13">
        <f>SUM($F$2:F13)</f>
        <v>1305</v>
      </c>
      <c r="P13" s="17">
        <f t="shared" si="0"/>
        <v>1.5195369030390739E-2</v>
      </c>
      <c r="W13" s="4">
        <v>9</v>
      </c>
      <c r="X13" s="4">
        <v>1</v>
      </c>
    </row>
    <row r="14" spans="1:24">
      <c r="A14">
        <v>13</v>
      </c>
      <c r="B14">
        <v>0</v>
      </c>
      <c r="C14" s="49">
        <v>93235</v>
      </c>
      <c r="D14" s="4" t="str">
        <f>IFERROR(VLOOKUP(C14,[1]引用表合并!$A$2:$B$1000,2,FALSE),"")</f>
        <v>宝石手环碎片</v>
      </c>
      <c r="E14">
        <v>5</v>
      </c>
      <c r="F14">
        <v>105</v>
      </c>
      <c r="G14">
        <v>0</v>
      </c>
      <c r="H14">
        <v>0</v>
      </c>
      <c r="I14" s="42">
        <f>ROUNDUP(VLOOKUP(C14,[2]!游戏物价查询,7,FALSE)*VLOOKUP(N14,$W$4:$X$14,2,0)*E14/$X$2,0)</f>
        <v>2</v>
      </c>
      <c r="J14">
        <v>0</v>
      </c>
      <c r="K14">
        <f t="shared" si="1"/>
        <v>0</v>
      </c>
      <c r="L14">
        <v>1</v>
      </c>
      <c r="M14">
        <v>100</v>
      </c>
      <c r="N14">
        <v>0</v>
      </c>
      <c r="O14">
        <f>SUM($F$2:F14)</f>
        <v>1410</v>
      </c>
      <c r="P14" s="17">
        <f t="shared" si="0"/>
        <v>1.5195369030390739E-2</v>
      </c>
      <c r="W14" s="4">
        <v>10</v>
      </c>
      <c r="X14" s="4">
        <v>1</v>
      </c>
    </row>
    <row r="15" spans="1:24">
      <c r="A15">
        <v>14</v>
      </c>
      <c r="B15">
        <v>0</v>
      </c>
      <c r="C15" s="49">
        <v>93012</v>
      </c>
      <c r="D15" s="4" t="str">
        <f>IFERROR(VLOOKUP(C15,[1]引用表合并!$A$2:$B$1000,2,FALSE),"")</f>
        <v>摩拉碎片</v>
      </c>
      <c r="E15">
        <v>5</v>
      </c>
      <c r="F15">
        <v>105</v>
      </c>
      <c r="G15">
        <v>0</v>
      </c>
      <c r="H15">
        <v>0</v>
      </c>
      <c r="I15" s="42">
        <f>ROUNDUP(VLOOKUP(C15,[2]!游戏物价查询,7,FALSE)*VLOOKUP(N15,$W$4:$X$14,2,0)*E15/$X$2,0)</f>
        <v>2</v>
      </c>
      <c r="J15">
        <v>0</v>
      </c>
      <c r="K15">
        <f t="shared" si="1"/>
        <v>0</v>
      </c>
      <c r="L15">
        <v>1</v>
      </c>
      <c r="M15">
        <v>100</v>
      </c>
      <c r="N15">
        <v>0</v>
      </c>
      <c r="O15">
        <f>SUM($F$2:F15)</f>
        <v>1515</v>
      </c>
      <c r="P15" s="17">
        <f t="shared" si="0"/>
        <v>1.5195369030390739E-2</v>
      </c>
    </row>
    <row r="16" spans="1:24">
      <c r="A16">
        <v>15</v>
      </c>
      <c r="B16">
        <v>0</v>
      </c>
      <c r="C16" s="49">
        <v>93252</v>
      </c>
      <c r="D16" s="4" t="str">
        <f>IFERROR(VLOOKUP(C16,[1]引用表合并!$A$2:$B$1000,2,FALSE),"")</f>
        <v>青玉项链碎片</v>
      </c>
      <c r="E16">
        <v>5</v>
      </c>
      <c r="F16">
        <v>105</v>
      </c>
      <c r="G16">
        <v>0</v>
      </c>
      <c r="H16">
        <v>0</v>
      </c>
      <c r="I16" s="42">
        <f>ROUNDUP(VLOOKUP(C16,[2]!游戏物价查询,7,FALSE)*VLOOKUP(N16,$W$4:$X$14,2,0)*E16/$X$2,0)</f>
        <v>2</v>
      </c>
      <c r="J16">
        <v>0</v>
      </c>
      <c r="K16">
        <f t="shared" si="1"/>
        <v>0</v>
      </c>
      <c r="L16">
        <v>1</v>
      </c>
      <c r="M16">
        <v>100</v>
      </c>
      <c r="N16">
        <v>0</v>
      </c>
      <c r="O16">
        <f>SUM($F$2:F16)</f>
        <v>1620</v>
      </c>
      <c r="P16" s="17">
        <f t="shared" si="0"/>
        <v>1.5195369030390739E-2</v>
      </c>
    </row>
    <row r="17" spans="1:18">
      <c r="A17">
        <v>16</v>
      </c>
      <c r="B17">
        <v>0</v>
      </c>
      <c r="C17" s="49">
        <v>93124</v>
      </c>
      <c r="D17" s="4" t="str">
        <f>IFERROR(VLOOKUP(C17,[1]引用表合并!$A$2:$B$1000,2,FALSE),"")</f>
        <v>水晶耳钉碎片</v>
      </c>
      <c r="E17">
        <v>5</v>
      </c>
      <c r="F17">
        <v>105</v>
      </c>
      <c r="G17">
        <v>0</v>
      </c>
      <c r="H17">
        <v>0</v>
      </c>
      <c r="I17" s="42">
        <f>ROUNDUP(VLOOKUP(C17,[2]!游戏物价查询,7,FALSE)*VLOOKUP(N17,$W$4:$X$14,2,0)*E17/$X$2,0)</f>
        <v>2</v>
      </c>
      <c r="J17">
        <v>0</v>
      </c>
      <c r="K17">
        <f t="shared" si="1"/>
        <v>0</v>
      </c>
      <c r="L17">
        <v>1</v>
      </c>
      <c r="M17">
        <v>100</v>
      </c>
      <c r="N17">
        <v>0</v>
      </c>
      <c r="O17">
        <f>SUM($F$2:F17)</f>
        <v>1725</v>
      </c>
      <c r="P17" s="17">
        <f t="shared" si="0"/>
        <v>1.5195369030390739E-2</v>
      </c>
    </row>
    <row r="18" spans="1:18">
      <c r="A18">
        <v>17</v>
      </c>
      <c r="B18">
        <v>0</v>
      </c>
      <c r="C18" s="49">
        <v>93272</v>
      </c>
      <c r="D18" s="4" t="str">
        <f>IFERROR(VLOOKUP(C18,[1]引用表合并!$A$2:$B$1000,2,FALSE),"")</f>
        <v>金针手表碎片</v>
      </c>
      <c r="E18">
        <v>5</v>
      </c>
      <c r="F18">
        <v>105</v>
      </c>
      <c r="G18">
        <v>0</v>
      </c>
      <c r="H18">
        <v>0</v>
      </c>
      <c r="I18" s="42">
        <f>ROUNDUP(VLOOKUP(C18,[2]!游戏物价查询,7,FALSE)*VLOOKUP(N18,$W$4:$X$14,2,0)*E18/$X$2,0)</f>
        <v>2</v>
      </c>
      <c r="J18">
        <v>0</v>
      </c>
      <c r="K18">
        <f t="shared" ref="K18:K19" si="2">INT(H18*VLOOKUP(N18,$W$4:$X$14,2,0))</f>
        <v>0</v>
      </c>
      <c r="L18">
        <v>1</v>
      </c>
      <c r="M18">
        <v>100</v>
      </c>
      <c r="N18">
        <v>0</v>
      </c>
      <c r="O18">
        <f>SUM($F$2:F18)</f>
        <v>1830</v>
      </c>
      <c r="P18" s="17">
        <f t="shared" si="0"/>
        <v>1.5195369030390739E-2</v>
      </c>
    </row>
    <row r="19" spans="1:18">
      <c r="A19">
        <v>18</v>
      </c>
      <c r="B19">
        <v>0</v>
      </c>
      <c r="C19" s="49">
        <v>93273</v>
      </c>
      <c r="D19" s="4" t="str">
        <f>IFERROR(VLOOKUP(C19,[1]引用表合并!$A$2:$B$1000,2,FALSE),"")</f>
        <v>智能手表碎片</v>
      </c>
      <c r="E19">
        <v>5</v>
      </c>
      <c r="F19">
        <v>105</v>
      </c>
      <c r="G19">
        <v>0</v>
      </c>
      <c r="H19">
        <v>0</v>
      </c>
      <c r="I19" s="42">
        <f>ROUNDUP(VLOOKUP(C19,[2]!游戏物价查询,7,FALSE)*VLOOKUP(N19,$W$4:$X$14,2,0)*E19/$X$2,0)</f>
        <v>2</v>
      </c>
      <c r="J19">
        <v>0</v>
      </c>
      <c r="K19">
        <f t="shared" si="2"/>
        <v>0</v>
      </c>
      <c r="L19">
        <v>1</v>
      </c>
      <c r="M19">
        <v>100</v>
      </c>
      <c r="N19">
        <v>0</v>
      </c>
      <c r="O19">
        <f>SUM($F$2:F19)</f>
        <v>1935</v>
      </c>
      <c r="P19" s="17">
        <f t="shared" si="0"/>
        <v>1.5195369030390739E-2</v>
      </c>
    </row>
    <row r="20" spans="1:18">
      <c r="A20">
        <v>19</v>
      </c>
      <c r="B20">
        <v>0</v>
      </c>
      <c r="C20" s="49">
        <v>93279</v>
      </c>
      <c r="D20" s="4" t="str">
        <f>IFERROR(VLOOKUP(C20,[1]引用表合并!$A$2:$B$1000,2,FALSE),"")</f>
        <v>宾倪碎片</v>
      </c>
      <c r="E20">
        <v>5</v>
      </c>
      <c r="F20">
        <v>105</v>
      </c>
      <c r="G20">
        <v>0</v>
      </c>
      <c r="H20">
        <v>0</v>
      </c>
      <c r="I20" s="42">
        <f>ROUNDUP(VLOOKUP(C20,[2]!游戏物价查询,7,FALSE)*VLOOKUP(N20,$W$4:$X$14,2,0)*E20/$X$2,0)</f>
        <v>2</v>
      </c>
      <c r="J20">
        <v>0</v>
      </c>
      <c r="K20">
        <f t="shared" si="1"/>
        <v>0</v>
      </c>
      <c r="L20">
        <v>1</v>
      </c>
      <c r="M20">
        <v>100</v>
      </c>
      <c r="N20">
        <v>0</v>
      </c>
      <c r="O20">
        <f>SUM($F$2:F20)</f>
        <v>2040</v>
      </c>
      <c r="P20" s="17">
        <f t="shared" si="0"/>
        <v>1.5195369030390739E-2</v>
      </c>
    </row>
    <row r="21" spans="1:18">
      <c r="A21">
        <v>20</v>
      </c>
      <c r="B21">
        <v>0</v>
      </c>
      <c r="C21" s="49">
        <v>93284</v>
      </c>
      <c r="D21" s="4" t="str">
        <f>IFERROR(VLOOKUP(C21,[1]引用表合并!$A$2:$B$1000,2,FALSE),"")</f>
        <v>大迭钞票碎片</v>
      </c>
      <c r="E21">
        <v>5</v>
      </c>
      <c r="F21">
        <v>105</v>
      </c>
      <c r="G21">
        <v>0</v>
      </c>
      <c r="H21">
        <v>0</v>
      </c>
      <c r="I21" s="42">
        <f>ROUNDUP(VLOOKUP(C21,[2]!游戏物价查询,7,FALSE)*VLOOKUP(N21,$W$4:$X$14,2,0)*E21/$X$2,0)</f>
        <v>2</v>
      </c>
      <c r="J21">
        <v>0</v>
      </c>
      <c r="K21">
        <f t="shared" si="1"/>
        <v>0</v>
      </c>
      <c r="L21">
        <v>1</v>
      </c>
      <c r="M21">
        <v>100</v>
      </c>
      <c r="N21">
        <v>0</v>
      </c>
      <c r="O21">
        <f>SUM($F$2:F21)</f>
        <v>2145</v>
      </c>
      <c r="P21" s="17">
        <f t="shared" si="0"/>
        <v>1.5195369030390739E-2</v>
      </c>
    </row>
    <row r="22" spans="1:18">
      <c r="A22">
        <v>21</v>
      </c>
      <c r="B22">
        <v>0</v>
      </c>
      <c r="C22" s="49">
        <v>93288</v>
      </c>
      <c r="D22" s="4" t="str">
        <f>IFERROR(VLOOKUP(C22,[1]引用表合并!$A$2:$B$1000,2,FALSE),"")</f>
        <v>大金块碎片</v>
      </c>
      <c r="E22">
        <v>5</v>
      </c>
      <c r="F22">
        <v>105</v>
      </c>
      <c r="G22">
        <v>0</v>
      </c>
      <c r="H22">
        <v>0</v>
      </c>
      <c r="I22" s="42">
        <f>ROUNDUP(VLOOKUP(C22,[2]!游戏物价查询,7,FALSE)*VLOOKUP(N22,$W$4:$X$14,2,0)*E22/$X$2,0)</f>
        <v>2</v>
      </c>
      <c r="J22">
        <v>0</v>
      </c>
      <c r="K22">
        <f t="shared" si="1"/>
        <v>0</v>
      </c>
      <c r="L22">
        <v>1</v>
      </c>
      <c r="M22">
        <v>100</v>
      </c>
      <c r="N22">
        <v>0</v>
      </c>
      <c r="O22">
        <f>SUM($F$2:F22)</f>
        <v>2250</v>
      </c>
      <c r="P22" s="17">
        <f t="shared" si="0"/>
        <v>1.5195369030390739E-2</v>
      </c>
      <c r="R22" s="1">
        <f>SUM(P13:P22)</f>
        <v>0.15195369030390735</v>
      </c>
    </row>
    <row r="23" spans="1:18">
      <c r="A23">
        <v>22</v>
      </c>
      <c r="B23">
        <v>0</v>
      </c>
      <c r="C23" s="50">
        <v>93125</v>
      </c>
      <c r="D23" s="4" t="str">
        <f>IFERROR(VLOOKUP(C23,[1]引用表合并!$A$2:$B$1000,2,FALSE),"")</f>
        <v>红石耳钉碎片</v>
      </c>
      <c r="E23">
        <v>5</v>
      </c>
      <c r="F23">
        <v>105</v>
      </c>
      <c r="G23">
        <v>0</v>
      </c>
      <c r="H23">
        <v>0</v>
      </c>
      <c r="I23" s="42">
        <f>ROUNDUP(VLOOKUP(C23,[2]!游戏物价查询,7,FALSE)*VLOOKUP(N23,$W$4:$X$14,2,0)*E23/$X$2,0)</f>
        <v>3</v>
      </c>
      <c r="J23">
        <v>0</v>
      </c>
      <c r="K23">
        <f t="shared" si="1"/>
        <v>0</v>
      </c>
      <c r="L23">
        <v>1</v>
      </c>
      <c r="M23">
        <v>100</v>
      </c>
      <c r="N23">
        <v>0</v>
      </c>
      <c r="O23">
        <f>SUM($F$2:F23)</f>
        <v>2355</v>
      </c>
      <c r="P23" s="17">
        <f t="shared" si="0"/>
        <v>1.5195369030390739E-2</v>
      </c>
    </row>
    <row r="24" spans="1:18">
      <c r="A24">
        <v>23</v>
      </c>
      <c r="B24">
        <v>0</v>
      </c>
      <c r="C24" s="50">
        <v>93134</v>
      </c>
      <c r="D24" s="4" t="str">
        <f>IFERROR(VLOOKUP(C24,[1]引用表合并!$A$2:$B$1000,2,FALSE),"")</f>
        <v>毒蝎耳钉碎片</v>
      </c>
      <c r="E24">
        <v>5</v>
      </c>
      <c r="F24">
        <v>105</v>
      </c>
      <c r="G24">
        <v>0</v>
      </c>
      <c r="H24">
        <v>0</v>
      </c>
      <c r="I24" s="42">
        <f>ROUNDUP(VLOOKUP(C24,[2]!游戏物价查询,7,FALSE)*VLOOKUP(N24,$W$4:$X$14,2,0)*E24/$X$2,0)</f>
        <v>3</v>
      </c>
      <c r="J24">
        <v>0</v>
      </c>
      <c r="K24">
        <f t="shared" si="1"/>
        <v>0</v>
      </c>
      <c r="L24">
        <v>1</v>
      </c>
      <c r="M24">
        <v>100</v>
      </c>
      <c r="N24">
        <v>0</v>
      </c>
      <c r="O24">
        <f>SUM($F$2:F24)</f>
        <v>2460</v>
      </c>
      <c r="P24" s="17">
        <f t="shared" si="0"/>
        <v>1.5195369030390739E-2</v>
      </c>
    </row>
    <row r="25" spans="1:18">
      <c r="A25">
        <v>24</v>
      </c>
      <c r="B25">
        <v>0</v>
      </c>
      <c r="C25" s="50">
        <v>93223</v>
      </c>
      <c r="D25" s="4" t="str">
        <f>IFERROR(VLOOKUP(C25,[1]引用表合并!$A$2:$B$1000,2,FALSE),"")</f>
        <v>赤金戒指碎片</v>
      </c>
      <c r="E25">
        <v>5</v>
      </c>
      <c r="F25">
        <v>105</v>
      </c>
      <c r="G25">
        <v>0</v>
      </c>
      <c r="H25">
        <v>0</v>
      </c>
      <c r="I25" s="42">
        <f>ROUNDUP(VLOOKUP(C25,[2]!游戏物价查询,7,FALSE)*VLOOKUP(N25,$W$4:$X$14,2,0)*E25/$X$2,0)</f>
        <v>3</v>
      </c>
      <c r="J25">
        <v>0</v>
      </c>
      <c r="K25">
        <f t="shared" si="1"/>
        <v>0</v>
      </c>
      <c r="L25">
        <v>1</v>
      </c>
      <c r="M25">
        <v>100</v>
      </c>
      <c r="N25">
        <v>0</v>
      </c>
      <c r="O25">
        <f>SUM($F$2:F25)</f>
        <v>2565</v>
      </c>
      <c r="P25" s="17">
        <f t="shared" si="0"/>
        <v>1.5195369030390739E-2</v>
      </c>
    </row>
    <row r="26" spans="1:18">
      <c r="A26">
        <v>25</v>
      </c>
      <c r="B26">
        <v>0</v>
      </c>
      <c r="C26" s="50">
        <v>93227</v>
      </c>
      <c r="D26" s="4" t="str">
        <f>IFERROR(VLOOKUP(C26,[1]引用表合并!$A$2:$B$1000,2,FALSE),"")</f>
        <v>王者手环碎片</v>
      </c>
      <c r="E26">
        <v>5</v>
      </c>
      <c r="F26">
        <v>105</v>
      </c>
      <c r="G26">
        <v>0</v>
      </c>
      <c r="H26">
        <v>0</v>
      </c>
      <c r="I26" s="42">
        <f>ROUNDUP(VLOOKUP(C26,[2]!游戏物价查询,7,FALSE)*VLOOKUP(N26,$W$4:$X$14,2,0)*E26/$X$2,0)</f>
        <v>3</v>
      </c>
      <c r="J26">
        <v>0</v>
      </c>
      <c r="K26">
        <f t="shared" si="1"/>
        <v>0</v>
      </c>
      <c r="L26">
        <v>1</v>
      </c>
      <c r="M26">
        <v>100</v>
      </c>
      <c r="N26">
        <v>0</v>
      </c>
      <c r="O26">
        <f>SUM($F$2:F26)</f>
        <v>2670</v>
      </c>
      <c r="P26" s="17">
        <f t="shared" si="0"/>
        <v>1.5195369030390739E-2</v>
      </c>
    </row>
    <row r="27" spans="1:18">
      <c r="A27">
        <v>26</v>
      </c>
      <c r="B27">
        <v>0</v>
      </c>
      <c r="C27" s="50">
        <v>93236</v>
      </c>
      <c r="D27" s="4" t="str">
        <f>IFERROR(VLOOKUP(C27,[1]引用表合并!$A$2:$B$1000,2,FALSE),"")</f>
        <v>符文手环碎片</v>
      </c>
      <c r="E27">
        <v>5</v>
      </c>
      <c r="F27">
        <v>105</v>
      </c>
      <c r="G27">
        <v>0</v>
      </c>
      <c r="H27">
        <v>0</v>
      </c>
      <c r="I27" s="42">
        <f>ROUNDUP(VLOOKUP(C27,[2]!游戏物价查询,7,FALSE)*VLOOKUP(N27,$W$4:$X$14,2,0)*E27/$X$2,0)</f>
        <v>3</v>
      </c>
      <c r="J27">
        <v>0</v>
      </c>
      <c r="K27">
        <f t="shared" si="1"/>
        <v>0</v>
      </c>
      <c r="L27">
        <v>1</v>
      </c>
      <c r="M27">
        <v>100</v>
      </c>
      <c r="N27">
        <v>0</v>
      </c>
      <c r="O27">
        <f>SUM($F$2:F27)</f>
        <v>2775</v>
      </c>
      <c r="P27" s="17">
        <f t="shared" si="0"/>
        <v>1.5195369030390739E-2</v>
      </c>
    </row>
    <row r="28" spans="1:18">
      <c r="A28">
        <v>27</v>
      </c>
      <c r="B28">
        <v>0</v>
      </c>
      <c r="C28" s="50">
        <v>93013</v>
      </c>
      <c r="D28" s="4" t="str">
        <f>IFERROR(VLOOKUP(C28,[1]引用表合并!$A$2:$B$1000,2,FALSE),"")</f>
        <v>月立碎片</v>
      </c>
      <c r="E28">
        <v>5</v>
      </c>
      <c r="F28">
        <v>105</v>
      </c>
      <c r="G28">
        <v>0</v>
      </c>
      <c r="H28">
        <v>0</v>
      </c>
      <c r="I28" s="42">
        <f>ROUNDUP(VLOOKUP(C28,[2]!游戏物价查询,7,FALSE)*VLOOKUP(N28,$W$4:$X$14,2,0)*E28/$X$2,0)</f>
        <v>3</v>
      </c>
      <c r="J28">
        <v>0</v>
      </c>
      <c r="K28">
        <f t="shared" si="1"/>
        <v>0</v>
      </c>
      <c r="L28">
        <v>1</v>
      </c>
      <c r="M28">
        <v>100</v>
      </c>
      <c r="N28">
        <v>0</v>
      </c>
      <c r="O28">
        <f>SUM($F$2:F28)</f>
        <v>2880</v>
      </c>
      <c r="P28" s="17">
        <f t="shared" si="0"/>
        <v>1.5195369030390739E-2</v>
      </c>
    </row>
    <row r="29" spans="1:18">
      <c r="A29">
        <v>28</v>
      </c>
      <c r="B29">
        <v>0</v>
      </c>
      <c r="C29" s="50">
        <v>93253</v>
      </c>
      <c r="D29" s="4" t="str">
        <f>IFERROR(VLOOKUP(C29,[1]引用表合并!$A$2:$B$1000,2,FALSE),"")</f>
        <v>猫妖项链碎片</v>
      </c>
      <c r="E29">
        <v>5</v>
      </c>
      <c r="F29">
        <v>105</v>
      </c>
      <c r="G29">
        <v>0</v>
      </c>
      <c r="H29">
        <v>0</v>
      </c>
      <c r="I29" s="42">
        <f>ROUNDUP(VLOOKUP(C29,[2]!游戏物价查询,7,FALSE)*VLOOKUP(N29,$W$4:$X$14,2,0)*E29/$X$2,0)</f>
        <v>3</v>
      </c>
      <c r="J29">
        <v>0</v>
      </c>
      <c r="K29">
        <f t="shared" si="1"/>
        <v>0</v>
      </c>
      <c r="L29">
        <v>1</v>
      </c>
      <c r="M29">
        <v>100</v>
      </c>
      <c r="N29">
        <v>0</v>
      </c>
      <c r="O29">
        <f>SUM($F$2:F29)</f>
        <v>2985</v>
      </c>
      <c r="P29" s="17">
        <f t="shared" si="0"/>
        <v>1.5195369030390739E-2</v>
      </c>
    </row>
    <row r="30" spans="1:18">
      <c r="A30">
        <v>29</v>
      </c>
      <c r="B30">
        <v>0</v>
      </c>
      <c r="C30" s="50">
        <v>93254</v>
      </c>
      <c r="D30" s="4" t="str">
        <f>IFERROR(VLOOKUP(C30,[1]引用表合并!$A$2:$B$1000,2,FALSE),"")</f>
        <v>苍蓝项链碎片</v>
      </c>
      <c r="E30">
        <v>5</v>
      </c>
      <c r="F30">
        <v>105</v>
      </c>
      <c r="G30">
        <v>0</v>
      </c>
      <c r="H30">
        <v>0</v>
      </c>
      <c r="I30" s="42">
        <f>ROUNDUP(VLOOKUP(C30,[2]!游戏物价查询,7,FALSE)*VLOOKUP(N30,$W$4:$X$14,2,0)*E30/$X$2,0)</f>
        <v>3</v>
      </c>
      <c r="J30">
        <v>0</v>
      </c>
      <c r="K30">
        <f t="shared" si="1"/>
        <v>0</v>
      </c>
      <c r="L30">
        <v>1</v>
      </c>
      <c r="M30">
        <v>100</v>
      </c>
      <c r="N30">
        <v>0</v>
      </c>
      <c r="O30">
        <f>SUM($F$2:F30)</f>
        <v>3090</v>
      </c>
      <c r="P30" s="17">
        <f t="shared" si="0"/>
        <v>1.5195369030390739E-2</v>
      </c>
    </row>
    <row r="31" spans="1:18">
      <c r="A31">
        <v>30</v>
      </c>
      <c r="B31">
        <v>0</v>
      </c>
      <c r="C31" s="50">
        <v>93274</v>
      </c>
      <c r="D31" s="4" t="str">
        <f>IFERROR(VLOOKUP(C31,[1]引用表合并!$A$2:$B$1000,2,FALSE),"")</f>
        <v>汉密手表碎片</v>
      </c>
      <c r="E31">
        <v>5</v>
      </c>
      <c r="F31">
        <v>105</v>
      </c>
      <c r="G31">
        <v>0</v>
      </c>
      <c r="H31">
        <v>0</v>
      </c>
      <c r="I31" s="42">
        <f>ROUNDUP(VLOOKUP(C31,[2]!游戏物价查询,7,FALSE)*VLOOKUP(N31,$W$4:$X$14,2,0)*E31/$X$2,0)</f>
        <v>3</v>
      </c>
      <c r="J31">
        <v>0</v>
      </c>
      <c r="K31">
        <f t="shared" si="1"/>
        <v>0</v>
      </c>
      <c r="L31">
        <v>1</v>
      </c>
      <c r="M31">
        <v>100</v>
      </c>
      <c r="N31">
        <v>0</v>
      </c>
      <c r="O31">
        <f>SUM($F$2:F31)</f>
        <v>3195</v>
      </c>
      <c r="P31" s="17">
        <f t="shared" si="0"/>
        <v>1.5195369030390739E-2</v>
      </c>
    </row>
    <row r="32" spans="1:18">
      <c r="A32">
        <v>31</v>
      </c>
      <c r="B32">
        <v>0</v>
      </c>
      <c r="C32" s="50">
        <v>93280</v>
      </c>
      <c r="D32" s="4" t="str">
        <f>IFERROR(VLOOKUP(C32,[1]引用表合并!$A$2:$B$1000,2,FALSE),"")</f>
        <v>法拉捷碎片</v>
      </c>
      <c r="E32">
        <v>5</v>
      </c>
      <c r="F32">
        <v>105</v>
      </c>
      <c r="G32">
        <v>0</v>
      </c>
      <c r="H32">
        <v>0</v>
      </c>
      <c r="I32" s="42">
        <f>ROUNDUP(VLOOKUP(C32,[2]!游戏物价查询,7,FALSE)*VLOOKUP(N32,$W$4:$X$14,2,0)*E32/$X$2,0)</f>
        <v>3</v>
      </c>
      <c r="J32">
        <v>0</v>
      </c>
      <c r="K32">
        <f t="shared" si="1"/>
        <v>0</v>
      </c>
      <c r="L32">
        <v>1</v>
      </c>
      <c r="M32">
        <v>100</v>
      </c>
      <c r="N32">
        <v>0</v>
      </c>
      <c r="O32">
        <f>SUM($F$2:F32)</f>
        <v>3300</v>
      </c>
      <c r="P32" s="17">
        <f t="shared" si="0"/>
        <v>1.5195369030390739E-2</v>
      </c>
    </row>
    <row r="33" spans="1:21">
      <c r="A33">
        <v>32</v>
      </c>
      <c r="B33">
        <v>0</v>
      </c>
      <c r="C33" s="50">
        <v>93285</v>
      </c>
      <c r="D33" s="4" t="str">
        <f>IFERROR(VLOOKUP(C33,[1]引用表合并!$A$2:$B$1000,2,FALSE),"")</f>
        <v>大堆钞票碎片</v>
      </c>
      <c r="E33">
        <v>5</v>
      </c>
      <c r="F33">
        <v>105</v>
      </c>
      <c r="G33">
        <v>0</v>
      </c>
      <c r="H33">
        <v>0</v>
      </c>
      <c r="I33" s="42">
        <f>ROUNDUP(VLOOKUP(C33,[2]!游戏物价查询,7,FALSE)*VLOOKUP(N33,$W$4:$X$14,2,0)*E33/$X$2,0)</f>
        <v>3</v>
      </c>
      <c r="J33">
        <v>0</v>
      </c>
      <c r="K33">
        <f t="shared" si="1"/>
        <v>0</v>
      </c>
      <c r="L33">
        <v>1</v>
      </c>
      <c r="M33">
        <v>100</v>
      </c>
      <c r="N33">
        <v>0</v>
      </c>
      <c r="O33">
        <f>SUM($F$2:F33)</f>
        <v>3405</v>
      </c>
      <c r="P33" s="17">
        <f t="shared" si="0"/>
        <v>1.5195369030390739E-2</v>
      </c>
    </row>
    <row r="34" spans="1:21">
      <c r="A34">
        <v>33</v>
      </c>
      <c r="B34">
        <v>0</v>
      </c>
      <c r="C34" s="50">
        <v>93289</v>
      </c>
      <c r="D34" s="4" t="str">
        <f>IFERROR(VLOOKUP(C34,[1]引用表合并!$A$2:$B$1000,2,FALSE),"")</f>
        <v>小堆金块碎片</v>
      </c>
      <c r="E34">
        <v>5</v>
      </c>
      <c r="F34">
        <v>105</v>
      </c>
      <c r="G34">
        <v>0</v>
      </c>
      <c r="H34">
        <v>0</v>
      </c>
      <c r="I34" s="42">
        <f>ROUNDUP(VLOOKUP(C34,[2]!游戏物价查询,7,FALSE)*VLOOKUP(N34,$W$4:$X$14,2,0)*E34/$X$2,0)</f>
        <v>3</v>
      </c>
      <c r="J34">
        <v>0</v>
      </c>
      <c r="K34">
        <f t="shared" si="1"/>
        <v>0</v>
      </c>
      <c r="L34">
        <v>1</v>
      </c>
      <c r="M34">
        <v>100</v>
      </c>
      <c r="N34">
        <v>0</v>
      </c>
      <c r="O34">
        <f>SUM($F$2:F34)</f>
        <v>3510</v>
      </c>
      <c r="P34" s="17">
        <f t="shared" si="0"/>
        <v>1.5195369030390739E-2</v>
      </c>
      <c r="Q34" s="1">
        <f>SUM(P13:P34)</f>
        <v>0.33429811866859627</v>
      </c>
      <c r="R34" s="1">
        <f>SUM(P23:P34)</f>
        <v>0.18234442836468881</v>
      </c>
      <c r="S34" s="1"/>
      <c r="T34">
        <f>SUMPRODUCT(P23:P34,E23:E34)*6</f>
        <v>5.4703328509406655</v>
      </c>
      <c r="U34">
        <f>[2]马仔宝物投放!$T$43*[2]马仔宝物投放!$S$10/[2]马仔宝物投放!$J$10/[2]马仔宝物投放!$M$10</f>
        <v>1.0984764718369961</v>
      </c>
    </row>
    <row r="35" spans="1:21">
      <c r="A35">
        <v>34</v>
      </c>
      <c r="B35">
        <v>0</v>
      </c>
      <c r="C35">
        <v>80210</v>
      </c>
      <c r="D35" s="4" t="str">
        <f>IFERROR(VLOOKUP(C35,[1]引用表合并!$A$2:$B$1000,2,FALSE),"")</f>
        <v>龙魂币(1000)</v>
      </c>
      <c r="E35" s="7">
        <v>1</v>
      </c>
      <c r="F35">
        <v>500</v>
      </c>
      <c r="G35">
        <v>0</v>
      </c>
      <c r="H35">
        <v>0</v>
      </c>
      <c r="I35" s="42">
        <f>ROUNDUP(VLOOKUP(C35,[2]!游戏物价查询,7,FALSE)*VLOOKUP(N35,$W$4:$X$14,2,0)*E35/$X$2,0)</f>
        <v>4</v>
      </c>
      <c r="J35">
        <v>1</v>
      </c>
      <c r="K35">
        <f t="shared" si="1"/>
        <v>0</v>
      </c>
      <c r="L35">
        <v>1</v>
      </c>
      <c r="M35">
        <v>100</v>
      </c>
      <c r="N35">
        <v>0</v>
      </c>
      <c r="O35">
        <f>SUM($F$2:F35)</f>
        <v>4010</v>
      </c>
      <c r="P35" s="17">
        <f t="shared" si="0"/>
        <v>7.2358900144717797E-2</v>
      </c>
      <c r="T35">
        <f t="shared" ref="T35:T41" si="3">P35*E35*6</f>
        <v>0.43415340086830678</v>
      </c>
    </row>
    <row r="36" spans="1:21">
      <c r="A36">
        <v>35</v>
      </c>
      <c r="B36">
        <v>0</v>
      </c>
      <c r="C36">
        <v>80310</v>
      </c>
      <c r="D36" s="4" t="str">
        <f>IFERROR(VLOOKUP(C36,[1]引用表合并!$A$2:$B$1000,2,FALSE),"")</f>
        <v>龙魂币(2000)</v>
      </c>
      <c r="E36" s="7">
        <v>1</v>
      </c>
      <c r="F36">
        <v>300</v>
      </c>
      <c r="G36">
        <v>0</v>
      </c>
      <c r="H36">
        <v>0</v>
      </c>
      <c r="I36" s="42">
        <f>ROUNDUP(VLOOKUP(C36,[2]!游戏物价查询,7,FALSE)*VLOOKUP(N36,$W$4:$X$14,2,0)*E36/$X$2,0)</f>
        <v>8</v>
      </c>
      <c r="J36">
        <v>1</v>
      </c>
      <c r="K36">
        <f t="shared" si="1"/>
        <v>0</v>
      </c>
      <c r="L36">
        <v>1</v>
      </c>
      <c r="M36">
        <v>100</v>
      </c>
      <c r="N36">
        <v>0</v>
      </c>
      <c r="O36">
        <f>SUM($F$2:F36)</f>
        <v>4310</v>
      </c>
      <c r="P36" s="17">
        <f t="shared" si="0"/>
        <v>4.3415340086830678E-2</v>
      </c>
      <c r="Q36" s="1">
        <f>SUM(P35:P36)</f>
        <v>0.11577424023154848</v>
      </c>
      <c r="T36">
        <f t="shared" si="3"/>
        <v>0.26049204052098407</v>
      </c>
    </row>
    <row r="37" spans="1:21">
      <c r="A37">
        <v>36</v>
      </c>
      <c r="B37">
        <v>0</v>
      </c>
      <c r="C37">
        <v>91300</v>
      </c>
      <c r="D37" s="4" t="str">
        <f>IFERROR(VLOOKUP(C37,[1]引用表合并!$A$2:$B$1000,2,FALSE),"")</f>
        <v>马仔经验甘露</v>
      </c>
      <c r="E37" s="7">
        <v>1</v>
      </c>
      <c r="F37">
        <v>1000</v>
      </c>
      <c r="G37">
        <v>0</v>
      </c>
      <c r="H37">
        <v>0</v>
      </c>
      <c r="I37" s="42">
        <f>ROUNDUP(VLOOKUP(C37,[2]!游戏物价查询,7,FALSE)*VLOOKUP(N37,$W$4:$X$14,2,0)*E37/$X$2,0)</f>
        <v>2</v>
      </c>
      <c r="J37">
        <v>1</v>
      </c>
      <c r="K37">
        <f t="shared" si="1"/>
        <v>0</v>
      </c>
      <c r="L37">
        <v>1</v>
      </c>
      <c r="M37">
        <v>100</v>
      </c>
      <c r="N37">
        <v>0</v>
      </c>
      <c r="O37">
        <f>SUM($F$2:F37)</f>
        <v>5310</v>
      </c>
      <c r="P37" s="17">
        <f t="shared" si="0"/>
        <v>0.14471780028943559</v>
      </c>
      <c r="Q37" s="1">
        <f>P37</f>
        <v>0.14471780028943559</v>
      </c>
      <c r="T37">
        <f t="shared" si="3"/>
        <v>0.86830680173661356</v>
      </c>
    </row>
    <row r="38" spans="1:21">
      <c r="A38">
        <v>37</v>
      </c>
      <c r="B38">
        <v>0</v>
      </c>
      <c r="C38">
        <v>85300</v>
      </c>
      <c r="D38" s="4" t="str">
        <f>IFERROR(VLOOKUP(C38,[1]引用表合并!$A$2:$B$1000,2,FALSE),"")</f>
        <v>稀有装备升级石</v>
      </c>
      <c r="E38" s="7">
        <v>5</v>
      </c>
      <c r="F38">
        <v>500</v>
      </c>
      <c r="G38">
        <v>0</v>
      </c>
      <c r="H38">
        <v>0</v>
      </c>
      <c r="I38" s="42">
        <f>ROUNDUP(VLOOKUP(C38,[2]!游戏物价查询,7,FALSE)*VLOOKUP(N38,$W$4:$X$14,2,0)*E38/$X$2,0)</f>
        <v>15</v>
      </c>
      <c r="J38">
        <v>1</v>
      </c>
      <c r="K38">
        <f t="shared" si="1"/>
        <v>0</v>
      </c>
      <c r="L38">
        <v>1</v>
      </c>
      <c r="M38">
        <v>100</v>
      </c>
      <c r="N38">
        <v>0</v>
      </c>
      <c r="O38">
        <f>SUM($F$2:F38)</f>
        <v>5810</v>
      </c>
      <c r="P38" s="17">
        <f t="shared" si="0"/>
        <v>7.2358900144717797E-2</v>
      </c>
      <c r="Q38" s="1">
        <f>P38</f>
        <v>7.2358900144717797E-2</v>
      </c>
      <c r="S38">
        <f>P38*6</f>
        <v>0.43415340086830678</v>
      </c>
      <c r="T38">
        <f t="shared" si="3"/>
        <v>2.1707670043415339</v>
      </c>
      <c r="U38">
        <f>'[2]装备&amp;装备材料的投放'!$AP$36</f>
        <v>0.35700127088392802</v>
      </c>
    </row>
    <row r="39" spans="1:21">
      <c r="A39">
        <v>38</v>
      </c>
      <c r="B39">
        <v>0</v>
      </c>
      <c r="C39">
        <v>85400</v>
      </c>
      <c r="D39" s="4" t="str">
        <f>IFERROR(VLOOKUP(C39,[1]引用表合并!$A$2:$B$1000,2,FALSE),"")</f>
        <v>史诗装备升级石</v>
      </c>
      <c r="E39" s="7">
        <v>5</v>
      </c>
      <c r="F39">
        <v>300</v>
      </c>
      <c r="G39">
        <v>0</v>
      </c>
      <c r="H39">
        <v>0</v>
      </c>
      <c r="I39" s="42">
        <f>ROUNDUP(VLOOKUP(C39,[2]!游戏物价查询,7,FALSE)*VLOOKUP(N39,$W$4:$X$14,2,0)*E39/$X$2,0)</f>
        <v>40</v>
      </c>
      <c r="J39">
        <v>1</v>
      </c>
      <c r="K39">
        <f t="shared" si="1"/>
        <v>0</v>
      </c>
      <c r="L39">
        <v>1</v>
      </c>
      <c r="M39">
        <v>100</v>
      </c>
      <c r="N39">
        <v>0</v>
      </c>
      <c r="O39">
        <f>SUM($F$2:F39)</f>
        <v>6110</v>
      </c>
      <c r="P39" s="17">
        <f t="shared" si="0"/>
        <v>4.3415340086830678E-2</v>
      </c>
      <c r="Q39" s="1">
        <f>P39</f>
        <v>4.3415340086830678E-2</v>
      </c>
      <c r="S39">
        <f>P39*6</f>
        <v>0.26049204052098407</v>
      </c>
      <c r="T39">
        <f t="shared" si="3"/>
        <v>1.3024602026049203</v>
      </c>
      <c r="U39">
        <f>'[2]装备&amp;装备材料的投放'!$AP$37</f>
        <v>0.20136937226807725</v>
      </c>
    </row>
    <row r="40" spans="1:21">
      <c r="A40">
        <v>39</v>
      </c>
      <c r="B40">
        <v>0</v>
      </c>
      <c r="C40">
        <v>70201</v>
      </c>
      <c r="D40" s="4" t="str">
        <f>IFERROR(VLOOKUP(C40,[1]引用表合并!$A$2:$B$1000,2,FALSE),"")</f>
        <v>中级升星石</v>
      </c>
      <c r="E40" s="7">
        <v>5</v>
      </c>
      <c r="F40">
        <v>500</v>
      </c>
      <c r="G40">
        <v>0</v>
      </c>
      <c r="H40">
        <v>0</v>
      </c>
      <c r="I40" s="42">
        <f>ROUNDUP(VLOOKUP(C40,[2]!游戏物价查询,7,FALSE)*VLOOKUP(N40,$W$4:$X$14,2,0)*E40/$X$2,0)</f>
        <v>5</v>
      </c>
      <c r="J40">
        <v>1</v>
      </c>
      <c r="K40">
        <f t="shared" si="1"/>
        <v>0</v>
      </c>
      <c r="L40">
        <v>1</v>
      </c>
      <c r="M40">
        <v>100</v>
      </c>
      <c r="N40">
        <v>0</v>
      </c>
      <c r="O40">
        <f>SUM($F$2:F40)</f>
        <v>6610</v>
      </c>
      <c r="P40" s="17">
        <f t="shared" si="0"/>
        <v>7.2358900144717797E-2</v>
      </c>
      <c r="Q40" s="1">
        <f>P40</f>
        <v>7.2358900144717797E-2</v>
      </c>
      <c r="S40">
        <f>P40*6</f>
        <v>0.43415340086830678</v>
      </c>
      <c r="T40">
        <f t="shared" si="3"/>
        <v>2.1707670043415339</v>
      </c>
      <c r="U40">
        <f>'[2]装备&amp;装备材料的投放'!$BI$36</f>
        <v>0</v>
      </c>
    </row>
    <row r="41" spans="1:21">
      <c r="A41">
        <v>40</v>
      </c>
      <c r="B41">
        <v>0</v>
      </c>
      <c r="C41">
        <v>70301</v>
      </c>
      <c r="D41" s="4" t="str">
        <f>IFERROR(VLOOKUP(C41,[1]引用表合并!$A$2:$B$1000,2,FALSE),"")</f>
        <v>高级升星石</v>
      </c>
      <c r="E41" s="7">
        <v>5</v>
      </c>
      <c r="F41">
        <v>300</v>
      </c>
      <c r="G41">
        <v>0</v>
      </c>
      <c r="H41">
        <v>0</v>
      </c>
      <c r="I41" s="42">
        <f>ROUNDUP(VLOOKUP(C41,[2]!游戏物价查询,7,FALSE)*VLOOKUP(N41,$W$4:$X$14,2,0)*E41/$X$2,0)</f>
        <v>25</v>
      </c>
      <c r="J41">
        <v>1</v>
      </c>
      <c r="K41">
        <f t="shared" si="1"/>
        <v>0</v>
      </c>
      <c r="L41">
        <v>1</v>
      </c>
      <c r="M41">
        <v>100</v>
      </c>
      <c r="N41">
        <v>0</v>
      </c>
      <c r="O41">
        <f>SUM($F$2:F41)</f>
        <v>6910</v>
      </c>
      <c r="P41" s="17">
        <f t="shared" si="0"/>
        <v>4.3415340086830678E-2</v>
      </c>
      <c r="Q41" s="1">
        <f>P41</f>
        <v>4.3415340086830678E-2</v>
      </c>
      <c r="S41">
        <f>P41*6</f>
        <v>0.26049204052098407</v>
      </c>
      <c r="T41">
        <f t="shared" si="3"/>
        <v>1.3024602026049203</v>
      </c>
      <c r="U41">
        <f>'[2]装备&amp;装备材料的投放'!$BI$37</f>
        <v>0</v>
      </c>
    </row>
  </sheetData>
  <phoneticPr fontId="1" type="noConversion"/>
  <conditionalFormatting sqref="C42:C1048576 C35:C37 C1">
    <cfRule type="duplicateValues" dxfId="974" priority="178"/>
  </conditionalFormatting>
  <conditionalFormatting sqref="D35:E37 D2:D8 D11:D12">
    <cfRule type="expression" dxfId="973" priority="410">
      <formula>AND(C2&gt;=79001,C2&lt;79900)</formula>
    </cfRule>
    <cfRule type="expression" dxfId="972" priority="411" stopIfTrue="1">
      <formula>AND(C2&gt;=70101,C2&lt;=70301)</formula>
    </cfRule>
    <cfRule type="expression" dxfId="971" priority="412" stopIfTrue="1">
      <formula>AND(C2&gt;70000,C2&lt;70004)</formula>
    </cfRule>
    <cfRule type="expression" dxfId="970" priority="413" stopIfTrue="1">
      <formula>AND(C2&gt;=70010,C2&lt;=76000)</formula>
    </cfRule>
    <cfRule type="expression" dxfId="969" priority="414">
      <formula>AND(C2&gt;70000,C2&lt;70004)</formula>
    </cfRule>
    <cfRule type="expression" dxfId="968" priority="415" stopIfTrue="1">
      <formula>OR(AND(C2&gt;=10000,C2&lt;=56999),AND(C2&gt;=57000,C2&lt;=57999))</formula>
    </cfRule>
    <cfRule type="expression" dxfId="967" priority="416" stopIfTrue="1">
      <formula>AND(C2&gt;=8000,C2&lt;=9999)</formula>
    </cfRule>
    <cfRule type="expression" dxfId="966" priority="417" stopIfTrue="1">
      <formula>AND(C2&gt;=78100,C2&lt;=78199)</formula>
    </cfRule>
    <cfRule type="expression" dxfId="965" priority="418" stopIfTrue="1">
      <formula>AND(C2&gt;=92000,C2&lt;=98999)</formula>
    </cfRule>
    <cfRule type="expression" dxfId="964" priority="419" stopIfTrue="1">
      <formula>AND(C2&gt;=78100,C2&lt;=78199)</formula>
    </cfRule>
    <cfRule type="expression" dxfId="963" priority="420" stopIfTrue="1">
      <formula>AND(C2&gt;=91000,C2&lt;=91999)</formula>
    </cfRule>
  </conditionalFormatting>
  <conditionalFormatting sqref="D23:D33">
    <cfRule type="expression" dxfId="962" priority="137">
      <formula>AND(C23&gt;=79001,C23&lt;79900)</formula>
    </cfRule>
    <cfRule type="expression" dxfId="961" priority="138" stopIfTrue="1">
      <formula>AND(C23&gt;=70101,C23&lt;=70301)</formula>
    </cfRule>
    <cfRule type="expression" dxfId="960" priority="139" stopIfTrue="1">
      <formula>AND(C23&gt;70000,C23&lt;70004)</formula>
    </cfRule>
    <cfRule type="expression" dxfId="959" priority="140" stopIfTrue="1">
      <formula>AND(C23&gt;=70010,C23&lt;=76000)</formula>
    </cfRule>
    <cfRule type="expression" dxfId="958" priority="141">
      <formula>AND(C23&gt;70000,C23&lt;70004)</formula>
    </cfRule>
    <cfRule type="expression" dxfId="957" priority="142" stopIfTrue="1">
      <formula>OR(AND(C23&gt;=10000,C23&lt;=56999),AND(C23&gt;=57000,C23&lt;=57999))</formula>
    </cfRule>
    <cfRule type="expression" dxfId="956" priority="143" stopIfTrue="1">
      <formula>AND(C23&gt;=8000,C23&lt;=9999)</formula>
    </cfRule>
    <cfRule type="expression" dxfId="955" priority="144" stopIfTrue="1">
      <formula>AND(C23&gt;=78100,C23&lt;=78199)</formula>
    </cfRule>
    <cfRule type="expression" dxfId="954" priority="145" stopIfTrue="1">
      <formula>AND(C23&gt;=92000,C23&lt;=98999)</formula>
    </cfRule>
    <cfRule type="expression" dxfId="953" priority="146" stopIfTrue="1">
      <formula>AND(C23&gt;=78100,C23&lt;=78199)</formula>
    </cfRule>
    <cfRule type="expression" dxfId="952" priority="147" stopIfTrue="1">
      <formula>AND(C23&gt;=91000,C23&lt;=91999)</formula>
    </cfRule>
  </conditionalFormatting>
  <conditionalFormatting sqref="D34">
    <cfRule type="expression" dxfId="951" priority="124">
      <formula>AND(C34&gt;=79001,C34&lt;79900)</formula>
    </cfRule>
    <cfRule type="expression" dxfId="950" priority="125" stopIfTrue="1">
      <formula>AND(C34&gt;=70101,C34&lt;=70301)</formula>
    </cfRule>
    <cfRule type="expression" dxfId="949" priority="126" stopIfTrue="1">
      <formula>AND(C34&gt;70000,C34&lt;70004)</formula>
    </cfRule>
    <cfRule type="expression" dxfId="948" priority="127" stopIfTrue="1">
      <formula>AND(C34&gt;=70010,C34&lt;=76000)</formula>
    </cfRule>
    <cfRule type="expression" dxfId="947" priority="128">
      <formula>AND(C34&gt;70000,C34&lt;70004)</formula>
    </cfRule>
    <cfRule type="expression" dxfId="946" priority="129" stopIfTrue="1">
      <formula>OR(AND(C34&gt;=10000,C34&lt;=56999),AND(C34&gt;=57000,C34&lt;=57999))</formula>
    </cfRule>
    <cfRule type="expression" dxfId="945" priority="130" stopIfTrue="1">
      <formula>AND(C34&gt;=8000,C34&lt;=9999)</formula>
    </cfRule>
    <cfRule type="expression" dxfId="944" priority="131" stopIfTrue="1">
      <formula>AND(C34&gt;=78100,C34&lt;=78199)</formula>
    </cfRule>
    <cfRule type="expression" dxfId="943" priority="132" stopIfTrue="1">
      <formula>AND(C34&gt;=92000,C34&lt;=98999)</formula>
    </cfRule>
    <cfRule type="expression" dxfId="942" priority="133" stopIfTrue="1">
      <formula>AND(C34&gt;=78100,C34&lt;=78199)</formula>
    </cfRule>
    <cfRule type="expression" dxfId="941" priority="134" stopIfTrue="1">
      <formula>AND(C34&gt;=91000,C34&lt;=91999)</formula>
    </cfRule>
  </conditionalFormatting>
  <conditionalFormatting sqref="C38:C39">
    <cfRule type="duplicateValues" dxfId="940" priority="110"/>
  </conditionalFormatting>
  <conditionalFormatting sqref="D38:E39">
    <cfRule type="expression" dxfId="939" priority="111">
      <formula>AND(C38&gt;=79001,C38&lt;79900)</formula>
    </cfRule>
    <cfRule type="expression" dxfId="938" priority="112" stopIfTrue="1">
      <formula>AND(C38&gt;=70101,C38&lt;=70301)</formula>
    </cfRule>
    <cfRule type="expression" dxfId="937" priority="113" stopIfTrue="1">
      <formula>AND(C38&gt;70000,C38&lt;70004)</formula>
    </cfRule>
    <cfRule type="expression" dxfId="936" priority="114" stopIfTrue="1">
      <formula>AND(C38&gt;=70010,C38&lt;=76000)</formula>
    </cfRule>
    <cfRule type="expression" dxfId="935" priority="115">
      <formula>AND(C38&gt;70000,C38&lt;70004)</formula>
    </cfRule>
    <cfRule type="expression" dxfId="934" priority="116" stopIfTrue="1">
      <formula>OR(AND(C38&gt;=10000,C38&lt;=56999),AND(C38&gt;=57000,C38&lt;=57999))</formula>
    </cfRule>
    <cfRule type="expression" dxfId="933" priority="117" stopIfTrue="1">
      <formula>AND(C38&gt;=8000,C38&lt;=9999)</formula>
    </cfRule>
    <cfRule type="expression" dxfId="932" priority="118" stopIfTrue="1">
      <formula>AND(C38&gt;=78100,C38&lt;=78199)</formula>
    </cfRule>
    <cfRule type="expression" dxfId="931" priority="119" stopIfTrue="1">
      <formula>AND(C38&gt;=92000,C38&lt;=98999)</formula>
    </cfRule>
    <cfRule type="expression" dxfId="930" priority="120" stopIfTrue="1">
      <formula>AND(C38&gt;=78100,C38&lt;=78199)</formula>
    </cfRule>
    <cfRule type="expression" dxfId="929" priority="121" stopIfTrue="1">
      <formula>AND(C38&gt;=91000,C38&lt;=91999)</formula>
    </cfRule>
  </conditionalFormatting>
  <conditionalFormatting sqref="D13:D17 D20:D22">
    <cfRule type="expression" dxfId="928" priority="97">
      <formula>AND(C13&gt;=79001,C13&lt;79900)</formula>
    </cfRule>
    <cfRule type="expression" dxfId="927" priority="98" stopIfTrue="1">
      <formula>AND(C13&gt;=70101,C13&lt;=70301)</formula>
    </cfRule>
    <cfRule type="expression" dxfId="926" priority="99" stopIfTrue="1">
      <formula>AND(C13&gt;70000,C13&lt;70004)</formula>
    </cfRule>
    <cfRule type="expression" dxfId="925" priority="100" stopIfTrue="1">
      <formula>AND(C13&gt;=70010,C13&lt;=76000)</formula>
    </cfRule>
    <cfRule type="expression" dxfId="924" priority="101">
      <formula>AND(C13&gt;70000,C13&lt;70004)</formula>
    </cfRule>
    <cfRule type="expression" dxfId="923" priority="102" stopIfTrue="1">
      <formula>OR(AND(C13&gt;=10000,C13&lt;=56999),AND(C13&gt;=57000,C13&lt;=57999))</formula>
    </cfRule>
    <cfRule type="expression" dxfId="922" priority="103" stopIfTrue="1">
      <formula>AND(C13&gt;=8000,C13&lt;=9999)</formula>
    </cfRule>
    <cfRule type="expression" dxfId="921" priority="104" stopIfTrue="1">
      <formula>AND(C13&gt;=78100,C13&lt;=78199)</formula>
    </cfRule>
    <cfRule type="expression" dxfId="920" priority="105" stopIfTrue="1">
      <formula>AND(C13&gt;=92000,C13&lt;=98999)</formula>
    </cfRule>
    <cfRule type="expression" dxfId="919" priority="106" stopIfTrue="1">
      <formula>AND(C13&gt;=78100,C13&lt;=78199)</formula>
    </cfRule>
    <cfRule type="expression" dxfId="918" priority="107" stopIfTrue="1">
      <formula>AND(C13&gt;=91000,C13&lt;=91999)</formula>
    </cfRule>
  </conditionalFormatting>
  <conditionalFormatting sqref="D9:D10">
    <cfRule type="expression" dxfId="917" priority="31">
      <formula>AND(C9&gt;=79001,C9&lt;79900)</formula>
    </cfRule>
    <cfRule type="expression" dxfId="916" priority="32" stopIfTrue="1">
      <formula>AND(C9&gt;=70101,C9&lt;=70301)</formula>
    </cfRule>
    <cfRule type="expression" dxfId="915" priority="33" stopIfTrue="1">
      <formula>AND(C9&gt;70000,C9&lt;70004)</formula>
    </cfRule>
    <cfRule type="expression" dxfId="914" priority="34" stopIfTrue="1">
      <formula>AND(C9&gt;=70010,C9&lt;=76000)</formula>
    </cfRule>
    <cfRule type="expression" dxfId="913" priority="35">
      <formula>AND(C9&gt;70000,C9&lt;70004)</formula>
    </cfRule>
    <cfRule type="expression" dxfId="912" priority="36" stopIfTrue="1">
      <formula>OR(AND(C9&gt;=10000,C9&lt;=56999),AND(C9&gt;=57000,C9&lt;=57999))</formula>
    </cfRule>
    <cfRule type="expression" dxfId="911" priority="37" stopIfTrue="1">
      <formula>AND(C9&gt;=8000,C9&lt;=9999)</formula>
    </cfRule>
    <cfRule type="expression" dxfId="910" priority="38" stopIfTrue="1">
      <formula>AND(C9&gt;=78100,C9&lt;=78199)</formula>
    </cfRule>
    <cfRule type="expression" dxfId="909" priority="39" stopIfTrue="1">
      <formula>AND(C9&gt;=92000,C9&lt;=98999)</formula>
    </cfRule>
    <cfRule type="expression" dxfId="908" priority="40" stopIfTrue="1">
      <formula>AND(C9&gt;=78100,C9&lt;=78199)</formula>
    </cfRule>
    <cfRule type="expression" dxfId="907" priority="41" stopIfTrue="1">
      <formula>AND(C9&gt;=91000,C9&lt;=91999)</formula>
    </cfRule>
  </conditionalFormatting>
  <conditionalFormatting sqref="P42:P1048576 P20:P39 P1:P1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C41">
    <cfRule type="duplicateValues" dxfId="906" priority="16"/>
  </conditionalFormatting>
  <conditionalFormatting sqref="D40:E41">
    <cfRule type="expression" dxfId="905" priority="17">
      <formula>AND(C40&gt;=79001,C40&lt;79900)</formula>
    </cfRule>
    <cfRule type="expression" dxfId="904" priority="18" stopIfTrue="1">
      <formula>AND(C40&gt;=70101,C40&lt;=70301)</formula>
    </cfRule>
    <cfRule type="expression" dxfId="903" priority="19" stopIfTrue="1">
      <formula>AND(C40&gt;70000,C40&lt;70004)</formula>
    </cfRule>
    <cfRule type="expression" dxfId="902" priority="20" stopIfTrue="1">
      <formula>AND(C40&gt;=70010,C40&lt;=76000)</formula>
    </cfRule>
    <cfRule type="expression" dxfId="901" priority="21">
      <formula>AND(C40&gt;70000,C40&lt;70004)</formula>
    </cfRule>
    <cfRule type="expression" dxfId="900" priority="22" stopIfTrue="1">
      <formula>OR(AND(C40&gt;=10000,C40&lt;=56999),AND(C40&gt;=57000,C40&lt;=57999))</formula>
    </cfRule>
    <cfRule type="expression" dxfId="899" priority="23" stopIfTrue="1">
      <formula>AND(C40&gt;=8000,C40&lt;=9999)</formula>
    </cfRule>
    <cfRule type="expression" dxfId="898" priority="24" stopIfTrue="1">
      <formula>AND(C40&gt;=78100,C40&lt;=78199)</formula>
    </cfRule>
    <cfRule type="expression" dxfId="897" priority="25" stopIfTrue="1">
      <formula>AND(C40&gt;=92000,C40&lt;=98999)</formula>
    </cfRule>
    <cfRule type="expression" dxfId="896" priority="26" stopIfTrue="1">
      <formula>AND(C40&gt;=78100,C40&lt;=78199)</formula>
    </cfRule>
    <cfRule type="expression" dxfId="895" priority="27" stopIfTrue="1">
      <formula>AND(C40&gt;=91000,C40&lt;=91999)</formula>
    </cfRule>
  </conditionalFormatting>
  <conditionalFormatting sqref="P40:P4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8:D19">
    <cfRule type="expression" dxfId="894" priority="3">
      <formula>AND(C18&gt;=79001,C18&lt;79900)</formula>
    </cfRule>
    <cfRule type="expression" dxfId="893" priority="4" stopIfTrue="1">
      <formula>AND(C18&gt;=70101,C18&lt;=70301)</formula>
    </cfRule>
    <cfRule type="expression" dxfId="892" priority="5" stopIfTrue="1">
      <formula>AND(C18&gt;70000,C18&lt;70004)</formula>
    </cfRule>
    <cfRule type="expression" dxfId="891" priority="6" stopIfTrue="1">
      <formula>AND(C18&gt;=70010,C18&lt;=76000)</formula>
    </cfRule>
    <cfRule type="expression" dxfId="890" priority="7">
      <formula>AND(C18&gt;70000,C18&lt;70004)</formula>
    </cfRule>
    <cfRule type="expression" dxfId="889" priority="8" stopIfTrue="1">
      <formula>OR(AND(C18&gt;=10000,C18&lt;=56999),AND(C18&gt;=57000,C18&lt;=57999))</formula>
    </cfRule>
    <cfRule type="expression" dxfId="888" priority="9" stopIfTrue="1">
      <formula>AND(C18&gt;=8000,C18&lt;=9999)</formula>
    </cfRule>
    <cfRule type="expression" dxfId="887" priority="10" stopIfTrue="1">
      <formula>AND(C18&gt;=78100,C18&lt;=78199)</formula>
    </cfRule>
    <cfRule type="expression" dxfId="886" priority="11" stopIfTrue="1">
      <formula>AND(C18&gt;=92000,C18&lt;=98999)</formula>
    </cfRule>
    <cfRule type="expression" dxfId="885" priority="12" stopIfTrue="1">
      <formula>AND(C18&gt;=78100,C18&lt;=78199)</formula>
    </cfRule>
    <cfRule type="expression" dxfId="884" priority="13" stopIfTrue="1">
      <formula>AND(C18&gt;=91000,C18&lt;=91999)</formula>
    </cfRule>
  </conditionalFormatting>
  <conditionalFormatting sqref="P18:P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</sheetPr>
  <dimension ref="A1:V7"/>
  <sheetViews>
    <sheetView workbookViewId="0">
      <selection activeCell="B4" sqref="B4"/>
    </sheetView>
  </sheetViews>
  <sheetFormatPr defaultRowHeight="13.5"/>
  <cols>
    <col min="1" max="1" width="5.5" bestFit="1" customWidth="1"/>
    <col min="2" max="2" width="7.5" bestFit="1" customWidth="1"/>
    <col min="3" max="3" width="11.625" bestFit="1" customWidth="1"/>
    <col min="4" max="4" width="18.375" bestFit="1" customWidth="1"/>
    <col min="5" max="5" width="5.5" bestFit="1" customWidth="1"/>
    <col min="6" max="7" width="9.5" bestFit="1" customWidth="1"/>
    <col min="8" max="9" width="5.5" bestFit="1" customWidth="1"/>
    <col min="10" max="10" width="6.5" bestFit="1" customWidth="1"/>
    <col min="11" max="11" width="5.5" bestFit="1" customWidth="1"/>
    <col min="12" max="12" width="7.5" bestFit="1" customWidth="1"/>
    <col min="13" max="14" width="16.125" bestFit="1" customWidth="1"/>
    <col min="15" max="15" width="8.5" bestFit="1" customWidth="1"/>
  </cols>
  <sheetData>
    <row r="1" spans="1:22">
      <c r="A1" t="s">
        <v>0</v>
      </c>
      <c r="B1" t="s">
        <v>33</v>
      </c>
      <c r="C1" t="s">
        <v>1</v>
      </c>
      <c r="D1" t="s">
        <v>2</v>
      </c>
      <c r="E1" t="s">
        <v>3</v>
      </c>
      <c r="F1" t="s">
        <v>4</v>
      </c>
      <c r="G1" t="s">
        <v>54</v>
      </c>
      <c r="H1" t="s">
        <v>5</v>
      </c>
      <c r="I1" t="s">
        <v>6</v>
      </c>
      <c r="J1" t="s">
        <v>52</v>
      </c>
      <c r="K1" s="3" t="s">
        <v>9</v>
      </c>
      <c r="L1" s="3" t="s">
        <v>13</v>
      </c>
      <c r="M1" s="3" t="s">
        <v>10</v>
      </c>
      <c r="N1" s="3" t="s">
        <v>11</v>
      </c>
      <c r="O1" s="3" t="s">
        <v>12</v>
      </c>
      <c r="Q1" s="3" t="s">
        <v>85</v>
      </c>
      <c r="U1" t="s">
        <v>71</v>
      </c>
      <c r="V1" t="s">
        <v>72</v>
      </c>
    </row>
    <row r="2" spans="1:22">
      <c r="A2">
        <v>1</v>
      </c>
      <c r="B2">
        <v>0</v>
      </c>
      <c r="C2">
        <v>80510</v>
      </c>
      <c r="D2" s="4" t="str">
        <f>IFERROR(VLOOKUP(C2,[1]引用表合并!$A$2:$B$1000,2,FALSE),"")</f>
        <v>命运石(1万)</v>
      </c>
      <c r="E2">
        <v>1</v>
      </c>
      <c r="F2">
        <v>-1</v>
      </c>
      <c r="G2" s="6" t="str">
        <f t="shared" ref="G2:G7" si="0">IF(F2&lt;0,"100%",F2/SUMIF(F:F,"&gt;0"))</f>
        <v>100%</v>
      </c>
      <c r="H2">
        <v>0</v>
      </c>
      <c r="I2">
        <v>0</v>
      </c>
      <c r="J2">
        <f>ROUNDUP(VLOOKUP(C2,[2]!游戏物价查询,7,FALSE),0)*E2*25</f>
        <v>250</v>
      </c>
      <c r="K2">
        <v>1</v>
      </c>
      <c r="L2">
        <f>I2*0.8</f>
        <v>0</v>
      </c>
      <c r="M2">
        <v>1</v>
      </c>
      <c r="N2">
        <v>100</v>
      </c>
      <c r="O2">
        <v>0</v>
      </c>
      <c r="Q2">
        <f>ROUNDUP(VLOOKUP(C2,[2]!游戏物价查询,7,FALSE),0)*E2</f>
        <v>10</v>
      </c>
      <c r="U2">
        <f>G2*E2</f>
        <v>1</v>
      </c>
    </row>
    <row r="3" spans="1:22">
      <c r="A3">
        <v>2</v>
      </c>
      <c r="B3">
        <v>0</v>
      </c>
      <c r="C3">
        <v>80110</v>
      </c>
      <c r="D3" s="4" t="str">
        <f>IFERROR(VLOOKUP(C3,[1]引用表合并!$A$2:$B$1000,2,FALSE),"")</f>
        <v>龙魂币(500)</v>
      </c>
      <c r="E3">
        <v>1</v>
      </c>
      <c r="F3">
        <v>-1</v>
      </c>
      <c r="G3" s="6" t="str">
        <f t="shared" si="0"/>
        <v>100%</v>
      </c>
      <c r="H3">
        <v>0</v>
      </c>
      <c r="I3">
        <v>0</v>
      </c>
      <c r="J3">
        <f>ROUNDUP(VLOOKUP(C3,[2]!游戏物价查询,7,FALSE),0)*E3*25</f>
        <v>500</v>
      </c>
      <c r="K3">
        <v>1</v>
      </c>
      <c r="L3">
        <f>I3*0.8</f>
        <v>0</v>
      </c>
      <c r="M3">
        <v>1</v>
      </c>
      <c r="N3">
        <v>100</v>
      </c>
      <c r="O3">
        <v>0</v>
      </c>
      <c r="Q3">
        <f>ROUNDUP(VLOOKUP(C3,[2]!游戏物价查询,7,FALSE),0)*E3</f>
        <v>20</v>
      </c>
      <c r="U3">
        <f>G3*E3</f>
        <v>1</v>
      </c>
    </row>
    <row r="4" spans="1:22">
      <c r="A4">
        <v>3</v>
      </c>
      <c r="B4">
        <v>0</v>
      </c>
      <c r="C4">
        <v>91200</v>
      </c>
      <c r="D4" s="4" t="str">
        <f>IFERROR(VLOOKUP(C4,[1]引用表合并!$A$2:$B$1000,2,FALSE),"")</f>
        <v>马仔经验合剂</v>
      </c>
      <c r="E4">
        <v>5</v>
      </c>
      <c r="F4">
        <v>-1</v>
      </c>
      <c r="G4" s="6" t="str">
        <f t="shared" si="0"/>
        <v>100%</v>
      </c>
      <c r="H4">
        <v>0</v>
      </c>
      <c r="I4">
        <v>0</v>
      </c>
      <c r="J4">
        <f>ROUNDUP(VLOOKUP(C4,[2]!游戏物价查询,7,FALSE),0)*E4*25</f>
        <v>750</v>
      </c>
      <c r="K4">
        <v>1</v>
      </c>
      <c r="L4">
        <f>I4*0.8</f>
        <v>0</v>
      </c>
      <c r="M4">
        <v>1</v>
      </c>
      <c r="N4">
        <v>100</v>
      </c>
      <c r="O4">
        <v>0</v>
      </c>
      <c r="Q4">
        <f>ROUNDUP(VLOOKUP(C4,[2]!游戏物价查询,7,FALSE),0)*E4</f>
        <v>30</v>
      </c>
      <c r="U4">
        <f t="shared" ref="U4:U5" si="1">G4*E4</f>
        <v>5</v>
      </c>
    </row>
    <row r="5" spans="1:22">
      <c r="A5">
        <v>4</v>
      </c>
      <c r="B5">
        <v>0</v>
      </c>
      <c r="C5">
        <v>89200</v>
      </c>
      <c r="D5" s="4" t="str">
        <f>IFERROR(VLOOKUP(C5,[1]引用表合并!$A$2:$B$1000,2,FALSE),"")</f>
        <v>中级体力药水</v>
      </c>
      <c r="E5">
        <v>1</v>
      </c>
      <c r="F5">
        <v>-1</v>
      </c>
      <c r="G5" s="6" t="str">
        <f t="shared" si="0"/>
        <v>100%</v>
      </c>
      <c r="H5">
        <v>0</v>
      </c>
      <c r="I5">
        <v>0</v>
      </c>
      <c r="J5">
        <f>ROUNDUP(VLOOKUP(C5,[2]!游戏物价查询,7,FALSE),0)*E5*50</f>
        <v>1000</v>
      </c>
      <c r="K5">
        <v>1</v>
      </c>
      <c r="L5">
        <f t="shared" ref="L5" si="2">I5*0.8</f>
        <v>0</v>
      </c>
      <c r="M5">
        <v>1</v>
      </c>
      <c r="N5">
        <v>100</v>
      </c>
      <c r="O5">
        <v>0</v>
      </c>
      <c r="Q5">
        <f>ROUNDUP(VLOOKUP(C5,[2]!游戏物价查询,7,FALSE),0)*E5</f>
        <v>20</v>
      </c>
      <c r="U5">
        <f t="shared" si="1"/>
        <v>1</v>
      </c>
    </row>
    <row r="6" spans="1:22">
      <c r="A6">
        <v>5</v>
      </c>
      <c r="B6">
        <v>0</v>
      </c>
      <c r="C6">
        <v>85200</v>
      </c>
      <c r="D6" s="4" t="str">
        <f>IFERROR(VLOOKUP(C6,[1]引用表合并!$A$2:$B$1000,2,FALSE),"")</f>
        <v>高级装备升级石</v>
      </c>
      <c r="E6">
        <v>5</v>
      </c>
      <c r="F6">
        <v>-1</v>
      </c>
      <c r="G6" s="6" t="str">
        <f t="shared" si="0"/>
        <v>100%</v>
      </c>
      <c r="H6">
        <v>0</v>
      </c>
      <c r="I6">
        <v>0</v>
      </c>
      <c r="J6">
        <f>ROUNDUP(VLOOKUP(C6,[2]!游戏物价查询,7,FALSE),0)*E6*25</f>
        <v>1250</v>
      </c>
      <c r="K6">
        <v>1</v>
      </c>
      <c r="L6">
        <f>I6*0.8</f>
        <v>0</v>
      </c>
      <c r="M6">
        <v>1</v>
      </c>
      <c r="N6">
        <v>100</v>
      </c>
      <c r="O6">
        <v>0</v>
      </c>
      <c r="Q6">
        <f>ROUNDUP(VLOOKUP(C6,[2]!游戏物价查询,7,FALSE),0)*E6</f>
        <v>50</v>
      </c>
      <c r="U6">
        <f>G6*E6</f>
        <v>5</v>
      </c>
    </row>
    <row r="7" spans="1:22">
      <c r="A7">
        <v>6</v>
      </c>
      <c r="B7">
        <v>0</v>
      </c>
      <c r="C7">
        <v>70101</v>
      </c>
      <c r="D7" s="4" t="str">
        <f>IFERROR(VLOOKUP(C7,[1]引用表合并!$A$2:$B$1000,2,FALSE),"")</f>
        <v>初级升星石</v>
      </c>
      <c r="E7">
        <v>10</v>
      </c>
      <c r="F7">
        <v>-1</v>
      </c>
      <c r="G7" s="6" t="str">
        <f t="shared" si="0"/>
        <v>100%</v>
      </c>
      <c r="H7">
        <v>0</v>
      </c>
      <c r="I7">
        <v>0</v>
      </c>
      <c r="J7">
        <f>ROUNDUP(VLOOKUP(C7,[2]!游戏物价查询,7,FALSE),0)*E7*50</f>
        <v>1000</v>
      </c>
      <c r="K7">
        <v>1</v>
      </c>
      <c r="L7">
        <f t="shared" ref="L7" si="3">I7*0.8</f>
        <v>0</v>
      </c>
      <c r="M7">
        <v>1</v>
      </c>
      <c r="N7">
        <v>100</v>
      </c>
      <c r="O7">
        <v>0</v>
      </c>
      <c r="Q7">
        <f>ROUNDUP(VLOOKUP(C7,[2]!游戏物价查询,7,FALSE),0)*E7</f>
        <v>20</v>
      </c>
      <c r="U7">
        <f>G7*E7</f>
        <v>10</v>
      </c>
    </row>
  </sheetData>
  <phoneticPr fontId="1" type="noConversion"/>
  <conditionalFormatting sqref="C1">
    <cfRule type="duplicateValues" dxfId="883" priority="45"/>
  </conditionalFormatting>
  <conditionalFormatting sqref="D4:D7 D2">
    <cfRule type="expression" dxfId="882" priority="275">
      <formula>AND(C2&gt;=79001,C2&lt;79900)</formula>
    </cfRule>
    <cfRule type="expression" dxfId="881" priority="276" stopIfTrue="1">
      <formula>AND(C2&gt;=70101,C2&lt;=70301)</formula>
    </cfRule>
    <cfRule type="expression" dxfId="880" priority="277" stopIfTrue="1">
      <formula>AND(C2&gt;70000,C2&lt;70004)</formula>
    </cfRule>
    <cfRule type="expression" dxfId="879" priority="278" stopIfTrue="1">
      <formula>AND(C2&gt;=70010,C2&lt;=76000)</formula>
    </cfRule>
    <cfRule type="expression" dxfId="878" priority="279">
      <formula>AND(C2&gt;70000,C2&lt;70004)</formula>
    </cfRule>
    <cfRule type="expression" dxfId="877" priority="280" stopIfTrue="1">
      <formula>OR(AND(C2&gt;=10000,C2&lt;=56999),AND(C2&gt;=57000,C2&lt;=57999))</formula>
    </cfRule>
    <cfRule type="expression" dxfId="876" priority="281" stopIfTrue="1">
      <formula>AND(C2&gt;=8000,C2&lt;=9999)</formula>
    </cfRule>
    <cfRule type="expression" dxfId="875" priority="282" stopIfTrue="1">
      <formula>AND(C2&gt;=78100,C2&lt;=78199)</formula>
    </cfRule>
    <cfRule type="expression" dxfId="874" priority="283" stopIfTrue="1">
      <formula>AND(C2&gt;=92000,C2&lt;=98999)</formula>
    </cfRule>
    <cfRule type="expression" dxfId="873" priority="284" stopIfTrue="1">
      <formula>AND(C2&gt;=78100,C2&lt;=78199)</formula>
    </cfRule>
    <cfRule type="expression" dxfId="872" priority="285" stopIfTrue="1">
      <formula>AND(C2&gt;=91000,C2&lt;=91999)</formula>
    </cfRule>
  </conditionalFormatting>
  <conditionalFormatting sqref="C4">
    <cfRule type="duplicateValues" dxfId="871" priority="17"/>
  </conditionalFormatting>
  <conditionalFormatting sqref="D3">
    <cfRule type="expression" dxfId="870" priority="3">
      <formula>AND(C3&gt;=79001,C3&lt;79900)</formula>
    </cfRule>
    <cfRule type="expression" dxfId="869" priority="4" stopIfTrue="1">
      <formula>AND(C3&gt;=70101,C3&lt;=70301)</formula>
    </cfRule>
    <cfRule type="expression" dxfId="868" priority="5" stopIfTrue="1">
      <formula>AND(C3&gt;70000,C3&lt;70004)</formula>
    </cfRule>
    <cfRule type="expression" dxfId="867" priority="6" stopIfTrue="1">
      <formula>AND(C3&gt;=70010,C3&lt;=76000)</formula>
    </cfRule>
    <cfRule type="expression" dxfId="866" priority="7">
      <formula>AND(C3&gt;70000,C3&lt;70004)</formula>
    </cfRule>
    <cfRule type="expression" dxfId="865" priority="8" stopIfTrue="1">
      <formula>OR(AND(C3&gt;=10000,C3&lt;=56999),AND(C3&gt;=57000,C3&lt;=57999))</formula>
    </cfRule>
    <cfRule type="expression" dxfId="864" priority="9" stopIfTrue="1">
      <formula>AND(C3&gt;=8000,C3&lt;=9999)</formula>
    </cfRule>
    <cfRule type="expression" dxfId="863" priority="10" stopIfTrue="1">
      <formula>AND(C3&gt;=78100,C3&lt;=78199)</formula>
    </cfRule>
    <cfRule type="expression" dxfId="862" priority="11" stopIfTrue="1">
      <formula>AND(C3&gt;=92000,C3&lt;=98999)</formula>
    </cfRule>
    <cfRule type="expression" dxfId="861" priority="12" stopIfTrue="1">
      <formula>AND(C3&gt;=78100,C3&lt;=78199)</formula>
    </cfRule>
    <cfRule type="expression" dxfId="860" priority="13" stopIfTrue="1">
      <formula>AND(C3&gt;=91000,C3&lt;=91999)</formula>
    </cfRule>
  </conditionalFormatting>
  <conditionalFormatting sqref="C3">
    <cfRule type="duplicateValues" dxfId="859" priority="2"/>
  </conditionalFormatting>
  <conditionalFormatting sqref="G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A7">
    <cfRule type="duplicateValues" dxfId="858" priority="1"/>
  </conditionalFormatting>
  <conditionalFormatting sqref="C7">
    <cfRule type="duplicateValues" dxfId="857" priority="1192"/>
  </conditionalFormatting>
  <conditionalFormatting sqref="C6">
    <cfRule type="duplicateValues" dxfId="856" priority="1216"/>
  </conditionalFormatting>
  <conditionalFormatting sqref="G4:G7 G2">
    <cfRule type="colorScale" priority="2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T184"/>
  <sheetViews>
    <sheetView workbookViewId="0">
      <pane xSplit="4" ySplit="1" topLeftCell="E2" activePane="bottomRight" state="frozenSplit"/>
      <selection pane="topRight" activeCell="E1" sqref="E1"/>
      <selection pane="bottomLeft" activeCell="A2" sqref="A2"/>
      <selection pane="bottomRight" activeCell="I22" sqref="I22"/>
    </sheetView>
  </sheetViews>
  <sheetFormatPr defaultRowHeight="13.5"/>
  <cols>
    <col min="1" max="1" width="3.5" bestFit="1" customWidth="1"/>
    <col min="2" max="3" width="7.5" bestFit="1" customWidth="1"/>
    <col min="4" max="4" width="18.375" bestFit="1" customWidth="1"/>
    <col min="5" max="5" width="9" customWidth="1"/>
    <col min="6" max="6" width="8.625" customWidth="1"/>
    <col min="7" max="8" width="9.5" bestFit="1" customWidth="1"/>
    <col min="9" max="9" width="8.5" bestFit="1" customWidth="1"/>
    <col min="10" max="10" width="9.5" bestFit="1" customWidth="1"/>
    <col min="12" max="12" width="9" bestFit="1" customWidth="1"/>
  </cols>
  <sheetData>
    <row r="1" spans="1:20">
      <c r="A1" t="s">
        <v>14</v>
      </c>
      <c r="B1" t="s">
        <v>15</v>
      </c>
      <c r="C1" t="s">
        <v>16</v>
      </c>
      <c r="D1" t="s">
        <v>31</v>
      </c>
      <c r="E1" t="s">
        <v>38</v>
      </c>
      <c r="F1" t="s">
        <v>17</v>
      </c>
      <c r="G1" t="s">
        <v>18</v>
      </c>
      <c r="H1" t="s">
        <v>19</v>
      </c>
      <c r="I1" t="s">
        <v>20</v>
      </c>
      <c r="J1" t="s">
        <v>21</v>
      </c>
      <c r="L1" t="s">
        <v>103</v>
      </c>
      <c r="M1" t="s">
        <v>50</v>
      </c>
      <c r="N1" t="s">
        <v>51</v>
      </c>
      <c r="O1" t="s">
        <v>58</v>
      </c>
      <c r="S1" t="s">
        <v>75</v>
      </c>
      <c r="T1" t="s">
        <v>76</v>
      </c>
    </row>
    <row r="2" spans="1:20">
      <c r="A2">
        <v>1</v>
      </c>
      <c r="B2">
        <v>0</v>
      </c>
      <c r="C2" s="51">
        <v>92131</v>
      </c>
      <c r="D2" s="4" t="str">
        <f>IFERROR(VLOOKUP(C2,[1]引用表合并!$A$2:$B$1000,2,FALSE),"")</f>
        <v>幸运戒指</v>
      </c>
      <c r="E2">
        <v>1</v>
      </c>
      <c r="F2">
        <v>150</v>
      </c>
      <c r="G2">
        <v>1</v>
      </c>
      <c r="H2">
        <v>100</v>
      </c>
      <c r="I2">
        <v>0</v>
      </c>
      <c r="J2">
        <v>1</v>
      </c>
      <c r="K2">
        <f>SUM($F$2:F2)</f>
        <v>150</v>
      </c>
      <c r="L2" s="5">
        <f>VLOOKUP(C2,[2]!游戏物价查询,7,FALSE)*E2</f>
        <v>4</v>
      </c>
      <c r="M2">
        <f>N2+2</f>
        <v>2</v>
      </c>
      <c r="N2">
        <f>VLOOKUP(C2,[3]!马仔宝物属性,6,FALSE)</f>
        <v>0</v>
      </c>
      <c r="O2">
        <f t="shared" ref="O2:O33" si="0">F2/SUM(F:F)</f>
        <v>1.4326647564469915E-2</v>
      </c>
    </row>
    <row r="3" spans="1:20">
      <c r="A3">
        <v>2</v>
      </c>
      <c r="B3">
        <v>0</v>
      </c>
      <c r="C3" s="51">
        <v>92011</v>
      </c>
      <c r="D3" s="4" t="str">
        <f>IFERROR(VLOOKUP(C3,[1]引用表合并!$A$2:$B$1000,2,FALSE),"")</f>
        <v>亚诺</v>
      </c>
      <c r="E3">
        <v>1</v>
      </c>
      <c r="F3">
        <v>150</v>
      </c>
      <c r="G3">
        <v>1</v>
      </c>
      <c r="H3">
        <v>100</v>
      </c>
      <c r="I3">
        <v>0</v>
      </c>
      <c r="J3">
        <v>1</v>
      </c>
      <c r="K3">
        <f>SUM($F$2:F3)</f>
        <v>300</v>
      </c>
      <c r="L3" s="5">
        <f>VLOOKUP(C3,[2]!游戏物价查询,7,FALSE)*E3</f>
        <v>4</v>
      </c>
      <c r="M3">
        <f t="shared" ref="M3:M18" si="1">N3+2</f>
        <v>2</v>
      </c>
      <c r="N3">
        <f>VLOOKUP(C3,[3]!马仔宝物属性,6,FALSE)</f>
        <v>0</v>
      </c>
      <c r="O3">
        <f t="shared" si="0"/>
        <v>1.4326647564469915E-2</v>
      </c>
    </row>
    <row r="4" spans="1:20">
      <c r="A4">
        <v>3</v>
      </c>
      <c r="B4">
        <v>0</v>
      </c>
      <c r="C4" s="51">
        <v>92228</v>
      </c>
      <c r="D4" s="4" t="str">
        <f>IFERROR(VLOOKUP(C4,[1]引用表合并!$A$2:$B$1000,2,FALSE),"")</f>
        <v>银色手环</v>
      </c>
      <c r="E4">
        <v>1</v>
      </c>
      <c r="F4">
        <v>150</v>
      </c>
      <c r="G4">
        <v>1</v>
      </c>
      <c r="H4">
        <v>100</v>
      </c>
      <c r="I4">
        <v>0</v>
      </c>
      <c r="J4">
        <v>1</v>
      </c>
      <c r="K4">
        <f>SUM($F$2:F4)</f>
        <v>450</v>
      </c>
      <c r="L4" s="5">
        <f>VLOOKUP(C4,[2]!游戏物价查询,7,FALSE)*E4</f>
        <v>2</v>
      </c>
      <c r="M4">
        <f t="shared" si="1"/>
        <v>2</v>
      </c>
      <c r="N4">
        <f>VLOOKUP(C4,[3]!马仔宝物属性,6,FALSE)</f>
        <v>0</v>
      </c>
      <c r="O4">
        <f t="shared" si="0"/>
        <v>1.4326647564469915E-2</v>
      </c>
    </row>
    <row r="5" spans="1:20">
      <c r="A5">
        <v>4</v>
      </c>
      <c r="B5">
        <v>0</v>
      </c>
      <c r="C5" s="51">
        <v>92232</v>
      </c>
      <c r="D5" s="4" t="str">
        <f>IFERROR(VLOOKUP(C5,[1]引用表合并!$A$2:$B$1000,2,FALSE),"")</f>
        <v>鎏金手环</v>
      </c>
      <c r="E5">
        <v>1</v>
      </c>
      <c r="F5">
        <v>150</v>
      </c>
      <c r="G5">
        <v>1</v>
      </c>
      <c r="H5">
        <v>100</v>
      </c>
      <c r="I5">
        <v>0</v>
      </c>
      <c r="J5">
        <v>1</v>
      </c>
      <c r="K5">
        <f>SUM($F$2:F5)</f>
        <v>600</v>
      </c>
      <c r="L5" s="5">
        <f>VLOOKUP(C5,[2]!游戏物价查询,7,FALSE)*E5</f>
        <v>4</v>
      </c>
      <c r="M5">
        <f t="shared" si="1"/>
        <v>2</v>
      </c>
      <c r="N5">
        <f>VLOOKUP(C5,[3]!马仔宝物属性,6,FALSE)</f>
        <v>0</v>
      </c>
      <c r="O5">
        <f t="shared" si="0"/>
        <v>1.4326647564469915E-2</v>
      </c>
    </row>
    <row r="6" spans="1:20">
      <c r="A6">
        <v>5</v>
      </c>
      <c r="B6">
        <v>0</v>
      </c>
      <c r="C6" s="51">
        <v>92121</v>
      </c>
      <c r="D6" s="4" t="str">
        <f>IFERROR(VLOOKUP(C6,[1]引用表合并!$A$2:$B$1000,2,FALSE),"")</f>
        <v>镀金耳钉</v>
      </c>
      <c r="E6">
        <v>1</v>
      </c>
      <c r="F6">
        <v>150</v>
      </c>
      <c r="G6">
        <v>1</v>
      </c>
      <c r="H6">
        <v>100</v>
      </c>
      <c r="I6">
        <v>0</v>
      </c>
      <c r="J6">
        <v>1</v>
      </c>
      <c r="K6">
        <f>SUM($F$2:F6)</f>
        <v>750</v>
      </c>
      <c r="L6" s="5">
        <f>VLOOKUP(C6,[2]!游戏物价查询,7,FALSE)*E6</f>
        <v>4</v>
      </c>
      <c r="M6">
        <f t="shared" si="1"/>
        <v>2</v>
      </c>
      <c r="N6">
        <f>VLOOKUP(C6,[3]!马仔宝物属性,6,FALSE)</f>
        <v>0</v>
      </c>
      <c r="O6">
        <f t="shared" si="0"/>
        <v>1.4326647564469915E-2</v>
      </c>
    </row>
    <row r="7" spans="1:20">
      <c r="A7">
        <v>6</v>
      </c>
      <c r="B7">
        <v>0</v>
      </c>
      <c r="C7" s="51">
        <v>92243</v>
      </c>
      <c r="D7" s="4" t="str">
        <f>IFERROR(VLOOKUP(C7,[1]引用表合并!$A$2:$B$1000,2,FALSE),"")</f>
        <v>诅咒项链</v>
      </c>
      <c r="E7">
        <v>1</v>
      </c>
      <c r="F7">
        <v>150</v>
      </c>
      <c r="G7">
        <v>1</v>
      </c>
      <c r="H7">
        <v>100</v>
      </c>
      <c r="I7">
        <v>0</v>
      </c>
      <c r="J7">
        <v>1</v>
      </c>
      <c r="K7">
        <f>SUM($F$2:F7)</f>
        <v>900</v>
      </c>
      <c r="L7" s="5">
        <f>VLOOKUP(C7,[2]!游戏物价查询,7,FALSE)*E7</f>
        <v>2</v>
      </c>
      <c r="M7">
        <f t="shared" si="1"/>
        <v>2</v>
      </c>
      <c r="N7">
        <f>VLOOKUP(C7,[3]!马仔宝物属性,6,FALSE)</f>
        <v>0</v>
      </c>
      <c r="O7">
        <f t="shared" si="0"/>
        <v>1.4326647564469915E-2</v>
      </c>
    </row>
    <row r="8" spans="1:20">
      <c r="A8">
        <v>7</v>
      </c>
      <c r="B8">
        <v>0</v>
      </c>
      <c r="C8" s="51">
        <v>92244</v>
      </c>
      <c r="D8" s="4" t="str">
        <f>IFERROR(VLOOKUP(C8,[1]引用表合并!$A$2:$B$1000,2,FALSE),"")</f>
        <v>金饰项链</v>
      </c>
      <c r="E8">
        <v>1</v>
      </c>
      <c r="F8">
        <v>150</v>
      </c>
      <c r="G8">
        <v>1</v>
      </c>
      <c r="H8">
        <v>100</v>
      </c>
      <c r="I8">
        <v>0</v>
      </c>
      <c r="J8">
        <v>1</v>
      </c>
      <c r="K8">
        <f>SUM($F$2:F8)</f>
        <v>1050</v>
      </c>
      <c r="L8" s="5">
        <f>VLOOKUP(C8,[2]!游戏物价查询,7,FALSE)*E8</f>
        <v>4</v>
      </c>
      <c r="M8">
        <f t="shared" si="1"/>
        <v>2</v>
      </c>
      <c r="N8">
        <f>VLOOKUP(C8,[3]!马仔宝物属性,6,FALSE)</f>
        <v>0</v>
      </c>
      <c r="O8">
        <f t="shared" si="0"/>
        <v>1.4326647564469915E-2</v>
      </c>
    </row>
    <row r="9" spans="1:20">
      <c r="A9">
        <v>8</v>
      </c>
      <c r="B9">
        <v>0</v>
      </c>
      <c r="C9" s="51">
        <v>92263</v>
      </c>
      <c r="D9" s="4" t="str">
        <f>IFERROR(VLOOKUP(C9,[1]引用表合并!$A$2:$B$1000,2,FALSE),"")</f>
        <v>银针手表</v>
      </c>
      <c r="E9">
        <v>1</v>
      </c>
      <c r="F9">
        <v>150</v>
      </c>
      <c r="G9">
        <v>1</v>
      </c>
      <c r="H9">
        <v>100</v>
      </c>
      <c r="I9">
        <v>0</v>
      </c>
      <c r="J9">
        <v>1</v>
      </c>
      <c r="K9">
        <f>SUM($F$2:F9)</f>
        <v>1200</v>
      </c>
      <c r="L9" s="5">
        <f>VLOOKUP(C9,[2]!游戏物价查询,7,FALSE)*E9</f>
        <v>4</v>
      </c>
      <c r="M9">
        <f t="shared" si="1"/>
        <v>2</v>
      </c>
      <c r="N9">
        <f>VLOOKUP(C9,[3]!马仔宝物属性,6,FALSE)</f>
        <v>0</v>
      </c>
      <c r="O9">
        <f t="shared" si="0"/>
        <v>1.4326647564469915E-2</v>
      </c>
    </row>
    <row r="10" spans="1:20">
      <c r="A10">
        <v>9</v>
      </c>
      <c r="B10">
        <v>0</v>
      </c>
      <c r="C10" s="51">
        <v>92277</v>
      </c>
      <c r="D10" s="4" t="str">
        <f>IFERROR(VLOOKUP(C10,[1]引用表合并!$A$2:$B$1000,2,FALSE),"")</f>
        <v>冬利</v>
      </c>
      <c r="E10">
        <v>1</v>
      </c>
      <c r="F10">
        <v>150</v>
      </c>
      <c r="G10">
        <v>1</v>
      </c>
      <c r="H10">
        <v>100</v>
      </c>
      <c r="I10">
        <v>0</v>
      </c>
      <c r="J10">
        <v>1</v>
      </c>
      <c r="K10">
        <f>SUM($F$2:F10)</f>
        <v>1350</v>
      </c>
      <c r="L10" s="5">
        <f>VLOOKUP(C10,[2]!游戏物价查询,7,FALSE)*E10</f>
        <v>2</v>
      </c>
      <c r="M10">
        <f t="shared" si="1"/>
        <v>2</v>
      </c>
      <c r="N10">
        <f>VLOOKUP(C10,[3]!马仔宝物属性,6,FALSE)</f>
        <v>0</v>
      </c>
      <c r="O10">
        <f t="shared" si="0"/>
        <v>1.4326647564469915E-2</v>
      </c>
      <c r="P10">
        <f>SUM(O2:O10)</f>
        <v>0.12893982808022925</v>
      </c>
      <c r="Q10">
        <f>P10/P20</f>
        <v>0.67499999999999993</v>
      </c>
      <c r="S10">
        <f>SUMPRODUCT(O2:O10,E2:E10)</f>
        <v>0.12893982808022925</v>
      </c>
      <c r="T10">
        <f>[2]马仔宝物投放!$M$40</f>
        <v>0.35890671964619558</v>
      </c>
    </row>
    <row r="11" spans="1:20">
      <c r="A11">
        <v>10</v>
      </c>
      <c r="B11">
        <v>0</v>
      </c>
      <c r="C11" s="48">
        <v>93233</v>
      </c>
      <c r="D11" s="4" t="str">
        <f>IFERROR(VLOOKUP(C11,[1]引用表合并!$A$2:$B$1000,2,FALSE),"")</f>
        <v>白金手环碎片</v>
      </c>
      <c r="E11">
        <v>1</v>
      </c>
      <c r="F11">
        <v>200</v>
      </c>
      <c r="G11">
        <v>1</v>
      </c>
      <c r="H11">
        <v>100</v>
      </c>
      <c r="I11">
        <v>0</v>
      </c>
      <c r="J11">
        <v>1</v>
      </c>
      <c r="K11">
        <f>SUM($F$2:F11)</f>
        <v>1550</v>
      </c>
      <c r="L11" s="5">
        <f>VLOOKUP(C11,[2]!游戏物价查询,7,FALSE)*E11</f>
        <v>2</v>
      </c>
      <c r="M11">
        <f t="shared" si="1"/>
        <v>3</v>
      </c>
      <c r="N11">
        <f>VLOOKUP(C11,[3]!马仔宝物属性,6,FALSE)</f>
        <v>1</v>
      </c>
      <c r="O11">
        <f t="shared" si="0"/>
        <v>1.9102196752626553E-2</v>
      </c>
    </row>
    <row r="12" spans="1:20">
      <c r="A12">
        <v>11</v>
      </c>
      <c r="B12">
        <v>0</v>
      </c>
      <c r="C12" s="48">
        <v>93122</v>
      </c>
      <c r="D12" s="4" t="str">
        <f>IFERROR(VLOOKUP(C12,[1]引用表合并!$A$2:$B$1000,2,FALSE),"")</f>
        <v>银饰耳钉碎片</v>
      </c>
      <c r="E12">
        <v>1</v>
      </c>
      <c r="F12">
        <v>200</v>
      </c>
      <c r="G12">
        <v>1</v>
      </c>
      <c r="H12">
        <v>100</v>
      </c>
      <c r="I12">
        <v>0</v>
      </c>
      <c r="J12">
        <v>1</v>
      </c>
      <c r="K12">
        <f>SUM($F$2:F12)</f>
        <v>1750</v>
      </c>
      <c r="L12" s="5">
        <f>VLOOKUP(C12,[2]!游戏物价查询,7,FALSE)*E12</f>
        <v>2</v>
      </c>
      <c r="M12">
        <f t="shared" si="1"/>
        <v>3</v>
      </c>
      <c r="N12">
        <f>VLOOKUP(C12,[3]!马仔宝物属性,6,FALSE)</f>
        <v>1</v>
      </c>
      <c r="O12">
        <f t="shared" si="0"/>
        <v>1.9102196752626553E-2</v>
      </c>
    </row>
    <row r="13" spans="1:20">
      <c r="A13">
        <v>12</v>
      </c>
      <c r="B13">
        <v>0</v>
      </c>
      <c r="C13" s="48">
        <v>93141</v>
      </c>
      <c r="D13" s="4" t="str">
        <f>IFERROR(VLOOKUP(C13,[1]引用表合并!$A$2:$B$1000,2,FALSE),"")</f>
        <v>白银戒指碎片</v>
      </c>
      <c r="E13">
        <v>1</v>
      </c>
      <c r="F13">
        <v>200</v>
      </c>
      <c r="G13">
        <v>1</v>
      </c>
      <c r="H13">
        <v>100</v>
      </c>
      <c r="I13">
        <v>0</v>
      </c>
      <c r="J13">
        <v>1</v>
      </c>
      <c r="K13">
        <f>SUM($F$2:F13)</f>
        <v>1950</v>
      </c>
      <c r="L13" s="5">
        <f>VLOOKUP(C13,[2]!游戏物价查询,7,FALSE)*E13</f>
        <v>2</v>
      </c>
      <c r="M13">
        <f t="shared" si="1"/>
        <v>3</v>
      </c>
      <c r="N13">
        <f>VLOOKUP(C13,[3]!马仔宝物属性,6,FALSE)</f>
        <v>1</v>
      </c>
      <c r="O13">
        <f t="shared" si="0"/>
        <v>1.9102196752626553E-2</v>
      </c>
    </row>
    <row r="14" spans="1:20">
      <c r="A14">
        <v>13</v>
      </c>
      <c r="B14">
        <v>0</v>
      </c>
      <c r="C14" s="48">
        <v>93245</v>
      </c>
      <c r="D14" s="4" t="str">
        <f>IFERROR(VLOOKUP(C14,[1]引用表合并!$A$2:$B$1000,2,FALSE),"")</f>
        <v>水晶项链碎片</v>
      </c>
      <c r="E14">
        <v>1</v>
      </c>
      <c r="F14">
        <v>200</v>
      </c>
      <c r="G14">
        <v>1</v>
      </c>
      <c r="H14">
        <v>100</v>
      </c>
      <c r="I14">
        <v>0</v>
      </c>
      <c r="J14">
        <v>1</v>
      </c>
      <c r="K14">
        <f>SUM($F$2:F14)</f>
        <v>2150</v>
      </c>
      <c r="L14" s="5">
        <f>VLOOKUP(C14,[2]!游戏物价查询,7,FALSE)*E14</f>
        <v>2</v>
      </c>
      <c r="M14">
        <f t="shared" si="1"/>
        <v>3</v>
      </c>
      <c r="N14">
        <f>VLOOKUP(C14,[3]!马仔宝物属性,6,FALSE)</f>
        <v>1</v>
      </c>
      <c r="O14">
        <f t="shared" si="0"/>
        <v>1.9102196752626553E-2</v>
      </c>
    </row>
    <row r="15" spans="1:20">
      <c r="A15">
        <v>14</v>
      </c>
      <c r="B15">
        <v>0</v>
      </c>
      <c r="C15" s="48">
        <v>93251</v>
      </c>
      <c r="D15" s="4" t="str">
        <f>IFERROR(VLOOKUP(C15,[1]引用表合并!$A$2:$B$1000,2,FALSE),"")</f>
        <v>红石项链碎片</v>
      </c>
      <c r="E15">
        <v>1</v>
      </c>
      <c r="F15">
        <v>200</v>
      </c>
      <c r="G15">
        <v>1</v>
      </c>
      <c r="H15">
        <v>100</v>
      </c>
      <c r="I15">
        <v>0</v>
      </c>
      <c r="J15">
        <v>1</v>
      </c>
      <c r="K15">
        <f>SUM($F$2:F15)</f>
        <v>2350</v>
      </c>
      <c r="L15" s="5">
        <f>VLOOKUP(C15,[2]!游戏物价查询,7,FALSE)*E15</f>
        <v>2</v>
      </c>
      <c r="M15">
        <f t="shared" si="1"/>
        <v>3</v>
      </c>
      <c r="N15">
        <f>VLOOKUP(C15,[3]!马仔宝物属性,6,FALSE)</f>
        <v>1</v>
      </c>
      <c r="O15">
        <f t="shared" si="0"/>
        <v>1.9102196752626553E-2</v>
      </c>
    </row>
    <row r="16" spans="1:20">
      <c r="A16">
        <v>15</v>
      </c>
      <c r="B16">
        <v>0</v>
      </c>
      <c r="C16" s="48">
        <v>93264</v>
      </c>
      <c r="D16" s="4" t="str">
        <f>IFERROR(VLOOKUP(C16,[1]引用表合并!$A$2:$B$1000,2,FALSE),"")</f>
        <v>越野手表碎片</v>
      </c>
      <c r="E16">
        <v>1</v>
      </c>
      <c r="F16">
        <v>200</v>
      </c>
      <c r="G16">
        <v>1</v>
      </c>
      <c r="H16">
        <v>100</v>
      </c>
      <c r="I16">
        <v>0</v>
      </c>
      <c r="J16">
        <v>1</v>
      </c>
      <c r="K16">
        <f>SUM($F$2:F16)</f>
        <v>2550</v>
      </c>
      <c r="L16" s="5">
        <f>VLOOKUP(C16,[2]!游戏物价查询,7,FALSE)*E16</f>
        <v>2</v>
      </c>
      <c r="M16">
        <f t="shared" si="1"/>
        <v>3</v>
      </c>
      <c r="N16">
        <f>VLOOKUP(C16,[3]!马仔宝物属性,6,FALSE)</f>
        <v>1</v>
      </c>
      <c r="O16">
        <f t="shared" si="0"/>
        <v>1.9102196752626553E-2</v>
      </c>
    </row>
    <row r="17" spans="1:20">
      <c r="A17">
        <v>16</v>
      </c>
      <c r="B17">
        <v>0</v>
      </c>
      <c r="C17" s="48">
        <v>93271</v>
      </c>
      <c r="D17" s="4" t="str">
        <f>IFERROR(VLOOKUP(C17,[1]引用表合并!$A$2:$B$1000,2,FALSE),"")</f>
        <v>精准手表碎片</v>
      </c>
      <c r="E17">
        <v>1</v>
      </c>
      <c r="F17">
        <v>200</v>
      </c>
      <c r="G17">
        <v>1</v>
      </c>
      <c r="H17">
        <v>100</v>
      </c>
      <c r="I17">
        <v>0</v>
      </c>
      <c r="J17">
        <v>1</v>
      </c>
      <c r="K17">
        <f>SUM($F$2:F17)</f>
        <v>2750</v>
      </c>
      <c r="L17" s="5">
        <f>VLOOKUP(C17,[2]!游戏物价查询,7,FALSE)*E17</f>
        <v>2</v>
      </c>
      <c r="M17">
        <f t="shared" si="1"/>
        <v>3</v>
      </c>
      <c r="N17">
        <f>VLOOKUP(C17,[3]!马仔宝物属性,6,FALSE)</f>
        <v>1</v>
      </c>
      <c r="O17">
        <f t="shared" si="0"/>
        <v>1.9102196752626553E-2</v>
      </c>
    </row>
    <row r="18" spans="1:20">
      <c r="A18">
        <v>17</v>
      </c>
      <c r="B18">
        <v>0</v>
      </c>
      <c r="C18" s="48">
        <v>93278</v>
      </c>
      <c r="D18" s="4" t="str">
        <f>IFERROR(VLOOKUP(C18,[1]引用表合并!$A$2:$B$1000,2,FALSE),"")</f>
        <v>宝驼碎片</v>
      </c>
      <c r="E18">
        <v>1</v>
      </c>
      <c r="F18">
        <v>200</v>
      </c>
      <c r="G18">
        <v>1</v>
      </c>
      <c r="H18">
        <v>100</v>
      </c>
      <c r="I18">
        <v>0</v>
      </c>
      <c r="J18">
        <v>1</v>
      </c>
      <c r="K18">
        <f>SUM($F$2:F18)</f>
        <v>2950</v>
      </c>
      <c r="L18" s="5">
        <f>VLOOKUP(C18,[2]!游戏物价查询,7,FALSE)*E18</f>
        <v>2</v>
      </c>
      <c r="M18">
        <f t="shared" si="1"/>
        <v>3</v>
      </c>
      <c r="N18">
        <f>VLOOKUP(C18,[3]!马仔宝物属性,6,FALSE)</f>
        <v>1</v>
      </c>
      <c r="O18">
        <f t="shared" si="0"/>
        <v>1.9102196752626553E-2</v>
      </c>
    </row>
    <row r="19" spans="1:20">
      <c r="A19">
        <v>18</v>
      </c>
      <c r="B19">
        <v>0</v>
      </c>
      <c r="C19" s="48">
        <v>93283</v>
      </c>
      <c r="D19" s="4" t="str">
        <f>IFERROR(VLOOKUP(C19,[1]引用表合并!$A$2:$B$1000,2,FALSE),"")</f>
        <v>小迭钞票碎片</v>
      </c>
      <c r="E19">
        <v>1</v>
      </c>
      <c r="F19">
        <v>200</v>
      </c>
      <c r="G19">
        <v>1</v>
      </c>
      <c r="H19">
        <v>100</v>
      </c>
      <c r="I19">
        <v>0</v>
      </c>
      <c r="J19">
        <v>1</v>
      </c>
      <c r="K19">
        <f>SUM($F$2:F19)</f>
        <v>3150</v>
      </c>
      <c r="L19" s="5">
        <f>VLOOKUP(C19,[2]!游戏物价查询,7,FALSE)*E19</f>
        <v>2</v>
      </c>
      <c r="M19">
        <f>N19+2</f>
        <v>3</v>
      </c>
      <c r="N19">
        <f>VLOOKUP(C19,[3]!马仔宝物属性,6,FALSE)</f>
        <v>1</v>
      </c>
      <c r="O19">
        <f t="shared" si="0"/>
        <v>1.9102196752626553E-2</v>
      </c>
    </row>
    <row r="20" spans="1:20">
      <c r="A20">
        <v>19</v>
      </c>
      <c r="B20">
        <v>0</v>
      </c>
      <c r="C20" s="48">
        <v>93287</v>
      </c>
      <c r="D20" s="4" t="str">
        <f>IFERROR(VLOOKUP(C20,[1]引用表合并!$A$2:$B$1000,2,FALSE),"")</f>
        <v>金块碎片</v>
      </c>
      <c r="E20">
        <v>1</v>
      </c>
      <c r="F20">
        <v>200</v>
      </c>
      <c r="G20">
        <v>1</v>
      </c>
      <c r="H20">
        <v>100</v>
      </c>
      <c r="I20">
        <v>0</v>
      </c>
      <c r="J20">
        <v>1</v>
      </c>
      <c r="K20">
        <f>SUM($F$2:F20)</f>
        <v>3350</v>
      </c>
      <c r="L20" s="5">
        <f>VLOOKUP(C20,[2]!游戏物价查询,7,FALSE)*E20</f>
        <v>2</v>
      </c>
      <c r="M20">
        <f>N20+2</f>
        <v>3</v>
      </c>
      <c r="N20">
        <f>VLOOKUP(C20,[3]!马仔宝物属性,6,FALSE)</f>
        <v>1</v>
      </c>
      <c r="O20">
        <f t="shared" si="0"/>
        <v>1.9102196752626553E-2</v>
      </c>
      <c r="P20">
        <f>SUM(O11:O20)</f>
        <v>0.19102196752626557</v>
      </c>
      <c r="S20">
        <f>SUMPRODUCT(O11:O20,E11:E20)</f>
        <v>0.19102196752626557</v>
      </c>
      <c r="T20">
        <f>[2]马仔宝物投放!$M$41</f>
        <v>0.24664334595490711</v>
      </c>
    </row>
    <row r="21" spans="1:20">
      <c r="A21">
        <v>20</v>
      </c>
      <c r="B21">
        <v>0</v>
      </c>
      <c r="C21" s="49">
        <v>93142</v>
      </c>
      <c r="D21" s="4" t="str">
        <f>IFERROR(VLOOKUP(C21,[1]引用表合并!$A$2:$B$1000,2,FALSE),"")</f>
        <v>黄金戒指碎片</v>
      </c>
      <c r="E21">
        <v>1</v>
      </c>
      <c r="F21">
        <v>100</v>
      </c>
      <c r="G21">
        <v>1</v>
      </c>
      <c r="H21">
        <v>100</v>
      </c>
      <c r="I21">
        <v>0</v>
      </c>
      <c r="J21">
        <v>0</v>
      </c>
      <c r="K21">
        <f>SUM($F$2:F21)</f>
        <v>3450</v>
      </c>
      <c r="L21" s="5">
        <f>VLOOKUP(C21,[2]!游戏物价查询,7,FALSE)*E21</f>
        <v>4</v>
      </c>
      <c r="M21">
        <f t="shared" ref="M21:M28" si="2">N21+2</f>
        <v>4</v>
      </c>
      <c r="N21">
        <f>VLOOKUP(C21,[3]!马仔宝物属性,6,FALSE)</f>
        <v>2</v>
      </c>
      <c r="O21">
        <f t="shared" si="0"/>
        <v>9.5510983763132766E-3</v>
      </c>
    </row>
    <row r="22" spans="1:20">
      <c r="A22">
        <v>21</v>
      </c>
      <c r="B22">
        <v>0</v>
      </c>
      <c r="C22" s="49">
        <v>93235</v>
      </c>
      <c r="D22" s="4" t="str">
        <f>IFERROR(VLOOKUP(C22,[1]引用表合并!$A$2:$B$1000,2,FALSE),"")</f>
        <v>宝石手环碎片</v>
      </c>
      <c r="E22">
        <v>1</v>
      </c>
      <c r="F22">
        <v>100</v>
      </c>
      <c r="G22">
        <v>1</v>
      </c>
      <c r="H22">
        <v>100</v>
      </c>
      <c r="I22">
        <v>0</v>
      </c>
      <c r="J22">
        <v>0</v>
      </c>
      <c r="K22">
        <f>SUM($F$2:F22)</f>
        <v>3550</v>
      </c>
      <c r="L22" s="5">
        <f>VLOOKUP(C22,[2]!游戏物价查询,7,FALSE)*E22</f>
        <v>4</v>
      </c>
      <c r="M22">
        <f t="shared" si="2"/>
        <v>4</v>
      </c>
      <c r="N22">
        <f>VLOOKUP(C22,[3]!马仔宝物属性,6,FALSE)</f>
        <v>2</v>
      </c>
      <c r="O22">
        <f t="shared" si="0"/>
        <v>9.5510983763132766E-3</v>
      </c>
    </row>
    <row r="23" spans="1:20">
      <c r="A23">
        <v>22</v>
      </c>
      <c r="B23">
        <v>0</v>
      </c>
      <c r="C23" s="49">
        <v>93012</v>
      </c>
      <c r="D23" s="4" t="str">
        <f>IFERROR(VLOOKUP(C23,[1]引用表合并!$A$2:$B$1000,2,FALSE),"")</f>
        <v>摩拉碎片</v>
      </c>
      <c r="E23">
        <v>1</v>
      </c>
      <c r="F23">
        <v>100</v>
      </c>
      <c r="G23">
        <v>1</v>
      </c>
      <c r="H23">
        <v>100</v>
      </c>
      <c r="I23">
        <v>0</v>
      </c>
      <c r="J23">
        <v>0</v>
      </c>
      <c r="K23">
        <f>SUM($F$2:F23)</f>
        <v>3650</v>
      </c>
      <c r="L23" s="5">
        <f>VLOOKUP(C23,[2]!游戏物价查询,7,FALSE)*E23</f>
        <v>4</v>
      </c>
      <c r="M23">
        <f t="shared" si="2"/>
        <v>4</v>
      </c>
      <c r="N23">
        <f>VLOOKUP(C23,[3]!马仔宝物属性,6,FALSE)</f>
        <v>2</v>
      </c>
      <c r="O23">
        <f t="shared" si="0"/>
        <v>9.5510983763132766E-3</v>
      </c>
    </row>
    <row r="24" spans="1:20">
      <c r="A24">
        <v>23</v>
      </c>
      <c r="B24">
        <v>0</v>
      </c>
      <c r="C24" s="49">
        <v>93252</v>
      </c>
      <c r="D24" s="4" t="str">
        <f>IFERROR(VLOOKUP(C24,[1]引用表合并!$A$2:$B$1000,2,FALSE),"")</f>
        <v>青玉项链碎片</v>
      </c>
      <c r="E24">
        <v>1</v>
      </c>
      <c r="F24">
        <v>100</v>
      </c>
      <c r="G24">
        <v>1</v>
      </c>
      <c r="H24">
        <v>100</v>
      </c>
      <c r="I24">
        <v>0</v>
      </c>
      <c r="J24">
        <v>0</v>
      </c>
      <c r="K24">
        <f>SUM($F$2:F24)</f>
        <v>3750</v>
      </c>
      <c r="L24" s="5">
        <f>VLOOKUP(C24,[2]!游戏物价查询,7,FALSE)*E24</f>
        <v>4</v>
      </c>
      <c r="M24">
        <f t="shared" si="2"/>
        <v>4</v>
      </c>
      <c r="N24">
        <f>VLOOKUP(C24,[3]!马仔宝物属性,6,FALSE)</f>
        <v>2</v>
      </c>
      <c r="O24">
        <f t="shared" si="0"/>
        <v>9.5510983763132766E-3</v>
      </c>
    </row>
    <row r="25" spans="1:20">
      <c r="A25">
        <v>24</v>
      </c>
      <c r="B25">
        <v>0</v>
      </c>
      <c r="C25" s="49">
        <v>93124</v>
      </c>
      <c r="D25" s="4" t="str">
        <f>IFERROR(VLOOKUP(C25,[1]引用表合并!$A$2:$B$1000,2,FALSE),"")</f>
        <v>水晶耳钉碎片</v>
      </c>
      <c r="E25">
        <v>1</v>
      </c>
      <c r="F25">
        <v>100</v>
      </c>
      <c r="G25">
        <v>1</v>
      </c>
      <c r="H25">
        <v>100</v>
      </c>
      <c r="I25">
        <v>0</v>
      </c>
      <c r="J25">
        <v>0</v>
      </c>
      <c r="K25">
        <f>SUM($F$2:F25)</f>
        <v>3850</v>
      </c>
      <c r="L25" s="5">
        <f>VLOOKUP(C25,[2]!游戏物价查询,7,FALSE)*E25</f>
        <v>4</v>
      </c>
      <c r="M25">
        <f t="shared" ref="M25:M26" si="3">N25+2</f>
        <v>4</v>
      </c>
      <c r="N25">
        <f>VLOOKUP(C25,[3]!马仔宝物属性,6,FALSE)</f>
        <v>2</v>
      </c>
      <c r="O25">
        <f t="shared" si="0"/>
        <v>9.5510983763132766E-3</v>
      </c>
    </row>
    <row r="26" spans="1:20">
      <c r="A26">
        <v>25</v>
      </c>
      <c r="B26">
        <v>0</v>
      </c>
      <c r="C26" s="49">
        <v>93272</v>
      </c>
      <c r="D26" s="4" t="str">
        <f>IFERROR(VLOOKUP(C26,[1]引用表合并!$A$2:$B$1000,2,FALSE),"")</f>
        <v>金针手表碎片</v>
      </c>
      <c r="E26">
        <v>1</v>
      </c>
      <c r="F26">
        <v>100</v>
      </c>
      <c r="G26">
        <v>1</v>
      </c>
      <c r="H26">
        <v>100</v>
      </c>
      <c r="I26">
        <v>0</v>
      </c>
      <c r="J26">
        <v>0</v>
      </c>
      <c r="K26">
        <f>SUM($F$2:F26)</f>
        <v>3950</v>
      </c>
      <c r="L26" s="5">
        <f>VLOOKUP(C26,[2]!游戏物价查询,7,FALSE)*E26</f>
        <v>4</v>
      </c>
      <c r="M26">
        <f t="shared" si="3"/>
        <v>4</v>
      </c>
      <c r="N26">
        <f>VLOOKUP(C26,[3]!马仔宝物属性,6,FALSE)</f>
        <v>2</v>
      </c>
      <c r="O26">
        <f t="shared" si="0"/>
        <v>9.5510983763132766E-3</v>
      </c>
    </row>
    <row r="27" spans="1:20">
      <c r="A27">
        <v>26</v>
      </c>
      <c r="B27">
        <v>0</v>
      </c>
      <c r="C27" s="49">
        <v>93273</v>
      </c>
      <c r="D27" s="4" t="str">
        <f>IFERROR(VLOOKUP(C27,[1]引用表合并!$A$2:$B$1000,2,FALSE),"")</f>
        <v>智能手表碎片</v>
      </c>
      <c r="E27">
        <v>1</v>
      </c>
      <c r="F27">
        <v>100</v>
      </c>
      <c r="G27">
        <v>1</v>
      </c>
      <c r="H27">
        <v>100</v>
      </c>
      <c r="I27">
        <v>0</v>
      </c>
      <c r="J27">
        <v>0</v>
      </c>
      <c r="K27">
        <f>SUM($F$2:F27)</f>
        <v>4050</v>
      </c>
      <c r="L27" s="5">
        <f>VLOOKUP(C27,[2]!游戏物价查询,7,FALSE)*E27</f>
        <v>4</v>
      </c>
      <c r="M27">
        <f t="shared" si="2"/>
        <v>4</v>
      </c>
      <c r="N27">
        <f>VLOOKUP(C27,[3]!马仔宝物属性,6,FALSE)</f>
        <v>2</v>
      </c>
      <c r="O27">
        <f t="shared" si="0"/>
        <v>9.5510983763132766E-3</v>
      </c>
    </row>
    <row r="28" spans="1:20">
      <c r="A28">
        <v>27</v>
      </c>
      <c r="B28">
        <v>0</v>
      </c>
      <c r="C28" s="49">
        <v>93279</v>
      </c>
      <c r="D28" s="4" t="str">
        <f>IFERROR(VLOOKUP(C28,[1]引用表合并!$A$2:$B$1000,2,FALSE),"")</f>
        <v>宾倪碎片</v>
      </c>
      <c r="E28">
        <v>1</v>
      </c>
      <c r="F28">
        <v>100</v>
      </c>
      <c r="G28">
        <v>1</v>
      </c>
      <c r="H28">
        <v>100</v>
      </c>
      <c r="I28">
        <v>0</v>
      </c>
      <c r="J28">
        <v>0</v>
      </c>
      <c r="K28">
        <f>SUM($F$2:F28)</f>
        <v>4150</v>
      </c>
      <c r="L28" s="5">
        <f>VLOOKUP(C28,[2]!游戏物价查询,7,FALSE)*E28</f>
        <v>4</v>
      </c>
      <c r="M28">
        <f t="shared" si="2"/>
        <v>4</v>
      </c>
      <c r="N28">
        <f>VLOOKUP(C28,[3]!马仔宝物属性,6,FALSE)</f>
        <v>2</v>
      </c>
      <c r="O28">
        <f t="shared" si="0"/>
        <v>9.5510983763132766E-3</v>
      </c>
    </row>
    <row r="29" spans="1:20">
      <c r="A29">
        <v>28</v>
      </c>
      <c r="B29">
        <v>0</v>
      </c>
      <c r="C29" s="49">
        <v>93284</v>
      </c>
      <c r="D29" s="4" t="str">
        <f>IFERROR(VLOOKUP(C29,[1]引用表合并!$A$2:$B$1000,2,FALSE),"")</f>
        <v>大迭钞票碎片</v>
      </c>
      <c r="E29">
        <v>1</v>
      </c>
      <c r="F29">
        <v>100</v>
      </c>
      <c r="G29">
        <v>1</v>
      </c>
      <c r="H29">
        <v>100</v>
      </c>
      <c r="I29">
        <v>0</v>
      </c>
      <c r="J29">
        <v>0</v>
      </c>
      <c r="K29">
        <f>SUM($F$2:F29)</f>
        <v>4250</v>
      </c>
      <c r="L29" s="5">
        <f>VLOOKUP(C29,[2]!游戏物价查询,7,FALSE)*E29</f>
        <v>4</v>
      </c>
      <c r="M29">
        <f>N29+2</f>
        <v>4</v>
      </c>
      <c r="N29">
        <f>VLOOKUP(C29,[3]!马仔宝物属性,6,FALSE)</f>
        <v>2</v>
      </c>
      <c r="O29">
        <f t="shared" si="0"/>
        <v>9.5510983763132766E-3</v>
      </c>
    </row>
    <row r="30" spans="1:20">
      <c r="A30">
        <v>29</v>
      </c>
      <c r="B30">
        <v>0</v>
      </c>
      <c r="C30" s="49">
        <v>93288</v>
      </c>
      <c r="D30" s="4" t="str">
        <f>IFERROR(VLOOKUP(C30,[1]引用表合并!$A$2:$B$1000,2,FALSE),"")</f>
        <v>大金块碎片</v>
      </c>
      <c r="E30">
        <v>1</v>
      </c>
      <c r="F30">
        <v>100</v>
      </c>
      <c r="G30">
        <v>1</v>
      </c>
      <c r="H30">
        <v>100</v>
      </c>
      <c r="I30">
        <v>0</v>
      </c>
      <c r="J30">
        <v>0</v>
      </c>
      <c r="K30">
        <f>SUM($F$2:F30)</f>
        <v>4350</v>
      </c>
      <c r="L30" s="5">
        <f>VLOOKUP(C30,[2]!游戏物价查询,7,FALSE)*E30</f>
        <v>4</v>
      </c>
      <c r="M30">
        <f>N30+2</f>
        <v>4</v>
      </c>
      <c r="N30">
        <f>VLOOKUP(C30,[3]!马仔宝物属性,6,FALSE)</f>
        <v>2</v>
      </c>
      <c r="O30">
        <f t="shared" si="0"/>
        <v>9.5510983763132766E-3</v>
      </c>
      <c r="P30">
        <f>SUM(O21:O30)</f>
        <v>9.5510983763132787E-2</v>
      </c>
      <c r="Q30">
        <f>SUM(O2:O30)</f>
        <v>0.41547277936962768</v>
      </c>
      <c r="S30">
        <f>SUMPRODUCT(O18:O30,E18:E30)</f>
        <v>0.15281757402101243</v>
      </c>
      <c r="T30">
        <f>[2]马仔宝物投放!$M$41</f>
        <v>0.24664334595490711</v>
      </c>
    </row>
    <row r="31" spans="1:20">
      <c r="A31">
        <v>30</v>
      </c>
      <c r="B31">
        <v>0</v>
      </c>
      <c r="C31">
        <v>78101</v>
      </c>
      <c r="D31" s="4" t="str">
        <f>IFERROR(VLOOKUP(C31,[1]引用表合并!$A$2:$B$1000,2,FALSE),"")</f>
        <v>马仔碎片(制服太妹)</v>
      </c>
      <c r="E31">
        <v>1</v>
      </c>
      <c r="F31">
        <v>450</v>
      </c>
      <c r="G31">
        <v>1</v>
      </c>
      <c r="H31">
        <v>100</v>
      </c>
      <c r="I31">
        <v>0</v>
      </c>
      <c r="J31">
        <v>0</v>
      </c>
      <c r="K31">
        <f>SUM($F$2:F31)</f>
        <v>4800</v>
      </c>
      <c r="L31" s="5">
        <f>VLOOKUP(C31,[2]!游戏物价查询,7,FALSE)*E31</f>
        <v>25</v>
      </c>
      <c r="M31">
        <v>14</v>
      </c>
      <c r="O31">
        <f t="shared" si="0"/>
        <v>4.2979942693409739E-2</v>
      </c>
    </row>
    <row r="32" spans="1:20">
      <c r="A32">
        <v>31</v>
      </c>
      <c r="B32">
        <v>0</v>
      </c>
      <c r="C32">
        <v>78103</v>
      </c>
      <c r="D32" s="4" t="str">
        <f>IFERROR(VLOOKUP(C32,[1]引用表合并!$A$2:$B$1000,2,FALSE),"")</f>
        <v>马仔碎片(比利)</v>
      </c>
      <c r="E32">
        <v>1</v>
      </c>
      <c r="F32">
        <v>450</v>
      </c>
      <c r="G32">
        <v>1</v>
      </c>
      <c r="H32">
        <v>100</v>
      </c>
      <c r="I32">
        <v>0</v>
      </c>
      <c r="J32">
        <v>0</v>
      </c>
      <c r="K32">
        <f>SUM($F$2:F32)</f>
        <v>5250</v>
      </c>
      <c r="L32" s="5">
        <f>VLOOKUP(C32,[2]!游戏物价查询,7,FALSE)*E32</f>
        <v>25</v>
      </c>
      <c r="M32">
        <v>17</v>
      </c>
      <c r="O32">
        <f t="shared" si="0"/>
        <v>4.2979942693409739E-2</v>
      </c>
    </row>
    <row r="33" spans="1:19">
      <c r="A33">
        <v>32</v>
      </c>
      <c r="B33">
        <v>0</v>
      </c>
      <c r="C33">
        <v>78101</v>
      </c>
      <c r="D33" s="4" t="str">
        <f>IFERROR(VLOOKUP(C33,[1]引用表合并!$A$2:$B$1000,2,FALSE),"")</f>
        <v>马仔碎片(制服太妹)</v>
      </c>
      <c r="E33">
        <v>2</v>
      </c>
      <c r="F33">
        <v>450</v>
      </c>
      <c r="G33">
        <v>1</v>
      </c>
      <c r="H33">
        <v>100</v>
      </c>
      <c r="I33">
        <v>0</v>
      </c>
      <c r="J33">
        <v>0</v>
      </c>
      <c r="K33">
        <f>SUM($F$2:F33)</f>
        <v>5700</v>
      </c>
      <c r="L33" s="5">
        <f>VLOOKUP(C33,[2]!游戏物价查询,7,FALSE)*E33</f>
        <v>50</v>
      </c>
      <c r="M33">
        <v>14</v>
      </c>
      <c r="O33">
        <f t="shared" si="0"/>
        <v>4.2979942693409739E-2</v>
      </c>
    </row>
    <row r="34" spans="1:19">
      <c r="A34">
        <v>33</v>
      </c>
      <c r="B34">
        <v>0</v>
      </c>
      <c r="C34">
        <v>78103</v>
      </c>
      <c r="D34" s="4" t="str">
        <f>IFERROR(VLOOKUP(C34,[1]引用表合并!$A$2:$B$1000,2,FALSE),"")</f>
        <v>马仔碎片(比利)</v>
      </c>
      <c r="E34">
        <v>2</v>
      </c>
      <c r="F34">
        <v>450</v>
      </c>
      <c r="G34">
        <v>1</v>
      </c>
      <c r="H34">
        <v>100</v>
      </c>
      <c r="I34">
        <v>0</v>
      </c>
      <c r="J34">
        <v>0</v>
      </c>
      <c r="K34">
        <f>SUM($F$2:F34)</f>
        <v>6150</v>
      </c>
      <c r="L34" s="5">
        <f>VLOOKUP(C34,[2]!游戏物价查询,7,FALSE)*E34</f>
        <v>50</v>
      </c>
      <c r="M34">
        <v>17</v>
      </c>
      <c r="O34">
        <f t="shared" ref="O34:O59" si="4">F34/SUM(F:F)</f>
        <v>4.2979942693409739E-2</v>
      </c>
    </row>
    <row r="35" spans="1:19">
      <c r="A35">
        <v>34</v>
      </c>
      <c r="B35">
        <v>0</v>
      </c>
      <c r="C35">
        <v>78101</v>
      </c>
      <c r="D35" s="4" t="str">
        <f>IFERROR(VLOOKUP(C35,[1]引用表合并!$A$2:$B$1000,2,FALSE),"")</f>
        <v>马仔碎片(制服太妹)</v>
      </c>
      <c r="E35">
        <v>3</v>
      </c>
      <c r="F35">
        <v>300</v>
      </c>
      <c r="G35">
        <v>1</v>
      </c>
      <c r="H35">
        <v>100</v>
      </c>
      <c r="I35">
        <v>0</v>
      </c>
      <c r="J35">
        <v>0</v>
      </c>
      <c r="K35">
        <f>SUM($F$2:F35)</f>
        <v>6450</v>
      </c>
      <c r="L35" s="5">
        <f>VLOOKUP(C35,[2]!游戏物价查询,7,FALSE)*E35</f>
        <v>75</v>
      </c>
      <c r="M35">
        <v>28</v>
      </c>
      <c r="O35">
        <f t="shared" si="4"/>
        <v>2.865329512893983E-2</v>
      </c>
    </row>
    <row r="36" spans="1:19">
      <c r="A36">
        <v>35</v>
      </c>
      <c r="B36">
        <v>0</v>
      </c>
      <c r="C36">
        <v>78103</v>
      </c>
      <c r="D36" s="4" t="str">
        <f>IFERROR(VLOOKUP(C36,[1]引用表合并!$A$2:$B$1000,2,FALSE),"")</f>
        <v>马仔碎片(比利)</v>
      </c>
      <c r="E36">
        <v>3</v>
      </c>
      <c r="F36">
        <v>300</v>
      </c>
      <c r="G36">
        <v>1</v>
      </c>
      <c r="H36">
        <v>100</v>
      </c>
      <c r="I36">
        <v>0</v>
      </c>
      <c r="J36">
        <v>0</v>
      </c>
      <c r="K36">
        <f>SUM($F$2:F36)</f>
        <v>6750</v>
      </c>
      <c r="L36" s="5">
        <f>VLOOKUP(C36,[2]!游戏物价查询,7,FALSE)*E36</f>
        <v>75</v>
      </c>
      <c r="M36">
        <v>34</v>
      </c>
      <c r="O36">
        <f t="shared" si="4"/>
        <v>2.865329512893983E-2</v>
      </c>
      <c r="P36">
        <f>SUM(O31:O36)</f>
        <v>0.22922636103151861</v>
      </c>
      <c r="S36">
        <f>SUMPRODUCT(O31:O36,E31:E36)</f>
        <v>0.42979942693409739</v>
      </c>
    </row>
    <row r="37" spans="1:19">
      <c r="A37">
        <v>36</v>
      </c>
      <c r="B37">
        <v>0</v>
      </c>
      <c r="C37" s="29">
        <v>78106</v>
      </c>
      <c r="D37" s="4" t="str">
        <f>IFERROR(VLOOKUP(C37,[1]引用表合并!$A$2:$B$1000,2,FALSE),"")</f>
        <v>马仔碎片(靓坤)</v>
      </c>
      <c r="E37">
        <v>1</v>
      </c>
      <c r="F37">
        <v>150</v>
      </c>
      <c r="G37">
        <v>1</v>
      </c>
      <c r="H37">
        <v>100</v>
      </c>
      <c r="I37">
        <v>0</v>
      </c>
      <c r="J37">
        <v>0</v>
      </c>
      <c r="K37">
        <f>SUM($F$2:F37)</f>
        <v>6900</v>
      </c>
      <c r="L37" s="5">
        <f>VLOOKUP(C37,[2]!游戏物价查询,7,FALSE)*E37</f>
        <v>50</v>
      </c>
      <c r="M37">
        <v>14</v>
      </c>
      <c r="O37">
        <f t="shared" si="4"/>
        <v>1.4326647564469915E-2</v>
      </c>
    </row>
    <row r="38" spans="1:19">
      <c r="A38">
        <v>37</v>
      </c>
      <c r="B38">
        <v>0</v>
      </c>
      <c r="C38" s="29">
        <v>78107</v>
      </c>
      <c r="D38" s="4" t="str">
        <f>IFERROR(VLOOKUP(C38,[1]引用表合并!$A$2:$B$1000,2,FALSE),"")</f>
        <v>马仔碎片(雷复轰)</v>
      </c>
      <c r="E38">
        <v>1</v>
      </c>
      <c r="F38">
        <v>150</v>
      </c>
      <c r="G38">
        <v>1</v>
      </c>
      <c r="H38">
        <v>100</v>
      </c>
      <c r="I38">
        <v>0</v>
      </c>
      <c r="J38">
        <v>0</v>
      </c>
      <c r="K38">
        <f>SUM($F$2:F38)</f>
        <v>7050</v>
      </c>
      <c r="L38" s="5">
        <f>VLOOKUP(C38,[2]!游戏物价查询,7,FALSE)*E38</f>
        <v>50</v>
      </c>
      <c r="M38">
        <v>17</v>
      </c>
      <c r="O38">
        <f t="shared" si="4"/>
        <v>1.4326647564469915E-2</v>
      </c>
    </row>
    <row r="39" spans="1:19">
      <c r="A39">
        <v>38</v>
      </c>
      <c r="B39">
        <v>0</v>
      </c>
      <c r="C39" s="29">
        <v>78108</v>
      </c>
      <c r="D39" s="4" t="str">
        <f>IFERROR(VLOOKUP(C39,[1]引用表合并!$A$2:$B$1000,2,FALSE),"")</f>
        <v>马仔碎片(肥仔)</v>
      </c>
      <c r="E39">
        <v>1</v>
      </c>
      <c r="F39">
        <v>150</v>
      </c>
      <c r="G39">
        <v>1</v>
      </c>
      <c r="H39">
        <v>100</v>
      </c>
      <c r="I39">
        <v>0</v>
      </c>
      <c r="J39">
        <v>0</v>
      </c>
      <c r="K39">
        <f>SUM($F$2:F39)</f>
        <v>7200</v>
      </c>
      <c r="L39" s="5">
        <f>VLOOKUP(C39,[2]!游戏物价查询,7,FALSE)*E39</f>
        <v>50</v>
      </c>
      <c r="M39">
        <v>14</v>
      </c>
      <c r="O39">
        <f t="shared" si="4"/>
        <v>1.4326647564469915E-2</v>
      </c>
    </row>
    <row r="40" spans="1:19">
      <c r="A40">
        <v>39</v>
      </c>
      <c r="B40">
        <v>0</v>
      </c>
      <c r="C40" s="8">
        <v>78117</v>
      </c>
      <c r="D40" s="4" t="str">
        <f>IFERROR(VLOOKUP(C40,[1]引用表合并!$A$2:$B$1000,2,FALSE),"")</f>
        <v>马仔碎片(巴闭)</v>
      </c>
      <c r="E40">
        <v>1</v>
      </c>
      <c r="F40">
        <v>150</v>
      </c>
      <c r="G40">
        <v>1</v>
      </c>
      <c r="H40">
        <v>100</v>
      </c>
      <c r="I40">
        <v>0</v>
      </c>
      <c r="J40">
        <v>0</v>
      </c>
      <c r="K40">
        <f>SUM($F$2:F40)</f>
        <v>7350</v>
      </c>
      <c r="L40" s="5">
        <f>VLOOKUP(C40,[2]!游戏物价查询,7,FALSE)*E40</f>
        <v>50</v>
      </c>
      <c r="M40">
        <v>28</v>
      </c>
      <c r="O40">
        <f t="shared" si="4"/>
        <v>1.4326647564469915E-2</v>
      </c>
    </row>
    <row r="41" spans="1:19">
      <c r="A41">
        <v>40</v>
      </c>
      <c r="B41">
        <v>0</v>
      </c>
      <c r="C41" s="29">
        <v>78106</v>
      </c>
      <c r="D41" s="4" t="str">
        <f>IFERROR(VLOOKUP(C41,[1]引用表合并!$A$2:$B$1000,2,FALSE),"")</f>
        <v>马仔碎片(靓坤)</v>
      </c>
      <c r="E41">
        <v>2</v>
      </c>
      <c r="F41">
        <v>150</v>
      </c>
      <c r="G41">
        <v>1</v>
      </c>
      <c r="H41">
        <v>100</v>
      </c>
      <c r="I41">
        <v>0</v>
      </c>
      <c r="J41">
        <v>0</v>
      </c>
      <c r="K41">
        <f>SUM($F$2:F41)</f>
        <v>7500</v>
      </c>
      <c r="L41" s="5">
        <f>VLOOKUP(C41,[2]!游戏物价查询,7,FALSE)*E41</f>
        <v>100</v>
      </c>
      <c r="M41">
        <v>14</v>
      </c>
      <c r="O41">
        <f t="shared" si="4"/>
        <v>1.4326647564469915E-2</v>
      </c>
    </row>
    <row r="42" spans="1:19">
      <c r="A42">
        <v>41</v>
      </c>
      <c r="B42">
        <v>0</v>
      </c>
      <c r="C42" s="29">
        <v>78107</v>
      </c>
      <c r="D42" s="4" t="str">
        <f>IFERROR(VLOOKUP(C42,[1]引用表合并!$A$2:$B$1000,2,FALSE),"")</f>
        <v>马仔碎片(雷复轰)</v>
      </c>
      <c r="E42">
        <v>2</v>
      </c>
      <c r="F42">
        <v>150</v>
      </c>
      <c r="G42">
        <v>1</v>
      </c>
      <c r="H42">
        <v>100</v>
      </c>
      <c r="I42">
        <v>0</v>
      </c>
      <c r="J42">
        <v>0</v>
      </c>
      <c r="K42">
        <f>SUM($F$2:F42)</f>
        <v>7650</v>
      </c>
      <c r="L42" s="5">
        <f>VLOOKUP(C42,[2]!游戏物价查询,7,FALSE)*E42</f>
        <v>100</v>
      </c>
      <c r="M42">
        <v>17</v>
      </c>
      <c r="O42">
        <f t="shared" si="4"/>
        <v>1.4326647564469915E-2</v>
      </c>
    </row>
    <row r="43" spans="1:19">
      <c r="A43">
        <v>42</v>
      </c>
      <c r="B43">
        <v>0</v>
      </c>
      <c r="C43" s="29">
        <v>78108</v>
      </c>
      <c r="D43" s="4" t="str">
        <f>IFERROR(VLOOKUP(C43,[1]引用表合并!$A$2:$B$1000,2,FALSE),"")</f>
        <v>马仔碎片(肥仔)</v>
      </c>
      <c r="E43">
        <v>2</v>
      </c>
      <c r="F43">
        <v>150</v>
      </c>
      <c r="G43">
        <v>1</v>
      </c>
      <c r="H43">
        <v>100</v>
      </c>
      <c r="I43">
        <v>0</v>
      </c>
      <c r="J43">
        <v>0</v>
      </c>
      <c r="K43">
        <f>SUM($F$2:F43)</f>
        <v>7800</v>
      </c>
      <c r="L43" s="5">
        <f>VLOOKUP(C43,[2]!游戏物价查询,7,FALSE)*E43</f>
        <v>100</v>
      </c>
      <c r="M43">
        <v>14</v>
      </c>
      <c r="O43">
        <f t="shared" si="4"/>
        <v>1.4326647564469915E-2</v>
      </c>
    </row>
    <row r="44" spans="1:19">
      <c r="A44">
        <v>43</v>
      </c>
      <c r="B44">
        <v>0</v>
      </c>
      <c r="C44" s="8">
        <v>78117</v>
      </c>
      <c r="D44" s="4" t="str">
        <f>IFERROR(VLOOKUP(C44,[1]引用表合并!$A$2:$B$1000,2,FALSE),"")</f>
        <v>马仔碎片(巴闭)</v>
      </c>
      <c r="E44">
        <v>2</v>
      </c>
      <c r="F44">
        <v>150</v>
      </c>
      <c r="G44">
        <v>1</v>
      </c>
      <c r="H44">
        <v>100</v>
      </c>
      <c r="I44">
        <v>0</v>
      </c>
      <c r="J44">
        <v>0</v>
      </c>
      <c r="K44">
        <f>SUM($F$2:F44)</f>
        <v>7950</v>
      </c>
      <c r="L44" s="5">
        <f>VLOOKUP(C44,[2]!游戏物价查询,7,FALSE)*E44</f>
        <v>100</v>
      </c>
      <c r="M44">
        <v>28</v>
      </c>
      <c r="O44">
        <f t="shared" si="4"/>
        <v>1.4326647564469915E-2</v>
      </c>
    </row>
    <row r="45" spans="1:19">
      <c r="A45">
        <v>44</v>
      </c>
      <c r="B45">
        <v>0</v>
      </c>
      <c r="C45" s="29">
        <v>78106</v>
      </c>
      <c r="D45" s="4" t="str">
        <f>IFERROR(VLOOKUP(C45,[1]引用表合并!$A$2:$B$1000,2,FALSE),"")</f>
        <v>马仔碎片(靓坤)</v>
      </c>
      <c r="E45">
        <v>3</v>
      </c>
      <c r="F45">
        <v>80</v>
      </c>
      <c r="G45">
        <v>1</v>
      </c>
      <c r="H45">
        <v>100</v>
      </c>
      <c r="I45">
        <v>0</v>
      </c>
      <c r="J45">
        <v>0</v>
      </c>
      <c r="K45">
        <f>SUM($F$2:F45)</f>
        <v>8030</v>
      </c>
      <c r="L45" s="5">
        <f>VLOOKUP(C45,[2]!游戏物价查询,7,FALSE)*E45</f>
        <v>150</v>
      </c>
      <c r="M45">
        <v>14</v>
      </c>
      <c r="O45">
        <f t="shared" si="4"/>
        <v>7.6408787010506206E-3</v>
      </c>
    </row>
    <row r="46" spans="1:19">
      <c r="A46">
        <v>45</v>
      </c>
      <c r="B46">
        <v>0</v>
      </c>
      <c r="C46" s="29">
        <v>78107</v>
      </c>
      <c r="D46" s="4" t="str">
        <f>IFERROR(VLOOKUP(C46,[1]引用表合并!$A$2:$B$1000,2,FALSE),"")</f>
        <v>马仔碎片(雷复轰)</v>
      </c>
      <c r="E46">
        <v>3</v>
      </c>
      <c r="F46">
        <v>80</v>
      </c>
      <c r="G46">
        <v>1</v>
      </c>
      <c r="H46">
        <v>100</v>
      </c>
      <c r="I46">
        <v>0</v>
      </c>
      <c r="J46">
        <v>0</v>
      </c>
      <c r="K46">
        <f>SUM($F$2:F46)</f>
        <v>8110</v>
      </c>
      <c r="L46" s="5">
        <f>VLOOKUP(C46,[2]!游戏物价查询,7,FALSE)*E46</f>
        <v>150</v>
      </c>
      <c r="M46">
        <v>17</v>
      </c>
      <c r="O46">
        <f t="shared" si="4"/>
        <v>7.6408787010506206E-3</v>
      </c>
    </row>
    <row r="47" spans="1:19">
      <c r="A47">
        <v>46</v>
      </c>
      <c r="B47">
        <v>0</v>
      </c>
      <c r="C47" s="29">
        <v>78108</v>
      </c>
      <c r="D47" s="4" t="str">
        <f>IFERROR(VLOOKUP(C47,[1]引用表合并!$A$2:$B$1000,2,FALSE),"")</f>
        <v>马仔碎片(肥仔)</v>
      </c>
      <c r="E47">
        <v>3</v>
      </c>
      <c r="F47">
        <v>80</v>
      </c>
      <c r="G47">
        <v>1</v>
      </c>
      <c r="H47">
        <v>100</v>
      </c>
      <c r="I47">
        <v>0</v>
      </c>
      <c r="J47">
        <v>0</v>
      </c>
      <c r="K47">
        <f>SUM($F$2:F47)</f>
        <v>8190</v>
      </c>
      <c r="L47" s="5">
        <f>VLOOKUP(C47,[2]!游戏物价查询,7,FALSE)*E47</f>
        <v>150</v>
      </c>
      <c r="M47">
        <v>14</v>
      </c>
      <c r="O47">
        <f t="shared" si="4"/>
        <v>7.6408787010506206E-3</v>
      </c>
    </row>
    <row r="48" spans="1:19">
      <c r="A48">
        <v>47</v>
      </c>
      <c r="B48">
        <v>0</v>
      </c>
      <c r="C48" s="8">
        <v>78117</v>
      </c>
      <c r="D48" s="4" t="str">
        <f>IFERROR(VLOOKUP(C48,[1]引用表合并!$A$2:$B$1000,2,FALSE),"")</f>
        <v>马仔碎片(巴闭)</v>
      </c>
      <c r="E48">
        <v>3</v>
      </c>
      <c r="F48">
        <v>80</v>
      </c>
      <c r="G48">
        <v>1</v>
      </c>
      <c r="H48">
        <v>100</v>
      </c>
      <c r="I48">
        <v>0</v>
      </c>
      <c r="J48">
        <v>0</v>
      </c>
      <c r="K48">
        <f>SUM($F$2:F48)</f>
        <v>8270</v>
      </c>
      <c r="L48" s="5">
        <f>VLOOKUP(C48,[2]!游戏物价查询,7,FALSE)*E48</f>
        <v>150</v>
      </c>
      <c r="M48">
        <v>28</v>
      </c>
      <c r="O48">
        <f t="shared" si="4"/>
        <v>7.6408787010506206E-3</v>
      </c>
      <c r="P48">
        <f>SUM(O37:O48)</f>
        <v>0.1451766953199618</v>
      </c>
      <c r="S48">
        <f>SUMPRODUCT(O37:O48,E37:E48)</f>
        <v>0.26361031518624645</v>
      </c>
    </row>
    <row r="49" spans="1:20">
      <c r="A49">
        <v>48</v>
      </c>
      <c r="B49">
        <v>0</v>
      </c>
      <c r="C49">
        <v>82100</v>
      </c>
      <c r="D49" s="4" t="str">
        <f>IFERROR(VLOOKUP(C49,[1]引用表合并!$A$2:$B$1000,2,FALSE),"")</f>
        <v>金币卡(1万)</v>
      </c>
      <c r="E49">
        <v>1</v>
      </c>
      <c r="F49">
        <v>250</v>
      </c>
      <c r="G49">
        <v>1</v>
      </c>
      <c r="H49">
        <v>100</v>
      </c>
      <c r="I49">
        <v>0</v>
      </c>
      <c r="J49">
        <v>1</v>
      </c>
      <c r="K49">
        <f>SUM($F$2:F49)</f>
        <v>8520</v>
      </c>
      <c r="L49" s="5">
        <f>VLOOKUP(C49,[2]!游戏物价查询,7,FALSE)*E49</f>
        <v>20</v>
      </c>
      <c r="M49">
        <f>VLOOKUP(C49,[2]!游戏物价查询,5,FALSE)+2</f>
        <v>2</v>
      </c>
      <c r="O49">
        <f t="shared" si="4"/>
        <v>2.387774594078319E-2</v>
      </c>
    </row>
    <row r="50" spans="1:20">
      <c r="A50">
        <v>49</v>
      </c>
      <c r="B50">
        <v>0</v>
      </c>
      <c r="C50">
        <v>82200</v>
      </c>
      <c r="D50" s="4" t="str">
        <f>IFERROR(VLOOKUP(C50,[1]引用表合并!$A$2:$B$1000,2,FALSE),"")</f>
        <v>金币卡(2万)</v>
      </c>
      <c r="E50">
        <v>1</v>
      </c>
      <c r="F50">
        <v>150</v>
      </c>
      <c r="G50">
        <v>1</v>
      </c>
      <c r="H50">
        <v>100</v>
      </c>
      <c r="I50">
        <v>0</v>
      </c>
      <c r="J50">
        <v>1</v>
      </c>
      <c r="K50">
        <f>SUM($F$2:F50)</f>
        <v>8670</v>
      </c>
      <c r="L50" s="5">
        <f>VLOOKUP(C50,[2]!游戏物价查询,7,FALSE)*E50</f>
        <v>40</v>
      </c>
      <c r="M50">
        <f>VLOOKUP(C50,[2]!游戏物价查询,5,FALSE)+4</f>
        <v>4</v>
      </c>
      <c r="O50">
        <f t="shared" si="4"/>
        <v>1.4326647564469915E-2</v>
      </c>
      <c r="P50">
        <f>O49+O50</f>
        <v>3.8204393505253106E-2</v>
      </c>
    </row>
    <row r="51" spans="1:20">
      <c r="A51">
        <v>50</v>
      </c>
      <c r="B51">
        <v>0</v>
      </c>
      <c r="C51">
        <v>85200</v>
      </c>
      <c r="D51" s="4" t="str">
        <f>IFERROR(VLOOKUP(C51,[1]引用表合并!$A$2:$B$1000,2,FALSE),"")</f>
        <v>高级装备升级石</v>
      </c>
      <c r="E51">
        <v>1</v>
      </c>
      <c r="F51">
        <v>300</v>
      </c>
      <c r="G51">
        <v>1</v>
      </c>
      <c r="H51">
        <v>100</v>
      </c>
      <c r="I51">
        <v>0</v>
      </c>
      <c r="J51">
        <v>1</v>
      </c>
      <c r="K51">
        <f>SUM($F$2:F51)</f>
        <v>8970</v>
      </c>
      <c r="L51" s="5">
        <f>VLOOKUP(C51,[2]!游戏物价查询,7,FALSE)*E51</f>
        <v>10</v>
      </c>
      <c r="M51">
        <v>4.7</v>
      </c>
      <c r="O51">
        <f t="shared" si="4"/>
        <v>2.865329512893983E-2</v>
      </c>
      <c r="S51">
        <f>O51*E51</f>
        <v>2.865329512893983E-2</v>
      </c>
      <c r="T51">
        <f>'[2]装备&amp;装备材料的投放'!$AI$35</f>
        <v>0.42348703809684618</v>
      </c>
    </row>
    <row r="52" spans="1:20">
      <c r="A52">
        <v>51</v>
      </c>
      <c r="B52">
        <v>0</v>
      </c>
      <c r="C52">
        <v>85300</v>
      </c>
      <c r="D52" s="4" t="str">
        <f>IFERROR(VLOOKUP(C52,[1]引用表合并!$A$2:$B$1000,2,FALSE),"")</f>
        <v>稀有装备升级石</v>
      </c>
      <c r="E52">
        <v>1</v>
      </c>
      <c r="F52">
        <v>100</v>
      </c>
      <c r="G52">
        <v>1</v>
      </c>
      <c r="H52">
        <v>100</v>
      </c>
      <c r="I52">
        <v>0</v>
      </c>
      <c r="J52">
        <v>1</v>
      </c>
      <c r="K52">
        <f>SUM($F$2:F52)</f>
        <v>9070</v>
      </c>
      <c r="L52" s="5">
        <f>VLOOKUP(C52,[2]!游戏物价查询,7,FALSE)*E52</f>
        <v>30</v>
      </c>
      <c r="M52">
        <v>4.7</v>
      </c>
      <c r="O52">
        <f t="shared" si="4"/>
        <v>9.5510983763132766E-3</v>
      </c>
      <c r="P52">
        <f>O51+O52</f>
        <v>3.8204393505253106E-2</v>
      </c>
      <c r="S52">
        <f>O52*E52</f>
        <v>9.5510983763132766E-3</v>
      </c>
      <c r="T52">
        <f>'[2]装备&amp;装备材料的投放'!$AI$36</f>
        <v>2.8560101670714239E-2</v>
      </c>
    </row>
    <row r="53" spans="1:20">
      <c r="A53">
        <v>52</v>
      </c>
      <c r="B53">
        <v>0</v>
      </c>
      <c r="C53" s="4">
        <v>91100</v>
      </c>
      <c r="D53" s="4" t="str">
        <f>IFERROR(VLOOKUP(C53,[1]引用表合并!$A$2:$B$1000,2,FALSE),"")</f>
        <v>马仔经验药水</v>
      </c>
      <c r="E53">
        <v>1</v>
      </c>
      <c r="F53">
        <v>250</v>
      </c>
      <c r="G53">
        <v>1</v>
      </c>
      <c r="H53">
        <v>100</v>
      </c>
      <c r="I53">
        <v>0</v>
      </c>
      <c r="J53">
        <v>1</v>
      </c>
      <c r="K53">
        <f>SUM($F$2:F53)</f>
        <v>9320</v>
      </c>
      <c r="L53" s="5">
        <f>VLOOKUP(C53,[2]!游戏物价查询,7,FALSE)*E53</f>
        <v>2</v>
      </c>
      <c r="M53">
        <v>4.7</v>
      </c>
      <c r="O53">
        <f t="shared" si="4"/>
        <v>2.387774594078319E-2</v>
      </c>
    </row>
    <row r="54" spans="1:20">
      <c r="A54">
        <v>53</v>
      </c>
      <c r="B54">
        <v>0</v>
      </c>
      <c r="C54" s="4">
        <v>91200</v>
      </c>
      <c r="D54" s="4" t="str">
        <f>IFERROR(VLOOKUP(C54,[1]引用表合并!$A$2:$B$1000,2,FALSE),"")</f>
        <v>马仔经验合剂</v>
      </c>
      <c r="E54">
        <v>1</v>
      </c>
      <c r="F54">
        <v>150</v>
      </c>
      <c r="G54">
        <v>1</v>
      </c>
      <c r="H54">
        <v>100</v>
      </c>
      <c r="I54">
        <v>0</v>
      </c>
      <c r="J54">
        <v>1</v>
      </c>
      <c r="K54">
        <f>SUM($F$2:F54)</f>
        <v>9470</v>
      </c>
      <c r="L54" s="5">
        <f>VLOOKUP(C54,[2]!游戏物价查询,7,FALSE)*E54</f>
        <v>6</v>
      </c>
      <c r="M54">
        <v>4.7</v>
      </c>
      <c r="O54">
        <f t="shared" si="4"/>
        <v>1.4326647564469915E-2</v>
      </c>
      <c r="P54">
        <f>O53+O54</f>
        <v>3.8204393505253106E-2</v>
      </c>
    </row>
    <row r="55" spans="1:20">
      <c r="A55">
        <v>54</v>
      </c>
      <c r="B55">
        <v>0</v>
      </c>
      <c r="C55">
        <v>89100</v>
      </c>
      <c r="D55" s="4" t="str">
        <f>IFERROR(VLOOKUP(C55,[1]引用表合并!$A$2:$B$1000,2,FALSE),"")</f>
        <v>初级体力药水</v>
      </c>
      <c r="E55">
        <v>1</v>
      </c>
      <c r="F55">
        <v>250</v>
      </c>
      <c r="G55">
        <v>1</v>
      </c>
      <c r="H55">
        <v>100</v>
      </c>
      <c r="I55">
        <v>0</v>
      </c>
      <c r="J55">
        <v>1</v>
      </c>
      <c r="K55">
        <f>SUM($F$2:F55)</f>
        <v>9720</v>
      </c>
      <c r="L55" s="5">
        <f>VLOOKUP(C55,[2]!游戏物价查询,7,FALSE)*E55</f>
        <v>10</v>
      </c>
      <c r="M55">
        <v>4.7</v>
      </c>
      <c r="O55">
        <f t="shared" si="4"/>
        <v>2.387774594078319E-2</v>
      </c>
    </row>
    <row r="56" spans="1:20">
      <c r="A56">
        <v>55</v>
      </c>
      <c r="B56">
        <v>0</v>
      </c>
      <c r="C56" s="4">
        <v>80410</v>
      </c>
      <c r="D56" s="4" t="str">
        <f>IFERROR(VLOOKUP(C56,[1]引用表合并!$A$2:$B$1000,2,FALSE),"")</f>
        <v>命运石(5000)</v>
      </c>
      <c r="E56">
        <v>1</v>
      </c>
      <c r="F56">
        <v>250</v>
      </c>
      <c r="G56">
        <v>1</v>
      </c>
      <c r="H56">
        <v>100</v>
      </c>
      <c r="I56">
        <v>0</v>
      </c>
      <c r="J56">
        <v>1</v>
      </c>
      <c r="K56">
        <f>SUM($F$2:F56)</f>
        <v>9970</v>
      </c>
      <c r="L56" s="5">
        <f>VLOOKUP(C56,[2]!游戏物价查询,7,FALSE)*E56</f>
        <v>5</v>
      </c>
      <c r="M56">
        <v>4.7</v>
      </c>
      <c r="O56">
        <f t="shared" si="4"/>
        <v>2.387774594078319E-2</v>
      </c>
    </row>
    <row r="57" spans="1:20">
      <c r="A57">
        <v>56</v>
      </c>
      <c r="B57">
        <v>0</v>
      </c>
      <c r="C57" s="4">
        <v>80510</v>
      </c>
      <c r="D57" s="4" t="str">
        <f>IFERROR(VLOOKUP(C57,[1]引用表合并!$A$2:$B$1000,2,FALSE),"")</f>
        <v>命运石(1万)</v>
      </c>
      <c r="E57">
        <v>1</v>
      </c>
      <c r="F57">
        <v>150</v>
      </c>
      <c r="G57">
        <v>1</v>
      </c>
      <c r="H57">
        <v>100</v>
      </c>
      <c r="I57">
        <v>0</v>
      </c>
      <c r="J57">
        <v>1</v>
      </c>
      <c r="K57">
        <f>SUM($F$2:F57)</f>
        <v>10120</v>
      </c>
      <c r="L57" s="5">
        <f>VLOOKUP(C57,[2]!游戏物价查询,7,FALSE)*E57</f>
        <v>10</v>
      </c>
      <c r="M57">
        <v>4.7</v>
      </c>
      <c r="O57">
        <f t="shared" si="4"/>
        <v>1.4326647564469915E-2</v>
      </c>
      <c r="P57">
        <f>O56+O57</f>
        <v>3.8204393505253106E-2</v>
      </c>
    </row>
    <row r="58" spans="1:20">
      <c r="A58">
        <v>57</v>
      </c>
      <c r="B58">
        <v>0</v>
      </c>
      <c r="C58">
        <v>80110</v>
      </c>
      <c r="D58" s="4" t="str">
        <f>IFERROR(VLOOKUP(C58,[1]引用表合并!$A$2:$B$1000,2,FALSE),"")</f>
        <v>龙魂币(500)</v>
      </c>
      <c r="E58">
        <v>1</v>
      </c>
      <c r="F58">
        <v>250</v>
      </c>
      <c r="G58">
        <v>1</v>
      </c>
      <c r="H58">
        <v>100</v>
      </c>
      <c r="I58">
        <v>0</v>
      </c>
      <c r="J58">
        <v>1</v>
      </c>
      <c r="K58">
        <f>SUM($F$2:F58)</f>
        <v>10370</v>
      </c>
      <c r="L58" s="5">
        <f>VLOOKUP(C58,[2]!游戏物价查询,7,FALSE)*E58</f>
        <v>20</v>
      </c>
      <c r="M58">
        <v>4.7</v>
      </c>
      <c r="O58">
        <f t="shared" si="4"/>
        <v>2.387774594078319E-2</v>
      </c>
    </row>
    <row r="59" spans="1:20">
      <c r="A59">
        <v>58</v>
      </c>
      <c r="B59">
        <v>0</v>
      </c>
      <c r="C59">
        <v>80210</v>
      </c>
      <c r="D59" s="4" t="str">
        <f>IFERROR(VLOOKUP(C59,[1]引用表合并!$A$2:$B$1000,2,FALSE),"")</f>
        <v>龙魂币(1000)</v>
      </c>
      <c r="E59">
        <v>1</v>
      </c>
      <c r="F59">
        <v>100</v>
      </c>
      <c r="G59">
        <v>1</v>
      </c>
      <c r="H59">
        <v>100</v>
      </c>
      <c r="I59">
        <v>0</v>
      </c>
      <c r="J59">
        <v>1</v>
      </c>
      <c r="K59">
        <f>SUM($F$2:F59)</f>
        <v>10470</v>
      </c>
      <c r="L59" s="5">
        <f>VLOOKUP(C59,[2]!游戏物价查询,7,FALSE)*E59</f>
        <v>40</v>
      </c>
      <c r="M59">
        <v>4.7</v>
      </c>
      <c r="O59">
        <f t="shared" si="4"/>
        <v>9.5510983763132766E-3</v>
      </c>
      <c r="P59">
        <f>O58+O59</f>
        <v>3.3428844317096466E-2</v>
      </c>
      <c r="Q59">
        <f>SUM(O49:O59)</f>
        <v>0.21012416427889205</v>
      </c>
    </row>
    <row r="60" spans="1:20">
      <c r="D60" s="4"/>
    </row>
    <row r="61" spans="1:20">
      <c r="D61" s="4"/>
    </row>
    <row r="62" spans="1:20">
      <c r="D62" s="4"/>
    </row>
    <row r="63" spans="1:20">
      <c r="D63" s="4"/>
    </row>
    <row r="64" spans="1:20">
      <c r="D64" s="4"/>
    </row>
    <row r="65" spans="4:4">
      <c r="D65" s="4"/>
    </row>
    <row r="66" spans="4:4">
      <c r="D66" s="4"/>
    </row>
    <row r="67" spans="4:4">
      <c r="D67" s="4"/>
    </row>
    <row r="68" spans="4:4">
      <c r="D68" s="4"/>
    </row>
    <row r="69" spans="4:4">
      <c r="D69" s="4"/>
    </row>
    <row r="70" spans="4:4">
      <c r="D70" s="4"/>
    </row>
    <row r="71" spans="4:4">
      <c r="D71" s="4"/>
    </row>
    <row r="72" spans="4:4">
      <c r="D72" s="4"/>
    </row>
    <row r="73" spans="4:4">
      <c r="D73" s="4"/>
    </row>
    <row r="74" spans="4:4">
      <c r="D74" s="4"/>
    </row>
    <row r="75" spans="4:4">
      <c r="D75" s="4"/>
    </row>
    <row r="76" spans="4:4">
      <c r="D76" s="4"/>
    </row>
    <row r="77" spans="4:4">
      <c r="D77" s="4"/>
    </row>
    <row r="78" spans="4:4">
      <c r="D78" s="4"/>
    </row>
    <row r="79" spans="4:4">
      <c r="D79" s="4"/>
    </row>
    <row r="80" spans="4:4">
      <c r="D80" s="4"/>
    </row>
    <row r="81" spans="4:4">
      <c r="D81" s="4"/>
    </row>
    <row r="82" spans="4:4">
      <c r="D82" s="4"/>
    </row>
    <row r="83" spans="4:4">
      <c r="D83" s="4"/>
    </row>
    <row r="84" spans="4:4">
      <c r="D84" s="4"/>
    </row>
    <row r="85" spans="4:4">
      <c r="D85" s="4"/>
    </row>
    <row r="86" spans="4:4">
      <c r="D86" s="4"/>
    </row>
    <row r="87" spans="4:4">
      <c r="D87" s="4"/>
    </row>
    <row r="88" spans="4:4">
      <c r="D88" s="4"/>
    </row>
    <row r="89" spans="4:4">
      <c r="D89" s="4"/>
    </row>
    <row r="90" spans="4:4">
      <c r="D90" s="4"/>
    </row>
    <row r="91" spans="4:4">
      <c r="D91" s="4"/>
    </row>
    <row r="92" spans="4:4">
      <c r="D92" s="4"/>
    </row>
    <row r="93" spans="4:4">
      <c r="D93" s="4"/>
    </row>
    <row r="94" spans="4:4">
      <c r="D94" s="4"/>
    </row>
    <row r="95" spans="4:4">
      <c r="D95" s="4"/>
    </row>
    <row r="96" spans="4:4">
      <c r="D96" s="4"/>
    </row>
    <row r="97" spans="4:4">
      <c r="D97" s="4"/>
    </row>
    <row r="98" spans="4:4">
      <c r="D98" s="4"/>
    </row>
    <row r="99" spans="4:4">
      <c r="D99" s="4"/>
    </row>
    <row r="100" spans="4:4">
      <c r="D100" s="4"/>
    </row>
    <row r="101" spans="4:4">
      <c r="D101" s="4"/>
    </row>
    <row r="102" spans="4:4">
      <c r="D102" s="4"/>
    </row>
    <row r="103" spans="4:4">
      <c r="D103" s="4"/>
    </row>
    <row r="104" spans="4:4">
      <c r="D104" s="4"/>
    </row>
    <row r="105" spans="4:4">
      <c r="D105" s="4"/>
    </row>
    <row r="106" spans="4:4">
      <c r="D106" s="4"/>
    </row>
    <row r="107" spans="4:4">
      <c r="D107" s="4"/>
    </row>
    <row r="108" spans="4:4">
      <c r="D108" s="4"/>
    </row>
    <row r="109" spans="4:4">
      <c r="D109" s="4"/>
    </row>
    <row r="110" spans="4:4">
      <c r="D110" s="4"/>
    </row>
    <row r="111" spans="4:4">
      <c r="D111" s="4"/>
    </row>
    <row r="112" spans="4:4">
      <c r="D112" s="4"/>
    </row>
    <row r="113" spans="4:4">
      <c r="D113" s="4"/>
    </row>
    <row r="114" spans="4:4">
      <c r="D114" s="4"/>
    </row>
    <row r="115" spans="4:4">
      <c r="D115" s="4"/>
    </row>
    <row r="116" spans="4:4">
      <c r="D116" s="4"/>
    </row>
    <row r="117" spans="4:4">
      <c r="D117" s="4"/>
    </row>
    <row r="118" spans="4:4">
      <c r="D118" s="4"/>
    </row>
    <row r="119" spans="4:4">
      <c r="D119" s="4"/>
    </row>
    <row r="120" spans="4:4">
      <c r="D120" s="4"/>
    </row>
    <row r="121" spans="4:4">
      <c r="D121" s="4"/>
    </row>
    <row r="122" spans="4:4">
      <c r="D122" s="4"/>
    </row>
    <row r="123" spans="4:4">
      <c r="D123" s="4"/>
    </row>
    <row r="124" spans="4:4">
      <c r="D124" s="4"/>
    </row>
    <row r="125" spans="4:4">
      <c r="D125" s="4"/>
    </row>
    <row r="126" spans="4:4">
      <c r="D126" s="4"/>
    </row>
    <row r="127" spans="4:4">
      <c r="D127" s="4"/>
    </row>
    <row r="128" spans="4:4">
      <c r="D128" s="4"/>
    </row>
    <row r="129" spans="4:4">
      <c r="D129" s="4"/>
    </row>
    <row r="130" spans="4:4">
      <c r="D130" s="4"/>
    </row>
    <row r="131" spans="4:4">
      <c r="D131" s="4"/>
    </row>
    <row r="132" spans="4:4">
      <c r="D132" s="4"/>
    </row>
    <row r="133" spans="4:4">
      <c r="D133" s="4"/>
    </row>
    <row r="134" spans="4:4">
      <c r="D134" s="4"/>
    </row>
    <row r="135" spans="4:4">
      <c r="D135" s="4"/>
    </row>
    <row r="136" spans="4:4">
      <c r="D136" s="4"/>
    </row>
    <row r="137" spans="4:4">
      <c r="D137" s="4"/>
    </row>
    <row r="138" spans="4:4">
      <c r="D138" s="4"/>
    </row>
    <row r="139" spans="4:4">
      <c r="D139" s="4"/>
    </row>
    <row r="140" spans="4:4">
      <c r="D140" s="4"/>
    </row>
    <row r="141" spans="4:4">
      <c r="D141" s="4"/>
    </row>
    <row r="142" spans="4:4">
      <c r="D142" s="4"/>
    </row>
    <row r="143" spans="4:4">
      <c r="D143" s="4"/>
    </row>
    <row r="144" spans="4:4">
      <c r="D144" s="4"/>
    </row>
    <row r="145" spans="4:4">
      <c r="D145" s="4"/>
    </row>
    <row r="146" spans="4:4">
      <c r="D146" s="4"/>
    </row>
    <row r="147" spans="4:4">
      <c r="D147" s="4"/>
    </row>
    <row r="148" spans="4:4">
      <c r="D148" s="4"/>
    </row>
    <row r="149" spans="4:4">
      <c r="D149" s="4"/>
    </row>
    <row r="150" spans="4:4">
      <c r="D150" s="4"/>
    </row>
    <row r="151" spans="4:4">
      <c r="D151" s="4"/>
    </row>
    <row r="152" spans="4:4">
      <c r="D152" s="4"/>
    </row>
    <row r="153" spans="4:4">
      <c r="D153" s="4"/>
    </row>
    <row r="154" spans="4:4">
      <c r="D154" s="4"/>
    </row>
    <row r="155" spans="4:4">
      <c r="D155" s="4"/>
    </row>
    <row r="156" spans="4:4">
      <c r="D156" s="4"/>
    </row>
    <row r="157" spans="4:4">
      <c r="D157" s="4"/>
    </row>
    <row r="158" spans="4:4">
      <c r="D158" s="4"/>
    </row>
    <row r="159" spans="4:4">
      <c r="D159" s="4"/>
    </row>
    <row r="160" spans="4:4">
      <c r="D160" s="4"/>
    </row>
    <row r="161" spans="4:4">
      <c r="D161" s="4"/>
    </row>
    <row r="162" spans="4:4">
      <c r="D162" s="4"/>
    </row>
    <row r="163" spans="4:4">
      <c r="D163" s="4"/>
    </row>
    <row r="164" spans="4:4">
      <c r="D164" s="4"/>
    </row>
    <row r="165" spans="4:4">
      <c r="D165" s="4"/>
    </row>
    <row r="166" spans="4:4">
      <c r="D166" s="4"/>
    </row>
    <row r="167" spans="4:4">
      <c r="D167" s="4"/>
    </row>
    <row r="168" spans="4:4">
      <c r="D168" s="4"/>
    </row>
    <row r="169" spans="4:4">
      <c r="D169" s="4"/>
    </row>
    <row r="170" spans="4:4">
      <c r="D170" s="4"/>
    </row>
    <row r="171" spans="4:4">
      <c r="D171" s="4"/>
    </row>
    <row r="172" spans="4:4">
      <c r="D172" s="4"/>
    </row>
    <row r="173" spans="4:4">
      <c r="D173" s="4"/>
    </row>
    <row r="174" spans="4:4">
      <c r="D174" s="4"/>
    </row>
    <row r="175" spans="4:4">
      <c r="D175" s="4"/>
    </row>
    <row r="176" spans="4:4">
      <c r="D176" s="4"/>
    </row>
    <row r="177" spans="4:4">
      <c r="D177" s="4"/>
    </row>
    <row r="178" spans="4:4">
      <c r="D178" s="4"/>
    </row>
    <row r="179" spans="4:4">
      <c r="D179" s="4"/>
    </row>
    <row r="180" spans="4:4">
      <c r="D180" s="4"/>
    </row>
    <row r="181" spans="4:4">
      <c r="D181" s="4"/>
    </row>
    <row r="182" spans="4:4">
      <c r="D182" s="4"/>
    </row>
    <row r="183" spans="4:4">
      <c r="D183" s="4"/>
    </row>
    <row r="184" spans="4:4">
      <c r="D184" s="4"/>
    </row>
  </sheetData>
  <phoneticPr fontId="1" type="noConversion"/>
  <conditionalFormatting sqref="D60:D184 D2:D20 D31:D50">
    <cfRule type="expression" dxfId="855" priority="515">
      <formula>AND(C2&gt;=79001,C2&lt;79900)</formula>
    </cfRule>
    <cfRule type="expression" dxfId="854" priority="516" stopIfTrue="1">
      <formula>AND(C2&gt;=70101,C2&lt;=70301)</formula>
    </cfRule>
    <cfRule type="expression" dxfId="853" priority="517" stopIfTrue="1">
      <formula>AND(C2&gt;70000,C2&lt;70004)</formula>
    </cfRule>
    <cfRule type="expression" dxfId="852" priority="518" stopIfTrue="1">
      <formula>AND(C2&gt;=70010,C2&lt;=76000)</formula>
    </cfRule>
    <cfRule type="expression" dxfId="851" priority="519">
      <formula>AND(C2&gt;70000,C2&lt;70004)</formula>
    </cfRule>
    <cfRule type="expression" dxfId="850" priority="520" stopIfTrue="1">
      <formula>OR(AND(C2&gt;=10000,C2&lt;=56999),AND(C2&gt;=57000,C2&lt;=57999))</formula>
    </cfRule>
    <cfRule type="expression" dxfId="849" priority="521" stopIfTrue="1">
      <formula>AND(C2&gt;=8000,C2&lt;=9999)</formula>
    </cfRule>
    <cfRule type="expression" dxfId="848" priority="522" stopIfTrue="1">
      <formula>AND(C2&gt;=78100,C2&lt;=78199)</formula>
    </cfRule>
    <cfRule type="expression" dxfId="847" priority="523" stopIfTrue="1">
      <formula>AND(C2&gt;=92000,C2&lt;=98999)</formula>
    </cfRule>
    <cfRule type="expression" dxfId="846" priority="524" stopIfTrue="1">
      <formula>AND(C2&gt;=78100,C2&lt;=78199)</formula>
    </cfRule>
    <cfRule type="expression" dxfId="845" priority="525" stopIfTrue="1">
      <formula>AND(C2&gt;=91000,C2&lt;=91999)</formula>
    </cfRule>
  </conditionalFormatting>
  <conditionalFormatting sqref="D51">
    <cfRule type="expression" dxfId="844" priority="233">
      <formula>AND(C51&gt;=79001,C51&lt;79900)</formula>
    </cfRule>
    <cfRule type="expression" dxfId="843" priority="234" stopIfTrue="1">
      <formula>AND(C51&gt;=70101,C51&lt;=70301)</formula>
    </cfRule>
    <cfRule type="expression" dxfId="842" priority="235" stopIfTrue="1">
      <formula>AND(C51&gt;70000,C51&lt;70004)</formula>
    </cfRule>
    <cfRule type="expression" dxfId="841" priority="236" stopIfTrue="1">
      <formula>AND(C51&gt;=70010,C51&lt;=76000)</formula>
    </cfRule>
    <cfRule type="expression" dxfId="840" priority="237">
      <formula>AND(C51&gt;70000,C51&lt;70004)</formula>
    </cfRule>
    <cfRule type="expression" dxfId="839" priority="238" stopIfTrue="1">
      <formula>OR(AND(C51&gt;=10000,C51&lt;=56999),AND(C51&gt;=57000,C51&lt;=57999))</formula>
    </cfRule>
    <cfRule type="expression" dxfId="838" priority="239" stopIfTrue="1">
      <formula>AND(C51&gt;=8000,C51&lt;=9999)</formula>
    </cfRule>
    <cfRule type="expression" dxfId="837" priority="240" stopIfTrue="1">
      <formula>AND(C51&gt;=78100,C51&lt;=78199)</formula>
    </cfRule>
    <cfRule type="expression" dxfId="836" priority="241" stopIfTrue="1">
      <formula>AND(C51&gt;=92000,C51&lt;=98999)</formula>
    </cfRule>
    <cfRule type="expression" dxfId="835" priority="242" stopIfTrue="1">
      <formula>AND(C51&gt;=78100,C51&lt;=78199)</formula>
    </cfRule>
    <cfRule type="expression" dxfId="834" priority="243" stopIfTrue="1">
      <formula>AND(C51&gt;=91000,C51&lt;=91999)</formula>
    </cfRule>
  </conditionalFormatting>
  <conditionalFormatting sqref="D52">
    <cfRule type="expression" dxfId="833" priority="187">
      <formula>AND(C52&gt;=79001,C52&lt;79900)</formula>
    </cfRule>
    <cfRule type="expression" dxfId="832" priority="188" stopIfTrue="1">
      <formula>AND(C52&gt;=70101,C52&lt;=70301)</formula>
    </cfRule>
    <cfRule type="expression" dxfId="831" priority="189" stopIfTrue="1">
      <formula>AND(C52&gt;70000,C52&lt;70004)</formula>
    </cfRule>
    <cfRule type="expression" dxfId="830" priority="190" stopIfTrue="1">
      <formula>AND(C52&gt;=70010,C52&lt;=76000)</formula>
    </cfRule>
    <cfRule type="expression" dxfId="829" priority="191">
      <formula>AND(C52&gt;70000,C52&lt;70004)</formula>
    </cfRule>
    <cfRule type="expression" dxfId="828" priority="192" stopIfTrue="1">
      <formula>OR(AND(C52&gt;=10000,C52&lt;=56999),AND(C52&gt;=57000,C52&lt;=57999))</formula>
    </cfRule>
    <cfRule type="expression" dxfId="827" priority="193" stopIfTrue="1">
      <formula>AND(C52&gt;=8000,C52&lt;=9999)</formula>
    </cfRule>
    <cfRule type="expression" dxfId="826" priority="194" stopIfTrue="1">
      <formula>AND(C52&gt;=78100,C52&lt;=78199)</formula>
    </cfRule>
    <cfRule type="expression" dxfId="825" priority="195" stopIfTrue="1">
      <formula>AND(C52&gt;=92000,C52&lt;=98999)</formula>
    </cfRule>
    <cfRule type="expression" dxfId="824" priority="196" stopIfTrue="1">
      <formula>AND(C52&gt;=78100,C52&lt;=78199)</formula>
    </cfRule>
    <cfRule type="expression" dxfId="823" priority="197" stopIfTrue="1">
      <formula>AND(C52&gt;=91000,C52&lt;=91999)</formula>
    </cfRule>
  </conditionalFormatting>
  <conditionalFormatting sqref="D21:D24 D27:D30">
    <cfRule type="expression" dxfId="822" priority="174">
      <formula>AND(C21&gt;=79001,C21&lt;79900)</formula>
    </cfRule>
    <cfRule type="expression" dxfId="821" priority="175" stopIfTrue="1">
      <formula>AND(C21&gt;=70101,C21&lt;=70301)</formula>
    </cfRule>
    <cfRule type="expression" dxfId="820" priority="176" stopIfTrue="1">
      <formula>AND(C21&gt;70000,C21&lt;70004)</formula>
    </cfRule>
    <cfRule type="expression" dxfId="819" priority="177" stopIfTrue="1">
      <formula>AND(C21&gt;=70010,C21&lt;=76000)</formula>
    </cfRule>
    <cfRule type="expression" dxfId="818" priority="178">
      <formula>AND(C21&gt;70000,C21&lt;70004)</formula>
    </cfRule>
    <cfRule type="expression" dxfId="817" priority="179" stopIfTrue="1">
      <formula>OR(AND(C21&gt;=10000,C21&lt;=56999),AND(C21&gt;=57000,C21&lt;=57999))</formula>
    </cfRule>
    <cfRule type="expression" dxfId="816" priority="180" stopIfTrue="1">
      <formula>AND(C21&gt;=8000,C21&lt;=9999)</formula>
    </cfRule>
    <cfRule type="expression" dxfId="815" priority="181" stopIfTrue="1">
      <formula>AND(C21&gt;=78100,C21&lt;=78199)</formula>
    </cfRule>
    <cfRule type="expression" dxfId="814" priority="182" stopIfTrue="1">
      <formula>AND(C21&gt;=92000,C21&lt;=98999)</formula>
    </cfRule>
    <cfRule type="expression" dxfId="813" priority="183" stopIfTrue="1">
      <formula>AND(C21&gt;=78100,C21&lt;=78199)</formula>
    </cfRule>
    <cfRule type="expression" dxfId="812" priority="184" stopIfTrue="1">
      <formula>AND(C21&gt;=91000,C21&lt;=91999)</formula>
    </cfRule>
  </conditionalFormatting>
  <conditionalFormatting sqref="D53">
    <cfRule type="expression" dxfId="811" priority="160">
      <formula>AND(C53&gt;=79001,C53&lt;79900)</formula>
    </cfRule>
    <cfRule type="expression" dxfId="810" priority="161" stopIfTrue="1">
      <formula>AND(C53&gt;=70101,C53&lt;=70301)</formula>
    </cfRule>
    <cfRule type="expression" dxfId="809" priority="162" stopIfTrue="1">
      <formula>AND(C53&gt;70000,C53&lt;70004)</formula>
    </cfRule>
    <cfRule type="expression" dxfId="808" priority="163" stopIfTrue="1">
      <formula>AND(C53&gt;=70010,C53&lt;=76000)</formula>
    </cfRule>
    <cfRule type="expression" dxfId="807" priority="164">
      <formula>AND(C53&gt;70000,C53&lt;70004)</formula>
    </cfRule>
    <cfRule type="expression" dxfId="806" priority="165" stopIfTrue="1">
      <formula>OR(AND(C53&gt;=10000,C53&lt;=56999),AND(C53&gt;=57000,C53&lt;=57999))</formula>
    </cfRule>
    <cfRule type="expression" dxfId="805" priority="166" stopIfTrue="1">
      <formula>AND(C53&gt;=8000,C53&lt;=9999)</formula>
    </cfRule>
    <cfRule type="expression" dxfId="804" priority="167" stopIfTrue="1">
      <formula>AND(C53&gt;=78100,C53&lt;=78199)</formula>
    </cfRule>
    <cfRule type="expression" dxfId="803" priority="168" stopIfTrue="1">
      <formula>AND(C53&gt;=92000,C53&lt;=98999)</formula>
    </cfRule>
    <cfRule type="expression" dxfId="802" priority="169" stopIfTrue="1">
      <formula>AND(C53&gt;=78100,C53&lt;=78199)</formula>
    </cfRule>
    <cfRule type="expression" dxfId="801" priority="170" stopIfTrue="1">
      <formula>AND(C53&gt;=91000,C53&lt;=91999)</formula>
    </cfRule>
  </conditionalFormatting>
  <conditionalFormatting sqref="D54">
    <cfRule type="expression" dxfId="800" priority="148">
      <formula>AND(C54&gt;=79001,C54&lt;79900)</formula>
    </cfRule>
    <cfRule type="expression" dxfId="799" priority="149" stopIfTrue="1">
      <formula>AND(C54&gt;=70101,C54&lt;=70301)</formula>
    </cfRule>
    <cfRule type="expression" dxfId="798" priority="150" stopIfTrue="1">
      <formula>AND(C54&gt;70000,C54&lt;70004)</formula>
    </cfRule>
    <cfRule type="expression" dxfId="797" priority="151" stopIfTrue="1">
      <formula>AND(C54&gt;=70010,C54&lt;=76000)</formula>
    </cfRule>
    <cfRule type="expression" dxfId="796" priority="152">
      <formula>AND(C54&gt;70000,C54&lt;70004)</formula>
    </cfRule>
    <cfRule type="expression" dxfId="795" priority="153" stopIfTrue="1">
      <formula>OR(AND(C54&gt;=10000,C54&lt;=56999),AND(C54&gt;=57000,C54&lt;=57999))</formula>
    </cfRule>
    <cfRule type="expression" dxfId="794" priority="154" stopIfTrue="1">
      <formula>AND(C54&gt;=8000,C54&lt;=9999)</formula>
    </cfRule>
    <cfRule type="expression" dxfId="793" priority="155" stopIfTrue="1">
      <formula>AND(C54&gt;=78100,C54&lt;=78199)</formula>
    </cfRule>
    <cfRule type="expression" dxfId="792" priority="156" stopIfTrue="1">
      <formula>AND(C54&gt;=92000,C54&lt;=98999)</formula>
    </cfRule>
    <cfRule type="expression" dxfId="791" priority="157" stopIfTrue="1">
      <formula>AND(C54&gt;=78100,C54&lt;=78199)</formula>
    </cfRule>
    <cfRule type="expression" dxfId="790" priority="158" stopIfTrue="1">
      <formula>AND(C54&gt;=91000,C54&lt;=91999)</formula>
    </cfRule>
  </conditionalFormatting>
  <conditionalFormatting sqref="D55">
    <cfRule type="expression" dxfId="789" priority="136">
      <formula>AND(C55&gt;=79001,C55&lt;79900)</formula>
    </cfRule>
    <cfRule type="expression" dxfId="788" priority="137" stopIfTrue="1">
      <formula>AND(C55&gt;=70101,C55&lt;=70301)</formula>
    </cfRule>
    <cfRule type="expression" dxfId="787" priority="138" stopIfTrue="1">
      <formula>AND(C55&gt;70000,C55&lt;70004)</formula>
    </cfRule>
    <cfRule type="expression" dxfId="786" priority="139" stopIfTrue="1">
      <formula>AND(C55&gt;=70010,C55&lt;=76000)</formula>
    </cfRule>
    <cfRule type="expression" dxfId="785" priority="140">
      <formula>AND(C55&gt;70000,C55&lt;70004)</formula>
    </cfRule>
    <cfRule type="expression" dxfId="784" priority="141" stopIfTrue="1">
      <formula>OR(AND(C55&gt;=10000,C55&lt;=56999),AND(C55&gt;=57000,C55&lt;=57999))</formula>
    </cfRule>
    <cfRule type="expression" dxfId="783" priority="142" stopIfTrue="1">
      <formula>AND(C55&gt;=8000,C55&lt;=9999)</formula>
    </cfRule>
    <cfRule type="expression" dxfId="782" priority="143" stopIfTrue="1">
      <formula>AND(C55&gt;=78100,C55&lt;=78199)</formula>
    </cfRule>
    <cfRule type="expression" dxfId="781" priority="144" stopIfTrue="1">
      <formula>AND(C55&gt;=92000,C55&lt;=98999)</formula>
    </cfRule>
    <cfRule type="expression" dxfId="780" priority="145" stopIfTrue="1">
      <formula>AND(C55&gt;=78100,C55&lt;=78199)</formula>
    </cfRule>
    <cfRule type="expression" dxfId="779" priority="146" stopIfTrue="1">
      <formula>AND(C55&gt;=91000,C55&lt;=91999)</formula>
    </cfRule>
  </conditionalFormatting>
  <conditionalFormatting sqref="D56">
    <cfRule type="expression" dxfId="778" priority="112">
      <formula>AND(C56&gt;=79001,C56&lt;79900)</formula>
    </cfRule>
    <cfRule type="expression" dxfId="777" priority="113" stopIfTrue="1">
      <formula>AND(C56&gt;=70101,C56&lt;=70301)</formula>
    </cfRule>
    <cfRule type="expression" dxfId="776" priority="114" stopIfTrue="1">
      <formula>AND(C56&gt;70000,C56&lt;70004)</formula>
    </cfRule>
    <cfRule type="expression" dxfId="775" priority="115" stopIfTrue="1">
      <formula>AND(C56&gt;=70010,C56&lt;=76000)</formula>
    </cfRule>
    <cfRule type="expression" dxfId="774" priority="116">
      <formula>AND(C56&gt;70000,C56&lt;70004)</formula>
    </cfRule>
    <cfRule type="expression" dxfId="773" priority="117" stopIfTrue="1">
      <formula>OR(AND(C56&gt;=10000,C56&lt;=56999),AND(C56&gt;=57000,C56&lt;=57999))</formula>
    </cfRule>
    <cfRule type="expression" dxfId="772" priority="118" stopIfTrue="1">
      <formula>AND(C56&gt;=8000,C56&lt;=9999)</formula>
    </cfRule>
    <cfRule type="expression" dxfId="771" priority="119" stopIfTrue="1">
      <formula>AND(C56&gt;=78100,C56&lt;=78199)</formula>
    </cfRule>
    <cfRule type="expression" dxfId="770" priority="120" stopIfTrue="1">
      <formula>AND(C56&gt;=92000,C56&lt;=98999)</formula>
    </cfRule>
    <cfRule type="expression" dxfId="769" priority="121" stopIfTrue="1">
      <formula>AND(C56&gt;=78100,C56&lt;=78199)</formula>
    </cfRule>
    <cfRule type="expression" dxfId="768" priority="122" stopIfTrue="1">
      <formula>AND(C56&gt;=91000,C56&lt;=91999)</formula>
    </cfRule>
  </conditionalFormatting>
  <conditionalFormatting sqref="D57">
    <cfRule type="expression" dxfId="767" priority="100">
      <formula>AND(C57&gt;=79001,C57&lt;79900)</formula>
    </cfRule>
    <cfRule type="expression" dxfId="766" priority="101" stopIfTrue="1">
      <formula>AND(C57&gt;=70101,C57&lt;=70301)</formula>
    </cfRule>
    <cfRule type="expression" dxfId="765" priority="102" stopIfTrue="1">
      <formula>AND(C57&gt;70000,C57&lt;70004)</formula>
    </cfRule>
    <cfRule type="expression" dxfId="764" priority="103" stopIfTrue="1">
      <formula>AND(C57&gt;=70010,C57&lt;=76000)</formula>
    </cfRule>
    <cfRule type="expression" dxfId="763" priority="104">
      <formula>AND(C57&gt;70000,C57&lt;70004)</formula>
    </cfRule>
    <cfRule type="expression" dxfId="762" priority="105" stopIfTrue="1">
      <formula>OR(AND(C57&gt;=10000,C57&lt;=56999),AND(C57&gt;=57000,C57&lt;=57999))</formula>
    </cfRule>
    <cfRule type="expression" dxfId="761" priority="106" stopIfTrue="1">
      <formula>AND(C57&gt;=8000,C57&lt;=9999)</formula>
    </cfRule>
    <cfRule type="expression" dxfId="760" priority="107" stopIfTrue="1">
      <formula>AND(C57&gt;=78100,C57&lt;=78199)</formula>
    </cfRule>
    <cfRule type="expression" dxfId="759" priority="108" stopIfTrue="1">
      <formula>AND(C57&gt;=92000,C57&lt;=98999)</formula>
    </cfRule>
    <cfRule type="expression" dxfId="758" priority="109" stopIfTrue="1">
      <formula>AND(C57&gt;=78100,C57&lt;=78199)</formula>
    </cfRule>
    <cfRule type="expression" dxfId="757" priority="110" stopIfTrue="1">
      <formula>AND(C57&gt;=91000,C57&lt;=91999)</formula>
    </cfRule>
  </conditionalFormatting>
  <conditionalFormatting sqref="D58">
    <cfRule type="expression" dxfId="756" priority="88">
      <formula>AND(C58&gt;=79001,C58&lt;79900)</formula>
    </cfRule>
    <cfRule type="expression" dxfId="755" priority="89" stopIfTrue="1">
      <formula>AND(C58&gt;=70101,C58&lt;=70301)</formula>
    </cfRule>
    <cfRule type="expression" dxfId="754" priority="90" stopIfTrue="1">
      <formula>AND(C58&gt;70000,C58&lt;70004)</formula>
    </cfRule>
    <cfRule type="expression" dxfId="753" priority="91" stopIfTrue="1">
      <formula>AND(C58&gt;=70010,C58&lt;=76000)</formula>
    </cfRule>
    <cfRule type="expression" dxfId="752" priority="92">
      <formula>AND(C58&gt;70000,C58&lt;70004)</formula>
    </cfRule>
    <cfRule type="expression" dxfId="751" priority="93" stopIfTrue="1">
      <formula>OR(AND(C58&gt;=10000,C58&lt;=56999),AND(C58&gt;=57000,C58&lt;=57999))</formula>
    </cfRule>
    <cfRule type="expression" dxfId="750" priority="94" stopIfTrue="1">
      <formula>AND(C58&gt;=8000,C58&lt;=9999)</formula>
    </cfRule>
    <cfRule type="expression" dxfId="749" priority="95" stopIfTrue="1">
      <formula>AND(C58&gt;=78100,C58&lt;=78199)</formula>
    </cfRule>
    <cfRule type="expression" dxfId="748" priority="96" stopIfTrue="1">
      <formula>AND(C58&gt;=92000,C58&lt;=98999)</formula>
    </cfRule>
    <cfRule type="expression" dxfId="747" priority="97" stopIfTrue="1">
      <formula>AND(C58&gt;=78100,C58&lt;=78199)</formula>
    </cfRule>
    <cfRule type="expression" dxfId="746" priority="98" stopIfTrue="1">
      <formula>AND(C58&gt;=91000,C58&lt;=91999)</formula>
    </cfRule>
  </conditionalFormatting>
  <conditionalFormatting sqref="D59">
    <cfRule type="expression" dxfId="745" priority="76">
      <formula>AND(C59&gt;=79001,C59&lt;79900)</formula>
    </cfRule>
    <cfRule type="expression" dxfId="744" priority="77" stopIfTrue="1">
      <formula>AND(C59&gt;=70101,C59&lt;=70301)</formula>
    </cfRule>
    <cfRule type="expression" dxfId="743" priority="78" stopIfTrue="1">
      <formula>AND(C59&gt;70000,C59&lt;70004)</formula>
    </cfRule>
    <cfRule type="expression" dxfId="742" priority="79" stopIfTrue="1">
      <formula>AND(C59&gt;=70010,C59&lt;=76000)</formula>
    </cfRule>
    <cfRule type="expression" dxfId="741" priority="80">
      <formula>AND(C59&gt;70000,C59&lt;70004)</formula>
    </cfRule>
    <cfRule type="expression" dxfId="740" priority="81" stopIfTrue="1">
      <formula>OR(AND(C59&gt;=10000,C59&lt;=56999),AND(C59&gt;=57000,C59&lt;=57999))</formula>
    </cfRule>
    <cfRule type="expression" dxfId="739" priority="82" stopIfTrue="1">
      <formula>AND(C59&gt;=8000,C59&lt;=9999)</formula>
    </cfRule>
    <cfRule type="expression" dxfId="738" priority="83" stopIfTrue="1">
      <formula>AND(C59&gt;=78100,C59&lt;=78199)</formula>
    </cfRule>
    <cfRule type="expression" dxfId="737" priority="84" stopIfTrue="1">
      <formula>AND(C59&gt;=92000,C59&lt;=98999)</formula>
    </cfRule>
    <cfRule type="expression" dxfId="736" priority="85" stopIfTrue="1">
      <formula>AND(C59&gt;=78100,C59&lt;=78199)</formula>
    </cfRule>
    <cfRule type="expression" dxfId="735" priority="86" stopIfTrue="1">
      <formula>AND(C59&gt;=91000,C59&lt;=91999)</formula>
    </cfRule>
  </conditionalFormatting>
  <conditionalFormatting sqref="C37:C39">
    <cfRule type="duplicateValues" dxfId="734" priority="23"/>
  </conditionalFormatting>
  <conditionalFormatting sqref="C40">
    <cfRule type="duplicateValues" dxfId="733" priority="21"/>
  </conditionalFormatting>
  <conditionalFormatting sqref="C41:C43">
    <cfRule type="duplicateValues" dxfId="732" priority="20"/>
  </conditionalFormatting>
  <conditionalFormatting sqref="C44">
    <cfRule type="duplicateValues" dxfId="731" priority="18"/>
  </conditionalFormatting>
  <conditionalFormatting sqref="C45:C47">
    <cfRule type="duplicateValues" dxfId="730" priority="17"/>
  </conditionalFormatting>
  <conditionalFormatting sqref="C48">
    <cfRule type="duplicateValues" dxfId="729" priority="15"/>
  </conditionalFormatting>
  <conditionalFormatting sqref="O1:O24 O27:O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5:D26">
    <cfRule type="expression" dxfId="728" priority="3">
      <formula>AND(C25&gt;=79001,C25&lt;79900)</formula>
    </cfRule>
    <cfRule type="expression" dxfId="727" priority="4" stopIfTrue="1">
      <formula>AND(C25&gt;=70101,C25&lt;=70301)</formula>
    </cfRule>
    <cfRule type="expression" dxfId="726" priority="5" stopIfTrue="1">
      <formula>AND(C25&gt;70000,C25&lt;70004)</formula>
    </cfRule>
    <cfRule type="expression" dxfId="725" priority="6" stopIfTrue="1">
      <formula>AND(C25&gt;=70010,C25&lt;=76000)</formula>
    </cfRule>
    <cfRule type="expression" dxfId="724" priority="7">
      <formula>AND(C25&gt;70000,C25&lt;70004)</formula>
    </cfRule>
    <cfRule type="expression" dxfId="723" priority="8" stopIfTrue="1">
      <formula>OR(AND(C25&gt;=10000,C25&lt;=56999),AND(C25&gt;=57000,C25&lt;=57999))</formula>
    </cfRule>
    <cfRule type="expression" dxfId="722" priority="9" stopIfTrue="1">
      <formula>AND(C25&gt;=8000,C25&lt;=9999)</formula>
    </cfRule>
    <cfRule type="expression" dxfId="721" priority="10" stopIfTrue="1">
      <formula>AND(C25&gt;=78100,C25&lt;=78199)</formula>
    </cfRule>
    <cfRule type="expression" dxfId="720" priority="11" stopIfTrue="1">
      <formula>AND(C25&gt;=92000,C25&lt;=98999)</formula>
    </cfRule>
    <cfRule type="expression" dxfId="719" priority="12" stopIfTrue="1">
      <formula>AND(C25&gt;=78100,C25&lt;=78199)</formula>
    </cfRule>
    <cfRule type="expression" dxfId="718" priority="13" stopIfTrue="1">
      <formula>AND(C25&gt;=91000,C25&lt;=91999)</formula>
    </cfRule>
  </conditionalFormatting>
  <conditionalFormatting sqref="O25:O2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AC207"/>
  <sheetViews>
    <sheetView workbookViewId="0">
      <pane xSplit="4" ySplit="1" topLeftCell="E152" activePane="bottomRight" state="frozenSplit"/>
      <selection pane="topRight" activeCell="E1" sqref="E1"/>
      <selection pane="bottomLeft" activeCell="A2" sqref="A2"/>
      <selection pane="bottomRight" activeCell="F170" sqref="F170"/>
    </sheetView>
  </sheetViews>
  <sheetFormatPr defaultRowHeight="13.5"/>
  <cols>
    <col min="1" max="1" width="4.5" style="10" bestFit="1" customWidth="1"/>
    <col min="2" max="3" width="7.5" style="10" bestFit="1" customWidth="1"/>
    <col min="4" max="4" width="17.375" style="10" bestFit="1" customWidth="1"/>
    <col min="5" max="5" width="5.5" style="10" bestFit="1" customWidth="1"/>
    <col min="6" max="6" width="10.625" style="10" customWidth="1"/>
    <col min="7" max="8" width="9.5" style="10" bestFit="1" customWidth="1"/>
    <col min="9" max="9" width="8.5" style="10" bestFit="1" customWidth="1"/>
    <col min="10" max="10" width="9.5" style="10" bestFit="1" customWidth="1"/>
    <col min="11" max="11" width="5.25" style="10" bestFit="1" customWidth="1"/>
    <col min="12" max="13" width="5.25" bestFit="1" customWidth="1"/>
    <col min="14" max="14" width="6.125" customWidth="1"/>
    <col min="20" max="20" width="6.625" customWidth="1"/>
    <col min="21" max="22" width="9" style="16"/>
    <col min="25" max="25" width="6.5" customWidth="1"/>
    <col min="27" max="27" width="7.25" customWidth="1"/>
    <col min="28" max="29" width="6.25" customWidth="1"/>
  </cols>
  <sheetData>
    <row r="1" spans="1:29">
      <c r="A1" s="10" t="s">
        <v>14</v>
      </c>
      <c r="B1" s="10" t="s">
        <v>15</v>
      </c>
      <c r="C1" s="10" t="s">
        <v>16</v>
      </c>
      <c r="D1" s="10" t="s">
        <v>31</v>
      </c>
      <c r="E1" s="10" t="s">
        <v>3</v>
      </c>
      <c r="F1" s="10" t="s">
        <v>17</v>
      </c>
      <c r="G1" s="10" t="s">
        <v>18</v>
      </c>
      <c r="H1" s="10" t="s">
        <v>19</v>
      </c>
      <c r="I1" s="10" t="s">
        <v>20</v>
      </c>
      <c r="J1" s="10" t="s">
        <v>21</v>
      </c>
      <c r="K1" s="40" t="s">
        <v>110</v>
      </c>
      <c r="L1" s="22" t="s">
        <v>108</v>
      </c>
      <c r="M1" s="22" t="s">
        <v>109</v>
      </c>
      <c r="O1" t="s">
        <v>48</v>
      </c>
      <c r="P1" t="s">
        <v>101</v>
      </c>
      <c r="Q1" t="s">
        <v>105</v>
      </c>
      <c r="S1" t="s">
        <v>115</v>
      </c>
      <c r="X1" t="s">
        <v>59</v>
      </c>
      <c r="AB1" t="s">
        <v>77</v>
      </c>
      <c r="AC1" t="s">
        <v>78</v>
      </c>
    </row>
    <row r="2" spans="1:29">
      <c r="A2" s="10">
        <v>1</v>
      </c>
      <c r="B2" s="10">
        <v>0</v>
      </c>
      <c r="C2" s="10">
        <v>83009</v>
      </c>
      <c r="D2" s="10" t="str">
        <f>IFERROR(VLOOKUP(C2,[1]引用表合并!$A$2:$B$1000,2,FALSE),"")</f>
        <v>神之手</v>
      </c>
      <c r="E2" s="10">
        <v>1</v>
      </c>
      <c r="F2" s="10">
        <v>1300</v>
      </c>
      <c r="G2" s="10">
        <v>1</v>
      </c>
      <c r="H2" s="10">
        <v>100</v>
      </c>
      <c r="I2" s="10">
        <v>0</v>
      </c>
      <c r="J2" s="10">
        <v>1</v>
      </c>
      <c r="K2" s="7">
        <v>0</v>
      </c>
      <c r="L2" s="7">
        <v>2</v>
      </c>
      <c r="M2" s="7">
        <v>1</v>
      </c>
      <c r="O2" s="1">
        <f>ROUNDUP(VLOOKUP(C2,[2]!游戏物价查询,7,FALSE),0)*E2</f>
        <v>1141</v>
      </c>
      <c r="P2">
        <f>VLOOKUP(C2,[2]!游戏物价查询,4,0)</f>
        <v>1</v>
      </c>
      <c r="R2" t="str">
        <f>IF(L2&lt;2,F2,"")</f>
        <v/>
      </c>
      <c r="S2">
        <f t="shared" ref="S2:S65" si="0">IFERROR(R2/SUM(R:R),0)</f>
        <v>0</v>
      </c>
      <c r="V2" s="16">
        <f>SUM($R$3:R8)</f>
        <v>3390</v>
      </c>
      <c r="W2">
        <f>IF(AND(L2&lt;&gt;1,L2&lt;&gt;3),F2,"")</f>
        <v>1300</v>
      </c>
      <c r="X2">
        <f t="shared" ref="X2:X65" si="1">IFERROR(W2/SUM(W:W),0)</f>
        <v>8.3752093802345051E-3</v>
      </c>
      <c r="Y2" s="22">
        <f>X2</f>
        <v>8.3752093802345051E-3</v>
      </c>
      <c r="Z2" s="16"/>
      <c r="AA2" s="16">
        <f>SUM($W$3:W8)</f>
        <v>0</v>
      </c>
    </row>
    <row r="3" spans="1:29">
      <c r="A3" s="10">
        <v>2</v>
      </c>
      <c r="B3" s="10">
        <v>0</v>
      </c>
      <c r="C3">
        <v>101101</v>
      </c>
      <c r="D3" s="41" t="str">
        <f>IFERROR(VLOOKUP(C3,[1]引用表合并!$A$2:$B$1000,2,FALSE),"")</f>
        <v>制服太妹</v>
      </c>
      <c r="E3" s="10">
        <v>1</v>
      </c>
      <c r="F3" s="10">
        <v>1100</v>
      </c>
      <c r="G3" s="10">
        <v>1</v>
      </c>
      <c r="H3" s="10">
        <v>100</v>
      </c>
      <c r="I3" s="10">
        <v>0</v>
      </c>
      <c r="J3" s="10">
        <v>1</v>
      </c>
      <c r="K3" s="7">
        <v>1</v>
      </c>
      <c r="L3" s="7">
        <v>1</v>
      </c>
      <c r="M3" s="7">
        <v>0</v>
      </c>
      <c r="O3" s="1">
        <f>ROUNDUP(VLOOKUP(C3,[2]!游戏物价查询,7,FALSE),0)*E3</f>
        <v>250</v>
      </c>
      <c r="P3">
        <f>VLOOKUP(C3,[2]!游戏物价查询,4,0)</f>
        <v>1</v>
      </c>
      <c r="R3">
        <f t="shared" ref="R3:R51" si="2">IF(L3&lt;2,F3,"")</f>
        <v>1100</v>
      </c>
      <c r="S3">
        <f t="shared" si="0"/>
        <v>7.2458994796126735E-3</v>
      </c>
      <c r="V3" s="16">
        <f>SUM($R$3:R3)</f>
        <v>1100</v>
      </c>
      <c r="W3" t="str">
        <f t="shared" ref="W3:W108" si="3">IF(AND(L3&lt;&gt;1,L3&lt;&gt;3),F3,"")</f>
        <v/>
      </c>
      <c r="X3">
        <f t="shared" si="1"/>
        <v>0</v>
      </c>
      <c r="Z3" s="16"/>
      <c r="AA3" s="16">
        <f>SUM($W$3:W3)</f>
        <v>0</v>
      </c>
    </row>
    <row r="4" spans="1:29">
      <c r="A4" s="10">
        <v>3</v>
      </c>
      <c r="B4" s="10">
        <v>0</v>
      </c>
      <c r="C4">
        <v>101103</v>
      </c>
      <c r="D4" s="41" t="str">
        <f>IFERROR(VLOOKUP(C4,[1]引用表合并!$A$2:$B$1000,2,FALSE),"")</f>
        <v>比利</v>
      </c>
      <c r="E4" s="10">
        <v>1</v>
      </c>
      <c r="F4" s="10">
        <v>950</v>
      </c>
      <c r="G4" s="10">
        <v>1</v>
      </c>
      <c r="H4" s="10">
        <v>100</v>
      </c>
      <c r="I4" s="10">
        <v>0</v>
      </c>
      <c r="J4" s="10">
        <v>1</v>
      </c>
      <c r="K4" s="7">
        <v>1</v>
      </c>
      <c r="L4" s="7">
        <v>1</v>
      </c>
      <c r="M4" s="7">
        <v>0</v>
      </c>
      <c r="O4" s="1">
        <f>ROUNDUP(VLOOKUP(C4,[2]!游戏物价查询,7,FALSE),0)*E4</f>
        <v>250</v>
      </c>
      <c r="P4">
        <f>VLOOKUP(C4,[2]!游戏物价查询,4,0)</f>
        <v>1</v>
      </c>
      <c r="R4">
        <f t="shared" si="2"/>
        <v>950</v>
      </c>
      <c r="S4">
        <f t="shared" si="0"/>
        <v>6.2578222778473091E-3</v>
      </c>
      <c r="V4" s="16">
        <f>SUM($R$3:R4)</f>
        <v>2050</v>
      </c>
      <c r="W4" t="str">
        <f t="shared" si="3"/>
        <v/>
      </c>
      <c r="X4">
        <f t="shared" si="1"/>
        <v>0</v>
      </c>
      <c r="Z4" s="16"/>
      <c r="AA4" s="16">
        <f>SUM($W$3:W4)</f>
        <v>0</v>
      </c>
    </row>
    <row r="5" spans="1:29">
      <c r="A5" s="10">
        <v>4</v>
      </c>
      <c r="B5" s="10">
        <v>0</v>
      </c>
      <c r="C5">
        <v>101106</v>
      </c>
      <c r="D5" s="29" t="str">
        <f>IFERROR(VLOOKUP(C5,[1]引用表合并!$A$2:$B$1000,2,FALSE),"")</f>
        <v>靓坤</v>
      </c>
      <c r="E5" s="10">
        <v>1</v>
      </c>
      <c r="F5" s="10">
        <v>300</v>
      </c>
      <c r="G5" s="10">
        <v>1</v>
      </c>
      <c r="H5" s="10">
        <v>100</v>
      </c>
      <c r="I5" s="10">
        <v>0</v>
      </c>
      <c r="J5" s="10">
        <v>1</v>
      </c>
      <c r="K5" s="7">
        <v>1</v>
      </c>
      <c r="L5" s="7">
        <v>1</v>
      </c>
      <c r="M5" s="7">
        <v>0</v>
      </c>
      <c r="O5" s="1">
        <f>ROUNDUP(VLOOKUP(C5,[2]!游戏物价查询,7,FALSE),0)*E5</f>
        <v>500</v>
      </c>
      <c r="P5">
        <f>VLOOKUP(C5,[2]!游戏物价查询,4,0)</f>
        <v>1</v>
      </c>
      <c r="R5">
        <f t="shared" si="2"/>
        <v>300</v>
      </c>
      <c r="S5">
        <f t="shared" si="0"/>
        <v>1.9761544035307292E-3</v>
      </c>
      <c r="V5" s="16">
        <f>SUM($R$3:R5)</f>
        <v>2350</v>
      </c>
      <c r="W5" t="str">
        <f t="shared" si="3"/>
        <v/>
      </c>
      <c r="X5">
        <f t="shared" si="1"/>
        <v>0</v>
      </c>
      <c r="Z5" s="16"/>
      <c r="AA5" s="16">
        <f>SUM($W$3:W5)</f>
        <v>0</v>
      </c>
    </row>
    <row r="6" spans="1:29">
      <c r="A6" s="10">
        <v>5</v>
      </c>
      <c r="B6" s="10">
        <v>0</v>
      </c>
      <c r="C6">
        <v>101107</v>
      </c>
      <c r="D6" s="29" t="str">
        <f>IFERROR(VLOOKUP(C6,[1]引用表合并!$A$2:$B$1000,2,FALSE),"")</f>
        <v>雷复轰</v>
      </c>
      <c r="E6" s="10">
        <v>1</v>
      </c>
      <c r="F6" s="10">
        <v>320</v>
      </c>
      <c r="G6" s="10">
        <v>1</v>
      </c>
      <c r="H6" s="10">
        <v>100</v>
      </c>
      <c r="I6" s="10">
        <v>0</v>
      </c>
      <c r="J6" s="10">
        <v>1</v>
      </c>
      <c r="K6" s="7">
        <v>1</v>
      </c>
      <c r="L6" s="7">
        <v>1</v>
      </c>
      <c r="M6" s="7">
        <v>0</v>
      </c>
      <c r="O6" s="1">
        <f>ROUNDUP(VLOOKUP(C6,[2]!游戏物价查询,7,FALSE),0)*E6</f>
        <v>500</v>
      </c>
      <c r="P6">
        <f>VLOOKUP(C6,[2]!游戏物价查询,4,0)</f>
        <v>1</v>
      </c>
      <c r="R6">
        <f t="shared" si="2"/>
        <v>320</v>
      </c>
      <c r="S6">
        <f t="shared" si="0"/>
        <v>2.1078980304327778E-3</v>
      </c>
      <c r="V6" s="16">
        <f>SUM($R$3:R6)</f>
        <v>2670</v>
      </c>
      <c r="W6" t="str">
        <f t="shared" si="3"/>
        <v/>
      </c>
      <c r="X6">
        <f t="shared" si="1"/>
        <v>0</v>
      </c>
      <c r="Z6" s="16"/>
      <c r="AA6" s="16">
        <f>SUM($W$3:W6)</f>
        <v>0</v>
      </c>
    </row>
    <row r="7" spans="1:29">
      <c r="A7" s="10">
        <v>6</v>
      </c>
      <c r="B7" s="10">
        <v>0</v>
      </c>
      <c r="C7">
        <v>101108</v>
      </c>
      <c r="D7" s="29" t="str">
        <f>IFERROR(VLOOKUP(C7,[1]引用表合并!$A$2:$B$1000,2,FALSE),"")</f>
        <v>肥仔</v>
      </c>
      <c r="E7" s="10">
        <v>1</v>
      </c>
      <c r="F7" s="10">
        <v>340</v>
      </c>
      <c r="G7" s="10">
        <v>1</v>
      </c>
      <c r="H7" s="10">
        <v>100</v>
      </c>
      <c r="I7" s="10">
        <v>0</v>
      </c>
      <c r="J7" s="10">
        <v>1</v>
      </c>
      <c r="K7" s="7">
        <v>1</v>
      </c>
      <c r="L7" s="7">
        <v>1</v>
      </c>
      <c r="M7" s="7">
        <v>0</v>
      </c>
      <c r="O7" s="1">
        <f>ROUNDUP(VLOOKUP(C7,[2]!游戏物价查询,7,FALSE),0)*E7</f>
        <v>500</v>
      </c>
      <c r="P7">
        <f>VLOOKUP(C7,[2]!游戏物价查询,4,0)</f>
        <v>1</v>
      </c>
      <c r="R7">
        <f t="shared" si="2"/>
        <v>340</v>
      </c>
      <c r="S7">
        <f t="shared" si="0"/>
        <v>2.2396416573348264E-3</v>
      </c>
      <c r="V7" s="16">
        <f>SUM($R$3:R7)</f>
        <v>3010</v>
      </c>
      <c r="W7" t="str">
        <f t="shared" si="3"/>
        <v/>
      </c>
      <c r="X7">
        <f t="shared" si="1"/>
        <v>0</v>
      </c>
      <c r="Z7" s="16"/>
      <c r="AA7" s="16">
        <f>SUM($W$3:W7)</f>
        <v>0</v>
      </c>
      <c r="AC7">
        <f>[2]马仔的投放!$AH$39</f>
        <v>0.16343944387686024</v>
      </c>
    </row>
    <row r="8" spans="1:29">
      <c r="A8" s="10">
        <v>7</v>
      </c>
      <c r="B8" s="10">
        <v>0</v>
      </c>
      <c r="C8">
        <v>101117</v>
      </c>
      <c r="D8" s="29" t="str">
        <f>IFERROR(VLOOKUP(C8,[1]引用表合并!$A$2:$B$1000,2,FALSE),"")</f>
        <v>巴闭</v>
      </c>
      <c r="E8" s="10">
        <v>1</v>
      </c>
      <c r="F8" s="10">
        <v>380</v>
      </c>
      <c r="G8" s="10">
        <v>1</v>
      </c>
      <c r="H8" s="10">
        <v>100</v>
      </c>
      <c r="I8" s="10">
        <v>0</v>
      </c>
      <c r="J8" s="10">
        <v>1</v>
      </c>
      <c r="K8" s="7">
        <v>1</v>
      </c>
      <c r="L8" s="7">
        <v>1</v>
      </c>
      <c r="M8" s="7">
        <v>0</v>
      </c>
      <c r="O8" s="1">
        <f>ROUNDUP(VLOOKUP(C8,[2]!游戏物价查询,7,FALSE),0)*E8</f>
        <v>500</v>
      </c>
      <c r="P8">
        <f>VLOOKUP(C8,[2]!游戏物价查询,4,0)</f>
        <v>2</v>
      </c>
      <c r="R8">
        <f t="shared" si="2"/>
        <v>380</v>
      </c>
      <c r="S8">
        <f t="shared" si="0"/>
        <v>2.5031289111389237E-3</v>
      </c>
      <c r="T8">
        <f>SUM(S3:S8)</f>
        <v>2.233054475989724E-2</v>
      </c>
      <c r="U8">
        <f>SUM(S5:S8)</f>
        <v>8.8268230024372563E-3</v>
      </c>
      <c r="V8" s="16">
        <f>SUM($R$3:R8)</f>
        <v>3390</v>
      </c>
      <c r="W8" t="str">
        <f t="shared" si="3"/>
        <v/>
      </c>
      <c r="X8">
        <f t="shared" si="1"/>
        <v>0</v>
      </c>
      <c r="Y8">
        <f>SUM(X3:X8)</f>
        <v>0</v>
      </c>
      <c r="Z8">
        <f>SUM(X5:X8)</f>
        <v>0</v>
      </c>
      <c r="AA8" s="16">
        <f>SUM($W$3:W8)</f>
        <v>0</v>
      </c>
    </row>
    <row r="9" spans="1:29">
      <c r="A9" s="10">
        <v>8</v>
      </c>
      <c r="B9" s="10">
        <v>0</v>
      </c>
      <c r="C9" s="48">
        <v>93233</v>
      </c>
      <c r="D9" s="10" t="str">
        <f>IFERROR(VLOOKUP(C9,[1]引用表合并!$A$2:$B$1000,2,FALSE),"")</f>
        <v>白金手环碎片</v>
      </c>
      <c r="E9" s="10">
        <v>2</v>
      </c>
      <c r="F9" s="10">
        <v>1100</v>
      </c>
      <c r="G9" s="10">
        <v>1</v>
      </c>
      <c r="H9" s="10">
        <v>100</v>
      </c>
      <c r="I9" s="10">
        <v>0</v>
      </c>
      <c r="J9" s="10">
        <v>1</v>
      </c>
      <c r="K9" s="7">
        <v>0</v>
      </c>
      <c r="L9" s="7">
        <v>0</v>
      </c>
      <c r="M9" s="7">
        <v>0</v>
      </c>
      <c r="O9" s="1">
        <f>ROUNDUP(VLOOKUP(C9,[2]!游戏物价查询,7,FALSE),0)*E9</f>
        <v>4</v>
      </c>
      <c r="P9">
        <f>VLOOKUP(C9,[2]!游戏物价查询,4,0)</f>
        <v>1910</v>
      </c>
      <c r="Q9">
        <f>VLOOKUP(C9,[3]!马仔宝物属性,6,FALSE)</f>
        <v>1</v>
      </c>
      <c r="R9">
        <f t="shared" ref="R9:R18" si="4">IF(L9&lt;2,F9,"")</f>
        <v>1100</v>
      </c>
      <c r="S9">
        <f t="shared" si="0"/>
        <v>7.2458994796126735E-3</v>
      </c>
      <c r="V9" s="16">
        <f>SUM($R$3:R9)</f>
        <v>4490</v>
      </c>
      <c r="W9">
        <f t="shared" ref="W9:W18" si="5">IF(AND(L9&lt;&gt;1,L9&lt;&gt;3),F9,"")</f>
        <v>1100</v>
      </c>
      <c r="X9">
        <f t="shared" si="1"/>
        <v>7.0867156294291975E-3</v>
      </c>
      <c r="Z9" s="16"/>
      <c r="AA9" s="16">
        <f>SUM($W$3:W9)</f>
        <v>1100</v>
      </c>
    </row>
    <row r="10" spans="1:29">
      <c r="A10" s="10">
        <v>9</v>
      </c>
      <c r="B10" s="10">
        <v>0</v>
      </c>
      <c r="C10" s="48">
        <v>93122</v>
      </c>
      <c r="D10" s="10" t="str">
        <f>IFERROR(VLOOKUP(C10,[1]引用表合并!$A$2:$B$1000,2,FALSE),"")</f>
        <v>银饰耳钉碎片</v>
      </c>
      <c r="E10" s="10">
        <v>2</v>
      </c>
      <c r="F10" s="10">
        <v>1100</v>
      </c>
      <c r="G10" s="10">
        <v>1</v>
      </c>
      <c r="H10" s="10">
        <v>100</v>
      </c>
      <c r="I10" s="10">
        <v>0</v>
      </c>
      <c r="J10" s="10">
        <v>1</v>
      </c>
      <c r="K10" s="7">
        <v>0</v>
      </c>
      <c r="L10" s="7">
        <v>0</v>
      </c>
      <c r="M10" s="7">
        <v>0</v>
      </c>
      <c r="O10" s="1">
        <f>ROUNDUP(VLOOKUP(C10,[2]!游戏物价查询,7,FALSE),0)*E10</f>
        <v>4</v>
      </c>
      <c r="P10">
        <f>VLOOKUP(C10,[2]!游戏物价查询,4,0)</f>
        <v>1810</v>
      </c>
      <c r="Q10">
        <f>VLOOKUP(C10,[3]!马仔宝物属性,6,FALSE)</f>
        <v>1</v>
      </c>
      <c r="R10">
        <f t="shared" si="4"/>
        <v>1100</v>
      </c>
      <c r="S10">
        <f t="shared" si="0"/>
        <v>7.2458994796126735E-3</v>
      </c>
      <c r="V10" s="16">
        <f>SUM($R$3:R10)</f>
        <v>5590</v>
      </c>
      <c r="W10">
        <f t="shared" si="5"/>
        <v>1100</v>
      </c>
      <c r="X10">
        <f t="shared" si="1"/>
        <v>7.0867156294291975E-3</v>
      </c>
      <c r="Z10" s="16"/>
      <c r="AA10" s="16">
        <f>SUM($W$3:W10)</f>
        <v>2200</v>
      </c>
    </row>
    <row r="11" spans="1:29">
      <c r="A11" s="10">
        <v>10</v>
      </c>
      <c r="B11" s="10">
        <v>0</v>
      </c>
      <c r="C11" s="48">
        <v>93141</v>
      </c>
      <c r="D11" s="10" t="str">
        <f>IFERROR(VLOOKUP(C11,[1]引用表合并!$A$2:$B$1000,2,FALSE),"")</f>
        <v>白银戒指碎片</v>
      </c>
      <c r="E11" s="10">
        <v>2</v>
      </c>
      <c r="F11" s="10">
        <v>1100</v>
      </c>
      <c r="G11" s="10">
        <v>1</v>
      </c>
      <c r="H11" s="10">
        <v>100</v>
      </c>
      <c r="I11" s="10">
        <v>0</v>
      </c>
      <c r="J11" s="10">
        <v>1</v>
      </c>
      <c r="K11" s="7">
        <v>0</v>
      </c>
      <c r="L11" s="7">
        <v>0</v>
      </c>
      <c r="M11" s="7">
        <v>0</v>
      </c>
      <c r="O11" s="1">
        <f>ROUNDUP(VLOOKUP(C11,[2]!游戏物价查询,7,FALSE),0)*E11</f>
        <v>4</v>
      </c>
      <c r="P11">
        <f>VLOOKUP(C11,[2]!游戏物价查询,4,0)</f>
        <v>1905</v>
      </c>
      <c r="Q11">
        <f>VLOOKUP(C11,[3]!马仔宝物属性,6,FALSE)</f>
        <v>1</v>
      </c>
      <c r="R11">
        <f t="shared" si="4"/>
        <v>1100</v>
      </c>
      <c r="S11">
        <f t="shared" si="0"/>
        <v>7.2458994796126735E-3</v>
      </c>
      <c r="V11" s="16">
        <f>SUM($R$3:R11)</f>
        <v>6690</v>
      </c>
      <c r="W11">
        <f t="shared" si="5"/>
        <v>1100</v>
      </c>
      <c r="X11">
        <f t="shared" si="1"/>
        <v>7.0867156294291975E-3</v>
      </c>
      <c r="Z11" s="16"/>
      <c r="AA11" s="16">
        <f>SUM($W$3:W11)</f>
        <v>3300</v>
      </c>
    </row>
    <row r="12" spans="1:29">
      <c r="A12" s="10">
        <v>11</v>
      </c>
      <c r="B12" s="10">
        <v>0</v>
      </c>
      <c r="C12" s="48">
        <v>93245</v>
      </c>
      <c r="D12" s="10" t="str">
        <f>IFERROR(VLOOKUP(C12,[1]引用表合并!$A$2:$B$1000,2,FALSE),"")</f>
        <v>水晶项链碎片</v>
      </c>
      <c r="E12" s="10">
        <v>2</v>
      </c>
      <c r="F12" s="10">
        <v>1100</v>
      </c>
      <c r="G12" s="10">
        <v>1</v>
      </c>
      <c r="H12" s="10">
        <v>100</v>
      </c>
      <c r="I12" s="10">
        <v>0</v>
      </c>
      <c r="J12" s="10">
        <v>1</v>
      </c>
      <c r="K12" s="7">
        <v>0</v>
      </c>
      <c r="L12" s="7">
        <v>0</v>
      </c>
      <c r="M12" s="7">
        <v>0</v>
      </c>
      <c r="O12" s="1">
        <f>ROUNDUP(VLOOKUP(C12,[2]!游戏物价查询,7,FALSE),0)*E12</f>
        <v>4</v>
      </c>
      <c r="P12">
        <f>VLOOKUP(C12,[2]!游戏物价查询,4,0)</f>
        <v>1380</v>
      </c>
      <c r="Q12">
        <f>VLOOKUP(C12,[3]!马仔宝物属性,6,FALSE)</f>
        <v>1</v>
      </c>
      <c r="R12">
        <f t="shared" si="4"/>
        <v>1100</v>
      </c>
      <c r="S12">
        <f t="shared" si="0"/>
        <v>7.2458994796126735E-3</v>
      </c>
      <c r="V12" s="16">
        <f>SUM($R$3:R12)</f>
        <v>7790</v>
      </c>
      <c r="W12">
        <f t="shared" si="5"/>
        <v>1100</v>
      </c>
      <c r="X12">
        <f t="shared" si="1"/>
        <v>7.0867156294291975E-3</v>
      </c>
      <c r="Z12" s="16"/>
      <c r="AA12" s="16">
        <f>SUM($W$3:W12)</f>
        <v>4400</v>
      </c>
    </row>
    <row r="13" spans="1:29">
      <c r="A13" s="10">
        <v>12</v>
      </c>
      <c r="B13" s="10">
        <v>0</v>
      </c>
      <c r="C13" s="48">
        <v>93251</v>
      </c>
      <c r="D13" s="10" t="str">
        <f>IFERROR(VLOOKUP(C13,[1]引用表合并!$A$2:$B$1000,2,FALSE),"")</f>
        <v>红石项链碎片</v>
      </c>
      <c r="E13" s="10">
        <v>2</v>
      </c>
      <c r="F13" s="10">
        <v>1100</v>
      </c>
      <c r="G13" s="10">
        <v>1</v>
      </c>
      <c r="H13" s="10">
        <v>100</v>
      </c>
      <c r="I13" s="10">
        <v>0</v>
      </c>
      <c r="J13" s="10">
        <v>1</v>
      </c>
      <c r="K13" s="7">
        <v>0</v>
      </c>
      <c r="L13" s="7">
        <v>0</v>
      </c>
      <c r="M13" s="7">
        <v>0</v>
      </c>
      <c r="O13" s="1">
        <f>ROUNDUP(VLOOKUP(C13,[2]!游戏物价查询,7,FALSE),0)*E13</f>
        <v>4</v>
      </c>
      <c r="P13">
        <f>VLOOKUP(C13,[2]!游戏物价查询,4,0)</f>
        <v>2345</v>
      </c>
      <c r="Q13">
        <f>VLOOKUP(C13,[3]!马仔宝物属性,6,FALSE)</f>
        <v>1</v>
      </c>
      <c r="R13">
        <f t="shared" si="4"/>
        <v>1100</v>
      </c>
      <c r="S13">
        <f t="shared" si="0"/>
        <v>7.2458994796126735E-3</v>
      </c>
      <c r="V13" s="16">
        <f>SUM($R$3:R13)</f>
        <v>8890</v>
      </c>
      <c r="W13">
        <f t="shared" si="5"/>
        <v>1100</v>
      </c>
      <c r="X13">
        <f t="shared" si="1"/>
        <v>7.0867156294291975E-3</v>
      </c>
      <c r="Z13" s="16"/>
      <c r="AA13" s="16">
        <f>SUM($W$3:W13)</f>
        <v>5500</v>
      </c>
    </row>
    <row r="14" spans="1:29">
      <c r="A14" s="10">
        <v>13</v>
      </c>
      <c r="B14" s="10">
        <v>0</v>
      </c>
      <c r="C14" s="48">
        <v>93264</v>
      </c>
      <c r="D14" s="10" t="str">
        <f>IFERROR(VLOOKUP(C14,[1]引用表合并!$A$2:$B$1000,2,FALSE),"")</f>
        <v>越野手表碎片</v>
      </c>
      <c r="E14" s="10">
        <v>2</v>
      </c>
      <c r="F14" s="10">
        <v>1100</v>
      </c>
      <c r="G14" s="10">
        <v>1</v>
      </c>
      <c r="H14" s="10">
        <v>100</v>
      </c>
      <c r="I14" s="10">
        <v>0</v>
      </c>
      <c r="J14" s="10">
        <v>1</v>
      </c>
      <c r="K14" s="7">
        <v>0</v>
      </c>
      <c r="L14" s="7">
        <v>0</v>
      </c>
      <c r="M14" s="7">
        <v>0</v>
      </c>
      <c r="O14" s="1">
        <f>ROUNDUP(VLOOKUP(C14,[2]!游戏物价查询,7,FALSE),0)*E14</f>
        <v>4</v>
      </c>
      <c r="P14">
        <f>VLOOKUP(C14,[2]!游戏物价查询,4,0)</f>
        <v>1020</v>
      </c>
      <c r="Q14">
        <f>VLOOKUP(C14,[3]!马仔宝物属性,6,FALSE)</f>
        <v>1</v>
      </c>
      <c r="R14">
        <f t="shared" si="4"/>
        <v>1100</v>
      </c>
      <c r="S14">
        <f t="shared" si="0"/>
        <v>7.2458994796126735E-3</v>
      </c>
      <c r="V14" s="16">
        <f>SUM($R$3:R14)</f>
        <v>9990</v>
      </c>
      <c r="W14">
        <f t="shared" si="5"/>
        <v>1100</v>
      </c>
      <c r="X14">
        <f t="shared" si="1"/>
        <v>7.0867156294291975E-3</v>
      </c>
      <c r="Z14" s="16"/>
      <c r="AA14" s="16">
        <f>SUM($W$3:W14)</f>
        <v>6600</v>
      </c>
    </row>
    <row r="15" spans="1:29">
      <c r="A15" s="10">
        <v>14</v>
      </c>
      <c r="B15" s="10">
        <v>0</v>
      </c>
      <c r="C15" s="48">
        <v>93271</v>
      </c>
      <c r="D15" s="10" t="str">
        <f>IFERROR(VLOOKUP(C15,[1]引用表合并!$A$2:$B$1000,2,FALSE),"")</f>
        <v>精准手表碎片</v>
      </c>
      <c r="E15" s="10">
        <v>2</v>
      </c>
      <c r="F15" s="10">
        <v>1100</v>
      </c>
      <c r="G15" s="10">
        <v>1</v>
      </c>
      <c r="H15" s="10">
        <v>100</v>
      </c>
      <c r="I15" s="10">
        <v>0</v>
      </c>
      <c r="J15" s="10">
        <v>1</v>
      </c>
      <c r="K15" s="7">
        <v>0</v>
      </c>
      <c r="L15" s="7">
        <v>0</v>
      </c>
      <c r="M15" s="7">
        <v>0</v>
      </c>
      <c r="O15" s="1">
        <f>ROUNDUP(VLOOKUP(C15,[2]!游戏物价查询,7,FALSE),0)*E15</f>
        <v>4</v>
      </c>
      <c r="P15">
        <f>VLOOKUP(C15,[2]!游戏物价查询,4,0)</f>
        <v>540</v>
      </c>
      <c r="Q15">
        <f>VLOOKUP(C15,[3]!马仔宝物属性,6,FALSE)</f>
        <v>1</v>
      </c>
      <c r="R15">
        <f t="shared" si="4"/>
        <v>1100</v>
      </c>
      <c r="S15">
        <f t="shared" si="0"/>
        <v>7.2458994796126735E-3</v>
      </c>
      <c r="V15" s="16">
        <f>SUM($R$3:R15)</f>
        <v>11090</v>
      </c>
      <c r="W15">
        <f t="shared" si="5"/>
        <v>1100</v>
      </c>
      <c r="X15">
        <f t="shared" si="1"/>
        <v>7.0867156294291975E-3</v>
      </c>
      <c r="Z15" s="16"/>
      <c r="AA15" s="16">
        <f>SUM($W$3:W15)</f>
        <v>7700</v>
      </c>
    </row>
    <row r="16" spans="1:29">
      <c r="A16" s="10">
        <v>15</v>
      </c>
      <c r="B16" s="10">
        <v>0</v>
      </c>
      <c r="C16" s="48">
        <v>93278</v>
      </c>
      <c r="D16" s="10" t="str">
        <f>IFERROR(VLOOKUP(C16,[1]引用表合并!$A$2:$B$1000,2,FALSE),"")</f>
        <v>宝驼碎片</v>
      </c>
      <c r="E16" s="10">
        <v>2</v>
      </c>
      <c r="F16" s="10">
        <v>1100</v>
      </c>
      <c r="G16" s="10">
        <v>1</v>
      </c>
      <c r="H16" s="10">
        <v>100</v>
      </c>
      <c r="I16" s="10">
        <v>0</v>
      </c>
      <c r="J16" s="10">
        <v>1</v>
      </c>
      <c r="K16" s="7">
        <v>0</v>
      </c>
      <c r="L16" s="7">
        <v>0</v>
      </c>
      <c r="M16" s="7">
        <v>0</v>
      </c>
      <c r="O16" s="1">
        <f>ROUNDUP(VLOOKUP(C16,[2]!游戏物价查询,7,FALSE),0)*E16</f>
        <v>4</v>
      </c>
      <c r="P16">
        <f>VLOOKUP(C16,[2]!游戏物价查询,4,0)</f>
        <v>1120</v>
      </c>
      <c r="Q16">
        <f>VLOOKUP(C16,[3]!马仔宝物属性,6,FALSE)</f>
        <v>1</v>
      </c>
      <c r="R16">
        <f t="shared" si="4"/>
        <v>1100</v>
      </c>
      <c r="S16">
        <f t="shared" si="0"/>
        <v>7.2458994796126735E-3</v>
      </c>
      <c r="V16" s="16">
        <f>SUM($R$3:R16)</f>
        <v>12190</v>
      </c>
      <c r="W16">
        <f t="shared" si="5"/>
        <v>1100</v>
      </c>
      <c r="X16">
        <f t="shared" si="1"/>
        <v>7.0867156294291975E-3</v>
      </c>
      <c r="Z16" s="16"/>
      <c r="AA16" s="16">
        <f>SUM($W$3:W16)</f>
        <v>8800</v>
      </c>
    </row>
    <row r="17" spans="1:29">
      <c r="A17" s="10">
        <v>16</v>
      </c>
      <c r="B17" s="10">
        <v>0</v>
      </c>
      <c r="C17" s="48">
        <v>93283</v>
      </c>
      <c r="D17" s="10" t="str">
        <f>IFERROR(VLOOKUP(C17,[1]引用表合并!$A$2:$B$1000,2,FALSE),"")</f>
        <v>小迭钞票碎片</v>
      </c>
      <c r="E17" s="10">
        <v>2</v>
      </c>
      <c r="F17" s="10">
        <v>1100</v>
      </c>
      <c r="G17" s="10">
        <v>1</v>
      </c>
      <c r="H17" s="10">
        <v>100</v>
      </c>
      <c r="I17" s="10">
        <v>0</v>
      </c>
      <c r="J17" s="10">
        <v>1</v>
      </c>
      <c r="K17" s="7">
        <v>0</v>
      </c>
      <c r="L17" s="7">
        <v>0</v>
      </c>
      <c r="M17" s="7">
        <v>0</v>
      </c>
      <c r="O17" s="1">
        <f>ROUNDUP(VLOOKUP(C17,[2]!游戏物价查询,7,FALSE),0)*E17</f>
        <v>4</v>
      </c>
      <c r="P17">
        <f>VLOOKUP(C17,[2]!游戏物价查询,4,0)</f>
        <v>3565</v>
      </c>
      <c r="Q17">
        <f>VLOOKUP(C17,[3]!马仔宝物属性,6,FALSE)</f>
        <v>1</v>
      </c>
      <c r="R17">
        <f t="shared" si="4"/>
        <v>1100</v>
      </c>
      <c r="S17">
        <f t="shared" si="0"/>
        <v>7.2458994796126735E-3</v>
      </c>
      <c r="V17" s="16">
        <f>SUM($R$3:R17)</f>
        <v>13290</v>
      </c>
      <c r="W17">
        <f t="shared" si="5"/>
        <v>1100</v>
      </c>
      <c r="X17">
        <f t="shared" si="1"/>
        <v>7.0867156294291975E-3</v>
      </c>
      <c r="Z17" s="16"/>
      <c r="AA17" s="16">
        <f>SUM($W$3:W17)</f>
        <v>9900</v>
      </c>
    </row>
    <row r="18" spans="1:29">
      <c r="A18" s="10">
        <v>17</v>
      </c>
      <c r="B18" s="10">
        <v>0</v>
      </c>
      <c r="C18" s="48">
        <v>93287</v>
      </c>
      <c r="D18" s="10" t="str">
        <f>IFERROR(VLOOKUP(C18,[1]引用表合并!$A$2:$B$1000,2,FALSE),"")</f>
        <v>金块碎片</v>
      </c>
      <c r="E18" s="10">
        <v>2</v>
      </c>
      <c r="F18" s="10">
        <v>1100</v>
      </c>
      <c r="G18" s="10">
        <v>1</v>
      </c>
      <c r="H18" s="10">
        <v>100</v>
      </c>
      <c r="I18" s="10">
        <v>0</v>
      </c>
      <c r="J18" s="10">
        <v>1</v>
      </c>
      <c r="K18" s="7">
        <v>0</v>
      </c>
      <c r="L18" s="7">
        <v>0</v>
      </c>
      <c r="M18" s="7">
        <v>0</v>
      </c>
      <c r="O18" s="1">
        <f>ROUNDUP(VLOOKUP(C18,[2]!游戏物价查询,7,FALSE),0)*E18</f>
        <v>4</v>
      </c>
      <c r="P18">
        <f>VLOOKUP(C18,[2]!游戏物价查询,4,0)</f>
        <v>3275</v>
      </c>
      <c r="Q18">
        <f>VLOOKUP(C18,[3]!马仔宝物属性,6,FALSE)</f>
        <v>1</v>
      </c>
      <c r="R18">
        <f t="shared" si="4"/>
        <v>1100</v>
      </c>
      <c r="S18">
        <f t="shared" si="0"/>
        <v>7.2458994796126735E-3</v>
      </c>
      <c r="T18" s="22">
        <f>SUM(S9:S18)</f>
        <v>7.2458994796126733E-2</v>
      </c>
      <c r="V18" s="16">
        <f>SUM($R$3:R18)</f>
        <v>14390</v>
      </c>
      <c r="W18">
        <f t="shared" si="5"/>
        <v>1100</v>
      </c>
      <c r="X18">
        <f t="shared" si="1"/>
        <v>7.0867156294291975E-3</v>
      </c>
      <c r="Y18" s="16"/>
      <c r="Z18" s="16"/>
      <c r="AA18" s="16">
        <f>SUM($W$3:W18)</f>
        <v>11000</v>
      </c>
      <c r="AB18" s="8">
        <f>SUMPRODUCT(X9:X18,E9:E18)</f>
        <v>0.14173431258858396</v>
      </c>
      <c r="AC18" s="8">
        <f>[2]马仔宝物投放!$O$41</f>
        <v>0.12332167297745356</v>
      </c>
    </row>
    <row r="19" spans="1:29">
      <c r="A19" s="10">
        <v>18</v>
      </c>
      <c r="B19" s="10">
        <v>0</v>
      </c>
      <c r="C19" s="48">
        <v>93233</v>
      </c>
      <c r="D19" s="10" t="str">
        <f>IFERROR(VLOOKUP(C19,[1]引用表合并!$A$2:$B$1000,2,FALSE),"")</f>
        <v>白金手环碎片</v>
      </c>
      <c r="E19" s="10">
        <v>3</v>
      </c>
      <c r="F19" s="10">
        <v>1100</v>
      </c>
      <c r="G19" s="10">
        <v>1</v>
      </c>
      <c r="H19" s="10">
        <v>100</v>
      </c>
      <c r="I19" s="10">
        <v>0</v>
      </c>
      <c r="J19" s="10">
        <v>1</v>
      </c>
      <c r="K19" s="7">
        <v>0</v>
      </c>
      <c r="L19" s="7">
        <v>0</v>
      </c>
      <c r="M19" s="7">
        <v>0</v>
      </c>
      <c r="O19" s="1">
        <f>ROUNDUP(VLOOKUP(C19,[2]!游戏物价查询,7,FALSE),0)*E19</f>
        <v>6</v>
      </c>
      <c r="P19">
        <f>VLOOKUP(C19,[2]!游戏物价查询,4,0)</f>
        <v>1910</v>
      </c>
      <c r="Q19">
        <f>VLOOKUP(C19,[3]!马仔宝物属性,6,FALSE)</f>
        <v>1</v>
      </c>
      <c r="R19">
        <f t="shared" ref="R19:R28" si="6">IF(L19&lt;2,F19,"")</f>
        <v>1100</v>
      </c>
      <c r="S19">
        <f t="shared" si="0"/>
        <v>7.2458994796126735E-3</v>
      </c>
      <c r="V19" s="16">
        <f>SUM($R$3:R19)</f>
        <v>15490</v>
      </c>
      <c r="W19">
        <f t="shared" ref="W19:W28" si="7">IF(AND(L19&lt;&gt;1,L19&lt;&gt;3),F19,"")</f>
        <v>1100</v>
      </c>
      <c r="X19">
        <f t="shared" si="1"/>
        <v>7.0867156294291975E-3</v>
      </c>
      <c r="Z19" s="16"/>
      <c r="AA19" s="16">
        <f>SUM($W$3:W19)</f>
        <v>12100</v>
      </c>
    </row>
    <row r="20" spans="1:29">
      <c r="A20" s="10">
        <v>19</v>
      </c>
      <c r="B20" s="10">
        <v>0</v>
      </c>
      <c r="C20" s="48">
        <v>93122</v>
      </c>
      <c r="D20" s="10" t="str">
        <f>IFERROR(VLOOKUP(C20,[1]引用表合并!$A$2:$B$1000,2,FALSE),"")</f>
        <v>银饰耳钉碎片</v>
      </c>
      <c r="E20" s="10">
        <v>3</v>
      </c>
      <c r="F20" s="10">
        <v>1100</v>
      </c>
      <c r="G20" s="10">
        <v>1</v>
      </c>
      <c r="H20" s="10">
        <v>100</v>
      </c>
      <c r="I20" s="10">
        <v>0</v>
      </c>
      <c r="J20" s="10">
        <v>1</v>
      </c>
      <c r="K20" s="7">
        <v>0</v>
      </c>
      <c r="L20" s="7">
        <v>0</v>
      </c>
      <c r="M20" s="7">
        <v>0</v>
      </c>
      <c r="O20" s="1">
        <f>ROUNDUP(VLOOKUP(C20,[2]!游戏物价查询,7,FALSE),0)*E20</f>
        <v>6</v>
      </c>
      <c r="P20">
        <f>VLOOKUP(C20,[2]!游戏物价查询,4,0)</f>
        <v>1810</v>
      </c>
      <c r="Q20">
        <f>VLOOKUP(C20,[3]!马仔宝物属性,6,FALSE)</f>
        <v>1</v>
      </c>
      <c r="R20">
        <f t="shared" si="6"/>
        <v>1100</v>
      </c>
      <c r="S20">
        <f t="shared" si="0"/>
        <v>7.2458994796126735E-3</v>
      </c>
      <c r="V20" s="16">
        <f>SUM($R$3:R20)</f>
        <v>16590</v>
      </c>
      <c r="W20">
        <f t="shared" si="7"/>
        <v>1100</v>
      </c>
      <c r="X20">
        <f t="shared" si="1"/>
        <v>7.0867156294291975E-3</v>
      </c>
      <c r="Z20" s="16"/>
      <c r="AA20" s="16">
        <f>SUM($W$3:W20)</f>
        <v>13200</v>
      </c>
    </row>
    <row r="21" spans="1:29">
      <c r="A21" s="10">
        <v>20</v>
      </c>
      <c r="B21" s="10">
        <v>0</v>
      </c>
      <c r="C21" s="48">
        <v>93141</v>
      </c>
      <c r="D21" s="10" t="str">
        <f>IFERROR(VLOOKUP(C21,[1]引用表合并!$A$2:$B$1000,2,FALSE),"")</f>
        <v>白银戒指碎片</v>
      </c>
      <c r="E21" s="10">
        <v>3</v>
      </c>
      <c r="F21" s="10">
        <v>1100</v>
      </c>
      <c r="G21" s="10">
        <v>1</v>
      </c>
      <c r="H21" s="10">
        <v>100</v>
      </c>
      <c r="I21" s="10">
        <v>0</v>
      </c>
      <c r="J21" s="10">
        <v>1</v>
      </c>
      <c r="K21" s="7">
        <v>0</v>
      </c>
      <c r="L21" s="7">
        <v>0</v>
      </c>
      <c r="M21" s="7">
        <v>0</v>
      </c>
      <c r="O21" s="1">
        <f>ROUNDUP(VLOOKUP(C21,[2]!游戏物价查询,7,FALSE),0)*E21</f>
        <v>6</v>
      </c>
      <c r="P21">
        <f>VLOOKUP(C21,[2]!游戏物价查询,4,0)</f>
        <v>1905</v>
      </c>
      <c r="Q21">
        <f>VLOOKUP(C21,[3]!马仔宝物属性,6,FALSE)</f>
        <v>1</v>
      </c>
      <c r="R21">
        <f t="shared" si="6"/>
        <v>1100</v>
      </c>
      <c r="S21">
        <f t="shared" si="0"/>
        <v>7.2458994796126735E-3</v>
      </c>
      <c r="V21" s="16">
        <f>SUM($R$3:R21)</f>
        <v>17690</v>
      </c>
      <c r="W21">
        <f t="shared" si="7"/>
        <v>1100</v>
      </c>
      <c r="X21">
        <f t="shared" si="1"/>
        <v>7.0867156294291975E-3</v>
      </c>
      <c r="Z21" s="16"/>
      <c r="AA21" s="16">
        <f>SUM($W$3:W21)</f>
        <v>14300</v>
      </c>
    </row>
    <row r="22" spans="1:29">
      <c r="A22" s="10">
        <v>21</v>
      </c>
      <c r="B22" s="10">
        <v>0</v>
      </c>
      <c r="C22" s="48">
        <v>93245</v>
      </c>
      <c r="D22" s="10" t="str">
        <f>IFERROR(VLOOKUP(C22,[1]引用表合并!$A$2:$B$1000,2,FALSE),"")</f>
        <v>水晶项链碎片</v>
      </c>
      <c r="E22" s="10">
        <v>3</v>
      </c>
      <c r="F22" s="10">
        <v>1100</v>
      </c>
      <c r="G22" s="10">
        <v>1</v>
      </c>
      <c r="H22" s="10">
        <v>100</v>
      </c>
      <c r="I22" s="10">
        <v>0</v>
      </c>
      <c r="J22" s="10">
        <v>1</v>
      </c>
      <c r="K22" s="7">
        <v>0</v>
      </c>
      <c r="L22" s="7">
        <v>0</v>
      </c>
      <c r="M22" s="7">
        <v>0</v>
      </c>
      <c r="O22" s="1">
        <f>ROUNDUP(VLOOKUP(C22,[2]!游戏物价查询,7,FALSE),0)*E22</f>
        <v>6</v>
      </c>
      <c r="P22">
        <f>VLOOKUP(C22,[2]!游戏物价查询,4,0)</f>
        <v>1380</v>
      </c>
      <c r="Q22">
        <f>VLOOKUP(C22,[3]!马仔宝物属性,6,FALSE)</f>
        <v>1</v>
      </c>
      <c r="R22">
        <f t="shared" si="6"/>
        <v>1100</v>
      </c>
      <c r="S22">
        <f t="shared" si="0"/>
        <v>7.2458994796126735E-3</v>
      </c>
      <c r="V22" s="16">
        <f>SUM($R$3:R22)</f>
        <v>18790</v>
      </c>
      <c r="W22">
        <f t="shared" si="7"/>
        <v>1100</v>
      </c>
      <c r="X22">
        <f t="shared" si="1"/>
        <v>7.0867156294291975E-3</v>
      </c>
      <c r="Z22" s="16"/>
      <c r="AA22" s="16">
        <f>SUM($W$3:W22)</f>
        <v>15400</v>
      </c>
    </row>
    <row r="23" spans="1:29">
      <c r="A23" s="10">
        <v>22</v>
      </c>
      <c r="B23" s="10">
        <v>0</v>
      </c>
      <c r="C23" s="48">
        <v>93251</v>
      </c>
      <c r="D23" s="10" t="str">
        <f>IFERROR(VLOOKUP(C23,[1]引用表合并!$A$2:$B$1000,2,FALSE),"")</f>
        <v>红石项链碎片</v>
      </c>
      <c r="E23" s="10">
        <v>3</v>
      </c>
      <c r="F23" s="10">
        <v>1100</v>
      </c>
      <c r="G23" s="10">
        <v>1</v>
      </c>
      <c r="H23" s="10">
        <v>100</v>
      </c>
      <c r="I23" s="10">
        <v>0</v>
      </c>
      <c r="J23" s="10">
        <v>1</v>
      </c>
      <c r="K23" s="7">
        <v>0</v>
      </c>
      <c r="L23" s="7">
        <v>0</v>
      </c>
      <c r="M23" s="7">
        <v>0</v>
      </c>
      <c r="O23" s="1">
        <f>ROUNDUP(VLOOKUP(C23,[2]!游戏物价查询,7,FALSE),0)*E23</f>
        <v>6</v>
      </c>
      <c r="P23">
        <f>VLOOKUP(C23,[2]!游戏物价查询,4,0)</f>
        <v>2345</v>
      </c>
      <c r="Q23">
        <f>VLOOKUP(C23,[3]!马仔宝物属性,6,FALSE)</f>
        <v>1</v>
      </c>
      <c r="R23">
        <f t="shared" si="6"/>
        <v>1100</v>
      </c>
      <c r="S23">
        <f t="shared" si="0"/>
        <v>7.2458994796126735E-3</v>
      </c>
      <c r="V23" s="16">
        <f>SUM($R$3:R23)</f>
        <v>19890</v>
      </c>
      <c r="W23">
        <f t="shared" si="7"/>
        <v>1100</v>
      </c>
      <c r="X23">
        <f t="shared" si="1"/>
        <v>7.0867156294291975E-3</v>
      </c>
      <c r="Z23" s="16"/>
      <c r="AA23" s="16">
        <f>SUM($W$3:W23)</f>
        <v>16500</v>
      </c>
    </row>
    <row r="24" spans="1:29">
      <c r="A24" s="10">
        <v>23</v>
      </c>
      <c r="B24" s="10">
        <v>0</v>
      </c>
      <c r="C24" s="48">
        <v>93264</v>
      </c>
      <c r="D24" s="10" t="str">
        <f>IFERROR(VLOOKUP(C24,[1]引用表合并!$A$2:$B$1000,2,FALSE),"")</f>
        <v>越野手表碎片</v>
      </c>
      <c r="E24" s="10">
        <v>3</v>
      </c>
      <c r="F24" s="10">
        <v>1100</v>
      </c>
      <c r="G24" s="10">
        <v>1</v>
      </c>
      <c r="H24" s="10">
        <v>100</v>
      </c>
      <c r="I24" s="10">
        <v>0</v>
      </c>
      <c r="J24" s="10">
        <v>1</v>
      </c>
      <c r="K24" s="7">
        <v>0</v>
      </c>
      <c r="L24" s="7">
        <v>0</v>
      </c>
      <c r="M24" s="7">
        <v>0</v>
      </c>
      <c r="O24" s="1">
        <f>ROUNDUP(VLOOKUP(C24,[2]!游戏物价查询,7,FALSE),0)*E24</f>
        <v>6</v>
      </c>
      <c r="P24">
        <f>VLOOKUP(C24,[2]!游戏物价查询,4,0)</f>
        <v>1020</v>
      </c>
      <c r="Q24">
        <f>VLOOKUP(C24,[3]!马仔宝物属性,6,FALSE)</f>
        <v>1</v>
      </c>
      <c r="R24">
        <f t="shared" si="6"/>
        <v>1100</v>
      </c>
      <c r="S24">
        <f t="shared" si="0"/>
        <v>7.2458994796126735E-3</v>
      </c>
      <c r="V24" s="16">
        <f>SUM($R$3:R24)</f>
        <v>20990</v>
      </c>
      <c r="W24">
        <f t="shared" si="7"/>
        <v>1100</v>
      </c>
      <c r="X24">
        <f t="shared" si="1"/>
        <v>7.0867156294291975E-3</v>
      </c>
      <c r="Z24" s="16"/>
      <c r="AA24" s="16">
        <f>SUM($W$3:W24)</f>
        <v>17600</v>
      </c>
    </row>
    <row r="25" spans="1:29">
      <c r="A25" s="10">
        <v>24</v>
      </c>
      <c r="B25" s="10">
        <v>0</v>
      </c>
      <c r="C25" s="48">
        <v>93271</v>
      </c>
      <c r="D25" s="10" t="str">
        <f>IFERROR(VLOOKUP(C25,[1]引用表合并!$A$2:$B$1000,2,FALSE),"")</f>
        <v>精准手表碎片</v>
      </c>
      <c r="E25" s="10">
        <v>3</v>
      </c>
      <c r="F25" s="10">
        <v>1100</v>
      </c>
      <c r="G25" s="10">
        <v>1</v>
      </c>
      <c r="H25" s="10">
        <v>100</v>
      </c>
      <c r="I25" s="10">
        <v>0</v>
      </c>
      <c r="J25" s="10">
        <v>1</v>
      </c>
      <c r="K25" s="7">
        <v>0</v>
      </c>
      <c r="L25" s="7">
        <v>0</v>
      </c>
      <c r="M25" s="7">
        <v>0</v>
      </c>
      <c r="O25" s="1">
        <f>ROUNDUP(VLOOKUP(C25,[2]!游戏物价查询,7,FALSE),0)*E25</f>
        <v>6</v>
      </c>
      <c r="P25">
        <f>VLOOKUP(C25,[2]!游戏物价查询,4,0)</f>
        <v>540</v>
      </c>
      <c r="Q25">
        <f>VLOOKUP(C25,[3]!马仔宝物属性,6,FALSE)</f>
        <v>1</v>
      </c>
      <c r="R25">
        <f t="shared" si="6"/>
        <v>1100</v>
      </c>
      <c r="S25">
        <f t="shared" si="0"/>
        <v>7.2458994796126735E-3</v>
      </c>
      <c r="V25" s="16">
        <f>SUM($R$3:R25)</f>
        <v>22090</v>
      </c>
      <c r="W25">
        <f t="shared" si="7"/>
        <v>1100</v>
      </c>
      <c r="X25">
        <f t="shared" si="1"/>
        <v>7.0867156294291975E-3</v>
      </c>
      <c r="Z25" s="16"/>
      <c r="AA25" s="16">
        <f>SUM($W$3:W25)</f>
        <v>18700</v>
      </c>
    </row>
    <row r="26" spans="1:29">
      <c r="A26" s="10">
        <v>25</v>
      </c>
      <c r="B26" s="10">
        <v>0</v>
      </c>
      <c r="C26" s="48">
        <v>93278</v>
      </c>
      <c r="D26" s="10" t="str">
        <f>IFERROR(VLOOKUP(C26,[1]引用表合并!$A$2:$B$1000,2,FALSE),"")</f>
        <v>宝驼碎片</v>
      </c>
      <c r="E26" s="10">
        <v>3</v>
      </c>
      <c r="F26" s="10">
        <v>1100</v>
      </c>
      <c r="G26" s="10">
        <v>1</v>
      </c>
      <c r="H26" s="10">
        <v>100</v>
      </c>
      <c r="I26" s="10">
        <v>0</v>
      </c>
      <c r="J26" s="10">
        <v>1</v>
      </c>
      <c r="K26" s="7">
        <v>0</v>
      </c>
      <c r="L26" s="7">
        <v>0</v>
      </c>
      <c r="M26" s="7">
        <v>0</v>
      </c>
      <c r="O26" s="1">
        <f>ROUNDUP(VLOOKUP(C26,[2]!游戏物价查询,7,FALSE),0)*E26</f>
        <v>6</v>
      </c>
      <c r="P26">
        <f>VLOOKUP(C26,[2]!游戏物价查询,4,0)</f>
        <v>1120</v>
      </c>
      <c r="Q26">
        <f>VLOOKUP(C26,[3]!马仔宝物属性,6,FALSE)</f>
        <v>1</v>
      </c>
      <c r="R26">
        <f t="shared" si="6"/>
        <v>1100</v>
      </c>
      <c r="S26">
        <f t="shared" si="0"/>
        <v>7.2458994796126735E-3</v>
      </c>
      <c r="V26" s="16">
        <f>SUM($R$3:R26)</f>
        <v>23190</v>
      </c>
      <c r="W26">
        <f t="shared" si="7"/>
        <v>1100</v>
      </c>
      <c r="X26">
        <f t="shared" si="1"/>
        <v>7.0867156294291975E-3</v>
      </c>
      <c r="Z26" s="16"/>
      <c r="AA26" s="16">
        <f>SUM($W$3:W26)</f>
        <v>19800</v>
      </c>
    </row>
    <row r="27" spans="1:29">
      <c r="A27" s="10">
        <v>26</v>
      </c>
      <c r="B27" s="10">
        <v>0</v>
      </c>
      <c r="C27" s="48">
        <v>93283</v>
      </c>
      <c r="D27" s="10" t="str">
        <f>IFERROR(VLOOKUP(C27,[1]引用表合并!$A$2:$B$1000,2,FALSE),"")</f>
        <v>小迭钞票碎片</v>
      </c>
      <c r="E27" s="10">
        <v>3</v>
      </c>
      <c r="F27" s="10">
        <v>1100</v>
      </c>
      <c r="G27" s="10">
        <v>1</v>
      </c>
      <c r="H27" s="10">
        <v>100</v>
      </c>
      <c r="I27" s="10">
        <v>0</v>
      </c>
      <c r="J27" s="10">
        <v>1</v>
      </c>
      <c r="K27" s="7">
        <v>0</v>
      </c>
      <c r="L27" s="7">
        <v>0</v>
      </c>
      <c r="M27" s="7">
        <v>0</v>
      </c>
      <c r="O27" s="1">
        <f>ROUNDUP(VLOOKUP(C27,[2]!游戏物价查询,7,FALSE),0)*E27</f>
        <v>6</v>
      </c>
      <c r="P27">
        <f>VLOOKUP(C27,[2]!游戏物价查询,4,0)</f>
        <v>3565</v>
      </c>
      <c r="Q27">
        <f>VLOOKUP(C27,[3]!马仔宝物属性,6,FALSE)</f>
        <v>1</v>
      </c>
      <c r="R27">
        <f t="shared" si="6"/>
        <v>1100</v>
      </c>
      <c r="S27">
        <f t="shared" si="0"/>
        <v>7.2458994796126735E-3</v>
      </c>
      <c r="V27" s="16">
        <f>SUM($R$3:R27)</f>
        <v>24290</v>
      </c>
      <c r="W27">
        <f t="shared" si="7"/>
        <v>1100</v>
      </c>
      <c r="X27">
        <f t="shared" si="1"/>
        <v>7.0867156294291975E-3</v>
      </c>
      <c r="Z27" s="16"/>
      <c r="AA27" s="16">
        <f>SUM($W$3:W27)</f>
        <v>20900</v>
      </c>
    </row>
    <row r="28" spans="1:29">
      <c r="A28" s="10">
        <v>27</v>
      </c>
      <c r="B28" s="10">
        <v>0</v>
      </c>
      <c r="C28" s="48">
        <v>93287</v>
      </c>
      <c r="D28" s="10" t="str">
        <f>IFERROR(VLOOKUP(C28,[1]引用表合并!$A$2:$B$1000,2,FALSE),"")</f>
        <v>金块碎片</v>
      </c>
      <c r="E28" s="10">
        <v>3</v>
      </c>
      <c r="F28" s="10">
        <v>1100</v>
      </c>
      <c r="G28" s="10">
        <v>1</v>
      </c>
      <c r="H28" s="10">
        <v>100</v>
      </c>
      <c r="I28" s="10">
        <v>0</v>
      </c>
      <c r="J28" s="10">
        <v>1</v>
      </c>
      <c r="K28" s="7">
        <v>0</v>
      </c>
      <c r="L28" s="7">
        <v>0</v>
      </c>
      <c r="M28" s="7">
        <v>0</v>
      </c>
      <c r="O28" s="1">
        <f>ROUNDUP(VLOOKUP(C28,[2]!游戏物价查询,7,FALSE),0)*E28</f>
        <v>6</v>
      </c>
      <c r="P28">
        <f>VLOOKUP(C28,[2]!游戏物价查询,4,0)</f>
        <v>3275</v>
      </c>
      <c r="Q28">
        <f>VLOOKUP(C28,[3]!马仔宝物属性,6,FALSE)</f>
        <v>1</v>
      </c>
      <c r="R28">
        <f t="shared" si="6"/>
        <v>1100</v>
      </c>
      <c r="S28">
        <f t="shared" si="0"/>
        <v>7.2458994796126735E-3</v>
      </c>
      <c r="T28" s="22">
        <f>SUM(S19:S28)</f>
        <v>7.2458994796126733E-2</v>
      </c>
      <c r="V28" s="16">
        <f>SUM($R$3:R28)</f>
        <v>25390</v>
      </c>
      <c r="W28">
        <f t="shared" si="7"/>
        <v>1100</v>
      </c>
      <c r="X28">
        <f t="shared" si="1"/>
        <v>7.0867156294291975E-3</v>
      </c>
      <c r="Y28" s="16"/>
      <c r="Z28" s="16"/>
      <c r="AA28" s="16">
        <f>SUM($W$3:W28)</f>
        <v>22000</v>
      </c>
      <c r="AB28" s="8">
        <f>SUMPRODUCT(X19:X28,E19:E28)</f>
        <v>0.21260146888287593</v>
      </c>
      <c r="AC28" s="8">
        <f>[2]马仔宝物投放!$O$41</f>
        <v>0.12332167297745356</v>
      </c>
    </row>
    <row r="29" spans="1:29">
      <c r="A29" s="10">
        <v>28</v>
      </c>
      <c r="B29" s="10">
        <v>0</v>
      </c>
      <c r="C29" s="48">
        <v>92233</v>
      </c>
      <c r="D29" s="10" t="str">
        <f>IFERROR(VLOOKUP(C29,[1]引用表合并!$A$2:$B$1000,2,FALSE),"")</f>
        <v>白金手环</v>
      </c>
      <c r="E29" s="10">
        <v>1</v>
      </c>
      <c r="F29" s="10">
        <v>800</v>
      </c>
      <c r="G29" s="10">
        <v>1</v>
      </c>
      <c r="H29" s="10">
        <v>100</v>
      </c>
      <c r="I29" s="10">
        <v>0</v>
      </c>
      <c r="J29" s="10">
        <v>1</v>
      </c>
      <c r="K29" s="7">
        <v>0</v>
      </c>
      <c r="L29" s="7">
        <v>0</v>
      </c>
      <c r="M29" s="7">
        <v>0</v>
      </c>
      <c r="O29" s="1">
        <f>ROUNDUP(VLOOKUP(C29,[2]!游戏物价查询,7,FALSE),0)*E29</f>
        <v>15</v>
      </c>
      <c r="P29">
        <f>VLOOKUP(C29,[2]!游戏物价查询,4,0)</f>
        <v>382</v>
      </c>
      <c r="Q29">
        <f>VLOOKUP(C29,[3]!马仔宝物属性,6,FALSE)</f>
        <v>1</v>
      </c>
      <c r="R29">
        <f t="shared" si="2"/>
        <v>800</v>
      </c>
      <c r="S29">
        <f t="shared" si="0"/>
        <v>5.2697450760819447E-3</v>
      </c>
      <c r="V29" s="16">
        <f>SUM($R$3:R29)</f>
        <v>26190</v>
      </c>
      <c r="W29">
        <f t="shared" si="3"/>
        <v>800</v>
      </c>
      <c r="X29">
        <f t="shared" si="1"/>
        <v>5.1539750032212348E-3</v>
      </c>
      <c r="Z29" s="16"/>
      <c r="AA29" s="16">
        <f>SUM($W$3:W29)</f>
        <v>22800</v>
      </c>
    </row>
    <row r="30" spans="1:29">
      <c r="A30" s="10">
        <v>29</v>
      </c>
      <c r="B30" s="10">
        <v>0</v>
      </c>
      <c r="C30" s="48">
        <v>92122</v>
      </c>
      <c r="D30" s="10" t="str">
        <f>IFERROR(VLOOKUP(C30,[1]引用表合并!$A$2:$B$1000,2,FALSE),"")</f>
        <v>银饰耳钉</v>
      </c>
      <c r="E30" s="10">
        <v>1</v>
      </c>
      <c r="F30" s="10">
        <v>800</v>
      </c>
      <c r="G30" s="10">
        <v>1</v>
      </c>
      <c r="H30" s="10">
        <v>100</v>
      </c>
      <c r="I30" s="10">
        <v>0</v>
      </c>
      <c r="J30" s="10">
        <v>1</v>
      </c>
      <c r="K30" s="7">
        <v>0</v>
      </c>
      <c r="L30" s="7">
        <v>0</v>
      </c>
      <c r="M30" s="7">
        <v>0</v>
      </c>
      <c r="O30" s="1">
        <f>ROUNDUP(VLOOKUP(C30,[2]!游戏物价查询,7,FALSE),0)*E30</f>
        <v>15</v>
      </c>
      <c r="P30">
        <f>VLOOKUP(C30,[2]!游戏物价查询,4,0)</f>
        <v>362</v>
      </c>
      <c r="Q30">
        <f>VLOOKUP(C30,[3]!马仔宝物属性,6,FALSE)</f>
        <v>1</v>
      </c>
      <c r="R30">
        <f t="shared" si="2"/>
        <v>800</v>
      </c>
      <c r="S30">
        <f t="shared" si="0"/>
        <v>5.2697450760819447E-3</v>
      </c>
      <c r="V30" s="16">
        <f>SUM($R$3:R30)</f>
        <v>26990</v>
      </c>
      <c r="W30">
        <f t="shared" si="3"/>
        <v>800</v>
      </c>
      <c r="X30">
        <f t="shared" si="1"/>
        <v>5.1539750032212348E-3</v>
      </c>
      <c r="Z30" s="16"/>
      <c r="AA30" s="16">
        <f>SUM($W$3:W30)</f>
        <v>23600</v>
      </c>
    </row>
    <row r="31" spans="1:29">
      <c r="A31" s="10">
        <v>30</v>
      </c>
      <c r="B31" s="10">
        <v>0</v>
      </c>
      <c r="C31" s="48">
        <v>92141</v>
      </c>
      <c r="D31" s="10" t="str">
        <f>IFERROR(VLOOKUP(C31,[1]引用表合并!$A$2:$B$1000,2,FALSE),"")</f>
        <v>白银戒指</v>
      </c>
      <c r="E31" s="10">
        <v>1</v>
      </c>
      <c r="F31" s="10">
        <v>800</v>
      </c>
      <c r="G31" s="10">
        <v>1</v>
      </c>
      <c r="H31" s="10">
        <v>100</v>
      </c>
      <c r="I31" s="10">
        <v>0</v>
      </c>
      <c r="J31" s="10">
        <v>1</v>
      </c>
      <c r="K31" s="7">
        <v>0</v>
      </c>
      <c r="L31" s="7">
        <v>0</v>
      </c>
      <c r="M31" s="7">
        <v>0</v>
      </c>
      <c r="O31" s="1">
        <f>ROUNDUP(VLOOKUP(C31,[2]!游戏物价查询,7,FALSE),0)*E31</f>
        <v>15</v>
      </c>
      <c r="P31">
        <f>VLOOKUP(C31,[2]!游戏物价查询,4,0)</f>
        <v>381</v>
      </c>
      <c r="Q31">
        <f>VLOOKUP(C31,[3]!马仔宝物属性,6,FALSE)</f>
        <v>1</v>
      </c>
      <c r="R31">
        <f t="shared" si="2"/>
        <v>800</v>
      </c>
      <c r="S31">
        <f t="shared" si="0"/>
        <v>5.2697450760819447E-3</v>
      </c>
      <c r="V31" s="16">
        <f>SUM($R$3:R31)</f>
        <v>27790</v>
      </c>
      <c r="W31">
        <f t="shared" si="3"/>
        <v>800</v>
      </c>
      <c r="X31">
        <f t="shared" si="1"/>
        <v>5.1539750032212348E-3</v>
      </c>
      <c r="Z31" s="16"/>
      <c r="AA31" s="16">
        <f>SUM($W$3:W31)</f>
        <v>24400</v>
      </c>
    </row>
    <row r="32" spans="1:29">
      <c r="A32" s="10">
        <v>31</v>
      </c>
      <c r="B32" s="10">
        <v>0</v>
      </c>
      <c r="C32" s="48">
        <v>92245</v>
      </c>
      <c r="D32" s="10" t="str">
        <f>IFERROR(VLOOKUP(C32,[1]引用表合并!$A$2:$B$1000,2,FALSE),"")</f>
        <v>水晶项链</v>
      </c>
      <c r="E32" s="10">
        <v>1</v>
      </c>
      <c r="F32" s="10">
        <v>800</v>
      </c>
      <c r="G32" s="10">
        <v>1</v>
      </c>
      <c r="H32" s="10">
        <v>100</v>
      </c>
      <c r="I32" s="10">
        <v>0</v>
      </c>
      <c r="J32" s="10">
        <v>1</v>
      </c>
      <c r="K32" s="7">
        <v>0</v>
      </c>
      <c r="L32" s="7">
        <v>0</v>
      </c>
      <c r="M32" s="7">
        <v>0</v>
      </c>
      <c r="O32" s="1">
        <f>ROUNDUP(VLOOKUP(C32,[2]!游戏物价查询,7,FALSE),0)*E32</f>
        <v>15</v>
      </c>
      <c r="P32">
        <f>VLOOKUP(C32,[2]!游戏物价查询,4,0)</f>
        <v>276</v>
      </c>
      <c r="Q32">
        <f>VLOOKUP(C32,[3]!马仔宝物属性,6,FALSE)</f>
        <v>1</v>
      </c>
      <c r="R32">
        <f t="shared" si="2"/>
        <v>800</v>
      </c>
      <c r="S32">
        <f t="shared" si="0"/>
        <v>5.2697450760819447E-3</v>
      </c>
      <c r="V32" s="16">
        <f>SUM($R$3:R32)</f>
        <v>28590</v>
      </c>
      <c r="W32">
        <f t="shared" si="3"/>
        <v>800</v>
      </c>
      <c r="X32">
        <f t="shared" si="1"/>
        <v>5.1539750032212348E-3</v>
      </c>
      <c r="Z32" s="16"/>
      <c r="AA32" s="16">
        <f>SUM($W$3:W32)</f>
        <v>25200</v>
      </c>
    </row>
    <row r="33" spans="1:29">
      <c r="A33" s="10">
        <v>32</v>
      </c>
      <c r="B33" s="10">
        <v>0</v>
      </c>
      <c r="C33" s="48">
        <v>92251</v>
      </c>
      <c r="D33" s="10" t="str">
        <f>IFERROR(VLOOKUP(C33,[1]引用表合并!$A$2:$B$1000,2,FALSE),"")</f>
        <v>红石项链</v>
      </c>
      <c r="E33" s="10">
        <v>1</v>
      </c>
      <c r="F33" s="10">
        <v>800</v>
      </c>
      <c r="G33" s="10">
        <v>1</v>
      </c>
      <c r="H33" s="10">
        <v>100</v>
      </c>
      <c r="I33" s="10">
        <v>0</v>
      </c>
      <c r="J33" s="10">
        <v>1</v>
      </c>
      <c r="K33" s="7">
        <v>0</v>
      </c>
      <c r="L33" s="7">
        <v>0</v>
      </c>
      <c r="M33" s="7">
        <v>0</v>
      </c>
      <c r="O33" s="1">
        <f>ROUNDUP(VLOOKUP(C33,[2]!游戏物价查询,7,FALSE),0)*E33</f>
        <v>15</v>
      </c>
      <c r="P33">
        <f>VLOOKUP(C33,[2]!游戏物价查询,4,0)</f>
        <v>469</v>
      </c>
      <c r="Q33">
        <f>VLOOKUP(C33,[3]!马仔宝物属性,6,FALSE)</f>
        <v>1</v>
      </c>
      <c r="R33">
        <f t="shared" si="2"/>
        <v>800</v>
      </c>
      <c r="S33">
        <f t="shared" si="0"/>
        <v>5.2697450760819447E-3</v>
      </c>
      <c r="V33" s="16">
        <f>SUM($R$3:R33)</f>
        <v>29390</v>
      </c>
      <c r="W33">
        <f t="shared" si="3"/>
        <v>800</v>
      </c>
      <c r="X33">
        <f t="shared" si="1"/>
        <v>5.1539750032212348E-3</v>
      </c>
      <c r="Z33" s="16"/>
      <c r="AA33" s="16">
        <f>SUM($W$3:W33)</f>
        <v>26000</v>
      </c>
    </row>
    <row r="34" spans="1:29">
      <c r="A34" s="10">
        <v>33</v>
      </c>
      <c r="B34" s="10">
        <v>0</v>
      </c>
      <c r="C34" s="48">
        <v>92264</v>
      </c>
      <c r="D34" s="10" t="str">
        <f>IFERROR(VLOOKUP(C34,[1]引用表合并!$A$2:$B$1000,2,FALSE),"")</f>
        <v>越野手表</v>
      </c>
      <c r="E34" s="10">
        <v>1</v>
      </c>
      <c r="F34" s="10">
        <v>800</v>
      </c>
      <c r="G34" s="10">
        <v>1</v>
      </c>
      <c r="H34" s="10">
        <v>100</v>
      </c>
      <c r="I34" s="10">
        <v>0</v>
      </c>
      <c r="J34" s="10">
        <v>1</v>
      </c>
      <c r="K34" s="7">
        <v>0</v>
      </c>
      <c r="L34" s="7">
        <v>0</v>
      </c>
      <c r="M34" s="7">
        <v>0</v>
      </c>
      <c r="O34" s="1">
        <f>ROUNDUP(VLOOKUP(C34,[2]!游戏物价查询,7,FALSE),0)*E34</f>
        <v>15</v>
      </c>
      <c r="P34">
        <f>VLOOKUP(C34,[2]!游戏物价查询,4,0)</f>
        <v>204</v>
      </c>
      <c r="Q34">
        <f>VLOOKUP(C34,[3]!马仔宝物属性,6,FALSE)</f>
        <v>1</v>
      </c>
      <c r="R34">
        <f t="shared" si="2"/>
        <v>800</v>
      </c>
      <c r="S34">
        <f t="shared" si="0"/>
        <v>5.2697450760819447E-3</v>
      </c>
      <c r="V34" s="16">
        <f>SUM($R$3:R34)</f>
        <v>30190</v>
      </c>
      <c r="W34">
        <f t="shared" si="3"/>
        <v>800</v>
      </c>
      <c r="X34">
        <f t="shared" si="1"/>
        <v>5.1539750032212348E-3</v>
      </c>
      <c r="Z34" s="16"/>
      <c r="AA34" s="16">
        <f>SUM($W$3:W34)</f>
        <v>26800</v>
      </c>
    </row>
    <row r="35" spans="1:29">
      <c r="A35" s="10">
        <v>34</v>
      </c>
      <c r="B35" s="10">
        <v>0</v>
      </c>
      <c r="C35" s="48">
        <v>92271</v>
      </c>
      <c r="D35" s="10" t="str">
        <f>IFERROR(VLOOKUP(C35,[1]引用表合并!$A$2:$B$1000,2,FALSE),"")</f>
        <v>精准手表</v>
      </c>
      <c r="E35" s="10">
        <v>1</v>
      </c>
      <c r="F35" s="10">
        <v>800</v>
      </c>
      <c r="G35" s="10">
        <v>1</v>
      </c>
      <c r="H35" s="10">
        <v>100</v>
      </c>
      <c r="I35" s="10">
        <v>0</v>
      </c>
      <c r="J35" s="10">
        <v>1</v>
      </c>
      <c r="K35" s="7">
        <v>0</v>
      </c>
      <c r="L35" s="7">
        <v>0</v>
      </c>
      <c r="M35" s="7">
        <v>0</v>
      </c>
      <c r="O35" s="1">
        <f>ROUNDUP(VLOOKUP(C35,[2]!游戏物价查询,7,FALSE),0)*E35</f>
        <v>15</v>
      </c>
      <c r="P35">
        <f>VLOOKUP(C35,[2]!游戏物价查询,4,0)</f>
        <v>108</v>
      </c>
      <c r="Q35">
        <f>VLOOKUP(C35,[3]!马仔宝物属性,6,FALSE)</f>
        <v>1</v>
      </c>
      <c r="R35">
        <f t="shared" si="2"/>
        <v>800</v>
      </c>
      <c r="S35">
        <f t="shared" si="0"/>
        <v>5.2697450760819447E-3</v>
      </c>
      <c r="V35" s="16">
        <f>SUM($R$3:R35)</f>
        <v>30990</v>
      </c>
      <c r="W35">
        <f t="shared" si="3"/>
        <v>800</v>
      </c>
      <c r="X35">
        <f t="shared" si="1"/>
        <v>5.1539750032212348E-3</v>
      </c>
      <c r="Z35" s="16"/>
      <c r="AA35" s="16">
        <f>SUM($W$3:W35)</f>
        <v>27600</v>
      </c>
    </row>
    <row r="36" spans="1:29">
      <c r="A36" s="10">
        <v>35</v>
      </c>
      <c r="B36" s="10">
        <v>0</v>
      </c>
      <c r="C36" s="48">
        <v>92278</v>
      </c>
      <c r="D36" s="10" t="str">
        <f>IFERROR(VLOOKUP(C36,[1]引用表合并!$A$2:$B$1000,2,FALSE),"")</f>
        <v>宝驼</v>
      </c>
      <c r="E36" s="10">
        <v>1</v>
      </c>
      <c r="F36" s="10">
        <v>800</v>
      </c>
      <c r="G36" s="10">
        <v>1</v>
      </c>
      <c r="H36" s="10">
        <v>100</v>
      </c>
      <c r="I36" s="10">
        <v>0</v>
      </c>
      <c r="J36" s="10">
        <v>1</v>
      </c>
      <c r="K36" s="7">
        <v>0</v>
      </c>
      <c r="L36" s="7">
        <v>0</v>
      </c>
      <c r="M36" s="7">
        <v>0</v>
      </c>
      <c r="O36" s="1">
        <f>ROUNDUP(VLOOKUP(C36,[2]!游戏物价查询,7,FALSE),0)*E36</f>
        <v>15</v>
      </c>
      <c r="P36">
        <f>VLOOKUP(C36,[2]!游戏物价查询,4,0)</f>
        <v>224</v>
      </c>
      <c r="Q36">
        <f>VLOOKUP(C36,[3]!马仔宝物属性,6,FALSE)</f>
        <v>1</v>
      </c>
      <c r="R36">
        <f t="shared" si="2"/>
        <v>800</v>
      </c>
      <c r="S36">
        <f t="shared" si="0"/>
        <v>5.2697450760819447E-3</v>
      </c>
      <c r="V36" s="16">
        <f>SUM($R$3:R36)</f>
        <v>31790</v>
      </c>
      <c r="W36">
        <f t="shared" si="3"/>
        <v>800</v>
      </c>
      <c r="X36">
        <f t="shared" si="1"/>
        <v>5.1539750032212348E-3</v>
      </c>
      <c r="Z36" s="16"/>
      <c r="AA36" s="16">
        <f>SUM($W$3:W36)</f>
        <v>28400</v>
      </c>
    </row>
    <row r="37" spans="1:29">
      <c r="A37" s="10">
        <v>36</v>
      </c>
      <c r="B37" s="10">
        <v>0</v>
      </c>
      <c r="C37" s="48">
        <v>92283</v>
      </c>
      <c r="D37" s="10" t="str">
        <f>IFERROR(VLOOKUP(C37,[1]引用表合并!$A$2:$B$1000,2,FALSE),"")</f>
        <v>小迭钞票</v>
      </c>
      <c r="E37" s="10">
        <v>1</v>
      </c>
      <c r="F37" s="10">
        <v>800</v>
      </c>
      <c r="G37" s="10">
        <v>1</v>
      </c>
      <c r="H37" s="10">
        <v>100</v>
      </c>
      <c r="I37" s="10">
        <v>0</v>
      </c>
      <c r="J37" s="10">
        <v>1</v>
      </c>
      <c r="K37" s="7">
        <v>0</v>
      </c>
      <c r="L37" s="7">
        <v>0</v>
      </c>
      <c r="M37" s="7">
        <v>0</v>
      </c>
      <c r="O37" s="1">
        <f>ROUNDUP(VLOOKUP(C37,[2]!游戏物价查询,7,FALSE),0)*E37</f>
        <v>15</v>
      </c>
      <c r="P37">
        <f>VLOOKUP(C37,[2]!游戏物价查询,4,0)</f>
        <v>713</v>
      </c>
      <c r="Q37">
        <f>VLOOKUP(C37,[3]!马仔宝物属性,6,FALSE)</f>
        <v>1</v>
      </c>
      <c r="R37">
        <f t="shared" si="2"/>
        <v>800</v>
      </c>
      <c r="S37">
        <f t="shared" si="0"/>
        <v>5.2697450760819447E-3</v>
      </c>
      <c r="V37" s="16">
        <f>SUM($R$3:R37)</f>
        <v>32590</v>
      </c>
      <c r="W37">
        <f t="shared" si="3"/>
        <v>800</v>
      </c>
      <c r="X37">
        <f t="shared" si="1"/>
        <v>5.1539750032212348E-3</v>
      </c>
      <c r="Z37" s="16"/>
      <c r="AA37" s="16">
        <f>SUM($W$3:W37)</f>
        <v>29200</v>
      </c>
    </row>
    <row r="38" spans="1:29">
      <c r="A38" s="10">
        <v>37</v>
      </c>
      <c r="B38" s="10">
        <v>0</v>
      </c>
      <c r="C38" s="48">
        <v>92287</v>
      </c>
      <c r="D38" s="10" t="str">
        <f>IFERROR(VLOOKUP(C38,[1]引用表合并!$A$2:$B$1000,2,FALSE),"")</f>
        <v>金块</v>
      </c>
      <c r="E38" s="10">
        <v>1</v>
      </c>
      <c r="F38" s="10">
        <v>800</v>
      </c>
      <c r="G38" s="10">
        <v>1</v>
      </c>
      <c r="H38" s="10">
        <v>100</v>
      </c>
      <c r="I38" s="10">
        <v>0</v>
      </c>
      <c r="J38" s="10">
        <v>1</v>
      </c>
      <c r="K38" s="7">
        <v>0</v>
      </c>
      <c r="L38" s="7">
        <v>0</v>
      </c>
      <c r="M38" s="7">
        <v>0</v>
      </c>
      <c r="O38" s="1">
        <f>ROUNDUP(VLOOKUP(C38,[2]!游戏物价查询,7,FALSE),0)*E38</f>
        <v>15</v>
      </c>
      <c r="P38">
        <f>VLOOKUP(C38,[2]!游戏物价查询,4,0)</f>
        <v>655</v>
      </c>
      <c r="Q38">
        <f>VLOOKUP(C38,[3]!马仔宝物属性,6,FALSE)</f>
        <v>1</v>
      </c>
      <c r="R38">
        <f t="shared" si="2"/>
        <v>800</v>
      </c>
      <c r="S38">
        <f t="shared" si="0"/>
        <v>5.2697450760819447E-3</v>
      </c>
      <c r="T38" s="22">
        <f>SUM(S9:S38)</f>
        <v>0.19761544035307285</v>
      </c>
      <c r="V38" s="16">
        <f>SUM($R$3:R38)</f>
        <v>33390</v>
      </c>
      <c r="W38">
        <f t="shared" si="3"/>
        <v>800</v>
      </c>
      <c r="X38">
        <f t="shared" si="1"/>
        <v>5.1539750032212348E-3</v>
      </c>
      <c r="Y38" s="22">
        <f>SUM(X9:X38)</f>
        <v>0.1932740626207963</v>
      </c>
      <c r="Z38" s="16"/>
      <c r="AA38" s="16">
        <f>SUM($W$3:W38)</f>
        <v>30000</v>
      </c>
      <c r="AB38" s="8">
        <f>SUMPRODUCT(X29:X38,E29:E38)</f>
        <v>5.1539750032212346E-2</v>
      </c>
      <c r="AC38" s="8">
        <f>[2]马仔宝物投放!$O$41</f>
        <v>0.12332167297745356</v>
      </c>
    </row>
    <row r="39" spans="1:29">
      <c r="A39" s="10">
        <v>38</v>
      </c>
      <c r="B39" s="10">
        <v>0</v>
      </c>
      <c r="C39" s="49">
        <v>93142</v>
      </c>
      <c r="D39" s="10" t="str">
        <f>IFERROR(VLOOKUP(C39,[1]引用表合并!$A$2:$B$1000,2,FALSE),"")</f>
        <v>黄金戒指碎片</v>
      </c>
      <c r="E39" s="7">
        <v>1</v>
      </c>
      <c r="F39" s="10">
        <v>1000</v>
      </c>
      <c r="G39" s="10">
        <v>1</v>
      </c>
      <c r="H39" s="10">
        <v>100</v>
      </c>
      <c r="I39" s="10">
        <v>0</v>
      </c>
      <c r="J39" s="10">
        <v>0</v>
      </c>
      <c r="K39" s="7">
        <v>0</v>
      </c>
      <c r="L39" s="7">
        <v>0</v>
      </c>
      <c r="M39" s="7">
        <v>0</v>
      </c>
      <c r="O39" s="1">
        <f>ROUNDUP(VLOOKUP(C39,[2]!游戏物价查询,7,FALSE),0)*E39</f>
        <v>4</v>
      </c>
      <c r="P39">
        <f>VLOOKUP(C39,[2]!游戏物价查询,4,0)</f>
        <v>1105</v>
      </c>
      <c r="Q39">
        <f>VLOOKUP(C39,[3]!马仔宝物属性,6,FALSE)</f>
        <v>2</v>
      </c>
      <c r="R39">
        <f t="shared" si="2"/>
        <v>1000</v>
      </c>
      <c r="S39">
        <f t="shared" si="0"/>
        <v>6.5871813451024303E-3</v>
      </c>
      <c r="V39" s="16">
        <f>SUM($R$3:R39)</f>
        <v>34390</v>
      </c>
      <c r="W39">
        <f t="shared" si="3"/>
        <v>1000</v>
      </c>
      <c r="X39">
        <f t="shared" si="1"/>
        <v>6.4424687540265433E-3</v>
      </c>
      <c r="Z39" s="16"/>
      <c r="AA39" s="16">
        <f>SUM($W$3:W39)</f>
        <v>31000</v>
      </c>
    </row>
    <row r="40" spans="1:29">
      <c r="A40" s="10">
        <v>39</v>
      </c>
      <c r="B40" s="10">
        <v>0</v>
      </c>
      <c r="C40" s="49">
        <v>93235</v>
      </c>
      <c r="D40" s="10" t="str">
        <f>IFERROR(VLOOKUP(C40,[1]引用表合并!$A$2:$B$1000,2,FALSE),"")</f>
        <v>宝石手环碎片</v>
      </c>
      <c r="E40" s="7">
        <v>1</v>
      </c>
      <c r="F40" s="10">
        <v>1000</v>
      </c>
      <c r="G40" s="10">
        <v>1</v>
      </c>
      <c r="H40" s="10">
        <v>100</v>
      </c>
      <c r="I40" s="10">
        <v>0</v>
      </c>
      <c r="J40" s="10">
        <v>0</v>
      </c>
      <c r="K40" s="7">
        <v>0</v>
      </c>
      <c r="L40" s="7">
        <v>0</v>
      </c>
      <c r="M40" s="7">
        <v>0</v>
      </c>
      <c r="O40" s="1">
        <f>ROUNDUP(VLOOKUP(C40,[2]!游戏物价查询,7,FALSE),0)*E40</f>
        <v>4</v>
      </c>
      <c r="P40">
        <f>VLOOKUP(C40,[2]!游戏物价查询,4,0)</f>
        <v>1135</v>
      </c>
      <c r="Q40">
        <f>VLOOKUP(C40,[3]!马仔宝物属性,6,FALSE)</f>
        <v>2</v>
      </c>
      <c r="R40">
        <f t="shared" si="2"/>
        <v>1000</v>
      </c>
      <c r="S40">
        <f t="shared" si="0"/>
        <v>6.5871813451024303E-3</v>
      </c>
      <c r="V40" s="16">
        <f>SUM($R$3:R40)</f>
        <v>35390</v>
      </c>
      <c r="W40">
        <f t="shared" si="3"/>
        <v>1000</v>
      </c>
      <c r="X40">
        <f t="shared" si="1"/>
        <v>6.4424687540265433E-3</v>
      </c>
      <c r="Z40" s="16"/>
      <c r="AA40" s="16">
        <f>SUM($W$3:W40)</f>
        <v>32000</v>
      </c>
    </row>
    <row r="41" spans="1:29">
      <c r="A41" s="10">
        <v>40</v>
      </c>
      <c r="B41" s="10">
        <v>0</v>
      </c>
      <c r="C41" s="49">
        <v>93012</v>
      </c>
      <c r="D41" s="10" t="str">
        <f>IFERROR(VLOOKUP(C41,[1]引用表合并!$A$2:$B$1000,2,FALSE),"")</f>
        <v>摩拉碎片</v>
      </c>
      <c r="E41" s="7">
        <v>1</v>
      </c>
      <c r="F41" s="10">
        <v>1000</v>
      </c>
      <c r="G41" s="10">
        <v>1</v>
      </c>
      <c r="H41" s="10">
        <v>100</v>
      </c>
      <c r="I41" s="10">
        <v>0</v>
      </c>
      <c r="J41" s="10">
        <v>0</v>
      </c>
      <c r="K41" s="7">
        <v>0</v>
      </c>
      <c r="L41" s="7">
        <v>0</v>
      </c>
      <c r="M41" s="7">
        <v>0</v>
      </c>
      <c r="O41" s="1">
        <f>ROUNDUP(VLOOKUP(C41,[2]!游戏物价查询,7,FALSE),0)*E41</f>
        <v>4</v>
      </c>
      <c r="P41">
        <f>VLOOKUP(C41,[2]!游戏物价查询,4,0)</f>
        <v>525</v>
      </c>
      <c r="Q41">
        <f>VLOOKUP(C41,[3]!马仔宝物属性,6,FALSE)</f>
        <v>2</v>
      </c>
      <c r="R41">
        <f t="shared" si="2"/>
        <v>1000</v>
      </c>
      <c r="S41">
        <f t="shared" si="0"/>
        <v>6.5871813451024303E-3</v>
      </c>
      <c r="V41" s="16">
        <f>SUM($R$3:R41)</f>
        <v>36390</v>
      </c>
      <c r="W41">
        <f t="shared" si="3"/>
        <v>1000</v>
      </c>
      <c r="X41">
        <f t="shared" si="1"/>
        <v>6.4424687540265433E-3</v>
      </c>
      <c r="Z41" s="16"/>
      <c r="AA41" s="16">
        <f>SUM($W$3:W41)</f>
        <v>33000</v>
      </c>
    </row>
    <row r="42" spans="1:29">
      <c r="A42" s="10">
        <v>41</v>
      </c>
      <c r="B42" s="10">
        <v>0</v>
      </c>
      <c r="C42" s="49">
        <v>93252</v>
      </c>
      <c r="D42" s="10" t="str">
        <f>IFERROR(VLOOKUP(C42,[1]引用表合并!$A$2:$B$1000,2,FALSE),"")</f>
        <v>青玉项链碎片</v>
      </c>
      <c r="E42" s="7">
        <v>1</v>
      </c>
      <c r="F42" s="10">
        <v>1000</v>
      </c>
      <c r="G42" s="10">
        <v>1</v>
      </c>
      <c r="H42" s="10">
        <v>100</v>
      </c>
      <c r="I42" s="10">
        <v>0</v>
      </c>
      <c r="J42" s="10">
        <v>0</v>
      </c>
      <c r="K42" s="7">
        <v>0</v>
      </c>
      <c r="L42" s="7">
        <v>0</v>
      </c>
      <c r="M42" s="7">
        <v>0</v>
      </c>
      <c r="O42" s="1">
        <f>ROUNDUP(VLOOKUP(C42,[2]!游戏物价查询,7,FALSE),0)*E42</f>
        <v>4</v>
      </c>
      <c r="P42">
        <f>VLOOKUP(C42,[2]!游戏物价查询,4,0)</f>
        <v>1540</v>
      </c>
      <c r="Q42">
        <f>VLOOKUP(C42,[3]!马仔宝物属性,6,FALSE)</f>
        <v>2</v>
      </c>
      <c r="R42">
        <f t="shared" si="2"/>
        <v>1000</v>
      </c>
      <c r="S42">
        <f t="shared" si="0"/>
        <v>6.5871813451024303E-3</v>
      </c>
      <c r="V42" s="16">
        <f>SUM($R$3:R42)</f>
        <v>37390</v>
      </c>
      <c r="W42">
        <f t="shared" si="3"/>
        <v>1000</v>
      </c>
      <c r="X42">
        <f t="shared" si="1"/>
        <v>6.4424687540265433E-3</v>
      </c>
      <c r="Z42" s="16"/>
      <c r="AA42" s="16">
        <f>SUM($W$3:W42)</f>
        <v>34000</v>
      </c>
    </row>
    <row r="43" spans="1:29">
      <c r="A43" s="10">
        <v>42</v>
      </c>
      <c r="B43" s="10">
        <v>0</v>
      </c>
      <c r="C43" s="49">
        <v>93124</v>
      </c>
      <c r="D43" s="10" t="str">
        <f>IFERROR(VLOOKUP(C43,[1]引用表合并!$A$2:$B$1000,2,FALSE),"")</f>
        <v>水晶耳钉碎片</v>
      </c>
      <c r="E43" s="7">
        <v>1</v>
      </c>
      <c r="F43" s="10">
        <v>1000</v>
      </c>
      <c r="G43" s="10">
        <v>1</v>
      </c>
      <c r="H43" s="10">
        <v>100</v>
      </c>
      <c r="I43" s="10">
        <v>0</v>
      </c>
      <c r="J43" s="10">
        <v>0</v>
      </c>
      <c r="K43" s="7">
        <v>0</v>
      </c>
      <c r="L43" s="7">
        <v>0</v>
      </c>
      <c r="M43" s="7">
        <v>0</v>
      </c>
      <c r="O43" s="1">
        <f>ROUNDUP(VLOOKUP(C43,[2]!游戏物价查询,7,FALSE),0)*E43</f>
        <v>4</v>
      </c>
      <c r="P43">
        <f>VLOOKUP(C43,[2]!游戏物价查询,4,0)</f>
        <v>1170</v>
      </c>
      <c r="Q43">
        <f>VLOOKUP(C43,[3]!马仔宝物属性,6,FALSE)</f>
        <v>2</v>
      </c>
      <c r="R43">
        <f t="shared" si="2"/>
        <v>1000</v>
      </c>
      <c r="S43">
        <f t="shared" si="0"/>
        <v>6.5871813451024303E-3</v>
      </c>
      <c r="V43" s="16">
        <f>SUM($R$3:R43)</f>
        <v>38390</v>
      </c>
      <c r="W43">
        <f t="shared" si="3"/>
        <v>1000</v>
      </c>
      <c r="X43">
        <f t="shared" si="1"/>
        <v>6.4424687540265433E-3</v>
      </c>
      <c r="Z43" s="16"/>
      <c r="AA43" s="16">
        <f>SUM($W$3:W43)</f>
        <v>35000</v>
      </c>
    </row>
    <row r="44" spans="1:29">
      <c r="A44" s="10">
        <v>43</v>
      </c>
      <c r="B44" s="10">
        <v>0</v>
      </c>
      <c r="C44" s="49">
        <v>93272</v>
      </c>
      <c r="D44" s="10" t="str">
        <f>IFERROR(VLOOKUP(C44,[1]引用表合并!$A$2:$B$1000,2,FALSE),"")</f>
        <v>金针手表碎片</v>
      </c>
      <c r="E44" s="7">
        <v>1</v>
      </c>
      <c r="F44" s="10">
        <v>1000</v>
      </c>
      <c r="G44" s="10">
        <v>1</v>
      </c>
      <c r="H44" s="10">
        <v>100</v>
      </c>
      <c r="I44" s="10">
        <v>0</v>
      </c>
      <c r="J44" s="10">
        <v>0</v>
      </c>
      <c r="K44" s="7">
        <v>0</v>
      </c>
      <c r="L44" s="7">
        <v>0</v>
      </c>
      <c r="M44" s="7">
        <v>0</v>
      </c>
      <c r="O44" s="1">
        <f>ROUNDUP(VLOOKUP(C44,[2]!游戏物价查询,7,FALSE),0)*E44</f>
        <v>4</v>
      </c>
      <c r="P44">
        <f>VLOOKUP(C44,[2]!游戏物价查询,4,0)</f>
        <v>465</v>
      </c>
      <c r="Q44">
        <f>VLOOKUP(C44,[3]!马仔宝物属性,6,FALSE)</f>
        <v>2</v>
      </c>
      <c r="R44">
        <f t="shared" si="2"/>
        <v>1000</v>
      </c>
      <c r="S44">
        <f t="shared" si="0"/>
        <v>6.5871813451024303E-3</v>
      </c>
      <c r="V44" s="16">
        <f>SUM($R$3:R44)</f>
        <v>39390</v>
      </c>
      <c r="W44">
        <f t="shared" si="3"/>
        <v>1000</v>
      </c>
      <c r="X44">
        <f t="shared" si="1"/>
        <v>6.4424687540265433E-3</v>
      </c>
      <c r="Z44" s="16"/>
      <c r="AA44" s="16">
        <f>SUM($W$3:W44)</f>
        <v>36000</v>
      </c>
    </row>
    <row r="45" spans="1:29">
      <c r="A45" s="10">
        <v>44</v>
      </c>
      <c r="B45" s="10">
        <v>0</v>
      </c>
      <c r="C45" s="49">
        <v>93273</v>
      </c>
      <c r="D45" s="10" t="str">
        <f>IFERROR(VLOOKUP(C45,[1]引用表合并!$A$2:$B$1000,2,FALSE),"")</f>
        <v>智能手表碎片</v>
      </c>
      <c r="E45" s="7">
        <v>1</v>
      </c>
      <c r="F45" s="10">
        <v>1000</v>
      </c>
      <c r="G45" s="10">
        <v>1</v>
      </c>
      <c r="H45" s="10">
        <v>100</v>
      </c>
      <c r="I45" s="10">
        <v>0</v>
      </c>
      <c r="J45" s="10">
        <v>0</v>
      </c>
      <c r="K45" s="7">
        <v>0</v>
      </c>
      <c r="L45" s="7">
        <v>0</v>
      </c>
      <c r="M45" s="7">
        <v>0</v>
      </c>
      <c r="O45" s="1">
        <f>ROUNDUP(VLOOKUP(C45,[2]!游戏物价查询,7,FALSE),0)*E45</f>
        <v>4</v>
      </c>
      <c r="P45">
        <f>VLOOKUP(C45,[2]!游戏物价查询,4,0)</f>
        <v>430</v>
      </c>
      <c r="Q45">
        <f>VLOOKUP(C45,[3]!马仔宝物属性,6,FALSE)</f>
        <v>2</v>
      </c>
      <c r="R45">
        <f t="shared" ref="R45:R46" si="8">IF(L45&lt;2,F45,"")</f>
        <v>1000</v>
      </c>
      <c r="S45">
        <f t="shared" si="0"/>
        <v>6.5871813451024303E-3</v>
      </c>
      <c r="V45" s="16">
        <f>SUM($R$3:R45)</f>
        <v>40390</v>
      </c>
      <c r="W45">
        <f t="shared" si="3"/>
        <v>1000</v>
      </c>
      <c r="X45">
        <f t="shared" si="1"/>
        <v>6.4424687540265433E-3</v>
      </c>
      <c r="Z45" s="16"/>
      <c r="AA45" s="16">
        <f>SUM($W$3:W45)</f>
        <v>37000</v>
      </c>
    </row>
    <row r="46" spans="1:29">
      <c r="A46" s="10">
        <v>45</v>
      </c>
      <c r="B46" s="10">
        <v>0</v>
      </c>
      <c r="C46" s="49">
        <v>93279</v>
      </c>
      <c r="D46" s="10" t="str">
        <f>IFERROR(VLOOKUP(C46,[1]引用表合并!$A$2:$B$1000,2,FALSE),"")</f>
        <v>宾倪碎片</v>
      </c>
      <c r="E46" s="7">
        <v>1</v>
      </c>
      <c r="F46" s="10">
        <v>1000</v>
      </c>
      <c r="G46" s="10">
        <v>1</v>
      </c>
      <c r="H46" s="10">
        <v>100</v>
      </c>
      <c r="I46" s="10">
        <v>0</v>
      </c>
      <c r="J46" s="10">
        <v>0</v>
      </c>
      <c r="K46" s="7">
        <v>0</v>
      </c>
      <c r="L46" s="7">
        <v>0</v>
      </c>
      <c r="M46" s="7">
        <v>0</v>
      </c>
      <c r="O46" s="1">
        <f>ROUNDUP(VLOOKUP(C46,[2]!游戏物价查询,7,FALSE),0)*E46</f>
        <v>4</v>
      </c>
      <c r="P46">
        <f>VLOOKUP(C46,[2]!游戏物价查询,4,0)</f>
        <v>495</v>
      </c>
      <c r="Q46">
        <f>VLOOKUP(C46,[3]!马仔宝物属性,6,FALSE)</f>
        <v>2</v>
      </c>
      <c r="R46">
        <f t="shared" si="8"/>
        <v>1000</v>
      </c>
      <c r="S46">
        <f t="shared" si="0"/>
        <v>6.5871813451024303E-3</v>
      </c>
      <c r="V46" s="16">
        <f>SUM($R$3:R46)</f>
        <v>41390</v>
      </c>
      <c r="W46">
        <f t="shared" si="3"/>
        <v>1000</v>
      </c>
      <c r="X46">
        <f t="shared" si="1"/>
        <v>6.4424687540265433E-3</v>
      </c>
      <c r="Z46" s="16"/>
      <c r="AA46" s="16">
        <f>SUM($W$3:W46)</f>
        <v>38000</v>
      </c>
    </row>
    <row r="47" spans="1:29">
      <c r="A47" s="10">
        <v>46</v>
      </c>
      <c r="B47" s="10">
        <v>0</v>
      </c>
      <c r="C47" s="49">
        <v>93284</v>
      </c>
      <c r="D47" s="10" t="str">
        <f>IFERROR(VLOOKUP(C47,[1]引用表合并!$A$2:$B$1000,2,FALSE),"")</f>
        <v>大迭钞票碎片</v>
      </c>
      <c r="E47" s="7">
        <v>1</v>
      </c>
      <c r="F47" s="10">
        <v>1000</v>
      </c>
      <c r="G47" s="10">
        <v>1</v>
      </c>
      <c r="H47" s="10">
        <v>100</v>
      </c>
      <c r="I47" s="10">
        <v>0</v>
      </c>
      <c r="J47" s="10">
        <v>0</v>
      </c>
      <c r="K47" s="7">
        <v>0</v>
      </c>
      <c r="L47" s="7">
        <v>0</v>
      </c>
      <c r="M47" s="7">
        <v>0</v>
      </c>
      <c r="O47" s="1">
        <f>ROUNDUP(VLOOKUP(C47,[2]!游戏物价查询,7,FALSE),0)*E47</f>
        <v>4</v>
      </c>
      <c r="P47">
        <f>VLOOKUP(C47,[2]!游戏物价查询,4,0)</f>
        <v>3435</v>
      </c>
      <c r="Q47">
        <f>VLOOKUP(C47,[3]!马仔宝物属性,6,FALSE)</f>
        <v>2</v>
      </c>
      <c r="R47">
        <f t="shared" si="2"/>
        <v>1000</v>
      </c>
      <c r="S47">
        <f t="shared" si="0"/>
        <v>6.5871813451024303E-3</v>
      </c>
      <c r="V47" s="16">
        <f>SUM($R$3:R47)</f>
        <v>42390</v>
      </c>
      <c r="W47">
        <f t="shared" si="3"/>
        <v>1000</v>
      </c>
      <c r="X47">
        <f t="shared" si="1"/>
        <v>6.4424687540265433E-3</v>
      </c>
      <c r="Z47" s="16"/>
      <c r="AA47" s="16">
        <f>SUM($W$3:W47)</f>
        <v>39000</v>
      </c>
    </row>
    <row r="48" spans="1:29">
      <c r="A48" s="10">
        <v>47</v>
      </c>
      <c r="B48" s="10">
        <v>0</v>
      </c>
      <c r="C48" s="49">
        <v>93288</v>
      </c>
      <c r="D48" s="10" t="str">
        <f>IFERROR(VLOOKUP(C48,[1]引用表合并!$A$2:$B$1000,2,FALSE),"")</f>
        <v>大金块碎片</v>
      </c>
      <c r="E48" s="7">
        <v>1</v>
      </c>
      <c r="F48" s="10">
        <v>1000</v>
      </c>
      <c r="G48" s="10">
        <v>1</v>
      </c>
      <c r="H48" s="10">
        <v>100</v>
      </c>
      <c r="I48" s="10">
        <v>0</v>
      </c>
      <c r="J48" s="10">
        <v>0</v>
      </c>
      <c r="K48" s="7">
        <v>0</v>
      </c>
      <c r="L48" s="7">
        <v>0</v>
      </c>
      <c r="M48" s="7">
        <v>0</v>
      </c>
      <c r="O48" s="1">
        <f>ROUNDUP(VLOOKUP(C48,[2]!游戏物价查询,7,FALSE),0)*E48</f>
        <v>4</v>
      </c>
      <c r="P48">
        <f>VLOOKUP(C48,[2]!游戏物价查询,4,0)</f>
        <v>3145</v>
      </c>
      <c r="Q48">
        <f>VLOOKUP(C48,[3]!马仔宝物属性,6,FALSE)</f>
        <v>2</v>
      </c>
      <c r="R48">
        <f t="shared" si="2"/>
        <v>1000</v>
      </c>
      <c r="S48">
        <f t="shared" si="0"/>
        <v>6.5871813451024303E-3</v>
      </c>
      <c r="U48">
        <f>SUM(S39:S48)</f>
        <v>6.5871813451024303E-2</v>
      </c>
      <c r="V48" s="16">
        <f>SUM($R$3:R48)</f>
        <v>43390</v>
      </c>
      <c r="W48">
        <f t="shared" si="3"/>
        <v>1000</v>
      </c>
      <c r="X48">
        <f t="shared" si="1"/>
        <v>6.4424687540265433E-3</v>
      </c>
      <c r="Z48">
        <f>SUM(X39:X48)</f>
        <v>6.4424687540265438E-2</v>
      </c>
      <c r="AA48" s="16">
        <f>SUM($W$3:W48)</f>
        <v>40000</v>
      </c>
      <c r="AB48">
        <f>SUMPRODUCT(X39:X48,E39:E48)</f>
        <v>6.4424687540265438E-2</v>
      </c>
    </row>
    <row r="49" spans="1:28">
      <c r="A49" s="10">
        <v>48</v>
      </c>
      <c r="B49" s="10">
        <v>0</v>
      </c>
      <c r="C49" s="49">
        <v>93142</v>
      </c>
      <c r="D49" s="10" t="str">
        <f>IFERROR(VLOOKUP(C49,[1]引用表合并!$A$2:$B$1000,2,FALSE),"")</f>
        <v>黄金戒指碎片</v>
      </c>
      <c r="E49" s="7">
        <v>2</v>
      </c>
      <c r="F49" s="10">
        <f>F39</f>
        <v>1000</v>
      </c>
      <c r="G49" s="10">
        <v>1</v>
      </c>
      <c r="H49" s="10">
        <v>100</v>
      </c>
      <c r="I49" s="10">
        <v>0</v>
      </c>
      <c r="J49" s="10">
        <v>0</v>
      </c>
      <c r="K49" s="7">
        <v>0</v>
      </c>
      <c r="L49" s="7">
        <v>0</v>
      </c>
      <c r="M49" s="7">
        <v>0</v>
      </c>
      <c r="O49" s="1">
        <f>ROUNDUP(VLOOKUP(C49,[2]!游戏物价查询,7,FALSE),0)*E49</f>
        <v>8</v>
      </c>
      <c r="P49">
        <f>VLOOKUP(C49,[2]!游戏物价查询,4,0)</f>
        <v>1105</v>
      </c>
      <c r="Q49">
        <f>VLOOKUP(C49,[3]!马仔宝物属性,6,FALSE)</f>
        <v>2</v>
      </c>
      <c r="R49">
        <f t="shared" si="2"/>
        <v>1000</v>
      </c>
      <c r="S49">
        <f t="shared" si="0"/>
        <v>6.5871813451024303E-3</v>
      </c>
      <c r="V49" s="16">
        <f>SUM($R$3:R49)</f>
        <v>44390</v>
      </c>
      <c r="W49">
        <f t="shared" si="3"/>
        <v>1000</v>
      </c>
      <c r="X49">
        <f t="shared" si="1"/>
        <v>6.4424687540265433E-3</v>
      </c>
      <c r="Z49" s="16"/>
      <c r="AA49" s="16">
        <f>SUM($W$3:W49)</f>
        <v>41000</v>
      </c>
    </row>
    <row r="50" spans="1:28">
      <c r="A50" s="10">
        <v>49</v>
      </c>
      <c r="B50" s="10">
        <v>0</v>
      </c>
      <c r="C50" s="49">
        <v>93235</v>
      </c>
      <c r="D50" s="10" t="str">
        <f>IFERROR(VLOOKUP(C50,[1]引用表合并!$A$2:$B$1000,2,FALSE),"")</f>
        <v>宝石手环碎片</v>
      </c>
      <c r="E50" s="7">
        <v>2</v>
      </c>
      <c r="F50" s="10">
        <f t="shared" ref="F50:F68" si="9">F40</f>
        <v>1000</v>
      </c>
      <c r="G50" s="10">
        <v>1</v>
      </c>
      <c r="H50" s="10">
        <v>100</v>
      </c>
      <c r="I50" s="10">
        <v>0</v>
      </c>
      <c r="J50" s="10">
        <v>0</v>
      </c>
      <c r="K50" s="7">
        <v>0</v>
      </c>
      <c r="L50" s="7">
        <v>0</v>
      </c>
      <c r="M50" s="7">
        <v>0</v>
      </c>
      <c r="O50" s="1">
        <f>ROUNDUP(VLOOKUP(C50,[2]!游戏物价查询,7,FALSE),0)*E50</f>
        <v>8</v>
      </c>
      <c r="P50">
        <f>VLOOKUP(C50,[2]!游戏物价查询,4,0)</f>
        <v>1135</v>
      </c>
      <c r="Q50">
        <f>VLOOKUP(C50,[3]!马仔宝物属性,6,FALSE)</f>
        <v>2</v>
      </c>
      <c r="R50">
        <f t="shared" si="2"/>
        <v>1000</v>
      </c>
      <c r="S50">
        <f t="shared" si="0"/>
        <v>6.5871813451024303E-3</v>
      </c>
      <c r="V50" s="16">
        <f>SUM($R$3:R50)</f>
        <v>45390</v>
      </c>
      <c r="W50">
        <f t="shared" si="3"/>
        <v>1000</v>
      </c>
      <c r="X50">
        <f t="shared" si="1"/>
        <v>6.4424687540265433E-3</v>
      </c>
      <c r="Z50" s="16"/>
      <c r="AA50" s="16">
        <f>SUM($W$3:W50)</f>
        <v>42000</v>
      </c>
    </row>
    <row r="51" spans="1:28">
      <c r="A51" s="10">
        <v>50</v>
      </c>
      <c r="B51" s="10">
        <v>0</v>
      </c>
      <c r="C51" s="49">
        <v>93012</v>
      </c>
      <c r="D51" s="10" t="str">
        <f>IFERROR(VLOOKUP(C51,[1]引用表合并!$A$2:$B$1000,2,FALSE),"")</f>
        <v>摩拉碎片</v>
      </c>
      <c r="E51" s="7">
        <v>2</v>
      </c>
      <c r="F51" s="10">
        <f t="shared" si="9"/>
        <v>1000</v>
      </c>
      <c r="G51" s="10">
        <v>1</v>
      </c>
      <c r="H51" s="10">
        <v>100</v>
      </c>
      <c r="I51" s="10">
        <v>0</v>
      </c>
      <c r="J51" s="10">
        <v>0</v>
      </c>
      <c r="K51" s="7">
        <v>0</v>
      </c>
      <c r="L51" s="7">
        <v>0</v>
      </c>
      <c r="M51" s="7">
        <v>0</v>
      </c>
      <c r="O51" s="1">
        <f>ROUNDUP(VLOOKUP(C51,[2]!游戏物价查询,7,FALSE),0)*E51</f>
        <v>8</v>
      </c>
      <c r="P51">
        <f>VLOOKUP(C51,[2]!游戏物价查询,4,0)</f>
        <v>525</v>
      </c>
      <c r="Q51">
        <f>VLOOKUP(C51,[3]!马仔宝物属性,6,FALSE)</f>
        <v>2</v>
      </c>
      <c r="R51">
        <f t="shared" si="2"/>
        <v>1000</v>
      </c>
      <c r="S51">
        <f t="shared" si="0"/>
        <v>6.5871813451024303E-3</v>
      </c>
      <c r="V51" s="16">
        <f>SUM($R$3:R51)</f>
        <v>46390</v>
      </c>
      <c r="W51">
        <f t="shared" si="3"/>
        <v>1000</v>
      </c>
      <c r="X51">
        <f t="shared" si="1"/>
        <v>6.4424687540265433E-3</v>
      </c>
      <c r="Z51" s="16"/>
      <c r="AA51" s="16">
        <f>SUM($W$3:W51)</f>
        <v>43000</v>
      </c>
    </row>
    <row r="52" spans="1:28">
      <c r="A52" s="10">
        <v>51</v>
      </c>
      <c r="B52" s="10">
        <v>0</v>
      </c>
      <c r="C52" s="49">
        <v>93252</v>
      </c>
      <c r="D52" s="10" t="str">
        <f>IFERROR(VLOOKUP(C52,[1]引用表合并!$A$2:$B$1000,2,FALSE),"")</f>
        <v>青玉项链碎片</v>
      </c>
      <c r="E52" s="7">
        <v>2</v>
      </c>
      <c r="F52" s="10">
        <f t="shared" si="9"/>
        <v>1000</v>
      </c>
      <c r="G52" s="10">
        <v>1</v>
      </c>
      <c r="H52" s="10">
        <v>100</v>
      </c>
      <c r="I52" s="10">
        <v>0</v>
      </c>
      <c r="J52" s="10">
        <v>0</v>
      </c>
      <c r="K52" s="7">
        <v>0</v>
      </c>
      <c r="L52" s="7">
        <v>0</v>
      </c>
      <c r="M52" s="7">
        <v>0</v>
      </c>
      <c r="O52" s="1">
        <f>ROUNDUP(VLOOKUP(C52,[2]!游戏物价查询,7,FALSE),0)*E52</f>
        <v>8</v>
      </c>
      <c r="P52">
        <f>VLOOKUP(C52,[2]!游戏物价查询,4,0)</f>
        <v>1540</v>
      </c>
      <c r="Q52">
        <f>VLOOKUP(C52,[3]!马仔宝物属性,6,FALSE)</f>
        <v>2</v>
      </c>
      <c r="R52">
        <f t="shared" ref="R52:R109" si="10">IF(L52&lt;2,F52,"")</f>
        <v>1000</v>
      </c>
      <c r="S52">
        <f t="shared" si="0"/>
        <v>6.5871813451024303E-3</v>
      </c>
      <c r="V52" s="16">
        <f>SUM($R$3:R52)</f>
        <v>47390</v>
      </c>
      <c r="W52">
        <f t="shared" si="3"/>
        <v>1000</v>
      </c>
      <c r="X52">
        <f t="shared" si="1"/>
        <v>6.4424687540265433E-3</v>
      </c>
      <c r="Z52" s="16"/>
      <c r="AA52" s="16">
        <f>SUM($W$3:W52)</f>
        <v>44000</v>
      </c>
    </row>
    <row r="53" spans="1:28">
      <c r="A53" s="10">
        <v>52</v>
      </c>
      <c r="B53" s="10">
        <v>0</v>
      </c>
      <c r="C53" s="49">
        <v>93124</v>
      </c>
      <c r="D53" s="10" t="str">
        <f>IFERROR(VLOOKUP(C53,[1]引用表合并!$A$2:$B$1000,2,FALSE),"")</f>
        <v>水晶耳钉碎片</v>
      </c>
      <c r="E53" s="7">
        <v>2</v>
      </c>
      <c r="F53" s="10">
        <f t="shared" si="9"/>
        <v>1000</v>
      </c>
      <c r="G53" s="10">
        <v>1</v>
      </c>
      <c r="H53" s="10">
        <v>100</v>
      </c>
      <c r="I53" s="10">
        <v>0</v>
      </c>
      <c r="J53" s="10">
        <v>0</v>
      </c>
      <c r="K53" s="7">
        <v>0</v>
      </c>
      <c r="L53" s="7">
        <v>0</v>
      </c>
      <c r="M53" s="7">
        <v>0</v>
      </c>
      <c r="O53" s="1">
        <f>ROUNDUP(VLOOKUP(C53,[2]!游戏物价查询,7,FALSE),0)*E53</f>
        <v>8</v>
      </c>
      <c r="P53">
        <f>VLOOKUP(C53,[2]!游戏物价查询,4,0)</f>
        <v>1170</v>
      </c>
      <c r="Q53">
        <f>VLOOKUP(C53,[3]!马仔宝物属性,6,FALSE)</f>
        <v>2</v>
      </c>
      <c r="R53">
        <f t="shared" si="10"/>
        <v>1000</v>
      </c>
      <c r="S53">
        <f t="shared" si="0"/>
        <v>6.5871813451024303E-3</v>
      </c>
      <c r="V53" s="16">
        <f>SUM($R$3:R53)</f>
        <v>48390</v>
      </c>
      <c r="W53">
        <f t="shared" si="3"/>
        <v>1000</v>
      </c>
      <c r="X53">
        <f t="shared" si="1"/>
        <v>6.4424687540265433E-3</v>
      </c>
      <c r="Z53" s="16"/>
      <c r="AA53" s="16">
        <f>SUM($W$3:W53)</f>
        <v>45000</v>
      </c>
    </row>
    <row r="54" spans="1:28">
      <c r="A54" s="10">
        <v>53</v>
      </c>
      <c r="B54" s="10">
        <v>0</v>
      </c>
      <c r="C54" s="49">
        <v>93272</v>
      </c>
      <c r="D54" s="10" t="str">
        <f>IFERROR(VLOOKUP(C54,[1]引用表合并!$A$2:$B$1000,2,FALSE),"")</f>
        <v>金针手表碎片</v>
      </c>
      <c r="E54" s="7">
        <v>2</v>
      </c>
      <c r="F54" s="10">
        <f t="shared" si="9"/>
        <v>1000</v>
      </c>
      <c r="G54" s="10">
        <v>1</v>
      </c>
      <c r="H54" s="10">
        <v>100</v>
      </c>
      <c r="I54" s="10">
        <v>0</v>
      </c>
      <c r="J54" s="10">
        <v>0</v>
      </c>
      <c r="K54" s="7">
        <v>0</v>
      </c>
      <c r="L54" s="7">
        <v>0</v>
      </c>
      <c r="M54" s="7">
        <v>0</v>
      </c>
      <c r="O54" s="1">
        <f>ROUNDUP(VLOOKUP(C54,[2]!游戏物价查询,7,FALSE),0)*E54</f>
        <v>8</v>
      </c>
      <c r="P54">
        <f>VLOOKUP(C54,[2]!游戏物价查询,4,0)</f>
        <v>465</v>
      </c>
      <c r="Q54">
        <f>VLOOKUP(C54,[3]!马仔宝物属性,6,FALSE)</f>
        <v>2</v>
      </c>
      <c r="R54">
        <f t="shared" ref="R54:R55" si="11">IF(L54&lt;2,F54,"")</f>
        <v>1000</v>
      </c>
      <c r="S54">
        <f t="shared" si="0"/>
        <v>6.5871813451024303E-3</v>
      </c>
      <c r="V54" s="16">
        <f>SUM($R$3:R54)</f>
        <v>49390</v>
      </c>
      <c r="W54">
        <f t="shared" si="3"/>
        <v>1000</v>
      </c>
      <c r="X54">
        <f t="shared" si="1"/>
        <v>6.4424687540265433E-3</v>
      </c>
      <c r="Z54" s="16"/>
      <c r="AA54" s="16">
        <f>SUM($W$3:W54)</f>
        <v>46000</v>
      </c>
    </row>
    <row r="55" spans="1:28">
      <c r="A55" s="10">
        <v>54</v>
      </c>
      <c r="B55" s="10">
        <v>0</v>
      </c>
      <c r="C55" s="49">
        <v>93273</v>
      </c>
      <c r="D55" s="10" t="str">
        <f>IFERROR(VLOOKUP(C55,[1]引用表合并!$A$2:$B$1000,2,FALSE),"")</f>
        <v>智能手表碎片</v>
      </c>
      <c r="E55" s="7">
        <v>2</v>
      </c>
      <c r="F55" s="10">
        <f t="shared" si="9"/>
        <v>1000</v>
      </c>
      <c r="G55" s="10">
        <v>1</v>
      </c>
      <c r="H55" s="10">
        <v>100</v>
      </c>
      <c r="I55" s="10">
        <v>0</v>
      </c>
      <c r="J55" s="10">
        <v>0</v>
      </c>
      <c r="K55" s="7">
        <v>0</v>
      </c>
      <c r="L55" s="7">
        <v>0</v>
      </c>
      <c r="M55" s="7">
        <v>0</v>
      </c>
      <c r="O55" s="1">
        <f>ROUNDUP(VLOOKUP(C55,[2]!游戏物价查询,7,FALSE),0)*E55</f>
        <v>8</v>
      </c>
      <c r="P55">
        <f>VLOOKUP(C55,[2]!游戏物价查询,4,0)</f>
        <v>430</v>
      </c>
      <c r="Q55">
        <f>VLOOKUP(C55,[3]!马仔宝物属性,6,FALSE)</f>
        <v>2</v>
      </c>
      <c r="R55">
        <f t="shared" si="11"/>
        <v>1000</v>
      </c>
      <c r="S55">
        <f t="shared" si="0"/>
        <v>6.5871813451024303E-3</v>
      </c>
      <c r="V55" s="16">
        <f>SUM($R$3:R55)</f>
        <v>50390</v>
      </c>
      <c r="W55">
        <f t="shared" si="3"/>
        <v>1000</v>
      </c>
      <c r="X55">
        <f t="shared" si="1"/>
        <v>6.4424687540265433E-3</v>
      </c>
      <c r="Z55" s="16"/>
      <c r="AA55" s="16">
        <f>SUM($W$3:W55)</f>
        <v>47000</v>
      </c>
    </row>
    <row r="56" spans="1:28">
      <c r="A56" s="10">
        <v>55</v>
      </c>
      <c r="B56" s="10">
        <v>0</v>
      </c>
      <c r="C56" s="49">
        <v>93279</v>
      </c>
      <c r="D56" s="10" t="str">
        <f>IFERROR(VLOOKUP(C56,[1]引用表合并!$A$2:$B$1000,2,FALSE),"")</f>
        <v>宾倪碎片</v>
      </c>
      <c r="E56" s="7">
        <v>2</v>
      </c>
      <c r="F56" s="10">
        <f t="shared" si="9"/>
        <v>1000</v>
      </c>
      <c r="G56" s="10">
        <v>1</v>
      </c>
      <c r="H56" s="10">
        <v>100</v>
      </c>
      <c r="I56" s="10">
        <v>0</v>
      </c>
      <c r="J56" s="10">
        <v>0</v>
      </c>
      <c r="K56" s="7">
        <v>0</v>
      </c>
      <c r="L56" s="7">
        <v>0</v>
      </c>
      <c r="M56" s="7">
        <v>0</v>
      </c>
      <c r="O56" s="1">
        <f>ROUNDUP(VLOOKUP(C56,[2]!游戏物价查询,7,FALSE),0)*E56</f>
        <v>8</v>
      </c>
      <c r="P56">
        <f>VLOOKUP(C56,[2]!游戏物价查询,4,0)</f>
        <v>495</v>
      </c>
      <c r="Q56">
        <f>VLOOKUP(C56,[3]!马仔宝物属性,6,FALSE)</f>
        <v>2</v>
      </c>
      <c r="R56">
        <f t="shared" si="10"/>
        <v>1000</v>
      </c>
      <c r="S56">
        <f t="shared" si="0"/>
        <v>6.5871813451024303E-3</v>
      </c>
      <c r="V56" s="16">
        <f>SUM($R$3:R56)</f>
        <v>51390</v>
      </c>
      <c r="W56">
        <f t="shared" si="3"/>
        <v>1000</v>
      </c>
      <c r="X56">
        <f t="shared" si="1"/>
        <v>6.4424687540265433E-3</v>
      </c>
      <c r="Z56" s="16"/>
      <c r="AA56" s="16">
        <f>SUM($W$3:W56)</f>
        <v>48000</v>
      </c>
    </row>
    <row r="57" spans="1:28">
      <c r="A57" s="10">
        <v>56</v>
      </c>
      <c r="B57" s="10">
        <v>0</v>
      </c>
      <c r="C57" s="49">
        <v>93284</v>
      </c>
      <c r="D57" s="10" t="str">
        <f>IFERROR(VLOOKUP(C57,[1]引用表合并!$A$2:$B$1000,2,FALSE),"")</f>
        <v>大迭钞票碎片</v>
      </c>
      <c r="E57" s="7">
        <v>2</v>
      </c>
      <c r="F57" s="10">
        <f t="shared" si="9"/>
        <v>1000</v>
      </c>
      <c r="G57" s="10">
        <v>1</v>
      </c>
      <c r="H57" s="10">
        <v>100</v>
      </c>
      <c r="I57" s="10">
        <v>0</v>
      </c>
      <c r="J57" s="10">
        <v>0</v>
      </c>
      <c r="K57" s="7">
        <v>0</v>
      </c>
      <c r="L57" s="7">
        <v>0</v>
      </c>
      <c r="M57" s="7">
        <v>0</v>
      </c>
      <c r="O57" s="1">
        <f>ROUNDUP(VLOOKUP(C57,[2]!游戏物价查询,7,FALSE),0)*E57</f>
        <v>8</v>
      </c>
      <c r="P57">
        <f>VLOOKUP(C57,[2]!游戏物价查询,4,0)</f>
        <v>3435</v>
      </c>
      <c r="Q57">
        <f>VLOOKUP(C57,[3]!马仔宝物属性,6,FALSE)</f>
        <v>2</v>
      </c>
      <c r="R57">
        <f t="shared" si="10"/>
        <v>1000</v>
      </c>
      <c r="S57">
        <f t="shared" si="0"/>
        <v>6.5871813451024303E-3</v>
      </c>
      <c r="V57" s="16">
        <f>SUM($R$3:R57)</f>
        <v>52390</v>
      </c>
      <c r="W57">
        <f t="shared" si="3"/>
        <v>1000</v>
      </c>
      <c r="X57">
        <f t="shared" si="1"/>
        <v>6.4424687540265433E-3</v>
      </c>
      <c r="Z57" s="16"/>
      <c r="AA57" s="16">
        <f>SUM($W$3:W57)</f>
        <v>49000</v>
      </c>
    </row>
    <row r="58" spans="1:28">
      <c r="A58" s="10">
        <v>57</v>
      </c>
      <c r="B58" s="10">
        <v>0</v>
      </c>
      <c r="C58" s="49">
        <v>93288</v>
      </c>
      <c r="D58" s="10" t="str">
        <f>IFERROR(VLOOKUP(C58,[1]引用表合并!$A$2:$B$1000,2,FALSE),"")</f>
        <v>大金块碎片</v>
      </c>
      <c r="E58" s="7">
        <v>2</v>
      </c>
      <c r="F58" s="10">
        <f t="shared" si="9"/>
        <v>1000</v>
      </c>
      <c r="G58" s="10">
        <v>1</v>
      </c>
      <c r="H58" s="10">
        <v>100</v>
      </c>
      <c r="I58" s="10">
        <v>0</v>
      </c>
      <c r="J58" s="10">
        <v>0</v>
      </c>
      <c r="K58" s="7">
        <v>0</v>
      </c>
      <c r="L58" s="7">
        <v>0</v>
      </c>
      <c r="M58" s="7">
        <v>0</v>
      </c>
      <c r="O58" s="1">
        <f>ROUNDUP(VLOOKUP(C58,[2]!游戏物价查询,7,FALSE),0)*E58</f>
        <v>8</v>
      </c>
      <c r="P58">
        <f>VLOOKUP(C58,[2]!游戏物价查询,4,0)</f>
        <v>3145</v>
      </c>
      <c r="Q58">
        <f>VLOOKUP(C58,[3]!马仔宝物属性,6,FALSE)</f>
        <v>2</v>
      </c>
      <c r="R58">
        <f t="shared" si="10"/>
        <v>1000</v>
      </c>
      <c r="S58">
        <f t="shared" si="0"/>
        <v>6.5871813451024303E-3</v>
      </c>
      <c r="U58">
        <f>SUM(S49:S58)</f>
        <v>6.5871813451024303E-2</v>
      </c>
      <c r="V58" s="16">
        <f>SUM($R$3:R58)</f>
        <v>53390</v>
      </c>
      <c r="W58">
        <f t="shared" si="3"/>
        <v>1000</v>
      </c>
      <c r="X58">
        <f t="shared" si="1"/>
        <v>6.4424687540265433E-3</v>
      </c>
      <c r="Z58">
        <f>SUM(X49:X58)</f>
        <v>6.4424687540265438E-2</v>
      </c>
      <c r="AA58" s="16">
        <f>SUM($W$3:W58)</f>
        <v>50000</v>
      </c>
      <c r="AB58">
        <f>SUMPRODUCT(X49:X58,E49:E58)</f>
        <v>0.12884937508053088</v>
      </c>
    </row>
    <row r="59" spans="1:28">
      <c r="A59" s="10">
        <v>58</v>
      </c>
      <c r="B59" s="10">
        <v>0</v>
      </c>
      <c r="C59" s="49">
        <v>93142</v>
      </c>
      <c r="D59" s="10" t="str">
        <f>IFERROR(VLOOKUP(C59,[1]引用表合并!$A$2:$B$1000,2,FALSE),"")</f>
        <v>黄金戒指碎片</v>
      </c>
      <c r="E59" s="7">
        <v>3</v>
      </c>
      <c r="F59" s="10">
        <f t="shared" si="9"/>
        <v>1000</v>
      </c>
      <c r="G59" s="10">
        <v>1</v>
      </c>
      <c r="H59" s="10">
        <v>100</v>
      </c>
      <c r="I59" s="10">
        <v>0</v>
      </c>
      <c r="J59" s="10">
        <v>0</v>
      </c>
      <c r="K59" s="7">
        <v>0</v>
      </c>
      <c r="L59" s="7">
        <v>0</v>
      </c>
      <c r="M59" s="7">
        <v>0</v>
      </c>
      <c r="O59" s="1">
        <f>ROUNDUP(VLOOKUP(C59,[2]!游戏物价查询,7,FALSE),0)*E59</f>
        <v>12</v>
      </c>
      <c r="P59">
        <f>VLOOKUP(C59,[2]!游戏物价查询,4,0)</f>
        <v>1105</v>
      </c>
      <c r="Q59">
        <f>VLOOKUP(C59,[3]!马仔宝物属性,6,FALSE)</f>
        <v>2</v>
      </c>
      <c r="R59">
        <f t="shared" si="10"/>
        <v>1000</v>
      </c>
      <c r="S59">
        <f t="shared" si="0"/>
        <v>6.5871813451024303E-3</v>
      </c>
      <c r="V59" s="16">
        <f>SUM($R$3:R59)</f>
        <v>54390</v>
      </c>
      <c r="W59">
        <f t="shared" ref="W59:W68" si="12">IF(AND(L59&lt;&gt;1,L59&lt;&gt;3),F59,"")</f>
        <v>1000</v>
      </c>
      <c r="X59">
        <f t="shared" si="1"/>
        <v>6.4424687540265433E-3</v>
      </c>
      <c r="Z59" s="16"/>
      <c r="AA59" s="16">
        <f>SUM($W$3:W59)</f>
        <v>51000</v>
      </c>
    </row>
    <row r="60" spans="1:28">
      <c r="A60" s="10">
        <v>59</v>
      </c>
      <c r="B60" s="10">
        <v>0</v>
      </c>
      <c r="C60" s="49">
        <v>93235</v>
      </c>
      <c r="D60" s="10" t="str">
        <f>IFERROR(VLOOKUP(C60,[1]引用表合并!$A$2:$B$1000,2,FALSE),"")</f>
        <v>宝石手环碎片</v>
      </c>
      <c r="E60" s="7">
        <v>3</v>
      </c>
      <c r="F60" s="10">
        <f t="shared" si="9"/>
        <v>1000</v>
      </c>
      <c r="G60" s="10">
        <v>1</v>
      </c>
      <c r="H60" s="10">
        <v>100</v>
      </c>
      <c r="I60" s="10">
        <v>0</v>
      </c>
      <c r="J60" s="10">
        <v>0</v>
      </c>
      <c r="K60" s="7">
        <v>0</v>
      </c>
      <c r="L60" s="7">
        <v>0</v>
      </c>
      <c r="M60" s="7">
        <v>0</v>
      </c>
      <c r="O60" s="1">
        <f>ROUNDUP(VLOOKUP(C60,[2]!游戏物价查询,7,FALSE),0)*E60</f>
        <v>12</v>
      </c>
      <c r="P60">
        <f>VLOOKUP(C60,[2]!游戏物价查询,4,0)</f>
        <v>1135</v>
      </c>
      <c r="Q60">
        <f>VLOOKUP(C60,[3]!马仔宝物属性,6,FALSE)</f>
        <v>2</v>
      </c>
      <c r="R60">
        <f t="shared" si="10"/>
        <v>1000</v>
      </c>
      <c r="S60">
        <f t="shared" si="0"/>
        <v>6.5871813451024303E-3</v>
      </c>
      <c r="V60" s="16">
        <f>SUM($R$3:R60)</f>
        <v>55390</v>
      </c>
      <c r="W60">
        <f t="shared" si="12"/>
        <v>1000</v>
      </c>
      <c r="X60">
        <f t="shared" si="1"/>
        <v>6.4424687540265433E-3</v>
      </c>
      <c r="Z60" s="16"/>
      <c r="AA60" s="16">
        <f>SUM($W$3:W60)</f>
        <v>52000</v>
      </c>
    </row>
    <row r="61" spans="1:28">
      <c r="A61" s="10">
        <v>60</v>
      </c>
      <c r="B61" s="10">
        <v>0</v>
      </c>
      <c r="C61" s="49">
        <v>93012</v>
      </c>
      <c r="D61" s="10" t="str">
        <f>IFERROR(VLOOKUP(C61,[1]引用表合并!$A$2:$B$1000,2,FALSE),"")</f>
        <v>摩拉碎片</v>
      </c>
      <c r="E61" s="7">
        <v>3</v>
      </c>
      <c r="F61" s="10">
        <f t="shared" si="9"/>
        <v>1000</v>
      </c>
      <c r="G61" s="10">
        <v>1</v>
      </c>
      <c r="H61" s="10">
        <v>100</v>
      </c>
      <c r="I61" s="10">
        <v>0</v>
      </c>
      <c r="J61" s="10">
        <v>0</v>
      </c>
      <c r="K61" s="7">
        <v>0</v>
      </c>
      <c r="L61" s="7">
        <v>0</v>
      </c>
      <c r="M61" s="7">
        <v>0</v>
      </c>
      <c r="O61" s="1">
        <f>ROUNDUP(VLOOKUP(C61,[2]!游戏物价查询,7,FALSE),0)*E61</f>
        <v>12</v>
      </c>
      <c r="P61">
        <f>VLOOKUP(C61,[2]!游戏物价查询,4,0)</f>
        <v>525</v>
      </c>
      <c r="Q61">
        <f>VLOOKUP(C61,[3]!马仔宝物属性,6,FALSE)</f>
        <v>2</v>
      </c>
      <c r="R61">
        <f t="shared" si="10"/>
        <v>1000</v>
      </c>
      <c r="S61">
        <f t="shared" si="0"/>
        <v>6.5871813451024303E-3</v>
      </c>
      <c r="V61" s="16">
        <f>SUM($R$3:R61)</f>
        <v>56390</v>
      </c>
      <c r="W61">
        <f t="shared" si="12"/>
        <v>1000</v>
      </c>
      <c r="X61">
        <f t="shared" si="1"/>
        <v>6.4424687540265433E-3</v>
      </c>
      <c r="Z61" s="16"/>
      <c r="AA61" s="16">
        <f>SUM($W$3:W61)</f>
        <v>53000</v>
      </c>
    </row>
    <row r="62" spans="1:28">
      <c r="A62" s="10">
        <v>61</v>
      </c>
      <c r="B62" s="10">
        <v>0</v>
      </c>
      <c r="C62" s="49">
        <v>93252</v>
      </c>
      <c r="D62" s="10" t="str">
        <f>IFERROR(VLOOKUP(C62,[1]引用表合并!$A$2:$B$1000,2,FALSE),"")</f>
        <v>青玉项链碎片</v>
      </c>
      <c r="E62" s="7">
        <v>3</v>
      </c>
      <c r="F62" s="10">
        <f t="shared" si="9"/>
        <v>1000</v>
      </c>
      <c r="G62" s="10">
        <v>1</v>
      </c>
      <c r="H62" s="10">
        <v>100</v>
      </c>
      <c r="I62" s="10">
        <v>0</v>
      </c>
      <c r="J62" s="10">
        <v>0</v>
      </c>
      <c r="K62" s="7">
        <v>0</v>
      </c>
      <c r="L62" s="7">
        <v>0</v>
      </c>
      <c r="M62" s="7">
        <v>0</v>
      </c>
      <c r="O62" s="1">
        <f>ROUNDUP(VLOOKUP(C62,[2]!游戏物价查询,7,FALSE),0)*E62</f>
        <v>12</v>
      </c>
      <c r="P62">
        <f>VLOOKUP(C62,[2]!游戏物价查询,4,0)</f>
        <v>1540</v>
      </c>
      <c r="Q62">
        <f>VLOOKUP(C62,[3]!马仔宝物属性,6,FALSE)</f>
        <v>2</v>
      </c>
      <c r="R62">
        <f t="shared" ref="R62:R68" si="13">IF(L62&lt;2,F62,"")</f>
        <v>1000</v>
      </c>
      <c r="S62">
        <f t="shared" si="0"/>
        <v>6.5871813451024303E-3</v>
      </c>
      <c r="V62" s="16">
        <f>SUM($R$3:R62)</f>
        <v>57390</v>
      </c>
      <c r="W62">
        <f t="shared" si="12"/>
        <v>1000</v>
      </c>
      <c r="X62">
        <f t="shared" si="1"/>
        <v>6.4424687540265433E-3</v>
      </c>
      <c r="Z62" s="16"/>
      <c r="AA62" s="16">
        <f>SUM($W$3:W62)</f>
        <v>54000</v>
      </c>
    </row>
    <row r="63" spans="1:28">
      <c r="A63" s="10">
        <v>62</v>
      </c>
      <c r="B63" s="10">
        <v>0</v>
      </c>
      <c r="C63" s="49">
        <v>93124</v>
      </c>
      <c r="D63" s="10" t="str">
        <f>IFERROR(VLOOKUP(C63,[1]引用表合并!$A$2:$B$1000,2,FALSE),"")</f>
        <v>水晶耳钉碎片</v>
      </c>
      <c r="E63" s="7">
        <v>3</v>
      </c>
      <c r="F63" s="10">
        <f t="shared" si="9"/>
        <v>1000</v>
      </c>
      <c r="G63" s="10">
        <v>1</v>
      </c>
      <c r="H63" s="10">
        <v>100</v>
      </c>
      <c r="I63" s="10">
        <v>0</v>
      </c>
      <c r="J63" s="10">
        <v>0</v>
      </c>
      <c r="K63" s="7">
        <v>0</v>
      </c>
      <c r="L63" s="7">
        <v>0</v>
      </c>
      <c r="M63" s="7">
        <v>0</v>
      </c>
      <c r="O63" s="1">
        <f>ROUNDUP(VLOOKUP(C63,[2]!游戏物价查询,7,FALSE),0)*E63</f>
        <v>12</v>
      </c>
      <c r="P63">
        <f>VLOOKUP(C63,[2]!游戏物价查询,4,0)</f>
        <v>1170</v>
      </c>
      <c r="Q63">
        <f>VLOOKUP(C63,[3]!马仔宝物属性,6,FALSE)</f>
        <v>2</v>
      </c>
      <c r="R63">
        <f t="shared" si="13"/>
        <v>1000</v>
      </c>
      <c r="S63">
        <f t="shared" si="0"/>
        <v>6.5871813451024303E-3</v>
      </c>
      <c r="V63" s="16">
        <f>SUM($R$3:R63)</f>
        <v>58390</v>
      </c>
      <c r="W63">
        <f t="shared" si="12"/>
        <v>1000</v>
      </c>
      <c r="X63">
        <f t="shared" si="1"/>
        <v>6.4424687540265433E-3</v>
      </c>
      <c r="Z63" s="16"/>
      <c r="AA63" s="16">
        <f>SUM($W$3:W63)</f>
        <v>55000</v>
      </c>
    </row>
    <row r="64" spans="1:28">
      <c r="A64" s="10">
        <v>63</v>
      </c>
      <c r="B64" s="10">
        <v>0</v>
      </c>
      <c r="C64" s="49">
        <v>93272</v>
      </c>
      <c r="D64" s="10" t="str">
        <f>IFERROR(VLOOKUP(C64,[1]引用表合并!$A$2:$B$1000,2,FALSE),"")</f>
        <v>金针手表碎片</v>
      </c>
      <c r="E64" s="7">
        <v>3</v>
      </c>
      <c r="F64" s="10">
        <f t="shared" si="9"/>
        <v>1000</v>
      </c>
      <c r="G64" s="10">
        <v>1</v>
      </c>
      <c r="H64" s="10">
        <v>100</v>
      </c>
      <c r="I64" s="10">
        <v>0</v>
      </c>
      <c r="J64" s="10">
        <v>0</v>
      </c>
      <c r="K64" s="7">
        <v>0</v>
      </c>
      <c r="L64" s="7">
        <v>0</v>
      </c>
      <c r="M64" s="7">
        <v>0</v>
      </c>
      <c r="O64" s="1">
        <f>ROUNDUP(VLOOKUP(C64,[2]!游戏物价查询,7,FALSE),0)*E64</f>
        <v>12</v>
      </c>
      <c r="P64">
        <f>VLOOKUP(C64,[2]!游戏物价查询,4,0)</f>
        <v>465</v>
      </c>
      <c r="Q64">
        <f>VLOOKUP(C64,[3]!马仔宝物属性,6,FALSE)</f>
        <v>2</v>
      </c>
      <c r="R64">
        <f t="shared" si="13"/>
        <v>1000</v>
      </c>
      <c r="S64">
        <f t="shared" si="0"/>
        <v>6.5871813451024303E-3</v>
      </c>
      <c r="V64" s="16">
        <f>SUM($R$3:R64)</f>
        <v>59390</v>
      </c>
      <c r="W64">
        <f t="shared" si="12"/>
        <v>1000</v>
      </c>
      <c r="X64">
        <f t="shared" si="1"/>
        <v>6.4424687540265433E-3</v>
      </c>
      <c r="Z64" s="16"/>
      <c r="AA64" s="16">
        <f>SUM($W$3:W64)</f>
        <v>56000</v>
      </c>
    </row>
    <row r="65" spans="1:29">
      <c r="A65" s="10">
        <v>64</v>
      </c>
      <c r="B65" s="10">
        <v>0</v>
      </c>
      <c r="C65" s="49">
        <v>93273</v>
      </c>
      <c r="D65" s="10" t="str">
        <f>IFERROR(VLOOKUP(C65,[1]引用表合并!$A$2:$B$1000,2,FALSE),"")</f>
        <v>智能手表碎片</v>
      </c>
      <c r="E65" s="7">
        <v>3</v>
      </c>
      <c r="F65" s="10">
        <f t="shared" si="9"/>
        <v>1000</v>
      </c>
      <c r="G65" s="10">
        <v>1</v>
      </c>
      <c r="H65" s="10">
        <v>100</v>
      </c>
      <c r="I65" s="10">
        <v>0</v>
      </c>
      <c r="J65" s="10">
        <v>0</v>
      </c>
      <c r="K65" s="7">
        <v>0</v>
      </c>
      <c r="L65" s="7">
        <v>0</v>
      </c>
      <c r="M65" s="7">
        <v>0</v>
      </c>
      <c r="O65" s="1">
        <f>ROUNDUP(VLOOKUP(C65,[2]!游戏物价查询,7,FALSE),0)*E65</f>
        <v>12</v>
      </c>
      <c r="P65">
        <f>VLOOKUP(C65,[2]!游戏物价查询,4,0)</f>
        <v>430</v>
      </c>
      <c r="Q65">
        <f>VLOOKUP(C65,[3]!马仔宝物属性,6,FALSE)</f>
        <v>2</v>
      </c>
      <c r="R65">
        <f t="shared" si="13"/>
        <v>1000</v>
      </c>
      <c r="S65">
        <f t="shared" si="0"/>
        <v>6.5871813451024303E-3</v>
      </c>
      <c r="V65" s="16">
        <f>SUM($R$3:R65)</f>
        <v>60390</v>
      </c>
      <c r="W65">
        <f t="shared" si="12"/>
        <v>1000</v>
      </c>
      <c r="X65">
        <f t="shared" si="1"/>
        <v>6.4424687540265433E-3</v>
      </c>
      <c r="Z65" s="16"/>
      <c r="AA65" s="16">
        <f>SUM($W$3:W65)</f>
        <v>57000</v>
      </c>
    </row>
    <row r="66" spans="1:29">
      <c r="A66" s="10">
        <v>65</v>
      </c>
      <c r="B66" s="10">
        <v>0</v>
      </c>
      <c r="C66" s="49">
        <v>93279</v>
      </c>
      <c r="D66" s="10" t="str">
        <f>IFERROR(VLOOKUP(C66,[1]引用表合并!$A$2:$B$1000,2,FALSE),"")</f>
        <v>宾倪碎片</v>
      </c>
      <c r="E66" s="7">
        <v>3</v>
      </c>
      <c r="F66" s="10">
        <f t="shared" si="9"/>
        <v>1000</v>
      </c>
      <c r="G66" s="10">
        <v>1</v>
      </c>
      <c r="H66" s="10">
        <v>100</v>
      </c>
      <c r="I66" s="10">
        <v>0</v>
      </c>
      <c r="J66" s="10">
        <v>0</v>
      </c>
      <c r="K66" s="7">
        <v>0</v>
      </c>
      <c r="L66" s="7">
        <v>0</v>
      </c>
      <c r="M66" s="7">
        <v>0</v>
      </c>
      <c r="O66" s="1">
        <f>ROUNDUP(VLOOKUP(C66,[2]!游戏物价查询,7,FALSE),0)*E66</f>
        <v>12</v>
      </c>
      <c r="P66">
        <f>VLOOKUP(C66,[2]!游戏物价查询,4,0)</f>
        <v>495</v>
      </c>
      <c r="Q66">
        <f>VLOOKUP(C66,[3]!马仔宝物属性,6,FALSE)</f>
        <v>2</v>
      </c>
      <c r="R66">
        <f t="shared" si="13"/>
        <v>1000</v>
      </c>
      <c r="S66">
        <f t="shared" ref="S66:S129" si="14">IFERROR(R66/SUM(R:R),0)</f>
        <v>6.5871813451024303E-3</v>
      </c>
      <c r="V66" s="16">
        <f>SUM($R$3:R66)</f>
        <v>61390</v>
      </c>
      <c r="W66">
        <f t="shared" si="12"/>
        <v>1000</v>
      </c>
      <c r="X66">
        <f t="shared" ref="X66:X129" si="15">IFERROR(W66/SUM(W:W),0)</f>
        <v>6.4424687540265433E-3</v>
      </c>
      <c r="Z66" s="16"/>
      <c r="AA66" s="16">
        <f>SUM($W$3:W66)</f>
        <v>58000</v>
      </c>
    </row>
    <row r="67" spans="1:29">
      <c r="A67" s="10">
        <v>66</v>
      </c>
      <c r="B67" s="10">
        <v>0</v>
      </c>
      <c r="C67" s="49">
        <v>93284</v>
      </c>
      <c r="D67" s="10" t="str">
        <f>IFERROR(VLOOKUP(C67,[1]引用表合并!$A$2:$B$1000,2,FALSE),"")</f>
        <v>大迭钞票碎片</v>
      </c>
      <c r="E67" s="7">
        <v>3</v>
      </c>
      <c r="F67" s="10">
        <f t="shared" si="9"/>
        <v>1000</v>
      </c>
      <c r="G67" s="10">
        <v>1</v>
      </c>
      <c r="H67" s="10">
        <v>100</v>
      </c>
      <c r="I67" s="10">
        <v>0</v>
      </c>
      <c r="J67" s="10">
        <v>0</v>
      </c>
      <c r="K67" s="7">
        <v>0</v>
      </c>
      <c r="L67" s="7">
        <v>0</v>
      </c>
      <c r="M67" s="7">
        <v>0</v>
      </c>
      <c r="O67" s="1">
        <f>ROUNDUP(VLOOKUP(C67,[2]!游戏物价查询,7,FALSE),0)*E67</f>
        <v>12</v>
      </c>
      <c r="P67">
        <f>VLOOKUP(C67,[2]!游戏物价查询,4,0)</f>
        <v>3435</v>
      </c>
      <c r="Q67">
        <f>VLOOKUP(C67,[3]!马仔宝物属性,6,FALSE)</f>
        <v>2</v>
      </c>
      <c r="R67">
        <f t="shared" si="13"/>
        <v>1000</v>
      </c>
      <c r="S67">
        <f t="shared" si="14"/>
        <v>6.5871813451024303E-3</v>
      </c>
      <c r="V67" s="16">
        <f>SUM($R$3:R67)</f>
        <v>62390</v>
      </c>
      <c r="W67">
        <f t="shared" si="12"/>
        <v>1000</v>
      </c>
      <c r="X67">
        <f t="shared" si="15"/>
        <v>6.4424687540265433E-3</v>
      </c>
      <c r="Z67" s="16"/>
      <c r="AA67" s="16">
        <f>SUM($W$3:W67)</f>
        <v>59000</v>
      </c>
    </row>
    <row r="68" spans="1:29">
      <c r="A68" s="10">
        <v>67</v>
      </c>
      <c r="B68" s="10">
        <v>0</v>
      </c>
      <c r="C68" s="49">
        <v>93288</v>
      </c>
      <c r="D68" s="10" t="str">
        <f>IFERROR(VLOOKUP(C68,[1]引用表合并!$A$2:$B$1000,2,FALSE),"")</f>
        <v>大金块碎片</v>
      </c>
      <c r="E68" s="7">
        <v>3</v>
      </c>
      <c r="F68" s="10">
        <f t="shared" si="9"/>
        <v>1000</v>
      </c>
      <c r="G68" s="10">
        <v>1</v>
      </c>
      <c r="H68" s="10">
        <v>100</v>
      </c>
      <c r="I68" s="10">
        <v>0</v>
      </c>
      <c r="J68" s="10">
        <v>0</v>
      </c>
      <c r="K68" s="7">
        <v>0</v>
      </c>
      <c r="L68" s="7">
        <v>0</v>
      </c>
      <c r="M68" s="7">
        <v>0</v>
      </c>
      <c r="O68" s="1">
        <f>ROUNDUP(VLOOKUP(C68,[2]!游戏物价查询,7,FALSE),0)*E68</f>
        <v>12</v>
      </c>
      <c r="P68">
        <f>VLOOKUP(C68,[2]!游戏物价查询,4,0)</f>
        <v>3145</v>
      </c>
      <c r="Q68">
        <f>VLOOKUP(C68,[3]!马仔宝物属性,6,FALSE)</f>
        <v>2</v>
      </c>
      <c r="R68">
        <f t="shared" si="13"/>
        <v>1000</v>
      </c>
      <c r="S68">
        <f t="shared" si="14"/>
        <v>6.5871813451024303E-3</v>
      </c>
      <c r="U68">
        <f>SUM(S59:S68)</f>
        <v>6.5871813451024303E-2</v>
      </c>
      <c r="V68" s="16">
        <f>SUM($R$3:R68)</f>
        <v>63390</v>
      </c>
      <c r="W68">
        <f t="shared" si="12"/>
        <v>1000</v>
      </c>
      <c r="X68">
        <f t="shared" si="15"/>
        <v>6.4424687540265433E-3</v>
      </c>
      <c r="Z68">
        <f>SUM(X59:X68)</f>
        <v>6.4424687540265438E-2</v>
      </c>
      <c r="AA68" s="16">
        <f>SUM($W$3:W68)</f>
        <v>60000</v>
      </c>
      <c r="AB68">
        <f>SUMPRODUCT(X59:X68,E59:E68)</f>
        <v>0.1932740626207963</v>
      </c>
    </row>
    <row r="69" spans="1:29">
      <c r="A69" s="10">
        <v>68</v>
      </c>
      <c r="B69" s="10">
        <v>0</v>
      </c>
      <c r="C69" s="49">
        <v>92142</v>
      </c>
      <c r="D69" s="10" t="str">
        <f>IFERROR(VLOOKUP(C69,[1]引用表合并!$A$2:$B$1000,2,FALSE),"")</f>
        <v>黄金戒指</v>
      </c>
      <c r="E69" s="10">
        <v>1</v>
      </c>
      <c r="F69" s="10">
        <f t="shared" ref="F69:F74" si="16">F39*0.4</f>
        <v>400</v>
      </c>
      <c r="G69" s="10">
        <v>1</v>
      </c>
      <c r="H69" s="10">
        <v>100</v>
      </c>
      <c r="I69" s="10">
        <v>0</v>
      </c>
      <c r="J69" s="10">
        <v>1</v>
      </c>
      <c r="K69" s="7">
        <v>0</v>
      </c>
      <c r="L69" s="7">
        <v>0</v>
      </c>
      <c r="M69" s="7">
        <v>0</v>
      </c>
      <c r="O69" s="1">
        <f>ROUNDUP(VLOOKUP(C69,[2]!游戏物价查询,7,FALSE),0)*E69</f>
        <v>48</v>
      </c>
      <c r="P69">
        <f>VLOOKUP(C69,[2]!游戏物价查询,4,0)</f>
        <v>221</v>
      </c>
      <c r="Q69">
        <f>VLOOKUP(C69,[3]!马仔宝物属性,6,FALSE)</f>
        <v>2</v>
      </c>
      <c r="R69">
        <f t="shared" si="10"/>
        <v>400</v>
      </c>
      <c r="S69">
        <f t="shared" si="14"/>
        <v>2.6348725380409724E-3</v>
      </c>
      <c r="V69" s="16">
        <f>SUM($R$3:R69)</f>
        <v>63790</v>
      </c>
      <c r="W69">
        <f t="shared" si="3"/>
        <v>400</v>
      </c>
      <c r="X69">
        <f t="shared" si="15"/>
        <v>2.5769875016106174E-3</v>
      </c>
      <c r="Z69" s="16"/>
      <c r="AA69" s="16">
        <f>SUM($W$3:W69)</f>
        <v>60400</v>
      </c>
      <c r="AB69" s="16"/>
    </row>
    <row r="70" spans="1:29">
      <c r="A70" s="10">
        <v>69</v>
      </c>
      <c r="B70" s="10">
        <v>0</v>
      </c>
      <c r="C70" s="49">
        <v>92235</v>
      </c>
      <c r="D70" s="10" t="str">
        <f>IFERROR(VLOOKUP(C70,[1]引用表合并!$A$2:$B$1000,2,FALSE),"")</f>
        <v>宝石手环</v>
      </c>
      <c r="E70" s="10">
        <v>1</v>
      </c>
      <c r="F70" s="10">
        <f t="shared" si="16"/>
        <v>400</v>
      </c>
      <c r="G70" s="10">
        <v>1</v>
      </c>
      <c r="H70" s="10">
        <v>100</v>
      </c>
      <c r="I70" s="10">
        <v>0</v>
      </c>
      <c r="J70" s="10">
        <v>1</v>
      </c>
      <c r="K70" s="7">
        <v>0</v>
      </c>
      <c r="L70" s="7">
        <v>0</v>
      </c>
      <c r="M70" s="7">
        <v>0</v>
      </c>
      <c r="O70" s="1">
        <f>ROUNDUP(VLOOKUP(C70,[2]!游戏物价查询,7,FALSE),0)*E70</f>
        <v>48</v>
      </c>
      <c r="P70">
        <f>VLOOKUP(C70,[2]!游戏物价查询,4,0)</f>
        <v>227</v>
      </c>
      <c r="Q70">
        <f>VLOOKUP(C70,[3]!马仔宝物属性,6,FALSE)</f>
        <v>2</v>
      </c>
      <c r="R70">
        <f t="shared" si="10"/>
        <v>400</v>
      </c>
      <c r="S70">
        <f t="shared" si="14"/>
        <v>2.6348725380409724E-3</v>
      </c>
      <c r="V70" s="16">
        <f>SUM($R$3:R70)</f>
        <v>64190</v>
      </c>
      <c r="W70">
        <f t="shared" si="3"/>
        <v>400</v>
      </c>
      <c r="X70">
        <f t="shared" si="15"/>
        <v>2.5769875016106174E-3</v>
      </c>
      <c r="Z70" s="16"/>
      <c r="AA70" s="16">
        <f>SUM($W$3:W70)</f>
        <v>60800</v>
      </c>
    </row>
    <row r="71" spans="1:29">
      <c r="A71" s="10">
        <v>70</v>
      </c>
      <c r="B71" s="10">
        <v>0</v>
      </c>
      <c r="C71" s="49">
        <v>92012</v>
      </c>
      <c r="D71" s="10" t="str">
        <f>IFERROR(VLOOKUP(C71,[1]引用表合并!$A$2:$B$1000,2,FALSE),"")</f>
        <v>摩拉</v>
      </c>
      <c r="E71" s="10">
        <v>1</v>
      </c>
      <c r="F71" s="10">
        <f t="shared" si="16"/>
        <v>400</v>
      </c>
      <c r="G71" s="10">
        <v>1</v>
      </c>
      <c r="H71" s="10">
        <v>100</v>
      </c>
      <c r="I71" s="10">
        <v>0</v>
      </c>
      <c r="J71" s="10">
        <v>1</v>
      </c>
      <c r="K71" s="7">
        <v>0</v>
      </c>
      <c r="L71" s="7">
        <v>0</v>
      </c>
      <c r="M71" s="7">
        <v>0</v>
      </c>
      <c r="O71" s="1">
        <f>ROUNDUP(VLOOKUP(C71,[2]!游戏物价查询,7,FALSE),0)*E71</f>
        <v>49</v>
      </c>
      <c r="P71">
        <f>VLOOKUP(C71,[2]!游戏物价查询,4,0)</f>
        <v>105</v>
      </c>
      <c r="Q71">
        <f>VLOOKUP(C71,[3]!马仔宝物属性,6,FALSE)</f>
        <v>2</v>
      </c>
      <c r="R71">
        <f t="shared" si="10"/>
        <v>400</v>
      </c>
      <c r="S71">
        <f t="shared" si="14"/>
        <v>2.6348725380409724E-3</v>
      </c>
      <c r="V71" s="16">
        <f>SUM($R$3:R71)</f>
        <v>64590</v>
      </c>
      <c r="W71">
        <f t="shared" si="3"/>
        <v>400</v>
      </c>
      <c r="X71">
        <f t="shared" si="15"/>
        <v>2.5769875016106174E-3</v>
      </c>
      <c r="Z71" s="16"/>
      <c r="AA71" s="16">
        <f>SUM($W$3:W71)</f>
        <v>61200</v>
      </c>
    </row>
    <row r="72" spans="1:29">
      <c r="A72" s="10">
        <v>71</v>
      </c>
      <c r="B72" s="10">
        <v>0</v>
      </c>
      <c r="C72" s="49">
        <v>92252</v>
      </c>
      <c r="D72" s="10" t="str">
        <f>IFERROR(VLOOKUP(C72,[1]引用表合并!$A$2:$B$1000,2,FALSE),"")</f>
        <v>青玉项链</v>
      </c>
      <c r="E72" s="10">
        <v>1</v>
      </c>
      <c r="F72" s="10">
        <f t="shared" si="16"/>
        <v>400</v>
      </c>
      <c r="G72" s="10">
        <v>1</v>
      </c>
      <c r="H72" s="10">
        <v>100</v>
      </c>
      <c r="I72" s="10">
        <v>0</v>
      </c>
      <c r="J72" s="10">
        <v>1</v>
      </c>
      <c r="K72" s="7">
        <v>0</v>
      </c>
      <c r="L72" s="7">
        <v>0</v>
      </c>
      <c r="M72" s="7">
        <v>0</v>
      </c>
      <c r="O72" s="1">
        <f>ROUNDUP(VLOOKUP(C72,[2]!游戏物价查询,7,FALSE),0)*E72</f>
        <v>48</v>
      </c>
      <c r="P72">
        <f>VLOOKUP(C72,[2]!游戏物价查询,4,0)</f>
        <v>308</v>
      </c>
      <c r="Q72">
        <f>VLOOKUP(C72,[3]!马仔宝物属性,6,FALSE)</f>
        <v>2</v>
      </c>
      <c r="R72">
        <f t="shared" si="10"/>
        <v>400</v>
      </c>
      <c r="S72">
        <f t="shared" si="14"/>
        <v>2.6348725380409724E-3</v>
      </c>
      <c r="V72" s="16">
        <f>SUM($R$3:R72)</f>
        <v>64990</v>
      </c>
      <c r="W72">
        <f t="shared" si="3"/>
        <v>400</v>
      </c>
      <c r="X72">
        <f t="shared" si="15"/>
        <v>2.5769875016106174E-3</v>
      </c>
      <c r="Z72" s="16"/>
      <c r="AA72" s="16">
        <f>SUM($W$3:W72)</f>
        <v>61600</v>
      </c>
    </row>
    <row r="73" spans="1:29">
      <c r="A73" s="10">
        <v>72</v>
      </c>
      <c r="B73" s="10">
        <v>0</v>
      </c>
      <c r="C73" s="49">
        <v>92124</v>
      </c>
      <c r="D73" s="10" t="str">
        <f>IFERROR(VLOOKUP(C73,[1]引用表合并!$A$2:$B$1000,2,FALSE),"")</f>
        <v>水晶耳钉</v>
      </c>
      <c r="E73" s="10">
        <v>1</v>
      </c>
      <c r="F73" s="10">
        <f t="shared" si="16"/>
        <v>400</v>
      </c>
      <c r="G73" s="10">
        <v>1</v>
      </c>
      <c r="H73" s="10">
        <v>100</v>
      </c>
      <c r="I73" s="10">
        <v>0</v>
      </c>
      <c r="J73" s="10">
        <v>1</v>
      </c>
      <c r="K73" s="7">
        <v>0</v>
      </c>
      <c r="L73" s="7">
        <v>0</v>
      </c>
      <c r="M73" s="7">
        <v>0</v>
      </c>
      <c r="O73" s="1">
        <f>ROUNDUP(VLOOKUP(C73,[2]!游戏物价查询,7,FALSE),0)*E73</f>
        <v>49</v>
      </c>
      <c r="P73">
        <f>VLOOKUP(C73,[2]!游戏物价查询,4,0)</f>
        <v>234</v>
      </c>
      <c r="Q73">
        <f>VLOOKUP(C73,[3]!马仔宝物属性,6,FALSE)</f>
        <v>2</v>
      </c>
      <c r="R73">
        <f t="shared" ref="R73:R74" si="17">IF(L73&lt;2,F73,"")</f>
        <v>400</v>
      </c>
      <c r="S73">
        <f t="shared" si="14"/>
        <v>2.6348725380409724E-3</v>
      </c>
      <c r="V73" s="16">
        <f>SUM($R$3:R73)</f>
        <v>65390</v>
      </c>
      <c r="W73">
        <f t="shared" si="3"/>
        <v>400</v>
      </c>
      <c r="X73">
        <f t="shared" si="15"/>
        <v>2.5769875016106174E-3</v>
      </c>
      <c r="Z73" s="16"/>
      <c r="AA73" s="16">
        <f>SUM($W$3:W73)</f>
        <v>62000</v>
      </c>
    </row>
    <row r="74" spans="1:29">
      <c r="A74" s="10">
        <v>73</v>
      </c>
      <c r="B74" s="10">
        <v>0</v>
      </c>
      <c r="C74" s="49">
        <v>92272</v>
      </c>
      <c r="D74" s="10" t="str">
        <f>IFERROR(VLOOKUP(C74,[1]引用表合并!$A$2:$B$1000,2,FALSE),"")</f>
        <v>金针手表</v>
      </c>
      <c r="E74" s="10">
        <v>1</v>
      </c>
      <c r="F74" s="10">
        <f t="shared" si="16"/>
        <v>400</v>
      </c>
      <c r="G74" s="10">
        <v>1</v>
      </c>
      <c r="H74" s="10">
        <v>100</v>
      </c>
      <c r="I74" s="10">
        <v>0</v>
      </c>
      <c r="J74" s="10">
        <v>1</v>
      </c>
      <c r="K74" s="7">
        <v>0</v>
      </c>
      <c r="L74" s="7">
        <v>0</v>
      </c>
      <c r="M74" s="7">
        <v>0</v>
      </c>
      <c r="O74" s="1">
        <f>ROUNDUP(VLOOKUP(C74,[2]!游戏物价查询,7,FALSE),0)*E74</f>
        <v>49</v>
      </c>
      <c r="P74">
        <f>VLOOKUP(C74,[2]!游戏物价查询,4,0)</f>
        <v>93</v>
      </c>
      <c r="Q74">
        <f>VLOOKUP(C74,[3]!马仔宝物属性,6,FALSE)</f>
        <v>2</v>
      </c>
      <c r="R74">
        <f t="shared" si="17"/>
        <v>400</v>
      </c>
      <c r="S74">
        <f t="shared" si="14"/>
        <v>2.6348725380409724E-3</v>
      </c>
      <c r="V74" s="16">
        <f>SUM($R$3:R74)</f>
        <v>65790</v>
      </c>
      <c r="W74">
        <f t="shared" si="3"/>
        <v>400</v>
      </c>
      <c r="X74">
        <f t="shared" si="15"/>
        <v>2.5769875016106174E-3</v>
      </c>
      <c r="Z74" s="16"/>
      <c r="AA74" s="16">
        <f>SUM($W$3:W74)</f>
        <v>62400</v>
      </c>
    </row>
    <row r="75" spans="1:29">
      <c r="A75" s="10">
        <v>74</v>
      </c>
      <c r="B75" s="10">
        <v>0</v>
      </c>
      <c r="C75" s="49">
        <v>92273</v>
      </c>
      <c r="D75" s="10" t="str">
        <f>IFERROR(VLOOKUP(C75,[1]引用表合并!$A$2:$B$1000,2,FALSE),"")</f>
        <v>智能手表</v>
      </c>
      <c r="E75" s="10">
        <v>1</v>
      </c>
      <c r="F75" s="10">
        <f>F43*0.4</f>
        <v>400</v>
      </c>
      <c r="G75" s="10">
        <v>1</v>
      </c>
      <c r="H75" s="10">
        <v>100</v>
      </c>
      <c r="I75" s="10">
        <v>0</v>
      </c>
      <c r="J75" s="10">
        <v>1</v>
      </c>
      <c r="K75" s="7">
        <v>0</v>
      </c>
      <c r="L75" s="7">
        <v>0</v>
      </c>
      <c r="M75" s="7">
        <v>0</v>
      </c>
      <c r="O75" s="1">
        <f>ROUNDUP(VLOOKUP(C75,[2]!游戏物价查询,7,FALSE),0)*E75</f>
        <v>55</v>
      </c>
      <c r="P75">
        <f>VLOOKUP(C75,[2]!游戏物价查询,4,0)</f>
        <v>86</v>
      </c>
      <c r="Q75">
        <f>VLOOKUP(C75,[3]!马仔宝物属性,6,FALSE)</f>
        <v>2</v>
      </c>
      <c r="R75">
        <f t="shared" si="10"/>
        <v>400</v>
      </c>
      <c r="S75">
        <f t="shared" si="14"/>
        <v>2.6348725380409724E-3</v>
      </c>
      <c r="V75" s="16">
        <f>SUM($R$3:R75)</f>
        <v>66190</v>
      </c>
      <c r="W75">
        <f t="shared" si="3"/>
        <v>400</v>
      </c>
      <c r="X75">
        <f t="shared" si="15"/>
        <v>2.5769875016106174E-3</v>
      </c>
      <c r="Z75" s="16"/>
      <c r="AA75" s="16">
        <f>SUM($W$3:W75)</f>
        <v>62800</v>
      </c>
    </row>
    <row r="76" spans="1:29">
      <c r="A76" s="10">
        <v>75</v>
      </c>
      <c r="B76" s="10">
        <v>0</v>
      </c>
      <c r="C76" s="49">
        <v>92279</v>
      </c>
      <c r="D76" s="10" t="str">
        <f>IFERROR(VLOOKUP(C76,[1]引用表合并!$A$2:$B$1000,2,FALSE),"")</f>
        <v>宾倪</v>
      </c>
      <c r="E76" s="10">
        <v>1</v>
      </c>
      <c r="F76" s="10">
        <f>F44*0.4</f>
        <v>400</v>
      </c>
      <c r="G76" s="10">
        <v>1</v>
      </c>
      <c r="H76" s="10">
        <v>100</v>
      </c>
      <c r="I76" s="10">
        <v>0</v>
      </c>
      <c r="J76" s="10">
        <v>1</v>
      </c>
      <c r="K76" s="7">
        <v>0</v>
      </c>
      <c r="L76" s="7">
        <v>0</v>
      </c>
      <c r="M76" s="7">
        <v>0</v>
      </c>
      <c r="O76" s="1">
        <f>ROUNDUP(VLOOKUP(C76,[2]!游戏物价查询,7,FALSE),0)*E76</f>
        <v>48</v>
      </c>
      <c r="P76">
        <f>VLOOKUP(C76,[2]!游戏物价查询,4,0)</f>
        <v>99</v>
      </c>
      <c r="Q76">
        <f>VLOOKUP(C76,[3]!马仔宝物属性,6,FALSE)</f>
        <v>2</v>
      </c>
      <c r="R76">
        <f t="shared" si="10"/>
        <v>400</v>
      </c>
      <c r="S76">
        <f t="shared" si="14"/>
        <v>2.6348725380409724E-3</v>
      </c>
      <c r="V76" s="16">
        <f>SUM($R$3:R76)</f>
        <v>66590</v>
      </c>
      <c r="W76">
        <f t="shared" si="3"/>
        <v>400</v>
      </c>
      <c r="X76">
        <f t="shared" si="15"/>
        <v>2.5769875016106174E-3</v>
      </c>
      <c r="Z76" s="16"/>
      <c r="AA76" s="16">
        <f>SUM($W$3:W76)</f>
        <v>63200</v>
      </c>
    </row>
    <row r="77" spans="1:29">
      <c r="A77" s="10">
        <v>76</v>
      </c>
      <c r="B77" s="10">
        <v>0</v>
      </c>
      <c r="C77" s="49">
        <v>92284</v>
      </c>
      <c r="D77" s="10" t="str">
        <f>IFERROR(VLOOKUP(C77,[1]引用表合并!$A$2:$B$1000,2,FALSE),"")</f>
        <v>大迭钞票</v>
      </c>
      <c r="E77" s="10">
        <v>1</v>
      </c>
      <c r="F77" s="10">
        <f>F47*0.4</f>
        <v>400</v>
      </c>
      <c r="G77" s="10">
        <v>1</v>
      </c>
      <c r="H77" s="10">
        <v>100</v>
      </c>
      <c r="I77" s="10">
        <v>0</v>
      </c>
      <c r="J77" s="10">
        <v>1</v>
      </c>
      <c r="K77" s="7">
        <v>0</v>
      </c>
      <c r="L77" s="7">
        <v>0</v>
      </c>
      <c r="M77" s="7">
        <v>0</v>
      </c>
      <c r="O77" s="1">
        <f>ROUNDUP(VLOOKUP(C77,[2]!游戏物价查询,7,FALSE),0)*E77</f>
        <v>48</v>
      </c>
      <c r="P77">
        <f>VLOOKUP(C77,[2]!游戏物价查询,4,0)</f>
        <v>687</v>
      </c>
      <c r="Q77">
        <f>VLOOKUP(C77,[3]!马仔宝物属性,6,FALSE)</f>
        <v>2</v>
      </c>
      <c r="R77">
        <f t="shared" si="10"/>
        <v>400</v>
      </c>
      <c r="S77">
        <f t="shared" si="14"/>
        <v>2.6348725380409724E-3</v>
      </c>
      <c r="V77" s="16">
        <f>SUM($R$3:R77)</f>
        <v>66990</v>
      </c>
      <c r="W77">
        <f t="shared" si="3"/>
        <v>400</v>
      </c>
      <c r="X77">
        <f t="shared" si="15"/>
        <v>2.5769875016106174E-3</v>
      </c>
      <c r="Z77" s="16"/>
      <c r="AA77" s="16">
        <f>SUM($W$3:W77)</f>
        <v>63600</v>
      </c>
    </row>
    <row r="78" spans="1:29">
      <c r="A78" s="10">
        <v>77</v>
      </c>
      <c r="B78" s="10">
        <v>0</v>
      </c>
      <c r="C78" s="49">
        <v>92288</v>
      </c>
      <c r="D78" s="10" t="str">
        <f>IFERROR(VLOOKUP(C78,[1]引用表合并!$A$2:$B$1000,2,FALSE),"")</f>
        <v>大金块</v>
      </c>
      <c r="E78" s="10">
        <v>1</v>
      </c>
      <c r="F78" s="10">
        <f>F48*0.4</f>
        <v>400</v>
      </c>
      <c r="G78" s="10">
        <v>1</v>
      </c>
      <c r="H78" s="10">
        <v>100</v>
      </c>
      <c r="I78" s="10">
        <v>0</v>
      </c>
      <c r="J78" s="10">
        <v>1</v>
      </c>
      <c r="K78" s="7">
        <v>0</v>
      </c>
      <c r="L78" s="7">
        <v>0</v>
      </c>
      <c r="M78" s="7">
        <v>0</v>
      </c>
      <c r="O78" s="1">
        <f>ROUNDUP(VLOOKUP(C78,[2]!游戏物价查询,7,FALSE),0)*E78</f>
        <v>48</v>
      </c>
      <c r="P78">
        <f>VLOOKUP(C78,[2]!游戏物价查询,4,0)</f>
        <v>629</v>
      </c>
      <c r="Q78">
        <f>VLOOKUP(C78,[3]!马仔宝物属性,6,FALSE)</f>
        <v>2</v>
      </c>
      <c r="R78">
        <f t="shared" si="10"/>
        <v>400</v>
      </c>
      <c r="S78">
        <f t="shared" si="14"/>
        <v>2.6348725380409724E-3</v>
      </c>
      <c r="T78" s="22">
        <f>SUM(S39:S78)</f>
        <v>0.22396416573348288</v>
      </c>
      <c r="U78">
        <f>SUM(S69:S78)</f>
        <v>2.6348725380409724E-2</v>
      </c>
      <c r="V78" s="16">
        <f>SUM($R$3:R78)</f>
        <v>67390</v>
      </c>
      <c r="W78">
        <f t="shared" si="3"/>
        <v>400</v>
      </c>
      <c r="X78">
        <f t="shared" si="15"/>
        <v>2.5769875016106174E-3</v>
      </c>
      <c r="Y78" s="22">
        <f>SUM(X39:X78)</f>
        <v>0.21904393763690247</v>
      </c>
      <c r="Z78">
        <f>SUM(X69:X78)</f>
        <v>2.5769875016106173E-2</v>
      </c>
      <c r="AA78" s="16">
        <f>SUM($W$3:W78)</f>
        <v>64000</v>
      </c>
      <c r="AB78">
        <f>SUMPRODUCT(X69:X78,E69:E78)</f>
        <v>2.5769875016106173E-2</v>
      </c>
    </row>
    <row r="79" spans="1:29">
      <c r="A79" s="10">
        <v>78</v>
      </c>
      <c r="B79" s="10">
        <v>0</v>
      </c>
      <c r="C79" s="50">
        <v>93125</v>
      </c>
      <c r="D79" s="10" t="str">
        <f>IFERROR(VLOOKUP(C79,[1]引用表合并!$A$2:$B$1000,2,FALSE),"")</f>
        <v>红石耳钉碎片</v>
      </c>
      <c r="E79" s="7">
        <v>1</v>
      </c>
      <c r="F79" s="10">
        <v>600</v>
      </c>
      <c r="G79" s="10">
        <v>1</v>
      </c>
      <c r="H79" s="10">
        <v>100</v>
      </c>
      <c r="I79" s="10">
        <v>0</v>
      </c>
      <c r="J79" s="10">
        <v>0</v>
      </c>
      <c r="K79" s="7">
        <v>0</v>
      </c>
      <c r="L79" s="7">
        <v>0</v>
      </c>
      <c r="M79" s="7">
        <v>0</v>
      </c>
      <c r="O79" s="1">
        <f>ROUNDUP(VLOOKUP(C79,[2]!游戏物价查询,7,FALSE),0)*E79</f>
        <v>6</v>
      </c>
      <c r="P79">
        <f>VLOOKUP(C79,[2]!游戏物价查询,4,0)</f>
        <v>1040</v>
      </c>
      <c r="Q79">
        <f>VLOOKUP(C79,[3]!马仔宝物属性,6,FALSE)</f>
        <v>3</v>
      </c>
      <c r="R79">
        <f t="shared" si="10"/>
        <v>600</v>
      </c>
      <c r="S79">
        <f t="shared" si="14"/>
        <v>3.9523088070614583E-3</v>
      </c>
      <c r="V79" s="16">
        <f>SUM($R$3:R79)</f>
        <v>67990</v>
      </c>
      <c r="W79">
        <f t="shared" si="3"/>
        <v>600</v>
      </c>
      <c r="X79">
        <f t="shared" si="15"/>
        <v>3.8654812524159259E-3</v>
      </c>
      <c r="Z79" s="16"/>
      <c r="AA79" s="16">
        <f>SUM($W$3:W79)</f>
        <v>64600</v>
      </c>
      <c r="AB79" s="8">
        <f>AB34+AB52*5</f>
        <v>0</v>
      </c>
      <c r="AC79" s="8">
        <f>[2]马仔宝物投放!$O$42</f>
        <v>0.87124900019410789</v>
      </c>
    </row>
    <row r="80" spans="1:29">
      <c r="A80" s="10">
        <v>79</v>
      </c>
      <c r="B80" s="10">
        <v>0</v>
      </c>
      <c r="C80" s="50">
        <v>93134</v>
      </c>
      <c r="D80" s="10" t="str">
        <f>IFERROR(VLOOKUP(C80,[1]引用表合并!$A$2:$B$1000,2,FALSE),"")</f>
        <v>毒蝎耳钉碎片</v>
      </c>
      <c r="E80" s="7">
        <v>1</v>
      </c>
      <c r="F80" s="10">
        <v>600</v>
      </c>
      <c r="G80" s="10">
        <v>1</v>
      </c>
      <c r="H80" s="10">
        <v>100</v>
      </c>
      <c r="I80" s="10">
        <v>0</v>
      </c>
      <c r="J80" s="10">
        <v>0</v>
      </c>
      <c r="K80" s="7">
        <v>0</v>
      </c>
      <c r="L80" s="7">
        <v>0</v>
      </c>
      <c r="M80" s="7">
        <v>0</v>
      </c>
      <c r="O80" s="1">
        <f>ROUNDUP(VLOOKUP(C80,[2]!游戏物价查询,7,FALSE),0)*E80</f>
        <v>6</v>
      </c>
      <c r="P80">
        <f>VLOOKUP(C80,[2]!游戏物价查询,4,0)</f>
        <v>1080</v>
      </c>
      <c r="Q80">
        <f>VLOOKUP(C80,[3]!马仔宝物属性,6,FALSE)</f>
        <v>3</v>
      </c>
      <c r="R80">
        <f t="shared" si="10"/>
        <v>600</v>
      </c>
      <c r="S80">
        <f t="shared" si="14"/>
        <v>3.9523088070614583E-3</v>
      </c>
      <c r="V80" s="16">
        <f>SUM($R$3:R80)</f>
        <v>68590</v>
      </c>
      <c r="W80">
        <f t="shared" si="3"/>
        <v>600</v>
      </c>
      <c r="X80">
        <f t="shared" si="15"/>
        <v>3.8654812524159259E-3</v>
      </c>
      <c r="Z80" s="16"/>
      <c r="AA80" s="16">
        <f>SUM($W$3:W80)</f>
        <v>65200</v>
      </c>
    </row>
    <row r="81" spans="1:29">
      <c r="A81" s="10">
        <v>80</v>
      </c>
      <c r="B81" s="10">
        <v>0</v>
      </c>
      <c r="C81" s="50">
        <v>93223</v>
      </c>
      <c r="D81" s="10" t="str">
        <f>IFERROR(VLOOKUP(C81,[1]引用表合并!$A$2:$B$1000,2,FALSE),"")</f>
        <v>赤金戒指碎片</v>
      </c>
      <c r="E81" s="7">
        <v>1</v>
      </c>
      <c r="F81" s="10">
        <v>600</v>
      </c>
      <c r="G81" s="10">
        <v>1</v>
      </c>
      <c r="H81" s="10">
        <v>100</v>
      </c>
      <c r="I81" s="10">
        <v>0</v>
      </c>
      <c r="J81" s="10">
        <v>0</v>
      </c>
      <c r="K81" s="7">
        <v>0</v>
      </c>
      <c r="L81" s="7">
        <v>0</v>
      </c>
      <c r="M81" s="7">
        <v>0</v>
      </c>
      <c r="O81" s="1">
        <f>ROUNDUP(VLOOKUP(C81,[2]!游戏物价查询,7,FALSE),0)*E81</f>
        <v>6</v>
      </c>
      <c r="P81">
        <f>VLOOKUP(C81,[2]!游戏物价查询,4,0)</f>
        <v>1300</v>
      </c>
      <c r="Q81">
        <f>VLOOKUP(C81,[3]!马仔宝物属性,6,FALSE)</f>
        <v>3</v>
      </c>
      <c r="R81">
        <f t="shared" si="10"/>
        <v>600</v>
      </c>
      <c r="S81">
        <f t="shared" si="14"/>
        <v>3.9523088070614583E-3</v>
      </c>
      <c r="V81" s="16">
        <f>SUM($R$3:R81)</f>
        <v>69190</v>
      </c>
      <c r="W81">
        <f t="shared" si="3"/>
        <v>600</v>
      </c>
      <c r="X81">
        <f t="shared" si="15"/>
        <v>3.8654812524159259E-3</v>
      </c>
      <c r="Z81" s="16"/>
      <c r="AA81" s="16">
        <f>SUM($W$3:W81)</f>
        <v>65800</v>
      </c>
    </row>
    <row r="82" spans="1:29">
      <c r="A82" s="10">
        <v>81</v>
      </c>
      <c r="B82" s="10">
        <v>0</v>
      </c>
      <c r="C82" s="50">
        <v>93227</v>
      </c>
      <c r="D82" s="10" t="str">
        <f>IFERROR(VLOOKUP(C82,[1]引用表合并!$A$2:$B$1000,2,FALSE),"")</f>
        <v>王者手环碎片</v>
      </c>
      <c r="E82" s="7">
        <v>1</v>
      </c>
      <c r="F82" s="10">
        <v>600</v>
      </c>
      <c r="G82" s="10">
        <v>1</v>
      </c>
      <c r="H82" s="10">
        <v>100</v>
      </c>
      <c r="I82" s="10">
        <v>0</v>
      </c>
      <c r="J82" s="10">
        <v>0</v>
      </c>
      <c r="K82" s="7">
        <v>0</v>
      </c>
      <c r="L82" s="7">
        <v>0</v>
      </c>
      <c r="M82" s="7">
        <v>0</v>
      </c>
      <c r="O82" s="1">
        <f>ROUNDUP(VLOOKUP(C82,[2]!游戏物价查询,7,FALSE),0)*E82</f>
        <v>6</v>
      </c>
      <c r="P82">
        <f>VLOOKUP(C82,[2]!游戏物价查询,4,0)</f>
        <v>1410</v>
      </c>
      <c r="Q82">
        <f>VLOOKUP(C82,[3]!马仔宝物属性,6,FALSE)</f>
        <v>3</v>
      </c>
      <c r="R82">
        <f t="shared" si="10"/>
        <v>600</v>
      </c>
      <c r="S82">
        <f t="shared" si="14"/>
        <v>3.9523088070614583E-3</v>
      </c>
      <c r="V82" s="16">
        <f>SUM($R$3:R82)</f>
        <v>69790</v>
      </c>
      <c r="W82">
        <f t="shared" si="3"/>
        <v>600</v>
      </c>
      <c r="X82">
        <f t="shared" si="15"/>
        <v>3.8654812524159259E-3</v>
      </c>
      <c r="Z82" s="16"/>
      <c r="AA82" s="16">
        <f>SUM($W$3:W82)</f>
        <v>66400</v>
      </c>
    </row>
    <row r="83" spans="1:29">
      <c r="A83" s="10">
        <v>82</v>
      </c>
      <c r="B83" s="10">
        <v>0</v>
      </c>
      <c r="C83" s="50">
        <v>93236</v>
      </c>
      <c r="D83" s="10" t="str">
        <f>IFERROR(VLOOKUP(C83,[1]引用表合并!$A$2:$B$1000,2,FALSE),"")</f>
        <v>符文手环碎片</v>
      </c>
      <c r="E83" s="7">
        <v>1</v>
      </c>
      <c r="F83" s="10">
        <v>600</v>
      </c>
      <c r="G83" s="10">
        <v>1</v>
      </c>
      <c r="H83" s="10">
        <v>100</v>
      </c>
      <c r="I83" s="10">
        <v>0</v>
      </c>
      <c r="J83" s="10">
        <v>0</v>
      </c>
      <c r="K83" s="7">
        <v>0</v>
      </c>
      <c r="L83" s="7">
        <v>0</v>
      </c>
      <c r="M83" s="7">
        <v>0</v>
      </c>
      <c r="O83" s="1">
        <f>ROUNDUP(VLOOKUP(C83,[2]!游戏物价查询,7,FALSE),0)*E83</f>
        <v>6</v>
      </c>
      <c r="P83">
        <f>VLOOKUP(C83,[2]!游戏物价查询,4,0)</f>
        <v>670</v>
      </c>
      <c r="Q83">
        <f>VLOOKUP(C83,[3]!马仔宝物属性,6,FALSE)</f>
        <v>3</v>
      </c>
      <c r="R83">
        <f t="shared" si="10"/>
        <v>600</v>
      </c>
      <c r="S83">
        <f t="shared" si="14"/>
        <v>3.9523088070614583E-3</v>
      </c>
      <c r="V83" s="16">
        <f>SUM($R$3:R83)</f>
        <v>70390</v>
      </c>
      <c r="W83">
        <f t="shared" si="3"/>
        <v>600</v>
      </c>
      <c r="X83">
        <f t="shared" si="15"/>
        <v>3.8654812524159259E-3</v>
      </c>
      <c r="Z83" s="16"/>
      <c r="AA83" s="16">
        <f>SUM($W$3:W83)</f>
        <v>67000</v>
      </c>
    </row>
    <row r="84" spans="1:29">
      <c r="A84" s="10">
        <v>83</v>
      </c>
      <c r="B84" s="10">
        <v>0</v>
      </c>
      <c r="C84" s="50">
        <v>93013</v>
      </c>
      <c r="D84" s="10" t="str">
        <f>IFERROR(VLOOKUP(C84,[1]引用表合并!$A$2:$B$1000,2,FALSE),"")</f>
        <v>月立碎片</v>
      </c>
      <c r="E84" s="7">
        <v>1</v>
      </c>
      <c r="F84" s="10">
        <v>600</v>
      </c>
      <c r="G84" s="10">
        <v>1</v>
      </c>
      <c r="H84" s="10">
        <v>100</v>
      </c>
      <c r="I84" s="10">
        <v>0</v>
      </c>
      <c r="J84" s="10">
        <v>0</v>
      </c>
      <c r="K84" s="7">
        <v>0</v>
      </c>
      <c r="L84" s="7">
        <v>0</v>
      </c>
      <c r="M84" s="7">
        <v>0</v>
      </c>
      <c r="O84" s="1">
        <f>ROUNDUP(VLOOKUP(C84,[2]!游戏物价查询,7,FALSE),0)*E84</f>
        <v>6</v>
      </c>
      <c r="P84">
        <f>VLOOKUP(C84,[2]!游戏物价查询,4,0)</f>
        <v>850</v>
      </c>
      <c r="Q84">
        <f>VLOOKUP(C84,[3]!马仔宝物属性,6,FALSE)</f>
        <v>3</v>
      </c>
      <c r="R84">
        <f t="shared" si="10"/>
        <v>600</v>
      </c>
      <c r="S84">
        <f t="shared" si="14"/>
        <v>3.9523088070614583E-3</v>
      </c>
      <c r="V84" s="16">
        <f>SUM($R$3:R84)</f>
        <v>70990</v>
      </c>
      <c r="W84">
        <f t="shared" si="3"/>
        <v>600</v>
      </c>
      <c r="X84">
        <f t="shared" si="15"/>
        <v>3.8654812524159259E-3</v>
      </c>
      <c r="Z84" s="16"/>
      <c r="AA84" s="16">
        <f>SUM($W$3:W84)</f>
        <v>67600</v>
      </c>
    </row>
    <row r="85" spans="1:29">
      <c r="A85" s="10">
        <v>84</v>
      </c>
      <c r="B85" s="10">
        <v>0</v>
      </c>
      <c r="C85" s="50">
        <v>93253</v>
      </c>
      <c r="D85" s="10" t="str">
        <f>IFERROR(VLOOKUP(C85,[1]引用表合并!$A$2:$B$1000,2,FALSE),"")</f>
        <v>猫妖项链碎片</v>
      </c>
      <c r="E85" s="7">
        <v>1</v>
      </c>
      <c r="F85" s="10">
        <v>600</v>
      </c>
      <c r="G85" s="10">
        <v>1</v>
      </c>
      <c r="H85" s="10">
        <v>100</v>
      </c>
      <c r="I85" s="10">
        <v>0</v>
      </c>
      <c r="J85" s="10">
        <v>0</v>
      </c>
      <c r="K85" s="7">
        <v>0</v>
      </c>
      <c r="L85" s="7">
        <v>0</v>
      </c>
      <c r="M85" s="7">
        <v>0</v>
      </c>
      <c r="O85" s="1">
        <f>ROUNDUP(VLOOKUP(C85,[2]!游戏物价查询,7,FALSE),0)*E85</f>
        <v>6</v>
      </c>
      <c r="P85">
        <f>VLOOKUP(C85,[2]!游戏物价查询,4,0)</f>
        <v>1480</v>
      </c>
      <c r="Q85">
        <f>VLOOKUP(C85,[3]!马仔宝物属性,6,FALSE)</f>
        <v>3</v>
      </c>
      <c r="R85">
        <f t="shared" si="10"/>
        <v>600</v>
      </c>
      <c r="S85">
        <f t="shared" si="14"/>
        <v>3.9523088070614583E-3</v>
      </c>
      <c r="V85" s="16">
        <f>SUM($R$3:R85)</f>
        <v>71590</v>
      </c>
      <c r="W85">
        <f t="shared" si="3"/>
        <v>600</v>
      </c>
      <c r="X85">
        <f t="shared" si="15"/>
        <v>3.8654812524159259E-3</v>
      </c>
      <c r="Z85" s="16"/>
      <c r="AA85" s="16">
        <f>SUM($W$3:W85)</f>
        <v>68200</v>
      </c>
    </row>
    <row r="86" spans="1:29">
      <c r="A86" s="10">
        <v>85</v>
      </c>
      <c r="B86" s="10">
        <v>0</v>
      </c>
      <c r="C86" s="50">
        <v>93254</v>
      </c>
      <c r="D86" s="10" t="str">
        <f>IFERROR(VLOOKUP(C86,[1]引用表合并!$A$2:$B$1000,2,FALSE),"")</f>
        <v>苍蓝项链碎片</v>
      </c>
      <c r="E86" s="7">
        <v>1</v>
      </c>
      <c r="F86" s="10">
        <v>600</v>
      </c>
      <c r="G86" s="10">
        <v>1</v>
      </c>
      <c r="H86" s="10">
        <v>100</v>
      </c>
      <c r="I86" s="10">
        <v>0</v>
      </c>
      <c r="J86" s="10">
        <v>0</v>
      </c>
      <c r="K86" s="7">
        <v>0</v>
      </c>
      <c r="L86" s="7">
        <v>0</v>
      </c>
      <c r="M86" s="7">
        <v>0</v>
      </c>
      <c r="O86" s="1">
        <f>ROUNDUP(VLOOKUP(C86,[2]!游戏物价查询,7,FALSE),0)*E86</f>
        <v>6</v>
      </c>
      <c r="P86">
        <f>VLOOKUP(C86,[2]!游戏物价查询,4,0)</f>
        <v>1400</v>
      </c>
      <c r="Q86">
        <f>VLOOKUP(C86,[3]!马仔宝物属性,6,FALSE)</f>
        <v>3</v>
      </c>
      <c r="R86">
        <f t="shared" si="10"/>
        <v>600</v>
      </c>
      <c r="S86">
        <f t="shared" si="14"/>
        <v>3.9523088070614583E-3</v>
      </c>
      <c r="V86" s="16">
        <f>SUM($R$3:R86)</f>
        <v>72190</v>
      </c>
      <c r="W86">
        <f t="shared" si="3"/>
        <v>600</v>
      </c>
      <c r="X86">
        <f t="shared" si="15"/>
        <v>3.8654812524159259E-3</v>
      </c>
      <c r="Z86" s="16"/>
      <c r="AA86" s="16">
        <f>SUM($W$3:W86)</f>
        <v>68800</v>
      </c>
    </row>
    <row r="87" spans="1:29">
      <c r="A87" s="10">
        <v>86</v>
      </c>
      <c r="B87" s="10">
        <v>0</v>
      </c>
      <c r="C87" s="50">
        <v>93274</v>
      </c>
      <c r="D87" s="10" t="str">
        <f>IFERROR(VLOOKUP(C87,[1]引用表合并!$A$2:$B$1000,2,FALSE),"")</f>
        <v>汉密手表碎片</v>
      </c>
      <c r="E87" s="7">
        <v>1</v>
      </c>
      <c r="F87" s="10">
        <v>600</v>
      </c>
      <c r="G87" s="10">
        <v>1</v>
      </c>
      <c r="H87" s="10">
        <v>100</v>
      </c>
      <c r="I87" s="10">
        <v>0</v>
      </c>
      <c r="J87" s="10">
        <v>0</v>
      </c>
      <c r="K87" s="7">
        <v>0</v>
      </c>
      <c r="L87" s="7">
        <v>0</v>
      </c>
      <c r="M87" s="7">
        <v>0</v>
      </c>
      <c r="O87" s="1">
        <f>ROUNDUP(VLOOKUP(C87,[2]!游戏物价查询,7,FALSE),0)*E87</f>
        <v>6</v>
      </c>
      <c r="P87">
        <f>VLOOKUP(C87,[2]!游戏物价查询,4,0)</f>
        <v>700</v>
      </c>
      <c r="Q87">
        <f>VLOOKUP(C87,[3]!马仔宝物属性,6,FALSE)</f>
        <v>3</v>
      </c>
      <c r="R87">
        <f t="shared" si="10"/>
        <v>600</v>
      </c>
      <c r="S87">
        <f t="shared" si="14"/>
        <v>3.9523088070614583E-3</v>
      </c>
      <c r="V87" s="16">
        <f>SUM($R$3:R87)</f>
        <v>72790</v>
      </c>
      <c r="W87">
        <f t="shared" si="3"/>
        <v>600</v>
      </c>
      <c r="X87">
        <f t="shared" si="15"/>
        <v>3.8654812524159259E-3</v>
      </c>
      <c r="Z87" s="16"/>
      <c r="AA87" s="16">
        <f>SUM($W$3:W87)</f>
        <v>69400</v>
      </c>
    </row>
    <row r="88" spans="1:29">
      <c r="A88" s="10">
        <v>87</v>
      </c>
      <c r="B88" s="10">
        <v>0</v>
      </c>
      <c r="C88" s="50">
        <v>93280</v>
      </c>
      <c r="D88" s="10" t="str">
        <f>IFERROR(VLOOKUP(C88,[1]引用表合并!$A$2:$B$1000,2,FALSE),"")</f>
        <v>法拉捷碎片</v>
      </c>
      <c r="E88" s="7">
        <v>1</v>
      </c>
      <c r="F88" s="10">
        <v>600</v>
      </c>
      <c r="G88" s="10">
        <v>1</v>
      </c>
      <c r="H88" s="10">
        <v>100</v>
      </c>
      <c r="I88" s="10">
        <v>0</v>
      </c>
      <c r="J88" s="10">
        <v>0</v>
      </c>
      <c r="K88" s="7">
        <v>0</v>
      </c>
      <c r="L88" s="7">
        <v>0</v>
      </c>
      <c r="M88" s="7">
        <v>0</v>
      </c>
      <c r="O88" s="1">
        <f>ROUNDUP(VLOOKUP(C88,[2]!游戏物价查询,7,FALSE),0)*E88</f>
        <v>6</v>
      </c>
      <c r="P88">
        <f>VLOOKUP(C88,[2]!游戏物价查询,4,0)</f>
        <v>750</v>
      </c>
      <c r="Q88">
        <f>VLOOKUP(C88,[3]!马仔宝物属性,6,FALSE)</f>
        <v>3</v>
      </c>
      <c r="R88">
        <f t="shared" si="10"/>
        <v>600</v>
      </c>
      <c r="S88">
        <f t="shared" si="14"/>
        <v>3.9523088070614583E-3</v>
      </c>
      <c r="V88" s="16">
        <f>SUM($R$3:R88)</f>
        <v>73390</v>
      </c>
      <c r="W88">
        <f t="shared" si="3"/>
        <v>600</v>
      </c>
      <c r="X88">
        <f t="shared" si="15"/>
        <v>3.8654812524159259E-3</v>
      </c>
      <c r="Z88" s="16"/>
      <c r="AA88" s="16">
        <f>SUM($W$3:W88)</f>
        <v>70000</v>
      </c>
    </row>
    <row r="89" spans="1:29">
      <c r="A89" s="10">
        <v>88</v>
      </c>
      <c r="B89" s="10">
        <v>0</v>
      </c>
      <c r="C89" s="50">
        <v>93285</v>
      </c>
      <c r="D89" s="10" t="str">
        <f>IFERROR(VLOOKUP(C89,[1]引用表合并!$A$2:$B$1000,2,FALSE),"")</f>
        <v>大堆钞票碎片</v>
      </c>
      <c r="E89" s="7">
        <v>1</v>
      </c>
      <c r="F89" s="10">
        <v>600</v>
      </c>
      <c r="G89" s="10">
        <v>1</v>
      </c>
      <c r="H89" s="10">
        <v>100</v>
      </c>
      <c r="I89" s="10">
        <v>0</v>
      </c>
      <c r="J89" s="10">
        <v>0</v>
      </c>
      <c r="K89" s="7">
        <v>0</v>
      </c>
      <c r="L89" s="7">
        <v>0</v>
      </c>
      <c r="M89" s="7">
        <v>0</v>
      </c>
      <c r="O89" s="1">
        <f>ROUNDUP(VLOOKUP(C89,[2]!游戏物价查询,7,FALSE),0)*E89</f>
        <v>6</v>
      </c>
      <c r="P89">
        <f>VLOOKUP(C89,[2]!游戏物价查询,4,0)</f>
        <v>2860</v>
      </c>
      <c r="Q89">
        <f>VLOOKUP(C89,[3]!马仔宝物属性,6,FALSE)</f>
        <v>3</v>
      </c>
      <c r="R89">
        <f t="shared" si="10"/>
        <v>600</v>
      </c>
      <c r="S89">
        <f t="shared" si="14"/>
        <v>3.9523088070614583E-3</v>
      </c>
      <c r="V89" s="16">
        <f>SUM($R$3:R89)</f>
        <v>73990</v>
      </c>
      <c r="W89">
        <f t="shared" si="3"/>
        <v>600</v>
      </c>
      <c r="X89">
        <f t="shared" si="15"/>
        <v>3.8654812524159259E-3</v>
      </c>
      <c r="Z89" s="16"/>
      <c r="AA89" s="16">
        <f>SUM($W$3:W89)</f>
        <v>70600</v>
      </c>
    </row>
    <row r="90" spans="1:29">
      <c r="A90" s="10">
        <v>89</v>
      </c>
      <c r="B90" s="10">
        <v>0</v>
      </c>
      <c r="C90" s="50">
        <v>93289</v>
      </c>
      <c r="D90" s="10" t="str">
        <f>IFERROR(VLOOKUP(C90,[1]引用表合并!$A$2:$B$1000,2,FALSE),"")</f>
        <v>小堆金块碎片</v>
      </c>
      <c r="E90" s="7">
        <v>1</v>
      </c>
      <c r="F90" s="10">
        <v>600</v>
      </c>
      <c r="G90" s="10">
        <v>1</v>
      </c>
      <c r="H90" s="10">
        <v>100</v>
      </c>
      <c r="I90" s="10">
        <v>0</v>
      </c>
      <c r="J90" s="10">
        <v>0</v>
      </c>
      <c r="K90" s="7">
        <v>0</v>
      </c>
      <c r="L90" s="7">
        <v>0</v>
      </c>
      <c r="M90" s="7">
        <v>0</v>
      </c>
      <c r="O90" s="1">
        <f>ROUNDUP(VLOOKUP(C90,[2]!游戏物价查询,7,FALSE),0)*E90</f>
        <v>6</v>
      </c>
      <c r="P90">
        <f>VLOOKUP(C90,[2]!游戏物价查询,4,0)</f>
        <v>2620</v>
      </c>
      <c r="Q90">
        <f>VLOOKUP(C90,[3]!马仔宝物属性,6,FALSE)</f>
        <v>3</v>
      </c>
      <c r="R90">
        <f t="shared" si="10"/>
        <v>600</v>
      </c>
      <c r="S90">
        <f t="shared" si="14"/>
        <v>3.9523088070614583E-3</v>
      </c>
      <c r="U90" s="16">
        <f>SUM(S79:S90)</f>
        <v>4.742770568473751E-2</v>
      </c>
      <c r="V90" s="16">
        <f>SUM($R$3:R90)</f>
        <v>74590</v>
      </c>
      <c r="W90">
        <f t="shared" si="3"/>
        <v>600</v>
      </c>
      <c r="X90">
        <f t="shared" si="15"/>
        <v>3.8654812524159259E-3</v>
      </c>
      <c r="Z90" s="16">
        <f>SUM(X79:X90)</f>
        <v>4.6385775028991112E-2</v>
      </c>
      <c r="AA90" s="16">
        <f>SUM($W$3:W90)</f>
        <v>71200</v>
      </c>
      <c r="AB90">
        <f>SUMPRODUCT(X79:X90,E79:E90)</f>
        <v>4.6385775028991112E-2</v>
      </c>
    </row>
    <row r="91" spans="1:29">
      <c r="A91" s="10">
        <v>90</v>
      </c>
      <c r="B91" s="10">
        <v>0</v>
      </c>
      <c r="C91" s="50">
        <v>93125</v>
      </c>
      <c r="D91" s="10" t="str">
        <f>IFERROR(VLOOKUP(C91,[1]引用表合并!$A$2:$B$1000,2,FALSE),"")</f>
        <v>红石耳钉碎片</v>
      </c>
      <c r="E91" s="7">
        <v>2</v>
      </c>
      <c r="F91" s="10">
        <v>600</v>
      </c>
      <c r="G91" s="10">
        <v>1</v>
      </c>
      <c r="H91" s="10">
        <v>100</v>
      </c>
      <c r="I91" s="10">
        <v>0</v>
      </c>
      <c r="J91" s="10">
        <v>0</v>
      </c>
      <c r="K91" s="7">
        <v>0</v>
      </c>
      <c r="L91" s="7">
        <v>0</v>
      </c>
      <c r="M91" s="7">
        <v>0</v>
      </c>
      <c r="O91" s="1">
        <f>ROUNDUP(VLOOKUP(C91,[2]!游戏物价查询,7,FALSE),0)*E91</f>
        <v>12</v>
      </c>
      <c r="P91">
        <f>VLOOKUP(C91,[2]!游戏物价查询,4,0)</f>
        <v>1040</v>
      </c>
      <c r="Q91">
        <f>VLOOKUP(C91,[3]!马仔宝物属性,6,FALSE)</f>
        <v>3</v>
      </c>
      <c r="R91">
        <f t="shared" ref="R91:R102" si="18">IF(L91&lt;2,F91,"")</f>
        <v>600</v>
      </c>
      <c r="S91">
        <f t="shared" si="14"/>
        <v>3.9523088070614583E-3</v>
      </c>
      <c r="V91" s="16">
        <f>SUM($R$3:R91)</f>
        <v>75190</v>
      </c>
      <c r="W91">
        <f t="shared" ref="W91:W102" si="19">IF(AND(L91&lt;&gt;1,L91&lt;&gt;3),F91,"")</f>
        <v>600</v>
      </c>
      <c r="X91">
        <f t="shared" si="15"/>
        <v>3.8654812524159259E-3</v>
      </c>
      <c r="Z91" s="16"/>
      <c r="AA91" s="16">
        <f>SUM($W$3:W91)</f>
        <v>71800</v>
      </c>
      <c r="AB91" s="8">
        <f>AB36+AB66*5</f>
        <v>0</v>
      </c>
      <c r="AC91" s="8">
        <f>[2]马仔宝物投放!$O$42</f>
        <v>0.87124900019410789</v>
      </c>
    </row>
    <row r="92" spans="1:29">
      <c r="A92" s="10">
        <v>91</v>
      </c>
      <c r="B92" s="10">
        <v>0</v>
      </c>
      <c r="C92" s="50">
        <v>93134</v>
      </c>
      <c r="D92" s="10" t="str">
        <f>IFERROR(VLOOKUP(C92,[1]引用表合并!$A$2:$B$1000,2,FALSE),"")</f>
        <v>毒蝎耳钉碎片</v>
      </c>
      <c r="E92" s="7">
        <v>2</v>
      </c>
      <c r="F92" s="10">
        <v>600</v>
      </c>
      <c r="G92" s="10">
        <v>1</v>
      </c>
      <c r="H92" s="10">
        <v>100</v>
      </c>
      <c r="I92" s="10">
        <v>0</v>
      </c>
      <c r="J92" s="10">
        <v>0</v>
      </c>
      <c r="K92" s="7">
        <v>0</v>
      </c>
      <c r="L92" s="7">
        <v>0</v>
      </c>
      <c r="M92" s="7">
        <v>0</v>
      </c>
      <c r="O92" s="1">
        <f>ROUNDUP(VLOOKUP(C92,[2]!游戏物价查询,7,FALSE),0)*E92</f>
        <v>12</v>
      </c>
      <c r="P92">
        <f>VLOOKUP(C92,[2]!游戏物价查询,4,0)</f>
        <v>1080</v>
      </c>
      <c r="Q92">
        <f>VLOOKUP(C92,[3]!马仔宝物属性,6,FALSE)</f>
        <v>3</v>
      </c>
      <c r="R92">
        <f t="shared" si="18"/>
        <v>600</v>
      </c>
      <c r="S92">
        <f t="shared" si="14"/>
        <v>3.9523088070614583E-3</v>
      </c>
      <c r="V92" s="16">
        <f>SUM($R$3:R92)</f>
        <v>75790</v>
      </c>
      <c r="W92">
        <f t="shared" si="19"/>
        <v>600</v>
      </c>
      <c r="X92">
        <f t="shared" si="15"/>
        <v>3.8654812524159259E-3</v>
      </c>
      <c r="Z92" s="16"/>
      <c r="AA92" s="16">
        <f>SUM($W$3:W92)</f>
        <v>72400</v>
      </c>
    </row>
    <row r="93" spans="1:29">
      <c r="A93" s="10">
        <v>92</v>
      </c>
      <c r="B93" s="10">
        <v>0</v>
      </c>
      <c r="C93" s="50">
        <v>93223</v>
      </c>
      <c r="D93" s="10" t="str">
        <f>IFERROR(VLOOKUP(C93,[1]引用表合并!$A$2:$B$1000,2,FALSE),"")</f>
        <v>赤金戒指碎片</v>
      </c>
      <c r="E93" s="7">
        <v>2</v>
      </c>
      <c r="F93" s="10">
        <v>600</v>
      </c>
      <c r="G93" s="10">
        <v>1</v>
      </c>
      <c r="H93" s="10">
        <v>100</v>
      </c>
      <c r="I93" s="10">
        <v>0</v>
      </c>
      <c r="J93" s="10">
        <v>0</v>
      </c>
      <c r="K93" s="7">
        <v>0</v>
      </c>
      <c r="L93" s="7">
        <v>0</v>
      </c>
      <c r="M93" s="7">
        <v>0</v>
      </c>
      <c r="O93" s="1">
        <f>ROUNDUP(VLOOKUP(C93,[2]!游戏物价查询,7,FALSE),0)*E93</f>
        <v>12</v>
      </c>
      <c r="P93">
        <f>VLOOKUP(C93,[2]!游戏物价查询,4,0)</f>
        <v>1300</v>
      </c>
      <c r="Q93">
        <f>VLOOKUP(C93,[3]!马仔宝物属性,6,FALSE)</f>
        <v>3</v>
      </c>
      <c r="R93">
        <f t="shared" si="18"/>
        <v>600</v>
      </c>
      <c r="S93">
        <f t="shared" si="14"/>
        <v>3.9523088070614583E-3</v>
      </c>
      <c r="V93" s="16">
        <f>SUM($R$3:R93)</f>
        <v>76390</v>
      </c>
      <c r="W93">
        <f t="shared" si="19"/>
        <v>600</v>
      </c>
      <c r="X93">
        <f t="shared" si="15"/>
        <v>3.8654812524159259E-3</v>
      </c>
      <c r="Z93" s="16"/>
      <c r="AA93" s="16">
        <f>SUM($W$3:W93)</f>
        <v>73000</v>
      </c>
    </row>
    <row r="94" spans="1:29">
      <c r="A94" s="10">
        <v>93</v>
      </c>
      <c r="B94" s="10">
        <v>0</v>
      </c>
      <c r="C94" s="50">
        <v>93227</v>
      </c>
      <c r="D94" s="10" t="str">
        <f>IFERROR(VLOOKUP(C94,[1]引用表合并!$A$2:$B$1000,2,FALSE),"")</f>
        <v>王者手环碎片</v>
      </c>
      <c r="E94" s="7">
        <v>2</v>
      </c>
      <c r="F94" s="10">
        <v>600</v>
      </c>
      <c r="G94" s="10">
        <v>1</v>
      </c>
      <c r="H94" s="10">
        <v>100</v>
      </c>
      <c r="I94" s="10">
        <v>0</v>
      </c>
      <c r="J94" s="10">
        <v>0</v>
      </c>
      <c r="K94" s="7">
        <v>0</v>
      </c>
      <c r="L94" s="7">
        <v>0</v>
      </c>
      <c r="M94" s="7">
        <v>0</v>
      </c>
      <c r="O94" s="1">
        <f>ROUNDUP(VLOOKUP(C94,[2]!游戏物价查询,7,FALSE),0)*E94</f>
        <v>12</v>
      </c>
      <c r="P94">
        <f>VLOOKUP(C94,[2]!游戏物价查询,4,0)</f>
        <v>1410</v>
      </c>
      <c r="Q94">
        <f>VLOOKUP(C94,[3]!马仔宝物属性,6,FALSE)</f>
        <v>3</v>
      </c>
      <c r="R94">
        <f t="shared" si="18"/>
        <v>600</v>
      </c>
      <c r="S94">
        <f t="shared" si="14"/>
        <v>3.9523088070614583E-3</v>
      </c>
      <c r="V94" s="16">
        <f>SUM($R$3:R94)</f>
        <v>76990</v>
      </c>
      <c r="W94">
        <f t="shared" si="19"/>
        <v>600</v>
      </c>
      <c r="X94">
        <f t="shared" si="15"/>
        <v>3.8654812524159259E-3</v>
      </c>
      <c r="Z94" s="16"/>
      <c r="AA94" s="16">
        <f>SUM($W$3:W94)</f>
        <v>73600</v>
      </c>
    </row>
    <row r="95" spans="1:29">
      <c r="A95" s="10">
        <v>94</v>
      </c>
      <c r="B95" s="10">
        <v>0</v>
      </c>
      <c r="C95" s="50">
        <v>93236</v>
      </c>
      <c r="D95" s="10" t="str">
        <f>IFERROR(VLOOKUP(C95,[1]引用表合并!$A$2:$B$1000,2,FALSE),"")</f>
        <v>符文手环碎片</v>
      </c>
      <c r="E95" s="7">
        <v>2</v>
      </c>
      <c r="F95" s="10">
        <v>600</v>
      </c>
      <c r="G95" s="10">
        <v>1</v>
      </c>
      <c r="H95" s="10">
        <v>100</v>
      </c>
      <c r="I95" s="10">
        <v>0</v>
      </c>
      <c r="J95" s="10">
        <v>0</v>
      </c>
      <c r="K95" s="7">
        <v>0</v>
      </c>
      <c r="L95" s="7">
        <v>0</v>
      </c>
      <c r="M95" s="7">
        <v>0</v>
      </c>
      <c r="O95" s="1">
        <f>ROUNDUP(VLOOKUP(C95,[2]!游戏物价查询,7,FALSE),0)*E95</f>
        <v>12</v>
      </c>
      <c r="P95">
        <f>VLOOKUP(C95,[2]!游戏物价查询,4,0)</f>
        <v>670</v>
      </c>
      <c r="Q95">
        <f>VLOOKUP(C95,[3]!马仔宝物属性,6,FALSE)</f>
        <v>3</v>
      </c>
      <c r="R95">
        <f t="shared" si="18"/>
        <v>600</v>
      </c>
      <c r="S95">
        <f t="shared" si="14"/>
        <v>3.9523088070614583E-3</v>
      </c>
      <c r="V95" s="16">
        <f>SUM($R$3:R95)</f>
        <v>77590</v>
      </c>
      <c r="W95">
        <f t="shared" si="19"/>
        <v>600</v>
      </c>
      <c r="X95">
        <f t="shared" si="15"/>
        <v>3.8654812524159259E-3</v>
      </c>
      <c r="Z95" s="16"/>
      <c r="AA95" s="16">
        <f>SUM($W$3:W95)</f>
        <v>74200</v>
      </c>
    </row>
    <row r="96" spans="1:29">
      <c r="A96" s="10">
        <v>95</v>
      </c>
      <c r="B96" s="10">
        <v>0</v>
      </c>
      <c r="C96" s="50">
        <v>93013</v>
      </c>
      <c r="D96" s="10" t="str">
        <f>IFERROR(VLOOKUP(C96,[1]引用表合并!$A$2:$B$1000,2,FALSE),"")</f>
        <v>月立碎片</v>
      </c>
      <c r="E96" s="7">
        <v>2</v>
      </c>
      <c r="F96" s="10">
        <v>600</v>
      </c>
      <c r="G96" s="10">
        <v>1</v>
      </c>
      <c r="H96" s="10">
        <v>100</v>
      </c>
      <c r="I96" s="10">
        <v>0</v>
      </c>
      <c r="J96" s="10">
        <v>0</v>
      </c>
      <c r="K96" s="7">
        <v>0</v>
      </c>
      <c r="L96" s="7">
        <v>0</v>
      </c>
      <c r="M96" s="7">
        <v>0</v>
      </c>
      <c r="O96" s="1">
        <f>ROUNDUP(VLOOKUP(C96,[2]!游戏物价查询,7,FALSE),0)*E96</f>
        <v>12</v>
      </c>
      <c r="P96">
        <f>VLOOKUP(C96,[2]!游戏物价查询,4,0)</f>
        <v>850</v>
      </c>
      <c r="Q96">
        <f>VLOOKUP(C96,[3]!马仔宝物属性,6,FALSE)</f>
        <v>3</v>
      </c>
      <c r="R96">
        <f t="shared" si="18"/>
        <v>600</v>
      </c>
      <c r="S96">
        <f t="shared" si="14"/>
        <v>3.9523088070614583E-3</v>
      </c>
      <c r="V96" s="16">
        <f>SUM($R$3:R96)</f>
        <v>78190</v>
      </c>
      <c r="W96">
        <f t="shared" si="19"/>
        <v>600</v>
      </c>
      <c r="X96">
        <f t="shared" si="15"/>
        <v>3.8654812524159259E-3</v>
      </c>
      <c r="Z96" s="16"/>
      <c r="AA96" s="16">
        <f>SUM($W$3:W96)</f>
        <v>74800</v>
      </c>
    </row>
    <row r="97" spans="1:29">
      <c r="A97" s="10">
        <v>96</v>
      </c>
      <c r="B97" s="10">
        <v>0</v>
      </c>
      <c r="C97" s="50">
        <v>93253</v>
      </c>
      <c r="D97" s="10" t="str">
        <f>IFERROR(VLOOKUP(C97,[1]引用表合并!$A$2:$B$1000,2,FALSE),"")</f>
        <v>猫妖项链碎片</v>
      </c>
      <c r="E97" s="7">
        <v>2</v>
      </c>
      <c r="F97" s="10">
        <v>600</v>
      </c>
      <c r="G97" s="10">
        <v>1</v>
      </c>
      <c r="H97" s="10">
        <v>100</v>
      </c>
      <c r="I97" s="10">
        <v>0</v>
      </c>
      <c r="J97" s="10">
        <v>0</v>
      </c>
      <c r="K97" s="7">
        <v>0</v>
      </c>
      <c r="L97" s="7">
        <v>0</v>
      </c>
      <c r="M97" s="7">
        <v>0</v>
      </c>
      <c r="O97" s="1">
        <f>ROUNDUP(VLOOKUP(C97,[2]!游戏物价查询,7,FALSE),0)*E97</f>
        <v>12</v>
      </c>
      <c r="P97">
        <f>VLOOKUP(C97,[2]!游戏物价查询,4,0)</f>
        <v>1480</v>
      </c>
      <c r="Q97">
        <f>VLOOKUP(C97,[3]!马仔宝物属性,6,FALSE)</f>
        <v>3</v>
      </c>
      <c r="R97">
        <f t="shared" si="18"/>
        <v>600</v>
      </c>
      <c r="S97">
        <f t="shared" si="14"/>
        <v>3.9523088070614583E-3</v>
      </c>
      <c r="V97" s="16">
        <f>SUM($R$3:R97)</f>
        <v>78790</v>
      </c>
      <c r="W97">
        <f t="shared" si="19"/>
        <v>600</v>
      </c>
      <c r="X97">
        <f t="shared" si="15"/>
        <v>3.8654812524159259E-3</v>
      </c>
      <c r="Z97" s="16"/>
      <c r="AA97" s="16">
        <f>SUM($W$3:W97)</f>
        <v>75400</v>
      </c>
    </row>
    <row r="98" spans="1:29">
      <c r="A98" s="10">
        <v>97</v>
      </c>
      <c r="B98" s="10">
        <v>0</v>
      </c>
      <c r="C98" s="50">
        <v>93254</v>
      </c>
      <c r="D98" s="10" t="str">
        <f>IFERROR(VLOOKUP(C98,[1]引用表合并!$A$2:$B$1000,2,FALSE),"")</f>
        <v>苍蓝项链碎片</v>
      </c>
      <c r="E98" s="7">
        <v>2</v>
      </c>
      <c r="F98" s="10">
        <v>600</v>
      </c>
      <c r="G98" s="10">
        <v>1</v>
      </c>
      <c r="H98" s="10">
        <v>100</v>
      </c>
      <c r="I98" s="10">
        <v>0</v>
      </c>
      <c r="J98" s="10">
        <v>0</v>
      </c>
      <c r="K98" s="7">
        <v>0</v>
      </c>
      <c r="L98" s="7">
        <v>0</v>
      </c>
      <c r="M98" s="7">
        <v>0</v>
      </c>
      <c r="O98" s="1">
        <f>ROUNDUP(VLOOKUP(C98,[2]!游戏物价查询,7,FALSE),0)*E98</f>
        <v>12</v>
      </c>
      <c r="P98">
        <f>VLOOKUP(C98,[2]!游戏物价查询,4,0)</f>
        <v>1400</v>
      </c>
      <c r="Q98">
        <f>VLOOKUP(C98,[3]!马仔宝物属性,6,FALSE)</f>
        <v>3</v>
      </c>
      <c r="R98">
        <f t="shared" si="18"/>
        <v>600</v>
      </c>
      <c r="S98">
        <f t="shared" si="14"/>
        <v>3.9523088070614583E-3</v>
      </c>
      <c r="V98" s="16">
        <f>SUM($R$3:R98)</f>
        <v>79390</v>
      </c>
      <c r="W98">
        <f t="shared" si="19"/>
        <v>600</v>
      </c>
      <c r="X98">
        <f t="shared" si="15"/>
        <v>3.8654812524159259E-3</v>
      </c>
      <c r="Z98" s="16"/>
      <c r="AA98" s="16">
        <f>SUM($W$3:W98)</f>
        <v>76000</v>
      </c>
    </row>
    <row r="99" spans="1:29">
      <c r="A99" s="10">
        <v>98</v>
      </c>
      <c r="B99" s="10">
        <v>0</v>
      </c>
      <c r="C99" s="50">
        <v>93274</v>
      </c>
      <c r="D99" s="10" t="str">
        <f>IFERROR(VLOOKUP(C99,[1]引用表合并!$A$2:$B$1000,2,FALSE),"")</f>
        <v>汉密手表碎片</v>
      </c>
      <c r="E99" s="7">
        <v>2</v>
      </c>
      <c r="F99" s="10">
        <v>600</v>
      </c>
      <c r="G99" s="10">
        <v>1</v>
      </c>
      <c r="H99" s="10">
        <v>100</v>
      </c>
      <c r="I99" s="10">
        <v>0</v>
      </c>
      <c r="J99" s="10">
        <v>0</v>
      </c>
      <c r="K99" s="7">
        <v>0</v>
      </c>
      <c r="L99" s="7">
        <v>0</v>
      </c>
      <c r="M99" s="7">
        <v>0</v>
      </c>
      <c r="O99" s="1">
        <f>ROUNDUP(VLOOKUP(C99,[2]!游戏物价查询,7,FALSE),0)*E99</f>
        <v>12</v>
      </c>
      <c r="P99">
        <f>VLOOKUP(C99,[2]!游戏物价查询,4,0)</f>
        <v>700</v>
      </c>
      <c r="Q99">
        <f>VLOOKUP(C99,[3]!马仔宝物属性,6,FALSE)</f>
        <v>3</v>
      </c>
      <c r="R99">
        <f t="shared" si="18"/>
        <v>600</v>
      </c>
      <c r="S99">
        <f t="shared" si="14"/>
        <v>3.9523088070614583E-3</v>
      </c>
      <c r="V99" s="16">
        <f>SUM($R$3:R99)</f>
        <v>79990</v>
      </c>
      <c r="W99">
        <f t="shared" si="19"/>
        <v>600</v>
      </c>
      <c r="X99">
        <f t="shared" si="15"/>
        <v>3.8654812524159259E-3</v>
      </c>
      <c r="Z99" s="16"/>
      <c r="AA99" s="16">
        <f>SUM($W$3:W99)</f>
        <v>76600</v>
      </c>
    </row>
    <row r="100" spans="1:29">
      <c r="A100" s="10">
        <v>99</v>
      </c>
      <c r="B100" s="10">
        <v>0</v>
      </c>
      <c r="C100" s="50">
        <v>93280</v>
      </c>
      <c r="D100" s="10" t="str">
        <f>IFERROR(VLOOKUP(C100,[1]引用表合并!$A$2:$B$1000,2,FALSE),"")</f>
        <v>法拉捷碎片</v>
      </c>
      <c r="E100" s="7">
        <v>2</v>
      </c>
      <c r="F100" s="10">
        <v>600</v>
      </c>
      <c r="G100" s="10">
        <v>1</v>
      </c>
      <c r="H100" s="10">
        <v>100</v>
      </c>
      <c r="I100" s="10">
        <v>0</v>
      </c>
      <c r="J100" s="10">
        <v>0</v>
      </c>
      <c r="K100" s="7">
        <v>0</v>
      </c>
      <c r="L100" s="7">
        <v>0</v>
      </c>
      <c r="M100" s="7">
        <v>0</v>
      </c>
      <c r="O100" s="1">
        <f>ROUNDUP(VLOOKUP(C100,[2]!游戏物价查询,7,FALSE),0)*E100</f>
        <v>12</v>
      </c>
      <c r="P100">
        <f>VLOOKUP(C100,[2]!游戏物价查询,4,0)</f>
        <v>750</v>
      </c>
      <c r="Q100">
        <f>VLOOKUP(C100,[3]!马仔宝物属性,6,FALSE)</f>
        <v>3</v>
      </c>
      <c r="R100">
        <f t="shared" si="18"/>
        <v>600</v>
      </c>
      <c r="S100">
        <f t="shared" si="14"/>
        <v>3.9523088070614583E-3</v>
      </c>
      <c r="V100" s="16">
        <f>SUM($R$3:R100)</f>
        <v>80590</v>
      </c>
      <c r="W100">
        <f t="shared" si="19"/>
        <v>600</v>
      </c>
      <c r="X100">
        <f t="shared" si="15"/>
        <v>3.8654812524159259E-3</v>
      </c>
      <c r="Z100" s="16"/>
      <c r="AA100" s="16">
        <f>SUM($W$3:W100)</f>
        <v>77200</v>
      </c>
    </row>
    <row r="101" spans="1:29">
      <c r="A101" s="10">
        <v>100</v>
      </c>
      <c r="B101" s="10">
        <v>0</v>
      </c>
      <c r="C101" s="50">
        <v>93285</v>
      </c>
      <c r="D101" s="10" t="str">
        <f>IFERROR(VLOOKUP(C101,[1]引用表合并!$A$2:$B$1000,2,FALSE),"")</f>
        <v>大堆钞票碎片</v>
      </c>
      <c r="E101" s="7">
        <v>2</v>
      </c>
      <c r="F101" s="10">
        <v>600</v>
      </c>
      <c r="G101" s="10">
        <v>1</v>
      </c>
      <c r="H101" s="10">
        <v>100</v>
      </c>
      <c r="I101" s="10">
        <v>0</v>
      </c>
      <c r="J101" s="10">
        <v>0</v>
      </c>
      <c r="K101" s="7">
        <v>0</v>
      </c>
      <c r="L101" s="7">
        <v>0</v>
      </c>
      <c r="M101" s="7">
        <v>0</v>
      </c>
      <c r="O101" s="1">
        <f>ROUNDUP(VLOOKUP(C101,[2]!游戏物价查询,7,FALSE),0)*E101</f>
        <v>12</v>
      </c>
      <c r="P101">
        <f>VLOOKUP(C101,[2]!游戏物价查询,4,0)</f>
        <v>2860</v>
      </c>
      <c r="Q101">
        <f>VLOOKUP(C101,[3]!马仔宝物属性,6,FALSE)</f>
        <v>3</v>
      </c>
      <c r="R101">
        <f t="shared" si="18"/>
        <v>600</v>
      </c>
      <c r="S101">
        <f t="shared" si="14"/>
        <v>3.9523088070614583E-3</v>
      </c>
      <c r="V101" s="16">
        <f>SUM($R$3:R101)</f>
        <v>81190</v>
      </c>
      <c r="W101">
        <f t="shared" si="19"/>
        <v>600</v>
      </c>
      <c r="X101">
        <f t="shared" si="15"/>
        <v>3.8654812524159259E-3</v>
      </c>
      <c r="Z101" s="16"/>
      <c r="AA101" s="16">
        <f>SUM($W$3:W101)</f>
        <v>77800</v>
      </c>
    </row>
    <row r="102" spans="1:29">
      <c r="A102" s="10">
        <v>101</v>
      </c>
      <c r="B102" s="10">
        <v>0</v>
      </c>
      <c r="C102" s="50">
        <v>93289</v>
      </c>
      <c r="D102" s="10" t="str">
        <f>IFERROR(VLOOKUP(C102,[1]引用表合并!$A$2:$B$1000,2,FALSE),"")</f>
        <v>小堆金块碎片</v>
      </c>
      <c r="E102" s="7">
        <v>2</v>
      </c>
      <c r="F102" s="10">
        <v>600</v>
      </c>
      <c r="G102" s="10">
        <v>1</v>
      </c>
      <c r="H102" s="10">
        <v>100</v>
      </c>
      <c r="I102" s="10">
        <v>0</v>
      </c>
      <c r="J102" s="10">
        <v>0</v>
      </c>
      <c r="K102" s="7">
        <v>0</v>
      </c>
      <c r="L102" s="7">
        <v>0</v>
      </c>
      <c r="M102" s="7">
        <v>0</v>
      </c>
      <c r="O102" s="1">
        <f>ROUNDUP(VLOOKUP(C102,[2]!游戏物价查询,7,FALSE),0)*E102</f>
        <v>12</v>
      </c>
      <c r="P102">
        <f>VLOOKUP(C102,[2]!游戏物价查询,4,0)</f>
        <v>2620</v>
      </c>
      <c r="Q102">
        <f>VLOOKUP(C102,[3]!马仔宝物属性,6,FALSE)</f>
        <v>3</v>
      </c>
      <c r="R102">
        <f t="shared" si="18"/>
        <v>600</v>
      </c>
      <c r="S102">
        <f t="shared" si="14"/>
        <v>3.9523088070614583E-3</v>
      </c>
      <c r="U102" s="16">
        <f>SUM(S91:S102)</f>
        <v>4.742770568473751E-2</v>
      </c>
      <c r="V102" s="16">
        <f>SUM($R$3:R102)</f>
        <v>81790</v>
      </c>
      <c r="W102">
        <f t="shared" si="19"/>
        <v>600</v>
      </c>
      <c r="X102">
        <f t="shared" si="15"/>
        <v>3.8654812524159259E-3</v>
      </c>
      <c r="Z102" s="16">
        <f>SUM(X91:X102)</f>
        <v>4.6385775028991112E-2</v>
      </c>
      <c r="AA102" s="16">
        <f>SUM($W$3:W102)</f>
        <v>78400</v>
      </c>
      <c r="AB102">
        <f>SUMPRODUCT(X91:X102,E91:E102)</f>
        <v>9.2771550057982224E-2</v>
      </c>
    </row>
    <row r="103" spans="1:29">
      <c r="A103" s="10">
        <v>102</v>
      </c>
      <c r="B103" s="10">
        <v>0</v>
      </c>
      <c r="C103" s="50">
        <v>93125</v>
      </c>
      <c r="D103" s="10" t="str">
        <f>IFERROR(VLOOKUP(C103,[1]引用表合并!$A$2:$B$1000,2,FALSE),"")</f>
        <v>红石耳钉碎片</v>
      </c>
      <c r="E103" s="7">
        <v>3</v>
      </c>
      <c r="F103" s="10">
        <v>600</v>
      </c>
      <c r="G103" s="10">
        <v>1</v>
      </c>
      <c r="H103" s="10">
        <v>100</v>
      </c>
      <c r="I103" s="10">
        <v>0</v>
      </c>
      <c r="J103" s="10">
        <v>0</v>
      </c>
      <c r="K103" s="7">
        <v>0</v>
      </c>
      <c r="L103" s="7">
        <v>0</v>
      </c>
      <c r="M103" s="7">
        <v>0</v>
      </c>
      <c r="O103" s="1">
        <f>ROUNDUP(VLOOKUP(C103,[2]!游戏物价查询,7,FALSE),0)*E103</f>
        <v>18</v>
      </c>
      <c r="P103">
        <f>VLOOKUP(C103,[2]!游戏物价查询,4,0)</f>
        <v>1040</v>
      </c>
      <c r="Q103">
        <f>VLOOKUP(C103,[3]!马仔宝物属性,6,FALSE)</f>
        <v>3</v>
      </c>
      <c r="R103">
        <f t="shared" si="10"/>
        <v>600</v>
      </c>
      <c r="S103">
        <f t="shared" si="14"/>
        <v>3.9523088070614583E-3</v>
      </c>
      <c r="V103" s="16">
        <f>SUM($R$3:R103)</f>
        <v>82390</v>
      </c>
      <c r="W103">
        <f t="shared" si="3"/>
        <v>600</v>
      </c>
      <c r="X103">
        <f t="shared" si="15"/>
        <v>3.8654812524159259E-3</v>
      </c>
      <c r="Z103" s="16"/>
      <c r="AA103" s="16">
        <f>SUM($W$3:W103)</f>
        <v>79000</v>
      </c>
      <c r="AB103" s="8">
        <f>AB48+AB78*5</f>
        <v>0.19327406262079633</v>
      </c>
      <c r="AC103" s="8">
        <f>[2]马仔宝物投放!$O$42</f>
        <v>0.87124900019410789</v>
      </c>
    </row>
    <row r="104" spans="1:29">
      <c r="A104" s="10">
        <v>103</v>
      </c>
      <c r="B104" s="10">
        <v>0</v>
      </c>
      <c r="C104" s="50">
        <v>93134</v>
      </c>
      <c r="D104" s="10" t="str">
        <f>IFERROR(VLOOKUP(C104,[1]引用表合并!$A$2:$B$1000,2,FALSE),"")</f>
        <v>毒蝎耳钉碎片</v>
      </c>
      <c r="E104" s="7">
        <v>3</v>
      </c>
      <c r="F104" s="10">
        <v>600</v>
      </c>
      <c r="G104" s="10">
        <v>1</v>
      </c>
      <c r="H104" s="10">
        <v>100</v>
      </c>
      <c r="I104" s="10">
        <v>0</v>
      </c>
      <c r="J104" s="10">
        <v>0</v>
      </c>
      <c r="K104" s="7">
        <v>0</v>
      </c>
      <c r="L104" s="7">
        <v>0</v>
      </c>
      <c r="M104" s="7">
        <v>0</v>
      </c>
      <c r="O104" s="1">
        <f>ROUNDUP(VLOOKUP(C104,[2]!游戏物价查询,7,FALSE),0)*E104</f>
        <v>18</v>
      </c>
      <c r="P104">
        <f>VLOOKUP(C104,[2]!游戏物价查询,4,0)</f>
        <v>1080</v>
      </c>
      <c r="Q104">
        <f>VLOOKUP(C104,[3]!马仔宝物属性,6,FALSE)</f>
        <v>3</v>
      </c>
      <c r="R104">
        <f t="shared" si="10"/>
        <v>600</v>
      </c>
      <c r="S104">
        <f t="shared" si="14"/>
        <v>3.9523088070614583E-3</v>
      </c>
      <c r="V104" s="16">
        <f>SUM($R$3:R104)</f>
        <v>82990</v>
      </c>
      <c r="W104">
        <f t="shared" si="3"/>
        <v>600</v>
      </c>
      <c r="X104">
        <f t="shared" si="15"/>
        <v>3.8654812524159259E-3</v>
      </c>
      <c r="Z104" s="16"/>
      <c r="AA104" s="16">
        <f>SUM($W$3:W104)</f>
        <v>79600</v>
      </c>
    </row>
    <row r="105" spans="1:29">
      <c r="A105" s="10">
        <v>104</v>
      </c>
      <c r="B105" s="10">
        <v>0</v>
      </c>
      <c r="C105" s="50">
        <v>93223</v>
      </c>
      <c r="D105" s="10" t="str">
        <f>IFERROR(VLOOKUP(C105,[1]引用表合并!$A$2:$B$1000,2,FALSE),"")</f>
        <v>赤金戒指碎片</v>
      </c>
      <c r="E105" s="7">
        <v>3</v>
      </c>
      <c r="F105" s="10">
        <v>600</v>
      </c>
      <c r="G105" s="10">
        <v>1</v>
      </c>
      <c r="H105" s="10">
        <v>100</v>
      </c>
      <c r="I105" s="10">
        <v>0</v>
      </c>
      <c r="J105" s="10">
        <v>0</v>
      </c>
      <c r="K105" s="7">
        <v>0</v>
      </c>
      <c r="L105" s="7">
        <v>0</v>
      </c>
      <c r="M105" s="7">
        <v>0</v>
      </c>
      <c r="O105" s="1">
        <f>ROUNDUP(VLOOKUP(C105,[2]!游戏物价查询,7,FALSE),0)*E105</f>
        <v>18</v>
      </c>
      <c r="P105">
        <f>VLOOKUP(C105,[2]!游戏物价查询,4,0)</f>
        <v>1300</v>
      </c>
      <c r="Q105">
        <f>VLOOKUP(C105,[3]!马仔宝物属性,6,FALSE)</f>
        <v>3</v>
      </c>
      <c r="R105">
        <f t="shared" si="10"/>
        <v>600</v>
      </c>
      <c r="S105">
        <f t="shared" si="14"/>
        <v>3.9523088070614583E-3</v>
      </c>
      <c r="V105" s="16">
        <f>SUM($R$3:R105)</f>
        <v>83590</v>
      </c>
      <c r="W105">
        <f t="shared" si="3"/>
        <v>600</v>
      </c>
      <c r="X105">
        <f t="shared" si="15"/>
        <v>3.8654812524159259E-3</v>
      </c>
      <c r="Z105" s="16"/>
      <c r="AA105" s="16">
        <f>SUM($W$3:W105)</f>
        <v>80200</v>
      </c>
    </row>
    <row r="106" spans="1:29">
      <c r="A106" s="10">
        <v>105</v>
      </c>
      <c r="B106" s="10">
        <v>0</v>
      </c>
      <c r="C106" s="50">
        <v>93227</v>
      </c>
      <c r="D106" s="10" t="str">
        <f>IFERROR(VLOOKUP(C106,[1]引用表合并!$A$2:$B$1000,2,FALSE),"")</f>
        <v>王者手环碎片</v>
      </c>
      <c r="E106" s="7">
        <v>3</v>
      </c>
      <c r="F106" s="10">
        <v>600</v>
      </c>
      <c r="G106" s="10">
        <v>1</v>
      </c>
      <c r="H106" s="10">
        <v>100</v>
      </c>
      <c r="I106" s="10">
        <v>0</v>
      </c>
      <c r="J106" s="10">
        <v>0</v>
      </c>
      <c r="K106" s="7">
        <v>0</v>
      </c>
      <c r="L106" s="7">
        <v>0</v>
      </c>
      <c r="M106" s="7">
        <v>0</v>
      </c>
      <c r="O106" s="1">
        <f>ROUNDUP(VLOOKUP(C106,[2]!游戏物价查询,7,FALSE),0)*E106</f>
        <v>18</v>
      </c>
      <c r="P106">
        <f>VLOOKUP(C106,[2]!游戏物价查询,4,0)</f>
        <v>1410</v>
      </c>
      <c r="Q106">
        <f>VLOOKUP(C106,[3]!马仔宝物属性,6,FALSE)</f>
        <v>3</v>
      </c>
      <c r="R106">
        <f t="shared" si="10"/>
        <v>600</v>
      </c>
      <c r="S106">
        <f t="shared" si="14"/>
        <v>3.9523088070614583E-3</v>
      </c>
      <c r="V106" s="16">
        <f>SUM($R$3:R106)</f>
        <v>84190</v>
      </c>
      <c r="W106">
        <f t="shared" si="3"/>
        <v>600</v>
      </c>
      <c r="X106">
        <f t="shared" si="15"/>
        <v>3.8654812524159259E-3</v>
      </c>
      <c r="Z106" s="16"/>
      <c r="AA106" s="16">
        <f>SUM($W$3:W106)</f>
        <v>80800</v>
      </c>
    </row>
    <row r="107" spans="1:29">
      <c r="A107" s="10">
        <v>106</v>
      </c>
      <c r="B107" s="10">
        <v>0</v>
      </c>
      <c r="C107" s="50">
        <v>93236</v>
      </c>
      <c r="D107" s="10" t="str">
        <f>IFERROR(VLOOKUP(C107,[1]引用表合并!$A$2:$B$1000,2,FALSE),"")</f>
        <v>符文手环碎片</v>
      </c>
      <c r="E107" s="7">
        <v>3</v>
      </c>
      <c r="F107" s="10">
        <v>600</v>
      </c>
      <c r="G107" s="10">
        <v>1</v>
      </c>
      <c r="H107" s="10">
        <v>100</v>
      </c>
      <c r="I107" s="10">
        <v>0</v>
      </c>
      <c r="J107" s="10">
        <v>0</v>
      </c>
      <c r="K107" s="7">
        <v>0</v>
      </c>
      <c r="L107" s="7">
        <v>0</v>
      </c>
      <c r="M107" s="7">
        <v>0</v>
      </c>
      <c r="O107" s="1">
        <f>ROUNDUP(VLOOKUP(C107,[2]!游戏物价查询,7,FALSE),0)*E107</f>
        <v>18</v>
      </c>
      <c r="P107">
        <f>VLOOKUP(C107,[2]!游戏物价查询,4,0)</f>
        <v>670</v>
      </c>
      <c r="Q107">
        <f>VLOOKUP(C107,[3]!马仔宝物属性,6,FALSE)</f>
        <v>3</v>
      </c>
      <c r="R107">
        <f t="shared" si="10"/>
        <v>600</v>
      </c>
      <c r="S107">
        <f t="shared" si="14"/>
        <v>3.9523088070614583E-3</v>
      </c>
      <c r="V107" s="16">
        <f>SUM($R$3:R107)</f>
        <v>84790</v>
      </c>
      <c r="W107">
        <f t="shared" si="3"/>
        <v>600</v>
      </c>
      <c r="X107">
        <f t="shared" si="15"/>
        <v>3.8654812524159259E-3</v>
      </c>
      <c r="Z107" s="16"/>
      <c r="AA107" s="16">
        <f>SUM($W$3:W107)</f>
        <v>81400</v>
      </c>
    </row>
    <row r="108" spans="1:29">
      <c r="A108" s="10">
        <v>107</v>
      </c>
      <c r="B108" s="10">
        <v>0</v>
      </c>
      <c r="C108" s="50">
        <v>93013</v>
      </c>
      <c r="D108" s="10" t="str">
        <f>IFERROR(VLOOKUP(C108,[1]引用表合并!$A$2:$B$1000,2,FALSE),"")</f>
        <v>月立碎片</v>
      </c>
      <c r="E108" s="7">
        <v>3</v>
      </c>
      <c r="F108" s="10">
        <v>600</v>
      </c>
      <c r="G108" s="10">
        <v>1</v>
      </c>
      <c r="H108" s="10">
        <v>100</v>
      </c>
      <c r="I108" s="10">
        <v>0</v>
      </c>
      <c r="J108" s="10">
        <v>0</v>
      </c>
      <c r="K108" s="7">
        <v>0</v>
      </c>
      <c r="L108" s="7">
        <v>0</v>
      </c>
      <c r="M108" s="7">
        <v>0</v>
      </c>
      <c r="O108" s="1">
        <f>ROUNDUP(VLOOKUP(C108,[2]!游戏物价查询,7,FALSE),0)*E108</f>
        <v>18</v>
      </c>
      <c r="P108">
        <f>VLOOKUP(C108,[2]!游戏物价查询,4,0)</f>
        <v>850</v>
      </c>
      <c r="Q108">
        <f>VLOOKUP(C108,[3]!马仔宝物属性,6,FALSE)</f>
        <v>3</v>
      </c>
      <c r="R108">
        <f t="shared" si="10"/>
        <v>600</v>
      </c>
      <c r="S108">
        <f t="shared" si="14"/>
        <v>3.9523088070614583E-3</v>
      </c>
      <c r="V108" s="16">
        <f>SUM($R$3:R108)</f>
        <v>85390</v>
      </c>
      <c r="W108">
        <f t="shared" si="3"/>
        <v>600</v>
      </c>
      <c r="X108">
        <f t="shared" si="15"/>
        <v>3.8654812524159259E-3</v>
      </c>
      <c r="Z108" s="16"/>
      <c r="AA108" s="16">
        <f>SUM($W$3:W108)</f>
        <v>82000</v>
      </c>
    </row>
    <row r="109" spans="1:29">
      <c r="A109" s="10">
        <v>108</v>
      </c>
      <c r="B109" s="10">
        <v>0</v>
      </c>
      <c r="C109" s="50">
        <v>93253</v>
      </c>
      <c r="D109" s="10" t="str">
        <f>IFERROR(VLOOKUP(C109,[1]引用表合并!$A$2:$B$1000,2,FALSE),"")</f>
        <v>猫妖项链碎片</v>
      </c>
      <c r="E109" s="7">
        <v>3</v>
      </c>
      <c r="F109" s="10">
        <v>600</v>
      </c>
      <c r="G109" s="10">
        <v>1</v>
      </c>
      <c r="H109" s="10">
        <v>100</v>
      </c>
      <c r="I109" s="10">
        <v>0</v>
      </c>
      <c r="J109" s="10">
        <v>0</v>
      </c>
      <c r="K109" s="7">
        <v>0</v>
      </c>
      <c r="L109" s="7">
        <v>0</v>
      </c>
      <c r="M109" s="7">
        <v>0</v>
      </c>
      <c r="O109" s="1">
        <f>ROUNDUP(VLOOKUP(C109,[2]!游戏物价查询,7,FALSE),0)*E109</f>
        <v>18</v>
      </c>
      <c r="P109">
        <f>VLOOKUP(C109,[2]!游戏物价查询,4,0)</f>
        <v>1480</v>
      </c>
      <c r="Q109">
        <f>VLOOKUP(C109,[3]!马仔宝物属性,6,FALSE)</f>
        <v>3</v>
      </c>
      <c r="R109">
        <f t="shared" si="10"/>
        <v>600</v>
      </c>
      <c r="S109">
        <f t="shared" si="14"/>
        <v>3.9523088070614583E-3</v>
      </c>
      <c r="V109" s="16">
        <f>SUM($R$3:R109)</f>
        <v>85990</v>
      </c>
      <c r="W109">
        <f t="shared" ref="W109:W172" si="20">IF(AND(L109&lt;&gt;1,L109&lt;&gt;3),F109,"")</f>
        <v>600</v>
      </c>
      <c r="X109">
        <f t="shared" si="15"/>
        <v>3.8654812524159259E-3</v>
      </c>
      <c r="Z109" s="16"/>
      <c r="AA109" s="16">
        <f>SUM($W$3:W109)</f>
        <v>82600</v>
      </c>
    </row>
    <row r="110" spans="1:29">
      <c r="A110" s="10">
        <v>109</v>
      </c>
      <c r="B110" s="10">
        <v>0</v>
      </c>
      <c r="C110" s="50">
        <v>93254</v>
      </c>
      <c r="D110" s="10" t="str">
        <f>IFERROR(VLOOKUP(C110,[1]引用表合并!$A$2:$B$1000,2,FALSE),"")</f>
        <v>苍蓝项链碎片</v>
      </c>
      <c r="E110" s="7">
        <v>3</v>
      </c>
      <c r="F110" s="10">
        <v>600</v>
      </c>
      <c r="G110" s="10">
        <v>1</v>
      </c>
      <c r="H110" s="10">
        <v>100</v>
      </c>
      <c r="I110" s="10">
        <v>0</v>
      </c>
      <c r="J110" s="10">
        <v>0</v>
      </c>
      <c r="K110" s="7">
        <v>0</v>
      </c>
      <c r="L110" s="7">
        <v>0</v>
      </c>
      <c r="M110" s="7">
        <v>0</v>
      </c>
      <c r="O110" s="1">
        <f>ROUNDUP(VLOOKUP(C110,[2]!游戏物价查询,7,FALSE),0)*E110</f>
        <v>18</v>
      </c>
      <c r="P110">
        <f>VLOOKUP(C110,[2]!游戏物价查询,4,0)</f>
        <v>1400</v>
      </c>
      <c r="Q110">
        <f>VLOOKUP(C110,[3]!马仔宝物属性,6,FALSE)</f>
        <v>3</v>
      </c>
      <c r="R110">
        <f t="shared" ref="R110:R144" si="21">IF(L110&lt;2,F110,"")</f>
        <v>600</v>
      </c>
      <c r="S110">
        <f t="shared" si="14"/>
        <v>3.9523088070614583E-3</v>
      </c>
      <c r="V110" s="16">
        <f>SUM($R$3:R110)</f>
        <v>86590</v>
      </c>
      <c r="W110">
        <f t="shared" si="20"/>
        <v>600</v>
      </c>
      <c r="X110">
        <f t="shared" si="15"/>
        <v>3.8654812524159259E-3</v>
      </c>
      <c r="Z110" s="16"/>
      <c r="AA110" s="16">
        <f>SUM($W$3:W110)</f>
        <v>83200</v>
      </c>
    </row>
    <row r="111" spans="1:29">
      <c r="A111" s="10">
        <v>110</v>
      </c>
      <c r="B111" s="10">
        <v>0</v>
      </c>
      <c r="C111" s="50">
        <v>93274</v>
      </c>
      <c r="D111" s="10" t="str">
        <f>IFERROR(VLOOKUP(C111,[1]引用表合并!$A$2:$B$1000,2,FALSE),"")</f>
        <v>汉密手表碎片</v>
      </c>
      <c r="E111" s="7">
        <v>3</v>
      </c>
      <c r="F111" s="10">
        <v>600</v>
      </c>
      <c r="G111" s="10">
        <v>1</v>
      </c>
      <c r="H111" s="10">
        <v>100</v>
      </c>
      <c r="I111" s="10">
        <v>0</v>
      </c>
      <c r="J111" s="10">
        <v>0</v>
      </c>
      <c r="K111" s="7">
        <v>0</v>
      </c>
      <c r="L111" s="7">
        <v>0</v>
      </c>
      <c r="M111" s="7">
        <v>0</v>
      </c>
      <c r="O111" s="1">
        <f>ROUNDUP(VLOOKUP(C111,[2]!游戏物价查询,7,FALSE),0)*E111</f>
        <v>18</v>
      </c>
      <c r="P111">
        <f>VLOOKUP(C111,[2]!游戏物价查询,4,0)</f>
        <v>700</v>
      </c>
      <c r="Q111">
        <f>VLOOKUP(C111,[3]!马仔宝物属性,6,FALSE)</f>
        <v>3</v>
      </c>
      <c r="R111">
        <f t="shared" si="21"/>
        <v>600</v>
      </c>
      <c r="S111">
        <f t="shared" si="14"/>
        <v>3.9523088070614583E-3</v>
      </c>
      <c r="V111" s="16">
        <f>SUM($R$3:R111)</f>
        <v>87190</v>
      </c>
      <c r="W111">
        <f t="shared" si="20"/>
        <v>600</v>
      </c>
      <c r="X111">
        <f t="shared" si="15"/>
        <v>3.8654812524159259E-3</v>
      </c>
      <c r="Z111" s="16"/>
      <c r="AA111" s="16">
        <f>SUM($W$3:W111)</f>
        <v>83800</v>
      </c>
    </row>
    <row r="112" spans="1:29">
      <c r="A112" s="10">
        <v>111</v>
      </c>
      <c r="B112" s="10">
        <v>0</v>
      </c>
      <c r="C112" s="50">
        <v>93280</v>
      </c>
      <c r="D112" s="10" t="str">
        <f>IFERROR(VLOOKUP(C112,[1]引用表合并!$A$2:$B$1000,2,FALSE),"")</f>
        <v>法拉捷碎片</v>
      </c>
      <c r="E112" s="7">
        <v>3</v>
      </c>
      <c r="F112" s="10">
        <v>600</v>
      </c>
      <c r="G112" s="10">
        <v>1</v>
      </c>
      <c r="H112" s="10">
        <v>100</v>
      </c>
      <c r="I112" s="10">
        <v>0</v>
      </c>
      <c r="J112" s="10">
        <v>0</v>
      </c>
      <c r="K112" s="7">
        <v>0</v>
      </c>
      <c r="L112" s="7">
        <v>0</v>
      </c>
      <c r="M112" s="7">
        <v>0</v>
      </c>
      <c r="O112" s="1">
        <f>ROUNDUP(VLOOKUP(C112,[2]!游戏物价查询,7,FALSE),0)*E112</f>
        <v>18</v>
      </c>
      <c r="P112">
        <f>VLOOKUP(C112,[2]!游戏物价查询,4,0)</f>
        <v>750</v>
      </c>
      <c r="Q112">
        <f>VLOOKUP(C112,[3]!马仔宝物属性,6,FALSE)</f>
        <v>3</v>
      </c>
      <c r="R112">
        <f t="shared" si="21"/>
        <v>600</v>
      </c>
      <c r="S112">
        <f t="shared" si="14"/>
        <v>3.9523088070614583E-3</v>
      </c>
      <c r="V112" s="16">
        <f>SUM($R$3:R112)</f>
        <v>87790</v>
      </c>
      <c r="W112">
        <f t="shared" si="20"/>
        <v>600</v>
      </c>
      <c r="X112">
        <f t="shared" si="15"/>
        <v>3.8654812524159259E-3</v>
      </c>
      <c r="Z112" s="16"/>
      <c r="AA112" s="16">
        <f>SUM($W$3:W112)</f>
        <v>84400</v>
      </c>
    </row>
    <row r="113" spans="1:28">
      <c r="A113" s="10">
        <v>112</v>
      </c>
      <c r="B113" s="10">
        <v>0</v>
      </c>
      <c r="C113" s="50">
        <v>93285</v>
      </c>
      <c r="D113" s="10" t="str">
        <f>IFERROR(VLOOKUP(C113,[1]引用表合并!$A$2:$B$1000,2,FALSE),"")</f>
        <v>大堆钞票碎片</v>
      </c>
      <c r="E113" s="7">
        <v>3</v>
      </c>
      <c r="F113" s="10">
        <v>600</v>
      </c>
      <c r="G113" s="10">
        <v>1</v>
      </c>
      <c r="H113" s="10">
        <v>100</v>
      </c>
      <c r="I113" s="10">
        <v>0</v>
      </c>
      <c r="J113" s="10">
        <v>0</v>
      </c>
      <c r="K113" s="7">
        <v>0</v>
      </c>
      <c r="L113" s="7">
        <v>0</v>
      </c>
      <c r="M113" s="7">
        <v>0</v>
      </c>
      <c r="O113" s="1">
        <f>ROUNDUP(VLOOKUP(C113,[2]!游戏物价查询,7,FALSE),0)*E113</f>
        <v>18</v>
      </c>
      <c r="P113">
        <f>VLOOKUP(C113,[2]!游戏物价查询,4,0)</f>
        <v>2860</v>
      </c>
      <c r="Q113">
        <f>VLOOKUP(C113,[3]!马仔宝物属性,6,FALSE)</f>
        <v>3</v>
      </c>
      <c r="R113">
        <f t="shared" si="21"/>
        <v>600</v>
      </c>
      <c r="S113">
        <f t="shared" si="14"/>
        <v>3.9523088070614583E-3</v>
      </c>
      <c r="V113" s="16">
        <f>SUM($R$3:R113)</f>
        <v>88390</v>
      </c>
      <c r="W113">
        <f t="shared" si="20"/>
        <v>600</v>
      </c>
      <c r="X113">
        <f t="shared" si="15"/>
        <v>3.8654812524159259E-3</v>
      </c>
      <c r="Z113" s="16"/>
      <c r="AA113" s="16">
        <f>SUM($W$3:W113)</f>
        <v>85000</v>
      </c>
    </row>
    <row r="114" spans="1:28">
      <c r="A114" s="10">
        <v>113</v>
      </c>
      <c r="B114" s="10">
        <v>0</v>
      </c>
      <c r="C114" s="50">
        <v>93289</v>
      </c>
      <c r="D114" s="10" t="str">
        <f>IFERROR(VLOOKUP(C114,[1]引用表合并!$A$2:$B$1000,2,FALSE),"")</f>
        <v>小堆金块碎片</v>
      </c>
      <c r="E114" s="7">
        <v>3</v>
      </c>
      <c r="F114" s="10">
        <v>600</v>
      </c>
      <c r="G114" s="10">
        <v>1</v>
      </c>
      <c r="H114" s="10">
        <v>100</v>
      </c>
      <c r="I114" s="10">
        <v>0</v>
      </c>
      <c r="J114" s="10">
        <v>0</v>
      </c>
      <c r="K114" s="7">
        <v>0</v>
      </c>
      <c r="L114" s="7">
        <v>0</v>
      </c>
      <c r="M114" s="7">
        <v>0</v>
      </c>
      <c r="O114" s="1">
        <f>ROUNDUP(VLOOKUP(C114,[2]!游戏物价查询,7,FALSE),0)*E114</f>
        <v>18</v>
      </c>
      <c r="P114">
        <f>VLOOKUP(C114,[2]!游戏物价查询,4,0)</f>
        <v>2620</v>
      </c>
      <c r="Q114">
        <f>VLOOKUP(C114,[3]!马仔宝物属性,6,FALSE)</f>
        <v>3</v>
      </c>
      <c r="R114">
        <f t="shared" si="21"/>
        <v>600</v>
      </c>
      <c r="S114">
        <f t="shared" si="14"/>
        <v>3.9523088070614583E-3</v>
      </c>
      <c r="U114" s="16">
        <f>SUM(S103:S114)</f>
        <v>4.742770568473751E-2</v>
      </c>
      <c r="V114" s="16">
        <f>SUM($R$3:R114)</f>
        <v>88990</v>
      </c>
      <c r="W114">
        <f t="shared" si="20"/>
        <v>600</v>
      </c>
      <c r="X114">
        <f t="shared" si="15"/>
        <v>3.8654812524159259E-3</v>
      </c>
      <c r="Z114" s="16">
        <f>SUM(X103:X114)</f>
        <v>4.6385775028991112E-2</v>
      </c>
      <c r="AA114" s="16">
        <f>SUM($W$3:W114)</f>
        <v>85600</v>
      </c>
      <c r="AB114">
        <f>SUMPRODUCT(X103:X114,E103:E114)</f>
        <v>0.13915732508697334</v>
      </c>
    </row>
    <row r="115" spans="1:28">
      <c r="A115" s="10">
        <v>114</v>
      </c>
      <c r="B115" s="10">
        <v>0</v>
      </c>
      <c r="C115" s="50">
        <v>92125</v>
      </c>
      <c r="D115" s="10" t="str">
        <f>IFERROR(VLOOKUP(C115,[1]引用表合并!$A$2:$B$1000,2,FALSE),"")</f>
        <v>红石耳钉</v>
      </c>
      <c r="E115" s="10">
        <v>1</v>
      </c>
      <c r="F115" s="10">
        <v>200</v>
      </c>
      <c r="G115" s="10">
        <v>1</v>
      </c>
      <c r="H115" s="10">
        <v>100</v>
      </c>
      <c r="I115" s="10">
        <v>0</v>
      </c>
      <c r="J115" s="10">
        <v>1</v>
      </c>
      <c r="K115" s="7">
        <v>0</v>
      </c>
      <c r="L115" s="7">
        <v>0</v>
      </c>
      <c r="M115" s="7">
        <v>0</v>
      </c>
      <c r="O115" s="1">
        <f>ROUNDUP(VLOOKUP(C115,[2]!游戏物价查询,7,FALSE),0)*E115</f>
        <v>140</v>
      </c>
      <c r="P115">
        <f>VLOOKUP(C115,[2]!游戏物价查询,4,0)</f>
        <v>104</v>
      </c>
      <c r="Q115">
        <f>VLOOKUP(C115,[3]!马仔宝物属性,6,FALSE)</f>
        <v>3</v>
      </c>
      <c r="R115">
        <f t="shared" si="21"/>
        <v>200</v>
      </c>
      <c r="S115">
        <f t="shared" si="14"/>
        <v>1.3174362690204862E-3</v>
      </c>
      <c r="V115" s="16">
        <f>SUM($R$3:R115)</f>
        <v>89190</v>
      </c>
      <c r="W115">
        <f t="shared" si="20"/>
        <v>200</v>
      </c>
      <c r="X115">
        <f t="shared" si="15"/>
        <v>1.2884937508053087E-3</v>
      </c>
      <c r="Z115" s="16"/>
      <c r="AA115" s="16">
        <f>SUM($W$3:W115)</f>
        <v>85800</v>
      </c>
      <c r="AB115" s="16"/>
    </row>
    <row r="116" spans="1:28">
      <c r="A116" s="10">
        <v>115</v>
      </c>
      <c r="B116" s="10">
        <v>0</v>
      </c>
      <c r="C116" s="50">
        <v>92134</v>
      </c>
      <c r="D116" s="10" t="str">
        <f>IFERROR(VLOOKUP(C116,[1]引用表合并!$A$2:$B$1000,2,FALSE),"")</f>
        <v>毒蝎耳钉</v>
      </c>
      <c r="E116" s="10">
        <v>1</v>
      </c>
      <c r="F116" s="10">
        <v>200</v>
      </c>
      <c r="G116" s="10">
        <v>1</v>
      </c>
      <c r="H116" s="10">
        <v>100</v>
      </c>
      <c r="I116" s="10">
        <v>0</v>
      </c>
      <c r="J116" s="10">
        <v>1</v>
      </c>
      <c r="K116" s="7">
        <v>0</v>
      </c>
      <c r="L116" s="7">
        <v>0</v>
      </c>
      <c r="M116" s="7">
        <v>0</v>
      </c>
      <c r="O116" s="1">
        <f>ROUNDUP(VLOOKUP(C116,[2]!游戏物价查询,7,FALSE),0)*E116</f>
        <v>140</v>
      </c>
      <c r="P116">
        <f>VLOOKUP(C116,[2]!游戏物价查询,4,0)</f>
        <v>108</v>
      </c>
      <c r="Q116">
        <f>VLOOKUP(C116,[3]!马仔宝物属性,6,FALSE)</f>
        <v>3</v>
      </c>
      <c r="R116">
        <f t="shared" si="21"/>
        <v>200</v>
      </c>
      <c r="S116">
        <f t="shared" si="14"/>
        <v>1.3174362690204862E-3</v>
      </c>
      <c r="V116" s="16">
        <f>SUM($R$3:R116)</f>
        <v>89390</v>
      </c>
      <c r="W116">
        <f t="shared" si="20"/>
        <v>200</v>
      </c>
      <c r="X116">
        <f t="shared" si="15"/>
        <v>1.2884937508053087E-3</v>
      </c>
      <c r="Z116" s="16"/>
      <c r="AA116" s="16">
        <f>SUM($W$3:W116)</f>
        <v>86000</v>
      </c>
    </row>
    <row r="117" spans="1:28">
      <c r="A117" s="10">
        <v>116</v>
      </c>
      <c r="B117" s="10">
        <v>0</v>
      </c>
      <c r="C117" s="50">
        <v>92223</v>
      </c>
      <c r="D117" s="10" t="str">
        <f>IFERROR(VLOOKUP(C117,[1]引用表合并!$A$2:$B$1000,2,FALSE),"")</f>
        <v>赤金戒指</v>
      </c>
      <c r="E117" s="10">
        <v>1</v>
      </c>
      <c r="F117" s="10">
        <v>200</v>
      </c>
      <c r="G117" s="10">
        <v>1</v>
      </c>
      <c r="H117" s="10">
        <v>100</v>
      </c>
      <c r="I117" s="10">
        <v>0</v>
      </c>
      <c r="J117" s="10">
        <v>1</v>
      </c>
      <c r="K117" s="7">
        <v>0</v>
      </c>
      <c r="L117" s="7">
        <v>0</v>
      </c>
      <c r="M117" s="7">
        <v>0</v>
      </c>
      <c r="O117" s="1">
        <f>ROUNDUP(VLOOKUP(C117,[2]!游戏物价查询,7,FALSE),0)*E117</f>
        <v>140</v>
      </c>
      <c r="P117">
        <f>VLOOKUP(C117,[2]!游戏物价查询,4,0)</f>
        <v>130</v>
      </c>
      <c r="Q117">
        <f>VLOOKUP(C117,[3]!马仔宝物属性,6,FALSE)</f>
        <v>3</v>
      </c>
      <c r="R117">
        <f t="shared" si="21"/>
        <v>200</v>
      </c>
      <c r="S117">
        <f t="shared" si="14"/>
        <v>1.3174362690204862E-3</v>
      </c>
      <c r="V117" s="16">
        <f>SUM($R$3:R117)</f>
        <v>89590</v>
      </c>
      <c r="W117">
        <f t="shared" si="20"/>
        <v>200</v>
      </c>
      <c r="X117">
        <f t="shared" si="15"/>
        <v>1.2884937508053087E-3</v>
      </c>
      <c r="Z117" s="16"/>
      <c r="AA117" s="16">
        <f>SUM($W$3:W117)</f>
        <v>86200</v>
      </c>
    </row>
    <row r="118" spans="1:28">
      <c r="A118" s="10">
        <v>117</v>
      </c>
      <c r="B118" s="10">
        <v>0</v>
      </c>
      <c r="C118" s="50">
        <v>92227</v>
      </c>
      <c r="D118" s="10" t="str">
        <f>IFERROR(VLOOKUP(C118,[1]引用表合并!$A$2:$B$1000,2,FALSE),"")</f>
        <v>王者手环</v>
      </c>
      <c r="E118" s="10">
        <v>1</v>
      </c>
      <c r="F118" s="10">
        <v>200</v>
      </c>
      <c r="G118" s="10">
        <v>1</v>
      </c>
      <c r="H118" s="10">
        <v>100</v>
      </c>
      <c r="I118" s="10">
        <v>0</v>
      </c>
      <c r="J118" s="10">
        <v>1</v>
      </c>
      <c r="K118" s="7">
        <v>0</v>
      </c>
      <c r="L118" s="7">
        <v>0</v>
      </c>
      <c r="M118" s="7">
        <v>0</v>
      </c>
      <c r="O118" s="1">
        <f>ROUNDUP(VLOOKUP(C118,[2]!游戏物价查询,7,FALSE),0)*E118</f>
        <v>140</v>
      </c>
      <c r="P118">
        <f>VLOOKUP(C118,[2]!游戏物价查询,4,0)</f>
        <v>141</v>
      </c>
      <c r="Q118">
        <f>VLOOKUP(C118,[3]!马仔宝物属性,6,FALSE)</f>
        <v>3</v>
      </c>
      <c r="R118">
        <f t="shared" si="21"/>
        <v>200</v>
      </c>
      <c r="S118">
        <f t="shared" si="14"/>
        <v>1.3174362690204862E-3</v>
      </c>
      <c r="V118" s="16">
        <f>SUM($R$3:R118)</f>
        <v>89790</v>
      </c>
      <c r="W118">
        <f t="shared" si="20"/>
        <v>200</v>
      </c>
      <c r="X118">
        <f t="shared" si="15"/>
        <v>1.2884937508053087E-3</v>
      </c>
      <c r="Z118" s="16"/>
      <c r="AA118" s="16">
        <f>SUM($W$3:W118)</f>
        <v>86400</v>
      </c>
    </row>
    <row r="119" spans="1:28">
      <c r="A119" s="10">
        <v>118</v>
      </c>
      <c r="B119" s="10">
        <v>0</v>
      </c>
      <c r="C119" s="50">
        <v>92236</v>
      </c>
      <c r="D119" s="10" t="str">
        <f>IFERROR(VLOOKUP(C119,[1]引用表合并!$A$2:$B$1000,2,FALSE),"")</f>
        <v>符文手环</v>
      </c>
      <c r="E119" s="10">
        <v>1</v>
      </c>
      <c r="F119" s="10">
        <v>200</v>
      </c>
      <c r="G119" s="10">
        <v>1</v>
      </c>
      <c r="H119" s="10">
        <v>100</v>
      </c>
      <c r="I119" s="10">
        <v>0</v>
      </c>
      <c r="J119" s="10">
        <v>1</v>
      </c>
      <c r="K119" s="7">
        <v>0</v>
      </c>
      <c r="L119" s="7">
        <v>0</v>
      </c>
      <c r="M119" s="7">
        <v>0</v>
      </c>
      <c r="O119" s="1">
        <f>ROUNDUP(VLOOKUP(C119,[2]!游戏物价查询,7,FALSE),0)*E119</f>
        <v>154</v>
      </c>
      <c r="P119">
        <f>VLOOKUP(C119,[2]!游戏物价查询,4,0)</f>
        <v>67</v>
      </c>
      <c r="Q119">
        <f>VLOOKUP(C119,[3]!马仔宝物属性,6,FALSE)</f>
        <v>3</v>
      </c>
      <c r="R119">
        <f t="shared" si="21"/>
        <v>200</v>
      </c>
      <c r="S119">
        <f t="shared" si="14"/>
        <v>1.3174362690204862E-3</v>
      </c>
      <c r="V119" s="16">
        <f>SUM($R$3:R119)</f>
        <v>89990</v>
      </c>
      <c r="W119">
        <f t="shared" si="20"/>
        <v>200</v>
      </c>
      <c r="X119">
        <f t="shared" si="15"/>
        <v>1.2884937508053087E-3</v>
      </c>
      <c r="Z119" s="16"/>
      <c r="AA119" s="16">
        <f>SUM($W$3:W119)</f>
        <v>86600</v>
      </c>
    </row>
    <row r="120" spans="1:28">
      <c r="A120" s="10">
        <v>119</v>
      </c>
      <c r="B120" s="10">
        <v>0</v>
      </c>
      <c r="C120" s="50">
        <v>92013</v>
      </c>
      <c r="D120" s="10" t="str">
        <f>IFERROR(VLOOKUP(C120,[1]引用表合并!$A$2:$B$1000,2,FALSE),"")</f>
        <v>月立</v>
      </c>
      <c r="E120" s="10">
        <v>1</v>
      </c>
      <c r="F120" s="10">
        <v>200</v>
      </c>
      <c r="G120" s="10">
        <v>1</v>
      </c>
      <c r="H120" s="10">
        <v>100</v>
      </c>
      <c r="I120" s="10">
        <v>0</v>
      </c>
      <c r="J120" s="10">
        <v>1</v>
      </c>
      <c r="K120" s="7">
        <v>0</v>
      </c>
      <c r="L120" s="7">
        <v>0</v>
      </c>
      <c r="M120" s="7">
        <v>0</v>
      </c>
      <c r="O120" s="1">
        <f>ROUNDUP(VLOOKUP(C120,[2]!游戏物价查询,7,FALSE),0)*E120</f>
        <v>154</v>
      </c>
      <c r="P120">
        <f>VLOOKUP(C120,[2]!游戏物价查询,4,0)</f>
        <v>85</v>
      </c>
      <c r="Q120">
        <f>VLOOKUP(C120,[3]!马仔宝物属性,6,FALSE)</f>
        <v>3</v>
      </c>
      <c r="R120">
        <f t="shared" si="21"/>
        <v>200</v>
      </c>
      <c r="S120">
        <f t="shared" si="14"/>
        <v>1.3174362690204862E-3</v>
      </c>
      <c r="V120" s="16">
        <f>SUM($R$3:R120)</f>
        <v>90190</v>
      </c>
      <c r="W120">
        <f t="shared" si="20"/>
        <v>200</v>
      </c>
      <c r="X120">
        <f t="shared" si="15"/>
        <v>1.2884937508053087E-3</v>
      </c>
      <c r="Z120" s="16"/>
      <c r="AA120" s="16">
        <f>SUM($W$3:W120)</f>
        <v>86800</v>
      </c>
    </row>
    <row r="121" spans="1:28">
      <c r="A121" s="10">
        <v>120</v>
      </c>
      <c r="B121" s="10">
        <v>0</v>
      </c>
      <c r="C121" s="50">
        <v>92253</v>
      </c>
      <c r="D121" s="10" t="str">
        <f>IFERROR(VLOOKUP(C121,[1]引用表合并!$A$2:$B$1000,2,FALSE),"")</f>
        <v>猫妖项链</v>
      </c>
      <c r="E121" s="10">
        <v>1</v>
      </c>
      <c r="F121" s="10">
        <v>200</v>
      </c>
      <c r="G121" s="10">
        <v>1</v>
      </c>
      <c r="H121" s="10">
        <v>100</v>
      </c>
      <c r="I121" s="10">
        <v>0</v>
      </c>
      <c r="J121" s="10">
        <v>1</v>
      </c>
      <c r="K121" s="7">
        <v>0</v>
      </c>
      <c r="L121" s="7">
        <v>0</v>
      </c>
      <c r="M121" s="7">
        <v>0</v>
      </c>
      <c r="O121" s="1">
        <f>ROUNDUP(VLOOKUP(C121,[2]!游戏物价查询,7,FALSE),0)*E121</f>
        <v>140</v>
      </c>
      <c r="P121">
        <f>VLOOKUP(C121,[2]!游戏物价查询,4,0)</f>
        <v>148</v>
      </c>
      <c r="Q121">
        <f>VLOOKUP(C121,[3]!马仔宝物属性,6,FALSE)</f>
        <v>3</v>
      </c>
      <c r="R121">
        <f t="shared" si="21"/>
        <v>200</v>
      </c>
      <c r="S121">
        <f t="shared" si="14"/>
        <v>1.3174362690204862E-3</v>
      </c>
      <c r="V121" s="16">
        <f>SUM($R$3:R121)</f>
        <v>90390</v>
      </c>
      <c r="W121">
        <f t="shared" si="20"/>
        <v>200</v>
      </c>
      <c r="X121">
        <f t="shared" si="15"/>
        <v>1.2884937508053087E-3</v>
      </c>
      <c r="Z121" s="16"/>
      <c r="AA121" s="16">
        <f>SUM($W$3:W121)</f>
        <v>87000</v>
      </c>
    </row>
    <row r="122" spans="1:28">
      <c r="A122" s="10">
        <v>121</v>
      </c>
      <c r="B122" s="10">
        <v>0</v>
      </c>
      <c r="C122" s="50">
        <v>92254</v>
      </c>
      <c r="D122" s="10" t="str">
        <f>IFERROR(VLOOKUP(C122,[1]引用表合并!$A$2:$B$1000,2,FALSE),"")</f>
        <v>苍蓝项链</v>
      </c>
      <c r="E122" s="10">
        <v>1</v>
      </c>
      <c r="F122" s="10">
        <v>200</v>
      </c>
      <c r="G122" s="10">
        <v>1</v>
      </c>
      <c r="H122" s="10">
        <v>100</v>
      </c>
      <c r="I122" s="10">
        <v>0</v>
      </c>
      <c r="J122" s="10">
        <v>1</v>
      </c>
      <c r="K122" s="7">
        <v>0</v>
      </c>
      <c r="L122" s="7">
        <v>0</v>
      </c>
      <c r="M122" s="7">
        <v>0</v>
      </c>
      <c r="O122" s="1">
        <f>ROUNDUP(VLOOKUP(C122,[2]!游戏物价查询,7,FALSE),0)*E122</f>
        <v>140</v>
      </c>
      <c r="P122">
        <f>VLOOKUP(C122,[2]!游戏物价查询,4,0)</f>
        <v>140</v>
      </c>
      <c r="Q122">
        <f>VLOOKUP(C122,[3]!马仔宝物属性,6,FALSE)</f>
        <v>3</v>
      </c>
      <c r="R122">
        <f t="shared" si="21"/>
        <v>200</v>
      </c>
      <c r="S122">
        <f t="shared" si="14"/>
        <v>1.3174362690204862E-3</v>
      </c>
      <c r="V122" s="16">
        <f>SUM($R$3:R122)</f>
        <v>90590</v>
      </c>
      <c r="W122">
        <f t="shared" si="20"/>
        <v>200</v>
      </c>
      <c r="X122">
        <f t="shared" si="15"/>
        <v>1.2884937508053087E-3</v>
      </c>
      <c r="Z122" s="16"/>
      <c r="AA122" s="16">
        <f>SUM($W$3:W122)</f>
        <v>87200</v>
      </c>
    </row>
    <row r="123" spans="1:28">
      <c r="A123" s="10">
        <v>122</v>
      </c>
      <c r="B123" s="10">
        <v>0</v>
      </c>
      <c r="C123" s="50">
        <v>92274</v>
      </c>
      <c r="D123" s="10" t="str">
        <f>IFERROR(VLOOKUP(C123,[1]引用表合并!$A$2:$B$1000,2,FALSE),"")</f>
        <v>汉密手表</v>
      </c>
      <c r="E123" s="10">
        <v>1</v>
      </c>
      <c r="F123" s="10">
        <v>200</v>
      </c>
      <c r="G123" s="10">
        <v>1</v>
      </c>
      <c r="H123" s="10">
        <v>100</v>
      </c>
      <c r="I123" s="10">
        <v>0</v>
      </c>
      <c r="J123" s="10">
        <v>1</v>
      </c>
      <c r="K123" s="7">
        <v>0</v>
      </c>
      <c r="L123" s="7">
        <v>0</v>
      </c>
      <c r="M123" s="7">
        <v>0</v>
      </c>
      <c r="O123" s="1">
        <f>ROUNDUP(VLOOKUP(C123,[2]!游戏物价查询,7,FALSE),0)*E123</f>
        <v>157</v>
      </c>
      <c r="P123">
        <f>VLOOKUP(C123,[2]!游戏物价查询,4,0)</f>
        <v>70</v>
      </c>
      <c r="Q123">
        <f>VLOOKUP(C123,[3]!马仔宝物属性,6,FALSE)</f>
        <v>3</v>
      </c>
      <c r="R123">
        <f t="shared" si="21"/>
        <v>200</v>
      </c>
      <c r="S123">
        <f t="shared" si="14"/>
        <v>1.3174362690204862E-3</v>
      </c>
      <c r="V123" s="16">
        <f>SUM($R$3:R123)</f>
        <v>90790</v>
      </c>
      <c r="W123">
        <f t="shared" si="20"/>
        <v>200</v>
      </c>
      <c r="X123">
        <f t="shared" si="15"/>
        <v>1.2884937508053087E-3</v>
      </c>
      <c r="Z123" s="16"/>
      <c r="AA123" s="16">
        <f>SUM($W$3:W123)</f>
        <v>87400</v>
      </c>
    </row>
    <row r="124" spans="1:28">
      <c r="A124" s="10">
        <v>123</v>
      </c>
      <c r="B124" s="10">
        <v>0</v>
      </c>
      <c r="C124" s="50">
        <v>92280</v>
      </c>
      <c r="D124" s="10" t="str">
        <f>IFERROR(VLOOKUP(C124,[1]引用表合并!$A$2:$B$1000,2,FALSE),"")</f>
        <v>法拉捷</v>
      </c>
      <c r="E124" s="10">
        <v>1</v>
      </c>
      <c r="F124" s="10">
        <v>200</v>
      </c>
      <c r="G124" s="10">
        <v>1</v>
      </c>
      <c r="H124" s="10">
        <v>100</v>
      </c>
      <c r="I124" s="10">
        <v>0</v>
      </c>
      <c r="J124" s="10">
        <v>1</v>
      </c>
      <c r="K124" s="7">
        <v>0</v>
      </c>
      <c r="L124" s="7">
        <v>0</v>
      </c>
      <c r="M124" s="7">
        <v>0</v>
      </c>
      <c r="O124" s="1">
        <f>ROUNDUP(VLOOKUP(C124,[2]!游戏物价查询,7,FALSE),0)*E124</f>
        <v>154</v>
      </c>
      <c r="P124">
        <f>VLOOKUP(C124,[2]!游戏物价查询,4,0)</f>
        <v>75</v>
      </c>
      <c r="Q124">
        <f>VLOOKUP(C124,[3]!马仔宝物属性,6,FALSE)</f>
        <v>3</v>
      </c>
      <c r="R124">
        <f t="shared" si="21"/>
        <v>200</v>
      </c>
      <c r="S124">
        <f t="shared" si="14"/>
        <v>1.3174362690204862E-3</v>
      </c>
      <c r="V124" s="16">
        <f>SUM($R$3:R124)</f>
        <v>90990</v>
      </c>
      <c r="W124">
        <f t="shared" si="20"/>
        <v>200</v>
      </c>
      <c r="X124">
        <f t="shared" si="15"/>
        <v>1.2884937508053087E-3</v>
      </c>
      <c r="Z124" s="16"/>
      <c r="AA124" s="16">
        <f>SUM($W$3:W124)</f>
        <v>87600</v>
      </c>
    </row>
    <row r="125" spans="1:28">
      <c r="A125" s="10">
        <v>124</v>
      </c>
      <c r="B125" s="10">
        <v>0</v>
      </c>
      <c r="C125" s="50">
        <v>92285</v>
      </c>
      <c r="D125" s="10" t="str">
        <f>IFERROR(VLOOKUP(C125,[1]引用表合并!$A$2:$B$1000,2,FALSE),"")</f>
        <v>大堆钞票</v>
      </c>
      <c r="E125" s="10">
        <v>1</v>
      </c>
      <c r="F125" s="10">
        <v>200</v>
      </c>
      <c r="G125" s="10">
        <v>1</v>
      </c>
      <c r="H125" s="10">
        <v>100</v>
      </c>
      <c r="I125" s="10">
        <v>0</v>
      </c>
      <c r="J125" s="10">
        <v>1</v>
      </c>
      <c r="K125" s="7">
        <v>0</v>
      </c>
      <c r="L125" s="7">
        <v>0</v>
      </c>
      <c r="M125" s="7">
        <v>0</v>
      </c>
      <c r="O125" s="1">
        <f>ROUNDUP(VLOOKUP(C125,[2]!游戏物价查询,7,FALSE),0)*E125</f>
        <v>154</v>
      </c>
      <c r="P125">
        <f>VLOOKUP(C125,[2]!游戏物价查询,4,0)</f>
        <v>286</v>
      </c>
      <c r="Q125">
        <f>VLOOKUP(C125,[3]!马仔宝物属性,6,FALSE)</f>
        <v>3</v>
      </c>
      <c r="R125">
        <f t="shared" si="21"/>
        <v>200</v>
      </c>
      <c r="S125">
        <f t="shared" si="14"/>
        <v>1.3174362690204862E-3</v>
      </c>
      <c r="V125" s="16">
        <f>SUM($R$3:R125)</f>
        <v>91190</v>
      </c>
      <c r="W125">
        <f t="shared" si="20"/>
        <v>200</v>
      </c>
      <c r="X125">
        <f t="shared" si="15"/>
        <v>1.2884937508053087E-3</v>
      </c>
      <c r="Z125" s="16"/>
      <c r="AA125" s="16">
        <f>SUM($W$3:W125)</f>
        <v>87800</v>
      </c>
    </row>
    <row r="126" spans="1:28">
      <c r="A126" s="10">
        <v>125</v>
      </c>
      <c r="B126" s="10">
        <v>0</v>
      </c>
      <c r="C126" s="50">
        <v>92289</v>
      </c>
      <c r="D126" s="10" t="str">
        <f>IFERROR(VLOOKUP(C126,[1]引用表合并!$A$2:$B$1000,2,FALSE),"")</f>
        <v>小堆金块</v>
      </c>
      <c r="E126" s="10">
        <v>1</v>
      </c>
      <c r="F126" s="10">
        <v>200</v>
      </c>
      <c r="G126" s="10">
        <v>1</v>
      </c>
      <c r="H126" s="10">
        <v>100</v>
      </c>
      <c r="I126" s="10">
        <v>0</v>
      </c>
      <c r="J126" s="10">
        <v>1</v>
      </c>
      <c r="K126" s="7">
        <v>0</v>
      </c>
      <c r="L126" s="7">
        <v>0</v>
      </c>
      <c r="M126" s="7">
        <v>0</v>
      </c>
      <c r="O126" s="1">
        <f>ROUNDUP(VLOOKUP(C126,[2]!游戏物价查询,7,FALSE),0)*E126</f>
        <v>154</v>
      </c>
      <c r="P126">
        <f>VLOOKUP(C126,[2]!游戏物价查询,4,0)</f>
        <v>262</v>
      </c>
      <c r="Q126">
        <f>VLOOKUP(C126,[3]!马仔宝物属性,6,FALSE)</f>
        <v>3</v>
      </c>
      <c r="R126">
        <f t="shared" si="21"/>
        <v>200</v>
      </c>
      <c r="S126">
        <f t="shared" si="14"/>
        <v>1.3174362690204862E-3</v>
      </c>
      <c r="T126" s="22">
        <f>SUM(S79:S126)</f>
        <v>0.1580923522824583</v>
      </c>
      <c r="U126" s="16">
        <f>SUM(S115:S126)</f>
        <v>1.5809235228245833E-2</v>
      </c>
      <c r="V126" s="16">
        <f>SUM($R$3:R126)</f>
        <v>91390</v>
      </c>
      <c r="W126">
        <f t="shared" si="20"/>
        <v>200</v>
      </c>
      <c r="X126">
        <f t="shared" si="15"/>
        <v>1.2884937508053087E-3</v>
      </c>
      <c r="Y126" s="22">
        <f>SUM(X79:X126)</f>
        <v>0.15461925009663705</v>
      </c>
      <c r="Z126" s="16">
        <f>SUM(X115:X126)</f>
        <v>1.5461925009663703E-2</v>
      </c>
      <c r="AA126" s="16">
        <f>SUM($W$3:W126)</f>
        <v>88000</v>
      </c>
      <c r="AB126">
        <f>SUMPRODUCT(X115:X126,E115:E126)</f>
        <v>1.5461925009663703E-2</v>
      </c>
    </row>
    <row r="127" spans="1:28">
      <c r="A127" s="10">
        <v>126</v>
      </c>
      <c r="B127" s="10">
        <v>0</v>
      </c>
      <c r="C127" s="29">
        <v>78106</v>
      </c>
      <c r="D127" s="10" t="str">
        <f>IFERROR(VLOOKUP(C127,[1]引用表合并!$A$2:$B$1000,2,FALSE),"")</f>
        <v>马仔碎片(靓坤)</v>
      </c>
      <c r="E127" s="10">
        <v>1</v>
      </c>
      <c r="F127" s="10">
        <v>1800</v>
      </c>
      <c r="G127" s="10">
        <v>1</v>
      </c>
      <c r="H127" s="10">
        <v>100</v>
      </c>
      <c r="I127" s="10">
        <v>0</v>
      </c>
      <c r="J127" s="10">
        <v>0</v>
      </c>
      <c r="K127" s="7">
        <v>0</v>
      </c>
      <c r="L127" s="7">
        <v>0</v>
      </c>
      <c r="M127" s="7">
        <v>0</v>
      </c>
      <c r="O127" s="1">
        <f>ROUNDUP(VLOOKUP(C127,[2]!游戏物价查询,7,FALSE),0)*E127</f>
        <v>50</v>
      </c>
      <c r="P127">
        <f>VLOOKUP(C127,[2]!游戏物价查询,4,0)</f>
        <v>980</v>
      </c>
      <c r="R127">
        <f t="shared" si="21"/>
        <v>1800</v>
      </c>
      <c r="S127">
        <f t="shared" si="14"/>
        <v>1.1856926421184376E-2</v>
      </c>
      <c r="T127">
        <f>T38+T78+T126</f>
        <v>0.57967195836901408</v>
      </c>
      <c r="V127" s="16">
        <f>SUM($R$3:R127)</f>
        <v>93190</v>
      </c>
      <c r="W127">
        <f t="shared" si="20"/>
        <v>1800</v>
      </c>
      <c r="X127">
        <f t="shared" si="15"/>
        <v>1.1596443757247778E-2</v>
      </c>
      <c r="Y127">
        <f>Y38+Y78+Y126</f>
        <v>0.56693725035433584</v>
      </c>
      <c r="Z127" s="16"/>
      <c r="AA127" s="16">
        <f>SUM($W$3:W127)</f>
        <v>89800</v>
      </c>
    </row>
    <row r="128" spans="1:28">
      <c r="A128" s="10">
        <v>127</v>
      </c>
      <c r="B128" s="10">
        <v>0</v>
      </c>
      <c r="C128" s="29">
        <v>78107</v>
      </c>
      <c r="D128" s="10" t="str">
        <f>IFERROR(VLOOKUP(C128,[1]引用表合并!$A$2:$B$1000,2,FALSE),"")</f>
        <v>马仔碎片(雷复轰)</v>
      </c>
      <c r="E128" s="10">
        <v>1</v>
      </c>
      <c r="F128" s="10">
        <v>1700</v>
      </c>
      <c r="G128" s="10">
        <v>1</v>
      </c>
      <c r="H128" s="10">
        <v>100</v>
      </c>
      <c r="I128" s="10">
        <v>0</v>
      </c>
      <c r="J128" s="10">
        <v>0</v>
      </c>
      <c r="K128" s="7">
        <v>0</v>
      </c>
      <c r="L128" s="7">
        <v>0</v>
      </c>
      <c r="M128" s="7">
        <v>0</v>
      </c>
      <c r="O128" s="1">
        <f>ROUNDUP(VLOOKUP(C128,[2]!游戏物价查询,7,FALSE),0)*E128</f>
        <v>50</v>
      </c>
      <c r="P128">
        <f>VLOOKUP(C128,[2]!游戏物价查询,4,0)</f>
        <v>980</v>
      </c>
      <c r="R128">
        <f t="shared" si="21"/>
        <v>1700</v>
      </c>
      <c r="S128">
        <f t="shared" si="14"/>
        <v>1.1198208286674132E-2</v>
      </c>
      <c r="V128" s="16">
        <f>SUM($R$3:R128)</f>
        <v>94890</v>
      </c>
      <c r="W128">
        <f t="shared" si="20"/>
        <v>1700</v>
      </c>
      <c r="X128">
        <f t="shared" si="15"/>
        <v>1.0952196881845124E-2</v>
      </c>
      <c r="Z128" s="16"/>
      <c r="AA128" s="16">
        <f>SUM($W$3:W128)</f>
        <v>91500</v>
      </c>
    </row>
    <row r="129" spans="1:29">
      <c r="A129" s="10">
        <v>128</v>
      </c>
      <c r="B129" s="10">
        <v>0</v>
      </c>
      <c r="C129" s="29">
        <v>78108</v>
      </c>
      <c r="D129" s="10" t="str">
        <f>IFERROR(VLOOKUP(C129,[1]引用表合并!$A$2:$B$1000,2,FALSE),"")</f>
        <v>马仔碎片(肥仔)</v>
      </c>
      <c r="E129" s="10">
        <v>1</v>
      </c>
      <c r="F129" s="10">
        <v>1600</v>
      </c>
      <c r="G129" s="10">
        <v>1</v>
      </c>
      <c r="H129" s="10">
        <v>100</v>
      </c>
      <c r="I129" s="10">
        <v>0</v>
      </c>
      <c r="J129" s="10">
        <v>0</v>
      </c>
      <c r="K129" s="7">
        <v>0</v>
      </c>
      <c r="L129" s="7">
        <v>0</v>
      </c>
      <c r="M129" s="7">
        <v>0</v>
      </c>
      <c r="O129" s="1">
        <f>ROUNDUP(VLOOKUP(C129,[2]!游戏物价查询,7,FALSE),0)*E129</f>
        <v>50</v>
      </c>
      <c r="P129">
        <f>VLOOKUP(C129,[2]!游戏物价查询,4,0)</f>
        <v>980</v>
      </c>
      <c r="R129">
        <f t="shared" si="21"/>
        <v>1600</v>
      </c>
      <c r="S129">
        <f t="shared" si="14"/>
        <v>1.0539490152163889E-2</v>
      </c>
      <c r="V129" s="16">
        <f>SUM($R$3:R129)</f>
        <v>96490</v>
      </c>
      <c r="W129">
        <f t="shared" si="20"/>
        <v>1600</v>
      </c>
      <c r="X129">
        <f t="shared" si="15"/>
        <v>1.030795000644247E-2</v>
      </c>
      <c r="Z129" s="16"/>
      <c r="AA129" s="16">
        <f>SUM($W$3:W129)</f>
        <v>93100</v>
      </c>
    </row>
    <row r="130" spans="1:29">
      <c r="A130" s="10">
        <v>129</v>
      </c>
      <c r="B130" s="10">
        <v>0</v>
      </c>
      <c r="C130" s="8">
        <v>78117</v>
      </c>
      <c r="D130" s="10" t="str">
        <f>IFERROR(VLOOKUP(C130,[1]引用表合并!$A$2:$B$1000,2,FALSE),"")</f>
        <v>马仔碎片(巴闭)</v>
      </c>
      <c r="E130" s="10">
        <v>1</v>
      </c>
      <c r="F130" s="10">
        <v>1500</v>
      </c>
      <c r="G130" s="10">
        <v>1</v>
      </c>
      <c r="H130" s="10">
        <v>100</v>
      </c>
      <c r="I130" s="10">
        <v>0</v>
      </c>
      <c r="J130" s="10">
        <v>0</v>
      </c>
      <c r="K130" s="7">
        <v>0</v>
      </c>
      <c r="L130" s="7">
        <v>0</v>
      </c>
      <c r="M130" s="7">
        <v>0</v>
      </c>
      <c r="O130" s="1">
        <f>ROUNDUP(VLOOKUP(C130,[2]!游戏物价查询,7,FALSE),0)*E130</f>
        <v>50</v>
      </c>
      <c r="P130">
        <f>VLOOKUP(C130,[2]!游戏物价查询,4,0)</f>
        <v>980</v>
      </c>
      <c r="R130">
        <f t="shared" si="21"/>
        <v>1500</v>
      </c>
      <c r="S130">
        <f t="shared" ref="S130:S193" si="22">IFERROR(R130/SUM(R:R),0)</f>
        <v>9.8807720176536454E-3</v>
      </c>
      <c r="U130" s="16">
        <f>SUM(S127:S130)</f>
        <v>4.3475396877676042E-2</v>
      </c>
      <c r="V130" s="16">
        <f>SUM($R$3:R130)</f>
        <v>97990</v>
      </c>
      <c r="W130">
        <f t="shared" si="20"/>
        <v>1500</v>
      </c>
      <c r="X130">
        <f t="shared" ref="X130:X193" si="23">IFERROR(W130/SUM(W:W),0)</f>
        <v>9.6637031310398136E-3</v>
      </c>
      <c r="Z130" s="16">
        <f>SUM(X127:X130)</f>
        <v>4.2520293776575187E-2</v>
      </c>
      <c r="AA130" s="16">
        <f>SUM($W$3:W130)</f>
        <v>94600</v>
      </c>
      <c r="AB130">
        <f>SUMPRODUCT(X127:X130,E127:E130)+SUMPRODUCT(X152:X155,E152:E155)+SUMPRODUCT(E141:E144,X141:X144)</f>
        <v>0.25512176265945113</v>
      </c>
      <c r="AC130">
        <f>[2]马仔的投放!$AH$38</f>
        <v>0.33162288327097511</v>
      </c>
    </row>
    <row r="131" spans="1:29">
      <c r="A131" s="10">
        <v>130</v>
      </c>
      <c r="B131" s="10">
        <v>0</v>
      </c>
      <c r="C131" s="45">
        <v>78110</v>
      </c>
      <c r="D131" s="10" t="str">
        <f>IFERROR(VLOOKUP(C131,[1]引用表合并!$A$2:$B$1000,2,FALSE),"")</f>
        <v>马仔碎片(乌鸦)</v>
      </c>
      <c r="E131" s="10">
        <v>1</v>
      </c>
      <c r="F131" s="10">
        <v>800</v>
      </c>
      <c r="G131" s="10">
        <v>1</v>
      </c>
      <c r="H131" s="10">
        <v>100</v>
      </c>
      <c r="I131" s="10">
        <v>0</v>
      </c>
      <c r="J131" s="10">
        <v>0</v>
      </c>
      <c r="K131" s="7">
        <v>0</v>
      </c>
      <c r="L131" s="7">
        <v>0</v>
      </c>
      <c r="M131" s="7">
        <v>0</v>
      </c>
      <c r="O131" s="1">
        <f>ROUNDUP(VLOOKUP(C131,[2]!游戏物价查询,7,FALSE),0)*E131</f>
        <v>100</v>
      </c>
      <c r="P131">
        <f>VLOOKUP(C131,[2]!游戏物价查询,4,0)</f>
        <v>980</v>
      </c>
      <c r="R131">
        <f t="shared" si="21"/>
        <v>800</v>
      </c>
      <c r="S131">
        <f t="shared" si="22"/>
        <v>5.2697450760819447E-3</v>
      </c>
      <c r="V131" s="16">
        <f>SUM($R$3:R131)</f>
        <v>98790</v>
      </c>
      <c r="W131">
        <f t="shared" si="20"/>
        <v>800</v>
      </c>
      <c r="X131">
        <f t="shared" si="23"/>
        <v>5.1539750032212348E-3</v>
      </c>
      <c r="Z131" s="16"/>
      <c r="AA131" s="16">
        <f>SUM($W$3:W131)</f>
        <v>95400</v>
      </c>
    </row>
    <row r="132" spans="1:29">
      <c r="A132" s="10">
        <v>131</v>
      </c>
      <c r="B132" s="10">
        <v>0</v>
      </c>
      <c r="C132" s="45">
        <v>78111</v>
      </c>
      <c r="D132" s="10" t="str">
        <f>IFERROR(VLOOKUP(C132,[1]引用表合并!$A$2:$B$1000,2,FALSE),"")</f>
        <v>马仔碎片(赌王)</v>
      </c>
      <c r="E132" s="10">
        <v>1</v>
      </c>
      <c r="F132" s="10">
        <v>780</v>
      </c>
      <c r="G132" s="10">
        <v>1</v>
      </c>
      <c r="H132" s="10">
        <v>100</v>
      </c>
      <c r="I132" s="10">
        <v>0</v>
      </c>
      <c r="J132" s="10">
        <v>0</v>
      </c>
      <c r="K132" s="7">
        <v>0</v>
      </c>
      <c r="L132" s="7">
        <v>0</v>
      </c>
      <c r="M132" s="7">
        <v>0</v>
      </c>
      <c r="O132" s="1">
        <f>ROUNDUP(VLOOKUP(C132,[2]!游戏物价查询,7,FALSE),0)*E132</f>
        <v>100</v>
      </c>
      <c r="P132">
        <f>VLOOKUP(C132,[2]!游戏物价查询,4,0)</f>
        <v>980</v>
      </c>
      <c r="R132">
        <f t="shared" si="21"/>
        <v>780</v>
      </c>
      <c r="S132">
        <f t="shared" si="22"/>
        <v>5.1380014491798961E-3</v>
      </c>
      <c r="V132" s="16">
        <f>SUM($R$3:R132)</f>
        <v>99570</v>
      </c>
      <c r="W132">
        <f t="shared" si="20"/>
        <v>780</v>
      </c>
      <c r="X132">
        <f t="shared" si="23"/>
        <v>5.0251256281407036E-3</v>
      </c>
      <c r="Z132" s="16"/>
      <c r="AA132" s="16">
        <f>SUM($W$3:W132)</f>
        <v>96180</v>
      </c>
    </row>
    <row r="133" spans="1:29">
      <c r="A133" s="10">
        <v>132</v>
      </c>
      <c r="B133" s="10">
        <v>0</v>
      </c>
      <c r="C133" s="45">
        <v>78112</v>
      </c>
      <c r="D133" s="10" t="str">
        <f>IFERROR(VLOOKUP(C133,[1]引用表合并!$A$2:$B$1000,2,FALSE),"")</f>
        <v>马仔碎片(山下忠秀)</v>
      </c>
      <c r="E133" s="10">
        <v>1</v>
      </c>
      <c r="F133" s="10">
        <v>760</v>
      </c>
      <c r="G133" s="10">
        <v>1</v>
      </c>
      <c r="H133" s="10">
        <v>100</v>
      </c>
      <c r="I133" s="10">
        <v>0</v>
      </c>
      <c r="J133" s="10">
        <v>0</v>
      </c>
      <c r="K133" s="7">
        <v>0</v>
      </c>
      <c r="L133" s="7">
        <v>0</v>
      </c>
      <c r="M133" s="7">
        <v>0</v>
      </c>
      <c r="O133" s="1">
        <f>ROUNDUP(VLOOKUP(C133,[2]!游戏物价查询,7,FALSE),0)*E133</f>
        <v>100</v>
      </c>
      <c r="P133">
        <f>VLOOKUP(C133,[2]!游戏物价查询,4,0)</f>
        <v>980</v>
      </c>
      <c r="R133">
        <f t="shared" si="21"/>
        <v>760</v>
      </c>
      <c r="S133">
        <f t="shared" si="22"/>
        <v>5.0062578222778474E-3</v>
      </c>
      <c r="V133" s="16">
        <f>SUM($R$3:R133)</f>
        <v>100330</v>
      </c>
      <c r="W133">
        <f t="shared" si="20"/>
        <v>760</v>
      </c>
      <c r="X133">
        <f t="shared" si="23"/>
        <v>4.8962762530601724E-3</v>
      </c>
      <c r="Z133" s="16"/>
      <c r="AA133" s="16">
        <f>SUM($W$3:W133)</f>
        <v>96940</v>
      </c>
    </row>
    <row r="134" spans="1:29">
      <c r="A134" s="10">
        <v>133</v>
      </c>
      <c r="B134" s="10">
        <v>0</v>
      </c>
      <c r="C134" s="45">
        <v>78113</v>
      </c>
      <c r="D134" s="10" t="str">
        <f>IFERROR(VLOOKUP(C134,[1]引用表合并!$A$2:$B$1000,2,FALSE),"")</f>
        <v>马仔碎片(宫本一)</v>
      </c>
      <c r="E134" s="10">
        <v>1</v>
      </c>
      <c r="F134" s="10">
        <v>740</v>
      </c>
      <c r="G134" s="10">
        <v>1</v>
      </c>
      <c r="H134" s="10">
        <v>100</v>
      </c>
      <c r="I134" s="10">
        <v>0</v>
      </c>
      <c r="J134" s="10">
        <v>0</v>
      </c>
      <c r="K134" s="7">
        <v>0</v>
      </c>
      <c r="L134" s="7">
        <v>0</v>
      </c>
      <c r="M134" s="7">
        <v>0</v>
      </c>
      <c r="O134" s="1">
        <f>ROUNDUP(VLOOKUP(C134,[2]!游戏物价查询,7,FALSE),0)*E134</f>
        <v>100</v>
      </c>
      <c r="P134">
        <f>VLOOKUP(C134,[2]!游戏物价查询,4,0)</f>
        <v>980</v>
      </c>
      <c r="R134">
        <f t="shared" ref="R134:R135" si="24">IF(L134&lt;2,F134,"")</f>
        <v>740</v>
      </c>
      <c r="S134">
        <f t="shared" si="22"/>
        <v>4.8745141953757988E-3</v>
      </c>
      <c r="V134" s="16">
        <f>SUM($R$3:R134)</f>
        <v>101070</v>
      </c>
      <c r="W134">
        <f t="shared" si="20"/>
        <v>740</v>
      </c>
      <c r="X134">
        <f t="shared" si="23"/>
        <v>4.7674268779796421E-3</v>
      </c>
      <c r="Z134" s="16"/>
      <c r="AA134" s="16">
        <f>SUM($W$3:W134)</f>
        <v>97680</v>
      </c>
    </row>
    <row r="135" spans="1:29">
      <c r="A135" s="10">
        <v>134</v>
      </c>
      <c r="B135" s="10">
        <v>0</v>
      </c>
      <c r="C135" s="46">
        <v>78118</v>
      </c>
      <c r="D135" s="10" t="str">
        <f>IFERROR(VLOOKUP(C135,[1]引用表合并!$A$2:$B$1000,2,FALSE),"")</f>
        <v>马仔碎片(耀阳)</v>
      </c>
      <c r="E135" s="10">
        <v>1</v>
      </c>
      <c r="F135" s="10">
        <v>720</v>
      </c>
      <c r="G135" s="10">
        <v>1</v>
      </c>
      <c r="H135" s="10">
        <v>100</v>
      </c>
      <c r="I135" s="10">
        <v>0</v>
      </c>
      <c r="J135" s="10">
        <v>0</v>
      </c>
      <c r="K135" s="7">
        <v>0</v>
      </c>
      <c r="L135" s="7">
        <v>0</v>
      </c>
      <c r="M135" s="7">
        <v>0</v>
      </c>
      <c r="O135" s="1">
        <f>ROUNDUP(VLOOKUP(C135,[2]!游戏物价查询,7,FALSE),0)*E135</f>
        <v>100</v>
      </c>
      <c r="P135">
        <f>VLOOKUP(C135,[2]!游戏物价查询,4,0)</f>
        <v>980</v>
      </c>
      <c r="R135">
        <f t="shared" si="24"/>
        <v>720</v>
      </c>
      <c r="S135">
        <f t="shared" si="22"/>
        <v>4.7427705684737502E-3</v>
      </c>
      <c r="V135" s="16">
        <f>SUM($R$3:R135)</f>
        <v>101790</v>
      </c>
      <c r="W135">
        <f t="shared" si="20"/>
        <v>720</v>
      </c>
      <c r="X135">
        <f t="shared" si="23"/>
        <v>4.6385775028991109E-3</v>
      </c>
      <c r="Z135" s="16"/>
      <c r="AA135" s="16">
        <f>SUM($W$3:W135)</f>
        <v>98400</v>
      </c>
    </row>
    <row r="136" spans="1:29">
      <c r="A136" s="10">
        <v>135</v>
      </c>
      <c r="B136" s="10">
        <v>0</v>
      </c>
      <c r="C136" s="45">
        <v>78109</v>
      </c>
      <c r="D136" s="10" t="str">
        <f>IFERROR(VLOOKUP(C136,[1]引用表合并!$A$2:$B$1000,2,FALSE),"")</f>
        <v>马仔碎片(司徒浩南)</v>
      </c>
      <c r="E136" s="10">
        <v>1</v>
      </c>
      <c r="F136" s="10">
        <v>700</v>
      </c>
      <c r="G136" s="10">
        <v>1</v>
      </c>
      <c r="H136" s="10">
        <v>100</v>
      </c>
      <c r="I136" s="10">
        <v>0</v>
      </c>
      <c r="J136" s="10">
        <v>0</v>
      </c>
      <c r="K136" s="7">
        <v>0</v>
      </c>
      <c r="L136" s="7">
        <v>0</v>
      </c>
      <c r="M136" s="7">
        <v>0</v>
      </c>
      <c r="O136" s="1">
        <f>ROUNDUP(VLOOKUP(C136,[2]!游戏物价查询,7,FALSE),0)*E136</f>
        <v>100</v>
      </c>
      <c r="P136">
        <f>VLOOKUP(C136,[2]!游戏物价查询,4,0)</f>
        <v>980</v>
      </c>
      <c r="R136">
        <f t="shared" ref="R136" si="25">IF(L136&lt;2,F136,"")</f>
        <v>700</v>
      </c>
      <c r="S136">
        <f t="shared" si="22"/>
        <v>4.6110269415717015E-3</v>
      </c>
      <c r="V136" s="16">
        <f>SUM($R$3:R136)</f>
        <v>102490</v>
      </c>
      <c r="W136">
        <f t="shared" si="20"/>
        <v>700</v>
      </c>
      <c r="X136">
        <f t="shared" si="23"/>
        <v>4.5097281278185797E-3</v>
      </c>
      <c r="Z136" s="16"/>
      <c r="AA136" s="16">
        <f>SUM($W$3:W136)</f>
        <v>99100</v>
      </c>
    </row>
    <row r="137" spans="1:29">
      <c r="A137" s="10">
        <v>136</v>
      </c>
      <c r="B137" s="10">
        <v>0</v>
      </c>
      <c r="C137" s="46">
        <v>78119</v>
      </c>
      <c r="D137" s="10" t="str">
        <f>IFERROR(VLOOKUP(C137,[1]引用表合并!$A$2:$B$1000,2,FALSE),"")</f>
        <v>马仔碎片(笑面虎)</v>
      </c>
      <c r="E137" s="10">
        <v>1</v>
      </c>
      <c r="F137" s="10">
        <v>700</v>
      </c>
      <c r="G137" s="10">
        <v>1</v>
      </c>
      <c r="H137" s="10">
        <v>100</v>
      </c>
      <c r="I137" s="10">
        <v>0</v>
      </c>
      <c r="J137" s="10">
        <v>0</v>
      </c>
      <c r="K137" s="7">
        <v>0</v>
      </c>
      <c r="L137" s="7">
        <v>0</v>
      </c>
      <c r="M137" s="7">
        <v>0</v>
      </c>
      <c r="O137" s="1">
        <f>ROUNDUP(VLOOKUP(C137,[2]!游戏物价查询,7,FALSE),0)*E137</f>
        <v>100</v>
      </c>
      <c r="P137">
        <f>VLOOKUP(C137,[2]!游戏物价查询,4,0)</f>
        <v>980</v>
      </c>
      <c r="R137">
        <f t="shared" si="21"/>
        <v>700</v>
      </c>
      <c r="S137">
        <f t="shared" si="22"/>
        <v>4.6110269415717015E-3</v>
      </c>
      <c r="U137" s="16">
        <f>SUM(S131:S137)</f>
        <v>3.4253342994532636E-2</v>
      </c>
      <c r="V137" s="16">
        <f>SUM($R$3:R137)</f>
        <v>103190</v>
      </c>
      <c r="W137">
        <f t="shared" si="20"/>
        <v>700</v>
      </c>
      <c r="X137">
        <f t="shared" si="23"/>
        <v>4.5097281278185797E-3</v>
      </c>
      <c r="Z137" s="16">
        <f>SUM(X131:X137)</f>
        <v>3.350083752093802E-2</v>
      </c>
      <c r="AA137" s="16">
        <f>SUM($W$3:W137)</f>
        <v>99800</v>
      </c>
      <c r="AB137">
        <f>SUMPRODUCT(X131:X137,E131:E137)+SUMPRODUCT(X156:X162,E156:E162)+SUMPRODUCT(E145:E151,X145:X151)</f>
        <v>0.20100502512562812</v>
      </c>
      <c r="AC137">
        <f>[2]马仔的投放!$AH$39</f>
        <v>0.16343944387686024</v>
      </c>
    </row>
    <row r="138" spans="1:29">
      <c r="A138" s="10">
        <v>137</v>
      </c>
      <c r="B138" s="10">
        <v>0</v>
      </c>
      <c r="C138" s="44">
        <v>78114</v>
      </c>
      <c r="D138" s="10" t="str">
        <f>IFERROR(VLOOKUP(C138,[1]引用表合并!$A$2:$B$1000,2,FALSE),"")</f>
        <v>马仔碎片(陈浩南)</v>
      </c>
      <c r="E138" s="10">
        <v>1</v>
      </c>
      <c r="F138" s="10">
        <v>300</v>
      </c>
      <c r="G138" s="10">
        <v>1</v>
      </c>
      <c r="H138" s="10">
        <v>100</v>
      </c>
      <c r="I138" s="10">
        <v>0</v>
      </c>
      <c r="J138" s="10">
        <v>0</v>
      </c>
      <c r="K138" s="7">
        <v>0</v>
      </c>
      <c r="L138" s="7">
        <v>0</v>
      </c>
      <c r="M138" s="7">
        <v>0</v>
      </c>
      <c r="O138" s="1">
        <f>ROUNDUP(VLOOKUP(C138,[2]!游戏物价查询,7,FALSE),0)*E138</f>
        <v>150</v>
      </c>
      <c r="P138">
        <f>VLOOKUP(C138,[2]!游戏物价查询,4,0)</f>
        <v>980</v>
      </c>
      <c r="R138">
        <f t="shared" si="21"/>
        <v>300</v>
      </c>
      <c r="S138">
        <f t="shared" si="22"/>
        <v>1.9761544035307292E-3</v>
      </c>
      <c r="V138" s="16">
        <f>SUM($R$3:R138)</f>
        <v>103490</v>
      </c>
      <c r="W138">
        <f t="shared" si="20"/>
        <v>300</v>
      </c>
      <c r="X138">
        <f t="shared" si="23"/>
        <v>1.9327406262079629E-3</v>
      </c>
      <c r="Z138" s="16"/>
      <c r="AA138" s="16">
        <f>SUM($W$3:W138)</f>
        <v>100100</v>
      </c>
    </row>
    <row r="139" spans="1:29">
      <c r="A139" s="10">
        <v>138</v>
      </c>
      <c r="B139" s="10">
        <v>0</v>
      </c>
      <c r="C139" s="44">
        <v>78115</v>
      </c>
      <c r="D139" s="10" t="str">
        <f>IFERROR(VLOOKUP(C139,[1]引用表合并!$A$2:$B$1000,2,FALSE),"")</f>
        <v>马仔碎片(山鸡)</v>
      </c>
      <c r="E139" s="10">
        <v>1</v>
      </c>
      <c r="F139" s="10">
        <v>340</v>
      </c>
      <c r="G139" s="10">
        <v>1</v>
      </c>
      <c r="H139" s="10">
        <v>100</v>
      </c>
      <c r="I139" s="10">
        <v>0</v>
      </c>
      <c r="J139" s="10">
        <v>0</v>
      </c>
      <c r="K139" s="7">
        <v>0</v>
      </c>
      <c r="L139" s="7">
        <v>0</v>
      </c>
      <c r="M139" s="7">
        <v>0</v>
      </c>
      <c r="O139" s="1">
        <f>ROUNDUP(VLOOKUP(C139,[2]!游戏物价查询,7,FALSE),0)*E139</f>
        <v>150</v>
      </c>
      <c r="P139">
        <f>VLOOKUP(C139,[2]!游戏物价查询,4,0)</f>
        <v>980</v>
      </c>
      <c r="R139">
        <f t="shared" si="21"/>
        <v>340</v>
      </c>
      <c r="S139">
        <f t="shared" si="22"/>
        <v>2.2396416573348264E-3</v>
      </c>
      <c r="V139" s="16">
        <f>SUM($R$3:R139)</f>
        <v>103830</v>
      </c>
      <c r="W139">
        <f t="shared" si="20"/>
        <v>340</v>
      </c>
      <c r="X139">
        <f t="shared" si="23"/>
        <v>2.1904393763690247E-3</v>
      </c>
      <c r="Z139" s="16"/>
      <c r="AA139" s="16">
        <f>SUM($W$3:W139)</f>
        <v>100440</v>
      </c>
    </row>
    <row r="140" spans="1:29">
      <c r="A140" s="10">
        <v>139</v>
      </c>
      <c r="B140" s="10">
        <v>0</v>
      </c>
      <c r="C140" s="44">
        <v>78116</v>
      </c>
      <c r="D140" s="10" t="str">
        <f>IFERROR(VLOOKUP(C140,[1]引用表合并!$A$2:$B$1000,2,FALSE),"")</f>
        <v>马仔碎片(大天二)</v>
      </c>
      <c r="E140" s="10">
        <v>1</v>
      </c>
      <c r="F140" s="10">
        <v>380</v>
      </c>
      <c r="G140" s="10">
        <v>1</v>
      </c>
      <c r="H140" s="10">
        <v>100</v>
      </c>
      <c r="I140" s="10">
        <v>0</v>
      </c>
      <c r="J140" s="10">
        <v>0</v>
      </c>
      <c r="K140" s="7">
        <v>0</v>
      </c>
      <c r="L140" s="7">
        <v>0</v>
      </c>
      <c r="M140" s="7">
        <v>0</v>
      </c>
      <c r="O140" s="1">
        <f>ROUNDUP(VLOOKUP(C140,[2]!游戏物价查询,7,FALSE),0)*E140</f>
        <v>150</v>
      </c>
      <c r="P140">
        <f>VLOOKUP(C140,[2]!游戏物价查询,4,0)</f>
        <v>980</v>
      </c>
      <c r="R140">
        <f t="shared" si="21"/>
        <v>380</v>
      </c>
      <c r="S140">
        <f t="shared" si="22"/>
        <v>2.5031289111389237E-3</v>
      </c>
      <c r="U140" s="16">
        <f>SUM(S138:S140)</f>
        <v>6.7189249720044798E-3</v>
      </c>
      <c r="V140" s="16">
        <f>SUM($R$3:R140)</f>
        <v>104210</v>
      </c>
      <c r="W140">
        <f t="shared" si="20"/>
        <v>380</v>
      </c>
      <c r="X140">
        <f t="shared" si="23"/>
        <v>2.4481381265300862E-3</v>
      </c>
      <c r="Z140" s="16">
        <f>SUM(X138:X140)</f>
        <v>6.5713181291070736E-3</v>
      </c>
      <c r="AA140" s="16">
        <f>SUM($W$3:W140)</f>
        <v>100820</v>
      </c>
      <c r="AC140">
        <f>[2]马仔的投放!$AH$40</f>
        <v>4.4898386630033496E-2</v>
      </c>
    </row>
    <row r="141" spans="1:29">
      <c r="A141" s="10">
        <v>140</v>
      </c>
      <c r="B141" s="10">
        <v>0</v>
      </c>
      <c r="C141" s="29">
        <v>78106</v>
      </c>
      <c r="D141" s="10" t="str">
        <f>IFERROR(VLOOKUP(C141,[1]引用表合并!$A$2:$B$1000,2,FALSE),"")</f>
        <v>马仔碎片(靓坤)</v>
      </c>
      <c r="E141" s="10">
        <v>2</v>
      </c>
      <c r="F141" s="10">
        <f t="shared" ref="F141:F151" si="26">F127</f>
        <v>1800</v>
      </c>
      <c r="G141" s="10">
        <v>1</v>
      </c>
      <c r="H141" s="10">
        <v>100</v>
      </c>
      <c r="I141" s="10">
        <v>0</v>
      </c>
      <c r="J141" s="10">
        <v>0</v>
      </c>
      <c r="K141" s="7">
        <v>0</v>
      </c>
      <c r="L141" s="7">
        <v>0</v>
      </c>
      <c r="M141" s="7">
        <v>0</v>
      </c>
      <c r="O141" s="1">
        <f>ROUNDUP(VLOOKUP(C141,[2]!游戏物价查询,7,FALSE),0)*E141</f>
        <v>100</v>
      </c>
      <c r="P141">
        <f>VLOOKUP(C141,[2]!游戏物价查询,4,0)</f>
        <v>980</v>
      </c>
      <c r="R141">
        <f t="shared" si="21"/>
        <v>1800</v>
      </c>
      <c r="S141">
        <f t="shared" si="22"/>
        <v>1.1856926421184376E-2</v>
      </c>
      <c r="V141" s="16">
        <f>SUM($R$3:R141)</f>
        <v>106010</v>
      </c>
      <c r="W141">
        <f t="shared" si="20"/>
        <v>1800</v>
      </c>
      <c r="X141">
        <f t="shared" si="23"/>
        <v>1.1596443757247778E-2</v>
      </c>
      <c r="Z141" s="16"/>
      <c r="AA141" s="16">
        <f>SUM($W$3:W141)</f>
        <v>102620</v>
      </c>
    </row>
    <row r="142" spans="1:29">
      <c r="A142" s="10">
        <v>141</v>
      </c>
      <c r="B142" s="10">
        <v>0</v>
      </c>
      <c r="C142" s="29">
        <v>78107</v>
      </c>
      <c r="D142" s="10" t="str">
        <f>IFERROR(VLOOKUP(C142,[1]引用表合并!$A$2:$B$1000,2,FALSE),"")</f>
        <v>马仔碎片(雷复轰)</v>
      </c>
      <c r="E142" s="10">
        <v>2</v>
      </c>
      <c r="F142" s="10">
        <f t="shared" si="26"/>
        <v>1700</v>
      </c>
      <c r="G142" s="10">
        <v>1</v>
      </c>
      <c r="H142" s="10">
        <v>100</v>
      </c>
      <c r="I142" s="10">
        <v>0</v>
      </c>
      <c r="J142" s="10">
        <v>0</v>
      </c>
      <c r="K142" s="7">
        <v>0</v>
      </c>
      <c r="L142" s="7">
        <v>0</v>
      </c>
      <c r="M142" s="7">
        <v>0</v>
      </c>
      <c r="O142" s="1">
        <f>ROUNDUP(VLOOKUP(C142,[2]!游戏物价查询,7,FALSE),0)*E142</f>
        <v>100</v>
      </c>
      <c r="P142">
        <f>VLOOKUP(C142,[2]!游戏物价查询,4,0)</f>
        <v>980</v>
      </c>
      <c r="R142">
        <f t="shared" si="21"/>
        <v>1700</v>
      </c>
      <c r="S142">
        <f t="shared" si="22"/>
        <v>1.1198208286674132E-2</v>
      </c>
      <c r="V142" s="16">
        <f>SUM($R$3:R142)</f>
        <v>107710</v>
      </c>
      <c r="W142">
        <f t="shared" si="20"/>
        <v>1700</v>
      </c>
      <c r="X142">
        <f t="shared" si="23"/>
        <v>1.0952196881845124E-2</v>
      </c>
      <c r="Z142" s="16"/>
      <c r="AA142" s="16">
        <f>SUM($W$3:W142)</f>
        <v>104320</v>
      </c>
    </row>
    <row r="143" spans="1:29">
      <c r="A143" s="10">
        <v>142</v>
      </c>
      <c r="B143" s="10">
        <v>0</v>
      </c>
      <c r="C143" s="29">
        <v>78108</v>
      </c>
      <c r="D143" s="10" t="str">
        <f>IFERROR(VLOOKUP(C143,[1]引用表合并!$A$2:$B$1000,2,FALSE),"")</f>
        <v>马仔碎片(肥仔)</v>
      </c>
      <c r="E143" s="10">
        <v>2</v>
      </c>
      <c r="F143" s="10">
        <f t="shared" si="26"/>
        <v>1600</v>
      </c>
      <c r="G143" s="10">
        <v>1</v>
      </c>
      <c r="H143" s="10">
        <v>100</v>
      </c>
      <c r="I143" s="10">
        <v>0</v>
      </c>
      <c r="J143" s="10">
        <v>0</v>
      </c>
      <c r="K143" s="7">
        <v>0</v>
      </c>
      <c r="L143" s="7">
        <v>0</v>
      </c>
      <c r="M143" s="7">
        <v>0</v>
      </c>
      <c r="O143" s="1">
        <f>ROUNDUP(VLOOKUP(C143,[2]!游戏物价查询,7,FALSE),0)*E143</f>
        <v>100</v>
      </c>
      <c r="P143">
        <f>VLOOKUP(C143,[2]!游戏物价查询,4,0)</f>
        <v>980</v>
      </c>
      <c r="R143">
        <f t="shared" si="21"/>
        <v>1600</v>
      </c>
      <c r="S143">
        <f t="shared" si="22"/>
        <v>1.0539490152163889E-2</v>
      </c>
      <c r="V143" s="16">
        <f>SUM($R$3:R143)</f>
        <v>109310</v>
      </c>
      <c r="W143">
        <f t="shared" si="20"/>
        <v>1600</v>
      </c>
      <c r="X143">
        <f t="shared" si="23"/>
        <v>1.030795000644247E-2</v>
      </c>
      <c r="Z143" s="16"/>
      <c r="AA143" s="16">
        <f>SUM($W$3:W143)</f>
        <v>105920</v>
      </c>
    </row>
    <row r="144" spans="1:29">
      <c r="A144" s="10">
        <v>143</v>
      </c>
      <c r="B144" s="10">
        <v>0</v>
      </c>
      <c r="C144" s="8">
        <v>78117</v>
      </c>
      <c r="D144" s="10" t="str">
        <f>IFERROR(VLOOKUP(C144,[1]引用表合并!$A$2:$B$1000,2,FALSE),"")</f>
        <v>马仔碎片(巴闭)</v>
      </c>
      <c r="E144" s="10">
        <v>2</v>
      </c>
      <c r="F144" s="10">
        <f t="shared" si="26"/>
        <v>1500</v>
      </c>
      <c r="G144" s="10">
        <v>1</v>
      </c>
      <c r="H144" s="10">
        <v>100</v>
      </c>
      <c r="I144" s="10">
        <v>0</v>
      </c>
      <c r="J144" s="10">
        <v>0</v>
      </c>
      <c r="K144" s="7">
        <v>0</v>
      </c>
      <c r="L144" s="7">
        <v>0</v>
      </c>
      <c r="M144" s="7">
        <v>0</v>
      </c>
      <c r="O144" s="1">
        <f>ROUNDUP(VLOOKUP(C144,[2]!游戏物价查询,7,FALSE),0)*E144</f>
        <v>100</v>
      </c>
      <c r="P144">
        <f>VLOOKUP(C144,[2]!游戏物价查询,4,0)</f>
        <v>980</v>
      </c>
      <c r="R144">
        <f t="shared" si="21"/>
        <v>1500</v>
      </c>
      <c r="S144">
        <f t="shared" si="22"/>
        <v>9.8807720176536454E-3</v>
      </c>
      <c r="U144" s="16">
        <f>SUM(S141:S144)</f>
        <v>4.3475396877676042E-2</v>
      </c>
      <c r="V144" s="16">
        <f>SUM($R$3:R144)</f>
        <v>110810</v>
      </c>
      <c r="W144">
        <f t="shared" si="20"/>
        <v>1500</v>
      </c>
      <c r="X144">
        <f t="shared" si="23"/>
        <v>9.6637031310398136E-3</v>
      </c>
      <c r="Z144" s="16">
        <f>SUM(X141:X144)</f>
        <v>4.2520293776575187E-2</v>
      </c>
      <c r="AA144" s="16">
        <f>SUM($W$3:W144)</f>
        <v>107420</v>
      </c>
    </row>
    <row r="145" spans="1:27">
      <c r="A145" s="10">
        <v>144</v>
      </c>
      <c r="B145" s="10">
        <v>0</v>
      </c>
      <c r="C145" s="45">
        <v>78110</v>
      </c>
      <c r="D145" s="10" t="str">
        <f>IFERROR(VLOOKUP(C145,[1]引用表合并!$A$2:$B$1000,2,FALSE),"")</f>
        <v>马仔碎片(乌鸦)</v>
      </c>
      <c r="E145" s="10">
        <v>2</v>
      </c>
      <c r="F145" s="10">
        <f t="shared" si="26"/>
        <v>800</v>
      </c>
      <c r="G145" s="10">
        <v>1</v>
      </c>
      <c r="H145" s="10">
        <v>100</v>
      </c>
      <c r="I145" s="10">
        <v>0</v>
      </c>
      <c r="J145" s="10">
        <v>0</v>
      </c>
      <c r="K145" s="7">
        <v>0</v>
      </c>
      <c r="L145" s="7">
        <v>0</v>
      </c>
      <c r="M145" s="7">
        <v>0</v>
      </c>
      <c r="O145" s="1">
        <f>ROUNDUP(VLOOKUP(C145,[2]!游戏物价查询,7,FALSE),0)*E145</f>
        <v>200</v>
      </c>
      <c r="P145">
        <f>VLOOKUP(C145,[2]!游戏物价查询,4,0)</f>
        <v>980</v>
      </c>
      <c r="R145">
        <f t="shared" ref="R145:R173" si="27">IF(L145&lt;2,F145,"")</f>
        <v>800</v>
      </c>
      <c r="S145">
        <f t="shared" si="22"/>
        <v>5.2697450760819447E-3</v>
      </c>
      <c r="V145" s="16">
        <f>SUM($R$3:R145)</f>
        <v>111610</v>
      </c>
      <c r="W145">
        <f t="shared" si="20"/>
        <v>800</v>
      </c>
      <c r="X145">
        <f t="shared" si="23"/>
        <v>5.1539750032212348E-3</v>
      </c>
      <c r="Z145" s="16"/>
      <c r="AA145" s="16">
        <f>SUM($W$3:W145)</f>
        <v>108220</v>
      </c>
    </row>
    <row r="146" spans="1:27">
      <c r="A146" s="10">
        <v>145</v>
      </c>
      <c r="B146" s="10">
        <v>0</v>
      </c>
      <c r="C146" s="45">
        <v>78111</v>
      </c>
      <c r="D146" s="10" t="str">
        <f>IFERROR(VLOOKUP(C146,[1]引用表合并!$A$2:$B$1000,2,FALSE),"")</f>
        <v>马仔碎片(赌王)</v>
      </c>
      <c r="E146" s="10">
        <v>2</v>
      </c>
      <c r="F146" s="10">
        <f t="shared" si="26"/>
        <v>780</v>
      </c>
      <c r="G146" s="10">
        <v>1</v>
      </c>
      <c r="H146" s="10">
        <v>100</v>
      </c>
      <c r="I146" s="10">
        <v>0</v>
      </c>
      <c r="J146" s="10">
        <v>0</v>
      </c>
      <c r="K146" s="7">
        <v>0</v>
      </c>
      <c r="L146" s="7">
        <v>0</v>
      </c>
      <c r="M146" s="7">
        <v>0</v>
      </c>
      <c r="O146" s="1">
        <f>ROUNDUP(VLOOKUP(C146,[2]!游戏物价查询,7,FALSE),0)*E146</f>
        <v>200</v>
      </c>
      <c r="P146">
        <f>VLOOKUP(C146,[2]!游戏物价查询,4,0)</f>
        <v>980</v>
      </c>
      <c r="R146">
        <f t="shared" si="27"/>
        <v>780</v>
      </c>
      <c r="S146">
        <f t="shared" si="22"/>
        <v>5.1380014491798961E-3</v>
      </c>
      <c r="V146" s="16">
        <f>SUM($R$3:R146)</f>
        <v>112390</v>
      </c>
      <c r="W146">
        <f t="shared" si="20"/>
        <v>780</v>
      </c>
      <c r="X146">
        <f t="shared" si="23"/>
        <v>5.0251256281407036E-3</v>
      </c>
      <c r="Z146" s="16"/>
      <c r="AA146" s="16">
        <f>SUM($W$3:W146)</f>
        <v>109000</v>
      </c>
    </row>
    <row r="147" spans="1:27">
      <c r="A147" s="10">
        <v>146</v>
      </c>
      <c r="B147" s="10">
        <v>0</v>
      </c>
      <c r="C147" s="45">
        <v>78112</v>
      </c>
      <c r="D147" s="10" t="str">
        <f>IFERROR(VLOOKUP(C147,[1]引用表合并!$A$2:$B$1000,2,FALSE),"")</f>
        <v>马仔碎片(山下忠秀)</v>
      </c>
      <c r="E147" s="10">
        <v>2</v>
      </c>
      <c r="F147" s="10">
        <f t="shared" si="26"/>
        <v>760</v>
      </c>
      <c r="G147" s="10">
        <v>1</v>
      </c>
      <c r="H147" s="10">
        <v>100</v>
      </c>
      <c r="I147" s="10">
        <v>0</v>
      </c>
      <c r="J147" s="10">
        <v>0</v>
      </c>
      <c r="K147" s="7">
        <v>0</v>
      </c>
      <c r="L147" s="7">
        <v>0</v>
      </c>
      <c r="M147" s="7">
        <v>0</v>
      </c>
      <c r="O147" s="1">
        <f>ROUNDUP(VLOOKUP(C147,[2]!游戏物价查询,7,FALSE),0)*E147</f>
        <v>200</v>
      </c>
      <c r="P147">
        <f>VLOOKUP(C147,[2]!游戏物价查询,4,0)</f>
        <v>980</v>
      </c>
      <c r="R147">
        <f t="shared" si="27"/>
        <v>760</v>
      </c>
      <c r="S147">
        <f t="shared" si="22"/>
        <v>5.0062578222778474E-3</v>
      </c>
      <c r="V147" s="16">
        <f>SUM($R$3:R147)</f>
        <v>113150</v>
      </c>
      <c r="W147">
        <f t="shared" si="20"/>
        <v>760</v>
      </c>
      <c r="X147">
        <f t="shared" si="23"/>
        <v>4.8962762530601724E-3</v>
      </c>
      <c r="Z147" s="16"/>
      <c r="AA147" s="16">
        <f>SUM($W$3:W147)</f>
        <v>109760</v>
      </c>
    </row>
    <row r="148" spans="1:27">
      <c r="A148" s="10">
        <v>147</v>
      </c>
      <c r="B148" s="10">
        <v>0</v>
      </c>
      <c r="C148" s="45">
        <v>78113</v>
      </c>
      <c r="D148" s="10" t="str">
        <f>IFERROR(VLOOKUP(C148,[1]引用表合并!$A$2:$B$1000,2,FALSE),"")</f>
        <v>马仔碎片(宫本一)</v>
      </c>
      <c r="E148" s="10">
        <v>2</v>
      </c>
      <c r="F148" s="10">
        <f t="shared" si="26"/>
        <v>740</v>
      </c>
      <c r="G148" s="10">
        <v>1</v>
      </c>
      <c r="H148" s="10">
        <v>100</v>
      </c>
      <c r="I148" s="10">
        <v>0</v>
      </c>
      <c r="J148" s="10">
        <v>0</v>
      </c>
      <c r="K148" s="7">
        <v>0</v>
      </c>
      <c r="L148" s="7">
        <v>0</v>
      </c>
      <c r="M148" s="7">
        <v>0</v>
      </c>
      <c r="O148" s="1">
        <f>ROUNDUP(VLOOKUP(C148,[2]!游戏物价查询,7,FALSE),0)*E148</f>
        <v>200</v>
      </c>
      <c r="P148">
        <f>VLOOKUP(C148,[2]!游戏物价查询,4,0)</f>
        <v>980</v>
      </c>
      <c r="R148">
        <f t="shared" ref="R148:R149" si="28">IF(L148&lt;2,F148,"")</f>
        <v>740</v>
      </c>
      <c r="S148">
        <f t="shared" si="22"/>
        <v>4.8745141953757988E-3</v>
      </c>
      <c r="V148" s="16">
        <f>SUM($R$3:R148)</f>
        <v>113890</v>
      </c>
      <c r="W148">
        <f t="shared" si="20"/>
        <v>740</v>
      </c>
      <c r="X148">
        <f t="shared" si="23"/>
        <v>4.7674268779796421E-3</v>
      </c>
      <c r="Z148" s="16"/>
      <c r="AA148" s="16">
        <f>SUM($W$3:W148)</f>
        <v>110500</v>
      </c>
    </row>
    <row r="149" spans="1:27">
      <c r="A149" s="10">
        <v>148</v>
      </c>
      <c r="B149" s="10">
        <v>0</v>
      </c>
      <c r="C149" s="46">
        <v>78118</v>
      </c>
      <c r="D149" s="10" t="str">
        <f>IFERROR(VLOOKUP(C149,[1]引用表合并!$A$2:$B$1000,2,FALSE),"")</f>
        <v>马仔碎片(耀阳)</v>
      </c>
      <c r="E149" s="10">
        <v>2</v>
      </c>
      <c r="F149" s="10">
        <f t="shared" si="26"/>
        <v>720</v>
      </c>
      <c r="G149" s="10">
        <v>1</v>
      </c>
      <c r="H149" s="10">
        <v>100</v>
      </c>
      <c r="I149" s="10">
        <v>0</v>
      </c>
      <c r="J149" s="10">
        <v>0</v>
      </c>
      <c r="K149" s="7">
        <v>0</v>
      </c>
      <c r="L149" s="7">
        <v>0</v>
      </c>
      <c r="M149" s="7">
        <v>0</v>
      </c>
      <c r="O149" s="1">
        <f>ROUNDUP(VLOOKUP(C149,[2]!游戏物价查询,7,FALSE),0)*E149</f>
        <v>200</v>
      </c>
      <c r="P149">
        <f>VLOOKUP(C149,[2]!游戏物价查询,4,0)</f>
        <v>980</v>
      </c>
      <c r="R149">
        <f t="shared" si="28"/>
        <v>720</v>
      </c>
      <c r="S149">
        <f t="shared" si="22"/>
        <v>4.7427705684737502E-3</v>
      </c>
      <c r="V149" s="16">
        <f>SUM($R$3:R149)</f>
        <v>114610</v>
      </c>
      <c r="W149">
        <f t="shared" si="20"/>
        <v>720</v>
      </c>
      <c r="X149">
        <f t="shared" si="23"/>
        <v>4.6385775028991109E-3</v>
      </c>
      <c r="Z149" s="16"/>
      <c r="AA149" s="16">
        <f>SUM($W$3:W149)</f>
        <v>111220</v>
      </c>
    </row>
    <row r="150" spans="1:27">
      <c r="A150" s="10">
        <v>149</v>
      </c>
      <c r="B150" s="10">
        <v>0</v>
      </c>
      <c r="C150" s="45">
        <v>78109</v>
      </c>
      <c r="D150" s="10" t="str">
        <f>IFERROR(VLOOKUP(C150,[1]引用表合并!$A$2:$B$1000,2,FALSE),"")</f>
        <v>马仔碎片(司徒浩南)</v>
      </c>
      <c r="E150" s="10">
        <v>2</v>
      </c>
      <c r="F150" s="10">
        <f t="shared" si="26"/>
        <v>700</v>
      </c>
      <c r="G150" s="10">
        <v>1</v>
      </c>
      <c r="H150" s="10">
        <v>100</v>
      </c>
      <c r="I150" s="10">
        <v>0</v>
      </c>
      <c r="J150" s="10">
        <v>0</v>
      </c>
      <c r="K150" s="7">
        <v>0</v>
      </c>
      <c r="L150" s="7">
        <v>0</v>
      </c>
      <c r="M150" s="7">
        <v>0</v>
      </c>
      <c r="O150" s="1">
        <f>ROUNDUP(VLOOKUP(C150,[2]!游戏物价查询,7,FALSE),0)*E150</f>
        <v>200</v>
      </c>
      <c r="P150">
        <f>VLOOKUP(C150,[2]!游戏物价查询,4,0)</f>
        <v>980</v>
      </c>
      <c r="R150">
        <f t="shared" ref="R150" si="29">IF(L150&lt;2,F150,"")</f>
        <v>700</v>
      </c>
      <c r="S150">
        <f t="shared" si="22"/>
        <v>4.6110269415717015E-3</v>
      </c>
      <c r="V150" s="16">
        <f>SUM($R$3:R150)</f>
        <v>115310</v>
      </c>
      <c r="W150">
        <f t="shared" si="20"/>
        <v>700</v>
      </c>
      <c r="X150">
        <f t="shared" si="23"/>
        <v>4.5097281278185797E-3</v>
      </c>
      <c r="Z150" s="16"/>
      <c r="AA150" s="16">
        <f>SUM($W$3:W150)</f>
        <v>111920</v>
      </c>
    </row>
    <row r="151" spans="1:27">
      <c r="A151" s="10">
        <v>150</v>
      </c>
      <c r="B151" s="10">
        <v>0</v>
      </c>
      <c r="C151" s="46">
        <v>78119</v>
      </c>
      <c r="D151" s="10" t="str">
        <f>IFERROR(VLOOKUP(C151,[1]引用表合并!$A$2:$B$1000,2,FALSE),"")</f>
        <v>马仔碎片(笑面虎)</v>
      </c>
      <c r="E151" s="10">
        <v>2</v>
      </c>
      <c r="F151" s="10">
        <f t="shared" si="26"/>
        <v>700</v>
      </c>
      <c r="G151" s="10">
        <v>1</v>
      </c>
      <c r="H151" s="10">
        <v>100</v>
      </c>
      <c r="I151" s="10">
        <v>0</v>
      </c>
      <c r="J151" s="10">
        <v>0</v>
      </c>
      <c r="K151" s="7">
        <v>0</v>
      </c>
      <c r="L151" s="7">
        <v>0</v>
      </c>
      <c r="M151" s="7">
        <v>0</v>
      </c>
      <c r="O151" s="1">
        <f>ROUNDUP(VLOOKUP(C151,[2]!游戏物价查询,7,FALSE),0)*E151</f>
        <v>200</v>
      </c>
      <c r="P151">
        <f>VLOOKUP(C151,[2]!游戏物价查询,4,0)</f>
        <v>980</v>
      </c>
      <c r="R151">
        <f t="shared" si="27"/>
        <v>700</v>
      </c>
      <c r="S151">
        <f t="shared" si="22"/>
        <v>4.6110269415717015E-3</v>
      </c>
      <c r="U151" s="16">
        <f>SUM(S145:S151)</f>
        <v>3.4253342994532636E-2</v>
      </c>
      <c r="V151" s="16">
        <f>SUM($R$3:R151)</f>
        <v>116010</v>
      </c>
      <c r="W151">
        <f t="shared" si="20"/>
        <v>700</v>
      </c>
      <c r="X151">
        <f t="shared" si="23"/>
        <v>4.5097281278185797E-3</v>
      </c>
      <c r="Z151" s="16">
        <f>SUM(X145:X151)</f>
        <v>3.350083752093802E-2</v>
      </c>
      <c r="AA151" s="16">
        <f>SUM($W$3:W151)</f>
        <v>112620</v>
      </c>
    </row>
    <row r="152" spans="1:27">
      <c r="A152" s="10">
        <v>151</v>
      </c>
      <c r="B152" s="10">
        <v>0</v>
      </c>
      <c r="C152" s="29">
        <v>78106</v>
      </c>
      <c r="D152" s="10" t="str">
        <f>IFERROR(VLOOKUP(C152,[1]引用表合并!$A$2:$B$1000,2,FALSE),"")</f>
        <v>马仔碎片(靓坤)</v>
      </c>
      <c r="E152" s="10">
        <v>3</v>
      </c>
      <c r="F152" s="10">
        <f t="shared" ref="F152:F162" si="30">F141</f>
        <v>1800</v>
      </c>
      <c r="G152" s="10">
        <v>1</v>
      </c>
      <c r="H152" s="10">
        <v>100</v>
      </c>
      <c r="I152" s="10">
        <v>0</v>
      </c>
      <c r="J152" s="10">
        <v>0</v>
      </c>
      <c r="K152" s="7">
        <v>0</v>
      </c>
      <c r="L152" s="7">
        <v>0</v>
      </c>
      <c r="M152" s="7">
        <v>0</v>
      </c>
      <c r="O152" s="1">
        <f>ROUNDUP(VLOOKUP(C152,[2]!游戏物价查询,7,FALSE),0)*E152</f>
        <v>150</v>
      </c>
      <c r="P152">
        <f>VLOOKUP(C152,[2]!游戏物价查询,4,0)</f>
        <v>980</v>
      </c>
      <c r="R152">
        <f t="shared" si="27"/>
        <v>1800</v>
      </c>
      <c r="S152">
        <f t="shared" si="22"/>
        <v>1.1856926421184376E-2</v>
      </c>
      <c r="V152" s="16">
        <f>SUM($R$3:R152)</f>
        <v>117810</v>
      </c>
      <c r="W152">
        <f t="shared" si="20"/>
        <v>1800</v>
      </c>
      <c r="X152">
        <f t="shared" si="23"/>
        <v>1.1596443757247778E-2</v>
      </c>
      <c r="Z152" s="16"/>
      <c r="AA152" s="16">
        <f>SUM($W$3:W152)</f>
        <v>114420</v>
      </c>
    </row>
    <row r="153" spans="1:27">
      <c r="A153" s="10">
        <v>152</v>
      </c>
      <c r="B153" s="10">
        <v>0</v>
      </c>
      <c r="C153" s="29">
        <v>78107</v>
      </c>
      <c r="D153" s="10" t="str">
        <f>IFERROR(VLOOKUP(C153,[1]引用表合并!$A$2:$B$1000,2,FALSE),"")</f>
        <v>马仔碎片(雷复轰)</v>
      </c>
      <c r="E153" s="10">
        <v>3</v>
      </c>
      <c r="F153" s="10">
        <f t="shared" si="30"/>
        <v>1700</v>
      </c>
      <c r="G153" s="10">
        <v>1</v>
      </c>
      <c r="H153" s="10">
        <v>100</v>
      </c>
      <c r="I153" s="10">
        <v>0</v>
      </c>
      <c r="J153" s="10">
        <v>0</v>
      </c>
      <c r="K153" s="7">
        <v>0</v>
      </c>
      <c r="L153" s="7">
        <v>0</v>
      </c>
      <c r="M153" s="7">
        <v>0</v>
      </c>
      <c r="O153" s="1">
        <f>ROUNDUP(VLOOKUP(C153,[2]!游戏物价查询,7,FALSE),0)*E153</f>
        <v>150</v>
      </c>
      <c r="P153">
        <f>VLOOKUP(C153,[2]!游戏物价查询,4,0)</f>
        <v>980</v>
      </c>
      <c r="R153">
        <f t="shared" si="27"/>
        <v>1700</v>
      </c>
      <c r="S153">
        <f t="shared" si="22"/>
        <v>1.1198208286674132E-2</v>
      </c>
      <c r="V153" s="16">
        <f>SUM($R$3:R153)</f>
        <v>119510</v>
      </c>
      <c r="W153">
        <f t="shared" si="20"/>
        <v>1700</v>
      </c>
      <c r="X153">
        <f t="shared" si="23"/>
        <v>1.0952196881845124E-2</v>
      </c>
      <c r="Z153" s="16"/>
      <c r="AA153" s="16">
        <f>SUM($W$3:W153)</f>
        <v>116120</v>
      </c>
    </row>
    <row r="154" spans="1:27">
      <c r="A154" s="10">
        <v>153</v>
      </c>
      <c r="B154" s="10">
        <v>0</v>
      </c>
      <c r="C154" s="29">
        <v>78108</v>
      </c>
      <c r="D154" s="10" t="str">
        <f>IFERROR(VLOOKUP(C154,[1]引用表合并!$A$2:$B$1000,2,FALSE),"")</f>
        <v>马仔碎片(肥仔)</v>
      </c>
      <c r="E154" s="10">
        <v>3</v>
      </c>
      <c r="F154" s="10">
        <f t="shared" si="30"/>
        <v>1600</v>
      </c>
      <c r="G154" s="10">
        <v>1</v>
      </c>
      <c r="H154" s="10">
        <v>100</v>
      </c>
      <c r="I154" s="10">
        <v>0</v>
      </c>
      <c r="J154" s="10">
        <v>0</v>
      </c>
      <c r="K154" s="7">
        <v>0</v>
      </c>
      <c r="L154" s="7">
        <v>0</v>
      </c>
      <c r="M154" s="7">
        <v>0</v>
      </c>
      <c r="O154" s="1">
        <f>ROUNDUP(VLOOKUP(C154,[2]!游戏物价查询,7,FALSE),0)*E154</f>
        <v>150</v>
      </c>
      <c r="P154">
        <f>VLOOKUP(C154,[2]!游戏物价查询,4,0)</f>
        <v>980</v>
      </c>
      <c r="R154">
        <f t="shared" si="27"/>
        <v>1600</v>
      </c>
      <c r="S154">
        <f t="shared" si="22"/>
        <v>1.0539490152163889E-2</v>
      </c>
      <c r="V154" s="16">
        <f>SUM($R$3:R154)</f>
        <v>121110</v>
      </c>
      <c r="W154">
        <f t="shared" si="20"/>
        <v>1600</v>
      </c>
      <c r="X154">
        <f t="shared" si="23"/>
        <v>1.030795000644247E-2</v>
      </c>
      <c r="Z154" s="16"/>
      <c r="AA154" s="16">
        <f>SUM($W$3:W154)</f>
        <v>117720</v>
      </c>
    </row>
    <row r="155" spans="1:27">
      <c r="A155" s="10">
        <v>154</v>
      </c>
      <c r="B155" s="10">
        <v>0</v>
      </c>
      <c r="C155" s="8">
        <v>78117</v>
      </c>
      <c r="D155" s="10" t="str">
        <f>IFERROR(VLOOKUP(C155,[1]引用表合并!$A$2:$B$1000,2,FALSE),"")</f>
        <v>马仔碎片(巴闭)</v>
      </c>
      <c r="E155" s="10">
        <v>3</v>
      </c>
      <c r="F155" s="10">
        <f t="shared" si="30"/>
        <v>1500</v>
      </c>
      <c r="G155" s="10">
        <v>1</v>
      </c>
      <c r="H155" s="10">
        <v>100</v>
      </c>
      <c r="I155" s="10">
        <v>0</v>
      </c>
      <c r="J155" s="10">
        <v>0</v>
      </c>
      <c r="K155" s="7">
        <v>0</v>
      </c>
      <c r="L155" s="7">
        <v>0</v>
      </c>
      <c r="M155" s="7">
        <v>0</v>
      </c>
      <c r="O155" s="1">
        <f>ROUNDUP(VLOOKUP(C155,[2]!游戏物价查询,7,FALSE),0)*E155</f>
        <v>150</v>
      </c>
      <c r="P155">
        <f>VLOOKUP(C155,[2]!游戏物价查询,4,0)</f>
        <v>980</v>
      </c>
      <c r="R155">
        <f t="shared" si="27"/>
        <v>1500</v>
      </c>
      <c r="S155">
        <f t="shared" si="22"/>
        <v>9.8807720176536454E-3</v>
      </c>
      <c r="U155" s="16">
        <f>SUM(S152:S155)</f>
        <v>4.3475396877676042E-2</v>
      </c>
      <c r="V155" s="16">
        <f>SUM($R$3:R155)</f>
        <v>122610</v>
      </c>
      <c r="W155">
        <f t="shared" si="20"/>
        <v>1500</v>
      </c>
      <c r="X155">
        <f t="shared" si="23"/>
        <v>9.6637031310398136E-3</v>
      </c>
      <c r="Z155" s="16">
        <f>SUM(X152:X155)</f>
        <v>4.2520293776575187E-2</v>
      </c>
      <c r="AA155" s="16">
        <f>SUM($W$3:W155)</f>
        <v>119220</v>
      </c>
    </row>
    <row r="156" spans="1:27">
      <c r="A156" s="10">
        <v>155</v>
      </c>
      <c r="B156" s="10">
        <v>0</v>
      </c>
      <c r="C156" s="45">
        <v>78110</v>
      </c>
      <c r="D156" s="10" t="str">
        <f>IFERROR(VLOOKUP(C156,[1]引用表合并!$A$2:$B$1000,2,FALSE),"")</f>
        <v>马仔碎片(乌鸦)</v>
      </c>
      <c r="E156" s="10">
        <v>3</v>
      </c>
      <c r="F156" s="10">
        <f t="shared" si="30"/>
        <v>800</v>
      </c>
      <c r="G156" s="10">
        <v>1</v>
      </c>
      <c r="H156" s="10">
        <v>100</v>
      </c>
      <c r="I156" s="10">
        <v>0</v>
      </c>
      <c r="J156" s="10">
        <v>0</v>
      </c>
      <c r="K156" s="7">
        <v>0</v>
      </c>
      <c r="L156" s="7">
        <v>0</v>
      </c>
      <c r="M156" s="7">
        <v>0</v>
      </c>
      <c r="O156" s="1">
        <f>ROUNDUP(VLOOKUP(C156,[2]!游戏物价查询,7,FALSE),0)*E156</f>
        <v>300</v>
      </c>
      <c r="P156">
        <f>VLOOKUP(C156,[2]!游戏物价查询,4,0)</f>
        <v>980</v>
      </c>
      <c r="R156">
        <f t="shared" si="27"/>
        <v>800</v>
      </c>
      <c r="S156">
        <f t="shared" si="22"/>
        <v>5.2697450760819447E-3</v>
      </c>
      <c r="V156" s="16">
        <f>SUM($R$3:R156)</f>
        <v>123410</v>
      </c>
      <c r="W156">
        <f t="shared" si="20"/>
        <v>800</v>
      </c>
      <c r="X156">
        <f t="shared" si="23"/>
        <v>5.1539750032212348E-3</v>
      </c>
      <c r="Z156" s="16"/>
      <c r="AA156" s="16">
        <f>SUM($W$3:W156)</f>
        <v>120020</v>
      </c>
    </row>
    <row r="157" spans="1:27">
      <c r="A157" s="10">
        <v>156</v>
      </c>
      <c r="B157" s="10">
        <v>0</v>
      </c>
      <c r="C157" s="45">
        <v>78111</v>
      </c>
      <c r="D157" s="10" t="str">
        <f>IFERROR(VLOOKUP(C157,[1]引用表合并!$A$2:$B$1000,2,FALSE),"")</f>
        <v>马仔碎片(赌王)</v>
      </c>
      <c r="E157" s="10">
        <v>3</v>
      </c>
      <c r="F157" s="10">
        <f t="shared" si="30"/>
        <v>780</v>
      </c>
      <c r="G157" s="10">
        <v>1</v>
      </c>
      <c r="H157" s="10">
        <v>100</v>
      </c>
      <c r="I157" s="10">
        <v>0</v>
      </c>
      <c r="J157" s="10">
        <v>0</v>
      </c>
      <c r="K157" s="7">
        <v>0</v>
      </c>
      <c r="L157" s="7">
        <v>0</v>
      </c>
      <c r="M157" s="7">
        <v>0</v>
      </c>
      <c r="O157" s="1">
        <f>ROUNDUP(VLOOKUP(C157,[2]!游戏物价查询,7,FALSE),0)*E157</f>
        <v>300</v>
      </c>
      <c r="P157">
        <f>VLOOKUP(C157,[2]!游戏物价查询,4,0)</f>
        <v>980</v>
      </c>
      <c r="R157">
        <f t="shared" si="27"/>
        <v>780</v>
      </c>
      <c r="S157">
        <f t="shared" si="22"/>
        <v>5.1380014491798961E-3</v>
      </c>
      <c r="V157" s="16">
        <f>SUM($R$3:R157)</f>
        <v>124190</v>
      </c>
      <c r="W157">
        <f t="shared" si="20"/>
        <v>780</v>
      </c>
      <c r="X157">
        <f t="shared" si="23"/>
        <v>5.0251256281407036E-3</v>
      </c>
      <c r="Z157" s="16"/>
      <c r="AA157" s="16">
        <f>SUM($W$3:W157)</f>
        <v>120800</v>
      </c>
    </row>
    <row r="158" spans="1:27">
      <c r="A158" s="10">
        <v>157</v>
      </c>
      <c r="B158" s="10">
        <v>0</v>
      </c>
      <c r="C158" s="45">
        <v>78112</v>
      </c>
      <c r="D158" s="10" t="str">
        <f>IFERROR(VLOOKUP(C158,[1]引用表合并!$A$2:$B$1000,2,FALSE),"")</f>
        <v>马仔碎片(山下忠秀)</v>
      </c>
      <c r="E158" s="10">
        <v>3</v>
      </c>
      <c r="F158" s="10">
        <f t="shared" si="30"/>
        <v>760</v>
      </c>
      <c r="G158" s="10">
        <v>1</v>
      </c>
      <c r="H158" s="10">
        <v>100</v>
      </c>
      <c r="I158" s="10">
        <v>0</v>
      </c>
      <c r="J158" s="10">
        <v>0</v>
      </c>
      <c r="K158" s="7">
        <v>0</v>
      </c>
      <c r="L158" s="7">
        <v>0</v>
      </c>
      <c r="M158" s="7">
        <v>0</v>
      </c>
      <c r="O158" s="1">
        <f>ROUNDUP(VLOOKUP(C158,[2]!游戏物价查询,7,FALSE),0)*E158</f>
        <v>300</v>
      </c>
      <c r="P158">
        <f>VLOOKUP(C158,[2]!游戏物价查询,4,0)</f>
        <v>980</v>
      </c>
      <c r="R158">
        <f t="shared" si="27"/>
        <v>760</v>
      </c>
      <c r="S158">
        <f t="shared" si="22"/>
        <v>5.0062578222778474E-3</v>
      </c>
      <c r="V158" s="16">
        <f>SUM($R$3:R158)</f>
        <v>124950</v>
      </c>
      <c r="W158">
        <f t="shared" si="20"/>
        <v>760</v>
      </c>
      <c r="X158">
        <f t="shared" si="23"/>
        <v>4.8962762530601724E-3</v>
      </c>
      <c r="Z158" s="16"/>
      <c r="AA158" s="16">
        <f>SUM($W$3:W158)</f>
        <v>121560</v>
      </c>
    </row>
    <row r="159" spans="1:27">
      <c r="A159" s="10">
        <v>158</v>
      </c>
      <c r="B159" s="10">
        <v>0</v>
      </c>
      <c r="C159" s="45">
        <v>78113</v>
      </c>
      <c r="D159" s="10" t="str">
        <f>IFERROR(VLOOKUP(C159,[1]引用表合并!$A$2:$B$1000,2,FALSE),"")</f>
        <v>马仔碎片(宫本一)</v>
      </c>
      <c r="E159" s="10">
        <v>3</v>
      </c>
      <c r="F159" s="10">
        <f t="shared" si="30"/>
        <v>740</v>
      </c>
      <c r="G159" s="10">
        <v>1</v>
      </c>
      <c r="H159" s="10">
        <v>100</v>
      </c>
      <c r="I159" s="10">
        <v>0</v>
      </c>
      <c r="J159" s="10">
        <v>0</v>
      </c>
      <c r="K159" s="7">
        <v>0</v>
      </c>
      <c r="L159" s="7">
        <v>0</v>
      </c>
      <c r="M159" s="7">
        <v>0</v>
      </c>
      <c r="O159" s="1">
        <f>ROUNDUP(VLOOKUP(C159,[2]!游戏物价查询,7,FALSE),0)*E159</f>
        <v>300</v>
      </c>
      <c r="P159">
        <f>VLOOKUP(C159,[2]!游戏物价查询,4,0)</f>
        <v>980</v>
      </c>
      <c r="R159">
        <f t="shared" ref="R159:R160" si="31">IF(L159&lt;2,F159,"")</f>
        <v>740</v>
      </c>
      <c r="S159">
        <f t="shared" si="22"/>
        <v>4.8745141953757988E-3</v>
      </c>
      <c r="V159" s="16">
        <f>SUM($R$3:R159)</f>
        <v>125690</v>
      </c>
      <c r="W159">
        <f t="shared" si="20"/>
        <v>740</v>
      </c>
      <c r="X159">
        <f t="shared" si="23"/>
        <v>4.7674268779796421E-3</v>
      </c>
      <c r="Z159" s="16"/>
      <c r="AA159" s="16">
        <f>SUM($W$3:W159)</f>
        <v>122300</v>
      </c>
    </row>
    <row r="160" spans="1:27">
      <c r="A160" s="10">
        <v>159</v>
      </c>
      <c r="B160" s="10">
        <v>0</v>
      </c>
      <c r="C160" s="46">
        <v>78118</v>
      </c>
      <c r="D160" s="10" t="str">
        <f>IFERROR(VLOOKUP(C160,[1]引用表合并!$A$2:$B$1000,2,FALSE),"")</f>
        <v>马仔碎片(耀阳)</v>
      </c>
      <c r="E160" s="10">
        <v>3</v>
      </c>
      <c r="F160" s="10">
        <f t="shared" si="30"/>
        <v>720</v>
      </c>
      <c r="G160" s="10">
        <v>1</v>
      </c>
      <c r="H160" s="10">
        <v>100</v>
      </c>
      <c r="I160" s="10">
        <v>0</v>
      </c>
      <c r="J160" s="10">
        <v>0</v>
      </c>
      <c r="K160" s="7">
        <v>0</v>
      </c>
      <c r="L160" s="7">
        <v>0</v>
      </c>
      <c r="M160" s="7">
        <v>0</v>
      </c>
      <c r="O160" s="1">
        <f>ROUNDUP(VLOOKUP(C160,[2]!游戏物价查询,7,FALSE),0)*E160</f>
        <v>300</v>
      </c>
      <c r="P160">
        <f>VLOOKUP(C160,[2]!游戏物价查询,4,0)</f>
        <v>980</v>
      </c>
      <c r="R160">
        <f t="shared" si="31"/>
        <v>720</v>
      </c>
      <c r="S160">
        <f t="shared" si="22"/>
        <v>4.7427705684737502E-3</v>
      </c>
      <c r="V160" s="16">
        <f>SUM($R$3:R160)</f>
        <v>126410</v>
      </c>
      <c r="W160">
        <f t="shared" si="20"/>
        <v>720</v>
      </c>
      <c r="X160">
        <f t="shared" si="23"/>
        <v>4.6385775028991109E-3</v>
      </c>
      <c r="Z160" s="16"/>
      <c r="AA160" s="16">
        <f>SUM($W$3:W160)</f>
        <v>123020</v>
      </c>
    </row>
    <row r="161" spans="1:29">
      <c r="A161" s="10">
        <v>160</v>
      </c>
      <c r="B161" s="10">
        <v>0</v>
      </c>
      <c r="C161" s="45">
        <v>78109</v>
      </c>
      <c r="D161" s="10" t="str">
        <f>IFERROR(VLOOKUP(C161,[1]引用表合并!$A$2:$B$1000,2,FALSE),"")</f>
        <v>马仔碎片(司徒浩南)</v>
      </c>
      <c r="E161" s="10">
        <v>3</v>
      </c>
      <c r="F161" s="10">
        <f t="shared" si="30"/>
        <v>700</v>
      </c>
      <c r="G161" s="10">
        <v>1</v>
      </c>
      <c r="H161" s="10">
        <v>100</v>
      </c>
      <c r="I161" s="10">
        <v>0</v>
      </c>
      <c r="J161" s="10">
        <v>0</v>
      </c>
      <c r="K161" s="7">
        <v>0</v>
      </c>
      <c r="L161" s="7">
        <v>0</v>
      </c>
      <c r="M161" s="7">
        <v>0</v>
      </c>
      <c r="O161" s="1">
        <f>ROUNDUP(VLOOKUP(C161,[2]!游戏物价查询,7,FALSE),0)*E161</f>
        <v>300</v>
      </c>
      <c r="P161">
        <f>VLOOKUP(C161,[2]!游戏物价查询,4,0)</f>
        <v>980</v>
      </c>
      <c r="R161">
        <f t="shared" ref="R161" si="32">IF(L161&lt;2,F161,"")</f>
        <v>700</v>
      </c>
      <c r="S161">
        <f t="shared" si="22"/>
        <v>4.6110269415717015E-3</v>
      </c>
      <c r="V161" s="16">
        <f>SUM($R$3:R161)</f>
        <v>127110</v>
      </c>
      <c r="W161">
        <f t="shared" si="20"/>
        <v>700</v>
      </c>
      <c r="X161">
        <f t="shared" si="23"/>
        <v>4.5097281278185797E-3</v>
      </c>
      <c r="Z161" s="16"/>
      <c r="AA161" s="16">
        <f>SUM($W$3:W161)</f>
        <v>123720</v>
      </c>
    </row>
    <row r="162" spans="1:29">
      <c r="A162" s="10">
        <v>161</v>
      </c>
      <c r="B162" s="10">
        <v>0</v>
      </c>
      <c r="C162" s="46">
        <v>78119</v>
      </c>
      <c r="D162" s="10" t="str">
        <f>IFERROR(VLOOKUP(C162,[1]引用表合并!$A$2:$B$1000,2,FALSE),"")</f>
        <v>马仔碎片(笑面虎)</v>
      </c>
      <c r="E162" s="10">
        <v>3</v>
      </c>
      <c r="F162" s="10">
        <f t="shared" si="30"/>
        <v>700</v>
      </c>
      <c r="G162" s="10">
        <v>1</v>
      </c>
      <c r="H162" s="10">
        <v>100</v>
      </c>
      <c r="I162" s="10">
        <v>0</v>
      </c>
      <c r="J162" s="10">
        <v>0</v>
      </c>
      <c r="K162" s="7">
        <v>0</v>
      </c>
      <c r="L162" s="7">
        <v>0</v>
      </c>
      <c r="M162" s="7">
        <v>0</v>
      </c>
      <c r="O162" s="1">
        <f>ROUNDUP(VLOOKUP(C162,[2]!游戏物价查询,7,FALSE),0)*E162</f>
        <v>300</v>
      </c>
      <c r="P162">
        <f>VLOOKUP(C162,[2]!游戏物价查询,4,0)</f>
        <v>980</v>
      </c>
      <c r="R162">
        <f t="shared" si="27"/>
        <v>700</v>
      </c>
      <c r="S162">
        <f t="shared" si="22"/>
        <v>4.6110269415717015E-3</v>
      </c>
      <c r="U162" s="16">
        <f>SUM(S156:S162)</f>
        <v>3.4253342994532636E-2</v>
      </c>
      <c r="V162" s="16">
        <f>SUM($R$3:R162)</f>
        <v>127810</v>
      </c>
      <c r="W162">
        <f t="shared" si="20"/>
        <v>700</v>
      </c>
      <c r="X162">
        <f t="shared" si="23"/>
        <v>4.5097281278185797E-3</v>
      </c>
      <c r="Y162" s="52">
        <f>SUM(X127:X162)</f>
        <v>0.23463471202164668</v>
      </c>
      <c r="Z162" s="16">
        <f>SUM(X156:X162)</f>
        <v>3.350083752093802E-2</v>
      </c>
      <c r="AA162" s="16">
        <f>SUM($W$3:W162)</f>
        <v>124420</v>
      </c>
    </row>
    <row r="163" spans="1:29">
      <c r="A163" s="10">
        <v>162</v>
      </c>
      <c r="B163" s="10">
        <v>500201</v>
      </c>
      <c r="D163" s="10" t="s">
        <v>124</v>
      </c>
      <c r="E163" s="10">
        <v>1</v>
      </c>
      <c r="F163" s="10">
        <v>700</v>
      </c>
      <c r="G163" s="10">
        <v>1</v>
      </c>
      <c r="H163" s="10">
        <v>100</v>
      </c>
      <c r="I163" s="10">
        <v>0</v>
      </c>
      <c r="J163" s="10">
        <v>1</v>
      </c>
      <c r="K163" s="7">
        <v>0</v>
      </c>
      <c r="L163" s="7">
        <v>2</v>
      </c>
      <c r="M163" s="7">
        <v>0</v>
      </c>
      <c r="O163" s="1">
        <f>ROUNDUP(VLOOKUP(C164-41000,[2]!游戏物价查询,7,FALSE),0)*E163</f>
        <v>360</v>
      </c>
      <c r="R163" t="str">
        <f t="shared" si="27"/>
        <v/>
      </c>
      <c r="S163">
        <f t="shared" si="22"/>
        <v>0</v>
      </c>
      <c r="V163" s="16">
        <f>SUM($R$3:R163)</f>
        <v>127810</v>
      </c>
      <c r="W163">
        <f t="shared" si="20"/>
        <v>700</v>
      </c>
      <c r="X163">
        <f t="shared" si="23"/>
        <v>4.5097281278185797E-3</v>
      </c>
      <c r="Z163" s="16"/>
      <c r="AA163" s="16">
        <f>SUM($W$3:W163)</f>
        <v>125120</v>
      </c>
    </row>
    <row r="164" spans="1:29">
      <c r="A164" s="10">
        <v>163</v>
      </c>
      <c r="B164" s="10">
        <v>0</v>
      </c>
      <c r="C164" s="10">
        <v>51205</v>
      </c>
      <c r="D164" s="10" t="str">
        <f>IFERROR(VLOOKUP(C164,[1]引用表合并!$A$2:$B$1000,2,FALSE),"")</f>
        <v>紫云战衣</v>
      </c>
      <c r="E164" s="10">
        <v>1</v>
      </c>
      <c r="F164" s="10">
        <v>700</v>
      </c>
      <c r="G164" s="10">
        <v>1</v>
      </c>
      <c r="H164" s="10">
        <v>100</v>
      </c>
      <c r="I164" s="10">
        <v>0</v>
      </c>
      <c r="J164" s="10">
        <v>1</v>
      </c>
      <c r="K164" s="7">
        <v>0</v>
      </c>
      <c r="L164" s="7">
        <v>2</v>
      </c>
      <c r="M164" s="7">
        <v>0</v>
      </c>
      <c r="O164" s="1">
        <f>ROUNDUP(VLOOKUP(C164,[2]!游戏物价查询,7,FALSE),0)*E164</f>
        <v>306</v>
      </c>
      <c r="P164">
        <f>VLOOKUP(C164,[2]!游戏物价查询,4,0)</f>
        <v>1</v>
      </c>
      <c r="R164" t="str">
        <f t="shared" si="27"/>
        <v/>
      </c>
      <c r="S164">
        <f t="shared" si="22"/>
        <v>0</v>
      </c>
      <c r="V164" s="16">
        <f>SUM($R$3:R164)</f>
        <v>127810</v>
      </c>
      <c r="W164">
        <f t="shared" si="20"/>
        <v>700</v>
      </c>
      <c r="X164">
        <f t="shared" si="23"/>
        <v>4.5097281278185797E-3</v>
      </c>
      <c r="Z164" s="16"/>
      <c r="AA164" s="16">
        <f>SUM($W$3:W164)</f>
        <v>125820</v>
      </c>
    </row>
    <row r="165" spans="1:29">
      <c r="A165" s="10">
        <v>164</v>
      </c>
      <c r="B165" s="10">
        <v>0</v>
      </c>
      <c r="C165" s="10">
        <v>52205</v>
      </c>
      <c r="D165" s="10" t="str">
        <f>IFERROR(VLOOKUP(C165,[1]引用表合并!$A$2:$B$1000,2,FALSE),"")</f>
        <v>紫云长裤</v>
      </c>
      <c r="E165" s="10">
        <v>1</v>
      </c>
      <c r="F165" s="10">
        <v>700</v>
      </c>
      <c r="G165" s="10">
        <v>1</v>
      </c>
      <c r="H165" s="10">
        <v>100</v>
      </c>
      <c r="I165" s="10">
        <v>0</v>
      </c>
      <c r="J165" s="10">
        <v>1</v>
      </c>
      <c r="K165" s="7">
        <v>0</v>
      </c>
      <c r="L165" s="7">
        <v>2</v>
      </c>
      <c r="M165" s="7">
        <v>0</v>
      </c>
      <c r="O165" s="1">
        <f>ROUNDUP(VLOOKUP(C165,[2]!游戏物价查询,7,FALSE),0)*E165</f>
        <v>116</v>
      </c>
      <c r="P165">
        <f>VLOOKUP(C165,[2]!游戏物价查询,4,0)</f>
        <v>1</v>
      </c>
      <c r="R165" t="str">
        <f t="shared" si="27"/>
        <v/>
      </c>
      <c r="S165">
        <f t="shared" si="22"/>
        <v>0</v>
      </c>
      <c r="V165" s="16">
        <f>SUM($R$3:R165)</f>
        <v>127810</v>
      </c>
      <c r="W165">
        <f t="shared" si="20"/>
        <v>700</v>
      </c>
      <c r="X165">
        <f t="shared" si="23"/>
        <v>4.5097281278185797E-3</v>
      </c>
      <c r="Z165" s="16"/>
      <c r="AA165" s="16">
        <f>SUM($W$3:W165)</f>
        <v>126520</v>
      </c>
    </row>
    <row r="166" spans="1:29">
      <c r="A166" s="10">
        <v>165</v>
      </c>
      <c r="B166" s="10">
        <v>0</v>
      </c>
      <c r="C166" s="10">
        <v>55205</v>
      </c>
      <c r="D166" s="10" t="str">
        <f>IFERROR(VLOOKUP(C166,[1]引用表合并!$A$2:$B$1000,2,FALSE),"")</f>
        <v>紫云长靴</v>
      </c>
      <c r="E166" s="10">
        <v>1</v>
      </c>
      <c r="F166" s="10">
        <v>700</v>
      </c>
      <c r="G166" s="10">
        <v>1</v>
      </c>
      <c r="H166" s="10">
        <v>100</v>
      </c>
      <c r="I166" s="10">
        <v>0</v>
      </c>
      <c r="J166" s="10">
        <v>1</v>
      </c>
      <c r="K166" s="7">
        <v>0</v>
      </c>
      <c r="L166" s="7">
        <v>2</v>
      </c>
      <c r="M166" s="7">
        <v>0</v>
      </c>
      <c r="O166" s="1">
        <f>ROUNDUP(VLOOKUP(C166,[2]!游戏物价查询,7,FALSE),0)*E166</f>
        <v>147</v>
      </c>
      <c r="P166">
        <f>VLOOKUP(C166,[2]!游戏物价查询,4,0)</f>
        <v>1</v>
      </c>
      <c r="R166" t="str">
        <f t="shared" si="27"/>
        <v/>
      </c>
      <c r="S166">
        <f t="shared" si="22"/>
        <v>0</v>
      </c>
      <c r="V166" s="16">
        <f>SUM($R$3:R166)</f>
        <v>127810</v>
      </c>
      <c r="W166">
        <f t="shared" si="20"/>
        <v>700</v>
      </c>
      <c r="X166">
        <f t="shared" si="23"/>
        <v>4.5097281278185797E-3</v>
      </c>
      <c r="Z166" s="16"/>
      <c r="AA166" s="16">
        <f>SUM($W$3:W166)</f>
        <v>127220</v>
      </c>
    </row>
    <row r="167" spans="1:29">
      <c r="A167" s="10">
        <v>166</v>
      </c>
      <c r="B167" s="10">
        <v>0</v>
      </c>
      <c r="C167" s="10">
        <v>54205</v>
      </c>
      <c r="D167" s="10" t="str">
        <f>IFERROR(VLOOKUP(C167,[1]引用表合并!$A$2:$B$1000,2,FALSE),"")</f>
        <v>紫云腰带</v>
      </c>
      <c r="E167" s="10">
        <v>1</v>
      </c>
      <c r="F167" s="10">
        <v>700</v>
      </c>
      <c r="G167" s="10">
        <v>1</v>
      </c>
      <c r="H167" s="10">
        <v>100</v>
      </c>
      <c r="I167" s="10">
        <v>0</v>
      </c>
      <c r="J167" s="10">
        <v>1</v>
      </c>
      <c r="K167" s="7">
        <v>0</v>
      </c>
      <c r="L167" s="7">
        <v>2</v>
      </c>
      <c r="M167" s="7">
        <v>0</v>
      </c>
      <c r="O167" s="1">
        <f>ROUNDUP(VLOOKUP(C167,[2]!游戏物价查询,7,FALSE),0)*E167</f>
        <v>131</v>
      </c>
      <c r="P167">
        <f>VLOOKUP(C167,[2]!游戏物价查询,4,0)</f>
        <v>1</v>
      </c>
      <c r="R167" t="str">
        <f t="shared" si="27"/>
        <v/>
      </c>
      <c r="S167">
        <f t="shared" si="22"/>
        <v>0</v>
      </c>
      <c r="V167" s="16">
        <f>SUM($R$3:R167)</f>
        <v>127810</v>
      </c>
      <c r="W167">
        <f t="shared" si="20"/>
        <v>700</v>
      </c>
      <c r="X167">
        <f t="shared" si="23"/>
        <v>4.5097281278185797E-3</v>
      </c>
      <c r="Y167">
        <f>SUM(X163:X167)</f>
        <v>2.2548640639092898E-2</v>
      </c>
      <c r="Z167" s="16"/>
      <c r="AA167" s="16">
        <f>SUM($W$3:W167)</f>
        <v>127920</v>
      </c>
    </row>
    <row r="168" spans="1:29">
      <c r="A168" s="10">
        <v>167</v>
      </c>
      <c r="B168" s="10">
        <v>0</v>
      </c>
      <c r="C168" s="10">
        <v>85300</v>
      </c>
      <c r="D168" s="10" t="str">
        <f>IFERROR(VLOOKUP(C168,[1]引用表合并!$A$2:$B$1000,2,FALSE),"")</f>
        <v>稀有装备升级石</v>
      </c>
      <c r="E168" s="10">
        <v>5</v>
      </c>
      <c r="F168" s="10">
        <v>3000</v>
      </c>
      <c r="G168" s="10">
        <v>1</v>
      </c>
      <c r="H168" s="10">
        <v>100</v>
      </c>
      <c r="I168" s="10">
        <v>0</v>
      </c>
      <c r="J168" s="10">
        <v>1</v>
      </c>
      <c r="K168" s="7">
        <v>0</v>
      </c>
      <c r="L168" s="7">
        <v>0</v>
      </c>
      <c r="M168" s="7">
        <v>0</v>
      </c>
      <c r="O168" s="1">
        <f>ROUNDUP(VLOOKUP(C168,[2]!游戏物价查询,7,FALSE),0)*E168</f>
        <v>150</v>
      </c>
      <c r="P168">
        <f>VLOOKUP(C168,[2]!游戏物价查询,4,0)</f>
        <v>2019.7074124618819</v>
      </c>
      <c r="R168">
        <f t="shared" si="27"/>
        <v>3000</v>
      </c>
      <c r="S168">
        <f t="shared" si="22"/>
        <v>1.9761544035307291E-2</v>
      </c>
      <c r="V168" s="16">
        <f>SUM($R$3:R168)</f>
        <v>130810</v>
      </c>
      <c r="W168">
        <f t="shared" si="20"/>
        <v>3000</v>
      </c>
      <c r="X168">
        <f t="shared" si="23"/>
        <v>1.9327406262079627E-2</v>
      </c>
      <c r="Z168" s="16"/>
      <c r="AA168" s="16">
        <f>SUM($W$3:W168)</f>
        <v>130920</v>
      </c>
      <c r="AB168">
        <f>X168*E168</f>
        <v>9.6637031310398136E-2</v>
      </c>
      <c r="AC168">
        <f>'[2]装备&amp;装备材料的投放'!$AK$36</f>
        <v>0.17850063544196401</v>
      </c>
    </row>
    <row r="169" spans="1:29">
      <c r="A169" s="10">
        <v>168</v>
      </c>
      <c r="B169" s="10">
        <v>0</v>
      </c>
      <c r="C169" s="10">
        <v>85400</v>
      </c>
      <c r="D169" s="10" t="str">
        <f>IFERROR(VLOOKUP(C169,[1]引用表合并!$A$2:$B$1000,2,FALSE),"")</f>
        <v>史诗装备升级石</v>
      </c>
      <c r="E169" s="10">
        <v>1</v>
      </c>
      <c r="F169" s="10">
        <v>1000</v>
      </c>
      <c r="G169" s="10">
        <v>1</v>
      </c>
      <c r="H169" s="10">
        <v>100</v>
      </c>
      <c r="I169" s="10">
        <v>0</v>
      </c>
      <c r="J169" s="10">
        <v>1</v>
      </c>
      <c r="K169" s="7">
        <v>0</v>
      </c>
      <c r="L169" s="7">
        <v>2</v>
      </c>
      <c r="M169" s="7">
        <v>0</v>
      </c>
      <c r="O169" s="1">
        <f>ROUNDUP(VLOOKUP(C169,[2]!游戏物价查询,7,FALSE),0)*E169</f>
        <v>80</v>
      </c>
      <c r="P169">
        <f>VLOOKUP(C169,[2]!游戏物价查询,4,0)</f>
        <v>2019.7074124618819</v>
      </c>
      <c r="R169" t="str">
        <f t="shared" si="27"/>
        <v/>
      </c>
      <c r="S169">
        <f t="shared" si="22"/>
        <v>0</v>
      </c>
      <c r="T169" s="22">
        <f>S168+S169</f>
        <v>1.9761544035307291E-2</v>
      </c>
      <c r="V169" s="16">
        <f>SUM($R$3:R169)</f>
        <v>130810</v>
      </c>
      <c r="W169">
        <f t="shared" si="20"/>
        <v>1000</v>
      </c>
      <c r="X169">
        <f t="shared" si="23"/>
        <v>6.4424687540265433E-3</v>
      </c>
      <c r="Y169" s="22">
        <f>X168+X169</f>
        <v>2.576987501610617E-2</v>
      </c>
      <c r="Z169" s="16"/>
      <c r="AA169" s="16">
        <f>SUM($W$3:W169)</f>
        <v>131920</v>
      </c>
      <c r="AB169">
        <f>X169*E169</f>
        <v>6.4424687540265433E-3</v>
      </c>
      <c r="AC169">
        <f>'[2]装备&amp;装备材料的投放'!$AK$37</f>
        <v>8.9497498785812105E-2</v>
      </c>
    </row>
    <row r="170" spans="1:29">
      <c r="A170" s="10">
        <v>169</v>
      </c>
      <c r="B170" s="10">
        <v>0</v>
      </c>
      <c r="C170">
        <v>70201</v>
      </c>
      <c r="D170" s="10" t="str">
        <f>IFERROR(VLOOKUP(C170,[1]引用表合并!$A$2:$B$1000,2,FALSE),"")</f>
        <v>中级升星石</v>
      </c>
      <c r="E170" s="10">
        <v>5</v>
      </c>
      <c r="F170" s="10">
        <v>2000</v>
      </c>
      <c r="G170" s="10">
        <v>1</v>
      </c>
      <c r="H170" s="10">
        <v>100</v>
      </c>
      <c r="I170" s="10">
        <v>0</v>
      </c>
      <c r="J170" s="10">
        <v>1</v>
      </c>
      <c r="K170" s="7">
        <v>0</v>
      </c>
      <c r="L170" s="7">
        <v>0</v>
      </c>
      <c r="M170" s="7">
        <v>0</v>
      </c>
      <c r="O170" s="1">
        <f>ROUNDUP(VLOOKUP(C170,[2]!游戏物价查询,7,FALSE),0)*E170</f>
        <v>50</v>
      </c>
      <c r="P170">
        <f>VLOOKUP(C170,[2]!游戏物价查询,4,0)</f>
        <v>0</v>
      </c>
      <c r="R170">
        <f t="shared" si="27"/>
        <v>2000</v>
      </c>
      <c r="S170">
        <f t="shared" si="22"/>
        <v>1.3174362690204861E-2</v>
      </c>
      <c r="V170" s="16">
        <f>SUM($R$3:R170)</f>
        <v>132810</v>
      </c>
      <c r="W170">
        <f t="shared" si="20"/>
        <v>2000</v>
      </c>
      <c r="X170">
        <f t="shared" si="23"/>
        <v>1.2884937508053087E-2</v>
      </c>
      <c r="Z170" s="16"/>
      <c r="AA170" s="16">
        <f>SUM($W$3:W170)</f>
        <v>133920</v>
      </c>
      <c r="AB170">
        <f t="shared" ref="AB170:AB171" si="33">X170*E170</f>
        <v>6.4424687540265438E-2</v>
      </c>
      <c r="AC170">
        <f>'[2]装备&amp;装备材料的投放'!$BD$36</f>
        <v>0</v>
      </c>
    </row>
    <row r="171" spans="1:29">
      <c r="A171" s="10">
        <v>170</v>
      </c>
      <c r="B171" s="10">
        <v>0</v>
      </c>
      <c r="C171">
        <v>70301</v>
      </c>
      <c r="D171" s="10" t="str">
        <f>IFERROR(VLOOKUP(C171,[1]引用表合并!$A$2:$B$1000,2,FALSE),"")</f>
        <v>高级升星石</v>
      </c>
      <c r="E171" s="10">
        <v>5</v>
      </c>
      <c r="F171" s="10">
        <v>1000</v>
      </c>
      <c r="G171" s="10">
        <v>1</v>
      </c>
      <c r="H171" s="10">
        <v>100</v>
      </c>
      <c r="I171" s="10">
        <v>0</v>
      </c>
      <c r="J171" s="10">
        <v>1</v>
      </c>
      <c r="K171" s="7">
        <v>0</v>
      </c>
      <c r="L171" s="7">
        <v>2</v>
      </c>
      <c r="M171" s="7">
        <v>0</v>
      </c>
      <c r="O171" s="1">
        <f>ROUNDUP(VLOOKUP(C171,[2]!游戏物价查询,7,FALSE),0)*E171</f>
        <v>250</v>
      </c>
      <c r="P171">
        <f>VLOOKUP(C171,[2]!游戏物价查询,4,0)</f>
        <v>0</v>
      </c>
      <c r="R171" t="str">
        <f t="shared" si="27"/>
        <v/>
      </c>
      <c r="S171">
        <f t="shared" si="22"/>
        <v>0</v>
      </c>
      <c r="T171" s="22">
        <f>S170+S171</f>
        <v>1.3174362690204861E-2</v>
      </c>
      <c r="V171" s="16">
        <f>SUM($R$3:R171)</f>
        <v>132810</v>
      </c>
      <c r="W171">
        <f t="shared" si="20"/>
        <v>1000</v>
      </c>
      <c r="X171">
        <f t="shared" si="23"/>
        <v>6.4424687540265433E-3</v>
      </c>
      <c r="Y171" s="22">
        <f>X170+X171</f>
        <v>1.9327406262079631E-2</v>
      </c>
      <c r="Z171" s="16"/>
      <c r="AA171" s="16">
        <f>SUM($W$3:W171)</f>
        <v>134920</v>
      </c>
      <c r="AB171">
        <f t="shared" si="33"/>
        <v>3.2212343770132719E-2</v>
      </c>
      <c r="AC171">
        <f>'[2]装备&amp;装备材料的投放'!$BD$37</f>
        <v>0</v>
      </c>
    </row>
    <row r="172" spans="1:29">
      <c r="A172" s="10">
        <v>171</v>
      </c>
      <c r="B172" s="10">
        <v>0</v>
      </c>
      <c r="C172" s="10">
        <v>82300</v>
      </c>
      <c r="D172" s="10" t="str">
        <f>IFERROR(VLOOKUP(C172,[1]引用表合并!$A$2:$B$1000,2,FALSE),"")</f>
        <v>金币卡(5万)</v>
      </c>
      <c r="E172" s="10">
        <v>1</v>
      </c>
      <c r="F172" s="10">
        <v>5000</v>
      </c>
      <c r="G172" s="10">
        <v>1</v>
      </c>
      <c r="H172" s="10">
        <v>100</v>
      </c>
      <c r="I172" s="10">
        <v>0</v>
      </c>
      <c r="J172" s="10">
        <v>1</v>
      </c>
      <c r="K172" s="7">
        <v>0</v>
      </c>
      <c r="L172" s="7">
        <v>0</v>
      </c>
      <c r="M172" s="7">
        <v>0</v>
      </c>
      <c r="O172" s="1">
        <f>ROUNDUP(VLOOKUP(C172,[2]!游戏物价查询,7,FALSE),0)*E172</f>
        <v>100</v>
      </c>
      <c r="P172">
        <f>VLOOKUP(C172,[2]!游戏物价查询,4,0)</f>
        <v>0</v>
      </c>
      <c r="R172">
        <f t="shared" si="27"/>
        <v>5000</v>
      </c>
      <c r="S172">
        <f t="shared" si="22"/>
        <v>3.2935906725512151E-2</v>
      </c>
      <c r="T172" s="22">
        <f>S172</f>
        <v>3.2935906725512151E-2</v>
      </c>
      <c r="V172" s="16">
        <f>SUM($R$3:R172)</f>
        <v>137810</v>
      </c>
      <c r="W172">
        <f t="shared" si="20"/>
        <v>5000</v>
      </c>
      <c r="X172">
        <f t="shared" si="23"/>
        <v>3.2212343770132712E-2</v>
      </c>
      <c r="Y172" s="22">
        <f>X172</f>
        <v>3.2212343770132712E-2</v>
      </c>
      <c r="Z172" s="16"/>
      <c r="AA172" s="16">
        <f>SUM($W$3:W172)</f>
        <v>139920</v>
      </c>
      <c r="AB172">
        <f>X172*E172</f>
        <v>3.2212343770132712E-2</v>
      </c>
    </row>
    <row r="173" spans="1:29">
      <c r="A173" s="10">
        <v>172</v>
      </c>
      <c r="B173" s="10">
        <v>0</v>
      </c>
      <c r="C173" s="10">
        <v>91300</v>
      </c>
      <c r="D173" s="10" t="str">
        <f>IFERROR(VLOOKUP(C173,[1]引用表合并!$A$2:$B$1000,2,FALSE),"")</f>
        <v>马仔经验甘露</v>
      </c>
      <c r="E173" s="10">
        <v>1</v>
      </c>
      <c r="F173" s="10">
        <v>6000</v>
      </c>
      <c r="G173" s="10">
        <v>1</v>
      </c>
      <c r="H173" s="10">
        <v>100</v>
      </c>
      <c r="I173" s="10">
        <v>0</v>
      </c>
      <c r="J173" s="10">
        <v>1</v>
      </c>
      <c r="K173" s="7">
        <v>0</v>
      </c>
      <c r="L173" s="7">
        <v>0</v>
      </c>
      <c r="M173" s="7">
        <v>0</v>
      </c>
      <c r="O173" s="1">
        <f>ROUNDUP(VLOOKUP(C173,[2]!游戏物价查询,7,FALSE),0)*E173</f>
        <v>20</v>
      </c>
      <c r="P173">
        <f>VLOOKUP(C173,[2]!游戏物价查询,4,0)</f>
        <v>0</v>
      </c>
      <c r="R173">
        <f t="shared" si="27"/>
        <v>6000</v>
      </c>
      <c r="S173">
        <f t="shared" si="22"/>
        <v>3.9523088070614582E-2</v>
      </c>
      <c r="T173" s="22">
        <f>S173</f>
        <v>3.9523088070614582E-2</v>
      </c>
      <c r="U173" s="16">
        <f>S173</f>
        <v>3.9523088070614582E-2</v>
      </c>
      <c r="V173" s="16">
        <f>SUM($R$3:R173)</f>
        <v>143810</v>
      </c>
      <c r="W173">
        <f t="shared" ref="W173:W207" si="34">IF(AND(L173&lt;&gt;1,L173&lt;&gt;3),F173,"")</f>
        <v>6000</v>
      </c>
      <c r="X173">
        <f t="shared" si="23"/>
        <v>3.8654812524159254E-2</v>
      </c>
      <c r="Y173" s="22">
        <f>X173</f>
        <v>3.8654812524159254E-2</v>
      </c>
      <c r="Z173" s="16">
        <f>X173</f>
        <v>3.8654812524159254E-2</v>
      </c>
      <c r="AA173" s="16">
        <f>SUM($W$3:W173)</f>
        <v>145920</v>
      </c>
      <c r="AB173">
        <f>X173*E173</f>
        <v>3.8654812524159254E-2</v>
      </c>
    </row>
    <row r="174" spans="1:29">
      <c r="A174" s="10">
        <v>173</v>
      </c>
      <c r="B174" s="10">
        <v>0</v>
      </c>
      <c r="C174" s="10">
        <v>80510</v>
      </c>
      <c r="D174" s="10" t="str">
        <f>IFERROR(VLOOKUP(C174,[1]引用表合并!$A$2:$B$1000,2,FALSE),"")</f>
        <v>命运石(1万)</v>
      </c>
      <c r="E174" s="10">
        <v>1</v>
      </c>
      <c r="F174" s="10">
        <v>5000</v>
      </c>
      <c r="G174" s="10">
        <v>1</v>
      </c>
      <c r="H174" s="10">
        <v>100</v>
      </c>
      <c r="I174" s="10">
        <v>0</v>
      </c>
      <c r="J174" s="10">
        <v>1</v>
      </c>
      <c r="K174" s="7">
        <v>0</v>
      </c>
      <c r="L174" s="7">
        <v>0</v>
      </c>
      <c r="M174" s="7">
        <v>0</v>
      </c>
      <c r="O174" s="1">
        <f>ROUNDUP(VLOOKUP(C174,[2]!游戏物价查询,7,FALSE),0)*E174</f>
        <v>10</v>
      </c>
      <c r="P174">
        <f>VLOOKUP(C174,[2]!游戏物价查询,4,0)</f>
        <v>2472.022026819373</v>
      </c>
      <c r="R174">
        <f t="shared" ref="R174:R207" si="35">IF(L174&lt;2,F174,"")</f>
        <v>5000</v>
      </c>
      <c r="S174">
        <f t="shared" si="22"/>
        <v>3.2935906725512151E-2</v>
      </c>
      <c r="U174" s="16">
        <f>S174</f>
        <v>3.2935906725512151E-2</v>
      </c>
      <c r="V174" s="16">
        <f>SUM($R$3:R174)</f>
        <v>148810</v>
      </c>
      <c r="W174">
        <f t="shared" si="34"/>
        <v>5000</v>
      </c>
      <c r="X174">
        <f t="shared" si="23"/>
        <v>3.2212343770132712E-2</v>
      </c>
      <c r="Z174" s="16">
        <f>X174</f>
        <v>3.2212343770132712E-2</v>
      </c>
      <c r="AA174" s="16">
        <f>SUM($W$3:W174)</f>
        <v>150920</v>
      </c>
      <c r="AB174">
        <f>X174*E174</f>
        <v>3.2212343770132712E-2</v>
      </c>
    </row>
    <row r="175" spans="1:29">
      <c r="A175" s="10">
        <v>174</v>
      </c>
      <c r="B175" s="10">
        <v>0</v>
      </c>
      <c r="C175" s="10">
        <v>80610</v>
      </c>
      <c r="D175" s="10" t="str">
        <f>IFERROR(VLOOKUP(C175,[1]引用表合并!$A$2:$B$1000,2,FALSE),"")</f>
        <v>命运石(2万)</v>
      </c>
      <c r="E175" s="10">
        <v>1</v>
      </c>
      <c r="F175" s="10">
        <v>3000</v>
      </c>
      <c r="G175" s="10">
        <v>1</v>
      </c>
      <c r="H175" s="10">
        <v>100</v>
      </c>
      <c r="I175" s="10">
        <v>0</v>
      </c>
      <c r="J175" s="10">
        <v>1</v>
      </c>
      <c r="K175" s="7">
        <v>0</v>
      </c>
      <c r="L175" s="7">
        <v>0</v>
      </c>
      <c r="M175" s="7">
        <v>0</v>
      </c>
      <c r="O175" s="1">
        <f>ROUNDUP(VLOOKUP(C175,[2]!游戏物价查询,7,FALSE),0)*E175</f>
        <v>20</v>
      </c>
      <c r="P175">
        <f>VLOOKUP(C175,[2]!游戏物价查询,4,0)</f>
        <v>1236.0110134096865</v>
      </c>
      <c r="R175">
        <f t="shared" si="35"/>
        <v>3000</v>
      </c>
      <c r="S175">
        <f t="shared" si="22"/>
        <v>1.9761544035307291E-2</v>
      </c>
      <c r="T175" s="22">
        <f>S174+S175</f>
        <v>5.2697450760819442E-2</v>
      </c>
      <c r="U175" s="16">
        <f>S175</f>
        <v>1.9761544035307291E-2</v>
      </c>
      <c r="V175" s="16">
        <f>SUM($R$3:R175)</f>
        <v>151810</v>
      </c>
      <c r="W175">
        <f t="shared" si="34"/>
        <v>3000</v>
      </c>
      <c r="X175">
        <f t="shared" si="23"/>
        <v>1.9327406262079627E-2</v>
      </c>
      <c r="Y175" s="22">
        <f>X174+X175</f>
        <v>5.1539750032212339E-2</v>
      </c>
      <c r="Z175" s="16">
        <f>X175</f>
        <v>1.9327406262079627E-2</v>
      </c>
      <c r="AA175" s="16">
        <f>SUM($W$3:W175)</f>
        <v>153920</v>
      </c>
      <c r="AB175">
        <f>X175*E175</f>
        <v>1.9327406262079627E-2</v>
      </c>
    </row>
    <row r="176" spans="1:29">
      <c r="A176" s="10">
        <v>175</v>
      </c>
      <c r="B176" s="10">
        <v>0</v>
      </c>
      <c r="C176" s="48">
        <v>93233</v>
      </c>
      <c r="D176" s="10" t="str">
        <f>IFERROR(VLOOKUP(C176,[1]引用表合并!$A$2:$B$1000,2,FALSE),"")</f>
        <v>白金手环碎片</v>
      </c>
      <c r="E176" s="10">
        <v>1</v>
      </c>
      <c r="F176" s="10">
        <v>2400</v>
      </c>
      <c r="G176" s="10">
        <v>1</v>
      </c>
      <c r="H176" s="10">
        <v>100</v>
      </c>
      <c r="I176" s="10">
        <v>0</v>
      </c>
      <c r="J176" s="10">
        <v>1</v>
      </c>
      <c r="K176" s="7">
        <v>0</v>
      </c>
      <c r="L176" s="7">
        <v>3</v>
      </c>
      <c r="M176" s="7">
        <v>0</v>
      </c>
      <c r="O176" s="1">
        <f>ROUNDUP(VLOOKUP(C176,[2]!游戏物价查询,7,FALSE),0)*E176</f>
        <v>2</v>
      </c>
      <c r="P176">
        <f>VLOOKUP(C176,[2]!游戏物价查询,4,0)</f>
        <v>1910</v>
      </c>
      <c r="Q176">
        <f>VLOOKUP(C176,[3]!马仔宝物属性,6,FALSE)</f>
        <v>1</v>
      </c>
      <c r="R176" t="str">
        <f t="shared" si="35"/>
        <v/>
      </c>
      <c r="S176">
        <f t="shared" si="22"/>
        <v>0</v>
      </c>
      <c r="V176" s="16">
        <f>SUM($R$3:R176)</f>
        <v>151810</v>
      </c>
      <c r="W176" t="str">
        <f t="shared" si="34"/>
        <v/>
      </c>
      <c r="X176">
        <f t="shared" si="23"/>
        <v>0</v>
      </c>
      <c r="Z176" s="16"/>
      <c r="AA176" s="16">
        <f>SUM($W$3:W176)</f>
        <v>153920</v>
      </c>
    </row>
    <row r="177" spans="1:29">
      <c r="A177" s="10">
        <v>176</v>
      </c>
      <c r="B177" s="10">
        <v>0</v>
      </c>
      <c r="C177" s="48">
        <v>93122</v>
      </c>
      <c r="D177" s="10" t="str">
        <f>IFERROR(VLOOKUP(C177,[1]引用表合并!$A$2:$B$1000,2,FALSE),"")</f>
        <v>银饰耳钉碎片</v>
      </c>
      <c r="E177" s="10">
        <v>1</v>
      </c>
      <c r="F177" s="10">
        <v>2400</v>
      </c>
      <c r="G177" s="10">
        <v>1</v>
      </c>
      <c r="H177" s="10">
        <v>100</v>
      </c>
      <c r="I177" s="10">
        <v>0</v>
      </c>
      <c r="J177" s="10">
        <v>1</v>
      </c>
      <c r="K177" s="7">
        <v>0</v>
      </c>
      <c r="L177" s="7">
        <v>3</v>
      </c>
      <c r="M177" s="7">
        <v>0</v>
      </c>
      <c r="O177" s="1">
        <f>ROUNDUP(VLOOKUP(C177,[2]!游戏物价查询,7,FALSE),0)*E177</f>
        <v>2</v>
      </c>
      <c r="P177">
        <f>VLOOKUP(C177,[2]!游戏物价查询,4,0)</f>
        <v>1810</v>
      </c>
      <c r="Q177">
        <f>VLOOKUP(C177,[3]!马仔宝物属性,6,FALSE)</f>
        <v>1</v>
      </c>
      <c r="R177" t="str">
        <f t="shared" si="35"/>
        <v/>
      </c>
      <c r="S177">
        <f t="shared" si="22"/>
        <v>0</v>
      </c>
      <c r="V177" s="16">
        <f>SUM($R$3:R177)</f>
        <v>151810</v>
      </c>
      <c r="W177" t="str">
        <f t="shared" si="34"/>
        <v/>
      </c>
      <c r="X177">
        <f t="shared" si="23"/>
        <v>0</v>
      </c>
      <c r="Z177" s="16"/>
      <c r="AA177" s="16">
        <f>SUM($W$3:W177)</f>
        <v>153920</v>
      </c>
    </row>
    <row r="178" spans="1:29">
      <c r="A178" s="10">
        <v>177</v>
      </c>
      <c r="B178" s="10">
        <v>0</v>
      </c>
      <c r="C178" s="48">
        <v>93141</v>
      </c>
      <c r="D178" s="10" t="str">
        <f>IFERROR(VLOOKUP(C178,[1]引用表合并!$A$2:$B$1000,2,FALSE),"")</f>
        <v>白银戒指碎片</v>
      </c>
      <c r="E178" s="10">
        <v>1</v>
      </c>
      <c r="F178" s="10">
        <v>2400</v>
      </c>
      <c r="G178" s="10">
        <v>1</v>
      </c>
      <c r="H178" s="10">
        <v>100</v>
      </c>
      <c r="I178" s="10">
        <v>0</v>
      </c>
      <c r="J178" s="10">
        <v>1</v>
      </c>
      <c r="K178" s="7">
        <v>0</v>
      </c>
      <c r="L178" s="7">
        <v>3</v>
      </c>
      <c r="M178" s="7">
        <v>0</v>
      </c>
      <c r="O178" s="1">
        <f>ROUNDUP(VLOOKUP(C178,[2]!游戏物价查询,7,FALSE),0)*E178</f>
        <v>2</v>
      </c>
      <c r="P178">
        <f>VLOOKUP(C178,[2]!游戏物价查询,4,0)</f>
        <v>1905</v>
      </c>
      <c r="Q178">
        <f>VLOOKUP(C178,[3]!马仔宝物属性,6,FALSE)</f>
        <v>1</v>
      </c>
      <c r="R178" t="str">
        <f t="shared" si="35"/>
        <v/>
      </c>
      <c r="S178">
        <f t="shared" si="22"/>
        <v>0</v>
      </c>
      <c r="V178" s="16">
        <f>SUM($R$3:R178)</f>
        <v>151810</v>
      </c>
      <c r="W178" t="str">
        <f t="shared" si="34"/>
        <v/>
      </c>
      <c r="X178">
        <f t="shared" si="23"/>
        <v>0</v>
      </c>
      <c r="Z178" s="16"/>
      <c r="AA178" s="16">
        <f>SUM($W$3:W178)</f>
        <v>153920</v>
      </c>
    </row>
    <row r="179" spans="1:29">
      <c r="A179" s="10">
        <v>178</v>
      </c>
      <c r="B179" s="10">
        <v>0</v>
      </c>
      <c r="C179" s="48">
        <v>93245</v>
      </c>
      <c r="D179" s="10" t="str">
        <f>IFERROR(VLOOKUP(C179,[1]引用表合并!$A$2:$B$1000,2,FALSE),"")</f>
        <v>水晶项链碎片</v>
      </c>
      <c r="E179" s="10">
        <v>1</v>
      </c>
      <c r="F179" s="10">
        <v>2400</v>
      </c>
      <c r="G179" s="10">
        <v>1</v>
      </c>
      <c r="H179" s="10">
        <v>100</v>
      </c>
      <c r="I179" s="10">
        <v>0</v>
      </c>
      <c r="J179" s="10">
        <v>1</v>
      </c>
      <c r="K179" s="7">
        <v>0</v>
      </c>
      <c r="L179" s="7">
        <v>3</v>
      </c>
      <c r="M179" s="7">
        <v>0</v>
      </c>
      <c r="O179" s="1">
        <f>ROUNDUP(VLOOKUP(C179,[2]!游戏物价查询,7,FALSE),0)*E179</f>
        <v>2</v>
      </c>
      <c r="P179">
        <f>VLOOKUP(C179,[2]!游戏物价查询,4,0)</f>
        <v>1380</v>
      </c>
      <c r="Q179">
        <f>VLOOKUP(C179,[3]!马仔宝物属性,6,FALSE)</f>
        <v>1</v>
      </c>
      <c r="R179" t="str">
        <f t="shared" si="35"/>
        <v/>
      </c>
      <c r="S179">
        <f t="shared" si="22"/>
        <v>0</v>
      </c>
      <c r="V179" s="16">
        <f>SUM($R$3:R179)</f>
        <v>151810</v>
      </c>
      <c r="W179" t="str">
        <f t="shared" si="34"/>
        <v/>
      </c>
      <c r="X179">
        <f t="shared" si="23"/>
        <v>0</v>
      </c>
      <c r="Z179" s="16"/>
      <c r="AA179" s="16">
        <f>SUM($W$3:W179)</f>
        <v>153920</v>
      </c>
    </row>
    <row r="180" spans="1:29">
      <c r="A180" s="10">
        <v>179</v>
      </c>
      <c r="B180" s="10">
        <v>0</v>
      </c>
      <c r="C180" s="48">
        <v>93251</v>
      </c>
      <c r="D180" s="10" t="str">
        <f>IFERROR(VLOOKUP(C180,[1]引用表合并!$A$2:$B$1000,2,FALSE),"")</f>
        <v>红石项链碎片</v>
      </c>
      <c r="E180" s="10">
        <v>1</v>
      </c>
      <c r="F180" s="10">
        <v>2400</v>
      </c>
      <c r="G180" s="10">
        <v>1</v>
      </c>
      <c r="H180" s="10">
        <v>100</v>
      </c>
      <c r="I180" s="10">
        <v>0</v>
      </c>
      <c r="J180" s="10">
        <v>1</v>
      </c>
      <c r="K180" s="7">
        <v>0</v>
      </c>
      <c r="L180" s="7">
        <v>3</v>
      </c>
      <c r="M180" s="7">
        <v>0</v>
      </c>
      <c r="O180" s="1">
        <f>ROUNDUP(VLOOKUP(C180,[2]!游戏物价查询,7,FALSE),0)*E180</f>
        <v>2</v>
      </c>
      <c r="P180">
        <f>VLOOKUP(C180,[2]!游戏物价查询,4,0)</f>
        <v>2345</v>
      </c>
      <c r="Q180">
        <f>VLOOKUP(C180,[3]!马仔宝物属性,6,FALSE)</f>
        <v>1</v>
      </c>
      <c r="R180" t="str">
        <f t="shared" si="35"/>
        <v/>
      </c>
      <c r="S180">
        <f t="shared" si="22"/>
        <v>0</v>
      </c>
      <c r="V180" s="16">
        <f>SUM($R$3:R180)</f>
        <v>151810</v>
      </c>
      <c r="W180" t="str">
        <f t="shared" si="34"/>
        <v/>
      </c>
      <c r="X180">
        <f t="shared" si="23"/>
        <v>0</v>
      </c>
      <c r="Z180" s="16"/>
      <c r="AA180" s="16">
        <f>SUM($W$3:W180)</f>
        <v>153920</v>
      </c>
    </row>
    <row r="181" spans="1:29">
      <c r="A181" s="10">
        <v>180</v>
      </c>
      <c r="B181" s="10">
        <v>0</v>
      </c>
      <c r="C181" s="48">
        <v>93264</v>
      </c>
      <c r="D181" s="10" t="str">
        <f>IFERROR(VLOOKUP(C181,[1]引用表合并!$A$2:$B$1000,2,FALSE),"")</f>
        <v>越野手表碎片</v>
      </c>
      <c r="E181" s="10">
        <v>1</v>
      </c>
      <c r="F181" s="10">
        <v>2400</v>
      </c>
      <c r="G181" s="10">
        <v>1</v>
      </c>
      <c r="H181" s="10">
        <v>100</v>
      </c>
      <c r="I181" s="10">
        <v>0</v>
      </c>
      <c r="J181" s="10">
        <v>1</v>
      </c>
      <c r="K181" s="7">
        <v>0</v>
      </c>
      <c r="L181" s="7">
        <v>3</v>
      </c>
      <c r="M181" s="7">
        <v>0</v>
      </c>
      <c r="O181" s="1">
        <f>ROUNDUP(VLOOKUP(C181,[2]!游戏物价查询,7,FALSE),0)*E181</f>
        <v>2</v>
      </c>
      <c r="P181">
        <f>VLOOKUP(C181,[2]!游戏物价查询,4,0)</f>
        <v>1020</v>
      </c>
      <c r="Q181">
        <f>VLOOKUP(C181,[3]!马仔宝物属性,6,FALSE)</f>
        <v>1</v>
      </c>
      <c r="R181" t="str">
        <f t="shared" si="35"/>
        <v/>
      </c>
      <c r="S181">
        <f t="shared" si="22"/>
        <v>0</v>
      </c>
      <c r="V181" s="16">
        <f>SUM($R$3:R181)</f>
        <v>151810</v>
      </c>
      <c r="W181" t="str">
        <f t="shared" si="34"/>
        <v/>
      </c>
      <c r="X181">
        <f t="shared" si="23"/>
        <v>0</v>
      </c>
      <c r="Z181" s="16"/>
      <c r="AA181" s="16">
        <f>SUM($W$3:W181)</f>
        <v>153920</v>
      </c>
    </row>
    <row r="182" spans="1:29">
      <c r="A182" s="10">
        <v>181</v>
      </c>
      <c r="B182" s="10">
        <v>0</v>
      </c>
      <c r="C182" s="48">
        <v>93271</v>
      </c>
      <c r="D182" s="10" t="str">
        <f>IFERROR(VLOOKUP(C182,[1]引用表合并!$A$2:$B$1000,2,FALSE),"")</f>
        <v>精准手表碎片</v>
      </c>
      <c r="E182" s="10">
        <v>1</v>
      </c>
      <c r="F182" s="10">
        <v>2400</v>
      </c>
      <c r="G182" s="10">
        <v>1</v>
      </c>
      <c r="H182" s="10">
        <v>100</v>
      </c>
      <c r="I182" s="10">
        <v>0</v>
      </c>
      <c r="J182" s="10">
        <v>1</v>
      </c>
      <c r="K182" s="7">
        <v>0</v>
      </c>
      <c r="L182" s="7">
        <v>3</v>
      </c>
      <c r="M182" s="7">
        <v>0</v>
      </c>
      <c r="O182" s="1">
        <f>ROUNDUP(VLOOKUP(C182,[2]!游戏物价查询,7,FALSE),0)*E182</f>
        <v>2</v>
      </c>
      <c r="P182">
        <f>VLOOKUP(C182,[2]!游戏物价查询,4,0)</f>
        <v>540</v>
      </c>
      <c r="Q182">
        <f>VLOOKUP(C182,[3]!马仔宝物属性,6,FALSE)</f>
        <v>1</v>
      </c>
      <c r="R182" t="str">
        <f t="shared" si="35"/>
        <v/>
      </c>
      <c r="S182">
        <f t="shared" si="22"/>
        <v>0</v>
      </c>
      <c r="V182" s="16">
        <f>SUM($R$3:R182)</f>
        <v>151810</v>
      </c>
      <c r="W182" t="str">
        <f t="shared" si="34"/>
        <v/>
      </c>
      <c r="X182">
        <f t="shared" si="23"/>
        <v>0</v>
      </c>
      <c r="Z182" s="16"/>
      <c r="AA182" s="16">
        <f>SUM($W$3:W182)</f>
        <v>153920</v>
      </c>
    </row>
    <row r="183" spans="1:29">
      <c r="A183" s="10">
        <v>182</v>
      </c>
      <c r="B183" s="10">
        <v>0</v>
      </c>
      <c r="C183" s="48">
        <v>93278</v>
      </c>
      <c r="D183" s="10" t="str">
        <f>IFERROR(VLOOKUP(C183,[1]引用表合并!$A$2:$B$1000,2,FALSE),"")</f>
        <v>宝驼碎片</v>
      </c>
      <c r="E183" s="10">
        <v>1</v>
      </c>
      <c r="F183" s="10">
        <v>2400</v>
      </c>
      <c r="G183" s="10">
        <v>1</v>
      </c>
      <c r="H183" s="10">
        <v>100</v>
      </c>
      <c r="I183" s="10">
        <v>0</v>
      </c>
      <c r="J183" s="10">
        <v>1</v>
      </c>
      <c r="K183" s="7">
        <v>0</v>
      </c>
      <c r="L183" s="7">
        <v>3</v>
      </c>
      <c r="M183" s="7">
        <v>0</v>
      </c>
      <c r="O183" s="1">
        <f>ROUNDUP(VLOOKUP(C183,[2]!游戏物价查询,7,FALSE),0)*E183</f>
        <v>2</v>
      </c>
      <c r="P183">
        <f>VLOOKUP(C183,[2]!游戏物价查询,4,0)</f>
        <v>1120</v>
      </c>
      <c r="Q183">
        <f>VLOOKUP(C183,[3]!马仔宝物属性,6,FALSE)</f>
        <v>1</v>
      </c>
      <c r="R183" t="str">
        <f t="shared" si="35"/>
        <v/>
      </c>
      <c r="S183">
        <f t="shared" si="22"/>
        <v>0</v>
      </c>
      <c r="V183" s="16">
        <f>SUM($R$3:R183)</f>
        <v>151810</v>
      </c>
      <c r="W183" t="str">
        <f t="shared" si="34"/>
        <v/>
      </c>
      <c r="X183">
        <f t="shared" si="23"/>
        <v>0</v>
      </c>
      <c r="Z183" s="16"/>
      <c r="AA183" s="16">
        <f>SUM($W$3:W183)</f>
        <v>153920</v>
      </c>
    </row>
    <row r="184" spans="1:29">
      <c r="A184" s="10">
        <v>183</v>
      </c>
      <c r="B184" s="10">
        <v>0</v>
      </c>
      <c r="C184" s="48">
        <v>93283</v>
      </c>
      <c r="D184" s="10" t="str">
        <f>IFERROR(VLOOKUP(C184,[1]引用表合并!$A$2:$B$1000,2,FALSE),"")</f>
        <v>小迭钞票碎片</v>
      </c>
      <c r="E184" s="10">
        <v>1</v>
      </c>
      <c r="F184" s="10">
        <v>2400</v>
      </c>
      <c r="G184" s="10">
        <v>1</v>
      </c>
      <c r="H184" s="10">
        <v>100</v>
      </c>
      <c r="I184" s="10">
        <v>0</v>
      </c>
      <c r="J184" s="10">
        <v>1</v>
      </c>
      <c r="K184" s="7">
        <v>0</v>
      </c>
      <c r="L184" s="7">
        <v>3</v>
      </c>
      <c r="M184" s="7">
        <v>0</v>
      </c>
      <c r="O184" s="1">
        <f>ROUNDUP(VLOOKUP(C184,[2]!游戏物价查询,7,FALSE),0)*E184</f>
        <v>2</v>
      </c>
      <c r="P184">
        <f>VLOOKUP(C184,[2]!游戏物价查询,4,0)</f>
        <v>3565</v>
      </c>
      <c r="Q184">
        <f>VLOOKUP(C184,[3]!马仔宝物属性,6,FALSE)</f>
        <v>1</v>
      </c>
      <c r="R184" t="str">
        <f t="shared" si="35"/>
        <v/>
      </c>
      <c r="S184">
        <f t="shared" si="22"/>
        <v>0</v>
      </c>
      <c r="V184" s="16">
        <f>SUM($R$3:R184)</f>
        <v>151810</v>
      </c>
      <c r="W184" t="str">
        <f t="shared" si="34"/>
        <v/>
      </c>
      <c r="X184">
        <f t="shared" si="23"/>
        <v>0</v>
      </c>
      <c r="Z184" s="16"/>
      <c r="AA184" s="16">
        <f>SUM($W$3:W184)</f>
        <v>153920</v>
      </c>
    </row>
    <row r="185" spans="1:29">
      <c r="A185" s="10">
        <v>184</v>
      </c>
      <c r="B185" s="10">
        <v>0</v>
      </c>
      <c r="C185" s="48">
        <v>93287</v>
      </c>
      <c r="D185" s="10" t="str">
        <f>IFERROR(VLOOKUP(C185,[1]引用表合并!$A$2:$B$1000,2,FALSE),"")</f>
        <v>金块碎片</v>
      </c>
      <c r="E185" s="10">
        <v>1</v>
      </c>
      <c r="F185" s="10">
        <v>2400</v>
      </c>
      <c r="G185" s="10">
        <v>1</v>
      </c>
      <c r="H185" s="10">
        <v>100</v>
      </c>
      <c r="I185" s="10">
        <v>0</v>
      </c>
      <c r="J185" s="10">
        <v>1</v>
      </c>
      <c r="K185" s="7">
        <v>0</v>
      </c>
      <c r="L185" s="7">
        <v>3</v>
      </c>
      <c r="M185" s="7">
        <v>0</v>
      </c>
      <c r="O185" s="1">
        <f>ROUNDUP(VLOOKUP(C185,[2]!游戏物价查询,7,FALSE),0)*E185</f>
        <v>2</v>
      </c>
      <c r="P185">
        <f>VLOOKUP(C185,[2]!游戏物价查询,4,0)</f>
        <v>3275</v>
      </c>
      <c r="Q185">
        <f>VLOOKUP(C185,[3]!马仔宝物属性,6,FALSE)</f>
        <v>1</v>
      </c>
      <c r="R185" t="str">
        <f t="shared" si="35"/>
        <v/>
      </c>
      <c r="S185">
        <f t="shared" si="22"/>
        <v>0</v>
      </c>
      <c r="T185" s="22">
        <f>SUM(S175:S185)</f>
        <v>1.9761544035307291E-2</v>
      </c>
      <c r="V185" s="16">
        <f>SUM($R$3:R185)</f>
        <v>151810</v>
      </c>
      <c r="W185" t="str">
        <f t="shared" si="34"/>
        <v/>
      </c>
      <c r="X185">
        <f t="shared" si="23"/>
        <v>0</v>
      </c>
      <c r="Y185" s="22">
        <f>SUM(X175:X185)</f>
        <v>1.9327406262079627E-2</v>
      </c>
      <c r="Z185" s="16"/>
      <c r="AA185" s="16">
        <f>SUM($W$3:W185)</f>
        <v>153920</v>
      </c>
      <c r="AB185" s="8">
        <f>SUMPRODUCT(X175:X185,E175:E185)</f>
        <v>1.9327406262079627E-2</v>
      </c>
      <c r="AC185" s="8">
        <f>[2]马仔宝物投放!$O$41</f>
        <v>0.12332167297745356</v>
      </c>
    </row>
    <row r="186" spans="1:29">
      <c r="A186" s="10">
        <v>185</v>
      </c>
      <c r="B186" s="10">
        <v>0</v>
      </c>
      <c r="C186" s="49">
        <v>93142</v>
      </c>
      <c r="D186" s="10" t="str">
        <f>IFERROR(VLOOKUP(C186,[1]引用表合并!$A$2:$B$1000,2,FALSE),"")</f>
        <v>黄金戒指碎片</v>
      </c>
      <c r="E186" s="7">
        <v>1</v>
      </c>
      <c r="F186" s="10">
        <v>1500</v>
      </c>
      <c r="G186" s="10">
        <v>1</v>
      </c>
      <c r="H186" s="10">
        <v>100</v>
      </c>
      <c r="I186" s="10">
        <v>0</v>
      </c>
      <c r="J186" s="10">
        <v>0</v>
      </c>
      <c r="K186" s="7">
        <v>0</v>
      </c>
      <c r="L186" s="7">
        <v>3</v>
      </c>
      <c r="M186" s="7">
        <v>0</v>
      </c>
      <c r="O186" s="1">
        <f>ROUNDUP(VLOOKUP(C186,[2]!游戏物价查询,7,FALSE),0)*E186</f>
        <v>4</v>
      </c>
      <c r="P186">
        <f>VLOOKUP(C186,[2]!游戏物价查询,4,0)</f>
        <v>1105</v>
      </c>
      <c r="Q186">
        <f>VLOOKUP(C186,[3]!马仔宝物属性,6,FALSE)</f>
        <v>2</v>
      </c>
      <c r="R186" t="str">
        <f t="shared" si="35"/>
        <v/>
      </c>
      <c r="S186">
        <f t="shared" si="22"/>
        <v>0</v>
      </c>
      <c r="V186" s="16">
        <f>SUM($R$3:R186)</f>
        <v>151810</v>
      </c>
      <c r="W186" t="str">
        <f t="shared" si="34"/>
        <v/>
      </c>
      <c r="X186">
        <f t="shared" si="23"/>
        <v>0</v>
      </c>
      <c r="Z186" s="16"/>
      <c r="AA186" s="16">
        <f>SUM($W$3:W186)</f>
        <v>153920</v>
      </c>
    </row>
    <row r="187" spans="1:29">
      <c r="A187" s="10">
        <v>186</v>
      </c>
      <c r="B187" s="10">
        <v>0</v>
      </c>
      <c r="C187" s="49">
        <v>93235</v>
      </c>
      <c r="D187" s="10" t="str">
        <f>IFERROR(VLOOKUP(C187,[1]引用表合并!$A$2:$B$1000,2,FALSE),"")</f>
        <v>宝石手环碎片</v>
      </c>
      <c r="E187" s="7">
        <v>1</v>
      </c>
      <c r="F187" s="10">
        <v>1500</v>
      </c>
      <c r="G187" s="10">
        <v>1</v>
      </c>
      <c r="H187" s="10">
        <v>100</v>
      </c>
      <c r="I187" s="10">
        <v>0</v>
      </c>
      <c r="J187" s="10">
        <v>0</v>
      </c>
      <c r="K187" s="7">
        <v>0</v>
      </c>
      <c r="L187" s="7">
        <v>3</v>
      </c>
      <c r="M187" s="7">
        <v>0</v>
      </c>
      <c r="O187" s="1">
        <f>ROUNDUP(VLOOKUP(C187,[2]!游戏物价查询,7,FALSE),0)*E187</f>
        <v>4</v>
      </c>
      <c r="P187">
        <f>VLOOKUP(C187,[2]!游戏物价查询,4,0)</f>
        <v>1135</v>
      </c>
      <c r="Q187">
        <f>VLOOKUP(C187,[3]!马仔宝物属性,6,FALSE)</f>
        <v>2</v>
      </c>
      <c r="R187" t="str">
        <f t="shared" si="35"/>
        <v/>
      </c>
      <c r="S187">
        <f t="shared" si="22"/>
        <v>0</v>
      </c>
      <c r="V187" s="16">
        <f>SUM($R$3:R187)</f>
        <v>151810</v>
      </c>
      <c r="W187" t="str">
        <f t="shared" si="34"/>
        <v/>
      </c>
      <c r="X187">
        <f t="shared" si="23"/>
        <v>0</v>
      </c>
      <c r="Z187" s="16"/>
      <c r="AA187" s="16">
        <f>SUM($W$3:W187)</f>
        <v>153920</v>
      </c>
    </row>
    <row r="188" spans="1:29">
      <c r="A188" s="10">
        <v>187</v>
      </c>
      <c r="B188" s="10">
        <v>0</v>
      </c>
      <c r="C188" s="49">
        <v>93012</v>
      </c>
      <c r="D188" s="10" t="str">
        <f>IFERROR(VLOOKUP(C188,[1]引用表合并!$A$2:$B$1000,2,FALSE),"")</f>
        <v>摩拉碎片</v>
      </c>
      <c r="E188" s="7">
        <v>1</v>
      </c>
      <c r="F188" s="10">
        <v>1500</v>
      </c>
      <c r="G188" s="10">
        <v>1</v>
      </c>
      <c r="H188" s="10">
        <v>100</v>
      </c>
      <c r="I188" s="10">
        <v>0</v>
      </c>
      <c r="J188" s="10">
        <v>0</v>
      </c>
      <c r="K188" s="7">
        <v>0</v>
      </c>
      <c r="L188" s="7">
        <v>3</v>
      </c>
      <c r="M188" s="7">
        <v>0</v>
      </c>
      <c r="O188" s="1">
        <f>ROUNDUP(VLOOKUP(C188,[2]!游戏物价查询,7,FALSE),0)*E188</f>
        <v>4</v>
      </c>
      <c r="P188">
        <f>VLOOKUP(C188,[2]!游戏物价查询,4,0)</f>
        <v>525</v>
      </c>
      <c r="Q188">
        <f>VLOOKUP(C188,[3]!马仔宝物属性,6,FALSE)</f>
        <v>2</v>
      </c>
      <c r="R188" t="str">
        <f t="shared" si="35"/>
        <v/>
      </c>
      <c r="S188">
        <f t="shared" si="22"/>
        <v>0</v>
      </c>
      <c r="V188" s="16">
        <f>SUM($R$3:R188)</f>
        <v>151810</v>
      </c>
      <c r="W188" t="str">
        <f t="shared" si="34"/>
        <v/>
      </c>
      <c r="X188">
        <f t="shared" si="23"/>
        <v>0</v>
      </c>
      <c r="Z188" s="16"/>
      <c r="AA188" s="16">
        <f>SUM($W$3:W188)</f>
        <v>153920</v>
      </c>
    </row>
    <row r="189" spans="1:29">
      <c r="A189" s="10">
        <v>188</v>
      </c>
      <c r="B189" s="10">
        <v>0</v>
      </c>
      <c r="C189" s="49">
        <v>93252</v>
      </c>
      <c r="D189" s="10" t="str">
        <f>IFERROR(VLOOKUP(C189,[1]引用表合并!$A$2:$B$1000,2,FALSE),"")</f>
        <v>青玉项链碎片</v>
      </c>
      <c r="E189" s="7">
        <v>1</v>
      </c>
      <c r="F189" s="10">
        <v>1500</v>
      </c>
      <c r="G189" s="10">
        <v>1</v>
      </c>
      <c r="H189" s="10">
        <v>100</v>
      </c>
      <c r="I189" s="10">
        <v>0</v>
      </c>
      <c r="J189" s="10">
        <v>0</v>
      </c>
      <c r="K189" s="7">
        <v>0</v>
      </c>
      <c r="L189" s="7">
        <v>3</v>
      </c>
      <c r="M189" s="7">
        <v>0</v>
      </c>
      <c r="O189" s="1">
        <f>ROUNDUP(VLOOKUP(C189,[2]!游戏物价查询,7,FALSE),0)*E189</f>
        <v>4</v>
      </c>
      <c r="P189">
        <f>VLOOKUP(C189,[2]!游戏物价查询,4,0)</f>
        <v>1540</v>
      </c>
      <c r="Q189">
        <f>VLOOKUP(C189,[3]!马仔宝物属性,6,FALSE)</f>
        <v>2</v>
      </c>
      <c r="R189" t="str">
        <f t="shared" si="35"/>
        <v/>
      </c>
      <c r="S189">
        <f t="shared" si="22"/>
        <v>0</v>
      </c>
      <c r="V189" s="16">
        <f>SUM($R$3:R189)</f>
        <v>151810</v>
      </c>
      <c r="W189" t="str">
        <f t="shared" si="34"/>
        <v/>
      </c>
      <c r="X189">
        <f t="shared" si="23"/>
        <v>0</v>
      </c>
      <c r="Z189" s="16"/>
      <c r="AA189" s="16">
        <f>SUM($W$3:W189)</f>
        <v>153920</v>
      </c>
    </row>
    <row r="190" spans="1:29">
      <c r="A190" s="10">
        <v>189</v>
      </c>
      <c r="B190" s="10">
        <v>0</v>
      </c>
      <c r="C190" s="49">
        <v>93124</v>
      </c>
      <c r="D190" s="10" t="str">
        <f>IFERROR(VLOOKUP(C190,[1]引用表合并!$A$2:$B$1000,2,FALSE),"")</f>
        <v>水晶耳钉碎片</v>
      </c>
      <c r="E190" s="7">
        <v>1</v>
      </c>
      <c r="F190" s="10">
        <v>1500</v>
      </c>
      <c r="G190" s="10">
        <v>1</v>
      </c>
      <c r="H190" s="10">
        <v>100</v>
      </c>
      <c r="I190" s="10">
        <v>0</v>
      </c>
      <c r="J190" s="10">
        <v>0</v>
      </c>
      <c r="K190" s="7">
        <v>0</v>
      </c>
      <c r="L190" s="7">
        <v>3</v>
      </c>
      <c r="M190" s="7">
        <v>0</v>
      </c>
      <c r="O190" s="1">
        <f>ROUNDUP(VLOOKUP(C190,[2]!游戏物价查询,7,FALSE),0)*E190</f>
        <v>4</v>
      </c>
      <c r="P190">
        <f>VLOOKUP(C190,[2]!游戏物价查询,4,0)</f>
        <v>1170</v>
      </c>
      <c r="Q190">
        <f>VLOOKUP(C190,[3]!马仔宝物属性,6,FALSE)</f>
        <v>2</v>
      </c>
      <c r="R190" t="str">
        <f t="shared" si="35"/>
        <v/>
      </c>
      <c r="S190">
        <f t="shared" si="22"/>
        <v>0</v>
      </c>
      <c r="V190" s="16">
        <f>SUM($R$3:R190)</f>
        <v>151810</v>
      </c>
      <c r="W190" t="str">
        <f t="shared" si="34"/>
        <v/>
      </c>
      <c r="X190">
        <f t="shared" si="23"/>
        <v>0</v>
      </c>
      <c r="Z190" s="16"/>
      <c r="AA190" s="16">
        <f>SUM($W$3:W190)</f>
        <v>153920</v>
      </c>
    </row>
    <row r="191" spans="1:29">
      <c r="A191" s="10">
        <v>190</v>
      </c>
      <c r="B191" s="10">
        <v>0</v>
      </c>
      <c r="C191" s="49">
        <v>93272</v>
      </c>
      <c r="D191" s="10" t="str">
        <f>IFERROR(VLOOKUP(C191,[1]引用表合并!$A$2:$B$1000,2,FALSE),"")</f>
        <v>金针手表碎片</v>
      </c>
      <c r="E191" s="7">
        <v>1</v>
      </c>
      <c r="F191" s="10">
        <v>1500</v>
      </c>
      <c r="G191" s="10">
        <v>1</v>
      </c>
      <c r="H191" s="10">
        <v>100</v>
      </c>
      <c r="I191" s="10">
        <v>0</v>
      </c>
      <c r="J191" s="10">
        <v>0</v>
      </c>
      <c r="K191" s="7">
        <v>0</v>
      </c>
      <c r="L191" s="7">
        <v>3</v>
      </c>
      <c r="M191" s="7">
        <v>0</v>
      </c>
      <c r="O191" s="1">
        <f>ROUNDUP(VLOOKUP(C191,[2]!游戏物价查询,7,FALSE),0)*E191</f>
        <v>4</v>
      </c>
      <c r="P191">
        <f>VLOOKUP(C191,[2]!游戏物价查询,4,0)</f>
        <v>465</v>
      </c>
      <c r="Q191">
        <f>VLOOKUP(C191,[3]!马仔宝物属性,6,FALSE)</f>
        <v>2</v>
      </c>
      <c r="R191" t="str">
        <f t="shared" si="35"/>
        <v/>
      </c>
      <c r="S191">
        <f t="shared" si="22"/>
        <v>0</v>
      </c>
      <c r="V191" s="16">
        <f>SUM($R$3:R191)</f>
        <v>151810</v>
      </c>
      <c r="W191" t="str">
        <f t="shared" si="34"/>
        <v/>
      </c>
      <c r="X191">
        <f t="shared" si="23"/>
        <v>0</v>
      </c>
      <c r="Z191" s="16"/>
      <c r="AA191" s="16">
        <f>SUM($W$3:W191)</f>
        <v>153920</v>
      </c>
    </row>
    <row r="192" spans="1:29">
      <c r="A192" s="10">
        <v>191</v>
      </c>
      <c r="B192" s="10">
        <v>0</v>
      </c>
      <c r="C192" s="49">
        <v>93273</v>
      </c>
      <c r="D192" s="10" t="str">
        <f>IFERROR(VLOOKUP(C192,[1]引用表合并!$A$2:$B$1000,2,FALSE),"")</f>
        <v>智能手表碎片</v>
      </c>
      <c r="E192" s="7">
        <v>1</v>
      </c>
      <c r="F192" s="10">
        <v>1500</v>
      </c>
      <c r="G192" s="10">
        <v>1</v>
      </c>
      <c r="H192" s="10">
        <v>100</v>
      </c>
      <c r="I192" s="10">
        <v>0</v>
      </c>
      <c r="J192" s="10">
        <v>0</v>
      </c>
      <c r="K192" s="7">
        <v>0</v>
      </c>
      <c r="L192" s="7">
        <v>3</v>
      </c>
      <c r="M192" s="7">
        <v>0</v>
      </c>
      <c r="O192" s="1">
        <f>ROUNDUP(VLOOKUP(C192,[2]!游戏物价查询,7,FALSE),0)*E192</f>
        <v>4</v>
      </c>
      <c r="P192">
        <f>VLOOKUP(C192,[2]!游戏物价查询,4,0)</f>
        <v>430</v>
      </c>
      <c r="Q192">
        <f>VLOOKUP(C192,[3]!马仔宝物属性,6,FALSE)</f>
        <v>2</v>
      </c>
      <c r="R192" t="str">
        <f t="shared" ref="R192:R193" si="36">IF(L192&lt;2,F192,"")</f>
        <v/>
      </c>
      <c r="S192">
        <f t="shared" si="22"/>
        <v>0</v>
      </c>
      <c r="V192" s="16">
        <f>SUM($R$3:R192)</f>
        <v>151810</v>
      </c>
      <c r="W192" t="str">
        <f t="shared" si="34"/>
        <v/>
      </c>
      <c r="X192">
        <f t="shared" si="23"/>
        <v>0</v>
      </c>
      <c r="Z192" s="16"/>
      <c r="AA192" s="16">
        <f>SUM($W$3:W192)</f>
        <v>153920</v>
      </c>
    </row>
    <row r="193" spans="1:29">
      <c r="A193" s="10">
        <v>192</v>
      </c>
      <c r="B193" s="10">
        <v>0</v>
      </c>
      <c r="C193" s="49">
        <v>93279</v>
      </c>
      <c r="D193" s="10" t="str">
        <f>IFERROR(VLOOKUP(C193,[1]引用表合并!$A$2:$B$1000,2,FALSE),"")</f>
        <v>宾倪碎片</v>
      </c>
      <c r="E193" s="7">
        <v>1</v>
      </c>
      <c r="F193" s="10">
        <v>1500</v>
      </c>
      <c r="G193" s="10">
        <v>1</v>
      </c>
      <c r="H193" s="10">
        <v>100</v>
      </c>
      <c r="I193" s="10">
        <v>0</v>
      </c>
      <c r="J193" s="10">
        <v>0</v>
      </c>
      <c r="K193" s="7">
        <v>0</v>
      </c>
      <c r="L193" s="7">
        <v>3</v>
      </c>
      <c r="M193" s="7">
        <v>0</v>
      </c>
      <c r="O193" s="1">
        <f>ROUNDUP(VLOOKUP(C193,[2]!游戏物价查询,7,FALSE),0)*E193</f>
        <v>4</v>
      </c>
      <c r="P193">
        <f>VLOOKUP(C193,[2]!游戏物价查询,4,0)</f>
        <v>495</v>
      </c>
      <c r="Q193">
        <f>VLOOKUP(C193,[3]!马仔宝物属性,6,FALSE)</f>
        <v>2</v>
      </c>
      <c r="R193" t="str">
        <f t="shared" si="36"/>
        <v/>
      </c>
      <c r="S193">
        <f t="shared" si="22"/>
        <v>0</v>
      </c>
      <c r="V193" s="16">
        <f>SUM($R$3:R193)</f>
        <v>151810</v>
      </c>
      <c r="W193" t="str">
        <f t="shared" si="34"/>
        <v/>
      </c>
      <c r="X193">
        <f t="shared" si="23"/>
        <v>0</v>
      </c>
      <c r="Z193" s="16"/>
      <c r="AA193" s="16">
        <f>SUM($W$3:W193)</f>
        <v>153920</v>
      </c>
    </row>
    <row r="194" spans="1:29">
      <c r="A194" s="10">
        <v>193</v>
      </c>
      <c r="B194" s="10">
        <v>0</v>
      </c>
      <c r="C194" s="49">
        <v>93284</v>
      </c>
      <c r="D194" s="10" t="str">
        <f>IFERROR(VLOOKUP(C194,[1]引用表合并!$A$2:$B$1000,2,FALSE),"")</f>
        <v>大迭钞票碎片</v>
      </c>
      <c r="E194" s="7">
        <v>1</v>
      </c>
      <c r="F194" s="10">
        <v>1500</v>
      </c>
      <c r="G194" s="10">
        <v>1</v>
      </c>
      <c r="H194" s="10">
        <v>100</v>
      </c>
      <c r="I194" s="10">
        <v>0</v>
      </c>
      <c r="J194" s="10">
        <v>0</v>
      </c>
      <c r="K194" s="7">
        <v>0</v>
      </c>
      <c r="L194" s="7">
        <v>3</v>
      </c>
      <c r="M194" s="7">
        <v>0</v>
      </c>
      <c r="O194" s="1">
        <f>ROUNDUP(VLOOKUP(C194,[2]!游戏物价查询,7,FALSE),0)*E194</f>
        <v>4</v>
      </c>
      <c r="P194">
        <f>VLOOKUP(C194,[2]!游戏物价查询,4,0)</f>
        <v>3435</v>
      </c>
      <c r="Q194">
        <f>VLOOKUP(C194,[3]!马仔宝物属性,6,FALSE)</f>
        <v>2</v>
      </c>
      <c r="R194" t="str">
        <f t="shared" si="35"/>
        <v/>
      </c>
      <c r="S194">
        <f t="shared" ref="S194:S207" si="37">IFERROR(R194/SUM(R:R),0)</f>
        <v>0</v>
      </c>
      <c r="V194" s="16">
        <f>SUM($R$3:R194)</f>
        <v>151810</v>
      </c>
      <c r="W194" t="str">
        <f t="shared" si="34"/>
        <v/>
      </c>
      <c r="X194">
        <f t="shared" ref="X194:X207" si="38">IFERROR(W194/SUM(W:W),0)</f>
        <v>0</v>
      </c>
      <c r="Z194" s="16"/>
      <c r="AA194" s="16">
        <f>SUM($W$3:W194)</f>
        <v>153920</v>
      </c>
    </row>
    <row r="195" spans="1:29">
      <c r="A195" s="10">
        <v>194</v>
      </c>
      <c r="B195" s="10">
        <v>0</v>
      </c>
      <c r="C195" s="49">
        <v>93288</v>
      </c>
      <c r="D195" s="10" t="str">
        <f>IFERROR(VLOOKUP(C195,[1]引用表合并!$A$2:$B$1000,2,FALSE),"")</f>
        <v>大金块碎片</v>
      </c>
      <c r="E195" s="7">
        <v>1</v>
      </c>
      <c r="F195" s="10">
        <v>1500</v>
      </c>
      <c r="G195" s="10">
        <v>1</v>
      </c>
      <c r="H195" s="10">
        <v>100</v>
      </c>
      <c r="I195" s="10">
        <v>0</v>
      </c>
      <c r="J195" s="10">
        <v>0</v>
      </c>
      <c r="K195" s="7">
        <v>0</v>
      </c>
      <c r="L195" s="7">
        <v>3</v>
      </c>
      <c r="M195" s="7">
        <v>0</v>
      </c>
      <c r="O195" s="1">
        <f>ROUNDUP(VLOOKUP(C195,[2]!游戏物价查询,7,FALSE),0)*E195</f>
        <v>4</v>
      </c>
      <c r="P195">
        <f>VLOOKUP(C195,[2]!游戏物价查询,4,0)</f>
        <v>3145</v>
      </c>
      <c r="Q195">
        <f>VLOOKUP(C195,[3]!马仔宝物属性,6,FALSE)</f>
        <v>2</v>
      </c>
      <c r="R195" t="str">
        <f t="shared" si="35"/>
        <v/>
      </c>
      <c r="S195">
        <f t="shared" si="37"/>
        <v>0</v>
      </c>
      <c r="U195">
        <f>SUM(S186:S195)</f>
        <v>0</v>
      </c>
      <c r="V195" s="16">
        <f>SUM($R$3:R195)</f>
        <v>151810</v>
      </c>
      <c r="W195" t="str">
        <f t="shared" si="34"/>
        <v/>
      </c>
      <c r="X195">
        <f t="shared" si="38"/>
        <v>0</v>
      </c>
      <c r="Z195">
        <f>SUM(X186:X195)</f>
        <v>0</v>
      </c>
      <c r="AA195" s="16">
        <f>SUM($W$3:W195)</f>
        <v>153920</v>
      </c>
      <c r="AB195">
        <f>SUMPRODUCT(X186:X195,E186:E195)</f>
        <v>0</v>
      </c>
    </row>
    <row r="196" spans="1:29">
      <c r="A196" s="10">
        <v>195</v>
      </c>
      <c r="B196" s="10">
        <v>0</v>
      </c>
      <c r="C196" s="50">
        <v>93125</v>
      </c>
      <c r="D196" s="10" t="str">
        <f>IFERROR(VLOOKUP(C196,[1]引用表合并!$A$2:$B$1000,2,FALSE),"")</f>
        <v>红石耳钉碎片</v>
      </c>
      <c r="E196" s="7">
        <v>1</v>
      </c>
      <c r="F196" s="10">
        <v>800</v>
      </c>
      <c r="G196" s="10">
        <v>1</v>
      </c>
      <c r="H196" s="10">
        <v>100</v>
      </c>
      <c r="I196" s="10">
        <v>0</v>
      </c>
      <c r="J196" s="10">
        <v>0</v>
      </c>
      <c r="K196" s="7">
        <v>0</v>
      </c>
      <c r="L196" s="7">
        <v>3</v>
      </c>
      <c r="M196" s="7">
        <v>0</v>
      </c>
      <c r="O196" s="1">
        <f>ROUNDUP(VLOOKUP(C196,[2]!游戏物价查询,7,FALSE),0)*E196</f>
        <v>6</v>
      </c>
      <c r="P196">
        <f>VLOOKUP(C196,[2]!游戏物价查询,4,0)</f>
        <v>1040</v>
      </c>
      <c r="Q196">
        <f>VLOOKUP(C196,[3]!马仔宝物属性,6,FALSE)</f>
        <v>3</v>
      </c>
      <c r="R196" t="str">
        <f t="shared" si="35"/>
        <v/>
      </c>
      <c r="S196">
        <f t="shared" si="37"/>
        <v>0</v>
      </c>
      <c r="V196" s="16">
        <f>SUM($R$3:R196)</f>
        <v>151810</v>
      </c>
      <c r="W196" t="str">
        <f t="shared" si="34"/>
        <v/>
      </c>
      <c r="X196">
        <f t="shared" si="38"/>
        <v>0</v>
      </c>
      <c r="Z196" s="16"/>
      <c r="AA196" s="16">
        <f>SUM($W$3:W196)</f>
        <v>153920</v>
      </c>
      <c r="AB196" s="8"/>
      <c r="AC196" s="8">
        <f>[2]马仔宝物投放!$O$42</f>
        <v>0.87124900019410789</v>
      </c>
    </row>
    <row r="197" spans="1:29">
      <c r="A197" s="10">
        <v>196</v>
      </c>
      <c r="B197" s="10">
        <v>0</v>
      </c>
      <c r="C197" s="50">
        <v>93134</v>
      </c>
      <c r="D197" s="10" t="str">
        <f>IFERROR(VLOOKUP(C197,[1]引用表合并!$A$2:$B$1000,2,FALSE),"")</f>
        <v>毒蝎耳钉碎片</v>
      </c>
      <c r="E197" s="7">
        <v>1</v>
      </c>
      <c r="F197" s="10">
        <v>800</v>
      </c>
      <c r="G197" s="10">
        <v>1</v>
      </c>
      <c r="H197" s="10">
        <v>100</v>
      </c>
      <c r="I197" s="10">
        <v>0</v>
      </c>
      <c r="J197" s="10">
        <v>0</v>
      </c>
      <c r="K197" s="7">
        <v>0</v>
      </c>
      <c r="L197" s="7">
        <v>3</v>
      </c>
      <c r="M197" s="7">
        <v>0</v>
      </c>
      <c r="O197" s="1">
        <f>ROUNDUP(VLOOKUP(C197,[2]!游戏物价查询,7,FALSE),0)*E197</f>
        <v>6</v>
      </c>
      <c r="P197">
        <f>VLOOKUP(C197,[2]!游戏物价查询,4,0)</f>
        <v>1080</v>
      </c>
      <c r="Q197">
        <f>VLOOKUP(C197,[3]!马仔宝物属性,6,FALSE)</f>
        <v>3</v>
      </c>
      <c r="R197" t="str">
        <f t="shared" si="35"/>
        <v/>
      </c>
      <c r="S197">
        <f t="shared" si="37"/>
        <v>0</v>
      </c>
      <c r="V197" s="16">
        <f>SUM($R$3:R197)</f>
        <v>151810</v>
      </c>
      <c r="W197" t="str">
        <f t="shared" si="34"/>
        <v/>
      </c>
      <c r="X197">
        <f t="shared" si="38"/>
        <v>0</v>
      </c>
      <c r="Z197" s="16"/>
      <c r="AA197" s="16">
        <f>SUM($W$3:W197)</f>
        <v>153920</v>
      </c>
    </row>
    <row r="198" spans="1:29">
      <c r="A198" s="10">
        <v>197</v>
      </c>
      <c r="B198" s="10">
        <v>0</v>
      </c>
      <c r="C198" s="50">
        <v>93223</v>
      </c>
      <c r="D198" s="10" t="str">
        <f>IFERROR(VLOOKUP(C198,[1]引用表合并!$A$2:$B$1000,2,FALSE),"")</f>
        <v>赤金戒指碎片</v>
      </c>
      <c r="E198" s="7">
        <v>1</v>
      </c>
      <c r="F198" s="10">
        <v>800</v>
      </c>
      <c r="G198" s="10">
        <v>1</v>
      </c>
      <c r="H198" s="10">
        <v>100</v>
      </c>
      <c r="I198" s="10">
        <v>0</v>
      </c>
      <c r="J198" s="10">
        <v>0</v>
      </c>
      <c r="K198" s="7">
        <v>0</v>
      </c>
      <c r="L198" s="7">
        <v>3</v>
      </c>
      <c r="M198" s="7">
        <v>0</v>
      </c>
      <c r="O198" s="1">
        <f>ROUNDUP(VLOOKUP(C198,[2]!游戏物价查询,7,FALSE),0)*E198</f>
        <v>6</v>
      </c>
      <c r="P198">
        <f>VLOOKUP(C198,[2]!游戏物价查询,4,0)</f>
        <v>1300</v>
      </c>
      <c r="Q198">
        <f>VLOOKUP(C198,[3]!马仔宝物属性,6,FALSE)</f>
        <v>3</v>
      </c>
      <c r="R198" t="str">
        <f t="shared" si="35"/>
        <v/>
      </c>
      <c r="S198">
        <f t="shared" si="37"/>
        <v>0</v>
      </c>
      <c r="V198" s="16">
        <f>SUM($R$3:R198)</f>
        <v>151810</v>
      </c>
      <c r="W198" t="str">
        <f t="shared" si="34"/>
        <v/>
      </c>
      <c r="X198">
        <f t="shared" si="38"/>
        <v>0</v>
      </c>
      <c r="Z198" s="16"/>
      <c r="AA198" s="16">
        <f>SUM($W$3:W198)</f>
        <v>153920</v>
      </c>
    </row>
    <row r="199" spans="1:29">
      <c r="A199" s="10">
        <v>198</v>
      </c>
      <c r="B199" s="10">
        <v>0</v>
      </c>
      <c r="C199" s="50">
        <v>93227</v>
      </c>
      <c r="D199" s="10" t="str">
        <f>IFERROR(VLOOKUP(C199,[1]引用表合并!$A$2:$B$1000,2,FALSE),"")</f>
        <v>王者手环碎片</v>
      </c>
      <c r="E199" s="7">
        <v>1</v>
      </c>
      <c r="F199" s="10">
        <v>800</v>
      </c>
      <c r="G199" s="10">
        <v>1</v>
      </c>
      <c r="H199" s="10">
        <v>100</v>
      </c>
      <c r="I199" s="10">
        <v>0</v>
      </c>
      <c r="J199" s="10">
        <v>0</v>
      </c>
      <c r="K199" s="7">
        <v>0</v>
      </c>
      <c r="L199" s="7">
        <v>3</v>
      </c>
      <c r="M199" s="7">
        <v>0</v>
      </c>
      <c r="O199" s="1">
        <f>ROUNDUP(VLOOKUP(C199,[2]!游戏物价查询,7,FALSE),0)*E199</f>
        <v>6</v>
      </c>
      <c r="P199">
        <f>VLOOKUP(C199,[2]!游戏物价查询,4,0)</f>
        <v>1410</v>
      </c>
      <c r="Q199">
        <f>VLOOKUP(C199,[3]!马仔宝物属性,6,FALSE)</f>
        <v>3</v>
      </c>
      <c r="R199" t="str">
        <f t="shared" si="35"/>
        <v/>
      </c>
      <c r="S199">
        <f t="shared" si="37"/>
        <v>0</v>
      </c>
      <c r="V199" s="16">
        <f>SUM($R$3:R199)</f>
        <v>151810</v>
      </c>
      <c r="W199" t="str">
        <f t="shared" si="34"/>
        <v/>
      </c>
      <c r="X199">
        <f t="shared" si="38"/>
        <v>0</v>
      </c>
      <c r="Z199" s="16"/>
      <c r="AA199" s="16">
        <f>SUM($W$3:W199)</f>
        <v>153920</v>
      </c>
    </row>
    <row r="200" spans="1:29">
      <c r="A200" s="10">
        <v>199</v>
      </c>
      <c r="B200" s="10">
        <v>0</v>
      </c>
      <c r="C200" s="50">
        <v>93236</v>
      </c>
      <c r="D200" s="10" t="str">
        <f>IFERROR(VLOOKUP(C200,[1]引用表合并!$A$2:$B$1000,2,FALSE),"")</f>
        <v>符文手环碎片</v>
      </c>
      <c r="E200" s="7">
        <v>1</v>
      </c>
      <c r="F200" s="10">
        <v>800</v>
      </c>
      <c r="G200" s="10">
        <v>1</v>
      </c>
      <c r="H200" s="10">
        <v>100</v>
      </c>
      <c r="I200" s="10">
        <v>0</v>
      </c>
      <c r="J200" s="10">
        <v>0</v>
      </c>
      <c r="K200" s="7">
        <v>0</v>
      </c>
      <c r="L200" s="7">
        <v>3</v>
      </c>
      <c r="M200" s="7">
        <v>0</v>
      </c>
      <c r="O200" s="1">
        <f>ROUNDUP(VLOOKUP(C200,[2]!游戏物价查询,7,FALSE),0)*E200</f>
        <v>6</v>
      </c>
      <c r="P200">
        <f>VLOOKUP(C200,[2]!游戏物价查询,4,0)</f>
        <v>670</v>
      </c>
      <c r="Q200">
        <f>VLOOKUP(C200,[3]!马仔宝物属性,6,FALSE)</f>
        <v>3</v>
      </c>
      <c r="R200" t="str">
        <f t="shared" si="35"/>
        <v/>
      </c>
      <c r="S200">
        <f t="shared" si="37"/>
        <v>0</v>
      </c>
      <c r="V200" s="16">
        <f>SUM($R$3:R200)</f>
        <v>151810</v>
      </c>
      <c r="W200" t="str">
        <f t="shared" si="34"/>
        <v/>
      </c>
      <c r="X200">
        <f t="shared" si="38"/>
        <v>0</v>
      </c>
      <c r="Z200" s="16"/>
      <c r="AA200" s="16">
        <f>SUM($W$3:W200)</f>
        <v>153920</v>
      </c>
    </row>
    <row r="201" spans="1:29">
      <c r="A201" s="10">
        <v>200</v>
      </c>
      <c r="B201" s="10">
        <v>0</v>
      </c>
      <c r="C201" s="50">
        <v>93013</v>
      </c>
      <c r="D201" s="10" t="str">
        <f>IFERROR(VLOOKUP(C201,[1]引用表合并!$A$2:$B$1000,2,FALSE),"")</f>
        <v>月立碎片</v>
      </c>
      <c r="E201" s="7">
        <v>1</v>
      </c>
      <c r="F201" s="10">
        <v>800</v>
      </c>
      <c r="G201" s="10">
        <v>1</v>
      </c>
      <c r="H201" s="10">
        <v>100</v>
      </c>
      <c r="I201" s="10">
        <v>0</v>
      </c>
      <c r="J201" s="10">
        <v>0</v>
      </c>
      <c r="K201" s="7">
        <v>0</v>
      </c>
      <c r="L201" s="7">
        <v>3</v>
      </c>
      <c r="M201" s="7">
        <v>0</v>
      </c>
      <c r="O201" s="1">
        <f>ROUNDUP(VLOOKUP(C201,[2]!游戏物价查询,7,FALSE),0)*E201</f>
        <v>6</v>
      </c>
      <c r="P201">
        <f>VLOOKUP(C201,[2]!游戏物价查询,4,0)</f>
        <v>850</v>
      </c>
      <c r="Q201">
        <f>VLOOKUP(C201,[3]!马仔宝物属性,6,FALSE)</f>
        <v>3</v>
      </c>
      <c r="R201" t="str">
        <f t="shared" si="35"/>
        <v/>
      </c>
      <c r="S201">
        <f t="shared" si="37"/>
        <v>0</v>
      </c>
      <c r="V201" s="16">
        <f>SUM($R$3:R201)</f>
        <v>151810</v>
      </c>
      <c r="W201" t="str">
        <f t="shared" si="34"/>
        <v/>
      </c>
      <c r="X201">
        <f t="shared" si="38"/>
        <v>0</v>
      </c>
      <c r="Z201" s="16"/>
      <c r="AA201" s="16">
        <f>SUM($W$3:W201)</f>
        <v>153920</v>
      </c>
    </row>
    <row r="202" spans="1:29">
      <c r="A202" s="10">
        <v>201</v>
      </c>
      <c r="B202" s="10">
        <v>0</v>
      </c>
      <c r="C202" s="50">
        <v>93253</v>
      </c>
      <c r="D202" s="10" t="str">
        <f>IFERROR(VLOOKUP(C202,[1]引用表合并!$A$2:$B$1000,2,FALSE),"")</f>
        <v>猫妖项链碎片</v>
      </c>
      <c r="E202" s="7">
        <v>1</v>
      </c>
      <c r="F202" s="10">
        <v>800</v>
      </c>
      <c r="G202" s="10">
        <v>1</v>
      </c>
      <c r="H202" s="10">
        <v>100</v>
      </c>
      <c r="I202" s="10">
        <v>0</v>
      </c>
      <c r="J202" s="10">
        <v>0</v>
      </c>
      <c r="K202" s="7">
        <v>0</v>
      </c>
      <c r="L202" s="7">
        <v>3</v>
      </c>
      <c r="M202" s="7">
        <v>0</v>
      </c>
      <c r="O202" s="1">
        <f>ROUNDUP(VLOOKUP(C202,[2]!游戏物价查询,7,FALSE),0)*E202</f>
        <v>6</v>
      </c>
      <c r="P202">
        <f>VLOOKUP(C202,[2]!游戏物价查询,4,0)</f>
        <v>1480</v>
      </c>
      <c r="Q202">
        <f>VLOOKUP(C202,[3]!马仔宝物属性,6,FALSE)</f>
        <v>3</v>
      </c>
      <c r="R202" t="str">
        <f t="shared" si="35"/>
        <v/>
      </c>
      <c r="S202">
        <f t="shared" si="37"/>
        <v>0</v>
      </c>
      <c r="V202" s="16">
        <f>SUM($R$3:R202)</f>
        <v>151810</v>
      </c>
      <c r="W202" t="str">
        <f t="shared" si="34"/>
        <v/>
      </c>
      <c r="X202">
        <f t="shared" si="38"/>
        <v>0</v>
      </c>
      <c r="Z202" s="16"/>
      <c r="AA202" s="16">
        <f>SUM($W$3:W202)</f>
        <v>153920</v>
      </c>
    </row>
    <row r="203" spans="1:29">
      <c r="A203" s="10">
        <v>202</v>
      </c>
      <c r="B203" s="10">
        <v>0</v>
      </c>
      <c r="C203" s="50">
        <v>93254</v>
      </c>
      <c r="D203" s="10" t="str">
        <f>IFERROR(VLOOKUP(C203,[1]引用表合并!$A$2:$B$1000,2,FALSE),"")</f>
        <v>苍蓝项链碎片</v>
      </c>
      <c r="E203" s="7">
        <v>1</v>
      </c>
      <c r="F203" s="10">
        <v>800</v>
      </c>
      <c r="G203" s="10">
        <v>1</v>
      </c>
      <c r="H203" s="10">
        <v>100</v>
      </c>
      <c r="I203" s="10">
        <v>0</v>
      </c>
      <c r="J203" s="10">
        <v>0</v>
      </c>
      <c r="K203" s="7">
        <v>0</v>
      </c>
      <c r="L203" s="7">
        <v>3</v>
      </c>
      <c r="M203" s="7">
        <v>0</v>
      </c>
      <c r="O203" s="1">
        <f>ROUNDUP(VLOOKUP(C203,[2]!游戏物价查询,7,FALSE),0)*E203</f>
        <v>6</v>
      </c>
      <c r="P203">
        <f>VLOOKUP(C203,[2]!游戏物价查询,4,0)</f>
        <v>1400</v>
      </c>
      <c r="Q203">
        <f>VLOOKUP(C203,[3]!马仔宝物属性,6,FALSE)</f>
        <v>3</v>
      </c>
      <c r="R203" t="str">
        <f t="shared" si="35"/>
        <v/>
      </c>
      <c r="S203">
        <f t="shared" si="37"/>
        <v>0</v>
      </c>
      <c r="V203" s="16">
        <f>SUM($R$3:R203)</f>
        <v>151810</v>
      </c>
      <c r="W203" t="str">
        <f t="shared" si="34"/>
        <v/>
      </c>
      <c r="X203">
        <f t="shared" si="38"/>
        <v>0</v>
      </c>
      <c r="Z203" s="16"/>
      <c r="AA203" s="16">
        <f>SUM($W$3:W203)</f>
        <v>153920</v>
      </c>
    </row>
    <row r="204" spans="1:29">
      <c r="A204" s="10">
        <v>203</v>
      </c>
      <c r="B204" s="10">
        <v>0</v>
      </c>
      <c r="C204" s="50">
        <v>93274</v>
      </c>
      <c r="D204" s="10" t="str">
        <f>IFERROR(VLOOKUP(C204,[1]引用表合并!$A$2:$B$1000,2,FALSE),"")</f>
        <v>汉密手表碎片</v>
      </c>
      <c r="E204" s="7">
        <v>1</v>
      </c>
      <c r="F204" s="10">
        <v>800</v>
      </c>
      <c r="G204" s="10">
        <v>1</v>
      </c>
      <c r="H204" s="10">
        <v>100</v>
      </c>
      <c r="I204" s="10">
        <v>0</v>
      </c>
      <c r="J204" s="10">
        <v>0</v>
      </c>
      <c r="K204" s="7">
        <v>0</v>
      </c>
      <c r="L204" s="7">
        <v>3</v>
      </c>
      <c r="M204" s="7">
        <v>0</v>
      </c>
      <c r="O204" s="1">
        <f>ROUNDUP(VLOOKUP(C204,[2]!游戏物价查询,7,FALSE),0)*E204</f>
        <v>6</v>
      </c>
      <c r="P204">
        <f>VLOOKUP(C204,[2]!游戏物价查询,4,0)</f>
        <v>700</v>
      </c>
      <c r="Q204">
        <f>VLOOKUP(C204,[3]!马仔宝物属性,6,FALSE)</f>
        <v>3</v>
      </c>
      <c r="R204" t="str">
        <f t="shared" si="35"/>
        <v/>
      </c>
      <c r="S204">
        <f t="shared" si="37"/>
        <v>0</v>
      </c>
      <c r="V204" s="16">
        <f>SUM($R$3:R204)</f>
        <v>151810</v>
      </c>
      <c r="W204" t="str">
        <f t="shared" si="34"/>
        <v/>
      </c>
      <c r="X204">
        <f t="shared" si="38"/>
        <v>0</v>
      </c>
      <c r="Z204" s="16"/>
      <c r="AA204" s="16">
        <f>SUM($W$3:W204)</f>
        <v>153920</v>
      </c>
    </row>
    <row r="205" spans="1:29">
      <c r="A205" s="10">
        <v>204</v>
      </c>
      <c r="B205" s="10">
        <v>0</v>
      </c>
      <c r="C205" s="50">
        <v>93280</v>
      </c>
      <c r="D205" s="10" t="str">
        <f>IFERROR(VLOOKUP(C205,[1]引用表合并!$A$2:$B$1000,2,FALSE),"")</f>
        <v>法拉捷碎片</v>
      </c>
      <c r="E205" s="7">
        <v>1</v>
      </c>
      <c r="F205" s="10">
        <v>800</v>
      </c>
      <c r="G205" s="10">
        <v>1</v>
      </c>
      <c r="H205" s="10">
        <v>100</v>
      </c>
      <c r="I205" s="10">
        <v>0</v>
      </c>
      <c r="J205" s="10">
        <v>0</v>
      </c>
      <c r="K205" s="7">
        <v>0</v>
      </c>
      <c r="L205" s="7">
        <v>3</v>
      </c>
      <c r="M205" s="7">
        <v>0</v>
      </c>
      <c r="O205" s="1">
        <f>ROUNDUP(VLOOKUP(C205,[2]!游戏物价查询,7,FALSE),0)*E205</f>
        <v>6</v>
      </c>
      <c r="P205">
        <f>VLOOKUP(C205,[2]!游戏物价查询,4,0)</f>
        <v>750</v>
      </c>
      <c r="Q205">
        <f>VLOOKUP(C205,[3]!马仔宝物属性,6,FALSE)</f>
        <v>3</v>
      </c>
      <c r="R205" t="str">
        <f t="shared" si="35"/>
        <v/>
      </c>
      <c r="S205">
        <f t="shared" si="37"/>
        <v>0</v>
      </c>
      <c r="V205" s="16">
        <f>SUM($R$3:R205)</f>
        <v>151810</v>
      </c>
      <c r="W205" t="str">
        <f t="shared" si="34"/>
        <v/>
      </c>
      <c r="X205">
        <f t="shared" si="38"/>
        <v>0</v>
      </c>
      <c r="Z205" s="16"/>
      <c r="AA205" s="16">
        <f>SUM($W$3:W205)</f>
        <v>153920</v>
      </c>
    </row>
    <row r="206" spans="1:29">
      <c r="A206" s="10">
        <v>205</v>
      </c>
      <c r="B206" s="10">
        <v>0</v>
      </c>
      <c r="C206" s="50">
        <v>93285</v>
      </c>
      <c r="D206" s="10" t="str">
        <f>IFERROR(VLOOKUP(C206,[1]引用表合并!$A$2:$B$1000,2,FALSE),"")</f>
        <v>大堆钞票碎片</v>
      </c>
      <c r="E206" s="7">
        <v>1</v>
      </c>
      <c r="F206" s="10">
        <v>800</v>
      </c>
      <c r="G206" s="10">
        <v>1</v>
      </c>
      <c r="H206" s="10">
        <v>100</v>
      </c>
      <c r="I206" s="10">
        <v>0</v>
      </c>
      <c r="J206" s="10">
        <v>0</v>
      </c>
      <c r="K206" s="7">
        <v>0</v>
      </c>
      <c r="L206" s="7">
        <v>3</v>
      </c>
      <c r="M206" s="7">
        <v>0</v>
      </c>
      <c r="O206" s="1">
        <f>ROUNDUP(VLOOKUP(C206,[2]!游戏物价查询,7,FALSE),0)*E206</f>
        <v>6</v>
      </c>
      <c r="P206">
        <f>VLOOKUP(C206,[2]!游戏物价查询,4,0)</f>
        <v>2860</v>
      </c>
      <c r="Q206">
        <f>VLOOKUP(C206,[3]!马仔宝物属性,6,FALSE)</f>
        <v>3</v>
      </c>
      <c r="R206" t="str">
        <f t="shared" si="35"/>
        <v/>
      </c>
      <c r="S206">
        <f t="shared" si="37"/>
        <v>0</v>
      </c>
      <c r="V206" s="16">
        <f>SUM($R$3:R206)</f>
        <v>151810</v>
      </c>
      <c r="W206" t="str">
        <f t="shared" si="34"/>
        <v/>
      </c>
      <c r="X206">
        <f t="shared" si="38"/>
        <v>0</v>
      </c>
      <c r="Z206" s="16"/>
      <c r="AA206" s="16">
        <f>SUM($W$3:W206)</f>
        <v>153920</v>
      </c>
    </row>
    <row r="207" spans="1:29">
      <c r="A207" s="10">
        <v>206</v>
      </c>
      <c r="B207" s="10">
        <v>0</v>
      </c>
      <c r="C207" s="50">
        <v>93289</v>
      </c>
      <c r="D207" s="10" t="str">
        <f>IFERROR(VLOOKUP(C207,[1]引用表合并!$A$2:$B$1000,2,FALSE),"")</f>
        <v>小堆金块碎片</v>
      </c>
      <c r="E207" s="7">
        <v>1</v>
      </c>
      <c r="F207" s="10">
        <v>800</v>
      </c>
      <c r="G207" s="10">
        <v>1</v>
      </c>
      <c r="H207" s="10">
        <v>100</v>
      </c>
      <c r="I207" s="10">
        <v>0</v>
      </c>
      <c r="J207" s="10">
        <v>0</v>
      </c>
      <c r="K207" s="7">
        <v>0</v>
      </c>
      <c r="L207" s="7">
        <v>3</v>
      </c>
      <c r="M207" s="7">
        <v>0</v>
      </c>
      <c r="O207" s="1">
        <f>ROUNDUP(VLOOKUP(C207,[2]!游戏物价查询,7,FALSE),0)*E207</f>
        <v>6</v>
      </c>
      <c r="P207">
        <f>VLOOKUP(C207,[2]!游戏物价查询,4,0)</f>
        <v>2620</v>
      </c>
      <c r="Q207">
        <f>VLOOKUP(C207,[3]!马仔宝物属性,6,FALSE)</f>
        <v>3</v>
      </c>
      <c r="R207" t="str">
        <f t="shared" si="35"/>
        <v/>
      </c>
      <c r="S207">
        <f t="shared" si="37"/>
        <v>0</v>
      </c>
      <c r="U207" s="16">
        <f>SUM(S196:S207)</f>
        <v>0</v>
      </c>
      <c r="V207" s="16">
        <f>SUM($R$3:R207)</f>
        <v>151810</v>
      </c>
      <c r="W207" t="str">
        <f t="shared" si="34"/>
        <v/>
      </c>
      <c r="X207">
        <f t="shared" si="38"/>
        <v>0</v>
      </c>
      <c r="Z207" s="16">
        <f>SUM(X196:X207)</f>
        <v>0</v>
      </c>
      <c r="AA207" s="16">
        <f>SUM($W$3:W207)</f>
        <v>153920</v>
      </c>
      <c r="AB207">
        <f>SUMPRODUCT(X196:X207,E196:E207)</f>
        <v>0</v>
      </c>
    </row>
  </sheetData>
  <phoneticPr fontId="1" type="noConversion"/>
  <conditionalFormatting sqref="D137:D147 D49:E49 D56:D58 D75:D78 D176:D191 D50:D53 D2:D8 D151:D158 D162:D173 D47:D48 E39:E48 E50:E58 D69:D72 D79:E90 D103:D133 E103:E114 D29:D44 D194:D195 E186:E195 D197:E207">
    <cfRule type="expression" dxfId="717" priority="1446">
      <formula>AND(C2&gt;=79001,C2&lt;79900)</formula>
    </cfRule>
    <cfRule type="expression" dxfId="716" priority="1447" stopIfTrue="1">
      <formula>AND(C2&gt;=70101,C2&lt;=70301)</formula>
    </cfRule>
    <cfRule type="expression" dxfId="715" priority="1448" stopIfTrue="1">
      <formula>AND(C2&gt;70000,C2&lt;70004)</formula>
    </cfRule>
    <cfRule type="expression" dxfId="714" priority="1449" stopIfTrue="1">
      <formula>AND(C2&gt;=70010,C2&lt;=76000)</formula>
    </cfRule>
    <cfRule type="expression" dxfId="713" priority="1450">
      <formula>AND(C2&gt;70000,C2&lt;70004)</formula>
    </cfRule>
    <cfRule type="expression" dxfId="712" priority="1451" stopIfTrue="1">
      <formula>OR(AND(C2&gt;=10000,C2&lt;=56999),AND(C2&gt;=57000,C2&lt;=57999))</formula>
    </cfRule>
    <cfRule type="expression" dxfId="711" priority="1452" stopIfTrue="1">
      <formula>AND(C2&gt;=8000,C2&lt;=9999)</formula>
    </cfRule>
    <cfRule type="expression" dxfId="710" priority="1453" stopIfTrue="1">
      <formula>AND(C2&gt;=78100,C2&lt;=78199)</formula>
    </cfRule>
    <cfRule type="expression" dxfId="709" priority="1454" stopIfTrue="1">
      <formula>AND(C2&gt;=92000,C2&lt;=98999)</formula>
    </cfRule>
    <cfRule type="expression" dxfId="708" priority="1455" stopIfTrue="1">
      <formula>AND(C2&gt;=78100,C2&lt;=78199)</formula>
    </cfRule>
    <cfRule type="expression" dxfId="707" priority="1456" stopIfTrue="1">
      <formula>AND(C2&gt;=91000,C2&lt;=91999)</formula>
    </cfRule>
  </conditionalFormatting>
  <conditionalFormatting sqref="C131:C133 C127:C129">
    <cfRule type="duplicateValues" dxfId="706" priority="1148"/>
  </conditionalFormatting>
  <conditionalFormatting sqref="C168">
    <cfRule type="duplicateValues" dxfId="705" priority="1005"/>
  </conditionalFormatting>
  <conditionalFormatting sqref="C208:C1048576 C172 C1 P1:Q1">
    <cfRule type="duplicateValues" dxfId="704" priority="1889"/>
  </conditionalFormatting>
  <conditionalFormatting sqref="C173">
    <cfRule type="duplicateValues" dxfId="703" priority="934"/>
  </conditionalFormatting>
  <conditionalFormatting sqref="C138:C140">
    <cfRule type="duplicateValues" dxfId="702" priority="736"/>
  </conditionalFormatting>
  <conditionalFormatting sqref="C165 C167">
    <cfRule type="duplicateValues" dxfId="701" priority="722"/>
  </conditionalFormatting>
  <conditionalFormatting sqref="C163">
    <cfRule type="duplicateValues" dxfId="700" priority="734"/>
  </conditionalFormatting>
  <conditionalFormatting sqref="C164">
    <cfRule type="duplicateValues" dxfId="699" priority="710"/>
  </conditionalFormatting>
  <conditionalFormatting sqref="C166">
    <cfRule type="duplicateValues" dxfId="698" priority="698"/>
  </conditionalFormatting>
  <conditionalFormatting sqref="C2">
    <cfRule type="duplicateValues" dxfId="697" priority="382"/>
  </conditionalFormatting>
  <conditionalFormatting sqref="D136">
    <cfRule type="expression" dxfId="696" priority="309">
      <formula>AND(C136&gt;=79001,C136&lt;79900)</formula>
    </cfRule>
    <cfRule type="expression" dxfId="695" priority="310" stopIfTrue="1">
      <formula>AND(C136&gt;=70101,C136&lt;=70301)</formula>
    </cfRule>
    <cfRule type="expression" dxfId="694" priority="311" stopIfTrue="1">
      <formula>AND(C136&gt;70000,C136&lt;70004)</formula>
    </cfRule>
    <cfRule type="expression" dxfId="693" priority="312" stopIfTrue="1">
      <formula>AND(C136&gt;=70010,C136&lt;=76000)</formula>
    </cfRule>
    <cfRule type="expression" dxfId="692" priority="313">
      <formula>AND(C136&gt;70000,C136&lt;70004)</formula>
    </cfRule>
    <cfRule type="expression" dxfId="691" priority="314" stopIfTrue="1">
      <formula>OR(AND(C136&gt;=10000,C136&lt;=56999),AND(C136&gt;=57000,C136&lt;=57999))</formula>
    </cfRule>
    <cfRule type="expression" dxfId="690" priority="315" stopIfTrue="1">
      <formula>AND(C136&gt;=8000,C136&lt;=9999)</formula>
    </cfRule>
    <cfRule type="expression" dxfId="689" priority="316" stopIfTrue="1">
      <formula>AND(C136&gt;=78100,C136&lt;=78199)</formula>
    </cfRule>
    <cfRule type="expression" dxfId="688" priority="317" stopIfTrue="1">
      <formula>AND(C136&gt;=92000,C136&lt;=98999)</formula>
    </cfRule>
    <cfRule type="expression" dxfId="687" priority="318" stopIfTrue="1">
      <formula>AND(C136&gt;=78100,C136&lt;=78199)</formula>
    </cfRule>
    <cfRule type="expression" dxfId="686" priority="319" stopIfTrue="1">
      <formula>AND(C136&gt;=91000,C136&lt;=91999)</formula>
    </cfRule>
  </conditionalFormatting>
  <conditionalFormatting sqref="D134:D135">
    <cfRule type="expression" dxfId="685" priority="295">
      <formula>AND(C134&gt;=79001,C134&lt;79900)</formula>
    </cfRule>
    <cfRule type="expression" dxfId="684" priority="296" stopIfTrue="1">
      <formula>AND(C134&gt;=70101,C134&lt;=70301)</formula>
    </cfRule>
    <cfRule type="expression" dxfId="683" priority="297" stopIfTrue="1">
      <formula>AND(C134&gt;70000,C134&lt;70004)</formula>
    </cfRule>
    <cfRule type="expression" dxfId="682" priority="298" stopIfTrue="1">
      <formula>AND(C134&gt;=70010,C134&lt;=76000)</formula>
    </cfRule>
    <cfRule type="expression" dxfId="681" priority="299">
      <formula>AND(C134&gt;70000,C134&lt;70004)</formula>
    </cfRule>
    <cfRule type="expression" dxfId="680" priority="300" stopIfTrue="1">
      <formula>OR(AND(C134&gt;=10000,C134&lt;=56999),AND(C134&gt;=57000,C134&lt;=57999))</formula>
    </cfRule>
    <cfRule type="expression" dxfId="679" priority="301" stopIfTrue="1">
      <formula>AND(C134&gt;=8000,C134&lt;=9999)</formula>
    </cfRule>
    <cfRule type="expression" dxfId="678" priority="302" stopIfTrue="1">
      <formula>AND(C134&gt;=78100,C134&lt;=78199)</formula>
    </cfRule>
    <cfRule type="expression" dxfId="677" priority="303" stopIfTrue="1">
      <formula>AND(C134&gt;=92000,C134&lt;=98999)</formula>
    </cfRule>
    <cfRule type="expression" dxfId="676" priority="304" stopIfTrue="1">
      <formula>AND(C134&gt;=78100,C134&lt;=78199)</formula>
    </cfRule>
    <cfRule type="expression" dxfId="675" priority="305" stopIfTrue="1">
      <formula>AND(C134&gt;=91000,C134&lt;=91999)</formula>
    </cfRule>
  </conditionalFormatting>
  <conditionalFormatting sqref="D150">
    <cfRule type="expression" dxfId="674" priority="281">
      <formula>AND(C150&gt;=79001,C150&lt;79900)</formula>
    </cfRule>
    <cfRule type="expression" dxfId="673" priority="282" stopIfTrue="1">
      <formula>AND(C150&gt;=70101,C150&lt;=70301)</formula>
    </cfRule>
    <cfRule type="expression" dxfId="672" priority="283" stopIfTrue="1">
      <formula>AND(C150&gt;70000,C150&lt;70004)</formula>
    </cfRule>
    <cfRule type="expression" dxfId="671" priority="284" stopIfTrue="1">
      <formula>AND(C150&gt;=70010,C150&lt;=76000)</formula>
    </cfRule>
    <cfRule type="expression" dxfId="670" priority="285">
      <formula>AND(C150&gt;70000,C150&lt;70004)</formula>
    </cfRule>
    <cfRule type="expression" dxfId="669" priority="286" stopIfTrue="1">
      <formula>OR(AND(C150&gt;=10000,C150&lt;=56999),AND(C150&gt;=57000,C150&lt;=57999))</formula>
    </cfRule>
    <cfRule type="expression" dxfId="668" priority="287" stopIfTrue="1">
      <formula>AND(C150&gt;=8000,C150&lt;=9999)</formula>
    </cfRule>
    <cfRule type="expression" dxfId="667" priority="288" stopIfTrue="1">
      <formula>AND(C150&gt;=78100,C150&lt;=78199)</formula>
    </cfRule>
    <cfRule type="expression" dxfId="666" priority="289" stopIfTrue="1">
      <formula>AND(C150&gt;=92000,C150&lt;=98999)</formula>
    </cfRule>
    <cfRule type="expression" dxfId="665" priority="290" stopIfTrue="1">
      <formula>AND(C150&gt;=78100,C150&lt;=78199)</formula>
    </cfRule>
    <cfRule type="expression" dxfId="664" priority="291" stopIfTrue="1">
      <formula>AND(C150&gt;=91000,C150&lt;=91999)</formula>
    </cfRule>
  </conditionalFormatting>
  <conditionalFormatting sqref="D148:D149">
    <cfRule type="expression" dxfId="663" priority="267">
      <formula>AND(C148&gt;=79001,C148&lt;79900)</formula>
    </cfRule>
    <cfRule type="expression" dxfId="662" priority="268" stopIfTrue="1">
      <formula>AND(C148&gt;=70101,C148&lt;=70301)</formula>
    </cfRule>
    <cfRule type="expression" dxfId="661" priority="269" stopIfTrue="1">
      <formula>AND(C148&gt;70000,C148&lt;70004)</formula>
    </cfRule>
    <cfRule type="expression" dxfId="660" priority="270" stopIfTrue="1">
      <formula>AND(C148&gt;=70010,C148&lt;=76000)</formula>
    </cfRule>
    <cfRule type="expression" dxfId="659" priority="271">
      <formula>AND(C148&gt;70000,C148&lt;70004)</formula>
    </cfRule>
    <cfRule type="expression" dxfId="658" priority="272" stopIfTrue="1">
      <formula>OR(AND(C148&gt;=10000,C148&lt;=56999),AND(C148&gt;=57000,C148&lt;=57999))</formula>
    </cfRule>
    <cfRule type="expression" dxfId="657" priority="273" stopIfTrue="1">
      <formula>AND(C148&gt;=8000,C148&lt;=9999)</formula>
    </cfRule>
    <cfRule type="expression" dxfId="656" priority="274" stopIfTrue="1">
      <formula>AND(C148&gt;=78100,C148&lt;=78199)</formula>
    </cfRule>
    <cfRule type="expression" dxfId="655" priority="275" stopIfTrue="1">
      <formula>AND(C148&gt;=92000,C148&lt;=98999)</formula>
    </cfRule>
    <cfRule type="expression" dxfId="654" priority="276" stopIfTrue="1">
      <formula>AND(C148&gt;=78100,C148&lt;=78199)</formula>
    </cfRule>
    <cfRule type="expression" dxfId="653" priority="277" stopIfTrue="1">
      <formula>AND(C148&gt;=91000,C148&lt;=91999)</formula>
    </cfRule>
  </conditionalFormatting>
  <conditionalFormatting sqref="D161">
    <cfRule type="expression" dxfId="652" priority="253">
      <formula>AND(C161&gt;=79001,C161&lt;79900)</formula>
    </cfRule>
    <cfRule type="expression" dxfId="651" priority="254" stopIfTrue="1">
      <formula>AND(C161&gt;=70101,C161&lt;=70301)</formula>
    </cfRule>
    <cfRule type="expression" dxfId="650" priority="255" stopIfTrue="1">
      <formula>AND(C161&gt;70000,C161&lt;70004)</formula>
    </cfRule>
    <cfRule type="expression" dxfId="649" priority="256" stopIfTrue="1">
      <formula>AND(C161&gt;=70010,C161&lt;=76000)</formula>
    </cfRule>
    <cfRule type="expression" dxfId="648" priority="257">
      <formula>AND(C161&gt;70000,C161&lt;70004)</formula>
    </cfRule>
    <cfRule type="expression" dxfId="647" priority="258" stopIfTrue="1">
      <formula>OR(AND(C161&gt;=10000,C161&lt;=56999),AND(C161&gt;=57000,C161&lt;=57999))</formula>
    </cfRule>
    <cfRule type="expression" dxfId="646" priority="259" stopIfTrue="1">
      <formula>AND(C161&gt;=8000,C161&lt;=9999)</formula>
    </cfRule>
    <cfRule type="expression" dxfId="645" priority="260" stopIfTrue="1">
      <formula>AND(C161&gt;=78100,C161&lt;=78199)</formula>
    </cfRule>
    <cfRule type="expression" dxfId="644" priority="261" stopIfTrue="1">
      <formula>AND(C161&gt;=92000,C161&lt;=98999)</formula>
    </cfRule>
    <cfRule type="expression" dxfId="643" priority="262" stopIfTrue="1">
      <formula>AND(C161&gt;=78100,C161&lt;=78199)</formula>
    </cfRule>
    <cfRule type="expression" dxfId="642" priority="263" stopIfTrue="1">
      <formula>AND(C161&gt;=91000,C161&lt;=91999)</formula>
    </cfRule>
  </conditionalFormatting>
  <conditionalFormatting sqref="D159:D160">
    <cfRule type="expression" dxfId="641" priority="239">
      <formula>AND(C159&gt;=79001,C159&lt;79900)</formula>
    </cfRule>
    <cfRule type="expression" dxfId="640" priority="240" stopIfTrue="1">
      <formula>AND(C159&gt;=70101,C159&lt;=70301)</formula>
    </cfRule>
    <cfRule type="expression" dxfId="639" priority="241" stopIfTrue="1">
      <formula>AND(C159&gt;70000,C159&lt;70004)</formula>
    </cfRule>
    <cfRule type="expression" dxfId="638" priority="242" stopIfTrue="1">
      <formula>AND(C159&gt;=70010,C159&lt;=76000)</formula>
    </cfRule>
    <cfRule type="expression" dxfId="637" priority="243">
      <formula>AND(C159&gt;70000,C159&lt;70004)</formula>
    </cfRule>
    <cfRule type="expression" dxfId="636" priority="244" stopIfTrue="1">
      <formula>OR(AND(C159&gt;=10000,C159&lt;=56999),AND(C159&gt;=57000,C159&lt;=57999))</formula>
    </cfRule>
    <cfRule type="expression" dxfId="635" priority="245" stopIfTrue="1">
      <formula>AND(C159&gt;=8000,C159&lt;=9999)</formula>
    </cfRule>
    <cfRule type="expression" dxfId="634" priority="246" stopIfTrue="1">
      <formula>AND(C159&gt;=78100,C159&lt;=78199)</formula>
    </cfRule>
    <cfRule type="expression" dxfId="633" priority="247" stopIfTrue="1">
      <formula>AND(C159&gt;=92000,C159&lt;=98999)</formula>
    </cfRule>
    <cfRule type="expression" dxfId="632" priority="248" stopIfTrue="1">
      <formula>AND(C159&gt;=78100,C159&lt;=78199)</formula>
    </cfRule>
    <cfRule type="expression" dxfId="631" priority="249" stopIfTrue="1">
      <formula>AND(C159&gt;=91000,C159&lt;=91999)</formula>
    </cfRule>
  </conditionalFormatting>
  <conditionalFormatting sqref="C136">
    <cfRule type="duplicateValues" dxfId="630" priority="235"/>
  </conditionalFormatting>
  <conditionalFormatting sqref="C130">
    <cfRule type="duplicateValues" dxfId="629" priority="234"/>
  </conditionalFormatting>
  <conditionalFormatting sqref="C134">
    <cfRule type="duplicateValues" dxfId="628" priority="233"/>
  </conditionalFormatting>
  <conditionalFormatting sqref="C135 C137">
    <cfRule type="duplicateValues" dxfId="627" priority="232"/>
  </conditionalFormatting>
  <conditionalFormatting sqref="S208:S1048576 S47:S53 S56:S58 S75:S90 S1:S8 S69:S72 S103:S173 S29:S44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08:X1048576 X47:X53 X56:X58 X75:X90 X1:X8 X69:X72 X103:X173 X29:X44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4:D175">
    <cfRule type="expression" dxfId="626" priority="207">
      <formula>AND(C174&gt;=79001,C174&lt;79900)</formula>
    </cfRule>
    <cfRule type="expression" dxfId="625" priority="208" stopIfTrue="1">
      <formula>AND(C174&gt;=70101,C174&lt;=70301)</formula>
    </cfRule>
    <cfRule type="expression" dxfId="624" priority="209" stopIfTrue="1">
      <formula>AND(C174&gt;70000,C174&lt;70004)</formula>
    </cfRule>
    <cfRule type="expression" dxfId="623" priority="210" stopIfTrue="1">
      <formula>AND(C174&gt;=70010,C174&lt;=76000)</formula>
    </cfRule>
    <cfRule type="expression" dxfId="622" priority="211">
      <formula>AND(C174&gt;70000,C174&lt;70004)</formula>
    </cfRule>
    <cfRule type="expression" dxfId="621" priority="212" stopIfTrue="1">
      <formula>OR(AND(C174&gt;=10000,C174&lt;=56999),AND(C174&gt;=57000,C174&lt;=57999))</formula>
    </cfRule>
    <cfRule type="expression" dxfId="620" priority="213" stopIfTrue="1">
      <formula>AND(C174&gt;=8000,C174&lt;=9999)</formula>
    </cfRule>
    <cfRule type="expression" dxfId="619" priority="214" stopIfTrue="1">
      <formula>AND(C174&gt;=78100,C174&lt;=78199)</formula>
    </cfRule>
    <cfRule type="expression" dxfId="618" priority="215" stopIfTrue="1">
      <formula>AND(C174&gt;=92000,C174&lt;=98999)</formula>
    </cfRule>
    <cfRule type="expression" dxfId="617" priority="216" stopIfTrue="1">
      <formula>AND(C174&gt;=78100,C174&lt;=78199)</formula>
    </cfRule>
    <cfRule type="expression" dxfId="616" priority="217" stopIfTrue="1">
      <formula>AND(C174&gt;=91000,C174&lt;=91999)</formula>
    </cfRule>
  </conditionalFormatting>
  <conditionalFormatting sqref="C175">
    <cfRule type="duplicateValues" dxfId="615" priority="206"/>
  </conditionalFormatting>
  <conditionalFormatting sqref="C174">
    <cfRule type="duplicateValues" dxfId="614" priority="205"/>
  </conditionalFormatting>
  <conditionalFormatting sqref="S174:S175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74:X175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">
    <cfRule type="duplicateValues" dxfId="613" priority="202"/>
  </conditionalFormatting>
  <conditionalFormatting sqref="C170:C171">
    <cfRule type="duplicateValues" dxfId="612" priority="201"/>
  </conditionalFormatting>
  <conditionalFormatting sqref="C145:C147 C141:C143">
    <cfRule type="duplicateValues" dxfId="611" priority="200"/>
  </conditionalFormatting>
  <conditionalFormatting sqref="C150">
    <cfRule type="duplicateValues" dxfId="610" priority="198"/>
  </conditionalFormatting>
  <conditionalFormatting sqref="C144">
    <cfRule type="duplicateValues" dxfId="609" priority="197"/>
  </conditionalFormatting>
  <conditionalFormatting sqref="C148">
    <cfRule type="duplicateValues" dxfId="608" priority="196"/>
  </conditionalFormatting>
  <conditionalFormatting sqref="C149 C151">
    <cfRule type="duplicateValues" dxfId="607" priority="195"/>
  </conditionalFormatting>
  <conditionalFormatting sqref="C156:C158 C152:C154">
    <cfRule type="duplicateValues" dxfId="606" priority="194"/>
  </conditionalFormatting>
  <conditionalFormatting sqref="C161">
    <cfRule type="duplicateValues" dxfId="605" priority="192"/>
  </conditionalFormatting>
  <conditionalFormatting sqref="C155">
    <cfRule type="duplicateValues" dxfId="604" priority="191"/>
  </conditionalFormatting>
  <conditionalFormatting sqref="C159">
    <cfRule type="duplicateValues" dxfId="603" priority="190"/>
  </conditionalFormatting>
  <conditionalFormatting sqref="C160 C162">
    <cfRule type="duplicateValues" dxfId="602" priority="189"/>
  </conditionalFormatting>
  <conditionalFormatting sqref="D196:E196">
    <cfRule type="expression" dxfId="601" priority="177">
      <formula>AND(C196&gt;=79001,C196&lt;79900)</formula>
    </cfRule>
    <cfRule type="expression" dxfId="600" priority="178" stopIfTrue="1">
      <formula>AND(C196&gt;=70101,C196&lt;=70301)</formula>
    </cfRule>
    <cfRule type="expression" dxfId="599" priority="179" stopIfTrue="1">
      <formula>AND(C196&gt;70000,C196&lt;70004)</formula>
    </cfRule>
    <cfRule type="expression" dxfId="598" priority="180" stopIfTrue="1">
      <formula>AND(C196&gt;=70010,C196&lt;=76000)</formula>
    </cfRule>
    <cfRule type="expression" dxfId="597" priority="181">
      <formula>AND(C196&gt;70000,C196&lt;70004)</formula>
    </cfRule>
    <cfRule type="expression" dxfId="596" priority="182" stopIfTrue="1">
      <formula>OR(AND(C196&gt;=10000,C196&lt;=56999),AND(C196&gt;=57000,C196&lt;=57999))</formula>
    </cfRule>
    <cfRule type="expression" dxfId="595" priority="183" stopIfTrue="1">
      <formula>AND(C196&gt;=8000,C196&lt;=9999)</formula>
    </cfRule>
    <cfRule type="expression" dxfId="594" priority="184" stopIfTrue="1">
      <formula>AND(C196&gt;=78100,C196&lt;=78199)</formula>
    </cfRule>
    <cfRule type="expression" dxfId="593" priority="185" stopIfTrue="1">
      <formula>AND(C196&gt;=92000,C196&lt;=98999)</formula>
    </cfRule>
    <cfRule type="expression" dxfId="592" priority="186" stopIfTrue="1">
      <formula>AND(C196&gt;=78100,C196&lt;=78199)</formula>
    </cfRule>
    <cfRule type="expression" dxfId="591" priority="187" stopIfTrue="1">
      <formula>AND(C196&gt;=91000,C196&lt;=91999)</formula>
    </cfRule>
  </conditionalFormatting>
  <conditionalFormatting sqref="D45:D46">
    <cfRule type="expression" dxfId="590" priority="160">
      <formula>AND(C45&gt;=79001,C45&lt;79900)</formula>
    </cfRule>
    <cfRule type="expression" dxfId="589" priority="161" stopIfTrue="1">
      <formula>AND(C45&gt;=70101,C45&lt;=70301)</formula>
    </cfRule>
    <cfRule type="expression" dxfId="588" priority="162" stopIfTrue="1">
      <formula>AND(C45&gt;70000,C45&lt;70004)</formula>
    </cfRule>
    <cfRule type="expression" dxfId="587" priority="163" stopIfTrue="1">
      <formula>AND(C45&gt;=70010,C45&lt;=76000)</formula>
    </cfRule>
    <cfRule type="expression" dxfId="586" priority="164">
      <formula>AND(C45&gt;70000,C45&lt;70004)</formula>
    </cfRule>
    <cfRule type="expression" dxfId="585" priority="165" stopIfTrue="1">
      <formula>OR(AND(C45&gt;=10000,C45&lt;=56999),AND(C45&gt;=57000,C45&lt;=57999))</formula>
    </cfRule>
    <cfRule type="expression" dxfId="584" priority="166" stopIfTrue="1">
      <formula>AND(C45&gt;=8000,C45&lt;=9999)</formula>
    </cfRule>
    <cfRule type="expression" dxfId="583" priority="167" stopIfTrue="1">
      <formula>AND(C45&gt;=78100,C45&lt;=78199)</formula>
    </cfRule>
    <cfRule type="expression" dxfId="582" priority="168" stopIfTrue="1">
      <formula>AND(C45&gt;=92000,C45&lt;=98999)</formula>
    </cfRule>
    <cfRule type="expression" dxfId="581" priority="169" stopIfTrue="1">
      <formula>AND(C45&gt;=78100,C45&lt;=78199)</formula>
    </cfRule>
    <cfRule type="expression" dxfId="580" priority="170" stopIfTrue="1">
      <formula>AND(C45&gt;=91000,C45&lt;=91999)</formula>
    </cfRule>
  </conditionalFormatting>
  <conditionalFormatting sqref="S45:S46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5:X46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4:D55">
    <cfRule type="expression" dxfId="579" priority="147">
      <formula>AND(C54&gt;=79001,C54&lt;79900)</formula>
    </cfRule>
    <cfRule type="expression" dxfId="578" priority="148" stopIfTrue="1">
      <formula>AND(C54&gt;=70101,C54&lt;=70301)</formula>
    </cfRule>
    <cfRule type="expression" dxfId="577" priority="149" stopIfTrue="1">
      <formula>AND(C54&gt;70000,C54&lt;70004)</formula>
    </cfRule>
    <cfRule type="expression" dxfId="576" priority="150" stopIfTrue="1">
      <formula>AND(C54&gt;=70010,C54&lt;=76000)</formula>
    </cfRule>
    <cfRule type="expression" dxfId="575" priority="151">
      <formula>AND(C54&gt;70000,C54&lt;70004)</formula>
    </cfRule>
    <cfRule type="expression" dxfId="574" priority="152" stopIfTrue="1">
      <formula>OR(AND(C54&gt;=10000,C54&lt;=56999),AND(C54&gt;=57000,C54&lt;=57999))</formula>
    </cfRule>
    <cfRule type="expression" dxfId="573" priority="153" stopIfTrue="1">
      <formula>AND(C54&gt;=8000,C54&lt;=9999)</formula>
    </cfRule>
    <cfRule type="expression" dxfId="572" priority="154" stopIfTrue="1">
      <formula>AND(C54&gt;=78100,C54&lt;=78199)</formula>
    </cfRule>
    <cfRule type="expression" dxfId="571" priority="155" stopIfTrue="1">
      <formula>AND(C54&gt;=92000,C54&lt;=98999)</formula>
    </cfRule>
    <cfRule type="expression" dxfId="570" priority="156" stopIfTrue="1">
      <formula>AND(C54&gt;=78100,C54&lt;=78199)</formula>
    </cfRule>
    <cfRule type="expression" dxfId="569" priority="157" stopIfTrue="1">
      <formula>AND(C54&gt;=91000,C54&lt;=91999)</formula>
    </cfRule>
  </conditionalFormatting>
  <conditionalFormatting sqref="S54:S55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54:X55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3:D74">
    <cfRule type="expression" dxfId="568" priority="132">
      <formula>AND(C73&gt;=79001,C73&lt;79900)</formula>
    </cfRule>
    <cfRule type="expression" dxfId="567" priority="133" stopIfTrue="1">
      <formula>AND(C73&gt;=70101,C73&lt;=70301)</formula>
    </cfRule>
    <cfRule type="expression" dxfId="566" priority="134" stopIfTrue="1">
      <formula>AND(C73&gt;70000,C73&lt;70004)</formula>
    </cfRule>
    <cfRule type="expression" dxfId="565" priority="135" stopIfTrue="1">
      <formula>AND(C73&gt;=70010,C73&lt;=76000)</formula>
    </cfRule>
    <cfRule type="expression" dxfId="564" priority="136">
      <formula>AND(C73&gt;70000,C73&lt;70004)</formula>
    </cfRule>
    <cfRule type="expression" dxfId="563" priority="137" stopIfTrue="1">
      <formula>OR(AND(C73&gt;=10000,C73&lt;=56999),AND(C73&gt;=57000,C73&lt;=57999))</formula>
    </cfRule>
    <cfRule type="expression" dxfId="562" priority="138" stopIfTrue="1">
      <formula>AND(C73&gt;=8000,C73&lt;=9999)</formula>
    </cfRule>
    <cfRule type="expression" dxfId="561" priority="139" stopIfTrue="1">
      <formula>AND(C73&gt;=78100,C73&lt;=78199)</formula>
    </cfRule>
    <cfRule type="expression" dxfId="560" priority="140" stopIfTrue="1">
      <formula>AND(C73&gt;=92000,C73&lt;=98999)</formula>
    </cfRule>
    <cfRule type="expression" dxfId="559" priority="141" stopIfTrue="1">
      <formula>AND(C73&gt;=78100,C73&lt;=78199)</formula>
    </cfRule>
    <cfRule type="expression" dxfId="558" priority="142" stopIfTrue="1">
      <formula>AND(C73&gt;=91000,C73&lt;=91999)</formula>
    </cfRule>
  </conditionalFormatting>
  <conditionalFormatting sqref="S73:S74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73:X74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92:D193">
    <cfRule type="expression" dxfId="557" priority="117">
      <formula>AND(C192&gt;=79001,C192&lt;79900)</formula>
    </cfRule>
    <cfRule type="expression" dxfId="556" priority="118" stopIfTrue="1">
      <formula>AND(C192&gt;=70101,C192&lt;=70301)</formula>
    </cfRule>
    <cfRule type="expression" dxfId="555" priority="119" stopIfTrue="1">
      <formula>AND(C192&gt;70000,C192&lt;70004)</formula>
    </cfRule>
    <cfRule type="expression" dxfId="554" priority="120" stopIfTrue="1">
      <formula>AND(C192&gt;=70010,C192&lt;=76000)</formula>
    </cfRule>
    <cfRule type="expression" dxfId="553" priority="121">
      <formula>AND(C192&gt;70000,C192&lt;70004)</formula>
    </cfRule>
    <cfRule type="expression" dxfId="552" priority="122" stopIfTrue="1">
      <formula>OR(AND(C192&gt;=10000,C192&lt;=56999),AND(C192&gt;=57000,C192&lt;=57999))</formula>
    </cfRule>
    <cfRule type="expression" dxfId="551" priority="123" stopIfTrue="1">
      <formula>AND(C192&gt;=8000,C192&lt;=9999)</formula>
    </cfRule>
    <cfRule type="expression" dxfId="550" priority="124" stopIfTrue="1">
      <formula>AND(C192&gt;=78100,C192&lt;=78199)</formula>
    </cfRule>
    <cfRule type="expression" dxfId="549" priority="125" stopIfTrue="1">
      <formula>AND(C192&gt;=92000,C192&lt;=98999)</formula>
    </cfRule>
    <cfRule type="expression" dxfId="548" priority="126" stopIfTrue="1">
      <formula>AND(C192&gt;=78100,C192&lt;=78199)</formula>
    </cfRule>
    <cfRule type="expression" dxfId="547" priority="127" stopIfTrue="1">
      <formula>AND(C192&gt;=91000,C192&lt;=91999)</formula>
    </cfRule>
  </conditionalFormatting>
  <conditionalFormatting sqref="S192:S19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92:X193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9:E59 D66:D68 D60:D63 E60:E68">
    <cfRule type="expression" dxfId="546" priority="55">
      <formula>AND(C59&gt;=79001,C59&lt;79900)</formula>
    </cfRule>
    <cfRule type="expression" dxfId="545" priority="56" stopIfTrue="1">
      <formula>AND(C59&gt;=70101,C59&lt;=70301)</formula>
    </cfRule>
    <cfRule type="expression" dxfId="544" priority="57" stopIfTrue="1">
      <formula>AND(C59&gt;70000,C59&lt;70004)</formula>
    </cfRule>
    <cfRule type="expression" dxfId="543" priority="58" stopIfTrue="1">
      <formula>AND(C59&gt;=70010,C59&lt;=76000)</formula>
    </cfRule>
    <cfRule type="expression" dxfId="542" priority="59">
      <formula>AND(C59&gt;70000,C59&lt;70004)</formula>
    </cfRule>
    <cfRule type="expression" dxfId="541" priority="60" stopIfTrue="1">
      <formula>OR(AND(C59&gt;=10000,C59&lt;=56999),AND(C59&gt;=57000,C59&lt;=57999))</formula>
    </cfRule>
    <cfRule type="expression" dxfId="540" priority="61" stopIfTrue="1">
      <formula>AND(C59&gt;=8000,C59&lt;=9999)</formula>
    </cfRule>
    <cfRule type="expression" dxfId="539" priority="62" stopIfTrue="1">
      <formula>AND(C59&gt;=78100,C59&lt;=78199)</formula>
    </cfRule>
    <cfRule type="expression" dxfId="538" priority="63" stopIfTrue="1">
      <formula>AND(C59&gt;=92000,C59&lt;=98999)</formula>
    </cfRule>
    <cfRule type="expression" dxfId="537" priority="64" stopIfTrue="1">
      <formula>AND(C59&gt;=78100,C59&lt;=78199)</formula>
    </cfRule>
    <cfRule type="expression" dxfId="536" priority="65" stopIfTrue="1">
      <formula>AND(C59&gt;=91000,C59&lt;=91999)</formula>
    </cfRule>
  </conditionalFormatting>
  <conditionalFormatting sqref="S59:S63 S66:S68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59:X63 X66:X68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4:D65">
    <cfRule type="expression" dxfId="535" priority="42">
      <formula>AND(C64&gt;=79001,C64&lt;79900)</formula>
    </cfRule>
    <cfRule type="expression" dxfId="534" priority="43" stopIfTrue="1">
      <formula>AND(C64&gt;=70101,C64&lt;=70301)</formula>
    </cfRule>
    <cfRule type="expression" dxfId="533" priority="44" stopIfTrue="1">
      <formula>AND(C64&gt;70000,C64&lt;70004)</formula>
    </cfRule>
    <cfRule type="expression" dxfId="532" priority="45" stopIfTrue="1">
      <formula>AND(C64&gt;=70010,C64&lt;=76000)</formula>
    </cfRule>
    <cfRule type="expression" dxfId="531" priority="46">
      <formula>AND(C64&gt;70000,C64&lt;70004)</formula>
    </cfRule>
    <cfRule type="expression" dxfId="530" priority="47" stopIfTrue="1">
      <formula>OR(AND(C64&gt;=10000,C64&lt;=56999),AND(C64&gt;=57000,C64&lt;=57999))</formula>
    </cfRule>
    <cfRule type="expression" dxfId="529" priority="48" stopIfTrue="1">
      <formula>AND(C64&gt;=8000,C64&lt;=9999)</formula>
    </cfRule>
    <cfRule type="expression" dxfId="528" priority="49" stopIfTrue="1">
      <formula>AND(C64&gt;=78100,C64&lt;=78199)</formula>
    </cfRule>
    <cfRule type="expression" dxfId="527" priority="50" stopIfTrue="1">
      <formula>AND(C64&gt;=92000,C64&lt;=98999)</formula>
    </cfRule>
    <cfRule type="expression" dxfId="526" priority="51" stopIfTrue="1">
      <formula>AND(C64&gt;=78100,C64&lt;=78199)</formula>
    </cfRule>
    <cfRule type="expression" dxfId="525" priority="52" stopIfTrue="1">
      <formula>AND(C64&gt;=91000,C64&lt;=91999)</formula>
    </cfRule>
  </conditionalFormatting>
  <conditionalFormatting sqref="S64:S65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64:X6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91:E102">
    <cfRule type="expression" dxfId="524" priority="29">
      <formula>AND(C91&gt;=79001,C91&lt;79900)</formula>
    </cfRule>
    <cfRule type="expression" dxfId="523" priority="30" stopIfTrue="1">
      <formula>AND(C91&gt;=70101,C91&lt;=70301)</formula>
    </cfRule>
    <cfRule type="expression" dxfId="522" priority="31" stopIfTrue="1">
      <formula>AND(C91&gt;70000,C91&lt;70004)</formula>
    </cfRule>
    <cfRule type="expression" dxfId="521" priority="32" stopIfTrue="1">
      <formula>AND(C91&gt;=70010,C91&lt;=76000)</formula>
    </cfRule>
    <cfRule type="expression" dxfId="520" priority="33">
      <formula>AND(C91&gt;70000,C91&lt;70004)</formula>
    </cfRule>
    <cfRule type="expression" dxfId="519" priority="34" stopIfTrue="1">
      <formula>OR(AND(C91&gt;=10000,C91&lt;=56999),AND(C91&gt;=57000,C91&lt;=57999))</formula>
    </cfRule>
    <cfRule type="expression" dxfId="518" priority="35" stopIfTrue="1">
      <formula>AND(C91&gt;=8000,C91&lt;=9999)</formula>
    </cfRule>
    <cfRule type="expression" dxfId="517" priority="36" stopIfTrue="1">
      <formula>AND(C91&gt;=78100,C91&lt;=78199)</formula>
    </cfRule>
    <cfRule type="expression" dxfId="516" priority="37" stopIfTrue="1">
      <formula>AND(C91&gt;=92000,C91&lt;=98999)</formula>
    </cfRule>
    <cfRule type="expression" dxfId="515" priority="38" stopIfTrue="1">
      <formula>AND(C91&gt;=78100,C91&lt;=78199)</formula>
    </cfRule>
    <cfRule type="expression" dxfId="514" priority="39" stopIfTrue="1">
      <formula>AND(C91&gt;=91000,C91&lt;=91999)</formula>
    </cfRule>
  </conditionalFormatting>
  <conditionalFormatting sqref="S91:S102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91:X102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9:D18">
    <cfRule type="expression" dxfId="513" priority="16">
      <formula>AND(C9&gt;=79001,C9&lt;79900)</formula>
    </cfRule>
    <cfRule type="expression" dxfId="512" priority="17" stopIfTrue="1">
      <formula>AND(C9&gt;=70101,C9&lt;=70301)</formula>
    </cfRule>
    <cfRule type="expression" dxfId="511" priority="18" stopIfTrue="1">
      <formula>AND(C9&gt;70000,C9&lt;70004)</formula>
    </cfRule>
    <cfRule type="expression" dxfId="510" priority="19" stopIfTrue="1">
      <formula>AND(C9&gt;=70010,C9&lt;=76000)</formula>
    </cfRule>
    <cfRule type="expression" dxfId="509" priority="20">
      <formula>AND(C9&gt;70000,C9&lt;70004)</formula>
    </cfRule>
    <cfRule type="expression" dxfId="508" priority="21" stopIfTrue="1">
      <formula>OR(AND(C9&gt;=10000,C9&lt;=56999),AND(C9&gt;=57000,C9&lt;=57999))</formula>
    </cfRule>
    <cfRule type="expression" dxfId="507" priority="22" stopIfTrue="1">
      <formula>AND(C9&gt;=8000,C9&lt;=9999)</formula>
    </cfRule>
    <cfRule type="expression" dxfId="506" priority="23" stopIfTrue="1">
      <formula>AND(C9&gt;=78100,C9&lt;=78199)</formula>
    </cfRule>
    <cfRule type="expression" dxfId="505" priority="24" stopIfTrue="1">
      <formula>AND(C9&gt;=92000,C9&lt;=98999)</formula>
    </cfRule>
    <cfRule type="expression" dxfId="504" priority="25" stopIfTrue="1">
      <formula>AND(C9&gt;=78100,C9&lt;=78199)</formula>
    </cfRule>
    <cfRule type="expression" dxfId="503" priority="26" stopIfTrue="1">
      <formula>AND(C9&gt;=91000,C9&lt;=91999)</formula>
    </cfRule>
  </conditionalFormatting>
  <conditionalFormatting sqref="S9:S1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9:X1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9:D28">
    <cfRule type="expression" dxfId="502" priority="3">
      <formula>AND(C19&gt;=79001,C19&lt;79900)</formula>
    </cfRule>
    <cfRule type="expression" dxfId="501" priority="4" stopIfTrue="1">
      <formula>AND(C19&gt;=70101,C19&lt;=70301)</formula>
    </cfRule>
    <cfRule type="expression" dxfId="500" priority="5" stopIfTrue="1">
      <formula>AND(C19&gt;70000,C19&lt;70004)</formula>
    </cfRule>
    <cfRule type="expression" dxfId="499" priority="6" stopIfTrue="1">
      <formula>AND(C19&gt;=70010,C19&lt;=76000)</formula>
    </cfRule>
    <cfRule type="expression" dxfId="498" priority="7">
      <formula>AND(C19&gt;70000,C19&lt;70004)</formula>
    </cfRule>
    <cfRule type="expression" dxfId="497" priority="8" stopIfTrue="1">
      <formula>OR(AND(C19&gt;=10000,C19&lt;=56999),AND(C19&gt;=57000,C19&lt;=57999))</formula>
    </cfRule>
    <cfRule type="expression" dxfId="496" priority="9" stopIfTrue="1">
      <formula>AND(C19&gt;=8000,C19&lt;=9999)</formula>
    </cfRule>
    <cfRule type="expression" dxfId="495" priority="10" stopIfTrue="1">
      <formula>AND(C19&gt;=78100,C19&lt;=78199)</formula>
    </cfRule>
    <cfRule type="expression" dxfId="494" priority="11" stopIfTrue="1">
      <formula>AND(C19&gt;=92000,C19&lt;=98999)</formula>
    </cfRule>
    <cfRule type="expression" dxfId="493" priority="12" stopIfTrue="1">
      <formula>AND(C19&gt;=78100,C19&lt;=78199)</formula>
    </cfRule>
    <cfRule type="expression" dxfId="492" priority="13" stopIfTrue="1">
      <formula>AND(C19&gt;=91000,C19&lt;=91999)</formula>
    </cfRule>
  </conditionalFormatting>
  <conditionalFormatting sqref="S19:S2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9:X2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6:S191 S194:S207">
    <cfRule type="colorScale" priority="2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76:X191 X194:X207">
    <cfRule type="colorScale" priority="2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0000"/>
  </sheetPr>
  <dimension ref="A1:AB44"/>
  <sheetViews>
    <sheetView workbookViewId="0">
      <pane xSplit="5" ySplit="1" topLeftCell="F2" activePane="bottomRight" state="frozenSplit"/>
      <selection pane="topRight" activeCell="F1" sqref="F1"/>
      <selection pane="bottomLeft" activeCell="A2" sqref="A2"/>
      <selection pane="bottomRight" activeCell="K47" sqref="K47"/>
    </sheetView>
  </sheetViews>
  <sheetFormatPr defaultRowHeight="13.5"/>
  <cols>
    <col min="1" max="1" width="5.75" bestFit="1" customWidth="1"/>
    <col min="2" max="2" width="7.75" bestFit="1" customWidth="1"/>
    <col min="3" max="4" width="9.75" bestFit="1" customWidth="1"/>
    <col min="5" max="5" width="18.375" style="10" bestFit="1" customWidth="1"/>
    <col min="6" max="6" width="7.75" bestFit="1" customWidth="1"/>
    <col min="7" max="7" width="9.25" customWidth="1"/>
    <col min="8" max="9" width="11.75" bestFit="1" customWidth="1"/>
    <col min="10" max="10" width="10.75" bestFit="1" customWidth="1"/>
    <col min="11" max="11" width="11.75" bestFit="1" customWidth="1"/>
    <col min="12" max="12" width="8.375" customWidth="1"/>
    <col min="13" max="13" width="9" bestFit="1" customWidth="1"/>
    <col min="14" max="15" width="9.375" customWidth="1"/>
    <col min="16" max="16" width="4.5" customWidth="1"/>
    <col min="17" max="17" width="7.625" customWidth="1"/>
    <col min="19" max="19" width="6.5" customWidth="1"/>
    <col min="20" max="20" width="2.5" bestFit="1" customWidth="1"/>
    <col min="21" max="21" width="7" customWidth="1"/>
    <col min="23" max="23" width="7.125" customWidth="1"/>
  </cols>
  <sheetData>
    <row r="1" spans="1:28">
      <c r="A1" t="s">
        <v>14</v>
      </c>
      <c r="B1" t="s">
        <v>22</v>
      </c>
      <c r="C1" t="s">
        <v>15</v>
      </c>
      <c r="D1" t="s">
        <v>16</v>
      </c>
      <c r="E1" s="10" t="s">
        <v>32</v>
      </c>
      <c r="F1" t="s">
        <v>3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94</v>
      </c>
      <c r="M1" t="s">
        <v>93</v>
      </c>
      <c r="N1" t="s">
        <v>95</v>
      </c>
      <c r="O1" s="22" t="s">
        <v>107</v>
      </c>
      <c r="P1" s="22"/>
      <c r="R1" t="s">
        <v>48</v>
      </c>
      <c r="S1" t="s">
        <v>99</v>
      </c>
      <c r="V1" t="s">
        <v>59</v>
      </c>
      <c r="W1">
        <v>80</v>
      </c>
      <c r="Z1" t="s">
        <v>91</v>
      </c>
      <c r="AA1" t="s">
        <v>92</v>
      </c>
    </row>
    <row r="2" spans="1:28">
      <c r="A2" s="10">
        <v>1</v>
      </c>
      <c r="B2" s="10">
        <v>1</v>
      </c>
      <c r="C2" s="10">
        <v>0</v>
      </c>
      <c r="D2" s="48">
        <v>93233</v>
      </c>
      <c r="E2" s="10" t="str">
        <f>IFERROR(VLOOKUP(D2,[1]引用表合并!$A$2:$B$1000,2,FALSE),"")</f>
        <v>白金手环碎片</v>
      </c>
      <c r="F2" s="10">
        <f>IF(B2=1,VLOOKUP(D2,D_金币十连抽!C:J,3,FALSE),VLOOKUP(D2,D_钻石十连抽!C:J,3,FALSE))</f>
        <v>1</v>
      </c>
      <c r="G2" s="10">
        <v>150</v>
      </c>
      <c r="H2" s="10">
        <v>1</v>
      </c>
      <c r="I2" s="10">
        <v>100</v>
      </c>
      <c r="J2" s="10">
        <v>0</v>
      </c>
      <c r="K2" s="10">
        <v>1</v>
      </c>
      <c r="L2" s="7">
        <v>0</v>
      </c>
      <c r="M2" s="7">
        <v>0</v>
      </c>
      <c r="N2" s="7">
        <v>0</v>
      </c>
      <c r="O2" s="7">
        <v>1</v>
      </c>
      <c r="P2" s="7"/>
      <c r="Q2" s="7">
        <f>SUM($G$2:G2)</f>
        <v>150</v>
      </c>
      <c r="R2">
        <f>VLOOKUP(D2,[2]!游戏物价查询,7,FALSE)*F2</f>
        <v>2</v>
      </c>
      <c r="U2">
        <f t="shared" ref="U2:U30" si="0">IF(AND($H2&lt;=W$1,$I2&gt;W$1),$G2,"")</f>
        <v>150</v>
      </c>
      <c r="V2">
        <f t="shared" ref="V2:V30" si="1">IFERROR(U2/SUM($U$2:$U$30),0)</f>
        <v>2.2935779816513763E-2</v>
      </c>
      <c r="AB2" t="s">
        <v>49</v>
      </c>
    </row>
    <row r="3" spans="1:28">
      <c r="A3" s="10">
        <v>2</v>
      </c>
      <c r="B3" s="10">
        <v>1</v>
      </c>
      <c r="C3" s="10">
        <v>0</v>
      </c>
      <c r="D3" s="48">
        <v>93122</v>
      </c>
      <c r="E3" s="10" t="str">
        <f>IFERROR(VLOOKUP(D3,[1]引用表合并!$A$2:$B$1000,2,FALSE),"")</f>
        <v>银饰耳钉碎片</v>
      </c>
      <c r="F3" s="10">
        <f>IF(B3=1,VLOOKUP(D3,D_金币十连抽!C:J,3,FALSE),VLOOKUP(D3,D_钻石十连抽!C:J,3,FALSE))</f>
        <v>1</v>
      </c>
      <c r="G3" s="10">
        <v>150</v>
      </c>
      <c r="H3" s="10">
        <v>1</v>
      </c>
      <c r="I3" s="10">
        <v>100</v>
      </c>
      <c r="J3" s="10">
        <v>0</v>
      </c>
      <c r="K3" s="10">
        <v>1</v>
      </c>
      <c r="L3" s="7">
        <v>0</v>
      </c>
      <c r="M3" s="7">
        <v>0</v>
      </c>
      <c r="N3" s="7">
        <v>0</v>
      </c>
      <c r="O3" s="7">
        <v>1</v>
      </c>
      <c r="P3" s="7"/>
      <c r="Q3" s="7">
        <f>SUM($G$2:G3)</f>
        <v>300</v>
      </c>
      <c r="R3">
        <f>VLOOKUP(D3,[2]!游戏物价查询,7,FALSE)*F3</f>
        <v>2</v>
      </c>
      <c r="U3">
        <f t="shared" si="0"/>
        <v>150</v>
      </c>
      <c r="V3">
        <f t="shared" si="1"/>
        <v>2.2935779816513763E-2</v>
      </c>
    </row>
    <row r="4" spans="1:28">
      <c r="A4" s="10">
        <v>3</v>
      </c>
      <c r="B4" s="10">
        <v>1</v>
      </c>
      <c r="C4" s="10">
        <v>0</v>
      </c>
      <c r="D4" s="48">
        <v>93141</v>
      </c>
      <c r="E4" s="10" t="str">
        <f>IFERROR(VLOOKUP(D4,[1]引用表合并!$A$2:$B$1000,2,FALSE),"")</f>
        <v>白银戒指碎片</v>
      </c>
      <c r="F4" s="10">
        <f>IF(B4=1,VLOOKUP(D4,D_金币十连抽!C:J,3,FALSE),VLOOKUP(D4,D_钻石十连抽!C:J,3,FALSE))</f>
        <v>1</v>
      </c>
      <c r="G4" s="10">
        <v>150</v>
      </c>
      <c r="H4" s="10">
        <v>1</v>
      </c>
      <c r="I4" s="10">
        <v>100</v>
      </c>
      <c r="J4" s="10">
        <v>0</v>
      </c>
      <c r="K4" s="10">
        <v>1</v>
      </c>
      <c r="L4" s="7">
        <v>0</v>
      </c>
      <c r="M4" s="7">
        <v>0</v>
      </c>
      <c r="N4" s="7">
        <v>0</v>
      </c>
      <c r="O4" s="7">
        <v>1</v>
      </c>
      <c r="P4" s="7"/>
      <c r="Q4" s="7">
        <f>SUM($G$2:G4)</f>
        <v>450</v>
      </c>
      <c r="R4">
        <f>VLOOKUP(D4,[2]!游戏物价查询,7,FALSE)*F4</f>
        <v>2</v>
      </c>
      <c r="U4">
        <f t="shared" si="0"/>
        <v>150</v>
      </c>
      <c r="V4">
        <f t="shared" si="1"/>
        <v>2.2935779816513763E-2</v>
      </c>
    </row>
    <row r="5" spans="1:28">
      <c r="A5" s="10">
        <v>4</v>
      </c>
      <c r="B5" s="10">
        <v>1</v>
      </c>
      <c r="C5" s="10">
        <v>0</v>
      </c>
      <c r="D5" s="48">
        <v>93245</v>
      </c>
      <c r="E5" s="10" t="str">
        <f>IFERROR(VLOOKUP(D5,[1]引用表合并!$A$2:$B$1000,2,FALSE),"")</f>
        <v>水晶项链碎片</v>
      </c>
      <c r="F5" s="10">
        <f>IF(B5=1,VLOOKUP(D5,D_金币十连抽!C:J,3,FALSE),VLOOKUP(D5,D_钻石十连抽!C:J,3,FALSE))</f>
        <v>1</v>
      </c>
      <c r="G5" s="10">
        <v>150</v>
      </c>
      <c r="H5" s="10">
        <v>1</v>
      </c>
      <c r="I5" s="10">
        <v>100</v>
      </c>
      <c r="J5" s="10">
        <v>0</v>
      </c>
      <c r="K5" s="10">
        <v>1</v>
      </c>
      <c r="L5" s="7">
        <v>0</v>
      </c>
      <c r="M5" s="7">
        <v>0</v>
      </c>
      <c r="N5" s="7">
        <v>0</v>
      </c>
      <c r="O5" s="7">
        <v>1</v>
      </c>
      <c r="P5" s="7"/>
      <c r="Q5" s="7">
        <f>SUM($G$2:G5)</f>
        <v>600</v>
      </c>
      <c r="R5">
        <f>VLOOKUP(D5,[2]!游戏物价查询,7,FALSE)*F5</f>
        <v>2</v>
      </c>
      <c r="U5">
        <f>IF(AND($H5&lt;=W$1,$I5&gt;W$1),$G5,"")</f>
        <v>150</v>
      </c>
      <c r="V5">
        <f t="shared" si="1"/>
        <v>2.2935779816513763E-2</v>
      </c>
    </row>
    <row r="6" spans="1:28">
      <c r="A6" s="10">
        <v>5</v>
      </c>
      <c r="B6" s="10">
        <v>1</v>
      </c>
      <c r="C6" s="10">
        <v>0</v>
      </c>
      <c r="D6" s="48">
        <v>93251</v>
      </c>
      <c r="E6" s="10" t="str">
        <f>IFERROR(VLOOKUP(D6,[1]引用表合并!$A$2:$B$1000,2,FALSE),"")</f>
        <v>红石项链碎片</v>
      </c>
      <c r="F6" s="10">
        <f>IF(B6=1,VLOOKUP(D6,D_金币十连抽!C:J,3,FALSE),VLOOKUP(D6,D_钻石十连抽!C:J,3,FALSE))</f>
        <v>1</v>
      </c>
      <c r="G6" s="10">
        <v>150</v>
      </c>
      <c r="H6" s="10">
        <v>1</v>
      </c>
      <c r="I6" s="10">
        <v>100</v>
      </c>
      <c r="J6" s="10">
        <v>0</v>
      </c>
      <c r="K6" s="10">
        <v>1</v>
      </c>
      <c r="L6" s="7">
        <v>0</v>
      </c>
      <c r="M6" s="7">
        <v>0</v>
      </c>
      <c r="N6" s="7">
        <v>0</v>
      </c>
      <c r="O6" s="7">
        <v>1</v>
      </c>
      <c r="P6" s="7"/>
      <c r="Q6" s="7">
        <f>SUM($G$2:G6)</f>
        <v>750</v>
      </c>
      <c r="R6">
        <f>VLOOKUP(D6,[2]!游戏物价查询,7,FALSE)*F6</f>
        <v>2</v>
      </c>
      <c r="U6">
        <f t="shared" si="0"/>
        <v>150</v>
      </c>
      <c r="V6">
        <f t="shared" si="1"/>
        <v>2.2935779816513763E-2</v>
      </c>
    </row>
    <row r="7" spans="1:28">
      <c r="A7" s="10">
        <v>6</v>
      </c>
      <c r="B7" s="10">
        <v>1</v>
      </c>
      <c r="C7" s="10">
        <v>0</v>
      </c>
      <c r="D7" s="48">
        <v>93264</v>
      </c>
      <c r="E7" s="10" t="str">
        <f>IFERROR(VLOOKUP(D7,[1]引用表合并!$A$2:$B$1000,2,FALSE),"")</f>
        <v>越野手表碎片</v>
      </c>
      <c r="F7" s="10">
        <f>IF(B7=1,VLOOKUP(D7,D_金币十连抽!C:J,3,FALSE),VLOOKUP(D7,D_钻石十连抽!C:J,3,FALSE))</f>
        <v>1</v>
      </c>
      <c r="G7" s="10">
        <v>150</v>
      </c>
      <c r="H7" s="10">
        <v>1</v>
      </c>
      <c r="I7" s="10">
        <v>100</v>
      </c>
      <c r="J7" s="10">
        <v>0</v>
      </c>
      <c r="K7" s="10">
        <v>1</v>
      </c>
      <c r="L7" s="7">
        <v>0</v>
      </c>
      <c r="M7" s="7">
        <v>0</v>
      </c>
      <c r="N7" s="7">
        <v>0</v>
      </c>
      <c r="O7" s="7">
        <v>1</v>
      </c>
      <c r="P7" s="7"/>
      <c r="Q7" s="7">
        <f>SUM($G$2:G7)</f>
        <v>900</v>
      </c>
      <c r="R7">
        <f>VLOOKUP(D7,[2]!游戏物价查询,7,FALSE)*F7</f>
        <v>2</v>
      </c>
      <c r="U7">
        <f t="shared" si="0"/>
        <v>150</v>
      </c>
      <c r="V7">
        <f t="shared" si="1"/>
        <v>2.2935779816513763E-2</v>
      </c>
    </row>
    <row r="8" spans="1:28">
      <c r="A8" s="10">
        <v>7</v>
      </c>
      <c r="B8" s="10">
        <v>1</v>
      </c>
      <c r="C8" s="10">
        <v>0</v>
      </c>
      <c r="D8" s="48">
        <v>93271</v>
      </c>
      <c r="E8" s="10" t="str">
        <f>IFERROR(VLOOKUP(D8,[1]引用表合并!$A$2:$B$1000,2,FALSE),"")</f>
        <v>精准手表碎片</v>
      </c>
      <c r="F8" s="10">
        <f>IF(B8=1,VLOOKUP(D8,D_金币十连抽!C:J,3,FALSE),VLOOKUP(D8,D_钻石十连抽!C:J,3,FALSE))</f>
        <v>1</v>
      </c>
      <c r="G8" s="10">
        <v>150</v>
      </c>
      <c r="H8" s="10">
        <v>1</v>
      </c>
      <c r="I8" s="10">
        <v>100</v>
      </c>
      <c r="J8" s="10">
        <v>0</v>
      </c>
      <c r="K8" s="10">
        <v>1</v>
      </c>
      <c r="L8" s="7">
        <v>0</v>
      </c>
      <c r="M8" s="7">
        <v>0</v>
      </c>
      <c r="N8" s="7">
        <v>0</v>
      </c>
      <c r="O8" s="7">
        <v>1</v>
      </c>
      <c r="P8" s="7"/>
      <c r="Q8" s="7">
        <f>SUM($G$2:G8)</f>
        <v>1050</v>
      </c>
      <c r="R8">
        <f>VLOOKUP(D8,[2]!游戏物价查询,7,FALSE)*F8</f>
        <v>2</v>
      </c>
      <c r="U8">
        <f t="shared" si="0"/>
        <v>150</v>
      </c>
      <c r="V8">
        <f t="shared" si="1"/>
        <v>2.2935779816513763E-2</v>
      </c>
    </row>
    <row r="9" spans="1:28">
      <c r="A9" s="10">
        <v>8</v>
      </c>
      <c r="B9" s="10">
        <v>1</v>
      </c>
      <c r="C9" s="10">
        <v>0</v>
      </c>
      <c r="D9" s="48">
        <v>93278</v>
      </c>
      <c r="E9" s="10" t="str">
        <f>IFERROR(VLOOKUP(D9,[1]引用表合并!$A$2:$B$1000,2,FALSE),"")</f>
        <v>宝驼碎片</v>
      </c>
      <c r="F9" s="10">
        <f>IF(B9=1,VLOOKUP(D9,D_金币十连抽!C:J,3,FALSE),VLOOKUP(D9,D_钻石十连抽!C:J,3,FALSE))</f>
        <v>1</v>
      </c>
      <c r="G9" s="10">
        <v>150</v>
      </c>
      <c r="H9" s="10">
        <v>1</v>
      </c>
      <c r="I9" s="10">
        <v>100</v>
      </c>
      <c r="J9" s="10">
        <v>0</v>
      </c>
      <c r="K9" s="10">
        <v>1</v>
      </c>
      <c r="L9" s="7">
        <v>0</v>
      </c>
      <c r="M9" s="7">
        <v>0</v>
      </c>
      <c r="N9" s="7">
        <v>0</v>
      </c>
      <c r="O9" s="7">
        <v>1</v>
      </c>
      <c r="P9" s="7"/>
      <c r="Q9" s="7">
        <f>SUM($G$2:G9)</f>
        <v>1200</v>
      </c>
      <c r="R9">
        <f>VLOOKUP(D9,[2]!游戏物价查询,7,FALSE)*F9</f>
        <v>2</v>
      </c>
      <c r="U9">
        <f t="shared" si="0"/>
        <v>150</v>
      </c>
      <c r="V9">
        <f t="shared" si="1"/>
        <v>2.2935779816513763E-2</v>
      </c>
    </row>
    <row r="10" spans="1:28">
      <c r="A10" s="10">
        <v>9</v>
      </c>
      <c r="B10" s="10">
        <v>1</v>
      </c>
      <c r="C10" s="10">
        <v>0</v>
      </c>
      <c r="D10" s="48">
        <v>93283</v>
      </c>
      <c r="E10" s="10" t="str">
        <f>IFERROR(VLOOKUP(D10,[1]引用表合并!$A$2:$B$1000,2,FALSE),"")</f>
        <v>小迭钞票碎片</v>
      </c>
      <c r="F10" s="10">
        <f>IF(B10=1,VLOOKUP(D10,D_金币十连抽!C:J,3,FALSE),VLOOKUP(D10,D_钻石十连抽!C:J,3,FALSE))</f>
        <v>1</v>
      </c>
      <c r="G10" s="10">
        <v>150</v>
      </c>
      <c r="H10" s="10">
        <v>1</v>
      </c>
      <c r="I10" s="10">
        <v>100</v>
      </c>
      <c r="J10" s="10">
        <v>0</v>
      </c>
      <c r="K10" s="10">
        <v>1</v>
      </c>
      <c r="L10" s="7">
        <v>0</v>
      </c>
      <c r="M10" s="7">
        <v>0</v>
      </c>
      <c r="N10" s="7">
        <v>0</v>
      </c>
      <c r="O10" s="7">
        <v>1</v>
      </c>
      <c r="P10" s="7"/>
      <c r="Q10" s="7">
        <f>SUM($G$2:G10)</f>
        <v>1350</v>
      </c>
      <c r="R10">
        <f>VLOOKUP(D10,[2]!游戏物价查询,7,FALSE)*F10</f>
        <v>2</v>
      </c>
      <c r="U10">
        <f t="shared" si="0"/>
        <v>150</v>
      </c>
      <c r="V10">
        <f t="shared" si="1"/>
        <v>2.2935779816513763E-2</v>
      </c>
    </row>
    <row r="11" spans="1:28">
      <c r="A11" s="10">
        <v>10</v>
      </c>
      <c r="B11" s="10">
        <v>1</v>
      </c>
      <c r="C11" s="10">
        <v>0</v>
      </c>
      <c r="D11" s="48">
        <v>93287</v>
      </c>
      <c r="E11" s="10" t="str">
        <f>IFERROR(VLOOKUP(D11,[1]引用表合并!$A$2:$B$1000,2,FALSE),"")</f>
        <v>金块碎片</v>
      </c>
      <c r="F11" s="10">
        <f>IF(B11=1,VLOOKUP(D11,D_金币十连抽!C:J,3,FALSE),VLOOKUP(D11,D_钻石十连抽!C:J,3,FALSE))</f>
        <v>1</v>
      </c>
      <c r="G11" s="10">
        <v>150</v>
      </c>
      <c r="H11" s="10">
        <v>1</v>
      </c>
      <c r="I11" s="10">
        <v>100</v>
      </c>
      <c r="J11" s="10">
        <v>0</v>
      </c>
      <c r="K11" s="10">
        <v>1</v>
      </c>
      <c r="L11" s="7">
        <v>0</v>
      </c>
      <c r="M11" s="7">
        <v>0</v>
      </c>
      <c r="N11" s="7">
        <v>0</v>
      </c>
      <c r="O11" s="7">
        <v>1</v>
      </c>
      <c r="P11" s="7"/>
      <c r="Q11" s="7">
        <f>SUM($G$2:G11)</f>
        <v>1500</v>
      </c>
      <c r="R11">
        <f>VLOOKUP(D11,[2]!游戏物价查询,7,FALSE)*F11</f>
        <v>2</v>
      </c>
      <c r="U11">
        <f t="shared" si="0"/>
        <v>150</v>
      </c>
      <c r="V11">
        <f t="shared" si="1"/>
        <v>2.2935779816513763E-2</v>
      </c>
      <c r="W11">
        <f>SUM(V2:V11)</f>
        <v>0.22935779816513763</v>
      </c>
      <c r="Z11">
        <f>SUMPRODUCT(V2:V11,F2:F11)</f>
        <v>0.22935779816513763</v>
      </c>
      <c r="AA11">
        <f>[2]马仔宝物投放!$N$40</f>
        <v>0.35890671964619558</v>
      </c>
    </row>
    <row r="12" spans="1:28">
      <c r="A12" s="10">
        <v>11</v>
      </c>
      <c r="B12" s="10">
        <v>1</v>
      </c>
      <c r="C12" s="10">
        <v>0</v>
      </c>
      <c r="D12" s="49">
        <v>93142</v>
      </c>
      <c r="E12" s="10" t="str">
        <f>IFERROR(VLOOKUP(D12,[1]引用表合并!$A$2:$B$1000,2,FALSE),"")</f>
        <v>黄金戒指碎片</v>
      </c>
      <c r="F12" s="10">
        <f>IF(B12=1,VLOOKUP(D12,D_金币十连抽!C:J,3,FALSE),VLOOKUP(D12,D_钻石十连抽!C:J,3,FALSE))</f>
        <v>1</v>
      </c>
      <c r="G12" s="10">
        <v>150</v>
      </c>
      <c r="H12" s="10">
        <v>1</v>
      </c>
      <c r="I12" s="10">
        <v>100</v>
      </c>
      <c r="J12" s="10">
        <v>0</v>
      </c>
      <c r="K12" s="10">
        <v>0</v>
      </c>
      <c r="L12" s="7">
        <v>0</v>
      </c>
      <c r="M12" s="7">
        <v>0</v>
      </c>
      <c r="N12" s="7">
        <v>0</v>
      </c>
      <c r="O12" s="7">
        <v>1</v>
      </c>
      <c r="P12" s="7"/>
      <c r="Q12" s="7">
        <f>SUM($G$2:G12)</f>
        <v>1650</v>
      </c>
      <c r="R12">
        <f>VLOOKUP(D12,[2]!游戏物价查询,7,FALSE)*F12</f>
        <v>4</v>
      </c>
      <c r="U12">
        <f>IF(AND($H12&lt;=W$1,$I12&gt;W$1),$G12,"")</f>
        <v>150</v>
      </c>
      <c r="V12">
        <f t="shared" si="1"/>
        <v>2.2935779816513763E-2</v>
      </c>
    </row>
    <row r="13" spans="1:28">
      <c r="A13" s="10">
        <v>12</v>
      </c>
      <c r="B13" s="10">
        <v>1</v>
      </c>
      <c r="C13" s="10">
        <v>0</v>
      </c>
      <c r="D13" s="49">
        <v>93235</v>
      </c>
      <c r="E13" s="10" t="str">
        <f>IFERROR(VLOOKUP(D13,[1]引用表合并!$A$2:$B$1000,2,FALSE),"")</f>
        <v>宝石手环碎片</v>
      </c>
      <c r="F13" s="10">
        <f>IF(B13=1,VLOOKUP(D13,D_金币十连抽!C:J,3,FALSE),VLOOKUP(D13,D_钻石十连抽!C:J,3,FALSE))</f>
        <v>1</v>
      </c>
      <c r="G13" s="10">
        <v>150</v>
      </c>
      <c r="H13" s="10">
        <v>1</v>
      </c>
      <c r="I13" s="10">
        <v>100</v>
      </c>
      <c r="J13" s="10">
        <v>0</v>
      </c>
      <c r="K13" s="10">
        <v>0</v>
      </c>
      <c r="L13" s="7">
        <v>0</v>
      </c>
      <c r="M13" s="7">
        <v>0</v>
      </c>
      <c r="N13" s="7">
        <v>0</v>
      </c>
      <c r="O13" s="7">
        <v>1</v>
      </c>
      <c r="P13" s="7"/>
      <c r="Q13" s="7">
        <f>SUM($G$2:G13)</f>
        <v>1800</v>
      </c>
      <c r="R13">
        <f>VLOOKUP(D13,[2]!游戏物价查询,7,FALSE)*F13</f>
        <v>4</v>
      </c>
      <c r="U13">
        <f t="shared" ref="U13:U21" si="2">IF(AND($H13&lt;=W$1,$I13&gt;W$1),$G13,"")</f>
        <v>150</v>
      </c>
      <c r="V13">
        <f t="shared" si="1"/>
        <v>2.2935779816513763E-2</v>
      </c>
    </row>
    <row r="14" spans="1:28">
      <c r="A14" s="10">
        <v>13</v>
      </c>
      <c r="B14" s="10">
        <v>1</v>
      </c>
      <c r="C14" s="10">
        <v>0</v>
      </c>
      <c r="D14" s="49">
        <v>93012</v>
      </c>
      <c r="E14" s="10" t="str">
        <f>IFERROR(VLOOKUP(D14,[1]引用表合并!$A$2:$B$1000,2,FALSE),"")</f>
        <v>摩拉碎片</v>
      </c>
      <c r="F14" s="10">
        <f>IF(B14=1,VLOOKUP(D14,D_金币十连抽!C:J,3,FALSE),VLOOKUP(D14,D_钻石十连抽!C:J,3,FALSE))</f>
        <v>1</v>
      </c>
      <c r="G14" s="10">
        <v>150</v>
      </c>
      <c r="H14" s="10">
        <v>1</v>
      </c>
      <c r="I14" s="10">
        <v>100</v>
      </c>
      <c r="J14" s="10">
        <v>0</v>
      </c>
      <c r="K14" s="10">
        <v>0</v>
      </c>
      <c r="L14" s="7">
        <v>0</v>
      </c>
      <c r="M14" s="7">
        <v>0</v>
      </c>
      <c r="N14" s="7">
        <v>0</v>
      </c>
      <c r="O14" s="7">
        <v>1</v>
      </c>
      <c r="P14" s="7"/>
      <c r="Q14" s="7">
        <f>SUM($G$2:G14)</f>
        <v>1950</v>
      </c>
      <c r="R14">
        <f>VLOOKUP(D14,[2]!游戏物价查询,7,FALSE)*F14</f>
        <v>4</v>
      </c>
      <c r="U14">
        <f t="shared" si="2"/>
        <v>150</v>
      </c>
      <c r="V14">
        <f t="shared" si="1"/>
        <v>2.2935779816513763E-2</v>
      </c>
    </row>
    <row r="15" spans="1:28">
      <c r="A15" s="10">
        <v>14</v>
      </c>
      <c r="B15" s="10">
        <v>1</v>
      </c>
      <c r="C15" s="10">
        <v>0</v>
      </c>
      <c r="D15" s="49">
        <v>93252</v>
      </c>
      <c r="E15" s="10" t="str">
        <f>IFERROR(VLOOKUP(D15,[1]引用表合并!$A$2:$B$1000,2,FALSE),"")</f>
        <v>青玉项链碎片</v>
      </c>
      <c r="F15" s="10">
        <f>IF(B15=1,VLOOKUP(D15,D_金币十连抽!C:J,3,FALSE),VLOOKUP(D15,D_钻石十连抽!C:J,3,FALSE))</f>
        <v>1</v>
      </c>
      <c r="G15" s="10">
        <v>150</v>
      </c>
      <c r="H15" s="10">
        <v>1</v>
      </c>
      <c r="I15" s="10">
        <v>100</v>
      </c>
      <c r="J15" s="10">
        <v>0</v>
      </c>
      <c r="K15" s="10">
        <v>0</v>
      </c>
      <c r="L15" s="7">
        <v>0</v>
      </c>
      <c r="M15" s="7">
        <v>0</v>
      </c>
      <c r="N15" s="7">
        <v>0</v>
      </c>
      <c r="O15" s="7">
        <v>1</v>
      </c>
      <c r="P15" s="7"/>
      <c r="Q15" s="7">
        <f>SUM($G$2:G15)</f>
        <v>2100</v>
      </c>
      <c r="R15">
        <f>VLOOKUP(D15,[2]!游戏物价查询,7,FALSE)*F15</f>
        <v>4</v>
      </c>
      <c r="U15">
        <f t="shared" si="2"/>
        <v>150</v>
      </c>
      <c r="V15">
        <f t="shared" si="1"/>
        <v>2.2935779816513763E-2</v>
      </c>
    </row>
    <row r="16" spans="1:28">
      <c r="A16" s="10">
        <v>15</v>
      </c>
      <c r="B16" s="10">
        <v>1</v>
      </c>
      <c r="C16" s="10">
        <v>0</v>
      </c>
      <c r="D16" s="49">
        <v>93124</v>
      </c>
      <c r="E16" s="10" t="str">
        <f>IFERROR(VLOOKUP(D16,[1]引用表合并!$A$2:$B$1000,2,FALSE),"")</f>
        <v>水晶耳钉碎片</v>
      </c>
      <c r="F16" s="10">
        <f>IF(B16=1,VLOOKUP(D16,D_金币十连抽!C:J,3,FALSE),VLOOKUP(D16,D_钻石十连抽!C:J,3,FALSE))</f>
        <v>1</v>
      </c>
      <c r="G16" s="10">
        <v>150</v>
      </c>
      <c r="H16" s="10">
        <v>1</v>
      </c>
      <c r="I16" s="10">
        <v>100</v>
      </c>
      <c r="J16" s="10">
        <v>0</v>
      </c>
      <c r="K16" s="10">
        <v>0</v>
      </c>
      <c r="L16" s="7">
        <v>0</v>
      </c>
      <c r="M16" s="7">
        <v>0</v>
      </c>
      <c r="N16" s="7">
        <v>0</v>
      </c>
      <c r="O16" s="7">
        <v>1</v>
      </c>
      <c r="P16" s="7"/>
      <c r="Q16" s="7">
        <f>SUM($G$2:G16)</f>
        <v>2250</v>
      </c>
      <c r="R16">
        <f>VLOOKUP(D16,[2]!游戏物价查询,7,FALSE)*F16</f>
        <v>4</v>
      </c>
      <c r="U16">
        <f t="shared" si="2"/>
        <v>150</v>
      </c>
      <c r="V16">
        <f t="shared" si="1"/>
        <v>2.2935779816513763E-2</v>
      </c>
    </row>
    <row r="17" spans="1:27">
      <c r="A17" s="10">
        <v>16</v>
      </c>
      <c r="B17" s="10">
        <v>1</v>
      </c>
      <c r="C17" s="10">
        <v>0</v>
      </c>
      <c r="D17" s="49">
        <v>93272</v>
      </c>
      <c r="E17" s="10" t="str">
        <f>IFERROR(VLOOKUP(D17,[1]引用表合并!$A$2:$B$1000,2,FALSE),"")</f>
        <v>金针手表碎片</v>
      </c>
      <c r="F17" s="10">
        <f>IF(B17=1,VLOOKUP(D17,D_金币十连抽!C:J,3,FALSE),VLOOKUP(D17,D_钻石十连抽!C:J,3,FALSE))</f>
        <v>1</v>
      </c>
      <c r="G17" s="10">
        <v>150</v>
      </c>
      <c r="H17" s="10">
        <v>1</v>
      </c>
      <c r="I17" s="10">
        <v>100</v>
      </c>
      <c r="J17" s="10">
        <v>0</v>
      </c>
      <c r="K17" s="10">
        <v>0</v>
      </c>
      <c r="L17" s="7">
        <v>0</v>
      </c>
      <c r="M17" s="7">
        <v>0</v>
      </c>
      <c r="N17" s="7">
        <v>0</v>
      </c>
      <c r="O17" s="7">
        <v>1</v>
      </c>
      <c r="P17" s="7"/>
      <c r="Q17" s="7">
        <f>SUM($G$2:G17)</f>
        <v>2400</v>
      </c>
      <c r="R17">
        <f>VLOOKUP(D17,[2]!游戏物价查询,7,FALSE)*F17</f>
        <v>4</v>
      </c>
      <c r="U17">
        <f t="shared" ref="U17:U18" si="3">IF(AND($H17&lt;=W$1,$I17&gt;W$1),$G17,"")</f>
        <v>150</v>
      </c>
      <c r="V17">
        <f t="shared" si="1"/>
        <v>2.2935779816513763E-2</v>
      </c>
    </row>
    <row r="18" spans="1:27">
      <c r="A18" s="10">
        <v>17</v>
      </c>
      <c r="B18" s="10">
        <v>1</v>
      </c>
      <c r="C18" s="10">
        <v>0</v>
      </c>
      <c r="D18" s="49">
        <v>93273</v>
      </c>
      <c r="E18" s="10" t="str">
        <f>IFERROR(VLOOKUP(D18,[1]引用表合并!$A$2:$B$1000,2,FALSE),"")</f>
        <v>智能手表碎片</v>
      </c>
      <c r="F18" s="10">
        <f>IF(B18=1,VLOOKUP(D18,D_金币十连抽!C:J,3,FALSE),VLOOKUP(D18,D_钻石十连抽!C:J,3,FALSE))</f>
        <v>1</v>
      </c>
      <c r="G18" s="10">
        <v>150</v>
      </c>
      <c r="H18" s="10">
        <v>1</v>
      </c>
      <c r="I18" s="10">
        <v>100</v>
      </c>
      <c r="J18" s="10">
        <v>0</v>
      </c>
      <c r="K18" s="10">
        <v>0</v>
      </c>
      <c r="L18" s="7">
        <v>0</v>
      </c>
      <c r="M18" s="7">
        <v>0</v>
      </c>
      <c r="N18" s="7">
        <v>0</v>
      </c>
      <c r="O18" s="7">
        <v>1</v>
      </c>
      <c r="P18" s="7"/>
      <c r="Q18" s="7">
        <f>SUM($G$2:G18)</f>
        <v>2550</v>
      </c>
      <c r="R18">
        <f>VLOOKUP(D18,[2]!游戏物价查询,7,FALSE)*F18</f>
        <v>4</v>
      </c>
      <c r="U18">
        <f t="shared" si="3"/>
        <v>150</v>
      </c>
      <c r="V18">
        <f t="shared" si="1"/>
        <v>2.2935779816513763E-2</v>
      </c>
    </row>
    <row r="19" spans="1:27">
      <c r="A19" s="10">
        <v>18</v>
      </c>
      <c r="B19" s="10">
        <v>1</v>
      </c>
      <c r="C19" s="10">
        <v>0</v>
      </c>
      <c r="D19" s="49">
        <v>93279</v>
      </c>
      <c r="E19" s="10" t="str">
        <f>IFERROR(VLOOKUP(D19,[1]引用表合并!$A$2:$B$1000,2,FALSE),"")</f>
        <v>宾倪碎片</v>
      </c>
      <c r="F19" s="10">
        <f>IF(B19=1,VLOOKUP(D19,D_金币十连抽!C:J,3,FALSE),VLOOKUP(D19,D_钻石十连抽!C:J,3,FALSE))</f>
        <v>1</v>
      </c>
      <c r="G19" s="10">
        <v>150</v>
      </c>
      <c r="H19" s="10">
        <v>1</v>
      </c>
      <c r="I19" s="10">
        <v>100</v>
      </c>
      <c r="J19" s="10">
        <v>0</v>
      </c>
      <c r="K19" s="10">
        <v>0</v>
      </c>
      <c r="L19" s="7">
        <v>0</v>
      </c>
      <c r="M19" s="7">
        <v>0</v>
      </c>
      <c r="N19" s="7">
        <v>0</v>
      </c>
      <c r="O19" s="7">
        <v>1</v>
      </c>
      <c r="P19" s="7"/>
      <c r="Q19" s="7">
        <f>SUM($G$2:G19)</f>
        <v>2700</v>
      </c>
      <c r="R19">
        <f>VLOOKUP(D19,[2]!游戏物价查询,7,FALSE)*F19</f>
        <v>4</v>
      </c>
      <c r="U19">
        <f t="shared" si="2"/>
        <v>150</v>
      </c>
      <c r="V19">
        <f t="shared" si="1"/>
        <v>2.2935779816513763E-2</v>
      </c>
    </row>
    <row r="20" spans="1:27">
      <c r="A20" s="10">
        <v>19</v>
      </c>
      <c r="B20" s="10">
        <v>1</v>
      </c>
      <c r="C20" s="10">
        <v>0</v>
      </c>
      <c r="D20" s="49">
        <v>93284</v>
      </c>
      <c r="E20" s="10" t="str">
        <f>IFERROR(VLOOKUP(D20,[1]引用表合并!$A$2:$B$1000,2,FALSE),"")</f>
        <v>大迭钞票碎片</v>
      </c>
      <c r="F20" s="10">
        <f>IF(B20=1,VLOOKUP(D20,D_金币十连抽!C:J,3,FALSE),VLOOKUP(D20,D_钻石十连抽!C:J,3,FALSE))</f>
        <v>1</v>
      </c>
      <c r="G20" s="10">
        <v>150</v>
      </c>
      <c r="H20" s="10">
        <v>1</v>
      </c>
      <c r="I20" s="10">
        <v>100</v>
      </c>
      <c r="J20" s="10">
        <v>0</v>
      </c>
      <c r="K20" s="10">
        <v>0</v>
      </c>
      <c r="L20" s="7">
        <v>0</v>
      </c>
      <c r="M20" s="7">
        <v>0</v>
      </c>
      <c r="N20" s="7">
        <v>0</v>
      </c>
      <c r="O20" s="7">
        <v>1</v>
      </c>
      <c r="P20" s="7"/>
      <c r="Q20" s="7">
        <f>SUM($G$2:G20)</f>
        <v>2850</v>
      </c>
      <c r="R20">
        <f>VLOOKUP(D20,[2]!游戏物价查询,7,FALSE)*F20</f>
        <v>4</v>
      </c>
      <c r="U20">
        <f t="shared" si="2"/>
        <v>150</v>
      </c>
      <c r="V20">
        <f t="shared" si="1"/>
        <v>2.2935779816513763E-2</v>
      </c>
    </row>
    <row r="21" spans="1:27">
      <c r="A21" s="10">
        <v>20</v>
      </c>
      <c r="B21" s="10">
        <v>1</v>
      </c>
      <c r="C21" s="10">
        <v>0</v>
      </c>
      <c r="D21" s="49">
        <v>93288</v>
      </c>
      <c r="E21" s="10" t="str">
        <f>IFERROR(VLOOKUP(D21,[1]引用表合并!$A$2:$B$1000,2,FALSE),"")</f>
        <v>大金块碎片</v>
      </c>
      <c r="F21" s="10">
        <f>IF(B21=1,VLOOKUP(D21,D_金币十连抽!C:J,3,FALSE),VLOOKUP(D21,D_钻石十连抽!C:J,3,FALSE))</f>
        <v>1</v>
      </c>
      <c r="G21" s="10">
        <v>150</v>
      </c>
      <c r="H21" s="10">
        <v>1</v>
      </c>
      <c r="I21" s="10">
        <v>100</v>
      </c>
      <c r="J21" s="10">
        <v>0</v>
      </c>
      <c r="K21" s="10">
        <v>0</v>
      </c>
      <c r="L21" s="7">
        <v>0</v>
      </c>
      <c r="M21" s="7">
        <v>0</v>
      </c>
      <c r="N21" s="7">
        <v>0</v>
      </c>
      <c r="O21" s="7">
        <v>1</v>
      </c>
      <c r="P21" s="7"/>
      <c r="Q21" s="7">
        <f>SUM($G$2:G21)</f>
        <v>3000</v>
      </c>
      <c r="R21">
        <f>VLOOKUP(D21,[2]!游戏物价查询,7,FALSE)*F21</f>
        <v>4</v>
      </c>
      <c r="U21">
        <f t="shared" si="2"/>
        <v>150</v>
      </c>
      <c r="V21">
        <f t="shared" si="1"/>
        <v>2.2935779816513763E-2</v>
      </c>
      <c r="W21">
        <f>SUM(V12:V21)</f>
        <v>0.22935779816513763</v>
      </c>
      <c r="Z21">
        <f>SUMPRODUCT(V9:V21,F9:F21)</f>
        <v>0.29816513761467889</v>
      </c>
      <c r="AA21">
        <f>[2]马仔宝物投放!$N$40</f>
        <v>0.35890671964619558</v>
      </c>
    </row>
    <row r="22" spans="1:27">
      <c r="A22" s="10">
        <v>21</v>
      </c>
      <c r="B22" s="10">
        <v>1</v>
      </c>
      <c r="C22" s="10">
        <v>0</v>
      </c>
      <c r="D22" s="10">
        <v>78101</v>
      </c>
      <c r="E22" s="10" t="str">
        <f>IFERROR(VLOOKUP(D22,[1]引用表合并!$A$2:$B$1000,2,FALSE),"")</f>
        <v>马仔碎片(制服太妹)</v>
      </c>
      <c r="F22" s="10">
        <f>IF(B22=1,VLOOKUP(D22,D_金币十连抽!C:J,3,FALSE),VLOOKUP(D22,D_钻石十连抽!C:J,3,FALSE))</f>
        <v>1</v>
      </c>
      <c r="G22" s="10">
        <v>500</v>
      </c>
      <c r="H22" s="10">
        <v>1</v>
      </c>
      <c r="I22" s="10">
        <v>100</v>
      </c>
      <c r="J22" s="10">
        <v>0</v>
      </c>
      <c r="K22" s="10">
        <v>0</v>
      </c>
      <c r="L22" s="7">
        <v>0</v>
      </c>
      <c r="M22" s="7">
        <v>0</v>
      </c>
      <c r="N22" s="7">
        <v>0</v>
      </c>
      <c r="O22" s="7">
        <v>1</v>
      </c>
      <c r="P22" s="7"/>
      <c r="Q22" s="7">
        <f>SUM($G$2:G22)</f>
        <v>3500</v>
      </c>
      <c r="R22">
        <f>VLOOKUP(D22,[2]!游戏物价查询,7,FALSE)*F22</f>
        <v>25</v>
      </c>
      <c r="U22">
        <f t="shared" si="0"/>
        <v>500</v>
      </c>
      <c r="V22">
        <f t="shared" si="1"/>
        <v>7.64525993883792E-2</v>
      </c>
    </row>
    <row r="23" spans="1:27">
      <c r="A23" s="10">
        <v>22</v>
      </c>
      <c r="B23" s="10">
        <v>1</v>
      </c>
      <c r="C23" s="10">
        <v>0</v>
      </c>
      <c r="D23" s="10">
        <v>78103</v>
      </c>
      <c r="E23" s="10" t="str">
        <f>IFERROR(VLOOKUP(D23,[1]引用表合并!$A$2:$B$1000,2,FALSE),"")</f>
        <v>马仔碎片(比利)</v>
      </c>
      <c r="F23" s="10">
        <f>IF(B23=1,VLOOKUP(D23,D_金币十连抽!C:J,3,FALSE),VLOOKUP(D23,D_钻石十连抽!C:J,3,FALSE))</f>
        <v>1</v>
      </c>
      <c r="G23" s="10">
        <v>500</v>
      </c>
      <c r="H23" s="10">
        <v>1</v>
      </c>
      <c r="I23" s="10">
        <v>100</v>
      </c>
      <c r="J23" s="10">
        <v>0</v>
      </c>
      <c r="K23" s="10">
        <v>0</v>
      </c>
      <c r="L23" s="7">
        <v>0</v>
      </c>
      <c r="M23" s="7">
        <v>0</v>
      </c>
      <c r="N23" s="7">
        <v>0</v>
      </c>
      <c r="O23" s="7">
        <v>1</v>
      </c>
      <c r="P23" s="7"/>
      <c r="Q23" s="7">
        <f>SUM($G$2:G23)</f>
        <v>4000</v>
      </c>
      <c r="R23">
        <f>VLOOKUP(D23,[2]!游戏物价查询,7,FALSE)*F23</f>
        <v>25</v>
      </c>
      <c r="U23">
        <f t="shared" si="0"/>
        <v>500</v>
      </c>
      <c r="V23">
        <f t="shared" si="1"/>
        <v>7.64525993883792E-2</v>
      </c>
    </row>
    <row r="24" spans="1:27">
      <c r="A24" s="10">
        <v>23</v>
      </c>
      <c r="B24" s="10">
        <v>1</v>
      </c>
      <c r="C24" s="10">
        <v>0</v>
      </c>
      <c r="D24" s="10">
        <v>78101</v>
      </c>
      <c r="E24" s="10" t="str">
        <f>IFERROR(VLOOKUP(D24,[1]引用表合并!$A$2:$B$1000,2,FALSE),"")</f>
        <v>马仔碎片(制服太妹)</v>
      </c>
      <c r="F24" s="10">
        <v>5</v>
      </c>
      <c r="G24" s="10">
        <v>260</v>
      </c>
      <c r="H24" s="10">
        <v>1</v>
      </c>
      <c r="I24" s="10">
        <v>100</v>
      </c>
      <c r="J24" s="10">
        <v>0</v>
      </c>
      <c r="K24" s="10">
        <v>0</v>
      </c>
      <c r="L24" s="7">
        <v>0</v>
      </c>
      <c r="M24" s="7">
        <v>0</v>
      </c>
      <c r="N24" s="7">
        <v>0</v>
      </c>
      <c r="O24" s="7">
        <v>1</v>
      </c>
      <c r="P24" s="7"/>
      <c r="Q24" s="7">
        <f>SUM($G$2:G24)</f>
        <v>4260</v>
      </c>
      <c r="R24">
        <f>VLOOKUP(D24,[2]!游戏物价查询,7,FALSE)*F24</f>
        <v>125</v>
      </c>
      <c r="U24">
        <f t="shared" ref="U24:U25" si="4">IF(AND($H24&lt;=W$1,$I24&gt;W$1),$G24,"")</f>
        <v>260</v>
      </c>
      <c r="V24">
        <f t="shared" si="1"/>
        <v>3.9755351681957186E-2</v>
      </c>
    </row>
    <row r="25" spans="1:27">
      <c r="A25" s="10">
        <v>24</v>
      </c>
      <c r="B25" s="10">
        <v>1</v>
      </c>
      <c r="C25" s="10">
        <v>0</v>
      </c>
      <c r="D25" s="10">
        <v>78103</v>
      </c>
      <c r="E25" s="10" t="str">
        <f>IFERROR(VLOOKUP(D25,[1]引用表合并!$A$2:$B$1000,2,FALSE),"")</f>
        <v>马仔碎片(比利)</v>
      </c>
      <c r="F25" s="10">
        <v>5</v>
      </c>
      <c r="G25" s="10">
        <v>260</v>
      </c>
      <c r="H25" s="10">
        <v>1</v>
      </c>
      <c r="I25" s="10">
        <v>100</v>
      </c>
      <c r="J25" s="10">
        <v>0</v>
      </c>
      <c r="K25" s="10">
        <v>0</v>
      </c>
      <c r="L25" s="7">
        <v>0</v>
      </c>
      <c r="M25" s="7">
        <v>0</v>
      </c>
      <c r="N25" s="7">
        <v>0</v>
      </c>
      <c r="O25" s="7">
        <v>1</v>
      </c>
      <c r="P25" s="7"/>
      <c r="Q25" s="7">
        <f>SUM($G$2:G25)</f>
        <v>4520</v>
      </c>
      <c r="R25">
        <f>VLOOKUP(D25,[2]!游戏物价查询,7,FALSE)*F25</f>
        <v>125</v>
      </c>
      <c r="U25">
        <f t="shared" si="4"/>
        <v>260</v>
      </c>
      <c r="V25">
        <f t="shared" si="1"/>
        <v>3.9755351681957186E-2</v>
      </c>
    </row>
    <row r="26" spans="1:27">
      <c r="A26" s="10">
        <v>25</v>
      </c>
      <c r="B26" s="10">
        <v>1</v>
      </c>
      <c r="C26" s="10">
        <v>0</v>
      </c>
      <c r="D26">
        <v>101101</v>
      </c>
      <c r="E26" s="10" t="str">
        <f>IFERROR(VLOOKUP(D26,[1]引用表合并!$A$2:$B$1000,2,FALSE),"")</f>
        <v>制服太妹</v>
      </c>
      <c r="F26" s="10">
        <v>1</v>
      </c>
      <c r="G26" s="10">
        <v>230</v>
      </c>
      <c r="H26" s="10">
        <v>1</v>
      </c>
      <c r="I26" s="10">
        <v>100</v>
      </c>
      <c r="J26" s="10">
        <v>0</v>
      </c>
      <c r="K26" s="10">
        <v>1</v>
      </c>
      <c r="L26" s="7">
        <v>0</v>
      </c>
      <c r="M26" s="7">
        <v>0</v>
      </c>
      <c r="N26" s="7">
        <v>0</v>
      </c>
      <c r="O26" s="7">
        <v>1</v>
      </c>
      <c r="P26" s="7"/>
      <c r="Q26" s="7">
        <f>SUM($G$2:G26)</f>
        <v>4750</v>
      </c>
      <c r="R26">
        <f>VLOOKUP(D26,[2]!游戏物价查询,7,FALSE)*F26</f>
        <v>250</v>
      </c>
      <c r="U26">
        <f t="shared" ref="U26:U27" si="5">IF(AND($H26&lt;=W$1,$I26&gt;W$1),$G26,"")</f>
        <v>230</v>
      </c>
      <c r="V26">
        <f t="shared" si="1"/>
        <v>3.5168195718654434E-2</v>
      </c>
    </row>
    <row r="27" spans="1:27">
      <c r="A27" s="10">
        <v>26</v>
      </c>
      <c r="B27" s="10">
        <v>1</v>
      </c>
      <c r="C27" s="10">
        <v>0</v>
      </c>
      <c r="D27">
        <v>101103</v>
      </c>
      <c r="E27" s="10" t="str">
        <f>IFERROR(VLOOKUP(D27,[1]引用表合并!$A$2:$B$1000,2,FALSE),"")</f>
        <v>比利</v>
      </c>
      <c r="F27" s="10">
        <v>1</v>
      </c>
      <c r="G27" s="10">
        <v>190</v>
      </c>
      <c r="H27" s="10">
        <v>1</v>
      </c>
      <c r="I27" s="10">
        <v>100</v>
      </c>
      <c r="J27" s="10">
        <v>0</v>
      </c>
      <c r="K27" s="10">
        <v>1</v>
      </c>
      <c r="L27" s="7">
        <v>0</v>
      </c>
      <c r="M27" s="7">
        <v>0</v>
      </c>
      <c r="N27" s="7">
        <v>0</v>
      </c>
      <c r="O27" s="7">
        <v>1</v>
      </c>
      <c r="P27" s="7"/>
      <c r="Q27" s="7">
        <f>SUM($G$2:G27)</f>
        <v>4940</v>
      </c>
      <c r="R27">
        <f>VLOOKUP(D27,[2]!游戏物价查询,7,FALSE)*F27</f>
        <v>250</v>
      </c>
      <c r="U27">
        <f t="shared" si="5"/>
        <v>190</v>
      </c>
      <c r="V27">
        <f t="shared" si="1"/>
        <v>2.9051987767584098E-2</v>
      </c>
    </row>
    <row r="28" spans="1:27">
      <c r="A28" s="10">
        <v>27</v>
      </c>
      <c r="B28" s="10">
        <v>1</v>
      </c>
      <c r="C28" s="10">
        <v>0</v>
      </c>
      <c r="D28" s="10">
        <v>85200</v>
      </c>
      <c r="E28" s="10" t="str">
        <f>IFERROR(VLOOKUP(D28,[1]引用表合并!$A$2:$B$1000,2,FALSE),"")</f>
        <v>高级装备升级石</v>
      </c>
      <c r="F28" s="10">
        <v>1</v>
      </c>
      <c r="G28" s="10">
        <v>700</v>
      </c>
      <c r="H28" s="10">
        <v>1</v>
      </c>
      <c r="I28" s="10">
        <v>100</v>
      </c>
      <c r="J28" s="10">
        <v>0</v>
      </c>
      <c r="K28" s="10">
        <v>1</v>
      </c>
      <c r="L28" s="7">
        <v>0</v>
      </c>
      <c r="M28" s="7">
        <v>0</v>
      </c>
      <c r="N28" s="7">
        <v>0</v>
      </c>
      <c r="O28" s="7">
        <v>1</v>
      </c>
      <c r="P28" s="7"/>
      <c r="Q28" s="7">
        <f>SUM($G$2:G28)</f>
        <v>5640</v>
      </c>
      <c r="R28">
        <f>VLOOKUP(D28,[2]!游戏物价查询,7,FALSE)*F28</f>
        <v>10</v>
      </c>
      <c r="U28">
        <f>IF(AND($H28&lt;=W$1,$I28&gt;W$1),$G28,"")</f>
        <v>700</v>
      </c>
      <c r="V28">
        <f t="shared" si="1"/>
        <v>0.10703363914373089</v>
      </c>
      <c r="W28">
        <f>V28</f>
        <v>0.10703363914373089</v>
      </c>
      <c r="Z28">
        <f>V28*F28</f>
        <v>0.10703363914373089</v>
      </c>
      <c r="AA28">
        <f>'[2]装备&amp;装备材料的投放'!$AJ$35</f>
        <v>0</v>
      </c>
    </row>
    <row r="29" spans="1:27">
      <c r="A29" s="10">
        <v>28</v>
      </c>
      <c r="B29" s="10">
        <v>1</v>
      </c>
      <c r="C29" s="10">
        <v>0</v>
      </c>
      <c r="D29" s="10">
        <v>85300</v>
      </c>
      <c r="E29" s="10" t="str">
        <f>IFERROR(VLOOKUP(D29,[1]引用表合并!$A$2:$B$1000,2,FALSE),"")</f>
        <v>稀有装备升级石</v>
      </c>
      <c r="F29" s="10">
        <v>1</v>
      </c>
      <c r="G29" s="10">
        <v>200</v>
      </c>
      <c r="H29" s="10">
        <v>1</v>
      </c>
      <c r="I29" s="10">
        <v>100</v>
      </c>
      <c r="J29" s="10">
        <v>0</v>
      </c>
      <c r="K29" s="10">
        <v>1</v>
      </c>
      <c r="L29" s="7">
        <v>0</v>
      </c>
      <c r="M29" s="7">
        <v>0</v>
      </c>
      <c r="N29" s="7">
        <v>0</v>
      </c>
      <c r="O29" s="7">
        <v>1</v>
      </c>
      <c r="P29" s="7"/>
      <c r="Q29" s="7">
        <f>SUM($G$2:G29)</f>
        <v>5840</v>
      </c>
      <c r="R29">
        <f>VLOOKUP(D29,[2]!游戏物价查询,7,FALSE)*F29</f>
        <v>30</v>
      </c>
      <c r="U29">
        <f>IF(AND($H29&lt;=W$1,$I29&gt;W$1),$G29,"")</f>
        <v>200</v>
      </c>
      <c r="V29">
        <f t="shared" si="1"/>
        <v>3.0581039755351681E-2</v>
      </c>
      <c r="W29">
        <f>V29</f>
        <v>3.0581039755351681E-2</v>
      </c>
      <c r="Z29">
        <f>V29*F29</f>
        <v>3.0581039755351681E-2</v>
      </c>
      <c r="AA29" t="str">
        <f>'[2]装备&amp;装备材料的投放'!$AJ$36</f>
        <v/>
      </c>
    </row>
    <row r="30" spans="1:27">
      <c r="A30" s="10">
        <v>29</v>
      </c>
      <c r="B30" s="10">
        <v>1</v>
      </c>
      <c r="C30" s="10">
        <v>0</v>
      </c>
      <c r="D30" s="10">
        <v>82200</v>
      </c>
      <c r="E30" s="10" t="str">
        <f>IFERROR(VLOOKUP(D30,[1]引用表合并!$A$2:$B$1000,2,FALSE),"")</f>
        <v>金币卡(2万)</v>
      </c>
      <c r="F30" s="10">
        <f>IF(B30=1,VLOOKUP(D30,D_金币十连抽!C:J,3,FALSE),VLOOKUP(D30,D_钻石十连抽!C:J,3,FALSE))</f>
        <v>1</v>
      </c>
      <c r="G30" s="10">
        <v>700</v>
      </c>
      <c r="H30" s="10">
        <v>1</v>
      </c>
      <c r="I30" s="10">
        <v>100</v>
      </c>
      <c r="J30" s="10">
        <v>0</v>
      </c>
      <c r="K30" s="10">
        <v>1</v>
      </c>
      <c r="L30" s="7">
        <v>0</v>
      </c>
      <c r="M30" s="7">
        <v>0</v>
      </c>
      <c r="N30" s="7">
        <v>0</v>
      </c>
      <c r="O30" s="7">
        <v>1</v>
      </c>
      <c r="P30" s="7"/>
      <c r="Q30" s="7">
        <f>SUM($G$2:G30)</f>
        <v>6540</v>
      </c>
      <c r="R30">
        <f>VLOOKUP(D30,[2]!游戏物价查询,7,FALSE)*F30</f>
        <v>40</v>
      </c>
      <c r="U30">
        <f t="shared" si="0"/>
        <v>700</v>
      </c>
      <c r="V30">
        <f t="shared" si="1"/>
        <v>0.10703363914373089</v>
      </c>
      <c r="W30">
        <f>V30</f>
        <v>0.10703363914373089</v>
      </c>
      <c r="Z30">
        <f>V30*F30</f>
        <v>0.10703363914373089</v>
      </c>
    </row>
    <row r="31" spans="1:27">
      <c r="A31" s="10">
        <v>30</v>
      </c>
      <c r="B31" s="10">
        <v>2</v>
      </c>
      <c r="C31" s="10">
        <v>0</v>
      </c>
      <c r="D31" s="8">
        <v>101106</v>
      </c>
      <c r="E31" s="10" t="str">
        <f>IFERROR(VLOOKUP(D31,[1]引用表合并!$A$2:$B$1000,2,FALSE),"")</f>
        <v>靓坤</v>
      </c>
      <c r="F31" s="10">
        <v>1</v>
      </c>
      <c r="G31" s="10">
        <v>1375</v>
      </c>
      <c r="H31" s="10">
        <v>1</v>
      </c>
      <c r="I31" s="10">
        <v>100</v>
      </c>
      <c r="J31" s="10">
        <v>0</v>
      </c>
      <c r="K31" s="10">
        <v>1</v>
      </c>
      <c r="L31" s="7">
        <v>0</v>
      </c>
      <c r="M31" s="7">
        <v>0</v>
      </c>
      <c r="N31" s="7">
        <v>0</v>
      </c>
      <c r="O31" s="7">
        <v>0</v>
      </c>
      <c r="P31" s="7"/>
      <c r="Q31" s="7">
        <f>SUM($G$2:G31)</f>
        <v>7915</v>
      </c>
      <c r="R31">
        <f>VLOOKUP(D31,[2]!游戏物价查询,7,FALSE)*F31</f>
        <v>500</v>
      </c>
      <c r="S31">
        <v>2</v>
      </c>
      <c r="U31">
        <f t="shared" ref="U31:U44" si="6">IF(AND($H31&lt;=W$1,$I31&gt;W$1),$G31,"")</f>
        <v>1375</v>
      </c>
      <c r="V31">
        <f t="shared" ref="V31:V44" si="7">IFERROR(U31/SUM($U$31:$U$44),0)</f>
        <v>0.1370887337986042</v>
      </c>
    </row>
    <row r="32" spans="1:27">
      <c r="A32" s="10">
        <v>31</v>
      </c>
      <c r="B32" s="10">
        <v>2</v>
      </c>
      <c r="C32" s="10">
        <v>0</v>
      </c>
      <c r="D32" s="8">
        <v>101107</v>
      </c>
      <c r="E32" s="10" t="str">
        <f>IFERROR(VLOOKUP(D32,[1]引用表合并!$A$2:$B$1000,2,FALSE),"")</f>
        <v>雷复轰</v>
      </c>
      <c r="F32" s="10">
        <v>1</v>
      </c>
      <c r="G32" s="10">
        <v>1375</v>
      </c>
      <c r="H32" s="10">
        <v>1</v>
      </c>
      <c r="I32" s="10">
        <v>100</v>
      </c>
      <c r="J32" s="10">
        <v>0</v>
      </c>
      <c r="K32" s="10">
        <v>1</v>
      </c>
      <c r="L32" s="7">
        <v>0</v>
      </c>
      <c r="M32" s="7">
        <v>0</v>
      </c>
      <c r="N32" s="7">
        <v>0</v>
      </c>
      <c r="O32" s="7">
        <v>0</v>
      </c>
      <c r="P32" s="7"/>
      <c r="Q32" s="7">
        <f>SUM($G$2:G32)</f>
        <v>9290</v>
      </c>
      <c r="R32">
        <f>VLOOKUP(D32,[2]!游戏物价查询,7,FALSE)*F32</f>
        <v>500</v>
      </c>
      <c r="S32">
        <v>2</v>
      </c>
      <c r="U32">
        <f t="shared" si="6"/>
        <v>1375</v>
      </c>
      <c r="V32">
        <f t="shared" si="7"/>
        <v>0.1370887337986042</v>
      </c>
    </row>
    <row r="33" spans="1:27">
      <c r="A33" s="10">
        <v>32</v>
      </c>
      <c r="B33" s="10">
        <v>2</v>
      </c>
      <c r="C33" s="10">
        <v>0</v>
      </c>
      <c r="D33" s="8">
        <v>101108</v>
      </c>
      <c r="E33" s="10" t="str">
        <f>IFERROR(VLOOKUP(D33,[1]引用表合并!$A$2:$B$1000,2,FALSE),"")</f>
        <v>肥仔</v>
      </c>
      <c r="F33" s="10">
        <v>1</v>
      </c>
      <c r="G33" s="10">
        <v>1375</v>
      </c>
      <c r="H33" s="10">
        <v>1</v>
      </c>
      <c r="I33" s="10">
        <v>100</v>
      </c>
      <c r="J33" s="10">
        <v>0</v>
      </c>
      <c r="K33" s="10">
        <v>1</v>
      </c>
      <c r="L33" s="7">
        <v>0</v>
      </c>
      <c r="M33" s="7">
        <v>0</v>
      </c>
      <c r="N33" s="7">
        <v>0</v>
      </c>
      <c r="O33" s="7">
        <v>0</v>
      </c>
      <c r="P33" s="7"/>
      <c r="Q33" s="7">
        <f>SUM($G$2:G33)</f>
        <v>10665</v>
      </c>
      <c r="R33">
        <f>VLOOKUP(D33,[2]!游戏物价查询,7,FALSE)*F33</f>
        <v>500</v>
      </c>
      <c r="S33">
        <v>2</v>
      </c>
      <c r="U33">
        <f t="shared" si="6"/>
        <v>1375</v>
      </c>
      <c r="V33">
        <f t="shared" si="7"/>
        <v>0.1370887337986042</v>
      </c>
    </row>
    <row r="34" spans="1:27">
      <c r="A34" s="10">
        <v>33</v>
      </c>
      <c r="B34" s="10">
        <v>2</v>
      </c>
      <c r="C34" s="10">
        <v>0</v>
      </c>
      <c r="D34" s="36">
        <v>101109</v>
      </c>
      <c r="E34" s="10" t="str">
        <f>IFERROR(VLOOKUP(D34,[1]引用表合并!$A$2:$B$1000,2,FALSE),"")</f>
        <v>司徒浩南</v>
      </c>
      <c r="F34" s="10">
        <v>1</v>
      </c>
      <c r="G34" s="10">
        <v>500</v>
      </c>
      <c r="H34" s="10">
        <v>1</v>
      </c>
      <c r="I34" s="10">
        <v>100</v>
      </c>
      <c r="J34" s="10">
        <v>0</v>
      </c>
      <c r="K34" s="10">
        <v>1</v>
      </c>
      <c r="L34" s="7">
        <v>0</v>
      </c>
      <c r="M34" s="7">
        <v>0</v>
      </c>
      <c r="N34" s="7">
        <v>0</v>
      </c>
      <c r="O34" s="7">
        <v>0</v>
      </c>
      <c r="P34" s="7"/>
      <c r="Q34" s="7">
        <f>SUM($G$2:G34)</f>
        <v>11165</v>
      </c>
      <c r="R34">
        <f>VLOOKUP(D34,[2]!游戏物价查询,7,FALSE)*F34</f>
        <v>1000</v>
      </c>
      <c r="S34">
        <v>2</v>
      </c>
      <c r="U34">
        <f t="shared" ref="U34" si="8">IF(AND($H34&lt;=W$1,$I34&gt;W$1),$G34,"")</f>
        <v>500</v>
      </c>
      <c r="V34">
        <f t="shared" ref="V34" si="9">IFERROR(U34/SUM($U$31:$U$44),0)</f>
        <v>4.9850448654037885E-2</v>
      </c>
    </row>
    <row r="35" spans="1:27">
      <c r="A35" s="10">
        <v>34</v>
      </c>
      <c r="B35" s="10">
        <v>2</v>
      </c>
      <c r="C35" s="10">
        <v>0</v>
      </c>
      <c r="D35" s="8">
        <v>101117</v>
      </c>
      <c r="E35" s="10" t="str">
        <f>IFERROR(VLOOKUP(D35,[1]引用表合并!$A$2:$B$1000,2,FALSE),"")</f>
        <v>巴闭</v>
      </c>
      <c r="F35" s="10">
        <v>1</v>
      </c>
      <c r="G35" s="10">
        <v>1375</v>
      </c>
      <c r="H35" s="10">
        <v>1</v>
      </c>
      <c r="I35" s="10">
        <v>100</v>
      </c>
      <c r="J35" s="10">
        <v>0</v>
      </c>
      <c r="K35" s="10">
        <v>1</v>
      </c>
      <c r="L35" s="7">
        <v>0</v>
      </c>
      <c r="M35" s="7">
        <v>0</v>
      </c>
      <c r="N35" s="7">
        <v>0</v>
      </c>
      <c r="O35" s="7">
        <v>0</v>
      </c>
      <c r="P35" s="7"/>
      <c r="Q35" s="7">
        <f>SUM($G$2:G35)</f>
        <v>12540</v>
      </c>
      <c r="R35">
        <f>VLOOKUP(D35,[2]!游戏物价查询,7,FALSE)*F35</f>
        <v>500</v>
      </c>
      <c r="S35">
        <v>2</v>
      </c>
      <c r="U35">
        <f t="shared" si="6"/>
        <v>1375</v>
      </c>
      <c r="V35">
        <f t="shared" si="7"/>
        <v>0.1370887337986042</v>
      </c>
      <c r="W35">
        <f>SUM(V31:V33)+V35</f>
        <v>0.5483549351944168</v>
      </c>
      <c r="X35">
        <f>1/W35</f>
        <v>1.8236363636363635</v>
      </c>
      <c r="Y35">
        <f>W35/W41</f>
        <v>1.2222222222222223</v>
      </c>
      <c r="Z35">
        <f>SUMPRODUCT(V31:V35,F31:F35)*14*0.9</f>
        <v>7.5373878364905291</v>
      </c>
      <c r="AA35">
        <f>[2]马仔的投放!$AI$38</f>
        <v>8.4563835234098637</v>
      </c>
    </row>
    <row r="36" spans="1:27">
      <c r="A36" s="10">
        <v>35</v>
      </c>
      <c r="B36" s="10">
        <v>2</v>
      </c>
      <c r="C36" s="10">
        <v>0</v>
      </c>
      <c r="D36" s="36">
        <v>101110</v>
      </c>
      <c r="E36" s="10" t="str">
        <f>IFERROR(VLOOKUP(D36,[1]引用表合并!$A$2:$B$1000,2,FALSE),"")</f>
        <v>乌鸦</v>
      </c>
      <c r="F36" s="10">
        <v>1</v>
      </c>
      <c r="G36" s="10">
        <v>700</v>
      </c>
      <c r="H36" s="10">
        <v>1</v>
      </c>
      <c r="I36" s="10">
        <v>100</v>
      </c>
      <c r="J36" s="10">
        <v>0</v>
      </c>
      <c r="K36" s="10">
        <v>1</v>
      </c>
      <c r="L36" s="7">
        <v>0</v>
      </c>
      <c r="M36" s="7">
        <v>0</v>
      </c>
      <c r="N36" s="7">
        <v>0</v>
      </c>
      <c r="O36" s="7">
        <v>0</v>
      </c>
      <c r="P36" s="7"/>
      <c r="Q36" s="7">
        <f>SUM($G$2:G36)</f>
        <v>13240</v>
      </c>
      <c r="R36">
        <f>VLOOKUP(D36,[2]!游戏物价查询,7,FALSE)*F36</f>
        <v>1000</v>
      </c>
      <c r="S36">
        <v>3</v>
      </c>
      <c r="U36">
        <f t="shared" si="6"/>
        <v>700</v>
      </c>
      <c r="V36">
        <f t="shared" si="7"/>
        <v>6.9790628115653036E-2</v>
      </c>
    </row>
    <row r="37" spans="1:27">
      <c r="A37" s="10">
        <v>36</v>
      </c>
      <c r="B37" s="10">
        <v>2</v>
      </c>
      <c r="C37" s="10">
        <v>0</v>
      </c>
      <c r="D37" s="36">
        <v>101111</v>
      </c>
      <c r="E37" s="10" t="str">
        <f>IFERROR(VLOOKUP(D37,[1]引用表合并!$A$2:$B$1000,2,FALSE),"")</f>
        <v>赌王</v>
      </c>
      <c r="F37" s="10">
        <v>1</v>
      </c>
      <c r="G37" s="10">
        <v>700</v>
      </c>
      <c r="H37" s="10">
        <v>1</v>
      </c>
      <c r="I37" s="10">
        <v>100</v>
      </c>
      <c r="J37" s="10">
        <v>0</v>
      </c>
      <c r="K37" s="10">
        <v>1</v>
      </c>
      <c r="L37" s="7">
        <v>0</v>
      </c>
      <c r="M37" s="7">
        <v>0</v>
      </c>
      <c r="N37" s="7">
        <v>0</v>
      </c>
      <c r="O37" s="7">
        <v>0</v>
      </c>
      <c r="P37" s="7"/>
      <c r="Q37" s="7">
        <f>SUM($G$2:G37)</f>
        <v>13940</v>
      </c>
      <c r="R37">
        <f>VLOOKUP(D37,[2]!游戏物价查询,7,FALSE)*F37</f>
        <v>1000</v>
      </c>
      <c r="S37">
        <v>3</v>
      </c>
      <c r="U37">
        <f t="shared" ref="U37:U41" si="10">IF(AND($H37&lt;=W$1,$I37&gt;W$1),$G37,"")</f>
        <v>700</v>
      </c>
      <c r="V37">
        <f t="shared" si="7"/>
        <v>6.9790628115653036E-2</v>
      </c>
    </row>
    <row r="38" spans="1:27">
      <c r="A38" s="10">
        <v>37</v>
      </c>
      <c r="B38" s="10">
        <v>2</v>
      </c>
      <c r="C38" s="10">
        <v>0</v>
      </c>
      <c r="D38" s="36">
        <v>101112</v>
      </c>
      <c r="E38" s="10" t="str">
        <f>IFERROR(VLOOKUP(D38,[1]引用表合并!$A$2:$B$1000,2,FALSE),"")</f>
        <v>山下忠秀</v>
      </c>
      <c r="F38" s="10">
        <v>1</v>
      </c>
      <c r="G38" s="10">
        <v>700</v>
      </c>
      <c r="H38" s="10">
        <v>1</v>
      </c>
      <c r="I38" s="10">
        <v>100</v>
      </c>
      <c r="J38" s="10">
        <v>0</v>
      </c>
      <c r="K38" s="10">
        <v>1</v>
      </c>
      <c r="L38" s="7">
        <v>0</v>
      </c>
      <c r="M38" s="7">
        <v>0</v>
      </c>
      <c r="N38" s="7">
        <v>0</v>
      </c>
      <c r="O38" s="7">
        <v>0</v>
      </c>
      <c r="P38" s="7"/>
      <c r="Q38" s="7">
        <f>SUM($G$2:G38)</f>
        <v>14640</v>
      </c>
      <c r="R38">
        <f>VLOOKUP(D38,[2]!游戏物价查询,7,FALSE)*F38</f>
        <v>1000</v>
      </c>
      <c r="S38">
        <v>3</v>
      </c>
      <c r="U38">
        <f t="shared" si="10"/>
        <v>700</v>
      </c>
      <c r="V38">
        <f t="shared" si="7"/>
        <v>6.9790628115653036E-2</v>
      </c>
    </row>
    <row r="39" spans="1:27">
      <c r="A39" s="10">
        <v>38</v>
      </c>
      <c r="B39" s="10">
        <v>2</v>
      </c>
      <c r="C39" s="10">
        <v>0</v>
      </c>
      <c r="D39" s="36">
        <v>101113</v>
      </c>
      <c r="E39" s="10" t="str">
        <f>IFERROR(VLOOKUP(D39,[1]引用表合并!$A$2:$B$1000,2,FALSE),"")</f>
        <v>宫本一</v>
      </c>
      <c r="F39" s="10">
        <v>1</v>
      </c>
      <c r="G39" s="10">
        <v>700</v>
      </c>
      <c r="H39" s="10">
        <v>1</v>
      </c>
      <c r="I39" s="10">
        <v>100</v>
      </c>
      <c r="J39" s="10">
        <v>0</v>
      </c>
      <c r="K39" s="10">
        <v>1</v>
      </c>
      <c r="L39" s="7">
        <v>0</v>
      </c>
      <c r="M39" s="7">
        <v>0</v>
      </c>
      <c r="N39" s="7">
        <v>0</v>
      </c>
      <c r="O39" s="7">
        <v>0</v>
      </c>
      <c r="P39" s="7"/>
      <c r="Q39" s="7">
        <f>SUM($G$2:G39)</f>
        <v>15340</v>
      </c>
      <c r="R39">
        <f>VLOOKUP(D39,[2]!游戏物价查询,7,FALSE)*F39</f>
        <v>1000</v>
      </c>
      <c r="S39">
        <v>3</v>
      </c>
      <c r="U39">
        <f t="shared" ref="U39:U40" si="11">IF(AND($H39&lt;=W$1,$I39&gt;W$1),$G39,"")</f>
        <v>700</v>
      </c>
      <c r="V39">
        <f t="shared" ref="V39:V40" si="12">IFERROR(U39/SUM($U$31:$U$44),0)</f>
        <v>6.9790628115653036E-2</v>
      </c>
    </row>
    <row r="40" spans="1:27">
      <c r="A40" s="10">
        <v>39</v>
      </c>
      <c r="B40" s="10">
        <v>2</v>
      </c>
      <c r="C40" s="10">
        <v>0</v>
      </c>
      <c r="D40" s="36">
        <v>101118</v>
      </c>
      <c r="E40" s="10" t="str">
        <f>IFERROR(VLOOKUP(D40,[1]引用表合并!$A$2:$B$1000,2,FALSE),"")</f>
        <v>耀阳</v>
      </c>
      <c r="F40" s="10">
        <v>1</v>
      </c>
      <c r="G40" s="10">
        <v>500</v>
      </c>
      <c r="H40" s="10">
        <v>1</v>
      </c>
      <c r="I40" s="10">
        <v>100</v>
      </c>
      <c r="J40" s="10">
        <v>0</v>
      </c>
      <c r="K40" s="10">
        <v>1</v>
      </c>
      <c r="L40" s="7">
        <v>0</v>
      </c>
      <c r="M40" s="7">
        <v>0</v>
      </c>
      <c r="N40" s="7">
        <v>0</v>
      </c>
      <c r="O40" s="7">
        <v>0</v>
      </c>
      <c r="P40" s="7"/>
      <c r="Q40" s="7">
        <f>SUM($G$2:G40)</f>
        <v>15840</v>
      </c>
      <c r="R40">
        <f>VLOOKUP(D40,[2]!游戏物价查询,7,FALSE)*F40</f>
        <v>1000</v>
      </c>
      <c r="S40">
        <v>3</v>
      </c>
      <c r="U40">
        <f t="shared" si="11"/>
        <v>500</v>
      </c>
      <c r="V40">
        <f t="shared" si="12"/>
        <v>4.9850448654037885E-2</v>
      </c>
    </row>
    <row r="41" spans="1:27">
      <c r="A41" s="10">
        <v>40</v>
      </c>
      <c r="B41" s="10">
        <v>2</v>
      </c>
      <c r="C41" s="10">
        <v>0</v>
      </c>
      <c r="D41" s="36">
        <v>101119</v>
      </c>
      <c r="E41" s="10" t="str">
        <f>IFERROR(VLOOKUP(D41,[1]引用表合并!$A$2:$B$1000,2,FALSE),"")</f>
        <v>笑面虎</v>
      </c>
      <c r="F41" s="10">
        <v>1</v>
      </c>
      <c r="G41" s="10">
        <v>700</v>
      </c>
      <c r="H41" s="10">
        <v>1</v>
      </c>
      <c r="I41" s="10">
        <v>100</v>
      </c>
      <c r="J41" s="10">
        <v>0</v>
      </c>
      <c r="K41" s="10">
        <v>1</v>
      </c>
      <c r="L41" s="7">
        <v>0</v>
      </c>
      <c r="M41" s="7">
        <v>0</v>
      </c>
      <c r="N41" s="7">
        <v>0</v>
      </c>
      <c r="O41" s="7">
        <v>0</v>
      </c>
      <c r="P41" s="7"/>
      <c r="Q41" s="7">
        <f>SUM($G$2:G41)</f>
        <v>16540</v>
      </c>
      <c r="R41">
        <f>VLOOKUP(D41,[2]!游戏物价查询,7,FALSE)*F41</f>
        <v>1000</v>
      </c>
      <c r="S41">
        <v>3</v>
      </c>
      <c r="U41">
        <f t="shared" si="10"/>
        <v>700</v>
      </c>
      <c r="V41">
        <f t="shared" si="7"/>
        <v>6.9790628115653036E-2</v>
      </c>
      <c r="W41">
        <f>SUM(V36:V41)+V34</f>
        <v>0.44865403788634095</v>
      </c>
      <c r="X41">
        <f>1/W41</f>
        <v>2.2288888888888891</v>
      </c>
      <c r="Y41">
        <f>W41/W44</f>
        <v>150</v>
      </c>
      <c r="Z41">
        <f>SUMPRODUCT(V36:V41,F36:F41)*21*0.9</f>
        <v>7.5373878364905282</v>
      </c>
      <c r="AA41">
        <f>[2]马仔的投放!$AI$39</f>
        <v>6.6397274074974471</v>
      </c>
    </row>
    <row r="42" spans="1:27">
      <c r="A42" s="10">
        <v>41</v>
      </c>
      <c r="B42" s="10">
        <v>2</v>
      </c>
      <c r="C42" s="10">
        <v>0</v>
      </c>
      <c r="D42" s="37">
        <v>101114</v>
      </c>
      <c r="E42" s="10" t="str">
        <f>IFERROR(VLOOKUP(D42,[1]引用表合并!$A$2:$B$1000,2,FALSE),"")</f>
        <v>陈浩南</v>
      </c>
      <c r="F42" s="10">
        <v>1</v>
      </c>
      <c r="G42" s="10">
        <v>10</v>
      </c>
      <c r="H42" s="10">
        <v>1</v>
      </c>
      <c r="I42" s="10">
        <v>100</v>
      </c>
      <c r="J42" s="10">
        <v>0</v>
      </c>
      <c r="K42" s="10">
        <v>1</v>
      </c>
      <c r="L42" s="7">
        <v>0</v>
      </c>
      <c r="M42" s="7">
        <v>1</v>
      </c>
      <c r="N42" s="7">
        <v>0</v>
      </c>
      <c r="O42" s="7">
        <v>1</v>
      </c>
      <c r="P42" s="7"/>
      <c r="Q42" s="7">
        <f>SUM($G$2:G42)</f>
        <v>16550</v>
      </c>
      <c r="R42">
        <f>VLOOKUP(D42,[2]!游戏物价查询,7,FALSE)*F42</f>
        <v>1500</v>
      </c>
      <c r="S42">
        <v>4</v>
      </c>
      <c r="U42">
        <f t="shared" si="6"/>
        <v>10</v>
      </c>
      <c r="V42">
        <f t="shared" si="7"/>
        <v>9.9700897308075765E-4</v>
      </c>
    </row>
    <row r="43" spans="1:27">
      <c r="A43" s="10">
        <v>42</v>
      </c>
      <c r="B43" s="10">
        <v>2</v>
      </c>
      <c r="C43" s="10">
        <v>0</v>
      </c>
      <c r="D43" s="37">
        <v>101115</v>
      </c>
      <c r="E43" s="10" t="str">
        <f>IFERROR(VLOOKUP(D43,[1]引用表合并!$A$2:$B$1000,2,FALSE),"")</f>
        <v>山鸡</v>
      </c>
      <c r="F43" s="10">
        <v>1</v>
      </c>
      <c r="G43" s="10">
        <v>10</v>
      </c>
      <c r="H43" s="10">
        <v>1</v>
      </c>
      <c r="I43" s="10">
        <v>100</v>
      </c>
      <c r="J43" s="10">
        <v>0</v>
      </c>
      <c r="K43" s="10">
        <v>1</v>
      </c>
      <c r="L43" s="7">
        <v>0</v>
      </c>
      <c r="M43" s="7">
        <v>1</v>
      </c>
      <c r="N43" s="7">
        <v>0</v>
      </c>
      <c r="O43" s="7">
        <v>1</v>
      </c>
      <c r="P43" s="7"/>
      <c r="Q43" s="7">
        <f>SUM($G$2:G43)</f>
        <v>16560</v>
      </c>
      <c r="R43">
        <f>VLOOKUP(D43,[2]!游戏物价查询,7,FALSE)*F43</f>
        <v>1500</v>
      </c>
      <c r="S43">
        <v>4</v>
      </c>
      <c r="U43">
        <f t="shared" si="6"/>
        <v>10</v>
      </c>
      <c r="V43">
        <f t="shared" si="7"/>
        <v>9.9700897308075765E-4</v>
      </c>
    </row>
    <row r="44" spans="1:27">
      <c r="A44" s="10">
        <v>43</v>
      </c>
      <c r="B44" s="10">
        <v>2</v>
      </c>
      <c r="C44" s="10">
        <v>0</v>
      </c>
      <c r="D44" s="37">
        <v>101116</v>
      </c>
      <c r="E44" s="10" t="str">
        <f>IFERROR(VLOOKUP(D44,[1]引用表合并!$A$2:$B$1000,2,FALSE),"")</f>
        <v>大天二</v>
      </c>
      <c r="F44" s="10">
        <v>1</v>
      </c>
      <c r="G44" s="10">
        <v>10</v>
      </c>
      <c r="H44" s="10">
        <v>1</v>
      </c>
      <c r="I44" s="10">
        <v>100</v>
      </c>
      <c r="J44" s="10">
        <v>0</v>
      </c>
      <c r="K44" s="10">
        <v>1</v>
      </c>
      <c r="L44" s="7">
        <v>0</v>
      </c>
      <c r="M44" s="7">
        <v>1</v>
      </c>
      <c r="N44" s="7">
        <v>0</v>
      </c>
      <c r="O44" s="7">
        <v>1</v>
      </c>
      <c r="P44" s="7"/>
      <c r="Q44" s="7">
        <f>SUM($G$2:G44)</f>
        <v>16570</v>
      </c>
      <c r="R44">
        <f>VLOOKUP(D44,[2]!游戏物价查询,7,FALSE)*F44</f>
        <v>1500</v>
      </c>
      <c r="S44">
        <v>4</v>
      </c>
      <c r="U44">
        <f t="shared" si="6"/>
        <v>10</v>
      </c>
      <c r="V44">
        <f t="shared" si="7"/>
        <v>9.9700897308075765E-4</v>
      </c>
      <c r="W44">
        <f>SUM(V42:V44)</f>
        <v>2.9910269192422729E-3</v>
      </c>
      <c r="X44">
        <f>1/W44</f>
        <v>334.33333333333337</v>
      </c>
      <c r="Z44">
        <f>28/8</f>
        <v>3.5</v>
      </c>
      <c r="AA44">
        <f>[2]马仔的投放!$AI$40</f>
        <v>3.7415322191694584</v>
      </c>
    </row>
  </sheetData>
  <phoneticPr fontId="1" type="noConversion"/>
  <conditionalFormatting sqref="B30:B31 B33 B22:B25 B2:B11">
    <cfRule type="cellIs" dxfId="491" priority="303" operator="equal">
      <formula>2</formula>
    </cfRule>
    <cfRule type="cellIs" dxfId="490" priority="304" operator="equal">
      <formula>1</formula>
    </cfRule>
  </conditionalFormatting>
  <conditionalFormatting sqref="E42:E44 E30:E33 E35:E36 E22:E27 E2:E11">
    <cfRule type="expression" dxfId="489" priority="569">
      <formula>AND(D2&gt;=79001,D2&lt;79900)</formula>
    </cfRule>
    <cfRule type="expression" dxfId="488" priority="570" stopIfTrue="1">
      <formula>AND(D2&gt;=70101,D2&lt;=70301)</formula>
    </cfRule>
    <cfRule type="expression" dxfId="487" priority="571" stopIfTrue="1">
      <formula>AND(D2&gt;70000,D2&lt;70004)</formula>
    </cfRule>
    <cfRule type="expression" dxfId="486" priority="572" stopIfTrue="1">
      <formula>AND(D2&gt;=70010,D2&lt;=76000)</formula>
    </cfRule>
    <cfRule type="expression" dxfId="485" priority="573">
      <formula>AND(D2&gt;70000,D2&lt;70004)</formula>
    </cfRule>
    <cfRule type="expression" dxfId="484" priority="574" stopIfTrue="1">
      <formula>OR(AND(D2&gt;=10000,D2&lt;=56999),AND(D2&gt;=57000,D2&lt;=57999))</formula>
    </cfRule>
    <cfRule type="expression" dxfId="483" priority="575" stopIfTrue="1">
      <formula>AND(D2&gt;=8000,D2&lt;=9999)</formula>
    </cfRule>
    <cfRule type="expression" dxfId="482" priority="576" stopIfTrue="1">
      <formula>AND(D2&gt;=78100,D2&lt;=78199)</formula>
    </cfRule>
    <cfRule type="expression" dxfId="481" priority="577" stopIfTrue="1">
      <formula>AND(D2&gt;=92000,D2&lt;=98999)</formula>
    </cfRule>
    <cfRule type="expression" dxfId="480" priority="578" stopIfTrue="1">
      <formula>AND(D2&gt;=78100,D2&lt;=78199)</formula>
    </cfRule>
    <cfRule type="expression" dxfId="479" priority="579" stopIfTrue="1">
      <formula>AND(D2&gt;=91000,D2&lt;=91999)</formula>
    </cfRule>
  </conditionalFormatting>
  <conditionalFormatting sqref="B32">
    <cfRule type="cellIs" dxfId="478" priority="210" operator="equal">
      <formula>2</formula>
    </cfRule>
    <cfRule type="cellIs" dxfId="477" priority="211" operator="equal">
      <formula>1</formula>
    </cfRule>
  </conditionalFormatting>
  <conditionalFormatting sqref="B28">
    <cfRule type="cellIs" dxfId="476" priority="174" operator="equal">
      <formula>2</formula>
    </cfRule>
    <cfRule type="cellIs" dxfId="475" priority="175" operator="equal">
      <formula>1</formula>
    </cfRule>
  </conditionalFormatting>
  <conditionalFormatting sqref="E28">
    <cfRule type="expression" dxfId="474" priority="176">
      <formula>AND(D28&gt;=79001,D28&lt;79900)</formula>
    </cfRule>
    <cfRule type="expression" dxfId="473" priority="177" stopIfTrue="1">
      <formula>AND(D28&gt;=70101,D28&lt;=70301)</formula>
    </cfRule>
    <cfRule type="expression" dxfId="472" priority="178" stopIfTrue="1">
      <formula>AND(D28&gt;70000,D28&lt;70004)</formula>
    </cfRule>
    <cfRule type="expression" dxfId="471" priority="179" stopIfTrue="1">
      <formula>AND(D28&gt;=70010,D28&lt;=76000)</formula>
    </cfRule>
    <cfRule type="expression" dxfId="470" priority="180">
      <formula>AND(D28&gt;70000,D28&lt;70004)</formula>
    </cfRule>
    <cfRule type="expression" dxfId="469" priority="181" stopIfTrue="1">
      <formula>OR(AND(D28&gt;=10000,D28&lt;=56999),AND(D28&gt;=57000,D28&lt;=57999))</formula>
    </cfRule>
    <cfRule type="expression" dxfId="468" priority="182" stopIfTrue="1">
      <formula>AND(D28&gt;=8000,D28&lt;=9999)</formula>
    </cfRule>
    <cfRule type="expression" dxfId="467" priority="183" stopIfTrue="1">
      <formula>AND(D28&gt;=78100,D28&lt;=78199)</formula>
    </cfRule>
    <cfRule type="expression" dxfId="466" priority="184" stopIfTrue="1">
      <formula>AND(D28&gt;=92000,D28&lt;=98999)</formula>
    </cfRule>
    <cfRule type="expression" dxfId="465" priority="185" stopIfTrue="1">
      <formula>AND(D28&gt;=78100,D28&lt;=78199)</formula>
    </cfRule>
    <cfRule type="expression" dxfId="464" priority="186" stopIfTrue="1">
      <formula>AND(D28&gt;=91000,D28&lt;=91999)</formula>
    </cfRule>
  </conditionalFormatting>
  <conditionalFormatting sqref="R28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  <cfRule type="dataBar" priority="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{12F57E02-B9D4-4FEE-A35A-B44BC97090A2}</x14:id>
        </ext>
      </extLst>
    </cfRule>
  </conditionalFormatting>
  <conditionalFormatting sqref="G45:G1048576 G1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E38 E41">
    <cfRule type="expression" dxfId="463" priority="136">
      <formula>AND(D37&gt;=79001,D37&lt;79900)</formula>
    </cfRule>
    <cfRule type="expression" dxfId="462" priority="137" stopIfTrue="1">
      <formula>AND(D37&gt;=70101,D37&lt;=70301)</formula>
    </cfRule>
    <cfRule type="expression" dxfId="461" priority="138" stopIfTrue="1">
      <formula>AND(D37&gt;70000,D37&lt;70004)</formula>
    </cfRule>
    <cfRule type="expression" dxfId="460" priority="139" stopIfTrue="1">
      <formula>AND(D37&gt;=70010,D37&lt;=76000)</formula>
    </cfRule>
    <cfRule type="expression" dxfId="459" priority="140">
      <formula>AND(D37&gt;70000,D37&lt;70004)</formula>
    </cfRule>
    <cfRule type="expression" dxfId="458" priority="141" stopIfTrue="1">
      <formula>OR(AND(D37&gt;=10000,D37&lt;=56999),AND(D37&gt;=57000,D37&lt;=57999))</formula>
    </cfRule>
    <cfRule type="expression" dxfId="457" priority="142" stopIfTrue="1">
      <formula>AND(D37&gt;=8000,D37&lt;=9999)</formula>
    </cfRule>
    <cfRule type="expression" dxfId="456" priority="143" stopIfTrue="1">
      <formula>AND(D37&gt;=78100,D37&lt;=78199)</formula>
    </cfRule>
    <cfRule type="expression" dxfId="455" priority="144" stopIfTrue="1">
      <formula>AND(D37&gt;=92000,D37&lt;=98999)</formula>
    </cfRule>
    <cfRule type="expression" dxfId="454" priority="145" stopIfTrue="1">
      <formula>AND(D37&gt;=78100,D37&lt;=78199)</formula>
    </cfRule>
    <cfRule type="expression" dxfId="453" priority="146" stopIfTrue="1">
      <formula>AND(D37&gt;=91000,D37&lt;=91999)</formula>
    </cfRule>
  </conditionalFormatting>
  <conditionalFormatting sqref="B26:B27">
    <cfRule type="cellIs" dxfId="452" priority="113" operator="equal">
      <formula>2</formula>
    </cfRule>
    <cfRule type="cellIs" dxfId="451" priority="114" operator="equal">
      <formula>1</formula>
    </cfRule>
  </conditionalFormatting>
  <conditionalFormatting sqref="V2:V11 V30 V22:V28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9">
    <cfRule type="cellIs" dxfId="450" priority="75" operator="equal">
      <formula>2</formula>
    </cfRule>
    <cfRule type="cellIs" dxfId="449" priority="76" operator="equal">
      <formula>1</formula>
    </cfRule>
  </conditionalFormatting>
  <conditionalFormatting sqref="E29">
    <cfRule type="expression" dxfId="448" priority="77">
      <formula>AND(D29&gt;=79001,D29&lt;79900)</formula>
    </cfRule>
    <cfRule type="expression" dxfId="447" priority="78" stopIfTrue="1">
      <formula>AND(D29&gt;=70101,D29&lt;=70301)</formula>
    </cfRule>
    <cfRule type="expression" dxfId="446" priority="79" stopIfTrue="1">
      <formula>AND(D29&gt;70000,D29&lt;70004)</formula>
    </cfRule>
    <cfRule type="expression" dxfId="445" priority="80" stopIfTrue="1">
      <formula>AND(D29&gt;=70010,D29&lt;=76000)</formula>
    </cfRule>
    <cfRule type="expression" dxfId="444" priority="81">
      <formula>AND(D29&gt;70000,D29&lt;70004)</formula>
    </cfRule>
    <cfRule type="expression" dxfId="443" priority="82" stopIfTrue="1">
      <formula>OR(AND(D29&gt;=10000,D29&lt;=56999),AND(D29&gt;=57000,D29&lt;=57999))</formula>
    </cfRule>
    <cfRule type="expression" dxfId="442" priority="83" stopIfTrue="1">
      <formula>AND(D29&gt;=8000,D29&lt;=9999)</formula>
    </cfRule>
    <cfRule type="expression" dxfId="441" priority="84" stopIfTrue="1">
      <formula>AND(D29&gt;=78100,D29&lt;=78199)</formula>
    </cfRule>
    <cfRule type="expression" dxfId="440" priority="85" stopIfTrue="1">
      <formula>AND(D29&gt;=92000,D29&lt;=98999)</formula>
    </cfRule>
    <cfRule type="expression" dxfId="439" priority="86" stopIfTrue="1">
      <formula>AND(D29&gt;=78100,D29&lt;=78199)</formula>
    </cfRule>
    <cfRule type="expression" dxfId="438" priority="87" stopIfTrue="1">
      <formula>AND(D29&gt;=91000,D29&lt;=91999)</formula>
    </cfRule>
  </conditionalFormatting>
  <conditionalFormatting sqref="R29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  <cfRule type="dataBar" priority="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{23FBB13A-1F21-46E7-8A9A-C83983F150B3}</x14:id>
        </ext>
      </extLst>
    </cfRule>
  </conditionalFormatting>
  <conditionalFormatting sqref="V2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2:B16 B19:B21">
    <cfRule type="cellIs" dxfId="437" priority="58" operator="equal">
      <formula>2</formula>
    </cfRule>
    <cfRule type="cellIs" dxfId="436" priority="59" operator="equal">
      <formula>1</formula>
    </cfRule>
  </conditionalFormatting>
  <conditionalFormatting sqref="E12:E16 E19:E21">
    <cfRule type="expression" dxfId="435" priority="60">
      <formula>AND(D12&gt;=79001,D12&lt;79900)</formula>
    </cfRule>
    <cfRule type="expression" dxfId="434" priority="61" stopIfTrue="1">
      <formula>AND(D12&gt;=70101,D12&lt;=70301)</formula>
    </cfRule>
    <cfRule type="expression" dxfId="433" priority="62" stopIfTrue="1">
      <formula>AND(D12&gt;70000,D12&lt;70004)</formula>
    </cfRule>
    <cfRule type="expression" dxfId="432" priority="63" stopIfTrue="1">
      <formula>AND(D12&gt;=70010,D12&lt;=76000)</formula>
    </cfRule>
    <cfRule type="expression" dxfId="431" priority="64">
      <formula>AND(D12&gt;70000,D12&lt;70004)</formula>
    </cfRule>
    <cfRule type="expression" dxfId="430" priority="65" stopIfTrue="1">
      <formula>OR(AND(D12&gt;=10000,D12&lt;=56999),AND(D12&gt;=57000,D12&lt;=57999))</formula>
    </cfRule>
    <cfRule type="expression" dxfId="429" priority="66" stopIfTrue="1">
      <formula>AND(D12&gt;=8000,D12&lt;=9999)</formula>
    </cfRule>
    <cfRule type="expression" dxfId="428" priority="67" stopIfTrue="1">
      <formula>AND(D12&gt;=78100,D12&lt;=78199)</formula>
    </cfRule>
    <cfRule type="expression" dxfId="427" priority="68" stopIfTrue="1">
      <formula>AND(D12&gt;=92000,D12&lt;=98999)</formula>
    </cfRule>
    <cfRule type="expression" dxfId="426" priority="69" stopIfTrue="1">
      <formula>AND(D12&gt;=78100,D12&lt;=78199)</formula>
    </cfRule>
    <cfRule type="expression" dxfId="425" priority="70" stopIfTrue="1">
      <formula>AND(D12&gt;=91000,D12&lt;=91999)</formula>
    </cfRule>
  </conditionalFormatting>
  <conditionalFormatting sqref="R12:R16 R19:R21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{57766A30-519C-4B42-8C5E-47CBD7B55EE9}</x14:id>
        </ext>
      </extLst>
    </cfRule>
  </conditionalFormatting>
  <conditionalFormatting sqref="V12:V16 V19:V21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1:S33 R2:R11 R22:R23 S35:S38 S41:S44 R30:R44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  <cfRule type="dataBar" priority="17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{85DB59EF-DFB0-4E0B-9443-CBF32CEA0686}</x14:id>
        </ext>
      </extLst>
    </cfRule>
  </conditionalFormatting>
  <conditionalFormatting sqref="V31:V33 V35:V38 V41:V44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34:B44">
    <cfRule type="cellIs" dxfId="424" priority="38" operator="equal">
      <formula>2</formula>
    </cfRule>
    <cfRule type="cellIs" dxfId="423" priority="39" operator="equal">
      <formula>1</formula>
    </cfRule>
  </conditionalFormatting>
  <conditionalFormatting sqref="E34">
    <cfRule type="expression" dxfId="422" priority="40">
      <formula>AND(D34&gt;=79001,D34&lt;79900)</formula>
    </cfRule>
    <cfRule type="expression" dxfId="421" priority="41" stopIfTrue="1">
      <formula>AND(D34&gt;=70101,D34&lt;=70301)</formula>
    </cfRule>
    <cfRule type="expression" dxfId="420" priority="42" stopIfTrue="1">
      <formula>AND(D34&gt;70000,D34&lt;70004)</formula>
    </cfRule>
    <cfRule type="expression" dxfId="419" priority="43" stopIfTrue="1">
      <formula>AND(D34&gt;=70010,D34&lt;=76000)</formula>
    </cfRule>
    <cfRule type="expression" dxfId="418" priority="44">
      <formula>AND(D34&gt;70000,D34&lt;70004)</formula>
    </cfRule>
    <cfRule type="expression" dxfId="417" priority="45" stopIfTrue="1">
      <formula>OR(AND(D34&gt;=10000,D34&lt;=56999),AND(D34&gt;=57000,D34&lt;=57999))</formula>
    </cfRule>
    <cfRule type="expression" dxfId="416" priority="46" stopIfTrue="1">
      <formula>AND(D34&gt;=8000,D34&lt;=9999)</formula>
    </cfRule>
    <cfRule type="expression" dxfId="415" priority="47" stopIfTrue="1">
      <formula>AND(D34&gt;=78100,D34&lt;=78199)</formula>
    </cfRule>
    <cfRule type="expression" dxfId="414" priority="48" stopIfTrue="1">
      <formula>AND(D34&gt;=92000,D34&lt;=98999)</formula>
    </cfRule>
    <cfRule type="expression" dxfId="413" priority="49" stopIfTrue="1">
      <formula>AND(D34&gt;=78100,D34&lt;=78199)</formula>
    </cfRule>
    <cfRule type="expression" dxfId="412" priority="50" stopIfTrue="1">
      <formula>AND(D34&gt;=91000,D34&lt;=91999)</formula>
    </cfRule>
  </conditionalFormatting>
  <conditionalFormatting sqref="S34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{A26B5520-F235-4080-9172-E3A3C7236779}</x14:id>
        </ext>
      </extLst>
    </cfRule>
  </conditionalFormatting>
  <conditionalFormatting sqref="V34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9:E40">
    <cfRule type="expression" dxfId="411" priority="23">
      <formula>AND(D39&gt;=79001,D39&lt;79900)</formula>
    </cfRule>
    <cfRule type="expression" dxfId="410" priority="24" stopIfTrue="1">
      <formula>AND(D39&gt;=70101,D39&lt;=70301)</formula>
    </cfRule>
    <cfRule type="expression" dxfId="409" priority="25" stopIfTrue="1">
      <formula>AND(D39&gt;70000,D39&lt;70004)</formula>
    </cfRule>
    <cfRule type="expression" dxfId="408" priority="26" stopIfTrue="1">
      <formula>AND(D39&gt;=70010,D39&lt;=76000)</formula>
    </cfRule>
    <cfRule type="expression" dxfId="407" priority="27">
      <formula>AND(D39&gt;70000,D39&lt;70004)</formula>
    </cfRule>
    <cfRule type="expression" dxfId="406" priority="28" stopIfTrue="1">
      <formula>OR(AND(D39&gt;=10000,D39&lt;=56999),AND(D39&gt;=57000,D39&lt;=57999))</formula>
    </cfRule>
    <cfRule type="expression" dxfId="405" priority="29" stopIfTrue="1">
      <formula>AND(D39&gt;=8000,D39&lt;=9999)</formula>
    </cfRule>
    <cfRule type="expression" dxfId="404" priority="30" stopIfTrue="1">
      <formula>AND(D39&gt;=78100,D39&lt;=78199)</formula>
    </cfRule>
    <cfRule type="expression" dxfId="403" priority="31" stopIfTrue="1">
      <formula>AND(D39&gt;=92000,D39&lt;=98999)</formula>
    </cfRule>
    <cfRule type="expression" dxfId="402" priority="32" stopIfTrue="1">
      <formula>AND(D39&gt;=78100,D39&lt;=78199)</formula>
    </cfRule>
    <cfRule type="expression" dxfId="401" priority="33" stopIfTrue="1">
      <formula>AND(D39&gt;=91000,D39&lt;=91999)</formula>
    </cfRule>
  </conditionalFormatting>
  <conditionalFormatting sqref="S39:S4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{767725B7-046A-4479-B035-BE9306C465D8}</x14:id>
        </ext>
      </extLst>
    </cfRule>
  </conditionalFormatting>
  <conditionalFormatting sqref="V39:V4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1:G4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6:R27">
    <cfRule type="colorScale" priority="1961">
      <colorScale>
        <cfvo type="min"/>
        <cfvo type="percentile" val="50"/>
        <cfvo type="max"/>
        <color rgb="FF63BE7B"/>
        <color rgb="FFFFEB84"/>
        <color rgb="FFF8696B"/>
      </colorScale>
    </cfRule>
    <cfRule type="dataBar" priority="19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{9E26A41B-C85E-4EEA-8C86-468E1E8B8B68}</x14:id>
        </ext>
      </extLst>
    </cfRule>
  </conditionalFormatting>
  <conditionalFormatting sqref="R24:R25">
    <cfRule type="colorScale" priority="2029">
      <colorScale>
        <cfvo type="min"/>
        <cfvo type="percentile" val="50"/>
        <cfvo type="max"/>
        <color rgb="FF63BE7B"/>
        <color rgb="FFFFEB84"/>
        <color rgb="FFF8696B"/>
      </colorScale>
    </cfRule>
    <cfRule type="dataBar" priority="20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{7175FDF6-949D-48B3-B887-B94BFA690105}</x14:id>
        </ext>
      </extLst>
    </cfRule>
  </conditionalFormatting>
  <conditionalFormatting sqref="B17:B18">
    <cfRule type="cellIs" dxfId="400" priority="3" operator="equal">
      <formula>2</formula>
    </cfRule>
    <cfRule type="cellIs" dxfId="399" priority="4" operator="equal">
      <formula>1</formula>
    </cfRule>
  </conditionalFormatting>
  <conditionalFormatting sqref="E17:E18">
    <cfRule type="expression" dxfId="398" priority="5">
      <formula>AND(D17&gt;=79001,D17&lt;79900)</formula>
    </cfRule>
    <cfRule type="expression" dxfId="397" priority="6" stopIfTrue="1">
      <formula>AND(D17&gt;=70101,D17&lt;=70301)</formula>
    </cfRule>
    <cfRule type="expression" dxfId="396" priority="7" stopIfTrue="1">
      <formula>AND(D17&gt;70000,D17&lt;70004)</formula>
    </cfRule>
    <cfRule type="expression" dxfId="395" priority="8" stopIfTrue="1">
      <formula>AND(D17&gt;=70010,D17&lt;=76000)</formula>
    </cfRule>
    <cfRule type="expression" dxfId="394" priority="9">
      <formula>AND(D17&gt;70000,D17&lt;70004)</formula>
    </cfRule>
    <cfRule type="expression" dxfId="393" priority="10" stopIfTrue="1">
      <formula>OR(AND(D17&gt;=10000,D17&lt;=56999),AND(D17&gt;=57000,D17&lt;=57999))</formula>
    </cfRule>
    <cfRule type="expression" dxfId="392" priority="11" stopIfTrue="1">
      <formula>AND(D17&gt;=8000,D17&lt;=9999)</formula>
    </cfRule>
    <cfRule type="expression" dxfId="391" priority="12" stopIfTrue="1">
      <formula>AND(D17&gt;=78100,D17&lt;=78199)</formula>
    </cfRule>
    <cfRule type="expression" dxfId="390" priority="13" stopIfTrue="1">
      <formula>AND(D17&gt;=92000,D17&lt;=98999)</formula>
    </cfRule>
    <cfRule type="expression" dxfId="389" priority="14" stopIfTrue="1">
      <formula>AND(D17&gt;=78100,D17&lt;=78199)</formula>
    </cfRule>
    <cfRule type="expression" dxfId="388" priority="15" stopIfTrue="1">
      <formula>AND(D17&gt;=91000,D17&lt;=91999)</formula>
    </cfRule>
  </conditionalFormatting>
  <conditionalFormatting sqref="R17:R1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{3CA56D05-FA11-4F32-9100-AF735351AA30}</x14:id>
        </ext>
      </extLst>
    </cfRule>
  </conditionalFormatting>
  <conditionalFormatting sqref="V17:V1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Q3" formulaRange="1"/>
  </ignoredError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F57E02-B9D4-4FEE-A35A-B44BC97090A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R28</xm:sqref>
        </x14:conditionalFormatting>
        <x14:conditionalFormatting xmlns:xm="http://schemas.microsoft.com/office/excel/2006/main">
          <x14:cfRule type="dataBar" id="{23FBB13A-1F21-46E7-8A9A-C83983F150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R29</xm:sqref>
        </x14:conditionalFormatting>
        <x14:conditionalFormatting xmlns:xm="http://schemas.microsoft.com/office/excel/2006/main">
          <x14:cfRule type="dataBar" id="{57766A30-519C-4B42-8C5E-47CBD7B55E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R12:R16 R19:R21</xm:sqref>
        </x14:conditionalFormatting>
        <x14:conditionalFormatting xmlns:xm="http://schemas.microsoft.com/office/excel/2006/main">
          <x14:cfRule type="dataBar" id="{85DB59EF-DFB0-4E0B-9443-CBF32CEA06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S31:S33 R2:R11 R22:R23 S35:S38 S41:S44 R30:R44</xm:sqref>
        </x14:conditionalFormatting>
        <x14:conditionalFormatting xmlns:xm="http://schemas.microsoft.com/office/excel/2006/main">
          <x14:cfRule type="dataBar" id="{A26B5520-F235-4080-9172-E3A3C72367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S34</xm:sqref>
        </x14:conditionalFormatting>
        <x14:conditionalFormatting xmlns:xm="http://schemas.microsoft.com/office/excel/2006/main">
          <x14:cfRule type="dataBar" id="{767725B7-046A-4479-B035-BE9306C465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S39:S40</xm:sqref>
        </x14:conditionalFormatting>
        <x14:conditionalFormatting xmlns:xm="http://schemas.microsoft.com/office/excel/2006/main">
          <x14:cfRule type="dataBar" id="{9E26A41B-C85E-4EEA-8C86-468E1E8B8B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R26:R27</xm:sqref>
        </x14:conditionalFormatting>
        <x14:conditionalFormatting xmlns:xm="http://schemas.microsoft.com/office/excel/2006/main">
          <x14:cfRule type="dataBar" id="{7175FDF6-949D-48B3-B887-B94BFA690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R24:R25</xm:sqref>
        </x14:conditionalFormatting>
        <x14:conditionalFormatting xmlns:xm="http://schemas.microsoft.com/office/excel/2006/main">
          <x14:cfRule type="dataBar" id="{3CA56D05-FA11-4F32-9100-AF735351AA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R17:R18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6"/>
  <sheetViews>
    <sheetView workbookViewId="0">
      <selection activeCell="E14" sqref="E14"/>
    </sheetView>
  </sheetViews>
  <sheetFormatPr defaultRowHeight="13.5"/>
  <cols>
    <col min="1" max="1" width="10.625" customWidth="1"/>
    <col min="2" max="4" width="13" bestFit="1" customWidth="1"/>
  </cols>
  <sheetData>
    <row r="1" spans="1:4">
      <c r="A1" t="s">
        <v>111</v>
      </c>
      <c r="B1" t="s">
        <v>114</v>
      </c>
      <c r="C1" t="s">
        <v>112</v>
      </c>
      <c r="D1" t="s">
        <v>113</v>
      </c>
    </row>
    <row r="2" spans="1:4">
      <c r="A2">
        <v>1</v>
      </c>
      <c r="B2">
        <v>2</v>
      </c>
      <c r="C2">
        <v>2</v>
      </c>
      <c r="D2">
        <v>2</v>
      </c>
    </row>
    <row r="3" spans="1:4">
      <c r="A3">
        <v>2</v>
      </c>
      <c r="B3">
        <v>3</v>
      </c>
      <c r="C3">
        <v>2</v>
      </c>
      <c r="D3">
        <v>4</v>
      </c>
    </row>
    <row r="4" spans="1:4">
      <c r="A4">
        <v>3</v>
      </c>
      <c r="B4">
        <v>4</v>
      </c>
      <c r="C4">
        <v>3</v>
      </c>
      <c r="D4">
        <v>4</v>
      </c>
    </row>
    <row r="5" spans="1:4">
      <c r="A5">
        <v>4</v>
      </c>
      <c r="B5">
        <v>5</v>
      </c>
      <c r="C5">
        <v>4</v>
      </c>
      <c r="D5">
        <v>5</v>
      </c>
    </row>
    <row r="6" spans="1:4">
      <c r="A6">
        <v>5</v>
      </c>
      <c r="B6">
        <v>5</v>
      </c>
      <c r="C6">
        <v>5</v>
      </c>
      <c r="D6">
        <v>5</v>
      </c>
    </row>
  </sheetData>
  <phoneticPr fontId="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4"/>
  <sheetViews>
    <sheetView workbookViewId="0">
      <selection activeCell="J14" sqref="J14"/>
    </sheetView>
  </sheetViews>
  <sheetFormatPr defaultRowHeight="13.5"/>
  <cols>
    <col min="4" max="4" width="11" bestFit="1" customWidth="1"/>
  </cols>
  <sheetData>
    <row r="1" spans="1:6">
      <c r="A1" t="s">
        <v>120</v>
      </c>
      <c r="B1" t="s">
        <v>128</v>
      </c>
      <c r="C1" t="s">
        <v>121</v>
      </c>
      <c r="D1" t="s">
        <v>123</v>
      </c>
      <c r="E1" t="s">
        <v>122</v>
      </c>
      <c r="F1" t="s">
        <v>129</v>
      </c>
    </row>
    <row r="2" spans="1:6">
      <c r="A2">
        <v>1</v>
      </c>
      <c r="B2">
        <v>2</v>
      </c>
      <c r="C2">
        <v>101114</v>
      </c>
      <c r="D2" t="s">
        <v>125</v>
      </c>
      <c r="E2" t="str">
        <f>VLOOKUP(C2,[3]D_马仔表!$A$12:$B$20,2,FALSE)</f>
        <v>陈浩南</v>
      </c>
      <c r="F2">
        <v>70</v>
      </c>
    </row>
    <row r="3" spans="1:6">
      <c r="A3">
        <v>2</v>
      </c>
      <c r="B3">
        <v>3</v>
      </c>
      <c r="C3">
        <v>101115</v>
      </c>
      <c r="D3" t="s">
        <v>126</v>
      </c>
      <c r="E3" t="str">
        <f>VLOOKUP(C3,[3]D_马仔表!$A$12:$B$20,2,FALSE)</f>
        <v>山鸡</v>
      </c>
      <c r="F3">
        <v>70</v>
      </c>
    </row>
    <row r="4" spans="1:6">
      <c r="A4">
        <v>3</v>
      </c>
      <c r="B4">
        <v>1</v>
      </c>
      <c r="C4">
        <v>101116</v>
      </c>
      <c r="D4" t="s">
        <v>127</v>
      </c>
      <c r="E4" t="str">
        <f>VLOOKUP(C4,[3]D_马仔表!$A$12:$B$20,2,FALSE)</f>
        <v>大天二</v>
      </c>
      <c r="F4">
        <v>70</v>
      </c>
    </row>
  </sheetData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39997558519241921"/>
  </sheetPr>
  <dimension ref="A1:P1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15" sqref="H15"/>
    </sheetView>
  </sheetViews>
  <sheetFormatPr defaultRowHeight="13.5"/>
  <cols>
    <col min="1" max="1" width="3.5" bestFit="1" customWidth="1"/>
    <col min="2" max="2" width="17.625" customWidth="1"/>
    <col min="3" max="3" width="3.75" customWidth="1"/>
    <col min="4" max="4" width="19.375" bestFit="1" customWidth="1"/>
    <col min="5" max="5" width="4" customWidth="1"/>
    <col min="6" max="6" width="19.125" customWidth="1"/>
    <col min="7" max="7" width="4" customWidth="1"/>
    <col min="8" max="8" width="19.375" bestFit="1" customWidth="1"/>
    <col min="9" max="9" width="4" customWidth="1"/>
    <col min="10" max="10" width="17.125" customWidth="1"/>
    <col min="11" max="11" width="4.25" customWidth="1"/>
    <col min="12" max="12" width="18.5" customWidth="1"/>
    <col min="13" max="13" width="4" customWidth="1"/>
    <col min="14" max="14" width="18.5" customWidth="1"/>
    <col min="15" max="15" width="4" customWidth="1"/>
    <col min="16" max="16" width="19.25" customWidth="1"/>
  </cols>
  <sheetData>
    <row r="1" spans="1:16" s="47" customFormat="1">
      <c r="B1" s="47" t="s">
        <v>132</v>
      </c>
      <c r="D1" s="47" t="s">
        <v>133</v>
      </c>
      <c r="F1" s="47" t="s">
        <v>134</v>
      </c>
      <c r="H1" s="47" t="s">
        <v>135</v>
      </c>
      <c r="J1" s="47" t="s">
        <v>136</v>
      </c>
      <c r="L1" s="47" t="s">
        <v>137</v>
      </c>
      <c r="N1" s="47" t="s">
        <v>138</v>
      </c>
      <c r="P1" s="47" t="s">
        <v>139</v>
      </c>
    </row>
    <row r="2" spans="1:16">
      <c r="A2">
        <v>1</v>
      </c>
      <c r="B2" t="str">
        <f ca="1">INDEX(D_金币商场!D2:D91,IFERROR(MATCH(RANDBETWEEN(1,MAX(D_金币商场!N2:N91)),D_金币商场!N2:N91,1),1))</f>
        <v>宝驼碎片</v>
      </c>
      <c r="D2" t="str">
        <f ca="1">INDEX(D_VIP商城!D2:D99,IFERROR(MATCH(RANDBETWEEN(1,MAX(D_VIP商城!O2:O99)),D_VIP商城!O2:O99,1),1))</f>
        <v>红石耳钉碎片</v>
      </c>
      <c r="F2" t="str">
        <f ca="1">INDEX(D_神秘商店!D2:D92,IFERROR(MATCH(RANDBETWEEN(1,MAX(D_神秘商店!R2:R92)),D_神秘商店!R2:R92,1),1))</f>
        <v>部位材料(鞋子)</v>
      </c>
      <c r="H2" s="35" t="str">
        <f>[4]D_竞技场商城!$D$2</f>
        <v>马仔碎片(司徒浩南)</v>
      </c>
      <c r="J2" s="35" t="str">
        <f>[5]D_公会商店!$D$2</f>
        <v>技能升级石</v>
      </c>
      <c r="L2" t="str">
        <f ca="1">INDEX(D_金币十连抽!$D$2:$D$103,IFERROR(MATCH(RANDBETWEEN(1,MAX(D_金币十连抽!$K$2:$K$103)),D_金币十连抽!$K$2:$K$103,1),1))</f>
        <v>宝石手环碎片</v>
      </c>
      <c r="N2" t="str">
        <f ca="1">INDEX(D_钻石十连抽!D3:D207,IFERROR(MATCH(RANDBETWEEN(1,MAX(D_钻石十连抽!AA3:AA207)),D_钻石十连抽!AA3:AA207,1),13))</f>
        <v>马仔碎片(靓坤)</v>
      </c>
      <c r="P2" t="str">
        <f ca="1">INDEX(D_钻石十连抽!$D$3:$D$207,IFERROR(MATCH(RANDBETWEEN(1,MAX(D_钻石十连抽!$V$3:$V$207)),D_钻石十连抽!$V$3:$V$207,1),1))</f>
        <v>马仔碎片(宫本一)</v>
      </c>
    </row>
    <row r="3" spans="1:16">
      <c r="A3">
        <v>2</v>
      </c>
      <c r="B3" t="str">
        <f ca="1">INDEX(D_金币商场!D3:D92,IFERROR(MATCH(RANDBETWEEN(1,MAX(D_金币商场!N3:N92)),D_金币商场!N3:N92,1),1))</f>
        <v>高级装备升级石</v>
      </c>
      <c r="D3" t="str">
        <f ca="1">INDEX(D_VIP商城!D3:D100,IFERROR(MATCH(RANDBETWEEN(1,MAX(D_VIP商城!O3:O100)),D_VIP商城!O3:O100,1),1))</f>
        <v>龙魂币(2000)</v>
      </c>
      <c r="F3" t="str">
        <f ca="1">INDEX(D_神秘商店!D3:D93,IFERROR(MATCH(RANDBETWEEN(1,MAX(D_神秘商店!R3:R93)),D_神秘商店!R3:R93,1),1))</f>
        <v>宝石手环碎片</v>
      </c>
      <c r="H3" s="35" t="str">
        <f>[4]D_竞技场商城!$D$64</f>
        <v>红石耳钉碎片</v>
      </c>
      <c r="J3" s="35" t="str">
        <f>[5]D_公会商店!$D$3</f>
        <v>马仔碎片(耀阳)</v>
      </c>
      <c r="L3" t="str">
        <f ca="1">INDEX(D_金币十连抽!$D$2:$D$103,IFERROR(MATCH(RANDBETWEEN(1,MAX(D_金币十连抽!$K$2:$K$103)),D_金币十连抽!$K$2:$K$103,1),1))</f>
        <v>马仔碎片(雷复轰)</v>
      </c>
      <c r="N3" t="str">
        <f ca="1">INDEX(D_钻石十连抽!D4:D207,IFERROR(MATCH(RANDBETWEEN(1,MAX(D_钻石十连抽!AA4:AA207)),D_钻石十连抽!AA4:AA207,1),13))</f>
        <v>黄金戒指碎片</v>
      </c>
      <c r="P3" t="str">
        <f ca="1">INDEX(D_钻石十连抽!$D$3:$D$207,IFERROR(MATCH(RANDBETWEEN(1,MAX(D_钻石十连抽!$V$3:$V$207)),D_钻石十连抽!$V$3:$V$207,1),1))</f>
        <v>马仔碎片(宫本一)</v>
      </c>
    </row>
    <row r="4" spans="1:16">
      <c r="A4">
        <v>3</v>
      </c>
      <c r="B4" t="str">
        <f ca="1">INDEX(D_金币商场!D4:D93,IFERROR(MATCH(RANDBETWEEN(1,MAX(D_金币商场!N4:N93)),D_金币商场!N4:N93,1),1))</f>
        <v>金币卡(5万)</v>
      </c>
      <c r="D4" t="str">
        <f ca="1">INDEX(D_VIP商城!D4:D101,IFERROR(MATCH(RANDBETWEEN(1,MAX(D_VIP商城!O4:O101)),D_VIP商城!O4:O101,1),1))</f>
        <v>月立碎片</v>
      </c>
      <c r="F4" t="str">
        <f ca="1">INDEX(D_神秘商店!D4:D94,IFERROR(MATCH(RANDBETWEEN(1,MAX(D_神秘商店!R4:R94)),D_神秘商店!R4:R94,1),1))</f>
        <v>技能冷却石</v>
      </c>
      <c r="H4" t="str">
        <f ca="1">INDEX([4]D_竞技场商城!$D$2:$D$100,IFERROR(MATCH(RANDBETWEEN(1,MAX([4]D_竞技场商城!$H$2:$H$100)),[4]D_竞技场商城!$H$2:$H$100,1),2))</f>
        <v>猫妖项链碎片</v>
      </c>
      <c r="J4" t="str">
        <f ca="1">INDEX([5]D_公会商店!$D$2:$D$100,IFERROR(MATCH(RANDBETWEEN(1,MAX([5]D_公会商店!$H$2:$H$100)),[5]D_公会商店!$H$2:$H$100,1),3))</f>
        <v>越野手表碎片</v>
      </c>
      <c r="L4" t="str">
        <f ca="1">INDEX(D_金币十连抽!$D$2:$D$103,IFERROR(MATCH(RANDBETWEEN(1,MAX(D_金币十连抽!$K$2:$K$103)),D_金币十连抽!$K$2:$K$103,1),1))</f>
        <v>白银戒指碎片</v>
      </c>
      <c r="N4" t="str">
        <f ca="1">INDEX(D_钻石十连抽!D4:D207,IFERROR(MATCH(RANDBETWEEN(1,MAX(D_钻石十连抽!AA4:AA207)),D_钻石十连抽!AA4:AA207,1),13))</f>
        <v>水晶耳钉碎片</v>
      </c>
      <c r="P4" t="str">
        <f ca="1">INDEX(D_钻石十连抽!$D$3:$D$207,IFERROR(MATCH(RANDBETWEEN(1,MAX(D_钻石十连抽!$V$3:$V$207)),D_钻石十连抽!$V$3:$V$207,1),1))</f>
        <v>青玉项链碎片</v>
      </c>
    </row>
    <row r="5" spans="1:16">
      <c r="A5">
        <v>4</v>
      </c>
      <c r="B5" t="str">
        <f ca="1">INDEX(D_金币商场!D5:D94,IFERROR(MATCH(RANDBETWEEN(1,MAX(D_金币商场!N5:N94)),D_金币商场!N5:N94,1),1))</f>
        <v>金币卡(5万)</v>
      </c>
      <c r="D5" t="str">
        <f ca="1">INDEX(D_VIP商城!D5:D102,IFERROR(MATCH(RANDBETWEEN(1,MAX(D_VIP商城!O5:O102)),D_VIP商城!O5:O102,1),1))</f>
        <v>小堆金块碎片</v>
      </c>
      <c r="F5" t="str">
        <f ca="1">INDEX(D_神秘商店!D5:D95,IFERROR(MATCH(RANDBETWEEN(1,MAX(D_神秘商店!R5:R95)),D_神秘商店!R5:R95,1),1))</f>
        <v>部位材料(鞋子)</v>
      </c>
      <c r="H5" t="str">
        <f ca="1">INDEX([4]D_竞技场商城!$D$2:$D$100,IFERROR(MATCH(RANDBETWEEN(1,MAX([4]D_竞技场商城!$H$2:$H$100)),[4]D_竞技场商城!$H$2:$H$100,1),2))</f>
        <v>幸运戒指</v>
      </c>
      <c r="J5" t="str">
        <f ca="1">INDEX([5]D_公会商店!$D$2:$D$100,IFERROR(MATCH(RANDBETWEEN(1,MAX([5]D_公会商店!$H$2:$H$100)),[5]D_公会商店!$H$2:$H$100,1),3))</f>
        <v>银饰耳钉碎片</v>
      </c>
      <c r="L5" t="str">
        <f ca="1">INDEX(D_金币十连抽!$D$2:$D$103,IFERROR(MATCH(RANDBETWEEN(1,MAX(D_金币十连抽!$K$2:$K$103)),D_金币十连抽!$K$2:$K$103,1),1))</f>
        <v>马仔碎片(雷复轰)</v>
      </c>
      <c r="N5" t="str">
        <f ca="1">INDEX(D_钻石十连抽!D5:D207,IFERROR(MATCH(RANDBETWEEN(1,MAX(D_钻石十连抽!AA5:AA207)),D_钻石十连抽!AA5:AA207,1),13))</f>
        <v>命运石(1万)</v>
      </c>
      <c r="P5" t="str">
        <f ca="1">INDEX(D_钻石十连抽!$D$3:$D$207,IFERROR(MATCH(RANDBETWEEN(1,MAX(D_钻石十连抽!$V$3:$V$207)),D_钻石十连抽!$V$3:$V$207,1),1))</f>
        <v>精准手表碎片</v>
      </c>
    </row>
    <row r="6" spans="1:16">
      <c r="A6">
        <v>5</v>
      </c>
      <c r="B6" t="str">
        <f ca="1">INDEX(D_金币商场!D6:D95,IFERROR(MATCH(RANDBETWEEN(1,MAX(D_金币商场!N6:N95)),D_金币商场!N6:N95,1),1))</f>
        <v>初级升星石</v>
      </c>
      <c r="D6" t="str">
        <f ca="1">INDEX(D_VIP商城!D5:D103,IFERROR(MATCH(RANDBETWEEN(1,MAX(D_VIP商城!O5:O103)),D_VIP商城!O5:O103,1),1))</f>
        <v>大金块碎片</v>
      </c>
      <c r="F6" t="str">
        <f ca="1">INDEX(D_神秘商店!D6:D96,IFERROR(MATCH(RANDBETWEEN(1,MAX(D_神秘商店!R6:R96)),D_神秘商店!R6:R96,1),1))</f>
        <v>红石项链</v>
      </c>
      <c r="H6" t="str">
        <f ca="1">INDEX([4]D_竞技场商城!$D$2:$D$100,IFERROR(MATCH(RANDBETWEEN(1,MAX([4]D_竞技场商城!$H$2:$H$100)),[4]D_竞技场商城!$H$2:$H$100,1),2))</f>
        <v>初级升星石</v>
      </c>
      <c r="J6" t="str">
        <f ca="1">INDEX([5]D_公会商店!$D$2:$D$100,IFERROR(MATCH(RANDBETWEEN(1,MAX([5]D_公会商店!$H$2:$H$100)),[5]D_公会商店!$H$2:$H$100,1),3))</f>
        <v>精准手表碎片</v>
      </c>
      <c r="L6" t="str">
        <f ca="1">INDEX(D_金币十连抽!$D$2:$D$103,IFERROR(MATCH(RANDBETWEEN(1,MAX(D_金币十连抽!$K$2:$K$103)),D_金币十连抽!$K$2:$K$103,1),1))</f>
        <v>大金块碎片</v>
      </c>
      <c r="N6" t="str">
        <f ca="1">INDEX(D_钻石十连抽!D5:D207,IFERROR(MATCH(RANDBETWEEN(1,MAX(D_钻石十连抽!AA5:AA207)),D_钻石十连抽!AA5:AA207,1),13))</f>
        <v>马仔碎片(笑面虎)</v>
      </c>
      <c r="P6" t="str">
        <f ca="1">INDEX(D_钻石十连抽!$D$3:$D$207,IFERROR(MATCH(RANDBETWEEN(1,MAX(D_钻石十连抽!$V$3:$V$207)),D_钻石十连抽!$V$3:$V$207,1),1))</f>
        <v>精准手表碎片</v>
      </c>
    </row>
    <row r="7" spans="1:16">
      <c r="A7">
        <v>6</v>
      </c>
      <c r="B7" t="str">
        <f ca="1">INDEX(D_金币商场!D6:D96,IFERROR(MATCH(RANDBETWEEN(1,MAX(D_金币商场!N6:N96)),D_金币商场!N6:N96,1),1))</f>
        <v>宝石手环碎片</v>
      </c>
      <c r="D7" t="str">
        <f ca="1">INDEX(D_VIP商城!D6:D104,IFERROR(MATCH(RANDBETWEEN(1,MAX(D_VIP商城!O6:O104)),D_VIP商城!O6:O104,1),1))</f>
        <v>红石耳钉碎片</v>
      </c>
      <c r="F7" t="str">
        <f ca="1">INDEX(D_神秘商店!D7:D97,IFERROR(MATCH(RANDBETWEEN(1,MAX(D_神秘商店!R7:R97)),D_神秘商店!R7:R97,1),1))</f>
        <v>马仔碎片(笑面虎)</v>
      </c>
      <c r="H7" t="str">
        <f ca="1">INDEX([4]D_竞技场商城!$D$2:$D$100,IFERROR(MATCH(RANDBETWEEN(1,MAX([4]D_竞技场商城!$H$2:$H$100)),[4]D_竞技场商城!$H$2:$H$100,1),2))</f>
        <v>水晶项链碎片</v>
      </c>
      <c r="J7" t="str">
        <f ca="1">INDEX([5]D_公会商店!$D$2:$D$100,IFERROR(MATCH(RANDBETWEEN(1,MAX([5]D_公会商店!$H$2:$H$100)),[5]D_公会商店!$H$2:$H$100,1),3))</f>
        <v>金饰项链</v>
      </c>
      <c r="L7" t="str">
        <f ca="1">INDEX(D_金币十连抽!$D$2:$D$103,IFERROR(MATCH(RANDBETWEEN(1,MAX(D_金币十连抽!$K$2:$K$103)),D_金币十连抽!$K$2:$K$103,1),1))</f>
        <v>马仔碎片(雷复轰)</v>
      </c>
      <c r="N7" t="str">
        <f ca="1">INDEX(D_钻石十连抽!D5:D207,IFERROR(MATCH(RANDBETWEEN(1,MAX(D_钻石十连抽!AA5:AA207)),D_钻石十连抽!AA5:AA207,1),13))</f>
        <v>摩拉碎片</v>
      </c>
      <c r="P7" t="str">
        <f ca="1">INDEX(D_钻石十连抽!$D$3:$D$207,IFERROR(MATCH(RANDBETWEEN(1,MAX(D_钻石十连抽!$V$3:$V$207)),D_钻石十连抽!$V$3:$V$207,1),1))</f>
        <v>大金块碎片</v>
      </c>
    </row>
    <row r="8" spans="1:16">
      <c r="A8">
        <v>7</v>
      </c>
      <c r="L8" t="str">
        <f ca="1">INDEX(D_金币十连抽!$D$2:$D$103,IFERROR(MATCH(RANDBETWEEN(1,MAX(D_金币十连抽!$K$2:$K$103)),D_金币十连抽!$K$2:$K$103,1),1))</f>
        <v>命运石(1万)</v>
      </c>
      <c r="N8" t="str">
        <f ca="1">INDEX(D_钻石十连抽!D6:D207,IFERROR(MATCH(RANDBETWEEN(1,MAX(D_钻石十连抽!AA6:AA207)),D_钻石十连抽!AA6:AA207,1),13))</f>
        <v>马仔碎片(靓坤)</v>
      </c>
      <c r="P8" t="str">
        <f ca="1">INDEX(D_钻石十连抽!$D$3:$D$207,IFERROR(MATCH(RANDBETWEEN(1,MAX(D_钻石十连抽!$V$3:$V$207)),D_钻石十连抽!$V$3:$V$207,1),1))</f>
        <v>马仔经验甘露</v>
      </c>
    </row>
    <row r="9" spans="1:16">
      <c r="A9">
        <v>8</v>
      </c>
      <c r="L9" t="str">
        <f ca="1">INDEX(D_金币十连抽!$D$2:$D$103,IFERROR(MATCH(RANDBETWEEN(1,MAX(D_金币十连抽!$K$2:$K$103)),D_金币十连抽!$K$2:$K$103,1),1))</f>
        <v>智能手表碎片</v>
      </c>
      <c r="N9" t="str">
        <f ca="1">INDEX(D_钻石十连抽!D7:D207,IFERROR(MATCH(RANDBETWEEN(1,MAX(D_钻石十连抽!AA7:AA207)),D_钻石十连抽!AA7:AA207,1),13))</f>
        <v>越野手表</v>
      </c>
      <c r="P9" t="str">
        <f ca="1">INDEX(D_钻石十连抽!$D$3:$D$207,IFERROR(MATCH(RANDBETWEEN(1,MAX(D_钻石十连抽!$V$3:$V$207)),D_钻石十连抽!$V$3:$V$207,1),1))</f>
        <v>马仔碎片(雷复轰)</v>
      </c>
    </row>
    <row r="10" spans="1:16">
      <c r="A10">
        <v>9</v>
      </c>
      <c r="L10" t="str">
        <f ca="1">INDEX(D_金币十连抽!$D$2:$D$103,IFERROR(MATCH(RANDBETWEEN(1,MAX(D_金币十连抽!$K$2:$K$103)),D_金币十连抽!$K$2:$K$103,1),1))</f>
        <v>精准手表碎片</v>
      </c>
      <c r="N10" t="str">
        <f ca="1">INDEX(D_钻石十连抽!D8:D207,IFERROR(MATCH(RANDBETWEEN(1,MAX(D_钻石十连抽!AA8:AA207)),D_钻石十连抽!AA8:AA207,1),13))</f>
        <v>命运石(1万)</v>
      </c>
      <c r="P10" t="str">
        <f ca="1">INDEX(D_钻石十连抽!$D$3:$D$207,IFERROR(MATCH(RANDBETWEEN(1,MAX(D_钻石十连抽!$V$3:$V$207)),D_钻石十连抽!$V$3:$V$207,1),1))</f>
        <v>黄金戒指碎片</v>
      </c>
    </row>
    <row r="11" spans="1:16">
      <c r="A11">
        <v>10</v>
      </c>
      <c r="L11" s="35" t="str">
        <f ca="1">INDEX(D_十连抽!E2:E30,IFERROR(MATCH(RANDBETWEEN(1,MAX(D_十连抽!Q2:Q30)),D_十连抽!Q2:Q30,1),1))</f>
        <v>大金块碎片</v>
      </c>
      <c r="N11" s="35" t="str">
        <f ca="1">INDEX(D_十连抽!$E$31:$E$44,IFERROR(MATCH(RANDBETWEEN(1,MAX(D_十连抽!$Q$31:$Q$44)),D_十连抽!$Q$31:$Q$44,1),1))</f>
        <v>靓坤</v>
      </c>
      <c r="P11" s="35" t="str">
        <f ca="1">INDEX(D_钻石十连抽!D3:D8,IFERROR(MATCH(RANDBETWEEN(1,MAX(D_钻石十连抽!V3:V8)),D_钻石十连抽!V3:V8,1),1))</f>
        <v>制服太妹</v>
      </c>
    </row>
    <row r="15" spans="1:16">
      <c r="H15" s="27" t="s">
        <v>144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45"/>
  <sheetViews>
    <sheetView workbookViewId="0">
      <selection activeCell="F4" sqref="F4"/>
    </sheetView>
  </sheetViews>
  <sheetFormatPr defaultRowHeight="13.5"/>
  <cols>
    <col min="4" max="4" width="14.75" customWidth="1"/>
    <col min="8" max="8" width="9.375" customWidth="1"/>
    <col min="10" max="10" width="21.375" bestFit="1" customWidth="1"/>
    <col min="11" max="11" width="12.75" bestFit="1" customWidth="1"/>
    <col min="12" max="12" width="10.375" customWidth="1"/>
  </cols>
  <sheetData>
    <row r="1" spans="1:16">
      <c r="A1" s="4" t="s">
        <v>14</v>
      </c>
      <c r="B1" s="4" t="s">
        <v>22</v>
      </c>
      <c r="C1" s="4" t="s">
        <v>23</v>
      </c>
      <c r="D1" s="4" t="s">
        <v>24</v>
      </c>
      <c r="F1" s="27" t="s">
        <v>140</v>
      </c>
      <c r="G1" s="27" t="s">
        <v>141</v>
      </c>
      <c r="H1" s="27" t="s">
        <v>142</v>
      </c>
      <c r="I1" s="27" t="s">
        <v>143</v>
      </c>
      <c r="J1" t="s">
        <v>65</v>
      </c>
      <c r="P1" t="s">
        <v>96</v>
      </c>
    </row>
    <row r="2" spans="1:16">
      <c r="A2" s="4">
        <v>1</v>
      </c>
      <c r="B2" s="4">
        <v>1</v>
      </c>
      <c r="C2" s="4">
        <v>1</v>
      </c>
      <c r="D2" s="4" t="s">
        <v>56</v>
      </c>
      <c r="H2">
        <f>SUMPRODUCT(D_金币十连抽!L:L,D_金币十连抽!O:O)+P2</f>
        <v>30.237822349570216</v>
      </c>
      <c r="J2" s="4" t="s">
        <v>62</v>
      </c>
      <c r="K2" s="4"/>
      <c r="L2" t="s">
        <v>64</v>
      </c>
      <c r="N2">
        <v>91100</v>
      </c>
      <c r="O2" t="s">
        <v>97</v>
      </c>
      <c r="P2">
        <f>VLOOKUP(N2,[2]价格评估并表!$A:$G,7,0)</f>
        <v>2</v>
      </c>
    </row>
    <row r="3" spans="1:16">
      <c r="A3" s="4">
        <v>2</v>
      </c>
      <c r="B3" s="4">
        <v>1</v>
      </c>
      <c r="C3" s="4">
        <v>10</v>
      </c>
      <c r="D3" s="4" t="s">
        <v>57</v>
      </c>
      <c r="H3">
        <f>SUMPRODUCT(D_十连抽!R2:R30,D_十连抽!V2:V30)+H2*9+P2</f>
        <v>311.60217484643772</v>
      </c>
      <c r="J3" s="4" t="s">
        <v>63</v>
      </c>
      <c r="K3" s="4">
        <f>SUMPRODUCT(D_钻石十连抽!X127:X162,D_钻石十连抽!E127:E162)*9</f>
        <v>4.1642829532276764</v>
      </c>
      <c r="L3" t="s">
        <v>90</v>
      </c>
      <c r="N3">
        <v>91200</v>
      </c>
      <c r="O3" t="s">
        <v>98</v>
      </c>
      <c r="P3">
        <f>VLOOKUP(N3,[2]价格评估并表!$A:$G,7,0)</f>
        <v>6</v>
      </c>
    </row>
    <row r="4" spans="1:16">
      <c r="A4" s="4">
        <v>10</v>
      </c>
      <c r="B4" s="4">
        <v>2</v>
      </c>
      <c r="C4" s="4">
        <v>288</v>
      </c>
      <c r="D4" s="4" t="s">
        <v>25</v>
      </c>
      <c r="F4">
        <f>SUMPRODUCT(D_钻石十连抽!O:O,D_钻石十连抽!S:S)+P2</f>
        <v>61.245767735985773</v>
      </c>
      <c r="G4">
        <f>SUMPRODUCT(D_钻石十连抽!O3:O8,D_钻石十连抽!S3:S8)/SUM(D_钻石十连抽!S3:S8)</f>
        <v>348.82005899705013</v>
      </c>
      <c r="H4">
        <f>G4+F4*9+P2</f>
        <v>902.03196862092204</v>
      </c>
      <c r="I4">
        <f>H4/10</f>
        <v>90.203196862092199</v>
      </c>
    </row>
    <row r="5" spans="1:16">
      <c r="A5" s="4">
        <v>11</v>
      </c>
      <c r="B5" s="4">
        <v>2</v>
      </c>
      <c r="C5" s="4">
        <f>C4*9</f>
        <v>2592</v>
      </c>
      <c r="D5" s="4" t="s">
        <v>26</v>
      </c>
      <c r="F5">
        <f>SUMPRODUCT(D_钻石十连抽!O:O,D_钻石十连抽!X:X)+P3</f>
        <v>72.788429326117765</v>
      </c>
      <c r="G5">
        <f>SUMPRODUCT(D_十连抽!V31:V44,D_十连抽!R31:R44)</f>
        <v>727.31804586241287</v>
      </c>
      <c r="H5">
        <f>G5+F5*9+P3</f>
        <v>1388.4139097974728</v>
      </c>
      <c r="I5">
        <f>H5/9</f>
        <v>154.26821219971919</v>
      </c>
      <c r="J5" s="26" t="s">
        <v>104</v>
      </c>
      <c r="K5" s="26">
        <f>ROUND(H2,0)</f>
        <v>30</v>
      </c>
    </row>
    <row r="21" spans="5:5" ht="14.25">
      <c r="E21" s="38"/>
    </row>
    <row r="22" spans="5:5">
      <c r="E22" s="39"/>
    </row>
    <row r="23" spans="5:5">
      <c r="E23" s="39"/>
    </row>
    <row r="24" spans="5:5" ht="14.25">
      <c r="E24" s="38"/>
    </row>
    <row r="25" spans="5:5">
      <c r="E25" s="39"/>
    </row>
    <row r="26" spans="5:5" ht="14.25">
      <c r="E26" s="38"/>
    </row>
    <row r="27" spans="5:5" ht="14.25">
      <c r="E27" s="38"/>
    </row>
    <row r="28" spans="5:5">
      <c r="E28" s="39"/>
    </row>
    <row r="29" spans="5:5">
      <c r="E29" s="39"/>
    </row>
    <row r="30" spans="5:5" ht="14.25">
      <c r="E30" s="38"/>
    </row>
    <row r="31" spans="5:5">
      <c r="E31" s="39"/>
    </row>
    <row r="32" spans="5:5">
      <c r="E32" s="39"/>
    </row>
    <row r="33" spans="5:5" ht="14.25">
      <c r="E33" s="38"/>
    </row>
    <row r="34" spans="5:5" ht="14.25">
      <c r="E34" s="38"/>
    </row>
    <row r="35" spans="5:5" ht="14.25">
      <c r="E35" s="38"/>
    </row>
    <row r="36" spans="5:5" ht="14.25">
      <c r="E36" s="38"/>
    </row>
    <row r="37" spans="5:5" ht="14.25">
      <c r="E37" s="38"/>
    </row>
    <row r="38" spans="5:5" ht="14.25">
      <c r="E38" s="38"/>
    </row>
    <row r="39" spans="5:5" ht="14.25">
      <c r="E39" s="38"/>
    </row>
    <row r="40" spans="5:5" ht="14.25">
      <c r="E40" s="38"/>
    </row>
    <row r="41" spans="5:5" ht="14.25">
      <c r="E41" s="38"/>
    </row>
    <row r="42" spans="5:5" ht="14.25">
      <c r="E42" s="38"/>
    </row>
    <row r="43" spans="5:5" ht="14.25">
      <c r="E43" s="38"/>
    </row>
    <row r="44" spans="5:5" ht="14.25">
      <c r="E44" s="38"/>
    </row>
    <row r="45" spans="5:5" ht="14.25">
      <c r="E45" s="3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"/>
  <sheetViews>
    <sheetView workbookViewId="0">
      <selection activeCell="F8" sqref="F8"/>
    </sheetView>
  </sheetViews>
  <sheetFormatPr defaultRowHeight="13.5"/>
  <cols>
    <col min="3" max="3" width="11" bestFit="1" customWidth="1"/>
    <col min="4" max="4" width="13" bestFit="1" customWidth="1"/>
    <col min="6" max="6" width="11.375" customWidth="1"/>
  </cols>
  <sheetData>
    <row r="1" spans="1:12">
      <c r="A1" t="s">
        <v>29</v>
      </c>
      <c r="B1" t="s">
        <v>30</v>
      </c>
      <c r="C1" t="s">
        <v>60</v>
      </c>
      <c r="D1" t="s">
        <v>61</v>
      </c>
      <c r="F1" t="s">
        <v>79</v>
      </c>
      <c r="G1" s="27" t="s">
        <v>89</v>
      </c>
    </row>
    <row r="2" spans="1:12">
      <c r="A2">
        <v>1</v>
      </c>
      <c r="B2">
        <v>50</v>
      </c>
      <c r="C2">
        <v>50</v>
      </c>
      <c r="D2">
        <v>50</v>
      </c>
      <c r="F2" s="28" t="s">
        <v>87</v>
      </c>
      <c r="G2" s="28" t="s">
        <v>81</v>
      </c>
      <c r="H2" s="28" t="s">
        <v>80</v>
      </c>
      <c r="I2" s="28" t="s">
        <v>82</v>
      </c>
      <c r="J2" s="28" t="s">
        <v>83</v>
      </c>
      <c r="K2" s="28" t="s">
        <v>84</v>
      </c>
      <c r="L2" s="43" t="s">
        <v>130</v>
      </c>
    </row>
    <row r="3" spans="1:12">
      <c r="A3">
        <v>2</v>
      </c>
      <c r="B3">
        <v>100</v>
      </c>
      <c r="C3">
        <v>100</v>
      </c>
      <c r="D3">
        <v>100</v>
      </c>
      <c r="F3" s="28" t="s">
        <v>88</v>
      </c>
      <c r="G3" s="4">
        <f>SUMPRODUCT(D_神秘商店!S:S,D_神秘商店!H:H)</f>
        <v>21.223091976516624</v>
      </c>
      <c r="H3" s="4">
        <f>SUMPRODUCT(D_金币商场!P:P,D_金币商场!O:O)</f>
        <v>50.780770542107049</v>
      </c>
      <c r="I3" s="4">
        <f>SUMPRODUCT(D_钻石商场!O:O,D_钻石商场!H:H)</f>
        <v>64.609413707679664</v>
      </c>
      <c r="J3" s="4">
        <f>SUMPRODUCT(D_VIP商城!P:P,D_VIP商城!H:H)</f>
        <v>0</v>
      </c>
      <c r="K3" s="4">
        <f>SUMPRODUCT(D_红包积分商城!Q:Q,D_红包积分商城!G:G)</f>
        <v>0</v>
      </c>
      <c r="L3">
        <v>600</v>
      </c>
    </row>
    <row r="4" spans="1:12">
      <c r="A4">
        <v>3</v>
      </c>
      <c r="B4">
        <v>200</v>
      </c>
      <c r="C4">
        <v>200</v>
      </c>
      <c r="D4">
        <v>200</v>
      </c>
      <c r="F4" s="28" t="s">
        <v>86</v>
      </c>
      <c r="G4" s="4">
        <f>G3*12</f>
        <v>254.67710371819948</v>
      </c>
      <c r="H4" s="4">
        <f>H3*6</f>
        <v>304.68462325264227</v>
      </c>
      <c r="I4" s="4">
        <f t="shared" ref="I4:K4" si="0">I3*6</f>
        <v>387.65648224607799</v>
      </c>
      <c r="J4" s="4">
        <f t="shared" si="0"/>
        <v>0</v>
      </c>
      <c r="K4" s="4">
        <f t="shared" si="0"/>
        <v>0</v>
      </c>
      <c r="L4">
        <v>600</v>
      </c>
    </row>
    <row r="5" spans="1:12">
      <c r="G5" s="27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01"/>
  <sheetViews>
    <sheetView workbookViewId="0">
      <selection activeCell="E13" sqref="E13"/>
    </sheetView>
  </sheetViews>
  <sheetFormatPr defaultRowHeight="13.5"/>
  <sheetData>
    <row r="1" spans="1:4">
      <c r="A1" s="4" t="s">
        <v>27</v>
      </c>
      <c r="B1" s="4" t="s">
        <v>35</v>
      </c>
      <c r="D1" t="s">
        <v>47</v>
      </c>
    </row>
    <row r="2" spans="1:4">
      <c r="A2" s="4">
        <v>1</v>
      </c>
      <c r="B2" s="4">
        <f>93.49*A2+7292</f>
        <v>7385.49</v>
      </c>
      <c r="D2">
        <f>[2]金币投放!$F$6</f>
        <v>12718.926262365594</v>
      </c>
    </row>
    <row r="3" spans="1:4">
      <c r="A3" s="4">
        <v>2</v>
      </c>
      <c r="B3" s="4">
        <f t="shared" ref="B3:B65" si="0">93.49*A3+7292</f>
        <v>7478.98</v>
      </c>
    </row>
    <row r="4" spans="1:4">
      <c r="A4" s="4">
        <v>3</v>
      </c>
      <c r="B4" s="4">
        <f t="shared" si="0"/>
        <v>7572.47</v>
      </c>
    </row>
    <row r="5" spans="1:4">
      <c r="A5" s="4">
        <v>4</v>
      </c>
      <c r="B5" s="4">
        <f t="shared" si="0"/>
        <v>7665.96</v>
      </c>
    </row>
    <row r="6" spans="1:4">
      <c r="A6" s="4">
        <v>5</v>
      </c>
      <c r="B6" s="4">
        <f t="shared" si="0"/>
        <v>7759.45</v>
      </c>
    </row>
    <row r="7" spans="1:4">
      <c r="A7" s="4">
        <v>6</v>
      </c>
      <c r="B7" s="4">
        <f t="shared" si="0"/>
        <v>7852.94</v>
      </c>
    </row>
    <row r="8" spans="1:4">
      <c r="A8" s="4">
        <v>7</v>
      </c>
      <c r="B8" s="4">
        <f t="shared" si="0"/>
        <v>7946.43</v>
      </c>
    </row>
    <row r="9" spans="1:4">
      <c r="A9" s="4">
        <v>8</v>
      </c>
      <c r="B9" s="4">
        <f t="shared" si="0"/>
        <v>8039.92</v>
      </c>
    </row>
    <row r="10" spans="1:4">
      <c r="A10" s="4">
        <v>9</v>
      </c>
      <c r="B10" s="4">
        <f t="shared" si="0"/>
        <v>8133.41</v>
      </c>
    </row>
    <row r="11" spans="1:4">
      <c r="A11" s="4">
        <v>10</v>
      </c>
      <c r="B11" s="4">
        <f t="shared" si="0"/>
        <v>8226.9</v>
      </c>
    </row>
    <row r="12" spans="1:4">
      <c r="A12" s="4">
        <v>11</v>
      </c>
      <c r="B12" s="4">
        <f t="shared" si="0"/>
        <v>8320.39</v>
      </c>
    </row>
    <row r="13" spans="1:4">
      <c r="A13" s="4">
        <v>12</v>
      </c>
      <c r="B13" s="4">
        <f t="shared" si="0"/>
        <v>8413.8799999999992</v>
      </c>
    </row>
    <row r="14" spans="1:4">
      <c r="A14" s="4">
        <v>13</v>
      </c>
      <c r="B14" s="4">
        <f t="shared" si="0"/>
        <v>8507.369999999999</v>
      </c>
    </row>
    <row r="15" spans="1:4">
      <c r="A15" s="4">
        <v>14</v>
      </c>
      <c r="B15" s="4">
        <f t="shared" si="0"/>
        <v>8600.86</v>
      </c>
    </row>
    <row r="16" spans="1:4">
      <c r="A16" s="4">
        <v>15</v>
      </c>
      <c r="B16" s="4">
        <f t="shared" si="0"/>
        <v>8694.35</v>
      </c>
    </row>
    <row r="17" spans="1:2">
      <c r="A17" s="4">
        <v>16</v>
      </c>
      <c r="B17" s="4">
        <f t="shared" si="0"/>
        <v>8787.84</v>
      </c>
    </row>
    <row r="18" spans="1:2">
      <c r="A18" s="4">
        <v>17</v>
      </c>
      <c r="B18" s="4">
        <f t="shared" si="0"/>
        <v>8881.33</v>
      </c>
    </row>
    <row r="19" spans="1:2">
      <c r="A19" s="4">
        <v>18</v>
      </c>
      <c r="B19" s="4">
        <f t="shared" si="0"/>
        <v>8974.82</v>
      </c>
    </row>
    <row r="20" spans="1:2">
      <c r="A20" s="4">
        <v>19</v>
      </c>
      <c r="B20" s="4">
        <f t="shared" si="0"/>
        <v>9068.31</v>
      </c>
    </row>
    <row r="21" spans="1:2">
      <c r="A21" s="4">
        <v>20</v>
      </c>
      <c r="B21" s="4">
        <f t="shared" si="0"/>
        <v>9161.7999999999993</v>
      </c>
    </row>
    <row r="22" spans="1:2">
      <c r="A22" s="4">
        <v>21</v>
      </c>
      <c r="B22" s="4">
        <f t="shared" si="0"/>
        <v>9255.2900000000009</v>
      </c>
    </row>
    <row r="23" spans="1:2">
      <c r="A23" s="4">
        <v>22</v>
      </c>
      <c r="B23" s="4">
        <f t="shared" si="0"/>
        <v>9348.7799999999988</v>
      </c>
    </row>
    <row r="24" spans="1:2">
      <c r="A24" s="4">
        <v>23</v>
      </c>
      <c r="B24" s="4">
        <f t="shared" si="0"/>
        <v>9442.27</v>
      </c>
    </row>
    <row r="25" spans="1:2">
      <c r="A25" s="4">
        <v>24</v>
      </c>
      <c r="B25" s="4">
        <f t="shared" si="0"/>
        <v>9535.76</v>
      </c>
    </row>
    <row r="26" spans="1:2">
      <c r="A26" s="4">
        <v>25</v>
      </c>
      <c r="B26" s="4">
        <f t="shared" si="0"/>
        <v>9629.25</v>
      </c>
    </row>
    <row r="27" spans="1:2">
      <c r="A27" s="4">
        <v>26</v>
      </c>
      <c r="B27" s="4">
        <f t="shared" si="0"/>
        <v>9722.74</v>
      </c>
    </row>
    <row r="28" spans="1:2">
      <c r="A28" s="4">
        <v>27</v>
      </c>
      <c r="B28" s="4">
        <f t="shared" si="0"/>
        <v>9816.23</v>
      </c>
    </row>
    <row r="29" spans="1:2">
      <c r="A29" s="4">
        <v>28</v>
      </c>
      <c r="B29" s="4">
        <f t="shared" si="0"/>
        <v>9909.7199999999993</v>
      </c>
    </row>
    <row r="30" spans="1:2">
      <c r="A30" s="4">
        <v>29</v>
      </c>
      <c r="B30" s="4">
        <f t="shared" si="0"/>
        <v>10003.209999999999</v>
      </c>
    </row>
    <row r="31" spans="1:2">
      <c r="A31" s="4">
        <v>30</v>
      </c>
      <c r="B31" s="4">
        <f t="shared" si="0"/>
        <v>10096.700000000001</v>
      </c>
    </row>
    <row r="32" spans="1:2">
      <c r="A32" s="4">
        <v>31</v>
      </c>
      <c r="B32" s="4">
        <f t="shared" si="0"/>
        <v>10190.19</v>
      </c>
    </row>
    <row r="33" spans="1:2">
      <c r="A33" s="4">
        <v>32</v>
      </c>
      <c r="B33" s="4">
        <f t="shared" si="0"/>
        <v>10283.68</v>
      </c>
    </row>
    <row r="34" spans="1:2">
      <c r="A34" s="4">
        <v>33</v>
      </c>
      <c r="B34" s="4">
        <f t="shared" si="0"/>
        <v>10377.17</v>
      </c>
    </row>
    <row r="35" spans="1:2">
      <c r="A35" s="4">
        <v>34</v>
      </c>
      <c r="B35" s="4">
        <f t="shared" si="0"/>
        <v>10470.66</v>
      </c>
    </row>
    <row r="36" spans="1:2">
      <c r="A36" s="4">
        <v>35</v>
      </c>
      <c r="B36" s="4">
        <f t="shared" si="0"/>
        <v>10564.15</v>
      </c>
    </row>
    <row r="37" spans="1:2">
      <c r="A37" s="4">
        <v>36</v>
      </c>
      <c r="B37" s="4">
        <f t="shared" si="0"/>
        <v>10657.64</v>
      </c>
    </row>
    <row r="38" spans="1:2">
      <c r="A38" s="4">
        <v>37</v>
      </c>
      <c r="B38" s="4">
        <f t="shared" si="0"/>
        <v>10751.13</v>
      </c>
    </row>
    <row r="39" spans="1:2">
      <c r="A39" s="4">
        <v>38</v>
      </c>
      <c r="B39" s="4">
        <f t="shared" si="0"/>
        <v>10844.619999999999</v>
      </c>
    </row>
    <row r="40" spans="1:2">
      <c r="A40" s="4">
        <v>39</v>
      </c>
      <c r="B40" s="4">
        <f t="shared" si="0"/>
        <v>10938.11</v>
      </c>
    </row>
    <row r="41" spans="1:2">
      <c r="A41" s="4">
        <v>40</v>
      </c>
      <c r="B41" s="4">
        <f t="shared" si="0"/>
        <v>11031.6</v>
      </c>
    </row>
    <row r="42" spans="1:2">
      <c r="A42" s="4">
        <v>41</v>
      </c>
      <c r="B42" s="4">
        <f t="shared" si="0"/>
        <v>11125.09</v>
      </c>
    </row>
    <row r="43" spans="1:2">
      <c r="A43" s="4">
        <v>42</v>
      </c>
      <c r="B43" s="4">
        <f t="shared" si="0"/>
        <v>11218.58</v>
      </c>
    </row>
    <row r="44" spans="1:2">
      <c r="A44" s="4">
        <v>43</v>
      </c>
      <c r="B44" s="4">
        <f t="shared" si="0"/>
        <v>11312.07</v>
      </c>
    </row>
    <row r="45" spans="1:2">
      <c r="A45" s="4">
        <v>44</v>
      </c>
      <c r="B45" s="4">
        <f t="shared" si="0"/>
        <v>11405.56</v>
      </c>
    </row>
    <row r="46" spans="1:2">
      <c r="A46" s="4">
        <v>45</v>
      </c>
      <c r="B46" s="4">
        <f t="shared" si="0"/>
        <v>11499.05</v>
      </c>
    </row>
    <row r="47" spans="1:2">
      <c r="A47" s="4">
        <v>46</v>
      </c>
      <c r="B47" s="4">
        <f t="shared" si="0"/>
        <v>11592.54</v>
      </c>
    </row>
    <row r="48" spans="1:2">
      <c r="A48" s="4">
        <v>47</v>
      </c>
      <c r="B48" s="4">
        <f t="shared" si="0"/>
        <v>11686.029999999999</v>
      </c>
    </row>
    <row r="49" spans="1:2">
      <c r="A49" s="4">
        <v>48</v>
      </c>
      <c r="B49" s="4">
        <f t="shared" si="0"/>
        <v>11779.52</v>
      </c>
    </row>
    <row r="50" spans="1:2">
      <c r="A50" s="4">
        <v>49</v>
      </c>
      <c r="B50" s="4">
        <f t="shared" si="0"/>
        <v>11873.009999999998</v>
      </c>
    </row>
    <row r="51" spans="1:2">
      <c r="A51" s="4">
        <v>50</v>
      </c>
      <c r="B51" s="4">
        <f t="shared" si="0"/>
        <v>11966.5</v>
      </c>
    </row>
    <row r="52" spans="1:2">
      <c r="A52" s="4">
        <v>51</v>
      </c>
      <c r="B52" s="4">
        <f t="shared" si="0"/>
        <v>12059.99</v>
      </c>
    </row>
    <row r="53" spans="1:2">
      <c r="A53" s="4">
        <v>52</v>
      </c>
      <c r="B53" s="4">
        <f t="shared" si="0"/>
        <v>12153.48</v>
      </c>
    </row>
    <row r="54" spans="1:2">
      <c r="A54" s="4">
        <v>53</v>
      </c>
      <c r="B54" s="4">
        <f t="shared" si="0"/>
        <v>12246.97</v>
      </c>
    </row>
    <row r="55" spans="1:2">
      <c r="A55" s="4">
        <v>54</v>
      </c>
      <c r="B55" s="4">
        <f t="shared" si="0"/>
        <v>12340.46</v>
      </c>
    </row>
    <row r="56" spans="1:2">
      <c r="A56" s="4">
        <v>55</v>
      </c>
      <c r="B56" s="4">
        <f t="shared" si="0"/>
        <v>12433.95</v>
      </c>
    </row>
    <row r="57" spans="1:2">
      <c r="A57" s="4">
        <v>56</v>
      </c>
      <c r="B57" s="4">
        <f t="shared" si="0"/>
        <v>12527.439999999999</v>
      </c>
    </row>
    <row r="58" spans="1:2">
      <c r="A58" s="4">
        <v>57</v>
      </c>
      <c r="B58" s="4">
        <f t="shared" si="0"/>
        <v>12620.93</v>
      </c>
    </row>
    <row r="59" spans="1:2">
      <c r="A59" s="4">
        <v>58</v>
      </c>
      <c r="B59" s="4">
        <f t="shared" si="0"/>
        <v>12714.42</v>
      </c>
    </row>
    <row r="60" spans="1:2">
      <c r="A60" s="4">
        <v>59</v>
      </c>
      <c r="B60" s="4">
        <f t="shared" si="0"/>
        <v>12807.91</v>
      </c>
    </row>
    <row r="61" spans="1:2">
      <c r="A61" s="4">
        <v>60</v>
      </c>
      <c r="B61" s="4">
        <f t="shared" si="0"/>
        <v>12901.4</v>
      </c>
    </row>
    <row r="62" spans="1:2">
      <c r="A62" s="4">
        <v>61</v>
      </c>
      <c r="B62" s="4">
        <f t="shared" si="0"/>
        <v>12994.89</v>
      </c>
    </row>
    <row r="63" spans="1:2">
      <c r="A63" s="4">
        <v>62</v>
      </c>
      <c r="B63" s="4">
        <f t="shared" si="0"/>
        <v>13088.380000000001</v>
      </c>
    </row>
    <row r="64" spans="1:2">
      <c r="A64" s="4">
        <v>63</v>
      </c>
      <c r="B64" s="4">
        <f t="shared" si="0"/>
        <v>13181.869999999999</v>
      </c>
    </row>
    <row r="65" spans="1:2">
      <c r="A65" s="4">
        <v>64</v>
      </c>
      <c r="B65" s="4">
        <f t="shared" si="0"/>
        <v>13275.36</v>
      </c>
    </row>
    <row r="66" spans="1:2">
      <c r="A66" s="4">
        <v>65</v>
      </c>
      <c r="B66" s="4">
        <f>93.49*A66+7292</f>
        <v>13368.849999999999</v>
      </c>
    </row>
    <row r="67" spans="1:2">
      <c r="A67" s="4">
        <v>66</v>
      </c>
      <c r="B67" s="4">
        <f t="shared" ref="B67:B101" si="1">93.49*A67+7292</f>
        <v>13462.34</v>
      </c>
    </row>
    <row r="68" spans="1:2">
      <c r="A68" s="4">
        <v>67</v>
      </c>
      <c r="B68" s="4">
        <f t="shared" si="1"/>
        <v>13555.83</v>
      </c>
    </row>
    <row r="69" spans="1:2">
      <c r="A69" s="4">
        <v>68</v>
      </c>
      <c r="B69" s="4">
        <f t="shared" si="1"/>
        <v>13649.32</v>
      </c>
    </row>
    <row r="70" spans="1:2">
      <c r="A70" s="4">
        <v>69</v>
      </c>
      <c r="B70" s="4">
        <f t="shared" si="1"/>
        <v>13742.81</v>
      </c>
    </row>
    <row r="71" spans="1:2">
      <c r="A71" s="4">
        <v>70</v>
      </c>
      <c r="B71" s="4">
        <f t="shared" si="1"/>
        <v>13836.3</v>
      </c>
    </row>
    <row r="72" spans="1:2">
      <c r="A72" s="4">
        <v>71</v>
      </c>
      <c r="B72" s="4">
        <f t="shared" si="1"/>
        <v>13929.79</v>
      </c>
    </row>
    <row r="73" spans="1:2">
      <c r="A73" s="4">
        <v>72</v>
      </c>
      <c r="B73" s="4">
        <f t="shared" si="1"/>
        <v>14023.279999999999</v>
      </c>
    </row>
    <row r="74" spans="1:2">
      <c r="A74" s="4">
        <v>73</v>
      </c>
      <c r="B74" s="4">
        <f t="shared" si="1"/>
        <v>14116.77</v>
      </c>
    </row>
    <row r="75" spans="1:2">
      <c r="A75" s="4">
        <v>74</v>
      </c>
      <c r="B75" s="4">
        <f t="shared" si="1"/>
        <v>14210.259999999998</v>
      </c>
    </row>
    <row r="76" spans="1:2">
      <c r="A76" s="4">
        <v>75</v>
      </c>
      <c r="B76" s="4">
        <f t="shared" si="1"/>
        <v>14303.75</v>
      </c>
    </row>
    <row r="77" spans="1:2">
      <c r="A77" s="4">
        <v>76</v>
      </c>
      <c r="B77" s="4">
        <f t="shared" si="1"/>
        <v>14397.24</v>
      </c>
    </row>
    <row r="78" spans="1:2">
      <c r="A78" s="4">
        <v>77</v>
      </c>
      <c r="B78" s="4">
        <f t="shared" si="1"/>
        <v>14490.73</v>
      </c>
    </row>
    <row r="79" spans="1:2">
      <c r="A79" s="4">
        <v>78</v>
      </c>
      <c r="B79" s="4">
        <f t="shared" si="1"/>
        <v>14584.22</v>
      </c>
    </row>
    <row r="80" spans="1:2">
      <c r="A80" s="4">
        <v>79</v>
      </c>
      <c r="B80" s="4">
        <f t="shared" si="1"/>
        <v>14677.71</v>
      </c>
    </row>
    <row r="81" spans="1:2">
      <c r="A81" s="4">
        <v>80</v>
      </c>
      <c r="B81" s="4">
        <f t="shared" si="1"/>
        <v>14771.2</v>
      </c>
    </row>
    <row r="82" spans="1:2">
      <c r="A82" s="4">
        <v>81</v>
      </c>
      <c r="B82" s="4">
        <f t="shared" si="1"/>
        <v>14864.689999999999</v>
      </c>
    </row>
    <row r="83" spans="1:2">
      <c r="A83" s="4">
        <v>82</v>
      </c>
      <c r="B83" s="4">
        <f t="shared" si="1"/>
        <v>14958.18</v>
      </c>
    </row>
    <row r="84" spans="1:2">
      <c r="A84" s="4">
        <v>83</v>
      </c>
      <c r="B84" s="4">
        <f t="shared" si="1"/>
        <v>15051.669999999998</v>
      </c>
    </row>
    <row r="85" spans="1:2">
      <c r="A85" s="4">
        <v>84</v>
      </c>
      <c r="B85" s="4">
        <f t="shared" si="1"/>
        <v>15145.16</v>
      </c>
    </row>
    <row r="86" spans="1:2">
      <c r="A86" s="4">
        <v>85</v>
      </c>
      <c r="B86" s="4">
        <f t="shared" si="1"/>
        <v>15238.65</v>
      </c>
    </row>
    <row r="87" spans="1:2">
      <c r="A87" s="4">
        <v>86</v>
      </c>
      <c r="B87" s="4">
        <f t="shared" si="1"/>
        <v>15332.14</v>
      </c>
    </row>
    <row r="88" spans="1:2">
      <c r="A88" s="4">
        <v>87</v>
      </c>
      <c r="B88" s="4">
        <f t="shared" si="1"/>
        <v>15425.63</v>
      </c>
    </row>
    <row r="89" spans="1:2">
      <c r="A89" s="4">
        <v>88</v>
      </c>
      <c r="B89" s="4">
        <f t="shared" si="1"/>
        <v>15519.119999999999</v>
      </c>
    </row>
    <row r="90" spans="1:2">
      <c r="A90" s="4">
        <v>89</v>
      </c>
      <c r="B90" s="4">
        <f t="shared" si="1"/>
        <v>15612.609999999999</v>
      </c>
    </row>
    <row r="91" spans="1:2">
      <c r="A91" s="4">
        <v>90</v>
      </c>
      <c r="B91" s="4">
        <f t="shared" si="1"/>
        <v>15706.1</v>
      </c>
    </row>
    <row r="92" spans="1:2">
      <c r="A92" s="4">
        <v>91</v>
      </c>
      <c r="B92" s="4">
        <f t="shared" si="1"/>
        <v>15799.59</v>
      </c>
    </row>
    <row r="93" spans="1:2">
      <c r="A93" s="4">
        <v>92</v>
      </c>
      <c r="B93" s="4">
        <f t="shared" si="1"/>
        <v>15893.08</v>
      </c>
    </row>
    <row r="94" spans="1:2">
      <c r="A94" s="4">
        <v>93</v>
      </c>
      <c r="B94" s="4">
        <f t="shared" si="1"/>
        <v>15986.57</v>
      </c>
    </row>
    <row r="95" spans="1:2">
      <c r="A95" s="4">
        <v>94</v>
      </c>
      <c r="B95" s="4">
        <f t="shared" si="1"/>
        <v>16080.06</v>
      </c>
    </row>
    <row r="96" spans="1:2">
      <c r="A96" s="4">
        <v>95</v>
      </c>
      <c r="B96" s="4">
        <f t="shared" si="1"/>
        <v>16173.55</v>
      </c>
    </row>
    <row r="97" spans="1:2">
      <c r="A97" s="4">
        <v>96</v>
      </c>
      <c r="B97" s="4">
        <f t="shared" si="1"/>
        <v>16267.039999999999</v>
      </c>
    </row>
    <row r="98" spans="1:2">
      <c r="A98" s="4">
        <v>97</v>
      </c>
      <c r="B98" s="4">
        <f t="shared" si="1"/>
        <v>16360.529999999999</v>
      </c>
    </row>
    <row r="99" spans="1:2">
      <c r="A99" s="4">
        <v>98</v>
      </c>
      <c r="B99" s="4">
        <f t="shared" si="1"/>
        <v>16454.019999999997</v>
      </c>
    </row>
    <row r="100" spans="1:2">
      <c r="A100" s="4">
        <v>99</v>
      </c>
      <c r="B100" s="4">
        <f t="shared" si="1"/>
        <v>16547.510000000002</v>
      </c>
    </row>
    <row r="101" spans="1:2">
      <c r="A101" s="4">
        <v>100</v>
      </c>
      <c r="B101" s="4">
        <f t="shared" si="1"/>
        <v>16641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1"/>
  <sheetViews>
    <sheetView workbookViewId="0">
      <selection activeCell="M29" sqref="M29"/>
    </sheetView>
  </sheetViews>
  <sheetFormatPr defaultRowHeight="13.5"/>
  <cols>
    <col min="2" max="2" width="9.375" customWidth="1"/>
  </cols>
  <sheetData>
    <row r="1" spans="1:6">
      <c r="A1" s="4" t="s">
        <v>28</v>
      </c>
      <c r="B1" s="4" t="s">
        <v>17</v>
      </c>
      <c r="C1" s="4" t="s">
        <v>53</v>
      </c>
    </row>
    <row r="2" spans="1:6">
      <c r="A2" s="4">
        <v>1</v>
      </c>
      <c r="B2" s="21">
        <f>E2/SUM($E$2:$E$11)</f>
        <v>0.75924633635729244</v>
      </c>
      <c r="C2" s="4">
        <v>99999</v>
      </c>
      <c r="E2" s="4">
        <v>85</v>
      </c>
    </row>
    <row r="3" spans="1:6">
      <c r="A3" s="4">
        <v>2</v>
      </c>
      <c r="B3" s="21">
        <f t="shared" ref="B3:B11" si="0">E3/SUM($E$2:$E$11)</f>
        <v>0.15184926727145848</v>
      </c>
      <c r="C3" s="4">
        <v>5</v>
      </c>
      <c r="E3" s="4">
        <f>E2/C3</f>
        <v>17</v>
      </c>
    </row>
    <row r="4" spans="1:6">
      <c r="A4" s="4">
        <v>3</v>
      </c>
      <c r="B4" s="21">
        <f t="shared" si="0"/>
        <v>2.6796929518492673E-2</v>
      </c>
      <c r="C4" s="4">
        <v>2</v>
      </c>
      <c r="E4" s="4">
        <v>3</v>
      </c>
    </row>
    <row r="5" spans="1:6">
      <c r="A5" s="4">
        <v>4</v>
      </c>
      <c r="B5" s="21">
        <f t="shared" si="0"/>
        <v>1.3398464759246336E-2</v>
      </c>
      <c r="C5" s="4">
        <v>1</v>
      </c>
      <c r="E5" s="4">
        <f t="shared" ref="E5:E10" si="1">E4/2</f>
        <v>1.5</v>
      </c>
      <c r="F5" t="s">
        <v>66</v>
      </c>
    </row>
    <row r="6" spans="1:6">
      <c r="A6" s="4">
        <v>5</v>
      </c>
      <c r="B6" s="21">
        <f t="shared" si="0"/>
        <v>6.6992323796231682E-3</v>
      </c>
      <c r="C6" s="4">
        <v>1</v>
      </c>
      <c r="E6" s="4">
        <f t="shared" si="1"/>
        <v>0.75</v>
      </c>
    </row>
    <row r="7" spans="1:6">
      <c r="A7" s="4">
        <v>6</v>
      </c>
      <c r="B7" s="21">
        <f t="shared" si="0"/>
        <v>3.3496161898115841E-3</v>
      </c>
      <c r="C7" s="4">
        <v>1</v>
      </c>
      <c r="E7" s="4">
        <f t="shared" si="1"/>
        <v>0.375</v>
      </c>
    </row>
    <row r="8" spans="1:6">
      <c r="A8" s="4">
        <v>7</v>
      </c>
      <c r="B8" s="21">
        <f t="shared" si="0"/>
        <v>1.6748080949057921E-3</v>
      </c>
      <c r="C8" s="4">
        <v>1</v>
      </c>
      <c r="E8" s="4">
        <f t="shared" si="1"/>
        <v>0.1875</v>
      </c>
    </row>
    <row r="9" spans="1:6">
      <c r="A9" s="4">
        <v>8</v>
      </c>
      <c r="B9" s="21">
        <f t="shared" si="0"/>
        <v>8.3740404745289603E-4</v>
      </c>
      <c r="C9" s="4">
        <v>1</v>
      </c>
      <c r="E9" s="4">
        <f t="shared" si="1"/>
        <v>9.375E-2</v>
      </c>
    </row>
    <row r="10" spans="1:6">
      <c r="A10" s="4">
        <v>9</v>
      </c>
      <c r="B10" s="21">
        <f t="shared" si="0"/>
        <v>4.1870202372644802E-4</v>
      </c>
      <c r="C10" s="4">
        <v>1</v>
      </c>
      <c r="E10" s="4">
        <f t="shared" si="1"/>
        <v>4.6875E-2</v>
      </c>
    </row>
    <row r="11" spans="1:6">
      <c r="A11" s="4">
        <v>10</v>
      </c>
      <c r="B11" s="21">
        <f t="shared" si="0"/>
        <v>3.5729239357990231E-2</v>
      </c>
      <c r="C11" s="4">
        <v>1</v>
      </c>
      <c r="E11" s="4">
        <v>4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01"/>
  <sheetViews>
    <sheetView workbookViewId="0">
      <selection activeCell="G19" sqref="G19:G20"/>
    </sheetView>
  </sheetViews>
  <sheetFormatPr defaultRowHeight="13.5"/>
  <cols>
    <col min="2" max="2" width="9.5" bestFit="1" customWidth="1"/>
  </cols>
  <sheetData>
    <row r="1" spans="1:6">
      <c r="A1" s="4" t="s">
        <v>36</v>
      </c>
      <c r="B1" s="4" t="s">
        <v>37</v>
      </c>
      <c r="C1" s="4" t="s">
        <v>34</v>
      </c>
      <c r="E1" t="s">
        <v>46</v>
      </c>
    </row>
    <row r="2" spans="1:6">
      <c r="A2" s="4">
        <v>1</v>
      </c>
      <c r="B2" s="4">
        <f>1+(INT((A2-1)/10))*0.05</f>
        <v>1</v>
      </c>
      <c r="C2" s="4">
        <v>10</v>
      </c>
      <c r="E2">
        <f>[2]金币投放!$F$7</f>
        <v>25.437852524731188</v>
      </c>
      <c r="F2">
        <v>40</v>
      </c>
    </row>
    <row r="3" spans="1:6">
      <c r="A3" s="4">
        <v>2</v>
      </c>
      <c r="B3" s="4">
        <f t="shared" ref="B3" si="0">1+(INT((A3-1)/10))*0.05</f>
        <v>1</v>
      </c>
      <c r="C3" s="4">
        <v>10</v>
      </c>
    </row>
    <row r="4" spans="1:6">
      <c r="A4" s="4">
        <v>3</v>
      </c>
      <c r="B4" s="4">
        <v>1.05</v>
      </c>
      <c r="C4" s="4">
        <v>20</v>
      </c>
    </row>
    <row r="5" spans="1:6">
      <c r="A5" s="4">
        <v>4</v>
      </c>
      <c r="B5" s="4">
        <v>1.05</v>
      </c>
      <c r="C5" s="4">
        <v>20</v>
      </c>
    </row>
    <row r="6" spans="1:6">
      <c r="A6" s="4">
        <v>5</v>
      </c>
      <c r="B6" s="4">
        <v>1.05</v>
      </c>
      <c r="C6" s="4">
        <v>20</v>
      </c>
    </row>
    <row r="7" spans="1:6">
      <c r="A7" s="4">
        <v>6</v>
      </c>
      <c r="B7" s="4">
        <f t="shared" ref="B7:B21" si="1">1.05+(INT((A7-1)/5))*0.05</f>
        <v>1.1000000000000001</v>
      </c>
      <c r="C7" s="4">
        <v>40</v>
      </c>
    </row>
    <row r="8" spans="1:6">
      <c r="A8" s="4">
        <v>7</v>
      </c>
      <c r="B8" s="4">
        <f t="shared" si="1"/>
        <v>1.1000000000000001</v>
      </c>
      <c r="C8" s="4">
        <v>40</v>
      </c>
    </row>
    <row r="9" spans="1:6">
      <c r="A9" s="4">
        <v>8</v>
      </c>
      <c r="B9" s="4">
        <f t="shared" si="1"/>
        <v>1.1000000000000001</v>
      </c>
      <c r="C9" s="4">
        <v>40</v>
      </c>
    </row>
    <row r="10" spans="1:6">
      <c r="A10" s="4">
        <v>9</v>
      </c>
      <c r="B10" s="4">
        <f t="shared" si="1"/>
        <v>1.1000000000000001</v>
      </c>
      <c r="C10" s="4">
        <v>40</v>
      </c>
    </row>
    <row r="11" spans="1:6">
      <c r="A11" s="4">
        <v>10</v>
      </c>
      <c r="B11" s="4">
        <f t="shared" si="1"/>
        <v>1.1000000000000001</v>
      </c>
      <c r="C11" s="4">
        <v>40</v>
      </c>
    </row>
    <row r="12" spans="1:6">
      <c r="A12" s="4">
        <v>11</v>
      </c>
      <c r="B12" s="4">
        <f t="shared" si="1"/>
        <v>1.1500000000000001</v>
      </c>
      <c r="C12" s="4">
        <f t="shared" ref="C12:C31" si="2">(INT((A12-1)/5)+1)*$F$2/2</f>
        <v>60</v>
      </c>
    </row>
    <row r="13" spans="1:6">
      <c r="A13" s="4">
        <v>12</v>
      </c>
      <c r="B13" s="4">
        <f t="shared" si="1"/>
        <v>1.1500000000000001</v>
      </c>
      <c r="C13" s="4">
        <f t="shared" si="2"/>
        <v>60</v>
      </c>
    </row>
    <row r="14" spans="1:6">
      <c r="A14" s="4">
        <v>13</v>
      </c>
      <c r="B14" s="4">
        <f t="shared" si="1"/>
        <v>1.1500000000000001</v>
      </c>
      <c r="C14" s="4">
        <f t="shared" si="2"/>
        <v>60</v>
      </c>
    </row>
    <row r="15" spans="1:6">
      <c r="A15" s="4">
        <v>14</v>
      </c>
      <c r="B15" s="4">
        <f t="shared" si="1"/>
        <v>1.1500000000000001</v>
      </c>
      <c r="C15" s="4">
        <f t="shared" si="2"/>
        <v>60</v>
      </c>
    </row>
    <row r="16" spans="1:6">
      <c r="A16" s="4">
        <v>15</v>
      </c>
      <c r="B16" s="4">
        <f t="shared" si="1"/>
        <v>1.1500000000000001</v>
      </c>
      <c r="C16" s="4">
        <f t="shared" si="2"/>
        <v>60</v>
      </c>
    </row>
    <row r="17" spans="1:3">
      <c r="A17" s="4">
        <v>16</v>
      </c>
      <c r="B17" s="4">
        <f t="shared" si="1"/>
        <v>1.2000000000000002</v>
      </c>
      <c r="C17" s="4">
        <f t="shared" si="2"/>
        <v>80</v>
      </c>
    </row>
    <row r="18" spans="1:3">
      <c r="A18" s="4">
        <v>17</v>
      </c>
      <c r="B18" s="4">
        <f t="shared" si="1"/>
        <v>1.2000000000000002</v>
      </c>
      <c r="C18" s="4">
        <f t="shared" si="2"/>
        <v>80</v>
      </c>
    </row>
    <row r="19" spans="1:3">
      <c r="A19" s="4">
        <v>18</v>
      </c>
      <c r="B19" s="4">
        <f t="shared" si="1"/>
        <v>1.2000000000000002</v>
      </c>
      <c r="C19" s="4">
        <f t="shared" si="2"/>
        <v>80</v>
      </c>
    </row>
    <row r="20" spans="1:3">
      <c r="A20" s="4">
        <v>19</v>
      </c>
      <c r="B20" s="4">
        <f t="shared" si="1"/>
        <v>1.2000000000000002</v>
      </c>
      <c r="C20" s="4">
        <f t="shared" si="2"/>
        <v>80</v>
      </c>
    </row>
    <row r="21" spans="1:3">
      <c r="A21" s="4">
        <v>20</v>
      </c>
      <c r="B21" s="4">
        <f t="shared" si="1"/>
        <v>1.2000000000000002</v>
      </c>
      <c r="C21" s="4">
        <f t="shared" si="2"/>
        <v>80</v>
      </c>
    </row>
    <row r="22" spans="1:3">
      <c r="A22" s="4">
        <v>21</v>
      </c>
      <c r="B22" s="4">
        <f>1.05+(INT((A22-1)/5))*0.05</f>
        <v>1.25</v>
      </c>
      <c r="C22" s="4">
        <f t="shared" si="2"/>
        <v>100</v>
      </c>
    </row>
    <row r="23" spans="1:3">
      <c r="A23" s="4">
        <v>22</v>
      </c>
      <c r="B23" s="4">
        <f t="shared" ref="B23:B31" si="3">1.05+(INT((A23-1)/5))*0.05</f>
        <v>1.25</v>
      </c>
      <c r="C23" s="4">
        <f t="shared" si="2"/>
        <v>100</v>
      </c>
    </row>
    <row r="24" spans="1:3">
      <c r="A24" s="4">
        <v>23</v>
      </c>
      <c r="B24" s="4">
        <f t="shared" si="3"/>
        <v>1.25</v>
      </c>
      <c r="C24" s="4">
        <f t="shared" si="2"/>
        <v>100</v>
      </c>
    </row>
    <row r="25" spans="1:3">
      <c r="A25" s="4">
        <v>24</v>
      </c>
      <c r="B25" s="4">
        <f t="shared" si="3"/>
        <v>1.25</v>
      </c>
      <c r="C25" s="4">
        <f t="shared" si="2"/>
        <v>100</v>
      </c>
    </row>
    <row r="26" spans="1:3">
      <c r="A26" s="4">
        <v>25</v>
      </c>
      <c r="B26" s="4">
        <f t="shared" si="3"/>
        <v>1.25</v>
      </c>
      <c r="C26" s="4">
        <f t="shared" si="2"/>
        <v>100</v>
      </c>
    </row>
    <row r="27" spans="1:3">
      <c r="A27" s="4">
        <v>26</v>
      </c>
      <c r="B27" s="4">
        <f t="shared" si="3"/>
        <v>1.3</v>
      </c>
      <c r="C27" s="4">
        <f t="shared" si="2"/>
        <v>120</v>
      </c>
    </row>
    <row r="28" spans="1:3">
      <c r="A28" s="4">
        <v>27</v>
      </c>
      <c r="B28" s="4">
        <f t="shared" si="3"/>
        <v>1.3</v>
      </c>
      <c r="C28" s="4">
        <f t="shared" si="2"/>
        <v>120</v>
      </c>
    </row>
    <row r="29" spans="1:3">
      <c r="A29" s="4">
        <v>28</v>
      </c>
      <c r="B29" s="4">
        <f t="shared" si="3"/>
        <v>1.3</v>
      </c>
      <c r="C29" s="4">
        <f t="shared" si="2"/>
        <v>120</v>
      </c>
    </row>
    <row r="30" spans="1:3">
      <c r="A30" s="4">
        <v>29</v>
      </c>
      <c r="B30" s="4">
        <f t="shared" si="3"/>
        <v>1.3</v>
      </c>
      <c r="C30" s="4">
        <f t="shared" si="2"/>
        <v>120</v>
      </c>
    </row>
    <row r="31" spans="1:3">
      <c r="A31" s="4">
        <v>30</v>
      </c>
      <c r="B31" s="4">
        <f t="shared" si="3"/>
        <v>1.3</v>
      </c>
      <c r="C31" s="4">
        <f t="shared" si="2"/>
        <v>120</v>
      </c>
    </row>
    <row r="32" spans="1:3">
      <c r="A32" s="4">
        <v>31</v>
      </c>
      <c r="B32" s="4">
        <f>1.1+(INT((A32-1)/10))*0.1</f>
        <v>1.4000000000000001</v>
      </c>
      <c r="C32" s="4">
        <f t="shared" ref="C32:C66" si="4">(INT((A32-1)/10)+1)*$F$2</f>
        <v>160</v>
      </c>
    </row>
    <row r="33" spans="1:3">
      <c r="A33" s="4">
        <v>32</v>
      </c>
      <c r="B33" s="4">
        <f t="shared" ref="B33:B96" si="5">1.1+(INT((A33-1)/10))*0.1</f>
        <v>1.4000000000000001</v>
      </c>
      <c r="C33" s="4">
        <f t="shared" si="4"/>
        <v>160</v>
      </c>
    </row>
    <row r="34" spans="1:3">
      <c r="A34" s="4">
        <v>33</v>
      </c>
      <c r="B34" s="4">
        <f t="shared" si="5"/>
        <v>1.4000000000000001</v>
      </c>
      <c r="C34" s="4">
        <f t="shared" si="4"/>
        <v>160</v>
      </c>
    </row>
    <row r="35" spans="1:3">
      <c r="A35" s="4">
        <v>34</v>
      </c>
      <c r="B35" s="4">
        <f t="shared" si="5"/>
        <v>1.4000000000000001</v>
      </c>
      <c r="C35" s="4">
        <f t="shared" si="4"/>
        <v>160</v>
      </c>
    </row>
    <row r="36" spans="1:3">
      <c r="A36" s="4">
        <v>35</v>
      </c>
      <c r="B36" s="4">
        <f t="shared" si="5"/>
        <v>1.4000000000000001</v>
      </c>
      <c r="C36" s="4">
        <f t="shared" si="4"/>
        <v>160</v>
      </c>
    </row>
    <row r="37" spans="1:3">
      <c r="A37" s="4">
        <v>36</v>
      </c>
      <c r="B37" s="4">
        <f t="shared" si="5"/>
        <v>1.4000000000000001</v>
      </c>
      <c r="C37" s="4">
        <f t="shared" si="4"/>
        <v>160</v>
      </c>
    </row>
    <row r="38" spans="1:3">
      <c r="A38" s="4">
        <v>37</v>
      </c>
      <c r="B38" s="4">
        <f t="shared" si="5"/>
        <v>1.4000000000000001</v>
      </c>
      <c r="C38" s="4">
        <f t="shared" si="4"/>
        <v>160</v>
      </c>
    </row>
    <row r="39" spans="1:3">
      <c r="A39" s="4">
        <v>38</v>
      </c>
      <c r="B39" s="4">
        <f t="shared" si="5"/>
        <v>1.4000000000000001</v>
      </c>
      <c r="C39" s="4">
        <f t="shared" si="4"/>
        <v>160</v>
      </c>
    </row>
    <row r="40" spans="1:3">
      <c r="A40" s="4">
        <v>39</v>
      </c>
      <c r="B40" s="4">
        <f t="shared" si="5"/>
        <v>1.4000000000000001</v>
      </c>
      <c r="C40" s="4">
        <f t="shared" si="4"/>
        <v>160</v>
      </c>
    </row>
    <row r="41" spans="1:3">
      <c r="A41" s="4">
        <v>40</v>
      </c>
      <c r="B41" s="4">
        <f t="shared" si="5"/>
        <v>1.4000000000000001</v>
      </c>
      <c r="C41" s="4">
        <f t="shared" si="4"/>
        <v>160</v>
      </c>
    </row>
    <row r="42" spans="1:3">
      <c r="A42" s="4">
        <v>41</v>
      </c>
      <c r="B42" s="4">
        <f t="shared" si="5"/>
        <v>1.5</v>
      </c>
      <c r="C42" s="4">
        <f t="shared" si="4"/>
        <v>200</v>
      </c>
    </row>
    <row r="43" spans="1:3">
      <c r="A43" s="4">
        <v>42</v>
      </c>
      <c r="B43" s="4">
        <f t="shared" si="5"/>
        <v>1.5</v>
      </c>
      <c r="C43" s="4">
        <f t="shared" si="4"/>
        <v>200</v>
      </c>
    </row>
    <row r="44" spans="1:3">
      <c r="A44" s="4">
        <v>43</v>
      </c>
      <c r="B44" s="4">
        <f t="shared" si="5"/>
        <v>1.5</v>
      </c>
      <c r="C44" s="4">
        <f t="shared" si="4"/>
        <v>200</v>
      </c>
    </row>
    <row r="45" spans="1:3">
      <c r="A45" s="4">
        <v>44</v>
      </c>
      <c r="B45" s="4">
        <f t="shared" si="5"/>
        <v>1.5</v>
      </c>
      <c r="C45" s="4">
        <f t="shared" si="4"/>
        <v>200</v>
      </c>
    </row>
    <row r="46" spans="1:3">
      <c r="A46" s="4">
        <v>45</v>
      </c>
      <c r="B46" s="4">
        <f t="shared" si="5"/>
        <v>1.5</v>
      </c>
      <c r="C46" s="4">
        <f t="shared" si="4"/>
        <v>200</v>
      </c>
    </row>
    <row r="47" spans="1:3">
      <c r="A47" s="4">
        <v>46</v>
      </c>
      <c r="B47" s="4">
        <f t="shared" si="5"/>
        <v>1.5</v>
      </c>
      <c r="C47" s="4">
        <f t="shared" si="4"/>
        <v>200</v>
      </c>
    </row>
    <row r="48" spans="1:3">
      <c r="A48" s="4">
        <v>47</v>
      </c>
      <c r="B48" s="4">
        <f t="shared" si="5"/>
        <v>1.5</v>
      </c>
      <c r="C48" s="4">
        <f t="shared" si="4"/>
        <v>200</v>
      </c>
    </row>
    <row r="49" spans="1:3">
      <c r="A49" s="4">
        <v>48</v>
      </c>
      <c r="B49" s="4">
        <f t="shared" si="5"/>
        <v>1.5</v>
      </c>
      <c r="C49" s="4">
        <f t="shared" si="4"/>
        <v>200</v>
      </c>
    </row>
    <row r="50" spans="1:3">
      <c r="A50" s="4">
        <v>49</v>
      </c>
      <c r="B50" s="4">
        <f t="shared" si="5"/>
        <v>1.5</v>
      </c>
      <c r="C50" s="4">
        <f t="shared" si="4"/>
        <v>200</v>
      </c>
    </row>
    <row r="51" spans="1:3">
      <c r="A51" s="4">
        <v>50</v>
      </c>
      <c r="B51" s="4">
        <f t="shared" si="5"/>
        <v>1.5</v>
      </c>
      <c r="C51" s="4">
        <f t="shared" si="4"/>
        <v>200</v>
      </c>
    </row>
    <row r="52" spans="1:3">
      <c r="A52" s="4">
        <v>51</v>
      </c>
      <c r="B52" s="4">
        <f t="shared" si="5"/>
        <v>1.6</v>
      </c>
      <c r="C52" s="4">
        <f t="shared" si="4"/>
        <v>240</v>
      </c>
    </row>
    <row r="53" spans="1:3">
      <c r="A53" s="4">
        <v>52</v>
      </c>
      <c r="B53" s="4">
        <f t="shared" si="5"/>
        <v>1.6</v>
      </c>
      <c r="C53" s="4">
        <f t="shared" si="4"/>
        <v>240</v>
      </c>
    </row>
    <row r="54" spans="1:3">
      <c r="A54" s="4">
        <v>53</v>
      </c>
      <c r="B54" s="4">
        <f t="shared" si="5"/>
        <v>1.6</v>
      </c>
      <c r="C54" s="4">
        <f t="shared" si="4"/>
        <v>240</v>
      </c>
    </row>
    <row r="55" spans="1:3">
      <c r="A55" s="4">
        <v>54</v>
      </c>
      <c r="B55" s="4">
        <f t="shared" si="5"/>
        <v>1.6</v>
      </c>
      <c r="C55" s="4">
        <f t="shared" si="4"/>
        <v>240</v>
      </c>
    </row>
    <row r="56" spans="1:3">
      <c r="A56" s="4">
        <v>55</v>
      </c>
      <c r="B56" s="4">
        <f t="shared" si="5"/>
        <v>1.6</v>
      </c>
      <c r="C56" s="4">
        <f t="shared" si="4"/>
        <v>240</v>
      </c>
    </row>
    <row r="57" spans="1:3">
      <c r="A57" s="4">
        <v>56</v>
      </c>
      <c r="B57" s="4">
        <f t="shared" si="5"/>
        <v>1.6</v>
      </c>
      <c r="C57" s="4">
        <f t="shared" si="4"/>
        <v>240</v>
      </c>
    </row>
    <row r="58" spans="1:3">
      <c r="A58" s="4">
        <v>57</v>
      </c>
      <c r="B58" s="4">
        <f t="shared" si="5"/>
        <v>1.6</v>
      </c>
      <c r="C58" s="4">
        <f t="shared" si="4"/>
        <v>240</v>
      </c>
    </row>
    <row r="59" spans="1:3">
      <c r="A59" s="4">
        <v>58</v>
      </c>
      <c r="B59" s="4">
        <f t="shared" si="5"/>
        <v>1.6</v>
      </c>
      <c r="C59" s="4">
        <f t="shared" si="4"/>
        <v>240</v>
      </c>
    </row>
    <row r="60" spans="1:3">
      <c r="A60" s="4">
        <v>59</v>
      </c>
      <c r="B60" s="4">
        <f t="shared" si="5"/>
        <v>1.6</v>
      </c>
      <c r="C60" s="4">
        <f t="shared" si="4"/>
        <v>240</v>
      </c>
    </row>
    <row r="61" spans="1:3">
      <c r="A61" s="4">
        <v>60</v>
      </c>
      <c r="B61" s="4">
        <f t="shared" si="5"/>
        <v>1.6</v>
      </c>
      <c r="C61" s="4">
        <f t="shared" si="4"/>
        <v>240</v>
      </c>
    </row>
    <row r="62" spans="1:3">
      <c r="A62" s="4">
        <v>61</v>
      </c>
      <c r="B62" s="4">
        <f t="shared" si="5"/>
        <v>1.7000000000000002</v>
      </c>
      <c r="C62" s="4">
        <f t="shared" si="4"/>
        <v>280</v>
      </c>
    </row>
    <row r="63" spans="1:3">
      <c r="A63" s="4">
        <v>62</v>
      </c>
      <c r="B63" s="4">
        <f t="shared" si="5"/>
        <v>1.7000000000000002</v>
      </c>
      <c r="C63" s="4">
        <f t="shared" si="4"/>
        <v>280</v>
      </c>
    </row>
    <row r="64" spans="1:3">
      <c r="A64" s="4">
        <v>63</v>
      </c>
      <c r="B64" s="4">
        <f t="shared" si="5"/>
        <v>1.7000000000000002</v>
      </c>
      <c r="C64" s="4">
        <f t="shared" si="4"/>
        <v>280</v>
      </c>
    </row>
    <row r="65" spans="1:3">
      <c r="A65" s="4">
        <v>64</v>
      </c>
      <c r="B65" s="4">
        <f t="shared" si="5"/>
        <v>1.7000000000000002</v>
      </c>
      <c r="C65" s="4">
        <f t="shared" si="4"/>
        <v>280</v>
      </c>
    </row>
    <row r="66" spans="1:3">
      <c r="A66" s="4">
        <v>65</v>
      </c>
      <c r="B66" s="4">
        <f t="shared" si="5"/>
        <v>1.7000000000000002</v>
      </c>
      <c r="C66" s="4">
        <f t="shared" si="4"/>
        <v>280</v>
      </c>
    </row>
    <row r="67" spans="1:3">
      <c r="A67" s="4">
        <v>66</v>
      </c>
      <c r="B67" s="4">
        <f t="shared" si="5"/>
        <v>1.7000000000000002</v>
      </c>
      <c r="C67" s="4">
        <f t="shared" ref="C67:C101" si="6">(INT((A67-1)/10)+1)*$F$2</f>
        <v>280</v>
      </c>
    </row>
    <row r="68" spans="1:3">
      <c r="A68" s="4">
        <v>67</v>
      </c>
      <c r="B68" s="4">
        <f t="shared" si="5"/>
        <v>1.7000000000000002</v>
      </c>
      <c r="C68" s="4">
        <f t="shared" si="6"/>
        <v>280</v>
      </c>
    </row>
    <row r="69" spans="1:3">
      <c r="A69" s="4">
        <v>68</v>
      </c>
      <c r="B69" s="4">
        <f t="shared" si="5"/>
        <v>1.7000000000000002</v>
      </c>
      <c r="C69" s="4">
        <f t="shared" si="6"/>
        <v>280</v>
      </c>
    </row>
    <row r="70" spans="1:3">
      <c r="A70" s="4">
        <v>69</v>
      </c>
      <c r="B70" s="4">
        <f t="shared" si="5"/>
        <v>1.7000000000000002</v>
      </c>
      <c r="C70" s="4">
        <f t="shared" si="6"/>
        <v>280</v>
      </c>
    </row>
    <row r="71" spans="1:3">
      <c r="A71" s="4">
        <v>70</v>
      </c>
      <c r="B71" s="4">
        <f t="shared" si="5"/>
        <v>1.7000000000000002</v>
      </c>
      <c r="C71" s="4">
        <f t="shared" si="6"/>
        <v>280</v>
      </c>
    </row>
    <row r="72" spans="1:3">
      <c r="A72" s="4">
        <v>71</v>
      </c>
      <c r="B72" s="4">
        <f t="shared" si="5"/>
        <v>1.8000000000000003</v>
      </c>
      <c r="C72" s="4">
        <f t="shared" si="6"/>
        <v>320</v>
      </c>
    </row>
    <row r="73" spans="1:3">
      <c r="A73" s="4">
        <v>72</v>
      </c>
      <c r="B73" s="4">
        <f t="shared" si="5"/>
        <v>1.8000000000000003</v>
      </c>
      <c r="C73" s="4">
        <f t="shared" si="6"/>
        <v>320</v>
      </c>
    </row>
    <row r="74" spans="1:3">
      <c r="A74" s="4">
        <v>73</v>
      </c>
      <c r="B74" s="4">
        <f t="shared" si="5"/>
        <v>1.8000000000000003</v>
      </c>
      <c r="C74" s="4">
        <f t="shared" si="6"/>
        <v>320</v>
      </c>
    </row>
    <row r="75" spans="1:3">
      <c r="A75" s="4">
        <v>74</v>
      </c>
      <c r="B75" s="4">
        <f t="shared" si="5"/>
        <v>1.8000000000000003</v>
      </c>
      <c r="C75" s="4">
        <f t="shared" si="6"/>
        <v>320</v>
      </c>
    </row>
    <row r="76" spans="1:3">
      <c r="A76" s="4">
        <v>75</v>
      </c>
      <c r="B76" s="4">
        <f t="shared" si="5"/>
        <v>1.8000000000000003</v>
      </c>
      <c r="C76" s="4">
        <f t="shared" si="6"/>
        <v>320</v>
      </c>
    </row>
    <row r="77" spans="1:3">
      <c r="A77" s="4">
        <v>76</v>
      </c>
      <c r="B77" s="4">
        <f t="shared" si="5"/>
        <v>1.8000000000000003</v>
      </c>
      <c r="C77" s="4">
        <f t="shared" si="6"/>
        <v>320</v>
      </c>
    </row>
    <row r="78" spans="1:3">
      <c r="A78" s="4">
        <v>77</v>
      </c>
      <c r="B78" s="4">
        <f t="shared" si="5"/>
        <v>1.8000000000000003</v>
      </c>
      <c r="C78" s="4">
        <f t="shared" si="6"/>
        <v>320</v>
      </c>
    </row>
    <row r="79" spans="1:3">
      <c r="A79" s="4">
        <v>78</v>
      </c>
      <c r="B79" s="4">
        <f t="shared" si="5"/>
        <v>1.8000000000000003</v>
      </c>
      <c r="C79" s="4">
        <f t="shared" si="6"/>
        <v>320</v>
      </c>
    </row>
    <row r="80" spans="1:3">
      <c r="A80" s="4">
        <v>79</v>
      </c>
      <c r="B80" s="4">
        <f t="shared" si="5"/>
        <v>1.8000000000000003</v>
      </c>
      <c r="C80" s="4">
        <f t="shared" si="6"/>
        <v>320</v>
      </c>
    </row>
    <row r="81" spans="1:3">
      <c r="A81" s="4">
        <v>80</v>
      </c>
      <c r="B81" s="4">
        <f t="shared" si="5"/>
        <v>1.8000000000000003</v>
      </c>
      <c r="C81" s="4">
        <f t="shared" si="6"/>
        <v>320</v>
      </c>
    </row>
    <row r="82" spans="1:3">
      <c r="A82" s="4">
        <v>81</v>
      </c>
      <c r="B82" s="4">
        <f t="shared" si="5"/>
        <v>1.9000000000000001</v>
      </c>
      <c r="C82" s="4">
        <f t="shared" si="6"/>
        <v>360</v>
      </c>
    </row>
    <row r="83" spans="1:3">
      <c r="A83" s="4">
        <v>82</v>
      </c>
      <c r="B83" s="4">
        <f t="shared" si="5"/>
        <v>1.9000000000000001</v>
      </c>
      <c r="C83" s="4">
        <f t="shared" si="6"/>
        <v>360</v>
      </c>
    </row>
    <row r="84" spans="1:3">
      <c r="A84" s="4">
        <v>83</v>
      </c>
      <c r="B84" s="4">
        <f t="shared" si="5"/>
        <v>1.9000000000000001</v>
      </c>
      <c r="C84" s="4">
        <f t="shared" si="6"/>
        <v>360</v>
      </c>
    </row>
    <row r="85" spans="1:3">
      <c r="A85" s="4">
        <v>84</v>
      </c>
      <c r="B85" s="4">
        <f t="shared" si="5"/>
        <v>1.9000000000000001</v>
      </c>
      <c r="C85" s="4">
        <f t="shared" si="6"/>
        <v>360</v>
      </c>
    </row>
    <row r="86" spans="1:3">
      <c r="A86" s="4">
        <v>85</v>
      </c>
      <c r="B86" s="4">
        <f t="shared" si="5"/>
        <v>1.9000000000000001</v>
      </c>
      <c r="C86" s="4">
        <f t="shared" si="6"/>
        <v>360</v>
      </c>
    </row>
    <row r="87" spans="1:3">
      <c r="A87" s="4">
        <v>86</v>
      </c>
      <c r="B87" s="4">
        <f t="shared" si="5"/>
        <v>1.9000000000000001</v>
      </c>
      <c r="C87" s="4">
        <f t="shared" si="6"/>
        <v>360</v>
      </c>
    </row>
    <row r="88" spans="1:3">
      <c r="A88" s="4">
        <v>87</v>
      </c>
      <c r="B88" s="4">
        <f t="shared" si="5"/>
        <v>1.9000000000000001</v>
      </c>
      <c r="C88" s="4">
        <f t="shared" si="6"/>
        <v>360</v>
      </c>
    </row>
    <row r="89" spans="1:3">
      <c r="A89" s="4">
        <v>88</v>
      </c>
      <c r="B89" s="4">
        <f t="shared" si="5"/>
        <v>1.9000000000000001</v>
      </c>
      <c r="C89" s="4">
        <f t="shared" si="6"/>
        <v>360</v>
      </c>
    </row>
    <row r="90" spans="1:3">
      <c r="A90" s="4">
        <v>89</v>
      </c>
      <c r="B90" s="4">
        <f t="shared" si="5"/>
        <v>1.9000000000000001</v>
      </c>
      <c r="C90" s="4">
        <f t="shared" si="6"/>
        <v>360</v>
      </c>
    </row>
    <row r="91" spans="1:3">
      <c r="A91" s="4">
        <v>90</v>
      </c>
      <c r="B91" s="4">
        <f t="shared" si="5"/>
        <v>1.9000000000000001</v>
      </c>
      <c r="C91" s="4">
        <f t="shared" si="6"/>
        <v>360</v>
      </c>
    </row>
    <row r="92" spans="1:3">
      <c r="A92" s="4">
        <v>91</v>
      </c>
      <c r="B92" s="4">
        <f t="shared" si="5"/>
        <v>2</v>
      </c>
      <c r="C92" s="4">
        <f t="shared" si="6"/>
        <v>400</v>
      </c>
    </row>
    <row r="93" spans="1:3">
      <c r="A93" s="4">
        <v>92</v>
      </c>
      <c r="B93" s="4">
        <f t="shared" si="5"/>
        <v>2</v>
      </c>
      <c r="C93" s="4">
        <f t="shared" si="6"/>
        <v>400</v>
      </c>
    </row>
    <row r="94" spans="1:3">
      <c r="A94" s="4">
        <v>93</v>
      </c>
      <c r="B94" s="4">
        <f t="shared" si="5"/>
        <v>2</v>
      </c>
      <c r="C94" s="4">
        <f t="shared" si="6"/>
        <v>400</v>
      </c>
    </row>
    <row r="95" spans="1:3">
      <c r="A95" s="4">
        <v>94</v>
      </c>
      <c r="B95" s="4">
        <f t="shared" si="5"/>
        <v>2</v>
      </c>
      <c r="C95" s="4">
        <f t="shared" si="6"/>
        <v>400</v>
      </c>
    </row>
    <row r="96" spans="1:3">
      <c r="A96" s="4">
        <v>95</v>
      </c>
      <c r="B96" s="4">
        <f t="shared" si="5"/>
        <v>2</v>
      </c>
      <c r="C96" s="4">
        <f t="shared" si="6"/>
        <v>400</v>
      </c>
    </row>
    <row r="97" spans="1:3">
      <c r="A97" s="4">
        <v>96</v>
      </c>
      <c r="B97" s="4">
        <f t="shared" ref="B97:B101" si="7">1.1+(INT((A97-1)/10))*0.1</f>
        <v>2</v>
      </c>
      <c r="C97" s="4">
        <f t="shared" si="6"/>
        <v>400</v>
      </c>
    </row>
    <row r="98" spans="1:3">
      <c r="A98" s="4">
        <v>97</v>
      </c>
      <c r="B98" s="4">
        <f t="shared" si="7"/>
        <v>2</v>
      </c>
      <c r="C98" s="4">
        <f t="shared" si="6"/>
        <v>400</v>
      </c>
    </row>
    <row r="99" spans="1:3">
      <c r="A99" s="4">
        <v>98</v>
      </c>
      <c r="B99" s="4">
        <f t="shared" si="7"/>
        <v>2</v>
      </c>
      <c r="C99" s="4">
        <f t="shared" si="6"/>
        <v>400</v>
      </c>
    </row>
    <row r="100" spans="1:3">
      <c r="A100" s="4">
        <v>99</v>
      </c>
      <c r="B100" s="4">
        <f t="shared" si="7"/>
        <v>2</v>
      </c>
      <c r="C100" s="4">
        <f t="shared" si="6"/>
        <v>400</v>
      </c>
    </row>
    <row r="101" spans="1:3">
      <c r="A101" s="4">
        <v>100</v>
      </c>
      <c r="B101" s="4">
        <f t="shared" si="7"/>
        <v>2</v>
      </c>
      <c r="C101" s="4">
        <f t="shared" si="6"/>
        <v>400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0" tint="-0.499984740745262"/>
  </sheetPr>
  <dimension ref="A1:T62"/>
  <sheetViews>
    <sheetView workbookViewId="0">
      <pane xSplit="4" ySplit="1" topLeftCell="E29" activePane="bottomRight" state="frozenSplit"/>
      <selection pane="topRight" activeCell="E1" sqref="E1"/>
      <selection pane="bottomLeft" activeCell="A2" sqref="A2"/>
      <selection pane="bottomRight" activeCell="K62" sqref="K62"/>
    </sheetView>
  </sheetViews>
  <sheetFormatPr defaultRowHeight="13.5"/>
  <cols>
    <col min="1" max="1" width="5.25" bestFit="1" customWidth="1"/>
    <col min="2" max="2" width="7.25" bestFit="1" customWidth="1"/>
    <col min="3" max="3" width="11.125" bestFit="1" customWidth="1"/>
    <col min="4" max="4" width="17.375" bestFit="1" customWidth="1"/>
    <col min="5" max="5" width="5.5" bestFit="1" customWidth="1"/>
    <col min="6" max="6" width="9" bestFit="1" customWidth="1"/>
    <col min="7" max="9" width="5.25" bestFit="1" customWidth="1"/>
    <col min="10" max="10" width="7.125" bestFit="1" customWidth="1"/>
    <col min="11" max="12" width="15.125" bestFit="1" customWidth="1"/>
    <col min="13" max="13" width="8.25" bestFit="1" customWidth="1"/>
    <col min="14" max="14" width="7.5" bestFit="1" customWidth="1"/>
    <col min="15" max="15" width="9" customWidth="1"/>
    <col min="17" max="17" width="12.75" style="1" bestFit="1" customWidth="1"/>
    <col min="18" max="18" width="9.75" customWidth="1"/>
  </cols>
  <sheetData>
    <row r="1" spans="1:20">
      <c r="A1" t="s">
        <v>0</v>
      </c>
      <c r="B1" t="s">
        <v>33</v>
      </c>
      <c r="C1" t="s">
        <v>1</v>
      </c>
      <c r="D1" t="s">
        <v>2</v>
      </c>
      <c r="E1" t="s">
        <v>3</v>
      </c>
      <c r="F1" t="s">
        <v>4</v>
      </c>
      <c r="G1" s="2" t="s">
        <v>39</v>
      </c>
      <c r="H1" t="s">
        <v>6</v>
      </c>
      <c r="I1" t="s">
        <v>9</v>
      </c>
      <c r="J1" t="s">
        <v>40</v>
      </c>
      <c r="K1" s="3" t="s">
        <v>43</v>
      </c>
      <c r="L1" s="3" t="s">
        <v>42</v>
      </c>
      <c r="M1" t="s">
        <v>12</v>
      </c>
      <c r="O1" s="1" t="s">
        <v>55</v>
      </c>
      <c r="P1" s="1"/>
      <c r="S1" t="s">
        <v>71</v>
      </c>
      <c r="T1" t="s">
        <v>72</v>
      </c>
    </row>
    <row r="2" spans="1:20">
      <c r="A2">
        <v>1</v>
      </c>
      <c r="B2">
        <v>0</v>
      </c>
      <c r="C2">
        <v>78106</v>
      </c>
      <c r="D2" s="4" t="str">
        <f>IFERROR(VLOOKUP(C2,[1]引用表合并!$A$2:$B$1000,2,FALSE),"")</f>
        <v>马仔碎片(靓坤)</v>
      </c>
      <c r="E2">
        <v>1</v>
      </c>
      <c r="F2">
        <v>36</v>
      </c>
      <c r="G2">
        <v>0</v>
      </c>
      <c r="H2">
        <f>ROUNDUP(VLOOKUP(C2,[2]!游戏物价查询,7,FALSE),0)*E2</f>
        <v>50</v>
      </c>
      <c r="I2">
        <v>0</v>
      </c>
      <c r="K2">
        <v>19</v>
      </c>
      <c r="L2">
        <v>100</v>
      </c>
      <c r="M2">
        <v>0</v>
      </c>
      <c r="O2" s="17">
        <f t="shared" ref="O2:O33" si="0">IF(F2&lt;0,"100%",F2/SUMIF(F:F,"&gt;0"))</f>
        <v>2.972749793559042E-2</v>
      </c>
      <c r="P2" s="1"/>
    </row>
    <row r="3" spans="1:20">
      <c r="A3">
        <v>2</v>
      </c>
      <c r="B3">
        <v>0</v>
      </c>
      <c r="C3">
        <v>78107</v>
      </c>
      <c r="D3" s="4" t="str">
        <f>IFERROR(VLOOKUP(C3,[1]引用表合并!$A$2:$B$1000,2,FALSE),"")</f>
        <v>马仔碎片(雷复轰)</v>
      </c>
      <c r="E3">
        <v>1</v>
      </c>
      <c r="F3">
        <v>32</v>
      </c>
      <c r="G3">
        <v>0</v>
      </c>
      <c r="H3">
        <f>ROUNDUP(VLOOKUP(C3,[2]!游戏物价查询,7,FALSE),0)*E3</f>
        <v>50</v>
      </c>
      <c r="I3">
        <v>0</v>
      </c>
      <c r="K3">
        <v>19</v>
      </c>
      <c r="L3">
        <v>100</v>
      </c>
      <c r="M3">
        <v>0</v>
      </c>
      <c r="O3" s="17">
        <f t="shared" si="0"/>
        <v>2.6424442609413706E-2</v>
      </c>
      <c r="P3" s="1"/>
    </row>
    <row r="4" spans="1:20">
      <c r="A4">
        <v>3</v>
      </c>
      <c r="B4">
        <v>0</v>
      </c>
      <c r="C4">
        <v>78108</v>
      </c>
      <c r="D4" s="4" t="str">
        <f>IFERROR(VLOOKUP(C4,[1]引用表合并!$A$2:$B$1000,2,FALSE),"")</f>
        <v>马仔碎片(肥仔)</v>
      </c>
      <c r="E4">
        <v>1</v>
      </c>
      <c r="F4">
        <v>34</v>
      </c>
      <c r="G4">
        <v>0</v>
      </c>
      <c r="H4">
        <f>ROUNDUP(VLOOKUP(C4,[2]!游戏物价查询,7,FALSE),0)*E4</f>
        <v>50</v>
      </c>
      <c r="I4">
        <v>0</v>
      </c>
      <c r="K4">
        <v>19</v>
      </c>
      <c r="L4">
        <v>100</v>
      </c>
      <c r="M4">
        <v>0</v>
      </c>
      <c r="O4" s="17">
        <f t="shared" si="0"/>
        <v>2.8075970272502065E-2</v>
      </c>
      <c r="P4" s="1"/>
    </row>
    <row r="5" spans="1:20">
      <c r="A5">
        <v>4</v>
      </c>
      <c r="B5">
        <v>0</v>
      </c>
      <c r="C5">
        <v>78109</v>
      </c>
      <c r="D5" s="4" t="str">
        <f>IFERROR(VLOOKUP(C5,[1]引用表合并!$A$2:$B$1000,2,FALSE),"")</f>
        <v>马仔碎片(司徒浩南)</v>
      </c>
      <c r="E5">
        <v>1</v>
      </c>
      <c r="F5">
        <v>30</v>
      </c>
      <c r="G5">
        <v>0</v>
      </c>
      <c r="H5">
        <f>ROUNDUP(VLOOKUP(C5,[2]!游戏物价查询,7,FALSE),0)*E5</f>
        <v>100</v>
      </c>
      <c r="I5">
        <v>0</v>
      </c>
      <c r="K5">
        <v>19</v>
      </c>
      <c r="L5">
        <v>100</v>
      </c>
      <c r="M5">
        <v>0</v>
      </c>
      <c r="O5" s="17">
        <f t="shared" si="0"/>
        <v>2.4772914946325351E-2</v>
      </c>
      <c r="P5" s="1">
        <f>SUM(O2:O5)</f>
        <v>0.10900082576383155</v>
      </c>
      <c r="Q5" s="1">
        <f>P5/P9</f>
        <v>2.0307692307692307</v>
      </c>
      <c r="S5">
        <f>(SUMPRODUCT(O2:O5,E2:E5)+SUMPRODUCT(O10:O13,E10:E13))*6</f>
        <v>2.289017341040462</v>
      </c>
      <c r="T5">
        <f>[2]马仔的投放!$AL$38</f>
        <v>0</v>
      </c>
    </row>
    <row r="6" spans="1:20">
      <c r="A6">
        <v>5</v>
      </c>
      <c r="B6">
        <v>0</v>
      </c>
      <c r="C6">
        <v>78110</v>
      </c>
      <c r="D6" s="4" t="str">
        <f>IFERROR(VLOOKUP(C6,[1]引用表合并!$A$2:$B$1000,2,FALSE),"")</f>
        <v>马仔碎片(乌鸦)</v>
      </c>
      <c r="E6">
        <v>1</v>
      </c>
      <c r="F6">
        <v>18</v>
      </c>
      <c r="G6">
        <v>0</v>
      </c>
      <c r="H6">
        <f>ROUNDUP(VLOOKUP(C6,[2]!游戏物价查询,7,FALSE),0)*E6</f>
        <v>100</v>
      </c>
      <c r="I6">
        <v>0</v>
      </c>
      <c r="K6">
        <v>19</v>
      </c>
      <c r="L6">
        <v>100</v>
      </c>
      <c r="M6">
        <v>0</v>
      </c>
      <c r="O6" s="17">
        <f t="shared" si="0"/>
        <v>1.486374896779521E-2</v>
      </c>
      <c r="P6" s="1"/>
    </row>
    <row r="7" spans="1:20">
      <c r="A7">
        <v>6</v>
      </c>
      <c r="B7">
        <v>0</v>
      </c>
      <c r="C7">
        <v>78111</v>
      </c>
      <c r="D7" s="4" t="str">
        <f>IFERROR(VLOOKUP(C7,[1]引用表合并!$A$2:$B$1000,2,FALSE),"")</f>
        <v>马仔碎片(赌王)</v>
      </c>
      <c r="E7">
        <v>1</v>
      </c>
      <c r="F7">
        <v>17</v>
      </c>
      <c r="G7">
        <v>0</v>
      </c>
      <c r="H7">
        <f>ROUNDUP(VLOOKUP(C7,[2]!游戏物价查询,7,FALSE),0)*E7</f>
        <v>100</v>
      </c>
      <c r="I7">
        <v>0</v>
      </c>
      <c r="K7">
        <v>19</v>
      </c>
      <c r="L7">
        <v>100</v>
      </c>
      <c r="M7">
        <v>0</v>
      </c>
      <c r="O7" s="17">
        <f t="shared" si="0"/>
        <v>1.4037985136251032E-2</v>
      </c>
      <c r="P7" s="1"/>
    </row>
    <row r="8" spans="1:20">
      <c r="A8">
        <v>7</v>
      </c>
      <c r="B8">
        <v>0</v>
      </c>
      <c r="C8">
        <v>78112</v>
      </c>
      <c r="D8" s="4" t="str">
        <f>IFERROR(VLOOKUP(C8,[1]引用表合并!$A$2:$B$1000,2,FALSE),"")</f>
        <v>马仔碎片(山下忠秀)</v>
      </c>
      <c r="E8">
        <v>1</v>
      </c>
      <c r="F8">
        <v>16</v>
      </c>
      <c r="G8">
        <v>0</v>
      </c>
      <c r="H8">
        <f>ROUNDUP(VLOOKUP(C8,[2]!游戏物价查询,7,FALSE),0)*E8</f>
        <v>100</v>
      </c>
      <c r="I8">
        <v>0</v>
      </c>
      <c r="K8">
        <v>19</v>
      </c>
      <c r="L8">
        <v>100</v>
      </c>
      <c r="M8">
        <v>0</v>
      </c>
      <c r="O8" s="17">
        <f t="shared" si="0"/>
        <v>1.3212221304706853E-2</v>
      </c>
      <c r="P8" s="1"/>
    </row>
    <row r="9" spans="1:20">
      <c r="A9">
        <v>8</v>
      </c>
      <c r="B9">
        <v>0</v>
      </c>
      <c r="C9">
        <v>78113</v>
      </c>
      <c r="D9" s="4" t="str">
        <f>IFERROR(VLOOKUP(C9,[1]引用表合并!$A$2:$B$1000,2,FALSE),"")</f>
        <v>马仔碎片(宫本一)</v>
      </c>
      <c r="E9">
        <v>1</v>
      </c>
      <c r="F9">
        <v>14</v>
      </c>
      <c r="G9">
        <v>0</v>
      </c>
      <c r="H9">
        <f>ROUNDUP(VLOOKUP(C9,[2]!游戏物价查询,7,FALSE),0)*E9</f>
        <v>100</v>
      </c>
      <c r="I9">
        <v>0</v>
      </c>
      <c r="K9">
        <v>19</v>
      </c>
      <c r="L9">
        <v>100</v>
      </c>
      <c r="M9">
        <v>0</v>
      </c>
      <c r="O9" s="17">
        <f t="shared" si="0"/>
        <v>1.1560693641618497E-2</v>
      </c>
      <c r="P9" s="1">
        <f>SUM(O6:O9)</f>
        <v>5.3674649050371594E-2</v>
      </c>
      <c r="S9">
        <f>(SUMPRODUCT(O6:O9,E6:E9)+SUMPRODUCT(O14:O17,E14:E17))*6</f>
        <v>1.0900082576383152</v>
      </c>
      <c r="T9">
        <f>[2]马仔的投放!$AL$39</f>
        <v>0</v>
      </c>
    </row>
    <row r="10" spans="1:20">
      <c r="A10">
        <v>9</v>
      </c>
      <c r="B10">
        <v>0</v>
      </c>
      <c r="C10">
        <v>78106</v>
      </c>
      <c r="D10" s="4" t="str">
        <f>IFERROR(VLOOKUP(C10,[1]引用表合并!$A$2:$B$1000,2,FALSE),"")</f>
        <v>马仔碎片(靓坤)</v>
      </c>
      <c r="E10">
        <v>5</v>
      </c>
      <c r="F10">
        <f>F2/2</f>
        <v>18</v>
      </c>
      <c r="G10">
        <v>0</v>
      </c>
      <c r="H10">
        <f>ROUNDUP(VLOOKUP(C10,[2]!游戏物价查询,7,FALSE),0)*E10</f>
        <v>250</v>
      </c>
      <c r="I10">
        <v>0</v>
      </c>
      <c r="K10">
        <v>19</v>
      </c>
      <c r="L10">
        <v>100</v>
      </c>
      <c r="M10">
        <v>0</v>
      </c>
      <c r="O10" s="17">
        <f t="shared" si="0"/>
        <v>1.486374896779521E-2</v>
      </c>
      <c r="P10" s="1"/>
    </row>
    <row r="11" spans="1:20">
      <c r="A11">
        <v>10</v>
      </c>
      <c r="B11">
        <v>0</v>
      </c>
      <c r="C11">
        <v>78107</v>
      </c>
      <c r="D11" s="4" t="str">
        <f>IFERROR(VLOOKUP(C11,[1]引用表合并!$A$2:$B$1000,2,FALSE),"")</f>
        <v>马仔碎片(雷复轰)</v>
      </c>
      <c r="E11">
        <v>5</v>
      </c>
      <c r="F11">
        <f t="shared" ref="F11:F13" si="1">F3/2</f>
        <v>16</v>
      </c>
      <c r="G11">
        <v>0</v>
      </c>
      <c r="H11">
        <f>ROUNDUP(VLOOKUP(C11,[2]!游戏物价查询,7,FALSE),0)*E11</f>
        <v>250</v>
      </c>
      <c r="I11">
        <v>0</v>
      </c>
      <c r="K11">
        <v>19</v>
      </c>
      <c r="L11">
        <v>100</v>
      </c>
      <c r="M11">
        <v>0</v>
      </c>
      <c r="O11" s="17">
        <f t="shared" si="0"/>
        <v>1.3212221304706853E-2</v>
      </c>
      <c r="P11" s="1"/>
    </row>
    <row r="12" spans="1:20">
      <c r="A12">
        <v>11</v>
      </c>
      <c r="B12">
        <v>0</v>
      </c>
      <c r="C12">
        <v>78108</v>
      </c>
      <c r="D12" s="4" t="str">
        <f>IFERROR(VLOOKUP(C12,[1]引用表合并!$A$2:$B$1000,2,FALSE),"")</f>
        <v>马仔碎片(肥仔)</v>
      </c>
      <c r="E12">
        <v>5</v>
      </c>
      <c r="F12">
        <f t="shared" si="1"/>
        <v>17</v>
      </c>
      <c r="G12">
        <v>0</v>
      </c>
      <c r="H12">
        <f>ROUNDUP(VLOOKUP(C12,[2]!游戏物价查询,7,FALSE),0)*E12</f>
        <v>250</v>
      </c>
      <c r="I12">
        <v>0</v>
      </c>
      <c r="K12">
        <v>19</v>
      </c>
      <c r="L12">
        <v>100</v>
      </c>
      <c r="M12">
        <v>0</v>
      </c>
      <c r="O12" s="17">
        <f t="shared" si="0"/>
        <v>1.4037985136251032E-2</v>
      </c>
      <c r="P12" s="1"/>
    </row>
    <row r="13" spans="1:20">
      <c r="A13">
        <v>12</v>
      </c>
      <c r="B13">
        <v>0</v>
      </c>
      <c r="C13">
        <v>78109</v>
      </c>
      <c r="D13" s="4" t="str">
        <f>IFERROR(VLOOKUP(C13,[1]引用表合并!$A$2:$B$1000,2,FALSE),"")</f>
        <v>马仔碎片(司徒浩南)</v>
      </c>
      <c r="E13">
        <v>5</v>
      </c>
      <c r="F13">
        <f t="shared" si="1"/>
        <v>15</v>
      </c>
      <c r="G13">
        <v>0</v>
      </c>
      <c r="H13">
        <f>ROUNDUP(VLOOKUP(C13,[2]!游戏物价查询,7,FALSE),0)*E13</f>
        <v>500</v>
      </c>
      <c r="I13">
        <v>0</v>
      </c>
      <c r="K13">
        <v>19</v>
      </c>
      <c r="L13">
        <v>100</v>
      </c>
      <c r="M13">
        <v>0</v>
      </c>
      <c r="O13" s="17">
        <f t="shared" si="0"/>
        <v>1.2386457473162676E-2</v>
      </c>
      <c r="P13" s="1">
        <f>SUM(O10:O13)</f>
        <v>5.4500412881915775E-2</v>
      </c>
    </row>
    <row r="14" spans="1:20">
      <c r="A14">
        <v>13</v>
      </c>
      <c r="B14">
        <v>0</v>
      </c>
      <c r="C14">
        <v>78110</v>
      </c>
      <c r="D14" s="4" t="str">
        <f>IFERROR(VLOOKUP(C14,[1]引用表合并!$A$2:$B$1000,2,FALSE),"")</f>
        <v>马仔碎片(乌鸦)</v>
      </c>
      <c r="E14">
        <v>5</v>
      </c>
      <c r="F14">
        <v>9</v>
      </c>
      <c r="G14">
        <v>0</v>
      </c>
      <c r="H14">
        <f>ROUNDUP(VLOOKUP(C14,[2]!游戏物价查询,7,FALSE),0)*E14</f>
        <v>500</v>
      </c>
      <c r="I14">
        <v>0</v>
      </c>
      <c r="K14">
        <v>19</v>
      </c>
      <c r="L14">
        <v>100</v>
      </c>
      <c r="M14">
        <v>0</v>
      </c>
      <c r="O14" s="17">
        <f t="shared" si="0"/>
        <v>7.4318744838976049E-3</v>
      </c>
      <c r="P14" s="1"/>
    </row>
    <row r="15" spans="1:20">
      <c r="A15">
        <v>14</v>
      </c>
      <c r="B15">
        <v>0</v>
      </c>
      <c r="C15">
        <v>78111</v>
      </c>
      <c r="D15" s="4" t="str">
        <f>IFERROR(VLOOKUP(C15,[1]引用表合并!$A$2:$B$1000,2,FALSE),"")</f>
        <v>马仔碎片(赌王)</v>
      </c>
      <c r="E15">
        <v>5</v>
      </c>
      <c r="F15">
        <v>8</v>
      </c>
      <c r="G15">
        <v>0</v>
      </c>
      <c r="H15">
        <f>ROUNDUP(VLOOKUP(C15,[2]!游戏物价查询,7,FALSE),0)*E15</f>
        <v>500</v>
      </c>
      <c r="I15">
        <v>0</v>
      </c>
      <c r="K15">
        <v>19</v>
      </c>
      <c r="L15">
        <v>100</v>
      </c>
      <c r="M15">
        <v>0</v>
      </c>
      <c r="O15" s="17">
        <f t="shared" si="0"/>
        <v>6.6061106523534266E-3</v>
      </c>
      <c r="P15" s="1"/>
    </row>
    <row r="16" spans="1:20">
      <c r="A16">
        <v>15</v>
      </c>
      <c r="B16">
        <v>0</v>
      </c>
      <c r="C16">
        <v>78112</v>
      </c>
      <c r="D16" s="4" t="str">
        <f>IFERROR(VLOOKUP(C16,[1]引用表合并!$A$2:$B$1000,2,FALSE),"")</f>
        <v>马仔碎片(山下忠秀)</v>
      </c>
      <c r="E16">
        <v>5</v>
      </c>
      <c r="F16">
        <v>7</v>
      </c>
      <c r="G16">
        <v>0</v>
      </c>
      <c r="H16">
        <f>ROUNDUP(VLOOKUP(C16,[2]!游戏物价查询,7,FALSE),0)*E16</f>
        <v>500</v>
      </c>
      <c r="I16">
        <v>0</v>
      </c>
      <c r="K16">
        <v>19</v>
      </c>
      <c r="L16">
        <v>100</v>
      </c>
      <c r="M16">
        <v>0</v>
      </c>
      <c r="O16" s="17">
        <f t="shared" si="0"/>
        <v>5.7803468208092483E-3</v>
      </c>
      <c r="P16" s="1"/>
    </row>
    <row r="17" spans="1:19">
      <c r="A17">
        <v>16</v>
      </c>
      <c r="B17">
        <v>0</v>
      </c>
      <c r="C17">
        <v>78113</v>
      </c>
      <c r="D17" s="4" t="str">
        <f>IFERROR(VLOOKUP(C17,[1]引用表合并!$A$2:$B$1000,2,FALSE),"")</f>
        <v>马仔碎片(宫本一)</v>
      </c>
      <c r="E17">
        <v>5</v>
      </c>
      <c r="F17">
        <v>7</v>
      </c>
      <c r="G17">
        <v>0</v>
      </c>
      <c r="H17">
        <f>ROUNDUP(VLOOKUP(C17,[2]!游戏物价查询,7,FALSE),0)*E17</f>
        <v>500</v>
      </c>
      <c r="I17">
        <v>0</v>
      </c>
      <c r="K17">
        <v>19</v>
      </c>
      <c r="L17">
        <v>100</v>
      </c>
      <c r="M17">
        <v>0</v>
      </c>
      <c r="O17" s="17">
        <f t="shared" si="0"/>
        <v>5.7803468208092483E-3</v>
      </c>
      <c r="P17" s="1">
        <f>SUM(O14:O17)</f>
        <v>2.5598678777869529E-2</v>
      </c>
      <c r="Q17" s="1">
        <f>SUM(O2:O17)</f>
        <v>0.24277456647398843</v>
      </c>
      <c r="R17">
        <f>Q17*5</f>
        <v>1.2138728323699421</v>
      </c>
    </row>
    <row r="18" spans="1:19">
      <c r="A18">
        <v>17</v>
      </c>
      <c r="B18">
        <v>0</v>
      </c>
      <c r="C18">
        <v>70101</v>
      </c>
      <c r="D18" s="4" t="str">
        <f>IFERROR(VLOOKUP(C18,[1]引用表合并!$A$2:$B$1000,2,FALSE),"")</f>
        <v>初级升星石</v>
      </c>
      <c r="E18">
        <v>5</v>
      </c>
      <c r="F18">
        <v>100</v>
      </c>
      <c r="G18">
        <v>0</v>
      </c>
      <c r="H18">
        <f>ROUNDUP(VLOOKUP(C18,[2]!游戏物价查询,7,FALSE),0)*E18</f>
        <v>10</v>
      </c>
      <c r="I18">
        <v>1</v>
      </c>
      <c r="K18">
        <v>19</v>
      </c>
      <c r="L18">
        <v>100</v>
      </c>
      <c r="M18">
        <v>0</v>
      </c>
      <c r="O18" s="17">
        <f t="shared" si="0"/>
        <v>8.2576383154417843E-2</v>
      </c>
      <c r="P18" s="1"/>
      <c r="S18">
        <f>(O18*E18+O21*E21)*6</f>
        <v>4.9545829892650701</v>
      </c>
    </row>
    <row r="19" spans="1:19">
      <c r="A19">
        <v>18</v>
      </c>
      <c r="B19">
        <v>0</v>
      </c>
      <c r="C19">
        <v>70201</v>
      </c>
      <c r="D19" s="4" t="str">
        <f>IFERROR(VLOOKUP(C19,[1]引用表合并!$A$2:$B$1000,2,FALSE),"")</f>
        <v>中级升星石</v>
      </c>
      <c r="E19">
        <v>5</v>
      </c>
      <c r="F19">
        <v>50</v>
      </c>
      <c r="G19">
        <v>0</v>
      </c>
      <c r="H19">
        <f>ROUNDUP(VLOOKUP(C19,[2]!游戏物价查询,7,FALSE),0)*E19</f>
        <v>50</v>
      </c>
      <c r="I19">
        <v>1</v>
      </c>
      <c r="K19">
        <v>19</v>
      </c>
      <c r="L19">
        <v>100</v>
      </c>
      <c r="M19">
        <v>0</v>
      </c>
      <c r="O19" s="17">
        <f t="shared" si="0"/>
        <v>4.1288191577208921E-2</v>
      </c>
      <c r="P19" s="1"/>
      <c r="S19">
        <f>(O19*E19+O22*E22)*6</f>
        <v>2.4772914946325351</v>
      </c>
    </row>
    <row r="20" spans="1:19">
      <c r="A20">
        <v>19</v>
      </c>
      <c r="B20">
        <v>0</v>
      </c>
      <c r="C20">
        <v>70301</v>
      </c>
      <c r="D20" s="4" t="str">
        <f>IFERROR(VLOOKUP(C20,[1]引用表合并!$A$2:$B$1000,2,FALSE),"")</f>
        <v>高级升星石</v>
      </c>
      <c r="E20">
        <v>5</v>
      </c>
      <c r="F20">
        <v>20</v>
      </c>
      <c r="G20">
        <v>0</v>
      </c>
      <c r="H20">
        <f>ROUNDUP(VLOOKUP(C20,[2]!游戏物价查询,7,FALSE),0)*E20</f>
        <v>250</v>
      </c>
      <c r="I20">
        <v>1</v>
      </c>
      <c r="K20">
        <v>19</v>
      </c>
      <c r="L20">
        <v>100</v>
      </c>
      <c r="M20">
        <v>0</v>
      </c>
      <c r="O20" s="17">
        <f t="shared" si="0"/>
        <v>1.6515276630883566E-2</v>
      </c>
      <c r="P20" s="1"/>
      <c r="S20">
        <f t="shared" ref="S20" si="2">(O20*E20+O23*E23)*6</f>
        <v>0.99091659785301389</v>
      </c>
    </row>
    <row r="21" spans="1:19">
      <c r="A21">
        <v>20</v>
      </c>
      <c r="B21">
        <v>0</v>
      </c>
      <c r="C21">
        <v>70101</v>
      </c>
      <c r="D21" s="4" t="str">
        <f>IFERROR(VLOOKUP(C21,[1]引用表合并!$A$2:$B$1000,2,FALSE),"")</f>
        <v>初级升星石</v>
      </c>
      <c r="E21">
        <v>10</v>
      </c>
      <c r="F21">
        <f>F18/2</f>
        <v>50</v>
      </c>
      <c r="G21">
        <v>0</v>
      </c>
      <c r="H21">
        <f>ROUNDUP(VLOOKUP(C21,[2]!游戏物价查询,7,FALSE),0)*E21</f>
        <v>20</v>
      </c>
      <c r="I21">
        <v>1</v>
      </c>
      <c r="K21">
        <v>19</v>
      </c>
      <c r="L21">
        <v>100</v>
      </c>
      <c r="M21">
        <v>0</v>
      </c>
      <c r="O21" s="17">
        <f t="shared" si="0"/>
        <v>4.1288191577208921E-2</v>
      </c>
      <c r="P21" s="1"/>
    </row>
    <row r="22" spans="1:19">
      <c r="A22">
        <v>21</v>
      </c>
      <c r="B22">
        <v>0</v>
      </c>
      <c r="C22">
        <v>70201</v>
      </c>
      <c r="D22" s="4" t="str">
        <f>IFERROR(VLOOKUP(C22,[1]引用表合并!$A$2:$B$1000,2,FALSE),"")</f>
        <v>中级升星石</v>
      </c>
      <c r="E22">
        <v>10</v>
      </c>
      <c r="F22">
        <f>F19/2</f>
        <v>25</v>
      </c>
      <c r="G22">
        <v>0</v>
      </c>
      <c r="H22">
        <f>ROUNDUP(VLOOKUP(C22,[2]!游戏物价查询,7,FALSE),0)*E22</f>
        <v>100</v>
      </c>
      <c r="I22">
        <v>1</v>
      </c>
      <c r="K22">
        <v>19</v>
      </c>
      <c r="L22">
        <v>100</v>
      </c>
      <c r="M22">
        <v>0</v>
      </c>
      <c r="O22" s="17">
        <f t="shared" si="0"/>
        <v>2.0644095788604461E-2</v>
      </c>
      <c r="P22" s="1"/>
    </row>
    <row r="23" spans="1:19">
      <c r="A23">
        <v>22</v>
      </c>
      <c r="B23">
        <v>0</v>
      </c>
      <c r="C23">
        <v>70301</v>
      </c>
      <c r="D23" s="4" t="str">
        <f>IFERROR(VLOOKUP(C23,[1]引用表合并!$A$2:$B$1000,2,FALSE),"")</f>
        <v>高级升星石</v>
      </c>
      <c r="E23">
        <v>10</v>
      </c>
      <c r="F23">
        <f>F20/2</f>
        <v>10</v>
      </c>
      <c r="G23">
        <v>0</v>
      </c>
      <c r="H23">
        <f>ROUNDUP(VLOOKUP(C23,[2]!游戏物价查询,7,FALSE),0)*E23</f>
        <v>500</v>
      </c>
      <c r="I23">
        <v>1</v>
      </c>
      <c r="K23">
        <v>19</v>
      </c>
      <c r="L23">
        <v>100</v>
      </c>
      <c r="M23">
        <v>0</v>
      </c>
      <c r="O23" s="17">
        <f t="shared" si="0"/>
        <v>8.2576383154417832E-3</v>
      </c>
      <c r="P23" s="1">
        <f>SUM(O18:O23)</f>
        <v>0.2105697770437655</v>
      </c>
    </row>
    <row r="24" spans="1:19">
      <c r="A24">
        <v>23</v>
      </c>
      <c r="B24">
        <v>0</v>
      </c>
      <c r="C24">
        <v>70010</v>
      </c>
      <c r="D24" s="4" t="str">
        <f>IFERROR(VLOOKUP(C24,[1]引用表合并!$A$2:$B$1000,2,FALSE),"")</f>
        <v>部位材料(武器)</v>
      </c>
      <c r="E24">
        <v>5</v>
      </c>
      <c r="F24">
        <v>30</v>
      </c>
      <c r="G24">
        <v>0</v>
      </c>
      <c r="H24">
        <f>ROUNDUP(VLOOKUP(C24,[2]!游戏物价查询,7,FALSE),0)*E24</f>
        <v>15</v>
      </c>
      <c r="I24">
        <v>0</v>
      </c>
      <c r="K24">
        <v>19</v>
      </c>
      <c r="L24">
        <v>100</v>
      </c>
      <c r="M24">
        <v>0</v>
      </c>
      <c r="O24" s="17">
        <f t="shared" si="0"/>
        <v>2.4772914946325351E-2</v>
      </c>
      <c r="P24" s="1"/>
    </row>
    <row r="25" spans="1:19">
      <c r="A25">
        <v>24</v>
      </c>
      <c r="B25">
        <v>0</v>
      </c>
      <c r="C25">
        <v>71010</v>
      </c>
      <c r="D25" s="4" t="str">
        <f>IFERROR(VLOOKUP(C25,[1]引用表合并!$A$2:$B$1000,2,FALSE),"")</f>
        <v>部位材料(衣服)</v>
      </c>
      <c r="E25">
        <v>5</v>
      </c>
      <c r="F25">
        <v>30</v>
      </c>
      <c r="G25">
        <v>0</v>
      </c>
      <c r="H25">
        <f>ROUNDUP(VLOOKUP(C25,[2]!游戏物价查询,7,FALSE),0)*E25</f>
        <v>15</v>
      </c>
      <c r="I25">
        <v>0</v>
      </c>
      <c r="K25">
        <v>19</v>
      </c>
      <c r="L25">
        <v>100</v>
      </c>
      <c r="M25">
        <v>0</v>
      </c>
      <c r="O25" s="17">
        <f t="shared" si="0"/>
        <v>2.4772914946325351E-2</v>
      </c>
      <c r="P25" s="1"/>
    </row>
    <row r="26" spans="1:19">
      <c r="A26">
        <v>25</v>
      </c>
      <c r="B26">
        <v>0</v>
      </c>
      <c r="C26">
        <v>72010</v>
      </c>
      <c r="D26" s="4" t="str">
        <f>IFERROR(VLOOKUP(C26,[1]引用表合并!$A$2:$B$1000,2,FALSE),"")</f>
        <v>部位材料(裤子)</v>
      </c>
      <c r="E26">
        <v>5</v>
      </c>
      <c r="F26">
        <v>30</v>
      </c>
      <c r="G26">
        <v>0</v>
      </c>
      <c r="H26">
        <f>ROUNDUP(VLOOKUP(C26,[2]!游戏物价查询,7,FALSE),0)*E26</f>
        <v>15</v>
      </c>
      <c r="I26">
        <v>0</v>
      </c>
      <c r="K26">
        <v>19</v>
      </c>
      <c r="L26">
        <v>100</v>
      </c>
      <c r="M26">
        <v>0</v>
      </c>
      <c r="O26" s="17">
        <f t="shared" si="0"/>
        <v>2.4772914946325351E-2</v>
      </c>
      <c r="P26" s="1"/>
    </row>
    <row r="27" spans="1:19">
      <c r="A27">
        <v>26</v>
      </c>
      <c r="B27">
        <v>0</v>
      </c>
      <c r="C27">
        <v>73010</v>
      </c>
      <c r="D27" s="4" t="str">
        <f>IFERROR(VLOOKUP(C27,[1]引用表合并!$A$2:$B$1000,2,FALSE),"")</f>
        <v>部位材料(项链)</v>
      </c>
      <c r="E27">
        <v>5</v>
      </c>
      <c r="F27">
        <v>30</v>
      </c>
      <c r="G27">
        <v>0</v>
      </c>
      <c r="H27">
        <f>ROUNDUP(VLOOKUP(C27,[2]!游戏物价查询,7,FALSE),0)*E27</f>
        <v>15</v>
      </c>
      <c r="I27">
        <v>0</v>
      </c>
      <c r="K27">
        <v>19</v>
      </c>
      <c r="L27">
        <v>100</v>
      </c>
      <c r="M27">
        <v>0</v>
      </c>
      <c r="O27" s="17">
        <f t="shared" si="0"/>
        <v>2.4772914946325351E-2</v>
      </c>
      <c r="P27" s="1"/>
    </row>
    <row r="28" spans="1:19">
      <c r="A28">
        <v>27</v>
      </c>
      <c r="B28">
        <v>0</v>
      </c>
      <c r="C28">
        <v>74010</v>
      </c>
      <c r="D28" s="4" t="str">
        <f>IFERROR(VLOOKUP(C28,[1]引用表合并!$A$2:$B$1000,2,FALSE),"")</f>
        <v>部位材料(腰带)</v>
      </c>
      <c r="E28">
        <v>5</v>
      </c>
      <c r="F28">
        <v>30</v>
      </c>
      <c r="G28">
        <v>0</v>
      </c>
      <c r="H28">
        <f>ROUNDUP(VLOOKUP(C28,[2]!游戏物价查询,7,FALSE),0)*E28</f>
        <v>15</v>
      </c>
      <c r="I28">
        <v>0</v>
      </c>
      <c r="K28">
        <v>19</v>
      </c>
      <c r="L28">
        <v>100</v>
      </c>
      <c r="M28">
        <v>0</v>
      </c>
      <c r="O28" s="17">
        <f t="shared" si="0"/>
        <v>2.4772914946325351E-2</v>
      </c>
      <c r="P28" s="1"/>
    </row>
    <row r="29" spans="1:19">
      <c r="A29">
        <v>28</v>
      </c>
      <c r="B29">
        <v>0</v>
      </c>
      <c r="C29">
        <v>75010</v>
      </c>
      <c r="D29" s="4" t="str">
        <f>IFERROR(VLOOKUP(C29,[1]引用表合并!$A$2:$B$1000,2,FALSE),"")</f>
        <v>部位材料(鞋子)</v>
      </c>
      <c r="E29">
        <v>5</v>
      </c>
      <c r="F29">
        <v>30</v>
      </c>
      <c r="G29">
        <v>0</v>
      </c>
      <c r="H29">
        <f>ROUNDUP(VLOOKUP(C29,[2]!游戏物价查询,7,FALSE),0)*E29</f>
        <v>15</v>
      </c>
      <c r="I29">
        <v>0</v>
      </c>
      <c r="K29">
        <v>19</v>
      </c>
      <c r="L29">
        <v>100</v>
      </c>
      <c r="M29">
        <v>0</v>
      </c>
      <c r="O29" s="17">
        <f t="shared" si="0"/>
        <v>2.4772914946325351E-2</v>
      </c>
      <c r="P29" s="1"/>
    </row>
    <row r="30" spans="1:19">
      <c r="A30">
        <v>29</v>
      </c>
      <c r="B30">
        <v>0</v>
      </c>
      <c r="C30">
        <v>70010</v>
      </c>
      <c r="D30" s="4" t="str">
        <f>IFERROR(VLOOKUP(C30,[1]引用表合并!$A$2:$B$1000,2,FALSE),"")</f>
        <v>部位材料(武器)</v>
      </c>
      <c r="E30">
        <v>10</v>
      </c>
      <c r="F30">
        <f>F24/2</f>
        <v>15</v>
      </c>
      <c r="G30">
        <v>0</v>
      </c>
      <c r="H30">
        <f>ROUNDUP(VLOOKUP(C30,[2]!游戏物价查询,7,FALSE),0)*E30</f>
        <v>30</v>
      </c>
      <c r="I30">
        <v>0</v>
      </c>
      <c r="K30">
        <v>19</v>
      </c>
      <c r="L30">
        <v>100</v>
      </c>
      <c r="M30">
        <v>0</v>
      </c>
      <c r="O30" s="17">
        <f t="shared" si="0"/>
        <v>1.2386457473162676E-2</v>
      </c>
      <c r="P30" s="1"/>
    </row>
    <row r="31" spans="1:19">
      <c r="A31">
        <v>30</v>
      </c>
      <c r="B31">
        <v>0</v>
      </c>
      <c r="C31">
        <v>71010</v>
      </c>
      <c r="D31" s="4" t="str">
        <f>IFERROR(VLOOKUP(C31,[1]引用表合并!$A$2:$B$1000,2,FALSE),"")</f>
        <v>部位材料(衣服)</v>
      </c>
      <c r="E31">
        <v>10</v>
      </c>
      <c r="F31">
        <f t="shared" ref="F31:F35" si="3">F25/2</f>
        <v>15</v>
      </c>
      <c r="G31">
        <v>0</v>
      </c>
      <c r="H31">
        <f>ROUNDUP(VLOOKUP(C31,[2]!游戏物价查询,7,FALSE),0)*E31</f>
        <v>30</v>
      </c>
      <c r="I31">
        <v>0</v>
      </c>
      <c r="K31">
        <v>19</v>
      </c>
      <c r="L31">
        <v>100</v>
      </c>
      <c r="M31">
        <v>0</v>
      </c>
      <c r="O31" s="17">
        <f t="shared" si="0"/>
        <v>1.2386457473162676E-2</v>
      </c>
      <c r="P31" s="1"/>
    </row>
    <row r="32" spans="1:19">
      <c r="A32">
        <v>31</v>
      </c>
      <c r="B32">
        <v>0</v>
      </c>
      <c r="C32">
        <v>72010</v>
      </c>
      <c r="D32" s="4" t="str">
        <f>IFERROR(VLOOKUP(C32,[1]引用表合并!$A$2:$B$1000,2,FALSE),"")</f>
        <v>部位材料(裤子)</v>
      </c>
      <c r="E32">
        <v>10</v>
      </c>
      <c r="F32">
        <f t="shared" si="3"/>
        <v>15</v>
      </c>
      <c r="G32">
        <v>0</v>
      </c>
      <c r="H32">
        <f>ROUNDUP(VLOOKUP(C32,[2]!游戏物价查询,7,FALSE),0)*E32</f>
        <v>30</v>
      </c>
      <c r="I32">
        <v>0</v>
      </c>
      <c r="K32">
        <v>19</v>
      </c>
      <c r="L32">
        <v>100</v>
      </c>
      <c r="M32">
        <v>0</v>
      </c>
      <c r="O32" s="17">
        <f t="shared" si="0"/>
        <v>1.2386457473162676E-2</v>
      </c>
      <c r="P32" s="1"/>
    </row>
    <row r="33" spans="1:20">
      <c r="A33">
        <v>32</v>
      </c>
      <c r="B33">
        <v>0</v>
      </c>
      <c r="C33">
        <v>73010</v>
      </c>
      <c r="D33" s="4" t="str">
        <f>IFERROR(VLOOKUP(C33,[1]引用表合并!$A$2:$B$1000,2,FALSE),"")</f>
        <v>部位材料(项链)</v>
      </c>
      <c r="E33">
        <v>10</v>
      </c>
      <c r="F33">
        <f t="shared" si="3"/>
        <v>15</v>
      </c>
      <c r="G33">
        <v>0</v>
      </c>
      <c r="H33">
        <f>ROUNDUP(VLOOKUP(C33,[2]!游戏物价查询,7,FALSE),0)*E33</f>
        <v>30</v>
      </c>
      <c r="I33">
        <v>0</v>
      </c>
      <c r="K33">
        <v>19</v>
      </c>
      <c r="L33">
        <v>100</v>
      </c>
      <c r="M33">
        <v>0</v>
      </c>
      <c r="O33" s="17">
        <f t="shared" si="0"/>
        <v>1.2386457473162676E-2</v>
      </c>
      <c r="P33" s="1"/>
    </row>
    <row r="34" spans="1:20">
      <c r="A34">
        <v>33</v>
      </c>
      <c r="B34">
        <v>0</v>
      </c>
      <c r="C34">
        <v>74010</v>
      </c>
      <c r="D34" s="4" t="str">
        <f>IFERROR(VLOOKUP(C34,[1]引用表合并!$A$2:$B$1000,2,FALSE),"")</f>
        <v>部位材料(腰带)</v>
      </c>
      <c r="E34">
        <v>10</v>
      </c>
      <c r="F34">
        <f t="shared" si="3"/>
        <v>15</v>
      </c>
      <c r="G34">
        <v>0</v>
      </c>
      <c r="H34">
        <f>ROUNDUP(VLOOKUP(C34,[2]!游戏物价查询,7,FALSE),0)*E34</f>
        <v>30</v>
      </c>
      <c r="I34">
        <v>0</v>
      </c>
      <c r="K34">
        <v>19</v>
      </c>
      <c r="L34">
        <v>100</v>
      </c>
      <c r="M34">
        <v>0</v>
      </c>
      <c r="O34" s="17">
        <f t="shared" ref="O34:O62" si="4">IF(F34&lt;0,"100%",F34/SUMIF(F:F,"&gt;0"))</f>
        <v>1.2386457473162676E-2</v>
      </c>
      <c r="P34" s="1"/>
    </row>
    <row r="35" spans="1:20">
      <c r="A35">
        <v>34</v>
      </c>
      <c r="B35">
        <v>0</v>
      </c>
      <c r="C35">
        <v>75010</v>
      </c>
      <c r="D35" s="4" t="str">
        <f>IFERROR(VLOOKUP(C35,[1]引用表合并!$A$2:$B$1000,2,FALSE),"")</f>
        <v>部位材料(鞋子)</v>
      </c>
      <c r="E35">
        <v>10</v>
      </c>
      <c r="F35">
        <f t="shared" si="3"/>
        <v>15</v>
      </c>
      <c r="G35">
        <v>0</v>
      </c>
      <c r="H35">
        <f>ROUNDUP(VLOOKUP(C35,[2]!游戏物价查询,7,FALSE),0)*E35</f>
        <v>30</v>
      </c>
      <c r="I35">
        <v>0</v>
      </c>
      <c r="K35">
        <v>19</v>
      </c>
      <c r="L35">
        <v>100</v>
      </c>
      <c r="M35">
        <v>0</v>
      </c>
      <c r="O35" s="17">
        <f t="shared" si="4"/>
        <v>1.2386457473162676E-2</v>
      </c>
      <c r="P35" s="1">
        <f>SUM(O24:O35)</f>
        <v>0.22295623451692811</v>
      </c>
      <c r="S35">
        <f>SUMPRODUCT(O24:O35,E24:E35)*6</f>
        <v>8.9182493806771248</v>
      </c>
    </row>
    <row r="36" spans="1:20">
      <c r="A36">
        <v>35</v>
      </c>
      <c r="B36">
        <v>0</v>
      </c>
      <c r="C36" s="49">
        <v>93142</v>
      </c>
      <c r="D36" s="4" t="str">
        <f>IFERROR(VLOOKUP(C36,[1]引用表合并!$A$2:$B$1000,2,FALSE),"")</f>
        <v>黄金戒指碎片</v>
      </c>
      <c r="E36">
        <v>1</v>
      </c>
      <c r="F36">
        <v>22</v>
      </c>
      <c r="G36">
        <v>0</v>
      </c>
      <c r="H36">
        <f>ROUNDUP(VLOOKUP(C36,[2]!游戏物价查询,7,FALSE),0)*E36</f>
        <v>4</v>
      </c>
      <c r="I36">
        <v>0</v>
      </c>
      <c r="K36">
        <v>19</v>
      </c>
      <c r="L36">
        <v>100</v>
      </c>
      <c r="M36">
        <v>0</v>
      </c>
      <c r="O36" s="17">
        <f t="shared" si="4"/>
        <v>1.8166804293971925E-2</v>
      </c>
      <c r="P36" s="1"/>
    </row>
    <row r="37" spans="1:20">
      <c r="A37">
        <v>36</v>
      </c>
      <c r="B37">
        <v>0</v>
      </c>
      <c r="C37" s="49">
        <v>93235</v>
      </c>
      <c r="D37" s="4" t="str">
        <f>IFERROR(VLOOKUP(C37,[1]引用表合并!$A$2:$B$1000,2,FALSE),"")</f>
        <v>宝石手环碎片</v>
      </c>
      <c r="E37">
        <v>1</v>
      </c>
      <c r="F37">
        <v>22</v>
      </c>
      <c r="G37">
        <v>0</v>
      </c>
      <c r="H37">
        <f>ROUNDUP(VLOOKUP(C37,[2]!游戏物价查询,7,FALSE),0)*E37</f>
        <v>4</v>
      </c>
      <c r="I37">
        <v>0</v>
      </c>
      <c r="K37">
        <v>19</v>
      </c>
      <c r="L37">
        <v>100</v>
      </c>
      <c r="M37">
        <v>0</v>
      </c>
      <c r="O37" s="17">
        <f t="shared" si="4"/>
        <v>1.8166804293971925E-2</v>
      </c>
      <c r="P37" s="1"/>
    </row>
    <row r="38" spans="1:20">
      <c r="A38">
        <v>37</v>
      </c>
      <c r="B38">
        <v>0</v>
      </c>
      <c r="C38" s="49">
        <v>93012</v>
      </c>
      <c r="D38" s="4" t="str">
        <f>IFERROR(VLOOKUP(C38,[1]引用表合并!$A$2:$B$1000,2,FALSE),"")</f>
        <v>摩拉碎片</v>
      </c>
      <c r="E38">
        <v>1</v>
      </c>
      <c r="F38">
        <v>22</v>
      </c>
      <c r="G38">
        <v>0</v>
      </c>
      <c r="H38">
        <f>ROUNDUP(VLOOKUP(C38,[2]!游戏物价查询,7,FALSE),0)*E38</f>
        <v>4</v>
      </c>
      <c r="I38">
        <v>0</v>
      </c>
      <c r="K38">
        <v>19</v>
      </c>
      <c r="L38">
        <v>100</v>
      </c>
      <c r="M38">
        <v>0</v>
      </c>
      <c r="O38" s="17">
        <f t="shared" si="4"/>
        <v>1.8166804293971925E-2</v>
      </c>
      <c r="P38" s="1"/>
    </row>
    <row r="39" spans="1:20">
      <c r="A39">
        <v>38</v>
      </c>
      <c r="B39">
        <v>0</v>
      </c>
      <c r="C39" s="49">
        <v>93252</v>
      </c>
      <c r="D39" s="4" t="str">
        <f>IFERROR(VLOOKUP(C39,[1]引用表合并!$A$2:$B$1000,2,FALSE),"")</f>
        <v>青玉项链碎片</v>
      </c>
      <c r="E39">
        <v>1</v>
      </c>
      <c r="F39">
        <v>22</v>
      </c>
      <c r="G39">
        <v>0</v>
      </c>
      <c r="H39">
        <f>ROUNDUP(VLOOKUP(C39,[2]!游戏物价查询,7,FALSE),0)*E39</f>
        <v>4</v>
      </c>
      <c r="I39">
        <v>0</v>
      </c>
      <c r="K39">
        <v>19</v>
      </c>
      <c r="L39">
        <v>100</v>
      </c>
      <c r="M39">
        <v>0</v>
      </c>
      <c r="O39" s="17">
        <f t="shared" si="4"/>
        <v>1.8166804293971925E-2</v>
      </c>
      <c r="P39" s="1"/>
    </row>
    <row r="40" spans="1:20">
      <c r="A40">
        <v>39</v>
      </c>
      <c r="B40">
        <v>0</v>
      </c>
      <c r="C40" s="49">
        <v>93124</v>
      </c>
      <c r="D40" s="4" t="str">
        <f>IFERROR(VLOOKUP(C40,[1]引用表合并!$A$2:$B$1000,2,FALSE),"")</f>
        <v>水晶耳钉碎片</v>
      </c>
      <c r="E40">
        <v>1</v>
      </c>
      <c r="F40">
        <v>22</v>
      </c>
      <c r="G40">
        <v>0</v>
      </c>
      <c r="H40">
        <f>ROUNDUP(VLOOKUP(C40,[2]!游戏物价查询,7,FALSE),0)*E40</f>
        <v>4</v>
      </c>
      <c r="I40">
        <v>0</v>
      </c>
      <c r="K40">
        <v>19</v>
      </c>
      <c r="L40">
        <v>100</v>
      </c>
      <c r="M40">
        <v>0</v>
      </c>
      <c r="O40" s="17">
        <f t="shared" si="4"/>
        <v>1.8166804293971925E-2</v>
      </c>
      <c r="P40" s="1"/>
    </row>
    <row r="41" spans="1:20">
      <c r="A41">
        <v>40</v>
      </c>
      <c r="B41">
        <v>0</v>
      </c>
      <c r="C41" s="49">
        <v>93272</v>
      </c>
      <c r="D41" s="4" t="str">
        <f>IFERROR(VLOOKUP(C41,[1]引用表合并!$A$2:$B$1000,2,FALSE),"")</f>
        <v>金针手表碎片</v>
      </c>
      <c r="E41">
        <v>1</v>
      </c>
      <c r="F41">
        <v>22</v>
      </c>
      <c r="G41">
        <v>0</v>
      </c>
      <c r="H41">
        <f>ROUNDUP(VLOOKUP(C41,[2]!游戏物价查询,7,FALSE),0)*E41</f>
        <v>4</v>
      </c>
      <c r="I41">
        <v>0</v>
      </c>
      <c r="K41">
        <v>19</v>
      </c>
      <c r="L41">
        <v>100</v>
      </c>
      <c r="M41">
        <v>0</v>
      </c>
      <c r="O41" s="17">
        <f t="shared" si="4"/>
        <v>1.8166804293971925E-2</v>
      </c>
      <c r="P41" s="1"/>
    </row>
    <row r="42" spans="1:20">
      <c r="A42">
        <v>41</v>
      </c>
      <c r="B42">
        <v>0</v>
      </c>
      <c r="C42" s="49">
        <v>93273</v>
      </c>
      <c r="D42" s="4" t="str">
        <f>IFERROR(VLOOKUP(C42,[1]引用表合并!$A$2:$B$1000,2,FALSE),"")</f>
        <v>智能手表碎片</v>
      </c>
      <c r="E42">
        <v>1</v>
      </c>
      <c r="F42">
        <v>22</v>
      </c>
      <c r="G42">
        <v>0</v>
      </c>
      <c r="H42">
        <f>ROUNDUP(VLOOKUP(C42,[2]!游戏物价查询,7,FALSE),0)*E42</f>
        <v>4</v>
      </c>
      <c r="I42">
        <v>0</v>
      </c>
      <c r="K42">
        <v>19</v>
      </c>
      <c r="L42">
        <v>100</v>
      </c>
      <c r="M42">
        <v>0</v>
      </c>
      <c r="O42" s="17">
        <f t="shared" si="4"/>
        <v>1.8166804293971925E-2</v>
      </c>
      <c r="P42" s="1"/>
    </row>
    <row r="43" spans="1:20">
      <c r="A43">
        <v>42</v>
      </c>
      <c r="B43">
        <v>0</v>
      </c>
      <c r="C43" s="49">
        <v>93279</v>
      </c>
      <c r="D43" s="4" t="str">
        <f>IFERROR(VLOOKUP(C43,[1]引用表合并!$A$2:$B$1000,2,FALSE),"")</f>
        <v>宾倪碎片</v>
      </c>
      <c r="E43">
        <v>1</v>
      </c>
      <c r="F43">
        <v>22</v>
      </c>
      <c r="G43">
        <v>0</v>
      </c>
      <c r="H43">
        <f>ROUNDUP(VLOOKUP(C43,[2]!游戏物价查询,7,FALSE),0)*E43</f>
        <v>4</v>
      </c>
      <c r="I43">
        <v>0</v>
      </c>
      <c r="K43">
        <v>19</v>
      </c>
      <c r="L43">
        <v>100</v>
      </c>
      <c r="M43">
        <v>0</v>
      </c>
      <c r="O43" s="17">
        <f t="shared" si="4"/>
        <v>1.8166804293971925E-2</v>
      </c>
      <c r="P43" s="1"/>
    </row>
    <row r="44" spans="1:20">
      <c r="A44">
        <v>43</v>
      </c>
      <c r="B44">
        <v>0</v>
      </c>
      <c r="C44" s="49">
        <v>93284</v>
      </c>
      <c r="D44" s="4" t="str">
        <f>IFERROR(VLOOKUP(C44,[1]引用表合并!$A$2:$B$1000,2,FALSE),"")</f>
        <v>大迭钞票碎片</v>
      </c>
      <c r="E44">
        <v>1</v>
      </c>
      <c r="F44">
        <v>22</v>
      </c>
      <c r="G44">
        <v>0</v>
      </c>
      <c r="H44">
        <f>ROUNDUP(VLOOKUP(C44,[2]!游戏物价查询,7,FALSE),0)*E44</f>
        <v>4</v>
      </c>
      <c r="I44">
        <v>0</v>
      </c>
      <c r="K44">
        <v>19</v>
      </c>
      <c r="L44">
        <v>100</v>
      </c>
      <c r="M44">
        <v>0</v>
      </c>
      <c r="O44" s="17">
        <f t="shared" si="4"/>
        <v>1.8166804293971925E-2</v>
      </c>
      <c r="P44" s="1"/>
    </row>
    <row r="45" spans="1:20">
      <c r="A45">
        <v>44</v>
      </c>
      <c r="B45">
        <v>0</v>
      </c>
      <c r="C45" s="49">
        <v>93288</v>
      </c>
      <c r="D45" s="4" t="str">
        <f>IFERROR(VLOOKUP(C45,[1]引用表合并!$A$2:$B$1000,2,FALSE),"")</f>
        <v>大金块碎片</v>
      </c>
      <c r="E45">
        <v>1</v>
      </c>
      <c r="F45">
        <v>22</v>
      </c>
      <c r="G45">
        <v>0</v>
      </c>
      <c r="H45">
        <f>ROUNDUP(VLOOKUP(C45,[2]!游戏物价查询,7,FALSE),0)*E45</f>
        <v>4</v>
      </c>
      <c r="I45">
        <v>0</v>
      </c>
      <c r="K45">
        <v>19</v>
      </c>
      <c r="L45">
        <v>100</v>
      </c>
      <c r="M45">
        <v>0</v>
      </c>
      <c r="O45" s="17">
        <f t="shared" si="4"/>
        <v>1.8166804293971925E-2</v>
      </c>
      <c r="P45" s="1"/>
      <c r="Q45" s="1">
        <f>SUM(O36:O45)</f>
        <v>0.18166804293971928</v>
      </c>
      <c r="R45" s="1">
        <f>Q45/Q57</f>
        <v>2.1568627450980404</v>
      </c>
      <c r="S45">
        <f>SUMPRODUCT(O36:O45,E36:E45)*6</f>
        <v>1.0900082576383157</v>
      </c>
      <c r="T45">
        <f>[2]马仔宝物投放!$S$42*[2]马仔宝物投放!$S$9/[2]马仔宝物投放!$J$9/[2]马仔宝物投放!$M$9</f>
        <v>0</v>
      </c>
    </row>
    <row r="46" spans="1:20">
      <c r="A46">
        <v>45</v>
      </c>
      <c r="B46">
        <v>0</v>
      </c>
      <c r="C46" s="50">
        <v>93125</v>
      </c>
      <c r="D46" s="4" t="str">
        <f>IFERROR(VLOOKUP(C46,[1]引用表合并!$A$2:$B$1000,2,FALSE),"")</f>
        <v>红石耳钉碎片</v>
      </c>
      <c r="E46">
        <v>1</v>
      </c>
      <c r="F46">
        <v>9</v>
      </c>
      <c r="G46">
        <v>0</v>
      </c>
      <c r="H46">
        <f>ROUNDUP(VLOOKUP(C46,[2]!游戏物价查询,7,FALSE),0)*E46</f>
        <v>6</v>
      </c>
      <c r="I46">
        <v>0</v>
      </c>
      <c r="K46">
        <v>19</v>
      </c>
      <c r="L46">
        <v>100</v>
      </c>
      <c r="M46">
        <v>0</v>
      </c>
      <c r="O46" s="17">
        <f t="shared" si="4"/>
        <v>7.4318744838976049E-3</v>
      </c>
      <c r="P46" s="1"/>
    </row>
    <row r="47" spans="1:20">
      <c r="A47">
        <v>46</v>
      </c>
      <c r="B47">
        <v>0</v>
      </c>
      <c r="C47" s="50">
        <v>93134</v>
      </c>
      <c r="D47" s="4" t="str">
        <f>IFERROR(VLOOKUP(C47,[1]引用表合并!$A$2:$B$1000,2,FALSE),"")</f>
        <v>毒蝎耳钉碎片</v>
      </c>
      <c r="E47">
        <v>1</v>
      </c>
      <c r="F47">
        <v>9</v>
      </c>
      <c r="G47">
        <v>0</v>
      </c>
      <c r="H47">
        <f>ROUNDUP(VLOOKUP(C47,[2]!游戏物价查询,7,FALSE),0)*E47</f>
        <v>6</v>
      </c>
      <c r="I47">
        <v>0</v>
      </c>
      <c r="K47">
        <v>19</v>
      </c>
      <c r="L47">
        <v>100</v>
      </c>
      <c r="M47">
        <v>0</v>
      </c>
      <c r="O47" s="17">
        <f t="shared" si="4"/>
        <v>7.4318744838976049E-3</v>
      </c>
      <c r="P47" s="1"/>
    </row>
    <row r="48" spans="1:20">
      <c r="A48">
        <v>47</v>
      </c>
      <c r="B48">
        <v>0</v>
      </c>
      <c r="C48" s="50">
        <v>93223</v>
      </c>
      <c r="D48" s="4" t="str">
        <f>IFERROR(VLOOKUP(C48,[1]引用表合并!$A$2:$B$1000,2,FALSE),"")</f>
        <v>赤金戒指碎片</v>
      </c>
      <c r="E48">
        <v>1</v>
      </c>
      <c r="F48">
        <v>9</v>
      </c>
      <c r="G48">
        <v>0</v>
      </c>
      <c r="H48">
        <f>ROUNDUP(VLOOKUP(C48,[2]!游戏物价查询,7,FALSE),0)*E48</f>
        <v>6</v>
      </c>
      <c r="I48">
        <v>0</v>
      </c>
      <c r="K48">
        <v>19</v>
      </c>
      <c r="L48">
        <v>100</v>
      </c>
      <c r="M48">
        <v>0</v>
      </c>
      <c r="O48" s="17">
        <f t="shared" si="4"/>
        <v>7.4318744838976049E-3</v>
      </c>
      <c r="P48" s="1"/>
    </row>
    <row r="49" spans="1:20">
      <c r="A49">
        <v>48</v>
      </c>
      <c r="B49">
        <v>0</v>
      </c>
      <c r="C49" s="50">
        <v>93227</v>
      </c>
      <c r="D49" s="4" t="str">
        <f>IFERROR(VLOOKUP(C49,[1]引用表合并!$A$2:$B$1000,2,FALSE),"")</f>
        <v>王者手环碎片</v>
      </c>
      <c r="E49">
        <v>1</v>
      </c>
      <c r="F49">
        <v>9</v>
      </c>
      <c r="G49">
        <v>0</v>
      </c>
      <c r="H49">
        <f>ROUNDUP(VLOOKUP(C49,[2]!游戏物价查询,7,FALSE),0)*E49</f>
        <v>6</v>
      </c>
      <c r="I49">
        <v>0</v>
      </c>
      <c r="K49">
        <v>19</v>
      </c>
      <c r="L49">
        <v>100</v>
      </c>
      <c r="M49">
        <v>0</v>
      </c>
      <c r="O49" s="17">
        <f t="shared" si="4"/>
        <v>7.4318744838976049E-3</v>
      </c>
      <c r="P49" s="1"/>
    </row>
    <row r="50" spans="1:20">
      <c r="A50">
        <v>49</v>
      </c>
      <c r="B50">
        <v>0</v>
      </c>
      <c r="C50" s="50">
        <v>93236</v>
      </c>
      <c r="D50" s="4" t="str">
        <f>IFERROR(VLOOKUP(C50,[1]引用表合并!$A$2:$B$1000,2,FALSE),"")</f>
        <v>符文手环碎片</v>
      </c>
      <c r="E50">
        <v>1</v>
      </c>
      <c r="F50">
        <v>9</v>
      </c>
      <c r="G50">
        <v>0</v>
      </c>
      <c r="H50">
        <f>ROUNDUP(VLOOKUP(C50,[2]!游戏物价查询,7,FALSE),0)*E50</f>
        <v>6</v>
      </c>
      <c r="I50">
        <v>0</v>
      </c>
      <c r="K50">
        <v>19</v>
      </c>
      <c r="L50">
        <v>100</v>
      </c>
      <c r="M50">
        <v>0</v>
      </c>
      <c r="O50" s="17">
        <f t="shared" si="4"/>
        <v>7.4318744838976049E-3</v>
      </c>
      <c r="P50" s="1"/>
    </row>
    <row r="51" spans="1:20">
      <c r="A51">
        <v>50</v>
      </c>
      <c r="B51">
        <v>0</v>
      </c>
      <c r="C51" s="50">
        <v>93013</v>
      </c>
      <c r="D51" s="4" t="str">
        <f>IFERROR(VLOOKUP(C51,[1]引用表合并!$A$2:$B$1000,2,FALSE),"")</f>
        <v>月立碎片</v>
      </c>
      <c r="E51">
        <v>1</v>
      </c>
      <c r="F51">
        <v>9</v>
      </c>
      <c r="G51">
        <v>0</v>
      </c>
      <c r="H51">
        <f>ROUNDUP(VLOOKUP(C51,[2]!游戏物价查询,7,FALSE),0)*E51</f>
        <v>6</v>
      </c>
      <c r="I51">
        <v>0</v>
      </c>
      <c r="K51">
        <v>19</v>
      </c>
      <c r="L51">
        <v>100</v>
      </c>
      <c r="M51">
        <v>0</v>
      </c>
      <c r="O51" s="17">
        <f t="shared" si="4"/>
        <v>7.4318744838976049E-3</v>
      </c>
      <c r="P51" s="1"/>
    </row>
    <row r="52" spans="1:20">
      <c r="A52">
        <v>51</v>
      </c>
      <c r="B52">
        <v>0</v>
      </c>
      <c r="C52" s="50">
        <v>93253</v>
      </c>
      <c r="D52" s="4" t="str">
        <f>IFERROR(VLOOKUP(C52,[1]引用表合并!$A$2:$B$1000,2,FALSE),"")</f>
        <v>猫妖项链碎片</v>
      </c>
      <c r="E52">
        <v>1</v>
      </c>
      <c r="F52">
        <v>8</v>
      </c>
      <c r="G52">
        <v>0</v>
      </c>
      <c r="H52">
        <f>ROUNDUP(VLOOKUP(C52,[2]!游戏物价查询,7,FALSE),0)*E52</f>
        <v>6</v>
      </c>
      <c r="I52">
        <v>0</v>
      </c>
      <c r="K52">
        <v>19</v>
      </c>
      <c r="L52">
        <v>100</v>
      </c>
      <c r="M52">
        <v>0</v>
      </c>
      <c r="O52" s="17">
        <f t="shared" si="4"/>
        <v>6.6061106523534266E-3</v>
      </c>
      <c r="P52" s="1"/>
    </row>
    <row r="53" spans="1:20">
      <c r="A53">
        <v>52</v>
      </c>
      <c r="B53">
        <v>0</v>
      </c>
      <c r="C53" s="50">
        <v>93254</v>
      </c>
      <c r="D53" s="4" t="str">
        <f>IFERROR(VLOOKUP(C53,[1]引用表合并!$A$2:$B$1000,2,FALSE),"")</f>
        <v>苍蓝项链碎片</v>
      </c>
      <c r="E53">
        <v>1</v>
      </c>
      <c r="F53">
        <v>8</v>
      </c>
      <c r="G53">
        <v>0</v>
      </c>
      <c r="H53">
        <f>ROUNDUP(VLOOKUP(C53,[2]!游戏物价查询,7,FALSE),0)*E53</f>
        <v>6</v>
      </c>
      <c r="I53">
        <v>0</v>
      </c>
      <c r="K53">
        <v>19</v>
      </c>
      <c r="L53">
        <v>100</v>
      </c>
      <c r="M53">
        <v>0</v>
      </c>
      <c r="O53" s="17">
        <f t="shared" si="4"/>
        <v>6.6061106523534266E-3</v>
      </c>
      <c r="P53" s="1"/>
    </row>
    <row r="54" spans="1:20">
      <c r="A54">
        <v>53</v>
      </c>
      <c r="B54">
        <v>0</v>
      </c>
      <c r="C54" s="50">
        <v>93274</v>
      </c>
      <c r="D54" s="4" t="str">
        <f>IFERROR(VLOOKUP(C54,[1]引用表合并!$A$2:$B$1000,2,FALSE),"")</f>
        <v>汉密手表碎片</v>
      </c>
      <c r="E54">
        <v>1</v>
      </c>
      <c r="F54">
        <v>8</v>
      </c>
      <c r="G54">
        <v>0</v>
      </c>
      <c r="H54">
        <f>ROUNDUP(VLOOKUP(C54,[2]!游戏物价查询,7,FALSE),0)*E54</f>
        <v>6</v>
      </c>
      <c r="I54">
        <v>0</v>
      </c>
      <c r="K54">
        <v>19</v>
      </c>
      <c r="L54">
        <v>100</v>
      </c>
      <c r="M54">
        <v>0</v>
      </c>
      <c r="O54" s="17">
        <f t="shared" si="4"/>
        <v>6.6061106523534266E-3</v>
      </c>
      <c r="P54" s="1"/>
    </row>
    <row r="55" spans="1:20">
      <c r="A55">
        <v>54</v>
      </c>
      <c r="B55">
        <v>0</v>
      </c>
      <c r="C55" s="50">
        <v>93280</v>
      </c>
      <c r="D55" s="4" t="str">
        <f>IFERROR(VLOOKUP(C55,[1]引用表合并!$A$2:$B$1000,2,FALSE),"")</f>
        <v>法拉捷碎片</v>
      </c>
      <c r="E55">
        <v>1</v>
      </c>
      <c r="F55">
        <v>8</v>
      </c>
      <c r="G55">
        <v>0</v>
      </c>
      <c r="H55">
        <f>ROUNDUP(VLOOKUP(C55,[2]!游戏物价查询,7,FALSE),0)*E55</f>
        <v>6</v>
      </c>
      <c r="I55">
        <v>0</v>
      </c>
      <c r="K55">
        <v>19</v>
      </c>
      <c r="L55">
        <v>100</v>
      </c>
      <c r="M55">
        <v>0</v>
      </c>
      <c r="O55" s="17">
        <f t="shared" si="4"/>
        <v>6.6061106523534266E-3</v>
      </c>
      <c r="P55" s="1"/>
    </row>
    <row r="56" spans="1:20">
      <c r="A56">
        <v>55</v>
      </c>
      <c r="B56">
        <v>0</v>
      </c>
      <c r="C56" s="50">
        <v>93285</v>
      </c>
      <c r="D56" s="4" t="str">
        <f>IFERROR(VLOOKUP(C56,[1]引用表合并!$A$2:$B$1000,2,FALSE),"")</f>
        <v>大堆钞票碎片</v>
      </c>
      <c r="E56">
        <v>1</v>
      </c>
      <c r="F56">
        <v>8</v>
      </c>
      <c r="G56">
        <v>0</v>
      </c>
      <c r="H56">
        <f>ROUNDUP(VLOOKUP(C56,[2]!游戏物价查询,7,FALSE),0)*E56</f>
        <v>6</v>
      </c>
      <c r="I56">
        <v>0</v>
      </c>
      <c r="K56">
        <v>19</v>
      </c>
      <c r="L56">
        <v>100</v>
      </c>
      <c r="M56">
        <v>0</v>
      </c>
      <c r="O56" s="17">
        <f t="shared" si="4"/>
        <v>6.6061106523534266E-3</v>
      </c>
      <c r="P56" s="1"/>
    </row>
    <row r="57" spans="1:20">
      <c r="A57">
        <v>56</v>
      </c>
      <c r="B57">
        <v>0</v>
      </c>
      <c r="C57" s="50">
        <v>93289</v>
      </c>
      <c r="D57" s="4" t="str">
        <f>IFERROR(VLOOKUP(C57,[1]引用表合并!$A$2:$B$1000,2,FALSE),"")</f>
        <v>小堆金块碎片</v>
      </c>
      <c r="E57">
        <v>1</v>
      </c>
      <c r="F57">
        <v>8</v>
      </c>
      <c r="G57">
        <v>0</v>
      </c>
      <c r="H57">
        <f>ROUNDUP(VLOOKUP(C57,[2]!游戏物价查询,7,FALSE),0)*E57</f>
        <v>6</v>
      </c>
      <c r="I57">
        <v>0</v>
      </c>
      <c r="K57">
        <v>19</v>
      </c>
      <c r="L57">
        <v>100</v>
      </c>
      <c r="M57">
        <v>0</v>
      </c>
      <c r="O57" s="17">
        <f t="shared" si="4"/>
        <v>6.6061106523534266E-3</v>
      </c>
      <c r="P57" s="1">
        <f>SUM(O36:O57)</f>
        <v>0.26589595375722541</v>
      </c>
      <c r="Q57" s="1">
        <f>SUM(O46:O57)</f>
        <v>8.4227910817506163E-2</v>
      </c>
      <c r="R57">
        <f>P57*6</f>
        <v>1.5953757225433525</v>
      </c>
      <c r="S57">
        <f>SUMPRODUCT(O46:O57,E46:E57)*6</f>
        <v>0.50536746490503703</v>
      </c>
      <c r="T57">
        <f>[2]马仔宝物投放!$S$43/[2]马仔宝物投放!$M$10*[2]马仔宝物投放!$S$10/[2]马仔宝物投放!$J$10</f>
        <v>0</v>
      </c>
    </row>
    <row r="58" spans="1:20">
      <c r="A58">
        <v>57</v>
      </c>
      <c r="B58">
        <v>0</v>
      </c>
      <c r="C58">
        <v>82200</v>
      </c>
      <c r="D58" s="4" t="str">
        <f>IFERROR(VLOOKUP(C58,[1]引用表合并!$A$2:$B$1000,2,FALSE),"")</f>
        <v>金币卡(2万)</v>
      </c>
      <c r="E58" s="7">
        <v>1</v>
      </c>
      <c r="F58" s="7">
        <v>50</v>
      </c>
      <c r="G58">
        <v>0</v>
      </c>
      <c r="H58">
        <f>ROUNDUP(VLOOKUP(C58,[2]!游戏物价查询,7,FALSE),0)*E58</f>
        <v>40</v>
      </c>
      <c r="I58">
        <v>0</v>
      </c>
      <c r="K58">
        <v>19</v>
      </c>
      <c r="L58">
        <v>100</v>
      </c>
      <c r="M58">
        <v>0</v>
      </c>
      <c r="O58" s="17">
        <f t="shared" si="4"/>
        <v>4.1288191577208921E-2</v>
      </c>
      <c r="P58" s="1"/>
      <c r="S58">
        <f>O58*E58*6</f>
        <v>0.24772914946325353</v>
      </c>
    </row>
    <row r="59" spans="1:20">
      <c r="A59">
        <v>58</v>
      </c>
      <c r="B59">
        <v>0</v>
      </c>
      <c r="C59">
        <v>82300</v>
      </c>
      <c r="D59" s="4" t="str">
        <f>IFERROR(VLOOKUP(C59,[1]引用表合并!$A$2:$B$1000,2,FALSE),"")</f>
        <v>金币卡(5万)</v>
      </c>
      <c r="E59" s="7">
        <v>1</v>
      </c>
      <c r="F59" s="7">
        <v>20</v>
      </c>
      <c r="G59">
        <v>0</v>
      </c>
      <c r="H59">
        <f>ROUNDUP(VLOOKUP(C59,[2]!游戏物价查询,7,FALSE),0)*E59</f>
        <v>100</v>
      </c>
      <c r="I59">
        <v>0</v>
      </c>
      <c r="K59">
        <v>19</v>
      </c>
      <c r="L59">
        <v>100</v>
      </c>
      <c r="M59">
        <v>0</v>
      </c>
      <c r="O59" s="17">
        <f t="shared" si="4"/>
        <v>1.6515276630883566E-2</v>
      </c>
      <c r="P59" s="1">
        <f>SUM(O58:O59)</f>
        <v>5.7803468208092484E-2</v>
      </c>
      <c r="S59">
        <f>O59*E59*6</f>
        <v>9.9091659785301406E-2</v>
      </c>
    </row>
    <row r="60" spans="1:20">
      <c r="A60">
        <v>59</v>
      </c>
      <c r="B60">
        <v>0</v>
      </c>
      <c r="C60">
        <v>91200</v>
      </c>
      <c r="D60" s="4" t="str">
        <f>IFERROR(VLOOKUP(C60,[1]引用表合并!$A$2:$B$1000,2,FALSE),"")</f>
        <v>马仔经验合剂</v>
      </c>
      <c r="E60" s="7">
        <v>5</v>
      </c>
      <c r="F60" s="7">
        <v>-1</v>
      </c>
      <c r="G60">
        <v>0</v>
      </c>
      <c r="H60">
        <f>ROUNDUP(VLOOKUP(C60,[2]!游戏物价查询,7,FALSE),0)*E60</f>
        <v>30</v>
      </c>
      <c r="I60">
        <v>1</v>
      </c>
      <c r="K60">
        <v>19</v>
      </c>
      <c r="L60">
        <v>100</v>
      </c>
      <c r="M60">
        <v>0</v>
      </c>
      <c r="O60" s="17" t="str">
        <f t="shared" si="4"/>
        <v>100%</v>
      </c>
      <c r="P60" s="1">
        <f>SUM(O60:O60)</f>
        <v>0</v>
      </c>
    </row>
    <row r="61" spans="1:20">
      <c r="A61">
        <v>60</v>
      </c>
      <c r="B61">
        <v>0</v>
      </c>
      <c r="C61">
        <v>85200</v>
      </c>
      <c r="D61" s="4" t="str">
        <f>IFERROR(VLOOKUP(C61,[1]引用表合并!$A$2:$B$1000,2,FALSE),"")</f>
        <v>高级装备升级石</v>
      </c>
      <c r="E61" s="7">
        <v>5</v>
      </c>
      <c r="F61" s="7">
        <v>-1</v>
      </c>
      <c r="G61">
        <v>0</v>
      </c>
      <c r="H61">
        <f>ROUNDUP(VLOOKUP(C61,[2]!游戏物价查询,7,FALSE),0)*E61</f>
        <v>50</v>
      </c>
      <c r="I61">
        <v>1</v>
      </c>
      <c r="K61">
        <v>19</v>
      </c>
      <c r="L61">
        <v>100</v>
      </c>
      <c r="M61">
        <v>0</v>
      </c>
      <c r="O61" s="17" t="str">
        <f t="shared" si="4"/>
        <v>100%</v>
      </c>
      <c r="P61" s="1"/>
      <c r="Q61" s="1">
        <f>O61*6</f>
        <v>6</v>
      </c>
      <c r="S61">
        <f>O61*E61</f>
        <v>5</v>
      </c>
      <c r="T61">
        <f>'[2]装备&amp;装备材料的投放'!$AO$36</f>
        <v>0</v>
      </c>
    </row>
    <row r="62" spans="1:20">
      <c r="A62">
        <v>61</v>
      </c>
      <c r="B62">
        <v>0</v>
      </c>
      <c r="C62">
        <v>85300</v>
      </c>
      <c r="D62" s="4" t="str">
        <f>IFERROR(VLOOKUP(C62,[1]引用表合并!$A$2:$B$1000,2,FALSE),"")</f>
        <v>稀有装备升级石</v>
      </c>
      <c r="E62" s="7">
        <v>5</v>
      </c>
      <c r="F62" s="7">
        <v>-1</v>
      </c>
      <c r="G62">
        <v>0</v>
      </c>
      <c r="H62">
        <f>ROUNDUP(VLOOKUP(C62,[2]!游戏物价查询,7,FALSE),0)*E62</f>
        <v>150</v>
      </c>
      <c r="I62">
        <v>1</v>
      </c>
      <c r="K62">
        <v>19</v>
      </c>
      <c r="L62">
        <v>100</v>
      </c>
      <c r="M62">
        <v>0</v>
      </c>
      <c r="O62" s="17" t="str">
        <f t="shared" si="4"/>
        <v>100%</v>
      </c>
      <c r="P62" s="1"/>
      <c r="Q62" s="1">
        <f>O62*6</f>
        <v>6</v>
      </c>
      <c r="S62">
        <f>O62*E62</f>
        <v>5</v>
      </c>
      <c r="T62">
        <f>'[2]装备&amp;装备材料的投放'!$AO$36</f>
        <v>0</v>
      </c>
    </row>
  </sheetData>
  <phoneticPr fontId="1" type="noConversion"/>
  <conditionalFormatting sqref="C63:C1048576 C1 C18:C35">
    <cfRule type="duplicateValues" dxfId="387" priority="110"/>
  </conditionalFormatting>
  <conditionalFormatting sqref="D2:D5 E58:F60 D18:D39 D42:D60">
    <cfRule type="expression" dxfId="386" priority="331">
      <formula>AND(C2&gt;=79001,C2&lt;79900)</formula>
    </cfRule>
    <cfRule type="expression" dxfId="385" priority="332" stopIfTrue="1">
      <formula>AND(C2&gt;=70101,C2&lt;=70301)</formula>
    </cfRule>
    <cfRule type="expression" dxfId="384" priority="333" stopIfTrue="1">
      <formula>AND(C2&gt;70000,C2&lt;70004)</formula>
    </cfRule>
    <cfRule type="expression" dxfId="383" priority="334" stopIfTrue="1">
      <formula>AND(C2&gt;=70010,C2&lt;=76000)</formula>
    </cfRule>
    <cfRule type="expression" dxfId="382" priority="335">
      <formula>AND(C2&gt;70000,C2&lt;70004)</formula>
    </cfRule>
    <cfRule type="expression" dxfId="381" priority="336" stopIfTrue="1">
      <formula>OR(AND(C2&gt;=10000,C2&lt;=56999),AND(C2&gt;=57000,C2&lt;=57999))</formula>
    </cfRule>
    <cfRule type="expression" dxfId="380" priority="337" stopIfTrue="1">
      <formula>AND(C2&gt;=8000,C2&lt;=9999)</formula>
    </cfRule>
    <cfRule type="expression" dxfId="379" priority="338" stopIfTrue="1">
      <formula>AND(C2&gt;=78100,C2&lt;=78199)</formula>
    </cfRule>
    <cfRule type="expression" dxfId="378" priority="339" stopIfTrue="1">
      <formula>AND(C2&gt;=92000,C2&lt;=98999)</formula>
    </cfRule>
    <cfRule type="expression" dxfId="377" priority="340" stopIfTrue="1">
      <formula>AND(C2&gt;=78100,C2&lt;=78199)</formula>
    </cfRule>
    <cfRule type="expression" dxfId="376" priority="341" stopIfTrue="1">
      <formula>AND(C2&gt;=91000,C2&lt;=91999)</formula>
    </cfRule>
  </conditionalFormatting>
  <conditionalFormatting sqref="C58:C59">
    <cfRule type="duplicateValues" dxfId="375" priority="85"/>
  </conditionalFormatting>
  <conditionalFormatting sqref="C60">
    <cfRule type="duplicateValues" dxfId="374" priority="83"/>
  </conditionalFormatting>
  <conditionalFormatting sqref="C2:C5">
    <cfRule type="duplicateValues" dxfId="373" priority="71"/>
  </conditionalFormatting>
  <conditionalFormatting sqref="D6:D9">
    <cfRule type="expression" dxfId="372" priority="58">
      <formula>AND(C6&gt;=79001,C6&lt;79900)</formula>
    </cfRule>
    <cfRule type="expression" dxfId="371" priority="59" stopIfTrue="1">
      <formula>AND(C6&gt;=70101,C6&lt;=70301)</formula>
    </cfRule>
    <cfRule type="expression" dxfId="370" priority="60" stopIfTrue="1">
      <formula>AND(C6&gt;70000,C6&lt;70004)</formula>
    </cfRule>
    <cfRule type="expression" dxfId="369" priority="61" stopIfTrue="1">
      <formula>AND(C6&gt;=70010,C6&lt;=76000)</formula>
    </cfRule>
    <cfRule type="expression" dxfId="368" priority="62">
      <formula>AND(C6&gt;70000,C6&lt;70004)</formula>
    </cfRule>
    <cfRule type="expression" dxfId="367" priority="63" stopIfTrue="1">
      <formula>OR(AND(C6&gt;=10000,C6&lt;=56999),AND(C6&gt;=57000,C6&lt;=57999))</formula>
    </cfRule>
    <cfRule type="expression" dxfId="366" priority="64" stopIfTrue="1">
      <formula>AND(C6&gt;=8000,C6&lt;=9999)</formula>
    </cfRule>
    <cfRule type="expression" dxfId="365" priority="65" stopIfTrue="1">
      <formula>AND(C6&gt;=78100,C6&lt;=78199)</formula>
    </cfRule>
    <cfRule type="expression" dxfId="364" priority="66" stopIfTrue="1">
      <formula>AND(C6&gt;=92000,C6&lt;=98999)</formula>
    </cfRule>
    <cfRule type="expression" dxfId="363" priority="67" stopIfTrue="1">
      <formula>AND(C6&gt;=78100,C6&lt;=78199)</formula>
    </cfRule>
    <cfRule type="expression" dxfId="362" priority="68" stopIfTrue="1">
      <formula>AND(C6&gt;=91000,C6&lt;=91999)</formula>
    </cfRule>
  </conditionalFormatting>
  <conditionalFormatting sqref="C6:C9">
    <cfRule type="duplicateValues" dxfId="361" priority="56"/>
  </conditionalFormatting>
  <conditionalFormatting sqref="D10:D13">
    <cfRule type="expression" dxfId="360" priority="44">
      <formula>AND(C10&gt;=79001,C10&lt;79900)</formula>
    </cfRule>
    <cfRule type="expression" dxfId="359" priority="45" stopIfTrue="1">
      <formula>AND(C10&gt;=70101,C10&lt;=70301)</formula>
    </cfRule>
    <cfRule type="expression" dxfId="358" priority="46" stopIfTrue="1">
      <formula>AND(C10&gt;70000,C10&lt;70004)</formula>
    </cfRule>
    <cfRule type="expression" dxfId="357" priority="47" stopIfTrue="1">
      <formula>AND(C10&gt;=70010,C10&lt;=76000)</formula>
    </cfRule>
    <cfRule type="expression" dxfId="356" priority="48">
      <formula>AND(C10&gt;70000,C10&lt;70004)</formula>
    </cfRule>
    <cfRule type="expression" dxfId="355" priority="49" stopIfTrue="1">
      <formula>OR(AND(C10&gt;=10000,C10&lt;=56999),AND(C10&gt;=57000,C10&lt;=57999))</formula>
    </cfRule>
    <cfRule type="expression" dxfId="354" priority="50" stopIfTrue="1">
      <formula>AND(C10&gt;=8000,C10&lt;=9999)</formula>
    </cfRule>
    <cfRule type="expression" dxfId="353" priority="51" stopIfTrue="1">
      <formula>AND(C10&gt;=78100,C10&lt;=78199)</formula>
    </cfRule>
    <cfRule type="expression" dxfId="352" priority="52" stopIfTrue="1">
      <formula>AND(C10&gt;=92000,C10&lt;=98999)</formula>
    </cfRule>
    <cfRule type="expression" dxfId="351" priority="53" stopIfTrue="1">
      <formula>AND(C10&gt;=78100,C10&lt;=78199)</formula>
    </cfRule>
    <cfRule type="expression" dxfId="350" priority="54" stopIfTrue="1">
      <formula>AND(C10&gt;=91000,C10&lt;=91999)</formula>
    </cfRule>
  </conditionalFormatting>
  <conditionalFormatting sqref="C10:C13">
    <cfRule type="duplicateValues" dxfId="349" priority="43"/>
  </conditionalFormatting>
  <conditionalFormatting sqref="D14:D17">
    <cfRule type="expression" dxfId="348" priority="31">
      <formula>AND(C14&gt;=79001,C14&lt;79900)</formula>
    </cfRule>
    <cfRule type="expression" dxfId="347" priority="32" stopIfTrue="1">
      <formula>AND(C14&gt;=70101,C14&lt;=70301)</formula>
    </cfRule>
    <cfRule type="expression" dxfId="346" priority="33" stopIfTrue="1">
      <formula>AND(C14&gt;70000,C14&lt;70004)</formula>
    </cfRule>
    <cfRule type="expression" dxfId="345" priority="34" stopIfTrue="1">
      <formula>AND(C14&gt;=70010,C14&lt;=76000)</formula>
    </cfRule>
    <cfRule type="expression" dxfId="344" priority="35">
      <formula>AND(C14&gt;70000,C14&lt;70004)</formula>
    </cfRule>
    <cfRule type="expression" dxfId="343" priority="36" stopIfTrue="1">
      <formula>OR(AND(C14&gt;=10000,C14&lt;=56999),AND(C14&gt;=57000,C14&lt;=57999))</formula>
    </cfRule>
    <cfRule type="expression" dxfId="342" priority="37" stopIfTrue="1">
      <formula>AND(C14&gt;=8000,C14&lt;=9999)</formula>
    </cfRule>
    <cfRule type="expression" dxfId="341" priority="38" stopIfTrue="1">
      <formula>AND(C14&gt;=78100,C14&lt;=78199)</formula>
    </cfRule>
    <cfRule type="expression" dxfId="340" priority="39" stopIfTrue="1">
      <formula>AND(C14&gt;=92000,C14&lt;=98999)</formula>
    </cfRule>
    <cfRule type="expression" dxfId="339" priority="40" stopIfTrue="1">
      <formula>AND(C14&gt;=78100,C14&lt;=78199)</formula>
    </cfRule>
    <cfRule type="expression" dxfId="338" priority="41" stopIfTrue="1">
      <formula>AND(C14&gt;=91000,C14&lt;=91999)</formula>
    </cfRule>
  </conditionalFormatting>
  <conditionalFormatting sqref="C14:C17">
    <cfRule type="duplicateValues" dxfId="337" priority="30"/>
  </conditionalFormatting>
  <conditionalFormatting sqref="D61:F62">
    <cfRule type="expression" dxfId="336" priority="18">
      <formula>AND(C61&gt;=79001,C61&lt;79900)</formula>
    </cfRule>
    <cfRule type="expression" dxfId="335" priority="19" stopIfTrue="1">
      <formula>AND(C61&gt;=70101,C61&lt;=70301)</formula>
    </cfRule>
    <cfRule type="expression" dxfId="334" priority="20" stopIfTrue="1">
      <formula>AND(C61&gt;70000,C61&lt;70004)</formula>
    </cfRule>
    <cfRule type="expression" dxfId="333" priority="21" stopIfTrue="1">
      <formula>AND(C61&gt;=70010,C61&lt;=76000)</formula>
    </cfRule>
    <cfRule type="expression" dxfId="332" priority="22">
      <formula>AND(C61&gt;70000,C61&lt;70004)</formula>
    </cfRule>
    <cfRule type="expression" dxfId="331" priority="23" stopIfTrue="1">
      <formula>OR(AND(C61&gt;=10000,C61&lt;=56999),AND(C61&gt;=57000,C61&lt;=57999))</formula>
    </cfRule>
    <cfRule type="expression" dxfId="330" priority="24" stopIfTrue="1">
      <formula>AND(C61&gt;=8000,C61&lt;=9999)</formula>
    </cfRule>
    <cfRule type="expression" dxfId="329" priority="25" stopIfTrue="1">
      <formula>AND(C61&gt;=78100,C61&lt;=78199)</formula>
    </cfRule>
    <cfRule type="expression" dxfId="328" priority="26" stopIfTrue="1">
      <formula>AND(C61&gt;=92000,C61&lt;=98999)</formula>
    </cfRule>
    <cfRule type="expression" dxfId="327" priority="27" stopIfTrue="1">
      <formula>AND(C61&gt;=78100,C61&lt;=78199)</formula>
    </cfRule>
    <cfRule type="expression" dxfId="326" priority="28" stopIfTrue="1">
      <formula>AND(C61&gt;=91000,C61&lt;=91999)</formula>
    </cfRule>
  </conditionalFormatting>
  <conditionalFormatting sqref="C61:C62">
    <cfRule type="duplicateValues" dxfId="325" priority="17"/>
  </conditionalFormatting>
  <conditionalFormatting sqref="O1:O39 O42:O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0:D41">
    <cfRule type="expression" dxfId="324" priority="3">
      <formula>AND(C40&gt;=79001,C40&lt;79900)</formula>
    </cfRule>
    <cfRule type="expression" dxfId="323" priority="4" stopIfTrue="1">
      <formula>AND(C40&gt;=70101,C40&lt;=70301)</formula>
    </cfRule>
    <cfRule type="expression" dxfId="322" priority="5" stopIfTrue="1">
      <formula>AND(C40&gt;70000,C40&lt;70004)</formula>
    </cfRule>
    <cfRule type="expression" dxfId="321" priority="6" stopIfTrue="1">
      <formula>AND(C40&gt;=70010,C40&lt;=76000)</formula>
    </cfRule>
    <cfRule type="expression" dxfId="320" priority="7">
      <formula>AND(C40&gt;70000,C40&lt;70004)</formula>
    </cfRule>
    <cfRule type="expression" dxfId="319" priority="8" stopIfTrue="1">
      <formula>OR(AND(C40&gt;=10000,C40&lt;=56999),AND(C40&gt;=57000,C40&lt;=57999))</formula>
    </cfRule>
    <cfRule type="expression" dxfId="318" priority="9" stopIfTrue="1">
      <formula>AND(C40&gt;=8000,C40&lt;=9999)</formula>
    </cfRule>
    <cfRule type="expression" dxfId="317" priority="10" stopIfTrue="1">
      <formula>AND(C40&gt;=78100,C40&lt;=78199)</formula>
    </cfRule>
    <cfRule type="expression" dxfId="316" priority="11" stopIfTrue="1">
      <formula>AND(C40&gt;=92000,C40&lt;=98999)</formula>
    </cfRule>
    <cfRule type="expression" dxfId="315" priority="12" stopIfTrue="1">
      <formula>AND(C40&gt;=78100,C40&lt;=78199)</formula>
    </cfRule>
    <cfRule type="expression" dxfId="314" priority="13" stopIfTrue="1">
      <formula>AND(C40&gt;=91000,C40&lt;=91999)</formula>
    </cfRule>
  </conditionalFormatting>
  <conditionalFormatting sqref="O40:O4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0" tint="-0.34998626667073579"/>
  </sheetPr>
  <dimension ref="A1:N19"/>
  <sheetViews>
    <sheetView workbookViewId="0">
      <selection activeCell="F26" sqref="F26"/>
    </sheetView>
  </sheetViews>
  <sheetFormatPr defaultRowHeight="13.5"/>
  <cols>
    <col min="3" max="3" width="11.625" bestFit="1" customWidth="1"/>
    <col min="4" max="4" width="9.5" bestFit="1" customWidth="1"/>
    <col min="8" max="9" width="13.875" bestFit="1" customWidth="1"/>
  </cols>
  <sheetData>
    <row r="1" spans="1:14">
      <c r="A1" s="4" t="s">
        <v>0</v>
      </c>
      <c r="B1" s="4" t="s">
        <v>33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54</v>
      </c>
      <c r="H1" s="4" t="s">
        <v>67</v>
      </c>
      <c r="I1" s="4" t="s">
        <v>68</v>
      </c>
      <c r="J1" s="19" t="s">
        <v>9</v>
      </c>
      <c r="K1" s="19" t="s">
        <v>13</v>
      </c>
      <c r="L1" s="19" t="s">
        <v>10</v>
      </c>
      <c r="M1" s="19" t="s">
        <v>11</v>
      </c>
      <c r="N1" s="19" t="s">
        <v>12</v>
      </c>
    </row>
    <row r="2" spans="1:14">
      <c r="A2" s="4">
        <v>1</v>
      </c>
      <c r="B2" s="4">
        <v>500301</v>
      </c>
      <c r="C2" s="4"/>
      <c r="D2" s="4" t="str">
        <f>IFERROR(VLOOKUP(C2,[1]引用表合并!$A$2:$B$1000,2,FALSE),"")</f>
        <v/>
      </c>
      <c r="E2" s="4">
        <v>1</v>
      </c>
      <c r="F2" s="4">
        <v>-1</v>
      </c>
      <c r="G2" s="4" t="str">
        <f>IF(F2&lt;0,"100%",F2/SUMIF(F:F,"&gt;0"))</f>
        <v>100%</v>
      </c>
      <c r="H2" s="4">
        <f>[6]D_装备升级表!O55</f>
        <v>85200</v>
      </c>
      <c r="I2" s="4">
        <f ca="1">[6]D_装备升级表!P55</f>
        <v>36</v>
      </c>
      <c r="J2" s="4"/>
      <c r="K2" s="4"/>
      <c r="L2" s="4"/>
      <c r="M2" s="4"/>
      <c r="N2" s="4"/>
    </row>
    <row r="3" spans="1:14">
      <c r="A3" s="4">
        <v>2</v>
      </c>
      <c r="B3" s="4"/>
      <c r="C3" s="20">
        <v>51106</v>
      </c>
      <c r="D3" s="4" t="str">
        <f>IFERROR(VLOOKUP(C3,[1]引用表合并!$A$2:$B$1000,2,FALSE),"")</f>
        <v/>
      </c>
      <c r="E3" s="4">
        <v>1</v>
      </c>
      <c r="F3" s="4">
        <v>-1</v>
      </c>
      <c r="G3" s="4" t="str">
        <f t="shared" ref="G3:G19" si="0">IF(F3&lt;0,"100%",F3/SUMIF(F:F,"&gt;0"))</f>
        <v>100%</v>
      </c>
      <c r="H3" s="4">
        <f>[6]D_装备升级表!O56</f>
        <v>85200</v>
      </c>
      <c r="I3" s="4">
        <f ca="1">[6]D_装备升级表!P56</f>
        <v>32</v>
      </c>
      <c r="J3" s="4"/>
      <c r="K3" s="4"/>
      <c r="L3" s="4"/>
      <c r="M3" s="4"/>
      <c r="N3" s="4"/>
    </row>
    <row r="4" spans="1:14">
      <c r="A4" s="4">
        <v>3</v>
      </c>
      <c r="B4" s="4"/>
      <c r="C4" s="20">
        <v>52106</v>
      </c>
      <c r="D4" s="4" t="str">
        <f>IFERROR(VLOOKUP(C4,[1]引用表合并!$A$2:$B$1000,2,FALSE),"")</f>
        <v/>
      </c>
      <c r="E4" s="4">
        <v>1</v>
      </c>
      <c r="F4" s="4">
        <v>-1</v>
      </c>
      <c r="G4" s="4" t="str">
        <f t="shared" si="0"/>
        <v>100%</v>
      </c>
      <c r="H4" s="4">
        <f>[6]D_装备升级表!O57</f>
        <v>85200</v>
      </c>
      <c r="I4" s="4">
        <f ca="1">[6]D_装备升级表!P57</f>
        <v>12</v>
      </c>
      <c r="J4" s="4"/>
      <c r="K4" s="4"/>
      <c r="L4" s="4"/>
      <c r="M4" s="4"/>
      <c r="N4" s="4"/>
    </row>
    <row r="5" spans="1:14">
      <c r="A5" s="4">
        <v>4</v>
      </c>
      <c r="B5" s="4"/>
      <c r="C5" s="20">
        <v>55106</v>
      </c>
      <c r="D5" s="4" t="str">
        <f>IFERROR(VLOOKUP(C5,[1]引用表合并!$A$2:$B$1000,2,FALSE),"")</f>
        <v/>
      </c>
      <c r="E5" s="4">
        <v>1</v>
      </c>
      <c r="F5" s="4">
        <v>-1</v>
      </c>
      <c r="G5" s="4" t="str">
        <f t="shared" si="0"/>
        <v>100%</v>
      </c>
      <c r="H5" s="4">
        <f>[6]D_装备升级表!O58</f>
        <v>85200</v>
      </c>
      <c r="I5" s="4">
        <f ca="1">[6]D_装备升级表!P58</f>
        <v>15</v>
      </c>
      <c r="J5" s="4"/>
      <c r="K5" s="4"/>
      <c r="L5" s="4"/>
      <c r="M5" s="4"/>
      <c r="N5" s="4"/>
    </row>
    <row r="6" spans="1:14">
      <c r="A6" s="4">
        <v>5</v>
      </c>
      <c r="B6" s="4"/>
      <c r="C6" s="20">
        <v>54106</v>
      </c>
      <c r="D6" s="4" t="str">
        <f>IFERROR(VLOOKUP(C6,[1]引用表合并!$A$2:$B$1000,2,FALSE),"")</f>
        <v/>
      </c>
      <c r="E6" s="4">
        <v>1</v>
      </c>
      <c r="F6" s="4">
        <v>-1</v>
      </c>
      <c r="G6" s="4" t="str">
        <f t="shared" si="0"/>
        <v>100%</v>
      </c>
      <c r="H6" s="4">
        <f>[6]D_装备升级表!O59</f>
        <v>85200</v>
      </c>
      <c r="I6" s="4">
        <f ca="1">[6]D_装备升级表!P59</f>
        <v>12</v>
      </c>
      <c r="J6" s="4"/>
      <c r="K6" s="4"/>
      <c r="L6" s="4"/>
      <c r="M6" s="4"/>
      <c r="N6" s="4"/>
    </row>
    <row r="7" spans="1:14">
      <c r="A7" s="4">
        <v>6</v>
      </c>
      <c r="B7" s="4"/>
      <c r="C7" s="20">
        <v>53106</v>
      </c>
      <c r="D7" s="4" t="str">
        <f>IFERROR(VLOOKUP(C7,[1]引用表合并!$A$2:$B$1000,2,FALSE),"")</f>
        <v/>
      </c>
      <c r="E7" s="4">
        <v>1</v>
      </c>
      <c r="F7" s="4">
        <v>-1</v>
      </c>
      <c r="G7" s="4" t="str">
        <f t="shared" si="0"/>
        <v>100%</v>
      </c>
      <c r="H7" s="4">
        <f>[6]D_装备升级表!O60</f>
        <v>85200</v>
      </c>
      <c r="I7" s="4">
        <f ca="1">[6]D_装备升级表!P60</f>
        <v>22</v>
      </c>
      <c r="J7" s="4"/>
      <c r="K7" s="4"/>
      <c r="L7" s="4"/>
      <c r="M7" s="4"/>
      <c r="N7" s="4"/>
    </row>
    <row r="8" spans="1:14">
      <c r="A8" s="4">
        <v>7</v>
      </c>
      <c r="B8" s="4">
        <v>500302</v>
      </c>
      <c r="C8" s="4"/>
      <c r="D8" s="4" t="str">
        <f>IFERROR(VLOOKUP(C8,[1]引用表合并!$A$2:$B$1000,2,FALSE),"")</f>
        <v/>
      </c>
      <c r="E8" s="4">
        <v>1</v>
      </c>
      <c r="F8" s="4">
        <v>-1</v>
      </c>
      <c r="G8" s="4" t="str">
        <f t="shared" si="0"/>
        <v>100%</v>
      </c>
      <c r="H8" s="4">
        <f>[6]D_装备升级表!O63</f>
        <v>85300</v>
      </c>
      <c r="I8" s="4">
        <f ca="1">[6]D_装备升级表!P63</f>
        <v>24</v>
      </c>
      <c r="J8" s="4"/>
      <c r="K8" s="4"/>
      <c r="L8" s="4"/>
      <c r="M8" s="4"/>
      <c r="N8" s="4"/>
    </row>
    <row r="9" spans="1:14">
      <c r="A9" s="4">
        <v>8</v>
      </c>
      <c r="B9" s="4"/>
      <c r="C9" s="20">
        <v>51207</v>
      </c>
      <c r="D9" s="4" t="str">
        <f>IFERROR(VLOOKUP(C9,[1]引用表合并!$A$2:$B$1000,2,FALSE),"")</f>
        <v/>
      </c>
      <c r="E9" s="4">
        <v>1</v>
      </c>
      <c r="F9" s="4">
        <v>-1</v>
      </c>
      <c r="G9" s="4" t="str">
        <f t="shared" si="0"/>
        <v>100%</v>
      </c>
      <c r="H9" s="4">
        <f>[6]D_装备升级表!O64</f>
        <v>85300</v>
      </c>
      <c r="I9" s="4">
        <f ca="1">[6]D_装备升级表!P64</f>
        <v>21</v>
      </c>
      <c r="J9" s="4"/>
      <c r="K9" s="4"/>
      <c r="L9" s="4"/>
      <c r="M9" s="4"/>
      <c r="N9" s="4"/>
    </row>
    <row r="10" spans="1:14">
      <c r="A10" s="4">
        <v>9</v>
      </c>
      <c r="B10" s="4"/>
      <c r="C10" s="20">
        <v>52207</v>
      </c>
      <c r="D10" s="4" t="str">
        <f>IFERROR(VLOOKUP(C10,[1]引用表合并!$A$2:$B$1000,2,FALSE),"")</f>
        <v/>
      </c>
      <c r="E10" s="4">
        <v>1</v>
      </c>
      <c r="F10" s="4">
        <v>-1</v>
      </c>
      <c r="G10" s="4" t="str">
        <f t="shared" si="0"/>
        <v>100%</v>
      </c>
      <c r="H10" s="4">
        <f>[6]D_装备升级表!O65</f>
        <v>85300</v>
      </c>
      <c r="I10" s="4">
        <f ca="1">[6]D_装备升级表!P65</f>
        <v>8</v>
      </c>
      <c r="J10" s="4"/>
      <c r="K10" s="4"/>
      <c r="L10" s="4"/>
      <c r="M10" s="4"/>
      <c r="N10" s="4"/>
    </row>
    <row r="11" spans="1:14">
      <c r="A11" s="4">
        <v>10</v>
      </c>
      <c r="B11" s="4"/>
      <c r="C11" s="20">
        <v>55207</v>
      </c>
      <c r="D11" s="4" t="str">
        <f>IFERROR(VLOOKUP(C11,[1]引用表合并!$A$2:$B$1000,2,FALSE),"")</f>
        <v/>
      </c>
      <c r="E11" s="4">
        <v>1</v>
      </c>
      <c r="F11" s="4">
        <v>-1</v>
      </c>
      <c r="G11" s="4" t="str">
        <f t="shared" si="0"/>
        <v>100%</v>
      </c>
      <c r="H11" s="4">
        <f>[6]D_装备升级表!O66</f>
        <v>85300</v>
      </c>
      <c r="I11" s="4">
        <f ca="1">[6]D_装备升级表!P66</f>
        <v>10</v>
      </c>
      <c r="J11" s="4"/>
      <c r="K11" s="4"/>
      <c r="L11" s="4"/>
      <c r="M11" s="4"/>
      <c r="N11" s="4"/>
    </row>
    <row r="12" spans="1:14">
      <c r="A12" s="4">
        <v>11</v>
      </c>
      <c r="B12" s="4"/>
      <c r="C12" s="20">
        <v>54207</v>
      </c>
      <c r="D12" s="4" t="str">
        <f>IFERROR(VLOOKUP(C12,[1]引用表合并!$A$2:$B$1000,2,FALSE),"")</f>
        <v/>
      </c>
      <c r="E12" s="4">
        <v>1</v>
      </c>
      <c r="F12" s="4">
        <v>-1</v>
      </c>
      <c r="G12" s="4" t="str">
        <f t="shared" si="0"/>
        <v>100%</v>
      </c>
      <c r="H12" s="4">
        <f>[6]D_装备升级表!O67</f>
        <v>85300</v>
      </c>
      <c r="I12" s="4">
        <f ca="1">[6]D_装备升级表!P67</f>
        <v>9</v>
      </c>
      <c r="J12" s="4"/>
      <c r="K12" s="4"/>
      <c r="L12" s="4"/>
      <c r="M12" s="4"/>
      <c r="N12" s="4"/>
    </row>
    <row r="13" spans="1:14">
      <c r="A13" s="4">
        <v>12</v>
      </c>
      <c r="B13" s="4"/>
      <c r="C13" s="20">
        <v>53207</v>
      </c>
      <c r="D13" s="4" t="str">
        <f>IFERROR(VLOOKUP(C13,[1]引用表合并!$A$2:$B$1000,2,FALSE),"")</f>
        <v/>
      </c>
      <c r="E13" s="4">
        <v>1</v>
      </c>
      <c r="F13" s="4">
        <v>-1</v>
      </c>
      <c r="G13" s="4" t="str">
        <f t="shared" si="0"/>
        <v>100%</v>
      </c>
      <c r="H13" s="4">
        <f>[6]D_装备升级表!O68</f>
        <v>85300</v>
      </c>
      <c r="I13" s="4">
        <f ca="1">[6]D_装备升级表!P68</f>
        <v>15</v>
      </c>
      <c r="J13" s="4"/>
      <c r="K13" s="4"/>
      <c r="L13" s="4"/>
      <c r="M13" s="4"/>
      <c r="N13" s="4"/>
    </row>
    <row r="14" spans="1:14">
      <c r="A14" s="4">
        <v>13</v>
      </c>
      <c r="B14" s="4">
        <v>500303</v>
      </c>
      <c r="C14" s="4"/>
      <c r="D14" s="4" t="str">
        <f>IFERROR(VLOOKUP(C14,[1]引用表合并!$A$2:$B$1000,2,FALSE),"")</f>
        <v/>
      </c>
      <c r="E14" s="4">
        <v>1</v>
      </c>
      <c r="F14" s="4">
        <v>-1</v>
      </c>
      <c r="G14" s="4" t="str">
        <f t="shared" si="0"/>
        <v>100%</v>
      </c>
      <c r="H14" s="4">
        <f>[6]D_装备升级表!O71</f>
        <v>85400</v>
      </c>
      <c r="I14" s="4">
        <f ca="1">[6]D_装备升级表!P71</f>
        <v>23</v>
      </c>
      <c r="J14" s="4"/>
      <c r="K14" s="4"/>
      <c r="L14" s="4"/>
      <c r="M14" s="4"/>
      <c r="N14" s="4"/>
    </row>
    <row r="15" spans="1:14">
      <c r="A15" s="4">
        <v>14</v>
      </c>
      <c r="B15" s="4"/>
      <c r="C15" s="20">
        <v>51308</v>
      </c>
      <c r="D15" s="4" t="str">
        <f>IFERROR(VLOOKUP(C15,[1]引用表合并!$A$2:$B$1000,2,FALSE),"")</f>
        <v/>
      </c>
      <c r="E15" s="4">
        <v>1</v>
      </c>
      <c r="F15" s="4">
        <v>-1</v>
      </c>
      <c r="G15" s="4" t="str">
        <f t="shared" si="0"/>
        <v>100%</v>
      </c>
      <c r="H15" s="4">
        <f>[6]D_装备升级表!O72</f>
        <v>85400</v>
      </c>
      <c r="I15" s="4">
        <f ca="1">[6]D_装备升级表!P72</f>
        <v>19</v>
      </c>
      <c r="J15" s="4"/>
      <c r="K15" s="4"/>
      <c r="L15" s="4"/>
      <c r="M15" s="4"/>
      <c r="N15" s="4"/>
    </row>
    <row r="16" spans="1:14">
      <c r="A16" s="4">
        <v>15</v>
      </c>
      <c r="B16" s="4"/>
      <c r="C16" s="20">
        <v>52308</v>
      </c>
      <c r="D16" s="4" t="str">
        <f>IFERROR(VLOOKUP(C16,[1]引用表合并!$A$2:$B$1000,2,FALSE),"")</f>
        <v/>
      </c>
      <c r="E16" s="4">
        <v>1</v>
      </c>
      <c r="F16" s="4">
        <v>-1</v>
      </c>
      <c r="G16" s="4" t="str">
        <f t="shared" si="0"/>
        <v>100%</v>
      </c>
      <c r="H16" s="4">
        <f>[6]D_装备升级表!O73</f>
        <v>85400</v>
      </c>
      <c r="I16" s="4">
        <f ca="1">[6]D_装备升级表!P73</f>
        <v>8</v>
      </c>
      <c r="J16" s="4"/>
      <c r="K16" s="4"/>
      <c r="L16" s="4"/>
      <c r="M16" s="4"/>
      <c r="N16" s="4"/>
    </row>
    <row r="17" spans="1:14">
      <c r="A17" s="4">
        <v>16</v>
      </c>
      <c r="B17" s="4"/>
      <c r="C17" s="20">
        <v>55308</v>
      </c>
      <c r="D17" s="4" t="str">
        <f>IFERROR(VLOOKUP(C17,[1]引用表合并!$A$2:$B$1000,2,FALSE),"")</f>
        <v/>
      </c>
      <c r="E17" s="4">
        <v>1</v>
      </c>
      <c r="F17" s="4">
        <v>-1</v>
      </c>
      <c r="G17" s="4" t="str">
        <f t="shared" si="0"/>
        <v>100%</v>
      </c>
      <c r="H17" s="4">
        <f>[6]D_装备升级表!O74</f>
        <v>85400</v>
      </c>
      <c r="I17" s="4">
        <f ca="1">[6]D_装备升级表!P74</f>
        <v>10</v>
      </c>
      <c r="J17" s="4"/>
      <c r="K17" s="4"/>
      <c r="L17" s="4"/>
      <c r="M17" s="4"/>
      <c r="N17" s="4"/>
    </row>
    <row r="18" spans="1:14">
      <c r="A18" s="4">
        <v>17</v>
      </c>
      <c r="B18" s="4"/>
      <c r="C18" s="20">
        <v>54308</v>
      </c>
      <c r="D18" s="4" t="str">
        <f>IFERROR(VLOOKUP(C18,[1]引用表合并!$A$2:$B$1000,2,FALSE),"")</f>
        <v/>
      </c>
      <c r="E18" s="4">
        <v>1</v>
      </c>
      <c r="F18" s="4">
        <v>-1</v>
      </c>
      <c r="G18" s="4" t="str">
        <f t="shared" si="0"/>
        <v>100%</v>
      </c>
      <c r="H18" s="4">
        <f>[6]D_装备升级表!O75</f>
        <v>85400</v>
      </c>
      <c r="I18" s="4">
        <f ca="1">[6]D_装备升级表!P75</f>
        <v>9</v>
      </c>
      <c r="J18" s="4"/>
      <c r="K18" s="4"/>
      <c r="L18" s="4"/>
      <c r="M18" s="4"/>
      <c r="N18" s="4"/>
    </row>
    <row r="19" spans="1:14">
      <c r="A19" s="4">
        <v>18</v>
      </c>
      <c r="B19" s="4"/>
      <c r="C19" s="20">
        <v>53308</v>
      </c>
      <c r="D19" s="4" t="str">
        <f>IFERROR(VLOOKUP(C19,[1]引用表合并!$A$2:$B$1000,2,FALSE),"")</f>
        <v/>
      </c>
      <c r="E19" s="4">
        <v>1</v>
      </c>
      <c r="F19" s="4">
        <v>-1</v>
      </c>
      <c r="G19" s="4" t="str">
        <f t="shared" si="0"/>
        <v>100%</v>
      </c>
      <c r="H19" s="4">
        <f>[6]D_装备升级表!O76</f>
        <v>85400</v>
      </c>
      <c r="I19" s="4">
        <f ca="1">[6]D_装备升级表!P76</f>
        <v>14</v>
      </c>
      <c r="J19" s="4"/>
      <c r="K19" s="4"/>
      <c r="L19" s="4"/>
      <c r="M19" s="4"/>
      <c r="N19" s="4"/>
    </row>
  </sheetData>
  <phoneticPr fontId="1" type="noConversion"/>
  <conditionalFormatting sqref="C1">
    <cfRule type="duplicateValues" dxfId="313" priority="7"/>
  </conditionalFormatting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G182"/>
  <sheetViews>
    <sheetView topLeftCell="A37" workbookViewId="0">
      <selection activeCell="E15" sqref="E15"/>
    </sheetView>
  </sheetViews>
  <sheetFormatPr defaultRowHeight="13.5"/>
  <cols>
    <col min="1" max="1" width="4.5" bestFit="1" customWidth="1"/>
    <col min="2" max="3" width="7.5" style="10" bestFit="1" customWidth="1"/>
    <col min="4" max="4" width="17.375" style="10" bestFit="1" customWidth="1"/>
    <col min="5" max="5" width="5.5" style="10" bestFit="1" customWidth="1"/>
    <col min="6" max="6" width="10.625" style="10" customWidth="1"/>
    <col min="7" max="8" width="9.5" style="10" bestFit="1" customWidth="1"/>
    <col min="9" max="9" width="8.5" style="10" bestFit="1" customWidth="1"/>
    <col min="10" max="10" width="9.5" style="10" bestFit="1" customWidth="1"/>
    <col min="11" max="11" width="4" customWidth="1"/>
    <col min="17" max="17" width="6.625" customWidth="1"/>
    <col min="20" max="20" width="6.75" customWidth="1"/>
    <col min="23" max="23" width="6.5" customWidth="1"/>
    <col min="25" max="27" width="6.25" customWidth="1"/>
  </cols>
  <sheetData>
    <row r="1" spans="1:33">
      <c r="A1" t="s">
        <v>106</v>
      </c>
    </row>
    <row r="2" spans="1:33">
      <c r="A2" t="s">
        <v>14</v>
      </c>
      <c r="B2" s="10" t="s">
        <v>15</v>
      </c>
      <c r="C2" s="10" t="s">
        <v>16</v>
      </c>
      <c r="D2" s="10" t="s">
        <v>31</v>
      </c>
      <c r="E2" s="10" t="s">
        <v>3</v>
      </c>
      <c r="F2" s="10" t="s">
        <v>17</v>
      </c>
      <c r="G2" s="10" t="s">
        <v>18</v>
      </c>
      <c r="H2" s="10" t="s">
        <v>19</v>
      </c>
      <c r="I2" s="10" t="s">
        <v>20</v>
      </c>
      <c r="J2" s="10" t="s">
        <v>21</v>
      </c>
      <c r="L2" t="s">
        <v>48</v>
      </c>
      <c r="M2" t="s">
        <v>101</v>
      </c>
      <c r="N2" t="s">
        <v>99</v>
      </c>
      <c r="P2" t="s">
        <v>59</v>
      </c>
      <c r="Q2">
        <v>10</v>
      </c>
      <c r="S2" t="s">
        <v>59</v>
      </c>
      <c r="T2">
        <v>20</v>
      </c>
      <c r="V2" t="s">
        <v>59</v>
      </c>
      <c r="W2">
        <v>31</v>
      </c>
      <c r="Z2" t="s">
        <v>69</v>
      </c>
      <c r="AA2" t="s">
        <v>78</v>
      </c>
    </row>
    <row r="3" spans="1:33">
      <c r="A3">
        <v>1</v>
      </c>
      <c r="B3" s="10">
        <v>0</v>
      </c>
      <c r="C3" s="29">
        <v>92121</v>
      </c>
      <c r="D3" s="10" t="str">
        <f>IFERROR(VLOOKUP(C3,[1]引用表合并!$A$2:$B$1000,2,FALSE),"")</f>
        <v>镀金耳钉</v>
      </c>
      <c r="E3" s="10">
        <v>1</v>
      </c>
      <c r="F3" s="10">
        <v>1800</v>
      </c>
      <c r="G3" s="10">
        <v>10</v>
      </c>
      <c r="H3" s="10">
        <v>100</v>
      </c>
      <c r="I3" s="10">
        <v>0</v>
      </c>
      <c r="J3" s="10">
        <v>1</v>
      </c>
      <c r="L3" s="1">
        <f>ROUNDUP(VLOOKUP(C3,[2]!游戏物价查询,7,FALSE),0)*E3</f>
        <v>4</v>
      </c>
      <c r="M3">
        <f>VLOOKUP(C3,[2]!游戏物价查询,4,0)</f>
        <v>259</v>
      </c>
      <c r="N3">
        <f>VLOOKUP(C3,[3]!马仔宝物属性,6,FALSE)</f>
        <v>0</v>
      </c>
      <c r="O3">
        <f t="shared" ref="O3:O34" si="0">IF(AND($G3&lt;=Q$2,$H3&gt;Q$2),$F3,"")</f>
        <v>1800</v>
      </c>
      <c r="P3">
        <f t="shared" ref="P3:P34" si="1">IFERROR(O3/SUM(O:O),0)</f>
        <v>1.9778046368530932E-2</v>
      </c>
      <c r="R3">
        <f t="shared" ref="R3:R34" si="2">IF(AND($G3&lt;=T$2,$H3&gt;T$2),$F3,"")</f>
        <v>1800</v>
      </c>
      <c r="S3">
        <f t="shared" ref="S3:S34" si="3">IFERROR(R3/SUM(R:R),0)</f>
        <v>1.5774252913855053E-2</v>
      </c>
      <c r="U3">
        <f t="shared" ref="U3:U34" si="4">IF(AND($G3&lt;=W$2,$H3&gt;W$2),$F3,"")</f>
        <v>1800</v>
      </c>
      <c r="V3">
        <f t="shared" ref="V3:V34" si="5">IFERROR(U3/SUM(U:U),0)</f>
        <v>1.0844353405428201E-2</v>
      </c>
      <c r="AF3">
        <v>7</v>
      </c>
    </row>
    <row r="4" spans="1:33">
      <c r="A4">
        <v>2</v>
      </c>
      <c r="B4" s="10">
        <v>0</v>
      </c>
      <c r="C4" s="29">
        <v>92131</v>
      </c>
      <c r="D4" s="10" t="str">
        <f>IFERROR(VLOOKUP(C4,[1]引用表合并!$A$2:$B$1000,2,FALSE),"")</f>
        <v>幸运戒指</v>
      </c>
      <c r="E4" s="10">
        <v>1</v>
      </c>
      <c r="F4" s="10">
        <v>1800</v>
      </c>
      <c r="G4" s="10">
        <v>10</v>
      </c>
      <c r="H4" s="10">
        <v>100</v>
      </c>
      <c r="I4" s="10">
        <v>0</v>
      </c>
      <c r="J4" s="10">
        <v>1</v>
      </c>
      <c r="L4" s="1">
        <f>ROUNDUP(VLOOKUP(C4,[2]!游戏物价查询,7,FALSE),0)*E4</f>
        <v>4</v>
      </c>
      <c r="M4">
        <f>VLOOKUP(C4,[2]!游戏物价查询,4,0)</f>
        <v>250</v>
      </c>
      <c r="N4">
        <f>VLOOKUP(C4,[3]!马仔宝物属性,6,FALSE)</f>
        <v>0</v>
      </c>
      <c r="O4">
        <f t="shared" si="0"/>
        <v>1800</v>
      </c>
      <c r="P4">
        <f t="shared" si="1"/>
        <v>1.9778046368530932E-2</v>
      </c>
      <c r="R4">
        <f t="shared" si="2"/>
        <v>1800</v>
      </c>
      <c r="S4">
        <f t="shared" si="3"/>
        <v>1.5774252913855053E-2</v>
      </c>
      <c r="U4">
        <f t="shared" si="4"/>
        <v>1800</v>
      </c>
      <c r="V4">
        <f t="shared" si="5"/>
        <v>1.0844353405428201E-2</v>
      </c>
      <c r="AF4">
        <v>1</v>
      </c>
      <c r="AG4">
        <f>AF4/(AF4+$AF$3)*2</f>
        <v>0.25</v>
      </c>
    </row>
    <row r="5" spans="1:33">
      <c r="A5">
        <v>3</v>
      </c>
      <c r="B5" s="10">
        <v>0</v>
      </c>
      <c r="C5" s="29">
        <v>92228</v>
      </c>
      <c r="D5" s="10" t="str">
        <f>IFERROR(VLOOKUP(C5,[1]引用表合并!$A$2:$B$1000,2,FALSE),"")</f>
        <v>银色手环</v>
      </c>
      <c r="E5" s="10">
        <v>1</v>
      </c>
      <c r="F5" s="10">
        <v>1800</v>
      </c>
      <c r="G5" s="10">
        <v>10</v>
      </c>
      <c r="H5" s="10">
        <v>100</v>
      </c>
      <c r="I5" s="10">
        <v>0</v>
      </c>
      <c r="J5" s="10">
        <v>1</v>
      </c>
      <c r="L5" s="1">
        <f>ROUNDUP(VLOOKUP(C5,[2]!游戏物价查询,7,FALSE),0)*E5</f>
        <v>2</v>
      </c>
      <c r="M5">
        <f>VLOOKUP(C5,[2]!游戏物价查询,4,0)</f>
        <v>253</v>
      </c>
      <c r="N5">
        <f>VLOOKUP(C5,[3]!马仔宝物属性,6,FALSE)</f>
        <v>0</v>
      </c>
      <c r="O5">
        <f t="shared" si="0"/>
        <v>1800</v>
      </c>
      <c r="P5">
        <f t="shared" si="1"/>
        <v>1.9778046368530932E-2</v>
      </c>
      <c r="R5">
        <f t="shared" si="2"/>
        <v>1800</v>
      </c>
      <c r="S5">
        <f t="shared" si="3"/>
        <v>1.5774252913855053E-2</v>
      </c>
      <c r="U5">
        <f t="shared" si="4"/>
        <v>1800</v>
      </c>
      <c r="V5">
        <f t="shared" si="5"/>
        <v>1.0844353405428201E-2</v>
      </c>
      <c r="AF5">
        <f>IF(AF4=0,0,IF(AF4&lt;$AF$3,AF4+1,0))</f>
        <v>2</v>
      </c>
      <c r="AG5">
        <f t="shared" ref="AG5:AG17" si="6">AF5/(AF5+$AF$3)*2</f>
        <v>0.44444444444444442</v>
      </c>
    </row>
    <row r="6" spans="1:33">
      <c r="A6">
        <v>4</v>
      </c>
      <c r="B6" s="10">
        <v>0</v>
      </c>
      <c r="C6" s="29">
        <v>92232</v>
      </c>
      <c r="D6" s="10" t="str">
        <f>IFERROR(VLOOKUP(C6,[1]引用表合并!$A$2:$B$1000,2,FALSE),"")</f>
        <v>鎏金手环</v>
      </c>
      <c r="E6" s="10">
        <v>1</v>
      </c>
      <c r="F6" s="10">
        <v>1800</v>
      </c>
      <c r="G6" s="10">
        <v>10</v>
      </c>
      <c r="H6" s="10">
        <v>100</v>
      </c>
      <c r="I6" s="10">
        <v>0</v>
      </c>
      <c r="J6" s="10">
        <v>1</v>
      </c>
      <c r="L6" s="1">
        <f>ROUNDUP(VLOOKUP(C6,[2]!游戏物价查询,7,FALSE),0)*E6</f>
        <v>4</v>
      </c>
      <c r="M6">
        <f>VLOOKUP(C6,[2]!游戏物价查询,4,0)</f>
        <v>718</v>
      </c>
      <c r="N6">
        <f>VLOOKUP(C6,[3]!马仔宝物属性,6,FALSE)</f>
        <v>0</v>
      </c>
      <c r="O6">
        <f t="shared" si="0"/>
        <v>1800</v>
      </c>
      <c r="P6">
        <f t="shared" si="1"/>
        <v>1.9778046368530932E-2</v>
      </c>
      <c r="R6">
        <f t="shared" si="2"/>
        <v>1800</v>
      </c>
      <c r="S6">
        <f t="shared" si="3"/>
        <v>1.5774252913855053E-2</v>
      </c>
      <c r="U6">
        <f t="shared" si="4"/>
        <v>1800</v>
      </c>
      <c r="V6">
        <f t="shared" si="5"/>
        <v>1.0844353405428201E-2</v>
      </c>
      <c r="AF6">
        <f t="shared" ref="AF6:AF17" si="7">IF(AF5=0,0,IF(AF5&lt;$AF$3,AF5+1,0))</f>
        <v>3</v>
      </c>
      <c r="AG6">
        <f t="shared" si="6"/>
        <v>0.6</v>
      </c>
    </row>
    <row r="7" spans="1:33">
      <c r="A7">
        <v>5</v>
      </c>
      <c r="B7" s="10">
        <v>0</v>
      </c>
      <c r="C7" s="29">
        <v>92233</v>
      </c>
      <c r="D7" s="10" t="str">
        <f>IFERROR(VLOOKUP(C7,[1]引用表合并!$A$2:$B$1000,2,FALSE),"")</f>
        <v>白金手环</v>
      </c>
      <c r="E7" s="10">
        <v>1</v>
      </c>
      <c r="F7" s="10">
        <v>1800</v>
      </c>
      <c r="G7" s="10">
        <v>10</v>
      </c>
      <c r="H7" s="10">
        <v>100</v>
      </c>
      <c r="I7" s="10">
        <v>0</v>
      </c>
      <c r="J7" s="10">
        <v>1</v>
      </c>
      <c r="L7" s="1">
        <f>ROUNDUP(VLOOKUP(C7,[2]!游戏物价查询,7,FALSE),0)*E7</f>
        <v>15</v>
      </c>
      <c r="M7">
        <f>VLOOKUP(C7,[2]!游戏物价查询,4,0)</f>
        <v>382</v>
      </c>
      <c r="N7">
        <f>VLOOKUP(C7,[3]!马仔宝物属性,6,FALSE)</f>
        <v>1</v>
      </c>
      <c r="O7">
        <f t="shared" si="0"/>
        <v>1800</v>
      </c>
      <c r="P7">
        <f t="shared" si="1"/>
        <v>1.9778046368530932E-2</v>
      </c>
      <c r="R7">
        <f t="shared" si="2"/>
        <v>1800</v>
      </c>
      <c r="S7">
        <f t="shared" si="3"/>
        <v>1.5774252913855053E-2</v>
      </c>
      <c r="U7">
        <f t="shared" si="4"/>
        <v>1800</v>
      </c>
      <c r="V7">
        <f t="shared" si="5"/>
        <v>1.0844353405428201E-2</v>
      </c>
      <c r="AF7">
        <f t="shared" si="7"/>
        <v>4</v>
      </c>
      <c r="AG7">
        <f t="shared" si="6"/>
        <v>0.72727272727272729</v>
      </c>
    </row>
    <row r="8" spans="1:33">
      <c r="A8">
        <v>6</v>
      </c>
      <c r="B8" s="10">
        <v>0</v>
      </c>
      <c r="C8" s="29">
        <v>92235</v>
      </c>
      <c r="D8" s="10" t="str">
        <f>IFERROR(VLOOKUP(C8,[1]引用表合并!$A$2:$B$1000,2,FALSE),"")</f>
        <v>宝石手环</v>
      </c>
      <c r="E8" s="10">
        <v>1</v>
      </c>
      <c r="F8" s="10">
        <v>1800</v>
      </c>
      <c r="G8" s="10">
        <v>10</v>
      </c>
      <c r="H8" s="10">
        <v>100</v>
      </c>
      <c r="I8" s="10">
        <v>0</v>
      </c>
      <c r="J8" s="10">
        <v>1</v>
      </c>
      <c r="L8" s="1">
        <f>ROUNDUP(VLOOKUP(C8,[2]!游戏物价查询,7,FALSE),0)*E8</f>
        <v>48</v>
      </c>
      <c r="M8">
        <f>VLOOKUP(C8,[2]!游戏物价查询,4,0)</f>
        <v>227</v>
      </c>
      <c r="N8">
        <f>VLOOKUP(C8,[3]!马仔宝物属性,6,FALSE)</f>
        <v>2</v>
      </c>
      <c r="O8">
        <f t="shared" si="0"/>
        <v>1800</v>
      </c>
      <c r="P8">
        <f t="shared" si="1"/>
        <v>1.9778046368530932E-2</v>
      </c>
      <c r="R8">
        <f t="shared" si="2"/>
        <v>1800</v>
      </c>
      <c r="S8">
        <f t="shared" si="3"/>
        <v>1.5774252913855053E-2</v>
      </c>
      <c r="U8">
        <f t="shared" si="4"/>
        <v>1800</v>
      </c>
      <c r="V8">
        <f t="shared" si="5"/>
        <v>1.0844353405428201E-2</v>
      </c>
      <c r="AF8">
        <f t="shared" si="7"/>
        <v>5</v>
      </c>
      <c r="AG8">
        <f t="shared" si="6"/>
        <v>0.83333333333333337</v>
      </c>
    </row>
    <row r="9" spans="1:33">
      <c r="A9">
        <v>7</v>
      </c>
      <c r="B9" s="10">
        <v>0</v>
      </c>
      <c r="C9" s="29">
        <v>92236</v>
      </c>
      <c r="D9" s="10" t="str">
        <f>IFERROR(VLOOKUP(C9,[1]引用表合并!$A$2:$B$1000,2,FALSE),"")</f>
        <v>符文手环</v>
      </c>
      <c r="E9" s="10">
        <v>1</v>
      </c>
      <c r="F9" s="10">
        <v>1800</v>
      </c>
      <c r="G9" s="10">
        <v>10</v>
      </c>
      <c r="H9" s="10">
        <v>100</v>
      </c>
      <c r="I9" s="10">
        <v>0</v>
      </c>
      <c r="J9" s="10">
        <v>1</v>
      </c>
      <c r="L9" s="1">
        <f>ROUNDUP(VLOOKUP(C9,[2]!游戏物价查询,7,FALSE),0)*E9</f>
        <v>154</v>
      </c>
      <c r="M9">
        <f>VLOOKUP(C9,[2]!游戏物价查询,4,0)</f>
        <v>67</v>
      </c>
      <c r="N9">
        <f>VLOOKUP(C9,[3]!马仔宝物属性,6,FALSE)</f>
        <v>3</v>
      </c>
      <c r="O9">
        <f t="shared" si="0"/>
        <v>1800</v>
      </c>
      <c r="P9">
        <f t="shared" si="1"/>
        <v>1.9778046368530932E-2</v>
      </c>
      <c r="R9">
        <f t="shared" si="2"/>
        <v>1800</v>
      </c>
      <c r="S9">
        <f t="shared" si="3"/>
        <v>1.5774252913855053E-2</v>
      </c>
      <c r="U9">
        <f t="shared" si="4"/>
        <v>1800</v>
      </c>
      <c r="V9">
        <f t="shared" si="5"/>
        <v>1.0844353405428201E-2</v>
      </c>
      <c r="AF9">
        <f t="shared" si="7"/>
        <v>6</v>
      </c>
      <c r="AG9">
        <f t="shared" si="6"/>
        <v>0.92307692307692313</v>
      </c>
    </row>
    <row r="10" spans="1:33">
      <c r="A10">
        <v>8</v>
      </c>
      <c r="B10" s="10">
        <v>0</v>
      </c>
      <c r="C10" s="29">
        <v>92271</v>
      </c>
      <c r="D10" s="10" t="str">
        <f>IFERROR(VLOOKUP(C10,[1]引用表合并!$A$2:$B$1000,2,FALSE),"")</f>
        <v>精准手表</v>
      </c>
      <c r="E10" s="10">
        <v>1</v>
      </c>
      <c r="F10" s="10">
        <v>1800</v>
      </c>
      <c r="G10" s="10">
        <v>10</v>
      </c>
      <c r="H10" s="10">
        <v>100</v>
      </c>
      <c r="I10" s="10">
        <v>0</v>
      </c>
      <c r="J10" s="10">
        <v>1</v>
      </c>
      <c r="L10" s="1">
        <f>ROUNDUP(VLOOKUP(C10,[2]!游戏物价查询,7,FALSE),0)*E10</f>
        <v>15</v>
      </c>
      <c r="M10">
        <f>VLOOKUP(C10,[2]!游戏物价查询,4,0)</f>
        <v>108</v>
      </c>
      <c r="N10">
        <f>VLOOKUP(C10,[3]!马仔宝物属性,6,FALSE)</f>
        <v>1</v>
      </c>
      <c r="O10">
        <f t="shared" si="0"/>
        <v>1800</v>
      </c>
      <c r="P10">
        <f t="shared" si="1"/>
        <v>1.9778046368530932E-2</v>
      </c>
      <c r="R10">
        <f t="shared" si="2"/>
        <v>1800</v>
      </c>
      <c r="S10">
        <f t="shared" si="3"/>
        <v>1.5774252913855053E-2</v>
      </c>
      <c r="U10">
        <f t="shared" si="4"/>
        <v>1800</v>
      </c>
      <c r="V10">
        <f t="shared" si="5"/>
        <v>1.0844353405428201E-2</v>
      </c>
      <c r="AF10">
        <f t="shared" si="7"/>
        <v>7</v>
      </c>
      <c r="AG10">
        <f t="shared" si="6"/>
        <v>1</v>
      </c>
    </row>
    <row r="11" spans="1:33">
      <c r="A11">
        <v>9</v>
      </c>
      <c r="B11" s="10">
        <v>0</v>
      </c>
      <c r="C11" s="29">
        <v>92273</v>
      </c>
      <c r="D11" s="10" t="str">
        <f>IFERROR(VLOOKUP(C11,[1]引用表合并!$A$2:$B$1000,2,FALSE),"")</f>
        <v>智能手表</v>
      </c>
      <c r="E11" s="10">
        <v>1</v>
      </c>
      <c r="F11" s="10">
        <v>1800</v>
      </c>
      <c r="G11" s="10">
        <v>10</v>
      </c>
      <c r="H11" s="10">
        <v>100</v>
      </c>
      <c r="I11" s="10">
        <v>0</v>
      </c>
      <c r="J11" s="10">
        <v>1</v>
      </c>
      <c r="L11" s="1">
        <f>ROUNDUP(VLOOKUP(C11,[2]!游戏物价查询,7,FALSE),0)*E11</f>
        <v>55</v>
      </c>
      <c r="M11">
        <f>VLOOKUP(C11,[2]!游戏物价查询,4,0)</f>
        <v>86</v>
      </c>
      <c r="N11">
        <f>VLOOKUP(C11,[3]!马仔宝物属性,6,FALSE)</f>
        <v>2</v>
      </c>
      <c r="O11">
        <f t="shared" si="0"/>
        <v>1800</v>
      </c>
      <c r="P11">
        <f t="shared" si="1"/>
        <v>1.9778046368530932E-2</v>
      </c>
      <c r="R11">
        <f t="shared" si="2"/>
        <v>1800</v>
      </c>
      <c r="S11">
        <f t="shared" si="3"/>
        <v>1.5774252913855053E-2</v>
      </c>
      <c r="U11">
        <f t="shared" si="4"/>
        <v>1800</v>
      </c>
      <c r="V11">
        <f t="shared" si="5"/>
        <v>1.0844353405428201E-2</v>
      </c>
      <c r="AF11">
        <f t="shared" si="7"/>
        <v>0</v>
      </c>
      <c r="AG11">
        <f t="shared" si="6"/>
        <v>0</v>
      </c>
    </row>
    <row r="12" spans="1:33">
      <c r="A12">
        <v>10</v>
      </c>
      <c r="B12" s="10">
        <v>0</v>
      </c>
      <c r="C12" s="29">
        <v>92286</v>
      </c>
      <c r="D12" s="10" t="str">
        <f>IFERROR(VLOOKUP(C12,[1]引用表合并!$A$2:$B$1000,2,FALSE),"")</f>
        <v>巨额钞票</v>
      </c>
      <c r="E12" s="10">
        <v>1</v>
      </c>
      <c r="F12" s="10">
        <v>1800</v>
      </c>
      <c r="G12" s="10">
        <v>10</v>
      </c>
      <c r="H12" s="10">
        <v>100</v>
      </c>
      <c r="I12" s="10">
        <v>0</v>
      </c>
      <c r="J12" s="10">
        <v>1</v>
      </c>
      <c r="L12" s="1">
        <f>ROUNDUP(VLOOKUP(C12,[2]!游戏物价查询,7,FALSE),0)*E12</f>
        <v>429</v>
      </c>
      <c r="M12">
        <f>VLOOKUP(C12,[2]!游戏物价查询,4,0)</f>
        <v>100</v>
      </c>
      <c r="N12">
        <f>VLOOKUP(C12,[3]!马仔宝物属性,6,FALSE)</f>
        <v>4</v>
      </c>
      <c r="O12">
        <f t="shared" si="0"/>
        <v>1800</v>
      </c>
      <c r="P12">
        <f t="shared" si="1"/>
        <v>1.9778046368530932E-2</v>
      </c>
      <c r="R12">
        <f t="shared" si="2"/>
        <v>1800</v>
      </c>
      <c r="S12">
        <f t="shared" si="3"/>
        <v>1.5774252913855053E-2</v>
      </c>
      <c r="U12">
        <f t="shared" si="4"/>
        <v>1800</v>
      </c>
      <c r="V12">
        <f t="shared" si="5"/>
        <v>1.0844353405428201E-2</v>
      </c>
      <c r="AF12">
        <f t="shared" si="7"/>
        <v>0</v>
      </c>
      <c r="AG12">
        <f t="shared" si="6"/>
        <v>0</v>
      </c>
    </row>
    <row r="13" spans="1:33">
      <c r="A13">
        <v>11</v>
      </c>
      <c r="B13" s="10">
        <v>0</v>
      </c>
      <c r="C13" s="29">
        <v>92287</v>
      </c>
      <c r="D13" s="10" t="str">
        <f>IFERROR(VLOOKUP(C13,[1]引用表合并!$A$2:$B$1000,2,FALSE),"")</f>
        <v>金块</v>
      </c>
      <c r="E13" s="10">
        <v>1</v>
      </c>
      <c r="F13" s="10">
        <v>1800</v>
      </c>
      <c r="G13" s="10">
        <v>10</v>
      </c>
      <c r="H13" s="10">
        <v>100</v>
      </c>
      <c r="I13" s="10">
        <v>0</v>
      </c>
      <c r="J13" s="10">
        <v>1</v>
      </c>
      <c r="L13" s="1">
        <f>ROUNDUP(VLOOKUP(C13,[2]!游戏物价查询,7,FALSE),0)*E13</f>
        <v>15</v>
      </c>
      <c r="M13">
        <f>VLOOKUP(C13,[2]!游戏物价查询,4,0)</f>
        <v>655</v>
      </c>
      <c r="N13">
        <f>VLOOKUP(C13,[3]!马仔宝物属性,6,FALSE)</f>
        <v>1</v>
      </c>
      <c r="O13">
        <f t="shared" si="0"/>
        <v>1800</v>
      </c>
      <c r="P13">
        <f t="shared" si="1"/>
        <v>1.9778046368530932E-2</v>
      </c>
      <c r="Q13" s="22">
        <f>SUM(P3:P13)</f>
        <v>0.21755851005384022</v>
      </c>
      <c r="R13">
        <f t="shared" si="2"/>
        <v>1800</v>
      </c>
      <c r="S13">
        <f t="shared" si="3"/>
        <v>1.5774252913855053E-2</v>
      </c>
      <c r="T13" s="22">
        <f>SUM(S3:S13)</f>
        <v>0.17351678205240562</v>
      </c>
      <c r="U13">
        <f t="shared" si="4"/>
        <v>1800</v>
      </c>
      <c r="V13">
        <f t="shared" si="5"/>
        <v>1.0844353405428201E-2</v>
      </c>
      <c r="W13" s="22">
        <f>SUM(V3:V13)</f>
        <v>0.11928788745971024</v>
      </c>
      <c r="X13">
        <f>W13/W29</f>
        <v>0.61874999999999991</v>
      </c>
      <c r="Y13">
        <f>W13*9</f>
        <v>1.0735909871373921</v>
      </c>
      <c r="Z13" s="8">
        <f>SUMPRODUCT(V3:V13,E3:E13)</f>
        <v>0.11928788745971024</v>
      </c>
      <c r="AA13" s="8">
        <f>[2]马仔宝物投放!$O$41</f>
        <v>0.12332167297745356</v>
      </c>
      <c r="AF13">
        <f t="shared" si="7"/>
        <v>0</v>
      </c>
      <c r="AG13">
        <f t="shared" si="6"/>
        <v>0</v>
      </c>
    </row>
    <row r="14" spans="1:33">
      <c r="A14">
        <v>12</v>
      </c>
      <c r="B14" s="10">
        <v>0</v>
      </c>
      <c r="C14" s="30">
        <v>93134</v>
      </c>
      <c r="D14" s="10" t="str">
        <f>IFERROR(VLOOKUP(C14,[1]引用表合并!$A$2:$B$1000,2,FALSE),"")</f>
        <v>毒蝎耳钉碎片</v>
      </c>
      <c r="E14" s="7">
        <f>MIN(ROUND(M14/100,0),10)</f>
        <v>10</v>
      </c>
      <c r="F14" s="10">
        <v>3000</v>
      </c>
      <c r="G14" s="10">
        <v>10</v>
      </c>
      <c r="H14" s="10">
        <v>100</v>
      </c>
      <c r="I14" s="10">
        <v>0</v>
      </c>
      <c r="J14" s="10">
        <v>1</v>
      </c>
      <c r="L14" s="1">
        <f>ROUNDUP(VLOOKUP(C14,[2]!游戏物价查询,7,FALSE),0)*E14</f>
        <v>60</v>
      </c>
      <c r="M14">
        <f>VLOOKUP(C14,[2]!游戏物价查询,4,0)</f>
        <v>1080</v>
      </c>
      <c r="N14">
        <f>VLOOKUP(C14,[3]!马仔宝物属性,6,FALSE)</f>
        <v>3</v>
      </c>
      <c r="O14">
        <f t="shared" si="0"/>
        <v>3000</v>
      </c>
      <c r="P14">
        <f t="shared" si="1"/>
        <v>3.2963410614218216E-2</v>
      </c>
      <c r="R14">
        <f t="shared" si="2"/>
        <v>3000</v>
      </c>
      <c r="S14">
        <f t="shared" si="3"/>
        <v>2.6290421523091755E-2</v>
      </c>
      <c r="U14">
        <f t="shared" si="4"/>
        <v>3000</v>
      </c>
      <c r="V14">
        <f t="shared" si="5"/>
        <v>1.8073922342380335E-2</v>
      </c>
      <c r="AF14">
        <f t="shared" si="7"/>
        <v>0</v>
      </c>
      <c r="AG14">
        <f t="shared" si="6"/>
        <v>0</v>
      </c>
    </row>
    <row r="15" spans="1:33">
      <c r="A15">
        <v>13</v>
      </c>
      <c r="B15" s="10">
        <v>0</v>
      </c>
      <c r="C15" s="30">
        <v>93141</v>
      </c>
      <c r="D15" s="10" t="str">
        <f>IFERROR(VLOOKUP(C15,[1]引用表合并!$A$2:$B$1000,2,FALSE),"")</f>
        <v>白银戒指碎片</v>
      </c>
      <c r="E15" s="7">
        <f t="shared" ref="E15:E21" si="8">MIN(ROUND(M15/100,0),10)</f>
        <v>10</v>
      </c>
      <c r="F15" s="10">
        <v>3000</v>
      </c>
      <c r="G15" s="10">
        <v>10</v>
      </c>
      <c r="H15" s="10">
        <v>100</v>
      </c>
      <c r="I15" s="10">
        <v>0</v>
      </c>
      <c r="J15" s="10">
        <v>1</v>
      </c>
      <c r="L15" s="1">
        <f>ROUNDUP(VLOOKUP(C15,[2]!游戏物价查询,7,FALSE),0)*E15</f>
        <v>20</v>
      </c>
      <c r="M15">
        <f>VLOOKUP(C15,[2]!游戏物价查询,4,0)</f>
        <v>1905</v>
      </c>
      <c r="N15">
        <f>VLOOKUP(C15,[3]!马仔宝物属性,6,FALSE)</f>
        <v>1</v>
      </c>
      <c r="O15">
        <f t="shared" si="0"/>
        <v>3000</v>
      </c>
      <c r="P15">
        <f t="shared" si="1"/>
        <v>3.2963410614218216E-2</v>
      </c>
      <c r="R15">
        <f t="shared" si="2"/>
        <v>3000</v>
      </c>
      <c r="S15">
        <f t="shared" si="3"/>
        <v>2.6290421523091755E-2</v>
      </c>
      <c r="U15">
        <f t="shared" si="4"/>
        <v>3000</v>
      </c>
      <c r="V15">
        <f t="shared" si="5"/>
        <v>1.8073922342380335E-2</v>
      </c>
      <c r="AF15">
        <f t="shared" si="7"/>
        <v>0</v>
      </c>
      <c r="AG15">
        <f t="shared" si="6"/>
        <v>0</v>
      </c>
    </row>
    <row r="16" spans="1:33">
      <c r="A16">
        <v>14</v>
      </c>
      <c r="B16" s="10">
        <v>0</v>
      </c>
      <c r="C16" s="30">
        <v>93142</v>
      </c>
      <c r="D16" s="10" t="str">
        <f>IFERROR(VLOOKUP(C16,[1]引用表合并!$A$2:$B$1000,2,FALSE),"")</f>
        <v>黄金戒指碎片</v>
      </c>
      <c r="E16" s="7">
        <f t="shared" si="8"/>
        <v>10</v>
      </c>
      <c r="F16" s="10">
        <v>3000</v>
      </c>
      <c r="G16" s="10">
        <v>10</v>
      </c>
      <c r="H16" s="10">
        <v>100</v>
      </c>
      <c r="I16" s="10">
        <v>0</v>
      </c>
      <c r="J16" s="10">
        <v>1</v>
      </c>
      <c r="L16" s="1">
        <f>ROUNDUP(VLOOKUP(C16,[2]!游戏物价查询,7,FALSE),0)*E16</f>
        <v>40</v>
      </c>
      <c r="M16">
        <f>VLOOKUP(C16,[2]!游戏物价查询,4,0)</f>
        <v>1105</v>
      </c>
      <c r="N16">
        <f>VLOOKUP(C16,[3]!马仔宝物属性,6,FALSE)</f>
        <v>2</v>
      </c>
      <c r="O16">
        <f t="shared" si="0"/>
        <v>3000</v>
      </c>
      <c r="P16">
        <f t="shared" si="1"/>
        <v>3.2963410614218216E-2</v>
      </c>
      <c r="R16">
        <f t="shared" si="2"/>
        <v>3000</v>
      </c>
      <c r="S16">
        <f t="shared" si="3"/>
        <v>2.6290421523091755E-2</v>
      </c>
      <c r="U16">
        <f t="shared" si="4"/>
        <v>3000</v>
      </c>
      <c r="V16">
        <f t="shared" si="5"/>
        <v>1.8073922342380335E-2</v>
      </c>
      <c r="AF16">
        <f t="shared" si="7"/>
        <v>0</v>
      </c>
      <c r="AG16">
        <f t="shared" si="6"/>
        <v>0</v>
      </c>
    </row>
    <row r="17" spans="1:33">
      <c r="A17">
        <v>15</v>
      </c>
      <c r="B17" s="10">
        <v>0</v>
      </c>
      <c r="C17" s="30">
        <v>93262</v>
      </c>
      <c r="D17" s="10" t="str">
        <f>IFERROR(VLOOKUP(C17,[1]引用表合并!$A$2:$B$1000,2,FALSE),"")</f>
        <v>皇家项链碎片</v>
      </c>
      <c r="E17" s="7">
        <f t="shared" si="8"/>
        <v>3</v>
      </c>
      <c r="F17" s="10">
        <v>3000</v>
      </c>
      <c r="G17" s="10">
        <v>10</v>
      </c>
      <c r="H17" s="10">
        <v>100</v>
      </c>
      <c r="I17" s="10">
        <v>0</v>
      </c>
      <c r="J17" s="10">
        <v>1</v>
      </c>
      <c r="L17" s="1">
        <f>ROUNDUP(VLOOKUP(C17,[2]!游戏物价查询,7,FALSE),0)*E17</f>
        <v>30</v>
      </c>
      <c r="M17">
        <f>VLOOKUP(C17,[2]!游戏物价查询,4,0)</f>
        <v>280</v>
      </c>
      <c r="N17">
        <f>VLOOKUP(C17,[3]!马仔宝物属性,6,FALSE)</f>
        <v>4</v>
      </c>
      <c r="O17">
        <f t="shared" si="0"/>
        <v>3000</v>
      </c>
      <c r="P17">
        <f t="shared" si="1"/>
        <v>3.2963410614218216E-2</v>
      </c>
      <c r="R17">
        <f t="shared" si="2"/>
        <v>3000</v>
      </c>
      <c r="S17">
        <f t="shared" si="3"/>
        <v>2.6290421523091755E-2</v>
      </c>
      <c r="U17">
        <f t="shared" si="4"/>
        <v>3000</v>
      </c>
      <c r="V17">
        <f t="shared" si="5"/>
        <v>1.8073922342380335E-2</v>
      </c>
      <c r="AF17">
        <f t="shared" si="7"/>
        <v>0</v>
      </c>
      <c r="AG17">
        <f t="shared" si="6"/>
        <v>0</v>
      </c>
    </row>
    <row r="18" spans="1:33">
      <c r="A18">
        <v>16</v>
      </c>
      <c r="B18" s="10">
        <v>0</v>
      </c>
      <c r="C18" s="30">
        <v>93282</v>
      </c>
      <c r="D18" s="10" t="str">
        <f>IFERROR(VLOOKUP(C18,[1]引用表合并!$A$2:$B$1000,2,FALSE),"")</f>
        <v>劳莱斯特碎片</v>
      </c>
      <c r="E18" s="7">
        <f t="shared" si="8"/>
        <v>3</v>
      </c>
      <c r="F18" s="10">
        <v>3000</v>
      </c>
      <c r="G18" s="10">
        <v>10</v>
      </c>
      <c r="H18" s="10">
        <v>100</v>
      </c>
      <c r="I18" s="10">
        <v>0</v>
      </c>
      <c r="J18" s="10">
        <v>1</v>
      </c>
      <c r="L18" s="1">
        <f>ROUNDUP(VLOOKUP(C18,[2]!游戏物价查询,7,FALSE),0)*E18</f>
        <v>30</v>
      </c>
      <c r="M18">
        <f>VLOOKUP(C18,[2]!游戏物价查询,4,0)</f>
        <v>280</v>
      </c>
      <c r="N18">
        <f>VLOOKUP(C18,[3]!马仔宝物属性,6,FALSE)</f>
        <v>4</v>
      </c>
      <c r="O18">
        <f t="shared" si="0"/>
        <v>3000</v>
      </c>
      <c r="P18">
        <f t="shared" si="1"/>
        <v>3.2963410614218216E-2</v>
      </c>
      <c r="R18">
        <f t="shared" si="2"/>
        <v>3000</v>
      </c>
      <c r="S18">
        <f t="shared" si="3"/>
        <v>2.6290421523091755E-2</v>
      </c>
      <c r="U18">
        <f t="shared" si="4"/>
        <v>3000</v>
      </c>
      <c r="V18">
        <f t="shared" si="5"/>
        <v>1.8073922342380335E-2</v>
      </c>
    </row>
    <row r="19" spans="1:33">
      <c r="A19">
        <v>17</v>
      </c>
      <c r="B19" s="10">
        <v>0</v>
      </c>
      <c r="C19" s="30">
        <v>93283</v>
      </c>
      <c r="D19" s="10" t="str">
        <f>IFERROR(VLOOKUP(C19,[1]引用表合并!$A$2:$B$1000,2,FALSE),"")</f>
        <v>小迭钞票碎片</v>
      </c>
      <c r="E19" s="7">
        <f t="shared" si="8"/>
        <v>10</v>
      </c>
      <c r="F19" s="10">
        <v>3000</v>
      </c>
      <c r="G19" s="10">
        <v>10</v>
      </c>
      <c r="H19" s="10">
        <v>100</v>
      </c>
      <c r="I19" s="10">
        <v>0</v>
      </c>
      <c r="J19" s="10">
        <v>1</v>
      </c>
      <c r="L19" s="1">
        <f>ROUNDUP(VLOOKUP(C19,[2]!游戏物价查询,7,FALSE),0)*E19</f>
        <v>20</v>
      </c>
      <c r="M19">
        <f>VLOOKUP(C19,[2]!游戏物价查询,4,0)</f>
        <v>3565</v>
      </c>
      <c r="N19">
        <f>VLOOKUP(C19,[3]!马仔宝物属性,6,FALSE)</f>
        <v>1</v>
      </c>
      <c r="O19">
        <f t="shared" si="0"/>
        <v>3000</v>
      </c>
      <c r="P19">
        <f t="shared" si="1"/>
        <v>3.2963410614218216E-2</v>
      </c>
      <c r="R19">
        <f t="shared" si="2"/>
        <v>3000</v>
      </c>
      <c r="S19">
        <f t="shared" si="3"/>
        <v>2.6290421523091755E-2</v>
      </c>
      <c r="U19">
        <f t="shared" si="4"/>
        <v>3000</v>
      </c>
      <c r="V19">
        <f t="shared" si="5"/>
        <v>1.8073922342380335E-2</v>
      </c>
    </row>
    <row r="20" spans="1:33">
      <c r="A20">
        <v>18</v>
      </c>
      <c r="B20" s="10">
        <v>0</v>
      </c>
      <c r="C20" s="30">
        <v>93284</v>
      </c>
      <c r="D20" s="10" t="str">
        <f>IFERROR(VLOOKUP(C20,[1]引用表合并!$A$2:$B$1000,2,FALSE),"")</f>
        <v>大迭钞票碎片</v>
      </c>
      <c r="E20" s="7">
        <f t="shared" si="8"/>
        <v>10</v>
      </c>
      <c r="F20" s="10">
        <v>3000</v>
      </c>
      <c r="G20" s="10">
        <v>10</v>
      </c>
      <c r="H20" s="10">
        <v>100</v>
      </c>
      <c r="I20" s="10">
        <v>0</v>
      </c>
      <c r="J20" s="10">
        <v>1</v>
      </c>
      <c r="L20" s="1">
        <f>ROUNDUP(VLOOKUP(C20,[2]!游戏物价查询,7,FALSE),0)*E20</f>
        <v>40</v>
      </c>
      <c r="M20">
        <f>VLOOKUP(C20,[2]!游戏物价查询,4,0)</f>
        <v>3435</v>
      </c>
      <c r="N20">
        <f>VLOOKUP(C20,[3]!马仔宝物属性,6,FALSE)</f>
        <v>2</v>
      </c>
      <c r="O20">
        <f t="shared" si="0"/>
        <v>3000</v>
      </c>
      <c r="P20">
        <f t="shared" si="1"/>
        <v>3.2963410614218216E-2</v>
      </c>
      <c r="R20">
        <f t="shared" si="2"/>
        <v>3000</v>
      </c>
      <c r="S20">
        <f t="shared" si="3"/>
        <v>2.6290421523091755E-2</v>
      </c>
      <c r="U20">
        <f t="shared" si="4"/>
        <v>3000</v>
      </c>
      <c r="V20">
        <f t="shared" si="5"/>
        <v>1.8073922342380335E-2</v>
      </c>
    </row>
    <row r="21" spans="1:33">
      <c r="A21">
        <v>19</v>
      </c>
      <c r="B21" s="10">
        <v>0</v>
      </c>
      <c r="C21" s="30">
        <v>93285</v>
      </c>
      <c r="D21" s="10" t="str">
        <f>IFERROR(VLOOKUP(C21,[1]引用表合并!$A$2:$B$1000,2,FALSE),"")</f>
        <v>大堆钞票碎片</v>
      </c>
      <c r="E21" s="7">
        <f t="shared" si="8"/>
        <v>10</v>
      </c>
      <c r="F21" s="10">
        <v>3000</v>
      </c>
      <c r="G21" s="10">
        <v>10</v>
      </c>
      <c r="H21" s="10">
        <v>100</v>
      </c>
      <c r="I21" s="10">
        <v>0</v>
      </c>
      <c r="J21" s="10">
        <v>1</v>
      </c>
      <c r="L21" s="1">
        <f>ROUNDUP(VLOOKUP(C21,[2]!游戏物价查询,7,FALSE),0)*E21</f>
        <v>60</v>
      </c>
      <c r="M21">
        <f>VLOOKUP(C21,[2]!游戏物价查询,4,0)</f>
        <v>2860</v>
      </c>
      <c r="N21">
        <f>VLOOKUP(C21,[3]!马仔宝物属性,6,FALSE)</f>
        <v>3</v>
      </c>
      <c r="O21">
        <f t="shared" si="0"/>
        <v>3000</v>
      </c>
      <c r="P21">
        <f t="shared" si="1"/>
        <v>3.2963410614218216E-2</v>
      </c>
      <c r="Q21">
        <f>SUM(P14:P21)</f>
        <v>0.26370728491374568</v>
      </c>
      <c r="R21">
        <f t="shared" si="2"/>
        <v>3000</v>
      </c>
      <c r="S21">
        <f t="shared" si="3"/>
        <v>2.6290421523091755E-2</v>
      </c>
      <c r="T21">
        <f>SUM(S14:S21)</f>
        <v>0.21032337218473401</v>
      </c>
      <c r="U21">
        <f t="shared" si="4"/>
        <v>3000</v>
      </c>
      <c r="V21">
        <f t="shared" si="5"/>
        <v>1.8073922342380335E-2</v>
      </c>
      <c r="W21">
        <f>SUM(V14:V21)</f>
        <v>0.14459137873904268</v>
      </c>
      <c r="Z21">
        <f>SUMPRODUCT(V14:V21,E14:E21)</f>
        <v>1.1928788745971022</v>
      </c>
    </row>
    <row r="22" spans="1:33">
      <c r="A22">
        <v>20</v>
      </c>
      <c r="B22" s="10">
        <v>0</v>
      </c>
      <c r="C22" s="30">
        <v>92134</v>
      </c>
      <c r="D22" s="10" t="str">
        <f>IFERROR(VLOOKUP(C22,[1]引用表合并!$A$2:$B$1000,2,FALSE),"")</f>
        <v>毒蝎耳钉</v>
      </c>
      <c r="E22" s="10">
        <v>1</v>
      </c>
      <c r="F22" s="10">
        <f>F14/3</f>
        <v>1000</v>
      </c>
      <c r="G22" s="10">
        <v>10</v>
      </c>
      <c r="H22" s="10">
        <v>100</v>
      </c>
      <c r="I22" s="10">
        <v>0</v>
      </c>
      <c r="J22" s="10">
        <v>1</v>
      </c>
      <c r="L22" s="1">
        <f>ROUNDUP(VLOOKUP(C22,[2]!游戏物价查询,7,FALSE),0)*E22</f>
        <v>140</v>
      </c>
      <c r="M22">
        <f>VLOOKUP(C22,[2]!游戏物价查询,4,0)</f>
        <v>108</v>
      </c>
      <c r="N22">
        <f>VLOOKUP(C22,[3]!马仔宝物属性,6,FALSE)</f>
        <v>3</v>
      </c>
      <c r="O22">
        <f t="shared" si="0"/>
        <v>1000</v>
      </c>
      <c r="P22">
        <f t="shared" si="1"/>
        <v>1.098780353807274E-2</v>
      </c>
      <c r="R22">
        <f t="shared" si="2"/>
        <v>1000</v>
      </c>
      <c r="S22">
        <f t="shared" si="3"/>
        <v>8.7634738410305845E-3</v>
      </c>
      <c r="U22">
        <f t="shared" si="4"/>
        <v>1000</v>
      </c>
      <c r="V22">
        <f t="shared" si="5"/>
        <v>6.024640780793445E-3</v>
      </c>
      <c r="Z22" s="16"/>
    </row>
    <row r="23" spans="1:33">
      <c r="A23">
        <v>21</v>
      </c>
      <c r="B23" s="10">
        <v>0</v>
      </c>
      <c r="C23" s="30">
        <v>92141</v>
      </c>
      <c r="D23" s="10" t="str">
        <f>IFERROR(VLOOKUP(C23,[1]引用表合并!$A$2:$B$1000,2,FALSE),"")</f>
        <v>白银戒指</v>
      </c>
      <c r="E23" s="10">
        <v>1</v>
      </c>
      <c r="F23" s="10">
        <f t="shared" ref="F23:F29" si="9">F15/3</f>
        <v>1000</v>
      </c>
      <c r="G23" s="10">
        <v>10</v>
      </c>
      <c r="H23" s="10">
        <v>100</v>
      </c>
      <c r="I23" s="10">
        <v>0</v>
      </c>
      <c r="J23" s="10">
        <v>1</v>
      </c>
      <c r="L23" s="1">
        <f>ROUNDUP(VLOOKUP(C23,[2]!游戏物价查询,7,FALSE),0)*E23</f>
        <v>15</v>
      </c>
      <c r="M23">
        <f>VLOOKUP(C23,[2]!游戏物价查询,4,0)</f>
        <v>381</v>
      </c>
      <c r="N23">
        <f>VLOOKUP(C23,[3]!马仔宝物属性,6,FALSE)</f>
        <v>1</v>
      </c>
      <c r="O23">
        <f t="shared" si="0"/>
        <v>1000</v>
      </c>
      <c r="P23">
        <f t="shared" si="1"/>
        <v>1.098780353807274E-2</v>
      </c>
      <c r="R23">
        <f t="shared" si="2"/>
        <v>1000</v>
      </c>
      <c r="S23">
        <f t="shared" si="3"/>
        <v>8.7634738410305845E-3</v>
      </c>
      <c r="U23">
        <f t="shared" si="4"/>
        <v>1000</v>
      </c>
      <c r="V23">
        <f t="shared" si="5"/>
        <v>6.024640780793445E-3</v>
      </c>
    </row>
    <row r="24" spans="1:33">
      <c r="A24">
        <v>22</v>
      </c>
      <c r="B24" s="10">
        <v>0</v>
      </c>
      <c r="C24" s="30">
        <v>92142</v>
      </c>
      <c r="D24" s="10" t="str">
        <f>IFERROR(VLOOKUP(C24,[1]引用表合并!$A$2:$B$1000,2,FALSE),"")</f>
        <v>黄金戒指</v>
      </c>
      <c r="E24" s="10">
        <v>1</v>
      </c>
      <c r="F24" s="10">
        <f t="shared" si="9"/>
        <v>1000</v>
      </c>
      <c r="G24" s="10">
        <v>10</v>
      </c>
      <c r="H24" s="10">
        <v>100</v>
      </c>
      <c r="I24" s="10">
        <v>0</v>
      </c>
      <c r="J24" s="10">
        <v>1</v>
      </c>
      <c r="L24" s="1">
        <f>ROUNDUP(VLOOKUP(C24,[2]!游戏物价查询,7,FALSE),0)*E24</f>
        <v>48</v>
      </c>
      <c r="M24">
        <f>VLOOKUP(C24,[2]!游戏物价查询,4,0)</f>
        <v>221</v>
      </c>
      <c r="N24">
        <f>VLOOKUP(C24,[3]!马仔宝物属性,6,FALSE)</f>
        <v>2</v>
      </c>
      <c r="O24">
        <f t="shared" si="0"/>
        <v>1000</v>
      </c>
      <c r="P24">
        <f t="shared" si="1"/>
        <v>1.098780353807274E-2</v>
      </c>
      <c r="R24">
        <f t="shared" si="2"/>
        <v>1000</v>
      </c>
      <c r="S24">
        <f t="shared" si="3"/>
        <v>8.7634738410305845E-3</v>
      </c>
      <c r="U24">
        <f t="shared" si="4"/>
        <v>1000</v>
      </c>
      <c r="V24">
        <f t="shared" si="5"/>
        <v>6.024640780793445E-3</v>
      </c>
    </row>
    <row r="25" spans="1:33">
      <c r="A25">
        <v>23</v>
      </c>
      <c r="B25" s="10">
        <v>0</v>
      </c>
      <c r="C25" s="30">
        <v>92262</v>
      </c>
      <c r="D25" s="10" t="str">
        <f>IFERROR(VLOOKUP(C25,[1]引用表合并!$A$2:$B$1000,2,FALSE),"")</f>
        <v>皇家项链</v>
      </c>
      <c r="E25" s="10">
        <v>1</v>
      </c>
      <c r="F25" s="10">
        <f t="shared" si="9"/>
        <v>1000</v>
      </c>
      <c r="G25" s="10">
        <v>10</v>
      </c>
      <c r="H25" s="10">
        <v>100</v>
      </c>
      <c r="I25" s="10">
        <v>0</v>
      </c>
      <c r="J25" s="10">
        <v>1</v>
      </c>
      <c r="L25" s="1">
        <f>ROUNDUP(VLOOKUP(C25,[2]!游戏物价查询,7,FALSE),0)*E25</f>
        <v>912</v>
      </c>
      <c r="M25">
        <f>VLOOKUP(C25,[2]!游戏物价查询,4,0)</f>
        <v>14</v>
      </c>
      <c r="N25">
        <f>VLOOKUP(C25,[3]!马仔宝物属性,6,FALSE)</f>
        <v>4</v>
      </c>
      <c r="O25">
        <f t="shared" si="0"/>
        <v>1000</v>
      </c>
      <c r="P25">
        <f t="shared" si="1"/>
        <v>1.098780353807274E-2</v>
      </c>
      <c r="R25">
        <f t="shared" si="2"/>
        <v>1000</v>
      </c>
      <c r="S25">
        <f t="shared" si="3"/>
        <v>8.7634738410305845E-3</v>
      </c>
      <c r="U25">
        <f t="shared" si="4"/>
        <v>1000</v>
      </c>
      <c r="V25">
        <f t="shared" si="5"/>
        <v>6.024640780793445E-3</v>
      </c>
    </row>
    <row r="26" spans="1:33">
      <c r="A26">
        <v>24</v>
      </c>
      <c r="B26" s="10">
        <v>0</v>
      </c>
      <c r="C26" s="30">
        <v>92282</v>
      </c>
      <c r="D26" s="10" t="str">
        <f>IFERROR(VLOOKUP(C26,[1]引用表合并!$A$2:$B$1000,2,FALSE),"")</f>
        <v>劳莱斯特</v>
      </c>
      <c r="E26" s="10">
        <v>1</v>
      </c>
      <c r="F26" s="10">
        <f t="shared" si="9"/>
        <v>1000</v>
      </c>
      <c r="G26" s="10">
        <v>10</v>
      </c>
      <c r="H26" s="10">
        <v>100</v>
      </c>
      <c r="I26" s="10">
        <v>0</v>
      </c>
      <c r="J26" s="10">
        <v>1</v>
      </c>
      <c r="L26" s="1">
        <f>ROUNDUP(VLOOKUP(C26,[2]!游戏物价查询,7,FALSE),0)*E26</f>
        <v>927</v>
      </c>
      <c r="M26">
        <f>VLOOKUP(C26,[2]!游戏物价查询,4,0)</f>
        <v>14</v>
      </c>
      <c r="N26">
        <f>VLOOKUP(C26,[3]!马仔宝物属性,6,FALSE)</f>
        <v>4</v>
      </c>
      <c r="O26">
        <f t="shared" si="0"/>
        <v>1000</v>
      </c>
      <c r="P26">
        <f t="shared" si="1"/>
        <v>1.098780353807274E-2</v>
      </c>
      <c r="R26">
        <f t="shared" si="2"/>
        <v>1000</v>
      </c>
      <c r="S26">
        <f t="shared" si="3"/>
        <v>8.7634738410305845E-3</v>
      </c>
      <c r="U26">
        <f t="shared" si="4"/>
        <v>1000</v>
      </c>
      <c r="V26">
        <f t="shared" si="5"/>
        <v>6.024640780793445E-3</v>
      </c>
    </row>
    <row r="27" spans="1:33">
      <c r="A27">
        <v>25</v>
      </c>
      <c r="B27" s="10">
        <v>0</v>
      </c>
      <c r="C27" s="30">
        <v>92283</v>
      </c>
      <c r="D27" s="10" t="str">
        <f>IFERROR(VLOOKUP(C27,[1]引用表合并!$A$2:$B$1000,2,FALSE),"")</f>
        <v>小迭钞票</v>
      </c>
      <c r="E27" s="10">
        <v>1</v>
      </c>
      <c r="F27" s="10">
        <f t="shared" si="9"/>
        <v>1000</v>
      </c>
      <c r="G27" s="10">
        <v>10</v>
      </c>
      <c r="H27" s="10">
        <v>100</v>
      </c>
      <c r="I27" s="10">
        <v>0</v>
      </c>
      <c r="J27" s="10">
        <v>1</v>
      </c>
      <c r="L27" s="1">
        <f>ROUNDUP(VLOOKUP(C27,[2]!游戏物价查询,7,FALSE),0)*E27</f>
        <v>15</v>
      </c>
      <c r="M27">
        <f>VLOOKUP(C27,[2]!游戏物价查询,4,0)</f>
        <v>713</v>
      </c>
      <c r="N27">
        <f>VLOOKUP(C27,[3]!马仔宝物属性,6,FALSE)</f>
        <v>1</v>
      </c>
      <c r="O27">
        <f t="shared" si="0"/>
        <v>1000</v>
      </c>
      <c r="P27">
        <f t="shared" si="1"/>
        <v>1.098780353807274E-2</v>
      </c>
      <c r="R27">
        <f t="shared" si="2"/>
        <v>1000</v>
      </c>
      <c r="S27">
        <f t="shared" si="3"/>
        <v>8.7634738410305845E-3</v>
      </c>
      <c r="U27">
        <f t="shared" si="4"/>
        <v>1000</v>
      </c>
      <c r="V27">
        <f t="shared" si="5"/>
        <v>6.024640780793445E-3</v>
      </c>
    </row>
    <row r="28" spans="1:33">
      <c r="A28">
        <v>26</v>
      </c>
      <c r="B28" s="10">
        <v>0</v>
      </c>
      <c r="C28" s="30">
        <v>92284</v>
      </c>
      <c r="D28" s="10" t="str">
        <f>IFERROR(VLOOKUP(C28,[1]引用表合并!$A$2:$B$1000,2,FALSE),"")</f>
        <v>大迭钞票</v>
      </c>
      <c r="E28" s="10">
        <v>1</v>
      </c>
      <c r="F28" s="10">
        <f t="shared" si="9"/>
        <v>1000</v>
      </c>
      <c r="G28" s="10">
        <v>10</v>
      </c>
      <c r="H28" s="10">
        <v>100</v>
      </c>
      <c r="I28" s="10">
        <v>0</v>
      </c>
      <c r="J28" s="10">
        <v>1</v>
      </c>
      <c r="L28" s="1">
        <f>ROUNDUP(VLOOKUP(C28,[2]!游戏物价查询,7,FALSE),0)*E28</f>
        <v>48</v>
      </c>
      <c r="M28">
        <f>VLOOKUP(C28,[2]!游戏物价查询,4,0)</f>
        <v>687</v>
      </c>
      <c r="N28">
        <f>VLOOKUP(C28,[3]!马仔宝物属性,6,FALSE)</f>
        <v>2</v>
      </c>
      <c r="O28">
        <f t="shared" si="0"/>
        <v>1000</v>
      </c>
      <c r="P28">
        <f t="shared" si="1"/>
        <v>1.098780353807274E-2</v>
      </c>
      <c r="R28">
        <f t="shared" si="2"/>
        <v>1000</v>
      </c>
      <c r="S28">
        <f t="shared" si="3"/>
        <v>8.7634738410305845E-3</v>
      </c>
      <c r="U28">
        <f t="shared" si="4"/>
        <v>1000</v>
      </c>
      <c r="V28">
        <f t="shared" si="5"/>
        <v>6.024640780793445E-3</v>
      </c>
    </row>
    <row r="29" spans="1:33">
      <c r="A29">
        <v>27</v>
      </c>
      <c r="B29" s="10">
        <v>0</v>
      </c>
      <c r="C29" s="30">
        <v>92285</v>
      </c>
      <c r="D29" s="10" t="str">
        <f>IFERROR(VLOOKUP(C29,[1]引用表合并!$A$2:$B$1000,2,FALSE),"")</f>
        <v>大堆钞票</v>
      </c>
      <c r="E29" s="10">
        <v>1</v>
      </c>
      <c r="F29" s="10">
        <f t="shared" si="9"/>
        <v>1000</v>
      </c>
      <c r="G29" s="10">
        <v>10</v>
      </c>
      <c r="H29" s="10">
        <v>100</v>
      </c>
      <c r="I29" s="10">
        <v>0</v>
      </c>
      <c r="J29" s="10">
        <v>1</v>
      </c>
      <c r="L29" s="1">
        <f>ROUNDUP(VLOOKUP(C29,[2]!游戏物价查询,7,FALSE),0)*E29</f>
        <v>154</v>
      </c>
      <c r="M29">
        <f>VLOOKUP(C29,[2]!游戏物价查询,4,0)</f>
        <v>286</v>
      </c>
      <c r="N29">
        <f>VLOOKUP(C29,[3]!马仔宝物属性,6,FALSE)</f>
        <v>3</v>
      </c>
      <c r="O29">
        <f t="shared" si="0"/>
        <v>1000</v>
      </c>
      <c r="P29">
        <f t="shared" si="1"/>
        <v>1.098780353807274E-2</v>
      </c>
      <c r="Q29" s="22">
        <f>SUM(P14:P29)</f>
        <v>0.3516097132183274</v>
      </c>
      <c r="R29">
        <f t="shared" si="2"/>
        <v>1000</v>
      </c>
      <c r="S29">
        <f t="shared" si="3"/>
        <v>8.7634738410305845E-3</v>
      </c>
      <c r="T29" s="22">
        <f>SUM(S14:S29)</f>
        <v>0.2804311629129787</v>
      </c>
      <c r="U29">
        <f t="shared" si="4"/>
        <v>1000</v>
      </c>
      <c r="V29">
        <f t="shared" si="5"/>
        <v>6.024640780793445E-3</v>
      </c>
      <c r="W29" s="22">
        <f>SUM(V14:V29)</f>
        <v>0.19278850498539032</v>
      </c>
      <c r="X29">
        <f>W29/W53</f>
        <v>1.6260162601626029</v>
      </c>
      <c r="Y29">
        <f>W29*9</f>
        <v>1.7350965448685129</v>
      </c>
      <c r="Z29">
        <f>SUMPRODUCT(V22:V29,E22:E29)</f>
        <v>4.819712624634756E-2</v>
      </c>
    </row>
    <row r="30" spans="1:33">
      <c r="A30">
        <v>28</v>
      </c>
      <c r="B30" s="10">
        <v>0</v>
      </c>
      <c r="C30" s="31">
        <v>93261</v>
      </c>
      <c r="D30" s="10" t="str">
        <f>IFERROR(VLOOKUP(C30,[1]引用表合并!$A$2:$B$1000,2,FALSE),"")</f>
        <v>贵族项链碎片</v>
      </c>
      <c r="E30" s="7">
        <f>MIN(ROUND(M30/100,0),10)</f>
        <v>10</v>
      </c>
      <c r="F30" s="10">
        <v>1230</v>
      </c>
      <c r="G30" s="10">
        <v>20</v>
      </c>
      <c r="H30" s="10">
        <v>100</v>
      </c>
      <c r="I30" s="10">
        <v>0</v>
      </c>
      <c r="J30" s="10">
        <v>1</v>
      </c>
      <c r="L30" s="1">
        <f>ROUNDUP(VLOOKUP(C30,[2]!游戏物价查询,7,FALSE),0)*E30</f>
        <v>80</v>
      </c>
      <c r="M30">
        <f>VLOOKUP(C30,[2]!游戏物价查询,4,0)</f>
        <v>1200</v>
      </c>
      <c r="N30">
        <f>VLOOKUP(C30,[3]!马仔宝物属性,6,FALSE)</f>
        <v>4</v>
      </c>
      <c r="O30" t="str">
        <f t="shared" si="0"/>
        <v/>
      </c>
      <c r="P30">
        <f t="shared" si="1"/>
        <v>0</v>
      </c>
      <c r="R30">
        <f t="shared" si="2"/>
        <v>1230</v>
      </c>
      <c r="S30">
        <f t="shared" si="3"/>
        <v>1.077907282446762E-2</v>
      </c>
      <c r="U30">
        <f t="shared" si="4"/>
        <v>1230</v>
      </c>
      <c r="V30">
        <f t="shared" si="5"/>
        <v>7.4103081603759374E-3</v>
      </c>
      <c r="Z30" s="8">
        <f>Z21+Z29*5</f>
        <v>1.43386450582884</v>
      </c>
      <c r="AA30" s="8">
        <f>[2]马仔宝物投放!$O$42</f>
        <v>0.87124900019410789</v>
      </c>
    </row>
    <row r="31" spans="1:33">
      <c r="A31">
        <v>29</v>
      </c>
      <c r="B31" s="10">
        <v>0</v>
      </c>
      <c r="C31" s="31">
        <v>93263</v>
      </c>
      <c r="D31" s="10" t="str">
        <f>IFERROR(VLOOKUP(C31,[1]引用表合并!$A$2:$B$1000,2,FALSE),"")</f>
        <v/>
      </c>
      <c r="E31" s="7" t="e">
        <f t="shared" ref="E31:E41" si="10">MIN(ROUND(M31/100,0),10)</f>
        <v>#N/A</v>
      </c>
      <c r="F31" s="10">
        <v>1230</v>
      </c>
      <c r="G31" s="10">
        <v>20</v>
      </c>
      <c r="H31" s="10">
        <v>100</v>
      </c>
      <c r="I31" s="10">
        <v>0</v>
      </c>
      <c r="J31" s="10">
        <v>1</v>
      </c>
      <c r="L31" s="1" t="e">
        <f>ROUNDUP(VLOOKUP(C31,[2]!游戏物价查询,7,FALSE),0)*E31</f>
        <v>#N/A</v>
      </c>
      <c r="M31" t="e">
        <f>VLOOKUP(C31,[2]!游戏物价查询,4,0)</f>
        <v>#N/A</v>
      </c>
      <c r="N31" t="e">
        <f>VLOOKUP(C31,[3]!马仔宝物属性,6,FALSE)</f>
        <v>#N/A</v>
      </c>
      <c r="O31" t="str">
        <f t="shared" si="0"/>
        <v/>
      </c>
      <c r="P31">
        <f t="shared" si="1"/>
        <v>0</v>
      </c>
      <c r="R31">
        <f t="shared" si="2"/>
        <v>1230</v>
      </c>
      <c r="S31">
        <f t="shared" si="3"/>
        <v>1.077907282446762E-2</v>
      </c>
      <c r="U31">
        <f t="shared" si="4"/>
        <v>1230</v>
      </c>
      <c r="V31">
        <f t="shared" si="5"/>
        <v>7.4103081603759374E-3</v>
      </c>
    </row>
    <row r="32" spans="1:33">
      <c r="A32">
        <v>30</v>
      </c>
      <c r="B32" s="10">
        <v>0</v>
      </c>
      <c r="C32" s="31">
        <v>93264</v>
      </c>
      <c r="D32" s="10" t="str">
        <f>IFERROR(VLOOKUP(C32,[1]引用表合并!$A$2:$B$1000,2,FALSE),"")</f>
        <v>越野手表碎片</v>
      </c>
      <c r="E32" s="7">
        <f t="shared" si="10"/>
        <v>10</v>
      </c>
      <c r="F32" s="10">
        <v>1230</v>
      </c>
      <c r="G32" s="10">
        <v>20</v>
      </c>
      <c r="H32" s="10">
        <v>100</v>
      </c>
      <c r="I32" s="10">
        <v>0</v>
      </c>
      <c r="J32" s="10">
        <v>1</v>
      </c>
      <c r="L32" s="1">
        <f>ROUNDUP(VLOOKUP(C32,[2]!游戏物价查询,7,FALSE),0)*E32</f>
        <v>20</v>
      </c>
      <c r="M32">
        <f>VLOOKUP(C32,[2]!游戏物价查询,4,0)</f>
        <v>1020</v>
      </c>
      <c r="N32">
        <f>VLOOKUP(C32,[3]!马仔宝物属性,6,FALSE)</f>
        <v>1</v>
      </c>
      <c r="O32" t="str">
        <f t="shared" si="0"/>
        <v/>
      </c>
      <c r="P32">
        <f t="shared" si="1"/>
        <v>0</v>
      </c>
      <c r="R32">
        <f t="shared" si="2"/>
        <v>1230</v>
      </c>
      <c r="S32">
        <f t="shared" si="3"/>
        <v>1.077907282446762E-2</v>
      </c>
      <c r="U32">
        <f t="shared" si="4"/>
        <v>1230</v>
      </c>
      <c r="V32">
        <f t="shared" si="5"/>
        <v>7.4103081603759374E-3</v>
      </c>
    </row>
    <row r="33" spans="1:26">
      <c r="A33">
        <v>31</v>
      </c>
      <c r="B33" s="10">
        <v>0</v>
      </c>
      <c r="C33" s="31">
        <v>93272</v>
      </c>
      <c r="D33" s="10" t="str">
        <f>IFERROR(VLOOKUP(C33,[1]引用表合并!$A$2:$B$1000,2,FALSE),"")</f>
        <v>金针手表碎片</v>
      </c>
      <c r="E33" s="7">
        <f t="shared" si="10"/>
        <v>5</v>
      </c>
      <c r="F33" s="10">
        <v>1230</v>
      </c>
      <c r="G33" s="10">
        <v>20</v>
      </c>
      <c r="H33" s="10">
        <v>100</v>
      </c>
      <c r="I33" s="10">
        <v>0</v>
      </c>
      <c r="J33" s="10">
        <v>1</v>
      </c>
      <c r="L33" s="1">
        <f>ROUNDUP(VLOOKUP(C33,[2]!游戏物价查询,7,FALSE),0)*E33</f>
        <v>20</v>
      </c>
      <c r="M33">
        <f>VLOOKUP(C33,[2]!游戏物价查询,4,0)</f>
        <v>465</v>
      </c>
      <c r="N33">
        <f>VLOOKUP(C33,[3]!马仔宝物属性,6,FALSE)</f>
        <v>2</v>
      </c>
      <c r="O33" t="str">
        <f t="shared" si="0"/>
        <v/>
      </c>
      <c r="P33">
        <f t="shared" si="1"/>
        <v>0</v>
      </c>
      <c r="R33">
        <f t="shared" si="2"/>
        <v>1230</v>
      </c>
      <c r="S33">
        <f t="shared" si="3"/>
        <v>1.077907282446762E-2</v>
      </c>
      <c r="U33">
        <f t="shared" si="4"/>
        <v>1230</v>
      </c>
      <c r="V33">
        <f t="shared" si="5"/>
        <v>7.4103081603759374E-3</v>
      </c>
    </row>
    <row r="34" spans="1:26">
      <c r="A34">
        <v>32</v>
      </c>
      <c r="B34" s="10">
        <v>0</v>
      </c>
      <c r="C34" s="31">
        <v>93274</v>
      </c>
      <c r="D34" s="10" t="str">
        <f>IFERROR(VLOOKUP(C34,[1]引用表合并!$A$2:$B$1000,2,FALSE),"")</f>
        <v>汉密手表碎片</v>
      </c>
      <c r="E34" s="7">
        <f t="shared" si="10"/>
        <v>7</v>
      </c>
      <c r="F34" s="10">
        <v>1230</v>
      </c>
      <c r="G34" s="10">
        <v>20</v>
      </c>
      <c r="H34" s="10">
        <v>100</v>
      </c>
      <c r="I34" s="10">
        <v>0</v>
      </c>
      <c r="J34" s="10">
        <v>1</v>
      </c>
      <c r="L34" s="1">
        <f>ROUNDUP(VLOOKUP(C34,[2]!游戏物价查询,7,FALSE),0)*E34</f>
        <v>42</v>
      </c>
      <c r="M34">
        <f>VLOOKUP(C34,[2]!游戏物价查询,4,0)</f>
        <v>700</v>
      </c>
      <c r="N34">
        <f>VLOOKUP(C34,[3]!马仔宝物属性,6,FALSE)</f>
        <v>3</v>
      </c>
      <c r="O34" t="str">
        <f t="shared" si="0"/>
        <v/>
      </c>
      <c r="P34">
        <f t="shared" si="1"/>
        <v>0</v>
      </c>
      <c r="R34">
        <f t="shared" si="2"/>
        <v>1230</v>
      </c>
      <c r="S34">
        <f t="shared" si="3"/>
        <v>1.077907282446762E-2</v>
      </c>
      <c r="U34">
        <f t="shared" si="4"/>
        <v>1230</v>
      </c>
      <c r="V34">
        <f t="shared" si="5"/>
        <v>7.4103081603759374E-3</v>
      </c>
    </row>
    <row r="35" spans="1:26">
      <c r="A35">
        <v>33</v>
      </c>
      <c r="B35" s="10">
        <v>0</v>
      </c>
      <c r="C35" s="31">
        <v>93275</v>
      </c>
      <c r="D35" s="10" t="str">
        <f>IFERROR(VLOOKUP(C35,[1]引用表合并!$A$2:$B$1000,2,FALSE),"")</f>
        <v>千国手表碎片</v>
      </c>
      <c r="E35" s="7">
        <f t="shared" si="10"/>
        <v>10</v>
      </c>
      <c r="F35" s="10">
        <v>1230</v>
      </c>
      <c r="G35" s="10">
        <v>20</v>
      </c>
      <c r="H35" s="10">
        <v>100</v>
      </c>
      <c r="I35" s="10">
        <v>0</v>
      </c>
      <c r="J35" s="10">
        <v>1</v>
      </c>
      <c r="L35" s="1">
        <f>ROUNDUP(VLOOKUP(C35,[2]!游戏物价查询,7,FALSE),0)*E35</f>
        <v>80</v>
      </c>
      <c r="M35">
        <f>VLOOKUP(C35,[2]!游戏物价查询,4,0)</f>
        <v>1080</v>
      </c>
      <c r="N35">
        <f>VLOOKUP(C35,[3]!马仔宝物属性,6,FALSE)</f>
        <v>4</v>
      </c>
      <c r="O35" t="str">
        <f t="shared" ref="O35:O66" si="11">IF(AND($G35&lt;=Q$2,$H35&gt;Q$2),$F35,"")</f>
        <v/>
      </c>
      <c r="P35">
        <f t="shared" ref="P35:P66" si="12">IFERROR(O35/SUM(O:O),0)</f>
        <v>0</v>
      </c>
      <c r="R35">
        <f t="shared" ref="R35:R66" si="13">IF(AND($G35&lt;=T$2,$H35&gt;T$2),$F35,"")</f>
        <v>1230</v>
      </c>
      <c r="S35">
        <f t="shared" ref="S35:S66" si="14">IFERROR(R35/SUM(R:R),0)</f>
        <v>1.077907282446762E-2</v>
      </c>
      <c r="U35">
        <f t="shared" ref="U35:U66" si="15">IF(AND($G35&lt;=W$2,$H35&gt;W$2),$F35,"")</f>
        <v>1230</v>
      </c>
      <c r="V35">
        <f t="shared" ref="V35:V66" si="16">IFERROR(U35/SUM(U:U),0)</f>
        <v>7.4103081603759374E-3</v>
      </c>
    </row>
    <row r="36" spans="1:26">
      <c r="A36">
        <v>34</v>
      </c>
      <c r="B36" s="10">
        <v>0</v>
      </c>
      <c r="C36" s="31">
        <v>93276</v>
      </c>
      <c r="D36" s="10" t="str">
        <f>IFERROR(VLOOKUP(C36,[1]引用表合并!$A$2:$B$1000,2,FALSE),"")</f>
        <v>壕利手表碎片</v>
      </c>
      <c r="E36" s="7">
        <f t="shared" si="10"/>
        <v>3</v>
      </c>
      <c r="F36" s="10">
        <v>1230</v>
      </c>
      <c r="G36" s="10">
        <v>20</v>
      </c>
      <c r="H36" s="10">
        <v>100</v>
      </c>
      <c r="I36" s="10">
        <v>0</v>
      </c>
      <c r="J36" s="10">
        <v>1</v>
      </c>
      <c r="L36" s="1">
        <f>ROUNDUP(VLOOKUP(C36,[2]!游戏物价查询,7,FALSE),0)*E36</f>
        <v>30</v>
      </c>
      <c r="M36">
        <f>VLOOKUP(C36,[2]!游戏物价查询,4,0)</f>
        <v>320</v>
      </c>
      <c r="N36">
        <f>VLOOKUP(C36,[3]!马仔宝物属性,6,FALSE)</f>
        <v>4</v>
      </c>
      <c r="O36" t="str">
        <f t="shared" si="11"/>
        <v/>
      </c>
      <c r="P36">
        <f t="shared" si="12"/>
        <v>0</v>
      </c>
      <c r="R36">
        <f t="shared" si="13"/>
        <v>1230</v>
      </c>
      <c r="S36">
        <f t="shared" si="14"/>
        <v>1.077907282446762E-2</v>
      </c>
      <c r="U36">
        <f t="shared" si="15"/>
        <v>1230</v>
      </c>
      <c r="V36">
        <f t="shared" si="16"/>
        <v>7.4103081603759374E-3</v>
      </c>
    </row>
    <row r="37" spans="1:26">
      <c r="A37">
        <v>35</v>
      </c>
      <c r="B37" s="10">
        <v>0</v>
      </c>
      <c r="C37" s="31">
        <v>93277</v>
      </c>
      <c r="D37" s="10" t="str">
        <f>IFERROR(VLOOKUP(C37,[1]引用表合并!$A$2:$B$1000,2,FALSE),"")</f>
        <v/>
      </c>
      <c r="E37" s="7" t="e">
        <f t="shared" si="10"/>
        <v>#N/A</v>
      </c>
      <c r="F37" s="10">
        <v>1230</v>
      </c>
      <c r="G37" s="10">
        <v>20</v>
      </c>
      <c r="H37" s="10">
        <v>100</v>
      </c>
      <c r="I37" s="10">
        <v>0</v>
      </c>
      <c r="J37" s="10">
        <v>1</v>
      </c>
      <c r="L37" s="1" t="e">
        <f>ROUNDUP(VLOOKUP(C37,[2]!游戏物价查询,7,FALSE),0)*E37</f>
        <v>#N/A</v>
      </c>
      <c r="M37" t="e">
        <f>VLOOKUP(C37,[2]!游戏物价查询,4,0)</f>
        <v>#N/A</v>
      </c>
      <c r="N37" t="e">
        <f>VLOOKUP(C37,[3]!马仔宝物属性,6,FALSE)</f>
        <v>#N/A</v>
      </c>
      <c r="O37" t="str">
        <f t="shared" si="11"/>
        <v/>
      </c>
      <c r="P37">
        <f t="shared" si="12"/>
        <v>0</v>
      </c>
      <c r="R37">
        <f t="shared" si="13"/>
        <v>1230</v>
      </c>
      <c r="S37">
        <f t="shared" si="14"/>
        <v>1.077907282446762E-2</v>
      </c>
      <c r="U37">
        <f t="shared" si="15"/>
        <v>1230</v>
      </c>
      <c r="V37">
        <f t="shared" si="16"/>
        <v>7.4103081603759374E-3</v>
      </c>
    </row>
    <row r="38" spans="1:26">
      <c r="A38">
        <v>36</v>
      </c>
      <c r="B38" s="10">
        <v>0</v>
      </c>
      <c r="C38" s="31">
        <v>93278</v>
      </c>
      <c r="D38" s="10" t="str">
        <f>IFERROR(VLOOKUP(C38,[1]引用表合并!$A$2:$B$1000,2,FALSE),"")</f>
        <v>宝驼碎片</v>
      </c>
      <c r="E38" s="7">
        <f t="shared" si="10"/>
        <v>10</v>
      </c>
      <c r="F38" s="10">
        <v>1230</v>
      </c>
      <c r="G38" s="10">
        <v>20</v>
      </c>
      <c r="H38" s="10">
        <v>100</v>
      </c>
      <c r="I38" s="10">
        <v>0</v>
      </c>
      <c r="J38" s="10">
        <v>1</v>
      </c>
      <c r="L38" s="1">
        <f>ROUNDUP(VLOOKUP(C38,[2]!游戏物价查询,7,FALSE),0)*E38</f>
        <v>20</v>
      </c>
      <c r="M38">
        <f>VLOOKUP(C38,[2]!游戏物价查询,4,0)</f>
        <v>1120</v>
      </c>
      <c r="N38">
        <f>VLOOKUP(C38,[3]!马仔宝物属性,6,FALSE)</f>
        <v>1</v>
      </c>
      <c r="O38" t="str">
        <f t="shared" si="11"/>
        <v/>
      </c>
      <c r="P38">
        <f t="shared" si="12"/>
        <v>0</v>
      </c>
      <c r="R38">
        <f t="shared" si="13"/>
        <v>1230</v>
      </c>
      <c r="S38">
        <f t="shared" si="14"/>
        <v>1.077907282446762E-2</v>
      </c>
      <c r="U38">
        <f t="shared" si="15"/>
        <v>1230</v>
      </c>
      <c r="V38">
        <f t="shared" si="16"/>
        <v>7.4103081603759374E-3</v>
      </c>
    </row>
    <row r="39" spans="1:26">
      <c r="A39">
        <v>37</v>
      </c>
      <c r="B39" s="10">
        <v>0</v>
      </c>
      <c r="C39" s="31">
        <v>93279</v>
      </c>
      <c r="D39" s="10" t="str">
        <f>IFERROR(VLOOKUP(C39,[1]引用表合并!$A$2:$B$1000,2,FALSE),"")</f>
        <v>宾倪碎片</v>
      </c>
      <c r="E39" s="7">
        <f t="shared" si="10"/>
        <v>5</v>
      </c>
      <c r="F39" s="10">
        <v>1230</v>
      </c>
      <c r="G39" s="10">
        <v>20</v>
      </c>
      <c r="H39" s="10">
        <v>100</v>
      </c>
      <c r="I39" s="10">
        <v>0</v>
      </c>
      <c r="J39" s="10">
        <v>1</v>
      </c>
      <c r="L39" s="1">
        <f>ROUNDUP(VLOOKUP(C39,[2]!游戏物价查询,7,FALSE),0)*E39</f>
        <v>20</v>
      </c>
      <c r="M39">
        <f>VLOOKUP(C39,[2]!游戏物价查询,4,0)</f>
        <v>495</v>
      </c>
      <c r="N39">
        <f>VLOOKUP(C39,[3]!马仔宝物属性,6,FALSE)</f>
        <v>2</v>
      </c>
      <c r="O39" t="str">
        <f t="shared" si="11"/>
        <v/>
      </c>
      <c r="P39">
        <f t="shared" si="12"/>
        <v>0</v>
      </c>
      <c r="R39">
        <f t="shared" si="13"/>
        <v>1230</v>
      </c>
      <c r="S39">
        <f t="shared" si="14"/>
        <v>1.077907282446762E-2</v>
      </c>
      <c r="U39">
        <f t="shared" si="15"/>
        <v>1230</v>
      </c>
      <c r="V39">
        <f t="shared" si="16"/>
        <v>7.4103081603759374E-3</v>
      </c>
    </row>
    <row r="40" spans="1:26">
      <c r="A40">
        <v>38</v>
      </c>
      <c r="B40" s="10">
        <v>0</v>
      </c>
      <c r="C40" s="31">
        <v>93280</v>
      </c>
      <c r="D40" s="10" t="str">
        <f>IFERROR(VLOOKUP(C40,[1]引用表合并!$A$2:$B$1000,2,FALSE),"")</f>
        <v>法拉捷碎片</v>
      </c>
      <c r="E40" s="7">
        <f t="shared" si="10"/>
        <v>8</v>
      </c>
      <c r="F40" s="10">
        <v>1230</v>
      </c>
      <c r="G40" s="10">
        <v>20</v>
      </c>
      <c r="H40" s="10">
        <v>100</v>
      </c>
      <c r="I40" s="10">
        <v>0</v>
      </c>
      <c r="J40" s="10">
        <v>1</v>
      </c>
      <c r="L40" s="1">
        <f>ROUNDUP(VLOOKUP(C40,[2]!游戏物价查询,7,FALSE),0)*E40</f>
        <v>48</v>
      </c>
      <c r="M40">
        <f>VLOOKUP(C40,[2]!游戏物价查询,4,0)</f>
        <v>750</v>
      </c>
      <c r="N40">
        <f>VLOOKUP(C40,[3]!马仔宝物属性,6,FALSE)</f>
        <v>3</v>
      </c>
      <c r="O40" t="str">
        <f t="shared" si="11"/>
        <v/>
      </c>
      <c r="P40">
        <f t="shared" si="12"/>
        <v>0</v>
      </c>
      <c r="R40">
        <f t="shared" si="13"/>
        <v>1230</v>
      </c>
      <c r="S40">
        <f t="shared" si="14"/>
        <v>1.077907282446762E-2</v>
      </c>
      <c r="U40">
        <f t="shared" si="15"/>
        <v>1230</v>
      </c>
      <c r="V40">
        <f t="shared" si="16"/>
        <v>7.4103081603759374E-3</v>
      </c>
    </row>
    <row r="41" spans="1:26">
      <c r="A41">
        <v>39</v>
      </c>
      <c r="B41" s="10">
        <v>0</v>
      </c>
      <c r="C41" s="31">
        <v>93281</v>
      </c>
      <c r="D41" s="10" t="str">
        <f>IFERROR(VLOOKUP(C41,[1]引用表合并!$A$2:$B$1000,2,FALSE),"")</f>
        <v>红博机利碎片</v>
      </c>
      <c r="E41" s="7">
        <f t="shared" si="10"/>
        <v>10</v>
      </c>
      <c r="F41" s="10">
        <v>1230</v>
      </c>
      <c r="G41" s="10">
        <v>20</v>
      </c>
      <c r="H41" s="10">
        <v>100</v>
      </c>
      <c r="I41" s="10">
        <v>0</v>
      </c>
      <c r="J41" s="10">
        <v>1</v>
      </c>
      <c r="L41" s="1">
        <f>ROUNDUP(VLOOKUP(C41,[2]!游戏物价查询,7,FALSE),0)*E41</f>
        <v>80</v>
      </c>
      <c r="M41">
        <f>VLOOKUP(C41,[2]!游戏物价查询,4,0)</f>
        <v>1160</v>
      </c>
      <c r="N41">
        <f>VLOOKUP(C41,[3]!马仔宝物属性,6,FALSE)</f>
        <v>4</v>
      </c>
      <c r="O41" t="str">
        <f t="shared" si="11"/>
        <v/>
      </c>
      <c r="P41">
        <f t="shared" si="12"/>
        <v>0</v>
      </c>
      <c r="R41">
        <f t="shared" si="13"/>
        <v>1230</v>
      </c>
      <c r="S41">
        <f t="shared" si="14"/>
        <v>1.077907282446762E-2</v>
      </c>
      <c r="T41">
        <f>SUM(S30:S41)</f>
        <v>0.12934887389361144</v>
      </c>
      <c r="U41">
        <f t="shared" si="15"/>
        <v>1230</v>
      </c>
      <c r="V41">
        <f t="shared" si="16"/>
        <v>7.4103081603759374E-3</v>
      </c>
      <c r="W41">
        <f>SUM(V30:V41)</f>
        <v>8.8923697924511255E-2</v>
      </c>
      <c r="Z41" t="e">
        <f>SUMPRODUCT(V30:V41,E30:E41)</f>
        <v>#N/A</v>
      </c>
    </row>
    <row r="42" spans="1:26">
      <c r="A42">
        <v>40</v>
      </c>
      <c r="B42" s="10">
        <v>0</v>
      </c>
      <c r="C42" s="31">
        <v>92261</v>
      </c>
      <c r="D42" s="10" t="str">
        <f>IFERROR(VLOOKUP(C42,[1]引用表合并!$A$2:$B$1000,2,FALSE),"")</f>
        <v>贵族项链</v>
      </c>
      <c r="E42" s="10">
        <v>1</v>
      </c>
      <c r="F42" s="10">
        <f>F30/3</f>
        <v>410</v>
      </c>
      <c r="G42" s="10">
        <v>20</v>
      </c>
      <c r="H42" s="10">
        <v>100</v>
      </c>
      <c r="I42" s="10">
        <v>0</v>
      </c>
      <c r="J42" s="10">
        <v>1</v>
      </c>
      <c r="L42" s="1">
        <f>ROUNDUP(VLOOKUP(C42,[2]!游戏物价查询,7,FALSE),0)*E42</f>
        <v>419</v>
      </c>
      <c r="M42">
        <f>VLOOKUP(C42,[2]!游戏物价查询,4,0)</f>
        <v>60</v>
      </c>
      <c r="N42">
        <f>VLOOKUP(C42,[3]!马仔宝物属性,6,FALSE)</f>
        <v>4</v>
      </c>
      <c r="O42" t="str">
        <f t="shared" si="11"/>
        <v/>
      </c>
      <c r="P42">
        <f t="shared" si="12"/>
        <v>0</v>
      </c>
      <c r="R42">
        <f t="shared" si="13"/>
        <v>410</v>
      </c>
      <c r="S42">
        <f t="shared" si="14"/>
        <v>3.5930242748225395E-3</v>
      </c>
      <c r="U42">
        <f t="shared" si="15"/>
        <v>410</v>
      </c>
      <c r="V42">
        <f t="shared" si="16"/>
        <v>2.4701027201253127E-3</v>
      </c>
      <c r="Z42" s="16"/>
    </row>
    <row r="43" spans="1:26">
      <c r="A43">
        <v>41</v>
      </c>
      <c r="B43" s="10">
        <v>0</v>
      </c>
      <c r="C43" s="31">
        <v>92263</v>
      </c>
      <c r="D43" s="10" t="str">
        <f>IFERROR(VLOOKUP(C43,[1]引用表合并!$A$2:$B$1000,2,FALSE),"")</f>
        <v>银针手表</v>
      </c>
      <c r="E43" s="10">
        <v>1</v>
      </c>
      <c r="F43" s="10">
        <f t="shared" ref="F43:F53" si="17">F31/3</f>
        <v>410</v>
      </c>
      <c r="G43" s="10">
        <v>20</v>
      </c>
      <c r="H43" s="10">
        <v>100</v>
      </c>
      <c r="I43" s="10">
        <v>0</v>
      </c>
      <c r="J43" s="10">
        <v>1</v>
      </c>
      <c r="L43" s="1">
        <f>ROUNDUP(VLOOKUP(C43,[2]!游戏物价查询,7,FALSE),0)*E43</f>
        <v>4</v>
      </c>
      <c r="M43">
        <f>VLOOKUP(C43,[2]!游戏物价查询,4,0)</f>
        <v>117</v>
      </c>
      <c r="N43">
        <f>VLOOKUP(C43,[3]!马仔宝物属性,6,FALSE)</f>
        <v>0</v>
      </c>
      <c r="O43" t="str">
        <f t="shared" si="11"/>
        <v/>
      </c>
      <c r="P43">
        <f t="shared" si="12"/>
        <v>0</v>
      </c>
      <c r="R43">
        <f t="shared" si="13"/>
        <v>410</v>
      </c>
      <c r="S43">
        <f t="shared" si="14"/>
        <v>3.5930242748225395E-3</v>
      </c>
      <c r="U43">
        <f t="shared" si="15"/>
        <v>410</v>
      </c>
      <c r="V43">
        <f t="shared" si="16"/>
        <v>2.4701027201253127E-3</v>
      </c>
    </row>
    <row r="44" spans="1:26">
      <c r="A44">
        <v>42</v>
      </c>
      <c r="B44" s="10">
        <v>0</v>
      </c>
      <c r="C44" s="31">
        <v>92264</v>
      </c>
      <c r="D44" s="10" t="str">
        <f>IFERROR(VLOOKUP(C44,[1]引用表合并!$A$2:$B$1000,2,FALSE),"")</f>
        <v>越野手表</v>
      </c>
      <c r="E44" s="10">
        <v>1</v>
      </c>
      <c r="F44" s="10">
        <f t="shared" si="17"/>
        <v>410</v>
      </c>
      <c r="G44" s="10">
        <v>20</v>
      </c>
      <c r="H44" s="10">
        <v>100</v>
      </c>
      <c r="I44" s="10">
        <v>0</v>
      </c>
      <c r="J44" s="10">
        <v>1</v>
      </c>
      <c r="L44" s="1">
        <f>ROUNDUP(VLOOKUP(C44,[2]!游戏物价查询,7,FALSE),0)*E44</f>
        <v>15</v>
      </c>
      <c r="M44">
        <f>VLOOKUP(C44,[2]!游戏物价查询,4,0)</f>
        <v>204</v>
      </c>
      <c r="N44">
        <f>VLOOKUP(C44,[3]!马仔宝物属性,6,FALSE)</f>
        <v>1</v>
      </c>
      <c r="O44" t="str">
        <f t="shared" si="11"/>
        <v/>
      </c>
      <c r="P44">
        <f t="shared" si="12"/>
        <v>0</v>
      </c>
      <c r="R44">
        <f t="shared" si="13"/>
        <v>410</v>
      </c>
      <c r="S44">
        <f t="shared" si="14"/>
        <v>3.5930242748225395E-3</v>
      </c>
      <c r="U44">
        <f t="shared" si="15"/>
        <v>410</v>
      </c>
      <c r="V44">
        <f t="shared" si="16"/>
        <v>2.4701027201253127E-3</v>
      </c>
    </row>
    <row r="45" spans="1:26">
      <c r="A45">
        <v>43</v>
      </c>
      <c r="B45" s="10">
        <v>0</v>
      </c>
      <c r="C45" s="31">
        <v>92272</v>
      </c>
      <c r="D45" s="10" t="str">
        <f>IFERROR(VLOOKUP(C45,[1]引用表合并!$A$2:$B$1000,2,FALSE),"")</f>
        <v>金针手表</v>
      </c>
      <c r="E45" s="10">
        <v>1</v>
      </c>
      <c r="F45" s="10">
        <f t="shared" si="17"/>
        <v>410</v>
      </c>
      <c r="G45" s="10">
        <v>20</v>
      </c>
      <c r="H45" s="10">
        <v>100</v>
      </c>
      <c r="I45" s="10">
        <v>0</v>
      </c>
      <c r="J45" s="10">
        <v>1</v>
      </c>
      <c r="L45" s="1">
        <f>ROUNDUP(VLOOKUP(C45,[2]!游戏物价查询,7,FALSE),0)*E45</f>
        <v>49</v>
      </c>
      <c r="M45">
        <f>VLOOKUP(C45,[2]!游戏物价查询,4,0)</f>
        <v>93</v>
      </c>
      <c r="N45">
        <f>VLOOKUP(C45,[3]!马仔宝物属性,6,FALSE)</f>
        <v>2</v>
      </c>
      <c r="O45" t="str">
        <f t="shared" si="11"/>
        <v/>
      </c>
      <c r="P45">
        <f t="shared" si="12"/>
        <v>0</v>
      </c>
      <c r="R45">
        <f t="shared" si="13"/>
        <v>410</v>
      </c>
      <c r="S45">
        <f t="shared" si="14"/>
        <v>3.5930242748225395E-3</v>
      </c>
      <c r="U45">
        <f t="shared" si="15"/>
        <v>410</v>
      </c>
      <c r="V45">
        <f t="shared" si="16"/>
        <v>2.4701027201253127E-3</v>
      </c>
    </row>
    <row r="46" spans="1:26">
      <c r="A46">
        <v>44</v>
      </c>
      <c r="B46" s="10">
        <v>0</v>
      </c>
      <c r="C46" s="31">
        <v>92274</v>
      </c>
      <c r="D46" s="10" t="str">
        <f>IFERROR(VLOOKUP(C46,[1]引用表合并!$A$2:$B$1000,2,FALSE),"")</f>
        <v>汉密手表</v>
      </c>
      <c r="E46" s="10">
        <v>1</v>
      </c>
      <c r="F46" s="10">
        <f t="shared" si="17"/>
        <v>410</v>
      </c>
      <c r="G46" s="10">
        <v>20</v>
      </c>
      <c r="H46" s="10">
        <v>100</v>
      </c>
      <c r="I46" s="10">
        <v>0</v>
      </c>
      <c r="J46" s="10">
        <v>1</v>
      </c>
      <c r="L46" s="1">
        <f>ROUNDUP(VLOOKUP(C46,[2]!游戏物价查询,7,FALSE),0)*E46</f>
        <v>157</v>
      </c>
      <c r="M46">
        <f>VLOOKUP(C46,[2]!游戏物价查询,4,0)</f>
        <v>70</v>
      </c>
      <c r="N46">
        <f>VLOOKUP(C46,[3]!马仔宝物属性,6,FALSE)</f>
        <v>3</v>
      </c>
      <c r="O46" t="str">
        <f t="shared" si="11"/>
        <v/>
      </c>
      <c r="P46">
        <f t="shared" si="12"/>
        <v>0</v>
      </c>
      <c r="R46">
        <f t="shared" si="13"/>
        <v>410</v>
      </c>
      <c r="S46">
        <f t="shared" si="14"/>
        <v>3.5930242748225395E-3</v>
      </c>
      <c r="U46">
        <f t="shared" si="15"/>
        <v>410</v>
      </c>
      <c r="V46">
        <f t="shared" si="16"/>
        <v>2.4701027201253127E-3</v>
      </c>
    </row>
    <row r="47" spans="1:26">
      <c r="A47">
        <v>45</v>
      </c>
      <c r="B47" s="10">
        <v>0</v>
      </c>
      <c r="C47" s="31">
        <v>92275</v>
      </c>
      <c r="D47" s="10" t="str">
        <f>IFERROR(VLOOKUP(C47,[1]引用表合并!$A$2:$B$1000,2,FALSE),"")</f>
        <v>千国手表</v>
      </c>
      <c r="E47" s="10">
        <v>1</v>
      </c>
      <c r="F47" s="10">
        <f t="shared" si="17"/>
        <v>410</v>
      </c>
      <c r="G47" s="10">
        <v>20</v>
      </c>
      <c r="H47" s="10">
        <v>100</v>
      </c>
      <c r="I47" s="10">
        <v>0</v>
      </c>
      <c r="J47" s="10">
        <v>1</v>
      </c>
      <c r="L47" s="1">
        <f>ROUNDUP(VLOOKUP(C47,[2]!游戏物价查询,7,FALSE),0)*E47</f>
        <v>425</v>
      </c>
      <c r="M47">
        <f>VLOOKUP(C47,[2]!游戏物价查询,4,0)</f>
        <v>54</v>
      </c>
      <c r="N47">
        <f>VLOOKUP(C47,[3]!马仔宝物属性,6,FALSE)</f>
        <v>4</v>
      </c>
      <c r="O47" t="str">
        <f t="shared" si="11"/>
        <v/>
      </c>
      <c r="P47">
        <f t="shared" si="12"/>
        <v>0</v>
      </c>
      <c r="R47">
        <f t="shared" si="13"/>
        <v>410</v>
      </c>
      <c r="S47">
        <f t="shared" si="14"/>
        <v>3.5930242748225395E-3</v>
      </c>
      <c r="U47">
        <f t="shared" si="15"/>
        <v>410</v>
      </c>
      <c r="V47">
        <f t="shared" si="16"/>
        <v>2.4701027201253127E-3</v>
      </c>
    </row>
    <row r="48" spans="1:26">
      <c r="A48">
        <v>46</v>
      </c>
      <c r="B48" s="10">
        <v>0</v>
      </c>
      <c r="C48" s="31">
        <v>92276</v>
      </c>
      <c r="D48" s="10" t="str">
        <f>IFERROR(VLOOKUP(C48,[1]引用表合并!$A$2:$B$1000,2,FALSE),"")</f>
        <v>壕利手表</v>
      </c>
      <c r="E48" s="10">
        <v>1</v>
      </c>
      <c r="F48" s="10">
        <f t="shared" si="17"/>
        <v>410</v>
      </c>
      <c r="G48" s="10">
        <v>20</v>
      </c>
      <c r="H48" s="10">
        <v>100</v>
      </c>
      <c r="I48" s="10">
        <v>0</v>
      </c>
      <c r="J48" s="10">
        <v>1</v>
      </c>
      <c r="L48" s="1">
        <f>ROUNDUP(VLOOKUP(C48,[2]!游戏物价查询,7,FALSE),0)*E48</f>
        <v>924</v>
      </c>
      <c r="M48">
        <f>VLOOKUP(C48,[2]!游戏物价查询,4,0)</f>
        <v>16</v>
      </c>
      <c r="N48">
        <f>VLOOKUP(C48,[3]!马仔宝物属性,6,FALSE)</f>
        <v>4</v>
      </c>
      <c r="O48" t="str">
        <f t="shared" si="11"/>
        <v/>
      </c>
      <c r="P48">
        <f t="shared" si="12"/>
        <v>0</v>
      </c>
      <c r="R48">
        <f t="shared" si="13"/>
        <v>410</v>
      </c>
      <c r="S48">
        <f t="shared" si="14"/>
        <v>3.5930242748225395E-3</v>
      </c>
      <c r="U48">
        <f t="shared" si="15"/>
        <v>410</v>
      </c>
      <c r="V48">
        <f t="shared" si="16"/>
        <v>2.4701027201253127E-3</v>
      </c>
    </row>
    <row r="49" spans="1:27">
      <c r="A49">
        <v>47</v>
      </c>
      <c r="B49" s="10">
        <v>0</v>
      </c>
      <c r="C49" s="31">
        <v>92277</v>
      </c>
      <c r="D49" s="10" t="str">
        <f>IFERROR(VLOOKUP(C49,[1]引用表合并!$A$2:$B$1000,2,FALSE),"")</f>
        <v>冬利</v>
      </c>
      <c r="E49" s="10">
        <v>1</v>
      </c>
      <c r="F49" s="10">
        <f t="shared" si="17"/>
        <v>410</v>
      </c>
      <c r="G49" s="10">
        <v>20</v>
      </c>
      <c r="H49" s="10">
        <v>100</v>
      </c>
      <c r="I49" s="10">
        <v>0</v>
      </c>
      <c r="J49" s="10">
        <v>1</v>
      </c>
      <c r="L49" s="1">
        <f>ROUNDUP(VLOOKUP(C49,[2]!游戏物价查询,7,FALSE),0)*E49</f>
        <v>2</v>
      </c>
      <c r="M49">
        <f>VLOOKUP(C49,[2]!游戏物价查询,4,0)</f>
        <v>122</v>
      </c>
      <c r="N49">
        <f>VLOOKUP(C49,[3]!马仔宝物属性,6,FALSE)</f>
        <v>0</v>
      </c>
      <c r="O49" t="str">
        <f t="shared" si="11"/>
        <v/>
      </c>
      <c r="P49">
        <f t="shared" si="12"/>
        <v>0</v>
      </c>
      <c r="R49">
        <f t="shared" si="13"/>
        <v>410</v>
      </c>
      <c r="S49">
        <f t="shared" si="14"/>
        <v>3.5930242748225395E-3</v>
      </c>
      <c r="U49">
        <f t="shared" si="15"/>
        <v>410</v>
      </c>
      <c r="V49">
        <f t="shared" si="16"/>
        <v>2.4701027201253127E-3</v>
      </c>
    </row>
    <row r="50" spans="1:27">
      <c r="A50">
        <v>48</v>
      </c>
      <c r="B50" s="10">
        <v>0</v>
      </c>
      <c r="C50" s="31">
        <v>92278</v>
      </c>
      <c r="D50" s="10" t="str">
        <f>IFERROR(VLOOKUP(C50,[1]引用表合并!$A$2:$B$1000,2,FALSE),"")</f>
        <v>宝驼</v>
      </c>
      <c r="E50" s="10">
        <v>1</v>
      </c>
      <c r="F50" s="10">
        <f t="shared" si="17"/>
        <v>410</v>
      </c>
      <c r="G50" s="10">
        <v>20</v>
      </c>
      <c r="H50" s="10">
        <v>100</v>
      </c>
      <c r="I50" s="10">
        <v>0</v>
      </c>
      <c r="J50" s="10">
        <v>1</v>
      </c>
      <c r="L50" s="1">
        <f>ROUNDUP(VLOOKUP(C50,[2]!游戏物价查询,7,FALSE),0)*E50</f>
        <v>15</v>
      </c>
      <c r="M50">
        <f>VLOOKUP(C50,[2]!游戏物价查询,4,0)</f>
        <v>224</v>
      </c>
      <c r="N50">
        <f>VLOOKUP(C50,[3]!马仔宝物属性,6,FALSE)</f>
        <v>1</v>
      </c>
      <c r="O50" t="str">
        <f t="shared" si="11"/>
        <v/>
      </c>
      <c r="P50">
        <f t="shared" si="12"/>
        <v>0</v>
      </c>
      <c r="R50">
        <f t="shared" si="13"/>
        <v>410</v>
      </c>
      <c r="S50">
        <f t="shared" si="14"/>
        <v>3.5930242748225395E-3</v>
      </c>
      <c r="U50">
        <f t="shared" si="15"/>
        <v>410</v>
      </c>
      <c r="V50">
        <f t="shared" si="16"/>
        <v>2.4701027201253127E-3</v>
      </c>
    </row>
    <row r="51" spans="1:27">
      <c r="A51">
        <v>49</v>
      </c>
      <c r="B51" s="10">
        <v>0</v>
      </c>
      <c r="C51" s="31">
        <v>92279</v>
      </c>
      <c r="D51" s="10" t="str">
        <f>IFERROR(VLOOKUP(C51,[1]引用表合并!$A$2:$B$1000,2,FALSE),"")</f>
        <v>宾倪</v>
      </c>
      <c r="E51" s="10">
        <v>1</v>
      </c>
      <c r="F51" s="10">
        <f t="shared" si="17"/>
        <v>410</v>
      </c>
      <c r="G51" s="10">
        <v>20</v>
      </c>
      <c r="H51" s="10">
        <v>100</v>
      </c>
      <c r="I51" s="10">
        <v>0</v>
      </c>
      <c r="J51" s="10">
        <v>1</v>
      </c>
      <c r="L51" s="1">
        <f>ROUNDUP(VLOOKUP(C51,[2]!游戏物价查询,7,FALSE),0)*E51</f>
        <v>48</v>
      </c>
      <c r="M51">
        <f>VLOOKUP(C51,[2]!游戏物价查询,4,0)</f>
        <v>99</v>
      </c>
      <c r="N51">
        <f>VLOOKUP(C51,[3]!马仔宝物属性,6,FALSE)</f>
        <v>2</v>
      </c>
      <c r="O51" t="str">
        <f t="shared" si="11"/>
        <v/>
      </c>
      <c r="P51">
        <f t="shared" si="12"/>
        <v>0</v>
      </c>
      <c r="R51">
        <f t="shared" si="13"/>
        <v>410</v>
      </c>
      <c r="S51">
        <f t="shared" si="14"/>
        <v>3.5930242748225395E-3</v>
      </c>
      <c r="U51">
        <f t="shared" si="15"/>
        <v>410</v>
      </c>
      <c r="V51">
        <f t="shared" si="16"/>
        <v>2.4701027201253127E-3</v>
      </c>
    </row>
    <row r="52" spans="1:27">
      <c r="A52">
        <v>50</v>
      </c>
      <c r="B52" s="10">
        <v>0</v>
      </c>
      <c r="C52" s="31">
        <v>92280</v>
      </c>
      <c r="D52" s="10" t="str">
        <f>IFERROR(VLOOKUP(C52,[1]引用表合并!$A$2:$B$1000,2,FALSE),"")</f>
        <v>法拉捷</v>
      </c>
      <c r="E52" s="10">
        <v>1</v>
      </c>
      <c r="F52" s="10">
        <f t="shared" si="17"/>
        <v>410</v>
      </c>
      <c r="G52" s="10">
        <v>20</v>
      </c>
      <c r="H52" s="10">
        <v>100</v>
      </c>
      <c r="I52" s="10">
        <v>0</v>
      </c>
      <c r="J52" s="10">
        <v>1</v>
      </c>
      <c r="L52" s="1">
        <f>ROUNDUP(VLOOKUP(C52,[2]!游戏物价查询,7,FALSE),0)*E52</f>
        <v>154</v>
      </c>
      <c r="M52">
        <f>VLOOKUP(C52,[2]!游戏物价查询,4,0)</f>
        <v>75</v>
      </c>
      <c r="N52">
        <f>VLOOKUP(C52,[3]!马仔宝物属性,6,FALSE)</f>
        <v>3</v>
      </c>
      <c r="O52" t="str">
        <f t="shared" si="11"/>
        <v/>
      </c>
      <c r="P52">
        <f t="shared" si="12"/>
        <v>0</v>
      </c>
      <c r="R52">
        <f t="shared" si="13"/>
        <v>410</v>
      </c>
      <c r="S52">
        <f t="shared" si="14"/>
        <v>3.5930242748225395E-3</v>
      </c>
      <c r="U52">
        <f t="shared" si="15"/>
        <v>410</v>
      </c>
      <c r="V52">
        <f t="shared" si="16"/>
        <v>2.4701027201253127E-3</v>
      </c>
    </row>
    <row r="53" spans="1:27">
      <c r="A53">
        <v>51</v>
      </c>
      <c r="B53" s="10">
        <v>0</v>
      </c>
      <c r="C53" s="31">
        <v>92281</v>
      </c>
      <c r="D53" s="10" t="str">
        <f>IFERROR(VLOOKUP(C53,[1]引用表合并!$A$2:$B$1000,2,FALSE),"")</f>
        <v>红博机利</v>
      </c>
      <c r="E53" s="10">
        <v>1</v>
      </c>
      <c r="F53" s="10">
        <f t="shared" si="17"/>
        <v>410</v>
      </c>
      <c r="G53" s="10">
        <v>20</v>
      </c>
      <c r="H53" s="10">
        <v>100</v>
      </c>
      <c r="I53" s="10">
        <v>0</v>
      </c>
      <c r="J53" s="10">
        <v>1</v>
      </c>
      <c r="L53" s="1">
        <f>ROUNDUP(VLOOKUP(C53,[2]!游戏物价查询,7,FALSE),0)*E53</f>
        <v>429</v>
      </c>
      <c r="M53">
        <f>VLOOKUP(C53,[2]!游戏物价查询,4,0)</f>
        <v>58</v>
      </c>
      <c r="N53">
        <f>VLOOKUP(C53,[3]!马仔宝物属性,6,FALSE)</f>
        <v>4</v>
      </c>
      <c r="O53" t="str">
        <f t="shared" si="11"/>
        <v/>
      </c>
      <c r="P53">
        <f t="shared" si="12"/>
        <v>0</v>
      </c>
      <c r="R53">
        <f t="shared" si="13"/>
        <v>410</v>
      </c>
      <c r="S53">
        <f t="shared" si="14"/>
        <v>3.5930242748225395E-3</v>
      </c>
      <c r="T53" s="22">
        <f>SUM(S30:S53)</f>
        <v>0.17246516519148175</v>
      </c>
      <c r="U53">
        <f t="shared" si="15"/>
        <v>410</v>
      </c>
      <c r="V53">
        <f t="shared" si="16"/>
        <v>2.4701027201253127E-3</v>
      </c>
      <c r="W53" s="22">
        <f>SUM(V30:V53)</f>
        <v>0.11856493056601496</v>
      </c>
      <c r="X53">
        <f>W53/W97</f>
        <v>1.1770334928229664</v>
      </c>
      <c r="Y53">
        <f>W53*9</f>
        <v>1.0670843750941346</v>
      </c>
      <c r="Z53">
        <f>SUMPRODUCT(V42:V53,E42:E53)</f>
        <v>2.9641232641503746E-2</v>
      </c>
    </row>
    <row r="54" spans="1:27">
      <c r="A54">
        <v>52</v>
      </c>
      <c r="B54" s="10">
        <v>0</v>
      </c>
      <c r="C54" s="32">
        <v>93240</v>
      </c>
      <c r="D54" s="10" t="str">
        <f>IFERROR(VLOOKUP(C54,[1]引用表合并!$A$2:$B$1000,2,FALSE),"")</f>
        <v>苍蓝戒指碎片</v>
      </c>
      <c r="E54" s="7">
        <f t="shared" ref="E54:E75" si="18">MIN(ROUND(M54/100,0),10)</f>
        <v>10</v>
      </c>
      <c r="F54" s="10">
        <v>570</v>
      </c>
      <c r="G54" s="10">
        <v>31</v>
      </c>
      <c r="H54" s="10">
        <v>100</v>
      </c>
      <c r="I54" s="10">
        <v>0</v>
      </c>
      <c r="J54" s="10">
        <v>1</v>
      </c>
      <c r="L54" s="1">
        <f>ROUNDUP(VLOOKUP(C54,[2]!游戏物价查询,7,FALSE),0)*E54</f>
        <v>80</v>
      </c>
      <c r="M54">
        <f>VLOOKUP(C54,[2]!游戏物价查询,4,0)</f>
        <v>1000</v>
      </c>
      <c r="N54">
        <f>VLOOKUP(C54,[3]!马仔宝物属性,6,FALSE)</f>
        <v>4</v>
      </c>
      <c r="O54" t="str">
        <f t="shared" si="11"/>
        <v/>
      </c>
      <c r="P54">
        <f t="shared" si="12"/>
        <v>0</v>
      </c>
      <c r="R54" t="str">
        <f t="shared" si="13"/>
        <v/>
      </c>
      <c r="S54">
        <f t="shared" si="14"/>
        <v>0</v>
      </c>
      <c r="U54">
        <f t="shared" si="15"/>
        <v>570</v>
      </c>
      <c r="V54">
        <f t="shared" si="16"/>
        <v>3.4340452450522638E-3</v>
      </c>
      <c r="Z54" s="8" t="e">
        <f>Z41+Z53*10</f>
        <v>#N/A</v>
      </c>
      <c r="AA54" s="8">
        <f>[2]马仔宝物投放!$O$43</f>
        <v>0.64634693778659114</v>
      </c>
    </row>
    <row r="55" spans="1:27">
      <c r="A55">
        <v>53</v>
      </c>
      <c r="B55" s="10">
        <v>0</v>
      </c>
      <c r="C55" s="32">
        <v>93243</v>
      </c>
      <c r="D55" s="10" t="str">
        <f>IFERROR(VLOOKUP(C55,[1]引用表合并!$A$2:$B$1000,2,FALSE),"")</f>
        <v/>
      </c>
      <c r="E55" s="7" t="e">
        <f t="shared" si="18"/>
        <v>#N/A</v>
      </c>
      <c r="F55" s="10">
        <v>570</v>
      </c>
      <c r="G55" s="10">
        <v>31</v>
      </c>
      <c r="H55" s="10">
        <v>100</v>
      </c>
      <c r="I55" s="10">
        <v>0</v>
      </c>
      <c r="J55" s="10">
        <v>1</v>
      </c>
      <c r="L55" s="1" t="e">
        <f>ROUNDUP(VLOOKUP(C55,[2]!游戏物价查询,7,FALSE),0)*E55</f>
        <v>#N/A</v>
      </c>
      <c r="M55" t="e">
        <f>VLOOKUP(C55,[2]!游戏物价查询,4,0)</f>
        <v>#N/A</v>
      </c>
      <c r="N55" t="e">
        <f>VLOOKUP(C55,[3]!马仔宝物属性,6,FALSE)</f>
        <v>#N/A</v>
      </c>
      <c r="O55" t="str">
        <f t="shared" si="11"/>
        <v/>
      </c>
      <c r="P55">
        <f t="shared" si="12"/>
        <v>0</v>
      </c>
      <c r="R55" t="str">
        <f t="shared" si="13"/>
        <v/>
      </c>
      <c r="S55">
        <f t="shared" si="14"/>
        <v>0</v>
      </c>
      <c r="U55">
        <f t="shared" si="15"/>
        <v>570</v>
      </c>
      <c r="V55">
        <f t="shared" si="16"/>
        <v>3.4340452450522638E-3</v>
      </c>
    </row>
    <row r="56" spans="1:27">
      <c r="A56">
        <v>54</v>
      </c>
      <c r="B56" s="10">
        <v>0</v>
      </c>
      <c r="C56" s="32">
        <v>93244</v>
      </c>
      <c r="D56" s="10" t="str">
        <f>IFERROR(VLOOKUP(C56,[1]引用表合并!$A$2:$B$1000,2,FALSE),"")</f>
        <v/>
      </c>
      <c r="E56" s="7" t="e">
        <f t="shared" si="18"/>
        <v>#N/A</v>
      </c>
      <c r="F56" s="10">
        <v>570</v>
      </c>
      <c r="G56" s="10">
        <v>31</v>
      </c>
      <c r="H56" s="10">
        <v>100</v>
      </c>
      <c r="I56" s="10">
        <v>0</v>
      </c>
      <c r="J56" s="10">
        <v>1</v>
      </c>
      <c r="L56" s="1" t="e">
        <f>ROUNDUP(VLOOKUP(C56,[2]!游戏物价查询,7,FALSE),0)*E56</f>
        <v>#N/A</v>
      </c>
      <c r="M56" t="e">
        <f>VLOOKUP(C56,[2]!游戏物价查询,4,0)</f>
        <v>#N/A</v>
      </c>
      <c r="N56" t="e">
        <f>VLOOKUP(C56,[3]!马仔宝物属性,6,FALSE)</f>
        <v>#N/A</v>
      </c>
      <c r="O56" t="str">
        <f t="shared" si="11"/>
        <v/>
      </c>
      <c r="P56">
        <f t="shared" si="12"/>
        <v>0</v>
      </c>
      <c r="R56" t="str">
        <f t="shared" si="13"/>
        <v/>
      </c>
      <c r="S56">
        <f t="shared" si="14"/>
        <v>0</v>
      </c>
      <c r="U56">
        <f t="shared" si="15"/>
        <v>570</v>
      </c>
      <c r="V56">
        <f t="shared" si="16"/>
        <v>3.4340452450522638E-3</v>
      </c>
    </row>
    <row r="57" spans="1:27">
      <c r="A57">
        <v>55</v>
      </c>
      <c r="B57" s="10">
        <v>0</v>
      </c>
      <c r="C57" s="32">
        <v>93245</v>
      </c>
      <c r="D57" s="10" t="str">
        <f>IFERROR(VLOOKUP(C57,[1]引用表合并!$A$2:$B$1000,2,FALSE),"")</f>
        <v>水晶项链碎片</v>
      </c>
      <c r="E57" s="7">
        <f t="shared" si="18"/>
        <v>10</v>
      </c>
      <c r="F57" s="10">
        <v>570</v>
      </c>
      <c r="G57" s="10">
        <v>31</v>
      </c>
      <c r="H57" s="10">
        <v>100</v>
      </c>
      <c r="I57" s="10">
        <v>0</v>
      </c>
      <c r="J57" s="10">
        <v>1</v>
      </c>
      <c r="L57" s="1">
        <f>ROUNDUP(VLOOKUP(C57,[2]!游戏物价查询,7,FALSE),0)*E57</f>
        <v>20</v>
      </c>
      <c r="M57">
        <f>VLOOKUP(C57,[2]!游戏物价查询,4,0)</f>
        <v>1380</v>
      </c>
      <c r="N57">
        <f>VLOOKUP(C57,[3]!马仔宝物属性,6,FALSE)</f>
        <v>1</v>
      </c>
      <c r="O57" t="str">
        <f t="shared" si="11"/>
        <v/>
      </c>
      <c r="P57">
        <f t="shared" si="12"/>
        <v>0</v>
      </c>
      <c r="R57" t="str">
        <f t="shared" si="13"/>
        <v/>
      </c>
      <c r="S57">
        <f t="shared" si="14"/>
        <v>0</v>
      </c>
      <c r="U57">
        <f t="shared" si="15"/>
        <v>570</v>
      </c>
      <c r="V57">
        <f t="shared" si="16"/>
        <v>3.4340452450522638E-3</v>
      </c>
    </row>
    <row r="58" spans="1:27">
      <c r="A58">
        <v>56</v>
      </c>
      <c r="B58" s="10">
        <v>0</v>
      </c>
      <c r="C58" s="32">
        <v>93251</v>
      </c>
      <c r="D58" s="10" t="str">
        <f>IFERROR(VLOOKUP(C58,[1]引用表合并!$A$2:$B$1000,2,FALSE),"")</f>
        <v>红石项链碎片</v>
      </c>
      <c r="E58" s="7">
        <f t="shared" si="18"/>
        <v>10</v>
      </c>
      <c r="F58" s="10">
        <v>570</v>
      </c>
      <c r="G58" s="10">
        <v>31</v>
      </c>
      <c r="H58" s="10">
        <v>100</v>
      </c>
      <c r="I58" s="10">
        <v>0</v>
      </c>
      <c r="J58" s="10">
        <v>1</v>
      </c>
      <c r="L58" s="1">
        <f>ROUNDUP(VLOOKUP(C58,[2]!游戏物价查询,7,FALSE),0)*E58</f>
        <v>20</v>
      </c>
      <c r="M58">
        <f>VLOOKUP(C58,[2]!游戏物价查询,4,0)</f>
        <v>2345</v>
      </c>
      <c r="N58">
        <f>VLOOKUP(C58,[3]!马仔宝物属性,6,FALSE)</f>
        <v>1</v>
      </c>
      <c r="O58" t="str">
        <f t="shared" si="11"/>
        <v/>
      </c>
      <c r="P58">
        <f t="shared" si="12"/>
        <v>0</v>
      </c>
      <c r="R58" t="str">
        <f t="shared" si="13"/>
        <v/>
      </c>
      <c r="S58">
        <f t="shared" si="14"/>
        <v>0</v>
      </c>
      <c r="U58">
        <f t="shared" si="15"/>
        <v>570</v>
      </c>
      <c r="V58">
        <f t="shared" si="16"/>
        <v>3.4340452450522638E-3</v>
      </c>
    </row>
    <row r="59" spans="1:27">
      <c r="A59">
        <v>57</v>
      </c>
      <c r="B59" s="10">
        <v>0</v>
      </c>
      <c r="C59" s="32">
        <v>93252</v>
      </c>
      <c r="D59" s="10" t="str">
        <f>IFERROR(VLOOKUP(C59,[1]引用表合并!$A$2:$B$1000,2,FALSE),"")</f>
        <v>青玉项链碎片</v>
      </c>
      <c r="E59" s="7">
        <f t="shared" si="18"/>
        <v>10</v>
      </c>
      <c r="F59" s="10">
        <v>570</v>
      </c>
      <c r="G59" s="10">
        <v>31</v>
      </c>
      <c r="H59" s="10">
        <v>100</v>
      </c>
      <c r="I59" s="10">
        <v>0</v>
      </c>
      <c r="J59" s="10">
        <v>1</v>
      </c>
      <c r="L59" s="1">
        <f>ROUNDUP(VLOOKUP(C59,[2]!游戏物价查询,7,FALSE),0)*E59</f>
        <v>40</v>
      </c>
      <c r="M59">
        <f>VLOOKUP(C59,[2]!游戏物价查询,4,0)</f>
        <v>1540</v>
      </c>
      <c r="N59">
        <f>VLOOKUP(C59,[3]!马仔宝物属性,6,FALSE)</f>
        <v>2</v>
      </c>
      <c r="O59" t="str">
        <f t="shared" si="11"/>
        <v/>
      </c>
      <c r="P59">
        <f t="shared" si="12"/>
        <v>0</v>
      </c>
      <c r="R59" t="str">
        <f t="shared" si="13"/>
        <v/>
      </c>
      <c r="S59">
        <f t="shared" si="14"/>
        <v>0</v>
      </c>
      <c r="U59">
        <f t="shared" si="15"/>
        <v>570</v>
      </c>
      <c r="V59">
        <f t="shared" si="16"/>
        <v>3.4340452450522638E-3</v>
      </c>
    </row>
    <row r="60" spans="1:27">
      <c r="A60">
        <v>58</v>
      </c>
      <c r="B60" s="10">
        <v>0</v>
      </c>
      <c r="C60" s="32">
        <v>93253</v>
      </c>
      <c r="D60" s="10" t="str">
        <f>IFERROR(VLOOKUP(C60,[1]引用表合并!$A$2:$B$1000,2,FALSE),"")</f>
        <v>猫妖项链碎片</v>
      </c>
      <c r="E60" s="7">
        <f t="shared" si="18"/>
        <v>10</v>
      </c>
      <c r="F60" s="10">
        <v>570</v>
      </c>
      <c r="G60" s="10">
        <v>31</v>
      </c>
      <c r="H60" s="10">
        <v>100</v>
      </c>
      <c r="I60" s="10">
        <v>0</v>
      </c>
      <c r="J60" s="10">
        <v>1</v>
      </c>
      <c r="L60" s="1">
        <f>ROUNDUP(VLOOKUP(C60,[2]!游戏物价查询,7,FALSE),0)*E60</f>
        <v>60</v>
      </c>
      <c r="M60">
        <f>VLOOKUP(C60,[2]!游戏物价查询,4,0)</f>
        <v>1480</v>
      </c>
      <c r="N60">
        <f>VLOOKUP(C60,[3]!马仔宝物属性,6,FALSE)</f>
        <v>3</v>
      </c>
      <c r="O60" t="str">
        <f t="shared" si="11"/>
        <v/>
      </c>
      <c r="P60">
        <f t="shared" si="12"/>
        <v>0</v>
      </c>
      <c r="R60" t="str">
        <f t="shared" si="13"/>
        <v/>
      </c>
      <c r="S60">
        <f t="shared" si="14"/>
        <v>0</v>
      </c>
      <c r="U60">
        <f t="shared" si="15"/>
        <v>570</v>
      </c>
      <c r="V60">
        <f t="shared" si="16"/>
        <v>3.4340452450522638E-3</v>
      </c>
    </row>
    <row r="61" spans="1:27">
      <c r="A61">
        <v>59</v>
      </c>
      <c r="B61" s="10">
        <v>0</v>
      </c>
      <c r="C61" s="32">
        <v>93254</v>
      </c>
      <c r="D61" s="10" t="str">
        <f>IFERROR(VLOOKUP(C61,[1]引用表合并!$A$2:$B$1000,2,FALSE),"")</f>
        <v>苍蓝项链碎片</v>
      </c>
      <c r="E61" s="7">
        <f t="shared" si="18"/>
        <v>10</v>
      </c>
      <c r="F61" s="10">
        <v>570</v>
      </c>
      <c r="G61" s="10">
        <v>31</v>
      </c>
      <c r="H61" s="10">
        <v>100</v>
      </c>
      <c r="I61" s="10">
        <v>0</v>
      </c>
      <c r="J61" s="10">
        <v>1</v>
      </c>
      <c r="L61" s="1">
        <f>ROUNDUP(VLOOKUP(C61,[2]!游戏物价查询,7,FALSE),0)*E61</f>
        <v>60</v>
      </c>
      <c r="M61">
        <f>VLOOKUP(C61,[2]!游戏物价查询,4,0)</f>
        <v>1400</v>
      </c>
      <c r="N61">
        <f>VLOOKUP(C61,[3]!马仔宝物属性,6,FALSE)</f>
        <v>3</v>
      </c>
      <c r="O61" t="str">
        <f t="shared" si="11"/>
        <v/>
      </c>
      <c r="P61">
        <f t="shared" si="12"/>
        <v>0</v>
      </c>
      <c r="R61" t="str">
        <f t="shared" si="13"/>
        <v/>
      </c>
      <c r="S61">
        <f t="shared" si="14"/>
        <v>0</v>
      </c>
      <c r="U61">
        <f t="shared" si="15"/>
        <v>570</v>
      </c>
      <c r="V61">
        <f t="shared" si="16"/>
        <v>3.4340452450522638E-3</v>
      </c>
    </row>
    <row r="62" spans="1:27">
      <c r="A62">
        <v>60</v>
      </c>
      <c r="B62" s="10">
        <v>0</v>
      </c>
      <c r="C62" s="32">
        <v>93255</v>
      </c>
      <c r="D62" s="10" t="str">
        <f>IFERROR(VLOOKUP(C62,[1]引用表合并!$A$2:$B$1000,2,FALSE),"")</f>
        <v>黑耀项链碎片</v>
      </c>
      <c r="E62" s="7">
        <f t="shared" si="18"/>
        <v>5</v>
      </c>
      <c r="F62" s="10">
        <v>570</v>
      </c>
      <c r="G62" s="10">
        <v>31</v>
      </c>
      <c r="H62" s="10">
        <v>100</v>
      </c>
      <c r="I62" s="10">
        <v>0</v>
      </c>
      <c r="J62" s="10">
        <v>1</v>
      </c>
      <c r="L62" s="1">
        <f>ROUNDUP(VLOOKUP(C62,[2]!游戏物价查询,7,FALSE),0)*E62</f>
        <v>50</v>
      </c>
      <c r="M62">
        <f>VLOOKUP(C62,[2]!游戏物价查询,4,0)</f>
        <v>520</v>
      </c>
      <c r="N62">
        <f>VLOOKUP(C62,[3]!马仔宝物属性,6,FALSE)</f>
        <v>4</v>
      </c>
      <c r="O62" t="str">
        <f t="shared" si="11"/>
        <v/>
      </c>
      <c r="P62">
        <f t="shared" si="12"/>
        <v>0</v>
      </c>
      <c r="R62" t="str">
        <f t="shared" si="13"/>
        <v/>
      </c>
      <c r="S62">
        <f t="shared" si="14"/>
        <v>0</v>
      </c>
      <c r="U62">
        <f t="shared" si="15"/>
        <v>570</v>
      </c>
      <c r="V62">
        <f t="shared" si="16"/>
        <v>3.4340452450522638E-3</v>
      </c>
    </row>
    <row r="63" spans="1:27">
      <c r="A63">
        <v>61</v>
      </c>
      <c r="B63" s="10">
        <v>0</v>
      </c>
      <c r="C63" s="32">
        <v>93256</v>
      </c>
      <c r="D63" s="10" t="str">
        <f>IFERROR(VLOOKUP(C63,[1]引用表合并!$A$2:$B$1000,2,FALSE),"")</f>
        <v>圣徒项链碎片</v>
      </c>
      <c r="E63" s="7">
        <f t="shared" si="18"/>
        <v>10</v>
      </c>
      <c r="F63" s="10">
        <v>570</v>
      </c>
      <c r="G63" s="10">
        <v>31</v>
      </c>
      <c r="H63" s="10">
        <v>100</v>
      </c>
      <c r="I63" s="10">
        <v>0</v>
      </c>
      <c r="J63" s="10">
        <v>1</v>
      </c>
      <c r="L63" s="1">
        <f>ROUNDUP(VLOOKUP(C63,[2]!游戏物价查询,7,FALSE),0)*E63</f>
        <v>80</v>
      </c>
      <c r="M63">
        <f>VLOOKUP(C63,[2]!游戏物价查询,4,0)</f>
        <v>1320</v>
      </c>
      <c r="N63">
        <f>VLOOKUP(C63,[3]!马仔宝物属性,6,FALSE)</f>
        <v>4</v>
      </c>
      <c r="O63" t="str">
        <f t="shared" si="11"/>
        <v/>
      </c>
      <c r="P63">
        <f t="shared" si="12"/>
        <v>0</v>
      </c>
      <c r="R63" t="str">
        <f t="shared" si="13"/>
        <v/>
      </c>
      <c r="S63">
        <f t="shared" si="14"/>
        <v>0</v>
      </c>
      <c r="U63">
        <f t="shared" si="15"/>
        <v>570</v>
      </c>
      <c r="V63">
        <f t="shared" si="16"/>
        <v>3.4340452450522638E-3</v>
      </c>
    </row>
    <row r="64" spans="1:27">
      <c r="A64">
        <v>62</v>
      </c>
      <c r="B64" s="10">
        <v>0</v>
      </c>
      <c r="C64" s="32">
        <v>93288</v>
      </c>
      <c r="D64" s="10" t="str">
        <f>IFERROR(VLOOKUP(C64,[1]引用表合并!$A$2:$B$1000,2,FALSE),"")</f>
        <v>大金块碎片</v>
      </c>
      <c r="E64" s="7">
        <f t="shared" si="18"/>
        <v>10</v>
      </c>
      <c r="F64" s="10">
        <v>570</v>
      </c>
      <c r="G64" s="10">
        <v>31</v>
      </c>
      <c r="H64" s="10">
        <v>100</v>
      </c>
      <c r="I64" s="10">
        <v>0</v>
      </c>
      <c r="J64" s="10">
        <v>1</v>
      </c>
      <c r="L64" s="1">
        <f>ROUNDUP(VLOOKUP(C64,[2]!游戏物价查询,7,FALSE),0)*E64</f>
        <v>40</v>
      </c>
      <c r="M64">
        <f>VLOOKUP(C64,[2]!游戏物价查询,4,0)</f>
        <v>3145</v>
      </c>
      <c r="N64">
        <f>VLOOKUP(C64,[3]!马仔宝物属性,6,FALSE)</f>
        <v>2</v>
      </c>
      <c r="O64" t="str">
        <f t="shared" si="11"/>
        <v/>
      </c>
      <c r="P64">
        <f t="shared" si="12"/>
        <v>0</v>
      </c>
      <c r="R64" t="str">
        <f t="shared" si="13"/>
        <v/>
      </c>
      <c r="S64">
        <f t="shared" si="14"/>
        <v>0</v>
      </c>
      <c r="U64">
        <f t="shared" si="15"/>
        <v>570</v>
      </c>
      <c r="V64">
        <f t="shared" si="16"/>
        <v>3.4340452450522638E-3</v>
      </c>
    </row>
    <row r="65" spans="1:26">
      <c r="A65">
        <v>63</v>
      </c>
      <c r="B65" s="10">
        <v>0</v>
      </c>
      <c r="C65" s="32">
        <v>93289</v>
      </c>
      <c r="D65" s="10" t="str">
        <f>IFERROR(VLOOKUP(C65,[1]引用表合并!$A$2:$B$1000,2,FALSE),"")</f>
        <v>小堆金块碎片</v>
      </c>
      <c r="E65" s="7">
        <f t="shared" si="18"/>
        <v>10</v>
      </c>
      <c r="F65" s="10">
        <v>570</v>
      </c>
      <c r="G65" s="10">
        <v>31</v>
      </c>
      <c r="H65" s="10">
        <v>100</v>
      </c>
      <c r="I65" s="10">
        <v>0</v>
      </c>
      <c r="J65" s="10">
        <v>1</v>
      </c>
      <c r="L65" s="1">
        <f>ROUNDUP(VLOOKUP(C65,[2]!游戏物价查询,7,FALSE),0)*E65</f>
        <v>60</v>
      </c>
      <c r="M65">
        <f>VLOOKUP(C65,[2]!游戏物价查询,4,0)</f>
        <v>2620</v>
      </c>
      <c r="N65">
        <f>VLOOKUP(C65,[3]!马仔宝物属性,6,FALSE)</f>
        <v>3</v>
      </c>
      <c r="O65" t="str">
        <f t="shared" si="11"/>
        <v/>
      </c>
      <c r="P65">
        <f t="shared" si="12"/>
        <v>0</v>
      </c>
      <c r="R65" t="str">
        <f t="shared" si="13"/>
        <v/>
      </c>
      <c r="S65">
        <f t="shared" si="14"/>
        <v>0</v>
      </c>
      <c r="U65">
        <f t="shared" si="15"/>
        <v>570</v>
      </c>
      <c r="V65">
        <f t="shared" si="16"/>
        <v>3.4340452450522638E-3</v>
      </c>
    </row>
    <row r="66" spans="1:26">
      <c r="A66">
        <v>64</v>
      </c>
      <c r="B66" s="10">
        <v>0</v>
      </c>
      <c r="C66" s="32">
        <v>93290</v>
      </c>
      <c r="D66" s="10" t="str">
        <f>IFERROR(VLOOKUP(C66,[1]引用表合并!$A$2:$B$1000,2,FALSE),"")</f>
        <v>大堆金块碎片</v>
      </c>
      <c r="E66" s="7">
        <f t="shared" si="18"/>
        <v>10</v>
      </c>
      <c r="F66" s="10">
        <v>570</v>
      </c>
      <c r="G66" s="10">
        <v>31</v>
      </c>
      <c r="H66" s="10">
        <v>100</v>
      </c>
      <c r="I66" s="10">
        <v>0</v>
      </c>
      <c r="J66" s="10">
        <v>1</v>
      </c>
      <c r="L66" s="1">
        <f>ROUNDUP(VLOOKUP(C66,[2]!游戏物价查询,7,FALSE),0)*E66</f>
        <v>80</v>
      </c>
      <c r="M66">
        <f>VLOOKUP(C66,[2]!游戏物价查询,4,0)</f>
        <v>1820</v>
      </c>
      <c r="N66">
        <f>VLOOKUP(C66,[3]!马仔宝物属性,6,FALSE)</f>
        <v>4</v>
      </c>
      <c r="O66" t="str">
        <f t="shared" si="11"/>
        <v/>
      </c>
      <c r="P66">
        <f t="shared" si="12"/>
        <v>0</v>
      </c>
      <c r="R66" t="str">
        <f t="shared" si="13"/>
        <v/>
      </c>
      <c r="S66">
        <f t="shared" si="14"/>
        <v>0</v>
      </c>
      <c r="U66">
        <f t="shared" si="15"/>
        <v>570</v>
      </c>
      <c r="V66">
        <f t="shared" si="16"/>
        <v>3.4340452450522638E-3</v>
      </c>
    </row>
    <row r="67" spans="1:26">
      <c r="A67">
        <v>65</v>
      </c>
      <c r="B67" s="10">
        <v>0</v>
      </c>
      <c r="C67" s="32">
        <v>93291</v>
      </c>
      <c r="D67" s="10" t="str">
        <f>IFERROR(VLOOKUP(C67,[1]引用表合并!$A$2:$B$1000,2,FALSE),"")</f>
        <v>巨量金块碎片</v>
      </c>
      <c r="E67" s="7">
        <f t="shared" si="18"/>
        <v>5</v>
      </c>
      <c r="F67" s="10">
        <v>570</v>
      </c>
      <c r="G67" s="10">
        <v>31</v>
      </c>
      <c r="H67" s="10">
        <v>100</v>
      </c>
      <c r="I67" s="10">
        <v>0</v>
      </c>
      <c r="J67" s="10">
        <v>1</v>
      </c>
      <c r="L67" s="1">
        <f>ROUNDUP(VLOOKUP(C67,[2]!游戏物价查询,7,FALSE),0)*E67</f>
        <v>50</v>
      </c>
      <c r="M67">
        <f>VLOOKUP(C67,[2]!游戏物价查询,4,0)</f>
        <v>520</v>
      </c>
      <c r="N67">
        <f>VLOOKUP(C67,[3]!马仔宝物属性,6,FALSE)</f>
        <v>4</v>
      </c>
      <c r="O67" t="str">
        <f t="shared" ref="O67:O98" si="19">IF(AND($G67&lt;=Q$2,$H67&gt;Q$2),$F67,"")</f>
        <v/>
      </c>
      <c r="P67">
        <f t="shared" ref="P67:P98" si="20">IFERROR(O67/SUM(O:O),0)</f>
        <v>0</v>
      </c>
      <c r="R67" t="str">
        <f t="shared" ref="R67:R98" si="21">IF(AND($G67&lt;=T$2,$H67&gt;T$2),$F67,"")</f>
        <v/>
      </c>
      <c r="S67">
        <f t="shared" ref="S67:S98" si="22">IFERROR(R67/SUM(R:R),0)</f>
        <v>0</v>
      </c>
      <c r="U67">
        <f t="shared" ref="U67:U98" si="23">IF(AND($G67&lt;=W$2,$H67&gt;W$2),$F67,"")</f>
        <v>570</v>
      </c>
      <c r="V67">
        <f t="shared" ref="V67:V98" si="24">IFERROR(U67/SUM(U:U),0)</f>
        <v>3.4340452450522638E-3</v>
      </c>
    </row>
    <row r="68" spans="1:26">
      <c r="A68">
        <v>66</v>
      </c>
      <c r="B68" s="10">
        <v>0</v>
      </c>
      <c r="C68" s="32">
        <v>93292</v>
      </c>
      <c r="D68" s="10" t="str">
        <f>IFERROR(VLOOKUP(C68,[1]引用表合并!$A$2:$B$1000,2,FALSE),"")</f>
        <v>金饰宝盒碎片</v>
      </c>
      <c r="E68" s="7">
        <f t="shared" si="18"/>
        <v>10</v>
      </c>
      <c r="F68" s="10">
        <v>570</v>
      </c>
      <c r="G68" s="10">
        <v>31</v>
      </c>
      <c r="H68" s="10">
        <v>100</v>
      </c>
      <c r="I68" s="10">
        <v>0</v>
      </c>
      <c r="J68" s="10">
        <v>1</v>
      </c>
      <c r="L68" s="1">
        <f>ROUNDUP(VLOOKUP(C68,[2]!游戏物价查询,7,FALSE),0)*E68</f>
        <v>80</v>
      </c>
      <c r="M68">
        <f>VLOOKUP(C68,[2]!游戏物价查询,4,0)</f>
        <v>1280</v>
      </c>
      <c r="N68">
        <f>VLOOKUP(C68,[3]!马仔宝物属性,6,FALSE)</f>
        <v>4</v>
      </c>
      <c r="O68" t="str">
        <f t="shared" si="19"/>
        <v/>
      </c>
      <c r="P68">
        <f t="shared" si="20"/>
        <v>0</v>
      </c>
      <c r="R68" t="str">
        <f t="shared" si="21"/>
        <v/>
      </c>
      <c r="S68">
        <f t="shared" si="22"/>
        <v>0</v>
      </c>
      <c r="U68">
        <f t="shared" si="23"/>
        <v>570</v>
      </c>
      <c r="V68">
        <f t="shared" si="24"/>
        <v>3.4340452450522638E-3</v>
      </c>
    </row>
    <row r="69" spans="1:26">
      <c r="A69">
        <v>67</v>
      </c>
      <c r="B69" s="10">
        <v>0</v>
      </c>
      <c r="C69" s="32">
        <v>93293</v>
      </c>
      <c r="D69" s="10" t="str">
        <f>IFERROR(VLOOKUP(C69,[1]引用表合并!$A$2:$B$1000,2,FALSE),"")</f>
        <v>珍珠宝盒碎片</v>
      </c>
      <c r="E69" s="7">
        <f t="shared" si="18"/>
        <v>4</v>
      </c>
      <c r="F69" s="10">
        <v>570</v>
      </c>
      <c r="G69" s="10">
        <v>31</v>
      </c>
      <c r="H69" s="10">
        <v>100</v>
      </c>
      <c r="I69" s="10">
        <v>0</v>
      </c>
      <c r="J69" s="10">
        <v>1</v>
      </c>
      <c r="L69" s="1">
        <f>ROUNDUP(VLOOKUP(C69,[2]!游戏物价查询,7,FALSE),0)*E69</f>
        <v>40</v>
      </c>
      <c r="M69">
        <f>VLOOKUP(C69,[2]!游戏物价查询,4,0)</f>
        <v>400</v>
      </c>
      <c r="N69">
        <f>VLOOKUP(C69,[3]!马仔宝物属性,6,FALSE)</f>
        <v>4</v>
      </c>
      <c r="O69" t="str">
        <f t="shared" si="19"/>
        <v/>
      </c>
      <c r="P69">
        <f t="shared" si="20"/>
        <v>0</v>
      </c>
      <c r="R69" t="str">
        <f t="shared" si="21"/>
        <v/>
      </c>
      <c r="S69">
        <f t="shared" si="22"/>
        <v>0</v>
      </c>
      <c r="U69">
        <f t="shared" si="23"/>
        <v>570</v>
      </c>
      <c r="V69">
        <f t="shared" si="24"/>
        <v>3.4340452450522638E-3</v>
      </c>
    </row>
    <row r="70" spans="1:26">
      <c r="A70">
        <v>68</v>
      </c>
      <c r="B70" s="10">
        <v>0</v>
      </c>
      <c r="C70" s="32">
        <v>93294</v>
      </c>
      <c r="D70" s="10" t="str">
        <f>IFERROR(VLOOKUP(C70,[1]引用表合并!$A$2:$B$1000,2,FALSE),"")</f>
        <v>古董宝盒碎片</v>
      </c>
      <c r="E70" s="7">
        <f t="shared" si="18"/>
        <v>5</v>
      </c>
      <c r="F70" s="10">
        <v>570</v>
      </c>
      <c r="G70" s="10">
        <v>31</v>
      </c>
      <c r="H70" s="10">
        <v>100</v>
      </c>
      <c r="I70" s="10">
        <v>0</v>
      </c>
      <c r="J70" s="10">
        <v>1</v>
      </c>
      <c r="L70" s="1">
        <f>ROUNDUP(VLOOKUP(C70,[2]!游戏物价查询,7,FALSE),0)*E70</f>
        <v>50</v>
      </c>
      <c r="M70">
        <f>VLOOKUP(C70,[2]!游戏物价查询,4,0)</f>
        <v>500</v>
      </c>
      <c r="N70">
        <f>VLOOKUP(C70,[3]!马仔宝物属性,6,FALSE)</f>
        <v>4</v>
      </c>
      <c r="O70" t="str">
        <f t="shared" si="19"/>
        <v/>
      </c>
      <c r="P70">
        <f t="shared" si="20"/>
        <v>0</v>
      </c>
      <c r="R70" t="str">
        <f t="shared" si="21"/>
        <v/>
      </c>
      <c r="S70">
        <f t="shared" si="22"/>
        <v>0</v>
      </c>
      <c r="U70">
        <f t="shared" si="23"/>
        <v>570</v>
      </c>
      <c r="V70">
        <f t="shared" si="24"/>
        <v>3.4340452450522638E-3</v>
      </c>
    </row>
    <row r="71" spans="1:26">
      <c r="A71">
        <v>69</v>
      </c>
      <c r="B71" s="10">
        <v>0</v>
      </c>
      <c r="C71" s="32">
        <v>93295</v>
      </c>
      <c r="D71" s="10" t="str">
        <f>IFERROR(VLOOKUP(C71,[1]引用表合并!$A$2:$B$1000,2,FALSE),"")</f>
        <v>水晶宝盒碎片</v>
      </c>
      <c r="E71" s="7">
        <f t="shared" si="18"/>
        <v>4</v>
      </c>
      <c r="F71" s="10">
        <v>570</v>
      </c>
      <c r="G71" s="10">
        <v>31</v>
      </c>
      <c r="H71" s="10">
        <v>100</v>
      </c>
      <c r="I71" s="10">
        <v>0</v>
      </c>
      <c r="J71" s="10">
        <v>1</v>
      </c>
      <c r="L71" s="1">
        <f>ROUNDUP(VLOOKUP(C71,[2]!游戏物价查询,7,FALSE),0)*E71</f>
        <v>40</v>
      </c>
      <c r="M71">
        <f>VLOOKUP(C71,[2]!游戏物价查询,4,0)</f>
        <v>380</v>
      </c>
      <c r="N71">
        <f>VLOOKUP(C71,[3]!马仔宝物属性,6,FALSE)</f>
        <v>4</v>
      </c>
      <c r="O71" t="str">
        <f t="shared" si="19"/>
        <v/>
      </c>
      <c r="P71">
        <f t="shared" si="20"/>
        <v>0</v>
      </c>
      <c r="R71" t="str">
        <f t="shared" si="21"/>
        <v/>
      </c>
      <c r="S71">
        <f t="shared" si="22"/>
        <v>0</v>
      </c>
      <c r="U71">
        <f t="shared" si="23"/>
        <v>570</v>
      </c>
      <c r="V71">
        <f t="shared" si="24"/>
        <v>3.4340452450522638E-3</v>
      </c>
    </row>
    <row r="72" spans="1:26">
      <c r="A72">
        <v>70</v>
      </c>
      <c r="B72" s="10">
        <v>0</v>
      </c>
      <c r="C72" s="32">
        <v>93296</v>
      </c>
      <c r="D72" s="10" t="str">
        <f>IFERROR(VLOOKUP(C72,[1]引用表合并!$A$2:$B$1000,2,FALSE),"")</f>
        <v>星光红石碎片</v>
      </c>
      <c r="E72" s="7">
        <f t="shared" si="18"/>
        <v>10</v>
      </c>
      <c r="F72" s="10">
        <v>570</v>
      </c>
      <c r="G72" s="10">
        <v>31</v>
      </c>
      <c r="H72" s="10">
        <v>100</v>
      </c>
      <c r="I72" s="10">
        <v>0</v>
      </c>
      <c r="J72" s="10">
        <v>1</v>
      </c>
      <c r="L72" s="1">
        <f>ROUNDUP(VLOOKUP(C72,[2]!游戏物价查询,7,FALSE),0)*E72</f>
        <v>80</v>
      </c>
      <c r="M72">
        <f>VLOOKUP(C72,[2]!游戏物价查询,4,0)</f>
        <v>1740</v>
      </c>
      <c r="N72">
        <f>VLOOKUP(C72,[3]!马仔宝物属性,6,FALSE)</f>
        <v>4</v>
      </c>
      <c r="O72" t="str">
        <f t="shared" si="19"/>
        <v/>
      </c>
      <c r="P72">
        <f t="shared" si="20"/>
        <v>0</v>
      </c>
      <c r="R72" t="str">
        <f t="shared" si="21"/>
        <v/>
      </c>
      <c r="S72">
        <f t="shared" si="22"/>
        <v>0</v>
      </c>
      <c r="U72">
        <f t="shared" si="23"/>
        <v>570</v>
      </c>
      <c r="V72">
        <f t="shared" si="24"/>
        <v>3.4340452450522638E-3</v>
      </c>
    </row>
    <row r="73" spans="1:26">
      <c r="A73">
        <v>71</v>
      </c>
      <c r="B73" s="10">
        <v>0</v>
      </c>
      <c r="C73" s="32">
        <v>93297</v>
      </c>
      <c r="D73" s="10" t="str">
        <f>IFERROR(VLOOKUP(C73,[1]引用表合并!$A$2:$B$1000,2,FALSE),"")</f>
        <v>翠绿之心碎片</v>
      </c>
      <c r="E73" s="7">
        <f t="shared" si="18"/>
        <v>2</v>
      </c>
      <c r="F73" s="10">
        <v>570</v>
      </c>
      <c r="G73" s="10">
        <v>31</v>
      </c>
      <c r="H73" s="10">
        <v>100</v>
      </c>
      <c r="I73" s="10">
        <v>0</v>
      </c>
      <c r="J73" s="10">
        <v>1</v>
      </c>
      <c r="L73" s="1">
        <f>ROUNDUP(VLOOKUP(C73,[2]!游戏物价查询,7,FALSE),0)*E73</f>
        <v>20</v>
      </c>
      <c r="M73">
        <f>VLOOKUP(C73,[2]!游戏物价查询,4,0)</f>
        <v>220</v>
      </c>
      <c r="N73">
        <f>VLOOKUP(C73,[3]!马仔宝物属性,6,FALSE)</f>
        <v>4</v>
      </c>
      <c r="O73" t="str">
        <f t="shared" si="19"/>
        <v/>
      </c>
      <c r="P73">
        <f t="shared" si="20"/>
        <v>0</v>
      </c>
      <c r="R73" t="str">
        <f t="shared" si="21"/>
        <v/>
      </c>
      <c r="S73">
        <f t="shared" si="22"/>
        <v>0</v>
      </c>
      <c r="U73">
        <f t="shared" si="23"/>
        <v>570</v>
      </c>
      <c r="V73">
        <f t="shared" si="24"/>
        <v>3.4340452450522638E-3</v>
      </c>
    </row>
    <row r="74" spans="1:26">
      <c r="A74">
        <v>72</v>
      </c>
      <c r="B74" s="10">
        <v>0</v>
      </c>
      <c r="C74" s="32">
        <v>93298</v>
      </c>
      <c r="D74" s="10" t="str">
        <f>IFERROR(VLOOKUP(C74,[1]引用表合并!$A$2:$B$1000,2,FALSE),"")</f>
        <v>海洋之泪碎片</v>
      </c>
      <c r="E74" s="7">
        <f t="shared" si="18"/>
        <v>3</v>
      </c>
      <c r="F74" s="10">
        <v>570</v>
      </c>
      <c r="G74" s="10">
        <v>31</v>
      </c>
      <c r="H74" s="10">
        <v>100</v>
      </c>
      <c r="I74" s="10">
        <v>0</v>
      </c>
      <c r="J74" s="10">
        <v>1</v>
      </c>
      <c r="L74" s="1">
        <f>ROUNDUP(VLOOKUP(C74,[2]!游戏物价查询,7,FALSE),0)*E74</f>
        <v>30</v>
      </c>
      <c r="M74">
        <f>VLOOKUP(C74,[2]!游戏物价查询,4,0)</f>
        <v>340</v>
      </c>
      <c r="N74">
        <f>VLOOKUP(C74,[3]!马仔宝物属性,6,FALSE)</f>
        <v>4</v>
      </c>
      <c r="O74" t="str">
        <f t="shared" si="19"/>
        <v/>
      </c>
      <c r="P74">
        <f t="shared" si="20"/>
        <v>0</v>
      </c>
      <c r="R74" t="str">
        <f t="shared" si="21"/>
        <v/>
      </c>
      <c r="S74">
        <f t="shared" si="22"/>
        <v>0</v>
      </c>
      <c r="U74">
        <f t="shared" si="23"/>
        <v>570</v>
      </c>
      <c r="V74">
        <f t="shared" si="24"/>
        <v>3.4340452450522638E-3</v>
      </c>
    </row>
    <row r="75" spans="1:26">
      <c r="A75">
        <v>73</v>
      </c>
      <c r="B75" s="10">
        <v>0</v>
      </c>
      <c r="C75" s="32">
        <v>93299</v>
      </c>
      <c r="D75" s="10" t="str">
        <f>IFERROR(VLOOKUP(C75,[1]引用表合并!$A$2:$B$1000,2,FALSE),"")</f>
        <v>房产证碎片</v>
      </c>
      <c r="E75" s="7">
        <f t="shared" si="18"/>
        <v>5</v>
      </c>
      <c r="F75" s="10">
        <v>570</v>
      </c>
      <c r="G75" s="10">
        <v>31</v>
      </c>
      <c r="H75" s="10">
        <v>100</v>
      </c>
      <c r="I75" s="10">
        <v>0</v>
      </c>
      <c r="J75" s="10">
        <v>1</v>
      </c>
      <c r="L75" s="1">
        <f>ROUNDUP(VLOOKUP(C75,[2]!游戏物价查询,7,FALSE),0)*E75</f>
        <v>50</v>
      </c>
      <c r="M75">
        <f>VLOOKUP(C75,[2]!游戏物价查询,4,0)</f>
        <v>500</v>
      </c>
      <c r="N75">
        <f>VLOOKUP(C75,[3]!马仔宝物属性,6,FALSE)</f>
        <v>4</v>
      </c>
      <c r="O75" t="str">
        <f t="shared" si="19"/>
        <v/>
      </c>
      <c r="P75">
        <f t="shared" si="20"/>
        <v>0</v>
      </c>
      <c r="R75" t="str">
        <f t="shared" si="21"/>
        <v/>
      </c>
      <c r="S75">
        <f t="shared" si="22"/>
        <v>0</v>
      </c>
      <c r="U75">
        <f t="shared" si="23"/>
        <v>570</v>
      </c>
      <c r="V75">
        <f t="shared" si="24"/>
        <v>3.4340452450522638E-3</v>
      </c>
      <c r="W75">
        <f>SUM(V54:V75)</f>
        <v>7.5548995391149842E-2</v>
      </c>
      <c r="Z75" t="e">
        <f>SUMPRODUCT(V54:V75,E54:E75)</f>
        <v>#N/A</v>
      </c>
    </row>
    <row r="76" spans="1:26">
      <c r="A76">
        <v>74</v>
      </c>
      <c r="B76" s="10">
        <v>0</v>
      </c>
      <c r="C76" s="32">
        <v>92240</v>
      </c>
      <c r="D76" s="10" t="str">
        <f>IFERROR(VLOOKUP(C76,[1]引用表合并!$A$2:$B$1000,2,FALSE),"")</f>
        <v>苍蓝戒指</v>
      </c>
      <c r="E76" s="10">
        <v>1</v>
      </c>
      <c r="F76" s="10">
        <f>F54/3</f>
        <v>190</v>
      </c>
      <c r="G76" s="10">
        <v>31</v>
      </c>
      <c r="H76" s="10">
        <v>100</v>
      </c>
      <c r="I76" s="10">
        <v>0</v>
      </c>
      <c r="J76" s="10">
        <v>1</v>
      </c>
      <c r="L76" s="1">
        <f>ROUNDUP(VLOOKUP(C76,[2]!游戏物价查询,7,FALSE),0)*E76</f>
        <v>424</v>
      </c>
      <c r="M76">
        <f>VLOOKUP(C76,[2]!游戏物价查询,4,0)</f>
        <v>50</v>
      </c>
      <c r="N76">
        <f>VLOOKUP(C76,[3]!马仔宝物属性,6,FALSE)</f>
        <v>4</v>
      </c>
      <c r="O76" t="str">
        <f t="shared" si="19"/>
        <v/>
      </c>
      <c r="P76">
        <f t="shared" si="20"/>
        <v>0</v>
      </c>
      <c r="R76" t="str">
        <f t="shared" si="21"/>
        <v/>
      </c>
      <c r="S76">
        <f t="shared" si="22"/>
        <v>0</v>
      </c>
      <c r="U76">
        <f t="shared" si="23"/>
        <v>190</v>
      </c>
      <c r="V76">
        <f t="shared" si="24"/>
        <v>1.1446817483507547E-3</v>
      </c>
      <c r="Z76" s="8">
        <f>[2]马仔宝物投放!$O$52</f>
        <v>0</v>
      </c>
    </row>
    <row r="77" spans="1:26">
      <c r="A77">
        <v>75</v>
      </c>
      <c r="B77" s="10">
        <v>0</v>
      </c>
      <c r="C77" s="32">
        <v>92243</v>
      </c>
      <c r="D77" s="10" t="str">
        <f>IFERROR(VLOOKUP(C77,[1]引用表合并!$A$2:$B$1000,2,FALSE),"")</f>
        <v>诅咒项链</v>
      </c>
      <c r="E77" s="10">
        <v>1</v>
      </c>
      <c r="F77" s="10">
        <f t="shared" ref="F77:F97" si="25">F55/3</f>
        <v>190</v>
      </c>
      <c r="G77" s="10">
        <v>31</v>
      </c>
      <c r="H77" s="10">
        <v>100</v>
      </c>
      <c r="I77" s="10">
        <v>0</v>
      </c>
      <c r="J77" s="10">
        <v>1</v>
      </c>
      <c r="L77" s="1">
        <f>ROUNDUP(VLOOKUP(C77,[2]!游戏物价查询,7,FALSE),0)*E77</f>
        <v>2</v>
      </c>
      <c r="M77">
        <f>VLOOKUP(C77,[2]!游戏物价查询,4,0)</f>
        <v>333</v>
      </c>
      <c r="N77">
        <f>VLOOKUP(C77,[3]!马仔宝物属性,6,FALSE)</f>
        <v>0</v>
      </c>
      <c r="O77" t="str">
        <f t="shared" si="19"/>
        <v/>
      </c>
      <c r="P77">
        <f t="shared" si="20"/>
        <v>0</v>
      </c>
      <c r="R77" t="str">
        <f t="shared" si="21"/>
        <v/>
      </c>
      <c r="S77">
        <f t="shared" si="22"/>
        <v>0</v>
      </c>
      <c r="U77">
        <f t="shared" si="23"/>
        <v>190</v>
      </c>
      <c r="V77">
        <f t="shared" si="24"/>
        <v>1.1446817483507547E-3</v>
      </c>
    </row>
    <row r="78" spans="1:26">
      <c r="A78">
        <v>76</v>
      </c>
      <c r="B78" s="10">
        <v>0</v>
      </c>
      <c r="C78" s="32">
        <v>92244</v>
      </c>
      <c r="D78" s="10" t="str">
        <f>IFERROR(VLOOKUP(C78,[1]引用表合并!$A$2:$B$1000,2,FALSE),"")</f>
        <v>金饰项链</v>
      </c>
      <c r="E78" s="10">
        <v>1</v>
      </c>
      <c r="F78" s="10">
        <f t="shared" si="25"/>
        <v>190</v>
      </c>
      <c r="G78" s="10">
        <v>31</v>
      </c>
      <c r="H78" s="10">
        <v>100</v>
      </c>
      <c r="I78" s="10">
        <v>0</v>
      </c>
      <c r="J78" s="10">
        <v>1</v>
      </c>
      <c r="L78" s="1">
        <f>ROUNDUP(VLOOKUP(C78,[2]!游戏物价查询,7,FALSE),0)*E78</f>
        <v>4</v>
      </c>
      <c r="M78">
        <f>VLOOKUP(C78,[2]!游戏物价查询,4,0)</f>
        <v>653</v>
      </c>
      <c r="N78">
        <f>VLOOKUP(C78,[3]!马仔宝物属性,6,FALSE)</f>
        <v>0</v>
      </c>
      <c r="O78" t="str">
        <f t="shared" si="19"/>
        <v/>
      </c>
      <c r="P78">
        <f t="shared" si="20"/>
        <v>0</v>
      </c>
      <c r="R78" t="str">
        <f t="shared" si="21"/>
        <v/>
      </c>
      <c r="S78">
        <f t="shared" si="22"/>
        <v>0</v>
      </c>
      <c r="U78">
        <f t="shared" si="23"/>
        <v>190</v>
      </c>
      <c r="V78">
        <f t="shared" si="24"/>
        <v>1.1446817483507547E-3</v>
      </c>
    </row>
    <row r="79" spans="1:26">
      <c r="A79">
        <v>77</v>
      </c>
      <c r="B79" s="10">
        <v>0</v>
      </c>
      <c r="C79" s="32">
        <v>92245</v>
      </c>
      <c r="D79" s="10" t="str">
        <f>IFERROR(VLOOKUP(C79,[1]引用表合并!$A$2:$B$1000,2,FALSE),"")</f>
        <v>水晶项链</v>
      </c>
      <c r="E79" s="10">
        <v>1</v>
      </c>
      <c r="F79" s="10">
        <f t="shared" si="25"/>
        <v>190</v>
      </c>
      <c r="G79" s="10">
        <v>31</v>
      </c>
      <c r="H79" s="10">
        <v>100</v>
      </c>
      <c r="I79" s="10">
        <v>0</v>
      </c>
      <c r="J79" s="10">
        <v>1</v>
      </c>
      <c r="L79" s="1">
        <f>ROUNDUP(VLOOKUP(C79,[2]!游戏物价查询,7,FALSE),0)*E79</f>
        <v>15</v>
      </c>
      <c r="M79">
        <f>VLOOKUP(C79,[2]!游戏物价查询,4,0)</f>
        <v>276</v>
      </c>
      <c r="N79">
        <f>VLOOKUP(C79,[3]!马仔宝物属性,6,FALSE)</f>
        <v>1</v>
      </c>
      <c r="O79" t="str">
        <f t="shared" si="19"/>
        <v/>
      </c>
      <c r="P79">
        <f t="shared" si="20"/>
        <v>0</v>
      </c>
      <c r="R79" t="str">
        <f t="shared" si="21"/>
        <v/>
      </c>
      <c r="S79">
        <f t="shared" si="22"/>
        <v>0</v>
      </c>
      <c r="U79">
        <f t="shared" si="23"/>
        <v>190</v>
      </c>
      <c r="V79">
        <f t="shared" si="24"/>
        <v>1.1446817483507547E-3</v>
      </c>
    </row>
    <row r="80" spans="1:26">
      <c r="A80">
        <v>78</v>
      </c>
      <c r="B80" s="10">
        <v>0</v>
      </c>
      <c r="C80" s="32">
        <v>92251</v>
      </c>
      <c r="D80" s="10" t="str">
        <f>IFERROR(VLOOKUP(C80,[1]引用表合并!$A$2:$B$1000,2,FALSE),"")</f>
        <v>红石项链</v>
      </c>
      <c r="E80" s="10">
        <v>1</v>
      </c>
      <c r="F80" s="10">
        <f t="shared" si="25"/>
        <v>190</v>
      </c>
      <c r="G80" s="10">
        <v>31</v>
      </c>
      <c r="H80" s="10">
        <v>100</v>
      </c>
      <c r="I80" s="10">
        <v>0</v>
      </c>
      <c r="J80" s="10">
        <v>1</v>
      </c>
      <c r="L80" s="1">
        <f>ROUNDUP(VLOOKUP(C80,[2]!游戏物价查询,7,FALSE),0)*E80</f>
        <v>15</v>
      </c>
      <c r="M80">
        <f>VLOOKUP(C80,[2]!游戏物价查询,4,0)</f>
        <v>469</v>
      </c>
      <c r="N80">
        <f>VLOOKUP(C80,[3]!马仔宝物属性,6,FALSE)</f>
        <v>1</v>
      </c>
      <c r="O80" t="str">
        <f t="shared" si="19"/>
        <v/>
      </c>
      <c r="P80">
        <f t="shared" si="20"/>
        <v>0</v>
      </c>
      <c r="R80" t="str">
        <f t="shared" si="21"/>
        <v/>
      </c>
      <c r="S80">
        <f t="shared" si="22"/>
        <v>0</v>
      </c>
      <c r="U80">
        <f t="shared" si="23"/>
        <v>190</v>
      </c>
      <c r="V80">
        <f t="shared" si="24"/>
        <v>1.1446817483507547E-3</v>
      </c>
    </row>
    <row r="81" spans="1:22">
      <c r="A81">
        <v>79</v>
      </c>
      <c r="B81" s="10">
        <v>0</v>
      </c>
      <c r="C81" s="32">
        <v>92252</v>
      </c>
      <c r="D81" s="10" t="str">
        <f>IFERROR(VLOOKUP(C81,[1]引用表合并!$A$2:$B$1000,2,FALSE),"")</f>
        <v>青玉项链</v>
      </c>
      <c r="E81" s="10">
        <v>1</v>
      </c>
      <c r="F81" s="10">
        <f t="shared" si="25"/>
        <v>190</v>
      </c>
      <c r="G81" s="10">
        <v>31</v>
      </c>
      <c r="H81" s="10">
        <v>100</v>
      </c>
      <c r="I81" s="10">
        <v>0</v>
      </c>
      <c r="J81" s="10">
        <v>1</v>
      </c>
      <c r="L81" s="1">
        <f>ROUNDUP(VLOOKUP(C81,[2]!游戏物价查询,7,FALSE),0)*E81</f>
        <v>48</v>
      </c>
      <c r="M81">
        <f>VLOOKUP(C81,[2]!游戏物价查询,4,0)</f>
        <v>308</v>
      </c>
      <c r="N81">
        <f>VLOOKUP(C81,[3]!马仔宝物属性,6,FALSE)</f>
        <v>2</v>
      </c>
      <c r="O81" t="str">
        <f t="shared" si="19"/>
        <v/>
      </c>
      <c r="P81">
        <f t="shared" si="20"/>
        <v>0</v>
      </c>
      <c r="R81" t="str">
        <f t="shared" si="21"/>
        <v/>
      </c>
      <c r="S81">
        <f t="shared" si="22"/>
        <v>0</v>
      </c>
      <c r="U81">
        <f t="shared" si="23"/>
        <v>190</v>
      </c>
      <c r="V81">
        <f t="shared" si="24"/>
        <v>1.1446817483507547E-3</v>
      </c>
    </row>
    <row r="82" spans="1:22">
      <c r="A82">
        <v>80</v>
      </c>
      <c r="B82" s="10">
        <v>0</v>
      </c>
      <c r="C82" s="32">
        <v>92253</v>
      </c>
      <c r="D82" s="10" t="str">
        <f>IFERROR(VLOOKUP(C82,[1]引用表合并!$A$2:$B$1000,2,FALSE),"")</f>
        <v>猫妖项链</v>
      </c>
      <c r="E82" s="10">
        <v>1</v>
      </c>
      <c r="F82" s="10">
        <f t="shared" si="25"/>
        <v>190</v>
      </c>
      <c r="G82" s="10">
        <v>31</v>
      </c>
      <c r="H82" s="10">
        <v>100</v>
      </c>
      <c r="I82" s="10">
        <v>0</v>
      </c>
      <c r="J82" s="10">
        <v>1</v>
      </c>
      <c r="L82" s="1">
        <f>ROUNDUP(VLOOKUP(C82,[2]!游戏物价查询,7,FALSE),0)*E82</f>
        <v>140</v>
      </c>
      <c r="M82">
        <f>VLOOKUP(C82,[2]!游戏物价查询,4,0)</f>
        <v>148</v>
      </c>
      <c r="N82">
        <f>VLOOKUP(C82,[3]!马仔宝物属性,6,FALSE)</f>
        <v>3</v>
      </c>
      <c r="O82" t="str">
        <f t="shared" si="19"/>
        <v/>
      </c>
      <c r="P82">
        <f t="shared" si="20"/>
        <v>0</v>
      </c>
      <c r="R82" t="str">
        <f t="shared" si="21"/>
        <v/>
      </c>
      <c r="S82">
        <f t="shared" si="22"/>
        <v>0</v>
      </c>
      <c r="U82">
        <f t="shared" si="23"/>
        <v>190</v>
      </c>
      <c r="V82">
        <f t="shared" si="24"/>
        <v>1.1446817483507547E-3</v>
      </c>
    </row>
    <row r="83" spans="1:22">
      <c r="A83">
        <v>81</v>
      </c>
      <c r="B83" s="10">
        <v>0</v>
      </c>
      <c r="C83" s="32">
        <v>92254</v>
      </c>
      <c r="D83" s="10" t="str">
        <f>IFERROR(VLOOKUP(C83,[1]引用表合并!$A$2:$B$1000,2,FALSE),"")</f>
        <v>苍蓝项链</v>
      </c>
      <c r="E83" s="10">
        <v>1</v>
      </c>
      <c r="F83" s="10">
        <f t="shared" si="25"/>
        <v>190</v>
      </c>
      <c r="G83" s="10">
        <v>31</v>
      </c>
      <c r="H83" s="10">
        <v>100</v>
      </c>
      <c r="I83" s="10">
        <v>0</v>
      </c>
      <c r="J83" s="10">
        <v>1</v>
      </c>
      <c r="L83" s="1">
        <f>ROUNDUP(VLOOKUP(C83,[2]!游戏物价查询,7,FALSE),0)*E83</f>
        <v>140</v>
      </c>
      <c r="M83">
        <f>VLOOKUP(C83,[2]!游戏物价查询,4,0)</f>
        <v>140</v>
      </c>
      <c r="N83">
        <f>VLOOKUP(C83,[3]!马仔宝物属性,6,FALSE)</f>
        <v>3</v>
      </c>
      <c r="O83" t="str">
        <f t="shared" si="19"/>
        <v/>
      </c>
      <c r="P83">
        <f t="shared" si="20"/>
        <v>0</v>
      </c>
      <c r="R83" t="str">
        <f t="shared" si="21"/>
        <v/>
      </c>
      <c r="S83">
        <f t="shared" si="22"/>
        <v>0</v>
      </c>
      <c r="U83">
        <f t="shared" si="23"/>
        <v>190</v>
      </c>
      <c r="V83">
        <f t="shared" si="24"/>
        <v>1.1446817483507547E-3</v>
      </c>
    </row>
    <row r="84" spans="1:22">
      <c r="A84">
        <v>82</v>
      </c>
      <c r="B84" s="10">
        <v>0</v>
      </c>
      <c r="C84" s="32">
        <v>92255</v>
      </c>
      <c r="D84" s="10" t="str">
        <f>IFERROR(VLOOKUP(C84,[1]引用表合并!$A$2:$B$1000,2,FALSE),"")</f>
        <v>黑耀项链</v>
      </c>
      <c r="E84" s="10">
        <v>1</v>
      </c>
      <c r="F84" s="10">
        <f t="shared" si="25"/>
        <v>190</v>
      </c>
      <c r="G84" s="10">
        <v>31</v>
      </c>
      <c r="H84" s="10">
        <v>100</v>
      </c>
      <c r="I84" s="10">
        <v>0</v>
      </c>
      <c r="J84" s="10">
        <v>1</v>
      </c>
      <c r="L84" s="1">
        <f>ROUNDUP(VLOOKUP(C84,[2]!游戏物价查询,7,FALSE),0)*E84</f>
        <v>912</v>
      </c>
      <c r="M84">
        <f>VLOOKUP(C84,[2]!游戏物价查询,4,0)</f>
        <v>26</v>
      </c>
      <c r="N84">
        <f>VLOOKUP(C84,[3]!马仔宝物属性,6,FALSE)</f>
        <v>4</v>
      </c>
      <c r="O84" t="str">
        <f t="shared" si="19"/>
        <v/>
      </c>
      <c r="P84">
        <f t="shared" si="20"/>
        <v>0</v>
      </c>
      <c r="R84" t="str">
        <f t="shared" si="21"/>
        <v/>
      </c>
      <c r="S84">
        <f t="shared" si="22"/>
        <v>0</v>
      </c>
      <c r="U84">
        <f t="shared" si="23"/>
        <v>190</v>
      </c>
      <c r="V84">
        <f t="shared" si="24"/>
        <v>1.1446817483507547E-3</v>
      </c>
    </row>
    <row r="85" spans="1:22">
      <c r="A85">
        <v>83</v>
      </c>
      <c r="B85" s="10">
        <v>0</v>
      </c>
      <c r="C85" s="32">
        <v>92256</v>
      </c>
      <c r="D85" s="10" t="str">
        <f>IFERROR(VLOOKUP(C85,[1]引用表合并!$A$2:$B$1000,2,FALSE),"")</f>
        <v>圣徒项链</v>
      </c>
      <c r="E85" s="10">
        <v>1</v>
      </c>
      <c r="F85" s="10">
        <f t="shared" si="25"/>
        <v>190</v>
      </c>
      <c r="G85" s="10">
        <v>31</v>
      </c>
      <c r="H85" s="10">
        <v>100</v>
      </c>
      <c r="I85" s="10">
        <v>0</v>
      </c>
      <c r="J85" s="10">
        <v>1</v>
      </c>
      <c r="L85" s="1">
        <f>ROUNDUP(VLOOKUP(C85,[2]!游戏物价查询,7,FALSE),0)*E85</f>
        <v>419</v>
      </c>
      <c r="M85">
        <f>VLOOKUP(C85,[2]!游戏物价查询,4,0)</f>
        <v>66</v>
      </c>
      <c r="N85">
        <f>VLOOKUP(C85,[3]!马仔宝物属性,6,FALSE)</f>
        <v>4</v>
      </c>
      <c r="O85" t="str">
        <f t="shared" si="19"/>
        <v/>
      </c>
      <c r="P85">
        <f t="shared" si="20"/>
        <v>0</v>
      </c>
      <c r="R85" t="str">
        <f t="shared" si="21"/>
        <v/>
      </c>
      <c r="S85">
        <f t="shared" si="22"/>
        <v>0</v>
      </c>
      <c r="U85">
        <f t="shared" si="23"/>
        <v>190</v>
      </c>
      <c r="V85">
        <f t="shared" si="24"/>
        <v>1.1446817483507547E-3</v>
      </c>
    </row>
    <row r="86" spans="1:22">
      <c r="A86">
        <v>84</v>
      </c>
      <c r="B86" s="10">
        <v>0</v>
      </c>
      <c r="C86" s="32">
        <v>92288</v>
      </c>
      <c r="D86" s="10" t="str">
        <f>IFERROR(VLOOKUP(C86,[1]引用表合并!$A$2:$B$1000,2,FALSE),"")</f>
        <v>大金块</v>
      </c>
      <c r="E86" s="10">
        <v>1</v>
      </c>
      <c r="F86" s="10">
        <f t="shared" si="25"/>
        <v>190</v>
      </c>
      <c r="G86" s="10">
        <v>31</v>
      </c>
      <c r="H86" s="10">
        <v>100</v>
      </c>
      <c r="I86" s="10">
        <v>0</v>
      </c>
      <c r="J86" s="10">
        <v>1</v>
      </c>
      <c r="L86" s="1">
        <f>ROUNDUP(VLOOKUP(C86,[2]!游戏物价查询,7,FALSE),0)*E86</f>
        <v>48</v>
      </c>
      <c r="M86">
        <f>VLOOKUP(C86,[2]!游戏物价查询,4,0)</f>
        <v>629</v>
      </c>
      <c r="N86">
        <f>VLOOKUP(C86,[3]!马仔宝物属性,6,FALSE)</f>
        <v>2</v>
      </c>
      <c r="O86" t="str">
        <f t="shared" si="19"/>
        <v/>
      </c>
      <c r="P86">
        <f t="shared" si="20"/>
        <v>0</v>
      </c>
      <c r="R86" t="str">
        <f t="shared" si="21"/>
        <v/>
      </c>
      <c r="S86">
        <f t="shared" si="22"/>
        <v>0</v>
      </c>
      <c r="U86">
        <f t="shared" si="23"/>
        <v>190</v>
      </c>
      <c r="V86">
        <f t="shared" si="24"/>
        <v>1.1446817483507547E-3</v>
      </c>
    </row>
    <row r="87" spans="1:22">
      <c r="A87">
        <v>85</v>
      </c>
      <c r="B87" s="10">
        <v>0</v>
      </c>
      <c r="C87" s="32">
        <v>92289</v>
      </c>
      <c r="D87" s="10" t="str">
        <f>IFERROR(VLOOKUP(C87,[1]引用表合并!$A$2:$B$1000,2,FALSE),"")</f>
        <v>小堆金块</v>
      </c>
      <c r="E87" s="10">
        <v>1</v>
      </c>
      <c r="F87" s="10">
        <f t="shared" si="25"/>
        <v>190</v>
      </c>
      <c r="G87" s="10">
        <v>31</v>
      </c>
      <c r="H87" s="10">
        <v>100</v>
      </c>
      <c r="I87" s="10">
        <v>0</v>
      </c>
      <c r="J87" s="10">
        <v>1</v>
      </c>
      <c r="L87" s="1">
        <f>ROUNDUP(VLOOKUP(C87,[2]!游戏物价查询,7,FALSE),0)*E87</f>
        <v>154</v>
      </c>
      <c r="M87">
        <f>VLOOKUP(C87,[2]!游戏物价查询,4,0)</f>
        <v>262</v>
      </c>
      <c r="N87">
        <f>VLOOKUP(C87,[3]!马仔宝物属性,6,FALSE)</f>
        <v>3</v>
      </c>
      <c r="O87" t="str">
        <f t="shared" si="19"/>
        <v/>
      </c>
      <c r="P87">
        <f t="shared" si="20"/>
        <v>0</v>
      </c>
      <c r="R87" t="str">
        <f t="shared" si="21"/>
        <v/>
      </c>
      <c r="S87">
        <f t="shared" si="22"/>
        <v>0</v>
      </c>
      <c r="U87">
        <f t="shared" si="23"/>
        <v>190</v>
      </c>
      <c r="V87">
        <f t="shared" si="24"/>
        <v>1.1446817483507547E-3</v>
      </c>
    </row>
    <row r="88" spans="1:22">
      <c r="A88">
        <v>86</v>
      </c>
      <c r="B88" s="10">
        <v>0</v>
      </c>
      <c r="C88" s="32">
        <v>92290</v>
      </c>
      <c r="D88" s="10" t="str">
        <f>IFERROR(VLOOKUP(C88,[1]引用表合并!$A$2:$B$1000,2,FALSE),"")</f>
        <v>大堆金块</v>
      </c>
      <c r="E88" s="10">
        <v>1</v>
      </c>
      <c r="F88" s="10">
        <f t="shared" si="25"/>
        <v>190</v>
      </c>
      <c r="G88" s="10">
        <v>31</v>
      </c>
      <c r="H88" s="10">
        <v>100</v>
      </c>
      <c r="I88" s="10">
        <v>0</v>
      </c>
      <c r="J88" s="10">
        <v>1</v>
      </c>
      <c r="L88" s="1">
        <f>ROUNDUP(VLOOKUP(C88,[2]!游戏物价查询,7,FALSE),0)*E88</f>
        <v>429</v>
      </c>
      <c r="M88">
        <f>VLOOKUP(C88,[2]!游戏物价查询,4,0)</f>
        <v>91</v>
      </c>
      <c r="N88">
        <f>VLOOKUP(C88,[3]!马仔宝物属性,6,FALSE)</f>
        <v>4</v>
      </c>
      <c r="O88" t="str">
        <f t="shared" si="19"/>
        <v/>
      </c>
      <c r="P88">
        <f t="shared" si="20"/>
        <v>0</v>
      </c>
      <c r="R88" t="str">
        <f t="shared" si="21"/>
        <v/>
      </c>
      <c r="S88">
        <f t="shared" si="22"/>
        <v>0</v>
      </c>
      <c r="U88">
        <f t="shared" si="23"/>
        <v>190</v>
      </c>
      <c r="V88">
        <f t="shared" si="24"/>
        <v>1.1446817483507547E-3</v>
      </c>
    </row>
    <row r="89" spans="1:22">
      <c r="A89">
        <v>87</v>
      </c>
      <c r="B89" s="10">
        <v>0</v>
      </c>
      <c r="C89" s="32">
        <v>92291</v>
      </c>
      <c r="D89" s="10" t="str">
        <f>IFERROR(VLOOKUP(C89,[1]引用表合并!$A$2:$B$1000,2,FALSE),"")</f>
        <v>巨量金块</v>
      </c>
      <c r="E89" s="10">
        <v>1</v>
      </c>
      <c r="F89" s="10">
        <f t="shared" si="25"/>
        <v>190</v>
      </c>
      <c r="G89" s="10">
        <v>31</v>
      </c>
      <c r="H89" s="10">
        <v>100</v>
      </c>
      <c r="I89" s="10">
        <v>0</v>
      </c>
      <c r="J89" s="10">
        <v>1</v>
      </c>
      <c r="L89" s="1">
        <f>ROUNDUP(VLOOKUP(C89,[2]!游戏物价查询,7,FALSE),0)*E89</f>
        <v>927</v>
      </c>
      <c r="M89">
        <f>VLOOKUP(C89,[2]!游戏物价查询,4,0)</f>
        <v>26</v>
      </c>
      <c r="N89">
        <f>VLOOKUP(C89,[3]!马仔宝物属性,6,FALSE)</f>
        <v>4</v>
      </c>
      <c r="O89" t="str">
        <f t="shared" si="19"/>
        <v/>
      </c>
      <c r="P89">
        <f t="shared" si="20"/>
        <v>0</v>
      </c>
      <c r="R89" t="str">
        <f t="shared" si="21"/>
        <v/>
      </c>
      <c r="S89">
        <f t="shared" si="22"/>
        <v>0</v>
      </c>
      <c r="U89">
        <f t="shared" si="23"/>
        <v>190</v>
      </c>
      <c r="V89">
        <f t="shared" si="24"/>
        <v>1.1446817483507547E-3</v>
      </c>
    </row>
    <row r="90" spans="1:22">
      <c r="A90">
        <v>88</v>
      </c>
      <c r="B90" s="10">
        <v>0</v>
      </c>
      <c r="C90" s="32">
        <v>92292</v>
      </c>
      <c r="D90" s="10" t="str">
        <f>IFERROR(VLOOKUP(C90,[1]引用表合并!$A$2:$B$1000,2,FALSE),"")</f>
        <v>金饰宝盒</v>
      </c>
      <c r="E90" s="10">
        <v>1</v>
      </c>
      <c r="F90" s="10">
        <f t="shared" si="25"/>
        <v>190</v>
      </c>
      <c r="G90" s="10">
        <v>31</v>
      </c>
      <c r="H90" s="10">
        <v>100</v>
      </c>
      <c r="I90" s="10">
        <v>0</v>
      </c>
      <c r="J90" s="10">
        <v>1</v>
      </c>
      <c r="L90" s="1">
        <f>ROUNDUP(VLOOKUP(C90,[2]!游戏物价查询,7,FALSE),0)*E90</f>
        <v>419</v>
      </c>
      <c r="M90">
        <f>VLOOKUP(C90,[2]!游戏物价查询,4,0)</f>
        <v>64</v>
      </c>
      <c r="N90">
        <f>VLOOKUP(C90,[3]!马仔宝物属性,6,FALSE)</f>
        <v>4</v>
      </c>
      <c r="O90" t="str">
        <f t="shared" si="19"/>
        <v/>
      </c>
      <c r="P90">
        <f t="shared" si="20"/>
        <v>0</v>
      </c>
      <c r="R90" t="str">
        <f t="shared" si="21"/>
        <v/>
      </c>
      <c r="S90">
        <f t="shared" si="22"/>
        <v>0</v>
      </c>
      <c r="U90">
        <f t="shared" si="23"/>
        <v>190</v>
      </c>
      <c r="V90">
        <f t="shared" si="24"/>
        <v>1.1446817483507547E-3</v>
      </c>
    </row>
    <row r="91" spans="1:22">
      <c r="A91">
        <v>89</v>
      </c>
      <c r="B91" s="10">
        <v>0</v>
      </c>
      <c r="C91" s="32">
        <v>92293</v>
      </c>
      <c r="D91" s="10" t="str">
        <f>IFERROR(VLOOKUP(C91,[1]引用表合并!$A$2:$B$1000,2,FALSE),"")</f>
        <v>珍珠宝盒</v>
      </c>
      <c r="E91" s="10">
        <v>1</v>
      </c>
      <c r="F91" s="10">
        <f t="shared" si="25"/>
        <v>190</v>
      </c>
      <c r="G91" s="10">
        <v>31</v>
      </c>
      <c r="H91" s="10">
        <v>100</v>
      </c>
      <c r="I91" s="10">
        <v>0</v>
      </c>
      <c r="J91" s="10">
        <v>1</v>
      </c>
      <c r="L91" s="1">
        <f>ROUNDUP(VLOOKUP(C91,[2]!游戏物价查询,7,FALSE),0)*E91</f>
        <v>917</v>
      </c>
      <c r="M91">
        <f>VLOOKUP(C91,[2]!游戏物价查询,4,0)</f>
        <v>20</v>
      </c>
      <c r="N91">
        <f>VLOOKUP(C91,[3]!马仔宝物属性,6,FALSE)</f>
        <v>4</v>
      </c>
      <c r="O91" t="str">
        <f t="shared" si="19"/>
        <v/>
      </c>
      <c r="P91">
        <f t="shared" si="20"/>
        <v>0</v>
      </c>
      <c r="R91" t="str">
        <f t="shared" si="21"/>
        <v/>
      </c>
      <c r="S91">
        <f t="shared" si="22"/>
        <v>0</v>
      </c>
      <c r="U91">
        <f t="shared" si="23"/>
        <v>190</v>
      </c>
      <c r="V91">
        <f t="shared" si="24"/>
        <v>1.1446817483507547E-3</v>
      </c>
    </row>
    <row r="92" spans="1:22">
      <c r="A92">
        <v>90</v>
      </c>
      <c r="B92" s="10">
        <v>0</v>
      </c>
      <c r="C92" s="32">
        <v>92294</v>
      </c>
      <c r="D92" s="10" t="str">
        <f>IFERROR(VLOOKUP(C92,[1]引用表合并!$A$2:$B$1000,2,FALSE),"")</f>
        <v>古董宝盒</v>
      </c>
      <c r="E92" s="10">
        <v>1</v>
      </c>
      <c r="F92" s="10">
        <f t="shared" si="25"/>
        <v>190</v>
      </c>
      <c r="G92" s="10">
        <v>31</v>
      </c>
      <c r="H92" s="10">
        <v>100</v>
      </c>
      <c r="I92" s="10">
        <v>0</v>
      </c>
      <c r="J92" s="10">
        <v>1</v>
      </c>
      <c r="L92" s="1">
        <f>ROUNDUP(VLOOKUP(C92,[2]!游戏物价查询,7,FALSE),0)*E92</f>
        <v>920</v>
      </c>
      <c r="M92">
        <f>VLOOKUP(C92,[2]!游戏物价查询,4,0)</f>
        <v>25</v>
      </c>
      <c r="N92">
        <f>VLOOKUP(C92,[3]!马仔宝物属性,6,FALSE)</f>
        <v>4</v>
      </c>
      <c r="O92" t="str">
        <f t="shared" si="19"/>
        <v/>
      </c>
      <c r="P92">
        <f t="shared" si="20"/>
        <v>0</v>
      </c>
      <c r="R92" t="str">
        <f t="shared" si="21"/>
        <v/>
      </c>
      <c r="S92">
        <f t="shared" si="22"/>
        <v>0</v>
      </c>
      <c r="U92">
        <f t="shared" si="23"/>
        <v>190</v>
      </c>
      <c r="V92">
        <f t="shared" si="24"/>
        <v>1.1446817483507547E-3</v>
      </c>
    </row>
    <row r="93" spans="1:22">
      <c r="A93">
        <v>91</v>
      </c>
      <c r="B93" s="10">
        <v>0</v>
      </c>
      <c r="C93" s="32">
        <v>92295</v>
      </c>
      <c r="D93" s="10" t="str">
        <f>IFERROR(VLOOKUP(C93,[1]引用表合并!$A$2:$B$1000,2,FALSE),"")</f>
        <v>水晶宝盒</v>
      </c>
      <c r="E93" s="10">
        <v>1</v>
      </c>
      <c r="F93" s="10">
        <f t="shared" si="25"/>
        <v>190</v>
      </c>
      <c r="G93" s="10">
        <v>31</v>
      </c>
      <c r="H93" s="10">
        <v>100</v>
      </c>
      <c r="I93" s="10">
        <v>0</v>
      </c>
      <c r="J93" s="10">
        <v>1</v>
      </c>
      <c r="L93" s="1">
        <f>ROUNDUP(VLOOKUP(C93,[2]!游戏物价查询,7,FALSE),0)*E93</f>
        <v>912</v>
      </c>
      <c r="M93">
        <f>VLOOKUP(C93,[2]!游戏物价查询,4,0)</f>
        <v>19</v>
      </c>
      <c r="N93">
        <f>VLOOKUP(C93,[3]!马仔宝物属性,6,FALSE)</f>
        <v>4</v>
      </c>
      <c r="O93" t="str">
        <f t="shared" si="19"/>
        <v/>
      </c>
      <c r="P93">
        <f t="shared" si="20"/>
        <v>0</v>
      </c>
      <c r="R93" t="str">
        <f t="shared" si="21"/>
        <v/>
      </c>
      <c r="S93">
        <f t="shared" si="22"/>
        <v>0</v>
      </c>
      <c r="U93">
        <f t="shared" si="23"/>
        <v>190</v>
      </c>
      <c r="V93">
        <f t="shared" si="24"/>
        <v>1.1446817483507547E-3</v>
      </c>
    </row>
    <row r="94" spans="1:22">
      <c r="A94">
        <v>92</v>
      </c>
      <c r="B94" s="10">
        <v>0</v>
      </c>
      <c r="C94" s="32">
        <v>92296</v>
      </c>
      <c r="D94" s="10" t="str">
        <f>IFERROR(VLOOKUP(C94,[1]引用表合并!$A$2:$B$1000,2,FALSE),"")</f>
        <v>星光红石</v>
      </c>
      <c r="E94" s="10">
        <v>1</v>
      </c>
      <c r="F94" s="10">
        <f t="shared" si="25"/>
        <v>190</v>
      </c>
      <c r="G94" s="10">
        <v>31</v>
      </c>
      <c r="H94" s="10">
        <v>100</v>
      </c>
      <c r="I94" s="10">
        <v>0</v>
      </c>
      <c r="J94" s="10">
        <v>1</v>
      </c>
      <c r="L94" s="1">
        <f>ROUNDUP(VLOOKUP(C94,[2]!游戏物价查询,7,FALSE),0)*E94</f>
        <v>419</v>
      </c>
      <c r="M94">
        <f>VLOOKUP(C94,[2]!游戏物价查询,4,0)</f>
        <v>87</v>
      </c>
      <c r="N94">
        <f>VLOOKUP(C94,[3]!马仔宝物属性,6,FALSE)</f>
        <v>4</v>
      </c>
      <c r="O94" t="str">
        <f t="shared" si="19"/>
        <v/>
      </c>
      <c r="P94">
        <f t="shared" si="20"/>
        <v>0</v>
      </c>
      <c r="R94" t="str">
        <f t="shared" si="21"/>
        <v/>
      </c>
      <c r="S94">
        <f t="shared" si="22"/>
        <v>0</v>
      </c>
      <c r="U94">
        <f t="shared" si="23"/>
        <v>190</v>
      </c>
      <c r="V94">
        <f t="shared" si="24"/>
        <v>1.1446817483507547E-3</v>
      </c>
    </row>
    <row r="95" spans="1:22">
      <c r="A95">
        <v>93</v>
      </c>
      <c r="B95" s="10">
        <v>0</v>
      </c>
      <c r="C95" s="32">
        <v>92297</v>
      </c>
      <c r="D95" s="10" t="str">
        <f>IFERROR(VLOOKUP(C95,[1]引用表合并!$A$2:$B$1000,2,FALSE),"")</f>
        <v>翠绿之心</v>
      </c>
      <c r="E95" s="10">
        <v>1</v>
      </c>
      <c r="F95" s="10">
        <f t="shared" si="25"/>
        <v>190</v>
      </c>
      <c r="G95" s="10">
        <v>31</v>
      </c>
      <c r="H95" s="10">
        <v>100</v>
      </c>
      <c r="I95" s="10">
        <v>0</v>
      </c>
      <c r="J95" s="10">
        <v>1</v>
      </c>
      <c r="L95" s="1">
        <f>ROUNDUP(VLOOKUP(C95,[2]!游戏物价查询,7,FALSE),0)*E95</f>
        <v>916</v>
      </c>
      <c r="M95">
        <f>VLOOKUP(C95,[2]!游戏物价查询,4,0)</f>
        <v>11</v>
      </c>
      <c r="N95">
        <f>VLOOKUP(C95,[3]!马仔宝物属性,6,FALSE)</f>
        <v>4</v>
      </c>
      <c r="O95" t="str">
        <f t="shared" si="19"/>
        <v/>
      </c>
      <c r="P95">
        <f t="shared" si="20"/>
        <v>0</v>
      </c>
      <c r="R95" t="str">
        <f t="shared" si="21"/>
        <v/>
      </c>
      <c r="S95">
        <f t="shared" si="22"/>
        <v>0</v>
      </c>
      <c r="U95">
        <f t="shared" si="23"/>
        <v>190</v>
      </c>
      <c r="V95">
        <f t="shared" si="24"/>
        <v>1.1446817483507547E-3</v>
      </c>
    </row>
    <row r="96" spans="1:22">
      <c r="A96">
        <v>94</v>
      </c>
      <c r="B96" s="10">
        <v>0</v>
      </c>
      <c r="C96" s="32">
        <v>92298</v>
      </c>
      <c r="D96" s="10" t="str">
        <f>IFERROR(VLOOKUP(C96,[1]引用表合并!$A$2:$B$1000,2,FALSE),"")</f>
        <v>海洋之泪</v>
      </c>
      <c r="E96" s="10">
        <v>1</v>
      </c>
      <c r="F96" s="10">
        <f t="shared" si="25"/>
        <v>190</v>
      </c>
      <c r="G96" s="10">
        <v>31</v>
      </c>
      <c r="H96" s="10">
        <v>100</v>
      </c>
      <c r="I96" s="10">
        <v>0</v>
      </c>
      <c r="J96" s="10">
        <v>1</v>
      </c>
      <c r="L96" s="1">
        <f>ROUNDUP(VLOOKUP(C96,[2]!游戏物价查询,7,FALSE),0)*E96</f>
        <v>916</v>
      </c>
      <c r="M96">
        <f>VLOOKUP(C96,[2]!游戏物价查询,4,0)</f>
        <v>17</v>
      </c>
      <c r="N96">
        <f>VLOOKUP(C96,[3]!马仔宝物属性,6,FALSE)</f>
        <v>4</v>
      </c>
      <c r="O96" t="str">
        <f t="shared" si="19"/>
        <v/>
      </c>
      <c r="P96">
        <f t="shared" si="20"/>
        <v>0</v>
      </c>
      <c r="R96" t="str">
        <f t="shared" si="21"/>
        <v/>
      </c>
      <c r="S96">
        <f t="shared" si="22"/>
        <v>0</v>
      </c>
      <c r="U96">
        <f t="shared" si="23"/>
        <v>190</v>
      </c>
      <c r="V96">
        <f t="shared" si="24"/>
        <v>1.1446817483507547E-3</v>
      </c>
    </row>
    <row r="97" spans="1:27">
      <c r="A97">
        <v>95</v>
      </c>
      <c r="B97" s="10">
        <v>0</v>
      </c>
      <c r="C97" s="32">
        <v>92299</v>
      </c>
      <c r="D97" s="10" t="str">
        <f>IFERROR(VLOOKUP(C97,[1]引用表合并!$A$2:$B$1000,2,FALSE),"")</f>
        <v>房产证</v>
      </c>
      <c r="E97" s="10">
        <v>1</v>
      </c>
      <c r="F97" s="10">
        <f t="shared" si="25"/>
        <v>190</v>
      </c>
      <c r="G97" s="10">
        <v>31</v>
      </c>
      <c r="H97" s="10">
        <v>100</v>
      </c>
      <c r="I97" s="10">
        <v>0</v>
      </c>
      <c r="J97" s="10">
        <v>1</v>
      </c>
      <c r="L97" s="1">
        <f>ROUNDUP(VLOOKUP(C97,[2]!游戏物价查询,7,FALSE),0)*E97</f>
        <v>927</v>
      </c>
      <c r="M97">
        <f>VLOOKUP(C97,[2]!游戏物价查询,4,0)</f>
        <v>25</v>
      </c>
      <c r="N97">
        <f>VLOOKUP(C97,[3]!马仔宝物属性,6,FALSE)</f>
        <v>4</v>
      </c>
      <c r="O97" t="str">
        <f t="shared" si="19"/>
        <v/>
      </c>
      <c r="P97">
        <f t="shared" si="20"/>
        <v>0</v>
      </c>
      <c r="Q97" s="35">
        <f>SUM(P3:P97)</f>
        <v>0.56916822327216765</v>
      </c>
      <c r="R97" t="str">
        <f t="shared" si="21"/>
        <v/>
      </c>
      <c r="S97">
        <f t="shared" si="22"/>
        <v>0</v>
      </c>
      <c r="T97" s="35">
        <f>SUM(S3:S97)</f>
        <v>0.62641311015686674</v>
      </c>
      <c r="U97">
        <f t="shared" si="23"/>
        <v>190</v>
      </c>
      <c r="V97">
        <f t="shared" si="24"/>
        <v>1.1446817483507547E-3</v>
      </c>
      <c r="W97" s="22">
        <f>SUM(V54:V97)</f>
        <v>0.10073199385486636</v>
      </c>
      <c r="X97" s="35">
        <f>SUM(V3:V97)</f>
        <v>0.53137331686598277</v>
      </c>
      <c r="Y97">
        <f>W97*9</f>
        <v>0.90658794469379722</v>
      </c>
      <c r="Z97">
        <f>SUMPRODUCT(V76:V97,E76:E97)</f>
        <v>2.5182998463716601E-2</v>
      </c>
    </row>
    <row r="98" spans="1:27">
      <c r="A98">
        <v>96</v>
      </c>
      <c r="B98" s="23">
        <v>0</v>
      </c>
      <c r="C98" s="33">
        <v>78106</v>
      </c>
      <c r="D98" s="11" t="str">
        <f>IFERROR(VLOOKUP(C98,[1]引用表合并!$A$2:$B$1000,2,FALSE),"")</f>
        <v>马仔碎片(靓坤)</v>
      </c>
      <c r="E98" s="11">
        <v>1</v>
      </c>
      <c r="F98" s="11">
        <v>1200</v>
      </c>
      <c r="G98" s="11">
        <v>10</v>
      </c>
      <c r="H98" s="11">
        <v>19</v>
      </c>
      <c r="I98" s="11">
        <v>0</v>
      </c>
      <c r="J98" s="12">
        <v>1</v>
      </c>
      <c r="L98" s="1">
        <f>ROUNDUP(VLOOKUP(C98,[2]!游戏物价查询,7,FALSE),0)*E98</f>
        <v>50</v>
      </c>
      <c r="M98">
        <f>VLOOKUP(C98,[2]!游戏物价查询,4,0)</f>
        <v>980</v>
      </c>
      <c r="O98">
        <f t="shared" si="19"/>
        <v>1200</v>
      </c>
      <c r="P98">
        <f t="shared" si="20"/>
        <v>1.3185364245687286E-2</v>
      </c>
      <c r="R98" t="str">
        <f t="shared" si="21"/>
        <v/>
      </c>
      <c r="S98">
        <f t="shared" si="22"/>
        <v>0</v>
      </c>
      <c r="U98" t="str">
        <f t="shared" si="23"/>
        <v/>
      </c>
      <c r="V98">
        <f t="shared" si="24"/>
        <v>0</v>
      </c>
      <c r="Z98" s="8" t="e">
        <f>Z75+Z97*20</f>
        <v>#N/A</v>
      </c>
      <c r="AA98" s="8">
        <f>[2]马仔宝物投放!$O$44</f>
        <v>0.67465482459370341</v>
      </c>
    </row>
    <row r="99" spans="1:27">
      <c r="A99">
        <v>97</v>
      </c>
      <c r="B99" s="25">
        <v>0</v>
      </c>
      <c r="C99" s="29">
        <v>78107</v>
      </c>
      <c r="D99" s="10" t="str">
        <f>IFERROR(VLOOKUP(C99,[1]引用表合并!$A$2:$B$1000,2,FALSE),"")</f>
        <v>马仔碎片(雷复轰)</v>
      </c>
      <c r="E99" s="10">
        <v>1</v>
      </c>
      <c r="F99" s="10">
        <v>1200</v>
      </c>
      <c r="G99" s="10">
        <v>10</v>
      </c>
      <c r="H99" s="10">
        <v>19</v>
      </c>
      <c r="I99" s="10">
        <v>0</v>
      </c>
      <c r="J99" s="13">
        <v>1</v>
      </c>
      <c r="L99" s="1">
        <f>ROUNDUP(VLOOKUP(C99,[2]!游戏物价查询,7,FALSE),0)*E99</f>
        <v>50</v>
      </c>
      <c r="M99">
        <f>VLOOKUP(C99,[2]!游戏物价查询,4,0)</f>
        <v>980</v>
      </c>
      <c r="O99">
        <f t="shared" ref="O99:O130" si="26">IF(AND($G99&lt;=Q$2,$H99&gt;Q$2),$F99,"")</f>
        <v>1200</v>
      </c>
      <c r="P99">
        <f t="shared" ref="P99:P130" si="27">IFERROR(O99/SUM(O:O),0)</f>
        <v>1.3185364245687286E-2</v>
      </c>
      <c r="R99" t="str">
        <f t="shared" ref="R99:R130" si="28">IF(AND($G99&lt;=T$2,$H99&gt;T$2),$F99,"")</f>
        <v/>
      </c>
      <c r="S99">
        <f t="shared" ref="S99:S130" si="29">IFERROR(R99/SUM(R:R),0)</f>
        <v>0</v>
      </c>
      <c r="U99" t="str">
        <f t="shared" ref="U99:U130" si="30">IF(AND($G99&lt;=W$2,$H99&gt;W$2),$F99,"")</f>
        <v/>
      </c>
      <c r="V99">
        <f t="shared" ref="V99:V130" si="31">IFERROR(U99/SUM(U:U),0)</f>
        <v>0</v>
      </c>
    </row>
    <row r="100" spans="1:27">
      <c r="A100">
        <v>98</v>
      </c>
      <c r="B100" s="25">
        <v>0</v>
      </c>
      <c r="C100" s="29">
        <v>78108</v>
      </c>
      <c r="D100" s="10" t="str">
        <f>IFERROR(VLOOKUP(C100,[1]引用表合并!$A$2:$B$1000,2,FALSE),"")</f>
        <v>马仔碎片(肥仔)</v>
      </c>
      <c r="E100" s="10">
        <v>1</v>
      </c>
      <c r="F100" s="10">
        <v>1200</v>
      </c>
      <c r="G100" s="10">
        <v>10</v>
      </c>
      <c r="H100" s="10">
        <v>19</v>
      </c>
      <c r="I100" s="10">
        <v>0</v>
      </c>
      <c r="J100" s="13">
        <v>1</v>
      </c>
      <c r="L100" s="1">
        <f>ROUNDUP(VLOOKUP(C100,[2]!游戏物价查询,7,FALSE),0)*E100</f>
        <v>50</v>
      </c>
      <c r="M100">
        <f>VLOOKUP(C100,[2]!游戏物价查询,4,0)</f>
        <v>980</v>
      </c>
      <c r="O100">
        <f t="shared" si="26"/>
        <v>1200</v>
      </c>
      <c r="P100">
        <f t="shared" si="27"/>
        <v>1.3185364245687286E-2</v>
      </c>
      <c r="R100" t="str">
        <f t="shared" si="28"/>
        <v/>
      </c>
      <c r="S100">
        <f t="shared" si="29"/>
        <v>0</v>
      </c>
      <c r="U100" t="str">
        <f t="shared" si="30"/>
        <v/>
      </c>
      <c r="V100">
        <f t="shared" si="31"/>
        <v>0</v>
      </c>
    </row>
    <row r="101" spans="1:27">
      <c r="A101">
        <v>99</v>
      </c>
      <c r="B101" s="25">
        <v>0</v>
      </c>
      <c r="C101" s="29">
        <v>78109</v>
      </c>
      <c r="D101" s="10" t="str">
        <f>IFERROR(VLOOKUP(C101,[1]引用表合并!$A$2:$B$1000,2,FALSE),"")</f>
        <v>马仔碎片(司徒浩南)</v>
      </c>
      <c r="E101" s="10">
        <v>1</v>
      </c>
      <c r="F101" s="10">
        <v>800</v>
      </c>
      <c r="G101" s="10">
        <v>10</v>
      </c>
      <c r="H101" s="10">
        <v>19</v>
      </c>
      <c r="I101" s="10">
        <v>0</v>
      </c>
      <c r="J101" s="13">
        <v>1</v>
      </c>
      <c r="L101" s="1">
        <f>ROUNDUP(VLOOKUP(C101,[2]!游戏物价查询,7,FALSE),0)*E101</f>
        <v>100</v>
      </c>
      <c r="M101">
        <f>VLOOKUP(C101,[2]!游戏物价查询,4,0)</f>
        <v>980</v>
      </c>
      <c r="O101">
        <f t="shared" si="26"/>
        <v>800</v>
      </c>
      <c r="P101">
        <f t="shared" si="27"/>
        <v>8.790242830458192E-3</v>
      </c>
      <c r="Q101">
        <f>SUM(P98:P101)</f>
        <v>4.8346335567520049E-2</v>
      </c>
      <c r="R101" t="str">
        <f t="shared" si="28"/>
        <v/>
      </c>
      <c r="S101">
        <f t="shared" si="29"/>
        <v>0</v>
      </c>
      <c r="U101" t="str">
        <f t="shared" si="30"/>
        <v/>
      </c>
      <c r="V101">
        <f t="shared" si="31"/>
        <v>0</v>
      </c>
      <c r="Y101">
        <f>Q101/Q105</f>
        <v>3.0555555555555554</v>
      </c>
    </row>
    <row r="102" spans="1:27">
      <c r="A102">
        <v>100</v>
      </c>
      <c r="B102" s="25">
        <v>0</v>
      </c>
      <c r="C102" s="30">
        <v>78110</v>
      </c>
      <c r="D102" s="10" t="str">
        <f>IFERROR(VLOOKUP(C102,[1]引用表合并!$A$2:$B$1000,2,FALSE),"")</f>
        <v>马仔碎片(乌鸦)</v>
      </c>
      <c r="E102" s="10">
        <v>1</v>
      </c>
      <c r="F102" s="10">
        <v>360</v>
      </c>
      <c r="G102" s="10">
        <v>10</v>
      </c>
      <c r="H102" s="10">
        <v>19</v>
      </c>
      <c r="I102" s="10">
        <v>0</v>
      </c>
      <c r="J102" s="13">
        <v>1</v>
      </c>
      <c r="L102" s="1">
        <f>ROUNDUP(VLOOKUP(C102,[2]!游戏物价查询,7,FALSE),0)*E102</f>
        <v>100</v>
      </c>
      <c r="M102">
        <f>VLOOKUP(C102,[2]!游戏物价查询,4,0)</f>
        <v>980</v>
      </c>
      <c r="O102">
        <f t="shared" si="26"/>
        <v>360</v>
      </c>
      <c r="P102">
        <f t="shared" si="27"/>
        <v>3.9556092737061859E-3</v>
      </c>
      <c r="R102" t="str">
        <f t="shared" si="28"/>
        <v/>
      </c>
      <c r="S102">
        <f t="shared" si="29"/>
        <v>0</v>
      </c>
      <c r="U102" t="str">
        <f t="shared" si="30"/>
        <v/>
      </c>
      <c r="V102">
        <f t="shared" si="31"/>
        <v>0</v>
      </c>
    </row>
    <row r="103" spans="1:27">
      <c r="A103">
        <v>101</v>
      </c>
      <c r="B103" s="25">
        <v>0</v>
      </c>
      <c r="C103" s="30">
        <v>78111</v>
      </c>
      <c r="D103" s="10" t="str">
        <f>IFERROR(VLOOKUP(C103,[1]引用表合并!$A$2:$B$1000,2,FALSE),"")</f>
        <v>马仔碎片(赌王)</v>
      </c>
      <c r="E103" s="10">
        <v>1</v>
      </c>
      <c r="F103" s="10">
        <v>360</v>
      </c>
      <c r="G103" s="10">
        <v>10</v>
      </c>
      <c r="H103" s="10">
        <v>19</v>
      </c>
      <c r="I103" s="10">
        <v>0</v>
      </c>
      <c r="J103" s="13">
        <v>1</v>
      </c>
      <c r="L103" s="1">
        <f>ROUNDUP(VLOOKUP(C103,[2]!游戏物价查询,7,FALSE),0)*E103</f>
        <v>100</v>
      </c>
      <c r="M103">
        <f>VLOOKUP(C103,[2]!游戏物价查询,4,0)</f>
        <v>980</v>
      </c>
      <c r="O103">
        <f t="shared" si="26"/>
        <v>360</v>
      </c>
      <c r="P103">
        <f t="shared" si="27"/>
        <v>3.9556092737061859E-3</v>
      </c>
      <c r="R103" t="str">
        <f t="shared" si="28"/>
        <v/>
      </c>
      <c r="S103">
        <f t="shared" si="29"/>
        <v>0</v>
      </c>
      <c r="U103" t="str">
        <f t="shared" si="30"/>
        <v/>
      </c>
      <c r="V103">
        <f t="shared" si="31"/>
        <v>0</v>
      </c>
    </row>
    <row r="104" spans="1:27">
      <c r="A104">
        <v>102</v>
      </c>
      <c r="B104" s="25">
        <v>0</v>
      </c>
      <c r="C104" s="30">
        <v>78112</v>
      </c>
      <c r="D104" s="10" t="str">
        <f>IFERROR(VLOOKUP(C104,[1]引用表合并!$A$2:$B$1000,2,FALSE),"")</f>
        <v>马仔碎片(山下忠秀)</v>
      </c>
      <c r="E104" s="10">
        <v>1</v>
      </c>
      <c r="F104" s="10">
        <v>360</v>
      </c>
      <c r="G104" s="10">
        <v>10</v>
      </c>
      <c r="H104" s="10">
        <v>19</v>
      </c>
      <c r="I104" s="10">
        <v>0</v>
      </c>
      <c r="J104" s="13">
        <v>1</v>
      </c>
      <c r="L104" s="1">
        <f>ROUNDUP(VLOOKUP(C104,[2]!游戏物价查询,7,FALSE),0)*E104</f>
        <v>100</v>
      </c>
      <c r="M104">
        <f>VLOOKUP(C104,[2]!游戏物价查询,4,0)</f>
        <v>980</v>
      </c>
      <c r="O104">
        <f t="shared" si="26"/>
        <v>360</v>
      </c>
      <c r="P104">
        <f t="shared" si="27"/>
        <v>3.9556092737061859E-3</v>
      </c>
      <c r="R104" t="str">
        <f t="shared" si="28"/>
        <v/>
      </c>
      <c r="S104">
        <f t="shared" si="29"/>
        <v>0</v>
      </c>
      <c r="U104" t="str">
        <f t="shared" si="30"/>
        <v/>
      </c>
      <c r="V104">
        <f t="shared" si="31"/>
        <v>0</v>
      </c>
    </row>
    <row r="105" spans="1:27">
      <c r="A105">
        <v>103</v>
      </c>
      <c r="B105" s="25">
        <v>0</v>
      </c>
      <c r="C105" s="30">
        <v>78113</v>
      </c>
      <c r="D105" s="10" t="str">
        <f>IFERROR(VLOOKUP(C105,[1]引用表合并!$A$2:$B$1000,2,FALSE),"")</f>
        <v>马仔碎片(宫本一)</v>
      </c>
      <c r="E105" s="10">
        <v>1</v>
      </c>
      <c r="F105" s="10">
        <v>360</v>
      </c>
      <c r="G105" s="10">
        <v>10</v>
      </c>
      <c r="H105" s="10">
        <v>19</v>
      </c>
      <c r="I105" s="10">
        <v>0</v>
      </c>
      <c r="J105" s="13">
        <v>1</v>
      </c>
      <c r="L105" s="1">
        <f>ROUNDUP(VLOOKUP(C105,[2]!游戏物价查询,7,FALSE),0)*E105</f>
        <v>100</v>
      </c>
      <c r="M105">
        <f>VLOOKUP(C105,[2]!游戏物价查询,4,0)</f>
        <v>980</v>
      </c>
      <c r="O105">
        <f t="shared" si="26"/>
        <v>360</v>
      </c>
      <c r="P105">
        <f t="shared" si="27"/>
        <v>3.9556092737061859E-3</v>
      </c>
      <c r="Q105" s="16">
        <f>SUM(P102:P105)</f>
        <v>1.5822437094824744E-2</v>
      </c>
      <c r="R105" t="str">
        <f t="shared" si="28"/>
        <v/>
      </c>
      <c r="S105">
        <f t="shared" si="29"/>
        <v>0</v>
      </c>
      <c r="U105" t="str">
        <f t="shared" si="30"/>
        <v/>
      </c>
      <c r="V105">
        <f t="shared" si="31"/>
        <v>0</v>
      </c>
    </row>
    <row r="106" spans="1:27">
      <c r="A106">
        <v>104</v>
      </c>
      <c r="B106" s="25">
        <v>0</v>
      </c>
      <c r="C106" s="31">
        <v>78114</v>
      </c>
      <c r="D106" s="10" t="str">
        <f>IFERROR(VLOOKUP(C106,[1]引用表合并!$A$2:$B$1000,2,FALSE),"")</f>
        <v>马仔碎片(陈浩南)</v>
      </c>
      <c r="E106" s="10">
        <v>1</v>
      </c>
      <c r="F106" s="10">
        <v>75</v>
      </c>
      <c r="G106" s="10">
        <v>10</v>
      </c>
      <c r="H106" s="10">
        <v>19</v>
      </c>
      <c r="I106" s="10">
        <v>0</v>
      </c>
      <c r="J106" s="13">
        <v>1</v>
      </c>
      <c r="L106" s="1">
        <f>ROUNDUP(VLOOKUP(C106,[2]!游戏物价查询,7,FALSE),0)*E106</f>
        <v>150</v>
      </c>
      <c r="M106">
        <f>VLOOKUP(C106,[2]!游戏物价查询,4,0)</f>
        <v>980</v>
      </c>
      <c r="O106">
        <f t="shared" si="26"/>
        <v>75</v>
      </c>
      <c r="P106">
        <f t="shared" si="27"/>
        <v>8.2408526535545539E-4</v>
      </c>
      <c r="R106" t="str">
        <f t="shared" si="28"/>
        <v/>
      </c>
      <c r="S106">
        <f t="shared" si="29"/>
        <v>0</v>
      </c>
      <c r="U106" t="str">
        <f t="shared" si="30"/>
        <v/>
      </c>
      <c r="V106">
        <f t="shared" si="31"/>
        <v>0</v>
      </c>
    </row>
    <row r="107" spans="1:27">
      <c r="A107">
        <v>105</v>
      </c>
      <c r="B107" s="25">
        <v>0</v>
      </c>
      <c r="C107" s="31">
        <v>78115</v>
      </c>
      <c r="D107" s="10" t="str">
        <f>IFERROR(VLOOKUP(C107,[1]引用表合并!$A$2:$B$1000,2,FALSE),"")</f>
        <v>马仔碎片(山鸡)</v>
      </c>
      <c r="E107" s="10">
        <v>1</v>
      </c>
      <c r="F107" s="10">
        <v>100</v>
      </c>
      <c r="G107" s="10">
        <v>10</v>
      </c>
      <c r="H107" s="10">
        <v>19</v>
      </c>
      <c r="I107" s="10">
        <v>0</v>
      </c>
      <c r="J107" s="13">
        <v>1</v>
      </c>
      <c r="L107" s="1">
        <f>ROUNDUP(VLOOKUP(C107,[2]!游戏物价查询,7,FALSE),0)*E107</f>
        <v>150</v>
      </c>
      <c r="M107">
        <f>VLOOKUP(C107,[2]!游戏物价查询,4,0)</f>
        <v>980</v>
      </c>
      <c r="O107">
        <f t="shared" si="26"/>
        <v>100</v>
      </c>
      <c r="P107">
        <f t="shared" si="27"/>
        <v>1.098780353807274E-3</v>
      </c>
      <c r="R107" t="str">
        <f t="shared" si="28"/>
        <v/>
      </c>
      <c r="S107">
        <f t="shared" si="29"/>
        <v>0</v>
      </c>
      <c r="U107" t="str">
        <f t="shared" si="30"/>
        <v/>
      </c>
      <c r="V107">
        <f t="shared" si="31"/>
        <v>0</v>
      </c>
    </row>
    <row r="108" spans="1:27">
      <c r="A108">
        <v>106</v>
      </c>
      <c r="B108" s="25">
        <v>0</v>
      </c>
      <c r="C108" s="31">
        <v>78116</v>
      </c>
      <c r="D108" s="10" t="str">
        <f>IFERROR(VLOOKUP(C108,[1]引用表合并!$A$2:$B$1000,2,FALSE),"")</f>
        <v>马仔碎片(大天二)</v>
      </c>
      <c r="E108" s="10">
        <v>1</v>
      </c>
      <c r="F108" s="10">
        <v>125</v>
      </c>
      <c r="G108" s="10">
        <v>10</v>
      </c>
      <c r="H108" s="10">
        <v>19</v>
      </c>
      <c r="I108" s="10">
        <v>0</v>
      </c>
      <c r="J108" s="13">
        <v>1</v>
      </c>
      <c r="L108" s="1">
        <f>ROUNDUP(VLOOKUP(C108,[2]!游戏物价查询,7,FALSE),0)*E108</f>
        <v>150</v>
      </c>
      <c r="M108">
        <f>VLOOKUP(C108,[2]!游戏物价查询,4,0)</f>
        <v>980</v>
      </c>
      <c r="O108">
        <f t="shared" si="26"/>
        <v>125</v>
      </c>
      <c r="P108">
        <f t="shared" si="27"/>
        <v>1.3734754422590925E-3</v>
      </c>
      <c r="Q108" s="16">
        <f>SUM(P106:P108)</f>
        <v>3.296341061421822E-3</v>
      </c>
      <c r="R108" t="str">
        <f t="shared" si="28"/>
        <v/>
      </c>
      <c r="S108">
        <f t="shared" si="29"/>
        <v>0</v>
      </c>
      <c r="U108" t="str">
        <f t="shared" si="30"/>
        <v/>
      </c>
      <c r="V108">
        <f t="shared" si="31"/>
        <v>0</v>
      </c>
    </row>
    <row r="109" spans="1:27">
      <c r="A109">
        <v>107</v>
      </c>
      <c r="B109" s="25">
        <v>0</v>
      </c>
      <c r="C109" s="29">
        <v>78106</v>
      </c>
      <c r="D109" s="10" t="str">
        <f>IFERROR(VLOOKUP(C109,[1]引用表合并!$A$2:$B$1000,2,FALSE),"")</f>
        <v>马仔碎片(靓坤)</v>
      </c>
      <c r="E109" s="10">
        <v>5</v>
      </c>
      <c r="F109" s="10">
        <v>600</v>
      </c>
      <c r="G109" s="10">
        <v>10</v>
      </c>
      <c r="H109" s="10">
        <v>19</v>
      </c>
      <c r="I109" s="10">
        <v>0</v>
      </c>
      <c r="J109" s="13">
        <v>1</v>
      </c>
      <c r="L109" s="1">
        <f>ROUNDUP(VLOOKUP(C109,[2]!游戏物价查询,7,FALSE),0)*E109</f>
        <v>250</v>
      </c>
      <c r="M109">
        <f>VLOOKUP(C109,[2]!游戏物价查询,4,0)</f>
        <v>980</v>
      </c>
      <c r="O109">
        <f t="shared" si="26"/>
        <v>600</v>
      </c>
      <c r="P109">
        <f t="shared" si="27"/>
        <v>6.5926821228436431E-3</v>
      </c>
      <c r="R109" t="str">
        <f t="shared" si="28"/>
        <v/>
      </c>
      <c r="S109">
        <f t="shared" si="29"/>
        <v>0</v>
      </c>
      <c r="U109" t="str">
        <f t="shared" si="30"/>
        <v/>
      </c>
      <c r="V109">
        <f t="shared" si="31"/>
        <v>0</v>
      </c>
    </row>
    <row r="110" spans="1:27">
      <c r="A110">
        <v>108</v>
      </c>
      <c r="B110" s="25">
        <v>0</v>
      </c>
      <c r="C110" s="29">
        <v>78107</v>
      </c>
      <c r="D110" s="10" t="str">
        <f>IFERROR(VLOOKUP(C110,[1]引用表合并!$A$2:$B$1000,2,FALSE),"")</f>
        <v>马仔碎片(雷复轰)</v>
      </c>
      <c r="E110" s="10">
        <v>5</v>
      </c>
      <c r="F110" s="10">
        <v>600</v>
      </c>
      <c r="G110" s="10">
        <v>10</v>
      </c>
      <c r="H110" s="10">
        <v>19</v>
      </c>
      <c r="I110" s="10">
        <v>0</v>
      </c>
      <c r="J110" s="13">
        <v>1</v>
      </c>
      <c r="L110" s="1">
        <f>ROUNDUP(VLOOKUP(C110,[2]!游戏物价查询,7,FALSE),0)*E110</f>
        <v>250</v>
      </c>
      <c r="M110">
        <f>VLOOKUP(C110,[2]!游戏物价查询,4,0)</f>
        <v>980</v>
      </c>
      <c r="O110">
        <f t="shared" si="26"/>
        <v>600</v>
      </c>
      <c r="P110">
        <f t="shared" si="27"/>
        <v>6.5926821228436431E-3</v>
      </c>
      <c r="R110" t="str">
        <f t="shared" si="28"/>
        <v/>
      </c>
      <c r="S110">
        <f t="shared" si="29"/>
        <v>0</v>
      </c>
      <c r="U110" t="str">
        <f t="shared" si="30"/>
        <v/>
      </c>
      <c r="V110">
        <f t="shared" si="31"/>
        <v>0</v>
      </c>
    </row>
    <row r="111" spans="1:27">
      <c r="A111">
        <v>109</v>
      </c>
      <c r="B111" s="25">
        <v>0</v>
      </c>
      <c r="C111" s="29">
        <v>78108</v>
      </c>
      <c r="D111" s="10" t="str">
        <f>IFERROR(VLOOKUP(C111,[1]引用表合并!$A$2:$B$1000,2,FALSE),"")</f>
        <v>马仔碎片(肥仔)</v>
      </c>
      <c r="E111" s="10">
        <v>5</v>
      </c>
      <c r="F111" s="10">
        <v>600</v>
      </c>
      <c r="G111" s="10">
        <v>10</v>
      </c>
      <c r="H111" s="10">
        <v>19</v>
      </c>
      <c r="I111" s="10">
        <v>0</v>
      </c>
      <c r="J111" s="13">
        <v>1</v>
      </c>
      <c r="L111" s="1">
        <f>ROUNDUP(VLOOKUP(C111,[2]!游戏物价查询,7,FALSE),0)*E111</f>
        <v>250</v>
      </c>
      <c r="M111">
        <f>VLOOKUP(C111,[2]!游戏物价查询,4,0)</f>
        <v>980</v>
      </c>
      <c r="O111">
        <f t="shared" si="26"/>
        <v>600</v>
      </c>
      <c r="P111">
        <f t="shared" si="27"/>
        <v>6.5926821228436431E-3</v>
      </c>
      <c r="R111" t="str">
        <f t="shared" si="28"/>
        <v/>
      </c>
      <c r="S111">
        <f t="shared" si="29"/>
        <v>0</v>
      </c>
      <c r="U111" t="str">
        <f t="shared" si="30"/>
        <v/>
      </c>
      <c r="V111">
        <f t="shared" si="31"/>
        <v>0</v>
      </c>
    </row>
    <row r="112" spans="1:27">
      <c r="A112">
        <v>110</v>
      </c>
      <c r="B112" s="25">
        <v>0</v>
      </c>
      <c r="C112" s="29">
        <v>78109</v>
      </c>
      <c r="D112" s="10" t="str">
        <f>IFERROR(VLOOKUP(C112,[1]引用表合并!$A$2:$B$1000,2,FALSE),"")</f>
        <v>马仔碎片(司徒浩南)</v>
      </c>
      <c r="E112" s="10">
        <v>5</v>
      </c>
      <c r="F112" s="10">
        <v>400</v>
      </c>
      <c r="G112" s="10">
        <v>10</v>
      </c>
      <c r="H112" s="10">
        <v>19</v>
      </c>
      <c r="I112" s="10">
        <v>0</v>
      </c>
      <c r="J112" s="13">
        <v>1</v>
      </c>
      <c r="L112" s="1">
        <f>ROUNDUP(VLOOKUP(C112,[2]!游戏物价查询,7,FALSE),0)*E112</f>
        <v>500</v>
      </c>
      <c r="M112">
        <f>VLOOKUP(C112,[2]!游戏物价查询,4,0)</f>
        <v>980</v>
      </c>
      <c r="O112">
        <f t="shared" si="26"/>
        <v>400</v>
      </c>
      <c r="P112">
        <f t="shared" si="27"/>
        <v>4.395121415229096E-3</v>
      </c>
      <c r="R112" t="str">
        <f t="shared" si="28"/>
        <v/>
      </c>
      <c r="S112">
        <f t="shared" si="29"/>
        <v>0</v>
      </c>
      <c r="U112" t="str">
        <f t="shared" si="30"/>
        <v/>
      </c>
      <c r="V112">
        <f t="shared" si="31"/>
        <v>0</v>
      </c>
    </row>
    <row r="113" spans="1:25">
      <c r="A113">
        <v>111</v>
      </c>
      <c r="B113" s="25">
        <v>0</v>
      </c>
      <c r="C113" s="30">
        <v>78110</v>
      </c>
      <c r="D113" s="10" t="str">
        <f>IFERROR(VLOOKUP(C113,[1]引用表合并!$A$2:$B$1000,2,FALSE),"")</f>
        <v>马仔碎片(乌鸦)</v>
      </c>
      <c r="E113" s="10">
        <v>5</v>
      </c>
      <c r="F113" s="10">
        <v>180</v>
      </c>
      <c r="G113" s="10">
        <v>10</v>
      </c>
      <c r="H113" s="10">
        <v>19</v>
      </c>
      <c r="I113" s="10">
        <v>0</v>
      </c>
      <c r="J113" s="13">
        <v>1</v>
      </c>
      <c r="L113" s="1">
        <f>ROUNDUP(VLOOKUP(C113,[2]!游戏物价查询,7,FALSE),0)*E113</f>
        <v>500</v>
      </c>
      <c r="M113">
        <f>VLOOKUP(C113,[2]!游戏物价查询,4,0)</f>
        <v>980</v>
      </c>
      <c r="O113">
        <f t="shared" si="26"/>
        <v>180</v>
      </c>
      <c r="P113">
        <f t="shared" si="27"/>
        <v>1.9778046368530929E-3</v>
      </c>
      <c r="R113" t="str">
        <f t="shared" si="28"/>
        <v/>
      </c>
      <c r="S113">
        <f t="shared" si="29"/>
        <v>0</v>
      </c>
      <c r="U113" t="str">
        <f t="shared" si="30"/>
        <v/>
      </c>
      <c r="V113">
        <f t="shared" si="31"/>
        <v>0</v>
      </c>
    </row>
    <row r="114" spans="1:25">
      <c r="A114">
        <v>112</v>
      </c>
      <c r="B114" s="25">
        <v>0</v>
      </c>
      <c r="C114" s="30">
        <v>78111</v>
      </c>
      <c r="D114" s="10" t="str">
        <f>IFERROR(VLOOKUP(C114,[1]引用表合并!$A$2:$B$1000,2,FALSE),"")</f>
        <v>马仔碎片(赌王)</v>
      </c>
      <c r="E114" s="10">
        <v>5</v>
      </c>
      <c r="F114" s="10">
        <v>180</v>
      </c>
      <c r="G114" s="10">
        <v>10</v>
      </c>
      <c r="H114" s="10">
        <v>19</v>
      </c>
      <c r="I114" s="10">
        <v>0</v>
      </c>
      <c r="J114" s="13">
        <v>1</v>
      </c>
      <c r="L114" s="1">
        <f>ROUNDUP(VLOOKUP(C114,[2]!游戏物价查询,7,FALSE),0)*E114</f>
        <v>500</v>
      </c>
      <c r="M114">
        <f>VLOOKUP(C114,[2]!游戏物价查询,4,0)</f>
        <v>980</v>
      </c>
      <c r="O114">
        <f t="shared" si="26"/>
        <v>180</v>
      </c>
      <c r="P114">
        <f t="shared" si="27"/>
        <v>1.9778046368530929E-3</v>
      </c>
      <c r="R114" t="str">
        <f t="shared" si="28"/>
        <v/>
      </c>
      <c r="S114">
        <f t="shared" si="29"/>
        <v>0</v>
      </c>
      <c r="U114" t="str">
        <f t="shared" si="30"/>
        <v/>
      </c>
      <c r="V114">
        <f t="shared" si="31"/>
        <v>0</v>
      </c>
    </row>
    <row r="115" spans="1:25">
      <c r="A115">
        <v>113</v>
      </c>
      <c r="B115" s="25">
        <v>0</v>
      </c>
      <c r="C115" s="30">
        <v>78112</v>
      </c>
      <c r="D115" s="10" t="str">
        <f>IFERROR(VLOOKUP(C115,[1]引用表合并!$A$2:$B$1000,2,FALSE),"")</f>
        <v>马仔碎片(山下忠秀)</v>
      </c>
      <c r="E115" s="10">
        <v>5</v>
      </c>
      <c r="F115" s="10">
        <v>180</v>
      </c>
      <c r="G115" s="10">
        <v>10</v>
      </c>
      <c r="H115" s="10">
        <v>19</v>
      </c>
      <c r="I115" s="10">
        <v>0</v>
      </c>
      <c r="J115" s="13">
        <v>1</v>
      </c>
      <c r="L115" s="1">
        <f>ROUNDUP(VLOOKUP(C115,[2]!游戏物价查询,7,FALSE),0)*E115</f>
        <v>500</v>
      </c>
      <c r="M115">
        <f>VLOOKUP(C115,[2]!游戏物价查询,4,0)</f>
        <v>980</v>
      </c>
      <c r="O115">
        <f t="shared" si="26"/>
        <v>180</v>
      </c>
      <c r="P115">
        <f t="shared" si="27"/>
        <v>1.9778046368530929E-3</v>
      </c>
      <c r="R115" t="str">
        <f t="shared" si="28"/>
        <v/>
      </c>
      <c r="S115">
        <f t="shared" si="29"/>
        <v>0</v>
      </c>
      <c r="U115" t="str">
        <f t="shared" si="30"/>
        <v/>
      </c>
      <c r="V115">
        <f t="shared" si="31"/>
        <v>0</v>
      </c>
    </row>
    <row r="116" spans="1:25">
      <c r="A116">
        <v>114</v>
      </c>
      <c r="B116" s="25">
        <v>0</v>
      </c>
      <c r="C116" s="30">
        <v>78113</v>
      </c>
      <c r="D116" s="10" t="str">
        <f>IFERROR(VLOOKUP(C116,[1]引用表合并!$A$2:$B$1000,2,FALSE),"")</f>
        <v>马仔碎片(宫本一)</v>
      </c>
      <c r="E116" s="10">
        <v>5</v>
      </c>
      <c r="F116" s="10">
        <v>180</v>
      </c>
      <c r="G116" s="10">
        <v>10</v>
      </c>
      <c r="H116" s="10">
        <v>19</v>
      </c>
      <c r="I116" s="10">
        <v>0</v>
      </c>
      <c r="J116" s="13">
        <v>1</v>
      </c>
      <c r="L116" s="1">
        <f>ROUNDUP(VLOOKUP(C116,[2]!游戏物价查询,7,FALSE),0)*E116</f>
        <v>500</v>
      </c>
      <c r="M116">
        <f>VLOOKUP(C116,[2]!游戏物价查询,4,0)</f>
        <v>980</v>
      </c>
      <c r="O116">
        <f t="shared" si="26"/>
        <v>180</v>
      </c>
      <c r="P116">
        <f t="shared" si="27"/>
        <v>1.9778046368530929E-3</v>
      </c>
      <c r="Q116" s="16"/>
      <c r="R116" t="str">
        <f t="shared" si="28"/>
        <v/>
      </c>
      <c r="S116">
        <f t="shared" si="29"/>
        <v>0</v>
      </c>
      <c r="U116" t="str">
        <f t="shared" si="30"/>
        <v/>
      </c>
      <c r="V116">
        <f t="shared" si="31"/>
        <v>0</v>
      </c>
      <c r="Y116">
        <f>Q116*9</f>
        <v>0</v>
      </c>
    </row>
    <row r="117" spans="1:25">
      <c r="A117">
        <v>115</v>
      </c>
      <c r="B117" s="25">
        <v>0</v>
      </c>
      <c r="C117" s="31">
        <v>78114</v>
      </c>
      <c r="D117" s="10" t="str">
        <f>IFERROR(VLOOKUP(C117,[1]引用表合并!$A$2:$B$1000,2,FALSE),"")</f>
        <v>马仔碎片(陈浩南)</v>
      </c>
      <c r="E117" s="10">
        <v>5</v>
      </c>
      <c r="F117" s="10">
        <v>35</v>
      </c>
      <c r="G117" s="10">
        <v>10</v>
      </c>
      <c r="H117" s="10">
        <v>19</v>
      </c>
      <c r="I117" s="10">
        <v>0</v>
      </c>
      <c r="J117" s="13">
        <v>1</v>
      </c>
      <c r="L117" s="1">
        <f>ROUNDUP(VLOOKUP(C117,[2]!游戏物价查询,7,FALSE),0)*E117</f>
        <v>750</v>
      </c>
      <c r="M117">
        <f>VLOOKUP(C117,[2]!游戏物价查询,4,0)</f>
        <v>980</v>
      </c>
      <c r="O117">
        <f t="shared" si="26"/>
        <v>35</v>
      </c>
      <c r="P117">
        <f t="shared" si="27"/>
        <v>3.8457312383254587E-4</v>
      </c>
      <c r="R117" t="str">
        <f t="shared" si="28"/>
        <v/>
      </c>
      <c r="S117">
        <f t="shared" si="29"/>
        <v>0</v>
      </c>
      <c r="U117" t="str">
        <f t="shared" si="30"/>
        <v/>
      </c>
      <c r="V117">
        <f t="shared" si="31"/>
        <v>0</v>
      </c>
    </row>
    <row r="118" spans="1:25">
      <c r="A118">
        <v>116</v>
      </c>
      <c r="B118" s="25">
        <v>0</v>
      </c>
      <c r="C118" s="31">
        <v>78115</v>
      </c>
      <c r="D118" s="10" t="str">
        <f>IFERROR(VLOOKUP(C118,[1]引用表合并!$A$2:$B$1000,2,FALSE),"")</f>
        <v>马仔碎片(山鸡)</v>
      </c>
      <c r="E118" s="10">
        <v>5</v>
      </c>
      <c r="F118" s="10">
        <v>50</v>
      </c>
      <c r="G118" s="10">
        <v>10</v>
      </c>
      <c r="H118" s="10">
        <v>19</v>
      </c>
      <c r="I118" s="10">
        <v>0</v>
      </c>
      <c r="J118" s="13">
        <v>1</v>
      </c>
      <c r="L118" s="1">
        <f>ROUNDUP(VLOOKUP(C118,[2]!游戏物价查询,7,FALSE),0)*E118</f>
        <v>750</v>
      </c>
      <c r="M118">
        <f>VLOOKUP(C118,[2]!游戏物价查询,4,0)</f>
        <v>980</v>
      </c>
      <c r="O118">
        <f t="shared" si="26"/>
        <v>50</v>
      </c>
      <c r="P118">
        <f t="shared" si="27"/>
        <v>5.49390176903637E-4</v>
      </c>
      <c r="R118" t="str">
        <f t="shared" si="28"/>
        <v/>
      </c>
      <c r="S118">
        <f t="shared" si="29"/>
        <v>0</v>
      </c>
      <c r="U118" t="str">
        <f t="shared" si="30"/>
        <v/>
      </c>
      <c r="V118">
        <f t="shared" si="31"/>
        <v>0</v>
      </c>
    </row>
    <row r="119" spans="1:25">
      <c r="A119">
        <v>117</v>
      </c>
      <c r="B119" s="24">
        <v>0</v>
      </c>
      <c r="C119" s="34">
        <v>78116</v>
      </c>
      <c r="D119" s="14" t="str">
        <f>IFERROR(VLOOKUP(C119,[1]引用表合并!$A$2:$B$1000,2,FALSE),"")</f>
        <v>马仔碎片(大天二)</v>
      </c>
      <c r="E119" s="14">
        <v>5</v>
      </c>
      <c r="F119" s="14">
        <v>65</v>
      </c>
      <c r="G119" s="10">
        <v>10</v>
      </c>
      <c r="H119" s="10">
        <v>19</v>
      </c>
      <c r="I119" s="14">
        <v>0</v>
      </c>
      <c r="J119" s="15">
        <v>1</v>
      </c>
      <c r="L119" s="1">
        <f>ROUNDUP(VLOOKUP(C119,[2]!游戏物价查询,7,FALSE),0)*E119</f>
        <v>750</v>
      </c>
      <c r="M119">
        <f>VLOOKUP(C119,[2]!游戏物价查询,4,0)</f>
        <v>980</v>
      </c>
      <c r="O119">
        <f t="shared" si="26"/>
        <v>65</v>
      </c>
      <c r="P119">
        <f t="shared" si="27"/>
        <v>7.1420722997472808E-4</v>
      </c>
      <c r="Q119" s="8">
        <f>SUM(P98:P119)</f>
        <v>0.10119767058564995</v>
      </c>
      <c r="R119" t="str">
        <f t="shared" si="28"/>
        <v/>
      </c>
      <c r="S119">
        <f t="shared" si="29"/>
        <v>0</v>
      </c>
      <c r="U119" t="str">
        <f t="shared" si="30"/>
        <v/>
      </c>
      <c r="V119">
        <f t="shared" si="31"/>
        <v>0</v>
      </c>
      <c r="Y119">
        <f>Q119*9</f>
        <v>0.91077903527084958</v>
      </c>
    </row>
    <row r="120" spans="1:25">
      <c r="A120">
        <v>118</v>
      </c>
      <c r="B120" s="23">
        <v>0</v>
      </c>
      <c r="C120" s="11">
        <v>78106</v>
      </c>
      <c r="D120" s="11" t="str">
        <f>IFERROR(VLOOKUP(C120,[1]引用表合并!$A$2:$B$1000,2,FALSE),"")</f>
        <v>马仔碎片(靓坤)</v>
      </c>
      <c r="E120" s="11">
        <v>1</v>
      </c>
      <c r="F120" s="11">
        <v>1600</v>
      </c>
      <c r="G120" s="11">
        <v>20</v>
      </c>
      <c r="H120" s="11">
        <v>30</v>
      </c>
      <c r="I120" s="11">
        <v>0</v>
      </c>
      <c r="J120" s="12">
        <v>0</v>
      </c>
      <c r="L120" s="1">
        <f>ROUNDUP(VLOOKUP(C120,[2]!游戏物价查询,7,FALSE),0)*E120</f>
        <v>50</v>
      </c>
      <c r="M120">
        <f>VLOOKUP(C120,[2]!游戏物价查询,4,0)</f>
        <v>980</v>
      </c>
      <c r="O120" t="str">
        <f t="shared" si="26"/>
        <v/>
      </c>
      <c r="P120">
        <f t="shared" si="27"/>
        <v>0</v>
      </c>
      <c r="R120">
        <f t="shared" si="28"/>
        <v>1600</v>
      </c>
      <c r="S120">
        <f t="shared" si="29"/>
        <v>1.4021558145648936E-2</v>
      </c>
      <c r="U120" t="str">
        <f t="shared" si="30"/>
        <v/>
      </c>
      <c r="V120">
        <f t="shared" si="31"/>
        <v>0</v>
      </c>
    </row>
    <row r="121" spans="1:25">
      <c r="A121">
        <v>119</v>
      </c>
      <c r="B121" s="25">
        <v>0</v>
      </c>
      <c r="C121" s="10">
        <v>78107</v>
      </c>
      <c r="D121" s="10" t="str">
        <f>IFERROR(VLOOKUP(C121,[1]引用表合并!$A$2:$B$1000,2,FALSE),"")</f>
        <v>马仔碎片(雷复轰)</v>
      </c>
      <c r="E121" s="10">
        <v>1</v>
      </c>
      <c r="F121" s="10">
        <v>1600</v>
      </c>
      <c r="G121" s="10">
        <v>20</v>
      </c>
      <c r="H121" s="10">
        <v>30</v>
      </c>
      <c r="I121" s="10">
        <v>0</v>
      </c>
      <c r="J121" s="13">
        <v>0</v>
      </c>
      <c r="L121" s="1">
        <f>ROUNDUP(VLOOKUP(C121,[2]!游戏物价查询,7,FALSE),0)*E121</f>
        <v>50</v>
      </c>
      <c r="M121">
        <f>VLOOKUP(C121,[2]!游戏物价查询,4,0)</f>
        <v>980</v>
      </c>
      <c r="O121" t="str">
        <f t="shared" si="26"/>
        <v/>
      </c>
      <c r="P121">
        <f t="shared" si="27"/>
        <v>0</v>
      </c>
      <c r="R121">
        <f t="shared" si="28"/>
        <v>1600</v>
      </c>
      <c r="S121">
        <f t="shared" si="29"/>
        <v>1.4021558145648936E-2</v>
      </c>
      <c r="U121" t="str">
        <f t="shared" si="30"/>
        <v/>
      </c>
      <c r="V121">
        <f t="shared" si="31"/>
        <v>0</v>
      </c>
    </row>
    <row r="122" spans="1:25">
      <c r="A122">
        <v>120</v>
      </c>
      <c r="B122" s="25">
        <v>0</v>
      </c>
      <c r="C122" s="10">
        <v>78108</v>
      </c>
      <c r="D122" s="10" t="str">
        <f>IFERROR(VLOOKUP(C122,[1]引用表合并!$A$2:$B$1000,2,FALSE),"")</f>
        <v>马仔碎片(肥仔)</v>
      </c>
      <c r="E122" s="10">
        <v>1</v>
      </c>
      <c r="F122" s="10">
        <v>1600</v>
      </c>
      <c r="G122" s="10">
        <v>20</v>
      </c>
      <c r="H122" s="10">
        <v>30</v>
      </c>
      <c r="I122" s="10">
        <v>0</v>
      </c>
      <c r="J122" s="13">
        <v>0</v>
      </c>
      <c r="L122" s="1">
        <f>ROUNDUP(VLOOKUP(C122,[2]!游戏物价查询,7,FALSE),0)*E122</f>
        <v>50</v>
      </c>
      <c r="M122">
        <f>VLOOKUP(C122,[2]!游戏物价查询,4,0)</f>
        <v>980</v>
      </c>
      <c r="O122" t="str">
        <f t="shared" si="26"/>
        <v/>
      </c>
      <c r="P122">
        <f t="shared" si="27"/>
        <v>0</v>
      </c>
      <c r="R122">
        <f t="shared" si="28"/>
        <v>1600</v>
      </c>
      <c r="S122">
        <f t="shared" si="29"/>
        <v>1.4021558145648936E-2</v>
      </c>
      <c r="U122" t="str">
        <f t="shared" si="30"/>
        <v/>
      </c>
      <c r="V122">
        <f t="shared" si="31"/>
        <v>0</v>
      </c>
    </row>
    <row r="123" spans="1:25">
      <c r="A123">
        <v>121</v>
      </c>
      <c r="B123" s="25">
        <v>0</v>
      </c>
      <c r="C123" s="10">
        <v>78109</v>
      </c>
      <c r="D123" s="10" t="str">
        <f>IFERROR(VLOOKUP(C123,[1]引用表合并!$A$2:$B$1000,2,FALSE),"")</f>
        <v>马仔碎片(司徒浩南)</v>
      </c>
      <c r="E123" s="10">
        <v>1</v>
      </c>
      <c r="F123" s="10">
        <v>1200</v>
      </c>
      <c r="G123" s="10">
        <v>20</v>
      </c>
      <c r="H123" s="10">
        <v>30</v>
      </c>
      <c r="I123" s="10">
        <v>0</v>
      </c>
      <c r="J123" s="13">
        <v>0</v>
      </c>
      <c r="L123" s="1">
        <f>ROUNDUP(VLOOKUP(C123,[2]!游戏物价查询,7,FALSE),0)*E123</f>
        <v>100</v>
      </c>
      <c r="M123">
        <f>VLOOKUP(C123,[2]!游戏物价查询,4,0)</f>
        <v>980</v>
      </c>
      <c r="O123" t="str">
        <f t="shared" si="26"/>
        <v/>
      </c>
      <c r="P123">
        <f t="shared" si="27"/>
        <v>0</v>
      </c>
      <c r="R123">
        <f t="shared" si="28"/>
        <v>1200</v>
      </c>
      <c r="S123">
        <f t="shared" si="29"/>
        <v>1.0516168609236702E-2</v>
      </c>
      <c r="T123">
        <f>SUM(S120:S123)</f>
        <v>5.2580843046183511E-2</v>
      </c>
      <c r="U123" t="str">
        <f t="shared" si="30"/>
        <v/>
      </c>
      <c r="V123">
        <f t="shared" si="31"/>
        <v>0</v>
      </c>
      <c r="Y123">
        <f>T123/T127</f>
        <v>3</v>
      </c>
    </row>
    <row r="124" spans="1:25">
      <c r="A124">
        <v>122</v>
      </c>
      <c r="B124" s="25">
        <v>0</v>
      </c>
      <c r="C124" s="10">
        <v>78110</v>
      </c>
      <c r="D124" s="10" t="str">
        <f>IFERROR(VLOOKUP(C124,[1]引用表合并!$A$2:$B$1000,2,FALSE),"")</f>
        <v>马仔碎片(乌鸦)</v>
      </c>
      <c r="E124" s="10">
        <v>1</v>
      </c>
      <c r="F124" s="10">
        <v>500</v>
      </c>
      <c r="G124" s="10">
        <v>20</v>
      </c>
      <c r="H124" s="10">
        <v>30</v>
      </c>
      <c r="I124" s="10">
        <v>0</v>
      </c>
      <c r="J124" s="13">
        <v>0</v>
      </c>
      <c r="L124" s="1">
        <f>ROUNDUP(VLOOKUP(C124,[2]!游戏物价查询,7,FALSE),0)*E124</f>
        <v>100</v>
      </c>
      <c r="M124">
        <f>VLOOKUP(C124,[2]!游戏物价查询,4,0)</f>
        <v>980</v>
      </c>
      <c r="O124" t="str">
        <f t="shared" si="26"/>
        <v/>
      </c>
      <c r="P124">
        <f t="shared" si="27"/>
        <v>0</v>
      </c>
      <c r="R124">
        <f t="shared" si="28"/>
        <v>500</v>
      </c>
      <c r="S124">
        <f t="shared" si="29"/>
        <v>4.3817369205152923E-3</v>
      </c>
      <c r="U124" t="str">
        <f t="shared" si="30"/>
        <v/>
      </c>
      <c r="V124">
        <f t="shared" si="31"/>
        <v>0</v>
      </c>
    </row>
    <row r="125" spans="1:25">
      <c r="A125">
        <v>123</v>
      </c>
      <c r="B125" s="25">
        <v>0</v>
      </c>
      <c r="C125" s="10">
        <v>78111</v>
      </c>
      <c r="D125" s="10" t="str">
        <f>IFERROR(VLOOKUP(C125,[1]引用表合并!$A$2:$B$1000,2,FALSE),"")</f>
        <v>马仔碎片(赌王)</v>
      </c>
      <c r="E125" s="10">
        <v>1</v>
      </c>
      <c r="F125" s="10">
        <v>500</v>
      </c>
      <c r="G125" s="10">
        <v>20</v>
      </c>
      <c r="H125" s="10">
        <v>30</v>
      </c>
      <c r="I125" s="10">
        <v>0</v>
      </c>
      <c r="J125" s="13">
        <v>0</v>
      </c>
      <c r="L125" s="1">
        <f>ROUNDUP(VLOOKUP(C125,[2]!游戏物价查询,7,FALSE),0)*E125</f>
        <v>100</v>
      </c>
      <c r="M125">
        <f>VLOOKUP(C125,[2]!游戏物价查询,4,0)</f>
        <v>980</v>
      </c>
      <c r="O125" t="str">
        <f t="shared" si="26"/>
        <v/>
      </c>
      <c r="P125">
        <f t="shared" si="27"/>
        <v>0</v>
      </c>
      <c r="R125">
        <f t="shared" si="28"/>
        <v>500</v>
      </c>
      <c r="S125">
        <f t="shared" si="29"/>
        <v>4.3817369205152923E-3</v>
      </c>
      <c r="U125" t="str">
        <f t="shared" si="30"/>
        <v/>
      </c>
      <c r="V125">
        <f t="shared" si="31"/>
        <v>0</v>
      </c>
    </row>
    <row r="126" spans="1:25">
      <c r="A126">
        <v>124</v>
      </c>
      <c r="B126" s="25">
        <v>0</v>
      </c>
      <c r="C126" s="10">
        <v>78112</v>
      </c>
      <c r="D126" s="10" t="str">
        <f>IFERROR(VLOOKUP(C126,[1]引用表合并!$A$2:$B$1000,2,FALSE),"")</f>
        <v>马仔碎片(山下忠秀)</v>
      </c>
      <c r="E126" s="10">
        <v>1</v>
      </c>
      <c r="F126" s="10">
        <v>500</v>
      </c>
      <c r="G126" s="10">
        <v>20</v>
      </c>
      <c r="H126" s="10">
        <v>30</v>
      </c>
      <c r="I126" s="10">
        <v>0</v>
      </c>
      <c r="J126" s="13">
        <v>0</v>
      </c>
      <c r="L126" s="1">
        <f>ROUNDUP(VLOOKUP(C126,[2]!游戏物价查询,7,FALSE),0)*E126</f>
        <v>100</v>
      </c>
      <c r="M126">
        <f>VLOOKUP(C126,[2]!游戏物价查询,4,0)</f>
        <v>980</v>
      </c>
      <c r="O126" t="str">
        <f t="shared" si="26"/>
        <v/>
      </c>
      <c r="P126">
        <f t="shared" si="27"/>
        <v>0</v>
      </c>
      <c r="R126">
        <f t="shared" si="28"/>
        <v>500</v>
      </c>
      <c r="S126">
        <f t="shared" si="29"/>
        <v>4.3817369205152923E-3</v>
      </c>
      <c r="U126" t="str">
        <f t="shared" si="30"/>
        <v/>
      </c>
      <c r="V126">
        <f t="shared" si="31"/>
        <v>0</v>
      </c>
    </row>
    <row r="127" spans="1:25">
      <c r="A127">
        <v>125</v>
      </c>
      <c r="B127" s="25">
        <v>0</v>
      </c>
      <c r="C127" s="10">
        <v>78113</v>
      </c>
      <c r="D127" s="10" t="str">
        <f>IFERROR(VLOOKUP(C127,[1]引用表合并!$A$2:$B$1000,2,FALSE),"")</f>
        <v>马仔碎片(宫本一)</v>
      </c>
      <c r="E127" s="10">
        <v>1</v>
      </c>
      <c r="F127" s="10">
        <v>500</v>
      </c>
      <c r="G127" s="10">
        <v>20</v>
      </c>
      <c r="H127" s="10">
        <v>30</v>
      </c>
      <c r="I127" s="10">
        <v>0</v>
      </c>
      <c r="J127" s="13">
        <v>0</v>
      </c>
      <c r="L127" s="1">
        <f>ROUNDUP(VLOOKUP(C127,[2]!游戏物价查询,7,FALSE),0)*E127</f>
        <v>100</v>
      </c>
      <c r="M127">
        <f>VLOOKUP(C127,[2]!游戏物价查询,4,0)</f>
        <v>980</v>
      </c>
      <c r="O127" t="str">
        <f t="shared" si="26"/>
        <v/>
      </c>
      <c r="P127">
        <f t="shared" si="27"/>
        <v>0</v>
      </c>
      <c r="R127">
        <f t="shared" si="28"/>
        <v>500</v>
      </c>
      <c r="S127">
        <f t="shared" si="29"/>
        <v>4.3817369205152923E-3</v>
      </c>
      <c r="T127" s="16">
        <f>SUM(S124:S127)</f>
        <v>1.7526947682061169E-2</v>
      </c>
      <c r="U127" t="str">
        <f t="shared" si="30"/>
        <v/>
      </c>
      <c r="V127">
        <f t="shared" si="31"/>
        <v>0</v>
      </c>
    </row>
    <row r="128" spans="1:25">
      <c r="A128">
        <v>126</v>
      </c>
      <c r="B128" s="25">
        <v>0</v>
      </c>
      <c r="C128" s="10">
        <v>78114</v>
      </c>
      <c r="D128" s="10" t="str">
        <f>IFERROR(VLOOKUP(C128,[1]引用表合并!$A$2:$B$1000,2,FALSE),"")</f>
        <v>马仔碎片(陈浩南)</v>
      </c>
      <c r="E128" s="10">
        <v>1</v>
      </c>
      <c r="F128" s="10">
        <v>110</v>
      </c>
      <c r="G128" s="10">
        <v>20</v>
      </c>
      <c r="H128" s="10">
        <v>30</v>
      </c>
      <c r="I128" s="10">
        <v>0</v>
      </c>
      <c r="J128" s="13">
        <v>0</v>
      </c>
      <c r="L128" s="1">
        <f>ROUNDUP(VLOOKUP(C128,[2]!游戏物价查询,7,FALSE),0)*E128</f>
        <v>150</v>
      </c>
      <c r="M128">
        <f>VLOOKUP(C128,[2]!游戏物价查询,4,0)</f>
        <v>980</v>
      </c>
      <c r="O128" t="str">
        <f t="shared" si="26"/>
        <v/>
      </c>
      <c r="P128">
        <f t="shared" si="27"/>
        <v>0</v>
      </c>
      <c r="R128">
        <f t="shared" si="28"/>
        <v>110</v>
      </c>
      <c r="S128">
        <f t="shared" si="29"/>
        <v>9.6398212251336431E-4</v>
      </c>
      <c r="U128" t="str">
        <f t="shared" si="30"/>
        <v/>
      </c>
      <c r="V128">
        <f t="shared" si="31"/>
        <v>0</v>
      </c>
    </row>
    <row r="129" spans="1:25">
      <c r="A129">
        <v>127</v>
      </c>
      <c r="B129" s="25">
        <v>0</v>
      </c>
      <c r="C129" s="10">
        <v>78115</v>
      </c>
      <c r="D129" s="10" t="str">
        <f>IFERROR(VLOOKUP(C129,[1]引用表合并!$A$2:$B$1000,2,FALSE),"")</f>
        <v>马仔碎片(山鸡)</v>
      </c>
      <c r="E129" s="10">
        <v>1</v>
      </c>
      <c r="F129" s="10">
        <v>140</v>
      </c>
      <c r="G129" s="10">
        <v>20</v>
      </c>
      <c r="H129" s="10">
        <v>30</v>
      </c>
      <c r="I129" s="10">
        <v>0</v>
      </c>
      <c r="J129" s="13">
        <v>0</v>
      </c>
      <c r="L129" s="1">
        <f>ROUNDUP(VLOOKUP(C129,[2]!游戏物价查询,7,FALSE),0)*E129</f>
        <v>150</v>
      </c>
      <c r="M129">
        <f>VLOOKUP(C129,[2]!游戏物价查询,4,0)</f>
        <v>980</v>
      </c>
      <c r="O129" t="str">
        <f t="shared" si="26"/>
        <v/>
      </c>
      <c r="P129">
        <f t="shared" si="27"/>
        <v>0</v>
      </c>
      <c r="R129">
        <f t="shared" si="28"/>
        <v>140</v>
      </c>
      <c r="S129">
        <f t="shared" si="29"/>
        <v>1.2268863377442819E-3</v>
      </c>
      <c r="U129" t="str">
        <f t="shared" si="30"/>
        <v/>
      </c>
      <c r="V129">
        <f t="shared" si="31"/>
        <v>0</v>
      </c>
    </row>
    <row r="130" spans="1:25">
      <c r="A130">
        <v>128</v>
      </c>
      <c r="B130" s="25">
        <v>0</v>
      </c>
      <c r="C130" s="10">
        <v>78116</v>
      </c>
      <c r="D130" s="10" t="str">
        <f>IFERROR(VLOOKUP(C130,[1]引用表合并!$A$2:$B$1000,2,FALSE),"")</f>
        <v>马仔碎片(大天二)</v>
      </c>
      <c r="E130" s="10">
        <v>1</v>
      </c>
      <c r="F130" s="10">
        <v>170</v>
      </c>
      <c r="G130" s="10">
        <v>20</v>
      </c>
      <c r="H130" s="10">
        <v>30</v>
      </c>
      <c r="I130" s="10">
        <v>0</v>
      </c>
      <c r="J130" s="13">
        <v>0</v>
      </c>
      <c r="L130" s="1">
        <f>ROUNDUP(VLOOKUP(C130,[2]!游戏物价查询,7,FALSE),0)*E130</f>
        <v>150</v>
      </c>
      <c r="M130">
        <f>VLOOKUP(C130,[2]!游戏物价查询,4,0)</f>
        <v>980</v>
      </c>
      <c r="O130" t="str">
        <f t="shared" si="26"/>
        <v/>
      </c>
      <c r="P130">
        <f t="shared" si="27"/>
        <v>0</v>
      </c>
      <c r="R130">
        <f t="shared" si="28"/>
        <v>170</v>
      </c>
      <c r="S130">
        <f t="shared" si="29"/>
        <v>1.4897905529751994E-3</v>
      </c>
      <c r="T130" s="16">
        <f>SUM(S128:S130)</f>
        <v>3.6806590132328456E-3</v>
      </c>
      <c r="U130" t="str">
        <f t="shared" si="30"/>
        <v/>
      </c>
      <c r="V130">
        <f t="shared" si="31"/>
        <v>0</v>
      </c>
    </row>
    <row r="131" spans="1:25">
      <c r="A131">
        <v>129</v>
      </c>
      <c r="B131" s="25">
        <v>0</v>
      </c>
      <c r="C131" s="10">
        <v>78106</v>
      </c>
      <c r="D131" s="10" t="str">
        <f>IFERROR(VLOOKUP(C131,[1]引用表合并!$A$2:$B$1000,2,FALSE),"")</f>
        <v>马仔碎片(靓坤)</v>
      </c>
      <c r="E131" s="10">
        <v>5</v>
      </c>
      <c r="F131" s="10">
        <v>800</v>
      </c>
      <c r="G131" s="10">
        <v>20</v>
      </c>
      <c r="H131" s="10">
        <v>30</v>
      </c>
      <c r="I131" s="10">
        <v>0</v>
      </c>
      <c r="J131" s="13">
        <v>0</v>
      </c>
      <c r="L131" s="1">
        <f>ROUNDUP(VLOOKUP(C131,[2]!游戏物价查询,7,FALSE),0)*E131</f>
        <v>250</v>
      </c>
      <c r="M131">
        <f>VLOOKUP(C131,[2]!游戏物价查询,4,0)</f>
        <v>980</v>
      </c>
      <c r="O131" t="str">
        <f t="shared" ref="O131:O162" si="32">IF(AND($G131&lt;=Q$2,$H131&gt;Q$2),$F131,"")</f>
        <v/>
      </c>
      <c r="P131">
        <f t="shared" ref="P131:P162" si="33">IFERROR(O131/SUM(O:O),0)</f>
        <v>0</v>
      </c>
      <c r="R131">
        <f t="shared" ref="R131:R162" si="34">IF(AND($G131&lt;=T$2,$H131&gt;T$2),$F131,"")</f>
        <v>800</v>
      </c>
      <c r="S131">
        <f t="shared" ref="S131:S162" si="35">IFERROR(R131/SUM(R:R),0)</f>
        <v>7.0107790728244678E-3</v>
      </c>
      <c r="U131" t="str">
        <f t="shared" ref="U131:U162" si="36">IF(AND($G131&lt;=W$2,$H131&gt;W$2),$F131,"")</f>
        <v/>
      </c>
      <c r="V131">
        <f t="shared" ref="V131:V162" si="37">IFERROR(U131/SUM(U:U),0)</f>
        <v>0</v>
      </c>
    </row>
    <row r="132" spans="1:25">
      <c r="A132">
        <v>130</v>
      </c>
      <c r="B132" s="25">
        <v>0</v>
      </c>
      <c r="C132" s="10">
        <v>78107</v>
      </c>
      <c r="D132" s="10" t="str">
        <f>IFERROR(VLOOKUP(C132,[1]引用表合并!$A$2:$B$1000,2,FALSE),"")</f>
        <v>马仔碎片(雷复轰)</v>
      </c>
      <c r="E132" s="10">
        <v>5</v>
      </c>
      <c r="F132" s="10">
        <v>800</v>
      </c>
      <c r="G132" s="10">
        <v>20</v>
      </c>
      <c r="H132" s="10">
        <v>30</v>
      </c>
      <c r="I132" s="10">
        <v>0</v>
      </c>
      <c r="J132" s="13">
        <v>0</v>
      </c>
      <c r="L132" s="1">
        <f>ROUNDUP(VLOOKUP(C132,[2]!游戏物价查询,7,FALSE),0)*E132</f>
        <v>250</v>
      </c>
      <c r="M132">
        <f>VLOOKUP(C132,[2]!游戏物价查询,4,0)</f>
        <v>980</v>
      </c>
      <c r="O132" t="str">
        <f t="shared" si="32"/>
        <v/>
      </c>
      <c r="P132">
        <f t="shared" si="33"/>
        <v>0</v>
      </c>
      <c r="R132">
        <f t="shared" si="34"/>
        <v>800</v>
      </c>
      <c r="S132">
        <f t="shared" si="35"/>
        <v>7.0107790728244678E-3</v>
      </c>
      <c r="U132" t="str">
        <f t="shared" si="36"/>
        <v/>
      </c>
      <c r="V132">
        <f t="shared" si="37"/>
        <v>0</v>
      </c>
    </row>
    <row r="133" spans="1:25">
      <c r="A133">
        <v>131</v>
      </c>
      <c r="B133" s="25">
        <v>0</v>
      </c>
      <c r="C133" s="10">
        <v>78108</v>
      </c>
      <c r="D133" s="10" t="str">
        <f>IFERROR(VLOOKUP(C133,[1]引用表合并!$A$2:$B$1000,2,FALSE),"")</f>
        <v>马仔碎片(肥仔)</v>
      </c>
      <c r="E133" s="10">
        <v>5</v>
      </c>
      <c r="F133" s="10">
        <v>800</v>
      </c>
      <c r="G133" s="10">
        <v>20</v>
      </c>
      <c r="H133" s="10">
        <v>30</v>
      </c>
      <c r="I133" s="10">
        <v>0</v>
      </c>
      <c r="J133" s="13">
        <v>0</v>
      </c>
      <c r="L133" s="1">
        <f>ROUNDUP(VLOOKUP(C133,[2]!游戏物价查询,7,FALSE),0)*E133</f>
        <v>250</v>
      </c>
      <c r="M133">
        <f>VLOOKUP(C133,[2]!游戏物价查询,4,0)</f>
        <v>980</v>
      </c>
      <c r="O133" t="str">
        <f t="shared" si="32"/>
        <v/>
      </c>
      <c r="P133">
        <f t="shared" si="33"/>
        <v>0</v>
      </c>
      <c r="R133">
        <f t="shared" si="34"/>
        <v>800</v>
      </c>
      <c r="S133">
        <f t="shared" si="35"/>
        <v>7.0107790728244678E-3</v>
      </c>
      <c r="U133" t="str">
        <f t="shared" si="36"/>
        <v/>
      </c>
      <c r="V133">
        <f t="shared" si="37"/>
        <v>0</v>
      </c>
    </row>
    <row r="134" spans="1:25">
      <c r="A134">
        <v>132</v>
      </c>
      <c r="B134" s="25">
        <v>0</v>
      </c>
      <c r="C134" s="10">
        <v>78109</v>
      </c>
      <c r="D134" s="10" t="str">
        <f>IFERROR(VLOOKUP(C134,[1]引用表合并!$A$2:$B$1000,2,FALSE),"")</f>
        <v>马仔碎片(司徒浩南)</v>
      </c>
      <c r="E134" s="10">
        <v>5</v>
      </c>
      <c r="F134" s="10">
        <v>600</v>
      </c>
      <c r="G134" s="10">
        <v>20</v>
      </c>
      <c r="H134" s="10">
        <v>30</v>
      </c>
      <c r="I134" s="10">
        <v>0</v>
      </c>
      <c r="J134" s="13">
        <v>0</v>
      </c>
      <c r="L134" s="1">
        <f>ROUNDUP(VLOOKUP(C134,[2]!游戏物价查询,7,FALSE),0)*E134</f>
        <v>500</v>
      </c>
      <c r="M134">
        <f>VLOOKUP(C134,[2]!游戏物价查询,4,0)</f>
        <v>980</v>
      </c>
      <c r="O134" t="str">
        <f t="shared" si="32"/>
        <v/>
      </c>
      <c r="P134">
        <f t="shared" si="33"/>
        <v>0</v>
      </c>
      <c r="R134">
        <f t="shared" si="34"/>
        <v>600</v>
      </c>
      <c r="S134">
        <f t="shared" si="35"/>
        <v>5.2580843046183511E-3</v>
      </c>
      <c r="U134" t="str">
        <f t="shared" si="36"/>
        <v/>
      </c>
      <c r="V134">
        <f t="shared" si="37"/>
        <v>0</v>
      </c>
    </row>
    <row r="135" spans="1:25">
      <c r="A135">
        <v>133</v>
      </c>
      <c r="B135" s="25">
        <v>0</v>
      </c>
      <c r="C135" s="10">
        <v>78110</v>
      </c>
      <c r="D135" s="10" t="str">
        <f>IFERROR(VLOOKUP(C135,[1]引用表合并!$A$2:$B$1000,2,FALSE),"")</f>
        <v>马仔碎片(乌鸦)</v>
      </c>
      <c r="E135" s="10">
        <v>5</v>
      </c>
      <c r="F135" s="10">
        <v>250</v>
      </c>
      <c r="G135" s="10">
        <v>20</v>
      </c>
      <c r="H135" s="10">
        <v>30</v>
      </c>
      <c r="I135" s="10">
        <v>0</v>
      </c>
      <c r="J135" s="13">
        <v>0</v>
      </c>
      <c r="L135" s="1">
        <f>ROUNDUP(VLOOKUP(C135,[2]!游戏物价查询,7,FALSE),0)*E135</f>
        <v>500</v>
      </c>
      <c r="M135">
        <f>VLOOKUP(C135,[2]!游戏物价查询,4,0)</f>
        <v>980</v>
      </c>
      <c r="O135" t="str">
        <f t="shared" si="32"/>
        <v/>
      </c>
      <c r="P135">
        <f t="shared" si="33"/>
        <v>0</v>
      </c>
      <c r="R135">
        <f t="shared" si="34"/>
        <v>250</v>
      </c>
      <c r="S135">
        <f t="shared" si="35"/>
        <v>2.1908684602576461E-3</v>
      </c>
      <c r="U135" t="str">
        <f t="shared" si="36"/>
        <v/>
      </c>
      <c r="V135">
        <f t="shared" si="37"/>
        <v>0</v>
      </c>
    </row>
    <row r="136" spans="1:25">
      <c r="A136">
        <v>134</v>
      </c>
      <c r="B136" s="25">
        <v>0</v>
      </c>
      <c r="C136" s="10">
        <v>78111</v>
      </c>
      <c r="D136" s="10" t="str">
        <f>IFERROR(VLOOKUP(C136,[1]引用表合并!$A$2:$B$1000,2,FALSE),"")</f>
        <v>马仔碎片(赌王)</v>
      </c>
      <c r="E136" s="10">
        <v>5</v>
      </c>
      <c r="F136" s="10">
        <v>250</v>
      </c>
      <c r="G136" s="10">
        <v>20</v>
      </c>
      <c r="H136" s="10">
        <v>30</v>
      </c>
      <c r="I136" s="10">
        <v>0</v>
      </c>
      <c r="J136" s="13">
        <v>0</v>
      </c>
      <c r="L136" s="1">
        <f>ROUNDUP(VLOOKUP(C136,[2]!游戏物价查询,7,FALSE),0)*E136</f>
        <v>500</v>
      </c>
      <c r="M136">
        <f>VLOOKUP(C136,[2]!游戏物价查询,4,0)</f>
        <v>980</v>
      </c>
      <c r="O136" t="str">
        <f t="shared" si="32"/>
        <v/>
      </c>
      <c r="P136">
        <f t="shared" si="33"/>
        <v>0</v>
      </c>
      <c r="R136">
        <f t="shared" si="34"/>
        <v>250</v>
      </c>
      <c r="S136">
        <f t="shared" si="35"/>
        <v>2.1908684602576461E-3</v>
      </c>
      <c r="U136" t="str">
        <f t="shared" si="36"/>
        <v/>
      </c>
      <c r="V136">
        <f t="shared" si="37"/>
        <v>0</v>
      </c>
    </row>
    <row r="137" spans="1:25">
      <c r="A137">
        <v>135</v>
      </c>
      <c r="B137" s="25">
        <v>0</v>
      </c>
      <c r="C137" s="10">
        <v>78112</v>
      </c>
      <c r="D137" s="10" t="str">
        <f>IFERROR(VLOOKUP(C137,[1]引用表合并!$A$2:$B$1000,2,FALSE),"")</f>
        <v>马仔碎片(山下忠秀)</v>
      </c>
      <c r="E137" s="10">
        <v>5</v>
      </c>
      <c r="F137" s="10">
        <v>250</v>
      </c>
      <c r="G137" s="10">
        <v>20</v>
      </c>
      <c r="H137" s="10">
        <v>30</v>
      </c>
      <c r="I137" s="10">
        <v>0</v>
      </c>
      <c r="J137" s="13">
        <v>0</v>
      </c>
      <c r="L137" s="1">
        <f>ROUNDUP(VLOOKUP(C137,[2]!游戏物价查询,7,FALSE),0)*E137</f>
        <v>500</v>
      </c>
      <c r="M137">
        <f>VLOOKUP(C137,[2]!游戏物价查询,4,0)</f>
        <v>980</v>
      </c>
      <c r="O137" t="str">
        <f t="shared" si="32"/>
        <v/>
      </c>
      <c r="P137">
        <f t="shared" si="33"/>
        <v>0</v>
      </c>
      <c r="R137">
        <f t="shared" si="34"/>
        <v>250</v>
      </c>
      <c r="S137">
        <f t="shared" si="35"/>
        <v>2.1908684602576461E-3</v>
      </c>
      <c r="U137" t="str">
        <f t="shared" si="36"/>
        <v/>
      </c>
      <c r="V137">
        <f t="shared" si="37"/>
        <v>0</v>
      </c>
    </row>
    <row r="138" spans="1:25">
      <c r="A138">
        <v>136</v>
      </c>
      <c r="B138" s="25">
        <v>0</v>
      </c>
      <c r="C138" s="10">
        <v>78113</v>
      </c>
      <c r="D138" s="10" t="str">
        <f>IFERROR(VLOOKUP(C138,[1]引用表合并!$A$2:$B$1000,2,FALSE),"")</f>
        <v>马仔碎片(宫本一)</v>
      </c>
      <c r="E138" s="10">
        <v>5</v>
      </c>
      <c r="F138" s="10">
        <v>250</v>
      </c>
      <c r="G138" s="10">
        <v>20</v>
      </c>
      <c r="H138" s="10">
        <v>30</v>
      </c>
      <c r="I138" s="10">
        <v>0</v>
      </c>
      <c r="J138" s="13">
        <v>0</v>
      </c>
      <c r="L138" s="1">
        <f>ROUNDUP(VLOOKUP(C138,[2]!游戏物价查询,7,FALSE),0)*E138</f>
        <v>500</v>
      </c>
      <c r="M138">
        <f>VLOOKUP(C138,[2]!游戏物价查询,4,0)</f>
        <v>980</v>
      </c>
      <c r="O138" t="str">
        <f t="shared" si="32"/>
        <v/>
      </c>
      <c r="P138">
        <f t="shared" si="33"/>
        <v>0</v>
      </c>
      <c r="R138">
        <f t="shared" si="34"/>
        <v>250</v>
      </c>
      <c r="S138">
        <f t="shared" si="35"/>
        <v>2.1908684602576461E-3</v>
      </c>
      <c r="U138" t="str">
        <f t="shared" si="36"/>
        <v/>
      </c>
      <c r="V138">
        <f t="shared" si="37"/>
        <v>0</v>
      </c>
    </row>
    <row r="139" spans="1:25">
      <c r="A139">
        <v>137</v>
      </c>
      <c r="B139" s="25">
        <v>0</v>
      </c>
      <c r="C139" s="10">
        <v>78114</v>
      </c>
      <c r="D139" s="10" t="str">
        <f>IFERROR(VLOOKUP(C139,[1]引用表合并!$A$2:$B$1000,2,FALSE),"")</f>
        <v>马仔碎片(陈浩南)</v>
      </c>
      <c r="E139" s="10">
        <v>5</v>
      </c>
      <c r="F139" s="10">
        <v>55</v>
      </c>
      <c r="G139" s="10">
        <v>20</v>
      </c>
      <c r="H139" s="10">
        <v>30</v>
      </c>
      <c r="I139" s="10">
        <v>0</v>
      </c>
      <c r="J139" s="13">
        <v>0</v>
      </c>
      <c r="L139" s="1">
        <f>ROUNDUP(VLOOKUP(C139,[2]!游戏物价查询,7,FALSE),0)*E139</f>
        <v>750</v>
      </c>
      <c r="M139">
        <f>VLOOKUP(C139,[2]!游戏物价查询,4,0)</f>
        <v>980</v>
      </c>
      <c r="O139" t="str">
        <f t="shared" si="32"/>
        <v/>
      </c>
      <c r="P139">
        <f t="shared" si="33"/>
        <v>0</v>
      </c>
      <c r="R139">
        <f t="shared" si="34"/>
        <v>55</v>
      </c>
      <c r="S139">
        <f t="shared" si="35"/>
        <v>4.8199106125668215E-4</v>
      </c>
      <c r="U139" t="str">
        <f t="shared" si="36"/>
        <v/>
      </c>
      <c r="V139">
        <f t="shared" si="37"/>
        <v>0</v>
      </c>
    </row>
    <row r="140" spans="1:25">
      <c r="A140">
        <v>138</v>
      </c>
      <c r="B140" s="25">
        <v>0</v>
      </c>
      <c r="C140" s="10">
        <v>78115</v>
      </c>
      <c r="D140" s="10" t="str">
        <f>IFERROR(VLOOKUP(C140,[1]引用表合并!$A$2:$B$1000,2,FALSE),"")</f>
        <v>马仔碎片(山鸡)</v>
      </c>
      <c r="E140" s="10">
        <v>5</v>
      </c>
      <c r="F140" s="10">
        <v>70</v>
      </c>
      <c r="G140" s="10">
        <v>20</v>
      </c>
      <c r="H140" s="10">
        <v>30</v>
      </c>
      <c r="I140" s="10">
        <v>0</v>
      </c>
      <c r="J140" s="13">
        <v>0</v>
      </c>
      <c r="L140" s="1">
        <f>ROUNDUP(VLOOKUP(C140,[2]!游戏物价查询,7,FALSE),0)*E140</f>
        <v>750</v>
      </c>
      <c r="M140">
        <f>VLOOKUP(C140,[2]!游戏物价查询,4,0)</f>
        <v>980</v>
      </c>
      <c r="O140" t="str">
        <f t="shared" si="32"/>
        <v/>
      </c>
      <c r="P140">
        <f t="shared" si="33"/>
        <v>0</v>
      </c>
      <c r="R140">
        <f t="shared" si="34"/>
        <v>70</v>
      </c>
      <c r="S140">
        <f t="shared" si="35"/>
        <v>6.1344316887214096E-4</v>
      </c>
      <c r="U140" t="str">
        <f t="shared" si="36"/>
        <v/>
      </c>
      <c r="V140">
        <f t="shared" si="37"/>
        <v>0</v>
      </c>
    </row>
    <row r="141" spans="1:25">
      <c r="A141">
        <v>139</v>
      </c>
      <c r="B141" s="24">
        <v>0</v>
      </c>
      <c r="C141" s="14">
        <v>78116</v>
      </c>
      <c r="D141" s="14" t="str">
        <f>IFERROR(VLOOKUP(C141,[1]引用表合并!$A$2:$B$1000,2,FALSE),"")</f>
        <v>马仔碎片(大天二)</v>
      </c>
      <c r="E141" s="14">
        <v>5</v>
      </c>
      <c r="F141" s="14">
        <v>85</v>
      </c>
      <c r="G141" s="10">
        <v>20</v>
      </c>
      <c r="H141" s="10">
        <v>30</v>
      </c>
      <c r="I141" s="14">
        <v>0</v>
      </c>
      <c r="J141" s="15">
        <v>0</v>
      </c>
      <c r="L141" s="1">
        <f>ROUNDUP(VLOOKUP(C141,[2]!游戏物价查询,7,FALSE),0)*E141</f>
        <v>750</v>
      </c>
      <c r="M141">
        <f>VLOOKUP(C141,[2]!游戏物价查询,4,0)</f>
        <v>980</v>
      </c>
      <c r="O141" t="str">
        <f t="shared" si="32"/>
        <v/>
      </c>
      <c r="P141">
        <f t="shared" si="33"/>
        <v>0</v>
      </c>
      <c r="R141">
        <f t="shared" si="34"/>
        <v>85</v>
      </c>
      <c r="S141">
        <f t="shared" si="35"/>
        <v>7.4489527648759972E-4</v>
      </c>
      <c r="T141" s="8">
        <f>SUM(S120:S141)</f>
        <v>0.1106826746122163</v>
      </c>
      <c r="U141" t="str">
        <f t="shared" si="36"/>
        <v/>
      </c>
      <c r="V141">
        <f t="shared" si="37"/>
        <v>0</v>
      </c>
      <c r="Y141">
        <f>T141*9</f>
        <v>0.99614407150994666</v>
      </c>
    </row>
    <row r="142" spans="1:25">
      <c r="A142">
        <v>140</v>
      </c>
      <c r="B142" s="23">
        <v>0</v>
      </c>
      <c r="C142" s="11">
        <v>78106</v>
      </c>
      <c r="D142" s="11" t="str">
        <f>IFERROR(VLOOKUP(C142,[1]引用表合并!$A$2:$B$1000,2,FALSE),"")</f>
        <v>马仔碎片(靓坤)</v>
      </c>
      <c r="E142" s="11">
        <v>1</v>
      </c>
      <c r="F142" s="11">
        <v>2100</v>
      </c>
      <c r="G142" s="11">
        <v>31</v>
      </c>
      <c r="H142" s="11">
        <v>100</v>
      </c>
      <c r="I142" s="11">
        <v>0</v>
      </c>
      <c r="J142" s="12">
        <v>0</v>
      </c>
      <c r="L142" s="1">
        <f>ROUNDUP(VLOOKUP(C142,[2]!游戏物价查询,7,FALSE),0)*E142</f>
        <v>50</v>
      </c>
      <c r="M142">
        <f>VLOOKUP(C142,[2]!游戏物价查询,4,0)</f>
        <v>980</v>
      </c>
      <c r="O142" t="str">
        <f t="shared" si="32"/>
        <v/>
      </c>
      <c r="P142">
        <f t="shared" si="33"/>
        <v>0</v>
      </c>
      <c r="R142" t="str">
        <f t="shared" si="34"/>
        <v/>
      </c>
      <c r="S142">
        <f t="shared" si="35"/>
        <v>0</v>
      </c>
      <c r="U142">
        <f t="shared" si="36"/>
        <v>2100</v>
      </c>
      <c r="V142">
        <f t="shared" si="37"/>
        <v>1.2651745639666236E-2</v>
      </c>
    </row>
    <row r="143" spans="1:25">
      <c r="A143">
        <v>141</v>
      </c>
      <c r="B143" s="25">
        <v>0</v>
      </c>
      <c r="C143" s="10">
        <v>78107</v>
      </c>
      <c r="D143" s="10" t="str">
        <f>IFERROR(VLOOKUP(C143,[1]引用表合并!$A$2:$B$1000,2,FALSE),"")</f>
        <v>马仔碎片(雷复轰)</v>
      </c>
      <c r="E143" s="10">
        <v>1</v>
      </c>
      <c r="F143" s="10">
        <v>2100</v>
      </c>
      <c r="G143" s="10">
        <v>31</v>
      </c>
      <c r="H143" s="10">
        <v>100</v>
      </c>
      <c r="I143" s="10">
        <v>0</v>
      </c>
      <c r="J143" s="13">
        <v>0</v>
      </c>
      <c r="L143" s="1">
        <f>ROUNDUP(VLOOKUP(C143,[2]!游戏物价查询,7,FALSE),0)*E143</f>
        <v>50</v>
      </c>
      <c r="M143">
        <f>VLOOKUP(C143,[2]!游戏物价查询,4,0)</f>
        <v>980</v>
      </c>
      <c r="O143" t="str">
        <f t="shared" si="32"/>
        <v/>
      </c>
      <c r="P143">
        <f t="shared" si="33"/>
        <v>0</v>
      </c>
      <c r="R143" t="str">
        <f t="shared" si="34"/>
        <v/>
      </c>
      <c r="S143">
        <f t="shared" si="35"/>
        <v>0</v>
      </c>
      <c r="U143">
        <f t="shared" si="36"/>
        <v>2100</v>
      </c>
      <c r="V143">
        <f t="shared" si="37"/>
        <v>1.2651745639666236E-2</v>
      </c>
    </row>
    <row r="144" spans="1:25">
      <c r="A144">
        <v>142</v>
      </c>
      <c r="B144" s="25">
        <v>0</v>
      </c>
      <c r="C144" s="10">
        <v>78108</v>
      </c>
      <c r="D144" s="10" t="str">
        <f>IFERROR(VLOOKUP(C144,[1]引用表合并!$A$2:$B$1000,2,FALSE),"")</f>
        <v>马仔碎片(肥仔)</v>
      </c>
      <c r="E144" s="10">
        <v>1</v>
      </c>
      <c r="F144" s="10">
        <v>2100</v>
      </c>
      <c r="G144" s="10">
        <v>31</v>
      </c>
      <c r="H144" s="10">
        <v>100</v>
      </c>
      <c r="I144" s="10">
        <v>0</v>
      </c>
      <c r="J144" s="13">
        <v>0</v>
      </c>
      <c r="L144" s="1">
        <f>ROUNDUP(VLOOKUP(C144,[2]!游戏物价查询,7,FALSE),0)*E144</f>
        <v>50</v>
      </c>
      <c r="M144">
        <f>VLOOKUP(C144,[2]!游戏物价查询,4,0)</f>
        <v>980</v>
      </c>
      <c r="O144" t="str">
        <f t="shared" si="32"/>
        <v/>
      </c>
      <c r="P144">
        <f t="shared" si="33"/>
        <v>0</v>
      </c>
      <c r="R144" t="str">
        <f t="shared" si="34"/>
        <v/>
      </c>
      <c r="S144">
        <f t="shared" si="35"/>
        <v>0</v>
      </c>
      <c r="U144">
        <f t="shared" si="36"/>
        <v>2100</v>
      </c>
      <c r="V144">
        <f t="shared" si="37"/>
        <v>1.2651745639666236E-2</v>
      </c>
    </row>
    <row r="145" spans="1:27">
      <c r="A145">
        <v>143</v>
      </c>
      <c r="B145" s="25">
        <v>0</v>
      </c>
      <c r="C145" s="10">
        <v>78109</v>
      </c>
      <c r="D145" s="10" t="str">
        <f>IFERROR(VLOOKUP(C145,[1]引用表合并!$A$2:$B$1000,2,FALSE),"")</f>
        <v>马仔碎片(司徒浩南)</v>
      </c>
      <c r="E145" s="10">
        <v>1</v>
      </c>
      <c r="F145" s="10">
        <v>1600</v>
      </c>
      <c r="G145" s="10">
        <v>31</v>
      </c>
      <c r="H145" s="10">
        <v>100</v>
      </c>
      <c r="I145" s="10">
        <v>0</v>
      </c>
      <c r="J145" s="13">
        <v>0</v>
      </c>
      <c r="L145" s="1">
        <f>ROUNDUP(VLOOKUP(C145,[2]!游戏物价查询,7,FALSE),0)*E145</f>
        <v>100</v>
      </c>
      <c r="M145">
        <f>VLOOKUP(C145,[2]!游戏物价查询,4,0)</f>
        <v>980</v>
      </c>
      <c r="O145" t="str">
        <f t="shared" si="32"/>
        <v/>
      </c>
      <c r="P145">
        <f t="shared" si="33"/>
        <v>0</v>
      </c>
      <c r="R145" t="str">
        <f t="shared" si="34"/>
        <v/>
      </c>
      <c r="S145">
        <f t="shared" si="35"/>
        <v>0</v>
      </c>
      <c r="U145">
        <f t="shared" si="36"/>
        <v>1600</v>
      </c>
      <c r="V145">
        <f t="shared" si="37"/>
        <v>9.6394252492695131E-3</v>
      </c>
      <c r="W145">
        <f>SUM(V142:V145)</f>
        <v>4.7594662168268222E-2</v>
      </c>
      <c r="Y145">
        <f>W145/W149</f>
        <v>3.291666666666667</v>
      </c>
      <c r="Z145">
        <f>SUMPRODUCT(V142:V145,E142:E145)+SUMPRODUCT(V153:V156,E153:E156)</f>
        <v>0.22607464529927404</v>
      </c>
      <c r="AA145">
        <f>[2]马仔的投放!$AH$38</f>
        <v>0.33162288327097511</v>
      </c>
    </row>
    <row r="146" spans="1:27">
      <c r="A146">
        <v>144</v>
      </c>
      <c r="B146" s="25">
        <v>0</v>
      </c>
      <c r="C146" s="10">
        <v>78110</v>
      </c>
      <c r="D146" s="10" t="str">
        <f>IFERROR(VLOOKUP(C146,[1]引用表合并!$A$2:$B$1000,2,FALSE),"")</f>
        <v>马仔碎片(乌鸦)</v>
      </c>
      <c r="E146" s="10">
        <v>1</v>
      </c>
      <c r="F146" s="10">
        <v>600</v>
      </c>
      <c r="G146" s="10">
        <v>31</v>
      </c>
      <c r="H146" s="10">
        <v>100</v>
      </c>
      <c r="I146" s="10">
        <v>0</v>
      </c>
      <c r="J146" s="13">
        <v>0</v>
      </c>
      <c r="L146" s="1">
        <f>ROUNDUP(VLOOKUP(C146,[2]!游戏物价查询,7,FALSE),0)*E146</f>
        <v>100</v>
      </c>
      <c r="M146">
        <f>VLOOKUP(C146,[2]!游戏物价查询,4,0)</f>
        <v>980</v>
      </c>
      <c r="O146" t="str">
        <f t="shared" si="32"/>
        <v/>
      </c>
      <c r="P146">
        <f t="shared" si="33"/>
        <v>0</v>
      </c>
      <c r="R146" t="str">
        <f t="shared" si="34"/>
        <v/>
      </c>
      <c r="S146">
        <f t="shared" si="35"/>
        <v>0</v>
      </c>
      <c r="U146">
        <f t="shared" si="36"/>
        <v>600</v>
      </c>
      <c r="V146">
        <f t="shared" si="37"/>
        <v>3.6147844684760672E-3</v>
      </c>
    </row>
    <row r="147" spans="1:27">
      <c r="A147">
        <v>145</v>
      </c>
      <c r="B147" s="25">
        <v>0</v>
      </c>
      <c r="C147" s="10">
        <v>78111</v>
      </c>
      <c r="D147" s="10" t="str">
        <f>IFERROR(VLOOKUP(C147,[1]引用表合并!$A$2:$B$1000,2,FALSE),"")</f>
        <v>马仔碎片(赌王)</v>
      </c>
      <c r="E147" s="10">
        <v>1</v>
      </c>
      <c r="F147" s="10">
        <v>600</v>
      </c>
      <c r="G147" s="10">
        <v>31</v>
      </c>
      <c r="H147" s="10">
        <v>100</v>
      </c>
      <c r="I147" s="10">
        <v>0</v>
      </c>
      <c r="J147" s="13">
        <v>0</v>
      </c>
      <c r="L147" s="1">
        <f>ROUNDUP(VLOOKUP(C147,[2]!游戏物价查询,7,FALSE),0)*E147</f>
        <v>100</v>
      </c>
      <c r="M147">
        <f>VLOOKUP(C147,[2]!游戏物价查询,4,0)</f>
        <v>980</v>
      </c>
      <c r="O147" t="str">
        <f t="shared" si="32"/>
        <v/>
      </c>
      <c r="P147">
        <f t="shared" si="33"/>
        <v>0</v>
      </c>
      <c r="R147" t="str">
        <f t="shared" si="34"/>
        <v/>
      </c>
      <c r="S147">
        <f t="shared" si="35"/>
        <v>0</v>
      </c>
      <c r="U147">
        <f t="shared" si="36"/>
        <v>600</v>
      </c>
      <c r="V147">
        <f t="shared" si="37"/>
        <v>3.6147844684760672E-3</v>
      </c>
    </row>
    <row r="148" spans="1:27">
      <c r="A148">
        <v>146</v>
      </c>
      <c r="B148" s="25">
        <v>0</v>
      </c>
      <c r="C148" s="10">
        <v>78112</v>
      </c>
      <c r="D148" s="10" t="str">
        <f>IFERROR(VLOOKUP(C148,[1]引用表合并!$A$2:$B$1000,2,FALSE),"")</f>
        <v>马仔碎片(山下忠秀)</v>
      </c>
      <c r="E148" s="10">
        <v>1</v>
      </c>
      <c r="F148" s="10">
        <v>600</v>
      </c>
      <c r="G148" s="10">
        <v>31</v>
      </c>
      <c r="H148" s="10">
        <v>100</v>
      </c>
      <c r="I148" s="10">
        <v>0</v>
      </c>
      <c r="J148" s="13">
        <v>0</v>
      </c>
      <c r="L148" s="1">
        <f>ROUNDUP(VLOOKUP(C148,[2]!游戏物价查询,7,FALSE),0)*E148</f>
        <v>100</v>
      </c>
      <c r="M148">
        <f>VLOOKUP(C148,[2]!游戏物价查询,4,0)</f>
        <v>980</v>
      </c>
      <c r="O148" t="str">
        <f t="shared" si="32"/>
        <v/>
      </c>
      <c r="P148">
        <f t="shared" si="33"/>
        <v>0</v>
      </c>
      <c r="R148" t="str">
        <f t="shared" si="34"/>
        <v/>
      </c>
      <c r="S148">
        <f t="shared" si="35"/>
        <v>0</v>
      </c>
      <c r="U148">
        <f t="shared" si="36"/>
        <v>600</v>
      </c>
      <c r="V148">
        <f t="shared" si="37"/>
        <v>3.6147844684760672E-3</v>
      </c>
    </row>
    <row r="149" spans="1:27">
      <c r="A149">
        <v>147</v>
      </c>
      <c r="B149" s="25">
        <v>0</v>
      </c>
      <c r="C149" s="10">
        <v>78113</v>
      </c>
      <c r="D149" s="10" t="str">
        <f>IFERROR(VLOOKUP(C149,[1]引用表合并!$A$2:$B$1000,2,FALSE),"")</f>
        <v>马仔碎片(宫本一)</v>
      </c>
      <c r="E149" s="10">
        <v>1</v>
      </c>
      <c r="F149" s="10">
        <v>600</v>
      </c>
      <c r="G149" s="10">
        <v>31</v>
      </c>
      <c r="H149" s="10">
        <v>100</v>
      </c>
      <c r="I149" s="10">
        <v>0</v>
      </c>
      <c r="J149" s="13">
        <v>0</v>
      </c>
      <c r="L149" s="1">
        <f>ROUNDUP(VLOOKUP(C149,[2]!游戏物价查询,7,FALSE),0)*E149</f>
        <v>100</v>
      </c>
      <c r="M149">
        <f>VLOOKUP(C149,[2]!游戏物价查询,4,0)</f>
        <v>980</v>
      </c>
      <c r="O149" t="str">
        <f t="shared" si="32"/>
        <v/>
      </c>
      <c r="P149">
        <f t="shared" si="33"/>
        <v>0</v>
      </c>
      <c r="R149" t="str">
        <f t="shared" si="34"/>
        <v/>
      </c>
      <c r="S149">
        <f t="shared" si="35"/>
        <v>0</v>
      </c>
      <c r="U149">
        <f t="shared" si="36"/>
        <v>600</v>
      </c>
      <c r="V149">
        <f t="shared" si="37"/>
        <v>3.6147844684760672E-3</v>
      </c>
      <c r="W149" s="16">
        <f>SUM(V146:V149)</f>
        <v>1.4459137873904269E-2</v>
      </c>
      <c r="Z149">
        <f>SUMPRODUCT(V146:V149,E146:E149)+SUMPRODUCT(V157:V160,E157:E160)</f>
        <v>5.0606982558664942E-2</v>
      </c>
      <c r="AA149">
        <f>[2]马仔的投放!$AH$39</f>
        <v>0.16343944387686024</v>
      </c>
    </row>
    <row r="150" spans="1:27">
      <c r="A150">
        <v>148</v>
      </c>
      <c r="B150" s="25">
        <v>0</v>
      </c>
      <c r="C150" s="10">
        <v>78114</v>
      </c>
      <c r="D150" s="10" t="str">
        <f>IFERROR(VLOOKUP(C150,[1]引用表合并!$A$2:$B$1000,2,FALSE),"")</f>
        <v>马仔碎片(陈浩南)</v>
      </c>
      <c r="E150" s="10">
        <v>1</v>
      </c>
      <c r="F150" s="10">
        <v>260</v>
      </c>
      <c r="G150" s="10">
        <v>31</v>
      </c>
      <c r="H150" s="10">
        <v>100</v>
      </c>
      <c r="I150" s="10">
        <v>0</v>
      </c>
      <c r="J150" s="13">
        <v>0</v>
      </c>
      <c r="L150" s="1">
        <f>ROUNDUP(VLOOKUP(C150,[2]!游戏物价查询,7,FALSE),0)*E150</f>
        <v>150</v>
      </c>
      <c r="M150">
        <f>VLOOKUP(C150,[2]!游戏物价查询,4,0)</f>
        <v>980</v>
      </c>
      <c r="O150" t="str">
        <f t="shared" si="32"/>
        <v/>
      </c>
      <c r="P150">
        <f t="shared" si="33"/>
        <v>0</v>
      </c>
      <c r="R150" t="str">
        <f t="shared" si="34"/>
        <v/>
      </c>
      <c r="S150">
        <f t="shared" si="35"/>
        <v>0</v>
      </c>
      <c r="U150">
        <f t="shared" si="36"/>
        <v>260</v>
      </c>
      <c r="V150">
        <f t="shared" si="37"/>
        <v>1.5664066030062957E-3</v>
      </c>
    </row>
    <row r="151" spans="1:27">
      <c r="A151">
        <v>149</v>
      </c>
      <c r="B151" s="25">
        <v>0</v>
      </c>
      <c r="C151" s="10">
        <v>78115</v>
      </c>
      <c r="D151" s="10" t="str">
        <f>IFERROR(VLOOKUP(C151,[1]引用表合并!$A$2:$B$1000,2,FALSE),"")</f>
        <v>马仔碎片(山鸡)</v>
      </c>
      <c r="E151" s="10">
        <v>1</v>
      </c>
      <c r="F151" s="10">
        <v>300</v>
      </c>
      <c r="G151" s="10">
        <v>31</v>
      </c>
      <c r="H151" s="10">
        <v>100</v>
      </c>
      <c r="I151" s="10">
        <v>0</v>
      </c>
      <c r="J151" s="13">
        <v>0</v>
      </c>
      <c r="L151" s="1">
        <f>ROUNDUP(VLOOKUP(C151,[2]!游戏物价查询,7,FALSE),0)*E151</f>
        <v>150</v>
      </c>
      <c r="M151">
        <f>VLOOKUP(C151,[2]!游戏物价查询,4,0)</f>
        <v>980</v>
      </c>
      <c r="O151" t="str">
        <f t="shared" si="32"/>
        <v/>
      </c>
      <c r="P151">
        <f t="shared" si="33"/>
        <v>0</v>
      </c>
      <c r="R151" t="str">
        <f t="shared" si="34"/>
        <v/>
      </c>
      <c r="S151">
        <f t="shared" si="35"/>
        <v>0</v>
      </c>
      <c r="U151">
        <f t="shared" si="36"/>
        <v>300</v>
      </c>
      <c r="V151">
        <f t="shared" si="37"/>
        <v>1.8073922342380336E-3</v>
      </c>
    </row>
    <row r="152" spans="1:27">
      <c r="A152">
        <v>150</v>
      </c>
      <c r="B152" s="25">
        <v>0</v>
      </c>
      <c r="C152" s="10">
        <v>78116</v>
      </c>
      <c r="D152" s="10" t="str">
        <f>IFERROR(VLOOKUP(C152,[1]引用表合并!$A$2:$B$1000,2,FALSE),"")</f>
        <v>马仔碎片(大天二)</v>
      </c>
      <c r="E152" s="10">
        <v>1</v>
      </c>
      <c r="F152" s="10">
        <v>340</v>
      </c>
      <c r="G152" s="10">
        <v>31</v>
      </c>
      <c r="H152" s="10">
        <v>100</v>
      </c>
      <c r="I152" s="10">
        <v>0</v>
      </c>
      <c r="J152" s="13">
        <v>0</v>
      </c>
      <c r="L152" s="1">
        <f>ROUNDUP(VLOOKUP(C152,[2]!游戏物价查询,7,FALSE),0)*E152</f>
        <v>150</v>
      </c>
      <c r="M152">
        <f>VLOOKUP(C152,[2]!游戏物价查询,4,0)</f>
        <v>980</v>
      </c>
      <c r="O152" t="str">
        <f t="shared" si="32"/>
        <v/>
      </c>
      <c r="P152">
        <f t="shared" si="33"/>
        <v>0</v>
      </c>
      <c r="R152" t="str">
        <f t="shared" si="34"/>
        <v/>
      </c>
      <c r="S152">
        <f t="shared" si="35"/>
        <v>0</v>
      </c>
      <c r="U152">
        <f t="shared" si="36"/>
        <v>340</v>
      </c>
      <c r="V152">
        <f t="shared" si="37"/>
        <v>2.0483778654697715E-3</v>
      </c>
      <c r="W152" s="16">
        <f>SUM(V150:V152)</f>
        <v>5.4221767027141012E-3</v>
      </c>
      <c r="Z152">
        <f>SUMPRODUCT(V150:V152,E150:E152)+SUMPRODUCT(V161:V163,E161:E163)</f>
        <v>1.6266530108142302E-2</v>
      </c>
      <c r="AA152">
        <f>[2]马仔的投放!$AH$40</f>
        <v>4.4898386630033496E-2</v>
      </c>
    </row>
    <row r="153" spans="1:27">
      <c r="A153">
        <v>151</v>
      </c>
      <c r="B153" s="25">
        <v>0</v>
      </c>
      <c r="C153" s="10">
        <v>78106</v>
      </c>
      <c r="D153" s="10" t="str">
        <f>IFERROR(VLOOKUP(C153,[1]引用表合并!$A$2:$B$1000,2,FALSE),"")</f>
        <v>马仔碎片(靓坤)</v>
      </c>
      <c r="E153" s="10">
        <v>5</v>
      </c>
      <c r="F153" s="10">
        <f>F142*0.75</f>
        <v>1575</v>
      </c>
      <c r="G153" s="10">
        <v>31</v>
      </c>
      <c r="H153" s="10">
        <v>100</v>
      </c>
      <c r="I153" s="10">
        <v>0</v>
      </c>
      <c r="J153" s="13">
        <v>0</v>
      </c>
      <c r="L153" s="1">
        <f>ROUNDUP(VLOOKUP(C153,[2]!游戏物价查询,7,FALSE),0)*E153</f>
        <v>250</v>
      </c>
      <c r="M153">
        <f>VLOOKUP(C153,[2]!游戏物价查询,4,0)</f>
        <v>980</v>
      </c>
      <c r="O153" t="str">
        <f t="shared" si="32"/>
        <v/>
      </c>
      <c r="P153">
        <f t="shared" si="33"/>
        <v>0</v>
      </c>
      <c r="R153" t="str">
        <f t="shared" si="34"/>
        <v/>
      </c>
      <c r="S153">
        <f t="shared" si="35"/>
        <v>0</v>
      </c>
      <c r="U153">
        <f t="shared" si="36"/>
        <v>1575</v>
      </c>
      <c r="V153">
        <f t="shared" si="37"/>
        <v>9.4888092297496767E-3</v>
      </c>
    </row>
    <row r="154" spans="1:27">
      <c r="A154">
        <v>152</v>
      </c>
      <c r="B154" s="25">
        <v>0</v>
      </c>
      <c r="C154" s="10">
        <v>78107</v>
      </c>
      <c r="D154" s="10" t="str">
        <f>IFERROR(VLOOKUP(C154,[1]引用表合并!$A$2:$B$1000,2,FALSE),"")</f>
        <v>马仔碎片(雷复轰)</v>
      </c>
      <c r="E154" s="10">
        <v>5</v>
      </c>
      <c r="F154" s="10">
        <f t="shared" ref="F154:F156" si="38">F143*0.75</f>
        <v>1575</v>
      </c>
      <c r="G154" s="10">
        <v>31</v>
      </c>
      <c r="H154" s="10">
        <v>100</v>
      </c>
      <c r="I154" s="10">
        <v>0</v>
      </c>
      <c r="J154" s="13">
        <v>0</v>
      </c>
      <c r="L154" s="1">
        <f>ROUNDUP(VLOOKUP(C154,[2]!游戏物价查询,7,FALSE),0)*E154</f>
        <v>250</v>
      </c>
      <c r="M154">
        <f>VLOOKUP(C154,[2]!游戏物价查询,4,0)</f>
        <v>980</v>
      </c>
      <c r="O154" t="str">
        <f t="shared" si="32"/>
        <v/>
      </c>
      <c r="P154">
        <f t="shared" si="33"/>
        <v>0</v>
      </c>
      <c r="R154" t="str">
        <f t="shared" si="34"/>
        <v/>
      </c>
      <c r="S154">
        <f t="shared" si="35"/>
        <v>0</v>
      </c>
      <c r="U154">
        <f t="shared" si="36"/>
        <v>1575</v>
      </c>
      <c r="V154">
        <f t="shared" si="37"/>
        <v>9.4888092297496767E-3</v>
      </c>
    </row>
    <row r="155" spans="1:27">
      <c r="A155">
        <v>153</v>
      </c>
      <c r="B155" s="25">
        <v>0</v>
      </c>
      <c r="C155" s="10">
        <v>78108</v>
      </c>
      <c r="D155" s="10" t="str">
        <f>IFERROR(VLOOKUP(C155,[1]引用表合并!$A$2:$B$1000,2,FALSE),"")</f>
        <v>马仔碎片(肥仔)</v>
      </c>
      <c r="E155" s="10">
        <v>5</v>
      </c>
      <c r="F155" s="10">
        <f t="shared" si="38"/>
        <v>1575</v>
      </c>
      <c r="G155" s="10">
        <v>31</v>
      </c>
      <c r="H155" s="10">
        <v>100</v>
      </c>
      <c r="I155" s="10">
        <v>0</v>
      </c>
      <c r="J155" s="13">
        <v>0</v>
      </c>
      <c r="L155" s="1">
        <f>ROUNDUP(VLOOKUP(C155,[2]!游戏物价查询,7,FALSE),0)*E155</f>
        <v>250</v>
      </c>
      <c r="M155">
        <f>VLOOKUP(C155,[2]!游戏物价查询,4,0)</f>
        <v>980</v>
      </c>
      <c r="O155" t="str">
        <f t="shared" si="32"/>
        <v/>
      </c>
      <c r="P155">
        <f t="shared" si="33"/>
        <v>0</v>
      </c>
      <c r="R155" t="str">
        <f t="shared" si="34"/>
        <v/>
      </c>
      <c r="S155">
        <f t="shared" si="35"/>
        <v>0</v>
      </c>
      <c r="U155">
        <f t="shared" si="36"/>
        <v>1575</v>
      </c>
      <c r="V155">
        <f t="shared" si="37"/>
        <v>9.4888092297496767E-3</v>
      </c>
    </row>
    <row r="156" spans="1:27">
      <c r="A156">
        <v>154</v>
      </c>
      <c r="B156" s="25">
        <v>0</v>
      </c>
      <c r="C156" s="10">
        <v>78109</v>
      </c>
      <c r="D156" s="10" t="str">
        <f>IFERROR(VLOOKUP(C156,[1]引用表合并!$A$2:$B$1000,2,FALSE),"")</f>
        <v>马仔碎片(司徒浩南)</v>
      </c>
      <c r="E156" s="10">
        <v>5</v>
      </c>
      <c r="F156" s="10">
        <f t="shared" si="38"/>
        <v>1200</v>
      </c>
      <c r="G156" s="10">
        <v>31</v>
      </c>
      <c r="H156" s="10">
        <v>100</v>
      </c>
      <c r="I156" s="10">
        <v>0</v>
      </c>
      <c r="J156" s="13">
        <v>0</v>
      </c>
      <c r="L156" s="1">
        <f>ROUNDUP(VLOOKUP(C156,[2]!游戏物价查询,7,FALSE),0)*E156</f>
        <v>500</v>
      </c>
      <c r="M156">
        <f>VLOOKUP(C156,[2]!游戏物价查询,4,0)</f>
        <v>980</v>
      </c>
      <c r="O156" t="str">
        <f t="shared" si="32"/>
        <v/>
      </c>
      <c r="P156">
        <f t="shared" si="33"/>
        <v>0</v>
      </c>
      <c r="R156" t="str">
        <f t="shared" si="34"/>
        <v/>
      </c>
      <c r="S156">
        <f t="shared" si="35"/>
        <v>0</v>
      </c>
      <c r="U156">
        <f t="shared" si="36"/>
        <v>1200</v>
      </c>
      <c r="V156">
        <f t="shared" si="37"/>
        <v>7.2295689369521344E-3</v>
      </c>
    </row>
    <row r="157" spans="1:27">
      <c r="A157">
        <v>155</v>
      </c>
      <c r="B157" s="25">
        <v>0</v>
      </c>
      <c r="C157" s="10">
        <v>78110</v>
      </c>
      <c r="D157" s="10" t="str">
        <f>IFERROR(VLOOKUP(C157,[1]引用表合并!$A$2:$B$1000,2,FALSE),"")</f>
        <v>马仔碎片(乌鸦)</v>
      </c>
      <c r="E157" s="10">
        <v>5</v>
      </c>
      <c r="F157" s="10">
        <v>300</v>
      </c>
      <c r="G157" s="10">
        <v>31</v>
      </c>
      <c r="H157" s="10">
        <v>100</v>
      </c>
      <c r="I157" s="10">
        <v>0</v>
      </c>
      <c r="J157" s="13">
        <v>0</v>
      </c>
      <c r="L157" s="1">
        <f>ROUNDUP(VLOOKUP(C157,[2]!游戏物价查询,7,FALSE),0)*E157</f>
        <v>500</v>
      </c>
      <c r="M157">
        <f>VLOOKUP(C157,[2]!游戏物价查询,4,0)</f>
        <v>980</v>
      </c>
      <c r="O157" t="str">
        <f t="shared" si="32"/>
        <v/>
      </c>
      <c r="P157">
        <f t="shared" si="33"/>
        <v>0</v>
      </c>
      <c r="R157" t="str">
        <f t="shared" si="34"/>
        <v/>
      </c>
      <c r="S157">
        <f t="shared" si="35"/>
        <v>0</v>
      </c>
      <c r="U157">
        <f t="shared" si="36"/>
        <v>300</v>
      </c>
      <c r="V157">
        <f t="shared" si="37"/>
        <v>1.8073922342380336E-3</v>
      </c>
    </row>
    <row r="158" spans="1:27">
      <c r="A158">
        <v>156</v>
      </c>
      <c r="B158" s="25">
        <v>0</v>
      </c>
      <c r="C158" s="10">
        <v>78111</v>
      </c>
      <c r="D158" s="10" t="str">
        <f>IFERROR(VLOOKUP(C158,[1]引用表合并!$A$2:$B$1000,2,FALSE),"")</f>
        <v>马仔碎片(赌王)</v>
      </c>
      <c r="E158" s="10">
        <v>5</v>
      </c>
      <c r="F158" s="10">
        <v>300</v>
      </c>
      <c r="G158" s="10">
        <v>31</v>
      </c>
      <c r="H158" s="10">
        <v>100</v>
      </c>
      <c r="I158" s="10">
        <v>0</v>
      </c>
      <c r="J158" s="13">
        <v>0</v>
      </c>
      <c r="L158" s="1">
        <f>ROUNDUP(VLOOKUP(C158,[2]!游戏物价查询,7,FALSE),0)*E158</f>
        <v>500</v>
      </c>
      <c r="M158">
        <f>VLOOKUP(C158,[2]!游戏物价查询,4,0)</f>
        <v>980</v>
      </c>
      <c r="O158" t="str">
        <f t="shared" si="32"/>
        <v/>
      </c>
      <c r="P158">
        <f t="shared" si="33"/>
        <v>0</v>
      </c>
      <c r="R158" t="str">
        <f t="shared" si="34"/>
        <v/>
      </c>
      <c r="S158">
        <f t="shared" si="35"/>
        <v>0</v>
      </c>
      <c r="U158">
        <f t="shared" si="36"/>
        <v>300</v>
      </c>
      <c r="V158">
        <f t="shared" si="37"/>
        <v>1.8073922342380336E-3</v>
      </c>
    </row>
    <row r="159" spans="1:27">
      <c r="A159">
        <v>157</v>
      </c>
      <c r="B159" s="25">
        <v>0</v>
      </c>
      <c r="C159" s="10">
        <v>78112</v>
      </c>
      <c r="D159" s="10" t="str">
        <f>IFERROR(VLOOKUP(C159,[1]引用表合并!$A$2:$B$1000,2,FALSE),"")</f>
        <v>马仔碎片(山下忠秀)</v>
      </c>
      <c r="E159" s="10">
        <v>5</v>
      </c>
      <c r="F159" s="10">
        <v>300</v>
      </c>
      <c r="G159" s="10">
        <v>31</v>
      </c>
      <c r="H159" s="10">
        <v>100</v>
      </c>
      <c r="I159" s="10">
        <v>0</v>
      </c>
      <c r="J159" s="13">
        <v>0</v>
      </c>
      <c r="L159" s="1">
        <f>ROUNDUP(VLOOKUP(C159,[2]!游戏物价查询,7,FALSE),0)*E159</f>
        <v>500</v>
      </c>
      <c r="M159">
        <f>VLOOKUP(C159,[2]!游戏物价查询,4,0)</f>
        <v>980</v>
      </c>
      <c r="O159" t="str">
        <f t="shared" si="32"/>
        <v/>
      </c>
      <c r="P159">
        <f t="shared" si="33"/>
        <v>0</v>
      </c>
      <c r="R159" t="str">
        <f t="shared" si="34"/>
        <v/>
      </c>
      <c r="S159">
        <f t="shared" si="35"/>
        <v>0</v>
      </c>
      <c r="U159">
        <f t="shared" si="36"/>
        <v>300</v>
      </c>
      <c r="V159">
        <f t="shared" si="37"/>
        <v>1.8073922342380336E-3</v>
      </c>
    </row>
    <row r="160" spans="1:27">
      <c r="A160">
        <v>158</v>
      </c>
      <c r="B160" s="25">
        <v>0</v>
      </c>
      <c r="C160" s="10">
        <v>78113</v>
      </c>
      <c r="D160" s="10" t="str">
        <f>IFERROR(VLOOKUP(C160,[1]引用表合并!$A$2:$B$1000,2,FALSE),"")</f>
        <v>马仔碎片(宫本一)</v>
      </c>
      <c r="E160" s="10">
        <v>5</v>
      </c>
      <c r="F160" s="10">
        <v>300</v>
      </c>
      <c r="G160" s="10">
        <v>31</v>
      </c>
      <c r="H160" s="10">
        <v>100</v>
      </c>
      <c r="I160" s="10">
        <v>0</v>
      </c>
      <c r="J160" s="13">
        <v>0</v>
      </c>
      <c r="L160" s="1">
        <f>ROUNDUP(VLOOKUP(C160,[2]!游戏物价查询,7,FALSE),0)*E160</f>
        <v>500</v>
      </c>
      <c r="M160">
        <f>VLOOKUP(C160,[2]!游戏物价查询,4,0)</f>
        <v>980</v>
      </c>
      <c r="O160" t="str">
        <f t="shared" si="32"/>
        <v/>
      </c>
      <c r="P160">
        <f t="shared" si="33"/>
        <v>0</v>
      </c>
      <c r="Q160">
        <f>SUM(P98:P160)</f>
        <v>0.10119767058564995</v>
      </c>
      <c r="R160" t="str">
        <f t="shared" si="34"/>
        <v/>
      </c>
      <c r="S160">
        <f t="shared" si="35"/>
        <v>0</v>
      </c>
      <c r="T160">
        <f>SUM(S98:S160)</f>
        <v>0.1106826746122163</v>
      </c>
      <c r="U160">
        <f t="shared" si="36"/>
        <v>300</v>
      </c>
      <c r="V160">
        <f t="shared" si="37"/>
        <v>1.8073922342380336E-3</v>
      </c>
    </row>
    <row r="161" spans="1:25">
      <c r="A161">
        <v>159</v>
      </c>
      <c r="B161" s="25">
        <v>0</v>
      </c>
      <c r="C161" s="10">
        <v>78114</v>
      </c>
      <c r="D161" s="10" t="str">
        <f>IFERROR(VLOOKUP(C161,[1]引用表合并!$A$2:$B$1000,2,FALSE),"")</f>
        <v>马仔碎片(陈浩南)</v>
      </c>
      <c r="E161" s="10">
        <v>5</v>
      </c>
      <c r="F161" s="10">
        <v>100</v>
      </c>
      <c r="G161" s="10">
        <v>31</v>
      </c>
      <c r="H161" s="10">
        <v>100</v>
      </c>
      <c r="I161" s="10">
        <v>0</v>
      </c>
      <c r="J161" s="13">
        <v>0</v>
      </c>
      <c r="L161" s="1">
        <f>ROUNDUP(VLOOKUP(C161,[2]!游戏物价查询,7,FALSE),0)*E161</f>
        <v>750</v>
      </c>
      <c r="M161">
        <f>VLOOKUP(C161,[2]!游戏物价查询,4,0)</f>
        <v>980</v>
      </c>
      <c r="O161" t="str">
        <f t="shared" si="32"/>
        <v/>
      </c>
      <c r="P161">
        <f t="shared" si="33"/>
        <v>0</v>
      </c>
      <c r="R161" t="str">
        <f t="shared" si="34"/>
        <v/>
      </c>
      <c r="S161">
        <f t="shared" si="35"/>
        <v>0</v>
      </c>
      <c r="U161">
        <f t="shared" si="36"/>
        <v>100</v>
      </c>
      <c r="V161">
        <f t="shared" si="37"/>
        <v>6.0246407807934457E-4</v>
      </c>
    </row>
    <row r="162" spans="1:25">
      <c r="A162">
        <v>160</v>
      </c>
      <c r="B162" s="25">
        <v>0</v>
      </c>
      <c r="C162" s="10">
        <v>78115</v>
      </c>
      <c r="D162" s="10" t="str">
        <f>IFERROR(VLOOKUP(C162,[1]引用表合并!$A$2:$B$1000,2,FALSE),"")</f>
        <v>马仔碎片(山鸡)</v>
      </c>
      <c r="E162" s="10">
        <v>5</v>
      </c>
      <c r="F162" s="10">
        <v>120</v>
      </c>
      <c r="G162" s="10">
        <v>31</v>
      </c>
      <c r="H162" s="10">
        <v>100</v>
      </c>
      <c r="I162" s="10">
        <v>0</v>
      </c>
      <c r="J162" s="13">
        <v>0</v>
      </c>
      <c r="L162" s="1">
        <f>ROUNDUP(VLOOKUP(C162,[2]!游戏物价查询,7,FALSE),0)*E162</f>
        <v>750</v>
      </c>
      <c r="M162">
        <f>VLOOKUP(C162,[2]!游戏物价查询,4,0)</f>
        <v>980</v>
      </c>
      <c r="O162" t="str">
        <f t="shared" si="32"/>
        <v/>
      </c>
      <c r="P162">
        <f t="shared" si="33"/>
        <v>0</v>
      </c>
      <c r="R162" t="str">
        <f t="shared" si="34"/>
        <v/>
      </c>
      <c r="S162">
        <f t="shared" si="35"/>
        <v>0</v>
      </c>
      <c r="U162">
        <f t="shared" si="36"/>
        <v>120</v>
      </c>
      <c r="V162">
        <f t="shared" si="37"/>
        <v>7.229568936952134E-4</v>
      </c>
    </row>
    <row r="163" spans="1:25">
      <c r="A163">
        <v>161</v>
      </c>
      <c r="B163" s="24">
        <v>0</v>
      </c>
      <c r="C163" s="14">
        <v>78116</v>
      </c>
      <c r="D163" s="14" t="str">
        <f>IFERROR(VLOOKUP(C163,[1]引用表合并!$A$2:$B$1000,2,FALSE),"")</f>
        <v>马仔碎片(大天二)</v>
      </c>
      <c r="E163" s="14">
        <v>5</v>
      </c>
      <c r="F163" s="14">
        <v>140</v>
      </c>
      <c r="G163" s="10">
        <v>31</v>
      </c>
      <c r="H163" s="14">
        <v>100</v>
      </c>
      <c r="I163" s="14">
        <v>0</v>
      </c>
      <c r="J163" s="15">
        <v>0</v>
      </c>
      <c r="L163" s="1">
        <f>ROUNDUP(VLOOKUP(C163,[2]!游戏物价查询,7,FALSE),0)*E163</f>
        <v>750</v>
      </c>
      <c r="M163">
        <f>VLOOKUP(C163,[2]!游戏物价查询,4,0)</f>
        <v>980</v>
      </c>
      <c r="O163" t="str">
        <f t="shared" ref="O163:O182" si="39">IF(AND($G163&lt;=Q$2,$H163&gt;Q$2),$F163,"")</f>
        <v/>
      </c>
      <c r="P163">
        <f t="shared" ref="P163:P182" si="40">IFERROR(O163/SUM(O:O),0)</f>
        <v>0</v>
      </c>
      <c r="Q163">
        <f>SUM(P101:P163)</f>
        <v>6.164157784858805E-2</v>
      </c>
      <c r="R163" t="str">
        <f t="shared" ref="R163:R182" si="41">IF(AND($G163&lt;=T$2,$H163&gt;T$2),$F163,"")</f>
        <v/>
      </c>
      <c r="S163">
        <f t="shared" ref="S163:S182" si="42">IFERROR(R163/SUM(R:R),0)</f>
        <v>0</v>
      </c>
      <c r="T163">
        <f>SUM(S101:S163)</f>
        <v>0.1106826746122163</v>
      </c>
      <c r="U163">
        <f t="shared" ref="U163:U182" si="43">IF(AND($G163&lt;=W$2,$H163&gt;W$2),$F163,"")</f>
        <v>140</v>
      </c>
      <c r="V163">
        <f t="shared" ref="V163:V167" si="44">IFERROR(U163/SUM(U:U),0)</f>
        <v>8.4344970931108233E-4</v>
      </c>
      <c r="W163" s="8">
        <f>SUM(V142:V163)</f>
        <v>0.11257041298912554</v>
      </c>
      <c r="Y163">
        <f>W163*9</f>
        <v>1.0131337169021299</v>
      </c>
    </row>
    <row r="164" spans="1:25">
      <c r="A164">
        <v>162</v>
      </c>
      <c r="B164" s="10">
        <v>500201</v>
      </c>
      <c r="D164" s="10" t="str">
        <f>IFERROR(VLOOKUP(C164,[1]引用表合并!$A$2:$B$1000,2,FALSE),"")</f>
        <v/>
      </c>
      <c r="E164" s="10">
        <v>1</v>
      </c>
      <c r="F164" s="10">
        <v>1000</v>
      </c>
      <c r="G164" s="10">
        <v>31</v>
      </c>
      <c r="H164" s="10">
        <v>39</v>
      </c>
      <c r="I164" s="10">
        <v>0</v>
      </c>
      <c r="J164" s="10">
        <v>1</v>
      </c>
      <c r="L164" s="1" t="e">
        <f>ROUNDUP(VLOOKUP(C165-41000,[2]!游戏物价查询,7,FALSE),0)*E164</f>
        <v>#N/A</v>
      </c>
      <c r="M164" t="e">
        <f>VLOOKUP(C164,[2]!游戏物价查询,4,0)</f>
        <v>#N/A</v>
      </c>
      <c r="O164" t="str">
        <f t="shared" si="39"/>
        <v/>
      </c>
      <c r="P164">
        <f t="shared" si="40"/>
        <v>0</v>
      </c>
      <c r="R164" t="str">
        <f t="shared" si="41"/>
        <v/>
      </c>
      <c r="S164">
        <f t="shared" si="42"/>
        <v>0</v>
      </c>
      <c r="U164">
        <f t="shared" si="43"/>
        <v>1000</v>
      </c>
      <c r="V164">
        <f t="shared" si="44"/>
        <v>6.024640780793445E-3</v>
      </c>
    </row>
    <row r="165" spans="1:25">
      <c r="A165">
        <v>163</v>
      </c>
      <c r="B165" s="10">
        <v>0</v>
      </c>
      <c r="C165" s="10">
        <v>51207</v>
      </c>
      <c r="D165" s="10" t="str">
        <f>IFERROR(VLOOKUP(C165,[1]引用表合并!$A$2:$B$1000,2,FALSE),"")</f>
        <v/>
      </c>
      <c r="E165" s="10">
        <v>1</v>
      </c>
      <c r="F165" s="10">
        <v>1000</v>
      </c>
      <c r="G165" s="10">
        <v>31</v>
      </c>
      <c r="H165" s="10">
        <v>39</v>
      </c>
      <c r="I165" s="10">
        <v>0</v>
      </c>
      <c r="J165" s="10">
        <v>1</v>
      </c>
      <c r="L165" s="1" t="e">
        <f>ROUNDUP(VLOOKUP(C165,[2]!游戏物价查询,7,FALSE),0)*E165</f>
        <v>#N/A</v>
      </c>
      <c r="M165" t="e">
        <f>VLOOKUP(C165,[2]!游戏物价查询,4,0)</f>
        <v>#N/A</v>
      </c>
      <c r="O165" t="str">
        <f t="shared" si="39"/>
        <v/>
      </c>
      <c r="P165">
        <f t="shared" si="40"/>
        <v>0</v>
      </c>
      <c r="Q165">
        <f>P164+P165</f>
        <v>0</v>
      </c>
      <c r="R165" t="str">
        <f t="shared" si="41"/>
        <v/>
      </c>
      <c r="S165">
        <f t="shared" si="42"/>
        <v>0</v>
      </c>
      <c r="U165">
        <f t="shared" si="43"/>
        <v>1000</v>
      </c>
      <c r="V165">
        <f t="shared" si="44"/>
        <v>6.024640780793445E-3</v>
      </c>
    </row>
    <row r="166" spans="1:25">
      <c r="A166">
        <v>164</v>
      </c>
      <c r="B166" s="10">
        <v>0</v>
      </c>
      <c r="C166" s="10">
        <v>52207</v>
      </c>
      <c r="D166" s="10" t="str">
        <f>IFERROR(VLOOKUP(C166,[1]引用表合并!$A$2:$B$1000,2,FALSE),"")</f>
        <v/>
      </c>
      <c r="E166" s="10">
        <v>1</v>
      </c>
      <c r="F166" s="10">
        <v>1000</v>
      </c>
      <c r="G166" s="10">
        <v>31</v>
      </c>
      <c r="H166" s="10">
        <v>39</v>
      </c>
      <c r="I166" s="10">
        <v>0</v>
      </c>
      <c r="J166" s="10">
        <v>1</v>
      </c>
      <c r="L166" s="1" t="e">
        <f>ROUNDUP(VLOOKUP(C166,[2]!游戏物价查询,7,FALSE),0)*E166</f>
        <v>#N/A</v>
      </c>
      <c r="M166" t="e">
        <f>VLOOKUP(C166,[2]!游戏物价查询,4,0)</f>
        <v>#N/A</v>
      </c>
      <c r="O166" t="str">
        <f t="shared" si="39"/>
        <v/>
      </c>
      <c r="P166">
        <f t="shared" si="40"/>
        <v>0</v>
      </c>
      <c r="R166" t="str">
        <f t="shared" si="41"/>
        <v/>
      </c>
      <c r="S166">
        <f t="shared" si="42"/>
        <v>0</v>
      </c>
      <c r="U166">
        <f t="shared" si="43"/>
        <v>1000</v>
      </c>
      <c r="V166">
        <f t="shared" si="44"/>
        <v>6.024640780793445E-3</v>
      </c>
    </row>
    <row r="167" spans="1:25">
      <c r="A167">
        <v>165</v>
      </c>
      <c r="B167" s="10">
        <v>0</v>
      </c>
      <c r="C167" s="10">
        <v>55207</v>
      </c>
      <c r="D167" s="10" t="str">
        <f>IFERROR(VLOOKUP(C167,[1]引用表合并!$A$2:$B$1000,2,FALSE),"")</f>
        <v/>
      </c>
      <c r="E167" s="10">
        <v>1</v>
      </c>
      <c r="F167" s="10">
        <v>1000</v>
      </c>
      <c r="G167" s="10">
        <v>31</v>
      </c>
      <c r="H167" s="10">
        <v>39</v>
      </c>
      <c r="I167" s="10">
        <v>0</v>
      </c>
      <c r="J167" s="10">
        <v>1</v>
      </c>
      <c r="L167" s="1" t="e">
        <f>ROUNDUP(VLOOKUP(C167,[2]!游戏物价查询,7,FALSE),0)*E167</f>
        <v>#N/A</v>
      </c>
      <c r="M167" t="e">
        <f>VLOOKUP(C167,[2]!游戏物价查询,4,0)</f>
        <v>#N/A</v>
      </c>
      <c r="O167" t="str">
        <f t="shared" si="39"/>
        <v/>
      </c>
      <c r="P167">
        <f t="shared" si="40"/>
        <v>0</v>
      </c>
      <c r="R167" t="str">
        <f t="shared" si="41"/>
        <v/>
      </c>
      <c r="S167">
        <f t="shared" si="42"/>
        <v>0</v>
      </c>
      <c r="U167">
        <f t="shared" si="43"/>
        <v>1000</v>
      </c>
      <c r="V167">
        <f t="shared" si="44"/>
        <v>6.024640780793445E-3</v>
      </c>
    </row>
    <row r="168" spans="1:25">
      <c r="A168">
        <v>166</v>
      </c>
      <c r="B168" s="10">
        <v>0</v>
      </c>
      <c r="C168" s="10">
        <v>54207</v>
      </c>
      <c r="D168" s="10" t="str">
        <f>IFERROR(VLOOKUP(C168,[1]引用表合并!$A$2:$B$1000,2,FALSE),"")</f>
        <v/>
      </c>
      <c r="E168" s="10">
        <v>1</v>
      </c>
      <c r="F168" s="10">
        <v>1000</v>
      </c>
      <c r="G168" s="10">
        <v>31</v>
      </c>
      <c r="H168" s="10">
        <v>39</v>
      </c>
      <c r="I168" s="10">
        <v>0</v>
      </c>
      <c r="J168" s="10">
        <v>1</v>
      </c>
      <c r="L168" s="1" t="e">
        <f>ROUNDUP(VLOOKUP(C168,[2]!游戏物价查询,7,FALSE),0)*E168</f>
        <v>#N/A</v>
      </c>
      <c r="M168" t="e">
        <f>VLOOKUP(C168,[2]!游戏物价查询,4,0)</f>
        <v>#N/A</v>
      </c>
      <c r="O168" t="str">
        <f t="shared" si="39"/>
        <v/>
      </c>
      <c r="P168">
        <f t="shared" si="40"/>
        <v>0</v>
      </c>
      <c r="R168" t="str">
        <f t="shared" si="41"/>
        <v/>
      </c>
      <c r="S168">
        <f t="shared" si="42"/>
        <v>0</v>
      </c>
      <c r="T168">
        <f>IF(AND($G168&lt;=W$2,$H168&gt;W$2),$F168,"")</f>
        <v>1000</v>
      </c>
      <c r="U168">
        <f t="shared" si="43"/>
        <v>1000</v>
      </c>
      <c r="V168">
        <f>IFERROR(T168/SUM(U:U),0)</f>
        <v>6.024640780793445E-3</v>
      </c>
    </row>
    <row r="169" spans="1:25">
      <c r="A169">
        <v>167</v>
      </c>
      <c r="B169" s="10">
        <v>0</v>
      </c>
      <c r="C169" s="10">
        <v>53207</v>
      </c>
      <c r="D169" s="10" t="str">
        <f>IFERROR(VLOOKUP(C169,[1]引用表合并!$A$2:$B$1000,2,FALSE),"")</f>
        <v/>
      </c>
      <c r="E169" s="10">
        <v>1</v>
      </c>
      <c r="F169" s="10">
        <v>1000</v>
      </c>
      <c r="G169" s="10">
        <v>31</v>
      </c>
      <c r="H169" s="10">
        <v>39</v>
      </c>
      <c r="I169" s="10">
        <v>0</v>
      </c>
      <c r="J169" s="10">
        <v>1</v>
      </c>
      <c r="L169" s="1" t="e">
        <f>ROUNDUP(VLOOKUP(C169,[2]!游戏物价查询,7,FALSE),0)*E169</f>
        <v>#N/A</v>
      </c>
      <c r="M169" t="e">
        <f>VLOOKUP(C169,[2]!游戏物价查询,4,0)</f>
        <v>#N/A</v>
      </c>
      <c r="O169" t="str">
        <f t="shared" si="39"/>
        <v/>
      </c>
      <c r="P169">
        <f t="shared" si="40"/>
        <v>0</v>
      </c>
      <c r="R169" t="str">
        <f t="shared" si="41"/>
        <v/>
      </c>
      <c r="S169">
        <f t="shared" si="42"/>
        <v>0</v>
      </c>
      <c r="T169" s="22">
        <f>SUM(S164:S169)</f>
        <v>0</v>
      </c>
      <c r="U169">
        <f t="shared" si="43"/>
        <v>1000</v>
      </c>
      <c r="V169">
        <f>IFERROR(U169/SUM(U:U),0)</f>
        <v>6.024640780793445E-3</v>
      </c>
      <c r="W169">
        <f>SUM(V164:V169)</f>
        <v>3.614784468476067E-2</v>
      </c>
    </row>
    <row r="170" spans="1:25">
      <c r="A170">
        <v>168</v>
      </c>
      <c r="B170" s="10">
        <v>500202</v>
      </c>
      <c r="D170" s="10" t="str">
        <f>IFERROR(VLOOKUP(C170,[1]引用表合并!$A$2:$B$1000,2,FALSE),"")</f>
        <v/>
      </c>
      <c r="E170" s="10">
        <v>1</v>
      </c>
      <c r="F170" s="10">
        <v>400</v>
      </c>
      <c r="G170" s="10">
        <v>31</v>
      </c>
      <c r="H170" s="10">
        <v>39</v>
      </c>
      <c r="I170" s="10">
        <v>0</v>
      </c>
      <c r="J170" s="10">
        <v>1</v>
      </c>
      <c r="L170" s="1" t="e">
        <f>ROUNDUP(VLOOKUP(C171-41000,[2]!游戏物价查询,7,FALSE),0)*E170</f>
        <v>#N/A</v>
      </c>
      <c r="M170" t="e">
        <f>VLOOKUP(C170,[2]!游戏物价查询,4,0)</f>
        <v>#N/A</v>
      </c>
      <c r="O170" t="str">
        <f t="shared" si="39"/>
        <v/>
      </c>
      <c r="P170">
        <f t="shared" si="40"/>
        <v>0</v>
      </c>
      <c r="R170" t="str">
        <f t="shared" si="41"/>
        <v/>
      </c>
      <c r="S170">
        <f t="shared" si="42"/>
        <v>0</v>
      </c>
      <c r="U170">
        <f t="shared" si="43"/>
        <v>400</v>
      </c>
      <c r="V170">
        <f>IFERROR(U170/SUM(U:U),0)</f>
        <v>2.4098563123173783E-3</v>
      </c>
    </row>
    <row r="171" spans="1:25">
      <c r="A171">
        <v>169</v>
      </c>
      <c r="B171" s="10">
        <v>0</v>
      </c>
      <c r="C171" s="10">
        <v>51308</v>
      </c>
      <c r="D171" s="10" t="str">
        <f>IFERROR(VLOOKUP(C171,[1]引用表合并!$A$2:$B$1000,2,FALSE),"")</f>
        <v/>
      </c>
      <c r="E171" s="10">
        <v>1</v>
      </c>
      <c r="F171" s="10">
        <v>400</v>
      </c>
      <c r="G171" s="10">
        <v>31</v>
      </c>
      <c r="H171" s="10">
        <v>39</v>
      </c>
      <c r="I171" s="10">
        <v>0</v>
      </c>
      <c r="J171" s="10">
        <v>1</v>
      </c>
      <c r="L171" s="1" t="e">
        <f>ROUNDUP(VLOOKUP(C171,[2]!游戏物价查询,7,FALSE),0)*E171</f>
        <v>#N/A</v>
      </c>
      <c r="M171" t="e">
        <f>VLOOKUP(C171,[2]!游戏物价查询,4,0)</f>
        <v>#N/A</v>
      </c>
      <c r="O171" t="str">
        <f t="shared" si="39"/>
        <v/>
      </c>
      <c r="P171">
        <f t="shared" si="40"/>
        <v>0</v>
      </c>
      <c r="Q171">
        <f>P170+P171</f>
        <v>0</v>
      </c>
      <c r="R171" t="str">
        <f t="shared" si="41"/>
        <v/>
      </c>
      <c r="S171">
        <f t="shared" si="42"/>
        <v>0</v>
      </c>
      <c r="U171">
        <f t="shared" si="43"/>
        <v>400</v>
      </c>
      <c r="V171">
        <f>IFERROR(U171/SUM(U:U),0)</f>
        <v>2.4098563123173783E-3</v>
      </c>
    </row>
    <row r="172" spans="1:25">
      <c r="A172">
        <v>170</v>
      </c>
      <c r="B172" s="10">
        <v>0</v>
      </c>
      <c r="C172" s="10">
        <v>52308</v>
      </c>
      <c r="D172" s="10" t="str">
        <f>IFERROR(VLOOKUP(C172,[1]引用表合并!$A$2:$B$1000,2,FALSE),"")</f>
        <v/>
      </c>
      <c r="E172" s="10">
        <v>1</v>
      </c>
      <c r="F172" s="10">
        <v>400</v>
      </c>
      <c r="G172" s="10">
        <v>31</v>
      </c>
      <c r="H172" s="10">
        <v>39</v>
      </c>
      <c r="I172" s="10">
        <v>0</v>
      </c>
      <c r="J172" s="10">
        <v>1</v>
      </c>
      <c r="L172" s="1" t="e">
        <f>ROUNDUP(VLOOKUP(C172,[2]!游戏物价查询,7,FALSE),0)*E172</f>
        <v>#N/A</v>
      </c>
      <c r="M172" t="e">
        <f>VLOOKUP(C172,[2]!游戏物价查询,4,0)</f>
        <v>#N/A</v>
      </c>
      <c r="O172" t="str">
        <f t="shared" si="39"/>
        <v/>
      </c>
      <c r="P172">
        <f t="shared" si="40"/>
        <v>0</v>
      </c>
      <c r="R172" t="str">
        <f t="shared" si="41"/>
        <v/>
      </c>
      <c r="S172">
        <f t="shared" si="42"/>
        <v>0</v>
      </c>
      <c r="U172">
        <f t="shared" si="43"/>
        <v>400</v>
      </c>
      <c r="V172">
        <f>IFERROR(U172/SUM(U:U),0)</f>
        <v>2.4098563123173783E-3</v>
      </c>
    </row>
    <row r="173" spans="1:25">
      <c r="A173">
        <v>171</v>
      </c>
      <c r="B173" s="10">
        <v>0</v>
      </c>
      <c r="C173" s="10">
        <v>53308</v>
      </c>
      <c r="D173" s="10" t="str">
        <f>IFERROR(VLOOKUP(C173,[1]引用表合并!$A$2:$B$1000,2,FALSE),"")</f>
        <v/>
      </c>
      <c r="E173" s="10">
        <v>1</v>
      </c>
      <c r="F173" s="10">
        <v>400</v>
      </c>
      <c r="G173" s="10">
        <v>31</v>
      </c>
      <c r="H173" s="10">
        <v>39</v>
      </c>
      <c r="I173" s="10">
        <v>0</v>
      </c>
      <c r="J173" s="10">
        <v>1</v>
      </c>
      <c r="L173" s="1" t="e">
        <f>ROUNDUP(VLOOKUP(C173,[2]!游戏物价查询,7,FALSE),0)*E173</f>
        <v>#N/A</v>
      </c>
      <c r="M173" t="e">
        <f>VLOOKUP(C173,[2]!游戏物价查询,4,0)</f>
        <v>#N/A</v>
      </c>
      <c r="O173" t="str">
        <f t="shared" si="39"/>
        <v/>
      </c>
      <c r="P173">
        <f t="shared" si="40"/>
        <v>0</v>
      </c>
      <c r="R173" t="str">
        <f t="shared" si="41"/>
        <v/>
      </c>
      <c r="S173">
        <f t="shared" si="42"/>
        <v>0</v>
      </c>
      <c r="U173">
        <f t="shared" si="43"/>
        <v>400</v>
      </c>
      <c r="V173">
        <f>IFERROR(U173/SUM(U:U),0)</f>
        <v>2.4098563123173783E-3</v>
      </c>
    </row>
    <row r="174" spans="1:25">
      <c r="A174">
        <v>172</v>
      </c>
      <c r="B174" s="10">
        <v>0</v>
      </c>
      <c r="C174" s="10">
        <v>54308</v>
      </c>
      <c r="D174" s="10" t="str">
        <f>IFERROR(VLOOKUP(C174,[1]引用表合并!$A$2:$B$1000,2,FALSE),"")</f>
        <v/>
      </c>
      <c r="E174" s="10">
        <v>1</v>
      </c>
      <c r="F174" s="10">
        <v>400</v>
      </c>
      <c r="G174" s="10">
        <v>31</v>
      </c>
      <c r="H174" s="10">
        <v>39</v>
      </c>
      <c r="I174" s="10">
        <v>0</v>
      </c>
      <c r="J174" s="10">
        <v>1</v>
      </c>
      <c r="L174" s="1" t="e">
        <f>ROUNDUP(VLOOKUP(C174,[2]!游戏物价查询,7,FALSE),0)*E174</f>
        <v>#N/A</v>
      </c>
      <c r="M174" t="e">
        <f>VLOOKUP(C174,[2]!游戏物价查询,4,0)</f>
        <v>#N/A</v>
      </c>
      <c r="O174" t="str">
        <f t="shared" si="39"/>
        <v/>
      </c>
      <c r="P174">
        <f t="shared" si="40"/>
        <v>0</v>
      </c>
      <c r="R174" t="str">
        <f t="shared" si="41"/>
        <v/>
      </c>
      <c r="S174">
        <f t="shared" si="42"/>
        <v>0</v>
      </c>
      <c r="T174">
        <f>IF(AND($G174&lt;=W$2,$H174&gt;W$2),$F174,"")</f>
        <v>400</v>
      </c>
      <c r="U174">
        <f t="shared" si="43"/>
        <v>400</v>
      </c>
      <c r="V174">
        <f>IFERROR(T174/SUM(U:U),0)</f>
        <v>2.4098563123173783E-3</v>
      </c>
    </row>
    <row r="175" spans="1:25">
      <c r="A175">
        <v>173</v>
      </c>
      <c r="B175" s="10">
        <v>0</v>
      </c>
      <c r="C175" s="10">
        <v>55308</v>
      </c>
      <c r="D175" s="10" t="str">
        <f>IFERROR(VLOOKUP(C175,[1]引用表合并!$A$2:$B$1000,2,FALSE),"")</f>
        <v/>
      </c>
      <c r="E175" s="10">
        <v>1</v>
      </c>
      <c r="F175" s="10">
        <v>400</v>
      </c>
      <c r="G175" s="10">
        <v>31</v>
      </c>
      <c r="H175" s="10">
        <v>39</v>
      </c>
      <c r="I175" s="10">
        <v>0</v>
      </c>
      <c r="J175" s="10">
        <v>1</v>
      </c>
      <c r="L175" s="1" t="e">
        <f>ROUNDUP(VLOOKUP(C175,[2]!游戏物价查询,7,FALSE),0)*E175</f>
        <v>#N/A</v>
      </c>
      <c r="M175" t="e">
        <f>VLOOKUP(C175,[2]!游戏物价查询,4,0)</f>
        <v>#N/A</v>
      </c>
      <c r="O175" t="str">
        <f t="shared" si="39"/>
        <v/>
      </c>
      <c r="P175">
        <f t="shared" si="40"/>
        <v>0</v>
      </c>
      <c r="R175" t="str">
        <f t="shared" si="41"/>
        <v/>
      </c>
      <c r="S175">
        <f t="shared" si="42"/>
        <v>0</v>
      </c>
      <c r="T175" s="22">
        <f>SUM(S170:S175)</f>
        <v>0</v>
      </c>
      <c r="U175">
        <f t="shared" si="43"/>
        <v>400</v>
      </c>
      <c r="V175">
        <f t="shared" ref="V175:V182" si="45">IFERROR(U175/SUM(U:U),0)</f>
        <v>2.4098563123173783E-3</v>
      </c>
      <c r="W175">
        <f>SUM(V170:V175)</f>
        <v>1.4459137873904271E-2</v>
      </c>
    </row>
    <row r="176" spans="1:25">
      <c r="A176">
        <v>174</v>
      </c>
      <c r="B176" s="10">
        <v>0</v>
      </c>
      <c r="C176" s="10">
        <v>85300</v>
      </c>
      <c r="D176" s="10" t="str">
        <f>IFERROR(VLOOKUP(C176,[1]引用表合并!$A$2:$B$1000,2,FALSE),"")</f>
        <v>稀有装备升级石</v>
      </c>
      <c r="E176" s="10">
        <v>1</v>
      </c>
      <c r="F176" s="10">
        <v>8000</v>
      </c>
      <c r="G176" s="10">
        <v>31</v>
      </c>
      <c r="H176" s="10">
        <v>100</v>
      </c>
      <c r="I176" s="10">
        <v>0</v>
      </c>
      <c r="J176" s="10">
        <v>0</v>
      </c>
      <c r="L176" s="1">
        <f>ROUNDUP(VLOOKUP(C176,[2]!游戏物价查询,7,FALSE),0)*E176</f>
        <v>30</v>
      </c>
      <c r="M176">
        <f>VLOOKUP(C176,[2]!游戏物价查询,4,0)</f>
        <v>2019.7074124618819</v>
      </c>
      <c r="O176" t="str">
        <f t="shared" si="39"/>
        <v/>
      </c>
      <c r="P176">
        <f t="shared" si="40"/>
        <v>0</v>
      </c>
      <c r="R176" t="str">
        <f t="shared" si="41"/>
        <v/>
      </c>
      <c r="S176">
        <f t="shared" si="42"/>
        <v>0</v>
      </c>
      <c r="U176">
        <f t="shared" si="43"/>
        <v>8000</v>
      </c>
      <c r="V176">
        <f t="shared" si="45"/>
        <v>4.819712624634756E-2</v>
      </c>
    </row>
    <row r="177" spans="1:27">
      <c r="A177">
        <v>175</v>
      </c>
      <c r="B177" s="10">
        <v>0</v>
      </c>
      <c r="C177" s="10">
        <v>85300</v>
      </c>
      <c r="D177" s="10" t="str">
        <f>IFERROR(VLOOKUP(C177,[1]引用表合并!$A$2:$B$1000,2,FALSE),"")</f>
        <v>稀有装备升级石</v>
      </c>
      <c r="E177" s="10">
        <v>5</v>
      </c>
      <c r="F177" s="10">
        <v>4000</v>
      </c>
      <c r="G177" s="10">
        <v>31</v>
      </c>
      <c r="H177" s="10">
        <v>100</v>
      </c>
      <c r="I177" s="10">
        <v>0</v>
      </c>
      <c r="J177" s="10">
        <v>0</v>
      </c>
      <c r="L177" s="1">
        <f>ROUNDUP(VLOOKUP(C177,[2]!游戏物价查询,7,FALSE),0)*E177</f>
        <v>150</v>
      </c>
      <c r="M177">
        <f>VLOOKUP(C177,[2]!游戏物价查询,4,0)</f>
        <v>2019.7074124618819</v>
      </c>
      <c r="O177" t="str">
        <f t="shared" si="39"/>
        <v/>
      </c>
      <c r="P177">
        <f t="shared" si="40"/>
        <v>0</v>
      </c>
      <c r="R177" t="str">
        <f t="shared" si="41"/>
        <v/>
      </c>
      <c r="S177">
        <f t="shared" si="42"/>
        <v>0</v>
      </c>
      <c r="U177">
        <f t="shared" si="43"/>
        <v>4000</v>
      </c>
      <c r="V177">
        <f t="shared" si="45"/>
        <v>2.409856312317378E-2</v>
      </c>
      <c r="W177">
        <f>V176+V177</f>
        <v>7.229568936952134E-2</v>
      </c>
      <c r="Z177">
        <f>V177*E177+V176*E176</f>
        <v>0.16868994186221647</v>
      </c>
      <c r="AA177">
        <f>'[2]装备&amp;装备材料的投放'!$AK$36</f>
        <v>0.17850063544196401</v>
      </c>
    </row>
    <row r="178" spans="1:27">
      <c r="A178">
        <v>176</v>
      </c>
      <c r="B178" s="10">
        <v>0</v>
      </c>
      <c r="C178" s="10">
        <v>85400</v>
      </c>
      <c r="D178" s="10" t="str">
        <f>IFERROR(VLOOKUP(C178,[1]引用表合并!$A$2:$B$1000,2,FALSE),"")</f>
        <v>史诗装备升级石</v>
      </c>
      <c r="E178" s="10">
        <v>1</v>
      </c>
      <c r="F178" s="10">
        <v>5800</v>
      </c>
      <c r="G178" s="10">
        <v>31</v>
      </c>
      <c r="H178" s="10">
        <v>100</v>
      </c>
      <c r="I178" s="10">
        <v>0</v>
      </c>
      <c r="J178" s="10">
        <v>0</v>
      </c>
      <c r="L178" s="1">
        <f>ROUNDUP(VLOOKUP(C178,[2]!游戏物价查询,7,FALSE),0)*E178</f>
        <v>80</v>
      </c>
      <c r="M178">
        <f>VLOOKUP(C178,[2]!游戏物价查询,4,0)</f>
        <v>2019.7074124618819</v>
      </c>
      <c r="O178" t="str">
        <f t="shared" si="39"/>
        <v/>
      </c>
      <c r="P178">
        <f t="shared" si="40"/>
        <v>0</v>
      </c>
      <c r="R178" t="str">
        <f t="shared" si="41"/>
        <v/>
      </c>
      <c r="S178">
        <f t="shared" si="42"/>
        <v>0</v>
      </c>
      <c r="U178">
        <f t="shared" si="43"/>
        <v>5800</v>
      </c>
      <c r="V178">
        <f t="shared" si="45"/>
        <v>3.4942916528601979E-2</v>
      </c>
    </row>
    <row r="179" spans="1:27">
      <c r="A179">
        <v>177</v>
      </c>
      <c r="B179" s="10">
        <v>0</v>
      </c>
      <c r="C179" s="10">
        <v>85400</v>
      </c>
      <c r="D179" s="10" t="str">
        <f>IFERROR(VLOOKUP(C179,[1]引用表合并!$A$2:$B$1000,2,FALSE),"")</f>
        <v>史诗装备升级石</v>
      </c>
      <c r="E179" s="10">
        <v>5</v>
      </c>
      <c r="F179" s="10">
        <v>2900</v>
      </c>
      <c r="G179" s="10">
        <v>31</v>
      </c>
      <c r="H179" s="10">
        <v>100</v>
      </c>
      <c r="I179" s="10">
        <v>0</v>
      </c>
      <c r="J179" s="10">
        <v>0</v>
      </c>
      <c r="L179" s="1">
        <f>ROUNDUP(VLOOKUP(C179,[2]!游戏物价查询,7,FALSE),0)*E179</f>
        <v>400</v>
      </c>
      <c r="M179">
        <f>VLOOKUP(C179,[2]!游戏物价查询,4,0)</f>
        <v>2019.7074124618819</v>
      </c>
      <c r="O179" t="str">
        <f t="shared" si="39"/>
        <v/>
      </c>
      <c r="P179">
        <f t="shared" si="40"/>
        <v>0</v>
      </c>
      <c r="R179" t="str">
        <f t="shared" si="41"/>
        <v/>
      </c>
      <c r="S179">
        <f t="shared" si="42"/>
        <v>0</v>
      </c>
      <c r="U179">
        <f t="shared" si="43"/>
        <v>2900</v>
      </c>
      <c r="V179">
        <f t="shared" si="45"/>
        <v>1.747145826430099E-2</v>
      </c>
      <c r="W179" s="22">
        <f>SUM(V176:V179)</f>
        <v>0.12471006416242431</v>
      </c>
      <c r="Z179">
        <f>V179*E179+V178*E178</f>
        <v>0.12230020785010692</v>
      </c>
      <c r="AA179">
        <f>'[2]装备&amp;装备材料的投放'!$AK$37</f>
        <v>8.9497498785812105E-2</v>
      </c>
    </row>
    <row r="180" spans="1:27">
      <c r="A180">
        <v>178</v>
      </c>
      <c r="B180" s="10">
        <v>0</v>
      </c>
      <c r="C180" s="10">
        <v>82300</v>
      </c>
      <c r="D180" s="10" t="str">
        <f>IFERROR(VLOOKUP(C180,[1]引用表合并!$A$2:$B$1000,2,FALSE),"")</f>
        <v>金币卡(5万)</v>
      </c>
      <c r="E180" s="10">
        <v>2</v>
      </c>
      <c r="F180" s="10">
        <v>10000</v>
      </c>
      <c r="G180" s="10">
        <v>10</v>
      </c>
      <c r="H180" s="10">
        <v>100</v>
      </c>
      <c r="I180" s="10">
        <v>0</v>
      </c>
      <c r="J180" s="10">
        <v>1</v>
      </c>
      <c r="L180" s="1">
        <f>ROUNDUP(VLOOKUP(C180,[2]!游戏物价查询,7,FALSE),0)*E180</f>
        <v>200</v>
      </c>
      <c r="M180">
        <f>VLOOKUP(C180,[2]!游戏物价查询,4,0)</f>
        <v>0</v>
      </c>
      <c r="O180">
        <f t="shared" si="39"/>
        <v>10000</v>
      </c>
      <c r="P180">
        <f t="shared" si="40"/>
        <v>0.10987803538072739</v>
      </c>
      <c r="Q180">
        <f>SUM(P180:P180)</f>
        <v>0.10987803538072739</v>
      </c>
      <c r="R180">
        <f t="shared" si="41"/>
        <v>10000</v>
      </c>
      <c r="S180">
        <f t="shared" si="42"/>
        <v>8.7634738410305849E-2</v>
      </c>
      <c r="T180">
        <f>SUM(S180:S180)</f>
        <v>8.7634738410305849E-2</v>
      </c>
      <c r="U180">
        <f t="shared" si="43"/>
        <v>10000</v>
      </c>
      <c r="V180">
        <f t="shared" si="45"/>
        <v>6.024640780793445E-2</v>
      </c>
      <c r="W180" s="22">
        <f t="shared" ref="W180:W181" si="46">V180</f>
        <v>6.024640780793445E-2</v>
      </c>
      <c r="Z180">
        <f>V180*E180</f>
        <v>0.1204928156158689</v>
      </c>
    </row>
    <row r="181" spans="1:27">
      <c r="A181">
        <v>179</v>
      </c>
      <c r="B181" s="10">
        <v>0</v>
      </c>
      <c r="C181" s="10">
        <v>91200</v>
      </c>
      <c r="D181" s="10" t="str">
        <f>IFERROR(VLOOKUP(C181,[1]引用表合并!$A$2:$B$1000,2,FALSE),"")</f>
        <v>马仔经验合剂</v>
      </c>
      <c r="E181" s="10">
        <v>5</v>
      </c>
      <c r="F181" s="10">
        <v>10000</v>
      </c>
      <c r="G181" s="10">
        <v>10</v>
      </c>
      <c r="H181" s="10">
        <v>100</v>
      </c>
      <c r="I181" s="10">
        <v>0</v>
      </c>
      <c r="J181" s="10">
        <v>0</v>
      </c>
      <c r="L181" s="1">
        <f>ROUNDUP(VLOOKUP(C181,[2]!游戏物价查询,7,FALSE),0)*E181</f>
        <v>30</v>
      </c>
      <c r="M181">
        <f>VLOOKUP(C181,[2]!游戏物价查询,4,0)</f>
        <v>0</v>
      </c>
      <c r="O181">
        <f t="shared" si="39"/>
        <v>10000</v>
      </c>
      <c r="P181">
        <f t="shared" si="40"/>
        <v>0.10987803538072739</v>
      </c>
      <c r="R181">
        <f t="shared" si="41"/>
        <v>10000</v>
      </c>
      <c r="S181">
        <f t="shared" si="42"/>
        <v>8.7634738410305849E-2</v>
      </c>
      <c r="U181">
        <f t="shared" si="43"/>
        <v>10000</v>
      </c>
      <c r="V181">
        <f t="shared" si="45"/>
        <v>6.024640780793445E-2</v>
      </c>
      <c r="W181" s="22">
        <f t="shared" si="46"/>
        <v>6.024640780793445E-2</v>
      </c>
      <c r="Z181">
        <f t="shared" ref="Z181:Z182" si="47">V181*E181</f>
        <v>0.30123203903967227</v>
      </c>
    </row>
    <row r="182" spans="1:27">
      <c r="A182">
        <v>180</v>
      </c>
      <c r="B182" s="10">
        <v>0</v>
      </c>
      <c r="C182" s="10">
        <v>91300</v>
      </c>
      <c r="D182" s="10" t="str">
        <f>IFERROR(VLOOKUP(C182,[1]引用表合并!$A$2:$B$1000,2,FALSE),"")</f>
        <v>马仔经验甘露</v>
      </c>
      <c r="E182" s="10">
        <v>5</v>
      </c>
      <c r="F182" s="10">
        <v>10000</v>
      </c>
      <c r="G182" s="10">
        <v>10</v>
      </c>
      <c r="H182" s="10">
        <v>100</v>
      </c>
      <c r="I182" s="10">
        <v>0</v>
      </c>
      <c r="J182" s="10">
        <v>0</v>
      </c>
      <c r="L182" s="1">
        <f>ROUNDUP(VLOOKUP(C182,[2]!游戏物价查询,7,FALSE),0)*E182</f>
        <v>100</v>
      </c>
      <c r="M182">
        <f>VLOOKUP(C182,[2]!游戏物价查询,4,0)</f>
        <v>0</v>
      </c>
      <c r="O182">
        <f t="shared" si="39"/>
        <v>10000</v>
      </c>
      <c r="P182">
        <f t="shared" si="40"/>
        <v>0.10987803538072739</v>
      </c>
      <c r="Q182" s="22">
        <f>SUM(P181:P182)</f>
        <v>0.21975607076145479</v>
      </c>
      <c r="R182">
        <f t="shared" si="41"/>
        <v>10000</v>
      </c>
      <c r="S182">
        <f t="shared" si="42"/>
        <v>8.7634738410305849E-2</v>
      </c>
      <c r="T182" s="22">
        <f>SUM(S181:S182)</f>
        <v>0.1752694768206117</v>
      </c>
      <c r="U182">
        <f t="shared" si="43"/>
        <v>10000</v>
      </c>
      <c r="V182">
        <f t="shared" si="45"/>
        <v>6.024640780793445E-2</v>
      </c>
      <c r="W182" s="22">
        <f>V182</f>
        <v>6.024640780793445E-2</v>
      </c>
      <c r="Z182">
        <f t="shared" si="47"/>
        <v>0.30123203903967227</v>
      </c>
    </row>
  </sheetData>
  <phoneticPr fontId="1" type="noConversion"/>
  <conditionalFormatting sqref="D176 D3:D105 D178 D180:D182 E14:E21">
    <cfRule type="expression" dxfId="312" priority="306">
      <formula>AND(C3&gt;=79001,C3&lt;79900)</formula>
    </cfRule>
    <cfRule type="expression" dxfId="311" priority="307" stopIfTrue="1">
      <formula>AND(C3&gt;=70101,C3&lt;=70301)</formula>
    </cfRule>
    <cfRule type="expression" dxfId="310" priority="308" stopIfTrue="1">
      <formula>AND(C3&gt;70000,C3&lt;70004)</formula>
    </cfRule>
    <cfRule type="expression" dxfId="309" priority="309" stopIfTrue="1">
      <formula>AND(C3&gt;=70010,C3&lt;=76000)</formula>
    </cfRule>
    <cfRule type="expression" dxfId="308" priority="310">
      <formula>AND(C3&gt;70000,C3&lt;70004)</formula>
    </cfRule>
    <cfRule type="expression" dxfId="307" priority="311" stopIfTrue="1">
      <formula>OR(AND(C3&gt;=10000,C3&lt;=56999),AND(C3&gt;=57000,C3&lt;=57999))</formula>
    </cfRule>
    <cfRule type="expression" dxfId="306" priority="312" stopIfTrue="1">
      <formula>AND(C3&gt;=8000,C3&lt;=9999)</formula>
    </cfRule>
    <cfRule type="expression" dxfId="305" priority="313" stopIfTrue="1">
      <formula>AND(C3&gt;=78100,C3&lt;=78199)</formula>
    </cfRule>
    <cfRule type="expression" dxfId="304" priority="314" stopIfTrue="1">
      <formula>AND(C3&gt;=92000,C3&lt;=98999)</formula>
    </cfRule>
    <cfRule type="expression" dxfId="303" priority="315" stopIfTrue="1">
      <formula>AND(C3&gt;=78100,C3&lt;=78199)</formula>
    </cfRule>
    <cfRule type="expression" dxfId="302" priority="316" stopIfTrue="1">
      <formula>AND(C3&gt;=91000,C3&lt;=91999)</formula>
    </cfRule>
  </conditionalFormatting>
  <conditionalFormatting sqref="D120:D127">
    <cfRule type="expression" dxfId="301" priority="294">
      <formula>AND(C120&gt;=79001,C120&lt;79900)</formula>
    </cfRule>
    <cfRule type="expression" dxfId="300" priority="295" stopIfTrue="1">
      <formula>AND(C120&gt;=70101,C120&lt;=70301)</formula>
    </cfRule>
    <cfRule type="expression" dxfId="299" priority="296" stopIfTrue="1">
      <formula>AND(C120&gt;70000,C120&lt;70004)</formula>
    </cfRule>
    <cfRule type="expression" dxfId="298" priority="297" stopIfTrue="1">
      <formula>AND(C120&gt;=70010,C120&lt;=76000)</formula>
    </cfRule>
    <cfRule type="expression" dxfId="297" priority="298">
      <formula>AND(C120&gt;70000,C120&lt;70004)</formula>
    </cfRule>
    <cfRule type="expression" dxfId="296" priority="299" stopIfTrue="1">
      <formula>OR(AND(C120&gt;=10000,C120&lt;=56999),AND(C120&gt;=57000,C120&lt;=57999))</formula>
    </cfRule>
    <cfRule type="expression" dxfId="295" priority="300" stopIfTrue="1">
      <formula>AND(C120&gt;=8000,C120&lt;=9999)</formula>
    </cfRule>
    <cfRule type="expression" dxfId="294" priority="301" stopIfTrue="1">
      <formula>AND(C120&gt;=78100,C120&lt;=78199)</formula>
    </cfRule>
    <cfRule type="expression" dxfId="293" priority="302" stopIfTrue="1">
      <formula>AND(C120&gt;=92000,C120&lt;=98999)</formula>
    </cfRule>
    <cfRule type="expression" dxfId="292" priority="303" stopIfTrue="1">
      <formula>AND(C120&gt;=78100,C120&lt;=78199)</formula>
    </cfRule>
    <cfRule type="expression" dxfId="291" priority="304" stopIfTrue="1">
      <formula>AND(C120&gt;=91000,C120&lt;=91999)</formula>
    </cfRule>
  </conditionalFormatting>
  <conditionalFormatting sqref="C120:C127">
    <cfRule type="duplicateValues" dxfId="290" priority="305"/>
  </conditionalFormatting>
  <conditionalFormatting sqref="D142:D149">
    <cfRule type="expression" dxfId="289" priority="282">
      <formula>AND(C142&gt;=79001,C142&lt;79900)</formula>
    </cfRule>
    <cfRule type="expression" dxfId="288" priority="283" stopIfTrue="1">
      <formula>AND(C142&gt;=70101,C142&lt;=70301)</formula>
    </cfRule>
    <cfRule type="expression" dxfId="287" priority="284" stopIfTrue="1">
      <formula>AND(C142&gt;70000,C142&lt;70004)</formula>
    </cfRule>
    <cfRule type="expression" dxfId="286" priority="285" stopIfTrue="1">
      <formula>AND(C142&gt;=70010,C142&lt;=76000)</formula>
    </cfRule>
    <cfRule type="expression" dxfId="285" priority="286">
      <formula>AND(C142&gt;70000,C142&lt;70004)</formula>
    </cfRule>
    <cfRule type="expression" dxfId="284" priority="287" stopIfTrue="1">
      <formula>OR(AND(C142&gt;=10000,C142&lt;=56999),AND(C142&gt;=57000,C142&lt;=57999))</formula>
    </cfRule>
    <cfRule type="expression" dxfId="283" priority="288" stopIfTrue="1">
      <formula>AND(C142&gt;=8000,C142&lt;=9999)</formula>
    </cfRule>
    <cfRule type="expression" dxfId="282" priority="289" stopIfTrue="1">
      <formula>AND(C142&gt;=78100,C142&lt;=78199)</formula>
    </cfRule>
    <cfRule type="expression" dxfId="281" priority="290" stopIfTrue="1">
      <formula>AND(C142&gt;=92000,C142&lt;=98999)</formula>
    </cfRule>
    <cfRule type="expression" dxfId="280" priority="291" stopIfTrue="1">
      <formula>AND(C142&gt;=78100,C142&lt;=78199)</formula>
    </cfRule>
    <cfRule type="expression" dxfId="279" priority="292" stopIfTrue="1">
      <formula>AND(C142&gt;=91000,C142&lt;=91999)</formula>
    </cfRule>
  </conditionalFormatting>
  <conditionalFormatting sqref="C142:C149">
    <cfRule type="duplicateValues" dxfId="278" priority="293"/>
  </conditionalFormatting>
  <conditionalFormatting sqref="D109:D116">
    <cfRule type="expression" dxfId="277" priority="270">
      <formula>AND(C109&gt;=79001,C109&lt;79900)</formula>
    </cfRule>
    <cfRule type="expression" dxfId="276" priority="271" stopIfTrue="1">
      <formula>AND(C109&gt;=70101,C109&lt;=70301)</formula>
    </cfRule>
    <cfRule type="expression" dxfId="275" priority="272" stopIfTrue="1">
      <formula>AND(C109&gt;70000,C109&lt;70004)</formula>
    </cfRule>
    <cfRule type="expression" dxfId="274" priority="273" stopIfTrue="1">
      <formula>AND(C109&gt;=70010,C109&lt;=76000)</formula>
    </cfRule>
    <cfRule type="expression" dxfId="273" priority="274">
      <formula>AND(C109&gt;70000,C109&lt;70004)</formula>
    </cfRule>
    <cfRule type="expression" dxfId="272" priority="275" stopIfTrue="1">
      <formula>OR(AND(C109&gt;=10000,C109&lt;=56999),AND(C109&gt;=57000,C109&lt;=57999))</formula>
    </cfRule>
    <cfRule type="expression" dxfId="271" priority="276" stopIfTrue="1">
      <formula>AND(C109&gt;=8000,C109&lt;=9999)</formula>
    </cfRule>
    <cfRule type="expression" dxfId="270" priority="277" stopIfTrue="1">
      <formula>AND(C109&gt;=78100,C109&lt;=78199)</formula>
    </cfRule>
    <cfRule type="expression" dxfId="269" priority="278" stopIfTrue="1">
      <formula>AND(C109&gt;=92000,C109&lt;=98999)</formula>
    </cfRule>
    <cfRule type="expression" dxfId="268" priority="279" stopIfTrue="1">
      <formula>AND(C109&gt;=78100,C109&lt;=78199)</formula>
    </cfRule>
    <cfRule type="expression" dxfId="267" priority="280" stopIfTrue="1">
      <formula>AND(C109&gt;=91000,C109&lt;=91999)</formula>
    </cfRule>
  </conditionalFormatting>
  <conditionalFormatting sqref="C109:C116">
    <cfRule type="duplicateValues" dxfId="266" priority="281"/>
  </conditionalFormatting>
  <conditionalFormatting sqref="D131:D138">
    <cfRule type="expression" dxfId="265" priority="258">
      <formula>AND(C131&gt;=79001,C131&lt;79900)</formula>
    </cfRule>
    <cfRule type="expression" dxfId="264" priority="259" stopIfTrue="1">
      <formula>AND(C131&gt;=70101,C131&lt;=70301)</formula>
    </cfRule>
    <cfRule type="expression" dxfId="263" priority="260" stopIfTrue="1">
      <formula>AND(C131&gt;70000,C131&lt;70004)</formula>
    </cfRule>
    <cfRule type="expression" dxfId="262" priority="261" stopIfTrue="1">
      <formula>AND(C131&gt;=70010,C131&lt;=76000)</formula>
    </cfRule>
    <cfRule type="expression" dxfId="261" priority="262">
      <formula>AND(C131&gt;70000,C131&lt;70004)</formula>
    </cfRule>
    <cfRule type="expression" dxfId="260" priority="263" stopIfTrue="1">
      <formula>OR(AND(C131&gt;=10000,C131&lt;=56999),AND(C131&gt;=57000,C131&lt;=57999))</formula>
    </cfRule>
    <cfRule type="expression" dxfId="259" priority="264" stopIfTrue="1">
      <formula>AND(C131&gt;=8000,C131&lt;=9999)</formula>
    </cfRule>
    <cfRule type="expression" dxfId="258" priority="265" stopIfTrue="1">
      <formula>AND(C131&gt;=78100,C131&lt;=78199)</formula>
    </cfRule>
    <cfRule type="expression" dxfId="257" priority="266" stopIfTrue="1">
      <formula>AND(C131&gt;=92000,C131&lt;=98999)</formula>
    </cfRule>
    <cfRule type="expression" dxfId="256" priority="267" stopIfTrue="1">
      <formula>AND(C131&gt;=78100,C131&lt;=78199)</formula>
    </cfRule>
    <cfRule type="expression" dxfId="255" priority="268" stopIfTrue="1">
      <formula>AND(C131&gt;=91000,C131&lt;=91999)</formula>
    </cfRule>
  </conditionalFormatting>
  <conditionalFormatting sqref="C131:C138">
    <cfRule type="duplicateValues" dxfId="254" priority="269"/>
  </conditionalFormatting>
  <conditionalFormatting sqref="D153:D160">
    <cfRule type="expression" dxfId="253" priority="246">
      <formula>AND(C153&gt;=79001,C153&lt;79900)</formula>
    </cfRule>
    <cfRule type="expression" dxfId="252" priority="247" stopIfTrue="1">
      <formula>AND(C153&gt;=70101,C153&lt;=70301)</formula>
    </cfRule>
    <cfRule type="expression" dxfId="251" priority="248" stopIfTrue="1">
      <formula>AND(C153&gt;70000,C153&lt;70004)</formula>
    </cfRule>
    <cfRule type="expression" dxfId="250" priority="249" stopIfTrue="1">
      <formula>AND(C153&gt;=70010,C153&lt;=76000)</formula>
    </cfRule>
    <cfRule type="expression" dxfId="249" priority="250">
      <formula>AND(C153&gt;70000,C153&lt;70004)</formula>
    </cfRule>
    <cfRule type="expression" dxfId="248" priority="251" stopIfTrue="1">
      <formula>OR(AND(C153&gt;=10000,C153&lt;=56999),AND(C153&gt;=57000,C153&lt;=57999))</formula>
    </cfRule>
    <cfRule type="expression" dxfId="247" priority="252" stopIfTrue="1">
      <formula>AND(C153&gt;=8000,C153&lt;=9999)</formula>
    </cfRule>
    <cfRule type="expression" dxfId="246" priority="253" stopIfTrue="1">
      <formula>AND(C153&gt;=78100,C153&lt;=78199)</formula>
    </cfRule>
    <cfRule type="expression" dxfId="245" priority="254" stopIfTrue="1">
      <formula>AND(C153&gt;=92000,C153&lt;=98999)</formula>
    </cfRule>
    <cfRule type="expression" dxfId="244" priority="255" stopIfTrue="1">
      <formula>AND(C153&gt;=78100,C153&lt;=78199)</formula>
    </cfRule>
    <cfRule type="expression" dxfId="243" priority="256" stopIfTrue="1">
      <formula>AND(C153&gt;=91000,C153&lt;=91999)</formula>
    </cfRule>
  </conditionalFormatting>
  <conditionalFormatting sqref="C153:C160">
    <cfRule type="duplicateValues" dxfId="242" priority="257"/>
  </conditionalFormatting>
  <conditionalFormatting sqref="C176 C178">
    <cfRule type="duplicateValues" dxfId="241" priority="245"/>
  </conditionalFormatting>
  <conditionalFormatting sqref="C183:C1048576 C180 C2:C105 M2:N2">
    <cfRule type="duplicateValues" dxfId="240" priority="317"/>
  </conditionalFormatting>
  <conditionalFormatting sqref="C182">
    <cfRule type="duplicateValues" dxfId="239" priority="244"/>
  </conditionalFormatting>
  <conditionalFormatting sqref="C181">
    <cfRule type="duplicateValues" dxfId="238" priority="243"/>
  </conditionalFormatting>
  <conditionalFormatting sqref="D177">
    <cfRule type="expression" dxfId="237" priority="232">
      <formula>AND(C177&gt;=79001,C177&lt;79900)</formula>
    </cfRule>
    <cfRule type="expression" dxfId="236" priority="233" stopIfTrue="1">
      <formula>AND(C177&gt;=70101,C177&lt;=70301)</formula>
    </cfRule>
    <cfRule type="expression" dxfId="235" priority="234" stopIfTrue="1">
      <formula>AND(C177&gt;70000,C177&lt;70004)</formula>
    </cfRule>
    <cfRule type="expression" dxfId="234" priority="235" stopIfTrue="1">
      <formula>AND(C177&gt;=70010,C177&lt;=76000)</formula>
    </cfRule>
    <cfRule type="expression" dxfId="233" priority="236">
      <formula>AND(C177&gt;70000,C177&lt;70004)</formula>
    </cfRule>
    <cfRule type="expression" dxfId="232" priority="237" stopIfTrue="1">
      <formula>OR(AND(C177&gt;=10000,C177&lt;=56999),AND(C177&gt;=57000,C177&lt;=57999))</formula>
    </cfRule>
    <cfRule type="expression" dxfId="231" priority="238" stopIfTrue="1">
      <formula>AND(C177&gt;=8000,C177&lt;=9999)</formula>
    </cfRule>
    <cfRule type="expression" dxfId="230" priority="239" stopIfTrue="1">
      <formula>AND(C177&gt;=78100,C177&lt;=78199)</formula>
    </cfRule>
    <cfRule type="expression" dxfId="229" priority="240" stopIfTrue="1">
      <formula>AND(C177&gt;=92000,C177&lt;=98999)</formula>
    </cfRule>
    <cfRule type="expression" dxfId="228" priority="241" stopIfTrue="1">
      <formula>AND(C177&gt;=78100,C177&lt;=78199)</formula>
    </cfRule>
    <cfRule type="expression" dxfId="227" priority="242" stopIfTrue="1">
      <formula>AND(C177&gt;=91000,C177&lt;=91999)</formula>
    </cfRule>
  </conditionalFormatting>
  <conditionalFormatting sqref="C177">
    <cfRule type="duplicateValues" dxfId="226" priority="231"/>
  </conditionalFormatting>
  <conditionalFormatting sqref="D179">
    <cfRule type="expression" dxfId="225" priority="220">
      <formula>AND(C179&gt;=79001,C179&lt;79900)</formula>
    </cfRule>
    <cfRule type="expression" dxfId="224" priority="221" stopIfTrue="1">
      <formula>AND(C179&gt;=70101,C179&lt;=70301)</formula>
    </cfRule>
    <cfRule type="expression" dxfId="223" priority="222" stopIfTrue="1">
      <formula>AND(C179&gt;70000,C179&lt;70004)</formula>
    </cfRule>
    <cfRule type="expression" dxfId="222" priority="223" stopIfTrue="1">
      <formula>AND(C179&gt;=70010,C179&lt;=76000)</formula>
    </cfRule>
    <cfRule type="expression" dxfId="221" priority="224">
      <formula>AND(C179&gt;70000,C179&lt;70004)</formula>
    </cfRule>
    <cfRule type="expression" dxfId="220" priority="225" stopIfTrue="1">
      <formula>OR(AND(C179&gt;=10000,C179&lt;=56999),AND(C179&gt;=57000,C179&lt;=57999))</formula>
    </cfRule>
    <cfRule type="expression" dxfId="219" priority="226" stopIfTrue="1">
      <formula>AND(C179&gt;=8000,C179&lt;=9999)</formula>
    </cfRule>
    <cfRule type="expression" dxfId="218" priority="227" stopIfTrue="1">
      <formula>AND(C179&gt;=78100,C179&lt;=78199)</formula>
    </cfRule>
    <cfRule type="expression" dxfId="217" priority="228" stopIfTrue="1">
      <formula>AND(C179&gt;=92000,C179&lt;=98999)</formula>
    </cfRule>
    <cfRule type="expression" dxfId="216" priority="229" stopIfTrue="1">
      <formula>AND(C179&gt;=78100,C179&lt;=78199)</formula>
    </cfRule>
    <cfRule type="expression" dxfId="215" priority="230" stopIfTrue="1">
      <formula>AND(C179&gt;=91000,C179&lt;=91999)</formula>
    </cfRule>
  </conditionalFormatting>
  <conditionalFormatting sqref="C179">
    <cfRule type="duplicateValues" dxfId="214" priority="219"/>
  </conditionalFormatting>
  <conditionalFormatting sqref="D106:D108">
    <cfRule type="expression" dxfId="213" priority="208">
      <formula>AND(C106&gt;=79001,C106&lt;79900)</formula>
    </cfRule>
    <cfRule type="expression" dxfId="212" priority="209" stopIfTrue="1">
      <formula>AND(C106&gt;=70101,C106&lt;=70301)</formula>
    </cfRule>
    <cfRule type="expression" dxfId="211" priority="210" stopIfTrue="1">
      <formula>AND(C106&gt;70000,C106&lt;70004)</formula>
    </cfRule>
    <cfRule type="expression" dxfId="210" priority="211" stopIfTrue="1">
      <formula>AND(C106&gt;=70010,C106&lt;=76000)</formula>
    </cfRule>
    <cfRule type="expression" dxfId="209" priority="212">
      <formula>AND(C106&gt;70000,C106&lt;70004)</formula>
    </cfRule>
    <cfRule type="expression" dxfId="208" priority="213" stopIfTrue="1">
      <formula>OR(AND(C106&gt;=10000,C106&lt;=56999),AND(C106&gt;=57000,C106&lt;=57999))</formula>
    </cfRule>
    <cfRule type="expression" dxfId="207" priority="214" stopIfTrue="1">
      <formula>AND(C106&gt;=8000,C106&lt;=9999)</formula>
    </cfRule>
    <cfRule type="expression" dxfId="206" priority="215" stopIfTrue="1">
      <formula>AND(C106&gt;=78100,C106&lt;=78199)</formula>
    </cfRule>
    <cfRule type="expression" dxfId="205" priority="216" stopIfTrue="1">
      <formula>AND(C106&gt;=92000,C106&lt;=98999)</formula>
    </cfRule>
    <cfRule type="expression" dxfId="204" priority="217" stopIfTrue="1">
      <formula>AND(C106&gt;=78100,C106&lt;=78199)</formula>
    </cfRule>
    <cfRule type="expression" dxfId="203" priority="218" stopIfTrue="1">
      <formula>AND(C106&gt;=91000,C106&lt;=91999)</formula>
    </cfRule>
  </conditionalFormatting>
  <conditionalFormatting sqref="D117:D119">
    <cfRule type="expression" dxfId="202" priority="197">
      <formula>AND(C117&gt;=79001,C117&lt;79900)</formula>
    </cfRule>
    <cfRule type="expression" dxfId="201" priority="198" stopIfTrue="1">
      <formula>AND(C117&gt;=70101,C117&lt;=70301)</formula>
    </cfRule>
    <cfRule type="expression" dxfId="200" priority="199" stopIfTrue="1">
      <formula>AND(C117&gt;70000,C117&lt;70004)</formula>
    </cfRule>
    <cfRule type="expression" dxfId="199" priority="200" stopIfTrue="1">
      <formula>AND(C117&gt;=70010,C117&lt;=76000)</formula>
    </cfRule>
    <cfRule type="expression" dxfId="198" priority="201">
      <formula>AND(C117&gt;70000,C117&lt;70004)</formula>
    </cfRule>
    <cfRule type="expression" dxfId="197" priority="202" stopIfTrue="1">
      <formula>OR(AND(C117&gt;=10000,C117&lt;=56999),AND(C117&gt;=57000,C117&lt;=57999))</formula>
    </cfRule>
    <cfRule type="expression" dxfId="196" priority="203" stopIfTrue="1">
      <formula>AND(C117&gt;=8000,C117&lt;=9999)</formula>
    </cfRule>
    <cfRule type="expression" dxfId="195" priority="204" stopIfTrue="1">
      <formula>AND(C117&gt;=78100,C117&lt;=78199)</formula>
    </cfRule>
    <cfRule type="expression" dxfId="194" priority="205" stopIfTrue="1">
      <formula>AND(C117&gt;=92000,C117&lt;=98999)</formula>
    </cfRule>
    <cfRule type="expression" dxfId="193" priority="206" stopIfTrue="1">
      <formula>AND(C117&gt;=78100,C117&lt;=78199)</formula>
    </cfRule>
    <cfRule type="expression" dxfId="192" priority="207" stopIfTrue="1">
      <formula>AND(C117&gt;=91000,C117&lt;=91999)</formula>
    </cfRule>
  </conditionalFormatting>
  <conditionalFormatting sqref="D128:D130">
    <cfRule type="expression" dxfId="191" priority="186">
      <formula>AND(C128&gt;=79001,C128&lt;79900)</formula>
    </cfRule>
    <cfRule type="expression" dxfId="190" priority="187" stopIfTrue="1">
      <formula>AND(C128&gt;=70101,C128&lt;=70301)</formula>
    </cfRule>
    <cfRule type="expression" dxfId="189" priority="188" stopIfTrue="1">
      <formula>AND(C128&gt;70000,C128&lt;70004)</formula>
    </cfRule>
    <cfRule type="expression" dxfId="188" priority="189" stopIfTrue="1">
      <formula>AND(C128&gt;=70010,C128&lt;=76000)</formula>
    </cfRule>
    <cfRule type="expression" dxfId="187" priority="190">
      <formula>AND(C128&gt;70000,C128&lt;70004)</formula>
    </cfRule>
    <cfRule type="expression" dxfId="186" priority="191" stopIfTrue="1">
      <formula>OR(AND(C128&gt;=10000,C128&lt;=56999),AND(C128&gt;=57000,C128&lt;=57999))</formula>
    </cfRule>
    <cfRule type="expression" dxfId="185" priority="192" stopIfTrue="1">
      <formula>AND(C128&gt;=8000,C128&lt;=9999)</formula>
    </cfRule>
    <cfRule type="expression" dxfId="184" priority="193" stopIfTrue="1">
      <formula>AND(C128&gt;=78100,C128&lt;=78199)</formula>
    </cfRule>
    <cfRule type="expression" dxfId="183" priority="194" stopIfTrue="1">
      <formula>AND(C128&gt;=92000,C128&lt;=98999)</formula>
    </cfRule>
    <cfRule type="expression" dxfId="182" priority="195" stopIfTrue="1">
      <formula>AND(C128&gt;=78100,C128&lt;=78199)</formula>
    </cfRule>
    <cfRule type="expression" dxfId="181" priority="196" stopIfTrue="1">
      <formula>AND(C128&gt;=91000,C128&lt;=91999)</formula>
    </cfRule>
  </conditionalFormatting>
  <conditionalFormatting sqref="D139:D141">
    <cfRule type="expression" dxfId="180" priority="175">
      <formula>AND(C139&gt;=79001,C139&lt;79900)</formula>
    </cfRule>
    <cfRule type="expression" dxfId="179" priority="176" stopIfTrue="1">
      <formula>AND(C139&gt;=70101,C139&lt;=70301)</formula>
    </cfRule>
    <cfRule type="expression" dxfId="178" priority="177" stopIfTrue="1">
      <formula>AND(C139&gt;70000,C139&lt;70004)</formula>
    </cfRule>
    <cfRule type="expression" dxfId="177" priority="178" stopIfTrue="1">
      <formula>AND(C139&gt;=70010,C139&lt;=76000)</formula>
    </cfRule>
    <cfRule type="expression" dxfId="176" priority="179">
      <formula>AND(C139&gt;70000,C139&lt;70004)</formula>
    </cfRule>
    <cfRule type="expression" dxfId="175" priority="180" stopIfTrue="1">
      <formula>OR(AND(C139&gt;=10000,C139&lt;=56999),AND(C139&gt;=57000,C139&lt;=57999))</formula>
    </cfRule>
    <cfRule type="expression" dxfId="174" priority="181" stopIfTrue="1">
      <formula>AND(C139&gt;=8000,C139&lt;=9999)</formula>
    </cfRule>
    <cfRule type="expression" dxfId="173" priority="182" stopIfTrue="1">
      <formula>AND(C139&gt;=78100,C139&lt;=78199)</formula>
    </cfRule>
    <cfRule type="expression" dxfId="172" priority="183" stopIfTrue="1">
      <formula>AND(C139&gt;=92000,C139&lt;=98999)</formula>
    </cfRule>
    <cfRule type="expression" dxfId="171" priority="184" stopIfTrue="1">
      <formula>AND(C139&gt;=78100,C139&lt;=78199)</formula>
    </cfRule>
    <cfRule type="expression" dxfId="170" priority="185" stopIfTrue="1">
      <formula>AND(C139&gt;=91000,C139&lt;=91999)</formula>
    </cfRule>
  </conditionalFormatting>
  <conditionalFormatting sqref="D150:D152">
    <cfRule type="expression" dxfId="169" priority="164">
      <formula>AND(C150&gt;=79001,C150&lt;79900)</formula>
    </cfRule>
    <cfRule type="expression" dxfId="168" priority="165" stopIfTrue="1">
      <formula>AND(C150&gt;=70101,C150&lt;=70301)</formula>
    </cfRule>
    <cfRule type="expression" dxfId="167" priority="166" stopIfTrue="1">
      <formula>AND(C150&gt;70000,C150&lt;70004)</formula>
    </cfRule>
    <cfRule type="expression" dxfId="166" priority="167" stopIfTrue="1">
      <formula>AND(C150&gt;=70010,C150&lt;=76000)</formula>
    </cfRule>
    <cfRule type="expression" dxfId="165" priority="168">
      <formula>AND(C150&gt;70000,C150&lt;70004)</formula>
    </cfRule>
    <cfRule type="expression" dxfId="164" priority="169" stopIfTrue="1">
      <formula>OR(AND(C150&gt;=10000,C150&lt;=56999),AND(C150&gt;=57000,C150&lt;=57999))</formula>
    </cfRule>
    <cfRule type="expression" dxfId="163" priority="170" stopIfTrue="1">
      <formula>AND(C150&gt;=8000,C150&lt;=9999)</formula>
    </cfRule>
    <cfRule type="expression" dxfId="162" priority="171" stopIfTrue="1">
      <formula>AND(C150&gt;=78100,C150&lt;=78199)</formula>
    </cfRule>
    <cfRule type="expression" dxfId="161" priority="172" stopIfTrue="1">
      <formula>AND(C150&gt;=92000,C150&lt;=98999)</formula>
    </cfRule>
    <cfRule type="expression" dxfId="160" priority="173" stopIfTrue="1">
      <formula>AND(C150&gt;=78100,C150&lt;=78199)</formula>
    </cfRule>
    <cfRule type="expression" dxfId="159" priority="174" stopIfTrue="1">
      <formula>AND(C150&gt;=91000,C150&lt;=91999)</formula>
    </cfRule>
  </conditionalFormatting>
  <conditionalFormatting sqref="D161:D163">
    <cfRule type="expression" dxfId="158" priority="153">
      <formula>AND(C161&gt;=79001,C161&lt;79900)</formula>
    </cfRule>
    <cfRule type="expression" dxfId="157" priority="154" stopIfTrue="1">
      <formula>AND(C161&gt;=70101,C161&lt;=70301)</formula>
    </cfRule>
    <cfRule type="expression" dxfId="156" priority="155" stopIfTrue="1">
      <formula>AND(C161&gt;70000,C161&lt;70004)</formula>
    </cfRule>
    <cfRule type="expression" dxfId="155" priority="156" stopIfTrue="1">
      <formula>AND(C161&gt;=70010,C161&lt;=76000)</formula>
    </cfRule>
    <cfRule type="expression" dxfId="154" priority="157">
      <formula>AND(C161&gt;70000,C161&lt;70004)</formula>
    </cfRule>
    <cfRule type="expression" dxfId="153" priority="158" stopIfTrue="1">
      <formula>OR(AND(C161&gt;=10000,C161&lt;=56999),AND(C161&gt;=57000,C161&lt;=57999))</formula>
    </cfRule>
    <cfRule type="expression" dxfId="152" priority="159" stopIfTrue="1">
      <formula>AND(C161&gt;=8000,C161&lt;=9999)</formula>
    </cfRule>
    <cfRule type="expression" dxfId="151" priority="160" stopIfTrue="1">
      <formula>AND(C161&gt;=78100,C161&lt;=78199)</formula>
    </cfRule>
    <cfRule type="expression" dxfId="150" priority="161" stopIfTrue="1">
      <formula>AND(C161&gt;=92000,C161&lt;=98999)</formula>
    </cfRule>
    <cfRule type="expression" dxfId="149" priority="162" stopIfTrue="1">
      <formula>AND(C161&gt;=78100,C161&lt;=78199)</formula>
    </cfRule>
    <cfRule type="expression" dxfId="148" priority="163" stopIfTrue="1">
      <formula>AND(C161&gt;=91000,C161&lt;=91999)</formula>
    </cfRule>
  </conditionalFormatting>
  <conditionalFormatting sqref="C106:C108">
    <cfRule type="duplicateValues" dxfId="147" priority="152"/>
  </conditionalFormatting>
  <conditionalFormatting sqref="C117:C119">
    <cfRule type="duplicateValues" dxfId="146" priority="151"/>
  </conditionalFormatting>
  <conditionalFormatting sqref="C128:C130">
    <cfRule type="duplicateValues" dxfId="145" priority="150"/>
  </conditionalFormatting>
  <conditionalFormatting sqref="C139:C141">
    <cfRule type="duplicateValues" dxfId="144" priority="149"/>
  </conditionalFormatting>
  <conditionalFormatting sqref="C150:C152">
    <cfRule type="duplicateValues" dxfId="143" priority="148"/>
  </conditionalFormatting>
  <conditionalFormatting sqref="C161:C163">
    <cfRule type="duplicateValues" dxfId="142" priority="147"/>
  </conditionalFormatting>
  <conditionalFormatting sqref="D164">
    <cfRule type="expression" dxfId="141" priority="135">
      <formula>AND(C164&gt;=79001,C164&lt;79900)</formula>
    </cfRule>
    <cfRule type="expression" dxfId="140" priority="136" stopIfTrue="1">
      <formula>AND(C164&gt;=70101,C164&lt;=70301)</formula>
    </cfRule>
    <cfRule type="expression" dxfId="139" priority="137" stopIfTrue="1">
      <formula>AND(C164&gt;70000,C164&lt;70004)</formula>
    </cfRule>
    <cfRule type="expression" dxfId="138" priority="138" stopIfTrue="1">
      <formula>AND(C164&gt;=70010,C164&lt;=76000)</formula>
    </cfRule>
    <cfRule type="expression" dxfId="137" priority="139">
      <formula>AND(C164&gt;70000,C164&lt;70004)</formula>
    </cfRule>
    <cfRule type="expression" dxfId="136" priority="140" stopIfTrue="1">
      <formula>OR(AND(C164&gt;=10000,C164&lt;=56999),AND(C164&gt;=57000,C164&lt;=57999))</formula>
    </cfRule>
    <cfRule type="expression" dxfId="135" priority="141" stopIfTrue="1">
      <formula>AND(C164&gt;=8000,C164&lt;=9999)</formula>
    </cfRule>
    <cfRule type="expression" dxfId="134" priority="142" stopIfTrue="1">
      <formula>AND(C164&gt;=78100,C164&lt;=78199)</formula>
    </cfRule>
    <cfRule type="expression" dxfId="133" priority="143" stopIfTrue="1">
      <formula>AND(C164&gt;=92000,C164&lt;=98999)</formula>
    </cfRule>
    <cfRule type="expression" dxfId="132" priority="144" stopIfTrue="1">
      <formula>AND(C164&gt;=78100,C164&lt;=78199)</formula>
    </cfRule>
    <cfRule type="expression" dxfId="131" priority="145" stopIfTrue="1">
      <formula>AND(C164&gt;=91000,C164&lt;=91999)</formula>
    </cfRule>
  </conditionalFormatting>
  <conditionalFormatting sqref="D166 D168">
    <cfRule type="expression" dxfId="130" priority="123">
      <formula>AND(C166&gt;=79001,C166&lt;79900)</formula>
    </cfRule>
    <cfRule type="expression" dxfId="129" priority="124" stopIfTrue="1">
      <formula>AND(C166&gt;=70101,C166&lt;=70301)</formula>
    </cfRule>
    <cfRule type="expression" dxfId="128" priority="125" stopIfTrue="1">
      <formula>AND(C166&gt;70000,C166&lt;70004)</formula>
    </cfRule>
    <cfRule type="expression" dxfId="127" priority="126" stopIfTrue="1">
      <formula>AND(C166&gt;=70010,C166&lt;=76000)</formula>
    </cfRule>
    <cfRule type="expression" dxfId="126" priority="127">
      <formula>AND(C166&gt;70000,C166&lt;70004)</formula>
    </cfRule>
    <cfRule type="expression" dxfId="125" priority="128" stopIfTrue="1">
      <formula>OR(AND(C166&gt;=10000,C166&lt;=56999),AND(C166&gt;=57000,C166&lt;=57999))</formula>
    </cfRule>
    <cfRule type="expression" dxfId="124" priority="129" stopIfTrue="1">
      <formula>AND(C166&gt;=8000,C166&lt;=9999)</formula>
    </cfRule>
    <cfRule type="expression" dxfId="123" priority="130" stopIfTrue="1">
      <formula>AND(C166&gt;=78100,C166&lt;=78199)</formula>
    </cfRule>
    <cfRule type="expression" dxfId="122" priority="131" stopIfTrue="1">
      <formula>AND(C166&gt;=92000,C166&lt;=98999)</formula>
    </cfRule>
    <cfRule type="expression" dxfId="121" priority="132" stopIfTrue="1">
      <formula>AND(C166&gt;=78100,C166&lt;=78199)</formula>
    </cfRule>
    <cfRule type="expression" dxfId="120" priority="133" stopIfTrue="1">
      <formula>AND(C166&gt;=91000,C166&lt;=91999)</formula>
    </cfRule>
  </conditionalFormatting>
  <conditionalFormatting sqref="C166 C168">
    <cfRule type="duplicateValues" dxfId="119" priority="134"/>
  </conditionalFormatting>
  <conditionalFormatting sqref="C164">
    <cfRule type="duplicateValues" dxfId="118" priority="146"/>
  </conditionalFormatting>
  <conditionalFormatting sqref="D165">
    <cfRule type="expression" dxfId="117" priority="111">
      <formula>AND(C165&gt;=79001,C165&lt;79900)</formula>
    </cfRule>
    <cfRule type="expression" dxfId="116" priority="112" stopIfTrue="1">
      <formula>AND(C165&gt;=70101,C165&lt;=70301)</formula>
    </cfRule>
    <cfRule type="expression" dxfId="115" priority="113" stopIfTrue="1">
      <formula>AND(C165&gt;70000,C165&lt;70004)</formula>
    </cfRule>
    <cfRule type="expression" dxfId="114" priority="114" stopIfTrue="1">
      <formula>AND(C165&gt;=70010,C165&lt;=76000)</formula>
    </cfRule>
    <cfRule type="expression" dxfId="113" priority="115">
      <formula>AND(C165&gt;70000,C165&lt;70004)</formula>
    </cfRule>
    <cfRule type="expression" dxfId="112" priority="116" stopIfTrue="1">
      <formula>OR(AND(C165&gt;=10000,C165&lt;=56999),AND(C165&gt;=57000,C165&lt;=57999))</formula>
    </cfRule>
    <cfRule type="expression" dxfId="111" priority="117" stopIfTrue="1">
      <formula>AND(C165&gt;=8000,C165&lt;=9999)</formula>
    </cfRule>
    <cfRule type="expression" dxfId="110" priority="118" stopIfTrue="1">
      <formula>AND(C165&gt;=78100,C165&lt;=78199)</formula>
    </cfRule>
    <cfRule type="expression" dxfId="109" priority="119" stopIfTrue="1">
      <formula>AND(C165&gt;=92000,C165&lt;=98999)</formula>
    </cfRule>
    <cfRule type="expression" dxfId="108" priority="120" stopIfTrue="1">
      <formula>AND(C165&gt;=78100,C165&lt;=78199)</formula>
    </cfRule>
    <cfRule type="expression" dxfId="107" priority="121" stopIfTrue="1">
      <formula>AND(C165&gt;=91000,C165&lt;=91999)</formula>
    </cfRule>
  </conditionalFormatting>
  <conditionalFormatting sqref="C165">
    <cfRule type="duplicateValues" dxfId="106" priority="122"/>
  </conditionalFormatting>
  <conditionalFormatting sqref="D167">
    <cfRule type="expression" dxfId="105" priority="99">
      <formula>AND(C167&gt;=79001,C167&lt;79900)</formula>
    </cfRule>
    <cfRule type="expression" dxfId="104" priority="100" stopIfTrue="1">
      <formula>AND(C167&gt;=70101,C167&lt;=70301)</formula>
    </cfRule>
    <cfRule type="expression" dxfId="103" priority="101" stopIfTrue="1">
      <formula>AND(C167&gt;70000,C167&lt;70004)</formula>
    </cfRule>
    <cfRule type="expression" dxfId="102" priority="102" stopIfTrue="1">
      <formula>AND(C167&gt;=70010,C167&lt;=76000)</formula>
    </cfRule>
    <cfRule type="expression" dxfId="101" priority="103">
      <formula>AND(C167&gt;70000,C167&lt;70004)</formula>
    </cfRule>
    <cfRule type="expression" dxfId="100" priority="104" stopIfTrue="1">
      <formula>OR(AND(C167&gt;=10000,C167&lt;=56999),AND(C167&gt;=57000,C167&lt;=57999))</formula>
    </cfRule>
    <cfRule type="expression" dxfId="99" priority="105" stopIfTrue="1">
      <formula>AND(C167&gt;=8000,C167&lt;=9999)</formula>
    </cfRule>
    <cfRule type="expression" dxfId="98" priority="106" stopIfTrue="1">
      <formula>AND(C167&gt;=78100,C167&lt;=78199)</formula>
    </cfRule>
    <cfRule type="expression" dxfId="97" priority="107" stopIfTrue="1">
      <formula>AND(C167&gt;=92000,C167&lt;=98999)</formula>
    </cfRule>
    <cfRule type="expression" dxfId="96" priority="108" stopIfTrue="1">
      <formula>AND(C167&gt;=78100,C167&lt;=78199)</formula>
    </cfRule>
    <cfRule type="expression" dxfId="95" priority="109" stopIfTrue="1">
      <formula>AND(C167&gt;=91000,C167&lt;=91999)</formula>
    </cfRule>
  </conditionalFormatting>
  <conditionalFormatting sqref="C167">
    <cfRule type="duplicateValues" dxfId="94" priority="110"/>
  </conditionalFormatting>
  <conditionalFormatting sqref="D169">
    <cfRule type="expression" dxfId="93" priority="87">
      <formula>AND(C169&gt;=79001,C169&lt;79900)</formula>
    </cfRule>
    <cfRule type="expression" dxfId="92" priority="88" stopIfTrue="1">
      <formula>AND(C169&gt;=70101,C169&lt;=70301)</formula>
    </cfRule>
    <cfRule type="expression" dxfId="91" priority="89" stopIfTrue="1">
      <formula>AND(C169&gt;70000,C169&lt;70004)</formula>
    </cfRule>
    <cfRule type="expression" dxfId="90" priority="90" stopIfTrue="1">
      <formula>AND(C169&gt;=70010,C169&lt;=76000)</formula>
    </cfRule>
    <cfRule type="expression" dxfId="89" priority="91">
      <formula>AND(C169&gt;70000,C169&lt;70004)</formula>
    </cfRule>
    <cfRule type="expression" dxfId="88" priority="92" stopIfTrue="1">
      <formula>OR(AND(C169&gt;=10000,C169&lt;=56999),AND(C169&gt;=57000,C169&lt;=57999))</formula>
    </cfRule>
    <cfRule type="expression" dxfId="87" priority="93" stopIfTrue="1">
      <formula>AND(C169&gt;=8000,C169&lt;=9999)</formula>
    </cfRule>
    <cfRule type="expression" dxfId="86" priority="94" stopIfTrue="1">
      <formula>AND(C169&gt;=78100,C169&lt;=78199)</formula>
    </cfRule>
    <cfRule type="expression" dxfId="85" priority="95" stopIfTrue="1">
      <formula>AND(C169&gt;=92000,C169&lt;=98999)</formula>
    </cfRule>
    <cfRule type="expression" dxfId="84" priority="96" stopIfTrue="1">
      <formula>AND(C169&gt;=78100,C169&lt;=78199)</formula>
    </cfRule>
    <cfRule type="expression" dxfId="83" priority="97" stopIfTrue="1">
      <formula>AND(C169&gt;=91000,C169&lt;=91999)</formula>
    </cfRule>
  </conditionalFormatting>
  <conditionalFormatting sqref="C169">
    <cfRule type="duplicateValues" dxfId="82" priority="98"/>
  </conditionalFormatting>
  <conditionalFormatting sqref="D170">
    <cfRule type="expression" dxfId="81" priority="75">
      <formula>AND(C170&gt;=79001,C170&lt;79900)</formula>
    </cfRule>
    <cfRule type="expression" dxfId="80" priority="76" stopIfTrue="1">
      <formula>AND(C170&gt;=70101,C170&lt;=70301)</formula>
    </cfRule>
    <cfRule type="expression" dxfId="79" priority="77" stopIfTrue="1">
      <formula>AND(C170&gt;70000,C170&lt;70004)</formula>
    </cfRule>
    <cfRule type="expression" dxfId="78" priority="78" stopIfTrue="1">
      <formula>AND(C170&gt;=70010,C170&lt;=76000)</formula>
    </cfRule>
    <cfRule type="expression" dxfId="77" priority="79">
      <formula>AND(C170&gt;70000,C170&lt;70004)</formula>
    </cfRule>
    <cfRule type="expression" dxfId="76" priority="80" stopIfTrue="1">
      <formula>OR(AND(C170&gt;=10000,C170&lt;=56999),AND(C170&gt;=57000,C170&lt;=57999))</formula>
    </cfRule>
    <cfRule type="expression" dxfId="75" priority="81" stopIfTrue="1">
      <formula>AND(C170&gt;=8000,C170&lt;=9999)</formula>
    </cfRule>
    <cfRule type="expression" dxfId="74" priority="82" stopIfTrue="1">
      <formula>AND(C170&gt;=78100,C170&lt;=78199)</formula>
    </cfRule>
    <cfRule type="expression" dxfId="73" priority="83" stopIfTrue="1">
      <formula>AND(C170&gt;=92000,C170&lt;=98999)</formula>
    </cfRule>
    <cfRule type="expression" dxfId="72" priority="84" stopIfTrue="1">
      <formula>AND(C170&gt;=78100,C170&lt;=78199)</formula>
    </cfRule>
    <cfRule type="expression" dxfId="71" priority="85" stopIfTrue="1">
      <formula>AND(C170&gt;=91000,C170&lt;=91999)</formula>
    </cfRule>
  </conditionalFormatting>
  <conditionalFormatting sqref="D172 D174">
    <cfRule type="expression" dxfId="70" priority="63">
      <formula>AND(C172&gt;=79001,C172&lt;79900)</formula>
    </cfRule>
    <cfRule type="expression" dxfId="69" priority="64" stopIfTrue="1">
      <formula>AND(C172&gt;=70101,C172&lt;=70301)</formula>
    </cfRule>
    <cfRule type="expression" dxfId="68" priority="65" stopIfTrue="1">
      <formula>AND(C172&gt;70000,C172&lt;70004)</formula>
    </cfRule>
    <cfRule type="expression" dxfId="67" priority="66" stopIfTrue="1">
      <formula>AND(C172&gt;=70010,C172&lt;=76000)</formula>
    </cfRule>
    <cfRule type="expression" dxfId="66" priority="67">
      <formula>AND(C172&gt;70000,C172&lt;70004)</formula>
    </cfRule>
    <cfRule type="expression" dxfId="65" priority="68" stopIfTrue="1">
      <formula>OR(AND(C172&gt;=10000,C172&lt;=56999),AND(C172&gt;=57000,C172&lt;=57999))</formula>
    </cfRule>
    <cfRule type="expression" dxfId="64" priority="69" stopIfTrue="1">
      <formula>AND(C172&gt;=8000,C172&lt;=9999)</formula>
    </cfRule>
    <cfRule type="expression" dxfId="63" priority="70" stopIfTrue="1">
      <formula>AND(C172&gt;=78100,C172&lt;=78199)</formula>
    </cfRule>
    <cfRule type="expression" dxfId="62" priority="71" stopIfTrue="1">
      <formula>AND(C172&gt;=92000,C172&lt;=98999)</formula>
    </cfRule>
    <cfRule type="expression" dxfId="61" priority="72" stopIfTrue="1">
      <formula>AND(C172&gt;=78100,C172&lt;=78199)</formula>
    </cfRule>
    <cfRule type="expression" dxfId="60" priority="73" stopIfTrue="1">
      <formula>AND(C172&gt;=91000,C172&lt;=91999)</formula>
    </cfRule>
  </conditionalFormatting>
  <conditionalFormatting sqref="C172 C174">
    <cfRule type="duplicateValues" dxfId="59" priority="74"/>
  </conditionalFormatting>
  <conditionalFormatting sqref="C170">
    <cfRule type="duplicateValues" dxfId="58" priority="86"/>
  </conditionalFormatting>
  <conditionalFormatting sqref="D171">
    <cfRule type="expression" dxfId="57" priority="51">
      <formula>AND(C171&gt;=79001,C171&lt;79900)</formula>
    </cfRule>
    <cfRule type="expression" dxfId="56" priority="52" stopIfTrue="1">
      <formula>AND(C171&gt;=70101,C171&lt;=70301)</formula>
    </cfRule>
    <cfRule type="expression" dxfId="55" priority="53" stopIfTrue="1">
      <formula>AND(C171&gt;70000,C171&lt;70004)</formula>
    </cfRule>
    <cfRule type="expression" dxfId="54" priority="54" stopIfTrue="1">
      <formula>AND(C171&gt;=70010,C171&lt;=76000)</formula>
    </cfRule>
    <cfRule type="expression" dxfId="53" priority="55">
      <formula>AND(C171&gt;70000,C171&lt;70004)</formula>
    </cfRule>
    <cfRule type="expression" dxfId="52" priority="56" stopIfTrue="1">
      <formula>OR(AND(C171&gt;=10000,C171&lt;=56999),AND(C171&gt;=57000,C171&lt;=57999))</formula>
    </cfRule>
    <cfRule type="expression" dxfId="51" priority="57" stopIfTrue="1">
      <formula>AND(C171&gt;=8000,C171&lt;=9999)</formula>
    </cfRule>
    <cfRule type="expression" dxfId="50" priority="58" stopIfTrue="1">
      <formula>AND(C171&gt;=78100,C171&lt;=78199)</formula>
    </cfRule>
    <cfRule type="expression" dxfId="49" priority="59" stopIfTrue="1">
      <formula>AND(C171&gt;=92000,C171&lt;=98999)</formula>
    </cfRule>
    <cfRule type="expression" dxfId="48" priority="60" stopIfTrue="1">
      <formula>AND(C171&gt;=78100,C171&lt;=78199)</formula>
    </cfRule>
    <cfRule type="expression" dxfId="47" priority="61" stopIfTrue="1">
      <formula>AND(C171&gt;=91000,C171&lt;=91999)</formula>
    </cfRule>
  </conditionalFormatting>
  <conditionalFormatting sqref="C171">
    <cfRule type="duplicateValues" dxfId="46" priority="62"/>
  </conditionalFormatting>
  <conditionalFormatting sqref="D173">
    <cfRule type="expression" dxfId="45" priority="39">
      <formula>AND(C173&gt;=79001,C173&lt;79900)</formula>
    </cfRule>
    <cfRule type="expression" dxfId="44" priority="40" stopIfTrue="1">
      <formula>AND(C173&gt;=70101,C173&lt;=70301)</formula>
    </cfRule>
    <cfRule type="expression" dxfId="43" priority="41" stopIfTrue="1">
      <formula>AND(C173&gt;70000,C173&lt;70004)</formula>
    </cfRule>
    <cfRule type="expression" dxfId="42" priority="42" stopIfTrue="1">
      <formula>AND(C173&gt;=70010,C173&lt;=76000)</formula>
    </cfRule>
    <cfRule type="expression" dxfId="41" priority="43">
      <formula>AND(C173&gt;70000,C173&lt;70004)</formula>
    </cfRule>
    <cfRule type="expression" dxfId="40" priority="44" stopIfTrue="1">
      <formula>OR(AND(C173&gt;=10000,C173&lt;=56999),AND(C173&gt;=57000,C173&lt;=57999))</formula>
    </cfRule>
    <cfRule type="expression" dxfId="39" priority="45" stopIfTrue="1">
      <formula>AND(C173&gt;=8000,C173&lt;=9999)</formula>
    </cfRule>
    <cfRule type="expression" dxfId="38" priority="46" stopIfTrue="1">
      <formula>AND(C173&gt;=78100,C173&lt;=78199)</formula>
    </cfRule>
    <cfRule type="expression" dxfId="37" priority="47" stopIfTrue="1">
      <formula>AND(C173&gt;=92000,C173&lt;=98999)</formula>
    </cfRule>
    <cfRule type="expression" dxfId="36" priority="48" stopIfTrue="1">
      <formula>AND(C173&gt;=78100,C173&lt;=78199)</formula>
    </cfRule>
    <cfRule type="expression" dxfId="35" priority="49" stopIfTrue="1">
      <formula>AND(C173&gt;=91000,C173&lt;=91999)</formula>
    </cfRule>
  </conditionalFormatting>
  <conditionalFormatting sqref="C173">
    <cfRule type="duplicateValues" dxfId="34" priority="50"/>
  </conditionalFormatting>
  <conditionalFormatting sqref="D175">
    <cfRule type="expression" dxfId="33" priority="27">
      <formula>AND(C175&gt;=79001,C175&lt;79900)</formula>
    </cfRule>
    <cfRule type="expression" dxfId="32" priority="28" stopIfTrue="1">
      <formula>AND(C175&gt;=70101,C175&lt;=70301)</formula>
    </cfRule>
    <cfRule type="expression" dxfId="31" priority="29" stopIfTrue="1">
      <formula>AND(C175&gt;70000,C175&lt;70004)</formula>
    </cfRule>
    <cfRule type="expression" dxfId="30" priority="30" stopIfTrue="1">
      <formula>AND(C175&gt;=70010,C175&lt;=76000)</formula>
    </cfRule>
    <cfRule type="expression" dxfId="29" priority="31">
      <formula>AND(C175&gt;70000,C175&lt;70004)</formula>
    </cfRule>
    <cfRule type="expression" dxfId="28" priority="32" stopIfTrue="1">
      <formula>OR(AND(C175&gt;=10000,C175&lt;=56999),AND(C175&gt;=57000,C175&lt;=57999))</formula>
    </cfRule>
    <cfRule type="expression" dxfId="27" priority="33" stopIfTrue="1">
      <formula>AND(C175&gt;=8000,C175&lt;=9999)</formula>
    </cfRule>
    <cfRule type="expression" dxfId="26" priority="34" stopIfTrue="1">
      <formula>AND(C175&gt;=78100,C175&lt;=78199)</formula>
    </cfRule>
    <cfRule type="expression" dxfId="25" priority="35" stopIfTrue="1">
      <formula>AND(C175&gt;=92000,C175&lt;=98999)</formula>
    </cfRule>
    <cfRule type="expression" dxfId="24" priority="36" stopIfTrue="1">
      <formula>AND(C175&gt;=78100,C175&lt;=78199)</formula>
    </cfRule>
    <cfRule type="expression" dxfId="23" priority="37" stopIfTrue="1">
      <formula>AND(C175&gt;=91000,C175&lt;=91999)</formula>
    </cfRule>
  </conditionalFormatting>
  <conditionalFormatting sqref="C175">
    <cfRule type="duplicateValues" dxfId="22" priority="38"/>
  </conditionalFormatting>
  <conditionalFormatting sqref="F1:F1048576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:S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V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0:E41">
    <cfRule type="expression" dxfId="21" priority="12">
      <formula>AND(D30&gt;=79001,D30&lt;79900)</formula>
    </cfRule>
    <cfRule type="expression" dxfId="20" priority="13" stopIfTrue="1">
      <formula>AND(D30&gt;=70101,D30&lt;=70301)</formula>
    </cfRule>
    <cfRule type="expression" dxfId="19" priority="14" stopIfTrue="1">
      <formula>AND(D30&gt;70000,D30&lt;70004)</formula>
    </cfRule>
    <cfRule type="expression" dxfId="18" priority="15" stopIfTrue="1">
      <formula>AND(D30&gt;=70010,D30&lt;=76000)</formula>
    </cfRule>
    <cfRule type="expression" dxfId="17" priority="16">
      <formula>AND(D30&gt;70000,D30&lt;70004)</formula>
    </cfRule>
    <cfRule type="expression" dxfId="16" priority="17" stopIfTrue="1">
      <formula>OR(AND(D30&gt;=10000,D30&lt;=56999),AND(D30&gt;=57000,D30&lt;=57999))</formula>
    </cfRule>
    <cfRule type="expression" dxfId="15" priority="18" stopIfTrue="1">
      <formula>AND(D30&gt;=8000,D30&lt;=9999)</formula>
    </cfRule>
    <cfRule type="expression" dxfId="14" priority="19" stopIfTrue="1">
      <formula>AND(D30&gt;=78100,D30&lt;=78199)</formula>
    </cfRule>
    <cfRule type="expression" dxfId="13" priority="20" stopIfTrue="1">
      <formula>AND(D30&gt;=92000,D30&lt;=98999)</formula>
    </cfRule>
    <cfRule type="expression" dxfId="12" priority="21" stopIfTrue="1">
      <formula>AND(D30&gt;=78100,D30&lt;=78199)</formula>
    </cfRule>
    <cfRule type="expression" dxfId="11" priority="22" stopIfTrue="1">
      <formula>AND(D30&gt;=91000,D30&lt;=91999)</formula>
    </cfRule>
  </conditionalFormatting>
  <conditionalFormatting sqref="E54:E75">
    <cfRule type="expression" dxfId="10" priority="1">
      <formula>AND(D54&gt;=79001,D54&lt;79900)</formula>
    </cfRule>
    <cfRule type="expression" dxfId="9" priority="2" stopIfTrue="1">
      <formula>AND(D54&gt;=70101,D54&lt;=70301)</formula>
    </cfRule>
    <cfRule type="expression" dxfId="8" priority="3" stopIfTrue="1">
      <formula>AND(D54&gt;70000,D54&lt;70004)</formula>
    </cfRule>
    <cfRule type="expression" dxfId="7" priority="4" stopIfTrue="1">
      <formula>AND(D54&gt;=70010,D54&lt;=76000)</formula>
    </cfRule>
    <cfRule type="expression" dxfId="6" priority="5">
      <formula>AND(D54&gt;70000,D54&lt;70004)</formula>
    </cfRule>
    <cfRule type="expression" dxfId="5" priority="6" stopIfTrue="1">
      <formula>OR(AND(D54&gt;=10000,D54&lt;=56999),AND(D54&gt;=57000,D54&lt;=57999))</formula>
    </cfRule>
    <cfRule type="expression" dxfId="4" priority="7" stopIfTrue="1">
      <formula>AND(D54&gt;=8000,D54&lt;=9999)</formula>
    </cfRule>
    <cfRule type="expression" dxfId="3" priority="8" stopIfTrue="1">
      <formula>AND(D54&gt;=78100,D54&lt;=78199)</formula>
    </cfRule>
    <cfRule type="expression" dxfId="2" priority="9" stopIfTrue="1">
      <formula>AND(D54&gt;=92000,D54&lt;=98999)</formula>
    </cfRule>
    <cfRule type="expression" dxfId="1" priority="10" stopIfTrue="1">
      <formula>AND(D54&gt;=78100,D54&lt;=78199)</formula>
    </cfRule>
    <cfRule type="expression" dxfId="0" priority="11" stopIfTrue="1">
      <formula>AND(D54&gt;=91000,D54&lt;=91999)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D_神秘商店概率</vt:lpstr>
      <vt:lpstr>D_神秘商店</vt:lpstr>
      <vt:lpstr>D_金币商场</vt:lpstr>
      <vt:lpstr>D_VIP商城</vt:lpstr>
      <vt:lpstr>D_红包积分商城</vt:lpstr>
      <vt:lpstr>D_金币十连抽</vt:lpstr>
      <vt:lpstr>D_钻石十连抽</vt:lpstr>
      <vt:lpstr>D_十连抽</vt:lpstr>
      <vt:lpstr>D_幸运值配置表</vt:lpstr>
      <vt:lpstr>D_十连抽幸运马仔</vt:lpstr>
      <vt:lpstr>商城刷新模拟</vt:lpstr>
      <vt:lpstr>D_十连抽价格表</vt:lpstr>
      <vt:lpstr>D_商店刷新</vt:lpstr>
      <vt:lpstr>D_点金手</vt:lpstr>
      <vt:lpstr>D_点金手概率表</vt:lpstr>
      <vt:lpstr>D_点金手计算表</vt:lpstr>
      <vt:lpstr>D_钻石商场</vt:lpstr>
      <vt:lpstr>D_装备兑换商店</vt:lpstr>
      <vt:lpstr>商城备份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Ycat008</dc:creator>
  <cp:lastModifiedBy>Javy</cp:lastModifiedBy>
  <dcterms:created xsi:type="dcterms:W3CDTF">2006-09-16T00:00:00Z</dcterms:created>
  <dcterms:modified xsi:type="dcterms:W3CDTF">2015-08-17T10:48:57Z</dcterms:modified>
</cp:coreProperties>
</file>